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30106892_adani_com/Documents/BESS/One Pagers/Charging Schedule - MD Review/BESS 11/"/>
    </mc:Choice>
  </mc:AlternateContent>
  <xr:revisionPtr revIDLastSave="0" documentId="8_{24195180-FD56-42D8-92F6-345B7EC200D1}" xr6:coauthVersionLast="47" xr6:coauthVersionMax="47" xr10:uidLastSave="{00000000-0000-0000-0000-000000000000}"/>
  <bookViews>
    <workbookView xWindow="-120" yWindow="-120" windowWidth="20730" windowHeight="11040" firstSheet="8" activeTab="8" xr2:uid="{B9923155-0637-4283-A72C-FB0B99469A89}"/>
  </bookViews>
  <sheets>
    <sheet name="Bess 11 Part Wise" sheetId="2" state="hidden" r:id="rId1"/>
    <sheet name="12 - Daily requirement (2)" sheetId="12" state="hidden" r:id="rId2"/>
    <sheet name="10B - Daily requirement (2)" sheetId="13" state="hidden" r:id="rId3"/>
    <sheet name="BC Arrival Productivity" sheetId="18" state="hidden" r:id="rId4"/>
    <sheet name="11 - Daily requirement (2)" sheetId="11" state="hidden" r:id="rId5"/>
    <sheet name="12 - Daily requirement" sheetId="9" state="hidden" r:id="rId6"/>
    <sheet name="12 - Daily requirement working" sheetId="14" state="hidden" r:id="rId7"/>
    <sheet name="11 - Daily requirement" sheetId="5" state="hidden" r:id="rId8"/>
    <sheet name="BESS 11" sheetId="1" r:id="rId9"/>
    <sheet name="BESS 12" sheetId="3" r:id="rId10"/>
    <sheet name="BESS 10B" sheetId="4" r:id="rId11"/>
    <sheet name="11 Working" sheetId="19" state="hidden" r:id="rId12"/>
    <sheet name="11 - Daily requirement (3)" sheetId="15" r:id="rId13"/>
    <sheet name="12 - Daily requirement work (2)" sheetId="16" r:id="rId14"/>
    <sheet name="10B - Daily requirement (3)" sheetId="17" r:id="rId15"/>
    <sheet name="10B - Daily requirement" sheetId="8" state="hidden" r:id="rId16"/>
  </sheets>
  <externalReferences>
    <externalReference r:id="rId17"/>
    <externalReference r:id="rId18"/>
    <externalReference r:id="rId19"/>
    <externalReference r:id="rId20"/>
  </externalReferences>
  <definedNames>
    <definedName name="_xlnm._FilterDatabase" localSheetId="11" hidden="1">'11 Working'!$B$4:$AA$418</definedName>
    <definedName name="_xlnm._FilterDatabase" localSheetId="10" hidden="1">'BESS 10B'!$A$4:$AD$236</definedName>
    <definedName name="_xlnm._FilterDatabase" localSheetId="8" hidden="1">'BESS 11'!$B$4:$AA$418</definedName>
    <definedName name="_xlnm._FilterDatabase" localSheetId="9" hidden="1">'BESS 12'!$A$4:$W$372</definedName>
    <definedName name="_xlnm.Print_Area" localSheetId="15">'10B - Daily requirement'!$A$1:$K$39</definedName>
    <definedName name="_xlnm.Print_Area" localSheetId="14">'10B - Daily requirement (3)'!$A$1:$L$39</definedName>
    <definedName name="_xlnm.Print_Area" localSheetId="7">'11 - Daily requirement'!$A$1:$K$71</definedName>
    <definedName name="_xlnm.Print_Area" localSheetId="4">'11 - Daily requirement (2)'!$A$1:$EL$71</definedName>
    <definedName name="_xlnm.Print_Area" localSheetId="12">'11 - Daily requirement (3)'!$A$1:$L$71</definedName>
    <definedName name="_xlnm.Print_Area" localSheetId="11">'11 Working'!$A$1:$T$418</definedName>
    <definedName name="_xlnm.Print_Area" localSheetId="5">'12 - Daily requirement'!$A$1:$K$62</definedName>
    <definedName name="_xlnm.Print_Area" localSheetId="13">'12 - Daily requirement work (2)'!$A$1:$L$63</definedName>
    <definedName name="_xlnm.Print_Area" localSheetId="6">'12 - Daily requirement working'!$A$1:$K$63</definedName>
    <definedName name="_xlnm.Print_Area" localSheetId="10">'BESS 10B'!$B$1:$T$229</definedName>
    <definedName name="_xlnm.Print_Area" localSheetId="8">'BESS 11'!$A$1:$T$411</definedName>
    <definedName name="_xlnm.Print_Area" localSheetId="9">'BESS 12'!$B$1:$U$365</definedName>
    <definedName name="_xlnm.Print_Titles" localSheetId="11">'11 Working'!$1:$4</definedName>
    <definedName name="_xlnm.Print_Titles" localSheetId="10">'BESS 10B'!$1:$4</definedName>
    <definedName name="_xlnm.Print_Titles" localSheetId="8">'BESS 11'!$1:$4</definedName>
    <definedName name="_xlnm.Print_Titles" localSheetId="9">'BESS 12'!$1:$4</definedName>
  </definedNames>
  <calcPr calcId="191028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39" i="17" l="1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AO39" i="17"/>
  <c r="AP39" i="17"/>
  <c r="AQ39" i="17"/>
  <c r="AR39" i="17"/>
  <c r="AS39" i="17"/>
  <c r="AT39" i="17"/>
  <c r="AU39" i="17"/>
  <c r="AV39" i="17"/>
  <c r="AW39" i="17"/>
  <c r="AX39" i="17"/>
  <c r="AY39" i="17"/>
  <c r="AZ39" i="17"/>
  <c r="BA39" i="17"/>
  <c r="BB39" i="17"/>
  <c r="BC39" i="17"/>
  <c r="BD39" i="17"/>
  <c r="BE39" i="17"/>
  <c r="BF39" i="17"/>
  <c r="BG39" i="17"/>
  <c r="BH39" i="17"/>
  <c r="BI39" i="17"/>
  <c r="BJ39" i="17"/>
  <c r="BK39" i="17"/>
  <c r="BL39" i="17"/>
  <c r="BM39" i="17"/>
  <c r="BN39" i="17"/>
  <c r="BO39" i="17"/>
  <c r="BP39" i="17"/>
  <c r="BQ39" i="17"/>
  <c r="BR39" i="17"/>
  <c r="BS39" i="17"/>
  <c r="BT39" i="17"/>
  <c r="BU39" i="17"/>
  <c r="BV39" i="17"/>
  <c r="BW39" i="17"/>
  <c r="BX39" i="17"/>
  <c r="BY39" i="17"/>
  <c r="BZ39" i="17"/>
  <c r="CA39" i="17"/>
  <c r="CB39" i="17"/>
  <c r="CC39" i="17"/>
  <c r="CD39" i="17"/>
  <c r="CE39" i="17"/>
  <c r="CF39" i="17"/>
  <c r="CG39" i="17"/>
  <c r="CH39" i="17"/>
  <c r="CI39" i="17"/>
  <c r="CJ39" i="17"/>
  <c r="CK39" i="17"/>
  <c r="CL39" i="17"/>
  <c r="CM39" i="17"/>
  <c r="CN39" i="17"/>
  <c r="CO39" i="17"/>
  <c r="CP39" i="17"/>
  <c r="CQ39" i="17"/>
  <c r="CR39" i="17"/>
  <c r="CS39" i="17"/>
  <c r="CT39" i="17"/>
  <c r="CU39" i="17"/>
  <c r="CV39" i="17"/>
  <c r="CW39" i="17"/>
  <c r="CX39" i="17"/>
  <c r="CY39" i="17"/>
  <c r="CZ39" i="17"/>
  <c r="DA39" i="17"/>
  <c r="DB39" i="17"/>
  <c r="DC39" i="17"/>
  <c r="DD39" i="17"/>
  <c r="DE39" i="17"/>
  <c r="DF39" i="17"/>
  <c r="DG39" i="17"/>
  <c r="DH39" i="17"/>
  <c r="DI39" i="17"/>
  <c r="DJ39" i="17"/>
  <c r="DK39" i="17"/>
  <c r="DL39" i="17"/>
  <c r="DM39" i="17"/>
  <c r="DN39" i="17"/>
  <c r="DO39" i="17"/>
  <c r="DP39" i="17"/>
  <c r="DQ39" i="17"/>
  <c r="DR39" i="17"/>
  <c r="DS39" i="17"/>
  <c r="DT39" i="17"/>
  <c r="DU39" i="17"/>
  <c r="DV39" i="17"/>
  <c r="DW39" i="17"/>
  <c r="DX39" i="17"/>
  <c r="DY39" i="17"/>
  <c r="DZ39" i="17"/>
  <c r="EA39" i="17"/>
  <c r="EB39" i="17"/>
  <c r="EC39" i="17"/>
  <c r="ED39" i="17"/>
  <c r="EE39" i="17"/>
  <c r="EF39" i="17"/>
  <c r="EG39" i="17"/>
  <c r="EH39" i="17"/>
  <c r="EI39" i="17"/>
  <c r="EJ39" i="17"/>
  <c r="EK39" i="17"/>
  <c r="EL39" i="17"/>
  <c r="EM39" i="17"/>
  <c r="EN39" i="17"/>
  <c r="EO39" i="17"/>
  <c r="EP39" i="17"/>
  <c r="EQ39" i="17"/>
  <c r="ER39" i="17"/>
  <c r="ES39" i="17"/>
  <c r="ET39" i="17"/>
  <c r="EU39" i="17"/>
  <c r="EV39" i="17"/>
  <c r="EW39" i="17"/>
  <c r="EX39" i="17"/>
  <c r="EY39" i="17"/>
  <c r="EZ39" i="17"/>
  <c r="FA39" i="17"/>
  <c r="FB39" i="17"/>
  <c r="FC39" i="17"/>
  <c r="FD39" i="17"/>
  <c r="N31" i="17"/>
  <c r="O31" i="17"/>
  <c r="P31" i="17"/>
  <c r="Q31" i="17"/>
  <c r="R31" i="17"/>
  <c r="S31" i="17"/>
  <c r="T31" i="17"/>
  <c r="U31" i="17"/>
  <c r="V31" i="17"/>
  <c r="W31" i="17"/>
  <c r="X31" i="17"/>
  <c r="Y31" i="17"/>
  <c r="Z31" i="17"/>
  <c r="AA31" i="17"/>
  <c r="AB31" i="17"/>
  <c r="AC31" i="17"/>
  <c r="AD31" i="17"/>
  <c r="AE31" i="17"/>
  <c r="AF31" i="17"/>
  <c r="AG31" i="17"/>
  <c r="AH31" i="17"/>
  <c r="AI31" i="17"/>
  <c r="AJ31" i="17"/>
  <c r="AK31" i="17"/>
  <c r="AL31" i="17"/>
  <c r="AM31" i="17"/>
  <c r="AN31" i="17"/>
  <c r="AO31" i="17"/>
  <c r="AP31" i="17"/>
  <c r="AQ31" i="17"/>
  <c r="AR31" i="17"/>
  <c r="AS31" i="17"/>
  <c r="AT31" i="17"/>
  <c r="AU31" i="17"/>
  <c r="AV31" i="17"/>
  <c r="AW31" i="17"/>
  <c r="AX31" i="17"/>
  <c r="AY31" i="17"/>
  <c r="AZ31" i="17"/>
  <c r="BA31" i="17"/>
  <c r="BB31" i="17"/>
  <c r="BC31" i="17"/>
  <c r="BD31" i="17"/>
  <c r="BE31" i="17"/>
  <c r="BF31" i="17"/>
  <c r="BG31" i="17"/>
  <c r="BH31" i="17"/>
  <c r="BI31" i="17"/>
  <c r="BJ31" i="17"/>
  <c r="BK31" i="17"/>
  <c r="BL31" i="17"/>
  <c r="BM31" i="17"/>
  <c r="BN31" i="17"/>
  <c r="BO31" i="17"/>
  <c r="BP31" i="17"/>
  <c r="BQ31" i="17"/>
  <c r="BR31" i="17"/>
  <c r="BS31" i="17"/>
  <c r="BT31" i="17"/>
  <c r="BU31" i="17"/>
  <c r="BV31" i="17"/>
  <c r="BW31" i="17"/>
  <c r="BX31" i="17"/>
  <c r="BY31" i="17"/>
  <c r="BZ31" i="17"/>
  <c r="CA31" i="17"/>
  <c r="CB31" i="17"/>
  <c r="CC31" i="17"/>
  <c r="CD31" i="17"/>
  <c r="CE31" i="17"/>
  <c r="CF31" i="17"/>
  <c r="CG31" i="17"/>
  <c r="CH31" i="17"/>
  <c r="CI31" i="17"/>
  <c r="CJ31" i="17"/>
  <c r="CK31" i="17"/>
  <c r="CL31" i="17"/>
  <c r="CM31" i="17"/>
  <c r="CN31" i="17"/>
  <c r="CO31" i="17"/>
  <c r="CP31" i="17"/>
  <c r="CQ31" i="17"/>
  <c r="CR31" i="17"/>
  <c r="CS31" i="17"/>
  <c r="CT31" i="17"/>
  <c r="CU31" i="17"/>
  <c r="CV31" i="17"/>
  <c r="CW31" i="17"/>
  <c r="CX31" i="17"/>
  <c r="CY31" i="17"/>
  <c r="CZ31" i="17"/>
  <c r="DA31" i="17"/>
  <c r="DB31" i="17"/>
  <c r="DC31" i="17"/>
  <c r="DD31" i="17"/>
  <c r="DE31" i="17"/>
  <c r="DF31" i="17"/>
  <c r="DG31" i="17"/>
  <c r="DH31" i="17"/>
  <c r="DI31" i="17"/>
  <c r="DJ31" i="17"/>
  <c r="DK31" i="17"/>
  <c r="DL31" i="17"/>
  <c r="DM31" i="17"/>
  <c r="DN31" i="17"/>
  <c r="DO31" i="17"/>
  <c r="DP31" i="17"/>
  <c r="DQ31" i="17"/>
  <c r="DR31" i="17"/>
  <c r="DS31" i="17"/>
  <c r="DT31" i="17"/>
  <c r="DU31" i="17"/>
  <c r="DV31" i="17"/>
  <c r="DW31" i="17"/>
  <c r="DX31" i="17"/>
  <c r="DY31" i="17"/>
  <c r="DZ31" i="17"/>
  <c r="EA31" i="17"/>
  <c r="EB31" i="17"/>
  <c r="EC31" i="17"/>
  <c r="ED31" i="17"/>
  <c r="EE31" i="17"/>
  <c r="EF31" i="17"/>
  <c r="EG31" i="17"/>
  <c r="DC23" i="17"/>
  <c r="CY3" i="17"/>
  <c r="CZ3" i="17"/>
  <c r="DA3" i="17"/>
  <c r="DB3" i="17"/>
  <c r="DC3" i="17"/>
  <c r="DD3" i="17"/>
  <c r="DE3" i="17"/>
  <c r="DF3" i="17"/>
  <c r="DG3" i="17"/>
  <c r="DH3" i="17"/>
  <c r="DI3" i="17"/>
  <c r="DJ3" i="17"/>
  <c r="DK3" i="17"/>
  <c r="DL3" i="17"/>
  <c r="DM3" i="17"/>
  <c r="DN3" i="17"/>
  <c r="DO3" i="17"/>
  <c r="DP3" i="17"/>
  <c r="DQ3" i="17"/>
  <c r="DR3" i="17"/>
  <c r="DS3" i="17"/>
  <c r="DT3" i="17"/>
  <c r="DU3" i="17"/>
  <c r="DV3" i="17"/>
  <c r="DW3" i="17"/>
  <c r="DX3" i="17"/>
  <c r="DY3" i="17"/>
  <c r="DZ3" i="17"/>
  <c r="EA3" i="17"/>
  <c r="EB3" i="17"/>
  <c r="EC3" i="17"/>
  <c r="ED3" i="17"/>
  <c r="EE3" i="17"/>
  <c r="EF3" i="17"/>
  <c r="EG3" i="17"/>
  <c r="EH3" i="17"/>
  <c r="EI3" i="17"/>
  <c r="EJ3" i="17"/>
  <c r="EK3" i="17"/>
  <c r="EL3" i="17"/>
  <c r="EM3" i="17"/>
  <c r="EN3" i="17"/>
  <c r="EO3" i="17"/>
  <c r="EP3" i="17"/>
  <c r="EQ3" i="17"/>
  <c r="ER3" i="17"/>
  <c r="ES3" i="17"/>
  <c r="ET3" i="17"/>
  <c r="EU3" i="17"/>
  <c r="EV3" i="17"/>
  <c r="EW3" i="17"/>
  <c r="EX3" i="17"/>
  <c r="EY3" i="17"/>
  <c r="EZ3" i="17"/>
  <c r="FA3" i="17"/>
  <c r="FB3" i="17"/>
  <c r="FC3" i="17"/>
  <c r="FD3" i="17"/>
  <c r="FE3" i="17"/>
  <c r="FF3" i="17"/>
  <c r="FG3" i="17"/>
  <c r="FH3" i="17"/>
  <c r="FI3" i="17"/>
  <c r="FJ3" i="17"/>
  <c r="FK3" i="17"/>
  <c r="FL3" i="17"/>
  <c r="FM3" i="17"/>
  <c r="FN3" i="17"/>
  <c r="FO3" i="17"/>
  <c r="FP3" i="17"/>
  <c r="FQ3" i="17"/>
  <c r="FR3" i="17"/>
  <c r="CY7" i="17"/>
  <c r="CZ7" i="17"/>
  <c r="DA7" i="17"/>
  <c r="DB7" i="17"/>
  <c r="DC7" i="17"/>
  <c r="DD7" i="17"/>
  <c r="DE7" i="17"/>
  <c r="DF7" i="17"/>
  <c r="DG7" i="17"/>
  <c r="DH7" i="17"/>
  <c r="DI7" i="17"/>
  <c r="DJ7" i="17"/>
  <c r="DK7" i="17"/>
  <c r="DL7" i="17"/>
  <c r="DM7" i="17"/>
  <c r="DN7" i="17"/>
  <c r="DO7" i="17"/>
  <c r="DP7" i="17"/>
  <c r="DQ7" i="17"/>
  <c r="DR7" i="17"/>
  <c r="DS7" i="17"/>
  <c r="DT7" i="17"/>
  <c r="DU7" i="17"/>
  <c r="DV7" i="17"/>
  <c r="DW7" i="17"/>
  <c r="DX7" i="17"/>
  <c r="DY7" i="17"/>
  <c r="DZ7" i="17"/>
  <c r="EA7" i="17"/>
  <c r="EB7" i="17"/>
  <c r="EC7" i="17"/>
  <c r="ED7" i="17"/>
  <c r="EE7" i="17"/>
  <c r="EF7" i="17"/>
  <c r="EG7" i="17"/>
  <c r="EH7" i="17"/>
  <c r="EI7" i="17"/>
  <c r="EJ7" i="17"/>
  <c r="EK7" i="17"/>
  <c r="EL7" i="17"/>
  <c r="EM7" i="17"/>
  <c r="EN7" i="17"/>
  <c r="EO7" i="17"/>
  <c r="EP7" i="17"/>
  <c r="EQ7" i="17"/>
  <c r="ER7" i="17"/>
  <c r="ES7" i="17"/>
  <c r="ET7" i="17"/>
  <c r="EU7" i="17"/>
  <c r="EV7" i="17"/>
  <c r="EW7" i="17"/>
  <c r="EX7" i="17"/>
  <c r="EY7" i="17"/>
  <c r="EZ7" i="17"/>
  <c r="FA7" i="17"/>
  <c r="FB7" i="17"/>
  <c r="FC7" i="17"/>
  <c r="FD7" i="17"/>
  <c r="FE7" i="17"/>
  <c r="FF7" i="17"/>
  <c r="FG7" i="17"/>
  <c r="FH7" i="17"/>
  <c r="FI7" i="17"/>
  <c r="FJ7" i="17"/>
  <c r="FK7" i="17"/>
  <c r="FL7" i="17"/>
  <c r="FM7" i="17"/>
  <c r="FN7" i="17"/>
  <c r="FO7" i="17"/>
  <c r="FP7" i="17"/>
  <c r="FQ7" i="17"/>
  <c r="FR7" i="17"/>
  <c r="CY10" i="17"/>
  <c r="CZ10" i="17" s="1"/>
  <c r="DA10" i="17"/>
  <c r="DB10" i="17" s="1"/>
  <c r="DC10" i="17" s="1"/>
  <c r="DD10" i="17" s="1"/>
  <c r="DE10" i="17" s="1"/>
  <c r="DF10" i="17" s="1"/>
  <c r="DG10" i="17" s="1"/>
  <c r="DH10" i="17" s="1"/>
  <c r="DI10" i="17" s="1"/>
  <c r="DJ10" i="17" s="1"/>
  <c r="DK10" i="17" s="1"/>
  <c r="DL10" i="17" s="1"/>
  <c r="DM10" i="17" s="1"/>
  <c r="DN10" i="17" s="1"/>
  <c r="DO10" i="17" s="1"/>
  <c r="DP10" i="17" s="1"/>
  <c r="DQ10" i="17" s="1"/>
  <c r="DR10" i="17" s="1"/>
  <c r="DS10" i="17" s="1"/>
  <c r="DT10" i="17" s="1"/>
  <c r="DU10" i="17" s="1"/>
  <c r="DV10" i="17" s="1"/>
  <c r="DW10" i="17" s="1"/>
  <c r="DX10" i="17" s="1"/>
  <c r="DY10" i="17" s="1"/>
  <c r="DZ10" i="17" s="1"/>
  <c r="EA10" i="17" s="1"/>
  <c r="EB10" i="17" s="1"/>
  <c r="EC10" i="17" s="1"/>
  <c r="ED10" i="17" s="1"/>
  <c r="EE10" i="17" s="1"/>
  <c r="EF10" i="17" s="1"/>
  <c r="EG10" i="17" s="1"/>
  <c r="EH10" i="17" s="1"/>
  <c r="EI10" i="17" s="1"/>
  <c r="EJ10" i="17" s="1"/>
  <c r="EK10" i="17" s="1"/>
  <c r="EL10" i="17" s="1"/>
  <c r="EM10" i="17" s="1"/>
  <c r="EN10" i="17" s="1"/>
  <c r="EO10" i="17" s="1"/>
  <c r="EP10" i="17" s="1"/>
  <c r="EQ10" i="17" s="1"/>
  <c r="ER10" i="17" s="1"/>
  <c r="ES10" i="17" s="1"/>
  <c r="ET10" i="17" s="1"/>
  <c r="EU10" i="17" s="1"/>
  <c r="EV10" i="17" s="1"/>
  <c r="EW10" i="17" s="1"/>
  <c r="EX10" i="17" s="1"/>
  <c r="EY10" i="17" s="1"/>
  <c r="EZ10" i="17" s="1"/>
  <c r="FA10" i="17" s="1"/>
  <c r="FB10" i="17" s="1"/>
  <c r="FC10" i="17" s="1"/>
  <c r="FD10" i="17" s="1"/>
  <c r="FE10" i="17" s="1"/>
  <c r="FF10" i="17" s="1"/>
  <c r="FG10" i="17" s="1"/>
  <c r="FH10" i="17" s="1"/>
  <c r="FI10" i="17" s="1"/>
  <c r="FJ10" i="17" s="1"/>
  <c r="FK10" i="17" s="1"/>
  <c r="FL10" i="17" s="1"/>
  <c r="FM10" i="17" s="1"/>
  <c r="FN10" i="17" s="1"/>
  <c r="FO10" i="17" s="1"/>
  <c r="FP10" i="17" s="1"/>
  <c r="FQ10" i="17" s="1"/>
  <c r="FR10" i="17" s="1"/>
  <c r="CY15" i="17"/>
  <c r="CZ15" i="17"/>
  <c r="DA15" i="17"/>
  <c r="DB15" i="17"/>
  <c r="DC15" i="17"/>
  <c r="DD15" i="17"/>
  <c r="DE15" i="17"/>
  <c r="DF15" i="17"/>
  <c r="DG15" i="17"/>
  <c r="DH15" i="17"/>
  <c r="DI15" i="17"/>
  <c r="DJ15" i="17"/>
  <c r="DK15" i="17"/>
  <c r="DL15" i="17"/>
  <c r="DM15" i="17"/>
  <c r="DN15" i="17"/>
  <c r="DO15" i="17"/>
  <c r="DP15" i="17"/>
  <c r="DQ15" i="17"/>
  <c r="DR15" i="17"/>
  <c r="DS15" i="17"/>
  <c r="DT15" i="17"/>
  <c r="DU15" i="17"/>
  <c r="DV15" i="17"/>
  <c r="DW15" i="17"/>
  <c r="DX15" i="17"/>
  <c r="DY15" i="17"/>
  <c r="DZ15" i="17"/>
  <c r="EA15" i="17"/>
  <c r="EB15" i="17"/>
  <c r="EC15" i="17"/>
  <c r="ED15" i="17"/>
  <c r="EE15" i="17"/>
  <c r="EF15" i="17"/>
  <c r="EG15" i="17"/>
  <c r="EH15" i="17"/>
  <c r="EI15" i="17"/>
  <c r="EJ15" i="17"/>
  <c r="EK15" i="17"/>
  <c r="EL15" i="17"/>
  <c r="EM15" i="17"/>
  <c r="EN15" i="17"/>
  <c r="EO15" i="17"/>
  <c r="EP15" i="17"/>
  <c r="EQ15" i="17"/>
  <c r="ER15" i="17"/>
  <c r="ES15" i="17"/>
  <c r="ET15" i="17"/>
  <c r="EU15" i="17"/>
  <c r="EV15" i="17"/>
  <c r="EW15" i="17"/>
  <c r="EX15" i="17"/>
  <c r="EY15" i="17"/>
  <c r="EZ15" i="17"/>
  <c r="FA15" i="17"/>
  <c r="FB15" i="17"/>
  <c r="FC15" i="17"/>
  <c r="FD15" i="17"/>
  <c r="FE15" i="17"/>
  <c r="FF15" i="17"/>
  <c r="FG15" i="17"/>
  <c r="FH15" i="17"/>
  <c r="FI15" i="17"/>
  <c r="FJ15" i="17"/>
  <c r="FK15" i="17"/>
  <c r="FL15" i="17"/>
  <c r="FM15" i="17"/>
  <c r="FN15" i="17"/>
  <c r="FO15" i="17"/>
  <c r="FP15" i="17"/>
  <c r="FQ15" i="17"/>
  <c r="FR15" i="17"/>
  <c r="CY18" i="17"/>
  <c r="CZ18" i="17"/>
  <c r="DA18" i="17" s="1"/>
  <c r="DB18" i="17" s="1"/>
  <c r="DC18" i="17" s="1"/>
  <c r="DD18" i="17" s="1"/>
  <c r="DE18" i="17" s="1"/>
  <c r="DF18" i="17" s="1"/>
  <c r="DG18" i="17" s="1"/>
  <c r="DH18" i="17" s="1"/>
  <c r="DI18" i="17" s="1"/>
  <c r="DJ18" i="17" s="1"/>
  <c r="DK18" i="17" s="1"/>
  <c r="DL18" i="17" s="1"/>
  <c r="DM18" i="17" s="1"/>
  <c r="DN18" i="17" s="1"/>
  <c r="DO18" i="17" s="1"/>
  <c r="DP18" i="17" s="1"/>
  <c r="DQ18" i="17" s="1"/>
  <c r="DR18" i="17" s="1"/>
  <c r="DS18" i="17" s="1"/>
  <c r="DT18" i="17" s="1"/>
  <c r="DU18" i="17" s="1"/>
  <c r="DV18" i="17" s="1"/>
  <c r="DW18" i="17" s="1"/>
  <c r="DX18" i="17" s="1"/>
  <c r="DY18" i="17" s="1"/>
  <c r="DZ18" i="17" s="1"/>
  <c r="EA18" i="17" s="1"/>
  <c r="EB18" i="17" s="1"/>
  <c r="EC18" i="17" s="1"/>
  <c r="ED18" i="17" s="1"/>
  <c r="EE18" i="17" s="1"/>
  <c r="EF18" i="17" s="1"/>
  <c r="EG18" i="17" s="1"/>
  <c r="EH18" i="17" s="1"/>
  <c r="EI18" i="17" s="1"/>
  <c r="EJ18" i="17" s="1"/>
  <c r="EK18" i="17" s="1"/>
  <c r="EL18" i="17" s="1"/>
  <c r="EM18" i="17" s="1"/>
  <c r="EN18" i="17" s="1"/>
  <c r="EO18" i="17" s="1"/>
  <c r="EP18" i="17" s="1"/>
  <c r="EQ18" i="17" s="1"/>
  <c r="ER18" i="17" s="1"/>
  <c r="ES18" i="17" s="1"/>
  <c r="ET18" i="17" s="1"/>
  <c r="EU18" i="17" s="1"/>
  <c r="EV18" i="17" s="1"/>
  <c r="EW18" i="17" s="1"/>
  <c r="EX18" i="17" s="1"/>
  <c r="EY18" i="17" s="1"/>
  <c r="EZ18" i="17" s="1"/>
  <c r="FA18" i="17" s="1"/>
  <c r="FB18" i="17" s="1"/>
  <c r="FC18" i="17" s="1"/>
  <c r="FD18" i="17" s="1"/>
  <c r="FE18" i="17" s="1"/>
  <c r="FF18" i="17" s="1"/>
  <c r="FG18" i="17" s="1"/>
  <c r="FH18" i="17" s="1"/>
  <c r="FI18" i="17" s="1"/>
  <c r="FJ18" i="17" s="1"/>
  <c r="FK18" i="17" s="1"/>
  <c r="FL18" i="17" s="1"/>
  <c r="FM18" i="17" s="1"/>
  <c r="FN18" i="17" s="1"/>
  <c r="FO18" i="17" s="1"/>
  <c r="FP18" i="17" s="1"/>
  <c r="FQ18" i="17" s="1"/>
  <c r="FR18" i="17" s="1"/>
  <c r="CY22" i="17"/>
  <c r="CZ22" i="17"/>
  <c r="DA22" i="17"/>
  <c r="DB22" i="17"/>
  <c r="DC22" i="17"/>
  <c r="DD22" i="17"/>
  <c r="DE22" i="17"/>
  <c r="DF22" i="17"/>
  <c r="DG22" i="17"/>
  <c r="DH22" i="17"/>
  <c r="DI22" i="17"/>
  <c r="DJ22" i="17"/>
  <c r="DK22" i="17"/>
  <c r="DL22" i="17"/>
  <c r="DM22" i="17"/>
  <c r="DN22" i="17"/>
  <c r="DO22" i="17"/>
  <c r="DP22" i="17"/>
  <c r="DQ22" i="17"/>
  <c r="DR22" i="17"/>
  <c r="DS22" i="17"/>
  <c r="DT22" i="17"/>
  <c r="DU22" i="17"/>
  <c r="DV22" i="17"/>
  <c r="DW22" i="17"/>
  <c r="DX22" i="17"/>
  <c r="DY22" i="17"/>
  <c r="DZ22" i="17"/>
  <c r="EA22" i="17"/>
  <c r="EB22" i="17"/>
  <c r="EC22" i="17"/>
  <c r="ED22" i="17"/>
  <c r="EE22" i="17"/>
  <c r="EF22" i="17"/>
  <c r="EG22" i="17"/>
  <c r="EH22" i="17"/>
  <c r="EI22" i="17"/>
  <c r="EJ22" i="17"/>
  <c r="EK22" i="17"/>
  <c r="EL22" i="17"/>
  <c r="EM22" i="17"/>
  <c r="EN22" i="17"/>
  <c r="EO22" i="17"/>
  <c r="EP22" i="17"/>
  <c r="EQ22" i="17"/>
  <c r="ER22" i="17"/>
  <c r="ES22" i="17"/>
  <c r="ET22" i="17"/>
  <c r="EU22" i="17"/>
  <c r="EV22" i="17"/>
  <c r="EW22" i="17"/>
  <c r="EX22" i="17"/>
  <c r="EY22" i="17"/>
  <c r="EZ22" i="17"/>
  <c r="FA22" i="17"/>
  <c r="FB22" i="17"/>
  <c r="FC22" i="17"/>
  <c r="FD22" i="17"/>
  <c r="FE22" i="17"/>
  <c r="FF22" i="17"/>
  <c r="FG22" i="17"/>
  <c r="FH22" i="17"/>
  <c r="FI22" i="17"/>
  <c r="FJ22" i="17"/>
  <c r="FK22" i="17"/>
  <c r="FL22" i="17"/>
  <c r="FM22" i="17"/>
  <c r="FN22" i="17"/>
  <c r="FO22" i="17"/>
  <c r="FP22" i="17"/>
  <c r="FQ22" i="17"/>
  <c r="FR22" i="17"/>
  <c r="CY23" i="17"/>
  <c r="CZ23" i="17"/>
  <c r="DA23" i="17"/>
  <c r="DB23" i="17"/>
  <c r="DD23" i="17"/>
  <c r="DE23" i="17"/>
  <c r="DF23" i="17"/>
  <c r="DG23" i="17"/>
  <c r="DH23" i="17"/>
  <c r="DI23" i="17"/>
  <c r="DJ23" i="17"/>
  <c r="DK23" i="17"/>
  <c r="DL23" i="17"/>
  <c r="DM23" i="17"/>
  <c r="DN23" i="17"/>
  <c r="DO23" i="17"/>
  <c r="DP23" i="17"/>
  <c r="DQ23" i="17"/>
  <c r="DR23" i="17"/>
  <c r="DS23" i="17"/>
  <c r="DT23" i="17"/>
  <c r="DU23" i="17"/>
  <c r="DV23" i="17"/>
  <c r="DW23" i="17"/>
  <c r="DX23" i="17"/>
  <c r="DY23" i="17"/>
  <c r="DZ23" i="17"/>
  <c r="EA23" i="17"/>
  <c r="EB23" i="17"/>
  <c r="EC23" i="17"/>
  <c r="ED23" i="17"/>
  <c r="EE23" i="17"/>
  <c r="EF23" i="17"/>
  <c r="EG23" i="17"/>
  <c r="EH23" i="17"/>
  <c r="EI23" i="17"/>
  <c r="EJ23" i="17"/>
  <c r="EK23" i="17"/>
  <c r="EL23" i="17"/>
  <c r="EM23" i="17"/>
  <c r="EN23" i="17"/>
  <c r="EO23" i="17"/>
  <c r="EP23" i="17"/>
  <c r="EQ23" i="17"/>
  <c r="ER23" i="17"/>
  <c r="ES23" i="17"/>
  <c r="ET23" i="17"/>
  <c r="EU23" i="17"/>
  <c r="EV23" i="17"/>
  <c r="EW23" i="17"/>
  <c r="EX23" i="17"/>
  <c r="EY23" i="17"/>
  <c r="EZ23" i="17"/>
  <c r="FA23" i="17"/>
  <c r="FB23" i="17"/>
  <c r="FC23" i="17"/>
  <c r="FD23" i="17"/>
  <c r="FE23" i="17"/>
  <c r="FF23" i="17"/>
  <c r="FG23" i="17"/>
  <c r="FH23" i="17"/>
  <c r="FI23" i="17"/>
  <c r="FJ23" i="17"/>
  <c r="FK23" i="17"/>
  <c r="FL23" i="17"/>
  <c r="FM23" i="17"/>
  <c r="FN23" i="17"/>
  <c r="FO23" i="17"/>
  <c r="FP23" i="17"/>
  <c r="FQ23" i="17"/>
  <c r="FR23" i="17"/>
  <c r="CY26" i="17"/>
  <c r="CZ26" i="17" s="1"/>
  <c r="DA26" i="17" s="1"/>
  <c r="DB26" i="17" s="1"/>
  <c r="DC26" i="17" s="1"/>
  <c r="DD26" i="17" s="1"/>
  <c r="DE26" i="17" s="1"/>
  <c r="DF26" i="17" s="1"/>
  <c r="DG26" i="17" s="1"/>
  <c r="DH26" i="17" s="1"/>
  <c r="DI26" i="17" s="1"/>
  <c r="DJ26" i="17" s="1"/>
  <c r="DK26" i="17" s="1"/>
  <c r="DL26" i="17" s="1"/>
  <c r="DM26" i="17" s="1"/>
  <c r="DN26" i="17" s="1"/>
  <c r="DO26" i="17" s="1"/>
  <c r="DP26" i="17" s="1"/>
  <c r="DQ26" i="17" s="1"/>
  <c r="DR26" i="17" s="1"/>
  <c r="DS26" i="17" s="1"/>
  <c r="DT26" i="17" s="1"/>
  <c r="DU26" i="17" s="1"/>
  <c r="DV26" i="17" s="1"/>
  <c r="DW26" i="17" s="1"/>
  <c r="DX26" i="17" s="1"/>
  <c r="DY26" i="17" s="1"/>
  <c r="DZ26" i="17" s="1"/>
  <c r="EA26" i="17" s="1"/>
  <c r="EB26" i="17" s="1"/>
  <c r="EC26" i="17" s="1"/>
  <c r="ED26" i="17" s="1"/>
  <c r="EE26" i="17" s="1"/>
  <c r="EF26" i="17" s="1"/>
  <c r="EG26" i="17" s="1"/>
  <c r="EH26" i="17" s="1"/>
  <c r="EI26" i="17" s="1"/>
  <c r="EJ26" i="17" s="1"/>
  <c r="EK26" i="17" s="1"/>
  <c r="EL26" i="17" s="1"/>
  <c r="EM26" i="17" s="1"/>
  <c r="EN26" i="17" s="1"/>
  <c r="EO26" i="17" s="1"/>
  <c r="EP26" i="17" s="1"/>
  <c r="EQ26" i="17" s="1"/>
  <c r="ER26" i="17" s="1"/>
  <c r="ES26" i="17" s="1"/>
  <c r="ET26" i="17" s="1"/>
  <c r="EU26" i="17" s="1"/>
  <c r="EV26" i="17" s="1"/>
  <c r="EW26" i="17" s="1"/>
  <c r="EX26" i="17" s="1"/>
  <c r="EY26" i="17" s="1"/>
  <c r="EZ26" i="17" s="1"/>
  <c r="FA26" i="17" s="1"/>
  <c r="FB26" i="17" s="1"/>
  <c r="FC26" i="17" s="1"/>
  <c r="FD26" i="17" s="1"/>
  <c r="FE26" i="17" s="1"/>
  <c r="FF26" i="17" s="1"/>
  <c r="FG26" i="17" s="1"/>
  <c r="FH26" i="17" s="1"/>
  <c r="FI26" i="17" s="1"/>
  <c r="FJ26" i="17" s="1"/>
  <c r="FK26" i="17" s="1"/>
  <c r="FL26" i="17" s="1"/>
  <c r="FM26" i="17" s="1"/>
  <c r="FN26" i="17" s="1"/>
  <c r="FO26" i="17" s="1"/>
  <c r="FP26" i="17" s="1"/>
  <c r="FQ26" i="17" s="1"/>
  <c r="FR26" i="17" s="1"/>
  <c r="CY27" i="17"/>
  <c r="CZ27" i="17"/>
  <c r="DA27" i="17"/>
  <c r="DB27" i="17"/>
  <c r="DC27" i="17"/>
  <c r="DD27" i="17"/>
  <c r="DE27" i="17"/>
  <c r="DF27" i="17"/>
  <c r="DG27" i="17"/>
  <c r="DH27" i="17"/>
  <c r="DI27" i="17"/>
  <c r="DJ27" i="17"/>
  <c r="DK27" i="17"/>
  <c r="DL27" i="17"/>
  <c r="DM27" i="17"/>
  <c r="DN27" i="17"/>
  <c r="DO27" i="17"/>
  <c r="DP27" i="17"/>
  <c r="DQ27" i="17"/>
  <c r="DR27" i="17"/>
  <c r="DS27" i="17"/>
  <c r="DT27" i="17"/>
  <c r="DU27" i="17"/>
  <c r="DV27" i="17"/>
  <c r="DW27" i="17"/>
  <c r="DX27" i="17"/>
  <c r="DY27" i="17"/>
  <c r="DZ27" i="17"/>
  <c r="EA27" i="17"/>
  <c r="EB27" i="17"/>
  <c r="EC27" i="17"/>
  <c r="ED27" i="17"/>
  <c r="EE27" i="17"/>
  <c r="EF27" i="17"/>
  <c r="EG27" i="17"/>
  <c r="EH27" i="17"/>
  <c r="EI27" i="17"/>
  <c r="EJ27" i="17"/>
  <c r="EK27" i="17"/>
  <c r="EL27" i="17"/>
  <c r="EM27" i="17"/>
  <c r="EN27" i="17"/>
  <c r="EO27" i="17"/>
  <c r="EP27" i="17"/>
  <c r="EQ27" i="17"/>
  <c r="ER27" i="17"/>
  <c r="ES27" i="17"/>
  <c r="ET27" i="17"/>
  <c r="EU27" i="17"/>
  <c r="EV27" i="17"/>
  <c r="EW27" i="17"/>
  <c r="EX27" i="17"/>
  <c r="EY27" i="17"/>
  <c r="EZ27" i="17"/>
  <c r="FA27" i="17"/>
  <c r="FB27" i="17"/>
  <c r="FC27" i="17"/>
  <c r="FD27" i="17"/>
  <c r="FE27" i="17"/>
  <c r="FF27" i="17"/>
  <c r="FG27" i="17"/>
  <c r="FH27" i="17"/>
  <c r="FI27" i="17"/>
  <c r="FJ27" i="17"/>
  <c r="FK27" i="17"/>
  <c r="FL27" i="17"/>
  <c r="FM27" i="17"/>
  <c r="FN27" i="17"/>
  <c r="FO27" i="17"/>
  <c r="FP27" i="17"/>
  <c r="FQ27" i="17"/>
  <c r="FR27" i="17"/>
  <c r="CY28" i="17"/>
  <c r="CZ28" i="17"/>
  <c r="DA28" i="17"/>
  <c r="DB28" i="17"/>
  <c r="DC28" i="17"/>
  <c r="DD28" i="17"/>
  <c r="DE28" i="17"/>
  <c r="DF28" i="17"/>
  <c r="DG28" i="17"/>
  <c r="DH28" i="17"/>
  <c r="DI28" i="17"/>
  <c r="DJ28" i="17"/>
  <c r="DK28" i="17"/>
  <c r="DL28" i="17"/>
  <c r="DM28" i="17"/>
  <c r="DN28" i="17"/>
  <c r="DO28" i="17"/>
  <c r="DP28" i="17"/>
  <c r="DQ28" i="17"/>
  <c r="DR28" i="17"/>
  <c r="DS28" i="17"/>
  <c r="DT28" i="17"/>
  <c r="DU28" i="17"/>
  <c r="DV28" i="17"/>
  <c r="DW28" i="17"/>
  <c r="DX28" i="17"/>
  <c r="DY28" i="17"/>
  <c r="DZ28" i="17"/>
  <c r="EA28" i="17"/>
  <c r="EB28" i="17"/>
  <c r="EC28" i="17"/>
  <c r="ED28" i="17"/>
  <c r="EE28" i="17"/>
  <c r="EF28" i="17"/>
  <c r="EG28" i="17"/>
  <c r="EH28" i="17"/>
  <c r="EI28" i="17"/>
  <c r="EJ28" i="17"/>
  <c r="EK28" i="17"/>
  <c r="EL28" i="17"/>
  <c r="EM28" i="17"/>
  <c r="EN28" i="17"/>
  <c r="EO28" i="17"/>
  <c r="EP28" i="17"/>
  <c r="EQ28" i="17"/>
  <c r="ER28" i="17"/>
  <c r="ES28" i="17"/>
  <c r="ET28" i="17"/>
  <c r="EU28" i="17"/>
  <c r="EV28" i="17"/>
  <c r="EW28" i="17"/>
  <c r="EX28" i="17"/>
  <c r="EY28" i="17"/>
  <c r="EZ28" i="17"/>
  <c r="FA28" i="17"/>
  <c r="FB28" i="17"/>
  <c r="FC28" i="17"/>
  <c r="FD28" i="17"/>
  <c r="FE28" i="17"/>
  <c r="FF28" i="17"/>
  <c r="FG28" i="17"/>
  <c r="FH28" i="17"/>
  <c r="FI28" i="17"/>
  <c r="FJ28" i="17"/>
  <c r="FK28" i="17"/>
  <c r="FL28" i="17"/>
  <c r="FM28" i="17"/>
  <c r="FN28" i="17"/>
  <c r="FO28" i="17"/>
  <c r="FP28" i="17"/>
  <c r="FQ28" i="17"/>
  <c r="FR28" i="17"/>
  <c r="CY29" i="17"/>
  <c r="CZ29" i="17"/>
  <c r="DA29" i="17"/>
  <c r="DB29" i="17"/>
  <c r="DC29" i="17"/>
  <c r="DD29" i="17"/>
  <c r="DE29" i="17"/>
  <c r="DF29" i="17"/>
  <c r="DG29" i="17"/>
  <c r="DH29" i="17"/>
  <c r="DI29" i="17"/>
  <c r="DJ29" i="17"/>
  <c r="DK29" i="17"/>
  <c r="DL29" i="17"/>
  <c r="DM29" i="17"/>
  <c r="DN29" i="17"/>
  <c r="DO29" i="17"/>
  <c r="DP29" i="17"/>
  <c r="DQ29" i="17"/>
  <c r="DR29" i="17"/>
  <c r="DS29" i="17"/>
  <c r="DT29" i="17"/>
  <c r="DU29" i="17"/>
  <c r="DV29" i="17"/>
  <c r="DW29" i="17"/>
  <c r="DX29" i="17"/>
  <c r="DY29" i="17"/>
  <c r="DZ29" i="17"/>
  <c r="EA29" i="17"/>
  <c r="EB29" i="17"/>
  <c r="EC29" i="17"/>
  <c r="ED29" i="17"/>
  <c r="EE29" i="17"/>
  <c r="EF29" i="17"/>
  <c r="EG29" i="17"/>
  <c r="EH29" i="17"/>
  <c r="EI29" i="17"/>
  <c r="EJ29" i="17"/>
  <c r="EK29" i="17"/>
  <c r="EL29" i="17"/>
  <c r="EM29" i="17"/>
  <c r="EN29" i="17"/>
  <c r="EO29" i="17"/>
  <c r="EP29" i="17"/>
  <c r="EQ29" i="17"/>
  <c r="ER29" i="17"/>
  <c r="ES29" i="17"/>
  <c r="ET29" i="17"/>
  <c r="EU29" i="17"/>
  <c r="EV29" i="17"/>
  <c r="EW29" i="17"/>
  <c r="EX29" i="17"/>
  <c r="EY29" i="17"/>
  <c r="EZ29" i="17"/>
  <c r="FA29" i="17"/>
  <c r="FB29" i="17"/>
  <c r="FC29" i="17"/>
  <c r="FD29" i="17"/>
  <c r="FE29" i="17"/>
  <c r="FF29" i="17"/>
  <c r="FG29" i="17"/>
  <c r="FH29" i="17"/>
  <c r="FI29" i="17"/>
  <c r="FJ29" i="17"/>
  <c r="FK29" i="17"/>
  <c r="FL29" i="17"/>
  <c r="FM29" i="17"/>
  <c r="FN29" i="17"/>
  <c r="FO29" i="17"/>
  <c r="FP29" i="17"/>
  <c r="FQ29" i="17"/>
  <c r="FR29" i="17"/>
  <c r="CY30" i="17"/>
  <c r="CZ30" i="17"/>
  <c r="DA30" i="17"/>
  <c r="DB30" i="17"/>
  <c r="DC30" i="17"/>
  <c r="DD30" i="17"/>
  <c r="DE30" i="17"/>
  <c r="DF30" i="17"/>
  <c r="DG30" i="17"/>
  <c r="DH30" i="17"/>
  <c r="DI30" i="17"/>
  <c r="DJ30" i="17"/>
  <c r="DK30" i="17"/>
  <c r="DL30" i="17"/>
  <c r="DM30" i="17"/>
  <c r="DN30" i="17"/>
  <c r="DO30" i="17"/>
  <c r="DP30" i="17"/>
  <c r="DQ30" i="17"/>
  <c r="DR30" i="17"/>
  <c r="DS30" i="17"/>
  <c r="DT30" i="17"/>
  <c r="DU30" i="17"/>
  <c r="DV30" i="17"/>
  <c r="DW30" i="17"/>
  <c r="DX30" i="17"/>
  <c r="DY30" i="17"/>
  <c r="DZ30" i="17"/>
  <c r="EA30" i="17"/>
  <c r="EB30" i="17"/>
  <c r="EC30" i="17"/>
  <c r="ED30" i="17"/>
  <c r="EE30" i="17"/>
  <c r="EF30" i="17"/>
  <c r="EG30" i="17"/>
  <c r="EH30" i="17"/>
  <c r="EI30" i="17"/>
  <c r="EJ30" i="17"/>
  <c r="EK30" i="17"/>
  <c r="EL30" i="17"/>
  <c r="EM30" i="17"/>
  <c r="EN30" i="17"/>
  <c r="EO30" i="17"/>
  <c r="EP30" i="17"/>
  <c r="EQ30" i="17"/>
  <c r="ER30" i="17"/>
  <c r="ES30" i="17"/>
  <c r="ET30" i="17"/>
  <c r="EU30" i="17"/>
  <c r="EV30" i="17"/>
  <c r="EW30" i="17"/>
  <c r="EX30" i="17"/>
  <c r="EY30" i="17"/>
  <c r="EZ30" i="17"/>
  <c r="FA30" i="17"/>
  <c r="FB30" i="17"/>
  <c r="FC30" i="17"/>
  <c r="FD30" i="17"/>
  <c r="FE30" i="17"/>
  <c r="FF30" i="17"/>
  <c r="FG30" i="17"/>
  <c r="FH30" i="17"/>
  <c r="FI30" i="17"/>
  <c r="FJ30" i="17"/>
  <c r="FK30" i="17"/>
  <c r="FL30" i="17"/>
  <c r="FM30" i="17"/>
  <c r="FN30" i="17"/>
  <c r="FO30" i="17"/>
  <c r="FP30" i="17"/>
  <c r="FQ30" i="17"/>
  <c r="FR30" i="17"/>
  <c r="CY32" i="17"/>
  <c r="CZ32" i="17"/>
  <c r="DA32" i="17"/>
  <c r="DB32" i="17"/>
  <c r="DC32" i="17"/>
  <c r="DD32" i="17"/>
  <c r="DE32" i="17"/>
  <c r="DF32" i="17"/>
  <c r="DG32" i="17"/>
  <c r="DH32" i="17"/>
  <c r="DI32" i="17"/>
  <c r="DJ32" i="17"/>
  <c r="DK32" i="17"/>
  <c r="DL32" i="17"/>
  <c r="DM32" i="17"/>
  <c r="DN32" i="17"/>
  <c r="DO32" i="17"/>
  <c r="DP32" i="17"/>
  <c r="DQ32" i="17"/>
  <c r="DR32" i="17"/>
  <c r="DS32" i="17"/>
  <c r="DT32" i="17"/>
  <c r="DU32" i="17"/>
  <c r="DV32" i="17"/>
  <c r="DW32" i="17"/>
  <c r="DX32" i="17"/>
  <c r="DY32" i="17"/>
  <c r="DZ32" i="17"/>
  <c r="EA32" i="17"/>
  <c r="EB32" i="17"/>
  <c r="EC32" i="17"/>
  <c r="ED32" i="17"/>
  <c r="EE32" i="17"/>
  <c r="EF32" i="17"/>
  <c r="EG32" i="17"/>
  <c r="EH32" i="17"/>
  <c r="EI32" i="17"/>
  <c r="EJ32" i="17"/>
  <c r="EK32" i="17"/>
  <c r="EL32" i="17"/>
  <c r="EM32" i="17"/>
  <c r="EN32" i="17"/>
  <c r="EO32" i="17"/>
  <c r="EP32" i="17"/>
  <c r="EQ32" i="17"/>
  <c r="ER32" i="17"/>
  <c r="ES32" i="17"/>
  <c r="ET32" i="17"/>
  <c r="EU32" i="17"/>
  <c r="EV32" i="17"/>
  <c r="EW32" i="17"/>
  <c r="EX32" i="17"/>
  <c r="EY32" i="17"/>
  <c r="EZ32" i="17"/>
  <c r="FA32" i="17"/>
  <c r="FB32" i="17"/>
  <c r="FC32" i="17"/>
  <c r="FD32" i="17"/>
  <c r="FE32" i="17"/>
  <c r="FF32" i="17"/>
  <c r="FG32" i="17"/>
  <c r="FH32" i="17"/>
  <c r="FI32" i="17"/>
  <c r="FJ32" i="17"/>
  <c r="FK32" i="17"/>
  <c r="FL32" i="17"/>
  <c r="FM32" i="17"/>
  <c r="FN32" i="17"/>
  <c r="FO32" i="17"/>
  <c r="FP32" i="17"/>
  <c r="FQ32" i="17"/>
  <c r="FR32" i="17"/>
  <c r="CY34" i="17"/>
  <c r="CZ34" i="17" s="1"/>
  <c r="DA34" i="17" s="1"/>
  <c r="DB34" i="17" s="1"/>
  <c r="DC34" i="17" s="1"/>
  <c r="DD34" i="17" s="1"/>
  <c r="DE34" i="17" s="1"/>
  <c r="DF34" i="17" s="1"/>
  <c r="DG34" i="17" s="1"/>
  <c r="DH34" i="17" s="1"/>
  <c r="DI34" i="17" s="1"/>
  <c r="DJ34" i="17" s="1"/>
  <c r="DK34" i="17" s="1"/>
  <c r="DL34" i="17" s="1"/>
  <c r="DM34" i="17" s="1"/>
  <c r="DN34" i="17" s="1"/>
  <c r="DO34" i="17" s="1"/>
  <c r="DP34" i="17" s="1"/>
  <c r="DQ34" i="17" s="1"/>
  <c r="DR34" i="17" s="1"/>
  <c r="DS34" i="17" s="1"/>
  <c r="DT34" i="17" s="1"/>
  <c r="DU34" i="17" s="1"/>
  <c r="DV34" i="17" s="1"/>
  <c r="DW34" i="17" s="1"/>
  <c r="DX34" i="17" s="1"/>
  <c r="DY34" i="17" s="1"/>
  <c r="DZ34" i="17" s="1"/>
  <c r="EA34" i="17" s="1"/>
  <c r="EB34" i="17" s="1"/>
  <c r="EC34" i="17" s="1"/>
  <c r="ED34" i="17" s="1"/>
  <c r="EE34" i="17" s="1"/>
  <c r="EF34" i="17" s="1"/>
  <c r="EG34" i="17" s="1"/>
  <c r="EH34" i="17" s="1"/>
  <c r="EI34" i="17" s="1"/>
  <c r="EJ34" i="17" s="1"/>
  <c r="EK34" i="17" s="1"/>
  <c r="EL34" i="17" s="1"/>
  <c r="EM34" i="17" s="1"/>
  <c r="EN34" i="17" s="1"/>
  <c r="EO34" i="17" s="1"/>
  <c r="EP34" i="17" s="1"/>
  <c r="EQ34" i="17" s="1"/>
  <c r="ER34" i="17" s="1"/>
  <c r="ES34" i="17" s="1"/>
  <c r="ET34" i="17" s="1"/>
  <c r="EU34" i="17" s="1"/>
  <c r="EV34" i="17" s="1"/>
  <c r="EW34" i="17" s="1"/>
  <c r="EX34" i="17" s="1"/>
  <c r="EY34" i="17" s="1"/>
  <c r="EZ34" i="17" s="1"/>
  <c r="FA34" i="17" s="1"/>
  <c r="FB34" i="17" s="1"/>
  <c r="FC34" i="17" s="1"/>
  <c r="FD34" i="17" s="1"/>
  <c r="FE34" i="17" s="1"/>
  <c r="FF34" i="17" s="1"/>
  <c r="FG34" i="17" s="1"/>
  <c r="FH34" i="17" s="1"/>
  <c r="FI34" i="17" s="1"/>
  <c r="FJ34" i="17" s="1"/>
  <c r="FK34" i="17" s="1"/>
  <c r="FL34" i="17" s="1"/>
  <c r="FM34" i="17" s="1"/>
  <c r="FN34" i="17" s="1"/>
  <c r="FO34" i="17" s="1"/>
  <c r="FP34" i="17" s="1"/>
  <c r="FQ34" i="17" s="1"/>
  <c r="FR34" i="17" s="1"/>
  <c r="CY35" i="17"/>
  <c r="CZ35" i="17"/>
  <c r="DA35" i="17"/>
  <c r="DB35" i="17"/>
  <c r="DC35" i="17"/>
  <c r="DD35" i="17"/>
  <c r="DE35" i="17"/>
  <c r="DF35" i="17"/>
  <c r="DG35" i="17"/>
  <c r="DH35" i="17"/>
  <c r="DI35" i="17"/>
  <c r="DJ35" i="17"/>
  <c r="DK35" i="17"/>
  <c r="DL35" i="17"/>
  <c r="DM35" i="17"/>
  <c r="DN35" i="17"/>
  <c r="DO35" i="17"/>
  <c r="DP35" i="17"/>
  <c r="DQ35" i="17"/>
  <c r="DR35" i="17"/>
  <c r="DS35" i="17"/>
  <c r="DT35" i="17"/>
  <c r="DU35" i="17"/>
  <c r="DV35" i="17"/>
  <c r="DW35" i="17"/>
  <c r="DX35" i="17"/>
  <c r="DY35" i="17"/>
  <c r="DZ35" i="17"/>
  <c r="EA35" i="17"/>
  <c r="EB35" i="17"/>
  <c r="EC35" i="17"/>
  <c r="ED35" i="17"/>
  <c r="EE35" i="17"/>
  <c r="EF35" i="17"/>
  <c r="EG35" i="17"/>
  <c r="EH35" i="17"/>
  <c r="EI35" i="17"/>
  <c r="EJ35" i="17"/>
  <c r="EK35" i="17"/>
  <c r="EL35" i="17"/>
  <c r="EM35" i="17"/>
  <c r="EN35" i="17"/>
  <c r="EO35" i="17"/>
  <c r="EP35" i="17"/>
  <c r="EQ35" i="17"/>
  <c r="ER35" i="17"/>
  <c r="ES35" i="17"/>
  <c r="ET35" i="17"/>
  <c r="EU35" i="17"/>
  <c r="EV35" i="17"/>
  <c r="EW35" i="17"/>
  <c r="EX35" i="17"/>
  <c r="EY35" i="17"/>
  <c r="EZ35" i="17"/>
  <c r="FA35" i="17"/>
  <c r="FB35" i="17"/>
  <c r="FC35" i="17"/>
  <c r="FD35" i="17"/>
  <c r="FE35" i="17"/>
  <c r="FF35" i="17"/>
  <c r="FG35" i="17"/>
  <c r="FH35" i="17"/>
  <c r="FI35" i="17"/>
  <c r="FJ35" i="17"/>
  <c r="FK35" i="17"/>
  <c r="FL35" i="17"/>
  <c r="FM35" i="17"/>
  <c r="FN35" i="17"/>
  <c r="FO35" i="17"/>
  <c r="FP35" i="17"/>
  <c r="FQ35" i="17"/>
  <c r="FR35" i="17"/>
  <c r="CY36" i="17"/>
  <c r="CZ36" i="17"/>
  <c r="DA36" i="17"/>
  <c r="DB36" i="17"/>
  <c r="DC36" i="17"/>
  <c r="DD36" i="17"/>
  <c r="DE36" i="17"/>
  <c r="DF36" i="17"/>
  <c r="DG36" i="17"/>
  <c r="DH36" i="17"/>
  <c r="DI36" i="17"/>
  <c r="DJ36" i="17"/>
  <c r="DK36" i="17"/>
  <c r="DL36" i="17"/>
  <c r="DM36" i="17"/>
  <c r="DN36" i="17"/>
  <c r="DO36" i="17"/>
  <c r="DP36" i="17"/>
  <c r="DQ36" i="17"/>
  <c r="DR36" i="17"/>
  <c r="DS36" i="17"/>
  <c r="DT36" i="17"/>
  <c r="DU36" i="17"/>
  <c r="DV36" i="17"/>
  <c r="DW36" i="17"/>
  <c r="DX36" i="17"/>
  <c r="DY36" i="17"/>
  <c r="DZ36" i="17"/>
  <c r="EA36" i="17"/>
  <c r="EB36" i="17"/>
  <c r="EC36" i="17"/>
  <c r="ED36" i="17"/>
  <c r="EE36" i="17"/>
  <c r="EF36" i="17"/>
  <c r="EG36" i="17"/>
  <c r="EH36" i="17"/>
  <c r="EI36" i="17"/>
  <c r="EJ36" i="17"/>
  <c r="EK36" i="17"/>
  <c r="EL36" i="17"/>
  <c r="EM36" i="17"/>
  <c r="EN36" i="17"/>
  <c r="EO36" i="17"/>
  <c r="EP36" i="17"/>
  <c r="EQ36" i="17"/>
  <c r="ER36" i="17"/>
  <c r="ES36" i="17"/>
  <c r="ET36" i="17"/>
  <c r="EU36" i="17"/>
  <c r="EV36" i="17"/>
  <c r="EW36" i="17"/>
  <c r="EX36" i="17"/>
  <c r="EY36" i="17"/>
  <c r="EZ36" i="17"/>
  <c r="FA36" i="17"/>
  <c r="FB36" i="17"/>
  <c r="FC36" i="17"/>
  <c r="FD36" i="17"/>
  <c r="FE36" i="17"/>
  <c r="FF36" i="17"/>
  <c r="FG36" i="17"/>
  <c r="FH36" i="17"/>
  <c r="FI36" i="17"/>
  <c r="FJ36" i="17"/>
  <c r="FK36" i="17"/>
  <c r="FL36" i="17"/>
  <c r="FM36" i="17"/>
  <c r="FN36" i="17"/>
  <c r="FO36" i="17"/>
  <c r="FP36" i="17"/>
  <c r="FQ36" i="17"/>
  <c r="FR36" i="17"/>
  <c r="CY37" i="17"/>
  <c r="CZ37" i="17"/>
  <c r="DA37" i="17"/>
  <c r="DB37" i="17"/>
  <c r="DC37" i="17"/>
  <c r="DD37" i="17"/>
  <c r="DE37" i="17"/>
  <c r="DF37" i="17"/>
  <c r="DG37" i="17"/>
  <c r="DH37" i="17"/>
  <c r="DI37" i="17"/>
  <c r="DJ37" i="17"/>
  <c r="DK37" i="17"/>
  <c r="DL37" i="17"/>
  <c r="DM37" i="17"/>
  <c r="DN37" i="17"/>
  <c r="DO37" i="17"/>
  <c r="DP37" i="17"/>
  <c r="DQ37" i="17"/>
  <c r="DR37" i="17"/>
  <c r="DS37" i="17"/>
  <c r="DT37" i="17"/>
  <c r="DU37" i="17"/>
  <c r="DV37" i="17"/>
  <c r="DW37" i="17"/>
  <c r="DX37" i="17"/>
  <c r="DY37" i="17"/>
  <c r="DZ37" i="17"/>
  <c r="EA37" i="17"/>
  <c r="EB37" i="17"/>
  <c r="EC37" i="17"/>
  <c r="ED37" i="17"/>
  <c r="EE37" i="17"/>
  <c r="EF37" i="17"/>
  <c r="EG37" i="17"/>
  <c r="EH37" i="17"/>
  <c r="EI37" i="17"/>
  <c r="EJ37" i="17"/>
  <c r="EK37" i="17"/>
  <c r="EL37" i="17"/>
  <c r="EM37" i="17"/>
  <c r="EN37" i="17"/>
  <c r="EO37" i="17"/>
  <c r="EP37" i="17"/>
  <c r="EQ37" i="17"/>
  <c r="ER37" i="17"/>
  <c r="ES37" i="17"/>
  <c r="ET37" i="17"/>
  <c r="EU37" i="17"/>
  <c r="EV37" i="17"/>
  <c r="EW37" i="17"/>
  <c r="EX37" i="17"/>
  <c r="EY37" i="17"/>
  <c r="EZ37" i="17"/>
  <c r="FA37" i="17"/>
  <c r="FB37" i="17"/>
  <c r="FC37" i="17"/>
  <c r="FD37" i="17"/>
  <c r="FE37" i="17"/>
  <c r="FF37" i="17"/>
  <c r="FG37" i="17"/>
  <c r="FH37" i="17"/>
  <c r="FI37" i="17"/>
  <c r="FJ37" i="17"/>
  <c r="FK37" i="17"/>
  <c r="FL37" i="17"/>
  <c r="FM37" i="17"/>
  <c r="FN37" i="17"/>
  <c r="FO37" i="17"/>
  <c r="FP37" i="17"/>
  <c r="FQ37" i="17"/>
  <c r="FR37" i="17"/>
  <c r="DF38" i="17"/>
  <c r="DG38" i="17"/>
  <c r="DH38" i="17"/>
  <c r="DI38" i="17"/>
  <c r="DJ38" i="17"/>
  <c r="DK38" i="17"/>
  <c r="DL38" i="17"/>
  <c r="DM38" i="17"/>
  <c r="DN38" i="17"/>
  <c r="DO38" i="17"/>
  <c r="DP38" i="17"/>
  <c r="DQ38" i="17"/>
  <c r="DR38" i="17"/>
  <c r="DS38" i="17"/>
  <c r="DT38" i="17"/>
  <c r="DU38" i="17"/>
  <c r="DV38" i="17"/>
  <c r="DW38" i="17"/>
  <c r="DX38" i="17"/>
  <c r="DY38" i="17"/>
  <c r="DZ38" i="17"/>
  <c r="EA38" i="17"/>
  <c r="EB38" i="17"/>
  <c r="EC38" i="17"/>
  <c r="ED38" i="17"/>
  <c r="EE38" i="17"/>
  <c r="EF38" i="17"/>
  <c r="EG38" i="17"/>
  <c r="EH38" i="17"/>
  <c r="EI38" i="17"/>
  <c r="EJ38" i="17"/>
  <c r="EK38" i="17"/>
  <c r="EL38" i="17"/>
  <c r="EM38" i="17"/>
  <c r="EN38" i="17"/>
  <c r="EO38" i="17"/>
  <c r="EP38" i="17"/>
  <c r="EQ38" i="17"/>
  <c r="ER38" i="17"/>
  <c r="ES38" i="17"/>
  <c r="ET38" i="17"/>
  <c r="EU38" i="17"/>
  <c r="EV38" i="17"/>
  <c r="EW38" i="17"/>
  <c r="EX38" i="17"/>
  <c r="EY38" i="17"/>
  <c r="EZ38" i="17"/>
  <c r="FA38" i="17"/>
  <c r="FB38" i="17"/>
  <c r="FC38" i="17"/>
  <c r="FD38" i="17"/>
  <c r="FE38" i="17"/>
  <c r="FF38" i="17"/>
  <c r="FG38" i="17"/>
  <c r="FH38" i="17"/>
  <c r="FI38" i="17"/>
  <c r="FJ38" i="17"/>
  <c r="FK38" i="17"/>
  <c r="FL38" i="17"/>
  <c r="FM38" i="17"/>
  <c r="FN38" i="17"/>
  <c r="FO38" i="17"/>
  <c r="FP38" i="17"/>
  <c r="FQ38" i="17"/>
  <c r="FR38" i="17"/>
  <c r="CH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AJ23" i="17"/>
  <c r="AK23" i="17"/>
  <c r="AL23" i="17"/>
  <c r="AM23" i="17"/>
  <c r="AN23" i="17"/>
  <c r="AO23" i="17"/>
  <c r="AP23" i="17"/>
  <c r="AQ23" i="17"/>
  <c r="AR23" i="17"/>
  <c r="AS23" i="17"/>
  <c r="AT23" i="17"/>
  <c r="AU23" i="17"/>
  <c r="AV23" i="17"/>
  <c r="AW23" i="17"/>
  <c r="AX23" i="17"/>
  <c r="AY23" i="17"/>
  <c r="AZ23" i="17"/>
  <c r="BA23" i="17"/>
  <c r="BB23" i="17"/>
  <c r="BC23" i="17"/>
  <c r="BD23" i="17"/>
  <c r="BE23" i="17"/>
  <c r="BF23" i="17"/>
  <c r="BG23" i="17"/>
  <c r="BH23" i="17"/>
  <c r="BI23" i="17"/>
  <c r="BJ23" i="17"/>
  <c r="BK23" i="17"/>
  <c r="BL23" i="17"/>
  <c r="BM23" i="17"/>
  <c r="BN23" i="17"/>
  <c r="BO23" i="17"/>
  <c r="BP23" i="17"/>
  <c r="BQ23" i="17"/>
  <c r="BR23" i="17"/>
  <c r="BS23" i="17"/>
  <c r="BT23" i="17"/>
  <c r="BU23" i="17"/>
  <c r="BV23" i="17"/>
  <c r="BW23" i="17"/>
  <c r="BX23" i="17"/>
  <c r="BY23" i="17"/>
  <c r="BZ23" i="17"/>
  <c r="CA23" i="17"/>
  <c r="CB23" i="17"/>
  <c r="CC23" i="17"/>
  <c r="CD23" i="17"/>
  <c r="CE23" i="17"/>
  <c r="CF23" i="17"/>
  <c r="CG23" i="17"/>
  <c r="CI23" i="17"/>
  <c r="CJ23" i="17"/>
  <c r="CK23" i="17"/>
  <c r="CL23" i="17"/>
  <c r="CM23" i="17"/>
  <c r="CN23" i="17"/>
  <c r="CO23" i="17"/>
  <c r="CP23" i="17"/>
  <c r="CQ23" i="17"/>
  <c r="CR23" i="17"/>
  <c r="CS23" i="17"/>
  <c r="CT23" i="17"/>
  <c r="CU23" i="17"/>
  <c r="CV23" i="17"/>
  <c r="CW23" i="17"/>
  <c r="CX23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AG15" i="17"/>
  <c r="AH15" i="17"/>
  <c r="AI15" i="17"/>
  <c r="AJ15" i="17"/>
  <c r="AK15" i="17"/>
  <c r="AL15" i="17"/>
  <c r="AM15" i="17"/>
  <c r="AN15" i="17"/>
  <c r="AO15" i="17"/>
  <c r="AP15" i="17"/>
  <c r="AQ15" i="17"/>
  <c r="AR15" i="17"/>
  <c r="AS15" i="17"/>
  <c r="AT15" i="17"/>
  <c r="AU15" i="17"/>
  <c r="AV15" i="17"/>
  <c r="AW15" i="17"/>
  <c r="AX15" i="17"/>
  <c r="AY15" i="17"/>
  <c r="AZ15" i="17"/>
  <c r="BA15" i="17"/>
  <c r="BB15" i="17"/>
  <c r="BC15" i="17"/>
  <c r="BD15" i="17"/>
  <c r="BE15" i="17"/>
  <c r="BF15" i="17"/>
  <c r="BG15" i="17"/>
  <c r="BH15" i="17"/>
  <c r="BI15" i="17"/>
  <c r="BJ15" i="17"/>
  <c r="BK15" i="17"/>
  <c r="BL15" i="17"/>
  <c r="BM15" i="17"/>
  <c r="BN15" i="17"/>
  <c r="BO15" i="17"/>
  <c r="BP15" i="17"/>
  <c r="BQ15" i="17"/>
  <c r="BR15" i="17"/>
  <c r="BS15" i="17"/>
  <c r="BT15" i="17"/>
  <c r="BU15" i="17"/>
  <c r="BV15" i="17"/>
  <c r="BW15" i="17"/>
  <c r="BX15" i="17"/>
  <c r="BY15" i="17"/>
  <c r="BZ15" i="17"/>
  <c r="CA15" i="17"/>
  <c r="CB15" i="17"/>
  <c r="CC15" i="17"/>
  <c r="CD15" i="17"/>
  <c r="CE15" i="17"/>
  <c r="CF15" i="17"/>
  <c r="CG15" i="17"/>
  <c r="CH15" i="17"/>
  <c r="CI15" i="17"/>
  <c r="CJ15" i="17"/>
  <c r="CK15" i="17"/>
  <c r="CL15" i="17"/>
  <c r="CM15" i="17"/>
  <c r="CN15" i="17"/>
  <c r="CO15" i="17"/>
  <c r="CP15" i="17"/>
  <c r="CQ15" i="17"/>
  <c r="CR15" i="17"/>
  <c r="CS15" i="17"/>
  <c r="CT15" i="17"/>
  <c r="CU15" i="17"/>
  <c r="CV15" i="17"/>
  <c r="CW15" i="17"/>
  <c r="CX15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R7" i="17"/>
  <c r="AS7" i="17"/>
  <c r="AT7" i="17"/>
  <c r="AU7" i="17"/>
  <c r="AV7" i="17"/>
  <c r="AW7" i="17"/>
  <c r="AX7" i="17"/>
  <c r="AY7" i="17"/>
  <c r="AZ7" i="17"/>
  <c r="BA7" i="17"/>
  <c r="BB7" i="17"/>
  <c r="BC7" i="17"/>
  <c r="BD7" i="17"/>
  <c r="BE7" i="17"/>
  <c r="BF7" i="17"/>
  <c r="BG7" i="17"/>
  <c r="BH7" i="17"/>
  <c r="BI7" i="17"/>
  <c r="BJ7" i="17"/>
  <c r="BK7" i="17"/>
  <c r="BL7" i="17"/>
  <c r="BM7" i="17"/>
  <c r="BN7" i="17"/>
  <c r="BO7" i="17"/>
  <c r="BP7" i="17"/>
  <c r="BQ7" i="17"/>
  <c r="BR7" i="17"/>
  <c r="BS7" i="17"/>
  <c r="BT7" i="17"/>
  <c r="BU7" i="17"/>
  <c r="BV7" i="17"/>
  <c r="BW7" i="17"/>
  <c r="BX7" i="17"/>
  <c r="BY7" i="17"/>
  <c r="BZ7" i="17"/>
  <c r="CA7" i="17"/>
  <c r="CB7" i="17"/>
  <c r="CC7" i="17"/>
  <c r="CD7" i="17"/>
  <c r="CE7" i="17"/>
  <c r="CF7" i="17"/>
  <c r="CG7" i="17"/>
  <c r="CH7" i="17"/>
  <c r="CI7" i="17"/>
  <c r="CJ7" i="17"/>
  <c r="CK7" i="17"/>
  <c r="CL7" i="17"/>
  <c r="CM7" i="17"/>
  <c r="CN7" i="17"/>
  <c r="CO7" i="17"/>
  <c r="CP7" i="17"/>
  <c r="CQ7" i="17"/>
  <c r="CR7" i="17"/>
  <c r="CS7" i="17"/>
  <c r="CT7" i="17"/>
  <c r="CU7" i="17"/>
  <c r="CV7" i="17"/>
  <c r="CW7" i="17"/>
  <c r="CX7" i="17"/>
  <c r="M39" i="17"/>
  <c r="M31" i="17"/>
  <c r="M23" i="17"/>
  <c r="M15" i="17"/>
  <c r="M7" i="17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AM15" i="16"/>
  <c r="AN15" i="16"/>
  <c r="AO15" i="16"/>
  <c r="AP15" i="16"/>
  <c r="AQ15" i="16"/>
  <c r="AR15" i="16"/>
  <c r="AS15" i="16"/>
  <c r="AT15" i="16"/>
  <c r="AU15" i="16"/>
  <c r="AV15" i="16"/>
  <c r="AW15" i="16"/>
  <c r="AX15" i="16"/>
  <c r="AY15" i="16"/>
  <c r="AZ15" i="16"/>
  <c r="BA15" i="16"/>
  <c r="BB15" i="16"/>
  <c r="BC15" i="16"/>
  <c r="BD15" i="16"/>
  <c r="BE15" i="16"/>
  <c r="BF15" i="16"/>
  <c r="BG15" i="16"/>
  <c r="BH15" i="16"/>
  <c r="BI15" i="16"/>
  <c r="BJ15" i="16"/>
  <c r="BK15" i="16"/>
  <c r="BL15" i="16"/>
  <c r="BM15" i="16"/>
  <c r="BN15" i="16"/>
  <c r="BO15" i="16"/>
  <c r="BP15" i="16"/>
  <c r="BQ15" i="16"/>
  <c r="BR15" i="16"/>
  <c r="BS15" i="16"/>
  <c r="BT15" i="16"/>
  <c r="BU15" i="16"/>
  <c r="BV15" i="16"/>
  <c r="BW15" i="16"/>
  <c r="BX15" i="16"/>
  <c r="BY15" i="16"/>
  <c r="BZ15" i="16"/>
  <c r="CA15" i="16"/>
  <c r="CB15" i="16"/>
  <c r="CC15" i="16"/>
  <c r="CD15" i="16"/>
  <c r="CE15" i="16"/>
  <c r="CF15" i="16"/>
  <c r="CG15" i="16"/>
  <c r="CH15" i="16"/>
  <c r="CI15" i="16"/>
  <c r="CJ15" i="16"/>
  <c r="CK15" i="16"/>
  <c r="CL15" i="16"/>
  <c r="CM15" i="16"/>
  <c r="CN15" i="16"/>
  <c r="CO15" i="16"/>
  <c r="CP15" i="16"/>
  <c r="CQ15" i="16"/>
  <c r="CR15" i="16"/>
  <c r="CS15" i="16"/>
  <c r="CT15" i="16"/>
  <c r="CU15" i="16"/>
  <c r="CV15" i="16"/>
  <c r="CW15" i="16"/>
  <c r="CX15" i="16"/>
  <c r="CY15" i="16"/>
  <c r="CZ15" i="16"/>
  <c r="DA15" i="16"/>
  <c r="DB15" i="16"/>
  <c r="DC15" i="16"/>
  <c r="DD15" i="16"/>
  <c r="DE15" i="16"/>
  <c r="DF15" i="16"/>
  <c r="DG15" i="16"/>
  <c r="DH15" i="16"/>
  <c r="DI15" i="16"/>
  <c r="DJ15" i="16"/>
  <c r="DK15" i="16"/>
  <c r="DL15" i="16"/>
  <c r="DM15" i="16"/>
  <c r="DN15" i="16"/>
  <c r="DO15" i="16"/>
  <c r="DP15" i="16"/>
  <c r="DQ15" i="16"/>
  <c r="DR15" i="16"/>
  <c r="DS15" i="16"/>
  <c r="DT15" i="16"/>
  <c r="DU15" i="16"/>
  <c r="DV15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AJ23" i="16"/>
  <c r="AK23" i="16"/>
  <c r="AL23" i="16"/>
  <c r="AM23" i="16"/>
  <c r="AN23" i="16"/>
  <c r="AO23" i="16"/>
  <c r="AP23" i="16"/>
  <c r="AQ23" i="16"/>
  <c r="AR23" i="16"/>
  <c r="AS23" i="16"/>
  <c r="AT23" i="16"/>
  <c r="AU23" i="16"/>
  <c r="AV23" i="16"/>
  <c r="AW23" i="16"/>
  <c r="AX23" i="16"/>
  <c r="AY23" i="16"/>
  <c r="AZ23" i="16"/>
  <c r="BA23" i="16"/>
  <c r="BB23" i="16"/>
  <c r="BC23" i="16"/>
  <c r="BD23" i="16"/>
  <c r="BE23" i="16"/>
  <c r="BF23" i="16"/>
  <c r="BG23" i="16"/>
  <c r="BH23" i="16"/>
  <c r="BI23" i="16"/>
  <c r="BJ23" i="16"/>
  <c r="BK23" i="16"/>
  <c r="BL23" i="16"/>
  <c r="BM23" i="16"/>
  <c r="BN23" i="16"/>
  <c r="BO23" i="16"/>
  <c r="BP23" i="16"/>
  <c r="BQ23" i="16"/>
  <c r="BR23" i="16"/>
  <c r="BS23" i="16"/>
  <c r="BT23" i="16"/>
  <c r="BU23" i="16"/>
  <c r="BV23" i="16"/>
  <c r="BW23" i="16"/>
  <c r="BX23" i="16"/>
  <c r="BY23" i="16"/>
  <c r="BZ23" i="16"/>
  <c r="CA23" i="16"/>
  <c r="CB23" i="16"/>
  <c r="CC23" i="16"/>
  <c r="CD23" i="16"/>
  <c r="CE23" i="16"/>
  <c r="CF23" i="16"/>
  <c r="CG23" i="16"/>
  <c r="CH23" i="16"/>
  <c r="CI23" i="16"/>
  <c r="CJ23" i="16"/>
  <c r="CK23" i="16"/>
  <c r="CL23" i="16"/>
  <c r="CM23" i="16"/>
  <c r="CN23" i="16"/>
  <c r="CO23" i="16"/>
  <c r="CP23" i="16"/>
  <c r="CQ23" i="16"/>
  <c r="CR23" i="16"/>
  <c r="CS23" i="16"/>
  <c r="CT23" i="16"/>
  <c r="CU23" i="16"/>
  <c r="CV23" i="16"/>
  <c r="CW23" i="16"/>
  <c r="CX23" i="16"/>
  <c r="CY23" i="16"/>
  <c r="CZ23" i="16"/>
  <c r="DA23" i="16"/>
  <c r="DB23" i="16"/>
  <c r="DC23" i="16"/>
  <c r="DD23" i="16"/>
  <c r="DE23" i="16"/>
  <c r="DF23" i="16"/>
  <c r="DG23" i="16"/>
  <c r="DH23" i="16"/>
  <c r="DI23" i="16"/>
  <c r="DJ23" i="16"/>
  <c r="DK23" i="16"/>
  <c r="DL23" i="16"/>
  <c r="DM23" i="16"/>
  <c r="DN23" i="16"/>
  <c r="DO23" i="16"/>
  <c r="DP23" i="16"/>
  <c r="DQ23" i="16"/>
  <c r="DR23" i="16"/>
  <c r="DS23" i="16"/>
  <c r="DT23" i="16"/>
  <c r="DU23" i="16"/>
  <c r="DV23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AS31" i="16"/>
  <c r="AT31" i="16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K31" i="16"/>
  <c r="BL31" i="16"/>
  <c r="BM31" i="16"/>
  <c r="BN31" i="16"/>
  <c r="BO31" i="16"/>
  <c r="BP31" i="16"/>
  <c r="BQ31" i="16"/>
  <c r="BR31" i="16"/>
  <c r="BS31" i="16"/>
  <c r="BT31" i="16"/>
  <c r="BU31" i="16"/>
  <c r="BV31" i="16"/>
  <c r="BW31" i="16"/>
  <c r="BX31" i="16"/>
  <c r="BY31" i="16"/>
  <c r="BZ31" i="16"/>
  <c r="CA31" i="16"/>
  <c r="CB31" i="16"/>
  <c r="CC31" i="16"/>
  <c r="CD31" i="16"/>
  <c r="CE31" i="16"/>
  <c r="CF31" i="16"/>
  <c r="CG31" i="16"/>
  <c r="CH31" i="16"/>
  <c r="CI31" i="16"/>
  <c r="CJ31" i="16"/>
  <c r="CK31" i="16"/>
  <c r="CL31" i="16"/>
  <c r="CM31" i="16"/>
  <c r="CN31" i="16"/>
  <c r="CO31" i="16"/>
  <c r="CP31" i="16"/>
  <c r="CQ31" i="16"/>
  <c r="CR31" i="16"/>
  <c r="CS31" i="16"/>
  <c r="CT31" i="16"/>
  <c r="CU31" i="16"/>
  <c r="CV31" i="16"/>
  <c r="CW31" i="16"/>
  <c r="CX31" i="16"/>
  <c r="CY31" i="16"/>
  <c r="CZ31" i="16"/>
  <c r="DA31" i="16"/>
  <c r="DB31" i="16"/>
  <c r="DC31" i="16"/>
  <c r="DD31" i="16"/>
  <c r="DE31" i="16"/>
  <c r="DF31" i="16"/>
  <c r="DG31" i="16"/>
  <c r="DH31" i="16"/>
  <c r="DI31" i="16"/>
  <c r="DJ31" i="16"/>
  <c r="DK31" i="16"/>
  <c r="DL31" i="16"/>
  <c r="DM31" i="16"/>
  <c r="DN31" i="16"/>
  <c r="DO31" i="16"/>
  <c r="DP31" i="16"/>
  <c r="DQ31" i="16"/>
  <c r="DR31" i="16"/>
  <c r="DS31" i="16"/>
  <c r="DT31" i="16"/>
  <c r="DU31" i="16"/>
  <c r="DV31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AQ39" i="16"/>
  <c r="AR39" i="16"/>
  <c r="AS39" i="16"/>
  <c r="AT39" i="16"/>
  <c r="AU39" i="16"/>
  <c r="AV39" i="16"/>
  <c r="AW39" i="16"/>
  <c r="AX39" i="16"/>
  <c r="AY39" i="16"/>
  <c r="AZ39" i="16"/>
  <c r="BA39" i="16"/>
  <c r="BB39" i="16"/>
  <c r="BC39" i="16"/>
  <c r="BD39" i="16"/>
  <c r="BE39" i="16"/>
  <c r="BF39" i="16"/>
  <c r="BG39" i="16"/>
  <c r="BH39" i="16"/>
  <c r="BI39" i="16"/>
  <c r="BJ39" i="16"/>
  <c r="BK39" i="16"/>
  <c r="BL39" i="16"/>
  <c r="BM39" i="16"/>
  <c r="BN39" i="16"/>
  <c r="BO39" i="16"/>
  <c r="BP39" i="16"/>
  <c r="BQ39" i="16"/>
  <c r="BR39" i="16"/>
  <c r="BS39" i="16"/>
  <c r="BT39" i="16"/>
  <c r="BU39" i="16"/>
  <c r="BV39" i="16"/>
  <c r="BW39" i="16"/>
  <c r="BX39" i="16"/>
  <c r="BY39" i="16"/>
  <c r="BZ39" i="16"/>
  <c r="CA39" i="16"/>
  <c r="CB39" i="16"/>
  <c r="CC39" i="16"/>
  <c r="CD39" i="16"/>
  <c r="CE39" i="16"/>
  <c r="CF39" i="16"/>
  <c r="CG39" i="16"/>
  <c r="CH39" i="16"/>
  <c r="CI39" i="16"/>
  <c r="CJ39" i="16"/>
  <c r="CK39" i="16"/>
  <c r="CL39" i="16"/>
  <c r="CM39" i="16"/>
  <c r="CN39" i="16"/>
  <c r="CO39" i="16"/>
  <c r="CP39" i="16"/>
  <c r="CQ39" i="16"/>
  <c r="CR39" i="16"/>
  <c r="CS39" i="16"/>
  <c r="CT39" i="16"/>
  <c r="CU39" i="16"/>
  <c r="CV39" i="16"/>
  <c r="CW39" i="16"/>
  <c r="CX39" i="16"/>
  <c r="CY39" i="16"/>
  <c r="CZ39" i="16"/>
  <c r="DA39" i="16"/>
  <c r="DB39" i="16"/>
  <c r="DC39" i="16"/>
  <c r="DD39" i="16"/>
  <c r="DE39" i="16"/>
  <c r="DF39" i="16"/>
  <c r="DG39" i="16"/>
  <c r="DH39" i="16"/>
  <c r="DI39" i="16"/>
  <c r="DJ39" i="16"/>
  <c r="DK39" i="16"/>
  <c r="DL39" i="16"/>
  <c r="DM39" i="16"/>
  <c r="DN39" i="16"/>
  <c r="DO39" i="16"/>
  <c r="DP39" i="16"/>
  <c r="DQ39" i="16"/>
  <c r="DR39" i="16"/>
  <c r="DS39" i="16"/>
  <c r="DT39" i="16"/>
  <c r="DU39" i="16"/>
  <c r="DV39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AD47" i="16"/>
  <c r="AE47" i="16"/>
  <c r="AF47" i="16"/>
  <c r="AG47" i="16"/>
  <c r="AH47" i="16"/>
  <c r="AI47" i="16"/>
  <c r="AJ47" i="16"/>
  <c r="AK47" i="16"/>
  <c r="AL47" i="16"/>
  <c r="AM47" i="16"/>
  <c r="AN47" i="16"/>
  <c r="AO47" i="16"/>
  <c r="AP47" i="16"/>
  <c r="AQ47" i="16"/>
  <c r="AR47" i="16"/>
  <c r="AS47" i="16"/>
  <c r="AT47" i="16"/>
  <c r="AU47" i="16"/>
  <c r="AV47" i="16"/>
  <c r="AW47" i="16"/>
  <c r="AX47" i="16"/>
  <c r="AY47" i="16"/>
  <c r="AZ47" i="16"/>
  <c r="BA47" i="16"/>
  <c r="BB47" i="16"/>
  <c r="BC47" i="16"/>
  <c r="BD47" i="16"/>
  <c r="BE47" i="16"/>
  <c r="BF47" i="16"/>
  <c r="BG47" i="16"/>
  <c r="BH47" i="16"/>
  <c r="BI47" i="16"/>
  <c r="BJ47" i="16"/>
  <c r="BK47" i="16"/>
  <c r="BL47" i="16"/>
  <c r="BM47" i="16"/>
  <c r="BN47" i="16"/>
  <c r="BO47" i="16"/>
  <c r="BP47" i="16"/>
  <c r="BQ47" i="16"/>
  <c r="BR47" i="16"/>
  <c r="BS47" i="16"/>
  <c r="BT47" i="16"/>
  <c r="BU47" i="16"/>
  <c r="BV47" i="16"/>
  <c r="BW47" i="16"/>
  <c r="BX47" i="16"/>
  <c r="BY47" i="16"/>
  <c r="BZ47" i="16"/>
  <c r="CA47" i="16"/>
  <c r="CB47" i="16"/>
  <c r="CC47" i="16"/>
  <c r="CD47" i="16"/>
  <c r="CE47" i="16"/>
  <c r="CF47" i="16"/>
  <c r="CG47" i="16"/>
  <c r="CH47" i="16"/>
  <c r="CI47" i="16"/>
  <c r="CJ47" i="16"/>
  <c r="CK47" i="16"/>
  <c r="CL47" i="16"/>
  <c r="CM47" i="16"/>
  <c r="CN47" i="16"/>
  <c r="CO47" i="16"/>
  <c r="CP47" i="16"/>
  <c r="CQ47" i="16"/>
  <c r="CR47" i="16"/>
  <c r="CS47" i="16"/>
  <c r="CT47" i="16"/>
  <c r="CU47" i="16"/>
  <c r="CV47" i="16"/>
  <c r="CW47" i="16"/>
  <c r="CX47" i="16"/>
  <c r="CY47" i="16"/>
  <c r="CZ47" i="16"/>
  <c r="DA47" i="16"/>
  <c r="DB47" i="16"/>
  <c r="DC47" i="16"/>
  <c r="DD47" i="16"/>
  <c r="DE47" i="16"/>
  <c r="DF47" i="16"/>
  <c r="DG47" i="16"/>
  <c r="DH47" i="16"/>
  <c r="DI47" i="16"/>
  <c r="DJ47" i="16"/>
  <c r="DK47" i="16"/>
  <c r="DL47" i="16"/>
  <c r="DM47" i="16"/>
  <c r="DN47" i="16"/>
  <c r="DO47" i="16"/>
  <c r="DP47" i="16"/>
  <c r="DQ47" i="16"/>
  <c r="DR47" i="16"/>
  <c r="DS47" i="16"/>
  <c r="DT47" i="16"/>
  <c r="DU47" i="16"/>
  <c r="DV47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AG55" i="16"/>
  <c r="AH55" i="16"/>
  <c r="AI55" i="16"/>
  <c r="AJ55" i="16"/>
  <c r="AK55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BC55" i="16"/>
  <c r="BD55" i="16"/>
  <c r="BE55" i="16"/>
  <c r="BF55" i="16"/>
  <c r="BG55" i="16"/>
  <c r="BH55" i="16"/>
  <c r="BI55" i="16"/>
  <c r="BJ55" i="16"/>
  <c r="BK55" i="16"/>
  <c r="BL55" i="16"/>
  <c r="BM55" i="16"/>
  <c r="BN55" i="16"/>
  <c r="BO55" i="16"/>
  <c r="BP55" i="16"/>
  <c r="BQ55" i="16"/>
  <c r="BR55" i="16"/>
  <c r="BS55" i="16"/>
  <c r="BT55" i="16"/>
  <c r="BU55" i="16"/>
  <c r="BV55" i="16"/>
  <c r="BW55" i="16"/>
  <c r="BX55" i="16"/>
  <c r="BY55" i="16"/>
  <c r="BZ55" i="16"/>
  <c r="CA55" i="16"/>
  <c r="CB55" i="16"/>
  <c r="CC55" i="16"/>
  <c r="CD55" i="16"/>
  <c r="CE55" i="16"/>
  <c r="CF55" i="16"/>
  <c r="CG55" i="16"/>
  <c r="CH55" i="16"/>
  <c r="CI55" i="16"/>
  <c r="CJ55" i="16"/>
  <c r="CK55" i="16"/>
  <c r="CL55" i="16"/>
  <c r="CM55" i="16"/>
  <c r="CN55" i="16"/>
  <c r="CO55" i="16"/>
  <c r="CP55" i="16"/>
  <c r="CQ55" i="16"/>
  <c r="CR55" i="16"/>
  <c r="CS55" i="16"/>
  <c r="CT55" i="16"/>
  <c r="CU55" i="16"/>
  <c r="CV55" i="16"/>
  <c r="CW55" i="16"/>
  <c r="CX55" i="16"/>
  <c r="CY55" i="16"/>
  <c r="CZ55" i="16"/>
  <c r="DA55" i="16"/>
  <c r="DB55" i="16"/>
  <c r="DC55" i="16"/>
  <c r="DD55" i="16"/>
  <c r="DE55" i="16"/>
  <c r="DF55" i="16"/>
  <c r="DG55" i="16"/>
  <c r="DH55" i="16"/>
  <c r="DI55" i="16"/>
  <c r="DJ55" i="16"/>
  <c r="DK55" i="16"/>
  <c r="DL55" i="16"/>
  <c r="DM55" i="16"/>
  <c r="DN55" i="16"/>
  <c r="DO55" i="16"/>
  <c r="DP55" i="16"/>
  <c r="DQ55" i="16"/>
  <c r="DR55" i="16"/>
  <c r="DS55" i="16"/>
  <c r="DT55" i="16"/>
  <c r="DU55" i="16"/>
  <c r="DV55" i="16"/>
  <c r="Q63" i="16"/>
  <c r="M47" i="16"/>
  <c r="M15" i="16"/>
  <c r="Q7" i="16"/>
  <c r="H14" i="16"/>
  <c r="H6" i="16"/>
  <c r="D34" i="17"/>
  <c r="C34" i="17"/>
  <c r="B34" i="17"/>
  <c r="D26" i="17"/>
  <c r="C26" i="17"/>
  <c r="B26" i="17"/>
  <c r="D18" i="17"/>
  <c r="C18" i="17"/>
  <c r="B18" i="17"/>
  <c r="D10" i="17"/>
  <c r="C10" i="17"/>
  <c r="B10" i="17"/>
  <c r="D3" i="17"/>
  <c r="C3" i="17"/>
  <c r="B3" i="17"/>
  <c r="D2" i="17"/>
  <c r="C2" i="17"/>
  <c r="D58" i="16"/>
  <c r="C58" i="16"/>
  <c r="B58" i="16"/>
  <c r="D50" i="16"/>
  <c r="C50" i="16"/>
  <c r="B50" i="16"/>
  <c r="M55" i="16" s="1"/>
  <c r="D42" i="16"/>
  <c r="C42" i="16"/>
  <c r="B42" i="16"/>
  <c r="D34" i="16"/>
  <c r="C34" i="16"/>
  <c r="B34" i="16"/>
  <c r="M39" i="16" s="1"/>
  <c r="D26" i="16"/>
  <c r="C26" i="16"/>
  <c r="B26" i="16"/>
  <c r="M31" i="16" s="1"/>
  <c r="D18" i="16"/>
  <c r="C18" i="16"/>
  <c r="B18" i="16"/>
  <c r="M23" i="16" s="1"/>
  <c r="D10" i="16"/>
  <c r="C10" i="16"/>
  <c r="B10" i="16"/>
  <c r="D3" i="16"/>
  <c r="C3" i="16"/>
  <c r="B3" i="16"/>
  <c r="N7" i="16" s="1"/>
  <c r="D2" i="16"/>
  <c r="C2" i="16"/>
  <c r="H7" i="15"/>
  <c r="D66" i="15"/>
  <c r="C66" i="15"/>
  <c r="B66" i="15"/>
  <c r="D58" i="15"/>
  <c r="C58" i="15"/>
  <c r="B58" i="15"/>
  <c r="D50" i="15"/>
  <c r="C50" i="15"/>
  <c r="B50" i="15"/>
  <c r="D42" i="15"/>
  <c r="C42" i="15"/>
  <c r="B42" i="15"/>
  <c r="D34" i="15"/>
  <c r="C34" i="15"/>
  <c r="B34" i="15"/>
  <c r="D26" i="15"/>
  <c r="C26" i="15"/>
  <c r="B26" i="15"/>
  <c r="D18" i="15"/>
  <c r="C18" i="15"/>
  <c r="B18" i="15"/>
  <c r="D10" i="15"/>
  <c r="C10" i="15"/>
  <c r="B10" i="15"/>
  <c r="D3" i="15"/>
  <c r="C3" i="15"/>
  <c r="B3" i="15"/>
  <c r="D2" i="15"/>
  <c r="C2" i="15"/>
  <c r="N63" i="16" l="1"/>
  <c r="R63" i="16"/>
  <c r="O63" i="16"/>
  <c r="M63" i="16"/>
  <c r="P63" i="16"/>
  <c r="P7" i="16"/>
  <c r="M7" i="16"/>
  <c r="O7" i="16"/>
  <c r="R7" i="16"/>
  <c r="N71" i="15" l="1"/>
  <c r="O71" i="15"/>
  <c r="P71" i="15"/>
  <c r="Q71" i="15"/>
  <c r="R71" i="15"/>
  <c r="S71" i="15"/>
  <c r="T71" i="15"/>
  <c r="U71" i="15"/>
  <c r="V71" i="15"/>
  <c r="W71" i="15"/>
  <c r="X71" i="15"/>
  <c r="Y71" i="15"/>
  <c r="M71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M63" i="15"/>
  <c r="N55" i="15" l="1"/>
  <c r="O55" i="15"/>
  <c r="P55" i="15"/>
  <c r="Q55" i="15"/>
  <c r="R55" i="15"/>
  <c r="S55" i="15"/>
  <c r="T55" i="15"/>
  <c r="U55" i="15"/>
  <c r="V55" i="15"/>
  <c r="W55" i="15"/>
  <c r="X55" i="15"/>
  <c r="Y55" i="15"/>
  <c r="M55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M47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M39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M32" i="15"/>
  <c r="M31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M23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M15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G38" i="17"/>
  <c r="G36" i="17"/>
  <c r="G35" i="17"/>
  <c r="G37" i="17"/>
  <c r="G30" i="17"/>
  <c r="G29" i="17"/>
  <c r="G27" i="17"/>
  <c r="G28" i="17"/>
  <c r="G22" i="17"/>
  <c r="H4" i="17"/>
  <c r="H6" i="17"/>
  <c r="I3" i="17"/>
  <c r="H5" i="17"/>
  <c r="G51" i="16"/>
  <c r="H46" i="16"/>
  <c r="G46" i="16" s="1"/>
  <c r="G43" i="16"/>
  <c r="O69" i="1"/>
  <c r="I46" i="16" l="1"/>
  <c r="O411" i="1" l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8" i="1"/>
  <c r="O377" i="1"/>
  <c r="O376" i="1"/>
  <c r="O375" i="1"/>
  <c r="O374" i="1"/>
  <c r="O373" i="1"/>
  <c r="O372" i="1"/>
  <c r="O371" i="1"/>
  <c r="O370" i="1"/>
  <c r="O369" i="1"/>
  <c r="O368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3" i="1"/>
  <c r="O332" i="1"/>
  <c r="O331" i="1"/>
  <c r="O330" i="1"/>
  <c r="O329" i="1"/>
  <c r="O328" i="1"/>
  <c r="O327" i="1"/>
  <c r="O326" i="1"/>
  <c r="O325" i="1"/>
  <c r="O324" i="1"/>
  <c r="O323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8" i="1"/>
  <c r="O287" i="1"/>
  <c r="O286" i="1"/>
  <c r="O285" i="1"/>
  <c r="O284" i="1"/>
  <c r="O283" i="1"/>
  <c r="O282" i="1"/>
  <c r="O281" i="1"/>
  <c r="O280" i="1"/>
  <c r="O279" i="1"/>
  <c r="O278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3" i="1"/>
  <c r="O242" i="1"/>
  <c r="O241" i="1"/>
  <c r="O240" i="1"/>
  <c r="O239" i="1"/>
  <c r="O238" i="1"/>
  <c r="O237" i="1"/>
  <c r="O236" i="1"/>
  <c r="O235" i="1"/>
  <c r="O234" i="1"/>
  <c r="O233" i="1"/>
  <c r="O231" i="1"/>
  <c r="O230" i="1"/>
  <c r="O229" i="1"/>
  <c r="O228" i="1"/>
  <c r="O227" i="1"/>
  <c r="O226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8" i="1"/>
  <c r="O197" i="1"/>
  <c r="O196" i="1"/>
  <c r="O195" i="1"/>
  <c r="O194" i="1"/>
  <c r="O193" i="1"/>
  <c r="O192" i="1"/>
  <c r="O191" i="1"/>
  <c r="O190" i="1"/>
  <c r="O189" i="1"/>
  <c r="O188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43" i="1"/>
  <c r="O144" i="1"/>
  <c r="O145" i="1"/>
  <c r="O146" i="1"/>
  <c r="O147" i="1"/>
  <c r="O148" i="1"/>
  <c r="O149" i="1"/>
  <c r="O150" i="1"/>
  <c r="O151" i="1"/>
  <c r="O152" i="1"/>
  <c r="O153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98" i="1"/>
  <c r="O99" i="1"/>
  <c r="O100" i="1"/>
  <c r="O101" i="1"/>
  <c r="O102" i="1"/>
  <c r="O103" i="1"/>
  <c r="O104" i="1"/>
  <c r="O105" i="1"/>
  <c r="O106" i="1"/>
  <c r="O107" i="1"/>
  <c r="O108" i="1"/>
  <c r="O97" i="1"/>
  <c r="O95" i="1"/>
  <c r="O62" i="1"/>
  <c r="O51" i="1"/>
  <c r="O52" i="1"/>
  <c r="O53" i="1"/>
  <c r="O54" i="1"/>
  <c r="O55" i="1"/>
  <c r="O56" i="1"/>
  <c r="O57" i="1"/>
  <c r="O58" i="1"/>
  <c r="O59" i="1"/>
  <c r="O60" i="1"/>
  <c r="O61" i="1"/>
  <c r="O64" i="1"/>
  <c r="O65" i="1"/>
  <c r="O66" i="1"/>
  <c r="O67" i="1"/>
  <c r="O68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7" i="1"/>
  <c r="O8" i="1"/>
  <c r="O9" i="1"/>
  <c r="O10" i="1"/>
  <c r="O11" i="1"/>
  <c r="O12" i="1"/>
  <c r="O13" i="1"/>
  <c r="O14" i="1"/>
  <c r="O15" i="1"/>
  <c r="O16" i="1"/>
  <c r="O6" i="1"/>
  <c r="G14" i="17"/>
  <c r="G13" i="17"/>
  <c r="G6" i="17"/>
  <c r="G52" i="16"/>
  <c r="G45" i="16"/>
  <c r="G44" i="16"/>
  <c r="G38" i="16"/>
  <c r="G30" i="16"/>
  <c r="G14" i="16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6" i="4"/>
  <c r="O195" i="4"/>
  <c r="O194" i="4"/>
  <c r="O193" i="4"/>
  <c r="O192" i="4"/>
  <c r="O191" i="4"/>
  <c r="O190" i="4"/>
  <c r="O189" i="4"/>
  <c r="O188" i="4"/>
  <c r="O187" i="4"/>
  <c r="O186" i="4"/>
  <c r="O184" i="4"/>
  <c r="O183" i="4"/>
  <c r="O182" i="4"/>
  <c r="O181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6" i="4"/>
  <c r="O155" i="4"/>
  <c r="O154" i="4"/>
  <c r="O153" i="4"/>
  <c r="O151" i="4"/>
  <c r="O150" i="4"/>
  <c r="O149" i="4"/>
  <c r="O148" i="4"/>
  <c r="O147" i="4"/>
  <c r="O146" i="4"/>
  <c r="O145" i="4"/>
  <c r="O144" i="4"/>
  <c r="O143" i="4"/>
  <c r="O142" i="4"/>
  <c r="O141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6" i="4"/>
  <c r="O105" i="4"/>
  <c r="O104" i="4"/>
  <c r="O103" i="4"/>
  <c r="O102" i="4"/>
  <c r="O101" i="4"/>
  <c r="O100" i="4"/>
  <c r="O99" i="4"/>
  <c r="O98" i="4"/>
  <c r="O97" i="4"/>
  <c r="O96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1" i="4"/>
  <c r="O60" i="4"/>
  <c r="O59" i="4"/>
  <c r="O58" i="4"/>
  <c r="O57" i="4"/>
  <c r="O56" i="4"/>
  <c r="O55" i="4"/>
  <c r="O54" i="4"/>
  <c r="O53" i="4"/>
  <c r="O52" i="4"/>
  <c r="O51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6" i="4"/>
  <c r="O15" i="4"/>
  <c r="O14" i="4"/>
  <c r="O13" i="4"/>
  <c r="O12" i="4"/>
  <c r="O11" i="4"/>
  <c r="O10" i="4"/>
  <c r="O9" i="4"/>
  <c r="O8" i="4"/>
  <c r="O7" i="4"/>
  <c r="O6" i="4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2" i="3"/>
  <c r="O331" i="3"/>
  <c r="O330" i="3"/>
  <c r="O329" i="3"/>
  <c r="O328" i="3"/>
  <c r="O327" i="3"/>
  <c r="O326" i="3"/>
  <c r="O325" i="3"/>
  <c r="O324" i="3"/>
  <c r="O323" i="3"/>
  <c r="O322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7" i="3"/>
  <c r="O286" i="3"/>
  <c r="O285" i="3"/>
  <c r="O284" i="3"/>
  <c r="O283" i="3"/>
  <c r="O282" i="3"/>
  <c r="O281" i="3"/>
  <c r="O280" i="3"/>
  <c r="O279" i="3"/>
  <c r="O278" i="3"/>
  <c r="O277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2" i="3"/>
  <c r="O241" i="3"/>
  <c r="O240" i="3"/>
  <c r="O239" i="3"/>
  <c r="O238" i="3"/>
  <c r="O237" i="3"/>
  <c r="O236" i="3"/>
  <c r="O235" i="3"/>
  <c r="O234" i="3"/>
  <c r="O233" i="3"/>
  <c r="O232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7" i="3"/>
  <c r="O196" i="3"/>
  <c r="O195" i="3"/>
  <c r="O194" i="3"/>
  <c r="O193" i="3"/>
  <c r="O192" i="3"/>
  <c r="O191" i="3"/>
  <c r="O190" i="3"/>
  <c r="O189" i="3"/>
  <c r="O188" i="3"/>
  <c r="O187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2" i="3"/>
  <c r="O151" i="3"/>
  <c r="O150" i="3"/>
  <c r="O149" i="3"/>
  <c r="O148" i="3"/>
  <c r="O147" i="3"/>
  <c r="O146" i="3"/>
  <c r="O145" i="3"/>
  <c r="O144" i="3"/>
  <c r="O143" i="3"/>
  <c r="O142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7" i="3"/>
  <c r="O106" i="3"/>
  <c r="O105" i="3"/>
  <c r="O104" i="3"/>
  <c r="O103" i="3"/>
  <c r="O102" i="3"/>
  <c r="O101" i="3"/>
  <c r="O100" i="3"/>
  <c r="O99" i="3"/>
  <c r="O98" i="3"/>
  <c r="O97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2" i="3"/>
  <c r="O61" i="3"/>
  <c r="O60" i="3"/>
  <c r="O59" i="3"/>
  <c r="O58" i="3"/>
  <c r="O57" i="3"/>
  <c r="O56" i="3"/>
  <c r="O55" i="3"/>
  <c r="O54" i="3"/>
  <c r="O53" i="3"/>
  <c r="O52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7" i="3"/>
  <c r="O16" i="3"/>
  <c r="O15" i="3"/>
  <c r="O14" i="3"/>
  <c r="O13" i="3"/>
  <c r="O12" i="3"/>
  <c r="O11" i="3"/>
  <c r="O10" i="3"/>
  <c r="O9" i="3"/>
  <c r="O8" i="3"/>
  <c r="O7" i="3"/>
  <c r="O6" i="3"/>
  <c r="I13" i="17" l="1"/>
  <c r="DA13" i="17" s="1"/>
  <c r="I14" i="17"/>
  <c r="DA14" i="17" s="1"/>
  <c r="I14" i="16"/>
  <c r="G6" i="15"/>
  <c r="H6" i="15" s="1"/>
  <c r="G14" i="15"/>
  <c r="G22" i="15"/>
  <c r="G27" i="15"/>
  <c r="G28" i="15"/>
  <c r="G29" i="15"/>
  <c r="G30" i="15"/>
  <c r="G36" i="15"/>
  <c r="G44" i="15"/>
  <c r="K229" i="4"/>
  <c r="K184" i="4"/>
  <c r="K139" i="4"/>
  <c r="Z246" i="1"/>
  <c r="DJ13" i="17" l="1"/>
  <c r="FP13" i="17"/>
  <c r="FJ13" i="17"/>
  <c r="ER13" i="17"/>
  <c r="EU13" i="17"/>
  <c r="FD13" i="17"/>
  <c r="FB13" i="17"/>
  <c r="FH13" i="17"/>
  <c r="EP13" i="17"/>
  <c r="DS13" i="17"/>
  <c r="DM13" i="17"/>
  <c r="DT13" i="17"/>
  <c r="ED13" i="17"/>
  <c r="FR13" i="17"/>
  <c r="FK13" i="17"/>
  <c r="EE13" i="17"/>
  <c r="DD13" i="17"/>
  <c r="EY13" i="17"/>
  <c r="DH13" i="17"/>
  <c r="EM13" i="17"/>
  <c r="DF13" i="17"/>
  <c r="EU14" i="17"/>
  <c r="EZ13" i="17"/>
  <c r="DZ13" i="17"/>
  <c r="CY13" i="17"/>
  <c r="EI13" i="17"/>
  <c r="FN13" i="17"/>
  <c r="DW13" i="17"/>
  <c r="FI13" i="17"/>
  <c r="EA14" i="17"/>
  <c r="EP14" i="17"/>
  <c r="FF13" i="17"/>
  <c r="EJ13" i="17"/>
  <c r="DO13" i="17"/>
  <c r="FO13" i="17"/>
  <c r="EN13" i="17"/>
  <c r="DN13" i="17"/>
  <c r="FC13" i="17"/>
  <c r="DR13" i="17"/>
  <c r="EV13" i="17"/>
  <c r="ES13" i="17"/>
  <c r="DB13" i="17"/>
  <c r="EA13" i="17"/>
  <c r="EC13" i="17"/>
  <c r="FG14" i="17"/>
  <c r="FD14" i="17"/>
  <c r="FO14" i="17"/>
  <c r="CZ14" i="17"/>
  <c r="EO14" i="17"/>
  <c r="CY14" i="17"/>
  <c r="DP14" i="17"/>
  <c r="EH14" i="17"/>
  <c r="EN14" i="17"/>
  <c r="EL14" i="17"/>
  <c r="DK14" i="17"/>
  <c r="FL14" i="17"/>
  <c r="EM14" i="17"/>
  <c r="DF14" i="17"/>
  <c r="ET14" i="17"/>
  <c r="DD14" i="17"/>
  <c r="ES14" i="17"/>
  <c r="DC14" i="17"/>
  <c r="DI14" i="17"/>
  <c r="DV14" i="17"/>
  <c r="EZ14" i="17"/>
  <c r="DR14" i="17"/>
  <c r="FJ14" i="17"/>
  <c r="DZ14" i="17"/>
  <c r="FI14" i="17"/>
  <c r="DX14" i="17"/>
  <c r="EC14" i="17"/>
  <c r="FK14" i="17"/>
  <c r="EF14" i="17"/>
  <c r="FP14" i="17"/>
  <c r="EV14" i="17"/>
  <c r="DL14" i="17"/>
  <c r="FF14" i="17"/>
  <c r="DT14" i="17"/>
  <c r="FE14" i="17"/>
  <c r="DS14" i="17"/>
  <c r="DY14" i="17"/>
  <c r="DM14" i="17"/>
  <c r="EB14" i="17"/>
  <c r="DG14" i="17"/>
  <c r="FR14" i="17"/>
  <c r="FB14" i="17"/>
  <c r="EJ14" i="17"/>
  <c r="DO14" i="17"/>
  <c r="FQ14" i="17"/>
  <c r="FA14" i="17"/>
  <c r="EI14" i="17"/>
  <c r="DN14" i="17"/>
  <c r="EK14" i="17"/>
  <c r="DU14" i="17"/>
  <c r="DE14" i="17"/>
  <c r="EH13" i="17"/>
  <c r="DL13" i="17"/>
  <c r="FL13" i="17"/>
  <c r="EQ13" i="17"/>
  <c r="DV13" i="17"/>
  <c r="CZ13" i="17"/>
  <c r="FE13" i="17"/>
  <c r="EO13" i="17"/>
  <c r="DY13" i="17"/>
  <c r="DI13" i="17"/>
  <c r="FC14" i="17"/>
  <c r="EY14" i="17"/>
  <c r="EQ14" i="17"/>
  <c r="FH14" i="17"/>
  <c r="ER14" i="17"/>
  <c r="DW14" i="17"/>
  <c r="DB14" i="17"/>
  <c r="FN14" i="17"/>
  <c r="EX14" i="17"/>
  <c r="EE14" i="17"/>
  <c r="DJ14" i="17"/>
  <c r="FM14" i="17"/>
  <c r="EW14" i="17"/>
  <c r="ED14" i="17"/>
  <c r="DH14" i="17"/>
  <c r="EG14" i="17"/>
  <c r="DQ14" i="17"/>
  <c r="ET13" i="17"/>
  <c r="DX13" i="17"/>
  <c r="DC13" i="17"/>
  <c r="EX13" i="17"/>
  <c r="EB13" i="17"/>
  <c r="DG13" i="17"/>
  <c r="FG13" i="17"/>
  <c r="EL13" i="17"/>
  <c r="DP13" i="17"/>
  <c r="FQ13" i="17"/>
  <c r="FA13" i="17"/>
  <c r="EK13" i="17"/>
  <c r="DU13" i="17"/>
  <c r="DE13" i="17"/>
  <c r="EF13" i="17"/>
  <c r="DK13" i="17"/>
  <c r="FM13" i="17"/>
  <c r="EW13" i="17"/>
  <c r="EG13" i="17"/>
  <c r="DQ13" i="17"/>
  <c r="T1" i="19"/>
  <c r="Z2" i="19"/>
  <c r="Z32" i="19" s="1"/>
  <c r="I28" i="19"/>
  <c r="I29" i="19"/>
  <c r="O29" i="19"/>
  <c r="I30" i="19"/>
  <c r="I31" i="19"/>
  <c r="I32" i="19"/>
  <c r="O32" i="19"/>
  <c r="I33" i="19"/>
  <c r="O33" i="19"/>
  <c r="I34" i="19"/>
  <c r="I35" i="19"/>
  <c r="I36" i="19"/>
  <c r="I37" i="19"/>
  <c r="O37" i="19"/>
  <c r="I38" i="19"/>
  <c r="O38" i="19"/>
  <c r="I39" i="19"/>
  <c r="O39" i="19"/>
  <c r="I40" i="19"/>
  <c r="I41" i="19"/>
  <c r="I42" i="19"/>
  <c r="O42" i="19"/>
  <c r="I43" i="19"/>
  <c r="O43" i="19"/>
  <c r="I44" i="19"/>
  <c r="O44" i="19"/>
  <c r="I45" i="19"/>
  <c r="O45" i="19"/>
  <c r="I46" i="19"/>
  <c r="O46" i="19"/>
  <c r="I47" i="19"/>
  <c r="O47" i="19"/>
  <c r="I48" i="19"/>
  <c r="O48" i="19"/>
  <c r="I49" i="19"/>
  <c r="O49" i="19"/>
  <c r="O67" i="19"/>
  <c r="O72" i="19"/>
  <c r="O73" i="19"/>
  <c r="I75" i="19"/>
  <c r="O75" i="19"/>
  <c r="I76" i="19"/>
  <c r="I77" i="19"/>
  <c r="I78" i="19"/>
  <c r="O78" i="19"/>
  <c r="I79" i="19"/>
  <c r="O79" i="19"/>
  <c r="I80" i="19"/>
  <c r="O80" i="19"/>
  <c r="I81" i="19"/>
  <c r="O81" i="19"/>
  <c r="I82" i="19"/>
  <c r="O82" i="19"/>
  <c r="I83" i="19"/>
  <c r="O83" i="19"/>
  <c r="I84" i="19"/>
  <c r="O84" i="19"/>
  <c r="I85" i="19"/>
  <c r="O85" i="19"/>
  <c r="I86" i="19"/>
  <c r="I87" i="19"/>
  <c r="I88" i="19"/>
  <c r="O88" i="19"/>
  <c r="I89" i="19"/>
  <c r="O89" i="19"/>
  <c r="I90" i="19"/>
  <c r="O90" i="19"/>
  <c r="I91" i="19"/>
  <c r="O91" i="19"/>
  <c r="I92" i="19"/>
  <c r="O92" i="19"/>
  <c r="I93" i="19"/>
  <c r="O93" i="19"/>
  <c r="I94" i="19"/>
  <c r="O94" i="19"/>
  <c r="I95" i="19"/>
  <c r="O95" i="19"/>
  <c r="O105" i="19"/>
  <c r="O111" i="19"/>
  <c r="O113" i="19"/>
  <c r="O115" i="19"/>
  <c r="O117" i="19"/>
  <c r="O118" i="19"/>
  <c r="O119" i="19"/>
  <c r="O121" i="19"/>
  <c r="I122" i="19"/>
  <c r="O122" i="19"/>
  <c r="I123" i="19"/>
  <c r="I124" i="19"/>
  <c r="O124" i="19"/>
  <c r="I125" i="19"/>
  <c r="O125" i="19"/>
  <c r="I126" i="19"/>
  <c r="I127" i="19"/>
  <c r="O127" i="19"/>
  <c r="I128" i="19"/>
  <c r="O128" i="19"/>
  <c r="I129" i="19"/>
  <c r="O129" i="19"/>
  <c r="I130" i="19"/>
  <c r="O130" i="19"/>
  <c r="I131" i="19"/>
  <c r="O131" i="19"/>
  <c r="I132" i="19"/>
  <c r="I133" i="19"/>
  <c r="O133" i="19"/>
  <c r="I134" i="19"/>
  <c r="O134" i="19"/>
  <c r="I135" i="19"/>
  <c r="O135" i="19"/>
  <c r="I136" i="19"/>
  <c r="O136" i="19"/>
  <c r="I137" i="19"/>
  <c r="O137" i="19"/>
  <c r="I138" i="19"/>
  <c r="O138" i="19"/>
  <c r="I139" i="19"/>
  <c r="O139" i="19"/>
  <c r="I140" i="19"/>
  <c r="O140" i="19"/>
  <c r="I141" i="19"/>
  <c r="O141" i="19"/>
  <c r="O153" i="19"/>
  <c r="O156" i="19"/>
  <c r="O158" i="19"/>
  <c r="O160" i="19"/>
  <c r="O162" i="19"/>
  <c r="O163" i="19"/>
  <c r="O164" i="19"/>
  <c r="O166" i="19"/>
  <c r="I167" i="19"/>
  <c r="O167" i="19"/>
  <c r="I168" i="19"/>
  <c r="O168" i="19"/>
  <c r="I169" i="19"/>
  <c r="O169" i="19"/>
  <c r="I170" i="19"/>
  <c r="O170" i="19"/>
  <c r="I171" i="19"/>
  <c r="O171" i="19"/>
  <c r="I172" i="19"/>
  <c r="O172" i="19"/>
  <c r="I173" i="19"/>
  <c r="O173" i="19"/>
  <c r="I174" i="19"/>
  <c r="O174" i="19"/>
  <c r="I175" i="19"/>
  <c r="O175" i="19"/>
  <c r="I176" i="19"/>
  <c r="O176" i="19"/>
  <c r="I177" i="19"/>
  <c r="I178" i="19"/>
  <c r="O178" i="19"/>
  <c r="I179" i="19"/>
  <c r="O179" i="19"/>
  <c r="I180" i="19"/>
  <c r="O180" i="19"/>
  <c r="I181" i="19"/>
  <c r="O181" i="19"/>
  <c r="I182" i="19"/>
  <c r="O182" i="19"/>
  <c r="I183" i="19"/>
  <c r="O183" i="19"/>
  <c r="I184" i="19"/>
  <c r="O184" i="19"/>
  <c r="I185" i="19"/>
  <c r="O185" i="19"/>
  <c r="I186" i="19"/>
  <c r="O186" i="19"/>
  <c r="O197" i="19"/>
  <c r="O198" i="19"/>
  <c r="O201" i="19"/>
  <c r="O202" i="19"/>
  <c r="O203" i="19"/>
  <c r="O204" i="19"/>
  <c r="O205" i="19"/>
  <c r="O206" i="19"/>
  <c r="O207" i="19"/>
  <c r="O208" i="19"/>
  <c r="O209" i="19"/>
  <c r="O210" i="19"/>
  <c r="O211" i="19"/>
  <c r="I212" i="19"/>
  <c r="O212" i="19"/>
  <c r="I213" i="19"/>
  <c r="O213" i="19"/>
  <c r="I214" i="19"/>
  <c r="O214" i="19"/>
  <c r="I215" i="19"/>
  <c r="O215" i="19"/>
  <c r="I216" i="19"/>
  <c r="O216" i="19"/>
  <c r="I217" i="19"/>
  <c r="O217" i="19"/>
  <c r="I218" i="19"/>
  <c r="O218" i="19"/>
  <c r="I219" i="19"/>
  <c r="O219" i="19"/>
  <c r="I220" i="19"/>
  <c r="O220" i="19"/>
  <c r="I221" i="19"/>
  <c r="O221" i="19"/>
  <c r="I222" i="19"/>
  <c r="O222" i="19"/>
  <c r="I223" i="19"/>
  <c r="O223" i="19"/>
  <c r="I224" i="19"/>
  <c r="O224" i="19"/>
  <c r="I225" i="19"/>
  <c r="O225" i="19"/>
  <c r="I226" i="19"/>
  <c r="O226" i="19"/>
  <c r="I227" i="19"/>
  <c r="O227" i="19"/>
  <c r="I228" i="19"/>
  <c r="O228" i="19"/>
  <c r="I229" i="19"/>
  <c r="O229" i="19"/>
  <c r="I230" i="19"/>
  <c r="O230" i="19"/>
  <c r="I231" i="19"/>
  <c r="O231" i="19"/>
  <c r="O242" i="19"/>
  <c r="O243" i="19"/>
  <c r="O246" i="19"/>
  <c r="O247" i="19"/>
  <c r="O248" i="19"/>
  <c r="O250" i="19"/>
  <c r="O251" i="19"/>
  <c r="O252" i="19"/>
  <c r="O253" i="19"/>
  <c r="O254" i="19"/>
  <c r="O255" i="19"/>
  <c r="O256" i="19"/>
  <c r="I257" i="19"/>
  <c r="O257" i="19"/>
  <c r="I258" i="19"/>
  <c r="O258" i="19"/>
  <c r="I259" i="19"/>
  <c r="O259" i="19"/>
  <c r="I260" i="19"/>
  <c r="O260" i="19"/>
  <c r="I261" i="19"/>
  <c r="O261" i="19"/>
  <c r="I262" i="19"/>
  <c r="O262" i="19"/>
  <c r="I263" i="19"/>
  <c r="O263" i="19"/>
  <c r="I264" i="19"/>
  <c r="O264" i="19"/>
  <c r="I265" i="19"/>
  <c r="O265" i="19"/>
  <c r="I266" i="19"/>
  <c r="O266" i="19"/>
  <c r="I267" i="19"/>
  <c r="O267" i="19"/>
  <c r="I268" i="19"/>
  <c r="O268" i="19"/>
  <c r="I269" i="19"/>
  <c r="O269" i="19"/>
  <c r="I270" i="19"/>
  <c r="O270" i="19"/>
  <c r="I271" i="19"/>
  <c r="O271" i="19"/>
  <c r="I272" i="19"/>
  <c r="O272" i="19"/>
  <c r="I273" i="19"/>
  <c r="O273" i="19"/>
  <c r="I274" i="19"/>
  <c r="O274" i="19"/>
  <c r="I275" i="19"/>
  <c r="O275" i="19"/>
  <c r="I276" i="19"/>
  <c r="O276" i="19"/>
  <c r="O287" i="19"/>
  <c r="O288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I302" i="19"/>
  <c r="O302" i="19"/>
  <c r="I303" i="19"/>
  <c r="O303" i="19"/>
  <c r="I304" i="19"/>
  <c r="O304" i="19"/>
  <c r="I305" i="19"/>
  <c r="O305" i="19"/>
  <c r="I306" i="19"/>
  <c r="O306" i="19"/>
  <c r="I307" i="19"/>
  <c r="O307" i="19"/>
  <c r="I308" i="19"/>
  <c r="O308" i="19"/>
  <c r="I309" i="19"/>
  <c r="O309" i="19"/>
  <c r="I310" i="19"/>
  <c r="O310" i="19"/>
  <c r="I311" i="19"/>
  <c r="O311" i="19"/>
  <c r="I312" i="19"/>
  <c r="O312" i="19"/>
  <c r="I313" i="19"/>
  <c r="O313" i="19"/>
  <c r="I314" i="19"/>
  <c r="O314" i="19"/>
  <c r="I315" i="19"/>
  <c r="O315" i="19"/>
  <c r="I316" i="19"/>
  <c r="O316" i="19"/>
  <c r="I317" i="19"/>
  <c r="O317" i="19"/>
  <c r="I318" i="19"/>
  <c r="O318" i="19"/>
  <c r="I319" i="19"/>
  <c r="O319" i="19"/>
  <c r="I320" i="19"/>
  <c r="O320" i="19"/>
  <c r="I321" i="19"/>
  <c r="O321" i="19"/>
  <c r="O331" i="19"/>
  <c r="O332" i="19"/>
  <c r="O333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I347" i="19"/>
  <c r="O347" i="19"/>
  <c r="I348" i="19"/>
  <c r="O348" i="19"/>
  <c r="I349" i="19"/>
  <c r="O349" i="19"/>
  <c r="I350" i="19"/>
  <c r="O350" i="19"/>
  <c r="I351" i="19"/>
  <c r="O351" i="19"/>
  <c r="I352" i="19"/>
  <c r="O352" i="19"/>
  <c r="I353" i="19"/>
  <c r="O353" i="19"/>
  <c r="I354" i="19"/>
  <c r="O354" i="19"/>
  <c r="I355" i="19"/>
  <c r="O355" i="19"/>
  <c r="I356" i="19"/>
  <c r="O356" i="19"/>
  <c r="I357" i="19"/>
  <c r="O357" i="19"/>
  <c r="I358" i="19"/>
  <c r="O358" i="19"/>
  <c r="I359" i="19"/>
  <c r="O359" i="19"/>
  <c r="I360" i="19"/>
  <c r="O360" i="19"/>
  <c r="I361" i="19"/>
  <c r="O361" i="19"/>
  <c r="I362" i="19"/>
  <c r="O362" i="19"/>
  <c r="I363" i="19"/>
  <c r="O363" i="19"/>
  <c r="I364" i="19"/>
  <c r="O364" i="19"/>
  <c r="I365" i="19"/>
  <c r="O365" i="19"/>
  <c r="I366" i="19"/>
  <c r="O366" i="19"/>
  <c r="O372" i="19"/>
  <c r="O373" i="19"/>
  <c r="O376" i="19"/>
  <c r="O377" i="19"/>
  <c r="O378" i="19"/>
  <c r="O380" i="19"/>
  <c r="O381" i="19"/>
  <c r="O382" i="19"/>
  <c r="O383" i="19"/>
  <c r="O384" i="19"/>
  <c r="O385" i="19"/>
  <c r="O386" i="19"/>
  <c r="O387" i="19"/>
  <c r="O388" i="19"/>
  <c r="O389" i="19"/>
  <c r="O390" i="19"/>
  <c r="O391" i="19"/>
  <c r="I392" i="19"/>
  <c r="O392" i="19"/>
  <c r="I393" i="19"/>
  <c r="O393" i="19"/>
  <c r="I394" i="19"/>
  <c r="O394" i="19"/>
  <c r="I395" i="19"/>
  <c r="O395" i="19"/>
  <c r="I396" i="19"/>
  <c r="O396" i="19"/>
  <c r="I397" i="19"/>
  <c r="O397" i="19"/>
  <c r="I398" i="19"/>
  <c r="O398" i="19"/>
  <c r="I399" i="19"/>
  <c r="O399" i="19"/>
  <c r="I400" i="19"/>
  <c r="O400" i="19"/>
  <c r="I401" i="19"/>
  <c r="O401" i="19"/>
  <c r="I402" i="19"/>
  <c r="O402" i="19"/>
  <c r="I403" i="19"/>
  <c r="O403" i="19"/>
  <c r="I404" i="19"/>
  <c r="O404" i="19"/>
  <c r="I405" i="19"/>
  <c r="O405" i="19"/>
  <c r="I406" i="19"/>
  <c r="O406" i="19"/>
  <c r="I407" i="19"/>
  <c r="O407" i="19"/>
  <c r="I408" i="19"/>
  <c r="O408" i="19"/>
  <c r="I409" i="19"/>
  <c r="O409" i="19"/>
  <c r="I410" i="19"/>
  <c r="O410" i="19"/>
  <c r="I411" i="19"/>
  <c r="O411" i="19"/>
  <c r="U401" i="19" l="1"/>
  <c r="U269" i="19"/>
  <c r="U314" i="19"/>
  <c r="U359" i="19"/>
  <c r="U356" i="19"/>
  <c r="U404" i="19"/>
  <c r="U266" i="19"/>
  <c r="U311" i="19"/>
  <c r="U42" i="19"/>
  <c r="U134" i="19"/>
  <c r="U179" i="19"/>
  <c r="U39" i="19"/>
  <c r="U88" i="19"/>
  <c r="U221" i="19"/>
  <c r="U131" i="19"/>
  <c r="U176" i="19"/>
  <c r="U224" i="19"/>
  <c r="U85" i="19"/>
  <c r="G37" i="16" l="1"/>
  <c r="G35" i="16"/>
  <c r="G29" i="16"/>
  <c r="G27" i="16"/>
  <c r="G19" i="17"/>
  <c r="G20" i="17"/>
  <c r="G21" i="17"/>
  <c r="G12" i="17"/>
  <c r="G11" i="17"/>
  <c r="G5" i="17"/>
  <c r="A51" i="3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G22" i="16"/>
  <c r="G6" i="16"/>
  <c r="G21" i="15"/>
  <c r="I12" i="17" l="1"/>
  <c r="DA12" i="17" s="1"/>
  <c r="I21" i="17"/>
  <c r="DI21" i="17" s="1"/>
  <c r="I5" i="17"/>
  <c r="DC5" i="17" s="1"/>
  <c r="I20" i="17"/>
  <c r="DA20" i="17" s="1"/>
  <c r="I11" i="17"/>
  <c r="DI11" i="17" s="1"/>
  <c r="I19" i="17"/>
  <c r="DI19" i="17" s="1"/>
  <c r="I6" i="16"/>
  <c r="H22" i="16"/>
  <c r="K226" i="4"/>
  <c r="L135" i="4"/>
  <c r="L226" i="4"/>
  <c r="K180" i="4"/>
  <c r="I151" i="3"/>
  <c r="I15" i="3"/>
  <c r="I16" i="3" s="1"/>
  <c r="FR12" i="17" l="1"/>
  <c r="CZ12" i="17"/>
  <c r="FO12" i="17"/>
  <c r="EY11" i="17"/>
  <c r="FI12" i="17"/>
  <c r="FC12" i="17"/>
  <c r="FB12" i="17"/>
  <c r="EZ12" i="17"/>
  <c r="ET12" i="17"/>
  <c r="FA12" i="17"/>
  <c r="DF11" i="17"/>
  <c r="EH21" i="17"/>
  <c r="EM12" i="17"/>
  <c r="EF12" i="17"/>
  <c r="EE12" i="17"/>
  <c r="ED12" i="17"/>
  <c r="EK12" i="17"/>
  <c r="DW21" i="17"/>
  <c r="DR12" i="17"/>
  <c r="DK12" i="17"/>
  <c r="DO12" i="17"/>
  <c r="DH12" i="17"/>
  <c r="DU12" i="17"/>
  <c r="DB11" i="17"/>
  <c r="DX21" i="17"/>
  <c r="FN12" i="17"/>
  <c r="DW12" i="17"/>
  <c r="FL12" i="17"/>
  <c r="EA12" i="17"/>
  <c r="FF12" i="17"/>
  <c r="DT12" i="17"/>
  <c r="FJ12" i="17"/>
  <c r="DS12" i="17"/>
  <c r="FE12" i="17"/>
  <c r="EC12" i="17"/>
  <c r="EG11" i="17"/>
  <c r="DV21" i="17"/>
  <c r="EE21" i="17"/>
  <c r="ER12" i="17"/>
  <c r="DL12" i="17"/>
  <c r="EQ12" i="17"/>
  <c r="DF12" i="17"/>
  <c r="EP12" i="17"/>
  <c r="CY12" i="17"/>
  <c r="EN12" i="17"/>
  <c r="DC12" i="17"/>
  <c r="EO12" i="17"/>
  <c r="DM12" i="17"/>
  <c r="FR5" i="17"/>
  <c r="EJ5" i="17"/>
  <c r="DZ5" i="17"/>
  <c r="EW5" i="17"/>
  <c r="EU11" i="17"/>
  <c r="DM5" i="17"/>
  <c r="FF5" i="17"/>
  <c r="DJ5" i="17"/>
  <c r="ES5" i="17"/>
  <c r="DA5" i="17"/>
  <c r="DP5" i="17"/>
  <c r="FD21" i="17"/>
  <c r="CZ21" i="17"/>
  <c r="FN21" i="17"/>
  <c r="FP21" i="17"/>
  <c r="DJ21" i="17"/>
  <c r="EP5" i="17"/>
  <c r="DF5" i="17"/>
  <c r="EG5" i="17"/>
  <c r="FD5" i="17"/>
  <c r="FK5" i="17"/>
  <c r="EX21" i="17"/>
  <c r="FR21" i="17"/>
  <c r="FO21" i="17"/>
  <c r="FG21" i="17"/>
  <c r="FF21" i="17"/>
  <c r="FI21" i="17"/>
  <c r="FH12" i="17"/>
  <c r="EH12" i="17"/>
  <c r="DB12" i="17"/>
  <c r="EV12" i="17"/>
  <c r="DV12" i="17"/>
  <c r="FK12" i="17"/>
  <c r="EJ12" i="17"/>
  <c r="DJ12" i="17"/>
  <c r="EY12" i="17"/>
  <c r="DX12" i="17"/>
  <c r="FQ12" i="17"/>
  <c r="ES12" i="17"/>
  <c r="DY12" i="17"/>
  <c r="EL5" i="17"/>
  <c r="FM5" i="17"/>
  <c r="DQ5" i="17"/>
  <c r="EZ5" i="17"/>
  <c r="CY5" i="17"/>
  <c r="EB21" i="17"/>
  <c r="EN21" i="17"/>
  <c r="EM21" i="17"/>
  <c r="ED21" i="17"/>
  <c r="EJ21" i="17"/>
  <c r="EC21" i="17"/>
  <c r="EY16" i="17"/>
  <c r="DF21" i="17"/>
  <c r="DS11" i="17"/>
  <c r="FL11" i="17"/>
  <c r="EH11" i="17"/>
  <c r="EL11" i="17"/>
  <c r="FM11" i="17"/>
  <c r="EX12" i="17"/>
  <c r="EB12" i="17"/>
  <c r="DG12" i="17"/>
  <c r="FG12" i="17"/>
  <c r="EL12" i="17"/>
  <c r="DP12" i="17"/>
  <c r="FP12" i="17"/>
  <c r="EU12" i="17"/>
  <c r="DZ12" i="17"/>
  <c r="DD12" i="17"/>
  <c r="FD12" i="17"/>
  <c r="EI12" i="17"/>
  <c r="DN12" i="17"/>
  <c r="FM12" i="17"/>
  <c r="EW12" i="17"/>
  <c r="EG12" i="17"/>
  <c r="DQ12" i="17"/>
  <c r="DE12" i="17"/>
  <c r="DX11" i="17"/>
  <c r="DX16" i="17" s="1"/>
  <c r="DH11" i="17"/>
  <c r="DH16" i="17" s="1"/>
  <c r="EW21" i="17"/>
  <c r="DD21" i="17"/>
  <c r="DU21" i="17"/>
  <c r="EQ21" i="17"/>
  <c r="DN21" i="17"/>
  <c r="FJ21" i="17"/>
  <c r="EA21" i="17"/>
  <c r="FB21" i="17"/>
  <c r="DR21" i="17"/>
  <c r="EY21" i="17"/>
  <c r="DH21" i="17"/>
  <c r="EZ21" i="17"/>
  <c r="DZ21" i="17"/>
  <c r="FQ21" i="17"/>
  <c r="ES21" i="17"/>
  <c r="DQ21" i="17"/>
  <c r="DH5" i="17"/>
  <c r="FL21" i="17"/>
  <c r="EI21" i="17"/>
  <c r="DG21" i="17"/>
  <c r="FC21" i="17"/>
  <c r="DL21" i="17"/>
  <c r="ET21" i="17"/>
  <c r="DK21" i="17"/>
  <c r="EL21" i="17"/>
  <c r="DB21" i="17"/>
  <c r="EU21" i="17"/>
  <c r="DO21" i="17"/>
  <c r="FM21" i="17"/>
  <c r="EK21" i="17"/>
  <c r="DE21" i="17"/>
  <c r="DO19" i="17"/>
  <c r="FJ11" i="17"/>
  <c r="DO11" i="17"/>
  <c r="EN11" i="17"/>
  <c r="EN16" i="17" s="1"/>
  <c r="EW11" i="17"/>
  <c r="DT20" i="17"/>
  <c r="FB5" i="17"/>
  <c r="DV5" i="17"/>
  <c r="FI5" i="17"/>
  <c r="EC5" i="17"/>
  <c r="FP5" i="17"/>
  <c r="EF5" i="17"/>
  <c r="DW5" i="17"/>
  <c r="EV21" i="17"/>
  <c r="DS21" i="17"/>
  <c r="FH21" i="17"/>
  <c r="EF21" i="17"/>
  <c r="DC21" i="17"/>
  <c r="ER21" i="17"/>
  <c r="DP21" i="17"/>
  <c r="FK21" i="17"/>
  <c r="EP21" i="17"/>
  <c r="DT21" i="17"/>
  <c r="CY21" i="17"/>
  <c r="FA21" i="17"/>
  <c r="EG21" i="17"/>
  <c r="DM21" i="17"/>
  <c r="DI12" i="17"/>
  <c r="DI16" i="17" s="1"/>
  <c r="DQ11" i="17"/>
  <c r="EM19" i="17"/>
  <c r="EY19" i="17"/>
  <c r="DG19" i="17"/>
  <c r="FD11" i="17"/>
  <c r="FJ20" i="17"/>
  <c r="EL19" i="17"/>
  <c r="DD19" i="17"/>
  <c r="DK11" i="17"/>
  <c r="FN11" i="17"/>
  <c r="DG11" i="17"/>
  <c r="ED11" i="17"/>
  <c r="ED16" i="17" s="1"/>
  <c r="EJ11" i="17"/>
  <c r="EJ16" i="17" s="1"/>
  <c r="DD11" i="17"/>
  <c r="ES11" i="17"/>
  <c r="EC11" i="17"/>
  <c r="FF20" i="17"/>
  <c r="EB20" i="17"/>
  <c r="FL19" i="17"/>
  <c r="EA19" i="17"/>
  <c r="FF19" i="17"/>
  <c r="FA19" i="17"/>
  <c r="FK11" i="17"/>
  <c r="EI11" i="17"/>
  <c r="DC11" i="17"/>
  <c r="DC16" i="17" s="1"/>
  <c r="EX11" i="17"/>
  <c r="DR11" i="17"/>
  <c r="DR16" i="17" s="1"/>
  <c r="FH11" i="17"/>
  <c r="EE11" i="17"/>
  <c r="EE16" i="17" s="1"/>
  <c r="CY11" i="17"/>
  <c r="FB11" i="17"/>
  <c r="FB16" i="17" s="1"/>
  <c r="DV11" i="17"/>
  <c r="EV11" i="17"/>
  <c r="EF11" i="17"/>
  <c r="DP11" i="17"/>
  <c r="CZ11" i="17"/>
  <c r="FE11" i="17"/>
  <c r="FE16" i="17" s="1"/>
  <c r="EO11" i="17"/>
  <c r="DY11" i="17"/>
  <c r="DE11" i="17"/>
  <c r="DV20" i="17"/>
  <c r="DS20" i="17"/>
  <c r="FI20" i="17"/>
  <c r="DA21" i="17"/>
  <c r="DC20" i="17"/>
  <c r="FR19" i="17"/>
  <c r="DX19" i="17"/>
  <c r="FP11" i="17"/>
  <c r="EQ11" i="17"/>
  <c r="DZ11" i="17"/>
  <c r="EM11" i="17"/>
  <c r="FG11" i="17"/>
  <c r="EZ11" i="17"/>
  <c r="DT11" i="17"/>
  <c r="FI11" i="17"/>
  <c r="DM11" i="17"/>
  <c r="DM16" i="17" s="1"/>
  <c r="EX19" i="17"/>
  <c r="DL19" i="17"/>
  <c r="EU19" i="17"/>
  <c r="DE19" i="17"/>
  <c r="FF11" i="17"/>
  <c r="FF16" i="17" s="1"/>
  <c r="EA11" i="17"/>
  <c r="FO11" i="17"/>
  <c r="FO16" i="17" s="1"/>
  <c r="EP11" i="17"/>
  <c r="DJ11" i="17"/>
  <c r="FC11" i="17"/>
  <c r="DW11" i="17"/>
  <c r="DW16" i="17" s="1"/>
  <c r="FR11" i="17"/>
  <c r="FR16" i="17" s="1"/>
  <c r="ET11" i="17"/>
  <c r="DN11" i="17"/>
  <c r="ER11" i="17"/>
  <c r="ER16" i="17" s="1"/>
  <c r="EB11" i="17"/>
  <c r="DL11" i="17"/>
  <c r="FQ11" i="17"/>
  <c r="FA11" i="17"/>
  <c r="EK11" i="17"/>
  <c r="EK16" i="17" s="1"/>
  <c r="DU11" i="17"/>
  <c r="DA11" i="17"/>
  <c r="DA16" i="17" s="1"/>
  <c r="FD20" i="17"/>
  <c r="EZ20" i="17"/>
  <c r="EC20" i="17"/>
  <c r="EQ5" i="17"/>
  <c r="DH20" i="17"/>
  <c r="DN20" i="17"/>
  <c r="DK20" i="17"/>
  <c r="DR20" i="17"/>
  <c r="DU20" i="17"/>
  <c r="FG5" i="17"/>
  <c r="EM5" i="17"/>
  <c r="DO5" i="17"/>
  <c r="FN19" i="17"/>
  <c r="DH19" i="17"/>
  <c r="DV19" i="17"/>
  <c r="EN19" i="17"/>
  <c r="FB19" i="17"/>
  <c r="FP19" i="17"/>
  <c r="DZ19" i="17"/>
  <c r="FI19" i="17"/>
  <c r="DU19" i="17"/>
  <c r="FL20" i="17"/>
  <c r="ED20" i="17"/>
  <c r="FR20" i="17"/>
  <c r="EA20" i="17"/>
  <c r="FP20" i="17"/>
  <c r="EF20" i="17"/>
  <c r="FG20" i="17"/>
  <c r="DP20" i="17"/>
  <c r="EM20" i="17"/>
  <c r="FQ20" i="17"/>
  <c r="EK20" i="17"/>
  <c r="DE20" i="17"/>
  <c r="FJ5" i="17"/>
  <c r="ET5" i="17"/>
  <c r="ED5" i="17"/>
  <c r="DN5" i="17"/>
  <c r="FQ5" i="17"/>
  <c r="FA5" i="17"/>
  <c r="EK5" i="17"/>
  <c r="DU5" i="17"/>
  <c r="DE5" i="17"/>
  <c r="FH5" i="17"/>
  <c r="EN5" i="17"/>
  <c r="DT5" i="17"/>
  <c r="CZ5" i="17"/>
  <c r="EU5" i="17"/>
  <c r="EA5" i="17"/>
  <c r="DG5" i="17"/>
  <c r="ES19" i="17"/>
  <c r="EY20" i="17"/>
  <c r="EV20" i="17"/>
  <c r="EU20" i="17"/>
  <c r="ET20" i="17"/>
  <c r="FH20" i="17"/>
  <c r="FA20" i="17"/>
  <c r="DW19" i="17"/>
  <c r="EI19" i="17"/>
  <c r="FC19" i="17"/>
  <c r="FO19" i="17"/>
  <c r="DK19" i="17"/>
  <c r="EJ19" i="17"/>
  <c r="FQ19" i="17"/>
  <c r="EK19" i="17"/>
  <c r="EJ20" i="17"/>
  <c r="CZ20" i="17"/>
  <c r="EP20" i="17"/>
  <c r="CY20" i="17"/>
  <c r="EN20" i="17"/>
  <c r="DD20" i="17"/>
  <c r="EE20" i="17"/>
  <c r="EX20" i="17"/>
  <c r="DG20" i="17"/>
  <c r="ES20" i="17"/>
  <c r="DM20" i="17"/>
  <c r="FN5" i="17"/>
  <c r="EX5" i="17"/>
  <c r="EH5" i="17"/>
  <c r="DR5" i="17"/>
  <c r="DB5" i="17"/>
  <c r="FE5" i="17"/>
  <c r="EO5" i="17"/>
  <c r="DY5" i="17"/>
  <c r="DI5" i="17"/>
  <c r="FL5" i="17"/>
  <c r="EV5" i="17"/>
  <c r="DX5" i="17"/>
  <c r="DD5" i="17"/>
  <c r="FC5" i="17"/>
  <c r="EE5" i="17"/>
  <c r="DK5" i="17"/>
  <c r="ER19" i="17"/>
  <c r="DP19" i="17"/>
  <c r="FD19" i="17"/>
  <c r="EB19" i="17"/>
  <c r="CZ19" i="17"/>
  <c r="EV19" i="17"/>
  <c r="DS19" i="17"/>
  <c r="FH19" i="17"/>
  <c r="EF19" i="17"/>
  <c r="DC19" i="17"/>
  <c r="EZ19" i="17"/>
  <c r="EE19" i="17"/>
  <c r="DJ19" i="17"/>
  <c r="FM19" i="17"/>
  <c r="EW19" i="17"/>
  <c r="EG19" i="17"/>
  <c r="DQ19" i="17"/>
  <c r="DA19" i="17"/>
  <c r="DX20" i="17"/>
  <c r="FN20" i="17"/>
  <c r="ER20" i="17"/>
  <c r="DW20" i="17"/>
  <c r="DB20" i="17"/>
  <c r="FE20" i="17"/>
  <c r="EO20" i="17"/>
  <c r="DY20" i="17"/>
  <c r="DI20" i="17"/>
  <c r="DI24" i="17" s="1"/>
  <c r="EC19" i="17"/>
  <c r="DM19" i="17"/>
  <c r="FG19" i="17"/>
  <c r="ED19" i="17"/>
  <c r="DB19" i="17"/>
  <c r="EQ19" i="17"/>
  <c r="DN19" i="17"/>
  <c r="FJ19" i="17"/>
  <c r="EH19" i="17"/>
  <c r="DF19" i="17"/>
  <c r="ET19" i="17"/>
  <c r="DR19" i="17"/>
  <c r="FK19" i="17"/>
  <c r="EP19" i="17"/>
  <c r="DT19" i="17"/>
  <c r="CY19" i="17"/>
  <c r="FE19" i="17"/>
  <c r="EO19" i="17"/>
  <c r="DY19" i="17"/>
  <c r="EQ20" i="17"/>
  <c r="DO20" i="17"/>
  <c r="FK20" i="17"/>
  <c r="EI20" i="17"/>
  <c r="DF20" i="17"/>
  <c r="FB20" i="17"/>
  <c r="DZ20" i="17"/>
  <c r="FO20" i="17"/>
  <c r="EL20" i="17"/>
  <c r="DJ20" i="17"/>
  <c r="FC20" i="17"/>
  <c r="EH20" i="17"/>
  <c r="DL20" i="17"/>
  <c r="FM20" i="17"/>
  <c r="EW20" i="17"/>
  <c r="EG20" i="17"/>
  <c r="DQ20" i="17"/>
  <c r="ER5" i="17"/>
  <c r="EB5" i="17"/>
  <c r="DL5" i="17"/>
  <c r="FO5" i="17"/>
  <c r="EY5" i="17"/>
  <c r="EI5" i="17"/>
  <c r="DS5" i="17"/>
  <c r="FE21" i="17"/>
  <c r="EO21" i="17"/>
  <c r="DY21" i="17"/>
  <c r="L120" i="4"/>
  <c r="K206" i="4"/>
  <c r="K192" i="4"/>
  <c r="K225" i="4"/>
  <c r="K114" i="4"/>
  <c r="L159" i="4"/>
  <c r="K178" i="4"/>
  <c r="K223" i="4"/>
  <c r="L115" i="4"/>
  <c r="K160" i="4"/>
  <c r="K134" i="4"/>
  <c r="L136" i="4"/>
  <c r="K94" i="4"/>
  <c r="K49" i="4"/>
  <c r="EB16" i="17" l="1"/>
  <c r="DE16" i="17"/>
  <c r="DV16" i="17"/>
  <c r="FH16" i="17"/>
  <c r="ES16" i="17"/>
  <c r="EM16" i="17"/>
  <c r="EA16" i="17"/>
  <c r="CY16" i="17"/>
  <c r="FI16" i="17"/>
  <c r="DV24" i="17"/>
  <c r="DL16" i="17"/>
  <c r="ET16" i="17"/>
  <c r="EZ16" i="17"/>
  <c r="EQ16" i="17"/>
  <c r="DK16" i="17"/>
  <c r="FD16" i="17"/>
  <c r="EG16" i="17"/>
  <c r="DG24" i="17"/>
  <c r="CZ16" i="17"/>
  <c r="FA16" i="17"/>
  <c r="DO24" i="17"/>
  <c r="EE24" i="17"/>
  <c r="FQ16" i="17"/>
  <c r="FC16" i="17"/>
  <c r="EF16" i="17"/>
  <c r="DD16" i="17"/>
  <c r="FN16" i="17"/>
  <c r="EO16" i="17"/>
  <c r="DF16" i="17"/>
  <c r="DU16" i="17"/>
  <c r="EP16" i="17"/>
  <c r="EC16" i="17"/>
  <c r="DO16" i="17"/>
  <c r="EM24" i="17"/>
  <c r="DT16" i="17"/>
  <c r="EW16" i="17"/>
  <c r="EU16" i="17"/>
  <c r="DS16" i="17"/>
  <c r="DU24" i="17"/>
  <c r="FN24" i="17"/>
  <c r="DY16" i="17"/>
  <c r="DP16" i="17"/>
  <c r="FK16" i="17"/>
  <c r="DG16" i="17"/>
  <c r="FJ16" i="17"/>
  <c r="FL16" i="17"/>
  <c r="DB16" i="17"/>
  <c r="DN16" i="17"/>
  <c r="DZ16" i="17"/>
  <c r="EX16" i="17"/>
  <c r="DL24" i="17"/>
  <c r="EL24" i="17"/>
  <c r="CY24" i="17"/>
  <c r="DR24" i="17"/>
  <c r="FJ24" i="17"/>
  <c r="FF24" i="17"/>
  <c r="EY24" i="17"/>
  <c r="FG16" i="17"/>
  <c r="FP16" i="17"/>
  <c r="EI16" i="17"/>
  <c r="EH16" i="17"/>
  <c r="ET24" i="17"/>
  <c r="DZ24" i="17"/>
  <c r="DX24" i="17"/>
  <c r="DS24" i="17"/>
  <c r="FD24" i="17"/>
  <c r="DJ16" i="17"/>
  <c r="EV16" i="17"/>
  <c r="EI24" i="17"/>
  <c r="DQ16" i="17"/>
  <c r="FM16" i="17"/>
  <c r="DT24" i="17"/>
  <c r="EL16" i="17"/>
  <c r="FA24" i="17"/>
  <c r="FR24" i="17"/>
  <c r="DN24" i="17"/>
  <c r="FH24" i="17"/>
  <c r="EB24" i="17"/>
  <c r="FL24" i="17"/>
  <c r="DE24" i="17"/>
  <c r="FB24" i="17"/>
  <c r="DW24" i="17"/>
  <c r="DC24" i="17"/>
  <c r="CZ24" i="17"/>
  <c r="EX24" i="17"/>
  <c r="EK24" i="17"/>
  <c r="DD24" i="17"/>
  <c r="EC24" i="17"/>
  <c r="DP24" i="17"/>
  <c r="DK24" i="17"/>
  <c r="FO24" i="17"/>
  <c r="FG24" i="17"/>
  <c r="EZ24" i="17"/>
  <c r="FI24" i="17"/>
  <c r="FE24" i="17"/>
  <c r="FK24" i="17"/>
  <c r="EH24" i="17"/>
  <c r="DB24" i="17"/>
  <c r="DA24" i="17"/>
  <c r="EV24" i="17"/>
  <c r="EU24" i="17"/>
  <c r="EA24" i="17"/>
  <c r="FQ24" i="17"/>
  <c r="FC24" i="17"/>
  <c r="EP24" i="17"/>
  <c r="DM24" i="17"/>
  <c r="EJ24" i="17"/>
  <c r="ES24" i="17"/>
  <c r="FP24" i="17"/>
  <c r="DH24" i="17"/>
  <c r="ED24" i="17"/>
  <c r="EF24" i="17"/>
  <c r="EN24" i="17"/>
  <c r="FM24" i="17"/>
  <c r="DY24" i="17"/>
  <c r="DQ24" i="17"/>
  <c r="DJ24" i="17"/>
  <c r="ER24" i="17"/>
  <c r="EO24" i="17"/>
  <c r="DF24" i="17"/>
  <c r="EQ24" i="17"/>
  <c r="EG24" i="17"/>
  <c r="EW24" i="17"/>
  <c r="L184" i="4"/>
  <c r="L180" i="4"/>
  <c r="K136" i="4"/>
  <c r="L225" i="4"/>
  <c r="K135" i="4"/>
  <c r="L181" i="4"/>
  <c r="K181" i="4"/>
  <c r="K177" i="4"/>
  <c r="K132" i="4"/>
  <c r="G36" i="16"/>
  <c r="G28" i="16"/>
  <c r="G20" i="16"/>
  <c r="G21" i="16"/>
  <c r="G19" i="16"/>
  <c r="G13" i="16"/>
  <c r="G12" i="16"/>
  <c r="G11" i="16"/>
  <c r="G5" i="16"/>
  <c r="G4" i="16"/>
  <c r="G3" i="16"/>
  <c r="G19" i="15"/>
  <c r="H3" i="16" l="1"/>
  <c r="H20" i="16"/>
  <c r="I20" i="16" s="1"/>
  <c r="H4" i="16"/>
  <c r="H19" i="16"/>
  <c r="I19" i="16" s="1"/>
  <c r="H21" i="16"/>
  <c r="I21" i="16" s="1"/>
  <c r="K145" i="4"/>
  <c r="K157" i="4"/>
  <c r="K203" i="4"/>
  <c r="L100" i="4"/>
  <c r="L190" i="4"/>
  <c r="K112" i="4"/>
  <c r="L148" i="4"/>
  <c r="K190" i="4"/>
  <c r="L202" i="4"/>
  <c r="H11" i="8"/>
  <c r="K202" i="4" l="1"/>
  <c r="M190" i="4"/>
  <c r="L145" i="4"/>
  <c r="G11" i="8"/>
  <c r="L228" i="4" l="1"/>
  <c r="K146" i="4"/>
  <c r="K105" i="4"/>
  <c r="L229" i="4"/>
  <c r="L141" i="4"/>
  <c r="L205" i="4"/>
  <c r="K210" i="4"/>
  <c r="L137" i="4"/>
  <c r="L116" i="4"/>
  <c r="L139" i="4"/>
  <c r="K104" i="4"/>
  <c r="L163" i="4"/>
  <c r="K224" i="4"/>
  <c r="L114" i="4"/>
  <c r="L195" i="4"/>
  <c r="L166" i="4"/>
  <c r="L155" i="4"/>
  <c r="L204" i="4"/>
  <c r="K110" i="4"/>
  <c r="L160" i="4"/>
  <c r="L196" i="4"/>
  <c r="L176" i="4"/>
  <c r="K165" i="4"/>
  <c r="K156" i="4"/>
  <c r="L194" i="4"/>
  <c r="K154" i="4"/>
  <c r="K221" i="4"/>
  <c r="K182" i="4"/>
  <c r="K208" i="4"/>
  <c r="L134" i="4"/>
  <c r="L203" i="4"/>
  <c r="L227" i="4"/>
  <c r="L96" i="4"/>
  <c r="K159" i="4"/>
  <c r="K198" i="4"/>
  <c r="L187" i="4"/>
  <c r="K131" i="4"/>
  <c r="L161" i="4"/>
  <c r="L192" i="4"/>
  <c r="K149" i="4"/>
  <c r="L111" i="4"/>
  <c r="K147" i="4"/>
  <c r="L186" i="4"/>
  <c r="L143" i="4"/>
  <c r="L150" i="4"/>
  <c r="K102" i="4"/>
  <c r="L179" i="4"/>
  <c r="L201" i="4"/>
  <c r="K115" i="4"/>
  <c r="K126" i="4"/>
  <c r="K158" i="4"/>
  <c r="K183" i="4"/>
  <c r="L199" i="4"/>
  <c r="K106" i="4"/>
  <c r="K200" i="4"/>
  <c r="L121" i="4"/>
  <c r="K174" i="4"/>
  <c r="K99" i="4"/>
  <c r="K153" i="4"/>
  <c r="K199" i="4"/>
  <c r="K188" i="4"/>
  <c r="L117" i="4"/>
  <c r="K211" i="4"/>
  <c r="L112" i="4"/>
  <c r="L193" i="4"/>
  <c r="K189" i="4"/>
  <c r="L153" i="4"/>
  <c r="L97" i="4"/>
  <c r="K191" i="4"/>
  <c r="L162" i="4"/>
  <c r="K148" i="4"/>
  <c r="L198" i="4"/>
  <c r="K143" i="4"/>
  <c r="L101" i="4"/>
  <c r="L103" i="4"/>
  <c r="K187" i="4"/>
  <c r="K98" i="4"/>
  <c r="L144" i="4"/>
  <c r="L151" i="4"/>
  <c r="K155" i="4"/>
  <c r="L221" i="4"/>
  <c r="L122" i="4"/>
  <c r="L182" i="4"/>
  <c r="K201" i="4"/>
  <c r="K166" i="4"/>
  <c r="K103" i="4"/>
  <c r="K138" i="4"/>
  <c r="K142" i="4"/>
  <c r="K196" i="4"/>
  <c r="L131" i="4"/>
  <c r="K120" i="4"/>
  <c r="L206" i="4"/>
  <c r="K111" i="4"/>
  <c r="L147" i="4"/>
  <c r="K113" i="4"/>
  <c r="L108" i="4"/>
  <c r="K109" i="4"/>
  <c r="K207" i="4"/>
  <c r="L171" i="4"/>
  <c r="L109" i="4"/>
  <c r="L207" i="4"/>
  <c r="K100" i="4"/>
  <c r="L157" i="4"/>
  <c r="K228" i="4"/>
  <c r="L154" i="4"/>
  <c r="L146" i="4"/>
  <c r="F84" i="18"/>
  <c r="G84" i="18" s="1"/>
  <c r="G85" i="18" s="1"/>
  <c r="F79" i="18"/>
  <c r="F74" i="18"/>
  <c r="F75" i="18" s="1"/>
  <c r="F69" i="18"/>
  <c r="G69" i="18" s="1"/>
  <c r="H69" i="18" s="1"/>
  <c r="S69" i="18" s="1"/>
  <c r="F64" i="18"/>
  <c r="F59" i="18"/>
  <c r="G59" i="18" s="1"/>
  <c r="G60" i="18" s="1"/>
  <c r="G61" i="18" s="1"/>
  <c r="F54" i="18"/>
  <c r="F55" i="18" s="1"/>
  <c r="F56" i="18" s="1"/>
  <c r="F49" i="18"/>
  <c r="G49" i="18" s="1"/>
  <c r="H49" i="18" s="1"/>
  <c r="E84" i="18"/>
  <c r="K84" i="18"/>
  <c r="E86" i="18"/>
  <c r="K86" i="18" s="1"/>
  <c r="E79" i="18"/>
  <c r="K79" i="18"/>
  <c r="E81" i="18"/>
  <c r="K81" i="18" s="1"/>
  <c r="E74" i="18"/>
  <c r="K74" i="18" s="1"/>
  <c r="E76" i="18"/>
  <c r="K76" i="18" s="1"/>
  <c r="E69" i="18"/>
  <c r="K69" i="18" s="1"/>
  <c r="E71" i="18"/>
  <c r="K71" i="18" s="1"/>
  <c r="E64" i="18"/>
  <c r="K64" i="18" s="1"/>
  <c r="E66" i="18"/>
  <c r="K66" i="18" s="1"/>
  <c r="E59" i="18"/>
  <c r="K59" i="18" s="1"/>
  <c r="E61" i="18"/>
  <c r="K61" i="18" s="1"/>
  <c r="E54" i="18"/>
  <c r="K54" i="18" s="1"/>
  <c r="E56" i="18"/>
  <c r="K56" i="18" s="1"/>
  <c r="E49" i="18"/>
  <c r="K49" i="18" s="1"/>
  <c r="E51" i="18"/>
  <c r="K51" i="18" s="1"/>
  <c r="F43" i="18"/>
  <c r="F38" i="18"/>
  <c r="G38" i="18" s="1"/>
  <c r="F33" i="18"/>
  <c r="F28" i="18"/>
  <c r="F23" i="18"/>
  <c r="F18" i="18"/>
  <c r="F13" i="18"/>
  <c r="F8" i="18"/>
  <c r="E43" i="18"/>
  <c r="K43" i="18"/>
  <c r="E45" i="18"/>
  <c r="K45" i="18"/>
  <c r="E38" i="18"/>
  <c r="K38" i="18"/>
  <c r="E40" i="18"/>
  <c r="K40" i="18"/>
  <c r="E33" i="18"/>
  <c r="K33" i="18"/>
  <c r="E35" i="18"/>
  <c r="K35" i="18"/>
  <c r="E28" i="18"/>
  <c r="K28" i="18"/>
  <c r="E30" i="18"/>
  <c r="K30" i="18"/>
  <c r="E23" i="18"/>
  <c r="K23" i="18"/>
  <c r="E25" i="18"/>
  <c r="K25" i="18"/>
  <c r="E18" i="18"/>
  <c r="K18" i="18"/>
  <c r="E20" i="18"/>
  <c r="K20" i="18"/>
  <c r="E13" i="18"/>
  <c r="K13" i="18"/>
  <c r="E15" i="18"/>
  <c r="K15" i="18"/>
  <c r="E8" i="18"/>
  <c r="K8" i="18"/>
  <c r="E10" i="18"/>
  <c r="K10" i="18"/>
  <c r="F3" i="18"/>
  <c r="E3" i="18"/>
  <c r="K3" i="18" s="1"/>
  <c r="E5" i="18"/>
  <c r="K5" i="18" s="1"/>
  <c r="G60" i="5"/>
  <c r="G61" i="5" s="1"/>
  <c r="G59" i="5"/>
  <c r="H59" i="5" s="1"/>
  <c r="G52" i="5"/>
  <c r="G51" i="5"/>
  <c r="H51" i="5" s="1"/>
  <c r="G60" i="14"/>
  <c r="G59" i="14"/>
  <c r="G52" i="14"/>
  <c r="G51" i="14"/>
  <c r="G44" i="14"/>
  <c r="G43" i="14"/>
  <c r="H43" i="14" s="1"/>
  <c r="G37" i="14"/>
  <c r="G36" i="14"/>
  <c r="G35" i="14"/>
  <c r="G29" i="14"/>
  <c r="G28" i="14"/>
  <c r="G27" i="14"/>
  <c r="H27" i="14" s="1"/>
  <c r="G21" i="14"/>
  <c r="G20" i="14"/>
  <c r="G19" i="14"/>
  <c r="G13" i="14"/>
  <c r="G12" i="14"/>
  <c r="G11" i="14"/>
  <c r="G5" i="14"/>
  <c r="G4" i="14"/>
  <c r="G3" i="14"/>
  <c r="H3" i="14" s="1"/>
  <c r="G68" i="5"/>
  <c r="H68" i="5" s="1"/>
  <c r="G67" i="5"/>
  <c r="H67" i="5" s="1"/>
  <c r="G44" i="5"/>
  <c r="G43" i="5"/>
  <c r="H43" i="5" s="1"/>
  <c r="G36" i="5"/>
  <c r="G35" i="5"/>
  <c r="H35" i="5" s="1"/>
  <c r="G29" i="5"/>
  <c r="H29" i="5" s="1"/>
  <c r="G27" i="5"/>
  <c r="H27" i="5" s="1"/>
  <c r="G21" i="5"/>
  <c r="H21" i="5" s="1"/>
  <c r="G19" i="5"/>
  <c r="H19" i="5" s="1"/>
  <c r="G13" i="5"/>
  <c r="G5" i="5"/>
  <c r="R34" i="17"/>
  <c r="S34" i="17" s="1"/>
  <c r="T34" i="17" s="1"/>
  <c r="U34" i="17" s="1"/>
  <c r="V34" i="17" s="1"/>
  <c r="W34" i="17" s="1"/>
  <c r="X34" i="17" s="1"/>
  <c r="Y34" i="17" s="1"/>
  <c r="Z34" i="17" s="1"/>
  <c r="AA34" i="17" s="1"/>
  <c r="AB34" i="17" s="1"/>
  <c r="AC34" i="17" s="1"/>
  <c r="AD34" i="17" s="1"/>
  <c r="AE34" i="17" s="1"/>
  <c r="AF34" i="17" s="1"/>
  <c r="AG34" i="17" s="1"/>
  <c r="AH34" i="17" s="1"/>
  <c r="AI34" i="17" s="1"/>
  <c r="AJ34" i="17" s="1"/>
  <c r="AK34" i="17" s="1"/>
  <c r="AL34" i="17" s="1"/>
  <c r="AM34" i="17" s="1"/>
  <c r="AN34" i="17" s="1"/>
  <c r="AO34" i="17" s="1"/>
  <c r="AP34" i="17" s="1"/>
  <c r="AQ34" i="17" s="1"/>
  <c r="AR34" i="17" s="1"/>
  <c r="AS34" i="17" s="1"/>
  <c r="AT34" i="17" s="1"/>
  <c r="AU34" i="17" s="1"/>
  <c r="AV34" i="17" s="1"/>
  <c r="AW34" i="17" s="1"/>
  <c r="AX34" i="17" s="1"/>
  <c r="AY34" i="17" s="1"/>
  <c r="AZ34" i="17" s="1"/>
  <c r="BA34" i="17" s="1"/>
  <c r="BB34" i="17" s="1"/>
  <c r="BC34" i="17" s="1"/>
  <c r="BD34" i="17" s="1"/>
  <c r="BE34" i="17" s="1"/>
  <c r="BF34" i="17" s="1"/>
  <c r="BG34" i="17" s="1"/>
  <c r="BH34" i="17" s="1"/>
  <c r="BI34" i="17" s="1"/>
  <c r="BJ34" i="17" s="1"/>
  <c r="BK34" i="17" s="1"/>
  <c r="BL34" i="17" s="1"/>
  <c r="BM34" i="17" s="1"/>
  <c r="BN34" i="17" s="1"/>
  <c r="BO34" i="17" s="1"/>
  <c r="BP34" i="17" s="1"/>
  <c r="BQ34" i="17" s="1"/>
  <c r="BR34" i="17" s="1"/>
  <c r="BS34" i="17" s="1"/>
  <c r="BT34" i="17" s="1"/>
  <c r="BU34" i="17" s="1"/>
  <c r="BV34" i="17" s="1"/>
  <c r="BW34" i="17" s="1"/>
  <c r="BX34" i="17" s="1"/>
  <c r="BY34" i="17" s="1"/>
  <c r="BZ34" i="17" s="1"/>
  <c r="CA34" i="17" s="1"/>
  <c r="CB34" i="17" s="1"/>
  <c r="CC34" i="17" s="1"/>
  <c r="CD34" i="17" s="1"/>
  <c r="CE34" i="17" s="1"/>
  <c r="CF34" i="17" s="1"/>
  <c r="CG34" i="17" s="1"/>
  <c r="CH34" i="17" s="1"/>
  <c r="CI34" i="17" s="1"/>
  <c r="CJ34" i="17" s="1"/>
  <c r="CK34" i="17" s="1"/>
  <c r="CL34" i="17" s="1"/>
  <c r="CM34" i="17" s="1"/>
  <c r="CN34" i="17" s="1"/>
  <c r="CO34" i="17" s="1"/>
  <c r="CP34" i="17" s="1"/>
  <c r="CQ34" i="17" s="1"/>
  <c r="CR34" i="17" s="1"/>
  <c r="CS34" i="17" s="1"/>
  <c r="CT34" i="17" s="1"/>
  <c r="CU34" i="17" s="1"/>
  <c r="CV34" i="17" s="1"/>
  <c r="CW34" i="17" s="1"/>
  <c r="CX34" i="17" s="1"/>
  <c r="P34" i="17"/>
  <c r="Q34" i="17" s="1"/>
  <c r="P26" i="17"/>
  <c r="Q26" i="17" s="1"/>
  <c r="R26" i="17" s="1"/>
  <c r="S26" i="17" s="1"/>
  <c r="T26" i="17" s="1"/>
  <c r="U26" i="17" s="1"/>
  <c r="V26" i="17" s="1"/>
  <c r="W26" i="17" s="1"/>
  <c r="X26" i="17" s="1"/>
  <c r="Y26" i="17" s="1"/>
  <c r="Z26" i="17" s="1"/>
  <c r="AA26" i="17" s="1"/>
  <c r="AB26" i="17" s="1"/>
  <c r="AC26" i="17" s="1"/>
  <c r="AD26" i="17" s="1"/>
  <c r="AE26" i="17" s="1"/>
  <c r="AF26" i="17" s="1"/>
  <c r="AG26" i="17" s="1"/>
  <c r="AH26" i="17" s="1"/>
  <c r="AI26" i="17" s="1"/>
  <c r="AJ26" i="17" s="1"/>
  <c r="AK26" i="17" s="1"/>
  <c r="AL26" i="17" s="1"/>
  <c r="AM26" i="17" s="1"/>
  <c r="AN26" i="17" s="1"/>
  <c r="AO26" i="17" s="1"/>
  <c r="AP26" i="17" s="1"/>
  <c r="AQ26" i="17" s="1"/>
  <c r="AR26" i="17" s="1"/>
  <c r="AS26" i="17" s="1"/>
  <c r="AT26" i="17" s="1"/>
  <c r="AU26" i="17" s="1"/>
  <c r="AV26" i="17" s="1"/>
  <c r="AW26" i="17" s="1"/>
  <c r="AX26" i="17" s="1"/>
  <c r="AY26" i="17" s="1"/>
  <c r="AZ26" i="17" s="1"/>
  <c r="BA26" i="17" s="1"/>
  <c r="BB26" i="17" s="1"/>
  <c r="BC26" i="17" s="1"/>
  <c r="BD26" i="17" s="1"/>
  <c r="BE26" i="17" s="1"/>
  <c r="BF26" i="17" s="1"/>
  <c r="BG26" i="17" s="1"/>
  <c r="BH26" i="17" s="1"/>
  <c r="BI26" i="17" s="1"/>
  <c r="BJ26" i="17" s="1"/>
  <c r="BK26" i="17" s="1"/>
  <c r="BL26" i="17" s="1"/>
  <c r="BM26" i="17" s="1"/>
  <c r="BN26" i="17" s="1"/>
  <c r="BO26" i="17" s="1"/>
  <c r="BP26" i="17" s="1"/>
  <c r="BQ26" i="17" s="1"/>
  <c r="BR26" i="17" s="1"/>
  <c r="BS26" i="17" s="1"/>
  <c r="BT26" i="17" s="1"/>
  <c r="BU26" i="17" s="1"/>
  <c r="BV26" i="17" s="1"/>
  <c r="BW26" i="17" s="1"/>
  <c r="BX26" i="17" s="1"/>
  <c r="BY26" i="17" s="1"/>
  <c r="BZ26" i="17" s="1"/>
  <c r="CA26" i="17" s="1"/>
  <c r="CB26" i="17" s="1"/>
  <c r="CC26" i="17" s="1"/>
  <c r="CD26" i="17" s="1"/>
  <c r="CE26" i="17" s="1"/>
  <c r="CF26" i="17" s="1"/>
  <c r="CG26" i="17" s="1"/>
  <c r="CH26" i="17" s="1"/>
  <c r="CI26" i="17" s="1"/>
  <c r="CJ26" i="17" s="1"/>
  <c r="CK26" i="17" s="1"/>
  <c r="CL26" i="17" s="1"/>
  <c r="CM26" i="17" s="1"/>
  <c r="CN26" i="17" s="1"/>
  <c r="CO26" i="17" s="1"/>
  <c r="CP26" i="17" s="1"/>
  <c r="CQ26" i="17" s="1"/>
  <c r="CR26" i="17" s="1"/>
  <c r="CS26" i="17" s="1"/>
  <c r="CT26" i="17" s="1"/>
  <c r="CU26" i="17" s="1"/>
  <c r="CV26" i="17" s="1"/>
  <c r="CW26" i="17" s="1"/>
  <c r="CX26" i="17" s="1"/>
  <c r="P18" i="17"/>
  <c r="Q18" i="17" s="1"/>
  <c r="R18" i="17" s="1"/>
  <c r="S18" i="17" s="1"/>
  <c r="T18" i="17" s="1"/>
  <c r="U18" i="17" s="1"/>
  <c r="V18" i="17" s="1"/>
  <c r="W18" i="17" s="1"/>
  <c r="X18" i="17" s="1"/>
  <c r="Y18" i="17" s="1"/>
  <c r="Z18" i="17" s="1"/>
  <c r="AA18" i="17" s="1"/>
  <c r="AB18" i="17" s="1"/>
  <c r="AC18" i="17" s="1"/>
  <c r="AD18" i="17" s="1"/>
  <c r="AE18" i="17" s="1"/>
  <c r="AF18" i="17" s="1"/>
  <c r="AG18" i="17" s="1"/>
  <c r="AH18" i="17" s="1"/>
  <c r="AI18" i="17" s="1"/>
  <c r="AJ18" i="17" s="1"/>
  <c r="AK18" i="17" s="1"/>
  <c r="AL18" i="17" s="1"/>
  <c r="AM18" i="17" s="1"/>
  <c r="AN18" i="17" s="1"/>
  <c r="AO18" i="17" s="1"/>
  <c r="AP18" i="17" s="1"/>
  <c r="AQ18" i="17" s="1"/>
  <c r="AR18" i="17" s="1"/>
  <c r="AS18" i="17" s="1"/>
  <c r="AT18" i="17" s="1"/>
  <c r="AU18" i="17" s="1"/>
  <c r="AV18" i="17" s="1"/>
  <c r="AW18" i="17" s="1"/>
  <c r="AX18" i="17" s="1"/>
  <c r="AY18" i="17" s="1"/>
  <c r="AZ18" i="17" s="1"/>
  <c r="BA18" i="17" s="1"/>
  <c r="BB18" i="17" s="1"/>
  <c r="BC18" i="17" s="1"/>
  <c r="BD18" i="17" s="1"/>
  <c r="BE18" i="17" s="1"/>
  <c r="BF18" i="17" s="1"/>
  <c r="BG18" i="17" s="1"/>
  <c r="BH18" i="17" s="1"/>
  <c r="BI18" i="17" s="1"/>
  <c r="BJ18" i="17" s="1"/>
  <c r="BK18" i="17" s="1"/>
  <c r="BL18" i="17" s="1"/>
  <c r="BM18" i="17" s="1"/>
  <c r="BN18" i="17" s="1"/>
  <c r="BO18" i="17" s="1"/>
  <c r="BP18" i="17" s="1"/>
  <c r="BQ18" i="17" s="1"/>
  <c r="BR18" i="17" s="1"/>
  <c r="BS18" i="17" s="1"/>
  <c r="BT18" i="17" s="1"/>
  <c r="BU18" i="17" s="1"/>
  <c r="BV18" i="17" s="1"/>
  <c r="BW18" i="17" s="1"/>
  <c r="BX18" i="17" s="1"/>
  <c r="BY18" i="17" s="1"/>
  <c r="BZ18" i="17" s="1"/>
  <c r="CA18" i="17" s="1"/>
  <c r="CB18" i="17" s="1"/>
  <c r="CC18" i="17" s="1"/>
  <c r="CD18" i="17" s="1"/>
  <c r="CE18" i="17" s="1"/>
  <c r="CF18" i="17" s="1"/>
  <c r="CG18" i="17" s="1"/>
  <c r="CH18" i="17" s="1"/>
  <c r="CI18" i="17" s="1"/>
  <c r="CJ18" i="17" s="1"/>
  <c r="CK18" i="17" s="1"/>
  <c r="CL18" i="17" s="1"/>
  <c r="CM18" i="17" s="1"/>
  <c r="CN18" i="17" s="1"/>
  <c r="CO18" i="17" s="1"/>
  <c r="CP18" i="17" s="1"/>
  <c r="CQ18" i="17" s="1"/>
  <c r="CR18" i="17" s="1"/>
  <c r="CS18" i="17" s="1"/>
  <c r="CT18" i="17" s="1"/>
  <c r="CU18" i="17" s="1"/>
  <c r="CV18" i="17" s="1"/>
  <c r="CW18" i="17" s="1"/>
  <c r="CX18" i="17" s="1"/>
  <c r="T10" i="17"/>
  <c r="U10" i="17" s="1"/>
  <c r="V10" i="17" s="1"/>
  <c r="W10" i="17" s="1"/>
  <c r="X10" i="17" s="1"/>
  <c r="Y10" i="17" s="1"/>
  <c r="Z10" i="17" s="1"/>
  <c r="AA10" i="17" s="1"/>
  <c r="AB10" i="17" s="1"/>
  <c r="AC10" i="17" s="1"/>
  <c r="AD10" i="17" s="1"/>
  <c r="AE10" i="17" s="1"/>
  <c r="AF10" i="17" s="1"/>
  <c r="AG10" i="17" s="1"/>
  <c r="AH10" i="17" s="1"/>
  <c r="AI10" i="17" s="1"/>
  <c r="AJ10" i="17" s="1"/>
  <c r="AK10" i="17" s="1"/>
  <c r="AL10" i="17" s="1"/>
  <c r="AM10" i="17" s="1"/>
  <c r="AN10" i="17" s="1"/>
  <c r="AO10" i="17" s="1"/>
  <c r="AP10" i="17" s="1"/>
  <c r="AQ10" i="17" s="1"/>
  <c r="AR10" i="17" s="1"/>
  <c r="AS10" i="17" s="1"/>
  <c r="AT10" i="17" s="1"/>
  <c r="AU10" i="17" s="1"/>
  <c r="AV10" i="17" s="1"/>
  <c r="AW10" i="17" s="1"/>
  <c r="AX10" i="17" s="1"/>
  <c r="AY10" i="17" s="1"/>
  <c r="AZ10" i="17" s="1"/>
  <c r="BA10" i="17" s="1"/>
  <c r="BB10" i="17" s="1"/>
  <c r="BC10" i="17" s="1"/>
  <c r="BD10" i="17" s="1"/>
  <c r="BE10" i="17" s="1"/>
  <c r="BF10" i="17" s="1"/>
  <c r="BG10" i="17" s="1"/>
  <c r="BH10" i="17" s="1"/>
  <c r="BI10" i="17" s="1"/>
  <c r="BJ10" i="17" s="1"/>
  <c r="BK10" i="17" s="1"/>
  <c r="BL10" i="17" s="1"/>
  <c r="BM10" i="17" s="1"/>
  <c r="BN10" i="17" s="1"/>
  <c r="BO10" i="17" s="1"/>
  <c r="BP10" i="17" s="1"/>
  <c r="BQ10" i="17" s="1"/>
  <c r="BR10" i="17" s="1"/>
  <c r="BS10" i="17" s="1"/>
  <c r="BT10" i="17" s="1"/>
  <c r="BU10" i="17" s="1"/>
  <c r="BV10" i="17" s="1"/>
  <c r="BW10" i="17" s="1"/>
  <c r="BX10" i="17" s="1"/>
  <c r="BY10" i="17" s="1"/>
  <c r="BZ10" i="17" s="1"/>
  <c r="CA10" i="17" s="1"/>
  <c r="CB10" i="17" s="1"/>
  <c r="CC10" i="17" s="1"/>
  <c r="CD10" i="17" s="1"/>
  <c r="CE10" i="17" s="1"/>
  <c r="CF10" i="17" s="1"/>
  <c r="CG10" i="17" s="1"/>
  <c r="CH10" i="17" s="1"/>
  <c r="CI10" i="17" s="1"/>
  <c r="CJ10" i="17" s="1"/>
  <c r="CK10" i="17" s="1"/>
  <c r="CL10" i="17" s="1"/>
  <c r="CM10" i="17" s="1"/>
  <c r="CN10" i="17" s="1"/>
  <c r="CO10" i="17" s="1"/>
  <c r="CP10" i="17" s="1"/>
  <c r="CQ10" i="17" s="1"/>
  <c r="CR10" i="17" s="1"/>
  <c r="CS10" i="17" s="1"/>
  <c r="CT10" i="17" s="1"/>
  <c r="CU10" i="17" s="1"/>
  <c r="CV10" i="17" s="1"/>
  <c r="CW10" i="17" s="1"/>
  <c r="CX10" i="17" s="1"/>
  <c r="G4" i="17"/>
  <c r="P58" i="16"/>
  <c r="Q58" i="16" s="1"/>
  <c r="R58" i="16" s="1"/>
  <c r="S58" i="16" s="1"/>
  <c r="T58" i="16" s="1"/>
  <c r="U58" i="16" s="1"/>
  <c r="V58" i="16" s="1"/>
  <c r="W58" i="16" s="1"/>
  <c r="X58" i="16" s="1"/>
  <c r="Y58" i="16" s="1"/>
  <c r="Z58" i="16" s="1"/>
  <c r="AA58" i="16" s="1"/>
  <c r="AB58" i="16" s="1"/>
  <c r="AC58" i="16" s="1"/>
  <c r="AD58" i="16" s="1"/>
  <c r="AE58" i="16" s="1"/>
  <c r="AF58" i="16" s="1"/>
  <c r="AG58" i="16" s="1"/>
  <c r="AH58" i="16" s="1"/>
  <c r="AI58" i="16" s="1"/>
  <c r="AJ58" i="16" s="1"/>
  <c r="AK58" i="16" s="1"/>
  <c r="AL58" i="16" s="1"/>
  <c r="AM58" i="16" s="1"/>
  <c r="AN58" i="16" s="1"/>
  <c r="AO58" i="16" s="1"/>
  <c r="AP58" i="16" s="1"/>
  <c r="AQ58" i="16" s="1"/>
  <c r="AR58" i="16" s="1"/>
  <c r="AS58" i="16" s="1"/>
  <c r="AT58" i="16" s="1"/>
  <c r="AU58" i="16" s="1"/>
  <c r="AV58" i="16" s="1"/>
  <c r="AW58" i="16" s="1"/>
  <c r="AX58" i="16" s="1"/>
  <c r="AY58" i="16" s="1"/>
  <c r="AZ58" i="16" s="1"/>
  <c r="BA58" i="16" s="1"/>
  <c r="BB58" i="16" s="1"/>
  <c r="BC58" i="16" s="1"/>
  <c r="BD58" i="16" s="1"/>
  <c r="BE58" i="16" s="1"/>
  <c r="BF58" i="16" s="1"/>
  <c r="BG58" i="16" s="1"/>
  <c r="BH58" i="16" s="1"/>
  <c r="BI58" i="16" s="1"/>
  <c r="BJ58" i="16" s="1"/>
  <c r="BK58" i="16" s="1"/>
  <c r="BL58" i="16" s="1"/>
  <c r="BM58" i="16" s="1"/>
  <c r="BN58" i="16" s="1"/>
  <c r="BO58" i="16" s="1"/>
  <c r="BP58" i="16" s="1"/>
  <c r="BQ58" i="16" s="1"/>
  <c r="BR58" i="16" s="1"/>
  <c r="BS58" i="16" s="1"/>
  <c r="BT58" i="16" s="1"/>
  <c r="BU58" i="16" s="1"/>
  <c r="BV58" i="16" s="1"/>
  <c r="BW58" i="16" s="1"/>
  <c r="BX58" i="16" s="1"/>
  <c r="BY58" i="16" s="1"/>
  <c r="BZ58" i="16" s="1"/>
  <c r="CA58" i="16" s="1"/>
  <c r="CB58" i="16" s="1"/>
  <c r="CC58" i="16" s="1"/>
  <c r="CD58" i="16" s="1"/>
  <c r="CE58" i="16" s="1"/>
  <c r="CF58" i="16" s="1"/>
  <c r="CG58" i="16" s="1"/>
  <c r="CH58" i="16" s="1"/>
  <c r="CI58" i="16" s="1"/>
  <c r="CJ58" i="16" s="1"/>
  <c r="CK58" i="16" s="1"/>
  <c r="CL58" i="16" s="1"/>
  <c r="CM58" i="16" s="1"/>
  <c r="CN58" i="16" s="1"/>
  <c r="CO58" i="16" s="1"/>
  <c r="CP58" i="16" s="1"/>
  <c r="CQ58" i="16" s="1"/>
  <c r="CR58" i="16" s="1"/>
  <c r="CS58" i="16" s="1"/>
  <c r="CT58" i="16" s="1"/>
  <c r="CU58" i="16" s="1"/>
  <c r="CV58" i="16" s="1"/>
  <c r="CW58" i="16" s="1"/>
  <c r="CX58" i="16" s="1"/>
  <c r="CY58" i="16" s="1"/>
  <c r="CZ58" i="16" s="1"/>
  <c r="DA58" i="16" s="1"/>
  <c r="DB58" i="16" s="1"/>
  <c r="DC58" i="16" s="1"/>
  <c r="DD58" i="16" s="1"/>
  <c r="DE58" i="16" s="1"/>
  <c r="DF58" i="16" s="1"/>
  <c r="DG58" i="16" s="1"/>
  <c r="DH58" i="16" s="1"/>
  <c r="DI58" i="16" s="1"/>
  <c r="DJ58" i="16" s="1"/>
  <c r="DK58" i="16" s="1"/>
  <c r="DL58" i="16" s="1"/>
  <c r="DM58" i="16" s="1"/>
  <c r="DN58" i="16" s="1"/>
  <c r="DO58" i="16" s="1"/>
  <c r="DP58" i="16" s="1"/>
  <c r="DQ58" i="16" s="1"/>
  <c r="DR58" i="16" s="1"/>
  <c r="DS58" i="16" s="1"/>
  <c r="DT58" i="16" s="1"/>
  <c r="DU58" i="16" s="1"/>
  <c r="DV58" i="16" s="1"/>
  <c r="P50" i="16"/>
  <c r="Q50" i="16" s="1"/>
  <c r="R50" i="16" s="1"/>
  <c r="S50" i="16" s="1"/>
  <c r="T50" i="16" s="1"/>
  <c r="U50" i="16" s="1"/>
  <c r="V50" i="16" s="1"/>
  <c r="W50" i="16" s="1"/>
  <c r="X50" i="16" s="1"/>
  <c r="Y50" i="16" s="1"/>
  <c r="Z50" i="16" s="1"/>
  <c r="AA50" i="16" s="1"/>
  <c r="AB50" i="16" s="1"/>
  <c r="AC50" i="16" s="1"/>
  <c r="AD50" i="16" s="1"/>
  <c r="AE50" i="16" s="1"/>
  <c r="AF50" i="16" s="1"/>
  <c r="AG50" i="16" s="1"/>
  <c r="AH50" i="16" s="1"/>
  <c r="AI50" i="16" s="1"/>
  <c r="AJ50" i="16" s="1"/>
  <c r="AK50" i="16" s="1"/>
  <c r="AL50" i="16" s="1"/>
  <c r="AM50" i="16" s="1"/>
  <c r="AN50" i="16" s="1"/>
  <c r="AO50" i="16" s="1"/>
  <c r="AP50" i="16" s="1"/>
  <c r="AQ50" i="16" s="1"/>
  <c r="AR50" i="16" s="1"/>
  <c r="AS50" i="16" s="1"/>
  <c r="AT50" i="16" s="1"/>
  <c r="AU50" i="16" s="1"/>
  <c r="AV50" i="16" s="1"/>
  <c r="AW50" i="16" s="1"/>
  <c r="AX50" i="16" s="1"/>
  <c r="AY50" i="16" s="1"/>
  <c r="AZ50" i="16" s="1"/>
  <c r="BA50" i="16" s="1"/>
  <c r="BB50" i="16" s="1"/>
  <c r="BC50" i="16" s="1"/>
  <c r="BD50" i="16" s="1"/>
  <c r="BE50" i="16" s="1"/>
  <c r="BF50" i="16" s="1"/>
  <c r="BG50" i="16" s="1"/>
  <c r="BH50" i="16" s="1"/>
  <c r="BI50" i="16" s="1"/>
  <c r="BJ50" i="16" s="1"/>
  <c r="BK50" i="16" s="1"/>
  <c r="BL50" i="16" s="1"/>
  <c r="BM50" i="16" s="1"/>
  <c r="BN50" i="16" s="1"/>
  <c r="BO50" i="16" s="1"/>
  <c r="BP50" i="16" s="1"/>
  <c r="BQ50" i="16" s="1"/>
  <c r="BR50" i="16" s="1"/>
  <c r="BS50" i="16" s="1"/>
  <c r="BT50" i="16" s="1"/>
  <c r="BU50" i="16" s="1"/>
  <c r="BV50" i="16" s="1"/>
  <c r="BW50" i="16" s="1"/>
  <c r="BX50" i="16" s="1"/>
  <c r="BY50" i="16" s="1"/>
  <c r="BZ50" i="16" s="1"/>
  <c r="CA50" i="16" s="1"/>
  <c r="CB50" i="16" s="1"/>
  <c r="CC50" i="16" s="1"/>
  <c r="CD50" i="16" s="1"/>
  <c r="CE50" i="16" s="1"/>
  <c r="CF50" i="16" s="1"/>
  <c r="CG50" i="16" s="1"/>
  <c r="CH50" i="16" s="1"/>
  <c r="CI50" i="16" s="1"/>
  <c r="CJ50" i="16" s="1"/>
  <c r="CK50" i="16" s="1"/>
  <c r="CL50" i="16" s="1"/>
  <c r="CM50" i="16" s="1"/>
  <c r="CN50" i="16" s="1"/>
  <c r="CO50" i="16" s="1"/>
  <c r="CP50" i="16" s="1"/>
  <c r="CQ50" i="16" s="1"/>
  <c r="CR50" i="16" s="1"/>
  <c r="CS50" i="16" s="1"/>
  <c r="CT50" i="16" s="1"/>
  <c r="CU50" i="16" s="1"/>
  <c r="CV50" i="16" s="1"/>
  <c r="CW50" i="16" s="1"/>
  <c r="CX50" i="16" s="1"/>
  <c r="CY50" i="16" s="1"/>
  <c r="CZ50" i="16" s="1"/>
  <c r="DA50" i="16" s="1"/>
  <c r="DB50" i="16" s="1"/>
  <c r="DC50" i="16" s="1"/>
  <c r="DD50" i="16" s="1"/>
  <c r="DE50" i="16" s="1"/>
  <c r="DF50" i="16" s="1"/>
  <c r="DG50" i="16" s="1"/>
  <c r="DH50" i="16" s="1"/>
  <c r="DI50" i="16" s="1"/>
  <c r="DJ50" i="16" s="1"/>
  <c r="DK50" i="16" s="1"/>
  <c r="DL50" i="16" s="1"/>
  <c r="DM50" i="16" s="1"/>
  <c r="DN50" i="16" s="1"/>
  <c r="DO50" i="16" s="1"/>
  <c r="DP50" i="16" s="1"/>
  <c r="DQ50" i="16" s="1"/>
  <c r="DR50" i="16" s="1"/>
  <c r="DS50" i="16" s="1"/>
  <c r="DT50" i="16" s="1"/>
  <c r="DU50" i="16" s="1"/>
  <c r="DV50" i="16" s="1"/>
  <c r="P42" i="16"/>
  <c r="Q42" i="16" s="1"/>
  <c r="R42" i="16" s="1"/>
  <c r="S42" i="16" s="1"/>
  <c r="T42" i="16" s="1"/>
  <c r="U42" i="16" s="1"/>
  <c r="V42" i="16" s="1"/>
  <c r="W42" i="16" s="1"/>
  <c r="X42" i="16" s="1"/>
  <c r="Y42" i="16" s="1"/>
  <c r="Z42" i="16" s="1"/>
  <c r="AA42" i="16" s="1"/>
  <c r="AB42" i="16" s="1"/>
  <c r="AC42" i="16" s="1"/>
  <c r="AD42" i="16" s="1"/>
  <c r="AE42" i="16" s="1"/>
  <c r="AF42" i="16" s="1"/>
  <c r="AG42" i="16" s="1"/>
  <c r="AH42" i="16" s="1"/>
  <c r="AI42" i="16" s="1"/>
  <c r="AJ42" i="16" s="1"/>
  <c r="AK42" i="16" s="1"/>
  <c r="AL42" i="16" s="1"/>
  <c r="AM42" i="16" s="1"/>
  <c r="AN42" i="16" s="1"/>
  <c r="AO42" i="16" s="1"/>
  <c r="AP42" i="16" s="1"/>
  <c r="AQ42" i="16" s="1"/>
  <c r="AR42" i="16" s="1"/>
  <c r="AS42" i="16" s="1"/>
  <c r="AT42" i="16" s="1"/>
  <c r="AU42" i="16" s="1"/>
  <c r="AV42" i="16" s="1"/>
  <c r="AW42" i="16" s="1"/>
  <c r="AX42" i="16" s="1"/>
  <c r="AY42" i="16" s="1"/>
  <c r="AZ42" i="16" s="1"/>
  <c r="BA42" i="16" s="1"/>
  <c r="BB42" i="16" s="1"/>
  <c r="BC42" i="16" s="1"/>
  <c r="BD42" i="16" s="1"/>
  <c r="BE42" i="16" s="1"/>
  <c r="BF42" i="16" s="1"/>
  <c r="BG42" i="16" s="1"/>
  <c r="BH42" i="16" s="1"/>
  <c r="BI42" i="16" s="1"/>
  <c r="BJ42" i="16" s="1"/>
  <c r="BK42" i="16" s="1"/>
  <c r="BL42" i="16" s="1"/>
  <c r="BM42" i="16" s="1"/>
  <c r="BN42" i="16" s="1"/>
  <c r="BO42" i="16" s="1"/>
  <c r="BP42" i="16" s="1"/>
  <c r="BQ42" i="16" s="1"/>
  <c r="BR42" i="16" s="1"/>
  <c r="BS42" i="16" s="1"/>
  <c r="BT42" i="16" s="1"/>
  <c r="BU42" i="16" s="1"/>
  <c r="BV42" i="16" s="1"/>
  <c r="BW42" i="16" s="1"/>
  <c r="BX42" i="16" s="1"/>
  <c r="BY42" i="16" s="1"/>
  <c r="BZ42" i="16" s="1"/>
  <c r="CA42" i="16" s="1"/>
  <c r="CB42" i="16" s="1"/>
  <c r="CC42" i="16" s="1"/>
  <c r="CD42" i="16" s="1"/>
  <c r="CE42" i="16" s="1"/>
  <c r="CF42" i="16" s="1"/>
  <c r="CG42" i="16" s="1"/>
  <c r="CH42" i="16" s="1"/>
  <c r="CI42" i="16" s="1"/>
  <c r="CJ42" i="16" s="1"/>
  <c r="CK42" i="16" s="1"/>
  <c r="CL42" i="16" s="1"/>
  <c r="CM42" i="16" s="1"/>
  <c r="CN42" i="16" s="1"/>
  <c r="CO42" i="16" s="1"/>
  <c r="CP42" i="16" s="1"/>
  <c r="CQ42" i="16" s="1"/>
  <c r="CR42" i="16" s="1"/>
  <c r="CS42" i="16" s="1"/>
  <c r="CT42" i="16" s="1"/>
  <c r="CU42" i="16" s="1"/>
  <c r="CV42" i="16" s="1"/>
  <c r="CW42" i="16" s="1"/>
  <c r="CX42" i="16" s="1"/>
  <c r="CY42" i="16" s="1"/>
  <c r="CZ42" i="16" s="1"/>
  <c r="DA42" i="16" s="1"/>
  <c r="DB42" i="16" s="1"/>
  <c r="DC42" i="16" s="1"/>
  <c r="DD42" i="16" s="1"/>
  <c r="DE42" i="16" s="1"/>
  <c r="DF42" i="16" s="1"/>
  <c r="DG42" i="16" s="1"/>
  <c r="DH42" i="16" s="1"/>
  <c r="DI42" i="16" s="1"/>
  <c r="DJ42" i="16" s="1"/>
  <c r="DK42" i="16" s="1"/>
  <c r="DL42" i="16" s="1"/>
  <c r="DM42" i="16" s="1"/>
  <c r="DN42" i="16" s="1"/>
  <c r="DO42" i="16" s="1"/>
  <c r="DP42" i="16" s="1"/>
  <c r="DQ42" i="16" s="1"/>
  <c r="DR42" i="16" s="1"/>
  <c r="DS42" i="16" s="1"/>
  <c r="DT42" i="16" s="1"/>
  <c r="DU42" i="16" s="1"/>
  <c r="DV42" i="16" s="1"/>
  <c r="P34" i="16"/>
  <c r="Q34" i="16" s="1"/>
  <c r="R34" i="16" s="1"/>
  <c r="S34" i="16" s="1"/>
  <c r="T34" i="16" s="1"/>
  <c r="U34" i="16" s="1"/>
  <c r="V34" i="16" s="1"/>
  <c r="W34" i="16" s="1"/>
  <c r="X34" i="16" s="1"/>
  <c r="Y34" i="16" s="1"/>
  <c r="Z34" i="16" s="1"/>
  <c r="AA34" i="16" s="1"/>
  <c r="AB34" i="16" s="1"/>
  <c r="AC34" i="16" s="1"/>
  <c r="AD34" i="16" s="1"/>
  <c r="AE34" i="16" s="1"/>
  <c r="AF34" i="16" s="1"/>
  <c r="AG34" i="16" s="1"/>
  <c r="AH34" i="16" s="1"/>
  <c r="AI34" i="16" s="1"/>
  <c r="AJ34" i="16" s="1"/>
  <c r="AK34" i="16" s="1"/>
  <c r="AL34" i="16" s="1"/>
  <c r="AM34" i="16" s="1"/>
  <c r="AN34" i="16" s="1"/>
  <c r="AO34" i="16" s="1"/>
  <c r="AP34" i="16" s="1"/>
  <c r="AQ34" i="16" s="1"/>
  <c r="AR34" i="16" s="1"/>
  <c r="AS34" i="16" s="1"/>
  <c r="AT34" i="16" s="1"/>
  <c r="AU34" i="16" s="1"/>
  <c r="AV34" i="16" s="1"/>
  <c r="AW34" i="16" s="1"/>
  <c r="AX34" i="16" s="1"/>
  <c r="AY34" i="16" s="1"/>
  <c r="AZ34" i="16" s="1"/>
  <c r="BA34" i="16" s="1"/>
  <c r="BB34" i="16" s="1"/>
  <c r="BC34" i="16" s="1"/>
  <c r="BD34" i="16" s="1"/>
  <c r="BE34" i="16" s="1"/>
  <c r="BF34" i="16" s="1"/>
  <c r="BG34" i="16" s="1"/>
  <c r="BH34" i="16" s="1"/>
  <c r="BI34" i="16" s="1"/>
  <c r="BJ34" i="16" s="1"/>
  <c r="BK34" i="16" s="1"/>
  <c r="BL34" i="16" s="1"/>
  <c r="BM34" i="16" s="1"/>
  <c r="BN34" i="16" s="1"/>
  <c r="BO34" i="16" s="1"/>
  <c r="BP34" i="16" s="1"/>
  <c r="BQ34" i="16" s="1"/>
  <c r="BR34" i="16" s="1"/>
  <c r="BS34" i="16" s="1"/>
  <c r="BT34" i="16" s="1"/>
  <c r="BU34" i="16" s="1"/>
  <c r="BV34" i="16" s="1"/>
  <c r="BW34" i="16" s="1"/>
  <c r="BX34" i="16" s="1"/>
  <c r="BY34" i="16" s="1"/>
  <c r="BZ34" i="16" s="1"/>
  <c r="CA34" i="16" s="1"/>
  <c r="CB34" i="16" s="1"/>
  <c r="CC34" i="16" s="1"/>
  <c r="CD34" i="16" s="1"/>
  <c r="CE34" i="16" s="1"/>
  <c r="CF34" i="16" s="1"/>
  <c r="CG34" i="16" s="1"/>
  <c r="CH34" i="16" s="1"/>
  <c r="CI34" i="16" s="1"/>
  <c r="CJ34" i="16" s="1"/>
  <c r="CK34" i="16" s="1"/>
  <c r="CL34" i="16" s="1"/>
  <c r="CM34" i="16" s="1"/>
  <c r="CN34" i="16" s="1"/>
  <c r="CO34" i="16" s="1"/>
  <c r="CP34" i="16" s="1"/>
  <c r="CQ34" i="16" s="1"/>
  <c r="CR34" i="16" s="1"/>
  <c r="CS34" i="16" s="1"/>
  <c r="CT34" i="16" s="1"/>
  <c r="CU34" i="16" s="1"/>
  <c r="CV34" i="16" s="1"/>
  <c r="CW34" i="16" s="1"/>
  <c r="CX34" i="16" s="1"/>
  <c r="CY34" i="16" s="1"/>
  <c r="CZ34" i="16" s="1"/>
  <c r="DA34" i="16" s="1"/>
  <c r="DB34" i="16" s="1"/>
  <c r="DC34" i="16" s="1"/>
  <c r="DD34" i="16" s="1"/>
  <c r="DE34" i="16" s="1"/>
  <c r="DF34" i="16" s="1"/>
  <c r="DG34" i="16" s="1"/>
  <c r="DH34" i="16" s="1"/>
  <c r="DI34" i="16" s="1"/>
  <c r="DJ34" i="16" s="1"/>
  <c r="DK34" i="16" s="1"/>
  <c r="DL34" i="16" s="1"/>
  <c r="DM34" i="16" s="1"/>
  <c r="DN34" i="16" s="1"/>
  <c r="DO34" i="16" s="1"/>
  <c r="DP34" i="16" s="1"/>
  <c r="DQ34" i="16" s="1"/>
  <c r="DR34" i="16" s="1"/>
  <c r="DS34" i="16" s="1"/>
  <c r="DT34" i="16" s="1"/>
  <c r="DU34" i="16" s="1"/>
  <c r="DV34" i="16" s="1"/>
  <c r="P26" i="16"/>
  <c r="Q26" i="16" s="1"/>
  <c r="R26" i="16" s="1"/>
  <c r="S26" i="16" s="1"/>
  <c r="T26" i="16" s="1"/>
  <c r="U26" i="16" s="1"/>
  <c r="V26" i="16" s="1"/>
  <c r="W26" i="16" s="1"/>
  <c r="X26" i="16" s="1"/>
  <c r="Y26" i="16" s="1"/>
  <c r="Z26" i="16" s="1"/>
  <c r="AA26" i="16" s="1"/>
  <c r="AB26" i="16" s="1"/>
  <c r="AC26" i="16" s="1"/>
  <c r="AD26" i="16" s="1"/>
  <c r="AE26" i="16" s="1"/>
  <c r="AF26" i="16" s="1"/>
  <c r="AG26" i="16" s="1"/>
  <c r="AH26" i="16" s="1"/>
  <c r="AI26" i="16" s="1"/>
  <c r="AJ26" i="16" s="1"/>
  <c r="AK26" i="16" s="1"/>
  <c r="AL26" i="16" s="1"/>
  <c r="AM26" i="16" s="1"/>
  <c r="AN26" i="16" s="1"/>
  <c r="AO26" i="16" s="1"/>
  <c r="AP26" i="16" s="1"/>
  <c r="AQ26" i="16" s="1"/>
  <c r="AR26" i="16" s="1"/>
  <c r="AS26" i="16" s="1"/>
  <c r="AT26" i="16" s="1"/>
  <c r="AU26" i="16" s="1"/>
  <c r="AV26" i="16" s="1"/>
  <c r="AW26" i="16" s="1"/>
  <c r="AX26" i="16" s="1"/>
  <c r="AY26" i="16" s="1"/>
  <c r="AZ26" i="16" s="1"/>
  <c r="BA26" i="16" s="1"/>
  <c r="BB26" i="16" s="1"/>
  <c r="BC26" i="16" s="1"/>
  <c r="BD26" i="16" s="1"/>
  <c r="BE26" i="16" s="1"/>
  <c r="BF26" i="16" s="1"/>
  <c r="BG26" i="16" s="1"/>
  <c r="BH26" i="16" s="1"/>
  <c r="BI26" i="16" s="1"/>
  <c r="BJ26" i="16" s="1"/>
  <c r="BK26" i="16" s="1"/>
  <c r="BL26" i="16" s="1"/>
  <c r="BM26" i="16" s="1"/>
  <c r="BN26" i="16" s="1"/>
  <c r="BO26" i="16" s="1"/>
  <c r="BP26" i="16" s="1"/>
  <c r="BQ26" i="16" s="1"/>
  <c r="BR26" i="16" s="1"/>
  <c r="BS26" i="16" s="1"/>
  <c r="BT26" i="16" s="1"/>
  <c r="BU26" i="16" s="1"/>
  <c r="BV26" i="16" s="1"/>
  <c r="BW26" i="16" s="1"/>
  <c r="BX26" i="16" s="1"/>
  <c r="BY26" i="16" s="1"/>
  <c r="BZ26" i="16" s="1"/>
  <c r="CA26" i="16" s="1"/>
  <c r="CB26" i="16" s="1"/>
  <c r="CC26" i="16" s="1"/>
  <c r="CD26" i="16" s="1"/>
  <c r="CE26" i="16" s="1"/>
  <c r="CF26" i="16" s="1"/>
  <c r="CG26" i="16" s="1"/>
  <c r="CH26" i="16" s="1"/>
  <c r="CI26" i="16" s="1"/>
  <c r="CJ26" i="16" s="1"/>
  <c r="CK26" i="16" s="1"/>
  <c r="CL26" i="16" s="1"/>
  <c r="CM26" i="16" s="1"/>
  <c r="CN26" i="16" s="1"/>
  <c r="CO26" i="16" s="1"/>
  <c r="CP26" i="16" s="1"/>
  <c r="CQ26" i="16" s="1"/>
  <c r="CR26" i="16" s="1"/>
  <c r="CS26" i="16" s="1"/>
  <c r="CT26" i="16" s="1"/>
  <c r="CU26" i="16" s="1"/>
  <c r="CV26" i="16" s="1"/>
  <c r="CW26" i="16" s="1"/>
  <c r="CX26" i="16" s="1"/>
  <c r="CY26" i="16" s="1"/>
  <c r="CZ26" i="16" s="1"/>
  <c r="DA26" i="16" s="1"/>
  <c r="DB26" i="16" s="1"/>
  <c r="DC26" i="16" s="1"/>
  <c r="DD26" i="16" s="1"/>
  <c r="DE26" i="16" s="1"/>
  <c r="DF26" i="16" s="1"/>
  <c r="DG26" i="16" s="1"/>
  <c r="DH26" i="16" s="1"/>
  <c r="DI26" i="16" s="1"/>
  <c r="DJ26" i="16" s="1"/>
  <c r="DK26" i="16" s="1"/>
  <c r="DL26" i="16" s="1"/>
  <c r="DM26" i="16" s="1"/>
  <c r="DN26" i="16" s="1"/>
  <c r="DO26" i="16" s="1"/>
  <c r="DP26" i="16" s="1"/>
  <c r="DQ26" i="16" s="1"/>
  <c r="DR26" i="16" s="1"/>
  <c r="DS26" i="16" s="1"/>
  <c r="DT26" i="16" s="1"/>
  <c r="DU26" i="16" s="1"/>
  <c r="DV26" i="16" s="1"/>
  <c r="S18" i="16"/>
  <c r="T18" i="16" s="1"/>
  <c r="U18" i="16" s="1"/>
  <c r="V18" i="16" s="1"/>
  <c r="W18" i="16" s="1"/>
  <c r="X18" i="16" s="1"/>
  <c r="Y18" i="16" s="1"/>
  <c r="Z18" i="16" s="1"/>
  <c r="AA18" i="16" s="1"/>
  <c r="AB18" i="16" s="1"/>
  <c r="AC18" i="16" s="1"/>
  <c r="AD18" i="16" s="1"/>
  <c r="AE18" i="16" s="1"/>
  <c r="AF18" i="16" s="1"/>
  <c r="AG18" i="16" s="1"/>
  <c r="AH18" i="16" s="1"/>
  <c r="AI18" i="16" s="1"/>
  <c r="AJ18" i="16" s="1"/>
  <c r="AK18" i="16" s="1"/>
  <c r="AL18" i="16" s="1"/>
  <c r="AM18" i="16" s="1"/>
  <c r="AN18" i="16" s="1"/>
  <c r="AO18" i="16" s="1"/>
  <c r="AP18" i="16" s="1"/>
  <c r="AQ18" i="16" s="1"/>
  <c r="AR18" i="16" s="1"/>
  <c r="AS18" i="16" s="1"/>
  <c r="AT18" i="16" s="1"/>
  <c r="AU18" i="16" s="1"/>
  <c r="AV18" i="16" s="1"/>
  <c r="AW18" i="16" s="1"/>
  <c r="AX18" i="16" s="1"/>
  <c r="AY18" i="16" s="1"/>
  <c r="AZ18" i="16" s="1"/>
  <c r="BA18" i="16" s="1"/>
  <c r="BB18" i="16" s="1"/>
  <c r="BC18" i="16" s="1"/>
  <c r="BD18" i="16" s="1"/>
  <c r="BE18" i="16" s="1"/>
  <c r="BF18" i="16" s="1"/>
  <c r="BG18" i="16" s="1"/>
  <c r="BH18" i="16" s="1"/>
  <c r="BI18" i="16" s="1"/>
  <c r="BJ18" i="16" s="1"/>
  <c r="BK18" i="16" s="1"/>
  <c r="BL18" i="16" s="1"/>
  <c r="BM18" i="16" s="1"/>
  <c r="BN18" i="16" s="1"/>
  <c r="BO18" i="16" s="1"/>
  <c r="BP18" i="16" s="1"/>
  <c r="BQ18" i="16" s="1"/>
  <c r="BR18" i="16" s="1"/>
  <c r="BS18" i="16" s="1"/>
  <c r="BT18" i="16" s="1"/>
  <c r="BU18" i="16" s="1"/>
  <c r="BV18" i="16" s="1"/>
  <c r="BW18" i="16" s="1"/>
  <c r="BX18" i="16" s="1"/>
  <c r="BY18" i="16" s="1"/>
  <c r="BZ18" i="16" s="1"/>
  <c r="CA18" i="16" s="1"/>
  <c r="CB18" i="16" s="1"/>
  <c r="CC18" i="16" s="1"/>
  <c r="CD18" i="16" s="1"/>
  <c r="CE18" i="16" s="1"/>
  <c r="CF18" i="16" s="1"/>
  <c r="CG18" i="16" s="1"/>
  <c r="CH18" i="16" s="1"/>
  <c r="CI18" i="16" s="1"/>
  <c r="CJ18" i="16" s="1"/>
  <c r="CK18" i="16" s="1"/>
  <c r="CL18" i="16" s="1"/>
  <c r="CM18" i="16" s="1"/>
  <c r="CN18" i="16" s="1"/>
  <c r="CO18" i="16" s="1"/>
  <c r="CP18" i="16" s="1"/>
  <c r="CQ18" i="16" s="1"/>
  <c r="CR18" i="16" s="1"/>
  <c r="CS18" i="16" s="1"/>
  <c r="CT18" i="16" s="1"/>
  <c r="CU18" i="16" s="1"/>
  <c r="CV18" i="16" s="1"/>
  <c r="CW18" i="16" s="1"/>
  <c r="CX18" i="16" s="1"/>
  <c r="CY18" i="16" s="1"/>
  <c r="CZ18" i="16" s="1"/>
  <c r="DA18" i="16" s="1"/>
  <c r="DB18" i="16" s="1"/>
  <c r="DC18" i="16" s="1"/>
  <c r="DD18" i="16" s="1"/>
  <c r="DE18" i="16" s="1"/>
  <c r="DF18" i="16" s="1"/>
  <c r="DG18" i="16" s="1"/>
  <c r="DH18" i="16" s="1"/>
  <c r="DI18" i="16" s="1"/>
  <c r="DJ18" i="16" s="1"/>
  <c r="DK18" i="16" s="1"/>
  <c r="DL18" i="16" s="1"/>
  <c r="DM18" i="16" s="1"/>
  <c r="DN18" i="16" s="1"/>
  <c r="DO18" i="16" s="1"/>
  <c r="DP18" i="16" s="1"/>
  <c r="DQ18" i="16" s="1"/>
  <c r="DR18" i="16" s="1"/>
  <c r="DS18" i="16" s="1"/>
  <c r="DT18" i="16" s="1"/>
  <c r="DU18" i="16" s="1"/>
  <c r="DV18" i="16" s="1"/>
  <c r="S10" i="16"/>
  <c r="T10" i="16" s="1"/>
  <c r="U10" i="16" s="1"/>
  <c r="V10" i="16" s="1"/>
  <c r="W10" i="16" s="1"/>
  <c r="X10" i="16" s="1"/>
  <c r="Y10" i="16" s="1"/>
  <c r="Z10" i="16" s="1"/>
  <c r="AA10" i="16" s="1"/>
  <c r="AB10" i="16" s="1"/>
  <c r="AC10" i="16" s="1"/>
  <c r="AD10" i="16" s="1"/>
  <c r="AE10" i="16" s="1"/>
  <c r="AF10" i="16" s="1"/>
  <c r="AG10" i="16" s="1"/>
  <c r="AH10" i="16" s="1"/>
  <c r="AI10" i="16" s="1"/>
  <c r="AJ10" i="16" s="1"/>
  <c r="AK10" i="16" s="1"/>
  <c r="AL10" i="16" s="1"/>
  <c r="AM10" i="16" s="1"/>
  <c r="AN10" i="16" s="1"/>
  <c r="AO10" i="16" s="1"/>
  <c r="AP10" i="16" s="1"/>
  <c r="AQ10" i="16" s="1"/>
  <c r="AR10" i="16" s="1"/>
  <c r="AS10" i="16" s="1"/>
  <c r="AT10" i="16" s="1"/>
  <c r="AU10" i="16" s="1"/>
  <c r="AV10" i="16" s="1"/>
  <c r="AW10" i="16" s="1"/>
  <c r="AX10" i="16" s="1"/>
  <c r="AY10" i="16" s="1"/>
  <c r="AZ10" i="16" s="1"/>
  <c r="BA10" i="16" s="1"/>
  <c r="BB10" i="16" s="1"/>
  <c r="BC10" i="16" s="1"/>
  <c r="BD10" i="16" s="1"/>
  <c r="BE10" i="16" s="1"/>
  <c r="BF10" i="16" s="1"/>
  <c r="BG10" i="16" s="1"/>
  <c r="BH10" i="16" s="1"/>
  <c r="BI10" i="16" s="1"/>
  <c r="BJ10" i="16" s="1"/>
  <c r="BK10" i="16" s="1"/>
  <c r="BL10" i="16" s="1"/>
  <c r="BM10" i="16" s="1"/>
  <c r="BN10" i="16" s="1"/>
  <c r="BO10" i="16" s="1"/>
  <c r="BP10" i="16" s="1"/>
  <c r="BQ10" i="16" s="1"/>
  <c r="BR10" i="16" s="1"/>
  <c r="BS10" i="16" s="1"/>
  <c r="BT10" i="16" s="1"/>
  <c r="BU10" i="16" s="1"/>
  <c r="BV10" i="16" s="1"/>
  <c r="BW10" i="16" s="1"/>
  <c r="BX10" i="16" s="1"/>
  <c r="BY10" i="16" s="1"/>
  <c r="BZ10" i="16" s="1"/>
  <c r="CA10" i="16" s="1"/>
  <c r="CB10" i="16" s="1"/>
  <c r="CC10" i="16" s="1"/>
  <c r="CD10" i="16" s="1"/>
  <c r="CE10" i="16" s="1"/>
  <c r="CF10" i="16" s="1"/>
  <c r="CG10" i="16" s="1"/>
  <c r="CH10" i="16" s="1"/>
  <c r="CI10" i="16" s="1"/>
  <c r="CJ10" i="16" s="1"/>
  <c r="CK10" i="16" s="1"/>
  <c r="CL10" i="16" s="1"/>
  <c r="CM10" i="16" s="1"/>
  <c r="CN10" i="16" s="1"/>
  <c r="CO10" i="16" s="1"/>
  <c r="CP10" i="16" s="1"/>
  <c r="CQ10" i="16" s="1"/>
  <c r="CR10" i="16" s="1"/>
  <c r="CS10" i="16" s="1"/>
  <c r="CT10" i="16" s="1"/>
  <c r="CU10" i="16" s="1"/>
  <c r="CV10" i="16" s="1"/>
  <c r="CW10" i="16" s="1"/>
  <c r="CX10" i="16" s="1"/>
  <c r="CY10" i="16" s="1"/>
  <c r="CZ10" i="16" s="1"/>
  <c r="DA10" i="16" s="1"/>
  <c r="DB10" i="16" s="1"/>
  <c r="DC10" i="16" s="1"/>
  <c r="DD10" i="16" s="1"/>
  <c r="DE10" i="16" s="1"/>
  <c r="DF10" i="16" s="1"/>
  <c r="DG10" i="16" s="1"/>
  <c r="DH10" i="16" s="1"/>
  <c r="DI10" i="16" s="1"/>
  <c r="DJ10" i="16" s="1"/>
  <c r="DK10" i="16" s="1"/>
  <c r="DL10" i="16" s="1"/>
  <c r="DM10" i="16" s="1"/>
  <c r="DN10" i="16" s="1"/>
  <c r="DO10" i="16" s="1"/>
  <c r="DP10" i="16" s="1"/>
  <c r="DQ10" i="16" s="1"/>
  <c r="DR10" i="16" s="1"/>
  <c r="DS10" i="16" s="1"/>
  <c r="DT10" i="16" s="1"/>
  <c r="DU10" i="16" s="1"/>
  <c r="DV10" i="16" s="1"/>
  <c r="S2" i="16"/>
  <c r="P66" i="15"/>
  <c r="Q66" i="15" s="1"/>
  <c r="R66" i="15" s="1"/>
  <c r="S66" i="15" s="1"/>
  <c r="T66" i="15" s="1"/>
  <c r="U66" i="15" s="1"/>
  <c r="V66" i="15" s="1"/>
  <c r="W66" i="15" s="1"/>
  <c r="X66" i="15" s="1"/>
  <c r="Y66" i="15" s="1"/>
  <c r="Z66" i="15" s="1"/>
  <c r="AA66" i="15" s="1"/>
  <c r="AB66" i="15" s="1"/>
  <c r="AC66" i="15" s="1"/>
  <c r="AD66" i="15" s="1"/>
  <c r="AE66" i="15" s="1"/>
  <c r="AF66" i="15" s="1"/>
  <c r="AG66" i="15" s="1"/>
  <c r="AH66" i="15" s="1"/>
  <c r="AI66" i="15" s="1"/>
  <c r="AJ66" i="15" s="1"/>
  <c r="AK66" i="15" s="1"/>
  <c r="AL66" i="15" s="1"/>
  <c r="AM66" i="15" s="1"/>
  <c r="AN66" i="15" s="1"/>
  <c r="AO66" i="15" s="1"/>
  <c r="AP66" i="15" s="1"/>
  <c r="AQ66" i="15" s="1"/>
  <c r="AR66" i="15" s="1"/>
  <c r="AS66" i="15" s="1"/>
  <c r="AT66" i="15" s="1"/>
  <c r="AU66" i="15" s="1"/>
  <c r="AV66" i="15" s="1"/>
  <c r="AW66" i="15" s="1"/>
  <c r="AX66" i="15" s="1"/>
  <c r="AY66" i="15" s="1"/>
  <c r="AZ66" i="15" s="1"/>
  <c r="BA66" i="15" s="1"/>
  <c r="BB66" i="15" s="1"/>
  <c r="BC66" i="15" s="1"/>
  <c r="BD66" i="15" s="1"/>
  <c r="BE66" i="15" s="1"/>
  <c r="BF66" i="15" s="1"/>
  <c r="BG66" i="15" s="1"/>
  <c r="BH66" i="15" s="1"/>
  <c r="BI66" i="15" s="1"/>
  <c r="BJ66" i="15" s="1"/>
  <c r="BK66" i="15" s="1"/>
  <c r="BL66" i="15" s="1"/>
  <c r="BM66" i="15" s="1"/>
  <c r="BN66" i="15" s="1"/>
  <c r="BO66" i="15" s="1"/>
  <c r="BP66" i="15" s="1"/>
  <c r="BQ66" i="15" s="1"/>
  <c r="BR66" i="15" s="1"/>
  <c r="BS66" i="15" s="1"/>
  <c r="BT66" i="15" s="1"/>
  <c r="BU66" i="15" s="1"/>
  <c r="BV66" i="15" s="1"/>
  <c r="BW66" i="15" s="1"/>
  <c r="BX66" i="15" s="1"/>
  <c r="BY66" i="15" s="1"/>
  <c r="BZ66" i="15" s="1"/>
  <c r="CA66" i="15" s="1"/>
  <c r="CB66" i="15" s="1"/>
  <c r="CC66" i="15" s="1"/>
  <c r="CD66" i="15" s="1"/>
  <c r="CE66" i="15" s="1"/>
  <c r="CF66" i="15" s="1"/>
  <c r="CG66" i="15" s="1"/>
  <c r="CH66" i="15" s="1"/>
  <c r="CI66" i="15" s="1"/>
  <c r="CJ66" i="15" s="1"/>
  <c r="CK66" i="15" s="1"/>
  <c r="CL66" i="15" s="1"/>
  <c r="CM66" i="15" s="1"/>
  <c r="CN66" i="15" s="1"/>
  <c r="CO66" i="15" s="1"/>
  <c r="CP66" i="15" s="1"/>
  <c r="CQ66" i="15" s="1"/>
  <c r="CR66" i="15" s="1"/>
  <c r="CS66" i="15" s="1"/>
  <c r="CT66" i="15" s="1"/>
  <c r="CU66" i="15" s="1"/>
  <c r="CV66" i="15" s="1"/>
  <c r="CW66" i="15" s="1"/>
  <c r="CX66" i="15" s="1"/>
  <c r="CY66" i="15" s="1"/>
  <c r="CZ66" i="15" s="1"/>
  <c r="DA66" i="15" s="1"/>
  <c r="DB66" i="15" s="1"/>
  <c r="DC66" i="15" s="1"/>
  <c r="DD66" i="15" s="1"/>
  <c r="DE66" i="15" s="1"/>
  <c r="DF66" i="15" s="1"/>
  <c r="DG66" i="15" s="1"/>
  <c r="DH66" i="15" s="1"/>
  <c r="DI66" i="15" s="1"/>
  <c r="DJ66" i="15" s="1"/>
  <c r="DK66" i="15" s="1"/>
  <c r="DL66" i="15" s="1"/>
  <c r="DM66" i="15" s="1"/>
  <c r="DN66" i="15" s="1"/>
  <c r="DO66" i="15" s="1"/>
  <c r="DP66" i="15" s="1"/>
  <c r="DQ66" i="15" s="1"/>
  <c r="DR66" i="15" s="1"/>
  <c r="DS66" i="15" s="1"/>
  <c r="DT66" i="15" s="1"/>
  <c r="DU66" i="15" s="1"/>
  <c r="DV66" i="15" s="1"/>
  <c r="DW66" i="15" s="1"/>
  <c r="DX66" i="15" s="1"/>
  <c r="DY66" i="15" s="1"/>
  <c r="DZ66" i="15" s="1"/>
  <c r="EA66" i="15" s="1"/>
  <c r="EB66" i="15" s="1"/>
  <c r="EC66" i="15" s="1"/>
  <c r="ED66" i="15" s="1"/>
  <c r="EE66" i="15" s="1"/>
  <c r="EF66" i="15" s="1"/>
  <c r="EG66" i="15" s="1"/>
  <c r="EH66" i="15" s="1"/>
  <c r="EI66" i="15" s="1"/>
  <c r="EJ66" i="15" s="1"/>
  <c r="EK66" i="15" s="1"/>
  <c r="EL66" i="15" s="1"/>
  <c r="EM66" i="15" s="1"/>
  <c r="EN66" i="15" s="1"/>
  <c r="EO66" i="15" s="1"/>
  <c r="S58" i="15"/>
  <c r="T58" i="15" s="1"/>
  <c r="U58" i="15" s="1"/>
  <c r="V58" i="15" s="1"/>
  <c r="W58" i="15" s="1"/>
  <c r="X58" i="15" s="1"/>
  <c r="Y58" i="15" s="1"/>
  <c r="Z58" i="15" s="1"/>
  <c r="AA58" i="15" s="1"/>
  <c r="AB58" i="15" s="1"/>
  <c r="AC58" i="15" s="1"/>
  <c r="AD58" i="15" s="1"/>
  <c r="AE58" i="15" s="1"/>
  <c r="AF58" i="15" s="1"/>
  <c r="AG58" i="15" s="1"/>
  <c r="AH58" i="15" s="1"/>
  <c r="AI58" i="15" s="1"/>
  <c r="AJ58" i="15" s="1"/>
  <c r="AK58" i="15" s="1"/>
  <c r="AL58" i="15" s="1"/>
  <c r="AM58" i="15" s="1"/>
  <c r="AN58" i="15" s="1"/>
  <c r="AO58" i="15" s="1"/>
  <c r="AP58" i="15" s="1"/>
  <c r="AQ58" i="15" s="1"/>
  <c r="AR58" i="15" s="1"/>
  <c r="AS58" i="15" s="1"/>
  <c r="AT58" i="15" s="1"/>
  <c r="AU58" i="15" s="1"/>
  <c r="AV58" i="15" s="1"/>
  <c r="AW58" i="15" s="1"/>
  <c r="AX58" i="15" s="1"/>
  <c r="AY58" i="15" s="1"/>
  <c r="AZ58" i="15" s="1"/>
  <c r="BA58" i="15" s="1"/>
  <c r="BB58" i="15" s="1"/>
  <c r="BC58" i="15" s="1"/>
  <c r="BD58" i="15" s="1"/>
  <c r="BE58" i="15" s="1"/>
  <c r="BF58" i="15" s="1"/>
  <c r="BG58" i="15" s="1"/>
  <c r="BH58" i="15" s="1"/>
  <c r="BI58" i="15" s="1"/>
  <c r="BJ58" i="15" s="1"/>
  <c r="BK58" i="15" s="1"/>
  <c r="BL58" i="15" s="1"/>
  <c r="BM58" i="15" s="1"/>
  <c r="BN58" i="15" s="1"/>
  <c r="BO58" i="15" s="1"/>
  <c r="BP58" i="15" s="1"/>
  <c r="BQ58" i="15" s="1"/>
  <c r="BR58" i="15" s="1"/>
  <c r="BS58" i="15" s="1"/>
  <c r="BT58" i="15" s="1"/>
  <c r="BU58" i="15" s="1"/>
  <c r="BV58" i="15" s="1"/>
  <c r="BW58" i="15" s="1"/>
  <c r="BX58" i="15" s="1"/>
  <c r="BY58" i="15" s="1"/>
  <c r="BZ58" i="15" s="1"/>
  <c r="CA58" i="15" s="1"/>
  <c r="CB58" i="15" s="1"/>
  <c r="CC58" i="15" s="1"/>
  <c r="CD58" i="15" s="1"/>
  <c r="CE58" i="15" s="1"/>
  <c r="CF58" i="15" s="1"/>
  <c r="CG58" i="15" s="1"/>
  <c r="CH58" i="15" s="1"/>
  <c r="CI58" i="15" s="1"/>
  <c r="CJ58" i="15" s="1"/>
  <c r="CK58" i="15" s="1"/>
  <c r="CL58" i="15" s="1"/>
  <c r="CM58" i="15" s="1"/>
  <c r="CN58" i="15" s="1"/>
  <c r="CO58" i="15" s="1"/>
  <c r="CP58" i="15" s="1"/>
  <c r="CQ58" i="15" s="1"/>
  <c r="CR58" i="15" s="1"/>
  <c r="CS58" i="15" s="1"/>
  <c r="CT58" i="15" s="1"/>
  <c r="CU58" i="15" s="1"/>
  <c r="CV58" i="15" s="1"/>
  <c r="CW58" i="15" s="1"/>
  <c r="CX58" i="15" s="1"/>
  <c r="CY58" i="15" s="1"/>
  <c r="CZ58" i="15" s="1"/>
  <c r="DA58" i="15" s="1"/>
  <c r="DB58" i="15" s="1"/>
  <c r="DC58" i="15" s="1"/>
  <c r="DD58" i="15" s="1"/>
  <c r="DE58" i="15" s="1"/>
  <c r="DF58" i="15" s="1"/>
  <c r="DG58" i="15" s="1"/>
  <c r="DH58" i="15" s="1"/>
  <c r="DI58" i="15" s="1"/>
  <c r="DJ58" i="15" s="1"/>
  <c r="DK58" i="15" s="1"/>
  <c r="DL58" i="15" s="1"/>
  <c r="DM58" i="15" s="1"/>
  <c r="DN58" i="15" s="1"/>
  <c r="DO58" i="15" s="1"/>
  <c r="DP58" i="15" s="1"/>
  <c r="DQ58" i="15" s="1"/>
  <c r="DR58" i="15" s="1"/>
  <c r="DS58" i="15" s="1"/>
  <c r="DT58" i="15" s="1"/>
  <c r="DU58" i="15" s="1"/>
  <c r="DV58" i="15" s="1"/>
  <c r="DW58" i="15" s="1"/>
  <c r="DX58" i="15" s="1"/>
  <c r="DY58" i="15" s="1"/>
  <c r="DZ58" i="15" s="1"/>
  <c r="EA58" i="15" s="1"/>
  <c r="EB58" i="15" s="1"/>
  <c r="EC58" i="15" s="1"/>
  <c r="ED58" i="15" s="1"/>
  <c r="EE58" i="15" s="1"/>
  <c r="EF58" i="15" s="1"/>
  <c r="EG58" i="15" s="1"/>
  <c r="EH58" i="15" s="1"/>
  <c r="EI58" i="15" s="1"/>
  <c r="EJ58" i="15" s="1"/>
  <c r="EK58" i="15" s="1"/>
  <c r="EL58" i="15" s="1"/>
  <c r="EM58" i="15" s="1"/>
  <c r="EN58" i="15" s="1"/>
  <c r="EO58" i="15" s="1"/>
  <c r="Q58" i="15"/>
  <c r="R58" i="15" s="1"/>
  <c r="P58" i="15"/>
  <c r="Q50" i="15"/>
  <c r="R50" i="15" s="1"/>
  <c r="S50" i="15" s="1"/>
  <c r="T50" i="15" s="1"/>
  <c r="U50" i="15" s="1"/>
  <c r="V50" i="15" s="1"/>
  <c r="W50" i="15" s="1"/>
  <c r="X50" i="15" s="1"/>
  <c r="Y50" i="15" s="1"/>
  <c r="Z50" i="15" s="1"/>
  <c r="AA50" i="15" s="1"/>
  <c r="AB50" i="15" s="1"/>
  <c r="AC50" i="15" s="1"/>
  <c r="AD50" i="15" s="1"/>
  <c r="AE50" i="15" s="1"/>
  <c r="AF50" i="15" s="1"/>
  <c r="AG50" i="15" s="1"/>
  <c r="AH50" i="15" s="1"/>
  <c r="AI50" i="15" s="1"/>
  <c r="AJ50" i="15" s="1"/>
  <c r="AK50" i="15" s="1"/>
  <c r="AL50" i="15" s="1"/>
  <c r="AM50" i="15" s="1"/>
  <c r="AN50" i="15" s="1"/>
  <c r="AO50" i="15" s="1"/>
  <c r="AP50" i="15" s="1"/>
  <c r="AQ50" i="15" s="1"/>
  <c r="AR50" i="15" s="1"/>
  <c r="AS50" i="15" s="1"/>
  <c r="AT50" i="15" s="1"/>
  <c r="AU50" i="15" s="1"/>
  <c r="AV50" i="15" s="1"/>
  <c r="AW50" i="15" s="1"/>
  <c r="AX50" i="15" s="1"/>
  <c r="AY50" i="15" s="1"/>
  <c r="AZ50" i="15" s="1"/>
  <c r="BA50" i="15" s="1"/>
  <c r="BB50" i="15" s="1"/>
  <c r="BC50" i="15" s="1"/>
  <c r="BD50" i="15" s="1"/>
  <c r="BE50" i="15" s="1"/>
  <c r="BF50" i="15" s="1"/>
  <c r="BG50" i="15" s="1"/>
  <c r="BH50" i="15" s="1"/>
  <c r="BI50" i="15" s="1"/>
  <c r="BJ50" i="15" s="1"/>
  <c r="BK50" i="15" s="1"/>
  <c r="BL50" i="15" s="1"/>
  <c r="BM50" i="15" s="1"/>
  <c r="BN50" i="15" s="1"/>
  <c r="BO50" i="15" s="1"/>
  <c r="BP50" i="15" s="1"/>
  <c r="BQ50" i="15" s="1"/>
  <c r="BR50" i="15" s="1"/>
  <c r="BS50" i="15" s="1"/>
  <c r="BT50" i="15" s="1"/>
  <c r="BU50" i="15" s="1"/>
  <c r="BV50" i="15" s="1"/>
  <c r="BW50" i="15" s="1"/>
  <c r="BX50" i="15" s="1"/>
  <c r="BY50" i="15" s="1"/>
  <c r="BZ50" i="15" s="1"/>
  <c r="CA50" i="15" s="1"/>
  <c r="CB50" i="15" s="1"/>
  <c r="CC50" i="15" s="1"/>
  <c r="CD50" i="15" s="1"/>
  <c r="CE50" i="15" s="1"/>
  <c r="CF50" i="15" s="1"/>
  <c r="CG50" i="15" s="1"/>
  <c r="CH50" i="15" s="1"/>
  <c r="CI50" i="15" s="1"/>
  <c r="CJ50" i="15" s="1"/>
  <c r="CK50" i="15" s="1"/>
  <c r="CL50" i="15" s="1"/>
  <c r="CM50" i="15" s="1"/>
  <c r="CN50" i="15" s="1"/>
  <c r="CO50" i="15" s="1"/>
  <c r="CP50" i="15" s="1"/>
  <c r="CQ50" i="15" s="1"/>
  <c r="CR50" i="15" s="1"/>
  <c r="CS50" i="15" s="1"/>
  <c r="CT50" i="15" s="1"/>
  <c r="CU50" i="15" s="1"/>
  <c r="CV50" i="15" s="1"/>
  <c r="CW50" i="15" s="1"/>
  <c r="CX50" i="15" s="1"/>
  <c r="CY50" i="15" s="1"/>
  <c r="CZ50" i="15" s="1"/>
  <c r="DA50" i="15" s="1"/>
  <c r="DB50" i="15" s="1"/>
  <c r="DC50" i="15" s="1"/>
  <c r="DD50" i="15" s="1"/>
  <c r="DE50" i="15" s="1"/>
  <c r="DF50" i="15" s="1"/>
  <c r="DG50" i="15" s="1"/>
  <c r="DH50" i="15" s="1"/>
  <c r="DI50" i="15" s="1"/>
  <c r="DJ50" i="15" s="1"/>
  <c r="DK50" i="15" s="1"/>
  <c r="DL50" i="15" s="1"/>
  <c r="DM50" i="15" s="1"/>
  <c r="DN50" i="15" s="1"/>
  <c r="DO50" i="15" s="1"/>
  <c r="DP50" i="15" s="1"/>
  <c r="DQ50" i="15" s="1"/>
  <c r="DR50" i="15" s="1"/>
  <c r="DS50" i="15" s="1"/>
  <c r="DT50" i="15" s="1"/>
  <c r="DU50" i="15" s="1"/>
  <c r="DV50" i="15" s="1"/>
  <c r="DW50" i="15" s="1"/>
  <c r="DX50" i="15" s="1"/>
  <c r="DY50" i="15" s="1"/>
  <c r="DZ50" i="15" s="1"/>
  <c r="EA50" i="15" s="1"/>
  <c r="EB50" i="15" s="1"/>
  <c r="EC50" i="15" s="1"/>
  <c r="ED50" i="15" s="1"/>
  <c r="EE50" i="15" s="1"/>
  <c r="EF50" i="15" s="1"/>
  <c r="EG50" i="15" s="1"/>
  <c r="EH50" i="15" s="1"/>
  <c r="EI50" i="15" s="1"/>
  <c r="EJ50" i="15" s="1"/>
  <c r="EK50" i="15" s="1"/>
  <c r="EL50" i="15" s="1"/>
  <c r="EM50" i="15" s="1"/>
  <c r="EN50" i="15" s="1"/>
  <c r="EO50" i="15" s="1"/>
  <c r="P50" i="15"/>
  <c r="G45" i="15"/>
  <c r="P42" i="15"/>
  <c r="Q42" i="15" s="1"/>
  <c r="R42" i="15" s="1"/>
  <c r="S42" i="15" s="1"/>
  <c r="T42" i="15" s="1"/>
  <c r="U42" i="15" s="1"/>
  <c r="V42" i="15" s="1"/>
  <c r="W42" i="15" s="1"/>
  <c r="X42" i="15" s="1"/>
  <c r="Y42" i="15" s="1"/>
  <c r="Z42" i="15" s="1"/>
  <c r="AA42" i="15" s="1"/>
  <c r="AB42" i="15" s="1"/>
  <c r="AC42" i="15" s="1"/>
  <c r="AD42" i="15" s="1"/>
  <c r="AE42" i="15" s="1"/>
  <c r="AF42" i="15" s="1"/>
  <c r="AG42" i="15" s="1"/>
  <c r="AH42" i="15" s="1"/>
  <c r="AI42" i="15" s="1"/>
  <c r="AJ42" i="15" s="1"/>
  <c r="AK42" i="15" s="1"/>
  <c r="AL42" i="15" s="1"/>
  <c r="AM42" i="15" s="1"/>
  <c r="AN42" i="15" s="1"/>
  <c r="AO42" i="15" s="1"/>
  <c r="AP42" i="15" s="1"/>
  <c r="AQ42" i="15" s="1"/>
  <c r="AR42" i="15" s="1"/>
  <c r="AS42" i="15" s="1"/>
  <c r="AT42" i="15" s="1"/>
  <c r="AU42" i="15" s="1"/>
  <c r="AV42" i="15" s="1"/>
  <c r="AW42" i="15" s="1"/>
  <c r="AX42" i="15" s="1"/>
  <c r="AY42" i="15" s="1"/>
  <c r="AZ42" i="15" s="1"/>
  <c r="BA42" i="15" s="1"/>
  <c r="BB42" i="15" s="1"/>
  <c r="BC42" i="15" s="1"/>
  <c r="BD42" i="15" s="1"/>
  <c r="BE42" i="15" s="1"/>
  <c r="BF42" i="15" s="1"/>
  <c r="BG42" i="15" s="1"/>
  <c r="BH42" i="15" s="1"/>
  <c r="BI42" i="15" s="1"/>
  <c r="BJ42" i="15" s="1"/>
  <c r="BK42" i="15" s="1"/>
  <c r="BL42" i="15" s="1"/>
  <c r="BM42" i="15" s="1"/>
  <c r="BN42" i="15" s="1"/>
  <c r="BO42" i="15" s="1"/>
  <c r="BP42" i="15" s="1"/>
  <c r="BQ42" i="15" s="1"/>
  <c r="BR42" i="15" s="1"/>
  <c r="BS42" i="15" s="1"/>
  <c r="BT42" i="15" s="1"/>
  <c r="BU42" i="15" s="1"/>
  <c r="BV42" i="15" s="1"/>
  <c r="BW42" i="15" s="1"/>
  <c r="BX42" i="15" s="1"/>
  <c r="BY42" i="15" s="1"/>
  <c r="BZ42" i="15" s="1"/>
  <c r="CA42" i="15" s="1"/>
  <c r="CB42" i="15" s="1"/>
  <c r="CC42" i="15" s="1"/>
  <c r="CD42" i="15" s="1"/>
  <c r="CE42" i="15" s="1"/>
  <c r="CF42" i="15" s="1"/>
  <c r="CG42" i="15" s="1"/>
  <c r="CH42" i="15" s="1"/>
  <c r="CI42" i="15" s="1"/>
  <c r="CJ42" i="15" s="1"/>
  <c r="CK42" i="15" s="1"/>
  <c r="CL42" i="15" s="1"/>
  <c r="CM42" i="15" s="1"/>
  <c r="CN42" i="15" s="1"/>
  <c r="CO42" i="15" s="1"/>
  <c r="CP42" i="15" s="1"/>
  <c r="CQ42" i="15" s="1"/>
  <c r="CR42" i="15" s="1"/>
  <c r="CS42" i="15" s="1"/>
  <c r="CT42" i="15" s="1"/>
  <c r="CU42" i="15" s="1"/>
  <c r="CV42" i="15" s="1"/>
  <c r="CW42" i="15" s="1"/>
  <c r="CX42" i="15" s="1"/>
  <c r="CY42" i="15" s="1"/>
  <c r="CZ42" i="15" s="1"/>
  <c r="DA42" i="15" s="1"/>
  <c r="DB42" i="15" s="1"/>
  <c r="DC42" i="15" s="1"/>
  <c r="DD42" i="15" s="1"/>
  <c r="DE42" i="15" s="1"/>
  <c r="DF42" i="15" s="1"/>
  <c r="DG42" i="15" s="1"/>
  <c r="DH42" i="15" s="1"/>
  <c r="DI42" i="15" s="1"/>
  <c r="DJ42" i="15" s="1"/>
  <c r="DK42" i="15" s="1"/>
  <c r="DL42" i="15" s="1"/>
  <c r="DM42" i="15" s="1"/>
  <c r="DN42" i="15" s="1"/>
  <c r="DO42" i="15" s="1"/>
  <c r="DP42" i="15" s="1"/>
  <c r="DQ42" i="15" s="1"/>
  <c r="DR42" i="15" s="1"/>
  <c r="DS42" i="15" s="1"/>
  <c r="DT42" i="15" s="1"/>
  <c r="DU42" i="15" s="1"/>
  <c r="DV42" i="15" s="1"/>
  <c r="DW42" i="15" s="1"/>
  <c r="DX42" i="15" s="1"/>
  <c r="DY42" i="15" s="1"/>
  <c r="DZ42" i="15" s="1"/>
  <c r="EA42" i="15" s="1"/>
  <c r="EB42" i="15" s="1"/>
  <c r="EC42" i="15" s="1"/>
  <c r="ED42" i="15" s="1"/>
  <c r="EE42" i="15" s="1"/>
  <c r="EF42" i="15" s="1"/>
  <c r="EG42" i="15" s="1"/>
  <c r="EH42" i="15" s="1"/>
  <c r="EI42" i="15" s="1"/>
  <c r="EJ42" i="15" s="1"/>
  <c r="EK42" i="15" s="1"/>
  <c r="EL42" i="15" s="1"/>
  <c r="EM42" i="15" s="1"/>
  <c r="EN42" i="15" s="1"/>
  <c r="EO42" i="15" s="1"/>
  <c r="P34" i="15"/>
  <c r="Q34" i="15" s="1"/>
  <c r="R34" i="15" s="1"/>
  <c r="S34" i="15" s="1"/>
  <c r="T34" i="15" s="1"/>
  <c r="U34" i="15" s="1"/>
  <c r="V34" i="15" s="1"/>
  <c r="W34" i="15" s="1"/>
  <c r="X34" i="15" s="1"/>
  <c r="Y34" i="15" s="1"/>
  <c r="Z34" i="15" s="1"/>
  <c r="AA34" i="15" s="1"/>
  <c r="AB34" i="15" s="1"/>
  <c r="AC34" i="15" s="1"/>
  <c r="AD34" i="15" s="1"/>
  <c r="AE34" i="15" s="1"/>
  <c r="AF34" i="15" s="1"/>
  <c r="AG34" i="15" s="1"/>
  <c r="AH34" i="15" s="1"/>
  <c r="AI34" i="15" s="1"/>
  <c r="AJ34" i="15" s="1"/>
  <c r="AK34" i="15" s="1"/>
  <c r="AL34" i="15" s="1"/>
  <c r="AM34" i="15" s="1"/>
  <c r="AN34" i="15" s="1"/>
  <c r="AO34" i="15" s="1"/>
  <c r="AP34" i="15" s="1"/>
  <c r="AQ34" i="15" s="1"/>
  <c r="AR34" i="15" s="1"/>
  <c r="AS34" i="15" s="1"/>
  <c r="AT34" i="15" s="1"/>
  <c r="AU34" i="15" s="1"/>
  <c r="AV34" i="15" s="1"/>
  <c r="AW34" i="15" s="1"/>
  <c r="AX34" i="15" s="1"/>
  <c r="AY34" i="15" s="1"/>
  <c r="AZ34" i="15" s="1"/>
  <c r="BA34" i="15" s="1"/>
  <c r="BB34" i="15" s="1"/>
  <c r="BC34" i="15" s="1"/>
  <c r="BD34" i="15" s="1"/>
  <c r="BE34" i="15" s="1"/>
  <c r="BF34" i="15" s="1"/>
  <c r="BG34" i="15" s="1"/>
  <c r="BH34" i="15" s="1"/>
  <c r="BI34" i="15" s="1"/>
  <c r="BJ34" i="15" s="1"/>
  <c r="BK34" i="15" s="1"/>
  <c r="BL34" i="15" s="1"/>
  <c r="BM34" i="15" s="1"/>
  <c r="BN34" i="15" s="1"/>
  <c r="BO34" i="15" s="1"/>
  <c r="BP34" i="15" s="1"/>
  <c r="BQ34" i="15" s="1"/>
  <c r="BR34" i="15" s="1"/>
  <c r="BS34" i="15" s="1"/>
  <c r="BT34" i="15" s="1"/>
  <c r="BU34" i="15" s="1"/>
  <c r="BV34" i="15" s="1"/>
  <c r="BW34" i="15" s="1"/>
  <c r="BX34" i="15" s="1"/>
  <c r="BY34" i="15" s="1"/>
  <c r="BZ34" i="15" s="1"/>
  <c r="CA34" i="15" s="1"/>
  <c r="CB34" i="15" s="1"/>
  <c r="CC34" i="15" s="1"/>
  <c r="CD34" i="15" s="1"/>
  <c r="CE34" i="15" s="1"/>
  <c r="CF34" i="15" s="1"/>
  <c r="CG34" i="15" s="1"/>
  <c r="CH34" i="15" s="1"/>
  <c r="CI34" i="15" s="1"/>
  <c r="CJ34" i="15" s="1"/>
  <c r="CK34" i="15" s="1"/>
  <c r="CL34" i="15" s="1"/>
  <c r="CM34" i="15" s="1"/>
  <c r="CN34" i="15" s="1"/>
  <c r="CO34" i="15" s="1"/>
  <c r="CP34" i="15" s="1"/>
  <c r="CQ34" i="15" s="1"/>
  <c r="CR34" i="15" s="1"/>
  <c r="CS34" i="15" s="1"/>
  <c r="CT34" i="15" s="1"/>
  <c r="CU34" i="15" s="1"/>
  <c r="CV34" i="15" s="1"/>
  <c r="CW34" i="15" s="1"/>
  <c r="CX34" i="15" s="1"/>
  <c r="CY34" i="15" s="1"/>
  <c r="CZ34" i="15" s="1"/>
  <c r="DA34" i="15" s="1"/>
  <c r="DB34" i="15" s="1"/>
  <c r="DC34" i="15" s="1"/>
  <c r="DD34" i="15" s="1"/>
  <c r="DE34" i="15" s="1"/>
  <c r="DF34" i="15" s="1"/>
  <c r="DG34" i="15" s="1"/>
  <c r="DH34" i="15" s="1"/>
  <c r="DI34" i="15" s="1"/>
  <c r="DJ34" i="15" s="1"/>
  <c r="DK34" i="15" s="1"/>
  <c r="DL34" i="15" s="1"/>
  <c r="DM34" i="15" s="1"/>
  <c r="DN34" i="15" s="1"/>
  <c r="DO34" i="15" s="1"/>
  <c r="DP34" i="15" s="1"/>
  <c r="DQ34" i="15" s="1"/>
  <c r="DR34" i="15" s="1"/>
  <c r="DS34" i="15" s="1"/>
  <c r="DT34" i="15" s="1"/>
  <c r="DU34" i="15" s="1"/>
  <c r="DV34" i="15" s="1"/>
  <c r="DW34" i="15" s="1"/>
  <c r="DX34" i="15" s="1"/>
  <c r="DY34" i="15" s="1"/>
  <c r="DZ34" i="15" s="1"/>
  <c r="EA34" i="15" s="1"/>
  <c r="EB34" i="15" s="1"/>
  <c r="EC34" i="15" s="1"/>
  <c r="ED34" i="15" s="1"/>
  <c r="EE34" i="15" s="1"/>
  <c r="EF34" i="15" s="1"/>
  <c r="EG34" i="15" s="1"/>
  <c r="EH34" i="15" s="1"/>
  <c r="EI34" i="15" s="1"/>
  <c r="EJ34" i="15" s="1"/>
  <c r="EK34" i="15" s="1"/>
  <c r="EL34" i="15" s="1"/>
  <c r="EM34" i="15" s="1"/>
  <c r="EN34" i="15" s="1"/>
  <c r="EO34" i="15" s="1"/>
  <c r="P26" i="15"/>
  <c r="Q26" i="15" s="1"/>
  <c r="R26" i="15" s="1"/>
  <c r="S26" i="15" s="1"/>
  <c r="T26" i="15" s="1"/>
  <c r="U26" i="15" s="1"/>
  <c r="V26" i="15" s="1"/>
  <c r="W26" i="15" s="1"/>
  <c r="X26" i="15" s="1"/>
  <c r="Y26" i="15" s="1"/>
  <c r="Z26" i="15" s="1"/>
  <c r="AA26" i="15" s="1"/>
  <c r="AB26" i="15" s="1"/>
  <c r="AC26" i="15" s="1"/>
  <c r="AD26" i="15" s="1"/>
  <c r="AE26" i="15" s="1"/>
  <c r="AF26" i="15" s="1"/>
  <c r="AG26" i="15" s="1"/>
  <c r="AH26" i="15" s="1"/>
  <c r="AI26" i="15" s="1"/>
  <c r="AJ26" i="15" s="1"/>
  <c r="AK26" i="15" s="1"/>
  <c r="AL26" i="15" s="1"/>
  <c r="AM26" i="15" s="1"/>
  <c r="AN26" i="15" s="1"/>
  <c r="AO26" i="15" s="1"/>
  <c r="AP26" i="15" s="1"/>
  <c r="AQ26" i="15" s="1"/>
  <c r="AR26" i="15" s="1"/>
  <c r="AS26" i="15" s="1"/>
  <c r="AT26" i="15" s="1"/>
  <c r="AU26" i="15" s="1"/>
  <c r="AV26" i="15" s="1"/>
  <c r="AW26" i="15" s="1"/>
  <c r="AX26" i="15" s="1"/>
  <c r="AY26" i="15" s="1"/>
  <c r="AZ26" i="15" s="1"/>
  <c r="BA26" i="15" s="1"/>
  <c r="BB26" i="15" s="1"/>
  <c r="BC26" i="15" s="1"/>
  <c r="BD26" i="15" s="1"/>
  <c r="BE26" i="15" s="1"/>
  <c r="BF26" i="15" s="1"/>
  <c r="BG26" i="15" s="1"/>
  <c r="BH26" i="15" s="1"/>
  <c r="BI26" i="15" s="1"/>
  <c r="BJ26" i="15" s="1"/>
  <c r="BK26" i="15" s="1"/>
  <c r="BL26" i="15" s="1"/>
  <c r="BM26" i="15" s="1"/>
  <c r="BN26" i="15" s="1"/>
  <c r="BO26" i="15" s="1"/>
  <c r="BP26" i="15" s="1"/>
  <c r="BQ26" i="15" s="1"/>
  <c r="BR26" i="15" s="1"/>
  <c r="BS26" i="15" s="1"/>
  <c r="BT26" i="15" s="1"/>
  <c r="BU26" i="15" s="1"/>
  <c r="BV26" i="15" s="1"/>
  <c r="BW26" i="15" s="1"/>
  <c r="BX26" i="15" s="1"/>
  <c r="BY26" i="15" s="1"/>
  <c r="BZ26" i="15" s="1"/>
  <c r="CA26" i="15" s="1"/>
  <c r="CB26" i="15" s="1"/>
  <c r="CC26" i="15" s="1"/>
  <c r="CD26" i="15" s="1"/>
  <c r="CE26" i="15" s="1"/>
  <c r="CF26" i="15" s="1"/>
  <c r="CG26" i="15" s="1"/>
  <c r="CH26" i="15" s="1"/>
  <c r="CI26" i="15" s="1"/>
  <c r="CJ26" i="15" s="1"/>
  <c r="CK26" i="15" s="1"/>
  <c r="CL26" i="15" s="1"/>
  <c r="CM26" i="15" s="1"/>
  <c r="CN26" i="15" s="1"/>
  <c r="CO26" i="15" s="1"/>
  <c r="CP26" i="15" s="1"/>
  <c r="CQ26" i="15" s="1"/>
  <c r="CR26" i="15" s="1"/>
  <c r="CS26" i="15" s="1"/>
  <c r="CT26" i="15" s="1"/>
  <c r="CU26" i="15" s="1"/>
  <c r="CV26" i="15" s="1"/>
  <c r="CW26" i="15" s="1"/>
  <c r="CX26" i="15" s="1"/>
  <c r="CY26" i="15" s="1"/>
  <c r="CZ26" i="15" s="1"/>
  <c r="DA26" i="15" s="1"/>
  <c r="DB26" i="15" s="1"/>
  <c r="DC26" i="15" s="1"/>
  <c r="DD26" i="15" s="1"/>
  <c r="DE26" i="15" s="1"/>
  <c r="DF26" i="15" s="1"/>
  <c r="DG26" i="15" s="1"/>
  <c r="DH26" i="15" s="1"/>
  <c r="DI26" i="15" s="1"/>
  <c r="DJ26" i="15" s="1"/>
  <c r="DK26" i="15" s="1"/>
  <c r="DL26" i="15" s="1"/>
  <c r="DM26" i="15" s="1"/>
  <c r="DN26" i="15" s="1"/>
  <c r="DO26" i="15" s="1"/>
  <c r="DP26" i="15" s="1"/>
  <c r="DQ26" i="15" s="1"/>
  <c r="DR26" i="15" s="1"/>
  <c r="DS26" i="15" s="1"/>
  <c r="DT26" i="15" s="1"/>
  <c r="DU26" i="15" s="1"/>
  <c r="DV26" i="15" s="1"/>
  <c r="DW26" i="15" s="1"/>
  <c r="DX26" i="15" s="1"/>
  <c r="DY26" i="15" s="1"/>
  <c r="DZ26" i="15" s="1"/>
  <c r="EA26" i="15" s="1"/>
  <c r="EB26" i="15" s="1"/>
  <c r="EC26" i="15" s="1"/>
  <c r="ED26" i="15" s="1"/>
  <c r="EE26" i="15" s="1"/>
  <c r="EF26" i="15" s="1"/>
  <c r="EG26" i="15" s="1"/>
  <c r="EH26" i="15" s="1"/>
  <c r="EI26" i="15" s="1"/>
  <c r="EJ26" i="15" s="1"/>
  <c r="EK26" i="15" s="1"/>
  <c r="EL26" i="15" s="1"/>
  <c r="EM26" i="15" s="1"/>
  <c r="EN26" i="15" s="1"/>
  <c r="EO26" i="15" s="1"/>
  <c r="G20" i="15"/>
  <c r="P18" i="15"/>
  <c r="Q18" i="15" s="1"/>
  <c r="R18" i="15" s="1"/>
  <c r="S18" i="15" s="1"/>
  <c r="T18" i="15" s="1"/>
  <c r="U18" i="15" s="1"/>
  <c r="V18" i="15" s="1"/>
  <c r="W18" i="15" s="1"/>
  <c r="X18" i="15" s="1"/>
  <c r="Y18" i="15" s="1"/>
  <c r="Z18" i="15" s="1"/>
  <c r="AA18" i="15" s="1"/>
  <c r="AB18" i="15" s="1"/>
  <c r="AC18" i="15" s="1"/>
  <c r="AD18" i="15" s="1"/>
  <c r="AE18" i="15" s="1"/>
  <c r="AF18" i="15" s="1"/>
  <c r="AG18" i="15" s="1"/>
  <c r="AH18" i="15" s="1"/>
  <c r="AI18" i="15" s="1"/>
  <c r="AJ18" i="15" s="1"/>
  <c r="AK18" i="15" s="1"/>
  <c r="AL18" i="15" s="1"/>
  <c r="AM18" i="15" s="1"/>
  <c r="AN18" i="15" s="1"/>
  <c r="AO18" i="15" s="1"/>
  <c r="AP18" i="15" s="1"/>
  <c r="AQ18" i="15" s="1"/>
  <c r="AR18" i="15" s="1"/>
  <c r="AS18" i="15" s="1"/>
  <c r="AT18" i="15" s="1"/>
  <c r="AU18" i="15" s="1"/>
  <c r="AV18" i="15" s="1"/>
  <c r="AW18" i="15" s="1"/>
  <c r="AX18" i="15" s="1"/>
  <c r="AY18" i="15" s="1"/>
  <c r="AZ18" i="15" s="1"/>
  <c r="BA18" i="15" s="1"/>
  <c r="BB18" i="15" s="1"/>
  <c r="BC18" i="15" s="1"/>
  <c r="BD18" i="15" s="1"/>
  <c r="BE18" i="15" s="1"/>
  <c r="BF18" i="15" s="1"/>
  <c r="BG18" i="15" s="1"/>
  <c r="BH18" i="15" s="1"/>
  <c r="BI18" i="15" s="1"/>
  <c r="BJ18" i="15" s="1"/>
  <c r="BK18" i="15" s="1"/>
  <c r="BL18" i="15" s="1"/>
  <c r="BM18" i="15" s="1"/>
  <c r="BN18" i="15" s="1"/>
  <c r="BO18" i="15" s="1"/>
  <c r="BP18" i="15" s="1"/>
  <c r="BQ18" i="15" s="1"/>
  <c r="BR18" i="15" s="1"/>
  <c r="BS18" i="15" s="1"/>
  <c r="BT18" i="15" s="1"/>
  <c r="BU18" i="15" s="1"/>
  <c r="BV18" i="15" s="1"/>
  <c r="BW18" i="15" s="1"/>
  <c r="BX18" i="15" s="1"/>
  <c r="BY18" i="15" s="1"/>
  <c r="BZ18" i="15" s="1"/>
  <c r="CA18" i="15" s="1"/>
  <c r="CB18" i="15" s="1"/>
  <c r="CC18" i="15" s="1"/>
  <c r="CD18" i="15" s="1"/>
  <c r="CE18" i="15" s="1"/>
  <c r="CF18" i="15" s="1"/>
  <c r="CG18" i="15" s="1"/>
  <c r="CH18" i="15" s="1"/>
  <c r="CI18" i="15" s="1"/>
  <c r="CJ18" i="15" s="1"/>
  <c r="CK18" i="15" s="1"/>
  <c r="CL18" i="15" s="1"/>
  <c r="CM18" i="15" s="1"/>
  <c r="CN18" i="15" s="1"/>
  <c r="CO18" i="15" s="1"/>
  <c r="CP18" i="15" s="1"/>
  <c r="CQ18" i="15" s="1"/>
  <c r="CR18" i="15" s="1"/>
  <c r="CS18" i="15" s="1"/>
  <c r="CT18" i="15" s="1"/>
  <c r="CU18" i="15" s="1"/>
  <c r="CV18" i="15" s="1"/>
  <c r="CW18" i="15" s="1"/>
  <c r="CX18" i="15" s="1"/>
  <c r="CY18" i="15" s="1"/>
  <c r="CZ18" i="15" s="1"/>
  <c r="DA18" i="15" s="1"/>
  <c r="DB18" i="15" s="1"/>
  <c r="DC18" i="15" s="1"/>
  <c r="DD18" i="15" s="1"/>
  <c r="DE18" i="15" s="1"/>
  <c r="DF18" i="15" s="1"/>
  <c r="DG18" i="15" s="1"/>
  <c r="DH18" i="15" s="1"/>
  <c r="DI18" i="15" s="1"/>
  <c r="DJ18" i="15" s="1"/>
  <c r="DK18" i="15" s="1"/>
  <c r="DL18" i="15" s="1"/>
  <c r="DM18" i="15" s="1"/>
  <c r="DN18" i="15" s="1"/>
  <c r="DO18" i="15" s="1"/>
  <c r="DP18" i="15" s="1"/>
  <c r="DQ18" i="15" s="1"/>
  <c r="DR18" i="15" s="1"/>
  <c r="DS18" i="15" s="1"/>
  <c r="DT18" i="15" s="1"/>
  <c r="DU18" i="15" s="1"/>
  <c r="DV18" i="15" s="1"/>
  <c r="DW18" i="15" s="1"/>
  <c r="DX18" i="15" s="1"/>
  <c r="DY18" i="15" s="1"/>
  <c r="DZ18" i="15" s="1"/>
  <c r="EA18" i="15" s="1"/>
  <c r="EB18" i="15" s="1"/>
  <c r="EC18" i="15" s="1"/>
  <c r="ED18" i="15" s="1"/>
  <c r="EE18" i="15" s="1"/>
  <c r="EF18" i="15" s="1"/>
  <c r="EG18" i="15" s="1"/>
  <c r="EH18" i="15" s="1"/>
  <c r="EI18" i="15" s="1"/>
  <c r="EJ18" i="15" s="1"/>
  <c r="EK18" i="15" s="1"/>
  <c r="EL18" i="15" s="1"/>
  <c r="EM18" i="15" s="1"/>
  <c r="EN18" i="15" s="1"/>
  <c r="EO18" i="15" s="1"/>
  <c r="G12" i="15"/>
  <c r="G11" i="15"/>
  <c r="T10" i="15"/>
  <c r="U10" i="15" s="1"/>
  <c r="V10" i="15" s="1"/>
  <c r="W10" i="15" s="1"/>
  <c r="X10" i="15" s="1"/>
  <c r="Y10" i="15" s="1"/>
  <c r="Z10" i="15" s="1"/>
  <c r="AA10" i="15" s="1"/>
  <c r="AB10" i="15" s="1"/>
  <c r="AC10" i="15" s="1"/>
  <c r="AD10" i="15" s="1"/>
  <c r="AE10" i="15" s="1"/>
  <c r="AF10" i="15" s="1"/>
  <c r="AG10" i="15" s="1"/>
  <c r="AH10" i="15" s="1"/>
  <c r="AI10" i="15" s="1"/>
  <c r="AJ10" i="15" s="1"/>
  <c r="AK10" i="15" s="1"/>
  <c r="AL10" i="15" s="1"/>
  <c r="AM10" i="15" s="1"/>
  <c r="AN10" i="15" s="1"/>
  <c r="AO10" i="15" s="1"/>
  <c r="AP10" i="15" s="1"/>
  <c r="AQ10" i="15" s="1"/>
  <c r="AR10" i="15" s="1"/>
  <c r="AS10" i="15" s="1"/>
  <c r="AT10" i="15" s="1"/>
  <c r="AU10" i="15" s="1"/>
  <c r="AV10" i="15" s="1"/>
  <c r="AW10" i="15" s="1"/>
  <c r="AX10" i="15" s="1"/>
  <c r="AY10" i="15" s="1"/>
  <c r="AZ10" i="15" s="1"/>
  <c r="BA10" i="15" s="1"/>
  <c r="BB10" i="15" s="1"/>
  <c r="BC10" i="15" s="1"/>
  <c r="BD10" i="15" s="1"/>
  <c r="BE10" i="15" s="1"/>
  <c r="BF10" i="15" s="1"/>
  <c r="BG10" i="15" s="1"/>
  <c r="BH10" i="15" s="1"/>
  <c r="BI10" i="15" s="1"/>
  <c r="BJ10" i="15" s="1"/>
  <c r="BK10" i="15" s="1"/>
  <c r="BL10" i="15" s="1"/>
  <c r="BM10" i="15" s="1"/>
  <c r="BN10" i="15" s="1"/>
  <c r="BO10" i="15" s="1"/>
  <c r="BP10" i="15" s="1"/>
  <c r="BQ10" i="15" s="1"/>
  <c r="BR10" i="15" s="1"/>
  <c r="BS10" i="15" s="1"/>
  <c r="BT10" i="15" s="1"/>
  <c r="BU10" i="15" s="1"/>
  <c r="BV10" i="15" s="1"/>
  <c r="BW10" i="15" s="1"/>
  <c r="BX10" i="15" s="1"/>
  <c r="BY10" i="15" s="1"/>
  <c r="BZ10" i="15" s="1"/>
  <c r="CA10" i="15" s="1"/>
  <c r="CB10" i="15" s="1"/>
  <c r="CC10" i="15" s="1"/>
  <c r="CD10" i="15" s="1"/>
  <c r="CE10" i="15" s="1"/>
  <c r="CF10" i="15" s="1"/>
  <c r="CG10" i="15" s="1"/>
  <c r="CH10" i="15" s="1"/>
  <c r="CI10" i="15" s="1"/>
  <c r="CJ10" i="15" s="1"/>
  <c r="CK10" i="15" s="1"/>
  <c r="CL10" i="15" s="1"/>
  <c r="CM10" i="15" s="1"/>
  <c r="CN10" i="15" s="1"/>
  <c r="CO10" i="15" s="1"/>
  <c r="CP10" i="15" s="1"/>
  <c r="CQ10" i="15" s="1"/>
  <c r="CR10" i="15" s="1"/>
  <c r="CS10" i="15" s="1"/>
  <c r="CT10" i="15" s="1"/>
  <c r="CU10" i="15" s="1"/>
  <c r="CV10" i="15" s="1"/>
  <c r="CW10" i="15" s="1"/>
  <c r="CX10" i="15" s="1"/>
  <c r="CY10" i="15" s="1"/>
  <c r="CZ10" i="15" s="1"/>
  <c r="DA10" i="15" s="1"/>
  <c r="DB10" i="15" s="1"/>
  <c r="DC10" i="15" s="1"/>
  <c r="DD10" i="15" s="1"/>
  <c r="DE10" i="15" s="1"/>
  <c r="DF10" i="15" s="1"/>
  <c r="DG10" i="15" s="1"/>
  <c r="DH10" i="15" s="1"/>
  <c r="DI10" i="15" s="1"/>
  <c r="DJ10" i="15" s="1"/>
  <c r="DK10" i="15" s="1"/>
  <c r="DL10" i="15" s="1"/>
  <c r="DM10" i="15" s="1"/>
  <c r="DN10" i="15" s="1"/>
  <c r="DO10" i="15" s="1"/>
  <c r="DP10" i="15" s="1"/>
  <c r="DQ10" i="15" s="1"/>
  <c r="DR10" i="15" s="1"/>
  <c r="DS10" i="15" s="1"/>
  <c r="DT10" i="15" s="1"/>
  <c r="DU10" i="15" s="1"/>
  <c r="DV10" i="15" s="1"/>
  <c r="DW10" i="15" s="1"/>
  <c r="DX10" i="15" s="1"/>
  <c r="DY10" i="15" s="1"/>
  <c r="DZ10" i="15" s="1"/>
  <c r="EA10" i="15" s="1"/>
  <c r="EB10" i="15" s="1"/>
  <c r="EC10" i="15" s="1"/>
  <c r="ED10" i="15" s="1"/>
  <c r="EE10" i="15" s="1"/>
  <c r="EF10" i="15" s="1"/>
  <c r="EG10" i="15" s="1"/>
  <c r="EH10" i="15" s="1"/>
  <c r="EI10" i="15" s="1"/>
  <c r="EJ10" i="15" s="1"/>
  <c r="EK10" i="15" s="1"/>
  <c r="EL10" i="15" s="1"/>
  <c r="EM10" i="15" s="1"/>
  <c r="EN10" i="15" s="1"/>
  <c r="EO10" i="15" s="1"/>
  <c r="G4" i="15"/>
  <c r="H4" i="15" s="1"/>
  <c r="G3" i="15"/>
  <c r="H3" i="15" s="1"/>
  <c r="Z2" i="15"/>
  <c r="AA2" i="15" l="1"/>
  <c r="Z71" i="15"/>
  <c r="Z63" i="15"/>
  <c r="Z55" i="15"/>
  <c r="Z47" i="15"/>
  <c r="Z39" i="15"/>
  <c r="Z31" i="15"/>
  <c r="Z23" i="15"/>
  <c r="Z7" i="15"/>
  <c r="Z15" i="15"/>
  <c r="T2" i="16"/>
  <c r="S63" i="16"/>
  <c r="S7" i="16"/>
  <c r="L118" i="4"/>
  <c r="K213" i="4"/>
  <c r="K219" i="4"/>
  <c r="L167" i="4"/>
  <c r="K123" i="4"/>
  <c r="K108" i="4"/>
  <c r="L98" i="4"/>
  <c r="K117" i="4"/>
  <c r="L175" i="4"/>
  <c r="L133" i="4"/>
  <c r="L177" i="4"/>
  <c r="L130" i="4"/>
  <c r="L132" i="4"/>
  <c r="L220" i="4"/>
  <c r="L178" i="4"/>
  <c r="L222" i="4"/>
  <c r="L223" i="4"/>
  <c r="L168" i="4"/>
  <c r="K216" i="4"/>
  <c r="K218" i="4"/>
  <c r="L215" i="4"/>
  <c r="K122" i="4"/>
  <c r="L125" i="4"/>
  <c r="L218" i="4"/>
  <c r="L123" i="4"/>
  <c r="L217" i="4"/>
  <c r="L174" i="4"/>
  <c r="K129" i="4"/>
  <c r="K128" i="4"/>
  <c r="K214" i="4"/>
  <c r="K127" i="4"/>
  <c r="K167" i="4"/>
  <c r="L126" i="4"/>
  <c r="K119" i="4"/>
  <c r="L129" i="4"/>
  <c r="L164" i="4"/>
  <c r="K169" i="4"/>
  <c r="L128" i="4"/>
  <c r="K124" i="4"/>
  <c r="K163" i="4"/>
  <c r="L209" i="4"/>
  <c r="K215" i="4"/>
  <c r="L208" i="4"/>
  <c r="K28" i="4"/>
  <c r="L219" i="4"/>
  <c r="K172" i="4"/>
  <c r="L214" i="4"/>
  <c r="K164" i="4"/>
  <c r="L212" i="4"/>
  <c r="K168" i="4"/>
  <c r="L170" i="4"/>
  <c r="L173" i="4"/>
  <c r="K173" i="4"/>
  <c r="L213" i="4"/>
  <c r="L105" i="4"/>
  <c r="K212" i="4"/>
  <c r="L210" i="4"/>
  <c r="K205" i="4"/>
  <c r="K204" i="4"/>
  <c r="K209" i="4"/>
  <c r="L104" i="4"/>
  <c r="K141" i="4"/>
  <c r="K125" i="4"/>
  <c r="K217" i="4"/>
  <c r="L110" i="4"/>
  <c r="L119" i="4"/>
  <c r="K194" i="4"/>
  <c r="L156" i="4"/>
  <c r="L127" i="4"/>
  <c r="K118" i="4"/>
  <c r="K96" i="4"/>
  <c r="L224" i="4"/>
  <c r="K195" i="4"/>
  <c r="K176" i="4"/>
  <c r="K227" i="4"/>
  <c r="K116" i="4"/>
  <c r="K186" i="4"/>
  <c r="K170" i="4"/>
  <c r="L172" i="4"/>
  <c r="L169" i="4"/>
  <c r="K150" i="4"/>
  <c r="L165" i="4"/>
  <c r="K137" i="4"/>
  <c r="K161" i="4"/>
  <c r="L102" i="4"/>
  <c r="L149" i="4"/>
  <c r="K179" i="4"/>
  <c r="L189" i="4"/>
  <c r="L106" i="4"/>
  <c r="L200" i="4"/>
  <c r="L191" i="4"/>
  <c r="K121" i="4"/>
  <c r="K193" i="4"/>
  <c r="K162" i="4"/>
  <c r="K144" i="4"/>
  <c r="L188" i="4"/>
  <c r="L124" i="4"/>
  <c r="L211" i="4"/>
  <c r="L183" i="4"/>
  <c r="K97" i="4"/>
  <c r="K151" i="4"/>
  <c r="K101" i="4"/>
  <c r="K171" i="4"/>
  <c r="L158" i="4"/>
  <c r="L138" i="4"/>
  <c r="L99" i="4"/>
  <c r="L142" i="4"/>
  <c r="L216" i="4"/>
  <c r="L113" i="4"/>
  <c r="F60" i="18"/>
  <c r="F61" i="18" s="1"/>
  <c r="F50" i="18"/>
  <c r="F51" i="18" s="1"/>
  <c r="G45" i="14"/>
  <c r="H45" i="14" s="1"/>
  <c r="G46" i="14" s="1"/>
  <c r="H46" i="14" s="1"/>
  <c r="H36" i="5"/>
  <c r="H44" i="5"/>
  <c r="H52" i="5"/>
  <c r="G54" i="18"/>
  <c r="G55" i="18" s="1"/>
  <c r="G56" i="18" s="1"/>
  <c r="F70" i="18"/>
  <c r="F71" i="18" s="1"/>
  <c r="F65" i="18"/>
  <c r="F66" i="18" s="1"/>
  <c r="G64" i="18"/>
  <c r="F85" i="18"/>
  <c r="H85" i="18" s="1"/>
  <c r="H59" i="18"/>
  <c r="W59" i="18" s="1"/>
  <c r="H84" i="18"/>
  <c r="F24" i="18"/>
  <c r="G23" i="18"/>
  <c r="G24" i="18" s="1"/>
  <c r="F9" i="18"/>
  <c r="F29" i="18"/>
  <c r="G8" i="18"/>
  <c r="G9" i="18" s="1"/>
  <c r="F19" i="18"/>
  <c r="G43" i="18"/>
  <c r="F39" i="18"/>
  <c r="G28" i="18"/>
  <c r="F44" i="18"/>
  <c r="G33" i="18"/>
  <c r="H33" i="18" s="1"/>
  <c r="BF33" i="18" s="1"/>
  <c r="G61" i="14"/>
  <c r="H61" i="14" s="1"/>
  <c r="H60" i="14"/>
  <c r="I60" i="14" s="1"/>
  <c r="G53" i="14"/>
  <c r="H53" i="14" s="1"/>
  <c r="H52" i="14"/>
  <c r="I52" i="14" s="1"/>
  <c r="H51" i="14"/>
  <c r="I51" i="14" s="1"/>
  <c r="H44" i="14"/>
  <c r="I44" i="14" s="1"/>
  <c r="I43" i="14"/>
  <c r="G86" i="18"/>
  <c r="G79" i="18"/>
  <c r="F80" i="18"/>
  <c r="G74" i="18"/>
  <c r="G70" i="18"/>
  <c r="G71" i="18" s="1"/>
  <c r="F76" i="18"/>
  <c r="T49" i="18"/>
  <c r="AH49" i="18"/>
  <c r="BF49" i="18"/>
  <c r="CD49" i="18"/>
  <c r="CJ49" i="18"/>
  <c r="AN49" i="18"/>
  <c r="BR49" i="18"/>
  <c r="AX49" i="18"/>
  <c r="BW49" i="18"/>
  <c r="BX49" i="18"/>
  <c r="BA49" i="18"/>
  <c r="BB49" i="18"/>
  <c r="P49" i="18"/>
  <c r="BL49" i="18"/>
  <c r="AT49" i="18"/>
  <c r="Z49" i="18"/>
  <c r="AA49" i="18"/>
  <c r="CU49" i="18"/>
  <c r="AZ49" i="18"/>
  <c r="S49" i="18"/>
  <c r="BY49" i="18"/>
  <c r="R49" i="18"/>
  <c r="AP49" i="18"/>
  <c r="BN49" i="18"/>
  <c r="CL49" i="18"/>
  <c r="V49" i="18"/>
  <c r="CP49" i="18"/>
  <c r="BV49" i="18"/>
  <c r="CT49" i="18"/>
  <c r="AY49" i="18"/>
  <c r="AB49" i="18"/>
  <c r="CV49" i="18"/>
  <c r="AC49" i="18"/>
  <c r="CW49" i="18"/>
  <c r="AD49" i="18"/>
  <c r="BZ49" i="18"/>
  <c r="N49" i="18"/>
  <c r="CK49" i="18"/>
  <c r="BM49" i="18"/>
  <c r="AO49" i="18"/>
  <c r="Q49" i="18"/>
  <c r="CI49" i="18"/>
  <c r="BK49" i="18"/>
  <c r="AM49" i="18"/>
  <c r="O49" i="18"/>
  <c r="G50" i="18"/>
  <c r="CH49" i="18"/>
  <c r="BJ49" i="18"/>
  <c r="AL49" i="18"/>
  <c r="T69" i="18"/>
  <c r="AF69" i="18"/>
  <c r="AR69" i="18"/>
  <c r="BD69" i="18"/>
  <c r="BP69" i="18"/>
  <c r="CB69" i="18"/>
  <c r="CN69" i="18"/>
  <c r="U69" i="18"/>
  <c r="AG69" i="18"/>
  <c r="AS69" i="18"/>
  <c r="BE69" i="18"/>
  <c r="BQ69" i="18"/>
  <c r="CC69" i="18"/>
  <c r="CO69" i="18"/>
  <c r="BM69" i="18"/>
  <c r="AL69" i="18"/>
  <c r="AA69" i="18"/>
  <c r="BK69" i="18"/>
  <c r="BW69" i="18"/>
  <c r="CI69" i="18"/>
  <c r="CU69" i="18"/>
  <c r="AN69" i="18"/>
  <c r="AO69" i="18"/>
  <c r="CK69" i="18"/>
  <c r="AD69" i="18"/>
  <c r="BN69" i="18"/>
  <c r="CL69" i="18"/>
  <c r="Z69" i="18"/>
  <c r="BJ69" i="18"/>
  <c r="AY69" i="18"/>
  <c r="P69" i="18"/>
  <c r="CV69" i="18"/>
  <c r="Q69" i="18"/>
  <c r="AP69" i="18"/>
  <c r="N69" i="18"/>
  <c r="BV69" i="18"/>
  <c r="CT69" i="18"/>
  <c r="AM69" i="18"/>
  <c r="AZ69" i="18"/>
  <c r="BA69" i="18"/>
  <c r="BB69" i="18"/>
  <c r="AX69" i="18"/>
  <c r="CH69" i="18"/>
  <c r="O69" i="18"/>
  <c r="AB69" i="18"/>
  <c r="BL69" i="18"/>
  <c r="BX69" i="18"/>
  <c r="CJ69" i="18"/>
  <c r="AC69" i="18"/>
  <c r="BY69" i="18"/>
  <c r="CW69" i="18"/>
  <c r="R69" i="18"/>
  <c r="BZ69" i="18"/>
  <c r="CS69" i="18"/>
  <c r="CG69" i="18"/>
  <c r="BU69" i="18"/>
  <c r="BI69" i="18"/>
  <c r="AW69" i="18"/>
  <c r="AK69" i="18"/>
  <c r="Y69" i="18"/>
  <c r="M69" i="18"/>
  <c r="CR69" i="18"/>
  <c r="CF69" i="18"/>
  <c r="BT69" i="18"/>
  <c r="BH69" i="18"/>
  <c r="AV69" i="18"/>
  <c r="AJ69" i="18"/>
  <c r="CQ69" i="18"/>
  <c r="CE69" i="18"/>
  <c r="BS69" i="18"/>
  <c r="BG69" i="18"/>
  <c r="AU69" i="18"/>
  <c r="AI69" i="18"/>
  <c r="W69" i="18"/>
  <c r="X69" i="18"/>
  <c r="CP69" i="18"/>
  <c r="CD69" i="18"/>
  <c r="BR69" i="18"/>
  <c r="BF69" i="18"/>
  <c r="AT69" i="18"/>
  <c r="AH69" i="18"/>
  <c r="V69" i="18"/>
  <c r="CM69" i="18"/>
  <c r="CA69" i="18"/>
  <c r="BO69" i="18"/>
  <c r="BC69" i="18"/>
  <c r="AQ69" i="18"/>
  <c r="AE69" i="18"/>
  <c r="CS49" i="18"/>
  <c r="CG49" i="18"/>
  <c r="BU49" i="18"/>
  <c r="BI49" i="18"/>
  <c r="AW49" i="18"/>
  <c r="AK49" i="18"/>
  <c r="Y49" i="18"/>
  <c r="M49" i="18"/>
  <c r="CR49" i="18"/>
  <c r="CF49" i="18"/>
  <c r="BT49" i="18"/>
  <c r="BH49" i="18"/>
  <c r="AV49" i="18"/>
  <c r="AJ49" i="18"/>
  <c r="X49" i="18"/>
  <c r="CQ49" i="18"/>
  <c r="CE49" i="18"/>
  <c r="BS49" i="18"/>
  <c r="BG49" i="18"/>
  <c r="AU49" i="18"/>
  <c r="AI49" i="18"/>
  <c r="W49" i="18"/>
  <c r="CO49" i="18"/>
  <c r="CC49" i="18"/>
  <c r="BQ49" i="18"/>
  <c r="BE49" i="18"/>
  <c r="AS49" i="18"/>
  <c r="AG49" i="18"/>
  <c r="U49" i="18"/>
  <c r="CN49" i="18"/>
  <c r="CB49" i="18"/>
  <c r="BP49" i="18"/>
  <c r="BD49" i="18"/>
  <c r="AR49" i="18"/>
  <c r="AF49" i="18"/>
  <c r="CM49" i="18"/>
  <c r="CA49" i="18"/>
  <c r="BO49" i="18"/>
  <c r="BC49" i="18"/>
  <c r="AQ49" i="18"/>
  <c r="AE49" i="18"/>
  <c r="G39" i="18"/>
  <c r="H38" i="18"/>
  <c r="W38" i="18" s="1"/>
  <c r="F34" i="18"/>
  <c r="G18" i="18"/>
  <c r="G13" i="18"/>
  <c r="F14" i="18"/>
  <c r="G3" i="18"/>
  <c r="F4" i="18"/>
  <c r="H60" i="5"/>
  <c r="H61" i="5" s="1"/>
  <c r="G53" i="5"/>
  <c r="H53" i="5" s="1"/>
  <c r="G37" i="5"/>
  <c r="H37" i="5" s="1"/>
  <c r="G38" i="5" s="1"/>
  <c r="H38" i="5" s="1"/>
  <c r="G45" i="5"/>
  <c r="H45" i="5" s="1"/>
  <c r="G69" i="5"/>
  <c r="H35" i="14"/>
  <c r="I35" i="14" s="1"/>
  <c r="I27" i="14"/>
  <c r="I3" i="14"/>
  <c r="M3" i="14" s="1"/>
  <c r="U2" i="16"/>
  <c r="G13" i="15"/>
  <c r="H45" i="15"/>
  <c r="I45" i="15" s="1"/>
  <c r="P45" i="15" s="1"/>
  <c r="G5" i="15"/>
  <c r="O58" i="14"/>
  <c r="P58" i="14" s="1"/>
  <c r="Q58" i="14" s="1"/>
  <c r="R58" i="14" s="1"/>
  <c r="S58" i="14" s="1"/>
  <c r="T58" i="14" s="1"/>
  <c r="U58" i="14" s="1"/>
  <c r="V58" i="14" s="1"/>
  <c r="W58" i="14" s="1"/>
  <c r="X58" i="14" s="1"/>
  <c r="Y58" i="14" s="1"/>
  <c r="Z58" i="14" s="1"/>
  <c r="AA58" i="14" s="1"/>
  <c r="AB58" i="14" s="1"/>
  <c r="AC58" i="14" s="1"/>
  <c r="AD58" i="14" s="1"/>
  <c r="AE58" i="14" s="1"/>
  <c r="AF58" i="14" s="1"/>
  <c r="AG58" i="14" s="1"/>
  <c r="AH58" i="14" s="1"/>
  <c r="AI58" i="14" s="1"/>
  <c r="AJ58" i="14" s="1"/>
  <c r="AK58" i="14" s="1"/>
  <c r="AL58" i="14" s="1"/>
  <c r="AM58" i="14" s="1"/>
  <c r="AN58" i="14" s="1"/>
  <c r="AO58" i="14" s="1"/>
  <c r="AP58" i="14" s="1"/>
  <c r="AQ58" i="14" s="1"/>
  <c r="AR58" i="14" s="1"/>
  <c r="AS58" i="14" s="1"/>
  <c r="AT58" i="14" s="1"/>
  <c r="AU58" i="14" s="1"/>
  <c r="AV58" i="14" s="1"/>
  <c r="AW58" i="14" s="1"/>
  <c r="AX58" i="14" s="1"/>
  <c r="AY58" i="14" s="1"/>
  <c r="AZ58" i="14" s="1"/>
  <c r="BA58" i="14" s="1"/>
  <c r="BB58" i="14" s="1"/>
  <c r="BC58" i="14" s="1"/>
  <c r="BD58" i="14" s="1"/>
  <c r="BE58" i="14" s="1"/>
  <c r="BF58" i="14" s="1"/>
  <c r="BG58" i="14" s="1"/>
  <c r="BH58" i="14" s="1"/>
  <c r="BI58" i="14" s="1"/>
  <c r="BJ58" i="14" s="1"/>
  <c r="BK58" i="14" s="1"/>
  <c r="BL58" i="14" s="1"/>
  <c r="BM58" i="14" s="1"/>
  <c r="BN58" i="14" s="1"/>
  <c r="BO58" i="14" s="1"/>
  <c r="BP58" i="14" s="1"/>
  <c r="BQ58" i="14" s="1"/>
  <c r="BR58" i="14" s="1"/>
  <c r="BS58" i="14" s="1"/>
  <c r="BT58" i="14" s="1"/>
  <c r="BU58" i="14" s="1"/>
  <c r="BV58" i="14" s="1"/>
  <c r="BW58" i="14" s="1"/>
  <c r="BX58" i="14" s="1"/>
  <c r="BY58" i="14" s="1"/>
  <c r="BZ58" i="14" s="1"/>
  <c r="CA58" i="14" s="1"/>
  <c r="CB58" i="14" s="1"/>
  <c r="CC58" i="14" s="1"/>
  <c r="CD58" i="14" s="1"/>
  <c r="CE58" i="14" s="1"/>
  <c r="CF58" i="14" s="1"/>
  <c r="CG58" i="14" s="1"/>
  <c r="CH58" i="14" s="1"/>
  <c r="CI58" i="14" s="1"/>
  <c r="CJ58" i="14" s="1"/>
  <c r="CK58" i="14" s="1"/>
  <c r="CL58" i="14" s="1"/>
  <c r="CM58" i="14" s="1"/>
  <c r="CN58" i="14" s="1"/>
  <c r="CO58" i="14" s="1"/>
  <c r="CP58" i="14" s="1"/>
  <c r="CQ58" i="14" s="1"/>
  <c r="CR58" i="14" s="1"/>
  <c r="CS58" i="14" s="1"/>
  <c r="CV58" i="14"/>
  <c r="CW58" i="14" s="1"/>
  <c r="CX58" i="14" s="1"/>
  <c r="CY58" i="14" s="1"/>
  <c r="CZ58" i="14" s="1"/>
  <c r="DA58" i="14" s="1"/>
  <c r="DB58" i="14" s="1"/>
  <c r="DC58" i="14" s="1"/>
  <c r="DD58" i="14" s="1"/>
  <c r="DE58" i="14" s="1"/>
  <c r="DF58" i="14" s="1"/>
  <c r="DG58" i="14" s="1"/>
  <c r="DH58" i="14" s="1"/>
  <c r="DI58" i="14" s="1"/>
  <c r="DJ58" i="14" s="1"/>
  <c r="DK58" i="14" s="1"/>
  <c r="DL58" i="14" s="1"/>
  <c r="DM58" i="14" s="1"/>
  <c r="DN58" i="14" s="1"/>
  <c r="DO58" i="14" s="1"/>
  <c r="DP58" i="14" s="1"/>
  <c r="DQ58" i="14" s="1"/>
  <c r="DR58" i="14" s="1"/>
  <c r="DS58" i="14" s="1"/>
  <c r="DT58" i="14" s="1"/>
  <c r="DU58" i="14" s="1"/>
  <c r="DV58" i="14" s="1"/>
  <c r="DW58" i="14" s="1"/>
  <c r="O50" i="14"/>
  <c r="P50" i="14" s="1"/>
  <c r="Q50" i="14" s="1"/>
  <c r="R50" i="14" s="1"/>
  <c r="S50" i="14" s="1"/>
  <c r="T50" i="14" s="1"/>
  <c r="U50" i="14" s="1"/>
  <c r="V50" i="14" s="1"/>
  <c r="W50" i="14" s="1"/>
  <c r="X50" i="14" s="1"/>
  <c r="Y50" i="14" s="1"/>
  <c r="Z50" i="14" s="1"/>
  <c r="AA50" i="14" s="1"/>
  <c r="AB50" i="14" s="1"/>
  <c r="AC50" i="14" s="1"/>
  <c r="AD50" i="14" s="1"/>
  <c r="AE50" i="14" s="1"/>
  <c r="AF50" i="14" s="1"/>
  <c r="AG50" i="14" s="1"/>
  <c r="AH50" i="14" s="1"/>
  <c r="AI50" i="14" s="1"/>
  <c r="AJ50" i="14" s="1"/>
  <c r="AK50" i="14" s="1"/>
  <c r="AL50" i="14" s="1"/>
  <c r="AM50" i="14" s="1"/>
  <c r="AN50" i="14" s="1"/>
  <c r="AO50" i="14" s="1"/>
  <c r="AP50" i="14" s="1"/>
  <c r="AQ50" i="14" s="1"/>
  <c r="AR50" i="14" s="1"/>
  <c r="AS50" i="14" s="1"/>
  <c r="AT50" i="14" s="1"/>
  <c r="AU50" i="14" s="1"/>
  <c r="AV50" i="14" s="1"/>
  <c r="AW50" i="14" s="1"/>
  <c r="AX50" i="14" s="1"/>
  <c r="AY50" i="14" s="1"/>
  <c r="AZ50" i="14" s="1"/>
  <c r="BA50" i="14" s="1"/>
  <c r="BB50" i="14" s="1"/>
  <c r="BC50" i="14" s="1"/>
  <c r="BD50" i="14" s="1"/>
  <c r="BE50" i="14" s="1"/>
  <c r="BF50" i="14" s="1"/>
  <c r="BG50" i="14" s="1"/>
  <c r="BH50" i="14" s="1"/>
  <c r="BI50" i="14" s="1"/>
  <c r="BJ50" i="14" s="1"/>
  <c r="BK50" i="14" s="1"/>
  <c r="BL50" i="14" s="1"/>
  <c r="BM50" i="14" s="1"/>
  <c r="BN50" i="14" s="1"/>
  <c r="BO50" i="14" s="1"/>
  <c r="BP50" i="14" s="1"/>
  <c r="BQ50" i="14" s="1"/>
  <c r="BR50" i="14" s="1"/>
  <c r="BS50" i="14" s="1"/>
  <c r="BT50" i="14" s="1"/>
  <c r="BU50" i="14" s="1"/>
  <c r="BV50" i="14" s="1"/>
  <c r="BW50" i="14" s="1"/>
  <c r="BX50" i="14" s="1"/>
  <c r="BY50" i="14" s="1"/>
  <c r="BZ50" i="14" s="1"/>
  <c r="CA50" i="14" s="1"/>
  <c r="CB50" i="14" s="1"/>
  <c r="CC50" i="14" s="1"/>
  <c r="CD50" i="14" s="1"/>
  <c r="CE50" i="14" s="1"/>
  <c r="CF50" i="14" s="1"/>
  <c r="CG50" i="14" s="1"/>
  <c r="CH50" i="14" s="1"/>
  <c r="CI50" i="14" s="1"/>
  <c r="CJ50" i="14" s="1"/>
  <c r="CK50" i="14" s="1"/>
  <c r="CL50" i="14" s="1"/>
  <c r="CM50" i="14" s="1"/>
  <c r="CN50" i="14" s="1"/>
  <c r="CO50" i="14" s="1"/>
  <c r="CP50" i="14" s="1"/>
  <c r="CQ50" i="14" s="1"/>
  <c r="CR50" i="14" s="1"/>
  <c r="CS50" i="14" s="1"/>
  <c r="CV50" i="14"/>
  <c r="CW50" i="14" s="1"/>
  <c r="CX50" i="14" s="1"/>
  <c r="CY50" i="14" s="1"/>
  <c r="CZ50" i="14" s="1"/>
  <c r="DA50" i="14" s="1"/>
  <c r="DB50" i="14" s="1"/>
  <c r="DC50" i="14" s="1"/>
  <c r="DD50" i="14" s="1"/>
  <c r="DE50" i="14" s="1"/>
  <c r="DF50" i="14" s="1"/>
  <c r="DG50" i="14" s="1"/>
  <c r="DH50" i="14" s="1"/>
  <c r="DI50" i="14" s="1"/>
  <c r="DJ50" i="14" s="1"/>
  <c r="DK50" i="14" s="1"/>
  <c r="DL50" i="14" s="1"/>
  <c r="DM50" i="14" s="1"/>
  <c r="DN50" i="14" s="1"/>
  <c r="DO50" i="14" s="1"/>
  <c r="DP50" i="14" s="1"/>
  <c r="DQ50" i="14" s="1"/>
  <c r="DR50" i="14" s="1"/>
  <c r="DS50" i="14" s="1"/>
  <c r="DT50" i="14" s="1"/>
  <c r="DU50" i="14" s="1"/>
  <c r="O42" i="14"/>
  <c r="P42" i="14" s="1"/>
  <c r="Q42" i="14" s="1"/>
  <c r="R42" i="14" s="1"/>
  <c r="S42" i="14" s="1"/>
  <c r="T42" i="14" s="1"/>
  <c r="U42" i="14" s="1"/>
  <c r="V42" i="14" s="1"/>
  <c r="W42" i="14" s="1"/>
  <c r="X42" i="14" s="1"/>
  <c r="Y42" i="14" s="1"/>
  <c r="Z42" i="14" s="1"/>
  <c r="AA42" i="14" s="1"/>
  <c r="AB42" i="14" s="1"/>
  <c r="AC42" i="14" s="1"/>
  <c r="AD42" i="14" s="1"/>
  <c r="AE42" i="14" s="1"/>
  <c r="AF42" i="14" s="1"/>
  <c r="AG42" i="14" s="1"/>
  <c r="AH42" i="14" s="1"/>
  <c r="AI42" i="14" s="1"/>
  <c r="AJ42" i="14" s="1"/>
  <c r="AK42" i="14" s="1"/>
  <c r="AL42" i="14" s="1"/>
  <c r="AM42" i="14" s="1"/>
  <c r="AN42" i="14" s="1"/>
  <c r="AO42" i="14" s="1"/>
  <c r="AP42" i="14" s="1"/>
  <c r="AQ42" i="14" s="1"/>
  <c r="AR42" i="14" s="1"/>
  <c r="AS42" i="14" s="1"/>
  <c r="AT42" i="14" s="1"/>
  <c r="AU42" i="14" s="1"/>
  <c r="AV42" i="14" s="1"/>
  <c r="AW42" i="14" s="1"/>
  <c r="AX42" i="14" s="1"/>
  <c r="AY42" i="14" s="1"/>
  <c r="AZ42" i="14" s="1"/>
  <c r="BA42" i="14" s="1"/>
  <c r="BB42" i="14" s="1"/>
  <c r="BC42" i="14" s="1"/>
  <c r="BD42" i="14" s="1"/>
  <c r="BE42" i="14" s="1"/>
  <c r="BF42" i="14" s="1"/>
  <c r="BG42" i="14" s="1"/>
  <c r="BH42" i="14" s="1"/>
  <c r="BI42" i="14" s="1"/>
  <c r="BJ42" i="14" s="1"/>
  <c r="BK42" i="14" s="1"/>
  <c r="BL42" i="14" s="1"/>
  <c r="BM42" i="14" s="1"/>
  <c r="BN42" i="14" s="1"/>
  <c r="BO42" i="14" s="1"/>
  <c r="BP42" i="14" s="1"/>
  <c r="BQ42" i="14" s="1"/>
  <c r="BR42" i="14" s="1"/>
  <c r="BS42" i="14" s="1"/>
  <c r="BT42" i="14" s="1"/>
  <c r="BU42" i="14" s="1"/>
  <c r="BV42" i="14" s="1"/>
  <c r="BW42" i="14" s="1"/>
  <c r="BX42" i="14" s="1"/>
  <c r="BY42" i="14" s="1"/>
  <c r="BZ42" i="14" s="1"/>
  <c r="CA42" i="14" s="1"/>
  <c r="CB42" i="14" s="1"/>
  <c r="CC42" i="14" s="1"/>
  <c r="CD42" i="14" s="1"/>
  <c r="CE42" i="14" s="1"/>
  <c r="CF42" i="14" s="1"/>
  <c r="CG42" i="14" s="1"/>
  <c r="CH42" i="14" s="1"/>
  <c r="CI42" i="14" s="1"/>
  <c r="CJ42" i="14" s="1"/>
  <c r="CK42" i="14" s="1"/>
  <c r="CL42" i="14" s="1"/>
  <c r="CM42" i="14" s="1"/>
  <c r="CN42" i="14" s="1"/>
  <c r="CO42" i="14" s="1"/>
  <c r="CP42" i="14" s="1"/>
  <c r="CQ42" i="14" s="1"/>
  <c r="CR42" i="14" s="1"/>
  <c r="CS42" i="14" s="1"/>
  <c r="CV42" i="14"/>
  <c r="CW42" i="14" s="1"/>
  <c r="CX42" i="14" s="1"/>
  <c r="CY42" i="14" s="1"/>
  <c r="CZ42" i="14" s="1"/>
  <c r="DA42" i="14" s="1"/>
  <c r="DB42" i="14" s="1"/>
  <c r="DC42" i="14" s="1"/>
  <c r="DD42" i="14" s="1"/>
  <c r="DE42" i="14" s="1"/>
  <c r="DF42" i="14" s="1"/>
  <c r="DG42" i="14" s="1"/>
  <c r="DH42" i="14" s="1"/>
  <c r="DI42" i="14" s="1"/>
  <c r="DJ42" i="14" s="1"/>
  <c r="DK42" i="14" s="1"/>
  <c r="DL42" i="14" s="1"/>
  <c r="DM42" i="14" s="1"/>
  <c r="DN42" i="14" s="1"/>
  <c r="DO42" i="14" s="1"/>
  <c r="DP42" i="14" s="1"/>
  <c r="DQ42" i="14" s="1"/>
  <c r="DR42" i="14" s="1"/>
  <c r="O34" i="14"/>
  <c r="P34" i="14" s="1"/>
  <c r="Q34" i="14" s="1"/>
  <c r="R34" i="14" s="1"/>
  <c r="S34" i="14" s="1"/>
  <c r="T34" i="14" s="1"/>
  <c r="U34" i="14" s="1"/>
  <c r="V34" i="14" s="1"/>
  <c r="W34" i="14" s="1"/>
  <c r="X34" i="14" s="1"/>
  <c r="Y34" i="14" s="1"/>
  <c r="Z34" i="14" s="1"/>
  <c r="AA34" i="14" s="1"/>
  <c r="AB34" i="14" s="1"/>
  <c r="AC34" i="14" s="1"/>
  <c r="AD34" i="14" s="1"/>
  <c r="AE34" i="14" s="1"/>
  <c r="AF34" i="14" s="1"/>
  <c r="AG34" i="14" s="1"/>
  <c r="AH34" i="14" s="1"/>
  <c r="AI34" i="14" s="1"/>
  <c r="AJ34" i="14" s="1"/>
  <c r="AK34" i="14" s="1"/>
  <c r="AL34" i="14" s="1"/>
  <c r="AM34" i="14" s="1"/>
  <c r="AN34" i="14" s="1"/>
  <c r="AO34" i="14" s="1"/>
  <c r="AP34" i="14" s="1"/>
  <c r="AQ34" i="14" s="1"/>
  <c r="AR34" i="14" s="1"/>
  <c r="AS34" i="14" s="1"/>
  <c r="AT34" i="14" s="1"/>
  <c r="AU34" i="14" s="1"/>
  <c r="AV34" i="14" s="1"/>
  <c r="AW34" i="14" s="1"/>
  <c r="AX34" i="14" s="1"/>
  <c r="AY34" i="14" s="1"/>
  <c r="AZ34" i="14" s="1"/>
  <c r="BA34" i="14" s="1"/>
  <c r="BB34" i="14" s="1"/>
  <c r="BC34" i="14" s="1"/>
  <c r="BD34" i="14" s="1"/>
  <c r="BE34" i="14" s="1"/>
  <c r="BF34" i="14" s="1"/>
  <c r="BG34" i="14" s="1"/>
  <c r="BH34" i="14" s="1"/>
  <c r="BI34" i="14" s="1"/>
  <c r="BJ34" i="14" s="1"/>
  <c r="BK34" i="14" s="1"/>
  <c r="BL34" i="14" s="1"/>
  <c r="BM34" i="14" s="1"/>
  <c r="BN34" i="14" s="1"/>
  <c r="BO34" i="14" s="1"/>
  <c r="BP34" i="14" s="1"/>
  <c r="BQ34" i="14" s="1"/>
  <c r="BR34" i="14" s="1"/>
  <c r="BS34" i="14" s="1"/>
  <c r="BT34" i="14" s="1"/>
  <c r="BU34" i="14" s="1"/>
  <c r="BV34" i="14" s="1"/>
  <c r="BW34" i="14" s="1"/>
  <c r="BX34" i="14" s="1"/>
  <c r="BY34" i="14" s="1"/>
  <c r="BZ34" i="14" s="1"/>
  <c r="CA34" i="14" s="1"/>
  <c r="CB34" i="14" s="1"/>
  <c r="CC34" i="14" s="1"/>
  <c r="CD34" i="14" s="1"/>
  <c r="CE34" i="14" s="1"/>
  <c r="CF34" i="14" s="1"/>
  <c r="CG34" i="14" s="1"/>
  <c r="CH34" i="14" s="1"/>
  <c r="CI34" i="14" s="1"/>
  <c r="CJ34" i="14" s="1"/>
  <c r="CK34" i="14" s="1"/>
  <c r="CL34" i="14" s="1"/>
  <c r="CM34" i="14" s="1"/>
  <c r="CN34" i="14" s="1"/>
  <c r="CO34" i="14" s="1"/>
  <c r="CP34" i="14" s="1"/>
  <c r="CQ34" i="14" s="1"/>
  <c r="CR34" i="14" s="1"/>
  <c r="CS34" i="14" s="1"/>
  <c r="CV34" i="14"/>
  <c r="CW34" i="14" s="1"/>
  <c r="CX34" i="14" s="1"/>
  <c r="CY34" i="14" s="1"/>
  <c r="CZ34" i="14" s="1"/>
  <c r="DA34" i="14" s="1"/>
  <c r="DB34" i="14" s="1"/>
  <c r="DC34" i="14" s="1"/>
  <c r="DD34" i="14" s="1"/>
  <c r="DE34" i="14" s="1"/>
  <c r="DF34" i="14" s="1"/>
  <c r="DG34" i="14" s="1"/>
  <c r="DH34" i="14" s="1"/>
  <c r="DI34" i="14" s="1"/>
  <c r="DJ34" i="14" s="1"/>
  <c r="DK34" i="14" s="1"/>
  <c r="DL34" i="14" s="1"/>
  <c r="DM34" i="14" s="1"/>
  <c r="DN34" i="14" s="1"/>
  <c r="DO34" i="14" s="1"/>
  <c r="DP34" i="14" s="1"/>
  <c r="DQ34" i="14" s="1"/>
  <c r="DR34" i="14" s="1"/>
  <c r="O26" i="14"/>
  <c r="P26" i="14" s="1"/>
  <c r="Q26" i="14" s="1"/>
  <c r="R26" i="14" s="1"/>
  <c r="S26" i="14" s="1"/>
  <c r="T26" i="14" s="1"/>
  <c r="U26" i="14" s="1"/>
  <c r="V26" i="14" s="1"/>
  <c r="W26" i="14" s="1"/>
  <c r="X26" i="14" s="1"/>
  <c r="Y26" i="14" s="1"/>
  <c r="Z26" i="14" s="1"/>
  <c r="AA26" i="14" s="1"/>
  <c r="AB26" i="14" s="1"/>
  <c r="AC26" i="14" s="1"/>
  <c r="AD26" i="14" s="1"/>
  <c r="AE26" i="14" s="1"/>
  <c r="AF26" i="14" s="1"/>
  <c r="AG26" i="14" s="1"/>
  <c r="AH26" i="14" s="1"/>
  <c r="AI26" i="14" s="1"/>
  <c r="AJ26" i="14" s="1"/>
  <c r="AK26" i="14" s="1"/>
  <c r="AL26" i="14" s="1"/>
  <c r="AM26" i="14" s="1"/>
  <c r="AN26" i="14" s="1"/>
  <c r="AO26" i="14" s="1"/>
  <c r="AP26" i="14" s="1"/>
  <c r="AQ26" i="14" s="1"/>
  <c r="AR26" i="14" s="1"/>
  <c r="AS26" i="14" s="1"/>
  <c r="AT26" i="14" s="1"/>
  <c r="AU26" i="14" s="1"/>
  <c r="AV26" i="14" s="1"/>
  <c r="AW26" i="14" s="1"/>
  <c r="AX26" i="14" s="1"/>
  <c r="AY26" i="14" s="1"/>
  <c r="AZ26" i="14" s="1"/>
  <c r="BA26" i="14" s="1"/>
  <c r="BB26" i="14" s="1"/>
  <c r="BC26" i="14" s="1"/>
  <c r="BD26" i="14" s="1"/>
  <c r="BE26" i="14" s="1"/>
  <c r="BF26" i="14" s="1"/>
  <c r="BG26" i="14" s="1"/>
  <c r="BH26" i="14" s="1"/>
  <c r="BI26" i="14" s="1"/>
  <c r="BJ26" i="14" s="1"/>
  <c r="BK26" i="14" s="1"/>
  <c r="BL26" i="14" s="1"/>
  <c r="BM26" i="14" s="1"/>
  <c r="BN26" i="14" s="1"/>
  <c r="BO26" i="14" s="1"/>
  <c r="BP26" i="14" s="1"/>
  <c r="BQ26" i="14" s="1"/>
  <c r="BR26" i="14" s="1"/>
  <c r="BS26" i="14" s="1"/>
  <c r="BT26" i="14" s="1"/>
  <c r="BU26" i="14" s="1"/>
  <c r="BV26" i="14" s="1"/>
  <c r="BW26" i="14" s="1"/>
  <c r="BX26" i="14" s="1"/>
  <c r="BY26" i="14" s="1"/>
  <c r="BZ26" i="14" s="1"/>
  <c r="CA26" i="14" s="1"/>
  <c r="CB26" i="14" s="1"/>
  <c r="CC26" i="14" s="1"/>
  <c r="CD26" i="14" s="1"/>
  <c r="CE26" i="14" s="1"/>
  <c r="CF26" i="14" s="1"/>
  <c r="CG26" i="14" s="1"/>
  <c r="CH26" i="14" s="1"/>
  <c r="CI26" i="14" s="1"/>
  <c r="CJ26" i="14" s="1"/>
  <c r="CK26" i="14" s="1"/>
  <c r="CL26" i="14" s="1"/>
  <c r="CM26" i="14" s="1"/>
  <c r="CN26" i="14" s="1"/>
  <c r="CO26" i="14" s="1"/>
  <c r="CP26" i="14" s="1"/>
  <c r="CQ26" i="14" s="1"/>
  <c r="CR26" i="14" s="1"/>
  <c r="CS26" i="14" s="1"/>
  <c r="R18" i="14"/>
  <c r="S18" i="14" s="1"/>
  <c r="T18" i="14" s="1"/>
  <c r="U18" i="14" s="1"/>
  <c r="V18" i="14" s="1"/>
  <c r="W18" i="14" s="1"/>
  <c r="X18" i="14" s="1"/>
  <c r="Y18" i="14" s="1"/>
  <c r="Z18" i="14" s="1"/>
  <c r="AA18" i="14" s="1"/>
  <c r="AB18" i="14" s="1"/>
  <c r="AC18" i="14" s="1"/>
  <c r="AD18" i="14" s="1"/>
  <c r="AE18" i="14" s="1"/>
  <c r="AF18" i="14" s="1"/>
  <c r="AG18" i="14" s="1"/>
  <c r="AH18" i="14" s="1"/>
  <c r="AI18" i="14" s="1"/>
  <c r="AJ18" i="14" s="1"/>
  <c r="AK18" i="14" s="1"/>
  <c r="AL18" i="14" s="1"/>
  <c r="AM18" i="14" s="1"/>
  <c r="AN18" i="14" s="1"/>
  <c r="AO18" i="14" s="1"/>
  <c r="AP18" i="14" s="1"/>
  <c r="AQ18" i="14" s="1"/>
  <c r="AR18" i="14" s="1"/>
  <c r="AS18" i="14" s="1"/>
  <c r="AT18" i="14" s="1"/>
  <c r="AU18" i="14" s="1"/>
  <c r="AV18" i="14" s="1"/>
  <c r="AW18" i="14" s="1"/>
  <c r="AX18" i="14" s="1"/>
  <c r="AY18" i="14" s="1"/>
  <c r="AZ18" i="14" s="1"/>
  <c r="BA18" i="14" s="1"/>
  <c r="BB18" i="14" s="1"/>
  <c r="BC18" i="14" s="1"/>
  <c r="BD18" i="14" s="1"/>
  <c r="BE18" i="14" s="1"/>
  <c r="BF18" i="14" s="1"/>
  <c r="BG18" i="14" s="1"/>
  <c r="BH18" i="14" s="1"/>
  <c r="BI18" i="14" s="1"/>
  <c r="BJ18" i="14" s="1"/>
  <c r="BK18" i="14" s="1"/>
  <c r="BL18" i="14" s="1"/>
  <c r="BM18" i="14" s="1"/>
  <c r="BN18" i="14" s="1"/>
  <c r="BO18" i="14" s="1"/>
  <c r="BP18" i="14" s="1"/>
  <c r="BQ18" i="14" s="1"/>
  <c r="BR18" i="14" s="1"/>
  <c r="BS18" i="14" s="1"/>
  <c r="BT18" i="14" s="1"/>
  <c r="BU18" i="14" s="1"/>
  <c r="BV18" i="14" s="1"/>
  <c r="BW18" i="14" s="1"/>
  <c r="BX18" i="14" s="1"/>
  <c r="BY18" i="14" s="1"/>
  <c r="BZ18" i="14" s="1"/>
  <c r="CA18" i="14" s="1"/>
  <c r="CB18" i="14" s="1"/>
  <c r="CC18" i="14" s="1"/>
  <c r="CD18" i="14" s="1"/>
  <c r="CE18" i="14" s="1"/>
  <c r="CF18" i="14" s="1"/>
  <c r="CG18" i="14" s="1"/>
  <c r="CH18" i="14" s="1"/>
  <c r="CI18" i="14" s="1"/>
  <c r="CJ18" i="14" s="1"/>
  <c r="CK18" i="14" s="1"/>
  <c r="CL18" i="14" s="1"/>
  <c r="CM18" i="14" s="1"/>
  <c r="CN18" i="14" s="1"/>
  <c r="CO18" i="14" s="1"/>
  <c r="CP18" i="14" s="1"/>
  <c r="CQ18" i="14" s="1"/>
  <c r="CR18" i="14" s="1"/>
  <c r="CS18" i="14" s="1"/>
  <c r="C2" i="14"/>
  <c r="D2" i="14"/>
  <c r="CV2" i="14"/>
  <c r="R10" i="14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I10" i="14" s="1"/>
  <c r="AJ10" i="14" s="1"/>
  <c r="AK10" i="14" s="1"/>
  <c r="AL10" i="14" s="1"/>
  <c r="AM10" i="14" s="1"/>
  <c r="AN10" i="14" s="1"/>
  <c r="AO10" i="14" s="1"/>
  <c r="AP10" i="14" s="1"/>
  <c r="AQ10" i="14" s="1"/>
  <c r="AR10" i="14" s="1"/>
  <c r="AS10" i="14" s="1"/>
  <c r="AT10" i="14" s="1"/>
  <c r="AU10" i="14" s="1"/>
  <c r="AV10" i="14" s="1"/>
  <c r="AW10" i="14" s="1"/>
  <c r="AX10" i="14" s="1"/>
  <c r="AY10" i="14" s="1"/>
  <c r="AZ10" i="14" s="1"/>
  <c r="BA10" i="14" s="1"/>
  <c r="BB10" i="14" s="1"/>
  <c r="BC10" i="14" s="1"/>
  <c r="BD10" i="14" s="1"/>
  <c r="BE10" i="14" s="1"/>
  <c r="BF10" i="14" s="1"/>
  <c r="BG10" i="14" s="1"/>
  <c r="BH10" i="14" s="1"/>
  <c r="BI10" i="14" s="1"/>
  <c r="BJ10" i="14" s="1"/>
  <c r="BK10" i="14" s="1"/>
  <c r="BL10" i="14" s="1"/>
  <c r="BM10" i="14" s="1"/>
  <c r="BN10" i="14" s="1"/>
  <c r="BO10" i="14" s="1"/>
  <c r="BP10" i="14" s="1"/>
  <c r="BQ10" i="14" s="1"/>
  <c r="BR10" i="14" s="1"/>
  <c r="BS10" i="14" s="1"/>
  <c r="BT10" i="14" s="1"/>
  <c r="BU10" i="14" s="1"/>
  <c r="BV10" i="14" s="1"/>
  <c r="BW10" i="14" s="1"/>
  <c r="BX10" i="14" s="1"/>
  <c r="BY10" i="14" s="1"/>
  <c r="BZ10" i="14" s="1"/>
  <c r="CA10" i="14" s="1"/>
  <c r="CB10" i="14" s="1"/>
  <c r="CC10" i="14" s="1"/>
  <c r="CD10" i="14" s="1"/>
  <c r="CE10" i="14" s="1"/>
  <c r="CF10" i="14" s="1"/>
  <c r="CG10" i="14" s="1"/>
  <c r="CH10" i="14" s="1"/>
  <c r="CI10" i="14" s="1"/>
  <c r="CJ10" i="14" s="1"/>
  <c r="CK10" i="14" s="1"/>
  <c r="CL10" i="14" s="1"/>
  <c r="CM10" i="14" s="1"/>
  <c r="CN10" i="14" s="1"/>
  <c r="CO10" i="14" s="1"/>
  <c r="CP10" i="14" s="1"/>
  <c r="CQ10" i="14" s="1"/>
  <c r="CR10" i="14" s="1"/>
  <c r="CS10" i="14" s="1"/>
  <c r="AB2" i="15" l="1"/>
  <c r="AA71" i="15"/>
  <c r="AA63" i="15"/>
  <c r="AA39" i="15"/>
  <c r="AA55" i="15"/>
  <c r="AA47" i="15"/>
  <c r="AA23" i="15"/>
  <c r="AA31" i="15"/>
  <c r="AA15" i="15"/>
  <c r="AA7" i="15"/>
  <c r="U63" i="16"/>
  <c r="U7" i="16"/>
  <c r="T63" i="16"/>
  <c r="T7" i="16"/>
  <c r="H5" i="15"/>
  <c r="I5" i="15" s="1"/>
  <c r="K175" i="4"/>
  <c r="K220" i="4"/>
  <c r="K133" i="4"/>
  <c r="K222" i="4"/>
  <c r="K130" i="4"/>
  <c r="BE59" i="18"/>
  <c r="BS59" i="18"/>
  <c r="BQ59" i="18"/>
  <c r="BG59" i="18"/>
  <c r="H60" i="18"/>
  <c r="AL60" i="18" s="1"/>
  <c r="BO33" i="18"/>
  <c r="BQ33" i="18"/>
  <c r="H54" i="18"/>
  <c r="BE54" i="18" s="1"/>
  <c r="U45" i="15"/>
  <c r="CO33" i="18"/>
  <c r="CM33" i="18"/>
  <c r="CA33" i="18"/>
  <c r="BN33" i="18"/>
  <c r="BE33" i="18"/>
  <c r="BD33" i="18"/>
  <c r="H70" i="18"/>
  <c r="AL70" i="18" s="1"/>
  <c r="H55" i="18"/>
  <c r="BG55" i="18" s="1"/>
  <c r="I45" i="14"/>
  <c r="CN59" i="18"/>
  <c r="AU59" i="18"/>
  <c r="CE59" i="18"/>
  <c r="CC59" i="18"/>
  <c r="CO59" i="18"/>
  <c r="CB59" i="18"/>
  <c r="AI59" i="18"/>
  <c r="CQ59" i="18"/>
  <c r="CG85" i="18"/>
  <c r="AF59" i="18"/>
  <c r="CS85" i="18"/>
  <c r="U59" i="18"/>
  <c r="BD59" i="18"/>
  <c r="AG59" i="18"/>
  <c r="AL85" i="18"/>
  <c r="AR59" i="18"/>
  <c r="Z85" i="18"/>
  <c r="BP59" i="18"/>
  <c r="AS59" i="18"/>
  <c r="BJ85" i="18"/>
  <c r="BU85" i="18"/>
  <c r="CT85" i="18"/>
  <c r="AX85" i="18"/>
  <c r="CN33" i="18"/>
  <c r="CC33" i="18"/>
  <c r="CB33" i="18"/>
  <c r="BP33" i="18"/>
  <c r="CK33" i="18"/>
  <c r="BC33" i="18"/>
  <c r="CL33" i="18"/>
  <c r="BX33" i="18"/>
  <c r="BZ33" i="18"/>
  <c r="BY33" i="18"/>
  <c r="CV33" i="18"/>
  <c r="BL33" i="18"/>
  <c r="CU33" i="18"/>
  <c r="BW33" i="18"/>
  <c r="BK33" i="18"/>
  <c r="H23" i="18"/>
  <c r="V23" i="18" s="1"/>
  <c r="CS33" i="18"/>
  <c r="CG33" i="18"/>
  <c r="BU33" i="18"/>
  <c r="BM33" i="18"/>
  <c r="CT33" i="18"/>
  <c r="CH33" i="18"/>
  <c r="BV33" i="18"/>
  <c r="BJ33" i="18"/>
  <c r="BI33" i="18"/>
  <c r="CR33" i="18"/>
  <c r="CF33" i="18"/>
  <c r="BT33" i="18"/>
  <c r="BH33" i="18"/>
  <c r="CW33" i="18"/>
  <c r="CJ33" i="18"/>
  <c r="CQ33" i="18"/>
  <c r="CE33" i="18"/>
  <c r="BS33" i="18"/>
  <c r="BG33" i="18"/>
  <c r="CI33" i="18"/>
  <c r="CP33" i="18"/>
  <c r="CD33" i="18"/>
  <c r="BR33" i="18"/>
  <c r="N85" i="18"/>
  <c r="BV85" i="18"/>
  <c r="F86" i="18"/>
  <c r="CH85" i="18"/>
  <c r="H64" i="18"/>
  <c r="G65" i="18"/>
  <c r="T85" i="18"/>
  <c r="AO84" i="18"/>
  <c r="AH84" i="18"/>
  <c r="AM59" i="18"/>
  <c r="AB84" i="18"/>
  <c r="BL84" i="18"/>
  <c r="CT84" i="18"/>
  <c r="S84" i="18"/>
  <c r="BR84" i="18"/>
  <c r="Y59" i="18"/>
  <c r="BB59" i="18"/>
  <c r="BU84" i="18"/>
  <c r="AW84" i="18"/>
  <c r="AK84" i="18"/>
  <c r="M84" i="18"/>
  <c r="AC84" i="18"/>
  <c r="P84" i="18"/>
  <c r="CI84" i="18"/>
  <c r="BW84" i="18"/>
  <c r="CH84" i="18"/>
  <c r="AN59" i="18"/>
  <c r="Z59" i="18"/>
  <c r="BT59" i="18"/>
  <c r="CH59" i="18"/>
  <c r="BI84" i="18"/>
  <c r="CB84" i="18"/>
  <c r="BO84" i="18"/>
  <c r="AQ84" i="18"/>
  <c r="AX84" i="18"/>
  <c r="AZ84" i="18"/>
  <c r="O84" i="18"/>
  <c r="CU84" i="18"/>
  <c r="AT84" i="18"/>
  <c r="CD84" i="18"/>
  <c r="BV59" i="18"/>
  <c r="AL59" i="18"/>
  <c r="CA84" i="18"/>
  <c r="AE84" i="18"/>
  <c r="Q84" i="18"/>
  <c r="AA84" i="18"/>
  <c r="R84" i="18"/>
  <c r="BD84" i="18"/>
  <c r="BN84" i="18"/>
  <c r="AF84" i="18"/>
  <c r="CJ84" i="18"/>
  <c r="BC84" i="18"/>
  <c r="CV84" i="18"/>
  <c r="CJ59" i="18"/>
  <c r="CK59" i="18"/>
  <c r="CW59" i="18"/>
  <c r="BV84" i="18"/>
  <c r="CG84" i="18"/>
  <c r="CK84" i="18"/>
  <c r="BK84" i="18"/>
  <c r="BX84" i="18"/>
  <c r="BJ84" i="18"/>
  <c r="BF84" i="18"/>
  <c r="BC59" i="18"/>
  <c r="BR59" i="18"/>
  <c r="V59" i="18"/>
  <c r="CW84" i="18"/>
  <c r="Z84" i="18"/>
  <c r="V84" i="18"/>
  <c r="CL84" i="18"/>
  <c r="BY84" i="18"/>
  <c r="AY84" i="18"/>
  <c r="AO59" i="18"/>
  <c r="BF59" i="18"/>
  <c r="X59" i="18"/>
  <c r="BA59" i="18"/>
  <c r="CS84" i="18"/>
  <c r="BP84" i="18"/>
  <c r="BM84" i="18"/>
  <c r="AN84" i="18"/>
  <c r="AM84" i="18"/>
  <c r="BA84" i="18"/>
  <c r="CP84" i="18"/>
  <c r="AP84" i="18"/>
  <c r="AL84" i="18"/>
  <c r="BU59" i="18"/>
  <c r="CI59" i="18"/>
  <c r="Y84" i="18"/>
  <c r="AR84" i="18"/>
  <c r="CM84" i="18"/>
  <c r="N84" i="18"/>
  <c r="CD59" i="18"/>
  <c r="BW59" i="18"/>
  <c r="BH59" i="18"/>
  <c r="AQ59" i="18"/>
  <c r="AE59" i="18"/>
  <c r="AC59" i="18"/>
  <c r="M59" i="18"/>
  <c r="CV59" i="18"/>
  <c r="CA59" i="18"/>
  <c r="BX59" i="18"/>
  <c r="BO59" i="18"/>
  <c r="BM59" i="18"/>
  <c r="BI59" i="18"/>
  <c r="AZ59" i="18"/>
  <c r="AW59" i="18"/>
  <c r="AP59" i="18"/>
  <c r="AJ59" i="18"/>
  <c r="AD59" i="18"/>
  <c r="Q59" i="18"/>
  <c r="BZ59" i="18"/>
  <c r="BN59" i="18"/>
  <c r="P59" i="18"/>
  <c r="CT59" i="18"/>
  <c r="CP59" i="18"/>
  <c r="AY59" i="18"/>
  <c r="AA59" i="18"/>
  <c r="N59" i="18"/>
  <c r="CG59" i="18"/>
  <c r="CM59" i="18"/>
  <c r="CF59" i="18"/>
  <c r="CL59" i="18"/>
  <c r="CS59" i="18"/>
  <c r="CR59" i="18"/>
  <c r="AV59" i="18"/>
  <c r="R59" i="18"/>
  <c r="CU59" i="18"/>
  <c r="BJ59" i="18"/>
  <c r="AX59" i="18"/>
  <c r="AT59" i="18"/>
  <c r="AH59" i="18"/>
  <c r="AB59" i="18"/>
  <c r="BY59" i="18"/>
  <c r="BK59" i="18"/>
  <c r="S59" i="18"/>
  <c r="BL59" i="18"/>
  <c r="AK59" i="18"/>
  <c r="O59" i="18"/>
  <c r="T59" i="18"/>
  <c r="AD84" i="18"/>
  <c r="BZ84" i="18"/>
  <c r="BB84" i="18"/>
  <c r="T84" i="18"/>
  <c r="BI85" i="18"/>
  <c r="AW85" i="18"/>
  <c r="AK85" i="18"/>
  <c r="Y85" i="18"/>
  <c r="M85" i="18"/>
  <c r="CR84" i="18"/>
  <c r="CF84" i="18"/>
  <c r="BT84" i="18"/>
  <c r="BH84" i="18"/>
  <c r="AV84" i="18"/>
  <c r="AJ84" i="18"/>
  <c r="X84" i="18"/>
  <c r="CR85" i="18"/>
  <c r="CF85" i="18"/>
  <c r="BT85" i="18"/>
  <c r="BH85" i="18"/>
  <c r="AV85" i="18"/>
  <c r="AJ85" i="18"/>
  <c r="X85" i="18"/>
  <c r="CQ84" i="18"/>
  <c r="CE84" i="18"/>
  <c r="BS84" i="18"/>
  <c r="BG84" i="18"/>
  <c r="AU84" i="18"/>
  <c r="AI84" i="18"/>
  <c r="W84" i="18"/>
  <c r="CP85" i="18"/>
  <c r="CD85" i="18"/>
  <c r="BR85" i="18"/>
  <c r="BF85" i="18"/>
  <c r="AT85" i="18"/>
  <c r="AH85" i="18"/>
  <c r="V85" i="18"/>
  <c r="CO84" i="18"/>
  <c r="CC84" i="18"/>
  <c r="BQ84" i="18"/>
  <c r="BE84" i="18"/>
  <c r="AS84" i="18"/>
  <c r="AG84" i="18"/>
  <c r="U84" i="18"/>
  <c r="H86" i="18"/>
  <c r="CO85" i="18"/>
  <c r="CC85" i="18"/>
  <c r="BQ85" i="18"/>
  <c r="BE85" i="18"/>
  <c r="AS85" i="18"/>
  <c r="AG85" i="18"/>
  <c r="CN84" i="18"/>
  <c r="CN85" i="18"/>
  <c r="CB85" i="18"/>
  <c r="BP85" i="18"/>
  <c r="BD85" i="18"/>
  <c r="AR85" i="18"/>
  <c r="AF85" i="18"/>
  <c r="BB33" i="18"/>
  <c r="H8" i="18"/>
  <c r="AE8" i="18" s="1"/>
  <c r="F20" i="18"/>
  <c r="F10" i="18"/>
  <c r="G10" i="18"/>
  <c r="H9" i="18"/>
  <c r="F40" i="18"/>
  <c r="F30" i="18"/>
  <c r="H24" i="18"/>
  <c r="BO24" i="18" s="1"/>
  <c r="G25" i="18"/>
  <c r="F45" i="18"/>
  <c r="F25" i="18"/>
  <c r="H43" i="18"/>
  <c r="G44" i="18"/>
  <c r="H28" i="18"/>
  <c r="G29" i="18"/>
  <c r="M38" i="18"/>
  <c r="BC38" i="18"/>
  <c r="BD38" i="18"/>
  <c r="BF38" i="18"/>
  <c r="BH38" i="18"/>
  <c r="BJ38" i="18"/>
  <c r="BL38" i="18"/>
  <c r="BN38" i="18"/>
  <c r="BP38" i="18"/>
  <c r="BR38" i="18"/>
  <c r="BS38" i="18"/>
  <c r="BU38" i="18"/>
  <c r="BW38" i="18"/>
  <c r="BY38" i="18"/>
  <c r="CA38" i="18"/>
  <c r="CC38" i="18"/>
  <c r="CE38" i="18"/>
  <c r="CH38" i="18"/>
  <c r="CJ38" i="18"/>
  <c r="CL38" i="18"/>
  <c r="CN38" i="18"/>
  <c r="CP38" i="18"/>
  <c r="CR38" i="18"/>
  <c r="CW38" i="18"/>
  <c r="CF38" i="18"/>
  <c r="BB38" i="18"/>
  <c r="BE38" i="18"/>
  <c r="BG38" i="18"/>
  <c r="BI38" i="18"/>
  <c r="BK38" i="18"/>
  <c r="BM38" i="18"/>
  <c r="BO38" i="18"/>
  <c r="BQ38" i="18"/>
  <c r="BT38" i="18"/>
  <c r="BV38" i="18"/>
  <c r="BX38" i="18"/>
  <c r="BZ38" i="18"/>
  <c r="CB38" i="18"/>
  <c r="CD38" i="18"/>
  <c r="CG38" i="18"/>
  <c r="CI38" i="18"/>
  <c r="CK38" i="18"/>
  <c r="CM38" i="18"/>
  <c r="CO38" i="18"/>
  <c r="CQ38" i="18"/>
  <c r="CS38" i="18"/>
  <c r="CT38" i="18"/>
  <c r="CU38" i="18"/>
  <c r="CV38" i="18"/>
  <c r="H69" i="5"/>
  <c r="G70" i="5" s="1"/>
  <c r="H70" i="5" s="1"/>
  <c r="I61" i="14"/>
  <c r="G62" i="14"/>
  <c r="H62" i="14" s="1"/>
  <c r="I53" i="14"/>
  <c r="G54" i="14"/>
  <c r="H54" i="14" s="1"/>
  <c r="G62" i="5"/>
  <c r="H62" i="5" s="1"/>
  <c r="I62" i="5" s="1"/>
  <c r="G54" i="5"/>
  <c r="H54" i="5" s="1"/>
  <c r="G46" i="5"/>
  <c r="H46" i="5" s="1"/>
  <c r="U85" i="18"/>
  <c r="AD85" i="18"/>
  <c r="BB85" i="18"/>
  <c r="BZ85" i="18"/>
  <c r="AP85" i="18"/>
  <c r="AE85" i="18"/>
  <c r="BC85" i="18"/>
  <c r="CA85" i="18"/>
  <c r="W85" i="18"/>
  <c r="BS85" i="18"/>
  <c r="CQ85" i="18"/>
  <c r="AA85" i="18"/>
  <c r="BW85" i="18"/>
  <c r="AB85" i="18"/>
  <c r="AZ85" i="18"/>
  <c r="CV85" i="18"/>
  <c r="BA85" i="18"/>
  <c r="BY85" i="18"/>
  <c r="AI85" i="18"/>
  <c r="BG85" i="18"/>
  <c r="CE85" i="18"/>
  <c r="O85" i="18"/>
  <c r="AM85" i="18"/>
  <c r="BK85" i="18"/>
  <c r="CI85" i="18"/>
  <c r="CL85" i="18"/>
  <c r="AQ85" i="18"/>
  <c r="P85" i="18"/>
  <c r="AN85" i="18"/>
  <c r="CJ85" i="18"/>
  <c r="Q85" i="18"/>
  <c r="AO85" i="18"/>
  <c r="CK85" i="18"/>
  <c r="R85" i="18"/>
  <c r="S85" i="18"/>
  <c r="CM85" i="18"/>
  <c r="AU85" i="18"/>
  <c r="AY85" i="18"/>
  <c r="CU85" i="18"/>
  <c r="BX85" i="18"/>
  <c r="AC85" i="18"/>
  <c r="CW85" i="18"/>
  <c r="F81" i="18"/>
  <c r="G80" i="18"/>
  <c r="H79" i="18"/>
  <c r="G75" i="18"/>
  <c r="H74" i="18"/>
  <c r="G51" i="18"/>
  <c r="H50" i="18"/>
  <c r="Y38" i="18"/>
  <c r="H39" i="18"/>
  <c r="G40" i="18"/>
  <c r="AV38" i="18"/>
  <c r="AW38" i="18"/>
  <c r="U38" i="18"/>
  <c r="AG38" i="18"/>
  <c r="AS38" i="18"/>
  <c r="AA38" i="18"/>
  <c r="AN38" i="18"/>
  <c r="AQ38" i="18"/>
  <c r="Z38" i="18"/>
  <c r="AX38" i="18"/>
  <c r="AM38" i="18"/>
  <c r="AY38" i="18"/>
  <c r="P38" i="18"/>
  <c r="AD38" i="18"/>
  <c r="S38" i="18"/>
  <c r="T38" i="18"/>
  <c r="AR38" i="18"/>
  <c r="N38" i="18"/>
  <c r="AL38" i="18"/>
  <c r="O38" i="18"/>
  <c r="AB38" i="18"/>
  <c r="AZ38" i="18"/>
  <c r="R38" i="18"/>
  <c r="AE38" i="18"/>
  <c r="AF38" i="18"/>
  <c r="Q38" i="18"/>
  <c r="AC38" i="18"/>
  <c r="AO38" i="18"/>
  <c r="BA38" i="18"/>
  <c r="AP38" i="18"/>
  <c r="X38" i="18"/>
  <c r="AI38" i="18"/>
  <c r="AU38" i="18"/>
  <c r="V38" i="18"/>
  <c r="AH38" i="18"/>
  <c r="AT38" i="18"/>
  <c r="AJ38" i="18"/>
  <c r="AK38" i="18"/>
  <c r="G34" i="18"/>
  <c r="F35" i="18"/>
  <c r="G19" i="18"/>
  <c r="H18" i="18"/>
  <c r="F15" i="18"/>
  <c r="G14" i="18"/>
  <c r="H13" i="18"/>
  <c r="F5" i="18"/>
  <c r="G4" i="18"/>
  <c r="H3" i="18"/>
  <c r="CR3" i="17"/>
  <c r="CA3" i="17"/>
  <c r="BK3" i="17"/>
  <c r="AV3" i="17"/>
  <c r="O3" i="17"/>
  <c r="CQ3" i="17"/>
  <c r="BY3" i="17"/>
  <c r="BJ3" i="17"/>
  <c r="AU3" i="17"/>
  <c r="N3" i="17"/>
  <c r="BX3" i="17"/>
  <c r="AR3" i="17"/>
  <c r="M3" i="17"/>
  <c r="AQ3" i="17"/>
  <c r="CN3" i="17"/>
  <c r="BI3" i="17"/>
  <c r="BW3" i="17"/>
  <c r="CM3" i="17"/>
  <c r="BH3" i="17"/>
  <c r="CK3" i="17"/>
  <c r="BV3" i="17"/>
  <c r="BG3" i="17"/>
  <c r="AO3" i="17"/>
  <c r="CJ3" i="17"/>
  <c r="BU3" i="17"/>
  <c r="BD3" i="17"/>
  <c r="AN3" i="17"/>
  <c r="CI3" i="17"/>
  <c r="BT3" i="17"/>
  <c r="BC3" i="17"/>
  <c r="AM3" i="17"/>
  <c r="BP3" i="17"/>
  <c r="AI3" i="17"/>
  <c r="AY3" i="17"/>
  <c r="CF3" i="17"/>
  <c r="AL3" i="17"/>
  <c r="CW3" i="17"/>
  <c r="BO3" i="17"/>
  <c r="CV3" i="17"/>
  <c r="BM3" i="17"/>
  <c r="CH3" i="17"/>
  <c r="CE3" i="17"/>
  <c r="AJ3" i="17"/>
  <c r="CU3" i="17"/>
  <c r="BL3" i="17"/>
  <c r="T3" i="17"/>
  <c r="CT3" i="17"/>
  <c r="BA3" i="17"/>
  <c r="S3" i="17"/>
  <c r="CS3" i="17"/>
  <c r="AZ3" i="17"/>
  <c r="Q3" i="17"/>
  <c r="P3" i="17"/>
  <c r="AX3" i="17"/>
  <c r="AW3" i="17"/>
  <c r="AK3" i="17"/>
  <c r="BS3" i="17"/>
  <c r="CG3" i="17"/>
  <c r="CB3" i="17"/>
  <c r="AP3" i="17"/>
  <c r="CO3" i="17"/>
  <c r="R3" i="17"/>
  <c r="BQ3" i="17"/>
  <c r="BB3" i="17"/>
  <c r="CP3" i="17"/>
  <c r="CD3" i="17"/>
  <c r="BE3" i="17"/>
  <c r="BR3" i="17"/>
  <c r="AS3" i="17"/>
  <c r="U3" i="17"/>
  <c r="AG3" i="17"/>
  <c r="CL3" i="17"/>
  <c r="AH3" i="17"/>
  <c r="BZ3" i="17"/>
  <c r="CC3" i="17"/>
  <c r="BF3" i="17"/>
  <c r="CX3" i="17"/>
  <c r="AT3" i="17"/>
  <c r="V3" i="17"/>
  <c r="BN3" i="17"/>
  <c r="V2" i="16"/>
  <c r="W45" i="15"/>
  <c r="R45" i="15"/>
  <c r="X45" i="15"/>
  <c r="Y45" i="15"/>
  <c r="N45" i="15"/>
  <c r="AB45" i="15"/>
  <c r="Q45" i="15"/>
  <c r="H13" i="15"/>
  <c r="I13" i="15" s="1"/>
  <c r="M13" i="15" s="1"/>
  <c r="S45" i="15"/>
  <c r="Z45" i="15"/>
  <c r="V45" i="15"/>
  <c r="T45" i="15"/>
  <c r="M45" i="15"/>
  <c r="O45" i="15"/>
  <c r="AA45" i="15"/>
  <c r="R2" i="14"/>
  <c r="AB71" i="15" l="1"/>
  <c r="AB63" i="15"/>
  <c r="AB47" i="15"/>
  <c r="AB39" i="15"/>
  <c r="AB55" i="15"/>
  <c r="AB15" i="15"/>
  <c r="AB23" i="15"/>
  <c r="AB31" i="15"/>
  <c r="AB7" i="15"/>
  <c r="AC2" i="15"/>
  <c r="V63" i="16"/>
  <c r="V7" i="16"/>
  <c r="BV60" i="18"/>
  <c r="BS60" i="18"/>
  <c r="BF60" i="18"/>
  <c r="H61" i="18"/>
  <c r="CQ61" i="18" s="1"/>
  <c r="AV60" i="18"/>
  <c r="CP60" i="18"/>
  <c r="Z60" i="18"/>
  <c r="CJ60" i="18"/>
  <c r="AG60" i="18"/>
  <c r="CR60" i="18"/>
  <c r="BC60" i="18"/>
  <c r="BR60" i="18"/>
  <c r="CW60" i="18"/>
  <c r="CD60" i="18"/>
  <c r="CK60" i="18"/>
  <c r="AM60" i="18"/>
  <c r="AN60" i="18"/>
  <c r="BD60" i="18"/>
  <c r="CI60" i="18"/>
  <c r="CH60" i="18"/>
  <c r="BA60" i="18"/>
  <c r="CV60" i="18"/>
  <c r="CT60" i="18"/>
  <c r="CG60" i="18"/>
  <c r="N60" i="18"/>
  <c r="AY60" i="18"/>
  <c r="M60" i="18"/>
  <c r="CL60" i="18"/>
  <c r="CU60" i="18"/>
  <c r="CA60" i="18"/>
  <c r="BK60" i="18"/>
  <c r="AW60" i="18"/>
  <c r="AK60" i="18"/>
  <c r="CQ60" i="18"/>
  <c r="BZ60" i="18"/>
  <c r="BL60" i="18"/>
  <c r="AF60" i="18"/>
  <c r="BX60" i="18"/>
  <c r="BJ60" i="18"/>
  <c r="AU60" i="18"/>
  <c r="CB60" i="18"/>
  <c r="P60" i="18"/>
  <c r="BI60" i="18"/>
  <c r="AR60" i="18"/>
  <c r="AC60" i="18"/>
  <c r="Q60" i="18"/>
  <c r="BY60" i="18"/>
  <c r="O60" i="18"/>
  <c r="BG60" i="18"/>
  <c r="AD60" i="18"/>
  <c r="AA60" i="18"/>
  <c r="R60" i="18"/>
  <c r="U60" i="18"/>
  <c r="BE60" i="18"/>
  <c r="CF60" i="18"/>
  <c r="AH60" i="18"/>
  <c r="CM60" i="18"/>
  <c r="BM60" i="18"/>
  <c r="AZ60" i="18"/>
  <c r="AB60" i="18"/>
  <c r="AO60" i="18"/>
  <c r="S60" i="18"/>
  <c r="CE60" i="18"/>
  <c r="BO60" i="18"/>
  <c r="AI60" i="18"/>
  <c r="BP60" i="18"/>
  <c r="AE60" i="18"/>
  <c r="CS60" i="18"/>
  <c r="CN60" i="18"/>
  <c r="AX60" i="18"/>
  <c r="BW60" i="18"/>
  <c r="AP60" i="18"/>
  <c r="AQ60" i="18"/>
  <c r="BN60" i="18"/>
  <c r="BU60" i="18"/>
  <c r="BH60" i="18"/>
  <c r="BB60" i="18"/>
  <c r="AS60" i="18"/>
  <c r="CC60" i="18"/>
  <c r="AJ60" i="18"/>
  <c r="CO60" i="18"/>
  <c r="T60" i="18"/>
  <c r="BT60" i="18"/>
  <c r="AT60" i="18"/>
  <c r="BQ60" i="18"/>
  <c r="CN55" i="18"/>
  <c r="BZ55" i="18"/>
  <c r="AC55" i="18"/>
  <c r="CU55" i="18"/>
  <c r="CC55" i="18"/>
  <c r="BE55" i="18"/>
  <c r="O55" i="18"/>
  <c r="BU55" i="18"/>
  <c r="CG55" i="18"/>
  <c r="BX55" i="18"/>
  <c r="BD55" i="18"/>
  <c r="AH55" i="18"/>
  <c r="AG55" i="18"/>
  <c r="M55" i="18"/>
  <c r="AA55" i="18"/>
  <c r="AW55" i="18"/>
  <c r="AU55" i="18"/>
  <c r="CG70" i="18"/>
  <c r="AF54" i="18"/>
  <c r="N54" i="18"/>
  <c r="W8" i="18"/>
  <c r="CD24" i="18"/>
  <c r="AP8" i="18"/>
  <c r="Z8" i="18"/>
  <c r="BQ24" i="18"/>
  <c r="CB55" i="18"/>
  <c r="CH55" i="18"/>
  <c r="R55" i="18"/>
  <c r="BC55" i="18"/>
  <c r="BY55" i="18"/>
  <c r="AZ55" i="18"/>
  <c r="CR55" i="18"/>
  <c r="CJ55" i="18"/>
  <c r="BB55" i="18"/>
  <c r="AM55" i="18"/>
  <c r="AY55" i="18"/>
  <c r="BP55" i="18"/>
  <c r="CA55" i="18"/>
  <c r="BL55" i="18"/>
  <c r="CQ55" i="18"/>
  <c r="CO55" i="18"/>
  <c r="AD55" i="18"/>
  <c r="CP55" i="18"/>
  <c r="CL55" i="18"/>
  <c r="AL55" i="18"/>
  <c r="AJ55" i="18"/>
  <c r="AQ55" i="18"/>
  <c r="N55" i="18"/>
  <c r="AI55" i="18"/>
  <c r="AB55" i="18"/>
  <c r="CD55" i="18"/>
  <c r="AT55" i="18"/>
  <c r="W55" i="18"/>
  <c r="CV55" i="18"/>
  <c r="CE55" i="18"/>
  <c r="AS55" i="18"/>
  <c r="BW55" i="18"/>
  <c r="Q55" i="18"/>
  <c r="BO55" i="18"/>
  <c r="AR55" i="18"/>
  <c r="AP55" i="18"/>
  <c r="AX55" i="18"/>
  <c r="BI55" i="18"/>
  <c r="BH55" i="18"/>
  <c r="Y55" i="18"/>
  <c r="CS55" i="18"/>
  <c r="CK55" i="18"/>
  <c r="P55" i="18"/>
  <c r="AF55" i="18"/>
  <c r="CW55" i="18"/>
  <c r="BA55" i="18"/>
  <c r="BK55" i="18"/>
  <c r="BM55" i="18"/>
  <c r="AE55" i="18"/>
  <c r="AN55" i="18"/>
  <c r="BJ55" i="18"/>
  <c r="Z55" i="18"/>
  <c r="AO55" i="18"/>
  <c r="AK55" i="18"/>
  <c r="BN55" i="18"/>
  <c r="BV55" i="18"/>
  <c r="BF55" i="18"/>
  <c r="CM55" i="18"/>
  <c r="BS55" i="18"/>
  <c r="CT55" i="18"/>
  <c r="AV55" i="18"/>
  <c r="H56" i="18"/>
  <c r="BR55" i="18"/>
  <c r="X55" i="18"/>
  <c r="BQ55" i="18"/>
  <c r="CI55" i="18"/>
  <c r="AY54" i="18"/>
  <c r="BF54" i="18"/>
  <c r="AJ54" i="18"/>
  <c r="BH54" i="18"/>
  <c r="BM54" i="18"/>
  <c r="CJ54" i="18"/>
  <c r="CD54" i="18"/>
  <c r="BF61" i="18"/>
  <c r="AO70" i="18"/>
  <c r="BR54" i="18"/>
  <c r="AL54" i="18"/>
  <c r="AZ54" i="18"/>
  <c r="Q70" i="18"/>
  <c r="AQ54" i="18"/>
  <c r="AP70" i="18"/>
  <c r="AK70" i="18"/>
  <c r="AW54" i="18"/>
  <c r="AP54" i="18"/>
  <c r="AH54" i="18"/>
  <c r="CF54" i="18"/>
  <c r="AT70" i="18"/>
  <c r="W70" i="18"/>
  <c r="BK54" i="18"/>
  <c r="P54" i="18"/>
  <c r="BN54" i="18"/>
  <c r="BY54" i="18"/>
  <c r="CA54" i="18"/>
  <c r="BB54" i="18"/>
  <c r="Q54" i="18"/>
  <c r="AB54" i="18"/>
  <c r="AU54" i="18"/>
  <c r="AD54" i="18"/>
  <c r="T54" i="18"/>
  <c r="CM54" i="18"/>
  <c r="CQ54" i="18"/>
  <c r="CK54" i="18"/>
  <c r="CW54" i="18"/>
  <c r="CU54" i="18"/>
  <c r="R54" i="18"/>
  <c r="V54" i="18"/>
  <c r="X54" i="18"/>
  <c r="CG54" i="18"/>
  <c r="Z54" i="18"/>
  <c r="CT54" i="18"/>
  <c r="AS54" i="18"/>
  <c r="AX54" i="18"/>
  <c r="CI54" i="18"/>
  <c r="AO54" i="18"/>
  <c r="BJ54" i="18"/>
  <c r="BL54" i="18"/>
  <c r="Y54" i="18"/>
  <c r="AE54" i="18"/>
  <c r="BI54" i="18"/>
  <c r="AG54" i="18"/>
  <c r="CC54" i="18"/>
  <c r="AV54" i="18"/>
  <c r="CH54" i="18"/>
  <c r="BS54" i="18"/>
  <c r="BX54" i="18"/>
  <c r="BZ54" i="18"/>
  <c r="BO54" i="18"/>
  <c r="CE54" i="18"/>
  <c r="BU54" i="18"/>
  <c r="U54" i="18"/>
  <c r="M54" i="18"/>
  <c r="CO54" i="18"/>
  <c r="CL54" i="18"/>
  <c r="CP54" i="18"/>
  <c r="BW54" i="18"/>
  <c r="AM54" i="18"/>
  <c r="BA54" i="18"/>
  <c r="CV54" i="18"/>
  <c r="AT54" i="18"/>
  <c r="BQ54" i="18"/>
  <c r="S54" i="18"/>
  <c r="W54" i="18"/>
  <c r="CS54" i="18"/>
  <c r="AA54" i="18"/>
  <c r="CR54" i="18"/>
  <c r="AI54" i="18"/>
  <c r="AK54" i="18"/>
  <c r="BC54" i="18"/>
  <c r="AN54" i="18"/>
  <c r="BG54" i="18"/>
  <c r="CB54" i="18"/>
  <c r="AR54" i="18"/>
  <c r="O54" i="18"/>
  <c r="AC54" i="18"/>
  <c r="BD54" i="18"/>
  <c r="BV54" i="18"/>
  <c r="BT54" i="18"/>
  <c r="CN54" i="18"/>
  <c r="BP54" i="18"/>
  <c r="R23" i="18"/>
  <c r="AC24" i="18"/>
  <c r="AR8" i="18"/>
  <c r="BA8" i="18"/>
  <c r="CC24" i="18"/>
  <c r="AS24" i="18"/>
  <c r="R24" i="18"/>
  <c r="AA24" i="18"/>
  <c r="AD24" i="18"/>
  <c r="U24" i="18"/>
  <c r="AQ8" i="18"/>
  <c r="BR24" i="18"/>
  <c r="CI24" i="18"/>
  <c r="AO24" i="18"/>
  <c r="AN24" i="18"/>
  <c r="BJ24" i="18"/>
  <c r="W24" i="18"/>
  <c r="BH24" i="18"/>
  <c r="BD70" i="18"/>
  <c r="CT70" i="18"/>
  <c r="BX70" i="18"/>
  <c r="Y70" i="18"/>
  <c r="CM70" i="18"/>
  <c r="CF70" i="18"/>
  <c r="BV70" i="18"/>
  <c r="BO70" i="18"/>
  <c r="CW70" i="18"/>
  <c r="AA70" i="18"/>
  <c r="CP70" i="18"/>
  <c r="AS70" i="18"/>
  <c r="CQ70" i="18"/>
  <c r="CB70" i="18"/>
  <c r="AR70" i="18"/>
  <c r="R70" i="18"/>
  <c r="O70" i="18"/>
  <c r="H71" i="18"/>
  <c r="BU70" i="18"/>
  <c r="CS70" i="18"/>
  <c r="CA70" i="18"/>
  <c r="CO70" i="18"/>
  <c r="BY70" i="18"/>
  <c r="CD70" i="18"/>
  <c r="AI70" i="18"/>
  <c r="BB70" i="18"/>
  <c r="S70" i="18"/>
  <c r="AG70" i="18"/>
  <c r="AW70" i="18"/>
  <c r="BA70" i="18"/>
  <c r="CK70" i="18"/>
  <c r="CL70" i="18"/>
  <c r="BR70" i="18"/>
  <c r="U70" i="18"/>
  <c r="AV70" i="18"/>
  <c r="BP70" i="18"/>
  <c r="CU70" i="18"/>
  <c r="CR70" i="18"/>
  <c r="BM70" i="18"/>
  <c r="BZ70" i="18"/>
  <c r="BF70" i="18"/>
  <c r="CE70" i="18"/>
  <c r="CH70" i="18"/>
  <c r="T70" i="18"/>
  <c r="BW70" i="18"/>
  <c r="AY70" i="18"/>
  <c r="CV70" i="18"/>
  <c r="V70" i="18"/>
  <c r="Z70" i="18"/>
  <c r="BS70" i="18"/>
  <c r="AX70" i="18"/>
  <c r="BJ70" i="18"/>
  <c r="BG70" i="18"/>
  <c r="CN70" i="18"/>
  <c r="AZ70" i="18"/>
  <c r="AH70" i="18"/>
  <c r="AJ70" i="18"/>
  <c r="AM70" i="18"/>
  <c r="M70" i="18"/>
  <c r="BL70" i="18"/>
  <c r="X70" i="18"/>
  <c r="BH70" i="18"/>
  <c r="CJ70" i="18"/>
  <c r="AB70" i="18"/>
  <c r="CC70" i="18"/>
  <c r="N70" i="18"/>
  <c r="BN70" i="18"/>
  <c r="AN70" i="18"/>
  <c r="BC70" i="18"/>
  <c r="P70" i="18"/>
  <c r="BQ70" i="18"/>
  <c r="BI70" i="18"/>
  <c r="BK70" i="18"/>
  <c r="AQ70" i="18"/>
  <c r="CI70" i="18"/>
  <c r="BE70" i="18"/>
  <c r="BT70" i="18"/>
  <c r="AU70" i="18"/>
  <c r="CD86" i="18"/>
  <c r="CF55" i="18"/>
  <c r="BT55" i="18"/>
  <c r="AX8" i="18"/>
  <c r="V8" i="18"/>
  <c r="AC8" i="18"/>
  <c r="P8" i="18"/>
  <c r="AA8" i="18"/>
  <c r="AK8" i="18"/>
  <c r="AG8" i="18"/>
  <c r="AV8" i="18"/>
  <c r="AW8" i="18"/>
  <c r="AH8" i="18"/>
  <c r="X8" i="18"/>
  <c r="AU8" i="18"/>
  <c r="R8" i="18"/>
  <c r="AT8" i="18"/>
  <c r="O8" i="18"/>
  <c r="T8" i="18"/>
  <c r="U8" i="18"/>
  <c r="N8" i="18"/>
  <c r="AZ8" i="18"/>
  <c r="BP24" i="18"/>
  <c r="AM8" i="18"/>
  <c r="AB8" i="18"/>
  <c r="AI8" i="18"/>
  <c r="AS8" i="18"/>
  <c r="AJ8" i="18"/>
  <c r="AY8" i="18"/>
  <c r="M8" i="18"/>
  <c r="AN8" i="18"/>
  <c r="AL8" i="18"/>
  <c r="Y8" i="18"/>
  <c r="AO8" i="18"/>
  <c r="Q8" i="18"/>
  <c r="AH24" i="18"/>
  <c r="AG61" i="18"/>
  <c r="BI61" i="18"/>
  <c r="CO24" i="18"/>
  <c r="AM24" i="18"/>
  <c r="AH23" i="18"/>
  <c r="AT24" i="18"/>
  <c r="AJ24" i="18"/>
  <c r="CH24" i="18"/>
  <c r="AC23" i="18"/>
  <c r="BY24" i="18"/>
  <c r="P24" i="18"/>
  <c r="O24" i="18"/>
  <c r="CF24" i="18"/>
  <c r="AG24" i="18"/>
  <c r="BS24" i="18"/>
  <c r="BT24" i="18"/>
  <c r="BE24" i="18"/>
  <c r="H25" i="18"/>
  <c r="AA23" i="18"/>
  <c r="CW24" i="18"/>
  <c r="AV24" i="18"/>
  <c r="BK24" i="18"/>
  <c r="Y24" i="18"/>
  <c r="BM24" i="18"/>
  <c r="CP24" i="18"/>
  <c r="BC24" i="18"/>
  <c r="CK24" i="18"/>
  <c r="AB24" i="18"/>
  <c r="AE24" i="18"/>
  <c r="N24" i="18"/>
  <c r="CA24" i="18"/>
  <c r="AI24" i="18"/>
  <c r="CM24" i="18"/>
  <c r="BF24" i="18"/>
  <c r="CL24" i="18"/>
  <c r="Q24" i="18"/>
  <c r="AF8" i="18"/>
  <c r="S8" i="18"/>
  <c r="AD8" i="18"/>
  <c r="AL24" i="18"/>
  <c r="AS23" i="18"/>
  <c r="AU24" i="18"/>
  <c r="AR24" i="18"/>
  <c r="U23" i="18"/>
  <c r="AJ23" i="18"/>
  <c r="AF23" i="18"/>
  <c r="AT23" i="18"/>
  <c r="CT24" i="18"/>
  <c r="T24" i="18"/>
  <c r="Y23" i="18"/>
  <c r="AB23" i="18"/>
  <c r="AM23" i="18"/>
  <c r="AN23" i="18"/>
  <c r="T23" i="18"/>
  <c r="AW23" i="18"/>
  <c r="AG23" i="18"/>
  <c r="AV23" i="18"/>
  <c r="W23" i="18"/>
  <c r="O23" i="18"/>
  <c r="AP24" i="18"/>
  <c r="BL24" i="18"/>
  <c r="Z24" i="18"/>
  <c r="CE24" i="18"/>
  <c r="CR24" i="18"/>
  <c r="BW24" i="18"/>
  <c r="CN24" i="18"/>
  <c r="AZ23" i="18"/>
  <c r="Q23" i="18"/>
  <c r="AL23" i="18"/>
  <c r="BN24" i="18"/>
  <c r="BZ24" i="18"/>
  <c r="BV24" i="18"/>
  <c r="CQ24" i="18"/>
  <c r="M24" i="18"/>
  <c r="CU24" i="18"/>
  <c r="Z23" i="18"/>
  <c r="M23" i="18"/>
  <c r="AX23" i="18"/>
  <c r="AY23" i="18"/>
  <c r="AK23" i="18"/>
  <c r="P23" i="18"/>
  <c r="CJ24" i="18"/>
  <c r="AK24" i="18"/>
  <c r="S23" i="18"/>
  <c r="X23" i="18"/>
  <c r="AE23" i="18"/>
  <c r="BB24" i="18"/>
  <c r="AW24" i="18"/>
  <c r="CV24" i="18"/>
  <c r="AI23" i="18"/>
  <c r="AO23" i="18"/>
  <c r="AQ23" i="18"/>
  <c r="AF24" i="18"/>
  <c r="BU24" i="18"/>
  <c r="S24" i="18"/>
  <c r="AP23" i="18"/>
  <c r="AU23" i="18"/>
  <c r="AD23" i="18"/>
  <c r="BD24" i="18"/>
  <c r="CG24" i="18"/>
  <c r="AQ24" i="18"/>
  <c r="BA23" i="18"/>
  <c r="N23" i="18"/>
  <c r="AR23" i="18"/>
  <c r="X24" i="18"/>
  <c r="CS24" i="18"/>
  <c r="H65" i="18"/>
  <c r="G66" i="18"/>
  <c r="O64" i="18"/>
  <c r="R64" i="18"/>
  <c r="AA64" i="18"/>
  <c r="BD64" i="18"/>
  <c r="AJ64" i="18"/>
  <c r="V64" i="18"/>
  <c r="CE64" i="18"/>
  <c r="CU64" i="18"/>
  <c r="BP64" i="18"/>
  <c r="AV64" i="18"/>
  <c r="AH64" i="18"/>
  <c r="CQ64" i="18"/>
  <c r="AP64" i="18"/>
  <c r="S64" i="18"/>
  <c r="CB64" i="18"/>
  <c r="BH64" i="18"/>
  <c r="AT64" i="18"/>
  <c r="Y64" i="18"/>
  <c r="BY64" i="18"/>
  <c r="BZ64" i="18"/>
  <c r="BL64" i="18"/>
  <c r="CJ64" i="18"/>
  <c r="AE64" i="18"/>
  <c r="CN64" i="18"/>
  <c r="BT64" i="18"/>
  <c r="BF64" i="18"/>
  <c r="AK64" i="18"/>
  <c r="AO64" i="18"/>
  <c r="BX64" i="18"/>
  <c r="Q64" i="18"/>
  <c r="AZ64" i="18"/>
  <c r="AQ64" i="18"/>
  <c r="U64" i="18"/>
  <c r="CF64" i="18"/>
  <c r="BR64" i="18"/>
  <c r="BI64" i="18"/>
  <c r="BW64" i="18"/>
  <c r="BK64" i="18"/>
  <c r="CL64" i="18"/>
  <c r="P64" i="18"/>
  <c r="BC64" i="18"/>
  <c r="AG64" i="18"/>
  <c r="CR64" i="18"/>
  <c r="CD64" i="18"/>
  <c r="CS64" i="18"/>
  <c r="AN64" i="18"/>
  <c r="BO64" i="18"/>
  <c r="AS64" i="18"/>
  <c r="M64" i="18"/>
  <c r="CP64" i="18"/>
  <c r="N64" i="18"/>
  <c r="BM64" i="18"/>
  <c r="BB64" i="18"/>
  <c r="CA64" i="18"/>
  <c r="BE64" i="18"/>
  <c r="AW64" i="18"/>
  <c r="W64" i="18"/>
  <c r="AL64" i="18"/>
  <c r="AD64" i="18"/>
  <c r="CV64" i="18"/>
  <c r="CM64" i="18"/>
  <c r="BQ64" i="18"/>
  <c r="BU64" i="18"/>
  <c r="AI64" i="18"/>
  <c r="AX64" i="18"/>
  <c r="BG64" i="18"/>
  <c r="BN64" i="18"/>
  <c r="BA64" i="18"/>
  <c r="CK64" i="18"/>
  <c r="CI64" i="18"/>
  <c r="T64" i="18"/>
  <c r="CC64" i="18"/>
  <c r="CG64" i="18"/>
  <c r="AU64" i="18"/>
  <c r="BJ64" i="18"/>
  <c r="AC64" i="18"/>
  <c r="AM64" i="18"/>
  <c r="AY64" i="18"/>
  <c r="AF64" i="18"/>
  <c r="CO64" i="18"/>
  <c r="Z64" i="18"/>
  <c r="BV64" i="18"/>
  <c r="AB64" i="18"/>
  <c r="CW64" i="18"/>
  <c r="AR64" i="18"/>
  <c r="X64" i="18"/>
  <c r="CT64" i="18"/>
  <c r="BS64" i="18"/>
  <c r="CH64" i="18"/>
  <c r="BO86" i="18"/>
  <c r="AT86" i="18"/>
  <c r="BN86" i="18"/>
  <c r="BC86" i="18"/>
  <c r="AE86" i="18"/>
  <c r="O86" i="18"/>
  <c r="CQ86" i="18"/>
  <c r="BX86" i="18"/>
  <c r="CE86" i="18"/>
  <c r="BV86" i="18"/>
  <c r="BS86" i="18"/>
  <c r="BT86" i="18"/>
  <c r="CV86" i="18"/>
  <c r="AZ86" i="18"/>
  <c r="AW86" i="18"/>
  <c r="AK86" i="18"/>
  <c r="Z86" i="18"/>
  <c r="CI86" i="18"/>
  <c r="W86" i="18"/>
  <c r="CW86" i="18"/>
  <c r="AU86" i="18"/>
  <c r="BW86" i="18"/>
  <c r="CR86" i="18"/>
  <c r="AO86" i="18"/>
  <c r="BK86" i="18"/>
  <c r="CF86" i="18"/>
  <c r="BR86" i="18"/>
  <c r="AD86" i="18"/>
  <c r="AC86" i="18"/>
  <c r="AY86" i="18"/>
  <c r="BZ86" i="18"/>
  <c r="CM86" i="18"/>
  <c r="AM86" i="18"/>
  <c r="AH86" i="18"/>
  <c r="AA86" i="18"/>
  <c r="AP86" i="18"/>
  <c r="V86" i="18"/>
  <c r="CJ86" i="18"/>
  <c r="CS86" i="18"/>
  <c r="S86" i="18"/>
  <c r="CT86" i="18"/>
  <c r="BU86" i="18"/>
  <c r="CL86" i="18"/>
  <c r="BL86" i="18"/>
  <c r="BI86" i="18"/>
  <c r="AQ86" i="18"/>
  <c r="Q86" i="18"/>
  <c r="AV86" i="18"/>
  <c r="X86" i="18"/>
  <c r="BB86" i="18"/>
  <c r="AX86" i="18"/>
  <c r="BG86" i="18"/>
  <c r="AB86" i="18"/>
  <c r="CK86" i="18"/>
  <c r="CU86" i="18"/>
  <c r="Y86" i="18"/>
  <c r="AI86" i="18"/>
  <c r="BY86" i="18"/>
  <c r="N86" i="18"/>
  <c r="M86" i="18"/>
  <c r="AL86" i="18"/>
  <c r="BA86" i="18"/>
  <c r="CA86" i="18"/>
  <c r="CP86" i="18"/>
  <c r="AN86" i="18"/>
  <c r="CH86" i="18"/>
  <c r="R86" i="18"/>
  <c r="BH86" i="18"/>
  <c r="BD86" i="18"/>
  <c r="AR86" i="18"/>
  <c r="BP86" i="18"/>
  <c r="U86" i="18"/>
  <c r="AF86" i="18"/>
  <c r="AS86" i="18"/>
  <c r="BQ86" i="18"/>
  <c r="CB86" i="18"/>
  <c r="T86" i="18"/>
  <c r="CN86" i="18"/>
  <c r="CO86" i="18"/>
  <c r="AG86" i="18"/>
  <c r="CC86" i="18"/>
  <c r="BE86" i="18"/>
  <c r="BM86" i="18"/>
  <c r="P86" i="18"/>
  <c r="BJ86" i="18"/>
  <c r="CG86" i="18"/>
  <c r="AJ86" i="18"/>
  <c r="BF86" i="18"/>
  <c r="BG24" i="18"/>
  <c r="CB24" i="18"/>
  <c r="BI24" i="18"/>
  <c r="BX24" i="18"/>
  <c r="V24" i="18"/>
  <c r="M9" i="18"/>
  <c r="H10" i="18"/>
  <c r="BK9" i="18"/>
  <c r="AD9" i="18"/>
  <c r="CW9" i="18"/>
  <c r="BR9" i="18"/>
  <c r="BM9" i="18"/>
  <c r="BF9" i="18"/>
  <c r="AX9" i="18"/>
  <c r="AT9" i="18"/>
  <c r="AR9" i="18"/>
  <c r="AI9" i="18"/>
  <c r="X9" i="18"/>
  <c r="CO9" i="18"/>
  <c r="CJ9" i="18"/>
  <c r="CE9" i="18"/>
  <c r="BY9" i="18"/>
  <c r="BW9" i="18"/>
  <c r="BV9" i="18"/>
  <c r="BS9" i="18"/>
  <c r="BN9" i="18"/>
  <c r="BE9" i="18"/>
  <c r="AW9" i="18"/>
  <c r="AL9" i="18"/>
  <c r="W9" i="18"/>
  <c r="CT9" i="18"/>
  <c r="CB9" i="18"/>
  <c r="CA9" i="18"/>
  <c r="BQ9" i="18"/>
  <c r="BD9" i="18"/>
  <c r="BC9" i="18"/>
  <c r="BB9" i="18"/>
  <c r="AY9" i="18"/>
  <c r="AC9" i="18"/>
  <c r="BL9" i="18"/>
  <c r="O9" i="18"/>
  <c r="AF9" i="18"/>
  <c r="AE9" i="18"/>
  <c r="CV9" i="18"/>
  <c r="CS9" i="18"/>
  <c r="CM9" i="18"/>
  <c r="CH9" i="18"/>
  <c r="CD9" i="18"/>
  <c r="BO9" i="18"/>
  <c r="BI9" i="18"/>
  <c r="BG9" i="18"/>
  <c r="BA9" i="18"/>
  <c r="AZ9" i="18"/>
  <c r="AV9" i="18"/>
  <c r="AH9" i="18"/>
  <c r="BT9" i="18"/>
  <c r="AP9" i="18"/>
  <c r="AJ9" i="18"/>
  <c r="CP9" i="18"/>
  <c r="P9" i="18"/>
  <c r="CR9" i="18"/>
  <c r="CK9" i="18"/>
  <c r="CF9" i="18"/>
  <c r="BH9" i="18"/>
  <c r="AS9" i="18"/>
  <c r="AO9" i="18"/>
  <c r="AK9" i="18"/>
  <c r="R9" i="18"/>
  <c r="Y9" i="18"/>
  <c r="CI9" i="18"/>
  <c r="N9" i="18"/>
  <c r="CN9" i="18"/>
  <c r="BX9" i="18"/>
  <c r="BZ9" i="18"/>
  <c r="AA9" i="18"/>
  <c r="CU9" i="18"/>
  <c r="CQ9" i="18"/>
  <c r="CL9" i="18"/>
  <c r="CG9" i="18"/>
  <c r="CC9" i="18"/>
  <c r="BU9" i="18"/>
  <c r="BP9" i="18"/>
  <c r="BJ9" i="18"/>
  <c r="AU9" i="18"/>
  <c r="AQ9" i="18"/>
  <c r="AG9" i="18"/>
  <c r="Q9" i="18"/>
  <c r="Z9" i="18"/>
  <c r="AB9" i="18"/>
  <c r="AM9" i="18"/>
  <c r="AN9" i="18"/>
  <c r="CW43" i="18"/>
  <c r="CV43" i="18"/>
  <c r="CU43" i="18"/>
  <c r="CT43" i="18"/>
  <c r="CS43" i="18"/>
  <c r="CR43" i="18"/>
  <c r="CQ43" i="18"/>
  <c r="CP43" i="18"/>
  <c r="CO43" i="18"/>
  <c r="CN43" i="18"/>
  <c r="CM43" i="18"/>
  <c r="CL43" i="18"/>
  <c r="CK43" i="18"/>
  <c r="CJ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V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H43" i="18"/>
  <c r="BG43" i="18"/>
  <c r="BF43" i="18"/>
  <c r="BE43" i="18"/>
  <c r="BD43" i="18"/>
  <c r="BC43" i="18"/>
  <c r="BB43" i="18"/>
  <c r="AJ43" i="18"/>
  <c r="X43" i="18"/>
  <c r="AU43" i="18"/>
  <c r="AV43" i="18"/>
  <c r="W43" i="18"/>
  <c r="AK43" i="18"/>
  <c r="AW43" i="18"/>
  <c r="AT43" i="18"/>
  <c r="N43" i="18"/>
  <c r="Z43" i="18"/>
  <c r="AL43" i="18"/>
  <c r="AX43" i="18"/>
  <c r="AH43" i="18"/>
  <c r="O43" i="18"/>
  <c r="AA43" i="18"/>
  <c r="AM43" i="18"/>
  <c r="AY43" i="18"/>
  <c r="AQ43" i="18"/>
  <c r="T43" i="18"/>
  <c r="V43" i="18"/>
  <c r="P43" i="18"/>
  <c r="AB43" i="18"/>
  <c r="AN43" i="18"/>
  <c r="AZ43" i="18"/>
  <c r="AE43" i="18"/>
  <c r="U43" i="18"/>
  <c r="Q43" i="18"/>
  <c r="AC43" i="18"/>
  <c r="AO43" i="18"/>
  <c r="BA43" i="18"/>
  <c r="AF43" i="18"/>
  <c r="AG43" i="18"/>
  <c r="R43" i="18"/>
  <c r="AD43" i="18"/>
  <c r="AP43" i="18"/>
  <c r="S43" i="18"/>
  <c r="AR43" i="18"/>
  <c r="Y43" i="18"/>
  <c r="AS43" i="18"/>
  <c r="AI43" i="18"/>
  <c r="M43" i="18"/>
  <c r="G45" i="18"/>
  <c r="H44" i="18"/>
  <c r="N28" i="18"/>
  <c r="CW28" i="18"/>
  <c r="CV28" i="18"/>
  <c r="CU28" i="18"/>
  <c r="CT28" i="18"/>
  <c r="CS28" i="18"/>
  <c r="CR28" i="18"/>
  <c r="CQ28" i="18"/>
  <c r="CP28" i="18"/>
  <c r="CO28" i="18"/>
  <c r="CN28" i="18"/>
  <c r="CM28" i="18"/>
  <c r="CL28" i="18"/>
  <c r="CK28" i="18"/>
  <c r="CJ28" i="18"/>
  <c r="CI28" i="18"/>
  <c r="CH28" i="18"/>
  <c r="CG28" i="18"/>
  <c r="CF28" i="18"/>
  <c r="CE28" i="18"/>
  <c r="CD28" i="18"/>
  <c r="CC28" i="18"/>
  <c r="CB28" i="18"/>
  <c r="CA28" i="18"/>
  <c r="BZ28" i="18"/>
  <c r="BY28" i="18"/>
  <c r="BX28" i="18"/>
  <c r="BW28" i="18"/>
  <c r="BV28" i="18"/>
  <c r="BU28" i="18"/>
  <c r="BT28" i="18"/>
  <c r="BS28" i="18"/>
  <c r="BR28" i="18"/>
  <c r="BQ28" i="18"/>
  <c r="BP28" i="18"/>
  <c r="BO28" i="18"/>
  <c r="BN28" i="18"/>
  <c r="BM28" i="18"/>
  <c r="BL28" i="18"/>
  <c r="BK28" i="18"/>
  <c r="BJ28" i="18"/>
  <c r="BI28" i="18"/>
  <c r="BH28" i="18"/>
  <c r="BG28" i="18"/>
  <c r="BF28" i="18"/>
  <c r="BE28" i="18"/>
  <c r="BD28" i="18"/>
  <c r="BC28" i="18"/>
  <c r="BB28" i="18"/>
  <c r="AK28" i="18"/>
  <c r="Z28" i="18"/>
  <c r="AX28" i="18"/>
  <c r="AB28" i="18"/>
  <c r="AZ28" i="18"/>
  <c r="AQ28" i="18"/>
  <c r="V28" i="18"/>
  <c r="W28" i="18"/>
  <c r="O28" i="18"/>
  <c r="AM28" i="18"/>
  <c r="AG28" i="18"/>
  <c r="AC28" i="18"/>
  <c r="BA28" i="18"/>
  <c r="AP28" i="18"/>
  <c r="Y28" i="18"/>
  <c r="AW28" i="18"/>
  <c r="AL28" i="18"/>
  <c r="P28" i="18"/>
  <c r="AN28" i="18"/>
  <c r="T28" i="18"/>
  <c r="AS28" i="18"/>
  <c r="AH28" i="18"/>
  <c r="AA28" i="18"/>
  <c r="AY28" i="18"/>
  <c r="AR28" i="18"/>
  <c r="Q28" i="18"/>
  <c r="AO28" i="18"/>
  <c r="R28" i="18"/>
  <c r="AD28" i="18"/>
  <c r="S28" i="18"/>
  <c r="AE28" i="18"/>
  <c r="AF28" i="18"/>
  <c r="U28" i="18"/>
  <c r="AT28" i="18"/>
  <c r="AU28" i="18"/>
  <c r="X28" i="18"/>
  <c r="AI28" i="18"/>
  <c r="AJ28" i="18"/>
  <c r="AV28" i="18"/>
  <c r="M28" i="18"/>
  <c r="G30" i="18"/>
  <c r="H29" i="18"/>
  <c r="U79" i="18"/>
  <c r="W79" i="18"/>
  <c r="AL79" i="18"/>
  <c r="BA79" i="18"/>
  <c r="BS79" i="18"/>
  <c r="CH79" i="18"/>
  <c r="CW79" i="18"/>
  <c r="X79" i="18"/>
  <c r="AM79" i="18"/>
  <c r="BB79" i="18"/>
  <c r="BT79" i="18"/>
  <c r="CI79" i="18"/>
  <c r="M79" i="18"/>
  <c r="BZ79" i="18"/>
  <c r="AX79" i="18"/>
  <c r="AY79" i="18"/>
  <c r="R79" i="18"/>
  <c r="BR79" i="18"/>
  <c r="CV79" i="18"/>
  <c r="AC79" i="18"/>
  <c r="BJ79" i="18"/>
  <c r="CQ79" i="18"/>
  <c r="N79" i="18"/>
  <c r="AV79" i="18"/>
  <c r="AH79" i="18"/>
  <c r="BL79" i="18"/>
  <c r="CD79" i="18"/>
  <c r="AI79" i="18"/>
  <c r="CE79" i="18"/>
  <c r="AJ79" i="18"/>
  <c r="BN79" i="18"/>
  <c r="CU79" i="18"/>
  <c r="AZ79" i="18"/>
  <c r="AU79" i="18"/>
  <c r="BY79" i="18"/>
  <c r="AD79" i="18"/>
  <c r="BK79" i="18"/>
  <c r="CR79" i="18"/>
  <c r="O79" i="18"/>
  <c r="AW79" i="18"/>
  <c r="CS79" i="18"/>
  <c r="P79" i="18"/>
  <c r="BM79" i="18"/>
  <c r="CT79" i="18"/>
  <c r="Q79" i="18"/>
  <c r="CF79" i="18"/>
  <c r="AK79" i="18"/>
  <c r="CG79" i="18"/>
  <c r="S79" i="18"/>
  <c r="BG79" i="18"/>
  <c r="V79" i="18"/>
  <c r="CM79" i="18"/>
  <c r="CP79" i="18"/>
  <c r="AO79" i="18"/>
  <c r="CA79" i="18"/>
  <c r="AN79" i="18"/>
  <c r="BI79" i="18"/>
  <c r="Z79" i="18"/>
  <c r="BO79" i="18"/>
  <c r="AB79" i="18"/>
  <c r="BC79" i="18"/>
  <c r="CJ79" i="18"/>
  <c r="CC79" i="18"/>
  <c r="BX79" i="18"/>
  <c r="BP79" i="18"/>
  <c r="BF79" i="18"/>
  <c r="AG79" i="18"/>
  <c r="AR79" i="18"/>
  <c r="Y79" i="18"/>
  <c r="AF79" i="18"/>
  <c r="T79" i="18"/>
  <c r="BW79" i="18"/>
  <c r="CL79" i="18"/>
  <c r="BQ79" i="18"/>
  <c r="AQ79" i="18"/>
  <c r="BH79" i="18"/>
  <c r="CO79" i="18"/>
  <c r="CN79" i="18"/>
  <c r="AS79" i="18"/>
  <c r="AE79" i="18"/>
  <c r="AP79" i="18"/>
  <c r="CB79" i="18"/>
  <c r="BU79" i="18"/>
  <c r="BE79" i="18"/>
  <c r="AT79" i="18"/>
  <c r="BD79" i="18"/>
  <c r="AA79" i="18"/>
  <c r="CK79" i="18"/>
  <c r="BV79" i="18"/>
  <c r="G81" i="18"/>
  <c r="H80" i="18"/>
  <c r="BB74" i="18"/>
  <c r="O74" i="18"/>
  <c r="P74" i="18"/>
  <c r="AZ74" i="18"/>
  <c r="BA74" i="18"/>
  <c r="R74" i="18"/>
  <c r="Q74" i="18"/>
  <c r="BN74" i="18"/>
  <c r="AR74" i="18"/>
  <c r="CI74" i="18"/>
  <c r="AE74" i="18"/>
  <c r="Y74" i="18"/>
  <c r="BT74" i="18"/>
  <c r="AQ74" i="18"/>
  <c r="AO74" i="18"/>
  <c r="CN74" i="18"/>
  <c r="BO74" i="18"/>
  <c r="AS74" i="18"/>
  <c r="CD74" i="18"/>
  <c r="AD74" i="18"/>
  <c r="CS74" i="18"/>
  <c r="AK74" i="18"/>
  <c r="BF74" i="18"/>
  <c r="BZ74" i="18"/>
  <c r="T74" i="18"/>
  <c r="CC74" i="18"/>
  <c r="AG74" i="18"/>
  <c r="W74" i="18"/>
  <c r="N74" i="18"/>
  <c r="BU74" i="18"/>
  <c r="V74" i="18"/>
  <c r="AP74" i="18"/>
  <c r="CK74" i="18"/>
  <c r="AI74" i="18"/>
  <c r="AL74" i="18"/>
  <c r="CG74" i="18"/>
  <c r="BY74" i="18"/>
  <c r="AY74" i="18"/>
  <c r="BR74" i="18"/>
  <c r="AX74" i="18"/>
  <c r="BE74" i="18"/>
  <c r="BG74" i="18"/>
  <c r="BJ74" i="18"/>
  <c r="CM74" i="18"/>
  <c r="CJ74" i="18"/>
  <c r="BS74" i="18"/>
  <c r="X74" i="18"/>
  <c r="BW74" i="18"/>
  <c r="AC74" i="18"/>
  <c r="BM74" i="18"/>
  <c r="AV74" i="18"/>
  <c r="AM74" i="18"/>
  <c r="M74" i="18"/>
  <c r="BK74" i="18"/>
  <c r="S74" i="18"/>
  <c r="BL74" i="18"/>
  <c r="CF74" i="18"/>
  <c r="BD74" i="18"/>
  <c r="CL74" i="18"/>
  <c r="BI74" i="18"/>
  <c r="CA74" i="18"/>
  <c r="AU74" i="18"/>
  <c r="Z74" i="18"/>
  <c r="AB74" i="18"/>
  <c r="AF74" i="18"/>
  <c r="BV74" i="18"/>
  <c r="U74" i="18"/>
  <c r="CV74" i="18"/>
  <c r="CH74" i="18"/>
  <c r="AT74" i="18"/>
  <c r="CE74" i="18"/>
  <c r="AJ74" i="18"/>
  <c r="CT74" i="18"/>
  <c r="BC74" i="18"/>
  <c r="CQ74" i="18"/>
  <c r="CU74" i="18"/>
  <c r="CW74" i="18"/>
  <c r="BQ74" i="18"/>
  <c r="BH74" i="18"/>
  <c r="CO74" i="18"/>
  <c r="AH74" i="18"/>
  <c r="AW74" i="18"/>
  <c r="AA74" i="18"/>
  <c r="BX74" i="18"/>
  <c r="CB74" i="18"/>
  <c r="BP74" i="18"/>
  <c r="CR74" i="18"/>
  <c r="CP74" i="18"/>
  <c r="AN74" i="18"/>
  <c r="G76" i="18"/>
  <c r="H75" i="18"/>
  <c r="U50" i="18"/>
  <c r="AI50" i="18"/>
  <c r="BL50" i="18"/>
  <c r="CJ50" i="18"/>
  <c r="BA50" i="18"/>
  <c r="AP50" i="18"/>
  <c r="BO50" i="18"/>
  <c r="CM50" i="18"/>
  <c r="S50" i="18"/>
  <c r="BX50" i="18"/>
  <c r="W50" i="18"/>
  <c r="CW50" i="18"/>
  <c r="BB50" i="18"/>
  <c r="AC50" i="18"/>
  <c r="CA50" i="18"/>
  <c r="AD50" i="18"/>
  <c r="CE50" i="18"/>
  <c r="AE50" i="18"/>
  <c r="CI50" i="18"/>
  <c r="AU50" i="18"/>
  <c r="BW50" i="18"/>
  <c r="CU50" i="18"/>
  <c r="AZ50" i="18"/>
  <c r="CV50" i="18"/>
  <c r="BY50" i="18"/>
  <c r="AB50" i="18"/>
  <c r="BZ50" i="18"/>
  <c r="BC50" i="18"/>
  <c r="BG50" i="18"/>
  <c r="BK50" i="18"/>
  <c r="AN50" i="18"/>
  <c r="AO50" i="18"/>
  <c r="M50" i="18"/>
  <c r="BT50" i="18"/>
  <c r="BF50" i="18"/>
  <c r="CB50" i="18"/>
  <c r="AY50" i="18"/>
  <c r="BS50" i="18"/>
  <c r="CH50" i="18"/>
  <c r="AA50" i="18"/>
  <c r="AJ50" i="18"/>
  <c r="V50" i="18"/>
  <c r="AW50" i="18"/>
  <c r="CL50" i="18"/>
  <c r="BN50" i="18"/>
  <c r="BH50" i="18"/>
  <c r="AT50" i="18"/>
  <c r="BP50" i="18"/>
  <c r="CQ50" i="18"/>
  <c r="CT50" i="18"/>
  <c r="AV50" i="18"/>
  <c r="AH50" i="18"/>
  <c r="BD50" i="18"/>
  <c r="AR50" i="18"/>
  <c r="CR50" i="18"/>
  <c r="Y50" i="18"/>
  <c r="T50" i="18"/>
  <c r="AQ50" i="18"/>
  <c r="BV50" i="18"/>
  <c r="X50" i="18"/>
  <c r="H51" i="18"/>
  <c r="AF50" i="18"/>
  <c r="BM50" i="18"/>
  <c r="AX50" i="18"/>
  <c r="CG50" i="18"/>
  <c r="CC50" i="18"/>
  <c r="BQ50" i="18"/>
  <c r="BI50" i="18"/>
  <c r="BE50" i="18"/>
  <c r="CP50" i="18"/>
  <c r="AS50" i="18"/>
  <c r="AK50" i="18"/>
  <c r="AG50" i="18"/>
  <c r="CF50" i="18"/>
  <c r="CN50" i="18"/>
  <c r="CK50" i="18"/>
  <c r="BJ50" i="18"/>
  <c r="CS50" i="18"/>
  <c r="CO50" i="18"/>
  <c r="AL50" i="18"/>
  <c r="BU50" i="18"/>
  <c r="Z50" i="18"/>
  <c r="N50" i="18"/>
  <c r="AM50" i="18"/>
  <c r="CD50" i="18"/>
  <c r="BR50" i="18"/>
  <c r="AG39" i="18"/>
  <c r="U39" i="18"/>
  <c r="AS39" i="18"/>
  <c r="BE39" i="18"/>
  <c r="CC39" i="18"/>
  <c r="CO39" i="18"/>
  <c r="H40" i="18"/>
  <c r="V39" i="18"/>
  <c r="AY39" i="18"/>
  <c r="CR39" i="18"/>
  <c r="BG39" i="18"/>
  <c r="AT39" i="18"/>
  <c r="BZ39" i="18"/>
  <c r="BY39" i="18"/>
  <c r="CH39" i="18"/>
  <c r="CG39" i="18"/>
  <c r="BC39" i="18"/>
  <c r="AV39" i="18"/>
  <c r="CJ39" i="18"/>
  <c r="BN39" i="18"/>
  <c r="BM39" i="18"/>
  <c r="BV39" i="18"/>
  <c r="BU39" i="18"/>
  <c r="AE39" i="18"/>
  <c r="AJ39" i="18"/>
  <c r="BL39" i="18"/>
  <c r="BB39" i="18"/>
  <c r="BA39" i="18"/>
  <c r="BJ39" i="18"/>
  <c r="BI39" i="18"/>
  <c r="CV39" i="18"/>
  <c r="X39" i="18"/>
  <c r="AN39" i="18"/>
  <c r="AP39" i="18"/>
  <c r="AO39" i="18"/>
  <c r="AX39" i="18"/>
  <c r="AW39" i="18"/>
  <c r="BX39" i="18"/>
  <c r="P39" i="18"/>
  <c r="AD39" i="18"/>
  <c r="AC39" i="18"/>
  <c r="AL39" i="18"/>
  <c r="AK39" i="18"/>
  <c r="AZ39" i="18"/>
  <c r="BK39" i="18"/>
  <c r="Z39" i="18"/>
  <c r="CN39" i="18"/>
  <c r="N39" i="18"/>
  <c r="M39" i="18"/>
  <c r="BW39" i="18"/>
  <c r="BD39" i="18"/>
  <c r="CE39" i="18"/>
  <c r="CB39" i="18"/>
  <c r="BF39" i="18"/>
  <c r="AF39" i="18"/>
  <c r="AA39" i="18"/>
  <c r="CF39" i="18"/>
  <c r="AU39" i="18"/>
  <c r="T39" i="18"/>
  <c r="O39" i="18"/>
  <c r="S39" i="18"/>
  <c r="AI39" i="18"/>
  <c r="CL39" i="18"/>
  <c r="CW39" i="18"/>
  <c r="AR39" i="18"/>
  <c r="CP39" i="18"/>
  <c r="R39" i="18"/>
  <c r="Q39" i="18"/>
  <c r="Y39" i="18"/>
  <c r="AB39" i="18"/>
  <c r="CQ39" i="18"/>
  <c r="CD39" i="18"/>
  <c r="CU39" i="18"/>
  <c r="CI39" i="18"/>
  <c r="AM39" i="18"/>
  <c r="CM39" i="18"/>
  <c r="BS39" i="18"/>
  <c r="AQ39" i="18"/>
  <c r="AH39" i="18"/>
  <c r="BT39" i="18"/>
  <c r="CK39" i="18"/>
  <c r="CT39" i="18"/>
  <c r="CS39" i="18"/>
  <c r="CA39" i="18"/>
  <c r="BH39" i="18"/>
  <c r="W39" i="18"/>
  <c r="G35" i="18"/>
  <c r="H34" i="18"/>
  <c r="Q33" i="18"/>
  <c r="AC33" i="18"/>
  <c r="AO33" i="18"/>
  <c r="BA33" i="18"/>
  <c r="AZ33" i="18"/>
  <c r="AE33" i="18"/>
  <c r="AQ33" i="18"/>
  <c r="S33" i="18"/>
  <c r="U33" i="18"/>
  <c r="AG33" i="18"/>
  <c r="AS33" i="18"/>
  <c r="AB33" i="18"/>
  <c r="Z33" i="18"/>
  <c r="AA33" i="18"/>
  <c r="P33" i="18"/>
  <c r="N33" i="18"/>
  <c r="AX33" i="18"/>
  <c r="O33" i="18"/>
  <c r="AL33" i="18"/>
  <c r="AY33" i="18"/>
  <c r="AM33" i="18"/>
  <c r="AN33" i="18"/>
  <c r="R33" i="18"/>
  <c r="AH33" i="18"/>
  <c r="AW33" i="18"/>
  <c r="V33" i="18"/>
  <c r="M33" i="18"/>
  <c r="AF33" i="18"/>
  <c r="AP33" i="18"/>
  <c r="AK33" i="18"/>
  <c r="AV33" i="18"/>
  <c r="AJ33" i="18"/>
  <c r="Y33" i="18"/>
  <c r="AR33" i="18"/>
  <c r="T33" i="18"/>
  <c r="X33" i="18"/>
  <c r="AU33" i="18"/>
  <c r="AD33" i="18"/>
  <c r="AI33" i="18"/>
  <c r="W33" i="18"/>
  <c r="AT33" i="18"/>
  <c r="Q18" i="18"/>
  <c r="AC18" i="18"/>
  <c r="AO18" i="18"/>
  <c r="BA18" i="18"/>
  <c r="AN18" i="18"/>
  <c r="R18" i="18"/>
  <c r="AD18" i="18"/>
  <c r="AP18" i="18"/>
  <c r="AV18" i="18"/>
  <c r="AU18" i="18"/>
  <c r="AX18" i="18"/>
  <c r="AA18" i="18"/>
  <c r="AF18" i="18"/>
  <c r="AR18" i="18"/>
  <c r="AI18" i="18"/>
  <c r="AK18" i="18"/>
  <c r="N18" i="18"/>
  <c r="O18" i="18"/>
  <c r="W18" i="18"/>
  <c r="AJ18" i="18"/>
  <c r="M18" i="18"/>
  <c r="AW18" i="18"/>
  <c r="Z18" i="18"/>
  <c r="AY18" i="18"/>
  <c r="P18" i="18"/>
  <c r="AZ18" i="18"/>
  <c r="X18" i="18"/>
  <c r="Y18" i="18"/>
  <c r="AL18" i="18"/>
  <c r="AM18" i="18"/>
  <c r="AB18" i="18"/>
  <c r="AH18" i="18"/>
  <c r="AG18" i="18"/>
  <c r="AE18" i="18"/>
  <c r="T18" i="18"/>
  <c r="S18" i="18"/>
  <c r="V18" i="18"/>
  <c r="U18" i="18"/>
  <c r="AT18" i="18"/>
  <c r="AQ18" i="18"/>
  <c r="AS18" i="18"/>
  <c r="G20" i="18"/>
  <c r="H19" i="18"/>
  <c r="M13" i="18"/>
  <c r="Y13" i="18"/>
  <c r="AK13" i="18"/>
  <c r="AW13" i="18"/>
  <c r="N13" i="18"/>
  <c r="Q13" i="18"/>
  <c r="AZ13" i="18"/>
  <c r="AX13" i="18"/>
  <c r="X13" i="18"/>
  <c r="AJ13" i="18"/>
  <c r="AN13" i="18"/>
  <c r="AL13" i="18"/>
  <c r="AR13" i="18"/>
  <c r="T13" i="18"/>
  <c r="AY13" i="18"/>
  <c r="O13" i="18"/>
  <c r="AU13" i="18"/>
  <c r="W13" i="18"/>
  <c r="AB13" i="18"/>
  <c r="Z13" i="18"/>
  <c r="U13" i="18"/>
  <c r="AI13" i="18"/>
  <c r="AH13" i="18"/>
  <c r="AS13" i="18"/>
  <c r="AD13" i="18"/>
  <c r="AQ13" i="18"/>
  <c r="BA13" i="18"/>
  <c r="AM13" i="18"/>
  <c r="AT13" i="18"/>
  <c r="V13" i="18"/>
  <c r="P13" i="18"/>
  <c r="AP13" i="18"/>
  <c r="AG13" i="18"/>
  <c r="AV13" i="18"/>
  <c r="AF13" i="18"/>
  <c r="AE13" i="18"/>
  <c r="S13" i="18"/>
  <c r="AO13" i="18"/>
  <c r="AA13" i="18"/>
  <c r="AC13" i="18"/>
  <c r="R13" i="18"/>
  <c r="G15" i="18"/>
  <c r="H14" i="18"/>
  <c r="AM3" i="18"/>
  <c r="Z3" i="18"/>
  <c r="AV3" i="18"/>
  <c r="AR3" i="18"/>
  <c r="AC3" i="18"/>
  <c r="AY3" i="18"/>
  <c r="AJ3" i="18"/>
  <c r="AF3" i="18"/>
  <c r="Q3" i="18"/>
  <c r="AA3" i="18"/>
  <c r="X3" i="18"/>
  <c r="T3" i="18"/>
  <c r="AZ3" i="18"/>
  <c r="O3" i="18"/>
  <c r="AQ3" i="18"/>
  <c r="AN3" i="18"/>
  <c r="AU3" i="18"/>
  <c r="AI3" i="18"/>
  <c r="AE3" i="18"/>
  <c r="AB3" i="18"/>
  <c r="AX3" i="18"/>
  <c r="W3" i="18"/>
  <c r="S3" i="18"/>
  <c r="P3" i="18"/>
  <c r="AL3" i="18"/>
  <c r="AT3" i="18"/>
  <c r="M3" i="18"/>
  <c r="AH3" i="18"/>
  <c r="AP3" i="18"/>
  <c r="AK3" i="18"/>
  <c r="U3" i="18"/>
  <c r="N3" i="18"/>
  <c r="AS3" i="18"/>
  <c r="Y3" i="18"/>
  <c r="BA3" i="18"/>
  <c r="V3" i="18"/>
  <c r="R3" i="18"/>
  <c r="AG3" i="18"/>
  <c r="AO3" i="18"/>
  <c r="AW3" i="18"/>
  <c r="AD3" i="18"/>
  <c r="H4" i="18"/>
  <c r="G5" i="18"/>
  <c r="W2" i="16"/>
  <c r="N13" i="15"/>
  <c r="O13" i="15"/>
  <c r="S2" i="14"/>
  <c r="AC63" i="15" l="1"/>
  <c r="AC71" i="15"/>
  <c r="AC55" i="15"/>
  <c r="AC47" i="15"/>
  <c r="AC31" i="15"/>
  <c r="AC15" i="15"/>
  <c r="AC39" i="15"/>
  <c r="AC23" i="15"/>
  <c r="AC7" i="15"/>
  <c r="AD2" i="15"/>
  <c r="AC45" i="15"/>
  <c r="W63" i="16"/>
  <c r="W7" i="16"/>
  <c r="AS61" i="18"/>
  <c r="AB61" i="18"/>
  <c r="CR61" i="18"/>
  <c r="BE61" i="18"/>
  <c r="P61" i="18"/>
  <c r="CO61" i="18"/>
  <c r="V61" i="18"/>
  <c r="BL61" i="18"/>
  <c r="AX61" i="18"/>
  <c r="AJ61" i="18"/>
  <c r="Q61" i="18"/>
  <c r="AE61" i="18"/>
  <c r="BQ61" i="18"/>
  <c r="BZ61" i="18"/>
  <c r="CP61" i="18"/>
  <c r="BA61" i="18"/>
  <c r="AD61" i="18"/>
  <c r="CB61" i="18"/>
  <c r="BJ61" i="18"/>
  <c r="AR61" i="18"/>
  <c r="W61" i="18"/>
  <c r="Z61" i="18"/>
  <c r="BH61" i="18"/>
  <c r="AH61" i="18"/>
  <c r="AU61" i="18"/>
  <c r="AO61" i="18"/>
  <c r="CN61" i="18"/>
  <c r="CE61" i="18"/>
  <c r="CJ61" i="18"/>
  <c r="BY61" i="18"/>
  <c r="CA61" i="18"/>
  <c r="AK61" i="18"/>
  <c r="M61" i="18"/>
  <c r="BR61" i="18"/>
  <c r="AF61" i="18"/>
  <c r="CI61" i="18"/>
  <c r="BV61" i="18"/>
  <c r="BX61" i="18"/>
  <c r="AI61" i="18"/>
  <c r="BU61" i="18"/>
  <c r="U61" i="18"/>
  <c r="BP61" i="18"/>
  <c r="AY61" i="18"/>
  <c r="BT61" i="18"/>
  <c r="CW61" i="18"/>
  <c r="BD61" i="18"/>
  <c r="CV61" i="18"/>
  <c r="BN61" i="18"/>
  <c r="BW61" i="18"/>
  <c r="AT61" i="18"/>
  <c r="AQ61" i="18"/>
  <c r="CM61" i="18"/>
  <c r="CG61" i="18"/>
  <c r="N61" i="18"/>
  <c r="AA61" i="18"/>
  <c r="AZ61" i="18"/>
  <c r="BS61" i="18"/>
  <c r="Y61" i="18"/>
  <c r="BG61" i="18"/>
  <c r="CK61" i="18"/>
  <c r="S61" i="18"/>
  <c r="CC61" i="18"/>
  <c r="AV61" i="18"/>
  <c r="X61" i="18"/>
  <c r="CS61" i="18"/>
  <c r="AP61" i="18"/>
  <c r="BO61" i="18"/>
  <c r="BC61" i="18"/>
  <c r="CT61" i="18"/>
  <c r="CH61" i="18"/>
  <c r="CU61" i="18"/>
  <c r="CF61" i="18"/>
  <c r="T61" i="18"/>
  <c r="R61" i="18"/>
  <c r="BB61" i="18"/>
  <c r="AL61" i="18"/>
  <c r="AW61" i="18"/>
  <c r="CL61" i="18"/>
  <c r="BK61" i="18"/>
  <c r="AC61" i="18"/>
  <c r="BM61" i="18"/>
  <c r="AN61" i="18"/>
  <c r="O61" i="18"/>
  <c r="CD61" i="18"/>
  <c r="AM61" i="18"/>
  <c r="CH56" i="18"/>
  <c r="AZ56" i="18"/>
  <c r="AG56" i="18"/>
  <c r="CF56" i="18"/>
  <c r="AV56" i="18"/>
  <c r="BT56" i="18"/>
  <c r="BG56" i="18"/>
  <c r="CT56" i="18"/>
  <c r="BK56" i="18"/>
  <c r="AT56" i="18"/>
  <c r="AC56" i="18"/>
  <c r="AJ56" i="18"/>
  <c r="Q56" i="18"/>
  <c r="AH56" i="18"/>
  <c r="AO56" i="18"/>
  <c r="BX56" i="18"/>
  <c r="AA56" i="18"/>
  <c r="CE56" i="18"/>
  <c r="T56" i="18"/>
  <c r="BS56" i="18"/>
  <c r="V56" i="18"/>
  <c r="BN56" i="18"/>
  <c r="BL56" i="18"/>
  <c r="CJ56" i="18"/>
  <c r="AK56" i="18"/>
  <c r="BP56" i="18"/>
  <c r="BH56" i="18"/>
  <c r="N56" i="18"/>
  <c r="AS71" i="18"/>
  <c r="AM71" i="18"/>
  <c r="AS25" i="18"/>
  <c r="BY25" i="18"/>
  <c r="CU56" i="18"/>
  <c r="BD56" i="18"/>
  <c r="R56" i="18"/>
  <c r="Y25" i="18"/>
  <c r="M25" i="18"/>
  <c r="CR25" i="18"/>
  <c r="AZ25" i="18"/>
  <c r="BR25" i="18"/>
  <c r="AK25" i="18"/>
  <c r="CM25" i="18"/>
  <c r="BI25" i="18"/>
  <c r="BT25" i="18"/>
  <c r="BL25" i="18"/>
  <c r="AA25" i="18"/>
  <c r="U25" i="18"/>
  <c r="BB56" i="18"/>
  <c r="O56" i="18"/>
  <c r="CK56" i="18"/>
  <c r="AY56" i="18"/>
  <c r="Z56" i="18"/>
  <c r="CR56" i="18"/>
  <c r="BC56" i="18"/>
  <c r="CD56" i="18"/>
  <c r="M56" i="18"/>
  <c r="P56" i="18"/>
  <c r="CN56" i="18"/>
  <c r="BA56" i="18"/>
  <c r="BW56" i="18"/>
  <c r="CS56" i="18"/>
  <c r="CB56" i="18"/>
  <c r="U56" i="18"/>
  <c r="CW56" i="18"/>
  <c r="S56" i="18"/>
  <c r="BO56" i="18"/>
  <c r="AU56" i="18"/>
  <c r="CA56" i="18"/>
  <c r="AF56" i="18"/>
  <c r="BY56" i="18"/>
  <c r="AR56" i="18"/>
  <c r="CI56" i="18"/>
  <c r="AE56" i="18"/>
  <c r="AL56" i="18"/>
  <c r="AW56" i="18"/>
  <c r="AM56" i="18"/>
  <c r="X56" i="18"/>
  <c r="W56" i="18"/>
  <c r="BZ56" i="18"/>
  <c r="AQ56" i="18"/>
  <c r="CC56" i="18"/>
  <c r="BR56" i="18"/>
  <c r="CQ56" i="18"/>
  <c r="AP56" i="18"/>
  <c r="AX56" i="18"/>
  <c r="CP56" i="18"/>
  <c r="BV56" i="18"/>
  <c r="AS56" i="18"/>
  <c r="BU56" i="18"/>
  <c r="CM56" i="18"/>
  <c r="BQ56" i="18"/>
  <c r="BF56" i="18"/>
  <c r="BI56" i="18"/>
  <c r="BM56" i="18"/>
  <c r="AB56" i="18"/>
  <c r="Y56" i="18"/>
  <c r="CG56" i="18"/>
  <c r="AN56" i="18"/>
  <c r="CO56" i="18"/>
  <c r="CL56" i="18"/>
  <c r="AI56" i="18"/>
  <c r="BJ56" i="18"/>
  <c r="AD56" i="18"/>
  <c r="CV56" i="18"/>
  <c r="BE56" i="18"/>
  <c r="AA71" i="18"/>
  <c r="AP71" i="18"/>
  <c r="BO71" i="18"/>
  <c r="BM25" i="18"/>
  <c r="AF25" i="18"/>
  <c r="BK25" i="18"/>
  <c r="W25" i="18"/>
  <c r="N25" i="18"/>
  <c r="Q25" i="18"/>
  <c r="AW25" i="18"/>
  <c r="AU25" i="18"/>
  <c r="BN25" i="18"/>
  <c r="T25" i="18"/>
  <c r="AP25" i="18"/>
  <c r="BW25" i="18"/>
  <c r="BF25" i="18"/>
  <c r="AV25" i="18"/>
  <c r="CI25" i="18"/>
  <c r="AJ25" i="18"/>
  <c r="AN25" i="18"/>
  <c r="CF25" i="18"/>
  <c r="AH25" i="18"/>
  <c r="S25" i="18"/>
  <c r="BO25" i="18"/>
  <c r="BP25" i="18"/>
  <c r="CW25" i="18"/>
  <c r="BH25" i="18"/>
  <c r="BE25" i="18"/>
  <c r="CK25" i="18"/>
  <c r="AG25" i="18"/>
  <c r="AY25" i="18"/>
  <c r="BP71" i="18"/>
  <c r="S71" i="18"/>
  <c r="CO71" i="18"/>
  <c r="W71" i="18"/>
  <c r="CR71" i="18"/>
  <c r="BG71" i="18"/>
  <c r="R71" i="18"/>
  <c r="CE71" i="18"/>
  <c r="BC71" i="18"/>
  <c r="CS71" i="18"/>
  <c r="CP71" i="18"/>
  <c r="M71" i="18"/>
  <c r="CU71" i="18"/>
  <c r="AO71" i="18"/>
  <c r="BI71" i="18"/>
  <c r="AZ71" i="18"/>
  <c r="AR71" i="18"/>
  <c r="BX71" i="18"/>
  <c r="BW71" i="18"/>
  <c r="BM71" i="18"/>
  <c r="AD71" i="18"/>
  <c r="BB71" i="18"/>
  <c r="CA71" i="18"/>
  <c r="AF71" i="18"/>
  <c r="BJ71" i="18"/>
  <c r="CB71" i="18"/>
  <c r="AT71" i="18"/>
  <c r="AJ71" i="18"/>
  <c r="AN71" i="18"/>
  <c r="BK71" i="18"/>
  <c r="AI71" i="18"/>
  <c r="BF71" i="18"/>
  <c r="AU71" i="18"/>
  <c r="O71" i="18"/>
  <c r="AX71" i="18"/>
  <c r="X71" i="18"/>
  <c r="AW71" i="18"/>
  <c r="N71" i="18"/>
  <c r="BN71" i="18"/>
  <c r="BD71" i="18"/>
  <c r="BQ71" i="18"/>
  <c r="Z71" i="18"/>
  <c r="CQ71" i="18"/>
  <c r="AK71" i="18"/>
  <c r="T71" i="18"/>
  <c r="CK71" i="18"/>
  <c r="CN71" i="18"/>
  <c r="CV71" i="18"/>
  <c r="Y71" i="18"/>
  <c r="BZ71" i="18"/>
  <c r="CT71" i="18"/>
  <c r="BA71" i="18"/>
  <c r="U71" i="18"/>
  <c r="BH71" i="18"/>
  <c r="BL71" i="18"/>
  <c r="BU71" i="18"/>
  <c r="BV71" i="18"/>
  <c r="CH71" i="18"/>
  <c r="AY71" i="18"/>
  <c r="AL71" i="18"/>
  <c r="CC71" i="18"/>
  <c r="BT71" i="18"/>
  <c r="BS71" i="18"/>
  <c r="CI71" i="18"/>
  <c r="AC71" i="18"/>
  <c r="BY71" i="18"/>
  <c r="V71" i="18"/>
  <c r="AH71" i="18"/>
  <c r="BE71" i="18"/>
  <c r="AQ71" i="18"/>
  <c r="CD71" i="18"/>
  <c r="CW71" i="18"/>
  <c r="CG71" i="18"/>
  <c r="CL71" i="18"/>
  <c r="AE71" i="18"/>
  <c r="BR71" i="18"/>
  <c r="AG71" i="18"/>
  <c r="AB71" i="18"/>
  <c r="CJ71" i="18"/>
  <c r="Q71" i="18"/>
  <c r="CM71" i="18"/>
  <c r="CF71" i="18"/>
  <c r="P71" i="18"/>
  <c r="AV71" i="18"/>
  <c r="BS25" i="18"/>
  <c r="BX25" i="18"/>
  <c r="AR25" i="18"/>
  <c r="V25" i="18"/>
  <c r="AL25" i="18"/>
  <c r="CJ25" i="18"/>
  <c r="CD25" i="18"/>
  <c r="AD25" i="18"/>
  <c r="BA25" i="18"/>
  <c r="AC25" i="18"/>
  <c r="P25" i="18"/>
  <c r="O25" i="18"/>
  <c r="CG25" i="18"/>
  <c r="CC25" i="18"/>
  <c r="R25" i="18"/>
  <c r="AT25" i="18"/>
  <c r="Z25" i="18"/>
  <c r="CV25" i="18"/>
  <c r="CT25" i="18"/>
  <c r="X25" i="18"/>
  <c r="BQ25" i="18"/>
  <c r="CA25" i="18"/>
  <c r="CS25" i="18"/>
  <c r="AO25" i="18"/>
  <c r="CU25" i="18"/>
  <c r="CP25" i="18"/>
  <c r="CL25" i="18"/>
  <c r="BJ25" i="18"/>
  <c r="BU25" i="18"/>
  <c r="CO25" i="18"/>
  <c r="AM25" i="18"/>
  <c r="CQ25" i="18"/>
  <c r="BZ25" i="18"/>
  <c r="CH25" i="18"/>
  <c r="AI25" i="18"/>
  <c r="BD25" i="18"/>
  <c r="CB25" i="18"/>
  <c r="CN25" i="18"/>
  <c r="BG25" i="18"/>
  <c r="AQ25" i="18"/>
  <c r="AX25" i="18"/>
  <c r="AB25" i="18"/>
  <c r="BB25" i="18"/>
  <c r="BV25" i="18"/>
  <c r="CE25" i="18"/>
  <c r="BC25" i="18"/>
  <c r="AE25" i="18"/>
  <c r="P65" i="18"/>
  <c r="CM65" i="18"/>
  <c r="BA65" i="18"/>
  <c r="CJ65" i="18"/>
  <c r="AG65" i="18"/>
  <c r="CD65" i="18"/>
  <c r="BJ65" i="18"/>
  <c r="X65" i="18"/>
  <c r="AA65" i="18"/>
  <c r="BC65" i="18"/>
  <c r="Q65" i="18"/>
  <c r="AZ65" i="18"/>
  <c r="AS65" i="18"/>
  <c r="CP65" i="18"/>
  <c r="CT65" i="18"/>
  <c r="AJ65" i="18"/>
  <c r="AY65" i="18"/>
  <c r="BX65" i="18"/>
  <c r="S65" i="18"/>
  <c r="BE65" i="18"/>
  <c r="M65" i="18"/>
  <c r="AM65" i="18"/>
  <c r="AV65" i="18"/>
  <c r="BW65" i="18"/>
  <c r="BQ65" i="18"/>
  <c r="Y65" i="18"/>
  <c r="BK65" i="18"/>
  <c r="BH65" i="18"/>
  <c r="CU65" i="18"/>
  <c r="AP65" i="18"/>
  <c r="T65" i="18"/>
  <c r="CC65" i="18"/>
  <c r="AK65" i="18"/>
  <c r="CI65" i="18"/>
  <c r="BT65" i="18"/>
  <c r="AF65" i="18"/>
  <c r="CO65" i="18"/>
  <c r="AW65" i="18"/>
  <c r="W65" i="18"/>
  <c r="CF65" i="18"/>
  <c r="BN65" i="18"/>
  <c r="CL65" i="18"/>
  <c r="AR65" i="18"/>
  <c r="H66" i="18"/>
  <c r="BI65" i="18"/>
  <c r="AI65" i="18"/>
  <c r="CR65" i="18"/>
  <c r="BM65" i="18"/>
  <c r="BB65" i="18"/>
  <c r="BD65" i="18"/>
  <c r="V65" i="18"/>
  <c r="BU65" i="18"/>
  <c r="AU65" i="18"/>
  <c r="Z65" i="18"/>
  <c r="AO65" i="18"/>
  <c r="R65" i="18"/>
  <c r="BP65" i="18"/>
  <c r="AH65" i="18"/>
  <c r="CG65" i="18"/>
  <c r="BG65" i="18"/>
  <c r="AX65" i="18"/>
  <c r="N65" i="18"/>
  <c r="CV65" i="18"/>
  <c r="CB65" i="18"/>
  <c r="AT65" i="18"/>
  <c r="CS65" i="18"/>
  <c r="BS65" i="18"/>
  <c r="BV65" i="18"/>
  <c r="CN65" i="18"/>
  <c r="CE65" i="18"/>
  <c r="BO65" i="18"/>
  <c r="BL65" i="18"/>
  <c r="BF65" i="18"/>
  <c r="CH65" i="18"/>
  <c r="CK65" i="18"/>
  <c r="U65" i="18"/>
  <c r="BR65" i="18"/>
  <c r="AL65" i="18"/>
  <c r="CQ65" i="18"/>
  <c r="O65" i="18"/>
  <c r="CW65" i="18"/>
  <c r="AQ65" i="18"/>
  <c r="AN65" i="18"/>
  <c r="BY65" i="18"/>
  <c r="BZ65" i="18"/>
  <c r="CA65" i="18"/>
  <c r="W10" i="18"/>
  <c r="U10" i="18"/>
  <c r="Q10" i="18"/>
  <c r="X10" i="18"/>
  <c r="T10" i="18"/>
  <c r="R10" i="18"/>
  <c r="N10" i="18"/>
  <c r="V10" i="18"/>
  <c r="M10" i="18"/>
  <c r="Z10" i="18"/>
  <c r="Y10" i="18"/>
  <c r="S10" i="18"/>
  <c r="O10" i="18"/>
  <c r="AA10" i="18"/>
  <c r="P10" i="18"/>
  <c r="P44" i="18"/>
  <c r="AE44" i="18"/>
  <c r="CL44" i="18"/>
  <c r="AA44" i="18"/>
  <c r="AX44" i="18"/>
  <c r="O44" i="18"/>
  <c r="AD44" i="18"/>
  <c r="AR44" i="18"/>
  <c r="BC44" i="18"/>
  <c r="BV44" i="18"/>
  <c r="AQ44" i="18"/>
  <c r="N44" i="18"/>
  <c r="S44" i="18"/>
  <c r="BZ44" i="18"/>
  <c r="CW44" i="18"/>
  <c r="AL44" i="18"/>
  <c r="CJ44" i="18"/>
  <c r="BX44" i="18"/>
  <c r="CB44" i="18"/>
  <c r="BK44" i="18"/>
  <c r="AB44" i="18"/>
  <c r="BN44" i="18"/>
  <c r="CK44" i="18"/>
  <c r="Z44" i="18"/>
  <c r="BA44" i="18"/>
  <c r="U44" i="18"/>
  <c r="R44" i="18"/>
  <c r="AO44" i="18"/>
  <c r="CU44" i="18"/>
  <c r="BD44" i="18"/>
  <c r="AY44" i="18"/>
  <c r="CG44" i="18"/>
  <c r="BI44" i="18"/>
  <c r="AW44" i="18"/>
  <c r="AK44" i="18"/>
  <c r="M44" i="18"/>
  <c r="CQ44" i="18"/>
  <c r="H45" i="18"/>
  <c r="CC44" i="18"/>
  <c r="BE44" i="18"/>
  <c r="CS44" i="18"/>
  <c r="Y44" i="18"/>
  <c r="CP44" i="18"/>
  <c r="CO44" i="18"/>
  <c r="AS44" i="18"/>
  <c r="CR44" i="18"/>
  <c r="CF44" i="18"/>
  <c r="BH44" i="18"/>
  <c r="AV44" i="18"/>
  <c r="AJ44" i="18"/>
  <c r="X44" i="18"/>
  <c r="AI44" i="18"/>
  <c r="BG44" i="18"/>
  <c r="W44" i="18"/>
  <c r="CD44" i="18"/>
  <c r="BF44" i="18"/>
  <c r="AT44" i="18"/>
  <c r="AH44" i="18"/>
  <c r="CE44" i="18"/>
  <c r="AU44" i="18"/>
  <c r="V44" i="18"/>
  <c r="AG44" i="18"/>
  <c r="BU44" i="18"/>
  <c r="BT44" i="18"/>
  <c r="BY44" i="18"/>
  <c r="AP44" i="18"/>
  <c r="BM44" i="18"/>
  <c r="CV44" i="18"/>
  <c r="BO44" i="18"/>
  <c r="AN44" i="18"/>
  <c r="CH44" i="18"/>
  <c r="T44" i="18"/>
  <c r="CM44" i="18"/>
  <c r="AC44" i="18"/>
  <c r="BL44" i="18"/>
  <c r="CI44" i="18"/>
  <c r="AF44" i="18"/>
  <c r="CA44" i="18"/>
  <c r="CN44" i="18"/>
  <c r="Q44" i="18"/>
  <c r="AZ44" i="18"/>
  <c r="BW44" i="18"/>
  <c r="CT44" i="18"/>
  <c r="BJ44" i="18"/>
  <c r="AM44" i="18"/>
  <c r="BB44" i="18"/>
  <c r="BZ29" i="18"/>
  <c r="BW29" i="18"/>
  <c r="CF29" i="18"/>
  <c r="BS29" i="18"/>
  <c r="W29" i="18"/>
  <c r="V29" i="18"/>
  <c r="CC29" i="18"/>
  <c r="CP29" i="18"/>
  <c r="CR29" i="18"/>
  <c r="AI29" i="18"/>
  <c r="BU29" i="18"/>
  <c r="CH29" i="18"/>
  <c r="AL29" i="18"/>
  <c r="O29" i="18"/>
  <c r="BR29" i="18"/>
  <c r="AH29" i="18"/>
  <c r="CQ29" i="18"/>
  <c r="BT29" i="18"/>
  <c r="AJ29" i="18"/>
  <c r="BQ29" i="18"/>
  <c r="AG29" i="18"/>
  <c r="M29" i="18"/>
  <c r="AX29" i="18"/>
  <c r="CK29" i="18"/>
  <c r="CG29" i="18"/>
  <c r="X29" i="18"/>
  <c r="AU29" i="18"/>
  <c r="CD29" i="18"/>
  <c r="H30" i="18"/>
  <c r="Y29" i="18"/>
  <c r="BI29" i="18"/>
  <c r="AV29" i="18"/>
  <c r="CE29" i="18"/>
  <c r="AW29" i="18"/>
  <c r="CT29" i="18"/>
  <c r="BV29" i="18"/>
  <c r="Z29" i="18"/>
  <c r="T29" i="18"/>
  <c r="BH29" i="18"/>
  <c r="AT29" i="18"/>
  <c r="AS29" i="18"/>
  <c r="CS29" i="18"/>
  <c r="BG29" i="18"/>
  <c r="CO29" i="18"/>
  <c r="AK29" i="18"/>
  <c r="BJ29" i="18"/>
  <c r="N29" i="18"/>
  <c r="AM29" i="18"/>
  <c r="BK29" i="18"/>
  <c r="CU29" i="18"/>
  <c r="AO29" i="18"/>
  <c r="BY29" i="18"/>
  <c r="CN29" i="18"/>
  <c r="U29" i="18"/>
  <c r="P29" i="18"/>
  <c r="AN29" i="18"/>
  <c r="BL29" i="18"/>
  <c r="CJ29" i="18"/>
  <c r="BA29" i="18"/>
  <c r="AD29" i="18"/>
  <c r="BB29" i="18"/>
  <c r="AQ29" i="18"/>
  <c r="CA29" i="18"/>
  <c r="AF29" i="18"/>
  <c r="AA29" i="18"/>
  <c r="AY29" i="18"/>
  <c r="CI29" i="18"/>
  <c r="Q29" i="18"/>
  <c r="AC29" i="18"/>
  <c r="BM29" i="18"/>
  <c r="CW29" i="18"/>
  <c r="BP29" i="18"/>
  <c r="AB29" i="18"/>
  <c r="AZ29" i="18"/>
  <c r="BX29" i="18"/>
  <c r="CV29" i="18"/>
  <c r="R29" i="18"/>
  <c r="AP29" i="18"/>
  <c r="BN29" i="18"/>
  <c r="CL29" i="18"/>
  <c r="S29" i="18"/>
  <c r="AE29" i="18"/>
  <c r="BO29" i="18"/>
  <c r="CM29" i="18"/>
  <c r="AR29" i="18"/>
  <c r="CB29" i="18"/>
  <c r="AD40" i="18"/>
  <c r="AN40" i="18"/>
  <c r="AY40" i="18"/>
  <c r="BB40" i="18"/>
  <c r="BL40" i="18"/>
  <c r="BX40" i="18"/>
  <c r="CB40" i="18"/>
  <c r="CG40" i="18"/>
  <c r="CR40" i="18"/>
  <c r="AG40" i="18"/>
  <c r="AL40" i="18"/>
  <c r="AO40" i="18"/>
  <c r="AS40" i="18"/>
  <c r="AV40" i="18"/>
  <c r="AX40" i="18"/>
  <c r="BC40" i="18"/>
  <c r="BM40" i="18"/>
  <c r="BP40" i="18"/>
  <c r="BU40" i="18"/>
  <c r="BY40" i="18"/>
  <c r="CE40" i="18"/>
  <c r="CH40" i="18"/>
  <c r="CN40" i="18"/>
  <c r="CQ40" i="18"/>
  <c r="CU40" i="18"/>
  <c r="CV40" i="18"/>
  <c r="AM40" i="18"/>
  <c r="AR40" i="18"/>
  <c r="AW40" i="18"/>
  <c r="BH40" i="18"/>
  <c r="BO40" i="18"/>
  <c r="CA40" i="18"/>
  <c r="CL40" i="18"/>
  <c r="CO40" i="18"/>
  <c r="AB40" i="18"/>
  <c r="AI40" i="18"/>
  <c r="AP40" i="18"/>
  <c r="BF40" i="18"/>
  <c r="BJ40" i="18"/>
  <c r="BR40" i="18"/>
  <c r="BZ40" i="18"/>
  <c r="CC40" i="18"/>
  <c r="CF40" i="18"/>
  <c r="CK40" i="18"/>
  <c r="CT40" i="18"/>
  <c r="AF40" i="18"/>
  <c r="AK40" i="18"/>
  <c r="AU40" i="18"/>
  <c r="BD40" i="18"/>
  <c r="BI40" i="18"/>
  <c r="BT40" i="18"/>
  <c r="BV40" i="18"/>
  <c r="CD40" i="18"/>
  <c r="CM40" i="18"/>
  <c r="CS40" i="18"/>
  <c r="CW40" i="18"/>
  <c r="AE40" i="18"/>
  <c r="AJ40" i="18"/>
  <c r="AQ40" i="18"/>
  <c r="BA40" i="18"/>
  <c r="BG40" i="18"/>
  <c r="BK40" i="18"/>
  <c r="BQ40" i="18"/>
  <c r="BW40" i="18"/>
  <c r="CJ40" i="18"/>
  <c r="AC40" i="18"/>
  <c r="AH40" i="18"/>
  <c r="AT40" i="18"/>
  <c r="AZ40" i="18"/>
  <c r="BE40" i="18"/>
  <c r="BN40" i="18"/>
  <c r="BS40" i="18"/>
  <c r="CI40" i="18"/>
  <c r="CP40" i="18"/>
  <c r="V80" i="18"/>
  <c r="BF80" i="18"/>
  <c r="AG80" i="18"/>
  <c r="AT80" i="18"/>
  <c r="BP80" i="18"/>
  <c r="CN80" i="18"/>
  <c r="CB80" i="18"/>
  <c r="H81" i="18"/>
  <c r="CO80" i="18"/>
  <c r="AR80" i="18"/>
  <c r="CC80" i="18"/>
  <c r="AF80" i="18"/>
  <c r="T80" i="18"/>
  <c r="CW80" i="18"/>
  <c r="AX80" i="18"/>
  <c r="AC80" i="18"/>
  <c r="Z80" i="18"/>
  <c r="AU80" i="18"/>
  <c r="BJ80" i="18"/>
  <c r="AW80" i="18"/>
  <c r="W80" i="18"/>
  <c r="BQ80" i="18"/>
  <c r="CS80" i="18"/>
  <c r="S80" i="18"/>
  <c r="X80" i="18"/>
  <c r="AJ80" i="18"/>
  <c r="AO80" i="18"/>
  <c r="BY80" i="18"/>
  <c r="CI80" i="18"/>
  <c r="BU80" i="18"/>
  <c r="CE80" i="18"/>
  <c r="CM80" i="18"/>
  <c r="CL80" i="18"/>
  <c r="BX80" i="18"/>
  <c r="AK80" i="18"/>
  <c r="AM80" i="18"/>
  <c r="BN80" i="18"/>
  <c r="AD80" i="18"/>
  <c r="BG80" i="18"/>
  <c r="AV80" i="18"/>
  <c r="BR80" i="18"/>
  <c r="AZ80" i="18"/>
  <c r="Y80" i="18"/>
  <c r="BK80" i="18"/>
  <c r="BV80" i="18"/>
  <c r="BZ80" i="18"/>
  <c r="AS80" i="18"/>
  <c r="P80" i="18"/>
  <c r="CP80" i="18"/>
  <c r="BW80" i="18"/>
  <c r="BE80" i="18"/>
  <c r="CJ80" i="18"/>
  <c r="R80" i="18"/>
  <c r="CF80" i="18"/>
  <c r="BO80" i="18"/>
  <c r="BT80" i="18"/>
  <c r="AN80" i="18"/>
  <c r="CR80" i="18"/>
  <c r="CK80" i="18"/>
  <c r="BL80" i="18"/>
  <c r="CD80" i="18"/>
  <c r="CG80" i="18"/>
  <c r="AA80" i="18"/>
  <c r="AI80" i="18"/>
  <c r="CV80" i="18"/>
  <c r="BH80" i="18"/>
  <c r="CA80" i="18"/>
  <c r="AL80" i="18"/>
  <c r="CQ80" i="18"/>
  <c r="Q80" i="18"/>
  <c r="M80" i="18"/>
  <c r="AY80" i="18"/>
  <c r="O80" i="18"/>
  <c r="AP80" i="18"/>
  <c r="BM80" i="18"/>
  <c r="AB80" i="18"/>
  <c r="CU80" i="18"/>
  <c r="BS80" i="18"/>
  <c r="AE80" i="18"/>
  <c r="AQ80" i="18"/>
  <c r="CT80" i="18"/>
  <c r="BI80" i="18"/>
  <c r="U80" i="18"/>
  <c r="CH80" i="18"/>
  <c r="N80" i="18"/>
  <c r="AH80" i="18"/>
  <c r="CU75" i="18"/>
  <c r="Y75" i="18"/>
  <c r="P75" i="18"/>
  <c r="CM75" i="18"/>
  <c r="V75" i="18"/>
  <c r="BH75" i="18"/>
  <c r="BU75" i="18"/>
  <c r="BP75" i="18"/>
  <c r="AP75" i="18"/>
  <c r="AQ75" i="18"/>
  <c r="CF75" i="18"/>
  <c r="CG75" i="18"/>
  <c r="CJ75" i="18"/>
  <c r="AH75" i="18"/>
  <c r="CQ75" i="18"/>
  <c r="CR75" i="18"/>
  <c r="BA75" i="18"/>
  <c r="BR75" i="18"/>
  <c r="AT75" i="18"/>
  <c r="BN75" i="18"/>
  <c r="N75" i="18"/>
  <c r="BQ75" i="18"/>
  <c r="AI75" i="18"/>
  <c r="CH75" i="18"/>
  <c r="R75" i="18"/>
  <c r="BS75" i="18"/>
  <c r="CB75" i="18"/>
  <c r="BV75" i="18"/>
  <c r="T75" i="18"/>
  <c r="BW75" i="18"/>
  <c r="S75" i="18"/>
  <c r="W75" i="18"/>
  <c r="M75" i="18"/>
  <c r="BC75" i="18"/>
  <c r="AD75" i="18"/>
  <c r="AN75" i="18"/>
  <c r="BO75" i="18"/>
  <c r="CS75" i="18"/>
  <c r="BJ75" i="18"/>
  <c r="CE75" i="18"/>
  <c r="Z75" i="18"/>
  <c r="O75" i="18"/>
  <c r="BB75" i="18"/>
  <c r="AM75" i="18"/>
  <c r="CT75" i="18"/>
  <c r="CL75" i="18"/>
  <c r="BD75" i="18"/>
  <c r="BM75" i="18"/>
  <c r="CN75" i="18"/>
  <c r="CA75" i="18"/>
  <c r="BK75" i="18"/>
  <c r="CO75" i="18"/>
  <c r="AF75" i="18"/>
  <c r="CP75" i="18"/>
  <c r="AV75" i="18"/>
  <c r="BI75" i="18"/>
  <c r="BY75" i="18"/>
  <c r="AS75" i="18"/>
  <c r="AE75" i="18"/>
  <c r="BF75" i="18"/>
  <c r="BZ75" i="18"/>
  <c r="H76" i="18"/>
  <c r="BL75" i="18"/>
  <c r="CK75" i="18"/>
  <c r="AU75" i="18"/>
  <c r="AC75" i="18"/>
  <c r="AA75" i="18"/>
  <c r="CV75" i="18"/>
  <c r="CC75" i="18"/>
  <c r="AK75" i="18"/>
  <c r="BG75" i="18"/>
  <c r="CD75" i="18"/>
  <c r="BT75" i="18"/>
  <c r="CW75" i="18"/>
  <c r="U75" i="18"/>
  <c r="BE75" i="18"/>
  <c r="BX75" i="18"/>
  <c r="AO75" i="18"/>
  <c r="Q75" i="18"/>
  <c r="AR75" i="18"/>
  <c r="AJ75" i="18"/>
  <c r="AL75" i="18"/>
  <c r="CI75" i="18"/>
  <c r="AB75" i="18"/>
  <c r="AG75" i="18"/>
  <c r="X75" i="18"/>
  <c r="BL51" i="18"/>
  <c r="CU51" i="18"/>
  <c r="AD51" i="18"/>
  <c r="CS51" i="18"/>
  <c r="CQ51" i="18"/>
  <c r="AY51" i="18"/>
  <c r="CL51" i="18"/>
  <c r="BX51" i="18"/>
  <c r="P51" i="18"/>
  <c r="CI51" i="18"/>
  <c r="CK51" i="18"/>
  <c r="CG51" i="18"/>
  <c r="BS51" i="18"/>
  <c r="CB51" i="18"/>
  <c r="BK51" i="18"/>
  <c r="BI51" i="18"/>
  <c r="BG51" i="18"/>
  <c r="BD51" i="18"/>
  <c r="AW51" i="18"/>
  <c r="AU51" i="18"/>
  <c r="AQ51" i="18"/>
  <c r="Z51" i="18"/>
  <c r="AF51" i="18"/>
  <c r="AM51" i="18"/>
  <c r="CT51" i="18"/>
  <c r="Y51" i="18"/>
  <c r="S51" i="18"/>
  <c r="BZ51" i="18"/>
  <c r="CM51" i="18"/>
  <c r="BT51" i="18"/>
  <c r="CD51" i="18"/>
  <c r="AP51" i="18"/>
  <c r="AL51" i="18"/>
  <c r="R51" i="18"/>
  <c r="AC51" i="18"/>
  <c r="BF51" i="18"/>
  <c r="CJ51" i="18"/>
  <c r="AE51" i="18"/>
  <c r="CH51" i="18"/>
  <c r="CR51" i="18"/>
  <c r="BU51" i="18"/>
  <c r="AR51" i="18"/>
  <c r="BV51" i="18"/>
  <c r="CF51" i="18"/>
  <c r="CP51" i="18"/>
  <c r="AX51" i="18"/>
  <c r="BP51" i="18"/>
  <c r="X51" i="18"/>
  <c r="BR51" i="18"/>
  <c r="BO51" i="18"/>
  <c r="AH51" i="18"/>
  <c r="BB51" i="18"/>
  <c r="AK51" i="18"/>
  <c r="U51" i="18"/>
  <c r="AV51" i="18"/>
  <c r="AZ51" i="18"/>
  <c r="CE51" i="18"/>
  <c r="BN51" i="18"/>
  <c r="BA51" i="18"/>
  <c r="CV51" i="18"/>
  <c r="W51" i="18"/>
  <c r="AS51" i="18"/>
  <c r="AO51" i="18"/>
  <c r="T51" i="18"/>
  <c r="CO51" i="18"/>
  <c r="AJ51" i="18"/>
  <c r="BH51" i="18"/>
  <c r="N51" i="18"/>
  <c r="AB51" i="18"/>
  <c r="AA51" i="18"/>
  <c r="CC51" i="18"/>
  <c r="BQ51" i="18"/>
  <c r="O51" i="18"/>
  <c r="AT51" i="18"/>
  <c r="BY51" i="18"/>
  <c r="BW51" i="18"/>
  <c r="CN51" i="18"/>
  <c r="V51" i="18"/>
  <c r="BM51" i="18"/>
  <c r="AG51" i="18"/>
  <c r="AN51" i="18"/>
  <c r="M51" i="18"/>
  <c r="BE51" i="18"/>
  <c r="CA51" i="18"/>
  <c r="BJ51" i="18"/>
  <c r="AI51" i="18"/>
  <c r="Q51" i="18"/>
  <c r="BC51" i="18"/>
  <c r="CW51" i="18"/>
  <c r="AA40" i="18"/>
  <c r="R40" i="18"/>
  <c r="X40" i="18"/>
  <c r="S40" i="18"/>
  <c r="U40" i="18"/>
  <c r="V40" i="18"/>
  <c r="M40" i="18"/>
  <c r="T40" i="18"/>
  <c r="N40" i="18"/>
  <c r="Z40" i="18"/>
  <c r="Q40" i="18"/>
  <c r="O40" i="18"/>
  <c r="P40" i="18"/>
  <c r="Y40" i="18"/>
  <c r="W40" i="18"/>
  <c r="H35" i="18"/>
  <c r="AQ34" i="18"/>
  <c r="CK34" i="18"/>
  <c r="CO34" i="18"/>
  <c r="W34" i="18"/>
  <c r="CV34" i="18"/>
  <c r="M34" i="18"/>
  <c r="AL34" i="18"/>
  <c r="AD34" i="18"/>
  <c r="AZ34" i="18"/>
  <c r="AJ34" i="18"/>
  <c r="AK34" i="18"/>
  <c r="BJ34" i="18"/>
  <c r="CA34" i="18"/>
  <c r="AH34" i="18"/>
  <c r="AV34" i="18"/>
  <c r="BV34" i="18"/>
  <c r="BB34" i="18"/>
  <c r="CM34" i="18"/>
  <c r="Q34" i="18"/>
  <c r="AT34" i="18"/>
  <c r="BS34" i="18"/>
  <c r="BH34" i="18"/>
  <c r="BI34" i="18"/>
  <c r="CH34" i="18"/>
  <c r="CE34" i="18"/>
  <c r="BT34" i="18"/>
  <c r="CT34" i="18"/>
  <c r="BZ34" i="18"/>
  <c r="BR34" i="18"/>
  <c r="CF34" i="18"/>
  <c r="BL34" i="18"/>
  <c r="CP34" i="18"/>
  <c r="BA34" i="18"/>
  <c r="CI34" i="18"/>
  <c r="BW34" i="18"/>
  <c r="S34" i="18"/>
  <c r="AB34" i="18"/>
  <c r="BX34" i="18"/>
  <c r="CC34" i="18"/>
  <c r="CJ34" i="18"/>
  <c r="AC34" i="18"/>
  <c r="R34" i="18"/>
  <c r="BC34" i="18"/>
  <c r="AF34" i="18"/>
  <c r="V34" i="18"/>
  <c r="AI34" i="18"/>
  <c r="X34" i="18"/>
  <c r="Y34" i="18"/>
  <c r="AX34" i="18"/>
  <c r="AU34" i="18"/>
  <c r="AP34" i="18"/>
  <c r="P34" i="18"/>
  <c r="BG34" i="18"/>
  <c r="AW34" i="18"/>
  <c r="CG34" i="18"/>
  <c r="AY34" i="18"/>
  <c r="CB34" i="18"/>
  <c r="AO34" i="18"/>
  <c r="N34" i="18"/>
  <c r="AE34" i="18"/>
  <c r="BY34" i="18"/>
  <c r="Z34" i="18"/>
  <c r="BF34" i="18"/>
  <c r="BU34" i="18"/>
  <c r="T34" i="18"/>
  <c r="U34" i="18"/>
  <c r="CQ34" i="18"/>
  <c r="CW34" i="18"/>
  <c r="BD34" i="18"/>
  <c r="AS34" i="18"/>
  <c r="AM34" i="18"/>
  <c r="BE34" i="18"/>
  <c r="BK34" i="18"/>
  <c r="CN34" i="18"/>
  <c r="CU34" i="18"/>
  <c r="CL34" i="18"/>
  <c r="AR34" i="18"/>
  <c r="AG34" i="18"/>
  <c r="CD34" i="18"/>
  <c r="O34" i="18"/>
  <c r="CR34" i="18"/>
  <c r="CS34" i="18"/>
  <c r="AA34" i="18"/>
  <c r="AN34" i="18"/>
  <c r="BQ34" i="18"/>
  <c r="R19" i="18"/>
  <c r="AD19" i="18"/>
  <c r="AP19" i="18"/>
  <c r="BB19" i="18"/>
  <c r="BN19" i="18"/>
  <c r="BZ19" i="18"/>
  <c r="CL19" i="18"/>
  <c r="X19" i="18"/>
  <c r="M19" i="18"/>
  <c r="Z19" i="18"/>
  <c r="AM19" i="18"/>
  <c r="AB19" i="18"/>
  <c r="S19" i="18"/>
  <c r="AQ19" i="18"/>
  <c r="BC19" i="18"/>
  <c r="BO19" i="18"/>
  <c r="CA19" i="18"/>
  <c r="CM19" i="18"/>
  <c r="BV19" i="18"/>
  <c r="O19" i="18"/>
  <c r="P19" i="18"/>
  <c r="CK19" i="18"/>
  <c r="Y19" i="18"/>
  <c r="AL19" i="18"/>
  <c r="BW19" i="18"/>
  <c r="BL19" i="18"/>
  <c r="AC19" i="18"/>
  <c r="U19" i="18"/>
  <c r="AS19" i="18"/>
  <c r="BE19" i="18"/>
  <c r="BQ19" i="18"/>
  <c r="CC19" i="18"/>
  <c r="CO19" i="18"/>
  <c r="H20" i="18"/>
  <c r="BI19" i="18"/>
  <c r="CI19" i="18"/>
  <c r="AV19" i="18"/>
  <c r="BH19" i="18"/>
  <c r="CF19" i="18"/>
  <c r="AK19" i="18"/>
  <c r="CG19" i="18"/>
  <c r="AX19" i="18"/>
  <c r="CH19" i="18"/>
  <c r="AA19" i="18"/>
  <c r="BK19" i="18"/>
  <c r="AZ19" i="18"/>
  <c r="CJ19" i="18"/>
  <c r="Q19" i="18"/>
  <c r="BA19" i="18"/>
  <c r="BY19" i="18"/>
  <c r="AJ19" i="18"/>
  <c r="BT19" i="18"/>
  <c r="CR19" i="18"/>
  <c r="AW19" i="18"/>
  <c r="BU19" i="18"/>
  <c r="CS19" i="18"/>
  <c r="N19" i="18"/>
  <c r="BJ19" i="18"/>
  <c r="CT19" i="18"/>
  <c r="AY19" i="18"/>
  <c r="CU19" i="18"/>
  <c r="AN19" i="18"/>
  <c r="BX19" i="18"/>
  <c r="CV19" i="18"/>
  <c r="AO19" i="18"/>
  <c r="BM19" i="18"/>
  <c r="CW19" i="18"/>
  <c r="T19" i="18"/>
  <c r="CQ19" i="18"/>
  <c r="CP19" i="18"/>
  <c r="CE19" i="18"/>
  <c r="CD19" i="18"/>
  <c r="CN19" i="18"/>
  <c r="BR19" i="18"/>
  <c r="CB19" i="18"/>
  <c r="AI19" i="18"/>
  <c r="AR19" i="18"/>
  <c r="W19" i="18"/>
  <c r="BS19" i="18"/>
  <c r="BG19" i="18"/>
  <c r="BF19" i="18"/>
  <c r="BP19" i="18"/>
  <c r="AU19" i="18"/>
  <c r="AT19" i="18"/>
  <c r="BD19" i="18"/>
  <c r="V19" i="18"/>
  <c r="H15" i="18"/>
  <c r="N14" i="18"/>
  <c r="P14" i="18"/>
  <c r="CR14" i="18"/>
  <c r="AQ14" i="18"/>
  <c r="CN14" i="18"/>
  <c r="M14" i="18"/>
  <c r="BZ14" i="18"/>
  <c r="BH14" i="18"/>
  <c r="CF14" i="18"/>
  <c r="AX14" i="18"/>
  <c r="AN14" i="18"/>
  <c r="BO14" i="18"/>
  <c r="AS14" i="18"/>
  <c r="BI14" i="18"/>
  <c r="Y14" i="18"/>
  <c r="CH14" i="18"/>
  <c r="BQ14" i="18"/>
  <c r="CC14" i="18"/>
  <c r="O14" i="18"/>
  <c r="AO14" i="18"/>
  <c r="CO14" i="18"/>
  <c r="V14" i="18"/>
  <c r="AA14" i="18"/>
  <c r="BX14" i="18"/>
  <c r="BA14" i="18"/>
  <c r="AH14" i="18"/>
  <c r="BV14" i="18"/>
  <c r="AT14" i="18"/>
  <c r="CS14" i="18"/>
  <c r="AM14" i="18"/>
  <c r="CJ14" i="18"/>
  <c r="BM14" i="18"/>
  <c r="T14" i="18"/>
  <c r="CT14" i="18"/>
  <c r="CD14" i="18"/>
  <c r="AY14" i="18"/>
  <c r="BY14" i="18"/>
  <c r="AF14" i="18"/>
  <c r="CP14" i="18"/>
  <c r="Z14" i="18"/>
  <c r="BJ14" i="18"/>
  <c r="BC14" i="18"/>
  <c r="AG14" i="18"/>
  <c r="AK14" i="18"/>
  <c r="CL14" i="18"/>
  <c r="Q14" i="18"/>
  <c r="BE14" i="18"/>
  <c r="AZ14" i="18"/>
  <c r="CA14" i="18"/>
  <c r="CG14" i="18"/>
  <c r="AW14" i="18"/>
  <c r="BL14" i="18"/>
  <c r="CM14" i="18"/>
  <c r="AL14" i="18"/>
  <c r="BU14" i="18"/>
  <c r="R14" i="18"/>
  <c r="BF14" i="18"/>
  <c r="CV14" i="18"/>
  <c r="AI14" i="18"/>
  <c r="AV14" i="18"/>
  <c r="BK14" i="18"/>
  <c r="U14" i="18"/>
  <c r="CK14" i="18"/>
  <c r="AR14" i="18"/>
  <c r="W14" i="18"/>
  <c r="BG14" i="18"/>
  <c r="BW14" i="18"/>
  <c r="BR14" i="18"/>
  <c r="CW14" i="18"/>
  <c r="BD14" i="18"/>
  <c r="AU14" i="18"/>
  <c r="AP14" i="18"/>
  <c r="CE14" i="18"/>
  <c r="CI14" i="18"/>
  <c r="AJ14" i="18"/>
  <c r="S14" i="18"/>
  <c r="BP14" i="18"/>
  <c r="BS14" i="18"/>
  <c r="BB14" i="18"/>
  <c r="X14" i="18"/>
  <c r="CU14" i="18"/>
  <c r="BT14" i="18"/>
  <c r="CB14" i="18"/>
  <c r="CQ14" i="18"/>
  <c r="BN14" i="18"/>
  <c r="H5" i="18"/>
  <c r="BQ4" i="18"/>
  <c r="BC4" i="18"/>
  <c r="AB4" i="18"/>
  <c r="BI4" i="18"/>
  <c r="CI4" i="18"/>
  <c r="AW4" i="18"/>
  <c r="CS4" i="18"/>
  <c r="BL4" i="18"/>
  <c r="AK4" i="18"/>
  <c r="BG4" i="18"/>
  <c r="X4" i="18"/>
  <c r="CR4" i="18"/>
  <c r="BR4" i="18"/>
  <c r="V4" i="18"/>
  <c r="AF4" i="18"/>
  <c r="CP4" i="18"/>
  <c r="CQ4" i="18"/>
  <c r="BP4" i="18"/>
  <c r="BV4" i="18"/>
  <c r="AN4" i="18"/>
  <c r="AP4" i="18"/>
  <c r="CG4" i="18"/>
  <c r="CT4" i="18"/>
  <c r="T4" i="18"/>
  <c r="AI4" i="18"/>
  <c r="BW4" i="18"/>
  <c r="CV4" i="18"/>
  <c r="BM4" i="18"/>
  <c r="CU4" i="18"/>
  <c r="U4" i="18"/>
  <c r="Y4" i="18"/>
  <c r="BB4" i="18"/>
  <c r="BA4" i="18"/>
  <c r="Q4" i="18"/>
  <c r="AD4" i="18"/>
  <c r="BZ4" i="18"/>
  <c r="BF4" i="18"/>
  <c r="BT4" i="18"/>
  <c r="CM4" i="18"/>
  <c r="AS4" i="18"/>
  <c r="AG4" i="18"/>
  <c r="AO4" i="18"/>
  <c r="AU4" i="18"/>
  <c r="BS4" i="18"/>
  <c r="BX4" i="18"/>
  <c r="AV4" i="18"/>
  <c r="CC4" i="18"/>
  <c r="AL4" i="18"/>
  <c r="S4" i="18"/>
  <c r="BD4" i="18"/>
  <c r="BN4" i="18"/>
  <c r="AJ4" i="18"/>
  <c r="CO4" i="18"/>
  <c r="BY4" i="18"/>
  <c r="CD4" i="18"/>
  <c r="AQ4" i="18"/>
  <c r="R4" i="18"/>
  <c r="BU4" i="18"/>
  <c r="AY4" i="18"/>
  <c r="CB4" i="18"/>
  <c r="AC4" i="18"/>
  <c r="Z4" i="18"/>
  <c r="AT4" i="18"/>
  <c r="BJ4" i="18"/>
  <c r="CK4" i="18"/>
  <c r="AR4" i="18"/>
  <c r="CA4" i="18"/>
  <c r="CJ4" i="18"/>
  <c r="AH4" i="18"/>
  <c r="AM4" i="18"/>
  <c r="CH4" i="18"/>
  <c r="CF4" i="18"/>
  <c r="BO4" i="18"/>
  <c r="W4" i="18"/>
  <c r="AX4" i="18"/>
  <c r="CL4" i="18"/>
  <c r="BK4" i="18"/>
  <c r="CN4" i="18"/>
  <c r="CE4" i="18"/>
  <c r="BE4" i="18"/>
  <c r="AA4" i="18"/>
  <c r="AE4" i="18"/>
  <c r="AZ4" i="18"/>
  <c r="CW4" i="18"/>
  <c r="BH4" i="18"/>
  <c r="X2" i="16"/>
  <c r="T2" i="14"/>
  <c r="AD71" i="15" l="1"/>
  <c r="AD63" i="15"/>
  <c r="AD55" i="15"/>
  <c r="AD47" i="15"/>
  <c r="AD39" i="15"/>
  <c r="AD31" i="15"/>
  <c r="AD23" i="15"/>
  <c r="AD7" i="15"/>
  <c r="AD15" i="15"/>
  <c r="AE2" i="15"/>
  <c r="AD45" i="15"/>
  <c r="X63" i="16"/>
  <c r="X7" i="16"/>
  <c r="CW66" i="18"/>
  <c r="BD66" i="18"/>
  <c r="BY66" i="18"/>
  <c r="CJ66" i="18"/>
  <c r="CI66" i="18"/>
  <c r="BC66" i="18"/>
  <c r="CK66" i="18"/>
  <c r="BA66" i="18"/>
  <c r="BO66" i="18"/>
  <c r="AJ66" i="18"/>
  <c r="CM66" i="18"/>
  <c r="BH66" i="18"/>
  <c r="AP66" i="18"/>
  <c r="Z66" i="18"/>
  <c r="W66" i="18"/>
  <c r="AX66" i="18"/>
  <c r="AE66" i="18"/>
  <c r="BF66" i="18"/>
  <c r="AG66" i="18"/>
  <c r="BP66" i="18"/>
  <c r="BL66" i="18"/>
  <c r="P66" i="18"/>
  <c r="BS66" i="18"/>
  <c r="BX66" i="18"/>
  <c r="O66" i="18"/>
  <c r="BZ66" i="18"/>
  <c r="CL66" i="18"/>
  <c r="CT66" i="18"/>
  <c r="CH66" i="18"/>
  <c r="Y66" i="18"/>
  <c r="AC66" i="18"/>
  <c r="AZ66" i="18"/>
  <c r="AR66" i="18"/>
  <c r="CG66" i="18"/>
  <c r="CO66" i="18"/>
  <c r="AW66" i="18"/>
  <c r="AK66" i="18"/>
  <c r="CF66" i="18"/>
  <c r="BM66" i="18"/>
  <c r="CP66" i="18"/>
  <c r="AL66" i="18"/>
  <c r="CA66" i="18"/>
  <c r="CU66" i="18"/>
  <c r="CS66" i="18"/>
  <c r="BK66" i="18"/>
  <c r="AY66" i="18"/>
  <c r="CR66" i="18"/>
  <c r="BQ66" i="18"/>
  <c r="BV66" i="18"/>
  <c r="S66" i="18"/>
  <c r="AV66" i="18"/>
  <c r="AB66" i="18"/>
  <c r="CQ66" i="18"/>
  <c r="CE66" i="18"/>
  <c r="CB66" i="18"/>
  <c r="BT66" i="18"/>
  <c r="CV66" i="18"/>
  <c r="AM66" i="18"/>
  <c r="CC66" i="18"/>
  <c r="BR66" i="18"/>
  <c r="T66" i="18"/>
  <c r="AH66" i="18"/>
  <c r="Q66" i="18"/>
  <c r="AQ66" i="18"/>
  <c r="R66" i="18"/>
  <c r="AD66" i="18"/>
  <c r="BE66" i="18"/>
  <c r="CD66" i="18"/>
  <c r="M66" i="18"/>
  <c r="U66" i="18"/>
  <c r="AO66" i="18"/>
  <c r="AF66" i="18"/>
  <c r="AS66" i="18"/>
  <c r="BN66" i="18"/>
  <c r="BI66" i="18"/>
  <c r="CN66" i="18"/>
  <c r="AU66" i="18"/>
  <c r="AI66" i="18"/>
  <c r="BJ66" i="18"/>
  <c r="AN66" i="18"/>
  <c r="N66" i="18"/>
  <c r="BG66" i="18"/>
  <c r="AA66" i="18"/>
  <c r="BB66" i="18"/>
  <c r="BU66" i="18"/>
  <c r="AT66" i="18"/>
  <c r="X66" i="18"/>
  <c r="V66" i="18"/>
  <c r="BW66" i="18"/>
  <c r="CH45" i="18"/>
  <c r="CS45" i="18"/>
  <c r="CF45" i="18"/>
  <c r="BO45" i="18"/>
  <c r="BH45" i="18"/>
  <c r="AK45" i="18"/>
  <c r="CM45" i="18"/>
  <c r="AP45" i="18"/>
  <c r="CT45" i="18"/>
  <c r="BZ45" i="18"/>
  <c r="CR45" i="18"/>
  <c r="BC45" i="18"/>
  <c r="BS45" i="18"/>
  <c r="BG45" i="18"/>
  <c r="CA45" i="18"/>
  <c r="CI45" i="18"/>
  <c r="BE45" i="18"/>
  <c r="CG45" i="18"/>
  <c r="CD45" i="18"/>
  <c r="BI45" i="18"/>
  <c r="AR45" i="18"/>
  <c r="CC45" i="18"/>
  <c r="BB45" i="18"/>
  <c r="AZ45" i="18"/>
  <c r="AT45" i="18"/>
  <c r="AN45" i="18"/>
  <c r="AB45" i="18"/>
  <c r="CL45" i="18"/>
  <c r="AL45" i="18"/>
  <c r="BR45" i="18"/>
  <c r="AX45" i="18"/>
  <c r="AO45" i="18"/>
  <c r="AM45" i="18"/>
  <c r="AF45" i="18"/>
  <c r="BV45" i="18"/>
  <c r="BM45" i="18"/>
  <c r="BT45" i="18"/>
  <c r="BJ45" i="18"/>
  <c r="BD45" i="18"/>
  <c r="AH45" i="18"/>
  <c r="CQ45" i="18"/>
  <c r="CN45" i="18"/>
  <c r="BU45" i="18"/>
  <c r="CJ45" i="18"/>
  <c r="BP45" i="18"/>
  <c r="BF45" i="18"/>
  <c r="AU45" i="18"/>
  <c r="AI45" i="18"/>
  <c r="AD45" i="18"/>
  <c r="CK45" i="18"/>
  <c r="BQ45" i="18"/>
  <c r="BK45" i="18"/>
  <c r="AW45" i="18"/>
  <c r="BY45" i="18"/>
  <c r="AV45" i="18"/>
  <c r="CE45" i="18"/>
  <c r="AQ45" i="18"/>
  <c r="AJ45" i="18"/>
  <c r="BN45" i="18"/>
  <c r="AC45" i="18"/>
  <c r="CU45" i="18"/>
  <c r="CV45" i="18"/>
  <c r="CO45" i="18"/>
  <c r="BA45" i="18"/>
  <c r="AS45" i="18"/>
  <c r="AE45" i="18"/>
  <c r="BX45" i="18"/>
  <c r="AG45" i="18"/>
  <c r="CP45" i="18"/>
  <c r="CB45" i="18"/>
  <c r="AY45" i="18"/>
  <c r="BW45" i="18"/>
  <c r="BL45" i="18"/>
  <c r="CW45" i="18"/>
  <c r="AA45" i="18"/>
  <c r="U45" i="18"/>
  <c r="Y45" i="18"/>
  <c r="V45" i="18"/>
  <c r="Z45" i="18"/>
  <c r="N45" i="18"/>
  <c r="X45" i="18"/>
  <c r="S45" i="18"/>
  <c r="M45" i="18"/>
  <c r="W45" i="18"/>
  <c r="R45" i="18"/>
  <c r="O45" i="18"/>
  <c r="Q45" i="18"/>
  <c r="P45" i="18"/>
  <c r="T45" i="18"/>
  <c r="CJ30" i="18"/>
  <c r="AL30" i="18"/>
  <c r="AV30" i="18"/>
  <c r="BT30" i="18"/>
  <c r="BR30" i="18"/>
  <c r="BI30" i="18"/>
  <c r="CD30" i="18"/>
  <c r="BU30" i="18"/>
  <c r="CP30" i="18"/>
  <c r="CQ30" i="18"/>
  <c r="CF30" i="18"/>
  <c r="BP30" i="18"/>
  <c r="BQ30" i="18"/>
  <c r="BF30" i="18"/>
  <c r="AM30" i="18"/>
  <c r="CO30" i="18"/>
  <c r="AQ30" i="18"/>
  <c r="AT30" i="18"/>
  <c r="AB30" i="18"/>
  <c r="BC30" i="18"/>
  <c r="AR30" i="18"/>
  <c r="CG30" i="18"/>
  <c r="BS30" i="18"/>
  <c r="S30" i="18"/>
  <c r="BA30" i="18"/>
  <c r="AS30" i="18"/>
  <c r="AD30" i="18"/>
  <c r="BO30" i="18"/>
  <c r="BH30" i="18"/>
  <c r="BD30" i="18"/>
  <c r="CU30" i="18"/>
  <c r="CL30" i="18"/>
  <c r="BN30" i="18"/>
  <c r="BB30" i="18"/>
  <c r="AK30" i="18"/>
  <c r="AI30" i="18"/>
  <c r="CR30" i="18"/>
  <c r="BY30" i="18"/>
  <c r="CV30" i="18"/>
  <c r="BK30" i="18"/>
  <c r="M30" i="18"/>
  <c r="N30" i="18"/>
  <c r="Y30" i="18"/>
  <c r="BE30" i="18"/>
  <c r="BM30" i="18"/>
  <c r="BJ30" i="18"/>
  <c r="AZ30" i="18"/>
  <c r="CS30" i="18"/>
  <c r="AW30" i="18"/>
  <c r="AY30" i="18"/>
  <c r="CH30" i="18"/>
  <c r="AC30" i="18"/>
  <c r="CA30" i="18"/>
  <c r="R30" i="18"/>
  <c r="Q30" i="18"/>
  <c r="AX30" i="18"/>
  <c r="CB30" i="18"/>
  <c r="CC30" i="18"/>
  <c r="AG30" i="18"/>
  <c r="AE30" i="18"/>
  <c r="CW30" i="18"/>
  <c r="CN30" i="18"/>
  <c r="AJ30" i="18"/>
  <c r="AN30" i="18"/>
  <c r="P30" i="18"/>
  <c r="Z30" i="18"/>
  <c r="AO30" i="18"/>
  <c r="BZ30" i="18"/>
  <c r="CM30" i="18"/>
  <c r="CI30" i="18"/>
  <c r="BV30" i="18"/>
  <c r="CT30" i="18"/>
  <c r="BL30" i="18"/>
  <c r="AP30" i="18"/>
  <c r="BG30" i="18"/>
  <c r="CE30" i="18"/>
  <c r="AU30" i="18"/>
  <c r="AH30" i="18"/>
  <c r="O30" i="18"/>
  <c r="AA30" i="18"/>
  <c r="BW30" i="18"/>
  <c r="CK30" i="18"/>
  <c r="BX30" i="18"/>
  <c r="AF30" i="18"/>
  <c r="V30" i="18"/>
  <c r="U30" i="18"/>
  <c r="W30" i="18"/>
  <c r="T30" i="18"/>
  <c r="X30" i="18"/>
  <c r="CE35" i="18"/>
  <c r="AB35" i="18"/>
  <c r="AH35" i="18"/>
  <c r="AP35" i="18"/>
  <c r="AY35" i="18"/>
  <c r="BA35" i="18"/>
  <c r="BD35" i="18"/>
  <c r="BG35" i="18"/>
  <c r="BH35" i="18"/>
  <c r="BU35" i="18"/>
  <c r="BY35" i="18"/>
  <c r="CB35" i="18"/>
  <c r="CI35" i="18"/>
  <c r="CK35" i="18"/>
  <c r="CO35" i="18"/>
  <c r="CR35" i="18"/>
  <c r="CU35" i="18"/>
  <c r="AF35" i="18"/>
  <c r="AU35" i="18"/>
  <c r="BO35" i="18"/>
  <c r="BR35" i="18"/>
  <c r="CA35" i="18"/>
  <c r="CF35" i="18"/>
  <c r="CJ35" i="18"/>
  <c r="CQ35" i="18"/>
  <c r="AC35" i="18"/>
  <c r="AG35" i="18"/>
  <c r="AJ35" i="18"/>
  <c r="AL35" i="18"/>
  <c r="AO35" i="18"/>
  <c r="AR35" i="18"/>
  <c r="AW35" i="18"/>
  <c r="AZ35" i="18"/>
  <c r="BE35" i="18"/>
  <c r="BI35" i="18"/>
  <c r="BK35" i="18"/>
  <c r="BN35" i="18"/>
  <c r="BP35" i="18"/>
  <c r="BV35" i="18"/>
  <c r="CC35" i="18"/>
  <c r="CH35" i="18"/>
  <c r="CL35" i="18"/>
  <c r="CS35" i="18"/>
  <c r="AD35" i="18"/>
  <c r="AI35" i="18"/>
  <c r="AK35" i="18"/>
  <c r="AN35" i="18"/>
  <c r="AT35" i="18"/>
  <c r="BC35" i="18"/>
  <c r="BJ35" i="18"/>
  <c r="BL35" i="18"/>
  <c r="BQ35" i="18"/>
  <c r="BW35" i="18"/>
  <c r="BX35" i="18"/>
  <c r="BZ35" i="18"/>
  <c r="CG35" i="18"/>
  <c r="AS35" i="18"/>
  <c r="CN35" i="18"/>
  <c r="CP35" i="18"/>
  <c r="CV35" i="18"/>
  <c r="AE35" i="18"/>
  <c r="AM35" i="18"/>
  <c r="AQ35" i="18"/>
  <c r="AV35" i="18"/>
  <c r="AX35" i="18"/>
  <c r="BB35" i="18"/>
  <c r="BF35" i="18"/>
  <c r="BM35" i="18"/>
  <c r="BS35" i="18"/>
  <c r="BT35" i="18"/>
  <c r="CD35" i="18"/>
  <c r="CM35" i="18"/>
  <c r="CT35" i="18"/>
  <c r="CW35" i="18"/>
  <c r="AB20" i="18"/>
  <c r="AD20" i="18"/>
  <c r="AF20" i="18"/>
  <c r="AI20" i="18"/>
  <c r="AM20" i="18"/>
  <c r="AQ20" i="18"/>
  <c r="AU20" i="18"/>
  <c r="AZ20" i="18"/>
  <c r="BB20" i="18"/>
  <c r="BE20" i="18"/>
  <c r="BF20" i="18"/>
  <c r="BH20" i="18"/>
  <c r="BK20" i="18"/>
  <c r="AC20" i="18"/>
  <c r="AG20" i="18"/>
  <c r="AK20" i="18"/>
  <c r="AN20" i="18"/>
  <c r="AP20" i="18"/>
  <c r="AV20" i="18"/>
  <c r="AW20" i="18"/>
  <c r="AY20" i="18"/>
  <c r="BA20" i="18"/>
  <c r="BD20" i="18"/>
  <c r="BI20" i="18"/>
  <c r="BL20" i="18"/>
  <c r="BN20" i="18"/>
  <c r="BP20" i="18"/>
  <c r="BR20" i="18"/>
  <c r="BT20" i="18"/>
  <c r="BW20" i="18"/>
  <c r="BY20" i="18"/>
  <c r="CA20" i="18"/>
  <c r="CC20" i="18"/>
  <c r="CE20" i="18"/>
  <c r="CG20" i="18"/>
  <c r="CI20" i="18"/>
  <c r="CK20" i="18"/>
  <c r="CM20" i="18"/>
  <c r="CO20" i="18"/>
  <c r="CQ20" i="18"/>
  <c r="CS20" i="18"/>
  <c r="CU20" i="18"/>
  <c r="CW20" i="18"/>
  <c r="AE20" i="18"/>
  <c r="AH20" i="18"/>
  <c r="AJ20" i="18"/>
  <c r="AL20" i="18"/>
  <c r="AO20" i="18"/>
  <c r="AR20" i="18"/>
  <c r="AT20" i="18"/>
  <c r="AX20" i="18"/>
  <c r="BC20" i="18"/>
  <c r="BG20" i="18"/>
  <c r="BJ20" i="18"/>
  <c r="BM20" i="18"/>
  <c r="BQ20" i="18"/>
  <c r="BS20" i="18"/>
  <c r="BU20" i="18"/>
  <c r="BV20" i="18"/>
  <c r="BX20" i="18"/>
  <c r="BZ20" i="18"/>
  <c r="CB20" i="18"/>
  <c r="CD20" i="18"/>
  <c r="CF20" i="18"/>
  <c r="CH20" i="18"/>
  <c r="CJ20" i="18"/>
  <c r="CL20" i="18"/>
  <c r="CN20" i="18"/>
  <c r="CP20" i="18"/>
  <c r="CR20" i="18"/>
  <c r="CT20" i="18"/>
  <c r="CV20" i="18"/>
  <c r="BO20" i="18"/>
  <c r="AS20" i="18"/>
  <c r="AS15" i="18"/>
  <c r="AY15" i="18"/>
  <c r="BA15" i="18"/>
  <c r="CG15" i="18"/>
  <c r="CH15" i="18"/>
  <c r="CI15" i="18"/>
  <c r="CJ15" i="18"/>
  <c r="CK15" i="18"/>
  <c r="CL15" i="18"/>
  <c r="CM15" i="18"/>
  <c r="CN15" i="18"/>
  <c r="CO15" i="18"/>
  <c r="CP15" i="18"/>
  <c r="CQ15" i="18"/>
  <c r="CR15" i="18"/>
  <c r="BR15" i="18"/>
  <c r="CT15" i="18"/>
  <c r="CU15" i="18"/>
  <c r="CV15" i="18"/>
  <c r="CW15" i="18"/>
  <c r="BH15" i="18"/>
  <c r="AB15" i="18"/>
  <c r="AK15" i="18"/>
  <c r="AV15" i="18"/>
  <c r="AZ15" i="18"/>
  <c r="BE15" i="18"/>
  <c r="BF15" i="18"/>
  <c r="AT15" i="18"/>
  <c r="BI15" i="18"/>
  <c r="BJ15" i="18"/>
  <c r="BK15" i="18"/>
  <c r="BL15" i="18"/>
  <c r="BM15" i="18"/>
  <c r="BN15" i="18"/>
  <c r="BO15" i="18"/>
  <c r="BP15" i="18"/>
  <c r="BQ15" i="18"/>
  <c r="BS15" i="18"/>
  <c r="BT15" i="18"/>
  <c r="BU15" i="18"/>
  <c r="BV15" i="18"/>
  <c r="BW15" i="18"/>
  <c r="BX15" i="18"/>
  <c r="AE15" i="18"/>
  <c r="AJ15" i="18"/>
  <c r="AC15" i="18"/>
  <c r="AF15" i="18"/>
  <c r="AH15" i="18"/>
  <c r="AM15" i="18"/>
  <c r="AR15" i="18"/>
  <c r="AW15" i="18"/>
  <c r="BC15" i="18"/>
  <c r="AX15" i="18"/>
  <c r="AP15" i="18"/>
  <c r="AU15" i="18"/>
  <c r="BG15" i="18"/>
  <c r="BY15" i="18"/>
  <c r="CS15" i="18"/>
  <c r="BZ15" i="18"/>
  <c r="CA15" i="18"/>
  <c r="CB15" i="18"/>
  <c r="CC15" i="18"/>
  <c r="CD15" i="18"/>
  <c r="CE15" i="18"/>
  <c r="CF15" i="18"/>
  <c r="AG15" i="18"/>
  <c r="AO15" i="18"/>
  <c r="AD15" i="18"/>
  <c r="AI15" i="18"/>
  <c r="AL15" i="18"/>
  <c r="AN15" i="18"/>
  <c r="AQ15" i="18"/>
  <c r="BB15" i="18"/>
  <c r="BD15" i="18"/>
  <c r="BI81" i="18"/>
  <c r="AX81" i="18"/>
  <c r="BT81" i="18"/>
  <c r="CM81" i="18"/>
  <c r="O81" i="18"/>
  <c r="AV81" i="18"/>
  <c r="BA81" i="18"/>
  <c r="M81" i="18"/>
  <c r="CF81" i="18"/>
  <c r="BB81" i="18"/>
  <c r="V81" i="18"/>
  <c r="AS81" i="18"/>
  <c r="AO81" i="18"/>
  <c r="T81" i="18"/>
  <c r="CK81" i="18"/>
  <c r="U81" i="18"/>
  <c r="BV81" i="18"/>
  <c r="AC81" i="18"/>
  <c r="AG81" i="18"/>
  <c r="CU81" i="18"/>
  <c r="CH81" i="18"/>
  <c r="AD81" i="18"/>
  <c r="BM81" i="18"/>
  <c r="AE81" i="18"/>
  <c r="CN81" i="18"/>
  <c r="BW81" i="18"/>
  <c r="BH81" i="18"/>
  <c r="CW81" i="18"/>
  <c r="AY81" i="18"/>
  <c r="Q81" i="18"/>
  <c r="BX81" i="18"/>
  <c r="CV81" i="18"/>
  <c r="N81" i="18"/>
  <c r="BO81" i="18"/>
  <c r="BC81" i="18"/>
  <c r="AM81" i="18"/>
  <c r="X81" i="18"/>
  <c r="AP81" i="18"/>
  <c r="CI81" i="18"/>
  <c r="CO81" i="18"/>
  <c r="R81" i="18"/>
  <c r="AJ81" i="18"/>
  <c r="AT81" i="18"/>
  <c r="AB81" i="18"/>
  <c r="BK81" i="18"/>
  <c r="W81" i="18"/>
  <c r="BD81" i="18"/>
  <c r="CR81" i="18"/>
  <c r="AQ81" i="18"/>
  <c r="CE81" i="18"/>
  <c r="S81" i="18"/>
  <c r="P81" i="18"/>
  <c r="BJ81" i="18"/>
  <c r="AN81" i="18"/>
  <c r="BE81" i="18"/>
  <c r="BY81" i="18"/>
  <c r="BG81" i="18"/>
  <c r="AZ81" i="18"/>
  <c r="AR81" i="18"/>
  <c r="CB81" i="18"/>
  <c r="CJ81" i="18"/>
  <c r="BZ81" i="18"/>
  <c r="AH81" i="18"/>
  <c r="CQ81" i="18"/>
  <c r="AF81" i="18"/>
  <c r="BN81" i="18"/>
  <c r="BF81" i="18"/>
  <c r="AA81" i="18"/>
  <c r="CT81" i="18"/>
  <c r="AK81" i="18"/>
  <c r="CA81" i="18"/>
  <c r="Y81" i="18"/>
  <c r="BU81" i="18"/>
  <c r="BL81" i="18"/>
  <c r="AU81" i="18"/>
  <c r="BP81" i="18"/>
  <c r="BS81" i="18"/>
  <c r="AW81" i="18"/>
  <c r="CP81" i="18"/>
  <c r="BQ81" i="18"/>
  <c r="Z81" i="18"/>
  <c r="CS81" i="18"/>
  <c r="CL81" i="18"/>
  <c r="BR81" i="18"/>
  <c r="CC81" i="18"/>
  <c r="CD81" i="18"/>
  <c r="CG81" i="18"/>
  <c r="AI81" i="18"/>
  <c r="AL81" i="18"/>
  <c r="CH76" i="18"/>
  <c r="BM76" i="18"/>
  <c r="AV76" i="18"/>
  <c r="BD76" i="18"/>
  <c r="BY76" i="18"/>
  <c r="CE76" i="18"/>
  <c r="BG76" i="18"/>
  <c r="O76" i="18"/>
  <c r="AG76" i="18"/>
  <c r="CP76" i="18"/>
  <c r="BV76" i="18"/>
  <c r="AA76" i="18"/>
  <c r="BO76" i="18"/>
  <c r="X76" i="18"/>
  <c r="AM76" i="18"/>
  <c r="CW76" i="18"/>
  <c r="BH76" i="18"/>
  <c r="BX76" i="18"/>
  <c r="M76" i="18"/>
  <c r="CQ76" i="18"/>
  <c r="CV76" i="18"/>
  <c r="AW76" i="18"/>
  <c r="AP76" i="18"/>
  <c r="Q76" i="18"/>
  <c r="CF76" i="18"/>
  <c r="AQ76" i="18"/>
  <c r="AL76" i="18"/>
  <c r="AO76" i="18"/>
  <c r="CB76" i="18"/>
  <c r="AR76" i="18"/>
  <c r="AX76" i="18"/>
  <c r="BC76" i="18"/>
  <c r="BJ76" i="18"/>
  <c r="T76" i="18"/>
  <c r="Z76" i="18"/>
  <c r="AD76" i="18"/>
  <c r="CA76" i="18"/>
  <c r="CS76" i="18"/>
  <c r="CL76" i="18"/>
  <c r="AF76" i="18"/>
  <c r="AK76" i="18"/>
  <c r="CU76" i="18"/>
  <c r="CT76" i="18"/>
  <c r="CM76" i="18"/>
  <c r="AE76" i="18"/>
  <c r="BF76" i="18"/>
  <c r="AZ76" i="18"/>
  <c r="CN76" i="18"/>
  <c r="R76" i="18"/>
  <c r="AJ76" i="18"/>
  <c r="BZ76" i="18"/>
  <c r="AI76" i="18"/>
  <c r="BP76" i="18"/>
  <c r="BK76" i="18"/>
  <c r="CK76" i="18"/>
  <c r="S76" i="18"/>
  <c r="CR76" i="18"/>
  <c r="AT76" i="18"/>
  <c r="CI76" i="18"/>
  <c r="W76" i="18"/>
  <c r="CG76" i="18"/>
  <c r="BU76" i="18"/>
  <c r="CJ76" i="18"/>
  <c r="BE76" i="18"/>
  <c r="BN76" i="18"/>
  <c r="CO76" i="18"/>
  <c r="BQ76" i="18"/>
  <c r="CD76" i="18"/>
  <c r="BA76" i="18"/>
  <c r="BL76" i="18"/>
  <c r="BR76" i="18"/>
  <c r="AH76" i="18"/>
  <c r="BW76" i="18"/>
  <c r="AC76" i="18"/>
  <c r="BB76" i="18"/>
  <c r="P76" i="18"/>
  <c r="BT76" i="18"/>
  <c r="AU76" i="18"/>
  <c r="AB76" i="18"/>
  <c r="AY76" i="18"/>
  <c r="AN76" i="18"/>
  <c r="AS76" i="18"/>
  <c r="BS76" i="18"/>
  <c r="U76" i="18"/>
  <c r="V76" i="18"/>
  <c r="CC76" i="18"/>
  <c r="BI76" i="18"/>
  <c r="N76" i="18"/>
  <c r="Y76" i="18"/>
  <c r="O35" i="18"/>
  <c r="T35" i="18"/>
  <c r="AA35" i="18"/>
  <c r="S35" i="18"/>
  <c r="Q35" i="18"/>
  <c r="U35" i="18"/>
  <c r="P35" i="18"/>
  <c r="W35" i="18"/>
  <c r="R35" i="18"/>
  <c r="Z35" i="18"/>
  <c r="V35" i="18"/>
  <c r="X35" i="18"/>
  <c r="M35" i="18"/>
  <c r="Y35" i="18"/>
  <c r="N35" i="18"/>
  <c r="U20" i="18"/>
  <c r="N20" i="18"/>
  <c r="Z20" i="18"/>
  <c r="O20" i="18"/>
  <c r="AA20" i="18"/>
  <c r="P20" i="18"/>
  <c r="Q20" i="18"/>
  <c r="R20" i="18"/>
  <c r="S20" i="18"/>
  <c r="M20" i="18"/>
  <c r="Y20" i="18"/>
  <c r="W20" i="18"/>
  <c r="X20" i="18"/>
  <c r="V20" i="18"/>
  <c r="T20" i="18"/>
  <c r="U15" i="18"/>
  <c r="V15" i="18"/>
  <c r="W15" i="18"/>
  <c r="X15" i="18"/>
  <c r="Q15" i="18"/>
  <c r="Y15" i="18"/>
  <c r="R15" i="18"/>
  <c r="Z15" i="18"/>
  <c r="P15" i="18"/>
  <c r="S15" i="18"/>
  <c r="N15" i="18"/>
  <c r="O15" i="18"/>
  <c r="T15" i="18"/>
  <c r="M15" i="18"/>
  <c r="AA15" i="18"/>
  <c r="R5" i="18"/>
  <c r="S5" i="18"/>
  <c r="Q5" i="18"/>
  <c r="V5" i="18"/>
  <c r="N5" i="18"/>
  <c r="Z5" i="18"/>
  <c r="M5" i="18"/>
  <c r="W5" i="18"/>
  <c r="AA5" i="18"/>
  <c r="T5" i="18"/>
  <c r="Y5" i="18"/>
  <c r="X5" i="18"/>
  <c r="U5" i="18"/>
  <c r="P5" i="18"/>
  <c r="O5" i="18"/>
  <c r="Y2" i="16"/>
  <c r="U2" i="14"/>
  <c r="AE71" i="15" l="1"/>
  <c r="AE63" i="15"/>
  <c r="AE39" i="15"/>
  <c r="AE55" i="15"/>
  <c r="AE47" i="15"/>
  <c r="AE31" i="15"/>
  <c r="AE23" i="15"/>
  <c r="AE15" i="15"/>
  <c r="AE7" i="15"/>
  <c r="AE45" i="15"/>
  <c r="AF2" i="15"/>
  <c r="Y7" i="16"/>
  <c r="Y63" i="16"/>
  <c r="Z2" i="16"/>
  <c r="V2" i="14"/>
  <c r="AF71" i="15" l="1"/>
  <c r="AF63" i="15"/>
  <c r="AF47" i="15"/>
  <c r="AF39" i="15"/>
  <c r="AF55" i="15"/>
  <c r="AF15" i="15"/>
  <c r="AF31" i="15"/>
  <c r="AF23" i="15"/>
  <c r="AF7" i="15"/>
  <c r="AF45" i="15"/>
  <c r="AG2" i="15"/>
  <c r="Z63" i="16"/>
  <c r="Z7" i="16"/>
  <c r="AA2" i="16"/>
  <c r="W2" i="14"/>
  <c r="AG71" i="15" l="1"/>
  <c r="AG63" i="15"/>
  <c r="AG55" i="15"/>
  <c r="AG47" i="15"/>
  <c r="AG31" i="15"/>
  <c r="AG15" i="15"/>
  <c r="AG23" i="15"/>
  <c r="AG39" i="15"/>
  <c r="AG7" i="15"/>
  <c r="AG45" i="15"/>
  <c r="AH2" i="15"/>
  <c r="AA63" i="16"/>
  <c r="AA7" i="16"/>
  <c r="AB2" i="16"/>
  <c r="X2" i="14"/>
  <c r="AH71" i="15" l="1"/>
  <c r="AH63" i="15"/>
  <c r="AH55" i="15"/>
  <c r="AH47" i="15"/>
  <c r="AH39" i="15"/>
  <c r="AH31" i="15"/>
  <c r="AH23" i="15"/>
  <c r="AH15" i="15"/>
  <c r="AH7" i="15"/>
  <c r="AH45" i="15"/>
  <c r="AI2" i="15"/>
  <c r="AB63" i="16"/>
  <c r="AB7" i="16"/>
  <c r="AC2" i="16"/>
  <c r="Y2" i="14"/>
  <c r="AI71" i="15" l="1"/>
  <c r="AI63" i="15"/>
  <c r="AI39" i="15"/>
  <c r="AI55" i="15"/>
  <c r="AI47" i="15"/>
  <c r="AI23" i="15"/>
  <c r="AI31" i="15"/>
  <c r="AI15" i="15"/>
  <c r="AI7" i="15"/>
  <c r="AJ2" i="15"/>
  <c r="AI45" i="15"/>
  <c r="AC7" i="16"/>
  <c r="AC63" i="16"/>
  <c r="AD2" i="16"/>
  <c r="Z2" i="14"/>
  <c r="AJ71" i="15" l="1"/>
  <c r="AJ63" i="15"/>
  <c r="AJ47" i="15"/>
  <c r="AJ39" i="15"/>
  <c r="AJ55" i="15"/>
  <c r="AJ31" i="15"/>
  <c r="AJ15" i="15"/>
  <c r="AJ23" i="15"/>
  <c r="AJ7" i="15"/>
  <c r="AJ45" i="15"/>
  <c r="AK2" i="15"/>
  <c r="AD63" i="16"/>
  <c r="AD7" i="16"/>
  <c r="AE2" i="16"/>
  <c r="AA2" i="14"/>
  <c r="AK71" i="15" l="1"/>
  <c r="AK63" i="15"/>
  <c r="AK55" i="15"/>
  <c r="AK47" i="15"/>
  <c r="AK31" i="15"/>
  <c r="AK39" i="15"/>
  <c r="AK23" i="15"/>
  <c r="AK7" i="15"/>
  <c r="AK15" i="15"/>
  <c r="AL2" i="15"/>
  <c r="AK45" i="15"/>
  <c r="AE63" i="16"/>
  <c r="AE7" i="16"/>
  <c r="AF2" i="16"/>
  <c r="AB2" i="14"/>
  <c r="AL71" i="15" l="1"/>
  <c r="AL63" i="15"/>
  <c r="AL55" i="15"/>
  <c r="AL47" i="15"/>
  <c r="AL39" i="15"/>
  <c r="AL31" i="15"/>
  <c r="AL23" i="15"/>
  <c r="AL7" i="15"/>
  <c r="AL15" i="15"/>
  <c r="AM2" i="15"/>
  <c r="AL45" i="15"/>
  <c r="AF63" i="16"/>
  <c r="AF7" i="16"/>
  <c r="AG2" i="16"/>
  <c r="AC2" i="14"/>
  <c r="AM71" i="15" l="1"/>
  <c r="AM63" i="15"/>
  <c r="AM39" i="15"/>
  <c r="AM55" i="15"/>
  <c r="AM47" i="15"/>
  <c r="AM23" i="15"/>
  <c r="AM31" i="15"/>
  <c r="AM15" i="15"/>
  <c r="AM7" i="15"/>
  <c r="AN2" i="15"/>
  <c r="AM45" i="15"/>
  <c r="AG7" i="16"/>
  <c r="AG63" i="16"/>
  <c r="AH2" i="16"/>
  <c r="AD2" i="14"/>
  <c r="G4" i="5"/>
  <c r="H26" i="9"/>
  <c r="G3" i="8"/>
  <c r="I3" i="8" s="1"/>
  <c r="C33" i="11"/>
  <c r="G3" i="5"/>
  <c r="H18" i="9"/>
  <c r="H17" i="9"/>
  <c r="H10" i="9"/>
  <c r="H9" i="9"/>
  <c r="H3" i="9"/>
  <c r="H2" i="9"/>
  <c r="G4" i="8"/>
  <c r="G28" i="5"/>
  <c r="G20" i="5"/>
  <c r="G11" i="5"/>
  <c r="H13" i="5" s="1"/>
  <c r="G12" i="5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AX33" i="13"/>
  <c r="AY33" i="13"/>
  <c r="AZ33" i="13"/>
  <c r="BA33" i="13"/>
  <c r="BB33" i="13"/>
  <c r="BC33" i="13"/>
  <c r="BD33" i="13"/>
  <c r="BE33" i="13"/>
  <c r="BF33" i="13"/>
  <c r="BG33" i="13"/>
  <c r="BH33" i="13"/>
  <c r="BI33" i="13"/>
  <c r="BJ33" i="13"/>
  <c r="BK33" i="13"/>
  <c r="BL33" i="13"/>
  <c r="BM33" i="13"/>
  <c r="BN33" i="13"/>
  <c r="BO33" i="13"/>
  <c r="BP33" i="13"/>
  <c r="BQ33" i="13"/>
  <c r="BR33" i="13"/>
  <c r="BS33" i="13"/>
  <c r="BT33" i="13"/>
  <c r="BU33" i="13"/>
  <c r="BV33" i="13"/>
  <c r="BW33" i="13"/>
  <c r="BX33" i="13"/>
  <c r="BY33" i="13"/>
  <c r="BZ33" i="13"/>
  <c r="CA33" i="13"/>
  <c r="CB33" i="13"/>
  <c r="CC33" i="13"/>
  <c r="CD33" i="13"/>
  <c r="CE33" i="13"/>
  <c r="CF33" i="13"/>
  <c r="CG33" i="13"/>
  <c r="CH33" i="13"/>
  <c r="CI33" i="13"/>
  <c r="CJ33" i="13"/>
  <c r="CK33" i="13"/>
  <c r="CL33" i="13"/>
  <c r="CM33" i="13"/>
  <c r="CN33" i="13"/>
  <c r="CO33" i="13"/>
  <c r="CP33" i="13"/>
  <c r="CQ33" i="13"/>
  <c r="CR33" i="13"/>
  <c r="CS33" i="13"/>
  <c r="CT33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X25" i="13"/>
  <c r="AY25" i="13"/>
  <c r="AZ25" i="13"/>
  <c r="BA25" i="13"/>
  <c r="BB25" i="13"/>
  <c r="BC25" i="13"/>
  <c r="BD25" i="13"/>
  <c r="BE25" i="13"/>
  <c r="BF25" i="13"/>
  <c r="BG25" i="13"/>
  <c r="BH25" i="13"/>
  <c r="BI25" i="13"/>
  <c r="BJ25" i="13"/>
  <c r="BK25" i="13"/>
  <c r="BL25" i="13"/>
  <c r="BM25" i="13"/>
  <c r="BN25" i="13"/>
  <c r="BO25" i="13"/>
  <c r="BP25" i="13"/>
  <c r="BQ25" i="13"/>
  <c r="BR25" i="13"/>
  <c r="BS25" i="13"/>
  <c r="BT25" i="13"/>
  <c r="BU25" i="13"/>
  <c r="BV25" i="13"/>
  <c r="BW25" i="13"/>
  <c r="BX25" i="13"/>
  <c r="BY25" i="13"/>
  <c r="BZ25" i="13"/>
  <c r="CA25" i="13"/>
  <c r="CB25" i="13"/>
  <c r="CC25" i="13"/>
  <c r="CD25" i="13"/>
  <c r="CE25" i="13"/>
  <c r="CF25" i="13"/>
  <c r="CG25" i="13"/>
  <c r="CH25" i="13"/>
  <c r="CI25" i="13"/>
  <c r="CJ25" i="13"/>
  <c r="CK25" i="13"/>
  <c r="CL25" i="13"/>
  <c r="CM25" i="13"/>
  <c r="CN25" i="13"/>
  <c r="CO25" i="13"/>
  <c r="CP25" i="13"/>
  <c r="CQ25" i="13"/>
  <c r="CR25" i="13"/>
  <c r="CS25" i="13"/>
  <c r="CT25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AY17" i="13"/>
  <c r="AZ17" i="13"/>
  <c r="BA17" i="13"/>
  <c r="BB17" i="13"/>
  <c r="BC17" i="13"/>
  <c r="BD17" i="13"/>
  <c r="BE17" i="13"/>
  <c r="BF17" i="13"/>
  <c r="BG17" i="13"/>
  <c r="BH17" i="13"/>
  <c r="BI17" i="13"/>
  <c r="BJ17" i="13"/>
  <c r="BK17" i="13"/>
  <c r="BL17" i="13"/>
  <c r="BM17" i="13"/>
  <c r="BN17" i="13"/>
  <c r="BO17" i="13"/>
  <c r="BP17" i="13"/>
  <c r="BQ17" i="13"/>
  <c r="BR17" i="13"/>
  <c r="BS17" i="13"/>
  <c r="BT17" i="13"/>
  <c r="BU17" i="13"/>
  <c r="BV17" i="13"/>
  <c r="BW17" i="13"/>
  <c r="BX17" i="13"/>
  <c r="BY17" i="13"/>
  <c r="BZ17" i="13"/>
  <c r="CA17" i="13"/>
  <c r="CB17" i="13"/>
  <c r="CC17" i="13"/>
  <c r="CD17" i="13"/>
  <c r="CE17" i="13"/>
  <c r="CF17" i="13"/>
  <c r="CG17" i="13"/>
  <c r="CH17" i="13"/>
  <c r="CI17" i="13"/>
  <c r="CJ17" i="13"/>
  <c r="CK17" i="13"/>
  <c r="CL17" i="13"/>
  <c r="CM17" i="13"/>
  <c r="CN17" i="13"/>
  <c r="CO17" i="13"/>
  <c r="CP17" i="13"/>
  <c r="CQ17" i="13"/>
  <c r="CR17" i="13"/>
  <c r="CS17" i="13"/>
  <c r="CT17" i="13"/>
  <c r="F22" i="13"/>
  <c r="F14" i="13"/>
  <c r="C1" i="13"/>
  <c r="D1" i="13"/>
  <c r="F6" i="13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W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L57" i="12"/>
  <c r="BM57" i="12"/>
  <c r="BN57" i="12"/>
  <c r="BO57" i="12"/>
  <c r="BP57" i="12"/>
  <c r="BQ57" i="12"/>
  <c r="BR57" i="12"/>
  <c r="BS57" i="12"/>
  <c r="BT57" i="12"/>
  <c r="BU57" i="12"/>
  <c r="BV57" i="12"/>
  <c r="BW57" i="12"/>
  <c r="BX57" i="12"/>
  <c r="BY57" i="12"/>
  <c r="BZ57" i="12"/>
  <c r="CA57" i="12"/>
  <c r="CB57" i="12"/>
  <c r="CC57" i="12"/>
  <c r="CD57" i="12"/>
  <c r="CE57" i="12"/>
  <c r="CF57" i="12"/>
  <c r="CG57" i="12"/>
  <c r="CH57" i="12"/>
  <c r="CI57" i="12"/>
  <c r="CJ57" i="12"/>
  <c r="CK57" i="12"/>
  <c r="CL57" i="12"/>
  <c r="CM57" i="12"/>
  <c r="CN57" i="12"/>
  <c r="CO57" i="12"/>
  <c r="CP57" i="12"/>
  <c r="CS57" i="12"/>
  <c r="CT57" i="12"/>
  <c r="CU57" i="12"/>
  <c r="CV57" i="12"/>
  <c r="CW57" i="12"/>
  <c r="CX57" i="12"/>
  <c r="CY57" i="12"/>
  <c r="CZ57" i="12"/>
  <c r="DA57" i="12"/>
  <c r="DB57" i="12"/>
  <c r="DC57" i="12"/>
  <c r="DD57" i="12"/>
  <c r="DE57" i="12"/>
  <c r="DF57" i="12"/>
  <c r="DG57" i="12"/>
  <c r="DH57" i="12"/>
  <c r="DI57" i="12"/>
  <c r="DJ57" i="12"/>
  <c r="DK57" i="12"/>
  <c r="DL57" i="12"/>
  <c r="DM57" i="12"/>
  <c r="DN57" i="12"/>
  <c r="DO57" i="12"/>
  <c r="DP57" i="12"/>
  <c r="DQ57" i="12"/>
  <c r="DR57" i="12"/>
  <c r="DS57" i="12"/>
  <c r="DT57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W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L49" i="12"/>
  <c r="BM49" i="12"/>
  <c r="BN49" i="12"/>
  <c r="BO49" i="12"/>
  <c r="BP49" i="12"/>
  <c r="BQ49" i="12"/>
  <c r="BR49" i="12"/>
  <c r="BS49" i="12"/>
  <c r="BT49" i="12"/>
  <c r="BU49" i="12"/>
  <c r="BV49" i="12"/>
  <c r="BW49" i="12"/>
  <c r="BX49" i="12"/>
  <c r="BY49" i="12"/>
  <c r="BZ49" i="12"/>
  <c r="CA49" i="12"/>
  <c r="CB49" i="12"/>
  <c r="CC49" i="12"/>
  <c r="CD49" i="12"/>
  <c r="CE49" i="12"/>
  <c r="CF49" i="12"/>
  <c r="CG49" i="12"/>
  <c r="CH49" i="12"/>
  <c r="CI49" i="12"/>
  <c r="CJ49" i="12"/>
  <c r="CK49" i="12"/>
  <c r="CL49" i="12"/>
  <c r="CM49" i="12"/>
  <c r="CN49" i="12"/>
  <c r="CO49" i="12"/>
  <c r="CP49" i="12"/>
  <c r="CS49" i="12"/>
  <c r="CT49" i="12"/>
  <c r="CU49" i="12"/>
  <c r="CV49" i="12"/>
  <c r="CW49" i="12"/>
  <c r="CX49" i="12"/>
  <c r="CY49" i="12"/>
  <c r="CZ49" i="12"/>
  <c r="DA49" i="12"/>
  <c r="DB49" i="12"/>
  <c r="DC49" i="12"/>
  <c r="DD49" i="12"/>
  <c r="DE49" i="12"/>
  <c r="DF49" i="12"/>
  <c r="DG49" i="12"/>
  <c r="DH49" i="12"/>
  <c r="DI49" i="12"/>
  <c r="DJ49" i="12"/>
  <c r="DK49" i="12"/>
  <c r="DL49" i="12"/>
  <c r="DM49" i="12"/>
  <c r="DN49" i="12"/>
  <c r="DO49" i="12"/>
  <c r="DP49" i="12"/>
  <c r="DQ49" i="12"/>
  <c r="DR49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N41" i="12"/>
  <c r="BO41" i="12"/>
  <c r="BP41" i="12"/>
  <c r="BQ41" i="12"/>
  <c r="BR41" i="12"/>
  <c r="BS41" i="12"/>
  <c r="BT41" i="12"/>
  <c r="BU41" i="12"/>
  <c r="BV41" i="12"/>
  <c r="BW41" i="12"/>
  <c r="BX41" i="12"/>
  <c r="BY41" i="12"/>
  <c r="BZ41" i="12"/>
  <c r="CA41" i="12"/>
  <c r="CB41" i="12"/>
  <c r="CC41" i="12"/>
  <c r="CD41" i="12"/>
  <c r="CE41" i="12"/>
  <c r="CF41" i="12"/>
  <c r="CG41" i="12"/>
  <c r="CH41" i="12"/>
  <c r="CI41" i="12"/>
  <c r="CJ41" i="12"/>
  <c r="CK41" i="12"/>
  <c r="CL41" i="12"/>
  <c r="CM41" i="12"/>
  <c r="CN41" i="12"/>
  <c r="CO41" i="12"/>
  <c r="CP41" i="12"/>
  <c r="CS41" i="12"/>
  <c r="CT41" i="12"/>
  <c r="CU41" i="12"/>
  <c r="CV41" i="12"/>
  <c r="CW41" i="12"/>
  <c r="CX41" i="12"/>
  <c r="CY41" i="12"/>
  <c r="CZ41" i="12"/>
  <c r="DA41" i="12"/>
  <c r="DB41" i="12"/>
  <c r="DC41" i="12"/>
  <c r="DD41" i="12"/>
  <c r="DE41" i="12"/>
  <c r="DF41" i="12"/>
  <c r="DG41" i="12"/>
  <c r="DH41" i="12"/>
  <c r="DI41" i="12"/>
  <c r="DJ41" i="12"/>
  <c r="DK41" i="12"/>
  <c r="DL41" i="12"/>
  <c r="DM41" i="12"/>
  <c r="DN41" i="12"/>
  <c r="DO41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L33" i="12"/>
  <c r="BM33" i="12"/>
  <c r="BN33" i="12"/>
  <c r="BO33" i="12"/>
  <c r="BP33" i="12"/>
  <c r="BQ33" i="12"/>
  <c r="BR33" i="12"/>
  <c r="BS33" i="12"/>
  <c r="BT33" i="12"/>
  <c r="BU33" i="12"/>
  <c r="BV33" i="12"/>
  <c r="BW33" i="12"/>
  <c r="BX33" i="12"/>
  <c r="BY33" i="12"/>
  <c r="BZ33" i="12"/>
  <c r="CA33" i="12"/>
  <c r="CB33" i="12"/>
  <c r="CC33" i="12"/>
  <c r="CD33" i="12"/>
  <c r="CE33" i="12"/>
  <c r="CF33" i="12"/>
  <c r="CG33" i="12"/>
  <c r="CH33" i="12"/>
  <c r="CI33" i="12"/>
  <c r="CJ33" i="12"/>
  <c r="CK33" i="12"/>
  <c r="CL33" i="12"/>
  <c r="CM33" i="12"/>
  <c r="CN33" i="12"/>
  <c r="CO33" i="12"/>
  <c r="CP33" i="12"/>
  <c r="CS33" i="12"/>
  <c r="CT33" i="12"/>
  <c r="CU33" i="12"/>
  <c r="CV33" i="12"/>
  <c r="CW33" i="12"/>
  <c r="CX33" i="12"/>
  <c r="CY33" i="12"/>
  <c r="CZ33" i="12"/>
  <c r="DA33" i="12"/>
  <c r="DB33" i="12"/>
  <c r="DC33" i="12"/>
  <c r="DD33" i="12"/>
  <c r="DE33" i="12"/>
  <c r="DF33" i="12"/>
  <c r="DG33" i="12"/>
  <c r="DH33" i="12"/>
  <c r="DI33" i="12"/>
  <c r="DJ33" i="12"/>
  <c r="DK33" i="12"/>
  <c r="DL33" i="12"/>
  <c r="DM33" i="12"/>
  <c r="DN33" i="12"/>
  <c r="DO33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W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L25" i="12"/>
  <c r="BM25" i="12"/>
  <c r="BN25" i="12"/>
  <c r="BO25" i="12"/>
  <c r="BP25" i="12"/>
  <c r="BQ25" i="12"/>
  <c r="BR25" i="12"/>
  <c r="BS25" i="12"/>
  <c r="BT25" i="12"/>
  <c r="BU25" i="12"/>
  <c r="BV25" i="12"/>
  <c r="BW25" i="12"/>
  <c r="BX25" i="12"/>
  <c r="BY25" i="12"/>
  <c r="BZ25" i="12"/>
  <c r="CA25" i="12"/>
  <c r="CB25" i="12"/>
  <c r="CC25" i="12"/>
  <c r="CD25" i="12"/>
  <c r="CE25" i="12"/>
  <c r="CF25" i="12"/>
  <c r="CG25" i="12"/>
  <c r="CH25" i="12"/>
  <c r="CI25" i="12"/>
  <c r="CJ25" i="12"/>
  <c r="CK25" i="12"/>
  <c r="CL25" i="12"/>
  <c r="CM25" i="12"/>
  <c r="CN25" i="12"/>
  <c r="CO25" i="12"/>
  <c r="CP25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W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BM17" i="12"/>
  <c r="BN17" i="12"/>
  <c r="BO17" i="12"/>
  <c r="BP17" i="12"/>
  <c r="BQ17" i="12"/>
  <c r="BR17" i="12"/>
  <c r="BS17" i="12"/>
  <c r="BT17" i="12"/>
  <c r="BU17" i="12"/>
  <c r="BV17" i="12"/>
  <c r="BW17" i="12"/>
  <c r="BX17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K17" i="12"/>
  <c r="CL17" i="12"/>
  <c r="CM17" i="12"/>
  <c r="CN17" i="12"/>
  <c r="CO17" i="12"/>
  <c r="CP17" i="12"/>
  <c r="C1" i="12"/>
  <c r="D1" i="12"/>
  <c r="CS1" i="12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J65" i="11"/>
  <c r="AK65" i="11"/>
  <c r="AL65" i="11"/>
  <c r="AM65" i="11"/>
  <c r="AN65" i="11"/>
  <c r="AO65" i="11"/>
  <c r="AP65" i="11"/>
  <c r="AQ65" i="11"/>
  <c r="AR65" i="11"/>
  <c r="AS65" i="11"/>
  <c r="AT65" i="11"/>
  <c r="AU65" i="11"/>
  <c r="AV65" i="11"/>
  <c r="AW65" i="11"/>
  <c r="AX65" i="11"/>
  <c r="AY65" i="11"/>
  <c r="AZ65" i="11"/>
  <c r="BA65" i="11"/>
  <c r="BB65" i="11"/>
  <c r="BC65" i="11"/>
  <c r="BD65" i="11"/>
  <c r="BE65" i="11"/>
  <c r="BF65" i="11"/>
  <c r="BG65" i="11"/>
  <c r="BH65" i="11"/>
  <c r="BI65" i="11"/>
  <c r="BJ65" i="11"/>
  <c r="BK65" i="11"/>
  <c r="BL65" i="11"/>
  <c r="BM65" i="11"/>
  <c r="BN65" i="11"/>
  <c r="BO65" i="11"/>
  <c r="BP65" i="11"/>
  <c r="BQ65" i="11"/>
  <c r="BR65" i="11"/>
  <c r="BS65" i="11"/>
  <c r="BT65" i="11"/>
  <c r="BU65" i="11"/>
  <c r="BV65" i="11"/>
  <c r="BW65" i="11"/>
  <c r="BX65" i="11"/>
  <c r="BY65" i="11"/>
  <c r="BZ65" i="11"/>
  <c r="CA65" i="11"/>
  <c r="CB65" i="11"/>
  <c r="CC65" i="11"/>
  <c r="CD65" i="11"/>
  <c r="CE65" i="11"/>
  <c r="CF65" i="11"/>
  <c r="CG65" i="11"/>
  <c r="CH65" i="11"/>
  <c r="CI65" i="11"/>
  <c r="CJ65" i="11"/>
  <c r="CK65" i="11"/>
  <c r="CL65" i="11"/>
  <c r="CM65" i="11"/>
  <c r="CN65" i="11"/>
  <c r="CO65" i="11"/>
  <c r="CP65" i="11"/>
  <c r="CQ65" i="11"/>
  <c r="CR65" i="11"/>
  <c r="CS65" i="11"/>
  <c r="CT65" i="11"/>
  <c r="CU65" i="11"/>
  <c r="CV65" i="11"/>
  <c r="CW65" i="11"/>
  <c r="CX65" i="11"/>
  <c r="CY65" i="11"/>
  <c r="CZ65" i="11"/>
  <c r="DA65" i="11"/>
  <c r="DB65" i="11"/>
  <c r="DC65" i="11"/>
  <c r="DD65" i="11"/>
  <c r="DE65" i="11"/>
  <c r="DF65" i="11"/>
  <c r="DG65" i="11"/>
  <c r="DH65" i="11"/>
  <c r="DI65" i="11"/>
  <c r="DJ65" i="11"/>
  <c r="DK65" i="11"/>
  <c r="DL65" i="11"/>
  <c r="DM65" i="11"/>
  <c r="DN65" i="11"/>
  <c r="DO65" i="11"/>
  <c r="DP65" i="11"/>
  <c r="DQ65" i="11"/>
  <c r="DR65" i="11"/>
  <c r="DS65" i="11"/>
  <c r="DT65" i="11"/>
  <c r="DU65" i="11"/>
  <c r="DV65" i="11"/>
  <c r="DW65" i="11"/>
  <c r="DX65" i="11"/>
  <c r="DY65" i="11"/>
  <c r="DZ65" i="11"/>
  <c r="EA65" i="11"/>
  <c r="EB65" i="11"/>
  <c r="EC65" i="11"/>
  <c r="ED65" i="11"/>
  <c r="EE65" i="11"/>
  <c r="EF65" i="11"/>
  <c r="EG65" i="11"/>
  <c r="EH65" i="11"/>
  <c r="EI65" i="11"/>
  <c r="EJ65" i="11"/>
  <c r="EK65" i="11"/>
  <c r="EL65" i="11"/>
  <c r="F70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K57" i="11"/>
  <c r="AL57" i="11"/>
  <c r="AM57" i="11"/>
  <c r="AN57" i="11"/>
  <c r="AO57" i="11"/>
  <c r="AP57" i="11"/>
  <c r="AQ57" i="11"/>
  <c r="AR57" i="11"/>
  <c r="AS57" i="11"/>
  <c r="AT57" i="11"/>
  <c r="AU57" i="11"/>
  <c r="AV57" i="11"/>
  <c r="AW57" i="11"/>
  <c r="AX57" i="11"/>
  <c r="AY57" i="11"/>
  <c r="AZ57" i="11"/>
  <c r="BA57" i="11"/>
  <c r="BB57" i="11"/>
  <c r="BC57" i="11"/>
  <c r="BD57" i="11"/>
  <c r="BE57" i="11"/>
  <c r="BF57" i="11"/>
  <c r="BG57" i="11"/>
  <c r="BH57" i="11"/>
  <c r="BI57" i="11"/>
  <c r="BJ57" i="11"/>
  <c r="BK57" i="11"/>
  <c r="BL57" i="11"/>
  <c r="BM57" i="11"/>
  <c r="BN57" i="11"/>
  <c r="BO57" i="11"/>
  <c r="BP57" i="11"/>
  <c r="BQ57" i="11"/>
  <c r="BR57" i="11"/>
  <c r="BS57" i="11"/>
  <c r="BT57" i="11"/>
  <c r="BU57" i="11"/>
  <c r="BV57" i="11"/>
  <c r="BW57" i="11"/>
  <c r="BX57" i="11"/>
  <c r="BY57" i="11"/>
  <c r="BZ57" i="11"/>
  <c r="CA57" i="11"/>
  <c r="CB57" i="11"/>
  <c r="CC57" i="11"/>
  <c r="CD57" i="11"/>
  <c r="CE57" i="11"/>
  <c r="CF57" i="11"/>
  <c r="CG57" i="11"/>
  <c r="CH57" i="11"/>
  <c r="CI57" i="11"/>
  <c r="CJ57" i="11"/>
  <c r="CK57" i="11"/>
  <c r="CL57" i="11"/>
  <c r="CM57" i="11"/>
  <c r="CN57" i="11"/>
  <c r="CO57" i="11"/>
  <c r="CP57" i="11"/>
  <c r="CQ57" i="11"/>
  <c r="CR57" i="11"/>
  <c r="CS57" i="11"/>
  <c r="CT57" i="11"/>
  <c r="CU57" i="11"/>
  <c r="CV57" i="11"/>
  <c r="CW57" i="11"/>
  <c r="CX57" i="11"/>
  <c r="CY57" i="11"/>
  <c r="CZ57" i="11"/>
  <c r="DA57" i="11"/>
  <c r="DB57" i="11"/>
  <c r="DC57" i="11"/>
  <c r="DD57" i="11"/>
  <c r="DE57" i="11"/>
  <c r="DF57" i="11"/>
  <c r="DG57" i="11"/>
  <c r="DH57" i="11"/>
  <c r="DI57" i="11"/>
  <c r="DJ57" i="11"/>
  <c r="DK57" i="11"/>
  <c r="DL57" i="11"/>
  <c r="DM57" i="11"/>
  <c r="DN57" i="11"/>
  <c r="DO57" i="11"/>
  <c r="DP57" i="11"/>
  <c r="DQ57" i="11"/>
  <c r="DR57" i="11"/>
  <c r="DS57" i="11"/>
  <c r="DT57" i="11"/>
  <c r="DU57" i="11"/>
  <c r="DV57" i="11"/>
  <c r="DW57" i="11"/>
  <c r="DX57" i="11"/>
  <c r="DY57" i="11"/>
  <c r="DZ57" i="11"/>
  <c r="EA57" i="11"/>
  <c r="EB57" i="11"/>
  <c r="EC57" i="11"/>
  <c r="ED57" i="11"/>
  <c r="EE57" i="11"/>
  <c r="EF57" i="11"/>
  <c r="EG57" i="11"/>
  <c r="EH57" i="11"/>
  <c r="EI57" i="11"/>
  <c r="EJ57" i="11"/>
  <c r="EK57" i="11"/>
  <c r="EL57" i="11"/>
  <c r="F62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K49" i="11"/>
  <c r="AL49" i="11"/>
  <c r="AM49" i="11"/>
  <c r="AN49" i="11"/>
  <c r="AO49" i="11"/>
  <c r="AP49" i="11"/>
  <c r="AQ49" i="11"/>
  <c r="AR49" i="11"/>
  <c r="AS49" i="11"/>
  <c r="AT49" i="11"/>
  <c r="AU49" i="11"/>
  <c r="AV49" i="11"/>
  <c r="AW49" i="11"/>
  <c r="AX49" i="11"/>
  <c r="AY49" i="11"/>
  <c r="AZ49" i="11"/>
  <c r="BA49" i="11"/>
  <c r="BB49" i="11"/>
  <c r="BC49" i="11"/>
  <c r="BD49" i="11"/>
  <c r="BE49" i="11"/>
  <c r="BF49" i="11"/>
  <c r="BG49" i="11"/>
  <c r="BH49" i="11"/>
  <c r="BI49" i="11"/>
  <c r="BJ49" i="11"/>
  <c r="BK49" i="11"/>
  <c r="BL49" i="11"/>
  <c r="BM49" i="11"/>
  <c r="BN49" i="11"/>
  <c r="BO49" i="11"/>
  <c r="BP49" i="11"/>
  <c r="BQ49" i="11"/>
  <c r="BR49" i="11"/>
  <c r="BS49" i="11"/>
  <c r="BT49" i="11"/>
  <c r="BU49" i="11"/>
  <c r="BV49" i="11"/>
  <c r="BW49" i="11"/>
  <c r="BX49" i="11"/>
  <c r="BY49" i="11"/>
  <c r="BZ49" i="11"/>
  <c r="CA49" i="11"/>
  <c r="CB49" i="11"/>
  <c r="CC49" i="11"/>
  <c r="CD49" i="11"/>
  <c r="CE49" i="11"/>
  <c r="CF49" i="11"/>
  <c r="CG49" i="11"/>
  <c r="CH49" i="11"/>
  <c r="CI49" i="11"/>
  <c r="CJ49" i="11"/>
  <c r="CK49" i="11"/>
  <c r="CL49" i="11"/>
  <c r="CM49" i="11"/>
  <c r="CN49" i="11"/>
  <c r="CO49" i="11"/>
  <c r="CP49" i="11"/>
  <c r="CQ49" i="11"/>
  <c r="CR49" i="11"/>
  <c r="CS49" i="11"/>
  <c r="CT49" i="11"/>
  <c r="CU49" i="11"/>
  <c r="CV49" i="11"/>
  <c r="CW49" i="11"/>
  <c r="CX49" i="11"/>
  <c r="CY49" i="11"/>
  <c r="CZ49" i="11"/>
  <c r="DA49" i="11"/>
  <c r="DB49" i="11"/>
  <c r="DC49" i="11"/>
  <c r="DD49" i="11"/>
  <c r="DE49" i="11"/>
  <c r="DF49" i="11"/>
  <c r="DG49" i="11"/>
  <c r="DH49" i="11"/>
  <c r="DI49" i="11"/>
  <c r="DJ49" i="11"/>
  <c r="DK49" i="11"/>
  <c r="DL49" i="11"/>
  <c r="DM49" i="11"/>
  <c r="DN49" i="11"/>
  <c r="DO49" i="11"/>
  <c r="DP49" i="11"/>
  <c r="DQ49" i="11"/>
  <c r="DR49" i="11"/>
  <c r="DS49" i="11"/>
  <c r="DT49" i="11"/>
  <c r="DU49" i="11"/>
  <c r="DV49" i="11"/>
  <c r="DW49" i="11"/>
  <c r="DX49" i="11"/>
  <c r="DY49" i="11"/>
  <c r="DZ49" i="11"/>
  <c r="EA49" i="11"/>
  <c r="EB49" i="11"/>
  <c r="EC49" i="11"/>
  <c r="ED49" i="11"/>
  <c r="EE49" i="11"/>
  <c r="EF49" i="11"/>
  <c r="EG49" i="11"/>
  <c r="EH49" i="11"/>
  <c r="EI49" i="11"/>
  <c r="EJ49" i="11"/>
  <c r="EK49" i="11"/>
  <c r="EL49" i="11"/>
  <c r="F54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AN41" i="11"/>
  <c r="AO41" i="11"/>
  <c r="AP41" i="11"/>
  <c r="AQ41" i="11"/>
  <c r="AR41" i="11"/>
  <c r="AS41" i="11"/>
  <c r="AT41" i="11"/>
  <c r="AU41" i="11"/>
  <c r="AV41" i="11"/>
  <c r="AW41" i="11"/>
  <c r="AX41" i="11"/>
  <c r="AY41" i="11"/>
  <c r="AZ41" i="11"/>
  <c r="BA41" i="11"/>
  <c r="BB41" i="11"/>
  <c r="BC41" i="11"/>
  <c r="BD41" i="11"/>
  <c r="BE41" i="11"/>
  <c r="BF41" i="11"/>
  <c r="BG41" i="11"/>
  <c r="BH41" i="11"/>
  <c r="BI41" i="11"/>
  <c r="BJ41" i="11"/>
  <c r="BK41" i="11"/>
  <c r="BL41" i="11"/>
  <c r="BM41" i="11"/>
  <c r="BN41" i="11"/>
  <c r="BO41" i="11"/>
  <c r="BP41" i="11"/>
  <c r="BQ41" i="11"/>
  <c r="BR41" i="11"/>
  <c r="BS41" i="11"/>
  <c r="BT41" i="11"/>
  <c r="BU41" i="11"/>
  <c r="BV41" i="11"/>
  <c r="BW41" i="11"/>
  <c r="BX41" i="11"/>
  <c r="BY41" i="11"/>
  <c r="BZ41" i="11"/>
  <c r="CA41" i="11"/>
  <c r="CB41" i="11"/>
  <c r="CC41" i="11"/>
  <c r="CD41" i="11"/>
  <c r="CE41" i="11"/>
  <c r="CF41" i="11"/>
  <c r="CG41" i="11"/>
  <c r="CH41" i="11"/>
  <c r="CI41" i="11"/>
  <c r="CJ41" i="11"/>
  <c r="CK41" i="11"/>
  <c r="CL41" i="11"/>
  <c r="CM41" i="11"/>
  <c r="CN41" i="11"/>
  <c r="CO41" i="11"/>
  <c r="CP41" i="11"/>
  <c r="CQ41" i="11"/>
  <c r="CR41" i="11"/>
  <c r="CS41" i="11"/>
  <c r="CT41" i="11"/>
  <c r="CU41" i="11"/>
  <c r="CV41" i="11"/>
  <c r="CW41" i="11"/>
  <c r="CX41" i="11"/>
  <c r="CY41" i="11"/>
  <c r="CZ41" i="11"/>
  <c r="DA41" i="11"/>
  <c r="DB41" i="11"/>
  <c r="DC41" i="11"/>
  <c r="DD41" i="11"/>
  <c r="DE41" i="11"/>
  <c r="DF41" i="11"/>
  <c r="DG41" i="11"/>
  <c r="DH41" i="11"/>
  <c r="DI41" i="11"/>
  <c r="DJ41" i="11"/>
  <c r="DK41" i="11"/>
  <c r="DL41" i="11"/>
  <c r="DM41" i="11"/>
  <c r="DN41" i="11"/>
  <c r="DO41" i="11"/>
  <c r="DP41" i="11"/>
  <c r="DQ41" i="11"/>
  <c r="DR41" i="11"/>
  <c r="DS41" i="11"/>
  <c r="DT41" i="11"/>
  <c r="DU41" i="11"/>
  <c r="DV41" i="11"/>
  <c r="DW41" i="11"/>
  <c r="DX41" i="11"/>
  <c r="DY41" i="11"/>
  <c r="DZ41" i="11"/>
  <c r="EA41" i="11"/>
  <c r="EB41" i="11"/>
  <c r="EC41" i="11"/>
  <c r="ED41" i="11"/>
  <c r="EE41" i="11"/>
  <c r="EF41" i="11"/>
  <c r="EG41" i="11"/>
  <c r="EH41" i="11"/>
  <c r="EI41" i="11"/>
  <c r="EJ41" i="11"/>
  <c r="EK41" i="11"/>
  <c r="EL41" i="11"/>
  <c r="F46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BQ33" i="11"/>
  <c r="BR33" i="11"/>
  <c r="BS33" i="11"/>
  <c r="BT33" i="11"/>
  <c r="BU33" i="11"/>
  <c r="BV33" i="11"/>
  <c r="BW33" i="11"/>
  <c r="BX33" i="11"/>
  <c r="BY33" i="11"/>
  <c r="BZ33" i="11"/>
  <c r="CA33" i="11"/>
  <c r="CB33" i="11"/>
  <c r="CC33" i="11"/>
  <c r="CD33" i="11"/>
  <c r="CE33" i="11"/>
  <c r="CF33" i="11"/>
  <c r="CG33" i="11"/>
  <c r="CH33" i="11"/>
  <c r="CI33" i="11"/>
  <c r="CJ33" i="11"/>
  <c r="CK33" i="11"/>
  <c r="CL33" i="11"/>
  <c r="CM33" i="11"/>
  <c r="CN33" i="11"/>
  <c r="CO33" i="11"/>
  <c r="CP33" i="11"/>
  <c r="CQ33" i="11"/>
  <c r="CR33" i="11"/>
  <c r="CS33" i="11"/>
  <c r="CT33" i="11"/>
  <c r="CU33" i="11"/>
  <c r="CV33" i="11"/>
  <c r="CW33" i="11"/>
  <c r="CX33" i="11"/>
  <c r="CY33" i="11"/>
  <c r="CZ33" i="11"/>
  <c r="DA33" i="11"/>
  <c r="DB33" i="11"/>
  <c r="DC33" i="11"/>
  <c r="DD33" i="11"/>
  <c r="DE33" i="11"/>
  <c r="DF33" i="11"/>
  <c r="DG33" i="11"/>
  <c r="DH33" i="11"/>
  <c r="DI33" i="11"/>
  <c r="DJ33" i="11"/>
  <c r="DK33" i="11"/>
  <c r="DL33" i="11"/>
  <c r="DM33" i="11"/>
  <c r="DN33" i="11"/>
  <c r="DO33" i="11"/>
  <c r="DP33" i="11"/>
  <c r="DQ33" i="11"/>
  <c r="DR33" i="11"/>
  <c r="DS33" i="11"/>
  <c r="DT33" i="11"/>
  <c r="DU33" i="11"/>
  <c r="DV33" i="11"/>
  <c r="DW33" i="11"/>
  <c r="DX33" i="11"/>
  <c r="DY33" i="11"/>
  <c r="DZ33" i="11"/>
  <c r="EA33" i="11"/>
  <c r="EB33" i="11"/>
  <c r="EC33" i="11"/>
  <c r="ED33" i="11"/>
  <c r="EE33" i="11"/>
  <c r="EF33" i="11"/>
  <c r="EG33" i="11"/>
  <c r="EH33" i="11"/>
  <c r="EI33" i="11"/>
  <c r="EJ33" i="11"/>
  <c r="EK33" i="11"/>
  <c r="EL33" i="11"/>
  <c r="F38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W25" i="11"/>
  <c r="AX25" i="11"/>
  <c r="AY25" i="11"/>
  <c r="AZ25" i="11"/>
  <c r="BA25" i="11"/>
  <c r="BB25" i="11"/>
  <c r="BC25" i="11"/>
  <c r="BD25" i="11"/>
  <c r="BE25" i="11"/>
  <c r="BF25" i="11"/>
  <c r="BG25" i="11"/>
  <c r="BH25" i="11"/>
  <c r="BI25" i="11"/>
  <c r="BJ25" i="11"/>
  <c r="BK25" i="11"/>
  <c r="BL25" i="11"/>
  <c r="BM25" i="11"/>
  <c r="BN25" i="11"/>
  <c r="BO25" i="11"/>
  <c r="BP25" i="11"/>
  <c r="BQ25" i="11"/>
  <c r="BR25" i="11"/>
  <c r="BS25" i="11"/>
  <c r="BT25" i="11"/>
  <c r="BU25" i="11"/>
  <c r="BV25" i="11"/>
  <c r="BW25" i="11"/>
  <c r="BX25" i="11"/>
  <c r="BY25" i="11"/>
  <c r="BZ25" i="11"/>
  <c r="CA25" i="11"/>
  <c r="CB25" i="11"/>
  <c r="CC25" i="11"/>
  <c r="CD25" i="11"/>
  <c r="CE25" i="11"/>
  <c r="CF25" i="11"/>
  <c r="CG25" i="11"/>
  <c r="CH25" i="11"/>
  <c r="CI25" i="11"/>
  <c r="CJ25" i="11"/>
  <c r="CK25" i="11"/>
  <c r="CL25" i="11"/>
  <c r="CM25" i="11"/>
  <c r="CN25" i="11"/>
  <c r="CO25" i="11"/>
  <c r="CP25" i="11"/>
  <c r="CQ25" i="11"/>
  <c r="CR25" i="11"/>
  <c r="CS25" i="11"/>
  <c r="CT25" i="11"/>
  <c r="CU25" i="11"/>
  <c r="CV25" i="11"/>
  <c r="CW25" i="11"/>
  <c r="CX25" i="11"/>
  <c r="CY25" i="11"/>
  <c r="CZ25" i="11"/>
  <c r="DA25" i="11"/>
  <c r="DB25" i="11"/>
  <c r="DC25" i="11"/>
  <c r="DD25" i="11"/>
  <c r="DE25" i="11"/>
  <c r="DF25" i="11"/>
  <c r="DG25" i="11"/>
  <c r="DH25" i="11"/>
  <c r="DI25" i="11"/>
  <c r="DJ25" i="11"/>
  <c r="DK25" i="11"/>
  <c r="DL25" i="11"/>
  <c r="DM25" i="11"/>
  <c r="DN25" i="11"/>
  <c r="DO25" i="11"/>
  <c r="DP25" i="11"/>
  <c r="DQ25" i="11"/>
  <c r="DR25" i="11"/>
  <c r="DS25" i="11"/>
  <c r="DT25" i="11"/>
  <c r="DU25" i="11"/>
  <c r="DV25" i="11"/>
  <c r="DW25" i="11"/>
  <c r="DX25" i="11"/>
  <c r="DY25" i="11"/>
  <c r="DZ25" i="11"/>
  <c r="EA25" i="11"/>
  <c r="EB25" i="11"/>
  <c r="EC25" i="11"/>
  <c r="ED25" i="11"/>
  <c r="EE25" i="11"/>
  <c r="EF25" i="11"/>
  <c r="EG25" i="11"/>
  <c r="EH25" i="11"/>
  <c r="EI25" i="11"/>
  <c r="EJ25" i="11"/>
  <c r="EK25" i="11"/>
  <c r="EL25" i="11"/>
  <c r="F30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A17" i="11"/>
  <c r="BB17" i="11"/>
  <c r="BC17" i="11"/>
  <c r="BD17" i="11"/>
  <c r="BE17" i="11"/>
  <c r="BF17" i="11"/>
  <c r="BG17" i="11"/>
  <c r="BH17" i="11"/>
  <c r="BI17" i="11"/>
  <c r="BJ17" i="11"/>
  <c r="BK17" i="11"/>
  <c r="BL17" i="11"/>
  <c r="BM17" i="11"/>
  <c r="BN17" i="11"/>
  <c r="BO17" i="11"/>
  <c r="BP17" i="11"/>
  <c r="BQ17" i="11"/>
  <c r="BR17" i="11"/>
  <c r="BS17" i="11"/>
  <c r="BT17" i="11"/>
  <c r="BU17" i="11"/>
  <c r="BV17" i="11"/>
  <c r="BW17" i="11"/>
  <c r="BX17" i="11"/>
  <c r="BY17" i="11"/>
  <c r="BZ17" i="11"/>
  <c r="CA17" i="11"/>
  <c r="CB17" i="11"/>
  <c r="CC17" i="11"/>
  <c r="CD17" i="11"/>
  <c r="CE17" i="11"/>
  <c r="CF17" i="11"/>
  <c r="CG17" i="11"/>
  <c r="CH17" i="11"/>
  <c r="CI17" i="11"/>
  <c r="CJ17" i="11"/>
  <c r="CK17" i="11"/>
  <c r="CL17" i="11"/>
  <c r="CM17" i="11"/>
  <c r="CN17" i="11"/>
  <c r="CO17" i="11"/>
  <c r="CP17" i="11"/>
  <c r="CQ17" i="11"/>
  <c r="CR17" i="11"/>
  <c r="CS17" i="11"/>
  <c r="CT17" i="11"/>
  <c r="CU17" i="11"/>
  <c r="CV17" i="11"/>
  <c r="CW17" i="11"/>
  <c r="CX17" i="11"/>
  <c r="CY17" i="11"/>
  <c r="CZ17" i="11"/>
  <c r="DA17" i="11"/>
  <c r="DB17" i="11"/>
  <c r="DC17" i="11"/>
  <c r="DD17" i="11"/>
  <c r="DE17" i="11"/>
  <c r="DF17" i="11"/>
  <c r="DG17" i="11"/>
  <c r="DH17" i="11"/>
  <c r="DI17" i="11"/>
  <c r="DJ17" i="11"/>
  <c r="DK17" i="11"/>
  <c r="DL17" i="11"/>
  <c r="DM17" i="11"/>
  <c r="DN17" i="11"/>
  <c r="DO17" i="11"/>
  <c r="DP17" i="11"/>
  <c r="DQ17" i="11"/>
  <c r="DR17" i="11"/>
  <c r="DS17" i="11"/>
  <c r="DT17" i="11"/>
  <c r="DU17" i="11"/>
  <c r="DV17" i="11"/>
  <c r="DW17" i="11"/>
  <c r="DX17" i="11"/>
  <c r="DY17" i="11"/>
  <c r="DZ17" i="11"/>
  <c r="EA17" i="11"/>
  <c r="EB17" i="11"/>
  <c r="EC17" i="11"/>
  <c r="ED17" i="11"/>
  <c r="EE17" i="11"/>
  <c r="EF17" i="11"/>
  <c r="EG17" i="11"/>
  <c r="EH17" i="11"/>
  <c r="EI17" i="11"/>
  <c r="EJ17" i="11"/>
  <c r="EK17" i="11"/>
  <c r="EL17" i="11"/>
  <c r="F22" i="11"/>
  <c r="F14" i="11"/>
  <c r="C1" i="11"/>
  <c r="D1" i="11"/>
  <c r="W1" i="11"/>
  <c r="X1" i="11"/>
  <c r="Y1" i="11"/>
  <c r="Z1" i="11"/>
  <c r="AA1" i="11"/>
  <c r="AB1" i="11"/>
  <c r="AC1" i="11"/>
  <c r="AD1" i="11"/>
  <c r="AE1" i="11"/>
  <c r="AF1" i="11"/>
  <c r="AG1" i="11"/>
  <c r="AH1" i="11"/>
  <c r="AI1" i="11"/>
  <c r="AJ1" i="11"/>
  <c r="AK1" i="11"/>
  <c r="AL1" i="11"/>
  <c r="AM1" i="11"/>
  <c r="AN1" i="11"/>
  <c r="AO1" i="11"/>
  <c r="AP1" i="11"/>
  <c r="AQ1" i="11"/>
  <c r="AR1" i="11"/>
  <c r="AS1" i="11"/>
  <c r="AT1" i="11"/>
  <c r="AU1" i="11"/>
  <c r="AV1" i="11"/>
  <c r="AW1" i="11"/>
  <c r="AX1" i="11"/>
  <c r="AY1" i="11"/>
  <c r="AZ1" i="11"/>
  <c r="BA1" i="11"/>
  <c r="BB1" i="11"/>
  <c r="BC1" i="11"/>
  <c r="BD1" i="11"/>
  <c r="BE1" i="11"/>
  <c r="BF1" i="11"/>
  <c r="BG1" i="11"/>
  <c r="BH1" i="11"/>
  <c r="BI1" i="11"/>
  <c r="BJ1" i="11"/>
  <c r="BK1" i="11"/>
  <c r="BL1" i="11"/>
  <c r="BM1" i="11"/>
  <c r="BN1" i="11"/>
  <c r="BO1" i="11"/>
  <c r="BP1" i="11"/>
  <c r="BQ1" i="11"/>
  <c r="BR1" i="11"/>
  <c r="BS1" i="11"/>
  <c r="BT1" i="11"/>
  <c r="BU1" i="11"/>
  <c r="BV1" i="11"/>
  <c r="BW1" i="11"/>
  <c r="BX1" i="11"/>
  <c r="BY1" i="11"/>
  <c r="BZ1" i="11"/>
  <c r="CA1" i="11"/>
  <c r="CB1" i="11"/>
  <c r="CC1" i="11"/>
  <c r="CD1" i="11"/>
  <c r="CE1" i="11"/>
  <c r="CF1" i="11"/>
  <c r="CG1" i="11"/>
  <c r="CH1" i="11"/>
  <c r="CI1" i="11"/>
  <c r="CJ1" i="11"/>
  <c r="CK1" i="11"/>
  <c r="CL1" i="11"/>
  <c r="CM1" i="11"/>
  <c r="CN1" i="11"/>
  <c r="CO1" i="11"/>
  <c r="CP1" i="11"/>
  <c r="CQ1" i="11"/>
  <c r="CR1" i="11"/>
  <c r="CS1" i="11"/>
  <c r="CT1" i="11"/>
  <c r="CU1" i="11"/>
  <c r="CV1" i="11"/>
  <c r="CW1" i="11"/>
  <c r="CX1" i="11"/>
  <c r="CY1" i="11"/>
  <c r="CZ1" i="11"/>
  <c r="DA1" i="11"/>
  <c r="DB1" i="11"/>
  <c r="DC1" i="11"/>
  <c r="DD1" i="11"/>
  <c r="DE1" i="11"/>
  <c r="DF1" i="11"/>
  <c r="DG1" i="11"/>
  <c r="DH1" i="11"/>
  <c r="DI1" i="11"/>
  <c r="DJ1" i="11"/>
  <c r="DK1" i="11"/>
  <c r="DL1" i="11"/>
  <c r="DM1" i="11"/>
  <c r="DN1" i="11"/>
  <c r="DO1" i="11"/>
  <c r="DP1" i="11"/>
  <c r="DQ1" i="11"/>
  <c r="DR1" i="11"/>
  <c r="DS1" i="11"/>
  <c r="DT1" i="11"/>
  <c r="DU1" i="11"/>
  <c r="DV1" i="11"/>
  <c r="DW1" i="11"/>
  <c r="DX1" i="11"/>
  <c r="DY1" i="11"/>
  <c r="DZ1" i="11"/>
  <c r="EA1" i="11"/>
  <c r="EB1" i="11"/>
  <c r="EC1" i="11"/>
  <c r="ED1" i="11"/>
  <c r="EE1" i="11"/>
  <c r="EF1" i="11"/>
  <c r="EG1" i="11"/>
  <c r="EH1" i="11"/>
  <c r="EI1" i="11"/>
  <c r="EJ1" i="11"/>
  <c r="EK1" i="11"/>
  <c r="EL1" i="11"/>
  <c r="F6" i="11"/>
  <c r="O56" i="9"/>
  <c r="P56" i="9" s="1"/>
  <c r="Q56" i="9" s="1"/>
  <c r="R56" i="9" s="1"/>
  <c r="S56" i="9" s="1"/>
  <c r="T56" i="9" s="1"/>
  <c r="U56" i="9" s="1"/>
  <c r="V56" i="9" s="1"/>
  <c r="W56" i="9" s="1"/>
  <c r="X56" i="9" s="1"/>
  <c r="Y56" i="9" s="1"/>
  <c r="Z56" i="9" s="1"/>
  <c r="AA56" i="9" s="1"/>
  <c r="AB56" i="9" s="1"/>
  <c r="AC56" i="9" s="1"/>
  <c r="AD56" i="9" s="1"/>
  <c r="AE56" i="9" s="1"/>
  <c r="AF56" i="9" s="1"/>
  <c r="AG56" i="9" s="1"/>
  <c r="AH56" i="9" s="1"/>
  <c r="AI56" i="9" s="1"/>
  <c r="AJ56" i="9" s="1"/>
  <c r="AK56" i="9" s="1"/>
  <c r="AL56" i="9" s="1"/>
  <c r="AM56" i="9" s="1"/>
  <c r="AN56" i="9" s="1"/>
  <c r="AO56" i="9" s="1"/>
  <c r="AP56" i="9" s="1"/>
  <c r="AQ56" i="9" s="1"/>
  <c r="AR56" i="9" s="1"/>
  <c r="AS56" i="9" s="1"/>
  <c r="AT56" i="9" s="1"/>
  <c r="AU56" i="9" s="1"/>
  <c r="AV56" i="9" s="1"/>
  <c r="AW56" i="9" s="1"/>
  <c r="AX56" i="9" s="1"/>
  <c r="AY56" i="9" s="1"/>
  <c r="AZ56" i="9" s="1"/>
  <c r="BA56" i="9" s="1"/>
  <c r="BB56" i="9" s="1"/>
  <c r="BC56" i="9" s="1"/>
  <c r="BD56" i="9" s="1"/>
  <c r="BE56" i="9" s="1"/>
  <c r="BF56" i="9" s="1"/>
  <c r="BG56" i="9" s="1"/>
  <c r="BH56" i="9" s="1"/>
  <c r="BI56" i="9" s="1"/>
  <c r="BJ56" i="9" s="1"/>
  <c r="BK56" i="9" s="1"/>
  <c r="BL56" i="9" s="1"/>
  <c r="BM56" i="9" s="1"/>
  <c r="BN56" i="9" s="1"/>
  <c r="BO56" i="9" s="1"/>
  <c r="BP56" i="9" s="1"/>
  <c r="BQ56" i="9" s="1"/>
  <c r="BR56" i="9" s="1"/>
  <c r="BS56" i="9" s="1"/>
  <c r="BT56" i="9" s="1"/>
  <c r="BU56" i="9" s="1"/>
  <c r="BV56" i="9" s="1"/>
  <c r="BW56" i="9" s="1"/>
  <c r="BX56" i="9" s="1"/>
  <c r="BY56" i="9" s="1"/>
  <c r="BZ56" i="9" s="1"/>
  <c r="CA56" i="9" s="1"/>
  <c r="CB56" i="9" s="1"/>
  <c r="CC56" i="9" s="1"/>
  <c r="CD56" i="9" s="1"/>
  <c r="CE56" i="9" s="1"/>
  <c r="CF56" i="9" s="1"/>
  <c r="CG56" i="9" s="1"/>
  <c r="CH56" i="9" s="1"/>
  <c r="CI56" i="9" s="1"/>
  <c r="CJ56" i="9" s="1"/>
  <c r="CK56" i="9" s="1"/>
  <c r="CL56" i="9" s="1"/>
  <c r="CM56" i="9" s="1"/>
  <c r="CN56" i="9" s="1"/>
  <c r="CO56" i="9" s="1"/>
  <c r="CP56" i="9" s="1"/>
  <c r="CQ56" i="9" s="1"/>
  <c r="CR56" i="9" s="1"/>
  <c r="CS56" i="9" s="1"/>
  <c r="CV56" i="9"/>
  <c r="CW56" i="9" s="1"/>
  <c r="CX56" i="9" s="1"/>
  <c r="CY56" i="9" s="1"/>
  <c r="CZ56" i="9" s="1"/>
  <c r="DA56" i="9" s="1"/>
  <c r="DB56" i="9" s="1"/>
  <c r="DC56" i="9" s="1"/>
  <c r="DD56" i="9" s="1"/>
  <c r="DE56" i="9" s="1"/>
  <c r="DF56" i="9" s="1"/>
  <c r="DG56" i="9" s="1"/>
  <c r="DH56" i="9" s="1"/>
  <c r="DI56" i="9" s="1"/>
  <c r="DJ56" i="9" s="1"/>
  <c r="DK56" i="9" s="1"/>
  <c r="DL56" i="9" s="1"/>
  <c r="DM56" i="9" s="1"/>
  <c r="DN56" i="9" s="1"/>
  <c r="DO56" i="9" s="1"/>
  <c r="DP56" i="9" s="1"/>
  <c r="DQ56" i="9" s="1"/>
  <c r="DR56" i="9" s="1"/>
  <c r="DS56" i="9" s="1"/>
  <c r="DT56" i="9" s="1"/>
  <c r="DU56" i="9" s="1"/>
  <c r="DV56" i="9" s="1"/>
  <c r="DW56" i="9" s="1"/>
  <c r="O48" i="9"/>
  <c r="P48" i="9" s="1"/>
  <c r="Q48" i="9" s="1"/>
  <c r="R48" i="9" s="1"/>
  <c r="S48" i="9" s="1"/>
  <c r="T48" i="9" s="1"/>
  <c r="U48" i="9" s="1"/>
  <c r="V48" i="9" s="1"/>
  <c r="W48" i="9" s="1"/>
  <c r="X48" i="9" s="1"/>
  <c r="Y48" i="9" s="1"/>
  <c r="Z48" i="9" s="1"/>
  <c r="AA48" i="9" s="1"/>
  <c r="AB48" i="9" s="1"/>
  <c r="AC48" i="9" s="1"/>
  <c r="AD48" i="9" s="1"/>
  <c r="AE48" i="9" s="1"/>
  <c r="AF48" i="9" s="1"/>
  <c r="AG48" i="9" s="1"/>
  <c r="AH48" i="9" s="1"/>
  <c r="AI48" i="9" s="1"/>
  <c r="AJ48" i="9" s="1"/>
  <c r="AK48" i="9" s="1"/>
  <c r="AL48" i="9" s="1"/>
  <c r="AM48" i="9" s="1"/>
  <c r="AN48" i="9" s="1"/>
  <c r="AO48" i="9" s="1"/>
  <c r="AP48" i="9" s="1"/>
  <c r="AQ48" i="9" s="1"/>
  <c r="AR48" i="9" s="1"/>
  <c r="AS48" i="9" s="1"/>
  <c r="AT48" i="9" s="1"/>
  <c r="AU48" i="9" s="1"/>
  <c r="AV48" i="9" s="1"/>
  <c r="AW48" i="9" s="1"/>
  <c r="AX48" i="9" s="1"/>
  <c r="AY48" i="9" s="1"/>
  <c r="AZ48" i="9" s="1"/>
  <c r="BA48" i="9" s="1"/>
  <c r="BB48" i="9" s="1"/>
  <c r="BC48" i="9" s="1"/>
  <c r="BD48" i="9" s="1"/>
  <c r="BE48" i="9" s="1"/>
  <c r="BF48" i="9" s="1"/>
  <c r="BG48" i="9" s="1"/>
  <c r="BH48" i="9" s="1"/>
  <c r="BI48" i="9" s="1"/>
  <c r="BJ48" i="9" s="1"/>
  <c r="BK48" i="9" s="1"/>
  <c r="BL48" i="9" s="1"/>
  <c r="BM48" i="9" s="1"/>
  <c r="BN48" i="9" s="1"/>
  <c r="BO48" i="9" s="1"/>
  <c r="BP48" i="9" s="1"/>
  <c r="BQ48" i="9" s="1"/>
  <c r="BR48" i="9" s="1"/>
  <c r="BS48" i="9" s="1"/>
  <c r="BT48" i="9" s="1"/>
  <c r="BU48" i="9" s="1"/>
  <c r="BV48" i="9" s="1"/>
  <c r="BW48" i="9" s="1"/>
  <c r="BX48" i="9" s="1"/>
  <c r="BY48" i="9" s="1"/>
  <c r="BZ48" i="9" s="1"/>
  <c r="CA48" i="9" s="1"/>
  <c r="CB48" i="9" s="1"/>
  <c r="CC48" i="9" s="1"/>
  <c r="CD48" i="9" s="1"/>
  <c r="CE48" i="9" s="1"/>
  <c r="CF48" i="9" s="1"/>
  <c r="CG48" i="9" s="1"/>
  <c r="CH48" i="9" s="1"/>
  <c r="CI48" i="9" s="1"/>
  <c r="CJ48" i="9" s="1"/>
  <c r="CK48" i="9" s="1"/>
  <c r="CL48" i="9" s="1"/>
  <c r="CM48" i="9" s="1"/>
  <c r="CN48" i="9" s="1"/>
  <c r="CO48" i="9" s="1"/>
  <c r="CP48" i="9" s="1"/>
  <c r="CQ48" i="9" s="1"/>
  <c r="CR48" i="9" s="1"/>
  <c r="CS48" i="9" s="1"/>
  <c r="CV48" i="9"/>
  <c r="CW48" i="9" s="1"/>
  <c r="CX48" i="9" s="1"/>
  <c r="CY48" i="9" s="1"/>
  <c r="CZ48" i="9" s="1"/>
  <c r="DA48" i="9" s="1"/>
  <c r="DB48" i="9" s="1"/>
  <c r="DC48" i="9" s="1"/>
  <c r="DD48" i="9" s="1"/>
  <c r="DE48" i="9" s="1"/>
  <c r="DF48" i="9" s="1"/>
  <c r="DG48" i="9" s="1"/>
  <c r="DH48" i="9" s="1"/>
  <c r="DI48" i="9" s="1"/>
  <c r="DJ48" i="9" s="1"/>
  <c r="DK48" i="9" s="1"/>
  <c r="DL48" i="9" s="1"/>
  <c r="DM48" i="9" s="1"/>
  <c r="DN48" i="9" s="1"/>
  <c r="DO48" i="9" s="1"/>
  <c r="DP48" i="9" s="1"/>
  <c r="DQ48" i="9" s="1"/>
  <c r="DR48" i="9" s="1"/>
  <c r="DS48" i="9" s="1"/>
  <c r="DT48" i="9" s="1"/>
  <c r="DU48" i="9" s="1"/>
  <c r="O40" i="9"/>
  <c r="P40" i="9" s="1"/>
  <c r="Q40" i="9" s="1"/>
  <c r="R40" i="9" s="1"/>
  <c r="S40" i="9" s="1"/>
  <c r="T40" i="9" s="1"/>
  <c r="U40" i="9" s="1"/>
  <c r="V40" i="9" s="1"/>
  <c r="W40" i="9" s="1"/>
  <c r="X40" i="9" s="1"/>
  <c r="Y40" i="9" s="1"/>
  <c r="Z40" i="9" s="1"/>
  <c r="AA40" i="9" s="1"/>
  <c r="AB40" i="9" s="1"/>
  <c r="AC40" i="9" s="1"/>
  <c r="AD40" i="9" s="1"/>
  <c r="AE40" i="9" s="1"/>
  <c r="AF40" i="9" s="1"/>
  <c r="AG40" i="9" s="1"/>
  <c r="AH40" i="9" s="1"/>
  <c r="AI40" i="9" s="1"/>
  <c r="AJ40" i="9" s="1"/>
  <c r="AK40" i="9" s="1"/>
  <c r="AL40" i="9" s="1"/>
  <c r="AM40" i="9" s="1"/>
  <c r="AN40" i="9" s="1"/>
  <c r="AO40" i="9" s="1"/>
  <c r="AP40" i="9" s="1"/>
  <c r="AQ40" i="9" s="1"/>
  <c r="AR40" i="9" s="1"/>
  <c r="AS40" i="9" s="1"/>
  <c r="AT40" i="9" s="1"/>
  <c r="AU40" i="9" s="1"/>
  <c r="AV40" i="9" s="1"/>
  <c r="AW40" i="9" s="1"/>
  <c r="AX40" i="9" s="1"/>
  <c r="AY40" i="9" s="1"/>
  <c r="AZ40" i="9" s="1"/>
  <c r="BA40" i="9" s="1"/>
  <c r="BB40" i="9" s="1"/>
  <c r="BC40" i="9" s="1"/>
  <c r="BD40" i="9" s="1"/>
  <c r="BE40" i="9" s="1"/>
  <c r="BF40" i="9" s="1"/>
  <c r="BG40" i="9" s="1"/>
  <c r="BH40" i="9" s="1"/>
  <c r="BI40" i="9" s="1"/>
  <c r="BJ40" i="9" s="1"/>
  <c r="BK40" i="9" s="1"/>
  <c r="BL40" i="9" s="1"/>
  <c r="BM40" i="9" s="1"/>
  <c r="BN40" i="9" s="1"/>
  <c r="BO40" i="9" s="1"/>
  <c r="BP40" i="9" s="1"/>
  <c r="BQ40" i="9" s="1"/>
  <c r="BR40" i="9" s="1"/>
  <c r="BS40" i="9" s="1"/>
  <c r="BT40" i="9" s="1"/>
  <c r="BU40" i="9" s="1"/>
  <c r="BV40" i="9" s="1"/>
  <c r="BW40" i="9" s="1"/>
  <c r="BX40" i="9" s="1"/>
  <c r="BY40" i="9" s="1"/>
  <c r="BZ40" i="9" s="1"/>
  <c r="CA40" i="9" s="1"/>
  <c r="CB40" i="9" s="1"/>
  <c r="CC40" i="9" s="1"/>
  <c r="CD40" i="9" s="1"/>
  <c r="CE40" i="9" s="1"/>
  <c r="CF40" i="9" s="1"/>
  <c r="CG40" i="9" s="1"/>
  <c r="CH40" i="9" s="1"/>
  <c r="CI40" i="9" s="1"/>
  <c r="CJ40" i="9" s="1"/>
  <c r="CK40" i="9" s="1"/>
  <c r="CL40" i="9" s="1"/>
  <c r="CM40" i="9" s="1"/>
  <c r="CN40" i="9" s="1"/>
  <c r="CO40" i="9" s="1"/>
  <c r="CP40" i="9" s="1"/>
  <c r="CQ40" i="9" s="1"/>
  <c r="CR40" i="9" s="1"/>
  <c r="CS40" i="9" s="1"/>
  <c r="CV40" i="9"/>
  <c r="CW40" i="9" s="1"/>
  <c r="CX40" i="9" s="1"/>
  <c r="CY40" i="9" s="1"/>
  <c r="CZ40" i="9" s="1"/>
  <c r="DA40" i="9" s="1"/>
  <c r="DB40" i="9" s="1"/>
  <c r="DC40" i="9" s="1"/>
  <c r="DD40" i="9" s="1"/>
  <c r="DE40" i="9" s="1"/>
  <c r="DF40" i="9" s="1"/>
  <c r="DG40" i="9" s="1"/>
  <c r="DH40" i="9" s="1"/>
  <c r="DI40" i="9" s="1"/>
  <c r="DJ40" i="9" s="1"/>
  <c r="DK40" i="9" s="1"/>
  <c r="DL40" i="9" s="1"/>
  <c r="DM40" i="9" s="1"/>
  <c r="DN40" i="9" s="1"/>
  <c r="DO40" i="9" s="1"/>
  <c r="DP40" i="9" s="1"/>
  <c r="DQ40" i="9" s="1"/>
  <c r="DR40" i="9" s="1"/>
  <c r="O32" i="9"/>
  <c r="P32" i="9" s="1"/>
  <c r="Q32" i="9" s="1"/>
  <c r="R32" i="9" s="1"/>
  <c r="S32" i="9" s="1"/>
  <c r="T32" i="9" s="1"/>
  <c r="U32" i="9" s="1"/>
  <c r="V32" i="9" s="1"/>
  <c r="W32" i="9" s="1"/>
  <c r="X32" i="9" s="1"/>
  <c r="Y32" i="9" s="1"/>
  <c r="Z32" i="9" s="1"/>
  <c r="AA32" i="9" s="1"/>
  <c r="AB32" i="9" s="1"/>
  <c r="AC32" i="9" s="1"/>
  <c r="AD32" i="9" s="1"/>
  <c r="AE32" i="9" s="1"/>
  <c r="AF32" i="9" s="1"/>
  <c r="AG32" i="9" s="1"/>
  <c r="AH32" i="9" s="1"/>
  <c r="AI32" i="9" s="1"/>
  <c r="AJ32" i="9" s="1"/>
  <c r="AK32" i="9" s="1"/>
  <c r="AL32" i="9" s="1"/>
  <c r="AM32" i="9" s="1"/>
  <c r="AN32" i="9" s="1"/>
  <c r="AO32" i="9" s="1"/>
  <c r="AP32" i="9" s="1"/>
  <c r="AQ32" i="9" s="1"/>
  <c r="AR32" i="9" s="1"/>
  <c r="AS32" i="9" s="1"/>
  <c r="AT32" i="9" s="1"/>
  <c r="AU32" i="9" s="1"/>
  <c r="AV32" i="9" s="1"/>
  <c r="AW32" i="9" s="1"/>
  <c r="AX32" i="9" s="1"/>
  <c r="AY32" i="9" s="1"/>
  <c r="AZ32" i="9" s="1"/>
  <c r="BA32" i="9" s="1"/>
  <c r="BB32" i="9" s="1"/>
  <c r="BC32" i="9" s="1"/>
  <c r="BD32" i="9" s="1"/>
  <c r="BE32" i="9" s="1"/>
  <c r="BF32" i="9" s="1"/>
  <c r="BG32" i="9" s="1"/>
  <c r="BH32" i="9" s="1"/>
  <c r="BI32" i="9" s="1"/>
  <c r="BJ32" i="9" s="1"/>
  <c r="BK32" i="9" s="1"/>
  <c r="BL32" i="9" s="1"/>
  <c r="BM32" i="9" s="1"/>
  <c r="BN32" i="9" s="1"/>
  <c r="BO32" i="9" s="1"/>
  <c r="BP32" i="9" s="1"/>
  <c r="BQ32" i="9" s="1"/>
  <c r="BR32" i="9" s="1"/>
  <c r="BS32" i="9" s="1"/>
  <c r="BT32" i="9" s="1"/>
  <c r="BU32" i="9" s="1"/>
  <c r="BV32" i="9" s="1"/>
  <c r="BW32" i="9" s="1"/>
  <c r="BX32" i="9" s="1"/>
  <c r="BY32" i="9" s="1"/>
  <c r="BZ32" i="9" s="1"/>
  <c r="CA32" i="9" s="1"/>
  <c r="CB32" i="9" s="1"/>
  <c r="CC32" i="9" s="1"/>
  <c r="CD32" i="9" s="1"/>
  <c r="CE32" i="9" s="1"/>
  <c r="CF32" i="9" s="1"/>
  <c r="CG32" i="9" s="1"/>
  <c r="CH32" i="9" s="1"/>
  <c r="CI32" i="9" s="1"/>
  <c r="CJ32" i="9" s="1"/>
  <c r="CK32" i="9" s="1"/>
  <c r="CL32" i="9" s="1"/>
  <c r="CM32" i="9" s="1"/>
  <c r="CN32" i="9" s="1"/>
  <c r="CO32" i="9" s="1"/>
  <c r="CP32" i="9" s="1"/>
  <c r="CQ32" i="9" s="1"/>
  <c r="CR32" i="9" s="1"/>
  <c r="CS32" i="9" s="1"/>
  <c r="CV32" i="9"/>
  <c r="CW32" i="9" s="1"/>
  <c r="CX32" i="9" s="1"/>
  <c r="CY32" i="9" s="1"/>
  <c r="CZ32" i="9" s="1"/>
  <c r="DA32" i="9" s="1"/>
  <c r="DB32" i="9" s="1"/>
  <c r="DC32" i="9" s="1"/>
  <c r="DD32" i="9" s="1"/>
  <c r="DE32" i="9" s="1"/>
  <c r="DF32" i="9" s="1"/>
  <c r="DG32" i="9" s="1"/>
  <c r="DH32" i="9" s="1"/>
  <c r="DI32" i="9" s="1"/>
  <c r="DJ32" i="9" s="1"/>
  <c r="DK32" i="9" s="1"/>
  <c r="DL32" i="9" s="1"/>
  <c r="DM32" i="9" s="1"/>
  <c r="DN32" i="9" s="1"/>
  <c r="DO32" i="9" s="1"/>
  <c r="DP32" i="9" s="1"/>
  <c r="DQ32" i="9" s="1"/>
  <c r="DR32" i="9" s="1"/>
  <c r="O24" i="9"/>
  <c r="P24" i="9" s="1"/>
  <c r="Q24" i="9" s="1"/>
  <c r="R24" i="9" s="1"/>
  <c r="S24" i="9" s="1"/>
  <c r="T24" i="9" s="1"/>
  <c r="U24" i="9" s="1"/>
  <c r="V24" i="9" s="1"/>
  <c r="W24" i="9" s="1"/>
  <c r="X24" i="9" s="1"/>
  <c r="Y24" i="9" s="1"/>
  <c r="Z24" i="9" s="1"/>
  <c r="AA24" i="9" s="1"/>
  <c r="AB24" i="9" s="1"/>
  <c r="AC24" i="9" s="1"/>
  <c r="AD24" i="9" s="1"/>
  <c r="AE24" i="9" s="1"/>
  <c r="AF24" i="9" s="1"/>
  <c r="AG24" i="9" s="1"/>
  <c r="AH24" i="9" s="1"/>
  <c r="AI24" i="9" s="1"/>
  <c r="AJ24" i="9" s="1"/>
  <c r="AK24" i="9" s="1"/>
  <c r="AL24" i="9" s="1"/>
  <c r="AM24" i="9" s="1"/>
  <c r="AN24" i="9" s="1"/>
  <c r="AO24" i="9" s="1"/>
  <c r="AP24" i="9" s="1"/>
  <c r="AQ24" i="9" s="1"/>
  <c r="AR24" i="9" s="1"/>
  <c r="AS24" i="9" s="1"/>
  <c r="AT24" i="9" s="1"/>
  <c r="AU24" i="9" s="1"/>
  <c r="AV24" i="9" s="1"/>
  <c r="AW24" i="9" s="1"/>
  <c r="AX24" i="9" s="1"/>
  <c r="AY24" i="9" s="1"/>
  <c r="AZ24" i="9" s="1"/>
  <c r="BA24" i="9" s="1"/>
  <c r="BB24" i="9" s="1"/>
  <c r="BC24" i="9" s="1"/>
  <c r="BD24" i="9" s="1"/>
  <c r="BE24" i="9" s="1"/>
  <c r="BF24" i="9" s="1"/>
  <c r="BG24" i="9" s="1"/>
  <c r="BH24" i="9" s="1"/>
  <c r="BI24" i="9" s="1"/>
  <c r="BJ24" i="9" s="1"/>
  <c r="BK24" i="9" s="1"/>
  <c r="BL24" i="9" s="1"/>
  <c r="BM24" i="9" s="1"/>
  <c r="BN24" i="9" s="1"/>
  <c r="BO24" i="9" s="1"/>
  <c r="BP24" i="9" s="1"/>
  <c r="BQ24" i="9" s="1"/>
  <c r="BR24" i="9" s="1"/>
  <c r="BS24" i="9" s="1"/>
  <c r="BT24" i="9" s="1"/>
  <c r="BU24" i="9" s="1"/>
  <c r="BV24" i="9" s="1"/>
  <c r="BW24" i="9" s="1"/>
  <c r="BX24" i="9" s="1"/>
  <c r="BY24" i="9" s="1"/>
  <c r="BZ24" i="9" s="1"/>
  <c r="CA24" i="9" s="1"/>
  <c r="CB24" i="9" s="1"/>
  <c r="CC24" i="9" s="1"/>
  <c r="CD24" i="9" s="1"/>
  <c r="CE24" i="9" s="1"/>
  <c r="CF24" i="9" s="1"/>
  <c r="CG24" i="9" s="1"/>
  <c r="CH24" i="9" s="1"/>
  <c r="CI24" i="9" s="1"/>
  <c r="CJ24" i="9" s="1"/>
  <c r="CK24" i="9" s="1"/>
  <c r="CL24" i="9" s="1"/>
  <c r="CM24" i="9" s="1"/>
  <c r="CN24" i="9" s="1"/>
  <c r="CO24" i="9" s="1"/>
  <c r="CP24" i="9" s="1"/>
  <c r="CQ24" i="9" s="1"/>
  <c r="CR24" i="9" s="1"/>
  <c r="CS24" i="9" s="1"/>
  <c r="O16" i="9"/>
  <c r="P16" i="9" s="1"/>
  <c r="Q16" i="9" s="1"/>
  <c r="R16" i="9" s="1"/>
  <c r="S16" i="9" s="1"/>
  <c r="T16" i="9" s="1"/>
  <c r="U16" i="9" s="1"/>
  <c r="V16" i="9" s="1"/>
  <c r="W16" i="9" s="1"/>
  <c r="X16" i="9" s="1"/>
  <c r="Y16" i="9" s="1"/>
  <c r="Z16" i="9" s="1"/>
  <c r="AA16" i="9" s="1"/>
  <c r="AB16" i="9" s="1"/>
  <c r="AC16" i="9" s="1"/>
  <c r="AD16" i="9" s="1"/>
  <c r="AE16" i="9" s="1"/>
  <c r="AF16" i="9" s="1"/>
  <c r="AG16" i="9" s="1"/>
  <c r="AH16" i="9" s="1"/>
  <c r="AI16" i="9" s="1"/>
  <c r="AJ16" i="9" s="1"/>
  <c r="AK16" i="9" s="1"/>
  <c r="AL16" i="9" s="1"/>
  <c r="AM16" i="9" s="1"/>
  <c r="AN16" i="9" s="1"/>
  <c r="AO16" i="9" s="1"/>
  <c r="AP16" i="9" s="1"/>
  <c r="AQ16" i="9" s="1"/>
  <c r="AR16" i="9" s="1"/>
  <c r="AS16" i="9" s="1"/>
  <c r="AT16" i="9" s="1"/>
  <c r="AU16" i="9" s="1"/>
  <c r="AV16" i="9" s="1"/>
  <c r="AW16" i="9" s="1"/>
  <c r="AX16" i="9" s="1"/>
  <c r="AY16" i="9" s="1"/>
  <c r="AZ16" i="9" s="1"/>
  <c r="BA16" i="9" s="1"/>
  <c r="BB16" i="9" s="1"/>
  <c r="BC16" i="9" s="1"/>
  <c r="BD16" i="9" s="1"/>
  <c r="BE16" i="9" s="1"/>
  <c r="BF16" i="9" s="1"/>
  <c r="BG16" i="9" s="1"/>
  <c r="BH16" i="9" s="1"/>
  <c r="BI16" i="9" s="1"/>
  <c r="BJ16" i="9" s="1"/>
  <c r="BK16" i="9" s="1"/>
  <c r="BL16" i="9" s="1"/>
  <c r="C1" i="9"/>
  <c r="D1" i="9"/>
  <c r="CV1" i="9"/>
  <c r="O34" i="8"/>
  <c r="O26" i="8"/>
  <c r="O18" i="8"/>
  <c r="D2" i="8"/>
  <c r="C2" i="8"/>
  <c r="AN71" i="15" l="1"/>
  <c r="AN63" i="15"/>
  <c r="AN47" i="15"/>
  <c r="AN39" i="15"/>
  <c r="AN55" i="15"/>
  <c r="AN15" i="15"/>
  <c r="AN23" i="15"/>
  <c r="AN31" i="15"/>
  <c r="AN7" i="15"/>
  <c r="AN45" i="15"/>
  <c r="AO2" i="15"/>
  <c r="AH63" i="16"/>
  <c r="AH7" i="16"/>
  <c r="AI2" i="16"/>
  <c r="L3" i="8"/>
  <c r="AE2" i="14"/>
  <c r="H27" i="9"/>
  <c r="H19" i="9"/>
  <c r="H11" i="9"/>
  <c r="H4" i="9"/>
  <c r="BM16" i="9"/>
  <c r="BN16" i="9" s="1"/>
  <c r="P34" i="8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AH34" i="8" s="1"/>
  <c r="AI34" i="8" s="1"/>
  <c r="AJ34" i="8" s="1"/>
  <c r="AK34" i="8" s="1"/>
  <c r="AL34" i="8" s="1"/>
  <c r="AM34" i="8" s="1"/>
  <c r="AN34" i="8" s="1"/>
  <c r="AO34" i="8" s="1"/>
  <c r="AP34" i="8" s="1"/>
  <c r="AQ34" i="8" s="1"/>
  <c r="AR34" i="8" s="1"/>
  <c r="AS34" i="8" s="1"/>
  <c r="AT34" i="8" s="1"/>
  <c r="AU34" i="8" s="1"/>
  <c r="AV34" i="8" s="1"/>
  <c r="AW34" i="8" s="1"/>
  <c r="AX34" i="8" s="1"/>
  <c r="AY34" i="8" s="1"/>
  <c r="AZ34" i="8" s="1"/>
  <c r="BA34" i="8" s="1"/>
  <c r="BB34" i="8" s="1"/>
  <c r="BC34" i="8" s="1"/>
  <c r="BD34" i="8" s="1"/>
  <c r="BE34" i="8" s="1"/>
  <c r="BF34" i="8" s="1"/>
  <c r="BG34" i="8" s="1"/>
  <c r="BH34" i="8" s="1"/>
  <c r="BI34" i="8" s="1"/>
  <c r="BJ34" i="8" s="1"/>
  <c r="BK34" i="8" s="1"/>
  <c r="BL34" i="8" s="1"/>
  <c r="BM34" i="8" s="1"/>
  <c r="BN34" i="8" s="1"/>
  <c r="BO34" i="8" s="1"/>
  <c r="BP34" i="8" s="1"/>
  <c r="BQ34" i="8" s="1"/>
  <c r="BR34" i="8" s="1"/>
  <c r="BS34" i="8" s="1"/>
  <c r="BT34" i="8" s="1"/>
  <c r="BU34" i="8" s="1"/>
  <c r="BV34" i="8" s="1"/>
  <c r="BW34" i="8" s="1"/>
  <c r="BX34" i="8" s="1"/>
  <c r="BY34" i="8" s="1"/>
  <c r="BZ34" i="8" s="1"/>
  <c r="CA34" i="8" s="1"/>
  <c r="CB34" i="8" s="1"/>
  <c r="CC34" i="8" s="1"/>
  <c r="CD34" i="8" s="1"/>
  <c r="CE34" i="8" s="1"/>
  <c r="CF34" i="8" s="1"/>
  <c r="CG34" i="8" s="1"/>
  <c r="CH34" i="8" s="1"/>
  <c r="CI34" i="8" s="1"/>
  <c r="CJ34" i="8" s="1"/>
  <c r="CK34" i="8" s="1"/>
  <c r="CL34" i="8" s="1"/>
  <c r="CM34" i="8" s="1"/>
  <c r="CN34" i="8" s="1"/>
  <c r="CO34" i="8" s="1"/>
  <c r="CP34" i="8" s="1"/>
  <c r="CQ34" i="8" s="1"/>
  <c r="CR34" i="8" s="1"/>
  <c r="CS34" i="8" s="1"/>
  <c r="CT34" i="8" s="1"/>
  <c r="CU34" i="8" s="1"/>
  <c r="CV34" i="8" s="1"/>
  <c r="CW34" i="8" s="1"/>
  <c r="P26" i="8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AH26" i="8" s="1"/>
  <c r="AI26" i="8" s="1"/>
  <c r="AJ26" i="8" s="1"/>
  <c r="AK26" i="8" s="1"/>
  <c r="AL26" i="8" s="1"/>
  <c r="AM26" i="8" s="1"/>
  <c r="AN26" i="8" s="1"/>
  <c r="AO26" i="8" s="1"/>
  <c r="AP26" i="8" s="1"/>
  <c r="AQ26" i="8" s="1"/>
  <c r="AR26" i="8" s="1"/>
  <c r="AS26" i="8" s="1"/>
  <c r="AT26" i="8" s="1"/>
  <c r="AU26" i="8" s="1"/>
  <c r="AV26" i="8" s="1"/>
  <c r="AW26" i="8" s="1"/>
  <c r="AX26" i="8" s="1"/>
  <c r="AY26" i="8" s="1"/>
  <c r="AZ26" i="8" s="1"/>
  <c r="BA26" i="8" s="1"/>
  <c r="BB26" i="8" s="1"/>
  <c r="BC26" i="8" s="1"/>
  <c r="BD26" i="8" s="1"/>
  <c r="BE26" i="8" s="1"/>
  <c r="BF26" i="8" s="1"/>
  <c r="BG26" i="8" s="1"/>
  <c r="BH26" i="8" s="1"/>
  <c r="BI26" i="8" s="1"/>
  <c r="BJ26" i="8" s="1"/>
  <c r="BK26" i="8" s="1"/>
  <c r="BL26" i="8" s="1"/>
  <c r="BM26" i="8" s="1"/>
  <c r="BN26" i="8" s="1"/>
  <c r="BO26" i="8" s="1"/>
  <c r="BP26" i="8" s="1"/>
  <c r="BQ26" i="8" s="1"/>
  <c r="BR26" i="8" s="1"/>
  <c r="BS26" i="8" s="1"/>
  <c r="BT26" i="8" s="1"/>
  <c r="BU26" i="8" s="1"/>
  <c r="BV26" i="8" s="1"/>
  <c r="BW26" i="8" s="1"/>
  <c r="BX26" i="8" s="1"/>
  <c r="BY26" i="8" s="1"/>
  <c r="BZ26" i="8" s="1"/>
  <c r="CA26" i="8" s="1"/>
  <c r="CB26" i="8" s="1"/>
  <c r="CC26" i="8" s="1"/>
  <c r="CD26" i="8" s="1"/>
  <c r="CE26" i="8" s="1"/>
  <c r="CF26" i="8" s="1"/>
  <c r="CG26" i="8" s="1"/>
  <c r="CH26" i="8" s="1"/>
  <c r="CI26" i="8" s="1"/>
  <c r="CJ26" i="8" s="1"/>
  <c r="CK26" i="8" s="1"/>
  <c r="CL26" i="8" s="1"/>
  <c r="CM26" i="8" s="1"/>
  <c r="CN26" i="8" s="1"/>
  <c r="CO26" i="8" s="1"/>
  <c r="CP26" i="8" s="1"/>
  <c r="CQ26" i="8" s="1"/>
  <c r="CR26" i="8" s="1"/>
  <c r="CS26" i="8" s="1"/>
  <c r="CT26" i="8" s="1"/>
  <c r="CU26" i="8" s="1"/>
  <c r="CV26" i="8" s="1"/>
  <c r="CW26" i="8" s="1"/>
  <c r="P18" i="8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AH18" i="8" s="1"/>
  <c r="AI18" i="8" s="1"/>
  <c r="AJ18" i="8" s="1"/>
  <c r="AK18" i="8" s="1"/>
  <c r="AL18" i="8" s="1"/>
  <c r="AM18" i="8" s="1"/>
  <c r="AN18" i="8" s="1"/>
  <c r="AO18" i="8" s="1"/>
  <c r="AP18" i="8" s="1"/>
  <c r="AQ18" i="8" s="1"/>
  <c r="AR18" i="8" s="1"/>
  <c r="AS18" i="8" s="1"/>
  <c r="AT18" i="8" s="1"/>
  <c r="AU18" i="8" s="1"/>
  <c r="AV18" i="8" s="1"/>
  <c r="AW18" i="8" s="1"/>
  <c r="AX18" i="8" s="1"/>
  <c r="AY18" i="8" s="1"/>
  <c r="AZ18" i="8" s="1"/>
  <c r="BA18" i="8" s="1"/>
  <c r="BB18" i="8" s="1"/>
  <c r="BC18" i="8" s="1"/>
  <c r="BD18" i="8" s="1"/>
  <c r="BE18" i="8" s="1"/>
  <c r="BF18" i="8" s="1"/>
  <c r="BG18" i="8" s="1"/>
  <c r="BH18" i="8" s="1"/>
  <c r="BI18" i="8" s="1"/>
  <c r="BJ18" i="8" s="1"/>
  <c r="BK18" i="8" s="1"/>
  <c r="BL18" i="8" s="1"/>
  <c r="BM18" i="8" s="1"/>
  <c r="BN18" i="8" s="1"/>
  <c r="BO18" i="8" s="1"/>
  <c r="BP18" i="8" s="1"/>
  <c r="BQ18" i="8" s="1"/>
  <c r="BR18" i="8" s="1"/>
  <c r="BS18" i="8" s="1"/>
  <c r="BT18" i="8" s="1"/>
  <c r="BU18" i="8" s="1"/>
  <c r="BV18" i="8" s="1"/>
  <c r="BW18" i="8" s="1"/>
  <c r="BX18" i="8" s="1"/>
  <c r="BY18" i="8" s="1"/>
  <c r="BZ18" i="8" s="1"/>
  <c r="CA18" i="8" s="1"/>
  <c r="CB18" i="8" s="1"/>
  <c r="CC18" i="8" s="1"/>
  <c r="CD18" i="8" s="1"/>
  <c r="CE18" i="8" s="1"/>
  <c r="CF18" i="8" s="1"/>
  <c r="CG18" i="8" s="1"/>
  <c r="CH18" i="8" s="1"/>
  <c r="CI18" i="8" s="1"/>
  <c r="CJ18" i="8" s="1"/>
  <c r="CK18" i="8" s="1"/>
  <c r="CL18" i="8" s="1"/>
  <c r="CM18" i="8" s="1"/>
  <c r="CN18" i="8" s="1"/>
  <c r="CO18" i="8" s="1"/>
  <c r="CP18" i="8" s="1"/>
  <c r="CQ18" i="8" s="1"/>
  <c r="CR18" i="8" s="1"/>
  <c r="CS18" i="8" s="1"/>
  <c r="CT18" i="8" s="1"/>
  <c r="CU18" i="8" s="1"/>
  <c r="CV18" i="8" s="1"/>
  <c r="CW18" i="8" s="1"/>
  <c r="O66" i="5"/>
  <c r="P66" i="5" s="1"/>
  <c r="Q66" i="5" s="1"/>
  <c r="R66" i="5" s="1"/>
  <c r="S66" i="5" s="1"/>
  <c r="T66" i="5" s="1"/>
  <c r="U66" i="5" s="1"/>
  <c r="V66" i="5" s="1"/>
  <c r="W66" i="5" s="1"/>
  <c r="X66" i="5" s="1"/>
  <c r="Y66" i="5" s="1"/>
  <c r="Z66" i="5" s="1"/>
  <c r="AA66" i="5" s="1"/>
  <c r="AB66" i="5" s="1"/>
  <c r="AC66" i="5" s="1"/>
  <c r="AD66" i="5" s="1"/>
  <c r="AE66" i="5" s="1"/>
  <c r="AF66" i="5" s="1"/>
  <c r="AG66" i="5" s="1"/>
  <c r="AH66" i="5" s="1"/>
  <c r="AI66" i="5" s="1"/>
  <c r="AJ66" i="5" s="1"/>
  <c r="AK66" i="5" s="1"/>
  <c r="AL66" i="5" s="1"/>
  <c r="AM66" i="5" s="1"/>
  <c r="AN66" i="5" s="1"/>
  <c r="AO66" i="5" s="1"/>
  <c r="AP66" i="5" s="1"/>
  <c r="AQ66" i="5" s="1"/>
  <c r="AR66" i="5" s="1"/>
  <c r="AS66" i="5" s="1"/>
  <c r="AT66" i="5" s="1"/>
  <c r="AU66" i="5" s="1"/>
  <c r="AV66" i="5" s="1"/>
  <c r="AW66" i="5" s="1"/>
  <c r="AX66" i="5" s="1"/>
  <c r="AY66" i="5" s="1"/>
  <c r="AZ66" i="5" s="1"/>
  <c r="BA66" i="5" s="1"/>
  <c r="BB66" i="5" s="1"/>
  <c r="BC66" i="5" s="1"/>
  <c r="BD66" i="5" s="1"/>
  <c r="BE66" i="5" s="1"/>
  <c r="BF66" i="5" s="1"/>
  <c r="BG66" i="5" s="1"/>
  <c r="BH66" i="5" s="1"/>
  <c r="BI66" i="5" s="1"/>
  <c r="BJ66" i="5" s="1"/>
  <c r="BK66" i="5" s="1"/>
  <c r="BL66" i="5" s="1"/>
  <c r="BM66" i="5" s="1"/>
  <c r="BN66" i="5" s="1"/>
  <c r="BO66" i="5" s="1"/>
  <c r="BP66" i="5" s="1"/>
  <c r="BQ66" i="5" s="1"/>
  <c r="BR66" i="5" s="1"/>
  <c r="BS66" i="5" s="1"/>
  <c r="BT66" i="5" s="1"/>
  <c r="BU66" i="5" s="1"/>
  <c r="BV66" i="5" s="1"/>
  <c r="BW66" i="5" s="1"/>
  <c r="BX66" i="5" s="1"/>
  <c r="BY66" i="5" s="1"/>
  <c r="BZ66" i="5" s="1"/>
  <c r="CA66" i="5" s="1"/>
  <c r="CB66" i="5" s="1"/>
  <c r="CC66" i="5" s="1"/>
  <c r="CD66" i="5" s="1"/>
  <c r="CE66" i="5" s="1"/>
  <c r="CF66" i="5" s="1"/>
  <c r="CG66" i="5" s="1"/>
  <c r="CH66" i="5" s="1"/>
  <c r="CI66" i="5" s="1"/>
  <c r="CJ66" i="5" s="1"/>
  <c r="CK66" i="5" s="1"/>
  <c r="CL66" i="5" s="1"/>
  <c r="CM66" i="5" s="1"/>
  <c r="CN66" i="5" s="1"/>
  <c r="CO66" i="5" s="1"/>
  <c r="CP66" i="5" s="1"/>
  <c r="CQ66" i="5" s="1"/>
  <c r="CR66" i="5" s="1"/>
  <c r="CS66" i="5" s="1"/>
  <c r="CT66" i="5" s="1"/>
  <c r="CU66" i="5" s="1"/>
  <c r="CV66" i="5" s="1"/>
  <c r="CW66" i="5" s="1"/>
  <c r="CX66" i="5" s="1"/>
  <c r="CY66" i="5" s="1"/>
  <c r="CZ66" i="5" s="1"/>
  <c r="DA66" i="5" s="1"/>
  <c r="DB66" i="5" s="1"/>
  <c r="DC66" i="5" s="1"/>
  <c r="DD66" i="5" s="1"/>
  <c r="DE66" i="5" s="1"/>
  <c r="DF66" i="5" s="1"/>
  <c r="DG66" i="5" s="1"/>
  <c r="DH66" i="5" s="1"/>
  <c r="DI66" i="5" s="1"/>
  <c r="DJ66" i="5" s="1"/>
  <c r="DK66" i="5" s="1"/>
  <c r="DL66" i="5" s="1"/>
  <c r="DM66" i="5" s="1"/>
  <c r="DN66" i="5" s="1"/>
  <c r="DO66" i="5" s="1"/>
  <c r="DP66" i="5" s="1"/>
  <c r="DQ66" i="5" s="1"/>
  <c r="DR66" i="5" s="1"/>
  <c r="DS66" i="5" s="1"/>
  <c r="DT66" i="5" s="1"/>
  <c r="DU66" i="5" s="1"/>
  <c r="DV66" i="5" s="1"/>
  <c r="DW66" i="5" s="1"/>
  <c r="DX66" i="5" s="1"/>
  <c r="DY66" i="5" s="1"/>
  <c r="DZ66" i="5" s="1"/>
  <c r="EA66" i="5" s="1"/>
  <c r="EB66" i="5" s="1"/>
  <c r="EC66" i="5" s="1"/>
  <c r="ED66" i="5" s="1"/>
  <c r="EE66" i="5" s="1"/>
  <c r="EF66" i="5" s="1"/>
  <c r="EG66" i="5" s="1"/>
  <c r="EH66" i="5" s="1"/>
  <c r="EI66" i="5" s="1"/>
  <c r="EJ66" i="5" s="1"/>
  <c r="EK66" i="5" s="1"/>
  <c r="EL66" i="5" s="1"/>
  <c r="EM66" i="5" s="1"/>
  <c r="EN66" i="5" s="1"/>
  <c r="O50" i="5"/>
  <c r="P50" i="5" s="1"/>
  <c r="Q50" i="5" s="1"/>
  <c r="R50" i="5" s="1"/>
  <c r="S50" i="5" s="1"/>
  <c r="T50" i="5" s="1"/>
  <c r="U50" i="5" s="1"/>
  <c r="V50" i="5" s="1"/>
  <c r="W50" i="5" s="1"/>
  <c r="X50" i="5" s="1"/>
  <c r="Y50" i="5" s="1"/>
  <c r="Z50" i="5" s="1"/>
  <c r="AA50" i="5" s="1"/>
  <c r="AB50" i="5" s="1"/>
  <c r="AC50" i="5" s="1"/>
  <c r="AD50" i="5" s="1"/>
  <c r="AE50" i="5" s="1"/>
  <c r="AF50" i="5" s="1"/>
  <c r="AG50" i="5" s="1"/>
  <c r="AH50" i="5" s="1"/>
  <c r="AI50" i="5" s="1"/>
  <c r="AJ50" i="5" s="1"/>
  <c r="AK50" i="5" s="1"/>
  <c r="AL50" i="5" s="1"/>
  <c r="AM50" i="5" s="1"/>
  <c r="AN50" i="5" s="1"/>
  <c r="AO50" i="5" s="1"/>
  <c r="AP50" i="5" s="1"/>
  <c r="AQ50" i="5" s="1"/>
  <c r="AR50" i="5" s="1"/>
  <c r="AS50" i="5" s="1"/>
  <c r="AT50" i="5" s="1"/>
  <c r="AU50" i="5" s="1"/>
  <c r="AV50" i="5" s="1"/>
  <c r="AW50" i="5" s="1"/>
  <c r="AX50" i="5" s="1"/>
  <c r="AY50" i="5" s="1"/>
  <c r="AZ50" i="5" s="1"/>
  <c r="BA50" i="5" s="1"/>
  <c r="BB50" i="5" s="1"/>
  <c r="BC50" i="5" s="1"/>
  <c r="BD50" i="5" s="1"/>
  <c r="BE50" i="5" s="1"/>
  <c r="BF50" i="5" s="1"/>
  <c r="BG50" i="5" s="1"/>
  <c r="BH50" i="5" s="1"/>
  <c r="BI50" i="5" s="1"/>
  <c r="BJ50" i="5" s="1"/>
  <c r="BK50" i="5" s="1"/>
  <c r="BL50" i="5" s="1"/>
  <c r="BM50" i="5" s="1"/>
  <c r="BN50" i="5" s="1"/>
  <c r="BO50" i="5" s="1"/>
  <c r="BP50" i="5" s="1"/>
  <c r="BQ50" i="5" s="1"/>
  <c r="BR50" i="5" s="1"/>
  <c r="BS50" i="5" s="1"/>
  <c r="BT50" i="5" s="1"/>
  <c r="BU50" i="5" s="1"/>
  <c r="BV50" i="5" s="1"/>
  <c r="BW50" i="5" s="1"/>
  <c r="BX50" i="5" s="1"/>
  <c r="BY50" i="5" s="1"/>
  <c r="BZ50" i="5" s="1"/>
  <c r="CA50" i="5" s="1"/>
  <c r="CB50" i="5" s="1"/>
  <c r="CC50" i="5" s="1"/>
  <c r="CD50" i="5" s="1"/>
  <c r="CE50" i="5" s="1"/>
  <c r="CF50" i="5" s="1"/>
  <c r="CG50" i="5" s="1"/>
  <c r="CH50" i="5" s="1"/>
  <c r="CI50" i="5" s="1"/>
  <c r="CJ50" i="5" s="1"/>
  <c r="CK50" i="5" s="1"/>
  <c r="CL50" i="5" s="1"/>
  <c r="CM50" i="5" s="1"/>
  <c r="CN50" i="5" s="1"/>
  <c r="CO50" i="5" s="1"/>
  <c r="CP50" i="5" s="1"/>
  <c r="CQ50" i="5" s="1"/>
  <c r="CR50" i="5" s="1"/>
  <c r="CS50" i="5" s="1"/>
  <c r="CT50" i="5" s="1"/>
  <c r="CU50" i="5" s="1"/>
  <c r="CV50" i="5" s="1"/>
  <c r="CW50" i="5" s="1"/>
  <c r="CX50" i="5" s="1"/>
  <c r="CY50" i="5" s="1"/>
  <c r="CZ50" i="5" s="1"/>
  <c r="DA50" i="5" s="1"/>
  <c r="DB50" i="5" s="1"/>
  <c r="DC50" i="5" s="1"/>
  <c r="DD50" i="5" s="1"/>
  <c r="DE50" i="5" s="1"/>
  <c r="DF50" i="5" s="1"/>
  <c r="DG50" i="5" s="1"/>
  <c r="DH50" i="5" s="1"/>
  <c r="DI50" i="5" s="1"/>
  <c r="DJ50" i="5" s="1"/>
  <c r="DK50" i="5" s="1"/>
  <c r="DL50" i="5" s="1"/>
  <c r="DM50" i="5" s="1"/>
  <c r="DN50" i="5" s="1"/>
  <c r="DO50" i="5" s="1"/>
  <c r="DP50" i="5" s="1"/>
  <c r="DQ50" i="5" s="1"/>
  <c r="DR50" i="5" s="1"/>
  <c r="DS50" i="5" s="1"/>
  <c r="DT50" i="5" s="1"/>
  <c r="DU50" i="5" s="1"/>
  <c r="DV50" i="5" s="1"/>
  <c r="DW50" i="5" s="1"/>
  <c r="DX50" i="5" s="1"/>
  <c r="DY50" i="5" s="1"/>
  <c r="DZ50" i="5" s="1"/>
  <c r="EA50" i="5" s="1"/>
  <c r="EB50" i="5" s="1"/>
  <c r="EC50" i="5" s="1"/>
  <c r="ED50" i="5" s="1"/>
  <c r="EE50" i="5" s="1"/>
  <c r="EF50" i="5" s="1"/>
  <c r="EG50" i="5" s="1"/>
  <c r="EH50" i="5" s="1"/>
  <c r="EI50" i="5" s="1"/>
  <c r="EJ50" i="5" s="1"/>
  <c r="EK50" i="5" s="1"/>
  <c r="EL50" i="5" s="1"/>
  <c r="EM50" i="5" s="1"/>
  <c r="EN50" i="5" s="1"/>
  <c r="O34" i="5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C34" i="5" s="1"/>
  <c r="AD34" i="5" s="1"/>
  <c r="AE34" i="5" s="1"/>
  <c r="AF34" i="5" s="1"/>
  <c r="AG34" i="5" s="1"/>
  <c r="AH34" i="5" s="1"/>
  <c r="AI34" i="5" s="1"/>
  <c r="AJ34" i="5" s="1"/>
  <c r="AK34" i="5" s="1"/>
  <c r="AL34" i="5" s="1"/>
  <c r="AM34" i="5" s="1"/>
  <c r="AN34" i="5" s="1"/>
  <c r="AO34" i="5" s="1"/>
  <c r="AP34" i="5" s="1"/>
  <c r="AQ34" i="5" s="1"/>
  <c r="AR34" i="5" s="1"/>
  <c r="AS34" i="5" s="1"/>
  <c r="AT34" i="5" s="1"/>
  <c r="AU34" i="5" s="1"/>
  <c r="AV34" i="5" s="1"/>
  <c r="AW34" i="5" s="1"/>
  <c r="AX34" i="5" s="1"/>
  <c r="AY34" i="5" s="1"/>
  <c r="AZ34" i="5" s="1"/>
  <c r="BA34" i="5" s="1"/>
  <c r="BB34" i="5" s="1"/>
  <c r="BC34" i="5" s="1"/>
  <c r="BD34" i="5" s="1"/>
  <c r="BE34" i="5" s="1"/>
  <c r="BF34" i="5" s="1"/>
  <c r="BG34" i="5" s="1"/>
  <c r="BH34" i="5" s="1"/>
  <c r="BI34" i="5" s="1"/>
  <c r="BJ34" i="5" s="1"/>
  <c r="BK34" i="5" s="1"/>
  <c r="BL34" i="5" s="1"/>
  <c r="BM34" i="5" s="1"/>
  <c r="BN34" i="5" s="1"/>
  <c r="BO34" i="5" s="1"/>
  <c r="BP34" i="5" s="1"/>
  <c r="BQ34" i="5" s="1"/>
  <c r="BR34" i="5" s="1"/>
  <c r="BS34" i="5" s="1"/>
  <c r="BT34" i="5" s="1"/>
  <c r="BU34" i="5" s="1"/>
  <c r="BV34" i="5" s="1"/>
  <c r="BW34" i="5" s="1"/>
  <c r="BX34" i="5" s="1"/>
  <c r="BY34" i="5" s="1"/>
  <c r="BZ34" i="5" s="1"/>
  <c r="CA34" i="5" s="1"/>
  <c r="CB34" i="5" s="1"/>
  <c r="CC34" i="5" s="1"/>
  <c r="CD34" i="5" s="1"/>
  <c r="CE34" i="5" s="1"/>
  <c r="CF34" i="5" s="1"/>
  <c r="CG34" i="5" s="1"/>
  <c r="CH34" i="5" s="1"/>
  <c r="CI34" i="5" s="1"/>
  <c r="CJ34" i="5" s="1"/>
  <c r="CK34" i="5" s="1"/>
  <c r="CL34" i="5" s="1"/>
  <c r="CM34" i="5" s="1"/>
  <c r="CN34" i="5" s="1"/>
  <c r="CO34" i="5" s="1"/>
  <c r="CP34" i="5" s="1"/>
  <c r="CQ34" i="5" s="1"/>
  <c r="CR34" i="5" s="1"/>
  <c r="CS34" i="5" s="1"/>
  <c r="CT34" i="5" s="1"/>
  <c r="CU34" i="5" s="1"/>
  <c r="CV34" i="5" s="1"/>
  <c r="CW34" i="5" s="1"/>
  <c r="CX34" i="5" s="1"/>
  <c r="CY34" i="5" s="1"/>
  <c r="CZ34" i="5" s="1"/>
  <c r="DA34" i="5" s="1"/>
  <c r="DB34" i="5" s="1"/>
  <c r="DC34" i="5" s="1"/>
  <c r="DD34" i="5" s="1"/>
  <c r="DE34" i="5" s="1"/>
  <c r="DF34" i="5" s="1"/>
  <c r="DG34" i="5" s="1"/>
  <c r="DH34" i="5" s="1"/>
  <c r="DI34" i="5" s="1"/>
  <c r="DJ34" i="5" s="1"/>
  <c r="DK34" i="5" s="1"/>
  <c r="DL34" i="5" s="1"/>
  <c r="DM34" i="5" s="1"/>
  <c r="DN34" i="5" s="1"/>
  <c r="DO34" i="5" s="1"/>
  <c r="DP34" i="5" s="1"/>
  <c r="DQ34" i="5" s="1"/>
  <c r="DR34" i="5" s="1"/>
  <c r="DS34" i="5" s="1"/>
  <c r="DT34" i="5" s="1"/>
  <c r="DU34" i="5" s="1"/>
  <c r="DV34" i="5" s="1"/>
  <c r="DW34" i="5" s="1"/>
  <c r="DX34" i="5" s="1"/>
  <c r="DY34" i="5" s="1"/>
  <c r="DZ34" i="5" s="1"/>
  <c r="EA34" i="5" s="1"/>
  <c r="EB34" i="5" s="1"/>
  <c r="EC34" i="5" s="1"/>
  <c r="ED34" i="5" s="1"/>
  <c r="EE34" i="5" s="1"/>
  <c r="EF34" i="5" s="1"/>
  <c r="EG34" i="5" s="1"/>
  <c r="EH34" i="5" s="1"/>
  <c r="EI34" i="5" s="1"/>
  <c r="EJ34" i="5" s="1"/>
  <c r="EK34" i="5" s="1"/>
  <c r="EL34" i="5" s="1"/>
  <c r="EM34" i="5" s="1"/>
  <c r="EN34" i="5" s="1"/>
  <c r="O26" i="5"/>
  <c r="O18" i="5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EG18" i="5" s="1"/>
  <c r="EH18" i="5" s="1"/>
  <c r="EI18" i="5" s="1"/>
  <c r="EJ18" i="5" s="1"/>
  <c r="EK18" i="5" s="1"/>
  <c r="EL18" i="5" s="1"/>
  <c r="EM18" i="5" s="1"/>
  <c r="EN18" i="5" s="1"/>
  <c r="D2" i="5"/>
  <c r="C2" i="5"/>
  <c r="AO63" i="15" l="1"/>
  <c r="AO71" i="15"/>
  <c r="AO55" i="15"/>
  <c r="AO47" i="15"/>
  <c r="AO31" i="15"/>
  <c r="AO39" i="15"/>
  <c r="AO23" i="15"/>
  <c r="AO7" i="15"/>
  <c r="AO15" i="15"/>
  <c r="AO45" i="15"/>
  <c r="AP2" i="15"/>
  <c r="AI63" i="16"/>
  <c r="AI7" i="16"/>
  <c r="AJ2" i="16"/>
  <c r="AF2" i="14"/>
  <c r="BO16" i="9"/>
  <c r="BP16" i="9" s="1"/>
  <c r="BQ16" i="9" s="1"/>
  <c r="BR16" i="9" s="1"/>
  <c r="BS16" i="9" s="1"/>
  <c r="BT16" i="9" s="1"/>
  <c r="BU16" i="9" s="1"/>
  <c r="BV16" i="9" s="1"/>
  <c r="BW16" i="9" s="1"/>
  <c r="BX16" i="9" s="1"/>
  <c r="BY16" i="9" s="1"/>
  <c r="BZ16" i="9" s="1"/>
  <c r="CA16" i="9" s="1"/>
  <c r="CB16" i="9" s="1"/>
  <c r="CC16" i="9" s="1"/>
  <c r="CD16" i="9" s="1"/>
  <c r="CE16" i="9" s="1"/>
  <c r="CF16" i="9" s="1"/>
  <c r="CG16" i="9" s="1"/>
  <c r="CH16" i="9" s="1"/>
  <c r="CI16" i="9" s="1"/>
  <c r="CJ16" i="9" s="1"/>
  <c r="CK16" i="9" s="1"/>
  <c r="CL16" i="9" s="1"/>
  <c r="CM16" i="9" s="1"/>
  <c r="CN16" i="9" s="1"/>
  <c r="CO16" i="9" s="1"/>
  <c r="CP16" i="9" s="1"/>
  <c r="CQ16" i="9" s="1"/>
  <c r="CR16" i="9" s="1"/>
  <c r="CS16" i="9" s="1"/>
  <c r="P26" i="5"/>
  <c r="Q26" i="5" s="1"/>
  <c r="R26" i="5" s="1"/>
  <c r="S26" i="5" s="1"/>
  <c r="T26" i="5" s="1"/>
  <c r="U26" i="5" s="1"/>
  <c r="V26" i="5" s="1"/>
  <c r="W26" i="5" s="1"/>
  <c r="X26" i="5" s="1"/>
  <c r="Y26" i="5" s="1"/>
  <c r="Z26" i="5" s="1"/>
  <c r="AA26" i="5" s="1"/>
  <c r="AB26" i="5" s="1"/>
  <c r="AC26" i="5" s="1"/>
  <c r="AD26" i="5" s="1"/>
  <c r="AE26" i="5" s="1"/>
  <c r="AF26" i="5" s="1"/>
  <c r="AG26" i="5" s="1"/>
  <c r="AH26" i="5" s="1"/>
  <c r="AI26" i="5" s="1"/>
  <c r="AJ26" i="5" s="1"/>
  <c r="AK26" i="5" s="1"/>
  <c r="AL26" i="5" s="1"/>
  <c r="AM26" i="5" s="1"/>
  <c r="AN26" i="5" s="1"/>
  <c r="AO26" i="5" s="1"/>
  <c r="AP26" i="5" s="1"/>
  <c r="AQ26" i="5" s="1"/>
  <c r="AR26" i="5" s="1"/>
  <c r="AS26" i="5" s="1"/>
  <c r="AT26" i="5" s="1"/>
  <c r="AU26" i="5" s="1"/>
  <c r="AV26" i="5" s="1"/>
  <c r="AW26" i="5" s="1"/>
  <c r="AX26" i="5" s="1"/>
  <c r="AY26" i="5" s="1"/>
  <c r="AZ26" i="5" s="1"/>
  <c r="BA26" i="5" s="1"/>
  <c r="BB26" i="5" s="1"/>
  <c r="BC26" i="5" s="1"/>
  <c r="BD26" i="5" s="1"/>
  <c r="BE26" i="5" s="1"/>
  <c r="BF26" i="5" s="1"/>
  <c r="BG26" i="5" s="1"/>
  <c r="BH26" i="5" s="1"/>
  <c r="BI26" i="5" s="1"/>
  <c r="BJ26" i="5" s="1"/>
  <c r="BK26" i="5" s="1"/>
  <c r="BL26" i="5" s="1"/>
  <c r="BM26" i="5" s="1"/>
  <c r="BN26" i="5" s="1"/>
  <c r="BO26" i="5" s="1"/>
  <c r="BP26" i="5" s="1"/>
  <c r="BQ26" i="5" s="1"/>
  <c r="BR26" i="5" s="1"/>
  <c r="BS26" i="5" s="1"/>
  <c r="BT26" i="5" s="1"/>
  <c r="BU26" i="5" s="1"/>
  <c r="BV26" i="5" s="1"/>
  <c r="BW26" i="5" s="1"/>
  <c r="BX26" i="5" s="1"/>
  <c r="BY26" i="5" s="1"/>
  <c r="BZ26" i="5" s="1"/>
  <c r="CA26" i="5" s="1"/>
  <c r="CB26" i="5" s="1"/>
  <c r="CC26" i="5" s="1"/>
  <c r="CD26" i="5" s="1"/>
  <c r="CE26" i="5" s="1"/>
  <c r="CF26" i="5" s="1"/>
  <c r="CG26" i="5" s="1"/>
  <c r="CH26" i="5" s="1"/>
  <c r="CI26" i="5" s="1"/>
  <c r="CJ26" i="5" s="1"/>
  <c r="CK26" i="5" s="1"/>
  <c r="CL26" i="5" s="1"/>
  <c r="CM26" i="5" s="1"/>
  <c r="CN26" i="5" s="1"/>
  <c r="CO26" i="5" s="1"/>
  <c r="CP26" i="5" s="1"/>
  <c r="CQ26" i="5" s="1"/>
  <c r="CR26" i="5" s="1"/>
  <c r="CS26" i="5" s="1"/>
  <c r="CT26" i="5" s="1"/>
  <c r="CU26" i="5" s="1"/>
  <c r="CV26" i="5" s="1"/>
  <c r="CW26" i="5" s="1"/>
  <c r="CX26" i="5" s="1"/>
  <c r="CY26" i="5" s="1"/>
  <c r="CZ26" i="5" s="1"/>
  <c r="DA26" i="5" s="1"/>
  <c r="DB26" i="5" s="1"/>
  <c r="DC26" i="5" s="1"/>
  <c r="DD26" i="5" s="1"/>
  <c r="DE26" i="5" s="1"/>
  <c r="DF26" i="5" s="1"/>
  <c r="DG26" i="5" s="1"/>
  <c r="DH26" i="5" s="1"/>
  <c r="DI26" i="5" s="1"/>
  <c r="DJ26" i="5" s="1"/>
  <c r="DK26" i="5" s="1"/>
  <c r="DL26" i="5" s="1"/>
  <c r="DM26" i="5" s="1"/>
  <c r="DN26" i="5" s="1"/>
  <c r="DO26" i="5" s="1"/>
  <c r="DP26" i="5" s="1"/>
  <c r="DQ26" i="5" s="1"/>
  <c r="DR26" i="5" s="1"/>
  <c r="DS26" i="5" s="1"/>
  <c r="DT26" i="5" s="1"/>
  <c r="DU26" i="5" s="1"/>
  <c r="DV26" i="5" s="1"/>
  <c r="DW26" i="5" s="1"/>
  <c r="DX26" i="5" s="1"/>
  <c r="DY26" i="5" s="1"/>
  <c r="DZ26" i="5" s="1"/>
  <c r="EA26" i="5" s="1"/>
  <c r="EB26" i="5" s="1"/>
  <c r="EC26" i="5" s="1"/>
  <c r="ED26" i="5" s="1"/>
  <c r="EE26" i="5" s="1"/>
  <c r="EF26" i="5" s="1"/>
  <c r="EG26" i="5" s="1"/>
  <c r="EH26" i="5" s="1"/>
  <c r="EI26" i="5" s="1"/>
  <c r="EJ26" i="5" s="1"/>
  <c r="EK26" i="5" s="1"/>
  <c r="EL26" i="5" s="1"/>
  <c r="EM26" i="5" s="1"/>
  <c r="EN26" i="5" s="1"/>
  <c r="O58" i="5"/>
  <c r="P58" i="5" s="1"/>
  <c r="Q58" i="5" s="1"/>
  <c r="R58" i="5" s="1"/>
  <c r="S58" i="5" s="1"/>
  <c r="T58" i="5" s="1"/>
  <c r="U58" i="5" s="1"/>
  <c r="V58" i="5" s="1"/>
  <c r="W58" i="5" s="1"/>
  <c r="X58" i="5" s="1"/>
  <c r="Y58" i="5" s="1"/>
  <c r="Z58" i="5" s="1"/>
  <c r="AA58" i="5" s="1"/>
  <c r="AB58" i="5" s="1"/>
  <c r="AC58" i="5" s="1"/>
  <c r="AD58" i="5" s="1"/>
  <c r="AE58" i="5" s="1"/>
  <c r="AF58" i="5" s="1"/>
  <c r="AG58" i="5" s="1"/>
  <c r="AH58" i="5" s="1"/>
  <c r="AI58" i="5" s="1"/>
  <c r="AJ58" i="5" s="1"/>
  <c r="AK58" i="5" s="1"/>
  <c r="AL58" i="5" s="1"/>
  <c r="AM58" i="5" s="1"/>
  <c r="AN58" i="5" s="1"/>
  <c r="AO58" i="5" s="1"/>
  <c r="AP58" i="5" s="1"/>
  <c r="AQ58" i="5" s="1"/>
  <c r="AR58" i="5" s="1"/>
  <c r="AS58" i="5" s="1"/>
  <c r="AT58" i="5" s="1"/>
  <c r="AU58" i="5" s="1"/>
  <c r="AV58" i="5" s="1"/>
  <c r="AW58" i="5" s="1"/>
  <c r="AX58" i="5" s="1"/>
  <c r="AY58" i="5" s="1"/>
  <c r="AZ58" i="5" s="1"/>
  <c r="BA58" i="5" s="1"/>
  <c r="BB58" i="5" s="1"/>
  <c r="BC58" i="5" s="1"/>
  <c r="BD58" i="5" s="1"/>
  <c r="BE58" i="5" s="1"/>
  <c r="BF58" i="5" s="1"/>
  <c r="BG58" i="5" s="1"/>
  <c r="BH58" i="5" s="1"/>
  <c r="BI58" i="5" s="1"/>
  <c r="BJ58" i="5" s="1"/>
  <c r="BK58" i="5" s="1"/>
  <c r="BL58" i="5" s="1"/>
  <c r="BM58" i="5" s="1"/>
  <c r="BN58" i="5" s="1"/>
  <c r="BO58" i="5" s="1"/>
  <c r="BP58" i="5" s="1"/>
  <c r="BQ58" i="5" s="1"/>
  <c r="BR58" i="5" s="1"/>
  <c r="BS58" i="5" s="1"/>
  <c r="BT58" i="5" s="1"/>
  <c r="BU58" i="5" s="1"/>
  <c r="BV58" i="5" s="1"/>
  <c r="BW58" i="5" s="1"/>
  <c r="BX58" i="5" s="1"/>
  <c r="BY58" i="5" s="1"/>
  <c r="BZ58" i="5" s="1"/>
  <c r="CA58" i="5" s="1"/>
  <c r="CB58" i="5" s="1"/>
  <c r="CC58" i="5" s="1"/>
  <c r="CD58" i="5" s="1"/>
  <c r="CE58" i="5" s="1"/>
  <c r="CF58" i="5" s="1"/>
  <c r="CG58" i="5" s="1"/>
  <c r="CH58" i="5" s="1"/>
  <c r="CI58" i="5" s="1"/>
  <c r="CJ58" i="5" s="1"/>
  <c r="CK58" i="5" s="1"/>
  <c r="CL58" i="5" s="1"/>
  <c r="CM58" i="5" s="1"/>
  <c r="CN58" i="5" s="1"/>
  <c r="CO58" i="5" s="1"/>
  <c r="CP58" i="5" s="1"/>
  <c r="CQ58" i="5" s="1"/>
  <c r="CR58" i="5" s="1"/>
  <c r="CS58" i="5" s="1"/>
  <c r="CT58" i="5" s="1"/>
  <c r="CU58" i="5" s="1"/>
  <c r="CV58" i="5" s="1"/>
  <c r="CW58" i="5" s="1"/>
  <c r="CX58" i="5" s="1"/>
  <c r="CY58" i="5" s="1"/>
  <c r="CZ58" i="5" s="1"/>
  <c r="DA58" i="5" s="1"/>
  <c r="DB58" i="5" s="1"/>
  <c r="DC58" i="5" s="1"/>
  <c r="DD58" i="5" s="1"/>
  <c r="DE58" i="5" s="1"/>
  <c r="DF58" i="5" s="1"/>
  <c r="DG58" i="5" s="1"/>
  <c r="DH58" i="5" s="1"/>
  <c r="DI58" i="5" s="1"/>
  <c r="DJ58" i="5" s="1"/>
  <c r="DK58" i="5" s="1"/>
  <c r="DL58" i="5" s="1"/>
  <c r="DM58" i="5" s="1"/>
  <c r="DN58" i="5" s="1"/>
  <c r="DO58" i="5" s="1"/>
  <c r="DP58" i="5" s="1"/>
  <c r="DQ58" i="5" s="1"/>
  <c r="DR58" i="5" s="1"/>
  <c r="DS58" i="5" s="1"/>
  <c r="DT58" i="5" s="1"/>
  <c r="DU58" i="5" s="1"/>
  <c r="DV58" i="5" s="1"/>
  <c r="DW58" i="5" s="1"/>
  <c r="DX58" i="5" s="1"/>
  <c r="DY58" i="5" s="1"/>
  <c r="DZ58" i="5" s="1"/>
  <c r="EA58" i="5" s="1"/>
  <c r="EB58" i="5" s="1"/>
  <c r="EC58" i="5" s="1"/>
  <c r="ED58" i="5" s="1"/>
  <c r="EE58" i="5" s="1"/>
  <c r="EF58" i="5" s="1"/>
  <c r="EG58" i="5" s="1"/>
  <c r="EH58" i="5" s="1"/>
  <c r="EI58" i="5" s="1"/>
  <c r="EJ58" i="5" s="1"/>
  <c r="EK58" i="5" s="1"/>
  <c r="EL58" i="5" s="1"/>
  <c r="EM58" i="5" s="1"/>
  <c r="EN58" i="5" s="1"/>
  <c r="O42" i="5"/>
  <c r="P42" i="5" s="1"/>
  <c r="Q42" i="5" s="1"/>
  <c r="R42" i="5" s="1"/>
  <c r="S42" i="5" s="1"/>
  <c r="T42" i="5" s="1"/>
  <c r="U42" i="5" s="1"/>
  <c r="V42" i="5" s="1"/>
  <c r="W42" i="5" s="1"/>
  <c r="X42" i="5" s="1"/>
  <c r="Y42" i="5" s="1"/>
  <c r="Z42" i="5" s="1"/>
  <c r="AA42" i="5" s="1"/>
  <c r="AB42" i="5" s="1"/>
  <c r="AC42" i="5" s="1"/>
  <c r="AD42" i="5" s="1"/>
  <c r="AE42" i="5" s="1"/>
  <c r="AF42" i="5" s="1"/>
  <c r="AG42" i="5" s="1"/>
  <c r="AH42" i="5" s="1"/>
  <c r="AI42" i="5" s="1"/>
  <c r="AJ42" i="5" s="1"/>
  <c r="AK42" i="5" s="1"/>
  <c r="AL42" i="5" s="1"/>
  <c r="AM42" i="5" s="1"/>
  <c r="AN42" i="5" s="1"/>
  <c r="AO42" i="5" s="1"/>
  <c r="AP42" i="5" s="1"/>
  <c r="AQ42" i="5" s="1"/>
  <c r="AR42" i="5" s="1"/>
  <c r="AS42" i="5" s="1"/>
  <c r="AT42" i="5" s="1"/>
  <c r="AU42" i="5" s="1"/>
  <c r="AV42" i="5" s="1"/>
  <c r="AW42" i="5" s="1"/>
  <c r="AX42" i="5" s="1"/>
  <c r="AY42" i="5" s="1"/>
  <c r="AZ42" i="5" s="1"/>
  <c r="BA42" i="5" s="1"/>
  <c r="BB42" i="5" s="1"/>
  <c r="BC42" i="5" s="1"/>
  <c r="BD42" i="5" s="1"/>
  <c r="BE42" i="5" s="1"/>
  <c r="BF42" i="5" s="1"/>
  <c r="BG42" i="5" s="1"/>
  <c r="BH42" i="5" s="1"/>
  <c r="BI42" i="5" s="1"/>
  <c r="BJ42" i="5" s="1"/>
  <c r="BK42" i="5" s="1"/>
  <c r="BL42" i="5" s="1"/>
  <c r="BM42" i="5" s="1"/>
  <c r="BN42" i="5" s="1"/>
  <c r="BO42" i="5" s="1"/>
  <c r="BP42" i="5" s="1"/>
  <c r="BQ42" i="5" s="1"/>
  <c r="BR42" i="5" s="1"/>
  <c r="BS42" i="5" s="1"/>
  <c r="BT42" i="5" s="1"/>
  <c r="BU42" i="5" s="1"/>
  <c r="BV42" i="5" s="1"/>
  <c r="BW42" i="5" s="1"/>
  <c r="BX42" i="5" s="1"/>
  <c r="BY42" i="5" s="1"/>
  <c r="BZ42" i="5" s="1"/>
  <c r="CA42" i="5" s="1"/>
  <c r="CB42" i="5" s="1"/>
  <c r="CC42" i="5" s="1"/>
  <c r="CD42" i="5" s="1"/>
  <c r="CE42" i="5" s="1"/>
  <c r="CF42" i="5" s="1"/>
  <c r="CG42" i="5" s="1"/>
  <c r="CH42" i="5" s="1"/>
  <c r="CI42" i="5" s="1"/>
  <c r="CJ42" i="5" s="1"/>
  <c r="CK42" i="5" s="1"/>
  <c r="CL42" i="5" s="1"/>
  <c r="CM42" i="5" s="1"/>
  <c r="CN42" i="5" s="1"/>
  <c r="CO42" i="5" s="1"/>
  <c r="CP42" i="5" s="1"/>
  <c r="CQ42" i="5" s="1"/>
  <c r="CR42" i="5" s="1"/>
  <c r="CS42" i="5" s="1"/>
  <c r="CT42" i="5" s="1"/>
  <c r="CU42" i="5" s="1"/>
  <c r="CV42" i="5" s="1"/>
  <c r="CW42" i="5" s="1"/>
  <c r="CX42" i="5" s="1"/>
  <c r="CY42" i="5" s="1"/>
  <c r="CZ42" i="5" s="1"/>
  <c r="DA42" i="5" s="1"/>
  <c r="DB42" i="5" s="1"/>
  <c r="DC42" i="5" s="1"/>
  <c r="DD42" i="5" s="1"/>
  <c r="DE42" i="5" s="1"/>
  <c r="DF42" i="5" s="1"/>
  <c r="DG42" i="5" s="1"/>
  <c r="DH42" i="5" s="1"/>
  <c r="DI42" i="5" s="1"/>
  <c r="DJ42" i="5" s="1"/>
  <c r="DK42" i="5" s="1"/>
  <c r="DL42" i="5" s="1"/>
  <c r="DM42" i="5" s="1"/>
  <c r="DN42" i="5" s="1"/>
  <c r="DO42" i="5" s="1"/>
  <c r="DP42" i="5" s="1"/>
  <c r="DQ42" i="5" s="1"/>
  <c r="DR42" i="5" s="1"/>
  <c r="DS42" i="5" s="1"/>
  <c r="DT42" i="5" s="1"/>
  <c r="DU42" i="5" s="1"/>
  <c r="DV42" i="5" s="1"/>
  <c r="DW42" i="5" s="1"/>
  <c r="DX42" i="5" s="1"/>
  <c r="DY42" i="5" s="1"/>
  <c r="DZ42" i="5" s="1"/>
  <c r="EA42" i="5" s="1"/>
  <c r="EB42" i="5" s="1"/>
  <c r="EC42" i="5" s="1"/>
  <c r="ED42" i="5" s="1"/>
  <c r="EE42" i="5" s="1"/>
  <c r="EF42" i="5" s="1"/>
  <c r="EG42" i="5" s="1"/>
  <c r="EH42" i="5" s="1"/>
  <c r="EI42" i="5" s="1"/>
  <c r="EJ42" i="5" s="1"/>
  <c r="EK42" i="5" s="1"/>
  <c r="EL42" i="5" s="1"/>
  <c r="EM42" i="5" s="1"/>
  <c r="EN42" i="5" s="1"/>
  <c r="AP71" i="15" l="1"/>
  <c r="AP63" i="15"/>
  <c r="AP55" i="15"/>
  <c r="AP47" i="15"/>
  <c r="AP39" i="15"/>
  <c r="AP31" i="15"/>
  <c r="AP23" i="15"/>
  <c r="AP15" i="15"/>
  <c r="AP7" i="15"/>
  <c r="AP45" i="15"/>
  <c r="AQ2" i="15"/>
  <c r="AJ63" i="16"/>
  <c r="AJ7" i="16"/>
  <c r="AK2" i="16"/>
  <c r="AG2" i="14"/>
  <c r="CW3" i="8"/>
  <c r="CV3" i="8"/>
  <c r="CU3" i="8"/>
  <c r="CT3" i="8"/>
  <c r="S10" i="5"/>
  <c r="T10" i="5" s="1"/>
  <c r="U10" i="5" s="1"/>
  <c r="V10" i="5" s="1"/>
  <c r="W10" i="5" s="1"/>
  <c r="X10" i="5" s="1"/>
  <c r="Y10" i="5" s="1"/>
  <c r="Z10" i="5" s="1"/>
  <c r="AA10" i="5" s="1"/>
  <c r="AB10" i="5" s="1"/>
  <c r="AC10" i="5" s="1"/>
  <c r="AD10" i="5" s="1"/>
  <c r="AE10" i="5" s="1"/>
  <c r="AF10" i="5" s="1"/>
  <c r="AG10" i="5" s="1"/>
  <c r="AH10" i="5" s="1"/>
  <c r="AI10" i="5" s="1"/>
  <c r="AJ10" i="5" s="1"/>
  <c r="AK10" i="5" s="1"/>
  <c r="AL10" i="5" s="1"/>
  <c r="AM10" i="5" s="1"/>
  <c r="AN10" i="5" s="1"/>
  <c r="AO10" i="5" s="1"/>
  <c r="AP10" i="5" s="1"/>
  <c r="AQ10" i="5" s="1"/>
  <c r="AR10" i="5" s="1"/>
  <c r="AS10" i="5" s="1"/>
  <c r="AT10" i="5" s="1"/>
  <c r="AU10" i="5" s="1"/>
  <c r="AV10" i="5" s="1"/>
  <c r="AW10" i="5" s="1"/>
  <c r="AX10" i="5" s="1"/>
  <c r="AY10" i="5" s="1"/>
  <c r="AZ10" i="5" s="1"/>
  <c r="BA10" i="5" s="1"/>
  <c r="BB10" i="5" s="1"/>
  <c r="BC10" i="5" s="1"/>
  <c r="BD10" i="5" s="1"/>
  <c r="BE10" i="5" s="1"/>
  <c r="BF10" i="5" s="1"/>
  <c r="BG10" i="5" s="1"/>
  <c r="BH10" i="5" s="1"/>
  <c r="BI10" i="5" s="1"/>
  <c r="BJ10" i="5" s="1"/>
  <c r="BK10" i="5" s="1"/>
  <c r="BL10" i="5" s="1"/>
  <c r="BM10" i="5" s="1"/>
  <c r="BN10" i="5" s="1"/>
  <c r="BO10" i="5" s="1"/>
  <c r="BP10" i="5" s="1"/>
  <c r="BQ10" i="5" s="1"/>
  <c r="BR10" i="5" s="1"/>
  <c r="BS10" i="5" s="1"/>
  <c r="BT10" i="5" s="1"/>
  <c r="BU10" i="5" s="1"/>
  <c r="BV10" i="5" s="1"/>
  <c r="BW10" i="5" s="1"/>
  <c r="BX10" i="5" s="1"/>
  <c r="BY10" i="5" s="1"/>
  <c r="BZ10" i="5" s="1"/>
  <c r="CA10" i="5" s="1"/>
  <c r="CB10" i="5" s="1"/>
  <c r="CC10" i="5" s="1"/>
  <c r="CD10" i="5" s="1"/>
  <c r="CE10" i="5" s="1"/>
  <c r="CF10" i="5" s="1"/>
  <c r="CG10" i="5" s="1"/>
  <c r="CH10" i="5" s="1"/>
  <c r="CI10" i="5" s="1"/>
  <c r="CJ10" i="5" s="1"/>
  <c r="CK10" i="5" s="1"/>
  <c r="CL10" i="5" s="1"/>
  <c r="CM10" i="5" s="1"/>
  <c r="CN10" i="5" s="1"/>
  <c r="CO10" i="5" s="1"/>
  <c r="CP10" i="5" s="1"/>
  <c r="CQ10" i="5" s="1"/>
  <c r="CR10" i="5" s="1"/>
  <c r="CS10" i="5" s="1"/>
  <c r="CT10" i="5" s="1"/>
  <c r="CU10" i="5" s="1"/>
  <c r="CV10" i="5" s="1"/>
  <c r="CW10" i="5" s="1"/>
  <c r="CX10" i="5" s="1"/>
  <c r="CY10" i="5" s="1"/>
  <c r="CZ10" i="5" s="1"/>
  <c r="DA10" i="5" s="1"/>
  <c r="DB10" i="5" s="1"/>
  <c r="DC10" i="5" s="1"/>
  <c r="DD10" i="5" s="1"/>
  <c r="DE10" i="5" s="1"/>
  <c r="DF10" i="5" s="1"/>
  <c r="DG10" i="5" s="1"/>
  <c r="DH10" i="5" s="1"/>
  <c r="DI10" i="5" s="1"/>
  <c r="DJ10" i="5" s="1"/>
  <c r="DK10" i="5" s="1"/>
  <c r="DL10" i="5" s="1"/>
  <c r="DM10" i="5" s="1"/>
  <c r="DN10" i="5" s="1"/>
  <c r="DO10" i="5" s="1"/>
  <c r="DP10" i="5" s="1"/>
  <c r="DQ10" i="5" s="1"/>
  <c r="DR10" i="5" s="1"/>
  <c r="DS10" i="5" s="1"/>
  <c r="DT10" i="5" s="1"/>
  <c r="DU10" i="5" s="1"/>
  <c r="DV10" i="5" s="1"/>
  <c r="DW10" i="5" s="1"/>
  <c r="DX10" i="5" s="1"/>
  <c r="DY10" i="5" s="1"/>
  <c r="DZ10" i="5" s="1"/>
  <c r="EA10" i="5" s="1"/>
  <c r="EB10" i="5" s="1"/>
  <c r="EC10" i="5" s="1"/>
  <c r="ED10" i="5" s="1"/>
  <c r="EE10" i="5" s="1"/>
  <c r="EF10" i="5" s="1"/>
  <c r="EG10" i="5" s="1"/>
  <c r="EH10" i="5" s="1"/>
  <c r="EI10" i="5" s="1"/>
  <c r="EJ10" i="5" s="1"/>
  <c r="EK10" i="5" s="1"/>
  <c r="EL10" i="5" s="1"/>
  <c r="EM10" i="5" s="1"/>
  <c r="EN10" i="5" s="1"/>
  <c r="S10" i="8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AH10" i="8" s="1"/>
  <c r="AI10" i="8" s="1"/>
  <c r="AJ10" i="8" s="1"/>
  <c r="AK10" i="8" s="1"/>
  <c r="AL10" i="8" s="1"/>
  <c r="AM10" i="8" s="1"/>
  <c r="AN10" i="8" s="1"/>
  <c r="AO10" i="8" s="1"/>
  <c r="AP10" i="8" s="1"/>
  <c r="AQ10" i="8" s="1"/>
  <c r="AR10" i="8" s="1"/>
  <c r="AS10" i="8" s="1"/>
  <c r="AT10" i="8" s="1"/>
  <c r="AU10" i="8" s="1"/>
  <c r="AV10" i="8" s="1"/>
  <c r="AW10" i="8" s="1"/>
  <c r="AX10" i="8" s="1"/>
  <c r="AY10" i="8" s="1"/>
  <c r="AZ10" i="8" s="1"/>
  <c r="BA10" i="8" s="1"/>
  <c r="BB10" i="8" s="1"/>
  <c r="BC10" i="8" s="1"/>
  <c r="BD10" i="8" s="1"/>
  <c r="BE10" i="8" s="1"/>
  <c r="BF10" i="8" s="1"/>
  <c r="BG10" i="8" s="1"/>
  <c r="BH10" i="8" s="1"/>
  <c r="BI10" i="8" s="1"/>
  <c r="BJ10" i="8" s="1"/>
  <c r="BK10" i="8" s="1"/>
  <c r="BL10" i="8" s="1"/>
  <c r="BM10" i="8" s="1"/>
  <c r="BN10" i="8" s="1"/>
  <c r="BO10" i="8" s="1"/>
  <c r="BP10" i="8" s="1"/>
  <c r="BQ10" i="8" s="1"/>
  <c r="BR10" i="8" s="1"/>
  <c r="BS10" i="8" s="1"/>
  <c r="BT10" i="8" s="1"/>
  <c r="BU10" i="8" s="1"/>
  <c r="BV10" i="8" s="1"/>
  <c r="BW10" i="8" s="1"/>
  <c r="BX10" i="8" s="1"/>
  <c r="BY10" i="8" s="1"/>
  <c r="BZ10" i="8" s="1"/>
  <c r="CA10" i="8" s="1"/>
  <c r="CB10" i="8" s="1"/>
  <c r="CC10" i="8" s="1"/>
  <c r="CD10" i="8" s="1"/>
  <c r="CE10" i="8" s="1"/>
  <c r="CF10" i="8" s="1"/>
  <c r="CG10" i="8" s="1"/>
  <c r="CH10" i="8" s="1"/>
  <c r="CI10" i="8" s="1"/>
  <c r="CJ10" i="8" s="1"/>
  <c r="CK10" i="8" s="1"/>
  <c r="CL10" i="8" s="1"/>
  <c r="CM10" i="8" s="1"/>
  <c r="CN10" i="8" s="1"/>
  <c r="CO10" i="8" s="1"/>
  <c r="CP10" i="8" s="1"/>
  <c r="CQ10" i="8" s="1"/>
  <c r="CR10" i="8" s="1"/>
  <c r="CS10" i="8" s="1"/>
  <c r="CT10" i="8" s="1"/>
  <c r="CU10" i="8" s="1"/>
  <c r="CV10" i="8" s="1"/>
  <c r="CW10" i="8" s="1"/>
  <c r="AQ71" i="15" l="1"/>
  <c r="AQ63" i="15"/>
  <c r="AQ39" i="15"/>
  <c r="AQ55" i="15"/>
  <c r="AQ47" i="15"/>
  <c r="AQ23" i="15"/>
  <c r="AQ31" i="15"/>
  <c r="AQ15" i="15"/>
  <c r="AQ7" i="15"/>
  <c r="AR2" i="15"/>
  <c r="AQ45" i="15"/>
  <c r="AK63" i="16"/>
  <c r="AK7" i="16"/>
  <c r="AL2" i="16"/>
  <c r="AH2" i="14"/>
  <c r="AR71" i="15" l="1"/>
  <c r="AR63" i="15"/>
  <c r="AR47" i="15"/>
  <c r="AR39" i="15"/>
  <c r="AR55" i="15"/>
  <c r="AR15" i="15"/>
  <c r="AR23" i="15"/>
  <c r="AR31" i="15"/>
  <c r="AR7" i="15"/>
  <c r="AR45" i="15"/>
  <c r="AS2" i="15"/>
  <c r="AL63" i="16"/>
  <c r="AL7" i="16"/>
  <c r="AM2" i="16"/>
  <c r="AI2" i="14"/>
  <c r="AS71" i="15" l="1"/>
  <c r="AS63" i="15"/>
  <c r="AS55" i="15"/>
  <c r="AS47" i="15"/>
  <c r="AS31" i="15"/>
  <c r="AS39" i="15"/>
  <c r="AS23" i="15"/>
  <c r="AS7" i="15"/>
  <c r="AS15" i="15"/>
  <c r="AT2" i="15"/>
  <c r="AS45" i="15"/>
  <c r="AM63" i="16"/>
  <c r="AM7" i="16"/>
  <c r="AN2" i="16"/>
  <c r="AJ2" i="14"/>
  <c r="AT71" i="15" l="1"/>
  <c r="AT63" i="15"/>
  <c r="AT55" i="15"/>
  <c r="AT47" i="15"/>
  <c r="AT39" i="15"/>
  <c r="AT31" i="15"/>
  <c r="AT23" i="15"/>
  <c r="AT7" i="15"/>
  <c r="AT15" i="15"/>
  <c r="AU2" i="15"/>
  <c r="AT45" i="15"/>
  <c r="AN63" i="16"/>
  <c r="AN7" i="16"/>
  <c r="AO2" i="16"/>
  <c r="AK2" i="14"/>
  <c r="AU71" i="15" l="1"/>
  <c r="AU63" i="15"/>
  <c r="AU39" i="15"/>
  <c r="AU55" i="15"/>
  <c r="AU47" i="15"/>
  <c r="AU31" i="15"/>
  <c r="AU23" i="15"/>
  <c r="AU15" i="15"/>
  <c r="AU7" i="15"/>
  <c r="AV2" i="15"/>
  <c r="AU45" i="15"/>
  <c r="AO7" i="16"/>
  <c r="AO63" i="16"/>
  <c r="AP2" i="16"/>
  <c r="AL2" i="14"/>
  <c r="AV71" i="15" l="1"/>
  <c r="AV63" i="15"/>
  <c r="AV47" i="15"/>
  <c r="AV39" i="15"/>
  <c r="AV55" i="15"/>
  <c r="AV15" i="15"/>
  <c r="AV31" i="15"/>
  <c r="AV23" i="15"/>
  <c r="AV7" i="15"/>
  <c r="AW2" i="15"/>
  <c r="AV45" i="15"/>
  <c r="AP63" i="16"/>
  <c r="AP7" i="16"/>
  <c r="AQ2" i="16"/>
  <c r="AM2" i="14"/>
  <c r="AW71" i="15" l="1"/>
  <c r="AW63" i="15"/>
  <c r="AW55" i="15"/>
  <c r="AW47" i="15"/>
  <c r="AW31" i="15"/>
  <c r="AW23" i="15"/>
  <c r="AW39" i="15"/>
  <c r="AW7" i="15"/>
  <c r="AW15" i="15"/>
  <c r="AW45" i="15"/>
  <c r="AX2" i="15"/>
  <c r="AQ63" i="16"/>
  <c r="AQ7" i="16"/>
  <c r="AR2" i="16"/>
  <c r="AN2" i="14"/>
  <c r="AX71" i="15" l="1"/>
  <c r="AX63" i="15"/>
  <c r="AX55" i="15"/>
  <c r="AX47" i="15"/>
  <c r="AX39" i="15"/>
  <c r="AX31" i="15"/>
  <c r="AX23" i="15"/>
  <c r="AX15" i="15"/>
  <c r="AX7" i="15"/>
  <c r="AX45" i="15"/>
  <c r="AY2" i="15"/>
  <c r="AR63" i="16"/>
  <c r="AR7" i="16"/>
  <c r="AS2" i="16"/>
  <c r="AO2" i="14"/>
  <c r="AY71" i="15" l="1"/>
  <c r="AY63" i="15"/>
  <c r="AY39" i="15"/>
  <c r="AY55" i="15"/>
  <c r="AY47" i="15"/>
  <c r="AY23" i="15"/>
  <c r="AY31" i="15"/>
  <c r="AY15" i="15"/>
  <c r="AY7" i="15"/>
  <c r="AY45" i="15"/>
  <c r="AZ2" i="15"/>
  <c r="AS7" i="16"/>
  <c r="AS63" i="16"/>
  <c r="AT2" i="16"/>
  <c r="AP2" i="14"/>
  <c r="Y2" i="5"/>
  <c r="AZ71" i="15" l="1"/>
  <c r="AZ63" i="15"/>
  <c r="AZ47" i="15"/>
  <c r="AZ39" i="15"/>
  <c r="AZ55" i="15"/>
  <c r="AZ31" i="15"/>
  <c r="AZ15" i="15"/>
  <c r="AZ23" i="15"/>
  <c r="AZ7" i="15"/>
  <c r="BA2" i="15"/>
  <c r="AZ45" i="15"/>
  <c r="AT63" i="16"/>
  <c r="AT7" i="16"/>
  <c r="AU2" i="16"/>
  <c r="AQ2" i="14"/>
  <c r="Z2" i="5"/>
  <c r="BA63" i="15" l="1"/>
  <c r="BA71" i="15"/>
  <c r="BA55" i="15"/>
  <c r="BA47" i="15"/>
  <c r="BA31" i="15"/>
  <c r="BA39" i="15"/>
  <c r="BA23" i="15"/>
  <c r="BA7" i="15"/>
  <c r="BA15" i="15"/>
  <c r="BA45" i="15"/>
  <c r="BB2" i="15"/>
  <c r="AU63" i="16"/>
  <c r="AU7" i="16"/>
  <c r="AV2" i="16"/>
  <c r="AR2" i="14"/>
  <c r="AA2" i="5"/>
  <c r="BB71" i="15" l="1"/>
  <c r="BB63" i="15"/>
  <c r="BB55" i="15"/>
  <c r="BB47" i="15"/>
  <c r="BB39" i="15"/>
  <c r="BB31" i="15"/>
  <c r="BB23" i="15"/>
  <c r="BB7" i="15"/>
  <c r="BB15" i="15"/>
  <c r="BC2" i="15"/>
  <c r="BB45" i="15"/>
  <c r="AV63" i="16"/>
  <c r="AV7" i="16"/>
  <c r="AW2" i="16"/>
  <c r="AS2" i="14"/>
  <c r="AB2" i="5"/>
  <c r="BC71" i="15" l="1"/>
  <c r="BC63" i="15"/>
  <c r="BC39" i="15"/>
  <c r="BC55" i="15"/>
  <c r="BC47" i="15"/>
  <c r="BC23" i="15"/>
  <c r="BC31" i="15"/>
  <c r="BC15" i="15"/>
  <c r="BC7" i="15"/>
  <c r="BD2" i="15"/>
  <c r="BC45" i="15"/>
  <c r="AW7" i="16"/>
  <c r="AW63" i="16"/>
  <c r="AX2" i="16"/>
  <c r="AT2" i="14"/>
  <c r="AC2" i="5"/>
  <c r="BD71" i="15" l="1"/>
  <c r="BD63" i="15"/>
  <c r="BD47" i="15"/>
  <c r="BD39" i="15"/>
  <c r="BD55" i="15"/>
  <c r="BD15" i="15"/>
  <c r="BD23" i="15"/>
  <c r="BD31" i="15"/>
  <c r="BD7" i="15"/>
  <c r="BD45" i="15"/>
  <c r="BE2" i="15"/>
  <c r="AX63" i="16"/>
  <c r="AX7" i="16"/>
  <c r="AY2" i="16"/>
  <c r="AU2" i="14"/>
  <c r="AD2" i="5"/>
  <c r="BE71" i="15" l="1"/>
  <c r="BE63" i="15"/>
  <c r="BE55" i="15"/>
  <c r="BE47" i="15"/>
  <c r="BE31" i="15"/>
  <c r="BE39" i="15"/>
  <c r="BE23" i="15"/>
  <c r="BE7" i="15"/>
  <c r="BE15" i="15"/>
  <c r="BE45" i="15"/>
  <c r="BF2" i="15"/>
  <c r="AY63" i="16"/>
  <c r="AY7" i="16"/>
  <c r="AZ2" i="16"/>
  <c r="AV2" i="14"/>
  <c r="AE2" i="5"/>
  <c r="BF71" i="15" l="1"/>
  <c r="BF63" i="15"/>
  <c r="BF55" i="15"/>
  <c r="BF47" i="15"/>
  <c r="BF39" i="15"/>
  <c r="BF31" i="15"/>
  <c r="BF23" i="15"/>
  <c r="BF15" i="15"/>
  <c r="BF7" i="15"/>
  <c r="BG2" i="15"/>
  <c r="AZ63" i="16"/>
  <c r="AZ7" i="16"/>
  <c r="U9" i="18"/>
  <c r="V9" i="18"/>
  <c r="S9" i="18"/>
  <c r="T9" i="18"/>
  <c r="U55" i="18"/>
  <c r="S55" i="18"/>
  <c r="V55" i="18"/>
  <c r="T55" i="18"/>
  <c r="R50" i="18"/>
  <c r="P50" i="18"/>
  <c r="O50" i="18"/>
  <c r="Q50" i="18"/>
  <c r="BA2" i="16"/>
  <c r="AW2" i="14"/>
  <c r="AF2" i="5"/>
  <c r="BG71" i="15" l="1"/>
  <c r="BG63" i="15"/>
  <c r="BG39" i="15"/>
  <c r="BG55" i="15"/>
  <c r="BG47" i="15"/>
  <c r="BG23" i="15"/>
  <c r="BG31" i="15"/>
  <c r="BG15" i="15"/>
  <c r="BG7" i="15"/>
  <c r="BH2" i="15"/>
  <c r="BA63" i="16"/>
  <c r="BA7" i="16"/>
  <c r="L8" i="18"/>
  <c r="L54" i="18"/>
  <c r="L49" i="18"/>
  <c r="BB2" i="16"/>
  <c r="AX2" i="14"/>
  <c r="AG2" i="5"/>
  <c r="BH71" i="15" l="1"/>
  <c r="BH63" i="15"/>
  <c r="BH47" i="15"/>
  <c r="BH39" i="15"/>
  <c r="BH55" i="15"/>
  <c r="BH15" i="15"/>
  <c r="BH23" i="15"/>
  <c r="BH31" i="15"/>
  <c r="BH7" i="15"/>
  <c r="BI2" i="15"/>
  <c r="BB63" i="16"/>
  <c r="BB7" i="16"/>
  <c r="BC2" i="16"/>
  <c r="AY2" i="14"/>
  <c r="AH2" i="5"/>
  <c r="BI63" i="15" l="1"/>
  <c r="BI71" i="15"/>
  <c r="BI55" i="15"/>
  <c r="BI47" i="15"/>
  <c r="BI31" i="15"/>
  <c r="BI39" i="15"/>
  <c r="BI23" i="15"/>
  <c r="BI7" i="15"/>
  <c r="BI15" i="15"/>
  <c r="BJ2" i="15"/>
  <c r="BC63" i="16"/>
  <c r="BC7" i="16"/>
  <c r="BD2" i="16"/>
  <c r="AZ2" i="14"/>
  <c r="AI2" i="5"/>
  <c r="BJ71" i="15" l="1"/>
  <c r="BJ63" i="15"/>
  <c r="BJ55" i="15"/>
  <c r="BJ47" i="15"/>
  <c r="BJ39" i="15"/>
  <c r="BJ31" i="15"/>
  <c r="BJ23" i="15"/>
  <c r="BJ7" i="15"/>
  <c r="BJ15" i="15"/>
  <c r="BK2" i="15"/>
  <c r="BD63" i="16"/>
  <c r="BD7" i="16"/>
  <c r="AB65" i="18"/>
  <c r="AD65" i="18"/>
  <c r="AE65" i="18"/>
  <c r="AC65" i="18"/>
  <c r="AG19" i="18"/>
  <c r="AH19" i="18"/>
  <c r="AE19" i="18"/>
  <c r="AF19" i="18"/>
  <c r="BS44" i="18"/>
  <c r="BQ44" i="18"/>
  <c r="BP44" i="18"/>
  <c r="BR44" i="18"/>
  <c r="BP34" i="18"/>
  <c r="BM34" i="18"/>
  <c r="BO34" i="18"/>
  <c r="BN34" i="18"/>
  <c r="AX24" i="18"/>
  <c r="BA24" i="18"/>
  <c r="AY24" i="18"/>
  <c r="AZ24" i="18"/>
  <c r="BN85" i="18"/>
  <c r="BO85" i="18"/>
  <c r="BL85" i="18"/>
  <c r="BM85" i="18"/>
  <c r="AE70" i="18"/>
  <c r="AC70" i="18"/>
  <c r="AD70" i="18"/>
  <c r="AF70" i="18"/>
  <c r="BF29" i="18"/>
  <c r="BE29" i="18"/>
  <c r="BC29" i="18"/>
  <c r="BD29" i="18"/>
  <c r="AZ75" i="18"/>
  <c r="AX75" i="18"/>
  <c r="AY75" i="18"/>
  <c r="AW75" i="18"/>
  <c r="BQ39" i="18"/>
  <c r="BP39" i="18"/>
  <c r="BO39" i="18"/>
  <c r="BR39" i="18"/>
  <c r="BB80" i="18"/>
  <c r="BD80" i="18"/>
  <c r="BC80" i="18"/>
  <c r="BA80" i="18"/>
  <c r="AC14" i="18"/>
  <c r="AB14" i="18"/>
  <c r="AD14" i="18"/>
  <c r="AE14" i="18"/>
  <c r="X60" i="18"/>
  <c r="Y60" i="18"/>
  <c r="V60" i="18"/>
  <c r="W60" i="18"/>
  <c r="BE2" i="16"/>
  <c r="BA2" i="14"/>
  <c r="AJ2" i="5"/>
  <c r="BK71" i="15" l="1"/>
  <c r="BK63" i="15"/>
  <c r="BK39" i="15"/>
  <c r="BK55" i="15"/>
  <c r="BK47" i="15"/>
  <c r="BK31" i="15"/>
  <c r="BK23" i="15"/>
  <c r="BK15" i="15"/>
  <c r="BK7" i="15"/>
  <c r="BL2" i="15"/>
  <c r="BE7" i="16"/>
  <c r="BE63" i="16"/>
  <c r="L74" i="18"/>
  <c r="L38" i="18"/>
  <c r="L59" i="18"/>
  <c r="L84" i="18"/>
  <c r="L23" i="18"/>
  <c r="L79" i="18"/>
  <c r="L13" i="18"/>
  <c r="L28" i="18"/>
  <c r="L64" i="18"/>
  <c r="L18" i="18"/>
  <c r="L43" i="18"/>
  <c r="L33" i="18"/>
  <c r="L69" i="18"/>
  <c r="BF2" i="16"/>
  <c r="BB2" i="14"/>
  <c r="AK2" i="5"/>
  <c r="BL71" i="15" l="1"/>
  <c r="BL63" i="15"/>
  <c r="BL47" i="15"/>
  <c r="BL39" i="15"/>
  <c r="BL55" i="15"/>
  <c r="BL15" i="15"/>
  <c r="BL31" i="15"/>
  <c r="BL23" i="15"/>
  <c r="BL7" i="15"/>
  <c r="BM2" i="15"/>
  <c r="BF63" i="16"/>
  <c r="BF7" i="16"/>
  <c r="BG2" i="16"/>
  <c r="BC2" i="14"/>
  <c r="AL2" i="5"/>
  <c r="BM71" i="15" l="1"/>
  <c r="BM63" i="15"/>
  <c r="BM55" i="15"/>
  <c r="BM47" i="15"/>
  <c r="BM31" i="15"/>
  <c r="BM23" i="15"/>
  <c r="BM39" i="15"/>
  <c r="BM7" i="15"/>
  <c r="BM15" i="15"/>
  <c r="BN2" i="15"/>
  <c r="BG63" i="16"/>
  <c r="BG7" i="16"/>
  <c r="BH2" i="16"/>
  <c r="BD2" i="14"/>
  <c r="AM2" i="5"/>
  <c r="BN71" i="15" l="1"/>
  <c r="BN63" i="15"/>
  <c r="BN55" i="15"/>
  <c r="BN47" i="15"/>
  <c r="BN39" i="15"/>
  <c r="BN31" i="15"/>
  <c r="BN23" i="15"/>
  <c r="BN15" i="15"/>
  <c r="BN7" i="15"/>
  <c r="BO2" i="15"/>
  <c r="BH63" i="16"/>
  <c r="BH7" i="16"/>
  <c r="BI2" i="16"/>
  <c r="BE2" i="14"/>
  <c r="AN2" i="5"/>
  <c r="BO71" i="15" l="1"/>
  <c r="BO63" i="15"/>
  <c r="BO39" i="15"/>
  <c r="BO55" i="15"/>
  <c r="BO47" i="15"/>
  <c r="BO23" i="15"/>
  <c r="BO31" i="15"/>
  <c r="BO15" i="15"/>
  <c r="BO7" i="15"/>
  <c r="BP2" i="15"/>
  <c r="BI7" i="16"/>
  <c r="BI63" i="16"/>
  <c r="BJ2" i="16"/>
  <c r="BF2" i="14"/>
  <c r="AO2" i="5"/>
  <c r="BP71" i="15" l="1"/>
  <c r="BP63" i="15"/>
  <c r="BP47" i="15"/>
  <c r="BP39" i="15"/>
  <c r="BP55" i="15"/>
  <c r="BP31" i="15"/>
  <c r="BP15" i="15"/>
  <c r="BP23" i="15"/>
  <c r="BP7" i="15"/>
  <c r="BQ2" i="15"/>
  <c r="BJ63" i="16"/>
  <c r="BJ7" i="16"/>
  <c r="BK2" i="16"/>
  <c r="BG2" i="14"/>
  <c r="AP2" i="5"/>
  <c r="BQ71" i="15" l="1"/>
  <c r="BQ63" i="15"/>
  <c r="BQ55" i="15"/>
  <c r="BQ47" i="15"/>
  <c r="BQ31" i="15"/>
  <c r="BQ39" i="15"/>
  <c r="BQ23" i="15"/>
  <c r="BQ7" i="15"/>
  <c r="BQ15" i="15"/>
  <c r="BR2" i="15"/>
  <c r="BK63" i="16"/>
  <c r="BK7" i="16"/>
  <c r="BL2" i="16"/>
  <c r="BH2" i="14"/>
  <c r="AQ2" i="5"/>
  <c r="BR71" i="15" l="1"/>
  <c r="BR63" i="15"/>
  <c r="BR55" i="15"/>
  <c r="BR47" i="15"/>
  <c r="BR39" i="15"/>
  <c r="BR31" i="15"/>
  <c r="BR23" i="15"/>
  <c r="BR7" i="15"/>
  <c r="BR15" i="15"/>
  <c r="BS2" i="15"/>
  <c r="BL63" i="16"/>
  <c r="BL7" i="16"/>
  <c r="BM2" i="16"/>
  <c r="BI2" i="14"/>
  <c r="AR3" i="8"/>
  <c r="AR2" i="5"/>
  <c r="T1" i="3"/>
  <c r="T1" i="1"/>
  <c r="T1" i="4"/>
  <c r="G39" i="17"/>
  <c r="G31" i="17"/>
  <c r="G23" i="17"/>
  <c r="G15" i="17"/>
  <c r="S229" i="4"/>
  <c r="I195" i="4"/>
  <c r="I186" i="4"/>
  <c r="S184" i="4"/>
  <c r="I150" i="4"/>
  <c r="I141" i="4"/>
  <c r="S139" i="4"/>
  <c r="I105" i="4"/>
  <c r="I96" i="4"/>
  <c r="S94" i="4"/>
  <c r="I60" i="4"/>
  <c r="I51" i="4"/>
  <c r="I15" i="4"/>
  <c r="I6" i="4"/>
  <c r="H63" i="15"/>
  <c r="H55" i="15"/>
  <c r="H47" i="15"/>
  <c r="H39" i="15"/>
  <c r="H31" i="15"/>
  <c r="H23" i="15"/>
  <c r="I331" i="3"/>
  <c r="I322" i="3"/>
  <c r="I286" i="3"/>
  <c r="I277" i="3"/>
  <c r="I241" i="3"/>
  <c r="I232" i="3"/>
  <c r="I196" i="3"/>
  <c r="I187" i="3"/>
  <c r="I142" i="3"/>
  <c r="I6" i="3"/>
  <c r="I106" i="3"/>
  <c r="I97" i="3"/>
  <c r="I61" i="3"/>
  <c r="I52" i="3"/>
  <c r="I28" i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BS71" i="15" l="1"/>
  <c r="BS63" i="15"/>
  <c r="BS39" i="15"/>
  <c r="BS55" i="15"/>
  <c r="BS47" i="15"/>
  <c r="BS23" i="15"/>
  <c r="BS31" i="15"/>
  <c r="BS15" i="15"/>
  <c r="BS7" i="15"/>
  <c r="BT2" i="15"/>
  <c r="BM7" i="16"/>
  <c r="BM63" i="16"/>
  <c r="H23" i="16"/>
  <c r="I22" i="16"/>
  <c r="H7" i="16"/>
  <c r="H15" i="16"/>
  <c r="G7" i="17"/>
  <c r="B3" i="8"/>
  <c r="H6" i="8" s="1"/>
  <c r="H71" i="15"/>
  <c r="C9" i="13"/>
  <c r="C25" i="13"/>
  <c r="C17" i="13"/>
  <c r="C33" i="13"/>
  <c r="H54" i="16"/>
  <c r="G54" i="16" s="1"/>
  <c r="H55" i="16"/>
  <c r="H31" i="16"/>
  <c r="H30" i="16"/>
  <c r="I30" i="16" s="1"/>
  <c r="H47" i="16"/>
  <c r="H63" i="16"/>
  <c r="H62" i="16"/>
  <c r="G62" i="16" s="1"/>
  <c r="H38" i="16"/>
  <c r="I38" i="16" s="1"/>
  <c r="H39" i="16"/>
  <c r="C41" i="11"/>
  <c r="C17" i="11"/>
  <c r="C25" i="11"/>
  <c r="B3" i="5"/>
  <c r="H7" i="5" s="1"/>
  <c r="U42" i="1"/>
  <c r="B2" i="11"/>
  <c r="I6" i="11" s="1"/>
  <c r="C57" i="11"/>
  <c r="C3" i="5"/>
  <c r="D3" i="5"/>
  <c r="C2" i="11"/>
  <c r="C49" i="11"/>
  <c r="H15" i="15"/>
  <c r="H14" i="15"/>
  <c r="C9" i="11"/>
  <c r="C65" i="11"/>
  <c r="BN2" i="16"/>
  <c r="B32" i="9"/>
  <c r="G37" i="9" s="1"/>
  <c r="B34" i="14"/>
  <c r="B33" i="12"/>
  <c r="H38" i="12" s="1"/>
  <c r="U223" i="3"/>
  <c r="C3" i="14"/>
  <c r="C2" i="12"/>
  <c r="C34" i="14"/>
  <c r="C33" i="12"/>
  <c r="B8" i="9"/>
  <c r="G13" i="9" s="1"/>
  <c r="B10" i="14"/>
  <c r="H15" i="14" s="1"/>
  <c r="B9" i="12"/>
  <c r="H14" i="12" s="1"/>
  <c r="B40" i="9"/>
  <c r="B42" i="14"/>
  <c r="H47" i="14" s="1"/>
  <c r="B41" i="12"/>
  <c r="H46" i="12" s="1"/>
  <c r="C10" i="14"/>
  <c r="C9" i="12"/>
  <c r="C42" i="14"/>
  <c r="C41" i="12"/>
  <c r="B16" i="9"/>
  <c r="G21" i="9" s="1"/>
  <c r="B18" i="14"/>
  <c r="H23" i="14" s="1"/>
  <c r="B17" i="12"/>
  <c r="H22" i="12" s="1"/>
  <c r="B48" i="9"/>
  <c r="G53" i="9" s="1"/>
  <c r="B50" i="14"/>
  <c r="H55" i="14" s="1"/>
  <c r="B49" i="12"/>
  <c r="H54" i="12" s="1"/>
  <c r="B2" i="9"/>
  <c r="G6" i="9" s="1"/>
  <c r="B3" i="14"/>
  <c r="H7" i="14" s="1"/>
  <c r="B2" i="12"/>
  <c r="H6" i="12" s="1"/>
  <c r="U88" i="3"/>
  <c r="C18" i="14"/>
  <c r="C17" i="12"/>
  <c r="C50" i="14"/>
  <c r="C49" i="12"/>
  <c r="B24" i="9"/>
  <c r="B26" i="14"/>
  <c r="B25" i="12"/>
  <c r="H30" i="12" s="1"/>
  <c r="B56" i="9"/>
  <c r="G61" i="9" s="1"/>
  <c r="B58" i="14"/>
  <c r="H63" i="14" s="1"/>
  <c r="U358" i="3"/>
  <c r="B57" i="12"/>
  <c r="H62" i="12" s="1"/>
  <c r="C26" i="14"/>
  <c r="C25" i="12"/>
  <c r="C58" i="14"/>
  <c r="C57" i="12"/>
  <c r="B26" i="8"/>
  <c r="G31" i="8" s="1"/>
  <c r="B25" i="13"/>
  <c r="H30" i="13" s="1"/>
  <c r="U177" i="4"/>
  <c r="B2" i="13"/>
  <c r="H6" i="13" s="1"/>
  <c r="B34" i="8"/>
  <c r="G39" i="8" s="1"/>
  <c r="B33" i="13"/>
  <c r="H38" i="13" s="1"/>
  <c r="C2" i="13"/>
  <c r="B10" i="8"/>
  <c r="B9" i="13"/>
  <c r="H14" i="13" s="1"/>
  <c r="B18" i="8"/>
  <c r="G23" i="8" s="1"/>
  <c r="B17" i="13"/>
  <c r="H22" i="13" s="1"/>
  <c r="BJ2" i="14"/>
  <c r="B34" i="5"/>
  <c r="H39" i="5" s="1"/>
  <c r="B33" i="11"/>
  <c r="I38" i="11" s="1"/>
  <c r="B42" i="5"/>
  <c r="H47" i="5" s="1"/>
  <c r="U269" i="1"/>
  <c r="B41" i="11"/>
  <c r="I46" i="11" s="1"/>
  <c r="B10" i="5"/>
  <c r="H14" i="5" s="1"/>
  <c r="G14" i="5" s="1"/>
  <c r="B9" i="11"/>
  <c r="I14" i="11" s="1"/>
  <c r="B50" i="5"/>
  <c r="H55" i="5" s="1"/>
  <c r="B49" i="11"/>
  <c r="I54" i="11" s="1"/>
  <c r="B18" i="5"/>
  <c r="H23" i="5" s="1"/>
  <c r="B17" i="11"/>
  <c r="I22" i="11" s="1"/>
  <c r="B58" i="5"/>
  <c r="H63" i="5" s="1"/>
  <c r="B57" i="11"/>
  <c r="I62" i="11" s="1"/>
  <c r="B26" i="5"/>
  <c r="H31" i="5" s="1"/>
  <c r="B25" i="11"/>
  <c r="I30" i="11" s="1"/>
  <c r="B66" i="5"/>
  <c r="H71" i="5" s="1"/>
  <c r="B65" i="11"/>
  <c r="I70" i="11" s="1"/>
  <c r="C3" i="8"/>
  <c r="C10" i="8"/>
  <c r="C18" i="8"/>
  <c r="C26" i="8"/>
  <c r="C34" i="8"/>
  <c r="C56" i="9"/>
  <c r="C48" i="9"/>
  <c r="C66" i="5"/>
  <c r="C40" i="9"/>
  <c r="C58" i="5"/>
  <c r="C50" i="5"/>
  <c r="C32" i="9"/>
  <c r="C42" i="5"/>
  <c r="C24" i="9"/>
  <c r="C34" i="5"/>
  <c r="C26" i="5"/>
  <c r="C16" i="9"/>
  <c r="C18" i="5"/>
  <c r="C8" i="9"/>
  <c r="C10" i="5"/>
  <c r="C2" i="9"/>
  <c r="AS3" i="8"/>
  <c r="AS2" i="5"/>
  <c r="I196" i="4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187" i="4"/>
  <c r="I188" i="4" s="1"/>
  <c r="I189" i="4" s="1"/>
  <c r="I190" i="4" s="1"/>
  <c r="I191" i="4" s="1"/>
  <c r="I192" i="4" s="1"/>
  <c r="I193" i="4" s="1"/>
  <c r="I194" i="4" s="1"/>
  <c r="I151" i="4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42" i="4"/>
  <c r="I143" i="4" s="1"/>
  <c r="I144" i="4" s="1"/>
  <c r="I145" i="4" s="1"/>
  <c r="I146" i="4" s="1"/>
  <c r="I147" i="4" s="1"/>
  <c r="I148" i="4" s="1"/>
  <c r="I149" i="4" s="1"/>
  <c r="I106" i="4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97" i="4"/>
  <c r="I98" i="4" s="1"/>
  <c r="I99" i="4" s="1"/>
  <c r="I100" i="4" s="1"/>
  <c r="I101" i="4" s="1"/>
  <c r="I102" i="4" s="1"/>
  <c r="I103" i="4" s="1"/>
  <c r="I104" i="4" s="1"/>
  <c r="I61" i="4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52" i="4"/>
  <c r="I53" i="4" s="1"/>
  <c r="I54" i="4" s="1"/>
  <c r="I55" i="4" s="1"/>
  <c r="I56" i="4" s="1"/>
  <c r="I57" i="4" s="1"/>
  <c r="I58" i="4" s="1"/>
  <c r="I59" i="4" s="1"/>
  <c r="I16" i="4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7" i="4"/>
  <c r="I8" i="4" s="1"/>
  <c r="I9" i="4" s="1"/>
  <c r="I10" i="4" s="1"/>
  <c r="I11" i="4" s="1"/>
  <c r="I12" i="4" s="1"/>
  <c r="I13" i="4" s="1"/>
  <c r="I14" i="4" s="1"/>
  <c r="I332" i="3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I361" i="3" s="1"/>
  <c r="I362" i="3" s="1"/>
  <c r="I363" i="3" s="1"/>
  <c r="I364" i="3" s="1"/>
  <c r="I365" i="3" s="1"/>
  <c r="I323" i="3"/>
  <c r="I324" i="3" s="1"/>
  <c r="I325" i="3" s="1"/>
  <c r="I326" i="3" s="1"/>
  <c r="I327" i="3" s="1"/>
  <c r="I328" i="3" s="1"/>
  <c r="I329" i="3" s="1"/>
  <c r="I330" i="3" s="1"/>
  <c r="I287" i="3"/>
  <c r="I289" i="3" s="1"/>
  <c r="I290" i="3" s="1"/>
  <c r="I291" i="3" s="1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278" i="3"/>
  <c r="I279" i="3" s="1"/>
  <c r="I280" i="3" s="1"/>
  <c r="I281" i="3" s="1"/>
  <c r="I282" i="3" s="1"/>
  <c r="I283" i="3" s="1"/>
  <c r="I284" i="3" s="1"/>
  <c r="I285" i="3" s="1"/>
  <c r="I242" i="3"/>
  <c r="I244" i="3" s="1"/>
  <c r="I245" i="3" s="1"/>
  <c r="I246" i="3" s="1"/>
  <c r="I247" i="3" s="1"/>
  <c r="I248" i="3" s="1"/>
  <c r="I249" i="3" s="1"/>
  <c r="I250" i="3" s="1"/>
  <c r="I251" i="3" s="1"/>
  <c r="I252" i="3" s="1"/>
  <c r="I253" i="3" s="1"/>
  <c r="I254" i="3" s="1"/>
  <c r="I255" i="3" s="1"/>
  <c r="I256" i="3" s="1"/>
  <c r="I257" i="3" s="1"/>
  <c r="I258" i="3" s="1"/>
  <c r="I259" i="3" s="1"/>
  <c r="I260" i="3" s="1"/>
  <c r="I261" i="3" s="1"/>
  <c r="I262" i="3" s="1"/>
  <c r="I263" i="3" s="1"/>
  <c r="I264" i="3" s="1"/>
  <c r="I265" i="3" s="1"/>
  <c r="I266" i="3" s="1"/>
  <c r="I267" i="3" s="1"/>
  <c r="I268" i="3" s="1"/>
  <c r="I269" i="3" s="1"/>
  <c r="I270" i="3" s="1"/>
  <c r="I271" i="3" s="1"/>
  <c r="I272" i="3" s="1"/>
  <c r="I273" i="3" s="1"/>
  <c r="I274" i="3" s="1"/>
  <c r="I275" i="3" s="1"/>
  <c r="I233" i="3"/>
  <c r="I234" i="3" s="1"/>
  <c r="I235" i="3" s="1"/>
  <c r="I236" i="3" s="1"/>
  <c r="I237" i="3" s="1"/>
  <c r="I238" i="3" s="1"/>
  <c r="I239" i="3" s="1"/>
  <c r="I240" i="3" s="1"/>
  <c r="I197" i="3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I217" i="3" s="1"/>
  <c r="I218" i="3" s="1"/>
  <c r="I219" i="3" s="1"/>
  <c r="I220" i="3" s="1"/>
  <c r="I221" i="3" s="1"/>
  <c r="I222" i="3" s="1"/>
  <c r="I223" i="3" s="1"/>
  <c r="I224" i="3" s="1"/>
  <c r="I225" i="3" s="1"/>
  <c r="I226" i="3" s="1"/>
  <c r="I227" i="3" s="1"/>
  <c r="I228" i="3" s="1"/>
  <c r="I229" i="3" s="1"/>
  <c r="I230" i="3" s="1"/>
  <c r="I188" i="3"/>
  <c r="I189" i="3" s="1"/>
  <c r="I190" i="3" s="1"/>
  <c r="I191" i="3" s="1"/>
  <c r="I192" i="3" s="1"/>
  <c r="I193" i="3" s="1"/>
  <c r="I194" i="3" s="1"/>
  <c r="I195" i="3" s="1"/>
  <c r="I143" i="3"/>
  <c r="I144" i="3" s="1"/>
  <c r="I145" i="3" s="1"/>
  <c r="I146" i="3" s="1"/>
  <c r="I147" i="3" s="1"/>
  <c r="I148" i="3" s="1"/>
  <c r="I17" i="3"/>
  <c r="I19" i="3" s="1"/>
  <c r="I20" i="3" s="1"/>
  <c r="I7" i="3"/>
  <c r="I8" i="3" s="1"/>
  <c r="I9" i="3" s="1"/>
  <c r="I10" i="3" s="1"/>
  <c r="I11" i="3" s="1"/>
  <c r="I12" i="3" s="1"/>
  <c r="I13" i="3" s="1"/>
  <c r="I107" i="3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98" i="3"/>
  <c r="I99" i="3" s="1"/>
  <c r="I100" i="3" s="1"/>
  <c r="I101" i="3" s="1"/>
  <c r="I102" i="3" s="1"/>
  <c r="I103" i="3" s="1"/>
  <c r="I104" i="3" s="1"/>
  <c r="I105" i="3" s="1"/>
  <c r="I62" i="3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53" i="3"/>
  <c r="I54" i="3" s="1"/>
  <c r="I55" i="3" s="1"/>
  <c r="I56" i="3" s="1"/>
  <c r="I57" i="3" s="1"/>
  <c r="I58" i="3" s="1"/>
  <c r="I59" i="3" s="1"/>
  <c r="I60" i="3" s="1"/>
  <c r="I392" i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347" i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02" i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257" i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12" i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167" i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22" i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75" i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BT71" i="15" l="1"/>
  <c r="BT63" i="15"/>
  <c r="BT47" i="15"/>
  <c r="BT39" i="15"/>
  <c r="BT55" i="15"/>
  <c r="BT15" i="15"/>
  <c r="BT23" i="15"/>
  <c r="BT31" i="15"/>
  <c r="BT7" i="15"/>
  <c r="BT13" i="15"/>
  <c r="BU2" i="15"/>
  <c r="BN63" i="16"/>
  <c r="BN7" i="16"/>
  <c r="G7" i="8"/>
  <c r="L7" i="8" s="1"/>
  <c r="I21" i="3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G15" i="8"/>
  <c r="H14" i="8"/>
  <c r="G14" i="8" s="1"/>
  <c r="G6" i="8"/>
  <c r="I6" i="8" s="1"/>
  <c r="I14" i="3"/>
  <c r="D2" i="13"/>
  <c r="D3" i="8"/>
  <c r="U132" i="4"/>
  <c r="U42" i="4"/>
  <c r="U87" i="4"/>
  <c r="U178" i="3"/>
  <c r="U313" i="3"/>
  <c r="U268" i="3"/>
  <c r="U133" i="3"/>
  <c r="BM38" i="16"/>
  <c r="BM30" i="16"/>
  <c r="H39" i="14"/>
  <c r="H38" i="14"/>
  <c r="G38" i="14" s="1"/>
  <c r="U43" i="3"/>
  <c r="H31" i="14"/>
  <c r="H30" i="14"/>
  <c r="G30" i="14" s="1"/>
  <c r="U134" i="1"/>
  <c r="G36" i="9"/>
  <c r="G52" i="9"/>
  <c r="H52" i="9" s="1"/>
  <c r="I52" i="9" s="1"/>
  <c r="U179" i="1"/>
  <c r="Q38" i="16"/>
  <c r="P38" i="16"/>
  <c r="N38" i="16"/>
  <c r="M38" i="16"/>
  <c r="R38" i="16"/>
  <c r="S38" i="16"/>
  <c r="T38" i="16"/>
  <c r="O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T30" i="16"/>
  <c r="R30" i="16"/>
  <c r="Q30" i="16"/>
  <c r="U30" i="16"/>
  <c r="P30" i="16"/>
  <c r="S30" i="16"/>
  <c r="N30" i="16"/>
  <c r="M30" i="16"/>
  <c r="O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G60" i="9"/>
  <c r="U88" i="1"/>
  <c r="D2" i="11"/>
  <c r="U359" i="1"/>
  <c r="I14" i="15"/>
  <c r="BN38" i="16"/>
  <c r="BN30" i="16"/>
  <c r="BO2" i="16"/>
  <c r="D33" i="9"/>
  <c r="D35" i="14"/>
  <c r="D34" i="12"/>
  <c r="G33" i="9"/>
  <c r="G28" i="9"/>
  <c r="H28" i="9" s="1"/>
  <c r="G29" i="9"/>
  <c r="G44" i="9"/>
  <c r="H44" i="9" s="1"/>
  <c r="I44" i="9" s="1"/>
  <c r="G45" i="9"/>
  <c r="D9" i="9"/>
  <c r="D11" i="14"/>
  <c r="D10" i="12"/>
  <c r="D49" i="9"/>
  <c r="D51" i="14"/>
  <c r="D50" i="12"/>
  <c r="G27" i="9"/>
  <c r="I27" i="9" s="1"/>
  <c r="D25" i="9"/>
  <c r="D27" i="14"/>
  <c r="D26" i="12"/>
  <c r="D57" i="9"/>
  <c r="D59" i="14"/>
  <c r="D58" i="12"/>
  <c r="D2" i="9"/>
  <c r="D3" i="14"/>
  <c r="D2" i="12"/>
  <c r="D17" i="9"/>
  <c r="D19" i="14"/>
  <c r="D18" i="12"/>
  <c r="D41" i="9"/>
  <c r="D43" i="14"/>
  <c r="D42" i="12"/>
  <c r="U314" i="1"/>
  <c r="U224" i="1"/>
  <c r="U404" i="1"/>
  <c r="D11" i="8"/>
  <c r="D10" i="13"/>
  <c r="D35" i="8"/>
  <c r="D34" i="13"/>
  <c r="D27" i="8"/>
  <c r="D26" i="13"/>
  <c r="D19" i="8"/>
  <c r="D18" i="13"/>
  <c r="BK2" i="14"/>
  <c r="H15" i="5"/>
  <c r="D19" i="5"/>
  <c r="D18" i="11"/>
  <c r="D59" i="5"/>
  <c r="D58" i="11"/>
  <c r="D43" i="5"/>
  <c r="D42" i="11"/>
  <c r="D11" i="5"/>
  <c r="D10" i="11"/>
  <c r="D27" i="5"/>
  <c r="D26" i="11"/>
  <c r="D67" i="5"/>
  <c r="D66" i="11"/>
  <c r="D51" i="5"/>
  <c r="D50" i="11"/>
  <c r="I14" i="5"/>
  <c r="D35" i="5"/>
  <c r="D34" i="11"/>
  <c r="AT3" i="8"/>
  <c r="AT2" i="5"/>
  <c r="I152" i="3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49" i="3"/>
  <c r="I150" i="3" s="1"/>
  <c r="I87" i="2"/>
  <c r="BU63" i="15" l="1"/>
  <c r="BU71" i="15"/>
  <c r="BU55" i="15"/>
  <c r="BU47" i="15"/>
  <c r="BU31" i="15"/>
  <c r="BU39" i="15"/>
  <c r="BU23" i="15"/>
  <c r="BU7" i="15"/>
  <c r="BU15" i="15"/>
  <c r="BU13" i="15"/>
  <c r="BV2" i="15"/>
  <c r="BV14" i="15"/>
  <c r="BO63" i="16"/>
  <c r="BO7" i="16"/>
  <c r="CR7" i="8"/>
  <c r="X7" i="8"/>
  <c r="CV7" i="8"/>
  <c r="Q7" i="8"/>
  <c r="S7" i="8"/>
  <c r="CS7" i="8"/>
  <c r="Y7" i="8"/>
  <c r="CP7" i="8"/>
  <c r="M7" i="8"/>
  <c r="N7" i="8"/>
  <c r="CQ7" i="8"/>
  <c r="V7" i="8"/>
  <c r="CO7" i="8"/>
  <c r="O7" i="8"/>
  <c r="CF7" i="8"/>
  <c r="CN7" i="8"/>
  <c r="AD7" i="8"/>
  <c r="CW7" i="8"/>
  <c r="CU7" i="8"/>
  <c r="AC7" i="8"/>
  <c r="CG7" i="8"/>
  <c r="T7" i="8"/>
  <c r="CL7" i="8"/>
  <c r="W7" i="8"/>
  <c r="AB7" i="8"/>
  <c r="CT7" i="8"/>
  <c r="U7" i="8"/>
  <c r="CK7" i="8"/>
  <c r="CJ7" i="8"/>
  <c r="P7" i="8"/>
  <c r="R7" i="8"/>
  <c r="Z7" i="8"/>
  <c r="CE7" i="8"/>
  <c r="CH7" i="8"/>
  <c r="CI7" i="8"/>
  <c r="AA7" i="8"/>
  <c r="CM7" i="8"/>
  <c r="H11" i="17"/>
  <c r="H5" i="8"/>
  <c r="G5" i="8" s="1"/>
  <c r="H13" i="8"/>
  <c r="G13" i="8" s="1"/>
  <c r="H14" i="14"/>
  <c r="G14" i="14" s="1"/>
  <c r="H59" i="14"/>
  <c r="I59" i="14" s="1"/>
  <c r="H13" i="14"/>
  <c r="I13" i="14" s="1"/>
  <c r="H11" i="14"/>
  <c r="I11" i="14" s="1"/>
  <c r="H5" i="14"/>
  <c r="I5" i="14" s="1"/>
  <c r="H6" i="14"/>
  <c r="G6" i="14" s="1"/>
  <c r="H19" i="14"/>
  <c r="I19" i="14" s="1"/>
  <c r="H36" i="9"/>
  <c r="I36" i="9" s="1"/>
  <c r="H53" i="16"/>
  <c r="G53" i="16" s="1"/>
  <c r="H35" i="16"/>
  <c r="I35" i="16" s="1"/>
  <c r="H60" i="9"/>
  <c r="I60" i="9" s="1"/>
  <c r="H22" i="14"/>
  <c r="G22" i="14" s="1"/>
  <c r="H6" i="5"/>
  <c r="G6" i="5" s="1"/>
  <c r="H5" i="5"/>
  <c r="DM44" i="9"/>
  <c r="H5" i="16"/>
  <c r="H27" i="17"/>
  <c r="H22" i="17"/>
  <c r="H19" i="17"/>
  <c r="H35" i="17"/>
  <c r="H30" i="17"/>
  <c r="H14" i="17"/>
  <c r="H38" i="17"/>
  <c r="H29" i="17"/>
  <c r="H37" i="17"/>
  <c r="H13" i="17"/>
  <c r="H45" i="16"/>
  <c r="I45" i="16" s="1"/>
  <c r="H43" i="16"/>
  <c r="H27" i="16"/>
  <c r="I27" i="16" s="1"/>
  <c r="H11" i="16"/>
  <c r="I11" i="16" s="1"/>
  <c r="H61" i="16"/>
  <c r="G61" i="16" s="1"/>
  <c r="H59" i="16"/>
  <c r="G59" i="16" s="1"/>
  <c r="H13" i="16"/>
  <c r="I13" i="16" s="1"/>
  <c r="H51" i="16"/>
  <c r="H38" i="15"/>
  <c r="G38" i="15" s="1"/>
  <c r="I38" i="15" s="1"/>
  <c r="H11" i="15"/>
  <c r="I11" i="15" s="1"/>
  <c r="H54" i="15"/>
  <c r="G54" i="15" s="1"/>
  <c r="H46" i="15"/>
  <c r="G46" i="15" s="1"/>
  <c r="I46" i="15" s="1"/>
  <c r="P46" i="15" s="1"/>
  <c r="H43" i="15"/>
  <c r="I43" i="15" s="1"/>
  <c r="H19" i="15"/>
  <c r="G4" i="11"/>
  <c r="H4" i="11"/>
  <c r="I4" i="11"/>
  <c r="U39" i="1"/>
  <c r="I2" i="11"/>
  <c r="H22" i="15"/>
  <c r="H62" i="15"/>
  <c r="H70" i="15"/>
  <c r="AC14" i="15"/>
  <c r="T14" i="15"/>
  <c r="Q14" i="15"/>
  <c r="P14" i="15"/>
  <c r="AB14" i="15"/>
  <c r="U14" i="15"/>
  <c r="Z14" i="15"/>
  <c r="M14" i="15"/>
  <c r="R14" i="15"/>
  <c r="W14" i="15"/>
  <c r="AD14" i="15"/>
  <c r="X14" i="15"/>
  <c r="V14" i="15"/>
  <c r="O14" i="15"/>
  <c r="S14" i="15"/>
  <c r="Y14" i="15"/>
  <c r="N14" i="15"/>
  <c r="AA14" i="15"/>
  <c r="AE14" i="15"/>
  <c r="AT14" i="15"/>
  <c r="AU14" i="15"/>
  <c r="AV14" i="15"/>
  <c r="AW14" i="15"/>
  <c r="AX14" i="15"/>
  <c r="BC14" i="15"/>
  <c r="BD14" i="15"/>
  <c r="BE14" i="15"/>
  <c r="BF14" i="15"/>
  <c r="BG14" i="15"/>
  <c r="BH14" i="15"/>
  <c r="BI14" i="15"/>
  <c r="BJ14" i="15"/>
  <c r="BK14" i="15"/>
  <c r="BL14" i="15"/>
  <c r="BM14" i="15"/>
  <c r="BN14" i="15"/>
  <c r="BO14" i="15"/>
  <c r="BP14" i="15"/>
  <c r="BQ14" i="15"/>
  <c r="BR14" i="15"/>
  <c r="BS14" i="15"/>
  <c r="BT14" i="15"/>
  <c r="BU14" i="15"/>
  <c r="I3" i="15"/>
  <c r="K1" i="12"/>
  <c r="L1" i="12" s="1"/>
  <c r="M1" i="12" s="1"/>
  <c r="N1" i="12" s="1"/>
  <c r="O1" i="12" s="1"/>
  <c r="P1" i="12" s="1"/>
  <c r="Q1" i="12" s="1"/>
  <c r="R1" i="12" s="1"/>
  <c r="S1" i="12" s="1"/>
  <c r="T1" i="12" s="1"/>
  <c r="U1" i="12" s="1"/>
  <c r="V1" i="12" s="1"/>
  <c r="W1" i="12" s="1"/>
  <c r="X1" i="12" s="1"/>
  <c r="Y1" i="12" s="1"/>
  <c r="Z1" i="12" s="1"/>
  <c r="AA1" i="12" s="1"/>
  <c r="AB1" i="12" s="1"/>
  <c r="AC1" i="12" s="1"/>
  <c r="AD1" i="12" s="1"/>
  <c r="AE1" i="12" s="1"/>
  <c r="AF1" i="12" s="1"/>
  <c r="AG1" i="12" s="1"/>
  <c r="AH1" i="12" s="1"/>
  <c r="AI1" i="12" s="1"/>
  <c r="AJ1" i="12" s="1"/>
  <c r="AK1" i="12" s="1"/>
  <c r="AL1" i="12" s="1"/>
  <c r="AM1" i="12" s="1"/>
  <c r="AN1" i="12" s="1"/>
  <c r="AO1" i="12" s="1"/>
  <c r="AP1" i="12" s="1"/>
  <c r="H3" i="5"/>
  <c r="I3" i="5" s="1"/>
  <c r="G2" i="11"/>
  <c r="N1" i="9"/>
  <c r="O1" i="9" s="1"/>
  <c r="P1" i="9" s="1"/>
  <c r="Q1" i="9" s="1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AC1" i="9" s="1"/>
  <c r="AD1" i="9" s="1"/>
  <c r="AE1" i="9" s="1"/>
  <c r="AF1" i="9" s="1"/>
  <c r="AG1" i="9" s="1"/>
  <c r="AH1" i="9" s="1"/>
  <c r="AI1" i="9" s="1"/>
  <c r="AJ1" i="9" s="1"/>
  <c r="AK1" i="9" s="1"/>
  <c r="AL1" i="9" s="1"/>
  <c r="AM1" i="9" s="1"/>
  <c r="AN1" i="9" s="1"/>
  <c r="AO1" i="9" s="1"/>
  <c r="AP1" i="9" s="1"/>
  <c r="AQ1" i="9" s="1"/>
  <c r="AR1" i="9" s="1"/>
  <c r="AS1" i="9" s="1"/>
  <c r="AS44" i="9" s="1"/>
  <c r="H2" i="11"/>
  <c r="H51" i="15"/>
  <c r="H67" i="15"/>
  <c r="I5" i="11"/>
  <c r="G5" i="11"/>
  <c r="H59" i="15"/>
  <c r="H30" i="15"/>
  <c r="H21" i="15"/>
  <c r="BO14" i="16"/>
  <c r="H35" i="15"/>
  <c r="G35" i="15" s="1"/>
  <c r="H27" i="15"/>
  <c r="BO38" i="16"/>
  <c r="BO30" i="16"/>
  <c r="BP2" i="16"/>
  <c r="G5" i="12"/>
  <c r="DB44" i="9"/>
  <c r="DK44" i="9"/>
  <c r="DP44" i="9"/>
  <c r="CX44" i="9"/>
  <c r="DA44" i="9"/>
  <c r="DN44" i="9"/>
  <c r="DQ44" i="9"/>
  <c r="DG44" i="9"/>
  <c r="CW44" i="9"/>
  <c r="DR44" i="9"/>
  <c r="CV44" i="9"/>
  <c r="DC44" i="9"/>
  <c r="DD44" i="9"/>
  <c r="DO44" i="9"/>
  <c r="DI44" i="9"/>
  <c r="CY44" i="9"/>
  <c r="M44" i="9"/>
  <c r="DJ44" i="9"/>
  <c r="CZ44" i="9"/>
  <c r="DE44" i="9"/>
  <c r="DL44" i="9"/>
  <c r="G20" i="9"/>
  <c r="H20" i="9" s="1"/>
  <c r="G25" i="9"/>
  <c r="DH44" i="9"/>
  <c r="DF44" i="9"/>
  <c r="L44" i="9"/>
  <c r="H5" i="12"/>
  <c r="H13" i="12"/>
  <c r="H26" i="12"/>
  <c r="H61" i="12"/>
  <c r="G61" i="12"/>
  <c r="G34" i="9"/>
  <c r="H42" i="12"/>
  <c r="G42" i="12"/>
  <c r="I28" i="9"/>
  <c r="L28" i="9" s="1"/>
  <c r="G21" i="12"/>
  <c r="G2" i="9"/>
  <c r="I2" i="9" s="1"/>
  <c r="G2" i="12"/>
  <c r="H2" i="12"/>
  <c r="BK35" i="14"/>
  <c r="G34" i="12"/>
  <c r="H34" i="12"/>
  <c r="U130" i="3"/>
  <c r="G37" i="12"/>
  <c r="H37" i="12"/>
  <c r="G5" i="9"/>
  <c r="L27" i="9"/>
  <c r="M27" i="9"/>
  <c r="U355" i="3"/>
  <c r="H41" i="9"/>
  <c r="H49" i="9"/>
  <c r="H33" i="9"/>
  <c r="H57" i="9"/>
  <c r="H21" i="12"/>
  <c r="H21" i="14"/>
  <c r="I21" i="14" s="1"/>
  <c r="BK21" i="14" s="1"/>
  <c r="U40" i="3"/>
  <c r="H29" i="12"/>
  <c r="H37" i="14"/>
  <c r="I37" i="14" s="1"/>
  <c r="BK37" i="14" s="1"/>
  <c r="U220" i="3"/>
  <c r="U310" i="3"/>
  <c r="H45" i="12"/>
  <c r="G45" i="12"/>
  <c r="H28" i="12"/>
  <c r="G4" i="9"/>
  <c r="I4" i="9" s="1"/>
  <c r="G4" i="12"/>
  <c r="H4" i="12"/>
  <c r="H36" i="12"/>
  <c r="G36" i="12"/>
  <c r="H12" i="12"/>
  <c r="G11" i="9"/>
  <c r="I11" i="9" s="1"/>
  <c r="G12" i="12"/>
  <c r="G53" i="12"/>
  <c r="H53" i="12"/>
  <c r="H52" i="12"/>
  <c r="G52" i="12"/>
  <c r="H20" i="12"/>
  <c r="G26" i="9"/>
  <c r="I26" i="9" s="1"/>
  <c r="H10" i="12"/>
  <c r="H50" i="12"/>
  <c r="G50" i="12"/>
  <c r="U265" i="3"/>
  <c r="G17" i="9"/>
  <c r="I17" i="9" s="1"/>
  <c r="G18" i="12"/>
  <c r="H18" i="12"/>
  <c r="U85" i="3"/>
  <c r="H29" i="14"/>
  <c r="I29" i="14" s="1"/>
  <c r="BK29" i="14" s="1"/>
  <c r="U175" i="3"/>
  <c r="H44" i="12"/>
  <c r="G44" i="12"/>
  <c r="H11" i="5"/>
  <c r="I11" i="5" s="1"/>
  <c r="AT11" i="5" s="1"/>
  <c r="U39" i="4"/>
  <c r="H37" i="8"/>
  <c r="G37" i="8" s="1"/>
  <c r="H36" i="13"/>
  <c r="G36" i="13"/>
  <c r="H19" i="8"/>
  <c r="G19" i="8" s="1"/>
  <c r="G18" i="13"/>
  <c r="H29" i="8"/>
  <c r="G29" i="8" s="1"/>
  <c r="H28" i="13"/>
  <c r="G28" i="13"/>
  <c r="H12" i="13"/>
  <c r="G12" i="13"/>
  <c r="H35" i="8"/>
  <c r="G35" i="8" s="1"/>
  <c r="H34" i="13"/>
  <c r="G34" i="13"/>
  <c r="H27" i="8"/>
  <c r="G27" i="8" s="1"/>
  <c r="H26" i="13"/>
  <c r="H4" i="13"/>
  <c r="G4" i="13"/>
  <c r="G2" i="13"/>
  <c r="H2" i="13"/>
  <c r="H22" i="8"/>
  <c r="G22" i="8" s="1"/>
  <c r="H21" i="13"/>
  <c r="G21" i="13"/>
  <c r="H38" i="8"/>
  <c r="G38" i="8" s="1"/>
  <c r="H37" i="13"/>
  <c r="G37" i="13"/>
  <c r="H30" i="8"/>
  <c r="G30" i="8" s="1"/>
  <c r="H29" i="13"/>
  <c r="G29" i="13"/>
  <c r="H13" i="13"/>
  <c r="G13" i="13"/>
  <c r="U129" i="4"/>
  <c r="H5" i="13"/>
  <c r="G5" i="13"/>
  <c r="U219" i="4"/>
  <c r="U174" i="4"/>
  <c r="U84" i="4"/>
  <c r="AT14" i="5"/>
  <c r="BK43" i="14"/>
  <c r="BK27" i="14"/>
  <c r="BK3" i="14"/>
  <c r="BL2" i="14"/>
  <c r="DO52" i="9"/>
  <c r="DG52" i="9"/>
  <c r="CY52" i="9"/>
  <c r="DR52" i="9"/>
  <c r="DP52" i="9"/>
  <c r="DN52" i="9"/>
  <c r="DF52" i="9"/>
  <c r="CX52" i="9"/>
  <c r="DU52" i="9"/>
  <c r="DM52" i="9"/>
  <c r="DE52" i="9"/>
  <c r="CW52" i="9"/>
  <c r="DJ52" i="9"/>
  <c r="DT52" i="9"/>
  <c r="DL52" i="9"/>
  <c r="DD52" i="9"/>
  <c r="M52" i="9"/>
  <c r="DB52" i="9"/>
  <c r="CZ52" i="9"/>
  <c r="DS52" i="9"/>
  <c r="DK52" i="9"/>
  <c r="DC52" i="9"/>
  <c r="L52" i="9"/>
  <c r="DH52" i="9"/>
  <c r="DQ52" i="9"/>
  <c r="DI52" i="9"/>
  <c r="DA52" i="9"/>
  <c r="CV52" i="9"/>
  <c r="G60" i="11"/>
  <c r="I60" i="11"/>
  <c r="H60" i="12"/>
  <c r="G60" i="12"/>
  <c r="U401" i="1"/>
  <c r="I34" i="11"/>
  <c r="G34" i="11"/>
  <c r="G29" i="11"/>
  <c r="I29" i="11"/>
  <c r="G29" i="12"/>
  <c r="H30" i="5"/>
  <c r="G30" i="5" s="1"/>
  <c r="G20" i="11"/>
  <c r="I20" i="11"/>
  <c r="G12" i="11"/>
  <c r="I12" i="11"/>
  <c r="U356" i="1"/>
  <c r="G44" i="11"/>
  <c r="I44" i="11"/>
  <c r="U266" i="1"/>
  <c r="G26" i="11"/>
  <c r="I26" i="11"/>
  <c r="G26" i="12"/>
  <c r="U131" i="1"/>
  <c r="G61" i="11"/>
  <c r="I61" i="11"/>
  <c r="G36" i="11"/>
  <c r="I36" i="11"/>
  <c r="U221" i="1"/>
  <c r="I50" i="11"/>
  <c r="G50" i="11"/>
  <c r="U85" i="1"/>
  <c r="G13" i="12"/>
  <c r="G12" i="9"/>
  <c r="I13" i="11"/>
  <c r="G13" i="11"/>
  <c r="G45" i="11"/>
  <c r="I45" i="11"/>
  <c r="G37" i="11"/>
  <c r="I37" i="11"/>
  <c r="G9" i="9"/>
  <c r="I9" i="9" s="1"/>
  <c r="G10" i="11"/>
  <c r="I10" i="11"/>
  <c r="G10" i="12"/>
  <c r="G69" i="11"/>
  <c r="I69" i="11"/>
  <c r="I52" i="11"/>
  <c r="G52" i="11"/>
  <c r="I43" i="5"/>
  <c r="G42" i="11"/>
  <c r="I42" i="11"/>
  <c r="G18" i="11"/>
  <c r="I18" i="11"/>
  <c r="G53" i="11"/>
  <c r="I53" i="11"/>
  <c r="I66" i="11"/>
  <c r="I67" i="5"/>
  <c r="G66" i="11"/>
  <c r="U311" i="1"/>
  <c r="G28" i="12"/>
  <c r="G28" i="11"/>
  <c r="I28" i="11"/>
  <c r="U176" i="1"/>
  <c r="I21" i="11"/>
  <c r="G21" i="11"/>
  <c r="H22" i="5"/>
  <c r="G22" i="5" s="1"/>
  <c r="H58" i="12"/>
  <c r="G58" i="12"/>
  <c r="G58" i="11"/>
  <c r="I58" i="11"/>
  <c r="I59" i="5"/>
  <c r="I68" i="11"/>
  <c r="G68" i="11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AU3" i="8"/>
  <c r="AU2" i="5"/>
  <c r="AU14" i="5" s="1"/>
  <c r="I75" i="2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8" i="2" s="1"/>
  <c r="I89" i="2" s="1"/>
  <c r="I90" i="2" s="1"/>
  <c r="I91" i="2" s="1"/>
  <c r="I92" i="2" s="1"/>
  <c r="I93" i="2" s="1"/>
  <c r="I94" i="2" s="1"/>
  <c r="I95" i="2" s="1"/>
  <c r="I67" i="2"/>
  <c r="I68" i="2" s="1"/>
  <c r="I69" i="2" s="1"/>
  <c r="I70" i="2" s="1"/>
  <c r="I71" i="2" s="1"/>
  <c r="I72" i="2" s="1"/>
  <c r="I73" i="2" s="1"/>
  <c r="I74" i="2" s="1"/>
  <c r="E66" i="2"/>
  <c r="I45" i="2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37" i="2"/>
  <c r="I38" i="2" s="1"/>
  <c r="I39" i="2" s="1"/>
  <c r="I40" i="2" s="1"/>
  <c r="I41" i="2" s="1"/>
  <c r="I42" i="2" s="1"/>
  <c r="I43" i="2" s="1"/>
  <c r="I44" i="2" s="1"/>
  <c r="I14" i="2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6" i="2"/>
  <c r="I7" i="2" s="1"/>
  <c r="I8" i="2" s="1"/>
  <c r="I9" i="2" s="1"/>
  <c r="I10" i="2" s="1"/>
  <c r="I11" i="2" s="1"/>
  <c r="I12" i="2" s="1"/>
  <c r="I13" i="2" s="1"/>
  <c r="E5" i="2"/>
  <c r="BV71" i="15" l="1"/>
  <c r="BV63" i="15"/>
  <c r="BV55" i="15"/>
  <c r="BV47" i="15"/>
  <c r="BV39" i="15"/>
  <c r="BV31" i="15"/>
  <c r="BV23" i="15"/>
  <c r="BV15" i="15"/>
  <c r="BV7" i="15"/>
  <c r="BV13" i="15"/>
  <c r="BW2" i="15"/>
  <c r="I43" i="16"/>
  <c r="BP63" i="16"/>
  <c r="BP7" i="16"/>
  <c r="BV11" i="15"/>
  <c r="M11" i="15"/>
  <c r="I5" i="16"/>
  <c r="H4" i="8"/>
  <c r="I4" i="8" s="1"/>
  <c r="H21" i="8"/>
  <c r="G21" i="8" s="1"/>
  <c r="H44" i="16"/>
  <c r="H36" i="14"/>
  <c r="I36" i="14" s="1"/>
  <c r="BM22" i="16"/>
  <c r="BN22" i="16"/>
  <c r="H25" i="9"/>
  <c r="I25" i="9" s="1"/>
  <c r="BN35" i="16"/>
  <c r="R22" i="16"/>
  <c r="M22" i="16"/>
  <c r="Q22" i="16"/>
  <c r="N22" i="16"/>
  <c r="O22" i="16"/>
  <c r="P22" i="16"/>
  <c r="S22" i="16"/>
  <c r="T22" i="16"/>
  <c r="U22" i="16"/>
  <c r="V22" i="16"/>
  <c r="W22" i="16"/>
  <c r="X22" i="16"/>
  <c r="Y22" i="16"/>
  <c r="Z22" i="16"/>
  <c r="AA22" i="16"/>
  <c r="AB22" i="16"/>
  <c r="DE36" i="9"/>
  <c r="DJ36" i="9"/>
  <c r="CV36" i="9"/>
  <c r="DK36" i="9"/>
  <c r="DG36" i="9"/>
  <c r="DD36" i="9"/>
  <c r="DH36" i="9"/>
  <c r="BK19" i="14"/>
  <c r="DP36" i="9"/>
  <c r="DO36" i="9"/>
  <c r="CY36" i="9"/>
  <c r="CZ36" i="9"/>
  <c r="DM36" i="9"/>
  <c r="DB36" i="9"/>
  <c r="CX36" i="9"/>
  <c r="BK11" i="14"/>
  <c r="L36" i="9"/>
  <c r="DC36" i="9"/>
  <c r="DN36" i="9"/>
  <c r="CW36" i="9"/>
  <c r="DR36" i="9"/>
  <c r="M36" i="9"/>
  <c r="DQ36" i="9"/>
  <c r="DI36" i="9"/>
  <c r="DA36" i="9"/>
  <c r="DL36" i="9"/>
  <c r="DF36" i="9"/>
  <c r="BO27" i="16"/>
  <c r="BO35" i="16"/>
  <c r="BO22" i="16"/>
  <c r="BO11" i="16"/>
  <c r="I5" i="12"/>
  <c r="H28" i="14"/>
  <c r="I28" i="14" s="1"/>
  <c r="H4" i="14"/>
  <c r="I4" i="14" s="1"/>
  <c r="R35" i="16"/>
  <c r="Q35" i="16"/>
  <c r="M35" i="16"/>
  <c r="P35" i="16"/>
  <c r="N35" i="16"/>
  <c r="S35" i="16"/>
  <c r="O35" i="16"/>
  <c r="T35" i="16"/>
  <c r="U35" i="16"/>
  <c r="V35" i="16"/>
  <c r="W35" i="16"/>
  <c r="X35" i="16"/>
  <c r="BI35" i="16"/>
  <c r="BJ35" i="16"/>
  <c r="BK35" i="16"/>
  <c r="BL35" i="16"/>
  <c r="BM35" i="16"/>
  <c r="BO19" i="16"/>
  <c r="BO6" i="16"/>
  <c r="DT60" i="9"/>
  <c r="DL60" i="9"/>
  <c r="DD60" i="9"/>
  <c r="M60" i="9"/>
  <c r="DO60" i="9"/>
  <c r="DM60" i="9"/>
  <c r="DS60" i="9"/>
  <c r="DK60" i="9"/>
  <c r="DC60" i="9"/>
  <c r="L60" i="9"/>
  <c r="CY60" i="9"/>
  <c r="DE60" i="9"/>
  <c r="CV60" i="9"/>
  <c r="DR60" i="9"/>
  <c r="DJ60" i="9"/>
  <c r="DB60" i="9"/>
  <c r="DU60" i="9"/>
  <c r="DQ60" i="9"/>
  <c r="DI60" i="9"/>
  <c r="DA60" i="9"/>
  <c r="DG60" i="9"/>
  <c r="CW60" i="9"/>
  <c r="DP60" i="9"/>
  <c r="DH60" i="9"/>
  <c r="CZ60" i="9"/>
  <c r="DW60" i="9"/>
  <c r="DV60" i="9"/>
  <c r="DN60" i="9"/>
  <c r="DF60" i="9"/>
  <c r="CX60" i="9"/>
  <c r="H12" i="16"/>
  <c r="I12" i="16" s="1"/>
  <c r="H12" i="14"/>
  <c r="I12" i="14" s="1"/>
  <c r="H20" i="14"/>
  <c r="I20" i="14" s="1"/>
  <c r="I5" i="5"/>
  <c r="AQ1" i="12"/>
  <c r="BY67" i="5"/>
  <c r="BZ67" i="5"/>
  <c r="CA67" i="5"/>
  <c r="AT3" i="5"/>
  <c r="L3" i="5"/>
  <c r="BM11" i="15"/>
  <c r="M28" i="9"/>
  <c r="G20" i="12"/>
  <c r="M20" i="12" s="1"/>
  <c r="H28" i="16"/>
  <c r="I28" i="16" s="1"/>
  <c r="BL11" i="15"/>
  <c r="BK11" i="15"/>
  <c r="AO11" i="15"/>
  <c r="H36" i="16"/>
  <c r="I36" i="16" s="1"/>
  <c r="AM11" i="15"/>
  <c r="H52" i="16"/>
  <c r="S19" i="17"/>
  <c r="AN11" i="15"/>
  <c r="H20" i="13"/>
  <c r="H36" i="17"/>
  <c r="CK14" i="17"/>
  <c r="CD14" i="17"/>
  <c r="Q14" i="17"/>
  <c r="BP14" i="17"/>
  <c r="BM14" i="17"/>
  <c r="CV14" i="17"/>
  <c r="CB14" i="17"/>
  <c r="P14" i="17"/>
  <c r="BO14" i="17"/>
  <c r="CA14" i="17"/>
  <c r="O14" i="17"/>
  <c r="AL14" i="17"/>
  <c r="BN14" i="17"/>
  <c r="AI14" i="17"/>
  <c r="CX14" i="17"/>
  <c r="AH14" i="17"/>
  <c r="CW14" i="17"/>
  <c r="AF14" i="17"/>
  <c r="AE14" i="17"/>
  <c r="CU14" i="17"/>
  <c r="AD14" i="17"/>
  <c r="S14" i="17"/>
  <c r="CR14" i="17"/>
  <c r="CH14" i="17"/>
  <c r="CE14" i="17"/>
  <c r="T14" i="17"/>
  <c r="R14" i="17"/>
  <c r="AM14" i="17"/>
  <c r="BS14" i="17"/>
  <c r="Z14" i="17"/>
  <c r="CO14" i="17"/>
  <c r="BR14" i="17"/>
  <c r="AK14" i="17"/>
  <c r="BQ14" i="17"/>
  <c r="AQ14" i="17"/>
  <c r="CI14" i="17"/>
  <c r="BV14" i="17"/>
  <c r="Y14" i="17"/>
  <c r="CM14" i="17"/>
  <c r="CS14" i="17"/>
  <c r="AG14" i="17"/>
  <c r="BX14" i="17"/>
  <c r="AC14" i="17"/>
  <c r="BT14" i="17"/>
  <c r="AA14" i="17"/>
  <c r="W14" i="17"/>
  <c r="CJ14" i="17"/>
  <c r="X14" i="17"/>
  <c r="CC14" i="17"/>
  <c r="V14" i="17"/>
  <c r="AP14" i="17"/>
  <c r="AR14" i="17"/>
  <c r="CP14" i="17"/>
  <c r="CT14" i="17"/>
  <c r="BW14" i="17"/>
  <c r="BY14" i="17"/>
  <c r="CG14" i="17"/>
  <c r="CL14" i="17"/>
  <c r="AB14" i="17"/>
  <c r="CN14" i="17"/>
  <c r="BU14" i="17"/>
  <c r="AO14" i="17"/>
  <c r="M14" i="17"/>
  <c r="CF14" i="17"/>
  <c r="AJ14" i="17"/>
  <c r="AS14" i="17"/>
  <c r="BZ14" i="17"/>
  <c r="AN14" i="17"/>
  <c r="CQ14" i="17"/>
  <c r="N14" i="17"/>
  <c r="U14" i="17"/>
  <c r="H28" i="17"/>
  <c r="CV5" i="17"/>
  <c r="CC5" i="17"/>
  <c r="U5" i="17"/>
  <c r="CU5" i="17"/>
  <c r="CB5" i="17"/>
  <c r="T5" i="17"/>
  <c r="CQ5" i="17"/>
  <c r="R5" i="17"/>
  <c r="BX5" i="17"/>
  <c r="BT5" i="17"/>
  <c r="CR5" i="17"/>
  <c r="CA5" i="17"/>
  <c r="S5" i="17"/>
  <c r="BW5" i="17"/>
  <c r="BZ5" i="17"/>
  <c r="CO5" i="17"/>
  <c r="Q5" i="17"/>
  <c r="BS5" i="17"/>
  <c r="CM5" i="17"/>
  <c r="P5" i="17"/>
  <c r="CL5" i="17"/>
  <c r="CK5" i="17"/>
  <c r="O5" i="17"/>
  <c r="CJ5" i="17"/>
  <c r="CW5" i="17"/>
  <c r="W5" i="17"/>
  <c r="CI5" i="17"/>
  <c r="CF5" i="17"/>
  <c r="CE5" i="17"/>
  <c r="CX5" i="17"/>
  <c r="CG5" i="17"/>
  <c r="CT5" i="17"/>
  <c r="BV5" i="17"/>
  <c r="BY5" i="17"/>
  <c r="CP5" i="17"/>
  <c r="V5" i="17"/>
  <c r="N5" i="17"/>
  <c r="CS5" i="17"/>
  <c r="CD5" i="17"/>
  <c r="CN5" i="17"/>
  <c r="CH5" i="17"/>
  <c r="BU5" i="17"/>
  <c r="M5" i="17"/>
  <c r="H20" i="17"/>
  <c r="H21" i="17"/>
  <c r="H12" i="17"/>
  <c r="BW11" i="15"/>
  <c r="BJ11" i="15"/>
  <c r="BI11" i="15"/>
  <c r="BD11" i="15"/>
  <c r="BC11" i="15"/>
  <c r="AW11" i="15"/>
  <c r="AR11" i="15"/>
  <c r="AQ11" i="15"/>
  <c r="AP11" i="15"/>
  <c r="BB11" i="15"/>
  <c r="AL11" i="15"/>
  <c r="BU11" i="15"/>
  <c r="BA11" i="15"/>
  <c r="BP11" i="15"/>
  <c r="AZ11" i="15"/>
  <c r="I54" i="15"/>
  <c r="BO11" i="15"/>
  <c r="AY11" i="15"/>
  <c r="BN11" i="15"/>
  <c r="AX11" i="15"/>
  <c r="R43" i="16"/>
  <c r="T43" i="16"/>
  <c r="S43" i="16"/>
  <c r="Q43" i="16"/>
  <c r="O43" i="16"/>
  <c r="P43" i="16"/>
  <c r="M43" i="16"/>
  <c r="N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AG43" i="16"/>
  <c r="AH43" i="16"/>
  <c r="AI43" i="16"/>
  <c r="AJ43" i="16"/>
  <c r="AK43" i="16"/>
  <c r="AL43" i="16"/>
  <c r="AM43" i="16"/>
  <c r="AN43" i="16"/>
  <c r="AO43" i="16"/>
  <c r="AP43" i="16"/>
  <c r="AQ43" i="16"/>
  <c r="AR43" i="16"/>
  <c r="BG43" i="16"/>
  <c r="BH43" i="16"/>
  <c r="BI43" i="16"/>
  <c r="BJ43" i="16"/>
  <c r="BK43" i="16"/>
  <c r="BL43" i="16"/>
  <c r="BM43" i="16"/>
  <c r="BN43" i="16"/>
  <c r="Q45" i="16"/>
  <c r="S45" i="16"/>
  <c r="N45" i="16"/>
  <c r="M45" i="16"/>
  <c r="R45" i="16"/>
  <c r="P45" i="16"/>
  <c r="O45" i="16"/>
  <c r="T45" i="16"/>
  <c r="U45" i="16"/>
  <c r="V45" i="16"/>
  <c r="W45" i="16"/>
  <c r="X45" i="16"/>
  <c r="Y45" i="16"/>
  <c r="Z45" i="16"/>
  <c r="AA45" i="16"/>
  <c r="AB45" i="16"/>
  <c r="AC45" i="16"/>
  <c r="AD45" i="16"/>
  <c r="AE45" i="16"/>
  <c r="AF45" i="16"/>
  <c r="AG45" i="16"/>
  <c r="AH45" i="16"/>
  <c r="AI45" i="16"/>
  <c r="AJ45" i="16"/>
  <c r="AK45" i="16"/>
  <c r="AL45" i="16"/>
  <c r="AM45" i="16"/>
  <c r="AN45" i="16"/>
  <c r="AO45" i="16"/>
  <c r="AP45" i="16"/>
  <c r="AQ45" i="16"/>
  <c r="AR45" i="16"/>
  <c r="AS45" i="16"/>
  <c r="Q13" i="16"/>
  <c r="P13" i="16"/>
  <c r="T13" i="16"/>
  <c r="O13" i="16"/>
  <c r="N13" i="16"/>
  <c r="M13" i="16"/>
  <c r="R13" i="16"/>
  <c r="S13" i="16"/>
  <c r="AW13" i="16"/>
  <c r="AX13" i="16"/>
  <c r="S6" i="16"/>
  <c r="T6" i="16"/>
  <c r="Q6" i="16"/>
  <c r="P6" i="16"/>
  <c r="O6" i="16"/>
  <c r="N6" i="16"/>
  <c r="M6" i="16"/>
  <c r="R6" i="16"/>
  <c r="U6" i="16"/>
  <c r="V6" i="16"/>
  <c r="W6" i="16"/>
  <c r="X6" i="16"/>
  <c r="Y6" i="16"/>
  <c r="Z6" i="16"/>
  <c r="AA6" i="16"/>
  <c r="BH6" i="16"/>
  <c r="BI6" i="16"/>
  <c r="BJ6" i="16"/>
  <c r="BK6" i="16"/>
  <c r="BL6" i="16"/>
  <c r="BM6" i="16"/>
  <c r="BN6" i="16"/>
  <c r="H37" i="16"/>
  <c r="I37" i="16" s="1"/>
  <c r="H29" i="16"/>
  <c r="I29" i="16" s="1"/>
  <c r="M11" i="16"/>
  <c r="AJ11" i="16"/>
  <c r="AK11" i="16"/>
  <c r="AL11" i="16"/>
  <c r="AM11" i="16"/>
  <c r="AN11" i="16"/>
  <c r="AO11" i="16"/>
  <c r="AP11" i="16"/>
  <c r="AQ11" i="16"/>
  <c r="AR11" i="16"/>
  <c r="AS11" i="16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BG11" i="16"/>
  <c r="BH11" i="16"/>
  <c r="BI11" i="16"/>
  <c r="BJ11" i="16"/>
  <c r="BK11" i="16"/>
  <c r="BL11" i="16"/>
  <c r="BM11" i="16"/>
  <c r="BN11" i="16"/>
  <c r="N27" i="16"/>
  <c r="R27" i="16"/>
  <c r="Q27" i="16"/>
  <c r="P27" i="16"/>
  <c r="O27" i="16"/>
  <c r="M27" i="16"/>
  <c r="S27" i="16"/>
  <c r="T27" i="16"/>
  <c r="U27" i="16"/>
  <c r="V27" i="16"/>
  <c r="W27" i="16"/>
  <c r="BI27" i="16"/>
  <c r="BJ27" i="16"/>
  <c r="BK27" i="16"/>
  <c r="BL27" i="16"/>
  <c r="BM27" i="16"/>
  <c r="BN27" i="16"/>
  <c r="M19" i="16"/>
  <c r="AG19" i="16"/>
  <c r="AH19" i="16"/>
  <c r="AI19" i="16"/>
  <c r="AJ19" i="16"/>
  <c r="AK19" i="16"/>
  <c r="AL19" i="16"/>
  <c r="AM19" i="16"/>
  <c r="AN19" i="16"/>
  <c r="AO19" i="16"/>
  <c r="AP19" i="16"/>
  <c r="AQ19" i="16"/>
  <c r="AR19" i="16"/>
  <c r="AS19" i="16"/>
  <c r="AT19" i="16"/>
  <c r="AU19" i="16"/>
  <c r="AV19" i="16"/>
  <c r="AW19" i="16"/>
  <c r="AX19" i="16"/>
  <c r="AY19" i="16"/>
  <c r="AZ19" i="16"/>
  <c r="BA19" i="16"/>
  <c r="BB19" i="16"/>
  <c r="BC19" i="16"/>
  <c r="BD19" i="16"/>
  <c r="BE19" i="16"/>
  <c r="BF19" i="16"/>
  <c r="BG19" i="16"/>
  <c r="BH19" i="16"/>
  <c r="BI19" i="16"/>
  <c r="BJ19" i="16"/>
  <c r="BK19" i="16"/>
  <c r="BL19" i="16"/>
  <c r="BM19" i="16"/>
  <c r="BN19" i="16"/>
  <c r="H60" i="16"/>
  <c r="G60" i="16" s="1"/>
  <c r="I4" i="16"/>
  <c r="BT11" i="15"/>
  <c r="BH11" i="15"/>
  <c r="AV11" i="15"/>
  <c r="AJ11" i="15"/>
  <c r="BS11" i="15"/>
  <c r="BG11" i="15"/>
  <c r="AU11" i="15"/>
  <c r="AI11" i="15"/>
  <c r="I20" i="9"/>
  <c r="M20" i="9" s="1"/>
  <c r="BR11" i="15"/>
  <c r="BF11" i="15"/>
  <c r="AT11" i="15"/>
  <c r="AH11" i="15"/>
  <c r="BQ11" i="15"/>
  <c r="BE11" i="15"/>
  <c r="H12" i="15"/>
  <c r="I12" i="15" s="1"/>
  <c r="AD52" i="9"/>
  <c r="AP18" i="12"/>
  <c r="AP52" i="12"/>
  <c r="AP5" i="12"/>
  <c r="Y36" i="9"/>
  <c r="AP2" i="12"/>
  <c r="AP61" i="12"/>
  <c r="H44" i="15"/>
  <c r="I44" i="15" s="1"/>
  <c r="AP12" i="12"/>
  <c r="H60" i="15"/>
  <c r="I60" i="15" s="1"/>
  <c r="BW60" i="15" s="1"/>
  <c r="X36" i="9"/>
  <c r="H20" i="15"/>
  <c r="I20" i="15" s="1"/>
  <c r="BW20" i="15" s="1"/>
  <c r="AP52" i="9"/>
  <c r="H52" i="15"/>
  <c r="G52" i="15" s="1"/>
  <c r="R52" i="9"/>
  <c r="X60" i="9"/>
  <c r="AF44" i="9"/>
  <c r="H68" i="15"/>
  <c r="I68" i="15" s="1"/>
  <c r="BW68" i="15" s="1"/>
  <c r="AN44" i="9"/>
  <c r="AJ60" i="9"/>
  <c r="N11" i="15"/>
  <c r="AH60" i="9"/>
  <c r="V60" i="9"/>
  <c r="AN52" i="9"/>
  <c r="AB52" i="9"/>
  <c r="P52" i="9"/>
  <c r="W36" i="9"/>
  <c r="T28" i="9"/>
  <c r="X28" i="9"/>
  <c r="R27" i="9"/>
  <c r="AQ44" i="9"/>
  <c r="Z44" i="9"/>
  <c r="T44" i="9"/>
  <c r="I6" i="5"/>
  <c r="AT6" i="5" s="1"/>
  <c r="L9" i="1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AR9" i="11" s="1"/>
  <c r="AS9" i="11" s="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BD9" i="11" s="1"/>
  <c r="BE9" i="11" s="1"/>
  <c r="BF9" i="11" s="1"/>
  <c r="BG9" i="11" s="1"/>
  <c r="BH9" i="11" s="1"/>
  <c r="BI9" i="11" s="1"/>
  <c r="BJ9" i="11" s="1"/>
  <c r="BK9" i="11" s="1"/>
  <c r="BL9" i="11" s="1"/>
  <c r="BM9" i="11" s="1"/>
  <c r="BN9" i="11" s="1"/>
  <c r="BO9" i="11" s="1"/>
  <c r="BP9" i="11" s="1"/>
  <c r="BQ9" i="11" s="1"/>
  <c r="BR9" i="11" s="1"/>
  <c r="BS9" i="11" s="1"/>
  <c r="BT9" i="11" s="1"/>
  <c r="BU9" i="11" s="1"/>
  <c r="BV9" i="11" s="1"/>
  <c r="BW9" i="11" s="1"/>
  <c r="BX9" i="11" s="1"/>
  <c r="BY9" i="11" s="1"/>
  <c r="BZ9" i="11" s="1"/>
  <c r="CA9" i="11" s="1"/>
  <c r="CB9" i="11" s="1"/>
  <c r="CC9" i="11" s="1"/>
  <c r="CD9" i="11" s="1"/>
  <c r="CE9" i="11" s="1"/>
  <c r="CF9" i="11" s="1"/>
  <c r="CG9" i="11" s="1"/>
  <c r="CH9" i="11" s="1"/>
  <c r="CI9" i="11" s="1"/>
  <c r="CJ9" i="11" s="1"/>
  <c r="CK9" i="11" s="1"/>
  <c r="CL9" i="11" s="1"/>
  <c r="CM9" i="11" s="1"/>
  <c r="CN9" i="11" s="1"/>
  <c r="CO9" i="11" s="1"/>
  <c r="CP9" i="11" s="1"/>
  <c r="CQ9" i="11" s="1"/>
  <c r="CR9" i="11" s="1"/>
  <c r="CS9" i="11" s="1"/>
  <c r="CT9" i="11" s="1"/>
  <c r="CU9" i="11" s="1"/>
  <c r="CV9" i="11" s="1"/>
  <c r="CW9" i="11" s="1"/>
  <c r="CX9" i="11" s="1"/>
  <c r="CY9" i="11" s="1"/>
  <c r="CZ9" i="11" s="1"/>
  <c r="DA9" i="11" s="1"/>
  <c r="DB9" i="11" s="1"/>
  <c r="DC9" i="11" s="1"/>
  <c r="DD9" i="11" s="1"/>
  <c r="DE9" i="11" s="1"/>
  <c r="DF9" i="11" s="1"/>
  <c r="DG9" i="11" s="1"/>
  <c r="DH9" i="11" s="1"/>
  <c r="DI9" i="11" s="1"/>
  <c r="DJ9" i="11" s="1"/>
  <c r="DK9" i="11" s="1"/>
  <c r="DL9" i="11" s="1"/>
  <c r="DM9" i="11" s="1"/>
  <c r="DN9" i="11" s="1"/>
  <c r="DO9" i="11" s="1"/>
  <c r="DP9" i="11" s="1"/>
  <c r="DQ9" i="11" s="1"/>
  <c r="DR9" i="11" s="1"/>
  <c r="DS9" i="11" s="1"/>
  <c r="DT9" i="11" s="1"/>
  <c r="DU9" i="11" s="1"/>
  <c r="DV9" i="11" s="1"/>
  <c r="DW9" i="11" s="1"/>
  <c r="DX9" i="11" s="1"/>
  <c r="DY9" i="11" s="1"/>
  <c r="DZ9" i="11" s="1"/>
  <c r="EA9" i="11" s="1"/>
  <c r="EB9" i="11" s="1"/>
  <c r="EC9" i="11" s="1"/>
  <c r="ED9" i="11" s="1"/>
  <c r="EE9" i="11" s="1"/>
  <c r="EF9" i="11" s="1"/>
  <c r="EG9" i="11" s="1"/>
  <c r="EH9" i="11" s="1"/>
  <c r="EI9" i="11" s="1"/>
  <c r="EJ9" i="11" s="1"/>
  <c r="EK9" i="11" s="1"/>
  <c r="EL9" i="11" s="1"/>
  <c r="I4" i="15"/>
  <c r="I3" i="11"/>
  <c r="H4" i="5"/>
  <c r="I4" i="5" s="1"/>
  <c r="G3" i="11"/>
  <c r="H3" i="11"/>
  <c r="AG60" i="9"/>
  <c r="U60" i="9"/>
  <c r="AM52" i="9"/>
  <c r="AA52" i="9"/>
  <c r="O52" i="9"/>
  <c r="V36" i="9"/>
  <c r="AS17" i="9"/>
  <c r="Q27" i="9"/>
  <c r="AS2" i="9"/>
  <c r="N44" i="9"/>
  <c r="AH44" i="9"/>
  <c r="AB44" i="9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BT4" i="11"/>
  <c r="DL4" i="11"/>
  <c r="BB4" i="11"/>
  <c r="EA4" i="11"/>
  <c r="BG4" i="11"/>
  <c r="CA4" i="11"/>
  <c r="EB4" i="11"/>
  <c r="CS4" i="11"/>
  <c r="BH4" i="11"/>
  <c r="CJ4" i="11"/>
  <c r="CD4" i="11"/>
  <c r="BY4" i="11"/>
  <c r="CC4" i="11"/>
  <c r="BO4" i="11"/>
  <c r="CX4" i="11"/>
  <c r="BM4" i="11"/>
  <c r="DH4" i="11"/>
  <c r="AW4" i="11"/>
  <c r="DZ4" i="11"/>
  <c r="AX4" i="11"/>
  <c r="BW4" i="11"/>
  <c r="DX4" i="11"/>
  <c r="CP4" i="11"/>
  <c r="BD4" i="11"/>
  <c r="CL4" i="11"/>
  <c r="BI4" i="11"/>
  <c r="DF4" i="11"/>
  <c r="AT4" i="11"/>
  <c r="DP4" i="11"/>
  <c r="AS4" i="11"/>
  <c r="BQ4" i="11"/>
  <c r="DU4" i="11"/>
  <c r="CN4" i="11"/>
  <c r="AY4" i="11"/>
  <c r="DG4" i="11"/>
  <c r="BS4" i="11"/>
  <c r="BZ4" i="11"/>
  <c r="DS4" i="11"/>
  <c r="DN4" i="11"/>
  <c r="BK4" i="11"/>
  <c r="ED4" i="11"/>
  <c r="J4" i="11"/>
  <c r="EE4" i="11"/>
  <c r="BE4" i="11"/>
  <c r="DC4" i="11"/>
  <c r="DJ4" i="11"/>
  <c r="EJ4" i="11"/>
  <c r="BJ4" i="11"/>
  <c r="DR4" i="11"/>
  <c r="CK4" i="11"/>
  <c r="AU4" i="11"/>
  <c r="BL4" i="11"/>
  <c r="K4" i="11"/>
  <c r="CV4" i="11"/>
  <c r="DV4" i="11"/>
  <c r="BA4" i="11"/>
  <c r="DA4" i="11"/>
  <c r="AO4" i="11"/>
  <c r="CR4" i="11"/>
  <c r="EF4" i="11"/>
  <c r="BC4" i="11"/>
  <c r="DK4" i="11"/>
  <c r="CI4" i="11"/>
  <c r="AP4" i="11"/>
  <c r="AN4" i="11"/>
  <c r="DT4" i="11"/>
  <c r="EL4" i="11"/>
  <c r="DB4" i="11"/>
  <c r="EG4" i="11"/>
  <c r="BF4" i="11"/>
  <c r="CM4" i="11"/>
  <c r="BN4" i="11"/>
  <c r="DQ4" i="11"/>
  <c r="AV4" i="11"/>
  <c r="CQ4" i="11"/>
  <c r="CO4" i="11"/>
  <c r="DY4" i="11"/>
  <c r="AZ4" i="11"/>
  <c r="DI4" i="11"/>
  <c r="CG4" i="11"/>
  <c r="AM4" i="11"/>
  <c r="CH4" i="11"/>
  <c r="AR4" i="11"/>
  <c r="BP4" i="11"/>
  <c r="BU4" i="11"/>
  <c r="CW4" i="11"/>
  <c r="CZ4" i="11"/>
  <c r="EH4" i="11"/>
  <c r="BR4" i="11"/>
  <c r="DM4" i="11"/>
  <c r="DW4" i="11"/>
  <c r="L4" i="11"/>
  <c r="EI4" i="11"/>
  <c r="BX4" i="11"/>
  <c r="CT4" i="11"/>
  <c r="CY4" i="11"/>
  <c r="AI4" i="11"/>
  <c r="CE4" i="11"/>
  <c r="CF4" i="11"/>
  <c r="DO4" i="11"/>
  <c r="DE4" i="11"/>
  <c r="CB4" i="11"/>
  <c r="AH4" i="11"/>
  <c r="CU4" i="11"/>
  <c r="DD4" i="11"/>
  <c r="BV4" i="11"/>
  <c r="EK4" i="11"/>
  <c r="EC4" i="11"/>
  <c r="AI60" i="9"/>
  <c r="W60" i="9"/>
  <c r="AC52" i="9"/>
  <c r="Q52" i="9"/>
  <c r="P28" i="9"/>
  <c r="AT1" i="9"/>
  <c r="AT60" i="9" s="1"/>
  <c r="H36" i="15"/>
  <c r="AF60" i="9"/>
  <c r="T60" i="9"/>
  <c r="AL52" i="9"/>
  <c r="Z52" i="9"/>
  <c r="U36" i="9"/>
  <c r="P27" i="9"/>
  <c r="O44" i="9"/>
  <c r="W44" i="9"/>
  <c r="AP44" i="9"/>
  <c r="AJ44" i="9"/>
  <c r="CF5" i="11"/>
  <c r="DN5" i="11"/>
  <c r="BZ5" i="11"/>
  <c r="AY5" i="11"/>
  <c r="CJ5" i="11"/>
  <c r="EB5" i="11"/>
  <c r="CN5" i="11"/>
  <c r="EC5" i="11"/>
  <c r="CX5" i="11"/>
  <c r="DH5" i="11"/>
  <c r="CW5" i="11"/>
  <c r="CO5" i="11"/>
  <c r="EL5" i="11"/>
  <c r="CC5" i="11"/>
  <c r="DK5" i="11"/>
  <c r="BX5" i="11"/>
  <c r="K5" i="11"/>
  <c r="AU5" i="11"/>
  <c r="CD5" i="11"/>
  <c r="DT5" i="11"/>
  <c r="CG5" i="11"/>
  <c r="DP5" i="11"/>
  <c r="CV5" i="11"/>
  <c r="EI5" i="11"/>
  <c r="BY5" i="11"/>
  <c r="DI5" i="11"/>
  <c r="BW5" i="11"/>
  <c r="EK5" i="11"/>
  <c r="EG5" i="11"/>
  <c r="BR5" i="11"/>
  <c r="DR5" i="11"/>
  <c r="BV5" i="11"/>
  <c r="BP5" i="11"/>
  <c r="BN5" i="11"/>
  <c r="DS5" i="11"/>
  <c r="BJ5" i="11"/>
  <c r="DE5" i="11"/>
  <c r="DO5" i="11"/>
  <c r="EF5" i="11"/>
  <c r="ED5" i="11"/>
  <c r="DG5" i="11"/>
  <c r="BS5" i="11"/>
  <c r="DY5" i="11"/>
  <c r="BT5" i="11"/>
  <c r="BI5" i="11"/>
  <c r="DZ5" i="11"/>
  <c r="BH5" i="11"/>
  <c r="DD5" i="11"/>
  <c r="BQ5" i="11"/>
  <c r="CM5" i="11"/>
  <c r="EA5" i="11"/>
  <c r="BE5" i="11"/>
  <c r="DM5" i="11"/>
  <c r="BO5" i="11"/>
  <c r="CE5" i="11"/>
  <c r="BU5" i="11"/>
  <c r="CK5" i="11"/>
  <c r="CB5" i="11"/>
  <c r="BB5" i="11"/>
  <c r="CQ5" i="11"/>
  <c r="DU5" i="11"/>
  <c r="AX5" i="11"/>
  <c r="CZ5" i="11"/>
  <c r="BK5" i="11"/>
  <c r="CH5" i="11"/>
  <c r="DW5" i="11"/>
  <c r="AZ5" i="11"/>
  <c r="DJ5" i="11"/>
  <c r="BL5" i="11"/>
  <c r="DQ5" i="11"/>
  <c r="BF5" i="11"/>
  <c r="AW5" i="11"/>
  <c r="BA5" i="11"/>
  <c r="DC5" i="11"/>
  <c r="DX5" i="11"/>
  <c r="AT5" i="11"/>
  <c r="BM5" i="11"/>
  <c r="EJ5" i="11"/>
  <c r="AV5" i="11"/>
  <c r="DV5" i="11"/>
  <c r="CI5" i="11"/>
  <c r="CU5" i="11"/>
  <c r="EH5" i="11"/>
  <c r="CR5" i="11"/>
  <c r="CS5" i="11"/>
  <c r="CP5" i="11"/>
  <c r="DB5" i="11"/>
  <c r="CY5" i="11"/>
  <c r="CL5" i="11"/>
  <c r="DA5" i="11"/>
  <c r="J5" i="11"/>
  <c r="CT5" i="11"/>
  <c r="BC5" i="11"/>
  <c r="CA5" i="11"/>
  <c r="DL5" i="11"/>
  <c r="AS5" i="11"/>
  <c r="DF5" i="11"/>
  <c r="BG5" i="11"/>
  <c r="EE5" i="11"/>
  <c r="BD5" i="11"/>
  <c r="R44" i="9"/>
  <c r="G59" i="15"/>
  <c r="N36" i="9"/>
  <c r="O27" i="9"/>
  <c r="R28" i="9"/>
  <c r="AE44" i="9"/>
  <c r="AR44" i="9"/>
  <c r="I6" i="15"/>
  <c r="AC3" i="15"/>
  <c r="AA3" i="15"/>
  <c r="N3" i="15"/>
  <c r="AB3" i="15"/>
  <c r="M3" i="15"/>
  <c r="AD3" i="15"/>
  <c r="AE3" i="15"/>
  <c r="AF3" i="15"/>
  <c r="AG3" i="15"/>
  <c r="AH3" i="15"/>
  <c r="AI3" i="15"/>
  <c r="AJ3" i="15"/>
  <c r="AK3" i="15"/>
  <c r="AL3" i="15"/>
  <c r="AM3" i="15"/>
  <c r="AN3" i="15"/>
  <c r="AO3" i="15"/>
  <c r="AP3" i="15"/>
  <c r="AQ3" i="15"/>
  <c r="AR3" i="15"/>
  <c r="AS3" i="15"/>
  <c r="AT3" i="15"/>
  <c r="AU3" i="15"/>
  <c r="AV3" i="15"/>
  <c r="AW3" i="15"/>
  <c r="AX3" i="15"/>
  <c r="AY3" i="15"/>
  <c r="AZ3" i="15"/>
  <c r="BA3" i="15"/>
  <c r="BB3" i="15"/>
  <c r="BC3" i="15"/>
  <c r="BD3" i="15"/>
  <c r="BE3" i="15"/>
  <c r="BF3" i="15"/>
  <c r="BG3" i="15"/>
  <c r="BH3" i="15"/>
  <c r="BI3" i="15"/>
  <c r="BJ3" i="15"/>
  <c r="BK3" i="15"/>
  <c r="BL3" i="15"/>
  <c r="BM3" i="15"/>
  <c r="BN3" i="15"/>
  <c r="BO3" i="15"/>
  <c r="BP3" i="15"/>
  <c r="BQ3" i="15"/>
  <c r="BR3" i="15"/>
  <c r="BS3" i="15"/>
  <c r="BT3" i="15"/>
  <c r="BU3" i="15"/>
  <c r="BV3" i="15"/>
  <c r="AQ60" i="9"/>
  <c r="AE60" i="9"/>
  <c r="S60" i="9"/>
  <c r="O60" i="9"/>
  <c r="AK52" i="9"/>
  <c r="Y52" i="9"/>
  <c r="AS52" i="9"/>
  <c r="AP60" i="9"/>
  <c r="AD60" i="9"/>
  <c r="R60" i="9"/>
  <c r="AJ52" i="9"/>
  <c r="X52" i="9"/>
  <c r="S36" i="9"/>
  <c r="U28" i="9"/>
  <c r="AM44" i="9"/>
  <c r="Q44" i="9"/>
  <c r="U44" i="9"/>
  <c r="I35" i="15"/>
  <c r="G37" i="15"/>
  <c r="AR52" i="9"/>
  <c r="AO52" i="9"/>
  <c r="AS60" i="9"/>
  <c r="AO60" i="9"/>
  <c r="AC60" i="9"/>
  <c r="Q60" i="9"/>
  <c r="AI52" i="9"/>
  <c r="W52" i="9"/>
  <c r="R36" i="9"/>
  <c r="V44" i="9"/>
  <c r="Y44" i="9"/>
  <c r="AC44" i="9"/>
  <c r="O14" i="16"/>
  <c r="S14" i="16"/>
  <c r="R14" i="16"/>
  <c r="Q14" i="16"/>
  <c r="T14" i="16"/>
  <c r="N14" i="16"/>
  <c r="M14" i="16"/>
  <c r="P14" i="16"/>
  <c r="U14" i="16"/>
  <c r="V14" i="16"/>
  <c r="W14" i="16"/>
  <c r="X14" i="16"/>
  <c r="Y14" i="16"/>
  <c r="Z14" i="16"/>
  <c r="AA14" i="16"/>
  <c r="AB14" i="16"/>
  <c r="AC14" i="16"/>
  <c r="AD14" i="16"/>
  <c r="AE14" i="16"/>
  <c r="BM14" i="16"/>
  <c r="BN14" i="16"/>
  <c r="K9" i="12"/>
  <c r="L9" i="12" s="1"/>
  <c r="M9" i="12" s="1"/>
  <c r="N9" i="12" s="1"/>
  <c r="O9" i="12" s="1"/>
  <c r="P9" i="12" s="1"/>
  <c r="Q9" i="12" s="1"/>
  <c r="R9" i="12" s="1"/>
  <c r="S9" i="12" s="1"/>
  <c r="T9" i="12" s="1"/>
  <c r="U9" i="12" s="1"/>
  <c r="V9" i="12" s="1"/>
  <c r="W9" i="12" s="1"/>
  <c r="X9" i="12" s="1"/>
  <c r="Y9" i="12" s="1"/>
  <c r="Z9" i="12" s="1"/>
  <c r="AA9" i="12" s="1"/>
  <c r="AB9" i="12" s="1"/>
  <c r="AC9" i="12" s="1"/>
  <c r="AD9" i="12" s="1"/>
  <c r="AE9" i="12" s="1"/>
  <c r="AF9" i="12" s="1"/>
  <c r="AG9" i="12" s="1"/>
  <c r="AH9" i="12" s="1"/>
  <c r="AI9" i="12" s="1"/>
  <c r="AJ9" i="12" s="1"/>
  <c r="AK9" i="12" s="1"/>
  <c r="AL9" i="12" s="1"/>
  <c r="AM9" i="12" s="1"/>
  <c r="AN9" i="12" s="1"/>
  <c r="AO9" i="12" s="1"/>
  <c r="AP9" i="12" s="1"/>
  <c r="AQ9" i="12" s="1"/>
  <c r="AR9" i="12" s="1"/>
  <c r="AS9" i="12" s="1"/>
  <c r="AT9" i="12" s="1"/>
  <c r="AU9" i="12" s="1"/>
  <c r="AV9" i="12" s="1"/>
  <c r="AW9" i="12" s="1"/>
  <c r="AX9" i="12" s="1"/>
  <c r="AY9" i="12" s="1"/>
  <c r="AZ9" i="12" s="1"/>
  <c r="BA9" i="12" s="1"/>
  <c r="BB9" i="12" s="1"/>
  <c r="BC9" i="12" s="1"/>
  <c r="BD9" i="12" s="1"/>
  <c r="BE9" i="12" s="1"/>
  <c r="BF9" i="12" s="1"/>
  <c r="BG9" i="12" s="1"/>
  <c r="BH9" i="12" s="1"/>
  <c r="BI9" i="12" s="1"/>
  <c r="BJ9" i="12" s="1"/>
  <c r="BK9" i="12" s="1"/>
  <c r="BL9" i="12" s="1"/>
  <c r="BM9" i="12" s="1"/>
  <c r="BN9" i="12" s="1"/>
  <c r="BO9" i="12" s="1"/>
  <c r="BP9" i="12" s="1"/>
  <c r="BQ9" i="12" s="1"/>
  <c r="BR9" i="12" s="1"/>
  <c r="BS9" i="12" s="1"/>
  <c r="BT9" i="12" s="1"/>
  <c r="BU9" i="12" s="1"/>
  <c r="BV9" i="12" s="1"/>
  <c r="BW9" i="12" s="1"/>
  <c r="BX9" i="12" s="1"/>
  <c r="BY9" i="12" s="1"/>
  <c r="BZ9" i="12" s="1"/>
  <c r="CA9" i="12" s="1"/>
  <c r="CB9" i="12" s="1"/>
  <c r="CC9" i="12" s="1"/>
  <c r="CD9" i="12" s="1"/>
  <c r="CE9" i="12" s="1"/>
  <c r="CF9" i="12" s="1"/>
  <c r="CG9" i="12" s="1"/>
  <c r="CH9" i="12" s="1"/>
  <c r="CI9" i="12" s="1"/>
  <c r="CJ9" i="12" s="1"/>
  <c r="CK9" i="12" s="1"/>
  <c r="CL9" i="12" s="1"/>
  <c r="CM9" i="12" s="1"/>
  <c r="CN9" i="12" s="1"/>
  <c r="CO9" i="12" s="1"/>
  <c r="CP9" i="12" s="1"/>
  <c r="K9" i="13"/>
  <c r="L9" i="13" s="1"/>
  <c r="M9" i="13" s="1"/>
  <c r="N9" i="13" s="1"/>
  <c r="O9" i="13" s="1"/>
  <c r="P9" i="13" s="1"/>
  <c r="Q9" i="13" s="1"/>
  <c r="R9" i="13" s="1"/>
  <c r="S9" i="13" s="1"/>
  <c r="T9" i="13" s="1"/>
  <c r="U9" i="13" s="1"/>
  <c r="V9" i="13" s="1"/>
  <c r="W9" i="13" s="1"/>
  <c r="X9" i="13" s="1"/>
  <c r="Y9" i="13" s="1"/>
  <c r="Z9" i="13" s="1"/>
  <c r="AA9" i="13" s="1"/>
  <c r="AB9" i="13" s="1"/>
  <c r="AC9" i="13" s="1"/>
  <c r="AD9" i="13" s="1"/>
  <c r="AE9" i="13" s="1"/>
  <c r="AF9" i="13" s="1"/>
  <c r="AG9" i="13" s="1"/>
  <c r="AH9" i="13" s="1"/>
  <c r="AI9" i="13" s="1"/>
  <c r="AJ9" i="13" s="1"/>
  <c r="AK9" i="13" s="1"/>
  <c r="AL9" i="13" s="1"/>
  <c r="AM9" i="13" s="1"/>
  <c r="AN9" i="13" s="1"/>
  <c r="AO9" i="13" s="1"/>
  <c r="AP9" i="13" s="1"/>
  <c r="AQ9" i="13" s="1"/>
  <c r="AR9" i="13" s="1"/>
  <c r="AS9" i="13" s="1"/>
  <c r="AT9" i="13" s="1"/>
  <c r="AU9" i="13" s="1"/>
  <c r="AV9" i="13" s="1"/>
  <c r="AW9" i="13" s="1"/>
  <c r="AX9" i="13" s="1"/>
  <c r="AY9" i="13" s="1"/>
  <c r="AZ9" i="13" s="1"/>
  <c r="BA9" i="13" s="1"/>
  <c r="BB9" i="13" s="1"/>
  <c r="BC9" i="13" s="1"/>
  <c r="BD9" i="13" s="1"/>
  <c r="BE9" i="13" s="1"/>
  <c r="BF9" i="13" s="1"/>
  <c r="BG9" i="13" s="1"/>
  <c r="BH9" i="13" s="1"/>
  <c r="BI9" i="13" s="1"/>
  <c r="BJ9" i="13" s="1"/>
  <c r="BK9" i="13" s="1"/>
  <c r="BL9" i="13" s="1"/>
  <c r="BM9" i="13" s="1"/>
  <c r="BN9" i="13" s="1"/>
  <c r="BO9" i="13" s="1"/>
  <c r="BP9" i="13" s="1"/>
  <c r="BQ9" i="13" s="1"/>
  <c r="BR9" i="13" s="1"/>
  <c r="BS9" i="13" s="1"/>
  <c r="BT9" i="13" s="1"/>
  <c r="BU9" i="13" s="1"/>
  <c r="BV9" i="13" s="1"/>
  <c r="BW9" i="13" s="1"/>
  <c r="BX9" i="13" s="1"/>
  <c r="BY9" i="13" s="1"/>
  <c r="BZ9" i="13" s="1"/>
  <c r="CA9" i="13" s="1"/>
  <c r="CB9" i="13" s="1"/>
  <c r="CC9" i="13" s="1"/>
  <c r="CD9" i="13" s="1"/>
  <c r="CE9" i="13" s="1"/>
  <c r="CF9" i="13" s="1"/>
  <c r="CG9" i="13" s="1"/>
  <c r="CH9" i="13" s="1"/>
  <c r="CI9" i="13" s="1"/>
  <c r="CJ9" i="13" s="1"/>
  <c r="CK9" i="13" s="1"/>
  <c r="CL9" i="13" s="1"/>
  <c r="CM9" i="13" s="1"/>
  <c r="CN9" i="13" s="1"/>
  <c r="CO9" i="13" s="1"/>
  <c r="CP9" i="13" s="1"/>
  <c r="CQ9" i="13" s="1"/>
  <c r="CR9" i="13" s="1"/>
  <c r="CS9" i="13" s="1"/>
  <c r="CT9" i="13" s="1"/>
  <c r="N8" i="9"/>
  <c r="O8" i="9" s="1"/>
  <c r="P8" i="9" s="1"/>
  <c r="Q8" i="9" s="1"/>
  <c r="R8" i="9" s="1"/>
  <c r="S8" i="9" s="1"/>
  <c r="T8" i="9" s="1"/>
  <c r="U8" i="9" s="1"/>
  <c r="V8" i="9" s="1"/>
  <c r="W8" i="9" s="1"/>
  <c r="X8" i="9" s="1"/>
  <c r="Y8" i="9" s="1"/>
  <c r="Z8" i="9" s="1"/>
  <c r="AA8" i="9" s="1"/>
  <c r="AB8" i="9" s="1"/>
  <c r="AC8" i="9" s="1"/>
  <c r="AD8" i="9" s="1"/>
  <c r="AE8" i="9" s="1"/>
  <c r="AF8" i="9" s="1"/>
  <c r="AG8" i="9" s="1"/>
  <c r="AH8" i="9" s="1"/>
  <c r="AI8" i="9" s="1"/>
  <c r="AJ8" i="9" s="1"/>
  <c r="AK8" i="9" s="1"/>
  <c r="AL8" i="9" s="1"/>
  <c r="AM8" i="9" s="1"/>
  <c r="AN8" i="9" s="1"/>
  <c r="AO8" i="9" s="1"/>
  <c r="AP8" i="9" s="1"/>
  <c r="AQ8" i="9" s="1"/>
  <c r="AR8" i="9" s="1"/>
  <c r="AS8" i="9" s="1"/>
  <c r="AT8" i="9" s="1"/>
  <c r="AU8" i="9" s="1"/>
  <c r="AV8" i="9" s="1"/>
  <c r="AW8" i="9" s="1"/>
  <c r="AX8" i="9" s="1"/>
  <c r="AY8" i="9" s="1"/>
  <c r="AZ8" i="9" s="1"/>
  <c r="BA8" i="9" s="1"/>
  <c r="BB8" i="9" s="1"/>
  <c r="BC8" i="9" s="1"/>
  <c r="BD8" i="9" s="1"/>
  <c r="BE8" i="9" s="1"/>
  <c r="BF8" i="9" s="1"/>
  <c r="BG8" i="9" s="1"/>
  <c r="BH8" i="9" s="1"/>
  <c r="BI8" i="9" s="1"/>
  <c r="BJ8" i="9" s="1"/>
  <c r="BK8" i="9" s="1"/>
  <c r="BL8" i="9" s="1"/>
  <c r="BM8" i="9" s="1"/>
  <c r="BN8" i="9" s="1"/>
  <c r="BO8" i="9" s="1"/>
  <c r="BP8" i="9" s="1"/>
  <c r="BQ8" i="9" s="1"/>
  <c r="BR8" i="9" s="1"/>
  <c r="BS8" i="9" s="1"/>
  <c r="BT8" i="9" s="1"/>
  <c r="BU8" i="9" s="1"/>
  <c r="BV8" i="9" s="1"/>
  <c r="BW8" i="9" s="1"/>
  <c r="BX8" i="9" s="1"/>
  <c r="BY8" i="9" s="1"/>
  <c r="BZ8" i="9" s="1"/>
  <c r="CA8" i="9" s="1"/>
  <c r="CB8" i="9" s="1"/>
  <c r="CC8" i="9" s="1"/>
  <c r="CD8" i="9" s="1"/>
  <c r="CE8" i="9" s="1"/>
  <c r="CF8" i="9" s="1"/>
  <c r="CG8" i="9" s="1"/>
  <c r="CH8" i="9" s="1"/>
  <c r="CI8" i="9" s="1"/>
  <c r="CJ8" i="9" s="1"/>
  <c r="CK8" i="9" s="1"/>
  <c r="CL8" i="9" s="1"/>
  <c r="CM8" i="9" s="1"/>
  <c r="CN8" i="9" s="1"/>
  <c r="CO8" i="9" s="1"/>
  <c r="CP8" i="9" s="1"/>
  <c r="CQ8" i="9" s="1"/>
  <c r="CR8" i="9" s="1"/>
  <c r="CS8" i="9" s="1"/>
  <c r="G70" i="15"/>
  <c r="O5" i="15"/>
  <c r="N5" i="15"/>
  <c r="M5" i="15"/>
  <c r="AJ5" i="15"/>
  <c r="AK5" i="15"/>
  <c r="AL5" i="15"/>
  <c r="AM5" i="15"/>
  <c r="AN5" i="15"/>
  <c r="AO5" i="15"/>
  <c r="AP5" i="15"/>
  <c r="AQ5" i="15"/>
  <c r="AR5" i="15"/>
  <c r="AS5" i="15"/>
  <c r="AT5" i="15"/>
  <c r="AU5" i="15"/>
  <c r="AV5" i="15"/>
  <c r="AW5" i="15"/>
  <c r="AX5" i="15"/>
  <c r="AY5" i="15"/>
  <c r="AZ5" i="15"/>
  <c r="BA5" i="15"/>
  <c r="BB5" i="15"/>
  <c r="BC5" i="15"/>
  <c r="BD5" i="15"/>
  <c r="BE5" i="15"/>
  <c r="BF5" i="15"/>
  <c r="BG5" i="15"/>
  <c r="BH5" i="15"/>
  <c r="BI5" i="15"/>
  <c r="BJ5" i="15"/>
  <c r="BK5" i="15"/>
  <c r="BL5" i="15"/>
  <c r="BM5" i="15"/>
  <c r="BN5" i="15"/>
  <c r="BO5" i="15"/>
  <c r="BP5" i="15"/>
  <c r="BQ5" i="15"/>
  <c r="BR5" i="15"/>
  <c r="BS5" i="15"/>
  <c r="BT5" i="15"/>
  <c r="BU5" i="15"/>
  <c r="BV5" i="15"/>
  <c r="AR60" i="9"/>
  <c r="AN60" i="9"/>
  <c r="AB60" i="9"/>
  <c r="P60" i="9"/>
  <c r="S28" i="9"/>
  <c r="AH52" i="9"/>
  <c r="V52" i="9"/>
  <c r="N52" i="9"/>
  <c r="Q36" i="9"/>
  <c r="O28" i="9"/>
  <c r="AP44" i="12"/>
  <c r="AP4" i="12"/>
  <c r="N27" i="9"/>
  <c r="AD44" i="9"/>
  <c r="AG44" i="9"/>
  <c r="S44" i="9"/>
  <c r="AK44" i="9"/>
  <c r="G67" i="15"/>
  <c r="I67" i="15" s="1"/>
  <c r="G62" i="15"/>
  <c r="I62" i="15" s="1"/>
  <c r="I19" i="15"/>
  <c r="H28" i="15"/>
  <c r="I28" i="15" s="1"/>
  <c r="AM60" i="9"/>
  <c r="AA60" i="9"/>
  <c r="AG52" i="9"/>
  <c r="U52" i="9"/>
  <c r="P36" i="9"/>
  <c r="N28" i="9"/>
  <c r="Q28" i="9"/>
  <c r="AL44" i="9"/>
  <c r="AO44" i="9"/>
  <c r="AA44" i="9"/>
  <c r="G51" i="15"/>
  <c r="I51" i="15" s="1"/>
  <c r="I22" i="15"/>
  <c r="W22" i="15" s="1"/>
  <c r="AC2" i="11"/>
  <c r="CD2" i="11"/>
  <c r="AZ2" i="11"/>
  <c r="BO2" i="11"/>
  <c r="CU2" i="11"/>
  <c r="EG2" i="11"/>
  <c r="BW2" i="11"/>
  <c r="AE2" i="11"/>
  <c r="BY2" i="11"/>
  <c r="DP2" i="11"/>
  <c r="CW2" i="11"/>
  <c r="BZ2" i="11"/>
  <c r="CC2" i="11"/>
  <c r="BT2" i="11"/>
  <c r="AL2" i="11"/>
  <c r="CH2" i="11"/>
  <c r="EC2" i="11"/>
  <c r="CY2" i="11"/>
  <c r="DM2" i="11"/>
  <c r="EI2" i="11"/>
  <c r="BC2" i="11"/>
  <c r="EB2" i="11"/>
  <c r="AF2" i="11"/>
  <c r="CK2" i="11"/>
  <c r="BE2" i="11"/>
  <c r="BQ2" i="11"/>
  <c r="EJ2" i="11"/>
  <c r="AH2" i="11"/>
  <c r="DS2" i="11"/>
  <c r="BX2" i="11"/>
  <c r="CO2" i="11"/>
  <c r="EA2" i="11"/>
  <c r="DG2" i="11"/>
  <c r="AO2" i="11"/>
  <c r="BG2" i="11"/>
  <c r="BI2" i="11"/>
  <c r="BV2" i="11"/>
  <c r="AN2" i="11"/>
  <c r="CT2" i="11"/>
  <c r="BN2" i="11"/>
  <c r="BU2" i="11"/>
  <c r="CZ2" i="11"/>
  <c r="AD2" i="11"/>
  <c r="CI2" i="11"/>
  <c r="AJ2" i="11"/>
  <c r="CF2" i="11"/>
  <c r="DW2" i="11"/>
  <c r="AR2" i="11"/>
  <c r="DB2" i="11"/>
  <c r="AG2" i="11"/>
  <c r="CL2" i="11"/>
  <c r="CA2" i="11"/>
  <c r="CQ2" i="11"/>
  <c r="CE2" i="11"/>
  <c r="CV2" i="11"/>
  <c r="CJ2" i="11"/>
  <c r="BK2" i="11"/>
  <c r="EE2" i="11"/>
  <c r="AB2" i="11"/>
  <c r="DC2" i="11"/>
  <c r="DD2" i="11"/>
  <c r="DR2" i="11"/>
  <c r="EH2" i="11"/>
  <c r="BS2" i="11"/>
  <c r="BL2" i="11"/>
  <c r="AU2" i="11"/>
  <c r="DF2" i="11"/>
  <c r="AI2" i="11"/>
  <c r="BB2" i="11"/>
  <c r="AP2" i="11"/>
  <c r="DU2" i="11"/>
  <c r="AW2" i="11"/>
  <c r="CR2" i="11"/>
  <c r="BR2" i="11"/>
  <c r="AY2" i="11"/>
  <c r="DL2" i="11"/>
  <c r="CM2" i="11"/>
  <c r="CB2" i="11"/>
  <c r="DJ2" i="11"/>
  <c r="AK2" i="11"/>
  <c r="DH2" i="11"/>
  <c r="AQ2" i="11"/>
  <c r="CS2" i="11"/>
  <c r="EF2" i="11"/>
  <c r="DT2" i="11"/>
  <c r="DO2" i="11"/>
  <c r="AT2" i="11"/>
  <c r="EL2" i="11"/>
  <c r="ED2" i="11"/>
  <c r="DA2" i="11"/>
  <c r="AM2" i="11"/>
  <c r="CN2" i="11"/>
  <c r="BH2" i="11"/>
  <c r="DE2" i="11"/>
  <c r="AS2" i="11"/>
  <c r="CP2" i="11"/>
  <c r="EK2" i="11"/>
  <c r="DI2" i="11"/>
  <c r="BJ2" i="11"/>
  <c r="BP2" i="11"/>
  <c r="DX2" i="11"/>
  <c r="DY2" i="11"/>
  <c r="BF2" i="11"/>
  <c r="BM2" i="11"/>
  <c r="BD2" i="11"/>
  <c r="DZ2" i="11"/>
  <c r="DK2" i="11"/>
  <c r="CG2" i="11"/>
  <c r="DQ2" i="11"/>
  <c r="AX2" i="11"/>
  <c r="DV2" i="11"/>
  <c r="AV2" i="11"/>
  <c r="CX2" i="11"/>
  <c r="BA2" i="11"/>
  <c r="DN2" i="11"/>
  <c r="Y43" i="15"/>
  <c r="W43" i="15"/>
  <c r="O43" i="15"/>
  <c r="Q43" i="15"/>
  <c r="T43" i="15"/>
  <c r="P43" i="15"/>
  <c r="N43" i="15"/>
  <c r="AA43" i="15"/>
  <c r="Z43" i="15"/>
  <c r="V43" i="15"/>
  <c r="X43" i="15"/>
  <c r="S43" i="15"/>
  <c r="M43" i="15"/>
  <c r="AB43" i="15"/>
  <c r="R43" i="15"/>
  <c r="U43" i="15"/>
  <c r="AC43" i="15"/>
  <c r="AD43" i="15"/>
  <c r="AE43" i="15"/>
  <c r="AF43" i="15"/>
  <c r="AG43" i="15"/>
  <c r="AH43" i="15"/>
  <c r="AI43" i="15"/>
  <c r="AJ43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BB43" i="15"/>
  <c r="BC43" i="15"/>
  <c r="BD43" i="15"/>
  <c r="T36" i="9"/>
  <c r="AL60" i="9"/>
  <c r="Z60" i="9"/>
  <c r="AF52" i="9"/>
  <c r="T52" i="9"/>
  <c r="O36" i="9"/>
  <c r="V28" i="9"/>
  <c r="W28" i="9"/>
  <c r="P44" i="9"/>
  <c r="AI44" i="9"/>
  <c r="AK60" i="9"/>
  <c r="Y60" i="9"/>
  <c r="N60" i="9"/>
  <c r="AQ52" i="9"/>
  <c r="AE52" i="9"/>
  <c r="S52" i="9"/>
  <c r="Z36" i="9"/>
  <c r="Y28" i="9"/>
  <c r="X44" i="9"/>
  <c r="R46" i="15"/>
  <c r="AA46" i="15"/>
  <c r="Z46" i="15"/>
  <c r="S46" i="15"/>
  <c r="Q46" i="15"/>
  <c r="X46" i="15"/>
  <c r="M46" i="15"/>
  <c r="AB46" i="15"/>
  <c r="O46" i="15"/>
  <c r="AC46" i="15"/>
  <c r="U46" i="15"/>
  <c r="Y46" i="15"/>
  <c r="W46" i="15"/>
  <c r="V46" i="15"/>
  <c r="N46" i="15"/>
  <c r="T46" i="15"/>
  <c r="AD46" i="15"/>
  <c r="AE46" i="15"/>
  <c r="AF46" i="15"/>
  <c r="AG46" i="15"/>
  <c r="AH46" i="15"/>
  <c r="AI46" i="15"/>
  <c r="AJ46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X46" i="15"/>
  <c r="AY46" i="15"/>
  <c r="AZ46" i="15"/>
  <c r="BA46" i="15"/>
  <c r="R38" i="15"/>
  <c r="X38" i="15"/>
  <c r="V38" i="15"/>
  <c r="W38" i="15"/>
  <c r="P38" i="15"/>
  <c r="O38" i="15"/>
  <c r="Z38" i="15"/>
  <c r="Y38" i="15"/>
  <c r="S38" i="15"/>
  <c r="U38" i="15"/>
  <c r="T38" i="15"/>
  <c r="AA38" i="15"/>
  <c r="Q38" i="15"/>
  <c r="M38" i="15"/>
  <c r="N38" i="15"/>
  <c r="AB38" i="15"/>
  <c r="AC38" i="15"/>
  <c r="AD38" i="15"/>
  <c r="AE38" i="15"/>
  <c r="AF38" i="15"/>
  <c r="AG38" i="15"/>
  <c r="AH38" i="15"/>
  <c r="AI38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BB38" i="15"/>
  <c r="BC38" i="15"/>
  <c r="BD38" i="15"/>
  <c r="BE38" i="15"/>
  <c r="BF38" i="15"/>
  <c r="BG38" i="15"/>
  <c r="BH38" i="15"/>
  <c r="BI38" i="15"/>
  <c r="BJ38" i="15"/>
  <c r="BP43" i="16"/>
  <c r="BP30" i="16"/>
  <c r="BP27" i="16"/>
  <c r="BP35" i="16"/>
  <c r="BP19" i="16"/>
  <c r="BP22" i="16"/>
  <c r="BP38" i="16"/>
  <c r="BP6" i="16"/>
  <c r="BP11" i="16"/>
  <c r="BQ2" i="16"/>
  <c r="BP14" i="16"/>
  <c r="G19" i="9"/>
  <c r="I19" i="9" s="1"/>
  <c r="AP10" i="12"/>
  <c r="J5" i="12"/>
  <c r="G20" i="13"/>
  <c r="L26" i="9"/>
  <c r="DL42" i="12"/>
  <c r="DD42" i="12"/>
  <c r="CV42" i="12"/>
  <c r="DK42" i="12"/>
  <c r="DC42" i="12"/>
  <c r="CU42" i="12"/>
  <c r="CY42" i="12"/>
  <c r="DJ42" i="12"/>
  <c r="DB42" i="12"/>
  <c r="CT42" i="12"/>
  <c r="DG42" i="12"/>
  <c r="DI42" i="12"/>
  <c r="DA42" i="12"/>
  <c r="J42" i="12"/>
  <c r="CS42" i="12"/>
  <c r="CS47" i="12" s="1"/>
  <c r="DH42" i="12"/>
  <c r="CZ42" i="12"/>
  <c r="I42" i="12"/>
  <c r="DN42" i="12"/>
  <c r="DF42" i="12"/>
  <c r="CX42" i="12"/>
  <c r="K42" i="12"/>
  <c r="DM42" i="12"/>
  <c r="DE42" i="12"/>
  <c r="CW42" i="12"/>
  <c r="DO42" i="12"/>
  <c r="L42" i="12"/>
  <c r="M42" i="12"/>
  <c r="N42" i="12"/>
  <c r="O42" i="12"/>
  <c r="P42" i="12"/>
  <c r="Q42" i="12"/>
  <c r="R42" i="12"/>
  <c r="S42" i="12"/>
  <c r="T42" i="12"/>
  <c r="U42" i="12"/>
  <c r="L45" i="14"/>
  <c r="DP45" i="14"/>
  <c r="CW45" i="14"/>
  <c r="DC45" i="14"/>
  <c r="CZ45" i="14"/>
  <c r="DR45" i="14"/>
  <c r="DO45" i="14"/>
  <c r="DN45" i="14"/>
  <c r="DJ45" i="14"/>
  <c r="DM45" i="14"/>
  <c r="DD45" i="14"/>
  <c r="DE45" i="14"/>
  <c r="DF45" i="14"/>
  <c r="CX45" i="14"/>
  <c r="DK45" i="14"/>
  <c r="CV45" i="14"/>
  <c r="M45" i="14"/>
  <c r="DA45" i="14"/>
  <c r="DG45" i="14"/>
  <c r="DH45" i="14"/>
  <c r="CY45" i="14"/>
  <c r="DQ45" i="14"/>
  <c r="DI45" i="14"/>
  <c r="DL45" i="14"/>
  <c r="DB45" i="14"/>
  <c r="AP17" i="9"/>
  <c r="AQ17" i="9"/>
  <c r="AR17" i="9"/>
  <c r="M21" i="14"/>
  <c r="L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CW53" i="12"/>
  <c r="DE53" i="12"/>
  <c r="DM53" i="12"/>
  <c r="CX53" i="12"/>
  <c r="DF53" i="12"/>
  <c r="DN53" i="12"/>
  <c r="CY53" i="12"/>
  <c r="DG53" i="12"/>
  <c r="DO53" i="12"/>
  <c r="DB53" i="12"/>
  <c r="I53" i="12"/>
  <c r="CZ53" i="12"/>
  <c r="DH53" i="12"/>
  <c r="DP53" i="12"/>
  <c r="J53" i="12"/>
  <c r="DA53" i="12"/>
  <c r="DI53" i="12"/>
  <c r="DQ53" i="12"/>
  <c r="CU53" i="12"/>
  <c r="DC53" i="12"/>
  <c r="DK53" i="12"/>
  <c r="DJ53" i="12"/>
  <c r="CV53" i="12"/>
  <c r="DD53" i="12"/>
  <c r="DL53" i="12"/>
  <c r="CT53" i="12"/>
  <c r="DR53" i="12"/>
  <c r="CS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J53" i="12"/>
  <c r="AI2" i="9"/>
  <c r="AJ2" i="9"/>
  <c r="AK2" i="9"/>
  <c r="AL2" i="9"/>
  <c r="AM2" i="9"/>
  <c r="AN2" i="9"/>
  <c r="AO2" i="9"/>
  <c r="AP2" i="9"/>
  <c r="AQ2" i="9"/>
  <c r="AR2" i="9"/>
  <c r="H34" i="9"/>
  <c r="H50" i="9"/>
  <c r="G35" i="9"/>
  <c r="H42" i="9"/>
  <c r="H58" i="9"/>
  <c r="H35" i="12"/>
  <c r="G35" i="12"/>
  <c r="L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G19" i="14"/>
  <c r="BH19" i="14"/>
  <c r="BI19" i="14"/>
  <c r="BJ19" i="14"/>
  <c r="CT36" i="12"/>
  <c r="DB36" i="12"/>
  <c r="DJ36" i="12"/>
  <c r="CY36" i="12"/>
  <c r="CU36" i="12"/>
  <c r="DC36" i="12"/>
  <c r="DK36" i="12"/>
  <c r="CV36" i="12"/>
  <c r="DD36" i="12"/>
  <c r="DL36" i="12"/>
  <c r="CW36" i="12"/>
  <c r="DE36" i="12"/>
  <c r="DM36" i="12"/>
  <c r="CX36" i="12"/>
  <c r="DF36" i="12"/>
  <c r="DN36" i="12"/>
  <c r="I36" i="12"/>
  <c r="CZ36" i="12"/>
  <c r="DH36" i="12"/>
  <c r="DG36" i="12"/>
  <c r="J36" i="12"/>
  <c r="DA36" i="12"/>
  <c r="DI36" i="12"/>
  <c r="DO36" i="12"/>
  <c r="CS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G49" i="9"/>
  <c r="I49" i="9" s="1"/>
  <c r="P49" i="9" s="1"/>
  <c r="L3" i="14"/>
  <c r="BH3" i="14"/>
  <c r="BI3" i="14"/>
  <c r="BJ3" i="14"/>
  <c r="DE43" i="14"/>
  <c r="L43" i="14"/>
  <c r="CY43" i="14"/>
  <c r="DN43" i="14"/>
  <c r="DC43" i="14"/>
  <c r="DJ43" i="14"/>
  <c r="DL43" i="14"/>
  <c r="DP43" i="14"/>
  <c r="DB43" i="14"/>
  <c r="DM43" i="14"/>
  <c r="CZ43" i="14"/>
  <c r="DR43" i="14"/>
  <c r="DQ43" i="14"/>
  <c r="CX43" i="14"/>
  <c r="DK43" i="14"/>
  <c r="DA43" i="14"/>
  <c r="DG43" i="14"/>
  <c r="DH43" i="14"/>
  <c r="DF43" i="14"/>
  <c r="DI43" i="14"/>
  <c r="CV43" i="14"/>
  <c r="CV48" i="14" s="1"/>
  <c r="DO43" i="14"/>
  <c r="M43" i="14"/>
  <c r="DD43" i="14"/>
  <c r="CW43" i="14"/>
  <c r="BH43" i="14"/>
  <c r="BI43" i="14"/>
  <c r="BJ43" i="14"/>
  <c r="L27" i="14"/>
  <c r="M27" i="14"/>
  <c r="BH27" i="14"/>
  <c r="BI27" i="14"/>
  <c r="BJ27" i="14"/>
  <c r="M29" i="14"/>
  <c r="L29" i="14"/>
  <c r="AZ29" i="14"/>
  <c r="BA29" i="14"/>
  <c r="BB29" i="14"/>
  <c r="BC29" i="14"/>
  <c r="BD29" i="14"/>
  <c r="BE29" i="14"/>
  <c r="BF29" i="14"/>
  <c r="BG29" i="14"/>
  <c r="BH29" i="14"/>
  <c r="BI29" i="14"/>
  <c r="BJ29" i="14"/>
  <c r="G57" i="9"/>
  <c r="I57" i="9" s="1"/>
  <c r="DV57" i="9" s="1"/>
  <c r="G10" i="9"/>
  <c r="I10" i="9" s="1"/>
  <c r="G11" i="12"/>
  <c r="H11" i="12"/>
  <c r="DB37" i="14"/>
  <c r="DD37" i="14"/>
  <c r="L37" i="14"/>
  <c r="DO37" i="14"/>
  <c r="M37" i="14"/>
  <c r="DI37" i="14"/>
  <c r="DJ37" i="14"/>
  <c r="DR37" i="14"/>
  <c r="DF37" i="14"/>
  <c r="DH37" i="14"/>
  <c r="DL37" i="14"/>
  <c r="CW37" i="14"/>
  <c r="DC37" i="14"/>
  <c r="CX37" i="14"/>
  <c r="DP37" i="14"/>
  <c r="DQ37" i="14"/>
  <c r="CY37" i="14"/>
  <c r="CZ37" i="14"/>
  <c r="DM37" i="14"/>
  <c r="DK37" i="14"/>
  <c r="CV37" i="14"/>
  <c r="DG37" i="14"/>
  <c r="DN37" i="14"/>
  <c r="DE37" i="14"/>
  <c r="DA37" i="14"/>
  <c r="BH37" i="14"/>
  <c r="BI37" i="14"/>
  <c r="BJ37" i="14"/>
  <c r="CS45" i="12"/>
  <c r="DH45" i="12"/>
  <c r="CZ45" i="12"/>
  <c r="I45" i="12"/>
  <c r="DO45" i="12"/>
  <c r="DG45" i="12"/>
  <c r="CY45" i="12"/>
  <c r="DK45" i="12"/>
  <c r="DN45" i="12"/>
  <c r="DF45" i="12"/>
  <c r="CX45" i="12"/>
  <c r="DC45" i="12"/>
  <c r="DM45" i="12"/>
  <c r="DE45" i="12"/>
  <c r="CW45" i="12"/>
  <c r="K45" i="12"/>
  <c r="DL45" i="12"/>
  <c r="DD45" i="12"/>
  <c r="CV45" i="12"/>
  <c r="CU45" i="12"/>
  <c r="DJ45" i="12"/>
  <c r="DB45" i="12"/>
  <c r="CT45" i="12"/>
  <c r="DI45" i="12"/>
  <c r="DA45" i="12"/>
  <c r="J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G41" i="9"/>
  <c r="I41" i="9" s="1"/>
  <c r="L41" i="9" s="1"/>
  <c r="M5" i="14"/>
  <c r="L5" i="14"/>
  <c r="AL5" i="14"/>
  <c r="AM5" i="14"/>
  <c r="AN5" i="14"/>
  <c r="AO5" i="14"/>
  <c r="AP5" i="14"/>
  <c r="AQ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G5" i="14"/>
  <c r="BH5" i="14"/>
  <c r="BI5" i="14"/>
  <c r="BJ5" i="14"/>
  <c r="BK5" i="14"/>
  <c r="CY50" i="12"/>
  <c r="DG50" i="12"/>
  <c r="DO50" i="12"/>
  <c r="DD50" i="12"/>
  <c r="I50" i="12"/>
  <c r="CZ50" i="12"/>
  <c r="DH50" i="12"/>
  <c r="DP50" i="12"/>
  <c r="J50" i="12"/>
  <c r="DA50" i="12"/>
  <c r="DI50" i="12"/>
  <c r="DQ50" i="12"/>
  <c r="CT50" i="12"/>
  <c r="DB50" i="12"/>
  <c r="DJ50" i="12"/>
  <c r="DR50" i="12"/>
  <c r="CU50" i="12"/>
  <c r="DC50" i="12"/>
  <c r="DK50" i="12"/>
  <c r="DL50" i="12"/>
  <c r="CW50" i="12"/>
  <c r="DE50" i="12"/>
  <c r="DM50" i="12"/>
  <c r="CV50" i="12"/>
  <c r="CX50" i="12"/>
  <c r="DF50" i="12"/>
  <c r="DN50" i="12"/>
  <c r="CS50" i="12"/>
  <c r="CS55" i="12" s="1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DV59" i="14"/>
  <c r="L59" i="14"/>
  <c r="CX59" i="14"/>
  <c r="DS59" i="14"/>
  <c r="CW59" i="14"/>
  <c r="DL59" i="14"/>
  <c r="DU59" i="14"/>
  <c r="DP59" i="14"/>
  <c r="DJ59" i="14"/>
  <c r="DQ59" i="14"/>
  <c r="M59" i="14"/>
  <c r="CV59" i="14"/>
  <c r="CV64" i="14" s="1"/>
  <c r="DA59" i="14"/>
  <c r="DD59" i="14"/>
  <c r="DT59" i="14"/>
  <c r="DR59" i="14"/>
  <c r="DH59" i="14"/>
  <c r="DK59" i="14"/>
  <c r="DO59" i="14"/>
  <c r="DI59" i="14"/>
  <c r="DB59" i="14"/>
  <c r="CZ59" i="14"/>
  <c r="DN59" i="14"/>
  <c r="CY59" i="14"/>
  <c r="DG59" i="14"/>
  <c r="DM59" i="14"/>
  <c r="DE59" i="14"/>
  <c r="DW59" i="14"/>
  <c r="DC59" i="14"/>
  <c r="DF59" i="14"/>
  <c r="G3" i="9"/>
  <c r="I3" i="9" s="1"/>
  <c r="H3" i="12"/>
  <c r="G3" i="12"/>
  <c r="DB61" i="14"/>
  <c r="CY61" i="14"/>
  <c r="DT61" i="14"/>
  <c r="DP61" i="14"/>
  <c r="DE61" i="14"/>
  <c r="DV61" i="14"/>
  <c r="DJ61" i="14"/>
  <c r="L61" i="14"/>
  <c r="CV61" i="14"/>
  <c r="DN61" i="14"/>
  <c r="DW61" i="14"/>
  <c r="DM61" i="14"/>
  <c r="DL61" i="14"/>
  <c r="DR61" i="14"/>
  <c r="DA61" i="14"/>
  <c r="CX61" i="14"/>
  <c r="DO61" i="14"/>
  <c r="CZ61" i="14"/>
  <c r="DG61" i="14"/>
  <c r="DS61" i="14"/>
  <c r="DC61" i="14"/>
  <c r="DD61" i="14"/>
  <c r="DK61" i="14"/>
  <c r="DU61" i="14"/>
  <c r="M61" i="14"/>
  <c r="DH61" i="14"/>
  <c r="DF61" i="14"/>
  <c r="DQ61" i="14"/>
  <c r="CW61" i="14"/>
  <c r="DI61" i="14"/>
  <c r="I37" i="12"/>
  <c r="CZ37" i="12"/>
  <c r="DH37" i="12"/>
  <c r="J37" i="12"/>
  <c r="DA37" i="12"/>
  <c r="DI37" i="12"/>
  <c r="CW37" i="12"/>
  <c r="CT37" i="12"/>
  <c r="DB37" i="12"/>
  <c r="DJ37" i="12"/>
  <c r="CU37" i="12"/>
  <c r="DC37" i="12"/>
  <c r="DK37" i="12"/>
  <c r="CV37" i="12"/>
  <c r="DD37" i="12"/>
  <c r="DL37" i="12"/>
  <c r="DE37" i="12"/>
  <c r="CX37" i="12"/>
  <c r="DF37" i="12"/>
  <c r="DN37" i="12"/>
  <c r="DM37" i="12"/>
  <c r="CY37" i="12"/>
  <c r="DG37" i="12"/>
  <c r="DO37" i="12"/>
  <c r="CS37" i="12"/>
  <c r="K37" i="12"/>
  <c r="L37" i="12"/>
  <c r="CV34" i="12"/>
  <c r="DD34" i="12"/>
  <c r="DL34" i="12"/>
  <c r="CW34" i="12"/>
  <c r="DE34" i="12"/>
  <c r="DM34" i="12"/>
  <c r="CX34" i="12"/>
  <c r="DF34" i="12"/>
  <c r="DN34" i="12"/>
  <c r="CY34" i="12"/>
  <c r="DG34" i="12"/>
  <c r="DO34" i="12"/>
  <c r="I34" i="12"/>
  <c r="CZ34" i="12"/>
  <c r="DH34" i="12"/>
  <c r="DA34" i="12"/>
  <c r="CT34" i="12"/>
  <c r="DB34" i="12"/>
  <c r="DJ34" i="12"/>
  <c r="J34" i="12"/>
  <c r="CU34" i="12"/>
  <c r="DC34" i="12"/>
  <c r="DK34" i="12"/>
  <c r="DI34" i="12"/>
  <c r="CS34" i="12"/>
  <c r="CS39" i="12" s="1"/>
  <c r="DS61" i="12"/>
  <c r="DK61" i="12"/>
  <c r="DC61" i="12"/>
  <c r="CU61" i="12"/>
  <c r="DR61" i="12"/>
  <c r="DJ61" i="12"/>
  <c r="DB61" i="12"/>
  <c r="CT61" i="12"/>
  <c r="DF61" i="12"/>
  <c r="DQ61" i="12"/>
  <c r="DI61" i="12"/>
  <c r="DA61" i="12"/>
  <c r="J61" i="12"/>
  <c r="K61" i="12"/>
  <c r="DP61" i="12"/>
  <c r="DH61" i="12"/>
  <c r="CZ61" i="12"/>
  <c r="I61" i="12"/>
  <c r="DN61" i="12"/>
  <c r="DO61" i="12"/>
  <c r="DG61" i="12"/>
  <c r="CY61" i="12"/>
  <c r="CX61" i="12"/>
  <c r="CS61" i="12"/>
  <c r="DM61" i="12"/>
  <c r="DE61" i="12"/>
  <c r="CW61" i="12"/>
  <c r="DT61" i="12"/>
  <c r="DL61" i="12"/>
  <c r="DD61" i="12"/>
  <c r="CV61" i="12"/>
  <c r="L61" i="12"/>
  <c r="M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AJ61" i="12"/>
  <c r="AK61" i="12"/>
  <c r="AL61" i="12"/>
  <c r="AM61" i="12"/>
  <c r="AN61" i="12"/>
  <c r="AO61" i="12"/>
  <c r="DQ53" i="14"/>
  <c r="CY53" i="14"/>
  <c r="CV53" i="14"/>
  <c r="DJ53" i="14"/>
  <c r="CW53" i="14"/>
  <c r="DF53" i="14"/>
  <c r="CZ53" i="14"/>
  <c r="DI53" i="14"/>
  <c r="CX53" i="14"/>
  <c r="DD53" i="14"/>
  <c r="DO53" i="14"/>
  <c r="DS53" i="14"/>
  <c r="DM53" i="14"/>
  <c r="DH53" i="14"/>
  <c r="DA53" i="14"/>
  <c r="DC53" i="14"/>
  <c r="DR53" i="14"/>
  <c r="DB53" i="14"/>
  <c r="M53" i="14"/>
  <c r="DP53" i="14"/>
  <c r="L53" i="14"/>
  <c r="DU53" i="14"/>
  <c r="DN53" i="14"/>
  <c r="DL53" i="14"/>
  <c r="DK53" i="14"/>
  <c r="DE53" i="14"/>
  <c r="DG53" i="14"/>
  <c r="DT53" i="14"/>
  <c r="H51" i="12"/>
  <c r="G51" i="12"/>
  <c r="L11" i="9"/>
  <c r="M11" i="9"/>
  <c r="N11" i="9"/>
  <c r="O11" i="9"/>
  <c r="P11" i="9"/>
  <c r="Q11" i="9"/>
  <c r="R11" i="9"/>
  <c r="I4" i="12"/>
  <c r="J4" i="12"/>
  <c r="AG4" i="12"/>
  <c r="AH4" i="12"/>
  <c r="AI4" i="12"/>
  <c r="AJ4" i="12"/>
  <c r="AK4" i="12"/>
  <c r="AL4" i="12"/>
  <c r="AM4" i="12"/>
  <c r="AN4" i="12"/>
  <c r="AO4" i="12"/>
  <c r="DP60" i="14"/>
  <c r="DD60" i="14"/>
  <c r="L60" i="14"/>
  <c r="DT60" i="14"/>
  <c r="DA60" i="14"/>
  <c r="CZ60" i="14"/>
  <c r="DV60" i="14"/>
  <c r="DO60" i="14"/>
  <c r="DJ60" i="14"/>
  <c r="DE60" i="14"/>
  <c r="DK60" i="14"/>
  <c r="DI60" i="14"/>
  <c r="DF60" i="14"/>
  <c r="CW60" i="14"/>
  <c r="CV60" i="14"/>
  <c r="DQ60" i="14"/>
  <c r="DU60" i="14"/>
  <c r="DB60" i="14"/>
  <c r="DN60" i="14"/>
  <c r="DS60" i="14"/>
  <c r="DR60" i="14"/>
  <c r="DC60" i="14"/>
  <c r="CY60" i="14"/>
  <c r="DL60" i="14"/>
  <c r="DM60" i="14"/>
  <c r="DG60" i="14"/>
  <c r="CX60" i="14"/>
  <c r="M60" i="14"/>
  <c r="DH60" i="14"/>
  <c r="DW60" i="14"/>
  <c r="G43" i="12"/>
  <c r="H43" i="12"/>
  <c r="G18" i="9"/>
  <c r="I18" i="9" s="1"/>
  <c r="H19" i="12"/>
  <c r="G19" i="12"/>
  <c r="I12" i="12"/>
  <c r="J12" i="12"/>
  <c r="K12" i="12"/>
  <c r="L12" i="12"/>
  <c r="M12" i="12"/>
  <c r="N12" i="12"/>
  <c r="AJ12" i="12"/>
  <c r="AK12" i="12"/>
  <c r="AL12" i="12"/>
  <c r="AM12" i="12"/>
  <c r="AN12" i="12"/>
  <c r="AO12" i="12"/>
  <c r="H27" i="12"/>
  <c r="I21" i="12"/>
  <c r="J21" i="12"/>
  <c r="CW35" i="14"/>
  <c r="DI35" i="14"/>
  <c r="DR35" i="14"/>
  <c r="CX35" i="14"/>
  <c r="CY35" i="14"/>
  <c r="CZ35" i="14"/>
  <c r="DL35" i="14"/>
  <c r="DP35" i="14"/>
  <c r="DC35" i="14"/>
  <c r="DJ35" i="14"/>
  <c r="CV35" i="14"/>
  <c r="CV40" i="14" s="1"/>
  <c r="DO35" i="14"/>
  <c r="DF35" i="14"/>
  <c r="DG35" i="14"/>
  <c r="DA35" i="14"/>
  <c r="M35" i="14"/>
  <c r="DK35" i="14"/>
  <c r="DE35" i="14"/>
  <c r="DH35" i="14"/>
  <c r="DD35" i="14"/>
  <c r="DN35" i="14"/>
  <c r="DB35" i="14"/>
  <c r="L35" i="14"/>
  <c r="DM35" i="14"/>
  <c r="DQ35" i="14"/>
  <c r="BH35" i="14"/>
  <c r="BI35" i="14"/>
  <c r="BJ35" i="14"/>
  <c r="DO44" i="12"/>
  <c r="DG44" i="12"/>
  <c r="CY44" i="12"/>
  <c r="DN44" i="12"/>
  <c r="DF44" i="12"/>
  <c r="CX44" i="12"/>
  <c r="DB44" i="12"/>
  <c r="DM44" i="12"/>
  <c r="DE44" i="12"/>
  <c r="CW44" i="12"/>
  <c r="DL44" i="12"/>
  <c r="DD44" i="12"/>
  <c r="CV44" i="12"/>
  <c r="CT44" i="12"/>
  <c r="DK44" i="12"/>
  <c r="DC44" i="12"/>
  <c r="CU44" i="12"/>
  <c r="K44" i="12"/>
  <c r="DJ44" i="12"/>
  <c r="DI44" i="12"/>
  <c r="DA44" i="12"/>
  <c r="J44" i="12"/>
  <c r="CS44" i="12"/>
  <c r="DH44" i="12"/>
  <c r="CZ44" i="12"/>
  <c r="I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AL44" i="12"/>
  <c r="AM44" i="12"/>
  <c r="AN44" i="12"/>
  <c r="AO44" i="12"/>
  <c r="I18" i="12"/>
  <c r="J18" i="12"/>
  <c r="AM18" i="12"/>
  <c r="AN18" i="12"/>
  <c r="AO18" i="12"/>
  <c r="L11" i="14"/>
  <c r="AI11" i="14"/>
  <c r="AJ11" i="14"/>
  <c r="AK11" i="14"/>
  <c r="AL11" i="14"/>
  <c r="AM11" i="14"/>
  <c r="AN11" i="14"/>
  <c r="AO11" i="14"/>
  <c r="AP11" i="14"/>
  <c r="AQ11" i="14"/>
  <c r="AR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CT52" i="12"/>
  <c r="DB52" i="12"/>
  <c r="DJ52" i="12"/>
  <c r="DR52" i="12"/>
  <c r="CU52" i="12"/>
  <c r="DC52" i="12"/>
  <c r="DK52" i="12"/>
  <c r="CV52" i="12"/>
  <c r="DD52" i="12"/>
  <c r="DL52" i="12"/>
  <c r="DG52" i="12"/>
  <c r="CW52" i="12"/>
  <c r="DE52" i="12"/>
  <c r="DM52" i="12"/>
  <c r="CX52" i="12"/>
  <c r="DF52" i="12"/>
  <c r="DN52" i="12"/>
  <c r="I52" i="12"/>
  <c r="CZ52" i="12"/>
  <c r="DH52" i="12"/>
  <c r="DP52" i="12"/>
  <c r="DO52" i="12"/>
  <c r="J52" i="12"/>
  <c r="DA52" i="12"/>
  <c r="DI52" i="12"/>
  <c r="DQ52" i="12"/>
  <c r="CY52" i="12"/>
  <c r="CS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AJ52" i="12"/>
  <c r="AK52" i="12"/>
  <c r="AL52" i="12"/>
  <c r="AM52" i="12"/>
  <c r="AN52" i="12"/>
  <c r="AO52" i="12"/>
  <c r="L13" i="14"/>
  <c r="M13" i="14"/>
  <c r="AV13" i="14"/>
  <c r="AW13" i="14"/>
  <c r="M4" i="9"/>
  <c r="L4" i="9"/>
  <c r="N4" i="9"/>
  <c r="O4" i="9"/>
  <c r="P4" i="9"/>
  <c r="Q4" i="9"/>
  <c r="I33" i="9"/>
  <c r="DG33" i="9" s="1"/>
  <c r="H5" i="9"/>
  <c r="I2" i="12"/>
  <c r="AF2" i="12"/>
  <c r="AG2" i="12"/>
  <c r="AH2" i="12"/>
  <c r="AI2" i="12"/>
  <c r="AJ2" i="12"/>
  <c r="AK2" i="12"/>
  <c r="AL2" i="12"/>
  <c r="AM2" i="12"/>
  <c r="AN2" i="12"/>
  <c r="AO2" i="12"/>
  <c r="CO34" i="13"/>
  <c r="AH34" i="13"/>
  <c r="Z34" i="13"/>
  <c r="R34" i="13"/>
  <c r="J34" i="13"/>
  <c r="AO34" i="13"/>
  <c r="AG34" i="13"/>
  <c r="Y34" i="13"/>
  <c r="Q34" i="13"/>
  <c r="I34" i="13"/>
  <c r="AN34" i="13"/>
  <c r="AF34" i="13"/>
  <c r="X34" i="13"/>
  <c r="P34" i="13"/>
  <c r="CT34" i="13"/>
  <c r="AM34" i="13"/>
  <c r="AE34" i="13"/>
  <c r="W34" i="13"/>
  <c r="O34" i="13"/>
  <c r="CS34" i="13"/>
  <c r="AL34" i="13"/>
  <c r="AD34" i="13"/>
  <c r="V34" i="13"/>
  <c r="N34" i="13"/>
  <c r="CR34" i="13"/>
  <c r="AK34" i="13"/>
  <c r="AC34" i="13"/>
  <c r="U34" i="13"/>
  <c r="M34" i="13"/>
  <c r="CQ34" i="13"/>
  <c r="AJ34" i="13"/>
  <c r="AB34" i="13"/>
  <c r="T34" i="13"/>
  <c r="L34" i="13"/>
  <c r="CP34" i="13"/>
  <c r="AI34" i="13"/>
  <c r="AA34" i="13"/>
  <c r="K34" i="13"/>
  <c r="S34" i="13"/>
  <c r="CR5" i="13"/>
  <c r="CJ5" i="13"/>
  <c r="CB5" i="13"/>
  <c r="BT5" i="13"/>
  <c r="BL5" i="13"/>
  <c r="BD5" i="13"/>
  <c r="V5" i="13"/>
  <c r="N5" i="13"/>
  <c r="CQ5" i="13"/>
  <c r="CI5" i="13"/>
  <c r="CA5" i="13"/>
  <c r="BS5" i="13"/>
  <c r="BK5" i="13"/>
  <c r="BC5" i="13"/>
  <c r="U5" i="13"/>
  <c r="M5" i="13"/>
  <c r="CP5" i="13"/>
  <c r="CH5" i="13"/>
  <c r="BZ5" i="13"/>
  <c r="BR5" i="13"/>
  <c r="BJ5" i="13"/>
  <c r="BB5" i="13"/>
  <c r="T5" i="13"/>
  <c r="L5" i="13"/>
  <c r="BU5" i="13"/>
  <c r="CO5" i="13"/>
  <c r="CG5" i="13"/>
  <c r="BY5" i="13"/>
  <c r="BQ5" i="13"/>
  <c r="BI5" i="13"/>
  <c r="BA5" i="13"/>
  <c r="S5" i="13"/>
  <c r="K5" i="13"/>
  <c r="CC5" i="13"/>
  <c r="O5" i="13"/>
  <c r="CN5" i="13"/>
  <c r="CF5" i="13"/>
  <c r="BX5" i="13"/>
  <c r="BP5" i="13"/>
  <c r="BH5" i="13"/>
  <c r="R5" i="13"/>
  <c r="J5" i="13"/>
  <c r="CS5" i="13"/>
  <c r="BE5" i="13"/>
  <c r="CM5" i="13"/>
  <c r="CE5" i="13"/>
  <c r="BW5" i="13"/>
  <c r="BO5" i="13"/>
  <c r="BG5" i="13"/>
  <c r="Q5" i="13"/>
  <c r="I5" i="13"/>
  <c r="CK5" i="13"/>
  <c r="BM5" i="13"/>
  <c r="CT5" i="13"/>
  <c r="CL5" i="13"/>
  <c r="CD5" i="13"/>
  <c r="BV5" i="13"/>
  <c r="BN5" i="13"/>
  <c r="BF5" i="13"/>
  <c r="X5" i="13"/>
  <c r="P5" i="13"/>
  <c r="W5" i="13"/>
  <c r="CT29" i="13"/>
  <c r="AV29" i="13"/>
  <c r="AN29" i="13"/>
  <c r="AF29" i="13"/>
  <c r="X29" i="13"/>
  <c r="P29" i="13"/>
  <c r="AU29" i="13"/>
  <c r="AM29" i="13"/>
  <c r="AE29" i="13"/>
  <c r="W29" i="13"/>
  <c r="O29" i="13"/>
  <c r="AT29" i="13"/>
  <c r="AL29" i="13"/>
  <c r="AD29" i="13"/>
  <c r="V29" i="13"/>
  <c r="N29" i="13"/>
  <c r="AS29" i="13"/>
  <c r="AK29" i="13"/>
  <c r="AC29" i="13"/>
  <c r="U29" i="13"/>
  <c r="M29" i="13"/>
  <c r="AR29" i="13"/>
  <c r="AJ29" i="13"/>
  <c r="AB29" i="13"/>
  <c r="T29" i="13"/>
  <c r="L29" i="13"/>
  <c r="AQ29" i="13"/>
  <c r="AI29" i="13"/>
  <c r="AA29" i="13"/>
  <c r="S29" i="13"/>
  <c r="K29" i="13"/>
  <c r="AP29" i="13"/>
  <c r="AH29" i="13"/>
  <c r="Z29" i="13"/>
  <c r="R29" i="13"/>
  <c r="J29" i="13"/>
  <c r="AW29" i="13"/>
  <c r="AO29" i="13"/>
  <c r="AG29" i="13"/>
  <c r="Y29" i="13"/>
  <c r="Q29" i="13"/>
  <c r="I29" i="13"/>
  <c r="CP2" i="13"/>
  <c r="CH2" i="13"/>
  <c r="BZ2" i="13"/>
  <c r="BR2" i="13"/>
  <c r="BJ2" i="13"/>
  <c r="BB2" i="13"/>
  <c r="K2" i="13"/>
  <c r="CO2" i="13"/>
  <c r="CG2" i="13"/>
  <c r="BY2" i="13"/>
  <c r="BQ2" i="13"/>
  <c r="BI2" i="13"/>
  <c r="BA2" i="13"/>
  <c r="R2" i="13"/>
  <c r="J2" i="13"/>
  <c r="CN2" i="13"/>
  <c r="CF2" i="13"/>
  <c r="BX2" i="13"/>
  <c r="BP2" i="13"/>
  <c r="BH2" i="13"/>
  <c r="AZ2" i="13"/>
  <c r="Q2" i="13"/>
  <c r="I2" i="13"/>
  <c r="CA2" i="13"/>
  <c r="CM2" i="13"/>
  <c r="CE2" i="13"/>
  <c r="BW2" i="13"/>
  <c r="BO2" i="13"/>
  <c r="BG2" i="13"/>
  <c r="AY2" i="13"/>
  <c r="P2" i="13"/>
  <c r="CI2" i="13"/>
  <c r="CT2" i="13"/>
  <c r="CL2" i="13"/>
  <c r="CD2" i="13"/>
  <c r="BV2" i="13"/>
  <c r="BN2" i="13"/>
  <c r="BF2" i="13"/>
  <c r="AX2" i="13"/>
  <c r="O2" i="13"/>
  <c r="BC2" i="13"/>
  <c r="CS2" i="13"/>
  <c r="CK2" i="13"/>
  <c r="CC2" i="13"/>
  <c r="BU2" i="13"/>
  <c r="BM2" i="13"/>
  <c r="BE2" i="13"/>
  <c r="AW2" i="13"/>
  <c r="N2" i="13"/>
  <c r="BS2" i="13"/>
  <c r="L2" i="13"/>
  <c r="CR2" i="13"/>
  <c r="CJ2" i="13"/>
  <c r="CB2" i="13"/>
  <c r="BT2" i="13"/>
  <c r="BL2" i="13"/>
  <c r="BD2" i="13"/>
  <c r="M2" i="13"/>
  <c r="CQ2" i="13"/>
  <c r="BK2" i="13"/>
  <c r="CM4" i="13"/>
  <c r="CE4" i="13"/>
  <c r="BW4" i="13"/>
  <c r="BO4" i="13"/>
  <c r="BG4" i="13"/>
  <c r="AY4" i="13"/>
  <c r="AD4" i="13"/>
  <c r="V4" i="13"/>
  <c r="N4" i="13"/>
  <c r="CT4" i="13"/>
  <c r="CL4" i="13"/>
  <c r="CD4" i="13"/>
  <c r="BV4" i="13"/>
  <c r="BN4" i="13"/>
  <c r="BF4" i="13"/>
  <c r="AX4" i="13"/>
  <c r="AC4" i="13"/>
  <c r="U4" i="13"/>
  <c r="M4" i="13"/>
  <c r="CS4" i="13"/>
  <c r="CK4" i="13"/>
  <c r="CC4" i="13"/>
  <c r="BU4" i="13"/>
  <c r="BM4" i="13"/>
  <c r="BE4" i="13"/>
  <c r="AB4" i="13"/>
  <c r="T4" i="13"/>
  <c r="L4" i="13"/>
  <c r="BX4" i="13"/>
  <c r="O4" i="13"/>
  <c r="CR4" i="13"/>
  <c r="CJ4" i="13"/>
  <c r="CB4" i="13"/>
  <c r="BT4" i="13"/>
  <c r="BL4" i="13"/>
  <c r="BD4" i="13"/>
  <c r="AI4" i="13"/>
  <c r="AA4" i="13"/>
  <c r="S4" i="13"/>
  <c r="K4" i="13"/>
  <c r="CN4" i="13"/>
  <c r="BH4" i="13"/>
  <c r="W4" i="13"/>
  <c r="CQ4" i="13"/>
  <c r="CI4" i="13"/>
  <c r="CA4" i="13"/>
  <c r="BS4" i="13"/>
  <c r="BK4" i="13"/>
  <c r="BC4" i="13"/>
  <c r="AH4" i="13"/>
  <c r="Z4" i="13"/>
  <c r="R4" i="13"/>
  <c r="J4" i="13"/>
  <c r="CF4" i="13"/>
  <c r="AZ4" i="13"/>
  <c r="CP4" i="13"/>
  <c r="CH4" i="13"/>
  <c r="BZ4" i="13"/>
  <c r="BR4" i="13"/>
  <c r="BJ4" i="13"/>
  <c r="BB4" i="13"/>
  <c r="AG4" i="13"/>
  <c r="Y4" i="13"/>
  <c r="Q4" i="13"/>
  <c r="I4" i="13"/>
  <c r="BP4" i="13"/>
  <c r="AE4" i="13"/>
  <c r="CO4" i="13"/>
  <c r="CG4" i="13"/>
  <c r="BY4" i="13"/>
  <c r="BQ4" i="13"/>
  <c r="BI4" i="13"/>
  <c r="BA4" i="13"/>
  <c r="AF4" i="13"/>
  <c r="X4" i="13"/>
  <c r="P4" i="13"/>
  <c r="CO28" i="13"/>
  <c r="BD28" i="13"/>
  <c r="AV28" i="13"/>
  <c r="AN28" i="13"/>
  <c r="AF28" i="13"/>
  <c r="X28" i="13"/>
  <c r="P28" i="13"/>
  <c r="CN28" i="13"/>
  <c r="BC28" i="13"/>
  <c r="AU28" i="13"/>
  <c r="AM28" i="13"/>
  <c r="AE28" i="13"/>
  <c r="W28" i="13"/>
  <c r="O28" i="13"/>
  <c r="BB28" i="13"/>
  <c r="AT28" i="13"/>
  <c r="AL28" i="13"/>
  <c r="AD28" i="13"/>
  <c r="V28" i="13"/>
  <c r="N28" i="13"/>
  <c r="CT28" i="13"/>
  <c r="BA28" i="13"/>
  <c r="AS28" i="13"/>
  <c r="AK28" i="13"/>
  <c r="AC28" i="13"/>
  <c r="U28" i="13"/>
  <c r="M28" i="13"/>
  <c r="CS28" i="13"/>
  <c r="BH28" i="13"/>
  <c r="AZ28" i="13"/>
  <c r="AR28" i="13"/>
  <c r="AJ28" i="13"/>
  <c r="AB28" i="13"/>
  <c r="T28" i="13"/>
  <c r="L28" i="13"/>
  <c r="CR28" i="13"/>
  <c r="BG28" i="13"/>
  <c r="AY28" i="13"/>
  <c r="AQ28" i="13"/>
  <c r="AI28" i="13"/>
  <c r="AA28" i="13"/>
  <c r="S28" i="13"/>
  <c r="K28" i="13"/>
  <c r="CQ28" i="13"/>
  <c r="BF28" i="13"/>
  <c r="AX28" i="13"/>
  <c r="AP28" i="13"/>
  <c r="AH28" i="13"/>
  <c r="Z28" i="13"/>
  <c r="R28" i="13"/>
  <c r="J28" i="13"/>
  <c r="AW28" i="13"/>
  <c r="AO28" i="13"/>
  <c r="AG28" i="13"/>
  <c r="BE28" i="13"/>
  <c r="CP28" i="13"/>
  <c r="Y28" i="13"/>
  <c r="Q28" i="13"/>
  <c r="I28" i="13"/>
  <c r="BM36" i="13"/>
  <c r="BE36" i="13"/>
  <c r="AW36" i="13"/>
  <c r="AO36" i="13"/>
  <c r="AG36" i="13"/>
  <c r="Y36" i="13"/>
  <c r="Q36" i="13"/>
  <c r="I36" i="13"/>
  <c r="BL36" i="13"/>
  <c r="BD36" i="13"/>
  <c r="AV36" i="13"/>
  <c r="AN36" i="13"/>
  <c r="AF36" i="13"/>
  <c r="X36" i="13"/>
  <c r="P36" i="13"/>
  <c r="BK36" i="13"/>
  <c r="BC36" i="13"/>
  <c r="AU36" i="13"/>
  <c r="AM36" i="13"/>
  <c r="AE36" i="13"/>
  <c r="W36" i="13"/>
  <c r="O36" i="13"/>
  <c r="BJ36" i="13"/>
  <c r="BB36" i="13"/>
  <c r="AT36" i="13"/>
  <c r="AL36" i="13"/>
  <c r="AD36" i="13"/>
  <c r="V36" i="13"/>
  <c r="N36" i="13"/>
  <c r="BI36" i="13"/>
  <c r="BA36" i="13"/>
  <c r="AS36" i="13"/>
  <c r="AK36" i="13"/>
  <c r="AC36" i="13"/>
  <c r="U36" i="13"/>
  <c r="M36" i="13"/>
  <c r="BH36" i="13"/>
  <c r="AZ36" i="13"/>
  <c r="AR36" i="13"/>
  <c r="AJ36" i="13"/>
  <c r="AB36" i="13"/>
  <c r="T36" i="13"/>
  <c r="L36" i="13"/>
  <c r="BG36" i="13"/>
  <c r="AY36" i="13"/>
  <c r="AQ36" i="13"/>
  <c r="AI36" i="13"/>
  <c r="AA36" i="13"/>
  <c r="S36" i="13"/>
  <c r="K36" i="13"/>
  <c r="Z36" i="13"/>
  <c r="R36" i="13"/>
  <c r="J36" i="13"/>
  <c r="BF36" i="13"/>
  <c r="AX36" i="13"/>
  <c r="AP36" i="13"/>
  <c r="AH36" i="13"/>
  <c r="CW6" i="8"/>
  <c r="CV6" i="8"/>
  <c r="CU6" i="8"/>
  <c r="CT6" i="8"/>
  <c r="G3" i="13"/>
  <c r="H3" i="13"/>
  <c r="H28" i="8"/>
  <c r="G28" i="8" s="1"/>
  <c r="H27" i="13"/>
  <c r="G27" i="13"/>
  <c r="H36" i="8"/>
  <c r="G36" i="8" s="1"/>
  <c r="H35" i="13"/>
  <c r="G35" i="13"/>
  <c r="AW37" i="13"/>
  <c r="AO37" i="13"/>
  <c r="AG37" i="13"/>
  <c r="Y37" i="13"/>
  <c r="Q37" i="13"/>
  <c r="I37" i="13"/>
  <c r="AV37" i="13"/>
  <c r="AN37" i="13"/>
  <c r="AF37" i="13"/>
  <c r="X37" i="13"/>
  <c r="P37" i="13"/>
  <c r="AU37" i="13"/>
  <c r="AM37" i="13"/>
  <c r="AE37" i="13"/>
  <c r="W37" i="13"/>
  <c r="O37" i="13"/>
  <c r="BB37" i="13"/>
  <c r="AT37" i="13"/>
  <c r="AL37" i="13"/>
  <c r="AD37" i="13"/>
  <c r="V37" i="13"/>
  <c r="N37" i="13"/>
  <c r="BA37" i="13"/>
  <c r="AS37" i="13"/>
  <c r="AK37" i="13"/>
  <c r="AC37" i="13"/>
  <c r="U37" i="13"/>
  <c r="M37" i="13"/>
  <c r="AZ37" i="13"/>
  <c r="AR37" i="13"/>
  <c r="AJ37" i="13"/>
  <c r="AB37" i="13"/>
  <c r="T37" i="13"/>
  <c r="L37" i="13"/>
  <c r="AY37" i="13"/>
  <c r="AQ37" i="13"/>
  <c r="AI37" i="13"/>
  <c r="AA37" i="13"/>
  <c r="S37" i="13"/>
  <c r="K37" i="13"/>
  <c r="Z37" i="13"/>
  <c r="R37" i="13"/>
  <c r="J37" i="13"/>
  <c r="AH37" i="13"/>
  <c r="AX37" i="13"/>
  <c r="AP37" i="13"/>
  <c r="CS12" i="13"/>
  <c r="CK12" i="13"/>
  <c r="CC12" i="13"/>
  <c r="CR12" i="13"/>
  <c r="CJ12" i="13"/>
  <c r="CB12" i="13"/>
  <c r="BT12" i="13"/>
  <c r="CO12" i="13"/>
  <c r="CG12" i="13"/>
  <c r="BY12" i="13"/>
  <c r="CN12" i="13"/>
  <c r="CF12" i="13"/>
  <c r="BX12" i="13"/>
  <c r="BP12" i="13"/>
  <c r="BH12" i="13"/>
  <c r="AM12" i="13"/>
  <c r="CM12" i="13"/>
  <c r="CE12" i="13"/>
  <c r="BW12" i="13"/>
  <c r="BO12" i="13"/>
  <c r="BG12" i="13"/>
  <c r="CP12" i="13"/>
  <c r="BU12" i="13"/>
  <c r="BJ12" i="13"/>
  <c r="AJ12" i="13"/>
  <c r="AB12" i="13"/>
  <c r="T12" i="13"/>
  <c r="L12" i="13"/>
  <c r="CL12" i="13"/>
  <c r="BS12" i="13"/>
  <c r="BI12" i="13"/>
  <c r="AI12" i="13"/>
  <c r="AA12" i="13"/>
  <c r="S12" i="13"/>
  <c r="K12" i="13"/>
  <c r="CI12" i="13"/>
  <c r="BR12" i="13"/>
  <c r="BF12" i="13"/>
  <c r="AH12" i="13"/>
  <c r="Z12" i="13"/>
  <c r="R12" i="13"/>
  <c r="J12" i="13"/>
  <c r="BK12" i="13"/>
  <c r="U12" i="13"/>
  <c r="CH12" i="13"/>
  <c r="BQ12" i="13"/>
  <c r="BE12" i="13"/>
  <c r="AG12" i="13"/>
  <c r="Y12" i="13"/>
  <c r="Q12" i="13"/>
  <c r="I12" i="13"/>
  <c r="BV12" i="13"/>
  <c r="M12" i="13"/>
  <c r="CD12" i="13"/>
  <c r="BN12" i="13"/>
  <c r="BD12" i="13"/>
  <c r="AO12" i="13"/>
  <c r="AF12" i="13"/>
  <c r="X12" i="13"/>
  <c r="P12" i="13"/>
  <c r="AK12" i="13"/>
  <c r="CA12" i="13"/>
  <c r="BM12" i="13"/>
  <c r="BC12" i="13"/>
  <c r="AN12" i="13"/>
  <c r="AE12" i="13"/>
  <c r="W12" i="13"/>
  <c r="O12" i="13"/>
  <c r="CQ12" i="13"/>
  <c r="AC12" i="13"/>
  <c r="CT12" i="13"/>
  <c r="BZ12" i="13"/>
  <c r="BL12" i="13"/>
  <c r="BB12" i="13"/>
  <c r="AL12" i="13"/>
  <c r="AD12" i="13"/>
  <c r="V12" i="13"/>
  <c r="N12" i="13"/>
  <c r="H20" i="8"/>
  <c r="G20" i="8" s="1"/>
  <c r="H19" i="13"/>
  <c r="G19" i="13"/>
  <c r="H12" i="8"/>
  <c r="G12" i="8" s="1"/>
  <c r="H11" i="13"/>
  <c r="G11" i="13"/>
  <c r="CS21" i="13"/>
  <c r="CK21" i="13"/>
  <c r="CC21" i="13"/>
  <c r="BU21" i="13"/>
  <c r="BE21" i="13"/>
  <c r="W21" i="13"/>
  <c r="O21" i="13"/>
  <c r="CR21" i="13"/>
  <c r="CJ21" i="13"/>
  <c r="CB21" i="13"/>
  <c r="BT21" i="13"/>
  <c r="BD21" i="13"/>
  <c r="V21" i="13"/>
  <c r="N21" i="13"/>
  <c r="CQ21" i="13"/>
  <c r="CI21" i="13"/>
  <c r="CA21" i="13"/>
  <c r="BS21" i="13"/>
  <c r="U21" i="13"/>
  <c r="M21" i="13"/>
  <c r="CO21" i="13"/>
  <c r="CG21" i="13"/>
  <c r="BY21" i="13"/>
  <c r="AA21" i="13"/>
  <c r="S21" i="13"/>
  <c r="K21" i="13"/>
  <c r="CN21" i="13"/>
  <c r="CF21" i="13"/>
  <c r="BX21" i="13"/>
  <c r="Z21" i="13"/>
  <c r="R21" i="13"/>
  <c r="J21" i="13"/>
  <c r="CM21" i="13"/>
  <c r="CE21" i="13"/>
  <c r="BW21" i="13"/>
  <c r="BG21" i="13"/>
  <c r="Y21" i="13"/>
  <c r="Q21" i="13"/>
  <c r="I21" i="13"/>
  <c r="BR21" i="13"/>
  <c r="L21" i="13"/>
  <c r="CT21" i="13"/>
  <c r="CP21" i="13"/>
  <c r="CL21" i="13"/>
  <c r="BF21" i="13"/>
  <c r="CH21" i="13"/>
  <c r="CD21" i="13"/>
  <c r="X21" i="13"/>
  <c r="P21" i="13"/>
  <c r="BZ21" i="13"/>
  <c r="T21" i="13"/>
  <c r="BV21" i="13"/>
  <c r="CP13" i="13"/>
  <c r="CH13" i="13"/>
  <c r="BZ13" i="13"/>
  <c r="BR13" i="13"/>
  <c r="BJ13" i="13"/>
  <c r="AB13" i="13"/>
  <c r="T13" i="13"/>
  <c r="L13" i="13"/>
  <c r="CO13" i="13"/>
  <c r="CG13" i="13"/>
  <c r="BY13" i="13"/>
  <c r="BQ13" i="13"/>
  <c r="BI13" i="13"/>
  <c r="AA13" i="13"/>
  <c r="S13" i="13"/>
  <c r="K13" i="13"/>
  <c r="CN13" i="13"/>
  <c r="CF13" i="13"/>
  <c r="BX13" i="13"/>
  <c r="BP13" i="13"/>
  <c r="BH13" i="13"/>
  <c r="Z13" i="13"/>
  <c r="R13" i="13"/>
  <c r="J13" i="13"/>
  <c r="CI13" i="13"/>
  <c r="U13" i="13"/>
  <c r="CM13" i="13"/>
  <c r="CE13" i="13"/>
  <c r="BW13" i="13"/>
  <c r="BO13" i="13"/>
  <c r="BG13" i="13"/>
  <c r="Y13" i="13"/>
  <c r="Q13" i="13"/>
  <c r="I13" i="13"/>
  <c r="BS13" i="13"/>
  <c r="CT13" i="13"/>
  <c r="CL13" i="13"/>
  <c r="CD13" i="13"/>
  <c r="BV13" i="13"/>
  <c r="BN13" i="13"/>
  <c r="BF13" i="13"/>
  <c r="X13" i="13"/>
  <c r="P13" i="13"/>
  <c r="AC13" i="13"/>
  <c r="CS13" i="13"/>
  <c r="CK13" i="13"/>
  <c r="CC13" i="13"/>
  <c r="BU13" i="13"/>
  <c r="BM13" i="13"/>
  <c r="BE13" i="13"/>
  <c r="W13" i="13"/>
  <c r="O13" i="13"/>
  <c r="CA13" i="13"/>
  <c r="M13" i="13"/>
  <c r="CR13" i="13"/>
  <c r="CJ13" i="13"/>
  <c r="CB13" i="13"/>
  <c r="BT13" i="13"/>
  <c r="BL13" i="13"/>
  <c r="AD13" i="13"/>
  <c r="V13" i="13"/>
  <c r="N13" i="13"/>
  <c r="CQ13" i="13"/>
  <c r="BK13" i="13"/>
  <c r="I21" i="5"/>
  <c r="BL43" i="14"/>
  <c r="BL37" i="14"/>
  <c r="BL27" i="14"/>
  <c r="BL35" i="14"/>
  <c r="BL3" i="14"/>
  <c r="BM2" i="14"/>
  <c r="BL21" i="14"/>
  <c r="BL5" i="14"/>
  <c r="BL11" i="14"/>
  <c r="BL19" i="14"/>
  <c r="BL29" i="14"/>
  <c r="I27" i="5"/>
  <c r="I13" i="12"/>
  <c r="J13" i="12"/>
  <c r="K13" i="12"/>
  <c r="L13" i="12"/>
  <c r="M13" i="12"/>
  <c r="P34" i="11"/>
  <c r="S34" i="11"/>
  <c r="K34" i="11"/>
  <c r="U34" i="11"/>
  <c r="O34" i="11"/>
  <c r="R34" i="11"/>
  <c r="J34" i="11"/>
  <c r="T34" i="11"/>
  <c r="M34" i="11"/>
  <c r="L34" i="11"/>
  <c r="Q34" i="11"/>
  <c r="N34" i="11"/>
  <c r="CA34" i="11"/>
  <c r="CI34" i="11"/>
  <c r="CQ34" i="11"/>
  <c r="CY34" i="11"/>
  <c r="DG34" i="11"/>
  <c r="DO34" i="11"/>
  <c r="DW34" i="11"/>
  <c r="EE34" i="11"/>
  <c r="CB34" i="11"/>
  <c r="CJ34" i="11"/>
  <c r="CR34" i="11"/>
  <c r="CZ34" i="11"/>
  <c r="DH34" i="11"/>
  <c r="DP34" i="11"/>
  <c r="DX34" i="11"/>
  <c r="EF34" i="11"/>
  <c r="CC34" i="11"/>
  <c r="CK34" i="11"/>
  <c r="CS34" i="11"/>
  <c r="DA34" i="11"/>
  <c r="DI34" i="11"/>
  <c r="DQ34" i="11"/>
  <c r="DY34" i="11"/>
  <c r="EG34" i="11"/>
  <c r="CD34" i="11"/>
  <c r="CL34" i="11"/>
  <c r="CT34" i="11"/>
  <c r="DB34" i="11"/>
  <c r="DJ34" i="11"/>
  <c r="DR34" i="11"/>
  <c r="DZ34" i="11"/>
  <c r="EH34" i="11"/>
  <c r="CE34" i="11"/>
  <c r="CM34" i="11"/>
  <c r="CU34" i="11"/>
  <c r="DC34" i="11"/>
  <c r="DK34" i="11"/>
  <c r="DS34" i="11"/>
  <c r="EA34" i="11"/>
  <c r="EI34" i="11"/>
  <c r="CF34" i="11"/>
  <c r="CN34" i="11"/>
  <c r="CV34" i="11"/>
  <c r="DD34" i="11"/>
  <c r="DL34" i="11"/>
  <c r="DT34" i="11"/>
  <c r="EB34" i="11"/>
  <c r="EJ34" i="11"/>
  <c r="CG34" i="11"/>
  <c r="CO34" i="11"/>
  <c r="CW34" i="11"/>
  <c r="DE34" i="11"/>
  <c r="DM34" i="11"/>
  <c r="DU34" i="11"/>
  <c r="EC34" i="11"/>
  <c r="EK34" i="11"/>
  <c r="DN34" i="11"/>
  <c r="DV34" i="11"/>
  <c r="ED34" i="11"/>
  <c r="EL34" i="11"/>
  <c r="CH34" i="11"/>
  <c r="CP34" i="11"/>
  <c r="CX34" i="11"/>
  <c r="DF34" i="11"/>
  <c r="M58" i="11"/>
  <c r="U58" i="11"/>
  <c r="T58" i="11"/>
  <c r="N58" i="11"/>
  <c r="V58" i="11"/>
  <c r="O58" i="11"/>
  <c r="P58" i="11"/>
  <c r="Q58" i="11"/>
  <c r="J58" i="11"/>
  <c r="R58" i="11"/>
  <c r="K58" i="11"/>
  <c r="S58" i="11"/>
  <c r="L58" i="11"/>
  <c r="AC58" i="11"/>
  <c r="AK58" i="11"/>
  <c r="CS58" i="11"/>
  <c r="DA58" i="11"/>
  <c r="DI58" i="11"/>
  <c r="DQ58" i="11"/>
  <c r="DY58" i="11"/>
  <c r="EG58" i="11"/>
  <c r="AD58" i="11"/>
  <c r="CT58" i="11"/>
  <c r="DB58" i="11"/>
  <c r="DJ58" i="11"/>
  <c r="DR58" i="11"/>
  <c r="DZ58" i="11"/>
  <c r="EH58" i="11"/>
  <c r="W58" i="11"/>
  <c r="AE58" i="11"/>
  <c r="CM58" i="11"/>
  <c r="CU58" i="11"/>
  <c r="DC58" i="11"/>
  <c r="DK58" i="11"/>
  <c r="DS58" i="11"/>
  <c r="EA58" i="11"/>
  <c r="EI58" i="11"/>
  <c r="Y58" i="11"/>
  <c r="AG58" i="11"/>
  <c r="CO58" i="11"/>
  <c r="CW58" i="11"/>
  <c r="DE58" i="11"/>
  <c r="DM58" i="11"/>
  <c r="DU58" i="11"/>
  <c r="EC58" i="11"/>
  <c r="EK58" i="11"/>
  <c r="Z58" i="11"/>
  <c r="AH58" i="11"/>
  <c r="CP58" i="11"/>
  <c r="CX58" i="11"/>
  <c r="DF58" i="11"/>
  <c r="DN58" i="11"/>
  <c r="DV58" i="11"/>
  <c r="ED58" i="11"/>
  <c r="EL58" i="11"/>
  <c r="AI58" i="11"/>
  <c r="CV58" i="11"/>
  <c r="DP58" i="11"/>
  <c r="AJ58" i="11"/>
  <c r="CY58" i="11"/>
  <c r="DT58" i="11"/>
  <c r="CZ58" i="11"/>
  <c r="DW58" i="11"/>
  <c r="DD58" i="11"/>
  <c r="DX58" i="11"/>
  <c r="X58" i="11"/>
  <c r="DG58" i="11"/>
  <c r="EB58" i="11"/>
  <c r="AA58" i="11"/>
  <c r="CN58" i="11"/>
  <c r="DH58" i="11"/>
  <c r="EE58" i="11"/>
  <c r="AB58" i="11"/>
  <c r="CQ58" i="11"/>
  <c r="DL58" i="11"/>
  <c r="EF58" i="11"/>
  <c r="AF58" i="11"/>
  <c r="CR58" i="11"/>
  <c r="DO58" i="11"/>
  <c r="EJ58" i="11"/>
  <c r="L67" i="5"/>
  <c r="M67" i="5"/>
  <c r="M42" i="11"/>
  <c r="L42" i="11"/>
  <c r="N42" i="11"/>
  <c r="O42" i="11"/>
  <c r="P42" i="11"/>
  <c r="Q42" i="11"/>
  <c r="J42" i="11"/>
  <c r="R42" i="11"/>
  <c r="K42" i="11"/>
  <c r="S42" i="11"/>
  <c r="CT42" i="11"/>
  <c r="DB42" i="11"/>
  <c r="DJ42" i="11"/>
  <c r="DR42" i="11"/>
  <c r="DZ42" i="11"/>
  <c r="EH42" i="11"/>
  <c r="CM42" i="11"/>
  <c r="CU42" i="11"/>
  <c r="DC42" i="11"/>
  <c r="DK42" i="11"/>
  <c r="DS42" i="11"/>
  <c r="EA42" i="11"/>
  <c r="EI42" i="11"/>
  <c r="CN42" i="11"/>
  <c r="CV42" i="11"/>
  <c r="DD42" i="11"/>
  <c r="DL42" i="11"/>
  <c r="DT42" i="11"/>
  <c r="EB42" i="11"/>
  <c r="EJ42" i="11"/>
  <c r="CO42" i="11"/>
  <c r="CW42" i="11"/>
  <c r="DE42" i="11"/>
  <c r="DM42" i="11"/>
  <c r="DU42" i="11"/>
  <c r="EC42" i="11"/>
  <c r="EK42" i="11"/>
  <c r="CP42" i="11"/>
  <c r="CX42" i="11"/>
  <c r="DF42" i="11"/>
  <c r="DN42" i="11"/>
  <c r="DV42" i="11"/>
  <c r="ED42" i="11"/>
  <c r="EL42" i="11"/>
  <c r="CR42" i="11"/>
  <c r="DO42" i="11"/>
  <c r="EG42" i="11"/>
  <c r="CS42" i="11"/>
  <c r="DP42" i="11"/>
  <c r="CY42" i="11"/>
  <c r="DQ42" i="11"/>
  <c r="CZ42" i="11"/>
  <c r="DW42" i="11"/>
  <c r="DA42" i="11"/>
  <c r="DX42" i="11"/>
  <c r="DG42" i="11"/>
  <c r="DY42" i="11"/>
  <c r="DH42" i="11"/>
  <c r="EE42" i="11"/>
  <c r="CQ42" i="11"/>
  <c r="DI42" i="11"/>
  <c r="EF42" i="11"/>
  <c r="I70" i="5"/>
  <c r="M36" i="11"/>
  <c r="N36" i="11"/>
  <c r="K36" i="11"/>
  <c r="O36" i="11"/>
  <c r="S36" i="11"/>
  <c r="Q36" i="11"/>
  <c r="P36" i="11"/>
  <c r="U36" i="11"/>
  <c r="R36" i="11"/>
  <c r="T36" i="11"/>
  <c r="J36" i="11"/>
  <c r="V36" i="11"/>
  <c r="W36" i="11"/>
  <c r="AE36" i="11"/>
  <c r="AM36" i="11"/>
  <c r="AU36" i="11"/>
  <c r="BC36" i="11"/>
  <c r="CL36" i="11"/>
  <c r="CT36" i="11"/>
  <c r="DB36" i="11"/>
  <c r="DJ36" i="11"/>
  <c r="DR36" i="11"/>
  <c r="DZ36" i="11"/>
  <c r="EH36" i="11"/>
  <c r="X36" i="11"/>
  <c r="AF36" i="11"/>
  <c r="AN36" i="11"/>
  <c r="AV36" i="11"/>
  <c r="BD36" i="11"/>
  <c r="CM36" i="11"/>
  <c r="CU36" i="11"/>
  <c r="DC36" i="11"/>
  <c r="DK36" i="11"/>
  <c r="DS36" i="11"/>
  <c r="EA36" i="11"/>
  <c r="EI36" i="11"/>
  <c r="Y36" i="11"/>
  <c r="AG36" i="11"/>
  <c r="AO36" i="11"/>
  <c r="AW36" i="11"/>
  <c r="BE36" i="11"/>
  <c r="CN36" i="11"/>
  <c r="CV36" i="11"/>
  <c r="DD36" i="11"/>
  <c r="DL36" i="11"/>
  <c r="DT36" i="11"/>
  <c r="EB36" i="11"/>
  <c r="EJ36" i="11"/>
  <c r="Z36" i="11"/>
  <c r="AH36" i="11"/>
  <c r="AP36" i="11"/>
  <c r="AX36" i="11"/>
  <c r="BF36" i="11"/>
  <c r="CO36" i="11"/>
  <c r="CW36" i="11"/>
  <c r="DE36" i="11"/>
  <c r="DM36" i="11"/>
  <c r="DU36" i="11"/>
  <c r="EC36" i="11"/>
  <c r="EK36" i="11"/>
  <c r="AA36" i="11"/>
  <c r="AI36" i="11"/>
  <c r="AQ36" i="11"/>
  <c r="AY36" i="11"/>
  <c r="CP36" i="11"/>
  <c r="CX36" i="11"/>
  <c r="DF36" i="11"/>
  <c r="DN36" i="11"/>
  <c r="DV36" i="11"/>
  <c r="ED36" i="11"/>
  <c r="EL36" i="11"/>
  <c r="AB36" i="11"/>
  <c r="AJ36" i="11"/>
  <c r="AR36" i="11"/>
  <c r="AZ36" i="11"/>
  <c r="CI36" i="11"/>
  <c r="CQ36" i="11"/>
  <c r="CY36" i="11"/>
  <c r="DG36" i="11"/>
  <c r="DO36" i="11"/>
  <c r="DW36" i="11"/>
  <c r="EE36" i="11"/>
  <c r="L36" i="11"/>
  <c r="AC36" i="11"/>
  <c r="AK36" i="11"/>
  <c r="AS36" i="11"/>
  <c r="BA36" i="11"/>
  <c r="CJ36" i="11"/>
  <c r="CR36" i="11"/>
  <c r="CZ36" i="11"/>
  <c r="DH36" i="11"/>
  <c r="DP36" i="11"/>
  <c r="DX36" i="11"/>
  <c r="EF36" i="11"/>
  <c r="CK36" i="11"/>
  <c r="CS36" i="11"/>
  <c r="DA36" i="11"/>
  <c r="AD36" i="11"/>
  <c r="DI36" i="11"/>
  <c r="AL36" i="11"/>
  <c r="DQ36" i="11"/>
  <c r="AT36" i="11"/>
  <c r="DY36" i="11"/>
  <c r="BB36" i="11"/>
  <c r="EG36" i="11"/>
  <c r="J26" i="12"/>
  <c r="I26" i="12"/>
  <c r="M59" i="5"/>
  <c r="L59" i="5"/>
  <c r="I27" i="11"/>
  <c r="G27" i="12"/>
  <c r="G27" i="11"/>
  <c r="H28" i="5"/>
  <c r="Q66" i="11"/>
  <c r="J66" i="11"/>
  <c r="R66" i="11"/>
  <c r="K66" i="11"/>
  <c r="S66" i="11"/>
  <c r="L66" i="11"/>
  <c r="T66" i="11"/>
  <c r="M66" i="11"/>
  <c r="U66" i="11"/>
  <c r="N66" i="11"/>
  <c r="V66" i="11"/>
  <c r="O66" i="11"/>
  <c r="P66" i="11"/>
  <c r="Y66" i="11"/>
  <c r="AG66" i="11"/>
  <c r="AO66" i="11"/>
  <c r="CS66" i="11"/>
  <c r="DA66" i="11"/>
  <c r="DI66" i="11"/>
  <c r="DQ66" i="11"/>
  <c r="Z66" i="11"/>
  <c r="AH66" i="11"/>
  <c r="AP66" i="11"/>
  <c r="CT66" i="11"/>
  <c r="DB66" i="11"/>
  <c r="DJ66" i="11"/>
  <c r="DR66" i="11"/>
  <c r="DZ66" i="11"/>
  <c r="EH66" i="11"/>
  <c r="AA66" i="11"/>
  <c r="AI66" i="11"/>
  <c r="CM66" i="11"/>
  <c r="CU66" i="11"/>
  <c r="DC66" i="11"/>
  <c r="DK66" i="11"/>
  <c r="DS66" i="11"/>
  <c r="EA66" i="11"/>
  <c r="EI66" i="11"/>
  <c r="AB66" i="11"/>
  <c r="AJ66" i="11"/>
  <c r="CN66" i="11"/>
  <c r="CV66" i="11"/>
  <c r="DD66" i="11"/>
  <c r="DL66" i="11"/>
  <c r="DT66" i="11"/>
  <c r="EB66" i="11"/>
  <c r="EJ66" i="11"/>
  <c r="AC66" i="11"/>
  <c r="AK66" i="11"/>
  <c r="CO66" i="11"/>
  <c r="CW66" i="11"/>
  <c r="DE66" i="11"/>
  <c r="DM66" i="11"/>
  <c r="AD66" i="11"/>
  <c r="AL66" i="11"/>
  <c r="CP66" i="11"/>
  <c r="CX66" i="11"/>
  <c r="DF66" i="11"/>
  <c r="DN66" i="11"/>
  <c r="DV66" i="11"/>
  <c r="ED66" i="11"/>
  <c r="EL66" i="11"/>
  <c r="W66" i="11"/>
  <c r="AE66" i="11"/>
  <c r="AM66" i="11"/>
  <c r="CQ66" i="11"/>
  <c r="CY66" i="11"/>
  <c r="DG66" i="11"/>
  <c r="DO66" i="11"/>
  <c r="DW66" i="11"/>
  <c r="EE66" i="11"/>
  <c r="AF66" i="11"/>
  <c r="DX66" i="11"/>
  <c r="AN66" i="11"/>
  <c r="DY66" i="11"/>
  <c r="EC66" i="11"/>
  <c r="CR66" i="11"/>
  <c r="EF66" i="11"/>
  <c r="CZ66" i="11"/>
  <c r="EG66" i="11"/>
  <c r="DH66" i="11"/>
  <c r="EK66" i="11"/>
  <c r="DP66" i="11"/>
  <c r="DU66" i="11"/>
  <c r="X66" i="11"/>
  <c r="AK11" i="5"/>
  <c r="AL11" i="5"/>
  <c r="AM11" i="5"/>
  <c r="AN11" i="5"/>
  <c r="AO11" i="5"/>
  <c r="AP11" i="5"/>
  <c r="AQ11" i="5"/>
  <c r="AS11" i="5"/>
  <c r="O45" i="11"/>
  <c r="P45" i="11"/>
  <c r="Q45" i="11"/>
  <c r="V45" i="11"/>
  <c r="J45" i="11"/>
  <c r="R45" i="11"/>
  <c r="K45" i="11"/>
  <c r="S45" i="11"/>
  <c r="L45" i="11"/>
  <c r="T45" i="11"/>
  <c r="M45" i="11"/>
  <c r="U45" i="11"/>
  <c r="N45" i="11"/>
  <c r="W45" i="11"/>
  <c r="AE45" i="11"/>
  <c r="AM45" i="11"/>
  <c r="AU45" i="11"/>
  <c r="BC45" i="11"/>
  <c r="DI45" i="11"/>
  <c r="DQ45" i="11"/>
  <c r="DY45" i="11"/>
  <c r="EG45" i="11"/>
  <c r="X45" i="11"/>
  <c r="AF45" i="11"/>
  <c r="AN45" i="11"/>
  <c r="AV45" i="11"/>
  <c r="BD45" i="11"/>
  <c r="DJ45" i="11"/>
  <c r="DR45" i="11"/>
  <c r="DZ45" i="11"/>
  <c r="EH45" i="11"/>
  <c r="Y45" i="11"/>
  <c r="AG45" i="11"/>
  <c r="AO45" i="11"/>
  <c r="AW45" i="11"/>
  <c r="BE45" i="11"/>
  <c r="DK45" i="11"/>
  <c r="DS45" i="11"/>
  <c r="EA45" i="11"/>
  <c r="EI45" i="11"/>
  <c r="Z45" i="11"/>
  <c r="AH45" i="11"/>
  <c r="AP45" i="11"/>
  <c r="AX45" i="11"/>
  <c r="DD45" i="11"/>
  <c r="DL45" i="11"/>
  <c r="DT45" i="11"/>
  <c r="EB45" i="11"/>
  <c r="EJ45" i="11"/>
  <c r="AA45" i="11"/>
  <c r="AI45" i="11"/>
  <c r="AQ45" i="11"/>
  <c r="AY45" i="11"/>
  <c r="DE45" i="11"/>
  <c r="DM45" i="11"/>
  <c r="DU45" i="11"/>
  <c r="EC45" i="11"/>
  <c r="EK45" i="11"/>
  <c r="AR45" i="11"/>
  <c r="DH45" i="11"/>
  <c r="EE45" i="11"/>
  <c r="AS45" i="11"/>
  <c r="DN45" i="11"/>
  <c r="EF45" i="11"/>
  <c r="AB45" i="11"/>
  <c r="AT45" i="11"/>
  <c r="DO45" i="11"/>
  <c r="EL45" i="11"/>
  <c r="AC45" i="11"/>
  <c r="AZ45" i="11"/>
  <c r="DP45" i="11"/>
  <c r="AD45" i="11"/>
  <c r="BA45" i="11"/>
  <c r="DV45" i="11"/>
  <c r="AJ45" i="11"/>
  <c r="BB45" i="11"/>
  <c r="DW45" i="11"/>
  <c r="AK45" i="11"/>
  <c r="DF45" i="11"/>
  <c r="DX45" i="11"/>
  <c r="DG45" i="11"/>
  <c r="ED45" i="11"/>
  <c r="AL45" i="11"/>
  <c r="J26" i="11"/>
  <c r="K26" i="11"/>
  <c r="L26" i="11"/>
  <c r="BA26" i="11"/>
  <c r="BI26" i="11"/>
  <c r="BQ26" i="11"/>
  <c r="BY26" i="11"/>
  <c r="CG26" i="11"/>
  <c r="BB26" i="11"/>
  <c r="BJ26" i="11"/>
  <c r="BR26" i="11"/>
  <c r="BZ26" i="11"/>
  <c r="CH26" i="11"/>
  <c r="CP26" i="11"/>
  <c r="CX26" i="11"/>
  <c r="BC26" i="11"/>
  <c r="BK26" i="11"/>
  <c r="BS26" i="11"/>
  <c r="CA26" i="11"/>
  <c r="CI26" i="11"/>
  <c r="CQ26" i="11"/>
  <c r="CY26" i="11"/>
  <c r="DG26" i="11"/>
  <c r="DO26" i="11"/>
  <c r="DW26" i="11"/>
  <c r="EE26" i="11"/>
  <c r="BD26" i="11"/>
  <c r="BL26" i="11"/>
  <c r="BT26" i="11"/>
  <c r="BE26" i="11"/>
  <c r="BM26" i="11"/>
  <c r="BU26" i="11"/>
  <c r="CC26" i="11"/>
  <c r="CK26" i="11"/>
  <c r="CS26" i="11"/>
  <c r="DA26" i="11"/>
  <c r="DI26" i="11"/>
  <c r="DQ26" i="11"/>
  <c r="DY26" i="11"/>
  <c r="EG26" i="11"/>
  <c r="AX26" i="11"/>
  <c r="BF26" i="11"/>
  <c r="BN26" i="11"/>
  <c r="BV26" i="11"/>
  <c r="CD26" i="11"/>
  <c r="AY26" i="11"/>
  <c r="BG26" i="11"/>
  <c r="BO26" i="11"/>
  <c r="BW26" i="11"/>
  <c r="CE26" i="11"/>
  <c r="CM26" i="11"/>
  <c r="CU26" i="11"/>
  <c r="DC26" i="11"/>
  <c r="DK26" i="11"/>
  <c r="DS26" i="11"/>
  <c r="EA26" i="11"/>
  <c r="EI26" i="11"/>
  <c r="CF26" i="11"/>
  <c r="CW26" i="11"/>
  <c r="DL26" i="11"/>
  <c r="DX26" i="11"/>
  <c r="EK26" i="11"/>
  <c r="CJ26" i="11"/>
  <c r="CZ26" i="11"/>
  <c r="DM26" i="11"/>
  <c r="DZ26" i="11"/>
  <c r="EL26" i="11"/>
  <c r="CL26" i="11"/>
  <c r="DB26" i="11"/>
  <c r="DN26" i="11"/>
  <c r="EB26" i="11"/>
  <c r="AZ26" i="11"/>
  <c r="CN26" i="11"/>
  <c r="DD26" i="11"/>
  <c r="DP26" i="11"/>
  <c r="EC26" i="11"/>
  <c r="BH26" i="11"/>
  <c r="CO26" i="11"/>
  <c r="DE26" i="11"/>
  <c r="DR26" i="11"/>
  <c r="ED26" i="11"/>
  <c r="BP26" i="11"/>
  <c r="CR26" i="11"/>
  <c r="DF26" i="11"/>
  <c r="DT26" i="11"/>
  <c r="EF26" i="11"/>
  <c r="BX26" i="11"/>
  <c r="CT26" i="11"/>
  <c r="DH26" i="11"/>
  <c r="DU26" i="11"/>
  <c r="EH26" i="11"/>
  <c r="EJ26" i="11"/>
  <c r="CB26" i="11"/>
  <c r="CV26" i="11"/>
  <c r="DJ26" i="11"/>
  <c r="DV26" i="11"/>
  <c r="I30" i="5"/>
  <c r="T20" i="11"/>
  <c r="U20" i="11"/>
  <c r="V20" i="11"/>
  <c r="N20" i="11"/>
  <c r="P20" i="11"/>
  <c r="J20" i="11"/>
  <c r="R20" i="11"/>
  <c r="M20" i="11"/>
  <c r="Q20" i="11"/>
  <c r="S20" i="11"/>
  <c r="L20" i="11"/>
  <c r="O20" i="11"/>
  <c r="K20" i="11"/>
  <c r="X20" i="11"/>
  <c r="BA20" i="11"/>
  <c r="BI20" i="11"/>
  <c r="BQ20" i="11"/>
  <c r="BY20" i="11"/>
  <c r="CG20" i="11"/>
  <c r="CO20" i="11"/>
  <c r="CW20" i="11"/>
  <c r="DE20" i="11"/>
  <c r="DM20" i="11"/>
  <c r="DU20" i="11"/>
  <c r="EC20" i="11"/>
  <c r="EK20" i="11"/>
  <c r="Y20" i="11"/>
  <c r="BB20" i="11"/>
  <c r="BJ20" i="11"/>
  <c r="BR20" i="11"/>
  <c r="BZ20" i="11"/>
  <c r="CH20" i="11"/>
  <c r="CP20" i="11"/>
  <c r="CX20" i="11"/>
  <c r="DF20" i="11"/>
  <c r="DN20" i="11"/>
  <c r="DV20" i="11"/>
  <c r="ED20" i="11"/>
  <c r="EL20" i="11"/>
  <c r="Z20" i="11"/>
  <c r="BC20" i="11"/>
  <c r="BK20" i="11"/>
  <c r="BS20" i="11"/>
  <c r="CA20" i="11"/>
  <c r="CI20" i="11"/>
  <c r="CQ20" i="11"/>
  <c r="CY20" i="11"/>
  <c r="DG20" i="11"/>
  <c r="DO20" i="11"/>
  <c r="DW20" i="11"/>
  <c r="EE20" i="11"/>
  <c r="AA20" i="11"/>
  <c r="BD20" i="11"/>
  <c r="BL20" i="11"/>
  <c r="BT20" i="11"/>
  <c r="CB20" i="11"/>
  <c r="CJ20" i="11"/>
  <c r="CR20" i="11"/>
  <c r="CZ20" i="11"/>
  <c r="DH20" i="11"/>
  <c r="DP20" i="11"/>
  <c r="DX20" i="11"/>
  <c r="EF20" i="11"/>
  <c r="BE20" i="11"/>
  <c r="BM20" i="11"/>
  <c r="BU20" i="11"/>
  <c r="CC20" i="11"/>
  <c r="CK20" i="11"/>
  <c r="CS20" i="11"/>
  <c r="DA20" i="11"/>
  <c r="DI20" i="11"/>
  <c r="DQ20" i="11"/>
  <c r="DY20" i="11"/>
  <c r="EG20" i="11"/>
  <c r="BF20" i="11"/>
  <c r="BN20" i="11"/>
  <c r="BV20" i="11"/>
  <c r="CD20" i="11"/>
  <c r="CL20" i="11"/>
  <c r="CT20" i="11"/>
  <c r="DB20" i="11"/>
  <c r="DJ20" i="11"/>
  <c r="DR20" i="11"/>
  <c r="DZ20" i="11"/>
  <c r="EH20" i="11"/>
  <c r="BG20" i="11"/>
  <c r="BO20" i="11"/>
  <c r="BW20" i="11"/>
  <c r="CE20" i="11"/>
  <c r="CM20" i="11"/>
  <c r="CU20" i="11"/>
  <c r="DC20" i="11"/>
  <c r="DK20" i="11"/>
  <c r="DS20" i="11"/>
  <c r="EA20" i="11"/>
  <c r="EI20" i="11"/>
  <c r="BX20" i="11"/>
  <c r="EJ20" i="11"/>
  <c r="CF20" i="11"/>
  <c r="BH20" i="11"/>
  <c r="DT20" i="11"/>
  <c r="CN20" i="11"/>
  <c r="CV20" i="11"/>
  <c r="W20" i="11"/>
  <c r="DD20" i="11"/>
  <c r="DL20" i="11"/>
  <c r="BP20" i="11"/>
  <c r="EB20" i="11"/>
  <c r="U28" i="11"/>
  <c r="V28" i="11"/>
  <c r="T28" i="11"/>
  <c r="N28" i="11"/>
  <c r="J28" i="11"/>
  <c r="R28" i="11"/>
  <c r="M28" i="11"/>
  <c r="O28" i="11"/>
  <c r="Q28" i="11"/>
  <c r="L28" i="11"/>
  <c r="P28" i="11"/>
  <c r="S28" i="11"/>
  <c r="K28" i="11"/>
  <c r="W28" i="11"/>
  <c r="BC28" i="11"/>
  <c r="BK28" i="11"/>
  <c r="BS28" i="11"/>
  <c r="CA28" i="11"/>
  <c r="CI28" i="11"/>
  <c r="CQ28" i="11"/>
  <c r="CY28" i="11"/>
  <c r="DG28" i="11"/>
  <c r="DO28" i="11"/>
  <c r="DW28" i="11"/>
  <c r="EE28" i="11"/>
  <c r="Y28" i="11"/>
  <c r="BE28" i="11"/>
  <c r="BM28" i="11"/>
  <c r="BU28" i="11"/>
  <c r="CC28" i="11"/>
  <c r="CK28" i="11"/>
  <c r="CS28" i="11"/>
  <c r="DA28" i="11"/>
  <c r="DI28" i="11"/>
  <c r="DQ28" i="11"/>
  <c r="DY28" i="11"/>
  <c r="EG28" i="11"/>
  <c r="AA28" i="11"/>
  <c r="BG28" i="11"/>
  <c r="BO28" i="11"/>
  <c r="BW28" i="11"/>
  <c r="CE28" i="11"/>
  <c r="CM28" i="11"/>
  <c r="CU28" i="11"/>
  <c r="DC28" i="11"/>
  <c r="DK28" i="11"/>
  <c r="DS28" i="11"/>
  <c r="EA28" i="11"/>
  <c r="EI28" i="11"/>
  <c r="BF28" i="11"/>
  <c r="BR28" i="11"/>
  <c r="CF28" i="11"/>
  <c r="CR28" i="11"/>
  <c r="DE28" i="11"/>
  <c r="DR28" i="11"/>
  <c r="ED28" i="11"/>
  <c r="BH28" i="11"/>
  <c r="BT28" i="11"/>
  <c r="CG28" i="11"/>
  <c r="CT28" i="11"/>
  <c r="DF28" i="11"/>
  <c r="DT28" i="11"/>
  <c r="EF28" i="11"/>
  <c r="X28" i="11"/>
  <c r="BI28" i="11"/>
  <c r="BV28" i="11"/>
  <c r="CH28" i="11"/>
  <c r="CV28" i="11"/>
  <c r="DH28" i="11"/>
  <c r="DU28" i="11"/>
  <c r="EH28" i="11"/>
  <c r="Z28" i="11"/>
  <c r="BJ28" i="11"/>
  <c r="BX28" i="11"/>
  <c r="CJ28" i="11"/>
  <c r="CW28" i="11"/>
  <c r="DJ28" i="11"/>
  <c r="DV28" i="11"/>
  <c r="EJ28" i="11"/>
  <c r="AB28" i="11"/>
  <c r="BL28" i="11"/>
  <c r="BY28" i="11"/>
  <c r="CL28" i="11"/>
  <c r="CX28" i="11"/>
  <c r="DL28" i="11"/>
  <c r="DX28" i="11"/>
  <c r="EK28" i="11"/>
  <c r="BA28" i="11"/>
  <c r="BN28" i="11"/>
  <c r="BZ28" i="11"/>
  <c r="CN28" i="11"/>
  <c r="CZ28" i="11"/>
  <c r="DM28" i="11"/>
  <c r="DZ28" i="11"/>
  <c r="EL28" i="11"/>
  <c r="BP28" i="11"/>
  <c r="CB28" i="11"/>
  <c r="CO28" i="11"/>
  <c r="DB28" i="11"/>
  <c r="DN28" i="11"/>
  <c r="EB28" i="11"/>
  <c r="BD28" i="11"/>
  <c r="BQ28" i="11"/>
  <c r="EC28" i="11"/>
  <c r="CD28" i="11"/>
  <c r="CP28" i="11"/>
  <c r="DD28" i="11"/>
  <c r="DP28" i="11"/>
  <c r="K53" i="11"/>
  <c r="S53" i="11"/>
  <c r="J53" i="11"/>
  <c r="L53" i="11"/>
  <c r="T53" i="11"/>
  <c r="M53" i="11"/>
  <c r="U53" i="11"/>
  <c r="N53" i="11"/>
  <c r="V53" i="11"/>
  <c r="O53" i="11"/>
  <c r="R53" i="11"/>
  <c r="P53" i="11"/>
  <c r="Q53" i="11"/>
  <c r="AC53" i="11"/>
  <c r="AK53" i="11"/>
  <c r="AS53" i="11"/>
  <c r="BA53" i="11"/>
  <c r="BI53" i="11"/>
  <c r="DH53" i="11"/>
  <c r="DP53" i="11"/>
  <c r="DX53" i="11"/>
  <c r="EF53" i="11"/>
  <c r="AD53" i="11"/>
  <c r="AL53" i="11"/>
  <c r="AT53" i="11"/>
  <c r="BB53" i="11"/>
  <c r="BJ53" i="11"/>
  <c r="DI53" i="11"/>
  <c r="DQ53" i="11"/>
  <c r="DY53" i="11"/>
  <c r="EG53" i="11"/>
  <c r="W53" i="11"/>
  <c r="AE53" i="11"/>
  <c r="AM53" i="11"/>
  <c r="AU53" i="11"/>
  <c r="BC53" i="11"/>
  <c r="BK53" i="11"/>
  <c r="DJ53" i="11"/>
  <c r="DR53" i="11"/>
  <c r="DZ53" i="11"/>
  <c r="EH53" i="11"/>
  <c r="X53" i="11"/>
  <c r="AF53" i="11"/>
  <c r="AN53" i="11"/>
  <c r="AV53" i="11"/>
  <c r="BD53" i="11"/>
  <c r="BL53" i="11"/>
  <c r="DK53" i="11"/>
  <c r="DS53" i="11"/>
  <c r="EA53" i="11"/>
  <c r="EI53" i="11"/>
  <c r="Y53" i="11"/>
  <c r="AG53" i="11"/>
  <c r="AO53" i="11"/>
  <c r="AW53" i="11"/>
  <c r="BE53" i="11"/>
  <c r="BM53" i="11"/>
  <c r="DL53" i="11"/>
  <c r="DT53" i="11"/>
  <c r="EB53" i="11"/>
  <c r="EJ53" i="11"/>
  <c r="Z53" i="11"/>
  <c r="AR53" i="11"/>
  <c r="BO53" i="11"/>
  <c r="EC53" i="11"/>
  <c r="AA53" i="11"/>
  <c r="AX53" i="11"/>
  <c r="DG53" i="11"/>
  <c r="ED53" i="11"/>
  <c r="AB53" i="11"/>
  <c r="AY53" i="11"/>
  <c r="DM53" i="11"/>
  <c r="EE53" i="11"/>
  <c r="AH53" i="11"/>
  <c r="AZ53" i="11"/>
  <c r="DN53" i="11"/>
  <c r="EK53" i="11"/>
  <c r="AI53" i="11"/>
  <c r="BF53" i="11"/>
  <c r="DO53" i="11"/>
  <c r="EL53" i="11"/>
  <c r="AJ53" i="11"/>
  <c r="BG53" i="11"/>
  <c r="DU53" i="11"/>
  <c r="AP53" i="11"/>
  <c r="BH53" i="11"/>
  <c r="DV53" i="11"/>
  <c r="AQ53" i="11"/>
  <c r="BN53" i="11"/>
  <c r="DW53" i="11"/>
  <c r="L43" i="5"/>
  <c r="M43" i="5"/>
  <c r="AJ10" i="12"/>
  <c r="AK10" i="12"/>
  <c r="AL10" i="12"/>
  <c r="AM10" i="12"/>
  <c r="AN10" i="12"/>
  <c r="AO10" i="12"/>
  <c r="H12" i="5"/>
  <c r="G11" i="11"/>
  <c r="I11" i="11"/>
  <c r="J29" i="12"/>
  <c r="I29" i="12"/>
  <c r="K29" i="12"/>
  <c r="I59" i="11"/>
  <c r="G59" i="11"/>
  <c r="H59" i="12"/>
  <c r="G59" i="12"/>
  <c r="O37" i="11"/>
  <c r="R37" i="11"/>
  <c r="V37" i="11"/>
  <c r="L37" i="11"/>
  <c r="J37" i="11"/>
  <c r="N37" i="11"/>
  <c r="M37" i="11"/>
  <c r="Q37" i="11"/>
  <c r="P37" i="11"/>
  <c r="S37" i="11"/>
  <c r="T37" i="11"/>
  <c r="U37" i="11"/>
  <c r="K37" i="11"/>
  <c r="Z37" i="11"/>
  <c r="AH37" i="11"/>
  <c r="AP37" i="11"/>
  <c r="CP37" i="11"/>
  <c r="CX37" i="11"/>
  <c r="DF37" i="11"/>
  <c r="DN37" i="11"/>
  <c r="DV37" i="11"/>
  <c r="ED37" i="11"/>
  <c r="EL37" i="11"/>
  <c r="AA37" i="11"/>
  <c r="AI37" i="11"/>
  <c r="AQ37" i="11"/>
  <c r="CQ37" i="11"/>
  <c r="CY37" i="11"/>
  <c r="DG37" i="11"/>
  <c r="DO37" i="11"/>
  <c r="DW37" i="11"/>
  <c r="EE37" i="11"/>
  <c r="AB37" i="11"/>
  <c r="AJ37" i="11"/>
  <c r="AR37" i="11"/>
  <c r="CR37" i="11"/>
  <c r="CZ37" i="11"/>
  <c r="DH37" i="11"/>
  <c r="DP37" i="11"/>
  <c r="DX37" i="11"/>
  <c r="EF37" i="11"/>
  <c r="AC37" i="11"/>
  <c r="AK37" i="11"/>
  <c r="AS37" i="11"/>
  <c r="CS37" i="11"/>
  <c r="DA37" i="11"/>
  <c r="DI37" i="11"/>
  <c r="DQ37" i="11"/>
  <c r="DY37" i="11"/>
  <c r="EG37" i="11"/>
  <c r="AD37" i="11"/>
  <c r="AL37" i="11"/>
  <c r="AT37" i="11"/>
  <c r="CT37" i="11"/>
  <c r="DB37" i="11"/>
  <c r="DJ37" i="11"/>
  <c r="DR37" i="11"/>
  <c r="DZ37" i="11"/>
  <c r="EH37" i="11"/>
  <c r="W37" i="11"/>
  <c r="AE37" i="11"/>
  <c r="AM37" i="11"/>
  <c r="AU37" i="11"/>
  <c r="CU37" i="11"/>
  <c r="DC37" i="11"/>
  <c r="DK37" i="11"/>
  <c r="DS37" i="11"/>
  <c r="EA37" i="11"/>
  <c r="EI37" i="11"/>
  <c r="X37" i="11"/>
  <c r="AF37" i="11"/>
  <c r="AN37" i="11"/>
  <c r="AV37" i="11"/>
  <c r="CN37" i="11"/>
  <c r="CV37" i="11"/>
  <c r="DD37" i="11"/>
  <c r="DL37" i="11"/>
  <c r="DT37" i="11"/>
  <c r="EB37" i="11"/>
  <c r="EJ37" i="11"/>
  <c r="Y37" i="11"/>
  <c r="DU37" i="11"/>
  <c r="AG37" i="11"/>
  <c r="EC37" i="11"/>
  <c r="AO37" i="11"/>
  <c r="EK37" i="11"/>
  <c r="CO37" i="11"/>
  <c r="CW37" i="11"/>
  <c r="DE37" i="11"/>
  <c r="DM37" i="11"/>
  <c r="G35" i="11"/>
  <c r="I35" i="11"/>
  <c r="CY58" i="12"/>
  <c r="DG58" i="12"/>
  <c r="DO58" i="12"/>
  <c r="I58" i="12"/>
  <c r="CZ58" i="12"/>
  <c r="DH58" i="12"/>
  <c r="DP58" i="12"/>
  <c r="J58" i="12"/>
  <c r="DA58" i="12"/>
  <c r="DI58" i="12"/>
  <c r="DQ58" i="12"/>
  <c r="DF58" i="12"/>
  <c r="CT58" i="12"/>
  <c r="DB58" i="12"/>
  <c r="DJ58" i="12"/>
  <c r="DR58" i="12"/>
  <c r="CX58" i="12"/>
  <c r="CU58" i="12"/>
  <c r="DC58" i="12"/>
  <c r="DK58" i="12"/>
  <c r="DS58" i="12"/>
  <c r="DN58" i="12"/>
  <c r="CV58" i="12"/>
  <c r="DD58" i="12"/>
  <c r="DL58" i="12"/>
  <c r="DT58" i="12"/>
  <c r="CW58" i="12"/>
  <c r="DE58" i="12"/>
  <c r="DM58" i="12"/>
  <c r="CS58" i="12"/>
  <c r="CS63" i="12" s="1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I54" i="5"/>
  <c r="G51" i="11"/>
  <c r="I51" i="11"/>
  <c r="M10" i="11"/>
  <c r="K10" i="11"/>
  <c r="J10" i="11"/>
  <c r="N10" i="11"/>
  <c r="L10" i="11"/>
  <c r="AU10" i="11"/>
  <c r="BC10" i="11"/>
  <c r="BK10" i="11"/>
  <c r="BS10" i="11"/>
  <c r="CA10" i="11"/>
  <c r="CI10" i="11"/>
  <c r="CQ10" i="11"/>
  <c r="CY10" i="11"/>
  <c r="DG10" i="11"/>
  <c r="DO10" i="11"/>
  <c r="DW10" i="11"/>
  <c r="EE10" i="11"/>
  <c r="BD10" i="11"/>
  <c r="BL10" i="11"/>
  <c r="BT10" i="11"/>
  <c r="CB10" i="11"/>
  <c r="CJ10" i="11"/>
  <c r="CR10" i="11"/>
  <c r="CZ10" i="11"/>
  <c r="DH10" i="11"/>
  <c r="DP10" i="11"/>
  <c r="DX10" i="11"/>
  <c r="EF10" i="11"/>
  <c r="AW10" i="11"/>
  <c r="BE10" i="11"/>
  <c r="BM10" i="11"/>
  <c r="BU10" i="11"/>
  <c r="CC10" i="11"/>
  <c r="CK10" i="11"/>
  <c r="CS10" i="11"/>
  <c r="DA10" i="11"/>
  <c r="DI10" i="11"/>
  <c r="DQ10" i="11"/>
  <c r="DY10" i="11"/>
  <c r="EG10" i="11"/>
  <c r="CU10" i="11"/>
  <c r="DS10" i="11"/>
  <c r="AX10" i="11"/>
  <c r="BF10" i="11"/>
  <c r="BN10" i="11"/>
  <c r="BV10" i="11"/>
  <c r="CD10" i="11"/>
  <c r="CL10" i="11"/>
  <c r="CT10" i="11"/>
  <c r="DB10" i="11"/>
  <c r="DJ10" i="11"/>
  <c r="DR10" i="11"/>
  <c r="DZ10" i="11"/>
  <c r="EH10" i="11"/>
  <c r="AY10" i="11"/>
  <c r="BO10" i="11"/>
  <c r="CE10" i="11"/>
  <c r="DC10" i="11"/>
  <c r="EA10" i="11"/>
  <c r="BG10" i="11"/>
  <c r="BW10" i="11"/>
  <c r="CM10" i="11"/>
  <c r="DK10" i="11"/>
  <c r="EI10" i="11"/>
  <c r="AR10" i="11"/>
  <c r="AZ10" i="11"/>
  <c r="BH10" i="11"/>
  <c r="BP10" i="11"/>
  <c r="BX10" i="11"/>
  <c r="CF10" i="11"/>
  <c r="CN10" i="11"/>
  <c r="CV10" i="11"/>
  <c r="DD10" i="11"/>
  <c r="DL10" i="11"/>
  <c r="DT10" i="11"/>
  <c r="EB10" i="11"/>
  <c r="EJ10" i="11"/>
  <c r="AS10" i="11"/>
  <c r="BA10" i="11"/>
  <c r="BI10" i="11"/>
  <c r="BQ10" i="11"/>
  <c r="BY10" i="11"/>
  <c r="CG10" i="11"/>
  <c r="CO10" i="11"/>
  <c r="CW10" i="11"/>
  <c r="DE10" i="11"/>
  <c r="DM10" i="11"/>
  <c r="DU10" i="11"/>
  <c r="EC10" i="11"/>
  <c r="EK10" i="11"/>
  <c r="BR10" i="11"/>
  <c r="ED10" i="11"/>
  <c r="BZ10" i="11"/>
  <c r="DV10" i="11"/>
  <c r="EL10" i="11"/>
  <c r="DN10" i="11"/>
  <c r="CH10" i="11"/>
  <c r="CP10" i="11"/>
  <c r="CX10" i="11"/>
  <c r="AT10" i="11"/>
  <c r="DF10" i="11"/>
  <c r="BB10" i="11"/>
  <c r="BJ10" i="11"/>
  <c r="I46" i="5"/>
  <c r="Q50" i="11"/>
  <c r="J50" i="11"/>
  <c r="R50" i="11"/>
  <c r="K50" i="11"/>
  <c r="S50" i="11"/>
  <c r="L50" i="11"/>
  <c r="T50" i="11"/>
  <c r="M50" i="11"/>
  <c r="U50" i="11"/>
  <c r="N50" i="11"/>
  <c r="V50" i="11"/>
  <c r="O50" i="11"/>
  <c r="P50" i="11"/>
  <c r="AA50" i="11"/>
  <c r="CT50" i="11"/>
  <c r="DB50" i="11"/>
  <c r="AC50" i="11"/>
  <c r="W50" i="11"/>
  <c r="AE50" i="11"/>
  <c r="CP50" i="11"/>
  <c r="X50" i="11"/>
  <c r="AF50" i="11"/>
  <c r="AD50" i="11"/>
  <c r="CN50" i="11"/>
  <c r="CX50" i="11"/>
  <c r="DG50" i="11"/>
  <c r="DO50" i="11"/>
  <c r="DW50" i="11"/>
  <c r="EE50" i="11"/>
  <c r="CO50" i="11"/>
  <c r="CY50" i="11"/>
  <c r="DH50" i="11"/>
  <c r="DP50" i="11"/>
  <c r="DX50" i="11"/>
  <c r="EF50" i="11"/>
  <c r="CQ50" i="11"/>
  <c r="CZ50" i="11"/>
  <c r="DI50" i="11"/>
  <c r="DQ50" i="11"/>
  <c r="DY50" i="11"/>
  <c r="EG50" i="11"/>
  <c r="CR50" i="11"/>
  <c r="DA50" i="11"/>
  <c r="DJ50" i="11"/>
  <c r="DR50" i="11"/>
  <c r="DZ50" i="11"/>
  <c r="EH50" i="11"/>
  <c r="CS50" i="11"/>
  <c r="DC50" i="11"/>
  <c r="DK50" i="11"/>
  <c r="DS50" i="11"/>
  <c r="EA50" i="11"/>
  <c r="EI50" i="11"/>
  <c r="Y50" i="11"/>
  <c r="CU50" i="11"/>
  <c r="DD50" i="11"/>
  <c r="DL50" i="11"/>
  <c r="DT50" i="11"/>
  <c r="EB50" i="11"/>
  <c r="EJ50" i="11"/>
  <c r="Z50" i="11"/>
  <c r="CV50" i="11"/>
  <c r="DE50" i="11"/>
  <c r="DM50" i="11"/>
  <c r="DU50" i="11"/>
  <c r="EC50" i="11"/>
  <c r="EK50" i="11"/>
  <c r="CM50" i="11"/>
  <c r="CW50" i="11"/>
  <c r="DF50" i="11"/>
  <c r="DN50" i="11"/>
  <c r="DV50" i="11"/>
  <c r="ED50" i="11"/>
  <c r="EL50" i="11"/>
  <c r="AB50" i="11"/>
  <c r="O61" i="11"/>
  <c r="N61" i="11"/>
  <c r="P61" i="11"/>
  <c r="Q61" i="11"/>
  <c r="J61" i="11"/>
  <c r="R61" i="11"/>
  <c r="K61" i="11"/>
  <c r="S61" i="11"/>
  <c r="L61" i="11"/>
  <c r="T61" i="11"/>
  <c r="M61" i="11"/>
  <c r="U61" i="11"/>
  <c r="V61" i="11"/>
  <c r="X61" i="11"/>
  <c r="AF61" i="11"/>
  <c r="AN61" i="11"/>
  <c r="AV61" i="11"/>
  <c r="BD61" i="11"/>
  <c r="BL61" i="11"/>
  <c r="DK61" i="11"/>
  <c r="DS61" i="11"/>
  <c r="EA61" i="11"/>
  <c r="EI61" i="11"/>
  <c r="Z61" i="11"/>
  <c r="AH61" i="11"/>
  <c r="AP61" i="11"/>
  <c r="AX61" i="11"/>
  <c r="BF61" i="11"/>
  <c r="BN61" i="11"/>
  <c r="DM61" i="11"/>
  <c r="DU61" i="11"/>
  <c r="EC61" i="11"/>
  <c r="EK61" i="11"/>
  <c r="AB61" i="11"/>
  <c r="AJ61" i="11"/>
  <c r="AR61" i="11"/>
  <c r="AZ61" i="11"/>
  <c r="BH61" i="11"/>
  <c r="BP61" i="11"/>
  <c r="DO61" i="11"/>
  <c r="DW61" i="11"/>
  <c r="EE61" i="11"/>
  <c r="AC61" i="11"/>
  <c r="AK61" i="11"/>
  <c r="AS61" i="11"/>
  <c r="BA61" i="11"/>
  <c r="BI61" i="11"/>
  <c r="BQ61" i="11"/>
  <c r="DP61" i="11"/>
  <c r="DX61" i="11"/>
  <c r="EF61" i="11"/>
  <c r="AA61" i="11"/>
  <c r="AQ61" i="11"/>
  <c r="BG61" i="11"/>
  <c r="DN61" i="11"/>
  <c r="ED61" i="11"/>
  <c r="AD61" i="11"/>
  <c r="AT61" i="11"/>
  <c r="BJ61" i="11"/>
  <c r="DQ61" i="11"/>
  <c r="EG61" i="11"/>
  <c r="AE61" i="11"/>
  <c r="AU61" i="11"/>
  <c r="BK61" i="11"/>
  <c r="DR61" i="11"/>
  <c r="EH61" i="11"/>
  <c r="AG61" i="11"/>
  <c r="AW61" i="11"/>
  <c r="BM61" i="11"/>
  <c r="DT61" i="11"/>
  <c r="EJ61" i="11"/>
  <c r="AI61" i="11"/>
  <c r="AY61" i="11"/>
  <c r="BO61" i="11"/>
  <c r="DV61" i="11"/>
  <c r="EL61" i="11"/>
  <c r="AL61" i="11"/>
  <c r="BB61" i="11"/>
  <c r="DI61" i="11"/>
  <c r="DY61" i="11"/>
  <c r="W61" i="11"/>
  <c r="AM61" i="11"/>
  <c r="BC61" i="11"/>
  <c r="DJ61" i="11"/>
  <c r="DZ61" i="11"/>
  <c r="Y61" i="11"/>
  <c r="AO61" i="11"/>
  <c r="BE61" i="11"/>
  <c r="DL61" i="11"/>
  <c r="EB61" i="11"/>
  <c r="M12" i="11"/>
  <c r="K12" i="11"/>
  <c r="N12" i="11"/>
  <c r="L12" i="11"/>
  <c r="O12" i="11"/>
  <c r="J12" i="11"/>
  <c r="BG12" i="11"/>
  <c r="BO12" i="11"/>
  <c r="BW12" i="11"/>
  <c r="CE12" i="11"/>
  <c r="CM12" i="11"/>
  <c r="BH12" i="11"/>
  <c r="BP12" i="11"/>
  <c r="BX12" i="11"/>
  <c r="CF12" i="11"/>
  <c r="CN12" i="11"/>
  <c r="BI12" i="11"/>
  <c r="BQ12" i="11"/>
  <c r="BY12" i="11"/>
  <c r="CG12" i="11"/>
  <c r="CO12" i="11"/>
  <c r="CW12" i="11"/>
  <c r="DE12" i="11"/>
  <c r="DM12" i="11"/>
  <c r="DU12" i="11"/>
  <c r="EC12" i="11"/>
  <c r="EK12" i="11"/>
  <c r="BC12" i="11"/>
  <c r="BS12" i="11"/>
  <c r="CQ12" i="11"/>
  <c r="DG12" i="11"/>
  <c r="DW12" i="11"/>
  <c r="AT12" i="11"/>
  <c r="BB12" i="11"/>
  <c r="BJ12" i="11"/>
  <c r="BR12" i="11"/>
  <c r="BZ12" i="11"/>
  <c r="CH12" i="11"/>
  <c r="CP12" i="11"/>
  <c r="CX12" i="11"/>
  <c r="DF12" i="11"/>
  <c r="DN12" i="11"/>
  <c r="DV12" i="11"/>
  <c r="ED12" i="11"/>
  <c r="EL12" i="11"/>
  <c r="AU12" i="11"/>
  <c r="CA12" i="11"/>
  <c r="CY12" i="11"/>
  <c r="EE12" i="11"/>
  <c r="CB12" i="11"/>
  <c r="BK12" i="11"/>
  <c r="CI12" i="11"/>
  <c r="DO12" i="11"/>
  <c r="AV12" i="11"/>
  <c r="BD12" i="11"/>
  <c r="BL12" i="11"/>
  <c r="BT12" i="11"/>
  <c r="CJ12" i="11"/>
  <c r="CZ12" i="11"/>
  <c r="AW12" i="11"/>
  <c r="BE12" i="11"/>
  <c r="BM12" i="11"/>
  <c r="BU12" i="11"/>
  <c r="CC12" i="11"/>
  <c r="CK12" i="11"/>
  <c r="CS12" i="11"/>
  <c r="DA12" i="11"/>
  <c r="DI12" i="11"/>
  <c r="DQ12" i="11"/>
  <c r="DY12" i="11"/>
  <c r="EG12" i="11"/>
  <c r="CD12" i="11"/>
  <c r="EJ12" i="11"/>
  <c r="CL12" i="11"/>
  <c r="DH12" i="11"/>
  <c r="DX12" i="11"/>
  <c r="CR12" i="11"/>
  <c r="DJ12" i="11"/>
  <c r="DZ12" i="11"/>
  <c r="DB12" i="11"/>
  <c r="DC12" i="11"/>
  <c r="DS12" i="11"/>
  <c r="CT12" i="11"/>
  <c r="DK12" i="11"/>
  <c r="EA12" i="11"/>
  <c r="CU12" i="11"/>
  <c r="DL12" i="11"/>
  <c r="EB12" i="11"/>
  <c r="DD12" i="11"/>
  <c r="BF12" i="11"/>
  <c r="CV12" i="11"/>
  <c r="DP12" i="11"/>
  <c r="EF12" i="11"/>
  <c r="BN12" i="11"/>
  <c r="DR12" i="11"/>
  <c r="EH12" i="11"/>
  <c r="BV12" i="11"/>
  <c r="EI12" i="11"/>
  <c r="DT12" i="11"/>
  <c r="N29" i="11"/>
  <c r="V29" i="11"/>
  <c r="O29" i="11"/>
  <c r="P29" i="11"/>
  <c r="U29" i="11"/>
  <c r="Q29" i="11"/>
  <c r="J29" i="11"/>
  <c r="R29" i="11"/>
  <c r="K29" i="11"/>
  <c r="S29" i="11"/>
  <c r="L29" i="11"/>
  <c r="T29" i="11"/>
  <c r="M29" i="11"/>
  <c r="W29" i="11"/>
  <c r="AE29" i="11"/>
  <c r="BM29" i="11"/>
  <c r="BU29" i="11"/>
  <c r="CC29" i="11"/>
  <c r="CK29" i="11"/>
  <c r="CS29" i="11"/>
  <c r="DA29" i="11"/>
  <c r="Y29" i="11"/>
  <c r="AG29" i="11"/>
  <c r="BO29" i="11"/>
  <c r="BW29" i="11"/>
  <c r="CE29" i="11"/>
  <c r="CM29" i="11"/>
  <c r="CU29" i="11"/>
  <c r="DC29" i="11"/>
  <c r="AA29" i="11"/>
  <c r="BI29" i="11"/>
  <c r="BQ29" i="11"/>
  <c r="BY29" i="11"/>
  <c r="CG29" i="11"/>
  <c r="CO29" i="11"/>
  <c r="CW29" i="11"/>
  <c r="DE29" i="11"/>
  <c r="DM29" i="11"/>
  <c r="AB29" i="11"/>
  <c r="BN29" i="11"/>
  <c r="CA29" i="11"/>
  <c r="CN29" i="11"/>
  <c r="CZ29" i="11"/>
  <c r="DK29" i="11"/>
  <c r="DT29" i="11"/>
  <c r="EB29" i="11"/>
  <c r="EJ29" i="11"/>
  <c r="AC29" i="11"/>
  <c r="BP29" i="11"/>
  <c r="CB29" i="11"/>
  <c r="CP29" i="11"/>
  <c r="DB29" i="11"/>
  <c r="DL29" i="11"/>
  <c r="DU29" i="11"/>
  <c r="EC29" i="11"/>
  <c r="EK29" i="11"/>
  <c r="AD29" i="11"/>
  <c r="BR29" i="11"/>
  <c r="CD29" i="11"/>
  <c r="CQ29" i="11"/>
  <c r="DD29" i="11"/>
  <c r="DN29" i="11"/>
  <c r="DV29" i="11"/>
  <c r="ED29" i="11"/>
  <c r="EL29" i="11"/>
  <c r="AF29" i="11"/>
  <c r="BS29" i="11"/>
  <c r="CF29" i="11"/>
  <c r="CR29" i="11"/>
  <c r="DF29" i="11"/>
  <c r="DO29" i="11"/>
  <c r="DW29" i="11"/>
  <c r="EE29" i="11"/>
  <c r="BT29" i="11"/>
  <c r="CH29" i="11"/>
  <c r="CT29" i="11"/>
  <c r="DG29" i="11"/>
  <c r="DP29" i="11"/>
  <c r="DX29" i="11"/>
  <c r="EF29" i="11"/>
  <c r="BJ29" i="11"/>
  <c r="BV29" i="11"/>
  <c r="CI29" i="11"/>
  <c r="CV29" i="11"/>
  <c r="DH29" i="11"/>
  <c r="DQ29" i="11"/>
  <c r="DY29" i="11"/>
  <c r="EG29" i="11"/>
  <c r="X29" i="11"/>
  <c r="BK29" i="11"/>
  <c r="BX29" i="11"/>
  <c r="CJ29" i="11"/>
  <c r="CX29" i="11"/>
  <c r="DI29" i="11"/>
  <c r="DR29" i="11"/>
  <c r="DZ29" i="11"/>
  <c r="EH29" i="11"/>
  <c r="BL29" i="11"/>
  <c r="BZ29" i="11"/>
  <c r="EA29" i="11"/>
  <c r="CL29" i="11"/>
  <c r="CY29" i="11"/>
  <c r="EI29" i="11"/>
  <c r="DJ29" i="11"/>
  <c r="DS29" i="11"/>
  <c r="Z29" i="11"/>
  <c r="I67" i="11"/>
  <c r="G67" i="11"/>
  <c r="I22" i="5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I51" i="5"/>
  <c r="I60" i="12"/>
  <c r="DI60" i="12"/>
  <c r="DQ60" i="12"/>
  <c r="J60" i="12"/>
  <c r="DJ60" i="12"/>
  <c r="DR60" i="12"/>
  <c r="DH60" i="12"/>
  <c r="DC60" i="12"/>
  <c r="DK60" i="12"/>
  <c r="DS60" i="12"/>
  <c r="DD60" i="12"/>
  <c r="DL60" i="12"/>
  <c r="DT60" i="12"/>
  <c r="DE60" i="12"/>
  <c r="DM60" i="12"/>
  <c r="DF60" i="12"/>
  <c r="DN60" i="12"/>
  <c r="DG60" i="12"/>
  <c r="DO60" i="12"/>
  <c r="DP60" i="12"/>
  <c r="CS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AJ60" i="12"/>
  <c r="AK60" i="12"/>
  <c r="AL60" i="12"/>
  <c r="AM60" i="12"/>
  <c r="AN60" i="12"/>
  <c r="AO60" i="12"/>
  <c r="I19" i="5"/>
  <c r="J52" i="11"/>
  <c r="R52" i="11"/>
  <c r="K52" i="11"/>
  <c r="S52" i="11"/>
  <c r="L52" i="11"/>
  <c r="T52" i="11"/>
  <c r="M52" i="11"/>
  <c r="U52" i="11"/>
  <c r="N52" i="11"/>
  <c r="V52" i="11"/>
  <c r="O52" i="11"/>
  <c r="P52" i="11"/>
  <c r="Q52" i="11"/>
  <c r="W52" i="11"/>
  <c r="AE52" i="11"/>
  <c r="AM52" i="11"/>
  <c r="AU52" i="11"/>
  <c r="BC52" i="11"/>
  <c r="BK52" i="11"/>
  <c r="BS52" i="11"/>
  <c r="DC52" i="11"/>
  <c r="DK52" i="11"/>
  <c r="DS52" i="11"/>
  <c r="X52" i="11"/>
  <c r="AF52" i="11"/>
  <c r="AN52" i="11"/>
  <c r="AV52" i="11"/>
  <c r="BD52" i="11"/>
  <c r="BL52" i="11"/>
  <c r="BT52" i="11"/>
  <c r="DD52" i="11"/>
  <c r="DL52" i="11"/>
  <c r="Y52" i="11"/>
  <c r="AG52" i="11"/>
  <c r="AO52" i="11"/>
  <c r="AW52" i="11"/>
  <c r="BE52" i="11"/>
  <c r="BM52" i="11"/>
  <c r="BU52" i="11"/>
  <c r="DE52" i="11"/>
  <c r="DM52" i="11"/>
  <c r="DU52" i="11"/>
  <c r="EC52" i="11"/>
  <c r="EK52" i="11"/>
  <c r="Z52" i="11"/>
  <c r="AH52" i="11"/>
  <c r="AP52" i="11"/>
  <c r="AX52" i="11"/>
  <c r="BF52" i="11"/>
  <c r="BN52" i="11"/>
  <c r="BV52" i="11"/>
  <c r="DF52" i="11"/>
  <c r="DN52" i="11"/>
  <c r="DV52" i="11"/>
  <c r="ED52" i="11"/>
  <c r="EL52" i="11"/>
  <c r="AA52" i="11"/>
  <c r="AI52" i="11"/>
  <c r="AQ52" i="11"/>
  <c r="AY52" i="11"/>
  <c r="BG52" i="11"/>
  <c r="BO52" i="11"/>
  <c r="CY52" i="11"/>
  <c r="DG52" i="11"/>
  <c r="DO52" i="11"/>
  <c r="DW52" i="11"/>
  <c r="EE52" i="11"/>
  <c r="AB52" i="11"/>
  <c r="AJ52" i="11"/>
  <c r="AR52" i="11"/>
  <c r="AZ52" i="11"/>
  <c r="BH52" i="11"/>
  <c r="BP52" i="11"/>
  <c r="CZ52" i="11"/>
  <c r="DH52" i="11"/>
  <c r="DP52" i="11"/>
  <c r="DX52" i="11"/>
  <c r="EF52" i="11"/>
  <c r="AC52" i="11"/>
  <c r="AK52" i="11"/>
  <c r="AS52" i="11"/>
  <c r="BA52" i="11"/>
  <c r="BI52" i="11"/>
  <c r="BQ52" i="11"/>
  <c r="DA52" i="11"/>
  <c r="DI52" i="11"/>
  <c r="DQ52" i="11"/>
  <c r="DY52" i="11"/>
  <c r="EG52" i="11"/>
  <c r="AL52" i="11"/>
  <c r="DR52" i="11"/>
  <c r="AT52" i="11"/>
  <c r="DT52" i="11"/>
  <c r="BB52" i="11"/>
  <c r="DZ52" i="11"/>
  <c r="BJ52" i="11"/>
  <c r="EA52" i="11"/>
  <c r="BR52" i="11"/>
  <c r="EB52" i="11"/>
  <c r="EH52" i="11"/>
  <c r="DB52" i="11"/>
  <c r="EI52" i="11"/>
  <c r="AD52" i="11"/>
  <c r="DJ52" i="11"/>
  <c r="EJ52" i="11"/>
  <c r="AM9" i="9"/>
  <c r="AN9" i="9"/>
  <c r="AO9" i="9"/>
  <c r="AP9" i="9"/>
  <c r="AQ9" i="9"/>
  <c r="AR9" i="9"/>
  <c r="S13" i="11"/>
  <c r="T13" i="11"/>
  <c r="U13" i="11"/>
  <c r="Q13" i="11"/>
  <c r="J13" i="11"/>
  <c r="L13" i="11"/>
  <c r="P13" i="11"/>
  <c r="N13" i="11"/>
  <c r="R13" i="11"/>
  <c r="M13" i="11"/>
  <c r="K13" i="11"/>
  <c r="O13" i="11"/>
  <c r="BF13" i="11"/>
  <c r="BN13" i="11"/>
  <c r="BV13" i="11"/>
  <c r="CD13" i="11"/>
  <c r="CL13" i="11"/>
  <c r="CT13" i="11"/>
  <c r="DB13" i="11"/>
  <c r="DJ13" i="11"/>
  <c r="DR13" i="11"/>
  <c r="DZ13" i="11"/>
  <c r="EH13" i="11"/>
  <c r="BP13" i="11"/>
  <c r="CF13" i="11"/>
  <c r="DD13" i="11"/>
  <c r="EB13" i="11"/>
  <c r="BG13" i="11"/>
  <c r="BO13" i="11"/>
  <c r="BW13" i="11"/>
  <c r="CE13" i="11"/>
  <c r="CM13" i="11"/>
  <c r="CU13" i="11"/>
  <c r="DC13" i="11"/>
  <c r="DK13" i="11"/>
  <c r="DS13" i="11"/>
  <c r="EA13" i="11"/>
  <c r="EI13" i="11"/>
  <c r="BH13" i="11"/>
  <c r="CN13" i="11"/>
  <c r="DL13" i="11"/>
  <c r="EJ13" i="11"/>
  <c r="BX13" i="11"/>
  <c r="CV13" i="11"/>
  <c r="DT13" i="11"/>
  <c r="BB13" i="11"/>
  <c r="BJ13" i="11"/>
  <c r="BR13" i="11"/>
  <c r="BZ13" i="11"/>
  <c r="CH13" i="11"/>
  <c r="CP13" i="11"/>
  <c r="CX13" i="11"/>
  <c r="DF13" i="11"/>
  <c r="DN13" i="11"/>
  <c r="DV13" i="11"/>
  <c r="ED13" i="11"/>
  <c r="EL13" i="11"/>
  <c r="CK13" i="11"/>
  <c r="BI13" i="11"/>
  <c r="BY13" i="11"/>
  <c r="CO13" i="11"/>
  <c r="DE13" i="11"/>
  <c r="DU13" i="11"/>
  <c r="EK13" i="11"/>
  <c r="BK13" i="11"/>
  <c r="CA13" i="11"/>
  <c r="CQ13" i="11"/>
  <c r="DG13" i="11"/>
  <c r="DW13" i="11"/>
  <c r="CR13" i="11"/>
  <c r="BS13" i="11"/>
  <c r="CY13" i="11"/>
  <c r="EE13" i="11"/>
  <c r="BD13" i="11"/>
  <c r="CJ13" i="11"/>
  <c r="DP13" i="11"/>
  <c r="BL13" i="11"/>
  <c r="CB13" i="11"/>
  <c r="DH13" i="11"/>
  <c r="DX13" i="11"/>
  <c r="BM13" i="11"/>
  <c r="CC13" i="11"/>
  <c r="CS13" i="11"/>
  <c r="DI13" i="11"/>
  <c r="DY13" i="11"/>
  <c r="BE13" i="11"/>
  <c r="DA13" i="11"/>
  <c r="EG13" i="11"/>
  <c r="BQ13" i="11"/>
  <c r="CG13" i="11"/>
  <c r="CW13" i="11"/>
  <c r="DM13" i="11"/>
  <c r="EC13" i="11"/>
  <c r="BC13" i="11"/>
  <c r="CI13" i="11"/>
  <c r="DO13" i="11"/>
  <c r="BT13" i="11"/>
  <c r="CZ13" i="11"/>
  <c r="EF13" i="11"/>
  <c r="BU13" i="11"/>
  <c r="DQ13" i="11"/>
  <c r="I43" i="11"/>
  <c r="G43" i="11"/>
  <c r="H20" i="5"/>
  <c r="G19" i="11"/>
  <c r="I19" i="11"/>
  <c r="N60" i="11"/>
  <c r="V60" i="11"/>
  <c r="M60" i="11"/>
  <c r="O60" i="11"/>
  <c r="P60" i="11"/>
  <c r="Q60" i="11"/>
  <c r="J60" i="11"/>
  <c r="R60" i="11"/>
  <c r="K60" i="11"/>
  <c r="S60" i="11"/>
  <c r="L60" i="11"/>
  <c r="T60" i="11"/>
  <c r="U60" i="11"/>
  <c r="Y60" i="11"/>
  <c r="AG60" i="11"/>
  <c r="AO60" i="11"/>
  <c r="AW60" i="11"/>
  <c r="BE60" i="11"/>
  <c r="BM60" i="11"/>
  <c r="BU60" i="11"/>
  <c r="DH60" i="11"/>
  <c r="DP60" i="11"/>
  <c r="DX60" i="11"/>
  <c r="EF60" i="11"/>
  <c r="Z60" i="11"/>
  <c r="AH60" i="11"/>
  <c r="AP60" i="11"/>
  <c r="AA60" i="11"/>
  <c r="AI60" i="11"/>
  <c r="AQ60" i="11"/>
  <c r="AY60" i="11"/>
  <c r="BG60" i="11"/>
  <c r="BO60" i="11"/>
  <c r="BW60" i="11"/>
  <c r="DB60" i="11"/>
  <c r="DJ60" i="11"/>
  <c r="DR60" i="11"/>
  <c r="DZ60" i="11"/>
  <c r="EH60" i="11"/>
  <c r="AC60" i="11"/>
  <c r="AK60" i="11"/>
  <c r="AS60" i="11"/>
  <c r="BA60" i="11"/>
  <c r="BI60" i="11"/>
  <c r="BQ60" i="11"/>
  <c r="DD60" i="11"/>
  <c r="DL60" i="11"/>
  <c r="DT60" i="11"/>
  <c r="EB60" i="11"/>
  <c r="EJ60" i="11"/>
  <c r="AD60" i="11"/>
  <c r="AL60" i="11"/>
  <c r="AT60" i="11"/>
  <c r="BB60" i="11"/>
  <c r="BJ60" i="11"/>
  <c r="BR60" i="11"/>
  <c r="DE60" i="11"/>
  <c r="DM60" i="11"/>
  <c r="DU60" i="11"/>
  <c r="EC60" i="11"/>
  <c r="EK60" i="11"/>
  <c r="W60" i="11"/>
  <c r="AR60" i="11"/>
  <c r="BH60" i="11"/>
  <c r="BX60" i="11"/>
  <c r="DK60" i="11"/>
  <c r="EA60" i="11"/>
  <c r="X60" i="11"/>
  <c r="AU60" i="11"/>
  <c r="BK60" i="11"/>
  <c r="DN60" i="11"/>
  <c r="ED60" i="11"/>
  <c r="AB60" i="11"/>
  <c r="AV60" i="11"/>
  <c r="BL60" i="11"/>
  <c r="DO60" i="11"/>
  <c r="EE60" i="11"/>
  <c r="AE60" i="11"/>
  <c r="AX60" i="11"/>
  <c r="BN60" i="11"/>
  <c r="DQ60" i="11"/>
  <c r="EG60" i="11"/>
  <c r="AF60" i="11"/>
  <c r="AZ60" i="11"/>
  <c r="BP60" i="11"/>
  <c r="DC60" i="11"/>
  <c r="DS60" i="11"/>
  <c r="EI60" i="11"/>
  <c r="AJ60" i="11"/>
  <c r="BC60" i="11"/>
  <c r="BS60" i="11"/>
  <c r="DF60" i="11"/>
  <c r="DV60" i="11"/>
  <c r="EL60" i="11"/>
  <c r="AM60" i="11"/>
  <c r="BD60" i="11"/>
  <c r="BT60" i="11"/>
  <c r="DG60" i="11"/>
  <c r="DW60" i="11"/>
  <c r="DI60" i="11"/>
  <c r="DY60" i="11"/>
  <c r="AN60" i="11"/>
  <c r="BF60" i="11"/>
  <c r="BV60" i="11"/>
  <c r="AP60" i="12"/>
  <c r="AS9" i="9"/>
  <c r="J68" i="11"/>
  <c r="R68" i="11"/>
  <c r="Q68" i="11"/>
  <c r="K68" i="11"/>
  <c r="S68" i="11"/>
  <c r="L68" i="11"/>
  <c r="T68" i="11"/>
  <c r="M68" i="11"/>
  <c r="U68" i="11"/>
  <c r="N68" i="11"/>
  <c r="V68" i="11"/>
  <c r="O68" i="11"/>
  <c r="P68" i="11"/>
  <c r="Z68" i="11"/>
  <c r="AH68" i="11"/>
  <c r="AP68" i="11"/>
  <c r="AX68" i="11"/>
  <c r="BF68" i="11"/>
  <c r="BN68" i="11"/>
  <c r="BV68" i="11"/>
  <c r="DL68" i="11"/>
  <c r="DT68" i="11"/>
  <c r="EB68" i="11"/>
  <c r="EJ68" i="11"/>
  <c r="AA68" i="11"/>
  <c r="AI68" i="11"/>
  <c r="AQ68" i="11"/>
  <c r="AY68" i="11"/>
  <c r="BG68" i="11"/>
  <c r="BO68" i="11"/>
  <c r="BW68" i="11"/>
  <c r="DM68" i="11"/>
  <c r="DU68" i="11"/>
  <c r="EC68" i="11"/>
  <c r="EK68" i="11"/>
  <c r="AB68" i="11"/>
  <c r="AJ68" i="11"/>
  <c r="AR68" i="11"/>
  <c r="AZ68" i="11"/>
  <c r="BH68" i="11"/>
  <c r="BP68" i="11"/>
  <c r="BX68" i="11"/>
  <c r="DN68" i="11"/>
  <c r="DV68" i="11"/>
  <c r="ED68" i="11"/>
  <c r="EL68" i="11"/>
  <c r="AD68" i="11"/>
  <c r="AL68" i="11"/>
  <c r="AT68" i="11"/>
  <c r="BB68" i="11"/>
  <c r="BJ68" i="11"/>
  <c r="BR68" i="11"/>
  <c r="DH68" i="11"/>
  <c r="DP68" i="11"/>
  <c r="DX68" i="11"/>
  <c r="EF68" i="11"/>
  <c r="W68" i="11"/>
  <c r="AE68" i="11"/>
  <c r="AM68" i="11"/>
  <c r="AU68" i="11"/>
  <c r="BC68" i="11"/>
  <c r="BK68" i="11"/>
  <c r="BS68" i="11"/>
  <c r="DI68" i="11"/>
  <c r="DQ68" i="11"/>
  <c r="DY68" i="11"/>
  <c r="EG68" i="11"/>
  <c r="AC68" i="11"/>
  <c r="AW68" i="11"/>
  <c r="BT68" i="11"/>
  <c r="DO68" i="11"/>
  <c r="EI68" i="11"/>
  <c r="AF68" i="11"/>
  <c r="BA68" i="11"/>
  <c r="BU68" i="11"/>
  <c r="DR68" i="11"/>
  <c r="AG68" i="11"/>
  <c r="BD68" i="11"/>
  <c r="BY68" i="11"/>
  <c r="DS68" i="11"/>
  <c r="AK68" i="11"/>
  <c r="BE68" i="11"/>
  <c r="DW68" i="11"/>
  <c r="AN68" i="11"/>
  <c r="BI68" i="11"/>
  <c r="DZ68" i="11"/>
  <c r="AO68" i="11"/>
  <c r="BL68" i="11"/>
  <c r="DG68" i="11"/>
  <c r="EA68" i="11"/>
  <c r="X68" i="11"/>
  <c r="AS68" i="11"/>
  <c r="BM68" i="11"/>
  <c r="DJ68" i="11"/>
  <c r="EE68" i="11"/>
  <c r="Y68" i="11"/>
  <c r="AV68" i="11"/>
  <c r="BQ68" i="11"/>
  <c r="DK68" i="11"/>
  <c r="EH68" i="11"/>
  <c r="R21" i="11"/>
  <c r="K21" i="11"/>
  <c r="S21" i="11"/>
  <c r="L21" i="11"/>
  <c r="T21" i="11"/>
  <c r="Q21" i="11"/>
  <c r="M21" i="11"/>
  <c r="U21" i="11"/>
  <c r="N21" i="11"/>
  <c r="V21" i="11"/>
  <c r="O21" i="11"/>
  <c r="P21" i="11"/>
  <c r="J21" i="11"/>
  <c r="BH21" i="11"/>
  <c r="BP21" i="11"/>
  <c r="BX21" i="11"/>
  <c r="CF21" i="11"/>
  <c r="CN21" i="11"/>
  <c r="CV21" i="11"/>
  <c r="DD21" i="11"/>
  <c r="DL21" i="11"/>
  <c r="DT21" i="11"/>
  <c r="EB21" i="11"/>
  <c r="EJ21" i="11"/>
  <c r="BI21" i="11"/>
  <c r="BQ21" i="11"/>
  <c r="BY21" i="11"/>
  <c r="CG21" i="11"/>
  <c r="CO21" i="11"/>
  <c r="CW21" i="11"/>
  <c r="DE21" i="11"/>
  <c r="DM21" i="11"/>
  <c r="DU21" i="11"/>
  <c r="EC21" i="11"/>
  <c r="EK21" i="11"/>
  <c r="W21" i="11"/>
  <c r="BJ21" i="11"/>
  <c r="BR21" i="11"/>
  <c r="BZ21" i="11"/>
  <c r="CH21" i="11"/>
  <c r="CP21" i="11"/>
  <c r="CX21" i="11"/>
  <c r="DF21" i="11"/>
  <c r="DN21" i="11"/>
  <c r="DV21" i="11"/>
  <c r="ED21" i="11"/>
  <c r="EL21" i="11"/>
  <c r="X21" i="11"/>
  <c r="BK21" i="11"/>
  <c r="BS21" i="11"/>
  <c r="CA21" i="11"/>
  <c r="CI21" i="11"/>
  <c r="CQ21" i="11"/>
  <c r="CY21" i="11"/>
  <c r="DG21" i="11"/>
  <c r="DO21" i="11"/>
  <c r="DW21" i="11"/>
  <c r="EE21" i="11"/>
  <c r="DX21" i="11"/>
  <c r="Y21" i="11"/>
  <c r="BL21" i="11"/>
  <c r="BT21" i="11"/>
  <c r="CB21" i="11"/>
  <c r="CJ21" i="11"/>
  <c r="CR21" i="11"/>
  <c r="CZ21" i="11"/>
  <c r="DH21" i="11"/>
  <c r="DP21" i="11"/>
  <c r="EF21" i="11"/>
  <c r="Z21" i="11"/>
  <c r="BM21" i="11"/>
  <c r="BU21" i="11"/>
  <c r="CC21" i="11"/>
  <c r="CK21" i="11"/>
  <c r="CS21" i="11"/>
  <c r="DA21" i="11"/>
  <c r="DI21" i="11"/>
  <c r="DQ21" i="11"/>
  <c r="DY21" i="11"/>
  <c r="EG21" i="11"/>
  <c r="BN21" i="11"/>
  <c r="BV21" i="11"/>
  <c r="CD21" i="11"/>
  <c r="CL21" i="11"/>
  <c r="CT21" i="11"/>
  <c r="DB21" i="11"/>
  <c r="DJ21" i="11"/>
  <c r="DR21" i="11"/>
  <c r="DZ21" i="11"/>
  <c r="EH21" i="11"/>
  <c r="DC21" i="11"/>
  <c r="DK21" i="11"/>
  <c r="BG21" i="11"/>
  <c r="DS21" i="11"/>
  <c r="BO21" i="11"/>
  <c r="EA21" i="11"/>
  <c r="BW21" i="11"/>
  <c r="EI21" i="11"/>
  <c r="CE21" i="11"/>
  <c r="CM21" i="11"/>
  <c r="CU21" i="11"/>
  <c r="BD18" i="11"/>
  <c r="BL18" i="11"/>
  <c r="BT18" i="11"/>
  <c r="CB18" i="11"/>
  <c r="CJ18" i="11"/>
  <c r="CR18" i="11"/>
  <c r="CZ18" i="11"/>
  <c r="DH18" i="11"/>
  <c r="DP18" i="11"/>
  <c r="DX18" i="11"/>
  <c r="EF18" i="11"/>
  <c r="AW18" i="11"/>
  <c r="BE18" i="11"/>
  <c r="BM18" i="11"/>
  <c r="BU18" i="11"/>
  <c r="CC18" i="11"/>
  <c r="CK18" i="11"/>
  <c r="CS18" i="11"/>
  <c r="DA18" i="11"/>
  <c r="DI18" i="11"/>
  <c r="DQ18" i="11"/>
  <c r="DY18" i="11"/>
  <c r="EG18" i="11"/>
  <c r="AX18" i="11"/>
  <c r="BF18" i="11"/>
  <c r="BN18" i="11"/>
  <c r="BV18" i="11"/>
  <c r="CD18" i="11"/>
  <c r="CL18" i="11"/>
  <c r="CT18" i="11"/>
  <c r="DB18" i="11"/>
  <c r="DJ18" i="11"/>
  <c r="DR18" i="11"/>
  <c r="DZ18" i="11"/>
  <c r="EH18" i="11"/>
  <c r="AY18" i="11"/>
  <c r="BG18" i="11"/>
  <c r="BO18" i="11"/>
  <c r="BW18" i="11"/>
  <c r="CE18" i="11"/>
  <c r="CM18" i="11"/>
  <c r="CU18" i="11"/>
  <c r="DC18" i="11"/>
  <c r="DK18" i="11"/>
  <c r="DS18" i="11"/>
  <c r="EA18" i="11"/>
  <c r="EI18" i="11"/>
  <c r="AZ18" i="11"/>
  <c r="BH18" i="11"/>
  <c r="BP18" i="11"/>
  <c r="BX18" i="11"/>
  <c r="CF18" i="11"/>
  <c r="CN18" i="11"/>
  <c r="CV18" i="11"/>
  <c r="DD18" i="11"/>
  <c r="DL18" i="11"/>
  <c r="DT18" i="11"/>
  <c r="EB18" i="11"/>
  <c r="EJ18" i="11"/>
  <c r="BA18" i="11"/>
  <c r="BI18" i="11"/>
  <c r="BQ18" i="11"/>
  <c r="BY18" i="11"/>
  <c r="CG18" i="11"/>
  <c r="CO18" i="11"/>
  <c r="CW18" i="11"/>
  <c r="DE18" i="11"/>
  <c r="DM18" i="11"/>
  <c r="DU18" i="11"/>
  <c r="EC18" i="11"/>
  <c r="EK18" i="11"/>
  <c r="BB18" i="11"/>
  <c r="BJ18" i="11"/>
  <c r="BR18" i="11"/>
  <c r="BZ18" i="11"/>
  <c r="CH18" i="11"/>
  <c r="CP18" i="11"/>
  <c r="CX18" i="11"/>
  <c r="DF18" i="11"/>
  <c r="DN18" i="11"/>
  <c r="DV18" i="11"/>
  <c r="ED18" i="11"/>
  <c r="EL18" i="11"/>
  <c r="CY18" i="11"/>
  <c r="DG18" i="11"/>
  <c r="BC18" i="11"/>
  <c r="DO18" i="11"/>
  <c r="BK18" i="11"/>
  <c r="DW18" i="11"/>
  <c r="BS18" i="11"/>
  <c r="EE18" i="11"/>
  <c r="CA18" i="11"/>
  <c r="CI18" i="11"/>
  <c r="CQ18" i="11"/>
  <c r="K69" i="11"/>
  <c r="S69" i="11"/>
  <c r="L69" i="11"/>
  <c r="T69" i="11"/>
  <c r="R69" i="11"/>
  <c r="M69" i="11"/>
  <c r="U69" i="11"/>
  <c r="J69" i="11"/>
  <c r="N69" i="11"/>
  <c r="V69" i="11"/>
  <c r="O69" i="11"/>
  <c r="P69" i="11"/>
  <c r="Q69" i="11"/>
  <c r="AB69" i="11"/>
  <c r="AJ69" i="11"/>
  <c r="AR69" i="11"/>
  <c r="AZ69" i="11"/>
  <c r="BH69" i="11"/>
  <c r="DM69" i="11"/>
  <c r="DU69" i="11"/>
  <c r="EC69" i="11"/>
  <c r="EK69" i="11"/>
  <c r="AC69" i="11"/>
  <c r="AK69" i="11"/>
  <c r="AS69" i="11"/>
  <c r="BA69" i="11"/>
  <c r="BI69" i="11"/>
  <c r="DN69" i="11"/>
  <c r="DV69" i="11"/>
  <c r="ED69" i="11"/>
  <c r="EL69" i="11"/>
  <c r="AD69" i="11"/>
  <c r="AL69" i="11"/>
  <c r="AT69" i="11"/>
  <c r="BB69" i="11"/>
  <c r="BJ69" i="11"/>
  <c r="DO69" i="11"/>
  <c r="DW69" i="11"/>
  <c r="EE69" i="11"/>
  <c r="X69" i="11"/>
  <c r="AF69" i="11"/>
  <c r="AN69" i="11"/>
  <c r="AV69" i="11"/>
  <c r="BD69" i="11"/>
  <c r="BL69" i="11"/>
  <c r="DQ69" i="11"/>
  <c r="DY69" i="11"/>
  <c r="EG69" i="11"/>
  <c r="Y69" i="11"/>
  <c r="AG69" i="11"/>
  <c r="AO69" i="11"/>
  <c r="AW69" i="11"/>
  <c r="BE69" i="11"/>
  <c r="BM69" i="11"/>
  <c r="DR69" i="11"/>
  <c r="DZ69" i="11"/>
  <c r="EH69" i="11"/>
  <c r="AP69" i="11"/>
  <c r="BK69" i="11"/>
  <c r="EB69" i="11"/>
  <c r="W69" i="11"/>
  <c r="AQ69" i="11"/>
  <c r="BN69" i="11"/>
  <c r="EF69" i="11"/>
  <c r="Z69" i="11"/>
  <c r="AU69" i="11"/>
  <c r="DL69" i="11"/>
  <c r="EI69" i="11"/>
  <c r="AA69" i="11"/>
  <c r="AX69" i="11"/>
  <c r="DP69" i="11"/>
  <c r="EJ69" i="11"/>
  <c r="AE69" i="11"/>
  <c r="AY69" i="11"/>
  <c r="DS69" i="11"/>
  <c r="AH69" i="11"/>
  <c r="BC69" i="11"/>
  <c r="DT69" i="11"/>
  <c r="AI69" i="11"/>
  <c r="BF69" i="11"/>
  <c r="DX69" i="11"/>
  <c r="EA69" i="11"/>
  <c r="AM69" i="11"/>
  <c r="BG69" i="11"/>
  <c r="I38" i="5"/>
  <c r="H12" i="9"/>
  <c r="I12" i="9" s="1"/>
  <c r="N44" i="11"/>
  <c r="V44" i="11"/>
  <c r="U44" i="11"/>
  <c r="O44" i="11"/>
  <c r="M44" i="11"/>
  <c r="P44" i="11"/>
  <c r="Q44" i="11"/>
  <c r="J44" i="11"/>
  <c r="R44" i="11"/>
  <c r="K44" i="11"/>
  <c r="S44" i="11"/>
  <c r="L44" i="11"/>
  <c r="T44" i="11"/>
  <c r="Z44" i="11"/>
  <c r="AH44" i="11"/>
  <c r="AP44" i="11"/>
  <c r="AX44" i="11"/>
  <c r="BF44" i="11"/>
  <c r="CY44" i="11"/>
  <c r="DG44" i="11"/>
  <c r="DO44" i="11"/>
  <c r="DW44" i="11"/>
  <c r="EE44" i="11"/>
  <c r="AA44" i="11"/>
  <c r="AI44" i="11"/>
  <c r="AQ44" i="11"/>
  <c r="AY44" i="11"/>
  <c r="CR44" i="11"/>
  <c r="CZ44" i="11"/>
  <c r="DH44" i="11"/>
  <c r="DP44" i="11"/>
  <c r="DX44" i="11"/>
  <c r="EF44" i="11"/>
  <c r="AB44" i="11"/>
  <c r="AJ44" i="11"/>
  <c r="AR44" i="11"/>
  <c r="AZ44" i="11"/>
  <c r="CS44" i="11"/>
  <c r="DA44" i="11"/>
  <c r="DI44" i="11"/>
  <c r="DQ44" i="11"/>
  <c r="DY44" i="11"/>
  <c r="EG44" i="11"/>
  <c r="AC44" i="11"/>
  <c r="AK44" i="11"/>
  <c r="AS44" i="11"/>
  <c r="BA44" i="11"/>
  <c r="CT44" i="11"/>
  <c r="DB44" i="11"/>
  <c r="DJ44" i="11"/>
  <c r="DR44" i="11"/>
  <c r="DZ44" i="11"/>
  <c r="EH44" i="11"/>
  <c r="AD44" i="11"/>
  <c r="AL44" i="11"/>
  <c r="AT44" i="11"/>
  <c r="BB44" i="11"/>
  <c r="CU44" i="11"/>
  <c r="DC44" i="11"/>
  <c r="DK44" i="11"/>
  <c r="DS44" i="11"/>
  <c r="EA44" i="11"/>
  <c r="EI44" i="11"/>
  <c r="AN44" i="11"/>
  <c r="CV44" i="11"/>
  <c r="DN44" i="11"/>
  <c r="EK44" i="11"/>
  <c r="W44" i="11"/>
  <c r="AO44" i="11"/>
  <c r="CW44" i="11"/>
  <c r="DT44" i="11"/>
  <c r="EL44" i="11"/>
  <c r="X44" i="11"/>
  <c r="AU44" i="11"/>
  <c r="CX44" i="11"/>
  <c r="DU44" i="11"/>
  <c r="Y44" i="11"/>
  <c r="AV44" i="11"/>
  <c r="DD44" i="11"/>
  <c r="DV44" i="11"/>
  <c r="AE44" i="11"/>
  <c r="AW44" i="11"/>
  <c r="DE44" i="11"/>
  <c r="EB44" i="11"/>
  <c r="AF44" i="11"/>
  <c r="BC44" i="11"/>
  <c r="DF44" i="11"/>
  <c r="EC44" i="11"/>
  <c r="AG44" i="11"/>
  <c r="BD44" i="11"/>
  <c r="DL44" i="11"/>
  <c r="ED44" i="11"/>
  <c r="AM44" i="11"/>
  <c r="BE44" i="11"/>
  <c r="DM44" i="11"/>
  <c r="EJ44" i="11"/>
  <c r="AV3" i="8"/>
  <c r="AU11" i="5"/>
  <c r="AV2" i="5"/>
  <c r="AV14" i="5" s="1"/>
  <c r="AU3" i="5"/>
  <c r="I57" i="2"/>
  <c r="I58" i="2" s="1"/>
  <c r="I59" i="2" s="1"/>
  <c r="I60" i="2" s="1"/>
  <c r="I61" i="2" s="1"/>
  <c r="I62" i="2" s="1"/>
  <c r="I63" i="2" s="1"/>
  <c r="I64" i="2" s="1"/>
  <c r="I65" i="2" s="1"/>
  <c r="BW71" i="15" l="1"/>
  <c r="BW63" i="15"/>
  <c r="BW39" i="15"/>
  <c r="BW55" i="15"/>
  <c r="BW47" i="15"/>
  <c r="BW23" i="15"/>
  <c r="BW31" i="15"/>
  <c r="BW15" i="15"/>
  <c r="BW7" i="15"/>
  <c r="BW14" i="15"/>
  <c r="BW5" i="15"/>
  <c r="BX2" i="15"/>
  <c r="BW13" i="15"/>
  <c r="BX19" i="15"/>
  <c r="BW3" i="15"/>
  <c r="BO43" i="16"/>
  <c r="BQ63" i="16"/>
  <c r="BQ7" i="16"/>
  <c r="I44" i="16"/>
  <c r="T44" i="16" s="1"/>
  <c r="I52" i="16"/>
  <c r="AC52" i="16" s="1"/>
  <c r="AB12" i="15"/>
  <c r="M12" i="15"/>
  <c r="M16" i="15" s="1"/>
  <c r="R19" i="17"/>
  <c r="BL19" i="17"/>
  <c r="CJ19" i="17"/>
  <c r="N5" i="16"/>
  <c r="AR5" i="16"/>
  <c r="AX5" i="16"/>
  <c r="BD5" i="16"/>
  <c r="BE5" i="16"/>
  <c r="BJ5" i="16"/>
  <c r="V54" i="15"/>
  <c r="AB54" i="15"/>
  <c r="AG54" i="15"/>
  <c r="BN5" i="16"/>
  <c r="BP5" i="16"/>
  <c r="BI5" i="16"/>
  <c r="AW5" i="16"/>
  <c r="S5" i="16"/>
  <c r="BH5" i="16"/>
  <c r="AV5" i="16"/>
  <c r="BG5" i="16"/>
  <c r="AU5" i="16"/>
  <c r="BF5" i="16"/>
  <c r="BC5" i="16"/>
  <c r="AQ5" i="16"/>
  <c r="M5" i="16"/>
  <c r="BB5" i="16"/>
  <c r="AP5" i="16"/>
  <c r="R5" i="16"/>
  <c r="BM5" i="16"/>
  <c r="BA5" i="16"/>
  <c r="AO5" i="16"/>
  <c r="O5" i="16"/>
  <c r="BL5" i="16"/>
  <c r="AZ5" i="16"/>
  <c r="AN5" i="16"/>
  <c r="Q5" i="16"/>
  <c r="BK5" i="16"/>
  <c r="AY5" i="16"/>
  <c r="AM5" i="16"/>
  <c r="T5" i="16"/>
  <c r="P5" i="16"/>
  <c r="BO5" i="16"/>
  <c r="L20" i="12"/>
  <c r="I20" i="12"/>
  <c r="I27" i="15"/>
  <c r="BX27" i="15" s="1"/>
  <c r="J20" i="12"/>
  <c r="BD54" i="15"/>
  <c r="AW54" i="15"/>
  <c r="AS54" i="15"/>
  <c r="AR54" i="15"/>
  <c r="AK54" i="15"/>
  <c r="W54" i="15"/>
  <c r="BU54" i="15"/>
  <c r="BO12" i="16"/>
  <c r="BP19" i="17"/>
  <c r="BR19" i="17"/>
  <c r="CN19" i="17"/>
  <c r="CW19" i="17"/>
  <c r="Q19" i="17"/>
  <c r="CP19" i="17"/>
  <c r="U19" i="17"/>
  <c r="BY19" i="17"/>
  <c r="CF19" i="17"/>
  <c r="BO19" i="17"/>
  <c r="BU19" i="17"/>
  <c r="CA19" i="17"/>
  <c r="CT19" i="17"/>
  <c r="CG19" i="17"/>
  <c r="CU19" i="17"/>
  <c r="CQ19" i="17"/>
  <c r="CV19" i="17"/>
  <c r="V19" i="17"/>
  <c r="N19" i="17"/>
  <c r="X19" i="17"/>
  <c r="T19" i="17"/>
  <c r="BS19" i="17"/>
  <c r="BJ19" i="17"/>
  <c r="CE19" i="17"/>
  <c r="CI19" i="17"/>
  <c r="BX19" i="17"/>
  <c r="CD19" i="17"/>
  <c r="W19" i="17"/>
  <c r="BT19" i="17"/>
  <c r="BZ19" i="17"/>
  <c r="CC19" i="17"/>
  <c r="CS19" i="17"/>
  <c r="O19" i="17"/>
  <c r="BW19" i="17"/>
  <c r="BQ19" i="17"/>
  <c r="CB19" i="17"/>
  <c r="Y19" i="17"/>
  <c r="CM19" i="17"/>
  <c r="CX19" i="17"/>
  <c r="M19" i="17"/>
  <c r="CR19" i="17"/>
  <c r="CO19" i="17"/>
  <c r="CH19" i="17"/>
  <c r="BK19" i="17"/>
  <c r="AF54" i="15"/>
  <c r="Z54" i="15"/>
  <c r="P44" i="16"/>
  <c r="AD52" i="16"/>
  <c r="BW44" i="15"/>
  <c r="BX44" i="15"/>
  <c r="Y52" i="16"/>
  <c r="AJ52" i="16"/>
  <c r="P19" i="17"/>
  <c r="BM19" i="17"/>
  <c r="BI19" i="17"/>
  <c r="CL19" i="17"/>
  <c r="CK19" i="17"/>
  <c r="BV19" i="17"/>
  <c r="BN19" i="17"/>
  <c r="CN20" i="13"/>
  <c r="CF20" i="13"/>
  <c r="BX20" i="13"/>
  <c r="BP20" i="13"/>
  <c r="O20" i="13"/>
  <c r="CM20" i="13"/>
  <c r="CE20" i="13"/>
  <c r="BW20" i="13"/>
  <c r="BO20" i="13"/>
  <c r="V20" i="13"/>
  <c r="N20" i="13"/>
  <c r="CT20" i="13"/>
  <c r="CL20" i="13"/>
  <c r="CD20" i="13"/>
  <c r="BV20" i="13"/>
  <c r="BN20" i="13"/>
  <c r="U20" i="13"/>
  <c r="M20" i="13"/>
  <c r="CS20" i="13"/>
  <c r="CK20" i="13"/>
  <c r="CC20" i="13"/>
  <c r="BU20" i="13"/>
  <c r="BE20" i="13"/>
  <c r="CR20" i="13"/>
  <c r="CJ20" i="13"/>
  <c r="CB20" i="13"/>
  <c r="BT20" i="13"/>
  <c r="BD20" i="13"/>
  <c r="S20" i="13"/>
  <c r="K20" i="13"/>
  <c r="CQ20" i="13"/>
  <c r="CI20" i="13"/>
  <c r="CA20" i="13"/>
  <c r="BS20" i="13"/>
  <c r="BC20" i="13"/>
  <c r="R20" i="13"/>
  <c r="J20" i="13"/>
  <c r="CP20" i="13"/>
  <c r="CH20" i="13"/>
  <c r="BZ20" i="13"/>
  <c r="BR20" i="13"/>
  <c r="BB20" i="13"/>
  <c r="Q20" i="13"/>
  <c r="I20" i="13"/>
  <c r="BY20" i="13"/>
  <c r="L20" i="13"/>
  <c r="BQ20" i="13"/>
  <c r="P20" i="13"/>
  <c r="CG20" i="13"/>
  <c r="CO20" i="13"/>
  <c r="T20" i="13"/>
  <c r="BL36" i="14"/>
  <c r="S25" i="9"/>
  <c r="AI35" i="15"/>
  <c r="AT3" i="9"/>
  <c r="BL20" i="14"/>
  <c r="DO49" i="9"/>
  <c r="BL4" i="14"/>
  <c r="U49" i="9"/>
  <c r="DD49" i="9"/>
  <c r="BL12" i="14"/>
  <c r="L20" i="9"/>
  <c r="BP21" i="16"/>
  <c r="BL28" i="14"/>
  <c r="M44" i="15"/>
  <c r="P44" i="15"/>
  <c r="N44" i="15"/>
  <c r="V44" i="15"/>
  <c r="AA44" i="15"/>
  <c r="Y44" i="15"/>
  <c r="T44" i="15"/>
  <c r="X44" i="15"/>
  <c r="S44" i="15"/>
  <c r="O44" i="15"/>
  <c r="Q44" i="15"/>
  <c r="R44" i="15"/>
  <c r="Z44" i="15"/>
  <c r="AB44" i="15"/>
  <c r="W44" i="15"/>
  <c r="U44" i="15"/>
  <c r="AC44" i="15"/>
  <c r="AD44" i="15"/>
  <c r="AE44" i="15"/>
  <c r="AF44" i="15"/>
  <c r="AG44" i="15"/>
  <c r="AH44" i="15"/>
  <c r="AI44" i="15"/>
  <c r="AJ44" i="15"/>
  <c r="BN44" i="15"/>
  <c r="BO44" i="15"/>
  <c r="BP44" i="15"/>
  <c r="BQ44" i="15"/>
  <c r="BR44" i="15"/>
  <c r="BS44" i="15"/>
  <c r="BT44" i="15"/>
  <c r="BU44" i="15"/>
  <c r="BV44" i="15"/>
  <c r="Z68" i="15"/>
  <c r="P68" i="15"/>
  <c r="AN68" i="15"/>
  <c r="AN5" i="5"/>
  <c r="AI5" i="5"/>
  <c r="AP5" i="5"/>
  <c r="AM5" i="5"/>
  <c r="AO5" i="5"/>
  <c r="AJ5" i="5"/>
  <c r="AQ5" i="5"/>
  <c r="AS5" i="5"/>
  <c r="AK5" i="5"/>
  <c r="AL5" i="5"/>
  <c r="AU5" i="5"/>
  <c r="AT5" i="5"/>
  <c r="AQ27" i="12"/>
  <c r="AT52" i="9"/>
  <c r="AT44" i="9"/>
  <c r="AT9" i="9"/>
  <c r="AQ12" i="12"/>
  <c r="AQ10" i="12"/>
  <c r="AQ18" i="12"/>
  <c r="AQ44" i="12"/>
  <c r="AQ52" i="12"/>
  <c r="AQ61" i="12"/>
  <c r="AQ60" i="12"/>
  <c r="AQ5" i="12"/>
  <c r="AQ4" i="12"/>
  <c r="AQ2" i="12"/>
  <c r="AR1" i="12"/>
  <c r="X60" i="15"/>
  <c r="Z60" i="15"/>
  <c r="P60" i="15"/>
  <c r="AF60" i="15"/>
  <c r="AM60" i="15"/>
  <c r="AR60" i="15"/>
  <c r="AY60" i="15"/>
  <c r="AU4" i="5"/>
  <c r="L4" i="5"/>
  <c r="AU6" i="5"/>
  <c r="BK12" i="15"/>
  <c r="BP12" i="15"/>
  <c r="BB12" i="15"/>
  <c r="AM12" i="15"/>
  <c r="AH12" i="15"/>
  <c r="AU12" i="15"/>
  <c r="AT12" i="15"/>
  <c r="BS12" i="15"/>
  <c r="AR12" i="15"/>
  <c r="BR12" i="15"/>
  <c r="AP12" i="15"/>
  <c r="BN12" i="15"/>
  <c r="AI12" i="15"/>
  <c r="BG12" i="15"/>
  <c r="BF12" i="15"/>
  <c r="BD12" i="15"/>
  <c r="AA12" i="15"/>
  <c r="AY12" i="15"/>
  <c r="BP20" i="15"/>
  <c r="AW60" i="15"/>
  <c r="AK60" i="15"/>
  <c r="V60" i="15"/>
  <c r="N60" i="15"/>
  <c r="AV60" i="15"/>
  <c r="AJ60" i="15"/>
  <c r="W60" i="15"/>
  <c r="BT54" i="15"/>
  <c r="AV54" i="15"/>
  <c r="AJ54" i="15"/>
  <c r="AA54" i="15"/>
  <c r="AJ68" i="15"/>
  <c r="AU60" i="15"/>
  <c r="AI60" i="15"/>
  <c r="AB60" i="15"/>
  <c r="BS54" i="15"/>
  <c r="AU54" i="15"/>
  <c r="AI54" i="15"/>
  <c r="S54" i="15"/>
  <c r="AI68" i="15"/>
  <c r="AT60" i="15"/>
  <c r="AH60" i="15"/>
  <c r="S60" i="15"/>
  <c r="AT54" i="15"/>
  <c r="AH54" i="15"/>
  <c r="Q54" i="15"/>
  <c r="AH68" i="15"/>
  <c r="AS60" i="15"/>
  <c r="AG60" i="15"/>
  <c r="M60" i="15"/>
  <c r="AQ60" i="15"/>
  <c r="AE60" i="15"/>
  <c r="R60" i="15"/>
  <c r="BC54" i="15"/>
  <c r="AQ54" i="15"/>
  <c r="AE54" i="15"/>
  <c r="P54" i="15"/>
  <c r="Y68" i="15"/>
  <c r="BO20" i="15"/>
  <c r="BX54" i="15"/>
  <c r="AP60" i="15"/>
  <c r="AD60" i="15"/>
  <c r="O60" i="15"/>
  <c r="BB54" i="15"/>
  <c r="AP54" i="15"/>
  <c r="AD54" i="15"/>
  <c r="Y54" i="15"/>
  <c r="AA68" i="15"/>
  <c r="BI20" i="15"/>
  <c r="BX60" i="15"/>
  <c r="AO60" i="15"/>
  <c r="AC60" i="15"/>
  <c r="Q60" i="15"/>
  <c r="BA54" i="15"/>
  <c r="AO54" i="15"/>
  <c r="AC54" i="15"/>
  <c r="M54" i="15"/>
  <c r="W68" i="15"/>
  <c r="BX68" i="15"/>
  <c r="BV60" i="15"/>
  <c r="AN60" i="15"/>
  <c r="T60" i="15"/>
  <c r="AA60" i="15"/>
  <c r="AZ54" i="15"/>
  <c r="AN54" i="15"/>
  <c r="X54" i="15"/>
  <c r="N54" i="15"/>
  <c r="AV68" i="15"/>
  <c r="BW54" i="15"/>
  <c r="AY54" i="15"/>
  <c r="AM54" i="15"/>
  <c r="U54" i="15"/>
  <c r="T54" i="15"/>
  <c r="AU68" i="15"/>
  <c r="AX60" i="15"/>
  <c r="AL60" i="15"/>
  <c r="U60" i="15"/>
  <c r="Y60" i="15"/>
  <c r="BV54" i="15"/>
  <c r="AX54" i="15"/>
  <c r="AL54" i="15"/>
  <c r="R54" i="15"/>
  <c r="O54" i="15"/>
  <c r="AT68" i="15"/>
  <c r="AQ19" i="12"/>
  <c r="O25" i="9"/>
  <c r="N20" i="15"/>
  <c r="L25" i="9"/>
  <c r="L30" i="9" s="1"/>
  <c r="BU20" i="15"/>
  <c r="N25" i="9"/>
  <c r="AC49" i="9"/>
  <c r="BQ20" i="15"/>
  <c r="DI41" i="9"/>
  <c r="DM49" i="9"/>
  <c r="BC20" i="15"/>
  <c r="L49" i="9"/>
  <c r="T25" i="9"/>
  <c r="R25" i="9"/>
  <c r="Q25" i="9"/>
  <c r="BX20" i="15"/>
  <c r="BV12" i="15"/>
  <c r="BV16" i="15" s="1"/>
  <c r="BJ12" i="15"/>
  <c r="AX12" i="15"/>
  <c r="AL12" i="15"/>
  <c r="N12" i="15"/>
  <c r="N16" i="15" s="1"/>
  <c r="BU12" i="15"/>
  <c r="BU16" i="15" s="1"/>
  <c r="BI12" i="15"/>
  <c r="AW12" i="15"/>
  <c r="AK12" i="15"/>
  <c r="Z12" i="15"/>
  <c r="BT12" i="15"/>
  <c r="BT16" i="15" s="1"/>
  <c r="BH12" i="15"/>
  <c r="AV12" i="15"/>
  <c r="AJ12" i="15"/>
  <c r="BQ12" i="15"/>
  <c r="BE12" i="15"/>
  <c r="AG12" i="15"/>
  <c r="BO12" i="15"/>
  <c r="BC12" i="15"/>
  <c r="AQ12" i="15"/>
  <c r="BX12" i="15"/>
  <c r="BW12" i="15"/>
  <c r="BW16" i="15" s="1"/>
  <c r="BM12" i="15"/>
  <c r="BA12" i="15"/>
  <c r="AO12" i="15"/>
  <c r="BL12" i="15"/>
  <c r="AZ12" i="15"/>
  <c r="AN12" i="15"/>
  <c r="BV13" i="17"/>
  <c r="CJ13" i="17"/>
  <c r="BY13" i="17"/>
  <c r="CF13" i="17"/>
  <c r="Y13" i="17"/>
  <c r="Q13" i="17"/>
  <c r="CE13" i="17"/>
  <c r="AC13" i="17"/>
  <c r="AB13" i="17"/>
  <c r="BX13" i="17"/>
  <c r="CT13" i="17"/>
  <c r="CB13" i="17"/>
  <c r="CA13" i="17"/>
  <c r="O13" i="17"/>
  <c r="S13" i="17"/>
  <c r="CU13" i="17"/>
  <c r="BU13" i="17"/>
  <c r="P13" i="17"/>
  <c r="CS13" i="17"/>
  <c r="M13" i="17"/>
  <c r="CR13" i="17"/>
  <c r="CQ13" i="17"/>
  <c r="CN13" i="17"/>
  <c r="N13" i="17"/>
  <c r="CG13" i="17"/>
  <c r="CP13" i="17"/>
  <c r="CK13" i="17"/>
  <c r="BW13" i="17"/>
  <c r="W13" i="17"/>
  <c r="CL13" i="17"/>
  <c r="CH13" i="17"/>
  <c r="X13" i="17"/>
  <c r="V13" i="17"/>
  <c r="CO13" i="17"/>
  <c r="R13" i="17"/>
  <c r="CM13" i="17"/>
  <c r="CD13" i="17"/>
  <c r="Z13" i="17"/>
  <c r="BT13" i="17"/>
  <c r="CC13" i="17"/>
  <c r="BZ13" i="17"/>
  <c r="CI13" i="17"/>
  <c r="AA13" i="17"/>
  <c r="BS13" i="17"/>
  <c r="CW13" i="17"/>
  <c r="CX13" i="17"/>
  <c r="T13" i="17"/>
  <c r="U13" i="17"/>
  <c r="CV13" i="17"/>
  <c r="AU1" i="9"/>
  <c r="AU3" i="9" s="1"/>
  <c r="AY68" i="15"/>
  <c r="AM68" i="15"/>
  <c r="R68" i="15"/>
  <c r="AB68" i="15"/>
  <c r="AT2" i="9"/>
  <c r="AX68" i="15"/>
  <c r="AL68" i="15"/>
  <c r="M68" i="15"/>
  <c r="X68" i="15"/>
  <c r="AT17" i="9"/>
  <c r="AW68" i="15"/>
  <c r="AK68" i="15"/>
  <c r="Q68" i="15"/>
  <c r="V68" i="15"/>
  <c r="AS68" i="15"/>
  <c r="AG68" i="15"/>
  <c r="N68" i="15"/>
  <c r="AR68" i="15"/>
  <c r="AF68" i="15"/>
  <c r="S68" i="15"/>
  <c r="AQ68" i="15"/>
  <c r="AE68" i="15"/>
  <c r="T68" i="15"/>
  <c r="AP68" i="15"/>
  <c r="AD68" i="15"/>
  <c r="U68" i="15"/>
  <c r="AO68" i="15"/>
  <c r="AC68" i="15"/>
  <c r="O68" i="15"/>
  <c r="M4" i="16"/>
  <c r="V4" i="16"/>
  <c r="X4" i="16"/>
  <c r="Y4" i="16"/>
  <c r="Z4" i="16"/>
  <c r="AA4" i="16"/>
  <c r="AB4" i="16"/>
  <c r="AF4" i="16"/>
  <c r="AG4" i="16"/>
  <c r="AH4" i="16"/>
  <c r="AI4" i="16"/>
  <c r="AJ4" i="16"/>
  <c r="AK4" i="16"/>
  <c r="AL4" i="16"/>
  <c r="AM4" i="16"/>
  <c r="AN4" i="16"/>
  <c r="AO4" i="16"/>
  <c r="AP4" i="16"/>
  <c r="AQ4" i="16"/>
  <c r="AR4" i="16"/>
  <c r="AS4" i="16"/>
  <c r="AT4" i="16"/>
  <c r="AU4" i="16"/>
  <c r="AV4" i="16"/>
  <c r="AW4" i="16"/>
  <c r="AX4" i="16"/>
  <c r="AY4" i="16"/>
  <c r="AZ4" i="16"/>
  <c r="BA4" i="16"/>
  <c r="BB4" i="16"/>
  <c r="BC4" i="16"/>
  <c r="BD4" i="16"/>
  <c r="BE4" i="16"/>
  <c r="BF4" i="16"/>
  <c r="BG4" i="16"/>
  <c r="BH4" i="16"/>
  <c r="BI4" i="16"/>
  <c r="BJ4" i="16"/>
  <c r="BK4" i="16"/>
  <c r="BL4" i="16"/>
  <c r="BM4" i="16"/>
  <c r="BN4" i="16"/>
  <c r="BO4" i="16"/>
  <c r="AQ11" i="12"/>
  <c r="DF49" i="9"/>
  <c r="AQ3" i="12"/>
  <c r="P25" i="9"/>
  <c r="DP57" i="9"/>
  <c r="Z49" i="9"/>
  <c r="AQ35" i="12"/>
  <c r="S29" i="16"/>
  <c r="T29" i="16"/>
  <c r="R29" i="16"/>
  <c r="Q29" i="16"/>
  <c r="O29" i="16"/>
  <c r="P29" i="16"/>
  <c r="N29" i="16"/>
  <c r="M29" i="16"/>
  <c r="U29" i="16"/>
  <c r="V29" i="16"/>
  <c r="W29" i="16"/>
  <c r="X29" i="16"/>
  <c r="N21" i="16"/>
  <c r="M21" i="16"/>
  <c r="T21" i="16"/>
  <c r="P21" i="16"/>
  <c r="R21" i="16"/>
  <c r="Q21" i="16"/>
  <c r="O21" i="16"/>
  <c r="S21" i="16"/>
  <c r="AO21" i="16"/>
  <c r="AP21" i="16"/>
  <c r="AQ21" i="16"/>
  <c r="AR21" i="16"/>
  <c r="AS21" i="16"/>
  <c r="AT21" i="16"/>
  <c r="AU21" i="16"/>
  <c r="AV21" i="16"/>
  <c r="AW21" i="16"/>
  <c r="AX21" i="16"/>
  <c r="AY21" i="16"/>
  <c r="AZ21" i="16"/>
  <c r="BA21" i="16"/>
  <c r="BB21" i="16"/>
  <c r="BC21" i="16"/>
  <c r="BD21" i="16"/>
  <c r="BE21" i="16"/>
  <c r="BF21" i="16"/>
  <c r="BG21" i="16"/>
  <c r="BH21" i="16"/>
  <c r="BI21" i="16"/>
  <c r="BJ21" i="16"/>
  <c r="BK21" i="16"/>
  <c r="BL21" i="16"/>
  <c r="BM21" i="16"/>
  <c r="BN21" i="16"/>
  <c r="BO21" i="16"/>
  <c r="DU57" i="9"/>
  <c r="Y49" i="9"/>
  <c r="O37" i="16"/>
  <c r="Q37" i="16"/>
  <c r="N37" i="16"/>
  <c r="M37" i="16"/>
  <c r="S37" i="16"/>
  <c r="R37" i="16"/>
  <c r="P37" i="16"/>
  <c r="T37" i="16"/>
  <c r="U37" i="16"/>
  <c r="V37" i="16"/>
  <c r="W37" i="16"/>
  <c r="X37" i="16"/>
  <c r="Y37" i="16"/>
  <c r="O49" i="9"/>
  <c r="BP4" i="16"/>
  <c r="M25" i="9"/>
  <c r="DR49" i="9"/>
  <c r="BE20" i="15"/>
  <c r="DD41" i="9"/>
  <c r="DK49" i="9"/>
  <c r="BD20" i="15"/>
  <c r="AJ35" i="15"/>
  <c r="O6" i="15"/>
  <c r="BX6" i="15"/>
  <c r="BT20" i="15"/>
  <c r="BH20" i="15"/>
  <c r="AJ20" i="15"/>
  <c r="BS20" i="15"/>
  <c r="BG20" i="15"/>
  <c r="AI20" i="15"/>
  <c r="AN35" i="15"/>
  <c r="BR20" i="15"/>
  <c r="BF20" i="15"/>
  <c r="M20" i="15"/>
  <c r="P35" i="15"/>
  <c r="BN20" i="15"/>
  <c r="BB20" i="15"/>
  <c r="T35" i="15"/>
  <c r="BM20" i="15"/>
  <c r="BA20" i="15"/>
  <c r="M35" i="15"/>
  <c r="BL20" i="15"/>
  <c r="AZ20" i="15"/>
  <c r="I52" i="15"/>
  <c r="BX52" i="15" s="1"/>
  <c r="BK20" i="15"/>
  <c r="AY20" i="15"/>
  <c r="O35" i="15"/>
  <c r="AB35" i="15"/>
  <c r="BV20" i="15"/>
  <c r="BJ20" i="15"/>
  <c r="X62" i="15"/>
  <c r="BX62" i="15"/>
  <c r="X51" i="15"/>
  <c r="G61" i="15"/>
  <c r="AM35" i="15"/>
  <c r="Z35" i="15"/>
  <c r="AC35" i="15"/>
  <c r="AL35" i="15"/>
  <c r="S35" i="15"/>
  <c r="Y35" i="15"/>
  <c r="BI35" i="15"/>
  <c r="AK35" i="15"/>
  <c r="N35" i="15"/>
  <c r="H37" i="15"/>
  <c r="I37" i="15" s="1"/>
  <c r="T37" i="15" s="1"/>
  <c r="AA6" i="15"/>
  <c r="R6" i="15"/>
  <c r="Z6" i="15"/>
  <c r="W6" i="15"/>
  <c r="U6" i="15"/>
  <c r="AB6" i="15"/>
  <c r="X6" i="15"/>
  <c r="M6" i="15"/>
  <c r="Q6" i="15"/>
  <c r="S6" i="15"/>
  <c r="P6" i="15"/>
  <c r="N6" i="15"/>
  <c r="V6" i="15"/>
  <c r="T6" i="15"/>
  <c r="Y6" i="15"/>
  <c r="AC6" i="15"/>
  <c r="AU6" i="15"/>
  <c r="AV6" i="15"/>
  <c r="AW6" i="15"/>
  <c r="AX6" i="15"/>
  <c r="AY6" i="15"/>
  <c r="AZ6" i="15"/>
  <c r="BA6" i="15"/>
  <c r="BB6" i="15"/>
  <c r="BC6" i="15"/>
  <c r="BD6" i="15"/>
  <c r="BE6" i="15"/>
  <c r="BF6" i="15"/>
  <c r="BG6" i="15"/>
  <c r="BH6" i="15"/>
  <c r="BI6" i="15"/>
  <c r="BJ6" i="15"/>
  <c r="BK6" i="15"/>
  <c r="BL6" i="15"/>
  <c r="BM6" i="15"/>
  <c r="BN6" i="15"/>
  <c r="BO6" i="15"/>
  <c r="BP6" i="15"/>
  <c r="BQ6" i="15"/>
  <c r="BR6" i="15"/>
  <c r="BS6" i="15"/>
  <c r="BT6" i="15"/>
  <c r="BU6" i="15"/>
  <c r="BV6" i="15"/>
  <c r="BW6" i="15"/>
  <c r="T22" i="15"/>
  <c r="AA22" i="15"/>
  <c r="P22" i="15"/>
  <c r="Y22" i="15"/>
  <c r="Z22" i="15"/>
  <c r="V22" i="15"/>
  <c r="R22" i="15"/>
  <c r="X22" i="15"/>
  <c r="Q22" i="15"/>
  <c r="N22" i="15"/>
  <c r="S22" i="15"/>
  <c r="AB22" i="15"/>
  <c r="AC22" i="15"/>
  <c r="U22" i="15"/>
  <c r="O22" i="15"/>
  <c r="M22" i="15"/>
  <c r="AD22" i="15"/>
  <c r="AE22" i="15"/>
  <c r="AF22" i="15"/>
  <c r="AG22" i="15"/>
  <c r="AH22" i="15"/>
  <c r="AI22" i="15"/>
  <c r="AJ22" i="15"/>
  <c r="AK22" i="15"/>
  <c r="AL22" i="15"/>
  <c r="AM22" i="15"/>
  <c r="AN22" i="15"/>
  <c r="BI22" i="15"/>
  <c r="BJ22" i="15"/>
  <c r="BK22" i="15"/>
  <c r="BL22" i="15"/>
  <c r="BM22" i="15"/>
  <c r="BN22" i="15"/>
  <c r="BO22" i="15"/>
  <c r="BP22" i="15"/>
  <c r="BQ22" i="15"/>
  <c r="BR22" i="15"/>
  <c r="BS22" i="15"/>
  <c r="BT22" i="15"/>
  <c r="BU22" i="15"/>
  <c r="BV22" i="15"/>
  <c r="BW22" i="15"/>
  <c r="T4" i="5"/>
  <c r="U4" i="5"/>
  <c r="Y4" i="5"/>
  <c r="Z4" i="5"/>
  <c r="AA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I70" i="15"/>
  <c r="BX70" i="15" s="1"/>
  <c r="AH35" i="15"/>
  <c r="V35" i="15"/>
  <c r="CY3" i="11"/>
  <c r="CY7" i="11" s="1"/>
  <c r="AS3" i="11"/>
  <c r="AS7" i="11" s="1"/>
  <c r="EA3" i="11"/>
  <c r="EA7" i="11" s="1"/>
  <c r="BG3" i="11"/>
  <c r="BG7" i="11" s="1"/>
  <c r="CZ3" i="11"/>
  <c r="CZ7" i="11" s="1"/>
  <c r="AG3" i="11"/>
  <c r="DS3" i="11"/>
  <c r="DS7" i="11" s="1"/>
  <c r="CM3" i="11"/>
  <c r="CM7" i="11" s="1"/>
  <c r="AW3" i="11"/>
  <c r="AW7" i="11" s="1"/>
  <c r="CJ3" i="11"/>
  <c r="CJ7" i="11" s="1"/>
  <c r="AN3" i="11"/>
  <c r="DV3" i="11"/>
  <c r="DV7" i="11" s="1"/>
  <c r="BC3" i="11"/>
  <c r="BC7" i="11" s="1"/>
  <c r="CU3" i="11"/>
  <c r="CU7" i="11" s="1"/>
  <c r="AD3" i="11"/>
  <c r="CI3" i="11"/>
  <c r="CI7" i="11" s="1"/>
  <c r="AR3" i="11"/>
  <c r="CG3" i="11"/>
  <c r="CG7" i="11" s="1"/>
  <c r="AL3" i="11"/>
  <c r="DR3" i="11"/>
  <c r="DR7" i="11" s="1"/>
  <c r="AV3" i="11"/>
  <c r="AV7" i="11" s="1"/>
  <c r="DO3" i="11"/>
  <c r="DO7" i="11" s="1"/>
  <c r="EG3" i="11"/>
  <c r="EG7" i="11" s="1"/>
  <c r="DK3" i="11"/>
  <c r="DK7" i="11" s="1"/>
  <c r="CE3" i="11"/>
  <c r="CE7" i="11" s="1"/>
  <c r="CB3" i="11"/>
  <c r="CB7" i="11" s="1"/>
  <c r="DJ3" i="11"/>
  <c r="DJ7" i="11" s="1"/>
  <c r="AY3" i="11"/>
  <c r="AY7" i="11" s="1"/>
  <c r="ED3" i="11"/>
  <c r="ED7" i="11" s="1"/>
  <c r="DT3" i="11"/>
  <c r="DT7" i="11" s="1"/>
  <c r="AU3" i="11"/>
  <c r="AU7" i="11" s="1"/>
  <c r="DZ3" i="11"/>
  <c r="DZ7" i="11" s="1"/>
  <c r="CT3" i="11"/>
  <c r="CT7" i="11" s="1"/>
  <c r="BM3" i="11"/>
  <c r="BM7" i="11" s="1"/>
  <c r="AE3" i="11"/>
  <c r="BB3" i="11"/>
  <c r="BB7" i="11" s="1"/>
  <c r="DP3" i="11"/>
  <c r="DP7" i="11" s="1"/>
  <c r="DX3" i="11"/>
  <c r="DX7" i="11" s="1"/>
  <c r="CO3" i="11"/>
  <c r="CO7" i="11" s="1"/>
  <c r="CF3" i="11"/>
  <c r="CF7" i="11" s="1"/>
  <c r="DQ3" i="11"/>
  <c r="DQ7" i="11" s="1"/>
  <c r="CR3" i="11"/>
  <c r="CR7" i="11" s="1"/>
  <c r="CD3" i="11"/>
  <c r="CD7" i="11" s="1"/>
  <c r="BW3" i="11"/>
  <c r="BW7" i="11" s="1"/>
  <c r="CA3" i="11"/>
  <c r="CA7" i="11" s="1"/>
  <c r="AO3" i="11"/>
  <c r="DL3" i="11"/>
  <c r="DL7" i="11" s="1"/>
  <c r="BK3" i="11"/>
  <c r="BK7" i="11" s="1"/>
  <c r="DW3" i="11"/>
  <c r="DW7" i="11" s="1"/>
  <c r="CW3" i="11"/>
  <c r="CW7" i="11" s="1"/>
  <c r="BJ3" i="11"/>
  <c r="BJ7" i="11" s="1"/>
  <c r="EL3" i="11"/>
  <c r="EL7" i="11" s="1"/>
  <c r="DC3" i="11"/>
  <c r="DC7" i="11" s="1"/>
  <c r="BV3" i="11"/>
  <c r="BV7" i="11" s="1"/>
  <c r="AT3" i="11"/>
  <c r="AT7" i="11" s="1"/>
  <c r="BL3" i="11"/>
  <c r="BL7" i="11" s="1"/>
  <c r="BI3" i="11"/>
  <c r="BI7" i="11" s="1"/>
  <c r="CK3" i="11"/>
  <c r="CK7" i="11" s="1"/>
  <c r="EH3" i="11"/>
  <c r="EH7" i="11" s="1"/>
  <c r="AX3" i="11"/>
  <c r="AX7" i="11" s="1"/>
  <c r="EF3" i="11"/>
  <c r="EF7" i="11" s="1"/>
  <c r="CV3" i="11"/>
  <c r="CV7" i="11" s="1"/>
  <c r="BR3" i="11"/>
  <c r="BR7" i="11" s="1"/>
  <c r="AH3" i="11"/>
  <c r="CH3" i="11"/>
  <c r="CH7" i="11" s="1"/>
  <c r="AB3" i="11"/>
  <c r="CC3" i="11"/>
  <c r="CC7" i="11" s="1"/>
  <c r="Z3" i="11"/>
  <c r="AK3" i="11"/>
  <c r="EB3" i="11"/>
  <c r="EB7" i="11" s="1"/>
  <c r="BZ3" i="11"/>
  <c r="BZ7" i="11" s="1"/>
  <c r="DI3" i="11"/>
  <c r="DI7" i="11" s="1"/>
  <c r="CX3" i="11"/>
  <c r="CX7" i="11" s="1"/>
  <c r="BF3" i="11"/>
  <c r="BF7" i="11" s="1"/>
  <c r="CS3" i="11"/>
  <c r="CS7" i="11" s="1"/>
  <c r="R3" i="11"/>
  <c r="BS3" i="11"/>
  <c r="BS7" i="11" s="1"/>
  <c r="AQ3" i="11"/>
  <c r="CQ3" i="11"/>
  <c r="CQ7" i="11" s="1"/>
  <c r="BH3" i="11"/>
  <c r="BH7" i="11" s="1"/>
  <c r="EK3" i="11"/>
  <c r="EK7" i="11" s="1"/>
  <c r="DB3" i="11"/>
  <c r="DB7" i="11" s="1"/>
  <c r="DG3" i="11"/>
  <c r="DG7" i="11" s="1"/>
  <c r="BX3" i="11"/>
  <c r="BX7" i="11" s="1"/>
  <c r="AI3" i="11"/>
  <c r="DH3" i="11"/>
  <c r="DH7" i="11" s="1"/>
  <c r="AJ3" i="11"/>
  <c r="BQ3" i="11"/>
  <c r="BQ7" i="11" s="1"/>
  <c r="BD3" i="11"/>
  <c r="BD7" i="11" s="1"/>
  <c r="BT3" i="11"/>
  <c r="BT7" i="11" s="1"/>
  <c r="AF3" i="11"/>
  <c r="DA3" i="11"/>
  <c r="DA7" i="11" s="1"/>
  <c r="AC3" i="11"/>
  <c r="BN3" i="11"/>
  <c r="BN7" i="11" s="1"/>
  <c r="S3" i="11"/>
  <c r="DE3" i="11"/>
  <c r="DE7" i="11" s="1"/>
  <c r="BY3" i="11"/>
  <c r="BY7" i="11" s="1"/>
  <c r="DM3" i="11"/>
  <c r="DM7" i="11" s="1"/>
  <c r="BP3" i="11"/>
  <c r="BP7" i="11" s="1"/>
  <c r="X3" i="11"/>
  <c r="CP3" i="11"/>
  <c r="CP7" i="11" s="1"/>
  <c r="EJ3" i="11"/>
  <c r="EJ7" i="11" s="1"/>
  <c r="BE3" i="11"/>
  <c r="BE7" i="11" s="1"/>
  <c r="EI3" i="11"/>
  <c r="EI7" i="11" s="1"/>
  <c r="BU3" i="11"/>
  <c r="BU7" i="11" s="1"/>
  <c r="AP3" i="11"/>
  <c r="DY3" i="11"/>
  <c r="DY7" i="11" s="1"/>
  <c r="Y3" i="11"/>
  <c r="DD3" i="11"/>
  <c r="DD7" i="11" s="1"/>
  <c r="AZ3" i="11"/>
  <c r="AZ7" i="11" s="1"/>
  <c r="EC3" i="11"/>
  <c r="EC7" i="11" s="1"/>
  <c r="BO3" i="11"/>
  <c r="BO7" i="11" s="1"/>
  <c r="AM3" i="11"/>
  <c r="DU3" i="11"/>
  <c r="DU7" i="11" s="1"/>
  <c r="CN3" i="11"/>
  <c r="CN7" i="11" s="1"/>
  <c r="BA3" i="11"/>
  <c r="BA7" i="11" s="1"/>
  <c r="CL3" i="11"/>
  <c r="CL7" i="11" s="1"/>
  <c r="EE3" i="11"/>
  <c r="EE7" i="11" s="1"/>
  <c r="DF3" i="11"/>
  <c r="DF7" i="11" s="1"/>
  <c r="DN3" i="11"/>
  <c r="DN7" i="11" s="1"/>
  <c r="U51" i="15"/>
  <c r="O51" i="15"/>
  <c r="Y51" i="15"/>
  <c r="N51" i="15"/>
  <c r="M51" i="15"/>
  <c r="V51" i="15"/>
  <c r="Q51" i="15"/>
  <c r="P51" i="15"/>
  <c r="S51" i="15"/>
  <c r="R51" i="15"/>
  <c r="Z51" i="15"/>
  <c r="W51" i="15"/>
  <c r="AB51" i="15"/>
  <c r="AA51" i="15"/>
  <c r="T51" i="15"/>
  <c r="G53" i="15"/>
  <c r="AC51" i="15"/>
  <c r="AD51" i="15"/>
  <c r="AE51" i="15"/>
  <c r="AF51" i="15"/>
  <c r="AG51" i="15"/>
  <c r="AH51" i="15"/>
  <c r="AI51" i="15"/>
  <c r="AJ51" i="15"/>
  <c r="AK51" i="15"/>
  <c r="AL51" i="15"/>
  <c r="AM51" i="15"/>
  <c r="AN51" i="15"/>
  <c r="AO51" i="15"/>
  <c r="AP51" i="15"/>
  <c r="AQ51" i="15"/>
  <c r="AR51" i="15"/>
  <c r="AS51" i="15"/>
  <c r="AT51" i="15"/>
  <c r="BE51" i="15"/>
  <c r="BF51" i="15"/>
  <c r="BG51" i="15"/>
  <c r="BH51" i="15"/>
  <c r="Z62" i="15"/>
  <c r="R62" i="15"/>
  <c r="Y62" i="15"/>
  <c r="P62" i="15"/>
  <c r="V62" i="15"/>
  <c r="Q62" i="15"/>
  <c r="AA62" i="15"/>
  <c r="AC62" i="15"/>
  <c r="W62" i="15"/>
  <c r="S62" i="15"/>
  <c r="AD62" i="15"/>
  <c r="O62" i="15"/>
  <c r="T62" i="15"/>
  <c r="M62" i="15"/>
  <c r="U62" i="15"/>
  <c r="N62" i="15"/>
  <c r="AB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U62" i="15"/>
  <c r="BV62" i="15"/>
  <c r="BW62" i="15"/>
  <c r="AG35" i="15"/>
  <c r="U35" i="15"/>
  <c r="I36" i="15"/>
  <c r="S36" i="15" s="1"/>
  <c r="M4" i="15"/>
  <c r="V4" i="15"/>
  <c r="AB4" i="15"/>
  <c r="N4" i="15"/>
  <c r="T4" i="15"/>
  <c r="Z4" i="15"/>
  <c r="U4" i="15"/>
  <c r="AA4" i="15"/>
  <c r="AD4" i="15"/>
  <c r="AE4" i="15"/>
  <c r="AF4" i="15"/>
  <c r="AG4" i="15"/>
  <c r="AH4" i="15"/>
  <c r="AI4" i="15"/>
  <c r="AJ4" i="15"/>
  <c r="AK4" i="15"/>
  <c r="AL4" i="15"/>
  <c r="AM4" i="15"/>
  <c r="AN4" i="15"/>
  <c r="AO4" i="15"/>
  <c r="AP4" i="15"/>
  <c r="AQ4" i="15"/>
  <c r="AR4" i="15"/>
  <c r="AS4" i="15"/>
  <c r="AT4" i="15"/>
  <c r="AU4" i="15"/>
  <c r="AV4" i="15"/>
  <c r="AW4" i="15"/>
  <c r="AX4" i="15"/>
  <c r="AY4" i="15"/>
  <c r="AZ4" i="15"/>
  <c r="BA4" i="15"/>
  <c r="BB4" i="15"/>
  <c r="BC4" i="15"/>
  <c r="BD4" i="15"/>
  <c r="BE4" i="15"/>
  <c r="BF4" i="15"/>
  <c r="BG4" i="15"/>
  <c r="BH4" i="15"/>
  <c r="BI4" i="15"/>
  <c r="BJ4" i="15"/>
  <c r="BK4" i="15"/>
  <c r="BL4" i="15"/>
  <c r="BM4" i="15"/>
  <c r="BN4" i="15"/>
  <c r="BO4" i="15"/>
  <c r="BP4" i="15"/>
  <c r="BQ4" i="15"/>
  <c r="BR4" i="15"/>
  <c r="BS4" i="15"/>
  <c r="BT4" i="15"/>
  <c r="BU4" i="15"/>
  <c r="BV4" i="15"/>
  <c r="BW4" i="15"/>
  <c r="AF35" i="15"/>
  <c r="X35" i="15"/>
  <c r="I30" i="15"/>
  <c r="BX30" i="15" s="1"/>
  <c r="V67" i="15"/>
  <c r="N67" i="15"/>
  <c r="U67" i="15"/>
  <c r="T67" i="15"/>
  <c r="G69" i="15"/>
  <c r="X67" i="15"/>
  <c r="W67" i="15"/>
  <c r="Q67" i="15"/>
  <c r="Y67" i="15"/>
  <c r="M67" i="15"/>
  <c r="S67" i="15"/>
  <c r="AC67" i="15"/>
  <c r="AD67" i="15"/>
  <c r="R67" i="15"/>
  <c r="O67" i="15"/>
  <c r="AA67" i="15"/>
  <c r="P67" i="15"/>
  <c r="AB67" i="15"/>
  <c r="Z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G67" i="15"/>
  <c r="BH67" i="15"/>
  <c r="BI67" i="15"/>
  <c r="BJ67" i="15"/>
  <c r="BK67" i="15"/>
  <c r="BL67" i="15"/>
  <c r="BM67" i="15"/>
  <c r="BN67" i="15"/>
  <c r="AE35" i="15"/>
  <c r="Q35" i="15"/>
  <c r="I20" i="5"/>
  <c r="BX22" i="15"/>
  <c r="M28" i="15"/>
  <c r="N28" i="15"/>
  <c r="BC28" i="15"/>
  <c r="BD28" i="15"/>
  <c r="BE28" i="15"/>
  <c r="BF28" i="15"/>
  <c r="BG28" i="15"/>
  <c r="BH28" i="15"/>
  <c r="BI28" i="15"/>
  <c r="BJ28" i="15"/>
  <c r="BK28" i="15"/>
  <c r="BL28" i="15"/>
  <c r="BM28" i="15"/>
  <c r="BN28" i="15"/>
  <c r="BO28" i="15"/>
  <c r="BP28" i="15"/>
  <c r="BQ28" i="15"/>
  <c r="BR28" i="15"/>
  <c r="BS28" i="15"/>
  <c r="BT28" i="15"/>
  <c r="BU28" i="15"/>
  <c r="BV28" i="15"/>
  <c r="BW28" i="15"/>
  <c r="AP35" i="15"/>
  <c r="AD35" i="15"/>
  <c r="W35" i="15"/>
  <c r="I21" i="15"/>
  <c r="BX21" i="15" s="1"/>
  <c r="S19" i="15"/>
  <c r="N19" i="15"/>
  <c r="O19" i="15"/>
  <c r="Q19" i="15"/>
  <c r="R19" i="15"/>
  <c r="M19" i="15"/>
  <c r="P19" i="15"/>
  <c r="AH19" i="15"/>
  <c r="AI19" i="15"/>
  <c r="AJ19" i="15"/>
  <c r="AK19" i="15"/>
  <c r="AL19" i="15"/>
  <c r="AM19" i="15"/>
  <c r="AN19" i="15"/>
  <c r="AO19" i="15"/>
  <c r="AP19" i="15"/>
  <c r="AQ19" i="15"/>
  <c r="AR19" i="15"/>
  <c r="AY19" i="15"/>
  <c r="AZ19" i="15"/>
  <c r="BA19" i="15"/>
  <c r="BB19" i="15"/>
  <c r="BC19" i="15"/>
  <c r="BD19" i="15"/>
  <c r="BE19" i="15"/>
  <c r="BF19" i="15"/>
  <c r="BG19" i="15"/>
  <c r="BH19" i="15"/>
  <c r="BI19" i="15"/>
  <c r="BJ19" i="15"/>
  <c r="BK19" i="15"/>
  <c r="BL19" i="15"/>
  <c r="BM19" i="15"/>
  <c r="BN19" i="15"/>
  <c r="BO19" i="15"/>
  <c r="BP19" i="15"/>
  <c r="BQ19" i="15"/>
  <c r="BR19" i="15"/>
  <c r="BS19" i="15"/>
  <c r="BT19" i="15"/>
  <c r="BU19" i="15"/>
  <c r="BV19" i="15"/>
  <c r="BW19" i="15"/>
  <c r="AO35" i="15"/>
  <c r="R35" i="15"/>
  <c r="AA35" i="15"/>
  <c r="I59" i="15"/>
  <c r="N59" i="15" s="1"/>
  <c r="BQ35" i="16"/>
  <c r="BQ30" i="16"/>
  <c r="BQ27" i="16"/>
  <c r="BQ11" i="16"/>
  <c r="BQ4" i="16"/>
  <c r="BQ21" i="16"/>
  <c r="BQ22" i="16"/>
  <c r="BQ38" i="16"/>
  <c r="BQ14" i="16"/>
  <c r="BQ19" i="16"/>
  <c r="BQ5" i="16"/>
  <c r="BQ6" i="16"/>
  <c r="BQ43" i="16"/>
  <c r="BR2" i="16"/>
  <c r="AF57" i="9"/>
  <c r="R49" i="9"/>
  <c r="CY49" i="9"/>
  <c r="AA57" i="9"/>
  <c r="X41" i="9"/>
  <c r="U57" i="9"/>
  <c r="DT49" i="9"/>
  <c r="CW49" i="9"/>
  <c r="U41" i="9"/>
  <c r="CV57" i="9"/>
  <c r="CV62" i="9" s="1"/>
  <c r="DC41" i="9"/>
  <c r="DH57" i="9"/>
  <c r="R19" i="9"/>
  <c r="P19" i="9"/>
  <c r="Q19" i="9"/>
  <c r="O19" i="9"/>
  <c r="N19" i="9"/>
  <c r="M19" i="9"/>
  <c r="L19" i="9"/>
  <c r="DQ41" i="9"/>
  <c r="AE57" i="9"/>
  <c r="S57" i="9"/>
  <c r="M57" i="9"/>
  <c r="P57" i="9"/>
  <c r="AB49" i="9"/>
  <c r="T49" i="9"/>
  <c r="DU49" i="9"/>
  <c r="M49" i="9"/>
  <c r="CV49" i="9"/>
  <c r="CV54" i="9" s="1"/>
  <c r="CZ49" i="9"/>
  <c r="DG41" i="9"/>
  <c r="AC57" i="9"/>
  <c r="R57" i="9"/>
  <c r="DQ57" i="9"/>
  <c r="DT57" i="9"/>
  <c r="AA49" i="9"/>
  <c r="S49" i="9"/>
  <c r="DC49" i="9"/>
  <c r="DI49" i="9"/>
  <c r="DJ49" i="9"/>
  <c r="DE49" i="9"/>
  <c r="Z57" i="9"/>
  <c r="CY57" i="9"/>
  <c r="DE57" i="9"/>
  <c r="Q33" i="9"/>
  <c r="Y57" i="9"/>
  <c r="N57" i="9"/>
  <c r="CX57" i="9"/>
  <c r="X49" i="9"/>
  <c r="DP49" i="9"/>
  <c r="DQ49" i="9"/>
  <c r="N49" i="9"/>
  <c r="DN49" i="9"/>
  <c r="M33" i="9"/>
  <c r="O41" i="9"/>
  <c r="X57" i="9"/>
  <c r="DO57" i="9"/>
  <c r="DL57" i="9"/>
  <c r="W49" i="9"/>
  <c r="DS49" i="9"/>
  <c r="CX49" i="9"/>
  <c r="DL49" i="9"/>
  <c r="DH49" i="9"/>
  <c r="CY33" i="9"/>
  <c r="DK41" i="9"/>
  <c r="W57" i="9"/>
  <c r="DG57" i="9"/>
  <c r="DW57" i="9"/>
  <c r="V49" i="9"/>
  <c r="DA49" i="9"/>
  <c r="DG49" i="9"/>
  <c r="Q49" i="9"/>
  <c r="DB49" i="9"/>
  <c r="CX33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I5" i="9"/>
  <c r="L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BA20" i="14"/>
  <c r="BB20" i="14"/>
  <c r="BC20" i="14"/>
  <c r="BD20" i="14"/>
  <c r="BE20" i="14"/>
  <c r="BF20" i="14"/>
  <c r="BG20" i="14"/>
  <c r="BH20" i="14"/>
  <c r="BI20" i="14"/>
  <c r="BJ20" i="14"/>
  <c r="BK20" i="14"/>
  <c r="W41" i="9"/>
  <c r="CW41" i="9"/>
  <c r="P41" i="9"/>
  <c r="DJ41" i="9"/>
  <c r="DF41" i="9"/>
  <c r="L12" i="14"/>
  <c r="Z12" i="14"/>
  <c r="AA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L57" i="9"/>
  <c r="DI57" i="9"/>
  <c r="CW36" i="14"/>
  <c r="CY36" i="14"/>
  <c r="L36" i="14"/>
  <c r="M36" i="14"/>
  <c r="CV36" i="14"/>
  <c r="DB36" i="14"/>
  <c r="CX36" i="14"/>
  <c r="DG36" i="14"/>
  <c r="DE36" i="14"/>
  <c r="DQ36" i="14"/>
  <c r="DM36" i="14"/>
  <c r="DA36" i="14"/>
  <c r="DF36" i="14"/>
  <c r="DJ36" i="14"/>
  <c r="DL36" i="14"/>
  <c r="DR36" i="14"/>
  <c r="DD36" i="14"/>
  <c r="DK36" i="14"/>
  <c r="DC36" i="14"/>
  <c r="DN36" i="14"/>
  <c r="CZ36" i="14"/>
  <c r="DH36" i="14"/>
  <c r="DP36" i="14"/>
  <c r="DI36" i="14"/>
  <c r="DO36" i="14"/>
  <c r="AI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G50" i="9"/>
  <c r="I50" i="9" s="1"/>
  <c r="DS50" i="9" s="1"/>
  <c r="P33" i="9"/>
  <c r="DP33" i="9"/>
  <c r="DM33" i="9"/>
  <c r="DQ33" i="9"/>
  <c r="K43" i="12"/>
  <c r="DL43" i="12"/>
  <c r="DL47" i="12" s="1"/>
  <c r="DD43" i="12"/>
  <c r="DD47" i="12" s="1"/>
  <c r="CV43" i="12"/>
  <c r="CV47" i="12" s="1"/>
  <c r="DK43" i="12"/>
  <c r="DK47" i="12" s="1"/>
  <c r="DC43" i="12"/>
  <c r="DC47" i="12" s="1"/>
  <c r="CU43" i="12"/>
  <c r="CU47" i="12" s="1"/>
  <c r="DJ43" i="12"/>
  <c r="DJ47" i="12" s="1"/>
  <c r="DB43" i="12"/>
  <c r="DB47" i="12" s="1"/>
  <c r="CT43" i="12"/>
  <c r="CT47" i="12" s="1"/>
  <c r="DI43" i="12"/>
  <c r="DI47" i="12" s="1"/>
  <c r="DA43" i="12"/>
  <c r="DA47" i="12" s="1"/>
  <c r="J43" i="12"/>
  <c r="J47" i="12" s="1"/>
  <c r="CS43" i="12"/>
  <c r="DH43" i="12"/>
  <c r="DH47" i="12" s="1"/>
  <c r="CZ43" i="12"/>
  <c r="CZ47" i="12" s="1"/>
  <c r="I43" i="12"/>
  <c r="I47" i="12" s="1"/>
  <c r="DO43" i="12"/>
  <c r="DO47" i="12" s="1"/>
  <c r="DG43" i="12"/>
  <c r="DG47" i="12" s="1"/>
  <c r="CY43" i="12"/>
  <c r="CY47" i="12" s="1"/>
  <c r="DN43" i="12"/>
  <c r="DN47" i="12" s="1"/>
  <c r="DF43" i="12"/>
  <c r="DF47" i="12" s="1"/>
  <c r="CX43" i="12"/>
  <c r="CX47" i="12" s="1"/>
  <c r="DM43" i="12"/>
  <c r="DM47" i="12" s="1"/>
  <c r="DE43" i="12"/>
  <c r="DE47" i="12" s="1"/>
  <c r="CW43" i="12"/>
  <c r="CW47" i="12" s="1"/>
  <c r="L43" i="12"/>
  <c r="L47" i="12" s="1"/>
  <c r="M43" i="12"/>
  <c r="M47" i="12" s="1"/>
  <c r="N43" i="12"/>
  <c r="N47" i="12" s="1"/>
  <c r="O43" i="12"/>
  <c r="O47" i="12" s="1"/>
  <c r="P43" i="12"/>
  <c r="P47" i="12" s="1"/>
  <c r="Q43" i="12"/>
  <c r="Q47" i="12" s="1"/>
  <c r="R43" i="12"/>
  <c r="R47" i="12" s="1"/>
  <c r="S43" i="12"/>
  <c r="S47" i="12" s="1"/>
  <c r="T43" i="12"/>
  <c r="T47" i="12" s="1"/>
  <c r="U43" i="12"/>
  <c r="U47" i="12" s="1"/>
  <c r="V43" i="12"/>
  <c r="W43" i="12"/>
  <c r="X43" i="12"/>
  <c r="Y43" i="12"/>
  <c r="Z43" i="12"/>
  <c r="AA4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P7" i="12" s="1"/>
  <c r="V41" i="9"/>
  <c r="DE41" i="9"/>
  <c r="DN41" i="9"/>
  <c r="CV41" i="9"/>
  <c r="CV46" i="9" s="1"/>
  <c r="DR41" i="9"/>
  <c r="DC57" i="9"/>
  <c r="DD57" i="9"/>
  <c r="DM57" i="9"/>
  <c r="DK57" i="9"/>
  <c r="H35" i="9"/>
  <c r="DA33" i="9"/>
  <c r="DJ33" i="9"/>
  <c r="O33" i="9"/>
  <c r="CW33" i="9"/>
  <c r="DM35" i="12"/>
  <c r="DM39" i="12" s="1"/>
  <c r="DE35" i="12"/>
  <c r="DE39" i="12" s="1"/>
  <c r="CW35" i="12"/>
  <c r="CW39" i="12" s="1"/>
  <c r="DL35" i="12"/>
  <c r="DL39" i="12" s="1"/>
  <c r="DD35" i="12"/>
  <c r="DD39" i="12" s="1"/>
  <c r="CV35" i="12"/>
  <c r="CV39" i="12" s="1"/>
  <c r="DH35" i="12"/>
  <c r="DH39" i="12" s="1"/>
  <c r="DK35" i="12"/>
  <c r="DK39" i="12" s="1"/>
  <c r="DC35" i="12"/>
  <c r="DC39" i="12" s="1"/>
  <c r="CU35" i="12"/>
  <c r="CU39" i="12" s="1"/>
  <c r="CS35" i="12"/>
  <c r="DJ35" i="12"/>
  <c r="DJ39" i="12" s="1"/>
  <c r="DB35" i="12"/>
  <c r="DB39" i="12" s="1"/>
  <c r="CT35" i="12"/>
  <c r="CT39" i="12" s="1"/>
  <c r="DI35" i="12"/>
  <c r="DI39" i="12" s="1"/>
  <c r="DA35" i="12"/>
  <c r="DA39" i="12" s="1"/>
  <c r="J35" i="12"/>
  <c r="J39" i="12" s="1"/>
  <c r="CZ35" i="12"/>
  <c r="CZ39" i="12" s="1"/>
  <c r="DO35" i="12"/>
  <c r="DO39" i="12" s="1"/>
  <c r="DG35" i="12"/>
  <c r="DG39" i="12" s="1"/>
  <c r="CY35" i="12"/>
  <c r="CY39" i="12" s="1"/>
  <c r="DN35" i="12"/>
  <c r="DN39" i="12" s="1"/>
  <c r="DF35" i="12"/>
  <c r="DF39" i="12" s="1"/>
  <c r="CX35" i="12"/>
  <c r="CX39" i="12" s="1"/>
  <c r="I35" i="12"/>
  <c r="I39" i="12" s="1"/>
  <c r="AJ35" i="12"/>
  <c r="AK35" i="12"/>
  <c r="AL35" i="12"/>
  <c r="AM35" i="12"/>
  <c r="AN35" i="12"/>
  <c r="AO35" i="12"/>
  <c r="AP35" i="12"/>
  <c r="DL51" i="12"/>
  <c r="DL55" i="12" s="1"/>
  <c r="DD51" i="12"/>
  <c r="DD55" i="12" s="1"/>
  <c r="CV51" i="12"/>
  <c r="CV55" i="12" s="1"/>
  <c r="CY51" i="12"/>
  <c r="CY55" i="12" s="1"/>
  <c r="CS51" i="12"/>
  <c r="DK51" i="12"/>
  <c r="DK55" i="12" s="1"/>
  <c r="DC51" i="12"/>
  <c r="DC55" i="12" s="1"/>
  <c r="CU51" i="12"/>
  <c r="CU55" i="12" s="1"/>
  <c r="K51" i="12"/>
  <c r="K55" i="12" s="1"/>
  <c r="DO51" i="12"/>
  <c r="DO55" i="12" s="1"/>
  <c r="DR51" i="12"/>
  <c r="DR55" i="12" s="1"/>
  <c r="DJ51" i="12"/>
  <c r="DJ55" i="12" s="1"/>
  <c r="DB51" i="12"/>
  <c r="DB55" i="12" s="1"/>
  <c r="CT51" i="12"/>
  <c r="CT55" i="12" s="1"/>
  <c r="DQ51" i="12"/>
  <c r="DQ55" i="12" s="1"/>
  <c r="DI51" i="12"/>
  <c r="DI55" i="12" s="1"/>
  <c r="DA51" i="12"/>
  <c r="DA55" i="12" s="1"/>
  <c r="J51" i="12"/>
  <c r="J55" i="12" s="1"/>
  <c r="DG51" i="12"/>
  <c r="DG55" i="12" s="1"/>
  <c r="DP51" i="12"/>
  <c r="DP55" i="12" s="1"/>
  <c r="DH51" i="12"/>
  <c r="DH55" i="12" s="1"/>
  <c r="CZ51" i="12"/>
  <c r="CZ55" i="12" s="1"/>
  <c r="I51" i="12"/>
  <c r="I55" i="12" s="1"/>
  <c r="DN51" i="12"/>
  <c r="DN55" i="12" s="1"/>
  <c r="DF51" i="12"/>
  <c r="DF55" i="12" s="1"/>
  <c r="CX51" i="12"/>
  <c r="CX55" i="12" s="1"/>
  <c r="DM51" i="12"/>
  <c r="DM55" i="12" s="1"/>
  <c r="DE51" i="12"/>
  <c r="DE55" i="12" s="1"/>
  <c r="CW51" i="12"/>
  <c r="CW55" i="12" s="1"/>
  <c r="L51" i="12"/>
  <c r="L55" i="12" s="1"/>
  <c r="M51" i="12"/>
  <c r="M55" i="12" s="1"/>
  <c r="N51" i="12"/>
  <c r="N55" i="12" s="1"/>
  <c r="O51" i="12"/>
  <c r="O55" i="12" s="1"/>
  <c r="P51" i="12"/>
  <c r="P55" i="12" s="1"/>
  <c r="Q51" i="12"/>
  <c r="Q55" i="12" s="1"/>
  <c r="R51" i="12"/>
  <c r="R55" i="12" s="1"/>
  <c r="S51" i="12"/>
  <c r="S55" i="12" s="1"/>
  <c r="T51" i="12"/>
  <c r="T55" i="12" s="1"/>
  <c r="U51" i="12"/>
  <c r="U55" i="12" s="1"/>
  <c r="V51" i="12"/>
  <c r="V55" i="12" s="1"/>
  <c r="W51" i="12"/>
  <c r="W55" i="12" s="1"/>
  <c r="X51" i="12"/>
  <c r="X55" i="12" s="1"/>
  <c r="Y51" i="12"/>
  <c r="Y55" i="12" s="1"/>
  <c r="Z51" i="12"/>
  <c r="Z55" i="12" s="1"/>
  <c r="AA51" i="12"/>
  <c r="AB51" i="12"/>
  <c r="AC51" i="12"/>
  <c r="AD51" i="12"/>
  <c r="AE51" i="12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DL33" i="9"/>
  <c r="CZ33" i="9"/>
  <c r="DE33" i="9"/>
  <c r="DI33" i="9"/>
  <c r="H59" i="9"/>
  <c r="H43" i="9"/>
  <c r="H51" i="9"/>
  <c r="DO44" i="14"/>
  <c r="DF44" i="14"/>
  <c r="DA44" i="14"/>
  <c r="CX44" i="14"/>
  <c r="CY44" i="14"/>
  <c r="DP44" i="14"/>
  <c r="M44" i="14"/>
  <c r="DR44" i="14"/>
  <c r="DQ44" i="14"/>
  <c r="CW44" i="14"/>
  <c r="DK44" i="14"/>
  <c r="CZ44" i="14"/>
  <c r="DL44" i="14"/>
  <c r="DH44" i="14"/>
  <c r="DJ44" i="14"/>
  <c r="DE44" i="14"/>
  <c r="DG44" i="14"/>
  <c r="CV44" i="14"/>
  <c r="L44" i="14"/>
  <c r="DC44" i="14"/>
  <c r="DB44" i="14"/>
  <c r="DN44" i="14"/>
  <c r="DD44" i="14"/>
  <c r="DM44" i="14"/>
  <c r="DI44" i="14"/>
  <c r="DC52" i="14"/>
  <c r="DD52" i="14"/>
  <c r="DR52" i="14"/>
  <c r="CW52" i="14"/>
  <c r="DN52" i="14"/>
  <c r="DU52" i="14"/>
  <c r="CX52" i="14"/>
  <c r="DT52" i="14"/>
  <c r="M52" i="14"/>
  <c r="DP52" i="14"/>
  <c r="DB52" i="14"/>
  <c r="DL52" i="14"/>
  <c r="DH52" i="14"/>
  <c r="DE52" i="14"/>
  <c r="DG52" i="14"/>
  <c r="CZ52" i="14"/>
  <c r="DI52" i="14"/>
  <c r="DS52" i="14"/>
  <c r="DJ52" i="14"/>
  <c r="L52" i="14"/>
  <c r="DM52" i="14"/>
  <c r="DF52" i="14"/>
  <c r="DO52" i="14"/>
  <c r="CY52" i="14"/>
  <c r="CV52" i="14"/>
  <c r="DK52" i="14"/>
  <c r="DA52" i="14"/>
  <c r="DQ52" i="14"/>
  <c r="L4" i="14"/>
  <c r="W4" i="14"/>
  <c r="X4" i="14"/>
  <c r="Y4" i="14"/>
  <c r="Z4" i="14"/>
  <c r="AA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T41" i="9"/>
  <c r="DL41" i="9"/>
  <c r="DH41" i="9"/>
  <c r="DA41" i="9"/>
  <c r="DD33" i="9"/>
  <c r="DR33" i="9"/>
  <c r="L33" i="9"/>
  <c r="DB33" i="9"/>
  <c r="S41" i="9"/>
  <c r="M41" i="9"/>
  <c r="DO41" i="9"/>
  <c r="CX41" i="9"/>
  <c r="AD57" i="9"/>
  <c r="V57" i="9"/>
  <c r="DB57" i="9"/>
  <c r="Q57" i="9"/>
  <c r="O57" i="9"/>
  <c r="CW57" i="9"/>
  <c r="I34" i="9"/>
  <c r="DK34" i="9" s="1"/>
  <c r="T33" i="9"/>
  <c r="DH33" i="9"/>
  <c r="DK33" i="9"/>
  <c r="DO33" i="9"/>
  <c r="R41" i="9"/>
  <c r="CY41" i="9"/>
  <c r="DM41" i="9"/>
  <c r="N41" i="9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DJ57" i="9"/>
  <c r="DS57" i="9"/>
  <c r="DA57" i="9"/>
  <c r="DN57" i="9"/>
  <c r="G58" i="9"/>
  <c r="S33" i="9"/>
  <c r="DN33" i="9"/>
  <c r="N33" i="9"/>
  <c r="CV33" i="9"/>
  <c r="CV38" i="9" s="1"/>
  <c r="L28" i="14"/>
  <c r="M28" i="14"/>
  <c r="AH28" i="14"/>
  <c r="AI28" i="14"/>
  <c r="AR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AC19" i="12"/>
  <c r="AD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Q41" i="9"/>
  <c r="DP41" i="9"/>
  <c r="CZ41" i="9"/>
  <c r="DB41" i="9"/>
  <c r="AB57" i="9"/>
  <c r="T57" i="9"/>
  <c r="DF57" i="9"/>
  <c r="DR57" i="9"/>
  <c r="CZ57" i="9"/>
  <c r="G42" i="9"/>
  <c r="I42" i="9" s="1"/>
  <c r="DO42" i="9" s="1"/>
  <c r="R33" i="9"/>
  <c r="DF33" i="9"/>
  <c r="DC33" i="9"/>
  <c r="CW4" i="8"/>
  <c r="CV4" i="8"/>
  <c r="CU4" i="8"/>
  <c r="CT4" i="8"/>
  <c r="CM27" i="13"/>
  <c r="CE27" i="13"/>
  <c r="BW27" i="13"/>
  <c r="AN27" i="13"/>
  <c r="AF27" i="13"/>
  <c r="X27" i="13"/>
  <c r="P27" i="13"/>
  <c r="CT27" i="13"/>
  <c r="CL27" i="13"/>
  <c r="CD27" i="13"/>
  <c r="BV27" i="13"/>
  <c r="AM27" i="13"/>
  <c r="AE27" i="13"/>
  <c r="W27" i="13"/>
  <c r="O27" i="13"/>
  <c r="CS27" i="13"/>
  <c r="CK27" i="13"/>
  <c r="CC27" i="13"/>
  <c r="BU27" i="13"/>
  <c r="AL27" i="13"/>
  <c r="AD27" i="13"/>
  <c r="V27" i="13"/>
  <c r="N27" i="13"/>
  <c r="I27" i="13"/>
  <c r="CR27" i="13"/>
  <c r="CJ27" i="13"/>
  <c r="CB27" i="13"/>
  <c r="BT27" i="13"/>
  <c r="AK27" i="13"/>
  <c r="AC27" i="13"/>
  <c r="U27" i="13"/>
  <c r="M27" i="13"/>
  <c r="CQ27" i="13"/>
  <c r="CI27" i="13"/>
  <c r="CA27" i="13"/>
  <c r="BS27" i="13"/>
  <c r="AR27" i="13"/>
  <c r="AJ27" i="13"/>
  <c r="AB27" i="13"/>
  <c r="T27" i="13"/>
  <c r="L27" i="13"/>
  <c r="CN27" i="13"/>
  <c r="BX27" i="13"/>
  <c r="AG27" i="13"/>
  <c r="Q27" i="13"/>
  <c r="CP27" i="13"/>
  <c r="CH27" i="13"/>
  <c r="BZ27" i="13"/>
  <c r="BR27" i="13"/>
  <c r="AQ27" i="13"/>
  <c r="AI27" i="13"/>
  <c r="AA27" i="13"/>
  <c r="S27" i="13"/>
  <c r="K27" i="13"/>
  <c r="CF27" i="13"/>
  <c r="AO27" i="13"/>
  <c r="Y27" i="13"/>
  <c r="CO27" i="13"/>
  <c r="CG27" i="13"/>
  <c r="BY27" i="13"/>
  <c r="BQ27" i="13"/>
  <c r="AP27" i="13"/>
  <c r="AH27" i="13"/>
  <c r="Z27" i="13"/>
  <c r="R27" i="13"/>
  <c r="J27" i="13"/>
  <c r="CS11" i="13"/>
  <c r="CK11" i="13"/>
  <c r="CC11" i="13"/>
  <c r="BU11" i="13"/>
  <c r="BM11" i="13"/>
  <c r="BE11" i="13"/>
  <c r="AO11" i="13"/>
  <c r="V11" i="13"/>
  <c r="N11" i="13"/>
  <c r="CR11" i="13"/>
  <c r="CJ11" i="13"/>
  <c r="CB11" i="13"/>
  <c r="BT11" i="13"/>
  <c r="BL11" i="13"/>
  <c r="BD11" i="13"/>
  <c r="AN11" i="13"/>
  <c r="U11" i="13"/>
  <c r="M11" i="13"/>
  <c r="CD11" i="13"/>
  <c r="CQ11" i="13"/>
  <c r="CI11" i="13"/>
  <c r="CA11" i="13"/>
  <c r="BS11" i="13"/>
  <c r="BK11" i="13"/>
  <c r="BC11" i="13"/>
  <c r="T11" i="13"/>
  <c r="L11" i="13"/>
  <c r="CP11" i="13"/>
  <c r="CH11" i="13"/>
  <c r="BZ11" i="13"/>
  <c r="BR11" i="13"/>
  <c r="BJ11" i="13"/>
  <c r="BB11" i="13"/>
  <c r="S11" i="13"/>
  <c r="K11" i="13"/>
  <c r="CT11" i="13"/>
  <c r="CO11" i="13"/>
  <c r="CG11" i="13"/>
  <c r="BY11" i="13"/>
  <c r="BQ11" i="13"/>
  <c r="BI11" i="13"/>
  <c r="BA11" i="13"/>
  <c r="AS11" i="13"/>
  <c r="R11" i="13"/>
  <c r="J11" i="13"/>
  <c r="BN11" i="13"/>
  <c r="W11" i="13"/>
  <c r="CN11" i="13"/>
  <c r="CF11" i="13"/>
  <c r="BX11" i="13"/>
  <c r="BP11" i="13"/>
  <c r="BH11" i="13"/>
  <c r="AZ11" i="13"/>
  <c r="AR11" i="13"/>
  <c r="Y11" i="13"/>
  <c r="Q11" i="13"/>
  <c r="I11" i="13"/>
  <c r="BV11" i="13"/>
  <c r="AP11" i="13"/>
  <c r="CM11" i="13"/>
  <c r="CE11" i="13"/>
  <c r="BW11" i="13"/>
  <c r="BO11" i="13"/>
  <c r="BG11" i="13"/>
  <c r="AQ11" i="13"/>
  <c r="X11" i="13"/>
  <c r="P11" i="13"/>
  <c r="CL11" i="13"/>
  <c r="BF11" i="13"/>
  <c r="O11" i="13"/>
  <c r="CQ35" i="13"/>
  <c r="CI35" i="13"/>
  <c r="CA35" i="13"/>
  <c r="AR35" i="13"/>
  <c r="AJ35" i="13"/>
  <c r="AJ39" i="13" s="1"/>
  <c r="AB35" i="13"/>
  <c r="AB39" i="13" s="1"/>
  <c r="T35" i="13"/>
  <c r="T39" i="13" s="1"/>
  <c r="L35" i="13"/>
  <c r="L39" i="13" s="1"/>
  <c r="CP35" i="13"/>
  <c r="CH35" i="13"/>
  <c r="BZ35" i="13"/>
  <c r="BJ35" i="13"/>
  <c r="AQ35" i="13"/>
  <c r="AI35" i="13"/>
  <c r="AI39" i="13" s="1"/>
  <c r="AA35" i="13"/>
  <c r="AA39" i="13" s="1"/>
  <c r="S35" i="13"/>
  <c r="S39" i="13" s="1"/>
  <c r="K35" i="13"/>
  <c r="K39" i="13" s="1"/>
  <c r="CB35" i="13"/>
  <c r="CO35" i="13"/>
  <c r="CG35" i="13"/>
  <c r="BY35" i="13"/>
  <c r="BI35" i="13"/>
  <c r="AP35" i="13"/>
  <c r="AH35" i="13"/>
  <c r="AH39" i="13" s="1"/>
  <c r="Z35" i="13"/>
  <c r="Z39" i="13" s="1"/>
  <c r="R35" i="13"/>
  <c r="R39" i="13" s="1"/>
  <c r="J35" i="13"/>
  <c r="CN35" i="13"/>
  <c r="CF35" i="13"/>
  <c r="BX35" i="13"/>
  <c r="AW35" i="13"/>
  <c r="AO35" i="13"/>
  <c r="AO39" i="13" s="1"/>
  <c r="AG35" i="13"/>
  <c r="AG39" i="13" s="1"/>
  <c r="Y35" i="13"/>
  <c r="Y39" i="13" s="1"/>
  <c r="Q35" i="13"/>
  <c r="Q39" i="13" s="1"/>
  <c r="I35" i="13"/>
  <c r="CM35" i="13"/>
  <c r="CE35" i="13"/>
  <c r="BW35" i="13"/>
  <c r="AV35" i="13"/>
  <c r="AN35" i="13"/>
  <c r="AN39" i="13" s="1"/>
  <c r="AF35" i="13"/>
  <c r="AF39" i="13" s="1"/>
  <c r="X35" i="13"/>
  <c r="X39" i="13" s="1"/>
  <c r="P35" i="13"/>
  <c r="P39" i="13" s="1"/>
  <c r="CJ35" i="13"/>
  <c r="BT35" i="13"/>
  <c r="AK35" i="13"/>
  <c r="AK39" i="13" s="1"/>
  <c r="U35" i="13"/>
  <c r="U39" i="13" s="1"/>
  <c r="CT35" i="13"/>
  <c r="CL35" i="13"/>
  <c r="CD35" i="13"/>
  <c r="BV35" i="13"/>
  <c r="AU35" i="13"/>
  <c r="AM35" i="13"/>
  <c r="AM39" i="13" s="1"/>
  <c r="AE35" i="13"/>
  <c r="AE39" i="13" s="1"/>
  <c r="W35" i="13"/>
  <c r="W39" i="13" s="1"/>
  <c r="O35" i="13"/>
  <c r="O39" i="13" s="1"/>
  <c r="CR35" i="13"/>
  <c r="AS35" i="13"/>
  <c r="M35" i="13"/>
  <c r="M39" i="13" s="1"/>
  <c r="CS35" i="13"/>
  <c r="CK35" i="13"/>
  <c r="CC35" i="13"/>
  <c r="BU35" i="13"/>
  <c r="AT35" i="13"/>
  <c r="AL35" i="13"/>
  <c r="AL39" i="13" s="1"/>
  <c r="AD35" i="13"/>
  <c r="AD39" i="13" s="1"/>
  <c r="V35" i="13"/>
  <c r="V39" i="13" s="1"/>
  <c r="N35" i="13"/>
  <c r="N39" i="13" s="1"/>
  <c r="AC35" i="13"/>
  <c r="AC39" i="13" s="1"/>
  <c r="CP3" i="13"/>
  <c r="CP7" i="13" s="1"/>
  <c r="CH3" i="13"/>
  <c r="CH7" i="13" s="1"/>
  <c r="BZ3" i="13"/>
  <c r="BZ7" i="13" s="1"/>
  <c r="BR3" i="13"/>
  <c r="BR7" i="13" s="1"/>
  <c r="BJ3" i="13"/>
  <c r="BJ7" i="13" s="1"/>
  <c r="BB3" i="13"/>
  <c r="BB7" i="13" s="1"/>
  <c r="AT3" i="13"/>
  <c r="S3" i="13"/>
  <c r="K3" i="13"/>
  <c r="K7" i="13" s="1"/>
  <c r="CO3" i="13"/>
  <c r="CO7" i="13" s="1"/>
  <c r="CG3" i="13"/>
  <c r="CG7" i="13" s="1"/>
  <c r="BY3" i="13"/>
  <c r="BY7" i="13" s="1"/>
  <c r="BQ3" i="13"/>
  <c r="BQ7" i="13" s="1"/>
  <c r="BI3" i="13"/>
  <c r="BI7" i="13" s="1"/>
  <c r="BA3" i="13"/>
  <c r="BA7" i="13" s="1"/>
  <c r="AS3" i="13"/>
  <c r="R3" i="13"/>
  <c r="R7" i="13" s="1"/>
  <c r="J3" i="13"/>
  <c r="L3" i="13"/>
  <c r="L7" i="13" s="1"/>
  <c r="CN3" i="13"/>
  <c r="CN7" i="13" s="1"/>
  <c r="CF3" i="13"/>
  <c r="CF7" i="13" s="1"/>
  <c r="BX3" i="13"/>
  <c r="BX7" i="13" s="1"/>
  <c r="BP3" i="13"/>
  <c r="BP7" i="13" s="1"/>
  <c r="BH3" i="13"/>
  <c r="BH7" i="13" s="1"/>
  <c r="AZ3" i="13"/>
  <c r="Q3" i="13"/>
  <c r="Q7" i="13" s="1"/>
  <c r="I3" i="13"/>
  <c r="CA3" i="13"/>
  <c r="CA7" i="13" s="1"/>
  <c r="CM3" i="13"/>
  <c r="CM7" i="13" s="1"/>
  <c r="CE3" i="13"/>
  <c r="CE7" i="13" s="1"/>
  <c r="BW3" i="13"/>
  <c r="BW7" i="13" s="1"/>
  <c r="BO3" i="13"/>
  <c r="BO7" i="13" s="1"/>
  <c r="BG3" i="13"/>
  <c r="BG7" i="13" s="1"/>
  <c r="AY3" i="13"/>
  <c r="P3" i="13"/>
  <c r="P7" i="13" s="1"/>
  <c r="CQ3" i="13"/>
  <c r="CQ7" i="13" s="1"/>
  <c r="BC3" i="13"/>
  <c r="BC7" i="13" s="1"/>
  <c r="CT3" i="13"/>
  <c r="CT7" i="13" s="1"/>
  <c r="CL3" i="13"/>
  <c r="CL7" i="13" s="1"/>
  <c r="CD3" i="13"/>
  <c r="CD7" i="13" s="1"/>
  <c r="BV3" i="13"/>
  <c r="BV7" i="13" s="1"/>
  <c r="BN3" i="13"/>
  <c r="BN7" i="13" s="1"/>
  <c r="BF3" i="13"/>
  <c r="BF7" i="13" s="1"/>
  <c r="AX3" i="13"/>
  <c r="O3" i="13"/>
  <c r="O7" i="13" s="1"/>
  <c r="M3" i="13"/>
  <c r="M7" i="13" s="1"/>
  <c r="BS3" i="13"/>
  <c r="BS7" i="13" s="1"/>
  <c r="CS3" i="13"/>
  <c r="CS7" i="13" s="1"/>
  <c r="CK3" i="13"/>
  <c r="CK7" i="13" s="1"/>
  <c r="CC3" i="13"/>
  <c r="CC7" i="13" s="1"/>
  <c r="BU3" i="13"/>
  <c r="BU7" i="13" s="1"/>
  <c r="BM3" i="13"/>
  <c r="BM7" i="13" s="1"/>
  <c r="BE3" i="13"/>
  <c r="BE7" i="13" s="1"/>
  <c r="AW3" i="13"/>
  <c r="N3" i="13"/>
  <c r="N7" i="13" s="1"/>
  <c r="CI3" i="13"/>
  <c r="CI7" i="13" s="1"/>
  <c r="CR3" i="13"/>
  <c r="CR7" i="13" s="1"/>
  <c r="CJ3" i="13"/>
  <c r="CJ7" i="13" s="1"/>
  <c r="CB3" i="13"/>
  <c r="CB7" i="13" s="1"/>
  <c r="BT3" i="13"/>
  <c r="BT7" i="13" s="1"/>
  <c r="BL3" i="13"/>
  <c r="BL7" i="13" s="1"/>
  <c r="BD3" i="13"/>
  <c r="BD7" i="13" s="1"/>
  <c r="AV3" i="13"/>
  <c r="BK3" i="13"/>
  <c r="BK7" i="13" s="1"/>
  <c r="CM19" i="13"/>
  <c r="CE19" i="13"/>
  <c r="BW19" i="13"/>
  <c r="BO19" i="13"/>
  <c r="P19" i="13"/>
  <c r="CT19" i="13"/>
  <c r="CL19" i="13"/>
  <c r="CD19" i="13"/>
  <c r="BV19" i="13"/>
  <c r="BN19" i="13"/>
  <c r="AX19" i="13"/>
  <c r="O19" i="13"/>
  <c r="CS19" i="13"/>
  <c r="CK19" i="13"/>
  <c r="CC19" i="13"/>
  <c r="BU19" i="13"/>
  <c r="BM19" i="13"/>
  <c r="AW19" i="13"/>
  <c r="V19" i="13"/>
  <c r="N19" i="13"/>
  <c r="CR19" i="13"/>
  <c r="CJ19" i="13"/>
  <c r="CB19" i="13"/>
  <c r="BT19" i="13"/>
  <c r="BL19" i="13"/>
  <c r="AV19" i="13"/>
  <c r="U19" i="13"/>
  <c r="M19" i="13"/>
  <c r="BP19" i="13"/>
  <c r="CQ19" i="13"/>
  <c r="CI19" i="13"/>
  <c r="CA19" i="13"/>
  <c r="BS19" i="13"/>
  <c r="BK19" i="13"/>
  <c r="AU19" i="13"/>
  <c r="T19" i="13"/>
  <c r="L19" i="13"/>
  <c r="BX19" i="13"/>
  <c r="I19" i="13"/>
  <c r="CP19" i="13"/>
  <c r="CH19" i="13"/>
  <c r="BZ19" i="13"/>
  <c r="BR19" i="13"/>
  <c r="BJ19" i="13"/>
  <c r="AT19" i="13"/>
  <c r="S19" i="13"/>
  <c r="K19" i="13"/>
  <c r="CF19" i="13"/>
  <c r="Q19" i="13"/>
  <c r="CO19" i="13"/>
  <c r="CG19" i="13"/>
  <c r="BY19" i="13"/>
  <c r="BQ19" i="13"/>
  <c r="BI19" i="13"/>
  <c r="R19" i="13"/>
  <c r="J19" i="13"/>
  <c r="CN19" i="13"/>
  <c r="BM43" i="14"/>
  <c r="BM35" i="14"/>
  <c r="BM36" i="14"/>
  <c r="BM37" i="14"/>
  <c r="BM29" i="14"/>
  <c r="BM27" i="14"/>
  <c r="BM28" i="14"/>
  <c r="BM19" i="14"/>
  <c r="BM12" i="14"/>
  <c r="BM20" i="14"/>
  <c r="BM3" i="14"/>
  <c r="BN2" i="14"/>
  <c r="BM21" i="14"/>
  <c r="BM5" i="14"/>
  <c r="BM11" i="14"/>
  <c r="BM4" i="14"/>
  <c r="I35" i="5"/>
  <c r="AQ59" i="12"/>
  <c r="AF38" i="5"/>
  <c r="AD38" i="5"/>
  <c r="AH38" i="5"/>
  <c r="AG38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EK59" i="11"/>
  <c r="EK63" i="11" s="1"/>
  <c r="DO59" i="11"/>
  <c r="DO63" i="11" s="1"/>
  <c r="DG59" i="11"/>
  <c r="CY59" i="11"/>
  <c r="CQ59" i="11"/>
  <c r="CI59" i="11"/>
  <c r="BG59" i="11"/>
  <c r="AY59" i="11"/>
  <c r="AQ59" i="11"/>
  <c r="AI59" i="11"/>
  <c r="AI63" i="11" s="1"/>
  <c r="AA59" i="11"/>
  <c r="AA63" i="11" s="1"/>
  <c r="EG59" i="11"/>
  <c r="EG63" i="11" s="1"/>
  <c r="DY59" i="11"/>
  <c r="DY63" i="11" s="1"/>
  <c r="R59" i="11"/>
  <c r="R63" i="11" s="1"/>
  <c r="J59" i="11"/>
  <c r="EJ59" i="11"/>
  <c r="EJ63" i="11" s="1"/>
  <c r="DN59" i="11"/>
  <c r="DN63" i="11" s="1"/>
  <c r="DF59" i="11"/>
  <c r="CX59" i="11"/>
  <c r="CP59" i="11"/>
  <c r="CH59" i="11"/>
  <c r="BF59" i="11"/>
  <c r="AX59" i="11"/>
  <c r="AP59" i="11"/>
  <c r="AH59" i="11"/>
  <c r="AH63" i="11" s="1"/>
  <c r="Z59" i="11"/>
  <c r="Z63" i="11" s="1"/>
  <c r="EF59" i="11"/>
  <c r="EF63" i="11" s="1"/>
  <c r="DX59" i="11"/>
  <c r="DX63" i="11" s="1"/>
  <c r="Q59" i="11"/>
  <c r="Q63" i="11" s="1"/>
  <c r="DV59" i="11"/>
  <c r="DV63" i="11" s="1"/>
  <c r="DM59" i="11"/>
  <c r="DM63" i="11" s="1"/>
  <c r="DE59" i="11"/>
  <c r="CW59" i="11"/>
  <c r="CO59" i="11"/>
  <c r="CG59" i="11"/>
  <c r="BE59" i="11"/>
  <c r="AW59" i="11"/>
  <c r="AO59" i="11"/>
  <c r="AG59" i="11"/>
  <c r="AG63" i="11" s="1"/>
  <c r="Y59" i="11"/>
  <c r="Y63" i="11" s="1"/>
  <c r="EE59" i="11"/>
  <c r="EE63" i="11" s="1"/>
  <c r="DW59" i="11"/>
  <c r="DW63" i="11" s="1"/>
  <c r="P59" i="11"/>
  <c r="P63" i="11" s="1"/>
  <c r="DT59" i="11"/>
  <c r="DT63" i="11" s="1"/>
  <c r="DL59" i="11"/>
  <c r="DL63" i="11" s="1"/>
  <c r="DD59" i="11"/>
  <c r="CV59" i="11"/>
  <c r="CN59" i="11"/>
  <c r="CF59" i="11"/>
  <c r="BD59" i="11"/>
  <c r="AV59" i="11"/>
  <c r="AN59" i="11"/>
  <c r="AF59" i="11"/>
  <c r="AF63" i="11" s="1"/>
  <c r="X59" i="11"/>
  <c r="X63" i="11" s="1"/>
  <c r="ED59" i="11"/>
  <c r="ED63" i="11" s="1"/>
  <c r="DU59" i="11"/>
  <c r="DU63" i="11" s="1"/>
  <c r="O59" i="11"/>
  <c r="O63" i="11" s="1"/>
  <c r="DS59" i="11"/>
  <c r="DS63" i="11" s="1"/>
  <c r="DK59" i="11"/>
  <c r="DK63" i="11" s="1"/>
  <c r="DC59" i="11"/>
  <c r="CU59" i="11"/>
  <c r="CM59" i="11"/>
  <c r="CE59" i="11"/>
  <c r="BC59" i="11"/>
  <c r="AU59" i="11"/>
  <c r="AM59" i="11"/>
  <c r="AE59" i="11"/>
  <c r="AE63" i="11" s="1"/>
  <c r="W59" i="11"/>
  <c r="W63" i="11" s="1"/>
  <c r="EC59" i="11"/>
  <c r="EC63" i="11" s="1"/>
  <c r="V59" i="11"/>
  <c r="V63" i="11" s="1"/>
  <c r="N59" i="11"/>
  <c r="N63" i="11" s="1"/>
  <c r="DR59" i="11"/>
  <c r="DR63" i="11" s="1"/>
  <c r="DJ59" i="11"/>
  <c r="DJ63" i="11" s="1"/>
  <c r="DB59" i="11"/>
  <c r="CT59" i="11"/>
  <c r="CL59" i="11"/>
  <c r="CD59" i="11"/>
  <c r="BB59" i="11"/>
  <c r="AT59" i="11"/>
  <c r="AL59" i="11"/>
  <c r="AD59" i="11"/>
  <c r="AD63" i="11" s="1"/>
  <c r="EL59" i="11"/>
  <c r="EL63" i="11" s="1"/>
  <c r="EB59" i="11"/>
  <c r="EB63" i="11" s="1"/>
  <c r="U59" i="11"/>
  <c r="U63" i="11" s="1"/>
  <c r="M59" i="11"/>
  <c r="M63" i="11" s="1"/>
  <c r="DH59" i="11"/>
  <c r="BH59" i="11"/>
  <c r="AB59" i="11"/>
  <c r="AB63" i="11" s="1"/>
  <c r="K59" i="11"/>
  <c r="DA59" i="11"/>
  <c r="BA59" i="11"/>
  <c r="EI59" i="11"/>
  <c r="EI63" i="11" s="1"/>
  <c r="CZ59" i="11"/>
  <c r="AZ59" i="11"/>
  <c r="EH59" i="11"/>
  <c r="EH63" i="11" s="1"/>
  <c r="L59" i="11"/>
  <c r="L63" i="11" s="1"/>
  <c r="CS59" i="11"/>
  <c r="AS59" i="11"/>
  <c r="EA59" i="11"/>
  <c r="EA63" i="11" s="1"/>
  <c r="DP59" i="11"/>
  <c r="DP63" i="11" s="1"/>
  <c r="AJ59" i="11"/>
  <c r="AJ63" i="11" s="1"/>
  <c r="AC59" i="11"/>
  <c r="AC63" i="11" s="1"/>
  <c r="CR59" i="11"/>
  <c r="AR59" i="11"/>
  <c r="DZ59" i="11"/>
  <c r="DZ63" i="11" s="1"/>
  <c r="CJ59" i="11"/>
  <c r="S59" i="11"/>
  <c r="S63" i="11" s="1"/>
  <c r="DI59" i="11"/>
  <c r="DI63" i="11" s="1"/>
  <c r="DQ59" i="11"/>
  <c r="DQ63" i="11" s="1"/>
  <c r="CK59" i="11"/>
  <c r="AK59" i="11"/>
  <c r="AK63" i="11" s="1"/>
  <c r="T59" i="11"/>
  <c r="T63" i="11" s="1"/>
  <c r="CC59" i="11"/>
  <c r="I12" i="5"/>
  <c r="AV12" i="5" s="1"/>
  <c r="I13" i="5"/>
  <c r="EF19" i="11"/>
  <c r="EF23" i="11" s="1"/>
  <c r="DX19" i="11"/>
  <c r="DX23" i="11" s="1"/>
  <c r="DP19" i="11"/>
  <c r="DP23" i="11" s="1"/>
  <c r="DH19" i="11"/>
  <c r="DH23" i="11" s="1"/>
  <c r="CZ19" i="11"/>
  <c r="CZ23" i="11" s="1"/>
  <c r="CR19" i="11"/>
  <c r="CR23" i="11" s="1"/>
  <c r="CJ19" i="11"/>
  <c r="CJ23" i="11" s="1"/>
  <c r="CB19" i="11"/>
  <c r="CB23" i="11" s="1"/>
  <c r="BT19" i="11"/>
  <c r="BT23" i="11" s="1"/>
  <c r="BL19" i="11"/>
  <c r="BL23" i="11" s="1"/>
  <c r="BD19" i="11"/>
  <c r="L19" i="11"/>
  <c r="DQ19" i="11"/>
  <c r="DQ23" i="11" s="1"/>
  <c r="EE19" i="11"/>
  <c r="EE23" i="11" s="1"/>
  <c r="DW19" i="11"/>
  <c r="DW23" i="11" s="1"/>
  <c r="DO19" i="11"/>
  <c r="DO23" i="11" s="1"/>
  <c r="DG19" i="11"/>
  <c r="DG23" i="11" s="1"/>
  <c r="CY19" i="11"/>
  <c r="CY23" i="11" s="1"/>
  <c r="CQ19" i="11"/>
  <c r="CQ23" i="11" s="1"/>
  <c r="CI19" i="11"/>
  <c r="CI23" i="11" s="1"/>
  <c r="CA19" i="11"/>
  <c r="CA23" i="11" s="1"/>
  <c r="BS19" i="11"/>
  <c r="BS23" i="11" s="1"/>
  <c r="BK19" i="11"/>
  <c r="BK23" i="11" s="1"/>
  <c r="BC19" i="11"/>
  <c r="K19" i="11"/>
  <c r="EL19" i="11"/>
  <c r="EL23" i="11" s="1"/>
  <c r="ED19" i="11"/>
  <c r="ED23" i="11" s="1"/>
  <c r="DV19" i="11"/>
  <c r="DV23" i="11" s="1"/>
  <c r="DN19" i="11"/>
  <c r="DN23" i="11" s="1"/>
  <c r="DF19" i="11"/>
  <c r="DF23" i="11" s="1"/>
  <c r="CX19" i="11"/>
  <c r="CX23" i="11" s="1"/>
  <c r="CP19" i="11"/>
  <c r="CP23" i="11" s="1"/>
  <c r="CH19" i="11"/>
  <c r="CH23" i="11" s="1"/>
  <c r="BZ19" i="11"/>
  <c r="BZ23" i="11" s="1"/>
  <c r="BR19" i="11"/>
  <c r="BR23" i="11" s="1"/>
  <c r="BJ19" i="11"/>
  <c r="BJ23" i="11" s="1"/>
  <c r="BB19" i="11"/>
  <c r="J19" i="11"/>
  <c r="EH19" i="11"/>
  <c r="EH23" i="11" s="1"/>
  <c r="DJ19" i="11"/>
  <c r="DJ23" i="11" s="1"/>
  <c r="CL19" i="11"/>
  <c r="CL23" i="11" s="1"/>
  <c r="AX19" i="11"/>
  <c r="DI19" i="11"/>
  <c r="DI23" i="11" s="1"/>
  <c r="CC19" i="11"/>
  <c r="CC23" i="11" s="1"/>
  <c r="AW19" i="11"/>
  <c r="EK19" i="11"/>
  <c r="EK23" i="11" s="1"/>
  <c r="EC19" i="11"/>
  <c r="EC23" i="11" s="1"/>
  <c r="DU19" i="11"/>
  <c r="DU23" i="11" s="1"/>
  <c r="DM19" i="11"/>
  <c r="DM23" i="11" s="1"/>
  <c r="DE19" i="11"/>
  <c r="DE23" i="11" s="1"/>
  <c r="CW19" i="11"/>
  <c r="CW23" i="11" s="1"/>
  <c r="CO19" i="11"/>
  <c r="CO23" i="11" s="1"/>
  <c r="CG19" i="11"/>
  <c r="CG23" i="11" s="1"/>
  <c r="BY19" i="11"/>
  <c r="BY23" i="11" s="1"/>
  <c r="BQ19" i="11"/>
  <c r="BQ23" i="11" s="1"/>
  <c r="BI19" i="11"/>
  <c r="BI23" i="11" s="1"/>
  <c r="BA19" i="11"/>
  <c r="DZ19" i="11"/>
  <c r="DZ23" i="11" s="1"/>
  <c r="DB19" i="11"/>
  <c r="DB23" i="11" s="1"/>
  <c r="CD19" i="11"/>
  <c r="CD23" i="11" s="1"/>
  <c r="BF19" i="11"/>
  <c r="DY19" i="11"/>
  <c r="DY23" i="11" s="1"/>
  <c r="CK19" i="11"/>
  <c r="CK23" i="11" s="1"/>
  <c r="BE19" i="11"/>
  <c r="EJ19" i="11"/>
  <c r="EJ23" i="11" s="1"/>
  <c r="EB19" i="11"/>
  <c r="EB23" i="11" s="1"/>
  <c r="DT19" i="11"/>
  <c r="DT23" i="11" s="1"/>
  <c r="DL19" i="11"/>
  <c r="DL23" i="11" s="1"/>
  <c r="DD19" i="11"/>
  <c r="DD23" i="11" s="1"/>
  <c r="CV19" i="11"/>
  <c r="CV23" i="11" s="1"/>
  <c r="CN19" i="11"/>
  <c r="CN23" i="11" s="1"/>
  <c r="CF19" i="11"/>
  <c r="CF23" i="11" s="1"/>
  <c r="BX19" i="11"/>
  <c r="BX23" i="11" s="1"/>
  <c r="BP19" i="11"/>
  <c r="BP23" i="11" s="1"/>
  <c r="BH19" i="11"/>
  <c r="BH23" i="11" s="1"/>
  <c r="AZ19" i="11"/>
  <c r="DR19" i="11"/>
  <c r="DR23" i="11" s="1"/>
  <c r="CT19" i="11"/>
  <c r="CT23" i="11" s="1"/>
  <c r="BV19" i="11"/>
  <c r="BV23" i="11" s="1"/>
  <c r="EG19" i="11"/>
  <c r="EG23" i="11" s="1"/>
  <c r="CS19" i="11"/>
  <c r="CS23" i="11" s="1"/>
  <c r="BU19" i="11"/>
  <c r="BU23" i="11" s="1"/>
  <c r="EI19" i="11"/>
  <c r="EI23" i="11" s="1"/>
  <c r="EA19" i="11"/>
  <c r="EA23" i="11" s="1"/>
  <c r="DS19" i="11"/>
  <c r="DS23" i="11" s="1"/>
  <c r="DK19" i="11"/>
  <c r="DK23" i="11" s="1"/>
  <c r="DC19" i="11"/>
  <c r="DC23" i="11" s="1"/>
  <c r="CU19" i="11"/>
  <c r="CU23" i="11" s="1"/>
  <c r="CM19" i="11"/>
  <c r="CM23" i="11" s="1"/>
  <c r="CE19" i="11"/>
  <c r="CE23" i="11" s="1"/>
  <c r="BW19" i="11"/>
  <c r="BW23" i="11" s="1"/>
  <c r="BO19" i="11"/>
  <c r="BO23" i="11" s="1"/>
  <c r="BG19" i="11"/>
  <c r="BG23" i="11" s="1"/>
  <c r="AY19" i="11"/>
  <c r="BN19" i="11"/>
  <c r="BN23" i="11" s="1"/>
  <c r="DA19" i="11"/>
  <c r="DA23" i="11" s="1"/>
  <c r="BM19" i="11"/>
  <c r="BM23" i="11" s="1"/>
  <c r="EF67" i="11"/>
  <c r="EF71" i="11" s="1"/>
  <c r="DX67" i="11"/>
  <c r="DX71" i="11" s="1"/>
  <c r="DP67" i="11"/>
  <c r="DP71" i="11" s="1"/>
  <c r="DH67" i="11"/>
  <c r="CZ67" i="11"/>
  <c r="CR67" i="11"/>
  <c r="CJ67" i="11"/>
  <c r="BG67" i="11"/>
  <c r="AY67" i="11"/>
  <c r="AQ67" i="11"/>
  <c r="AI67" i="11"/>
  <c r="AI71" i="11" s="1"/>
  <c r="AA67" i="11"/>
  <c r="AA71" i="11" s="1"/>
  <c r="S67" i="11"/>
  <c r="S71" i="11" s="1"/>
  <c r="K67" i="11"/>
  <c r="EE67" i="11"/>
  <c r="EE71" i="11" s="1"/>
  <c r="DW67" i="11"/>
  <c r="DW71" i="11" s="1"/>
  <c r="DO67" i="11"/>
  <c r="DO71" i="11" s="1"/>
  <c r="DG67" i="11"/>
  <c r="CY67" i="11"/>
  <c r="CQ67" i="11"/>
  <c r="CI67" i="11"/>
  <c r="BF67" i="11"/>
  <c r="AX67" i="11"/>
  <c r="AP67" i="11"/>
  <c r="AP71" i="11" s="1"/>
  <c r="AH67" i="11"/>
  <c r="AH71" i="11" s="1"/>
  <c r="Z67" i="11"/>
  <c r="Z71" i="11" s="1"/>
  <c r="R67" i="11"/>
  <c r="R71" i="11" s="1"/>
  <c r="J67" i="11"/>
  <c r="EL67" i="11"/>
  <c r="EL71" i="11" s="1"/>
  <c r="ED67" i="11"/>
  <c r="ED71" i="11" s="1"/>
  <c r="DV67" i="11"/>
  <c r="DV71" i="11" s="1"/>
  <c r="DN67" i="11"/>
  <c r="DN71" i="11" s="1"/>
  <c r="DF67" i="11"/>
  <c r="CX67" i="11"/>
  <c r="CP67" i="11"/>
  <c r="CH67" i="11"/>
  <c r="BE67" i="11"/>
  <c r="AW67" i="11"/>
  <c r="AO67" i="11"/>
  <c r="AO71" i="11" s="1"/>
  <c r="AG67" i="11"/>
  <c r="AG71" i="11" s="1"/>
  <c r="Y67" i="11"/>
  <c r="Y71" i="11" s="1"/>
  <c r="Q67" i="11"/>
  <c r="Q71" i="11" s="1"/>
  <c r="EK67" i="11"/>
  <c r="EK71" i="11" s="1"/>
  <c r="EC67" i="11"/>
  <c r="EC71" i="11" s="1"/>
  <c r="DU67" i="11"/>
  <c r="DU71" i="11" s="1"/>
  <c r="DM67" i="11"/>
  <c r="DM71" i="11" s="1"/>
  <c r="DE67" i="11"/>
  <c r="CW67" i="11"/>
  <c r="CO67" i="11"/>
  <c r="CG67" i="11"/>
  <c r="BD67" i="11"/>
  <c r="AV67" i="11"/>
  <c r="AN67" i="11"/>
  <c r="AN71" i="11" s="1"/>
  <c r="AF67" i="11"/>
  <c r="AF71" i="11" s="1"/>
  <c r="X67" i="11"/>
  <c r="X71" i="11" s="1"/>
  <c r="P67" i="11"/>
  <c r="P71" i="11" s="1"/>
  <c r="EJ67" i="11"/>
  <c r="EJ71" i="11" s="1"/>
  <c r="EB67" i="11"/>
  <c r="EB71" i="11" s="1"/>
  <c r="DT67" i="11"/>
  <c r="DT71" i="11" s="1"/>
  <c r="DL67" i="11"/>
  <c r="DL71" i="11" s="1"/>
  <c r="DD67" i="11"/>
  <c r="CV67" i="11"/>
  <c r="CN67" i="11"/>
  <c r="CF67" i="11"/>
  <c r="BC67" i="11"/>
  <c r="AU67" i="11"/>
  <c r="AM67" i="11"/>
  <c r="AM71" i="11" s="1"/>
  <c r="AE67" i="11"/>
  <c r="AE71" i="11" s="1"/>
  <c r="W67" i="11"/>
  <c r="W71" i="11" s="1"/>
  <c r="O67" i="11"/>
  <c r="O71" i="11" s="1"/>
  <c r="EI67" i="11"/>
  <c r="EI71" i="11" s="1"/>
  <c r="EA67" i="11"/>
  <c r="EA71" i="11" s="1"/>
  <c r="DS67" i="11"/>
  <c r="DS71" i="11" s="1"/>
  <c r="DK67" i="11"/>
  <c r="DC67" i="11"/>
  <c r="CU67" i="11"/>
  <c r="CM67" i="11"/>
  <c r="CE67" i="11"/>
  <c r="BB67" i="11"/>
  <c r="AT67" i="11"/>
  <c r="AL67" i="11"/>
  <c r="AL71" i="11" s="1"/>
  <c r="AD67" i="11"/>
  <c r="AD71" i="11" s="1"/>
  <c r="V67" i="11"/>
  <c r="V71" i="11" s="1"/>
  <c r="N67" i="11"/>
  <c r="N71" i="11" s="1"/>
  <c r="DQ67" i="11"/>
  <c r="DQ71" i="11" s="1"/>
  <c r="CK67" i="11"/>
  <c r="AJ67" i="11"/>
  <c r="AJ71" i="11" s="1"/>
  <c r="DJ67" i="11"/>
  <c r="BI67" i="11"/>
  <c r="AC67" i="11"/>
  <c r="AC71" i="11" s="1"/>
  <c r="DI67" i="11"/>
  <c r="BH67" i="11"/>
  <c r="AB67" i="11"/>
  <c r="AB71" i="11" s="1"/>
  <c r="EH67" i="11"/>
  <c r="EH71" i="11" s="1"/>
  <c r="DB67" i="11"/>
  <c r="BA67" i="11"/>
  <c r="U67" i="11"/>
  <c r="U71" i="11" s="1"/>
  <c r="DY67" i="11"/>
  <c r="DY71" i="11" s="1"/>
  <c r="AR67" i="11"/>
  <c r="CL67" i="11"/>
  <c r="EG67" i="11"/>
  <c r="EG71" i="11" s="1"/>
  <c r="DA67" i="11"/>
  <c r="AZ67" i="11"/>
  <c r="T67" i="11"/>
  <c r="T71" i="11" s="1"/>
  <c r="CS67" i="11"/>
  <c r="L67" i="11"/>
  <c r="L71" i="11" s="1"/>
  <c r="AK67" i="11"/>
  <c r="AK71" i="11" s="1"/>
  <c r="DZ67" i="11"/>
  <c r="DZ71" i="11" s="1"/>
  <c r="CT67" i="11"/>
  <c r="AS67" i="11"/>
  <c r="M67" i="11"/>
  <c r="M71" i="11" s="1"/>
  <c r="DR67" i="11"/>
  <c r="DR71" i="11" s="1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CO35" i="11"/>
  <c r="CO39" i="11" s="1"/>
  <c r="EK35" i="11"/>
  <c r="EK39" i="11" s="1"/>
  <c r="DF35" i="11"/>
  <c r="DF39" i="11" s="1"/>
  <c r="BH35" i="11"/>
  <c r="CW35" i="11"/>
  <c r="CW39" i="11" s="1"/>
  <c r="EF35" i="11"/>
  <c r="EF39" i="11" s="1"/>
  <c r="DE35" i="11"/>
  <c r="DE39" i="11" s="1"/>
  <c r="CK35" i="11"/>
  <c r="EG35" i="11"/>
  <c r="EG39" i="11" s="1"/>
  <c r="DB35" i="11"/>
  <c r="DB39" i="11" s="1"/>
  <c r="AN35" i="11"/>
  <c r="CI35" i="11"/>
  <c r="ED35" i="11"/>
  <c r="ED39" i="11" s="1"/>
  <c r="CZ35" i="11"/>
  <c r="CZ39" i="11" s="1"/>
  <c r="BU35" i="11"/>
  <c r="EI35" i="11"/>
  <c r="EI39" i="11" s="1"/>
  <c r="CD35" i="11"/>
  <c r="EC35" i="11"/>
  <c r="EC39" i="11" s="1"/>
  <c r="CS35" i="11"/>
  <c r="CS39" i="11" s="1"/>
  <c r="AI35" i="11"/>
  <c r="CF35" i="11"/>
  <c r="DZ35" i="11"/>
  <c r="DZ39" i="11" s="1"/>
  <c r="CU35" i="11"/>
  <c r="CU39" i="11" s="1"/>
  <c r="BS35" i="11"/>
  <c r="EE35" i="11"/>
  <c r="EE39" i="11" s="1"/>
  <c r="BV35" i="11"/>
  <c r="EA35" i="11"/>
  <c r="EA39" i="11" s="1"/>
  <c r="CJ35" i="11"/>
  <c r="AC35" i="11"/>
  <c r="BM35" i="11"/>
  <c r="DU35" i="11"/>
  <c r="DU39" i="11" s="1"/>
  <c r="CR35" i="11"/>
  <c r="CR39" i="11" s="1"/>
  <c r="BO35" i="11"/>
  <c r="EB35" i="11"/>
  <c r="EB39" i="11" s="1"/>
  <c r="BL35" i="11"/>
  <c r="DW35" i="11"/>
  <c r="DW39" i="11" s="1"/>
  <c r="CB35" i="11"/>
  <c r="Z35" i="11"/>
  <c r="AH35" i="11"/>
  <c r="DR35" i="11"/>
  <c r="DR39" i="11" s="1"/>
  <c r="CP35" i="11"/>
  <c r="CP39" i="11" s="1"/>
  <c r="BK35" i="11"/>
  <c r="DY35" i="11"/>
  <c r="DY39" i="11" s="1"/>
  <c r="DT35" i="11"/>
  <c r="DT39" i="11" s="1"/>
  <c r="DJ35" i="11"/>
  <c r="DJ39" i="11" s="1"/>
  <c r="CE35" i="11"/>
  <c r="DQ35" i="11"/>
  <c r="DQ39" i="11" s="1"/>
  <c r="BY35" i="11"/>
  <c r="DN35" i="11"/>
  <c r="DN39" i="11" s="1"/>
  <c r="DC35" i="11"/>
  <c r="DC39" i="11" s="1"/>
  <c r="U35" i="11"/>
  <c r="U39" i="11" s="1"/>
  <c r="M35" i="11"/>
  <c r="M39" i="11" s="1"/>
  <c r="DP35" i="11"/>
  <c r="DP39" i="11" s="1"/>
  <c r="AB35" i="11"/>
  <c r="CA35" i="11"/>
  <c r="DI35" i="11"/>
  <c r="DI39" i="11" s="1"/>
  <c r="BW35" i="11"/>
  <c r="DA35" i="11"/>
  <c r="DA39" i="11" s="1"/>
  <c r="CY35" i="11"/>
  <c r="CY39" i="11" s="1"/>
  <c r="T35" i="11"/>
  <c r="T39" i="11" s="1"/>
  <c r="L35" i="11"/>
  <c r="L39" i="11" s="1"/>
  <c r="AA35" i="11"/>
  <c r="DX35" i="11"/>
  <c r="DX39" i="11" s="1"/>
  <c r="DM35" i="11"/>
  <c r="DM39" i="11" s="1"/>
  <c r="EJ35" i="11"/>
  <c r="EJ39" i="11" s="1"/>
  <c r="BX35" i="11"/>
  <c r="DG35" i="11"/>
  <c r="DG39" i="11" s="1"/>
  <c r="BR35" i="11"/>
  <c r="CQ35" i="11"/>
  <c r="CQ39" i="11" s="1"/>
  <c r="CM35" i="11"/>
  <c r="S35" i="11"/>
  <c r="S39" i="11" s="1"/>
  <c r="K35" i="11"/>
  <c r="X35" i="11"/>
  <c r="W35" i="11"/>
  <c r="DV35" i="11"/>
  <c r="DV39" i="11" s="1"/>
  <c r="DD35" i="11"/>
  <c r="DD39" i="11" s="1"/>
  <c r="BT35" i="11"/>
  <c r="EH35" i="11"/>
  <c r="EH39" i="11" s="1"/>
  <c r="AP35" i="11"/>
  <c r="CX35" i="11"/>
  <c r="CX39" i="11" s="1"/>
  <c r="BI35" i="11"/>
  <c r="BJ35" i="11"/>
  <c r="CH35" i="11"/>
  <c r="R35" i="11"/>
  <c r="R39" i="11" s="1"/>
  <c r="J35" i="11"/>
  <c r="DH35" i="11"/>
  <c r="DH39" i="11" s="1"/>
  <c r="CG35" i="11"/>
  <c r="AF35" i="11"/>
  <c r="DS35" i="11"/>
  <c r="DS39" i="11" s="1"/>
  <c r="V35" i="11"/>
  <c r="CV35" i="11"/>
  <c r="CV39" i="11" s="1"/>
  <c r="BP35" i="11"/>
  <c r="DO35" i="11"/>
  <c r="DO39" i="11" s="1"/>
  <c r="AL35" i="11"/>
  <c r="CT35" i="11"/>
  <c r="CT39" i="11" s="1"/>
  <c r="AO35" i="11"/>
  <c r="AQ35" i="11"/>
  <c r="BZ35" i="11"/>
  <c r="Q35" i="11"/>
  <c r="Q39" i="11" s="1"/>
  <c r="AD35" i="11"/>
  <c r="Y35" i="11"/>
  <c r="EL35" i="11"/>
  <c r="EL39" i="11" s="1"/>
  <c r="AK35" i="11"/>
  <c r="O35" i="11"/>
  <c r="O39" i="11" s="1"/>
  <c r="CC35" i="11"/>
  <c r="N35" i="11"/>
  <c r="N39" i="11" s="1"/>
  <c r="AJ35" i="11"/>
  <c r="BN35" i="11"/>
  <c r="DL35" i="11"/>
  <c r="DL39" i="11" s="1"/>
  <c r="AG35" i="11"/>
  <c r="CN35" i="11"/>
  <c r="CN39" i="11" s="1"/>
  <c r="AE35" i="11"/>
  <c r="AM35" i="11"/>
  <c r="BQ35" i="11"/>
  <c r="P35" i="11"/>
  <c r="P39" i="11" s="1"/>
  <c r="CL35" i="11"/>
  <c r="DK35" i="11"/>
  <c r="DK39" i="11" s="1"/>
  <c r="I60" i="5"/>
  <c r="I61" i="5"/>
  <c r="M38" i="5"/>
  <c r="L38" i="5"/>
  <c r="AC38" i="5"/>
  <c r="M51" i="5"/>
  <c r="I68" i="5"/>
  <c r="I69" i="5"/>
  <c r="L69" i="5" s="1"/>
  <c r="L62" i="5"/>
  <c r="N62" i="5"/>
  <c r="M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I28" i="5"/>
  <c r="I29" i="5"/>
  <c r="L51" i="5"/>
  <c r="I36" i="5"/>
  <c r="I45" i="5"/>
  <c r="I44" i="5"/>
  <c r="I52" i="5"/>
  <c r="EL11" i="11"/>
  <c r="EL15" i="11" s="1"/>
  <c r="ED11" i="11"/>
  <c r="ED15" i="11" s="1"/>
  <c r="DV11" i="11"/>
  <c r="DV15" i="11" s="1"/>
  <c r="DN11" i="11"/>
  <c r="DN15" i="11" s="1"/>
  <c r="DF11" i="11"/>
  <c r="DF15" i="11" s="1"/>
  <c r="CX11" i="11"/>
  <c r="CX15" i="11" s="1"/>
  <c r="CP11" i="11"/>
  <c r="CP15" i="11" s="1"/>
  <c r="CH11" i="11"/>
  <c r="CH15" i="11" s="1"/>
  <c r="BZ11" i="11"/>
  <c r="BZ15" i="11" s="1"/>
  <c r="BR11" i="11"/>
  <c r="BR15" i="11" s="1"/>
  <c r="BJ11" i="11"/>
  <c r="BJ15" i="11" s="1"/>
  <c r="BB11" i="11"/>
  <c r="BB15" i="11" s="1"/>
  <c r="AT11" i="11"/>
  <c r="EK11" i="11"/>
  <c r="EK15" i="11" s="1"/>
  <c r="EC11" i="11"/>
  <c r="EC15" i="11" s="1"/>
  <c r="DU11" i="11"/>
  <c r="DU15" i="11" s="1"/>
  <c r="DM11" i="11"/>
  <c r="DM15" i="11" s="1"/>
  <c r="DE11" i="11"/>
  <c r="DE15" i="11" s="1"/>
  <c r="CW11" i="11"/>
  <c r="CW15" i="11" s="1"/>
  <c r="CO11" i="11"/>
  <c r="CO15" i="11" s="1"/>
  <c r="CG11" i="11"/>
  <c r="CG15" i="11" s="1"/>
  <c r="BY11" i="11"/>
  <c r="BY15" i="11" s="1"/>
  <c r="BQ11" i="11"/>
  <c r="BQ15" i="11" s="1"/>
  <c r="BI11" i="11"/>
  <c r="BI15" i="11" s="1"/>
  <c r="BA11" i="11"/>
  <c r="AS11" i="11"/>
  <c r="AK11" i="11"/>
  <c r="EJ11" i="11"/>
  <c r="EJ15" i="11" s="1"/>
  <c r="EB11" i="11"/>
  <c r="EB15" i="11" s="1"/>
  <c r="DT11" i="11"/>
  <c r="DT15" i="11" s="1"/>
  <c r="DL11" i="11"/>
  <c r="DL15" i="11" s="1"/>
  <c r="DD11" i="11"/>
  <c r="DD15" i="11" s="1"/>
  <c r="CV11" i="11"/>
  <c r="CV15" i="11" s="1"/>
  <c r="CN11" i="11"/>
  <c r="CN15" i="11" s="1"/>
  <c r="CF11" i="11"/>
  <c r="CF15" i="11" s="1"/>
  <c r="BX11" i="11"/>
  <c r="BX15" i="11" s="1"/>
  <c r="BP11" i="11"/>
  <c r="BP15" i="11" s="1"/>
  <c r="BH11" i="11"/>
  <c r="BH15" i="11" s="1"/>
  <c r="AZ11" i="11"/>
  <c r="AR11" i="11"/>
  <c r="AJ11" i="11"/>
  <c r="EI11" i="11"/>
  <c r="EI15" i="11" s="1"/>
  <c r="EA11" i="11"/>
  <c r="EA15" i="11" s="1"/>
  <c r="DS11" i="11"/>
  <c r="DS15" i="11" s="1"/>
  <c r="DK11" i="11"/>
  <c r="DK15" i="11" s="1"/>
  <c r="DC11" i="11"/>
  <c r="DC15" i="11" s="1"/>
  <c r="CU11" i="11"/>
  <c r="CU15" i="11" s="1"/>
  <c r="CM11" i="11"/>
  <c r="CM15" i="11" s="1"/>
  <c r="CE11" i="11"/>
  <c r="CE15" i="11" s="1"/>
  <c r="BW11" i="11"/>
  <c r="BW15" i="11" s="1"/>
  <c r="BO11" i="11"/>
  <c r="BO15" i="11" s="1"/>
  <c r="BG11" i="11"/>
  <c r="BG15" i="11" s="1"/>
  <c r="AY11" i="11"/>
  <c r="AI11" i="11"/>
  <c r="AA11" i="11"/>
  <c r="EH11" i="11"/>
  <c r="EH15" i="11" s="1"/>
  <c r="DZ11" i="11"/>
  <c r="DZ15" i="11" s="1"/>
  <c r="DR11" i="11"/>
  <c r="DR15" i="11" s="1"/>
  <c r="DJ11" i="11"/>
  <c r="DJ15" i="11" s="1"/>
  <c r="DB11" i="11"/>
  <c r="DB15" i="11" s="1"/>
  <c r="CT11" i="11"/>
  <c r="CT15" i="11" s="1"/>
  <c r="CL11" i="11"/>
  <c r="CL15" i="11" s="1"/>
  <c r="CD11" i="11"/>
  <c r="CD15" i="11" s="1"/>
  <c r="BV11" i="11"/>
  <c r="BV15" i="11" s="1"/>
  <c r="BN11" i="11"/>
  <c r="BN15" i="11" s="1"/>
  <c r="BF11" i="11"/>
  <c r="BF15" i="11" s="1"/>
  <c r="AX11" i="11"/>
  <c r="AP11" i="11"/>
  <c r="AH11" i="11"/>
  <c r="Z11" i="11"/>
  <c r="EG11" i="11"/>
  <c r="EG15" i="11" s="1"/>
  <c r="DY11" i="11"/>
  <c r="DY15" i="11" s="1"/>
  <c r="DQ11" i="11"/>
  <c r="DQ15" i="11" s="1"/>
  <c r="DI11" i="11"/>
  <c r="DI15" i="11" s="1"/>
  <c r="DA11" i="11"/>
  <c r="DA15" i="11" s="1"/>
  <c r="CS11" i="11"/>
  <c r="CS15" i="11" s="1"/>
  <c r="CK11" i="11"/>
  <c r="CK15" i="11" s="1"/>
  <c r="CC11" i="11"/>
  <c r="CC15" i="11" s="1"/>
  <c r="BU11" i="11"/>
  <c r="BU15" i="11" s="1"/>
  <c r="BM11" i="11"/>
  <c r="BM15" i="11" s="1"/>
  <c r="BE11" i="11"/>
  <c r="BE15" i="11" s="1"/>
  <c r="AW11" i="11"/>
  <c r="AO11" i="11"/>
  <c r="AG11" i="11"/>
  <c r="Y11" i="11"/>
  <c r="DO11" i="11"/>
  <c r="DO15" i="11" s="1"/>
  <c r="CI11" i="11"/>
  <c r="CI15" i="11" s="1"/>
  <c r="BC11" i="11"/>
  <c r="BC15" i="11" s="1"/>
  <c r="DH11" i="11"/>
  <c r="DH15" i="11" s="1"/>
  <c r="CB11" i="11"/>
  <c r="CB15" i="11" s="1"/>
  <c r="DG11" i="11"/>
  <c r="DG15" i="11" s="1"/>
  <c r="CA11" i="11"/>
  <c r="CA15" i="11" s="1"/>
  <c r="AU11" i="11"/>
  <c r="X11" i="11"/>
  <c r="EF11" i="11"/>
  <c r="EF15" i="11" s="1"/>
  <c r="CZ11" i="11"/>
  <c r="CZ15" i="11" s="1"/>
  <c r="BT11" i="11"/>
  <c r="BT15" i="11" s="1"/>
  <c r="DW11" i="11"/>
  <c r="DW15" i="11" s="1"/>
  <c r="CQ11" i="11"/>
  <c r="CQ15" i="11" s="1"/>
  <c r="AE11" i="11"/>
  <c r="BD11" i="11"/>
  <c r="BD15" i="11" s="1"/>
  <c r="EE11" i="11"/>
  <c r="EE15" i="11" s="1"/>
  <c r="CY11" i="11"/>
  <c r="CY15" i="11" s="1"/>
  <c r="BS11" i="11"/>
  <c r="BS15" i="11" s="1"/>
  <c r="BK11" i="11"/>
  <c r="BK15" i="11" s="1"/>
  <c r="CJ11" i="11"/>
  <c r="CJ15" i="11" s="1"/>
  <c r="DX11" i="11"/>
  <c r="DX15" i="11" s="1"/>
  <c r="CR11" i="11"/>
  <c r="CR15" i="11" s="1"/>
  <c r="BL11" i="11"/>
  <c r="BL15" i="11" s="1"/>
  <c r="AF11" i="11"/>
  <c r="DP11" i="11"/>
  <c r="DP15" i="11" s="1"/>
  <c r="L12" i="9"/>
  <c r="M12" i="9"/>
  <c r="N12" i="9"/>
  <c r="O12" i="9"/>
  <c r="P12" i="9"/>
  <c r="AE38" i="5"/>
  <c r="EF51" i="11"/>
  <c r="EF55" i="11" s="1"/>
  <c r="CL51" i="11"/>
  <c r="AA51" i="11"/>
  <c r="AA55" i="11" s="1"/>
  <c r="DO51" i="11"/>
  <c r="DO55" i="11" s="1"/>
  <c r="CM51" i="11"/>
  <c r="AK51" i="11"/>
  <c r="EA51" i="11"/>
  <c r="EA55" i="11" s="1"/>
  <c r="CY51" i="11"/>
  <c r="BA51" i="11"/>
  <c r="Z51" i="11"/>
  <c r="Z55" i="11" s="1"/>
  <c r="BB51" i="11"/>
  <c r="DJ51" i="11"/>
  <c r="DJ55" i="11" s="1"/>
  <c r="AE51" i="11"/>
  <c r="AE55" i="11" s="1"/>
  <c r="O51" i="11"/>
  <c r="O55" i="11" s="1"/>
  <c r="EB51" i="11"/>
  <c r="EB55" i="11" s="1"/>
  <c r="CJ51" i="11"/>
  <c r="X51" i="11"/>
  <c r="X55" i="11" s="1"/>
  <c r="DH51" i="11"/>
  <c r="DH55" i="11" s="1"/>
  <c r="CH51" i="11"/>
  <c r="AH51" i="11"/>
  <c r="DY51" i="11"/>
  <c r="DY55" i="11" s="1"/>
  <c r="CW51" i="11"/>
  <c r="AT51" i="11"/>
  <c r="Y51" i="11"/>
  <c r="Y55" i="11" s="1"/>
  <c r="AV51" i="11"/>
  <c r="DG51" i="11"/>
  <c r="DG55" i="11" s="1"/>
  <c r="V51" i="11"/>
  <c r="V55" i="11" s="1"/>
  <c r="N51" i="11"/>
  <c r="N55" i="11" s="1"/>
  <c r="DX51" i="11"/>
  <c r="DX55" i="11" s="1"/>
  <c r="CF51" i="11"/>
  <c r="EL51" i="11"/>
  <c r="EL55" i="11" s="1"/>
  <c r="DF51" i="11"/>
  <c r="CE51" i="11"/>
  <c r="AF51" i="11"/>
  <c r="AF55" i="11" s="1"/>
  <c r="DV51" i="11"/>
  <c r="DV55" i="11" s="1"/>
  <c r="CT51" i="11"/>
  <c r="AQ51" i="11"/>
  <c r="DP51" i="11"/>
  <c r="DP55" i="11" s="1"/>
  <c r="AL51" i="11"/>
  <c r="CV51" i="11"/>
  <c r="U51" i="11"/>
  <c r="U55" i="11" s="1"/>
  <c r="M51" i="11"/>
  <c r="M55" i="11" s="1"/>
  <c r="DT51" i="11"/>
  <c r="DT55" i="11" s="1"/>
  <c r="BF51" i="11"/>
  <c r="EI51" i="11"/>
  <c r="EI55" i="11" s="1"/>
  <c r="DB51" i="11"/>
  <c r="BC51" i="11"/>
  <c r="AC51" i="11"/>
  <c r="AC55" i="11" s="1"/>
  <c r="DS51" i="11"/>
  <c r="DS55" i="11" s="1"/>
  <c r="CR51" i="11"/>
  <c r="AM51" i="11"/>
  <c r="DL51" i="11"/>
  <c r="DL55" i="11" s="1"/>
  <c r="AI51" i="11"/>
  <c r="CO51" i="11"/>
  <c r="T51" i="11"/>
  <c r="T55" i="11" s="1"/>
  <c r="L51" i="11"/>
  <c r="L55" i="11" s="1"/>
  <c r="DN51" i="11"/>
  <c r="DN55" i="11" s="1"/>
  <c r="BD51" i="11"/>
  <c r="ED51" i="11"/>
  <c r="ED55" i="11" s="1"/>
  <c r="CZ51" i="11"/>
  <c r="AY51" i="11"/>
  <c r="EK51" i="11"/>
  <c r="EK55" i="11" s="1"/>
  <c r="DQ51" i="11"/>
  <c r="DQ55" i="11" s="1"/>
  <c r="CN51" i="11"/>
  <c r="AJ51" i="11"/>
  <c r="DE51" i="11"/>
  <c r="W51" i="11"/>
  <c r="W55" i="11" s="1"/>
  <c r="CC51" i="11"/>
  <c r="S51" i="11"/>
  <c r="S55" i="11" s="1"/>
  <c r="K51" i="11"/>
  <c r="DI51" i="11"/>
  <c r="DI55" i="11" s="1"/>
  <c r="AX51" i="11"/>
  <c r="DZ51" i="11"/>
  <c r="DZ55" i="11" s="1"/>
  <c r="CX51" i="11"/>
  <c r="AW51" i="11"/>
  <c r="EG51" i="11"/>
  <c r="EG55" i="11" s="1"/>
  <c r="DK51" i="11"/>
  <c r="DK55" i="11" s="1"/>
  <c r="CI51" i="11"/>
  <c r="AG51" i="11"/>
  <c r="CS51" i="11"/>
  <c r="EH51" i="11"/>
  <c r="EH55" i="11" s="1"/>
  <c r="AZ51" i="11"/>
  <c r="R51" i="11"/>
  <c r="R55" i="11" s="1"/>
  <c r="J51" i="11"/>
  <c r="EJ51" i="11"/>
  <c r="EJ55" i="11" s="1"/>
  <c r="CP51" i="11"/>
  <c r="BE51" i="11"/>
  <c r="AN51" i="11"/>
  <c r="DD51" i="11"/>
  <c r="AS51" i="11"/>
  <c r="AD51" i="11"/>
  <c r="AD55" i="11" s="1"/>
  <c r="Q51" i="11"/>
  <c r="Q55" i="11" s="1"/>
  <c r="CQ51" i="11"/>
  <c r="AP51" i="11"/>
  <c r="AB51" i="11"/>
  <c r="AB55" i="11" s="1"/>
  <c r="P51" i="11"/>
  <c r="P55" i="11" s="1"/>
  <c r="AR51" i="11"/>
  <c r="EE51" i="11"/>
  <c r="EE55" i="11" s="1"/>
  <c r="CK51" i="11"/>
  <c r="CG51" i="11"/>
  <c r="AO51" i="11"/>
  <c r="EC51" i="11"/>
  <c r="EC55" i="11" s="1"/>
  <c r="CD51" i="11"/>
  <c r="DU51" i="11"/>
  <c r="DU55" i="11" s="1"/>
  <c r="DM51" i="11"/>
  <c r="DM55" i="11" s="1"/>
  <c r="DW51" i="11"/>
  <c r="DW55" i="11" s="1"/>
  <c r="DC51" i="11"/>
  <c r="DR51" i="11"/>
  <c r="DR55" i="11" s="1"/>
  <c r="DA51" i="11"/>
  <c r="CU51" i="11"/>
  <c r="AU51" i="11"/>
  <c r="J27" i="12"/>
  <c r="J31" i="12" s="1"/>
  <c r="I27" i="12"/>
  <c r="I31" i="12" s="1"/>
  <c r="AI27" i="12"/>
  <c r="AJ27" i="12"/>
  <c r="AK27" i="12"/>
  <c r="AL27" i="12"/>
  <c r="AM27" i="12"/>
  <c r="AN27" i="12"/>
  <c r="AO27" i="12"/>
  <c r="AP27" i="12"/>
  <c r="DN59" i="12"/>
  <c r="DN63" i="12" s="1"/>
  <c r="DF59" i="12"/>
  <c r="DF63" i="12" s="1"/>
  <c r="CX59" i="12"/>
  <c r="CS59" i="12"/>
  <c r="DM59" i="12"/>
  <c r="DM63" i="12" s="1"/>
  <c r="DE59" i="12"/>
  <c r="DE63" i="12" s="1"/>
  <c r="CW59" i="12"/>
  <c r="DT59" i="12"/>
  <c r="DT63" i="12" s="1"/>
  <c r="DL59" i="12"/>
  <c r="DL63" i="12" s="1"/>
  <c r="DD59" i="12"/>
  <c r="DD63" i="12" s="1"/>
  <c r="CV59" i="12"/>
  <c r="DS59" i="12"/>
  <c r="DS63" i="12" s="1"/>
  <c r="DK59" i="12"/>
  <c r="DK63" i="12" s="1"/>
  <c r="DC59" i="12"/>
  <c r="DC63" i="12" s="1"/>
  <c r="CU59" i="12"/>
  <c r="DR59" i="12"/>
  <c r="DR63" i="12" s="1"/>
  <c r="DJ59" i="12"/>
  <c r="DJ63" i="12" s="1"/>
  <c r="DB59" i="12"/>
  <c r="CT59" i="12"/>
  <c r="DQ59" i="12"/>
  <c r="DQ63" i="12" s="1"/>
  <c r="DI59" i="12"/>
  <c r="DI63" i="12" s="1"/>
  <c r="DA59" i="12"/>
  <c r="J59" i="12"/>
  <c r="J63" i="12" s="1"/>
  <c r="DP59" i="12"/>
  <c r="DP63" i="12" s="1"/>
  <c r="DO59" i="12"/>
  <c r="DO63" i="12" s="1"/>
  <c r="DH59" i="12"/>
  <c r="DH63" i="12" s="1"/>
  <c r="CY59" i="12"/>
  <c r="DG59" i="12"/>
  <c r="DG63" i="12" s="1"/>
  <c r="I59" i="12"/>
  <c r="I63" i="12" s="1"/>
  <c r="CZ59" i="12"/>
  <c r="K59" i="12"/>
  <c r="K63" i="12" s="1"/>
  <c r="L59" i="12"/>
  <c r="L63" i="12" s="1"/>
  <c r="M59" i="12"/>
  <c r="M63" i="12" s="1"/>
  <c r="N59" i="12"/>
  <c r="N63" i="12" s="1"/>
  <c r="O59" i="12"/>
  <c r="O63" i="12" s="1"/>
  <c r="P59" i="12"/>
  <c r="P63" i="12" s="1"/>
  <c r="Q59" i="12"/>
  <c r="Q63" i="12" s="1"/>
  <c r="R59" i="12"/>
  <c r="R63" i="12" s="1"/>
  <c r="S59" i="12"/>
  <c r="S63" i="12" s="1"/>
  <c r="T59" i="12"/>
  <c r="T63" i="12" s="1"/>
  <c r="U59" i="12"/>
  <c r="U63" i="12" s="1"/>
  <c r="V59" i="12"/>
  <c r="V63" i="12" s="1"/>
  <c r="W59" i="12"/>
  <c r="W63" i="12" s="1"/>
  <c r="X59" i="12"/>
  <c r="X63" i="12" s="1"/>
  <c r="Y59" i="12"/>
  <c r="Y63" i="12" s="1"/>
  <c r="Z59" i="12"/>
  <c r="Z63" i="12" s="1"/>
  <c r="AA59" i="12"/>
  <c r="AA63" i="12" s="1"/>
  <c r="AB59" i="12"/>
  <c r="AB63" i="12" s="1"/>
  <c r="AC59" i="12"/>
  <c r="AC63" i="12" s="1"/>
  <c r="AD59" i="12"/>
  <c r="AD63" i="12" s="1"/>
  <c r="AE59" i="12"/>
  <c r="AE63" i="12" s="1"/>
  <c r="AF59" i="12"/>
  <c r="AF63" i="12" s="1"/>
  <c r="AG59" i="12"/>
  <c r="AH59" i="12"/>
  <c r="AI59" i="12"/>
  <c r="AJ59" i="12"/>
  <c r="AK59" i="12"/>
  <c r="AL59" i="12"/>
  <c r="AM59" i="12"/>
  <c r="AN59" i="12"/>
  <c r="AO59" i="12"/>
  <c r="AP59" i="12"/>
  <c r="DI43" i="11"/>
  <c r="DI47" i="11" s="1"/>
  <c r="BY43" i="11"/>
  <c r="W43" i="11"/>
  <c r="BM43" i="11"/>
  <c r="CY43" i="11"/>
  <c r="EH43" i="11"/>
  <c r="EH47" i="11" s="1"/>
  <c r="CW43" i="11"/>
  <c r="AJ43" i="11"/>
  <c r="DZ43" i="11"/>
  <c r="DZ47" i="11" s="1"/>
  <c r="CV43" i="11"/>
  <c r="AS43" i="11"/>
  <c r="DG43" i="11"/>
  <c r="DG47" i="11" s="1"/>
  <c r="BN43" i="11"/>
  <c r="T43" i="11"/>
  <c r="L43" i="11"/>
  <c r="L47" i="11" s="1"/>
  <c r="DE43" i="11"/>
  <c r="DE47" i="11" s="1"/>
  <c r="BU43" i="11"/>
  <c r="DS43" i="11"/>
  <c r="DS47" i="11" s="1"/>
  <c r="AL43" i="11"/>
  <c r="CU43" i="11"/>
  <c r="EE43" i="11"/>
  <c r="EE47" i="11" s="1"/>
  <c r="CR43" i="11"/>
  <c r="AG43" i="11"/>
  <c r="DX43" i="11"/>
  <c r="DX47" i="11" s="1"/>
  <c r="CO43" i="11"/>
  <c r="AH43" i="11"/>
  <c r="DA43" i="11"/>
  <c r="AQ43" i="11"/>
  <c r="S43" i="11"/>
  <c r="S47" i="11" s="1"/>
  <c r="K43" i="11"/>
  <c r="CX43" i="11"/>
  <c r="BP43" i="11"/>
  <c r="DO43" i="11"/>
  <c r="DO47" i="11" s="1"/>
  <c r="AE43" i="11"/>
  <c r="CQ43" i="11"/>
  <c r="DW43" i="11"/>
  <c r="DW47" i="11" s="1"/>
  <c r="CG43" i="11"/>
  <c r="Y43" i="11"/>
  <c r="DV43" i="11"/>
  <c r="DV47" i="11" s="1"/>
  <c r="CK43" i="11"/>
  <c r="AA43" i="11"/>
  <c r="CS43" i="11"/>
  <c r="AM43" i="11"/>
  <c r="R43" i="11"/>
  <c r="R47" i="11" s="1"/>
  <c r="J43" i="11"/>
  <c r="CT43" i="11"/>
  <c r="AT43" i="11"/>
  <c r="DB43" i="11"/>
  <c r="AB43" i="11"/>
  <c r="CL43" i="11"/>
  <c r="DQ43" i="11"/>
  <c r="DQ47" i="11" s="1"/>
  <c r="CA43" i="11"/>
  <c r="EL43" i="11"/>
  <c r="EL47" i="11" s="1"/>
  <c r="DT43" i="11"/>
  <c r="DT47" i="11" s="1"/>
  <c r="CH43" i="11"/>
  <c r="EI43" i="11"/>
  <c r="EI47" i="11" s="1"/>
  <c r="CM43" i="11"/>
  <c r="AI43" i="11"/>
  <c r="Q43" i="11"/>
  <c r="Q47" i="11" s="1"/>
  <c r="CP43" i="11"/>
  <c r="AO43" i="11"/>
  <c r="CN43" i="11"/>
  <c r="DU43" i="11"/>
  <c r="DU47" i="11" s="1"/>
  <c r="BS43" i="11"/>
  <c r="DN43" i="11"/>
  <c r="DN47" i="11" s="1"/>
  <c r="BT43" i="11"/>
  <c r="EJ43" i="11"/>
  <c r="EJ47" i="11" s="1"/>
  <c r="DR43" i="11"/>
  <c r="DR47" i="11" s="1"/>
  <c r="CD43" i="11"/>
  <c r="EF43" i="11"/>
  <c r="EF47" i="11" s="1"/>
  <c r="CF43" i="11"/>
  <c r="Z43" i="11"/>
  <c r="P43" i="11"/>
  <c r="P47" i="11" s="1"/>
  <c r="CJ43" i="11"/>
  <c r="AK43" i="11"/>
  <c r="CI43" i="11"/>
  <c r="DM43" i="11"/>
  <c r="DM47" i="11" s="1"/>
  <c r="AU43" i="11"/>
  <c r="DK43" i="11"/>
  <c r="DK47" i="11" s="1"/>
  <c r="BQ43" i="11"/>
  <c r="EG43" i="11"/>
  <c r="EG47" i="11" s="1"/>
  <c r="DL43" i="11"/>
  <c r="DL47" i="11" s="1"/>
  <c r="BZ43" i="11"/>
  <c r="EC43" i="11"/>
  <c r="EC47" i="11" s="1"/>
  <c r="CC43" i="11"/>
  <c r="X43" i="11"/>
  <c r="AC43" i="11"/>
  <c r="CZ43" i="11"/>
  <c r="BL43" i="11"/>
  <c r="N43" i="11"/>
  <c r="N47" i="11" s="1"/>
  <c r="BV43" i="11"/>
  <c r="AR43" i="11"/>
  <c r="DY43" i="11"/>
  <c r="DY47" i="11" s="1"/>
  <c r="M43" i="11"/>
  <c r="M47" i="11" s="1"/>
  <c r="BO43" i="11"/>
  <c r="AN43" i="11"/>
  <c r="DP43" i="11"/>
  <c r="DP47" i="11" s="1"/>
  <c r="AF43" i="11"/>
  <c r="EK43" i="11"/>
  <c r="EK47" i="11" s="1"/>
  <c r="DF43" i="11"/>
  <c r="DF47" i="11" s="1"/>
  <c r="ED43" i="11"/>
  <c r="ED47" i="11" s="1"/>
  <c r="BX43" i="11"/>
  <c r="CB43" i="11"/>
  <c r="U43" i="11"/>
  <c r="O43" i="11"/>
  <c r="O47" i="11" s="1"/>
  <c r="EA43" i="11"/>
  <c r="EA47" i="11" s="1"/>
  <c r="DD43" i="11"/>
  <c r="DD47" i="11" s="1"/>
  <c r="EB43" i="11"/>
  <c r="EB47" i="11" s="1"/>
  <c r="BR43" i="11"/>
  <c r="AD43" i="11"/>
  <c r="DC43" i="11"/>
  <c r="BW43" i="11"/>
  <c r="CE43" i="11"/>
  <c r="AP43" i="11"/>
  <c r="DJ43" i="11"/>
  <c r="DJ47" i="11" s="1"/>
  <c r="V43" i="11"/>
  <c r="DH43" i="11"/>
  <c r="DH47" i="11" s="1"/>
  <c r="DF27" i="11"/>
  <c r="DF31" i="11" s="1"/>
  <c r="BC27" i="11"/>
  <c r="DM27" i="11"/>
  <c r="DM31" i="11" s="1"/>
  <c r="CM27" i="11"/>
  <c r="CM31" i="11" s="1"/>
  <c r="AR27" i="11"/>
  <c r="BK27" i="11"/>
  <c r="BK31" i="11" s="1"/>
  <c r="DD27" i="11"/>
  <c r="DD31" i="11" s="1"/>
  <c r="BR27" i="11"/>
  <c r="BR31" i="11" s="1"/>
  <c r="AJ27" i="11"/>
  <c r="DG27" i="11"/>
  <c r="DG31" i="11" s="1"/>
  <c r="BT27" i="11"/>
  <c r="BT31" i="11" s="1"/>
  <c r="BQ27" i="11"/>
  <c r="BQ31" i="11" s="1"/>
  <c r="DP27" i="11"/>
  <c r="DP31" i="11" s="1"/>
  <c r="J27" i="11"/>
  <c r="CX27" i="11"/>
  <c r="CX31" i="11" s="1"/>
  <c r="AX27" i="11"/>
  <c r="DJ27" i="11"/>
  <c r="DJ31" i="11" s="1"/>
  <c r="CK27" i="11"/>
  <c r="CK31" i="11" s="1"/>
  <c r="AP27" i="11"/>
  <c r="BD27" i="11"/>
  <c r="CS27" i="11"/>
  <c r="CS31" i="11" s="1"/>
  <c r="BL27" i="11"/>
  <c r="BL31" i="11" s="1"/>
  <c r="EH27" i="11"/>
  <c r="EH31" i="11" s="1"/>
  <c r="DA27" i="11"/>
  <c r="DA31" i="11" s="1"/>
  <c r="BP27" i="11"/>
  <c r="BP31" i="11" s="1"/>
  <c r="BO27" i="11"/>
  <c r="BO31" i="11" s="1"/>
  <c r="DC27" i="11"/>
  <c r="DC31" i="11" s="1"/>
  <c r="L27" i="11"/>
  <c r="L31" i="11" s="1"/>
  <c r="CN27" i="11"/>
  <c r="CN31" i="11" s="1"/>
  <c r="AL27" i="11"/>
  <c r="DE27" i="11"/>
  <c r="DE31" i="11" s="1"/>
  <c r="CH27" i="11"/>
  <c r="CH31" i="11" s="1"/>
  <c r="AK27" i="11"/>
  <c r="EJ27" i="11"/>
  <c r="EJ31" i="11" s="1"/>
  <c r="CQ27" i="11"/>
  <c r="CQ31" i="11" s="1"/>
  <c r="BE27" i="11"/>
  <c r="ED27" i="11"/>
  <c r="ED31" i="11" s="1"/>
  <c r="CY27" i="11"/>
  <c r="CY31" i="11" s="1"/>
  <c r="BM27" i="11"/>
  <c r="BM31" i="11" s="1"/>
  <c r="BG27" i="11"/>
  <c r="CP27" i="11"/>
  <c r="CP31" i="11" s="1"/>
  <c r="AY27" i="11"/>
  <c r="CF27" i="11"/>
  <c r="CF31" i="11" s="1"/>
  <c r="DN27" i="11"/>
  <c r="DN31" i="11" s="1"/>
  <c r="AU27" i="11"/>
  <c r="AN27" i="11"/>
  <c r="DV27" i="11"/>
  <c r="DV31" i="11" s="1"/>
  <c r="CB27" i="11"/>
  <c r="CB31" i="11" s="1"/>
  <c r="EL27" i="11"/>
  <c r="EL31" i="11" s="1"/>
  <c r="DB27" i="11"/>
  <c r="DB31" i="11" s="1"/>
  <c r="CD27" i="11"/>
  <c r="CD31" i="11" s="1"/>
  <c r="DZ27" i="11"/>
  <c r="DZ31" i="11" s="1"/>
  <c r="EI27" i="11"/>
  <c r="EI31" i="11" s="1"/>
  <c r="CL27" i="11"/>
  <c r="CL31" i="11" s="1"/>
  <c r="DY27" i="11"/>
  <c r="DY31" i="11" s="1"/>
  <c r="CV27" i="11"/>
  <c r="CV31" i="11" s="1"/>
  <c r="AW27" i="11"/>
  <c r="BA27" i="11"/>
  <c r="CC27" i="11"/>
  <c r="CC31" i="11" s="1"/>
  <c r="DQ27" i="11"/>
  <c r="DQ31" i="11" s="1"/>
  <c r="DW27" i="11"/>
  <c r="DW31" i="11" s="1"/>
  <c r="CG27" i="11"/>
  <c r="CG31" i="11" s="1"/>
  <c r="BY27" i="11"/>
  <c r="BY31" i="11" s="1"/>
  <c r="DL27" i="11"/>
  <c r="DL31" i="11" s="1"/>
  <c r="DX27" i="11"/>
  <c r="DX31" i="11" s="1"/>
  <c r="DS27" i="11"/>
  <c r="DS31" i="11" s="1"/>
  <c r="DH27" i="11"/>
  <c r="DH31" i="11" s="1"/>
  <c r="CA27" i="11"/>
  <c r="CA31" i="11" s="1"/>
  <c r="EE27" i="11"/>
  <c r="EE31" i="11" s="1"/>
  <c r="BS27" i="11"/>
  <c r="BS31" i="11" s="1"/>
  <c r="EF27" i="11"/>
  <c r="EF31" i="11" s="1"/>
  <c r="CZ27" i="11"/>
  <c r="CZ31" i="11" s="1"/>
  <c r="BZ27" i="11"/>
  <c r="BZ31" i="11" s="1"/>
  <c r="DO27" i="11"/>
  <c r="DO31" i="11" s="1"/>
  <c r="EC27" i="11"/>
  <c r="EC31" i="11" s="1"/>
  <c r="CI27" i="11"/>
  <c r="CI31" i="11" s="1"/>
  <c r="AV27" i="11"/>
  <c r="DT27" i="11"/>
  <c r="DT31" i="11" s="1"/>
  <c r="CO27" i="11"/>
  <c r="CO31" i="11" s="1"/>
  <c r="AS27" i="11"/>
  <c r="EK27" i="11"/>
  <c r="EK31" i="11" s="1"/>
  <c r="BI27" i="11"/>
  <c r="BI31" i="11" s="1"/>
  <c r="BJ27" i="11"/>
  <c r="BJ31" i="11" s="1"/>
  <c r="CU27" i="11"/>
  <c r="CU31" i="11" s="1"/>
  <c r="DK27" i="11"/>
  <c r="DK31" i="11" s="1"/>
  <c r="AQ27" i="11"/>
  <c r="AM27" i="11"/>
  <c r="BB27" i="11"/>
  <c r="CR27" i="11"/>
  <c r="CR31" i="11" s="1"/>
  <c r="BV27" i="11"/>
  <c r="BV31" i="11" s="1"/>
  <c r="BW27" i="11"/>
  <c r="BW31" i="11" s="1"/>
  <c r="EB27" i="11"/>
  <c r="EB31" i="11" s="1"/>
  <c r="BN27" i="11"/>
  <c r="BN31" i="11" s="1"/>
  <c r="EA27" i="11"/>
  <c r="EA31" i="11" s="1"/>
  <c r="CW27" i="11"/>
  <c r="CW31" i="11" s="1"/>
  <c r="BU27" i="11"/>
  <c r="BU31" i="11" s="1"/>
  <c r="CT27" i="11"/>
  <c r="CT31" i="11" s="1"/>
  <c r="DU27" i="11"/>
  <c r="DU31" i="11" s="1"/>
  <c r="CE27" i="11"/>
  <c r="CE31" i="11" s="1"/>
  <c r="AT27" i="11"/>
  <c r="DR27" i="11"/>
  <c r="DR31" i="11" s="1"/>
  <c r="CJ27" i="11"/>
  <c r="CJ31" i="11" s="1"/>
  <c r="AO27" i="11"/>
  <c r="EG27" i="11"/>
  <c r="EG31" i="11" s="1"/>
  <c r="BF27" i="11"/>
  <c r="BH27" i="11"/>
  <c r="BX27" i="11"/>
  <c r="BX31" i="11" s="1"/>
  <c r="DI27" i="11"/>
  <c r="DI31" i="11" s="1"/>
  <c r="K27" i="11"/>
  <c r="M70" i="5"/>
  <c r="N70" i="5"/>
  <c r="L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W3" i="8"/>
  <c r="AV11" i="5"/>
  <c r="AW2" i="5"/>
  <c r="AW14" i="5" s="1"/>
  <c r="AV5" i="5"/>
  <c r="AV4" i="5"/>
  <c r="AV6" i="5"/>
  <c r="AV3" i="5"/>
  <c r="L67" i="2"/>
  <c r="AG52" i="16" l="1"/>
  <c r="BX71" i="15"/>
  <c r="BX63" i="15"/>
  <c r="BX47" i="15"/>
  <c r="BX39" i="15"/>
  <c r="BX55" i="15"/>
  <c r="BX15" i="15"/>
  <c r="BX23" i="15"/>
  <c r="BX31" i="15"/>
  <c r="BX7" i="15"/>
  <c r="BY2" i="15"/>
  <c r="BX13" i="15"/>
  <c r="BX14" i="15"/>
  <c r="BX11" i="15"/>
  <c r="BX5" i="15"/>
  <c r="BX3" i="15"/>
  <c r="BX28" i="15"/>
  <c r="BX4" i="15"/>
  <c r="X44" i="16"/>
  <c r="AH44" i="16"/>
  <c r="N44" i="16"/>
  <c r="AD44" i="16"/>
  <c r="U44" i="16"/>
  <c r="M44" i="16"/>
  <c r="AF44" i="16"/>
  <c r="AG44" i="16"/>
  <c r="AC44" i="16"/>
  <c r="O44" i="16"/>
  <c r="AE52" i="16"/>
  <c r="W52" i="16"/>
  <c r="AB52" i="16"/>
  <c r="Z52" i="16"/>
  <c r="AF52" i="16"/>
  <c r="X52" i="16"/>
  <c r="AH52" i="16"/>
  <c r="AI52" i="16"/>
  <c r="R52" i="16"/>
  <c r="N52" i="16"/>
  <c r="V44" i="16"/>
  <c r="AI44" i="16"/>
  <c r="AB44" i="16"/>
  <c r="S44" i="16"/>
  <c r="AA44" i="16"/>
  <c r="R44" i="16"/>
  <c r="Q44" i="16"/>
  <c r="W44" i="16"/>
  <c r="Y44" i="16"/>
  <c r="AE44" i="16"/>
  <c r="Z44" i="16"/>
  <c r="V52" i="16"/>
  <c r="O52" i="16"/>
  <c r="Q52" i="16"/>
  <c r="M52" i="16"/>
  <c r="AL52" i="16"/>
  <c r="AM52" i="16"/>
  <c r="U52" i="16"/>
  <c r="P52" i="16"/>
  <c r="S52" i="16"/>
  <c r="AK52" i="16"/>
  <c r="T52" i="16"/>
  <c r="AA52" i="16"/>
  <c r="BR63" i="16"/>
  <c r="BR7" i="16"/>
  <c r="M8" i="15"/>
  <c r="BY27" i="15"/>
  <c r="BP27" i="15"/>
  <c r="BQ27" i="15"/>
  <c r="BR27" i="15"/>
  <c r="BS27" i="15"/>
  <c r="BT27" i="15"/>
  <c r="BU27" i="15"/>
  <c r="BV27" i="15"/>
  <c r="BW27" i="15"/>
  <c r="R27" i="15"/>
  <c r="M27" i="15"/>
  <c r="BN27" i="15"/>
  <c r="Y27" i="15"/>
  <c r="W27" i="15"/>
  <c r="N27" i="15"/>
  <c r="U27" i="15"/>
  <c r="S27" i="15"/>
  <c r="X27" i="15"/>
  <c r="V27" i="15"/>
  <c r="P27" i="15"/>
  <c r="BO27" i="15"/>
  <c r="Z27" i="15"/>
  <c r="O27" i="15"/>
  <c r="Q27" i="15"/>
  <c r="T27" i="15"/>
  <c r="AZ27" i="15"/>
  <c r="BA27" i="15"/>
  <c r="BB27" i="15"/>
  <c r="BC27" i="15"/>
  <c r="BD27" i="15"/>
  <c r="BE27" i="15"/>
  <c r="BF27" i="15"/>
  <c r="BG27" i="15"/>
  <c r="BH27" i="15"/>
  <c r="BI27" i="15"/>
  <c r="BJ27" i="15"/>
  <c r="BK27" i="15"/>
  <c r="BL27" i="15"/>
  <c r="BM27" i="15"/>
  <c r="AJ28" i="16"/>
  <c r="BQ28" i="16"/>
  <c r="BC20" i="16"/>
  <c r="BF20" i="16"/>
  <c r="BN28" i="16"/>
  <c r="N28" i="16"/>
  <c r="N32" i="16" s="1"/>
  <c r="BO20" i="16"/>
  <c r="BO24" i="16" s="1"/>
  <c r="BQ20" i="16"/>
  <c r="BQ24" i="16" s="1"/>
  <c r="BC28" i="16"/>
  <c r="BJ36" i="16"/>
  <c r="BL20" i="16"/>
  <c r="AM20" i="16"/>
  <c r="AL20" i="16"/>
  <c r="M20" i="16"/>
  <c r="M24" i="16" s="1"/>
  <c r="BP20" i="16"/>
  <c r="BP24" i="16" s="1"/>
  <c r="AP20" i="16"/>
  <c r="AQ12" i="16"/>
  <c r="AN20" i="16"/>
  <c r="AP12" i="16"/>
  <c r="M12" i="16"/>
  <c r="M16" i="16" s="1"/>
  <c r="AI28" i="16"/>
  <c r="BD28" i="16"/>
  <c r="BQ12" i="16"/>
  <c r="M36" i="16"/>
  <c r="M40" i="16" s="1"/>
  <c r="BM20" i="16"/>
  <c r="BM24" i="16" s="1"/>
  <c r="BM12" i="16"/>
  <c r="BH20" i="16"/>
  <c r="BK20" i="16"/>
  <c r="BG12" i="16"/>
  <c r="BB20" i="16"/>
  <c r="BI20" i="16"/>
  <c r="BC12" i="16"/>
  <c r="AW20" i="16"/>
  <c r="BG20" i="16"/>
  <c r="AW12" i="16"/>
  <c r="AT20" i="16"/>
  <c r="BD20" i="16"/>
  <c r="AR20" i="16"/>
  <c r="AS20" i="16"/>
  <c r="BP28" i="16"/>
  <c r="AR12" i="16"/>
  <c r="AO20" i="16"/>
  <c r="AX20" i="16"/>
  <c r="BE28" i="16"/>
  <c r="BA20" i="16"/>
  <c r="AO12" i="16"/>
  <c r="AI12" i="16"/>
  <c r="BF12" i="16"/>
  <c r="AY20" i="16"/>
  <c r="BE12" i="16"/>
  <c r="AV20" i="16"/>
  <c r="BD12" i="16"/>
  <c r="AB12" i="16"/>
  <c r="AQ20" i="16"/>
  <c r="BE20" i="16"/>
  <c r="BM36" i="16"/>
  <c r="BH36" i="16"/>
  <c r="BC36" i="16"/>
  <c r="BO28" i="16"/>
  <c r="BP12" i="16"/>
  <c r="BB12" i="16"/>
  <c r="AN12" i="16"/>
  <c r="AZ36" i="16"/>
  <c r="BO36" i="16"/>
  <c r="BB36" i="16"/>
  <c r="N36" i="16"/>
  <c r="N40" i="16" s="1"/>
  <c r="BA12" i="16"/>
  <c r="AK12" i="16"/>
  <c r="AY36" i="16"/>
  <c r="AZ20" i="16"/>
  <c r="BN20" i="16"/>
  <c r="BN24" i="16" s="1"/>
  <c r="BG36" i="16"/>
  <c r="BN36" i="16"/>
  <c r="BN12" i="16"/>
  <c r="AZ12" i="16"/>
  <c r="AJ12" i="16"/>
  <c r="AU20" i="16"/>
  <c r="BJ20" i="16"/>
  <c r="BI28" i="16"/>
  <c r="BF36" i="16"/>
  <c r="BH28" i="16"/>
  <c r="BI36" i="16"/>
  <c r="BD36" i="16"/>
  <c r="BK36" i="16"/>
  <c r="AS28" i="16"/>
  <c r="BE36" i="16"/>
  <c r="O36" i="16"/>
  <c r="O40" i="16" s="1"/>
  <c r="BL12" i="16"/>
  <c r="AV12" i="16"/>
  <c r="AH12" i="16"/>
  <c r="BP36" i="16"/>
  <c r="BL36" i="16"/>
  <c r="AY28" i="16"/>
  <c r="BQ36" i="16"/>
  <c r="BI12" i="16"/>
  <c r="AU12" i="16"/>
  <c r="AG12" i="16"/>
  <c r="M28" i="16"/>
  <c r="M32" i="16" s="1"/>
  <c r="AJ36" i="16"/>
  <c r="BA36" i="16"/>
  <c r="BH12" i="16"/>
  <c r="AT12" i="16"/>
  <c r="AF12" i="16"/>
  <c r="BA28" i="16"/>
  <c r="BL28" i="16"/>
  <c r="BK28" i="16"/>
  <c r="BK12" i="16"/>
  <c r="AY12" i="16"/>
  <c r="AM12" i="16"/>
  <c r="AA12" i="16"/>
  <c r="BM28" i="16"/>
  <c r="AX28" i="16"/>
  <c r="BJ12" i="16"/>
  <c r="AX12" i="16"/>
  <c r="AL12" i="16"/>
  <c r="Z12" i="16"/>
  <c r="AZ28" i="16"/>
  <c r="BF28" i="16"/>
  <c r="BG28" i="16"/>
  <c r="BJ28" i="16"/>
  <c r="BB28" i="16"/>
  <c r="L5" i="9"/>
  <c r="I35" i="9"/>
  <c r="DA42" i="9"/>
  <c r="CY42" i="9"/>
  <c r="V52" i="15"/>
  <c r="AC52" i="15"/>
  <c r="BU52" i="15"/>
  <c r="P48" i="15"/>
  <c r="M48" i="15"/>
  <c r="R48" i="15"/>
  <c r="W48" i="15"/>
  <c r="S48" i="15"/>
  <c r="X48" i="15"/>
  <c r="V48" i="15"/>
  <c r="AA48" i="15"/>
  <c r="T48" i="15"/>
  <c r="AJ48" i="15"/>
  <c r="Q48" i="15"/>
  <c r="AC48" i="15"/>
  <c r="O48" i="15"/>
  <c r="AF48" i="15"/>
  <c r="Y48" i="15"/>
  <c r="AB48" i="15"/>
  <c r="Z48" i="15"/>
  <c r="AI48" i="15"/>
  <c r="AH48" i="15"/>
  <c r="AG48" i="15"/>
  <c r="AE48" i="15"/>
  <c r="N48" i="15"/>
  <c r="U48" i="15"/>
  <c r="AD48" i="15"/>
  <c r="AQ7" i="12"/>
  <c r="AR60" i="12"/>
  <c r="AR12" i="12"/>
  <c r="AR11" i="12"/>
  <c r="AR10" i="12"/>
  <c r="AR19" i="12"/>
  <c r="AR18" i="12"/>
  <c r="AR27" i="12"/>
  <c r="AR35" i="12"/>
  <c r="AR52" i="12"/>
  <c r="AR61" i="12"/>
  <c r="AR59" i="12"/>
  <c r="AR5" i="12"/>
  <c r="AR4" i="12"/>
  <c r="AR3" i="12"/>
  <c r="AR2" i="12"/>
  <c r="AS1" i="12"/>
  <c r="AU10" i="9"/>
  <c r="M35" i="5"/>
  <c r="L35" i="5"/>
  <c r="BZ68" i="5"/>
  <c r="BY68" i="5"/>
  <c r="CA68" i="5"/>
  <c r="BX68" i="5"/>
  <c r="BO8" i="15"/>
  <c r="BC8" i="15"/>
  <c r="BR8" i="15"/>
  <c r="BF8" i="15"/>
  <c r="BK8" i="15"/>
  <c r="AV1" i="9"/>
  <c r="AU17" i="9"/>
  <c r="AU18" i="9"/>
  <c r="BN8" i="15"/>
  <c r="BB8" i="15"/>
  <c r="AU9" i="9"/>
  <c r="BM8" i="15"/>
  <c r="BA8" i="15"/>
  <c r="AU52" i="9"/>
  <c r="AU60" i="9"/>
  <c r="BU8" i="15"/>
  <c r="BI8" i="15"/>
  <c r="AW8" i="15"/>
  <c r="AU2" i="9"/>
  <c r="L42" i="9"/>
  <c r="DJ50" i="9"/>
  <c r="CI20" i="17"/>
  <c r="CW20" i="17"/>
  <c r="BM20" i="17"/>
  <c r="P20" i="17"/>
  <c r="CU20" i="17"/>
  <c r="CQ20" i="17"/>
  <c r="O20" i="17"/>
  <c r="CT20" i="17"/>
  <c r="CA20" i="17"/>
  <c r="CP20" i="17"/>
  <c r="BX20" i="17"/>
  <c r="CO20" i="17"/>
  <c r="N20" i="17"/>
  <c r="BZ20" i="17"/>
  <c r="M20" i="17"/>
  <c r="BY20" i="17"/>
  <c r="BW20" i="17"/>
  <c r="BS20" i="17"/>
  <c r="CB20" i="17"/>
  <c r="CK20" i="17"/>
  <c r="BQ20" i="17"/>
  <c r="CE20" i="17"/>
  <c r="CF20" i="17"/>
  <c r="CJ20" i="17"/>
  <c r="CC20" i="17"/>
  <c r="CD20" i="17"/>
  <c r="CL20" i="17"/>
  <c r="BL20" i="17"/>
  <c r="CR20" i="17"/>
  <c r="BU20" i="17"/>
  <c r="BR20" i="17"/>
  <c r="CM20" i="17"/>
  <c r="BN20" i="17"/>
  <c r="BV20" i="17"/>
  <c r="CX20" i="17"/>
  <c r="BT20" i="17"/>
  <c r="CV20" i="17"/>
  <c r="CG20" i="17"/>
  <c r="CS20" i="17"/>
  <c r="CN20" i="17"/>
  <c r="BP20" i="17"/>
  <c r="BO20" i="17"/>
  <c r="CH20" i="17"/>
  <c r="W21" i="17"/>
  <c r="CG21" i="17"/>
  <c r="CX21" i="17"/>
  <c r="CT21" i="17"/>
  <c r="R21" i="17"/>
  <c r="CN21" i="17"/>
  <c r="CC21" i="17"/>
  <c r="BT21" i="17"/>
  <c r="CA21" i="17"/>
  <c r="V21" i="17"/>
  <c r="CP21" i="17"/>
  <c r="S21" i="17"/>
  <c r="CR21" i="17"/>
  <c r="BY21" i="17"/>
  <c r="P21" i="17"/>
  <c r="CB21" i="17"/>
  <c r="CF21" i="17"/>
  <c r="CV21" i="17"/>
  <c r="CO21" i="17"/>
  <c r="CM21" i="17"/>
  <c r="BZ21" i="17"/>
  <c r="BX21" i="17"/>
  <c r="X21" i="17"/>
  <c r="U21" i="17"/>
  <c r="CI21" i="17"/>
  <c r="CQ21" i="17"/>
  <c r="Z21" i="17"/>
  <c r="CK21" i="17"/>
  <c r="BW21" i="17"/>
  <c r="M21" i="17"/>
  <c r="CE21" i="17"/>
  <c r="N21" i="17"/>
  <c r="CL21" i="17"/>
  <c r="O21" i="17"/>
  <c r="Y21" i="17"/>
  <c r="T21" i="17"/>
  <c r="BS21" i="17"/>
  <c r="CW21" i="17"/>
  <c r="Q21" i="17"/>
  <c r="BU21" i="17"/>
  <c r="CD21" i="17"/>
  <c r="CU21" i="17"/>
  <c r="CH21" i="17"/>
  <c r="CJ21" i="17"/>
  <c r="CS21" i="17"/>
  <c r="BV21" i="17"/>
  <c r="CR12" i="17"/>
  <c r="CQ12" i="17"/>
  <c r="CD12" i="17"/>
  <c r="CP12" i="17"/>
  <c r="R12" i="17"/>
  <c r="BY12" i="17"/>
  <c r="CM12" i="17"/>
  <c r="CH12" i="17"/>
  <c r="CF12" i="17"/>
  <c r="CA12" i="17"/>
  <c r="CK12" i="17"/>
  <c r="BS12" i="17"/>
  <c r="CO12" i="17"/>
  <c r="CN12" i="17"/>
  <c r="CW12" i="17"/>
  <c r="CE12" i="17"/>
  <c r="BZ12" i="17"/>
  <c r="BX12" i="17"/>
  <c r="BT12" i="17"/>
  <c r="CT12" i="17"/>
  <c r="CC12" i="17"/>
  <c r="BW12" i="17"/>
  <c r="CX12" i="17"/>
  <c r="O12" i="17"/>
  <c r="CI12" i="17"/>
  <c r="S12" i="17"/>
  <c r="CV12" i="17"/>
  <c r="CG12" i="17"/>
  <c r="N12" i="17"/>
  <c r="CJ12" i="17"/>
  <c r="P12" i="17"/>
  <c r="BU12" i="17"/>
  <c r="CS12" i="17"/>
  <c r="CL12" i="17"/>
  <c r="CU12" i="17"/>
  <c r="BV12" i="17"/>
  <c r="CB12" i="17"/>
  <c r="Q12" i="17"/>
  <c r="M12" i="17"/>
  <c r="BN21" i="15"/>
  <c r="BN24" i="15" s="1"/>
  <c r="AF30" i="15"/>
  <c r="AI20" i="5"/>
  <c r="P30" i="15"/>
  <c r="BH8" i="15"/>
  <c r="AV8" i="15"/>
  <c r="AA50" i="9"/>
  <c r="X50" i="9"/>
  <c r="DH50" i="9"/>
  <c r="DF50" i="9"/>
  <c r="DE50" i="9"/>
  <c r="AQ30" i="15"/>
  <c r="AE30" i="15"/>
  <c r="BD21" i="15"/>
  <c r="V30" i="15"/>
  <c r="BP8" i="15"/>
  <c r="BD8" i="15"/>
  <c r="BV8" i="15"/>
  <c r="BY21" i="15"/>
  <c r="BS30" i="15"/>
  <c r="AA37" i="15"/>
  <c r="BY30" i="15"/>
  <c r="BP30" i="15"/>
  <c r="Y37" i="15"/>
  <c r="AX70" i="15"/>
  <c r="AY8" i="15"/>
  <c r="AW70" i="15"/>
  <c r="AX8" i="15"/>
  <c r="BO30" i="15"/>
  <c r="AJ70" i="15"/>
  <c r="T21" i="15"/>
  <c r="AA70" i="15"/>
  <c r="P21" i="15"/>
  <c r="T70" i="15"/>
  <c r="S21" i="15"/>
  <c r="AI30" i="15"/>
  <c r="BQ8" i="15"/>
  <c r="BE8" i="15"/>
  <c r="N8" i="15"/>
  <c r="BR21" i="15"/>
  <c r="BR24" i="15" s="1"/>
  <c r="BO21" i="15"/>
  <c r="BO24" i="15" s="1"/>
  <c r="Y30" i="15"/>
  <c r="BV70" i="15"/>
  <c r="BI21" i="15"/>
  <c r="BI24" i="15" s="1"/>
  <c r="AO52" i="15"/>
  <c r="AN37" i="15"/>
  <c r="AS52" i="15"/>
  <c r="AG52" i="15"/>
  <c r="AB52" i="15"/>
  <c r="BQ21" i="15"/>
  <c r="BQ24" i="15" s="1"/>
  <c r="AR52" i="15"/>
  <c r="AF52" i="15"/>
  <c r="S52" i="15"/>
  <c r="BT8" i="15"/>
  <c r="BR30" i="15"/>
  <c r="AH30" i="15"/>
  <c r="AA30" i="15"/>
  <c r="BB70" i="15"/>
  <c r="AD70" i="15"/>
  <c r="AM37" i="15"/>
  <c r="BP21" i="15"/>
  <c r="BP24" i="15" s="1"/>
  <c r="BW52" i="15"/>
  <c r="AQ52" i="15"/>
  <c r="AE52" i="15"/>
  <c r="O52" i="15"/>
  <c r="BS8" i="15"/>
  <c r="BG8" i="15"/>
  <c r="AU8" i="15"/>
  <c r="BQ30" i="15"/>
  <c r="AG30" i="15"/>
  <c r="BA70" i="15"/>
  <c r="AC70" i="15"/>
  <c r="BJ8" i="15"/>
  <c r="AL37" i="15"/>
  <c r="BV52" i="15"/>
  <c r="AP52" i="15"/>
  <c r="AD52" i="15"/>
  <c r="X52" i="15"/>
  <c r="BW70" i="15"/>
  <c r="AY70" i="15"/>
  <c r="P70" i="15"/>
  <c r="AF37" i="15"/>
  <c r="BT52" i="15"/>
  <c r="AN52" i="15"/>
  <c r="P52" i="15"/>
  <c r="Q52" i="15"/>
  <c r="BH21" i="15"/>
  <c r="X21" i="15"/>
  <c r="AY52" i="15"/>
  <c r="AM52" i="15"/>
  <c r="Z52" i="15"/>
  <c r="R52" i="15"/>
  <c r="W30" i="15"/>
  <c r="AV70" i="15"/>
  <c r="Z70" i="15"/>
  <c r="U37" i="15"/>
  <c r="BY70" i="15"/>
  <c r="BF21" i="15"/>
  <c r="R21" i="15"/>
  <c r="AX52" i="15"/>
  <c r="AL52" i="15"/>
  <c r="AA52" i="15"/>
  <c r="T52" i="15"/>
  <c r="O30" i="15"/>
  <c r="AP70" i="15"/>
  <c r="R70" i="15"/>
  <c r="AE37" i="15"/>
  <c r="BE21" i="15"/>
  <c r="Q21" i="15"/>
  <c r="AW52" i="15"/>
  <c r="AK52" i="15"/>
  <c r="N52" i="15"/>
  <c r="U52" i="15"/>
  <c r="N30" i="15"/>
  <c r="AO70" i="15"/>
  <c r="Y70" i="15"/>
  <c r="AD37" i="15"/>
  <c r="AV52" i="15"/>
  <c r="AJ52" i="15"/>
  <c r="M52" i="15"/>
  <c r="BL8" i="15"/>
  <c r="AZ8" i="15"/>
  <c r="AM70" i="15"/>
  <c r="AB70" i="15"/>
  <c r="AB37" i="15"/>
  <c r="BY52" i="15"/>
  <c r="BU21" i="15"/>
  <c r="BU24" i="15" s="1"/>
  <c r="BC21" i="15"/>
  <c r="BX24" i="15"/>
  <c r="AU52" i="15"/>
  <c r="AI52" i="15"/>
  <c r="W52" i="15"/>
  <c r="BV30" i="15"/>
  <c r="AL30" i="15"/>
  <c r="Z30" i="15"/>
  <c r="AL70" i="15"/>
  <c r="O70" i="15"/>
  <c r="Z37" i="15"/>
  <c r="BT21" i="15"/>
  <c r="BT24" i="15" s="1"/>
  <c r="AT52" i="15"/>
  <c r="AH52" i="15"/>
  <c r="Y52" i="15"/>
  <c r="BU30" i="15"/>
  <c r="AK30" i="15"/>
  <c r="M30" i="15"/>
  <c r="AK70" i="15"/>
  <c r="Q70" i="15"/>
  <c r="AQ37" i="15"/>
  <c r="W37" i="15"/>
  <c r="U59" i="15"/>
  <c r="O59" i="15"/>
  <c r="AK59" i="15"/>
  <c r="AW59" i="15"/>
  <c r="AQ59" i="15"/>
  <c r="S59" i="15"/>
  <c r="Z59" i="15"/>
  <c r="AL59" i="15"/>
  <c r="AX59" i="15"/>
  <c r="BJ59" i="15"/>
  <c r="P59" i="15"/>
  <c r="R59" i="15"/>
  <c r="X59" i="15"/>
  <c r="AM59" i="15"/>
  <c r="AY59" i="15"/>
  <c r="BK59" i="15"/>
  <c r="AA59" i="15"/>
  <c r="AN59" i="15"/>
  <c r="AZ59" i="15"/>
  <c r="BL59" i="15"/>
  <c r="AE59" i="15"/>
  <c r="Q59" i="15"/>
  <c r="AC59" i="15"/>
  <c r="AO59" i="15"/>
  <c r="BA59" i="15"/>
  <c r="BM59" i="15"/>
  <c r="W59" i="15"/>
  <c r="AD59" i="15"/>
  <c r="AP59" i="15"/>
  <c r="BB59" i="15"/>
  <c r="M59" i="15"/>
  <c r="AG59" i="15"/>
  <c r="AS59" i="15"/>
  <c r="AJ59" i="15"/>
  <c r="AV59" i="15"/>
  <c r="AB59" i="15"/>
  <c r="AH59" i="15"/>
  <c r="AT59" i="15"/>
  <c r="V59" i="15"/>
  <c r="Y59" i="15"/>
  <c r="AI59" i="15"/>
  <c r="AU59" i="15"/>
  <c r="T59" i="15"/>
  <c r="AR59" i="15"/>
  <c r="AF59" i="15"/>
  <c r="BS21" i="15"/>
  <c r="BS24" i="15" s="1"/>
  <c r="BG21" i="15"/>
  <c r="N21" i="15"/>
  <c r="N24" i="15" s="1"/>
  <c r="BT30" i="15"/>
  <c r="AJ30" i="15"/>
  <c r="R30" i="15"/>
  <c r="AZ70" i="15"/>
  <c r="AN70" i="15"/>
  <c r="S70" i="15"/>
  <c r="X70" i="15"/>
  <c r="AP37" i="15"/>
  <c r="R37" i="15"/>
  <c r="O37" i="15"/>
  <c r="AO37" i="15"/>
  <c r="N37" i="15"/>
  <c r="H69" i="15"/>
  <c r="I69" i="15" s="1"/>
  <c r="AC69" i="15" s="1"/>
  <c r="T36" i="15"/>
  <c r="T40" i="15" s="1"/>
  <c r="U36" i="15"/>
  <c r="AA36" i="15"/>
  <c r="P36" i="15"/>
  <c r="Y36" i="15"/>
  <c r="M36" i="15"/>
  <c r="O36" i="15"/>
  <c r="AC36" i="15"/>
  <c r="Z36" i="15"/>
  <c r="V36" i="15"/>
  <c r="AD36" i="15"/>
  <c r="W36" i="15"/>
  <c r="Q36" i="15"/>
  <c r="X36" i="15"/>
  <c r="N36" i="15"/>
  <c r="R36" i="15"/>
  <c r="AB36" i="15"/>
  <c r="AE36" i="15"/>
  <c r="AF36" i="15"/>
  <c r="AG36" i="15"/>
  <c r="AH36" i="15"/>
  <c r="AI36" i="15"/>
  <c r="AJ36" i="15"/>
  <c r="BJ36" i="15"/>
  <c r="BK36" i="15"/>
  <c r="BL36" i="15"/>
  <c r="BM36" i="15"/>
  <c r="BN36" i="15"/>
  <c r="BO36" i="15"/>
  <c r="BP36" i="15"/>
  <c r="BQ36" i="15"/>
  <c r="BR36" i="15"/>
  <c r="BS36" i="15"/>
  <c r="BT36" i="15"/>
  <c r="BU36" i="15"/>
  <c r="BV36" i="15"/>
  <c r="BW36" i="15"/>
  <c r="BX36" i="15"/>
  <c r="S37" i="15"/>
  <c r="S40" i="15" s="1"/>
  <c r="BW8" i="15"/>
  <c r="H29" i="15"/>
  <c r="I29" i="15" s="1"/>
  <c r="M29" i="15" s="1"/>
  <c r="BG70" i="15"/>
  <c r="AU70" i="15"/>
  <c r="AI70" i="15"/>
  <c r="M70" i="15"/>
  <c r="AK37" i="15"/>
  <c r="AC37" i="15"/>
  <c r="X37" i="15"/>
  <c r="BM21" i="15"/>
  <c r="BM24" i="15" s="1"/>
  <c r="U21" i="15"/>
  <c r="BN30" i="15"/>
  <c r="AP30" i="15"/>
  <c r="AD30" i="15"/>
  <c r="AB30" i="15"/>
  <c r="H53" i="15"/>
  <c r="I53" i="15" s="1"/>
  <c r="X53" i="15" s="1"/>
  <c r="BF70" i="15"/>
  <c r="AT70" i="15"/>
  <c r="AH70" i="15"/>
  <c r="N70" i="15"/>
  <c r="AJ37" i="15"/>
  <c r="V37" i="15"/>
  <c r="H61" i="15"/>
  <c r="I61" i="15" s="1"/>
  <c r="Z61" i="15" s="1"/>
  <c r="BL21" i="15"/>
  <c r="BL24" i="15" s="1"/>
  <c r="W21" i="15"/>
  <c r="O21" i="15"/>
  <c r="BM30" i="15"/>
  <c r="AO30" i="15"/>
  <c r="AC30" i="15"/>
  <c r="S30" i="15"/>
  <c r="BE70" i="15"/>
  <c r="AS70" i="15"/>
  <c r="AG70" i="15"/>
  <c r="V70" i="15"/>
  <c r="AI37" i="15"/>
  <c r="Q37" i="15"/>
  <c r="BW21" i="15"/>
  <c r="BW24" i="15" s="1"/>
  <c r="BK21" i="15"/>
  <c r="BK24" i="15" s="1"/>
  <c r="M21" i="15"/>
  <c r="M24" i="15" s="1"/>
  <c r="BL30" i="15"/>
  <c r="AN30" i="15"/>
  <c r="X30" i="15"/>
  <c r="U30" i="15"/>
  <c r="BD70" i="15"/>
  <c r="AR70" i="15"/>
  <c r="AF70" i="15"/>
  <c r="W70" i="15"/>
  <c r="AH37" i="15"/>
  <c r="M37" i="15"/>
  <c r="BY36" i="15"/>
  <c r="BV21" i="15"/>
  <c r="BV24" i="15" s="1"/>
  <c r="BJ21" i="15"/>
  <c r="BJ24" i="15" s="1"/>
  <c r="V21" i="15"/>
  <c r="BW30" i="15"/>
  <c r="BK30" i="15"/>
  <c r="AM30" i="15"/>
  <c r="Q30" i="15"/>
  <c r="T30" i="15"/>
  <c r="BC70" i="15"/>
  <c r="AQ70" i="15"/>
  <c r="AE70" i="15"/>
  <c r="U70" i="15"/>
  <c r="AG37" i="15"/>
  <c r="P37" i="15"/>
  <c r="BR28" i="16"/>
  <c r="BR43" i="16"/>
  <c r="BR21" i="16"/>
  <c r="BR36" i="16"/>
  <c r="BR38" i="16"/>
  <c r="BR22" i="16"/>
  <c r="BR5" i="16"/>
  <c r="BR20" i="16"/>
  <c r="BR14" i="16"/>
  <c r="BR11" i="16"/>
  <c r="BR30" i="16"/>
  <c r="BR35" i="16"/>
  <c r="BR6" i="16"/>
  <c r="BR27" i="16"/>
  <c r="BR19" i="16"/>
  <c r="BR4" i="16"/>
  <c r="BS2" i="16"/>
  <c r="BR12" i="16"/>
  <c r="K47" i="12"/>
  <c r="DD42" i="9"/>
  <c r="CZ34" i="9"/>
  <c r="Z50" i="9"/>
  <c r="CZ50" i="9"/>
  <c r="S50" i="9"/>
  <c r="P50" i="9"/>
  <c r="DK50" i="9"/>
  <c r="DO50" i="9"/>
  <c r="DL50" i="9"/>
  <c r="CX50" i="9"/>
  <c r="W42" i="9"/>
  <c r="DD50" i="9"/>
  <c r="DI50" i="9"/>
  <c r="CX34" i="9"/>
  <c r="W50" i="9"/>
  <c r="DT50" i="9"/>
  <c r="N50" i="9"/>
  <c r="DB50" i="9"/>
  <c r="DG50" i="9"/>
  <c r="U42" i="9"/>
  <c r="DG34" i="9"/>
  <c r="AD50" i="9"/>
  <c r="V50" i="9"/>
  <c r="DC50" i="9"/>
  <c r="DR50" i="9"/>
  <c r="DM50" i="9"/>
  <c r="DU50" i="9"/>
  <c r="AC50" i="9"/>
  <c r="U50" i="9"/>
  <c r="DP50" i="9"/>
  <c r="R50" i="9"/>
  <c r="CV50" i="9"/>
  <c r="DA50" i="9"/>
  <c r="AB50" i="9"/>
  <c r="T50" i="9"/>
  <c r="M50" i="9"/>
  <c r="Q50" i="9"/>
  <c r="DQ50" i="9"/>
  <c r="CY50" i="9"/>
  <c r="DP34" i="9"/>
  <c r="DC34" i="9"/>
  <c r="DJ34" i="9"/>
  <c r="Y50" i="9"/>
  <c r="O50" i="9"/>
  <c r="L50" i="9"/>
  <c r="DN50" i="9"/>
  <c r="CW50" i="9"/>
  <c r="G59" i="9"/>
  <c r="I59" i="9" s="1"/>
  <c r="DL59" i="9" s="1"/>
  <c r="I58" i="9"/>
  <c r="AD42" i="9"/>
  <c r="V42" i="9"/>
  <c r="O42" i="9"/>
  <c r="DN42" i="9"/>
  <c r="DJ42" i="9"/>
  <c r="CV42" i="9"/>
  <c r="DL34" i="9"/>
  <c r="DD34" i="9"/>
  <c r="CV34" i="9"/>
  <c r="AC42" i="9"/>
  <c r="P42" i="9"/>
  <c r="AB42" i="9"/>
  <c r="T42" i="9"/>
  <c r="DE42" i="9"/>
  <c r="DL42" i="9"/>
  <c r="DH42" i="9"/>
  <c r="G51" i="9"/>
  <c r="I51" i="9" s="1"/>
  <c r="DP51" i="9" s="1"/>
  <c r="L34" i="9"/>
  <c r="DR34" i="9"/>
  <c r="DN34" i="9"/>
  <c r="M5" i="9"/>
  <c r="AA42" i="9"/>
  <c r="S42" i="9"/>
  <c r="DB42" i="9"/>
  <c r="DG42" i="9"/>
  <c r="DC42" i="9"/>
  <c r="G43" i="9"/>
  <c r="I43" i="9" s="1"/>
  <c r="DA34" i="9"/>
  <c r="N34" i="9"/>
  <c r="DQ34" i="9"/>
  <c r="Z42" i="9"/>
  <c r="R42" i="9"/>
  <c r="DR42" i="9"/>
  <c r="M42" i="9"/>
  <c r="DM42" i="9"/>
  <c r="DO34" i="9"/>
  <c r="DH34" i="9"/>
  <c r="DB34" i="9"/>
  <c r="DM34" i="9"/>
  <c r="N42" i="9"/>
  <c r="Y42" i="9"/>
  <c r="CW42" i="9"/>
  <c r="CZ42" i="9"/>
  <c r="Q42" i="9"/>
  <c r="DQ42" i="9"/>
  <c r="DI34" i="9"/>
  <c r="DF34" i="9"/>
  <c r="CW34" i="9"/>
  <c r="DE34" i="9"/>
  <c r="CX42" i="9"/>
  <c r="X42" i="9"/>
  <c r="DP42" i="9"/>
  <c r="DI42" i="9"/>
  <c r="DF42" i="9"/>
  <c r="DK42" i="9"/>
  <c r="CY34" i="9"/>
  <c r="M34" i="9"/>
  <c r="BN43" i="14"/>
  <c r="BN35" i="14"/>
  <c r="BN36" i="14"/>
  <c r="BN37" i="14"/>
  <c r="BN29" i="14"/>
  <c r="BN27" i="14"/>
  <c r="BN11" i="14"/>
  <c r="BN19" i="14"/>
  <c r="BN28" i="14"/>
  <c r="BN20" i="14"/>
  <c r="BN3" i="14"/>
  <c r="BO2" i="14"/>
  <c r="BN21" i="14"/>
  <c r="BN4" i="14"/>
  <c r="BN5" i="14"/>
  <c r="BN12" i="14"/>
  <c r="M36" i="5"/>
  <c r="L36" i="5"/>
  <c r="M69" i="5"/>
  <c r="M61" i="5"/>
  <c r="L61" i="5"/>
  <c r="I37" i="5"/>
  <c r="L68" i="5"/>
  <c r="M68" i="5"/>
  <c r="L60" i="5"/>
  <c r="M60" i="5"/>
  <c r="L52" i="5"/>
  <c r="M52" i="5"/>
  <c r="M44" i="5"/>
  <c r="L44" i="5"/>
  <c r="Z12" i="5"/>
  <c r="AA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S12" i="5"/>
  <c r="AT12" i="5"/>
  <c r="AU12" i="5"/>
  <c r="M45" i="5"/>
  <c r="L45" i="5"/>
  <c r="AX3" i="8"/>
  <c r="AW12" i="5"/>
  <c r="AW11" i="5"/>
  <c r="AX2" i="5"/>
  <c r="AX14" i="5" s="1"/>
  <c r="AW6" i="5"/>
  <c r="AW5" i="5"/>
  <c r="AW4" i="5"/>
  <c r="AW3" i="5"/>
  <c r="L37" i="2"/>
  <c r="K67" i="2"/>
  <c r="M67" i="2" s="1"/>
  <c r="K37" i="2"/>
  <c r="K6" i="2"/>
  <c r="L6" i="2"/>
  <c r="BX8" i="15" l="1"/>
  <c r="BX16" i="15"/>
  <c r="BY71" i="15"/>
  <c r="BY63" i="15"/>
  <c r="BY55" i="15"/>
  <c r="BY47" i="15"/>
  <c r="BY31" i="15"/>
  <c r="BY39" i="15"/>
  <c r="BY23" i="15"/>
  <c r="BY7" i="15"/>
  <c r="BY15" i="15"/>
  <c r="BY54" i="15"/>
  <c r="BY62" i="15"/>
  <c r="BY5" i="15"/>
  <c r="BY19" i="15"/>
  <c r="BY13" i="15"/>
  <c r="BY44" i="15"/>
  <c r="BY12" i="15"/>
  <c r="BY3" i="15"/>
  <c r="BY11" i="15"/>
  <c r="BY68" i="15"/>
  <c r="BY38" i="15"/>
  <c r="BY22" i="15"/>
  <c r="BY4" i="15"/>
  <c r="BY6" i="15"/>
  <c r="BY60" i="15"/>
  <c r="BY28" i="15"/>
  <c r="BY14" i="15"/>
  <c r="BZ2" i="15"/>
  <c r="BY20" i="15"/>
  <c r="BS63" i="16"/>
  <c r="BS7" i="16"/>
  <c r="AH51" i="9"/>
  <c r="AD51" i="9"/>
  <c r="AA51" i="9"/>
  <c r="AA54" i="9" s="1"/>
  <c r="Z51" i="9"/>
  <c r="Z54" i="9" s="1"/>
  <c r="S51" i="9"/>
  <c r="DQ59" i="9"/>
  <c r="U59" i="9"/>
  <c r="W59" i="9"/>
  <c r="AH59" i="9"/>
  <c r="V51" i="9"/>
  <c r="AH43" i="9"/>
  <c r="DN35" i="9"/>
  <c r="DK35" i="9"/>
  <c r="DK38" i="9" s="1"/>
  <c r="CV35" i="9"/>
  <c r="DI35" i="9"/>
  <c r="O35" i="9"/>
  <c r="DC35" i="9"/>
  <c r="DA35" i="9"/>
  <c r="CZ35" i="9"/>
  <c r="CW35" i="9"/>
  <c r="CX35" i="9"/>
  <c r="DB35" i="9"/>
  <c r="Q35" i="9"/>
  <c r="M35" i="9"/>
  <c r="DD35" i="9"/>
  <c r="DR35" i="9"/>
  <c r="CY35" i="9"/>
  <c r="S35" i="9"/>
  <c r="DH35" i="9"/>
  <c r="DG35" i="9"/>
  <c r="DO35" i="9"/>
  <c r="N35" i="9"/>
  <c r="DL35" i="9"/>
  <c r="DP35" i="9"/>
  <c r="L35" i="9"/>
  <c r="R35" i="9"/>
  <c r="DM35" i="9"/>
  <c r="DF35" i="9"/>
  <c r="DE35" i="9"/>
  <c r="DQ35" i="9"/>
  <c r="DJ35" i="9"/>
  <c r="P35" i="9"/>
  <c r="Z43" i="9"/>
  <c r="DL51" i="9"/>
  <c r="DD51" i="9"/>
  <c r="CV51" i="9"/>
  <c r="R43" i="9"/>
  <c r="DM51" i="9"/>
  <c r="CZ51" i="9"/>
  <c r="DN43" i="9"/>
  <c r="T35" i="9"/>
  <c r="U35" i="9"/>
  <c r="V35" i="9"/>
  <c r="BC61" i="15"/>
  <c r="AZ61" i="15"/>
  <c r="AY61" i="15"/>
  <c r="AR7" i="12"/>
  <c r="AS19" i="12"/>
  <c r="AS2" i="12"/>
  <c r="AS35" i="12"/>
  <c r="AS3" i="12"/>
  <c r="AS59" i="12"/>
  <c r="AS60" i="12"/>
  <c r="AS4" i="12"/>
  <c r="AS10" i="12"/>
  <c r="AS18" i="12"/>
  <c r="AS5" i="12"/>
  <c r="AS11" i="12"/>
  <c r="AS52" i="12"/>
  <c r="AT1" i="12"/>
  <c r="AS12" i="12"/>
  <c r="AS27" i="12"/>
  <c r="AS61" i="12"/>
  <c r="AQ61" i="15"/>
  <c r="T61" i="15"/>
  <c r="U61" i="15"/>
  <c r="V61" i="15"/>
  <c r="AV60" i="9"/>
  <c r="AV10" i="9"/>
  <c r="AV9" i="9"/>
  <c r="AV18" i="9"/>
  <c r="AV17" i="9"/>
  <c r="AV3" i="9"/>
  <c r="AV2" i="9"/>
  <c r="BM69" i="15"/>
  <c r="AV52" i="9"/>
  <c r="AW1" i="9"/>
  <c r="AF40" i="15"/>
  <c r="AD40" i="15"/>
  <c r="X56" i="15"/>
  <c r="Y40" i="15"/>
  <c r="AA40" i="15"/>
  <c r="AR61" i="15"/>
  <c r="AR64" i="15" s="1"/>
  <c r="AM61" i="15"/>
  <c r="AM64" i="15" s="1"/>
  <c r="BE69" i="15"/>
  <c r="AL61" i="15"/>
  <c r="AL64" i="15" s="1"/>
  <c r="AF61" i="15"/>
  <c r="AF64" i="15" s="1"/>
  <c r="AE61" i="15"/>
  <c r="AE64" i="15" s="1"/>
  <c r="CV59" i="9"/>
  <c r="DV59" i="9"/>
  <c r="DT59" i="9"/>
  <c r="DH59" i="9"/>
  <c r="AI59" i="9"/>
  <c r="AG59" i="9"/>
  <c r="V59" i="9"/>
  <c r="P51" i="9"/>
  <c r="P54" i="9" s="1"/>
  <c r="L59" i="9"/>
  <c r="BN69" i="15"/>
  <c r="AS69" i="15"/>
  <c r="AS72" i="15" s="1"/>
  <c r="AO69" i="15"/>
  <c r="AO72" i="15" s="1"/>
  <c r="AB61" i="15"/>
  <c r="AB64" i="15" s="1"/>
  <c r="AH69" i="15"/>
  <c r="AH72" i="15" s="1"/>
  <c r="AG69" i="15"/>
  <c r="AG72" i="15" s="1"/>
  <c r="BA69" i="15"/>
  <c r="X69" i="15"/>
  <c r="X72" i="15" s="1"/>
  <c r="AF59" i="9"/>
  <c r="T59" i="9"/>
  <c r="DO59" i="9"/>
  <c r="DK59" i="9"/>
  <c r="AE59" i="9"/>
  <c r="S59" i="9"/>
  <c r="DP59" i="9"/>
  <c r="AD59" i="9"/>
  <c r="R59" i="9"/>
  <c r="DR59" i="9"/>
  <c r="AC59" i="9"/>
  <c r="Q59" i="9"/>
  <c r="M59" i="9"/>
  <c r="AB59" i="9"/>
  <c r="P59" i="9"/>
  <c r="DN59" i="9"/>
  <c r="AA59" i="9"/>
  <c r="O59" i="9"/>
  <c r="DW59" i="9"/>
  <c r="DU51" i="9"/>
  <c r="DU54" i="9" s="1"/>
  <c r="N59" i="9"/>
  <c r="AK59" i="9"/>
  <c r="Y59" i="9"/>
  <c r="DS59" i="9"/>
  <c r="DM59" i="9"/>
  <c r="DF51" i="9"/>
  <c r="DF54" i="9" s="1"/>
  <c r="Z59" i="9"/>
  <c r="DU59" i="9"/>
  <c r="AJ59" i="9"/>
  <c r="X59" i="9"/>
  <c r="DJ59" i="9"/>
  <c r="AI51" i="9"/>
  <c r="DE51" i="9"/>
  <c r="DE54" i="9" s="1"/>
  <c r="X40" i="15"/>
  <c r="W40" i="15"/>
  <c r="AJ40" i="15"/>
  <c r="V40" i="15"/>
  <c r="AC72" i="15"/>
  <c r="S29" i="15"/>
  <c r="AG40" i="15"/>
  <c r="AN69" i="15"/>
  <c r="AN72" i="15" s="1"/>
  <c r="BZ29" i="15"/>
  <c r="U40" i="15"/>
  <c r="U29" i="15"/>
  <c r="BL69" i="15"/>
  <c r="U69" i="15"/>
  <c r="U72" i="15" s="1"/>
  <c r="BX29" i="15"/>
  <c r="BX32" i="15" s="1"/>
  <c r="T29" i="15"/>
  <c r="AH40" i="15"/>
  <c r="Z40" i="15"/>
  <c r="BF69" i="15"/>
  <c r="Z69" i="15"/>
  <c r="Z72" i="15" s="1"/>
  <c r="AU53" i="15"/>
  <c r="BU29" i="15"/>
  <c r="BU32" i="15" s="1"/>
  <c r="P29" i="15"/>
  <c r="AK53" i="15"/>
  <c r="AK56" i="15" s="1"/>
  <c r="BT29" i="15"/>
  <c r="BT32" i="15" s="1"/>
  <c r="Y29" i="15"/>
  <c r="BB69" i="15"/>
  <c r="AA69" i="15"/>
  <c r="AA72" i="15" s="1"/>
  <c r="AG53" i="15"/>
  <c r="AG56" i="15" s="1"/>
  <c r="W53" i="15"/>
  <c r="W56" i="15" s="1"/>
  <c r="AC40" i="15"/>
  <c r="V29" i="15"/>
  <c r="AZ69" i="15"/>
  <c r="AB69" i="15"/>
  <c r="AB72" i="15" s="1"/>
  <c r="BS29" i="15"/>
  <c r="BS32" i="15" s="1"/>
  <c r="R29" i="15"/>
  <c r="AE40" i="15"/>
  <c r="Y53" i="15"/>
  <c r="Y56" i="15" s="1"/>
  <c r="AA29" i="15"/>
  <c r="AT69" i="15"/>
  <c r="AT72" i="15" s="1"/>
  <c r="AJ53" i="15"/>
  <c r="AJ56" i="15" s="1"/>
  <c r="AB53" i="15"/>
  <c r="AB56" i="15" s="1"/>
  <c r="P40" i="15"/>
  <c r="AI53" i="15"/>
  <c r="AI56" i="15" s="1"/>
  <c r="P53" i="15"/>
  <c r="P56" i="15" s="1"/>
  <c r="AH53" i="15"/>
  <c r="AH56" i="15" s="1"/>
  <c r="O53" i="15"/>
  <c r="O56" i="15" s="1"/>
  <c r="S61" i="15"/>
  <c r="S64" i="15" s="1"/>
  <c r="AS53" i="15"/>
  <c r="AS56" i="15" s="1"/>
  <c r="AE53" i="15"/>
  <c r="AE56" i="15" s="1"/>
  <c r="T53" i="15"/>
  <c r="T56" i="15" s="1"/>
  <c r="AR53" i="15"/>
  <c r="AR56" i="15" s="1"/>
  <c r="AA53" i="15"/>
  <c r="AA56" i="15" s="1"/>
  <c r="V53" i="15"/>
  <c r="V56" i="15" s="1"/>
  <c r="AT53" i="15"/>
  <c r="AT56" i="15" s="1"/>
  <c r="AQ53" i="15"/>
  <c r="AQ56" i="15" s="1"/>
  <c r="AD53" i="15"/>
  <c r="AD56" i="15" s="1"/>
  <c r="AP53" i="15"/>
  <c r="AP56" i="15" s="1"/>
  <c r="N53" i="15"/>
  <c r="N56" i="15" s="1"/>
  <c r="Z29" i="15"/>
  <c r="AO53" i="15"/>
  <c r="AO56" i="15" s="1"/>
  <c r="U53" i="15"/>
  <c r="U56" i="15" s="1"/>
  <c r="AF53" i="15"/>
  <c r="AF56" i="15" s="1"/>
  <c r="AL53" i="15"/>
  <c r="AL56" i="15" s="1"/>
  <c r="AC53" i="15"/>
  <c r="AC56" i="15" s="1"/>
  <c r="AB40" i="15"/>
  <c r="Z64" i="15"/>
  <c r="AX61" i="15"/>
  <c r="AX64" i="15" s="1"/>
  <c r="V69" i="15"/>
  <c r="V72" i="15" s="1"/>
  <c r="AI69" i="15"/>
  <c r="AI72" i="15" s="1"/>
  <c r="AU69" i="15"/>
  <c r="AU72" i="15" s="1"/>
  <c r="BG69" i="15"/>
  <c r="T69" i="15"/>
  <c r="T72" i="15" s="1"/>
  <c r="S69" i="15"/>
  <c r="S72" i="15" s="1"/>
  <c r="Y69" i="15"/>
  <c r="Y72" i="15" s="1"/>
  <c r="AJ69" i="15"/>
  <c r="AJ72" i="15" s="1"/>
  <c r="AV69" i="15"/>
  <c r="AV72" i="15" s="1"/>
  <c r="BH69" i="15"/>
  <c r="N69" i="15"/>
  <c r="N72" i="15" s="1"/>
  <c r="AM69" i="15"/>
  <c r="AM72" i="15" s="1"/>
  <c r="W69" i="15"/>
  <c r="W72" i="15" s="1"/>
  <c r="O69" i="15"/>
  <c r="O72" i="15" s="1"/>
  <c r="AK69" i="15"/>
  <c r="AK72" i="15" s="1"/>
  <c r="AW69" i="15"/>
  <c r="AW72" i="15" s="1"/>
  <c r="BI69" i="15"/>
  <c r="AY69" i="15"/>
  <c r="AY72" i="15" s="1"/>
  <c r="P69" i="15"/>
  <c r="P72" i="15" s="1"/>
  <c r="M69" i="15"/>
  <c r="M72" i="15" s="1"/>
  <c r="AL69" i="15"/>
  <c r="AL72" i="15" s="1"/>
  <c r="AX69" i="15"/>
  <c r="AX72" i="15" s="1"/>
  <c r="BJ69" i="15"/>
  <c r="BK69" i="15"/>
  <c r="Q69" i="15"/>
  <c r="Q72" i="15" s="1"/>
  <c r="AE69" i="15"/>
  <c r="AE72" i="15" s="1"/>
  <c r="AQ69" i="15"/>
  <c r="AQ72" i="15" s="1"/>
  <c r="BC69" i="15"/>
  <c r="BO69" i="15"/>
  <c r="R69" i="15"/>
  <c r="R72" i="15" s="1"/>
  <c r="AF69" i="15"/>
  <c r="AF72" i="15" s="1"/>
  <c r="AR69" i="15"/>
  <c r="AR72" i="15" s="1"/>
  <c r="BD69" i="15"/>
  <c r="Q40" i="15"/>
  <c r="O61" i="15"/>
  <c r="O64" i="15" s="1"/>
  <c r="M61" i="15"/>
  <c r="M64" i="15" s="1"/>
  <c r="AG61" i="15"/>
  <c r="AG64" i="15" s="1"/>
  <c r="AS61" i="15"/>
  <c r="AS64" i="15" s="1"/>
  <c r="AW61" i="15"/>
  <c r="AW64" i="15" s="1"/>
  <c r="AC61" i="15"/>
  <c r="AC64" i="15" s="1"/>
  <c r="AH61" i="15"/>
  <c r="AH64" i="15" s="1"/>
  <c r="AT61" i="15"/>
  <c r="AT64" i="15" s="1"/>
  <c r="X61" i="15"/>
  <c r="X64" i="15" s="1"/>
  <c r="N61" i="15"/>
  <c r="N64" i="15" s="1"/>
  <c r="AI61" i="15"/>
  <c r="AI64" i="15" s="1"/>
  <c r="AU61" i="15"/>
  <c r="AU64" i="15" s="1"/>
  <c r="AK61" i="15"/>
  <c r="AK64" i="15" s="1"/>
  <c r="Y61" i="15"/>
  <c r="Y64" i="15" s="1"/>
  <c r="AJ61" i="15"/>
  <c r="AJ64" i="15" s="1"/>
  <c r="AV61" i="15"/>
  <c r="AV64" i="15" s="1"/>
  <c r="P61" i="15"/>
  <c r="P64" i="15" s="1"/>
  <c r="R61" i="15"/>
  <c r="R64" i="15" s="1"/>
  <c r="AA61" i="15"/>
  <c r="AA64" i="15" s="1"/>
  <c r="AO61" i="15"/>
  <c r="AO64" i="15" s="1"/>
  <c r="BA61" i="15"/>
  <c r="Q61" i="15"/>
  <c r="Q64" i="15" s="1"/>
  <c r="AD61" i="15"/>
  <c r="AD64" i="15" s="1"/>
  <c r="AP61" i="15"/>
  <c r="AP64" i="15" s="1"/>
  <c r="BB61" i="15"/>
  <c r="AN61" i="15"/>
  <c r="AN64" i="15" s="1"/>
  <c r="W61" i="15"/>
  <c r="W64" i="15" s="1"/>
  <c r="AP69" i="15"/>
  <c r="AP72" i="15" s="1"/>
  <c r="AD69" i="15"/>
  <c r="AD72" i="15" s="1"/>
  <c r="O29" i="15"/>
  <c r="BY29" i="15"/>
  <c r="AI40" i="15"/>
  <c r="Z53" i="15"/>
  <c r="Z56" i="15" s="1"/>
  <c r="N29" i="15"/>
  <c r="N32" i="15" s="1"/>
  <c r="M40" i="15"/>
  <c r="AN53" i="15"/>
  <c r="AN56" i="15" s="1"/>
  <c r="S53" i="15"/>
  <c r="S56" i="15" s="1"/>
  <c r="Q53" i="15"/>
  <c r="Q56" i="15" s="1"/>
  <c r="BW29" i="15"/>
  <c r="BW32" i="15" s="1"/>
  <c r="W29" i="15"/>
  <c r="N40" i="15"/>
  <c r="R40" i="15"/>
  <c r="AM53" i="15"/>
  <c r="AM56" i="15" s="1"/>
  <c r="M53" i="15"/>
  <c r="M56" i="15" s="1"/>
  <c r="R53" i="15"/>
  <c r="R56" i="15" s="1"/>
  <c r="BV29" i="15"/>
  <c r="BV32" i="15" s="1"/>
  <c r="X29" i="15"/>
  <c r="Q29" i="15"/>
  <c r="O40" i="15"/>
  <c r="BR24" i="16"/>
  <c r="BS52" i="16"/>
  <c r="BS36" i="16"/>
  <c r="BS35" i="16"/>
  <c r="BS22" i="16"/>
  <c r="BS37" i="16"/>
  <c r="BS6" i="16"/>
  <c r="BS38" i="16"/>
  <c r="BS28" i="16"/>
  <c r="BS27" i="16"/>
  <c r="BS21" i="16"/>
  <c r="BS14" i="16"/>
  <c r="BS11" i="16"/>
  <c r="BS44" i="16"/>
  <c r="BS30" i="16"/>
  <c r="BS29" i="16"/>
  <c r="BS19" i="16"/>
  <c r="BS5" i="16"/>
  <c r="BS4" i="16"/>
  <c r="BS43" i="16"/>
  <c r="BT2" i="16"/>
  <c r="BS12" i="16"/>
  <c r="BS20" i="16"/>
  <c r="L64" i="5"/>
  <c r="DI43" i="9"/>
  <c r="DP54" i="9"/>
  <c r="AK51" i="9"/>
  <c r="AC51" i="9"/>
  <c r="AC54" i="9" s="1"/>
  <c r="U51" i="9"/>
  <c r="U54" i="9" s="1"/>
  <c r="DO51" i="9"/>
  <c r="DO54" i="9" s="1"/>
  <c r="Q51" i="9"/>
  <c r="Q54" i="9" s="1"/>
  <c r="DH51" i="9"/>
  <c r="DH54" i="9" s="1"/>
  <c r="AJ51" i="9"/>
  <c r="AB51" i="9"/>
  <c r="AB54" i="9" s="1"/>
  <c r="T51" i="9"/>
  <c r="T54" i="9" s="1"/>
  <c r="CW51" i="9"/>
  <c r="CW54" i="9" s="1"/>
  <c r="DC51" i="9"/>
  <c r="DC54" i="9" s="1"/>
  <c r="M51" i="9"/>
  <c r="M54" i="9" s="1"/>
  <c r="AG51" i="9"/>
  <c r="Y51" i="9"/>
  <c r="Y54" i="9" s="1"/>
  <c r="R51" i="9"/>
  <c r="R54" i="9" s="1"/>
  <c r="DS51" i="9"/>
  <c r="DS54" i="9" s="1"/>
  <c r="DK51" i="9"/>
  <c r="DK54" i="9" s="1"/>
  <c r="AF51" i="9"/>
  <c r="X51" i="9"/>
  <c r="X54" i="9" s="1"/>
  <c r="CX51" i="9"/>
  <c r="CX54" i="9" s="1"/>
  <c r="CY51" i="9"/>
  <c r="CY54" i="9" s="1"/>
  <c r="DN51" i="9"/>
  <c r="DN54" i="9" s="1"/>
  <c r="AE51" i="9"/>
  <c r="W51" i="9"/>
  <c r="W54" i="9" s="1"/>
  <c r="DA51" i="9"/>
  <c r="DA54" i="9" s="1"/>
  <c r="L51" i="9"/>
  <c r="L54" i="9" s="1"/>
  <c r="N51" i="9"/>
  <c r="N54" i="9" s="1"/>
  <c r="L72" i="5"/>
  <c r="M48" i="5"/>
  <c r="M64" i="5"/>
  <c r="M43" i="9"/>
  <c r="M46" i="9" s="1"/>
  <c r="AG43" i="9"/>
  <c r="Y43" i="9"/>
  <c r="P43" i="9"/>
  <c r="P46" i="9" s="1"/>
  <c r="DH43" i="9"/>
  <c r="DH46" i="9" s="1"/>
  <c r="DM43" i="9"/>
  <c r="DM46" i="9" s="1"/>
  <c r="X43" i="9"/>
  <c r="X46" i="9" s="1"/>
  <c r="AE43" i="9"/>
  <c r="W43" i="9"/>
  <c r="W46" i="9" s="1"/>
  <c r="L43" i="9"/>
  <c r="L46" i="9" s="1"/>
  <c r="DG43" i="9"/>
  <c r="DG46" i="9" s="1"/>
  <c r="N43" i="9"/>
  <c r="N46" i="9" s="1"/>
  <c r="AF43" i="9"/>
  <c r="DO43" i="9"/>
  <c r="DO46" i="9" s="1"/>
  <c r="AD43" i="9"/>
  <c r="V43" i="9"/>
  <c r="V46" i="9" s="1"/>
  <c r="DC43" i="9"/>
  <c r="DC46" i="9" s="1"/>
  <c r="Q43" i="9"/>
  <c r="Q46" i="9" s="1"/>
  <c r="O43" i="9"/>
  <c r="O46" i="9" s="1"/>
  <c r="AK43" i="9"/>
  <c r="AC43" i="9"/>
  <c r="U43" i="9"/>
  <c r="U46" i="9" s="1"/>
  <c r="DP43" i="9"/>
  <c r="DP46" i="9" s="1"/>
  <c r="DR43" i="9"/>
  <c r="DR46" i="9" s="1"/>
  <c r="DF43" i="9"/>
  <c r="DF46" i="9" s="1"/>
  <c r="DJ51" i="9"/>
  <c r="DJ54" i="9" s="1"/>
  <c r="DL43" i="9"/>
  <c r="DL46" i="9" s="1"/>
  <c r="AJ43" i="9"/>
  <c r="AB43" i="9"/>
  <c r="T43" i="9"/>
  <c r="T46" i="9" s="1"/>
  <c r="DQ43" i="9"/>
  <c r="DQ46" i="9" s="1"/>
  <c r="DK43" i="9"/>
  <c r="DK46" i="9" s="1"/>
  <c r="DE43" i="9"/>
  <c r="DE46" i="9" s="1"/>
  <c r="DG51" i="9"/>
  <c r="DG54" i="9" s="1"/>
  <c r="DT51" i="9"/>
  <c r="DT54" i="9" s="1"/>
  <c r="DR51" i="9"/>
  <c r="DR54" i="9" s="1"/>
  <c r="L58" i="9"/>
  <c r="DF58" i="9"/>
  <c r="DB58" i="9"/>
  <c r="DT58" i="9"/>
  <c r="P58" i="9"/>
  <c r="X58" i="9"/>
  <c r="W58" i="9"/>
  <c r="M58" i="9"/>
  <c r="DD58" i="9"/>
  <c r="DP58" i="9"/>
  <c r="DS58" i="9"/>
  <c r="Q58" i="9"/>
  <c r="Y58" i="9"/>
  <c r="CZ58" i="9"/>
  <c r="DN58" i="9"/>
  <c r="AC58" i="9"/>
  <c r="DO58" i="9"/>
  <c r="DQ58" i="9"/>
  <c r="CV58" i="9"/>
  <c r="DR58" i="9"/>
  <c r="R58" i="9"/>
  <c r="Z58" i="9"/>
  <c r="DW58" i="9"/>
  <c r="U58" i="9"/>
  <c r="DH58" i="9"/>
  <c r="O58" i="9"/>
  <c r="DI58" i="9"/>
  <c r="DL58" i="9"/>
  <c r="DL62" i="9" s="1"/>
  <c r="DK58" i="9"/>
  <c r="DC58" i="9"/>
  <c r="S58" i="9"/>
  <c r="AA58" i="9"/>
  <c r="DU58" i="9"/>
  <c r="DJ58" i="9"/>
  <c r="N58" i="9"/>
  <c r="DE58" i="9"/>
  <c r="CX58" i="9"/>
  <c r="CY58" i="9"/>
  <c r="T58" i="9"/>
  <c r="AB58" i="9"/>
  <c r="DA58" i="9"/>
  <c r="DV58" i="9"/>
  <c r="DM58" i="9"/>
  <c r="DG58" i="9"/>
  <c r="CW58" i="9"/>
  <c r="V58" i="9"/>
  <c r="AD58" i="9"/>
  <c r="DB43" i="9"/>
  <c r="DB46" i="9" s="1"/>
  <c r="AI43" i="9"/>
  <c r="AA43" i="9"/>
  <c r="S43" i="9"/>
  <c r="S46" i="9" s="1"/>
  <c r="DD43" i="9"/>
  <c r="DD46" i="9" s="1"/>
  <c r="DJ43" i="9"/>
  <c r="DJ46" i="9" s="1"/>
  <c r="CV43" i="9"/>
  <c r="O51" i="9"/>
  <c r="O54" i="9" s="1"/>
  <c r="DI51" i="9"/>
  <c r="DI54" i="9" s="1"/>
  <c r="DQ51" i="9"/>
  <c r="DQ54" i="9" s="1"/>
  <c r="DB51" i="9"/>
  <c r="DB54" i="9" s="1"/>
  <c r="DI59" i="9"/>
  <c r="M72" i="5"/>
  <c r="L48" i="5"/>
  <c r="BO43" i="14"/>
  <c r="BO35" i="14"/>
  <c r="BO36" i="14"/>
  <c r="BO37" i="14"/>
  <c r="BO28" i="14"/>
  <c r="BO29" i="14"/>
  <c r="BO27" i="14"/>
  <c r="BO5" i="14"/>
  <c r="BO11" i="14"/>
  <c r="BO19" i="14"/>
  <c r="BO20" i="14"/>
  <c r="BO3" i="14"/>
  <c r="BP2" i="14"/>
  <c r="BO21" i="14"/>
  <c r="BO4" i="14"/>
  <c r="BO12" i="14"/>
  <c r="I53" i="5"/>
  <c r="L37" i="5"/>
  <c r="L40" i="5" s="1"/>
  <c r="M37" i="5"/>
  <c r="M40" i="5" s="1"/>
  <c r="AY3" i="8"/>
  <c r="AY4" i="8"/>
  <c r="AX20" i="5"/>
  <c r="AX11" i="5"/>
  <c r="AX12" i="5"/>
  <c r="AY2" i="5"/>
  <c r="AY14" i="5" s="1"/>
  <c r="AX6" i="5"/>
  <c r="AX3" i="5"/>
  <c r="AX5" i="5"/>
  <c r="AX4" i="5"/>
  <c r="M37" i="2"/>
  <c r="M6" i="2"/>
  <c r="BY32" i="15" l="1"/>
  <c r="BY24" i="15"/>
  <c r="BZ71" i="15"/>
  <c r="BZ63" i="15"/>
  <c r="BZ55" i="15"/>
  <c r="BZ47" i="15"/>
  <c r="BZ39" i="15"/>
  <c r="BZ31" i="15"/>
  <c r="BZ23" i="15"/>
  <c r="BZ7" i="15"/>
  <c r="BZ15" i="15"/>
  <c r="BZ62" i="15"/>
  <c r="BZ45" i="15"/>
  <c r="BZ19" i="15"/>
  <c r="BZ14" i="15"/>
  <c r="BZ13" i="15"/>
  <c r="BZ21" i="15"/>
  <c r="BZ68" i="15"/>
  <c r="BZ5" i="15"/>
  <c r="BZ60" i="15"/>
  <c r="BZ36" i="15"/>
  <c r="BZ30" i="15"/>
  <c r="BZ11" i="15"/>
  <c r="BZ12" i="15"/>
  <c r="BZ4" i="15"/>
  <c r="BZ52" i="15"/>
  <c r="BZ44" i="15"/>
  <c r="BZ28" i="15"/>
  <c r="BZ22" i="15"/>
  <c r="CA2" i="15"/>
  <c r="BZ70" i="15"/>
  <c r="BZ38" i="15"/>
  <c r="BZ27" i="15"/>
  <c r="BZ6" i="15"/>
  <c r="BZ20" i="15"/>
  <c r="BZ3" i="15"/>
  <c r="BY16" i="15"/>
  <c r="BY8" i="15"/>
  <c r="BS40" i="16"/>
  <c r="BT63" i="16"/>
  <c r="BT7" i="16"/>
  <c r="S54" i="9"/>
  <c r="L62" i="9"/>
  <c r="W62" i="9"/>
  <c r="DQ62" i="9"/>
  <c r="U62" i="9"/>
  <c r="DR38" i="9"/>
  <c r="DG38" i="9"/>
  <c r="N38" i="9"/>
  <c r="DQ38" i="9"/>
  <c r="DJ38" i="9"/>
  <c r="DO38" i="9"/>
  <c r="M38" i="9"/>
  <c r="DL38" i="9"/>
  <c r="DC38" i="9"/>
  <c r="DP38" i="9"/>
  <c r="CX38" i="9"/>
  <c r="DB38" i="9"/>
  <c r="DH38" i="9"/>
  <c r="DF38" i="9"/>
  <c r="DA38" i="9"/>
  <c r="L38" i="9"/>
  <c r="CZ38" i="9"/>
  <c r="DM38" i="9"/>
  <c r="CW38" i="9"/>
  <c r="V54" i="9"/>
  <c r="DD38" i="9"/>
  <c r="DE38" i="9"/>
  <c r="DN38" i="9"/>
  <c r="DI38" i="9"/>
  <c r="CY38" i="9"/>
  <c r="DM54" i="9"/>
  <c r="DD54" i="9"/>
  <c r="DL54" i="9"/>
  <c r="CZ54" i="9"/>
  <c r="R46" i="9"/>
  <c r="DN46" i="9"/>
  <c r="V62" i="9"/>
  <c r="AS7" i="12"/>
  <c r="AQ64" i="15"/>
  <c r="V64" i="15"/>
  <c r="AY64" i="15"/>
  <c r="AW60" i="9"/>
  <c r="AW52" i="9"/>
  <c r="AW10" i="9"/>
  <c r="AW9" i="9"/>
  <c r="AW18" i="9"/>
  <c r="AW17" i="9"/>
  <c r="AT60" i="12"/>
  <c r="AT12" i="12"/>
  <c r="AT11" i="12"/>
  <c r="AT10" i="12"/>
  <c r="AT19" i="12"/>
  <c r="AT18" i="12"/>
  <c r="AT27" i="12"/>
  <c r="AT35" i="12"/>
  <c r="AT34" i="12"/>
  <c r="AT52" i="12"/>
  <c r="AT61" i="12"/>
  <c r="AT5" i="12"/>
  <c r="AT4" i="12"/>
  <c r="AT3" i="12"/>
  <c r="AT2" i="12"/>
  <c r="AU1" i="12"/>
  <c r="T64" i="15"/>
  <c r="U64" i="15"/>
  <c r="AW2" i="9"/>
  <c r="AW3" i="9"/>
  <c r="AX1" i="9"/>
  <c r="DN62" i="9"/>
  <c r="DJ62" i="9"/>
  <c r="DK62" i="9"/>
  <c r="M62" i="9"/>
  <c r="Y62" i="9"/>
  <c r="DT62" i="9"/>
  <c r="DH62" i="9"/>
  <c r="AB62" i="9"/>
  <c r="DS62" i="9"/>
  <c r="DP62" i="9"/>
  <c r="DO62" i="9"/>
  <c r="AC62" i="9"/>
  <c r="DV62" i="9"/>
  <c r="DW62" i="9"/>
  <c r="P62" i="9"/>
  <c r="AA62" i="9"/>
  <c r="S62" i="9"/>
  <c r="DR62" i="9"/>
  <c r="DM62" i="9"/>
  <c r="X62" i="9"/>
  <c r="T62" i="9"/>
  <c r="AD62" i="9"/>
  <c r="Z62" i="9"/>
  <c r="Q62" i="9"/>
  <c r="R62" i="9"/>
  <c r="N62" i="9"/>
  <c r="O62" i="9"/>
  <c r="DU62" i="9"/>
  <c r="N75" i="15"/>
  <c r="M75" i="15"/>
  <c r="BS32" i="16"/>
  <c r="BT44" i="16"/>
  <c r="BT52" i="16"/>
  <c r="BT38" i="16"/>
  <c r="BT35" i="16"/>
  <c r="BT30" i="16"/>
  <c r="BT27" i="16"/>
  <c r="BT36" i="16"/>
  <c r="BU2" i="16"/>
  <c r="BT22" i="16"/>
  <c r="BT28" i="16"/>
  <c r="BT19" i="16"/>
  <c r="BT21" i="16"/>
  <c r="BT43" i="16"/>
  <c r="BT14" i="16"/>
  <c r="BT11" i="16"/>
  <c r="BT37" i="16"/>
  <c r="BT29" i="16"/>
  <c r="BT6" i="16"/>
  <c r="BT4" i="16"/>
  <c r="BT12" i="16"/>
  <c r="BT20" i="16"/>
  <c r="BT5" i="16"/>
  <c r="BS24" i="16"/>
  <c r="DI46" i="9"/>
  <c r="DI62" i="9"/>
  <c r="BP43" i="14"/>
  <c r="BP35" i="14"/>
  <c r="BP36" i="14"/>
  <c r="BP37" i="14"/>
  <c r="BP28" i="14"/>
  <c r="BP29" i="14"/>
  <c r="BP5" i="14"/>
  <c r="BP11" i="14"/>
  <c r="BP19" i="14"/>
  <c r="BP20" i="14"/>
  <c r="BP3" i="14"/>
  <c r="BP27" i="14"/>
  <c r="BQ2" i="14"/>
  <c r="BP4" i="14"/>
  <c r="BP21" i="14"/>
  <c r="BP12" i="14"/>
  <c r="L53" i="5"/>
  <c r="L56" i="5" s="1"/>
  <c r="M53" i="5"/>
  <c r="M56" i="5" s="1"/>
  <c r="AZ3" i="8"/>
  <c r="AZ4" i="8"/>
  <c r="AY11" i="5"/>
  <c r="AY12" i="5"/>
  <c r="AY20" i="5"/>
  <c r="AZ2" i="5"/>
  <c r="AZ14" i="5" s="1"/>
  <c r="AY3" i="5"/>
  <c r="AY6" i="5"/>
  <c r="AY4" i="5"/>
  <c r="AY5" i="5"/>
  <c r="BZ32" i="15" l="1"/>
  <c r="BZ16" i="15"/>
  <c r="BZ8" i="15"/>
  <c r="CA71" i="15"/>
  <c r="CA63" i="15"/>
  <c r="CA39" i="15"/>
  <c r="CA55" i="15"/>
  <c r="CA47" i="15"/>
  <c r="CA31" i="15"/>
  <c r="CA23" i="15"/>
  <c r="CA15" i="15"/>
  <c r="CA7" i="15"/>
  <c r="CA68" i="15"/>
  <c r="CA38" i="15"/>
  <c r="CA30" i="15"/>
  <c r="CA12" i="15"/>
  <c r="CA11" i="15"/>
  <c r="CA28" i="15"/>
  <c r="CA6" i="15"/>
  <c r="CA62" i="15"/>
  <c r="CA45" i="15"/>
  <c r="CA29" i="15"/>
  <c r="CA20" i="15"/>
  <c r="CA5" i="15"/>
  <c r="CA21" i="15"/>
  <c r="CA4" i="15"/>
  <c r="CA52" i="15"/>
  <c r="CA27" i="15"/>
  <c r="CA36" i="15"/>
  <c r="CA14" i="15"/>
  <c r="CA3" i="15"/>
  <c r="CB2" i="15"/>
  <c r="CA70" i="15"/>
  <c r="CA60" i="15"/>
  <c r="CA22" i="15"/>
  <c r="CA51" i="15"/>
  <c r="CA13" i="15"/>
  <c r="CA19" i="15"/>
  <c r="CA44" i="15"/>
  <c r="BZ24" i="15"/>
  <c r="BT40" i="16"/>
  <c r="BT24" i="16"/>
  <c r="BU7" i="16"/>
  <c r="BU63" i="16"/>
  <c r="AT7" i="12"/>
  <c r="AU60" i="12"/>
  <c r="AU12" i="12"/>
  <c r="AU11" i="12"/>
  <c r="AU10" i="12"/>
  <c r="AU19" i="12"/>
  <c r="AU18" i="12"/>
  <c r="AU27" i="12"/>
  <c r="AU26" i="12"/>
  <c r="AU61" i="12"/>
  <c r="AU2" i="12"/>
  <c r="AU35" i="12"/>
  <c r="AU34" i="12"/>
  <c r="AU52" i="12"/>
  <c r="AU5" i="12"/>
  <c r="AU4" i="12"/>
  <c r="AU3" i="12"/>
  <c r="AV1" i="12"/>
  <c r="AX60" i="9"/>
  <c r="AX52" i="9"/>
  <c r="AX10" i="9"/>
  <c r="AX9" i="9"/>
  <c r="AX18" i="9"/>
  <c r="AX17" i="9"/>
  <c r="AX3" i="9"/>
  <c r="AY1" i="9"/>
  <c r="AX2" i="9"/>
  <c r="BU52" i="16"/>
  <c r="BU36" i="16"/>
  <c r="BU38" i="16"/>
  <c r="BU22" i="16"/>
  <c r="BU28" i="16"/>
  <c r="BU19" i="16"/>
  <c r="BU43" i="16"/>
  <c r="BU21" i="16"/>
  <c r="BU27" i="16"/>
  <c r="BU6" i="16"/>
  <c r="BU20" i="16"/>
  <c r="BU44" i="16"/>
  <c r="BU37" i="16"/>
  <c r="BU30" i="16"/>
  <c r="BU29" i="16"/>
  <c r="BU4" i="16"/>
  <c r="BV2" i="16"/>
  <c r="BU35" i="16"/>
  <c r="BU14" i="16"/>
  <c r="BU5" i="16"/>
  <c r="BU12" i="16"/>
  <c r="BU11" i="16"/>
  <c r="BT32" i="16"/>
  <c r="BQ43" i="14"/>
  <c r="BQ35" i="14"/>
  <c r="BQ36" i="14"/>
  <c r="BQ27" i="14"/>
  <c r="BQ37" i="14"/>
  <c r="BQ28" i="14"/>
  <c r="BQ29" i="14"/>
  <c r="BQ21" i="14"/>
  <c r="BQ4" i="14"/>
  <c r="BQ5" i="14"/>
  <c r="BQ19" i="14"/>
  <c r="BQ20" i="14"/>
  <c r="BQ3" i="14"/>
  <c r="BQ12" i="14"/>
  <c r="BR2" i="14"/>
  <c r="BQ11" i="14"/>
  <c r="BA3" i="8"/>
  <c r="BA4" i="8"/>
  <c r="AZ12" i="5"/>
  <c r="AZ20" i="5"/>
  <c r="AZ11" i="5"/>
  <c r="BA2" i="5"/>
  <c r="BA14" i="5" s="1"/>
  <c r="AZ3" i="5"/>
  <c r="AZ4" i="5"/>
  <c r="AZ6" i="5"/>
  <c r="AZ5" i="5"/>
  <c r="CA24" i="15" l="1"/>
  <c r="BU40" i="16"/>
  <c r="CA16" i="15"/>
  <c r="CB71" i="15"/>
  <c r="CB63" i="15"/>
  <c r="CB47" i="15"/>
  <c r="CB39" i="15"/>
  <c r="CB55" i="15"/>
  <c r="CB15" i="15"/>
  <c r="CB31" i="15"/>
  <c r="CB23" i="15"/>
  <c r="CB7" i="15"/>
  <c r="CB30" i="15"/>
  <c r="CB4" i="15"/>
  <c r="CB22" i="15"/>
  <c r="CB19" i="15"/>
  <c r="CB11" i="15"/>
  <c r="CB21" i="15"/>
  <c r="CC2" i="15"/>
  <c r="CB70" i="15"/>
  <c r="CB52" i="15"/>
  <c r="CB44" i="15"/>
  <c r="CB36" i="15"/>
  <c r="CB5" i="15"/>
  <c r="CB20" i="15"/>
  <c r="CB13" i="15"/>
  <c r="CB60" i="15"/>
  <c r="CB6" i="15"/>
  <c r="CB12" i="15"/>
  <c r="CB51" i="15"/>
  <c r="CB68" i="15"/>
  <c r="CB45" i="15"/>
  <c r="CB29" i="15"/>
  <c r="CB28" i="15"/>
  <c r="CB3" i="15"/>
  <c r="CB14" i="15"/>
  <c r="CB27" i="15"/>
  <c r="CA32" i="15"/>
  <c r="CA8" i="15"/>
  <c r="BU24" i="16"/>
  <c r="BV63" i="16"/>
  <c r="BV7" i="16"/>
  <c r="AV11" i="12"/>
  <c r="AV10" i="12"/>
  <c r="AV18" i="12"/>
  <c r="AV27" i="12"/>
  <c r="AV26" i="12"/>
  <c r="AV34" i="12"/>
  <c r="AV19" i="12"/>
  <c r="AV35" i="12"/>
  <c r="AY60" i="9"/>
  <c r="AV60" i="12"/>
  <c r="AV5" i="12"/>
  <c r="AV4" i="12"/>
  <c r="AV3" i="12"/>
  <c r="AV2" i="12"/>
  <c r="AW1" i="12"/>
  <c r="AU7" i="12"/>
  <c r="AV12" i="12"/>
  <c r="AY10" i="9"/>
  <c r="AY9" i="9"/>
  <c r="AY18" i="9"/>
  <c r="AY17" i="9"/>
  <c r="AZ1" i="9"/>
  <c r="AY2" i="9"/>
  <c r="AY3" i="9"/>
  <c r="BU32" i="16"/>
  <c r="BV52" i="16"/>
  <c r="BV44" i="16"/>
  <c r="BV30" i="16"/>
  <c r="BV28" i="16"/>
  <c r="BV19" i="16"/>
  <c r="BV43" i="16"/>
  <c r="BV38" i="16"/>
  <c r="BV27" i="16"/>
  <c r="BV20" i="16"/>
  <c r="BV37" i="16"/>
  <c r="BV29" i="16"/>
  <c r="BV4" i="16"/>
  <c r="BW2" i="16"/>
  <c r="BV12" i="16"/>
  <c r="BV35" i="16"/>
  <c r="BV36" i="16"/>
  <c r="BV21" i="16"/>
  <c r="BV6" i="16"/>
  <c r="BV22" i="16"/>
  <c r="BV11" i="16"/>
  <c r="BV5" i="16"/>
  <c r="BV14" i="16"/>
  <c r="BR43" i="14"/>
  <c r="BR35" i="14"/>
  <c r="BR36" i="14"/>
  <c r="BR27" i="14"/>
  <c r="BR37" i="14"/>
  <c r="BR28" i="14"/>
  <c r="BR29" i="14"/>
  <c r="BS2" i="14"/>
  <c r="BR21" i="14"/>
  <c r="BR4" i="14"/>
  <c r="BR19" i="14"/>
  <c r="BR5" i="14"/>
  <c r="BR20" i="14"/>
  <c r="BR12" i="14"/>
  <c r="BR11" i="14"/>
  <c r="BR3" i="14"/>
  <c r="BB2" i="5"/>
  <c r="BB14" i="5" s="1"/>
  <c r="BA11" i="5"/>
  <c r="BA3" i="5"/>
  <c r="BA6" i="5"/>
  <c r="BA4" i="5"/>
  <c r="BA5" i="5"/>
  <c r="BA20" i="5"/>
  <c r="BA12" i="5"/>
  <c r="BB3" i="8"/>
  <c r="BB4" i="8"/>
  <c r="CB8" i="15" l="1"/>
  <c r="CB32" i="15"/>
  <c r="CB16" i="15"/>
  <c r="CB24" i="15"/>
  <c r="CC71" i="15"/>
  <c r="CC63" i="15"/>
  <c r="CC55" i="15"/>
  <c r="CC47" i="15"/>
  <c r="CC31" i="15"/>
  <c r="CC23" i="15"/>
  <c r="CC39" i="15"/>
  <c r="CC7" i="15"/>
  <c r="CC15" i="15"/>
  <c r="CC51" i="15"/>
  <c r="CC29" i="15"/>
  <c r="CC12" i="15"/>
  <c r="CC27" i="15"/>
  <c r="CC35" i="15"/>
  <c r="CC11" i="15"/>
  <c r="CC60" i="15"/>
  <c r="CC45" i="15"/>
  <c r="CC52" i="15"/>
  <c r="CC20" i="15"/>
  <c r="CC22" i="15"/>
  <c r="CC13" i="15"/>
  <c r="CC36" i="15"/>
  <c r="CC21" i="15"/>
  <c r="CD2" i="15"/>
  <c r="CC3" i="15"/>
  <c r="CC68" i="15"/>
  <c r="CC28" i="15"/>
  <c r="CC30" i="15"/>
  <c r="CC14" i="15"/>
  <c r="CC4" i="15"/>
  <c r="CC19" i="15"/>
  <c r="CC5" i="15"/>
  <c r="CC44" i="15"/>
  <c r="CC6" i="15"/>
  <c r="CC59" i="15"/>
  <c r="BV40" i="16"/>
  <c r="BV32" i="16"/>
  <c r="BV24" i="16"/>
  <c r="BW63" i="16"/>
  <c r="BW7" i="16"/>
  <c r="AW60" i="12"/>
  <c r="AW19" i="12"/>
  <c r="AW35" i="12"/>
  <c r="AW4" i="12"/>
  <c r="AW2" i="12"/>
  <c r="AV7" i="12"/>
  <c r="AW12" i="12"/>
  <c r="AW11" i="12"/>
  <c r="AW10" i="12"/>
  <c r="AW21" i="12"/>
  <c r="AW18" i="12"/>
  <c r="AW27" i="12"/>
  <c r="AW26" i="12"/>
  <c r="AW34" i="12"/>
  <c r="AW5" i="12"/>
  <c r="AW3" i="12"/>
  <c r="AX1" i="12"/>
  <c r="AZ3" i="9"/>
  <c r="AZ17" i="9"/>
  <c r="AZ2" i="9"/>
  <c r="BA1" i="9"/>
  <c r="AZ60" i="9"/>
  <c r="AZ9" i="9"/>
  <c r="AZ10" i="9"/>
  <c r="AZ18" i="9"/>
  <c r="BW52" i="16"/>
  <c r="BW38" i="16"/>
  <c r="BW35" i="16"/>
  <c r="BW30" i="16"/>
  <c r="BW43" i="16"/>
  <c r="BW36" i="16"/>
  <c r="BW37" i="16"/>
  <c r="BW12" i="16"/>
  <c r="BW29" i="16"/>
  <c r="BW28" i="16"/>
  <c r="BW20" i="16"/>
  <c r="BW45" i="16"/>
  <c r="BW44" i="16"/>
  <c r="BW4" i="16"/>
  <c r="BX2" i="16"/>
  <c r="BW19" i="16"/>
  <c r="BW5" i="16"/>
  <c r="BW11" i="16"/>
  <c r="BW6" i="16"/>
  <c r="BW27" i="16"/>
  <c r="BW22" i="16"/>
  <c r="BW21" i="16"/>
  <c r="BW14" i="16"/>
  <c r="BS43" i="14"/>
  <c r="BS37" i="14"/>
  <c r="BS35" i="14"/>
  <c r="BS27" i="14"/>
  <c r="BS28" i="14"/>
  <c r="BS36" i="14"/>
  <c r="BS29" i="14"/>
  <c r="BS20" i="14"/>
  <c r="BS3" i="14"/>
  <c r="BT2" i="14"/>
  <c r="BS21" i="14"/>
  <c r="BS4" i="14"/>
  <c r="BS19" i="14"/>
  <c r="BS5" i="14"/>
  <c r="BS12" i="14"/>
  <c r="BS11" i="14"/>
  <c r="BB5" i="5"/>
  <c r="BB12" i="5"/>
  <c r="BB11" i="5"/>
  <c r="BB3" i="5"/>
  <c r="BB4" i="5"/>
  <c r="BB6" i="5"/>
  <c r="BB28" i="5"/>
  <c r="BB20" i="5"/>
  <c r="BC2" i="5"/>
  <c r="BC14" i="5" s="1"/>
  <c r="BA8" i="5"/>
  <c r="BC3" i="8"/>
  <c r="BC4" i="8"/>
  <c r="CC8" i="15" l="1"/>
  <c r="CC32" i="15"/>
  <c r="CD71" i="15"/>
  <c r="CD63" i="15"/>
  <c r="CD55" i="15"/>
  <c r="CD47" i="15"/>
  <c r="CD39" i="15"/>
  <c r="CD31" i="15"/>
  <c r="CD23" i="15"/>
  <c r="CD15" i="15"/>
  <c r="CD7" i="15"/>
  <c r="CD36" i="15"/>
  <c r="CD45" i="15"/>
  <c r="CD27" i="15"/>
  <c r="CD21" i="15"/>
  <c r="CD19" i="15"/>
  <c r="CD3" i="15"/>
  <c r="CD68" i="15"/>
  <c r="CD52" i="15"/>
  <c r="CD29" i="15"/>
  <c r="CD59" i="15"/>
  <c r="CD46" i="15"/>
  <c r="CD12" i="15"/>
  <c r="CD14" i="15"/>
  <c r="CD60" i="15"/>
  <c r="CD44" i="15"/>
  <c r="CD6" i="15"/>
  <c r="CD30" i="15"/>
  <c r="CD13" i="15"/>
  <c r="CE2" i="15"/>
  <c r="CD4" i="15"/>
  <c r="CD35" i="15"/>
  <c r="CD51" i="15"/>
  <c r="CD11" i="15"/>
  <c r="CD28" i="15"/>
  <c r="CD5" i="15"/>
  <c r="CD20" i="15"/>
  <c r="CD22" i="15"/>
  <c r="CC24" i="15"/>
  <c r="CC16" i="15"/>
  <c r="BW40" i="16"/>
  <c r="BW32" i="16"/>
  <c r="BW24" i="16"/>
  <c r="BX63" i="16"/>
  <c r="BX7" i="16"/>
  <c r="AW7" i="12"/>
  <c r="BA60" i="9"/>
  <c r="BA10" i="9"/>
  <c r="BA9" i="9"/>
  <c r="BA18" i="9"/>
  <c r="BA17" i="9"/>
  <c r="BA2" i="9"/>
  <c r="AX5" i="12"/>
  <c r="AX3" i="12"/>
  <c r="AY1" i="12"/>
  <c r="BB1" i="9"/>
  <c r="BA3" i="9"/>
  <c r="AX12" i="12"/>
  <c r="AX11" i="12"/>
  <c r="AX10" i="12"/>
  <c r="AX21" i="12"/>
  <c r="AX19" i="12"/>
  <c r="AX18" i="12"/>
  <c r="AX27" i="12"/>
  <c r="AX26" i="12"/>
  <c r="AX35" i="12"/>
  <c r="AX34" i="12"/>
  <c r="AX60" i="12"/>
  <c r="AX4" i="12"/>
  <c r="AX2" i="12"/>
  <c r="BX45" i="16"/>
  <c r="BX37" i="16"/>
  <c r="BX44" i="16"/>
  <c r="BX21" i="16"/>
  <c r="BX52" i="16"/>
  <c r="BX43" i="16"/>
  <c r="BX12" i="16"/>
  <c r="BX5" i="16"/>
  <c r="BX29" i="16"/>
  <c r="BX14" i="16"/>
  <c r="BX11" i="16"/>
  <c r="BX36" i="16"/>
  <c r="BX4" i="16"/>
  <c r="BY2" i="16"/>
  <c r="BX30" i="16"/>
  <c r="BX19" i="16"/>
  <c r="BX35" i="16"/>
  <c r="BX22" i="16"/>
  <c r="BX38" i="16"/>
  <c r="BX6" i="16"/>
  <c r="BX20" i="16"/>
  <c r="BX27" i="16"/>
  <c r="BX28" i="16"/>
  <c r="BT43" i="14"/>
  <c r="BT36" i="14"/>
  <c r="BT37" i="14"/>
  <c r="BT27" i="14"/>
  <c r="BT35" i="14"/>
  <c r="BT28" i="14"/>
  <c r="BT29" i="14"/>
  <c r="BT20" i="14"/>
  <c r="BT3" i="14"/>
  <c r="BU2" i="14"/>
  <c r="BT21" i="14"/>
  <c r="BT4" i="14"/>
  <c r="BT5" i="14"/>
  <c r="BT19" i="14"/>
  <c r="BT12" i="14"/>
  <c r="BT11" i="14"/>
  <c r="BI44" i="11"/>
  <c r="CO44" i="11"/>
  <c r="BJ44" i="11"/>
  <c r="BL44" i="11"/>
  <c r="CQ44" i="11"/>
  <c r="BK44" i="11"/>
  <c r="BG44" i="11"/>
  <c r="CP44" i="11"/>
  <c r="BH44" i="11"/>
  <c r="AJ50" i="11"/>
  <c r="AJ55" i="11" s="1"/>
  <c r="AK50" i="11"/>
  <c r="AK55" i="11" s="1"/>
  <c r="AG50" i="11"/>
  <c r="AG55" i="11" s="1"/>
  <c r="AI50" i="11"/>
  <c r="AI55" i="11" s="1"/>
  <c r="AH50" i="11"/>
  <c r="AH55" i="11" s="1"/>
  <c r="CZ53" i="11"/>
  <c r="CZ55" i="11" s="1"/>
  <c r="DA53" i="11"/>
  <c r="DA55" i="11" s="1"/>
  <c r="DB53" i="11"/>
  <c r="DB55" i="11" s="1"/>
  <c r="DC53" i="11"/>
  <c r="DC55" i="11" s="1"/>
  <c r="DD53" i="11"/>
  <c r="DD55" i="11" s="1"/>
  <c r="DE53" i="11"/>
  <c r="DE55" i="11" s="1"/>
  <c r="DF53" i="11"/>
  <c r="DF55" i="11" s="1"/>
  <c r="CB51" i="11"/>
  <c r="CA51" i="11"/>
  <c r="BZ51" i="11"/>
  <c r="BY51" i="11"/>
  <c r="BX51" i="11"/>
  <c r="BW51" i="11"/>
  <c r="BV51" i="11"/>
  <c r="BU51" i="11"/>
  <c r="BT51" i="11"/>
  <c r="BS51" i="11"/>
  <c r="BR51" i="11"/>
  <c r="AZ66" i="11"/>
  <c r="AZ71" i="11" s="1"/>
  <c r="AX66" i="11"/>
  <c r="AX71" i="11" s="1"/>
  <c r="AW66" i="11"/>
  <c r="AW71" i="11" s="1"/>
  <c r="AT66" i="11"/>
  <c r="AT71" i="11" s="1"/>
  <c r="AS66" i="11"/>
  <c r="AS71" i="11" s="1"/>
  <c r="AQ66" i="11"/>
  <c r="AQ71" i="11" s="1"/>
  <c r="AY66" i="11"/>
  <c r="AY71" i="11" s="1"/>
  <c r="AR66" i="11"/>
  <c r="AR71" i="11" s="1"/>
  <c r="AV66" i="11"/>
  <c r="AV71" i="11" s="1"/>
  <c r="AU66" i="11"/>
  <c r="AU71" i="11" s="1"/>
  <c r="DA60" i="11"/>
  <c r="CW60" i="11"/>
  <c r="CY60" i="11"/>
  <c r="CZ60" i="11"/>
  <c r="CV60" i="11"/>
  <c r="CX60" i="11"/>
  <c r="CU60" i="11"/>
  <c r="S19" i="11"/>
  <c r="R19" i="11"/>
  <c r="Q19" i="11"/>
  <c r="P19" i="11"/>
  <c r="O19" i="11"/>
  <c r="N19" i="11"/>
  <c r="M19" i="11"/>
  <c r="AZ28" i="11"/>
  <c r="AY28" i="11"/>
  <c r="AX28" i="11"/>
  <c r="AW28" i="11"/>
  <c r="AV28" i="11"/>
  <c r="AU28" i="11"/>
  <c r="AT28" i="11"/>
  <c r="AC28" i="11"/>
  <c r="V26" i="11"/>
  <c r="U26" i="11"/>
  <c r="T26" i="11"/>
  <c r="S26" i="11"/>
  <c r="R26" i="11"/>
  <c r="Q26" i="11"/>
  <c r="P26" i="11"/>
  <c r="O26" i="11"/>
  <c r="N26" i="11"/>
  <c r="M26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X34" i="11"/>
  <c r="X39" i="11" s="1"/>
  <c r="W34" i="11"/>
  <c r="W39" i="11" s="1"/>
  <c r="V34" i="11"/>
  <c r="V39" i="11" s="1"/>
  <c r="CB67" i="11"/>
  <c r="BY67" i="11"/>
  <c r="BV67" i="11"/>
  <c r="CD67" i="11"/>
  <c r="CA67" i="11"/>
  <c r="BX67" i="11"/>
  <c r="BU67" i="11"/>
  <c r="CC67" i="11"/>
  <c r="BZ67" i="11"/>
  <c r="BW67" i="11"/>
  <c r="BG36" i="11"/>
  <c r="L11" i="11"/>
  <c r="L15" i="11" s="1"/>
  <c r="K11" i="11"/>
  <c r="J11" i="11"/>
  <c r="CX52" i="11"/>
  <c r="CW52" i="11"/>
  <c r="CV52" i="11"/>
  <c r="CU52" i="11"/>
  <c r="BX59" i="11"/>
  <c r="CA59" i="11"/>
  <c r="BV59" i="11"/>
  <c r="BZ59" i="11"/>
  <c r="BW59" i="11"/>
  <c r="BT59" i="11"/>
  <c r="CB59" i="11"/>
  <c r="BY59" i="11"/>
  <c r="BU59" i="11"/>
  <c r="DD61" i="11"/>
  <c r="DD63" i="11" s="1"/>
  <c r="DH61" i="11"/>
  <c r="DH63" i="11" s="1"/>
  <c r="DC61" i="11"/>
  <c r="DC63" i="11" s="1"/>
  <c r="CZ61" i="11"/>
  <c r="DE61" i="11"/>
  <c r="DE63" i="11" s="1"/>
  <c r="DB61" i="11"/>
  <c r="DB63" i="11" s="1"/>
  <c r="DG61" i="11"/>
  <c r="DG63" i="11" s="1"/>
  <c r="DA61" i="11"/>
  <c r="DF61" i="11"/>
  <c r="DF63" i="11" s="1"/>
  <c r="V4" i="11"/>
  <c r="U4" i="11"/>
  <c r="T4" i="11"/>
  <c r="S4" i="11"/>
  <c r="R4" i="11"/>
  <c r="Q4" i="11"/>
  <c r="P4" i="11"/>
  <c r="O4" i="11"/>
  <c r="N4" i="11"/>
  <c r="M4" i="11"/>
  <c r="AJ20" i="11"/>
  <c r="AD20" i="11"/>
  <c r="AE20" i="11"/>
  <c r="AH20" i="11"/>
  <c r="AB20" i="11"/>
  <c r="AG20" i="11"/>
  <c r="AC20" i="11"/>
  <c r="AK20" i="11"/>
  <c r="AF20" i="11"/>
  <c r="AI20" i="11"/>
  <c r="AV43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AI22" i="5"/>
  <c r="AJ22" i="5"/>
  <c r="AK22" i="5"/>
  <c r="AL22" i="5"/>
  <c r="AM22" i="5"/>
  <c r="AN30" i="5"/>
  <c r="AO30" i="5"/>
  <c r="AP30" i="5"/>
  <c r="BC6" i="5"/>
  <c r="BC4" i="5"/>
  <c r="BC11" i="5"/>
  <c r="BC20" i="5"/>
  <c r="BC5" i="5"/>
  <c r="BC28" i="5"/>
  <c r="BC12" i="5"/>
  <c r="BC3" i="5"/>
  <c r="BD2" i="5"/>
  <c r="BD14" i="5" s="1"/>
  <c r="BB8" i="5"/>
  <c r="R30" i="5"/>
  <c r="U30" i="5"/>
  <c r="W30" i="5"/>
  <c r="S30" i="5"/>
  <c r="T30" i="5"/>
  <c r="V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BD3" i="8"/>
  <c r="BD4" i="8"/>
  <c r="CD24" i="15" l="1"/>
  <c r="BX24" i="16"/>
  <c r="CD16" i="15"/>
  <c r="CE71" i="15"/>
  <c r="CE63" i="15"/>
  <c r="CE39" i="15"/>
  <c r="CE55" i="15"/>
  <c r="CE47" i="15"/>
  <c r="CE23" i="15"/>
  <c r="CE31" i="15"/>
  <c r="CE15" i="15"/>
  <c r="CE7" i="15"/>
  <c r="CE45" i="15"/>
  <c r="CE30" i="15"/>
  <c r="CE14" i="15"/>
  <c r="CE29" i="15"/>
  <c r="CE11" i="15"/>
  <c r="CE4" i="15"/>
  <c r="CE52" i="15"/>
  <c r="CE36" i="15"/>
  <c r="CE3" i="15"/>
  <c r="CF2" i="15"/>
  <c r="CE67" i="15"/>
  <c r="CE35" i="15"/>
  <c r="CE59" i="15"/>
  <c r="CE5" i="15"/>
  <c r="CE44" i="15"/>
  <c r="CE13" i="15"/>
  <c r="CE21" i="15"/>
  <c r="CE60" i="15"/>
  <c r="CE6" i="15"/>
  <c r="CE68" i="15"/>
  <c r="CE46" i="15"/>
  <c r="CE28" i="15"/>
  <c r="CE27" i="15"/>
  <c r="CE12" i="15"/>
  <c r="CE22" i="15"/>
  <c r="CE19" i="15"/>
  <c r="CE20" i="15"/>
  <c r="CD32" i="15"/>
  <c r="CD8" i="15"/>
  <c r="BX40" i="16"/>
  <c r="BX32" i="16"/>
  <c r="BY7" i="16"/>
  <c r="BY63" i="16"/>
  <c r="BB60" i="9"/>
  <c r="BB26" i="9"/>
  <c r="BB34" i="9"/>
  <c r="BB10" i="9"/>
  <c r="BB9" i="9"/>
  <c r="BB17" i="9"/>
  <c r="BC1" i="9"/>
  <c r="BB2" i="9"/>
  <c r="AY12" i="12"/>
  <c r="AY11" i="12"/>
  <c r="AY21" i="12"/>
  <c r="AY18" i="12"/>
  <c r="AY26" i="12"/>
  <c r="AY60" i="12"/>
  <c r="AY5" i="12"/>
  <c r="AY3" i="12"/>
  <c r="AZ1" i="12"/>
  <c r="BB18" i="9"/>
  <c r="BB3" i="9"/>
  <c r="AY10" i="12"/>
  <c r="AY19" i="12"/>
  <c r="AY27" i="12"/>
  <c r="AY35" i="12"/>
  <c r="AY34" i="12"/>
  <c r="AY4" i="12"/>
  <c r="AY2" i="12"/>
  <c r="BY52" i="16"/>
  <c r="BY44" i="16"/>
  <c r="BY29" i="16"/>
  <c r="BY45" i="16"/>
  <c r="BY30" i="16"/>
  <c r="BY43" i="16"/>
  <c r="BY38" i="16"/>
  <c r="BY14" i="16"/>
  <c r="BY36" i="16"/>
  <c r="BY37" i="16"/>
  <c r="BY19" i="16"/>
  <c r="BY35" i="16"/>
  <c r="BY12" i="16"/>
  <c r="BY5" i="16"/>
  <c r="BY22" i="16"/>
  <c r="BY27" i="16"/>
  <c r="BY21" i="16"/>
  <c r="BY4" i="16"/>
  <c r="BY20" i="16"/>
  <c r="BY6" i="16"/>
  <c r="BY11" i="16"/>
  <c r="BY28" i="16"/>
  <c r="BZ2" i="16"/>
  <c r="BU59" i="14"/>
  <c r="BU43" i="14"/>
  <c r="BU35" i="14"/>
  <c r="BU36" i="14"/>
  <c r="BU37" i="14"/>
  <c r="BU29" i="14"/>
  <c r="BU27" i="14"/>
  <c r="BU28" i="14"/>
  <c r="BU19" i="14"/>
  <c r="BU12" i="14"/>
  <c r="BU20" i="14"/>
  <c r="BU3" i="14"/>
  <c r="BV2" i="14"/>
  <c r="BU21" i="14"/>
  <c r="BU5" i="14"/>
  <c r="BU4" i="14"/>
  <c r="BU11" i="14"/>
  <c r="Q31" i="11"/>
  <c r="R31" i="11"/>
  <c r="S31" i="11"/>
  <c r="T31" i="11"/>
  <c r="M31" i="11"/>
  <c r="U31" i="11"/>
  <c r="N31" i="11"/>
  <c r="V31" i="11"/>
  <c r="O31" i="11"/>
  <c r="P31" i="11"/>
  <c r="CZ63" i="11"/>
  <c r="DA63" i="11"/>
  <c r="AI11" i="5"/>
  <c r="AS14" i="5"/>
  <c r="AH20" i="5"/>
  <c r="Y12" i="5"/>
  <c r="S4" i="5"/>
  <c r="AG22" i="5"/>
  <c r="AF22" i="5"/>
  <c r="AE22" i="5"/>
  <c r="AD22" i="5"/>
  <c r="AC22" i="5"/>
  <c r="M22" i="5"/>
  <c r="L22" i="5"/>
  <c r="N22" i="5"/>
  <c r="O22" i="5"/>
  <c r="P22" i="5"/>
  <c r="R22" i="5"/>
  <c r="Q22" i="5"/>
  <c r="S22" i="5"/>
  <c r="U22" i="5"/>
  <c r="T22" i="5"/>
  <c r="V22" i="5"/>
  <c r="W22" i="5"/>
  <c r="X22" i="5"/>
  <c r="Y22" i="5"/>
  <c r="AH22" i="5"/>
  <c r="Z22" i="5"/>
  <c r="AA22" i="5"/>
  <c r="AB22" i="5"/>
  <c r="AP58" i="11"/>
  <c r="AP63" i="11" s="1"/>
  <c r="AS58" i="11"/>
  <c r="AS63" i="11" s="1"/>
  <c r="AN58" i="11"/>
  <c r="AN63" i="11" s="1"/>
  <c r="AU58" i="11"/>
  <c r="AU63" i="11" s="1"/>
  <c r="AR58" i="11"/>
  <c r="AR63" i="11" s="1"/>
  <c r="AM58" i="11"/>
  <c r="AM63" i="11" s="1"/>
  <c r="AT58" i="11"/>
  <c r="AT63" i="11" s="1"/>
  <c r="AQ58" i="11"/>
  <c r="AQ63" i="11" s="1"/>
  <c r="AO58" i="11"/>
  <c r="AO63" i="11" s="1"/>
  <c r="AL58" i="11"/>
  <c r="AL63" i="11" s="1"/>
  <c r="Q18" i="11"/>
  <c r="Q23" i="11" s="1"/>
  <c r="P18" i="11"/>
  <c r="P23" i="11" s="1"/>
  <c r="O18" i="11"/>
  <c r="O23" i="11" s="1"/>
  <c r="N18" i="11"/>
  <c r="N23" i="11" s="1"/>
  <c r="M18" i="11"/>
  <c r="M23" i="11" s="1"/>
  <c r="L18" i="11"/>
  <c r="L23" i="11" s="1"/>
  <c r="K18" i="11"/>
  <c r="J18" i="11"/>
  <c r="L30" i="5"/>
  <c r="M30" i="5"/>
  <c r="Q30" i="5"/>
  <c r="P30" i="5"/>
  <c r="O30" i="5"/>
  <c r="N30" i="5"/>
  <c r="DE68" i="11"/>
  <c r="DA68" i="11"/>
  <c r="CX68" i="11"/>
  <c r="CT68" i="11"/>
  <c r="DF68" i="11"/>
  <c r="DC68" i="11"/>
  <c r="CZ68" i="11"/>
  <c r="CW68" i="11"/>
  <c r="CU68" i="11"/>
  <c r="DD68" i="11"/>
  <c r="DB68" i="11"/>
  <c r="CY68" i="11"/>
  <c r="CV68" i="11"/>
  <c r="CS68" i="11"/>
  <c r="CZ45" i="11"/>
  <c r="CZ47" i="11" s="1"/>
  <c r="DA45" i="11"/>
  <c r="DA47" i="11" s="1"/>
  <c r="DB45" i="11"/>
  <c r="DB47" i="11" s="1"/>
  <c r="DC45" i="11"/>
  <c r="DC47" i="11" s="1"/>
  <c r="CZ69" i="11"/>
  <c r="DD69" i="11"/>
  <c r="DG69" i="11"/>
  <c r="DG71" i="11" s="1"/>
  <c r="DK69" i="11"/>
  <c r="DK71" i="11" s="1"/>
  <c r="DC69" i="11"/>
  <c r="DF69" i="11"/>
  <c r="DJ69" i="11"/>
  <c r="DJ71" i="11" s="1"/>
  <c r="DB69" i="11"/>
  <c r="DH69" i="11"/>
  <c r="DH71" i="11" s="1"/>
  <c r="DA69" i="11"/>
  <c r="DE69" i="11"/>
  <c r="DI69" i="11"/>
  <c r="DI71" i="11" s="1"/>
  <c r="L11" i="5"/>
  <c r="L14" i="5"/>
  <c r="L5" i="5"/>
  <c r="L20" i="5"/>
  <c r="M29" i="5"/>
  <c r="L29" i="5"/>
  <c r="M27" i="5"/>
  <c r="L27" i="5"/>
  <c r="M13" i="5"/>
  <c r="L13" i="5"/>
  <c r="M21" i="5"/>
  <c r="L21" i="5"/>
  <c r="BC8" i="5"/>
  <c r="BD5" i="5"/>
  <c r="BD28" i="5"/>
  <c r="BD20" i="5"/>
  <c r="BD11" i="5"/>
  <c r="BD3" i="5"/>
  <c r="BD12" i="5"/>
  <c r="BD4" i="5"/>
  <c r="BD6" i="5"/>
  <c r="BE2" i="5"/>
  <c r="M19" i="5"/>
  <c r="L19" i="5"/>
  <c r="L12" i="5"/>
  <c r="L28" i="5"/>
  <c r="BE3" i="8"/>
  <c r="BE4" i="8"/>
  <c r="CE24" i="15" l="1"/>
  <c r="CE32" i="15"/>
  <c r="CF71" i="15"/>
  <c r="CF63" i="15"/>
  <c r="CF47" i="15"/>
  <c r="CF39" i="15"/>
  <c r="CF55" i="15"/>
  <c r="CF31" i="15"/>
  <c r="CF15" i="15"/>
  <c r="CF23" i="15"/>
  <c r="CF7" i="15"/>
  <c r="CF45" i="15"/>
  <c r="CF52" i="15"/>
  <c r="CF44" i="15"/>
  <c r="CF12" i="15"/>
  <c r="CF27" i="15"/>
  <c r="CF21" i="15"/>
  <c r="CF68" i="15"/>
  <c r="CF35" i="15"/>
  <c r="CF30" i="15"/>
  <c r="CF29" i="15"/>
  <c r="CF20" i="15"/>
  <c r="CF5" i="15"/>
  <c r="CF36" i="15"/>
  <c r="CF60" i="15"/>
  <c r="CF59" i="15"/>
  <c r="CF28" i="15"/>
  <c r="CF22" i="15"/>
  <c r="CF4" i="15"/>
  <c r="CF19" i="15"/>
  <c r="CG2" i="15"/>
  <c r="CF46" i="15"/>
  <c r="CF11" i="15"/>
  <c r="CF13" i="15"/>
  <c r="CF6" i="15"/>
  <c r="CF14" i="15"/>
  <c r="CF3" i="15"/>
  <c r="CF67" i="15"/>
  <c r="CE8" i="15"/>
  <c r="CE16" i="15"/>
  <c r="BY40" i="16"/>
  <c r="BY32" i="16"/>
  <c r="BY24" i="16"/>
  <c r="BZ63" i="16"/>
  <c r="BZ7" i="16"/>
  <c r="H10" i="13"/>
  <c r="G10" i="13"/>
  <c r="BC17" i="9"/>
  <c r="AZ5" i="12"/>
  <c r="AZ2" i="12"/>
  <c r="BC3" i="9"/>
  <c r="AZ3" i="12"/>
  <c r="BD1" i="9"/>
  <c r="BD34" i="9" s="1"/>
  <c r="BA1" i="12"/>
  <c r="BC2" i="9"/>
  <c r="BC18" i="9"/>
  <c r="AZ4" i="12"/>
  <c r="BC26" i="9"/>
  <c r="AZ10" i="12"/>
  <c r="AZ27" i="12"/>
  <c r="BC10" i="9"/>
  <c r="AZ19" i="12"/>
  <c r="AZ26" i="12"/>
  <c r="AZ12" i="12"/>
  <c r="BC34" i="9"/>
  <c r="AZ35" i="12"/>
  <c r="BC60" i="9"/>
  <c r="AZ60" i="12"/>
  <c r="AZ18" i="12"/>
  <c r="BC9" i="9"/>
  <c r="AZ21" i="12"/>
  <c r="AZ11" i="12"/>
  <c r="AZ34" i="12"/>
  <c r="BZ43" i="16"/>
  <c r="BZ52" i="16"/>
  <c r="BZ37" i="16"/>
  <c r="BZ38" i="16"/>
  <c r="BZ29" i="16"/>
  <c r="BZ14" i="16"/>
  <c r="BZ44" i="16"/>
  <c r="BZ35" i="16"/>
  <c r="BZ36" i="16"/>
  <c r="BZ45" i="16"/>
  <c r="BZ30" i="16"/>
  <c r="BZ19" i="16"/>
  <c r="BZ12" i="16"/>
  <c r="BZ5" i="16"/>
  <c r="BZ22" i="16"/>
  <c r="BZ27" i="16"/>
  <c r="BZ21" i="16"/>
  <c r="BZ6" i="16"/>
  <c r="BZ28" i="16"/>
  <c r="BZ20" i="16"/>
  <c r="CA2" i="16"/>
  <c r="BZ4" i="16"/>
  <c r="BZ11" i="16"/>
  <c r="BV59" i="14"/>
  <c r="BV43" i="14"/>
  <c r="BV35" i="14"/>
  <c r="BV36" i="14"/>
  <c r="BV37" i="14"/>
  <c r="BV29" i="14"/>
  <c r="BV27" i="14"/>
  <c r="BV11" i="14"/>
  <c r="BV19" i="14"/>
  <c r="BV20" i="14"/>
  <c r="BV3" i="14"/>
  <c r="BV28" i="14"/>
  <c r="BW2" i="14"/>
  <c r="BV21" i="14"/>
  <c r="BV4" i="14"/>
  <c r="BV5" i="14"/>
  <c r="BV12" i="14"/>
  <c r="DA71" i="11"/>
  <c r="DC71" i="11"/>
  <c r="DD71" i="11"/>
  <c r="L24" i="5"/>
  <c r="DE71" i="11"/>
  <c r="DB71" i="11"/>
  <c r="CZ71" i="11"/>
  <c r="DF71" i="11"/>
  <c r="BE14" i="5"/>
  <c r="L16" i="5"/>
  <c r="L32" i="5"/>
  <c r="L6" i="5"/>
  <c r="M6" i="5"/>
  <c r="N6" i="5"/>
  <c r="O6" i="5"/>
  <c r="P6" i="5"/>
  <c r="Q6" i="5"/>
  <c r="R6" i="5"/>
  <c r="S6" i="5"/>
  <c r="BE4" i="5"/>
  <c r="BE20" i="5"/>
  <c r="BE11" i="5"/>
  <c r="BE5" i="5"/>
  <c r="BE3" i="5"/>
  <c r="BE6" i="5"/>
  <c r="BE12" i="5"/>
  <c r="BE28" i="5"/>
  <c r="BF2" i="5"/>
  <c r="BD8" i="5"/>
  <c r="BF3" i="8"/>
  <c r="BF4" i="8"/>
  <c r="T6" i="5"/>
  <c r="U6" i="5"/>
  <c r="V6" i="5"/>
  <c r="W6" i="5"/>
  <c r="X6" i="5"/>
  <c r="CF8" i="15" l="1"/>
  <c r="CF16" i="15"/>
  <c r="CF32" i="15"/>
  <c r="CG63" i="15"/>
  <c r="CG71" i="15"/>
  <c r="CG55" i="15"/>
  <c r="CG47" i="15"/>
  <c r="CG31" i="15"/>
  <c r="CG39" i="15"/>
  <c r="CG23" i="15"/>
  <c r="CG7" i="15"/>
  <c r="CG15" i="15"/>
  <c r="CG52" i="15"/>
  <c r="CG45" i="15"/>
  <c r="CG28" i="15"/>
  <c r="CG12" i="15"/>
  <c r="CG3" i="15"/>
  <c r="CG14" i="15"/>
  <c r="CG59" i="15"/>
  <c r="CG36" i="15"/>
  <c r="CG30" i="15"/>
  <c r="CG5" i="15"/>
  <c r="CG21" i="15"/>
  <c r="CG29" i="15"/>
  <c r="CG6" i="15"/>
  <c r="CG60" i="15"/>
  <c r="CG46" i="15"/>
  <c r="CG20" i="15"/>
  <c r="CG27" i="15"/>
  <c r="CG22" i="15"/>
  <c r="CH2" i="15"/>
  <c r="CG4" i="15"/>
  <c r="CG68" i="15"/>
  <c r="CG44" i="15"/>
  <c r="CG35" i="15"/>
  <c r="CG19" i="15"/>
  <c r="CG11" i="15"/>
  <c r="CG13" i="15"/>
  <c r="CG67" i="15"/>
  <c r="CF24" i="15"/>
  <c r="BZ40" i="16"/>
  <c r="BZ32" i="16"/>
  <c r="BZ24" i="16"/>
  <c r="CA63" i="16"/>
  <c r="CA7" i="16"/>
  <c r="CC10" i="13"/>
  <c r="CC15" i="13" s="1"/>
  <c r="BD10" i="13"/>
  <c r="R10" i="13"/>
  <c r="R15" i="13" s="1"/>
  <c r="CE10" i="13"/>
  <c r="CE15" i="13" s="1"/>
  <c r="BB10" i="13"/>
  <c r="BN10" i="13"/>
  <c r="BN15" i="13" s="1"/>
  <c r="CF10" i="13"/>
  <c r="CF15" i="13" s="1"/>
  <c r="BS10" i="13"/>
  <c r="BS15" i="13" s="1"/>
  <c r="BX10" i="13"/>
  <c r="BX15" i="13" s="1"/>
  <c r="BU10" i="13"/>
  <c r="BU15" i="13" s="1"/>
  <c r="J10" i="13"/>
  <c r="BW10" i="13"/>
  <c r="BW15" i="13" s="1"/>
  <c r="L10" i="13"/>
  <c r="L15" i="13" s="1"/>
  <c r="BE10" i="13"/>
  <c r="BE15" i="13" s="1"/>
  <c r="BG10" i="13"/>
  <c r="BG15" i="13" s="1"/>
  <c r="BK10" i="13"/>
  <c r="BK15" i="13" s="1"/>
  <c r="AY10" i="13"/>
  <c r="BM10" i="13"/>
  <c r="BM15" i="13" s="1"/>
  <c r="U10" i="13"/>
  <c r="U15" i="13" s="1"/>
  <c r="CN10" i="13"/>
  <c r="CN15" i="13" s="1"/>
  <c r="BO10" i="13"/>
  <c r="BO15" i="13" s="1"/>
  <c r="CP10" i="13"/>
  <c r="CP15" i="13" s="1"/>
  <c r="CH10" i="13"/>
  <c r="CH15" i="13" s="1"/>
  <c r="M10" i="13"/>
  <c r="M15" i="13" s="1"/>
  <c r="CQ10" i="13"/>
  <c r="CQ15" i="13" s="1"/>
  <c r="CK10" i="13"/>
  <c r="CK15" i="13" s="1"/>
  <c r="V10" i="13"/>
  <c r="V15" i="13" s="1"/>
  <c r="CO10" i="13"/>
  <c r="CO15" i="13" s="1"/>
  <c r="BP10" i="13"/>
  <c r="BP15" i="13" s="1"/>
  <c r="K10" i="13"/>
  <c r="K15" i="13" s="1"/>
  <c r="CD10" i="13"/>
  <c r="CD15" i="13" s="1"/>
  <c r="N10" i="13"/>
  <c r="N15" i="13" s="1"/>
  <c r="CG10" i="13"/>
  <c r="CG15" i="13" s="1"/>
  <c r="BH10" i="13"/>
  <c r="BH15" i="13" s="1"/>
  <c r="P10" i="13"/>
  <c r="P15" i="13" s="1"/>
  <c r="BF10" i="13"/>
  <c r="BF15" i="13" s="1"/>
  <c r="BJ10" i="13"/>
  <c r="BJ15" i="13" s="1"/>
  <c r="BY10" i="13"/>
  <c r="BY15" i="13" s="1"/>
  <c r="AZ10" i="13"/>
  <c r="BZ10" i="13"/>
  <c r="BZ15" i="13" s="1"/>
  <c r="CL10" i="13"/>
  <c r="CL15" i="13" s="1"/>
  <c r="CS10" i="13"/>
  <c r="CS15" i="13" s="1"/>
  <c r="BT10" i="13"/>
  <c r="BT15" i="13" s="1"/>
  <c r="I10" i="13"/>
  <c r="CT10" i="13"/>
  <c r="CT15" i="13" s="1"/>
  <c r="CR10" i="13"/>
  <c r="CR15" i="13" s="1"/>
  <c r="T10" i="13"/>
  <c r="T15" i="13" s="1"/>
  <c r="CA10" i="13"/>
  <c r="CA15" i="13" s="1"/>
  <c r="BL10" i="13"/>
  <c r="BL15" i="13" s="1"/>
  <c r="CM10" i="13"/>
  <c r="CM15" i="13" s="1"/>
  <c r="BV10" i="13"/>
  <c r="BV15" i="13" s="1"/>
  <c r="CI10" i="13"/>
  <c r="CI15" i="13" s="1"/>
  <c r="CJ10" i="13"/>
  <c r="CJ15" i="13" s="1"/>
  <c r="BQ10" i="13"/>
  <c r="BQ15" i="13" s="1"/>
  <c r="BC10" i="13"/>
  <c r="BR10" i="13"/>
  <c r="BR15" i="13" s="1"/>
  <c r="S10" i="13"/>
  <c r="S15" i="13" s="1"/>
  <c r="BA10" i="13"/>
  <c r="CB10" i="13"/>
  <c r="CB15" i="13" s="1"/>
  <c r="BI10" i="13"/>
  <c r="BI15" i="13" s="1"/>
  <c r="Q10" i="13"/>
  <c r="Q15" i="13" s="1"/>
  <c r="O10" i="13"/>
  <c r="O15" i="13" s="1"/>
  <c r="CI11" i="17"/>
  <c r="CI16" i="17" s="1"/>
  <c r="W11" i="17"/>
  <c r="BP11" i="17"/>
  <c r="T11" i="17"/>
  <c r="CH11" i="17"/>
  <c r="CH16" i="17" s="1"/>
  <c r="BX11" i="17"/>
  <c r="BX16" i="17" s="1"/>
  <c r="CU11" i="17"/>
  <c r="CU16" i="17" s="1"/>
  <c r="BL11" i="17"/>
  <c r="BU11" i="17"/>
  <c r="BU16" i="17" s="1"/>
  <c r="BV11" i="17"/>
  <c r="BV16" i="17" s="1"/>
  <c r="CR11" i="17"/>
  <c r="CR16" i="17" s="1"/>
  <c r="R11" i="17"/>
  <c r="R16" i="17" s="1"/>
  <c r="S11" i="17"/>
  <c r="S16" i="17" s="1"/>
  <c r="V11" i="17"/>
  <c r="CP11" i="17"/>
  <c r="CP16" i="17" s="1"/>
  <c r="BK11" i="17"/>
  <c r="CJ11" i="17"/>
  <c r="CJ16" i="17" s="1"/>
  <c r="BW11" i="17"/>
  <c r="BW16" i="17" s="1"/>
  <c r="BJ11" i="17"/>
  <c r="N11" i="17"/>
  <c r="N16" i="17" s="1"/>
  <c r="CK11" i="17"/>
  <c r="CK16" i="17" s="1"/>
  <c r="CX11" i="17"/>
  <c r="CX16" i="17" s="1"/>
  <c r="CN11" i="17"/>
  <c r="CN16" i="17" s="1"/>
  <c r="U11" i="17"/>
  <c r="CL11" i="17"/>
  <c r="CL16" i="17" s="1"/>
  <c r="CC11" i="17"/>
  <c r="CC16" i="17" s="1"/>
  <c r="CV11" i="17"/>
  <c r="CV16" i="17" s="1"/>
  <c r="AA11" i="17"/>
  <c r="CG11" i="17"/>
  <c r="CG16" i="17" s="1"/>
  <c r="BM11" i="17"/>
  <c r="BZ11" i="17"/>
  <c r="BZ16" i="17" s="1"/>
  <c r="Y11" i="17"/>
  <c r="Q11" i="17"/>
  <c r="Q16" i="17" s="1"/>
  <c r="BR11" i="17"/>
  <c r="X11" i="17"/>
  <c r="BI11" i="17"/>
  <c r="CO11" i="17"/>
  <c r="CO16" i="17" s="1"/>
  <c r="CF11" i="17"/>
  <c r="CF16" i="17" s="1"/>
  <c r="CM11" i="17"/>
  <c r="CM16" i="17" s="1"/>
  <c r="AB11" i="17"/>
  <c r="CS11" i="17"/>
  <c r="CS16" i="17" s="1"/>
  <c r="CW11" i="17"/>
  <c r="CW16" i="17" s="1"/>
  <c r="CE11" i="17"/>
  <c r="CE16" i="17" s="1"/>
  <c r="CD11" i="17"/>
  <c r="CD16" i="17" s="1"/>
  <c r="BS11" i="17"/>
  <c r="BS16" i="17" s="1"/>
  <c r="BQ11" i="17"/>
  <c r="Z11" i="17"/>
  <c r="CA11" i="17"/>
  <c r="CA16" i="17" s="1"/>
  <c r="CQ11" i="17"/>
  <c r="CQ16" i="17" s="1"/>
  <c r="BN11" i="17"/>
  <c r="CB11" i="17"/>
  <c r="CB16" i="17" s="1"/>
  <c r="P11" i="17"/>
  <c r="P16" i="17" s="1"/>
  <c r="O11" i="17"/>
  <c r="O16" i="17" s="1"/>
  <c r="M11" i="17"/>
  <c r="M16" i="17" s="1"/>
  <c r="CT11" i="17"/>
  <c r="CT16" i="17" s="1"/>
  <c r="BT11" i="17"/>
  <c r="BT16" i="17" s="1"/>
  <c r="BY11" i="17"/>
  <c r="BY16" i="17" s="1"/>
  <c r="BO11" i="17"/>
  <c r="BD18" i="9"/>
  <c r="BD9" i="9"/>
  <c r="BD10" i="9"/>
  <c r="BD17" i="9"/>
  <c r="BD3" i="9"/>
  <c r="BD2" i="9"/>
  <c r="BE1" i="9"/>
  <c r="BA13" i="12"/>
  <c r="BA12" i="12"/>
  <c r="BA11" i="12"/>
  <c r="BA10" i="12"/>
  <c r="BA21" i="12"/>
  <c r="BA19" i="12"/>
  <c r="BA18" i="12"/>
  <c r="BA27" i="12"/>
  <c r="BA26" i="12"/>
  <c r="BA35" i="12"/>
  <c r="BA34" i="12"/>
  <c r="BD26" i="9"/>
  <c r="BD60" i="9"/>
  <c r="BA60" i="12"/>
  <c r="BA5" i="12"/>
  <c r="BA4" i="12"/>
  <c r="BA3" i="12"/>
  <c r="BA2" i="12"/>
  <c r="BB1" i="12"/>
  <c r="CA52" i="16"/>
  <c r="CA37" i="16"/>
  <c r="CA44" i="16"/>
  <c r="CA29" i="16"/>
  <c r="CA43" i="16"/>
  <c r="CA38" i="16"/>
  <c r="CA36" i="16"/>
  <c r="CA35" i="16"/>
  <c r="CA20" i="16"/>
  <c r="CA45" i="16"/>
  <c r="CA12" i="16"/>
  <c r="CA5" i="16"/>
  <c r="CA22" i="16"/>
  <c r="CA27" i="16"/>
  <c r="CA21" i="16"/>
  <c r="CA6" i="16"/>
  <c r="CA28" i="16"/>
  <c r="CA30" i="16"/>
  <c r="CA11" i="16"/>
  <c r="CB2" i="16"/>
  <c r="CA14" i="16"/>
  <c r="CA19" i="16"/>
  <c r="CA4" i="16"/>
  <c r="BW60" i="14"/>
  <c r="BW59" i="14"/>
  <c r="BW52" i="14"/>
  <c r="BW43" i="14"/>
  <c r="BW44" i="14"/>
  <c r="BW35" i="14"/>
  <c r="BW36" i="14"/>
  <c r="BW37" i="14"/>
  <c r="BW28" i="14"/>
  <c r="BW29" i="14"/>
  <c r="BW27" i="14"/>
  <c r="BW5" i="14"/>
  <c r="BW11" i="14"/>
  <c r="BW19" i="14"/>
  <c r="BW20" i="14"/>
  <c r="BW3" i="14"/>
  <c r="BX2" i="14"/>
  <c r="BW21" i="14"/>
  <c r="BW4" i="14"/>
  <c r="BW12" i="14"/>
  <c r="BF14" i="5"/>
  <c r="L8" i="5"/>
  <c r="L75" i="5" s="1"/>
  <c r="BE8" i="5"/>
  <c r="BF4" i="5"/>
  <c r="BF5" i="5"/>
  <c r="BF3" i="5"/>
  <c r="BF6" i="5"/>
  <c r="BF20" i="5"/>
  <c r="BF28" i="5"/>
  <c r="BF12" i="5"/>
  <c r="BF11" i="5"/>
  <c r="BG2" i="5"/>
  <c r="BG3" i="8"/>
  <c r="BG4" i="8"/>
  <c r="CG32" i="15" l="1"/>
  <c r="CG16" i="15"/>
  <c r="CG8" i="15"/>
  <c r="CG24" i="15"/>
  <c r="CH71" i="15"/>
  <c r="CH63" i="15"/>
  <c r="CH55" i="15"/>
  <c r="CH47" i="15"/>
  <c r="CH39" i="15"/>
  <c r="CH31" i="15"/>
  <c r="CH23" i="15"/>
  <c r="CH7" i="15"/>
  <c r="CH15" i="15"/>
  <c r="CH60" i="15"/>
  <c r="CH52" i="15"/>
  <c r="CH35" i="15"/>
  <c r="CH21" i="15"/>
  <c r="CH12" i="15"/>
  <c r="CH5" i="15"/>
  <c r="CH44" i="15"/>
  <c r="CH30" i="15"/>
  <c r="CH11" i="15"/>
  <c r="CH20" i="15"/>
  <c r="CH3" i="15"/>
  <c r="CH46" i="15"/>
  <c r="CH36" i="15"/>
  <c r="CH22" i="15"/>
  <c r="CH6" i="15"/>
  <c r="CH29" i="15"/>
  <c r="CH19" i="15"/>
  <c r="CH68" i="15"/>
  <c r="CH28" i="15"/>
  <c r="CH13" i="15"/>
  <c r="CH4" i="15"/>
  <c r="CH27" i="15"/>
  <c r="CI2" i="15"/>
  <c r="CH14" i="15"/>
  <c r="CH45" i="15"/>
  <c r="CA40" i="16"/>
  <c r="CA32" i="16"/>
  <c r="CA24" i="16"/>
  <c r="CB63" i="16"/>
  <c r="CB7" i="16"/>
  <c r="BE34" i="9"/>
  <c r="BE10" i="9"/>
  <c r="BE60" i="9"/>
  <c r="BE18" i="9"/>
  <c r="BE3" i="9"/>
  <c r="BE26" i="9"/>
  <c r="BE9" i="9"/>
  <c r="BE17" i="9"/>
  <c r="BF1" i="9"/>
  <c r="BE2" i="9"/>
  <c r="BB21" i="12"/>
  <c r="BB2" i="12"/>
  <c r="BB12" i="12"/>
  <c r="BB5" i="12"/>
  <c r="BB60" i="12"/>
  <c r="BB18" i="12"/>
  <c r="BB35" i="12"/>
  <c r="BB10" i="12"/>
  <c r="BB4" i="12"/>
  <c r="BB19" i="12"/>
  <c r="BC1" i="12"/>
  <c r="BB13" i="12"/>
  <c r="BB27" i="12"/>
  <c r="BB34" i="12"/>
  <c r="BB3" i="12"/>
  <c r="BB26" i="12"/>
  <c r="BB11" i="12"/>
  <c r="CB29" i="16"/>
  <c r="CB45" i="16"/>
  <c r="CB36" i="16"/>
  <c r="CB52" i="16"/>
  <c r="CB43" i="16"/>
  <c r="CB38" i="16"/>
  <c r="CB35" i="16"/>
  <c r="CB44" i="16"/>
  <c r="CB20" i="16"/>
  <c r="CB37" i="16"/>
  <c r="CB27" i="16"/>
  <c r="CB4" i="16"/>
  <c r="CC2" i="16"/>
  <c r="CB22" i="16"/>
  <c r="CB21" i="16"/>
  <c r="CB6" i="16"/>
  <c r="CB28" i="16"/>
  <c r="CB30" i="16"/>
  <c r="CB11" i="16"/>
  <c r="CB14" i="16"/>
  <c r="CB19" i="16"/>
  <c r="CB12" i="16"/>
  <c r="CB5" i="16"/>
  <c r="BX59" i="14"/>
  <c r="BX60" i="14"/>
  <c r="BX44" i="14"/>
  <c r="BX52" i="14"/>
  <c r="BX43" i="14"/>
  <c r="BX35" i="14"/>
  <c r="BX36" i="14"/>
  <c r="BX28" i="14"/>
  <c r="BX37" i="14"/>
  <c r="BX29" i="14"/>
  <c r="BX5" i="14"/>
  <c r="BX11" i="14"/>
  <c r="BX19" i="14"/>
  <c r="BX20" i="14"/>
  <c r="BX3" i="14"/>
  <c r="BY2" i="14"/>
  <c r="BX12" i="14"/>
  <c r="BX21" i="14"/>
  <c r="BX4" i="14"/>
  <c r="BX27" i="14"/>
  <c r="AQ3" i="8"/>
  <c r="AP3" i="8"/>
  <c r="AJ3" i="8"/>
  <c r="AK3" i="8"/>
  <c r="AL3" i="8"/>
  <c r="AM3" i="8"/>
  <c r="AN3" i="8"/>
  <c r="AO3" i="8"/>
  <c r="BG14" i="5"/>
  <c r="N3" i="8"/>
  <c r="M3" i="8"/>
  <c r="U3" i="8"/>
  <c r="T3" i="8"/>
  <c r="S3" i="8"/>
  <c r="AG3" i="8"/>
  <c r="AH3" i="8"/>
  <c r="AI3" i="8"/>
  <c r="BG20" i="5"/>
  <c r="BG6" i="5"/>
  <c r="BG28" i="5"/>
  <c r="BG11" i="5"/>
  <c r="BG5" i="5"/>
  <c r="BG3" i="5"/>
  <c r="BG4" i="5"/>
  <c r="BG12" i="5"/>
  <c r="BH2" i="5"/>
  <c r="BF8" i="5"/>
  <c r="R3" i="8"/>
  <c r="Q3" i="8"/>
  <c r="P3" i="8"/>
  <c r="O3" i="8"/>
  <c r="AF3" i="8"/>
  <c r="BF6" i="8"/>
  <c r="BE6" i="8"/>
  <c r="BD6" i="8"/>
  <c r="BC6" i="8"/>
  <c r="BB6" i="8"/>
  <c r="BA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L6" i="8"/>
  <c r="M6" i="8"/>
  <c r="N6" i="8"/>
  <c r="BG6" i="8"/>
  <c r="BH3" i="8"/>
  <c r="BH4" i="8"/>
  <c r="BH6" i="8"/>
  <c r="CI71" i="15" l="1"/>
  <c r="CI63" i="15"/>
  <c r="CI39" i="15"/>
  <c r="CI55" i="15"/>
  <c r="CI47" i="15"/>
  <c r="CI23" i="15"/>
  <c r="CI31" i="15"/>
  <c r="CI15" i="15"/>
  <c r="CI7" i="15"/>
  <c r="CI36" i="15"/>
  <c r="CI44" i="15"/>
  <c r="CI29" i="15"/>
  <c r="CI13" i="15"/>
  <c r="CI22" i="15"/>
  <c r="CJ2" i="15"/>
  <c r="CI60" i="15"/>
  <c r="CI30" i="15"/>
  <c r="CI28" i="15"/>
  <c r="CI20" i="15"/>
  <c r="CI21" i="15"/>
  <c r="CI14" i="15"/>
  <c r="CI3" i="15"/>
  <c r="CI68" i="15"/>
  <c r="CI46" i="15"/>
  <c r="CI27" i="15"/>
  <c r="CI12" i="15"/>
  <c r="CI5" i="15"/>
  <c r="CI45" i="15"/>
  <c r="CI52" i="15"/>
  <c r="CI35" i="15"/>
  <c r="CI19" i="15"/>
  <c r="CI4" i="15"/>
  <c r="CI6" i="15"/>
  <c r="CI11" i="15"/>
  <c r="CH8" i="15"/>
  <c r="CH32" i="15"/>
  <c r="CH24" i="15"/>
  <c r="CH16" i="15"/>
  <c r="CB40" i="16"/>
  <c r="CB32" i="16"/>
  <c r="CB24" i="16"/>
  <c r="CC7" i="16"/>
  <c r="CC63" i="16"/>
  <c r="BF25" i="9"/>
  <c r="BF26" i="9"/>
  <c r="BF34" i="9"/>
  <c r="BF33" i="9"/>
  <c r="BF10" i="9"/>
  <c r="BF9" i="9"/>
  <c r="BF18" i="9"/>
  <c r="BF17" i="9"/>
  <c r="BF3" i="9"/>
  <c r="BF2" i="9"/>
  <c r="BG1" i="9"/>
  <c r="BC2" i="12"/>
  <c r="BC3" i="12"/>
  <c r="BC18" i="12"/>
  <c r="BD1" i="12"/>
  <c r="BC21" i="12"/>
  <c r="BC35" i="12"/>
  <c r="BC4" i="12"/>
  <c r="BC12" i="12"/>
  <c r="BC20" i="12"/>
  <c r="BC5" i="12"/>
  <c r="BC13" i="12"/>
  <c r="BC10" i="12"/>
  <c r="BC27" i="12"/>
  <c r="BC34" i="12"/>
  <c r="BC60" i="12"/>
  <c r="BC11" i="12"/>
  <c r="BC19" i="12"/>
  <c r="BC26" i="12"/>
  <c r="CC45" i="16"/>
  <c r="CC38" i="16"/>
  <c r="CC28" i="16"/>
  <c r="CC52" i="16"/>
  <c r="CC44" i="16"/>
  <c r="CC20" i="16"/>
  <c r="CC11" i="16"/>
  <c r="CC4" i="16"/>
  <c r="CC37" i="16"/>
  <c r="CC27" i="16"/>
  <c r="CC21" i="16"/>
  <c r="CC43" i="16"/>
  <c r="CC19" i="16"/>
  <c r="CC30" i="16"/>
  <c r="CC6" i="16"/>
  <c r="CC35" i="16"/>
  <c r="CC29" i="16"/>
  <c r="CC22" i="16"/>
  <c r="CC14" i="16"/>
  <c r="CC12" i="16"/>
  <c r="CC36" i="16"/>
  <c r="CC5" i="16"/>
  <c r="CD2" i="16"/>
  <c r="BY59" i="14"/>
  <c r="BY60" i="14"/>
  <c r="BY43" i="14"/>
  <c r="BY52" i="14"/>
  <c r="BY44" i="14"/>
  <c r="BY35" i="14"/>
  <c r="BY36" i="14"/>
  <c r="BY27" i="14"/>
  <c r="BY28" i="14"/>
  <c r="BY37" i="14"/>
  <c r="BY29" i="14"/>
  <c r="BY21" i="14"/>
  <c r="BY4" i="14"/>
  <c r="BY5" i="14"/>
  <c r="BY19" i="14"/>
  <c r="BY20" i="14"/>
  <c r="BY3" i="14"/>
  <c r="BY11" i="14"/>
  <c r="BY12" i="14"/>
  <c r="BZ2" i="14"/>
  <c r="BH14" i="5"/>
  <c r="BH59" i="5"/>
  <c r="BH67" i="5"/>
  <c r="L4" i="8"/>
  <c r="M4" i="8"/>
  <c r="N4" i="8"/>
  <c r="O4" i="8"/>
  <c r="P4" i="8"/>
  <c r="Q4" i="8"/>
  <c r="R4" i="8"/>
  <c r="S4" i="8"/>
  <c r="AT4" i="8"/>
  <c r="AU4" i="8"/>
  <c r="AV4" i="8"/>
  <c r="AW4" i="8"/>
  <c r="AX4" i="8"/>
  <c r="BH5" i="5"/>
  <c r="BH19" i="5"/>
  <c r="BH12" i="5"/>
  <c r="BH28" i="5"/>
  <c r="BH11" i="5"/>
  <c r="BH4" i="5"/>
  <c r="BH22" i="5"/>
  <c r="BH20" i="5"/>
  <c r="BH27" i="5"/>
  <c r="BH3" i="5"/>
  <c r="BH6" i="5"/>
  <c r="BI2" i="5"/>
  <c r="BG8" i="5"/>
  <c r="BI4" i="8"/>
  <c r="BI6" i="8"/>
  <c r="BI3" i="8"/>
  <c r="CI24" i="15" l="1"/>
  <c r="CI16" i="15"/>
  <c r="CC40" i="16"/>
  <c r="CJ71" i="15"/>
  <c r="CJ63" i="15"/>
  <c r="CJ47" i="15"/>
  <c r="CJ39" i="15"/>
  <c r="CJ55" i="15"/>
  <c r="CJ23" i="15"/>
  <c r="CJ15" i="15"/>
  <c r="CJ31" i="15"/>
  <c r="CJ7" i="15"/>
  <c r="CJ52" i="15"/>
  <c r="CJ27" i="15"/>
  <c r="CJ21" i="15"/>
  <c r="CJ5" i="15"/>
  <c r="CJ6" i="15"/>
  <c r="CJ19" i="15"/>
  <c r="CJ44" i="15"/>
  <c r="CJ22" i="15"/>
  <c r="CJ45" i="15"/>
  <c r="CJ4" i="15"/>
  <c r="CJ11" i="15"/>
  <c r="CJ12" i="15"/>
  <c r="CJ13" i="15"/>
  <c r="CJ68" i="15"/>
  <c r="CJ46" i="15"/>
  <c r="CJ35" i="15"/>
  <c r="CJ36" i="15"/>
  <c r="CJ14" i="15"/>
  <c r="CJ28" i="15"/>
  <c r="CJ3" i="15"/>
  <c r="CJ29" i="15"/>
  <c r="CJ30" i="15"/>
  <c r="CJ20" i="15"/>
  <c r="CK2" i="15"/>
  <c r="CJ60" i="15"/>
  <c r="CI8" i="15"/>
  <c r="CI32" i="15"/>
  <c r="CC32" i="16"/>
  <c r="CC24" i="16"/>
  <c r="CD63" i="16"/>
  <c r="CD7" i="16"/>
  <c r="BG34" i="9"/>
  <c r="BG25" i="9"/>
  <c r="BG26" i="9"/>
  <c r="BG33" i="9"/>
  <c r="BG4" i="9"/>
  <c r="BG10" i="9"/>
  <c r="BG9" i="9"/>
  <c r="BG18" i="9"/>
  <c r="BG17" i="9"/>
  <c r="BH1" i="9"/>
  <c r="BG2" i="9"/>
  <c r="BG3" i="9"/>
  <c r="BD12" i="12"/>
  <c r="BD21" i="12"/>
  <c r="BD28" i="12"/>
  <c r="BD34" i="12"/>
  <c r="BD3" i="12"/>
  <c r="BC23" i="12"/>
  <c r="BD11" i="12"/>
  <c r="BD19" i="12"/>
  <c r="BD27" i="12"/>
  <c r="BD43" i="12"/>
  <c r="BD5" i="12"/>
  <c r="BD10" i="12"/>
  <c r="BD36" i="12"/>
  <c r="BD2" i="12"/>
  <c r="BD13" i="12"/>
  <c r="BD18" i="12"/>
  <c r="BD35" i="12"/>
  <c r="BE1" i="12"/>
  <c r="BD60" i="12"/>
  <c r="BD20" i="12"/>
  <c r="BD26" i="12"/>
  <c r="BD4" i="12"/>
  <c r="CD52" i="16"/>
  <c r="CD28" i="16"/>
  <c r="CD38" i="16"/>
  <c r="CD43" i="16"/>
  <c r="CD37" i="16"/>
  <c r="CD27" i="16"/>
  <c r="CD21" i="16"/>
  <c r="CD45" i="16"/>
  <c r="CD30" i="16"/>
  <c r="CD19" i="16"/>
  <c r="CD35" i="16"/>
  <c r="CD29" i="16"/>
  <c r="CD20" i="16"/>
  <c r="CD11" i="16"/>
  <c r="CD36" i="16"/>
  <c r="CD6" i="16"/>
  <c r="CE2" i="16"/>
  <c r="CD44" i="16"/>
  <c r="CD14" i="16"/>
  <c r="CD5" i="16"/>
  <c r="CD12" i="16"/>
  <c r="CD22" i="16"/>
  <c r="CD4" i="16"/>
  <c r="BZ60" i="14"/>
  <c r="BZ59" i="14"/>
  <c r="BZ52" i="14"/>
  <c r="BZ44" i="14"/>
  <c r="BZ43" i="14"/>
  <c r="BZ35" i="14"/>
  <c r="BZ36" i="14"/>
  <c r="BZ27" i="14"/>
  <c r="BZ28" i="14"/>
  <c r="BZ37" i="14"/>
  <c r="BZ29" i="14"/>
  <c r="CA2" i="14"/>
  <c r="BZ21" i="14"/>
  <c r="BZ4" i="14"/>
  <c r="BZ19" i="14"/>
  <c r="BZ3" i="14"/>
  <c r="BZ11" i="14"/>
  <c r="BZ12" i="14"/>
  <c r="BZ20" i="14"/>
  <c r="BZ5" i="14"/>
  <c r="BI14" i="5"/>
  <c r="BI67" i="5"/>
  <c r="BI59" i="5"/>
  <c r="BI19" i="5"/>
  <c r="BI28" i="5"/>
  <c r="BI27" i="5"/>
  <c r="BI6" i="5"/>
  <c r="BI22" i="5"/>
  <c r="BI3" i="5"/>
  <c r="BI4" i="5"/>
  <c r="BI11" i="5"/>
  <c r="BI20" i="5"/>
  <c r="BI5" i="5"/>
  <c r="BI12" i="5"/>
  <c r="BJ2" i="5"/>
  <c r="BH8" i="5"/>
  <c r="BJ4" i="8"/>
  <c r="BJ6" i="8"/>
  <c r="BJ3" i="8"/>
  <c r="CJ24" i="15" l="1"/>
  <c r="CJ32" i="15"/>
  <c r="CK71" i="15"/>
  <c r="CK63" i="15"/>
  <c r="CK55" i="15"/>
  <c r="CK47" i="15"/>
  <c r="CK31" i="15"/>
  <c r="CK23" i="15"/>
  <c r="CK39" i="15"/>
  <c r="CK7" i="15"/>
  <c r="CK15" i="15"/>
  <c r="CK60" i="15"/>
  <c r="CK19" i="15"/>
  <c r="CK29" i="15"/>
  <c r="CK44" i="15"/>
  <c r="CK30" i="15"/>
  <c r="CK6" i="15"/>
  <c r="CK52" i="15"/>
  <c r="CL2" i="15"/>
  <c r="CK68" i="15"/>
  <c r="CK36" i="15"/>
  <c r="CK22" i="15"/>
  <c r="CK12" i="15"/>
  <c r="CK14" i="15"/>
  <c r="CK5" i="15"/>
  <c r="CK27" i="15"/>
  <c r="CK35" i="15"/>
  <c r="CK11" i="15"/>
  <c r="CK21" i="15"/>
  <c r="CK46" i="15"/>
  <c r="CK3" i="15"/>
  <c r="CK13" i="15"/>
  <c r="CK28" i="15"/>
  <c r="CK45" i="15"/>
  <c r="CK4" i="15"/>
  <c r="CK20" i="15"/>
  <c r="CJ8" i="15"/>
  <c r="CJ16" i="15"/>
  <c r="CD40" i="16"/>
  <c r="CD32" i="16"/>
  <c r="CD24" i="16"/>
  <c r="CE63" i="16"/>
  <c r="CE7" i="16"/>
  <c r="BH4" i="9"/>
  <c r="BH34" i="9"/>
  <c r="BH33" i="9"/>
  <c r="BH18" i="9"/>
  <c r="BH3" i="9"/>
  <c r="BI1" i="9"/>
  <c r="BE20" i="12"/>
  <c r="BH25" i="9"/>
  <c r="BH26" i="9"/>
  <c r="BH10" i="9"/>
  <c r="BH9" i="9"/>
  <c r="BH17" i="9"/>
  <c r="BH2" i="9"/>
  <c r="BE21" i="12"/>
  <c r="BE13" i="12"/>
  <c r="BE12" i="12"/>
  <c r="BE11" i="12"/>
  <c r="BE10" i="12"/>
  <c r="BE19" i="12"/>
  <c r="BE18" i="12"/>
  <c r="BE28" i="12"/>
  <c r="BE27" i="12"/>
  <c r="BE26" i="12"/>
  <c r="BE36" i="12"/>
  <c r="BE35" i="12"/>
  <c r="BE34" i="12"/>
  <c r="BE43" i="12"/>
  <c r="BE60" i="12"/>
  <c r="BE5" i="12"/>
  <c r="BE4" i="12"/>
  <c r="BE3" i="12"/>
  <c r="BE2" i="12"/>
  <c r="BF1" i="12"/>
  <c r="BD23" i="12"/>
  <c r="CE52" i="16"/>
  <c r="CE36" i="16"/>
  <c r="CE22" i="16"/>
  <c r="CE45" i="16"/>
  <c r="CE44" i="16"/>
  <c r="CE35" i="16"/>
  <c r="CE43" i="16"/>
  <c r="CE21" i="16"/>
  <c r="CE13" i="16"/>
  <c r="CE6" i="16"/>
  <c r="CE30" i="16"/>
  <c r="CE19" i="16"/>
  <c r="CE12" i="16"/>
  <c r="CE5" i="16"/>
  <c r="CE28" i="16"/>
  <c r="CE27" i="16"/>
  <c r="CE20" i="16"/>
  <c r="CE11" i="16"/>
  <c r="CE14" i="16"/>
  <c r="CE38" i="16"/>
  <c r="CE29" i="16"/>
  <c r="CE37" i="16"/>
  <c r="CF2" i="16"/>
  <c r="CE4" i="16"/>
  <c r="CA59" i="14"/>
  <c r="CA60" i="14"/>
  <c r="CA52" i="14"/>
  <c r="CA44" i="14"/>
  <c r="CA37" i="14"/>
  <c r="CA43" i="14"/>
  <c r="CA35" i="14"/>
  <c r="CA27" i="14"/>
  <c r="CA28" i="14"/>
  <c r="CA36" i="14"/>
  <c r="CA29" i="14"/>
  <c r="CA20" i="14"/>
  <c r="CA3" i="14"/>
  <c r="CB2" i="14"/>
  <c r="CA21" i="14"/>
  <c r="CA4" i="14"/>
  <c r="CA19" i="14"/>
  <c r="CA11" i="14"/>
  <c r="CA12" i="14"/>
  <c r="CA5" i="14"/>
  <c r="BJ14" i="5"/>
  <c r="BJ59" i="5"/>
  <c r="BJ67" i="5"/>
  <c r="J10" i="12"/>
  <c r="I10" i="12"/>
  <c r="AT26" i="12"/>
  <c r="AS26" i="12"/>
  <c r="Z42" i="12"/>
  <c r="Z47" i="12" s="1"/>
  <c r="W42" i="12"/>
  <c r="W47" i="12" s="1"/>
  <c r="Y42" i="12"/>
  <c r="Y47" i="12" s="1"/>
  <c r="AA42" i="12"/>
  <c r="AA47" i="12" s="1"/>
  <c r="X42" i="12"/>
  <c r="X47" i="12" s="1"/>
  <c r="V42" i="12"/>
  <c r="V47" i="12" s="1"/>
  <c r="BH41" i="9"/>
  <c r="L2" i="9"/>
  <c r="BH5" i="9"/>
  <c r="BE5" i="9"/>
  <c r="BG5" i="9"/>
  <c r="BF5" i="9"/>
  <c r="BD5" i="9"/>
  <c r="BC5" i="9"/>
  <c r="AZ5" i="9"/>
  <c r="AY5" i="9"/>
  <c r="AW5" i="9"/>
  <c r="AV5" i="9"/>
  <c r="AU5" i="9"/>
  <c r="AX5" i="9"/>
  <c r="L17" i="9"/>
  <c r="L9" i="9"/>
  <c r="AF41" i="9"/>
  <c r="AE41" i="9"/>
  <c r="AD41" i="9"/>
  <c r="AD46" i="9" s="1"/>
  <c r="AC41" i="9"/>
  <c r="AC46" i="9" s="1"/>
  <c r="AB41" i="9"/>
  <c r="AB46" i="9" s="1"/>
  <c r="AA41" i="9"/>
  <c r="AA46" i="9" s="1"/>
  <c r="Z41" i="9"/>
  <c r="Z46" i="9" s="1"/>
  <c r="Y41" i="9"/>
  <c r="Y46" i="9" s="1"/>
  <c r="BF36" i="9"/>
  <c r="BG36" i="9"/>
  <c r="BH36" i="9"/>
  <c r="BH57" i="9"/>
  <c r="AW12" i="9"/>
  <c r="AX12" i="9"/>
  <c r="AY12" i="9"/>
  <c r="AZ12" i="9"/>
  <c r="BA12" i="9"/>
  <c r="AR5" i="9"/>
  <c r="AS5" i="9"/>
  <c r="AT5" i="9"/>
  <c r="BI8" i="5"/>
  <c r="BJ12" i="5"/>
  <c r="BJ6" i="5"/>
  <c r="BJ3" i="5"/>
  <c r="BJ27" i="5"/>
  <c r="BJ19" i="5"/>
  <c r="BJ30" i="5"/>
  <c r="BJ11" i="5"/>
  <c r="BJ4" i="5"/>
  <c r="BJ22" i="5"/>
  <c r="BJ28" i="5"/>
  <c r="BJ20" i="5"/>
  <c r="BJ5" i="5"/>
  <c r="BK2" i="5"/>
  <c r="BK4" i="8"/>
  <c r="BK6" i="8"/>
  <c r="BK3" i="8"/>
  <c r="CK24" i="15" l="1"/>
  <c r="CK16" i="15"/>
  <c r="CK8" i="15"/>
  <c r="CL71" i="15"/>
  <c r="CL63" i="15"/>
  <c r="CL55" i="15"/>
  <c r="CL47" i="15"/>
  <c r="CL39" i="15"/>
  <c r="CL31" i="15"/>
  <c r="CL23" i="15"/>
  <c r="CL15" i="15"/>
  <c r="CL7" i="15"/>
  <c r="CL60" i="15"/>
  <c r="CL45" i="15"/>
  <c r="CL21" i="15"/>
  <c r="CL13" i="15"/>
  <c r="CL5" i="15"/>
  <c r="CL12" i="15"/>
  <c r="CL44" i="15"/>
  <c r="CL30" i="15"/>
  <c r="CL6" i="15"/>
  <c r="CL20" i="15"/>
  <c r="CL4" i="15"/>
  <c r="CL35" i="15"/>
  <c r="CL27" i="15"/>
  <c r="CL68" i="15"/>
  <c r="CL29" i="15"/>
  <c r="CL19" i="15"/>
  <c r="CL36" i="15"/>
  <c r="CL3" i="15"/>
  <c r="CL11" i="15"/>
  <c r="CL28" i="15"/>
  <c r="CL22" i="15"/>
  <c r="CL14" i="15"/>
  <c r="CM2" i="15"/>
  <c r="CL52" i="15"/>
  <c r="CK32" i="15"/>
  <c r="CE40" i="16"/>
  <c r="CE32" i="16"/>
  <c r="CE16" i="16"/>
  <c r="CE24" i="16"/>
  <c r="CF63" i="16"/>
  <c r="CF7" i="16"/>
  <c r="BI26" i="9"/>
  <c r="BI10" i="9"/>
  <c r="BI18" i="9"/>
  <c r="BI17" i="9"/>
  <c r="BI2" i="9"/>
  <c r="BI36" i="9"/>
  <c r="BI25" i="9"/>
  <c r="BI33" i="9"/>
  <c r="BI34" i="9"/>
  <c r="BI4" i="9"/>
  <c r="BI9" i="9"/>
  <c r="BJ1" i="9"/>
  <c r="BI3" i="9"/>
  <c r="BI41" i="9"/>
  <c r="BI5" i="9"/>
  <c r="BI57" i="9"/>
  <c r="BF13" i="12"/>
  <c r="BF19" i="12"/>
  <c r="BF28" i="12"/>
  <c r="BF35" i="12"/>
  <c r="BF60" i="12"/>
  <c r="BF3" i="12"/>
  <c r="BG1" i="12"/>
  <c r="BF11" i="12"/>
  <c r="BF12" i="12"/>
  <c r="BF20" i="12"/>
  <c r="BF18" i="12"/>
  <c r="BF26" i="12"/>
  <c r="BF36" i="12"/>
  <c r="BF4" i="12"/>
  <c r="BF27" i="12"/>
  <c r="BF21" i="12"/>
  <c r="BF43" i="12"/>
  <c r="BF5" i="12"/>
  <c r="BE23" i="12"/>
  <c r="BF10" i="12"/>
  <c r="BF34" i="12"/>
  <c r="BF2" i="12"/>
  <c r="CF44" i="16"/>
  <c r="CF52" i="16"/>
  <c r="CF45" i="16"/>
  <c r="CF38" i="16"/>
  <c r="CF35" i="16"/>
  <c r="CF30" i="16"/>
  <c r="CF43" i="16"/>
  <c r="CF27" i="16"/>
  <c r="CG2" i="16"/>
  <c r="CF22" i="16"/>
  <c r="CF19" i="16"/>
  <c r="CF28" i="16"/>
  <c r="CF21" i="16"/>
  <c r="CF20" i="16"/>
  <c r="CF11" i="16"/>
  <c r="CF14" i="16"/>
  <c r="CF36" i="16"/>
  <c r="CF29" i="16"/>
  <c r="CF5" i="16"/>
  <c r="CF37" i="16"/>
  <c r="CF13" i="16"/>
  <c r="CF4" i="16"/>
  <c r="CF12" i="16"/>
  <c r="CF6" i="16"/>
  <c r="AN21" i="14"/>
  <c r="CB60" i="14"/>
  <c r="CB59" i="14"/>
  <c r="CB52" i="14"/>
  <c r="CB53" i="14"/>
  <c r="CB43" i="14"/>
  <c r="CB44" i="14"/>
  <c r="CB45" i="14"/>
  <c r="CB36" i="14"/>
  <c r="CB37" i="14"/>
  <c r="CB27" i="14"/>
  <c r="CB28" i="14"/>
  <c r="CB35" i="14"/>
  <c r="CB29" i="14"/>
  <c r="CB20" i="14"/>
  <c r="CB3" i="14"/>
  <c r="CC2" i="14"/>
  <c r="CB21" i="14"/>
  <c r="CB4" i="14"/>
  <c r="CB5" i="14"/>
  <c r="CB11" i="14"/>
  <c r="CB12" i="14"/>
  <c r="CB19" i="14"/>
  <c r="M17" i="9"/>
  <c r="BF60" i="9"/>
  <c r="BG60" i="9"/>
  <c r="BH60" i="9"/>
  <c r="BB5" i="9"/>
  <c r="BA5" i="9"/>
  <c r="AV12" i="9"/>
  <c r="AY25" i="9"/>
  <c r="AW25" i="9"/>
  <c r="M9" i="9"/>
  <c r="AY20" i="9"/>
  <c r="AX25" i="9"/>
  <c r="M2" i="9"/>
  <c r="BF20" i="9"/>
  <c r="BD20" i="9"/>
  <c r="BA20" i="9"/>
  <c r="AZ20" i="9"/>
  <c r="BG20" i="9"/>
  <c r="BC20" i="9"/>
  <c r="BH20" i="9"/>
  <c r="BI20" i="9"/>
  <c r="BE20" i="9"/>
  <c r="BB20" i="9"/>
  <c r="BC12" i="9"/>
  <c r="BG12" i="9"/>
  <c r="BF12" i="9"/>
  <c r="BB12" i="9"/>
  <c r="BH12" i="9"/>
  <c r="BD12" i="9"/>
  <c r="BI12" i="9"/>
  <c r="BE12" i="9"/>
  <c r="AV25" i="9"/>
  <c r="AL9" i="9"/>
  <c r="BB25" i="9"/>
  <c r="BE25" i="9"/>
  <c r="BA25" i="9"/>
  <c r="BD25" i="9"/>
  <c r="AZ25" i="9"/>
  <c r="BC25" i="9"/>
  <c r="AH2" i="9"/>
  <c r="AO17" i="9"/>
  <c r="AX33" i="9"/>
  <c r="BC33" i="9"/>
  <c r="AY33" i="9"/>
  <c r="BA33" i="9"/>
  <c r="BE33" i="9"/>
  <c r="BB33" i="9"/>
  <c r="AZ33" i="9"/>
  <c r="BD33" i="9"/>
  <c r="BK14" i="5"/>
  <c r="BK59" i="5"/>
  <c r="BK67" i="5"/>
  <c r="BD37" i="12"/>
  <c r="BD39" i="12" s="1"/>
  <c r="BE37" i="12"/>
  <c r="BE39" i="12" s="1"/>
  <c r="BF37" i="12"/>
  <c r="BK30" i="5"/>
  <c r="BK11" i="5"/>
  <c r="BK12" i="5"/>
  <c r="BK22" i="5"/>
  <c r="BK5" i="5"/>
  <c r="BK4" i="5"/>
  <c r="BK19" i="5"/>
  <c r="BK3" i="5"/>
  <c r="BK27" i="5"/>
  <c r="BK6" i="5"/>
  <c r="BK28" i="5"/>
  <c r="BK20" i="5"/>
  <c r="BL2" i="5"/>
  <c r="BJ8" i="5"/>
  <c r="BL4" i="8"/>
  <c r="BL6" i="8"/>
  <c r="BL3" i="8"/>
  <c r="CL24" i="15" l="1"/>
  <c r="CL8" i="15"/>
  <c r="CM71" i="15"/>
  <c r="CM63" i="15"/>
  <c r="CM39" i="15"/>
  <c r="CM55" i="15"/>
  <c r="CM47" i="15"/>
  <c r="CM31" i="15"/>
  <c r="CM23" i="15"/>
  <c r="CM15" i="15"/>
  <c r="CM7" i="15"/>
  <c r="CM45" i="15"/>
  <c r="CM27" i="15"/>
  <c r="CM13" i="15"/>
  <c r="CM21" i="15"/>
  <c r="CM11" i="15"/>
  <c r="CM6" i="15"/>
  <c r="CM52" i="15"/>
  <c r="CM36" i="15"/>
  <c r="CM29" i="15"/>
  <c r="CM22" i="15"/>
  <c r="CM19" i="15"/>
  <c r="CN2" i="15"/>
  <c r="CM68" i="15"/>
  <c r="CM35" i="15"/>
  <c r="CM12" i="15"/>
  <c r="CM30" i="15"/>
  <c r="CM5" i="15"/>
  <c r="CM4" i="15"/>
  <c r="CM44" i="15"/>
  <c r="CM60" i="15"/>
  <c r="CM3" i="15"/>
  <c r="CM20" i="15"/>
  <c r="CM28" i="15"/>
  <c r="CM14" i="15"/>
  <c r="CL16" i="15"/>
  <c r="CL32" i="15"/>
  <c r="CF40" i="16"/>
  <c r="CF32" i="16"/>
  <c r="CF24" i="16"/>
  <c r="CF16" i="16"/>
  <c r="CG63" i="16"/>
  <c r="CG7" i="16"/>
  <c r="BG18" i="12"/>
  <c r="BG34" i="12"/>
  <c r="BG2" i="12"/>
  <c r="BJ33" i="9"/>
  <c r="BG11" i="12"/>
  <c r="BG26" i="12"/>
  <c r="BJ5" i="9"/>
  <c r="BJ36" i="9"/>
  <c r="BJ18" i="9"/>
  <c r="BK1" i="9"/>
  <c r="BK18" i="9" s="1"/>
  <c r="BG60" i="12"/>
  <c r="BG21" i="12"/>
  <c r="BG19" i="12"/>
  <c r="BG27" i="12"/>
  <c r="BG4" i="12"/>
  <c r="BJ41" i="9"/>
  <c r="BJ20" i="9"/>
  <c r="BJ12" i="9"/>
  <c r="BJ4" i="9"/>
  <c r="BJ26" i="9"/>
  <c r="BJ2" i="9"/>
  <c r="BG20" i="12"/>
  <c r="BG36" i="12"/>
  <c r="BG43" i="12"/>
  <c r="BH1" i="12"/>
  <c r="BH37" i="12" s="1"/>
  <c r="BG37" i="12"/>
  <c r="BJ25" i="9"/>
  <c r="BJ10" i="9"/>
  <c r="BJ17" i="9"/>
  <c r="BG13" i="12"/>
  <c r="BG10" i="12"/>
  <c r="BG35" i="12"/>
  <c r="BG5" i="12"/>
  <c r="BG3" i="12"/>
  <c r="BJ57" i="9"/>
  <c r="BJ34" i="9"/>
  <c r="BJ9" i="9"/>
  <c r="BJ3" i="9"/>
  <c r="BG12" i="12"/>
  <c r="BG28" i="12"/>
  <c r="BF39" i="12"/>
  <c r="BF23" i="12"/>
  <c r="CG28" i="16"/>
  <c r="CG52" i="16"/>
  <c r="CG45" i="16"/>
  <c r="CG44" i="16"/>
  <c r="CG43" i="16"/>
  <c r="CG30" i="16"/>
  <c r="CG22" i="16"/>
  <c r="CG19" i="16"/>
  <c r="CG37" i="16"/>
  <c r="CG29" i="16"/>
  <c r="CG27" i="16"/>
  <c r="CG20" i="16"/>
  <c r="CG11" i="16"/>
  <c r="CG14" i="16"/>
  <c r="CG36" i="16"/>
  <c r="CG38" i="16"/>
  <c r="CG35" i="16"/>
  <c r="CG21" i="16"/>
  <c r="CG6" i="16"/>
  <c r="CG4" i="16"/>
  <c r="CH2" i="16"/>
  <c r="CG12" i="16"/>
  <c r="CG5" i="16"/>
  <c r="CG13" i="16"/>
  <c r="BA37" i="14"/>
  <c r="BB37" i="14"/>
  <c r="BC37" i="14"/>
  <c r="BD37" i="14"/>
  <c r="BE37" i="14"/>
  <c r="BF37" i="14"/>
  <c r="BG37" i="14"/>
  <c r="CC60" i="14"/>
  <c r="CC59" i="14"/>
  <c r="CC52" i="14"/>
  <c r="CC53" i="14"/>
  <c r="CC43" i="14"/>
  <c r="CC35" i="14"/>
  <c r="CC36" i="14"/>
  <c r="CC44" i="14"/>
  <c r="CC37" i="14"/>
  <c r="CC45" i="14"/>
  <c r="CC29" i="14"/>
  <c r="CC27" i="14"/>
  <c r="CC28" i="14"/>
  <c r="CC19" i="14"/>
  <c r="CC12" i="14"/>
  <c r="CC20" i="14"/>
  <c r="CC3" i="14"/>
  <c r="CD2" i="14"/>
  <c r="CC21" i="14"/>
  <c r="CC5" i="14"/>
  <c r="CC4" i="14"/>
  <c r="CC11" i="14"/>
  <c r="BL14" i="5"/>
  <c r="BL67" i="5"/>
  <c r="BL59" i="5"/>
  <c r="BJ49" i="9"/>
  <c r="BE28" i="9"/>
  <c r="BF28" i="9"/>
  <c r="BG28" i="9"/>
  <c r="BH28" i="9"/>
  <c r="BI28" i="9"/>
  <c r="BJ28" i="9"/>
  <c r="AD49" i="9"/>
  <c r="AD54" i="9" s="1"/>
  <c r="AE49" i="9"/>
  <c r="AF49" i="9"/>
  <c r="BH49" i="9"/>
  <c r="BL3" i="5"/>
  <c r="BL6" i="5"/>
  <c r="BL28" i="5"/>
  <c r="BL22" i="5"/>
  <c r="BL5" i="5"/>
  <c r="BL11" i="5"/>
  <c r="BL20" i="5"/>
  <c r="BL27" i="5"/>
  <c r="BL12" i="5"/>
  <c r="BL30" i="5"/>
  <c r="BL19" i="5"/>
  <c r="BL4" i="5"/>
  <c r="BM2" i="5"/>
  <c r="BK8" i="5"/>
  <c r="BM3" i="8"/>
  <c r="BM4" i="8"/>
  <c r="BM6" i="8"/>
  <c r="CM8" i="15" l="1"/>
  <c r="CM24" i="15"/>
  <c r="CM32" i="15"/>
  <c r="CM16" i="15"/>
  <c r="CN71" i="15"/>
  <c r="CN63" i="15"/>
  <c r="CN47" i="15"/>
  <c r="CN39" i="15"/>
  <c r="CN55" i="15"/>
  <c r="CN15" i="15"/>
  <c r="CN31" i="15"/>
  <c r="CN23" i="15"/>
  <c r="CN7" i="15"/>
  <c r="CN68" i="15"/>
  <c r="CN44" i="15"/>
  <c r="CN21" i="15"/>
  <c r="CN6" i="15"/>
  <c r="CN3" i="15"/>
  <c r="CN5" i="15"/>
  <c r="CN52" i="15"/>
  <c r="CN30" i="15"/>
  <c r="CN20" i="15"/>
  <c r="CN14" i="15"/>
  <c r="CN19" i="15"/>
  <c r="CN45" i="15"/>
  <c r="CN35" i="15"/>
  <c r="CN27" i="15"/>
  <c r="CN37" i="15"/>
  <c r="CN28" i="15"/>
  <c r="CN11" i="15"/>
  <c r="CO2" i="15"/>
  <c r="CN60" i="15"/>
  <c r="CN36" i="15"/>
  <c r="CN22" i="15"/>
  <c r="CN29" i="15"/>
  <c r="CN13" i="15"/>
  <c r="CN4" i="15"/>
  <c r="CN12" i="15"/>
  <c r="CG40" i="16"/>
  <c r="CG32" i="16"/>
  <c r="CG24" i="16"/>
  <c r="CG16" i="16"/>
  <c r="CH63" i="16"/>
  <c r="CH7" i="16"/>
  <c r="BL1" i="9"/>
  <c r="BK3" i="9"/>
  <c r="BK2" i="9"/>
  <c r="BK17" i="9"/>
  <c r="BH11" i="12"/>
  <c r="BH12" i="12"/>
  <c r="BH10" i="12"/>
  <c r="BH60" i="12"/>
  <c r="BH13" i="12"/>
  <c r="BK57" i="9"/>
  <c r="BK36" i="9"/>
  <c r="BK5" i="9"/>
  <c r="BK12" i="9"/>
  <c r="BK41" i="9"/>
  <c r="BK20" i="9"/>
  <c r="BK25" i="9"/>
  <c r="BK26" i="9"/>
  <c r="BK33" i="9"/>
  <c r="BK34" i="9"/>
  <c r="BK4" i="9"/>
  <c r="BK10" i="9"/>
  <c r="BK9" i="9"/>
  <c r="BH21" i="12"/>
  <c r="BH20" i="12"/>
  <c r="BH19" i="12"/>
  <c r="BH18" i="12"/>
  <c r="BH28" i="12"/>
  <c r="BH27" i="12"/>
  <c r="BH26" i="12"/>
  <c r="BH36" i="12"/>
  <c r="BH35" i="12"/>
  <c r="BH34" i="12"/>
  <c r="BH43" i="12"/>
  <c r="BH51" i="12"/>
  <c r="BK28" i="9"/>
  <c r="BG39" i="12"/>
  <c r="BH5" i="12"/>
  <c r="BH4" i="12"/>
  <c r="BH3" i="12"/>
  <c r="BH2" i="12"/>
  <c r="BI1" i="12"/>
  <c r="BG23" i="12"/>
  <c r="CH52" i="16"/>
  <c r="CH45" i="16"/>
  <c r="CH44" i="16"/>
  <c r="CH35" i="16"/>
  <c r="CH43" i="16"/>
  <c r="CH30" i="16"/>
  <c r="CH22" i="16"/>
  <c r="CH19" i="16"/>
  <c r="CH36" i="16"/>
  <c r="CH37" i="16"/>
  <c r="CH29" i="16"/>
  <c r="CH6" i="16"/>
  <c r="CH14" i="16"/>
  <c r="CH38" i="16"/>
  <c r="CH13" i="16"/>
  <c r="CH4" i="16"/>
  <c r="CI2" i="16"/>
  <c r="CH20" i="16"/>
  <c r="CH11" i="16"/>
  <c r="CH28" i="16"/>
  <c r="CH27" i="16"/>
  <c r="CH21" i="16"/>
  <c r="CH5" i="16"/>
  <c r="CH12" i="16"/>
  <c r="CB61" i="14"/>
  <c r="CC61" i="14"/>
  <c r="CD60" i="14"/>
  <c r="CD59" i="14"/>
  <c r="CD61" i="14"/>
  <c r="CD52" i="14"/>
  <c r="CD53" i="14"/>
  <c r="CD45" i="14"/>
  <c r="CD43" i="14"/>
  <c r="CD44" i="14"/>
  <c r="CD35" i="14"/>
  <c r="CD36" i="14"/>
  <c r="CD37" i="14"/>
  <c r="CD29" i="14"/>
  <c r="CD27" i="14"/>
  <c r="CD11" i="14"/>
  <c r="CD19" i="14"/>
  <c r="CD20" i="14"/>
  <c r="CD3" i="14"/>
  <c r="CE2" i="14"/>
  <c r="CD28" i="14"/>
  <c r="CD21" i="14"/>
  <c r="CD4" i="14"/>
  <c r="CD13" i="14"/>
  <c r="CD12" i="14"/>
  <c r="CD5" i="14"/>
  <c r="BI49" i="9"/>
  <c r="BM14" i="5"/>
  <c r="BM67" i="5"/>
  <c r="AY29" i="12"/>
  <c r="AZ29" i="12"/>
  <c r="BA29" i="12"/>
  <c r="BB29" i="12"/>
  <c r="BC29" i="12"/>
  <c r="BD29" i="12"/>
  <c r="BD31" i="12" s="1"/>
  <c r="BE29" i="12"/>
  <c r="BE31" i="12" s="1"/>
  <c r="BF29" i="12"/>
  <c r="BF31" i="12" s="1"/>
  <c r="BG29" i="12"/>
  <c r="BG31" i="12" s="1"/>
  <c r="BH29" i="12"/>
  <c r="AB50" i="12"/>
  <c r="AB55" i="12" s="1"/>
  <c r="AE50" i="12"/>
  <c r="AE55" i="12" s="1"/>
  <c r="AA50" i="12"/>
  <c r="AA55" i="12" s="1"/>
  <c r="AC50" i="12"/>
  <c r="AC55" i="12" s="1"/>
  <c r="AD50" i="12"/>
  <c r="AD55" i="12" s="1"/>
  <c r="BH44" i="12"/>
  <c r="BG44" i="12"/>
  <c r="DB60" i="12"/>
  <c r="DB63" i="12" s="1"/>
  <c r="DA60" i="12"/>
  <c r="DA63" i="12" s="1"/>
  <c r="CZ60" i="12"/>
  <c r="CZ63" i="12" s="1"/>
  <c r="CY60" i="12"/>
  <c r="CY63" i="12" s="1"/>
  <c r="CX60" i="12"/>
  <c r="CX63" i="12" s="1"/>
  <c r="CW60" i="12"/>
  <c r="CW63" i="12" s="1"/>
  <c r="CV60" i="12"/>
  <c r="CV63" i="12" s="1"/>
  <c r="BA4" i="9"/>
  <c r="BE4" i="9"/>
  <c r="BF4" i="9"/>
  <c r="BC4" i="9"/>
  <c r="BD4" i="9"/>
  <c r="BB4" i="9"/>
  <c r="BI11" i="9"/>
  <c r="BJ11" i="9"/>
  <c r="BK11" i="9"/>
  <c r="DF59" i="9"/>
  <c r="DF62" i="9" s="1"/>
  <c r="DG59" i="9"/>
  <c r="DG62" i="9" s="1"/>
  <c r="R4" i="9"/>
  <c r="L10" i="9"/>
  <c r="L14" i="9" s="1"/>
  <c r="O34" i="9"/>
  <c r="O38" i="9" s="1"/>
  <c r="AR19" i="9"/>
  <c r="L18" i="9"/>
  <c r="L22" i="9" s="1"/>
  <c r="L3" i="9"/>
  <c r="L7" i="9" s="1"/>
  <c r="DE59" i="9"/>
  <c r="DE62" i="9" s="1"/>
  <c r="DD59" i="9"/>
  <c r="DD62" i="9" s="1"/>
  <c r="DC59" i="9"/>
  <c r="DC62" i="9" s="1"/>
  <c r="DB59" i="9"/>
  <c r="DB62" i="9" s="1"/>
  <c r="DA59" i="9"/>
  <c r="DA62" i="9" s="1"/>
  <c r="CZ59" i="9"/>
  <c r="CZ62" i="9" s="1"/>
  <c r="CY59" i="9"/>
  <c r="CY62" i="9" s="1"/>
  <c r="CX59" i="9"/>
  <c r="CX62" i="9" s="1"/>
  <c r="CW59" i="9"/>
  <c r="CW62" i="9" s="1"/>
  <c r="AY27" i="9"/>
  <c r="AX27" i="9"/>
  <c r="AW27" i="9"/>
  <c r="AV27" i="9"/>
  <c r="BM20" i="5"/>
  <c r="BM12" i="5"/>
  <c r="BM19" i="5"/>
  <c r="BM30" i="5"/>
  <c r="BM22" i="5"/>
  <c r="BM6" i="5"/>
  <c r="BM28" i="5"/>
  <c r="BM3" i="5"/>
  <c r="BM27" i="5"/>
  <c r="BM5" i="5"/>
  <c r="BM4" i="5"/>
  <c r="BM11" i="5"/>
  <c r="BN2" i="5"/>
  <c r="BL8" i="5"/>
  <c r="BN4" i="8"/>
  <c r="BN6" i="8"/>
  <c r="BN3" i="8"/>
  <c r="CH40" i="16" l="1"/>
  <c r="CN8" i="15"/>
  <c r="CN16" i="15"/>
  <c r="CN24" i="15"/>
  <c r="CO71" i="15"/>
  <c r="CO63" i="15"/>
  <c r="CO55" i="15"/>
  <c r="CO47" i="15"/>
  <c r="CO31" i="15"/>
  <c r="CO23" i="15"/>
  <c r="CO39" i="15"/>
  <c r="CO7" i="15"/>
  <c r="CO15" i="15"/>
  <c r="CO67" i="15"/>
  <c r="CO45" i="15"/>
  <c r="CO60" i="15"/>
  <c r="CO27" i="15"/>
  <c r="CO22" i="15"/>
  <c r="CO5" i="15"/>
  <c r="CO4" i="15"/>
  <c r="CO3" i="15"/>
  <c r="CO68" i="15"/>
  <c r="CO51" i="15"/>
  <c r="CO44" i="15"/>
  <c r="CO19" i="15"/>
  <c r="CO13" i="15"/>
  <c r="CO29" i="15"/>
  <c r="CO52" i="15"/>
  <c r="CO59" i="15"/>
  <c r="CO35" i="15"/>
  <c r="CO37" i="15"/>
  <c r="CO12" i="15"/>
  <c r="CO30" i="15"/>
  <c r="CO6" i="15"/>
  <c r="CO11" i="15"/>
  <c r="CO28" i="15"/>
  <c r="CO36" i="15"/>
  <c r="CO14" i="15"/>
  <c r="CO20" i="15"/>
  <c r="CP2" i="15"/>
  <c r="CO21" i="15"/>
  <c r="CO43" i="15"/>
  <c r="CN32" i="15"/>
  <c r="CH32" i="16"/>
  <c r="CH24" i="16"/>
  <c r="CH16" i="16"/>
  <c r="CI63" i="16"/>
  <c r="CI7" i="16"/>
  <c r="BL5" i="9"/>
  <c r="BL36" i="9"/>
  <c r="BL9" i="9"/>
  <c r="BL10" i="9"/>
  <c r="BL57" i="9"/>
  <c r="BL49" i="9"/>
  <c r="BL11" i="9"/>
  <c r="BL34" i="9"/>
  <c r="BL26" i="9"/>
  <c r="BL25" i="9"/>
  <c r="BL33" i="9"/>
  <c r="BL4" i="9"/>
  <c r="BL41" i="9"/>
  <c r="BL20" i="9"/>
  <c r="BL17" i="9"/>
  <c r="BL12" i="9"/>
  <c r="BL18" i="9"/>
  <c r="BL28" i="9"/>
  <c r="BL2" i="9"/>
  <c r="BL3" i="9"/>
  <c r="BM1" i="9"/>
  <c r="BM57" i="9" s="1"/>
  <c r="BH31" i="12"/>
  <c r="BI29" i="12"/>
  <c r="BH23" i="12"/>
  <c r="BH39" i="12"/>
  <c r="BI37" i="12"/>
  <c r="BI13" i="12"/>
  <c r="BI12" i="12"/>
  <c r="BI11" i="12"/>
  <c r="BI10" i="12"/>
  <c r="BI21" i="12"/>
  <c r="BI20" i="12"/>
  <c r="BI19" i="12"/>
  <c r="BI18" i="12"/>
  <c r="BI28" i="12"/>
  <c r="BI27" i="12"/>
  <c r="BI26" i="12"/>
  <c r="BI36" i="12"/>
  <c r="BI35" i="12"/>
  <c r="BI34" i="12"/>
  <c r="BI43" i="12"/>
  <c r="BI51" i="12"/>
  <c r="BI60" i="12"/>
  <c r="BI5" i="12"/>
  <c r="BI4" i="12"/>
  <c r="BI3" i="12"/>
  <c r="BI2" i="12"/>
  <c r="BJ1" i="12"/>
  <c r="BJ29" i="12" s="1"/>
  <c r="CI52" i="16"/>
  <c r="CI38" i="16"/>
  <c r="CI35" i="16"/>
  <c r="CI30" i="16"/>
  <c r="CI44" i="16"/>
  <c r="CI43" i="16"/>
  <c r="CI36" i="16"/>
  <c r="CI37" i="16"/>
  <c r="CI45" i="16"/>
  <c r="CI12" i="16"/>
  <c r="CI28" i="16"/>
  <c r="CI29" i="16"/>
  <c r="CI22" i="16"/>
  <c r="CI21" i="16"/>
  <c r="CI13" i="16"/>
  <c r="CI4" i="16"/>
  <c r="CJ2" i="16"/>
  <c r="CI27" i="16"/>
  <c r="CI19" i="16"/>
  <c r="CI5" i="16"/>
  <c r="CI14" i="16"/>
  <c r="CI20" i="16"/>
  <c r="CI11" i="16"/>
  <c r="CI6" i="16"/>
  <c r="CE61" i="14"/>
  <c r="CE60" i="14"/>
  <c r="CE59" i="14"/>
  <c r="CE53" i="14"/>
  <c r="CE52" i="14"/>
  <c r="CE45" i="14"/>
  <c r="CE43" i="14"/>
  <c r="CE44" i="14"/>
  <c r="CE35" i="14"/>
  <c r="CE36" i="14"/>
  <c r="CE37" i="14"/>
  <c r="CE28" i="14"/>
  <c r="CE29" i="14"/>
  <c r="CE27" i="14"/>
  <c r="CE5" i="14"/>
  <c r="CE11" i="14"/>
  <c r="CE19" i="14"/>
  <c r="CE20" i="14"/>
  <c r="CE3" i="14"/>
  <c r="CF2" i="14"/>
  <c r="CE21" i="14"/>
  <c r="CE4" i="14"/>
  <c r="CE13" i="14"/>
  <c r="CE12" i="14"/>
  <c r="M18" i="9"/>
  <c r="M22" i="9" s="1"/>
  <c r="M26" i="9"/>
  <c r="M30" i="9" s="1"/>
  <c r="BH19" i="9"/>
  <c r="BH22" i="9" s="1"/>
  <c r="AV19" i="9"/>
  <c r="BE19" i="9"/>
  <c r="BE22" i="9" s="1"/>
  <c r="BJ19" i="9"/>
  <c r="BJ22" i="9" s="1"/>
  <c r="AT19" i="9"/>
  <c r="BA19" i="9"/>
  <c r="BA22" i="9" s="1"/>
  <c r="BG19" i="9"/>
  <c r="BG22" i="9" s="1"/>
  <c r="AW19" i="9"/>
  <c r="BC19" i="9"/>
  <c r="BC22" i="9" s="1"/>
  <c r="BI19" i="9"/>
  <c r="BI22" i="9" s="1"/>
  <c r="AL11" i="9"/>
  <c r="BI35" i="9"/>
  <c r="BI38" i="9" s="1"/>
  <c r="BK35" i="9"/>
  <c r="BK38" i="9" s="1"/>
  <c r="BL35" i="9"/>
  <c r="BJ35" i="9"/>
  <c r="BJ38" i="9" s="1"/>
  <c r="BH35" i="9"/>
  <c r="BH38" i="9" s="1"/>
  <c r="AN11" i="9"/>
  <c r="AW11" i="9"/>
  <c r="AW14" i="9" s="1"/>
  <c r="BB11" i="9"/>
  <c r="BB14" i="9" s="1"/>
  <c r="BH11" i="9"/>
  <c r="BK19" i="9"/>
  <c r="BK22" i="9" s="1"/>
  <c r="BL19" i="9"/>
  <c r="AU19" i="9"/>
  <c r="AP11" i="9"/>
  <c r="AQ11" i="9"/>
  <c r="AM11" i="9"/>
  <c r="BA11" i="9"/>
  <c r="BA14" i="9" s="1"/>
  <c r="AZ19" i="9"/>
  <c r="AZ22" i="9" s="1"/>
  <c r="BB19" i="9"/>
  <c r="BB22" i="9" s="1"/>
  <c r="BL27" i="9"/>
  <c r="BI27" i="9"/>
  <c r="BI30" i="9" s="1"/>
  <c r="BH27" i="9"/>
  <c r="BH30" i="9" s="1"/>
  <c r="BG27" i="9"/>
  <c r="BG30" i="9" s="1"/>
  <c r="BF27" i="9"/>
  <c r="BF30" i="9" s="1"/>
  <c r="BE27" i="9"/>
  <c r="BE30" i="9" s="1"/>
  <c r="BD27" i="9"/>
  <c r="BC27" i="9"/>
  <c r="BB27" i="9"/>
  <c r="BA27" i="9"/>
  <c r="AZ27" i="9"/>
  <c r="BF11" i="9"/>
  <c r="BD11" i="9"/>
  <c r="AV11" i="9"/>
  <c r="AV14" i="9" s="1"/>
  <c r="BE11" i="9"/>
  <c r="AY11" i="9"/>
  <c r="AY14" i="9" s="1"/>
  <c r="AX19" i="9"/>
  <c r="BD19" i="9"/>
  <c r="BD22" i="9" s="1"/>
  <c r="AO4" i="9"/>
  <c r="AU4" i="9"/>
  <c r="AU7" i="9" s="1"/>
  <c r="AQ4" i="9"/>
  <c r="AT4" i="9"/>
  <c r="AT7" i="9" s="1"/>
  <c r="AJ4" i="9"/>
  <c r="AX4" i="9"/>
  <c r="AX7" i="9" s="1"/>
  <c r="AY4" i="9"/>
  <c r="AY7" i="9" s="1"/>
  <c r="AP4" i="9"/>
  <c r="AR4" i="9"/>
  <c r="AR7" i="9" s="1"/>
  <c r="AK4" i="9"/>
  <c r="AL4" i="9"/>
  <c r="AS4" i="9"/>
  <c r="AS7" i="9" s="1"/>
  <c r="AW4" i="9"/>
  <c r="AW7" i="9" s="1"/>
  <c r="AZ4" i="9"/>
  <c r="AZ7" i="9" s="1"/>
  <c r="AN4" i="9"/>
  <c r="AM4" i="9"/>
  <c r="AV4" i="9"/>
  <c r="AV7" i="9" s="1"/>
  <c r="AU11" i="9"/>
  <c r="AO11" i="9"/>
  <c r="AZ11" i="9"/>
  <c r="AZ14" i="9" s="1"/>
  <c r="AR11" i="9"/>
  <c r="AX11" i="9"/>
  <c r="AX14" i="9" s="1"/>
  <c r="AT11" i="9"/>
  <c r="AS11" i="9"/>
  <c r="BG11" i="9"/>
  <c r="BC11" i="9"/>
  <c r="AY19" i="9"/>
  <c r="AY22" i="9" s="1"/>
  <c r="BF19" i="9"/>
  <c r="BF22" i="9" s="1"/>
  <c r="AS19" i="9"/>
  <c r="AI4" i="9"/>
  <c r="AH4" i="9"/>
  <c r="M10" i="9"/>
  <c r="M14" i="9" s="1"/>
  <c r="AQ19" i="9"/>
  <c r="AP19" i="9"/>
  <c r="AO19" i="9"/>
  <c r="M3" i="9"/>
  <c r="M7" i="9" s="1"/>
  <c r="X3" i="9"/>
  <c r="BA34" i="9"/>
  <c r="DA43" i="9"/>
  <c r="DA46" i="9" s="1"/>
  <c r="CX43" i="9"/>
  <c r="CX46" i="9" s="1"/>
  <c r="CY43" i="9"/>
  <c r="CY46" i="9" s="1"/>
  <c r="CW43" i="9"/>
  <c r="CW46" i="9" s="1"/>
  <c r="CZ43" i="9"/>
  <c r="CZ46" i="9" s="1"/>
  <c r="AB10" i="9"/>
  <c r="AV26" i="9"/>
  <c r="AW26" i="9"/>
  <c r="AX26" i="9"/>
  <c r="AY26" i="9"/>
  <c r="AZ26" i="9"/>
  <c r="BA26" i="9"/>
  <c r="AE18" i="9"/>
  <c r="BJ27" i="9"/>
  <c r="BJ30" i="9" s="1"/>
  <c r="BK27" i="9"/>
  <c r="BK30" i="9" s="1"/>
  <c r="BN35" i="5"/>
  <c r="AF4" i="12"/>
  <c r="Z4" i="12"/>
  <c r="Y4" i="12"/>
  <c r="I11" i="12"/>
  <c r="I15" i="12" s="1"/>
  <c r="J11" i="12"/>
  <c r="J15" i="12" s="1"/>
  <c r="BA36" i="12"/>
  <c r="BC36" i="12"/>
  <c r="AW36" i="12"/>
  <c r="AN36" i="12"/>
  <c r="BB36" i="12"/>
  <c r="AM36" i="12"/>
  <c r="AZ36" i="12"/>
  <c r="AV36" i="12"/>
  <c r="AY36" i="12"/>
  <c r="AU36" i="12"/>
  <c r="AX36" i="12"/>
  <c r="AT36" i="12"/>
  <c r="AD12" i="12"/>
  <c r="AC12" i="12"/>
  <c r="J19" i="12"/>
  <c r="J23" i="12" s="1"/>
  <c r="I19" i="12"/>
  <c r="I23" i="12" s="1"/>
  <c r="BC28" i="12"/>
  <c r="BC31" i="12" s="1"/>
  <c r="BB28" i="12"/>
  <c r="BB31" i="12" s="1"/>
  <c r="BA28" i="12"/>
  <c r="BA31" i="12" s="1"/>
  <c r="AZ28" i="12"/>
  <c r="AZ31" i="12" s="1"/>
  <c r="AY28" i="12"/>
  <c r="AY31" i="12" s="1"/>
  <c r="AX28" i="12"/>
  <c r="AW28" i="12"/>
  <c r="BN28" i="5"/>
  <c r="BN12" i="5"/>
  <c r="BN30" i="5"/>
  <c r="BN19" i="5"/>
  <c r="BN14" i="5"/>
  <c r="BN20" i="5"/>
  <c r="BN11" i="5"/>
  <c r="BN4" i="5"/>
  <c r="BN22" i="5"/>
  <c r="BN5" i="5"/>
  <c r="BN3" i="5"/>
  <c r="BN6" i="5"/>
  <c r="BN27" i="5"/>
  <c r="BO2" i="5"/>
  <c r="BM8" i="5"/>
  <c r="BO4" i="8"/>
  <c r="BO6" i="8"/>
  <c r="BO3" i="8"/>
  <c r="AV8" i="5"/>
  <c r="AZ8" i="5"/>
  <c r="AT8" i="5"/>
  <c r="AY8" i="5"/>
  <c r="AW8" i="5"/>
  <c r="AX8" i="5"/>
  <c r="AU8" i="5"/>
  <c r="CO24" i="15" l="1"/>
  <c r="CO8" i="15"/>
  <c r="CO32" i="15"/>
  <c r="CP71" i="15"/>
  <c r="CP63" i="15"/>
  <c r="CP55" i="15"/>
  <c r="CP47" i="15"/>
  <c r="CP39" i="15"/>
  <c r="CP23" i="15"/>
  <c r="CP31" i="15"/>
  <c r="CP7" i="15"/>
  <c r="CP15" i="15"/>
  <c r="CP68" i="15"/>
  <c r="CP52" i="15"/>
  <c r="CP35" i="15"/>
  <c r="CP43" i="15"/>
  <c r="CP6" i="15"/>
  <c r="CP5" i="15"/>
  <c r="CP12" i="15"/>
  <c r="CP4" i="15"/>
  <c r="CP51" i="15"/>
  <c r="CP30" i="15"/>
  <c r="CP29" i="15"/>
  <c r="CP20" i="15"/>
  <c r="CP19" i="15"/>
  <c r="CP60" i="15"/>
  <c r="CP14" i="15"/>
  <c r="CP59" i="15"/>
  <c r="CP45" i="15"/>
  <c r="CP44" i="15"/>
  <c r="CP22" i="15"/>
  <c r="CP11" i="15"/>
  <c r="CP13" i="15"/>
  <c r="CQ2" i="15"/>
  <c r="CP67" i="15"/>
  <c r="CP37" i="15"/>
  <c r="CP38" i="15"/>
  <c r="CP36" i="15"/>
  <c r="CP27" i="15"/>
  <c r="CP21" i="15"/>
  <c r="CP28" i="15"/>
  <c r="CP3" i="15"/>
  <c r="CI32" i="16"/>
  <c r="CO16" i="15"/>
  <c r="CI24" i="16"/>
  <c r="CI40" i="16"/>
  <c r="CI16" i="16"/>
  <c r="CJ63" i="16"/>
  <c r="CJ7" i="16"/>
  <c r="BM19" i="9"/>
  <c r="BM35" i="9"/>
  <c r="BN1" i="9"/>
  <c r="BM9" i="9"/>
  <c r="BM34" i="9"/>
  <c r="BM33" i="9"/>
  <c r="BM27" i="9"/>
  <c r="BM26" i="9"/>
  <c r="BM25" i="9"/>
  <c r="BM12" i="9"/>
  <c r="BM49" i="9"/>
  <c r="BM28" i="9"/>
  <c r="BM3" i="9"/>
  <c r="BM2" i="9"/>
  <c r="BM17" i="9"/>
  <c r="BM20" i="9"/>
  <c r="BM18" i="9"/>
  <c r="BM41" i="9"/>
  <c r="BM5" i="9"/>
  <c r="BM10" i="9"/>
  <c r="BM11" i="9"/>
  <c r="BM36" i="9"/>
  <c r="BM4" i="9"/>
  <c r="BI23" i="12"/>
  <c r="BI31" i="12"/>
  <c r="BJ37" i="12"/>
  <c r="BJ13" i="12"/>
  <c r="BJ12" i="12"/>
  <c r="BJ11" i="12"/>
  <c r="BJ10" i="12"/>
  <c r="BJ21" i="12"/>
  <c r="BJ20" i="12"/>
  <c r="BJ19" i="12"/>
  <c r="BJ18" i="12"/>
  <c r="BJ28" i="12"/>
  <c r="BJ27" i="12"/>
  <c r="BJ26" i="12"/>
  <c r="BJ36" i="12"/>
  <c r="BJ35" i="12"/>
  <c r="BJ34" i="12"/>
  <c r="BJ43" i="12"/>
  <c r="BJ51" i="12"/>
  <c r="BJ5" i="12"/>
  <c r="BJ4" i="12"/>
  <c r="BJ3" i="12"/>
  <c r="BJ2" i="12"/>
  <c r="BK1" i="12"/>
  <c r="BK52" i="12" s="1"/>
  <c r="BI39" i="12"/>
  <c r="CJ45" i="16"/>
  <c r="CJ37" i="16"/>
  <c r="CJ21" i="16"/>
  <c r="CJ52" i="16"/>
  <c r="CJ43" i="16"/>
  <c r="CJ44" i="16"/>
  <c r="CJ12" i="16"/>
  <c r="CJ5" i="16"/>
  <c r="CJ36" i="16"/>
  <c r="CJ28" i="16"/>
  <c r="CJ38" i="16"/>
  <c r="CJ30" i="16"/>
  <c r="CJ22" i="16"/>
  <c r="CJ27" i="16"/>
  <c r="CJ20" i="16"/>
  <c r="CK2" i="16"/>
  <c r="CJ13" i="16"/>
  <c r="CJ4" i="16"/>
  <c r="CJ35" i="16"/>
  <c r="CJ11" i="16"/>
  <c r="CJ19" i="16"/>
  <c r="CJ14" i="16"/>
  <c r="CJ6" i="16"/>
  <c r="CJ29" i="16"/>
  <c r="CF59" i="14"/>
  <c r="CF61" i="14"/>
  <c r="CF60" i="14"/>
  <c r="CF44" i="14"/>
  <c r="CF53" i="14"/>
  <c r="CF52" i="14"/>
  <c r="CF45" i="14"/>
  <c r="CF43" i="14"/>
  <c r="CF35" i="14"/>
  <c r="CF36" i="14"/>
  <c r="CF28" i="14"/>
  <c r="CF29" i="14"/>
  <c r="CF37" i="14"/>
  <c r="CF27" i="14"/>
  <c r="CF5" i="14"/>
  <c r="CF11" i="14"/>
  <c r="CF19" i="14"/>
  <c r="CF20" i="14"/>
  <c r="CF3" i="14"/>
  <c r="CG2" i="14"/>
  <c r="CF21" i="14"/>
  <c r="CF4" i="14"/>
  <c r="CF13" i="14"/>
  <c r="CF12" i="14"/>
  <c r="BL22" i="9"/>
  <c r="BL38" i="9"/>
  <c r="BL30" i="9"/>
  <c r="BO19" i="5"/>
  <c r="BO3" i="5"/>
  <c r="BO20" i="5"/>
  <c r="BO11" i="5"/>
  <c r="BO30" i="5"/>
  <c r="BO27" i="5"/>
  <c r="BO28" i="5"/>
  <c r="BO12" i="5"/>
  <c r="BO4" i="5"/>
  <c r="BO22" i="5"/>
  <c r="BO6" i="5"/>
  <c r="BO35" i="5"/>
  <c r="BO14" i="5"/>
  <c r="BO5" i="5"/>
  <c r="BP2" i="5"/>
  <c r="BN8" i="5"/>
  <c r="BP3" i="8"/>
  <c r="BP4" i="8"/>
  <c r="BP6" i="8"/>
  <c r="CP8" i="15" l="1"/>
  <c r="CJ40" i="16"/>
  <c r="CP16" i="15"/>
  <c r="CP32" i="15"/>
  <c r="CP40" i="15"/>
  <c r="CQ71" i="15"/>
  <c r="CQ63" i="15"/>
  <c r="CQ39" i="15"/>
  <c r="CQ55" i="15"/>
  <c r="CQ47" i="15"/>
  <c r="CQ31" i="15"/>
  <c r="CQ23" i="15"/>
  <c r="CQ15" i="15"/>
  <c r="CQ7" i="15"/>
  <c r="CQ67" i="15"/>
  <c r="CQ51" i="15"/>
  <c r="CQ36" i="15"/>
  <c r="CQ37" i="15"/>
  <c r="CQ20" i="15"/>
  <c r="CQ28" i="15"/>
  <c r="CQ22" i="15"/>
  <c r="CQ45" i="15"/>
  <c r="CQ38" i="15"/>
  <c r="CQ44" i="15"/>
  <c r="CQ14" i="15"/>
  <c r="CQ19" i="15"/>
  <c r="CR2" i="15"/>
  <c r="CQ6" i="15"/>
  <c r="CQ68" i="15"/>
  <c r="CQ59" i="15"/>
  <c r="CQ35" i="15"/>
  <c r="CQ29" i="15"/>
  <c r="CQ5" i="15"/>
  <c r="CQ21" i="15"/>
  <c r="CQ13" i="15"/>
  <c r="CQ4" i="15"/>
  <c r="CQ60" i="15"/>
  <c r="CQ52" i="15"/>
  <c r="CQ43" i="15"/>
  <c r="CQ27" i="15"/>
  <c r="CQ30" i="15"/>
  <c r="CQ11" i="15"/>
  <c r="CQ3" i="15"/>
  <c r="CQ12" i="15"/>
  <c r="CP24" i="15"/>
  <c r="CJ32" i="16"/>
  <c r="CJ24" i="16"/>
  <c r="CJ16" i="16"/>
  <c r="CK7" i="16"/>
  <c r="CK63" i="16"/>
  <c r="BN28" i="9"/>
  <c r="BN27" i="9"/>
  <c r="BN10" i="9"/>
  <c r="BN18" i="9"/>
  <c r="BN2" i="9"/>
  <c r="BN3" i="9"/>
  <c r="BN36" i="9"/>
  <c r="BN26" i="9"/>
  <c r="BN34" i="9"/>
  <c r="BN33" i="9"/>
  <c r="BN11" i="9"/>
  <c r="BN9" i="9"/>
  <c r="BO1" i="9"/>
  <c r="BN25" i="9"/>
  <c r="BN17" i="9"/>
  <c r="BN35" i="9"/>
  <c r="BN19" i="9"/>
  <c r="BM38" i="9"/>
  <c r="BN49" i="9"/>
  <c r="BN57" i="9"/>
  <c r="BN5" i="9"/>
  <c r="BN12" i="9"/>
  <c r="BN41" i="9"/>
  <c r="BN20" i="9"/>
  <c r="BN4" i="9"/>
  <c r="BM30" i="9"/>
  <c r="BM22" i="9"/>
  <c r="BJ31" i="12"/>
  <c r="BJ23" i="12"/>
  <c r="BK29" i="12"/>
  <c r="BK13" i="12"/>
  <c r="BK12" i="12"/>
  <c r="BK11" i="12"/>
  <c r="BK10" i="12"/>
  <c r="BK21" i="12"/>
  <c r="BK20" i="12"/>
  <c r="BK19" i="12"/>
  <c r="BK18" i="12"/>
  <c r="BK28" i="12"/>
  <c r="BK27" i="12"/>
  <c r="BK26" i="12"/>
  <c r="BK37" i="12"/>
  <c r="BK36" i="12"/>
  <c r="BK35" i="12"/>
  <c r="BK34" i="12"/>
  <c r="BK43" i="12"/>
  <c r="BK51" i="12"/>
  <c r="BK5" i="12"/>
  <c r="BK4" i="12"/>
  <c r="BK3" i="12"/>
  <c r="BK2" i="12"/>
  <c r="BL1" i="12"/>
  <c r="BJ39" i="12"/>
  <c r="CK52" i="16"/>
  <c r="CK29" i="16"/>
  <c r="CK36" i="16"/>
  <c r="CK30" i="16"/>
  <c r="CK37" i="16"/>
  <c r="CK44" i="16"/>
  <c r="CK45" i="16"/>
  <c r="CK28" i="16"/>
  <c r="CK38" i="16"/>
  <c r="CK14" i="16"/>
  <c r="CK43" i="16"/>
  <c r="CK22" i="16"/>
  <c r="CK27" i="16"/>
  <c r="CK21" i="16"/>
  <c r="CK20" i="16"/>
  <c r="CK11" i="16"/>
  <c r="CK35" i="16"/>
  <c r="CK13" i="16"/>
  <c r="CK4" i="16"/>
  <c r="CL2" i="16"/>
  <c r="CK5" i="16"/>
  <c r="CK19" i="16"/>
  <c r="CK12" i="16"/>
  <c r="CK6" i="16"/>
  <c r="CG59" i="14"/>
  <c r="CG61" i="14"/>
  <c r="CG53" i="14"/>
  <c r="CG60" i="14"/>
  <c r="CG43" i="14"/>
  <c r="CG52" i="14"/>
  <c r="CG45" i="14"/>
  <c r="CG44" i="14"/>
  <c r="CG35" i="14"/>
  <c r="CG36" i="14"/>
  <c r="CG27" i="14"/>
  <c r="CG28" i="14"/>
  <c r="CG29" i="14"/>
  <c r="CG21" i="14"/>
  <c r="CG4" i="14"/>
  <c r="CG5" i="14"/>
  <c r="CG19" i="14"/>
  <c r="CG37" i="14"/>
  <c r="CG20" i="14"/>
  <c r="CG3" i="14"/>
  <c r="CG12" i="14"/>
  <c r="CH2" i="14"/>
  <c r="CG11" i="14"/>
  <c r="CG13" i="14"/>
  <c r="BP20" i="5"/>
  <c r="BP28" i="5"/>
  <c r="BP12" i="5"/>
  <c r="BP3" i="5"/>
  <c r="BP30" i="5"/>
  <c r="BP11" i="5"/>
  <c r="BP35" i="5"/>
  <c r="BP4" i="5"/>
  <c r="BP14" i="5"/>
  <c r="BP22" i="5"/>
  <c r="BP5" i="5"/>
  <c r="BP19" i="5"/>
  <c r="BP27" i="5"/>
  <c r="BP6" i="5"/>
  <c r="BQ2" i="5"/>
  <c r="BO8" i="5"/>
  <c r="BQ3" i="8"/>
  <c r="BQ4" i="8"/>
  <c r="BQ6" i="8"/>
  <c r="CK32" i="16" l="1"/>
  <c r="CQ40" i="15"/>
  <c r="CQ8" i="15"/>
  <c r="CR71" i="15"/>
  <c r="CR63" i="15"/>
  <c r="CR47" i="15"/>
  <c r="CR39" i="15"/>
  <c r="CR55" i="15"/>
  <c r="CR15" i="15"/>
  <c r="CR31" i="15"/>
  <c r="CR23" i="15"/>
  <c r="CR7" i="15"/>
  <c r="CR60" i="15"/>
  <c r="CR37" i="15"/>
  <c r="CR30" i="15"/>
  <c r="CR20" i="15"/>
  <c r="CR12" i="15"/>
  <c r="CR4" i="15"/>
  <c r="CR19" i="15"/>
  <c r="CR6" i="15"/>
  <c r="CR68" i="15"/>
  <c r="CR52" i="15"/>
  <c r="CR43" i="15"/>
  <c r="CR11" i="15"/>
  <c r="CR44" i="15"/>
  <c r="CR28" i="15"/>
  <c r="CR3" i="15"/>
  <c r="CR51" i="15"/>
  <c r="CR59" i="15"/>
  <c r="CR35" i="15"/>
  <c r="CR13" i="15"/>
  <c r="CR21" i="15"/>
  <c r="CR5" i="15"/>
  <c r="CS2" i="15"/>
  <c r="CR67" i="15"/>
  <c r="CR45" i="15"/>
  <c r="CR29" i="15"/>
  <c r="CR36" i="15"/>
  <c r="CR14" i="15"/>
  <c r="CR27" i="15"/>
  <c r="CR22" i="15"/>
  <c r="CR38" i="15"/>
  <c r="CQ16" i="15"/>
  <c r="CQ24" i="15"/>
  <c r="CQ32" i="15"/>
  <c r="CK40" i="16"/>
  <c r="CK24" i="16"/>
  <c r="CK16" i="16"/>
  <c r="CL63" i="16"/>
  <c r="CL7" i="16"/>
  <c r="BO19" i="9"/>
  <c r="BO28" i="9"/>
  <c r="BO49" i="9"/>
  <c r="BN30" i="9"/>
  <c r="BN38" i="9"/>
  <c r="BO57" i="9"/>
  <c r="BO5" i="9"/>
  <c r="BO12" i="9"/>
  <c r="BO41" i="9"/>
  <c r="BO20" i="9"/>
  <c r="BO35" i="9"/>
  <c r="BO34" i="9"/>
  <c r="BO36" i="9"/>
  <c r="BO25" i="9"/>
  <c r="BO26" i="9"/>
  <c r="BO27" i="9"/>
  <c r="BO33" i="9"/>
  <c r="BO4" i="9"/>
  <c r="BO11" i="9"/>
  <c r="BO10" i="9"/>
  <c r="BO9" i="9"/>
  <c r="BO18" i="9"/>
  <c r="BO17" i="9"/>
  <c r="BP1" i="9"/>
  <c r="BO2" i="9"/>
  <c r="BO3" i="9"/>
  <c r="BN22" i="9"/>
  <c r="BL37" i="12"/>
  <c r="BL51" i="12"/>
  <c r="BL29" i="12"/>
  <c r="BL34" i="12"/>
  <c r="BK39" i="12"/>
  <c r="BL13" i="12"/>
  <c r="BL10" i="12"/>
  <c r="BL18" i="12"/>
  <c r="BL36" i="12"/>
  <c r="BL5" i="12"/>
  <c r="BK31" i="12"/>
  <c r="BL12" i="12"/>
  <c r="BL20" i="12"/>
  <c r="BL26" i="12"/>
  <c r="BL43" i="12"/>
  <c r="BL4" i="12"/>
  <c r="BL3" i="12"/>
  <c r="BM1" i="12"/>
  <c r="BM51" i="12" s="1"/>
  <c r="BK23" i="12"/>
  <c r="BL52" i="12"/>
  <c r="BL11" i="12"/>
  <c r="BL21" i="12"/>
  <c r="BL19" i="12"/>
  <c r="BL28" i="12"/>
  <c r="BL27" i="12"/>
  <c r="BL35" i="12"/>
  <c r="BL2" i="12"/>
  <c r="CL52" i="16"/>
  <c r="CL44" i="16"/>
  <c r="CL43" i="16"/>
  <c r="CL45" i="16"/>
  <c r="CL37" i="16"/>
  <c r="CL38" i="16"/>
  <c r="CL36" i="16"/>
  <c r="CL14" i="16"/>
  <c r="CL27" i="16"/>
  <c r="CL21" i="16"/>
  <c r="CL20" i="16"/>
  <c r="CL35" i="16"/>
  <c r="CL5" i="16"/>
  <c r="CL19" i="16"/>
  <c r="CL12" i="16"/>
  <c r="CL13" i="16"/>
  <c r="CL28" i="16"/>
  <c r="CL6" i="16"/>
  <c r="CL30" i="16"/>
  <c r="CL4" i="16"/>
  <c r="CM2" i="16"/>
  <c r="CL22" i="16"/>
  <c r="CL29" i="16"/>
  <c r="CL11" i="16"/>
  <c r="CH60" i="14"/>
  <c r="CH59" i="14"/>
  <c r="CH61" i="14"/>
  <c r="CH53" i="14"/>
  <c r="CH52" i="14"/>
  <c r="CH44" i="14"/>
  <c r="CH43" i="14"/>
  <c r="CH45" i="14"/>
  <c r="CH35" i="14"/>
  <c r="CH36" i="14"/>
  <c r="CH37" i="14"/>
  <c r="CH27" i="14"/>
  <c r="CH28" i="14"/>
  <c r="CH29" i="14"/>
  <c r="CI2" i="14"/>
  <c r="CH21" i="14"/>
  <c r="CH4" i="14"/>
  <c r="CH19" i="14"/>
  <c r="CH13" i="14"/>
  <c r="CH3" i="14"/>
  <c r="CH12" i="14"/>
  <c r="CH20" i="14"/>
  <c r="CH11" i="14"/>
  <c r="CH5" i="14"/>
  <c r="BQ28" i="5"/>
  <c r="BQ6" i="5"/>
  <c r="BQ22" i="5"/>
  <c r="BQ20" i="5"/>
  <c r="BQ3" i="5"/>
  <c r="BQ11" i="5"/>
  <c r="BQ27" i="5"/>
  <c r="BQ19" i="5"/>
  <c r="BQ4" i="5"/>
  <c r="BQ12" i="5"/>
  <c r="BQ14" i="5"/>
  <c r="BQ35" i="5"/>
  <c r="BQ5" i="5"/>
  <c r="BQ30" i="5"/>
  <c r="BR2" i="5"/>
  <c r="BP8" i="5"/>
  <c r="BR3" i="8"/>
  <c r="BR4" i="8"/>
  <c r="BR6" i="8"/>
  <c r="CR8" i="15" l="1"/>
  <c r="CR24" i="15"/>
  <c r="CS63" i="15"/>
  <c r="CS71" i="15"/>
  <c r="CS55" i="15"/>
  <c r="CS47" i="15"/>
  <c r="CS31" i="15"/>
  <c r="CS23" i="15"/>
  <c r="CS39" i="15"/>
  <c r="CS7" i="15"/>
  <c r="CS15" i="15"/>
  <c r="CS60" i="15"/>
  <c r="CS45" i="15"/>
  <c r="CS35" i="15"/>
  <c r="CS44" i="15"/>
  <c r="CS28" i="15"/>
  <c r="CS4" i="15"/>
  <c r="CS12" i="15"/>
  <c r="CS67" i="15"/>
  <c r="CS43" i="15"/>
  <c r="CS30" i="15"/>
  <c r="CS5" i="15"/>
  <c r="CS27" i="15"/>
  <c r="CS21" i="15"/>
  <c r="CS19" i="15"/>
  <c r="CS52" i="15"/>
  <c r="CS68" i="15"/>
  <c r="CS51" i="15"/>
  <c r="CS36" i="15"/>
  <c r="CS20" i="15"/>
  <c r="CS14" i="15"/>
  <c r="CS22" i="15"/>
  <c r="CS13" i="15"/>
  <c r="CS6" i="15"/>
  <c r="CS59" i="15"/>
  <c r="CS37" i="15"/>
  <c r="CS38" i="15"/>
  <c r="CS29" i="15"/>
  <c r="CS11" i="15"/>
  <c r="CT2" i="15"/>
  <c r="CS3" i="15"/>
  <c r="CR40" i="15"/>
  <c r="CL40" i="16"/>
  <c r="CR32" i="15"/>
  <c r="CR16" i="15"/>
  <c r="CL32" i="16"/>
  <c r="CL24" i="16"/>
  <c r="CL16" i="16"/>
  <c r="CM63" i="16"/>
  <c r="CM7" i="16"/>
  <c r="BO38" i="9"/>
  <c r="BO22" i="9"/>
  <c r="BO30" i="9"/>
  <c r="BP58" i="9"/>
  <c r="BP50" i="9"/>
  <c r="BP42" i="9"/>
  <c r="BP19" i="9"/>
  <c r="BP28" i="9"/>
  <c r="BP49" i="9"/>
  <c r="BP57" i="9"/>
  <c r="BP5" i="9"/>
  <c r="BP12" i="9"/>
  <c r="BP41" i="9"/>
  <c r="BP20" i="9"/>
  <c r="BP35" i="9"/>
  <c r="BP4" i="9"/>
  <c r="BP25" i="9"/>
  <c r="BP26" i="9"/>
  <c r="BP27" i="9"/>
  <c r="BP34" i="9"/>
  <c r="BP33" i="9"/>
  <c r="BP36" i="9"/>
  <c r="BP11" i="9"/>
  <c r="BP10" i="9"/>
  <c r="BP9" i="9"/>
  <c r="BP18" i="9"/>
  <c r="BP17" i="9"/>
  <c r="BQ1" i="9"/>
  <c r="BP2" i="9"/>
  <c r="BP3" i="9"/>
  <c r="BN1" i="12"/>
  <c r="BM43" i="12"/>
  <c r="BM35" i="12"/>
  <c r="BM2" i="12"/>
  <c r="BM3" i="12"/>
  <c r="BM4" i="12"/>
  <c r="BM5" i="12"/>
  <c r="BM37" i="12"/>
  <c r="BM19" i="12"/>
  <c r="BM20" i="12"/>
  <c r="BM10" i="12"/>
  <c r="BM28" i="12"/>
  <c r="BM21" i="12"/>
  <c r="BM18" i="12"/>
  <c r="BM34" i="12"/>
  <c r="BM27" i="12"/>
  <c r="BM12" i="12"/>
  <c r="BM11" i="12"/>
  <c r="BM26" i="12"/>
  <c r="BM36" i="12"/>
  <c r="BM29" i="12"/>
  <c r="BM13" i="12"/>
  <c r="BL23" i="12"/>
  <c r="BL39" i="12"/>
  <c r="BL31" i="12"/>
  <c r="CM52" i="16"/>
  <c r="CM37" i="16"/>
  <c r="CM45" i="16"/>
  <c r="CM30" i="16"/>
  <c r="CM44" i="16"/>
  <c r="CM29" i="16"/>
  <c r="CM20" i="16"/>
  <c r="CM35" i="16"/>
  <c r="CM28" i="16"/>
  <c r="CM5" i="16"/>
  <c r="CM38" i="16"/>
  <c r="CM36" i="16"/>
  <c r="CM19" i="16"/>
  <c r="CM12" i="16"/>
  <c r="CM6" i="16"/>
  <c r="CN2" i="16"/>
  <c r="CM43" i="16"/>
  <c r="CM14" i="16"/>
  <c r="CM11" i="16"/>
  <c r="CM27" i="16"/>
  <c r="CM22" i="16"/>
  <c r="CM4" i="16"/>
  <c r="CM21" i="16"/>
  <c r="CM13" i="16"/>
  <c r="CI59" i="14"/>
  <c r="CI61" i="14"/>
  <c r="CI53" i="14"/>
  <c r="CI60" i="14"/>
  <c r="CI52" i="14"/>
  <c r="CI44" i="14"/>
  <c r="CI43" i="14"/>
  <c r="CI37" i="14"/>
  <c r="CI45" i="14"/>
  <c r="CI35" i="14"/>
  <c r="CI27" i="14"/>
  <c r="CI28" i="14"/>
  <c r="CI29" i="14"/>
  <c r="CI36" i="14"/>
  <c r="CI20" i="14"/>
  <c r="CI3" i="14"/>
  <c r="CJ2" i="14"/>
  <c r="CI21" i="14"/>
  <c r="CI4" i="14"/>
  <c r="CI19" i="14"/>
  <c r="CI5" i="14"/>
  <c r="CI13" i="14"/>
  <c r="CI12" i="14"/>
  <c r="CI11" i="14"/>
  <c r="BR28" i="5"/>
  <c r="BR3" i="5"/>
  <c r="BR22" i="5"/>
  <c r="BR27" i="5"/>
  <c r="BR11" i="5"/>
  <c r="BR13" i="5"/>
  <c r="BR20" i="5"/>
  <c r="BR6" i="5"/>
  <c r="BR19" i="5"/>
  <c r="BR4" i="5"/>
  <c r="BR5" i="5"/>
  <c r="BR35" i="5"/>
  <c r="BR14" i="5"/>
  <c r="BR30" i="5"/>
  <c r="BR12" i="5"/>
  <c r="BS2" i="5"/>
  <c r="BQ8" i="5"/>
  <c r="BS3" i="8"/>
  <c r="BS4" i="8"/>
  <c r="BS6" i="8"/>
  <c r="CS40" i="15" l="1"/>
  <c r="CS8" i="15"/>
  <c r="CS24" i="15"/>
  <c r="CT71" i="15"/>
  <c r="CT63" i="15"/>
  <c r="CT55" i="15"/>
  <c r="CT47" i="15"/>
  <c r="CT39" i="15"/>
  <c r="CT31" i="15"/>
  <c r="CT23" i="15"/>
  <c r="CT15" i="15"/>
  <c r="CT7" i="15"/>
  <c r="CT68" i="15"/>
  <c r="CT52" i="15"/>
  <c r="CT30" i="15"/>
  <c r="CT45" i="15"/>
  <c r="CT19" i="15"/>
  <c r="CT51" i="15"/>
  <c r="CT20" i="15"/>
  <c r="CT3" i="15"/>
  <c r="CT67" i="15"/>
  <c r="CT38" i="15"/>
  <c r="CT11" i="15"/>
  <c r="CT27" i="15"/>
  <c r="CT12" i="15"/>
  <c r="CT21" i="15"/>
  <c r="CT5" i="15"/>
  <c r="CT44" i="15"/>
  <c r="CT59" i="15"/>
  <c r="CT43" i="15"/>
  <c r="CT37" i="15"/>
  <c r="CT13" i="15"/>
  <c r="CT14" i="15"/>
  <c r="CT6" i="15"/>
  <c r="CT35" i="15"/>
  <c r="CT60" i="15"/>
  <c r="CT36" i="15"/>
  <c r="CT29" i="15"/>
  <c r="CT28" i="15"/>
  <c r="CT4" i="15"/>
  <c r="CT22" i="15"/>
  <c r="CU2" i="15"/>
  <c r="CS16" i="15"/>
  <c r="CS32" i="15"/>
  <c r="CM32" i="16"/>
  <c r="CM40" i="16"/>
  <c r="CM24" i="16"/>
  <c r="CM16" i="16"/>
  <c r="CN63" i="16"/>
  <c r="CN7" i="16"/>
  <c r="BP38" i="9"/>
  <c r="BP22" i="9"/>
  <c r="BP30" i="9"/>
  <c r="BQ58" i="9"/>
  <c r="BQ50" i="9"/>
  <c r="BQ42" i="9"/>
  <c r="BQ19" i="9"/>
  <c r="BQ28" i="9"/>
  <c r="BQ49" i="9"/>
  <c r="BQ57" i="9"/>
  <c r="BQ5" i="9"/>
  <c r="BQ12" i="9"/>
  <c r="BQ41" i="9"/>
  <c r="BQ20" i="9"/>
  <c r="BQ35" i="9"/>
  <c r="BQ34" i="9"/>
  <c r="BQ25" i="9"/>
  <c r="BQ26" i="9"/>
  <c r="BQ27" i="9"/>
  <c r="BQ33" i="9"/>
  <c r="BQ36" i="9"/>
  <c r="BQ4" i="9"/>
  <c r="BQ11" i="9"/>
  <c r="BQ10" i="9"/>
  <c r="BQ9" i="9"/>
  <c r="BQ18" i="9"/>
  <c r="BQ17" i="9"/>
  <c r="BQ3" i="9"/>
  <c r="BQ2" i="9"/>
  <c r="BR1" i="9"/>
  <c r="BN29" i="12"/>
  <c r="BN44" i="12"/>
  <c r="BN13" i="12"/>
  <c r="BN12" i="12"/>
  <c r="BN11" i="12"/>
  <c r="BN10" i="12"/>
  <c r="BN21" i="12"/>
  <c r="BN20" i="12"/>
  <c r="BN19" i="12"/>
  <c r="BN18" i="12"/>
  <c r="BN28" i="12"/>
  <c r="BN27" i="12"/>
  <c r="BN26" i="12"/>
  <c r="BN37" i="12"/>
  <c r="BN36" i="12"/>
  <c r="BN35" i="12"/>
  <c r="BN34" i="12"/>
  <c r="BN43" i="12"/>
  <c r="BN42" i="12"/>
  <c r="BN51" i="12"/>
  <c r="BN5" i="12"/>
  <c r="BN4" i="12"/>
  <c r="BN3" i="12"/>
  <c r="BN2" i="12"/>
  <c r="BO1" i="12"/>
  <c r="BM23" i="12"/>
  <c r="BM39" i="12"/>
  <c r="BM31" i="12"/>
  <c r="CN29" i="16"/>
  <c r="CN36" i="16"/>
  <c r="CN44" i="16"/>
  <c r="CN43" i="16"/>
  <c r="CN20" i="16"/>
  <c r="CN37" i="16"/>
  <c r="CN52" i="16"/>
  <c r="CN28" i="16"/>
  <c r="CN14" i="16"/>
  <c r="CN5" i="16"/>
  <c r="CN38" i="16"/>
  <c r="CN19" i="16"/>
  <c r="CN12" i="16"/>
  <c r="CN6" i="16"/>
  <c r="CN22" i="16"/>
  <c r="CN30" i="16"/>
  <c r="CN27" i="16"/>
  <c r="CN45" i="16"/>
  <c r="CN11" i="16"/>
  <c r="CN4" i="16"/>
  <c r="CN35" i="16"/>
  <c r="CO2" i="16"/>
  <c r="CN21" i="16"/>
  <c r="CN13" i="16"/>
  <c r="CJ61" i="14"/>
  <c r="CJ60" i="14"/>
  <c r="CJ59" i="14"/>
  <c r="CJ53" i="14"/>
  <c r="CJ44" i="14"/>
  <c r="CJ52" i="14"/>
  <c r="CJ45" i="14"/>
  <c r="CJ36" i="14"/>
  <c r="CJ37" i="14"/>
  <c r="CJ43" i="14"/>
  <c r="CJ27" i="14"/>
  <c r="CJ28" i="14"/>
  <c r="CJ20" i="14"/>
  <c r="CJ3" i="14"/>
  <c r="CJ29" i="14"/>
  <c r="CK2" i="14"/>
  <c r="CJ21" i="14"/>
  <c r="CJ4" i="14"/>
  <c r="CJ35" i="14"/>
  <c r="CJ5" i="14"/>
  <c r="CJ11" i="14"/>
  <c r="CJ13" i="14"/>
  <c r="CJ12" i="14"/>
  <c r="CJ19" i="14"/>
  <c r="BS43" i="5"/>
  <c r="BR16" i="5"/>
  <c r="BS14" i="5"/>
  <c r="BS6" i="5"/>
  <c r="BS28" i="5"/>
  <c r="BS3" i="5"/>
  <c r="BS11" i="5"/>
  <c r="BS30" i="5"/>
  <c r="BS27" i="5"/>
  <c r="BS4" i="5"/>
  <c r="BS22" i="5"/>
  <c r="BS12" i="5"/>
  <c r="BS20" i="5"/>
  <c r="BS5" i="5"/>
  <c r="BS13" i="5"/>
  <c r="BS19" i="5"/>
  <c r="BS35" i="5"/>
  <c r="BT2" i="5"/>
  <c r="BR8" i="5"/>
  <c r="BT3" i="8"/>
  <c r="BT4" i="8"/>
  <c r="BT6" i="8"/>
  <c r="CT32" i="15" l="1"/>
  <c r="CT8" i="15"/>
  <c r="CT40" i="15"/>
  <c r="CT16" i="15"/>
  <c r="CU71" i="15"/>
  <c r="CU63" i="15"/>
  <c r="CU39" i="15"/>
  <c r="CU55" i="15"/>
  <c r="CU47" i="15"/>
  <c r="CU23" i="15"/>
  <c r="CU31" i="15"/>
  <c r="CU15" i="15"/>
  <c r="CU7" i="15"/>
  <c r="CU52" i="15"/>
  <c r="CU28" i="15"/>
  <c r="CU22" i="15"/>
  <c r="CU30" i="15"/>
  <c r="CU14" i="15"/>
  <c r="CU12" i="15"/>
  <c r="CU19" i="15"/>
  <c r="CU29" i="15"/>
  <c r="CU21" i="15"/>
  <c r="CU44" i="15"/>
  <c r="CU45" i="15"/>
  <c r="CU13" i="15"/>
  <c r="CU27" i="15"/>
  <c r="CU51" i="15"/>
  <c r="CU67" i="15"/>
  <c r="CU59" i="15"/>
  <c r="CU37" i="15"/>
  <c r="CU38" i="15"/>
  <c r="CU4" i="15"/>
  <c r="CU60" i="15"/>
  <c r="CU11" i="15"/>
  <c r="CV2" i="15"/>
  <c r="CU68" i="15"/>
  <c r="CU36" i="15"/>
  <c r="CU5" i="15"/>
  <c r="CU35" i="15"/>
  <c r="CU43" i="15"/>
  <c r="CU6" i="15"/>
  <c r="CU3" i="15"/>
  <c r="CU20" i="15"/>
  <c r="CT24" i="15"/>
  <c r="CN40" i="16"/>
  <c r="CN32" i="16"/>
  <c r="CN24" i="16"/>
  <c r="CN16" i="16"/>
  <c r="CO7" i="16"/>
  <c r="CO63" i="16"/>
  <c r="BQ38" i="9"/>
  <c r="BR58" i="9"/>
  <c r="BR50" i="9"/>
  <c r="BR42" i="9"/>
  <c r="BR19" i="9"/>
  <c r="BR28" i="9"/>
  <c r="BR49" i="9"/>
  <c r="BR57" i="9"/>
  <c r="BR5" i="9"/>
  <c r="BR12" i="9"/>
  <c r="BR41" i="9"/>
  <c r="BR20" i="9"/>
  <c r="BR35" i="9"/>
  <c r="BR4" i="9"/>
  <c r="BR25" i="9"/>
  <c r="BR26" i="9"/>
  <c r="BR27" i="9"/>
  <c r="BR33" i="9"/>
  <c r="BR34" i="9"/>
  <c r="BR36" i="9"/>
  <c r="BR11" i="9"/>
  <c r="BQ22" i="9"/>
  <c r="BQ30" i="9"/>
  <c r="BR10" i="9"/>
  <c r="BR9" i="9"/>
  <c r="BR18" i="9"/>
  <c r="BR17" i="9"/>
  <c r="BR2" i="9"/>
  <c r="BS1" i="9"/>
  <c r="BR3" i="9"/>
  <c r="BN23" i="12"/>
  <c r="BN39" i="12"/>
  <c r="BN31" i="12"/>
  <c r="BO29" i="12"/>
  <c r="BO44" i="12"/>
  <c r="BO13" i="12"/>
  <c r="BO12" i="12"/>
  <c r="BO11" i="12"/>
  <c r="BO10" i="12"/>
  <c r="BO21" i="12"/>
  <c r="BO20" i="12"/>
  <c r="BO19" i="12"/>
  <c r="BO18" i="12"/>
  <c r="BO28" i="12"/>
  <c r="BO27" i="12"/>
  <c r="BO26" i="12"/>
  <c r="BO37" i="12"/>
  <c r="BO36" i="12"/>
  <c r="BO35" i="12"/>
  <c r="BO34" i="12"/>
  <c r="BO43" i="12"/>
  <c r="BO42" i="12"/>
  <c r="BO51" i="12"/>
  <c r="BO5" i="12"/>
  <c r="BO4" i="12"/>
  <c r="BO3" i="12"/>
  <c r="BP1" i="12"/>
  <c r="BO2" i="12"/>
  <c r="CO52" i="16"/>
  <c r="CO45" i="16"/>
  <c r="CO37" i="16"/>
  <c r="CO20" i="16"/>
  <c r="CO43" i="16"/>
  <c r="CO38" i="16"/>
  <c r="CO44" i="16"/>
  <c r="CO11" i="16"/>
  <c r="CO4" i="16"/>
  <c r="CO29" i="16"/>
  <c r="CO27" i="16"/>
  <c r="CO28" i="16"/>
  <c r="CO13" i="16"/>
  <c r="CP2" i="16"/>
  <c r="CO19" i="16"/>
  <c r="CO12" i="16"/>
  <c r="CO36" i="16"/>
  <c r="CO6" i="16"/>
  <c r="CO22" i="16"/>
  <c r="CO30" i="16"/>
  <c r="CO21" i="16"/>
  <c r="CO14" i="16"/>
  <c r="CO5" i="16"/>
  <c r="CO35" i="16"/>
  <c r="CK60" i="14"/>
  <c r="CK59" i="14"/>
  <c r="CK52" i="14"/>
  <c r="CK61" i="14"/>
  <c r="CK53" i="14"/>
  <c r="CK43" i="14"/>
  <c r="CK44" i="14"/>
  <c r="CK35" i="14"/>
  <c r="CK36" i="14"/>
  <c r="CK45" i="14"/>
  <c r="CK37" i="14"/>
  <c r="CK29" i="14"/>
  <c r="CK27" i="14"/>
  <c r="CK28" i="14"/>
  <c r="CK19" i="14"/>
  <c r="CK12" i="14"/>
  <c r="CK20" i="14"/>
  <c r="CK3" i="14"/>
  <c r="CL2" i="14"/>
  <c r="CK21" i="14"/>
  <c r="CK5" i="14"/>
  <c r="CK11" i="14"/>
  <c r="CK13" i="14"/>
  <c r="CK4" i="14"/>
  <c r="BT43" i="5"/>
  <c r="BT30" i="5"/>
  <c r="BT13" i="5"/>
  <c r="BT5" i="5"/>
  <c r="BT14" i="5"/>
  <c r="BT3" i="5"/>
  <c r="BT19" i="5"/>
  <c r="BT28" i="5"/>
  <c r="BT27" i="5"/>
  <c r="BT20" i="5"/>
  <c r="BT35" i="5"/>
  <c r="BT11" i="5"/>
  <c r="BT6" i="5"/>
  <c r="BT12" i="5"/>
  <c r="BT4" i="5"/>
  <c r="BT22" i="5"/>
  <c r="BU2" i="5"/>
  <c r="BS8" i="5"/>
  <c r="BS16" i="5"/>
  <c r="BU3" i="8"/>
  <c r="BU4" i="8"/>
  <c r="BU6" i="8"/>
  <c r="CO40" i="16" l="1"/>
  <c r="CU24" i="15"/>
  <c r="CU40" i="15"/>
  <c r="CV71" i="15"/>
  <c r="CV63" i="15"/>
  <c r="CV47" i="15"/>
  <c r="CV39" i="15"/>
  <c r="CV55" i="15"/>
  <c r="CV31" i="15"/>
  <c r="CV15" i="15"/>
  <c r="CV23" i="15"/>
  <c r="CV7" i="15"/>
  <c r="CV68" i="15"/>
  <c r="CV59" i="15"/>
  <c r="CV43" i="15"/>
  <c r="CV22" i="15"/>
  <c r="CV19" i="15"/>
  <c r="CV12" i="15"/>
  <c r="CV36" i="15"/>
  <c r="CV4" i="15"/>
  <c r="CV67" i="15"/>
  <c r="CV52" i="15"/>
  <c r="CV29" i="15"/>
  <c r="CV35" i="15"/>
  <c r="CV6" i="15"/>
  <c r="CV11" i="15"/>
  <c r="CW2" i="15"/>
  <c r="CV37" i="15"/>
  <c r="CV38" i="15"/>
  <c r="CV60" i="15"/>
  <c r="CV44" i="15"/>
  <c r="CV45" i="15"/>
  <c r="CV30" i="15"/>
  <c r="CV20" i="15"/>
  <c r="CV14" i="15"/>
  <c r="CV21" i="15"/>
  <c r="CV51" i="15"/>
  <c r="CV27" i="15"/>
  <c r="CV13" i="15"/>
  <c r="CV3" i="15"/>
  <c r="CV5" i="15"/>
  <c r="CV28" i="15"/>
  <c r="CU8" i="15"/>
  <c r="CU16" i="15"/>
  <c r="CU32" i="15"/>
  <c r="CO32" i="16"/>
  <c r="CO24" i="16"/>
  <c r="CO16" i="16"/>
  <c r="CP63" i="16"/>
  <c r="CP7" i="16"/>
  <c r="BS58" i="9"/>
  <c r="BS42" i="9"/>
  <c r="BS50" i="9"/>
  <c r="BS19" i="9"/>
  <c r="BS28" i="9"/>
  <c r="BS49" i="9"/>
  <c r="BS57" i="9"/>
  <c r="BR38" i="9"/>
  <c r="BS12" i="9"/>
  <c r="BS41" i="9"/>
  <c r="BS20" i="9"/>
  <c r="BR30" i="9"/>
  <c r="BS35" i="9"/>
  <c r="BS25" i="9"/>
  <c r="BS26" i="9"/>
  <c r="BS27" i="9"/>
  <c r="BS33" i="9"/>
  <c r="BS34" i="9"/>
  <c r="BS4" i="9"/>
  <c r="BS36" i="9"/>
  <c r="BS11" i="9"/>
  <c r="BS10" i="9"/>
  <c r="BS9" i="9"/>
  <c r="BS18" i="9"/>
  <c r="BS17" i="9"/>
  <c r="BT1" i="9"/>
  <c r="BS2" i="9"/>
  <c r="BS5" i="9"/>
  <c r="BS3" i="9"/>
  <c r="BR22" i="9"/>
  <c r="BO23" i="12"/>
  <c r="BO31" i="12"/>
  <c r="BP44" i="12"/>
  <c r="BP4" i="12"/>
  <c r="BP3" i="12"/>
  <c r="BP2" i="12"/>
  <c r="BO39" i="12"/>
  <c r="BQ1" i="12"/>
  <c r="BP29" i="12"/>
  <c r="BP13" i="12"/>
  <c r="BP12" i="12"/>
  <c r="BP11" i="12"/>
  <c r="BP10" i="12"/>
  <c r="BP21" i="12"/>
  <c r="BP20" i="12"/>
  <c r="BP19" i="12"/>
  <c r="BP18" i="12"/>
  <c r="BP28" i="12"/>
  <c r="BP27" i="12"/>
  <c r="BP26" i="12"/>
  <c r="BP37" i="12"/>
  <c r="BP36" i="12"/>
  <c r="BP35" i="12"/>
  <c r="BP34" i="12"/>
  <c r="BP43" i="12"/>
  <c r="BP42" i="12"/>
  <c r="BP51" i="12"/>
  <c r="BP5" i="12"/>
  <c r="CP45" i="16"/>
  <c r="CP52" i="16"/>
  <c r="CP28" i="16"/>
  <c r="CP44" i="16"/>
  <c r="CP43" i="16"/>
  <c r="CP29" i="16"/>
  <c r="CP38" i="16"/>
  <c r="CP20" i="16"/>
  <c r="CP27" i="16"/>
  <c r="CP13" i="16"/>
  <c r="CP35" i="16"/>
  <c r="CP21" i="16"/>
  <c r="CP4" i="16"/>
  <c r="CP36" i="16"/>
  <c r="CP6" i="16"/>
  <c r="CP22" i="16"/>
  <c r="CP30" i="16"/>
  <c r="CP5" i="16"/>
  <c r="CP19" i="16"/>
  <c r="CP14" i="16"/>
  <c r="CP12" i="16"/>
  <c r="CP37" i="16"/>
  <c r="CQ2" i="16"/>
  <c r="CP11" i="16"/>
  <c r="CL60" i="14"/>
  <c r="CL59" i="14"/>
  <c r="CL61" i="14"/>
  <c r="CL52" i="14"/>
  <c r="CL53" i="14"/>
  <c r="CL45" i="14"/>
  <c r="CL43" i="14"/>
  <c r="CL35" i="14"/>
  <c r="CL36" i="14"/>
  <c r="CL37" i="14"/>
  <c r="CL44" i="14"/>
  <c r="CL29" i="14"/>
  <c r="CL27" i="14"/>
  <c r="CL11" i="14"/>
  <c r="CL19" i="14"/>
  <c r="CL20" i="14"/>
  <c r="CL3" i="14"/>
  <c r="CM2" i="14"/>
  <c r="CL21" i="14"/>
  <c r="CL4" i="14"/>
  <c r="CL28" i="14"/>
  <c r="CL5" i="14"/>
  <c r="CL12" i="14"/>
  <c r="CL13" i="14"/>
  <c r="BU43" i="5"/>
  <c r="BU13" i="5"/>
  <c r="BU4" i="5"/>
  <c r="BU3" i="5"/>
  <c r="BU11" i="5"/>
  <c r="BU28" i="5"/>
  <c r="BU27" i="5"/>
  <c r="BU22" i="5"/>
  <c r="BU5" i="5"/>
  <c r="BU35" i="5"/>
  <c r="BU20" i="5"/>
  <c r="BU6" i="5"/>
  <c r="BU30" i="5"/>
  <c r="BU12" i="5"/>
  <c r="BU19" i="5"/>
  <c r="BU14" i="5"/>
  <c r="BV2" i="5"/>
  <c r="BT8" i="5"/>
  <c r="BT16" i="5"/>
  <c r="BV3" i="8"/>
  <c r="BV4" i="8"/>
  <c r="BV6" i="8"/>
  <c r="CV8" i="15" l="1"/>
  <c r="CV16" i="15"/>
  <c r="CV40" i="15"/>
  <c r="CP24" i="16"/>
  <c r="CP40" i="16"/>
  <c r="CW71" i="15"/>
  <c r="CW63" i="15"/>
  <c r="CW55" i="15"/>
  <c r="CW47" i="15"/>
  <c r="CW31" i="15"/>
  <c r="CW23" i="15"/>
  <c r="CW39" i="15"/>
  <c r="CW7" i="15"/>
  <c r="CW15" i="15"/>
  <c r="CW67" i="15"/>
  <c r="CW38" i="15"/>
  <c r="CW36" i="15"/>
  <c r="CW12" i="15"/>
  <c r="CW52" i="15"/>
  <c r="CW51" i="15"/>
  <c r="CW22" i="15"/>
  <c r="CW20" i="15"/>
  <c r="CW45" i="15"/>
  <c r="CW28" i="15"/>
  <c r="CW35" i="15"/>
  <c r="CW3" i="15"/>
  <c r="CW13" i="15"/>
  <c r="CW27" i="15"/>
  <c r="CW60" i="15"/>
  <c r="CW59" i="15"/>
  <c r="CW37" i="15"/>
  <c r="CW43" i="15"/>
  <c r="CW11" i="15"/>
  <c r="CX2" i="15"/>
  <c r="CW29" i="15"/>
  <c r="CW4" i="15"/>
  <c r="CW68" i="15"/>
  <c r="CW44" i="15"/>
  <c r="CW21" i="15"/>
  <c r="CW6" i="15"/>
  <c r="CW19" i="15"/>
  <c r="CW5" i="15"/>
  <c r="CW14" i="15"/>
  <c r="CW30" i="15"/>
  <c r="CV32" i="15"/>
  <c r="CV24" i="15"/>
  <c r="CP32" i="16"/>
  <c r="CP16" i="16"/>
  <c r="CQ63" i="16"/>
  <c r="CQ7" i="16"/>
  <c r="BS38" i="9"/>
  <c r="BT58" i="9"/>
  <c r="BT19" i="9"/>
  <c r="BT50" i="9"/>
  <c r="BT42" i="9"/>
  <c r="BT49" i="9"/>
  <c r="BT57" i="9"/>
  <c r="BT12" i="9"/>
  <c r="BT41" i="9"/>
  <c r="BT20" i="9"/>
  <c r="BT4" i="9"/>
  <c r="BT25" i="9"/>
  <c r="BT26" i="9"/>
  <c r="BT27" i="9"/>
  <c r="BT28" i="9"/>
  <c r="BT33" i="9"/>
  <c r="BT36" i="9"/>
  <c r="BT35" i="9"/>
  <c r="BT34" i="9"/>
  <c r="BT11" i="9"/>
  <c r="BT10" i="9"/>
  <c r="BT9" i="9"/>
  <c r="BS30" i="9"/>
  <c r="BT18" i="9"/>
  <c r="BT17" i="9"/>
  <c r="BT5" i="9"/>
  <c r="BT3" i="9"/>
  <c r="BU1" i="9"/>
  <c r="BT2" i="9"/>
  <c r="BQ13" i="12"/>
  <c r="BQ12" i="12"/>
  <c r="BQ11" i="12"/>
  <c r="BQ4" i="12"/>
  <c r="BQ3" i="12"/>
  <c r="BQ2" i="12"/>
  <c r="BR1" i="12"/>
  <c r="BQ10" i="12"/>
  <c r="BQ21" i="12"/>
  <c r="BQ20" i="12"/>
  <c r="BQ19" i="12"/>
  <c r="BQ18" i="12"/>
  <c r="BQ29" i="12"/>
  <c r="BQ28" i="12"/>
  <c r="BQ27" i="12"/>
  <c r="BQ26" i="12"/>
  <c r="BQ37" i="12"/>
  <c r="BQ36" i="12"/>
  <c r="BQ35" i="12"/>
  <c r="BQ34" i="12"/>
  <c r="BQ44" i="12"/>
  <c r="BQ43" i="12"/>
  <c r="BQ42" i="12"/>
  <c r="BQ51" i="12"/>
  <c r="BQ5" i="12"/>
  <c r="BP31" i="12"/>
  <c r="BP39" i="12"/>
  <c r="CQ36" i="16"/>
  <c r="CQ45" i="16"/>
  <c r="CQ38" i="16"/>
  <c r="CQ22" i="16"/>
  <c r="CQ44" i="16"/>
  <c r="CQ29" i="16"/>
  <c r="CQ27" i="16"/>
  <c r="CQ13" i="16"/>
  <c r="CQ6" i="16"/>
  <c r="CQ35" i="16"/>
  <c r="CQ21" i="16"/>
  <c r="CQ52" i="16"/>
  <c r="CQ30" i="16"/>
  <c r="CQ11" i="16"/>
  <c r="CQ43" i="16"/>
  <c r="CQ37" i="16"/>
  <c r="CQ14" i="16"/>
  <c r="CQ4" i="16"/>
  <c r="CQ12" i="16"/>
  <c r="CQ5" i="16"/>
  <c r="CQ20" i="16"/>
  <c r="CQ19" i="16"/>
  <c r="CQ28" i="16"/>
  <c r="CR2" i="16"/>
  <c r="CM61" i="14"/>
  <c r="CM60" i="14"/>
  <c r="CM59" i="14"/>
  <c r="CM52" i="14"/>
  <c r="CM53" i="14"/>
  <c r="CM45" i="14"/>
  <c r="CM43" i="14"/>
  <c r="CM44" i="14"/>
  <c r="CM35" i="14"/>
  <c r="CM36" i="14"/>
  <c r="CM37" i="14"/>
  <c r="CM28" i="14"/>
  <c r="CM29" i="14"/>
  <c r="CM27" i="14"/>
  <c r="CM5" i="14"/>
  <c r="CM11" i="14"/>
  <c r="CM19" i="14"/>
  <c r="CM20" i="14"/>
  <c r="CM3" i="14"/>
  <c r="CN2" i="14"/>
  <c r="CM21" i="14"/>
  <c r="CM4" i="14"/>
  <c r="CM12" i="14"/>
  <c r="CM13" i="14"/>
  <c r="BV43" i="5"/>
  <c r="BV11" i="5"/>
  <c r="BV12" i="5"/>
  <c r="BV6" i="5"/>
  <c r="BV30" i="5"/>
  <c r="BV14" i="5"/>
  <c r="BV3" i="5"/>
  <c r="BV22" i="5"/>
  <c r="BV20" i="5"/>
  <c r="BV4" i="5"/>
  <c r="BV5" i="5"/>
  <c r="BV19" i="5"/>
  <c r="BV27" i="5"/>
  <c r="BV13" i="5"/>
  <c r="BV28" i="5"/>
  <c r="BV35" i="5"/>
  <c r="BW2" i="5"/>
  <c r="BU16" i="5"/>
  <c r="BU8" i="5"/>
  <c r="BW3" i="8"/>
  <c r="BW4" i="8"/>
  <c r="BW6" i="8"/>
  <c r="CX71" i="15" l="1"/>
  <c r="CX63" i="15"/>
  <c r="CX55" i="15"/>
  <c r="CX47" i="15"/>
  <c r="CX39" i="15"/>
  <c r="CX31" i="15"/>
  <c r="CX23" i="15"/>
  <c r="CX7" i="15"/>
  <c r="CX15" i="15"/>
  <c r="CX67" i="15"/>
  <c r="CX37" i="15"/>
  <c r="CX38" i="15"/>
  <c r="CX22" i="15"/>
  <c r="CX27" i="15"/>
  <c r="CX5" i="15"/>
  <c r="CX13" i="15"/>
  <c r="CX59" i="15"/>
  <c r="CX29" i="15"/>
  <c r="CX28" i="15"/>
  <c r="CX52" i="15"/>
  <c r="CX36" i="15"/>
  <c r="CX20" i="15"/>
  <c r="CX4" i="15"/>
  <c r="CX68" i="15"/>
  <c r="CX51" i="15"/>
  <c r="CX45" i="15"/>
  <c r="CX44" i="15"/>
  <c r="CX6" i="15"/>
  <c r="CX11" i="15"/>
  <c r="CX21" i="15"/>
  <c r="CY2" i="15"/>
  <c r="CX60" i="15"/>
  <c r="CX43" i="15"/>
  <c r="CX19" i="15"/>
  <c r="CX12" i="15"/>
  <c r="CX35" i="15"/>
  <c r="CX3" i="15"/>
  <c r="CX14" i="15"/>
  <c r="CX30" i="15"/>
  <c r="CW8" i="15"/>
  <c r="CW24" i="15"/>
  <c r="CW16" i="15"/>
  <c r="CW40" i="15"/>
  <c r="CW32" i="15"/>
  <c r="CQ40" i="16"/>
  <c r="CQ32" i="16"/>
  <c r="CQ24" i="16"/>
  <c r="CQ16" i="16"/>
  <c r="CR63" i="16"/>
  <c r="CR7" i="16"/>
  <c r="BQ39" i="12"/>
  <c r="BU10" i="9"/>
  <c r="BU9" i="9"/>
  <c r="BQ31" i="12"/>
  <c r="BU58" i="9"/>
  <c r="BU42" i="9"/>
  <c r="BU19" i="9"/>
  <c r="BU50" i="9"/>
  <c r="BU49" i="9"/>
  <c r="BU57" i="9"/>
  <c r="BU12" i="9"/>
  <c r="BU20" i="9"/>
  <c r="BU35" i="9"/>
  <c r="BU25" i="9"/>
  <c r="BU26" i="9"/>
  <c r="BU27" i="9"/>
  <c r="BU28" i="9"/>
  <c r="BU33" i="9"/>
  <c r="BU34" i="9"/>
  <c r="BU36" i="9"/>
  <c r="BU41" i="9"/>
  <c r="BU4" i="9"/>
  <c r="BU11" i="9"/>
  <c r="BT38" i="9"/>
  <c r="BT30" i="9"/>
  <c r="BU18" i="9"/>
  <c r="BU17" i="9"/>
  <c r="BU5" i="9"/>
  <c r="BV1" i="9"/>
  <c r="BU2" i="9"/>
  <c r="BU3" i="9"/>
  <c r="BR52" i="12"/>
  <c r="BR13" i="12"/>
  <c r="BR12" i="12"/>
  <c r="BR11" i="12"/>
  <c r="BR10" i="12"/>
  <c r="BR21" i="12"/>
  <c r="BR20" i="12"/>
  <c r="BR19" i="12"/>
  <c r="BR18" i="12"/>
  <c r="BR29" i="12"/>
  <c r="BR28" i="12"/>
  <c r="BR27" i="12"/>
  <c r="BR26" i="12"/>
  <c r="BR37" i="12"/>
  <c r="BR36" i="12"/>
  <c r="BR35" i="12"/>
  <c r="BR34" i="12"/>
  <c r="BR44" i="12"/>
  <c r="BR43" i="12"/>
  <c r="BR42" i="12"/>
  <c r="BR51" i="12"/>
  <c r="BR50" i="12"/>
  <c r="BR5" i="12"/>
  <c r="BR4" i="12"/>
  <c r="BR3" i="12"/>
  <c r="BR2" i="12"/>
  <c r="BS1" i="12"/>
  <c r="CR52" i="16"/>
  <c r="CR44" i="16"/>
  <c r="CR38" i="16"/>
  <c r="CR35" i="16"/>
  <c r="CR30" i="16"/>
  <c r="CR28" i="16"/>
  <c r="CR27" i="16"/>
  <c r="CR45" i="16"/>
  <c r="CR21" i="16"/>
  <c r="CS2" i="16"/>
  <c r="CR43" i="16"/>
  <c r="CR37" i="16"/>
  <c r="CR19" i="16"/>
  <c r="CR5" i="16"/>
  <c r="CR22" i="16"/>
  <c r="CR11" i="16"/>
  <c r="CR29" i="16"/>
  <c r="CR6" i="16"/>
  <c r="CR4" i="16"/>
  <c r="CR12" i="16"/>
  <c r="CR14" i="16"/>
  <c r="CR20" i="16"/>
  <c r="CR36" i="16"/>
  <c r="CR13" i="16"/>
  <c r="CN59" i="14"/>
  <c r="CN61" i="14"/>
  <c r="CN60" i="14"/>
  <c r="CN53" i="14"/>
  <c r="CN44" i="14"/>
  <c r="CN52" i="14"/>
  <c r="CN45" i="14"/>
  <c r="CN43" i="14"/>
  <c r="CN35" i="14"/>
  <c r="CN36" i="14"/>
  <c r="CN37" i="14"/>
  <c r="CN28" i="14"/>
  <c r="CN29" i="14"/>
  <c r="CN27" i="14"/>
  <c r="CN5" i="14"/>
  <c r="CN11" i="14"/>
  <c r="CN19" i="14"/>
  <c r="CN20" i="14"/>
  <c r="CN3" i="14"/>
  <c r="CO2" i="14"/>
  <c r="CN21" i="14"/>
  <c r="CN4" i="14"/>
  <c r="CN12" i="14"/>
  <c r="CN13" i="14"/>
  <c r="BW52" i="5"/>
  <c r="BW43" i="5"/>
  <c r="BW60" i="5"/>
  <c r="BW68" i="5"/>
  <c r="BV8" i="5"/>
  <c r="BW11" i="5"/>
  <c r="BW12" i="5"/>
  <c r="BW5" i="5"/>
  <c r="BW36" i="5"/>
  <c r="BW6" i="5"/>
  <c r="BW4" i="5"/>
  <c r="BW35" i="5"/>
  <c r="BW22" i="5"/>
  <c r="BW14" i="5"/>
  <c r="BW44" i="5"/>
  <c r="BW28" i="5"/>
  <c r="BW27" i="5"/>
  <c r="BW19" i="5"/>
  <c r="BW30" i="5"/>
  <c r="BW3" i="5"/>
  <c r="BW13" i="5"/>
  <c r="BW20" i="5"/>
  <c r="BX2" i="5"/>
  <c r="BV16" i="5"/>
  <c r="BX3" i="8"/>
  <c r="BX4" i="8"/>
  <c r="BX6" i="8"/>
  <c r="CX40" i="15" l="1"/>
  <c r="CY71" i="15"/>
  <c r="CY63" i="15"/>
  <c r="CY39" i="15"/>
  <c r="CY55" i="15"/>
  <c r="CY47" i="15"/>
  <c r="CY31" i="15"/>
  <c r="CY23" i="15"/>
  <c r="CY15" i="15"/>
  <c r="CY7" i="15"/>
  <c r="CY67" i="15"/>
  <c r="CY44" i="15"/>
  <c r="CY27" i="15"/>
  <c r="CY12" i="15"/>
  <c r="CY3" i="15"/>
  <c r="CY11" i="15"/>
  <c r="CZ2" i="15"/>
  <c r="CY68" i="15"/>
  <c r="CY38" i="15"/>
  <c r="CY45" i="15"/>
  <c r="CY30" i="15"/>
  <c r="CY14" i="15"/>
  <c r="CY4" i="15"/>
  <c r="CY36" i="15"/>
  <c r="CY5" i="15"/>
  <c r="CY60" i="15"/>
  <c r="CY59" i="15"/>
  <c r="CY43" i="15"/>
  <c r="CY21" i="15"/>
  <c r="CY51" i="15"/>
  <c r="CY29" i="15"/>
  <c r="CY22" i="15"/>
  <c r="CY35" i="15"/>
  <c r="CY52" i="15"/>
  <c r="CY37" i="15"/>
  <c r="CY28" i="15"/>
  <c r="CY19" i="15"/>
  <c r="CY13" i="15"/>
  <c r="CY20" i="15"/>
  <c r="CY6" i="15"/>
  <c r="CR40" i="16"/>
  <c r="CX24" i="15"/>
  <c r="CX32" i="15"/>
  <c r="CX8" i="15"/>
  <c r="CX16" i="15"/>
  <c r="CR24" i="16"/>
  <c r="CR32" i="16"/>
  <c r="CR16" i="16"/>
  <c r="CS7" i="16"/>
  <c r="CS63" i="16"/>
  <c r="BV33" i="9"/>
  <c r="BV41" i="9"/>
  <c r="BV34" i="9"/>
  <c r="BV18" i="9"/>
  <c r="BV10" i="9"/>
  <c r="BV11" i="9"/>
  <c r="BV25" i="9"/>
  <c r="BV58" i="9"/>
  <c r="BV26" i="9"/>
  <c r="BV50" i="9"/>
  <c r="BV28" i="9"/>
  <c r="BV42" i="9"/>
  <c r="BV27" i="9"/>
  <c r="BV17" i="9"/>
  <c r="BV3" i="9"/>
  <c r="BW1" i="9"/>
  <c r="BV5" i="9"/>
  <c r="BV19" i="9"/>
  <c r="BV2" i="9"/>
  <c r="BV9" i="9"/>
  <c r="BV49" i="9"/>
  <c r="BV57" i="9"/>
  <c r="BV12" i="9"/>
  <c r="BV20" i="9"/>
  <c r="BV35" i="9"/>
  <c r="BV36" i="9"/>
  <c r="BV4" i="9"/>
  <c r="BS36" i="12"/>
  <c r="BS35" i="12"/>
  <c r="BR39" i="12"/>
  <c r="BS52" i="12"/>
  <c r="BS13" i="12"/>
  <c r="BS12" i="12"/>
  <c r="BS11" i="12"/>
  <c r="BS10" i="12"/>
  <c r="BS21" i="12"/>
  <c r="BS20" i="12"/>
  <c r="BS19" i="12"/>
  <c r="BS18" i="12"/>
  <c r="BS29" i="12"/>
  <c r="BS28" i="12"/>
  <c r="BS27" i="12"/>
  <c r="BS26" i="12"/>
  <c r="BS37" i="12"/>
  <c r="BS34" i="12"/>
  <c r="BS44" i="12"/>
  <c r="BS43" i="12"/>
  <c r="BS42" i="12"/>
  <c r="BS51" i="12"/>
  <c r="BS50" i="12"/>
  <c r="BS5" i="12"/>
  <c r="BS4" i="12"/>
  <c r="BS3" i="12"/>
  <c r="BS2" i="12"/>
  <c r="BT1" i="12"/>
  <c r="BU38" i="9"/>
  <c r="CS52" i="16"/>
  <c r="CS28" i="16"/>
  <c r="CS36" i="16"/>
  <c r="CS38" i="16"/>
  <c r="CS45" i="16"/>
  <c r="CS35" i="16"/>
  <c r="CS43" i="16"/>
  <c r="CS37" i="16"/>
  <c r="CS19" i="16"/>
  <c r="CS22" i="16"/>
  <c r="CS12" i="16"/>
  <c r="CS30" i="16"/>
  <c r="CS11" i="16"/>
  <c r="CS29" i="16"/>
  <c r="CS21" i="16"/>
  <c r="CS14" i="16"/>
  <c r="CS27" i="16"/>
  <c r="CS20" i="16"/>
  <c r="CS44" i="16"/>
  <c r="CS5" i="16"/>
  <c r="CS6" i="16"/>
  <c r="CS13" i="16"/>
  <c r="CT2" i="16"/>
  <c r="CU2" i="16" s="1"/>
  <c r="CS4" i="16"/>
  <c r="CO59" i="14"/>
  <c r="CO61" i="14"/>
  <c r="CO53" i="14"/>
  <c r="CO60" i="14"/>
  <c r="CO43" i="14"/>
  <c r="CO52" i="14"/>
  <c r="CO45" i="14"/>
  <c r="CO44" i="14"/>
  <c r="CO35" i="14"/>
  <c r="CO36" i="14"/>
  <c r="CO27" i="14"/>
  <c r="CO37" i="14"/>
  <c r="CO28" i="14"/>
  <c r="CO29" i="14"/>
  <c r="CO21" i="14"/>
  <c r="CO4" i="14"/>
  <c r="CO5" i="14"/>
  <c r="CO19" i="14"/>
  <c r="CO20" i="14"/>
  <c r="CO3" i="14"/>
  <c r="CO11" i="14"/>
  <c r="CP2" i="14"/>
  <c r="CO12" i="14"/>
  <c r="CO13" i="14"/>
  <c r="BX60" i="5"/>
  <c r="BX52" i="5"/>
  <c r="BX43" i="5"/>
  <c r="BW8" i="5"/>
  <c r="BX14" i="5"/>
  <c r="BX13" i="5"/>
  <c r="BX6" i="5"/>
  <c r="BX5" i="5"/>
  <c r="BX27" i="5"/>
  <c r="BX28" i="5"/>
  <c r="BX44" i="5"/>
  <c r="BX12" i="5"/>
  <c r="BX11" i="5"/>
  <c r="BX35" i="5"/>
  <c r="BX36" i="5"/>
  <c r="BX30" i="5"/>
  <c r="BX20" i="5"/>
  <c r="BX3" i="5"/>
  <c r="BX19" i="5"/>
  <c r="BX4" i="5"/>
  <c r="BX22" i="5"/>
  <c r="BY2" i="5"/>
  <c r="BW16" i="5"/>
  <c r="BY3" i="8"/>
  <c r="BY4" i="8"/>
  <c r="BY6" i="8"/>
  <c r="CY24" i="15" l="1"/>
  <c r="CY40" i="15"/>
  <c r="CS40" i="16"/>
  <c r="CY16" i="15"/>
  <c r="CZ71" i="15"/>
  <c r="CZ63" i="15"/>
  <c r="CZ47" i="15"/>
  <c r="CZ39" i="15"/>
  <c r="CZ55" i="15"/>
  <c r="CZ23" i="15"/>
  <c r="CZ15" i="15"/>
  <c r="CZ31" i="15"/>
  <c r="CZ7" i="15"/>
  <c r="CZ59" i="15"/>
  <c r="CZ38" i="15"/>
  <c r="CZ44" i="15"/>
  <c r="CZ30" i="15"/>
  <c r="CZ36" i="15"/>
  <c r="CZ12" i="15"/>
  <c r="DA2" i="15"/>
  <c r="CZ67" i="15"/>
  <c r="CZ51" i="15"/>
  <c r="CZ43" i="15"/>
  <c r="CZ27" i="15"/>
  <c r="CZ21" i="15"/>
  <c r="CZ29" i="15"/>
  <c r="CZ11" i="15"/>
  <c r="CZ5" i="15"/>
  <c r="CZ53" i="15"/>
  <c r="CZ35" i="15"/>
  <c r="CZ22" i="15"/>
  <c r="CZ28" i="15"/>
  <c r="CZ3" i="15"/>
  <c r="CZ13" i="15"/>
  <c r="CZ14" i="15"/>
  <c r="CZ60" i="15"/>
  <c r="CZ52" i="15"/>
  <c r="CZ37" i="15"/>
  <c r="CZ6" i="15"/>
  <c r="CZ19" i="15"/>
  <c r="CZ20" i="15"/>
  <c r="CZ68" i="15"/>
  <c r="CZ45" i="15"/>
  <c r="CZ4" i="15"/>
  <c r="CY32" i="15"/>
  <c r="CY8" i="15"/>
  <c r="CS32" i="16"/>
  <c r="CS24" i="16"/>
  <c r="CS16" i="16"/>
  <c r="CV2" i="16"/>
  <c r="CU7" i="16"/>
  <c r="CU46" i="16"/>
  <c r="CU63" i="16"/>
  <c r="CU14" i="16"/>
  <c r="CU6" i="16"/>
  <c r="CU21" i="16"/>
  <c r="CU19" i="16"/>
  <c r="CU20" i="16"/>
  <c r="CU22" i="16"/>
  <c r="CU30" i="16"/>
  <c r="CU38" i="16"/>
  <c r="CU11" i="16"/>
  <c r="CU27" i="16"/>
  <c r="CU35" i="16"/>
  <c r="CU13" i="16"/>
  <c r="CU45" i="16"/>
  <c r="CU36" i="16"/>
  <c r="CU12" i="16"/>
  <c r="CU4" i="16"/>
  <c r="CU37" i="16"/>
  <c r="CU43" i="16"/>
  <c r="CU28" i="16"/>
  <c r="CU29" i="16"/>
  <c r="CU5" i="16"/>
  <c r="CU52" i="16"/>
  <c r="CU44" i="16"/>
  <c r="CT63" i="16"/>
  <c r="CT7" i="16"/>
  <c r="BW51" i="9"/>
  <c r="BW42" i="9"/>
  <c r="BW19" i="9"/>
  <c r="BW50" i="9"/>
  <c r="BW58" i="9"/>
  <c r="BW49" i="9"/>
  <c r="BW57" i="9"/>
  <c r="BW20" i="9"/>
  <c r="BW43" i="9"/>
  <c r="BW35" i="9"/>
  <c r="BW36" i="9"/>
  <c r="BW25" i="9"/>
  <c r="BW26" i="9"/>
  <c r="BW27" i="9"/>
  <c r="BW28" i="9"/>
  <c r="BW33" i="9"/>
  <c r="BW34" i="9"/>
  <c r="BW4" i="9"/>
  <c r="BW41" i="9"/>
  <c r="BW12" i="9"/>
  <c r="BW11" i="9"/>
  <c r="BW10" i="9"/>
  <c r="BW9" i="9"/>
  <c r="BW18" i="9"/>
  <c r="BW17" i="9"/>
  <c r="BW59" i="9"/>
  <c r="BW3" i="9"/>
  <c r="BX1" i="9"/>
  <c r="BW5" i="9"/>
  <c r="BW2" i="9"/>
  <c r="BV38" i="9"/>
  <c r="BT21" i="12"/>
  <c r="BT12" i="12"/>
  <c r="BT13" i="12"/>
  <c r="BT11" i="12"/>
  <c r="BT10" i="12"/>
  <c r="BT20" i="12"/>
  <c r="BS39" i="12"/>
  <c r="BT19" i="12"/>
  <c r="BT18" i="12"/>
  <c r="BT29" i="12"/>
  <c r="BT28" i="12"/>
  <c r="BT27" i="12"/>
  <c r="BT26" i="12"/>
  <c r="BT37" i="12"/>
  <c r="BT36" i="12"/>
  <c r="BT35" i="12"/>
  <c r="BT34" i="12"/>
  <c r="BT44" i="12"/>
  <c r="BT43" i="12"/>
  <c r="BT42" i="12"/>
  <c r="BT52" i="12"/>
  <c r="BT51" i="12"/>
  <c r="BT50" i="12"/>
  <c r="BT5" i="12"/>
  <c r="BT4" i="12"/>
  <c r="BT3" i="12"/>
  <c r="BT2" i="12"/>
  <c r="BU1" i="12"/>
  <c r="CT45" i="16"/>
  <c r="CT43" i="16"/>
  <c r="CT52" i="16"/>
  <c r="CT35" i="16"/>
  <c r="CT38" i="16"/>
  <c r="CT37" i="16"/>
  <c r="CT19" i="16"/>
  <c r="CT22" i="16"/>
  <c r="CT44" i="16"/>
  <c r="CT30" i="16"/>
  <c r="CT11" i="16"/>
  <c r="CT29" i="16"/>
  <c r="CT21" i="16"/>
  <c r="CT14" i="16"/>
  <c r="CT27" i="16"/>
  <c r="CT20" i="16"/>
  <c r="CT13" i="16"/>
  <c r="CT28" i="16"/>
  <c r="CT6" i="16"/>
  <c r="CT4" i="16"/>
  <c r="CT12" i="16"/>
  <c r="CT5" i="16"/>
  <c r="CT36" i="16"/>
  <c r="CP60" i="14"/>
  <c r="CP59" i="14"/>
  <c r="CP61" i="14"/>
  <c r="CP53" i="14"/>
  <c r="CP52" i="14"/>
  <c r="CP43" i="14"/>
  <c r="CP45" i="14"/>
  <c r="CP44" i="14"/>
  <c r="CP35" i="14"/>
  <c r="CP36" i="14"/>
  <c r="CP27" i="14"/>
  <c r="CP37" i="14"/>
  <c r="CP28" i="14"/>
  <c r="CP29" i="14"/>
  <c r="CQ2" i="14"/>
  <c r="CP21" i="14"/>
  <c r="CP4" i="14"/>
  <c r="CP19" i="14"/>
  <c r="CP12" i="14"/>
  <c r="CP13" i="14"/>
  <c r="CP3" i="14"/>
  <c r="CP5" i="14"/>
  <c r="CP11" i="14"/>
  <c r="CP20" i="14"/>
  <c r="BY43" i="5"/>
  <c r="BY60" i="5"/>
  <c r="BY52" i="5"/>
  <c r="BY11" i="5"/>
  <c r="BY6" i="5"/>
  <c r="BY14" i="5"/>
  <c r="BY19" i="5"/>
  <c r="BY3" i="5"/>
  <c r="BY36" i="5"/>
  <c r="BY12" i="5"/>
  <c r="BY4" i="5"/>
  <c r="BY20" i="5"/>
  <c r="BY5" i="5"/>
  <c r="BY35" i="5"/>
  <c r="BY27" i="5"/>
  <c r="BY44" i="5"/>
  <c r="BY30" i="5"/>
  <c r="BY28" i="5"/>
  <c r="BY22" i="5"/>
  <c r="BY13" i="5"/>
  <c r="BZ2" i="5"/>
  <c r="BX16" i="5"/>
  <c r="BX8" i="5"/>
  <c r="BZ3" i="8"/>
  <c r="BZ4" i="8"/>
  <c r="BZ6" i="8"/>
  <c r="CZ16" i="15" l="1"/>
  <c r="CZ40" i="15"/>
  <c r="CZ8" i="15"/>
  <c r="CZ24" i="15"/>
  <c r="CZ32" i="15"/>
  <c r="DA71" i="15"/>
  <c r="DA63" i="15"/>
  <c r="DA55" i="15"/>
  <c r="DA47" i="15"/>
  <c r="DA31" i="15"/>
  <c r="DA23" i="15"/>
  <c r="DA39" i="15"/>
  <c r="DA7" i="15"/>
  <c r="DA15" i="15"/>
  <c r="DA68" i="15"/>
  <c r="DA45" i="15"/>
  <c r="DA36" i="15"/>
  <c r="DA29" i="15"/>
  <c r="DA12" i="15"/>
  <c r="DA11" i="15"/>
  <c r="DA3" i="15"/>
  <c r="DA6" i="15"/>
  <c r="DA51" i="15"/>
  <c r="DA60" i="15"/>
  <c r="DA44" i="15"/>
  <c r="DA35" i="15"/>
  <c r="DA52" i="15"/>
  <c r="DA14" i="15"/>
  <c r="DA21" i="15"/>
  <c r="DA53" i="15"/>
  <c r="DA5" i="15"/>
  <c r="DA59" i="15"/>
  <c r="DA37" i="15"/>
  <c r="DA28" i="15"/>
  <c r="DA30" i="15"/>
  <c r="DA20" i="15"/>
  <c r="DA4" i="15"/>
  <c r="DA67" i="15"/>
  <c r="DA43" i="15"/>
  <c r="DA38" i="15"/>
  <c r="DA13" i="15"/>
  <c r="DA27" i="15"/>
  <c r="DA19" i="15"/>
  <c r="DB2" i="15"/>
  <c r="DA22" i="15"/>
  <c r="CT40" i="16"/>
  <c r="CT32" i="16"/>
  <c r="CU40" i="16"/>
  <c r="CT24" i="16"/>
  <c r="CU32" i="16"/>
  <c r="CU24" i="16"/>
  <c r="CT16" i="16"/>
  <c r="CU16" i="16"/>
  <c r="CU48" i="16"/>
  <c r="CV46" i="16"/>
  <c r="CV63" i="16"/>
  <c r="CW2" i="16"/>
  <c r="CV7" i="16"/>
  <c r="CV14" i="16"/>
  <c r="CV6" i="16"/>
  <c r="CV19" i="16"/>
  <c r="CV21" i="16"/>
  <c r="CV20" i="16"/>
  <c r="CV38" i="16"/>
  <c r="CV22" i="16"/>
  <c r="CV30" i="16"/>
  <c r="CV27" i="16"/>
  <c r="CV35" i="16"/>
  <c r="CV13" i="16"/>
  <c r="CV11" i="16"/>
  <c r="CV45" i="16"/>
  <c r="CV4" i="16"/>
  <c r="CV36" i="16"/>
  <c r="CV29" i="16"/>
  <c r="CV28" i="16"/>
  <c r="CV5" i="16"/>
  <c r="CV37" i="16"/>
  <c r="CV43" i="16"/>
  <c r="CV12" i="16"/>
  <c r="CV52" i="16"/>
  <c r="CV44" i="16"/>
  <c r="BX19" i="9"/>
  <c r="BX50" i="9"/>
  <c r="BX2" i="9"/>
  <c r="BX3" i="9"/>
  <c r="BX51" i="9"/>
  <c r="BX58" i="9"/>
  <c r="BX42" i="9"/>
  <c r="BX59" i="9"/>
  <c r="BX49" i="9"/>
  <c r="BX57" i="9"/>
  <c r="BX20" i="9"/>
  <c r="BX43" i="9"/>
  <c r="BX35" i="9"/>
  <c r="BX36" i="9"/>
  <c r="BX25" i="9"/>
  <c r="BX26" i="9"/>
  <c r="BX27" i="9"/>
  <c r="BX28" i="9"/>
  <c r="BX33" i="9"/>
  <c r="BX34" i="9"/>
  <c r="BX4" i="9"/>
  <c r="BX41" i="9"/>
  <c r="BX12" i="9"/>
  <c r="BX10" i="9"/>
  <c r="BX9" i="9"/>
  <c r="BX18" i="9"/>
  <c r="BX17" i="9"/>
  <c r="BY1" i="9"/>
  <c r="BX5" i="9"/>
  <c r="BX11" i="9"/>
  <c r="BW38" i="9"/>
  <c r="BT39" i="12"/>
  <c r="BU13" i="12"/>
  <c r="BU12" i="12"/>
  <c r="BU11" i="12"/>
  <c r="BU10" i="12"/>
  <c r="BU21" i="12"/>
  <c r="BU20" i="12"/>
  <c r="BU19" i="12"/>
  <c r="BU18" i="12"/>
  <c r="BU29" i="12"/>
  <c r="BU28" i="12"/>
  <c r="BU27" i="12"/>
  <c r="BU26" i="12"/>
  <c r="BU37" i="12"/>
  <c r="BU36" i="12"/>
  <c r="BU35" i="12"/>
  <c r="BU34" i="12"/>
  <c r="BU44" i="12"/>
  <c r="BU43" i="12"/>
  <c r="BU42" i="12"/>
  <c r="BU52" i="12"/>
  <c r="BU51" i="12"/>
  <c r="BU50" i="12"/>
  <c r="BU5" i="12"/>
  <c r="BU4" i="12"/>
  <c r="BU3" i="12"/>
  <c r="BU2" i="12"/>
  <c r="BV1" i="12"/>
  <c r="CQ59" i="14"/>
  <c r="CQ60" i="14"/>
  <c r="CQ61" i="14"/>
  <c r="CQ53" i="14"/>
  <c r="CQ52" i="14"/>
  <c r="CQ44" i="14"/>
  <c r="CQ43" i="14"/>
  <c r="CQ37" i="14"/>
  <c r="CQ45" i="14"/>
  <c r="CQ35" i="14"/>
  <c r="CQ36" i="14"/>
  <c r="CQ27" i="14"/>
  <c r="CQ28" i="14"/>
  <c r="CQ29" i="14"/>
  <c r="CQ20" i="14"/>
  <c r="CQ3" i="14"/>
  <c r="CR2" i="14"/>
  <c r="CQ21" i="14"/>
  <c r="CQ4" i="14"/>
  <c r="CQ19" i="14"/>
  <c r="CQ12" i="14"/>
  <c r="CQ13" i="14"/>
  <c r="CQ5" i="14"/>
  <c r="CQ11" i="14"/>
  <c r="BZ52" i="5"/>
  <c r="BZ43" i="5"/>
  <c r="BZ60" i="5"/>
  <c r="BZ5" i="5"/>
  <c r="BZ27" i="5"/>
  <c r="BZ4" i="5"/>
  <c r="BZ12" i="5"/>
  <c r="BZ11" i="5"/>
  <c r="BZ13" i="5"/>
  <c r="BZ22" i="5"/>
  <c r="BZ19" i="5"/>
  <c r="BZ28" i="5"/>
  <c r="BZ30" i="5"/>
  <c r="BZ44" i="5"/>
  <c r="BZ35" i="5"/>
  <c r="BZ36" i="5"/>
  <c r="BZ14" i="5"/>
  <c r="BZ3" i="5"/>
  <c r="BZ6" i="5"/>
  <c r="BZ20" i="5"/>
  <c r="CA2" i="5"/>
  <c r="BY8" i="5"/>
  <c r="BY16" i="5"/>
  <c r="CA3" i="8"/>
  <c r="CA4" i="8"/>
  <c r="CA6" i="8"/>
  <c r="DA32" i="15" l="1"/>
  <c r="DA16" i="15"/>
  <c r="DB71" i="15"/>
  <c r="DB63" i="15"/>
  <c r="DB55" i="15"/>
  <c r="DB47" i="15"/>
  <c r="DB39" i="15"/>
  <c r="DB31" i="15"/>
  <c r="DB23" i="15"/>
  <c r="DB15" i="15"/>
  <c r="DB7" i="15"/>
  <c r="DB67" i="15"/>
  <c r="DB62" i="15"/>
  <c r="DB54" i="15"/>
  <c r="DB35" i="15"/>
  <c r="DB28" i="15"/>
  <c r="DB11" i="15"/>
  <c r="DB46" i="15"/>
  <c r="DB14" i="15"/>
  <c r="DC2" i="15"/>
  <c r="DB68" i="15"/>
  <c r="DB51" i="15"/>
  <c r="DB30" i="15"/>
  <c r="DB6" i="15"/>
  <c r="DB19" i="15"/>
  <c r="DB29" i="15"/>
  <c r="DB22" i="15"/>
  <c r="DB20" i="15"/>
  <c r="DB13" i="15"/>
  <c r="DB59" i="15"/>
  <c r="DB70" i="15"/>
  <c r="DB53" i="15"/>
  <c r="DB37" i="15"/>
  <c r="DB43" i="15"/>
  <c r="DB45" i="15"/>
  <c r="DB5" i="15"/>
  <c r="DB21" i="15"/>
  <c r="DB4" i="15"/>
  <c r="DB3" i="15"/>
  <c r="DB60" i="15"/>
  <c r="DB52" i="15"/>
  <c r="DB44" i="15"/>
  <c r="DB38" i="15"/>
  <c r="DB27" i="15"/>
  <c r="DB36" i="15"/>
  <c r="DB12" i="15"/>
  <c r="DA24" i="15"/>
  <c r="DA40" i="15"/>
  <c r="DA8" i="15"/>
  <c r="CV40" i="16"/>
  <c r="CV32" i="16"/>
  <c r="CV24" i="16"/>
  <c r="CV16" i="16"/>
  <c r="CV48" i="16"/>
  <c r="CX2" i="16"/>
  <c r="CW7" i="16"/>
  <c r="CW63" i="16"/>
  <c r="CW46" i="16"/>
  <c r="CW14" i="16"/>
  <c r="CW6" i="16"/>
  <c r="CW21" i="16"/>
  <c r="CW20" i="16"/>
  <c r="CW19" i="16"/>
  <c r="CW22" i="16"/>
  <c r="CW38" i="16"/>
  <c r="CW30" i="16"/>
  <c r="CW35" i="16"/>
  <c r="CW13" i="16"/>
  <c r="CW45" i="16"/>
  <c r="CW11" i="16"/>
  <c r="CW27" i="16"/>
  <c r="CW28" i="16"/>
  <c r="CW43" i="16"/>
  <c r="CW5" i="16"/>
  <c r="CW37" i="16"/>
  <c r="CW36" i="16"/>
  <c r="CW29" i="16"/>
  <c r="CW12" i="16"/>
  <c r="CW4" i="16"/>
  <c r="CW52" i="16"/>
  <c r="CW44" i="16"/>
  <c r="BX38" i="9"/>
  <c r="BY28" i="9"/>
  <c r="BY33" i="9"/>
  <c r="BY51" i="9"/>
  <c r="BY43" i="9"/>
  <c r="BY58" i="9"/>
  <c r="BY42" i="9"/>
  <c r="BY50" i="9"/>
  <c r="BY49" i="9"/>
  <c r="BY57" i="9"/>
  <c r="BY20" i="9"/>
  <c r="BY35" i="9"/>
  <c r="BY36" i="9"/>
  <c r="BY4" i="9"/>
  <c r="BY25" i="9"/>
  <c r="BY26" i="9"/>
  <c r="BY27" i="9"/>
  <c r="BY34" i="9"/>
  <c r="BY41" i="9"/>
  <c r="BY12" i="9"/>
  <c r="BY11" i="9"/>
  <c r="BY10" i="9"/>
  <c r="BY9" i="9"/>
  <c r="BY19" i="9"/>
  <c r="BY18" i="9"/>
  <c r="BY17" i="9"/>
  <c r="BY59" i="9"/>
  <c r="BZ1" i="9"/>
  <c r="BZ57" i="9" s="1"/>
  <c r="BY3" i="9"/>
  <c r="BY2" i="9"/>
  <c r="BY5" i="9"/>
  <c r="BU39" i="12"/>
  <c r="BV59" i="12"/>
  <c r="BV13" i="12"/>
  <c r="BV12" i="12"/>
  <c r="BV11" i="12"/>
  <c r="BV10" i="12"/>
  <c r="BV21" i="12"/>
  <c r="BV20" i="12"/>
  <c r="BV19" i="12"/>
  <c r="BV18" i="12"/>
  <c r="BV29" i="12"/>
  <c r="BV28" i="12"/>
  <c r="BV27" i="12"/>
  <c r="BV26" i="12"/>
  <c r="BV37" i="12"/>
  <c r="BV36" i="12"/>
  <c r="BV35" i="12"/>
  <c r="BV34" i="12"/>
  <c r="BV44" i="12"/>
  <c r="BV43" i="12"/>
  <c r="BV42" i="12"/>
  <c r="BV52" i="12"/>
  <c r="BV51" i="12"/>
  <c r="BV50" i="12"/>
  <c r="BV5" i="12"/>
  <c r="BV4" i="12"/>
  <c r="BV3" i="12"/>
  <c r="BV2" i="12"/>
  <c r="BW1" i="12"/>
  <c r="CR61" i="14"/>
  <c r="CR60" i="14"/>
  <c r="CR59" i="14"/>
  <c r="CR53" i="14"/>
  <c r="CR52" i="14"/>
  <c r="CR44" i="14"/>
  <c r="CR43" i="14"/>
  <c r="CR45" i="14"/>
  <c r="CR36" i="14"/>
  <c r="CR37" i="14"/>
  <c r="CR35" i="14"/>
  <c r="CR27" i="14"/>
  <c r="CR28" i="14"/>
  <c r="CR20" i="14"/>
  <c r="CR3" i="14"/>
  <c r="CS2" i="14"/>
  <c r="CR29" i="14"/>
  <c r="CR21" i="14"/>
  <c r="CR5" i="14"/>
  <c r="CR12" i="14"/>
  <c r="CR13" i="14"/>
  <c r="CR11" i="14"/>
  <c r="CR19" i="14"/>
  <c r="CR4" i="14"/>
  <c r="CA52" i="5"/>
  <c r="CA43" i="5"/>
  <c r="CA60" i="5"/>
  <c r="CA44" i="5"/>
  <c r="CA30" i="5"/>
  <c r="CA13" i="5"/>
  <c r="CA22" i="5"/>
  <c r="CA14" i="5"/>
  <c r="CA4" i="5"/>
  <c r="CA12" i="5"/>
  <c r="CA6" i="5"/>
  <c r="CA20" i="5"/>
  <c r="CA19" i="5"/>
  <c r="CA28" i="5"/>
  <c r="CA5" i="5"/>
  <c r="CA35" i="5"/>
  <c r="CA3" i="5"/>
  <c r="CA36" i="5"/>
  <c r="CA27" i="5"/>
  <c r="CA11" i="5"/>
  <c r="CB2" i="5"/>
  <c r="BZ16" i="5"/>
  <c r="BZ8" i="5"/>
  <c r="CB3" i="8"/>
  <c r="CB4" i="8"/>
  <c r="CB6" i="8"/>
  <c r="DB8" i="15" l="1"/>
  <c r="DB24" i="15"/>
  <c r="DB16" i="15"/>
  <c r="CW48" i="16"/>
  <c r="DB32" i="15"/>
  <c r="DC71" i="15"/>
  <c r="DC63" i="15"/>
  <c r="DC39" i="15"/>
  <c r="DC55" i="15"/>
  <c r="DC47" i="15"/>
  <c r="DC31" i="15"/>
  <c r="DC23" i="15"/>
  <c r="DC15" i="15"/>
  <c r="DC7" i="15"/>
  <c r="DC70" i="15"/>
  <c r="DC59" i="15"/>
  <c r="DC68" i="15"/>
  <c r="DC51" i="15"/>
  <c r="DC54" i="15"/>
  <c r="DC28" i="15"/>
  <c r="DC27" i="15"/>
  <c r="DC4" i="15"/>
  <c r="DD2" i="15"/>
  <c r="DC61" i="15"/>
  <c r="DC53" i="15"/>
  <c r="DC45" i="15"/>
  <c r="DC43" i="15"/>
  <c r="DC20" i="15"/>
  <c r="DC13" i="15"/>
  <c r="DC6" i="15"/>
  <c r="DC12" i="15"/>
  <c r="DC37" i="15"/>
  <c r="DC60" i="15"/>
  <c r="DC62" i="15"/>
  <c r="DC35" i="15"/>
  <c r="DC36" i="15"/>
  <c r="DC44" i="15"/>
  <c r="DC5" i="15"/>
  <c r="DC29" i="15"/>
  <c r="DC22" i="15"/>
  <c r="DC19" i="15"/>
  <c r="DC69" i="15"/>
  <c r="DC67" i="15"/>
  <c r="DC52" i="15"/>
  <c r="DC46" i="15"/>
  <c r="DC14" i="15"/>
  <c r="DC21" i="15"/>
  <c r="DC11" i="15"/>
  <c r="DC3" i="15"/>
  <c r="DC30" i="15"/>
  <c r="DC38" i="15"/>
  <c r="DB40" i="15"/>
  <c r="DB48" i="15"/>
  <c r="DB56" i="15"/>
  <c r="CW40" i="16"/>
  <c r="CW32" i="16"/>
  <c r="CW24" i="16"/>
  <c r="CW16" i="16"/>
  <c r="CX7" i="16"/>
  <c r="CY2" i="16"/>
  <c r="CX46" i="16"/>
  <c r="CX63" i="16"/>
  <c r="CX14" i="16"/>
  <c r="CX6" i="16"/>
  <c r="CX20" i="16"/>
  <c r="CX21" i="16"/>
  <c r="CX19" i="16"/>
  <c r="CX30" i="16"/>
  <c r="CX38" i="16"/>
  <c r="CX22" i="16"/>
  <c r="CX13" i="16"/>
  <c r="CX45" i="16"/>
  <c r="CX11" i="16"/>
  <c r="CX27" i="16"/>
  <c r="CX35" i="16"/>
  <c r="CX28" i="16"/>
  <c r="CX5" i="16"/>
  <c r="CX37" i="16"/>
  <c r="CX36" i="16"/>
  <c r="CX29" i="16"/>
  <c r="CX12" i="16"/>
  <c r="CX4" i="16"/>
  <c r="CX43" i="16"/>
  <c r="CX52" i="16"/>
  <c r="CX44" i="16"/>
  <c r="BZ33" i="9"/>
  <c r="BZ26" i="9"/>
  <c r="BZ41" i="9"/>
  <c r="BZ4" i="9"/>
  <c r="BZ28" i="9"/>
  <c r="BZ36" i="9"/>
  <c r="BZ25" i="9"/>
  <c r="BZ35" i="9"/>
  <c r="BZ49" i="9"/>
  <c r="BZ20" i="9"/>
  <c r="BZ51" i="9"/>
  <c r="BZ42" i="9"/>
  <c r="BZ50" i="9"/>
  <c r="BZ44" i="9"/>
  <c r="BZ12" i="9"/>
  <c r="BZ11" i="9"/>
  <c r="BZ10" i="9"/>
  <c r="BZ9" i="9"/>
  <c r="BZ19" i="9"/>
  <c r="BZ18" i="9"/>
  <c r="BZ17" i="9"/>
  <c r="BZ59" i="9"/>
  <c r="CA1" i="9"/>
  <c r="CA18" i="9" s="1"/>
  <c r="BZ3" i="9"/>
  <c r="BZ5" i="9"/>
  <c r="BZ2" i="9"/>
  <c r="BZ34" i="9"/>
  <c r="BZ58" i="9"/>
  <c r="BZ43" i="9"/>
  <c r="BZ27" i="9"/>
  <c r="BY38" i="9"/>
  <c r="BW59" i="12"/>
  <c r="BW13" i="12"/>
  <c r="BW12" i="12"/>
  <c r="BW11" i="12"/>
  <c r="BV39" i="12"/>
  <c r="BW10" i="12"/>
  <c r="BW21" i="12"/>
  <c r="BW20" i="12"/>
  <c r="BW19" i="12"/>
  <c r="BW18" i="12"/>
  <c r="BW29" i="12"/>
  <c r="BW28" i="12"/>
  <c r="BW27" i="12"/>
  <c r="BW26" i="12"/>
  <c r="BW37" i="12"/>
  <c r="BW36" i="12"/>
  <c r="BW35" i="12"/>
  <c r="BW34" i="12"/>
  <c r="BW44" i="12"/>
  <c r="BW43" i="12"/>
  <c r="BW42" i="12"/>
  <c r="BW52" i="12"/>
  <c r="BW51" i="12"/>
  <c r="BW50" i="12"/>
  <c r="BW5" i="12"/>
  <c r="BW4" i="12"/>
  <c r="BW3" i="12"/>
  <c r="BW2" i="12"/>
  <c r="BX1" i="12"/>
  <c r="CS60" i="14"/>
  <c r="CS59" i="14"/>
  <c r="CS52" i="14"/>
  <c r="CS61" i="14"/>
  <c r="CS53" i="14"/>
  <c r="CS44" i="14"/>
  <c r="CS35" i="14"/>
  <c r="CS36" i="14"/>
  <c r="CS37" i="14"/>
  <c r="CS45" i="14"/>
  <c r="CS43" i="14"/>
  <c r="CS29" i="14"/>
  <c r="CS27" i="14"/>
  <c r="CS28" i="14"/>
  <c r="CS19" i="14"/>
  <c r="CS12" i="14"/>
  <c r="CS20" i="14"/>
  <c r="CS3" i="14"/>
  <c r="CS21" i="14"/>
  <c r="CS5" i="14"/>
  <c r="CS4" i="14"/>
  <c r="CS13" i="14"/>
  <c r="CS11" i="14"/>
  <c r="CB52" i="5"/>
  <c r="CB43" i="5"/>
  <c r="CB45" i="5"/>
  <c r="CB60" i="5"/>
  <c r="CB68" i="5"/>
  <c r="CA16" i="5"/>
  <c r="CA8" i="5"/>
  <c r="CB14" i="5"/>
  <c r="CB13" i="5"/>
  <c r="CB35" i="5"/>
  <c r="CB22" i="5"/>
  <c r="CB21" i="5"/>
  <c r="CB12" i="5"/>
  <c r="CB36" i="5"/>
  <c r="CB28" i="5"/>
  <c r="CB44" i="5"/>
  <c r="CB19" i="5"/>
  <c r="CB11" i="5"/>
  <c r="CB3" i="5"/>
  <c r="CB5" i="5"/>
  <c r="CB6" i="5"/>
  <c r="CB4" i="5"/>
  <c r="CB20" i="5"/>
  <c r="CB30" i="5"/>
  <c r="CB37" i="5"/>
  <c r="CB27" i="5"/>
  <c r="CC2" i="5"/>
  <c r="CC3" i="8"/>
  <c r="CC4" i="8"/>
  <c r="CC6" i="8"/>
  <c r="DC72" i="15" l="1"/>
  <c r="DC8" i="15"/>
  <c r="DC24" i="15"/>
  <c r="DC32" i="15"/>
  <c r="DC16" i="15"/>
  <c r="DC64" i="15"/>
  <c r="DC40" i="15"/>
  <c r="DC48" i="15"/>
  <c r="DD71" i="15"/>
  <c r="DD63" i="15"/>
  <c r="DD47" i="15"/>
  <c r="DD39" i="15"/>
  <c r="DD55" i="15"/>
  <c r="DD15" i="15"/>
  <c r="DD31" i="15"/>
  <c r="DD23" i="15"/>
  <c r="DD7" i="15"/>
  <c r="DD70" i="15"/>
  <c r="DD51" i="15"/>
  <c r="DD68" i="15"/>
  <c r="DD36" i="15"/>
  <c r="DD38" i="15"/>
  <c r="DD12" i="15"/>
  <c r="DD6" i="15"/>
  <c r="DE2" i="15"/>
  <c r="DD21" i="15"/>
  <c r="DD60" i="15"/>
  <c r="DD59" i="15"/>
  <c r="DD45" i="15"/>
  <c r="DD29" i="15"/>
  <c r="DD46" i="15"/>
  <c r="DD28" i="15"/>
  <c r="DD5" i="15"/>
  <c r="DD19" i="15"/>
  <c r="DD3" i="15"/>
  <c r="DD62" i="15"/>
  <c r="DD67" i="15"/>
  <c r="DD37" i="15"/>
  <c r="DD22" i="15"/>
  <c r="DD11" i="15"/>
  <c r="DD52" i="15"/>
  <c r="DD20" i="15"/>
  <c r="DD30" i="15"/>
  <c r="DD35" i="15"/>
  <c r="DD69" i="15"/>
  <c r="DD61" i="15"/>
  <c r="DD54" i="15"/>
  <c r="DD53" i="15"/>
  <c r="DD13" i="15"/>
  <c r="DD4" i="15"/>
  <c r="DD44" i="15"/>
  <c r="DD43" i="15"/>
  <c r="DD14" i="15"/>
  <c r="DD27" i="15"/>
  <c r="DC56" i="15"/>
  <c r="CX40" i="16"/>
  <c r="CX24" i="16"/>
  <c r="CX32" i="16"/>
  <c r="CX16" i="16"/>
  <c r="CZ2" i="16"/>
  <c r="CY7" i="16"/>
  <c r="CY46" i="16"/>
  <c r="CY63" i="16"/>
  <c r="CY14" i="16"/>
  <c r="CY6" i="16"/>
  <c r="CY21" i="16"/>
  <c r="CY19" i="16"/>
  <c r="CY20" i="16"/>
  <c r="CY30" i="16"/>
  <c r="CY38" i="16"/>
  <c r="CY22" i="16"/>
  <c r="CY11" i="16"/>
  <c r="CY27" i="16"/>
  <c r="CY35" i="16"/>
  <c r="CY13" i="16"/>
  <c r="CY45" i="16"/>
  <c r="CY36" i="16"/>
  <c r="CY29" i="16"/>
  <c r="CY12" i="16"/>
  <c r="CY4" i="16"/>
  <c r="CY28" i="16"/>
  <c r="CY5" i="16"/>
  <c r="CY37" i="16"/>
  <c r="CY43" i="16"/>
  <c r="CY44" i="16"/>
  <c r="CY52" i="16"/>
  <c r="CX48" i="16"/>
  <c r="BZ38" i="9"/>
  <c r="CA35" i="9"/>
  <c r="CA12" i="9"/>
  <c r="CA4" i="9"/>
  <c r="CA34" i="9"/>
  <c r="CA41" i="9"/>
  <c r="CA9" i="9"/>
  <c r="CA49" i="9"/>
  <c r="CA20" i="9"/>
  <c r="CA44" i="9"/>
  <c r="CA57" i="9"/>
  <c r="CA10" i="9"/>
  <c r="CA36" i="9"/>
  <c r="CA51" i="9"/>
  <c r="CA11" i="9"/>
  <c r="CA42" i="9"/>
  <c r="CA43" i="9"/>
  <c r="CA25" i="9"/>
  <c r="CA27" i="9"/>
  <c r="CA33" i="9"/>
  <c r="CA50" i="9"/>
  <c r="CA28" i="9"/>
  <c r="CA58" i="9"/>
  <c r="CA19" i="9"/>
  <c r="CA26" i="9"/>
  <c r="BZ46" i="9"/>
  <c r="CA17" i="9"/>
  <c r="CA59" i="9"/>
  <c r="CB1" i="9"/>
  <c r="CB51" i="9" s="1"/>
  <c r="CA2" i="9"/>
  <c r="CA5" i="9"/>
  <c r="CA3" i="9"/>
  <c r="BW39" i="12"/>
  <c r="BX59" i="12"/>
  <c r="BX13" i="12"/>
  <c r="BX12" i="12"/>
  <c r="BX11" i="12"/>
  <c r="BX10" i="12"/>
  <c r="BX21" i="12"/>
  <c r="BX20" i="12"/>
  <c r="BX19" i="12"/>
  <c r="BX18" i="12"/>
  <c r="BX29" i="12"/>
  <c r="BX28" i="12"/>
  <c r="BX27" i="12"/>
  <c r="BX26" i="12"/>
  <c r="BX37" i="12"/>
  <c r="BX36" i="12"/>
  <c r="BX35" i="12"/>
  <c r="BX34" i="12"/>
  <c r="BX45" i="12"/>
  <c r="BX44" i="12"/>
  <c r="BX43" i="12"/>
  <c r="BX42" i="12"/>
  <c r="BX52" i="12"/>
  <c r="BX51" i="12"/>
  <c r="BX50" i="12"/>
  <c r="BX5" i="12"/>
  <c r="BX4" i="12"/>
  <c r="BX3" i="12"/>
  <c r="BX2" i="12"/>
  <c r="BY1" i="12"/>
  <c r="CC52" i="5"/>
  <c r="CC43" i="5"/>
  <c r="CC60" i="5"/>
  <c r="CC45" i="5"/>
  <c r="CC51" i="5"/>
  <c r="CC68" i="5"/>
  <c r="CB24" i="5"/>
  <c r="CC22" i="5"/>
  <c r="CC27" i="5"/>
  <c r="CC11" i="5"/>
  <c r="CC44" i="5"/>
  <c r="CC35" i="5"/>
  <c r="CC36" i="5"/>
  <c r="CC53" i="5"/>
  <c r="CC30" i="5"/>
  <c r="CC19" i="5"/>
  <c r="CC14" i="5"/>
  <c r="CC4" i="5"/>
  <c r="CC12" i="5"/>
  <c r="CC20" i="5"/>
  <c r="CC5" i="5"/>
  <c r="CC13" i="5"/>
  <c r="CC28" i="5"/>
  <c r="CC3" i="5"/>
  <c r="CC37" i="5"/>
  <c r="CC21" i="5"/>
  <c r="CC6" i="5"/>
  <c r="CD2" i="5"/>
  <c r="CB16" i="5"/>
  <c r="CB8" i="5"/>
  <c r="CD3" i="8"/>
  <c r="CD4" i="8"/>
  <c r="CD6" i="8"/>
  <c r="DC75" i="15" l="1"/>
  <c r="DD8" i="15"/>
  <c r="DD56" i="15"/>
  <c r="DD32" i="15"/>
  <c r="DD24" i="15"/>
  <c r="DD72" i="15"/>
  <c r="DE63" i="15"/>
  <c r="DE71" i="15"/>
  <c r="DE55" i="15"/>
  <c r="DE47" i="15"/>
  <c r="DE31" i="15"/>
  <c r="DE23" i="15"/>
  <c r="DE39" i="15"/>
  <c r="DE7" i="15"/>
  <c r="DE15" i="15"/>
  <c r="DE69" i="15"/>
  <c r="DE59" i="15"/>
  <c r="DE37" i="15"/>
  <c r="DE38" i="15"/>
  <c r="DE35" i="15"/>
  <c r="DE46" i="15"/>
  <c r="DE28" i="15"/>
  <c r="DE19" i="15"/>
  <c r="DE4" i="15"/>
  <c r="DE3" i="15"/>
  <c r="DE60" i="15"/>
  <c r="DE51" i="15"/>
  <c r="DE45" i="15"/>
  <c r="DE30" i="15"/>
  <c r="DE20" i="15"/>
  <c r="DE5" i="15"/>
  <c r="DE12" i="15"/>
  <c r="DE14" i="15"/>
  <c r="DE61" i="15"/>
  <c r="DE70" i="15"/>
  <c r="DE52" i="15"/>
  <c r="DE67" i="15"/>
  <c r="DE68" i="15"/>
  <c r="DE29" i="15"/>
  <c r="DE27" i="15"/>
  <c r="DE22" i="15"/>
  <c r="DF2" i="15"/>
  <c r="DE21" i="15"/>
  <c r="DE54" i="15"/>
  <c r="DE53" i="15"/>
  <c r="DE36" i="15"/>
  <c r="DE44" i="15"/>
  <c r="DE43" i="15"/>
  <c r="DE13" i="15"/>
  <c r="DE6" i="15"/>
  <c r="DE11" i="15"/>
  <c r="DE62" i="15"/>
  <c r="DD48" i="15"/>
  <c r="DD40" i="15"/>
  <c r="DD16" i="15"/>
  <c r="DD64" i="15"/>
  <c r="CY40" i="16"/>
  <c r="CY32" i="16"/>
  <c r="CY16" i="16"/>
  <c r="CY24" i="16"/>
  <c r="CY48" i="16"/>
  <c r="DA2" i="16"/>
  <c r="CZ7" i="16"/>
  <c r="CZ63" i="16"/>
  <c r="CZ46" i="16"/>
  <c r="CZ14" i="16"/>
  <c r="CZ6" i="16"/>
  <c r="CZ21" i="16"/>
  <c r="CZ19" i="16"/>
  <c r="CZ20" i="16"/>
  <c r="CZ38" i="16"/>
  <c r="CZ22" i="16"/>
  <c r="CZ30" i="16"/>
  <c r="CZ35" i="16"/>
  <c r="CZ27" i="16"/>
  <c r="CZ11" i="16"/>
  <c r="CZ13" i="16"/>
  <c r="CZ45" i="16"/>
  <c r="CZ29" i="16"/>
  <c r="CZ12" i="16"/>
  <c r="CZ4" i="16"/>
  <c r="CZ37" i="16"/>
  <c r="CZ43" i="16"/>
  <c r="CZ36" i="16"/>
  <c r="CZ28" i="16"/>
  <c r="CZ5" i="16"/>
  <c r="CZ52" i="16"/>
  <c r="CZ44" i="16"/>
  <c r="CA38" i="9"/>
  <c r="CA46" i="9"/>
  <c r="CB58" i="9"/>
  <c r="CB43" i="9"/>
  <c r="CB50" i="9"/>
  <c r="CB57" i="9"/>
  <c r="CB44" i="9"/>
  <c r="CB20" i="9"/>
  <c r="CB49" i="9"/>
  <c r="CB35" i="9"/>
  <c r="CB25" i="9"/>
  <c r="CB26" i="9"/>
  <c r="CB27" i="9"/>
  <c r="CB28" i="9"/>
  <c r="CB33" i="9"/>
  <c r="CB4" i="9"/>
  <c r="CB34" i="9"/>
  <c r="CB41" i="9"/>
  <c r="CB42" i="9"/>
  <c r="CB36" i="9"/>
  <c r="CB12" i="9"/>
  <c r="CB11" i="9"/>
  <c r="CB10" i="9"/>
  <c r="CB9" i="9"/>
  <c r="CB19" i="9"/>
  <c r="CB18" i="9"/>
  <c r="CB17" i="9"/>
  <c r="CB59" i="9"/>
  <c r="CB5" i="9"/>
  <c r="CB3" i="9"/>
  <c r="CC1" i="9"/>
  <c r="CC51" i="9" s="1"/>
  <c r="CB2" i="9"/>
  <c r="BX47" i="12"/>
  <c r="BY26" i="12"/>
  <c r="BY36" i="12"/>
  <c r="BY35" i="12"/>
  <c r="BY34" i="12"/>
  <c r="BY45" i="12"/>
  <c r="BY44" i="12"/>
  <c r="BY43" i="12"/>
  <c r="BY42" i="12"/>
  <c r="BY52" i="12"/>
  <c r="BY51" i="12"/>
  <c r="BY50" i="12"/>
  <c r="BY5" i="12"/>
  <c r="BY59" i="12"/>
  <c r="BY37" i="12"/>
  <c r="BY29" i="12"/>
  <c r="BY21" i="12"/>
  <c r="BY20" i="12"/>
  <c r="BY27" i="12"/>
  <c r="BY12" i="12"/>
  <c r="BY11" i="12"/>
  <c r="BY10" i="12"/>
  <c r="BY13" i="12"/>
  <c r="BY28" i="12"/>
  <c r="BY60" i="12"/>
  <c r="BY19" i="12"/>
  <c r="BY18" i="12"/>
  <c r="BY4" i="12"/>
  <c r="BY3" i="12"/>
  <c r="BY2" i="12"/>
  <c r="BZ1" i="12"/>
  <c r="BX39" i="12"/>
  <c r="CD52" i="5"/>
  <c r="CD43" i="5"/>
  <c r="CD60" i="5"/>
  <c r="CD45" i="5"/>
  <c r="CD51" i="5"/>
  <c r="CD68" i="5"/>
  <c r="CC24" i="5"/>
  <c r="CC16" i="5"/>
  <c r="CD11" i="5"/>
  <c r="CD27" i="5"/>
  <c r="CD35" i="5"/>
  <c r="CD5" i="5"/>
  <c r="CD14" i="5"/>
  <c r="CD12" i="5"/>
  <c r="CD4" i="5"/>
  <c r="CD13" i="5"/>
  <c r="CD28" i="5"/>
  <c r="CD20" i="5"/>
  <c r="CD3" i="5"/>
  <c r="CD30" i="5"/>
  <c r="CD22" i="5"/>
  <c r="CD19" i="5"/>
  <c r="CD37" i="5"/>
  <c r="CD21" i="5"/>
  <c r="CD6" i="5"/>
  <c r="CD36" i="5"/>
  <c r="CD53" i="5"/>
  <c r="CD44" i="5"/>
  <c r="CE2" i="5"/>
  <c r="CC8" i="5"/>
  <c r="CE3" i="8"/>
  <c r="CE4" i="8"/>
  <c r="CE6" i="8"/>
  <c r="DE48" i="15" l="1"/>
  <c r="DE32" i="15"/>
  <c r="DF71" i="15"/>
  <c r="DF63" i="15"/>
  <c r="DF55" i="15"/>
  <c r="DF47" i="15"/>
  <c r="DF39" i="15"/>
  <c r="DF23" i="15"/>
  <c r="DF31" i="15"/>
  <c r="DF7" i="15"/>
  <c r="DF15" i="15"/>
  <c r="DF68" i="15"/>
  <c r="DF67" i="15"/>
  <c r="DF61" i="15"/>
  <c r="DF36" i="15"/>
  <c r="DF27" i="15"/>
  <c r="DF14" i="15"/>
  <c r="DF21" i="15"/>
  <c r="DF54" i="15"/>
  <c r="DF6" i="15"/>
  <c r="DF29" i="15"/>
  <c r="DF69" i="15"/>
  <c r="DF51" i="15"/>
  <c r="DF43" i="15"/>
  <c r="DF20" i="15"/>
  <c r="DF5" i="15"/>
  <c r="DF12" i="15"/>
  <c r="DF19" i="15"/>
  <c r="DF28" i="15"/>
  <c r="DF3" i="15"/>
  <c r="DF70" i="15"/>
  <c r="DF62" i="15"/>
  <c r="DF60" i="15"/>
  <c r="DF44" i="15"/>
  <c r="DF52" i="15"/>
  <c r="DF11" i="15"/>
  <c r="DF4" i="15"/>
  <c r="DF45" i="15"/>
  <c r="DF30" i="15"/>
  <c r="DF37" i="15"/>
  <c r="DF59" i="15"/>
  <c r="DF53" i="15"/>
  <c r="DF38" i="15"/>
  <c r="DF35" i="15"/>
  <c r="DF13" i="15"/>
  <c r="DF22" i="15"/>
  <c r="DG2" i="15"/>
  <c r="DF46" i="15"/>
  <c r="DE72" i="15"/>
  <c r="DE8" i="15"/>
  <c r="DE64" i="15"/>
  <c r="DE40" i="15"/>
  <c r="DD75" i="15"/>
  <c r="DE16" i="15"/>
  <c r="DE56" i="15"/>
  <c r="DE24" i="15"/>
  <c r="CZ40" i="16"/>
  <c r="CZ32" i="16"/>
  <c r="CZ24" i="16"/>
  <c r="CZ16" i="16"/>
  <c r="CZ48" i="16"/>
  <c r="DA7" i="16"/>
  <c r="DA63" i="16"/>
  <c r="DB2" i="16"/>
  <c r="DA46" i="16"/>
  <c r="DA14" i="16"/>
  <c r="DA6" i="16"/>
  <c r="DA21" i="16"/>
  <c r="DA19" i="16"/>
  <c r="DA20" i="16"/>
  <c r="DA22" i="16"/>
  <c r="DA30" i="16"/>
  <c r="DA38" i="16"/>
  <c r="DA35" i="16"/>
  <c r="DA13" i="16"/>
  <c r="DA45" i="16"/>
  <c r="DA11" i="16"/>
  <c r="DA27" i="16"/>
  <c r="DA28" i="16"/>
  <c r="DA43" i="16"/>
  <c r="DA5" i="16"/>
  <c r="DA37" i="16"/>
  <c r="DA4" i="16"/>
  <c r="DA36" i="16"/>
  <c r="DA29" i="16"/>
  <c r="DA12" i="16"/>
  <c r="DA52" i="16"/>
  <c r="DA44" i="16"/>
  <c r="CC17" i="9"/>
  <c r="CC10" i="9"/>
  <c r="CC19" i="9"/>
  <c r="CC9" i="9"/>
  <c r="CC20" i="9"/>
  <c r="CC11" i="9"/>
  <c r="CC18" i="9"/>
  <c r="CC12" i="9"/>
  <c r="CC44" i="9"/>
  <c r="CC34" i="9"/>
  <c r="CC28" i="9"/>
  <c r="CC42" i="9"/>
  <c r="CC33" i="9"/>
  <c r="CC41" i="9"/>
  <c r="CC27" i="9"/>
  <c r="CC4" i="9"/>
  <c r="CC57" i="9"/>
  <c r="CC36" i="9"/>
  <c r="CC49" i="9"/>
  <c r="CC50" i="9"/>
  <c r="CC25" i="9"/>
  <c r="CC35" i="9"/>
  <c r="CC43" i="9"/>
  <c r="CC26" i="9"/>
  <c r="CC58" i="9"/>
  <c r="CB38" i="9"/>
  <c r="CB46" i="9"/>
  <c r="CC59" i="9"/>
  <c r="CC2" i="9"/>
  <c r="CC5" i="9"/>
  <c r="CD1" i="9"/>
  <c r="CC3" i="9"/>
  <c r="BY47" i="12"/>
  <c r="BZ60" i="12"/>
  <c r="BZ13" i="12"/>
  <c r="BZ12" i="12"/>
  <c r="BZ11" i="12"/>
  <c r="BZ10" i="12"/>
  <c r="BZ21" i="12"/>
  <c r="BZ20" i="12"/>
  <c r="BZ19" i="12"/>
  <c r="BZ18" i="12"/>
  <c r="BZ29" i="12"/>
  <c r="BZ28" i="12"/>
  <c r="BZ27" i="12"/>
  <c r="BZ26" i="12"/>
  <c r="BY39" i="12"/>
  <c r="BZ59" i="12"/>
  <c r="BZ37" i="12"/>
  <c r="BZ36" i="12"/>
  <c r="BZ35" i="12"/>
  <c r="BZ34" i="12"/>
  <c r="BZ45" i="12"/>
  <c r="BZ44" i="12"/>
  <c r="BZ43" i="12"/>
  <c r="BZ42" i="12"/>
  <c r="BZ52" i="12"/>
  <c r="BZ51" i="12"/>
  <c r="BZ50" i="12"/>
  <c r="BZ5" i="12"/>
  <c r="BZ4" i="12"/>
  <c r="BZ3" i="12"/>
  <c r="BZ2" i="12"/>
  <c r="CA1" i="12"/>
  <c r="CA59" i="12" s="1"/>
  <c r="CE59" i="5"/>
  <c r="CE43" i="5"/>
  <c r="CE45" i="5"/>
  <c r="CE51" i="5"/>
  <c r="CE68" i="5"/>
  <c r="CE22" i="5"/>
  <c r="CE52" i="5"/>
  <c r="CE21" i="5"/>
  <c r="CE53" i="5"/>
  <c r="CE60" i="5"/>
  <c r="CE19" i="5"/>
  <c r="CE3" i="5"/>
  <c r="CE14" i="5"/>
  <c r="CE4" i="5"/>
  <c r="CE6" i="5"/>
  <c r="CE30" i="5"/>
  <c r="CE12" i="5"/>
  <c r="CE36" i="5"/>
  <c r="CE5" i="5"/>
  <c r="CE11" i="5"/>
  <c r="CE44" i="5"/>
  <c r="CE27" i="5"/>
  <c r="CE28" i="5"/>
  <c r="CE13" i="5"/>
  <c r="CE37" i="5"/>
  <c r="CE20" i="5"/>
  <c r="CE35" i="5"/>
  <c r="CF2" i="5"/>
  <c r="CD16" i="5"/>
  <c r="CD24" i="5"/>
  <c r="CD8" i="5"/>
  <c r="CF3" i="8"/>
  <c r="CF4" i="8"/>
  <c r="CF6" i="8"/>
  <c r="DF8" i="15" l="1"/>
  <c r="DF40" i="15"/>
  <c r="DF16" i="15"/>
  <c r="DF32" i="15"/>
  <c r="DE75" i="15"/>
  <c r="DF64" i="15"/>
  <c r="DF72" i="15"/>
  <c r="DF24" i="15"/>
  <c r="DF48" i="15"/>
  <c r="DG71" i="15"/>
  <c r="DG63" i="15"/>
  <c r="DG39" i="15"/>
  <c r="DG55" i="15"/>
  <c r="DG47" i="15"/>
  <c r="DG31" i="15"/>
  <c r="DG23" i="15"/>
  <c r="DG15" i="15"/>
  <c r="DG7" i="15"/>
  <c r="DG69" i="15"/>
  <c r="DG54" i="15"/>
  <c r="DG36" i="15"/>
  <c r="DG44" i="15"/>
  <c r="DG37" i="15"/>
  <c r="DG4" i="15"/>
  <c r="DG14" i="15"/>
  <c r="DG3" i="15"/>
  <c r="DG12" i="15"/>
  <c r="DG70" i="15"/>
  <c r="DG62" i="15"/>
  <c r="DG53" i="15"/>
  <c r="DG5" i="15"/>
  <c r="DG43" i="15"/>
  <c r="DG11" i="15"/>
  <c r="DG6" i="15"/>
  <c r="DG22" i="15"/>
  <c r="DG45" i="15"/>
  <c r="DG68" i="15"/>
  <c r="DG59" i="15"/>
  <c r="DG61" i="15"/>
  <c r="DG30" i="15"/>
  <c r="DG51" i="15"/>
  <c r="DG27" i="15"/>
  <c r="DG29" i="15"/>
  <c r="DG21" i="15"/>
  <c r="DG28" i="15"/>
  <c r="DG38" i="15"/>
  <c r="DG67" i="15"/>
  <c r="DG52" i="15"/>
  <c r="DG60" i="15"/>
  <c r="DG46" i="15"/>
  <c r="DG35" i="15"/>
  <c r="DG19" i="15"/>
  <c r="DG20" i="15"/>
  <c r="DG13" i="15"/>
  <c r="DH2" i="15"/>
  <c r="DF56" i="15"/>
  <c r="DA40" i="16"/>
  <c r="DA32" i="16"/>
  <c r="DA24" i="16"/>
  <c r="DA16" i="16"/>
  <c r="DB7" i="16"/>
  <c r="DC2" i="16"/>
  <c r="DB46" i="16"/>
  <c r="DB63" i="16"/>
  <c r="DB14" i="16"/>
  <c r="DB6" i="16"/>
  <c r="DB19" i="16"/>
  <c r="DB20" i="16"/>
  <c r="DB21" i="16"/>
  <c r="DB22" i="16"/>
  <c r="DB30" i="16"/>
  <c r="DB38" i="16"/>
  <c r="DB35" i="16"/>
  <c r="DB45" i="16"/>
  <c r="DB11" i="16"/>
  <c r="DB27" i="16"/>
  <c r="DB13" i="16"/>
  <c r="DB37" i="16"/>
  <c r="DB43" i="16"/>
  <c r="DB5" i="16"/>
  <c r="DB36" i="16"/>
  <c r="DB29" i="16"/>
  <c r="DB12" i="16"/>
  <c r="DB4" i="16"/>
  <c r="DB28" i="16"/>
  <c r="DB52" i="16"/>
  <c r="DB44" i="16"/>
  <c r="DA48" i="16"/>
  <c r="CA19" i="12"/>
  <c r="CA20" i="12"/>
  <c r="CA21" i="12"/>
  <c r="CA28" i="12"/>
  <c r="CC38" i="9"/>
  <c r="CA44" i="12"/>
  <c r="CA11" i="12"/>
  <c r="CC46" i="9"/>
  <c r="CA5" i="12"/>
  <c r="CA50" i="12"/>
  <c r="CA52" i="12"/>
  <c r="CA2" i="12"/>
  <c r="CA51" i="12"/>
  <c r="CA43" i="12"/>
  <c r="CD51" i="9"/>
  <c r="CD52" i="9"/>
  <c r="CD35" i="9"/>
  <c r="CD25" i="9"/>
  <c r="CD26" i="9"/>
  <c r="CD27" i="9"/>
  <c r="CD34" i="9"/>
  <c r="CD4" i="9"/>
  <c r="CD10" i="9"/>
  <c r="CD19" i="9"/>
  <c r="CD18" i="9"/>
  <c r="CD5" i="9"/>
  <c r="CD43" i="9"/>
  <c r="CD9" i="9"/>
  <c r="CD58" i="9"/>
  <c r="CD36" i="9"/>
  <c r="CD42" i="9"/>
  <c r="CD11" i="9"/>
  <c r="CE1" i="9"/>
  <c r="CE42" i="9" s="1"/>
  <c r="CD49" i="9"/>
  <c r="CD41" i="9"/>
  <c r="CD59" i="9"/>
  <c r="CD50" i="9"/>
  <c r="CD28" i="9"/>
  <c r="CD44" i="9"/>
  <c r="CD12" i="9"/>
  <c r="CD20" i="9"/>
  <c r="CD3" i="9"/>
  <c r="CD57" i="9"/>
  <c r="CD33" i="9"/>
  <c r="CD17" i="9"/>
  <c r="CD2" i="9"/>
  <c r="CA29" i="12"/>
  <c r="CA10" i="12"/>
  <c r="CA45" i="12"/>
  <c r="CA34" i="12"/>
  <c r="CA35" i="12"/>
  <c r="CA26" i="12"/>
  <c r="CB1" i="12"/>
  <c r="CB29" i="12" s="1"/>
  <c r="CA27" i="12"/>
  <c r="CA3" i="12"/>
  <c r="CA12" i="12"/>
  <c r="CA36" i="12"/>
  <c r="CA4" i="12"/>
  <c r="CA37" i="12"/>
  <c r="CA13" i="12"/>
  <c r="CA42" i="12"/>
  <c r="CA18" i="12"/>
  <c r="BZ47" i="12"/>
  <c r="BZ39" i="12"/>
  <c r="CF67" i="5"/>
  <c r="CF46" i="5"/>
  <c r="CF59" i="5"/>
  <c r="CF38" i="5"/>
  <c r="CF45" i="5"/>
  <c r="CF43" i="5"/>
  <c r="CF51" i="5"/>
  <c r="CF68" i="5"/>
  <c r="CF14" i="5"/>
  <c r="CF5" i="5"/>
  <c r="CF30" i="5"/>
  <c r="CF36" i="5"/>
  <c r="CF22" i="5"/>
  <c r="CF60" i="5"/>
  <c r="CF28" i="5"/>
  <c r="CF11" i="5"/>
  <c r="CF20" i="5"/>
  <c r="CF44" i="5"/>
  <c r="CF3" i="5"/>
  <c r="CF13" i="5"/>
  <c r="CF21" i="5"/>
  <c r="CF6" i="5"/>
  <c r="CF37" i="5"/>
  <c r="CF53" i="5"/>
  <c r="CF12" i="5"/>
  <c r="CF4" i="5"/>
  <c r="CF52" i="5"/>
  <c r="CF19" i="5"/>
  <c r="CF27" i="5"/>
  <c r="CF35" i="5"/>
  <c r="CG2" i="5"/>
  <c r="CE24" i="5"/>
  <c r="CE8" i="5"/>
  <c r="CE16" i="5"/>
  <c r="CG3" i="8"/>
  <c r="CG4" i="8"/>
  <c r="CG6" i="8"/>
  <c r="DG40" i="15" l="1"/>
  <c r="DG56" i="15"/>
  <c r="DG16" i="15"/>
  <c r="DB32" i="16"/>
  <c r="DG24" i="15"/>
  <c r="DG48" i="15"/>
  <c r="DF75" i="15"/>
  <c r="DH71" i="15"/>
  <c r="DH63" i="15"/>
  <c r="DH47" i="15"/>
  <c r="DH39" i="15"/>
  <c r="DH55" i="15"/>
  <c r="DH15" i="15"/>
  <c r="DH31" i="15"/>
  <c r="DH23" i="15"/>
  <c r="DH7" i="15"/>
  <c r="DH67" i="15"/>
  <c r="DH51" i="15"/>
  <c r="DH36" i="15"/>
  <c r="DH38" i="15"/>
  <c r="DH28" i="15"/>
  <c r="DH60" i="15"/>
  <c r="DH5" i="15"/>
  <c r="DH30" i="15"/>
  <c r="DH4" i="15"/>
  <c r="DH44" i="15"/>
  <c r="DH69" i="15"/>
  <c r="DH29" i="15"/>
  <c r="DH27" i="15"/>
  <c r="DH53" i="15"/>
  <c r="DH19" i="15"/>
  <c r="DH6" i="15"/>
  <c r="DH3" i="15"/>
  <c r="DH62" i="15"/>
  <c r="DH68" i="15"/>
  <c r="DH61" i="15"/>
  <c r="DH46" i="15"/>
  <c r="DH43" i="15"/>
  <c r="DH52" i="15"/>
  <c r="DH22" i="15"/>
  <c r="DH35" i="15"/>
  <c r="DH20" i="15"/>
  <c r="DH12" i="15"/>
  <c r="DH11" i="15"/>
  <c r="DH70" i="15"/>
  <c r="DH59" i="15"/>
  <c r="DH54" i="15"/>
  <c r="DH37" i="15"/>
  <c r="DH13" i="15"/>
  <c r="DH21" i="15"/>
  <c r="DH14" i="15"/>
  <c r="DI2" i="15"/>
  <c r="DH45" i="15"/>
  <c r="DG72" i="15"/>
  <c r="DG32" i="15"/>
  <c r="DG64" i="15"/>
  <c r="DG8" i="15"/>
  <c r="DB40" i="16"/>
  <c r="DB24" i="16"/>
  <c r="DB16" i="16"/>
  <c r="DC7" i="16"/>
  <c r="DC46" i="16"/>
  <c r="DD2" i="16"/>
  <c r="DC63" i="16"/>
  <c r="DC14" i="16"/>
  <c r="DC6" i="16"/>
  <c r="DC21" i="16"/>
  <c r="DC19" i="16"/>
  <c r="DC20" i="16"/>
  <c r="DC22" i="16"/>
  <c r="DC30" i="16"/>
  <c r="DC38" i="16"/>
  <c r="DC35" i="16"/>
  <c r="DC13" i="16"/>
  <c r="DC45" i="16"/>
  <c r="DC11" i="16"/>
  <c r="DC27" i="16"/>
  <c r="DC28" i="16"/>
  <c r="DC5" i="16"/>
  <c r="DC37" i="16"/>
  <c r="DC43" i="16"/>
  <c r="DC4" i="16"/>
  <c r="DC36" i="16"/>
  <c r="DC29" i="16"/>
  <c r="DC12" i="16"/>
  <c r="DC52" i="16"/>
  <c r="DC44" i="16"/>
  <c r="DB48" i="16"/>
  <c r="CB34" i="12"/>
  <c r="CC1" i="12"/>
  <c r="CB43" i="12"/>
  <c r="CB44" i="12"/>
  <c r="CB45" i="12"/>
  <c r="CB35" i="12"/>
  <c r="CB36" i="12"/>
  <c r="CE9" i="9"/>
  <c r="CE41" i="9"/>
  <c r="CE52" i="9"/>
  <c r="CE57" i="9"/>
  <c r="CB27" i="12"/>
  <c r="CB18" i="12"/>
  <c r="CB3" i="12"/>
  <c r="CB19" i="12"/>
  <c r="CB20" i="12"/>
  <c r="CB50" i="12"/>
  <c r="CB52" i="12"/>
  <c r="CB2" i="12"/>
  <c r="CB42" i="12"/>
  <c r="CB11" i="12"/>
  <c r="CB21" i="12"/>
  <c r="CB10" i="12"/>
  <c r="CB12" i="12"/>
  <c r="CE3" i="9"/>
  <c r="CB13" i="12"/>
  <c r="CE18" i="9"/>
  <c r="CE20" i="9"/>
  <c r="CA47" i="12"/>
  <c r="CD54" i="9"/>
  <c r="CE59" i="9"/>
  <c r="CE4" i="9"/>
  <c r="CE17" i="9"/>
  <c r="CE34" i="9"/>
  <c r="CE33" i="9"/>
  <c r="CE19" i="9"/>
  <c r="CE49" i="9"/>
  <c r="CD46" i="9"/>
  <c r="CE10" i="9"/>
  <c r="CE50" i="9"/>
  <c r="CE11" i="9"/>
  <c r="CB4" i="12"/>
  <c r="CB37" i="12"/>
  <c r="CB59" i="12"/>
  <c r="CE43" i="9"/>
  <c r="CB5" i="12"/>
  <c r="CB26" i="12"/>
  <c r="CF1" i="9"/>
  <c r="CF28" i="9" s="1"/>
  <c r="CE12" i="9"/>
  <c r="CE58" i="9"/>
  <c r="CE5" i="9"/>
  <c r="CE44" i="9"/>
  <c r="CE51" i="9"/>
  <c r="CB51" i="12"/>
  <c r="CB28" i="12"/>
  <c r="CE2" i="9"/>
  <c r="CD38" i="9"/>
  <c r="CE35" i="9"/>
  <c r="CE36" i="9"/>
  <c r="CE25" i="9"/>
  <c r="CE26" i="9"/>
  <c r="CE27" i="9"/>
  <c r="CE28" i="9"/>
  <c r="CB53" i="12"/>
  <c r="CA39" i="12"/>
  <c r="CF48" i="5"/>
  <c r="CG46" i="5"/>
  <c r="CG38" i="5"/>
  <c r="CG59" i="5"/>
  <c r="CG43" i="5"/>
  <c r="CG67" i="5"/>
  <c r="CG45" i="5"/>
  <c r="CG51" i="5"/>
  <c r="CF8" i="5"/>
  <c r="CG44" i="5"/>
  <c r="CG29" i="5"/>
  <c r="CG60" i="5"/>
  <c r="CG21" i="5"/>
  <c r="CG53" i="5"/>
  <c r="CG12" i="5"/>
  <c r="CG35" i="5"/>
  <c r="CG22" i="5"/>
  <c r="CG11" i="5"/>
  <c r="CG28" i="5"/>
  <c r="CG13" i="5"/>
  <c r="CG68" i="5"/>
  <c r="CG37" i="5"/>
  <c r="CG5" i="5"/>
  <c r="CG6" i="5"/>
  <c r="CG27" i="5"/>
  <c r="CG52" i="5"/>
  <c r="CG3" i="5"/>
  <c r="CG19" i="5"/>
  <c r="CG4" i="5"/>
  <c r="CG14" i="5"/>
  <c r="CG20" i="5"/>
  <c r="CG30" i="5"/>
  <c r="CG36" i="5"/>
  <c r="CH2" i="5"/>
  <c r="CF24" i="5"/>
  <c r="CF40" i="5"/>
  <c r="CF16" i="5"/>
  <c r="CH3" i="8"/>
  <c r="CH4" i="8"/>
  <c r="CH6" i="8"/>
  <c r="DH40" i="15" l="1"/>
  <c r="DH32" i="15"/>
  <c r="DH24" i="15"/>
  <c r="DH64" i="15"/>
  <c r="DH48" i="15"/>
  <c r="DH56" i="15"/>
  <c r="DG75" i="15"/>
  <c r="DH8" i="15"/>
  <c r="DH72" i="15"/>
  <c r="DC40" i="16"/>
  <c r="DI71" i="15"/>
  <c r="DI63" i="15"/>
  <c r="DI55" i="15"/>
  <c r="DI47" i="15"/>
  <c r="DI31" i="15"/>
  <c r="DI23" i="15"/>
  <c r="DI39" i="15"/>
  <c r="DI7" i="15"/>
  <c r="DI15" i="15"/>
  <c r="DI68" i="15"/>
  <c r="DI60" i="15"/>
  <c r="DI59" i="15"/>
  <c r="DI43" i="15"/>
  <c r="DI45" i="15"/>
  <c r="DI29" i="15"/>
  <c r="DI11" i="15"/>
  <c r="DI14" i="15"/>
  <c r="DJ2" i="15"/>
  <c r="DI5" i="15"/>
  <c r="DI62" i="15"/>
  <c r="DI44" i="15"/>
  <c r="DI51" i="15"/>
  <c r="DI52" i="15"/>
  <c r="DI12" i="15"/>
  <c r="DI27" i="15"/>
  <c r="DI37" i="15"/>
  <c r="DI46" i="15"/>
  <c r="DI69" i="15"/>
  <c r="DI67" i="15"/>
  <c r="DI61" i="15"/>
  <c r="DI53" i="15"/>
  <c r="DI36" i="15"/>
  <c r="DI35" i="15"/>
  <c r="DI28" i="15"/>
  <c r="DI22" i="15"/>
  <c r="DI6" i="15"/>
  <c r="DI13" i="15"/>
  <c r="DI70" i="15"/>
  <c r="DI54" i="15"/>
  <c r="DI38" i="15"/>
  <c r="DI30" i="15"/>
  <c r="DI19" i="15"/>
  <c r="DI20" i="15"/>
  <c r="DI21" i="15"/>
  <c r="DI3" i="15"/>
  <c r="DI4" i="15"/>
  <c r="DH16" i="15"/>
  <c r="DC32" i="16"/>
  <c r="DC24" i="16"/>
  <c r="DC16" i="16"/>
  <c r="DC48" i="16"/>
  <c r="DE2" i="16"/>
  <c r="DD7" i="16"/>
  <c r="DD63" i="16"/>
  <c r="DD46" i="16"/>
  <c r="DD14" i="16"/>
  <c r="DD6" i="16"/>
  <c r="DD19" i="16"/>
  <c r="DD21" i="16"/>
  <c r="DD20" i="16"/>
  <c r="DD30" i="16"/>
  <c r="DD38" i="16"/>
  <c r="DD22" i="16"/>
  <c r="DD11" i="16"/>
  <c r="DD13" i="16"/>
  <c r="DD45" i="16"/>
  <c r="DD35" i="16"/>
  <c r="DD27" i="16"/>
  <c r="DD36" i="16"/>
  <c r="DD28" i="16"/>
  <c r="DD29" i="16"/>
  <c r="DD12" i="16"/>
  <c r="DD5" i="16"/>
  <c r="DD4" i="16"/>
  <c r="DD37" i="16"/>
  <c r="DD43" i="16"/>
  <c r="DD52" i="16"/>
  <c r="DD44" i="16"/>
  <c r="CC13" i="12"/>
  <c r="CC12" i="12"/>
  <c r="CC11" i="12"/>
  <c r="CC10" i="12"/>
  <c r="CC21" i="12"/>
  <c r="CC20" i="12"/>
  <c r="CC29" i="12"/>
  <c r="CC59" i="12"/>
  <c r="CD1" i="12"/>
  <c r="CC3" i="12"/>
  <c r="CC5" i="12"/>
  <c r="CC51" i="12"/>
  <c r="CC43" i="12"/>
  <c r="CC45" i="12"/>
  <c r="CC53" i="12"/>
  <c r="CC44" i="12"/>
  <c r="CC34" i="12"/>
  <c r="CC35" i="12"/>
  <c r="CC36" i="12"/>
  <c r="CC37" i="12"/>
  <c r="CC2" i="12"/>
  <c r="CC26" i="12"/>
  <c r="CC4" i="12"/>
  <c r="CC27" i="12"/>
  <c r="CC50" i="12"/>
  <c r="CC28" i="12"/>
  <c r="CC52" i="12"/>
  <c r="CC18" i="12"/>
  <c r="CC42" i="12"/>
  <c r="CC19" i="12"/>
  <c r="CB47" i="12"/>
  <c r="CF25" i="9"/>
  <c r="CB39" i="12"/>
  <c r="CF2" i="9"/>
  <c r="CF5" i="9"/>
  <c r="CF19" i="9"/>
  <c r="CF49" i="9"/>
  <c r="CF57" i="9"/>
  <c r="CF35" i="9"/>
  <c r="CF50" i="9"/>
  <c r="CF59" i="9"/>
  <c r="CF52" i="9"/>
  <c r="CF41" i="9"/>
  <c r="CF33" i="9"/>
  <c r="CF43" i="9"/>
  <c r="CF27" i="9"/>
  <c r="CF42" i="9"/>
  <c r="CF34" i="9"/>
  <c r="CF26" i="9"/>
  <c r="CF51" i="9"/>
  <c r="CG1" i="9"/>
  <c r="CG35" i="9" s="1"/>
  <c r="CF9" i="9"/>
  <c r="CF10" i="9"/>
  <c r="CF11" i="9"/>
  <c r="CF3" i="9"/>
  <c r="CF18" i="9"/>
  <c r="CF12" i="9"/>
  <c r="CF44" i="9"/>
  <c r="CF4" i="9"/>
  <c r="CE54" i="9"/>
  <c r="CE38" i="9"/>
  <c r="CE46" i="9"/>
  <c r="CB55" i="12"/>
  <c r="CF17" i="9"/>
  <c r="CF36" i="9"/>
  <c r="CF58" i="9"/>
  <c r="CF20" i="9"/>
  <c r="CG48" i="5"/>
  <c r="CH46" i="5"/>
  <c r="CH38" i="5"/>
  <c r="CH67" i="5"/>
  <c r="CH59" i="5"/>
  <c r="CH43" i="5"/>
  <c r="CH45" i="5"/>
  <c r="CH51" i="5"/>
  <c r="CH22" i="5"/>
  <c r="CH68" i="5"/>
  <c r="CH6" i="5"/>
  <c r="CH20" i="5"/>
  <c r="CH61" i="5"/>
  <c r="CH21" i="5"/>
  <c r="CH11" i="5"/>
  <c r="CH36" i="5"/>
  <c r="CH19" i="5"/>
  <c r="CH12" i="5"/>
  <c r="CH30" i="5"/>
  <c r="CH29" i="5"/>
  <c r="CH4" i="5"/>
  <c r="CH60" i="5"/>
  <c r="CH5" i="5"/>
  <c r="CH28" i="5"/>
  <c r="CH14" i="5"/>
  <c r="CH35" i="5"/>
  <c r="CH52" i="5"/>
  <c r="CH44" i="5"/>
  <c r="CH27" i="5"/>
  <c r="CH53" i="5"/>
  <c r="CH3" i="5"/>
  <c r="CH37" i="5"/>
  <c r="CH13" i="5"/>
  <c r="CI2" i="5"/>
  <c r="CG16" i="5"/>
  <c r="CG8" i="5"/>
  <c r="CG24" i="5"/>
  <c r="CG40" i="5"/>
  <c r="CG32" i="5"/>
  <c r="CI3" i="8"/>
  <c r="CI4" i="8"/>
  <c r="CI6" i="8"/>
  <c r="DI72" i="15" l="1"/>
  <c r="DI8" i="15"/>
  <c r="DI40" i="15"/>
  <c r="DI32" i="15"/>
  <c r="DI48" i="15"/>
  <c r="DI16" i="15"/>
  <c r="DI64" i="15"/>
  <c r="DI24" i="15"/>
  <c r="DI56" i="15"/>
  <c r="DJ71" i="15"/>
  <c r="DJ63" i="15"/>
  <c r="DJ55" i="15"/>
  <c r="DJ47" i="15"/>
  <c r="DJ39" i="15"/>
  <c r="DJ31" i="15"/>
  <c r="DJ23" i="15"/>
  <c r="DJ7" i="15"/>
  <c r="DJ15" i="15"/>
  <c r="DJ70" i="15"/>
  <c r="DJ62" i="15"/>
  <c r="DJ46" i="15"/>
  <c r="DJ37" i="15"/>
  <c r="DJ19" i="15"/>
  <c r="DJ53" i="15"/>
  <c r="DJ30" i="15"/>
  <c r="DJ11" i="15"/>
  <c r="DJ12" i="15"/>
  <c r="DJ69" i="15"/>
  <c r="DJ43" i="15"/>
  <c r="DJ44" i="15"/>
  <c r="DJ14" i="15"/>
  <c r="DJ45" i="15"/>
  <c r="DJ6" i="15"/>
  <c r="DJ4" i="15"/>
  <c r="DJ3" i="15"/>
  <c r="DJ54" i="15"/>
  <c r="DJ67" i="15"/>
  <c r="DJ51" i="15"/>
  <c r="DJ29" i="15"/>
  <c r="DJ35" i="15"/>
  <c r="DJ52" i="15"/>
  <c r="DJ27" i="15"/>
  <c r="DJ22" i="15"/>
  <c r="DJ28" i="15"/>
  <c r="DJ5" i="15"/>
  <c r="DJ68" i="15"/>
  <c r="DJ61" i="15"/>
  <c r="DJ60" i="15"/>
  <c r="DJ59" i="15"/>
  <c r="DJ38" i="15"/>
  <c r="DJ21" i="15"/>
  <c r="DJ20" i="15"/>
  <c r="DK2" i="15"/>
  <c r="DJ13" i="15"/>
  <c r="DJ36" i="15"/>
  <c r="DH75" i="15"/>
  <c r="DD40" i="16"/>
  <c r="DD24" i="16"/>
  <c r="DD32" i="16"/>
  <c r="DD16" i="16"/>
  <c r="DD48" i="16"/>
  <c r="DF2" i="16"/>
  <c r="DE7" i="16"/>
  <c r="DE63" i="16"/>
  <c r="DE46" i="16"/>
  <c r="DE14" i="16"/>
  <c r="DE6" i="16"/>
  <c r="DE21" i="16"/>
  <c r="DE19" i="16"/>
  <c r="DE20" i="16"/>
  <c r="DE38" i="16"/>
  <c r="DE22" i="16"/>
  <c r="DE30" i="16"/>
  <c r="DE11" i="16"/>
  <c r="DE27" i="16"/>
  <c r="DE35" i="16"/>
  <c r="DE13" i="16"/>
  <c r="DE45" i="16"/>
  <c r="DE4" i="16"/>
  <c r="DE36" i="16"/>
  <c r="DE29" i="16"/>
  <c r="DE12" i="16"/>
  <c r="DE28" i="16"/>
  <c r="DE5" i="16"/>
  <c r="DE43" i="16"/>
  <c r="DE37" i="16"/>
  <c r="DE44" i="16"/>
  <c r="DE52" i="16"/>
  <c r="CD59" i="12"/>
  <c r="CD5" i="12"/>
  <c r="CD4" i="12"/>
  <c r="CD29" i="12"/>
  <c r="CD35" i="12"/>
  <c r="CD12" i="12"/>
  <c r="CD2" i="12"/>
  <c r="CD36" i="12"/>
  <c r="CD28" i="12"/>
  <c r="CD45" i="12"/>
  <c r="CD44" i="12"/>
  <c r="CD43" i="12"/>
  <c r="CD42" i="12"/>
  <c r="CD53" i="12"/>
  <c r="CD52" i="12"/>
  <c r="CD51" i="12"/>
  <c r="CD50" i="12"/>
  <c r="CD10" i="12"/>
  <c r="CE1" i="12"/>
  <c r="CD13" i="12"/>
  <c r="CD37" i="12"/>
  <c r="CD26" i="12"/>
  <c r="CD27" i="12"/>
  <c r="CD18" i="12"/>
  <c r="CD19" i="12"/>
  <c r="CD20" i="12"/>
  <c r="CD21" i="12"/>
  <c r="CD11" i="12"/>
  <c r="CD3" i="12"/>
  <c r="CD34" i="12"/>
  <c r="CC47" i="12"/>
  <c r="CC39" i="12"/>
  <c r="CC55" i="12"/>
  <c r="CG3" i="9"/>
  <c r="CH1" i="9"/>
  <c r="CH51" i="9" s="1"/>
  <c r="CF54" i="9"/>
  <c r="CG50" i="9"/>
  <c r="CG49" i="9"/>
  <c r="CG42" i="9"/>
  <c r="CG44" i="9"/>
  <c r="CG43" i="9"/>
  <c r="CF46" i="9"/>
  <c r="CG18" i="9"/>
  <c r="CG28" i="9"/>
  <c r="CG58" i="9"/>
  <c r="CG17" i="9"/>
  <c r="CG33" i="9"/>
  <c r="CG27" i="9"/>
  <c r="CG51" i="9"/>
  <c r="CG2" i="9"/>
  <c r="CG52" i="9"/>
  <c r="CG34" i="9"/>
  <c r="CG20" i="9"/>
  <c r="CG26" i="9"/>
  <c r="CG57" i="9"/>
  <c r="CG9" i="9"/>
  <c r="CG25" i="9"/>
  <c r="CG59" i="9"/>
  <c r="CG4" i="9"/>
  <c r="CG11" i="9"/>
  <c r="CG36" i="9"/>
  <c r="CG41" i="9"/>
  <c r="CG19" i="9"/>
  <c r="CG10" i="9"/>
  <c r="CG5" i="9"/>
  <c r="CG12" i="9"/>
  <c r="CF38" i="9"/>
  <c r="CH48" i="5"/>
  <c r="CI67" i="5"/>
  <c r="CI46" i="5"/>
  <c r="CI59" i="5"/>
  <c r="CI43" i="5"/>
  <c r="CI45" i="5"/>
  <c r="CI51" i="5"/>
  <c r="CH32" i="5"/>
  <c r="CH24" i="5"/>
  <c r="CH8" i="5"/>
  <c r="CI14" i="5"/>
  <c r="CI4" i="5"/>
  <c r="CI61" i="5"/>
  <c r="CI30" i="5"/>
  <c r="CI6" i="5"/>
  <c r="CI35" i="5"/>
  <c r="CI52" i="5"/>
  <c r="CI36" i="5"/>
  <c r="CI20" i="5"/>
  <c r="CI68" i="5"/>
  <c r="CI69" i="5"/>
  <c r="CI5" i="5"/>
  <c r="CI53" i="5"/>
  <c r="CI12" i="5"/>
  <c r="CI60" i="5"/>
  <c r="CI27" i="5"/>
  <c r="CI3" i="5"/>
  <c r="CI37" i="5"/>
  <c r="CI44" i="5"/>
  <c r="CI11" i="5"/>
  <c r="CI19" i="5"/>
  <c r="CI21" i="5"/>
  <c r="CI29" i="5"/>
  <c r="CI13" i="5"/>
  <c r="CI28" i="5"/>
  <c r="CI38" i="5"/>
  <c r="CI22" i="5"/>
  <c r="CJ2" i="5"/>
  <c r="CH16" i="5"/>
  <c r="CH40" i="5"/>
  <c r="CJ3" i="8"/>
  <c r="CJ4" i="8"/>
  <c r="CJ6" i="8"/>
  <c r="DJ56" i="15" l="1"/>
  <c r="DJ32" i="15"/>
  <c r="DI75" i="15"/>
  <c r="DJ16" i="15"/>
  <c r="DK71" i="15"/>
  <c r="DK63" i="15"/>
  <c r="DK39" i="15"/>
  <c r="DK55" i="15"/>
  <c r="DK47" i="15"/>
  <c r="DK23" i="15"/>
  <c r="DK31" i="15"/>
  <c r="DK7" i="15"/>
  <c r="DK15" i="15"/>
  <c r="DK67" i="15"/>
  <c r="DK51" i="15"/>
  <c r="DK38" i="15"/>
  <c r="DK45" i="15"/>
  <c r="DK27" i="15"/>
  <c r="DK22" i="15"/>
  <c r="DK20" i="15"/>
  <c r="DK3" i="15"/>
  <c r="DK30" i="15"/>
  <c r="DK70" i="15"/>
  <c r="DK61" i="15"/>
  <c r="DK60" i="15"/>
  <c r="DK37" i="15"/>
  <c r="DK43" i="15"/>
  <c r="DK36" i="15"/>
  <c r="DK13" i="15"/>
  <c r="DK19" i="15"/>
  <c r="DL2" i="15"/>
  <c r="DK53" i="15"/>
  <c r="DK5" i="15"/>
  <c r="DK68" i="15"/>
  <c r="DK52" i="15"/>
  <c r="DK46" i="15"/>
  <c r="DK44" i="15"/>
  <c r="DK35" i="15"/>
  <c r="DK59" i="15"/>
  <c r="DK29" i="15"/>
  <c r="DK14" i="15"/>
  <c r="DK4" i="15"/>
  <c r="DK69" i="15"/>
  <c r="DK54" i="15"/>
  <c r="DK28" i="15"/>
  <c r="DK12" i="15"/>
  <c r="DK21" i="15"/>
  <c r="DK11" i="15"/>
  <c r="DK6" i="15"/>
  <c r="DK62" i="15"/>
  <c r="DJ64" i="15"/>
  <c r="DJ72" i="15"/>
  <c r="DJ48" i="15"/>
  <c r="DJ40" i="15"/>
  <c r="DJ8" i="15"/>
  <c r="DJ24" i="15"/>
  <c r="DE40" i="16"/>
  <c r="DE24" i="16"/>
  <c r="DE32" i="16"/>
  <c r="DE16" i="16"/>
  <c r="DG2" i="16"/>
  <c r="DF46" i="16"/>
  <c r="DF7" i="16"/>
  <c r="DF63" i="16"/>
  <c r="DF14" i="16"/>
  <c r="DF6" i="16"/>
  <c r="DF20" i="16"/>
  <c r="DF19" i="16"/>
  <c r="DF21" i="16"/>
  <c r="DF22" i="16"/>
  <c r="DF30" i="16"/>
  <c r="DF38" i="16"/>
  <c r="DF35" i="16"/>
  <c r="DF13" i="16"/>
  <c r="DF11" i="16"/>
  <c r="DF45" i="16"/>
  <c r="DF27" i="16"/>
  <c r="DF4" i="16"/>
  <c r="DF28" i="16"/>
  <c r="DF37" i="16"/>
  <c r="DF43" i="16"/>
  <c r="DF36" i="16"/>
  <c r="DF29" i="16"/>
  <c r="DF12" i="16"/>
  <c r="DF5" i="16"/>
  <c r="DF52" i="16"/>
  <c r="DF44" i="16"/>
  <c r="DE48" i="16"/>
  <c r="CE37" i="12"/>
  <c r="CE13" i="12"/>
  <c r="CE36" i="12"/>
  <c r="CE35" i="12"/>
  <c r="CD55" i="12"/>
  <c r="CE59" i="12"/>
  <c r="CE34" i="12"/>
  <c r="CE45" i="12"/>
  <c r="CE44" i="12"/>
  <c r="CE43" i="12"/>
  <c r="CE42" i="12"/>
  <c r="CE53" i="12"/>
  <c r="CE52" i="12"/>
  <c r="CE51" i="12"/>
  <c r="CE50" i="12"/>
  <c r="CE5" i="12"/>
  <c r="CE4" i="12"/>
  <c r="CE3" i="12"/>
  <c r="CF1" i="12"/>
  <c r="CD47" i="12"/>
  <c r="CE12" i="12"/>
  <c r="CE11" i="12"/>
  <c r="CE10" i="12"/>
  <c r="CE21" i="12"/>
  <c r="CE20" i="12"/>
  <c r="CE19" i="12"/>
  <c r="CE18" i="12"/>
  <c r="CE29" i="12"/>
  <c r="CE28" i="12"/>
  <c r="CE27" i="12"/>
  <c r="CE26" i="12"/>
  <c r="CE2" i="12"/>
  <c r="CD39" i="12"/>
  <c r="CH20" i="9"/>
  <c r="CH11" i="9"/>
  <c r="CH4" i="9"/>
  <c r="CH42" i="9"/>
  <c r="CH52" i="9"/>
  <c r="CH33" i="9"/>
  <c r="CH28" i="9"/>
  <c r="CI1" i="9"/>
  <c r="CI50" i="9" s="1"/>
  <c r="CH27" i="9"/>
  <c r="CH2" i="9"/>
  <c r="CH26" i="9"/>
  <c r="CH18" i="9"/>
  <c r="CH25" i="9"/>
  <c r="CH3" i="9"/>
  <c r="CH19" i="9"/>
  <c r="CH36" i="9"/>
  <c r="CH9" i="9"/>
  <c r="CH35" i="9"/>
  <c r="CH10" i="9"/>
  <c r="CH50" i="9"/>
  <c r="CH12" i="9"/>
  <c r="CH58" i="9"/>
  <c r="CH5" i="9"/>
  <c r="CH49" i="9"/>
  <c r="CH59" i="9"/>
  <c r="CH41" i="9"/>
  <c r="CH57" i="9"/>
  <c r="CH44" i="9"/>
  <c r="CH17" i="9"/>
  <c r="CH34" i="9"/>
  <c r="CH43" i="9"/>
  <c r="CG46" i="9"/>
  <c r="CG54" i="9"/>
  <c r="CG38" i="9"/>
  <c r="CI48" i="5"/>
  <c r="CJ46" i="5"/>
  <c r="CJ59" i="5"/>
  <c r="CJ67" i="5"/>
  <c r="CJ45" i="5"/>
  <c r="CJ43" i="5"/>
  <c r="CJ51" i="5"/>
  <c r="CI8" i="5"/>
  <c r="CJ3" i="5"/>
  <c r="CJ68" i="5"/>
  <c r="CJ44" i="5"/>
  <c r="CJ6" i="5"/>
  <c r="CJ60" i="5"/>
  <c r="CJ14" i="5"/>
  <c r="CJ4" i="5"/>
  <c r="CJ12" i="5"/>
  <c r="CJ53" i="5"/>
  <c r="CJ36" i="5"/>
  <c r="CJ37" i="5"/>
  <c r="CJ11" i="5"/>
  <c r="CJ21" i="5"/>
  <c r="CJ61" i="5"/>
  <c r="CJ29" i="5"/>
  <c r="CJ38" i="5"/>
  <c r="CJ20" i="5"/>
  <c r="CJ27" i="5"/>
  <c r="CJ13" i="5"/>
  <c r="CJ30" i="5"/>
  <c r="CJ28" i="5"/>
  <c r="CJ52" i="5"/>
  <c r="CJ35" i="5"/>
  <c r="CJ22" i="5"/>
  <c r="CJ5" i="5"/>
  <c r="CJ69" i="5"/>
  <c r="CJ19" i="5"/>
  <c r="CK2" i="5"/>
  <c r="CI40" i="5"/>
  <c r="CI32" i="5"/>
  <c r="CI16" i="5"/>
  <c r="CI24" i="5"/>
  <c r="CK3" i="8"/>
  <c r="CK4" i="8"/>
  <c r="CK6" i="8"/>
  <c r="DK64" i="15" l="1"/>
  <c r="DJ75" i="15"/>
  <c r="DK48" i="15"/>
  <c r="DL71" i="15"/>
  <c r="DL63" i="15"/>
  <c r="DL47" i="15"/>
  <c r="DL39" i="15"/>
  <c r="DL55" i="15"/>
  <c r="DL31" i="15"/>
  <c r="DL15" i="15"/>
  <c r="DL23" i="15"/>
  <c r="DL7" i="15"/>
  <c r="DL62" i="15"/>
  <c r="DL51" i="15"/>
  <c r="DL43" i="15"/>
  <c r="DL44" i="15"/>
  <c r="DL36" i="15"/>
  <c r="DL37" i="15"/>
  <c r="DL14" i="15"/>
  <c r="DL5" i="15"/>
  <c r="DL4" i="15"/>
  <c r="DL70" i="15"/>
  <c r="DL61" i="15"/>
  <c r="DL53" i="15"/>
  <c r="DL52" i="15"/>
  <c r="DL28" i="15"/>
  <c r="DL30" i="15"/>
  <c r="DL19" i="15"/>
  <c r="DL13" i="15"/>
  <c r="DM2" i="15"/>
  <c r="DL3" i="15"/>
  <c r="DL67" i="15"/>
  <c r="DL60" i="15"/>
  <c r="DL68" i="15"/>
  <c r="DL46" i="15"/>
  <c r="DL27" i="15"/>
  <c r="DL21" i="15"/>
  <c r="DL6" i="15"/>
  <c r="DL12" i="15"/>
  <c r="DL20" i="15"/>
  <c r="DL69" i="15"/>
  <c r="DL59" i="15"/>
  <c r="DL38" i="15"/>
  <c r="DL35" i="15"/>
  <c r="DL22" i="15"/>
  <c r="DL29" i="15"/>
  <c r="DL54" i="15"/>
  <c r="DL45" i="15"/>
  <c r="DL11" i="15"/>
  <c r="DK56" i="15"/>
  <c r="DK40" i="15"/>
  <c r="DK24" i="15"/>
  <c r="DK32" i="15"/>
  <c r="DK72" i="15"/>
  <c r="DK8" i="15"/>
  <c r="DK16" i="15"/>
  <c r="DF32" i="16"/>
  <c r="DF40" i="16"/>
  <c r="DF24" i="16"/>
  <c r="DF16" i="16"/>
  <c r="DF48" i="16"/>
  <c r="DH2" i="16"/>
  <c r="DG7" i="16"/>
  <c r="DG46" i="16"/>
  <c r="DG63" i="16"/>
  <c r="DG14" i="16"/>
  <c r="DG6" i="16"/>
  <c r="DG21" i="16"/>
  <c r="DG19" i="16"/>
  <c r="DG20" i="16"/>
  <c r="DG22" i="16"/>
  <c r="DG30" i="16"/>
  <c r="DG38" i="16"/>
  <c r="DG45" i="16"/>
  <c r="DG35" i="16"/>
  <c r="DG13" i="16"/>
  <c r="DG11" i="16"/>
  <c r="DG27" i="16"/>
  <c r="DG5" i="16"/>
  <c r="DG28" i="16"/>
  <c r="DG37" i="16"/>
  <c r="DG43" i="16"/>
  <c r="DG4" i="16"/>
  <c r="DG36" i="16"/>
  <c r="DG29" i="16"/>
  <c r="DG12" i="16"/>
  <c r="DG52" i="16"/>
  <c r="DG44" i="16"/>
  <c r="CE39" i="12"/>
  <c r="CF60" i="12"/>
  <c r="CF13" i="12"/>
  <c r="CF12" i="12"/>
  <c r="CF11" i="12"/>
  <c r="CF34" i="12"/>
  <c r="CE47" i="12"/>
  <c r="CF10" i="12"/>
  <c r="CF21" i="12"/>
  <c r="CF20" i="12"/>
  <c r="CF19" i="12"/>
  <c r="CF18" i="12"/>
  <c r="CF29" i="12"/>
  <c r="CF28" i="12"/>
  <c r="CF27" i="12"/>
  <c r="CF26" i="12"/>
  <c r="CF37" i="12"/>
  <c r="CF36" i="12"/>
  <c r="CF35" i="12"/>
  <c r="CF45" i="12"/>
  <c r="CF50" i="12"/>
  <c r="CF59" i="12"/>
  <c r="CF58" i="12"/>
  <c r="CF5" i="12"/>
  <c r="CF4" i="12"/>
  <c r="CF3" i="12"/>
  <c r="CF2" i="12"/>
  <c r="CG1" i="12"/>
  <c r="CE55" i="12"/>
  <c r="CF44" i="12"/>
  <c r="CF43" i="12"/>
  <c r="CF42" i="12"/>
  <c r="CF53" i="12"/>
  <c r="CF52" i="12"/>
  <c r="CF51" i="12"/>
  <c r="CI51" i="9"/>
  <c r="CI59" i="9"/>
  <c r="CI20" i="9"/>
  <c r="CI17" i="9"/>
  <c r="CI43" i="9"/>
  <c r="CI9" i="9"/>
  <c r="CI44" i="9"/>
  <c r="CI41" i="9"/>
  <c r="CI4" i="9"/>
  <c r="CI36" i="9"/>
  <c r="CI34" i="9"/>
  <c r="CI58" i="9"/>
  <c r="CI33" i="9"/>
  <c r="CI5" i="9"/>
  <c r="CI28" i="9"/>
  <c r="CI3" i="9"/>
  <c r="CI35" i="9"/>
  <c r="CI18" i="9"/>
  <c r="CI49" i="9"/>
  <c r="CI19" i="9"/>
  <c r="CI57" i="9"/>
  <c r="CI27" i="9"/>
  <c r="CH54" i="9"/>
  <c r="CI10" i="9"/>
  <c r="CI26" i="9"/>
  <c r="CI11" i="9"/>
  <c r="CI25" i="9"/>
  <c r="CI2" i="9"/>
  <c r="CI12" i="9"/>
  <c r="CI52" i="9"/>
  <c r="CJ1" i="9"/>
  <c r="CJ25" i="9" s="1"/>
  <c r="CI42" i="9"/>
  <c r="CH38" i="9"/>
  <c r="CH46" i="9"/>
  <c r="CJ48" i="5"/>
  <c r="CK67" i="5"/>
  <c r="CK59" i="5"/>
  <c r="CK43" i="5"/>
  <c r="CK46" i="5"/>
  <c r="CK45" i="5"/>
  <c r="CK51" i="5"/>
  <c r="CJ40" i="5"/>
  <c r="CJ24" i="5"/>
  <c r="CK44" i="5"/>
  <c r="CK68" i="5"/>
  <c r="CK3" i="5"/>
  <c r="CK22" i="5"/>
  <c r="CK60" i="5"/>
  <c r="CK35" i="5"/>
  <c r="CK28" i="5"/>
  <c r="CK29" i="5"/>
  <c r="CK13" i="5"/>
  <c r="CK30" i="5"/>
  <c r="CK20" i="5"/>
  <c r="CK5" i="5"/>
  <c r="CK6" i="5"/>
  <c r="CK12" i="5"/>
  <c r="CK61" i="5"/>
  <c r="CK14" i="5"/>
  <c r="CK4" i="5"/>
  <c r="CK37" i="5"/>
  <c r="CK38" i="5"/>
  <c r="CK19" i="5"/>
  <c r="CK21" i="5"/>
  <c r="CK53" i="5"/>
  <c r="CK27" i="5"/>
  <c r="CK36" i="5"/>
  <c r="CK69" i="5"/>
  <c r="CK11" i="5"/>
  <c r="CK52" i="5"/>
  <c r="CL2" i="5"/>
  <c r="CJ8" i="5"/>
  <c r="CJ16" i="5"/>
  <c r="CJ32" i="5"/>
  <c r="CL3" i="8"/>
  <c r="CL4" i="8"/>
  <c r="CL6" i="8"/>
  <c r="DK75" i="15" l="1"/>
  <c r="DL8" i="15"/>
  <c r="DL48" i="15"/>
  <c r="DL64" i="15"/>
  <c r="DM71" i="15"/>
  <c r="DM63" i="15"/>
  <c r="DM55" i="15"/>
  <c r="DM47" i="15"/>
  <c r="DM31" i="15"/>
  <c r="DM23" i="15"/>
  <c r="DM39" i="15"/>
  <c r="DM15" i="15"/>
  <c r="DM7" i="15"/>
  <c r="DM69" i="15"/>
  <c r="DM61" i="15"/>
  <c r="DM43" i="15"/>
  <c r="DM59" i="15"/>
  <c r="DM36" i="15"/>
  <c r="DM29" i="15"/>
  <c r="DM22" i="15"/>
  <c r="DM14" i="15"/>
  <c r="DM3" i="15"/>
  <c r="DM62" i="15"/>
  <c r="DM51" i="15"/>
  <c r="DM45" i="15"/>
  <c r="DM46" i="15"/>
  <c r="DM30" i="15"/>
  <c r="DM44" i="15"/>
  <c r="DM6" i="15"/>
  <c r="DM11" i="15"/>
  <c r="DM20" i="15"/>
  <c r="DM70" i="15"/>
  <c r="DM60" i="15"/>
  <c r="DM37" i="15"/>
  <c r="DM38" i="15"/>
  <c r="DM21" i="15"/>
  <c r="DM12" i="15"/>
  <c r="DM68" i="15"/>
  <c r="DN2" i="15"/>
  <c r="DM5" i="15"/>
  <c r="DM54" i="15"/>
  <c r="DM53" i="15"/>
  <c r="DM52" i="15"/>
  <c r="DM28" i="15"/>
  <c r="DM35" i="15"/>
  <c r="DM27" i="15"/>
  <c r="DM13" i="15"/>
  <c r="DM19" i="15"/>
  <c r="DM4" i="15"/>
  <c r="DM67" i="15"/>
  <c r="DL56" i="15"/>
  <c r="DL16" i="15"/>
  <c r="DL40" i="15"/>
  <c r="DL32" i="15"/>
  <c r="DL72" i="15"/>
  <c r="DL24" i="15"/>
  <c r="DG40" i="16"/>
  <c r="DG32" i="16"/>
  <c r="DG24" i="16"/>
  <c r="DG16" i="16"/>
  <c r="DH7" i="16"/>
  <c r="DI2" i="16"/>
  <c r="DH46" i="16"/>
  <c r="DH63" i="16"/>
  <c r="DH14" i="16"/>
  <c r="DH6" i="16"/>
  <c r="DH19" i="16"/>
  <c r="DH21" i="16"/>
  <c r="DH20" i="16"/>
  <c r="DH30" i="16"/>
  <c r="DH38" i="16"/>
  <c r="DH22" i="16"/>
  <c r="DH11" i="16"/>
  <c r="DH13" i="16"/>
  <c r="DH45" i="16"/>
  <c r="DH35" i="16"/>
  <c r="DH27" i="16"/>
  <c r="DH43" i="16"/>
  <c r="DH36" i="16"/>
  <c r="DH28" i="16"/>
  <c r="DH29" i="16"/>
  <c r="DH12" i="16"/>
  <c r="DH5" i="16"/>
  <c r="DH4" i="16"/>
  <c r="DH37" i="16"/>
  <c r="DH52" i="16"/>
  <c r="DH44" i="16"/>
  <c r="DG48" i="16"/>
  <c r="CF47" i="12"/>
  <c r="CG20" i="12"/>
  <c r="CG19" i="12"/>
  <c r="CG18" i="12"/>
  <c r="CG29" i="12"/>
  <c r="CG28" i="12"/>
  <c r="CG26" i="12"/>
  <c r="CG12" i="12"/>
  <c r="CG11" i="12"/>
  <c r="CG10" i="12"/>
  <c r="CG21" i="12"/>
  <c r="CG27" i="12"/>
  <c r="CG37" i="12"/>
  <c r="CG36" i="12"/>
  <c r="CG35" i="12"/>
  <c r="CG58" i="12"/>
  <c r="CG13" i="12"/>
  <c r="CG34" i="12"/>
  <c r="CG45" i="12"/>
  <c r="CG44" i="12"/>
  <c r="CG43" i="12"/>
  <c r="CF39" i="12"/>
  <c r="CF55" i="12"/>
  <c r="CG42" i="12"/>
  <c r="CG53" i="12"/>
  <c r="CG52" i="12"/>
  <c r="CG51" i="12"/>
  <c r="CG50" i="12"/>
  <c r="CG60" i="12"/>
  <c r="CG59" i="12"/>
  <c r="CG5" i="12"/>
  <c r="CG4" i="12"/>
  <c r="CG3" i="12"/>
  <c r="CG2" i="12"/>
  <c r="CH1" i="12"/>
  <c r="CI46" i="9"/>
  <c r="CI38" i="9"/>
  <c r="CJ11" i="9"/>
  <c r="CJ2" i="9"/>
  <c r="CJ5" i="9"/>
  <c r="CJ12" i="9"/>
  <c r="CI54" i="9"/>
  <c r="CJ36" i="9"/>
  <c r="CJ35" i="9"/>
  <c r="CJ10" i="9"/>
  <c r="CJ4" i="9"/>
  <c r="CJ3" i="9"/>
  <c r="CJ49" i="9"/>
  <c r="CJ58" i="9"/>
  <c r="CJ41" i="9"/>
  <c r="CJ50" i="9"/>
  <c r="CJ52" i="9"/>
  <c r="CJ42" i="9"/>
  <c r="CJ59" i="9"/>
  <c r="CJ34" i="9"/>
  <c r="CJ57" i="9"/>
  <c r="CJ17" i="9"/>
  <c r="CJ33" i="9"/>
  <c r="CJ43" i="9"/>
  <c r="CJ18" i="9"/>
  <c r="CJ28" i="9"/>
  <c r="CJ51" i="9"/>
  <c r="CK1" i="9"/>
  <c r="CK28" i="9" s="1"/>
  <c r="CJ19" i="9"/>
  <c r="CJ27" i="9"/>
  <c r="CJ44" i="9"/>
  <c r="CJ20" i="9"/>
  <c r="CJ26" i="9"/>
  <c r="CJ9" i="9"/>
  <c r="CK48" i="5"/>
  <c r="CL61" i="5"/>
  <c r="CL59" i="5"/>
  <c r="CL53" i="5"/>
  <c r="CL46" i="5"/>
  <c r="CL67" i="5"/>
  <c r="CL45" i="5"/>
  <c r="CL51" i="5"/>
  <c r="CK24" i="5"/>
  <c r="CK32" i="5"/>
  <c r="CK16" i="5"/>
  <c r="CL20" i="5"/>
  <c r="CL11" i="5"/>
  <c r="CL28" i="5"/>
  <c r="CL38" i="5"/>
  <c r="CL68" i="5"/>
  <c r="CL12" i="5"/>
  <c r="CL35" i="5"/>
  <c r="CL69" i="5"/>
  <c r="CL13" i="5"/>
  <c r="CL44" i="5"/>
  <c r="CL4" i="5"/>
  <c r="CL21" i="5"/>
  <c r="CL52" i="5"/>
  <c r="CL37" i="5"/>
  <c r="CL5" i="5"/>
  <c r="CL6" i="5"/>
  <c r="CL29" i="5"/>
  <c r="CL30" i="5"/>
  <c r="CL3" i="5"/>
  <c r="CL36" i="5"/>
  <c r="CL27" i="5"/>
  <c r="CL60" i="5"/>
  <c r="CL19" i="5"/>
  <c r="CL14" i="5"/>
  <c r="CL22" i="5"/>
  <c r="CL43" i="5"/>
  <c r="CM2" i="5"/>
  <c r="CK8" i="5"/>
  <c r="CK40" i="5"/>
  <c r="CM3" i="8"/>
  <c r="CM4" i="8"/>
  <c r="CM6" i="8"/>
  <c r="DM40" i="15" l="1"/>
  <c r="DL75" i="15"/>
  <c r="DM64" i="15"/>
  <c r="DH40" i="16"/>
  <c r="DM24" i="15"/>
  <c r="DM56" i="15"/>
  <c r="DM48" i="15"/>
  <c r="DN71" i="15"/>
  <c r="DN63" i="15"/>
  <c r="DN55" i="15"/>
  <c r="DN47" i="15"/>
  <c r="DN39" i="15"/>
  <c r="DN31" i="15"/>
  <c r="DN23" i="15"/>
  <c r="DN15" i="15"/>
  <c r="DN7" i="15"/>
  <c r="DN60" i="15"/>
  <c r="DN53" i="15"/>
  <c r="DN46" i="15"/>
  <c r="DN51" i="15"/>
  <c r="DN45" i="15"/>
  <c r="DN22" i="15"/>
  <c r="DN3" i="15"/>
  <c r="DN27" i="15"/>
  <c r="DN13" i="15"/>
  <c r="DN68" i="15"/>
  <c r="DN59" i="15"/>
  <c r="DN35" i="15"/>
  <c r="DN38" i="15"/>
  <c r="DN43" i="15"/>
  <c r="DN14" i="15"/>
  <c r="DN54" i="15"/>
  <c r="DN12" i="15"/>
  <c r="DN5" i="15"/>
  <c r="DN67" i="15"/>
  <c r="DO2" i="15"/>
  <c r="DN69" i="15"/>
  <c r="DN70" i="15"/>
  <c r="DN52" i="15"/>
  <c r="DN30" i="15"/>
  <c r="DN36" i="15"/>
  <c r="DN21" i="15"/>
  <c r="DN20" i="15"/>
  <c r="DN4" i="15"/>
  <c r="DN19" i="15"/>
  <c r="DN61" i="15"/>
  <c r="DN62" i="15"/>
  <c r="DN37" i="15"/>
  <c r="DN44" i="15"/>
  <c r="DN29" i="15"/>
  <c r="DN6" i="15"/>
  <c r="DN11" i="15"/>
  <c r="DN16" i="15" s="1"/>
  <c r="DN28" i="15"/>
  <c r="DM72" i="15"/>
  <c r="DM32" i="15"/>
  <c r="DM16" i="15"/>
  <c r="DM8" i="15"/>
  <c r="DH32" i="16"/>
  <c r="DH24" i="16"/>
  <c r="DH16" i="16"/>
  <c r="DH48" i="16"/>
  <c r="DJ2" i="16"/>
  <c r="DI7" i="16"/>
  <c r="DI63" i="16"/>
  <c r="DI46" i="16"/>
  <c r="DI14" i="16"/>
  <c r="DI6" i="16"/>
  <c r="DI21" i="16"/>
  <c r="DI19" i="16"/>
  <c r="DI20" i="16"/>
  <c r="DI38" i="16"/>
  <c r="DI22" i="16"/>
  <c r="DI30" i="16"/>
  <c r="DI11" i="16"/>
  <c r="DI27" i="16"/>
  <c r="DI45" i="16"/>
  <c r="DI35" i="16"/>
  <c r="DI13" i="16"/>
  <c r="DI37" i="16"/>
  <c r="DI4" i="16"/>
  <c r="DI36" i="16"/>
  <c r="DI29" i="16"/>
  <c r="DI12" i="16"/>
  <c r="DI28" i="16"/>
  <c r="DI5" i="16"/>
  <c r="DI43" i="16"/>
  <c r="DI52" i="16"/>
  <c r="DI44" i="16"/>
  <c r="CG39" i="12"/>
  <c r="CG47" i="12"/>
  <c r="CG55" i="12"/>
  <c r="CH35" i="12"/>
  <c r="CH60" i="12"/>
  <c r="CH59" i="12"/>
  <c r="CH13" i="12"/>
  <c r="CH12" i="12"/>
  <c r="CH11" i="12"/>
  <c r="CH10" i="12"/>
  <c r="CH21" i="12"/>
  <c r="CH20" i="12"/>
  <c r="CH19" i="12"/>
  <c r="CH18" i="12"/>
  <c r="CH29" i="12"/>
  <c r="CH28" i="12"/>
  <c r="CH27" i="12"/>
  <c r="CH26" i="12"/>
  <c r="CH37" i="12"/>
  <c r="CH36" i="12"/>
  <c r="CH34" i="12"/>
  <c r="CH45" i="12"/>
  <c r="CH44" i="12"/>
  <c r="CH43" i="12"/>
  <c r="CH42" i="12"/>
  <c r="CH53" i="12"/>
  <c r="CH52" i="12"/>
  <c r="CH51" i="12"/>
  <c r="CH50" i="12"/>
  <c r="CH58" i="12"/>
  <c r="CH5" i="12"/>
  <c r="CH4" i="12"/>
  <c r="CH3" i="12"/>
  <c r="CH2" i="12"/>
  <c r="CI1" i="12"/>
  <c r="CK52" i="9"/>
  <c r="CK34" i="9"/>
  <c r="CJ54" i="9"/>
  <c r="CK49" i="9"/>
  <c r="CL1" i="9"/>
  <c r="CL51" i="9" s="1"/>
  <c r="CK2" i="9"/>
  <c r="CK35" i="9"/>
  <c r="CK50" i="9"/>
  <c r="CK58" i="9"/>
  <c r="CK59" i="9"/>
  <c r="CK17" i="9"/>
  <c r="CJ38" i="9"/>
  <c r="CK19" i="9"/>
  <c r="CK41" i="9"/>
  <c r="CK12" i="9"/>
  <c r="CK43" i="9"/>
  <c r="CK42" i="9"/>
  <c r="CK11" i="9"/>
  <c r="CK4" i="9"/>
  <c r="CK57" i="9"/>
  <c r="CK5" i="9"/>
  <c r="CK44" i="9"/>
  <c r="CK3" i="9"/>
  <c r="CK27" i="9"/>
  <c r="CJ46" i="9"/>
  <c r="CK51" i="9"/>
  <c r="CK18" i="9"/>
  <c r="CK33" i="9"/>
  <c r="CK26" i="9"/>
  <c r="CK9" i="9"/>
  <c r="CK25" i="9"/>
  <c r="CK20" i="9"/>
  <c r="CK10" i="9"/>
  <c r="CK36" i="9"/>
  <c r="CM61" i="5"/>
  <c r="CM67" i="5"/>
  <c r="CM54" i="5"/>
  <c r="CM59" i="5"/>
  <c r="CM53" i="5"/>
  <c r="CM46" i="5"/>
  <c r="CM45" i="5"/>
  <c r="CM51" i="5"/>
  <c r="CL48" i="5"/>
  <c r="CL8" i="5"/>
  <c r="CM37" i="5"/>
  <c r="CM44" i="5"/>
  <c r="CM52" i="5"/>
  <c r="CM36" i="5"/>
  <c r="CM60" i="5"/>
  <c r="CM38" i="5"/>
  <c r="CM30" i="5"/>
  <c r="CM43" i="5"/>
  <c r="CM28" i="5"/>
  <c r="CM69" i="5"/>
  <c r="CM6" i="5"/>
  <c r="CM29" i="5"/>
  <c r="CM68" i="5"/>
  <c r="CM22" i="5"/>
  <c r="CM11" i="5"/>
  <c r="CM12" i="5"/>
  <c r="CM27" i="5"/>
  <c r="CM14" i="5"/>
  <c r="CM5" i="5"/>
  <c r="CM21" i="5"/>
  <c r="CM4" i="5"/>
  <c r="CM20" i="5"/>
  <c r="CM13" i="5"/>
  <c r="CM35" i="5"/>
  <c r="CM19" i="5"/>
  <c r="CM3" i="5"/>
  <c r="CN2" i="5"/>
  <c r="CL32" i="5"/>
  <c r="CL24" i="5"/>
  <c r="CL16" i="5"/>
  <c r="CL40" i="5"/>
  <c r="CN3" i="8"/>
  <c r="CN4" i="8"/>
  <c r="CN6" i="8"/>
  <c r="DN48" i="15" l="1"/>
  <c r="DM75" i="15"/>
  <c r="DN24" i="15"/>
  <c r="DO71" i="15"/>
  <c r="DO63" i="15"/>
  <c r="DO39" i="15"/>
  <c r="DO55" i="15"/>
  <c r="DO47" i="15"/>
  <c r="DO31" i="15"/>
  <c r="DO23" i="15"/>
  <c r="DO15" i="15"/>
  <c r="DO7" i="15"/>
  <c r="DO67" i="15"/>
  <c r="DO62" i="15"/>
  <c r="DO45" i="15"/>
  <c r="DO35" i="15"/>
  <c r="DO43" i="15"/>
  <c r="DO30" i="15"/>
  <c r="DO6" i="15"/>
  <c r="DO3" i="15"/>
  <c r="DO11" i="15"/>
  <c r="DO61" i="15"/>
  <c r="DO53" i="15"/>
  <c r="DO54" i="15"/>
  <c r="DO51" i="15"/>
  <c r="DO29" i="15"/>
  <c r="DO5" i="15"/>
  <c r="DO12" i="15"/>
  <c r="DO22" i="15"/>
  <c r="DO13" i="15"/>
  <c r="DO70" i="15"/>
  <c r="DO60" i="15"/>
  <c r="DO68" i="15"/>
  <c r="DO46" i="15"/>
  <c r="DO59" i="15"/>
  <c r="DO44" i="15"/>
  <c r="DO27" i="15"/>
  <c r="DO21" i="15"/>
  <c r="DO14" i="15"/>
  <c r="DP2" i="15"/>
  <c r="DO69" i="15"/>
  <c r="DO52" i="15"/>
  <c r="DO37" i="15"/>
  <c r="DO28" i="15"/>
  <c r="DO36" i="15"/>
  <c r="DO19" i="15"/>
  <c r="DO38" i="15"/>
  <c r="DO4" i="15"/>
  <c r="DO20" i="15"/>
  <c r="DN40" i="15"/>
  <c r="DN32" i="15"/>
  <c r="DN56" i="15"/>
  <c r="DN72" i="15"/>
  <c r="DN64" i="15"/>
  <c r="DN8" i="15"/>
  <c r="DI40" i="16"/>
  <c r="DI32" i="16"/>
  <c r="DI24" i="16"/>
  <c r="DI16" i="16"/>
  <c r="DI48" i="16"/>
  <c r="DJ7" i="16"/>
  <c r="DK2" i="16"/>
  <c r="DJ63" i="16"/>
  <c r="DJ46" i="16"/>
  <c r="DJ14" i="16"/>
  <c r="DJ6" i="16"/>
  <c r="DJ19" i="16"/>
  <c r="DJ20" i="16"/>
  <c r="DJ21" i="16"/>
  <c r="DJ38" i="16"/>
  <c r="DJ22" i="16"/>
  <c r="DJ30" i="16"/>
  <c r="DJ27" i="16"/>
  <c r="DJ35" i="16"/>
  <c r="DJ13" i="16"/>
  <c r="DJ11" i="16"/>
  <c r="DJ45" i="16"/>
  <c r="DJ4" i="16"/>
  <c r="DJ28" i="16"/>
  <c r="DJ37" i="16"/>
  <c r="DJ43" i="16"/>
  <c r="DJ36" i="16"/>
  <c r="DJ29" i="16"/>
  <c r="DJ12" i="16"/>
  <c r="DJ5" i="16"/>
  <c r="DJ52" i="16"/>
  <c r="DJ44" i="16"/>
  <c r="CH39" i="12"/>
  <c r="CH47" i="12"/>
  <c r="CH55" i="12"/>
  <c r="CI60" i="12"/>
  <c r="CI58" i="12"/>
  <c r="CI13" i="12"/>
  <c r="CI12" i="12"/>
  <c r="CI11" i="12"/>
  <c r="CI10" i="12"/>
  <c r="CI21" i="12"/>
  <c r="CI20" i="12"/>
  <c r="CI19" i="12"/>
  <c r="CI18" i="12"/>
  <c r="CI29" i="12"/>
  <c r="CI28" i="12"/>
  <c r="CI27" i="12"/>
  <c r="CI26" i="12"/>
  <c r="CI37" i="12"/>
  <c r="CI36" i="12"/>
  <c r="CI35" i="12"/>
  <c r="CI34" i="12"/>
  <c r="CI45" i="12"/>
  <c r="CI44" i="12"/>
  <c r="CI43" i="12"/>
  <c r="CI42" i="12"/>
  <c r="CI53" i="12"/>
  <c r="CI52" i="12"/>
  <c r="CI51" i="12"/>
  <c r="CI50" i="12"/>
  <c r="CI59" i="12"/>
  <c r="CI5" i="12"/>
  <c r="CI4" i="12"/>
  <c r="CI3" i="12"/>
  <c r="CI2" i="12"/>
  <c r="CJ1" i="12"/>
  <c r="CL43" i="9"/>
  <c r="CL5" i="9"/>
  <c r="CL9" i="9"/>
  <c r="CK38" i="9"/>
  <c r="CK46" i="9"/>
  <c r="CL3" i="9"/>
  <c r="CL20" i="9"/>
  <c r="CL36" i="9"/>
  <c r="CL10" i="9"/>
  <c r="CL42" i="9"/>
  <c r="CL41" i="9"/>
  <c r="CL33" i="9"/>
  <c r="CL28" i="9"/>
  <c r="CM1" i="9"/>
  <c r="CM26" i="9" s="1"/>
  <c r="CL27" i="9"/>
  <c r="CL2" i="9"/>
  <c r="CL26" i="9"/>
  <c r="CL25" i="9"/>
  <c r="CL19" i="9"/>
  <c r="CL35" i="9"/>
  <c r="CL52" i="9"/>
  <c r="CL11" i="9"/>
  <c r="CL50" i="9"/>
  <c r="CL12" i="9"/>
  <c r="CL49" i="9"/>
  <c r="CL58" i="9"/>
  <c r="CL44" i="9"/>
  <c r="CL57" i="9"/>
  <c r="CL17" i="9"/>
  <c r="CL59" i="9"/>
  <c r="CL4" i="9"/>
  <c r="CL18" i="9"/>
  <c r="CL34" i="9"/>
  <c r="CK54" i="9"/>
  <c r="CM56" i="5"/>
  <c r="CN54" i="5"/>
  <c r="CN59" i="5"/>
  <c r="CN53" i="5"/>
  <c r="CN67" i="5"/>
  <c r="CN69" i="5"/>
  <c r="CN46" i="5"/>
  <c r="CN61" i="5"/>
  <c r="CN45" i="5"/>
  <c r="CN51" i="5"/>
  <c r="CM8" i="5"/>
  <c r="CN20" i="5"/>
  <c r="CN30" i="5"/>
  <c r="CN60" i="5"/>
  <c r="CN68" i="5"/>
  <c r="CN5" i="5"/>
  <c r="CN14" i="5"/>
  <c r="CN35" i="5"/>
  <c r="CN44" i="5"/>
  <c r="CN43" i="5"/>
  <c r="CN11" i="5"/>
  <c r="CN6" i="5"/>
  <c r="CN19" i="5"/>
  <c r="CN28" i="5"/>
  <c r="CN29" i="5"/>
  <c r="CN22" i="5"/>
  <c r="CN3" i="5"/>
  <c r="CN37" i="5"/>
  <c r="CN21" i="5"/>
  <c r="CN12" i="5"/>
  <c r="CN36" i="5"/>
  <c r="CN52" i="5"/>
  <c r="CN27" i="5"/>
  <c r="CN13" i="5"/>
  <c r="CN4" i="5"/>
  <c r="CN38" i="5"/>
  <c r="CO2" i="5"/>
  <c r="CM48" i="5"/>
  <c r="CM16" i="5"/>
  <c r="CM32" i="5"/>
  <c r="CM40" i="5"/>
  <c r="CM24" i="5"/>
  <c r="CO3" i="8"/>
  <c r="CO4" i="8"/>
  <c r="CO6" i="8"/>
  <c r="DO56" i="15" l="1"/>
  <c r="DO64" i="15"/>
  <c r="DO32" i="15"/>
  <c r="DO16" i="15"/>
  <c r="DO48" i="15"/>
  <c r="DO72" i="15"/>
  <c r="DP71" i="15"/>
  <c r="DP63" i="15"/>
  <c r="DP47" i="15"/>
  <c r="DP39" i="15"/>
  <c r="DP55" i="15"/>
  <c r="DP23" i="15"/>
  <c r="DP15" i="15"/>
  <c r="DP31" i="15"/>
  <c r="DP7" i="15"/>
  <c r="DP61" i="15"/>
  <c r="DP51" i="15"/>
  <c r="DP45" i="15"/>
  <c r="DP54" i="15"/>
  <c r="DP43" i="15"/>
  <c r="DP20" i="15"/>
  <c r="DP4" i="15"/>
  <c r="DP28" i="15"/>
  <c r="DQ2" i="15"/>
  <c r="DP60" i="15"/>
  <c r="DP59" i="15"/>
  <c r="DP37" i="15"/>
  <c r="DP46" i="15"/>
  <c r="DP22" i="15"/>
  <c r="DP11" i="15"/>
  <c r="DP19" i="15"/>
  <c r="DP6" i="15"/>
  <c r="DP27" i="15"/>
  <c r="DP69" i="15"/>
  <c r="DP68" i="15"/>
  <c r="DP53" i="15"/>
  <c r="DP70" i="15"/>
  <c r="DP36" i="15"/>
  <c r="DP14" i="15"/>
  <c r="DP13" i="15"/>
  <c r="DP38" i="15"/>
  <c r="DP30" i="15"/>
  <c r="DP21" i="15"/>
  <c r="DP67" i="15"/>
  <c r="DP62" i="15"/>
  <c r="DP52" i="15"/>
  <c r="DP44" i="15"/>
  <c r="DP35" i="15"/>
  <c r="DP29" i="15"/>
  <c r="DP12" i="15"/>
  <c r="DP5" i="15"/>
  <c r="DP3" i="15"/>
  <c r="DO8" i="15"/>
  <c r="DO40" i="15"/>
  <c r="DN75" i="15"/>
  <c r="DO24" i="15"/>
  <c r="DJ40" i="16"/>
  <c r="DJ32" i="16"/>
  <c r="DJ24" i="16"/>
  <c r="DJ16" i="16"/>
  <c r="DL2" i="16"/>
  <c r="DK63" i="16"/>
  <c r="DK7" i="16"/>
  <c r="DK46" i="16"/>
  <c r="DK14" i="16"/>
  <c r="DK6" i="16"/>
  <c r="DK21" i="16"/>
  <c r="DK20" i="16"/>
  <c r="DK19" i="16"/>
  <c r="DK38" i="16"/>
  <c r="DK22" i="16"/>
  <c r="DK30" i="16"/>
  <c r="DK11" i="16"/>
  <c r="DK27" i="16"/>
  <c r="DK45" i="16"/>
  <c r="DK35" i="16"/>
  <c r="DK13" i="16"/>
  <c r="DK4" i="16"/>
  <c r="DK36" i="16"/>
  <c r="DK29" i="16"/>
  <c r="DK12" i="16"/>
  <c r="DK5" i="16"/>
  <c r="DK28" i="16"/>
  <c r="DK37" i="16"/>
  <c r="DK43" i="16"/>
  <c r="DK44" i="16"/>
  <c r="DK52" i="16"/>
  <c r="DJ48" i="16"/>
  <c r="CI55" i="12"/>
  <c r="CI47" i="12"/>
  <c r="CI39" i="12"/>
  <c r="CJ60" i="12"/>
  <c r="CJ59" i="12"/>
  <c r="CJ13" i="12"/>
  <c r="CJ12" i="12"/>
  <c r="CJ11" i="12"/>
  <c r="CJ10" i="12"/>
  <c r="CJ21" i="12"/>
  <c r="CJ20" i="12"/>
  <c r="CJ19" i="12"/>
  <c r="CJ18" i="12"/>
  <c r="CJ29" i="12"/>
  <c r="CJ28" i="12"/>
  <c r="CJ27" i="12"/>
  <c r="CJ26" i="12"/>
  <c r="CJ37" i="12"/>
  <c r="CJ36" i="12"/>
  <c r="CJ35" i="12"/>
  <c r="CJ34" i="12"/>
  <c r="CJ45" i="12"/>
  <c r="CJ44" i="12"/>
  <c r="CJ43" i="12"/>
  <c r="CJ42" i="12"/>
  <c r="CJ53" i="12"/>
  <c r="CJ52" i="12"/>
  <c r="CJ51" i="12"/>
  <c r="CJ50" i="12"/>
  <c r="CJ58" i="12"/>
  <c r="CJ5" i="12"/>
  <c r="CJ4" i="12"/>
  <c r="CJ3" i="12"/>
  <c r="CJ2" i="12"/>
  <c r="CK1" i="12"/>
  <c r="CM51" i="9"/>
  <c r="CM12" i="9"/>
  <c r="CM2" i="9"/>
  <c r="CN1" i="9"/>
  <c r="CN43" i="9" s="1"/>
  <c r="CM33" i="9"/>
  <c r="CM11" i="9"/>
  <c r="CM41" i="9"/>
  <c r="CM34" i="9"/>
  <c r="CM44" i="9"/>
  <c r="CM42" i="9"/>
  <c r="CM25" i="9"/>
  <c r="CM3" i="9"/>
  <c r="CM49" i="9"/>
  <c r="CM5" i="9"/>
  <c r="CM59" i="9"/>
  <c r="CM19" i="9"/>
  <c r="CM35" i="9"/>
  <c r="CM17" i="9"/>
  <c r="CM52" i="9"/>
  <c r="CM58" i="9"/>
  <c r="CM18" i="9"/>
  <c r="CM50" i="9"/>
  <c r="CL46" i="9"/>
  <c r="CM4" i="9"/>
  <c r="CM57" i="9"/>
  <c r="CM36" i="9"/>
  <c r="CM43" i="9"/>
  <c r="CM20" i="9"/>
  <c r="CM28" i="9"/>
  <c r="CM9" i="9"/>
  <c r="CM27" i="9"/>
  <c r="CM10" i="9"/>
  <c r="CL38" i="9"/>
  <c r="CL54" i="9"/>
  <c r="CN56" i="5"/>
  <c r="CO46" i="5"/>
  <c r="CO54" i="5"/>
  <c r="CO67" i="5"/>
  <c r="CO61" i="5"/>
  <c r="CO59" i="5"/>
  <c r="CO53" i="5"/>
  <c r="CO69" i="5"/>
  <c r="CO62" i="5"/>
  <c r="CO45" i="5"/>
  <c r="CN48" i="5"/>
  <c r="CN32" i="5"/>
  <c r="CO19" i="5"/>
  <c r="CO28" i="5"/>
  <c r="CO14" i="5"/>
  <c r="CO29" i="5"/>
  <c r="CO37" i="5"/>
  <c r="CO60" i="5"/>
  <c r="CO44" i="5"/>
  <c r="CO22" i="5"/>
  <c r="CO27" i="5"/>
  <c r="CO12" i="5"/>
  <c r="CO36" i="5"/>
  <c r="CO6" i="5"/>
  <c r="CO11" i="5"/>
  <c r="CO21" i="5"/>
  <c r="CO51" i="5"/>
  <c r="CO4" i="5"/>
  <c r="CO13" i="5"/>
  <c r="CO5" i="5"/>
  <c r="CO3" i="5"/>
  <c r="CO52" i="5"/>
  <c r="CO35" i="5"/>
  <c r="CO30" i="5"/>
  <c r="CO43" i="5"/>
  <c r="CO20" i="5"/>
  <c r="CO68" i="5"/>
  <c r="CO38" i="5"/>
  <c r="CP2" i="5"/>
  <c r="CN40" i="5"/>
  <c r="CN16" i="5"/>
  <c r="CN24" i="5"/>
  <c r="CN8" i="5"/>
  <c r="CP3" i="8"/>
  <c r="CP4" i="8"/>
  <c r="CP6" i="8"/>
  <c r="DP56" i="15" l="1"/>
  <c r="DO75" i="15"/>
  <c r="DP32" i="15"/>
  <c r="DP8" i="15"/>
  <c r="DP40" i="15"/>
  <c r="DP72" i="15"/>
  <c r="DQ71" i="15"/>
  <c r="DQ63" i="15"/>
  <c r="DQ55" i="15"/>
  <c r="DQ47" i="15"/>
  <c r="DQ31" i="15"/>
  <c r="DQ23" i="15"/>
  <c r="DQ39" i="15"/>
  <c r="DQ7" i="15"/>
  <c r="DQ15" i="15"/>
  <c r="DQ69" i="15"/>
  <c r="DQ60" i="15"/>
  <c r="DQ62" i="15"/>
  <c r="DQ36" i="15"/>
  <c r="DQ35" i="15"/>
  <c r="DQ22" i="15"/>
  <c r="DQ38" i="15"/>
  <c r="DQ19" i="15"/>
  <c r="DQ14" i="15"/>
  <c r="DQ4" i="15"/>
  <c r="DQ61" i="15"/>
  <c r="DQ52" i="15"/>
  <c r="DQ37" i="15"/>
  <c r="DQ43" i="15"/>
  <c r="DQ30" i="15"/>
  <c r="DQ51" i="15"/>
  <c r="DQ21" i="15"/>
  <c r="DR2" i="15"/>
  <c r="DQ27" i="15"/>
  <c r="DQ12" i="15"/>
  <c r="DQ59" i="15"/>
  <c r="DQ64" i="15" s="1"/>
  <c r="DQ53" i="15"/>
  <c r="DQ54" i="15"/>
  <c r="DQ67" i="15"/>
  <c r="DQ20" i="15"/>
  <c r="DQ28" i="15"/>
  <c r="DQ29" i="15"/>
  <c r="DQ6" i="15"/>
  <c r="DQ11" i="15"/>
  <c r="DQ68" i="15"/>
  <c r="DQ70" i="15"/>
  <c r="DQ44" i="15"/>
  <c r="DQ46" i="15"/>
  <c r="DQ45" i="15"/>
  <c r="DQ5" i="15"/>
  <c r="DQ3" i="15"/>
  <c r="DQ13" i="15"/>
  <c r="DP48" i="15"/>
  <c r="DP24" i="15"/>
  <c r="DP16" i="15"/>
  <c r="DP64" i="15"/>
  <c r="DK40" i="16"/>
  <c r="DK24" i="16"/>
  <c r="DK32" i="16"/>
  <c r="DK16" i="16"/>
  <c r="DK48" i="16"/>
  <c r="DM2" i="16"/>
  <c r="DL7" i="16"/>
  <c r="DL46" i="16"/>
  <c r="DL63" i="16"/>
  <c r="DL14" i="16"/>
  <c r="DL6" i="16"/>
  <c r="DL19" i="16"/>
  <c r="DL21" i="16"/>
  <c r="DL20" i="16"/>
  <c r="DL22" i="16"/>
  <c r="DL30" i="16"/>
  <c r="DL38" i="16"/>
  <c r="DL35" i="16"/>
  <c r="DL11" i="16"/>
  <c r="DL13" i="16"/>
  <c r="DL45" i="16"/>
  <c r="DL27" i="16"/>
  <c r="DL4" i="16"/>
  <c r="DL37" i="16"/>
  <c r="DL36" i="16"/>
  <c r="DL43" i="16"/>
  <c r="DL28" i="16"/>
  <c r="DL29" i="16"/>
  <c r="DL12" i="16"/>
  <c r="DL5" i="16"/>
  <c r="DL52" i="16"/>
  <c r="DL44" i="16"/>
  <c r="CJ55" i="12"/>
  <c r="CJ39" i="12"/>
  <c r="CJ47" i="12"/>
  <c r="CK60" i="12"/>
  <c r="CK59" i="12"/>
  <c r="CK58" i="12"/>
  <c r="CK13" i="12"/>
  <c r="CK12" i="12"/>
  <c r="CK11" i="12"/>
  <c r="CK10" i="12"/>
  <c r="CK21" i="12"/>
  <c r="CK20" i="12"/>
  <c r="CK19" i="12"/>
  <c r="CK18" i="12"/>
  <c r="CK29" i="12"/>
  <c r="CK28" i="12"/>
  <c r="CK27" i="12"/>
  <c r="CK26" i="12"/>
  <c r="CK37" i="12"/>
  <c r="CK36" i="12"/>
  <c r="CK35" i="12"/>
  <c r="CK34" i="12"/>
  <c r="CK45" i="12"/>
  <c r="CK44" i="12"/>
  <c r="CK43" i="12"/>
  <c r="CK42" i="12"/>
  <c r="CK53" i="12"/>
  <c r="CK52" i="12"/>
  <c r="CK51" i="12"/>
  <c r="CK50" i="12"/>
  <c r="CK5" i="12"/>
  <c r="CK4" i="12"/>
  <c r="CK3" i="12"/>
  <c r="CK2" i="12"/>
  <c r="CL1" i="12"/>
  <c r="CO1" i="9"/>
  <c r="CO59" i="9" s="1"/>
  <c r="CN5" i="9"/>
  <c r="CN19" i="9"/>
  <c r="CN20" i="9"/>
  <c r="CN12" i="9"/>
  <c r="CN10" i="9"/>
  <c r="CN18" i="9"/>
  <c r="CN4" i="9"/>
  <c r="CN44" i="9"/>
  <c r="CN28" i="9"/>
  <c r="CN11" i="9"/>
  <c r="CN33" i="9"/>
  <c r="CN3" i="9"/>
  <c r="CN27" i="9"/>
  <c r="CN17" i="9"/>
  <c r="CN26" i="9"/>
  <c r="CN36" i="9"/>
  <c r="CN41" i="9"/>
  <c r="CN58" i="9"/>
  <c r="CN34" i="9"/>
  <c r="CN9" i="9"/>
  <c r="CN25" i="9"/>
  <c r="CN51" i="9"/>
  <c r="CN35" i="9"/>
  <c r="CN49" i="9"/>
  <c r="CN50" i="9"/>
  <c r="CN59" i="9"/>
  <c r="CN57" i="9"/>
  <c r="CN2" i="9"/>
  <c r="CN42" i="9"/>
  <c r="CN52" i="9"/>
  <c r="CM46" i="9"/>
  <c r="CM38" i="9"/>
  <c r="CM54" i="9"/>
  <c r="CO64" i="5"/>
  <c r="CO48" i="5"/>
  <c r="CP46" i="5"/>
  <c r="CP62" i="5"/>
  <c r="CP54" i="5"/>
  <c r="CP61" i="5"/>
  <c r="CP59" i="5"/>
  <c r="CP53" i="5"/>
  <c r="CP67" i="5"/>
  <c r="CP69" i="5"/>
  <c r="CP45" i="5"/>
  <c r="CO8" i="5"/>
  <c r="CP27" i="5"/>
  <c r="CP28" i="5"/>
  <c r="CP4" i="5"/>
  <c r="CP70" i="5"/>
  <c r="CP68" i="5"/>
  <c r="CP35" i="5"/>
  <c r="CP60" i="5"/>
  <c r="CP12" i="5"/>
  <c r="CP14" i="5"/>
  <c r="CP43" i="5"/>
  <c r="CP44" i="5"/>
  <c r="CP13" i="5"/>
  <c r="CP21" i="5"/>
  <c r="CP36" i="5"/>
  <c r="CP19" i="5"/>
  <c r="CP37" i="5"/>
  <c r="CP38" i="5"/>
  <c r="CP30" i="5"/>
  <c r="CP6" i="5"/>
  <c r="CP51" i="5"/>
  <c r="CP11" i="5"/>
  <c r="CP22" i="5"/>
  <c r="CP29" i="5"/>
  <c r="CP20" i="5"/>
  <c r="CP5" i="5"/>
  <c r="CP52" i="5"/>
  <c r="CP3" i="5"/>
  <c r="CQ2" i="5"/>
  <c r="CO24" i="5"/>
  <c r="CO40" i="5"/>
  <c r="CO32" i="5"/>
  <c r="CO16" i="5"/>
  <c r="CO56" i="5"/>
  <c r="CQ3" i="8"/>
  <c r="CQ4" i="8"/>
  <c r="CQ6" i="8"/>
  <c r="DQ32" i="15" l="1"/>
  <c r="DR71" i="15"/>
  <c r="DR63" i="15"/>
  <c r="DR55" i="15"/>
  <c r="DR47" i="15"/>
  <c r="DR39" i="15"/>
  <c r="DR31" i="15"/>
  <c r="DR23" i="15"/>
  <c r="DR15" i="15"/>
  <c r="DR7" i="15"/>
  <c r="DR70" i="15"/>
  <c r="DR61" i="15"/>
  <c r="DR44" i="15"/>
  <c r="DR45" i="15"/>
  <c r="DR46" i="15"/>
  <c r="DR22" i="15"/>
  <c r="DR4" i="15"/>
  <c r="DR27" i="15"/>
  <c r="DR12" i="15"/>
  <c r="DR59" i="15"/>
  <c r="DR52" i="15"/>
  <c r="DR69" i="15"/>
  <c r="DR36" i="15"/>
  <c r="DR37" i="15"/>
  <c r="DR28" i="15"/>
  <c r="DR20" i="15"/>
  <c r="DR5" i="15"/>
  <c r="DS2" i="15"/>
  <c r="DR68" i="15"/>
  <c r="DR60" i="15"/>
  <c r="DR54" i="15"/>
  <c r="DR51" i="15"/>
  <c r="DR35" i="15"/>
  <c r="DR29" i="15"/>
  <c r="DR11" i="15"/>
  <c r="DR14" i="15"/>
  <c r="DR3" i="15"/>
  <c r="DR21" i="15"/>
  <c r="DR62" i="15"/>
  <c r="DR67" i="15"/>
  <c r="DR38" i="15"/>
  <c r="DR30" i="15"/>
  <c r="DR43" i="15"/>
  <c r="DR13" i="15"/>
  <c r="DR6" i="15"/>
  <c r="DR19" i="15"/>
  <c r="DR53" i="15"/>
  <c r="DQ48" i="15"/>
  <c r="DQ16" i="15"/>
  <c r="DQ40" i="15"/>
  <c r="DP75" i="15"/>
  <c r="DQ8" i="15"/>
  <c r="DQ72" i="15"/>
  <c r="DQ56" i="15"/>
  <c r="DQ24" i="15"/>
  <c r="DL32" i="16"/>
  <c r="DL40" i="16"/>
  <c r="DL24" i="16"/>
  <c r="DL16" i="16"/>
  <c r="DL48" i="16"/>
  <c r="DN2" i="16"/>
  <c r="DM63" i="16"/>
  <c r="DM46" i="16"/>
  <c r="DM7" i="16"/>
  <c r="DM14" i="16"/>
  <c r="DM6" i="16"/>
  <c r="DM21" i="16"/>
  <c r="DM19" i="16"/>
  <c r="DM20" i="16"/>
  <c r="DM22" i="16"/>
  <c r="DM30" i="16"/>
  <c r="DM38" i="16"/>
  <c r="DM35" i="16"/>
  <c r="DM13" i="16"/>
  <c r="DM11" i="16"/>
  <c r="DM27" i="16"/>
  <c r="DM45" i="16"/>
  <c r="DM4" i="16"/>
  <c r="DM28" i="16"/>
  <c r="DM43" i="16"/>
  <c r="DM37" i="16"/>
  <c r="DM36" i="16"/>
  <c r="DM29" i="16"/>
  <c r="DM12" i="16"/>
  <c r="DM5" i="16"/>
  <c r="DM52" i="16"/>
  <c r="DM44" i="16"/>
  <c r="CK55" i="12"/>
  <c r="CL10" i="12"/>
  <c r="CL21" i="12"/>
  <c r="CL20" i="12"/>
  <c r="CL19" i="12"/>
  <c r="CL18" i="12"/>
  <c r="CL29" i="12"/>
  <c r="CL28" i="12"/>
  <c r="CL27" i="12"/>
  <c r="CL26" i="12"/>
  <c r="CL37" i="12"/>
  <c r="CL36" i="12"/>
  <c r="CL35" i="12"/>
  <c r="CL34" i="12"/>
  <c r="CL45" i="12"/>
  <c r="CL44" i="12"/>
  <c r="CL43" i="12"/>
  <c r="CL42" i="12"/>
  <c r="CL53" i="12"/>
  <c r="CL52" i="12"/>
  <c r="CL51" i="12"/>
  <c r="CL50" i="12"/>
  <c r="CL59" i="12"/>
  <c r="CL58" i="12"/>
  <c r="CL5" i="12"/>
  <c r="CL4" i="12"/>
  <c r="CK39" i="12"/>
  <c r="CL3" i="12"/>
  <c r="CL60" i="12"/>
  <c r="CL13" i="12"/>
  <c r="CL12" i="12"/>
  <c r="CL11" i="12"/>
  <c r="CK47" i="12"/>
  <c r="CL2" i="12"/>
  <c r="CM1" i="12"/>
  <c r="CO5" i="9"/>
  <c r="CO36" i="9"/>
  <c r="CO41" i="9"/>
  <c r="CP1" i="9"/>
  <c r="CP26" i="9" s="1"/>
  <c r="CO4" i="9"/>
  <c r="CO3" i="9"/>
  <c r="CO34" i="9"/>
  <c r="CO2" i="9"/>
  <c r="CO27" i="9"/>
  <c r="CO18" i="9"/>
  <c r="CO35" i="9"/>
  <c r="CO58" i="9"/>
  <c r="CO9" i="9"/>
  <c r="CO51" i="9"/>
  <c r="CO26" i="9"/>
  <c r="CO10" i="9"/>
  <c r="CO52" i="9"/>
  <c r="CO50" i="9"/>
  <c r="CO25" i="9"/>
  <c r="CO11" i="9"/>
  <c r="CO12" i="9"/>
  <c r="CO49" i="9"/>
  <c r="CO44" i="9"/>
  <c r="CO57" i="9"/>
  <c r="CO17" i="9"/>
  <c r="CO42" i="9"/>
  <c r="CO60" i="9"/>
  <c r="CO19" i="9"/>
  <c r="CO33" i="9"/>
  <c r="CO43" i="9"/>
  <c r="CO20" i="9"/>
  <c r="CO28" i="9"/>
  <c r="CN46" i="9"/>
  <c r="CN38" i="9"/>
  <c r="CN54" i="9"/>
  <c r="CP64" i="5"/>
  <c r="CQ46" i="5"/>
  <c r="CQ54" i="5"/>
  <c r="CQ62" i="5"/>
  <c r="CQ53" i="5"/>
  <c r="CQ67" i="5"/>
  <c r="CQ69" i="5"/>
  <c r="CQ61" i="5"/>
  <c r="CQ45" i="5"/>
  <c r="CP72" i="5"/>
  <c r="CP24" i="5"/>
  <c r="CP8" i="5"/>
  <c r="CQ52" i="5"/>
  <c r="CQ22" i="5"/>
  <c r="CQ11" i="5"/>
  <c r="CQ12" i="5"/>
  <c r="CQ30" i="5"/>
  <c r="CQ44" i="5"/>
  <c r="CQ20" i="5"/>
  <c r="CQ28" i="5"/>
  <c r="CQ70" i="5"/>
  <c r="CQ4" i="5"/>
  <c r="CQ21" i="5"/>
  <c r="CQ51" i="5"/>
  <c r="CQ29" i="5"/>
  <c r="CQ35" i="5"/>
  <c r="CQ14" i="5"/>
  <c r="CQ36" i="5"/>
  <c r="CQ5" i="5"/>
  <c r="CQ27" i="5"/>
  <c r="CQ3" i="5"/>
  <c r="CQ6" i="5"/>
  <c r="CQ38" i="5"/>
  <c r="CQ43" i="5"/>
  <c r="CQ59" i="5"/>
  <c r="CQ60" i="5"/>
  <c r="CQ37" i="5"/>
  <c r="CQ19" i="5"/>
  <c r="CQ68" i="5"/>
  <c r="CQ13" i="5"/>
  <c r="CR2" i="5"/>
  <c r="CP40" i="5"/>
  <c r="CP48" i="5"/>
  <c r="CP16" i="5"/>
  <c r="CP56" i="5"/>
  <c r="CP32" i="5"/>
  <c r="CR3" i="8"/>
  <c r="CR4" i="8"/>
  <c r="CR6" i="8"/>
  <c r="DR72" i="15" l="1"/>
  <c r="DR56" i="15"/>
  <c r="DQ75" i="15"/>
  <c r="DS71" i="15"/>
  <c r="DS63" i="15"/>
  <c r="DS55" i="15"/>
  <c r="DS47" i="15"/>
  <c r="DS31" i="15"/>
  <c r="DS39" i="15"/>
  <c r="DS23" i="15"/>
  <c r="DS15" i="15"/>
  <c r="DS7" i="15"/>
  <c r="DS68" i="15"/>
  <c r="DS59" i="15"/>
  <c r="DS53" i="15"/>
  <c r="DS37" i="15"/>
  <c r="DS28" i="15"/>
  <c r="DS22" i="15"/>
  <c r="DS4" i="15"/>
  <c r="DS11" i="15"/>
  <c r="DS3" i="15"/>
  <c r="DS21" i="15"/>
  <c r="DS60" i="15"/>
  <c r="DS52" i="15"/>
  <c r="DS36" i="15"/>
  <c r="DS29" i="15"/>
  <c r="DS46" i="15"/>
  <c r="DS20" i="15"/>
  <c r="DS38" i="15"/>
  <c r="DT2" i="15"/>
  <c r="DS70" i="15"/>
  <c r="DS69" i="15"/>
  <c r="DS67" i="15"/>
  <c r="DS51" i="15"/>
  <c r="DS45" i="15"/>
  <c r="DS27" i="15"/>
  <c r="DS5" i="15"/>
  <c r="DS13" i="15"/>
  <c r="DS19" i="15"/>
  <c r="DS6" i="15"/>
  <c r="DS62" i="15"/>
  <c r="DS61" i="15"/>
  <c r="DS54" i="15"/>
  <c r="DS43" i="15"/>
  <c r="DS44" i="15"/>
  <c r="DS30" i="15"/>
  <c r="DS14" i="15"/>
  <c r="DS35" i="15"/>
  <c r="DS12" i="15"/>
  <c r="DR64" i="15"/>
  <c r="DR48" i="15"/>
  <c r="DR16" i="15"/>
  <c r="DR24" i="15"/>
  <c r="DR32" i="15"/>
  <c r="DR8" i="15"/>
  <c r="DR40" i="15"/>
  <c r="DM40" i="16"/>
  <c r="DM32" i="16"/>
  <c r="DM24" i="16"/>
  <c r="DM16" i="16"/>
  <c r="DM48" i="16"/>
  <c r="DN46" i="16"/>
  <c r="DN7" i="16"/>
  <c r="DO2" i="16"/>
  <c r="DN63" i="16"/>
  <c r="DN14" i="16"/>
  <c r="DN6" i="16"/>
  <c r="DN19" i="16"/>
  <c r="DN20" i="16"/>
  <c r="DN21" i="16"/>
  <c r="DN30" i="16"/>
  <c r="DN38" i="16"/>
  <c r="DN22" i="16"/>
  <c r="DN11" i="16"/>
  <c r="DN45" i="16"/>
  <c r="DN13" i="16"/>
  <c r="DN27" i="16"/>
  <c r="DN35" i="16"/>
  <c r="DN36" i="16"/>
  <c r="DN29" i="16"/>
  <c r="DN5" i="16"/>
  <c r="DN28" i="16"/>
  <c r="DN4" i="16"/>
  <c r="DN37" i="16"/>
  <c r="DN12" i="16"/>
  <c r="DN43" i="16"/>
  <c r="DN52" i="16"/>
  <c r="DN44" i="16"/>
  <c r="CL47" i="12"/>
  <c r="CL39" i="12"/>
  <c r="CL55" i="12"/>
  <c r="CM60" i="12"/>
  <c r="CM58" i="12"/>
  <c r="CM13" i="12"/>
  <c r="CM12" i="12"/>
  <c r="CM11" i="12"/>
  <c r="CM10" i="12"/>
  <c r="CM21" i="12"/>
  <c r="CM20" i="12"/>
  <c r="CM19" i="12"/>
  <c r="CM18" i="12"/>
  <c r="CM29" i="12"/>
  <c r="CM28" i="12"/>
  <c r="CM27" i="12"/>
  <c r="CM26" i="12"/>
  <c r="CM37" i="12"/>
  <c r="CM36" i="12"/>
  <c r="CM35" i="12"/>
  <c r="CM34" i="12"/>
  <c r="CM45" i="12"/>
  <c r="CM44" i="12"/>
  <c r="CM43" i="12"/>
  <c r="CM42" i="12"/>
  <c r="CM53" i="12"/>
  <c r="CM52" i="12"/>
  <c r="CM51" i="12"/>
  <c r="CM50" i="12"/>
  <c r="CM61" i="12"/>
  <c r="CM59" i="12"/>
  <c r="CM5" i="12"/>
  <c r="CM4" i="12"/>
  <c r="CM3" i="12"/>
  <c r="CM2" i="12"/>
  <c r="CN1" i="12"/>
  <c r="CP34" i="9"/>
  <c r="CP51" i="9"/>
  <c r="CP10" i="9"/>
  <c r="CP11" i="9"/>
  <c r="CP12" i="9"/>
  <c r="CP44" i="9"/>
  <c r="CP25" i="9"/>
  <c r="CP52" i="9"/>
  <c r="CP35" i="9"/>
  <c r="CP57" i="9"/>
  <c r="CP36" i="9"/>
  <c r="CP3" i="9"/>
  <c r="CP58" i="9"/>
  <c r="CO54" i="9"/>
  <c r="CP20" i="9"/>
  <c r="CP50" i="9"/>
  <c r="CP5" i="9"/>
  <c r="CP41" i="9"/>
  <c r="CP49" i="9"/>
  <c r="CQ1" i="9"/>
  <c r="CQ25" i="9" s="1"/>
  <c r="CP42" i="9"/>
  <c r="CP2" i="9"/>
  <c r="CP4" i="9"/>
  <c r="CP60" i="9"/>
  <c r="CP17" i="9"/>
  <c r="CP33" i="9"/>
  <c r="CP43" i="9"/>
  <c r="CP18" i="9"/>
  <c r="CP28" i="9"/>
  <c r="CP59" i="9"/>
  <c r="CP19" i="9"/>
  <c r="CP27" i="9"/>
  <c r="CO38" i="9"/>
  <c r="CO62" i="9"/>
  <c r="CP9" i="9"/>
  <c r="CO46" i="9"/>
  <c r="CP75" i="5"/>
  <c r="CR54" i="5"/>
  <c r="CR46" i="5"/>
  <c r="CR53" i="5"/>
  <c r="CR62" i="5"/>
  <c r="CR69" i="5"/>
  <c r="CR67" i="5"/>
  <c r="CR61" i="5"/>
  <c r="CR45" i="5"/>
  <c r="CR60" i="5"/>
  <c r="CR28" i="5"/>
  <c r="CR19" i="5"/>
  <c r="CR21" i="5"/>
  <c r="CR43" i="5"/>
  <c r="CR36" i="5"/>
  <c r="CR3" i="5"/>
  <c r="CR70" i="5"/>
  <c r="CR38" i="5"/>
  <c r="CR37" i="5"/>
  <c r="CR29" i="5"/>
  <c r="CR4" i="5"/>
  <c r="CR59" i="5"/>
  <c r="CR44" i="5"/>
  <c r="CR52" i="5"/>
  <c r="CR5" i="5"/>
  <c r="CR11" i="5"/>
  <c r="CR14" i="5"/>
  <c r="CR13" i="5"/>
  <c r="CR51" i="5"/>
  <c r="CR27" i="5"/>
  <c r="CR6" i="5"/>
  <c r="CR68" i="5"/>
  <c r="CR12" i="5"/>
  <c r="CR22" i="5"/>
  <c r="CR30" i="5"/>
  <c r="CR35" i="5"/>
  <c r="CR20" i="5"/>
  <c r="CS2" i="5"/>
  <c r="CQ16" i="5"/>
  <c r="CQ72" i="5"/>
  <c r="CQ56" i="5"/>
  <c r="CQ40" i="5"/>
  <c r="CQ32" i="5"/>
  <c r="CQ8" i="5"/>
  <c r="CQ48" i="5"/>
  <c r="CQ24" i="5"/>
  <c r="CQ64" i="5"/>
  <c r="CS3" i="8"/>
  <c r="CS4" i="8"/>
  <c r="CS6" i="8"/>
  <c r="DS24" i="15" l="1"/>
  <c r="DR75" i="15"/>
  <c r="DS56" i="15"/>
  <c r="DT71" i="15"/>
  <c r="DT63" i="15"/>
  <c r="DT47" i="15"/>
  <c r="DT39" i="15"/>
  <c r="DT55" i="15"/>
  <c r="DT15" i="15"/>
  <c r="DT31" i="15"/>
  <c r="DT23" i="15"/>
  <c r="DT7" i="15"/>
  <c r="DT70" i="15"/>
  <c r="DT52" i="15"/>
  <c r="DT46" i="15"/>
  <c r="DT45" i="15"/>
  <c r="DT30" i="15"/>
  <c r="DT22" i="15"/>
  <c r="DT5" i="15"/>
  <c r="DT21" i="15"/>
  <c r="DU2" i="15"/>
  <c r="DT62" i="15"/>
  <c r="DT67" i="15"/>
  <c r="DT61" i="15"/>
  <c r="DT60" i="15"/>
  <c r="DT37" i="15"/>
  <c r="DT51" i="15"/>
  <c r="DT14" i="15"/>
  <c r="DT53" i="15"/>
  <c r="DT20" i="15"/>
  <c r="DT69" i="15"/>
  <c r="DT54" i="15"/>
  <c r="DT38" i="15"/>
  <c r="DT43" i="15"/>
  <c r="DT29" i="15"/>
  <c r="DT13" i="15"/>
  <c r="DT11" i="15"/>
  <c r="DT28" i="15"/>
  <c r="DT4" i="15"/>
  <c r="DT68" i="15"/>
  <c r="DT59" i="15"/>
  <c r="DT44" i="15"/>
  <c r="DT36" i="15"/>
  <c r="DT35" i="15"/>
  <c r="DT27" i="15"/>
  <c r="DT19" i="15"/>
  <c r="DT12" i="15"/>
  <c r="DT3" i="15"/>
  <c r="DT6" i="15"/>
  <c r="DS64" i="15"/>
  <c r="DS72" i="15"/>
  <c r="DS8" i="15"/>
  <c r="DS40" i="15"/>
  <c r="DS48" i="15"/>
  <c r="DS32" i="15"/>
  <c r="DS16" i="15"/>
  <c r="DN40" i="16"/>
  <c r="DN32" i="16"/>
  <c r="DN16" i="16"/>
  <c r="DN24" i="16"/>
  <c r="DP2" i="16"/>
  <c r="DO63" i="16"/>
  <c r="DO7" i="16"/>
  <c r="DO46" i="16"/>
  <c r="DO14" i="16"/>
  <c r="DO6" i="16"/>
  <c r="DO21" i="16"/>
  <c r="DO19" i="16"/>
  <c r="DO20" i="16"/>
  <c r="DO38" i="16"/>
  <c r="DO22" i="16"/>
  <c r="DO30" i="16"/>
  <c r="DO11" i="16"/>
  <c r="DO27" i="16"/>
  <c r="DO45" i="16"/>
  <c r="DO35" i="16"/>
  <c r="DO13" i="16"/>
  <c r="DO36" i="16"/>
  <c r="DO29" i="16"/>
  <c r="DO12" i="16"/>
  <c r="DO5" i="16"/>
  <c r="DO4" i="16"/>
  <c r="DO28" i="16"/>
  <c r="DO37" i="16"/>
  <c r="DO43" i="16"/>
  <c r="DO52" i="16"/>
  <c r="DO44" i="16"/>
  <c r="DN48" i="16"/>
  <c r="CM47" i="12"/>
  <c r="CM39" i="12"/>
  <c r="CM55" i="12"/>
  <c r="CM63" i="12"/>
  <c r="CN58" i="12"/>
  <c r="CN12" i="12"/>
  <c r="CN10" i="12"/>
  <c r="CN59" i="12"/>
  <c r="CN13" i="12"/>
  <c r="CN11" i="12"/>
  <c r="CN21" i="12"/>
  <c r="CN20" i="12"/>
  <c r="CN19" i="12"/>
  <c r="CN18" i="12"/>
  <c r="CN29" i="12"/>
  <c r="CN28" i="12"/>
  <c r="CN27" i="12"/>
  <c r="CN26" i="12"/>
  <c r="CN37" i="12"/>
  <c r="CN36" i="12"/>
  <c r="CN60" i="12"/>
  <c r="CN34" i="12"/>
  <c r="CN45" i="12"/>
  <c r="CN44" i="12"/>
  <c r="CN43" i="12"/>
  <c r="CN42" i="12"/>
  <c r="CN53" i="12"/>
  <c r="CN52" i="12"/>
  <c r="CN51" i="12"/>
  <c r="CN50" i="12"/>
  <c r="CN61" i="12"/>
  <c r="CN5" i="12"/>
  <c r="CN4" i="12"/>
  <c r="CN3" i="12"/>
  <c r="CN2" i="12"/>
  <c r="CO1" i="12"/>
  <c r="CN35" i="12"/>
  <c r="CP38" i="9"/>
  <c r="CP54" i="9"/>
  <c r="CP62" i="9"/>
  <c r="CQ57" i="9"/>
  <c r="CQ17" i="9"/>
  <c r="CQ27" i="9"/>
  <c r="CQ18" i="9"/>
  <c r="CQ4" i="9"/>
  <c r="CQ19" i="9"/>
  <c r="CQ36" i="9"/>
  <c r="CQ10" i="9"/>
  <c r="CQ51" i="9"/>
  <c r="CQ11" i="9"/>
  <c r="CQ42" i="9"/>
  <c r="CR1" i="9"/>
  <c r="CQ41" i="9"/>
  <c r="CQ50" i="9"/>
  <c r="CQ52" i="9"/>
  <c r="CQ35" i="9"/>
  <c r="CQ49" i="9"/>
  <c r="CQ2" i="9"/>
  <c r="CQ12" i="9"/>
  <c r="CQ44" i="9"/>
  <c r="CQ3" i="9"/>
  <c r="CQ34" i="9"/>
  <c r="CQ5" i="9"/>
  <c r="CQ33" i="9"/>
  <c r="CQ58" i="9"/>
  <c r="CQ28" i="9"/>
  <c r="CQ60" i="9"/>
  <c r="CQ43" i="9"/>
  <c r="CQ59" i="9"/>
  <c r="CQ20" i="9"/>
  <c r="CQ26" i="9"/>
  <c r="CQ9" i="9"/>
  <c r="CP46" i="9"/>
  <c r="CQ75" i="5"/>
  <c r="CR64" i="5"/>
  <c r="CS62" i="5"/>
  <c r="CS46" i="5"/>
  <c r="CS61" i="5"/>
  <c r="CS54" i="5"/>
  <c r="CS67" i="5"/>
  <c r="CS53" i="5"/>
  <c r="CS69" i="5"/>
  <c r="CS45" i="5"/>
  <c r="CR56" i="5"/>
  <c r="CR40" i="5"/>
  <c r="CS28" i="5"/>
  <c r="CS43" i="5"/>
  <c r="CS68" i="5"/>
  <c r="CS35" i="5"/>
  <c r="CS60" i="5"/>
  <c r="CS3" i="5"/>
  <c r="CS70" i="5"/>
  <c r="CS14" i="5"/>
  <c r="CS59" i="5"/>
  <c r="CS20" i="5"/>
  <c r="CS21" i="5"/>
  <c r="CS30" i="5"/>
  <c r="CS29" i="5"/>
  <c r="CS13" i="5"/>
  <c r="CS4" i="5"/>
  <c r="CS52" i="5"/>
  <c r="CS11" i="5"/>
  <c r="CS12" i="5"/>
  <c r="CS5" i="5"/>
  <c r="CS19" i="5"/>
  <c r="CS44" i="5"/>
  <c r="CS22" i="5"/>
  <c r="CS6" i="5"/>
  <c r="CS38" i="5"/>
  <c r="CS51" i="5"/>
  <c r="CS37" i="5"/>
  <c r="CS27" i="5"/>
  <c r="CS36" i="5"/>
  <c r="CT2" i="5"/>
  <c r="CR16" i="5"/>
  <c r="CR32" i="5"/>
  <c r="CR24" i="5"/>
  <c r="CR48" i="5"/>
  <c r="CR8" i="5"/>
  <c r="CR72" i="5"/>
  <c r="DT64" i="15" l="1"/>
  <c r="DT32" i="15"/>
  <c r="DT16" i="15"/>
  <c r="DU63" i="15"/>
  <c r="DU71" i="15"/>
  <c r="DU55" i="15"/>
  <c r="DU47" i="15"/>
  <c r="DU31" i="15"/>
  <c r="DU23" i="15"/>
  <c r="DU39" i="15"/>
  <c r="DU7" i="15"/>
  <c r="DU15" i="15"/>
  <c r="DU62" i="15"/>
  <c r="DU54" i="15"/>
  <c r="DU61" i="15"/>
  <c r="DU35" i="15"/>
  <c r="DU46" i="15"/>
  <c r="DU28" i="15"/>
  <c r="DU4" i="15"/>
  <c r="DU37" i="15"/>
  <c r="DU20" i="15"/>
  <c r="DU59" i="15"/>
  <c r="DU44" i="15"/>
  <c r="DU36" i="15"/>
  <c r="DU45" i="15"/>
  <c r="DU27" i="15"/>
  <c r="DU12" i="15"/>
  <c r="DV2" i="15"/>
  <c r="DU22" i="15"/>
  <c r="DU14" i="15"/>
  <c r="DU68" i="15"/>
  <c r="DU67" i="15"/>
  <c r="DU51" i="15"/>
  <c r="DU43" i="15"/>
  <c r="DU69" i="15"/>
  <c r="DU30" i="15"/>
  <c r="DU11" i="15"/>
  <c r="DU19" i="15"/>
  <c r="DU13" i="15"/>
  <c r="DU21" i="15"/>
  <c r="DU70" i="15"/>
  <c r="DU60" i="15"/>
  <c r="DU38" i="15"/>
  <c r="DU53" i="15"/>
  <c r="DU29" i="15"/>
  <c r="DU3" i="15"/>
  <c r="DU6" i="15"/>
  <c r="DU5" i="15"/>
  <c r="DU52" i="15"/>
  <c r="DS75" i="15"/>
  <c r="DT8" i="15"/>
  <c r="DT40" i="15"/>
  <c r="DT56" i="15"/>
  <c r="DT72" i="15"/>
  <c r="DT24" i="15"/>
  <c r="DT48" i="15"/>
  <c r="DO40" i="16"/>
  <c r="DO32" i="16"/>
  <c r="DO24" i="16"/>
  <c r="DO16" i="16"/>
  <c r="DQ2" i="16"/>
  <c r="DP7" i="16"/>
  <c r="DP63" i="16"/>
  <c r="DP46" i="16"/>
  <c r="DP14" i="16"/>
  <c r="DP6" i="16"/>
  <c r="DP20" i="16"/>
  <c r="DP21" i="16"/>
  <c r="DP19" i="16"/>
  <c r="DP38" i="16"/>
  <c r="DP22" i="16"/>
  <c r="DP30" i="16"/>
  <c r="DP27" i="16"/>
  <c r="DP11" i="16"/>
  <c r="DP35" i="16"/>
  <c r="DP13" i="16"/>
  <c r="DP45" i="16"/>
  <c r="DP4" i="16"/>
  <c r="DP28" i="16"/>
  <c r="DP29" i="16"/>
  <c r="DP37" i="16"/>
  <c r="DP36" i="16"/>
  <c r="DP43" i="16"/>
  <c r="DP12" i="16"/>
  <c r="DP5" i="16"/>
  <c r="DP52" i="16"/>
  <c r="DP44" i="16"/>
  <c r="DO48" i="16"/>
  <c r="CN47" i="12"/>
  <c r="CN39" i="12"/>
  <c r="CN55" i="12"/>
  <c r="CN63" i="12"/>
  <c r="CO59" i="12"/>
  <c r="CO13" i="12"/>
  <c r="CO12" i="12"/>
  <c r="CO11" i="12"/>
  <c r="CO10" i="12"/>
  <c r="CO21" i="12"/>
  <c r="CO20" i="12"/>
  <c r="CO19" i="12"/>
  <c r="CO18" i="12"/>
  <c r="CO29" i="12"/>
  <c r="CO28" i="12"/>
  <c r="CO27" i="12"/>
  <c r="CO26" i="12"/>
  <c r="CO37" i="12"/>
  <c r="CO36" i="12"/>
  <c r="CO35" i="12"/>
  <c r="CO34" i="12"/>
  <c r="CO45" i="12"/>
  <c r="CO44" i="12"/>
  <c r="CO43" i="12"/>
  <c r="CO42" i="12"/>
  <c r="CO53" i="12"/>
  <c r="CO52" i="12"/>
  <c r="CO51" i="12"/>
  <c r="CO50" i="12"/>
  <c r="CO61" i="12"/>
  <c r="CO58" i="12"/>
  <c r="CO5" i="12"/>
  <c r="CO4" i="12"/>
  <c r="CO3" i="12"/>
  <c r="CO2" i="12"/>
  <c r="CP1" i="12"/>
  <c r="CO60" i="12"/>
  <c r="CR27" i="9"/>
  <c r="CR59" i="9"/>
  <c r="CS1" i="9"/>
  <c r="CS35" i="9" s="1"/>
  <c r="CR52" i="9"/>
  <c r="CR12" i="9"/>
  <c r="CR51" i="9"/>
  <c r="CR25" i="9"/>
  <c r="CR50" i="9"/>
  <c r="CR49" i="9"/>
  <c r="CR57" i="9"/>
  <c r="CR35" i="9"/>
  <c r="CR60" i="9"/>
  <c r="CR5" i="9"/>
  <c r="CR58" i="9"/>
  <c r="CR18" i="9"/>
  <c r="CR20" i="9"/>
  <c r="CR11" i="9"/>
  <c r="CR10" i="9"/>
  <c r="CR43" i="9"/>
  <c r="CR4" i="9"/>
  <c r="CR44" i="9"/>
  <c r="CR36" i="9"/>
  <c r="CR26" i="9"/>
  <c r="CR3" i="9"/>
  <c r="CR42" i="9"/>
  <c r="CR41" i="9"/>
  <c r="CQ62" i="9"/>
  <c r="CR2" i="9"/>
  <c r="CR34" i="9"/>
  <c r="CR17" i="9"/>
  <c r="CR33" i="9"/>
  <c r="CQ54" i="9"/>
  <c r="CQ38" i="9"/>
  <c r="CR19" i="9"/>
  <c r="CR28" i="9"/>
  <c r="CR9" i="9"/>
  <c r="CQ46" i="9"/>
  <c r="CR75" i="5"/>
  <c r="CT53" i="5"/>
  <c r="CT54" i="5"/>
  <c r="CT62" i="5"/>
  <c r="CT46" i="5"/>
  <c r="CT61" i="5"/>
  <c r="CS40" i="5"/>
  <c r="CS72" i="5"/>
  <c r="CS64" i="5"/>
  <c r="CT5" i="5"/>
  <c r="CT22" i="5"/>
  <c r="CT30" i="5"/>
  <c r="CT43" i="5"/>
  <c r="CT21" i="5"/>
  <c r="CT35" i="5"/>
  <c r="CT29" i="5"/>
  <c r="CT28" i="5"/>
  <c r="CT45" i="5"/>
  <c r="CT60" i="5"/>
  <c r="CT52" i="5"/>
  <c r="CT27" i="5"/>
  <c r="CT51" i="5"/>
  <c r="CT4" i="5"/>
  <c r="CT36" i="5"/>
  <c r="CT38" i="5"/>
  <c r="CT44" i="5"/>
  <c r="CT6" i="5"/>
  <c r="CT59" i="5"/>
  <c r="CT70" i="5"/>
  <c r="CT37" i="5"/>
  <c r="CT69" i="5"/>
  <c r="CT68" i="5"/>
  <c r="CT67" i="5"/>
  <c r="CT11" i="5"/>
  <c r="CT12" i="5"/>
  <c r="CT3" i="5"/>
  <c r="CT13" i="5"/>
  <c r="CT14" i="5"/>
  <c r="CT19" i="5"/>
  <c r="CT20" i="5"/>
  <c r="CU2" i="5"/>
  <c r="CS48" i="5"/>
  <c r="CS56" i="5"/>
  <c r="CS32" i="5"/>
  <c r="CS24" i="5"/>
  <c r="CS8" i="5"/>
  <c r="CS16" i="5"/>
  <c r="DU72" i="15" l="1"/>
  <c r="DU8" i="15"/>
  <c r="DU24" i="15"/>
  <c r="DU48" i="15"/>
  <c r="DU32" i="15"/>
  <c r="DU64" i="15"/>
  <c r="DU16" i="15"/>
  <c r="DU56" i="15"/>
  <c r="DU40" i="15"/>
  <c r="DV71" i="15"/>
  <c r="DV63" i="15"/>
  <c r="DV55" i="15"/>
  <c r="DV47" i="15"/>
  <c r="DV39" i="15"/>
  <c r="DV23" i="15"/>
  <c r="DV31" i="15"/>
  <c r="DV7" i="15"/>
  <c r="DV15" i="15"/>
  <c r="DV62" i="15"/>
  <c r="DV54" i="15"/>
  <c r="DV43" i="15"/>
  <c r="DV37" i="15"/>
  <c r="DV44" i="15"/>
  <c r="DV30" i="15"/>
  <c r="DV20" i="15"/>
  <c r="DV22" i="15"/>
  <c r="DV4" i="15"/>
  <c r="DV68" i="15"/>
  <c r="DV61" i="15"/>
  <c r="DV69" i="15"/>
  <c r="DV38" i="15"/>
  <c r="DV29" i="15"/>
  <c r="DV27" i="15"/>
  <c r="DV13" i="15"/>
  <c r="DV12" i="15"/>
  <c r="DV3" i="15"/>
  <c r="DV35" i="15"/>
  <c r="DV70" i="15"/>
  <c r="DV59" i="15"/>
  <c r="DV51" i="15"/>
  <c r="DV52" i="15"/>
  <c r="DV53" i="15"/>
  <c r="DV19" i="15"/>
  <c r="DV21" i="15"/>
  <c r="DV5" i="15"/>
  <c r="DW2" i="15"/>
  <c r="DV60" i="15"/>
  <c r="DV46" i="15"/>
  <c r="DV45" i="15"/>
  <c r="DV28" i="15"/>
  <c r="DV14" i="15"/>
  <c r="DV6" i="15"/>
  <c r="DV36" i="15"/>
  <c r="DV11" i="15"/>
  <c r="DV67" i="15"/>
  <c r="DT75" i="15"/>
  <c r="DP40" i="16"/>
  <c r="DP32" i="16"/>
  <c r="DP24" i="16"/>
  <c r="DP16" i="16"/>
  <c r="DP48" i="16"/>
  <c r="DR2" i="16"/>
  <c r="DQ7" i="16"/>
  <c r="DQ63" i="16"/>
  <c r="DQ46" i="16"/>
  <c r="DQ14" i="16"/>
  <c r="DQ6" i="16"/>
  <c r="DQ21" i="16"/>
  <c r="DQ19" i="16"/>
  <c r="DQ20" i="16"/>
  <c r="DQ22" i="16"/>
  <c r="DQ38" i="16"/>
  <c r="DQ30" i="16"/>
  <c r="DQ35" i="16"/>
  <c r="DQ13" i="16"/>
  <c r="DQ11" i="16"/>
  <c r="DQ27" i="16"/>
  <c r="DQ45" i="16"/>
  <c r="DQ5" i="16"/>
  <c r="DQ28" i="16"/>
  <c r="DQ43" i="16"/>
  <c r="DQ4" i="16"/>
  <c r="DQ37" i="16"/>
  <c r="DQ36" i="16"/>
  <c r="DQ29" i="16"/>
  <c r="DQ12" i="16"/>
  <c r="DQ52" i="16"/>
  <c r="DQ44" i="16"/>
  <c r="CO39" i="12"/>
  <c r="CP60" i="12"/>
  <c r="CP58" i="12"/>
  <c r="CP13" i="12"/>
  <c r="CP12" i="12"/>
  <c r="CP11" i="12"/>
  <c r="CP10" i="12"/>
  <c r="CP21" i="12"/>
  <c r="CP20" i="12"/>
  <c r="CP19" i="12"/>
  <c r="CP18" i="12"/>
  <c r="CP29" i="12"/>
  <c r="CP28" i="12"/>
  <c r="CP27" i="12"/>
  <c r="CP26" i="12"/>
  <c r="CP37" i="12"/>
  <c r="CP36" i="12"/>
  <c r="CP35" i="12"/>
  <c r="CP34" i="12"/>
  <c r="CP45" i="12"/>
  <c r="CP44" i="12"/>
  <c r="CP42" i="12"/>
  <c r="CP53" i="12"/>
  <c r="CP52" i="12"/>
  <c r="CP51" i="12"/>
  <c r="CP50" i="12"/>
  <c r="CP61" i="12"/>
  <c r="CP59" i="12"/>
  <c r="CP43" i="12"/>
  <c r="CO63" i="12"/>
  <c r="CP5" i="12"/>
  <c r="CP4" i="12"/>
  <c r="CP3" i="12"/>
  <c r="CP2" i="12"/>
  <c r="CO47" i="12"/>
  <c r="CO55" i="12"/>
  <c r="CS57" i="9"/>
  <c r="CS36" i="9"/>
  <c r="CS4" i="9"/>
  <c r="CS12" i="9"/>
  <c r="CS11" i="9"/>
  <c r="CS10" i="9"/>
  <c r="CS9" i="9"/>
  <c r="CS20" i="9"/>
  <c r="CS5" i="9"/>
  <c r="CS2" i="9"/>
  <c r="CS28" i="9"/>
  <c r="CS51" i="9"/>
  <c r="CS27" i="9"/>
  <c r="CS25" i="9"/>
  <c r="CS26" i="9"/>
  <c r="CS3" i="9"/>
  <c r="CS41" i="9"/>
  <c r="CS52" i="9"/>
  <c r="CR54" i="9"/>
  <c r="CS44" i="9"/>
  <c r="CS17" i="9"/>
  <c r="CS42" i="9"/>
  <c r="CS60" i="9"/>
  <c r="CS18" i="9"/>
  <c r="CS34" i="9"/>
  <c r="CS50" i="9"/>
  <c r="CS58" i="9"/>
  <c r="CS43" i="9"/>
  <c r="CS19" i="9"/>
  <c r="CS33" i="9"/>
  <c r="CS49" i="9"/>
  <c r="CS59" i="9"/>
  <c r="CR62" i="9"/>
  <c r="CR46" i="9"/>
  <c r="CR38" i="9"/>
  <c r="CS75" i="5"/>
  <c r="CT56" i="5"/>
  <c r="CU3" i="5"/>
  <c r="CU20" i="5"/>
  <c r="CU12" i="5"/>
  <c r="CU14" i="5"/>
  <c r="CU37" i="5"/>
  <c r="CU45" i="5"/>
  <c r="CU19" i="5"/>
  <c r="CU22" i="5"/>
  <c r="CU60" i="5"/>
  <c r="CU44" i="5"/>
  <c r="CU52" i="5"/>
  <c r="CU6" i="5"/>
  <c r="CU5" i="5"/>
  <c r="CU11" i="5"/>
  <c r="CU13" i="5"/>
  <c r="CV2" i="5"/>
  <c r="CU27" i="5"/>
  <c r="CU21" i="5"/>
  <c r="CU68" i="5"/>
  <c r="CU38" i="5"/>
  <c r="CU30" i="5"/>
  <c r="CU29" i="5"/>
  <c r="CU35" i="5"/>
  <c r="CU51" i="5"/>
  <c r="CU4" i="5"/>
  <c r="CU28" i="5"/>
  <c r="CU67" i="5"/>
  <c r="CU36" i="5"/>
  <c r="CU59" i="5"/>
  <c r="CU43" i="5"/>
  <c r="CU69" i="5"/>
  <c r="CU46" i="5"/>
  <c r="CU70" i="5"/>
  <c r="CU54" i="5"/>
  <c r="CU53" i="5"/>
  <c r="CU62" i="5"/>
  <c r="CU61" i="5"/>
  <c r="CT72" i="5"/>
  <c r="CT32" i="5"/>
  <c r="CT64" i="5"/>
  <c r="CT24" i="5"/>
  <c r="CT8" i="5"/>
  <c r="CT48" i="5"/>
  <c r="CT40" i="5"/>
  <c r="CT16" i="5"/>
  <c r="DV56" i="15" l="1"/>
  <c r="DV16" i="15"/>
  <c r="DV8" i="15"/>
  <c r="DV72" i="15"/>
  <c r="DV24" i="15"/>
  <c r="DV64" i="15"/>
  <c r="DU75" i="15"/>
  <c r="DW71" i="15"/>
  <c r="DW63" i="15"/>
  <c r="DW55" i="15"/>
  <c r="DW47" i="15"/>
  <c r="DW39" i="15"/>
  <c r="DW31" i="15"/>
  <c r="DW23" i="15"/>
  <c r="DW15" i="15"/>
  <c r="DW7" i="15"/>
  <c r="DW52" i="15"/>
  <c r="DW38" i="15"/>
  <c r="DW37" i="15"/>
  <c r="DW44" i="15"/>
  <c r="DW22" i="15"/>
  <c r="DW12" i="15"/>
  <c r="DW35" i="15"/>
  <c r="DW11" i="15"/>
  <c r="DW21" i="15"/>
  <c r="DW70" i="15"/>
  <c r="DW60" i="15"/>
  <c r="DW45" i="15"/>
  <c r="DW36" i="15"/>
  <c r="DW51" i="15"/>
  <c r="DW53" i="15"/>
  <c r="DW13" i="15"/>
  <c r="DW6" i="15"/>
  <c r="DX2" i="15"/>
  <c r="DW29" i="15"/>
  <c r="DW67" i="15"/>
  <c r="DW54" i="15"/>
  <c r="DW62" i="15"/>
  <c r="DW69" i="15"/>
  <c r="DW43" i="15"/>
  <c r="DW30" i="15"/>
  <c r="DW5" i="15"/>
  <c r="DW28" i="15"/>
  <c r="DW14" i="15"/>
  <c r="DW68" i="15"/>
  <c r="DW46" i="15"/>
  <c r="DW59" i="15"/>
  <c r="DW61" i="15"/>
  <c r="DW27" i="15"/>
  <c r="DW19" i="15"/>
  <c r="DW3" i="15"/>
  <c r="DW20" i="15"/>
  <c r="DW4" i="15"/>
  <c r="DV40" i="15"/>
  <c r="DV32" i="15"/>
  <c r="DV48" i="15"/>
  <c r="DQ40" i="16"/>
  <c r="DQ32" i="16"/>
  <c r="DQ24" i="16"/>
  <c r="DQ16" i="16"/>
  <c r="DR7" i="16"/>
  <c r="DR46" i="16"/>
  <c r="DS2" i="16"/>
  <c r="DR63" i="16"/>
  <c r="DR14" i="16"/>
  <c r="DR6" i="16"/>
  <c r="DR19" i="16"/>
  <c r="DR20" i="16"/>
  <c r="DR21" i="16"/>
  <c r="DR30" i="16"/>
  <c r="DR38" i="16"/>
  <c r="DR22" i="16"/>
  <c r="DR45" i="16"/>
  <c r="DR13" i="16"/>
  <c r="DR27" i="16"/>
  <c r="DR11" i="16"/>
  <c r="DR35" i="16"/>
  <c r="DR12" i="16"/>
  <c r="DR43" i="16"/>
  <c r="DR29" i="16"/>
  <c r="DR5" i="16"/>
  <c r="DR37" i="16"/>
  <c r="DR28" i="16"/>
  <c r="DR4" i="16"/>
  <c r="DR36" i="16"/>
  <c r="DR52" i="16"/>
  <c r="DR44" i="16"/>
  <c r="DQ48" i="16"/>
  <c r="CP63" i="12"/>
  <c r="CP39" i="12"/>
  <c r="CP55" i="12"/>
  <c r="CP47" i="12"/>
  <c r="CS54" i="9"/>
  <c r="CS38" i="9"/>
  <c r="CS46" i="9"/>
  <c r="CS62" i="9"/>
  <c r="CT75" i="5"/>
  <c r="CU56" i="5"/>
  <c r="CU8" i="5"/>
  <c r="CV61" i="5"/>
  <c r="CV62" i="5"/>
  <c r="CV46" i="5"/>
  <c r="CV53" i="5"/>
  <c r="CV54" i="5"/>
  <c r="CV70" i="5"/>
  <c r="CV45" i="5"/>
  <c r="CV22" i="5"/>
  <c r="CV30" i="5"/>
  <c r="CV3" i="5"/>
  <c r="CV67" i="5"/>
  <c r="CV4" i="5"/>
  <c r="CV68" i="5"/>
  <c r="CV5" i="5"/>
  <c r="CV69" i="5"/>
  <c r="CW2" i="5"/>
  <c r="CV6" i="5"/>
  <c r="CV60" i="5"/>
  <c r="CV36" i="5"/>
  <c r="CV43" i="5"/>
  <c r="CV51" i="5"/>
  <c r="CV11" i="5"/>
  <c r="CV12" i="5"/>
  <c r="CV13" i="5"/>
  <c r="CV37" i="5"/>
  <c r="CV14" i="5"/>
  <c r="CV19" i="5"/>
  <c r="CV59" i="5"/>
  <c r="CV20" i="5"/>
  <c r="CV21" i="5"/>
  <c r="CV52" i="5"/>
  <c r="CV35" i="5"/>
  <c r="CV27" i="5"/>
  <c r="CV38" i="5"/>
  <c r="CV28" i="5"/>
  <c r="CV44" i="5"/>
  <c r="CV29" i="5"/>
  <c r="CU24" i="5"/>
  <c r="CU16" i="5"/>
  <c r="CU32" i="5"/>
  <c r="CU40" i="5"/>
  <c r="CU48" i="5"/>
  <c r="CU72" i="5"/>
  <c r="CU64" i="5"/>
  <c r="DW72" i="15" l="1"/>
  <c r="DW56" i="15"/>
  <c r="DW32" i="15"/>
  <c r="DW24" i="15"/>
  <c r="DX71" i="15"/>
  <c r="DX63" i="15"/>
  <c r="DX47" i="15"/>
  <c r="DX55" i="15"/>
  <c r="DX39" i="15"/>
  <c r="DX31" i="15"/>
  <c r="DX23" i="15"/>
  <c r="DX15" i="15"/>
  <c r="DX7" i="15"/>
  <c r="DX70" i="15"/>
  <c r="DX60" i="15"/>
  <c r="DX53" i="15"/>
  <c r="DX43" i="15"/>
  <c r="DX45" i="15"/>
  <c r="DX22" i="15"/>
  <c r="DX37" i="15"/>
  <c r="DX19" i="15"/>
  <c r="DY2" i="15"/>
  <c r="DX12" i="15"/>
  <c r="DX67" i="15"/>
  <c r="DX59" i="15"/>
  <c r="DX54" i="15"/>
  <c r="DX52" i="15"/>
  <c r="DX36" i="15"/>
  <c r="DX28" i="15"/>
  <c r="DX13" i="15"/>
  <c r="DX29" i="15"/>
  <c r="DX4" i="15"/>
  <c r="DX62" i="15"/>
  <c r="DX69" i="15"/>
  <c r="DX61" i="15"/>
  <c r="DX35" i="15"/>
  <c r="DX46" i="15"/>
  <c r="DX21" i="15"/>
  <c r="DX3" i="15"/>
  <c r="DX20" i="15"/>
  <c r="DX14" i="15"/>
  <c r="DX68" i="15"/>
  <c r="DX51" i="15"/>
  <c r="DX38" i="15"/>
  <c r="DX30" i="15"/>
  <c r="DX27" i="15"/>
  <c r="DX6" i="15"/>
  <c r="DX11" i="15"/>
  <c r="DX5" i="15"/>
  <c r="DX44" i="15"/>
  <c r="DW48" i="15"/>
  <c r="DW16" i="15"/>
  <c r="DW8" i="15"/>
  <c r="DW64" i="15"/>
  <c r="DW40" i="15"/>
  <c r="DV75" i="15"/>
  <c r="DR40" i="16"/>
  <c r="DR32" i="16"/>
  <c r="DR24" i="16"/>
  <c r="DR16" i="16"/>
  <c r="DR48" i="16"/>
  <c r="DS7" i="16"/>
  <c r="DT2" i="16"/>
  <c r="DS63" i="16"/>
  <c r="DS46" i="16"/>
  <c r="DS14" i="16"/>
  <c r="DS6" i="16"/>
  <c r="DS21" i="16"/>
  <c r="DS19" i="16"/>
  <c r="DS20" i="16"/>
  <c r="DS22" i="16"/>
  <c r="DS30" i="16"/>
  <c r="DS38" i="16"/>
  <c r="DS35" i="16"/>
  <c r="DS13" i="16"/>
  <c r="DS45" i="16"/>
  <c r="DS11" i="16"/>
  <c r="DS27" i="16"/>
  <c r="DS28" i="16"/>
  <c r="DS37" i="16"/>
  <c r="DS43" i="16"/>
  <c r="DS4" i="16"/>
  <c r="DS5" i="16"/>
  <c r="DS36" i="16"/>
  <c r="DS29" i="16"/>
  <c r="DS12" i="16"/>
  <c r="DS52" i="16"/>
  <c r="DS44" i="16"/>
  <c r="CU75" i="5"/>
  <c r="CV56" i="5"/>
  <c r="CV32" i="5"/>
  <c r="CW61" i="5"/>
  <c r="CW62" i="5"/>
  <c r="CW53" i="5"/>
  <c r="CW54" i="5"/>
  <c r="CX2" i="5"/>
  <c r="CW3" i="5"/>
  <c r="CW4" i="5"/>
  <c r="CW5" i="5"/>
  <c r="CW6" i="5"/>
  <c r="CW11" i="5"/>
  <c r="CW12" i="5"/>
  <c r="CW13" i="5"/>
  <c r="CW14" i="5"/>
  <c r="CW19" i="5"/>
  <c r="CW20" i="5"/>
  <c r="CW21" i="5"/>
  <c r="CW22" i="5"/>
  <c r="CW27" i="5"/>
  <c r="CW28" i="5"/>
  <c r="CW29" i="5"/>
  <c r="CW30" i="5"/>
  <c r="CW67" i="5"/>
  <c r="CW68" i="5"/>
  <c r="CW69" i="5"/>
  <c r="CW70" i="5"/>
  <c r="CW60" i="5"/>
  <c r="CW43" i="5"/>
  <c r="CW35" i="5"/>
  <c r="CW36" i="5"/>
  <c r="CW37" i="5"/>
  <c r="CW59" i="5"/>
  <c r="CW51" i="5"/>
  <c r="CW52" i="5"/>
  <c r="CW38" i="5"/>
  <c r="CW44" i="5"/>
  <c r="CW45" i="5"/>
  <c r="CW46" i="5"/>
  <c r="CV8" i="5"/>
  <c r="CV24" i="5"/>
  <c r="CV40" i="5"/>
  <c r="CV64" i="5"/>
  <c r="CV48" i="5"/>
  <c r="CV16" i="5"/>
  <c r="CV72" i="5"/>
  <c r="DX56" i="15" l="1"/>
  <c r="DX8" i="15"/>
  <c r="DX32" i="15"/>
  <c r="DY71" i="15"/>
  <c r="DY63" i="15"/>
  <c r="DY55" i="15"/>
  <c r="DY47" i="15"/>
  <c r="DY31" i="15"/>
  <c r="DY23" i="15"/>
  <c r="DY39" i="15"/>
  <c r="DY7" i="15"/>
  <c r="DY15" i="15"/>
  <c r="DY61" i="15"/>
  <c r="DY51" i="15"/>
  <c r="DY53" i="15"/>
  <c r="DY59" i="15"/>
  <c r="DY37" i="15"/>
  <c r="DY12" i="15"/>
  <c r="DY22" i="15"/>
  <c r="DY3" i="15"/>
  <c r="DY13" i="15"/>
  <c r="DY67" i="15"/>
  <c r="DY54" i="15"/>
  <c r="DY43" i="15"/>
  <c r="DY30" i="15"/>
  <c r="DY36" i="15"/>
  <c r="DY14" i="15"/>
  <c r="DY20" i="15"/>
  <c r="DY4" i="15"/>
  <c r="DY6" i="15"/>
  <c r="DY52" i="15"/>
  <c r="DY69" i="15"/>
  <c r="DY60" i="15"/>
  <c r="DY45" i="15"/>
  <c r="DY28" i="15"/>
  <c r="DY21" i="15"/>
  <c r="DY35" i="15"/>
  <c r="DY44" i="15"/>
  <c r="DY11" i="15"/>
  <c r="DZ2" i="15"/>
  <c r="DY62" i="15"/>
  <c r="DY70" i="15"/>
  <c r="DY38" i="15"/>
  <c r="DY46" i="15"/>
  <c r="DY19" i="15"/>
  <c r="DY29" i="15"/>
  <c r="DY27" i="15"/>
  <c r="DY5" i="15"/>
  <c r="DY68" i="15"/>
  <c r="DX64" i="15"/>
  <c r="DX24" i="15"/>
  <c r="DX48" i="15"/>
  <c r="DW75" i="15"/>
  <c r="DX16" i="15"/>
  <c r="DX40" i="15"/>
  <c r="DX72" i="15"/>
  <c r="DS40" i="16"/>
  <c r="DS32" i="16"/>
  <c r="DS24" i="16"/>
  <c r="DS16" i="16"/>
  <c r="DS48" i="16"/>
  <c r="DU2" i="16"/>
  <c r="DT7" i="16"/>
  <c r="DT46" i="16"/>
  <c r="DT63" i="16"/>
  <c r="DT14" i="16"/>
  <c r="DT6" i="16"/>
  <c r="DT19" i="16"/>
  <c r="DT20" i="16"/>
  <c r="DT21" i="16"/>
  <c r="DT30" i="16"/>
  <c r="DT38" i="16"/>
  <c r="DT22" i="16"/>
  <c r="DT45" i="16"/>
  <c r="DT11" i="16"/>
  <c r="DT35" i="16"/>
  <c r="DT13" i="16"/>
  <c r="DT27" i="16"/>
  <c r="DT5" i="16"/>
  <c r="DT37" i="16"/>
  <c r="DT12" i="16"/>
  <c r="DT4" i="16"/>
  <c r="DT36" i="16"/>
  <c r="DT28" i="16"/>
  <c r="DT29" i="16"/>
  <c r="DT43" i="16"/>
  <c r="DT52" i="16"/>
  <c r="DT44" i="16"/>
  <c r="CV75" i="5"/>
  <c r="CW48" i="5"/>
  <c r="CW40" i="5"/>
  <c r="CW32" i="5"/>
  <c r="CX61" i="5"/>
  <c r="CX62" i="5"/>
  <c r="CY2" i="5"/>
  <c r="CX3" i="5"/>
  <c r="CX4" i="5"/>
  <c r="CX5" i="5"/>
  <c r="CX6" i="5"/>
  <c r="CX11" i="5"/>
  <c r="CX12" i="5"/>
  <c r="CX13" i="5"/>
  <c r="CX14" i="5"/>
  <c r="CX19" i="5"/>
  <c r="CX20" i="5"/>
  <c r="CX21" i="5"/>
  <c r="CX22" i="5"/>
  <c r="CX27" i="5"/>
  <c r="CX28" i="5"/>
  <c r="CX29" i="5"/>
  <c r="CX30" i="5"/>
  <c r="CX67" i="5"/>
  <c r="CX68" i="5"/>
  <c r="CX69" i="5"/>
  <c r="CX70" i="5"/>
  <c r="CX60" i="5"/>
  <c r="CX36" i="5"/>
  <c r="CX51" i="5"/>
  <c r="CX35" i="5"/>
  <c r="CX37" i="5"/>
  <c r="CX44" i="5"/>
  <c r="CX59" i="5"/>
  <c r="CX52" i="5"/>
  <c r="CX38" i="5"/>
  <c r="CX43" i="5"/>
  <c r="CX45" i="5"/>
  <c r="CX46" i="5"/>
  <c r="CX53" i="5"/>
  <c r="CX54" i="5"/>
  <c r="CW16" i="5"/>
  <c r="CW72" i="5"/>
  <c r="CW56" i="5"/>
  <c r="CW8" i="5"/>
  <c r="CW64" i="5"/>
  <c r="CW24" i="5"/>
  <c r="DY32" i="15" l="1"/>
  <c r="DY16" i="15"/>
  <c r="DY24" i="15"/>
  <c r="DY40" i="15"/>
  <c r="DZ71" i="15"/>
  <c r="DZ63" i="15"/>
  <c r="DZ55" i="15"/>
  <c r="DZ47" i="15"/>
  <c r="DZ39" i="15"/>
  <c r="DZ31" i="15"/>
  <c r="DZ23" i="15"/>
  <c r="DZ7" i="15"/>
  <c r="DZ15" i="15"/>
  <c r="DZ70" i="15"/>
  <c r="DZ51" i="15"/>
  <c r="DZ30" i="15"/>
  <c r="DZ52" i="15"/>
  <c r="DZ21" i="15"/>
  <c r="DZ27" i="15"/>
  <c r="DZ14" i="15"/>
  <c r="EA2" i="15"/>
  <c r="DZ13" i="15"/>
  <c r="DZ60" i="15"/>
  <c r="DZ37" i="15"/>
  <c r="DZ62" i="15"/>
  <c r="DZ54" i="15"/>
  <c r="DZ11" i="15"/>
  <c r="DZ61" i="15"/>
  <c r="DZ4" i="15"/>
  <c r="DZ3" i="15"/>
  <c r="DZ38" i="15"/>
  <c r="DZ67" i="15"/>
  <c r="DZ69" i="15"/>
  <c r="DZ43" i="15"/>
  <c r="DZ59" i="15"/>
  <c r="DZ46" i="15"/>
  <c r="DZ36" i="15"/>
  <c r="DZ44" i="15"/>
  <c r="DZ29" i="15"/>
  <c r="DZ20" i="15"/>
  <c r="DZ12" i="15"/>
  <c r="DZ68" i="15"/>
  <c r="DZ53" i="15"/>
  <c r="DZ35" i="15"/>
  <c r="DZ28" i="15"/>
  <c r="DZ6" i="15"/>
  <c r="DZ19" i="15"/>
  <c r="DZ5" i="15"/>
  <c r="DZ22" i="15"/>
  <c r="DZ45" i="15"/>
  <c r="DY48" i="15"/>
  <c r="DY8" i="15"/>
  <c r="DY64" i="15"/>
  <c r="DY72" i="15"/>
  <c r="DY56" i="15"/>
  <c r="DX75" i="15"/>
  <c r="DT40" i="16"/>
  <c r="DT32" i="16"/>
  <c r="DT24" i="16"/>
  <c r="DT16" i="16"/>
  <c r="DT48" i="16"/>
  <c r="DU7" i="16"/>
  <c r="DV2" i="16"/>
  <c r="DU63" i="16"/>
  <c r="DU46" i="16"/>
  <c r="DU14" i="16"/>
  <c r="DU6" i="16"/>
  <c r="DU21" i="16"/>
  <c r="DU19" i="16"/>
  <c r="DU20" i="16"/>
  <c r="DU38" i="16"/>
  <c r="DU30" i="16"/>
  <c r="DU22" i="16"/>
  <c r="DU11" i="16"/>
  <c r="DU27" i="16"/>
  <c r="DU45" i="16"/>
  <c r="DU35" i="16"/>
  <c r="DU13" i="16"/>
  <c r="DU36" i="16"/>
  <c r="DU29" i="16"/>
  <c r="DU12" i="16"/>
  <c r="DU4" i="16"/>
  <c r="DU5" i="16"/>
  <c r="DU28" i="16"/>
  <c r="DU43" i="16"/>
  <c r="DU37" i="16"/>
  <c r="DU44" i="16"/>
  <c r="DU52" i="16"/>
  <c r="CW75" i="5"/>
  <c r="CX48" i="5"/>
  <c r="CX32" i="5"/>
  <c r="CZ2" i="5"/>
  <c r="CY3" i="5"/>
  <c r="CY4" i="5"/>
  <c r="CY5" i="5"/>
  <c r="CY6" i="5"/>
  <c r="CY11" i="5"/>
  <c r="CY12" i="5"/>
  <c r="CY13" i="5"/>
  <c r="CY14" i="5"/>
  <c r="CY19" i="5"/>
  <c r="CY20" i="5"/>
  <c r="CY21" i="5"/>
  <c r="CY22" i="5"/>
  <c r="CY27" i="5"/>
  <c r="CY28" i="5"/>
  <c r="CY29" i="5"/>
  <c r="CY30" i="5"/>
  <c r="CY67" i="5"/>
  <c r="CY68" i="5"/>
  <c r="CY69" i="5"/>
  <c r="CY70" i="5"/>
  <c r="CY60" i="5"/>
  <c r="CY43" i="5"/>
  <c r="CY36" i="5"/>
  <c r="CY37" i="5"/>
  <c r="CY59" i="5"/>
  <c r="CY51" i="5"/>
  <c r="CY52" i="5"/>
  <c r="CY35" i="5"/>
  <c r="CY38" i="5"/>
  <c r="CY44" i="5"/>
  <c r="CY45" i="5"/>
  <c r="CY62" i="5"/>
  <c r="CY46" i="5"/>
  <c r="CY54" i="5"/>
  <c r="CY53" i="5"/>
  <c r="CY61" i="5"/>
  <c r="CX64" i="5"/>
  <c r="CX24" i="5"/>
  <c r="CX72" i="5"/>
  <c r="CX56" i="5"/>
  <c r="CX8" i="5"/>
  <c r="CX16" i="5"/>
  <c r="CX40" i="5"/>
  <c r="DY75" i="15" l="1"/>
  <c r="DZ72" i="15"/>
  <c r="DZ40" i="15"/>
  <c r="DZ24" i="15"/>
  <c r="DZ64" i="15"/>
  <c r="DZ16" i="15"/>
  <c r="DZ32" i="15"/>
  <c r="DZ56" i="15"/>
  <c r="DZ8" i="15"/>
  <c r="DZ48" i="15"/>
  <c r="EA71" i="15"/>
  <c r="EA63" i="15"/>
  <c r="EA55" i="15"/>
  <c r="EA47" i="15"/>
  <c r="EA23" i="15"/>
  <c r="EA39" i="15"/>
  <c r="EA31" i="15"/>
  <c r="EA15" i="15"/>
  <c r="EA7" i="15"/>
  <c r="EA68" i="15"/>
  <c r="EA67" i="15"/>
  <c r="EA59" i="15"/>
  <c r="EA46" i="15"/>
  <c r="EA44" i="15"/>
  <c r="EA20" i="15"/>
  <c r="EA36" i="15"/>
  <c r="EA13" i="15"/>
  <c r="EA29" i="15"/>
  <c r="EA70" i="15"/>
  <c r="EA53" i="15"/>
  <c r="EA43" i="15"/>
  <c r="EA37" i="15"/>
  <c r="EA62" i="15"/>
  <c r="EA12" i="15"/>
  <c r="EA4" i="15"/>
  <c r="EA3" i="15"/>
  <c r="EA5" i="15"/>
  <c r="EA60" i="15"/>
  <c r="EA51" i="15"/>
  <c r="EA35" i="15"/>
  <c r="EA52" i="15"/>
  <c r="EA38" i="15"/>
  <c r="EA11" i="15"/>
  <c r="EA30" i="15"/>
  <c r="EA22" i="15"/>
  <c r="EB2" i="15"/>
  <c r="EA69" i="15"/>
  <c r="EA61" i="15"/>
  <c r="EA45" i="15"/>
  <c r="EA28" i="15"/>
  <c r="EA14" i="15"/>
  <c r="EA6" i="15"/>
  <c r="EA21" i="15"/>
  <c r="EA27" i="15"/>
  <c r="EA19" i="15"/>
  <c r="EA54" i="15"/>
  <c r="DU40" i="16"/>
  <c r="DU32" i="16"/>
  <c r="DU24" i="16"/>
  <c r="DU16" i="16"/>
  <c r="DV7" i="16"/>
  <c r="DV63" i="16"/>
  <c r="DV46" i="16"/>
  <c r="DW2" i="16"/>
  <c r="DX2" i="16" s="1"/>
  <c r="DY2" i="16" s="1"/>
  <c r="DZ2" i="16" s="1"/>
  <c r="EA2" i="16" s="1"/>
  <c r="EB2" i="16" s="1"/>
  <c r="EC2" i="16" s="1"/>
  <c r="ED2" i="16" s="1"/>
  <c r="EE2" i="16" s="1"/>
  <c r="EF2" i="16" s="1"/>
  <c r="EG2" i="16" s="1"/>
  <c r="EH2" i="16" s="1"/>
  <c r="EI2" i="16" s="1"/>
  <c r="EJ2" i="16" s="1"/>
  <c r="EK2" i="16" s="1"/>
  <c r="EL2" i="16" s="1"/>
  <c r="EM2" i="16" s="1"/>
  <c r="EN2" i="16" s="1"/>
  <c r="EO2" i="16" s="1"/>
  <c r="EP2" i="16" s="1"/>
  <c r="EQ2" i="16" s="1"/>
  <c r="ER2" i="16" s="1"/>
  <c r="ES2" i="16" s="1"/>
  <c r="ET2" i="16" s="1"/>
  <c r="EU2" i="16" s="1"/>
  <c r="EV2" i="16" s="1"/>
  <c r="EW2" i="16" s="1"/>
  <c r="EX2" i="16" s="1"/>
  <c r="EY2" i="16" s="1"/>
  <c r="EZ2" i="16" s="1"/>
  <c r="FA2" i="16" s="1"/>
  <c r="FB2" i="16" s="1"/>
  <c r="DV14" i="16"/>
  <c r="DV6" i="16"/>
  <c r="DV19" i="16"/>
  <c r="DV20" i="16"/>
  <c r="DV21" i="16"/>
  <c r="DV22" i="16"/>
  <c r="DV30" i="16"/>
  <c r="DV38" i="16"/>
  <c r="DV11" i="16"/>
  <c r="DV35" i="16"/>
  <c r="DV45" i="16"/>
  <c r="DV13" i="16"/>
  <c r="DV27" i="16"/>
  <c r="DV4" i="16"/>
  <c r="DV36" i="16"/>
  <c r="DV12" i="16"/>
  <c r="DV43" i="16"/>
  <c r="DV5" i="16"/>
  <c r="DV28" i="16"/>
  <c r="DV29" i="16"/>
  <c r="DV37" i="16"/>
  <c r="DV52" i="16"/>
  <c r="DV44" i="16"/>
  <c r="DU48" i="16"/>
  <c r="CX75" i="5"/>
  <c r="CY40" i="5"/>
  <c r="DA2" i="5"/>
  <c r="CZ3" i="5"/>
  <c r="CZ4" i="5"/>
  <c r="CZ5" i="5"/>
  <c r="CZ6" i="5"/>
  <c r="CZ11" i="5"/>
  <c r="CZ12" i="5"/>
  <c r="CZ13" i="5"/>
  <c r="CZ14" i="5"/>
  <c r="CZ19" i="5"/>
  <c r="CZ20" i="5"/>
  <c r="CZ21" i="5"/>
  <c r="CZ22" i="5"/>
  <c r="CZ27" i="5"/>
  <c r="CZ28" i="5"/>
  <c r="CZ29" i="5"/>
  <c r="CZ30" i="5"/>
  <c r="CZ67" i="5"/>
  <c r="CZ68" i="5"/>
  <c r="CZ70" i="5"/>
  <c r="CZ37" i="5"/>
  <c r="CZ52" i="5"/>
  <c r="CZ43" i="5"/>
  <c r="CZ54" i="5"/>
  <c r="CZ60" i="5"/>
  <c r="CZ51" i="5"/>
  <c r="CZ59" i="5"/>
  <c r="CZ38" i="5"/>
  <c r="CZ62" i="5"/>
  <c r="CZ46" i="5"/>
  <c r="CZ61" i="5"/>
  <c r="CZ69" i="5"/>
  <c r="CZ36" i="5"/>
  <c r="CZ44" i="5"/>
  <c r="CZ35" i="5"/>
  <c r="CZ45" i="5"/>
  <c r="CZ53" i="5"/>
  <c r="CY32" i="5"/>
  <c r="CY72" i="5"/>
  <c r="CY48" i="5"/>
  <c r="CY8" i="5"/>
  <c r="CY16" i="5"/>
  <c r="CY24" i="5"/>
  <c r="CY64" i="5"/>
  <c r="CY56" i="5"/>
  <c r="EA24" i="15" l="1"/>
  <c r="EA56" i="15"/>
  <c r="EA48" i="15"/>
  <c r="EA16" i="15"/>
  <c r="EA32" i="15"/>
  <c r="EB71" i="15"/>
  <c r="EB63" i="15"/>
  <c r="EB47" i="15"/>
  <c r="EB55" i="15"/>
  <c r="EB39" i="15"/>
  <c r="EB31" i="15"/>
  <c r="EB23" i="15"/>
  <c r="EB15" i="15"/>
  <c r="EB7" i="15"/>
  <c r="EB69" i="15"/>
  <c r="EB51" i="15"/>
  <c r="EB45" i="15"/>
  <c r="EB52" i="15"/>
  <c r="EB44" i="15"/>
  <c r="EB21" i="15"/>
  <c r="EB46" i="15"/>
  <c r="EB30" i="15"/>
  <c r="EB5" i="15"/>
  <c r="EB3" i="15"/>
  <c r="EB67" i="15"/>
  <c r="EB37" i="15"/>
  <c r="EB62" i="15"/>
  <c r="EB36" i="15"/>
  <c r="EB27" i="15"/>
  <c r="EB19" i="15"/>
  <c r="EB4" i="15"/>
  <c r="EB29" i="15"/>
  <c r="EB70" i="15"/>
  <c r="EB60" i="15"/>
  <c r="EB68" i="15"/>
  <c r="EB54" i="15"/>
  <c r="EB43" i="15"/>
  <c r="EB35" i="15"/>
  <c r="EB11" i="15"/>
  <c r="EB12" i="15"/>
  <c r="EB22" i="15"/>
  <c r="EB6" i="15"/>
  <c r="EB61" i="15"/>
  <c r="EB59" i="15"/>
  <c r="EB53" i="15"/>
  <c r="EB28" i="15"/>
  <c r="EB38" i="15"/>
  <c r="EB13" i="15"/>
  <c r="EB20" i="15"/>
  <c r="EB14" i="15"/>
  <c r="EC2" i="15"/>
  <c r="EA64" i="15"/>
  <c r="EA72" i="15"/>
  <c r="DZ75" i="15"/>
  <c r="EA40" i="15"/>
  <c r="EA8" i="15"/>
  <c r="DV40" i="16"/>
  <c r="DV32" i="16"/>
  <c r="DV24" i="16"/>
  <c r="DV16" i="16"/>
  <c r="DV48" i="16"/>
  <c r="CY75" i="5"/>
  <c r="CZ56" i="5"/>
  <c r="CZ40" i="5"/>
  <c r="CZ24" i="5"/>
  <c r="CZ32" i="5"/>
  <c r="DB2" i="5"/>
  <c r="DA3" i="5"/>
  <c r="DA4" i="5"/>
  <c r="DA5" i="5"/>
  <c r="DA6" i="5"/>
  <c r="DA11" i="5"/>
  <c r="DA12" i="5"/>
  <c r="DA13" i="5"/>
  <c r="DA14" i="5"/>
  <c r="DA19" i="5"/>
  <c r="DA20" i="5"/>
  <c r="DA21" i="5"/>
  <c r="DA22" i="5"/>
  <c r="DA27" i="5"/>
  <c r="DA28" i="5"/>
  <c r="DA29" i="5"/>
  <c r="DA30" i="5"/>
  <c r="DA67" i="5"/>
  <c r="DA68" i="5"/>
  <c r="DA69" i="5"/>
  <c r="DA70" i="5"/>
  <c r="DA60" i="5"/>
  <c r="DA35" i="5"/>
  <c r="DA36" i="5"/>
  <c r="DA37" i="5"/>
  <c r="DA59" i="5"/>
  <c r="DA51" i="5"/>
  <c r="DA52" i="5"/>
  <c r="DA38" i="5"/>
  <c r="DA43" i="5"/>
  <c r="DA44" i="5"/>
  <c r="DA45" i="5"/>
  <c r="DA54" i="5"/>
  <c r="DA46" i="5"/>
  <c r="DA61" i="5"/>
  <c r="DA62" i="5"/>
  <c r="DA53" i="5"/>
  <c r="CZ72" i="5"/>
  <c r="CZ48" i="5"/>
  <c r="CZ64" i="5"/>
  <c r="CZ8" i="5"/>
  <c r="CZ16" i="5"/>
  <c r="EB32" i="15" l="1"/>
  <c r="EB16" i="15"/>
  <c r="EC71" i="15"/>
  <c r="EC63" i="15"/>
  <c r="EC55" i="15"/>
  <c r="EC47" i="15"/>
  <c r="EC31" i="15"/>
  <c r="EC23" i="15"/>
  <c r="EC39" i="15"/>
  <c r="EC7" i="15"/>
  <c r="EC15" i="15"/>
  <c r="EC61" i="15"/>
  <c r="EC70" i="15"/>
  <c r="EC51" i="15"/>
  <c r="EC53" i="15"/>
  <c r="EC30" i="15"/>
  <c r="EC5" i="15"/>
  <c r="EC6" i="15"/>
  <c r="EC3" i="15"/>
  <c r="EC36" i="15"/>
  <c r="EC67" i="15"/>
  <c r="EC60" i="15"/>
  <c r="EC54" i="15"/>
  <c r="EC29" i="15"/>
  <c r="EC43" i="15"/>
  <c r="EC28" i="15"/>
  <c r="EC35" i="15"/>
  <c r="EC4" i="15"/>
  <c r="EC59" i="15"/>
  <c r="EC19" i="15"/>
  <c r="EC37" i="15"/>
  <c r="EC68" i="15"/>
  <c r="EC62" i="15"/>
  <c r="EC46" i="15"/>
  <c r="EC38" i="15"/>
  <c r="EC20" i="15"/>
  <c r="EC11" i="15"/>
  <c r="EC22" i="15"/>
  <c r="EC13" i="15"/>
  <c r="EC27" i="15"/>
  <c r="EC52" i="15"/>
  <c r="EC21" i="15"/>
  <c r="EC14" i="15"/>
  <c r="EC12" i="15"/>
  <c r="EC45" i="15"/>
  <c r="EC69" i="15"/>
  <c r="EC44" i="15"/>
  <c r="ED2" i="15"/>
  <c r="EB40" i="15"/>
  <c r="EB24" i="15"/>
  <c r="EB48" i="15"/>
  <c r="EB72" i="15"/>
  <c r="EA75" i="15"/>
  <c r="EB64" i="15"/>
  <c r="EB8" i="15"/>
  <c r="EB56" i="15"/>
  <c r="CZ75" i="5"/>
  <c r="DA32" i="5"/>
  <c r="DC2" i="5"/>
  <c r="DB6" i="5"/>
  <c r="DB13" i="5"/>
  <c r="DB21" i="5"/>
  <c r="DB29" i="5"/>
  <c r="DB69" i="5"/>
  <c r="DB43" i="5"/>
  <c r="DB54" i="5"/>
  <c r="DB5" i="5"/>
  <c r="DB27" i="5"/>
  <c r="DB36" i="5"/>
  <c r="DB59" i="5"/>
  <c r="DB45" i="5"/>
  <c r="DB61" i="5"/>
  <c r="DB12" i="5"/>
  <c r="DB20" i="5"/>
  <c r="DB67" i="5"/>
  <c r="DB70" i="5"/>
  <c r="DB44" i="5"/>
  <c r="DB52" i="5"/>
  <c r="DB38" i="5"/>
  <c r="DB53" i="5"/>
  <c r="DB3" i="5"/>
  <c r="DB14" i="5"/>
  <c r="DB22" i="5"/>
  <c r="DB30" i="5"/>
  <c r="DB60" i="5"/>
  <c r="DB37" i="5"/>
  <c r="DB35" i="5"/>
  <c r="DB62" i="5"/>
  <c r="DB4" i="5"/>
  <c r="DB11" i="5"/>
  <c r="DB19" i="5"/>
  <c r="DB28" i="5"/>
  <c r="DB68" i="5"/>
  <c r="DB51" i="5"/>
  <c r="DB46" i="5"/>
  <c r="DA40" i="5"/>
  <c r="DA56" i="5"/>
  <c r="DA8" i="5"/>
  <c r="DA16" i="5"/>
  <c r="DA24" i="5"/>
  <c r="DA72" i="5"/>
  <c r="DA64" i="5"/>
  <c r="DA48" i="5"/>
  <c r="EC56" i="15" l="1"/>
  <c r="EC24" i="15"/>
  <c r="EC16" i="15"/>
  <c r="EC64" i="15"/>
  <c r="EC48" i="15"/>
  <c r="EC72" i="15"/>
  <c r="ED71" i="15"/>
  <c r="ED63" i="15"/>
  <c r="ED55" i="15"/>
  <c r="ED47" i="15"/>
  <c r="ED39" i="15"/>
  <c r="ED31" i="15"/>
  <c r="ED23" i="15"/>
  <c r="ED7" i="15"/>
  <c r="ED15" i="15"/>
  <c r="ED68" i="15"/>
  <c r="ED67" i="15"/>
  <c r="ED70" i="15"/>
  <c r="ED36" i="15"/>
  <c r="ED38" i="15"/>
  <c r="ED27" i="15"/>
  <c r="ED22" i="15"/>
  <c r="ED6" i="15"/>
  <c r="ED21" i="15"/>
  <c r="ED5" i="15"/>
  <c r="ED60" i="15"/>
  <c r="ED51" i="15"/>
  <c r="ED52" i="15"/>
  <c r="ED54" i="15"/>
  <c r="ED11" i="15"/>
  <c r="ED37" i="15"/>
  <c r="ED12" i="15"/>
  <c r="ED61" i="15"/>
  <c r="ED35" i="15"/>
  <c r="ED62" i="15"/>
  <c r="ED53" i="15"/>
  <c r="ED44" i="15"/>
  <c r="ED30" i="15"/>
  <c r="ED29" i="15"/>
  <c r="ED20" i="15"/>
  <c r="ED43" i="15"/>
  <c r="ED14" i="15"/>
  <c r="ED3" i="15"/>
  <c r="ED59" i="15"/>
  <c r="ED69" i="15"/>
  <c r="ED46" i="15"/>
  <c r="ED45" i="15"/>
  <c r="ED28" i="15"/>
  <c r="ED13" i="15"/>
  <c r="ED19" i="15"/>
  <c r="ED4" i="15"/>
  <c r="EE2" i="15"/>
  <c r="EC32" i="15"/>
  <c r="EB75" i="15"/>
  <c r="EC40" i="15"/>
  <c r="EC8" i="15"/>
  <c r="DA75" i="5"/>
  <c r="DB56" i="5"/>
  <c r="DB40" i="5"/>
  <c r="DB24" i="5"/>
  <c r="DB16" i="5"/>
  <c r="DB32" i="5"/>
  <c r="DC5" i="5"/>
  <c r="DC14" i="5"/>
  <c r="DC21" i="5"/>
  <c r="DC29" i="5"/>
  <c r="DC69" i="5"/>
  <c r="DC59" i="5"/>
  <c r="DC6" i="5"/>
  <c r="DC28" i="5"/>
  <c r="DC70" i="5"/>
  <c r="DC51" i="5"/>
  <c r="DC62" i="5"/>
  <c r="DC4" i="5"/>
  <c r="DC13" i="5"/>
  <c r="DC22" i="5"/>
  <c r="DC67" i="5"/>
  <c r="DC37" i="5"/>
  <c r="DC36" i="5"/>
  <c r="DC38" i="5"/>
  <c r="DC46" i="5"/>
  <c r="DD2" i="5"/>
  <c r="DC11" i="5"/>
  <c r="DC19" i="5"/>
  <c r="DC27" i="5"/>
  <c r="DC68" i="5"/>
  <c r="DC35" i="5"/>
  <c r="DC53" i="5"/>
  <c r="DC44" i="5"/>
  <c r="DC61" i="5"/>
  <c r="DC3" i="5"/>
  <c r="DC12" i="5"/>
  <c r="DC20" i="5"/>
  <c r="DC30" i="5"/>
  <c r="DC60" i="5"/>
  <c r="DC45" i="5"/>
  <c r="DC52" i="5"/>
  <c r="DC43" i="5"/>
  <c r="DC54" i="5"/>
  <c r="DB64" i="5"/>
  <c r="DB8" i="5"/>
  <c r="DB48" i="5"/>
  <c r="DB72" i="5"/>
  <c r="ED32" i="15" l="1"/>
  <c r="ED72" i="15"/>
  <c r="ED48" i="15"/>
  <c r="EC75" i="15"/>
  <c r="EE71" i="15"/>
  <c r="EE63" i="15"/>
  <c r="EE55" i="15"/>
  <c r="EE47" i="15"/>
  <c r="EE39" i="15"/>
  <c r="EE31" i="15"/>
  <c r="EE23" i="15"/>
  <c r="EE15" i="15"/>
  <c r="EE7" i="15"/>
  <c r="EE67" i="15"/>
  <c r="EE52" i="15"/>
  <c r="EE60" i="15"/>
  <c r="EE44" i="15"/>
  <c r="EE51" i="15"/>
  <c r="EE22" i="15"/>
  <c r="EE14" i="15"/>
  <c r="EE28" i="15"/>
  <c r="EE6" i="15"/>
  <c r="EE68" i="15"/>
  <c r="EE61" i="15"/>
  <c r="EE36" i="15"/>
  <c r="EE38" i="15"/>
  <c r="EE45" i="15"/>
  <c r="EE5" i="15"/>
  <c r="EE4" i="15"/>
  <c r="EE21" i="15"/>
  <c r="EE19" i="15"/>
  <c r="EE70" i="15"/>
  <c r="EE59" i="15"/>
  <c r="EE53" i="15"/>
  <c r="EE46" i="15"/>
  <c r="EE35" i="15"/>
  <c r="EE30" i="15"/>
  <c r="EE27" i="15"/>
  <c r="EE13" i="15"/>
  <c r="EF2" i="15"/>
  <c r="EE62" i="15"/>
  <c r="EE54" i="15"/>
  <c r="EE37" i="15"/>
  <c r="EE43" i="15"/>
  <c r="EE29" i="15"/>
  <c r="EE20" i="15"/>
  <c r="EE11" i="15"/>
  <c r="EE3" i="15"/>
  <c r="EE69" i="15"/>
  <c r="EE12" i="15"/>
  <c r="ED64" i="15"/>
  <c r="ED56" i="15"/>
  <c r="ED8" i="15"/>
  <c r="ED24" i="15"/>
  <c r="ED40" i="15"/>
  <c r="ED16" i="15"/>
  <c r="DB75" i="5"/>
  <c r="DC72" i="5"/>
  <c r="DC64" i="5"/>
  <c r="DC56" i="5"/>
  <c r="DC16" i="5"/>
  <c r="DC32" i="5"/>
  <c r="DE2" i="5"/>
  <c r="DD3" i="5"/>
  <c r="DD4" i="5"/>
  <c r="DD5" i="5"/>
  <c r="DD6" i="5"/>
  <c r="DD11" i="5"/>
  <c r="DD12" i="5"/>
  <c r="DD13" i="5"/>
  <c r="DD14" i="5"/>
  <c r="DD19" i="5"/>
  <c r="DD20" i="5"/>
  <c r="DD21" i="5"/>
  <c r="DD22" i="5"/>
  <c r="DD27" i="5"/>
  <c r="DD28" i="5"/>
  <c r="DD29" i="5"/>
  <c r="DD30" i="5"/>
  <c r="DD67" i="5"/>
  <c r="DD68" i="5"/>
  <c r="DD69" i="5"/>
  <c r="DD70" i="5"/>
  <c r="DD60" i="5"/>
  <c r="DD53" i="5"/>
  <c r="DD36" i="5"/>
  <c r="DD43" i="5"/>
  <c r="DD44" i="5"/>
  <c r="DD37" i="5"/>
  <c r="DD59" i="5"/>
  <c r="DD51" i="5"/>
  <c r="DD52" i="5"/>
  <c r="DD35" i="5"/>
  <c r="DD38" i="5"/>
  <c r="DD45" i="5"/>
  <c r="DD62" i="5"/>
  <c r="DD46" i="5"/>
  <c r="DD54" i="5"/>
  <c r="DD61" i="5"/>
  <c r="DC24" i="5"/>
  <c r="DC40" i="5"/>
  <c r="DC8" i="5"/>
  <c r="DC48" i="5"/>
  <c r="EE16" i="15" l="1"/>
  <c r="EE24" i="15"/>
  <c r="ED75" i="15"/>
  <c r="EE64" i="15"/>
  <c r="EE8" i="15"/>
  <c r="EE48" i="15"/>
  <c r="EF71" i="15"/>
  <c r="EF63" i="15"/>
  <c r="EF47" i="15"/>
  <c r="EF55" i="15"/>
  <c r="EF23" i="15"/>
  <c r="EF39" i="15"/>
  <c r="EF31" i="15"/>
  <c r="EF15" i="15"/>
  <c r="EF7" i="15"/>
  <c r="EF69" i="15"/>
  <c r="EF60" i="15"/>
  <c r="EF46" i="15"/>
  <c r="EF30" i="15"/>
  <c r="EF35" i="15"/>
  <c r="EF59" i="15"/>
  <c r="EF21" i="15"/>
  <c r="EF5" i="15"/>
  <c r="EF11" i="15"/>
  <c r="EF67" i="15"/>
  <c r="EF53" i="15"/>
  <c r="EF37" i="15"/>
  <c r="EF27" i="15"/>
  <c r="EF20" i="15"/>
  <c r="EF14" i="15"/>
  <c r="EF4" i="15"/>
  <c r="EF3" i="15"/>
  <c r="EF29" i="15"/>
  <c r="EF68" i="15"/>
  <c r="EF62" i="15"/>
  <c r="EF52" i="15"/>
  <c r="EF38" i="15"/>
  <c r="EF51" i="15"/>
  <c r="EF22" i="15"/>
  <c r="EF13" i="15"/>
  <c r="EF28" i="15"/>
  <c r="EF6" i="15"/>
  <c r="EG2" i="15"/>
  <c r="EF70" i="15"/>
  <c r="EF61" i="15"/>
  <c r="EF54" i="15"/>
  <c r="EF45" i="15"/>
  <c r="EF43" i="15"/>
  <c r="EF36" i="15"/>
  <c r="EF12" i="15"/>
  <c r="EF19" i="15"/>
  <c r="EF44" i="15"/>
  <c r="EE40" i="15"/>
  <c r="EE32" i="15"/>
  <c r="EE56" i="15"/>
  <c r="EE72" i="15"/>
  <c r="DC75" i="5"/>
  <c r="DD72" i="5"/>
  <c r="DE3" i="5"/>
  <c r="DE13" i="5"/>
  <c r="DE53" i="5"/>
  <c r="DE35" i="5"/>
  <c r="DE62" i="5"/>
  <c r="DE4" i="5"/>
  <c r="DE12" i="5"/>
  <c r="DE20" i="5"/>
  <c r="DE67" i="5"/>
  <c r="DE37" i="5"/>
  <c r="DE59" i="5"/>
  <c r="DE46" i="5"/>
  <c r="DE5" i="5"/>
  <c r="DE21" i="5"/>
  <c r="DE69" i="5"/>
  <c r="DE51" i="5"/>
  <c r="DE38" i="5"/>
  <c r="DE11" i="5"/>
  <c r="DE19" i="5"/>
  <c r="DE27" i="5"/>
  <c r="DE30" i="5"/>
  <c r="DE70" i="5"/>
  <c r="DE45" i="5"/>
  <c r="DE52" i="5"/>
  <c r="DE54" i="5"/>
  <c r="DE28" i="5"/>
  <c r="DE43" i="5"/>
  <c r="DF2" i="5"/>
  <c r="DE6" i="5"/>
  <c r="DE14" i="5"/>
  <c r="DE22" i="5"/>
  <c r="DE29" i="5"/>
  <c r="DE68" i="5"/>
  <c r="DE60" i="5"/>
  <c r="DE36" i="5"/>
  <c r="DE44" i="5"/>
  <c r="DE61" i="5"/>
  <c r="DD32" i="5"/>
  <c r="DD48" i="5"/>
  <c r="DD64" i="5"/>
  <c r="DD56" i="5"/>
  <c r="DD40" i="5"/>
  <c r="DD8" i="5"/>
  <c r="DD16" i="5"/>
  <c r="DD24" i="5"/>
  <c r="EF72" i="15" l="1"/>
  <c r="EF24" i="15"/>
  <c r="EG63" i="15"/>
  <c r="EG71" i="15"/>
  <c r="EG55" i="15"/>
  <c r="EG47" i="15"/>
  <c r="EG31" i="15"/>
  <c r="EG23" i="15"/>
  <c r="EG39" i="15"/>
  <c r="EG7" i="15"/>
  <c r="EG15" i="15"/>
  <c r="EG67" i="15"/>
  <c r="EG54" i="15"/>
  <c r="EG52" i="15"/>
  <c r="EG35" i="15"/>
  <c r="EG19" i="15"/>
  <c r="EG45" i="15"/>
  <c r="EG21" i="15"/>
  <c r="EG27" i="15"/>
  <c r="EG14" i="15"/>
  <c r="EG62" i="15"/>
  <c r="EG38" i="15"/>
  <c r="EG29" i="15"/>
  <c r="EG12" i="15"/>
  <c r="EG28" i="15"/>
  <c r="EG3" i="15"/>
  <c r="EG30" i="15"/>
  <c r="EG13" i="15"/>
  <c r="EG22" i="15"/>
  <c r="EG70" i="15"/>
  <c r="EG68" i="15"/>
  <c r="EG61" i="15"/>
  <c r="EG44" i="15"/>
  <c r="EG36" i="15"/>
  <c r="EG60" i="15"/>
  <c r="EG46" i="15"/>
  <c r="EG11" i="15"/>
  <c r="EG5" i="15"/>
  <c r="EG4" i="15"/>
  <c r="EG6" i="15"/>
  <c r="EG69" i="15"/>
  <c r="EG59" i="15"/>
  <c r="EG53" i="15"/>
  <c r="EG51" i="15"/>
  <c r="EG43" i="15"/>
  <c r="EG37" i="15"/>
  <c r="EH2" i="15"/>
  <c r="EG20" i="15"/>
  <c r="EF56" i="15"/>
  <c r="EE75" i="15"/>
  <c r="EF64" i="15"/>
  <c r="EF48" i="15"/>
  <c r="EF8" i="15"/>
  <c r="EF32" i="15"/>
  <c r="EF16" i="15"/>
  <c r="EF40" i="15"/>
  <c r="DD75" i="5"/>
  <c r="DE48" i="5"/>
  <c r="DE40" i="5"/>
  <c r="DE24" i="5"/>
  <c r="DE32" i="5"/>
  <c r="DG2" i="5"/>
  <c r="DF3" i="5"/>
  <c r="DF4" i="5"/>
  <c r="DF5" i="5"/>
  <c r="DF6" i="5"/>
  <c r="DF11" i="5"/>
  <c r="DF12" i="5"/>
  <c r="DF13" i="5"/>
  <c r="DF14" i="5"/>
  <c r="DF19" i="5"/>
  <c r="DF20" i="5"/>
  <c r="DF21" i="5"/>
  <c r="DF22" i="5"/>
  <c r="DF27" i="5"/>
  <c r="DF28" i="5"/>
  <c r="DF29" i="5"/>
  <c r="DF30" i="5"/>
  <c r="DF67" i="5"/>
  <c r="DF68" i="5"/>
  <c r="DF69" i="5"/>
  <c r="DF70" i="5"/>
  <c r="DF60" i="5"/>
  <c r="DF61" i="5"/>
  <c r="DF53" i="5"/>
  <c r="DF36" i="5"/>
  <c r="DF43" i="5"/>
  <c r="DF35" i="5"/>
  <c r="DF37" i="5"/>
  <c r="DF38" i="5"/>
  <c r="DF44" i="5"/>
  <c r="DF59" i="5"/>
  <c r="DF51" i="5"/>
  <c r="DF52" i="5"/>
  <c r="DF45" i="5"/>
  <c r="DF62" i="5"/>
  <c r="DF46" i="5"/>
  <c r="DF54" i="5"/>
  <c r="DE72" i="5"/>
  <c r="DE64" i="5"/>
  <c r="DE56" i="5"/>
  <c r="DE16" i="5"/>
  <c r="DE8" i="5"/>
  <c r="EG48" i="15" l="1"/>
  <c r="EF75" i="15"/>
  <c r="EG16" i="15"/>
  <c r="EG56" i="15"/>
  <c r="EG24" i="15"/>
  <c r="EG72" i="15"/>
  <c r="EG40" i="15"/>
  <c r="EH71" i="15"/>
  <c r="EH63" i="15"/>
  <c r="EH55" i="15"/>
  <c r="EH47" i="15"/>
  <c r="EH39" i="15"/>
  <c r="EH31" i="15"/>
  <c r="EH23" i="15"/>
  <c r="EH7" i="15"/>
  <c r="EH15" i="15"/>
  <c r="EH62" i="15"/>
  <c r="EH59" i="15"/>
  <c r="EH53" i="15"/>
  <c r="EH36" i="15"/>
  <c r="EH29" i="15"/>
  <c r="EH14" i="15"/>
  <c r="EH35" i="15"/>
  <c r="EH13" i="15"/>
  <c r="EI2" i="15"/>
  <c r="EH69" i="15"/>
  <c r="EH54" i="15"/>
  <c r="EH52" i="15"/>
  <c r="EH44" i="15"/>
  <c r="EH37" i="15"/>
  <c r="EH27" i="15"/>
  <c r="EH20" i="15"/>
  <c r="EH4" i="15"/>
  <c r="EH28" i="15"/>
  <c r="EH68" i="15"/>
  <c r="EH60" i="15"/>
  <c r="EH51" i="15"/>
  <c r="EH46" i="15"/>
  <c r="EH38" i="15"/>
  <c r="EH22" i="15"/>
  <c r="EH6" i="15"/>
  <c r="EH21" i="15"/>
  <c r="EH3" i="15"/>
  <c r="EH5" i="15"/>
  <c r="EH70" i="15"/>
  <c r="EH67" i="15"/>
  <c r="EH61" i="15"/>
  <c r="EH43" i="15"/>
  <c r="EH30" i="15"/>
  <c r="EH19" i="15"/>
  <c r="EH45" i="15"/>
  <c r="EH12" i="15"/>
  <c r="EH11" i="15"/>
  <c r="EG32" i="15"/>
  <c r="EG64" i="15"/>
  <c r="EG8" i="15"/>
  <c r="DE75" i="5"/>
  <c r="DH2" i="5"/>
  <c r="DG3" i="5"/>
  <c r="DG4" i="5"/>
  <c r="DG5" i="5"/>
  <c r="DG6" i="5"/>
  <c r="DG11" i="5"/>
  <c r="DG12" i="5"/>
  <c r="DG13" i="5"/>
  <c r="DG14" i="5"/>
  <c r="DG19" i="5"/>
  <c r="DG20" i="5"/>
  <c r="DG21" i="5"/>
  <c r="DG22" i="5"/>
  <c r="DG27" i="5"/>
  <c r="DG28" i="5"/>
  <c r="DG29" i="5"/>
  <c r="DG30" i="5"/>
  <c r="DG67" i="5"/>
  <c r="DG68" i="5"/>
  <c r="DG69" i="5"/>
  <c r="DG70" i="5"/>
  <c r="DG60" i="5"/>
  <c r="DG61" i="5"/>
  <c r="DG52" i="5"/>
  <c r="DG37" i="5"/>
  <c r="DG43" i="5"/>
  <c r="DG44" i="5"/>
  <c r="DG45" i="5"/>
  <c r="DG51" i="5"/>
  <c r="DG36" i="5"/>
  <c r="DG59" i="5"/>
  <c r="DG53" i="5"/>
  <c r="DG35" i="5"/>
  <c r="DG38" i="5"/>
  <c r="DG62" i="5"/>
  <c r="DG46" i="5"/>
  <c r="DG54" i="5"/>
  <c r="DF8" i="5"/>
  <c r="DF24" i="5"/>
  <c r="DF16" i="5"/>
  <c r="DF32" i="5"/>
  <c r="DF48" i="5"/>
  <c r="DF40" i="5"/>
  <c r="DF64" i="5"/>
  <c r="DF72" i="5"/>
  <c r="DF56" i="5"/>
  <c r="EH16" i="15" l="1"/>
  <c r="EH56" i="15"/>
  <c r="EH40" i="15"/>
  <c r="EI71" i="15"/>
  <c r="EI63" i="15"/>
  <c r="EI55" i="15"/>
  <c r="EI47" i="15"/>
  <c r="EI39" i="15"/>
  <c r="EI31" i="15"/>
  <c r="EI23" i="15"/>
  <c r="EI15" i="15"/>
  <c r="EI7" i="15"/>
  <c r="EI69" i="15"/>
  <c r="EI59" i="15"/>
  <c r="EI46" i="15"/>
  <c r="EI45" i="15"/>
  <c r="EI36" i="15"/>
  <c r="EI51" i="15"/>
  <c r="EI20" i="15"/>
  <c r="EI5" i="15"/>
  <c r="EI6" i="15"/>
  <c r="EI60" i="15"/>
  <c r="EI68" i="15"/>
  <c r="EI38" i="15"/>
  <c r="EI54" i="15"/>
  <c r="EI27" i="15"/>
  <c r="EI28" i="15"/>
  <c r="EI19" i="15"/>
  <c r="EJ2" i="15"/>
  <c r="EI13" i="15"/>
  <c r="EI52" i="15"/>
  <c r="EI61" i="15"/>
  <c r="EI44" i="15"/>
  <c r="EI35" i="15"/>
  <c r="EI22" i="15"/>
  <c r="EI43" i="15"/>
  <c r="EI37" i="15"/>
  <c r="EI14" i="15"/>
  <c r="EI21" i="15"/>
  <c r="EI70" i="15"/>
  <c r="EI67" i="15"/>
  <c r="EI53" i="15"/>
  <c r="EI62" i="15"/>
  <c r="EI29" i="15"/>
  <c r="EI30" i="15"/>
  <c r="EI12" i="15"/>
  <c r="EI3" i="15"/>
  <c r="EI11" i="15"/>
  <c r="EI4" i="15"/>
  <c r="EH8" i="15"/>
  <c r="EH32" i="15"/>
  <c r="EH24" i="15"/>
  <c r="EH72" i="15"/>
  <c r="EH64" i="15"/>
  <c r="EG75" i="15"/>
  <c r="EH48" i="15"/>
  <c r="DF75" i="5"/>
  <c r="DG56" i="5"/>
  <c r="DG40" i="5"/>
  <c r="DI2" i="5"/>
  <c r="DH3" i="5"/>
  <c r="DH4" i="5"/>
  <c r="DH5" i="5"/>
  <c r="DH6" i="5"/>
  <c r="DH11" i="5"/>
  <c r="DH12" i="5"/>
  <c r="DH13" i="5"/>
  <c r="DH14" i="5"/>
  <c r="DH19" i="5"/>
  <c r="DH20" i="5"/>
  <c r="DH21" i="5"/>
  <c r="DH22" i="5"/>
  <c r="DH27" i="5"/>
  <c r="DH28" i="5"/>
  <c r="DH29" i="5"/>
  <c r="DH30" i="5"/>
  <c r="DH67" i="5"/>
  <c r="DH68" i="5"/>
  <c r="DH69" i="5"/>
  <c r="DH70" i="5"/>
  <c r="DH60" i="5"/>
  <c r="DH61" i="5"/>
  <c r="DH36" i="5"/>
  <c r="DH46" i="5"/>
  <c r="DH53" i="5"/>
  <c r="DH37" i="5"/>
  <c r="DH44" i="5"/>
  <c r="DH59" i="5"/>
  <c r="DH51" i="5"/>
  <c r="DH52" i="5"/>
  <c r="DH35" i="5"/>
  <c r="DH38" i="5"/>
  <c r="DH43" i="5"/>
  <c r="DH45" i="5"/>
  <c r="DH54" i="5"/>
  <c r="DH62" i="5"/>
  <c r="DG48" i="5"/>
  <c r="DG16" i="5"/>
  <c r="DG24" i="5"/>
  <c r="DG32" i="5"/>
  <c r="DG8" i="5"/>
  <c r="DG72" i="5"/>
  <c r="DG64" i="5"/>
  <c r="EI24" i="15" l="1"/>
  <c r="EI48" i="15"/>
  <c r="EI16" i="15"/>
  <c r="EH75" i="15"/>
  <c r="EI32" i="15"/>
  <c r="EI56" i="15"/>
  <c r="EI64" i="15"/>
  <c r="EI40" i="15"/>
  <c r="EI72" i="15"/>
  <c r="EJ71" i="15"/>
  <c r="EJ63" i="15"/>
  <c r="EJ47" i="15"/>
  <c r="EJ55" i="15"/>
  <c r="EJ39" i="15"/>
  <c r="EJ31" i="15"/>
  <c r="EJ23" i="15"/>
  <c r="EJ15" i="15"/>
  <c r="EJ7" i="15"/>
  <c r="EJ60" i="15"/>
  <c r="EJ61" i="15"/>
  <c r="EJ38" i="15"/>
  <c r="EJ54" i="15"/>
  <c r="EJ27" i="15"/>
  <c r="EJ3" i="15"/>
  <c r="EJ14" i="15"/>
  <c r="EJ12" i="15"/>
  <c r="EJ69" i="15"/>
  <c r="EJ22" i="15"/>
  <c r="EJ5" i="15"/>
  <c r="EJ67" i="15"/>
  <c r="EJ59" i="15"/>
  <c r="EJ53" i="15"/>
  <c r="EJ35" i="15"/>
  <c r="EJ46" i="15"/>
  <c r="EJ28" i="15"/>
  <c r="EJ19" i="15"/>
  <c r="EJ4" i="15"/>
  <c r="EK2" i="15"/>
  <c r="EJ62" i="15"/>
  <c r="EJ52" i="15"/>
  <c r="EJ30" i="15"/>
  <c r="EJ36" i="15"/>
  <c r="EJ45" i="15"/>
  <c r="EJ6" i="15"/>
  <c r="EJ20" i="15"/>
  <c r="EJ29" i="15"/>
  <c r="EJ70" i="15"/>
  <c r="EJ51" i="15"/>
  <c r="EJ43" i="15"/>
  <c r="EJ37" i="15"/>
  <c r="EJ13" i="15"/>
  <c r="EJ11" i="15"/>
  <c r="EJ68" i="15"/>
  <c r="EJ21" i="15"/>
  <c r="EJ44" i="15"/>
  <c r="EI8" i="15"/>
  <c r="DG75" i="5"/>
  <c r="DH64" i="5"/>
  <c r="DH16" i="5"/>
  <c r="DI68" i="5"/>
  <c r="DI52" i="5"/>
  <c r="DI44" i="5"/>
  <c r="DI29" i="5"/>
  <c r="DI60" i="5"/>
  <c r="DI43" i="5"/>
  <c r="DI36" i="5"/>
  <c r="DI46" i="5"/>
  <c r="DJ2" i="5"/>
  <c r="DI3" i="5"/>
  <c r="DI4" i="5"/>
  <c r="DI5" i="5"/>
  <c r="DI6" i="5"/>
  <c r="DI11" i="5"/>
  <c r="DI12" i="5"/>
  <c r="DI13" i="5"/>
  <c r="DI14" i="5"/>
  <c r="DI19" i="5"/>
  <c r="DI20" i="5"/>
  <c r="DI21" i="5"/>
  <c r="DI22" i="5"/>
  <c r="DI27" i="5"/>
  <c r="DI30" i="5"/>
  <c r="DI70" i="5"/>
  <c r="DI53" i="5"/>
  <c r="DI35" i="5"/>
  <c r="DI45" i="5"/>
  <c r="DI54" i="5"/>
  <c r="DI69" i="5"/>
  <c r="DI37" i="5"/>
  <c r="DI38" i="5"/>
  <c r="DI62" i="5"/>
  <c r="DI28" i="5"/>
  <c r="DI67" i="5"/>
  <c r="DI61" i="5"/>
  <c r="DI51" i="5"/>
  <c r="DI59" i="5"/>
  <c r="DH24" i="5"/>
  <c r="DH32" i="5"/>
  <c r="DH72" i="5"/>
  <c r="DH56" i="5"/>
  <c r="DH40" i="5"/>
  <c r="DH48" i="5"/>
  <c r="DH8" i="5"/>
  <c r="EJ56" i="15" l="1"/>
  <c r="EJ64" i="15"/>
  <c r="EK71" i="15"/>
  <c r="EK63" i="15"/>
  <c r="EK55" i="15"/>
  <c r="EK47" i="15"/>
  <c r="EK31" i="15"/>
  <c r="EK23" i="15"/>
  <c r="EK39" i="15"/>
  <c r="EK7" i="15"/>
  <c r="EK15" i="15"/>
  <c r="EK69" i="15"/>
  <c r="EK68" i="15"/>
  <c r="EK45" i="15"/>
  <c r="EK60" i="15"/>
  <c r="EK37" i="15"/>
  <c r="EK12" i="15"/>
  <c r="EK5" i="15"/>
  <c r="EL2" i="15"/>
  <c r="EK11" i="15"/>
  <c r="EK62" i="15"/>
  <c r="EK21" i="15"/>
  <c r="EK3" i="15"/>
  <c r="EK70" i="15"/>
  <c r="EK61" i="15"/>
  <c r="EK35" i="15"/>
  <c r="EK28" i="15"/>
  <c r="EK27" i="15"/>
  <c r="EK51" i="15"/>
  <c r="EK13" i="15"/>
  <c r="EK20" i="15"/>
  <c r="EK4" i="15"/>
  <c r="EK67" i="15"/>
  <c r="EK54" i="15"/>
  <c r="EK43" i="15"/>
  <c r="EK46" i="15"/>
  <c r="EK38" i="15"/>
  <c r="EK44" i="15"/>
  <c r="EK30" i="15"/>
  <c r="EK14" i="15"/>
  <c r="EK19" i="15"/>
  <c r="EK59" i="15"/>
  <c r="EK36" i="15"/>
  <c r="EK52" i="15"/>
  <c r="EK22" i="15"/>
  <c r="EK6" i="15"/>
  <c r="EK53" i="15"/>
  <c r="EK29" i="15"/>
  <c r="EJ32" i="15"/>
  <c r="EJ72" i="15"/>
  <c r="EJ48" i="15"/>
  <c r="EJ40" i="15"/>
  <c r="EI75" i="15"/>
  <c r="EJ16" i="15"/>
  <c r="EJ24" i="15"/>
  <c r="EJ8" i="15"/>
  <c r="DH75" i="5"/>
  <c r="DI64" i="5"/>
  <c r="DI40" i="5"/>
  <c r="DI16" i="5"/>
  <c r="DK2" i="5"/>
  <c r="DJ3" i="5"/>
  <c r="DJ4" i="5"/>
  <c r="DJ5" i="5"/>
  <c r="DJ6" i="5"/>
  <c r="DJ11" i="5"/>
  <c r="DJ12" i="5"/>
  <c r="DJ13" i="5"/>
  <c r="DJ14" i="5"/>
  <c r="DJ19" i="5"/>
  <c r="DJ20" i="5"/>
  <c r="DJ21" i="5"/>
  <c r="DJ27" i="5"/>
  <c r="DJ29" i="5"/>
  <c r="DJ68" i="5"/>
  <c r="DJ60" i="5"/>
  <c r="DJ53" i="5"/>
  <c r="DJ45" i="5"/>
  <c r="DJ52" i="5"/>
  <c r="DJ59" i="5"/>
  <c r="DJ38" i="5"/>
  <c r="DJ22" i="5"/>
  <c r="DJ28" i="5"/>
  <c r="DJ30" i="5"/>
  <c r="DJ67" i="5"/>
  <c r="DJ69" i="5"/>
  <c r="DJ70" i="5"/>
  <c r="DJ61" i="5"/>
  <c r="DJ44" i="5"/>
  <c r="DJ51" i="5"/>
  <c r="DJ37" i="5"/>
  <c r="DJ46" i="5"/>
  <c r="DJ35" i="5"/>
  <c r="DJ36" i="5"/>
  <c r="DJ43" i="5"/>
  <c r="DJ62" i="5"/>
  <c r="DJ54" i="5"/>
  <c r="DI24" i="5"/>
  <c r="DI32" i="5"/>
  <c r="DI72" i="5"/>
  <c r="DI56" i="5"/>
  <c r="DI8" i="5"/>
  <c r="DI48" i="5"/>
  <c r="EK64" i="15" l="1"/>
  <c r="EJ75" i="15"/>
  <c r="EK40" i="15"/>
  <c r="EK24" i="15"/>
  <c r="EK72" i="15"/>
  <c r="EK56" i="15"/>
  <c r="EK32" i="15"/>
  <c r="EK16" i="15"/>
  <c r="EK48" i="15"/>
  <c r="EK8" i="15"/>
  <c r="EL71" i="15"/>
  <c r="EL63" i="15"/>
  <c r="EL55" i="15"/>
  <c r="EL47" i="15"/>
  <c r="EL39" i="15"/>
  <c r="EL23" i="15"/>
  <c r="EL31" i="15"/>
  <c r="EL7" i="15"/>
  <c r="EL15" i="15"/>
  <c r="EL60" i="15"/>
  <c r="EL59" i="15"/>
  <c r="EL54" i="15"/>
  <c r="EL38" i="15"/>
  <c r="EL51" i="15"/>
  <c r="EL6" i="15"/>
  <c r="EL14" i="15"/>
  <c r="EL46" i="15"/>
  <c r="EL13" i="15"/>
  <c r="EL5" i="15"/>
  <c r="EL68" i="15"/>
  <c r="EL69" i="15"/>
  <c r="EL52" i="15"/>
  <c r="EL30" i="15"/>
  <c r="EL28" i="15"/>
  <c r="EL22" i="15"/>
  <c r="EL11" i="15"/>
  <c r="EL44" i="15"/>
  <c r="EL12" i="15"/>
  <c r="EL61" i="15"/>
  <c r="EL62" i="15"/>
  <c r="EL37" i="15"/>
  <c r="EL35" i="15"/>
  <c r="EL27" i="15"/>
  <c r="EL29" i="15"/>
  <c r="EL36" i="15"/>
  <c r="EL3" i="15"/>
  <c r="EL43" i="15"/>
  <c r="EL20" i="15"/>
  <c r="EL4" i="15"/>
  <c r="EL67" i="15"/>
  <c r="EL70" i="15"/>
  <c r="EL53" i="15"/>
  <c r="EL45" i="15"/>
  <c r="EL19" i="15"/>
  <c r="EL21" i="15"/>
  <c r="EM2" i="15"/>
  <c r="DI75" i="5"/>
  <c r="DJ72" i="5"/>
  <c r="DJ64" i="5"/>
  <c r="DJ48" i="5"/>
  <c r="DL2" i="5"/>
  <c r="DK3" i="5"/>
  <c r="DK4" i="5"/>
  <c r="DK5" i="5"/>
  <c r="DK6" i="5"/>
  <c r="DK11" i="5"/>
  <c r="DK12" i="5"/>
  <c r="DK13" i="5"/>
  <c r="DK14" i="5"/>
  <c r="DK19" i="5"/>
  <c r="DK20" i="5"/>
  <c r="DK21" i="5"/>
  <c r="DK22" i="5"/>
  <c r="DK27" i="5"/>
  <c r="DK28" i="5"/>
  <c r="DK29" i="5"/>
  <c r="DK30" i="5"/>
  <c r="DK67" i="5"/>
  <c r="DK68" i="5"/>
  <c r="DK69" i="5"/>
  <c r="DK70" i="5"/>
  <c r="DK60" i="5"/>
  <c r="DK61" i="5"/>
  <c r="DK37" i="5"/>
  <c r="DK43" i="5"/>
  <c r="DK54" i="5"/>
  <c r="DK35" i="5"/>
  <c r="DK36" i="5"/>
  <c r="DK38" i="5"/>
  <c r="DK44" i="5"/>
  <c r="DK59" i="5"/>
  <c r="DK51" i="5"/>
  <c r="DK52" i="5"/>
  <c r="DK53" i="5"/>
  <c r="DK45" i="5"/>
  <c r="DK46" i="5"/>
  <c r="DK62" i="5"/>
  <c r="DJ56" i="5"/>
  <c r="DJ40" i="5"/>
  <c r="DJ16" i="5"/>
  <c r="DJ8" i="5"/>
  <c r="DJ24" i="5"/>
  <c r="DJ32" i="5"/>
  <c r="EL16" i="15" l="1"/>
  <c r="EL72" i="15"/>
  <c r="EL48" i="15"/>
  <c r="EL8" i="15"/>
  <c r="EL40" i="15"/>
  <c r="EK75" i="15"/>
  <c r="EL24" i="15"/>
  <c r="EL64" i="15"/>
  <c r="EM71" i="15"/>
  <c r="EM63" i="15"/>
  <c r="EM55" i="15"/>
  <c r="EM47" i="15"/>
  <c r="EM39" i="15"/>
  <c r="EM31" i="15"/>
  <c r="EM23" i="15"/>
  <c r="EM15" i="15"/>
  <c r="EM7" i="15"/>
  <c r="EM67" i="15"/>
  <c r="EM53" i="15"/>
  <c r="EM54" i="15"/>
  <c r="EM43" i="15"/>
  <c r="EM44" i="15"/>
  <c r="EM30" i="15"/>
  <c r="EM6" i="15"/>
  <c r="EM22" i="15"/>
  <c r="EM19" i="15"/>
  <c r="EM68" i="15"/>
  <c r="EM36" i="15"/>
  <c r="EM29" i="15"/>
  <c r="EM70" i="15"/>
  <c r="EM61" i="15"/>
  <c r="EM52" i="15"/>
  <c r="EM35" i="15"/>
  <c r="EM28" i="15"/>
  <c r="EM27" i="15"/>
  <c r="EM21" i="15"/>
  <c r="EM12" i="15"/>
  <c r="EN2" i="15"/>
  <c r="EM60" i="15"/>
  <c r="EM62" i="15"/>
  <c r="EM51" i="15"/>
  <c r="EM37" i="15"/>
  <c r="EM5" i="15"/>
  <c r="EM20" i="15"/>
  <c r="EM11" i="15"/>
  <c r="EM4" i="15"/>
  <c r="EM46" i="15"/>
  <c r="EM14" i="15"/>
  <c r="EM45" i="15"/>
  <c r="EM69" i="15"/>
  <c r="EM59" i="15"/>
  <c r="EM38" i="15"/>
  <c r="EM13" i="15"/>
  <c r="EM3" i="15"/>
  <c r="EL56" i="15"/>
  <c r="EL32" i="15"/>
  <c r="DJ75" i="5"/>
  <c r="DK48" i="5"/>
  <c r="DK40" i="5"/>
  <c r="DM2" i="5"/>
  <c r="DL3" i="5"/>
  <c r="DL4" i="5"/>
  <c r="DL5" i="5"/>
  <c r="DL6" i="5"/>
  <c r="DL11" i="5"/>
  <c r="DL12" i="5"/>
  <c r="DL13" i="5"/>
  <c r="DL14" i="5"/>
  <c r="DL19" i="5"/>
  <c r="DL20" i="5"/>
  <c r="DL21" i="5"/>
  <c r="DL22" i="5"/>
  <c r="DL27" i="5"/>
  <c r="DL28" i="5"/>
  <c r="DL29" i="5"/>
  <c r="DL30" i="5"/>
  <c r="DL67" i="5"/>
  <c r="DL68" i="5"/>
  <c r="DL69" i="5"/>
  <c r="DL70" i="5"/>
  <c r="DL60" i="5"/>
  <c r="DL61" i="5"/>
  <c r="DL35" i="5"/>
  <c r="DL36" i="5"/>
  <c r="DL44" i="5"/>
  <c r="DL45" i="5"/>
  <c r="DL46" i="5"/>
  <c r="DL53" i="5"/>
  <c r="DL43" i="5"/>
  <c r="DL54" i="5"/>
  <c r="DL62" i="5"/>
  <c r="DL51" i="5"/>
  <c r="DL52" i="5"/>
  <c r="DL37" i="5"/>
  <c r="DL59" i="5"/>
  <c r="DL38" i="5"/>
  <c r="DK8" i="5"/>
  <c r="DK24" i="5"/>
  <c r="DK72" i="5"/>
  <c r="DK64" i="5"/>
  <c r="DK56" i="5"/>
  <c r="DK16" i="5"/>
  <c r="DK32" i="5"/>
  <c r="EM8" i="15" l="1"/>
  <c r="EM64" i="15"/>
  <c r="EM24" i="15"/>
  <c r="EN71" i="15"/>
  <c r="EN63" i="15"/>
  <c r="EN47" i="15"/>
  <c r="EN55" i="15"/>
  <c r="EN39" i="15"/>
  <c r="EN31" i="15"/>
  <c r="EN23" i="15"/>
  <c r="EN15" i="15"/>
  <c r="EN7" i="15"/>
  <c r="EN69" i="15"/>
  <c r="EN68" i="15"/>
  <c r="EN59" i="15"/>
  <c r="EN37" i="15"/>
  <c r="EN38" i="15"/>
  <c r="EN52" i="15"/>
  <c r="EN20" i="15"/>
  <c r="EN30" i="15"/>
  <c r="EN3" i="15"/>
  <c r="EN5" i="15"/>
  <c r="EN70" i="15"/>
  <c r="EN61" i="15"/>
  <c r="EN54" i="15"/>
  <c r="EN35" i="15"/>
  <c r="EN21" i="15"/>
  <c r="EN29" i="15"/>
  <c r="EN13" i="15"/>
  <c r="EN28" i="15"/>
  <c r="EN19" i="15"/>
  <c r="EN67" i="15"/>
  <c r="EN51" i="15"/>
  <c r="EN45" i="15"/>
  <c r="EN36" i="15"/>
  <c r="EN46" i="15"/>
  <c r="EN14" i="15"/>
  <c r="EN12" i="15"/>
  <c r="EN27" i="15"/>
  <c r="EO2" i="15"/>
  <c r="EN60" i="15"/>
  <c r="EN53" i="15"/>
  <c r="EN44" i="15"/>
  <c r="EN22" i="15"/>
  <c r="EN43" i="15"/>
  <c r="EN4" i="15"/>
  <c r="EN6" i="15"/>
  <c r="EN62" i="15"/>
  <c r="EN11" i="15"/>
  <c r="EM72" i="15"/>
  <c r="EM16" i="15"/>
  <c r="EM56" i="15"/>
  <c r="EM40" i="15"/>
  <c r="EM48" i="15"/>
  <c r="EM32" i="15"/>
  <c r="EL75" i="15"/>
  <c r="DK75" i="5"/>
  <c r="DL48" i="5"/>
  <c r="DM6" i="5"/>
  <c r="DN2" i="5"/>
  <c r="DM3" i="5"/>
  <c r="DM4" i="5"/>
  <c r="DM5" i="5"/>
  <c r="DM11" i="5"/>
  <c r="DM12" i="5"/>
  <c r="DM13" i="5"/>
  <c r="DM14" i="5"/>
  <c r="DM19" i="5"/>
  <c r="DM20" i="5"/>
  <c r="DM21" i="5"/>
  <c r="DM22" i="5"/>
  <c r="DM27" i="5"/>
  <c r="DM28" i="5"/>
  <c r="DM29" i="5"/>
  <c r="DM30" i="5"/>
  <c r="DM67" i="5"/>
  <c r="DM68" i="5"/>
  <c r="DM69" i="5"/>
  <c r="DM70" i="5"/>
  <c r="DM60" i="5"/>
  <c r="DM61" i="5"/>
  <c r="DM62" i="5"/>
  <c r="DM52" i="5"/>
  <c r="DM53" i="5"/>
  <c r="DM43" i="5"/>
  <c r="DM54" i="5"/>
  <c r="DM35" i="5"/>
  <c r="DM36" i="5"/>
  <c r="DM37" i="5"/>
  <c r="DM38" i="5"/>
  <c r="DM45" i="5"/>
  <c r="DM59" i="5"/>
  <c r="DM51" i="5"/>
  <c r="DM44" i="5"/>
  <c r="DM46" i="5"/>
  <c r="DL8" i="5"/>
  <c r="DL16" i="5"/>
  <c r="DL32" i="5"/>
  <c r="DL72" i="5"/>
  <c r="DL24" i="5"/>
  <c r="DL40" i="5"/>
  <c r="DL56" i="5"/>
  <c r="DL64" i="5"/>
  <c r="EN64" i="15" l="1"/>
  <c r="EM75" i="15"/>
  <c r="EN32" i="15"/>
  <c r="EN24" i="15"/>
  <c r="EN48" i="15"/>
  <c r="EN8" i="15"/>
  <c r="EN16" i="15"/>
  <c r="EN56" i="15"/>
  <c r="EO63" i="15"/>
  <c r="EO71" i="15"/>
  <c r="EO55" i="15"/>
  <c r="EO47" i="15"/>
  <c r="EO31" i="15"/>
  <c r="EO23" i="15"/>
  <c r="EO39" i="15"/>
  <c r="EO7" i="15"/>
  <c r="EO15" i="15"/>
  <c r="EO67" i="15"/>
  <c r="EO62" i="15"/>
  <c r="EO51" i="15"/>
  <c r="EO43" i="15"/>
  <c r="EO20" i="15"/>
  <c r="EO30" i="15"/>
  <c r="EO29" i="15"/>
  <c r="EO61" i="15"/>
  <c r="EO59" i="15"/>
  <c r="EO53" i="15"/>
  <c r="EO44" i="15"/>
  <c r="EO60" i="15"/>
  <c r="EO35" i="15"/>
  <c r="EO22" i="15"/>
  <c r="EO11" i="15"/>
  <c r="EO12" i="15"/>
  <c r="EO68" i="15"/>
  <c r="EO52" i="15"/>
  <c r="EO37" i="15"/>
  <c r="EO21" i="15"/>
  <c r="EO38" i="15"/>
  <c r="EO19" i="15"/>
  <c r="EO46" i="15"/>
  <c r="EO4" i="15"/>
  <c r="EO14" i="15"/>
  <c r="EO69" i="15"/>
  <c r="EO70" i="15"/>
  <c r="EO54" i="15"/>
  <c r="EO45" i="15"/>
  <c r="EO28" i="15"/>
  <c r="EO27" i="15"/>
  <c r="EO36" i="15"/>
  <c r="EO3" i="15"/>
  <c r="EO13" i="15"/>
  <c r="EO6" i="15"/>
  <c r="EO5" i="15"/>
  <c r="EN72" i="15"/>
  <c r="EN40" i="15"/>
  <c r="DL75" i="5"/>
  <c r="DM64" i="5"/>
  <c r="DM56" i="5"/>
  <c r="DM8" i="5"/>
  <c r="DO2" i="5"/>
  <c r="DN3" i="5"/>
  <c r="DN4" i="5"/>
  <c r="DN5" i="5"/>
  <c r="DN6" i="5"/>
  <c r="DN11" i="5"/>
  <c r="DN12" i="5"/>
  <c r="DN13" i="5"/>
  <c r="DN14" i="5"/>
  <c r="DN19" i="5"/>
  <c r="DN20" i="5"/>
  <c r="DN21" i="5"/>
  <c r="DN22" i="5"/>
  <c r="DN27" i="5"/>
  <c r="DN28" i="5"/>
  <c r="DN29" i="5"/>
  <c r="DN30" i="5"/>
  <c r="DN67" i="5"/>
  <c r="DN68" i="5"/>
  <c r="DN69" i="5"/>
  <c r="DN70" i="5"/>
  <c r="DN60" i="5"/>
  <c r="DN61" i="5"/>
  <c r="DN54" i="5"/>
  <c r="DN51" i="5"/>
  <c r="DN37" i="5"/>
  <c r="DN44" i="5"/>
  <c r="DN46" i="5"/>
  <c r="DN62" i="5"/>
  <c r="DN35" i="5"/>
  <c r="DN43" i="5"/>
  <c r="DN59" i="5"/>
  <c r="DN52" i="5"/>
  <c r="DN53" i="5"/>
  <c r="DN36" i="5"/>
  <c r="DN38" i="5"/>
  <c r="DN45" i="5"/>
  <c r="DM16" i="5"/>
  <c r="DM24" i="5"/>
  <c r="DM32" i="5"/>
  <c r="DM40" i="5"/>
  <c r="DM72" i="5"/>
  <c r="DM48" i="5"/>
  <c r="EO56" i="15" l="1"/>
  <c r="EO32" i="15"/>
  <c r="EO16" i="15"/>
  <c r="EO24" i="15"/>
  <c r="EO8" i="15"/>
  <c r="EO40" i="15"/>
  <c r="EO64" i="15"/>
  <c r="EO72" i="15"/>
  <c r="EN75" i="15"/>
  <c r="EO48" i="15"/>
  <c r="DM75" i="5"/>
  <c r="DN64" i="5"/>
  <c r="DN48" i="5"/>
  <c r="DN40" i="5"/>
  <c r="DN32" i="5"/>
  <c r="DP2" i="5"/>
  <c r="DO3" i="5"/>
  <c r="DO4" i="5"/>
  <c r="DO5" i="5"/>
  <c r="DO6" i="5"/>
  <c r="DO11" i="5"/>
  <c r="DO12" i="5"/>
  <c r="DO13" i="5"/>
  <c r="DO14" i="5"/>
  <c r="DO19" i="5"/>
  <c r="DO20" i="5"/>
  <c r="DO21" i="5"/>
  <c r="DO22" i="5"/>
  <c r="DO27" i="5"/>
  <c r="DO28" i="5"/>
  <c r="DO29" i="5"/>
  <c r="DO30" i="5"/>
  <c r="DO67" i="5"/>
  <c r="DO68" i="5"/>
  <c r="DO69" i="5"/>
  <c r="DO70" i="5"/>
  <c r="DO60" i="5"/>
  <c r="DO61" i="5"/>
  <c r="DO38" i="5"/>
  <c r="DO43" i="5"/>
  <c r="DO44" i="5"/>
  <c r="DO45" i="5"/>
  <c r="DO62" i="5"/>
  <c r="DO52" i="5"/>
  <c r="DO53" i="5"/>
  <c r="DO35" i="5"/>
  <c r="DO36" i="5"/>
  <c r="DO37" i="5"/>
  <c r="DO59" i="5"/>
  <c r="DO51" i="5"/>
  <c r="DO54" i="5"/>
  <c r="DO46" i="5"/>
  <c r="DN16" i="5"/>
  <c r="DN24" i="5"/>
  <c r="DN72" i="5"/>
  <c r="DN56" i="5"/>
  <c r="DN8" i="5"/>
  <c r="EO75" i="15" l="1"/>
  <c r="DN75" i="5"/>
  <c r="DO40" i="5"/>
  <c r="DO8" i="5"/>
  <c r="DQ2" i="5"/>
  <c r="DP3" i="5"/>
  <c r="DP4" i="5"/>
  <c r="DP5" i="5"/>
  <c r="DP6" i="5"/>
  <c r="DP11" i="5"/>
  <c r="DP12" i="5"/>
  <c r="DP13" i="5"/>
  <c r="DP14" i="5"/>
  <c r="DP19" i="5"/>
  <c r="DP21" i="5"/>
  <c r="DP28" i="5"/>
  <c r="DP68" i="5"/>
  <c r="DP60" i="5"/>
  <c r="DP53" i="5"/>
  <c r="DP36" i="5"/>
  <c r="DP37" i="5"/>
  <c r="DP52" i="5"/>
  <c r="DP22" i="5"/>
  <c r="DP30" i="5"/>
  <c r="DP69" i="5"/>
  <c r="DP61" i="5"/>
  <c r="DP54" i="5"/>
  <c r="DP46" i="5"/>
  <c r="DP45" i="5"/>
  <c r="DP51" i="5"/>
  <c r="DP20" i="5"/>
  <c r="DP27" i="5"/>
  <c r="DP29" i="5"/>
  <c r="DP67" i="5"/>
  <c r="DP70" i="5"/>
  <c r="DP62" i="5"/>
  <c r="DP35" i="5"/>
  <c r="DP43" i="5"/>
  <c r="DP38" i="5"/>
  <c r="DP59" i="5"/>
  <c r="DP44" i="5"/>
  <c r="DO16" i="5"/>
  <c r="DO24" i="5"/>
  <c r="DO48" i="5"/>
  <c r="DO64" i="5"/>
  <c r="DO56" i="5"/>
  <c r="DO32" i="5"/>
  <c r="DO72" i="5"/>
  <c r="DO75" i="5" l="1"/>
  <c r="DP72" i="5"/>
  <c r="DP56" i="5"/>
  <c r="DP40" i="5"/>
  <c r="DP8" i="5"/>
  <c r="DQ12" i="5"/>
  <c r="DQ13" i="5"/>
  <c r="DQ14" i="5"/>
  <c r="DR2" i="5"/>
  <c r="DQ3" i="5"/>
  <c r="DQ4" i="5"/>
  <c r="DQ5" i="5"/>
  <c r="DQ6" i="5"/>
  <c r="DQ11" i="5"/>
  <c r="DQ19" i="5"/>
  <c r="DQ20" i="5"/>
  <c r="DQ21" i="5"/>
  <c r="DQ22" i="5"/>
  <c r="DQ27" i="5"/>
  <c r="DQ28" i="5"/>
  <c r="DQ29" i="5"/>
  <c r="DQ30" i="5"/>
  <c r="DQ67" i="5"/>
  <c r="DQ68" i="5"/>
  <c r="DQ69" i="5"/>
  <c r="DQ70" i="5"/>
  <c r="DQ60" i="5"/>
  <c r="DQ61" i="5"/>
  <c r="DQ52" i="5"/>
  <c r="DQ44" i="5"/>
  <c r="DQ51" i="5"/>
  <c r="DQ54" i="5"/>
  <c r="DQ36" i="5"/>
  <c r="DQ37" i="5"/>
  <c r="DQ43" i="5"/>
  <c r="DQ59" i="5"/>
  <c r="DQ62" i="5"/>
  <c r="DQ53" i="5"/>
  <c r="DQ35" i="5"/>
  <c r="DQ38" i="5"/>
  <c r="DQ45" i="5"/>
  <c r="DQ46" i="5"/>
  <c r="DP48" i="5"/>
  <c r="DP64" i="5"/>
  <c r="DP16" i="5"/>
  <c r="DP24" i="5"/>
  <c r="DP32" i="5"/>
  <c r="DP75" i="5" l="1"/>
  <c r="DQ64" i="5"/>
  <c r="DQ48" i="5"/>
  <c r="DQ40" i="5"/>
  <c r="DQ16" i="5"/>
  <c r="DR36" i="5"/>
  <c r="DR54" i="5"/>
  <c r="DS2" i="5"/>
  <c r="DR3" i="5"/>
  <c r="DR4" i="5"/>
  <c r="DR5" i="5"/>
  <c r="DR6" i="5"/>
  <c r="DR11" i="5"/>
  <c r="DR12" i="5"/>
  <c r="DR13" i="5"/>
  <c r="DR14" i="5"/>
  <c r="DR19" i="5"/>
  <c r="DR20" i="5"/>
  <c r="DR21" i="5"/>
  <c r="DR22" i="5"/>
  <c r="DR27" i="5"/>
  <c r="DR28" i="5"/>
  <c r="DR29" i="5"/>
  <c r="DR30" i="5"/>
  <c r="DR67" i="5"/>
  <c r="DR68" i="5"/>
  <c r="DR69" i="5"/>
  <c r="DR70" i="5"/>
  <c r="DR60" i="5"/>
  <c r="DR61" i="5"/>
  <c r="DR62" i="5"/>
  <c r="DR53" i="5"/>
  <c r="DR38" i="5"/>
  <c r="DR46" i="5"/>
  <c r="DR37" i="5"/>
  <c r="DR43" i="5"/>
  <c r="DR35" i="5"/>
  <c r="DR52" i="5"/>
  <c r="DR59" i="5"/>
  <c r="DR45" i="5"/>
  <c r="DR44" i="5"/>
  <c r="DR51" i="5"/>
  <c r="DQ72" i="5"/>
  <c r="DQ56" i="5"/>
  <c r="DQ8" i="5"/>
  <c r="DQ24" i="5"/>
  <c r="DQ32" i="5"/>
  <c r="DQ75" i="5" l="1"/>
  <c r="DR64" i="5"/>
  <c r="DR72" i="5"/>
  <c r="DR56" i="5"/>
  <c r="DR40" i="5"/>
  <c r="DS62" i="5"/>
  <c r="DT2" i="5"/>
  <c r="DS3" i="5"/>
  <c r="DS4" i="5"/>
  <c r="DS5" i="5"/>
  <c r="DS6" i="5"/>
  <c r="DS11" i="5"/>
  <c r="DS12" i="5"/>
  <c r="DS13" i="5"/>
  <c r="DS14" i="5"/>
  <c r="DS19" i="5"/>
  <c r="DS20" i="5"/>
  <c r="DS21" i="5"/>
  <c r="DS22" i="5"/>
  <c r="DS27" i="5"/>
  <c r="DS28" i="5"/>
  <c r="DS29" i="5"/>
  <c r="DS30" i="5"/>
  <c r="DS35" i="5"/>
  <c r="DS36" i="5"/>
  <c r="DS37" i="5"/>
  <c r="DS38" i="5"/>
  <c r="DS43" i="5"/>
  <c r="DS44" i="5"/>
  <c r="DS45" i="5"/>
  <c r="DS46" i="5"/>
  <c r="DS67" i="5"/>
  <c r="DS54" i="5"/>
  <c r="DS59" i="5"/>
  <c r="DS69" i="5"/>
  <c r="DS61" i="5"/>
  <c r="DS53" i="5"/>
  <c r="DS68" i="5"/>
  <c r="DS60" i="5"/>
  <c r="DS52" i="5"/>
  <c r="DS70" i="5"/>
  <c r="DS51" i="5"/>
  <c r="DR48" i="5"/>
  <c r="DR24" i="5"/>
  <c r="DR8" i="5"/>
  <c r="DR16" i="5"/>
  <c r="DR32" i="5"/>
  <c r="DR75" i="5" l="1"/>
  <c r="DS56" i="5"/>
  <c r="DT62" i="5"/>
  <c r="DT51" i="5"/>
  <c r="DU2" i="5"/>
  <c r="DT3" i="5"/>
  <c r="DT4" i="5"/>
  <c r="DT5" i="5"/>
  <c r="DT6" i="5"/>
  <c r="DT11" i="5"/>
  <c r="DT12" i="5"/>
  <c r="DT13" i="5"/>
  <c r="DT14" i="5"/>
  <c r="DT19" i="5"/>
  <c r="DT20" i="5"/>
  <c r="DT21" i="5"/>
  <c r="DT22" i="5"/>
  <c r="DT27" i="5"/>
  <c r="DT28" i="5"/>
  <c r="DT29" i="5"/>
  <c r="DT30" i="5"/>
  <c r="DT35" i="5"/>
  <c r="DT36" i="5"/>
  <c r="DT37" i="5"/>
  <c r="DT38" i="5"/>
  <c r="DT43" i="5"/>
  <c r="DT44" i="5"/>
  <c r="DT45" i="5"/>
  <c r="DT46" i="5"/>
  <c r="DT67" i="5"/>
  <c r="DT68" i="5"/>
  <c r="DT69" i="5"/>
  <c r="DT70" i="5"/>
  <c r="DT61" i="5"/>
  <c r="DT59" i="5"/>
  <c r="DT60" i="5"/>
  <c r="DT52" i="5"/>
  <c r="DT53" i="5"/>
  <c r="DT54" i="5"/>
  <c r="DS32" i="5"/>
  <c r="DS40" i="5"/>
  <c r="DS16" i="5"/>
  <c r="DS24" i="5"/>
  <c r="DS48" i="5"/>
  <c r="DS72" i="5"/>
  <c r="DS64" i="5"/>
  <c r="DS8" i="5"/>
  <c r="DS75" i="5" l="1"/>
  <c r="DT64" i="5"/>
  <c r="DV2" i="5"/>
  <c r="DU3" i="5"/>
  <c r="DU4" i="5"/>
  <c r="DU5" i="5"/>
  <c r="DU6" i="5"/>
  <c r="DU11" i="5"/>
  <c r="DU12" i="5"/>
  <c r="DU13" i="5"/>
  <c r="DU14" i="5"/>
  <c r="DU19" i="5"/>
  <c r="DU20" i="5"/>
  <c r="DU21" i="5"/>
  <c r="DU22" i="5"/>
  <c r="DU27" i="5"/>
  <c r="DU28" i="5"/>
  <c r="DU29" i="5"/>
  <c r="DU30" i="5"/>
  <c r="DU35" i="5"/>
  <c r="DU36" i="5"/>
  <c r="DU37" i="5"/>
  <c r="DU38" i="5"/>
  <c r="DU43" i="5"/>
  <c r="DU44" i="5"/>
  <c r="DU45" i="5"/>
  <c r="DU46" i="5"/>
  <c r="DU67" i="5"/>
  <c r="DU68" i="5"/>
  <c r="DU60" i="5"/>
  <c r="DU52" i="5"/>
  <c r="DU51" i="5"/>
  <c r="DU54" i="5"/>
  <c r="DU69" i="5"/>
  <c r="DU70" i="5"/>
  <c r="DU61" i="5"/>
  <c r="DU53" i="5"/>
  <c r="DU59" i="5"/>
  <c r="DU62" i="5"/>
  <c r="DT8" i="5"/>
  <c r="DT16" i="5"/>
  <c r="DT48" i="5"/>
  <c r="DT72" i="5"/>
  <c r="DT56" i="5"/>
  <c r="DT24" i="5"/>
  <c r="DT32" i="5"/>
  <c r="DT40" i="5"/>
  <c r="DT75" i="5" l="1"/>
  <c r="DU32" i="5"/>
  <c r="DW2" i="5"/>
  <c r="DV4" i="5"/>
  <c r="DV5" i="5"/>
  <c r="DV11" i="5"/>
  <c r="DV12" i="5"/>
  <c r="DV3" i="5"/>
  <c r="DV6" i="5"/>
  <c r="DV13" i="5"/>
  <c r="DV14" i="5"/>
  <c r="DV19" i="5"/>
  <c r="DV20" i="5"/>
  <c r="DV21" i="5"/>
  <c r="DV22" i="5"/>
  <c r="DV27" i="5"/>
  <c r="DV28" i="5"/>
  <c r="DV29" i="5"/>
  <c r="DV30" i="5"/>
  <c r="DV35" i="5"/>
  <c r="DV36" i="5"/>
  <c r="DV37" i="5"/>
  <c r="DV38" i="5"/>
  <c r="DV43" i="5"/>
  <c r="DV44" i="5"/>
  <c r="DV45" i="5"/>
  <c r="DV46" i="5"/>
  <c r="DV51" i="5"/>
  <c r="DV52" i="5"/>
  <c r="DV53" i="5"/>
  <c r="DV54" i="5"/>
  <c r="DV67" i="5"/>
  <c r="DV68" i="5"/>
  <c r="DV69" i="5"/>
  <c r="DV70" i="5"/>
  <c r="DV60" i="5"/>
  <c r="DV61" i="5"/>
  <c r="DV59" i="5"/>
  <c r="DV62" i="5"/>
  <c r="DU40" i="5"/>
  <c r="DU72" i="5"/>
  <c r="DU56" i="5"/>
  <c r="DU64" i="5"/>
  <c r="DU24" i="5"/>
  <c r="DU48" i="5"/>
  <c r="DU16" i="5"/>
  <c r="DU8" i="5"/>
  <c r="DU75" i="5" l="1"/>
  <c r="DV64" i="5"/>
  <c r="DV56" i="5"/>
  <c r="DV32" i="5"/>
  <c r="DX2" i="5"/>
  <c r="DW3" i="5"/>
  <c r="DW4" i="5"/>
  <c r="DW5" i="5"/>
  <c r="DW6" i="5"/>
  <c r="DW11" i="5"/>
  <c r="DW12" i="5"/>
  <c r="DW13" i="5"/>
  <c r="DW14" i="5"/>
  <c r="DW19" i="5"/>
  <c r="DW20" i="5"/>
  <c r="DW21" i="5"/>
  <c r="DW22" i="5"/>
  <c r="DW27" i="5"/>
  <c r="DW28" i="5"/>
  <c r="DW29" i="5"/>
  <c r="DW30" i="5"/>
  <c r="DW35" i="5"/>
  <c r="DW36" i="5"/>
  <c r="DW37" i="5"/>
  <c r="DW38" i="5"/>
  <c r="DW43" i="5"/>
  <c r="DW44" i="5"/>
  <c r="DW45" i="5"/>
  <c r="DW46" i="5"/>
  <c r="DW51" i="5"/>
  <c r="DW52" i="5"/>
  <c r="DW53" i="5"/>
  <c r="DW54" i="5"/>
  <c r="DW67" i="5"/>
  <c r="DW68" i="5"/>
  <c r="DW69" i="5"/>
  <c r="DW70" i="5"/>
  <c r="DW60" i="5"/>
  <c r="DW61" i="5"/>
  <c r="DW62" i="5"/>
  <c r="DW59" i="5"/>
  <c r="DV8" i="5"/>
  <c r="DV24" i="5"/>
  <c r="DV40" i="5"/>
  <c r="DV48" i="5"/>
  <c r="DV72" i="5"/>
  <c r="DV16" i="5"/>
  <c r="DV75" i="5" l="1"/>
  <c r="DW64" i="5"/>
  <c r="DW16" i="5"/>
  <c r="DW32" i="5"/>
  <c r="DY2" i="5"/>
  <c r="DX4" i="5"/>
  <c r="DX5" i="5"/>
  <c r="DX11" i="5"/>
  <c r="DX13" i="5"/>
  <c r="DX19" i="5"/>
  <c r="DX21" i="5"/>
  <c r="DX37" i="5"/>
  <c r="DX3" i="5"/>
  <c r="DX6" i="5"/>
  <c r="DX12" i="5"/>
  <c r="DX14" i="5"/>
  <c r="DX20" i="5"/>
  <c r="DX22" i="5"/>
  <c r="DX27" i="5"/>
  <c r="DX28" i="5"/>
  <c r="DX29" i="5"/>
  <c r="DX30" i="5"/>
  <c r="DX35" i="5"/>
  <c r="DX36" i="5"/>
  <c r="DX38" i="5"/>
  <c r="DX43" i="5"/>
  <c r="DX44" i="5"/>
  <c r="DX45" i="5"/>
  <c r="DX46" i="5"/>
  <c r="DX51" i="5"/>
  <c r="DX52" i="5"/>
  <c r="DX53" i="5"/>
  <c r="DX54" i="5"/>
  <c r="DX59" i="5"/>
  <c r="DX60" i="5"/>
  <c r="DX61" i="5"/>
  <c r="DX62" i="5"/>
  <c r="DX67" i="5"/>
  <c r="DX68" i="5"/>
  <c r="DX69" i="5"/>
  <c r="DX70" i="5"/>
  <c r="DW40" i="5"/>
  <c r="DW48" i="5"/>
  <c r="DW56" i="5"/>
  <c r="DW72" i="5"/>
  <c r="DW8" i="5"/>
  <c r="DW24" i="5"/>
  <c r="DW75" i="5" l="1"/>
  <c r="DZ2" i="5"/>
  <c r="DY3" i="5"/>
  <c r="DY4" i="5"/>
  <c r="DY5" i="5"/>
  <c r="DY6" i="5"/>
  <c r="DY11" i="5"/>
  <c r="DY12" i="5"/>
  <c r="DY13" i="5"/>
  <c r="DY14" i="5"/>
  <c r="DY19" i="5"/>
  <c r="DY20" i="5"/>
  <c r="DY21" i="5"/>
  <c r="DY22" i="5"/>
  <c r="DY27" i="5"/>
  <c r="DY28" i="5"/>
  <c r="DY29" i="5"/>
  <c r="DY30" i="5"/>
  <c r="DY35" i="5"/>
  <c r="DY36" i="5"/>
  <c r="DY37" i="5"/>
  <c r="DY38" i="5"/>
  <c r="DY43" i="5"/>
  <c r="DY44" i="5"/>
  <c r="DY45" i="5"/>
  <c r="DY46" i="5"/>
  <c r="DY51" i="5"/>
  <c r="DY52" i="5"/>
  <c r="DY53" i="5"/>
  <c r="DY54" i="5"/>
  <c r="DY59" i="5"/>
  <c r="DY60" i="5"/>
  <c r="DY61" i="5"/>
  <c r="DY62" i="5"/>
  <c r="DY67" i="5"/>
  <c r="DY68" i="5"/>
  <c r="DY69" i="5"/>
  <c r="DY70" i="5"/>
  <c r="DX56" i="5"/>
  <c r="DX40" i="5"/>
  <c r="DX48" i="5"/>
  <c r="DX64" i="5"/>
  <c r="DX72" i="5"/>
  <c r="DX32" i="5"/>
  <c r="DX16" i="5"/>
  <c r="DX24" i="5"/>
  <c r="DX8" i="5"/>
  <c r="DX75" i="5" l="1"/>
  <c r="DY8" i="5"/>
  <c r="DZ4" i="5"/>
  <c r="DZ6" i="5"/>
  <c r="DZ12" i="5"/>
  <c r="DZ13" i="5"/>
  <c r="DZ19" i="5"/>
  <c r="DZ21" i="5"/>
  <c r="DZ27" i="5"/>
  <c r="DZ29" i="5"/>
  <c r="DZ30" i="5"/>
  <c r="DZ35" i="5"/>
  <c r="DZ36" i="5"/>
  <c r="DZ37" i="5"/>
  <c r="DZ38" i="5"/>
  <c r="DZ43" i="5"/>
  <c r="DZ44" i="5"/>
  <c r="DZ45" i="5"/>
  <c r="DZ46" i="5"/>
  <c r="DZ51" i="5"/>
  <c r="DZ52" i="5"/>
  <c r="DZ53" i="5"/>
  <c r="DZ54" i="5"/>
  <c r="EA2" i="5"/>
  <c r="DZ3" i="5"/>
  <c r="DZ5" i="5"/>
  <c r="DZ11" i="5"/>
  <c r="DZ14" i="5"/>
  <c r="DZ20" i="5"/>
  <c r="DZ22" i="5"/>
  <c r="DZ28" i="5"/>
  <c r="DZ59" i="5"/>
  <c r="DZ60" i="5"/>
  <c r="DZ61" i="5"/>
  <c r="DZ62" i="5"/>
  <c r="DZ67" i="5"/>
  <c r="DZ68" i="5"/>
  <c r="DZ69" i="5"/>
  <c r="DZ70" i="5"/>
  <c r="DY40" i="5"/>
  <c r="DY64" i="5"/>
  <c r="DY72" i="5"/>
  <c r="DY16" i="5"/>
  <c r="DY32" i="5"/>
  <c r="DY48" i="5"/>
  <c r="DY24" i="5"/>
  <c r="DY56" i="5"/>
  <c r="DY75" i="5" l="1"/>
  <c r="DZ64" i="5"/>
  <c r="DZ48" i="5"/>
  <c r="DZ40" i="5"/>
  <c r="DZ16" i="5"/>
  <c r="EA3" i="5"/>
  <c r="EA5" i="5"/>
  <c r="EA20" i="5"/>
  <c r="EB2" i="5"/>
  <c r="EA4" i="5"/>
  <c r="EA6" i="5"/>
  <c r="EA11" i="5"/>
  <c r="EA12" i="5"/>
  <c r="EA13" i="5"/>
  <c r="EA14" i="5"/>
  <c r="EA19" i="5"/>
  <c r="EA21" i="5"/>
  <c r="EA22" i="5"/>
  <c r="EA27" i="5"/>
  <c r="EA28" i="5"/>
  <c r="EA29" i="5"/>
  <c r="EA30" i="5"/>
  <c r="EA35" i="5"/>
  <c r="EA36" i="5"/>
  <c r="EA37" i="5"/>
  <c r="EA38" i="5"/>
  <c r="EA43" i="5"/>
  <c r="EA44" i="5"/>
  <c r="EA45" i="5"/>
  <c r="EA46" i="5"/>
  <c r="EA51" i="5"/>
  <c r="EA52" i="5"/>
  <c r="EA53" i="5"/>
  <c r="EA54" i="5"/>
  <c r="EA59" i="5"/>
  <c r="EA60" i="5"/>
  <c r="EA61" i="5"/>
  <c r="EA62" i="5"/>
  <c r="EA67" i="5"/>
  <c r="EA68" i="5"/>
  <c r="EA69" i="5"/>
  <c r="EA70" i="5"/>
  <c r="DZ24" i="5"/>
  <c r="DZ32" i="5"/>
  <c r="DZ56" i="5"/>
  <c r="DZ8" i="5"/>
  <c r="DZ72" i="5"/>
  <c r="DZ75" i="5" l="1"/>
  <c r="EA56" i="5"/>
  <c r="EB60" i="5"/>
  <c r="EC2" i="5"/>
  <c r="EB53" i="5"/>
  <c r="EB62" i="5"/>
  <c r="EB70" i="5"/>
  <c r="EB3" i="5"/>
  <c r="EB4" i="5"/>
  <c r="EB5" i="5"/>
  <c r="EB6" i="5"/>
  <c r="EB11" i="5"/>
  <c r="EB12" i="5"/>
  <c r="EB13" i="5"/>
  <c r="EB14" i="5"/>
  <c r="EB19" i="5"/>
  <c r="EB20" i="5"/>
  <c r="EB21" i="5"/>
  <c r="EB22" i="5"/>
  <c r="EB27" i="5"/>
  <c r="EB28" i="5"/>
  <c r="EB29" i="5"/>
  <c r="EB30" i="5"/>
  <c r="EB35" i="5"/>
  <c r="EB36" i="5"/>
  <c r="EB37" i="5"/>
  <c r="EB38" i="5"/>
  <c r="EB43" i="5"/>
  <c r="EB44" i="5"/>
  <c r="EB45" i="5"/>
  <c r="EB46" i="5"/>
  <c r="EB51" i="5"/>
  <c r="EB52" i="5"/>
  <c r="EB67" i="5"/>
  <c r="EB69" i="5"/>
  <c r="EB59" i="5"/>
  <c r="EB68" i="5"/>
  <c r="EB54" i="5"/>
  <c r="EB61" i="5"/>
  <c r="EA8" i="5"/>
  <c r="EA16" i="5"/>
  <c r="EA24" i="5"/>
  <c r="EA40" i="5"/>
  <c r="EA32" i="5"/>
  <c r="EA48" i="5"/>
  <c r="EA64" i="5"/>
  <c r="EA72" i="5"/>
  <c r="EA75" i="5" l="1"/>
  <c r="EC59" i="5"/>
  <c r="EC68" i="5"/>
  <c r="EC61" i="5"/>
  <c r="EC14" i="5"/>
  <c r="EC60" i="5"/>
  <c r="ED2" i="5"/>
  <c r="EC3" i="5"/>
  <c r="EC4" i="5"/>
  <c r="EC5" i="5"/>
  <c r="EC6" i="5"/>
  <c r="EC11" i="5"/>
  <c r="EC12" i="5"/>
  <c r="EC13" i="5"/>
  <c r="EC19" i="5"/>
  <c r="EC20" i="5"/>
  <c r="EC21" i="5"/>
  <c r="EC22" i="5"/>
  <c r="EC27" i="5"/>
  <c r="EC28" i="5"/>
  <c r="EC29" i="5"/>
  <c r="EC30" i="5"/>
  <c r="EC35" i="5"/>
  <c r="EC36" i="5"/>
  <c r="EC37" i="5"/>
  <c r="EC38" i="5"/>
  <c r="EC43" i="5"/>
  <c r="EC44" i="5"/>
  <c r="EC45" i="5"/>
  <c r="EC46" i="5"/>
  <c r="EC51" i="5"/>
  <c r="EC52" i="5"/>
  <c r="EC53" i="5"/>
  <c r="EC54" i="5"/>
  <c r="EC67" i="5"/>
  <c r="EC62" i="5"/>
  <c r="EC70" i="5"/>
  <c r="EC69" i="5"/>
  <c r="EB8" i="5"/>
  <c r="EB16" i="5"/>
  <c r="EB24" i="5"/>
  <c r="EB32" i="5"/>
  <c r="EB40" i="5"/>
  <c r="EB48" i="5"/>
  <c r="EB56" i="5"/>
  <c r="EB72" i="5"/>
  <c r="EB64" i="5"/>
  <c r="EB75" i="5" l="1"/>
  <c r="EC72" i="5"/>
  <c r="EC8" i="5"/>
  <c r="ED5" i="5"/>
  <c r="EE2" i="5"/>
  <c r="ED4" i="5"/>
  <c r="ED11" i="5"/>
  <c r="ED20" i="5"/>
  <c r="ED22" i="5"/>
  <c r="ED29" i="5"/>
  <c r="ED35" i="5"/>
  <c r="ED44" i="5"/>
  <c r="ED46" i="5"/>
  <c r="ED52" i="5"/>
  <c r="ED59" i="5"/>
  <c r="ED60" i="5"/>
  <c r="ED61" i="5"/>
  <c r="ED62" i="5"/>
  <c r="ED67" i="5"/>
  <c r="ED68" i="5"/>
  <c r="ED69" i="5"/>
  <c r="ED70" i="5"/>
  <c r="ED3" i="5"/>
  <c r="ED6" i="5"/>
  <c r="ED14" i="5"/>
  <c r="ED21" i="5"/>
  <c r="ED27" i="5"/>
  <c r="ED30" i="5"/>
  <c r="ED38" i="5"/>
  <c r="ED51" i="5"/>
  <c r="ED28" i="5"/>
  <c r="ED45" i="5"/>
  <c r="ED19" i="5"/>
  <c r="ED37" i="5"/>
  <c r="ED53" i="5"/>
  <c r="ED13" i="5"/>
  <c r="ED43" i="5"/>
  <c r="ED12" i="5"/>
  <c r="ED36" i="5"/>
  <c r="ED54" i="5"/>
  <c r="EC64" i="5"/>
  <c r="EC48" i="5"/>
  <c r="EC16" i="5"/>
  <c r="EC24" i="5"/>
  <c r="EC32" i="5"/>
  <c r="EC40" i="5"/>
  <c r="EC56" i="5"/>
  <c r="EC75" i="5" l="1"/>
  <c r="ED48" i="5"/>
  <c r="ED24" i="5"/>
  <c r="EF2" i="5"/>
  <c r="EE3" i="5"/>
  <c r="EE4" i="5"/>
  <c r="EE5" i="5"/>
  <c r="EE6" i="5"/>
  <c r="EE11" i="5"/>
  <c r="EE12" i="5"/>
  <c r="EE13" i="5"/>
  <c r="EE14" i="5"/>
  <c r="EE19" i="5"/>
  <c r="EE20" i="5"/>
  <c r="EE21" i="5"/>
  <c r="EE22" i="5"/>
  <c r="EE27" i="5"/>
  <c r="EE28" i="5"/>
  <c r="EE29" i="5"/>
  <c r="EE30" i="5"/>
  <c r="EE35" i="5"/>
  <c r="EE36" i="5"/>
  <c r="EE37" i="5"/>
  <c r="EE38" i="5"/>
  <c r="EE43" i="5"/>
  <c r="EE44" i="5"/>
  <c r="EE45" i="5"/>
  <c r="EE46" i="5"/>
  <c r="EE51" i="5"/>
  <c r="EE52" i="5"/>
  <c r="EE53" i="5"/>
  <c r="EE54" i="5"/>
  <c r="EE59" i="5"/>
  <c r="EE60" i="5"/>
  <c r="EE61" i="5"/>
  <c r="EE62" i="5"/>
  <c r="EE67" i="5"/>
  <c r="EE68" i="5"/>
  <c r="EE69" i="5"/>
  <c r="EE70" i="5"/>
  <c r="ED40" i="5"/>
  <c r="ED64" i="5"/>
  <c r="ED72" i="5"/>
  <c r="ED8" i="5"/>
  <c r="ED56" i="5"/>
  <c r="ED32" i="5"/>
  <c r="ED16" i="5"/>
  <c r="ED75" i="5" l="1"/>
  <c r="EE24" i="5"/>
  <c r="EF68" i="5"/>
  <c r="EG2" i="5"/>
  <c r="EF14" i="5"/>
  <c r="EF67" i="5"/>
  <c r="EF3" i="5"/>
  <c r="EF4" i="5"/>
  <c r="EF5" i="5"/>
  <c r="EF6" i="5"/>
  <c r="EF11" i="5"/>
  <c r="EF12" i="5"/>
  <c r="EF13" i="5"/>
  <c r="EF19" i="5"/>
  <c r="EF20" i="5"/>
  <c r="EF21" i="5"/>
  <c r="EF22" i="5"/>
  <c r="EF27" i="5"/>
  <c r="EF28" i="5"/>
  <c r="EF29" i="5"/>
  <c r="EF30" i="5"/>
  <c r="EF35" i="5"/>
  <c r="EF36" i="5"/>
  <c r="EF37" i="5"/>
  <c r="EF38" i="5"/>
  <c r="EF43" i="5"/>
  <c r="EF44" i="5"/>
  <c r="EF45" i="5"/>
  <c r="EF46" i="5"/>
  <c r="EF51" i="5"/>
  <c r="EF52" i="5"/>
  <c r="EF53" i="5"/>
  <c r="EF54" i="5"/>
  <c r="EF61" i="5"/>
  <c r="EF69" i="5"/>
  <c r="EF60" i="5"/>
  <c r="EF70" i="5"/>
  <c r="EF59" i="5"/>
  <c r="EF62" i="5"/>
  <c r="EE32" i="5"/>
  <c r="EE40" i="5"/>
  <c r="EE48" i="5"/>
  <c r="EE56" i="5"/>
  <c r="EE64" i="5"/>
  <c r="EE72" i="5"/>
  <c r="EE8" i="5"/>
  <c r="EE16" i="5"/>
  <c r="EE75" i="5" l="1"/>
  <c r="EF72" i="5"/>
  <c r="EF64" i="5"/>
  <c r="EF40" i="5"/>
  <c r="EH2" i="5"/>
  <c r="EG3" i="5"/>
  <c r="EG4" i="5"/>
  <c r="EG5" i="5"/>
  <c r="EG6" i="5"/>
  <c r="EG11" i="5"/>
  <c r="EG12" i="5"/>
  <c r="EG13" i="5"/>
  <c r="EG14" i="5"/>
  <c r="EG19" i="5"/>
  <c r="EG20" i="5"/>
  <c r="EG21" i="5"/>
  <c r="EG22" i="5"/>
  <c r="EG27" i="5"/>
  <c r="EG28" i="5"/>
  <c r="EG29" i="5"/>
  <c r="EG30" i="5"/>
  <c r="EG35" i="5"/>
  <c r="EG36" i="5"/>
  <c r="EG37" i="5"/>
  <c r="EG38" i="5"/>
  <c r="EG43" i="5"/>
  <c r="EG44" i="5"/>
  <c r="EG45" i="5"/>
  <c r="EG46" i="5"/>
  <c r="EG51" i="5"/>
  <c r="EG52" i="5"/>
  <c r="EG53" i="5"/>
  <c r="EG54" i="5"/>
  <c r="EG59" i="5"/>
  <c r="EG60" i="5"/>
  <c r="EG61" i="5"/>
  <c r="EG62" i="5"/>
  <c r="EG67" i="5"/>
  <c r="EG68" i="5"/>
  <c r="EG69" i="5"/>
  <c r="EG70" i="5"/>
  <c r="EF24" i="5"/>
  <c r="EF32" i="5"/>
  <c r="EF48" i="5"/>
  <c r="EF56" i="5"/>
  <c r="EF16" i="5"/>
  <c r="EF8" i="5"/>
  <c r="EF75" i="5" l="1"/>
  <c r="EG72" i="5"/>
  <c r="EG24" i="5"/>
  <c r="EH68" i="5"/>
  <c r="EI2" i="5"/>
  <c r="EH3" i="5"/>
  <c r="EH4" i="5"/>
  <c r="EH5" i="5"/>
  <c r="EH6" i="5"/>
  <c r="EH11" i="5"/>
  <c r="EH12" i="5"/>
  <c r="EH13" i="5"/>
  <c r="EH14" i="5"/>
  <c r="EH19" i="5"/>
  <c r="EH53" i="5"/>
  <c r="EH60" i="5"/>
  <c r="EH20" i="5"/>
  <c r="EH21" i="5"/>
  <c r="EH22" i="5"/>
  <c r="EH27" i="5"/>
  <c r="EH28" i="5"/>
  <c r="EH29" i="5"/>
  <c r="EH30" i="5"/>
  <c r="EH35" i="5"/>
  <c r="EH36" i="5"/>
  <c r="EH37" i="5"/>
  <c r="EH38" i="5"/>
  <c r="EH43" i="5"/>
  <c r="EH44" i="5"/>
  <c r="EH45" i="5"/>
  <c r="EH46" i="5"/>
  <c r="EH51" i="5"/>
  <c r="EH52" i="5"/>
  <c r="EH54" i="5"/>
  <c r="EH61" i="5"/>
  <c r="EH69" i="5"/>
  <c r="EH67" i="5"/>
  <c r="EH59" i="5"/>
  <c r="EH62" i="5"/>
  <c r="EH70" i="5"/>
  <c r="EG16" i="5"/>
  <c r="EG40" i="5"/>
  <c r="EG32" i="5"/>
  <c r="EG56" i="5"/>
  <c r="EG48" i="5"/>
  <c r="EG64" i="5"/>
  <c r="EG8" i="5"/>
  <c r="EG75" i="5" l="1"/>
  <c r="EH64" i="5"/>
  <c r="EH48" i="5"/>
  <c r="EH16" i="5"/>
  <c r="EH8" i="5"/>
  <c r="EJ2" i="5"/>
  <c r="EI3" i="5"/>
  <c r="EI4" i="5"/>
  <c r="EI5" i="5"/>
  <c r="EI6" i="5"/>
  <c r="EI11" i="5"/>
  <c r="EI12" i="5"/>
  <c r="EI13" i="5"/>
  <c r="EI14" i="5"/>
  <c r="EI19" i="5"/>
  <c r="EI20" i="5"/>
  <c r="EI21" i="5"/>
  <c r="EI22" i="5"/>
  <c r="EI27" i="5"/>
  <c r="EI28" i="5"/>
  <c r="EI29" i="5"/>
  <c r="EI30" i="5"/>
  <c r="EI35" i="5"/>
  <c r="EI36" i="5"/>
  <c r="EI37" i="5"/>
  <c r="EI38" i="5"/>
  <c r="EI43" i="5"/>
  <c r="EI44" i="5"/>
  <c r="EI45" i="5"/>
  <c r="EI46" i="5"/>
  <c r="EI51" i="5"/>
  <c r="EI52" i="5"/>
  <c r="EI53" i="5"/>
  <c r="EI54" i="5"/>
  <c r="EI59" i="5"/>
  <c r="EI61" i="5"/>
  <c r="EI67" i="5"/>
  <c r="EI69" i="5"/>
  <c r="EI60" i="5"/>
  <c r="EI62" i="5"/>
  <c r="EI68" i="5"/>
  <c r="EI70" i="5"/>
  <c r="EH24" i="5"/>
  <c r="EH32" i="5"/>
  <c r="EH40" i="5"/>
  <c r="EH72" i="5"/>
  <c r="EH56" i="5"/>
  <c r="EH75" i="5" l="1"/>
  <c r="EI64" i="5"/>
  <c r="EI48" i="5"/>
  <c r="EI32" i="5"/>
  <c r="EI16" i="5"/>
  <c r="EK2" i="5"/>
  <c r="EJ3" i="5"/>
  <c r="EJ4" i="5"/>
  <c r="EJ5" i="5"/>
  <c r="EJ6" i="5"/>
  <c r="EJ11" i="5"/>
  <c r="EJ12" i="5"/>
  <c r="EJ13" i="5"/>
  <c r="EJ14" i="5"/>
  <c r="EJ19" i="5"/>
  <c r="EJ20" i="5"/>
  <c r="EJ21" i="5"/>
  <c r="EJ22" i="5"/>
  <c r="EJ27" i="5"/>
  <c r="EJ28" i="5"/>
  <c r="EJ29" i="5"/>
  <c r="EJ30" i="5"/>
  <c r="EJ35" i="5"/>
  <c r="EJ36" i="5"/>
  <c r="EJ37" i="5"/>
  <c r="EJ38" i="5"/>
  <c r="EJ43" i="5"/>
  <c r="EJ44" i="5"/>
  <c r="EJ45" i="5"/>
  <c r="EJ46" i="5"/>
  <c r="EJ51" i="5"/>
  <c r="EJ52" i="5"/>
  <c r="EJ53" i="5"/>
  <c r="EJ54" i="5"/>
  <c r="EJ59" i="5"/>
  <c r="EJ60" i="5"/>
  <c r="EJ61" i="5"/>
  <c r="EJ62" i="5"/>
  <c r="EJ67" i="5"/>
  <c r="EJ68" i="5"/>
  <c r="EJ69" i="5"/>
  <c r="EJ70" i="5"/>
  <c r="EI40" i="5"/>
  <c r="EI56" i="5"/>
  <c r="EI72" i="5"/>
  <c r="EI8" i="5"/>
  <c r="EI24" i="5"/>
  <c r="EI75" i="5" l="1"/>
  <c r="EJ64" i="5"/>
  <c r="EK11" i="5"/>
  <c r="EK3" i="5"/>
  <c r="EK4" i="5"/>
  <c r="EK12" i="5"/>
  <c r="EK19" i="5"/>
  <c r="EK22" i="5"/>
  <c r="EK28" i="5"/>
  <c r="EK35" i="5"/>
  <c r="EK36" i="5"/>
  <c r="EK37" i="5"/>
  <c r="EK38" i="5"/>
  <c r="EK43" i="5"/>
  <c r="EK44" i="5"/>
  <c r="EK45" i="5"/>
  <c r="EK46" i="5"/>
  <c r="EK51" i="5"/>
  <c r="EK52" i="5"/>
  <c r="EK53" i="5"/>
  <c r="EK54" i="5"/>
  <c r="EK59" i="5"/>
  <c r="EK60" i="5"/>
  <c r="EK61" i="5"/>
  <c r="EK62" i="5"/>
  <c r="EK67" i="5"/>
  <c r="EK68" i="5"/>
  <c r="EK69" i="5"/>
  <c r="EK70" i="5"/>
  <c r="EK5" i="5"/>
  <c r="EK14" i="5"/>
  <c r="EK21" i="5"/>
  <c r="EK30" i="5"/>
  <c r="EL2" i="5"/>
  <c r="EK6" i="5"/>
  <c r="EK13" i="5"/>
  <c r="EK20" i="5"/>
  <c r="EK27" i="5"/>
  <c r="EK29" i="5"/>
  <c r="EJ8" i="5"/>
  <c r="EJ16" i="5"/>
  <c r="EJ24" i="5"/>
  <c r="EJ32" i="5"/>
  <c r="EJ48" i="5"/>
  <c r="EJ56" i="5"/>
  <c r="EJ40" i="5"/>
  <c r="EJ72" i="5"/>
  <c r="EJ75" i="5" l="1"/>
  <c r="EL61" i="5"/>
  <c r="EL62" i="5"/>
  <c r="EM2" i="5"/>
  <c r="EL3" i="5"/>
  <c r="EL4" i="5"/>
  <c r="EL5" i="5"/>
  <c r="EL6" i="5"/>
  <c r="EL11" i="5"/>
  <c r="EL12" i="5"/>
  <c r="EL13" i="5"/>
  <c r="EL14" i="5"/>
  <c r="EL19" i="5"/>
  <c r="EL20" i="5"/>
  <c r="EL21" i="5"/>
  <c r="EL22" i="5"/>
  <c r="EL27" i="5"/>
  <c r="EL67" i="5"/>
  <c r="EL28" i="5"/>
  <c r="EL29" i="5"/>
  <c r="EL30" i="5"/>
  <c r="EL35" i="5"/>
  <c r="EL36" i="5"/>
  <c r="EL37" i="5"/>
  <c r="EL38" i="5"/>
  <c r="EL43" i="5"/>
  <c r="EL44" i="5"/>
  <c r="EL45" i="5"/>
  <c r="EL46" i="5"/>
  <c r="EL51" i="5"/>
  <c r="EL52" i="5"/>
  <c r="EL53" i="5"/>
  <c r="EL54" i="5"/>
  <c r="EL59" i="5"/>
  <c r="EL60" i="5"/>
  <c r="EL70" i="5"/>
  <c r="EL68" i="5"/>
  <c r="EL69" i="5"/>
  <c r="EK16" i="5"/>
  <c r="EK24" i="5"/>
  <c r="EK40" i="5"/>
  <c r="EK48" i="5"/>
  <c r="EK56" i="5"/>
  <c r="EK64" i="5"/>
  <c r="EK32" i="5"/>
  <c r="EK8" i="5"/>
  <c r="EK72" i="5"/>
  <c r="EK75" i="5" l="1"/>
  <c r="EL8" i="5"/>
  <c r="EN2" i="5"/>
  <c r="EM3" i="5"/>
  <c r="EM4" i="5"/>
  <c r="EM5" i="5"/>
  <c r="EM6" i="5"/>
  <c r="EM11" i="5"/>
  <c r="EM12" i="5"/>
  <c r="EM13" i="5"/>
  <c r="EM14" i="5"/>
  <c r="EM19" i="5"/>
  <c r="EM20" i="5"/>
  <c r="EM21" i="5"/>
  <c r="EM22" i="5"/>
  <c r="EM27" i="5"/>
  <c r="EM28" i="5"/>
  <c r="EM30" i="5"/>
  <c r="EM36" i="5"/>
  <c r="EM38" i="5"/>
  <c r="EM44" i="5"/>
  <c r="EM46" i="5"/>
  <c r="EM52" i="5"/>
  <c r="EM54" i="5"/>
  <c r="EM60" i="5"/>
  <c r="EM62" i="5"/>
  <c r="EM68" i="5"/>
  <c r="EM70" i="5"/>
  <c r="EM29" i="5"/>
  <c r="EM35" i="5"/>
  <c r="EM37" i="5"/>
  <c r="EM43" i="5"/>
  <c r="EM45" i="5"/>
  <c r="EM51" i="5"/>
  <c r="EM53" i="5"/>
  <c r="EM59" i="5"/>
  <c r="EM61" i="5"/>
  <c r="EM67" i="5"/>
  <c r="EM69" i="5"/>
  <c r="EL16" i="5"/>
  <c r="EL24" i="5"/>
  <c r="EL32" i="5"/>
  <c r="EL72" i="5"/>
  <c r="EL40" i="5"/>
  <c r="EL48" i="5"/>
  <c r="EL56" i="5"/>
  <c r="EL64" i="5"/>
  <c r="EL75" i="5" l="1"/>
  <c r="EM16" i="5"/>
  <c r="EN43" i="5"/>
  <c r="EN61" i="5"/>
  <c r="EN3" i="5"/>
  <c r="EN4" i="5"/>
  <c r="EN5" i="5"/>
  <c r="EN6" i="5"/>
  <c r="EN11" i="5"/>
  <c r="EN12" i="5"/>
  <c r="EN13" i="5"/>
  <c r="EN14" i="5"/>
  <c r="EN19" i="5"/>
  <c r="EN20" i="5"/>
  <c r="EN21" i="5"/>
  <c r="EN22" i="5"/>
  <c r="EN51" i="5"/>
  <c r="EN28" i="5"/>
  <c r="EN36" i="5"/>
  <c r="EN46" i="5"/>
  <c r="EN54" i="5"/>
  <c r="EN62" i="5"/>
  <c r="EN70" i="5"/>
  <c r="EN44" i="5"/>
  <c r="EN27" i="5"/>
  <c r="EN35" i="5"/>
  <c r="EN37" i="5"/>
  <c r="EN53" i="5"/>
  <c r="EN60" i="5"/>
  <c r="EN68" i="5"/>
  <c r="EN29" i="5"/>
  <c r="EN38" i="5"/>
  <c r="EN45" i="5"/>
  <c r="EN69" i="5"/>
  <c r="EN30" i="5"/>
  <c r="EN52" i="5"/>
  <c r="EN59" i="5"/>
  <c r="EN67" i="5"/>
  <c r="EM24" i="5"/>
  <c r="EM40" i="5"/>
  <c r="EM32" i="5"/>
  <c r="EM48" i="5"/>
  <c r="EM64" i="5"/>
  <c r="EM72" i="5"/>
  <c r="EM8" i="5"/>
  <c r="EM56" i="5"/>
  <c r="EM75" i="5" l="1"/>
  <c r="EN48" i="5"/>
  <c r="EN16" i="5"/>
  <c r="EN24" i="5"/>
  <c r="EN56" i="5"/>
  <c r="EN32" i="5"/>
  <c r="EN40" i="5"/>
  <c r="EN64" i="5"/>
  <c r="EN72" i="5"/>
  <c r="EN8" i="5"/>
  <c r="EN75" i="5" l="1"/>
  <c r="BV51" i="5" l="1"/>
  <c r="BW51" i="5"/>
  <c r="BX51" i="5"/>
  <c r="BY51" i="5"/>
  <c r="BZ51" i="5"/>
  <c r="CA51" i="5"/>
  <c r="CB51" i="5"/>
  <c r="BX59" i="5"/>
  <c r="BY59" i="5"/>
  <c r="BZ59" i="5"/>
  <c r="CA59" i="5"/>
  <c r="CB59" i="5"/>
  <c r="CC59" i="5"/>
  <c r="CD59" i="5"/>
  <c r="BH35" i="5" l="1"/>
  <c r="BI35" i="5"/>
  <c r="BJ35" i="5"/>
  <c r="BK35" i="5"/>
  <c r="BL35" i="5"/>
  <c r="BM35" i="5"/>
  <c r="M5" i="5"/>
  <c r="CB67" i="5"/>
  <c r="CC67" i="5"/>
  <c r="CD67" i="5"/>
  <c r="CE67" i="5"/>
  <c r="AA3" i="5"/>
  <c r="AB3" i="5"/>
  <c r="Z3" i="5"/>
  <c r="AH11" i="5"/>
  <c r="AG11" i="5"/>
  <c r="BL43" i="5"/>
  <c r="BM43" i="5"/>
  <c r="BN43" i="5"/>
  <c r="BO43" i="5"/>
  <c r="BP43" i="5"/>
  <c r="BQ43" i="5"/>
  <c r="BR43" i="5"/>
  <c r="CA51" i="14" l="1"/>
  <c r="BV51" i="14"/>
  <c r="BO51" i="14"/>
  <c r="CQ51" i="14"/>
  <c r="CV51" i="14"/>
  <c r="CV56" i="14" s="1"/>
  <c r="CF51" i="14"/>
  <c r="CE51" i="14"/>
  <c r="CD51" i="14"/>
  <c r="DS51" i="14"/>
  <c r="BR51" i="14"/>
  <c r="BL51" i="14"/>
  <c r="DB51" i="14"/>
  <c r="DA51" i="14"/>
  <c r="BU51" i="14"/>
  <c r="DI51" i="14"/>
  <c r="BT51" i="14"/>
  <c r="L51" i="14"/>
  <c r="DE51" i="14"/>
  <c r="DD51" i="14"/>
  <c r="DR51" i="14"/>
  <c r="CL51" i="14"/>
  <c r="CO51" i="14"/>
  <c r="DG51" i="14"/>
  <c r="DJ51" i="14"/>
  <c r="BS51" i="14"/>
  <c r="DF51" i="14"/>
  <c r="BP51" i="14"/>
  <c r="CG51" i="14"/>
  <c r="BQ51" i="14"/>
  <c r="DH51" i="14"/>
  <c r="CK51" i="14"/>
  <c r="BK51" i="14"/>
  <c r="CZ51" i="14"/>
  <c r="CC51" i="14"/>
  <c r="DN51" i="14" l="1"/>
  <c r="CM51" i="14"/>
  <c r="DL51" i="14"/>
  <c r="CI51" i="14"/>
  <c r="BW51" i="14"/>
  <c r="DT51" i="14"/>
  <c r="CX51" i="14"/>
  <c r="DK51" i="14"/>
  <c r="BX51" i="14"/>
  <c r="DP51" i="14"/>
  <c r="CW51" i="14"/>
  <c r="BZ51" i="14"/>
  <c r="BM51" i="14"/>
  <c r="BY51" i="14"/>
  <c r="CH51" i="14"/>
  <c r="M51" i="14"/>
  <c r="DU51" i="14"/>
  <c r="CN51" i="14"/>
  <c r="BN51" i="14"/>
  <c r="BJ51" i="14"/>
  <c r="DC51" i="14"/>
  <c r="DQ51" i="14"/>
  <c r="CB51" i="14"/>
  <c r="CY51" i="14"/>
  <c r="CS51" i="14"/>
  <c r="CR51" i="14"/>
  <c r="CP51" i="14"/>
  <c r="DO51" i="14"/>
  <c r="CJ51" i="14"/>
  <c r="DM51" i="14"/>
  <c r="CF54" i="5" l="1"/>
  <c r="CF56" i="5" s="1"/>
  <c r="CK54" i="5"/>
  <c r="CK56" i="5" s="1"/>
  <c r="CG54" i="5"/>
  <c r="CG56" i="5" s="1"/>
  <c r="CH54" i="5"/>
  <c r="CH56" i="5" s="1"/>
  <c r="CL54" i="5"/>
  <c r="CL56" i="5" s="1"/>
  <c r="CI54" i="5"/>
  <c r="CI56" i="5" s="1"/>
  <c r="CJ54" i="5"/>
  <c r="CJ56" i="5" s="1"/>
  <c r="BK51" i="5" l="1"/>
  <c r="R61" i="5"/>
  <c r="Q61" i="5"/>
  <c r="N61" i="5"/>
  <c r="P61" i="5"/>
  <c r="O61" i="5"/>
  <c r="O53" i="5"/>
  <c r="R53" i="5"/>
  <c r="N53" i="5"/>
  <c r="Q53" i="5"/>
  <c r="P53" i="5"/>
  <c r="N37" i="5"/>
  <c r="O37" i="5"/>
  <c r="R37" i="5"/>
  <c r="P37" i="5"/>
  <c r="Q37" i="5"/>
  <c r="P45" i="5"/>
  <c r="Q45" i="5"/>
  <c r="R45" i="5"/>
  <c r="N45" i="5"/>
  <c r="O45" i="5"/>
  <c r="N69" i="5"/>
  <c r="R69" i="5"/>
  <c r="O69" i="5"/>
  <c r="P69" i="5"/>
  <c r="Q69" i="5"/>
  <c r="BM59" i="5"/>
  <c r="CB53" i="5"/>
  <c r="BI51" i="5"/>
  <c r="BL51" i="5"/>
  <c r="BH51" i="5"/>
  <c r="BM51" i="5"/>
  <c r="BQ51" i="5"/>
  <c r="BP51" i="5"/>
  <c r="BN51" i="5"/>
  <c r="BO51" i="5"/>
  <c r="BJ51" i="5"/>
  <c r="BO59" i="5"/>
  <c r="CB61" i="5"/>
  <c r="CG61" i="5"/>
  <c r="CF62" i="5"/>
  <c r="CM70" i="5"/>
  <c r="CM72" i="5" s="1"/>
  <c r="CN62" i="5"/>
  <c r="CN64" i="5" s="1"/>
  <c r="CK70" i="5"/>
  <c r="CK72" i="5" s="1"/>
  <c r="CK62" i="5"/>
  <c r="CK64" i="5" s="1"/>
  <c r="CJ62" i="5"/>
  <c r="CJ64" i="5" s="1"/>
  <c r="CG62" i="5"/>
  <c r="CH62" i="5"/>
  <c r="CH64" i="5" s="1"/>
  <c r="CL62" i="5"/>
  <c r="CL64" i="5" s="1"/>
  <c r="CE61" i="5"/>
  <c r="CM62" i="5"/>
  <c r="CM64" i="5" s="1"/>
  <c r="BQ59" i="5"/>
  <c r="CC61" i="5"/>
  <c r="CI62" i="5"/>
  <c r="CI64" i="5" s="1"/>
  <c r="M11" i="5"/>
  <c r="CI70" i="5"/>
  <c r="CI72" i="5" s="1"/>
  <c r="CD61" i="5"/>
  <c r="M12" i="5"/>
  <c r="BS59" i="5"/>
  <c r="M3" i="5"/>
  <c r="CF61" i="5"/>
  <c r="CF70" i="5"/>
  <c r="CN70" i="5"/>
  <c r="CN72" i="5" s="1"/>
  <c r="CH70" i="5"/>
  <c r="BP59" i="5"/>
  <c r="BN59" i="5"/>
  <c r="M28" i="5"/>
  <c r="M32" i="5" s="1"/>
  <c r="BR59" i="5"/>
  <c r="M20" i="5"/>
  <c r="M24" i="5" s="1"/>
  <c r="CG70" i="5"/>
  <c r="CJ70" i="5"/>
  <c r="CJ72" i="5" s="1"/>
  <c r="CL70" i="5"/>
  <c r="CL72" i="5" s="1"/>
  <c r="CO70" i="5"/>
  <c r="CO72" i="5" s="1"/>
  <c r="CO75" i="5" s="1"/>
  <c r="M4" i="5"/>
  <c r="BN67" i="5"/>
  <c r="BQ67" i="5"/>
  <c r="BR67" i="5"/>
  <c r="BS67" i="5"/>
  <c r="BT67" i="5"/>
  <c r="BO67" i="5"/>
  <c r="BP67" i="5"/>
  <c r="CG69" i="5"/>
  <c r="CC69" i="5"/>
  <c r="CB69" i="5"/>
  <c r="CH69" i="5"/>
  <c r="CD69" i="5"/>
  <c r="CF69" i="5"/>
  <c r="CE69" i="5"/>
  <c r="CG64" i="5" l="1"/>
  <c r="CF64" i="5"/>
  <c r="M16" i="5"/>
  <c r="CM75" i="5"/>
  <c r="CN75" i="5"/>
  <c r="CL75" i="5"/>
  <c r="CK75" i="5"/>
  <c r="M8" i="5"/>
  <c r="CF72" i="5"/>
  <c r="CJ75" i="5"/>
  <c r="CI75" i="5"/>
  <c r="CH72" i="5"/>
  <c r="CH75" i="5" s="1"/>
  <c r="CG72" i="5"/>
  <c r="CG75" i="5" l="1"/>
  <c r="M75" i="5"/>
  <c r="N51" i="14" l="1"/>
  <c r="N13" i="14"/>
  <c r="O53" i="14"/>
  <c r="R53" i="14"/>
  <c r="Q53" i="14"/>
  <c r="S53" i="14"/>
  <c r="P53" i="14"/>
  <c r="T53" i="14"/>
  <c r="N53" i="14"/>
  <c r="AO5" i="9"/>
  <c r="AO7" i="9" s="1"/>
  <c r="AN5" i="9"/>
  <c r="AN7" i="9" s="1"/>
  <c r="AM5" i="9"/>
  <c r="AM7" i="9" s="1"/>
  <c r="AK9" i="9"/>
  <c r="O3" i="14"/>
  <c r="N3" i="14"/>
  <c r="BI60" i="9"/>
  <c r="M11" i="14"/>
  <c r="N11" i="14"/>
  <c r="AB11" i="16" l="1"/>
  <c r="Y11" i="16"/>
  <c r="Z11" i="16"/>
  <c r="AA11" i="16"/>
  <c r="X11" i="14"/>
  <c r="Y11" i="14"/>
  <c r="Z11" i="14"/>
  <c r="AA11" i="14"/>
  <c r="S27" i="9"/>
  <c r="Z2" i="12"/>
  <c r="AK11" i="9"/>
  <c r="S11" i="9"/>
  <c r="AC35" i="12"/>
  <c r="S19" i="9"/>
  <c r="AO26" i="12"/>
  <c r="AI9" i="9"/>
  <c r="S4" i="9"/>
  <c r="W3" i="9"/>
  <c r="CI60" i="9"/>
  <c r="CI62" i="9" s="1"/>
  <c r="AK5" i="9"/>
  <c r="AK7" i="9" s="1"/>
  <c r="AG12" i="12"/>
  <c r="AQ5" i="9"/>
  <c r="AQ7" i="9" s="1"/>
  <c r="AL5" i="9"/>
  <c r="AL7" i="9" s="1"/>
  <c r="AP5" i="9"/>
  <c r="AP7" i="9" s="1"/>
  <c r="Q3" i="14"/>
  <c r="P3" i="14"/>
  <c r="AT29" i="12"/>
  <c r="AX29" i="12"/>
  <c r="AX31" i="12" s="1"/>
  <c r="BU51" i="9"/>
  <c r="AE35" i="12"/>
  <c r="AU20" i="9"/>
  <c r="AU22" i="9" s="1"/>
  <c r="AV20" i="9"/>
  <c r="AV22" i="9" s="1"/>
  <c r="AW20" i="9"/>
  <c r="AW22" i="9" s="1"/>
  <c r="AX20" i="9"/>
  <c r="AX22" i="9" s="1"/>
  <c r="AS20" i="9"/>
  <c r="AS22" i="9" s="1"/>
  <c r="AR20" i="9"/>
  <c r="AR22" i="9" s="1"/>
  <c r="AT20" i="9"/>
  <c r="AT22" i="9" s="1"/>
  <c r="BD28" i="9"/>
  <c r="BD30" i="9" s="1"/>
  <c r="BB28" i="9"/>
  <c r="BB30" i="9" s="1"/>
  <c r="CF61" i="12"/>
  <c r="CF63" i="12" s="1"/>
  <c r="CG61" i="12"/>
  <c r="CG63" i="12" s="1"/>
  <c r="CH61" i="12"/>
  <c r="CH63" i="12" s="1"/>
  <c r="CI61" i="12"/>
  <c r="CI63" i="12" s="1"/>
  <c r="CK61" i="12"/>
  <c r="CK63" i="12" s="1"/>
  <c r="CL61" i="12"/>
  <c r="CL63" i="12" s="1"/>
  <c r="AI12" i="12"/>
  <c r="AF12" i="12"/>
  <c r="AH12" i="12"/>
  <c r="CH60" i="9"/>
  <c r="CH62" i="9" s="1"/>
  <c r="CK60" i="9"/>
  <c r="CK62" i="9" s="1"/>
  <c r="AD2" i="9"/>
  <c r="AE2" i="9"/>
  <c r="AF2" i="9"/>
  <c r="AG2" i="9"/>
  <c r="AC2" i="9"/>
  <c r="AA2" i="9"/>
  <c r="AB2" i="9"/>
  <c r="AT21" i="12"/>
  <c r="AR21" i="12"/>
  <c r="AN5" i="12"/>
  <c r="AN7" i="12" s="1"/>
  <c r="AJ5" i="12"/>
  <c r="AJ7" i="12" s="1"/>
  <c r="AL5" i="12"/>
  <c r="AL7" i="12" s="1"/>
  <c r="AU21" i="12"/>
  <c r="AV21" i="12"/>
  <c r="AP21" i="12"/>
  <c r="AQ21" i="12"/>
  <c r="AS21" i="12"/>
  <c r="AO5" i="12"/>
  <c r="AO7" i="12" s="1"/>
  <c r="AI5" i="12"/>
  <c r="AI7" i="12" s="1"/>
  <c r="AK5" i="12"/>
  <c r="AK7" i="12" s="1"/>
  <c r="AM5" i="12"/>
  <c r="AM7" i="12" s="1"/>
  <c r="AF10" i="12"/>
  <c r="R11" i="14"/>
  <c r="AD10" i="12"/>
  <c r="Q11" i="14"/>
  <c r="CJ61" i="12"/>
  <c r="CJ63" i="12" s="1"/>
  <c r="O11" i="14"/>
  <c r="AU29" i="12"/>
  <c r="CN60" i="9"/>
  <c r="CN62" i="9" s="1"/>
  <c r="AR29" i="12"/>
  <c r="AH10" i="12"/>
  <c r="AE10" i="12"/>
  <c r="P11" i="14"/>
  <c r="AG35" i="12"/>
  <c r="J2" i="12"/>
  <c r="AA2" i="12"/>
  <c r="AI10" i="12"/>
  <c r="AB2" i="12"/>
  <c r="AS29" i="12"/>
  <c r="P51" i="14"/>
  <c r="Z10" i="12"/>
  <c r="CM60" i="9"/>
  <c r="CM62" i="9" s="1"/>
  <c r="AD2" i="12"/>
  <c r="AA10" i="12"/>
  <c r="CL60" i="9"/>
  <c r="CL62" i="9" s="1"/>
  <c r="Y2" i="12"/>
  <c r="R51" i="14"/>
  <c r="AB10" i="12"/>
  <c r="AE2" i="12"/>
  <c r="CJ60" i="9"/>
  <c r="CJ62" i="9" s="1"/>
  <c r="AW29" i="12"/>
  <c r="AW31" i="12" s="1"/>
  <c r="Q51" i="14"/>
  <c r="AC2" i="12"/>
  <c r="AG10" i="12"/>
  <c r="AC10" i="12"/>
  <c r="S11" i="14"/>
  <c r="BC28" i="9"/>
  <c r="BC30" i="9" s="1"/>
  <c r="O51" i="14"/>
  <c r="R3" i="14"/>
  <c r="AD35" i="12"/>
  <c r="S3" i="14"/>
  <c r="P3" i="12"/>
  <c r="AV29" i="12"/>
  <c r="AE9" i="9"/>
  <c r="W53" i="14"/>
  <c r="AH11" i="9"/>
  <c r="BA28" i="9"/>
  <c r="BA30" i="9" s="1"/>
  <c r="AI11" i="9"/>
  <c r="AE11" i="9"/>
  <c r="AF11" i="9"/>
  <c r="AJ11" i="9"/>
  <c r="AZ28" i="9"/>
  <c r="AZ30" i="9" s="1"/>
  <c r="AG9" i="9"/>
  <c r="BV51" i="9"/>
  <c r="BS51" i="9"/>
  <c r="AX28" i="9"/>
  <c r="AX30" i="9" s="1"/>
  <c r="AF9" i="9"/>
  <c r="BR51" i="9"/>
  <c r="BQ51" i="9"/>
  <c r="BP51" i="9"/>
  <c r="BT51" i="9"/>
  <c r="AG11" i="9"/>
  <c r="AY28" i="9"/>
  <c r="AY30" i="9" s="1"/>
  <c r="AH9" i="9"/>
  <c r="AJ9" i="9"/>
  <c r="AF35" i="12"/>
  <c r="X53" i="14"/>
  <c r="V53" i="14"/>
  <c r="U53" i="14"/>
  <c r="V3" i="9"/>
  <c r="AU25" i="9"/>
  <c r="O13" i="14"/>
  <c r="AO25" i="9"/>
  <c r="AE12" i="12"/>
  <c r="S3" i="9"/>
  <c r="R3" i="9"/>
  <c r="S13" i="14"/>
  <c r="R13" i="14"/>
  <c r="T3" i="9"/>
  <c r="AQ25" i="9"/>
  <c r="Q13" i="14"/>
  <c r="U3" i="9"/>
  <c r="AS25" i="9"/>
  <c r="AH35" i="12"/>
  <c r="AI35" i="12"/>
  <c r="S36" i="14"/>
  <c r="Q36" i="14"/>
  <c r="P36" i="14"/>
  <c r="O36" i="14"/>
  <c r="T3" i="12"/>
  <c r="S3" i="12"/>
  <c r="R36" i="14"/>
  <c r="R3" i="12"/>
  <c r="I3" i="12"/>
  <c r="I7" i="12" s="1"/>
  <c r="AP25" i="9"/>
  <c r="U3" i="12"/>
  <c r="AT25" i="9"/>
  <c r="Q3" i="12"/>
  <c r="AR25" i="9"/>
  <c r="AP26" i="12"/>
  <c r="AQ26" i="12"/>
  <c r="N29" i="14"/>
  <c r="O29" i="14"/>
  <c r="P29" i="14"/>
  <c r="Q29" i="14"/>
  <c r="R29" i="14"/>
  <c r="S29" i="14"/>
  <c r="AL26" i="12"/>
  <c r="Q61" i="14"/>
  <c r="P61" i="14"/>
  <c r="O61" i="14"/>
  <c r="R61" i="14"/>
  <c r="X61" i="14"/>
  <c r="S61" i="14"/>
  <c r="W61" i="14"/>
  <c r="T61" i="14"/>
  <c r="N61" i="14"/>
  <c r="U61" i="14"/>
  <c r="V61" i="14"/>
  <c r="P45" i="14"/>
  <c r="R45" i="14"/>
  <c r="X45" i="14"/>
  <c r="S45" i="14"/>
  <c r="T45" i="14"/>
  <c r="O45" i="14"/>
  <c r="N45" i="14"/>
  <c r="U45" i="14"/>
  <c r="Q45" i="14"/>
  <c r="V45" i="14"/>
  <c r="W45" i="14"/>
  <c r="R37" i="14"/>
  <c r="P37" i="14"/>
  <c r="Q37" i="14"/>
  <c r="S37" i="14"/>
  <c r="N37" i="14"/>
  <c r="O37" i="14"/>
  <c r="O5" i="14"/>
  <c r="N5" i="14"/>
  <c r="P5" i="14"/>
  <c r="Q5" i="14"/>
  <c r="R5" i="14"/>
  <c r="S5" i="14"/>
  <c r="S52" i="14"/>
  <c r="R52" i="14"/>
  <c r="Q52" i="14"/>
  <c r="N52" i="14"/>
  <c r="O52" i="14"/>
  <c r="P52" i="14"/>
  <c r="S35" i="14"/>
  <c r="O35" i="14"/>
  <c r="Q35" i="14"/>
  <c r="N35" i="14"/>
  <c r="R35" i="14"/>
  <c r="P35" i="14"/>
  <c r="AM26" i="12"/>
  <c r="P21" i="14"/>
  <c r="Q21" i="14"/>
  <c r="O21" i="14"/>
  <c r="R21" i="14"/>
  <c r="N21" i="14"/>
  <c r="S21" i="14"/>
  <c r="R59" i="14"/>
  <c r="O59" i="14"/>
  <c r="P59" i="14"/>
  <c r="N59" i="14"/>
  <c r="S59" i="14"/>
  <c r="Q59" i="14"/>
  <c r="P60" i="14"/>
  <c r="N60" i="14"/>
  <c r="R60" i="14"/>
  <c r="S60" i="14"/>
  <c r="O60" i="14"/>
  <c r="Q60" i="14"/>
  <c r="AN26" i="12"/>
  <c r="AR26" i="12"/>
  <c r="O43" i="14"/>
  <c r="S43" i="14"/>
  <c r="P43" i="14"/>
  <c r="Q43" i="14"/>
  <c r="N43" i="14"/>
  <c r="R43" i="14"/>
  <c r="Q44" i="14"/>
  <c r="R44" i="14"/>
  <c r="S44" i="14"/>
  <c r="N44" i="14"/>
  <c r="P44" i="14"/>
  <c r="O44" i="14"/>
  <c r="P27" i="14"/>
  <c r="S27" i="14"/>
  <c r="Q27" i="14"/>
  <c r="R27" i="14"/>
  <c r="O27" i="14"/>
  <c r="N27" i="14"/>
  <c r="AU20" i="12"/>
  <c r="AM20" i="12"/>
  <c r="AT20" i="12"/>
  <c r="AL20" i="12"/>
  <c r="AX20" i="12"/>
  <c r="AX23" i="12" s="1"/>
  <c r="AY20" i="12"/>
  <c r="AY23" i="12" s="1"/>
  <c r="BB20" i="12"/>
  <c r="BB23" i="12" s="1"/>
  <c r="AO20" i="12"/>
  <c r="AZ20" i="12"/>
  <c r="AZ23" i="12" s="1"/>
  <c r="BA20" i="12"/>
  <c r="BA23" i="12" s="1"/>
  <c r="AV20" i="12"/>
  <c r="AQ20" i="12"/>
  <c r="AR20" i="12"/>
  <c r="AP20" i="12"/>
  <c r="AS20" i="12"/>
  <c r="AW20" i="12"/>
  <c r="AW23" i="12" s="1"/>
  <c r="AN20" i="12"/>
  <c r="BQ45" i="12"/>
  <c r="BQ47" i="12" s="1"/>
  <c r="BR45" i="12"/>
  <c r="BR47" i="12" s="1"/>
  <c r="BS45" i="12"/>
  <c r="BS47" i="12" s="1"/>
  <c r="BT45" i="12"/>
  <c r="BT47" i="12" s="1"/>
  <c r="BU45" i="12"/>
  <c r="BU47" i="12" s="1"/>
  <c r="BV45" i="12"/>
  <c r="BV47" i="12" s="1"/>
  <c r="BW45" i="12"/>
  <c r="BW47" i="12" s="1"/>
  <c r="M12" i="14"/>
  <c r="R12" i="14"/>
  <c r="N12" i="14"/>
  <c r="P12" i="14"/>
  <c r="Q12" i="14"/>
  <c r="S12" i="14"/>
  <c r="O12" i="14"/>
  <c r="BA57" i="9"/>
  <c r="BD57" i="9"/>
  <c r="BE57" i="9"/>
  <c r="BF57" i="9"/>
  <c r="BB57" i="9"/>
  <c r="BC57" i="9"/>
  <c r="BG57" i="9"/>
  <c r="BW52" i="9"/>
  <c r="BW54" i="9" s="1"/>
  <c r="BX52" i="9"/>
  <c r="BX54" i="9" s="1"/>
  <c r="BY52" i="9"/>
  <c r="BY54" i="9" s="1"/>
  <c r="BZ52" i="9"/>
  <c r="BZ54" i="9" s="1"/>
  <c r="CA52" i="9"/>
  <c r="CA54" i="9" s="1"/>
  <c r="CB52" i="9"/>
  <c r="CB54" i="9" s="1"/>
  <c r="CC52" i="9"/>
  <c r="CC54" i="9" s="1"/>
  <c r="AZ36" i="9"/>
  <c r="BB36" i="9"/>
  <c r="BA36" i="9"/>
  <c r="BD36" i="9"/>
  <c r="AY36" i="9"/>
  <c r="BC36" i="9"/>
  <c r="BE36" i="9"/>
  <c r="AT26" i="9"/>
  <c r="AS26" i="9"/>
  <c r="AQ26" i="9"/>
  <c r="AR26" i="9"/>
  <c r="AO26" i="9"/>
  <c r="AU26" i="9"/>
  <c r="AP26" i="9"/>
  <c r="AU27" i="9"/>
  <c r="AQ27" i="9"/>
  <c r="AO27" i="9"/>
  <c r="AP27" i="9"/>
  <c r="AT27" i="9"/>
  <c r="AS27" i="9"/>
  <c r="AR27" i="9"/>
  <c r="AC27" i="12"/>
  <c r="AD27" i="12"/>
  <c r="AE27" i="12"/>
  <c r="AF27" i="12"/>
  <c r="AH27" i="12"/>
  <c r="AG27" i="12"/>
  <c r="AB27" i="12"/>
  <c r="BC35" i="9"/>
  <c r="BE35" i="9"/>
  <c r="BF35" i="9"/>
  <c r="BF38" i="9" s="1"/>
  <c r="BD35" i="9"/>
  <c r="BG35" i="9"/>
  <c r="BG38" i="9" s="1"/>
  <c r="BA35" i="9"/>
  <c r="BB35" i="9"/>
  <c r="BU53" i="12"/>
  <c r="BU55" i="12" s="1"/>
  <c r="BV53" i="12"/>
  <c r="BV55" i="12" s="1"/>
  <c r="BW53" i="12"/>
  <c r="BW55" i="12" s="1"/>
  <c r="BX53" i="12"/>
  <c r="BX55" i="12" s="1"/>
  <c r="BY53" i="12"/>
  <c r="BY55" i="12" s="1"/>
  <c r="BZ53" i="12"/>
  <c r="BZ55" i="12" s="1"/>
  <c r="CA53" i="12"/>
  <c r="CA55" i="12" s="1"/>
  <c r="AW37" i="12"/>
  <c r="AW39" i="12" s="1"/>
  <c r="AX37" i="12"/>
  <c r="AX39" i="12" s="1"/>
  <c r="AY37" i="12"/>
  <c r="AY39" i="12" s="1"/>
  <c r="AZ37" i="12"/>
  <c r="AZ39" i="12" s="1"/>
  <c r="BA37" i="12"/>
  <c r="BA39" i="12" s="1"/>
  <c r="BB37" i="12"/>
  <c r="BB39" i="12" s="1"/>
  <c r="BC37" i="12"/>
  <c r="BC39" i="12" s="1"/>
  <c r="AN19" i="9"/>
  <c r="AI19" i="9"/>
  <c r="AM19" i="9"/>
  <c r="AJ19" i="9"/>
  <c r="AK19" i="9"/>
  <c r="AH19" i="9"/>
  <c r="AL19" i="9"/>
  <c r="BS44" i="9"/>
  <c r="BT44" i="9"/>
  <c r="BU44" i="9"/>
  <c r="BV44" i="9"/>
  <c r="BW44" i="9"/>
  <c r="BW46" i="9" s="1"/>
  <c r="BX44" i="9"/>
  <c r="BX46" i="9" s="1"/>
  <c r="BY44" i="9"/>
  <c r="BY46" i="9" s="1"/>
  <c r="BB41" i="9"/>
  <c r="BG41" i="9"/>
  <c r="BD41" i="9"/>
  <c r="BA41" i="9"/>
  <c r="BC41" i="9"/>
  <c r="BF41" i="9"/>
  <c r="BE41" i="9"/>
  <c r="AF18" i="12"/>
  <c r="AL18" i="12"/>
  <c r="AI18" i="12"/>
  <c r="AK18" i="12"/>
  <c r="AH18" i="12"/>
  <c r="AJ18" i="12"/>
  <c r="AG18" i="12"/>
  <c r="AH17" i="9"/>
  <c r="AN17" i="9"/>
  <c r="AI17" i="9"/>
  <c r="AL17" i="9"/>
  <c r="AK17" i="9"/>
  <c r="AM17" i="9"/>
  <c r="AJ17" i="9"/>
  <c r="Q4" i="14"/>
  <c r="R4" i="14"/>
  <c r="S4" i="14"/>
  <c r="O4" i="14"/>
  <c r="M4" i="14"/>
  <c r="P4" i="14"/>
  <c r="N4" i="14"/>
  <c r="O20" i="14"/>
  <c r="Q20" i="14"/>
  <c r="P20" i="14"/>
  <c r="N20" i="14"/>
  <c r="R20" i="14"/>
  <c r="S20" i="14"/>
  <c r="M20" i="14"/>
  <c r="S28" i="14"/>
  <c r="P28" i="14"/>
  <c r="Q28" i="14"/>
  <c r="N28" i="14"/>
  <c r="O28" i="14"/>
  <c r="R28" i="14"/>
  <c r="AP36" i="12"/>
  <c r="AO36" i="12"/>
  <c r="AR36" i="12"/>
  <c r="AS36" i="12"/>
  <c r="AQ36" i="12"/>
  <c r="BG42" i="12"/>
  <c r="BH42" i="12"/>
  <c r="BI42" i="12"/>
  <c r="BJ42" i="12"/>
  <c r="BK42" i="12"/>
  <c r="BL42" i="12"/>
  <c r="BM42" i="12"/>
  <c r="R19" i="14"/>
  <c r="O19" i="14"/>
  <c r="P19" i="14"/>
  <c r="S19" i="14"/>
  <c r="Q19" i="14"/>
  <c r="M19" i="14"/>
  <c r="N19" i="14"/>
  <c r="AD4" i="12"/>
  <c r="AC4" i="12"/>
  <c r="AB4" i="12"/>
  <c r="AA4" i="12"/>
  <c r="AE4" i="12"/>
  <c r="BP59" i="9"/>
  <c r="BQ59" i="9"/>
  <c r="BR59" i="9"/>
  <c r="BS59" i="9"/>
  <c r="BT59" i="9"/>
  <c r="BU59" i="9"/>
  <c r="BV59" i="9"/>
  <c r="AC18" i="9"/>
  <c r="X18" i="9"/>
  <c r="AD18" i="9"/>
  <c r="Y18" i="9"/>
  <c r="AB18" i="9"/>
  <c r="AA18" i="9"/>
  <c r="Z18" i="9"/>
  <c r="N19" i="16"/>
  <c r="AA4" i="9"/>
  <c r="AG4" i="9"/>
  <c r="AB4" i="9"/>
  <c r="AE4" i="9"/>
  <c r="AF4" i="9"/>
  <c r="AD4" i="9"/>
  <c r="AC4" i="9"/>
  <c r="BE51" i="12"/>
  <c r="BD51" i="12"/>
  <c r="BC51" i="12"/>
  <c r="BB51" i="12"/>
  <c r="BA51" i="12"/>
  <c r="BG51" i="12"/>
  <c r="BF51" i="12"/>
  <c r="AA19" i="12"/>
  <c r="X19" i="12"/>
  <c r="AB19" i="12"/>
  <c r="W19" i="12"/>
  <c r="V19" i="12"/>
  <c r="Y19" i="12"/>
  <c r="Z19" i="12"/>
  <c r="X10" i="9"/>
  <c r="AA10" i="9"/>
  <c r="V10" i="9"/>
  <c r="W10" i="9"/>
  <c r="Y10" i="9"/>
  <c r="U10" i="9"/>
  <c r="Z10" i="9"/>
  <c r="BK49" i="9"/>
  <c r="BF49" i="9"/>
  <c r="BE49" i="9"/>
  <c r="BD49" i="9"/>
  <c r="BC49" i="9"/>
  <c r="BG49" i="9"/>
  <c r="BB49" i="9"/>
  <c r="BA49" i="9"/>
  <c r="BJ44" i="12"/>
  <c r="BI44" i="12"/>
  <c r="BK44" i="12"/>
  <c r="BL44" i="12"/>
  <c r="BM44" i="12"/>
  <c r="AW34" i="9"/>
  <c r="AX34" i="9"/>
  <c r="AY34" i="9"/>
  <c r="AV34" i="9"/>
  <c r="AU34" i="9"/>
  <c r="AT34" i="9"/>
  <c r="AZ34" i="9"/>
  <c r="BP43" i="9"/>
  <c r="BQ43" i="9"/>
  <c r="BR43" i="9"/>
  <c r="BS43" i="9"/>
  <c r="BT43" i="9"/>
  <c r="BU43" i="9"/>
  <c r="BV43" i="9"/>
  <c r="BM52" i="12"/>
  <c r="BN52" i="12"/>
  <c r="BO52" i="12"/>
  <c r="BP52" i="12"/>
  <c r="BQ52" i="12"/>
  <c r="AP34" i="12"/>
  <c r="AN34" i="12"/>
  <c r="AR34" i="12"/>
  <c r="AO34" i="12"/>
  <c r="AQ34" i="12"/>
  <c r="AM34" i="12"/>
  <c r="AS34" i="12"/>
  <c r="BY58" i="12"/>
  <c r="BZ58" i="12"/>
  <c r="CA58" i="12"/>
  <c r="CB58" i="12"/>
  <c r="CC58" i="12"/>
  <c r="CD58" i="12"/>
  <c r="CE58" i="12"/>
  <c r="BK50" i="9"/>
  <c r="BL50" i="9"/>
  <c r="BM50" i="9"/>
  <c r="BJ50" i="9"/>
  <c r="BI50" i="9"/>
  <c r="BN50" i="9"/>
  <c r="BO50" i="9"/>
  <c r="AS33" i="9"/>
  <c r="AR33" i="9"/>
  <c r="AQ33" i="9"/>
  <c r="AW33" i="9"/>
  <c r="AV33" i="9"/>
  <c r="AT33" i="9"/>
  <c r="AU33" i="9"/>
  <c r="CA60" i="12"/>
  <c r="CB60" i="12"/>
  <c r="CC60" i="12"/>
  <c r="CD60" i="12"/>
  <c r="CE60" i="12"/>
  <c r="BK50" i="12"/>
  <c r="BL50" i="12"/>
  <c r="BM50" i="12"/>
  <c r="BN50" i="12"/>
  <c r="BO50" i="12"/>
  <c r="BP50" i="12"/>
  <c r="BQ50" i="12"/>
  <c r="BI42" i="9"/>
  <c r="BM42" i="9"/>
  <c r="BL42" i="9"/>
  <c r="BK42" i="9"/>
  <c r="BJ42" i="9"/>
  <c r="BN42" i="9"/>
  <c r="BO42" i="9"/>
  <c r="AZ13" i="12"/>
  <c r="AT13" i="12"/>
  <c r="AT15" i="12" s="1"/>
  <c r="AU13" i="12"/>
  <c r="AU15" i="12" s="1"/>
  <c r="AV13" i="12"/>
  <c r="AV15" i="12" s="1"/>
  <c r="AW13" i="12"/>
  <c r="AW15" i="12" s="1"/>
  <c r="AX13" i="12"/>
  <c r="AX15" i="12" s="1"/>
  <c r="AY13" i="12"/>
  <c r="AY15" i="12" s="1"/>
  <c r="BO59" i="12"/>
  <c r="BP59" i="12"/>
  <c r="BQ59" i="12"/>
  <c r="BR59" i="12"/>
  <c r="BS59" i="12"/>
  <c r="BT59" i="12"/>
  <c r="BU59" i="12"/>
  <c r="Y11" i="12"/>
  <c r="U11" i="12"/>
  <c r="V11" i="12"/>
  <c r="T11" i="12"/>
  <c r="W11" i="12"/>
  <c r="S11" i="12"/>
  <c r="X11" i="12"/>
  <c r="BB43" i="12"/>
  <c r="BC43" i="12"/>
  <c r="AX43" i="12"/>
  <c r="BA43" i="12"/>
  <c r="AY43" i="12"/>
  <c r="AW43" i="12"/>
  <c r="AZ43" i="12"/>
  <c r="AT12" i="9"/>
  <c r="AT14" i="9" s="1"/>
  <c r="AS12" i="9"/>
  <c r="AS14" i="9" s="1"/>
  <c r="AP12" i="9"/>
  <c r="AP14" i="9" s="1"/>
  <c r="AR12" i="9"/>
  <c r="AR14" i="9" s="1"/>
  <c r="AO12" i="9"/>
  <c r="AO14" i="9" s="1"/>
  <c r="AU12" i="9"/>
  <c r="AU14" i="9" s="1"/>
  <c r="AQ12" i="9"/>
  <c r="AQ14" i="9" s="1"/>
  <c r="BL58" i="9"/>
  <c r="BM58" i="9"/>
  <c r="BI58" i="9"/>
  <c r="BJ58" i="9"/>
  <c r="BK58" i="9"/>
  <c r="BN58" i="9"/>
  <c r="BO58" i="9"/>
  <c r="BT46" i="9" l="1"/>
  <c r="AT23" i="12"/>
  <c r="AU23" i="12"/>
  <c r="AV23" i="12"/>
  <c r="AQ23" i="12"/>
  <c r="AR23" i="12"/>
  <c r="AP23" i="12"/>
  <c r="AS23" i="12"/>
  <c r="BB38" i="9"/>
  <c r="BV46" i="9"/>
  <c r="BU46" i="9"/>
  <c r="BA38" i="9"/>
  <c r="BD38" i="9"/>
  <c r="BC38" i="9"/>
  <c r="BE38" i="9"/>
  <c r="BS46" i="9"/>
  <c r="N4" i="18" l="1"/>
  <c r="P4" i="18"/>
  <c r="O4" i="18"/>
  <c r="AI38" i="5" l="1"/>
  <c r="AI54" i="5"/>
  <c r="AI62" i="5"/>
  <c r="O3" i="15"/>
  <c r="P4" i="15"/>
  <c r="O4" i="15"/>
  <c r="O4" i="5"/>
  <c r="N4" i="5"/>
  <c r="T53" i="5"/>
  <c r="O68" i="5"/>
  <c r="P5" i="15"/>
  <c r="Q5" i="15"/>
  <c r="AB38" i="5"/>
  <c r="O51" i="5"/>
  <c r="N51" i="5"/>
  <c r="O3" i="5"/>
  <c r="N3" i="5"/>
  <c r="S61" i="5"/>
  <c r="AI70" i="5" l="1"/>
  <c r="AI46" i="5"/>
  <c r="N59" i="5"/>
  <c r="O8" i="15"/>
  <c r="N68" i="5"/>
  <c r="P28" i="15"/>
  <c r="P32" i="15" s="1"/>
  <c r="O28" i="15"/>
  <c r="O32" i="15" s="1"/>
  <c r="T61" i="5"/>
  <c r="S53" i="5"/>
  <c r="O59" i="5"/>
  <c r="N5" i="5"/>
  <c r="N8" i="5" s="1"/>
  <c r="O5" i="5"/>
  <c r="O8" i="5" s="1"/>
  <c r="O44" i="5"/>
  <c r="N44" i="5"/>
  <c r="Z38" i="5"/>
  <c r="R38" i="5"/>
  <c r="AA38" i="5"/>
  <c r="T38" i="5"/>
  <c r="S38" i="5"/>
  <c r="W38" i="5"/>
  <c r="X38" i="5"/>
  <c r="V38" i="5"/>
  <c r="Y38" i="5"/>
  <c r="O38" i="5"/>
  <c r="U38" i="5"/>
  <c r="Q38" i="5"/>
  <c r="P38" i="5"/>
  <c r="N38" i="5"/>
  <c r="N67" i="5"/>
  <c r="O67" i="5"/>
  <c r="O72" i="5" s="1"/>
  <c r="O11" i="15"/>
  <c r="P11" i="15"/>
  <c r="T45" i="5"/>
  <c r="S45" i="5"/>
  <c r="N60" i="5"/>
  <c r="O60" i="5"/>
  <c r="O13" i="5"/>
  <c r="N13" i="5"/>
  <c r="N12" i="5"/>
  <c r="O12" i="5"/>
  <c r="O52" i="5"/>
  <c r="O56" i="5" s="1"/>
  <c r="N52" i="5"/>
  <c r="N56" i="5" s="1"/>
  <c r="N28" i="5"/>
  <c r="O28" i="5"/>
  <c r="P13" i="15"/>
  <c r="Q13" i="15"/>
  <c r="N19" i="5"/>
  <c r="O19" i="5"/>
  <c r="N20" i="5"/>
  <c r="O20" i="5"/>
  <c r="O20" i="15"/>
  <c r="O24" i="15" s="1"/>
  <c r="P20" i="15"/>
  <c r="P24" i="15" s="1"/>
  <c r="N11" i="5"/>
  <c r="O11" i="5"/>
  <c r="O29" i="5"/>
  <c r="N29" i="5"/>
  <c r="S37" i="5"/>
  <c r="T37" i="5"/>
  <c r="N43" i="5"/>
  <c r="O43" i="5"/>
  <c r="N36" i="5"/>
  <c r="O36" i="5"/>
  <c r="O27" i="5"/>
  <c r="N27" i="5"/>
  <c r="O35" i="5"/>
  <c r="N35" i="5"/>
  <c r="S69" i="5"/>
  <c r="T69" i="5"/>
  <c r="O12" i="15"/>
  <c r="P12" i="15"/>
  <c r="O21" i="5"/>
  <c r="N21" i="5"/>
  <c r="N64" i="5" l="1"/>
  <c r="N72" i="5"/>
  <c r="O64" i="5"/>
  <c r="O48" i="5"/>
  <c r="N48" i="5"/>
  <c r="N40" i="5"/>
  <c r="N32" i="5"/>
  <c r="O16" i="15"/>
  <c r="N24" i="5"/>
  <c r="N16" i="5"/>
  <c r="O16" i="5"/>
  <c r="O24" i="5"/>
  <c r="O40" i="5"/>
  <c r="O32" i="5"/>
  <c r="P16" i="15"/>
  <c r="O75" i="5" l="1"/>
  <c r="O75" i="15"/>
  <c r="N75" i="5"/>
  <c r="I6" i="14" l="1"/>
  <c r="BF6" i="14" s="1"/>
  <c r="CG6" i="14" l="1"/>
  <c r="CE6" i="14"/>
  <c r="BY6" i="14"/>
  <c r="L6" i="14"/>
  <c r="L8" i="14" s="1"/>
  <c r="CC6" i="14"/>
  <c r="CI6" i="14"/>
  <c r="BU6" i="14"/>
  <c r="BB6" i="14"/>
  <c r="CJ6" i="14"/>
  <c r="BE6" i="14"/>
  <c r="CM6" i="14"/>
  <c r="T6" i="14"/>
  <c r="P6" i="14"/>
  <c r="P8" i="14" s="1"/>
  <c r="Z6" i="14"/>
  <c r="V6" i="14"/>
  <c r="AY6" i="14"/>
  <c r="CN6" i="14"/>
  <c r="O6" i="14"/>
  <c r="O8" i="14" s="1"/>
  <c r="BO6" i="14"/>
  <c r="BP6" i="14"/>
  <c r="CB6" i="14"/>
  <c r="CH6" i="14"/>
  <c r="U6" i="14"/>
  <c r="BM6" i="14"/>
  <c r="CL6" i="14"/>
  <c r="BK6" i="14"/>
  <c r="CD6" i="14"/>
  <c r="BV6" i="14"/>
  <c r="Y6" i="14"/>
  <c r="CP6" i="14"/>
  <c r="S6" i="14"/>
  <c r="S8" i="14" s="1"/>
  <c r="BW6" i="14"/>
  <c r="BX6" i="14"/>
  <c r="BH6" i="14"/>
  <c r="CQ6" i="14"/>
  <c r="CK6" i="14"/>
  <c r="M6" i="14"/>
  <c r="M8" i="14" s="1"/>
  <c r="W6" i="14"/>
  <c r="BT6" i="14"/>
  <c r="BS6" i="14"/>
  <c r="BN6" i="14"/>
  <c r="CA6" i="14"/>
  <c r="BQ6" i="14"/>
  <c r="R6" i="14"/>
  <c r="R8" i="14" s="1"/>
  <c r="AX6" i="14"/>
  <c r="AZ6" i="14"/>
  <c r="BA6" i="14"/>
  <c r="CO6" i="14"/>
  <c r="CR6" i="14"/>
  <c r="BG6" i="14"/>
  <c r="BZ6" i="14"/>
  <c r="BD6" i="14"/>
  <c r="X6" i="14"/>
  <c r="N6" i="14"/>
  <c r="N8" i="14" s="1"/>
  <c r="Q6" i="14"/>
  <c r="Q8" i="14" s="1"/>
  <c r="BI6" i="14"/>
  <c r="BJ6" i="14"/>
  <c r="CF6" i="14"/>
  <c r="BR6" i="14"/>
  <c r="BL6" i="14"/>
  <c r="BC6" i="14"/>
  <c r="CS6" i="14"/>
  <c r="I46" i="14" l="1"/>
  <c r="CX46" i="14" s="1"/>
  <c r="CX48" i="14" s="1"/>
  <c r="AN46" i="14" l="1"/>
  <c r="W46" i="14"/>
  <c r="AG46" i="14"/>
  <c r="AQ46" i="14"/>
  <c r="AD46" i="14"/>
  <c r="S46" i="14"/>
  <c r="S48" i="14" s="1"/>
  <c r="AA46" i="14"/>
  <c r="P46" i="14"/>
  <c r="P48" i="14" s="1"/>
  <c r="X46" i="14"/>
  <c r="AM46" i="14"/>
  <c r="AH46" i="14"/>
  <c r="Q46" i="14"/>
  <c r="Q48" i="14" s="1"/>
  <c r="T46" i="14"/>
  <c r="L46" i="14"/>
  <c r="L48" i="14" s="1"/>
  <c r="DC46" i="14"/>
  <c r="DC48" i="14" s="1"/>
  <c r="CO46" i="14"/>
  <c r="CO48" i="14" s="1"/>
  <c r="DN46" i="14"/>
  <c r="DN48" i="14" s="1"/>
  <c r="M46" i="14"/>
  <c r="M48" i="14" s="1"/>
  <c r="DQ46" i="14"/>
  <c r="DQ48" i="14" s="1"/>
  <c r="DP46" i="14"/>
  <c r="DP48" i="14" s="1"/>
  <c r="DL46" i="14"/>
  <c r="DL48" i="14" s="1"/>
  <c r="DH46" i="14"/>
  <c r="DH48" i="14" s="1"/>
  <c r="DI46" i="14"/>
  <c r="DI48" i="14" s="1"/>
  <c r="DO46" i="14"/>
  <c r="DO48" i="14" s="1"/>
  <c r="DD46" i="14"/>
  <c r="DD48" i="14" s="1"/>
  <c r="CN46" i="14"/>
  <c r="CN48" i="14" s="1"/>
  <c r="DA46" i="14"/>
  <c r="DA48" i="14" s="1"/>
  <c r="CZ46" i="14"/>
  <c r="CZ48" i="14" s="1"/>
  <c r="CW46" i="14"/>
  <c r="CW48" i="14" s="1"/>
  <c r="DJ46" i="14"/>
  <c r="DJ48" i="14" s="1"/>
  <c r="CL46" i="14"/>
  <c r="CL48" i="14" s="1"/>
  <c r="N46" i="14"/>
  <c r="N48" i="14" s="1"/>
  <c r="CM46" i="14"/>
  <c r="CM48" i="14" s="1"/>
  <c r="R46" i="14"/>
  <c r="R48" i="14" s="1"/>
  <c r="AI46" i="14"/>
  <c r="AB46" i="14"/>
  <c r="CS46" i="14"/>
  <c r="CS48" i="14" s="1"/>
  <c r="DM46" i="14"/>
  <c r="DM48" i="14" s="1"/>
  <c r="CR46" i="14"/>
  <c r="CR48" i="14" s="1"/>
  <c r="DB46" i="14"/>
  <c r="DB48" i="14" s="1"/>
  <c r="DR46" i="14"/>
  <c r="DR48" i="14" s="1"/>
  <c r="DF46" i="14"/>
  <c r="DF48" i="14" s="1"/>
  <c r="CP46" i="14"/>
  <c r="CP48" i="14" s="1"/>
  <c r="CY46" i="14"/>
  <c r="CY48" i="14" s="1"/>
  <c r="DE46" i="14"/>
  <c r="DE48" i="14" s="1"/>
  <c r="AC46" i="14"/>
  <c r="AL46" i="14"/>
  <c r="AP46" i="14"/>
  <c r="Y46" i="14"/>
  <c r="AJ46" i="14"/>
  <c r="AR46" i="14"/>
  <c r="AE46" i="14"/>
  <c r="DK46" i="14"/>
  <c r="DK48" i="14" s="1"/>
  <c r="AO46" i="14"/>
  <c r="AK46" i="14"/>
  <c r="CQ46" i="14"/>
  <c r="CQ48" i="14" s="1"/>
  <c r="U46" i="14"/>
  <c r="AF46" i="14"/>
  <c r="DG46" i="14"/>
  <c r="DG48" i="14" s="1"/>
  <c r="O46" i="14"/>
  <c r="O48" i="14" s="1"/>
  <c r="CK46" i="14"/>
  <c r="CK48" i="14" s="1"/>
  <c r="CV46" i="14"/>
  <c r="Z46" i="14"/>
  <c r="V46" i="14"/>
  <c r="I54" i="14" l="1"/>
  <c r="DP54" i="14" s="1"/>
  <c r="DP56" i="14" s="1"/>
  <c r="O54" i="14" l="1"/>
  <c r="O56" i="14" s="1"/>
  <c r="AH54" i="14"/>
  <c r="R54" i="14"/>
  <c r="R56" i="14" s="1"/>
  <c r="AM54" i="14"/>
  <c r="AP54" i="14"/>
  <c r="DG54" i="14"/>
  <c r="DG56" i="14" s="1"/>
  <c r="V54" i="14"/>
  <c r="Q54" i="14"/>
  <c r="Q56" i="14" s="1"/>
  <c r="CS54" i="14"/>
  <c r="CS56" i="14" s="1"/>
  <c r="AK54" i="14"/>
  <c r="CV54" i="14"/>
  <c r="AB54" i="14"/>
  <c r="T54" i="14"/>
  <c r="U54" i="14"/>
  <c r="AC54" i="14"/>
  <c r="X54" i="14"/>
  <c r="AN54" i="14"/>
  <c r="S54" i="14"/>
  <c r="AO54" i="14"/>
  <c r="P54" i="14"/>
  <c r="P56" i="14" s="1"/>
  <c r="W54" i="14"/>
  <c r="AQ54" i="14"/>
  <c r="AG54" i="14"/>
  <c r="DK54" i="14"/>
  <c r="DK56" i="14" s="1"/>
  <c r="CQ54" i="14"/>
  <c r="CQ56" i="14" s="1"/>
  <c r="CR54" i="14"/>
  <c r="CR56" i="14" s="1"/>
  <c r="DO54" i="14"/>
  <c r="DO56" i="14" s="1"/>
  <c r="CM54" i="14"/>
  <c r="CM56" i="14" s="1"/>
  <c r="DI54" i="14"/>
  <c r="DI56" i="14" s="1"/>
  <c r="AL54" i="14"/>
  <c r="Y54" i="14"/>
  <c r="AI54" i="14"/>
  <c r="CN54" i="14"/>
  <c r="CN56" i="14" s="1"/>
  <c r="DJ54" i="14"/>
  <c r="DJ56" i="14" s="1"/>
  <c r="DM54" i="14"/>
  <c r="DM56" i="14" s="1"/>
  <c r="L54" i="14"/>
  <c r="L56" i="14" s="1"/>
  <c r="CP54" i="14"/>
  <c r="CP56" i="14" s="1"/>
  <c r="CO54" i="14"/>
  <c r="CO56" i="14" s="1"/>
  <c r="DT54" i="14"/>
  <c r="DT56" i="14" s="1"/>
  <c r="AD54" i="14"/>
  <c r="Z54" i="14"/>
  <c r="DS54" i="14"/>
  <c r="DS56" i="14" s="1"/>
  <c r="M54" i="14"/>
  <c r="M56" i="14" s="1"/>
  <c r="N54" i="14"/>
  <c r="N56" i="14" s="1"/>
  <c r="CW54" i="14"/>
  <c r="CW56" i="14" s="1"/>
  <c r="DL54" i="14"/>
  <c r="DL56" i="14" s="1"/>
  <c r="DF54" i="14"/>
  <c r="DF56" i="14" s="1"/>
  <c r="DD54" i="14"/>
  <c r="DD56" i="14" s="1"/>
  <c r="DQ54" i="14"/>
  <c r="DQ56" i="14" s="1"/>
  <c r="DB54" i="14"/>
  <c r="DB56" i="14" s="1"/>
  <c r="DR54" i="14"/>
  <c r="DR56" i="14" s="1"/>
  <c r="AE54" i="14"/>
  <c r="CY54" i="14"/>
  <c r="CY56" i="14" s="1"/>
  <c r="DE54" i="14"/>
  <c r="DE56" i="14" s="1"/>
  <c r="CK54" i="14"/>
  <c r="CK56" i="14" s="1"/>
  <c r="CZ54" i="14"/>
  <c r="CZ56" i="14" s="1"/>
  <c r="DC54" i="14"/>
  <c r="DC56" i="14" s="1"/>
  <c r="CL54" i="14"/>
  <c r="CL56" i="14" s="1"/>
  <c r="CX54" i="14"/>
  <c r="CX56" i="14" s="1"/>
  <c r="DN54" i="14"/>
  <c r="DN56" i="14" s="1"/>
  <c r="AR54" i="14"/>
  <c r="DH54" i="14"/>
  <c r="DH56" i="14" s="1"/>
  <c r="DU54" i="14"/>
  <c r="DU56" i="14" s="1"/>
  <c r="AF54" i="14"/>
  <c r="AA54" i="14"/>
  <c r="AJ54" i="14"/>
  <c r="DA54" i="14"/>
  <c r="DA56" i="14" s="1"/>
  <c r="I62" i="14" l="1"/>
  <c r="DU62" i="14" s="1"/>
  <c r="DU64" i="14" s="1"/>
  <c r="W62" i="14" l="1"/>
  <c r="DB62" i="14"/>
  <c r="DB64" i="14" s="1"/>
  <c r="AL62" i="14"/>
  <c r="AD62" i="14"/>
  <c r="AR62" i="14"/>
  <c r="AA62" i="14"/>
  <c r="O62" i="14"/>
  <c r="O64" i="14" s="1"/>
  <c r="DG62" i="14"/>
  <c r="DG64" i="14" s="1"/>
  <c r="AF62" i="14"/>
  <c r="X62" i="14"/>
  <c r="AI62" i="14"/>
  <c r="DF62" i="14"/>
  <c r="DF64" i="14" s="1"/>
  <c r="T62" i="14"/>
  <c r="CW62" i="14"/>
  <c r="CW64" i="14" s="1"/>
  <c r="AO62" i="14"/>
  <c r="AE62" i="14"/>
  <c r="AM62" i="14"/>
  <c r="N62" i="14"/>
  <c r="N64" i="14" s="1"/>
  <c r="Y62" i="14"/>
  <c r="AG62" i="14"/>
  <c r="AH62" i="14"/>
  <c r="AK62" i="14"/>
  <c r="DR62" i="14"/>
  <c r="DR64" i="14" s="1"/>
  <c r="U62" i="14"/>
  <c r="DL62" i="14"/>
  <c r="DL64" i="14" s="1"/>
  <c r="Q62" i="14"/>
  <c r="Q64" i="14" s="1"/>
  <c r="AP62" i="14"/>
  <c r="AJ62" i="14"/>
  <c r="Z62" i="14"/>
  <c r="AN62" i="14"/>
  <c r="S62" i="14"/>
  <c r="S64" i="14" s="1"/>
  <c r="AQ62" i="14"/>
  <c r="P62" i="14"/>
  <c r="P64" i="14" s="1"/>
  <c r="AC62" i="14"/>
  <c r="CV62" i="14"/>
  <c r="DT62" i="14"/>
  <c r="DT64" i="14" s="1"/>
  <c r="DN62" i="14"/>
  <c r="DN64" i="14" s="1"/>
  <c r="CR62" i="14"/>
  <c r="CR64" i="14" s="1"/>
  <c r="DV62" i="14"/>
  <c r="DV64" i="14" s="1"/>
  <c r="M62" i="14"/>
  <c r="M64" i="14" s="1"/>
  <c r="CO62" i="14"/>
  <c r="CO64" i="14" s="1"/>
  <c r="CL62" i="14"/>
  <c r="CL64" i="14" s="1"/>
  <c r="DO62" i="14"/>
  <c r="DO64" i="14" s="1"/>
  <c r="CZ62" i="14"/>
  <c r="CZ64" i="14" s="1"/>
  <c r="DA62" i="14"/>
  <c r="DA64" i="14" s="1"/>
  <c r="CY62" i="14"/>
  <c r="CY64" i="14" s="1"/>
  <c r="CS62" i="14"/>
  <c r="CS64" i="14" s="1"/>
  <c r="CK62" i="14"/>
  <c r="CK64" i="14" s="1"/>
  <c r="DD62" i="14"/>
  <c r="DD64" i="14" s="1"/>
  <c r="CP62" i="14"/>
  <c r="CP64" i="14" s="1"/>
  <c r="CQ62" i="14"/>
  <c r="CQ64" i="14" s="1"/>
  <c r="DI62" i="14"/>
  <c r="DI64" i="14" s="1"/>
  <c r="CX62" i="14"/>
  <c r="CX64" i="14" s="1"/>
  <c r="DM62" i="14"/>
  <c r="DM64" i="14" s="1"/>
  <c r="DS62" i="14"/>
  <c r="DS64" i="14" s="1"/>
  <c r="DQ62" i="14"/>
  <c r="DQ64" i="14" s="1"/>
  <c r="DH62" i="14"/>
  <c r="DH64" i="14" s="1"/>
  <c r="DC62" i="14"/>
  <c r="DC64" i="14" s="1"/>
  <c r="CM62" i="14"/>
  <c r="CM64" i="14" s="1"/>
  <c r="CN62" i="14"/>
  <c r="CN64" i="14" s="1"/>
  <c r="DK62" i="14"/>
  <c r="DK64" i="14" s="1"/>
  <c r="L62" i="14"/>
  <c r="L64" i="14" s="1"/>
  <c r="DP62" i="14"/>
  <c r="DP64" i="14" s="1"/>
  <c r="AB62" i="14"/>
  <c r="R62" i="14"/>
  <c r="R64" i="14" s="1"/>
  <c r="V62" i="14"/>
  <c r="DE62" i="14"/>
  <c r="DE64" i="14" s="1"/>
  <c r="DJ62" i="14"/>
  <c r="DJ64" i="14" s="1"/>
  <c r="DW62" i="14"/>
  <c r="DW64" i="14" s="1"/>
  <c r="O10" i="11" l="1"/>
  <c r="P10" i="11"/>
  <c r="R11" i="5"/>
  <c r="P11" i="5"/>
  <c r="Q11" i="5"/>
  <c r="Q10" i="11"/>
  <c r="AJ38" i="5"/>
  <c r="AL38" i="5"/>
  <c r="AK38" i="5"/>
  <c r="R29" i="5"/>
  <c r="P29" i="5"/>
  <c r="Q29" i="5"/>
  <c r="P3" i="15"/>
  <c r="P8" i="15" s="1"/>
  <c r="Q51" i="5"/>
  <c r="P51" i="5"/>
  <c r="R51" i="5"/>
  <c r="AL54" i="5"/>
  <c r="AJ54" i="5"/>
  <c r="AK54" i="5"/>
  <c r="AK62" i="5"/>
  <c r="AJ62" i="5"/>
  <c r="AL62" i="5"/>
  <c r="Q35" i="5" l="1"/>
  <c r="S3" i="15"/>
  <c r="Q11" i="15"/>
  <c r="S11" i="15"/>
  <c r="Q5" i="5"/>
  <c r="R11" i="15"/>
  <c r="P35" i="5"/>
  <c r="R35" i="5"/>
  <c r="V45" i="5"/>
  <c r="U45" i="5"/>
  <c r="W45" i="5"/>
  <c r="R5" i="5"/>
  <c r="Q3" i="5"/>
  <c r="R12" i="5"/>
  <c r="T5" i="15"/>
  <c r="S5" i="15"/>
  <c r="R5" i="15"/>
  <c r="R13" i="15"/>
  <c r="S13" i="15"/>
  <c r="T13" i="15"/>
  <c r="P13" i="5"/>
  <c r="R13" i="5"/>
  <c r="Q13" i="5"/>
  <c r="Q43" i="5"/>
  <c r="R43" i="5"/>
  <c r="P43" i="5"/>
  <c r="Q36" i="5"/>
  <c r="P36" i="5"/>
  <c r="R36" i="5"/>
  <c r="W53" i="5"/>
  <c r="U53" i="5"/>
  <c r="V53" i="5"/>
  <c r="R3" i="15"/>
  <c r="Q3" i="15"/>
  <c r="O2" i="11"/>
  <c r="K2" i="11"/>
  <c r="J2" i="11"/>
  <c r="L2" i="11"/>
  <c r="N2" i="11"/>
  <c r="M2" i="11"/>
  <c r="P3" i="5"/>
  <c r="V61" i="5"/>
  <c r="P59" i="5"/>
  <c r="Q59" i="5"/>
  <c r="R59" i="5"/>
  <c r="Q4" i="5"/>
  <c r="R4" i="5"/>
  <c r="P4" i="5"/>
  <c r="K3" i="11"/>
  <c r="L3" i="11"/>
  <c r="N3" i="11"/>
  <c r="M3" i="11"/>
  <c r="O3" i="11"/>
  <c r="J3" i="11"/>
  <c r="Q4" i="15"/>
  <c r="R4" i="15"/>
  <c r="S4" i="15"/>
  <c r="Q27" i="5"/>
  <c r="P27" i="5"/>
  <c r="R27" i="5"/>
  <c r="W61" i="5"/>
  <c r="U61" i="5"/>
  <c r="Q44" i="5"/>
  <c r="R44" i="5"/>
  <c r="P44" i="5"/>
  <c r="P12" i="5"/>
  <c r="Q12" i="5"/>
  <c r="S12" i="15"/>
  <c r="R12" i="15"/>
  <c r="Q12" i="15"/>
  <c r="R60" i="5"/>
  <c r="P60" i="5"/>
  <c r="Q60" i="5"/>
  <c r="Q52" i="5"/>
  <c r="P52" i="5"/>
  <c r="R52" i="5"/>
  <c r="N11" i="11"/>
  <c r="N15" i="11" s="1"/>
  <c r="M11" i="11"/>
  <c r="M15" i="11" s="1"/>
  <c r="M5" i="11"/>
  <c r="L5" i="11"/>
  <c r="O5" i="11"/>
  <c r="N5" i="11"/>
  <c r="AD21" i="11"/>
  <c r="AB21" i="11"/>
  <c r="AA21" i="11"/>
  <c r="AC21" i="11"/>
  <c r="AK46" i="5"/>
  <c r="AL46" i="5"/>
  <c r="AJ46" i="5"/>
  <c r="P21" i="5"/>
  <c r="Q21" i="5"/>
  <c r="R21" i="5"/>
  <c r="P75" i="15"/>
  <c r="Q28" i="5"/>
  <c r="R28" i="5"/>
  <c r="P28" i="5"/>
  <c r="Q28" i="15"/>
  <c r="Q32" i="15" s="1"/>
  <c r="R28" i="15"/>
  <c r="R32" i="15" s="1"/>
  <c r="S28" i="15"/>
  <c r="S32" i="15" s="1"/>
  <c r="P19" i="5"/>
  <c r="Q19" i="5"/>
  <c r="R19" i="5"/>
  <c r="V69" i="5"/>
  <c r="U69" i="5"/>
  <c r="W69" i="5"/>
  <c r="V37" i="5"/>
  <c r="U37" i="5"/>
  <c r="W37" i="5"/>
  <c r="R20" i="15"/>
  <c r="R24" i="15" s="1"/>
  <c r="Q20" i="15"/>
  <c r="Q24" i="15" s="1"/>
  <c r="S20" i="15"/>
  <c r="S24" i="15" s="1"/>
  <c r="P68" i="5"/>
  <c r="Q68" i="5"/>
  <c r="R68" i="5"/>
  <c r="AJ70" i="5"/>
  <c r="AK70" i="5"/>
  <c r="AL70" i="5"/>
  <c r="R67" i="5"/>
  <c r="P67" i="5"/>
  <c r="Q67" i="5"/>
  <c r="R20" i="5"/>
  <c r="Q20" i="5"/>
  <c r="P20" i="5"/>
  <c r="Q16" i="15" l="1"/>
  <c r="R16" i="5"/>
  <c r="Q40" i="5"/>
  <c r="R40" i="5"/>
  <c r="P40" i="5"/>
  <c r="Q8" i="5"/>
  <c r="R8" i="5"/>
  <c r="S8" i="15"/>
  <c r="R8" i="15"/>
  <c r="Q8" i="15"/>
  <c r="R32" i="5"/>
  <c r="P32" i="5"/>
  <c r="Q32" i="5"/>
  <c r="Q56" i="5"/>
  <c r="P56" i="5"/>
  <c r="R56" i="5"/>
  <c r="O7" i="11"/>
  <c r="L7" i="11"/>
  <c r="N7" i="11"/>
  <c r="M7" i="11"/>
  <c r="P16" i="5"/>
  <c r="Q16" i="5"/>
  <c r="S16" i="15"/>
  <c r="R16" i="15"/>
  <c r="P64" i="5"/>
  <c r="P48" i="5"/>
  <c r="Q48" i="5"/>
  <c r="R48" i="5"/>
  <c r="Q64" i="5"/>
  <c r="R64" i="5"/>
  <c r="R72" i="5"/>
  <c r="P72" i="5"/>
  <c r="Q72" i="5"/>
  <c r="P24" i="5"/>
  <c r="Q24" i="5"/>
  <c r="R24" i="5"/>
  <c r="Q75" i="15" l="1"/>
  <c r="S75" i="15"/>
  <c r="R75" i="15"/>
  <c r="R75" i="5"/>
  <c r="Q75" i="5"/>
  <c r="I38" i="14" l="1"/>
  <c r="BM38" i="14" s="1"/>
  <c r="BM40" i="14" s="1"/>
  <c r="CV38" i="14" l="1"/>
  <c r="DJ38" i="14"/>
  <c r="DJ40" i="14" s="1"/>
  <c r="BT38" i="14"/>
  <c r="BT40" i="14" s="1"/>
  <c r="CA38" i="14"/>
  <c r="CA40" i="14" s="1"/>
  <c r="BQ38" i="14"/>
  <c r="BQ40" i="14" s="1"/>
  <c r="BO38" i="14"/>
  <c r="BO40" i="14" s="1"/>
  <c r="CS38" i="14"/>
  <c r="CS40" i="14" s="1"/>
  <c r="CS67" i="14" s="1"/>
  <c r="CN38" i="14"/>
  <c r="CN40" i="14" s="1"/>
  <c r="CN67" i="14" s="1"/>
  <c r="BC38" i="14"/>
  <c r="AD38" i="14"/>
  <c r="CB38" i="14"/>
  <c r="CB40" i="14" s="1"/>
  <c r="O38" i="14"/>
  <c r="O40" i="14" s="1"/>
  <c r="CD38" i="14"/>
  <c r="CD40" i="14" s="1"/>
  <c r="CF38" i="14"/>
  <c r="CF40" i="14" s="1"/>
  <c r="AA38" i="14"/>
  <c r="DD38" i="14"/>
  <c r="DD40" i="14" s="1"/>
  <c r="BX38" i="14"/>
  <c r="BX40" i="14" s="1"/>
  <c r="DN38" i="14"/>
  <c r="DN40" i="14" s="1"/>
  <c r="T38" i="14"/>
  <c r="BI38" i="14"/>
  <c r="BI40" i="14" s="1"/>
  <c r="CX38" i="14"/>
  <c r="CX40" i="14" s="1"/>
  <c r="AC38" i="14"/>
  <c r="L38" i="14"/>
  <c r="L40" i="14" s="1"/>
  <c r="R38" i="14"/>
  <c r="R40" i="14" s="1"/>
  <c r="V38" i="14"/>
  <c r="DP38" i="14"/>
  <c r="DP40" i="14" s="1"/>
  <c r="BD38" i="14"/>
  <c r="DA38" i="14"/>
  <c r="DA40" i="14" s="1"/>
  <c r="W38" i="14"/>
  <c r="CM38" i="14"/>
  <c r="CM40" i="14" s="1"/>
  <c r="CM67" i="14" s="1"/>
  <c r="CE38" i="14"/>
  <c r="CE40" i="14" s="1"/>
  <c r="CH38" i="14"/>
  <c r="CH40" i="14" s="1"/>
  <c r="DR38" i="14"/>
  <c r="DR40" i="14" s="1"/>
  <c r="BG38" i="14"/>
  <c r="AH38" i="14"/>
  <c r="N38" i="14"/>
  <c r="AL38" i="14"/>
  <c r="CI38" i="14"/>
  <c r="CI40" i="14" s="1"/>
  <c r="BL38" i="14"/>
  <c r="BL40" i="14" s="1"/>
  <c r="Q38" i="14"/>
  <c r="Q40" i="14" s="1"/>
  <c r="Y38" i="14"/>
  <c r="BK38" i="14"/>
  <c r="BK40" i="14" s="1"/>
  <c r="BV38" i="14"/>
  <c r="BV40" i="14" s="1"/>
  <c r="AE38" i="14"/>
  <c r="DG38" i="14"/>
  <c r="DG40" i="14" s="1"/>
  <c r="AN38" i="14"/>
  <c r="DE38" i="14"/>
  <c r="DE40" i="14" s="1"/>
  <c r="BJ38" i="14"/>
  <c r="BJ40" i="14" s="1"/>
  <c r="BY38" i="14"/>
  <c r="BY40" i="14" s="1"/>
  <c r="DM38" i="14"/>
  <c r="DM40" i="14" s="1"/>
  <c r="DF38" i="14"/>
  <c r="DF40" i="14" s="1"/>
  <c r="AB38" i="14"/>
  <c r="BW38" i="14"/>
  <c r="BW40" i="14" s="1"/>
  <c r="AF38" i="14"/>
  <c r="DK38" i="14"/>
  <c r="DK40" i="14" s="1"/>
  <c r="CO38" i="14"/>
  <c r="CO40" i="14" s="1"/>
  <c r="CO67" i="14" s="1"/>
  <c r="DI38" i="14"/>
  <c r="DI40" i="14" s="1"/>
  <c r="DO38" i="14"/>
  <c r="DO40" i="14" s="1"/>
  <c r="CR38" i="14"/>
  <c r="CR40" i="14" s="1"/>
  <c r="CR67" i="14" s="1"/>
  <c r="U38" i="14"/>
  <c r="AK38" i="14"/>
  <c r="BP38" i="14"/>
  <c r="BP40" i="14" s="1"/>
  <c r="CJ38" i="14"/>
  <c r="CJ40" i="14" s="1"/>
  <c r="P38" i="14"/>
  <c r="P40" i="14" s="1"/>
  <c r="DQ38" i="14"/>
  <c r="DQ40" i="14" s="1"/>
  <c r="DB38" i="14"/>
  <c r="DB40" i="14" s="1"/>
  <c r="CQ38" i="14"/>
  <c r="CQ40" i="14" s="1"/>
  <c r="CQ67" i="14" s="1"/>
  <c r="AI38" i="14"/>
  <c r="BN38" i="14"/>
  <c r="BN40" i="14" s="1"/>
  <c r="BE38" i="14"/>
  <c r="DC38" i="14"/>
  <c r="DC40" i="14" s="1"/>
  <c r="CK38" i="14"/>
  <c r="CK40" i="14" s="1"/>
  <c r="CK67" i="14" s="1"/>
  <c r="BU38" i="14"/>
  <c r="BU40" i="14" s="1"/>
  <c r="CW38" i="14"/>
  <c r="CW40" i="14" s="1"/>
  <c r="DH38" i="14"/>
  <c r="DH40" i="14" s="1"/>
  <c r="AJ38" i="14"/>
  <c r="BH38" i="14"/>
  <c r="BH40" i="14" s="1"/>
  <c r="DL38" i="14"/>
  <c r="DL40" i="14" s="1"/>
  <c r="X38" i="14"/>
  <c r="BF38" i="14"/>
  <c r="AG38" i="14"/>
  <c r="Z38" i="14"/>
  <c r="S38" i="14"/>
  <c r="S40" i="14" s="1"/>
  <c r="BS38" i="14"/>
  <c r="BS40" i="14" s="1"/>
  <c r="CC38" i="14"/>
  <c r="CC40" i="14" s="1"/>
  <c r="CG38" i="14"/>
  <c r="CG40" i="14" s="1"/>
  <c r="CZ38" i="14"/>
  <c r="CZ40" i="14" s="1"/>
  <c r="BR38" i="14"/>
  <c r="BR40" i="14" s="1"/>
  <c r="BZ38" i="14"/>
  <c r="BZ40" i="14" s="1"/>
  <c r="CY38" i="14"/>
  <c r="CY40" i="14" s="1"/>
  <c r="CP38" i="14"/>
  <c r="CP40" i="14" s="1"/>
  <c r="CP67" i="14" s="1"/>
  <c r="AM38" i="14"/>
  <c r="CL38" i="14"/>
  <c r="CL40" i="14" s="1"/>
  <c r="CL67" i="14" s="1"/>
  <c r="M38" i="14"/>
  <c r="M40" i="14" s="1"/>
  <c r="I30" i="14" l="1"/>
  <c r="Z30" i="14" s="1"/>
  <c r="CE30" i="14" l="1"/>
  <c r="CR30" i="14"/>
  <c r="CS30" i="14"/>
  <c r="BS30" i="14"/>
  <c r="BS32" i="14" s="1"/>
  <c r="CP30" i="14"/>
  <c r="CN30" i="14"/>
  <c r="CF30" i="14"/>
  <c r="R30" i="14"/>
  <c r="R32" i="14" s="1"/>
  <c r="BV30" i="14"/>
  <c r="BQ30" i="14"/>
  <c r="BQ32" i="14" s="1"/>
  <c r="CK30" i="14"/>
  <c r="BW30" i="14"/>
  <c r="AB30" i="14"/>
  <c r="BP30" i="14"/>
  <c r="BP32" i="14" s="1"/>
  <c r="AI30" i="14"/>
  <c r="CH30" i="14"/>
  <c r="BU30" i="14"/>
  <c r="AD30" i="14"/>
  <c r="BT30" i="14"/>
  <c r="BT32" i="14" s="1"/>
  <c r="BE30" i="14"/>
  <c r="BR30" i="14"/>
  <c r="BR32" i="14" s="1"/>
  <c r="BX30" i="14"/>
  <c r="CL30" i="14"/>
  <c r="BN30" i="14"/>
  <c r="BN32" i="14" s="1"/>
  <c r="BC30" i="14"/>
  <c r="L30" i="14"/>
  <c r="L32" i="14" s="1"/>
  <c r="Q30" i="14"/>
  <c r="Q32" i="14" s="1"/>
  <c r="AH30" i="14"/>
  <c r="AF30" i="14"/>
  <c r="AA30" i="14"/>
  <c r="P30" i="14"/>
  <c r="P32" i="14" s="1"/>
  <c r="CI30" i="14"/>
  <c r="CA30" i="14"/>
  <c r="BL30" i="14"/>
  <c r="BL32" i="14" s="1"/>
  <c r="BH30" i="14"/>
  <c r="BH32" i="14" s="1"/>
  <c r="AG30" i="14"/>
  <c r="AL30" i="14"/>
  <c r="BB30" i="14"/>
  <c r="AJ30" i="14"/>
  <c r="O30" i="14"/>
  <c r="O32" i="14" s="1"/>
  <c r="Y30" i="14"/>
  <c r="BF30" i="14"/>
  <c r="CQ30" i="14"/>
  <c r="CO30" i="14"/>
  <c r="S30" i="14"/>
  <c r="S32" i="14" s="1"/>
  <c r="U30" i="14"/>
  <c r="W30" i="14"/>
  <c r="AK30" i="14"/>
  <c r="CD30" i="14"/>
  <c r="BZ30" i="14"/>
  <c r="AC30" i="14"/>
  <c r="BG30" i="14"/>
  <c r="AE30" i="14"/>
  <c r="X30" i="14"/>
  <c r="CJ30" i="14"/>
  <c r="CG30" i="14"/>
  <c r="BD30" i="14"/>
  <c r="N30" i="14"/>
  <c r="N32" i="14" s="1"/>
  <c r="BK30" i="14"/>
  <c r="BK32" i="14" s="1"/>
  <c r="AM30" i="14"/>
  <c r="M30" i="14"/>
  <c r="M32" i="14" s="1"/>
  <c r="BO30" i="14"/>
  <c r="BO32" i="14" s="1"/>
  <c r="CM30" i="14"/>
  <c r="CC30" i="14"/>
  <c r="BJ30" i="14"/>
  <c r="BJ32" i="14" s="1"/>
  <c r="BI30" i="14"/>
  <c r="BI32" i="14" s="1"/>
  <c r="CB30" i="14"/>
  <c r="BY30" i="14"/>
  <c r="BM30" i="14"/>
  <c r="BM32" i="14" s="1"/>
  <c r="V30" i="14"/>
  <c r="T30" i="14"/>
  <c r="I22" i="14" l="1"/>
  <c r="Y22" i="14" s="1"/>
  <c r="CK22" i="14" l="1"/>
  <c r="L22" i="14"/>
  <c r="L24" i="14" s="1"/>
  <c r="V22" i="14"/>
  <c r="BV22" i="14"/>
  <c r="CA22" i="14"/>
  <c r="U22" i="14"/>
  <c r="BQ22" i="14"/>
  <c r="BQ24" i="14" s="1"/>
  <c r="AW22" i="14"/>
  <c r="AW24" i="14" s="1"/>
  <c r="BC22" i="14"/>
  <c r="BC24" i="14" s="1"/>
  <c r="CD22" i="14"/>
  <c r="Q22" i="14"/>
  <c r="Q24" i="14" s="1"/>
  <c r="BJ22" i="14"/>
  <c r="BJ24" i="14" s="1"/>
  <c r="BF22" i="14"/>
  <c r="BF24" i="14" s="1"/>
  <c r="CN22" i="14"/>
  <c r="CF22" i="14"/>
  <c r="BU22" i="14"/>
  <c r="BP22" i="14"/>
  <c r="BP24" i="14" s="1"/>
  <c r="N22" i="14"/>
  <c r="N24" i="14" s="1"/>
  <c r="AX22" i="14"/>
  <c r="AX24" i="14" s="1"/>
  <c r="BO22" i="14"/>
  <c r="BO24" i="14" s="1"/>
  <c r="BB22" i="14"/>
  <c r="BB24" i="14" s="1"/>
  <c r="BA22" i="14"/>
  <c r="BA24" i="14" s="1"/>
  <c r="CL22" i="14"/>
  <c r="BZ22" i="14"/>
  <c r="P22" i="14"/>
  <c r="P24" i="14" s="1"/>
  <c r="CC22" i="14"/>
  <c r="CM22" i="14"/>
  <c r="AV22" i="14"/>
  <c r="AV24" i="14" s="1"/>
  <c r="W22" i="14"/>
  <c r="S22" i="14"/>
  <c r="S24" i="14" s="1"/>
  <c r="Z22" i="14"/>
  <c r="M22" i="14"/>
  <c r="M24" i="14" s="1"/>
  <c r="BE22" i="14"/>
  <c r="BE24" i="14" s="1"/>
  <c r="BY22" i="14"/>
  <c r="CR22" i="14"/>
  <c r="BS22" i="14"/>
  <c r="BH22" i="14"/>
  <c r="BH24" i="14" s="1"/>
  <c r="BG22" i="14"/>
  <c r="BG24" i="14" s="1"/>
  <c r="BW22" i="14"/>
  <c r="R22" i="14"/>
  <c r="R24" i="14" s="1"/>
  <c r="AZ22" i="14"/>
  <c r="AZ24" i="14" s="1"/>
  <c r="CB22" i="14"/>
  <c r="CG22" i="14"/>
  <c r="CH22" i="14"/>
  <c r="BT22" i="14"/>
  <c r="T22" i="14"/>
  <c r="CI22" i="14"/>
  <c r="BD22" i="14"/>
  <c r="BD24" i="14" s="1"/>
  <c r="X22" i="14"/>
  <c r="BI22" i="14"/>
  <c r="BI24" i="14" s="1"/>
  <c r="AY22" i="14"/>
  <c r="AY24" i="14" s="1"/>
  <c r="BL22" i="14"/>
  <c r="BL24" i="14" s="1"/>
  <c r="BR22" i="14"/>
  <c r="BR24" i="14" s="1"/>
  <c r="BN22" i="14"/>
  <c r="BN24" i="14" s="1"/>
  <c r="CS22" i="14"/>
  <c r="BX22" i="14"/>
  <c r="BM22" i="14"/>
  <c r="BM24" i="14" s="1"/>
  <c r="CJ22" i="14"/>
  <c r="CE22" i="14"/>
  <c r="CO22" i="14"/>
  <c r="CQ22" i="14"/>
  <c r="CP22" i="14"/>
  <c r="O22" i="14"/>
  <c r="O24" i="14" s="1"/>
  <c r="BK22" i="14"/>
  <c r="BK24" i="14" s="1"/>
  <c r="I14" i="14" l="1"/>
  <c r="T14" i="14" l="1"/>
  <c r="BD14" i="14"/>
  <c r="N14" i="14"/>
  <c r="N16" i="14" s="1"/>
  <c r="CP14" i="14"/>
  <c r="BG14" i="14"/>
  <c r="BN14" i="14"/>
  <c r="Q14" i="14"/>
  <c r="Q16" i="14" s="1"/>
  <c r="Q67" i="14" s="1"/>
  <c r="CO14" i="14"/>
  <c r="BU14" i="14"/>
  <c r="BM14" i="14"/>
  <c r="CQ14" i="14"/>
  <c r="BL14" i="14"/>
  <c r="P14" i="14"/>
  <c r="AA14" i="14"/>
  <c r="CI14" i="14"/>
  <c r="BV14" i="14"/>
  <c r="CC14" i="14"/>
  <c r="CD14" i="14"/>
  <c r="BX14" i="14"/>
  <c r="CJ14" i="14"/>
  <c r="BY14" i="14"/>
  <c r="AD14" i="14"/>
  <c r="R14" i="14"/>
  <c r="R16" i="14" s="1"/>
  <c r="R67" i="14" s="1"/>
  <c r="CG14" i="14"/>
  <c r="U14" i="14"/>
  <c r="BQ14" i="14"/>
  <c r="BP14" i="14"/>
  <c r="CE14" i="14"/>
  <c r="BE14" i="14"/>
  <c r="BT14" i="14"/>
  <c r="BR14" i="14"/>
  <c r="BK14" i="14"/>
  <c r="CS14" i="14"/>
  <c r="BC14" i="14"/>
  <c r="BF14" i="14"/>
  <c r="BJ14" i="14"/>
  <c r="L14" i="14"/>
  <c r="L16" i="14" s="1"/>
  <c r="L67" i="14" s="1"/>
  <c r="CA14" i="14"/>
  <c r="CL14" i="14"/>
  <c r="CH14" i="14"/>
  <c r="CN14" i="14"/>
  <c r="BO14" i="14"/>
  <c r="CR14" i="14"/>
  <c r="CK14" i="14"/>
  <c r="BH14" i="14"/>
  <c r="M14" i="14"/>
  <c r="M16" i="14" s="1"/>
  <c r="M67" i="14" s="1"/>
  <c r="AC14" i="14"/>
  <c r="O14" i="14"/>
  <c r="O16" i="14" s="1"/>
  <c r="O67" i="14" s="1"/>
  <c r="AB14" i="14"/>
  <c r="W14" i="14"/>
  <c r="S14" i="14"/>
  <c r="S16" i="14" s="1"/>
  <c r="Z14" i="14"/>
  <c r="X14" i="14"/>
  <c r="Y14" i="14"/>
  <c r="BZ14" i="14"/>
  <c r="V14" i="14"/>
  <c r="BI14" i="14"/>
  <c r="CB14" i="14"/>
  <c r="BS14" i="14"/>
  <c r="CM14" i="14"/>
  <c r="CF14" i="14"/>
  <c r="BW14" i="14"/>
  <c r="I5" i="8" l="1"/>
  <c r="BD5" i="8" l="1"/>
  <c r="BD8" i="8" s="1"/>
  <c r="CW5" i="8"/>
  <c r="CW8" i="8" s="1"/>
  <c r="CU5" i="8"/>
  <c r="CU8" i="8" s="1"/>
  <c r="P5" i="8"/>
  <c r="P8" i="8" s="1"/>
  <c r="S5" i="8"/>
  <c r="S8" i="8" s="1"/>
  <c r="BG5" i="8"/>
  <c r="BG8" i="8" s="1"/>
  <c r="BM5" i="8"/>
  <c r="BM8" i="8" s="1"/>
  <c r="BQ5" i="8"/>
  <c r="BQ8" i="8" s="1"/>
  <c r="BU5" i="8"/>
  <c r="BU8" i="8" s="1"/>
  <c r="BY5" i="8"/>
  <c r="BY8" i="8" s="1"/>
  <c r="CC5" i="8"/>
  <c r="CC8" i="8" s="1"/>
  <c r="CG5" i="8"/>
  <c r="CG8" i="8" s="1"/>
  <c r="CK5" i="8"/>
  <c r="CK8" i="8" s="1"/>
  <c r="CQ5" i="8"/>
  <c r="CQ8" i="8" s="1"/>
  <c r="L5" i="8"/>
  <c r="L8" i="8" s="1"/>
  <c r="CN5" i="8"/>
  <c r="CN8" i="8" s="1"/>
  <c r="CR5" i="8"/>
  <c r="CR8" i="8" s="1"/>
  <c r="CV5" i="8"/>
  <c r="CV8" i="8" s="1"/>
  <c r="O5" i="8"/>
  <c r="O8" i="8" s="1"/>
  <c r="BF5" i="8"/>
  <c r="BF8" i="8" s="1"/>
  <c r="R5" i="8"/>
  <c r="R8" i="8" s="1"/>
  <c r="BE5" i="8"/>
  <c r="BE8" i="8" s="1"/>
  <c r="V5" i="8"/>
  <c r="BJ5" i="8"/>
  <c r="BJ8" i="8" s="1"/>
  <c r="BN5" i="8"/>
  <c r="BN8" i="8" s="1"/>
  <c r="BR5" i="8"/>
  <c r="BR8" i="8" s="1"/>
  <c r="BV5" i="8"/>
  <c r="BV8" i="8" s="1"/>
  <c r="BZ5" i="8"/>
  <c r="BZ8" i="8" s="1"/>
  <c r="CD5" i="8"/>
  <c r="CD8" i="8" s="1"/>
  <c r="CH5" i="8"/>
  <c r="CH8" i="8" s="1"/>
  <c r="CL5" i="8"/>
  <c r="CL8" i="8" s="1"/>
  <c r="CO5" i="8"/>
  <c r="CO8" i="8" s="1"/>
  <c r="CS5" i="8"/>
  <c r="CS8" i="8" s="1"/>
  <c r="BH5" i="8"/>
  <c r="BH8" i="8" s="1"/>
  <c r="AZ5" i="8"/>
  <c r="BK5" i="8"/>
  <c r="BK8" i="8" s="1"/>
  <c r="BO5" i="8"/>
  <c r="BO8" i="8" s="1"/>
  <c r="BS5" i="8"/>
  <c r="BS8" i="8" s="1"/>
  <c r="BW5" i="8"/>
  <c r="BW8" i="8" s="1"/>
  <c r="CA5" i="8"/>
  <c r="CA8" i="8" s="1"/>
  <c r="CE5" i="8"/>
  <c r="CE8" i="8" s="1"/>
  <c r="CI5" i="8"/>
  <c r="CI8" i="8" s="1"/>
  <c r="CM5" i="8"/>
  <c r="CM8" i="8" s="1"/>
  <c r="BA5" i="8"/>
  <c r="BA8" i="8" s="1"/>
  <c r="M5" i="8"/>
  <c r="M8" i="8" s="1"/>
  <c r="CP5" i="8"/>
  <c r="CP8" i="8" s="1"/>
  <c r="CT5" i="8"/>
  <c r="CT8" i="8" s="1"/>
  <c r="BI5" i="8"/>
  <c r="BI8" i="8" s="1"/>
  <c r="BC5" i="8"/>
  <c r="BC8" i="8" s="1"/>
  <c r="N5" i="8"/>
  <c r="N8" i="8" s="1"/>
  <c r="Q5" i="8"/>
  <c r="Q8" i="8" s="1"/>
  <c r="U5" i="8"/>
  <c r="T5" i="8"/>
  <c r="BB5" i="8"/>
  <c r="BB8" i="8" s="1"/>
  <c r="BL5" i="8"/>
  <c r="BL8" i="8" s="1"/>
  <c r="BP5" i="8"/>
  <c r="BP8" i="8" s="1"/>
  <c r="BT5" i="8"/>
  <c r="BT8" i="8" s="1"/>
  <c r="BX5" i="8"/>
  <c r="BX8" i="8" s="1"/>
  <c r="CB5" i="8"/>
  <c r="CB8" i="8" s="1"/>
  <c r="CF5" i="8"/>
  <c r="CF8" i="8" s="1"/>
  <c r="CJ5" i="8"/>
  <c r="CJ8" i="8" s="1"/>
  <c r="I11" i="8" l="1"/>
  <c r="BR11" i="8" s="1"/>
  <c r="AP11" i="8" l="1"/>
  <c r="AZ11" i="8"/>
  <c r="R11" i="8"/>
  <c r="S11" i="8"/>
  <c r="Z11" i="8"/>
  <c r="CW11" i="8"/>
  <c r="CV11" i="8"/>
  <c r="BS11" i="8"/>
  <c r="AM11" i="8"/>
  <c r="AW11" i="8"/>
  <c r="AS11" i="8"/>
  <c r="BO11" i="8"/>
  <c r="CN11" i="8"/>
  <c r="T11" i="8"/>
  <c r="AR11" i="8"/>
  <c r="BV11" i="8"/>
  <c r="CO11" i="8"/>
  <c r="CS11" i="8"/>
  <c r="AV11" i="8"/>
  <c r="CD11" i="8"/>
  <c r="CE11" i="8"/>
  <c r="CJ11" i="8"/>
  <c r="W11" i="8"/>
  <c r="O11" i="8"/>
  <c r="CU11" i="8"/>
  <c r="AO11" i="8"/>
  <c r="BL11" i="8"/>
  <c r="CQ11" i="8"/>
  <c r="BW11" i="8"/>
  <c r="BA11" i="8"/>
  <c r="CA11" i="8"/>
  <c r="CB11" i="8"/>
  <c r="M11" i="8"/>
  <c r="CR11" i="8"/>
  <c r="CI11" i="8"/>
  <c r="U11" i="8"/>
  <c r="BF11" i="8"/>
  <c r="BQ11" i="8"/>
  <c r="N11" i="8"/>
  <c r="AN11" i="8"/>
  <c r="BB11" i="8"/>
  <c r="BM11" i="8"/>
  <c r="L11" i="8"/>
  <c r="BX11" i="8"/>
  <c r="CM11" i="8"/>
  <c r="AT11" i="8"/>
  <c r="BY11" i="8"/>
  <c r="AA11" i="8"/>
  <c r="CF11" i="8"/>
  <c r="CL11" i="8"/>
  <c r="AY11" i="8"/>
  <c r="AQ11" i="8"/>
  <c r="CP11" i="8"/>
  <c r="CT11" i="8"/>
  <c r="BG11" i="8"/>
  <c r="X11" i="8"/>
  <c r="BK11" i="8"/>
  <c r="AU11" i="8"/>
  <c r="P11" i="8"/>
  <c r="CH11" i="8"/>
  <c r="V11" i="8"/>
  <c r="BC11" i="8"/>
  <c r="CC11" i="8"/>
  <c r="BE11" i="8"/>
  <c r="Q11" i="8"/>
  <c r="AX11" i="8"/>
  <c r="BJ11" i="8"/>
  <c r="CG11" i="8"/>
  <c r="BP11" i="8"/>
  <c r="BT11" i="8"/>
  <c r="BD11" i="8"/>
  <c r="BH11" i="8"/>
  <c r="BU11" i="8"/>
  <c r="BZ11" i="8"/>
  <c r="Y11" i="8"/>
  <c r="BI11" i="8"/>
  <c r="BN11" i="8"/>
  <c r="CK11" i="8"/>
  <c r="I12" i="8"/>
  <c r="CV12" i="8" s="1"/>
  <c r="BQ12" i="8" l="1"/>
  <c r="R12" i="8"/>
  <c r="P12" i="8"/>
  <c r="BU12" i="8"/>
  <c r="BW12" i="8"/>
  <c r="BT12" i="8"/>
  <c r="CJ12" i="8"/>
  <c r="Q12" i="8"/>
  <c r="O12" i="8"/>
  <c r="CM12" i="8"/>
  <c r="BG12" i="8"/>
  <c r="L12" i="8"/>
  <c r="CA12" i="8"/>
  <c r="CW12" i="8"/>
  <c r="BY12" i="8"/>
  <c r="BS12" i="8"/>
  <c r="CD12" i="8"/>
  <c r="BF12" i="8"/>
  <c r="BJ12" i="8"/>
  <c r="CG12" i="8"/>
  <c r="CQ12" i="8"/>
  <c r="BV12" i="8"/>
  <c r="BC12" i="8"/>
  <c r="BI12" i="8"/>
  <c r="BM12" i="8"/>
  <c r="CO12" i="8"/>
  <c r="CR12" i="8"/>
  <c r="CB12" i="8"/>
  <c r="CS12" i="8"/>
  <c r="CT12" i="8"/>
  <c r="CL12" i="8"/>
  <c r="BK12" i="8"/>
  <c r="BO12" i="8"/>
  <c r="BX12" i="8"/>
  <c r="N12" i="8"/>
  <c r="CE12" i="8"/>
  <c r="BN12" i="8"/>
  <c r="M12" i="8"/>
  <c r="CC12" i="8"/>
  <c r="BD12" i="8"/>
  <c r="CN12" i="8"/>
  <c r="CU12" i="8"/>
  <c r="CP12" i="8"/>
  <c r="CF12" i="8"/>
  <c r="CH12" i="8"/>
  <c r="BB12" i="8"/>
  <c r="BR12" i="8"/>
  <c r="BL12" i="8"/>
  <c r="BE12" i="8"/>
  <c r="BH12" i="8"/>
  <c r="BZ12" i="8"/>
  <c r="CK12" i="8"/>
  <c r="BP12" i="8"/>
  <c r="CI12" i="8"/>
  <c r="I13" i="8"/>
  <c r="BW13" i="8" s="1"/>
  <c r="CV13" i="8" l="1"/>
  <c r="CT13" i="8"/>
  <c r="BE13" i="8"/>
  <c r="BR13" i="8"/>
  <c r="BS13" i="8"/>
  <c r="BQ13" i="8"/>
  <c r="BL13" i="8"/>
  <c r="AA13" i="8"/>
  <c r="CM13" i="8"/>
  <c r="CF13" i="8"/>
  <c r="CK13" i="8"/>
  <c r="CU13" i="8"/>
  <c r="T13" i="8"/>
  <c r="BZ13" i="8"/>
  <c r="BO13" i="8"/>
  <c r="CA13" i="8"/>
  <c r="CQ13" i="8"/>
  <c r="BX13" i="8"/>
  <c r="BD13" i="8"/>
  <c r="CJ13" i="8"/>
  <c r="N13" i="8"/>
  <c r="X13" i="8"/>
  <c r="CL13" i="8"/>
  <c r="CO13" i="8"/>
  <c r="BP13" i="8"/>
  <c r="BF13" i="8"/>
  <c r="Z13" i="8"/>
  <c r="BJ13" i="8"/>
  <c r="V13" i="8"/>
  <c r="S13" i="8"/>
  <c r="BH13" i="8"/>
  <c r="CE13" i="8"/>
  <c r="M13" i="8"/>
  <c r="BV13" i="8"/>
  <c r="CR13" i="8"/>
  <c r="BI13" i="8"/>
  <c r="BU13" i="8"/>
  <c r="BK13" i="8"/>
  <c r="W13" i="8"/>
  <c r="Q13" i="8"/>
  <c r="CH13" i="8"/>
  <c r="CC13" i="8"/>
  <c r="BY13" i="8"/>
  <c r="CP13" i="8"/>
  <c r="CG13" i="8"/>
  <c r="CN13" i="8"/>
  <c r="O13" i="8"/>
  <c r="BM13" i="8"/>
  <c r="CB13" i="8"/>
  <c r="CW13" i="8"/>
  <c r="BG13" i="8"/>
  <c r="P13" i="8"/>
  <c r="BN13" i="8"/>
  <c r="CD13" i="8"/>
  <c r="L13" i="8"/>
  <c r="CS13" i="8"/>
  <c r="U13" i="8"/>
  <c r="BT13" i="8"/>
  <c r="Y13" i="8"/>
  <c r="CI13" i="8"/>
  <c r="AB13" i="8"/>
  <c r="R13" i="8"/>
  <c r="I14" i="8"/>
  <c r="BG14" i="8" l="1"/>
  <c r="BG16" i="8" s="1"/>
  <c r="T14" i="8"/>
  <c r="AP14" i="8"/>
  <c r="BI14" i="8"/>
  <c r="BI16" i="8" s="1"/>
  <c r="CM14" i="8"/>
  <c r="CM16" i="8" s="1"/>
  <c r="CL14" i="8"/>
  <c r="CL16" i="8" s="1"/>
  <c r="AH14" i="8"/>
  <c r="CF14" i="8"/>
  <c r="CF16" i="8" s="1"/>
  <c r="BK14" i="8"/>
  <c r="BK16" i="8" s="1"/>
  <c r="BY14" i="8"/>
  <c r="BY16" i="8" s="1"/>
  <c r="BS14" i="8"/>
  <c r="BS16" i="8" s="1"/>
  <c r="CI14" i="8"/>
  <c r="CI16" i="8" s="1"/>
  <c r="BN14" i="8"/>
  <c r="BN16" i="8" s="1"/>
  <c r="CT14" i="8"/>
  <c r="CT16" i="8" s="1"/>
  <c r="AG14" i="8"/>
  <c r="Q14" i="8"/>
  <c r="Q16" i="8" s="1"/>
  <c r="X14" i="8"/>
  <c r="BW14" i="8"/>
  <c r="BW16" i="8" s="1"/>
  <c r="CP14" i="8"/>
  <c r="CP16" i="8" s="1"/>
  <c r="BU14" i="8"/>
  <c r="BU16" i="8" s="1"/>
  <c r="AR14" i="8"/>
  <c r="Z14" i="8"/>
  <c r="CA14" i="8"/>
  <c r="CA16" i="8" s="1"/>
  <c r="CG14" i="8"/>
  <c r="CG16" i="8" s="1"/>
  <c r="BZ14" i="8"/>
  <c r="BZ16" i="8" s="1"/>
  <c r="BP14" i="8"/>
  <c r="BP16" i="8" s="1"/>
  <c r="M14" i="8"/>
  <c r="M16" i="8" s="1"/>
  <c r="BM14" i="8"/>
  <c r="BM16" i="8" s="1"/>
  <c r="AC14" i="8"/>
  <c r="CO14" i="8"/>
  <c r="CO16" i="8" s="1"/>
  <c r="AO14" i="8"/>
  <c r="CN14" i="8"/>
  <c r="CN16" i="8" s="1"/>
  <c r="CW14" i="8"/>
  <c r="CW16" i="8" s="1"/>
  <c r="CK14" i="8"/>
  <c r="CK16" i="8" s="1"/>
  <c r="CD14" i="8"/>
  <c r="CD16" i="8" s="1"/>
  <c r="AK14" i="8"/>
  <c r="CH14" i="8"/>
  <c r="CH16" i="8" s="1"/>
  <c r="O14" i="8"/>
  <c r="O16" i="8" s="1"/>
  <c r="BR14" i="8"/>
  <c r="BR16" i="8" s="1"/>
  <c r="CV14" i="8"/>
  <c r="CV16" i="8" s="1"/>
  <c r="L14" i="8"/>
  <c r="L16" i="8" s="1"/>
  <c r="CU14" i="8"/>
  <c r="CU16" i="8" s="1"/>
  <c r="AA14" i="8"/>
  <c r="R14" i="8"/>
  <c r="R16" i="8" s="1"/>
  <c r="BJ14" i="8"/>
  <c r="BJ16" i="8" s="1"/>
  <c r="BQ14" i="8"/>
  <c r="BQ16" i="8" s="1"/>
  <c r="AI14" i="8"/>
  <c r="CQ14" i="8"/>
  <c r="CQ16" i="8" s="1"/>
  <c r="AF14" i="8"/>
  <c r="Y14" i="8"/>
  <c r="N14" i="8"/>
  <c r="N16" i="8" s="1"/>
  <c r="CJ14" i="8"/>
  <c r="CJ16" i="8" s="1"/>
  <c r="W14" i="8"/>
  <c r="BX14" i="8"/>
  <c r="BX16" i="8" s="1"/>
  <c r="BH14" i="8"/>
  <c r="BH16" i="8" s="1"/>
  <c r="BO14" i="8"/>
  <c r="BO16" i="8" s="1"/>
  <c r="AL14" i="8"/>
  <c r="CC14" i="8"/>
  <c r="CC16" i="8" s="1"/>
  <c r="P14" i="8"/>
  <c r="P16" i="8" s="1"/>
  <c r="CB14" i="8"/>
  <c r="CB16" i="8" s="1"/>
  <c r="AE14" i="8"/>
  <c r="BV14" i="8"/>
  <c r="BV16" i="8" s="1"/>
  <c r="AM14" i="8"/>
  <c r="U14" i="8"/>
  <c r="CR14" i="8"/>
  <c r="CR16" i="8" s="1"/>
  <c r="CE14" i="8"/>
  <c r="CE16" i="8" s="1"/>
  <c r="BL14" i="8"/>
  <c r="BL16" i="8" s="1"/>
  <c r="AN14" i="8"/>
  <c r="AD14" i="8"/>
  <c r="V14" i="8"/>
  <c r="S14" i="8"/>
  <c r="AB14" i="8"/>
  <c r="CS14" i="8"/>
  <c r="CS16" i="8" s="1"/>
  <c r="AQ14" i="8"/>
  <c r="BT14" i="8"/>
  <c r="BT16" i="8" s="1"/>
  <c r="AJ14" i="8"/>
  <c r="I37" i="8" l="1"/>
  <c r="O37" i="8" l="1"/>
  <c r="AO37" i="8"/>
  <c r="T37" i="8"/>
  <c r="AF37" i="8"/>
  <c r="V37" i="8"/>
  <c r="AH37" i="8"/>
  <c r="N37" i="8"/>
  <c r="AX37" i="8"/>
  <c r="Q37" i="8"/>
  <c r="Y37" i="8"/>
  <c r="AM37" i="8"/>
  <c r="P37" i="8"/>
  <c r="AC37" i="8"/>
  <c r="AB37" i="8"/>
  <c r="U37" i="8"/>
  <c r="AK37" i="8"/>
  <c r="AU37" i="8"/>
  <c r="AN37" i="8"/>
  <c r="AG37" i="8"/>
  <c r="AT37" i="8"/>
  <c r="AS37" i="8"/>
  <c r="R37" i="8"/>
  <c r="W37" i="8"/>
  <c r="AZ37" i="8"/>
  <c r="AR37" i="8"/>
  <c r="Z37" i="8"/>
  <c r="AD37" i="8"/>
  <c r="AI37" i="8"/>
  <c r="AV37" i="8"/>
  <c r="AQ37" i="8"/>
  <c r="AL37" i="8"/>
  <c r="AP37" i="8"/>
  <c r="L37" i="8"/>
  <c r="AY37" i="8"/>
  <c r="M37" i="8"/>
  <c r="S37" i="8"/>
  <c r="X37" i="8"/>
  <c r="AA37" i="8"/>
  <c r="AE37" i="8"/>
  <c r="AJ37" i="8"/>
  <c r="AW37" i="8"/>
  <c r="I27" i="8"/>
  <c r="AP27" i="8" s="1"/>
  <c r="CG27" i="8" l="1"/>
  <c r="S27" i="8"/>
  <c r="CM27" i="8"/>
  <c r="CE27" i="8"/>
  <c r="AE27" i="8"/>
  <c r="T27" i="8"/>
  <c r="CW27" i="8"/>
  <c r="AH27" i="8"/>
  <c r="BZ27" i="8"/>
  <c r="CJ27" i="8"/>
  <c r="CS27" i="8"/>
  <c r="BX27" i="8"/>
  <c r="AJ27" i="8"/>
  <c r="M27" i="8"/>
  <c r="AS27" i="8"/>
  <c r="L27" i="8"/>
  <c r="Q27" i="8"/>
  <c r="AM27" i="8"/>
  <c r="CT27" i="8"/>
  <c r="AC27" i="8"/>
  <c r="X27" i="8"/>
  <c r="AO27" i="8"/>
  <c r="BU27" i="8"/>
  <c r="BP27" i="8"/>
  <c r="BT27" i="8"/>
  <c r="AG27" i="8"/>
  <c r="CL27" i="8"/>
  <c r="CV27" i="8"/>
  <c r="AN27" i="8"/>
  <c r="BS27" i="8"/>
  <c r="BQ27" i="8"/>
  <c r="V27" i="8"/>
  <c r="CO27" i="8"/>
  <c r="Z27" i="8"/>
  <c r="CC27" i="8"/>
  <c r="AL27" i="8"/>
  <c r="AI27" i="8"/>
  <c r="CQ27" i="8"/>
  <c r="AQ27" i="8"/>
  <c r="BR27" i="8"/>
  <c r="R27" i="8"/>
  <c r="N27" i="8"/>
  <c r="AT27" i="8"/>
  <c r="AK27" i="8"/>
  <c r="AR27" i="8"/>
  <c r="AA27" i="8"/>
  <c r="CB27" i="8"/>
  <c r="U27" i="8"/>
  <c r="AF27" i="8"/>
  <c r="CI27" i="8"/>
  <c r="CF27" i="8"/>
  <c r="CR27" i="8"/>
  <c r="CD27" i="8"/>
  <c r="W27" i="8"/>
  <c r="BV27" i="8"/>
  <c r="CA27" i="8"/>
  <c r="AB27" i="8"/>
  <c r="Y27" i="8"/>
  <c r="BY27" i="8"/>
  <c r="BW27" i="8"/>
  <c r="CN27" i="8"/>
  <c r="CU27" i="8"/>
  <c r="CH27" i="8"/>
  <c r="AD27" i="8"/>
  <c r="CP27" i="8"/>
  <c r="P27" i="8"/>
  <c r="O27" i="8"/>
  <c r="CK27" i="8"/>
  <c r="I35" i="8"/>
  <c r="S35" i="8" l="1"/>
  <c r="AO35" i="8"/>
  <c r="CB35" i="8"/>
  <c r="CD35" i="8"/>
  <c r="N35" i="8"/>
  <c r="CR35" i="8"/>
  <c r="AW35" i="8"/>
  <c r="CI35" i="8"/>
  <c r="BZ35" i="8"/>
  <c r="Q35" i="8"/>
  <c r="CP35" i="8"/>
  <c r="O35" i="8"/>
  <c r="M35" i="8"/>
  <c r="CQ35" i="8"/>
  <c r="CU35" i="8"/>
  <c r="CH35" i="8"/>
  <c r="CA35" i="8"/>
  <c r="AS35" i="8"/>
  <c r="CT35" i="8"/>
  <c r="L35" i="8"/>
  <c r="T35" i="8"/>
  <c r="U35" i="8"/>
  <c r="Y35" i="8"/>
  <c r="AV35" i="8"/>
  <c r="AH35" i="8"/>
  <c r="CC35" i="8"/>
  <c r="CW35" i="8"/>
  <c r="CE35" i="8"/>
  <c r="AY35" i="8"/>
  <c r="AR35" i="8"/>
  <c r="AG35" i="8"/>
  <c r="V35" i="8"/>
  <c r="AP35" i="8"/>
  <c r="AA35" i="8"/>
  <c r="CS35" i="8"/>
  <c r="CM35" i="8"/>
  <c r="CV35" i="8"/>
  <c r="AX35" i="8"/>
  <c r="R35" i="8"/>
  <c r="AQ35" i="8"/>
  <c r="CL35" i="8"/>
  <c r="AB35" i="8"/>
  <c r="BY35" i="8"/>
  <c r="AL35" i="8"/>
  <c r="BJ35" i="8"/>
  <c r="BK35" i="8"/>
  <c r="CO35" i="8"/>
  <c r="AD35" i="8"/>
  <c r="CF35" i="8"/>
  <c r="AT35" i="8"/>
  <c r="AU35" i="8"/>
  <c r="AF35" i="8"/>
  <c r="X35" i="8"/>
  <c r="CJ35" i="8"/>
  <c r="AK35" i="8"/>
  <c r="Z35" i="8"/>
  <c r="P35" i="8"/>
  <c r="CK35" i="8"/>
  <c r="AM35" i="8"/>
  <c r="CG35" i="8"/>
  <c r="AN35" i="8"/>
  <c r="W35" i="8"/>
  <c r="AI35" i="8"/>
  <c r="CN35" i="8"/>
  <c r="BX35" i="8"/>
  <c r="AC35" i="8"/>
  <c r="AE35" i="8"/>
  <c r="AJ35" i="8"/>
  <c r="I28" i="8"/>
  <c r="CB28" i="8" l="1"/>
  <c r="AC28" i="8"/>
  <c r="M28" i="8"/>
  <c r="AJ28" i="8"/>
  <c r="CW28" i="8"/>
  <c r="W28" i="8"/>
  <c r="BW28" i="8"/>
  <c r="BT28" i="8"/>
  <c r="X28" i="8"/>
  <c r="P28" i="8"/>
  <c r="BU28" i="8"/>
  <c r="CE28" i="8"/>
  <c r="AF28" i="8"/>
  <c r="Z28" i="8"/>
  <c r="CQ28" i="8"/>
  <c r="CM28" i="8"/>
  <c r="CN28" i="8"/>
  <c r="CK28" i="8"/>
  <c r="BX28" i="8"/>
  <c r="O28" i="8"/>
  <c r="S28" i="8"/>
  <c r="T28" i="8"/>
  <c r="CT28" i="8"/>
  <c r="V28" i="8"/>
  <c r="AE28" i="8"/>
  <c r="CF28" i="8"/>
  <c r="CR28" i="8"/>
  <c r="CG28" i="8"/>
  <c r="BY28" i="8"/>
  <c r="CL28" i="8"/>
  <c r="BZ28" i="8"/>
  <c r="CO28" i="8"/>
  <c r="CJ28" i="8"/>
  <c r="CS28" i="8"/>
  <c r="CI28" i="8"/>
  <c r="CH28" i="8"/>
  <c r="CC28" i="8"/>
  <c r="AI28" i="8"/>
  <c r="U28" i="8"/>
  <c r="CV28" i="8"/>
  <c r="CA28" i="8"/>
  <c r="AH28" i="8"/>
  <c r="AD28" i="8"/>
  <c r="N28" i="8"/>
  <c r="CP28" i="8"/>
  <c r="CD28" i="8"/>
  <c r="AG28" i="8"/>
  <c r="AK28" i="8"/>
  <c r="AB28" i="8"/>
  <c r="AA28" i="8"/>
  <c r="CU28" i="8"/>
  <c r="Q28" i="8"/>
  <c r="BV28" i="8"/>
  <c r="L28" i="8"/>
  <c r="BS28" i="8"/>
  <c r="R28" i="8"/>
  <c r="Y28" i="8"/>
  <c r="I36" i="8"/>
  <c r="CM36" i="8" s="1"/>
  <c r="CP36" i="8" l="1"/>
  <c r="R36" i="8"/>
  <c r="CE36" i="8"/>
  <c r="CB36" i="8"/>
  <c r="U36" i="8"/>
  <c r="CN36" i="8"/>
  <c r="CL36" i="8"/>
  <c r="AP36" i="8"/>
  <c r="CI36" i="8"/>
  <c r="CG36" i="8"/>
  <c r="BY36" i="8"/>
  <c r="N36" i="8"/>
  <c r="AD36" i="8"/>
  <c r="Y36" i="8"/>
  <c r="CC36" i="8"/>
  <c r="M36" i="8"/>
  <c r="AM36" i="8"/>
  <c r="CD36" i="8"/>
  <c r="AF36" i="8"/>
  <c r="CR36" i="8"/>
  <c r="BW36" i="8"/>
  <c r="AI36" i="8"/>
  <c r="AB36" i="8"/>
  <c r="AL36" i="8"/>
  <c r="CA36" i="8"/>
  <c r="CU36" i="8"/>
  <c r="P36" i="8"/>
  <c r="CQ36" i="8"/>
  <c r="W36" i="8"/>
  <c r="L36" i="8"/>
  <c r="CJ36" i="8"/>
  <c r="AE36" i="8"/>
  <c r="CT36" i="8"/>
  <c r="X36" i="8"/>
  <c r="CW36" i="8"/>
  <c r="AH36" i="8"/>
  <c r="AA36" i="8"/>
  <c r="CK36" i="8"/>
  <c r="BZ36" i="8"/>
  <c r="AK36" i="8"/>
  <c r="Q36" i="8"/>
  <c r="AG36" i="8"/>
  <c r="T36" i="8"/>
  <c r="S36" i="8"/>
  <c r="BV36" i="8"/>
  <c r="BX36" i="8"/>
  <c r="O36" i="8"/>
  <c r="AJ36" i="8"/>
  <c r="CH36" i="8"/>
  <c r="CS36" i="8"/>
  <c r="V36" i="8"/>
  <c r="CF36" i="8"/>
  <c r="CO36" i="8"/>
  <c r="CV36" i="8"/>
  <c r="AN36" i="8"/>
  <c r="Z36" i="8"/>
  <c r="AO36" i="8"/>
  <c r="AC36" i="8"/>
  <c r="I19" i="8"/>
  <c r="BT19" i="8" s="1"/>
  <c r="N19" i="8" l="1"/>
  <c r="BO19" i="8"/>
  <c r="AT19" i="8"/>
  <c r="BY19" i="8"/>
  <c r="CS19" i="8"/>
  <c r="CU19" i="8"/>
  <c r="CP19" i="8"/>
  <c r="V19" i="8"/>
  <c r="BH19" i="8"/>
  <c r="S19" i="8"/>
  <c r="BR19" i="8"/>
  <c r="CT19" i="8"/>
  <c r="CA19" i="8"/>
  <c r="L19" i="8"/>
  <c r="BW19" i="8"/>
  <c r="CB19" i="8"/>
  <c r="CV19" i="8"/>
  <c r="CM19" i="8"/>
  <c r="CF19" i="8"/>
  <c r="BU19" i="8"/>
  <c r="BK19" i="8"/>
  <c r="Q19" i="8"/>
  <c r="BG19" i="8"/>
  <c r="BZ19" i="8"/>
  <c r="R19" i="8"/>
  <c r="AV19" i="8"/>
  <c r="BN19" i="8"/>
  <c r="CW19" i="8"/>
  <c r="M19" i="8"/>
  <c r="BJ19" i="8"/>
  <c r="CR19" i="8"/>
  <c r="CG19" i="8"/>
  <c r="CH19" i="8"/>
  <c r="U19" i="8"/>
  <c r="CC19" i="8"/>
  <c r="BL19" i="8"/>
  <c r="CN19" i="8"/>
  <c r="CL19" i="8"/>
  <c r="T19" i="8"/>
  <c r="CE19" i="8"/>
  <c r="BV19" i="8"/>
  <c r="BM19" i="8"/>
  <c r="BS19" i="8"/>
  <c r="BP19" i="8"/>
  <c r="BX19" i="8"/>
  <c r="CJ19" i="8"/>
  <c r="BI19" i="8"/>
  <c r="CD19" i="8"/>
  <c r="CI19" i="8"/>
  <c r="W19" i="8"/>
  <c r="BQ19" i="8"/>
  <c r="X19" i="8"/>
  <c r="CK19" i="8"/>
  <c r="CQ19" i="8"/>
  <c r="AS19" i="8"/>
  <c r="AU19" i="8"/>
  <c r="CO19" i="8"/>
  <c r="P19" i="8"/>
  <c r="O19" i="8"/>
  <c r="I20" i="8"/>
  <c r="CA20" i="8" s="1"/>
  <c r="BW20" i="8" l="1"/>
  <c r="CI20" i="8"/>
  <c r="CK20" i="8"/>
  <c r="CQ20" i="8"/>
  <c r="BQ20" i="8"/>
  <c r="BL20" i="8"/>
  <c r="BO20" i="8"/>
  <c r="CT20" i="8"/>
  <c r="O20" i="8"/>
  <c r="BS20" i="8"/>
  <c r="CB20" i="8"/>
  <c r="CG20" i="8"/>
  <c r="CH20" i="8"/>
  <c r="BN20" i="8"/>
  <c r="BK20" i="8"/>
  <c r="BM20" i="8"/>
  <c r="CL20" i="8"/>
  <c r="CW20" i="8"/>
  <c r="BY20" i="8"/>
  <c r="CV20" i="8"/>
  <c r="BU20" i="8"/>
  <c r="CJ20" i="8"/>
  <c r="N20" i="8"/>
  <c r="BZ20" i="8"/>
  <c r="CM20" i="8"/>
  <c r="BV20" i="8"/>
  <c r="CN20" i="8"/>
  <c r="CU20" i="8"/>
  <c r="CP20" i="8"/>
  <c r="CE20" i="8"/>
  <c r="CC20" i="8"/>
  <c r="M20" i="8"/>
  <c r="BP20" i="8"/>
  <c r="CF20" i="8"/>
  <c r="BT20" i="8"/>
  <c r="BR20" i="8"/>
  <c r="CS20" i="8"/>
  <c r="CR20" i="8"/>
  <c r="CD20" i="8"/>
  <c r="L20" i="8"/>
  <c r="CO20" i="8"/>
  <c r="BX20" i="8"/>
  <c r="I38" i="8"/>
  <c r="AE38" i="8" s="1"/>
  <c r="AE40" i="8" s="1"/>
  <c r="AM38" i="8" l="1"/>
  <c r="AM40" i="8" s="1"/>
  <c r="AK38" i="8"/>
  <c r="AK40" i="8" s="1"/>
  <c r="T38" i="8"/>
  <c r="T40" i="8" s="1"/>
  <c r="L38" i="8"/>
  <c r="L40" i="8" s="1"/>
  <c r="AR38" i="8"/>
  <c r="X38" i="8"/>
  <c r="X40" i="8" s="1"/>
  <c r="AG38" i="8"/>
  <c r="AG40" i="8" s="1"/>
  <c r="AL38" i="8"/>
  <c r="AL40" i="8" s="1"/>
  <c r="AY38" i="8"/>
  <c r="AJ38" i="8"/>
  <c r="AJ40" i="8" s="1"/>
  <c r="V38" i="8"/>
  <c r="V40" i="8" s="1"/>
  <c r="AZ38" i="8"/>
  <c r="AQ38" i="8"/>
  <c r="AU38" i="8"/>
  <c r="AS38" i="8"/>
  <c r="AB38" i="8"/>
  <c r="AB40" i="8" s="1"/>
  <c r="S38" i="8"/>
  <c r="S40" i="8" s="1"/>
  <c r="R38" i="8"/>
  <c r="R40" i="8" s="1"/>
  <c r="CH38" i="8"/>
  <c r="BD38" i="8"/>
  <c r="CO38" i="8"/>
  <c r="Q38" i="8"/>
  <c r="Q40" i="8" s="1"/>
  <c r="BB38" i="8"/>
  <c r="Y38" i="8"/>
  <c r="Y40" i="8" s="1"/>
  <c r="AT38" i="8"/>
  <c r="AX38" i="8"/>
  <c r="CM38" i="8"/>
  <c r="CL38" i="8"/>
  <c r="AI38" i="8"/>
  <c r="AI40" i="8" s="1"/>
  <c r="AA38" i="8"/>
  <c r="AA40" i="8" s="1"/>
  <c r="CI38" i="8"/>
  <c r="CK38" i="8"/>
  <c r="AV38" i="8"/>
  <c r="W38" i="8"/>
  <c r="W40" i="8" s="1"/>
  <c r="Z38" i="8"/>
  <c r="Z40" i="8" s="1"/>
  <c r="AN38" i="8"/>
  <c r="AN40" i="8" s="1"/>
  <c r="CN38" i="8"/>
  <c r="N38" i="8"/>
  <c r="N40" i="8" s="1"/>
  <c r="CP38" i="8"/>
  <c r="AP38" i="8"/>
  <c r="AP40" i="8" s="1"/>
  <c r="U38" i="8"/>
  <c r="U40" i="8" s="1"/>
  <c r="M38" i="8"/>
  <c r="M40" i="8" s="1"/>
  <c r="P38" i="8"/>
  <c r="P40" i="8" s="1"/>
  <c r="AO38" i="8"/>
  <c r="AO40" i="8" s="1"/>
  <c r="AF38" i="8"/>
  <c r="AF40" i="8" s="1"/>
  <c r="AW38" i="8"/>
  <c r="AC38" i="8"/>
  <c r="AC40" i="8" s="1"/>
  <c r="O38" i="8"/>
  <c r="O40" i="8" s="1"/>
  <c r="CJ38" i="8"/>
  <c r="AH38" i="8"/>
  <c r="AH40" i="8" s="1"/>
  <c r="BA38" i="8"/>
  <c r="AD38" i="8"/>
  <c r="AD40" i="8" s="1"/>
  <c r="BC38" i="8"/>
  <c r="I29" i="8" l="1"/>
  <c r="Q29" i="8" l="1"/>
  <c r="S29" i="8"/>
  <c r="AS29" i="8"/>
  <c r="CW29" i="8"/>
  <c r="AI29" i="8"/>
  <c r="AO29" i="8"/>
  <c r="CU29" i="8"/>
  <c r="AQ29" i="8"/>
  <c r="AC29" i="8"/>
  <c r="U29" i="8"/>
  <c r="AU29" i="8"/>
  <c r="AH29" i="8"/>
  <c r="R29" i="8"/>
  <c r="W29" i="8"/>
  <c r="CT29" i="8"/>
  <c r="AT29" i="8"/>
  <c r="CV29" i="8"/>
  <c r="CQ29" i="8"/>
  <c r="X29" i="8"/>
  <c r="AR29" i="8"/>
  <c r="M29" i="8"/>
  <c r="Z29" i="8"/>
  <c r="T29" i="8"/>
  <c r="AN29" i="8"/>
  <c r="AE29" i="8"/>
  <c r="L29" i="8"/>
  <c r="CS29" i="8"/>
  <c r="O29" i="8"/>
  <c r="AD29" i="8"/>
  <c r="AK29" i="8"/>
  <c r="AB29" i="8"/>
  <c r="AL29" i="8"/>
  <c r="CR29" i="8"/>
  <c r="AF29" i="8"/>
  <c r="V29" i="8"/>
  <c r="AP29" i="8"/>
  <c r="Y29" i="8"/>
  <c r="CP29" i="8"/>
  <c r="P29" i="8"/>
  <c r="AM29" i="8"/>
  <c r="AG29" i="8"/>
  <c r="N29" i="8"/>
  <c r="AJ29" i="8"/>
  <c r="AA29" i="8"/>
  <c r="I21" i="8"/>
  <c r="BZ21" i="8" l="1"/>
  <c r="BS21" i="8"/>
  <c r="CH21" i="8"/>
  <c r="CN21" i="8"/>
  <c r="BX21" i="8"/>
  <c r="BU21" i="8"/>
  <c r="M21" i="8"/>
  <c r="CC21" i="8"/>
  <c r="O21" i="8"/>
  <c r="CA21" i="8"/>
  <c r="CS21" i="8"/>
  <c r="CR21" i="8"/>
  <c r="W21" i="8"/>
  <c r="CK21" i="8"/>
  <c r="BW21" i="8"/>
  <c r="X21" i="8"/>
  <c r="BQ21" i="8"/>
  <c r="BT21" i="8"/>
  <c r="CI21" i="8"/>
  <c r="BY21" i="8"/>
  <c r="BP21" i="8"/>
  <c r="CJ21" i="8"/>
  <c r="CM21" i="8"/>
  <c r="S21" i="8"/>
  <c r="V21" i="8"/>
  <c r="CP21" i="8"/>
  <c r="Q21" i="8"/>
  <c r="CW21" i="8"/>
  <c r="R21" i="8"/>
  <c r="CG21" i="8"/>
  <c r="Y21" i="8"/>
  <c r="P21" i="8"/>
  <c r="CO21" i="8"/>
  <c r="CE21" i="8"/>
  <c r="L21" i="8"/>
  <c r="CB21" i="8"/>
  <c r="CV21" i="8"/>
  <c r="CD21" i="8"/>
  <c r="BR21" i="8"/>
  <c r="CQ21" i="8"/>
  <c r="T21" i="8"/>
  <c r="CT21" i="8"/>
  <c r="CF21" i="8"/>
  <c r="N21" i="8"/>
  <c r="U21" i="8"/>
  <c r="BV21" i="8"/>
  <c r="CU21" i="8"/>
  <c r="CL21" i="8"/>
  <c r="I22" i="8"/>
  <c r="Q22" i="8" s="1"/>
  <c r="BV22" i="8" l="1"/>
  <c r="BV24" i="8" s="1"/>
  <c r="BU22" i="8"/>
  <c r="BU24" i="8" s="1"/>
  <c r="CI22" i="8"/>
  <c r="CI24" i="8" s="1"/>
  <c r="CT22" i="8"/>
  <c r="CT24" i="8" s="1"/>
  <c r="AM22" i="8"/>
  <c r="CC22" i="8"/>
  <c r="CC24" i="8" s="1"/>
  <c r="CL22" i="8"/>
  <c r="CL24" i="8" s="1"/>
  <c r="AO22" i="8"/>
  <c r="S22" i="8"/>
  <c r="V22" i="8"/>
  <c r="CU22" i="8"/>
  <c r="CU24" i="8" s="1"/>
  <c r="AC22" i="8"/>
  <c r="Y22" i="8"/>
  <c r="AD22" i="8"/>
  <c r="AH22" i="8"/>
  <c r="CS22" i="8"/>
  <c r="CS24" i="8" s="1"/>
  <c r="BX22" i="8"/>
  <c r="BX24" i="8" s="1"/>
  <c r="CQ22" i="8"/>
  <c r="CQ24" i="8" s="1"/>
  <c r="CK22" i="8"/>
  <c r="CK24" i="8" s="1"/>
  <c r="AB22" i="8"/>
  <c r="CM22" i="8"/>
  <c r="CM24" i="8" s="1"/>
  <c r="X22" i="8"/>
  <c r="BT22" i="8"/>
  <c r="BT24" i="8" s="1"/>
  <c r="AE22" i="8"/>
  <c r="AL22" i="8"/>
  <c r="CE22" i="8"/>
  <c r="CE24" i="8" s="1"/>
  <c r="AJ22" i="8"/>
  <c r="CO22" i="8"/>
  <c r="CO24" i="8" s="1"/>
  <c r="P22" i="8"/>
  <c r="W22" i="8"/>
  <c r="CF22" i="8"/>
  <c r="CF24" i="8" s="1"/>
  <c r="CH22" i="8"/>
  <c r="CH24" i="8" s="1"/>
  <c r="AI22" i="8"/>
  <c r="M22" i="8"/>
  <c r="M24" i="8" s="1"/>
  <c r="AA22" i="8"/>
  <c r="CJ22" i="8"/>
  <c r="CJ24" i="8" s="1"/>
  <c r="AF22" i="8"/>
  <c r="T22" i="8"/>
  <c r="N22" i="8"/>
  <c r="N24" i="8" s="1"/>
  <c r="BY22" i="8"/>
  <c r="BY24" i="8" s="1"/>
  <c r="CD22" i="8"/>
  <c r="CD24" i="8" s="1"/>
  <c r="CN22" i="8"/>
  <c r="CN24" i="8" s="1"/>
  <c r="CG22" i="8"/>
  <c r="CG24" i="8" s="1"/>
  <c r="BZ22" i="8"/>
  <c r="BZ24" i="8" s="1"/>
  <c r="AG22" i="8"/>
  <c r="O22" i="8"/>
  <c r="O24" i="8" s="1"/>
  <c r="BW22" i="8"/>
  <c r="BW24" i="8" s="1"/>
  <c r="U22" i="8"/>
  <c r="CB22" i="8"/>
  <c r="CB24" i="8" s="1"/>
  <c r="R22" i="8"/>
  <c r="CR22" i="8"/>
  <c r="CR24" i="8" s="1"/>
  <c r="AK22" i="8"/>
  <c r="CW22" i="8"/>
  <c r="CW24" i="8" s="1"/>
  <c r="CV22" i="8"/>
  <c r="CV24" i="8" s="1"/>
  <c r="AN22" i="8"/>
  <c r="Z22" i="8"/>
  <c r="L22" i="8"/>
  <c r="L24" i="8" s="1"/>
  <c r="CA22" i="8"/>
  <c r="CA24" i="8" s="1"/>
  <c r="CP22" i="8"/>
  <c r="CP24" i="8" s="1"/>
  <c r="I30" i="8" l="1"/>
  <c r="AV30" i="8" s="1"/>
  <c r="AK30" i="8" l="1"/>
  <c r="AK32" i="8" s="1"/>
  <c r="CW30" i="8"/>
  <c r="CW32" i="8" s="1"/>
  <c r="AQ30" i="8"/>
  <c r="BC30" i="8"/>
  <c r="AW30" i="8"/>
  <c r="Y30" i="8"/>
  <c r="Y32" i="8" s="1"/>
  <c r="AF30" i="8"/>
  <c r="AF32" i="8" s="1"/>
  <c r="BH30" i="8"/>
  <c r="Q30" i="8"/>
  <c r="Q32" i="8" s="1"/>
  <c r="BE30" i="8"/>
  <c r="AC30" i="8"/>
  <c r="AC32" i="8" s="1"/>
  <c r="AL30" i="8"/>
  <c r="AM30" i="8"/>
  <c r="CC30" i="8"/>
  <c r="AO30" i="8"/>
  <c r="BA30" i="8"/>
  <c r="CD30" i="8"/>
  <c r="BI30" i="8"/>
  <c r="BF30" i="8"/>
  <c r="AD30" i="8"/>
  <c r="AD32" i="8" s="1"/>
  <c r="AI30" i="8"/>
  <c r="AI32" i="8" s="1"/>
  <c r="AZ30" i="8"/>
  <c r="V30" i="8"/>
  <c r="V32" i="8" s="1"/>
  <c r="BK30" i="8"/>
  <c r="AG30" i="8"/>
  <c r="AG32" i="8" s="1"/>
  <c r="BD30" i="8"/>
  <c r="CB30" i="8"/>
  <c r="AS30" i="8"/>
  <c r="AR30" i="8"/>
  <c r="X30" i="8"/>
  <c r="X32" i="8" s="1"/>
  <c r="L30" i="8"/>
  <c r="L32" i="8" s="1"/>
  <c r="U30" i="8"/>
  <c r="U32" i="8" s="1"/>
  <c r="AN30" i="8"/>
  <c r="BB30" i="8"/>
  <c r="M30" i="8"/>
  <c r="M32" i="8" s="1"/>
  <c r="M43" i="8" s="1"/>
  <c r="P30" i="8"/>
  <c r="P32" i="8" s="1"/>
  <c r="BZ30" i="8"/>
  <c r="CA30" i="8"/>
  <c r="CG30" i="8"/>
  <c r="R30" i="8"/>
  <c r="R32" i="8" s="1"/>
  <c r="AE30" i="8"/>
  <c r="AE32" i="8" s="1"/>
  <c r="AP30" i="8"/>
  <c r="AB30" i="8"/>
  <c r="AB32" i="8" s="1"/>
  <c r="AH30" i="8"/>
  <c r="AH32" i="8" s="1"/>
  <c r="AA30" i="8"/>
  <c r="AA32" i="8" s="1"/>
  <c r="AY30" i="8"/>
  <c r="BJ30" i="8"/>
  <c r="AJ30" i="8"/>
  <c r="AJ32" i="8" s="1"/>
  <c r="Z30" i="8"/>
  <c r="Z32" i="8" s="1"/>
  <c r="W30" i="8"/>
  <c r="W32" i="8" s="1"/>
  <c r="AU30" i="8"/>
  <c r="BG30" i="8"/>
  <c r="N30" i="8"/>
  <c r="N32" i="8" s="1"/>
  <c r="N43" i="8" s="1"/>
  <c r="AX30" i="8"/>
  <c r="S30" i="8"/>
  <c r="S32" i="8" s="1"/>
  <c r="O30" i="8"/>
  <c r="O32" i="8" s="1"/>
  <c r="O43" i="8" s="1"/>
  <c r="CF30" i="8"/>
  <c r="AT30" i="8"/>
  <c r="CV30" i="8"/>
  <c r="CV32" i="8" s="1"/>
  <c r="CE30" i="8"/>
  <c r="T30" i="8"/>
  <c r="T32" i="8" s="1"/>
  <c r="L43" i="8" l="1"/>
  <c r="P5" i="5" l="1"/>
  <c r="P8" i="5" s="1"/>
  <c r="P75" i="5" l="1"/>
  <c r="S28" i="5" l="1"/>
  <c r="S68" i="5"/>
  <c r="S35" i="5"/>
  <c r="AM54" i="5"/>
  <c r="AM62" i="5"/>
  <c r="X61" i="5"/>
  <c r="T3" i="15"/>
  <c r="T8" i="15" s="1"/>
  <c r="S11" i="5"/>
  <c r="T11" i="15"/>
  <c r="S51" i="5"/>
  <c r="U5" i="15"/>
  <c r="S5" i="5"/>
  <c r="S8" i="5" s="1"/>
  <c r="S20" i="5"/>
  <c r="U13" i="15"/>
  <c r="S13" i="5"/>
  <c r="S59" i="5"/>
  <c r="S19" i="5"/>
  <c r="S43" i="5" l="1"/>
  <c r="T20" i="15"/>
  <c r="S29" i="5"/>
  <c r="S27" i="5"/>
  <c r="S36" i="5"/>
  <c r="S40" i="5" s="1"/>
  <c r="S60" i="5"/>
  <c r="S64" i="5" s="1"/>
  <c r="S67" i="5"/>
  <c r="S72" i="5" s="1"/>
  <c r="T28" i="15"/>
  <c r="T32" i="15" s="1"/>
  <c r="AM70" i="5"/>
  <c r="AM38" i="5"/>
  <c r="S44" i="5"/>
  <c r="AM46" i="5"/>
  <c r="S21" i="5"/>
  <c r="S24" i="5" s="1"/>
  <c r="S52" i="5"/>
  <c r="S56" i="5" s="1"/>
  <c r="S12" i="5"/>
  <c r="S16" i="5" s="1"/>
  <c r="T12" i="15"/>
  <c r="T16" i="15" s="1"/>
  <c r="X53" i="5"/>
  <c r="X45" i="5"/>
  <c r="X37" i="5"/>
  <c r="X69" i="5"/>
  <c r="S32" i="5" l="1"/>
  <c r="S48" i="5"/>
  <c r="S75" i="5" l="1"/>
  <c r="Y12" i="14" l="1"/>
  <c r="S51" i="14"/>
  <c r="S56" i="14" s="1"/>
  <c r="S67" i="14" l="1"/>
  <c r="J3" i="12"/>
  <c r="J7" i="12" s="1"/>
  <c r="N36" i="14"/>
  <c r="N40" i="14" s="1"/>
  <c r="U4" i="14"/>
  <c r="P13" i="14"/>
  <c r="P16" i="14" s="1"/>
  <c r="N67" i="14" l="1"/>
  <c r="P67" i="14"/>
  <c r="Y3" i="17" l="1"/>
  <c r="AF3" i="17"/>
  <c r="AC3" i="17"/>
  <c r="AA3" i="17"/>
  <c r="W3" i="17"/>
  <c r="AD3" i="17"/>
  <c r="X3" i="17"/>
  <c r="AB3" i="17"/>
  <c r="Z3" i="17"/>
  <c r="AE3" i="17"/>
  <c r="T4" i="8"/>
  <c r="T8" i="8" s="1"/>
  <c r="U4" i="8"/>
  <c r="U8" i="8" s="1"/>
  <c r="AB5" i="13"/>
  <c r="AC5" i="13"/>
  <c r="AD5" i="13"/>
  <c r="AE5" i="13"/>
  <c r="Y5" i="13"/>
  <c r="Z5" i="13"/>
  <c r="AA5" i="13"/>
  <c r="Y10" i="13" l="1"/>
  <c r="Y15" i="13" s="1"/>
  <c r="AA10" i="13"/>
  <c r="Z10" i="13"/>
  <c r="W10" i="13"/>
  <c r="W15" i="13" s="1"/>
  <c r="X10" i="13"/>
  <c r="X15" i="13" s="1"/>
  <c r="T2" i="13"/>
  <c r="S2" i="13"/>
  <c r="S7" i="13" s="1"/>
  <c r="U2" i="13"/>
  <c r="W2" i="13"/>
  <c r="V2" i="13"/>
  <c r="Y2" i="13"/>
  <c r="Z2" i="13"/>
  <c r="X2" i="13"/>
  <c r="AF4" i="8"/>
  <c r="AA4" i="8"/>
  <c r="Y4" i="8"/>
  <c r="AB4" i="8"/>
  <c r="AC4" i="8"/>
  <c r="Z4" i="8"/>
  <c r="Y3" i="13"/>
  <c r="AB3" i="13"/>
  <c r="AC3" i="13"/>
  <c r="AD4" i="8"/>
  <c r="V4" i="8"/>
  <c r="AE4" i="8"/>
  <c r="W4" i="8"/>
  <c r="X4" i="8"/>
  <c r="AG19" i="17"/>
  <c r="AB19" i="17"/>
  <c r="AA19" i="17"/>
  <c r="AD19" i="17"/>
  <c r="AC19" i="17"/>
  <c r="AF19" i="17"/>
  <c r="AE19" i="17"/>
  <c r="Z19" i="17"/>
  <c r="Z3" i="13"/>
  <c r="X3" i="13"/>
  <c r="W3" i="13"/>
  <c r="T3" i="13"/>
  <c r="V3" i="13"/>
  <c r="AA3" i="13"/>
  <c r="U3" i="13"/>
  <c r="T12" i="8"/>
  <c r="T16" i="8" s="1"/>
  <c r="U12" i="8"/>
  <c r="U16" i="8" s="1"/>
  <c r="S12" i="8"/>
  <c r="S16" i="8" s="1"/>
  <c r="X5" i="17"/>
  <c r="AB5" i="17"/>
  <c r="AF5" i="17"/>
  <c r="AG5" i="17"/>
  <c r="Z5" i="17"/>
  <c r="AE5" i="17"/>
  <c r="AC5" i="17"/>
  <c r="AD5" i="17"/>
  <c r="AA5" i="17"/>
  <c r="Y5" i="17"/>
  <c r="AA21" i="8"/>
  <c r="AF21" i="8"/>
  <c r="AB21" i="8"/>
  <c r="AC21" i="8"/>
  <c r="AD21" i="8"/>
  <c r="AE21" i="8"/>
  <c r="Z21" i="8"/>
  <c r="X12" i="17"/>
  <c r="X16" i="17" s="1"/>
  <c r="AD12" i="17"/>
  <c r="Y12" i="17"/>
  <c r="Y16" i="17" s="1"/>
  <c r="U12" i="17"/>
  <c r="U16" i="17" s="1"/>
  <c r="V12" i="17"/>
  <c r="V16" i="17" s="1"/>
  <c r="W12" i="17"/>
  <c r="W16" i="17" s="1"/>
  <c r="AG12" i="17"/>
  <c r="AF12" i="17"/>
  <c r="AA12" i="17"/>
  <c r="AA16" i="17" s="1"/>
  <c r="AE12" i="17"/>
  <c r="Z12" i="17"/>
  <c r="Z16" i="17" s="1"/>
  <c r="AC12" i="17"/>
  <c r="AB12" i="17"/>
  <c r="AB16" i="17" s="1"/>
  <c r="T12" i="17"/>
  <c r="T16" i="17" s="1"/>
  <c r="AD21" i="17"/>
  <c r="AC21" i="17"/>
  <c r="AF21" i="17"/>
  <c r="AA21" i="17"/>
  <c r="AB21" i="17"/>
  <c r="AE21" i="17"/>
  <c r="AG21" i="17"/>
  <c r="AE19" i="8"/>
  <c r="AD19" i="8"/>
  <c r="AH19" i="8"/>
  <c r="AF19" i="8"/>
  <c r="AA19" i="8"/>
  <c r="AB19" i="8"/>
  <c r="AC19" i="8"/>
  <c r="Z19" i="8"/>
  <c r="Y19" i="8"/>
  <c r="AG19" i="8"/>
  <c r="AC20" i="13"/>
  <c r="AE20" i="13"/>
  <c r="W20" i="13"/>
  <c r="X20" i="13"/>
  <c r="Y20" i="13"/>
  <c r="AA20" i="13"/>
  <c r="Z20" i="13"/>
  <c r="AD20" i="13"/>
  <c r="AB20" i="13"/>
  <c r="AF20" i="13"/>
  <c r="AB11" i="8"/>
  <c r="AE11" i="17"/>
  <c r="AD11" i="17"/>
  <c r="AG11" i="17"/>
  <c r="AF11" i="17"/>
  <c r="AC11" i="17"/>
  <c r="AC19" i="13"/>
  <c r="AF19" i="13"/>
  <c r="Z19" i="13"/>
  <c r="X19" i="13"/>
  <c r="W19" i="13"/>
  <c r="AB19" i="13"/>
  <c r="AE19" i="13"/>
  <c r="Y19" i="13"/>
  <c r="AD19" i="13"/>
  <c r="AA19" i="13"/>
  <c r="S20" i="17"/>
  <c r="AD20" i="17"/>
  <c r="AA20" i="17"/>
  <c r="AG20" i="17"/>
  <c r="U20" i="17"/>
  <c r="T20" i="17"/>
  <c r="R20" i="17"/>
  <c r="AC20" i="17"/>
  <c r="AB20" i="17"/>
  <c r="Q20" i="17"/>
  <c r="Y20" i="17"/>
  <c r="X20" i="17"/>
  <c r="Z20" i="17"/>
  <c r="V20" i="17"/>
  <c r="AF20" i="17"/>
  <c r="W20" i="17"/>
  <c r="AE20" i="17"/>
  <c r="AK4" i="13"/>
  <c r="AJ4" i="13"/>
  <c r="AL4" i="13"/>
  <c r="P20" i="8"/>
  <c r="P24" i="8" s="1"/>
  <c r="Z20" i="8"/>
  <c r="U20" i="8"/>
  <c r="U24" i="8" s="1"/>
  <c r="Q20" i="8"/>
  <c r="Q24" i="8" s="1"/>
  <c r="Q43" i="8" s="1"/>
  <c r="Y20" i="8"/>
  <c r="V20" i="8"/>
  <c r="V24" i="8" s="1"/>
  <c r="T20" i="8"/>
  <c r="T24" i="8" s="1"/>
  <c r="X20" i="8"/>
  <c r="X24" i="8" s="1"/>
  <c r="AA20" i="8"/>
  <c r="R20" i="8"/>
  <c r="R24" i="8" s="1"/>
  <c r="R43" i="8" s="1"/>
  <c r="W20" i="8"/>
  <c r="W24" i="8" s="1"/>
  <c r="S20" i="8"/>
  <c r="S24" i="8" s="1"/>
  <c r="AE11" i="13"/>
  <c r="Z11" i="13"/>
  <c r="AC11" i="13"/>
  <c r="AB11" i="13"/>
  <c r="AF11" i="13"/>
  <c r="AD11" i="13"/>
  <c r="AA11" i="13"/>
  <c r="AG11" i="13"/>
  <c r="AA15" i="13" l="1"/>
  <c r="Z15" i="13"/>
  <c r="U7" i="13"/>
  <c r="T7" i="13"/>
  <c r="W7" i="13"/>
  <c r="Z7" i="13"/>
  <c r="Y7" i="13"/>
  <c r="X7" i="13"/>
  <c r="V7" i="13"/>
  <c r="U43" i="8"/>
  <c r="T43" i="8"/>
  <c r="Y24" i="8"/>
  <c r="Z24" i="8"/>
  <c r="S43" i="8"/>
  <c r="AA24" i="8"/>
  <c r="AC16" i="17"/>
  <c r="P43" i="8"/>
  <c r="U11" i="5" l="1"/>
  <c r="T11" i="5"/>
  <c r="AO54" i="5"/>
  <c r="AN54" i="5"/>
  <c r="T43" i="5"/>
  <c r="AN62" i="5"/>
  <c r="AO62" i="5"/>
  <c r="U19" i="15" l="1"/>
  <c r="V19" i="15"/>
  <c r="T19" i="15"/>
  <c r="T24" i="15" s="1"/>
  <c r="T75" i="15" s="1"/>
  <c r="T18" i="11"/>
  <c r="W18" i="11"/>
  <c r="V18" i="11"/>
  <c r="U18" i="11"/>
  <c r="S18" i="11"/>
  <c r="S23" i="11" s="1"/>
  <c r="R18" i="11"/>
  <c r="R23" i="11" s="1"/>
  <c r="U42" i="11"/>
  <c r="U47" i="11" s="1"/>
  <c r="V42" i="11"/>
  <c r="V47" i="11" s="1"/>
  <c r="W42" i="11"/>
  <c r="W47" i="11" s="1"/>
  <c r="T42" i="11"/>
  <c r="T47" i="11" s="1"/>
  <c r="BJ51" i="15"/>
  <c r="X26" i="11"/>
  <c r="X31" i="11" s="1"/>
  <c r="Y26" i="11"/>
  <c r="Z26" i="11"/>
  <c r="W26" i="11"/>
  <c r="W31" i="11" s="1"/>
  <c r="BM51" i="15"/>
  <c r="AF19" i="15"/>
  <c r="T59" i="5"/>
  <c r="BI51" i="15"/>
  <c r="BL51" i="15"/>
  <c r="U59" i="5"/>
  <c r="BK51" i="15"/>
  <c r="AG19" i="15"/>
  <c r="U43" i="5"/>
  <c r="T51" i="5"/>
  <c r="U51" i="5"/>
  <c r="Y37" i="5"/>
  <c r="Z37" i="5"/>
  <c r="AB27" i="15"/>
  <c r="AC27" i="15"/>
  <c r="AD27" i="15"/>
  <c r="AA27" i="15"/>
  <c r="AE27" i="15"/>
  <c r="T68" i="5"/>
  <c r="S2" i="11"/>
  <c r="Q2" i="11"/>
  <c r="AA2" i="11"/>
  <c r="P2" i="11"/>
  <c r="T2" i="11"/>
  <c r="R2" i="11"/>
  <c r="T27" i="5"/>
  <c r="U27" i="5"/>
  <c r="BR59" i="15"/>
  <c r="BN59" i="15"/>
  <c r="BQ59" i="15"/>
  <c r="BP59" i="15"/>
  <c r="BO59" i="15"/>
  <c r="V5" i="11"/>
  <c r="U5" i="11"/>
  <c r="T5" i="11"/>
  <c r="R5" i="11"/>
  <c r="P5" i="11"/>
  <c r="Q5" i="11"/>
  <c r="S5" i="11"/>
  <c r="AN46" i="5"/>
  <c r="AO46" i="5"/>
  <c r="T20" i="5"/>
  <c r="U20" i="5"/>
  <c r="U20" i="15"/>
  <c r="V20" i="15"/>
  <c r="AC29" i="15"/>
  <c r="AE29" i="15"/>
  <c r="AD29" i="15"/>
  <c r="AB29" i="15"/>
  <c r="AF29" i="15"/>
  <c r="U29" i="5"/>
  <c r="T29" i="5"/>
  <c r="Y53" i="5"/>
  <c r="Z53" i="5"/>
  <c r="Y69" i="5"/>
  <c r="Z69" i="5"/>
  <c r="U11" i="15"/>
  <c r="V11" i="15"/>
  <c r="AN70" i="5"/>
  <c r="AO70" i="5"/>
  <c r="T35" i="5"/>
  <c r="U35" i="5"/>
  <c r="R10" i="11"/>
  <c r="S10" i="11"/>
  <c r="T10" i="11"/>
  <c r="V3" i="15"/>
  <c r="U3" i="15"/>
  <c r="U8" i="15" s="1"/>
  <c r="U67" i="5"/>
  <c r="T67" i="5"/>
  <c r="T19" i="5"/>
  <c r="U19" i="5"/>
  <c r="U24" i="15" l="1"/>
  <c r="V24" i="15"/>
  <c r="U19" i="11"/>
  <c r="U23" i="11" s="1"/>
  <c r="T19" i="11"/>
  <c r="T23" i="11" s="1"/>
  <c r="U68" i="5"/>
  <c r="U72" i="5" s="1"/>
  <c r="U28" i="5"/>
  <c r="U32" i="5" s="1"/>
  <c r="W19" i="11"/>
  <c r="W23" i="11" s="1"/>
  <c r="V19" i="11"/>
  <c r="V23" i="11" s="1"/>
  <c r="X19" i="11"/>
  <c r="T44" i="5"/>
  <c r="T48" i="5" s="1"/>
  <c r="U44" i="5"/>
  <c r="U48" i="5" s="1"/>
  <c r="R7" i="11"/>
  <c r="T72" i="5"/>
  <c r="T28" i="5"/>
  <c r="T32" i="5" s="1"/>
  <c r="U21" i="5"/>
  <c r="U24" i="5" s="1"/>
  <c r="T21" i="5"/>
  <c r="T24" i="5" s="1"/>
  <c r="AO38" i="5"/>
  <c r="AN38" i="5"/>
  <c r="R11" i="11"/>
  <c r="R15" i="11" s="1"/>
  <c r="S11" i="11"/>
  <c r="S15" i="11" s="1"/>
  <c r="Q11" i="11"/>
  <c r="Q15" i="11" s="1"/>
  <c r="O11" i="11"/>
  <c r="O15" i="11" s="1"/>
  <c r="P11" i="11"/>
  <c r="P15" i="11" s="1"/>
  <c r="T60" i="5"/>
  <c r="T64" i="5" s="1"/>
  <c r="U60" i="5"/>
  <c r="U64" i="5" s="1"/>
  <c r="U12" i="15"/>
  <c r="U16" i="15" s="1"/>
  <c r="V12" i="15"/>
  <c r="T12" i="5"/>
  <c r="U12" i="5"/>
  <c r="U13" i="5"/>
  <c r="T13" i="5"/>
  <c r="T52" i="5"/>
  <c r="T56" i="5" s="1"/>
  <c r="U52" i="5"/>
  <c r="U56" i="5" s="1"/>
  <c r="W13" i="15"/>
  <c r="V13" i="15"/>
  <c r="T36" i="5"/>
  <c r="T40" i="5" s="1"/>
  <c r="U36" i="5"/>
  <c r="U40" i="5" s="1"/>
  <c r="P3" i="11"/>
  <c r="P7" i="11" s="1"/>
  <c r="Q3" i="11"/>
  <c r="Q7" i="11" s="1"/>
  <c r="U28" i="15"/>
  <c r="U32" i="15" s="1"/>
  <c r="V28" i="15"/>
  <c r="V32" i="15" s="1"/>
  <c r="Z61" i="5"/>
  <c r="Y61" i="5"/>
  <c r="U5" i="5"/>
  <c r="U8" i="5" s="1"/>
  <c r="T5" i="5"/>
  <c r="T8" i="5" s="1"/>
  <c r="V5" i="15"/>
  <c r="V8" i="15" s="1"/>
  <c r="W5" i="15"/>
  <c r="Z45" i="5"/>
  <c r="Y45" i="5"/>
  <c r="S7" i="11"/>
  <c r="U75" i="15" l="1"/>
  <c r="V16" i="15"/>
  <c r="V75" i="15" s="1"/>
  <c r="T16" i="5"/>
  <c r="T75" i="5" s="1"/>
  <c r="U16" i="5"/>
  <c r="U75" i="5" l="1"/>
  <c r="T29" i="14" l="1"/>
  <c r="U29" i="14"/>
  <c r="T60" i="14"/>
  <c r="U60" i="14"/>
  <c r="T37" i="14"/>
  <c r="U37" i="14"/>
  <c r="Z53" i="14"/>
  <c r="Y53" i="14"/>
  <c r="O4" i="16"/>
  <c r="S4" i="16"/>
  <c r="R4" i="16"/>
  <c r="N4" i="16"/>
  <c r="U4" i="16"/>
  <c r="T4" i="16"/>
  <c r="Q4" i="16"/>
  <c r="S12" i="16"/>
  <c r="P12" i="16"/>
  <c r="T12" i="14"/>
  <c r="U12" i="14"/>
  <c r="N20" i="16"/>
  <c r="N24" i="16" s="1"/>
  <c r="R20" i="16"/>
  <c r="Q20" i="16"/>
  <c r="T20" i="16"/>
  <c r="P20" i="16"/>
  <c r="V20" i="16"/>
  <c r="S20" i="16"/>
  <c r="U20" i="14"/>
  <c r="T20" i="14"/>
  <c r="AT54" i="14"/>
  <c r="AS54" i="14"/>
  <c r="X2" i="12"/>
  <c r="U2" i="12"/>
  <c r="W2" i="12"/>
  <c r="V2" i="12"/>
  <c r="T2" i="12"/>
  <c r="S2" i="12"/>
  <c r="T3" i="14"/>
  <c r="U3" i="14"/>
  <c r="Y2" i="9"/>
  <c r="V2" i="9"/>
  <c r="U2" i="9"/>
  <c r="X2" i="9"/>
  <c r="W2" i="9"/>
  <c r="Z2" i="9"/>
  <c r="T44" i="14"/>
  <c r="U44" i="14"/>
  <c r="Z45" i="14"/>
  <c r="Y45" i="14"/>
  <c r="T5" i="14"/>
  <c r="U5" i="14"/>
  <c r="U5" i="16"/>
  <c r="V5" i="16"/>
  <c r="AJ34" i="12"/>
  <c r="AK34" i="12"/>
  <c r="AI34" i="12"/>
  <c r="AL34" i="12"/>
  <c r="T35" i="14"/>
  <c r="U35" i="14"/>
  <c r="AF17" i="9"/>
  <c r="AE17" i="9"/>
  <c r="AG17" i="9"/>
  <c r="AD17" i="9"/>
  <c r="AC17" i="9"/>
  <c r="AE18" i="12"/>
  <c r="AA18" i="12"/>
  <c r="AD18" i="12"/>
  <c r="AC18" i="12"/>
  <c r="AB18" i="12"/>
  <c r="Q19" i="16"/>
  <c r="T19" i="16"/>
  <c r="S19" i="16"/>
  <c r="V19" i="16"/>
  <c r="U19" i="16"/>
  <c r="P19" i="16"/>
  <c r="O19" i="16"/>
  <c r="R19" i="16"/>
  <c r="T19" i="14"/>
  <c r="U19" i="14"/>
  <c r="BF42" i="12"/>
  <c r="BC42" i="12"/>
  <c r="BB42" i="12"/>
  <c r="BA42" i="12"/>
  <c r="BD42" i="12"/>
  <c r="BE42" i="12"/>
  <c r="T43" i="14"/>
  <c r="U43" i="14"/>
  <c r="P36" i="16"/>
  <c r="P40" i="16" s="1"/>
  <c r="Q36" i="16"/>
  <c r="Q40" i="16" s="1"/>
  <c r="S36" i="16"/>
  <c r="S40" i="16" s="1"/>
  <c r="V36" i="16"/>
  <c r="V40" i="16" s="1"/>
  <c r="U36" i="16"/>
  <c r="U40" i="16" s="1"/>
  <c r="R36" i="16"/>
  <c r="R40" i="16" s="1"/>
  <c r="T36" i="16"/>
  <c r="T40" i="16" s="1"/>
  <c r="T36" i="14"/>
  <c r="U36" i="14"/>
  <c r="T59" i="14"/>
  <c r="U59" i="14"/>
  <c r="BV58" i="12"/>
  <c r="BU58" i="12"/>
  <c r="BW58" i="12"/>
  <c r="BT58" i="12"/>
  <c r="BX58" i="12"/>
  <c r="BS58" i="12"/>
  <c r="V21" i="16"/>
  <c r="U21" i="16"/>
  <c r="U21" i="14"/>
  <c r="T21" i="14"/>
  <c r="Z61" i="14"/>
  <c r="Y61" i="14"/>
  <c r="W10" i="12"/>
  <c r="T10" i="12"/>
  <c r="U10" i="12"/>
  <c r="V10" i="12"/>
  <c r="X10" i="12"/>
  <c r="Y10" i="12"/>
  <c r="Z9" i="9"/>
  <c r="AB9" i="9"/>
  <c r="Y9" i="9"/>
  <c r="AA9" i="9"/>
  <c r="AD9" i="9"/>
  <c r="AC9" i="9"/>
  <c r="T11" i="14"/>
  <c r="U11" i="14"/>
  <c r="Q11" i="16"/>
  <c r="T11" i="16"/>
  <c r="O11" i="16"/>
  <c r="R11" i="16"/>
  <c r="N11" i="16"/>
  <c r="P11" i="16"/>
  <c r="S11" i="16"/>
  <c r="U11" i="16"/>
  <c r="V11" i="16"/>
  <c r="AT62" i="14"/>
  <c r="AS62" i="14"/>
  <c r="U52" i="14"/>
  <c r="T52" i="14"/>
  <c r="AT46" i="14"/>
  <c r="AS46" i="14"/>
  <c r="BH50" i="12"/>
  <c r="BE50" i="12"/>
  <c r="BI50" i="12"/>
  <c r="BJ50" i="12"/>
  <c r="BG50" i="12"/>
  <c r="BF50" i="12"/>
  <c r="T51" i="14"/>
  <c r="U51" i="14"/>
  <c r="AJ26" i="12"/>
  <c r="AK26" i="12"/>
  <c r="T27" i="14"/>
  <c r="U27" i="14"/>
  <c r="O28" i="16"/>
  <c r="O32" i="16" s="1"/>
  <c r="V28" i="16"/>
  <c r="V32" i="16" s="1"/>
  <c r="Q28" i="16"/>
  <c r="Q32" i="16" s="1"/>
  <c r="S28" i="16"/>
  <c r="S32" i="16" s="1"/>
  <c r="P28" i="16"/>
  <c r="P32" i="16" s="1"/>
  <c r="R28" i="16"/>
  <c r="R32" i="16" s="1"/>
  <c r="U28" i="16"/>
  <c r="U32" i="16" s="1"/>
  <c r="T28" i="16"/>
  <c r="T32" i="16" s="1"/>
  <c r="U28" i="14"/>
  <c r="T28" i="14"/>
  <c r="U13" i="16"/>
  <c r="V13" i="16"/>
  <c r="T13" i="14"/>
  <c r="U13" i="14"/>
  <c r="R24" i="16" l="1"/>
  <c r="Q24" i="16"/>
  <c r="T24" i="16"/>
  <c r="S24" i="16"/>
  <c r="S16" i="16"/>
  <c r="P16" i="16"/>
  <c r="O20" i="16"/>
  <c r="O24" i="16" s="1"/>
  <c r="AJ20" i="16"/>
  <c r="AK20" i="16"/>
  <c r="AD20" i="16"/>
  <c r="AE20" i="16"/>
  <c r="AG20" i="16"/>
  <c r="AH20" i="16"/>
  <c r="AI20" i="16"/>
  <c r="AF20" i="16"/>
  <c r="P24" i="16"/>
  <c r="N12" i="16"/>
  <c r="N16" i="16" s="1"/>
  <c r="O12" i="16"/>
  <c r="O16" i="16" s="1"/>
  <c r="U12" i="16"/>
  <c r="U16" i="16" s="1"/>
  <c r="V12" i="16"/>
  <c r="V16" i="16" s="1"/>
  <c r="R12" i="16"/>
  <c r="R16" i="16" s="1"/>
  <c r="U20" i="16"/>
  <c r="U24" i="16" s="1"/>
  <c r="Q12" i="16"/>
  <c r="Q16" i="16" s="1"/>
  <c r="T64" i="14"/>
  <c r="U48" i="14"/>
  <c r="U56" i="14"/>
  <c r="U32" i="14"/>
  <c r="T48" i="14"/>
  <c r="T32" i="14"/>
  <c r="T56" i="14"/>
  <c r="U64" i="14"/>
  <c r="U8" i="14"/>
  <c r="V24" i="16"/>
  <c r="T24" i="14"/>
  <c r="U16" i="14"/>
  <c r="U40" i="14"/>
  <c r="T16" i="14"/>
  <c r="T40" i="14"/>
  <c r="U24" i="14"/>
  <c r="U67" i="14" l="1"/>
  <c r="I3" i="16" l="1"/>
  <c r="AL3" i="16" l="1"/>
  <c r="CX3" i="16"/>
  <c r="CX8" i="16" s="1"/>
  <c r="DB3" i="16"/>
  <c r="DB8" i="16" s="1"/>
  <c r="DF3" i="16"/>
  <c r="DF8" i="16" s="1"/>
  <c r="DJ3" i="16"/>
  <c r="DJ8" i="16" s="1"/>
  <c r="DN3" i="16"/>
  <c r="DN8" i="16" s="1"/>
  <c r="DR3" i="16"/>
  <c r="DR8" i="16" s="1"/>
  <c r="DV3" i="16"/>
  <c r="DV8" i="16" s="1"/>
  <c r="CU3" i="16"/>
  <c r="CU8" i="16" s="1"/>
  <c r="CY3" i="16"/>
  <c r="CY8" i="16" s="1"/>
  <c r="DC3" i="16"/>
  <c r="DC8" i="16" s="1"/>
  <c r="DG3" i="16"/>
  <c r="DG8" i="16" s="1"/>
  <c r="DK3" i="16"/>
  <c r="DK8" i="16" s="1"/>
  <c r="DO3" i="16"/>
  <c r="DO8" i="16" s="1"/>
  <c r="DS3" i="16"/>
  <c r="DS8" i="16" s="1"/>
  <c r="CV3" i="16"/>
  <c r="CV8" i="16" s="1"/>
  <c r="CZ3" i="16"/>
  <c r="CZ8" i="16" s="1"/>
  <c r="DD3" i="16"/>
  <c r="DD8" i="16" s="1"/>
  <c r="DH3" i="16"/>
  <c r="DH8" i="16" s="1"/>
  <c r="DL3" i="16"/>
  <c r="DL8" i="16" s="1"/>
  <c r="DP3" i="16"/>
  <c r="DP8" i="16" s="1"/>
  <c r="DT3" i="16"/>
  <c r="DT8" i="16" s="1"/>
  <c r="CW3" i="16"/>
  <c r="CW8" i="16" s="1"/>
  <c r="DA3" i="16"/>
  <c r="DA8" i="16" s="1"/>
  <c r="DE3" i="16"/>
  <c r="DE8" i="16" s="1"/>
  <c r="DI3" i="16"/>
  <c r="DI8" i="16" s="1"/>
  <c r="DM3" i="16"/>
  <c r="DM8" i="16" s="1"/>
  <c r="DQ3" i="16"/>
  <c r="DQ8" i="16" s="1"/>
  <c r="DU3" i="16"/>
  <c r="DU8" i="16" s="1"/>
  <c r="BB3" i="16"/>
  <c r="R3" i="16"/>
  <c r="R8" i="16" s="1"/>
  <c r="BD3" i="16"/>
  <c r="CI3" i="16"/>
  <c r="CI8" i="16" s="1"/>
  <c r="CJ3" i="16"/>
  <c r="CJ8" i="16" s="1"/>
  <c r="CK3" i="16"/>
  <c r="CK8" i="16" s="1"/>
  <c r="AV3" i="16"/>
  <c r="AI3" i="16"/>
  <c r="U3" i="16"/>
  <c r="U8" i="16" s="1"/>
  <c r="P3" i="16"/>
  <c r="BG3" i="16"/>
  <c r="CM3" i="16"/>
  <c r="CM8" i="16" s="1"/>
  <c r="BO3" i="16"/>
  <c r="BO8" i="16" s="1"/>
  <c r="BE3" i="16"/>
  <c r="BH3" i="16"/>
  <c r="BH8" i="16" s="1"/>
  <c r="CR3" i="16"/>
  <c r="CR8" i="16" s="1"/>
  <c r="CL3" i="16"/>
  <c r="CL8" i="16" s="1"/>
  <c r="AU3" i="16"/>
  <c r="BL3" i="16"/>
  <c r="BL8" i="16" s="1"/>
  <c r="CT3" i="16"/>
  <c r="CT8" i="16" s="1"/>
  <c r="BK3" i="16"/>
  <c r="BK8" i="16" s="1"/>
  <c r="AT3" i="16"/>
  <c r="AK3" i="16"/>
  <c r="CP3" i="16"/>
  <c r="CP8" i="16" s="1"/>
  <c r="CN3" i="16"/>
  <c r="CN8" i="16" s="1"/>
  <c r="AS3" i="16"/>
  <c r="BA3" i="16"/>
  <c r="V3" i="16"/>
  <c r="V8" i="16" s="1"/>
  <c r="Q3" i="16"/>
  <c r="Q8" i="16" s="1"/>
  <c r="BW3" i="16"/>
  <c r="BW8" i="16" s="1"/>
  <c r="BX3" i="16"/>
  <c r="BX8" i="16" s="1"/>
  <c r="BS3" i="16"/>
  <c r="BS8" i="16" s="1"/>
  <c r="BT3" i="16"/>
  <c r="BT8" i="16" s="1"/>
  <c r="BP3" i="16"/>
  <c r="BP8" i="16" s="1"/>
  <c r="BR3" i="16"/>
  <c r="BR8" i="16" s="1"/>
  <c r="AJ3" i="16"/>
  <c r="AW3" i="16"/>
  <c r="AX3" i="16"/>
  <c r="BC3" i="16"/>
  <c r="CQ3" i="16"/>
  <c r="CQ8" i="16" s="1"/>
  <c r="T3" i="16"/>
  <c r="T8" i="16" s="1"/>
  <c r="BM3" i="16"/>
  <c r="BM8" i="16" s="1"/>
  <c r="BU3" i="16"/>
  <c r="BU8" i="16" s="1"/>
  <c r="BV3" i="16"/>
  <c r="BV8" i="16" s="1"/>
  <c r="AR3" i="16"/>
  <c r="BZ3" i="16"/>
  <c r="BZ8" i="16" s="1"/>
  <c r="CA3" i="16"/>
  <c r="CA8" i="16" s="1"/>
  <c r="CO3" i="16"/>
  <c r="CO8" i="16" s="1"/>
  <c r="AQ3" i="16"/>
  <c r="BI3" i="16"/>
  <c r="BI8" i="16" s="1"/>
  <c r="AP3" i="16"/>
  <c r="O3" i="16"/>
  <c r="O8" i="16" s="1"/>
  <c r="AZ3" i="16"/>
  <c r="CE3" i="16"/>
  <c r="CE8" i="16" s="1"/>
  <c r="M3" i="16"/>
  <c r="M8" i="16" s="1"/>
  <c r="AM3" i="16"/>
  <c r="BN3" i="16"/>
  <c r="BN8" i="16" s="1"/>
  <c r="BQ3" i="16"/>
  <c r="BQ8" i="16" s="1"/>
  <c r="BY3" i="16"/>
  <c r="BY8" i="16" s="1"/>
  <c r="CB3" i="16"/>
  <c r="CB8" i="16" s="1"/>
  <c r="CD3" i="16"/>
  <c r="CD8" i="16" s="1"/>
  <c r="AY3" i="16"/>
  <c r="AO3" i="16"/>
  <c r="BF3" i="16"/>
  <c r="AN3" i="16"/>
  <c r="CC3" i="16"/>
  <c r="CC8" i="16" s="1"/>
  <c r="CG3" i="16"/>
  <c r="CG8" i="16" s="1"/>
  <c r="AH3" i="16"/>
  <c r="CS3" i="16"/>
  <c r="CS8" i="16" s="1"/>
  <c r="BJ3" i="16"/>
  <c r="BJ8" i="16" s="1"/>
  <c r="S3" i="16"/>
  <c r="S8" i="16" s="1"/>
  <c r="N3" i="16"/>
  <c r="N8" i="16" s="1"/>
  <c r="CF3" i="16"/>
  <c r="CF8" i="16" s="1"/>
  <c r="CH3" i="16"/>
  <c r="CH8" i="16" s="1"/>
  <c r="V11" i="5" l="1"/>
  <c r="W11" i="5"/>
  <c r="AB61" i="5"/>
  <c r="AA61" i="5"/>
  <c r="AA45" i="5"/>
  <c r="AB45" i="5"/>
  <c r="AP46" i="5"/>
  <c r="AQ46" i="5"/>
  <c r="W11" i="15" l="1"/>
  <c r="X11" i="15"/>
  <c r="AB53" i="5"/>
  <c r="AA53" i="5"/>
  <c r="W44" i="5"/>
  <c r="V44" i="5"/>
  <c r="AQ62" i="5"/>
  <c r="AP70" i="5"/>
  <c r="AQ70" i="5"/>
  <c r="AP62" i="5"/>
  <c r="AQ38" i="5"/>
  <c r="V12" i="5"/>
  <c r="W12" i="5"/>
  <c r="X12" i="15"/>
  <c r="W12" i="15"/>
  <c r="AQ54" i="5"/>
  <c r="AP54" i="5"/>
  <c r="AP38" i="5"/>
  <c r="V59" i="5"/>
  <c r="W59" i="5"/>
  <c r="X28" i="15"/>
  <c r="X32" i="15" s="1"/>
  <c r="W28" i="15"/>
  <c r="W32" i="15" s="1"/>
  <c r="V28" i="5"/>
  <c r="W28" i="5"/>
  <c r="W68" i="5"/>
  <c r="V68" i="5"/>
  <c r="W35" i="5"/>
  <c r="V35" i="5"/>
  <c r="V27" i="5"/>
  <c r="W27" i="5"/>
  <c r="V67" i="5"/>
  <c r="W67" i="5"/>
  <c r="AB69" i="5"/>
  <c r="AA69" i="5"/>
  <c r="AB37" i="5"/>
  <c r="AA37" i="5"/>
  <c r="W29" i="5"/>
  <c r="V29" i="5"/>
  <c r="W36" i="5"/>
  <c r="V36" i="5"/>
  <c r="X4" i="15"/>
  <c r="W4" i="15"/>
  <c r="V4" i="5"/>
  <c r="W4" i="5"/>
  <c r="W20" i="5"/>
  <c r="V20" i="5"/>
  <c r="X20" i="15"/>
  <c r="W20" i="15"/>
  <c r="V3" i="5"/>
  <c r="W3" i="5"/>
  <c r="X3" i="15"/>
  <c r="W3" i="15"/>
  <c r="V51" i="5"/>
  <c r="W51" i="5"/>
  <c r="Y13" i="15"/>
  <c r="X13" i="15"/>
  <c r="W13" i="5"/>
  <c r="V13" i="5"/>
  <c r="W21" i="5"/>
  <c r="V21" i="5"/>
  <c r="V43" i="5"/>
  <c r="W43" i="5"/>
  <c r="V52" i="5"/>
  <c r="W52" i="5"/>
  <c r="V60" i="5"/>
  <c r="W60" i="5"/>
  <c r="Y5" i="15"/>
  <c r="X5" i="15"/>
  <c r="W5" i="5"/>
  <c r="V5" i="5"/>
  <c r="X19" i="15"/>
  <c r="W19" i="15"/>
  <c r="W19" i="5"/>
  <c r="V19" i="5"/>
  <c r="W16" i="15" l="1"/>
  <c r="W48" i="5"/>
  <c r="V48" i="5"/>
  <c r="W16" i="5"/>
  <c r="V16" i="5"/>
  <c r="X16" i="15"/>
  <c r="V64" i="5"/>
  <c r="W64" i="5"/>
  <c r="V40" i="5"/>
  <c r="W40" i="5"/>
  <c r="W32" i="5"/>
  <c r="X24" i="15"/>
  <c r="W24" i="15"/>
  <c r="V8" i="5"/>
  <c r="W8" i="5"/>
  <c r="X8" i="15"/>
  <c r="W8" i="15"/>
  <c r="V56" i="5"/>
  <c r="W56" i="5"/>
  <c r="W24" i="5"/>
  <c r="V24" i="5"/>
  <c r="V72" i="5"/>
  <c r="W72" i="5"/>
  <c r="V32" i="5"/>
  <c r="X75" i="15" l="1"/>
  <c r="V75" i="5"/>
  <c r="W75" i="15"/>
  <c r="W75" i="5"/>
  <c r="T12" i="16" l="1"/>
  <c r="T16" i="16" s="1"/>
  <c r="AB12" i="12" l="1"/>
  <c r="Y12" i="12"/>
  <c r="Z12" i="12"/>
  <c r="AA12" i="12"/>
  <c r="AA11" i="9"/>
  <c r="AB11" i="9"/>
  <c r="AD11" i="9"/>
  <c r="AC11" i="9"/>
  <c r="AG20" i="12"/>
  <c r="AI20" i="12"/>
  <c r="AJ20" i="12"/>
  <c r="AH20" i="12"/>
  <c r="AK20" i="12"/>
  <c r="AE19" i="9"/>
  <c r="AC19" i="9"/>
  <c r="AD19" i="9"/>
  <c r="AG19" i="9"/>
  <c r="AF19" i="9"/>
  <c r="AX51" i="12"/>
  <c r="AZ51" i="12"/>
  <c r="AV51" i="12"/>
  <c r="AY51" i="12"/>
  <c r="AW51" i="12"/>
  <c r="BF50" i="9"/>
  <c r="BG50" i="9"/>
  <c r="BH50" i="9"/>
  <c r="BD50" i="9"/>
  <c r="BE50" i="9"/>
  <c r="BO59" i="9"/>
  <c r="BM59" i="9"/>
  <c r="BL59" i="9"/>
  <c r="BN59" i="9"/>
  <c r="BK59" i="9"/>
  <c r="BU60" i="12"/>
  <c r="BW60" i="12"/>
  <c r="BX60" i="12"/>
  <c r="BV60" i="12"/>
  <c r="BT60" i="12"/>
  <c r="BM45" i="12"/>
  <c r="BM47" i="12" s="1"/>
  <c r="BL45" i="12"/>
  <c r="BL47" i="12" s="1"/>
  <c r="BO45" i="12"/>
  <c r="BO47" i="12" s="1"/>
  <c r="BN45" i="12"/>
  <c r="BN47" i="12" s="1"/>
  <c r="BP45" i="12"/>
  <c r="BP47" i="12" s="1"/>
  <c r="BO44" i="9"/>
  <c r="BR44" i="9"/>
  <c r="BR46" i="9" s="1"/>
  <c r="BQ44" i="9"/>
  <c r="BQ46" i="9" s="1"/>
  <c r="BP44" i="9"/>
  <c r="BP46" i="9" s="1"/>
  <c r="BN44" i="9"/>
  <c r="AT37" i="12"/>
  <c r="AT39" i="12" s="1"/>
  <c r="AU37" i="12"/>
  <c r="AU39" i="12" s="1"/>
  <c r="AS37" i="12"/>
  <c r="AS39" i="12" s="1"/>
  <c r="AR37" i="12"/>
  <c r="AR39" i="12" s="1"/>
  <c r="AV37" i="12"/>
  <c r="AV39" i="12" s="1"/>
  <c r="AW36" i="9"/>
  <c r="AX36" i="9"/>
  <c r="AV36" i="9"/>
  <c r="AT36" i="9"/>
  <c r="AU36" i="9"/>
  <c r="BS52" i="9"/>
  <c r="BS54" i="9" s="1"/>
  <c r="BT52" i="9"/>
  <c r="BT54" i="9" s="1"/>
  <c r="BV52" i="9"/>
  <c r="BV54" i="9" s="1"/>
  <c r="BU52" i="9"/>
  <c r="BU54" i="9" s="1"/>
  <c r="BR52" i="9"/>
  <c r="BR54" i="9" s="1"/>
  <c r="BQ53" i="12"/>
  <c r="BQ55" i="12" s="1"/>
  <c r="BT53" i="12"/>
  <c r="BT55" i="12" s="1"/>
  <c r="BS53" i="12"/>
  <c r="BS55" i="12" s="1"/>
  <c r="BR53" i="12"/>
  <c r="BR55" i="12" s="1"/>
  <c r="BP53" i="12"/>
  <c r="BP55" i="12" s="1"/>
  <c r="AK21" i="12"/>
  <c r="AN21" i="12"/>
  <c r="AN23" i="12" s="1"/>
  <c r="AO21" i="12"/>
  <c r="AO23" i="12" s="1"/>
  <c r="AL21" i="12"/>
  <c r="AL23" i="12" s="1"/>
  <c r="AM21" i="12"/>
  <c r="AM23" i="12" s="1"/>
  <c r="AO20" i="9"/>
  <c r="AO22" i="9" s="1"/>
  <c r="AN20" i="9"/>
  <c r="AN22" i="9" s="1"/>
  <c r="AQ20" i="9"/>
  <c r="AQ22" i="9" s="1"/>
  <c r="AP20" i="9"/>
  <c r="AP22" i="9" s="1"/>
  <c r="AM20" i="9"/>
  <c r="AM22" i="9" s="1"/>
  <c r="AG5" i="12"/>
  <c r="AG7" i="12" s="1"/>
  <c r="AD5" i="12"/>
  <c r="AD7" i="12" s="1"/>
  <c r="AF5" i="12"/>
  <c r="AF7" i="12" s="1"/>
  <c r="AE5" i="12"/>
  <c r="AE7" i="12" s="1"/>
  <c r="AH5" i="12"/>
  <c r="AH7" i="12" s="1"/>
  <c r="AH5" i="9"/>
  <c r="AH7" i="9" s="1"/>
  <c r="AG5" i="9"/>
  <c r="AG7" i="9" s="1"/>
  <c r="AJ5" i="9"/>
  <c r="AJ7" i="9" s="1"/>
  <c r="AF5" i="9"/>
  <c r="AF7" i="9" s="1"/>
  <c r="AI5" i="9"/>
  <c r="AI7" i="9" s="1"/>
  <c r="AV28" i="9"/>
  <c r="AV30" i="9" s="1"/>
  <c r="AS28" i="9"/>
  <c r="AS30" i="9" s="1"/>
  <c r="AT28" i="9"/>
  <c r="AT30" i="9" s="1"/>
  <c r="AU28" i="9"/>
  <c r="AU30" i="9" s="1"/>
  <c r="AW28" i="9"/>
  <c r="AW30" i="9" s="1"/>
  <c r="AM29" i="12"/>
  <c r="AO29" i="12"/>
  <c r="AN29" i="12"/>
  <c r="AP29" i="12"/>
  <c r="AQ29" i="12"/>
  <c r="CC60" i="9"/>
  <c r="CC62" i="9" s="1"/>
  <c r="CF60" i="9"/>
  <c r="CF62" i="9" s="1"/>
  <c r="CG60" i="9"/>
  <c r="CG62" i="9" s="1"/>
  <c r="CE60" i="9"/>
  <c r="CE62" i="9" s="1"/>
  <c r="CD60" i="9"/>
  <c r="CD62" i="9" s="1"/>
  <c r="CA61" i="12"/>
  <c r="CA63" i="12" s="1"/>
  <c r="CC61" i="12"/>
  <c r="CC63" i="12" s="1"/>
  <c r="CE61" i="12"/>
  <c r="CE63" i="12" s="1"/>
  <c r="CD61" i="12"/>
  <c r="CD63" i="12" s="1"/>
  <c r="CB61" i="12"/>
  <c r="CB63" i="12" s="1"/>
  <c r="AR13" i="12"/>
  <c r="AR15" i="12" s="1"/>
  <c r="AP13" i="12"/>
  <c r="AP15" i="12" s="1"/>
  <c r="AS13" i="12"/>
  <c r="AS15" i="12" s="1"/>
  <c r="AO13" i="12"/>
  <c r="AO15" i="12" s="1"/>
  <c r="AQ13" i="12"/>
  <c r="AQ15" i="12" s="1"/>
  <c r="AN12" i="9"/>
  <c r="AN14" i="9" s="1"/>
  <c r="AJ12" i="9"/>
  <c r="AJ14" i="9" s="1"/>
  <c r="AK12" i="9"/>
  <c r="AK14" i="9" s="1"/>
  <c r="AM12" i="9"/>
  <c r="AM14" i="9" s="1"/>
  <c r="AL12" i="9"/>
  <c r="AL14" i="9" s="1"/>
  <c r="BH52" i="12"/>
  <c r="BI52" i="12"/>
  <c r="BG52" i="12"/>
  <c r="BJ52" i="12"/>
  <c r="BF52" i="12"/>
  <c r="BO51" i="9"/>
  <c r="BK51" i="9"/>
  <c r="BL51" i="9"/>
  <c r="BM51" i="9"/>
  <c r="BN51" i="9"/>
  <c r="T4" i="14" l="1"/>
  <c r="T8" i="14" s="1"/>
  <c r="T67" i="14" s="1"/>
  <c r="P4" i="16"/>
  <c r="P8" i="16" s="1"/>
  <c r="W13" i="14"/>
  <c r="V13" i="14"/>
  <c r="AU62" i="14"/>
  <c r="AV62" i="14"/>
  <c r="AN27" i="9"/>
  <c r="AK27" i="9"/>
  <c r="AM27" i="9"/>
  <c r="AL27" i="9"/>
  <c r="AJ27" i="9"/>
  <c r="AV28" i="12"/>
  <c r="AV31" i="12" s="1"/>
  <c r="AS28" i="12"/>
  <c r="AS31" i="12" s="1"/>
  <c r="AT28" i="12"/>
  <c r="AT31" i="12" s="1"/>
  <c r="AU28" i="12"/>
  <c r="AU31" i="12" s="1"/>
  <c r="AR28" i="12"/>
  <c r="AR31" i="12" s="1"/>
  <c r="T19" i="12"/>
  <c r="R19" i="12"/>
  <c r="S19" i="12"/>
  <c r="U19" i="12"/>
  <c r="Q19" i="12"/>
  <c r="V18" i="9"/>
  <c r="T18" i="9"/>
  <c r="U18" i="9"/>
  <c r="W18" i="9"/>
  <c r="S18" i="9"/>
  <c r="AH36" i="12"/>
  <c r="AI36" i="12"/>
  <c r="AJ36" i="12"/>
  <c r="AL36" i="12"/>
  <c r="AK36" i="12"/>
  <c r="AB35" i="12"/>
  <c r="X35" i="12"/>
  <c r="AA35" i="12"/>
  <c r="Z35" i="12"/>
  <c r="Y35" i="12"/>
  <c r="AR34" i="9"/>
  <c r="AP34" i="9"/>
  <c r="AS34" i="9"/>
  <c r="AQ34" i="9"/>
  <c r="AO34" i="9"/>
  <c r="Y17" i="9"/>
  <c r="AA17" i="9"/>
  <c r="AB17" i="9"/>
  <c r="Z17" i="9"/>
  <c r="X17" i="9"/>
  <c r="V18" i="12"/>
  <c r="X18" i="12"/>
  <c r="Y18" i="12"/>
  <c r="Z18" i="12"/>
  <c r="W18" i="12"/>
  <c r="AY41" i="9"/>
  <c r="AX41" i="9"/>
  <c r="AV41" i="9"/>
  <c r="AZ41" i="9"/>
  <c r="AW41" i="9"/>
  <c r="AV42" i="12"/>
  <c r="AZ42" i="12"/>
  <c r="AW42" i="12"/>
  <c r="AY42" i="12"/>
  <c r="AX42" i="12"/>
  <c r="AL25" i="9"/>
  <c r="AN25" i="9"/>
  <c r="AJ25" i="9"/>
  <c r="AK25" i="9"/>
  <c r="AM25" i="9"/>
  <c r="AA26" i="12"/>
  <c r="AE26" i="12"/>
  <c r="AB26" i="12"/>
  <c r="AH26" i="12"/>
  <c r="AC26" i="12"/>
  <c r="AF26" i="12"/>
  <c r="AG26" i="12"/>
  <c r="AD26" i="12"/>
  <c r="AI26" i="12"/>
  <c r="Z4" i="9"/>
  <c r="Y4" i="9"/>
  <c r="W4" i="12"/>
  <c r="X4" i="12"/>
  <c r="BK59" i="12"/>
  <c r="BN59" i="12"/>
  <c r="BM59" i="12"/>
  <c r="BL59" i="12"/>
  <c r="BJ59" i="12"/>
  <c r="BE58" i="9"/>
  <c r="BF58" i="9"/>
  <c r="BH58" i="9"/>
  <c r="BD58" i="9"/>
  <c r="BG58" i="9"/>
  <c r="R11" i="12"/>
  <c r="Q11" i="12"/>
  <c r="P11" i="12"/>
  <c r="S10" i="9"/>
  <c r="R10" i="9"/>
  <c r="T10" i="9"/>
  <c r="AV43" i="12"/>
  <c r="AT43" i="12"/>
  <c r="AS43" i="12"/>
  <c r="AR43" i="12"/>
  <c r="AU43" i="12"/>
  <c r="BG42" i="9"/>
  <c r="BD42" i="9"/>
  <c r="BH42" i="9"/>
  <c r="BF42" i="9"/>
  <c r="BE42" i="9"/>
  <c r="X27" i="12"/>
  <c r="AA27" i="12"/>
  <c r="W27" i="12"/>
  <c r="Z27" i="12"/>
  <c r="Y27" i="12"/>
  <c r="AK26" i="9"/>
  <c r="AM26" i="9"/>
  <c r="AJ26" i="9"/>
  <c r="AL26" i="9"/>
  <c r="AN26" i="9"/>
  <c r="BO43" i="9"/>
  <c r="BO46" i="9" s="1"/>
  <c r="BM43" i="9"/>
  <c r="BL43" i="9"/>
  <c r="BK43" i="9"/>
  <c r="BN43" i="9"/>
  <c r="BN46" i="9" s="1"/>
  <c r="BC44" i="12"/>
  <c r="BE44" i="12"/>
  <c r="BF44" i="12"/>
  <c r="BD44" i="12"/>
  <c r="BB44" i="12"/>
  <c r="AY49" i="9"/>
  <c r="AW49" i="9"/>
  <c r="AZ49" i="9"/>
  <c r="AV49" i="9"/>
  <c r="AX49" i="9"/>
  <c r="BO58" i="12"/>
  <c r="BP58" i="12"/>
  <c r="BR58" i="12"/>
  <c r="BN58" i="12"/>
  <c r="BQ58" i="12"/>
  <c r="AY57" i="9"/>
  <c r="AX57" i="9"/>
  <c r="AW57" i="9"/>
  <c r="AZ57" i="9"/>
  <c r="AV57" i="9"/>
  <c r="AY35" i="9"/>
  <c r="AY38" i="9" s="1"/>
  <c r="AX35" i="9"/>
  <c r="AX38" i="9" s="1"/>
  <c r="AW35" i="9"/>
  <c r="AW38" i="9" s="1"/>
  <c r="AV35" i="9"/>
  <c r="AV38" i="9" s="1"/>
  <c r="AZ35" i="9"/>
  <c r="AZ38" i="9" s="1"/>
  <c r="AD34" i="12"/>
  <c r="AG34" i="12"/>
  <c r="AF34" i="12"/>
  <c r="AH34" i="12"/>
  <c r="AE34" i="12"/>
  <c r="AL33" i="9"/>
  <c r="AO33" i="9"/>
  <c r="AN33" i="9"/>
  <c r="AM33" i="9"/>
  <c r="AP33" i="9"/>
  <c r="BC50" i="12"/>
  <c r="BB50" i="12"/>
  <c r="AZ50" i="12"/>
  <c r="BA50" i="12"/>
  <c r="BD50" i="12"/>
  <c r="X9" i="9"/>
  <c r="W9" i="9"/>
  <c r="S10" i="12"/>
  <c r="AK23" i="12"/>
  <c r="T11" i="9" l="1"/>
  <c r="W13" i="16"/>
  <c r="X13" i="16"/>
  <c r="W43" i="14"/>
  <c r="V43" i="14"/>
  <c r="W21" i="14"/>
  <c r="W29" i="14"/>
  <c r="V29" i="14"/>
  <c r="W3" i="16"/>
  <c r="X3" i="16"/>
  <c r="W3" i="14"/>
  <c r="V3" i="14"/>
  <c r="V20" i="14"/>
  <c r="W20" i="14"/>
  <c r="AB53" i="14"/>
  <c r="AA53" i="14"/>
  <c r="AB61" i="14"/>
  <c r="AA61" i="14"/>
  <c r="W37" i="14"/>
  <c r="W59" i="14"/>
  <c r="V59" i="14"/>
  <c r="V35" i="14"/>
  <c r="W35" i="14"/>
  <c r="W27" i="14"/>
  <c r="V27" i="14"/>
  <c r="W21" i="16"/>
  <c r="X21" i="16"/>
  <c r="V21" i="14"/>
  <c r="U19" i="9"/>
  <c r="T19" i="9"/>
  <c r="X20" i="16"/>
  <c r="W20" i="16"/>
  <c r="V12" i="14"/>
  <c r="W12" i="14"/>
  <c r="W12" i="16"/>
  <c r="X12" i="16"/>
  <c r="W11" i="16"/>
  <c r="X11" i="16"/>
  <c r="W11" i="14"/>
  <c r="V11" i="14"/>
  <c r="W19" i="14"/>
  <c r="V19" i="14"/>
  <c r="X19" i="16"/>
  <c r="W19" i="16"/>
  <c r="W36" i="14"/>
  <c r="AB45" i="14"/>
  <c r="AA45" i="14"/>
  <c r="V37" i="14"/>
  <c r="V44" i="14"/>
  <c r="W44" i="14"/>
  <c r="V60" i="14"/>
  <c r="W60" i="14"/>
  <c r="AV46" i="14"/>
  <c r="AU46" i="14"/>
  <c r="W28" i="16"/>
  <c r="W32" i="16" s="1"/>
  <c r="X28" i="16"/>
  <c r="V28" i="14"/>
  <c r="W28" i="14"/>
  <c r="W5" i="16"/>
  <c r="X5" i="16"/>
  <c r="T4" i="9"/>
  <c r="T27" i="9"/>
  <c r="V52" i="14"/>
  <c r="W52" i="14"/>
  <c r="W5" i="14"/>
  <c r="V5" i="14"/>
  <c r="W51" i="14"/>
  <c r="V51" i="14"/>
  <c r="V36" i="14"/>
  <c r="W36" i="16"/>
  <c r="W40" i="16" s="1"/>
  <c r="X36" i="16"/>
  <c r="X40" i="16" s="1"/>
  <c r="AU54" i="14"/>
  <c r="AV54" i="14"/>
  <c r="W16" i="16" l="1"/>
  <c r="X16" i="16"/>
  <c r="W48" i="14"/>
  <c r="X8" i="16"/>
  <c r="W8" i="14"/>
  <c r="V48" i="14"/>
  <c r="W24" i="14"/>
  <c r="W16" i="14"/>
  <c r="V16" i="14"/>
  <c r="V24" i="14"/>
  <c r="V32" i="14"/>
  <c r="W32" i="14"/>
  <c r="X24" i="16"/>
  <c r="W24" i="16"/>
  <c r="W40" i="14"/>
  <c r="V64" i="14"/>
  <c r="W64" i="14"/>
  <c r="V40" i="14"/>
  <c r="W56" i="14"/>
  <c r="V56" i="14"/>
  <c r="W67" i="14" l="1"/>
  <c r="AC45" i="5" l="1"/>
  <c r="AD45" i="5"/>
  <c r="AF45" i="5"/>
  <c r="AE45" i="5"/>
  <c r="AF69" i="5"/>
  <c r="AC69" i="5"/>
  <c r="AD69" i="5"/>
  <c r="AE69" i="5"/>
  <c r="Z3" i="15"/>
  <c r="Y3" i="15"/>
  <c r="Y3" i="5"/>
  <c r="X3" i="5"/>
  <c r="AR62" i="5" l="1"/>
  <c r="AT62" i="5"/>
  <c r="AU62" i="5"/>
  <c r="AS62" i="5"/>
  <c r="Z5" i="5"/>
  <c r="Y5" i="5"/>
  <c r="AB5" i="15"/>
  <c r="AB8" i="15" s="1"/>
  <c r="Z5" i="15"/>
  <c r="Z8" i="15" s="1"/>
  <c r="X5" i="5"/>
  <c r="AA13" i="15"/>
  <c r="AB13" i="15"/>
  <c r="AC13" i="15"/>
  <c r="Z13" i="15"/>
  <c r="AS46" i="5"/>
  <c r="Y13" i="5"/>
  <c r="AA13" i="5"/>
  <c r="X13" i="5"/>
  <c r="Z13" i="5"/>
  <c r="AR46" i="5"/>
  <c r="AA11" i="15"/>
  <c r="AU46" i="5"/>
  <c r="AT46" i="5"/>
  <c r="AA5" i="15"/>
  <c r="AA8" i="15" s="1"/>
  <c r="AC5" i="15"/>
  <c r="X11" i="5"/>
  <c r="Z11" i="5"/>
  <c r="AA11" i="5"/>
  <c r="Y11" i="5"/>
  <c r="Y11" i="15"/>
  <c r="AB11" i="15"/>
  <c r="Z11" i="15"/>
  <c r="X52" i="5"/>
  <c r="AA52" i="5"/>
  <c r="Y52" i="5"/>
  <c r="Z52" i="5"/>
  <c r="X21" i="5"/>
  <c r="AA21" i="5"/>
  <c r="Y21" i="5"/>
  <c r="Z21" i="5"/>
  <c r="U3" i="11"/>
  <c r="V3" i="11"/>
  <c r="T3" i="11"/>
  <c r="T7" i="11" s="1"/>
  <c r="AU38" i="5"/>
  <c r="AT38" i="5"/>
  <c r="AS38" i="5"/>
  <c r="AR38" i="5"/>
  <c r="AS54" i="5"/>
  <c r="AT54" i="5"/>
  <c r="AU54" i="5"/>
  <c r="AR54" i="5"/>
  <c r="Z20" i="15"/>
  <c r="AA20" i="15"/>
  <c r="Y20" i="15"/>
  <c r="AB20" i="15"/>
  <c r="Z20" i="5"/>
  <c r="X20" i="5"/>
  <c r="AA20" i="5"/>
  <c r="Y20" i="5"/>
  <c r="X59" i="5"/>
  <c r="AA59" i="5"/>
  <c r="Y59" i="5"/>
  <c r="Z59" i="5"/>
  <c r="AS70" i="5"/>
  <c r="AR70" i="5"/>
  <c r="AU70" i="5"/>
  <c r="AT70" i="5"/>
  <c r="AA43" i="5"/>
  <c r="X43" i="5"/>
  <c r="Y43" i="5"/>
  <c r="Z43" i="5"/>
  <c r="AA36" i="5"/>
  <c r="Y36" i="5"/>
  <c r="Z36" i="5"/>
  <c r="X36" i="5"/>
  <c r="AE61" i="5"/>
  <c r="AF61" i="5"/>
  <c r="AD61" i="5"/>
  <c r="AC61" i="5"/>
  <c r="X51" i="5"/>
  <c r="Z51" i="5"/>
  <c r="Y51" i="5"/>
  <c r="AA51" i="5"/>
  <c r="AA27" i="5"/>
  <c r="X27" i="5"/>
  <c r="Z27" i="5"/>
  <c r="Y27" i="5"/>
  <c r="X35" i="5"/>
  <c r="AA35" i="5"/>
  <c r="Y35" i="5"/>
  <c r="Z35" i="5"/>
  <c r="Y19" i="5"/>
  <c r="Z19" i="5"/>
  <c r="AA19" i="5"/>
  <c r="AC53" i="5"/>
  <c r="AD53" i="5"/>
  <c r="AE53" i="5"/>
  <c r="AF53" i="5"/>
  <c r="AA28" i="15"/>
  <c r="AA32" i="15" s="1"/>
  <c r="AB28" i="15"/>
  <c r="AB32" i="15" s="1"/>
  <c r="Z28" i="15"/>
  <c r="Z32" i="15" s="1"/>
  <c r="Y28" i="15"/>
  <c r="Y32" i="15" s="1"/>
  <c r="Z28" i="5"/>
  <c r="Y28" i="5"/>
  <c r="AA28" i="5"/>
  <c r="X28" i="5"/>
  <c r="Y68" i="5"/>
  <c r="AA68" i="5"/>
  <c r="Z68" i="5"/>
  <c r="X68" i="5"/>
  <c r="X19" i="5"/>
  <c r="AA19" i="15"/>
  <c r="AB19" i="15"/>
  <c r="Z19" i="15"/>
  <c r="Y19" i="15"/>
  <c r="X67" i="5"/>
  <c r="Z67" i="5"/>
  <c r="Y67" i="5"/>
  <c r="AA67" i="5"/>
  <c r="AE37" i="5"/>
  <c r="AD37" i="5"/>
  <c r="AF37" i="5"/>
  <c r="AC37" i="5"/>
  <c r="Y44" i="5"/>
  <c r="X44" i="5"/>
  <c r="AA44" i="5"/>
  <c r="Z44" i="5"/>
  <c r="AA29" i="5"/>
  <c r="Y29" i="5"/>
  <c r="Z29" i="5"/>
  <c r="X29" i="5"/>
  <c r="Z60" i="5"/>
  <c r="X60" i="5"/>
  <c r="AA60" i="5"/>
  <c r="Y60" i="5"/>
  <c r="Z16" i="15" l="1"/>
  <c r="AB16" i="15"/>
  <c r="Y16" i="5"/>
  <c r="Z16" i="5"/>
  <c r="AA16" i="15"/>
  <c r="AA16" i="5"/>
  <c r="AA56" i="5"/>
  <c r="X56" i="5"/>
  <c r="Z56" i="5"/>
  <c r="Y56" i="5"/>
  <c r="Y48" i="5"/>
  <c r="X48" i="5"/>
  <c r="AA48" i="5"/>
  <c r="Z48" i="5"/>
  <c r="Z64" i="5"/>
  <c r="X64" i="5"/>
  <c r="AA64" i="5"/>
  <c r="Y64" i="5"/>
  <c r="X40" i="5"/>
  <c r="AA40" i="5"/>
  <c r="Y40" i="5"/>
  <c r="Z40" i="5"/>
  <c r="Y24" i="5"/>
  <c r="Z24" i="5"/>
  <c r="AA24" i="5"/>
  <c r="AA32" i="5"/>
  <c r="Z32" i="5"/>
  <c r="X32" i="5"/>
  <c r="X24" i="5"/>
  <c r="X72" i="5"/>
  <c r="Z72" i="5"/>
  <c r="Y72" i="5"/>
  <c r="AA72" i="5"/>
  <c r="Y32" i="5"/>
  <c r="AC22" i="16" l="1"/>
  <c r="AD22" i="16"/>
  <c r="AE22" i="16"/>
  <c r="M5" i="12"/>
  <c r="L5" i="12"/>
  <c r="P5" i="9"/>
  <c r="O5" i="9"/>
  <c r="N5" i="9"/>
  <c r="AB6" i="14"/>
  <c r="AD6" i="14"/>
  <c r="AA6" i="14"/>
  <c r="AB6" i="16"/>
  <c r="AE6" i="16"/>
  <c r="AD6" i="16"/>
  <c r="AC6" i="16"/>
  <c r="AC6" i="14"/>
  <c r="AC5" i="12"/>
  <c r="AC7" i="12" s="1"/>
  <c r="AE5" i="9"/>
  <c r="AE7" i="9" s="1"/>
  <c r="AB5" i="14"/>
  <c r="Y5" i="14"/>
  <c r="AC5" i="14"/>
  <c r="X5" i="14"/>
  <c r="AA5" i="14"/>
  <c r="AD5" i="14"/>
  <c r="Z5" i="14"/>
  <c r="AT22" i="14"/>
  <c r="AT24" i="14" s="1"/>
  <c r="AU22" i="14"/>
  <c r="AU24" i="14" s="1"/>
  <c r="Y21" i="12"/>
  <c r="Z21" i="12"/>
  <c r="AF21" i="12"/>
  <c r="AG21" i="12"/>
  <c r="AG23" i="12" s="1"/>
  <c r="AH21" i="12"/>
  <c r="AH23" i="12" s="1"/>
  <c r="AC21" i="12"/>
  <c r="AD21" i="12"/>
  <c r="AB21" i="12"/>
  <c r="AA21" i="12"/>
  <c r="AJ21" i="12"/>
  <c r="AJ23" i="12" s="1"/>
  <c r="AI21" i="12"/>
  <c r="AI23" i="12" s="1"/>
  <c r="AE21" i="12"/>
  <c r="AC20" i="9"/>
  <c r="AC22" i="9" s="1"/>
  <c r="AB20" i="9"/>
  <c r="AA20" i="9"/>
  <c r="AG20" i="9"/>
  <c r="AG22" i="9" s="1"/>
  <c r="AE20" i="9"/>
  <c r="AE22" i="9" s="1"/>
  <c r="AF20" i="9"/>
  <c r="AF22" i="9" s="1"/>
  <c r="AI20" i="9"/>
  <c r="AI22" i="9" s="1"/>
  <c r="AD20" i="9"/>
  <c r="AD22" i="9" s="1"/>
  <c r="AL20" i="9"/>
  <c r="AL22" i="9" s="1"/>
  <c r="AK20" i="9"/>
  <c r="AK22" i="9" s="1"/>
  <c r="AH20" i="9"/>
  <c r="AH22" i="9" s="1"/>
  <c r="AJ20" i="9"/>
  <c r="AJ22" i="9" s="1"/>
  <c r="AQ28" i="9"/>
  <c r="AQ30" i="9" s="1"/>
  <c r="AO28" i="9"/>
  <c r="AO30" i="9" s="1"/>
  <c r="AP28" i="9"/>
  <c r="AP30" i="9" s="1"/>
  <c r="AR28" i="9"/>
  <c r="AR30" i="9" s="1"/>
  <c r="AN28" i="9"/>
  <c r="AN30" i="9" s="1"/>
  <c r="AK29" i="12"/>
  <c r="AJ29" i="12"/>
  <c r="AH29" i="12"/>
  <c r="AL29" i="12"/>
  <c r="AI29" i="12"/>
  <c r="BW61" i="12"/>
  <c r="BW63" i="12" s="1"/>
  <c r="BX61" i="12"/>
  <c r="BX63" i="12" s="1"/>
  <c r="BY61" i="12"/>
  <c r="BY63" i="12" s="1"/>
  <c r="BV61" i="12"/>
  <c r="BV63" i="12" s="1"/>
  <c r="BZ61" i="12"/>
  <c r="BZ63" i="12" s="1"/>
  <c r="BY60" i="9"/>
  <c r="BY62" i="9" s="1"/>
  <c r="CA60" i="9"/>
  <c r="CA62" i="9" s="1"/>
  <c r="CB60" i="9"/>
  <c r="CB62" i="9" s="1"/>
  <c r="BZ60" i="9"/>
  <c r="BZ62" i="9" s="1"/>
  <c r="BX60" i="9"/>
  <c r="BX62" i="9" s="1"/>
  <c r="BB62" i="14"/>
  <c r="BC62" i="14"/>
  <c r="BA62" i="14"/>
  <c r="AZ62" i="14"/>
  <c r="AW62" i="14"/>
  <c r="AY62" i="14"/>
  <c r="AX62" i="14"/>
  <c r="BM53" i="12"/>
  <c r="BM55" i="12" s="1"/>
  <c r="BK53" i="12"/>
  <c r="BK55" i="12" s="1"/>
  <c r="BO53" i="12"/>
  <c r="BO55" i="12" s="1"/>
  <c r="BN53" i="12"/>
  <c r="BN55" i="12" s="1"/>
  <c r="BL53" i="12"/>
  <c r="BL55" i="12" s="1"/>
  <c r="BQ52" i="9"/>
  <c r="BQ54" i="9" s="1"/>
  <c r="BP52" i="9"/>
  <c r="BP54" i="9" s="1"/>
  <c r="BM52" i="9"/>
  <c r="BM54" i="9" s="1"/>
  <c r="BN52" i="9"/>
  <c r="BN54" i="9" s="1"/>
  <c r="BO52" i="9"/>
  <c r="BO54" i="9" s="1"/>
  <c r="BB54" i="14"/>
  <c r="AY54" i="14"/>
  <c r="BC54" i="14"/>
  <c r="BA54" i="14"/>
  <c r="AZ54" i="14"/>
  <c r="AW54" i="14"/>
  <c r="AX54" i="14"/>
  <c r="AQ37" i="12"/>
  <c r="AQ39" i="12" s="1"/>
  <c r="AO37" i="12"/>
  <c r="AO39" i="12" s="1"/>
  <c r="AM37" i="12"/>
  <c r="AM39" i="12" s="1"/>
  <c r="AP37" i="12"/>
  <c r="AP39" i="12" s="1"/>
  <c r="AN37" i="12"/>
  <c r="AN39" i="12" s="1"/>
  <c r="AS36" i="9"/>
  <c r="AQ36" i="9"/>
  <c r="AR36" i="9"/>
  <c r="AP36" i="9"/>
  <c r="AO36" i="9"/>
  <c r="Q3" i="9" l="1"/>
  <c r="N3" i="9"/>
  <c r="Z11" i="9"/>
  <c r="U11" i="9"/>
  <c r="O3" i="12"/>
  <c r="AC4" i="14"/>
  <c r="AD4" i="14"/>
  <c r="AD4" i="16"/>
  <c r="AE4" i="16"/>
  <c r="AD11" i="14"/>
  <c r="AE11" i="16"/>
  <c r="AE3" i="16"/>
  <c r="R10" i="12"/>
  <c r="O10" i="9"/>
  <c r="Q10" i="9"/>
  <c r="P10" i="9"/>
  <c r="Y12" i="16"/>
  <c r="AC12" i="16"/>
  <c r="AE12" i="16"/>
  <c r="AD12" i="16"/>
  <c r="O11" i="12"/>
  <c r="X12" i="14"/>
  <c r="AD12" i="14"/>
  <c r="AC12" i="14"/>
  <c r="AB12" i="14"/>
  <c r="P3" i="9"/>
  <c r="O3" i="9"/>
  <c r="V4" i="9"/>
  <c r="W4" i="9"/>
  <c r="X4" i="9"/>
  <c r="V4" i="12"/>
  <c r="V4" i="14"/>
  <c r="V8" i="14" s="1"/>
  <c r="V67" i="14" s="1"/>
  <c r="AB4" i="14"/>
  <c r="W4" i="16"/>
  <c r="W8" i="16" s="1"/>
  <c r="AC4" i="16"/>
  <c r="AB19" i="14"/>
  <c r="AC19" i="14"/>
  <c r="AD19" i="14"/>
  <c r="AC19" i="16"/>
  <c r="AD19" i="16"/>
  <c r="AE19" i="16"/>
  <c r="AC11" i="14"/>
  <c r="AB11" i="14"/>
  <c r="AC11" i="16"/>
  <c r="AD11" i="16"/>
  <c r="M4" i="12"/>
  <c r="N4" i="12"/>
  <c r="L4" i="12"/>
  <c r="M34" i="12"/>
  <c r="K34" i="12"/>
  <c r="L34" i="12"/>
  <c r="N34" i="12"/>
  <c r="O12" i="12"/>
  <c r="P12" i="12"/>
  <c r="L35" i="12"/>
  <c r="K26" i="12"/>
  <c r="L26" i="12"/>
  <c r="M26" i="12"/>
  <c r="R20" i="12"/>
  <c r="S20" i="12"/>
  <c r="U20" i="12"/>
  <c r="T20" i="12"/>
  <c r="Y43" i="14"/>
  <c r="AF61" i="14"/>
  <c r="AH61" i="14"/>
  <c r="AI61" i="14"/>
  <c r="AD61" i="14"/>
  <c r="AC61" i="14"/>
  <c r="AG61" i="14"/>
  <c r="AE61" i="14"/>
  <c r="AI45" i="14"/>
  <c r="AG45" i="14"/>
  <c r="AE45" i="14"/>
  <c r="AD45" i="14"/>
  <c r="AC45" i="14"/>
  <c r="AH45" i="14"/>
  <c r="AF45" i="14"/>
  <c r="AE12" i="9"/>
  <c r="AE14" i="9" s="1"/>
  <c r="AH12" i="9"/>
  <c r="AH14" i="9" s="1"/>
  <c r="AG12" i="9"/>
  <c r="AG14" i="9" s="1"/>
  <c r="AF12" i="9"/>
  <c r="AF14" i="9" s="1"/>
  <c r="AI12" i="9"/>
  <c r="AI14" i="9" s="1"/>
  <c r="AF14" i="16"/>
  <c r="AH14" i="16"/>
  <c r="AG14" i="16"/>
  <c r="AL13" i="12"/>
  <c r="AL15" i="12" s="1"/>
  <c r="AC13" i="12"/>
  <c r="AC15" i="12" s="1"/>
  <c r="AH13" i="12"/>
  <c r="AH15" i="12" s="1"/>
  <c r="AN13" i="12"/>
  <c r="AN15" i="12" s="1"/>
  <c r="AJ13" i="12"/>
  <c r="AJ15" i="12" s="1"/>
  <c r="AD13" i="12"/>
  <c r="AD15" i="12" s="1"/>
  <c r="AF13" i="12"/>
  <c r="AF15" i="12" s="1"/>
  <c r="AK13" i="12"/>
  <c r="AK15" i="12" s="1"/>
  <c r="AE13" i="12"/>
  <c r="AE15" i="12" s="1"/>
  <c r="AI13" i="12"/>
  <c r="AI15" i="12" s="1"/>
  <c r="AG13" i="12"/>
  <c r="AG15" i="12" s="1"/>
  <c r="AM13" i="12"/>
  <c r="AM15" i="12" s="1"/>
  <c r="AC5" i="16"/>
  <c r="Y5" i="16"/>
  <c r="AB5" i="16"/>
  <c r="AD5" i="16"/>
  <c r="AA5" i="16"/>
  <c r="AE5" i="16"/>
  <c r="Z5" i="16"/>
  <c r="BH51" i="9"/>
  <c r="BF51" i="9"/>
  <c r="BG51" i="9"/>
  <c r="BI51" i="9"/>
  <c r="BJ51" i="9"/>
  <c r="AE53" i="14"/>
  <c r="AG53" i="14"/>
  <c r="AD53" i="14"/>
  <c r="AH53" i="14"/>
  <c r="AC53" i="14"/>
  <c r="AI53" i="14"/>
  <c r="AF53" i="14"/>
  <c r="BA52" i="12"/>
  <c r="BB52" i="12"/>
  <c r="BD52" i="12"/>
  <c r="BC52" i="12"/>
  <c r="BE52" i="12"/>
  <c r="AA37" i="14"/>
  <c r="AC37" i="14"/>
  <c r="Y37" i="14"/>
  <c r="AB37" i="14"/>
  <c r="AD37" i="14"/>
  <c r="X37" i="14"/>
  <c r="Z37" i="14"/>
  <c r="AD37" i="16"/>
  <c r="AC37" i="16"/>
  <c r="AB37" i="16"/>
  <c r="AE37" i="16"/>
  <c r="Z37" i="16"/>
  <c r="AA37" i="16"/>
  <c r="AF36" i="12"/>
  <c r="AE36" i="12"/>
  <c r="AD36" i="12"/>
  <c r="AG36" i="12"/>
  <c r="AC36" i="12"/>
  <c r="AT35" i="9"/>
  <c r="AT38" i="9" s="1"/>
  <c r="AR35" i="9"/>
  <c r="AR38" i="9" s="1"/>
  <c r="AU35" i="9"/>
  <c r="AU38" i="9" s="1"/>
  <c r="AQ35" i="9"/>
  <c r="AQ38" i="9" s="1"/>
  <c r="AS35" i="9"/>
  <c r="AS38" i="9" s="1"/>
  <c r="X43" i="14"/>
  <c r="AD43" i="14"/>
  <c r="AA43" i="14"/>
  <c r="AC43" i="14"/>
  <c r="AB43" i="14"/>
  <c r="Z43" i="14"/>
  <c r="V9" i="9"/>
  <c r="T9" i="9"/>
  <c r="U9" i="9"/>
  <c r="S9" i="9"/>
  <c r="P9" i="9"/>
  <c r="O9" i="9"/>
  <c r="L10" i="12"/>
  <c r="K10" i="12"/>
  <c r="AW44" i="12"/>
  <c r="BA44" i="12"/>
  <c r="AY44" i="12"/>
  <c r="AX44" i="12"/>
  <c r="AZ44" i="12"/>
  <c r="BJ43" i="9"/>
  <c r="BF43" i="9"/>
  <c r="BH43" i="9"/>
  <c r="BG43" i="9"/>
  <c r="BI43" i="9"/>
  <c r="AR41" i="9"/>
  <c r="AQ41" i="9"/>
  <c r="AT41" i="9"/>
  <c r="AU41" i="9"/>
  <c r="AS41" i="9"/>
  <c r="AR42" i="12"/>
  <c r="AT42" i="12"/>
  <c r="AQ42" i="12"/>
  <c r="AU42" i="12"/>
  <c r="AS42" i="12"/>
  <c r="AS49" i="9"/>
  <c r="AT49" i="9"/>
  <c r="AU49" i="9"/>
  <c r="AQ49" i="9"/>
  <c r="AR49" i="9"/>
  <c r="Y51" i="14"/>
  <c r="AA51" i="14"/>
  <c r="AD51" i="14"/>
  <c r="X51" i="14"/>
  <c r="Z51" i="14"/>
  <c r="AB51" i="14"/>
  <c r="AC51" i="14"/>
  <c r="AX50" i="12"/>
  <c r="AU50" i="12"/>
  <c r="AW50" i="12"/>
  <c r="AY50" i="12"/>
  <c r="AV50" i="12"/>
  <c r="BR60" i="12"/>
  <c r="BP60" i="12"/>
  <c r="BS60" i="12"/>
  <c r="BQ60" i="12"/>
  <c r="BO60" i="12"/>
  <c r="BH59" i="9"/>
  <c r="BH62" i="9" s="1"/>
  <c r="BJ59" i="9"/>
  <c r="BG59" i="9"/>
  <c r="BG62" i="9" s="1"/>
  <c r="BI59" i="9"/>
  <c r="BI62" i="9" s="1"/>
  <c r="BF59" i="9"/>
  <c r="BF62" i="9" s="1"/>
  <c r="T27" i="12"/>
  <c r="R27" i="12"/>
  <c r="U27" i="12"/>
  <c r="S27" i="12"/>
  <c r="L27" i="12"/>
  <c r="V27" i="12"/>
  <c r="O26" i="9"/>
  <c r="O30" i="9" s="1"/>
  <c r="AE26" i="9"/>
  <c r="AH26" i="9"/>
  <c r="AF26" i="9"/>
  <c r="AG26" i="9"/>
  <c r="AI26" i="9"/>
  <c r="P26" i="9"/>
  <c r="P30" i="9" s="1"/>
  <c r="X44" i="14"/>
  <c r="Z44" i="14"/>
  <c r="Y44" i="14"/>
  <c r="AA44" i="14"/>
  <c r="AC44" i="14"/>
  <c r="AD44" i="14"/>
  <c r="AB44" i="14"/>
  <c r="BB42" i="9"/>
  <c r="BC42" i="9"/>
  <c r="AY42" i="9"/>
  <c r="BA42" i="9"/>
  <c r="AZ42" i="9"/>
  <c r="AQ43" i="12"/>
  <c r="AP43" i="12"/>
  <c r="AN43" i="12"/>
  <c r="AO43" i="12"/>
  <c r="AM43" i="12"/>
  <c r="Y19" i="16"/>
  <c r="Z19" i="16"/>
  <c r="AB19" i="16"/>
  <c r="AA19" i="16"/>
  <c r="AA19" i="14"/>
  <c r="X19" i="14"/>
  <c r="Y19" i="14"/>
  <c r="Z19" i="14"/>
  <c r="P18" i="12"/>
  <c r="L18" i="12"/>
  <c r="R18" i="12"/>
  <c r="U18" i="12"/>
  <c r="T18" i="12"/>
  <c r="S18" i="12"/>
  <c r="Q18" i="12"/>
  <c r="W17" i="9"/>
  <c r="O17" i="9"/>
  <c r="P17" i="9"/>
  <c r="V17" i="9"/>
  <c r="T17" i="9"/>
  <c r="U17" i="9"/>
  <c r="R17" i="9"/>
  <c r="S17" i="9"/>
  <c r="Y26" i="12"/>
  <c r="Z26" i="12"/>
  <c r="O26" i="12"/>
  <c r="N26" i="12"/>
  <c r="AH25" i="9"/>
  <c r="AG25" i="9"/>
  <c r="AF25" i="9"/>
  <c r="AI25" i="9"/>
  <c r="AE25" i="9"/>
  <c r="AA27" i="14"/>
  <c r="Y27" i="14"/>
  <c r="X27" i="14"/>
  <c r="Z27" i="14"/>
  <c r="AD27" i="14"/>
  <c r="AB27" i="14"/>
  <c r="AC27" i="14"/>
  <c r="AD27" i="16"/>
  <c r="Z27" i="16"/>
  <c r="AA27" i="16"/>
  <c r="AC27" i="16"/>
  <c r="Y27" i="16"/>
  <c r="AE27" i="16"/>
  <c r="X27" i="16"/>
  <c r="X32" i="16" s="1"/>
  <c r="AB27" i="16"/>
  <c r="BC58" i="9"/>
  <c r="AZ58" i="9"/>
  <c r="BA58" i="9"/>
  <c r="BB58" i="9"/>
  <c r="AY58" i="9"/>
  <c r="AC60" i="14"/>
  <c r="AD60" i="14"/>
  <c r="X60" i="14"/>
  <c r="AA60" i="14"/>
  <c r="Z60" i="14"/>
  <c r="AB60" i="14"/>
  <c r="Y60" i="14"/>
  <c r="BF59" i="12"/>
  <c r="BE59" i="12"/>
  <c r="BI59" i="12"/>
  <c r="BG59" i="12"/>
  <c r="BH59" i="12"/>
  <c r="O18" i="9"/>
  <c r="P18" i="9"/>
  <c r="R18" i="9"/>
  <c r="Q18" i="9"/>
  <c r="X20" i="14"/>
  <c r="AA20" i="14"/>
  <c r="Z20" i="14"/>
  <c r="Y20" i="14"/>
  <c r="Y20" i="16"/>
  <c r="AA20" i="16"/>
  <c r="Z20" i="16"/>
  <c r="AB20" i="16"/>
  <c r="P19" i="12"/>
  <c r="O19" i="12"/>
  <c r="M19" i="12"/>
  <c r="N19" i="12"/>
  <c r="AL34" i="9"/>
  <c r="AN34" i="9"/>
  <c r="AK34" i="9"/>
  <c r="AM34" i="9"/>
  <c r="AJ34" i="9"/>
  <c r="T35" i="12"/>
  <c r="U35" i="12"/>
  <c r="S35" i="12"/>
  <c r="W35" i="12"/>
  <c r="V35" i="12"/>
  <c r="AD36" i="14"/>
  <c r="X36" i="14"/>
  <c r="Z36" i="14"/>
  <c r="Y36" i="14"/>
  <c r="AC36" i="14"/>
  <c r="AB36" i="14"/>
  <c r="AA36" i="14"/>
  <c r="AE36" i="16"/>
  <c r="AB36" i="16"/>
  <c r="Z36" i="16"/>
  <c r="AD36" i="16"/>
  <c r="AC36" i="16"/>
  <c r="AA36" i="16"/>
  <c r="Y36" i="16"/>
  <c r="L11" i="12"/>
  <c r="Z13" i="14"/>
  <c r="Z16" i="14" s="1"/>
  <c r="AB13" i="14"/>
  <c r="AD13" i="14"/>
  <c r="Y13" i="14"/>
  <c r="Y16" i="14" s="1"/>
  <c r="X13" i="14"/>
  <c r="AC13" i="14"/>
  <c r="AA13" i="14"/>
  <c r="AA16" i="14" s="1"/>
  <c r="W11" i="9"/>
  <c r="V11" i="9"/>
  <c r="AA13" i="16"/>
  <c r="AA16" i="16" s="1"/>
  <c r="AC13" i="16"/>
  <c r="AB13" i="16"/>
  <c r="AB16" i="16" s="1"/>
  <c r="AD13" i="16"/>
  <c r="Y13" i="16"/>
  <c r="Z13" i="16"/>
  <c r="Z16" i="16" s="1"/>
  <c r="AE13" i="16"/>
  <c r="AG21" i="16"/>
  <c r="AC21" i="16"/>
  <c r="AB21" i="16"/>
  <c r="Y21" i="16"/>
  <c r="AA21" i="16"/>
  <c r="AD21" i="16"/>
  <c r="AE21" i="16"/>
  <c r="AI21" i="16"/>
  <c r="AJ21" i="16"/>
  <c r="AH21" i="16"/>
  <c r="Z21" i="16"/>
  <c r="AG21" i="14"/>
  <c r="AD21" i="14"/>
  <c r="AA21" i="14"/>
  <c r="X21" i="14"/>
  <c r="Y21" i="14"/>
  <c r="AH21" i="14"/>
  <c r="AC21" i="14"/>
  <c r="AI21" i="14"/>
  <c r="Z21" i="14"/>
  <c r="AB21" i="14"/>
  <c r="AF21" i="14"/>
  <c r="AB20" i="12"/>
  <c r="AB23" i="12" s="1"/>
  <c r="V20" i="12"/>
  <c r="Z20" i="12"/>
  <c r="Z23" i="12" s="1"/>
  <c r="AF20" i="12"/>
  <c r="AF23" i="12" s="1"/>
  <c r="AE20" i="12"/>
  <c r="AE23" i="12" s="1"/>
  <c r="AC20" i="12"/>
  <c r="AC23" i="12" s="1"/>
  <c r="AA20" i="12"/>
  <c r="AA23" i="12" s="1"/>
  <c r="Y20" i="12"/>
  <c r="Y23" i="12" s="1"/>
  <c r="X20" i="12"/>
  <c r="W20" i="12"/>
  <c r="AD20" i="12"/>
  <c r="AD23" i="12" s="1"/>
  <c r="Z19" i="9"/>
  <c r="V19" i="9"/>
  <c r="AB19" i="9"/>
  <c r="AB22" i="9" s="1"/>
  <c r="Y19" i="9"/>
  <c r="X19" i="9"/>
  <c r="W19" i="9"/>
  <c r="AA19" i="9"/>
  <c r="AA22" i="9" s="1"/>
  <c r="AX46" i="14"/>
  <c r="BC46" i="14"/>
  <c r="BA46" i="14"/>
  <c r="AZ46" i="14"/>
  <c r="AW46" i="14"/>
  <c r="BB46" i="14"/>
  <c r="AY46" i="14"/>
  <c r="BH45" i="12"/>
  <c r="BH47" i="12" s="1"/>
  <c r="BI45" i="12"/>
  <c r="BI47" i="12" s="1"/>
  <c r="BJ45" i="12"/>
  <c r="BJ47" i="12" s="1"/>
  <c r="BK45" i="12"/>
  <c r="BK47" i="12" s="1"/>
  <c r="BG45" i="12"/>
  <c r="BG47" i="12" s="1"/>
  <c r="BL44" i="9"/>
  <c r="BL46" i="9" s="1"/>
  <c r="BJ44" i="9"/>
  <c r="BK44" i="9"/>
  <c r="BK46" i="9" s="1"/>
  <c r="BI44" i="9"/>
  <c r="BM44" i="9"/>
  <c r="BM46" i="9" s="1"/>
  <c r="AG27" i="9"/>
  <c r="AF27" i="9"/>
  <c r="AE27" i="9"/>
  <c r="AH27" i="9"/>
  <c r="AI27" i="9"/>
  <c r="V27" i="9"/>
  <c r="W27" i="9"/>
  <c r="Y29" i="16"/>
  <c r="AB29" i="16"/>
  <c r="Z29" i="16"/>
  <c r="AE29" i="16"/>
  <c r="AC29" i="16"/>
  <c r="AA29" i="16"/>
  <c r="AD29" i="16"/>
  <c r="AB29" i="14"/>
  <c r="Y29" i="14"/>
  <c r="AD29" i="14"/>
  <c r="Z29" i="14"/>
  <c r="AC29" i="14"/>
  <c r="AA29" i="14"/>
  <c r="X29" i="14"/>
  <c r="AM28" i="12"/>
  <c r="AM31" i="12" s="1"/>
  <c r="AQ28" i="12"/>
  <c r="AQ31" i="12" s="1"/>
  <c r="AP28" i="12"/>
  <c r="AP31" i="12" s="1"/>
  <c r="AH28" i="12"/>
  <c r="AH31" i="12" s="1"/>
  <c r="AI28" i="12"/>
  <c r="AI31" i="12" s="1"/>
  <c r="AN28" i="12"/>
  <c r="AN31" i="12" s="1"/>
  <c r="AF28" i="12"/>
  <c r="AJ28" i="12"/>
  <c r="AJ31" i="12" s="1"/>
  <c r="AO28" i="12"/>
  <c r="AO31" i="12" s="1"/>
  <c r="AG28" i="12"/>
  <c r="AK28" i="12"/>
  <c r="AK31" i="12" s="1"/>
  <c r="AL28" i="12"/>
  <c r="AL31" i="12" s="1"/>
  <c r="AE28" i="12"/>
  <c r="Y59" i="14"/>
  <c r="AA59" i="14"/>
  <c r="X59" i="14"/>
  <c r="AB59" i="14"/>
  <c r="Z59" i="14"/>
  <c r="AC59" i="14"/>
  <c r="AD59" i="14"/>
  <c r="BM58" i="12"/>
  <c r="BI58" i="12"/>
  <c r="BJ58" i="12"/>
  <c r="BL58" i="12"/>
  <c r="BK58" i="12"/>
  <c r="AU57" i="9"/>
  <c r="AR57" i="9"/>
  <c r="AT57" i="9"/>
  <c r="AS57" i="9"/>
  <c r="AQ57" i="9"/>
  <c r="AC28" i="16"/>
  <c r="Y28" i="16"/>
  <c r="AE28" i="16"/>
  <c r="AD28" i="16"/>
  <c r="Z28" i="16"/>
  <c r="AA28" i="16"/>
  <c r="AB28" i="16"/>
  <c r="AC28" i="14"/>
  <c r="X28" i="14"/>
  <c r="AA28" i="14"/>
  <c r="AB28" i="14"/>
  <c r="AD28" i="14"/>
  <c r="Y28" i="14"/>
  <c r="Z28" i="14"/>
  <c r="AZ50" i="9"/>
  <c r="AY50" i="9"/>
  <c r="BB50" i="9"/>
  <c r="BA50" i="9"/>
  <c r="BC50" i="9"/>
  <c r="AQ51" i="12"/>
  <c r="AU51" i="12"/>
  <c r="AR51" i="12"/>
  <c r="AT51" i="12"/>
  <c r="AS51" i="12"/>
  <c r="AB52" i="14"/>
  <c r="Y52" i="14"/>
  <c r="Z52" i="14"/>
  <c r="AA52" i="14"/>
  <c r="AD52" i="14"/>
  <c r="AC52" i="14"/>
  <c r="X52" i="14"/>
  <c r="Y3" i="16"/>
  <c r="AA3" i="16"/>
  <c r="AB3" i="16"/>
  <c r="AD3" i="16"/>
  <c r="AC3" i="16"/>
  <c r="Z3" i="16"/>
  <c r="O2" i="9"/>
  <c r="S2" i="9"/>
  <c r="T2" i="9"/>
  <c r="P2" i="9"/>
  <c r="R2" i="12"/>
  <c r="Q2" i="12"/>
  <c r="X3" i="14"/>
  <c r="X8" i="14" s="1"/>
  <c r="Y3" i="14"/>
  <c r="Y8" i="14" s="1"/>
  <c r="Z3" i="14"/>
  <c r="Z8" i="14" s="1"/>
  <c r="AC3" i="14"/>
  <c r="AA3" i="14"/>
  <c r="AA8" i="14" s="1"/>
  <c r="AD3" i="14"/>
  <c r="AB3" i="14"/>
  <c r="AB35" i="16"/>
  <c r="AC35" i="16"/>
  <c r="AC40" i="16" s="1"/>
  <c r="Z35" i="16"/>
  <c r="AE35" i="16"/>
  <c r="Y35" i="16"/>
  <c r="Y40" i="16" s="1"/>
  <c r="AD35" i="16"/>
  <c r="AD40" i="16" s="1"/>
  <c r="AA35" i="16"/>
  <c r="AJ33" i="9"/>
  <c r="AK33" i="9"/>
  <c r="AG33" i="9"/>
  <c r="AI33" i="9"/>
  <c r="AH33" i="9"/>
  <c r="Y35" i="14"/>
  <c r="AA35" i="14"/>
  <c r="AC35" i="14"/>
  <c r="AD35" i="14"/>
  <c r="X35" i="14"/>
  <c r="Z35" i="14"/>
  <c r="AB35" i="14"/>
  <c r="Y34" i="12"/>
  <c r="P34" i="12"/>
  <c r="AC34" i="12"/>
  <c r="AB34" i="12"/>
  <c r="Z34" i="12"/>
  <c r="AA34" i="12"/>
  <c r="Q34" i="12"/>
  <c r="O34" i="12"/>
  <c r="AE40" i="16" l="1"/>
  <c r="Z40" i="16"/>
  <c r="AB40" i="16"/>
  <c r="AA40" i="16"/>
  <c r="P7" i="9"/>
  <c r="AC8" i="14"/>
  <c r="AD24" i="16"/>
  <c r="O14" i="9"/>
  <c r="P14" i="9"/>
  <c r="AD8" i="14"/>
  <c r="X16" i="14"/>
  <c r="AE8" i="16"/>
  <c r="Y16" i="16"/>
  <c r="AE16" i="16"/>
  <c r="AD16" i="14"/>
  <c r="O7" i="9"/>
  <c r="AB8" i="14"/>
  <c r="AE24" i="16"/>
  <c r="AB16" i="14"/>
  <c r="AC16" i="14"/>
  <c r="AD16" i="16"/>
  <c r="AC16" i="16"/>
  <c r="L39" i="12"/>
  <c r="Y48" i="14"/>
  <c r="Y8" i="16"/>
  <c r="AA8" i="16"/>
  <c r="AB8" i="16"/>
  <c r="AD8" i="16"/>
  <c r="AC8" i="16"/>
  <c r="Z8" i="16"/>
  <c r="L15" i="12"/>
  <c r="AC48" i="14"/>
  <c r="AB48" i="14"/>
  <c r="X48" i="14"/>
  <c r="Z48" i="14"/>
  <c r="AA48" i="14"/>
  <c r="AD48" i="14"/>
  <c r="BI46" i="9"/>
  <c r="BJ46" i="9"/>
  <c r="AB24" i="16"/>
  <c r="Y56" i="14"/>
  <c r="AB56" i="14"/>
  <c r="Z56" i="14"/>
  <c r="AA56" i="14"/>
  <c r="AD56" i="14"/>
  <c r="AC56" i="14"/>
  <c r="X56" i="14"/>
  <c r="Y40" i="14"/>
  <c r="AC40" i="14"/>
  <c r="X40" i="14"/>
  <c r="AB40" i="14"/>
  <c r="AA40" i="14"/>
  <c r="AD40" i="14"/>
  <c r="Z40" i="14"/>
  <c r="AA32" i="14"/>
  <c r="Y32" i="14"/>
  <c r="X32" i="14"/>
  <c r="Z32" i="14"/>
  <c r="AD32" i="14"/>
  <c r="AB32" i="14"/>
  <c r="AC32" i="14"/>
  <c r="AD32" i="16"/>
  <c r="Z32" i="16"/>
  <c r="AA32" i="16"/>
  <c r="AC32" i="16"/>
  <c r="Y32" i="16"/>
  <c r="AE32" i="16"/>
  <c r="AB32" i="16"/>
  <c r="Y64" i="14"/>
  <c r="AA64" i="14"/>
  <c r="X64" i="14"/>
  <c r="AB64" i="14"/>
  <c r="Z64" i="14"/>
  <c r="AC64" i="14"/>
  <c r="AD64" i="14"/>
  <c r="Y24" i="14"/>
  <c r="Y24" i="16"/>
  <c r="Z24" i="16"/>
  <c r="AA24" i="16"/>
  <c r="X24" i="14"/>
  <c r="Z24" i="14"/>
  <c r="X67" i="14" l="1"/>
  <c r="Y67" i="14"/>
  <c r="Z67" i="14"/>
  <c r="AD11" i="5" l="1"/>
  <c r="AE11" i="15"/>
  <c r="AF5" i="15"/>
  <c r="AD5" i="15"/>
  <c r="AE5" i="15"/>
  <c r="X4" i="5"/>
  <c r="X8" i="5" s="1"/>
  <c r="AB4" i="5"/>
  <c r="Y4" i="15"/>
  <c r="Y8" i="15" s="1"/>
  <c r="AC4" i="15"/>
  <c r="AC8" i="15" s="1"/>
  <c r="AC11" i="15"/>
  <c r="AD11" i="15"/>
  <c r="Y12" i="15"/>
  <c r="Y16" i="15" s="1"/>
  <c r="AC12" i="15"/>
  <c r="AD12" i="15"/>
  <c r="AE12" i="15"/>
  <c r="X12" i="5"/>
  <c r="X16" i="5" s="1"/>
  <c r="AC12" i="5"/>
  <c r="AD12" i="5"/>
  <c r="AB12" i="5"/>
  <c r="AD5" i="5"/>
  <c r="AC5" i="5"/>
  <c r="W3" i="11"/>
  <c r="AB11" i="5"/>
  <c r="AC11" i="5"/>
  <c r="AJ28" i="11"/>
  <c r="AE28" i="11"/>
  <c r="AD28" i="11"/>
  <c r="AV46" i="5"/>
  <c r="AK28" i="11"/>
  <c r="AF28" i="11"/>
  <c r="AH28" i="11"/>
  <c r="AI28" i="11"/>
  <c r="AG28" i="11"/>
  <c r="AD29" i="5"/>
  <c r="AB29" i="5"/>
  <c r="AC29" i="5"/>
  <c r="W10" i="11"/>
  <c r="V10" i="11"/>
  <c r="X10" i="11"/>
  <c r="Y10" i="11"/>
  <c r="U10" i="11"/>
  <c r="Z10" i="11"/>
  <c r="AD60" i="5"/>
  <c r="AC52" i="5"/>
  <c r="AB52" i="5"/>
  <c r="AD52" i="5"/>
  <c r="AX46" i="5"/>
  <c r="AW46" i="5"/>
  <c r="AB60" i="5"/>
  <c r="AC60" i="5"/>
  <c r="AB59" i="5"/>
  <c r="AC59" i="5"/>
  <c r="AD59" i="5"/>
  <c r="T11" i="11"/>
  <c r="T15" i="11" s="1"/>
  <c r="W11" i="11"/>
  <c r="U11" i="11"/>
  <c r="V11" i="11"/>
  <c r="AD51" i="5"/>
  <c r="AB51" i="5"/>
  <c r="AC51" i="5"/>
  <c r="X13" i="11"/>
  <c r="V13" i="11"/>
  <c r="W13" i="11"/>
  <c r="AA13" i="11"/>
  <c r="AB13" i="11"/>
  <c r="Y13" i="11"/>
  <c r="Z13" i="11"/>
  <c r="AW38" i="5"/>
  <c r="AX38" i="5"/>
  <c r="AV38" i="5"/>
  <c r="AW70" i="5"/>
  <c r="AX70" i="5"/>
  <c r="AV70" i="5"/>
  <c r="W5" i="11"/>
  <c r="X5" i="11"/>
  <c r="Z5" i="11"/>
  <c r="Y5" i="11"/>
  <c r="AI45" i="5"/>
  <c r="AG45" i="5"/>
  <c r="AH45" i="5"/>
  <c r="AV54" i="5"/>
  <c r="AW54" i="5"/>
  <c r="AX54" i="5"/>
  <c r="AG69" i="5"/>
  <c r="AI69" i="5"/>
  <c r="AH69" i="5"/>
  <c r="AC19" i="15"/>
  <c r="AE19" i="15"/>
  <c r="AD19" i="15"/>
  <c r="AC19" i="5"/>
  <c r="AD19" i="5"/>
  <c r="AB19" i="5"/>
  <c r="X18" i="11"/>
  <c r="X23" i="11" s="1"/>
  <c r="Y18" i="11"/>
  <c r="Z18" i="11"/>
  <c r="AA18" i="11"/>
  <c r="AD35" i="5"/>
  <c r="AC35" i="5"/>
  <c r="AB35" i="5"/>
  <c r="AF34" i="11"/>
  <c r="AF39" i="11" s="1"/>
  <c r="AE34" i="11"/>
  <c r="AE39" i="11" s="1"/>
  <c r="Y34" i="11"/>
  <c r="Y39" i="11" s="1"/>
  <c r="AC34" i="11"/>
  <c r="AC39" i="11" s="1"/>
  <c r="Z34" i="11"/>
  <c r="Z39" i="11" s="1"/>
  <c r="AB34" i="11"/>
  <c r="AB39" i="11" s="1"/>
  <c r="AA34" i="11"/>
  <c r="AA39" i="11" s="1"/>
  <c r="AD34" i="11"/>
  <c r="AD39" i="11" s="1"/>
  <c r="AD67" i="5"/>
  <c r="AC67" i="5"/>
  <c r="AB67" i="5"/>
  <c r="AI37" i="5"/>
  <c r="AG37" i="5"/>
  <c r="AH37" i="5"/>
  <c r="AE20" i="15"/>
  <c r="AD20" i="15"/>
  <c r="AC20" i="15"/>
  <c r="AD20" i="5"/>
  <c r="AC20" i="5"/>
  <c r="AB20" i="5"/>
  <c r="Y19" i="11"/>
  <c r="AA19" i="11"/>
  <c r="Z19" i="11"/>
  <c r="AB43" i="5"/>
  <c r="AD43" i="5"/>
  <c r="AC43" i="5"/>
  <c r="AC42" i="11"/>
  <c r="AC47" i="11" s="1"/>
  <c r="AD42" i="11"/>
  <c r="AD47" i="11" s="1"/>
  <c r="Y42" i="11"/>
  <c r="Y47" i="11" s="1"/>
  <c r="AF42" i="11"/>
  <c r="AF47" i="11" s="1"/>
  <c r="Z42" i="11"/>
  <c r="Z47" i="11" s="1"/>
  <c r="AE42" i="11"/>
  <c r="AE47" i="11" s="1"/>
  <c r="AB42" i="11"/>
  <c r="AB47" i="11" s="1"/>
  <c r="X42" i="11"/>
  <c r="X47" i="11" s="1"/>
  <c r="AA42" i="11"/>
  <c r="AA47" i="11" s="1"/>
  <c r="AC36" i="5"/>
  <c r="AD36" i="5"/>
  <c r="AB36" i="5"/>
  <c r="AI61" i="5"/>
  <c r="AG61" i="5"/>
  <c r="AH61" i="5"/>
  <c r="AC12" i="11"/>
  <c r="AD13" i="15"/>
  <c r="AE13" i="15"/>
  <c r="AF13" i="15"/>
  <c r="AB13" i="5"/>
  <c r="AD13" i="5"/>
  <c r="AC13" i="5"/>
  <c r="AI53" i="5"/>
  <c r="AG53" i="5"/>
  <c r="AH53" i="5"/>
  <c r="AD21" i="15"/>
  <c r="AC21" i="15"/>
  <c r="Y21" i="15"/>
  <c r="Y24" i="15" s="1"/>
  <c r="AA21" i="15"/>
  <c r="AA24" i="15" s="1"/>
  <c r="AA75" i="15" s="1"/>
  <c r="AB21" i="15"/>
  <c r="AB24" i="15" s="1"/>
  <c r="AB75" i="15" s="1"/>
  <c r="AE21" i="15"/>
  <c r="Z21" i="15"/>
  <c r="Z24" i="15" s="1"/>
  <c r="Z75" i="15" s="1"/>
  <c r="AD21" i="5"/>
  <c r="AC21" i="5"/>
  <c r="AB21" i="5"/>
  <c r="AC44" i="5"/>
  <c r="AD44" i="5"/>
  <c r="AB44" i="5"/>
  <c r="W2" i="11"/>
  <c r="U2" i="11"/>
  <c r="U7" i="11" s="1"/>
  <c r="V2" i="11"/>
  <c r="V7" i="11" s="1"/>
  <c r="X2" i="11"/>
  <c r="Y2" i="11"/>
  <c r="AB68" i="5"/>
  <c r="AD68" i="5"/>
  <c r="AC68" i="5"/>
  <c r="AX62" i="5"/>
  <c r="AW62" i="5"/>
  <c r="AV62" i="5"/>
  <c r="AC27" i="5"/>
  <c r="AB27" i="5"/>
  <c r="AD27" i="5"/>
  <c r="AA26" i="11"/>
  <c r="AD26" i="11"/>
  <c r="AB26" i="11"/>
  <c r="AC26" i="11"/>
  <c r="X4" i="11"/>
  <c r="Y4" i="11"/>
  <c r="Z4" i="11"/>
  <c r="W4" i="11"/>
  <c r="AA5" i="5"/>
  <c r="AB5" i="5"/>
  <c r="AC28" i="5"/>
  <c r="AB28" i="5"/>
  <c r="AD28" i="5"/>
  <c r="AD27" i="11"/>
  <c r="AC27" i="11"/>
  <c r="Y27" i="11"/>
  <c r="Y31" i="11" s="1"/>
  <c r="AA27" i="11"/>
  <c r="AB27" i="11"/>
  <c r="Z27" i="11"/>
  <c r="Z31" i="11" s="1"/>
  <c r="AD28" i="15"/>
  <c r="AD32" i="15" s="1"/>
  <c r="AE28" i="15"/>
  <c r="AE32" i="15" s="1"/>
  <c r="AC28" i="15"/>
  <c r="AC32" i="15" s="1"/>
  <c r="AC16" i="15" l="1"/>
  <c r="X75" i="5"/>
  <c r="AB16" i="5"/>
  <c r="AE16" i="15"/>
  <c r="Y75" i="15"/>
  <c r="AC16" i="5"/>
  <c r="AD16" i="5"/>
  <c r="AD16" i="15"/>
  <c r="AB64" i="5"/>
  <c r="AC64" i="5"/>
  <c r="AD64" i="5"/>
  <c r="U15" i="11"/>
  <c r="AD56" i="5"/>
  <c r="AB56" i="5"/>
  <c r="AC56" i="5"/>
  <c r="X15" i="11"/>
  <c r="Y15" i="11"/>
  <c r="Z15" i="11"/>
  <c r="V15" i="11"/>
  <c r="W15" i="11"/>
  <c r="AC40" i="5"/>
  <c r="AE24" i="15"/>
  <c r="AC24" i="5"/>
  <c r="AD24" i="5"/>
  <c r="AB24" i="5"/>
  <c r="Y23" i="11"/>
  <c r="Z23" i="11"/>
  <c r="AA23" i="11"/>
  <c r="AB40" i="5"/>
  <c r="AD40" i="5"/>
  <c r="AD24" i="15"/>
  <c r="AC24" i="15"/>
  <c r="AD72" i="5"/>
  <c r="AC72" i="5"/>
  <c r="AB72" i="5"/>
  <c r="W7" i="11"/>
  <c r="AD48" i="5"/>
  <c r="AC48" i="5"/>
  <c r="AB48" i="5"/>
  <c r="AC32" i="5"/>
  <c r="AB32" i="5"/>
  <c r="AD32" i="5"/>
  <c r="AA31" i="11"/>
  <c r="AD31" i="11"/>
  <c r="AB31" i="11"/>
  <c r="AC31" i="11"/>
  <c r="X7" i="11"/>
  <c r="Y7" i="11"/>
  <c r="AC75" i="15" l="1"/>
  <c r="AK61" i="5" l="1"/>
  <c r="AJ61" i="5"/>
  <c r="AJ45" i="5" l="1"/>
  <c r="AK45" i="5"/>
  <c r="AK37" i="5"/>
  <c r="AJ37" i="5"/>
  <c r="AE29" i="5"/>
  <c r="AF29" i="5"/>
  <c r="AZ62" i="5"/>
  <c r="AY62" i="5"/>
  <c r="AJ69" i="5"/>
  <c r="AK69" i="5"/>
  <c r="AZ54" i="5"/>
  <c r="AY54" i="5"/>
  <c r="AK53" i="5"/>
  <c r="AJ53" i="5"/>
  <c r="AH5" i="15"/>
  <c r="AG5" i="15"/>
  <c r="AE5" i="5"/>
  <c r="AF5" i="5"/>
  <c r="AF21" i="15"/>
  <c r="AG21" i="15"/>
  <c r="AE21" i="5"/>
  <c r="AF21" i="5"/>
  <c r="AH13" i="15"/>
  <c r="AG13" i="15"/>
  <c r="AF13" i="5"/>
  <c r="AE13" i="5"/>
  <c r="AF51" i="5"/>
  <c r="AE51" i="5"/>
  <c r="AG11" i="15"/>
  <c r="AF11" i="15"/>
  <c r="AE11" i="5"/>
  <c r="AF11" i="5"/>
  <c r="AF43" i="5"/>
  <c r="AE43" i="5"/>
  <c r="AE35" i="5"/>
  <c r="AF35" i="5"/>
  <c r="AF60" i="5"/>
  <c r="AE60" i="5"/>
  <c r="AG20" i="15"/>
  <c r="AF20" i="15"/>
  <c r="AF20" i="5"/>
  <c r="AE20" i="5"/>
  <c r="AF28" i="15"/>
  <c r="AG28" i="15"/>
  <c r="AE28" i="5"/>
  <c r="AF28" i="5"/>
  <c r="AE59" i="5"/>
  <c r="AF59" i="5"/>
  <c r="AE68" i="5"/>
  <c r="AF68" i="5"/>
  <c r="AF19" i="5"/>
  <c r="AE19" i="5"/>
  <c r="AE67" i="5"/>
  <c r="AF67" i="5"/>
  <c r="AF44" i="5"/>
  <c r="AE44" i="5"/>
  <c r="AE36" i="5"/>
  <c r="AF36" i="5"/>
  <c r="AF52" i="5"/>
  <c r="AE52" i="5"/>
  <c r="AY38" i="5"/>
  <c r="AZ38" i="5"/>
  <c r="AF27" i="5"/>
  <c r="AE27" i="5"/>
  <c r="AZ70" i="5" l="1"/>
  <c r="AY70" i="5"/>
  <c r="AY46" i="5"/>
  <c r="AZ46" i="5"/>
  <c r="AF24" i="15"/>
  <c r="AG24" i="15"/>
  <c r="AF56" i="5"/>
  <c r="AF48" i="5"/>
  <c r="AE48" i="5"/>
  <c r="AE40" i="5"/>
  <c r="AF40" i="5"/>
  <c r="AE56" i="5"/>
  <c r="AE64" i="5"/>
  <c r="AF64" i="5"/>
  <c r="AF24" i="5"/>
  <c r="AE24" i="5"/>
  <c r="AF32" i="5"/>
  <c r="AE72" i="5"/>
  <c r="AF72" i="5"/>
  <c r="AE32" i="5"/>
  <c r="AE29" i="12" l="1"/>
  <c r="AE31" i="12" s="1"/>
  <c r="Q29" i="12"/>
  <c r="R29" i="12"/>
  <c r="Y29" i="12"/>
  <c r="AB29" i="12"/>
  <c r="S29" i="12"/>
  <c r="M29" i="12"/>
  <c r="O29" i="12"/>
  <c r="AG29" i="12"/>
  <c r="AG31" i="12" s="1"/>
  <c r="AK28" i="9"/>
  <c r="AK30" i="9" s="1"/>
  <c r="AJ28" i="9"/>
  <c r="AJ30" i="9" s="1"/>
  <c r="AM28" i="9"/>
  <c r="AM30" i="9" s="1"/>
  <c r="AL28" i="9"/>
  <c r="AL30" i="9" s="1"/>
  <c r="AA28" i="9"/>
  <c r="AC28" i="9"/>
  <c r="AB28" i="9"/>
  <c r="AD28" i="9"/>
  <c r="AG28" i="9"/>
  <c r="AG30" i="9" s="1"/>
  <c r="AF28" i="9"/>
  <c r="AF30" i="9" s="1"/>
  <c r="AI28" i="9"/>
  <c r="AI30" i="9" s="1"/>
  <c r="AH28" i="9"/>
  <c r="AH30" i="9" s="1"/>
  <c r="AE28" i="9"/>
  <c r="AE30" i="9" s="1"/>
  <c r="Z28" i="9"/>
  <c r="AD5" i="9"/>
  <c r="AD7" i="9" s="1"/>
  <c r="X5" i="9"/>
  <c r="X7" i="9" s="1"/>
  <c r="V5" i="9"/>
  <c r="V7" i="9" s="1"/>
  <c r="S5" i="9"/>
  <c r="S7" i="9" s="1"/>
  <c r="R5" i="9"/>
  <c r="Z5" i="9"/>
  <c r="Z7" i="9" s="1"/>
  <c r="U5" i="9"/>
  <c r="AA5" i="9"/>
  <c r="AA7" i="9" s="1"/>
  <c r="AB5" i="9"/>
  <c r="AB7" i="9" s="1"/>
  <c r="AC5" i="9"/>
  <c r="AC7" i="9" s="1"/>
  <c r="W5" i="9"/>
  <c r="W7" i="9" s="1"/>
  <c r="Y5" i="9"/>
  <c r="Y7" i="9" s="1"/>
  <c r="T5" i="9"/>
  <c r="T7" i="9" s="1"/>
  <c r="Q5" i="9"/>
  <c r="AG6" i="16"/>
  <c r="AF6" i="16"/>
  <c r="Y5" i="12"/>
  <c r="Y7" i="12" s="1"/>
  <c r="T5" i="12"/>
  <c r="X5" i="12"/>
  <c r="X7" i="12" s="1"/>
  <c r="U5" i="12"/>
  <c r="AA5" i="12"/>
  <c r="AA7" i="12" s="1"/>
  <c r="V5" i="12"/>
  <c r="V7" i="12" s="1"/>
  <c r="R5" i="12"/>
  <c r="Z5" i="12"/>
  <c r="Z7" i="12" s="1"/>
  <c r="AB5" i="12"/>
  <c r="AB7" i="12" s="1"/>
  <c r="W5" i="12"/>
  <c r="W7" i="12" s="1"/>
  <c r="O5" i="12"/>
  <c r="Q5" i="12"/>
  <c r="P5" i="12"/>
  <c r="N5" i="12"/>
  <c r="S5" i="12"/>
  <c r="N9" i="9"/>
  <c r="N2" i="9"/>
  <c r="N7" i="9" s="1"/>
  <c r="BD46" i="14"/>
  <c r="BE46" i="14"/>
  <c r="BD44" i="9"/>
  <c r="BA45" i="12"/>
  <c r="BA47" i="12" s="1"/>
  <c r="AZ45" i="12"/>
  <c r="AZ47" i="12" s="1"/>
  <c r="AL45" i="12"/>
  <c r="AX45" i="12"/>
  <c r="AX47" i="12" s="1"/>
  <c r="AP45" i="12"/>
  <c r="BC45" i="12"/>
  <c r="BC47" i="12" s="1"/>
  <c r="BB45" i="12"/>
  <c r="BB47" i="12" s="1"/>
  <c r="AT45" i="12"/>
  <c r="BE45" i="12"/>
  <c r="BE47" i="12" s="1"/>
  <c r="N26" i="9"/>
  <c r="N30" i="9" s="1"/>
  <c r="AU44" i="9" l="1"/>
  <c r="AV44" i="9"/>
  <c r="AU45" i="12"/>
  <c r="AG45" i="12"/>
  <c r="BD45" i="12"/>
  <c r="BD47" i="12" s="1"/>
  <c r="AO45" i="12"/>
  <c r="AH45" i="12"/>
  <c r="AW45" i="12"/>
  <c r="AW47" i="12" s="1"/>
  <c r="BF45" i="12"/>
  <c r="BF47" i="12" s="1"/>
  <c r="AK45" i="12"/>
  <c r="AY45" i="12"/>
  <c r="AY47" i="12" s="1"/>
  <c r="AJ45" i="12"/>
  <c r="AS45" i="12"/>
  <c r="AM45" i="12"/>
  <c r="X29" i="12"/>
  <c r="AC29" i="12"/>
  <c r="P29" i="12"/>
  <c r="U29" i="12"/>
  <c r="AD29" i="12"/>
  <c r="AF29" i="12"/>
  <c r="AF31" i="12" s="1"/>
  <c r="BH44" i="9"/>
  <c r="BH46" i="9" s="1"/>
  <c r="AX44" i="9"/>
  <c r="AY44" i="9"/>
  <c r="BB44" i="9"/>
  <c r="AW44" i="9"/>
  <c r="BF44" i="9"/>
  <c r="BF46" i="9" s="1"/>
  <c r="BC44" i="9"/>
  <c r="AI45" i="12"/>
  <c r="AR45" i="12"/>
  <c r="AQ45" i="12"/>
  <c r="AQ47" i="12" s="1"/>
  <c r="AZ44" i="9"/>
  <c r="BA44" i="9"/>
  <c r="AN45" i="12"/>
  <c r="BE44" i="9"/>
  <c r="T12" i="9"/>
  <c r="T14" i="9" s="1"/>
  <c r="L29" i="12"/>
  <c r="L31" i="12" s="1"/>
  <c r="AA29" i="12"/>
  <c r="N29" i="12"/>
  <c r="Z29" i="12"/>
  <c r="T29" i="12"/>
  <c r="V29" i="12"/>
  <c r="Q12" i="9"/>
  <c r="AA13" i="12"/>
  <c r="AA15" i="12" s="1"/>
  <c r="V13" i="12"/>
  <c r="U13" i="12"/>
  <c r="Z13" i="12"/>
  <c r="Z15" i="12" s="1"/>
  <c r="Y13" i="12"/>
  <c r="Y15" i="12" s="1"/>
  <c r="X13" i="12"/>
  <c r="AB13" i="12"/>
  <c r="AB15" i="12" s="1"/>
  <c r="S13" i="12"/>
  <c r="T13" i="12"/>
  <c r="W13" i="12"/>
  <c r="R13" i="12"/>
  <c r="Q13" i="12"/>
  <c r="P13" i="12"/>
  <c r="O13" i="12"/>
  <c r="N13" i="12"/>
  <c r="Z12" i="9"/>
  <c r="Z14" i="9" s="1"/>
  <c r="V12" i="9"/>
  <c r="V14" i="9" s="1"/>
  <c r="W12" i="9"/>
  <c r="W14" i="9" s="1"/>
  <c r="Y12" i="9"/>
  <c r="AB12" i="9"/>
  <c r="AB14" i="9" s="1"/>
  <c r="AA12" i="9"/>
  <c r="AA14" i="9" s="1"/>
  <c r="X12" i="9"/>
  <c r="AD12" i="9"/>
  <c r="AD14" i="9" s="1"/>
  <c r="AC12" i="9"/>
  <c r="AC14" i="9" s="1"/>
  <c r="S12" i="9"/>
  <c r="S14" i="9" s="1"/>
  <c r="U12" i="9"/>
  <c r="U14" i="9" s="1"/>
  <c r="AL36" i="9"/>
  <c r="AF36" i="9"/>
  <c r="AH36" i="9"/>
  <c r="AN36" i="9"/>
  <c r="AB36" i="9"/>
  <c r="AA36" i="9"/>
  <c r="AD36" i="9"/>
  <c r="AE36" i="9"/>
  <c r="AI36" i="9"/>
  <c r="AG36" i="9"/>
  <c r="AM36" i="9"/>
  <c r="AK36" i="9"/>
  <c r="AJ36" i="9"/>
  <c r="AC36" i="9"/>
  <c r="AH37" i="12"/>
  <c r="AH39" i="12" s="1"/>
  <c r="AK37" i="12"/>
  <c r="AK39" i="12" s="1"/>
  <c r="U37" i="12"/>
  <c r="AF37" i="12"/>
  <c r="AF39" i="12" s="1"/>
  <c r="AG37" i="12"/>
  <c r="AG39" i="12" s="1"/>
  <c r="X37" i="12"/>
  <c r="AD37" i="12"/>
  <c r="AD39" i="12" s="1"/>
  <c r="AC37" i="12"/>
  <c r="AC39" i="12" s="1"/>
  <c r="O37" i="12"/>
  <c r="N37" i="12"/>
  <c r="P37" i="12"/>
  <c r="Q37" i="12"/>
  <c r="M37" i="12"/>
  <c r="V37" i="12"/>
  <c r="Y37" i="12"/>
  <c r="AA37" i="12"/>
  <c r="S37" i="12"/>
  <c r="AJ37" i="12"/>
  <c r="AJ39" i="12" s="1"/>
  <c r="W37" i="12"/>
  <c r="R37" i="12"/>
  <c r="AE37" i="12"/>
  <c r="AE39" i="12" s="1"/>
  <c r="T37" i="12"/>
  <c r="AB37" i="12"/>
  <c r="Z37" i="12"/>
  <c r="AI37" i="12"/>
  <c r="AI39" i="12" s="1"/>
  <c r="AL37" i="12"/>
  <c r="AL39" i="12" s="1"/>
  <c r="BD54" i="14"/>
  <c r="BE54" i="14"/>
  <c r="AP53" i="12"/>
  <c r="BH53" i="12"/>
  <c r="BH55" i="12" s="1"/>
  <c r="BG53" i="12"/>
  <c r="BG55" i="12" s="1"/>
  <c r="BE53" i="12"/>
  <c r="BE55" i="12" s="1"/>
  <c r="BB53" i="12"/>
  <c r="BB55" i="12" s="1"/>
  <c r="AX53" i="12"/>
  <c r="AQ53" i="12"/>
  <c r="AR53" i="12"/>
  <c r="BC53" i="12"/>
  <c r="BC55" i="12" s="1"/>
  <c r="BA53" i="12"/>
  <c r="BA55" i="12" s="1"/>
  <c r="AM53" i="12"/>
  <c r="AL53" i="12"/>
  <c r="AN53" i="12"/>
  <c r="AS53" i="12"/>
  <c r="BI53" i="12"/>
  <c r="BI55" i="12" s="1"/>
  <c r="AU53" i="12"/>
  <c r="AU55" i="12" s="1"/>
  <c r="AW53" i="12"/>
  <c r="BF53" i="12"/>
  <c r="BF55" i="12" s="1"/>
  <c r="AZ53" i="12"/>
  <c r="AT53" i="12"/>
  <c r="BD53" i="12"/>
  <c r="BD55" i="12" s="1"/>
  <c r="AY53" i="12"/>
  <c r="AO53" i="12"/>
  <c r="AK53" i="12"/>
  <c r="AV53" i="12"/>
  <c r="BJ53" i="12"/>
  <c r="BJ55" i="12" s="1"/>
  <c r="BB52" i="9"/>
  <c r="BH52" i="9"/>
  <c r="BH54" i="9" s="1"/>
  <c r="BK52" i="9"/>
  <c r="BK54" i="9" s="1"/>
  <c r="BF52" i="9"/>
  <c r="BF54" i="9" s="1"/>
  <c r="BG52" i="9"/>
  <c r="BG54" i="9" s="1"/>
  <c r="BJ52" i="9"/>
  <c r="BJ54" i="9" s="1"/>
  <c r="BI52" i="9"/>
  <c r="BI54" i="9" s="1"/>
  <c r="BL52" i="9"/>
  <c r="BL54" i="9" s="1"/>
  <c r="AY52" i="9"/>
  <c r="BD52" i="9"/>
  <c r="BE52" i="9"/>
  <c r="BA52" i="9"/>
  <c r="AZ52" i="9"/>
  <c r="BC52" i="9"/>
  <c r="BD62" i="14"/>
  <c r="BE62" i="14"/>
  <c r="BG61" i="12"/>
  <c r="BP61" i="12"/>
  <c r="BP63" i="12" s="1"/>
  <c r="BJ61" i="12"/>
  <c r="BQ61" i="12"/>
  <c r="BQ63" i="12" s="1"/>
  <c r="BH61" i="12"/>
  <c r="BM61" i="12"/>
  <c r="BL61" i="12"/>
  <c r="BU61" i="12"/>
  <c r="BU63" i="12" s="1"/>
  <c r="BI61" i="12"/>
  <c r="BI63" i="12" s="1"/>
  <c r="BC61" i="12"/>
  <c r="AV61" i="12"/>
  <c r="AY61" i="12"/>
  <c r="BK61" i="12"/>
  <c r="BA61" i="12"/>
  <c r="BF61" i="12"/>
  <c r="BD61" i="12"/>
  <c r="BO61" i="12"/>
  <c r="BO63" i="12" s="1"/>
  <c r="BR61" i="12"/>
  <c r="BR63" i="12" s="1"/>
  <c r="AZ61" i="12"/>
  <c r="AX61" i="12"/>
  <c r="BN61" i="12"/>
  <c r="BS61" i="12"/>
  <c r="BS63" i="12" s="1"/>
  <c r="BE61" i="12"/>
  <c r="BB61" i="12"/>
  <c r="BT61" i="12"/>
  <c r="BT63" i="12" s="1"/>
  <c r="AW61" i="12"/>
  <c r="BT60" i="9"/>
  <c r="BT62" i="9" s="1"/>
  <c r="BL60" i="9"/>
  <c r="BL62" i="9" s="1"/>
  <c r="BK60" i="9"/>
  <c r="BK62" i="9" s="1"/>
  <c r="BP60" i="9"/>
  <c r="BP62" i="9" s="1"/>
  <c r="BS60" i="9"/>
  <c r="BS62" i="9" s="1"/>
  <c r="BQ60" i="9"/>
  <c r="BQ62" i="9" s="1"/>
  <c r="BW60" i="9"/>
  <c r="BW62" i="9" s="1"/>
  <c r="BR60" i="9"/>
  <c r="BR62" i="9" s="1"/>
  <c r="BJ60" i="9"/>
  <c r="BJ62" i="9" s="1"/>
  <c r="BO60" i="9"/>
  <c r="BO62" i="9" s="1"/>
  <c r="BU60" i="9"/>
  <c r="BU62" i="9" s="1"/>
  <c r="BV60" i="9"/>
  <c r="BV62" i="9" s="1"/>
  <c r="BM60" i="9"/>
  <c r="BM62" i="9" s="1"/>
  <c r="BN60" i="9"/>
  <c r="BN62" i="9" s="1"/>
  <c r="M21" i="12"/>
  <c r="S21" i="12"/>
  <c r="S23" i="12" s="1"/>
  <c r="X21" i="12"/>
  <c r="X23" i="12" s="1"/>
  <c r="L21" i="12"/>
  <c r="N21" i="12"/>
  <c r="U21" i="12"/>
  <c r="U23" i="12" s="1"/>
  <c r="V21" i="12"/>
  <c r="V23" i="12" s="1"/>
  <c r="O21" i="12"/>
  <c r="Q21" i="12"/>
  <c r="R21" i="12"/>
  <c r="R23" i="12" s="1"/>
  <c r="W21" i="12"/>
  <c r="W23" i="12" s="1"/>
  <c r="T21" i="12"/>
  <c r="T23" i="12" s="1"/>
  <c r="P21" i="12"/>
  <c r="AF22" i="16"/>
  <c r="AG22" i="16"/>
  <c r="AG24" i="16" s="1"/>
  <c r="V20" i="9"/>
  <c r="V22" i="9" s="1"/>
  <c r="S20" i="9"/>
  <c r="S22" i="9" s="1"/>
  <c r="P20" i="9"/>
  <c r="P22" i="9" s="1"/>
  <c r="U20" i="9"/>
  <c r="U22" i="9" s="1"/>
  <c r="N20" i="9"/>
  <c r="Q20" i="9"/>
  <c r="X20" i="9"/>
  <c r="X22" i="9" s="1"/>
  <c r="T20" i="9"/>
  <c r="T22" i="9" s="1"/>
  <c r="W20" i="9"/>
  <c r="W22" i="9" s="1"/>
  <c r="Z20" i="9"/>
  <c r="Z22" i="9" s="1"/>
  <c r="Y20" i="9"/>
  <c r="Y22" i="9" s="1"/>
  <c r="O20" i="9"/>
  <c r="O22" i="9" s="1"/>
  <c r="R20" i="9"/>
  <c r="R22" i="9" s="1"/>
  <c r="N20" i="12"/>
  <c r="O20" i="12"/>
  <c r="Q20" i="12"/>
  <c r="P20" i="12"/>
  <c r="AF27" i="16"/>
  <c r="AG27" i="16"/>
  <c r="AE5" i="14"/>
  <c r="AF5" i="14"/>
  <c r="T4" i="12"/>
  <c r="T7" i="12" s="1"/>
  <c r="U4" i="12"/>
  <c r="U7" i="12" s="1"/>
  <c r="O4" i="12"/>
  <c r="P4" i="12"/>
  <c r="R4" i="12"/>
  <c r="R7" i="12" s="1"/>
  <c r="Q4" i="12"/>
  <c r="Q7" i="12" s="1"/>
  <c r="S4" i="12"/>
  <c r="S7" i="12" s="1"/>
  <c r="AJ42" i="12"/>
  <c r="AG42" i="12"/>
  <c r="AL42" i="12"/>
  <c r="AH42" i="12"/>
  <c r="AM42" i="12"/>
  <c r="AN42" i="12"/>
  <c r="R26" i="12"/>
  <c r="R31" i="12" s="1"/>
  <c r="U26" i="12"/>
  <c r="X26" i="12"/>
  <c r="P26" i="12"/>
  <c r="T26" i="12"/>
  <c r="S26" i="12"/>
  <c r="S31" i="12" s="1"/>
  <c r="W26" i="12"/>
  <c r="Q26" i="12"/>
  <c r="V26" i="12"/>
  <c r="AF27" i="14"/>
  <c r="AE27" i="14"/>
  <c r="Y25" i="9"/>
  <c r="X25" i="9"/>
  <c r="AB25" i="9"/>
  <c r="U25" i="9"/>
  <c r="W25" i="9"/>
  <c r="V25" i="9"/>
  <c r="Z25" i="9"/>
  <c r="AC25" i="9"/>
  <c r="AD25" i="9"/>
  <c r="AA25" i="9"/>
  <c r="AJ49" i="9"/>
  <c r="AP49" i="9"/>
  <c r="AN49" i="9"/>
  <c r="AM49" i="9"/>
  <c r="AL49" i="9"/>
  <c r="AO49" i="9"/>
  <c r="AK49" i="9"/>
  <c r="AH49" i="9"/>
  <c r="AI49" i="9"/>
  <c r="AG49" i="9"/>
  <c r="AK50" i="12"/>
  <c r="AP50" i="12"/>
  <c r="AR50" i="12"/>
  <c r="AO50" i="12"/>
  <c r="AQ50" i="12"/>
  <c r="AS50" i="12"/>
  <c r="AL50" i="12"/>
  <c r="AT50" i="12"/>
  <c r="AM50" i="12"/>
  <c r="AN50" i="12"/>
  <c r="AH50" i="12"/>
  <c r="AG50" i="12"/>
  <c r="AI50" i="12"/>
  <c r="AF50" i="12"/>
  <c r="AJ50" i="12"/>
  <c r="AF51" i="14"/>
  <c r="AE51" i="14"/>
  <c r="AG5" i="16"/>
  <c r="AF5" i="16"/>
  <c r="AF52" i="14"/>
  <c r="AE52" i="14"/>
  <c r="AV50" i="9"/>
  <c r="AR50" i="9"/>
  <c r="AT50" i="9"/>
  <c r="AO50" i="9"/>
  <c r="AM50" i="9"/>
  <c r="AX50" i="9"/>
  <c r="AK50" i="9"/>
  <c r="AH50" i="9"/>
  <c r="AE50" i="9"/>
  <c r="AE54" i="9" s="1"/>
  <c r="AW50" i="9"/>
  <c r="AP50" i="9"/>
  <c r="AL50" i="9"/>
  <c r="AU50" i="9"/>
  <c r="AQ50" i="9"/>
  <c r="AG50" i="9"/>
  <c r="AJ50" i="9"/>
  <c r="AF50" i="9"/>
  <c r="AF54" i="9" s="1"/>
  <c r="AI50" i="9"/>
  <c r="AN50" i="9"/>
  <c r="AS50" i="9"/>
  <c r="N3" i="12"/>
  <c r="M3" i="12"/>
  <c r="L3" i="12"/>
  <c r="AM51" i="12"/>
  <c r="AI51" i="12"/>
  <c r="AP51" i="12"/>
  <c r="AL51" i="12"/>
  <c r="AF51" i="12"/>
  <c r="AH51" i="12"/>
  <c r="AN51" i="12"/>
  <c r="AO51" i="12"/>
  <c r="AK51" i="12"/>
  <c r="AJ51" i="12"/>
  <c r="AG51" i="12"/>
  <c r="AO42" i="12"/>
  <c r="AP42" i="12"/>
  <c r="AP47" i="12" s="1"/>
  <c r="AK42" i="12"/>
  <c r="AI42" i="12"/>
  <c r="AE42" i="12"/>
  <c r="AC42" i="12"/>
  <c r="AA26" i="9"/>
  <c r="AB26" i="9"/>
  <c r="V26" i="9"/>
  <c r="U26" i="9"/>
  <c r="S26" i="9"/>
  <c r="S30" i="9" s="1"/>
  <c r="R26" i="9"/>
  <c r="R30" i="9" s="1"/>
  <c r="AC26" i="9"/>
  <c r="AD26" i="9"/>
  <c r="Z26" i="9"/>
  <c r="Y26" i="9"/>
  <c r="W26" i="9"/>
  <c r="X26" i="9"/>
  <c r="T26" i="9"/>
  <c r="T30" i="9" s="1"/>
  <c r="Q26" i="9"/>
  <c r="Q30" i="9" s="1"/>
  <c r="AF28" i="16"/>
  <c r="AG28" i="16"/>
  <c r="AF44" i="14"/>
  <c r="AE44" i="14"/>
  <c r="AS42" i="9"/>
  <c r="AP42" i="9"/>
  <c r="AX42" i="9"/>
  <c r="AO42" i="9"/>
  <c r="AQ42" i="9"/>
  <c r="AK42" i="9"/>
  <c r="AU42" i="9"/>
  <c r="AR42" i="9"/>
  <c r="AJ42" i="9"/>
  <c r="AW42" i="9"/>
  <c r="AM42" i="9"/>
  <c r="AV42" i="9"/>
  <c r="AG42" i="9"/>
  <c r="AF42" i="9"/>
  <c r="AF46" i="9" s="1"/>
  <c r="AL42" i="9"/>
  <c r="AT42" i="9"/>
  <c r="AI42" i="9"/>
  <c r="AH42" i="9"/>
  <c r="AN42" i="9"/>
  <c r="AE42" i="9"/>
  <c r="AE46" i="9" s="1"/>
  <c r="AD43" i="12"/>
  <c r="AB43" i="12"/>
  <c r="AG43" i="12"/>
  <c r="AJ43" i="12"/>
  <c r="AI43" i="12"/>
  <c r="AE43" i="12"/>
  <c r="AK43" i="12"/>
  <c r="AH43" i="12"/>
  <c r="AL43" i="12"/>
  <c r="AF43" i="12"/>
  <c r="AC43" i="12"/>
  <c r="M11" i="12"/>
  <c r="N11" i="12"/>
  <c r="AF42" i="12"/>
  <c r="AD42" i="12"/>
  <c r="AB42" i="12"/>
  <c r="AE43" i="14"/>
  <c r="AF43" i="14"/>
  <c r="AM41" i="9"/>
  <c r="AL41" i="9"/>
  <c r="AN41" i="9"/>
  <c r="AJ41" i="9"/>
  <c r="AG41" i="9"/>
  <c r="AI41" i="9"/>
  <c r="AH41" i="9"/>
  <c r="AK41" i="9"/>
  <c r="AP41" i="9"/>
  <c r="AO41" i="9"/>
  <c r="AE3" i="14"/>
  <c r="AF3" i="14"/>
  <c r="R2" i="9"/>
  <c r="R7" i="9" s="1"/>
  <c r="Q2" i="9"/>
  <c r="Q7" i="9" s="1"/>
  <c r="O2" i="12"/>
  <c r="L2" i="12"/>
  <c r="M2" i="12"/>
  <c r="N2" i="12"/>
  <c r="P2" i="12"/>
  <c r="AG3" i="16"/>
  <c r="AF3" i="16"/>
  <c r="AF59" i="14"/>
  <c r="AE59" i="14"/>
  <c r="AG57" i="9"/>
  <c r="AH57" i="9"/>
  <c r="AK57" i="9"/>
  <c r="AM57" i="9"/>
  <c r="AL57" i="9"/>
  <c r="AP57" i="9"/>
  <c r="AN57" i="9"/>
  <c r="AI57" i="9"/>
  <c r="AJ57" i="9"/>
  <c r="AO57" i="9"/>
  <c r="AR58" i="12"/>
  <c r="AR63" i="12" s="1"/>
  <c r="AM58" i="12"/>
  <c r="AM63" i="12" s="1"/>
  <c r="BE58" i="12"/>
  <c r="AQ58" i="12"/>
  <c r="AQ63" i="12" s="1"/>
  <c r="AU58" i="12"/>
  <c r="AV58" i="12"/>
  <c r="AN58" i="12"/>
  <c r="AN63" i="12" s="1"/>
  <c r="AY58" i="12"/>
  <c r="BD58" i="12"/>
  <c r="BF58" i="12"/>
  <c r="AK58" i="12"/>
  <c r="AK63" i="12" s="1"/>
  <c r="AJ58" i="12"/>
  <c r="AJ63" i="12" s="1"/>
  <c r="AI58" i="12"/>
  <c r="AI63" i="12" s="1"/>
  <c r="AH58" i="12"/>
  <c r="AH63" i="12" s="1"/>
  <c r="AG58" i="12"/>
  <c r="AG63" i="12" s="1"/>
  <c r="AX58" i="12"/>
  <c r="AO58" i="12"/>
  <c r="AO63" i="12" s="1"/>
  <c r="AW58" i="12"/>
  <c r="BA58" i="12"/>
  <c r="BB58" i="12"/>
  <c r="BH58" i="12"/>
  <c r="BG58" i="12"/>
  <c r="AT58" i="12"/>
  <c r="BC58" i="12"/>
  <c r="AL58" i="12"/>
  <c r="AL63" i="12" s="1"/>
  <c r="AP58" i="12"/>
  <c r="AP63" i="12" s="1"/>
  <c r="AZ58" i="12"/>
  <c r="AS58" i="12"/>
  <c r="AS63" i="12" s="1"/>
  <c r="AA34" i="9"/>
  <c r="AH34" i="9"/>
  <c r="AB34" i="9"/>
  <c r="P34" i="9"/>
  <c r="P38" i="9" s="1"/>
  <c r="T34" i="9"/>
  <c r="T38" i="9" s="1"/>
  <c r="Y34" i="9"/>
  <c r="R34" i="9"/>
  <c r="R38" i="9" s="1"/>
  <c r="S34" i="9"/>
  <c r="S38" i="9" s="1"/>
  <c r="Q34" i="9"/>
  <c r="Q38" i="9" s="1"/>
  <c r="AI34" i="9"/>
  <c r="AE34" i="9"/>
  <c r="V34" i="9"/>
  <c r="X34" i="9"/>
  <c r="W34" i="9"/>
  <c r="U34" i="9"/>
  <c r="AG34" i="9"/>
  <c r="AF34" i="9"/>
  <c r="AD34" i="9"/>
  <c r="AC34" i="9"/>
  <c r="Z34" i="9"/>
  <c r="AF36" i="14"/>
  <c r="AE36" i="14"/>
  <c r="Q35" i="12"/>
  <c r="O35" i="12"/>
  <c r="P35" i="12"/>
  <c r="M35" i="12"/>
  <c r="N35" i="12"/>
  <c r="R35" i="12"/>
  <c r="AG36" i="16"/>
  <c r="AF36" i="16"/>
  <c r="AF11" i="16"/>
  <c r="AG11" i="16"/>
  <c r="AF11" i="14"/>
  <c r="AE11" i="14"/>
  <c r="R9" i="9"/>
  <c r="Q9" i="9"/>
  <c r="P10" i="12"/>
  <c r="O10" i="12"/>
  <c r="Q10" i="12"/>
  <c r="N10" i="12"/>
  <c r="M10" i="12"/>
  <c r="N27" i="12"/>
  <c r="Q27" i="12"/>
  <c r="P27" i="12"/>
  <c r="O27" i="12"/>
  <c r="O31" i="12" s="1"/>
  <c r="M27" i="12"/>
  <c r="M31" i="12" s="1"/>
  <c r="AF28" i="14"/>
  <c r="AA33" i="9"/>
  <c r="AD33" i="9"/>
  <c r="AB33" i="9"/>
  <c r="AC33" i="9"/>
  <c r="Z33" i="9"/>
  <c r="AE33" i="9"/>
  <c r="AF33" i="9"/>
  <c r="Y33" i="9"/>
  <c r="X33" i="9"/>
  <c r="V33" i="9"/>
  <c r="W33" i="9"/>
  <c r="U33" i="9"/>
  <c r="U34" i="12"/>
  <c r="T34" i="12"/>
  <c r="S34" i="12"/>
  <c r="X34" i="12"/>
  <c r="R34" i="12"/>
  <c r="W34" i="12"/>
  <c r="V34" i="12"/>
  <c r="AF35" i="16"/>
  <c r="AG35" i="16"/>
  <c r="AE35" i="14"/>
  <c r="AF35" i="14"/>
  <c r="AJ61" i="14"/>
  <c r="AK61" i="14"/>
  <c r="BM60" i="12"/>
  <c r="BK60" i="12"/>
  <c r="BN60" i="12"/>
  <c r="BL60" i="12"/>
  <c r="BJ60" i="12"/>
  <c r="AZ59" i="9"/>
  <c r="AZ62" i="9" s="1"/>
  <c r="AY59" i="9"/>
  <c r="AY62" i="9" s="1"/>
  <c r="AR59" i="9"/>
  <c r="AU59" i="9"/>
  <c r="AS59" i="9"/>
  <c r="AW59" i="9"/>
  <c r="BD59" i="9"/>
  <c r="BD62" i="9" s="1"/>
  <c r="BE59" i="9"/>
  <c r="BE62" i="9" s="1"/>
  <c r="BC59" i="9"/>
  <c r="BC62" i="9" s="1"/>
  <c r="BA59" i="9"/>
  <c r="BA62" i="9" s="1"/>
  <c r="BB59" i="9"/>
  <c r="BB62" i="9" s="1"/>
  <c r="AT59" i="9"/>
  <c r="AV59" i="9"/>
  <c r="AX59" i="9"/>
  <c r="AM59" i="9"/>
  <c r="AN59" i="9"/>
  <c r="AQ59" i="9"/>
  <c r="AP59" i="9"/>
  <c r="AO59" i="9"/>
  <c r="AL59" i="9"/>
  <c r="AF29" i="16"/>
  <c r="AG29" i="16"/>
  <c r="AB28" i="12"/>
  <c r="AB31" i="12" s="1"/>
  <c r="AC28" i="12"/>
  <c r="AD28" i="12"/>
  <c r="Y28" i="12"/>
  <c r="Y31" i="12" s="1"/>
  <c r="X28" i="12"/>
  <c r="AA28" i="12"/>
  <c r="Z28" i="12"/>
  <c r="W28" i="12"/>
  <c r="AD27" i="9"/>
  <c r="X27" i="9"/>
  <c r="AA27" i="9"/>
  <c r="Y27" i="9"/>
  <c r="AB27" i="9"/>
  <c r="AC27" i="9"/>
  <c r="Z27" i="9"/>
  <c r="U27" i="9"/>
  <c r="AE29" i="14"/>
  <c r="AF29" i="14"/>
  <c r="AE37" i="14"/>
  <c r="AF37" i="14"/>
  <c r="AG37" i="16"/>
  <c r="AF37" i="16"/>
  <c r="AJ35" i="9"/>
  <c r="AO35" i="9"/>
  <c r="AO38" i="9" s="1"/>
  <c r="AE35" i="9"/>
  <c r="AF35" i="9"/>
  <c r="AN35" i="9"/>
  <c r="AL35" i="9"/>
  <c r="AM35" i="9"/>
  <c r="AH35" i="9"/>
  <c r="AG35" i="9"/>
  <c r="AK35" i="9"/>
  <c r="AD35" i="9"/>
  <c r="AB35" i="9"/>
  <c r="AC35" i="9"/>
  <c r="AI35" i="9"/>
  <c r="AP35" i="9"/>
  <c r="AP38" i="9" s="1"/>
  <c r="Y35" i="9"/>
  <c r="AA35" i="9"/>
  <c r="X35" i="9"/>
  <c r="Z35" i="9"/>
  <c r="W35" i="9"/>
  <c r="AB36" i="12"/>
  <c r="AA36" i="12"/>
  <c r="Z36" i="12"/>
  <c r="Y36" i="12"/>
  <c r="X36" i="12"/>
  <c r="AE13" i="14"/>
  <c r="AF13" i="14"/>
  <c r="T12" i="12"/>
  <c r="U12" i="12"/>
  <c r="W12" i="12"/>
  <c r="V12" i="12"/>
  <c r="S12" i="12"/>
  <c r="R12" i="12"/>
  <c r="Q12" i="12"/>
  <c r="X12" i="12"/>
  <c r="Y11" i="9"/>
  <c r="X11" i="9"/>
  <c r="AF13" i="16"/>
  <c r="AG13" i="16"/>
  <c r="AW51" i="9"/>
  <c r="AS51" i="9"/>
  <c r="AV51" i="9"/>
  <c r="BC51" i="9"/>
  <c r="AT51" i="9"/>
  <c r="AU51" i="9"/>
  <c r="BA51" i="9"/>
  <c r="BD51" i="9"/>
  <c r="BE51" i="9"/>
  <c r="AX51" i="9"/>
  <c r="AQ51" i="9"/>
  <c r="AZ51" i="9"/>
  <c r="BB51" i="9"/>
  <c r="AR51" i="9"/>
  <c r="AY51" i="9"/>
  <c r="AN51" i="9"/>
  <c r="AO51" i="9"/>
  <c r="AM51" i="9"/>
  <c r="AP51" i="9"/>
  <c r="AL51" i="9"/>
  <c r="AJ53" i="14"/>
  <c r="AK53" i="14"/>
  <c r="AZ52" i="12"/>
  <c r="AX52" i="12"/>
  <c r="AY52" i="12"/>
  <c r="AW52" i="12"/>
  <c r="AV52" i="12"/>
  <c r="AS44" i="12"/>
  <c r="AV44" i="12"/>
  <c r="AT44" i="12"/>
  <c r="AT47" i="12" s="1"/>
  <c r="AU44" i="12"/>
  <c r="AR44" i="12"/>
  <c r="BA43" i="9"/>
  <c r="AZ43" i="9"/>
  <c r="AX43" i="9"/>
  <c r="AU43" i="9"/>
  <c r="AS43" i="9"/>
  <c r="AR43" i="9"/>
  <c r="AY43" i="9"/>
  <c r="BD43" i="9"/>
  <c r="BD46" i="9" s="1"/>
  <c r="AT43" i="9"/>
  <c r="AQ43" i="9"/>
  <c r="BE43" i="9"/>
  <c r="BC43" i="9"/>
  <c r="AV43" i="9"/>
  <c r="BB43" i="9"/>
  <c r="AW43" i="9"/>
  <c r="AM43" i="9"/>
  <c r="AP43" i="9"/>
  <c r="AO43" i="9"/>
  <c r="AN43" i="9"/>
  <c r="AL43" i="9"/>
  <c r="AK45" i="14"/>
  <c r="AJ45" i="14"/>
  <c r="N18" i="12"/>
  <c r="M18" i="12"/>
  <c r="O18" i="12"/>
  <c r="Q17" i="9"/>
  <c r="N17" i="9"/>
  <c r="L19" i="12"/>
  <c r="AE58" i="9"/>
  <c r="AE62" i="9" s="1"/>
  <c r="AF58" i="9"/>
  <c r="AF62" i="9" s="1"/>
  <c r="AI58" i="9"/>
  <c r="AH58" i="9"/>
  <c r="AG58" i="9"/>
  <c r="AV58" i="9"/>
  <c r="AW58" i="9"/>
  <c r="AL58" i="9"/>
  <c r="AT58" i="9"/>
  <c r="AP58" i="9"/>
  <c r="AJ58" i="9"/>
  <c r="AU58" i="9"/>
  <c r="AS58" i="9"/>
  <c r="AQ58" i="9"/>
  <c r="AX58" i="9"/>
  <c r="AO58" i="9"/>
  <c r="AN58" i="9"/>
  <c r="AR58" i="9"/>
  <c r="AK58" i="9"/>
  <c r="AM58" i="9"/>
  <c r="AE60" i="14"/>
  <c r="AF60" i="14"/>
  <c r="AT59" i="12"/>
  <c r="AU59" i="12"/>
  <c r="AW59" i="12"/>
  <c r="AV59" i="12"/>
  <c r="AX59" i="12"/>
  <c r="AY59" i="12"/>
  <c r="BD59" i="12"/>
  <c r="BC59" i="12"/>
  <c r="BA59" i="12"/>
  <c r="BB59" i="12"/>
  <c r="AZ59" i="12"/>
  <c r="AG40" i="16" l="1"/>
  <c r="AF40" i="16"/>
  <c r="AU47" i="12"/>
  <c r="BC46" i="9"/>
  <c r="BE46" i="9"/>
  <c r="AO47" i="12"/>
  <c r="AS47" i="12"/>
  <c r="AD31" i="12"/>
  <c r="AC31" i="12"/>
  <c r="AM47" i="12"/>
  <c r="U31" i="12"/>
  <c r="AN47" i="12"/>
  <c r="BB46" i="9"/>
  <c r="AY46" i="9"/>
  <c r="BA46" i="9"/>
  <c r="N31" i="12"/>
  <c r="Z31" i="12"/>
  <c r="T31" i="12"/>
  <c r="AZ46" i="9"/>
  <c r="AR47" i="12"/>
  <c r="AA31" i="12"/>
  <c r="Q14" i="9"/>
  <c r="V31" i="12"/>
  <c r="P15" i="12"/>
  <c r="O15" i="12"/>
  <c r="T15" i="12"/>
  <c r="U15" i="12"/>
  <c r="W15" i="12"/>
  <c r="V15" i="12"/>
  <c r="S15" i="12"/>
  <c r="R15" i="12"/>
  <c r="AJ46" i="9"/>
  <c r="AI46" i="9"/>
  <c r="AH46" i="9"/>
  <c r="AK46" i="9"/>
  <c r="X15" i="12"/>
  <c r="Y14" i="9"/>
  <c r="X14" i="9"/>
  <c r="AG46" i="9"/>
  <c r="AN38" i="9"/>
  <c r="AL38" i="9"/>
  <c r="AJ38" i="9"/>
  <c r="AK38" i="9"/>
  <c r="AF47" i="12"/>
  <c r="Q23" i="12"/>
  <c r="P23" i="12"/>
  <c r="AM38" i="9"/>
  <c r="P39" i="12"/>
  <c r="M39" i="12"/>
  <c r="N39" i="12"/>
  <c r="U39" i="12"/>
  <c r="T39" i="12"/>
  <c r="S39" i="12"/>
  <c r="W39" i="12"/>
  <c r="V39" i="12"/>
  <c r="Q39" i="12"/>
  <c r="O39" i="12"/>
  <c r="AB39" i="12"/>
  <c r="AA39" i="12"/>
  <c r="Z39" i="12"/>
  <c r="Y39" i="12"/>
  <c r="L23" i="12"/>
  <c r="AK47" i="12"/>
  <c r="AZ55" i="12"/>
  <c r="AX55" i="12"/>
  <c r="AY55" i="12"/>
  <c r="AW55" i="12"/>
  <c r="AV55" i="12"/>
  <c r="AR55" i="12"/>
  <c r="AQ55" i="12"/>
  <c r="AS55" i="12"/>
  <c r="AT55" i="12"/>
  <c r="BE63" i="12"/>
  <c r="BF63" i="12"/>
  <c r="BM63" i="12"/>
  <c r="BN63" i="12"/>
  <c r="BJ63" i="12"/>
  <c r="BK63" i="12"/>
  <c r="BL63" i="12"/>
  <c r="BC54" i="9"/>
  <c r="BA54" i="9"/>
  <c r="BD54" i="9"/>
  <c r="BE54" i="9"/>
  <c r="AZ54" i="9"/>
  <c r="BB54" i="9"/>
  <c r="AY54" i="9"/>
  <c r="AI47" i="12"/>
  <c r="AE48" i="14"/>
  <c r="AF48" i="14"/>
  <c r="BH63" i="12"/>
  <c r="BG63" i="12"/>
  <c r="M23" i="12"/>
  <c r="Q22" i="9"/>
  <c r="O23" i="12"/>
  <c r="N23" i="12"/>
  <c r="AJ55" i="12"/>
  <c r="AK55" i="12"/>
  <c r="W30" i="9"/>
  <c r="AL55" i="12"/>
  <c r="V30" i="9"/>
  <c r="AO55" i="12"/>
  <c r="AE56" i="14"/>
  <c r="AL47" i="12"/>
  <c r="AH47" i="12"/>
  <c r="AP55" i="12"/>
  <c r="AN55" i="12"/>
  <c r="AJ54" i="9"/>
  <c r="AK54" i="9"/>
  <c r="AH54" i="9"/>
  <c r="AI54" i="9"/>
  <c r="AG54" i="9"/>
  <c r="AM55" i="12"/>
  <c r="AF56" i="14"/>
  <c r="AI55" i="12"/>
  <c r="AF55" i="12"/>
  <c r="AH55" i="12"/>
  <c r="AG55" i="12"/>
  <c r="AG47" i="12"/>
  <c r="AJ47" i="12"/>
  <c r="O7" i="12"/>
  <c r="P7" i="12"/>
  <c r="X31" i="12"/>
  <c r="AW54" i="9"/>
  <c r="L7" i="12"/>
  <c r="M7" i="12"/>
  <c r="N7" i="12"/>
  <c r="AG8" i="16"/>
  <c r="AF8" i="16"/>
  <c r="Q31" i="12"/>
  <c r="P31" i="12"/>
  <c r="AF32" i="16"/>
  <c r="AG32" i="16"/>
  <c r="AS54" i="9"/>
  <c r="AV54" i="9"/>
  <c r="AT54" i="9"/>
  <c r="AU54" i="9"/>
  <c r="AX54" i="9"/>
  <c r="AQ54" i="9"/>
  <c r="AR54" i="9"/>
  <c r="AN54" i="9"/>
  <c r="AX46" i="9"/>
  <c r="AS46" i="9"/>
  <c r="AR46" i="9"/>
  <c r="AT46" i="9"/>
  <c r="AQ46" i="9"/>
  <c r="AV46" i="9"/>
  <c r="AW46" i="9"/>
  <c r="AK62" i="9"/>
  <c r="AO54" i="9"/>
  <c r="AM54" i="9"/>
  <c r="AP54" i="9"/>
  <c r="AU46" i="9"/>
  <c r="AM46" i="9"/>
  <c r="AP46" i="9"/>
  <c r="AO46" i="9"/>
  <c r="AN46" i="9"/>
  <c r="AL46" i="9"/>
  <c r="AL54" i="9"/>
  <c r="AI62" i="9"/>
  <c r="AH62" i="9"/>
  <c r="AG62" i="9"/>
  <c r="AJ62" i="9"/>
  <c r="V38" i="9"/>
  <c r="U38" i="9"/>
  <c r="R39" i="12"/>
  <c r="AD30" i="9"/>
  <c r="X30" i="9"/>
  <c r="AA30" i="9"/>
  <c r="Y30" i="9"/>
  <c r="AB30" i="9"/>
  <c r="AC30" i="9"/>
  <c r="Z30" i="9"/>
  <c r="U30" i="9"/>
  <c r="N15" i="12"/>
  <c r="M15" i="12"/>
  <c r="AZ63" i="12"/>
  <c r="AC47" i="12"/>
  <c r="AE47" i="12"/>
  <c r="AD47" i="12"/>
  <c r="AB47" i="12"/>
  <c r="AE64" i="14"/>
  <c r="AF64" i="14"/>
  <c r="AT63" i="12"/>
  <c r="AU63" i="12"/>
  <c r="AW63" i="12"/>
  <c r="AV63" i="12"/>
  <c r="AX63" i="12"/>
  <c r="AY63" i="12"/>
  <c r="BD63" i="12"/>
  <c r="BC63" i="12"/>
  <c r="BA63" i="12"/>
  <c r="BB63" i="12"/>
  <c r="AF32" i="14"/>
  <c r="AH38" i="9"/>
  <c r="AI38" i="9"/>
  <c r="Q15" i="12"/>
  <c r="AF16" i="16"/>
  <c r="AG16" i="16"/>
  <c r="AG38" i="9"/>
  <c r="AA38" i="9"/>
  <c r="AD38" i="9"/>
  <c r="AB38" i="9"/>
  <c r="AC38" i="9"/>
  <c r="Z38" i="9"/>
  <c r="AE38" i="9"/>
  <c r="AF38" i="9"/>
  <c r="Y38" i="9"/>
  <c r="X38" i="9"/>
  <c r="W38" i="9"/>
  <c r="X39" i="12"/>
  <c r="AE40" i="14"/>
  <c r="AF40" i="14"/>
  <c r="AV62" i="9"/>
  <c r="AW62" i="9"/>
  <c r="AL62" i="9"/>
  <c r="AT62" i="9"/>
  <c r="AP62" i="9"/>
  <c r="AU62" i="9"/>
  <c r="AS62" i="9"/>
  <c r="AQ62" i="9"/>
  <c r="AX62" i="9"/>
  <c r="AO62" i="9"/>
  <c r="AN62" i="9"/>
  <c r="AR62" i="9"/>
  <c r="AM62" i="9"/>
  <c r="K49" i="9" l="1"/>
  <c r="J49" i="9"/>
  <c r="CT30" i="9"/>
  <c r="J25" i="9"/>
  <c r="CU30" i="9"/>
  <c r="K25" i="9"/>
  <c r="K33" i="9"/>
  <c r="J33" i="9"/>
  <c r="K57" i="9"/>
  <c r="J57" i="9"/>
  <c r="AA10" i="11" l="1"/>
  <c r="AA15" i="11" s="1"/>
  <c r="AE28" i="14" l="1"/>
  <c r="AE32" i="14" s="1"/>
  <c r="AG4" i="8" l="1"/>
  <c r="AH12" i="17" l="1"/>
  <c r="AH20" i="17"/>
  <c r="AH11" i="17"/>
  <c r="AH21" i="17"/>
  <c r="AH5" i="17"/>
  <c r="AH19" i="17"/>
  <c r="AL53" i="5" l="1"/>
  <c r="AG51" i="5"/>
  <c r="AG67" i="5" l="1"/>
  <c r="AL37" i="5"/>
  <c r="AG27" i="5"/>
  <c r="AG35" i="5"/>
  <c r="AG19" i="5"/>
  <c r="BA38" i="5"/>
  <c r="AI13" i="15"/>
  <c r="AG13" i="5"/>
  <c r="AG59" i="5"/>
  <c r="AG5" i="5"/>
  <c r="AG52" i="5"/>
  <c r="AG56" i="5" s="1"/>
  <c r="AL61" i="5"/>
  <c r="AG44" i="5"/>
  <c r="AG43" i="5" l="1"/>
  <c r="AG48" i="5" s="1"/>
  <c r="BA70" i="5"/>
  <c r="BA54" i="5"/>
  <c r="AG21" i="5"/>
  <c r="AH21" i="15"/>
  <c r="BA62" i="5"/>
  <c r="AH28" i="15"/>
  <c r="AG28" i="5"/>
  <c r="AG68" i="5"/>
  <c r="AG72" i="5" s="1"/>
  <c r="AG36" i="5"/>
  <c r="AG40" i="5" s="1"/>
  <c r="AL69" i="5"/>
  <c r="AL45" i="5"/>
  <c r="AG29" i="5"/>
  <c r="AG60" i="5"/>
  <c r="AG64" i="5" s="1"/>
  <c r="BA46" i="5"/>
  <c r="AG32" i="5" l="1"/>
  <c r="AG51" i="14" l="1"/>
  <c r="AH11" i="16"/>
  <c r="AG11" i="14"/>
  <c r="AH5" i="16"/>
  <c r="AG5" i="14"/>
  <c r="AL45" i="14"/>
  <c r="AH29" i="16"/>
  <c r="AG29" i="14"/>
  <c r="AL53" i="14"/>
  <c r="AG44" i="14"/>
  <c r="AH22" i="16" l="1"/>
  <c r="AH24" i="16" s="1"/>
  <c r="BF54" i="14"/>
  <c r="BF46" i="14"/>
  <c r="AH6" i="16"/>
  <c r="AH8" i="16" s="1"/>
  <c r="AG35" i="14"/>
  <c r="AH35" i="16"/>
  <c r="AG3" i="14"/>
  <c r="AL61" i="14"/>
  <c r="AG43" i="14"/>
  <c r="AG48" i="14" s="1"/>
  <c r="AG36" i="14"/>
  <c r="AH36" i="16"/>
  <c r="AG60" i="14"/>
  <c r="AG52" i="14"/>
  <c r="AG56" i="14" s="1"/>
  <c r="BF62" i="14"/>
  <c r="AH37" i="16"/>
  <c r="AG37" i="14"/>
  <c r="AG13" i="14"/>
  <c r="AH13" i="16"/>
  <c r="AH16" i="16" s="1"/>
  <c r="AH27" i="16"/>
  <c r="AG27" i="14"/>
  <c r="AG59" i="14"/>
  <c r="AH40" i="16" l="1"/>
  <c r="AG40" i="14"/>
  <c r="AG64" i="14"/>
  <c r="AI5" i="17" l="1"/>
  <c r="AI19" i="17"/>
  <c r="AI11" i="17"/>
  <c r="AI12" i="17"/>
  <c r="AI21" i="17" l="1"/>
  <c r="AH4" i="8"/>
  <c r="AI20" i="17"/>
  <c r="AH19" i="5" l="1"/>
  <c r="AH43" i="5" l="1"/>
  <c r="AH67" i="5"/>
  <c r="AH27" i="5"/>
  <c r="AH59" i="5"/>
  <c r="AH60" i="5"/>
  <c r="BB62" i="5"/>
  <c r="AH35" i="5"/>
  <c r="AH51" i="5"/>
  <c r="AM45" i="5" l="1"/>
  <c r="AI21" i="15"/>
  <c r="AI24" i="15" s="1"/>
  <c r="AJ13" i="15"/>
  <c r="AM53" i="5"/>
  <c r="BB46" i="5"/>
  <c r="AM61" i="5"/>
  <c r="AH13" i="5"/>
  <c r="BB54" i="5"/>
  <c r="BB70" i="5"/>
  <c r="AH44" i="5"/>
  <c r="AH48" i="5" s="1"/>
  <c r="AM37" i="5"/>
  <c r="AH21" i="5"/>
  <c r="AH24" i="5" s="1"/>
  <c r="AI28" i="15"/>
  <c r="AH28" i="5"/>
  <c r="AH64" i="5"/>
  <c r="AH36" i="5"/>
  <c r="AH40" i="5" s="1"/>
  <c r="AH29" i="5"/>
  <c r="AH52" i="5"/>
  <c r="AH56" i="5" s="1"/>
  <c r="AH68" i="5"/>
  <c r="AH72" i="5" s="1"/>
  <c r="AM69" i="5"/>
  <c r="BB38" i="5"/>
  <c r="AC4" i="11"/>
  <c r="AD4" i="11"/>
  <c r="AB4" i="11"/>
  <c r="AA4" i="11"/>
  <c r="AH32" i="5" l="1"/>
  <c r="AH43" i="14" l="1"/>
  <c r="AH59" i="14"/>
  <c r="BG62" i="14" l="1"/>
  <c r="AI27" i="16"/>
  <c r="AI13" i="16"/>
  <c r="AH27" i="14"/>
  <c r="AI37" i="16"/>
  <c r="AH3" i="14"/>
  <c r="AH13" i="14"/>
  <c r="AM45" i="14"/>
  <c r="AH37" i="14"/>
  <c r="BG46" i="14"/>
  <c r="AH29" i="14"/>
  <c r="AH51" i="14"/>
  <c r="AI6" i="16"/>
  <c r="AH52" i="14"/>
  <c r="AI35" i="16"/>
  <c r="AH35" i="14"/>
  <c r="AH60" i="14"/>
  <c r="AH64" i="14" s="1"/>
  <c r="AH5" i="14"/>
  <c r="AI5" i="16"/>
  <c r="AH44" i="14"/>
  <c r="AH48" i="14" s="1"/>
  <c r="AI8" i="16" l="1"/>
  <c r="AI29" i="16"/>
  <c r="AI32" i="16" s="1"/>
  <c r="AH56" i="14"/>
  <c r="AH32" i="14"/>
  <c r="AI22" i="16"/>
  <c r="AI24" i="16" s="1"/>
  <c r="BG54" i="14"/>
  <c r="AM61" i="14"/>
  <c r="AM53" i="14"/>
  <c r="AJ12" i="17" l="1"/>
  <c r="AJ20" i="17"/>
  <c r="AJ19" i="17"/>
  <c r="AJ11" i="17"/>
  <c r="AJ21" i="17"/>
  <c r="AJ5" i="17"/>
  <c r="AI4" i="8"/>
  <c r="AN61" i="5" l="1"/>
  <c r="AK13" i="15"/>
  <c r="BC46" i="5" l="1"/>
  <c r="AI27" i="5"/>
  <c r="AI35" i="5"/>
  <c r="AI67" i="5"/>
  <c r="AJ28" i="15"/>
  <c r="AI28" i="5"/>
  <c r="AI68" i="5"/>
  <c r="BC70" i="5"/>
  <c r="AI43" i="5"/>
  <c r="AI51" i="5"/>
  <c r="AI19" i="5"/>
  <c r="AI36" i="5"/>
  <c r="BC62" i="5"/>
  <c r="BC38" i="5"/>
  <c r="AI60" i="5"/>
  <c r="AI52" i="5"/>
  <c r="AN37" i="5"/>
  <c r="AI13" i="5"/>
  <c r="AI44" i="5"/>
  <c r="AI21" i="5"/>
  <c r="AJ21" i="15"/>
  <c r="AJ24" i="15" s="1"/>
  <c r="AN69" i="5"/>
  <c r="BC54" i="5"/>
  <c r="AI59" i="5"/>
  <c r="AI29" i="5"/>
  <c r="AN45" i="5"/>
  <c r="AN53" i="5"/>
  <c r="AI48" i="5" l="1"/>
  <c r="AI56" i="5"/>
  <c r="AI24" i="5"/>
  <c r="AI64" i="5"/>
  <c r="AI32" i="5"/>
  <c r="AI40" i="5"/>
  <c r="AI72" i="5"/>
  <c r="AI43" i="14" l="1"/>
  <c r="AI59" i="14"/>
  <c r="AI27" i="14"/>
  <c r="AJ27" i="16"/>
  <c r="AI51" i="14"/>
  <c r="AJ35" i="16"/>
  <c r="AI3" i="14"/>
  <c r="AI35" i="14"/>
  <c r="AJ5" i="16" l="1"/>
  <c r="AI5" i="14"/>
  <c r="AN53" i="14"/>
  <c r="AI13" i="14"/>
  <c r="AN61" i="14"/>
  <c r="AI52" i="14"/>
  <c r="AI56" i="14" s="1"/>
  <c r="AI60" i="14"/>
  <c r="AI64" i="14" s="1"/>
  <c r="AI44" i="14"/>
  <c r="AI48" i="14" s="1"/>
  <c r="AI37" i="14"/>
  <c r="AI40" i="14" s="1"/>
  <c r="AJ37" i="16"/>
  <c r="AJ40" i="16" s="1"/>
  <c r="AJ13" i="16"/>
  <c r="AN45" i="14"/>
  <c r="AI29" i="14"/>
  <c r="AI32" i="14" s="1"/>
  <c r="AJ29" i="16"/>
  <c r="AJ32" i="16" s="1"/>
  <c r="BH62" i="14"/>
  <c r="AJ22" i="16"/>
  <c r="AJ24" i="16" s="1"/>
  <c r="AJ6" i="16"/>
  <c r="BH46" i="14"/>
  <c r="BH54" i="14"/>
  <c r="AJ8" i="16" l="1"/>
  <c r="AE21" i="14" l="1"/>
  <c r="AI36" i="16"/>
  <c r="AI40" i="16" s="1"/>
  <c r="AH28" i="16"/>
  <c r="AH32" i="16" s="1"/>
  <c r="AH36" i="14"/>
  <c r="AH40" i="14" s="1"/>
  <c r="AG28" i="14"/>
  <c r="AG32" i="14" s="1"/>
  <c r="W29" i="12"/>
  <c r="W31" i="12" s="1"/>
  <c r="BG44" i="9"/>
  <c r="BG46" i="9" s="1"/>
  <c r="AB20" i="14"/>
  <c r="AV45" i="12"/>
  <c r="AV47" i="12" s="1"/>
  <c r="U4" i="9"/>
  <c r="U7" i="9" s="1"/>
  <c r="AC20" i="16"/>
  <c r="AC24" i="16" s="1"/>
  <c r="AE19" i="14"/>
  <c r="AF19" i="16"/>
  <c r="AH11" i="14"/>
  <c r="AF21" i="16"/>
  <c r="N10" i="9"/>
  <c r="N14" i="9" s="1"/>
  <c r="R12" i="9"/>
  <c r="R14" i="9" s="1"/>
  <c r="AI11" i="16"/>
  <c r="N18" i="9"/>
  <c r="N22" i="9" s="1"/>
  <c r="AF24" i="16" l="1"/>
  <c r="J41" i="9"/>
  <c r="K41" i="9"/>
  <c r="CQ31" i="12"/>
  <c r="K2" i="9"/>
  <c r="CT7" i="9"/>
  <c r="J2" i="9"/>
  <c r="CU7" i="9"/>
  <c r="K9" i="9"/>
  <c r="CT14" i="9"/>
  <c r="CU14" i="9"/>
  <c r="J9" i="9"/>
  <c r="CT22" i="9"/>
  <c r="K17" i="9"/>
  <c r="CU22" i="9"/>
  <c r="J17" i="9"/>
  <c r="AG14" i="14" l="1"/>
  <c r="AG16" i="14" s="1"/>
  <c r="AE14" i="14"/>
  <c r="AE16" i="14" s="1"/>
  <c r="AF14" i="14"/>
  <c r="AF16" i="14" s="1"/>
  <c r="AH5" i="5" l="1"/>
  <c r="AE12" i="5"/>
  <c r="Z2" i="11"/>
  <c r="Z7" i="11" s="1"/>
  <c r="AI5" i="15"/>
  <c r="AH20" i="15"/>
  <c r="AH24" i="15" s="1"/>
  <c r="AF12" i="15"/>
  <c r="AG20" i="5"/>
  <c r="AG24" i="5" s="1"/>
  <c r="AQ20" i="11" l="1"/>
  <c r="AJ18" i="11"/>
  <c r="AK18" i="11"/>
  <c r="AK12" i="11"/>
  <c r="AM12" i="11"/>
  <c r="AL12" i="11"/>
  <c r="AN20" i="11"/>
  <c r="AL20" i="11"/>
  <c r="AP20" i="11"/>
  <c r="AO20" i="11"/>
  <c r="AM20" i="11"/>
  <c r="AC19" i="11"/>
  <c r="AB10" i="11"/>
  <c r="AI18" i="11"/>
  <c r="AE18" i="11"/>
  <c r="AH18" i="11"/>
  <c r="AG18" i="11"/>
  <c r="AJ12" i="11"/>
  <c r="AD12" i="11"/>
  <c r="AG12" i="11"/>
  <c r="AG4" i="11"/>
  <c r="AF4" i="11"/>
  <c r="AE4" i="11"/>
  <c r="AC18" i="11"/>
  <c r="AB18" i="11"/>
  <c r="AF18" i="11"/>
  <c r="AD18" i="11"/>
  <c r="AB19" i="11"/>
  <c r="AI12" i="11"/>
  <c r="AH12" i="11"/>
  <c r="AE12" i="11"/>
  <c r="AF12" i="11"/>
  <c r="AK29" i="15"/>
  <c r="AL29" i="15"/>
  <c r="AI29" i="15"/>
  <c r="AJ29" i="15"/>
  <c r="AM29" i="15"/>
  <c r="AH29" i="15"/>
  <c r="AG29" i="15"/>
  <c r="AP28" i="11"/>
  <c r="AN28" i="11"/>
  <c r="AQ28" i="11"/>
  <c r="AL28" i="11"/>
  <c r="AM28" i="11"/>
  <c r="AO28" i="11"/>
  <c r="AR28" i="11"/>
  <c r="AS28" i="11"/>
  <c r="AG27" i="15"/>
  <c r="AL27" i="15"/>
  <c r="AJ27" i="15"/>
  <c r="AH27" i="15"/>
  <c r="AK27" i="15"/>
  <c r="AF27" i="15"/>
  <c r="AF32" i="15" s="1"/>
  <c r="AI27" i="15"/>
  <c r="AI27" i="11"/>
  <c r="AE27" i="11"/>
  <c r="AH27" i="11"/>
  <c r="AG27" i="11"/>
  <c r="AF27" i="11"/>
  <c r="BD66" i="11"/>
  <c r="BD71" i="11" s="1"/>
  <c r="BB66" i="11"/>
  <c r="BB71" i="11" s="1"/>
  <c r="BI66" i="11"/>
  <c r="BI71" i="11" s="1"/>
  <c r="BK66" i="11"/>
  <c r="BJ66" i="11"/>
  <c r="BE66" i="11"/>
  <c r="BE71" i="11" s="1"/>
  <c r="BC66" i="11"/>
  <c r="BC71" i="11" s="1"/>
  <c r="BA66" i="11"/>
  <c r="BA71" i="11" s="1"/>
  <c r="BF66" i="11"/>
  <c r="BF71" i="11" s="1"/>
  <c r="BG66" i="11"/>
  <c r="BG71" i="11" s="1"/>
  <c r="BH66" i="11"/>
  <c r="BH71" i="11" s="1"/>
  <c r="AI34" i="11"/>
  <c r="AI39" i="11" s="1"/>
  <c r="AG34" i="11"/>
  <c r="AG39" i="11" s="1"/>
  <c r="AM34" i="11"/>
  <c r="AM39" i="11" s="1"/>
  <c r="AO34" i="11"/>
  <c r="AO39" i="11" s="1"/>
  <c r="AJ34" i="11"/>
  <c r="AJ39" i="11" s="1"/>
  <c r="AN34" i="11"/>
  <c r="AN39" i="11" s="1"/>
  <c r="AL34" i="11"/>
  <c r="AL39" i="11" s="1"/>
  <c r="AP34" i="11"/>
  <c r="AP39" i="11" s="1"/>
  <c r="AH34" i="11"/>
  <c r="AH39" i="11" s="1"/>
  <c r="AK34" i="11"/>
  <c r="AK39" i="11" s="1"/>
  <c r="AC11" i="11"/>
  <c r="AD11" i="11"/>
  <c r="AB11" i="11"/>
  <c r="AB23" i="11" l="1"/>
  <c r="AC23" i="11"/>
  <c r="AB15" i="11"/>
  <c r="AF13" i="11"/>
  <c r="AG13" i="11"/>
  <c r="AD13" i="11"/>
  <c r="AI13" i="11"/>
  <c r="AH13" i="11"/>
  <c r="AE13" i="11"/>
  <c r="AC13" i="11"/>
  <c r="AG32" i="15"/>
  <c r="AJ32" i="15"/>
  <c r="AH32" i="15"/>
  <c r="AI32" i="15"/>
  <c r="AO22" i="5"/>
  <c r="AP22" i="5"/>
  <c r="AN22" i="5"/>
  <c r="AO22" i="15"/>
  <c r="AP22" i="15"/>
  <c r="AQ22" i="15"/>
  <c r="AI29" i="11"/>
  <c r="AN29" i="11"/>
  <c r="AL29" i="11"/>
  <c r="AM29" i="11"/>
  <c r="AK29" i="11"/>
  <c r="AJ29" i="11"/>
  <c r="AH29" i="11"/>
  <c r="AR30" i="5"/>
  <c r="AS30" i="5"/>
  <c r="AQ30" i="5"/>
  <c r="AR30" i="15"/>
  <c r="AS30" i="15"/>
  <c r="AT30" i="15"/>
  <c r="AD6" i="15"/>
  <c r="AD8" i="15" s="1"/>
  <c r="Y6" i="5"/>
  <c r="Y8" i="5" s="1"/>
  <c r="AA5" i="11"/>
  <c r="AG5" i="11"/>
  <c r="AG7" i="11" s="1"/>
  <c r="AB5" i="11"/>
  <c r="AB7" i="11" s="1"/>
  <c r="AC5" i="11"/>
  <c r="AC7" i="11" s="1"/>
  <c r="AE5" i="11"/>
  <c r="AE7" i="11" s="1"/>
  <c r="AD5" i="11"/>
  <c r="AD7" i="11" s="1"/>
  <c r="AF5" i="11"/>
  <c r="AF7" i="11" s="1"/>
  <c r="AD75" i="15" l="1"/>
  <c r="Y75" i="5"/>
  <c r="L94" i="4" l="1"/>
  <c r="M94" i="4" s="1"/>
  <c r="L67" i="4"/>
  <c r="K90" i="4"/>
  <c r="L45" i="4"/>
  <c r="K64" i="4"/>
  <c r="L6" i="4"/>
  <c r="L24" i="4"/>
  <c r="L54" i="4"/>
  <c r="L9" i="4"/>
  <c r="K61" i="4"/>
  <c r="L61" i="4"/>
  <c r="K22" i="4"/>
  <c r="L68" i="4"/>
  <c r="L69" i="4"/>
  <c r="M139" i="4"/>
  <c r="M184" i="4"/>
  <c r="L49" i="4"/>
  <c r="M49" i="4" s="1"/>
  <c r="S49" i="4" s="1"/>
  <c r="L16" i="4"/>
  <c r="L22" i="4"/>
  <c r="L57" i="4"/>
  <c r="K15" i="4"/>
  <c r="K67" i="4"/>
  <c r="K19" i="4"/>
  <c r="L64" i="4"/>
  <c r="K57" i="4"/>
  <c r="L21" i="4"/>
  <c r="K63" i="4"/>
  <c r="K66" i="4"/>
  <c r="L23" i="4"/>
  <c r="K68" i="4"/>
  <c r="K69" i="4"/>
  <c r="K9" i="4"/>
  <c r="L15" i="4"/>
  <c r="K54" i="4"/>
  <c r="M229" i="4"/>
  <c r="K23" i="4"/>
  <c r="K24" i="4"/>
  <c r="L90" i="4"/>
  <c r="K45" i="4"/>
  <c r="K16" i="4"/>
  <c r="L53" i="4"/>
  <c r="L51" i="4"/>
  <c r="L60" i="4"/>
  <c r="K55" i="4"/>
  <c r="L10" i="4"/>
  <c r="K10" i="4"/>
  <c r="L55" i="4"/>
  <c r="K51" i="4"/>
  <c r="K6" i="4"/>
  <c r="L56" i="4"/>
  <c r="K11" i="4"/>
  <c r="K56" i="4"/>
  <c r="L12" i="4"/>
  <c r="L66" i="4"/>
  <c r="K60" i="4"/>
  <c r="L11" i="4"/>
  <c r="L65" i="4"/>
  <c r="K21" i="4"/>
  <c r="K27" i="4"/>
  <c r="K52" i="4"/>
  <c r="L52" i="4"/>
  <c r="L26" i="4"/>
  <c r="L19" i="4"/>
  <c r="L76" i="4"/>
  <c r="L14" i="4"/>
  <c r="L48" i="4"/>
  <c r="K70" i="4"/>
  <c r="K7" i="4"/>
  <c r="K31" i="4"/>
  <c r="L25" i="4"/>
  <c r="L33" i="4"/>
  <c r="K46" i="4"/>
  <c r="L91" i="4"/>
  <c r="K13" i="4"/>
  <c r="L58" i="4"/>
  <c r="L13" i="4"/>
  <c r="K58" i="4"/>
  <c r="L18" i="4"/>
  <c r="K18" i="4"/>
  <c r="L63" i="4"/>
  <c r="K25" i="4"/>
  <c r="L70" i="4"/>
  <c r="L46" i="4"/>
  <c r="K91" i="4"/>
  <c r="K89" i="4"/>
  <c r="L44" i="4"/>
  <c r="L89" i="4"/>
  <c r="K44" i="4"/>
  <c r="L41" i="4"/>
  <c r="K86" i="4"/>
  <c r="K41" i="4"/>
  <c r="L86" i="4"/>
  <c r="K47" i="4"/>
  <c r="K92" i="4"/>
  <c r="L92" i="4"/>
  <c r="L47" i="4"/>
  <c r="K76" i="4"/>
  <c r="L31" i="4"/>
  <c r="K72" i="4"/>
  <c r="L27" i="4"/>
  <c r="L72" i="4"/>
  <c r="L80" i="4"/>
  <c r="K26" i="4"/>
  <c r="K71" i="4"/>
  <c r="L93" i="4"/>
  <c r="K48" i="4"/>
  <c r="K93" i="4"/>
  <c r="K53" i="4"/>
  <c r="L8" i="4"/>
  <c r="K8" i="4"/>
  <c r="L29" i="4"/>
  <c r="K29" i="4"/>
  <c r="L30" i="4"/>
  <c r="K30" i="4"/>
  <c r="K75" i="4"/>
  <c r="L75" i="4"/>
  <c r="L78" i="4"/>
  <c r="K33" i="4"/>
  <c r="K59" i="4"/>
  <c r="K14" i="4"/>
  <c r="L59" i="4"/>
  <c r="L7" i="4"/>
  <c r="L20" i="4"/>
  <c r="K65" i="4"/>
  <c r="K20" i="4"/>
  <c r="K34" i="4"/>
  <c r="K79" i="4"/>
  <c r="L34" i="4"/>
  <c r="K12" i="4"/>
  <c r="L71" i="4"/>
  <c r="M202" i="4" l="1"/>
  <c r="M159" i="4"/>
  <c r="M18" i="4"/>
  <c r="S18" i="4" s="1"/>
  <c r="M23" i="4"/>
  <c r="M45" i="4"/>
  <c r="S45" i="4" s="1"/>
  <c r="M158" i="4"/>
  <c r="M67" i="4"/>
  <c r="M21" i="4"/>
  <c r="M44" i="4"/>
  <c r="S44" i="4" s="1"/>
  <c r="M41" i="4"/>
  <c r="M106" i="4"/>
  <c r="M20" i="4"/>
  <c r="S20" i="4" s="1"/>
  <c r="M24" i="4"/>
  <c r="M29" i="4"/>
  <c r="S29" i="4" s="1"/>
  <c r="M204" i="4"/>
  <c r="M112" i="4"/>
  <c r="M26" i="4"/>
  <c r="S26" i="4" s="1"/>
  <c r="M34" i="4"/>
  <c r="S34" i="4" s="1"/>
  <c r="L35" i="4"/>
  <c r="M10" i="4"/>
  <c r="S10" i="4" s="1"/>
  <c r="K84" i="4"/>
  <c r="K80" i="4"/>
  <c r="L84" i="4"/>
  <c r="L81" i="4"/>
  <c r="K35" i="4"/>
  <c r="S171" i="4"/>
  <c r="K81" i="4"/>
  <c r="M170" i="4"/>
  <c r="M113" i="4"/>
  <c r="M203" i="4"/>
  <c r="L28" i="4"/>
  <c r="S167" i="4"/>
  <c r="M111" i="4"/>
  <c r="L32" i="4"/>
  <c r="S122" i="4"/>
  <c r="M66" i="4"/>
  <c r="M214" i="4"/>
  <c r="S215" i="4"/>
  <c r="M209" i="4"/>
  <c r="S163" i="4"/>
  <c r="K73" i="4"/>
  <c r="L73" i="4"/>
  <c r="K74" i="4"/>
  <c r="S74" i="4" s="1"/>
  <c r="S164" i="4"/>
  <c r="K77" i="4"/>
  <c r="S77" i="4" s="1"/>
  <c r="S169" i="4"/>
  <c r="L79" i="4"/>
  <c r="M79" i="4" s="1"/>
  <c r="K36" i="4"/>
  <c r="M205" i="4"/>
  <c r="K38" i="4"/>
  <c r="K83" i="4"/>
  <c r="L36" i="4"/>
  <c r="L38" i="4"/>
  <c r="L83" i="4"/>
  <c r="M221" i="4"/>
  <c r="M48" i="4"/>
  <c r="S48" i="4" s="1"/>
  <c r="L74" i="4"/>
  <c r="L37" i="4"/>
  <c r="K82" i="4"/>
  <c r="L82" i="4"/>
  <c r="K37" i="4"/>
  <c r="K78" i="4"/>
  <c r="M213" i="4"/>
  <c r="M123" i="4"/>
  <c r="M33" i="4"/>
  <c r="S33" i="4" s="1"/>
  <c r="M14" i="4"/>
  <c r="S14" i="4" s="1"/>
  <c r="M124" i="4"/>
  <c r="M12" i="4"/>
  <c r="S12" i="4" s="1"/>
  <c r="K39" i="4"/>
  <c r="M30" i="4"/>
  <c r="S30" i="4" s="1"/>
  <c r="L39" i="4"/>
  <c r="L77" i="4"/>
  <c r="M15" i="4"/>
  <c r="S15" i="4" s="1"/>
  <c r="M219" i="4"/>
  <c r="M90" i="4"/>
  <c r="S90" i="4"/>
  <c r="M102" i="4"/>
  <c r="S102" i="4"/>
  <c r="M64" i="4"/>
  <c r="S64" i="4"/>
  <c r="M99" i="4"/>
  <c r="S99" i="4"/>
  <c r="M150" i="4"/>
  <c r="S150" i="4"/>
  <c r="K32" i="4"/>
  <c r="M155" i="4"/>
  <c r="S155" i="4"/>
  <c r="M105" i="4"/>
  <c r="S105" i="4"/>
  <c r="M135" i="4"/>
  <c r="S135" i="4"/>
  <c r="S225" i="4"/>
  <c r="M225" i="4"/>
  <c r="S57" i="4"/>
  <c r="M57" i="4"/>
  <c r="M63" i="4"/>
  <c r="S63" i="4"/>
  <c r="S199" i="4"/>
  <c r="M199" i="4"/>
  <c r="M189" i="4"/>
  <c r="S189" i="4"/>
  <c r="M109" i="4"/>
  <c r="S109" i="4"/>
  <c r="M154" i="4"/>
  <c r="S154" i="4"/>
  <c r="M227" i="4"/>
  <c r="S227" i="4"/>
  <c r="M100" i="4"/>
  <c r="S100" i="4"/>
  <c r="M54" i="4"/>
  <c r="S54" i="4"/>
  <c r="S190" i="4"/>
  <c r="M228" i="4"/>
  <c r="S228" i="4"/>
  <c r="M144" i="4"/>
  <c r="S144" i="4"/>
  <c r="M55" i="4"/>
  <c r="S55" i="4"/>
  <c r="M145" i="4"/>
  <c r="S145" i="4"/>
  <c r="M186" i="4"/>
  <c r="S186" i="4"/>
  <c r="S141" i="4"/>
  <c r="M141" i="4"/>
  <c r="S51" i="4"/>
  <c r="M51" i="4"/>
  <c r="M191" i="4"/>
  <c r="S191" i="4"/>
  <c r="S56" i="4"/>
  <c r="M56" i="4"/>
  <c r="S180" i="4"/>
  <c r="M180" i="4"/>
  <c r="S192" i="4"/>
  <c r="M192" i="4"/>
  <c r="M60" i="4"/>
  <c r="S60" i="4"/>
  <c r="S101" i="4"/>
  <c r="M101" i="4"/>
  <c r="M188" i="4"/>
  <c r="S188" i="4"/>
  <c r="M96" i="4"/>
  <c r="S96" i="4"/>
  <c r="M117" i="4"/>
  <c r="S117" i="4"/>
  <c r="M52" i="4"/>
  <c r="S52" i="4"/>
  <c r="S206" i="4"/>
  <c r="M206" i="4"/>
  <c r="M161" i="4"/>
  <c r="S161" i="4"/>
  <c r="S165" i="4"/>
  <c r="M165" i="4"/>
  <c r="S146" i="4"/>
  <c r="M146" i="4"/>
  <c r="S195" i="4"/>
  <c r="M195" i="4"/>
  <c r="S123" i="4"/>
  <c r="M211" i="4"/>
  <c r="S211" i="4"/>
  <c r="M179" i="4"/>
  <c r="S179" i="4"/>
  <c r="S58" i="4"/>
  <c r="M58" i="4"/>
  <c r="S153" i="4"/>
  <c r="M153" i="4"/>
  <c r="M198" i="4"/>
  <c r="S198" i="4"/>
  <c r="M108" i="4"/>
  <c r="S108" i="4"/>
  <c r="M181" i="4"/>
  <c r="S181" i="4"/>
  <c r="M136" i="4"/>
  <c r="S136" i="4"/>
  <c r="M91" i="4"/>
  <c r="S91" i="4"/>
  <c r="S226" i="4"/>
  <c r="M226" i="4"/>
  <c r="M89" i="4"/>
  <c r="S89" i="4"/>
  <c r="S224" i="4"/>
  <c r="M224" i="4"/>
  <c r="S134" i="4"/>
  <c r="M134" i="4"/>
  <c r="M92" i="4"/>
  <c r="S92" i="4"/>
  <c r="M137" i="4"/>
  <c r="S137" i="4"/>
  <c r="S182" i="4"/>
  <c r="M182" i="4"/>
  <c r="M76" i="4"/>
  <c r="S76" i="4"/>
  <c r="M121" i="4"/>
  <c r="S121" i="4"/>
  <c r="S207" i="4"/>
  <c r="M207" i="4"/>
  <c r="M72" i="4"/>
  <c r="S72" i="4"/>
  <c r="M162" i="4"/>
  <c r="S162" i="4"/>
  <c r="S170" i="4"/>
  <c r="M116" i="4"/>
  <c r="S116" i="4"/>
  <c r="M71" i="4"/>
  <c r="S71" i="4"/>
  <c r="M138" i="4"/>
  <c r="S138" i="4"/>
  <c r="S183" i="4"/>
  <c r="M183" i="4"/>
  <c r="M93" i="4"/>
  <c r="S93" i="4"/>
  <c r="M53" i="4"/>
  <c r="S53" i="4"/>
  <c r="S98" i="4"/>
  <c r="M98" i="4"/>
  <c r="M143" i="4"/>
  <c r="S143" i="4"/>
  <c r="S209" i="4"/>
  <c r="S210" i="4"/>
  <c r="M210" i="4"/>
  <c r="M120" i="4"/>
  <c r="S120" i="4"/>
  <c r="M75" i="4"/>
  <c r="S75" i="4"/>
  <c r="S213" i="4"/>
  <c r="S104" i="4"/>
  <c r="M104" i="4"/>
  <c r="M59" i="4"/>
  <c r="S59" i="4"/>
  <c r="M149" i="4"/>
  <c r="S149" i="4"/>
  <c r="M194" i="4"/>
  <c r="S194" i="4"/>
  <c r="M187" i="4"/>
  <c r="S187" i="4"/>
  <c r="M142" i="4"/>
  <c r="S142" i="4"/>
  <c r="S97" i="4"/>
  <c r="M97" i="4"/>
  <c r="S65" i="4"/>
  <c r="M65" i="4"/>
  <c r="M200" i="4"/>
  <c r="S200" i="4"/>
  <c r="S110" i="4"/>
  <c r="M110" i="4"/>
  <c r="S79" i="4"/>
  <c r="S214" i="4"/>
  <c r="S124" i="4"/>
  <c r="S166" i="4"/>
  <c r="M166" i="4"/>
  <c r="M103" i="4"/>
  <c r="S103" i="4"/>
  <c r="M148" i="4"/>
  <c r="S148" i="4"/>
  <c r="S193" i="4"/>
  <c r="M193" i="4"/>
  <c r="M147" i="4"/>
  <c r="S147" i="4"/>
  <c r="M157" i="4"/>
  <c r="M19" i="4"/>
  <c r="S19" i="4" s="1"/>
  <c r="M201" i="4"/>
  <c r="M156" i="4"/>
  <c r="M196" i="4"/>
  <c r="M69" i="4"/>
  <c r="M9" i="4"/>
  <c r="S9" i="4" s="1"/>
  <c r="M131" i="4"/>
  <c r="M8" i="4"/>
  <c r="S8" i="4" s="1"/>
  <c r="M68" i="4"/>
  <c r="M16" i="4"/>
  <c r="M151" i="4"/>
  <c r="M11" i="4"/>
  <c r="S11" i="4" s="1"/>
  <c r="M47" i="4"/>
  <c r="S47" i="4" s="1"/>
  <c r="M6" i="4"/>
  <c r="S6" i="4" s="1"/>
  <c r="M27" i="4"/>
  <c r="S27" i="4" s="1"/>
  <c r="M86" i="4"/>
  <c r="M70" i="4"/>
  <c r="M114" i="4"/>
  <c r="M7" i="4"/>
  <c r="S7" i="4" s="1"/>
  <c r="M31" i="4"/>
  <c r="S31" i="4" s="1"/>
  <c r="M115" i="4"/>
  <c r="M160" i="4"/>
  <c r="M46" i="4"/>
  <c r="S46" i="4" s="1"/>
  <c r="M13" i="4"/>
  <c r="S13" i="4" s="1"/>
  <c r="M176" i="4"/>
  <c r="M25" i="4"/>
  <c r="M22" i="4"/>
  <c r="M61" i="4"/>
  <c r="L43" i="4"/>
  <c r="K42" i="4"/>
  <c r="L88" i="4"/>
  <c r="K88" i="4"/>
  <c r="K43" i="4"/>
  <c r="K40" i="4"/>
  <c r="L40" i="4"/>
  <c r="K87" i="4"/>
  <c r="L87" i="4"/>
  <c r="L42" i="4"/>
  <c r="K85" i="4"/>
  <c r="L85" i="4"/>
  <c r="M163" i="4" l="1"/>
  <c r="M171" i="4"/>
  <c r="M215" i="4"/>
  <c r="M35" i="4"/>
  <c r="S35" i="4" s="1"/>
  <c r="M169" i="4"/>
  <c r="S118" i="4"/>
  <c r="M118" i="4"/>
  <c r="M73" i="4"/>
  <c r="S73" i="4"/>
  <c r="M84" i="4"/>
  <c r="M28" i="4"/>
  <c r="S28" i="4" s="1"/>
  <c r="M164" i="4"/>
  <c r="M77" i="4"/>
  <c r="M32" i="4"/>
  <c r="S32" i="4" s="1"/>
  <c r="M167" i="4"/>
  <c r="M43" i="4"/>
  <c r="S43" i="4" s="1"/>
  <c r="M175" i="4"/>
  <c r="M37" i="4"/>
  <c r="S37" i="4" s="1"/>
  <c r="M122" i="4"/>
  <c r="M130" i="4"/>
  <c r="M40" i="4"/>
  <c r="M74" i="4"/>
  <c r="M39" i="4"/>
  <c r="M36" i="4"/>
  <c r="S36" i="4" s="1"/>
  <c r="M38" i="4"/>
  <c r="S38" i="4" s="1"/>
  <c r="S80" i="4"/>
  <c r="M80" i="4"/>
  <c r="S125" i="4"/>
  <c r="M125" i="4"/>
  <c r="M216" i="4"/>
  <c r="S216" i="4"/>
  <c r="M81" i="4"/>
  <c r="S81" i="4"/>
  <c r="M217" i="4"/>
  <c r="S217" i="4"/>
  <c r="M174" i="4"/>
  <c r="M129" i="4"/>
  <c r="M173" i="4"/>
  <c r="S173" i="4"/>
  <c r="M218" i="4"/>
  <c r="S218" i="4"/>
  <c r="S126" i="4"/>
  <c r="M126" i="4"/>
  <c r="S83" i="4"/>
  <c r="M83" i="4"/>
  <c r="S128" i="4"/>
  <c r="M128" i="4"/>
  <c r="M119" i="4"/>
  <c r="S119" i="4"/>
  <c r="S127" i="4"/>
  <c r="M127" i="4"/>
  <c r="M82" i="4"/>
  <c r="S82" i="4"/>
  <c r="M172" i="4"/>
  <c r="S172" i="4"/>
  <c r="M78" i="4"/>
  <c r="S78" i="4"/>
  <c r="S168" i="4"/>
  <c r="M168" i="4"/>
  <c r="S212" i="4"/>
  <c r="M212" i="4"/>
  <c r="F11" i="8"/>
  <c r="F11" i="17"/>
  <c r="BH11" i="17" s="1"/>
  <c r="F10" i="13"/>
  <c r="F28" i="17"/>
  <c r="F27" i="13"/>
  <c r="F28" i="8"/>
  <c r="M208" i="4"/>
  <c r="S208" i="4"/>
  <c r="F27" i="17"/>
  <c r="G26" i="13"/>
  <c r="F26" i="13"/>
  <c r="F27" i="8"/>
  <c r="F34" i="13"/>
  <c r="F35" i="8"/>
  <c r="F35" i="17"/>
  <c r="F19" i="8"/>
  <c r="H18" i="13"/>
  <c r="F19" i="17"/>
  <c r="BH19" i="17" s="1"/>
  <c r="F18" i="13"/>
  <c r="F3" i="17"/>
  <c r="F3" i="8"/>
  <c r="F2" i="13"/>
  <c r="AV2" i="13" s="1"/>
  <c r="M178" i="4"/>
  <c r="S178" i="4"/>
  <c r="M223" i="4"/>
  <c r="S223" i="4"/>
  <c r="S133" i="4"/>
  <c r="M133" i="4"/>
  <c r="M88" i="4"/>
  <c r="S88" i="4"/>
  <c r="M132" i="4"/>
  <c r="S132" i="4"/>
  <c r="S87" i="4"/>
  <c r="M87" i="4"/>
  <c r="S177" i="4"/>
  <c r="M177" i="4"/>
  <c r="S222" i="4"/>
  <c r="M222" i="4"/>
  <c r="M85" i="4"/>
  <c r="M42" i="4"/>
  <c r="S42" i="4" s="1"/>
  <c r="M220" i="4"/>
  <c r="BF11" i="17" l="1"/>
  <c r="BG11" i="17"/>
  <c r="BF19" i="17"/>
  <c r="BG19" i="17"/>
  <c r="AX10" i="13"/>
  <c r="AW10" i="13"/>
  <c r="AV10" i="13"/>
  <c r="AT2" i="13"/>
  <c r="AU2" i="13"/>
  <c r="CN34" i="13"/>
  <c r="CF34" i="13"/>
  <c r="CL34" i="13"/>
  <c r="CH34" i="13"/>
  <c r="CD34" i="13"/>
  <c r="CJ34" i="13"/>
  <c r="CG34" i="13"/>
  <c r="CM34" i="13"/>
  <c r="CE34" i="13"/>
  <c r="CK34" i="13"/>
  <c r="CI34" i="13"/>
  <c r="BW35" i="8"/>
  <c r="BV35" i="8"/>
  <c r="BD19" i="17"/>
  <c r="BE19" i="17"/>
  <c r="BE11" i="17"/>
  <c r="BD11" i="17"/>
  <c r="BB11" i="17"/>
  <c r="BC11" i="17"/>
  <c r="BB19" i="17"/>
  <c r="BC19" i="17"/>
  <c r="BL35" i="8"/>
  <c r="BN35" i="8"/>
  <c r="BT35" i="8"/>
  <c r="BQ35" i="8"/>
  <c r="BR35" i="8"/>
  <c r="BS35" i="8"/>
  <c r="BU35" i="8"/>
  <c r="BP35" i="8"/>
  <c r="BO35" i="8"/>
  <c r="BM35" i="8"/>
  <c r="BE27" i="8"/>
  <c r="BJ27" i="8"/>
  <c r="BF27" i="8"/>
  <c r="BN27" i="8"/>
  <c r="BM27" i="8"/>
  <c r="BH27" i="8"/>
  <c r="BL27" i="8"/>
  <c r="BK27" i="8"/>
  <c r="BO27" i="8"/>
  <c r="BG27" i="8"/>
  <c r="BI27" i="8"/>
  <c r="BA19" i="8"/>
  <c r="AX19" i="8"/>
  <c r="BB19" i="8"/>
  <c r="AZ19" i="8"/>
  <c r="BE19" i="8"/>
  <c r="AW19" i="8"/>
  <c r="BF19" i="8"/>
  <c r="AY19" i="8"/>
  <c r="BD19" i="8"/>
  <c r="BC19" i="8"/>
  <c r="AS2" i="13"/>
  <c r="AR2" i="13"/>
  <c r="AQ2" i="13"/>
  <c r="AP2" i="13"/>
  <c r="AO2" i="13"/>
  <c r="AN2" i="13"/>
  <c r="AY11" i="17"/>
  <c r="BA11" i="17"/>
  <c r="AZ11" i="17"/>
  <c r="AY19" i="17"/>
  <c r="AZ19" i="17"/>
  <c r="BA19" i="17"/>
  <c r="AX19" i="17"/>
  <c r="AW19" i="17"/>
  <c r="AX11" i="17"/>
  <c r="AW11" i="17"/>
  <c r="AU11" i="17"/>
  <c r="AV11" i="17"/>
  <c r="AU19" i="17"/>
  <c r="AV19" i="17"/>
  <c r="F13" i="17"/>
  <c r="AS10" i="13"/>
  <c r="AQ10" i="13"/>
  <c r="AR10" i="13"/>
  <c r="AU10" i="13"/>
  <c r="AP10" i="13"/>
  <c r="AT10" i="13"/>
  <c r="AO10" i="13"/>
  <c r="BH27" i="13"/>
  <c r="BM27" i="13"/>
  <c r="BO27" i="13"/>
  <c r="BG27" i="13"/>
  <c r="BN27" i="13"/>
  <c r="BD27" i="13"/>
  <c r="BI27" i="13"/>
  <c r="BJ27" i="13"/>
  <c r="BK27" i="13"/>
  <c r="BP27" i="13"/>
  <c r="BL27" i="13"/>
  <c r="BE27" i="13"/>
  <c r="BF27" i="13"/>
  <c r="BJ28" i="8"/>
  <c r="BQ28" i="8"/>
  <c r="BH28" i="8"/>
  <c r="BR28" i="8"/>
  <c r="BL28" i="8"/>
  <c r="BF28" i="8"/>
  <c r="BM28" i="8"/>
  <c r="BN28" i="8"/>
  <c r="BG28" i="8"/>
  <c r="BI28" i="8"/>
  <c r="BP28" i="8"/>
  <c r="BO28" i="8"/>
  <c r="BK28" i="8"/>
  <c r="BU34" i="13"/>
  <c r="CB34" i="13"/>
  <c r="BT34" i="13"/>
  <c r="CA34" i="13"/>
  <c r="BZ34" i="13"/>
  <c r="BN34" i="13"/>
  <c r="BR34" i="13"/>
  <c r="BQ34" i="13"/>
  <c r="BO34" i="13"/>
  <c r="BM34" i="13"/>
  <c r="BP34" i="13"/>
  <c r="BS34" i="13"/>
  <c r="BY34" i="13"/>
  <c r="BX34" i="13"/>
  <c r="BW34" i="13"/>
  <c r="BV34" i="13"/>
  <c r="CC34" i="13"/>
  <c r="AI2" i="13"/>
  <c r="AJ2" i="13"/>
  <c r="AM2" i="13"/>
  <c r="AL2" i="13"/>
  <c r="AK2" i="13"/>
  <c r="F12" i="13"/>
  <c r="F13" i="8"/>
  <c r="F20" i="17"/>
  <c r="F20" i="13"/>
  <c r="BM20" i="13" s="1"/>
  <c r="F21" i="8"/>
  <c r="BO21" i="8" s="1"/>
  <c r="F21" i="17"/>
  <c r="BR21" i="17" s="1"/>
  <c r="V219" i="4"/>
  <c r="X219" i="4" s="1"/>
  <c r="F5" i="8"/>
  <c r="F5" i="17"/>
  <c r="BR5" i="17" s="1"/>
  <c r="F4" i="13"/>
  <c r="F4" i="8"/>
  <c r="F3" i="13"/>
  <c r="F4" i="17"/>
  <c r="F12" i="8"/>
  <c r="F12" i="17"/>
  <c r="BR12" i="17" s="1"/>
  <c r="F11" i="13"/>
  <c r="F37" i="8"/>
  <c r="F37" i="17"/>
  <c r="F36" i="13"/>
  <c r="F29" i="17"/>
  <c r="F29" i="8"/>
  <c r="F28" i="13"/>
  <c r="F20" i="8"/>
  <c r="F19" i="13"/>
  <c r="AD11" i="8"/>
  <c r="AH11" i="8"/>
  <c r="AL11" i="8"/>
  <c r="AI11" i="8"/>
  <c r="AC11" i="8"/>
  <c r="AE11" i="8"/>
  <c r="AJ11" i="8"/>
  <c r="AF11" i="8"/>
  <c r="AG11" i="8"/>
  <c r="AK11" i="8"/>
  <c r="AS11" i="17"/>
  <c r="AQ11" i="17"/>
  <c r="AK11" i="17"/>
  <c r="AO11" i="17"/>
  <c r="AN11" i="17"/>
  <c r="AM11" i="17"/>
  <c r="AT11" i="17"/>
  <c r="AR11" i="17"/>
  <c r="AP11" i="17"/>
  <c r="AL11" i="17"/>
  <c r="AF10" i="13"/>
  <c r="AE10" i="13"/>
  <c r="AD10" i="13"/>
  <c r="AD15" i="13" s="1"/>
  <c r="AB10" i="13"/>
  <c r="AB15" i="13" s="1"/>
  <c r="AI10" i="13"/>
  <c r="AH10" i="13"/>
  <c r="AG10" i="13"/>
  <c r="AN10" i="13"/>
  <c r="AK10" i="13"/>
  <c r="AM10" i="13"/>
  <c r="AL10" i="13"/>
  <c r="AC10" i="13"/>
  <c r="AC15" i="13" s="1"/>
  <c r="AJ10" i="13"/>
  <c r="AU27" i="13"/>
  <c r="AZ27" i="13"/>
  <c r="AW27" i="13"/>
  <c r="AY27" i="13"/>
  <c r="AV27" i="13"/>
  <c r="BB27" i="13"/>
  <c r="BA27" i="13"/>
  <c r="AX27" i="13"/>
  <c r="BC27" i="13"/>
  <c r="AS27" i="13"/>
  <c r="AT27" i="13"/>
  <c r="AR28" i="8"/>
  <c r="AR32" i="8" s="1"/>
  <c r="AX28" i="8"/>
  <c r="AT28" i="8"/>
  <c r="AT32" i="8" s="1"/>
  <c r="AP28" i="8"/>
  <c r="AP32" i="8" s="1"/>
  <c r="AV28" i="8"/>
  <c r="AU28" i="8"/>
  <c r="AW28" i="8"/>
  <c r="BC28" i="8"/>
  <c r="AO28" i="8"/>
  <c r="AO32" i="8" s="1"/>
  <c r="AN28" i="8"/>
  <c r="AN32" i="8" s="1"/>
  <c r="AZ28" i="8"/>
  <c r="BE28" i="8"/>
  <c r="AY28" i="8"/>
  <c r="BD28" i="8"/>
  <c r="BB28" i="8"/>
  <c r="AS28" i="8"/>
  <c r="AS32" i="8" s="1"/>
  <c r="AM28" i="8"/>
  <c r="AM32" i="8" s="1"/>
  <c r="BA28" i="8"/>
  <c r="AL28" i="8"/>
  <c r="AL32" i="8" s="1"/>
  <c r="AQ28" i="8"/>
  <c r="AQ32" i="8" s="1"/>
  <c r="AL11" i="13"/>
  <c r="F36" i="8"/>
  <c r="F36" i="17"/>
  <c r="F35" i="13"/>
  <c r="AY29" i="8"/>
  <c r="AZ29" i="8"/>
  <c r="AX29" i="8"/>
  <c r="BA29" i="8"/>
  <c r="AP26" i="13"/>
  <c r="AP31" i="13" s="1"/>
  <c r="CF26" i="13"/>
  <c r="BZ26" i="13"/>
  <c r="AL26" i="13"/>
  <c r="AL31" i="13" s="1"/>
  <c r="BW26" i="13"/>
  <c r="BO26" i="13"/>
  <c r="CJ26" i="13"/>
  <c r="AA26" i="13"/>
  <c r="AA31" i="13" s="1"/>
  <c r="AQ26" i="13"/>
  <c r="AQ31" i="13" s="1"/>
  <c r="BY26" i="13"/>
  <c r="AC26" i="13"/>
  <c r="AC31" i="13" s="1"/>
  <c r="CT26" i="13"/>
  <c r="CT31" i="13" s="1"/>
  <c r="X26" i="13"/>
  <c r="X31" i="13" s="1"/>
  <c r="CB26" i="13"/>
  <c r="AK26" i="13"/>
  <c r="AK31" i="13" s="1"/>
  <c r="CE26" i="13"/>
  <c r="CM26" i="13"/>
  <c r="CK26" i="13"/>
  <c r="BX26" i="13"/>
  <c r="BE26" i="13"/>
  <c r="CH26" i="13"/>
  <c r="AF26" i="13"/>
  <c r="AF31" i="13" s="1"/>
  <c r="V26" i="13"/>
  <c r="V31" i="13" s="1"/>
  <c r="BG26" i="13"/>
  <c r="U26" i="13"/>
  <c r="U31" i="13" s="1"/>
  <c r="BJ26" i="13"/>
  <c r="Y26" i="13"/>
  <c r="Y31" i="13" s="1"/>
  <c r="BK26" i="13"/>
  <c r="BI26" i="13"/>
  <c r="AH26" i="13"/>
  <c r="AH31" i="13" s="1"/>
  <c r="BV26" i="13"/>
  <c r="AN26" i="13"/>
  <c r="AN31" i="13" s="1"/>
  <c r="AJ26" i="13"/>
  <c r="AJ31" i="13" s="1"/>
  <c r="CO26" i="13"/>
  <c r="BR26" i="13"/>
  <c r="CS26" i="13"/>
  <c r="AG26" i="13"/>
  <c r="AG31" i="13" s="1"/>
  <c r="Z26" i="13"/>
  <c r="Z31" i="13" s="1"/>
  <c r="BS26" i="13"/>
  <c r="CG26" i="13"/>
  <c r="AB26" i="13"/>
  <c r="AB31" i="13" s="1"/>
  <c r="CR26" i="13"/>
  <c r="CN26" i="13"/>
  <c r="BT26" i="13"/>
  <c r="AY26" i="13"/>
  <c r="CC26" i="13"/>
  <c r="BL26" i="13"/>
  <c r="CP26" i="13"/>
  <c r="K26" i="13"/>
  <c r="K31" i="13" s="1"/>
  <c r="CL26" i="13"/>
  <c r="BB26" i="13"/>
  <c r="BC26" i="13"/>
  <c r="N26" i="13"/>
  <c r="N31" i="13" s="1"/>
  <c r="J26" i="13"/>
  <c r="AO26" i="13"/>
  <c r="AO31" i="13" s="1"/>
  <c r="AZ26" i="13"/>
  <c r="BN26" i="13"/>
  <c r="S26" i="13"/>
  <c r="S31" i="13" s="1"/>
  <c r="BA26" i="13"/>
  <c r="I26" i="13"/>
  <c r="BU26" i="13"/>
  <c r="Q26" i="13"/>
  <c r="Q31" i="13" s="1"/>
  <c r="AR26" i="13"/>
  <c r="AR31" i="13" s="1"/>
  <c r="AT26" i="13"/>
  <c r="CQ26" i="13"/>
  <c r="CI26" i="13"/>
  <c r="CA26" i="13"/>
  <c r="M26" i="13"/>
  <c r="M31" i="13" s="1"/>
  <c r="AD26" i="13"/>
  <c r="AD31" i="13" s="1"/>
  <c r="AM26" i="13"/>
  <c r="AM31" i="13" s="1"/>
  <c r="O26" i="13"/>
  <c r="O31" i="13" s="1"/>
  <c r="AI26" i="13"/>
  <c r="AI31" i="13" s="1"/>
  <c r="CD26" i="13"/>
  <c r="L26" i="13"/>
  <c r="L31" i="13" s="1"/>
  <c r="W26" i="13"/>
  <c r="W31" i="13" s="1"/>
  <c r="P26" i="13"/>
  <c r="P31" i="13" s="1"/>
  <c r="BM26" i="13"/>
  <c r="R26" i="13"/>
  <c r="R31" i="13" s="1"/>
  <c r="AE26" i="13"/>
  <c r="AE31" i="13" s="1"/>
  <c r="BP26" i="13"/>
  <c r="BH26" i="13"/>
  <c r="T26" i="13"/>
  <c r="T31" i="13" s="1"/>
  <c r="BQ26" i="13"/>
  <c r="BD26" i="13"/>
  <c r="AX26" i="13"/>
  <c r="AW26" i="13"/>
  <c r="AU26" i="13"/>
  <c r="AS26" i="13"/>
  <c r="BF26" i="13"/>
  <c r="AV26" i="13"/>
  <c r="AW27" i="8"/>
  <c r="BA27" i="8"/>
  <c r="AY27" i="8"/>
  <c r="BB27" i="8"/>
  <c r="AU27" i="8"/>
  <c r="AX27" i="8"/>
  <c r="AZ27" i="8"/>
  <c r="AV27" i="8"/>
  <c r="BD27" i="8"/>
  <c r="BC27" i="8"/>
  <c r="BC34" i="13"/>
  <c r="AS34" i="13"/>
  <c r="AS39" i="13" s="1"/>
  <c r="AQ34" i="13"/>
  <c r="AQ39" i="13" s="1"/>
  <c r="BG34" i="13"/>
  <c r="BL34" i="13"/>
  <c r="AZ34" i="13"/>
  <c r="BF34" i="13"/>
  <c r="AX34" i="13"/>
  <c r="BB34" i="13"/>
  <c r="AT34" i="13"/>
  <c r="AT39" i="13" s="1"/>
  <c r="BD34" i="13"/>
  <c r="AU34" i="13"/>
  <c r="AU39" i="13" s="1"/>
  <c r="BK34" i="13"/>
  <c r="AP34" i="13"/>
  <c r="AP39" i="13" s="1"/>
  <c r="BH34" i="13"/>
  <c r="BJ34" i="13"/>
  <c r="BA34" i="13"/>
  <c r="AY34" i="13"/>
  <c r="AV34" i="13"/>
  <c r="AV39" i="13" s="1"/>
  <c r="BI34" i="13"/>
  <c r="AW34" i="13"/>
  <c r="AW39" i="13" s="1"/>
  <c r="BE34" i="13"/>
  <c r="AR34" i="13"/>
  <c r="AR39" i="13" s="1"/>
  <c r="AZ35" i="8"/>
  <c r="BB35" i="8"/>
  <c r="BG35" i="8"/>
  <c r="BF35" i="8"/>
  <c r="BI35" i="8"/>
  <c r="BA35" i="8"/>
  <c r="BE35" i="8"/>
  <c r="BH35" i="8"/>
  <c r="BC35" i="8"/>
  <c r="BD35" i="8"/>
  <c r="AQ19" i="8"/>
  <c r="AO19" i="8"/>
  <c r="AR19" i="8"/>
  <c r="AL19" i="8"/>
  <c r="AP19" i="8"/>
  <c r="AN19" i="8"/>
  <c r="AM19" i="8"/>
  <c r="AI19" i="8"/>
  <c r="AJ19" i="8"/>
  <c r="AK19" i="8"/>
  <c r="V18" i="13"/>
  <c r="V23" i="13" s="1"/>
  <c r="BQ18" i="13"/>
  <c r="AP18" i="13"/>
  <c r="AY18" i="13"/>
  <c r="AX18" i="13"/>
  <c r="AW18" i="13"/>
  <c r="AO18" i="13"/>
  <c r="CN18" i="13"/>
  <c r="CN23" i="13" s="1"/>
  <c r="AM18" i="13"/>
  <c r="BY18" i="13"/>
  <c r="BY23" i="13" s="1"/>
  <c r="BR18" i="13"/>
  <c r="BR23" i="13" s="1"/>
  <c r="BK18" i="13"/>
  <c r="N18" i="13"/>
  <c r="N23" i="13" s="1"/>
  <c r="AU18" i="13"/>
  <c r="AC18" i="13"/>
  <c r="AF18" i="13"/>
  <c r="AD18" i="13"/>
  <c r="BL18" i="13"/>
  <c r="BD18" i="13"/>
  <c r="CR18" i="13"/>
  <c r="CR23" i="13" s="1"/>
  <c r="K18" i="13"/>
  <c r="K23" i="13" s="1"/>
  <c r="AL18" i="13"/>
  <c r="BS18" i="13"/>
  <c r="BS23" i="13" s="1"/>
  <c r="BF18" i="13"/>
  <c r="CE18" i="13"/>
  <c r="CE23" i="13" s="1"/>
  <c r="AH18" i="13"/>
  <c r="BU18" i="13"/>
  <c r="BU23" i="13" s="1"/>
  <c r="BB18" i="13"/>
  <c r="CK18" i="13"/>
  <c r="CK23" i="13" s="1"/>
  <c r="CH18" i="13"/>
  <c r="CH23" i="13" s="1"/>
  <c r="BW18" i="13"/>
  <c r="BW23" i="13" s="1"/>
  <c r="AG18" i="13"/>
  <c r="BX18" i="13"/>
  <c r="BX23" i="13" s="1"/>
  <c r="CL18" i="13"/>
  <c r="CL23" i="13" s="1"/>
  <c r="AV18" i="13"/>
  <c r="M18" i="13"/>
  <c r="M23" i="13" s="1"/>
  <c r="CM18" i="13"/>
  <c r="CM23" i="13" s="1"/>
  <c r="AB18" i="13"/>
  <c r="BO18" i="13"/>
  <c r="CC18" i="13"/>
  <c r="CC23" i="13" s="1"/>
  <c r="S18" i="13"/>
  <c r="S23" i="13" s="1"/>
  <c r="BH18" i="13"/>
  <c r="T18" i="13"/>
  <c r="T23" i="13" s="1"/>
  <c r="BN18" i="13"/>
  <c r="BJ18" i="13"/>
  <c r="CJ18" i="13"/>
  <c r="CJ23" i="13" s="1"/>
  <c r="Z18" i="13"/>
  <c r="Z23" i="13" s="1"/>
  <c r="AR18" i="13"/>
  <c r="CT18" i="13"/>
  <c r="CT23" i="13" s="1"/>
  <c r="AI18" i="13"/>
  <c r="AA18" i="13"/>
  <c r="AA23" i="13" s="1"/>
  <c r="BA18" i="13"/>
  <c r="CF18" i="13"/>
  <c r="CF23" i="13" s="1"/>
  <c r="X18" i="13"/>
  <c r="X23" i="13" s="1"/>
  <c r="U18" i="13"/>
  <c r="U23" i="13" s="1"/>
  <c r="AS18" i="13"/>
  <c r="O18" i="13"/>
  <c r="O23" i="13" s="1"/>
  <c r="BP18" i="13"/>
  <c r="Y18" i="13"/>
  <c r="Y23" i="13" s="1"/>
  <c r="BV18" i="13"/>
  <c r="BV23" i="13" s="1"/>
  <c r="CD18" i="13"/>
  <c r="CD23" i="13" s="1"/>
  <c r="AK18" i="13"/>
  <c r="P18" i="13"/>
  <c r="P23" i="13" s="1"/>
  <c r="CA18" i="13"/>
  <c r="CA23" i="13" s="1"/>
  <c r="BE18" i="13"/>
  <c r="AJ18" i="13"/>
  <c r="CS18" i="13"/>
  <c r="CS23" i="13" s="1"/>
  <c r="BZ18" i="13"/>
  <c r="BZ23" i="13" s="1"/>
  <c r="AT18" i="13"/>
  <c r="Q18" i="13"/>
  <c r="Q23" i="13" s="1"/>
  <c r="L18" i="13"/>
  <c r="L23" i="13" s="1"/>
  <c r="I18" i="13"/>
  <c r="CQ18" i="13"/>
  <c r="CQ23" i="13" s="1"/>
  <c r="AZ18" i="13"/>
  <c r="CB18" i="13"/>
  <c r="CB23" i="13" s="1"/>
  <c r="CO18" i="13"/>
  <c r="CO23" i="13" s="1"/>
  <c r="AN18" i="13"/>
  <c r="J18" i="13"/>
  <c r="BC18" i="13"/>
  <c r="AE18" i="13"/>
  <c r="BI18" i="13"/>
  <c r="CG18" i="13"/>
  <c r="CG23" i="13" s="1"/>
  <c r="AQ18" i="13"/>
  <c r="W18" i="13"/>
  <c r="W23" i="13" s="1"/>
  <c r="CP18" i="13"/>
  <c r="CP23" i="13" s="1"/>
  <c r="BT18" i="13"/>
  <c r="BT23" i="13" s="1"/>
  <c r="BM18" i="13"/>
  <c r="R18" i="13"/>
  <c r="R23" i="13" s="1"/>
  <c r="BG18" i="13"/>
  <c r="CI18" i="13"/>
  <c r="CI23" i="13" s="1"/>
  <c r="AT19" i="17"/>
  <c r="AP19" i="17"/>
  <c r="AR19" i="17"/>
  <c r="AS19" i="17"/>
  <c r="AQ19" i="17"/>
  <c r="AM19" i="17"/>
  <c r="AL19" i="17"/>
  <c r="AO19" i="17"/>
  <c r="AN19" i="17"/>
  <c r="AK19" i="17"/>
  <c r="BG37" i="8"/>
  <c r="BJ37" i="8"/>
  <c r="BH37" i="8"/>
  <c r="BC37" i="8"/>
  <c r="BK37" i="8"/>
  <c r="BE37" i="8"/>
  <c r="BA37" i="8"/>
  <c r="AR20" i="13"/>
  <c r="AT20" i="13"/>
  <c r="AQ20" i="13"/>
  <c r="AP20" i="13"/>
  <c r="AL20" i="13"/>
  <c r="AS20" i="13"/>
  <c r="AN20" i="13"/>
  <c r="AO20" i="13"/>
  <c r="AX20" i="13"/>
  <c r="AH20" i="13"/>
  <c r="AM20" i="13"/>
  <c r="AV20" i="13"/>
  <c r="AW20" i="13"/>
  <c r="AI20" i="13"/>
  <c r="AJ20" i="13"/>
  <c r="AU20" i="13"/>
  <c r="AK20" i="13"/>
  <c r="AG20" i="13"/>
  <c r="AG21" i="8"/>
  <c r="AI21" i="8"/>
  <c r="AH21" i="8"/>
  <c r="AK21" i="17"/>
  <c r="AE13" i="17"/>
  <c r="AE16" i="17" s="1"/>
  <c r="AF13" i="17"/>
  <c r="AF16" i="17" s="1"/>
  <c r="AH13" i="17"/>
  <c r="AH16" i="17" s="1"/>
  <c r="AG13" i="17"/>
  <c r="AG16" i="17" s="1"/>
  <c r="AD13" i="17"/>
  <c r="AD16" i="17" s="1"/>
  <c r="AR12" i="13"/>
  <c r="AP12" i="13"/>
  <c r="AQ12" i="13"/>
  <c r="AS12" i="13"/>
  <c r="AG13" i="8"/>
  <c r="AC13" i="8"/>
  <c r="AD13" i="8"/>
  <c r="AE13" i="8"/>
  <c r="AF13" i="8"/>
  <c r="AJ4" i="8"/>
  <c r="AC3" i="8"/>
  <c r="X3" i="8"/>
  <c r="AE3" i="8"/>
  <c r="W3" i="8"/>
  <c r="V3" i="8"/>
  <c r="V8" i="8" s="1"/>
  <c r="Z3" i="8"/>
  <c r="AB3" i="8"/>
  <c r="Y3" i="8"/>
  <c r="AA3" i="8"/>
  <c r="AD3" i="8"/>
  <c r="AH2" i="13"/>
  <c r="AF2" i="13"/>
  <c r="AE2" i="13"/>
  <c r="AB2" i="13"/>
  <c r="AB7" i="13" s="1"/>
  <c r="AC2" i="13"/>
  <c r="AC7" i="13" s="1"/>
  <c r="AA2" i="13"/>
  <c r="AA7" i="13" s="1"/>
  <c r="AD2" i="13"/>
  <c r="AG2" i="13"/>
  <c r="AA5" i="8"/>
  <c r="Z5" i="8"/>
  <c r="X5" i="8"/>
  <c r="F21" i="13"/>
  <c r="F22" i="17"/>
  <c r="F22" i="8"/>
  <c r="F13" i="13"/>
  <c r="F14" i="17"/>
  <c r="F14" i="8"/>
  <c r="F30" i="8"/>
  <c r="F29" i="13"/>
  <c r="F30" i="17"/>
  <c r="F37" i="13"/>
  <c r="F38" i="8"/>
  <c r="F38" i="17"/>
  <c r="F5" i="13"/>
  <c r="F6" i="8"/>
  <c r="F6" i="17"/>
  <c r="V132" i="4"/>
  <c r="X132" i="4" s="1"/>
  <c r="V129" i="4"/>
  <c r="X129" i="4" s="1"/>
  <c r="V87" i="4"/>
  <c r="X87" i="4" s="1"/>
  <c r="V84" i="4"/>
  <c r="X84" i="4" s="1"/>
  <c r="V174" i="4"/>
  <c r="X174" i="4" s="1"/>
  <c r="V177" i="4"/>
  <c r="X177" i="4" s="1"/>
  <c r="V42" i="4"/>
  <c r="X42" i="4" s="1"/>
  <c r="V39" i="4"/>
  <c r="X39" i="4" s="1"/>
  <c r="DB38" i="17" l="1"/>
  <c r="CY38" i="17"/>
  <c r="DC38" i="17"/>
  <c r="CZ38" i="17"/>
  <c r="DD38" i="17"/>
  <c r="DA38" i="17"/>
  <c r="DE38" i="17"/>
  <c r="AR3" i="13"/>
  <c r="AU3" i="13"/>
  <c r="BQ13" i="17"/>
  <c r="BR13" i="17"/>
  <c r="BR16" i="17" s="1"/>
  <c r="BK14" i="17"/>
  <c r="BL14" i="17"/>
  <c r="BP21" i="17"/>
  <c r="BQ21" i="17"/>
  <c r="BP5" i="17"/>
  <c r="BQ5" i="17"/>
  <c r="BP12" i="17"/>
  <c r="BQ12" i="17"/>
  <c r="BJ13" i="17"/>
  <c r="BI13" i="17"/>
  <c r="BO13" i="17"/>
  <c r="BM13" i="17"/>
  <c r="BL13" i="17"/>
  <c r="BK13" i="17"/>
  <c r="BF13" i="17"/>
  <c r="BN13" i="17"/>
  <c r="BH13" i="17"/>
  <c r="BG13" i="17"/>
  <c r="BP13" i="17"/>
  <c r="BE13" i="17"/>
  <c r="BI14" i="17"/>
  <c r="BJ14" i="17"/>
  <c r="BH14" i="17"/>
  <c r="BK21" i="13"/>
  <c r="BP21" i="13"/>
  <c r="BP23" i="13" s="1"/>
  <c r="BH21" i="13"/>
  <c r="BL21" i="13"/>
  <c r="BO21" i="13"/>
  <c r="BO23" i="13" s="1"/>
  <c r="BQ21" i="13"/>
  <c r="BQ23" i="13" s="1"/>
  <c r="BN21" i="13"/>
  <c r="BN23" i="13" s="1"/>
  <c r="BI21" i="13"/>
  <c r="BM21" i="13"/>
  <c r="BM23" i="13" s="1"/>
  <c r="BJ21" i="13"/>
  <c r="CG38" i="8"/>
  <c r="CQ38" i="8"/>
  <c r="CS38" i="8"/>
  <c r="CV38" i="8"/>
  <c r="CW38" i="8"/>
  <c r="CT38" i="8"/>
  <c r="CR38" i="8"/>
  <c r="CU38" i="8"/>
  <c r="CE37" i="13"/>
  <c r="CT37" i="13"/>
  <c r="CL37" i="13"/>
  <c r="CN37" i="13"/>
  <c r="CR37" i="13"/>
  <c r="CO37" i="13"/>
  <c r="CJ37" i="13"/>
  <c r="CG37" i="13"/>
  <c r="CF37" i="13"/>
  <c r="CM37" i="13"/>
  <c r="CP37" i="13"/>
  <c r="CS37" i="13"/>
  <c r="CH37" i="13"/>
  <c r="CK37" i="13"/>
  <c r="CQ37" i="13"/>
  <c r="CI37" i="13"/>
  <c r="BI20" i="8"/>
  <c r="BJ20" i="8"/>
  <c r="CL28" i="13"/>
  <c r="CM28" i="13"/>
  <c r="AU4" i="13"/>
  <c r="AW4" i="13"/>
  <c r="AV4" i="13"/>
  <c r="CO29" i="8"/>
  <c r="CN29" i="8"/>
  <c r="AW5" i="8"/>
  <c r="AX5" i="8"/>
  <c r="AY5" i="8"/>
  <c r="CR36" i="13"/>
  <c r="CS36" i="13"/>
  <c r="CT36" i="13"/>
  <c r="CQ36" i="13"/>
  <c r="CU37" i="8"/>
  <c r="CT37" i="8"/>
  <c r="CS37" i="8"/>
  <c r="CV37" i="8"/>
  <c r="CW37" i="8"/>
  <c r="BK20" i="17"/>
  <c r="BJ20" i="17"/>
  <c r="BS22" i="8"/>
  <c r="BS24" i="8" s="1"/>
  <c r="BJ22" i="8"/>
  <c r="BF22" i="8"/>
  <c r="BG22" i="8"/>
  <c r="BR22" i="8"/>
  <c r="BR24" i="8" s="1"/>
  <c r="BO22" i="8"/>
  <c r="BO24" i="8" s="1"/>
  <c r="BI22" i="8"/>
  <c r="BK22" i="8"/>
  <c r="BL22" i="8"/>
  <c r="BH22" i="8"/>
  <c r="BM22" i="8"/>
  <c r="BQ22" i="8"/>
  <c r="BQ24" i="8" s="1"/>
  <c r="BP22" i="8"/>
  <c r="BP24" i="8" s="1"/>
  <c r="BN22" i="8"/>
  <c r="BH19" i="13"/>
  <c r="BG19" i="13"/>
  <c r="BO12" i="17"/>
  <c r="BN12" i="17"/>
  <c r="BO5" i="17"/>
  <c r="BN5" i="17"/>
  <c r="BN21" i="17"/>
  <c r="BO21" i="17"/>
  <c r="BL21" i="17"/>
  <c r="BM21" i="17"/>
  <c r="BL5" i="17"/>
  <c r="BM5" i="17"/>
  <c r="BL12" i="17"/>
  <c r="BM12" i="17"/>
  <c r="BH20" i="17"/>
  <c r="BI20" i="17"/>
  <c r="BL20" i="13"/>
  <c r="BI20" i="13"/>
  <c r="BH20" i="13"/>
  <c r="BG20" i="13"/>
  <c r="BF20" i="13"/>
  <c r="BK20" i="13"/>
  <c r="BJ20" i="13"/>
  <c r="BD21" i="8"/>
  <c r="BF21" i="8"/>
  <c r="BJ21" i="8"/>
  <c r="BL21" i="8"/>
  <c r="BM21" i="8"/>
  <c r="BH21" i="8"/>
  <c r="BG21" i="8"/>
  <c r="BI21" i="8"/>
  <c r="BK21" i="8"/>
  <c r="BN21" i="8"/>
  <c r="BE21" i="8"/>
  <c r="BG20" i="8"/>
  <c r="BH20" i="8"/>
  <c r="BF19" i="13"/>
  <c r="BE19" i="13"/>
  <c r="BE23" i="13" s="1"/>
  <c r="AZ5" i="13"/>
  <c r="AZ7" i="13" s="1"/>
  <c r="AY5" i="13"/>
  <c r="AY7" i="13" s="1"/>
  <c r="AI13" i="17"/>
  <c r="AI16" i="17" s="1"/>
  <c r="BC13" i="17"/>
  <c r="BD13" i="17"/>
  <c r="AZ12" i="13"/>
  <c r="BA12" i="13"/>
  <c r="BB13" i="8"/>
  <c r="BC13" i="8"/>
  <c r="BA12" i="8"/>
  <c r="AY12" i="8"/>
  <c r="AZ12" i="8"/>
  <c r="AX11" i="13"/>
  <c r="AW11" i="13"/>
  <c r="AY11" i="13"/>
  <c r="CR37" i="8"/>
  <c r="CL37" i="8"/>
  <c r="CL40" i="8" s="1"/>
  <c r="CN37" i="8"/>
  <c r="CN40" i="8" s="1"/>
  <c r="CJ37" i="8"/>
  <c r="CJ40" i="8" s="1"/>
  <c r="CI37" i="8"/>
  <c r="CI40" i="8" s="1"/>
  <c r="CH37" i="8"/>
  <c r="CH40" i="8" s="1"/>
  <c r="CP37" i="8"/>
  <c r="CP40" i="8" s="1"/>
  <c r="CF37" i="8"/>
  <c r="CQ37" i="8"/>
  <c r="CO37" i="8"/>
  <c r="CO40" i="8" s="1"/>
  <c r="CM37" i="8"/>
  <c r="CM40" i="8" s="1"/>
  <c r="CK37" i="8"/>
  <c r="CK40" i="8" s="1"/>
  <c r="CG37" i="8"/>
  <c r="CI36" i="13"/>
  <c r="CP36" i="13"/>
  <c r="CH36" i="13"/>
  <c r="CO36" i="13"/>
  <c r="CG36" i="13"/>
  <c r="CN36" i="13"/>
  <c r="CF36" i="13"/>
  <c r="CM36" i="13"/>
  <c r="CE36" i="13"/>
  <c r="CL36" i="13"/>
  <c r="CD36" i="13"/>
  <c r="CK36" i="13"/>
  <c r="CJ36" i="13"/>
  <c r="CL29" i="8"/>
  <c r="CA29" i="8"/>
  <c r="CA32" i="8" s="1"/>
  <c r="CF29" i="8"/>
  <c r="CF32" i="8" s="1"/>
  <c r="BZ29" i="8"/>
  <c r="BZ32" i="8" s="1"/>
  <c r="CG29" i="8"/>
  <c r="CG32" i="8" s="1"/>
  <c r="BW29" i="8"/>
  <c r="CC29" i="8"/>
  <c r="CC32" i="8" s="1"/>
  <c r="CM29" i="8"/>
  <c r="CB29" i="8"/>
  <c r="CB32" i="8" s="1"/>
  <c r="CH29" i="8"/>
  <c r="BY29" i="8"/>
  <c r="CK29" i="8"/>
  <c r="CI29" i="8"/>
  <c r="CJ29" i="8"/>
  <c r="CD29" i="8"/>
  <c r="CD32" i="8" s="1"/>
  <c r="CE29" i="8"/>
  <c r="CE32" i="8" s="1"/>
  <c r="BX29" i="8"/>
  <c r="BU28" i="13"/>
  <c r="CF28" i="13"/>
  <c r="BV28" i="13"/>
  <c r="CK28" i="13"/>
  <c r="CD28" i="13"/>
  <c r="BW28" i="13"/>
  <c r="CC28" i="13"/>
  <c r="BX28" i="13"/>
  <c r="CJ28" i="13"/>
  <c r="BY28" i="13"/>
  <c r="CG28" i="13"/>
  <c r="CE28" i="13"/>
  <c r="CB28" i="13"/>
  <c r="CI28" i="13"/>
  <c r="CA28" i="13"/>
  <c r="CH28" i="13"/>
  <c r="BZ28" i="13"/>
  <c r="CI30" i="8"/>
  <c r="CJ30" i="8"/>
  <c r="CP30" i="8"/>
  <c r="CP32" i="8" s="1"/>
  <c r="CM30" i="8"/>
  <c r="CK30" i="8"/>
  <c r="CH30" i="8"/>
  <c r="CO30" i="8"/>
  <c r="CT30" i="8"/>
  <c r="CT32" i="8" s="1"/>
  <c r="CL30" i="8"/>
  <c r="CS30" i="8"/>
  <c r="CS32" i="8" s="1"/>
  <c r="CQ30" i="8"/>
  <c r="CQ32" i="8" s="1"/>
  <c r="CR30" i="8"/>
  <c r="CR32" i="8" s="1"/>
  <c r="CN30" i="8"/>
  <c r="CU30" i="8"/>
  <c r="CU32" i="8" s="1"/>
  <c r="BX29" i="13"/>
  <c r="CF29" i="13"/>
  <c r="CN29" i="13"/>
  <c r="CN31" i="13" s="1"/>
  <c r="CK29" i="13"/>
  <c r="CR29" i="13"/>
  <c r="CR31" i="13" s="1"/>
  <c r="CC29" i="13"/>
  <c r="BZ29" i="13"/>
  <c r="CJ29" i="13"/>
  <c r="CH29" i="13"/>
  <c r="CP29" i="13"/>
  <c r="CP31" i="13" s="1"/>
  <c r="CA29" i="13"/>
  <c r="BY29" i="13"/>
  <c r="CG29" i="13"/>
  <c r="CO29" i="13"/>
  <c r="CO31" i="13" s="1"/>
  <c r="CI29" i="13"/>
  <c r="CL29" i="13"/>
  <c r="CD29" i="13"/>
  <c r="CS29" i="13"/>
  <c r="CS31" i="13" s="1"/>
  <c r="CQ29" i="13"/>
  <c r="CQ31" i="13" s="1"/>
  <c r="CB29" i="13"/>
  <c r="CE29" i="13"/>
  <c r="CM29" i="13"/>
  <c r="BH38" i="8"/>
  <c r="BL38" i="8"/>
  <c r="BG38" i="8"/>
  <c r="BM38" i="8"/>
  <c r="BE38" i="8"/>
  <c r="BO38" i="8"/>
  <c r="BI38" i="8"/>
  <c r="BJ38" i="8"/>
  <c r="BP38" i="8"/>
  <c r="BF38" i="8"/>
  <c r="BK38" i="8"/>
  <c r="BN38" i="8"/>
  <c r="BI21" i="17"/>
  <c r="BK21" i="17"/>
  <c r="BJ21" i="17"/>
  <c r="BK5" i="17"/>
  <c r="BI5" i="17"/>
  <c r="BJ5" i="17"/>
  <c r="BI12" i="17"/>
  <c r="BJ12" i="17"/>
  <c r="BK12" i="17"/>
  <c r="AS13" i="17"/>
  <c r="AK13" i="17"/>
  <c r="AR13" i="17"/>
  <c r="AL13" i="17"/>
  <c r="AJ13" i="17"/>
  <c r="AJ16" i="17" s="1"/>
  <c r="AP13" i="17"/>
  <c r="AW13" i="17"/>
  <c r="AT13" i="17"/>
  <c r="AQ13" i="17"/>
  <c r="AN13" i="17"/>
  <c r="AZ13" i="17"/>
  <c r="AM13" i="17"/>
  <c r="AV13" i="17"/>
  <c r="AU13" i="17"/>
  <c r="AO13" i="17"/>
  <c r="BB13" i="17"/>
  <c r="AY13" i="17"/>
  <c r="BA13" i="17"/>
  <c r="BH5" i="17"/>
  <c r="BG5" i="17"/>
  <c r="BF21" i="17"/>
  <c r="BG21" i="17"/>
  <c r="BH21" i="17"/>
  <c r="AX13" i="17"/>
  <c r="BF12" i="17"/>
  <c r="BG12" i="17"/>
  <c r="BH12" i="17"/>
  <c r="BE5" i="17"/>
  <c r="BF5" i="17"/>
  <c r="AX12" i="13"/>
  <c r="AV12" i="13"/>
  <c r="AY12" i="13"/>
  <c r="AT12" i="13"/>
  <c r="AW12" i="13"/>
  <c r="AU12" i="13"/>
  <c r="AK13" i="8"/>
  <c r="AS13" i="8"/>
  <c r="AN13" i="8"/>
  <c r="BA13" i="8"/>
  <c r="AO13" i="8"/>
  <c r="AY13" i="8"/>
  <c r="AZ13" i="8"/>
  <c r="AP13" i="8"/>
  <c r="AR13" i="8"/>
  <c r="AW13" i="8"/>
  <c r="AX13" i="8"/>
  <c r="AV13" i="8"/>
  <c r="AQ13" i="8"/>
  <c r="AM13" i="8"/>
  <c r="AU13" i="8"/>
  <c r="AT13" i="8"/>
  <c r="AI13" i="8"/>
  <c r="AJ13" i="8"/>
  <c r="AL13" i="8"/>
  <c r="AH13" i="8"/>
  <c r="BF20" i="17"/>
  <c r="BD20" i="17"/>
  <c r="BB20" i="17"/>
  <c r="BC20" i="17"/>
  <c r="BE20" i="17"/>
  <c r="AX20" i="17"/>
  <c r="AY20" i="17"/>
  <c r="BG20" i="17"/>
  <c r="AZ20" i="17"/>
  <c r="AW20" i="17"/>
  <c r="BA20" i="17"/>
  <c r="BA20" i="13"/>
  <c r="AY20" i="13"/>
  <c r="AZ20" i="13"/>
  <c r="AS21" i="8"/>
  <c r="AL21" i="8"/>
  <c r="AV21" i="8"/>
  <c r="AQ21" i="8"/>
  <c r="AK21" i="8"/>
  <c r="AO21" i="8"/>
  <c r="AR21" i="8"/>
  <c r="AU21" i="8"/>
  <c r="AJ21" i="8"/>
  <c r="BA21" i="8"/>
  <c r="BC21" i="8"/>
  <c r="AW21" i="8"/>
  <c r="AM21" i="8"/>
  <c r="AN21" i="8"/>
  <c r="AY21" i="8"/>
  <c r="AZ21" i="8"/>
  <c r="BB21" i="8"/>
  <c r="AT21" i="8"/>
  <c r="AP21" i="8"/>
  <c r="AX21" i="8"/>
  <c r="AS21" i="17"/>
  <c r="AV21" i="17"/>
  <c r="AM21" i="17"/>
  <c r="AW21" i="17"/>
  <c r="BE21" i="17"/>
  <c r="AZ21" i="17"/>
  <c r="AN21" i="17"/>
  <c r="AO21" i="17"/>
  <c r="AU21" i="17"/>
  <c r="BD21" i="17"/>
  <c r="BA21" i="17"/>
  <c r="AR21" i="17"/>
  <c r="AL21" i="17"/>
  <c r="BC21" i="17"/>
  <c r="AP21" i="17"/>
  <c r="BB21" i="17"/>
  <c r="AY21" i="17"/>
  <c r="AQ21" i="17"/>
  <c r="AT21" i="17"/>
  <c r="AX21" i="17"/>
  <c r="AI5" i="8"/>
  <c r="AI8" i="8" s="1"/>
  <c r="AS5" i="8"/>
  <c r="AR5" i="8"/>
  <c r="AU5" i="8"/>
  <c r="AV5" i="8"/>
  <c r="AL5" i="8"/>
  <c r="AT5" i="8"/>
  <c r="AQ5" i="8"/>
  <c r="AK5" i="8"/>
  <c r="AP5" i="8"/>
  <c r="AN4" i="13"/>
  <c r="AP4" i="13"/>
  <c r="AT4" i="13"/>
  <c r="AS4" i="13"/>
  <c r="AR4" i="13"/>
  <c r="AQ4" i="13"/>
  <c r="AO4" i="13"/>
  <c r="AO12" i="8"/>
  <c r="AS12" i="8"/>
  <c r="AU12" i="8"/>
  <c r="AR12" i="8"/>
  <c r="AQ12" i="8"/>
  <c r="AP12" i="8"/>
  <c r="AT12" i="8"/>
  <c r="AV12" i="8"/>
  <c r="AW12" i="8"/>
  <c r="AX12" i="8"/>
  <c r="AP12" i="17"/>
  <c r="AL12" i="17"/>
  <c r="BC12" i="17"/>
  <c r="BE12" i="17"/>
  <c r="BD12" i="17"/>
  <c r="AJ11" i="13"/>
  <c r="AU11" i="13"/>
  <c r="AV11" i="13"/>
  <c r="AT11" i="13"/>
  <c r="BF37" i="8"/>
  <c r="BQ37" i="8"/>
  <c r="CC37" i="8"/>
  <c r="CA37" i="8"/>
  <c r="BZ37" i="8"/>
  <c r="CB37" i="8"/>
  <c r="CE37" i="8"/>
  <c r="BU37" i="8"/>
  <c r="BV37" i="8"/>
  <c r="BW37" i="8"/>
  <c r="BY37" i="8"/>
  <c r="BX37" i="8"/>
  <c r="BM37" i="8"/>
  <c r="BP37" i="8"/>
  <c r="BS37" i="8"/>
  <c r="BT37" i="8"/>
  <c r="CD37" i="8"/>
  <c r="BR37" i="8"/>
  <c r="BO37" i="8"/>
  <c r="BQ36" i="13"/>
  <c r="BS36" i="13"/>
  <c r="CA36" i="13"/>
  <c r="BU36" i="13"/>
  <c r="BT36" i="13"/>
  <c r="CB36" i="13"/>
  <c r="CC36" i="13"/>
  <c r="BZ36" i="13"/>
  <c r="BX36" i="13"/>
  <c r="BY36" i="13"/>
  <c r="BV36" i="13"/>
  <c r="BW36" i="13"/>
  <c r="BN29" i="8"/>
  <c r="BR29" i="8"/>
  <c r="BS29" i="8"/>
  <c r="BQ29" i="8"/>
  <c r="BP29" i="8"/>
  <c r="BT29" i="8"/>
  <c r="BU29" i="8"/>
  <c r="BV29" i="8"/>
  <c r="BM29" i="8"/>
  <c r="BF29" i="8"/>
  <c r="BF32" i="8" s="1"/>
  <c r="BJ28" i="13"/>
  <c r="BQ28" i="13"/>
  <c r="BP28" i="13"/>
  <c r="BN28" i="13"/>
  <c r="BT28" i="13"/>
  <c r="BS28" i="13"/>
  <c r="BR28" i="13"/>
  <c r="BO28" i="13"/>
  <c r="AZ20" i="8"/>
  <c r="AX20" i="8"/>
  <c r="BB20" i="8"/>
  <c r="BE20" i="8"/>
  <c r="BA20" i="8"/>
  <c r="AW20" i="8"/>
  <c r="BF20" i="8"/>
  <c r="AY20" i="8"/>
  <c r="BC20" i="8"/>
  <c r="AV20" i="8"/>
  <c r="BD20" i="8"/>
  <c r="BB19" i="13"/>
  <c r="AZ19" i="13"/>
  <c r="BA19" i="13"/>
  <c r="BC19" i="13"/>
  <c r="BD19" i="13"/>
  <c r="BD23" i="13" s="1"/>
  <c r="AY19" i="13"/>
  <c r="BT36" i="8"/>
  <c r="BS36" i="8"/>
  <c r="BQ36" i="8"/>
  <c r="BU36" i="8"/>
  <c r="BM36" i="8"/>
  <c r="BN36" i="8"/>
  <c r="BP36" i="8"/>
  <c r="BR36" i="8"/>
  <c r="BL36" i="8"/>
  <c r="BK36" i="8"/>
  <c r="BO36" i="8"/>
  <c r="BN35" i="13"/>
  <c r="BP35" i="13"/>
  <c r="BK35" i="13"/>
  <c r="BO35" i="13"/>
  <c r="BM35" i="13"/>
  <c r="BS35" i="13"/>
  <c r="BL35" i="13"/>
  <c r="BQ35" i="13"/>
  <c r="BR35" i="13"/>
  <c r="BB21" i="13"/>
  <c r="BC21" i="13"/>
  <c r="BD22" i="8"/>
  <c r="BE22" i="8"/>
  <c r="CC37" i="13"/>
  <c r="CD37" i="13"/>
  <c r="CE38" i="8"/>
  <c r="CF38" i="8"/>
  <c r="AO3" i="13"/>
  <c r="AM3" i="13"/>
  <c r="AQ3" i="13"/>
  <c r="AN3" i="13"/>
  <c r="AL3" i="13"/>
  <c r="AP3" i="13"/>
  <c r="AQ4" i="8"/>
  <c r="AN4" i="8"/>
  <c r="AR4" i="8"/>
  <c r="AP4" i="8"/>
  <c r="AO4" i="8"/>
  <c r="AS4" i="8"/>
  <c r="AS12" i="17"/>
  <c r="AK11" i="13"/>
  <c r="AM11" i="13"/>
  <c r="AI11" i="13"/>
  <c r="AH11" i="13"/>
  <c r="AG5" i="8"/>
  <c r="AG8" i="8" s="1"/>
  <c r="BJ29" i="8"/>
  <c r="BJ32" i="8" s="1"/>
  <c r="W5" i="8"/>
  <c r="W8" i="8" s="1"/>
  <c r="BB29" i="8"/>
  <c r="BB32" i="8" s="1"/>
  <c r="AV29" i="8"/>
  <c r="AV32" i="8" s="1"/>
  <c r="BE29" i="8"/>
  <c r="BE32" i="8" s="1"/>
  <c r="AH5" i="8"/>
  <c r="AH8" i="8" s="1"/>
  <c r="AO5" i="8"/>
  <c r="BO36" i="13"/>
  <c r="BC29" i="8"/>
  <c r="BC32" i="8" s="1"/>
  <c r="BL29" i="8"/>
  <c r="BO29" i="8"/>
  <c r="AB5" i="8"/>
  <c r="AB8" i="8" s="1"/>
  <c r="BG29" i="8"/>
  <c r="BG32" i="8" s="1"/>
  <c r="AD5" i="8"/>
  <c r="AD8" i="8" s="1"/>
  <c r="BK29" i="8"/>
  <c r="BK32" i="8" s="1"/>
  <c r="AF5" i="8"/>
  <c r="AF8" i="8" s="1"/>
  <c r="AE5" i="8"/>
  <c r="AE8" i="8" s="1"/>
  <c r="BI29" i="8"/>
  <c r="BI32" i="8" s="1"/>
  <c r="BD37" i="8"/>
  <c r="BL37" i="8"/>
  <c r="BR36" i="13"/>
  <c r="BN36" i="13"/>
  <c r="BN37" i="8"/>
  <c r="BP36" i="13"/>
  <c r="BB37" i="8"/>
  <c r="BI37" i="8"/>
  <c r="AZ12" i="17"/>
  <c r="AK12" i="17"/>
  <c r="AQ12" i="17"/>
  <c r="BH29" i="8"/>
  <c r="BH32" i="8" s="1"/>
  <c r="AM4" i="13"/>
  <c r="AM5" i="8"/>
  <c r="BD29" i="8"/>
  <c r="BD32" i="8" s="1"/>
  <c r="Y5" i="8"/>
  <c r="Y8" i="8" s="1"/>
  <c r="AW29" i="8"/>
  <c r="AW32" i="8" s="1"/>
  <c r="AU20" i="17"/>
  <c r="AR20" i="17"/>
  <c r="AV20" i="17"/>
  <c r="AN20" i="17"/>
  <c r="AQ20" i="17"/>
  <c r="AS20" i="17"/>
  <c r="AO20" i="17"/>
  <c r="AL20" i="17"/>
  <c r="AM20" i="17"/>
  <c r="AT20" i="17"/>
  <c r="AP20" i="17"/>
  <c r="AK20" i="17"/>
  <c r="AJ12" i="8"/>
  <c r="AM12" i="8"/>
  <c r="AI12" i="8"/>
  <c r="AD12" i="8"/>
  <c r="AD16" i="8" s="1"/>
  <c r="AA12" i="8"/>
  <c r="AA16" i="8" s="1"/>
  <c r="AF12" i="8"/>
  <c r="AF16" i="8" s="1"/>
  <c r="AK12" i="8"/>
  <c r="AB12" i="8"/>
  <c r="AB16" i="8" s="1"/>
  <c r="Y12" i="8"/>
  <c r="Y16" i="8" s="1"/>
  <c r="AE12" i="8"/>
  <c r="AE16" i="8" s="1"/>
  <c r="AC12" i="8"/>
  <c r="AC16" i="8" s="1"/>
  <c r="Z12" i="8"/>
  <c r="Z16" i="8" s="1"/>
  <c r="AH12" i="8"/>
  <c r="V12" i="8"/>
  <c r="V16" i="8" s="1"/>
  <c r="V43" i="8" s="1"/>
  <c r="AG12" i="8"/>
  <c r="AG16" i="8" s="1"/>
  <c r="X12" i="8"/>
  <c r="X16" i="8" s="1"/>
  <c r="W12" i="8"/>
  <c r="W16" i="8" s="1"/>
  <c r="AL12" i="8"/>
  <c r="AN12" i="8"/>
  <c r="AT12" i="17"/>
  <c r="AW12" i="17"/>
  <c r="AV12" i="17"/>
  <c r="AN12" i="17"/>
  <c r="AY12" i="17"/>
  <c r="BB12" i="17"/>
  <c r="AX12" i="17"/>
  <c r="BA12" i="17"/>
  <c r="AR12" i="17"/>
  <c r="AO12" i="17"/>
  <c r="AU12" i="17"/>
  <c r="AM12" i="17"/>
  <c r="AC20" i="8"/>
  <c r="AC24" i="8" s="1"/>
  <c r="AF20" i="8"/>
  <c r="AF24" i="8" s="1"/>
  <c r="AL20" i="8"/>
  <c r="AJ20" i="8"/>
  <c r="AE20" i="8"/>
  <c r="AE24" i="8" s="1"/>
  <c r="AI20" i="8"/>
  <c r="AI24" i="8" s="1"/>
  <c r="AK20" i="8"/>
  <c r="AH20" i="8"/>
  <c r="AH24" i="8" s="1"/>
  <c r="AS20" i="8"/>
  <c r="AN20" i="8"/>
  <c r="AO20" i="8"/>
  <c r="AR20" i="8"/>
  <c r="AB20" i="8"/>
  <c r="AB24" i="8" s="1"/>
  <c r="AU20" i="8"/>
  <c r="AQ20" i="8"/>
  <c r="AT20" i="8"/>
  <c r="AG20" i="8"/>
  <c r="AG24" i="8" s="1"/>
  <c r="AM20" i="8"/>
  <c r="AD20" i="8"/>
  <c r="AD24" i="8" s="1"/>
  <c r="AP20" i="8"/>
  <c r="AM19" i="13"/>
  <c r="AO19" i="13"/>
  <c r="AQ19" i="13"/>
  <c r="AH19" i="13"/>
  <c r="AS19" i="13"/>
  <c r="AJ19" i="13"/>
  <c r="AN19" i="13"/>
  <c r="AG19" i="13"/>
  <c r="AK19" i="13"/>
  <c r="AI19" i="13"/>
  <c r="AL19" i="13"/>
  <c r="AR19" i="13"/>
  <c r="AP19" i="13"/>
  <c r="AJ5" i="8"/>
  <c r="AJ8" i="8" s="1"/>
  <c r="AN5" i="8"/>
  <c r="AC5" i="8"/>
  <c r="AC8" i="8" s="1"/>
  <c r="AP5" i="17"/>
  <c r="AK5" i="17"/>
  <c r="BD5" i="17"/>
  <c r="AQ5" i="17"/>
  <c r="AT5" i="17"/>
  <c r="BC5" i="17"/>
  <c r="AU5" i="17"/>
  <c r="AR5" i="17"/>
  <c r="AW5" i="17"/>
  <c r="AM5" i="17"/>
  <c r="AY5" i="17"/>
  <c r="AL5" i="17"/>
  <c r="BA5" i="17"/>
  <c r="AV5" i="17"/>
  <c r="AZ5" i="17"/>
  <c r="AS5" i="17"/>
  <c r="BB5" i="17"/>
  <c r="AO5" i="17"/>
  <c r="AN5" i="17"/>
  <c r="AX5" i="17"/>
  <c r="AK4" i="8"/>
  <c r="AL4" i="8"/>
  <c r="AM4" i="8"/>
  <c r="AG3" i="13"/>
  <c r="AI3" i="13"/>
  <c r="AE3" i="13"/>
  <c r="AE7" i="13" s="1"/>
  <c r="AD3" i="13"/>
  <c r="AD7" i="13" s="1"/>
  <c r="AH3" i="13"/>
  <c r="AF3" i="13"/>
  <c r="AK3" i="13"/>
  <c r="AJ3" i="13"/>
  <c r="BI28" i="13"/>
  <c r="BL28" i="13"/>
  <c r="BM28" i="13"/>
  <c r="BK28" i="13"/>
  <c r="AT31" i="13"/>
  <c r="AW31" i="13"/>
  <c r="AU31" i="13"/>
  <c r="AU32" i="8"/>
  <c r="AV31" i="13"/>
  <c r="AZ32" i="8"/>
  <c r="AS31" i="13"/>
  <c r="AX32" i="8"/>
  <c r="AY32" i="8"/>
  <c r="BA32" i="8"/>
  <c r="AT36" i="8"/>
  <c r="AT40" i="8" s="1"/>
  <c r="AS36" i="8"/>
  <c r="AS40" i="8" s="1"/>
  <c r="AZ36" i="8"/>
  <c r="AZ40" i="8" s="1"/>
  <c r="BC36" i="8"/>
  <c r="BC40" i="8" s="1"/>
  <c r="BH36" i="8"/>
  <c r="AQ36" i="8"/>
  <c r="AQ40" i="8" s="1"/>
  <c r="BG36" i="8"/>
  <c r="BF36" i="8"/>
  <c r="BA36" i="8"/>
  <c r="BA40" i="8" s="1"/>
  <c r="BJ36" i="8"/>
  <c r="AW36" i="8"/>
  <c r="AW40" i="8" s="1"/>
  <c r="AR36" i="8"/>
  <c r="AR40" i="8" s="1"/>
  <c r="AV36" i="8"/>
  <c r="AV40" i="8" s="1"/>
  <c r="BI36" i="8"/>
  <c r="AU36" i="8"/>
  <c r="AU40" i="8" s="1"/>
  <c r="BE36" i="8"/>
  <c r="AY36" i="8"/>
  <c r="AY40" i="8" s="1"/>
  <c r="BB36" i="8"/>
  <c r="AX36" i="8"/>
  <c r="AX40" i="8" s="1"/>
  <c r="BD36" i="8"/>
  <c r="BA35" i="13"/>
  <c r="BA39" i="13" s="1"/>
  <c r="BB35" i="13"/>
  <c r="BB39" i="13" s="1"/>
  <c r="BF35" i="13"/>
  <c r="BD35" i="13"/>
  <c r="BE35" i="13"/>
  <c r="BC35" i="13"/>
  <c r="BH35" i="13"/>
  <c r="AZ35" i="13"/>
  <c r="AZ39" i="13" s="1"/>
  <c r="BG35" i="13"/>
  <c r="AY35" i="13"/>
  <c r="AY39" i="13" s="1"/>
  <c r="AX35" i="13"/>
  <c r="AX39" i="13" s="1"/>
  <c r="BA21" i="13"/>
  <c r="AH21" i="13"/>
  <c r="AF21" i="13"/>
  <c r="AF23" i="13" s="1"/>
  <c r="AS21" i="13"/>
  <c r="AO21" i="13"/>
  <c r="AW21" i="13"/>
  <c r="AW23" i="13" s="1"/>
  <c r="AG21" i="13"/>
  <c r="AL21" i="13"/>
  <c r="AY21" i="13"/>
  <c r="AJ21" i="13"/>
  <c r="AK21" i="13"/>
  <c r="AU21" i="13"/>
  <c r="AU23" i="13" s="1"/>
  <c r="AX21" i="13"/>
  <c r="AX23" i="13" s="1"/>
  <c r="AP21" i="13"/>
  <c r="AQ21" i="13"/>
  <c r="AT21" i="13"/>
  <c r="AT23" i="13" s="1"/>
  <c r="AM21" i="13"/>
  <c r="AD21" i="13"/>
  <c r="AD23" i="13" s="1"/>
  <c r="AE21" i="13"/>
  <c r="AE23" i="13" s="1"/>
  <c r="AN21" i="13"/>
  <c r="AV21" i="13"/>
  <c r="AV23" i="13" s="1"/>
  <c r="AI21" i="13"/>
  <c r="AB21" i="13"/>
  <c r="AB23" i="13" s="1"/>
  <c r="AR21" i="13"/>
  <c r="AC21" i="13"/>
  <c r="AC23" i="13" s="1"/>
  <c r="AZ21" i="13"/>
  <c r="AR22" i="8"/>
  <c r="AS22" i="8"/>
  <c r="AY22" i="8"/>
  <c r="AT22" i="8"/>
  <c r="AV22" i="8"/>
  <c r="AQ22" i="8"/>
  <c r="AU22" i="8"/>
  <c r="AX22" i="8"/>
  <c r="AP22" i="8"/>
  <c r="BC22" i="8"/>
  <c r="AZ22" i="8"/>
  <c r="BB22" i="8"/>
  <c r="BA22" i="8"/>
  <c r="AW22" i="8"/>
  <c r="AU13" i="13"/>
  <c r="AM13" i="13"/>
  <c r="AW13" i="13"/>
  <c r="AV13" i="13"/>
  <c r="AZ13" i="13"/>
  <c r="AI13" i="13"/>
  <c r="AH13" i="13"/>
  <c r="BC13" i="13"/>
  <c r="BC15" i="13" s="1"/>
  <c r="AT13" i="13"/>
  <c r="AQ13" i="13"/>
  <c r="AQ15" i="13" s="1"/>
  <c r="AP13" i="13"/>
  <c r="AP15" i="13" s="1"/>
  <c r="AY13" i="13"/>
  <c r="AK13" i="13"/>
  <c r="BA13" i="13"/>
  <c r="AG13" i="13"/>
  <c r="AG15" i="13" s="1"/>
  <c r="AF13" i="13"/>
  <c r="AF15" i="13" s="1"/>
  <c r="AJ13" i="13"/>
  <c r="BD13" i="13"/>
  <c r="BD15" i="13" s="1"/>
  <c r="AE13" i="13"/>
  <c r="AE15" i="13" s="1"/>
  <c r="AL13" i="13"/>
  <c r="AL15" i="13" s="1"/>
  <c r="AS13" i="13"/>
  <c r="AS15" i="13" s="1"/>
  <c r="AR13" i="13"/>
  <c r="AR15" i="13" s="1"/>
  <c r="AX13" i="13"/>
  <c r="AO13" i="13"/>
  <c r="AO15" i="13" s="1"/>
  <c r="BB13" i="13"/>
  <c r="BB15" i="13" s="1"/>
  <c r="AN13" i="13"/>
  <c r="AN15" i="13" s="1"/>
  <c r="BE14" i="17"/>
  <c r="AU14" i="17"/>
  <c r="BG14" i="17"/>
  <c r="AW14" i="17"/>
  <c r="AZ14" i="17"/>
  <c r="AT14" i="17"/>
  <c r="AY14" i="17"/>
  <c r="AV14" i="17"/>
  <c r="BB14" i="17"/>
  <c r="BC14" i="17"/>
  <c r="BD14" i="17"/>
  <c r="BF14" i="17"/>
  <c r="BA14" i="17"/>
  <c r="AX14" i="17"/>
  <c r="BA14" i="8"/>
  <c r="BC14" i="8"/>
  <c r="BB14" i="8"/>
  <c r="AY14" i="8"/>
  <c r="BD14" i="8"/>
  <c r="BD16" i="8" s="1"/>
  <c r="BE14" i="8"/>
  <c r="BE16" i="8" s="1"/>
  <c r="AZ14" i="8"/>
  <c r="BF14" i="8"/>
  <c r="BF16" i="8" s="1"/>
  <c r="AT14" i="8"/>
  <c r="AU14" i="8"/>
  <c r="AS14" i="8"/>
  <c r="AW14" i="8"/>
  <c r="AV14" i="8"/>
  <c r="AX14" i="8"/>
  <c r="BT30" i="8"/>
  <c r="BR30" i="8"/>
  <c r="BQ30" i="8"/>
  <c r="BU30" i="8"/>
  <c r="BN30" i="8"/>
  <c r="BL30" i="8"/>
  <c r="BM30" i="8"/>
  <c r="BX30" i="8"/>
  <c r="BP30" i="8"/>
  <c r="BS30" i="8"/>
  <c r="BY30" i="8"/>
  <c r="BO30" i="8"/>
  <c r="BV30" i="8"/>
  <c r="BW30" i="8"/>
  <c r="BB29" i="13"/>
  <c r="BB31" i="13" s="1"/>
  <c r="BO29" i="13"/>
  <c r="BS29" i="13"/>
  <c r="AY29" i="13"/>
  <c r="AY31" i="13" s="1"/>
  <c r="BV29" i="13"/>
  <c r="BP29" i="13"/>
  <c r="BE29" i="13"/>
  <c r="BE31" i="13" s="1"/>
  <c r="BI29" i="13"/>
  <c r="AZ29" i="13"/>
  <c r="AZ31" i="13" s="1"/>
  <c r="BU29" i="13"/>
  <c r="AX29" i="13"/>
  <c r="AX31" i="13" s="1"/>
  <c r="BA29" i="13"/>
  <c r="BA31" i="13" s="1"/>
  <c r="BQ29" i="13"/>
  <c r="BC29" i="13"/>
  <c r="BC31" i="13" s="1"/>
  <c r="BH29" i="13"/>
  <c r="BH31" i="13" s="1"/>
  <c r="BL29" i="13"/>
  <c r="BM29" i="13"/>
  <c r="BW29" i="13"/>
  <c r="BF29" i="13"/>
  <c r="BF31" i="13" s="1"/>
  <c r="BT29" i="13"/>
  <c r="BJ29" i="13"/>
  <c r="BR29" i="13"/>
  <c r="BG29" i="13"/>
  <c r="BG31" i="13" s="1"/>
  <c r="BD29" i="13"/>
  <c r="BD31" i="13" s="1"/>
  <c r="BN29" i="13"/>
  <c r="BK29" i="13"/>
  <c r="BO37" i="13"/>
  <c r="BQ37" i="13"/>
  <c r="BV37" i="13"/>
  <c r="CB37" i="13"/>
  <c r="BX37" i="13"/>
  <c r="BG37" i="13"/>
  <c r="BI37" i="13"/>
  <c r="BI39" i="13" s="1"/>
  <c r="BC37" i="13"/>
  <c r="BE37" i="13"/>
  <c r="BM37" i="13"/>
  <c r="BN37" i="13"/>
  <c r="BU37" i="13"/>
  <c r="BH37" i="13"/>
  <c r="CA37" i="13"/>
  <c r="BK37" i="13"/>
  <c r="BT37" i="13"/>
  <c r="BY37" i="13"/>
  <c r="BD37" i="13"/>
  <c r="BW37" i="13"/>
  <c r="BP37" i="13"/>
  <c r="BF37" i="13"/>
  <c r="BR37" i="13"/>
  <c r="BJ37" i="13"/>
  <c r="BJ39" i="13" s="1"/>
  <c r="BS37" i="13"/>
  <c r="BL37" i="13"/>
  <c r="BZ37" i="13"/>
  <c r="CC38" i="8"/>
  <c r="BY38" i="8"/>
  <c r="BT38" i="8"/>
  <c r="BZ38" i="8"/>
  <c r="CB38" i="8"/>
  <c r="BQ38" i="8"/>
  <c r="CA38" i="8"/>
  <c r="BU38" i="8"/>
  <c r="BV38" i="8"/>
  <c r="BX38" i="8"/>
  <c r="BS38" i="8"/>
  <c r="BW38" i="8"/>
  <c r="BR38" i="8"/>
  <c r="CD38" i="8"/>
  <c r="AW5" i="13"/>
  <c r="AJ5" i="13"/>
  <c r="AQ5" i="13"/>
  <c r="AK5" i="13"/>
  <c r="AM5" i="13"/>
  <c r="AN5" i="13"/>
  <c r="AU5" i="13"/>
  <c r="AH5" i="13"/>
  <c r="AS5" i="13"/>
  <c r="AI5" i="13"/>
  <c r="AL5" i="13"/>
  <c r="AO5" i="13"/>
  <c r="AX5" i="13"/>
  <c r="AX7" i="13" s="1"/>
  <c r="AG5" i="13"/>
  <c r="AF5" i="13"/>
  <c r="AT5" i="13"/>
  <c r="AP5" i="13"/>
  <c r="AV5" i="13"/>
  <c r="AR5" i="13"/>
  <c r="AM6" i="8"/>
  <c r="AW6" i="8"/>
  <c r="AQ6" i="8"/>
  <c r="AU6" i="8"/>
  <c r="AS6" i="8"/>
  <c r="AR6" i="8"/>
  <c r="AN6" i="8"/>
  <c r="AV6" i="8"/>
  <c r="AX6" i="8"/>
  <c r="AT6" i="8"/>
  <c r="AO6" i="8"/>
  <c r="AZ6" i="8"/>
  <c r="AZ8" i="8" s="1"/>
  <c r="AP6" i="8"/>
  <c r="AY6" i="8"/>
  <c r="X8" i="8"/>
  <c r="Z8" i="8"/>
  <c r="AA8" i="8"/>
  <c r="BQ16" i="17" l="1"/>
  <c r="BK24" i="8"/>
  <c r="AV7" i="13"/>
  <c r="AW8" i="8"/>
  <c r="BP16" i="17"/>
  <c r="AU7" i="13"/>
  <c r="AW7" i="13"/>
  <c r="CS39" i="13"/>
  <c r="BK16" i="17"/>
  <c r="BO16" i="17"/>
  <c r="BN16" i="17"/>
  <c r="BL16" i="17"/>
  <c r="BM16" i="17"/>
  <c r="BL23" i="13"/>
  <c r="BK23" i="13"/>
  <c r="BJ23" i="13"/>
  <c r="CR40" i="8"/>
  <c r="CR43" i="8" s="1"/>
  <c r="CL31" i="13"/>
  <c r="BI16" i="17"/>
  <c r="CP39" i="13"/>
  <c r="CG39" i="13"/>
  <c r="CM39" i="13"/>
  <c r="CE39" i="13"/>
  <c r="CL39" i="13"/>
  <c r="CK39" i="13"/>
  <c r="CJ39" i="13"/>
  <c r="CM31" i="13"/>
  <c r="BJ16" i="17"/>
  <c r="BH16" i="17"/>
  <c r="CW40" i="8"/>
  <c r="CW43" i="8" s="1"/>
  <c r="CO32" i="8"/>
  <c r="CO43" i="8" s="1"/>
  <c r="CN32" i="8"/>
  <c r="CN43" i="8" s="1"/>
  <c r="AY8" i="8"/>
  <c r="AX8" i="8"/>
  <c r="CR39" i="13"/>
  <c r="CO39" i="13"/>
  <c r="CG40" i="8"/>
  <c r="CG43" i="8" s="1"/>
  <c r="BI23" i="13"/>
  <c r="CV40" i="8"/>
  <c r="CV43" i="8" s="1"/>
  <c r="CH39" i="13"/>
  <c r="BG23" i="13"/>
  <c r="CI39" i="13"/>
  <c r="CF39" i="13"/>
  <c r="CQ40" i="8"/>
  <c r="CQ43" i="8" s="1"/>
  <c r="BM24" i="8"/>
  <c r="CQ39" i="13"/>
  <c r="CN39" i="13"/>
  <c r="BJ24" i="8"/>
  <c r="CT40" i="8"/>
  <c r="CT43" i="8" s="1"/>
  <c r="CS40" i="8"/>
  <c r="CS43" i="8" s="1"/>
  <c r="BN24" i="8"/>
  <c r="BI24" i="8"/>
  <c r="BH23" i="13"/>
  <c r="CU40" i="8"/>
  <c r="CU43" i="8" s="1"/>
  <c r="BL24" i="8"/>
  <c r="CT39" i="13"/>
  <c r="BG24" i="8"/>
  <c r="BF23" i="13"/>
  <c r="BH24" i="8"/>
  <c r="BF24" i="8"/>
  <c r="CI32" i="8"/>
  <c r="CI43" i="8" s="1"/>
  <c r="CJ32" i="8"/>
  <c r="CJ43" i="8" s="1"/>
  <c r="CH32" i="8"/>
  <c r="CH43" i="8" s="1"/>
  <c r="CP43" i="8"/>
  <c r="CM32" i="8"/>
  <c r="CM43" i="8" s="1"/>
  <c r="CK32" i="8"/>
  <c r="CK43" i="8" s="1"/>
  <c r="AZ15" i="13"/>
  <c r="BA15" i="13"/>
  <c r="CD39" i="13"/>
  <c r="CF40" i="8"/>
  <c r="CF43" i="8" s="1"/>
  <c r="BC16" i="8"/>
  <c r="BB16" i="8"/>
  <c r="BH40" i="8"/>
  <c r="BG40" i="8"/>
  <c r="BJ40" i="8"/>
  <c r="BE40" i="8"/>
  <c r="BU31" i="13"/>
  <c r="BW31" i="13"/>
  <c r="BK40" i="8"/>
  <c r="BX32" i="8"/>
  <c r="BY32" i="8"/>
  <c r="CL32" i="8"/>
  <c r="CL43" i="8" s="1"/>
  <c r="BW32" i="8"/>
  <c r="BV31" i="13"/>
  <c r="CE31" i="13"/>
  <c r="CK31" i="13"/>
  <c r="CJ31" i="13"/>
  <c r="CG31" i="13"/>
  <c r="CA31" i="13"/>
  <c r="BZ31" i="13"/>
  <c r="CC31" i="13"/>
  <c r="CI31" i="13"/>
  <c r="CF31" i="13"/>
  <c r="CD31" i="13"/>
  <c r="BX31" i="13"/>
  <c r="BY31" i="13"/>
  <c r="CB31" i="13"/>
  <c r="CH31" i="13"/>
  <c r="AL16" i="17"/>
  <c r="AS16" i="17"/>
  <c r="AK16" i="17"/>
  <c r="AN16" i="17"/>
  <c r="AR16" i="17"/>
  <c r="AO16" i="17"/>
  <c r="AM16" i="17"/>
  <c r="AP16" i="17"/>
  <c r="AQ16" i="17"/>
  <c r="BG16" i="17"/>
  <c r="BF16" i="17"/>
  <c r="BS31" i="13"/>
  <c r="BO31" i="13"/>
  <c r="BT31" i="13"/>
  <c r="BN31" i="13"/>
  <c r="BP31" i="13"/>
  <c r="BR31" i="13"/>
  <c r="CB39" i="13"/>
  <c r="BX39" i="13"/>
  <c r="BM39" i="13"/>
  <c r="BK39" i="13"/>
  <c r="BT39" i="13"/>
  <c r="BY39" i="13"/>
  <c r="BW39" i="13"/>
  <c r="BR39" i="13"/>
  <c r="BL39" i="13"/>
  <c r="BZ39" i="13"/>
  <c r="AO24" i="8"/>
  <c r="AM24" i="8"/>
  <c r="AN24" i="8"/>
  <c r="BS39" i="13"/>
  <c r="BQ31" i="13"/>
  <c r="BJ31" i="13"/>
  <c r="BV39" i="13"/>
  <c r="CC39" i="13"/>
  <c r="BB23" i="13"/>
  <c r="BC23" i="13"/>
  <c r="BF40" i="8"/>
  <c r="BU39" i="13"/>
  <c r="BQ39" i="13"/>
  <c r="CA39" i="13"/>
  <c r="AJ15" i="13"/>
  <c r="BR32" i="8"/>
  <c r="BQ32" i="8"/>
  <c r="BN32" i="8"/>
  <c r="BM32" i="8"/>
  <c r="BP32" i="8"/>
  <c r="AL7" i="13"/>
  <c r="AO16" i="8"/>
  <c r="AN16" i="8"/>
  <c r="AL16" i="8"/>
  <c r="AJ16" i="8"/>
  <c r="AK16" i="8"/>
  <c r="AH16" i="8"/>
  <c r="AH43" i="8" s="1"/>
  <c r="AM16" i="8"/>
  <c r="AI16" i="8"/>
  <c r="AI43" i="8" s="1"/>
  <c r="AK8" i="8"/>
  <c r="AL8" i="8"/>
  <c r="BA23" i="13"/>
  <c r="AY23" i="13"/>
  <c r="AZ23" i="13"/>
  <c r="AU15" i="13"/>
  <c r="AT15" i="13"/>
  <c r="BM40" i="8"/>
  <c r="BP40" i="8"/>
  <c r="BO40" i="8"/>
  <c r="BL40" i="8"/>
  <c r="BN40" i="8"/>
  <c r="BT40" i="8"/>
  <c r="BQ40" i="8"/>
  <c r="BU40" i="8"/>
  <c r="BS40" i="8"/>
  <c r="BR40" i="8"/>
  <c r="BD24" i="8"/>
  <c r="BE24" i="8"/>
  <c r="CE40" i="8"/>
  <c r="CE43" i="8" s="1"/>
  <c r="CA40" i="8"/>
  <c r="CA43" i="8" s="1"/>
  <c r="BD16" i="17"/>
  <c r="AX16" i="8"/>
  <c r="BE16" i="17"/>
  <c r="BS32" i="8"/>
  <c r="CD40" i="8"/>
  <c r="CD43" i="8" s="1"/>
  <c r="AU16" i="8"/>
  <c r="BU32" i="8"/>
  <c r="BA16" i="8"/>
  <c r="BT32" i="8"/>
  <c r="AL24" i="8"/>
  <c r="AJ24" i="8"/>
  <c r="AK24" i="8"/>
  <c r="AX15" i="13"/>
  <c r="AW16" i="8"/>
  <c r="BV32" i="8"/>
  <c r="CB40" i="8"/>
  <c r="CB43" i="8" s="1"/>
  <c r="BX40" i="8"/>
  <c r="BC16" i="17"/>
  <c r="AS16" i="8"/>
  <c r="BV40" i="8"/>
  <c r="AT16" i="8"/>
  <c r="AZ16" i="8"/>
  <c r="CC40" i="8"/>
  <c r="CC43" i="8" s="1"/>
  <c r="BW40" i="8"/>
  <c r="AY24" i="8"/>
  <c r="AV24" i="8"/>
  <c r="AX24" i="8"/>
  <c r="BC24" i="8"/>
  <c r="AZ24" i="8"/>
  <c r="BB24" i="8"/>
  <c r="AW24" i="8"/>
  <c r="AW15" i="13"/>
  <c r="AV15" i="13"/>
  <c r="AY15" i="13"/>
  <c r="AV16" i="8"/>
  <c r="BZ40" i="8"/>
  <c r="BZ43" i="8" s="1"/>
  <c r="BA24" i="8"/>
  <c r="AY16" i="8"/>
  <c r="BY40" i="8"/>
  <c r="AQ7" i="13"/>
  <c r="AN7" i="13"/>
  <c r="AS7" i="13"/>
  <c r="AO7" i="13"/>
  <c r="AT7" i="13"/>
  <c r="AR7" i="13"/>
  <c r="AQ8" i="8"/>
  <c r="AU8" i="8"/>
  <c r="AV8" i="8"/>
  <c r="AT8" i="8"/>
  <c r="AP8" i="8"/>
  <c r="AP16" i="8"/>
  <c r="AR16" i="8"/>
  <c r="AQ16" i="8"/>
  <c r="AP7" i="13"/>
  <c r="BP39" i="13"/>
  <c r="AS8" i="8"/>
  <c r="AR8" i="8"/>
  <c r="BN39" i="13"/>
  <c r="AO8" i="8"/>
  <c r="BO39" i="13"/>
  <c r="AH15" i="13"/>
  <c r="AK15" i="13"/>
  <c r="BL32" i="8"/>
  <c r="AI15" i="13"/>
  <c r="AM15" i="13"/>
  <c r="BD40" i="8"/>
  <c r="BB40" i="8"/>
  <c r="AM7" i="13"/>
  <c r="BI40" i="8"/>
  <c r="BO32" i="8"/>
  <c r="AZ16" i="17"/>
  <c r="AF43" i="8"/>
  <c r="AH23" i="13"/>
  <c r="AS23" i="13"/>
  <c r="AO23" i="13"/>
  <c r="AG23" i="13"/>
  <c r="AL23" i="13"/>
  <c r="AU16" i="17"/>
  <c r="AW16" i="17"/>
  <c r="AT16" i="17"/>
  <c r="AY16" i="17"/>
  <c r="AV16" i="17"/>
  <c r="BB16" i="17"/>
  <c r="BA16" i="17"/>
  <c r="AX16" i="17"/>
  <c r="W43" i="8"/>
  <c r="Z43" i="8"/>
  <c r="Y43" i="8"/>
  <c r="AA43" i="8"/>
  <c r="X43" i="8"/>
  <c r="AR23" i="13"/>
  <c r="AJ23" i="13"/>
  <c r="AS24" i="8"/>
  <c r="AK23" i="13"/>
  <c r="AQ23" i="13"/>
  <c r="AM23" i="13"/>
  <c r="AN23" i="13"/>
  <c r="AI23" i="13"/>
  <c r="AP23" i="13"/>
  <c r="AR24" i="8"/>
  <c r="AB43" i="8"/>
  <c r="AT24" i="8"/>
  <c r="AQ24" i="8"/>
  <c r="AU24" i="8"/>
  <c r="AP24" i="8"/>
  <c r="AF7" i="13"/>
  <c r="BI31" i="13"/>
  <c r="BL31" i="13"/>
  <c r="BM31" i="13"/>
  <c r="BK31" i="13"/>
  <c r="AJ7" i="13"/>
  <c r="AK7" i="13"/>
  <c r="AH7" i="13"/>
  <c r="AI7" i="13"/>
  <c r="AG7" i="13"/>
  <c r="AM8" i="8"/>
  <c r="AN8" i="8"/>
  <c r="BC39" i="13"/>
  <c r="BE39" i="13"/>
  <c r="BH39" i="13"/>
  <c r="AD43" i="8"/>
  <c r="BG39" i="13"/>
  <c r="BD39" i="13"/>
  <c r="BF39" i="13"/>
  <c r="AG43" i="8"/>
  <c r="AC43" i="8"/>
  <c r="AE43" i="8"/>
  <c r="BK43" i="8" l="1"/>
  <c r="BJ43" i="8"/>
  <c r="BI43" i="8"/>
  <c r="BG43" i="8"/>
  <c r="BH43" i="8"/>
  <c r="BF43" i="8"/>
  <c r="BC43" i="8"/>
  <c r="BY43" i="8"/>
  <c r="BE43" i="8"/>
  <c r="BW43" i="8"/>
  <c r="BX43" i="8"/>
  <c r="BS43" i="8"/>
  <c r="BU43" i="8"/>
  <c r="BT43" i="8"/>
  <c r="BQ43" i="8"/>
  <c r="AY43" i="8"/>
  <c r="AV43" i="8"/>
  <c r="BN43" i="8"/>
  <c r="AK43" i="8"/>
  <c r="AL43" i="8"/>
  <c r="AZ43" i="8"/>
  <c r="K11" i="8"/>
  <c r="BL43" i="8"/>
  <c r="BD43" i="8"/>
  <c r="BO43" i="8"/>
  <c r="BR43" i="8"/>
  <c r="AX43" i="8"/>
  <c r="AO43" i="8"/>
  <c r="AN43" i="8"/>
  <c r="AJ43" i="8"/>
  <c r="BM43" i="8"/>
  <c r="BP43" i="8"/>
  <c r="BV43" i="8"/>
  <c r="BB43" i="8"/>
  <c r="AW43" i="8"/>
  <c r="BA43" i="8"/>
  <c r="J11" i="8"/>
  <c r="AR43" i="8"/>
  <c r="AP43" i="8"/>
  <c r="AT43" i="8"/>
  <c r="AQ43" i="8"/>
  <c r="AU43" i="8"/>
  <c r="AS43" i="8"/>
  <c r="J35" i="8"/>
  <c r="K35" i="8"/>
  <c r="K27" i="8"/>
  <c r="J27" i="8"/>
  <c r="J19" i="8"/>
  <c r="K19" i="8"/>
  <c r="K11" i="17"/>
  <c r="J11" i="17" s="1"/>
  <c r="K3" i="8"/>
  <c r="L11" i="17"/>
  <c r="AM43" i="8"/>
  <c r="J3" i="8"/>
  <c r="L45" i="8" l="1"/>
  <c r="M45" i="8" s="1"/>
  <c r="L46" i="8"/>
  <c r="M46" i="8" s="1"/>
  <c r="AM59" i="14" l="1"/>
  <c r="AK59" i="14"/>
  <c r="AL59" i="14"/>
  <c r="AJ59" i="14"/>
  <c r="AM35" i="14"/>
  <c r="AL35" i="14"/>
  <c r="AK35" i="14"/>
  <c r="AJ35" i="14"/>
  <c r="AL35" i="16"/>
  <c r="AN35" i="16"/>
  <c r="AM35" i="16"/>
  <c r="AK35" i="16"/>
  <c r="AL27" i="16"/>
  <c r="AN27" i="16"/>
  <c r="AK27" i="16"/>
  <c r="AM27" i="16"/>
  <c r="AM27" i="14"/>
  <c r="AJ27" i="14"/>
  <c r="AK27" i="14"/>
  <c r="AL27" i="14"/>
  <c r="AJ43" i="14"/>
  <c r="AK43" i="14"/>
  <c r="AM43" i="14"/>
  <c r="AL43" i="14"/>
  <c r="AM51" i="14"/>
  <c r="AJ51" i="14"/>
  <c r="AJ3" i="14"/>
  <c r="AK3" i="14"/>
  <c r="AL3" i="14"/>
  <c r="AM3" i="14"/>
  <c r="AL51" i="14"/>
  <c r="AK51" i="14"/>
  <c r="AM36" i="16" l="1"/>
  <c r="AK36" i="16"/>
  <c r="AL36" i="16"/>
  <c r="AN36" i="16"/>
  <c r="AM36" i="14"/>
  <c r="AJ36" i="14"/>
  <c r="AK36" i="14"/>
  <c r="AL36" i="14"/>
  <c r="AJ28" i="14"/>
  <c r="AK28" i="14"/>
  <c r="AL28" i="14"/>
  <c r="AM28" i="14"/>
  <c r="AM28" i="16"/>
  <c r="AN28" i="16"/>
  <c r="AK28" i="16"/>
  <c r="AL28" i="16"/>
  <c r="BJ46" i="14"/>
  <c r="BL46" i="14"/>
  <c r="BI46" i="14"/>
  <c r="BK46" i="14"/>
  <c r="BL62" i="14"/>
  <c r="BI62" i="14"/>
  <c r="BJ62" i="14"/>
  <c r="BK62" i="14"/>
  <c r="AN21" i="16"/>
  <c r="AM21" i="16"/>
  <c r="AK21" i="16"/>
  <c r="AL21" i="16"/>
  <c r="AL21" i="14"/>
  <c r="AM21" i="14"/>
  <c r="AJ21" i="14"/>
  <c r="AK21" i="14"/>
  <c r="AM13" i="14"/>
  <c r="AL13" i="14"/>
  <c r="AK13" i="14"/>
  <c r="AJ13" i="14"/>
  <c r="AK13" i="16"/>
  <c r="AN13" i="16"/>
  <c r="AM13" i="16"/>
  <c r="AL13" i="16"/>
  <c r="AO45" i="14"/>
  <c r="AQ45" i="14"/>
  <c r="AP45" i="14"/>
  <c r="AR45" i="14"/>
  <c r="AJ29" i="14"/>
  <c r="AL29" i="14"/>
  <c r="AK29" i="14"/>
  <c r="AM29" i="14"/>
  <c r="AN29" i="16"/>
  <c r="AL29" i="16"/>
  <c r="AM29" i="16"/>
  <c r="AK29" i="16"/>
  <c r="AP61" i="14"/>
  <c r="AR61" i="14"/>
  <c r="AQ61" i="14"/>
  <c r="AT45" i="16"/>
  <c r="AU45" i="16"/>
  <c r="AO61" i="14"/>
  <c r="AO53" i="14"/>
  <c r="AR53" i="14"/>
  <c r="AP53" i="14"/>
  <c r="AQ53" i="14"/>
  <c r="AL52" i="14"/>
  <c r="AL56" i="14" s="1"/>
  <c r="AJ52" i="14"/>
  <c r="AJ56" i="14" s="1"/>
  <c r="AM52" i="14"/>
  <c r="AM56" i="14" s="1"/>
  <c r="AK52" i="14"/>
  <c r="AK56" i="14" s="1"/>
  <c r="AJ37" i="14"/>
  <c r="AK37" i="14"/>
  <c r="AM37" i="14"/>
  <c r="AL37" i="14"/>
  <c r="AK37" i="16"/>
  <c r="AM37" i="16"/>
  <c r="AM40" i="16" s="1"/>
  <c r="AL37" i="16"/>
  <c r="AN37" i="16"/>
  <c r="AL5" i="16"/>
  <c r="AK5" i="16"/>
  <c r="AJ5" i="14"/>
  <c r="AK5" i="14"/>
  <c r="AJ44" i="14"/>
  <c r="AJ48" i="14" s="1"/>
  <c r="AK44" i="14"/>
  <c r="AK48" i="14" s="1"/>
  <c r="AM44" i="14"/>
  <c r="AM48" i="14" s="1"/>
  <c r="AL44" i="14"/>
  <c r="AL48" i="14" s="1"/>
  <c r="AJ60" i="14"/>
  <c r="AJ64" i="14" s="1"/>
  <c r="AK60" i="14"/>
  <c r="AK64" i="14" s="1"/>
  <c r="AL60" i="14"/>
  <c r="AL64" i="14" s="1"/>
  <c r="AM60" i="14"/>
  <c r="AM64" i="14" s="1"/>
  <c r="AF6" i="14"/>
  <c r="AF8" i="14" s="1"/>
  <c r="AE6" i="14"/>
  <c r="AE8" i="14" s="1"/>
  <c r="AL6" i="16"/>
  <c r="AK6" i="16"/>
  <c r="AN6" i="16"/>
  <c r="AN8" i="16" s="1"/>
  <c r="AM6" i="16"/>
  <c r="AM8" i="16" s="1"/>
  <c r="AN22" i="16"/>
  <c r="AK22" i="16"/>
  <c r="AM22" i="16"/>
  <c r="AL22" i="16"/>
  <c r="AB22" i="14"/>
  <c r="AB24" i="14" s="1"/>
  <c r="AB67" i="14" s="1"/>
  <c r="AC22" i="14"/>
  <c r="AC24" i="14" s="1"/>
  <c r="AC67" i="14" s="1"/>
  <c r="AA22" i="14"/>
  <c r="AA24" i="14" s="1"/>
  <c r="BJ54" i="14"/>
  <c r="BI54" i="14"/>
  <c r="BK54" i="14"/>
  <c r="BL54" i="14"/>
  <c r="AL40" i="16" l="1"/>
  <c r="AN40" i="16"/>
  <c r="AK40" i="16"/>
  <c r="AK40" i="14"/>
  <c r="AM40" i="14"/>
  <c r="AL40" i="14"/>
  <c r="AJ40" i="14"/>
  <c r="AK32" i="16"/>
  <c r="AJ32" i="14"/>
  <c r="AL32" i="14"/>
  <c r="AK32" i="14"/>
  <c r="AM32" i="14"/>
  <c r="AN32" i="16"/>
  <c r="AL32" i="16"/>
  <c r="AM32" i="16"/>
  <c r="AN24" i="16"/>
  <c r="AK24" i="16"/>
  <c r="AM24" i="16"/>
  <c r="AL24" i="16"/>
  <c r="AA67" i="14"/>
  <c r="AL8" i="16"/>
  <c r="AK8" i="16"/>
  <c r="AK27" i="5" l="1"/>
  <c r="AJ27" i="5"/>
  <c r="AE26" i="11"/>
  <c r="AE31" i="11" s="1"/>
  <c r="AG26" i="11"/>
  <c r="AG31" i="11" s="1"/>
  <c r="AH26" i="11"/>
  <c r="AH31" i="11" s="1"/>
  <c r="AI26" i="11"/>
  <c r="AI31" i="11" s="1"/>
  <c r="AL26" i="11"/>
  <c r="AL31" i="11" s="1"/>
  <c r="AJ26" i="11"/>
  <c r="AJ31" i="11" s="1"/>
  <c r="AK26" i="11"/>
  <c r="AK31" i="11" s="1"/>
  <c r="AM26" i="11"/>
  <c r="AM31" i="11" s="1"/>
  <c r="AF26" i="11"/>
  <c r="AF31" i="11" s="1"/>
  <c r="AK67" i="5"/>
  <c r="AJ67" i="5"/>
  <c r="BW67" i="15"/>
  <c r="BV67" i="15"/>
  <c r="AJ35" i="5"/>
  <c r="AK35" i="5"/>
  <c r="BG35" i="15"/>
  <c r="BF35" i="15"/>
  <c r="BE35" i="15"/>
  <c r="BH35" i="15"/>
  <c r="AJ44" i="5"/>
  <c r="AK19" i="5"/>
  <c r="AJ19" i="5"/>
  <c r="AJ59" i="5"/>
  <c r="AK59" i="5"/>
  <c r="BS59" i="15"/>
  <c r="BT59" i="15"/>
  <c r="BU59" i="15"/>
  <c r="AK43" i="5"/>
  <c r="AJ43" i="5"/>
  <c r="AO53" i="5"/>
  <c r="AJ51" i="5"/>
  <c r="AK51" i="5"/>
  <c r="BN51" i="15"/>
  <c r="BP51" i="15"/>
  <c r="BO51" i="15"/>
  <c r="AL28" i="15" l="1"/>
  <c r="AL32" i="15" s="1"/>
  <c r="AP53" i="5"/>
  <c r="AK28" i="15"/>
  <c r="AK32" i="15" s="1"/>
  <c r="AK28" i="5"/>
  <c r="AJ28" i="5"/>
  <c r="AJ36" i="5"/>
  <c r="AJ40" i="5" s="1"/>
  <c r="AK36" i="5"/>
  <c r="AK40" i="5" s="1"/>
  <c r="AJ20" i="5"/>
  <c r="AK20" i="5"/>
  <c r="AK20" i="15"/>
  <c r="AL20" i="15"/>
  <c r="AK29" i="5"/>
  <c r="AJ29" i="5"/>
  <c r="AK68" i="5"/>
  <c r="AK72" i="5" s="1"/>
  <c r="AJ68" i="5"/>
  <c r="AJ72" i="5" s="1"/>
  <c r="AP69" i="5"/>
  <c r="AO69" i="5"/>
  <c r="AJ52" i="5"/>
  <c r="AJ56" i="5" s="1"/>
  <c r="AK52" i="5"/>
  <c r="AK56" i="5" s="1"/>
  <c r="AJ13" i="5"/>
  <c r="AK13" i="5"/>
  <c r="BE62" i="5"/>
  <c r="BD62" i="5"/>
  <c r="BP53" i="15"/>
  <c r="BQ53" i="15"/>
  <c r="AK44" i="5"/>
  <c r="AK48" i="5" s="1"/>
  <c r="AP61" i="5"/>
  <c r="AO61" i="5"/>
  <c r="AP45" i="5"/>
  <c r="AO45" i="5"/>
  <c r="AL13" i="15"/>
  <c r="AM13" i="15"/>
  <c r="AP37" i="5"/>
  <c r="AO37" i="5"/>
  <c r="AK21" i="5"/>
  <c r="AJ21" i="5"/>
  <c r="AK21" i="15"/>
  <c r="AL21" i="15"/>
  <c r="BE21" i="11"/>
  <c r="BE23" i="11" s="1"/>
  <c r="BD21" i="11"/>
  <c r="BD23" i="11" s="1"/>
  <c r="BF21" i="11"/>
  <c r="BF23" i="11" s="1"/>
  <c r="AG21" i="11"/>
  <c r="AP21" i="11"/>
  <c r="AE21" i="11"/>
  <c r="AN21" i="11"/>
  <c r="AM21" i="11"/>
  <c r="AI21" i="11"/>
  <c r="AO21" i="11"/>
  <c r="AK21" i="11"/>
  <c r="AH21" i="11"/>
  <c r="AJ21" i="11"/>
  <c r="AL21" i="11"/>
  <c r="AF21" i="11"/>
  <c r="BH22" i="15"/>
  <c r="BH24" i="15" s="1"/>
  <c r="BF22" i="15"/>
  <c r="BF24" i="15" s="1"/>
  <c r="BG22" i="15"/>
  <c r="BG24" i="15" s="1"/>
  <c r="BG22" i="5"/>
  <c r="BE22" i="5"/>
  <c r="BF22" i="5"/>
  <c r="AJ48" i="5"/>
  <c r="AJ60" i="5"/>
  <c r="AJ64" i="5" s="1"/>
  <c r="AK60" i="5"/>
  <c r="AK64" i="5" s="1"/>
  <c r="BE46" i="5"/>
  <c r="BD46" i="5"/>
  <c r="AV13" i="11"/>
  <c r="AU13" i="11"/>
  <c r="AU15" i="11" s="1"/>
  <c r="BI30" i="15"/>
  <c r="BJ30" i="15"/>
  <c r="AT29" i="11"/>
  <c r="AQ29" i="11"/>
  <c r="AR29" i="11"/>
  <c r="AU29" i="11"/>
  <c r="AP29" i="11"/>
  <c r="AS29" i="11"/>
  <c r="AO29" i="11"/>
  <c r="BH29" i="11"/>
  <c r="BH31" i="11" s="1"/>
  <c r="BG29" i="11"/>
  <c r="BG31" i="11" s="1"/>
  <c r="BI30" i="5"/>
  <c r="BH30" i="5"/>
  <c r="BE38" i="5"/>
  <c r="BD38" i="5"/>
  <c r="BE70" i="5"/>
  <c r="BD70" i="5"/>
  <c r="BD54" i="5"/>
  <c r="BE54" i="5"/>
  <c r="AK32" i="5" l="1"/>
  <c r="AJ32" i="5"/>
  <c r="AK24" i="5"/>
  <c r="AJ24" i="5"/>
  <c r="AK24" i="15"/>
  <c r="AL24" i="15"/>
  <c r="AL19" i="5" l="1"/>
  <c r="AM19" i="5"/>
  <c r="AM20" i="5"/>
  <c r="AL59" i="5"/>
  <c r="AM59" i="5"/>
  <c r="AL20" i="5"/>
  <c r="AM21" i="5"/>
  <c r="AM21" i="15"/>
  <c r="AL44" i="5"/>
  <c r="AM44" i="5"/>
  <c r="AR61" i="5"/>
  <c r="AQ61" i="5"/>
  <c r="AM20" i="15"/>
  <c r="AN20" i="15"/>
  <c r="AL21" i="5"/>
  <c r="AN21" i="15"/>
  <c r="AM27" i="5"/>
  <c r="AL27" i="5"/>
  <c r="AL35" i="5"/>
  <c r="AM35" i="5"/>
  <c r="AM67" i="5"/>
  <c r="AL67" i="5"/>
  <c r="AM68" i="5"/>
  <c r="AL68" i="5"/>
  <c r="AN28" i="15"/>
  <c r="AM28" i="15"/>
  <c r="AM28" i="5"/>
  <c r="AL28" i="5"/>
  <c r="AQ69" i="5"/>
  <c r="AR69" i="5"/>
  <c r="AM36" i="5"/>
  <c r="AL36" i="5"/>
  <c r="AQ37" i="5"/>
  <c r="AR37" i="5"/>
  <c r="AL29" i="5"/>
  <c r="AM29" i="5"/>
  <c r="AL51" i="5"/>
  <c r="AM51" i="5"/>
  <c r="AL43" i="5"/>
  <c r="AM43" i="5"/>
  <c r="AM52" i="5"/>
  <c r="AL52" i="5"/>
  <c r="AR45" i="5"/>
  <c r="AQ45" i="5"/>
  <c r="AO13" i="15"/>
  <c r="AN13" i="15"/>
  <c r="AM13" i="5"/>
  <c r="AL13" i="5"/>
  <c r="AQ53" i="5"/>
  <c r="AR53" i="5"/>
  <c r="AL60" i="5"/>
  <c r="AM60" i="5"/>
  <c r="AM24" i="5" l="1"/>
  <c r="BF62" i="5"/>
  <c r="BG62" i="5"/>
  <c r="AL64" i="5"/>
  <c r="AM64" i="5"/>
  <c r="BF54" i="5"/>
  <c r="BG54" i="5"/>
  <c r="AM24" i="15"/>
  <c r="AL24" i="5"/>
  <c r="BF38" i="5"/>
  <c r="BG38" i="5"/>
  <c r="AL48" i="5"/>
  <c r="AM48" i="5"/>
  <c r="BG46" i="5"/>
  <c r="BF46" i="5"/>
  <c r="AM56" i="5"/>
  <c r="AL56" i="5"/>
  <c r="AN24" i="15"/>
  <c r="AM40" i="5"/>
  <c r="AL40" i="5"/>
  <c r="AM32" i="5"/>
  <c r="AL32" i="5"/>
  <c r="BF70" i="5"/>
  <c r="BG70" i="5"/>
  <c r="AM72" i="5"/>
  <c r="AL72" i="5"/>
  <c r="AO51" i="5" l="1"/>
  <c r="AN51" i="5"/>
  <c r="AP51" i="5"/>
  <c r="AN59" i="5"/>
  <c r="AP59" i="5"/>
  <c r="AO59" i="5"/>
  <c r="AP43" i="5" l="1"/>
  <c r="AO43" i="5"/>
  <c r="AN43" i="5"/>
  <c r="AR13" i="15"/>
  <c r="AQ13" i="15"/>
  <c r="AP13" i="15"/>
  <c r="AT69" i="5"/>
  <c r="AS69" i="5"/>
  <c r="AU69" i="5"/>
  <c r="AP68" i="5"/>
  <c r="AO68" i="5"/>
  <c r="AN68" i="5"/>
  <c r="AN36" i="5"/>
  <c r="AP36" i="5"/>
  <c r="AO36" i="5"/>
  <c r="AO28" i="15"/>
  <c r="AP28" i="15"/>
  <c r="AQ28" i="15"/>
  <c r="AP28" i="5"/>
  <c r="AO28" i="5"/>
  <c r="AN28" i="5"/>
  <c r="BI46" i="5"/>
  <c r="BH46" i="5"/>
  <c r="BJ46" i="5"/>
  <c r="BJ38" i="5"/>
  <c r="BH38" i="5"/>
  <c r="BI38" i="5"/>
  <c r="AN29" i="5"/>
  <c r="AO29" i="5"/>
  <c r="AP29" i="5"/>
  <c r="AT37" i="5"/>
  <c r="AS37" i="5"/>
  <c r="AU37" i="5"/>
  <c r="AU53" i="5"/>
  <c r="AS53" i="5"/>
  <c r="AT53" i="5"/>
  <c r="AS61" i="5"/>
  <c r="AU61" i="5"/>
  <c r="AT61" i="5"/>
  <c r="AP19" i="5"/>
  <c r="AN19" i="5"/>
  <c r="AO19" i="5"/>
  <c r="AN52" i="5"/>
  <c r="AN56" i="5" s="1"/>
  <c r="AO52" i="5"/>
  <c r="AO56" i="5" s="1"/>
  <c r="AP52" i="5"/>
  <c r="AP56" i="5" s="1"/>
  <c r="AQ20" i="15"/>
  <c r="AP20" i="15"/>
  <c r="AO20" i="15"/>
  <c r="AN20" i="5"/>
  <c r="AP20" i="5"/>
  <c r="AO20" i="5"/>
  <c r="AQ21" i="15"/>
  <c r="AO21" i="15"/>
  <c r="AP21" i="15"/>
  <c r="AP21" i="5"/>
  <c r="AN21" i="5"/>
  <c r="AO21" i="5"/>
  <c r="AU45" i="5"/>
  <c r="AS45" i="5"/>
  <c r="AT45" i="5"/>
  <c r="BH62" i="5"/>
  <c r="BJ62" i="5"/>
  <c r="BI62" i="5"/>
  <c r="AO35" i="5"/>
  <c r="AN35" i="5"/>
  <c r="AP35" i="5"/>
  <c r="BJ54" i="5"/>
  <c r="BH54" i="5"/>
  <c r="BI54" i="5"/>
  <c r="AN27" i="5"/>
  <c r="AO27" i="5"/>
  <c r="AP27" i="5"/>
  <c r="AO44" i="5"/>
  <c r="AP44" i="5"/>
  <c r="AN44" i="5"/>
  <c r="AN60" i="5"/>
  <c r="AN64" i="5" s="1"/>
  <c r="AO60" i="5"/>
  <c r="AO64" i="5" s="1"/>
  <c r="AP60" i="5"/>
  <c r="AP64" i="5" s="1"/>
  <c r="AO13" i="5"/>
  <c r="AP13" i="5"/>
  <c r="AN13" i="5"/>
  <c r="AO67" i="5"/>
  <c r="AP67" i="5"/>
  <c r="AN67" i="5"/>
  <c r="AO48" i="5" l="1"/>
  <c r="AP48" i="5"/>
  <c r="AN48" i="5"/>
  <c r="AO24" i="5"/>
  <c r="BI70" i="5"/>
  <c r="BJ70" i="5"/>
  <c r="BH70" i="5"/>
  <c r="AN40" i="5"/>
  <c r="AQ24" i="15"/>
  <c r="AP24" i="15"/>
  <c r="AO24" i="15"/>
  <c r="AN24" i="5"/>
  <c r="AP24" i="5"/>
  <c r="AN32" i="5"/>
  <c r="AO32" i="5"/>
  <c r="AP32" i="5"/>
  <c r="AO72" i="5"/>
  <c r="AP72" i="5"/>
  <c r="AN72" i="5"/>
  <c r="AP40" i="5"/>
  <c r="AO40" i="5"/>
  <c r="AN13" i="14" l="1"/>
  <c r="AO13" i="14"/>
  <c r="AP13" i="14"/>
  <c r="AO51" i="14"/>
  <c r="AP51" i="14"/>
  <c r="AO35" i="14"/>
  <c r="AN35" i="14"/>
  <c r="AP35" i="14"/>
  <c r="AO35" i="16"/>
  <c r="AP35" i="16"/>
  <c r="AQ35" i="16"/>
  <c r="AO3" i="14"/>
  <c r="AN3" i="14"/>
  <c r="AP3" i="14"/>
  <c r="AP59" i="14"/>
  <c r="AO59" i="14"/>
  <c r="AN59" i="14"/>
  <c r="AN51" i="14" l="1"/>
  <c r="BM54" i="14"/>
  <c r="BO54" i="14"/>
  <c r="BN54" i="14"/>
  <c r="AQ6" i="16"/>
  <c r="AQ8" i="16" s="1"/>
  <c r="AP6" i="16"/>
  <c r="AP8" i="16" s="1"/>
  <c r="AO6" i="16"/>
  <c r="AO8" i="16" s="1"/>
  <c r="BN46" i="14"/>
  <c r="BO46" i="14"/>
  <c r="BM46" i="14"/>
  <c r="AT45" i="14"/>
  <c r="AU45" i="14"/>
  <c r="AS45" i="14"/>
  <c r="AQ36" i="16"/>
  <c r="AO36" i="16"/>
  <c r="AP36" i="16"/>
  <c r="AO36" i="14"/>
  <c r="AP36" i="14"/>
  <c r="AN36" i="14"/>
  <c r="AO44" i="14"/>
  <c r="AN44" i="14"/>
  <c r="AP44" i="14"/>
  <c r="BO62" i="14"/>
  <c r="BN62" i="14"/>
  <c r="BM62" i="14"/>
  <c r="AQ22" i="16"/>
  <c r="AQ24" i="16" s="1"/>
  <c r="AO22" i="16"/>
  <c r="AO24" i="16" s="1"/>
  <c r="AP22" i="16"/>
  <c r="AP24" i="16" s="1"/>
  <c r="AQ27" i="16"/>
  <c r="AP27" i="16"/>
  <c r="AO27" i="16"/>
  <c r="AN27" i="14"/>
  <c r="AO27" i="14"/>
  <c r="AP27" i="14"/>
  <c r="AS53" i="14"/>
  <c r="AU53" i="14"/>
  <c r="AT53" i="14"/>
  <c r="AN29" i="14"/>
  <c r="AO29" i="14"/>
  <c r="AP29" i="14"/>
  <c r="AP29" i="16"/>
  <c r="AQ29" i="16"/>
  <c r="AO29" i="16"/>
  <c r="AN60" i="14"/>
  <c r="AN64" i="14" s="1"/>
  <c r="AP60" i="14"/>
  <c r="AP64" i="14" s="1"/>
  <c r="AO60" i="14"/>
  <c r="AO64" i="14" s="1"/>
  <c r="AP43" i="14"/>
  <c r="AO43" i="14"/>
  <c r="AN43" i="14"/>
  <c r="AP52" i="14"/>
  <c r="AP56" i="14" s="1"/>
  <c r="AO52" i="14"/>
  <c r="AO56" i="14" s="1"/>
  <c r="AN52" i="14"/>
  <c r="AU61" i="14"/>
  <c r="AT61" i="14"/>
  <c r="AS61" i="14"/>
  <c r="AO37" i="16"/>
  <c r="AP37" i="16"/>
  <c r="AQ37" i="16"/>
  <c r="AO37" i="14"/>
  <c r="AN37" i="14"/>
  <c r="AP37" i="14"/>
  <c r="AO40" i="16" l="1"/>
  <c r="AN56" i="14"/>
  <c r="AQ13" i="16"/>
  <c r="AP13" i="16"/>
  <c r="AO13" i="16"/>
  <c r="AO28" i="14"/>
  <c r="AP28" i="14"/>
  <c r="AN28" i="14"/>
  <c r="AP28" i="16"/>
  <c r="AO28" i="16"/>
  <c r="AQ28" i="16"/>
  <c r="AP48" i="14"/>
  <c r="AO48" i="14"/>
  <c r="AN48" i="14"/>
  <c r="AN40" i="14"/>
  <c r="AS13" i="15" l="1"/>
  <c r="AQ13" i="5"/>
  <c r="AV45" i="5"/>
  <c r="AQ51" i="5" l="1"/>
  <c r="AQ35" i="5"/>
  <c r="AR28" i="15"/>
  <c r="AQ28" i="5"/>
  <c r="AQ68" i="5"/>
  <c r="AQ27" i="5"/>
  <c r="AV69" i="5"/>
  <c r="AQ67" i="5"/>
  <c r="BK54" i="5"/>
  <c r="AQ36" i="5"/>
  <c r="AV37" i="5"/>
  <c r="AQ29" i="5"/>
  <c r="AQ21" i="5"/>
  <c r="AR21" i="15"/>
  <c r="AV61" i="5"/>
  <c r="AQ60" i="5"/>
  <c r="AQ44" i="5"/>
  <c r="AQ52" i="5"/>
  <c r="AQ43" i="5"/>
  <c r="AQ20" i="5"/>
  <c r="AR20" i="15"/>
  <c r="AQ19" i="5"/>
  <c r="AV53" i="5"/>
  <c r="AQ59" i="5"/>
  <c r="AQ72" i="5" l="1"/>
  <c r="AQ56" i="5"/>
  <c r="AQ48" i="5"/>
  <c r="AQ32" i="5"/>
  <c r="BK38" i="5"/>
  <c r="BK46" i="5"/>
  <c r="BK62" i="5"/>
  <c r="BK70" i="5"/>
  <c r="AQ64" i="5"/>
  <c r="AQ40" i="5"/>
  <c r="AV45" i="14" l="1"/>
  <c r="AR37" i="16"/>
  <c r="AR35" i="16"/>
  <c r="AQ60" i="14"/>
  <c r="AV53" i="14"/>
  <c r="AV61" i="14"/>
  <c r="AQ3" i="14"/>
  <c r="AQ59" i="14"/>
  <c r="AR36" i="16"/>
  <c r="AR22" i="16"/>
  <c r="AR24" i="16" s="1"/>
  <c r="AQ36" i="14"/>
  <c r="AR6" i="16"/>
  <c r="AR8" i="16" s="1"/>
  <c r="AQ37" i="14"/>
  <c r="AQ51" i="14"/>
  <c r="BP46" i="14"/>
  <c r="AR29" i="16"/>
  <c r="AQ44" i="14"/>
  <c r="AQ29" i="14"/>
  <c r="BP62" i="14"/>
  <c r="BP54" i="14"/>
  <c r="AQ35" i="14"/>
  <c r="AR27" i="16"/>
  <c r="AQ52" i="14"/>
  <c r="AQ43" i="14"/>
  <c r="AQ27" i="14"/>
  <c r="AQ64" i="14" l="1"/>
  <c r="AQ48" i="14"/>
  <c r="AQ56" i="14"/>
  <c r="D65" i="18" l="1"/>
  <c r="E65" i="18" s="1"/>
  <c r="K65" i="18" s="1"/>
  <c r="D70" i="18"/>
  <c r="E70" i="18" s="1"/>
  <c r="K70" i="18" s="1"/>
  <c r="D9" i="18"/>
  <c r="E9" i="18" s="1"/>
  <c r="K9" i="18" s="1"/>
  <c r="D24" i="18"/>
  <c r="E24" i="18" s="1"/>
  <c r="K24" i="18" s="1"/>
  <c r="D75" i="18"/>
  <c r="E75" i="18" s="1"/>
  <c r="K75" i="18" s="1"/>
  <c r="D55" i="18"/>
  <c r="E55" i="18" s="1"/>
  <c r="K55" i="18" s="1"/>
  <c r="D34" i="18"/>
  <c r="E34" i="18" s="1"/>
  <c r="K34" i="18" s="1"/>
  <c r="D50" i="18"/>
  <c r="E50" i="18" s="1"/>
  <c r="K50" i="18" s="1"/>
  <c r="D39" i="18"/>
  <c r="E39" i="18" s="1"/>
  <c r="K39" i="18" s="1"/>
  <c r="D14" i="18"/>
  <c r="E14" i="18" s="1"/>
  <c r="K14" i="18" s="1"/>
  <c r="D19" i="18"/>
  <c r="E19" i="18" s="1"/>
  <c r="K19" i="18" s="1"/>
  <c r="D85" i="18"/>
  <c r="E85" i="18" s="1"/>
  <c r="K85" i="18" s="1"/>
  <c r="D29" i="18"/>
  <c r="E29" i="18" s="1"/>
  <c r="K29" i="18" s="1"/>
  <c r="D80" i="18"/>
  <c r="E80" i="18" s="1"/>
  <c r="K80" i="18" s="1"/>
  <c r="D60" i="18"/>
  <c r="E60" i="18" s="1"/>
  <c r="K60" i="18" s="1"/>
  <c r="D44" i="18"/>
  <c r="E44" i="18" s="1"/>
  <c r="K44" i="18" s="1"/>
  <c r="D4" i="18"/>
  <c r="E4" i="18" s="1"/>
  <c r="K4" i="18" s="1"/>
  <c r="M4" i="18" s="1"/>
  <c r="L3" i="18" s="1"/>
  <c r="AR43" i="5" l="1"/>
  <c r="AK11" i="15" l="1"/>
  <c r="AS11" i="15"/>
  <c r="AJ11" i="5"/>
  <c r="AR11" i="5"/>
  <c r="AR35" i="15"/>
  <c r="AQ35" i="15"/>
  <c r="AS35" i="15"/>
  <c r="AT35" i="15"/>
  <c r="AR37" i="15"/>
  <c r="AT37" i="15"/>
  <c r="AS37" i="15"/>
  <c r="AU37" i="15"/>
  <c r="AS19" i="15"/>
  <c r="AT19" i="15"/>
  <c r="AU19" i="15"/>
  <c r="AV19" i="15"/>
  <c r="AW19" i="15"/>
  <c r="AX19" i="15"/>
  <c r="AU18" i="11"/>
  <c r="AR67" i="5"/>
  <c r="AW58" i="11"/>
  <c r="AW63" i="11" s="1"/>
  <c r="AZ58" i="11"/>
  <c r="AZ63" i="11" s="1"/>
  <c r="AY58" i="11"/>
  <c r="AY63" i="11" s="1"/>
  <c r="CD67" i="15"/>
  <c r="BX67" i="15"/>
  <c r="CA67" i="15"/>
  <c r="CC67" i="15"/>
  <c r="AR19" i="5"/>
  <c r="AV58" i="11"/>
  <c r="AV63" i="11" s="1"/>
  <c r="BI51" i="11"/>
  <c r="BH51" i="11"/>
  <c r="BY67" i="15"/>
  <c r="CB67" i="15"/>
  <c r="BZ67" i="15"/>
  <c r="BG51" i="11"/>
  <c r="BJ51" i="11"/>
  <c r="AW37" i="5"/>
  <c r="AX58" i="11"/>
  <c r="AX63" i="11" s="1"/>
  <c r="CB59" i="15"/>
  <c r="BV59" i="15"/>
  <c r="BY59" i="15"/>
  <c r="BX59" i="15"/>
  <c r="BW59" i="15"/>
  <c r="AT20" i="11"/>
  <c r="AS20" i="11"/>
  <c r="AR20" i="11"/>
  <c r="AU20" i="11"/>
  <c r="AV20" i="11"/>
  <c r="AR21" i="5"/>
  <c r="AW69" i="5"/>
  <c r="BR37" i="15"/>
  <c r="BQ37" i="15"/>
  <c r="BS37" i="15"/>
  <c r="AW53" i="5"/>
  <c r="BA58" i="11"/>
  <c r="BA63" i="11" s="1"/>
  <c r="AR59" i="5"/>
  <c r="BZ59" i="15"/>
  <c r="CA59" i="15"/>
  <c r="AR52" i="5"/>
  <c r="AR35" i="5"/>
  <c r="AS20" i="15"/>
  <c r="AS21" i="15"/>
  <c r="AW61" i="5"/>
  <c r="CF61" i="15"/>
  <c r="CA61" i="15"/>
  <c r="CE61" i="15"/>
  <c r="CD61" i="15"/>
  <c r="CB61" i="15"/>
  <c r="CG61" i="15"/>
  <c r="BY61" i="15"/>
  <c r="BX61" i="15"/>
  <c r="CC61" i="15"/>
  <c r="CH61" i="15"/>
  <c r="BZ61" i="15"/>
  <c r="AR51" i="5"/>
  <c r="BR51" i="15"/>
  <c r="BU51" i="15"/>
  <c r="BZ51" i="15"/>
  <c r="BS51" i="15"/>
  <c r="AR44" i="5"/>
  <c r="AR48" i="5" s="1"/>
  <c r="AZ43" i="11"/>
  <c r="AX43" i="11"/>
  <c r="AW43" i="11"/>
  <c r="BA43" i="11"/>
  <c r="AY43" i="11"/>
  <c r="BL46" i="5"/>
  <c r="BZ46" i="15"/>
  <c r="BR46" i="15"/>
  <c r="BT46" i="15"/>
  <c r="CB46" i="15"/>
  <c r="BX46" i="15"/>
  <c r="BY46" i="15"/>
  <c r="CA46" i="15"/>
  <c r="BQ46" i="15"/>
  <c r="CC46" i="15"/>
  <c r="BS46" i="15"/>
  <c r="BV46" i="15"/>
  <c r="BP46" i="15"/>
  <c r="BU46" i="15"/>
  <c r="BW46" i="15"/>
  <c r="AW45" i="5"/>
  <c r="BQ51" i="15"/>
  <c r="BT51" i="15"/>
  <c r="BV51" i="15"/>
  <c r="BY51" i="15"/>
  <c r="BX51" i="15"/>
  <c r="BW51" i="15"/>
  <c r="AR50" i="11"/>
  <c r="AR55" i="11" s="1"/>
  <c r="AP50" i="11"/>
  <c r="AP55" i="11" s="1"/>
  <c r="AQ50" i="11"/>
  <c r="AQ55" i="11" s="1"/>
  <c r="AV50" i="11"/>
  <c r="AV55" i="11" s="1"/>
  <c r="AX50" i="11"/>
  <c r="AX55" i="11" s="1"/>
  <c r="AW50" i="11"/>
  <c r="AW55" i="11" s="1"/>
  <c r="AN50" i="11"/>
  <c r="AN55" i="11" s="1"/>
  <c r="AL50" i="11"/>
  <c r="AL55" i="11" s="1"/>
  <c r="AO50" i="11"/>
  <c r="AO55" i="11" s="1"/>
  <c r="AM50" i="11"/>
  <c r="AM55" i="11" s="1"/>
  <c r="AS50" i="11"/>
  <c r="AS55" i="11" s="1"/>
  <c r="AU50" i="11"/>
  <c r="AU55" i="11" s="1"/>
  <c r="AT50" i="11"/>
  <c r="AT55" i="11" s="1"/>
  <c r="BN35" i="15"/>
  <c r="BJ35" i="15"/>
  <c r="BL35" i="15"/>
  <c r="BK35" i="15"/>
  <c r="BM35" i="15"/>
  <c r="BO35" i="15"/>
  <c r="BP35" i="15"/>
  <c r="BR35" i="15"/>
  <c r="BQ35" i="15"/>
  <c r="AR36" i="5"/>
  <c r="AK36" i="15"/>
  <c r="AK40" i="15" s="1"/>
  <c r="AL36" i="15"/>
  <c r="AL40" i="15" s="1"/>
  <c r="AM36" i="15"/>
  <c r="AM40" i="15" s="1"/>
  <c r="AO36" i="15"/>
  <c r="AO40" i="15" s="1"/>
  <c r="AN36" i="15"/>
  <c r="AN40" i="15" s="1"/>
  <c r="AV35" i="11"/>
  <c r="AT35" i="11"/>
  <c r="AU35" i="11"/>
  <c r="AW35" i="11"/>
  <c r="AS35" i="11"/>
  <c r="AR35" i="11"/>
  <c r="AR60" i="5"/>
  <c r="BP37" i="15"/>
  <c r="AR20" i="5"/>
  <c r="BT53" i="15"/>
  <c r="BZ53" i="15"/>
  <c r="CC53" i="15"/>
  <c r="BX53" i="15"/>
  <c r="BY53" i="15"/>
  <c r="BW53" i="15"/>
  <c r="BS53" i="15"/>
  <c r="CD53" i="15"/>
  <c r="CB53" i="15"/>
  <c r="BR53" i="15"/>
  <c r="BV53" i="15"/>
  <c r="CA53" i="15"/>
  <c r="CE53" i="15"/>
  <c r="BU53" i="15"/>
  <c r="AR29" i="5"/>
  <c r="AR27" i="5"/>
  <c r="AR68" i="5"/>
  <c r="AT13" i="15"/>
  <c r="AT16" i="15" s="1"/>
  <c r="AR13" i="5"/>
  <c r="AR28" i="5"/>
  <c r="AS28" i="15"/>
  <c r="AZ37" i="11"/>
  <c r="AY37" i="11"/>
  <c r="AX37" i="11"/>
  <c r="BA37" i="11"/>
  <c r="AW37" i="11"/>
  <c r="BN38" i="15"/>
  <c r="BR38" i="15"/>
  <c r="BU38" i="15"/>
  <c r="BT38" i="15"/>
  <c r="BK38" i="15"/>
  <c r="BV38" i="15"/>
  <c r="BP38" i="15"/>
  <c r="BX38" i="15"/>
  <c r="BS38" i="15"/>
  <c r="BL38" i="15"/>
  <c r="BM38" i="15"/>
  <c r="BO38" i="15"/>
  <c r="BQ38" i="15"/>
  <c r="BW38" i="15"/>
  <c r="BL38" i="5"/>
  <c r="CJ70" i="15" l="1"/>
  <c r="CD70" i="15"/>
  <c r="CK70" i="15"/>
  <c r="CI70" i="15"/>
  <c r="CG70" i="15"/>
  <c r="CE70" i="15"/>
  <c r="CC70" i="15"/>
  <c r="BL70" i="5"/>
  <c r="CK62" i="15"/>
  <c r="CD62" i="15"/>
  <c r="CD64" i="15" s="1"/>
  <c r="CH62" i="15"/>
  <c r="CF62" i="15"/>
  <c r="CF64" i="15" s="1"/>
  <c r="CC62" i="15"/>
  <c r="CC64" i="15" s="1"/>
  <c r="CE62" i="15"/>
  <c r="CE64" i="15" s="1"/>
  <c r="CG62" i="15"/>
  <c r="CG64" i="15" s="1"/>
  <c r="CB62" i="15"/>
  <c r="CB64" i="15" s="1"/>
  <c r="BL62" i="5"/>
  <c r="AR72" i="5"/>
  <c r="CF70" i="15"/>
  <c r="CH70" i="15"/>
  <c r="CJ62" i="15"/>
  <c r="CI62" i="15"/>
  <c r="AN13" i="11"/>
  <c r="AP13" i="11"/>
  <c r="AM13" i="11"/>
  <c r="AJ13" i="11"/>
  <c r="AL13" i="11"/>
  <c r="AK13" i="11"/>
  <c r="AO13" i="11"/>
  <c r="BY64" i="15"/>
  <c r="BX64" i="15"/>
  <c r="BZ64" i="15"/>
  <c r="BL54" i="5"/>
  <c r="AR40" i="5"/>
  <c r="AR64" i="5"/>
  <c r="CA64" i="15"/>
  <c r="BU56" i="15"/>
  <c r="AR56" i="5"/>
  <c r="CH54" i="15"/>
  <c r="CA54" i="15"/>
  <c r="CA56" i="15" s="1"/>
  <c r="CG54" i="15"/>
  <c r="CJ54" i="15"/>
  <c r="CI54" i="15"/>
  <c r="CE54" i="15"/>
  <c r="CB54" i="15"/>
  <c r="CB56" i="15" s="1"/>
  <c r="CD54" i="15"/>
  <c r="CD56" i="15" s="1"/>
  <c r="CF54" i="15"/>
  <c r="CC54" i="15"/>
  <c r="CC56" i="15" s="1"/>
  <c r="BZ54" i="15"/>
  <c r="BZ56" i="15" s="1"/>
  <c r="CK54" i="15"/>
  <c r="BV56" i="15"/>
  <c r="BX56" i="15"/>
  <c r="BR40" i="15"/>
  <c r="BP40" i="15"/>
  <c r="BQ40" i="15"/>
  <c r="BT56" i="15"/>
  <c r="BY56" i="15"/>
  <c r="BW56" i="15"/>
  <c r="AR32" i="5"/>
  <c r="AR3" i="14" l="1"/>
  <c r="AR59" i="14"/>
  <c r="AR35" i="14"/>
  <c r="AS35" i="16"/>
  <c r="AS27" i="16"/>
  <c r="AR27" i="14"/>
  <c r="AT43" i="16"/>
  <c r="AV43" i="16"/>
  <c r="AU43" i="16"/>
  <c r="AS43" i="16"/>
  <c r="AR43" i="14"/>
  <c r="AR51" i="14"/>
  <c r="AR5" i="14" l="1"/>
  <c r="AS5" i="16"/>
  <c r="AR13" i="16"/>
  <c r="AS13" i="16"/>
  <c r="AQ13" i="14"/>
  <c r="AR13" i="14"/>
  <c r="BQ46" i="14"/>
  <c r="AO44" i="16"/>
  <c r="AP44" i="16"/>
  <c r="AL44" i="16"/>
  <c r="AQ44" i="16"/>
  <c r="AJ44" i="16"/>
  <c r="AK44" i="16"/>
  <c r="AM44" i="16"/>
  <c r="AN44" i="16"/>
  <c r="AR44" i="14"/>
  <c r="AR48" i="14" s="1"/>
  <c r="AN52" i="16"/>
  <c r="AW53" i="14"/>
  <c r="AS37" i="16"/>
  <c r="AR37" i="14"/>
  <c r="AR52" i="14"/>
  <c r="AR56" i="14" s="1"/>
  <c r="AR29" i="14"/>
  <c r="AS29" i="16"/>
  <c r="AW61" i="14"/>
  <c r="BT45" i="16"/>
  <c r="BV45" i="16"/>
  <c r="BU45" i="16"/>
  <c r="BS45" i="16"/>
  <c r="AR60" i="14"/>
  <c r="AR64" i="14" s="1"/>
  <c r="AW45" i="14"/>
  <c r="BQ62" i="14"/>
  <c r="AS6" i="16"/>
  <c r="BQ54" i="14"/>
  <c r="AS22" i="16"/>
  <c r="AS24" i="16" s="1"/>
  <c r="AD22" i="14"/>
  <c r="AD24" i="14" s="1"/>
  <c r="AE22" i="14"/>
  <c r="AE24" i="14" s="1"/>
  <c r="AE67" i="14" s="1"/>
  <c r="AS8" i="16" l="1"/>
  <c r="AD67" i="14"/>
  <c r="AD10" i="11" l="1"/>
  <c r="AD15" i="11" s="1"/>
  <c r="AG10" i="11"/>
  <c r="AG15" i="11" s="1"/>
  <c r="AC10" i="11"/>
  <c r="AC15" i="11" s="1"/>
  <c r="AF10" i="11"/>
  <c r="AF15" i="11" s="1"/>
  <c r="AE10" i="11"/>
  <c r="AE15" i="11" s="1"/>
  <c r="AJ10" i="11"/>
  <c r="AJ15" i="11" s="1"/>
  <c r="AH10" i="11"/>
  <c r="AH15" i="11" s="1"/>
  <c r="AI10" i="11"/>
  <c r="AI15" i="11" s="1"/>
  <c r="AX53" i="5"/>
  <c r="AT19" i="5" l="1"/>
  <c r="AQ4" i="11"/>
  <c r="AY53" i="5"/>
  <c r="AV18" i="11"/>
  <c r="AS19" i="5"/>
  <c r="BN54" i="5"/>
  <c r="BM54" i="5"/>
  <c r="AT67" i="5"/>
  <c r="AS67" i="5"/>
  <c r="AT27" i="5"/>
  <c r="AS27" i="5"/>
  <c r="AS36" i="5"/>
  <c r="AT36" i="5"/>
  <c r="AT28" i="15"/>
  <c r="AU28" i="15"/>
  <c r="AS28" i="5"/>
  <c r="AT28" i="5"/>
  <c r="AS35" i="5"/>
  <c r="AT35" i="5"/>
  <c r="AT29" i="5"/>
  <c r="AS29" i="5"/>
  <c r="AX69" i="5"/>
  <c r="AY69" i="5"/>
  <c r="AX37" i="5"/>
  <c r="AY37" i="5"/>
  <c r="AS68" i="5"/>
  <c r="AT68" i="5"/>
  <c r="AS52" i="5"/>
  <c r="AT52" i="5"/>
  <c r="AY61" i="5"/>
  <c r="AX61" i="5"/>
  <c r="AT44" i="5"/>
  <c r="AS44" i="5"/>
  <c r="AT59" i="5"/>
  <c r="AS59" i="5"/>
  <c r="AD19" i="11"/>
  <c r="AD23" i="11" s="1"/>
  <c r="AE19" i="11"/>
  <c r="AE23" i="11" s="1"/>
  <c r="AF19" i="11"/>
  <c r="AF23" i="11" s="1"/>
  <c r="AQ19" i="11"/>
  <c r="AU19" i="11"/>
  <c r="AS19" i="11"/>
  <c r="AG19" i="11"/>
  <c r="AG23" i="11" s="1"/>
  <c r="AK19" i="11"/>
  <c r="AK23" i="11" s="1"/>
  <c r="AO19" i="11"/>
  <c r="AJ19" i="11"/>
  <c r="AJ23" i="11" s="1"/>
  <c r="AM19" i="11"/>
  <c r="AN19" i="11"/>
  <c r="AR19" i="11"/>
  <c r="AI19" i="11"/>
  <c r="AI23" i="11" s="1"/>
  <c r="AL19" i="11"/>
  <c r="AT19" i="11"/>
  <c r="AP19" i="11"/>
  <c r="AH19" i="11"/>
  <c r="AH23" i="11" s="1"/>
  <c r="AT20" i="15"/>
  <c r="AU20" i="15"/>
  <c r="AT20" i="5"/>
  <c r="AS20" i="5"/>
  <c r="AS13" i="5"/>
  <c r="AS16" i="5" s="1"/>
  <c r="AT13" i="5"/>
  <c r="AT16" i="5" s="1"/>
  <c r="AU13" i="15"/>
  <c r="AU16" i="15" s="1"/>
  <c r="AV13" i="15"/>
  <c r="AV16" i="15" s="1"/>
  <c r="AU21" i="15"/>
  <c r="AT21" i="15"/>
  <c r="AS21" i="5"/>
  <c r="AT21" i="5"/>
  <c r="AX45" i="5"/>
  <c r="AY45" i="5"/>
  <c r="AS60" i="5"/>
  <c r="AT60" i="5"/>
  <c r="AS51" i="5"/>
  <c r="AT51" i="5"/>
  <c r="AN42" i="11"/>
  <c r="AN47" i="11" s="1"/>
  <c r="AH42" i="11"/>
  <c r="AH47" i="11" s="1"/>
  <c r="AQ42" i="11"/>
  <c r="AQ47" i="11" s="1"/>
  <c r="AR42" i="11"/>
  <c r="AR47" i="11" s="1"/>
  <c r="AI42" i="11"/>
  <c r="AI47" i="11" s="1"/>
  <c r="AO42" i="11"/>
  <c r="AO47" i="11" s="1"/>
  <c r="AL42" i="11"/>
  <c r="AL47" i="11" s="1"/>
  <c r="AM42" i="11"/>
  <c r="AM47" i="11" s="1"/>
  <c r="AU42" i="11"/>
  <c r="AU47" i="11" s="1"/>
  <c r="AS42" i="11"/>
  <c r="AS47" i="11" s="1"/>
  <c r="AK42" i="11"/>
  <c r="AK47" i="11" s="1"/>
  <c r="AT42" i="11"/>
  <c r="AT47" i="11" s="1"/>
  <c r="AG42" i="11"/>
  <c r="AG47" i="11" s="1"/>
  <c r="AJ42" i="11"/>
  <c r="AJ47" i="11" s="1"/>
  <c r="AP42" i="11"/>
  <c r="AP47" i="11" s="1"/>
  <c r="AS43" i="5"/>
  <c r="AT43" i="5"/>
  <c r="AT40" i="5" l="1"/>
  <c r="BN70" i="5"/>
  <c r="BM70" i="5"/>
  <c r="BN62" i="5"/>
  <c r="BM62" i="5"/>
  <c r="BN46" i="5"/>
  <c r="BM46" i="5"/>
  <c r="AS40" i="5"/>
  <c r="AS56" i="5"/>
  <c r="AT56" i="5"/>
  <c r="BN38" i="5"/>
  <c r="BM38" i="5"/>
  <c r="AS72" i="5"/>
  <c r="AT72" i="5"/>
  <c r="AS32" i="5"/>
  <c r="AT48" i="5"/>
  <c r="AS48" i="5"/>
  <c r="AT64" i="5"/>
  <c r="AS64" i="5"/>
  <c r="K95" i="3" l="1"/>
  <c r="L95" i="3"/>
  <c r="M95" i="3" l="1"/>
  <c r="S95" i="3" s="1"/>
  <c r="AQ28" i="14" l="1"/>
  <c r="AU13" i="16"/>
  <c r="AT13" i="16"/>
  <c r="AT59" i="14"/>
  <c r="AS59" i="14"/>
  <c r="AS35" i="14"/>
  <c r="AT35" i="14"/>
  <c r="AT35" i="16"/>
  <c r="AU35" i="16"/>
  <c r="AT27" i="14"/>
  <c r="AS27" i="14"/>
  <c r="AT27" i="16"/>
  <c r="AU27" i="16"/>
  <c r="AT60" i="14"/>
  <c r="AS60" i="14"/>
  <c r="AS44" i="14"/>
  <c r="AT44" i="14"/>
  <c r="AT29" i="14"/>
  <c r="AS29" i="14"/>
  <c r="AY53" i="14"/>
  <c r="AX53" i="14"/>
  <c r="AS28" i="14" l="1"/>
  <c r="AT3" i="14"/>
  <c r="AT51" i="14"/>
  <c r="AT28" i="14"/>
  <c r="AS51" i="14"/>
  <c r="AS13" i="14"/>
  <c r="AR28" i="16"/>
  <c r="AT28" i="16"/>
  <c r="AU28" i="16"/>
  <c r="AR36" i="14"/>
  <c r="AT36" i="14"/>
  <c r="AS36" i="14"/>
  <c r="AS36" i="16"/>
  <c r="AU36" i="16"/>
  <c r="AT36" i="16"/>
  <c r="AS3" i="14"/>
  <c r="AY45" i="14"/>
  <c r="AX45" i="14"/>
  <c r="AT43" i="14"/>
  <c r="AT48" i="14" s="1"/>
  <c r="AS43" i="14"/>
  <c r="AS48" i="14" s="1"/>
  <c r="AS37" i="14"/>
  <c r="AT37" i="14"/>
  <c r="AU37" i="16"/>
  <c r="AT37" i="16"/>
  <c r="CU60" i="12"/>
  <c r="CU63" i="12" s="1"/>
  <c r="CT60" i="12"/>
  <c r="CT63" i="12" s="1"/>
  <c r="AY61" i="14"/>
  <c r="AX61" i="14"/>
  <c r="AT52" i="14"/>
  <c r="AT29" i="16"/>
  <c r="AU29" i="16"/>
  <c r="AY6" i="16"/>
  <c r="AY8" i="16" s="1"/>
  <c r="BF6" i="16"/>
  <c r="BF8" i="16" s="1"/>
  <c r="AZ6" i="16"/>
  <c r="AZ8" i="16" s="1"/>
  <c r="BB6" i="16"/>
  <c r="BB8" i="16" s="1"/>
  <c r="AX6" i="16"/>
  <c r="AX8" i="16" s="1"/>
  <c r="BA6" i="16"/>
  <c r="BA8" i="16" s="1"/>
  <c r="BC6" i="16"/>
  <c r="BC8" i="16" s="1"/>
  <c r="BD6" i="16"/>
  <c r="BD8" i="16" s="1"/>
  <c r="AV6" i="16"/>
  <c r="AV8" i="16" s="1"/>
  <c r="AT6" i="16"/>
  <c r="AW6" i="16"/>
  <c r="AW8" i="16" s="1"/>
  <c r="AU6" i="16"/>
  <c r="AU8" i="16" s="1"/>
  <c r="BE6" i="16"/>
  <c r="BE8" i="16" s="1"/>
  <c r="BG6" i="16"/>
  <c r="BG8" i="16" s="1"/>
  <c r="AT64" i="14"/>
  <c r="AS64" i="14"/>
  <c r="BS46" i="14"/>
  <c r="BR46" i="14"/>
  <c r="BS62" i="14"/>
  <c r="BR62" i="14"/>
  <c r="AU22" i="16"/>
  <c r="AU24" i="16" s="1"/>
  <c r="AT22" i="16"/>
  <c r="AT24" i="16" s="1"/>
  <c r="BS54" i="14"/>
  <c r="BR54" i="14"/>
  <c r="AS52" i="14"/>
  <c r="AT56" i="14" l="1"/>
  <c r="AS56" i="14"/>
  <c r="AV21" i="15" l="1"/>
  <c r="AP10" i="11"/>
  <c r="AM10" i="11"/>
  <c r="AO10" i="11"/>
  <c r="AL10" i="11"/>
  <c r="AN10" i="11"/>
  <c r="AK10" i="11"/>
  <c r="AK15" i="11" s="1"/>
  <c r="CR60" i="11"/>
  <c r="CS60" i="11"/>
  <c r="CT60" i="11"/>
  <c r="CQ60" i="11"/>
  <c r="AY37" i="15" l="1"/>
  <c r="AW37" i="15"/>
  <c r="AX37" i="15"/>
  <c r="AV37" i="15"/>
  <c r="BE37" i="15"/>
  <c r="AZ37" i="15"/>
  <c r="BA37" i="15"/>
  <c r="BC37" i="15"/>
  <c r="BB37" i="15"/>
  <c r="BD37" i="15"/>
  <c r="BI37" i="15"/>
  <c r="BF37" i="15"/>
  <c r="BH37" i="15"/>
  <c r="BG37" i="15"/>
  <c r="BM37" i="15"/>
  <c r="BM40" i="15" s="1"/>
  <c r="BK37" i="15"/>
  <c r="BK40" i="15" s="1"/>
  <c r="BN37" i="15"/>
  <c r="BN40" i="15" s="1"/>
  <c r="BJ37" i="15"/>
  <c r="BJ40" i="15" s="1"/>
  <c r="BO37" i="15"/>
  <c r="BO40" i="15" s="1"/>
  <c r="BL37" i="15"/>
  <c r="BL40" i="15" s="1"/>
  <c r="AU28" i="5"/>
  <c r="AV28" i="15"/>
  <c r="BC35" i="15"/>
  <c r="AV35" i="15"/>
  <c r="AW35" i="15"/>
  <c r="AY35" i="15"/>
  <c r="BB35" i="15"/>
  <c r="AU35" i="15"/>
  <c r="BA35" i="15"/>
  <c r="BD35" i="15"/>
  <c r="AX35" i="15"/>
  <c r="AZ35" i="15"/>
  <c r="CR68" i="11"/>
  <c r="CQ68" i="11"/>
  <c r="AO29" i="15"/>
  <c r="AP29" i="15"/>
  <c r="AN29" i="15"/>
  <c r="AO27" i="15"/>
  <c r="AM27" i="15"/>
  <c r="AM32" i="15" s="1"/>
  <c r="AN27" i="15"/>
  <c r="AM11" i="11"/>
  <c r="AM15" i="11" s="1"/>
  <c r="AN11" i="11"/>
  <c r="AL11" i="11"/>
  <c r="AL15" i="11" s="1"/>
  <c r="AV20" i="15"/>
  <c r="AU20" i="5"/>
  <c r="CQ52" i="11"/>
  <c r="CR52" i="11"/>
  <c r="CS52" i="11"/>
  <c r="CT52" i="11"/>
  <c r="AO12" i="11"/>
  <c r="AO15" i="11" s="1"/>
  <c r="AN12" i="11"/>
  <c r="AP12" i="11"/>
  <c r="AP15" i="11" s="1"/>
  <c r="AO32" i="15" l="1"/>
  <c r="AN32" i="15"/>
  <c r="Z6" i="5"/>
  <c r="Z8" i="5" s="1"/>
  <c r="AA6" i="5"/>
  <c r="AA8" i="5" s="1"/>
  <c r="AA75" i="5" s="1"/>
  <c r="AC6" i="5"/>
  <c r="AC8" i="5" s="1"/>
  <c r="AC75" i="5" s="1"/>
  <c r="AD6" i="5"/>
  <c r="AD8" i="5" s="1"/>
  <c r="AD75" i="5" s="1"/>
  <c r="AE6" i="5"/>
  <c r="AE8" i="5" s="1"/>
  <c r="AB6" i="5"/>
  <c r="AB8" i="5" s="1"/>
  <c r="AB75" i="5" s="1"/>
  <c r="AE6" i="15"/>
  <c r="AE8" i="15" s="1"/>
  <c r="AF6" i="15"/>
  <c r="AF8" i="15" s="1"/>
  <c r="AJ6" i="15"/>
  <c r="AJ8" i="15" s="1"/>
  <c r="AG6" i="15"/>
  <c r="AG8" i="15" s="1"/>
  <c r="AH6" i="15"/>
  <c r="AH8" i="15" s="1"/>
  <c r="AI6" i="15"/>
  <c r="AI8" i="15" s="1"/>
  <c r="CY45" i="11"/>
  <c r="CY47" i="11" s="1"/>
  <c r="CX45" i="11"/>
  <c r="CX47" i="11" s="1"/>
  <c r="DA46" i="15"/>
  <c r="DA48" i="15" s="1"/>
  <c r="CZ46" i="15"/>
  <c r="CZ48" i="15" s="1"/>
  <c r="CZ54" i="15"/>
  <c r="CZ56" i="15" s="1"/>
  <c r="DA54" i="15"/>
  <c r="DA56" i="15" s="1"/>
  <c r="CX53" i="11"/>
  <c r="CX55" i="11" s="1"/>
  <c r="CY53" i="11"/>
  <c r="CY55" i="11" s="1"/>
  <c r="CZ70" i="15"/>
  <c r="DA70" i="15"/>
  <c r="CY69" i="11"/>
  <c r="CY71" i="11" s="1"/>
  <c r="CX69" i="11"/>
  <c r="CX71" i="11" s="1"/>
  <c r="CZ62" i="15"/>
  <c r="DA62" i="15"/>
  <c r="CX61" i="11"/>
  <c r="CX63" i="11" s="1"/>
  <c r="CY61" i="11"/>
  <c r="CY63" i="11" s="1"/>
  <c r="AN15" i="11"/>
  <c r="Z75" i="5" l="1"/>
  <c r="AE75" i="15"/>
  <c r="AV28" i="16" l="1"/>
  <c r="AU28" i="14"/>
  <c r="AV36" i="16"/>
  <c r="AU36" i="14"/>
  <c r="AT13" i="14" l="1"/>
  <c r="AZ45" i="5" l="1"/>
  <c r="AP27" i="15" l="1"/>
  <c r="AP32" i="15" s="1"/>
  <c r="AT27" i="15"/>
  <c r="AU27" i="15"/>
  <c r="AR27" i="15"/>
  <c r="AS27" i="15"/>
  <c r="AV27" i="15"/>
  <c r="AQ27" i="15"/>
  <c r="AT29" i="15"/>
  <c r="AR29" i="15"/>
  <c r="AV29" i="15"/>
  <c r="AS29" i="15"/>
  <c r="AU29" i="15"/>
  <c r="AQ29" i="15"/>
  <c r="AU44" i="15"/>
  <c r="AU48" i="15" s="1"/>
  <c r="AS44" i="15"/>
  <c r="AS48" i="15" s="1"/>
  <c r="AT44" i="15"/>
  <c r="AT48" i="15" s="1"/>
  <c r="AM44" i="15"/>
  <c r="AM48" i="15" s="1"/>
  <c r="AQ44" i="15"/>
  <c r="AQ48" i="15" s="1"/>
  <c r="AV44" i="15"/>
  <c r="AV48" i="15" s="1"/>
  <c r="AK44" i="15"/>
  <c r="AK48" i="15" s="1"/>
  <c r="AO44" i="15"/>
  <c r="AO48" i="15" s="1"/>
  <c r="AR44" i="15"/>
  <c r="AR48" i="15" s="1"/>
  <c r="AL44" i="15"/>
  <c r="AL48" i="15" s="1"/>
  <c r="AN44" i="15"/>
  <c r="AN48" i="15" s="1"/>
  <c r="AP44" i="15"/>
  <c r="AP48" i="15" s="1"/>
  <c r="AP36" i="15"/>
  <c r="AP40" i="15" s="1"/>
  <c r="AR36" i="15"/>
  <c r="AR40" i="15" s="1"/>
  <c r="AV36" i="15"/>
  <c r="AV40" i="15" s="1"/>
  <c r="AU36" i="15"/>
  <c r="AU40" i="15" s="1"/>
  <c r="AT36" i="15"/>
  <c r="AT40" i="15" s="1"/>
  <c r="AQ36" i="15"/>
  <c r="AQ40" i="15" s="1"/>
  <c r="AS36" i="15"/>
  <c r="AS40" i="15" s="1"/>
  <c r="AU13" i="5"/>
  <c r="AU16" i="5" s="1"/>
  <c r="BF59" i="15"/>
  <c r="BG59" i="15"/>
  <c r="AU59" i="5"/>
  <c r="BC59" i="15"/>
  <c r="BI59" i="15"/>
  <c r="BD59" i="15"/>
  <c r="BH59" i="15"/>
  <c r="BE59" i="15"/>
  <c r="AW13" i="15"/>
  <c r="AW16" i="15" s="1"/>
  <c r="AU60" i="5"/>
  <c r="AU29" i="5"/>
  <c r="AU27" i="5"/>
  <c r="BO67" i="15"/>
  <c r="BS67" i="15"/>
  <c r="BQ67" i="15"/>
  <c r="BP67" i="15"/>
  <c r="BR67" i="15"/>
  <c r="BT67" i="15"/>
  <c r="BU67" i="15"/>
  <c r="AU67" i="5"/>
  <c r="AZ69" i="5"/>
  <c r="CF69" i="15"/>
  <c r="CF72" i="15" s="1"/>
  <c r="BW69" i="15"/>
  <c r="BW72" i="15" s="1"/>
  <c r="BQ69" i="15"/>
  <c r="BR69" i="15"/>
  <c r="CB69" i="15"/>
  <c r="CB72" i="15" s="1"/>
  <c r="BZ69" i="15"/>
  <c r="BZ72" i="15" s="1"/>
  <c r="BU69" i="15"/>
  <c r="BS69" i="15"/>
  <c r="CE69" i="15"/>
  <c r="CE72" i="15" s="1"/>
  <c r="CH69" i="15"/>
  <c r="BY69" i="15"/>
  <c r="BY72" i="15" s="1"/>
  <c r="BT69" i="15"/>
  <c r="CC69" i="15"/>
  <c r="CC72" i="15" s="1"/>
  <c r="CA69" i="15"/>
  <c r="CA72" i="15" s="1"/>
  <c r="BV69" i="15"/>
  <c r="BX69" i="15"/>
  <c r="BX72" i="15" s="1"/>
  <c r="BP69" i="15"/>
  <c r="CG69" i="15"/>
  <c r="CG72" i="15" s="1"/>
  <c r="CD69" i="15"/>
  <c r="CD72" i="15" s="1"/>
  <c r="BO54" i="15"/>
  <c r="BM54" i="15"/>
  <c r="BE54" i="15"/>
  <c r="BK54" i="15"/>
  <c r="BI54" i="15"/>
  <c r="BF54" i="15"/>
  <c r="BN54" i="15"/>
  <c r="BH54" i="15"/>
  <c r="BJ54" i="15"/>
  <c r="BR54" i="15"/>
  <c r="BL54" i="15"/>
  <c r="BP54" i="15"/>
  <c r="BG54" i="15"/>
  <c r="BQ54" i="15"/>
  <c r="BO54" i="5"/>
  <c r="BO62" i="5"/>
  <c r="BT62" i="15"/>
  <c r="BR62" i="15"/>
  <c r="BQ62" i="15"/>
  <c r="BS62" i="15"/>
  <c r="BL62" i="15"/>
  <c r="BI62" i="15"/>
  <c r="BH62" i="15"/>
  <c r="BG62" i="15"/>
  <c r="BO62" i="15"/>
  <c r="BN62" i="15"/>
  <c r="BP62" i="15"/>
  <c r="BM62" i="15"/>
  <c r="BK62" i="15"/>
  <c r="BJ62" i="15"/>
  <c r="BI70" i="15"/>
  <c r="BU70" i="15"/>
  <c r="BP70" i="15"/>
  <c r="BR70" i="15"/>
  <c r="BS70" i="15"/>
  <c r="BK70" i="15"/>
  <c r="BJ70" i="15"/>
  <c r="BN70" i="15"/>
  <c r="BO70" i="15"/>
  <c r="BH70" i="15"/>
  <c r="BM70" i="15"/>
  <c r="BL70" i="15"/>
  <c r="BQ70" i="15"/>
  <c r="BT70" i="15"/>
  <c r="BO70" i="5"/>
  <c r="AU35" i="5"/>
  <c r="AU36" i="5"/>
  <c r="AU68" i="5"/>
  <c r="AZ37" i="5"/>
  <c r="BT61" i="15"/>
  <c r="BE61" i="15"/>
  <c r="BV61" i="15"/>
  <c r="BV64" i="15" s="1"/>
  <c r="BR61" i="15"/>
  <c r="BS61" i="15"/>
  <c r="BM61" i="15"/>
  <c r="BN61" i="15"/>
  <c r="BO61" i="15"/>
  <c r="BL61" i="15"/>
  <c r="BU61" i="15"/>
  <c r="BK61" i="15"/>
  <c r="BI61" i="15"/>
  <c r="BW61" i="15"/>
  <c r="BW64" i="15" s="1"/>
  <c r="BQ61" i="15"/>
  <c r="BD61" i="15"/>
  <c r="BG61" i="15"/>
  <c r="BP61" i="15"/>
  <c r="BF61" i="15"/>
  <c r="BH61" i="15"/>
  <c r="BJ61" i="15"/>
  <c r="AV51" i="15"/>
  <c r="AZ51" i="15"/>
  <c r="BD51" i="15"/>
  <c r="AY51" i="15"/>
  <c r="BC51" i="15"/>
  <c r="AW51" i="15"/>
  <c r="AX51" i="15"/>
  <c r="AU51" i="15"/>
  <c r="AU56" i="15" s="1"/>
  <c r="BA51" i="15"/>
  <c r="BB51" i="15"/>
  <c r="AU51" i="5"/>
  <c r="AU21" i="5"/>
  <c r="AU44" i="5"/>
  <c r="AU19" i="5"/>
  <c r="AU43" i="5"/>
  <c r="AZ53" i="5"/>
  <c r="BG53" i="15"/>
  <c r="BH53" i="15"/>
  <c r="AZ53" i="15"/>
  <c r="BK53" i="15"/>
  <c r="AW53" i="15"/>
  <c r="BO53" i="15"/>
  <c r="BA53" i="15"/>
  <c r="BC53" i="15"/>
  <c r="BJ53" i="15"/>
  <c r="AX53" i="15"/>
  <c r="BL53" i="15"/>
  <c r="BN53" i="15"/>
  <c r="BM53" i="15"/>
  <c r="BD53" i="15"/>
  <c r="BF53" i="15"/>
  <c r="AV53" i="15"/>
  <c r="AY53" i="15"/>
  <c r="BB53" i="15"/>
  <c r="BE53" i="15"/>
  <c r="BI53" i="15"/>
  <c r="AZ61" i="5"/>
  <c r="AU52" i="5"/>
  <c r="AS32" i="15" l="1"/>
  <c r="AU30" i="15"/>
  <c r="AU32" i="15" s="1"/>
  <c r="AV30" i="15"/>
  <c r="AV32" i="15" s="1"/>
  <c r="AR32" i="15"/>
  <c r="AT32" i="15"/>
  <c r="AO5" i="11"/>
  <c r="AO7" i="11" s="1"/>
  <c r="AQ5" i="11"/>
  <c r="AQ7" i="11" s="1"/>
  <c r="AP5" i="11"/>
  <c r="AP7" i="11" s="1"/>
  <c r="AN5" i="11"/>
  <c r="AN7" i="11" s="1"/>
  <c r="AM5" i="11"/>
  <c r="AM7" i="11" s="1"/>
  <c r="AL5" i="11"/>
  <c r="AI5" i="11"/>
  <c r="AI7" i="11" s="1"/>
  <c r="AJ5" i="11"/>
  <c r="AK5" i="11"/>
  <c r="AH5" i="11"/>
  <c r="AH7" i="11" s="1"/>
  <c r="AT6" i="15"/>
  <c r="AT8" i="15" s="1"/>
  <c r="AS6" i="15"/>
  <c r="AS8" i="15" s="1"/>
  <c r="AR6" i="15"/>
  <c r="AR8" i="15" s="1"/>
  <c r="AQ6" i="15"/>
  <c r="AQ8" i="15" s="1"/>
  <c r="AO6" i="15"/>
  <c r="AO8" i="15" s="1"/>
  <c r="AP6" i="15"/>
  <c r="AP8" i="15" s="1"/>
  <c r="AM6" i="15"/>
  <c r="AM8" i="15" s="1"/>
  <c r="AL6" i="15"/>
  <c r="AL8" i="15" s="1"/>
  <c r="AN6" i="15"/>
  <c r="AN8" i="15" s="1"/>
  <c r="AK6" i="15"/>
  <c r="AK8" i="15" s="1"/>
  <c r="AQ32" i="15"/>
  <c r="AV22" i="15"/>
  <c r="AV24" i="15" s="1"/>
  <c r="AS22" i="15"/>
  <c r="AS24" i="15" s="1"/>
  <c r="AR22" i="15"/>
  <c r="AR24" i="15" s="1"/>
  <c r="AU22" i="15"/>
  <c r="AU24" i="15" s="1"/>
  <c r="AT22" i="15"/>
  <c r="AT24" i="15" s="1"/>
  <c r="AU64" i="5"/>
  <c r="AU48" i="5"/>
  <c r="BJ46" i="15"/>
  <c r="BG46" i="15"/>
  <c r="BE46" i="15"/>
  <c r="BC46" i="15"/>
  <c r="BB46" i="15"/>
  <c r="BI46" i="15"/>
  <c r="BD46" i="15"/>
  <c r="BM46" i="15"/>
  <c r="BK46" i="15"/>
  <c r="BH46" i="15"/>
  <c r="BF46" i="15"/>
  <c r="BO46" i="15"/>
  <c r="BN46" i="15"/>
  <c r="BL46" i="15"/>
  <c r="BO46" i="5"/>
  <c r="AG14" i="15"/>
  <c r="AG16" i="15" s="1"/>
  <c r="AG75" i="15" s="1"/>
  <c r="AH14" i="15"/>
  <c r="AH16" i="15" s="1"/>
  <c r="AH75" i="15" s="1"/>
  <c r="AM14" i="15"/>
  <c r="AM16" i="15" s="1"/>
  <c r="AR14" i="15"/>
  <c r="AR16" i="15" s="1"/>
  <c r="AN14" i="15"/>
  <c r="AN16" i="15" s="1"/>
  <c r="AO14" i="15"/>
  <c r="AO16" i="15" s="1"/>
  <c r="AJ14" i="15"/>
  <c r="AJ16" i="15" s="1"/>
  <c r="AJ75" i="15" s="1"/>
  <c r="AS14" i="15"/>
  <c r="AL14" i="15"/>
  <c r="AL16" i="15" s="1"/>
  <c r="AF14" i="15"/>
  <c r="AF16" i="15" s="1"/>
  <c r="AK14" i="15"/>
  <c r="AK16" i="15" s="1"/>
  <c r="AI14" i="15"/>
  <c r="AI16" i="15" s="1"/>
  <c r="AI75" i="15" s="1"/>
  <c r="AQ14" i="15"/>
  <c r="AQ16" i="15" s="1"/>
  <c r="AP14" i="15"/>
  <c r="AP16" i="15" s="1"/>
  <c r="BO38" i="5"/>
  <c r="AW56" i="15"/>
  <c r="AX56" i="15"/>
  <c r="AV56" i="15"/>
  <c r="AY56" i="15"/>
  <c r="AU56" i="5"/>
  <c r="AU72" i="5"/>
  <c r="AU40" i="5"/>
  <c r="AN75" i="15" l="1"/>
  <c r="AP75" i="15"/>
  <c r="AO75" i="15"/>
  <c r="AQ75" i="15"/>
  <c r="AK75" i="15"/>
  <c r="AU75" i="15"/>
  <c r="AL75" i="15"/>
  <c r="AR75" i="15"/>
  <c r="EP8" i="15"/>
  <c r="L3" i="15"/>
  <c r="K3" i="15"/>
  <c r="J3" i="15" s="1"/>
  <c r="EQ8" i="15"/>
  <c r="AM75" i="15"/>
  <c r="AT75" i="15"/>
  <c r="AF75" i="15"/>
  <c r="AV75" i="15"/>
  <c r="AU51" i="14" l="1"/>
  <c r="AZ45" i="14" l="1"/>
  <c r="AV27" i="16"/>
  <c r="AV45" i="16"/>
  <c r="AU27" i="14"/>
  <c r="AZ53" i="14"/>
  <c r="AU29" i="14"/>
  <c r="AU59" i="14"/>
  <c r="AV44" i="16"/>
  <c r="AT44" i="16"/>
  <c r="AS44" i="16"/>
  <c r="AU44" i="16"/>
  <c r="AR44" i="16"/>
  <c r="AU44" i="14"/>
  <c r="AT38" i="16"/>
  <c r="AT40" i="16" s="1"/>
  <c r="AV38" i="16"/>
  <c r="AS38" i="16"/>
  <c r="AS40" i="16" s="1"/>
  <c r="AP38" i="16"/>
  <c r="AP40" i="16" s="1"/>
  <c r="AR38" i="16"/>
  <c r="AR40" i="16" s="1"/>
  <c r="AQ38" i="16"/>
  <c r="AQ40" i="16" s="1"/>
  <c r="AU38" i="16"/>
  <c r="AU40" i="16" s="1"/>
  <c r="AV22" i="16"/>
  <c r="AV24" i="16" s="1"/>
  <c r="AU30" i="16"/>
  <c r="AU32" i="16" s="1"/>
  <c r="AV30" i="16"/>
  <c r="AR30" i="16"/>
  <c r="AR32" i="16" s="1"/>
  <c r="AP30" i="16"/>
  <c r="AP32" i="16" s="1"/>
  <c r="AT30" i="16"/>
  <c r="AT32" i="16" s="1"/>
  <c r="AO30" i="16"/>
  <c r="AO32" i="16" s="1"/>
  <c r="AQ30" i="16"/>
  <c r="AQ32" i="16" s="1"/>
  <c r="AS30" i="16"/>
  <c r="AS32" i="16" s="1"/>
  <c r="AO14" i="16"/>
  <c r="AO16" i="16" s="1"/>
  <c r="AQ14" i="16"/>
  <c r="AQ16" i="16" s="1"/>
  <c r="AR14" i="16"/>
  <c r="AR16" i="16" s="1"/>
  <c r="AM14" i="16"/>
  <c r="AM16" i="16" s="1"/>
  <c r="AT14" i="16"/>
  <c r="AV14" i="16"/>
  <c r="AK14" i="16"/>
  <c r="AK16" i="16" s="1"/>
  <c r="AJ14" i="16"/>
  <c r="AJ16" i="16" s="1"/>
  <c r="AP14" i="16"/>
  <c r="AP16" i="16" s="1"/>
  <c r="AS14" i="16"/>
  <c r="AU14" i="16"/>
  <c r="AU16" i="16" s="1"/>
  <c r="AI14" i="16"/>
  <c r="AI16" i="16" s="1"/>
  <c r="AN14" i="16"/>
  <c r="AN16" i="16" s="1"/>
  <c r="AL14" i="16"/>
  <c r="AL16" i="16" s="1"/>
  <c r="BT46" i="14"/>
  <c r="AU43" i="14"/>
  <c r="AZ61" i="14"/>
  <c r="AV37" i="16"/>
  <c r="AU37" i="14"/>
  <c r="AU3" i="14"/>
  <c r="AV35" i="16"/>
  <c r="AU35" i="14"/>
  <c r="BT54" i="14"/>
  <c r="AG6" i="14"/>
  <c r="AG8" i="14" s="1"/>
  <c r="AU52" i="14"/>
  <c r="AU56" i="14" s="1"/>
  <c r="AS52" i="16"/>
  <c r="AO52" i="16"/>
  <c r="AQ52" i="16"/>
  <c r="AV52" i="16"/>
  <c r="AP52" i="16"/>
  <c r="AR52" i="16"/>
  <c r="AT52" i="16"/>
  <c r="AU52" i="16"/>
  <c r="BT62" i="14"/>
  <c r="AU60" i="14"/>
  <c r="AV29" i="16"/>
  <c r="AV40" i="16" l="1"/>
  <c r="AU64" i="14"/>
  <c r="AU48" i="14"/>
  <c r="AV32" i="16"/>
  <c r="AJ4" i="11" l="1"/>
  <c r="AJ7" i="11" s="1"/>
  <c r="AK4" i="11"/>
  <c r="AK7" i="11" s="1"/>
  <c r="AV43" i="5" l="1"/>
  <c r="AV19" i="5"/>
  <c r="AV67" i="5"/>
  <c r="AV59" i="5"/>
  <c r="AV51" i="5"/>
  <c r="AW27" i="15"/>
  <c r="AV68" i="5"/>
  <c r="AV27" i="5"/>
  <c r="BA37" i="5"/>
  <c r="BA69" i="5"/>
  <c r="AV21" i="5"/>
  <c r="AW21" i="15"/>
  <c r="AW29" i="15"/>
  <c r="AV29" i="5"/>
  <c r="AX13" i="15"/>
  <c r="AX16" i="15" s="1"/>
  <c r="AV13" i="5"/>
  <c r="AV16" i="5" s="1"/>
  <c r="BA53" i="5"/>
  <c r="AV44" i="5"/>
  <c r="AW44" i="15"/>
  <c r="AW48" i="15" s="1"/>
  <c r="AW36" i="15"/>
  <c r="AW40" i="15" s="1"/>
  <c r="AV36" i="5"/>
  <c r="AW28" i="15"/>
  <c r="AV28" i="5"/>
  <c r="AV52" i="5"/>
  <c r="AV35" i="5"/>
  <c r="AW20" i="15"/>
  <c r="AV20" i="5"/>
  <c r="AV60" i="5"/>
  <c r="BA45" i="5"/>
  <c r="BA61" i="5"/>
  <c r="AW22" i="15" l="1"/>
  <c r="AW24" i="15" s="1"/>
  <c r="BP46" i="5"/>
  <c r="AW30" i="15"/>
  <c r="AW32" i="15" s="1"/>
  <c r="BP38" i="5"/>
  <c r="BP70" i="5"/>
  <c r="BP54" i="5"/>
  <c r="AV48" i="5"/>
  <c r="AV72" i="5"/>
  <c r="AV56" i="5"/>
  <c r="AV64" i="5"/>
  <c r="BP62" i="5"/>
  <c r="AV40" i="5"/>
  <c r="AW75" i="15" l="1"/>
  <c r="AV3" i="14" l="1"/>
  <c r="AV43" i="14"/>
  <c r="AV51" i="14"/>
  <c r="AV59" i="14"/>
  <c r="AV27" i="14"/>
  <c r="AW27" i="16"/>
  <c r="AW14" i="16"/>
  <c r="AW16" i="16" s="1"/>
  <c r="AW29" i="16"/>
  <c r="AV29" i="14"/>
  <c r="AV37" i="14"/>
  <c r="AW37" i="16"/>
  <c r="BA53" i="14"/>
  <c r="AW36" i="16"/>
  <c r="AV36" i="14"/>
  <c r="AV35" i="14"/>
  <c r="AW35" i="16"/>
  <c r="BU62" i="14"/>
  <c r="BA45" i="14"/>
  <c r="AW45" i="16"/>
  <c r="AW22" i="16"/>
  <c r="AW24" i="16" s="1"/>
  <c r="AW30" i="16"/>
  <c r="BU46" i="14"/>
  <c r="BU54" i="14"/>
  <c r="AW38" i="16"/>
  <c r="AV60" i="14"/>
  <c r="BA61" i="14"/>
  <c r="AV44" i="14"/>
  <c r="AW44" i="16"/>
  <c r="AV52" i="14"/>
  <c r="AW52" i="16"/>
  <c r="AW40" i="16" l="1"/>
  <c r="AV48" i="14"/>
  <c r="AV56" i="14"/>
  <c r="AV64" i="14"/>
  <c r="AW28" i="5" l="1"/>
  <c r="AW60" i="5"/>
  <c r="AW52" i="5"/>
  <c r="BB61" i="5"/>
  <c r="AW59" i="5"/>
  <c r="AW21" i="5"/>
  <c r="AX21" i="15"/>
  <c r="AW19" i="5"/>
  <c r="AW43" i="5"/>
  <c r="AX28" i="15"/>
  <c r="AW35" i="5"/>
  <c r="AW27" i="5"/>
  <c r="AX27" i="15"/>
  <c r="AW67" i="5"/>
  <c r="BB37" i="5"/>
  <c r="AW29" i="5"/>
  <c r="AX29" i="15"/>
  <c r="BB69" i="5"/>
  <c r="AP6" i="5"/>
  <c r="AP8" i="5" s="1"/>
  <c r="AO6" i="5"/>
  <c r="AO8" i="5" s="1"/>
  <c r="AM6" i="5"/>
  <c r="AM8" i="5" s="1"/>
  <c r="AG6" i="5"/>
  <c r="AG8" i="5" s="1"/>
  <c r="AI6" i="5"/>
  <c r="AI8" i="5" s="1"/>
  <c r="AQ6" i="5"/>
  <c r="AQ8" i="5" s="1"/>
  <c r="AS6" i="5"/>
  <c r="AS8" i="5" s="1"/>
  <c r="AF6" i="5"/>
  <c r="AF8" i="5" s="1"/>
  <c r="AK6" i="5"/>
  <c r="AK8" i="5" s="1"/>
  <c r="AR6" i="5"/>
  <c r="AN6" i="5"/>
  <c r="AN8" i="5" s="1"/>
  <c r="AJ6" i="5"/>
  <c r="AJ8" i="5" s="1"/>
  <c r="AL6" i="5"/>
  <c r="AL8" i="5" s="1"/>
  <c r="AH6" i="5"/>
  <c r="AH8" i="5" s="1"/>
  <c r="AW44" i="5"/>
  <c r="AX44" i="15"/>
  <c r="AX48" i="15" s="1"/>
  <c r="AW51" i="5"/>
  <c r="AY13" i="15"/>
  <c r="AW13" i="5"/>
  <c r="AW16" i="5" s="1"/>
  <c r="BB45" i="5"/>
  <c r="BB53" i="5"/>
  <c r="AW68" i="5"/>
  <c r="AW36" i="5"/>
  <c r="AX36" i="15"/>
  <c r="AX40" i="15" s="1"/>
  <c r="AW64" i="5" l="1"/>
  <c r="BQ54" i="5"/>
  <c r="AW56" i="5"/>
  <c r="BQ46" i="5"/>
  <c r="BQ38" i="5"/>
  <c r="AW72" i="5"/>
  <c r="AW48" i="5"/>
  <c r="AX22" i="15"/>
  <c r="BQ62" i="5"/>
  <c r="AW40" i="5"/>
  <c r="BQ70" i="5"/>
  <c r="AX30" i="15"/>
  <c r="AX32" i="15" s="1"/>
  <c r="AW59" i="14" l="1"/>
  <c r="AW51" i="14"/>
  <c r="AW3" i="14"/>
  <c r="AX27" i="16"/>
  <c r="AW27" i="14"/>
  <c r="AX35" i="16"/>
  <c r="AW35" i="14"/>
  <c r="AX38" i="16" l="1"/>
  <c r="AW43" i="14"/>
  <c r="AX29" i="16"/>
  <c r="BB53" i="14"/>
  <c r="AW60" i="14"/>
  <c r="AW64" i="14" s="1"/>
  <c r="BV62" i="14"/>
  <c r="AX30" i="16"/>
  <c r="AX14" i="16"/>
  <c r="AX16" i="16" s="1"/>
  <c r="AW29" i="14"/>
  <c r="AW44" i="14"/>
  <c r="AX44" i="16"/>
  <c r="AX37" i="16"/>
  <c r="AX22" i="16"/>
  <c r="AX24" i="16" s="1"/>
  <c r="AX52" i="16"/>
  <c r="AW52" i="14"/>
  <c r="AW56" i="14" s="1"/>
  <c r="AW37" i="14"/>
  <c r="AX45" i="16"/>
  <c r="BV46" i="14"/>
  <c r="BB61" i="14"/>
  <c r="BV54" i="14"/>
  <c r="AW48" i="14" l="1"/>
  <c r="AX32" i="16"/>
  <c r="K320" i="19" l="1"/>
  <c r="K321" i="19"/>
  <c r="K185" i="19"/>
  <c r="K185" i="1"/>
  <c r="L94" i="1"/>
  <c r="L94" i="19"/>
  <c r="K140" i="1"/>
  <c r="K140" i="19"/>
  <c r="K94" i="19"/>
  <c r="K186" i="19"/>
  <c r="K186" i="1"/>
  <c r="K107" i="19"/>
  <c r="K107" i="1"/>
  <c r="K22" i="1"/>
  <c r="K22" i="19"/>
  <c r="K115" i="19"/>
  <c r="K115" i="1"/>
  <c r="M94" i="19" l="1"/>
  <c r="S94" i="19" s="1"/>
  <c r="K103" i="19"/>
  <c r="K103" i="1"/>
  <c r="L116" i="19"/>
  <c r="L116" i="1"/>
  <c r="L155" i="1"/>
  <c r="L155" i="19"/>
  <c r="K200" i="19"/>
  <c r="K200" i="1"/>
  <c r="L200" i="19"/>
  <c r="L200" i="1"/>
  <c r="L64" i="19"/>
  <c r="L64" i="1"/>
  <c r="L18" i="1"/>
  <c r="L18" i="19"/>
  <c r="K290" i="19"/>
  <c r="K290" i="1"/>
  <c r="L380" i="19"/>
  <c r="L380" i="1"/>
  <c r="L69" i="2" s="1"/>
  <c r="K245" i="1"/>
  <c r="K245" i="19"/>
  <c r="L335" i="1"/>
  <c r="L335" i="19"/>
  <c r="K18" i="1"/>
  <c r="K18" i="19"/>
  <c r="K380" i="19"/>
  <c r="K380" i="1"/>
  <c r="L110" i="1"/>
  <c r="L110" i="19"/>
  <c r="L290" i="1"/>
  <c r="L290" i="19"/>
  <c r="K64" i="19"/>
  <c r="M64" i="19" s="1"/>
  <c r="S64" i="19" s="1"/>
  <c r="K64" i="1"/>
  <c r="K155" i="1"/>
  <c r="K155" i="19"/>
  <c r="K110" i="1"/>
  <c r="K110" i="19"/>
  <c r="L245" i="19"/>
  <c r="L245" i="1"/>
  <c r="K192" i="1"/>
  <c r="K192" i="19"/>
  <c r="L226" i="1"/>
  <c r="L226" i="19"/>
  <c r="K330" i="19"/>
  <c r="K330" i="1"/>
  <c r="L383" i="19"/>
  <c r="L383" i="1"/>
  <c r="L73" i="2" s="1"/>
  <c r="L72" i="19"/>
  <c r="L72" i="1"/>
  <c r="L369" i="1"/>
  <c r="L68" i="2" s="1"/>
  <c r="L369" i="19"/>
  <c r="K101" i="1"/>
  <c r="K101" i="19"/>
  <c r="K343" i="19"/>
  <c r="K343" i="1"/>
  <c r="L26" i="1"/>
  <c r="L26" i="19"/>
  <c r="K253" i="19"/>
  <c r="K253" i="1"/>
  <c r="L208" i="1"/>
  <c r="L208" i="19"/>
  <c r="K72" i="1"/>
  <c r="K72" i="19"/>
  <c r="L118" i="19"/>
  <c r="L118" i="1"/>
  <c r="L388" i="19"/>
  <c r="L388" i="1"/>
  <c r="L85" i="2" s="1"/>
  <c r="K208" i="1"/>
  <c r="K208" i="19"/>
  <c r="K26" i="1"/>
  <c r="K26" i="19"/>
  <c r="K388" i="19"/>
  <c r="K388" i="1"/>
  <c r="K298" i="1"/>
  <c r="K298" i="19"/>
  <c r="L253" i="19"/>
  <c r="L253" i="1"/>
  <c r="K163" i="19"/>
  <c r="K163" i="1"/>
  <c r="L343" i="1"/>
  <c r="L343" i="19"/>
  <c r="K118" i="1"/>
  <c r="M118" i="1" s="1"/>
  <c r="S118" i="1" s="1"/>
  <c r="K118" i="19"/>
  <c r="L298" i="19"/>
  <c r="L298" i="1"/>
  <c r="L163" i="19"/>
  <c r="L163" i="1"/>
  <c r="L294" i="1"/>
  <c r="L294" i="19"/>
  <c r="K194" i="19"/>
  <c r="K194" i="1"/>
  <c r="L57" i="1"/>
  <c r="L57" i="19"/>
  <c r="L381" i="19"/>
  <c r="L381" i="1"/>
  <c r="L71" i="2" s="1"/>
  <c r="L332" i="1"/>
  <c r="L332" i="19"/>
  <c r="L87" i="19"/>
  <c r="L87" i="1"/>
  <c r="K94" i="1"/>
  <c r="M94" i="1" s="1"/>
  <c r="S94" i="1" s="1"/>
  <c r="L374" i="19"/>
  <c r="L374" i="1"/>
  <c r="L81" i="2" s="1"/>
  <c r="K329" i="19"/>
  <c r="K329" i="1"/>
  <c r="L147" i="1"/>
  <c r="L147" i="19"/>
  <c r="M64" i="1"/>
  <c r="S64" i="1" s="1"/>
  <c r="L183" i="19"/>
  <c r="L183" i="1"/>
  <c r="L273" i="19"/>
  <c r="L273" i="1"/>
  <c r="K138" i="19"/>
  <c r="K138" i="1"/>
  <c r="L240" i="19"/>
  <c r="L240" i="1"/>
  <c r="K105" i="19"/>
  <c r="K105" i="1"/>
  <c r="K13" i="19"/>
  <c r="K13" i="1"/>
  <c r="K239" i="1"/>
  <c r="K239" i="19"/>
  <c r="K58" i="19"/>
  <c r="K58" i="1"/>
  <c r="L249" i="19"/>
  <c r="L249" i="1"/>
  <c r="K333" i="1"/>
  <c r="K333" i="19"/>
  <c r="L16" i="1"/>
  <c r="L16" i="19"/>
  <c r="K284" i="19"/>
  <c r="K284" i="1"/>
  <c r="L349" i="19"/>
  <c r="L349" i="1"/>
  <c r="K214" i="19"/>
  <c r="K214" i="1"/>
  <c r="L78" i="19"/>
  <c r="L78" i="1"/>
  <c r="K32" i="19"/>
  <c r="K32" i="1"/>
  <c r="L389" i="19"/>
  <c r="L389" i="1"/>
  <c r="L164" i="1"/>
  <c r="L164" i="19"/>
  <c r="K344" i="1"/>
  <c r="K344" i="19"/>
  <c r="K209" i="19"/>
  <c r="K209" i="1"/>
  <c r="L73" i="1"/>
  <c r="L73" i="19"/>
  <c r="K119" i="19"/>
  <c r="K119" i="1"/>
  <c r="L209" i="1"/>
  <c r="L209" i="19"/>
  <c r="L344" i="19"/>
  <c r="L344" i="1"/>
  <c r="L299" i="1"/>
  <c r="L299" i="19"/>
  <c r="K299" i="19"/>
  <c r="K299" i="1"/>
  <c r="K286" i="1"/>
  <c r="K286" i="19"/>
  <c r="K196" i="19"/>
  <c r="K196" i="1"/>
  <c r="K241" i="19"/>
  <c r="K241" i="1"/>
  <c r="L196" i="1"/>
  <c r="L196" i="19"/>
  <c r="K331" i="19"/>
  <c r="K331" i="1"/>
  <c r="K376" i="19"/>
  <c r="K376" i="1"/>
  <c r="L151" i="19"/>
  <c r="L151" i="1"/>
  <c r="L331" i="1"/>
  <c r="L331" i="19"/>
  <c r="K106" i="19"/>
  <c r="K106" i="1"/>
  <c r="L14" i="1"/>
  <c r="L14" i="19"/>
  <c r="L376" i="1"/>
  <c r="L74" i="2" s="1"/>
  <c r="L376" i="19"/>
  <c r="L286" i="1"/>
  <c r="L286" i="19"/>
  <c r="K151" i="19"/>
  <c r="K151" i="1"/>
  <c r="L241" i="1"/>
  <c r="L241" i="19"/>
  <c r="L106" i="1"/>
  <c r="L106" i="19"/>
  <c r="L60" i="19"/>
  <c r="L60" i="1"/>
  <c r="K14" i="19"/>
  <c r="K14" i="1"/>
  <c r="L69" i="19"/>
  <c r="L69" i="1"/>
  <c r="K205" i="1"/>
  <c r="K205" i="19"/>
  <c r="K385" i="19"/>
  <c r="K385" i="1"/>
  <c r="L385" i="1"/>
  <c r="L79" i="2" s="1"/>
  <c r="L385" i="19"/>
  <c r="L168" i="19"/>
  <c r="L168" i="1"/>
  <c r="L31" i="1"/>
  <c r="L31" i="19"/>
  <c r="K77" i="1"/>
  <c r="K77" i="19"/>
  <c r="K164" i="19"/>
  <c r="K164" i="1"/>
  <c r="K46" i="19"/>
  <c r="K46" i="1"/>
  <c r="K247" i="19"/>
  <c r="K247" i="1"/>
  <c r="L382" i="1"/>
  <c r="L72" i="2" s="1"/>
  <c r="L382" i="19"/>
  <c r="K202" i="1"/>
  <c r="K202" i="19"/>
  <c r="L408" i="1"/>
  <c r="L408" i="19"/>
  <c r="K92" i="19"/>
  <c r="K92" i="1"/>
  <c r="K408" i="1"/>
  <c r="K408" i="19"/>
  <c r="L92" i="19"/>
  <c r="L92" i="1"/>
  <c r="L152" i="19"/>
  <c r="L152" i="1"/>
  <c r="L160" i="1"/>
  <c r="L160" i="19"/>
  <c r="L295" i="19"/>
  <c r="L295" i="1"/>
  <c r="L205" i="19"/>
  <c r="L205" i="1"/>
  <c r="K69" i="1"/>
  <c r="K69" i="19"/>
  <c r="L144" i="19"/>
  <c r="L144" i="1"/>
  <c r="L324" i="19"/>
  <c r="L324" i="1"/>
  <c r="K144" i="1"/>
  <c r="K144" i="19"/>
  <c r="L65" i="1"/>
  <c r="L65" i="19"/>
  <c r="K336" i="1"/>
  <c r="K336" i="19"/>
  <c r="K111" i="19"/>
  <c r="K111" i="1"/>
  <c r="L111" i="19"/>
  <c r="L111" i="1"/>
  <c r="L6" i="1"/>
  <c r="L6" i="19"/>
  <c r="L278" i="19"/>
  <c r="L278" i="1"/>
  <c r="K55" i="1"/>
  <c r="K55" i="19"/>
  <c r="K147" i="19"/>
  <c r="K147" i="1"/>
  <c r="K282" i="19"/>
  <c r="K282" i="1"/>
  <c r="L327" i="1"/>
  <c r="L327" i="19"/>
  <c r="L282" i="1"/>
  <c r="L282" i="19"/>
  <c r="K272" i="19"/>
  <c r="K272" i="1"/>
  <c r="L112" i="1"/>
  <c r="L112" i="19"/>
  <c r="K141" i="19"/>
  <c r="K141" i="1"/>
  <c r="K273" i="1"/>
  <c r="K273" i="19"/>
  <c r="L46" i="19"/>
  <c r="L46" i="1"/>
  <c r="K183" i="19"/>
  <c r="K183" i="1"/>
  <c r="K318" i="19"/>
  <c r="K318" i="1"/>
  <c r="K181" i="19"/>
  <c r="K181" i="1"/>
  <c r="L406" i="19"/>
  <c r="L406" i="1"/>
  <c r="K361" i="1"/>
  <c r="K361" i="19"/>
  <c r="L243" i="19"/>
  <c r="L243" i="1"/>
  <c r="K378" i="1"/>
  <c r="K80" i="2" s="1"/>
  <c r="K378" i="19"/>
  <c r="K153" i="19"/>
  <c r="K153" i="1"/>
  <c r="L58" i="19"/>
  <c r="L58" i="1"/>
  <c r="L104" i="1"/>
  <c r="L25" i="2" s="1"/>
  <c r="L104" i="19"/>
  <c r="L44" i="1"/>
  <c r="L44" i="19"/>
  <c r="L90" i="19"/>
  <c r="L90" i="1"/>
  <c r="K358" i="19"/>
  <c r="K358" i="1"/>
  <c r="L268" i="1"/>
  <c r="L268" i="19"/>
  <c r="K275" i="1"/>
  <c r="K275" i="19"/>
  <c r="K48" i="19"/>
  <c r="K48" i="1"/>
  <c r="K34" i="2" s="1"/>
  <c r="L320" i="19"/>
  <c r="M320" i="19" s="1"/>
  <c r="S320" i="19" s="1"/>
  <c r="L320" i="1"/>
  <c r="L293" i="1"/>
  <c r="L293" i="19"/>
  <c r="K158" i="19"/>
  <c r="K158" i="1"/>
  <c r="K293" i="1"/>
  <c r="K293" i="19"/>
  <c r="L146" i="1"/>
  <c r="L146" i="19"/>
  <c r="L236" i="19"/>
  <c r="L236" i="1"/>
  <c r="L281" i="19"/>
  <c r="L281" i="1"/>
  <c r="L371" i="19"/>
  <c r="L371" i="1"/>
  <c r="L75" i="2" s="1"/>
  <c r="K93" i="19"/>
  <c r="K93" i="1"/>
  <c r="L409" i="1"/>
  <c r="L409" i="19"/>
  <c r="L229" i="19"/>
  <c r="L229" i="1"/>
  <c r="K274" i="1"/>
  <c r="K274" i="19"/>
  <c r="L347" i="19"/>
  <c r="L347" i="1"/>
  <c r="L392" i="1"/>
  <c r="L89" i="2" s="1"/>
  <c r="L392" i="19"/>
  <c r="L76" i="19"/>
  <c r="L76" i="1"/>
  <c r="L302" i="19"/>
  <c r="L302" i="1"/>
  <c r="L257" i="19"/>
  <c r="L257" i="1"/>
  <c r="L117" i="1"/>
  <c r="L117" i="19"/>
  <c r="L162" i="19"/>
  <c r="L162" i="1"/>
  <c r="K59" i="19"/>
  <c r="K59" i="1"/>
  <c r="K285" i="19"/>
  <c r="K285" i="1"/>
  <c r="L375" i="1"/>
  <c r="L86" i="2" s="1"/>
  <c r="L375" i="19"/>
  <c r="L59" i="19"/>
  <c r="L59" i="1"/>
  <c r="L258" i="1"/>
  <c r="L258" i="19"/>
  <c r="K123" i="1"/>
  <c r="K123" i="19"/>
  <c r="L23" i="1"/>
  <c r="L23" i="19"/>
  <c r="K295" i="19"/>
  <c r="K295" i="1"/>
  <c r="L115" i="1"/>
  <c r="L115" i="19"/>
  <c r="M115" i="19" s="1"/>
  <c r="K160" i="1"/>
  <c r="K160" i="19"/>
  <c r="K161" i="19"/>
  <c r="K161" i="1"/>
  <c r="K251" i="19"/>
  <c r="K251" i="1"/>
  <c r="L24" i="19"/>
  <c r="L24" i="1"/>
  <c r="K227" i="1"/>
  <c r="K227" i="19"/>
  <c r="K407" i="1"/>
  <c r="K407" i="19"/>
  <c r="K137" i="1"/>
  <c r="K137" i="19"/>
  <c r="K317" i="1"/>
  <c r="K317" i="19"/>
  <c r="L272" i="1"/>
  <c r="L272" i="19"/>
  <c r="L227" i="1"/>
  <c r="L227" i="19"/>
  <c r="L237" i="1"/>
  <c r="L237" i="19"/>
  <c r="K372" i="19"/>
  <c r="K372" i="1"/>
  <c r="K78" i="2" s="1"/>
  <c r="L384" i="1"/>
  <c r="L76" i="2" s="1"/>
  <c r="L384" i="19"/>
  <c r="L108" i="1"/>
  <c r="L108" i="19"/>
  <c r="K287" i="19"/>
  <c r="K287" i="1"/>
  <c r="K302" i="19"/>
  <c r="K302" i="1"/>
  <c r="K68" i="1"/>
  <c r="K68" i="19"/>
  <c r="L91" i="19"/>
  <c r="L91" i="1"/>
  <c r="K250" i="1"/>
  <c r="K250" i="19"/>
  <c r="L340" i="19"/>
  <c r="L340" i="1"/>
  <c r="L321" i="1"/>
  <c r="L321" i="19"/>
  <c r="M321" i="19" s="1"/>
  <c r="S321" i="19" s="1"/>
  <c r="L186" i="1"/>
  <c r="M186" i="1" s="1"/>
  <c r="S186" i="1" s="1"/>
  <c r="L186" i="19"/>
  <c r="M186" i="19" s="1"/>
  <c r="S186" i="19" s="1"/>
  <c r="L329" i="1"/>
  <c r="M329" i="1" s="1"/>
  <c r="S329" i="1" s="1"/>
  <c r="L329" i="19"/>
  <c r="M329" i="19" s="1"/>
  <c r="S329" i="19" s="1"/>
  <c r="L13" i="1"/>
  <c r="M13" i="1" s="1"/>
  <c r="S13" i="1" s="1"/>
  <c r="L13" i="19"/>
  <c r="M13" i="19" s="1"/>
  <c r="S13" i="19" s="1"/>
  <c r="L150" i="19"/>
  <c r="L150" i="1"/>
  <c r="L10" i="1"/>
  <c r="L10" i="19"/>
  <c r="K382" i="19"/>
  <c r="K382" i="1"/>
  <c r="L185" i="19"/>
  <c r="M185" i="19" s="1"/>
  <c r="S185" i="19" s="1"/>
  <c r="L185" i="1"/>
  <c r="M185" i="1" s="1"/>
  <c r="S185" i="1" s="1"/>
  <c r="K365" i="19"/>
  <c r="K365" i="1"/>
  <c r="K108" i="1"/>
  <c r="K108" i="19"/>
  <c r="L62" i="19"/>
  <c r="L62" i="1"/>
  <c r="K16" i="19"/>
  <c r="K16" i="1"/>
  <c r="K53" i="1"/>
  <c r="K53" i="19"/>
  <c r="K99" i="19"/>
  <c r="K99" i="1"/>
  <c r="K190" i="1"/>
  <c r="K190" i="19"/>
  <c r="L178" i="19"/>
  <c r="L178" i="1"/>
  <c r="L223" i="1"/>
  <c r="L223" i="19"/>
  <c r="L41" i="1"/>
  <c r="L41" i="19"/>
  <c r="L313" i="19"/>
  <c r="L313" i="1"/>
  <c r="K313" i="1"/>
  <c r="K313" i="19"/>
  <c r="K112" i="19"/>
  <c r="K112" i="1"/>
  <c r="K337" i="1"/>
  <c r="K337" i="19"/>
  <c r="K254" i="19"/>
  <c r="K254" i="1"/>
  <c r="L119" i="19"/>
  <c r="L119" i="1"/>
  <c r="K162" i="19"/>
  <c r="K162" i="1"/>
  <c r="L71" i="19"/>
  <c r="L71" i="1"/>
  <c r="K342" i="19"/>
  <c r="K342" i="1"/>
  <c r="L201" i="19"/>
  <c r="L201" i="1"/>
  <c r="K19" i="19"/>
  <c r="K19" i="1"/>
  <c r="L291" i="19"/>
  <c r="L291" i="1"/>
  <c r="K291" i="1"/>
  <c r="K291" i="19"/>
  <c r="K350" i="1"/>
  <c r="K350" i="19"/>
  <c r="L350" i="1"/>
  <c r="L350" i="19"/>
  <c r="K278" i="19"/>
  <c r="K278" i="1"/>
  <c r="L97" i="1"/>
  <c r="L97" i="19"/>
  <c r="L54" i="1"/>
  <c r="L54" i="19"/>
  <c r="L9" i="1"/>
  <c r="L9" i="19"/>
  <c r="K15" i="19"/>
  <c r="M15" i="19" s="1"/>
  <c r="S15" i="19" s="1"/>
  <c r="K15" i="1"/>
  <c r="M15" i="1" s="1"/>
  <c r="S15" i="1" s="1"/>
  <c r="K197" i="1"/>
  <c r="K197" i="19"/>
  <c r="K61" i="19"/>
  <c r="K61" i="1"/>
  <c r="K242" i="1"/>
  <c r="K242" i="19"/>
  <c r="L250" i="1"/>
  <c r="L250" i="19"/>
  <c r="K231" i="19"/>
  <c r="K231" i="1"/>
  <c r="K366" i="19"/>
  <c r="K366" i="1"/>
  <c r="K409" i="1"/>
  <c r="K409" i="19"/>
  <c r="K229" i="1"/>
  <c r="K229" i="19"/>
  <c r="L364" i="19"/>
  <c r="L364" i="1"/>
  <c r="K139" i="19"/>
  <c r="K139" i="1"/>
  <c r="K341" i="19"/>
  <c r="K341" i="1"/>
  <c r="L341" i="1"/>
  <c r="L341" i="19"/>
  <c r="L373" i="19"/>
  <c r="L373" i="1"/>
  <c r="L83" i="2" s="1"/>
  <c r="K328" i="1"/>
  <c r="K328" i="19"/>
  <c r="L193" i="19"/>
  <c r="L193" i="1"/>
  <c r="K238" i="1"/>
  <c r="K238" i="19"/>
  <c r="K362" i="19"/>
  <c r="K362" i="1"/>
  <c r="K182" i="19"/>
  <c r="K182" i="1"/>
  <c r="K150" i="1"/>
  <c r="K150" i="19"/>
  <c r="K169" i="1"/>
  <c r="K169" i="19"/>
  <c r="K228" i="19"/>
  <c r="K228" i="1"/>
  <c r="L138" i="1"/>
  <c r="M138" i="1" s="1"/>
  <c r="S138" i="1" s="1"/>
  <c r="L138" i="19"/>
  <c r="K363" i="1"/>
  <c r="K363" i="19"/>
  <c r="L318" i="1"/>
  <c r="L318" i="19"/>
  <c r="K79" i="1"/>
  <c r="K79" i="19"/>
  <c r="K320" i="1"/>
  <c r="L188" i="19"/>
  <c r="L188" i="1"/>
  <c r="K368" i="19"/>
  <c r="K368" i="1"/>
  <c r="L233" i="1"/>
  <c r="L233" i="19"/>
  <c r="L368" i="19"/>
  <c r="L368" i="1"/>
  <c r="L66" i="2" s="1"/>
  <c r="K51" i="1"/>
  <c r="K51" i="19"/>
  <c r="K325" i="1"/>
  <c r="K325" i="19"/>
  <c r="L145" i="1"/>
  <c r="L145" i="19"/>
  <c r="K145" i="1"/>
  <c r="K145" i="19"/>
  <c r="L11" i="19"/>
  <c r="L11" i="1"/>
  <c r="K193" i="19"/>
  <c r="K193" i="1"/>
  <c r="K148" i="1"/>
  <c r="K148" i="19"/>
  <c r="K56" i="19"/>
  <c r="K56" i="1"/>
  <c r="K279" i="1"/>
  <c r="K279" i="19"/>
  <c r="K7" i="1"/>
  <c r="K7" i="19"/>
  <c r="K52" i="19"/>
  <c r="K52" i="1"/>
  <c r="L7" i="19"/>
  <c r="L7" i="1"/>
  <c r="L156" i="19"/>
  <c r="L156" i="1"/>
  <c r="K246" i="1"/>
  <c r="K246" i="19"/>
  <c r="K381" i="19"/>
  <c r="K381" i="1"/>
  <c r="K65" i="19"/>
  <c r="K65" i="1"/>
  <c r="L336" i="1"/>
  <c r="L336" i="19"/>
  <c r="L102" i="1"/>
  <c r="L102" i="19"/>
  <c r="L283" i="19"/>
  <c r="L283" i="1"/>
  <c r="K11" i="19"/>
  <c r="K11" i="1"/>
  <c r="K283" i="19"/>
  <c r="K283" i="1"/>
  <c r="K323" i="19"/>
  <c r="K323" i="1"/>
  <c r="K6" i="19"/>
  <c r="K6" i="1"/>
  <c r="K143" i="1"/>
  <c r="K143" i="19"/>
  <c r="K292" i="1"/>
  <c r="K292" i="19"/>
  <c r="K157" i="19"/>
  <c r="K157" i="1"/>
  <c r="L259" i="1"/>
  <c r="L259" i="19"/>
  <c r="L394" i="1"/>
  <c r="L90" i="2" s="1"/>
  <c r="L394" i="19"/>
  <c r="L124" i="1"/>
  <c r="L124" i="19"/>
  <c r="K304" i="1"/>
  <c r="K304" i="19"/>
  <c r="L235" i="1"/>
  <c r="L235" i="19"/>
  <c r="L53" i="19"/>
  <c r="L53" i="1"/>
  <c r="K393" i="19"/>
  <c r="K393" i="1"/>
  <c r="L362" i="19"/>
  <c r="L362" i="1"/>
  <c r="K10" i="19"/>
  <c r="K10" i="1"/>
  <c r="L27" i="1"/>
  <c r="L27" i="19"/>
  <c r="K237" i="19"/>
  <c r="K237" i="1"/>
  <c r="L288" i="1"/>
  <c r="L288" i="19"/>
  <c r="K288" i="1"/>
  <c r="K288" i="19"/>
  <c r="K198" i="1"/>
  <c r="K198" i="19"/>
  <c r="K276" i="19"/>
  <c r="K276" i="1"/>
  <c r="L411" i="19"/>
  <c r="L411" i="1"/>
  <c r="L95" i="2" s="1"/>
  <c r="L95" i="19"/>
  <c r="L95" i="1"/>
  <c r="L49" i="19"/>
  <c r="L49" i="1"/>
  <c r="L366" i="1"/>
  <c r="L366" i="19"/>
  <c r="L30" i="19"/>
  <c r="L30" i="1"/>
  <c r="K257" i="19"/>
  <c r="K257" i="1"/>
  <c r="L122" i="1"/>
  <c r="L122" i="19"/>
  <c r="K76" i="1"/>
  <c r="K76" i="19"/>
  <c r="K167" i="19"/>
  <c r="K167" i="1"/>
  <c r="L358" i="1"/>
  <c r="L358" i="19"/>
  <c r="K403" i="1"/>
  <c r="K403" i="19"/>
  <c r="L300" i="1"/>
  <c r="L300" i="19"/>
  <c r="L365" i="19"/>
  <c r="L365" i="1"/>
  <c r="L410" i="1"/>
  <c r="L94" i="2" s="1"/>
  <c r="L410" i="19"/>
  <c r="L275" i="19"/>
  <c r="L275" i="1"/>
  <c r="L230" i="19"/>
  <c r="L230" i="1"/>
  <c r="K338" i="1"/>
  <c r="K338" i="19"/>
  <c r="K67" i="1"/>
  <c r="K67" i="19"/>
  <c r="K332" i="19"/>
  <c r="M332" i="19" s="1"/>
  <c r="S332" i="19" s="1"/>
  <c r="K332" i="1"/>
  <c r="K207" i="1"/>
  <c r="K207" i="19"/>
  <c r="K387" i="1"/>
  <c r="K387" i="19"/>
  <c r="L207" i="19"/>
  <c r="L207" i="1"/>
  <c r="L387" i="1"/>
  <c r="L84" i="2" s="1"/>
  <c r="L387" i="19"/>
  <c r="K117" i="19"/>
  <c r="K117" i="1"/>
  <c r="L370" i="19"/>
  <c r="L370" i="1"/>
  <c r="L70" i="2" s="1"/>
  <c r="L325" i="19"/>
  <c r="L325" i="1"/>
  <c r="K370" i="1"/>
  <c r="K370" i="19"/>
  <c r="L8" i="1"/>
  <c r="L8" i="19"/>
  <c r="K66" i="1"/>
  <c r="K66" i="19"/>
  <c r="L66" i="1"/>
  <c r="L66" i="19"/>
  <c r="L157" i="1"/>
  <c r="L157" i="19"/>
  <c r="L337" i="1"/>
  <c r="L337" i="19"/>
  <c r="K373" i="1"/>
  <c r="K373" i="19"/>
  <c r="L56" i="19"/>
  <c r="L56" i="1"/>
  <c r="L238" i="19"/>
  <c r="L238" i="1"/>
  <c r="L123" i="19"/>
  <c r="L123" i="1"/>
  <c r="L213" i="19"/>
  <c r="L213" i="1"/>
  <c r="K303" i="19"/>
  <c r="K303" i="1"/>
  <c r="L348" i="19"/>
  <c r="L348" i="1"/>
  <c r="L279" i="1"/>
  <c r="L279" i="19"/>
  <c r="L98" i="19"/>
  <c r="L98" i="1"/>
  <c r="K369" i="19"/>
  <c r="M369" i="19" s="1"/>
  <c r="S369" i="19" s="1"/>
  <c r="K369" i="1"/>
  <c r="L52" i="19"/>
  <c r="L52" i="1"/>
  <c r="L391" i="19"/>
  <c r="L391" i="1"/>
  <c r="L88" i="2" s="1"/>
  <c r="L301" i="1"/>
  <c r="L301" i="19"/>
  <c r="K33" i="1"/>
  <c r="K33" i="19"/>
  <c r="K125" i="1"/>
  <c r="K125" i="19"/>
  <c r="K170" i="1"/>
  <c r="K170" i="19"/>
  <c r="K188" i="19"/>
  <c r="K188" i="1"/>
  <c r="L143" i="19"/>
  <c r="L143" i="1"/>
  <c r="L319" i="1"/>
  <c r="L319" i="19"/>
  <c r="L47" i="19"/>
  <c r="L47" i="1"/>
  <c r="K62" i="19"/>
  <c r="K62" i="1"/>
  <c r="L333" i="1"/>
  <c r="L333" i="19"/>
  <c r="L198" i="19"/>
  <c r="L198" i="1"/>
  <c r="K215" i="1"/>
  <c r="K215" i="19"/>
  <c r="K375" i="1"/>
  <c r="K375" i="19"/>
  <c r="L285" i="19"/>
  <c r="L285" i="1"/>
  <c r="K374" i="1"/>
  <c r="K374" i="19"/>
  <c r="L239" i="19"/>
  <c r="L239" i="1"/>
  <c r="L284" i="19"/>
  <c r="L284" i="1"/>
  <c r="L246" i="1"/>
  <c r="L246" i="19"/>
  <c r="K201" i="1"/>
  <c r="K201" i="19"/>
  <c r="K156" i="19"/>
  <c r="K156" i="1"/>
  <c r="L19" i="19"/>
  <c r="L19" i="1"/>
  <c r="L377" i="1"/>
  <c r="L77" i="2" s="1"/>
  <c r="L377" i="19"/>
  <c r="L378" i="1"/>
  <c r="L378" i="19"/>
  <c r="L194" i="19"/>
  <c r="L194" i="1"/>
  <c r="K104" i="19"/>
  <c r="K104" i="1"/>
  <c r="K321" i="1"/>
  <c r="K210" i="19"/>
  <c r="K210" i="1"/>
  <c r="L255" i="19"/>
  <c r="L255" i="1"/>
  <c r="L12" i="19"/>
  <c r="L12" i="1"/>
  <c r="K12" i="1"/>
  <c r="K12" i="19"/>
  <c r="K60" i="1"/>
  <c r="K60" i="19"/>
  <c r="K377" i="1"/>
  <c r="K377" i="19"/>
  <c r="K348" i="19"/>
  <c r="K348" i="1"/>
  <c r="L176" i="19"/>
  <c r="L176" i="1"/>
  <c r="K256" i="1"/>
  <c r="K256" i="19"/>
  <c r="K124" i="1"/>
  <c r="K124" i="19"/>
  <c r="K349" i="19"/>
  <c r="K349" i="1"/>
  <c r="L32" i="1"/>
  <c r="L32" i="19"/>
  <c r="L133" i="19"/>
  <c r="L133" i="1"/>
  <c r="K268" i="19"/>
  <c r="K268" i="1"/>
  <c r="L403" i="19"/>
  <c r="L403" i="1"/>
  <c r="K395" i="1"/>
  <c r="K395" i="19"/>
  <c r="K120" i="1"/>
  <c r="K120" i="19"/>
  <c r="L140" i="19"/>
  <c r="M140" i="19" s="1"/>
  <c r="S140" i="19" s="1"/>
  <c r="L140" i="1"/>
  <c r="K230" i="1"/>
  <c r="K230" i="19"/>
  <c r="K410" i="19"/>
  <c r="K410" i="1"/>
  <c r="L48" i="1"/>
  <c r="L48" i="19"/>
  <c r="L203" i="1"/>
  <c r="L203" i="19"/>
  <c r="L67" i="19"/>
  <c r="L67" i="1"/>
  <c r="L158" i="19"/>
  <c r="L158" i="1"/>
  <c r="L21" i="19"/>
  <c r="L21" i="1"/>
  <c r="L338" i="1"/>
  <c r="L338" i="19"/>
  <c r="K73" i="1"/>
  <c r="K73" i="19"/>
  <c r="L254" i="1"/>
  <c r="L254" i="19"/>
  <c r="L100" i="1"/>
  <c r="L100" i="19"/>
  <c r="K191" i="1"/>
  <c r="K191" i="19"/>
  <c r="K146" i="19"/>
  <c r="K146" i="1"/>
  <c r="K281" i="1"/>
  <c r="K281" i="19"/>
  <c r="K326" i="19"/>
  <c r="K326" i="1"/>
  <c r="K9" i="1"/>
  <c r="K9" i="19"/>
  <c r="K100" i="19"/>
  <c r="K100" i="1"/>
  <c r="K54" i="19"/>
  <c r="K54" i="1"/>
  <c r="L346" i="19"/>
  <c r="L346" i="1"/>
  <c r="K212" i="19"/>
  <c r="K212" i="1"/>
  <c r="K347" i="1"/>
  <c r="K347" i="19"/>
  <c r="L61" i="1"/>
  <c r="L61" i="19"/>
  <c r="K226" i="1"/>
  <c r="M226" i="1" s="1"/>
  <c r="S226" i="1" s="1"/>
  <c r="K226" i="19"/>
  <c r="M226" i="19" s="1"/>
  <c r="S226" i="19" s="1"/>
  <c r="K406" i="1"/>
  <c r="K406" i="19"/>
  <c r="K44" i="19"/>
  <c r="K44" i="1"/>
  <c r="K266" i="19"/>
  <c r="K266" i="1"/>
  <c r="L120" i="19"/>
  <c r="L120" i="1"/>
  <c r="L210" i="19"/>
  <c r="L210" i="1"/>
  <c r="L137" i="19"/>
  <c r="L137" i="1"/>
  <c r="L407" i="19"/>
  <c r="L407" i="1"/>
  <c r="L182" i="19"/>
  <c r="L182" i="1"/>
  <c r="L45" i="19"/>
  <c r="L45" i="1"/>
  <c r="K91" i="1"/>
  <c r="K91" i="19"/>
  <c r="K45" i="19"/>
  <c r="K45" i="1"/>
  <c r="K243" i="1"/>
  <c r="K243" i="19"/>
  <c r="L153" i="19"/>
  <c r="L153" i="1"/>
  <c r="L166" i="19"/>
  <c r="L166" i="1"/>
  <c r="K121" i="1"/>
  <c r="K121" i="19"/>
  <c r="K29" i="1"/>
  <c r="K29" i="19"/>
  <c r="K211" i="19"/>
  <c r="K211" i="1"/>
  <c r="K166" i="1"/>
  <c r="K166" i="19"/>
  <c r="K346" i="1"/>
  <c r="K346" i="19"/>
  <c r="L75" i="1"/>
  <c r="L75" i="19"/>
  <c r="L107" i="1"/>
  <c r="M107" i="1" s="1"/>
  <c r="S107" i="1" s="1"/>
  <c r="L107" i="19"/>
  <c r="M107" i="19" s="1"/>
  <c r="S107" i="19" s="1"/>
  <c r="L287" i="1"/>
  <c r="L287" i="19"/>
  <c r="L197" i="19"/>
  <c r="L197" i="1"/>
  <c r="L242" i="1"/>
  <c r="L242" i="19"/>
  <c r="K152" i="1"/>
  <c r="K152" i="19"/>
  <c r="K223" i="19"/>
  <c r="K223" i="1"/>
  <c r="K133" i="19"/>
  <c r="K133" i="1"/>
  <c r="L363" i="1"/>
  <c r="L363" i="19"/>
  <c r="L228" i="1"/>
  <c r="L228" i="19"/>
  <c r="L390" i="19"/>
  <c r="L390" i="1"/>
  <c r="L87" i="2" s="1"/>
  <c r="K345" i="1"/>
  <c r="K345" i="19"/>
  <c r="L247" i="1"/>
  <c r="L247" i="19"/>
  <c r="K335" i="19"/>
  <c r="K335" i="1"/>
  <c r="K24" i="19"/>
  <c r="K24" i="1"/>
  <c r="K249" i="1"/>
  <c r="K249" i="19"/>
  <c r="L204" i="1"/>
  <c r="L204" i="19"/>
  <c r="K294" i="19"/>
  <c r="K294" i="1"/>
  <c r="K324" i="1"/>
  <c r="K324" i="19"/>
  <c r="L234" i="19"/>
  <c r="L234" i="1"/>
  <c r="L51" i="1"/>
  <c r="L51" i="19"/>
  <c r="K233" i="1"/>
  <c r="K233" i="19"/>
  <c r="L248" i="19"/>
  <c r="L248" i="1"/>
  <c r="K203" i="19"/>
  <c r="K203" i="1"/>
  <c r="K383" i="1"/>
  <c r="K383" i="19"/>
  <c r="L101" i="1"/>
  <c r="L101" i="19"/>
  <c r="K171" i="1"/>
  <c r="K171" i="19"/>
  <c r="K260" i="1"/>
  <c r="K260" i="19"/>
  <c r="L211" i="19"/>
  <c r="L211" i="1"/>
  <c r="L317" i="19"/>
  <c r="L317" i="1"/>
  <c r="K261" i="1"/>
  <c r="K261" i="19"/>
  <c r="K401" i="19"/>
  <c r="K401" i="1"/>
  <c r="K176" i="19"/>
  <c r="K176" i="1"/>
  <c r="L80" i="19"/>
  <c r="L80" i="1"/>
  <c r="K82" i="19"/>
  <c r="K82" i="1"/>
  <c r="K389" i="19"/>
  <c r="K389" i="1"/>
  <c r="K27" i="1"/>
  <c r="K27" i="19"/>
  <c r="K218" i="19"/>
  <c r="K218" i="1"/>
  <c r="L36" i="19"/>
  <c r="L36" i="1"/>
  <c r="K165" i="19"/>
  <c r="K165" i="1"/>
  <c r="K28" i="1"/>
  <c r="K28" i="19"/>
  <c r="K390" i="19"/>
  <c r="K390" i="1"/>
  <c r="K255" i="19"/>
  <c r="K255" i="1"/>
  <c r="K248" i="19"/>
  <c r="K248" i="1"/>
  <c r="K21" i="19"/>
  <c r="K21" i="1"/>
  <c r="L191" i="1"/>
  <c r="L191" i="19"/>
  <c r="L326" i="1"/>
  <c r="L326" i="19"/>
  <c r="K236" i="1"/>
  <c r="K236" i="19"/>
  <c r="K371" i="1"/>
  <c r="K371" i="19"/>
  <c r="K252" i="1"/>
  <c r="K252" i="19"/>
  <c r="K297" i="1"/>
  <c r="K297" i="19"/>
  <c r="L342" i="19"/>
  <c r="L342" i="1"/>
  <c r="K258" i="19"/>
  <c r="K258" i="1"/>
  <c r="L77" i="1"/>
  <c r="L77" i="19"/>
  <c r="K168" i="19"/>
  <c r="K168" i="1"/>
  <c r="K306" i="19"/>
  <c r="K306" i="1"/>
  <c r="K31" i="1"/>
  <c r="K31" i="19"/>
  <c r="M31" i="19" s="1"/>
  <c r="S31" i="19" s="1"/>
  <c r="L303" i="19"/>
  <c r="L303" i="1"/>
  <c r="L125" i="1"/>
  <c r="L125" i="19"/>
  <c r="L260" i="1"/>
  <c r="L260" i="19"/>
  <c r="L79" i="19"/>
  <c r="L79" i="1"/>
  <c r="K41" i="19"/>
  <c r="K41" i="1"/>
  <c r="K178" i="1"/>
  <c r="K178" i="19"/>
  <c r="K87" i="1"/>
  <c r="M87" i="1" s="1"/>
  <c r="K87" i="19"/>
  <c r="M87" i="19" s="1"/>
  <c r="L372" i="1"/>
  <c r="L372" i="19"/>
  <c r="L192" i="1"/>
  <c r="L192" i="19"/>
  <c r="M192" i="19" s="1"/>
  <c r="S192" i="19" s="1"/>
  <c r="K184" i="19"/>
  <c r="K184" i="1"/>
  <c r="K47" i="19"/>
  <c r="K47" i="1"/>
  <c r="L28" i="19"/>
  <c r="L28" i="1"/>
  <c r="L345" i="1"/>
  <c r="L345" i="19"/>
  <c r="L165" i="1"/>
  <c r="L165" i="19"/>
  <c r="L74" i="1"/>
  <c r="L74" i="19"/>
  <c r="L189" i="1"/>
  <c r="L189" i="19"/>
  <c r="K98" i="19"/>
  <c r="K98" i="1"/>
  <c r="K234" i="1"/>
  <c r="K234" i="19"/>
  <c r="K189" i="19"/>
  <c r="K189" i="1"/>
  <c r="K128" i="1"/>
  <c r="K128" i="19"/>
  <c r="L148" i="1"/>
  <c r="L148" i="19"/>
  <c r="L328" i="1"/>
  <c r="L328" i="19"/>
  <c r="K102" i="1"/>
  <c r="K102" i="19"/>
  <c r="K97" i="19"/>
  <c r="K97" i="1"/>
  <c r="L323" i="19"/>
  <c r="L323" i="1"/>
  <c r="K20" i="19"/>
  <c r="K20" i="1"/>
  <c r="L292" i="1"/>
  <c r="L292" i="19"/>
  <c r="L20" i="19"/>
  <c r="L20" i="1"/>
  <c r="L202" i="1"/>
  <c r="L202" i="19"/>
  <c r="L280" i="19"/>
  <c r="L280" i="1"/>
  <c r="L99" i="19"/>
  <c r="L99" i="1"/>
  <c r="L190" i="1"/>
  <c r="L190" i="19"/>
  <c r="K235" i="19"/>
  <c r="K235" i="1"/>
  <c r="K280" i="19"/>
  <c r="K280" i="1"/>
  <c r="K8" i="1"/>
  <c r="K8" i="19"/>
  <c r="L170" i="1"/>
  <c r="L170" i="19"/>
  <c r="L309" i="19"/>
  <c r="L309" i="1"/>
  <c r="L173" i="1"/>
  <c r="L173" i="19"/>
  <c r="K131" i="1"/>
  <c r="K131" i="19"/>
  <c r="L169" i="1"/>
  <c r="L169" i="19"/>
  <c r="K78" i="1"/>
  <c r="K78" i="19"/>
  <c r="K327" i="1"/>
  <c r="K327" i="19"/>
  <c r="L55" i="19"/>
  <c r="L55" i="1"/>
  <c r="L141" i="19"/>
  <c r="L141" i="1"/>
  <c r="K411" i="1"/>
  <c r="K411" i="19"/>
  <c r="K402" i="19"/>
  <c r="K402" i="1"/>
  <c r="L404" i="1"/>
  <c r="L404" i="19"/>
  <c r="K312" i="19"/>
  <c r="K312" i="1"/>
  <c r="K177" i="19"/>
  <c r="K177" i="1"/>
  <c r="K134" i="1"/>
  <c r="K134" i="19"/>
  <c r="K360" i="1"/>
  <c r="K360" i="19"/>
  <c r="K43" i="1"/>
  <c r="K43" i="19"/>
  <c r="L89" i="1"/>
  <c r="L89" i="19"/>
  <c r="L270" i="19"/>
  <c r="L270" i="1"/>
  <c r="M200" i="1"/>
  <c r="S200" i="1" s="1"/>
  <c r="K8" i="2"/>
  <c r="M155" i="1"/>
  <c r="S155" i="1" s="1"/>
  <c r="K69" i="2"/>
  <c r="M69" i="2" s="1"/>
  <c r="M380" i="1"/>
  <c r="S380" i="1" s="1"/>
  <c r="L159" i="19"/>
  <c r="L159" i="1"/>
  <c r="L68" i="1"/>
  <c r="L68" i="19"/>
  <c r="L114" i="1"/>
  <c r="L114" i="19"/>
  <c r="L339" i="1"/>
  <c r="L339" i="19"/>
  <c r="K122" i="1"/>
  <c r="K122" i="19"/>
  <c r="L167" i="19"/>
  <c r="L167" i="1"/>
  <c r="K300" i="19"/>
  <c r="K300" i="1"/>
  <c r="K74" i="1"/>
  <c r="K74" i="19"/>
  <c r="K30" i="1"/>
  <c r="K30" i="19"/>
  <c r="K392" i="19"/>
  <c r="K392" i="1"/>
  <c r="L212" i="1"/>
  <c r="L212" i="19"/>
  <c r="L103" i="1"/>
  <c r="M103" i="1" s="1"/>
  <c r="S103" i="1" s="1"/>
  <c r="L103" i="19"/>
  <c r="M103" i="19" s="1"/>
  <c r="S103" i="19" s="1"/>
  <c r="K57" i="19"/>
  <c r="M57" i="19" s="1"/>
  <c r="S57" i="19" s="1"/>
  <c r="K57" i="1"/>
  <c r="K271" i="19"/>
  <c r="K271" i="1"/>
  <c r="K136" i="19"/>
  <c r="K136" i="1"/>
  <c r="L136" i="19"/>
  <c r="L136" i="1"/>
  <c r="L361" i="1"/>
  <c r="L361" i="19"/>
  <c r="L181" i="19"/>
  <c r="L181" i="1"/>
  <c r="K316" i="19"/>
  <c r="K316" i="1"/>
  <c r="L316" i="19"/>
  <c r="L316" i="1"/>
  <c r="L271" i="1"/>
  <c r="L271" i="19"/>
  <c r="K90" i="19"/>
  <c r="K90" i="1"/>
  <c r="L221" i="1"/>
  <c r="L221" i="19"/>
  <c r="L85" i="1"/>
  <c r="L85" i="19"/>
  <c r="K23" i="19"/>
  <c r="K23" i="1"/>
  <c r="K340" i="19"/>
  <c r="K340" i="1"/>
  <c r="L37" i="1"/>
  <c r="L37" i="19"/>
  <c r="L354" i="1"/>
  <c r="L354" i="19"/>
  <c r="K37" i="1"/>
  <c r="M37" i="1" s="1"/>
  <c r="S37" i="1" s="1"/>
  <c r="K37" i="19"/>
  <c r="K264" i="1"/>
  <c r="K264" i="19"/>
  <c r="K174" i="1"/>
  <c r="K174" i="19"/>
  <c r="L215" i="1"/>
  <c r="L215" i="19"/>
  <c r="L395" i="1"/>
  <c r="L395" i="19"/>
  <c r="L305" i="1"/>
  <c r="L305" i="19"/>
  <c r="K305" i="19"/>
  <c r="K305" i="1"/>
  <c r="L33" i="19"/>
  <c r="L33" i="1"/>
  <c r="K49" i="19"/>
  <c r="K49" i="1"/>
  <c r="L276" i="19"/>
  <c r="L276" i="1"/>
  <c r="L231" i="19"/>
  <c r="L231" i="1"/>
  <c r="K95" i="1"/>
  <c r="K95" i="19"/>
  <c r="K364" i="1"/>
  <c r="K364" i="19"/>
  <c r="L139" i="1"/>
  <c r="L139" i="19"/>
  <c r="K319" i="1"/>
  <c r="K319" i="19"/>
  <c r="L93" i="19"/>
  <c r="M93" i="19" s="1"/>
  <c r="S93" i="19" s="1"/>
  <c r="L93" i="1"/>
  <c r="M93" i="1" s="1"/>
  <c r="S93" i="1" s="1"/>
  <c r="L184" i="19"/>
  <c r="L184" i="1"/>
  <c r="L274" i="19"/>
  <c r="M274" i="19" s="1"/>
  <c r="S274" i="19" s="1"/>
  <c r="L274" i="1"/>
  <c r="M274" i="1" s="1"/>
  <c r="S274" i="1" s="1"/>
  <c r="K384" i="19"/>
  <c r="K384" i="1"/>
  <c r="K204" i="19"/>
  <c r="K204" i="1"/>
  <c r="K114" i="1"/>
  <c r="K114" i="19"/>
  <c r="K339" i="19"/>
  <c r="K339" i="1"/>
  <c r="K159" i="19"/>
  <c r="K159" i="1"/>
  <c r="L22" i="19"/>
  <c r="M22" i="19" s="1"/>
  <c r="L22" i="1"/>
  <c r="M22" i="1" s="1"/>
  <c r="K386" i="19"/>
  <c r="K386" i="1"/>
  <c r="L251" i="1"/>
  <c r="L251" i="19"/>
  <c r="K116" i="19"/>
  <c r="K116" i="1"/>
  <c r="L161" i="1"/>
  <c r="L161" i="19"/>
  <c r="K206" i="1"/>
  <c r="K206" i="19"/>
  <c r="K296" i="19"/>
  <c r="K296" i="1"/>
  <c r="L70" i="19"/>
  <c r="L70" i="1"/>
  <c r="L386" i="19"/>
  <c r="L386" i="1"/>
  <c r="L82" i="2" s="1"/>
  <c r="L206" i="19"/>
  <c r="L206" i="1"/>
  <c r="L296" i="19"/>
  <c r="L296" i="1"/>
  <c r="K70" i="19"/>
  <c r="K70" i="1"/>
  <c r="L195" i="19"/>
  <c r="L195" i="1"/>
  <c r="L105" i="1"/>
  <c r="L105" i="19"/>
  <c r="K240" i="1"/>
  <c r="K240" i="19"/>
  <c r="K195" i="1"/>
  <c r="K195" i="19"/>
  <c r="L330" i="1"/>
  <c r="L330" i="19"/>
  <c r="K71" i="1"/>
  <c r="K71" i="19"/>
  <c r="K25" i="1"/>
  <c r="K25" i="19"/>
  <c r="L252" i="1"/>
  <c r="L252" i="19"/>
  <c r="L297" i="1"/>
  <c r="L297" i="19"/>
  <c r="L25" i="19"/>
  <c r="L25" i="1"/>
  <c r="L113" i="1"/>
  <c r="L113" i="19"/>
  <c r="K113" i="1"/>
  <c r="K113" i="19"/>
  <c r="K213" i="19"/>
  <c r="K213" i="1"/>
  <c r="L393" i="19"/>
  <c r="L393" i="1"/>
  <c r="L149" i="19"/>
  <c r="L149" i="1"/>
  <c r="K149" i="19"/>
  <c r="K149" i="1"/>
  <c r="M208" i="19"/>
  <c r="S208" i="19" s="1"/>
  <c r="M72" i="1"/>
  <c r="S72" i="1" s="1"/>
  <c r="M72" i="19"/>
  <c r="S72" i="19" s="1"/>
  <c r="M200" i="19"/>
  <c r="S200" i="19" s="1"/>
  <c r="M155" i="19"/>
  <c r="S155" i="19" s="1"/>
  <c r="M380" i="19"/>
  <c r="S380" i="19" s="1"/>
  <c r="L39" i="2"/>
  <c r="L8" i="2"/>
  <c r="M110" i="1"/>
  <c r="S110" i="1" s="1"/>
  <c r="M110" i="19"/>
  <c r="S110" i="19" s="1"/>
  <c r="M290" i="19"/>
  <c r="S290" i="19" s="1"/>
  <c r="M290" i="1"/>
  <c r="S290" i="1" s="1"/>
  <c r="K173" i="1"/>
  <c r="K173" i="19"/>
  <c r="L218" i="1"/>
  <c r="L218" i="19"/>
  <c r="L308" i="19"/>
  <c r="L308" i="1"/>
  <c r="K221" i="19"/>
  <c r="K221" i="1"/>
  <c r="K85" i="19"/>
  <c r="K85" i="1"/>
  <c r="L311" i="19"/>
  <c r="L311" i="1"/>
  <c r="K75" i="19"/>
  <c r="K75" i="1"/>
  <c r="L121" i="1"/>
  <c r="L121" i="19"/>
  <c r="K391" i="1"/>
  <c r="K391" i="19"/>
  <c r="K301" i="19"/>
  <c r="K301" i="1"/>
  <c r="K394" i="1"/>
  <c r="K394" i="19"/>
  <c r="K259" i="19"/>
  <c r="K259" i="1"/>
  <c r="L214" i="1"/>
  <c r="L214" i="19"/>
  <c r="L304" i="19"/>
  <c r="L304" i="1"/>
  <c r="K35" i="19"/>
  <c r="K35" i="1"/>
  <c r="L127" i="19"/>
  <c r="L127" i="1"/>
  <c r="K352" i="19"/>
  <c r="K352" i="1"/>
  <c r="K356" i="19"/>
  <c r="K356" i="1"/>
  <c r="L131" i="1"/>
  <c r="L131" i="19"/>
  <c r="K39" i="1"/>
  <c r="K39" i="19"/>
  <c r="L356" i="19"/>
  <c r="L356" i="1"/>
  <c r="L39" i="19"/>
  <c r="L39" i="1"/>
  <c r="K351" i="1"/>
  <c r="K351" i="19"/>
  <c r="L353" i="1"/>
  <c r="L353" i="19"/>
  <c r="K263" i="1"/>
  <c r="K263" i="19"/>
  <c r="K398" i="1"/>
  <c r="K398" i="19"/>
  <c r="L266" i="19"/>
  <c r="L266" i="1"/>
  <c r="L399" i="1"/>
  <c r="L399" i="19"/>
  <c r="L83" i="19"/>
  <c r="L83" i="1"/>
  <c r="K311" i="1"/>
  <c r="K311" i="19"/>
  <c r="L401" i="1"/>
  <c r="L401" i="19"/>
  <c r="L264" i="19"/>
  <c r="L264" i="1"/>
  <c r="K34" i="19"/>
  <c r="K34" i="1"/>
  <c r="L261" i="1"/>
  <c r="L261" i="19"/>
  <c r="L351" i="1"/>
  <c r="L351" i="19"/>
  <c r="K36" i="19"/>
  <c r="K36" i="1"/>
  <c r="L263" i="19"/>
  <c r="L263" i="1"/>
  <c r="K307" i="1"/>
  <c r="K307" i="19"/>
  <c r="L352" i="1"/>
  <c r="L352" i="19"/>
  <c r="L217" i="19"/>
  <c r="L217" i="1"/>
  <c r="L307" i="19"/>
  <c r="L307" i="1"/>
  <c r="L172" i="19"/>
  <c r="L172" i="1"/>
  <c r="K127" i="19"/>
  <c r="K127" i="1"/>
  <c r="K172" i="1"/>
  <c r="K172" i="19"/>
  <c r="K81" i="1"/>
  <c r="K81" i="19"/>
  <c r="K217" i="1"/>
  <c r="K217" i="19"/>
  <c r="L174" i="19"/>
  <c r="L174" i="1"/>
  <c r="K399" i="1"/>
  <c r="K399" i="19"/>
  <c r="L129" i="19"/>
  <c r="L129" i="1"/>
  <c r="K309" i="19"/>
  <c r="K309" i="1"/>
  <c r="L38" i="19"/>
  <c r="L38" i="1"/>
  <c r="K310" i="19"/>
  <c r="K310" i="1"/>
  <c r="K84" i="1"/>
  <c r="K84" i="19"/>
  <c r="K354" i="1"/>
  <c r="K354" i="19"/>
  <c r="L219" i="19"/>
  <c r="L219" i="1"/>
  <c r="L398" i="1"/>
  <c r="L398" i="19"/>
  <c r="K308" i="1"/>
  <c r="K308" i="19"/>
  <c r="L82" i="1"/>
  <c r="L82" i="19"/>
  <c r="K265" i="19"/>
  <c r="K265" i="1"/>
  <c r="K175" i="19"/>
  <c r="K175" i="1"/>
  <c r="K38" i="19"/>
  <c r="K38" i="1"/>
  <c r="K220" i="1"/>
  <c r="K220" i="19"/>
  <c r="K216" i="1"/>
  <c r="K216" i="19"/>
  <c r="L126" i="1"/>
  <c r="L126" i="19"/>
  <c r="K126" i="19"/>
  <c r="K126" i="1"/>
  <c r="L306" i="1"/>
  <c r="L306" i="19"/>
  <c r="L34" i="19"/>
  <c r="L34" i="1"/>
  <c r="K396" i="1"/>
  <c r="K396" i="19"/>
  <c r="L396" i="1"/>
  <c r="L91" i="2" s="1"/>
  <c r="L396" i="19"/>
  <c r="K353" i="1"/>
  <c r="K353" i="19"/>
  <c r="L128" i="19"/>
  <c r="M128" i="19" s="1"/>
  <c r="S128" i="19" s="1"/>
  <c r="L128" i="1"/>
  <c r="L256" i="1"/>
  <c r="L256" i="19"/>
  <c r="M256" i="19" s="1"/>
  <c r="S256" i="19" s="1"/>
  <c r="L29" i="19"/>
  <c r="L29" i="1"/>
  <c r="L171" i="19"/>
  <c r="L171" i="1"/>
  <c r="L216" i="1"/>
  <c r="L216" i="19"/>
  <c r="K130" i="19"/>
  <c r="K130" i="1"/>
  <c r="L397" i="1"/>
  <c r="L397" i="19"/>
  <c r="L35" i="1"/>
  <c r="L35" i="19"/>
  <c r="K262" i="19"/>
  <c r="K262" i="1"/>
  <c r="K129" i="1"/>
  <c r="K129" i="19"/>
  <c r="K83" i="19"/>
  <c r="K83" i="1"/>
  <c r="L220" i="1"/>
  <c r="L220" i="19"/>
  <c r="L84" i="1"/>
  <c r="L84" i="19"/>
  <c r="L310" i="19"/>
  <c r="L310" i="1"/>
  <c r="L130" i="1"/>
  <c r="L130" i="19"/>
  <c r="L355" i="19"/>
  <c r="L355" i="1"/>
  <c r="K355" i="19"/>
  <c r="K355" i="1"/>
  <c r="L175" i="19"/>
  <c r="L175" i="1"/>
  <c r="K400" i="19"/>
  <c r="K400" i="1"/>
  <c r="L265" i="19"/>
  <c r="L265" i="1"/>
  <c r="L400" i="1"/>
  <c r="L400" i="19"/>
  <c r="K80" i="1"/>
  <c r="K80" i="19"/>
  <c r="L81" i="19"/>
  <c r="L81" i="1"/>
  <c r="L262" i="1"/>
  <c r="L262" i="19"/>
  <c r="K397" i="1"/>
  <c r="K397" i="19"/>
  <c r="K219" i="1"/>
  <c r="K219" i="19"/>
  <c r="M128" i="1" l="1"/>
  <c r="S128" i="1" s="1"/>
  <c r="M388" i="19"/>
  <c r="S388" i="19" s="1"/>
  <c r="M12" i="1"/>
  <c r="S12" i="1" s="1"/>
  <c r="M18" i="1"/>
  <c r="S18" i="1" s="1"/>
  <c r="M166" i="19"/>
  <c r="S166" i="19" s="1"/>
  <c r="L24" i="2"/>
  <c r="M37" i="19"/>
  <c r="S37" i="19" s="1"/>
  <c r="M298" i="19"/>
  <c r="S298" i="19" s="1"/>
  <c r="M245" i="1"/>
  <c r="S245" i="1" s="1"/>
  <c r="M350" i="1"/>
  <c r="S350" i="1" s="1"/>
  <c r="M18" i="19"/>
  <c r="S18" i="19" s="1"/>
  <c r="M245" i="19"/>
  <c r="S245" i="19" s="1"/>
  <c r="M144" i="1"/>
  <c r="S144" i="1" s="1"/>
  <c r="M38" i="1"/>
  <c r="S38" i="1" s="1"/>
  <c r="M302" i="19"/>
  <c r="S302" i="19" s="1"/>
  <c r="M38" i="19"/>
  <c r="S38" i="19" s="1"/>
  <c r="M399" i="1"/>
  <c r="S399" i="1" s="1"/>
  <c r="M288" i="19"/>
  <c r="M227" i="1"/>
  <c r="S227" i="1" s="1"/>
  <c r="M399" i="19"/>
  <c r="S399" i="19" s="1"/>
  <c r="M100" i="19"/>
  <c r="S100" i="19" s="1"/>
  <c r="M313" i="19"/>
  <c r="M397" i="19"/>
  <c r="S397" i="19" s="1"/>
  <c r="M313" i="1"/>
  <c r="M293" i="1"/>
  <c r="M291" i="1"/>
  <c r="S291" i="1" s="1"/>
  <c r="M149" i="19"/>
  <c r="S149" i="19" s="1"/>
  <c r="M280" i="1"/>
  <c r="S280" i="1" s="1"/>
  <c r="M45" i="1"/>
  <c r="S45" i="1" s="1"/>
  <c r="M12" i="19"/>
  <c r="S12" i="19" s="1"/>
  <c r="M227" i="19"/>
  <c r="S227" i="19" s="1"/>
  <c r="M45" i="19"/>
  <c r="S45" i="19" s="1"/>
  <c r="M100" i="1"/>
  <c r="S100" i="1" s="1"/>
  <c r="M293" i="19"/>
  <c r="M397" i="1"/>
  <c r="S397" i="1" s="1"/>
  <c r="M217" i="19"/>
  <c r="S217" i="19" s="1"/>
  <c r="M305" i="1"/>
  <c r="S305" i="1" s="1"/>
  <c r="M163" i="19"/>
  <c r="S163" i="19" s="1"/>
  <c r="M172" i="19"/>
  <c r="S172" i="19" s="1"/>
  <c r="M24" i="1"/>
  <c r="M144" i="19"/>
  <c r="S144" i="19" s="1"/>
  <c r="M24" i="19"/>
  <c r="M118" i="19"/>
  <c r="S118" i="19" s="1"/>
  <c r="M291" i="19"/>
  <c r="S291" i="19" s="1"/>
  <c r="M343" i="19"/>
  <c r="S343" i="19" s="1"/>
  <c r="M172" i="1"/>
  <c r="S172" i="1" s="1"/>
  <c r="M343" i="1"/>
  <c r="S343" i="1" s="1"/>
  <c r="M166" i="1"/>
  <c r="S166" i="1" s="1"/>
  <c r="M302" i="1"/>
  <c r="S302" i="1" s="1"/>
  <c r="M113" i="19"/>
  <c r="M288" i="1"/>
  <c r="M26" i="19"/>
  <c r="S26" i="19" s="1"/>
  <c r="K53" i="2"/>
  <c r="M26" i="1"/>
  <c r="S26" i="1" s="1"/>
  <c r="M280" i="19"/>
  <c r="S280" i="19" s="1"/>
  <c r="M283" i="1"/>
  <c r="S283" i="1" s="1"/>
  <c r="M283" i="19"/>
  <c r="S283" i="19" s="1"/>
  <c r="M119" i="1"/>
  <c r="S119" i="1" s="1"/>
  <c r="M370" i="19"/>
  <c r="S370" i="19" s="1"/>
  <c r="M145" i="19"/>
  <c r="S145" i="19" s="1"/>
  <c r="M119" i="19"/>
  <c r="S119" i="19" s="1"/>
  <c r="M217" i="1"/>
  <c r="S217" i="1" s="1"/>
  <c r="M145" i="1"/>
  <c r="S145" i="1" s="1"/>
  <c r="M408" i="19"/>
  <c r="S408" i="19" s="1"/>
  <c r="M299" i="1"/>
  <c r="S299" i="1" s="1"/>
  <c r="M31" i="1"/>
  <c r="S31" i="1" s="1"/>
  <c r="M408" i="1"/>
  <c r="S408" i="1" s="1"/>
  <c r="M299" i="19"/>
  <c r="S299" i="19" s="1"/>
  <c r="M126" i="19"/>
  <c r="S126" i="19" s="1"/>
  <c r="M138" i="19"/>
  <c r="S138" i="19" s="1"/>
  <c r="M318" i="1"/>
  <c r="S318" i="1" s="1"/>
  <c r="M305" i="19"/>
  <c r="S305" i="19" s="1"/>
  <c r="M318" i="19"/>
  <c r="S318" i="19" s="1"/>
  <c r="M355" i="1"/>
  <c r="S355" i="1" s="1"/>
  <c r="M333" i="1"/>
  <c r="M333" i="19"/>
  <c r="M189" i="19"/>
  <c r="S189" i="19" s="1"/>
  <c r="M298" i="1"/>
  <c r="S298" i="1" s="1"/>
  <c r="L55" i="2"/>
  <c r="M151" i="19"/>
  <c r="S151" i="19" s="1"/>
  <c r="M151" i="1"/>
  <c r="S151" i="1" s="1"/>
  <c r="M383" i="19"/>
  <c r="M101" i="19"/>
  <c r="S101" i="19" s="1"/>
  <c r="M361" i="1"/>
  <c r="S361" i="1" s="1"/>
  <c r="M361" i="19"/>
  <c r="S361" i="19" s="1"/>
  <c r="M181" i="19"/>
  <c r="S181" i="19" s="1"/>
  <c r="M181" i="1"/>
  <c r="S181" i="1" s="1"/>
  <c r="M90" i="19"/>
  <c r="S90" i="19" s="1"/>
  <c r="M90" i="1"/>
  <c r="S90" i="1" s="1"/>
  <c r="M116" i="19"/>
  <c r="M116" i="1"/>
  <c r="M330" i="1"/>
  <c r="S330" i="1" s="1"/>
  <c r="M330" i="19"/>
  <c r="S330" i="19" s="1"/>
  <c r="M214" i="1"/>
  <c r="S214" i="1" s="1"/>
  <c r="M214" i="19"/>
  <c r="S214" i="19" s="1"/>
  <c r="K55" i="2"/>
  <c r="M208" i="1"/>
  <c r="S208" i="1" s="1"/>
  <c r="K85" i="2"/>
  <c r="M85" i="2" s="1"/>
  <c r="M388" i="1"/>
  <c r="S388" i="1" s="1"/>
  <c r="M163" i="1"/>
  <c r="S163" i="1" s="1"/>
  <c r="K24" i="2"/>
  <c r="K180" i="19"/>
  <c r="K180" i="1"/>
  <c r="K89" i="1"/>
  <c r="M89" i="1" s="1"/>
  <c r="S89" i="1" s="1"/>
  <c r="K89" i="19"/>
  <c r="M89" i="19" s="1"/>
  <c r="S89" i="19" s="1"/>
  <c r="K225" i="1"/>
  <c r="K225" i="19"/>
  <c r="M355" i="19"/>
  <c r="S355" i="19" s="1"/>
  <c r="M14" i="19"/>
  <c r="S14" i="19" s="1"/>
  <c r="M14" i="1"/>
  <c r="S14" i="1" s="1"/>
  <c r="M202" i="19"/>
  <c r="S202" i="19" s="1"/>
  <c r="M23" i="19"/>
  <c r="M49" i="19"/>
  <c r="S49" i="19" s="1"/>
  <c r="M49" i="1"/>
  <c r="S49" i="1" s="1"/>
  <c r="M276" i="19"/>
  <c r="S276" i="19" s="1"/>
  <c r="M276" i="1"/>
  <c r="S276" i="1" s="1"/>
  <c r="M95" i="19"/>
  <c r="S95" i="19" s="1"/>
  <c r="M366" i="1"/>
  <c r="S366" i="1" s="1"/>
  <c r="L88" i="1"/>
  <c r="L88" i="19"/>
  <c r="L180" i="1"/>
  <c r="L180" i="19"/>
  <c r="L405" i="19"/>
  <c r="L405" i="1"/>
  <c r="L93" i="2" s="1"/>
  <c r="M164" i="19"/>
  <c r="S164" i="19" s="1"/>
  <c r="M164" i="1"/>
  <c r="S164" i="1" s="1"/>
  <c r="M46" i="19"/>
  <c r="S46" i="19" s="1"/>
  <c r="M46" i="1"/>
  <c r="S46" i="1" s="1"/>
  <c r="M247" i="19"/>
  <c r="S247" i="19" s="1"/>
  <c r="M247" i="1"/>
  <c r="S247" i="1" s="1"/>
  <c r="M69" i="1"/>
  <c r="M69" i="19"/>
  <c r="M147" i="19"/>
  <c r="S147" i="19" s="1"/>
  <c r="M147" i="1"/>
  <c r="S147" i="1" s="1"/>
  <c r="M325" i="1"/>
  <c r="S325" i="1" s="1"/>
  <c r="M325" i="19"/>
  <c r="S325" i="19" s="1"/>
  <c r="M193" i="19"/>
  <c r="S193" i="19" s="1"/>
  <c r="M374" i="19"/>
  <c r="S374" i="19" s="1"/>
  <c r="M239" i="19"/>
  <c r="S239" i="19" s="1"/>
  <c r="M239" i="1"/>
  <c r="S239" i="1" s="1"/>
  <c r="M284" i="19"/>
  <c r="S284" i="19" s="1"/>
  <c r="M284" i="1"/>
  <c r="S284" i="1" s="1"/>
  <c r="M152" i="19"/>
  <c r="S152" i="19" s="1"/>
  <c r="M253" i="19"/>
  <c r="S253" i="19" s="1"/>
  <c r="M150" i="1"/>
  <c r="S150" i="1" s="1"/>
  <c r="M273" i="1"/>
  <c r="S273" i="1" s="1"/>
  <c r="M273" i="19"/>
  <c r="S273" i="19" s="1"/>
  <c r="M183" i="19"/>
  <c r="S183" i="19" s="1"/>
  <c r="M183" i="1"/>
  <c r="S183" i="1" s="1"/>
  <c r="M58" i="19"/>
  <c r="S58" i="19" s="1"/>
  <c r="M58" i="1"/>
  <c r="S58" i="1" s="1"/>
  <c r="M295" i="19"/>
  <c r="M295" i="1"/>
  <c r="M160" i="1"/>
  <c r="M160" i="19"/>
  <c r="M56" i="19"/>
  <c r="S56" i="19" s="1"/>
  <c r="M56" i="1"/>
  <c r="S56" i="1" s="1"/>
  <c r="M279" i="1"/>
  <c r="S279" i="1" s="1"/>
  <c r="M279" i="19"/>
  <c r="S279" i="19" s="1"/>
  <c r="M52" i="19"/>
  <c r="S52" i="19" s="1"/>
  <c r="M52" i="1"/>
  <c r="S52" i="1" s="1"/>
  <c r="M381" i="19"/>
  <c r="S381" i="19" s="1"/>
  <c r="M11" i="19"/>
  <c r="S11" i="19" s="1"/>
  <c r="M11" i="1"/>
  <c r="S11" i="1" s="1"/>
  <c r="M6" i="19"/>
  <c r="S6" i="19" s="1"/>
  <c r="M6" i="1"/>
  <c r="S6" i="1" s="1"/>
  <c r="M194" i="19"/>
  <c r="S194" i="19" s="1"/>
  <c r="M60" i="19"/>
  <c r="S60" i="19" s="1"/>
  <c r="M348" i="19"/>
  <c r="S348" i="19" s="1"/>
  <c r="M348" i="1"/>
  <c r="S348" i="1" s="1"/>
  <c r="M335" i="19"/>
  <c r="S335" i="19" s="1"/>
  <c r="M249" i="1"/>
  <c r="M249" i="19"/>
  <c r="M294" i="19"/>
  <c r="M294" i="1"/>
  <c r="M324" i="1"/>
  <c r="S324" i="1" s="1"/>
  <c r="M324" i="19"/>
  <c r="S324" i="19" s="1"/>
  <c r="M168" i="19"/>
  <c r="S168" i="19" s="1"/>
  <c r="M168" i="1"/>
  <c r="S168" i="1" s="1"/>
  <c r="M99" i="19"/>
  <c r="S99" i="19" s="1"/>
  <c r="M190" i="19"/>
  <c r="S190" i="19" s="1"/>
  <c r="M78" i="19"/>
  <c r="S78" i="19" s="1"/>
  <c r="M364" i="1"/>
  <c r="S364" i="1" s="1"/>
  <c r="M364" i="19"/>
  <c r="S364" i="19" s="1"/>
  <c r="M139" i="1"/>
  <c r="S139" i="1" s="1"/>
  <c r="M139" i="19"/>
  <c r="S139" i="19" s="1"/>
  <c r="M384" i="19"/>
  <c r="M253" i="1"/>
  <c r="S253" i="1" s="1"/>
  <c r="L132" i="19"/>
  <c r="L132" i="1"/>
  <c r="K267" i="19"/>
  <c r="K267" i="1"/>
  <c r="L179" i="1"/>
  <c r="L179" i="19"/>
  <c r="L225" i="1"/>
  <c r="L225" i="19"/>
  <c r="K86" i="1"/>
  <c r="K86" i="19"/>
  <c r="L86" i="1"/>
  <c r="L86" i="19"/>
  <c r="M196" i="1"/>
  <c r="S196" i="1" s="1"/>
  <c r="K44" i="2"/>
  <c r="K74" i="2"/>
  <c r="M74" i="2" s="1"/>
  <c r="M376" i="1"/>
  <c r="S376" i="1" s="1"/>
  <c r="L360" i="1"/>
  <c r="M360" i="1" s="1"/>
  <c r="S360" i="1" s="1"/>
  <c r="L360" i="19"/>
  <c r="M360" i="19" s="1"/>
  <c r="S360" i="19" s="1"/>
  <c r="M331" i="1"/>
  <c r="S331" i="1" s="1"/>
  <c r="L13" i="2"/>
  <c r="M205" i="19"/>
  <c r="M92" i="1"/>
  <c r="S92" i="1" s="1"/>
  <c r="M111" i="1"/>
  <c r="S111" i="1" s="1"/>
  <c r="M272" i="1"/>
  <c r="S272" i="1" s="1"/>
  <c r="M59" i="1"/>
  <c r="S59" i="1" s="1"/>
  <c r="M382" i="19"/>
  <c r="S382" i="19" s="1"/>
  <c r="M108" i="1"/>
  <c r="M108" i="19"/>
  <c r="M16" i="19"/>
  <c r="M16" i="1"/>
  <c r="M112" i="19"/>
  <c r="S112" i="19" s="1"/>
  <c r="M112" i="1"/>
  <c r="S112" i="1" s="1"/>
  <c r="M162" i="19"/>
  <c r="M162" i="1"/>
  <c r="M278" i="19"/>
  <c r="S278" i="19" s="1"/>
  <c r="M278" i="1"/>
  <c r="S278" i="1" s="1"/>
  <c r="M250" i="19"/>
  <c r="M237" i="1"/>
  <c r="S237" i="1" s="1"/>
  <c r="M257" i="19"/>
  <c r="S257" i="19" s="1"/>
  <c r="M257" i="1"/>
  <c r="S257" i="1" s="1"/>
  <c r="M76" i="1"/>
  <c r="S76" i="1" s="1"/>
  <c r="M76" i="19"/>
  <c r="S76" i="19" s="1"/>
  <c r="M358" i="1"/>
  <c r="M358" i="19"/>
  <c r="M275" i="19"/>
  <c r="S275" i="19" s="1"/>
  <c r="M275" i="1"/>
  <c r="S275" i="1" s="1"/>
  <c r="L64" i="2"/>
  <c r="M373" i="19"/>
  <c r="S373" i="19" s="1"/>
  <c r="M188" i="19"/>
  <c r="S188" i="19" s="1"/>
  <c r="M188" i="1"/>
  <c r="S188" i="1" s="1"/>
  <c r="M246" i="19"/>
  <c r="S246" i="19" s="1"/>
  <c r="M156" i="19"/>
  <c r="S156" i="19" s="1"/>
  <c r="M349" i="19"/>
  <c r="S349" i="19" s="1"/>
  <c r="M349" i="1"/>
  <c r="S349" i="1" s="1"/>
  <c r="M32" i="1"/>
  <c r="S32" i="1" s="1"/>
  <c r="M32" i="19"/>
  <c r="S32" i="19" s="1"/>
  <c r="M268" i="19"/>
  <c r="M268" i="1"/>
  <c r="M182" i="19"/>
  <c r="S182" i="19" s="1"/>
  <c r="M182" i="1"/>
  <c r="S182" i="1" s="1"/>
  <c r="M317" i="1"/>
  <c r="S317" i="1" s="1"/>
  <c r="M389" i="19"/>
  <c r="S389" i="19" s="1"/>
  <c r="M389" i="1"/>
  <c r="S389" i="1" s="1"/>
  <c r="M371" i="19"/>
  <c r="S371" i="19" s="1"/>
  <c r="M258" i="1"/>
  <c r="S258" i="1" s="1"/>
  <c r="M77" i="1"/>
  <c r="S77" i="1" s="1"/>
  <c r="M77" i="19"/>
  <c r="S77" i="19" s="1"/>
  <c r="M79" i="19"/>
  <c r="S79" i="19" s="1"/>
  <c r="M79" i="1"/>
  <c r="S79" i="1" s="1"/>
  <c r="M372" i="19"/>
  <c r="S372" i="19" s="1"/>
  <c r="M169" i="19"/>
  <c r="S169" i="19" s="1"/>
  <c r="M327" i="19"/>
  <c r="S327" i="19" s="1"/>
  <c r="M55" i="19"/>
  <c r="S55" i="19" s="1"/>
  <c r="M55" i="1"/>
  <c r="S55" i="1" s="1"/>
  <c r="M251" i="1"/>
  <c r="M251" i="19"/>
  <c r="M161" i="1"/>
  <c r="M161" i="19"/>
  <c r="L44" i="2"/>
  <c r="M331" i="19"/>
  <c r="S331" i="19" s="1"/>
  <c r="M205" i="1"/>
  <c r="K42" i="2"/>
  <c r="M92" i="19"/>
  <c r="S92" i="19" s="1"/>
  <c r="M111" i="19"/>
  <c r="S111" i="19" s="1"/>
  <c r="M272" i="19"/>
  <c r="S272" i="19" s="1"/>
  <c r="M59" i="19"/>
  <c r="S59" i="19" s="1"/>
  <c r="M368" i="1"/>
  <c r="S368" i="1" s="1"/>
  <c r="K66" i="2"/>
  <c r="M66" i="2" s="1"/>
  <c r="M381" i="1"/>
  <c r="S381" i="1" s="1"/>
  <c r="K71" i="2"/>
  <c r="M71" i="2" s="1"/>
  <c r="M344" i="19"/>
  <c r="S344" i="19" s="1"/>
  <c r="M209" i="1"/>
  <c r="S209" i="1" s="1"/>
  <c r="M286" i="19"/>
  <c r="S286" i="19" s="1"/>
  <c r="M241" i="1"/>
  <c r="S241" i="1" s="1"/>
  <c r="M106" i="1"/>
  <c r="S106" i="1" s="1"/>
  <c r="M282" i="1"/>
  <c r="S282" i="1" s="1"/>
  <c r="M409" i="1"/>
  <c r="S409" i="1" s="1"/>
  <c r="M409" i="19"/>
  <c r="S409" i="19" s="1"/>
  <c r="M229" i="1"/>
  <c r="S229" i="1" s="1"/>
  <c r="M229" i="19"/>
  <c r="S229" i="19" s="1"/>
  <c r="M238" i="1"/>
  <c r="S238" i="1" s="1"/>
  <c r="M238" i="19"/>
  <c r="S238" i="19" s="1"/>
  <c r="M362" i="19"/>
  <c r="S362" i="19" s="1"/>
  <c r="M362" i="1"/>
  <c r="S362" i="1" s="1"/>
  <c r="M150" i="19"/>
  <c r="S150" i="19" s="1"/>
  <c r="M363" i="1"/>
  <c r="S363" i="1" s="1"/>
  <c r="M363" i="19"/>
  <c r="S363" i="19" s="1"/>
  <c r="M320" i="1"/>
  <c r="S320" i="1" s="1"/>
  <c r="M368" i="19"/>
  <c r="S368" i="19" s="1"/>
  <c r="M65" i="19"/>
  <c r="S65" i="19" s="1"/>
  <c r="M65" i="1"/>
  <c r="S65" i="1" s="1"/>
  <c r="M336" i="1"/>
  <c r="S336" i="1" s="1"/>
  <c r="M336" i="19"/>
  <c r="S336" i="19" s="1"/>
  <c r="M53" i="19"/>
  <c r="S53" i="19" s="1"/>
  <c r="M53" i="1"/>
  <c r="S53" i="1" s="1"/>
  <c r="M10" i="19"/>
  <c r="S10" i="19" s="1"/>
  <c r="M237" i="19"/>
  <c r="S237" i="19" s="1"/>
  <c r="M366" i="19"/>
  <c r="S366" i="19" s="1"/>
  <c r="M365" i="19"/>
  <c r="S365" i="19" s="1"/>
  <c r="M365" i="1"/>
  <c r="S365" i="1" s="1"/>
  <c r="M117" i="19"/>
  <c r="M117" i="1"/>
  <c r="M157" i="19"/>
  <c r="S157" i="19" s="1"/>
  <c r="M337" i="1"/>
  <c r="S337" i="1" s="1"/>
  <c r="M337" i="19"/>
  <c r="S337" i="19" s="1"/>
  <c r="M123" i="19"/>
  <c r="S123" i="19" s="1"/>
  <c r="M123" i="1"/>
  <c r="S123" i="1" s="1"/>
  <c r="L7" i="2"/>
  <c r="M62" i="19"/>
  <c r="M375" i="19"/>
  <c r="S375" i="19" s="1"/>
  <c r="M285" i="19"/>
  <c r="S285" i="19" s="1"/>
  <c r="M285" i="1"/>
  <c r="S285" i="1" s="1"/>
  <c r="M201" i="19"/>
  <c r="S201" i="19" s="1"/>
  <c r="M19" i="19"/>
  <c r="S19" i="19" s="1"/>
  <c r="M378" i="19"/>
  <c r="M104" i="19"/>
  <c r="S104" i="19" s="1"/>
  <c r="M321" i="1"/>
  <c r="S321" i="1" s="1"/>
  <c r="M97" i="19"/>
  <c r="S97" i="19" s="1"/>
  <c r="M48" i="1"/>
  <c r="S48" i="1" s="1"/>
  <c r="M48" i="19"/>
  <c r="S48" i="19" s="1"/>
  <c r="M158" i="19"/>
  <c r="M158" i="1"/>
  <c r="M73" i="1"/>
  <c r="S73" i="1" s="1"/>
  <c r="M73" i="19"/>
  <c r="S73" i="19" s="1"/>
  <c r="M254" i="1"/>
  <c r="S254" i="1" s="1"/>
  <c r="M254" i="19"/>
  <c r="S254" i="19" s="1"/>
  <c r="L14" i="2"/>
  <c r="M146" i="19"/>
  <c r="S146" i="19" s="1"/>
  <c r="M281" i="1"/>
  <c r="S281" i="1" s="1"/>
  <c r="M281" i="19"/>
  <c r="S281" i="19" s="1"/>
  <c r="M9" i="1"/>
  <c r="S9" i="1" s="1"/>
  <c r="M9" i="19"/>
  <c r="S9" i="19" s="1"/>
  <c r="M54" i="19"/>
  <c r="S54" i="19" s="1"/>
  <c r="M54" i="1"/>
  <c r="S54" i="1" s="1"/>
  <c r="M347" i="1"/>
  <c r="S347" i="1" s="1"/>
  <c r="M347" i="19"/>
  <c r="S347" i="19" s="1"/>
  <c r="M61" i="19"/>
  <c r="S61" i="19" s="1"/>
  <c r="M406" i="1"/>
  <c r="S406" i="1" s="1"/>
  <c r="M406" i="19"/>
  <c r="S406" i="19" s="1"/>
  <c r="M44" i="19"/>
  <c r="S44" i="19" s="1"/>
  <c r="M44" i="1"/>
  <c r="S44" i="1" s="1"/>
  <c r="M137" i="19"/>
  <c r="S137" i="19" s="1"/>
  <c r="M137" i="1"/>
  <c r="S137" i="1" s="1"/>
  <c r="M407" i="19"/>
  <c r="S407" i="19" s="1"/>
  <c r="M407" i="1"/>
  <c r="S407" i="1" s="1"/>
  <c r="M91" i="1"/>
  <c r="S91" i="1" s="1"/>
  <c r="M91" i="19"/>
  <c r="S91" i="19" s="1"/>
  <c r="M243" i="19"/>
  <c r="M153" i="19"/>
  <c r="M153" i="1"/>
  <c r="M287" i="1"/>
  <c r="S287" i="1" s="1"/>
  <c r="M287" i="19"/>
  <c r="S287" i="19" s="1"/>
  <c r="M197" i="19"/>
  <c r="S197" i="19" s="1"/>
  <c r="M242" i="1"/>
  <c r="S242" i="1" s="1"/>
  <c r="M242" i="19"/>
  <c r="S242" i="19" s="1"/>
  <c r="M223" i="19"/>
  <c r="M223" i="1"/>
  <c r="M133" i="19"/>
  <c r="M133" i="1"/>
  <c r="M317" i="19"/>
  <c r="S317" i="19" s="1"/>
  <c r="M236" i="19"/>
  <c r="S236" i="19" s="1"/>
  <c r="M342" i="19"/>
  <c r="M342" i="1"/>
  <c r="M258" i="19"/>
  <c r="S258" i="19" s="1"/>
  <c r="M141" i="19"/>
  <c r="S141" i="19" s="1"/>
  <c r="M68" i="1"/>
  <c r="M68" i="19"/>
  <c r="M392" i="19"/>
  <c r="S392" i="19" s="1"/>
  <c r="M340" i="19"/>
  <c r="M231" i="19"/>
  <c r="S231" i="19" s="1"/>
  <c r="M70" i="19"/>
  <c r="M105" i="19"/>
  <c r="S105" i="19" s="1"/>
  <c r="M240" i="1"/>
  <c r="S240" i="1" s="1"/>
  <c r="M240" i="19"/>
  <c r="S240" i="19" s="1"/>
  <c r="M393" i="19"/>
  <c r="S393" i="19" s="1"/>
  <c r="M393" i="1"/>
  <c r="S393" i="1" s="1"/>
  <c r="M344" i="1"/>
  <c r="S344" i="1" s="1"/>
  <c r="M209" i="19"/>
  <c r="S209" i="19" s="1"/>
  <c r="M286" i="1"/>
  <c r="S286" i="1" s="1"/>
  <c r="M196" i="19"/>
  <c r="S196" i="19" s="1"/>
  <c r="M241" i="19"/>
  <c r="S241" i="19" s="1"/>
  <c r="M376" i="19"/>
  <c r="S376" i="19" s="1"/>
  <c r="M106" i="19"/>
  <c r="S106" i="19" s="1"/>
  <c r="M385" i="19"/>
  <c r="M282" i="19"/>
  <c r="S282" i="19" s="1"/>
  <c r="M350" i="19"/>
  <c r="S350" i="19" s="1"/>
  <c r="K79" i="2"/>
  <c r="M79" i="2" s="1"/>
  <c r="M385" i="1"/>
  <c r="M115" i="1"/>
  <c r="L18" i="2"/>
  <c r="L222" i="1"/>
  <c r="L222" i="19"/>
  <c r="K222" i="19"/>
  <c r="K222" i="1"/>
  <c r="L357" i="19"/>
  <c r="L357" i="1"/>
  <c r="K357" i="19"/>
  <c r="K357" i="1"/>
  <c r="L359" i="19"/>
  <c r="L359" i="1"/>
  <c r="L315" i="1"/>
  <c r="L315" i="19"/>
  <c r="K405" i="19"/>
  <c r="K405" i="1"/>
  <c r="M382" i="1"/>
  <c r="S382" i="1" s="1"/>
  <c r="K72" i="2"/>
  <c r="M72" i="2" s="1"/>
  <c r="M250" i="1"/>
  <c r="L49" i="2"/>
  <c r="K51" i="2"/>
  <c r="M193" i="1"/>
  <c r="S193" i="1" s="1"/>
  <c r="K135" i="1"/>
  <c r="K135" i="19"/>
  <c r="K359" i="19"/>
  <c r="K359" i="1"/>
  <c r="L134" i="1"/>
  <c r="M134" i="1" s="1"/>
  <c r="S134" i="1" s="1"/>
  <c r="L134" i="19"/>
  <c r="M134" i="19" s="1"/>
  <c r="S134" i="19" s="1"/>
  <c r="M341" i="1"/>
  <c r="M198" i="1"/>
  <c r="K65" i="2"/>
  <c r="M207" i="1"/>
  <c r="M207" i="19"/>
  <c r="M157" i="1"/>
  <c r="S157" i="1" s="1"/>
  <c r="M124" i="1"/>
  <c r="S124" i="1" s="1"/>
  <c r="M124" i="19"/>
  <c r="S124" i="19" s="1"/>
  <c r="M403" i="19"/>
  <c r="M403" i="1"/>
  <c r="M230" i="19"/>
  <c r="S230" i="19" s="1"/>
  <c r="M410" i="19"/>
  <c r="S410" i="19" s="1"/>
  <c r="M67" i="19"/>
  <c r="M67" i="1"/>
  <c r="M338" i="1"/>
  <c r="M338" i="19"/>
  <c r="M228" i="1"/>
  <c r="S228" i="1" s="1"/>
  <c r="M228" i="19"/>
  <c r="S228" i="19" s="1"/>
  <c r="M51" i="19"/>
  <c r="S51" i="19" s="1"/>
  <c r="M233" i="19"/>
  <c r="S233" i="19" s="1"/>
  <c r="M211" i="19"/>
  <c r="S211" i="19" s="1"/>
  <c r="M41" i="19"/>
  <c r="S41" i="19" s="1"/>
  <c r="M41" i="1"/>
  <c r="S41" i="1" s="1"/>
  <c r="M178" i="1"/>
  <c r="M178" i="19"/>
  <c r="M98" i="19"/>
  <c r="S98" i="19" s="1"/>
  <c r="M148" i="19"/>
  <c r="S148" i="19" s="1"/>
  <c r="M328" i="19"/>
  <c r="S328" i="19" s="1"/>
  <c r="M102" i="19"/>
  <c r="S102" i="19" s="1"/>
  <c r="M323" i="19"/>
  <c r="S323" i="19" s="1"/>
  <c r="M292" i="1"/>
  <c r="S292" i="1" s="1"/>
  <c r="M292" i="19"/>
  <c r="S292" i="19" s="1"/>
  <c r="L11" i="2"/>
  <c r="M235" i="19"/>
  <c r="S235" i="19" s="1"/>
  <c r="M8" i="19"/>
  <c r="S8" i="19" s="1"/>
  <c r="M170" i="1"/>
  <c r="S170" i="1" s="1"/>
  <c r="M170" i="19"/>
  <c r="S170" i="19" s="1"/>
  <c r="M122" i="19"/>
  <c r="S122" i="19" s="1"/>
  <c r="M167" i="19"/>
  <c r="S167" i="19" s="1"/>
  <c r="M300" i="19"/>
  <c r="S300" i="19" s="1"/>
  <c r="M300" i="1"/>
  <c r="S300" i="1" s="1"/>
  <c r="M30" i="1"/>
  <c r="S30" i="1" s="1"/>
  <c r="M30" i="19"/>
  <c r="S30" i="19" s="1"/>
  <c r="M215" i="1"/>
  <c r="S215" i="1" s="1"/>
  <c r="M215" i="19"/>
  <c r="S215" i="19" s="1"/>
  <c r="M33" i="19"/>
  <c r="S33" i="19" s="1"/>
  <c r="M33" i="1"/>
  <c r="S33" i="1" s="1"/>
  <c r="M195" i="19"/>
  <c r="S195" i="19" s="1"/>
  <c r="M71" i="19"/>
  <c r="L23" i="2"/>
  <c r="M391" i="19"/>
  <c r="S391" i="19" s="1"/>
  <c r="M301" i="19"/>
  <c r="S301" i="19" s="1"/>
  <c r="M341" i="19"/>
  <c r="K47" i="2"/>
  <c r="M332" i="1"/>
  <c r="S332" i="1" s="1"/>
  <c r="M369" i="1"/>
  <c r="S369" i="1" s="1"/>
  <c r="K68" i="2"/>
  <c r="M68" i="2" s="1"/>
  <c r="K19" i="2"/>
  <c r="M62" i="1"/>
  <c r="M197" i="1"/>
  <c r="S197" i="1" s="1"/>
  <c r="L47" i="2"/>
  <c r="M7" i="19"/>
  <c r="S7" i="19" s="1"/>
  <c r="K11" i="2"/>
  <c r="M143" i="19"/>
  <c r="S143" i="19" s="1"/>
  <c r="M143" i="1"/>
  <c r="S143" i="1" s="1"/>
  <c r="M198" i="19"/>
  <c r="L50" i="2"/>
  <c r="M377" i="19"/>
  <c r="S377" i="19" s="1"/>
  <c r="M120" i="19"/>
  <c r="S120" i="19" s="1"/>
  <c r="M210" i="19"/>
  <c r="S210" i="19" s="1"/>
  <c r="M210" i="1"/>
  <c r="S210" i="1" s="1"/>
  <c r="M211" i="1"/>
  <c r="S211" i="1" s="1"/>
  <c r="M346" i="1"/>
  <c r="S346" i="1" s="1"/>
  <c r="M346" i="19"/>
  <c r="S346" i="19" s="1"/>
  <c r="M345" i="19"/>
  <c r="S345" i="19" s="1"/>
  <c r="M203" i="19"/>
  <c r="M176" i="19"/>
  <c r="M176" i="1"/>
  <c r="M27" i="1"/>
  <c r="S27" i="1" s="1"/>
  <c r="M27" i="19"/>
  <c r="S27" i="19" s="1"/>
  <c r="M165" i="19"/>
  <c r="S165" i="19" s="1"/>
  <c r="M165" i="1"/>
  <c r="S165" i="1" s="1"/>
  <c r="M28" i="1"/>
  <c r="S28" i="1" s="1"/>
  <c r="M28" i="19"/>
  <c r="S28" i="19" s="1"/>
  <c r="M390" i="19"/>
  <c r="S390" i="19" s="1"/>
  <c r="M255" i="19"/>
  <c r="S255" i="19" s="1"/>
  <c r="M248" i="19"/>
  <c r="M248" i="1"/>
  <c r="M21" i="19"/>
  <c r="M21" i="1"/>
  <c r="M191" i="1"/>
  <c r="S191" i="1" s="1"/>
  <c r="M191" i="19"/>
  <c r="S191" i="19" s="1"/>
  <c r="M326" i="1"/>
  <c r="S326" i="1" s="1"/>
  <c r="M326" i="19"/>
  <c r="S326" i="19" s="1"/>
  <c r="M411" i="19"/>
  <c r="S411" i="19" s="1"/>
  <c r="M319" i="1"/>
  <c r="S319" i="1" s="1"/>
  <c r="M319" i="19"/>
  <c r="S319" i="19" s="1"/>
  <c r="M394" i="19"/>
  <c r="S394" i="19" s="1"/>
  <c r="M259" i="19"/>
  <c r="S259" i="19" s="1"/>
  <c r="M304" i="19"/>
  <c r="S304" i="19" s="1"/>
  <c r="M304" i="1"/>
  <c r="S304" i="1" s="1"/>
  <c r="M7" i="1"/>
  <c r="S7" i="1" s="1"/>
  <c r="L135" i="19"/>
  <c r="L135" i="1"/>
  <c r="M10" i="1"/>
  <c r="S10" i="1" s="1"/>
  <c r="K17" i="2"/>
  <c r="K84" i="2"/>
  <c r="M84" i="2" s="1"/>
  <c r="M387" i="1"/>
  <c r="M370" i="1"/>
  <c r="S370" i="1" s="1"/>
  <c r="K70" i="2"/>
  <c r="M70" i="2" s="1"/>
  <c r="M373" i="1"/>
  <c r="S373" i="1" s="1"/>
  <c r="K83" i="2"/>
  <c r="M83" i="2" s="1"/>
  <c r="K269" i="19"/>
  <c r="K269" i="1"/>
  <c r="L269" i="19"/>
  <c r="L269" i="1"/>
  <c r="L312" i="1"/>
  <c r="M312" i="1" s="1"/>
  <c r="L312" i="19"/>
  <c r="M312" i="19" s="1"/>
  <c r="K86" i="2"/>
  <c r="M86" i="2" s="1"/>
  <c r="M375" i="1"/>
  <c r="S375" i="1" s="1"/>
  <c r="K81" i="2"/>
  <c r="M81" i="2" s="1"/>
  <c r="M374" i="1"/>
  <c r="S374" i="1" s="1"/>
  <c r="K41" i="2"/>
  <c r="M201" i="1"/>
  <c r="S201" i="1" s="1"/>
  <c r="K10" i="2"/>
  <c r="M156" i="1"/>
  <c r="S156" i="1" s="1"/>
  <c r="L80" i="2"/>
  <c r="M80" i="2" s="1"/>
  <c r="M378" i="1"/>
  <c r="L53" i="2"/>
  <c r="M53" i="2" s="1"/>
  <c r="M194" i="1"/>
  <c r="S194" i="1" s="1"/>
  <c r="K25" i="2"/>
  <c r="M25" i="2" s="1"/>
  <c r="M104" i="1"/>
  <c r="S104" i="1" s="1"/>
  <c r="K77" i="2"/>
  <c r="M77" i="2" s="1"/>
  <c r="M377" i="1"/>
  <c r="S377" i="1" s="1"/>
  <c r="K224" i="1"/>
  <c r="K224" i="19"/>
  <c r="K42" i="19"/>
  <c r="K42" i="1"/>
  <c r="M140" i="1"/>
  <c r="S140" i="1" s="1"/>
  <c r="L34" i="2"/>
  <c r="M34" i="2" s="1"/>
  <c r="K64" i="2"/>
  <c r="M230" i="1"/>
  <c r="S230" i="1" s="1"/>
  <c r="M203" i="1"/>
  <c r="K43" i="2"/>
  <c r="K73" i="2"/>
  <c r="M73" i="2" s="1"/>
  <c r="M383" i="1"/>
  <c r="L402" i="1"/>
  <c r="L402" i="19"/>
  <c r="M402" i="19" s="1"/>
  <c r="K132" i="1"/>
  <c r="K132" i="19"/>
  <c r="K88" i="19"/>
  <c r="K88" i="1"/>
  <c r="M88" i="1" s="1"/>
  <c r="S88" i="1" s="1"/>
  <c r="L48" i="2"/>
  <c r="M192" i="1"/>
  <c r="S192" i="1" s="1"/>
  <c r="M189" i="1"/>
  <c r="S189" i="1" s="1"/>
  <c r="K38" i="2"/>
  <c r="L224" i="1"/>
  <c r="L224" i="19"/>
  <c r="M66" i="19"/>
  <c r="S66" i="19" s="1"/>
  <c r="K54" i="2"/>
  <c r="M120" i="1"/>
  <c r="S120" i="1" s="1"/>
  <c r="L43" i="2"/>
  <c r="K59" i="2"/>
  <c r="M345" i="1"/>
  <c r="S345" i="1" s="1"/>
  <c r="M303" i="19"/>
  <c r="S303" i="19" s="1"/>
  <c r="M303" i="1"/>
  <c r="S303" i="1" s="1"/>
  <c r="M125" i="1"/>
  <c r="S125" i="1" s="1"/>
  <c r="M125" i="19"/>
  <c r="S125" i="19" s="1"/>
  <c r="M47" i="19"/>
  <c r="S47" i="19" s="1"/>
  <c r="M47" i="1"/>
  <c r="S47" i="1" s="1"/>
  <c r="L27" i="2"/>
  <c r="L38" i="2"/>
  <c r="M234" i="19"/>
  <c r="S234" i="19" s="1"/>
  <c r="M8" i="2"/>
  <c r="L46" i="2"/>
  <c r="M74" i="19"/>
  <c r="S74" i="19" s="1"/>
  <c r="M212" i="19"/>
  <c r="S212" i="19" s="1"/>
  <c r="L12" i="2"/>
  <c r="M213" i="19"/>
  <c r="S213" i="19" s="1"/>
  <c r="M213" i="1"/>
  <c r="S213" i="1" s="1"/>
  <c r="M266" i="19"/>
  <c r="M266" i="1"/>
  <c r="M311" i="1"/>
  <c r="M311" i="19"/>
  <c r="M127" i="19"/>
  <c r="S127" i="19" s="1"/>
  <c r="M127" i="1"/>
  <c r="S127" i="1" s="1"/>
  <c r="M309" i="19"/>
  <c r="S309" i="19" s="1"/>
  <c r="M309" i="1"/>
  <c r="S309" i="1" s="1"/>
  <c r="M308" i="1"/>
  <c r="S308" i="1" s="1"/>
  <c r="M308" i="19"/>
  <c r="S308" i="19" s="1"/>
  <c r="M82" i="1"/>
  <c r="S82" i="1" s="1"/>
  <c r="M82" i="19"/>
  <c r="S82" i="19" s="1"/>
  <c r="M306" i="1"/>
  <c r="S306" i="1" s="1"/>
  <c r="M306" i="19"/>
  <c r="S306" i="19" s="1"/>
  <c r="M29" i="19"/>
  <c r="S29" i="19" s="1"/>
  <c r="M29" i="1"/>
  <c r="S29" i="1" s="1"/>
  <c r="M171" i="19"/>
  <c r="S171" i="19" s="1"/>
  <c r="M171" i="1"/>
  <c r="S171" i="1" s="1"/>
  <c r="M387" i="19"/>
  <c r="M66" i="1"/>
  <c r="S66" i="1" s="1"/>
  <c r="M246" i="1"/>
  <c r="S246" i="1" s="1"/>
  <c r="L41" i="2"/>
  <c r="M19" i="1"/>
  <c r="S19" i="1" s="1"/>
  <c r="L10" i="2"/>
  <c r="M60" i="1"/>
  <c r="S60" i="1" s="1"/>
  <c r="K13" i="2"/>
  <c r="K314" i="19"/>
  <c r="K314" i="1"/>
  <c r="K404" i="1"/>
  <c r="M404" i="1" s="1"/>
  <c r="S404" i="1" s="1"/>
  <c r="K404" i="19"/>
  <c r="M404" i="19" s="1"/>
  <c r="S404" i="19" s="1"/>
  <c r="L314" i="1"/>
  <c r="L314" i="19"/>
  <c r="K94" i="2"/>
  <c r="M94" i="2" s="1"/>
  <c r="M410" i="1"/>
  <c r="S410" i="1" s="1"/>
  <c r="M335" i="1"/>
  <c r="S335" i="1" s="1"/>
  <c r="K39" i="2"/>
  <c r="M39" i="2" s="1"/>
  <c r="M97" i="1"/>
  <c r="S97" i="1" s="1"/>
  <c r="K5" i="2"/>
  <c r="L30" i="2"/>
  <c r="M169" i="1"/>
  <c r="S169" i="1" s="1"/>
  <c r="M78" i="1"/>
  <c r="S78" i="1" s="1"/>
  <c r="K30" i="2"/>
  <c r="M259" i="1"/>
  <c r="S259" i="1" s="1"/>
  <c r="K60" i="2"/>
  <c r="L19" i="2"/>
  <c r="L57" i="2"/>
  <c r="M234" i="1"/>
  <c r="S234" i="1" s="1"/>
  <c r="M20" i="19"/>
  <c r="S20" i="19" s="1"/>
  <c r="M20" i="1"/>
  <c r="S20" i="1" s="1"/>
  <c r="M395" i="1"/>
  <c r="S395" i="1" s="1"/>
  <c r="M395" i="19"/>
  <c r="S395" i="19" s="1"/>
  <c r="M184" i="19"/>
  <c r="S184" i="19" s="1"/>
  <c r="M184" i="1"/>
  <c r="S184" i="1" s="1"/>
  <c r="M204" i="19"/>
  <c r="M159" i="19"/>
  <c r="M75" i="19"/>
  <c r="S75" i="19" s="1"/>
  <c r="M121" i="19"/>
  <c r="S121" i="19" s="1"/>
  <c r="M401" i="1"/>
  <c r="M401" i="19"/>
  <c r="M261" i="1"/>
  <c r="S261" i="1" s="1"/>
  <c r="M261" i="19"/>
  <c r="S261" i="19" s="1"/>
  <c r="M36" i="19"/>
  <c r="S36" i="19" s="1"/>
  <c r="M36" i="1"/>
  <c r="S36" i="1" s="1"/>
  <c r="M80" i="1"/>
  <c r="S80" i="1" s="1"/>
  <c r="M80" i="19"/>
  <c r="S80" i="19" s="1"/>
  <c r="M146" i="1"/>
  <c r="S146" i="1" s="1"/>
  <c r="K14" i="2"/>
  <c r="L16" i="2"/>
  <c r="M61" i="1"/>
  <c r="S61" i="1" s="1"/>
  <c r="M243" i="1"/>
  <c r="K50" i="2"/>
  <c r="M152" i="1"/>
  <c r="S152" i="1" s="1"/>
  <c r="K16" i="2"/>
  <c r="L5" i="2"/>
  <c r="M51" i="1"/>
  <c r="S51" i="1" s="1"/>
  <c r="M233" i="1"/>
  <c r="S233" i="1" s="1"/>
  <c r="K36" i="2"/>
  <c r="M101" i="1"/>
  <c r="S101" i="1" s="1"/>
  <c r="L17" i="2"/>
  <c r="L43" i="19"/>
  <c r="M43" i="19" s="1"/>
  <c r="S43" i="19" s="1"/>
  <c r="L43" i="1"/>
  <c r="M43" i="1" s="1"/>
  <c r="S43" i="1" s="1"/>
  <c r="K315" i="1"/>
  <c r="K315" i="19"/>
  <c r="M390" i="1"/>
  <c r="S390" i="1" s="1"/>
  <c r="K87" i="2"/>
  <c r="M87" i="2" s="1"/>
  <c r="K75" i="2"/>
  <c r="M75" i="2" s="1"/>
  <c r="M371" i="1"/>
  <c r="S371" i="1" s="1"/>
  <c r="L78" i="2"/>
  <c r="M78" i="2" s="1"/>
  <c r="M372" i="1"/>
  <c r="S372" i="1" s="1"/>
  <c r="M323" i="1"/>
  <c r="S323" i="1" s="1"/>
  <c r="L36" i="2"/>
  <c r="L40" i="2"/>
  <c r="M190" i="1"/>
  <c r="S190" i="1" s="1"/>
  <c r="M235" i="1"/>
  <c r="S235" i="1" s="1"/>
  <c r="K40" i="2"/>
  <c r="M71" i="1"/>
  <c r="K23" i="2"/>
  <c r="M99" i="1"/>
  <c r="S99" i="1" s="1"/>
  <c r="L9" i="2"/>
  <c r="M260" i="19"/>
  <c r="S260" i="19" s="1"/>
  <c r="L45" i="2"/>
  <c r="M265" i="19"/>
  <c r="S265" i="19" s="1"/>
  <c r="M216" i="19"/>
  <c r="S216" i="19" s="1"/>
  <c r="M220" i="19"/>
  <c r="S220" i="19" s="1"/>
  <c r="M175" i="19"/>
  <c r="S175" i="19" s="1"/>
  <c r="M264" i="1"/>
  <c r="S264" i="1" s="1"/>
  <c r="M264" i="19"/>
  <c r="S264" i="19" s="1"/>
  <c r="M174" i="1"/>
  <c r="S174" i="1" s="1"/>
  <c r="M174" i="19"/>
  <c r="S174" i="19" s="1"/>
  <c r="M175" i="1"/>
  <c r="S175" i="1" s="1"/>
  <c r="M252" i="19"/>
  <c r="M297" i="1"/>
  <c r="M297" i="19"/>
  <c r="M131" i="1"/>
  <c r="M34" i="1"/>
  <c r="S34" i="1" s="1"/>
  <c r="M81" i="1"/>
  <c r="S81" i="1" s="1"/>
  <c r="M310" i="19"/>
  <c r="S310" i="19" s="1"/>
  <c r="M84" i="1"/>
  <c r="S84" i="1" s="1"/>
  <c r="M265" i="1"/>
  <c r="S265" i="1" s="1"/>
  <c r="M173" i="1"/>
  <c r="S173" i="1" s="1"/>
  <c r="M173" i="19"/>
  <c r="S173" i="19" s="1"/>
  <c r="M218" i="1"/>
  <c r="S218" i="1" s="1"/>
  <c r="M218" i="19"/>
  <c r="S218" i="19" s="1"/>
  <c r="M35" i="19"/>
  <c r="S35" i="19" s="1"/>
  <c r="M35" i="1"/>
  <c r="S35" i="1" s="1"/>
  <c r="M131" i="19"/>
  <c r="M34" i="19"/>
  <c r="S34" i="19" s="1"/>
  <c r="M81" i="19"/>
  <c r="S81" i="19" s="1"/>
  <c r="M310" i="1"/>
  <c r="S310" i="1" s="1"/>
  <c r="M84" i="19"/>
  <c r="S84" i="19" s="1"/>
  <c r="M260" i="1"/>
  <c r="S260" i="1" s="1"/>
  <c r="M220" i="1"/>
  <c r="S220" i="1" s="1"/>
  <c r="K270" i="19"/>
  <c r="M270" i="19" s="1"/>
  <c r="S270" i="19" s="1"/>
  <c r="K270" i="1"/>
  <c r="M255" i="1"/>
  <c r="S255" i="1" s="1"/>
  <c r="K57" i="2"/>
  <c r="M236" i="1"/>
  <c r="S236" i="1" s="1"/>
  <c r="K45" i="2"/>
  <c r="K7" i="2"/>
  <c r="M98" i="1"/>
  <c r="S98" i="1" s="1"/>
  <c r="M148" i="1"/>
  <c r="S148" i="1" s="1"/>
  <c r="L20" i="2"/>
  <c r="M328" i="1"/>
  <c r="S328" i="1" s="1"/>
  <c r="L51" i="2"/>
  <c r="M102" i="1"/>
  <c r="S102" i="1" s="1"/>
  <c r="K20" i="2"/>
  <c r="M202" i="1"/>
  <c r="S202" i="1" s="1"/>
  <c r="L42" i="2"/>
  <c r="K9" i="2"/>
  <c r="M8" i="1"/>
  <c r="S8" i="1" s="1"/>
  <c r="M327" i="1"/>
  <c r="S327" i="1" s="1"/>
  <c r="K48" i="2"/>
  <c r="L35" i="2"/>
  <c r="M141" i="1"/>
  <c r="S141" i="1" s="1"/>
  <c r="K95" i="2"/>
  <c r="M95" i="2" s="1"/>
  <c r="M411" i="1"/>
  <c r="S411" i="1" s="1"/>
  <c r="M74" i="1"/>
  <c r="S74" i="1" s="1"/>
  <c r="K27" i="2"/>
  <c r="L65" i="2"/>
  <c r="M231" i="1"/>
  <c r="S231" i="1" s="1"/>
  <c r="M95" i="1"/>
  <c r="S95" i="1" s="1"/>
  <c r="K35" i="2"/>
  <c r="M113" i="1"/>
  <c r="K12" i="2"/>
  <c r="K92" i="2"/>
  <c r="K89" i="2"/>
  <c r="M89" i="2" s="1"/>
  <c r="M392" i="1"/>
  <c r="S392" i="1" s="1"/>
  <c r="L42" i="19"/>
  <c r="L42" i="1"/>
  <c r="K179" i="19"/>
  <c r="K179" i="1"/>
  <c r="K76" i="2"/>
  <c r="M76" i="2" s="1"/>
  <c r="M384" i="1"/>
  <c r="M204" i="1"/>
  <c r="K46" i="2"/>
  <c r="K15" i="2"/>
  <c r="M159" i="1"/>
  <c r="K82" i="2"/>
  <c r="M82" i="2" s="1"/>
  <c r="M386" i="1"/>
  <c r="K52" i="2"/>
  <c r="M206" i="1"/>
  <c r="L267" i="19"/>
  <c r="L267" i="1"/>
  <c r="L40" i="19"/>
  <c r="L40" i="1"/>
  <c r="L177" i="1"/>
  <c r="L177" i="19"/>
  <c r="M177" i="19" s="1"/>
  <c r="K40" i="1"/>
  <c r="K40" i="19"/>
  <c r="M105" i="1"/>
  <c r="S105" i="1" s="1"/>
  <c r="L22" i="2"/>
  <c r="K56" i="2"/>
  <c r="M195" i="1"/>
  <c r="S195" i="1" s="1"/>
  <c r="L54" i="2"/>
  <c r="M252" i="1"/>
  <c r="K26" i="2"/>
  <c r="M149" i="1"/>
  <c r="S149" i="1" s="1"/>
  <c r="M121" i="1"/>
  <c r="S121" i="1" s="1"/>
  <c r="L28" i="2"/>
  <c r="M391" i="1"/>
  <c r="S391" i="1" s="1"/>
  <c r="K88" i="2"/>
  <c r="M88" i="2" s="1"/>
  <c r="K90" i="2"/>
  <c r="M90" i="2" s="1"/>
  <c r="M394" i="1"/>
  <c r="S394" i="1" s="1"/>
  <c r="M216" i="1"/>
  <c r="S216" i="1" s="1"/>
  <c r="K61" i="2"/>
  <c r="M396" i="1"/>
  <c r="S396" i="1" s="1"/>
  <c r="K91" i="2"/>
  <c r="M91" i="2" s="1"/>
  <c r="M256" i="1"/>
  <c r="S256" i="1" s="1"/>
  <c r="L58" i="2"/>
  <c r="L15" i="2"/>
  <c r="M271" i="19"/>
  <c r="S271" i="19" s="1"/>
  <c r="M271" i="1"/>
  <c r="S271" i="1" s="1"/>
  <c r="M136" i="19"/>
  <c r="S136" i="19" s="1"/>
  <c r="M136" i="1"/>
  <c r="S136" i="1" s="1"/>
  <c r="M316" i="19"/>
  <c r="S316" i="19" s="1"/>
  <c r="M316" i="1"/>
  <c r="S316" i="1" s="1"/>
  <c r="M114" i="1"/>
  <c r="M114" i="19"/>
  <c r="M339" i="19"/>
  <c r="M339" i="1"/>
  <c r="M386" i="19"/>
  <c r="L21" i="2"/>
  <c r="M206" i="19"/>
  <c r="M296" i="19"/>
  <c r="M296" i="1"/>
  <c r="L52" i="2"/>
  <c r="L56" i="2"/>
  <c r="M354" i="1"/>
  <c r="S354" i="1" s="1"/>
  <c r="M25" i="1"/>
  <c r="M25" i="19"/>
  <c r="L26" i="2"/>
  <c r="M352" i="19"/>
  <c r="S352" i="19" s="1"/>
  <c r="M356" i="19"/>
  <c r="M39" i="1"/>
  <c r="M351" i="19"/>
  <c r="S351" i="19" s="1"/>
  <c r="M263" i="19"/>
  <c r="S263" i="19" s="1"/>
  <c r="M398" i="19"/>
  <c r="S398" i="19" s="1"/>
  <c r="M307" i="19"/>
  <c r="S307" i="19" s="1"/>
  <c r="M354" i="19"/>
  <c r="S354" i="19" s="1"/>
  <c r="M221" i="19"/>
  <c r="M221" i="1"/>
  <c r="M85" i="19"/>
  <c r="M85" i="1"/>
  <c r="L60" i="2"/>
  <c r="M352" i="1"/>
  <c r="S352" i="1" s="1"/>
  <c r="M356" i="1"/>
  <c r="M39" i="19"/>
  <c r="M351" i="1"/>
  <c r="S351" i="1" s="1"/>
  <c r="M263" i="1"/>
  <c r="S263" i="1" s="1"/>
  <c r="M398" i="1"/>
  <c r="S398" i="1" s="1"/>
  <c r="M307" i="1"/>
  <c r="S307" i="1" s="1"/>
  <c r="M396" i="19"/>
  <c r="S396" i="19" s="1"/>
  <c r="M353" i="1"/>
  <c r="S353" i="1" s="1"/>
  <c r="M353" i="19"/>
  <c r="S353" i="19" s="1"/>
  <c r="L31" i="2"/>
  <c r="L61" i="2"/>
  <c r="M130" i="19"/>
  <c r="S130" i="19" s="1"/>
  <c r="M130" i="1"/>
  <c r="S130" i="1" s="1"/>
  <c r="M262" i="19"/>
  <c r="S262" i="19" s="1"/>
  <c r="M262" i="1"/>
  <c r="S262" i="1" s="1"/>
  <c r="M129" i="1"/>
  <c r="S129" i="1" s="1"/>
  <c r="M129" i="19"/>
  <c r="S129" i="19" s="1"/>
  <c r="M83" i="19"/>
  <c r="S83" i="19" s="1"/>
  <c r="M83" i="1"/>
  <c r="S83" i="1" s="1"/>
  <c r="M400" i="19"/>
  <c r="S400" i="19" s="1"/>
  <c r="M400" i="1"/>
  <c r="S400" i="1" s="1"/>
  <c r="M219" i="1"/>
  <c r="S219" i="1" s="1"/>
  <c r="M219" i="19"/>
  <c r="S219" i="19" s="1"/>
  <c r="M122" i="1"/>
  <c r="S122" i="1" s="1"/>
  <c r="K29" i="2"/>
  <c r="L29" i="2"/>
  <c r="M167" i="1"/>
  <c r="S167" i="1" s="1"/>
  <c r="L59" i="2"/>
  <c r="M212" i="1"/>
  <c r="S212" i="1" s="1"/>
  <c r="M57" i="1"/>
  <c r="S57" i="1" s="1"/>
  <c r="K22" i="2"/>
  <c r="M23" i="1"/>
  <c r="K18" i="2"/>
  <c r="M340" i="1"/>
  <c r="K49" i="2"/>
  <c r="M70" i="1"/>
  <c r="K21" i="2"/>
  <c r="M75" i="1"/>
  <c r="S75" i="1" s="1"/>
  <c r="K28" i="2"/>
  <c r="M301" i="1"/>
  <c r="S301" i="1" s="1"/>
  <c r="K58" i="2"/>
  <c r="M126" i="1"/>
  <c r="S126" i="1" s="1"/>
  <c r="K31" i="2"/>
  <c r="M24" i="2" l="1"/>
  <c r="M359" i="19"/>
  <c r="S359" i="19" s="1"/>
  <c r="M40" i="2"/>
  <c r="M30" i="2"/>
  <c r="M16" i="2"/>
  <c r="M180" i="19"/>
  <c r="S180" i="19" s="1"/>
  <c r="M180" i="1"/>
  <c r="S180" i="1" s="1"/>
  <c r="M40" i="19"/>
  <c r="M357" i="1"/>
  <c r="M357" i="19"/>
  <c r="M20" i="2"/>
  <c r="M55" i="2"/>
  <c r="M88" i="19"/>
  <c r="S88" i="19" s="1"/>
  <c r="M35" i="2"/>
  <c r="M43" i="2"/>
  <c r="M225" i="1"/>
  <c r="S225" i="1" s="1"/>
  <c r="K33" i="2"/>
  <c r="M132" i="19"/>
  <c r="M132" i="1"/>
  <c r="M225" i="19"/>
  <c r="S225" i="19" s="1"/>
  <c r="M359" i="1"/>
  <c r="S359" i="1" s="1"/>
  <c r="M405" i="19"/>
  <c r="S405" i="19" s="1"/>
  <c r="M222" i="19"/>
  <c r="M135" i="19"/>
  <c r="S135" i="19" s="1"/>
  <c r="M44" i="2"/>
  <c r="F51" i="15"/>
  <c r="F51" i="5"/>
  <c r="F50" i="11"/>
  <c r="F59" i="5"/>
  <c r="F59" i="15"/>
  <c r="F58" i="11"/>
  <c r="F19" i="15"/>
  <c r="F19" i="5"/>
  <c r="F18" i="11"/>
  <c r="L63" i="2"/>
  <c r="M11" i="2"/>
  <c r="F4" i="11"/>
  <c r="AL4" i="11" s="1"/>
  <c r="AL7" i="11" s="1"/>
  <c r="M7" i="2"/>
  <c r="M179" i="1"/>
  <c r="S179" i="1" s="1"/>
  <c r="M47" i="2"/>
  <c r="M13" i="2"/>
  <c r="M42" i="2"/>
  <c r="M267" i="19"/>
  <c r="M86" i="1"/>
  <c r="M19" i="2"/>
  <c r="M14" i="2"/>
  <c r="M23" i="2"/>
  <c r="M179" i="19"/>
  <c r="S179" i="19" s="1"/>
  <c r="M86" i="19"/>
  <c r="M64" i="2"/>
  <c r="M38" i="2"/>
  <c r="M50" i="2"/>
  <c r="M5" i="2"/>
  <c r="M17" i="2"/>
  <c r="M315" i="1"/>
  <c r="S315" i="1" s="1"/>
  <c r="M315" i="19"/>
  <c r="S315" i="19" s="1"/>
  <c r="F11" i="5"/>
  <c r="F11" i="15"/>
  <c r="F10" i="11"/>
  <c r="M224" i="1"/>
  <c r="S224" i="1" s="1"/>
  <c r="M224" i="19"/>
  <c r="S224" i="19" s="1"/>
  <c r="M51" i="2"/>
  <c r="M65" i="2"/>
  <c r="M54" i="2"/>
  <c r="M60" i="2"/>
  <c r="M18" i="2"/>
  <c r="M49" i="2"/>
  <c r="K62" i="2"/>
  <c r="M222" i="1"/>
  <c r="M405" i="1"/>
  <c r="S405" i="1" s="1"/>
  <c r="K93" i="2"/>
  <c r="M93" i="2" s="1"/>
  <c r="F67" i="15"/>
  <c r="F67" i="5"/>
  <c r="F66" i="11"/>
  <c r="F5" i="5"/>
  <c r="AR5" i="5" s="1"/>
  <c r="AR8" i="5" s="1"/>
  <c r="F5" i="15"/>
  <c r="F43" i="5"/>
  <c r="F43" i="15"/>
  <c r="F42" i="11"/>
  <c r="M48" i="2"/>
  <c r="M42" i="19"/>
  <c r="S42" i="19" s="1"/>
  <c r="M42" i="1"/>
  <c r="S42" i="1" s="1"/>
  <c r="M46" i="2"/>
  <c r="M59" i="2"/>
  <c r="M135" i="1"/>
  <c r="S135" i="1" s="1"/>
  <c r="L33" i="2"/>
  <c r="F27" i="15"/>
  <c r="AY27" i="15" s="1"/>
  <c r="F26" i="11"/>
  <c r="F27" i="5"/>
  <c r="M41" i="2"/>
  <c r="M10" i="2"/>
  <c r="M57" i="2"/>
  <c r="M27" i="2"/>
  <c r="M12" i="2"/>
  <c r="M269" i="1"/>
  <c r="S269" i="1" s="1"/>
  <c r="M269" i="19"/>
  <c r="S269" i="19" s="1"/>
  <c r="L92" i="2"/>
  <c r="M92" i="2" s="1"/>
  <c r="M402" i="1"/>
  <c r="F3" i="5"/>
  <c r="F3" i="15"/>
  <c r="F2" i="11"/>
  <c r="M314" i="19"/>
  <c r="S314" i="19" s="1"/>
  <c r="M314" i="1"/>
  <c r="S314" i="1" s="1"/>
  <c r="M36" i="2"/>
  <c r="M45" i="2"/>
  <c r="M9" i="2"/>
  <c r="F28" i="11"/>
  <c r="BB28" i="11" s="1"/>
  <c r="F29" i="15"/>
  <c r="F29" i="5"/>
  <c r="F4" i="5"/>
  <c r="F4" i="15"/>
  <c r="F3" i="11"/>
  <c r="AA3" i="11" s="1"/>
  <c r="AA7" i="11" s="1"/>
  <c r="F12" i="15"/>
  <c r="AS12" i="15" s="1"/>
  <c r="AS16" i="15" s="1"/>
  <c r="AS75" i="15" s="1"/>
  <c r="F12" i="5"/>
  <c r="AR12" i="5" s="1"/>
  <c r="F11" i="11"/>
  <c r="F37" i="5"/>
  <c r="F36" i="11"/>
  <c r="F37" i="15"/>
  <c r="F20" i="15"/>
  <c r="AX20" i="15" s="1"/>
  <c r="AX24" i="15" s="1"/>
  <c r="AX75" i="15" s="1"/>
  <c r="F19" i="11"/>
  <c r="AV19" i="11" s="1"/>
  <c r="F20" i="5"/>
  <c r="AW20" i="5" s="1"/>
  <c r="F28" i="15"/>
  <c r="F28" i="5"/>
  <c r="F27" i="11"/>
  <c r="AZ27" i="11" s="1"/>
  <c r="M29" i="2"/>
  <c r="K63" i="2"/>
  <c r="M270" i="1"/>
  <c r="S270" i="1" s="1"/>
  <c r="F35" i="15"/>
  <c r="F34" i="11"/>
  <c r="F35" i="5"/>
  <c r="M267" i="1"/>
  <c r="L62" i="2"/>
  <c r="F21" i="5"/>
  <c r="F20" i="11"/>
  <c r="F21" i="15"/>
  <c r="F68" i="11"/>
  <c r="F69" i="5"/>
  <c r="F69" i="15"/>
  <c r="F45" i="15"/>
  <c r="F45" i="5"/>
  <c r="F44" i="11"/>
  <c r="F43" i="11"/>
  <c r="F44" i="5"/>
  <c r="F44" i="15"/>
  <c r="V85" i="19"/>
  <c r="V88" i="19"/>
  <c r="V88" i="1"/>
  <c r="V85" i="1"/>
  <c r="F13" i="11"/>
  <c r="F14" i="5"/>
  <c r="F14" i="15"/>
  <c r="F12" i="11"/>
  <c r="F13" i="15"/>
  <c r="F13" i="5"/>
  <c r="F52" i="11"/>
  <c r="F53" i="5"/>
  <c r="F53" i="15"/>
  <c r="M61" i="2"/>
  <c r="M22" i="2"/>
  <c r="M21" i="2"/>
  <c r="M28" i="2"/>
  <c r="M58" i="2"/>
  <c r="M31" i="2"/>
  <c r="M52" i="2"/>
  <c r="M56" i="2"/>
  <c r="M26" i="2"/>
  <c r="M15" i="2"/>
  <c r="F68" i="15"/>
  <c r="F67" i="11"/>
  <c r="F68" i="5"/>
  <c r="L32" i="2"/>
  <c r="M177" i="1"/>
  <c r="M40" i="1"/>
  <c r="K32" i="2"/>
  <c r="F35" i="11"/>
  <c r="F36" i="15"/>
  <c r="F36" i="5"/>
  <c r="F61" i="5"/>
  <c r="F60" i="11"/>
  <c r="F61" i="15"/>
  <c r="V356" i="19"/>
  <c r="V359" i="19"/>
  <c r="F60" i="5"/>
  <c r="F59" i="11"/>
  <c r="F60" i="15"/>
  <c r="F51" i="11"/>
  <c r="F52" i="5"/>
  <c r="F52" i="15"/>
  <c r="BA14" i="15" l="1"/>
  <c r="BB14" i="15"/>
  <c r="AY14" i="15"/>
  <c r="AY16" i="15" s="1"/>
  <c r="AZ14" i="15"/>
  <c r="M32" i="2"/>
  <c r="AQ10" i="11"/>
  <c r="AV10" i="11"/>
  <c r="AZ13" i="11"/>
  <c r="AX13" i="11"/>
  <c r="BA13" i="11"/>
  <c r="AY13" i="11"/>
  <c r="AW13" i="11"/>
  <c r="AW15" i="11" s="1"/>
  <c r="AQ11" i="11"/>
  <c r="AV11" i="11"/>
  <c r="AX12" i="11"/>
  <c r="AX15" i="11" s="1"/>
  <c r="BA12" i="11"/>
  <c r="AY12" i="11"/>
  <c r="AZ12" i="11"/>
  <c r="M33" i="2"/>
  <c r="V359" i="1"/>
  <c r="V356" i="1"/>
  <c r="F61" i="11"/>
  <c r="F62" i="15"/>
  <c r="F62" i="5"/>
  <c r="V401" i="19"/>
  <c r="V404" i="19"/>
  <c r="AX51" i="5"/>
  <c r="BA51" i="5"/>
  <c r="AZ51" i="5"/>
  <c r="BD51" i="5"/>
  <c r="BC51" i="5"/>
  <c r="BE51" i="5"/>
  <c r="BB51" i="5"/>
  <c r="BG51" i="5"/>
  <c r="CH50" i="11"/>
  <c r="BY50" i="11"/>
  <c r="BT50" i="11"/>
  <c r="BR50" i="11"/>
  <c r="BE50" i="11"/>
  <c r="BE55" i="11" s="1"/>
  <c r="BW50" i="11"/>
  <c r="BO50" i="11"/>
  <c r="AY50" i="11"/>
  <c r="AY55" i="11" s="1"/>
  <c r="AZ50" i="11"/>
  <c r="AZ55" i="11" s="1"/>
  <c r="BD50" i="11"/>
  <c r="BD55" i="11" s="1"/>
  <c r="BB50" i="11"/>
  <c r="BB55" i="11" s="1"/>
  <c r="CJ50" i="11"/>
  <c r="BJ50" i="11"/>
  <c r="BJ55" i="11" s="1"/>
  <c r="CB50" i="11"/>
  <c r="BL50" i="11"/>
  <c r="CI50" i="11"/>
  <c r="CA50" i="11"/>
  <c r="CL50" i="11"/>
  <c r="CE50" i="11"/>
  <c r="BZ50" i="11"/>
  <c r="BP50" i="11"/>
  <c r="CF50" i="11"/>
  <c r="BX50" i="11"/>
  <c r="BF50" i="11"/>
  <c r="BF55" i="11" s="1"/>
  <c r="BQ50" i="11"/>
  <c r="BI50" i="11"/>
  <c r="BI55" i="11" s="1"/>
  <c r="BH50" i="11"/>
  <c r="BH55" i="11" s="1"/>
  <c r="BM50" i="11"/>
  <c r="CG50" i="11"/>
  <c r="BV50" i="11"/>
  <c r="BU50" i="11"/>
  <c r="BS50" i="11"/>
  <c r="BA50" i="11"/>
  <c r="BA55" i="11" s="1"/>
  <c r="BC50" i="11"/>
  <c r="BC55" i="11" s="1"/>
  <c r="BG50" i="11"/>
  <c r="BG55" i="11" s="1"/>
  <c r="CK50" i="11"/>
  <c r="CD50" i="11"/>
  <c r="CC50" i="11"/>
  <c r="BK50" i="11"/>
  <c r="BN50" i="11"/>
  <c r="BE59" i="5"/>
  <c r="BA59" i="5"/>
  <c r="AX59" i="5"/>
  <c r="BD59" i="5"/>
  <c r="BF59" i="5"/>
  <c r="AZ59" i="5"/>
  <c r="BB59" i="5"/>
  <c r="AY59" i="5"/>
  <c r="BG59" i="5"/>
  <c r="BC59" i="5"/>
  <c r="CL59" i="15"/>
  <c r="CK59" i="15"/>
  <c r="CI59" i="15"/>
  <c r="CM59" i="15"/>
  <c r="CH59" i="15"/>
  <c r="CH64" i="15" s="1"/>
  <c r="CJ59" i="15"/>
  <c r="CN59" i="15"/>
  <c r="BC58" i="11"/>
  <c r="BC63" i="11" s="1"/>
  <c r="CJ58" i="11"/>
  <c r="BK58" i="11"/>
  <c r="BY58" i="11"/>
  <c r="BT58" i="11"/>
  <c r="BJ58" i="11"/>
  <c r="CF58" i="11"/>
  <c r="BL58" i="11"/>
  <c r="BF51" i="5"/>
  <c r="AY51" i="5"/>
  <c r="BH58" i="11"/>
  <c r="BH63" i="11" s="1"/>
  <c r="CA58" i="11"/>
  <c r="BP58" i="11"/>
  <c r="BX58" i="11"/>
  <c r="BU58" i="11"/>
  <c r="CI58" i="11"/>
  <c r="BV58" i="11"/>
  <c r="BF58" i="11"/>
  <c r="BF63" i="11" s="1"/>
  <c r="BB58" i="11"/>
  <c r="BB63" i="11" s="1"/>
  <c r="EP8" i="5"/>
  <c r="EO8" i="5"/>
  <c r="M63" i="2"/>
  <c r="V131" i="19"/>
  <c r="V134" i="19"/>
  <c r="CN51" i="15"/>
  <c r="CG51" i="15"/>
  <c r="CJ51" i="15"/>
  <c r="CK51" i="15"/>
  <c r="CH51" i="15"/>
  <c r="CI51" i="15"/>
  <c r="CE51" i="15"/>
  <c r="CE56" i="15" s="1"/>
  <c r="CF51" i="15"/>
  <c r="CL51" i="15"/>
  <c r="CM51" i="15"/>
  <c r="BE58" i="11"/>
  <c r="BE63" i="11" s="1"/>
  <c r="BG58" i="11"/>
  <c r="BG63" i="11" s="1"/>
  <c r="CK58" i="11"/>
  <c r="CE58" i="11"/>
  <c r="CD58" i="11"/>
  <c r="BQ58" i="11"/>
  <c r="BR58" i="11"/>
  <c r="BS58" i="11"/>
  <c r="BW58" i="11"/>
  <c r="BM58" i="11"/>
  <c r="BI58" i="11"/>
  <c r="CH58" i="11"/>
  <c r="BO58" i="11"/>
  <c r="CL58" i="11"/>
  <c r="CG58" i="11"/>
  <c r="BD58" i="11"/>
  <c r="BD63" i="11" s="1"/>
  <c r="CB58" i="11"/>
  <c r="CC58" i="11"/>
  <c r="BN58" i="11"/>
  <c r="BZ58" i="11"/>
  <c r="BE19" i="5"/>
  <c r="AX19" i="5"/>
  <c r="BB19" i="5"/>
  <c r="BF19" i="5"/>
  <c r="AZ19" i="5"/>
  <c r="BD19" i="5"/>
  <c r="BC19" i="5"/>
  <c r="BA19" i="5"/>
  <c r="BG19" i="5"/>
  <c r="AY19" i="5"/>
  <c r="AR18" i="11"/>
  <c r="AO18" i="11"/>
  <c r="AO23" i="11" s="1"/>
  <c r="AN18" i="11"/>
  <c r="AN23" i="11" s="1"/>
  <c r="AS18" i="11"/>
  <c r="AL18" i="11"/>
  <c r="AL23" i="11" s="1"/>
  <c r="AQ18" i="11"/>
  <c r="AP18" i="11"/>
  <c r="AP23" i="11" s="1"/>
  <c r="AT18" i="11"/>
  <c r="AM18" i="11"/>
  <c r="AM23" i="11" s="1"/>
  <c r="V176" i="1"/>
  <c r="V179" i="1"/>
  <c r="V179" i="19"/>
  <c r="V176" i="19"/>
  <c r="F29" i="11"/>
  <c r="F30" i="15"/>
  <c r="F30" i="5"/>
  <c r="F37" i="11"/>
  <c r="F38" i="15"/>
  <c r="F38" i="5"/>
  <c r="V224" i="19"/>
  <c r="V221" i="19"/>
  <c r="F69" i="11"/>
  <c r="F70" i="15"/>
  <c r="F70" i="5"/>
  <c r="M62" i="2"/>
  <c r="V221" i="1"/>
  <c r="V224" i="1"/>
  <c r="V404" i="1"/>
  <c r="V401" i="1"/>
  <c r="CI67" i="15"/>
  <c r="CN67" i="15"/>
  <c r="CL67" i="15"/>
  <c r="CK67" i="15"/>
  <c r="CM67" i="15"/>
  <c r="CH67" i="15"/>
  <c r="CH72" i="15" s="1"/>
  <c r="CJ67" i="15"/>
  <c r="BG67" i="5"/>
  <c r="BF67" i="5"/>
  <c r="BC67" i="5"/>
  <c r="BD67" i="5"/>
  <c r="BA67" i="5"/>
  <c r="AX67" i="5"/>
  <c r="BE67" i="5"/>
  <c r="AZ67" i="5"/>
  <c r="AY67" i="5"/>
  <c r="BB67" i="5"/>
  <c r="CG66" i="11"/>
  <c r="CK66" i="11"/>
  <c r="BT66" i="11"/>
  <c r="CE66" i="11"/>
  <c r="BO66" i="11"/>
  <c r="CH66" i="11"/>
  <c r="CL66" i="11"/>
  <c r="CI66" i="11"/>
  <c r="CJ66" i="11"/>
  <c r="CC66" i="11"/>
  <c r="BR66" i="11"/>
  <c r="BU66" i="11"/>
  <c r="BZ66" i="11"/>
  <c r="CB66" i="11"/>
  <c r="CD66" i="11"/>
  <c r="BY66" i="11"/>
  <c r="BM66" i="11"/>
  <c r="CF66" i="11"/>
  <c r="BS66" i="11"/>
  <c r="BN66" i="11"/>
  <c r="BL66" i="11"/>
  <c r="BP66" i="11"/>
  <c r="BQ66" i="11"/>
  <c r="BW66" i="11"/>
  <c r="BX66" i="11"/>
  <c r="CA66" i="11"/>
  <c r="BV66" i="11"/>
  <c r="K3" i="5"/>
  <c r="J3" i="5"/>
  <c r="AX43" i="5"/>
  <c r="AY43" i="5"/>
  <c r="BE43" i="5"/>
  <c r="AZ43" i="5"/>
  <c r="BG43" i="5"/>
  <c r="BK43" i="15"/>
  <c r="BF43" i="15"/>
  <c r="BI43" i="15"/>
  <c r="BQ43" i="15"/>
  <c r="CG43" i="15"/>
  <c r="CG48" i="15" s="1"/>
  <c r="BS43" i="15"/>
  <c r="BH43" i="15"/>
  <c r="CJ43" i="15"/>
  <c r="CJ48" i="15" s="1"/>
  <c r="BV43" i="15"/>
  <c r="CA43" i="15"/>
  <c r="CA48" i="15" s="1"/>
  <c r="BN43" i="15"/>
  <c r="CH43" i="15"/>
  <c r="CH48" i="15" s="1"/>
  <c r="BP43" i="15"/>
  <c r="CN43" i="15"/>
  <c r="CL43" i="15"/>
  <c r="BM43" i="15"/>
  <c r="BR43" i="15"/>
  <c r="BU43" i="15"/>
  <c r="BG43" i="15"/>
  <c r="BO43" i="15"/>
  <c r="BE43" i="15"/>
  <c r="AW42" i="11"/>
  <c r="AW47" i="11" s="1"/>
  <c r="CJ42" i="11"/>
  <c r="CH42" i="11"/>
  <c r="BV42" i="11"/>
  <c r="BR42" i="11"/>
  <c r="BJ42" i="11"/>
  <c r="CF42" i="11"/>
  <c r="BB42" i="11"/>
  <c r="AZ42" i="11"/>
  <c r="AZ47" i="11" s="1"/>
  <c r="BW42" i="11"/>
  <c r="CG42" i="11"/>
  <c r="CK42" i="11"/>
  <c r="AX42" i="11"/>
  <c r="AX47" i="11" s="1"/>
  <c r="CC42" i="11"/>
  <c r="AV42" i="11"/>
  <c r="AV47" i="11" s="1"/>
  <c r="BD42" i="11"/>
  <c r="BA42" i="11"/>
  <c r="BA47" i="11" s="1"/>
  <c r="CI42" i="11"/>
  <c r="CE42" i="11"/>
  <c r="BC42" i="11"/>
  <c r="CB42" i="11"/>
  <c r="BT42" i="11"/>
  <c r="CD42" i="11"/>
  <c r="CL42" i="11"/>
  <c r="BU42" i="11"/>
  <c r="AY42" i="11"/>
  <c r="AY47" i="11" s="1"/>
  <c r="BS42" i="11"/>
  <c r="BZ42" i="11"/>
  <c r="CA42" i="11"/>
  <c r="BN42" i="11"/>
  <c r="BX42" i="11"/>
  <c r="BY42" i="11"/>
  <c r="BI42" i="11"/>
  <c r="BO42" i="11"/>
  <c r="BH42" i="11"/>
  <c r="BL42" i="11"/>
  <c r="BP42" i="11"/>
  <c r="BF42" i="11"/>
  <c r="BM42" i="11"/>
  <c r="BK42" i="11"/>
  <c r="BG42" i="11"/>
  <c r="BE42" i="11"/>
  <c r="BQ42" i="11"/>
  <c r="V39" i="19"/>
  <c r="V42" i="19"/>
  <c r="F5" i="11"/>
  <c r="AR5" i="11" s="1"/>
  <c r="AR7" i="11" s="1"/>
  <c r="F6" i="5"/>
  <c r="F6" i="15"/>
  <c r="V39" i="1"/>
  <c r="V42" i="1"/>
  <c r="F22" i="5"/>
  <c r="V131" i="1"/>
  <c r="V134" i="1"/>
  <c r="F21" i="11"/>
  <c r="F22" i="15"/>
  <c r="AT26" i="11"/>
  <c r="AT31" i="11" s="1"/>
  <c r="AW26" i="11"/>
  <c r="AR26" i="11"/>
  <c r="AR31" i="11" s="1"/>
  <c r="AV26" i="11"/>
  <c r="AQ26" i="11"/>
  <c r="AQ31" i="11" s="1"/>
  <c r="AS26" i="11"/>
  <c r="AS31" i="11" s="1"/>
  <c r="AP26" i="11"/>
  <c r="AP31" i="11" s="1"/>
  <c r="AU26" i="11"/>
  <c r="AU31" i="11" s="1"/>
  <c r="AO26" i="11"/>
  <c r="AO31" i="11" s="1"/>
  <c r="AN26" i="11"/>
  <c r="AN31" i="11" s="1"/>
  <c r="V266" i="19"/>
  <c r="V269" i="19"/>
  <c r="V311" i="19"/>
  <c r="V314" i="19"/>
  <c r="F53" i="11"/>
  <c r="F54" i="5"/>
  <c r="F54" i="15"/>
  <c r="V311" i="1"/>
  <c r="V314" i="1"/>
  <c r="BC43" i="5"/>
  <c r="BA43" i="5"/>
  <c r="BD43" i="5"/>
  <c r="BB43" i="5"/>
  <c r="BF43" i="5"/>
  <c r="CC43" i="15"/>
  <c r="CC48" i="15" s="1"/>
  <c r="CF43" i="15"/>
  <c r="CF48" i="15" s="1"/>
  <c r="CK43" i="15"/>
  <c r="CK48" i="15" s="1"/>
  <c r="CD43" i="15"/>
  <c r="CD48" i="15" s="1"/>
  <c r="BT43" i="15"/>
  <c r="BX43" i="15"/>
  <c r="CI43" i="15"/>
  <c r="CI48" i="15" s="1"/>
  <c r="BL43" i="15"/>
  <c r="CM43" i="15"/>
  <c r="BJ43" i="15"/>
  <c r="BW43" i="15"/>
  <c r="BY43" i="15"/>
  <c r="BZ43" i="15"/>
  <c r="BZ48" i="15" s="1"/>
  <c r="CB43" i="15"/>
  <c r="CB48" i="15" s="1"/>
  <c r="CE43" i="15"/>
  <c r="CE48" i="15" s="1"/>
  <c r="BF27" i="5"/>
  <c r="AZ27" i="5"/>
  <c r="AX27" i="5"/>
  <c r="AY27" i="5"/>
  <c r="BA27" i="5"/>
  <c r="BB27" i="5"/>
  <c r="BC27" i="5"/>
  <c r="BD27" i="5"/>
  <c r="BE27" i="5"/>
  <c r="BG27" i="5"/>
  <c r="BA28" i="15"/>
  <c r="AZ28" i="15"/>
  <c r="AY28" i="15"/>
  <c r="BB28" i="15"/>
  <c r="AX28" i="5"/>
  <c r="AY28" i="5"/>
  <c r="AZ28" i="5"/>
  <c r="BA28" i="5"/>
  <c r="BC29" i="15"/>
  <c r="BF29" i="15"/>
  <c r="AZ29" i="15"/>
  <c r="BR29" i="15"/>
  <c r="BR32" i="15" s="1"/>
  <c r="BP29" i="15"/>
  <c r="BP32" i="15" s="1"/>
  <c r="BN29" i="15"/>
  <c r="BN32" i="15" s="1"/>
  <c r="BI29" i="15"/>
  <c r="BI32" i="15" s="1"/>
  <c r="BE29" i="15"/>
  <c r="AY29" i="15"/>
  <c r="BM29" i="15"/>
  <c r="BM32" i="15" s="1"/>
  <c r="BL29" i="15"/>
  <c r="BL32" i="15" s="1"/>
  <c r="BJ29" i="15"/>
  <c r="BJ32" i="15" s="1"/>
  <c r="BA29" i="15"/>
  <c r="BG29" i="15"/>
  <c r="BO29" i="15"/>
  <c r="BO32" i="15" s="1"/>
  <c r="BB29" i="15"/>
  <c r="BH29" i="15"/>
  <c r="BK29" i="15"/>
  <c r="BK32" i="15" s="1"/>
  <c r="BD29" i="15"/>
  <c r="BQ29" i="15"/>
  <c r="BQ32" i="15" s="1"/>
  <c r="AY29" i="5"/>
  <c r="BJ29" i="5"/>
  <c r="BJ32" i="5" s="1"/>
  <c r="BI29" i="5"/>
  <c r="BI32" i="5" s="1"/>
  <c r="BM29" i="5"/>
  <c r="BM32" i="5" s="1"/>
  <c r="BN29" i="5"/>
  <c r="BN32" i="5" s="1"/>
  <c r="BR29" i="5"/>
  <c r="BR32" i="5" s="1"/>
  <c r="BZ29" i="5"/>
  <c r="BZ32" i="5" s="1"/>
  <c r="CB29" i="5"/>
  <c r="CB32" i="5" s="1"/>
  <c r="AZ29" i="5"/>
  <c r="CA29" i="5"/>
  <c r="CA32" i="5" s="1"/>
  <c r="BD29" i="5"/>
  <c r="BK29" i="5"/>
  <c r="BK32" i="5" s="1"/>
  <c r="BT29" i="5"/>
  <c r="BT32" i="5" s="1"/>
  <c r="BO29" i="5"/>
  <c r="BO32" i="5" s="1"/>
  <c r="BH29" i="5"/>
  <c r="BH32" i="5" s="1"/>
  <c r="BX29" i="5"/>
  <c r="BX32" i="5" s="1"/>
  <c r="BL29" i="5"/>
  <c r="BL32" i="5" s="1"/>
  <c r="BW29" i="5"/>
  <c r="BW32" i="5" s="1"/>
  <c r="BS29" i="5"/>
  <c r="BS32" i="5" s="1"/>
  <c r="CD29" i="5"/>
  <c r="CD32" i="5" s="1"/>
  <c r="BB29" i="5"/>
  <c r="CC29" i="5"/>
  <c r="CC32" i="5" s="1"/>
  <c r="BV29" i="5"/>
  <c r="BV32" i="5" s="1"/>
  <c r="BQ29" i="5"/>
  <c r="BQ32" i="5" s="1"/>
  <c r="BC29" i="5"/>
  <c r="BA29" i="5"/>
  <c r="BP29" i="5"/>
  <c r="BP32" i="5" s="1"/>
  <c r="AX29" i="5"/>
  <c r="BE29" i="5"/>
  <c r="BG29" i="5"/>
  <c r="BY29" i="5"/>
  <c r="BY32" i="5" s="1"/>
  <c r="BF29" i="5"/>
  <c r="CE29" i="5"/>
  <c r="CE32" i="5" s="1"/>
  <c r="CF29" i="5"/>
  <c r="CF32" i="5" s="1"/>
  <c r="CF75" i="5" s="1"/>
  <c r="BU29" i="5"/>
  <c r="BU32" i="5" s="1"/>
  <c r="BX37" i="5"/>
  <c r="BI37" i="5"/>
  <c r="BJ37" i="5"/>
  <c r="BG37" i="5"/>
  <c r="BP37" i="5"/>
  <c r="BO37" i="5"/>
  <c r="BV37" i="5"/>
  <c r="BU37" i="5"/>
  <c r="BR37" i="5"/>
  <c r="BZ37" i="5"/>
  <c r="BS37" i="5"/>
  <c r="BN37" i="5"/>
  <c r="BH37" i="5"/>
  <c r="BY37" i="5"/>
  <c r="BT37" i="5"/>
  <c r="BL37" i="5"/>
  <c r="CA37" i="5"/>
  <c r="BW37" i="5"/>
  <c r="BM37" i="5"/>
  <c r="BK37" i="5"/>
  <c r="BQ37" i="5"/>
  <c r="CD36" i="11"/>
  <c r="BK36" i="11"/>
  <c r="BN36" i="11"/>
  <c r="BO36" i="11"/>
  <c r="BS36" i="11"/>
  <c r="BM36" i="11"/>
  <c r="BU36" i="11"/>
  <c r="CA36" i="11"/>
  <c r="BW36" i="11"/>
  <c r="BI36" i="11"/>
  <c r="CB36" i="11"/>
  <c r="CC36" i="11"/>
  <c r="CF36" i="11"/>
  <c r="BR36" i="11"/>
  <c r="CE36" i="11"/>
  <c r="BZ36" i="11"/>
  <c r="BQ36" i="11"/>
  <c r="BJ36" i="11"/>
  <c r="BV36" i="11"/>
  <c r="BL36" i="11"/>
  <c r="BP36" i="11"/>
  <c r="BH36" i="11"/>
  <c r="CH36" i="11"/>
  <c r="BY36" i="11"/>
  <c r="BX36" i="11"/>
  <c r="CG36" i="11"/>
  <c r="BT36" i="11"/>
  <c r="BW37" i="15"/>
  <c r="CD37" i="15"/>
  <c r="BU37" i="15"/>
  <c r="CC37" i="15"/>
  <c r="BV37" i="15"/>
  <c r="CA37" i="15"/>
  <c r="BX37" i="15"/>
  <c r="CB37" i="15"/>
  <c r="BZ37" i="15"/>
  <c r="CM37" i="15"/>
  <c r="CL37" i="15"/>
  <c r="CK37" i="15"/>
  <c r="CJ37" i="15"/>
  <c r="CI37" i="15"/>
  <c r="CH37" i="15"/>
  <c r="CF37" i="15"/>
  <c r="CE37" i="15"/>
  <c r="CG37" i="15"/>
  <c r="BY37" i="15"/>
  <c r="BT37" i="15"/>
  <c r="F46" i="15"/>
  <c r="V266" i="1"/>
  <c r="F46" i="5"/>
  <c r="F45" i="11"/>
  <c r="V269" i="1"/>
  <c r="BW35" i="15"/>
  <c r="CA35" i="15"/>
  <c r="BU35" i="15"/>
  <c r="BV35" i="15"/>
  <c r="BT35" i="15"/>
  <c r="BY35" i="15"/>
  <c r="CB35" i="15"/>
  <c r="BZ35" i="15"/>
  <c r="BX35" i="15"/>
  <c r="BS35" i="15"/>
  <c r="BS40" i="15" s="1"/>
  <c r="BL34" i="11"/>
  <c r="BQ34" i="11"/>
  <c r="AY34" i="11"/>
  <c r="AX34" i="11"/>
  <c r="AU34" i="11"/>
  <c r="AU39" i="11" s="1"/>
  <c r="BT34" i="11"/>
  <c r="BR34" i="11"/>
  <c r="BV34" i="11"/>
  <c r="BJ34" i="11"/>
  <c r="BM34" i="11"/>
  <c r="AT34" i="11"/>
  <c r="AT39" i="11" s="1"/>
  <c r="AV34" i="11"/>
  <c r="AV39" i="11" s="1"/>
  <c r="BA34" i="11"/>
  <c r="AS34" i="11"/>
  <c r="AS39" i="11" s="1"/>
  <c r="BK34" i="11"/>
  <c r="BU34" i="11"/>
  <c r="AR34" i="11"/>
  <c r="AR39" i="11" s="1"/>
  <c r="BD34" i="11"/>
  <c r="BI34" i="11"/>
  <c r="BS34" i="11"/>
  <c r="BB34" i="11"/>
  <c r="BW34" i="11"/>
  <c r="BH34" i="11"/>
  <c r="AW34" i="11"/>
  <c r="AW39" i="11" s="1"/>
  <c r="AQ34" i="11"/>
  <c r="AQ39" i="11" s="1"/>
  <c r="BF34" i="11"/>
  <c r="AZ34" i="11"/>
  <c r="BZ34" i="11"/>
  <c r="BP34" i="11"/>
  <c r="BG34" i="11"/>
  <c r="BY34" i="11"/>
  <c r="BC34" i="11"/>
  <c r="BO34" i="11"/>
  <c r="BE34" i="11"/>
  <c r="BX34" i="11"/>
  <c r="BN34" i="11"/>
  <c r="AX35" i="5"/>
  <c r="BA35" i="5"/>
  <c r="BG35" i="5"/>
  <c r="BB35" i="5"/>
  <c r="AY35" i="5"/>
  <c r="AZ35" i="5"/>
  <c r="BK21" i="5"/>
  <c r="BK24" i="5" s="1"/>
  <c r="AX21" i="5"/>
  <c r="BB21" i="5"/>
  <c r="BQ21" i="5"/>
  <c r="BQ24" i="5" s="1"/>
  <c r="BZ21" i="5"/>
  <c r="BZ24" i="5" s="1"/>
  <c r="BH21" i="5"/>
  <c r="BH24" i="5" s="1"/>
  <c r="BF21" i="5"/>
  <c r="BC21" i="5"/>
  <c r="BV21" i="5"/>
  <c r="BV24" i="5" s="1"/>
  <c r="BP21" i="5"/>
  <c r="BP24" i="5" s="1"/>
  <c r="BJ21" i="5"/>
  <c r="BJ24" i="5" s="1"/>
  <c r="BT21" i="5"/>
  <c r="BT24" i="5" s="1"/>
  <c r="AY21" i="5"/>
  <c r="BX21" i="5"/>
  <c r="BX24" i="5" s="1"/>
  <c r="BA21" i="5"/>
  <c r="BR21" i="5"/>
  <c r="BR24" i="5" s="1"/>
  <c r="BO21" i="5"/>
  <c r="BO24" i="5" s="1"/>
  <c r="BW21" i="5"/>
  <c r="BW24" i="5" s="1"/>
  <c r="BL21" i="5"/>
  <c r="BL24" i="5" s="1"/>
  <c r="BD21" i="5"/>
  <c r="BE21" i="5"/>
  <c r="BN21" i="5"/>
  <c r="BN24" i="5" s="1"/>
  <c r="BS21" i="5"/>
  <c r="BS24" i="5" s="1"/>
  <c r="BI21" i="5"/>
  <c r="BI24" i="5" s="1"/>
  <c r="BM21" i="5"/>
  <c r="BM24" i="5" s="1"/>
  <c r="BU21" i="5"/>
  <c r="BU24" i="5" s="1"/>
  <c r="BY21" i="5"/>
  <c r="BY24" i="5" s="1"/>
  <c r="BG21" i="5"/>
  <c r="AZ21" i="5"/>
  <c r="CA21" i="5"/>
  <c r="CA24" i="5" s="1"/>
  <c r="AW20" i="11"/>
  <c r="AY20" i="11"/>
  <c r="AX20" i="11"/>
  <c r="AZ20" i="11"/>
  <c r="AZ21" i="15"/>
  <c r="BB21" i="15"/>
  <c r="AY21" i="15"/>
  <c r="BA21" i="15"/>
  <c r="CB68" i="11"/>
  <c r="CL68" i="11"/>
  <c r="CP68" i="11"/>
  <c r="CO68" i="11"/>
  <c r="CK68" i="11"/>
  <c r="CA68" i="11"/>
  <c r="CM68" i="11"/>
  <c r="CG68" i="11"/>
  <c r="CE68" i="11"/>
  <c r="CN68" i="11"/>
  <c r="CJ68" i="11"/>
  <c r="CI68" i="11"/>
  <c r="CC68" i="11"/>
  <c r="CF68" i="11"/>
  <c r="CH68" i="11"/>
  <c r="CD68" i="11"/>
  <c r="BZ68" i="11"/>
  <c r="BZ69" i="5"/>
  <c r="BR69" i="5"/>
  <c r="BO69" i="5"/>
  <c r="BI69" i="5"/>
  <c r="BJ69" i="5"/>
  <c r="BM69" i="5"/>
  <c r="BH69" i="5"/>
  <c r="BG69" i="5"/>
  <c r="BP69" i="5"/>
  <c r="BE69" i="5"/>
  <c r="BN69" i="5"/>
  <c r="BY69" i="5"/>
  <c r="BT69" i="5"/>
  <c r="BL69" i="5"/>
  <c r="BD69" i="5"/>
  <c r="BC69" i="5"/>
  <c r="BS69" i="5"/>
  <c r="BF69" i="5"/>
  <c r="BQ69" i="5"/>
  <c r="BK69" i="5"/>
  <c r="CA69" i="5"/>
  <c r="CO69" i="15"/>
  <c r="CS69" i="15"/>
  <c r="CX69" i="15"/>
  <c r="CT69" i="15"/>
  <c r="CQ69" i="15"/>
  <c r="CU69" i="15"/>
  <c r="CV69" i="15"/>
  <c r="CP69" i="15"/>
  <c r="DA69" i="15"/>
  <c r="DA72" i="15" s="1"/>
  <c r="CW69" i="15"/>
  <c r="DB69" i="15"/>
  <c r="DB72" i="15" s="1"/>
  <c r="CI69" i="15"/>
  <c r="CM69" i="15"/>
  <c r="CY69" i="15"/>
  <c r="CR69" i="15"/>
  <c r="CN69" i="15"/>
  <c r="CJ69" i="15"/>
  <c r="CZ69" i="15"/>
  <c r="CZ72" i="15" s="1"/>
  <c r="CL69" i="15"/>
  <c r="CK69" i="15"/>
  <c r="BM45" i="15"/>
  <c r="BJ45" i="15"/>
  <c r="BQ45" i="15"/>
  <c r="BU45" i="15"/>
  <c r="BT45" i="15"/>
  <c r="BI45" i="15"/>
  <c r="BP45" i="15"/>
  <c r="BF45" i="15"/>
  <c r="BV45" i="15"/>
  <c r="BS45" i="15"/>
  <c r="BX45" i="15"/>
  <c r="BL45" i="15"/>
  <c r="BG45" i="15"/>
  <c r="BR45" i="15"/>
  <c r="BY45" i="15"/>
  <c r="BK45" i="15"/>
  <c r="BO45" i="15"/>
  <c r="BW45" i="15"/>
  <c r="BN45" i="15"/>
  <c r="BH45" i="15"/>
  <c r="BZ45" i="5"/>
  <c r="BV45" i="5"/>
  <c r="BN45" i="5"/>
  <c r="BC45" i="5"/>
  <c r="BP45" i="5"/>
  <c r="BR45" i="5"/>
  <c r="BO45" i="5"/>
  <c r="BM45" i="5"/>
  <c r="BS45" i="5"/>
  <c r="BW45" i="5"/>
  <c r="BU45" i="5"/>
  <c r="BF45" i="5"/>
  <c r="BL45" i="5"/>
  <c r="BD45" i="5"/>
  <c r="BG45" i="5"/>
  <c r="BQ45" i="5"/>
  <c r="BE45" i="5"/>
  <c r="BY45" i="5"/>
  <c r="BX45" i="5"/>
  <c r="BT45" i="5"/>
  <c r="CA45" i="5"/>
  <c r="BM44" i="11"/>
  <c r="BV44" i="11"/>
  <c r="BZ44" i="11"/>
  <c r="BQ44" i="11"/>
  <c r="BR44" i="11"/>
  <c r="BP44" i="11"/>
  <c r="CA44" i="11"/>
  <c r="BT44" i="11"/>
  <c r="CC44" i="11"/>
  <c r="BW44" i="11"/>
  <c r="CK44" i="11"/>
  <c r="CG44" i="11"/>
  <c r="CL44" i="11"/>
  <c r="BX44" i="11"/>
  <c r="CH44" i="11"/>
  <c r="CE44" i="11"/>
  <c r="BN44" i="11"/>
  <c r="CJ44" i="11"/>
  <c r="CF44" i="11"/>
  <c r="CI44" i="11"/>
  <c r="CN44" i="11"/>
  <c r="BU44" i="11"/>
  <c r="CD44" i="11"/>
  <c r="BS44" i="11"/>
  <c r="BO44" i="11"/>
  <c r="CB44" i="11"/>
  <c r="CM44" i="11"/>
  <c r="BY44" i="11"/>
  <c r="BK43" i="11"/>
  <c r="BF43" i="11"/>
  <c r="BD43" i="11"/>
  <c r="BG43" i="11"/>
  <c r="BH43" i="11"/>
  <c r="BE43" i="11"/>
  <c r="BB43" i="11"/>
  <c r="BC43" i="11"/>
  <c r="BJ43" i="11"/>
  <c r="BI43" i="11"/>
  <c r="BV44" i="5"/>
  <c r="BU44" i="5"/>
  <c r="BL44" i="5"/>
  <c r="BO44" i="5"/>
  <c r="BR44" i="5"/>
  <c r="AZ44" i="5"/>
  <c r="AX44" i="5"/>
  <c r="BP44" i="5"/>
  <c r="BN44" i="5"/>
  <c r="BH44" i="5"/>
  <c r="BH48" i="5" s="1"/>
  <c r="BS44" i="5"/>
  <c r="BF44" i="5"/>
  <c r="AY44" i="5"/>
  <c r="BK44" i="5"/>
  <c r="BK48" i="5" s="1"/>
  <c r="BB44" i="5"/>
  <c r="BI44" i="5"/>
  <c r="BI48" i="5" s="1"/>
  <c r="BJ44" i="5"/>
  <c r="BJ48" i="5" s="1"/>
  <c r="BG44" i="5"/>
  <c r="BE44" i="5"/>
  <c r="BC44" i="5"/>
  <c r="BQ44" i="5"/>
  <c r="BD44" i="5"/>
  <c r="BA44" i="5"/>
  <c r="BM44" i="5"/>
  <c r="BT44" i="5"/>
  <c r="BL44" i="15"/>
  <c r="BC44" i="15"/>
  <c r="BC48" i="15" s="1"/>
  <c r="BH44" i="15"/>
  <c r="BJ44" i="15"/>
  <c r="BE44" i="15"/>
  <c r="BK44" i="15"/>
  <c r="BD44" i="15"/>
  <c r="BD48" i="15" s="1"/>
  <c r="AZ44" i="15"/>
  <c r="AZ48" i="15" s="1"/>
  <c r="AY44" i="15"/>
  <c r="AY48" i="15" s="1"/>
  <c r="BF44" i="15"/>
  <c r="BG44" i="15"/>
  <c r="BB44" i="15"/>
  <c r="BB48" i="15" s="1"/>
  <c r="BI44" i="15"/>
  <c r="BM44" i="15"/>
  <c r="BA44" i="15"/>
  <c r="BA48" i="15" s="1"/>
  <c r="AT13" i="11"/>
  <c r="AT15" i="11" s="1"/>
  <c r="AS13" i="11"/>
  <c r="AQ13" i="11"/>
  <c r="AR13" i="11"/>
  <c r="AO14" i="5"/>
  <c r="AO16" i="5" s="1"/>
  <c r="AO75" i="5" s="1"/>
  <c r="AR14" i="5"/>
  <c r="AR16" i="5" s="1"/>
  <c r="AF14" i="5"/>
  <c r="AF16" i="5" s="1"/>
  <c r="AF75" i="5" s="1"/>
  <c r="AE14" i="5"/>
  <c r="AE16" i="5" s="1"/>
  <c r="AJ14" i="5"/>
  <c r="AJ16" i="5" s="1"/>
  <c r="AJ75" i="5" s="1"/>
  <c r="AN14" i="5"/>
  <c r="AN16" i="5" s="1"/>
  <c r="AN75" i="5" s="1"/>
  <c r="AL14" i="5"/>
  <c r="AL16" i="5" s="1"/>
  <c r="AL75" i="5" s="1"/>
  <c r="AP14" i="5"/>
  <c r="AP16" i="5" s="1"/>
  <c r="AP75" i="5" s="1"/>
  <c r="AQ14" i="5"/>
  <c r="AQ16" i="5" s="1"/>
  <c r="AH14" i="5"/>
  <c r="AH16" i="5" s="1"/>
  <c r="AH75" i="5" s="1"/>
  <c r="AK14" i="5"/>
  <c r="AK16" i="5" s="1"/>
  <c r="AK75" i="5" s="1"/>
  <c r="AI14" i="5"/>
  <c r="AI16" i="5" s="1"/>
  <c r="AI75" i="5" s="1"/>
  <c r="AM14" i="5"/>
  <c r="AM16" i="5" s="1"/>
  <c r="AM75" i="5" s="1"/>
  <c r="AG14" i="5"/>
  <c r="AG16" i="5" s="1"/>
  <c r="AG75" i="5" s="1"/>
  <c r="AR12" i="11"/>
  <c r="AQ12" i="11"/>
  <c r="AS12" i="11"/>
  <c r="AZ13" i="15"/>
  <c r="AZ16" i="15" s="1"/>
  <c r="BR13" i="15"/>
  <c r="BR16" i="15" s="1"/>
  <c r="BO13" i="15"/>
  <c r="BO16" i="15" s="1"/>
  <c r="BD13" i="15"/>
  <c r="BD16" i="15" s="1"/>
  <c r="BI13" i="15"/>
  <c r="BI16" i="15" s="1"/>
  <c r="BP13" i="15"/>
  <c r="BP16" i="15" s="1"/>
  <c r="BF13" i="15"/>
  <c r="BF16" i="15" s="1"/>
  <c r="BQ13" i="15"/>
  <c r="BQ16" i="15" s="1"/>
  <c r="BJ13" i="15"/>
  <c r="BJ16" i="15" s="1"/>
  <c r="BN13" i="15"/>
  <c r="BN16" i="15" s="1"/>
  <c r="BL13" i="15"/>
  <c r="BL16" i="15" s="1"/>
  <c r="BM13" i="15"/>
  <c r="BM16" i="15" s="1"/>
  <c r="BG13" i="15"/>
  <c r="BG16" i="15" s="1"/>
  <c r="BB13" i="15"/>
  <c r="BB16" i="15" s="1"/>
  <c r="BA13" i="15"/>
  <c r="BA16" i="15" s="1"/>
  <c r="BH13" i="15"/>
  <c r="BH16" i="15" s="1"/>
  <c r="BK13" i="15"/>
  <c r="BK16" i="15" s="1"/>
  <c r="BC13" i="15"/>
  <c r="BC16" i="15" s="1"/>
  <c r="BE13" i="15"/>
  <c r="BE16" i="15" s="1"/>
  <c r="BS13" i="15"/>
  <c r="BS16" i="15" s="1"/>
  <c r="BP13" i="5"/>
  <c r="BP16" i="5" s="1"/>
  <c r="BI13" i="5"/>
  <c r="BI16" i="5" s="1"/>
  <c r="BD13" i="5"/>
  <c r="BD16" i="5" s="1"/>
  <c r="BA13" i="5"/>
  <c r="BA16" i="5" s="1"/>
  <c r="BL13" i="5"/>
  <c r="BL16" i="5" s="1"/>
  <c r="BH13" i="5"/>
  <c r="BH16" i="5" s="1"/>
  <c r="BG13" i="5"/>
  <c r="BG16" i="5" s="1"/>
  <c r="BM13" i="5"/>
  <c r="BM16" i="5" s="1"/>
  <c r="BE13" i="5"/>
  <c r="BE16" i="5" s="1"/>
  <c r="BJ13" i="5"/>
  <c r="BJ16" i="5" s="1"/>
  <c r="AX13" i="5"/>
  <c r="AX16" i="5" s="1"/>
  <c r="BC13" i="5"/>
  <c r="BC16" i="5" s="1"/>
  <c r="BO13" i="5"/>
  <c r="BO16" i="5" s="1"/>
  <c r="BF13" i="5"/>
  <c r="BF16" i="5" s="1"/>
  <c r="BB13" i="5"/>
  <c r="BB16" i="5" s="1"/>
  <c r="BN13" i="5"/>
  <c r="BN16" i="5" s="1"/>
  <c r="BK13" i="5"/>
  <c r="BK16" i="5" s="1"/>
  <c r="AY13" i="5"/>
  <c r="AY16" i="5" s="1"/>
  <c r="AZ13" i="5"/>
  <c r="AZ16" i="5" s="1"/>
  <c r="BQ13" i="5"/>
  <c r="BQ16" i="5" s="1"/>
  <c r="CE52" i="11"/>
  <c r="CF52" i="11"/>
  <c r="CH52" i="11"/>
  <c r="CD52" i="11"/>
  <c r="CL52" i="11"/>
  <c r="CG52" i="11"/>
  <c r="CI52" i="11"/>
  <c r="CK52" i="11"/>
  <c r="CC52" i="11"/>
  <c r="CP52" i="11"/>
  <c r="CO52" i="11"/>
  <c r="BW52" i="11"/>
  <c r="CB52" i="11"/>
  <c r="CM52" i="11"/>
  <c r="CJ52" i="11"/>
  <c r="CN52" i="11"/>
  <c r="CA52" i="11"/>
  <c r="BY52" i="11"/>
  <c r="BX52" i="11"/>
  <c r="BZ52" i="11"/>
  <c r="BZ53" i="5"/>
  <c r="BP53" i="5"/>
  <c r="BJ53" i="5"/>
  <c r="BD53" i="5"/>
  <c r="BX53" i="5"/>
  <c r="BL53" i="5"/>
  <c r="BF53" i="5"/>
  <c r="BI53" i="5"/>
  <c r="BK53" i="5"/>
  <c r="BO53" i="5"/>
  <c r="BW53" i="5"/>
  <c r="BV53" i="5"/>
  <c r="BE53" i="5"/>
  <c r="BC53" i="5"/>
  <c r="BY53" i="5"/>
  <c r="BH53" i="5"/>
  <c r="BN53" i="5"/>
  <c r="BM53" i="5"/>
  <c r="BQ53" i="5"/>
  <c r="BG53" i="5"/>
  <c r="CA53" i="5"/>
  <c r="CJ53" i="15"/>
  <c r="CV53" i="15"/>
  <c r="CL53" i="15"/>
  <c r="CK53" i="15"/>
  <c r="CY53" i="15"/>
  <c r="CU53" i="15"/>
  <c r="CS53" i="15"/>
  <c r="CO53" i="15"/>
  <c r="CI53" i="15"/>
  <c r="CQ53" i="15"/>
  <c r="CR53" i="15"/>
  <c r="CG53" i="15"/>
  <c r="CW53" i="15"/>
  <c r="CP53" i="15"/>
  <c r="CF53" i="15"/>
  <c r="CX53" i="15"/>
  <c r="CT53" i="15"/>
  <c r="CN53" i="15"/>
  <c r="CH53" i="15"/>
  <c r="CM53" i="15"/>
  <c r="BC68" i="15"/>
  <c r="BC72" i="15" s="1"/>
  <c r="BI68" i="15"/>
  <c r="BI72" i="15" s="1"/>
  <c r="BM68" i="15"/>
  <c r="BM72" i="15" s="1"/>
  <c r="BS68" i="15"/>
  <c r="BS72" i="15" s="1"/>
  <c r="BQ68" i="15"/>
  <c r="BQ72" i="15" s="1"/>
  <c r="BR68" i="15"/>
  <c r="BR72" i="15" s="1"/>
  <c r="BB68" i="15"/>
  <c r="BB72" i="15" s="1"/>
  <c r="BN68" i="15"/>
  <c r="BN72" i="15" s="1"/>
  <c r="BU68" i="15"/>
  <c r="BU72" i="15" s="1"/>
  <c r="BJ68" i="15"/>
  <c r="BJ72" i="15" s="1"/>
  <c r="BO68" i="15"/>
  <c r="BO72" i="15" s="1"/>
  <c r="BK68" i="15"/>
  <c r="BK72" i="15" s="1"/>
  <c r="AZ68" i="15"/>
  <c r="AZ72" i="15" s="1"/>
  <c r="BH68" i="15"/>
  <c r="BH72" i="15" s="1"/>
  <c r="BP68" i="15"/>
  <c r="BP72" i="15" s="1"/>
  <c r="BE68" i="15"/>
  <c r="BE72" i="15" s="1"/>
  <c r="BV68" i="15"/>
  <c r="BV72" i="15" s="1"/>
  <c r="BL68" i="15"/>
  <c r="BL72" i="15" s="1"/>
  <c r="BT68" i="15"/>
  <c r="BT72" i="15" s="1"/>
  <c r="BD68" i="15"/>
  <c r="BD72" i="15" s="1"/>
  <c r="BF68" i="15"/>
  <c r="BF72" i="15" s="1"/>
  <c r="BA68" i="15"/>
  <c r="BA72" i="15" s="1"/>
  <c r="BG68" i="15"/>
  <c r="BG72" i="15" s="1"/>
  <c r="BJ67" i="11"/>
  <c r="BJ71" i="11" s="1"/>
  <c r="BK67" i="11"/>
  <c r="BK71" i="11" s="1"/>
  <c r="BQ67" i="11"/>
  <c r="BP67" i="11"/>
  <c r="BM67" i="11"/>
  <c r="BR67" i="11"/>
  <c r="BS67" i="11"/>
  <c r="BO67" i="11"/>
  <c r="BN67" i="11"/>
  <c r="BT67" i="11"/>
  <c r="BL67" i="11"/>
  <c r="BV68" i="5"/>
  <c r="BU68" i="5"/>
  <c r="BT68" i="5"/>
  <c r="BS68" i="5"/>
  <c r="BC68" i="5"/>
  <c r="BN68" i="5"/>
  <c r="BH68" i="5"/>
  <c r="BP68" i="5"/>
  <c r="BK68" i="5"/>
  <c r="BJ68" i="5"/>
  <c r="BR68" i="5"/>
  <c r="BB68" i="5"/>
  <c r="BQ68" i="5"/>
  <c r="BM68" i="5"/>
  <c r="AY68" i="5"/>
  <c r="BG68" i="5"/>
  <c r="BE68" i="5"/>
  <c r="BA68" i="5"/>
  <c r="AZ68" i="5"/>
  <c r="BD68" i="5"/>
  <c r="AX68" i="5"/>
  <c r="BL68" i="5"/>
  <c r="BO68" i="5"/>
  <c r="BF68" i="5"/>
  <c r="BI68" i="5"/>
  <c r="BA35" i="11"/>
  <c r="BB35" i="11"/>
  <c r="BF35" i="11"/>
  <c r="BD35" i="11"/>
  <c r="BE35" i="11"/>
  <c r="AX35" i="11"/>
  <c r="AY35" i="11"/>
  <c r="AZ35" i="11"/>
  <c r="BC35" i="11"/>
  <c r="BG35" i="11"/>
  <c r="BC36" i="15"/>
  <c r="BC40" i="15" s="1"/>
  <c r="BI36" i="15"/>
  <c r="BI40" i="15" s="1"/>
  <c r="BB36" i="15"/>
  <c r="BB40" i="15" s="1"/>
  <c r="AY36" i="15"/>
  <c r="AY40" i="15" s="1"/>
  <c r="BA36" i="15"/>
  <c r="BA40" i="15" s="1"/>
  <c r="BD36" i="15"/>
  <c r="BD40" i="15" s="1"/>
  <c r="BG36" i="15"/>
  <c r="BG40" i="15" s="1"/>
  <c r="BE36" i="15"/>
  <c r="BE40" i="15" s="1"/>
  <c r="BH36" i="15"/>
  <c r="BH40" i="15" s="1"/>
  <c r="AZ36" i="15"/>
  <c r="AZ40" i="15" s="1"/>
  <c r="BF36" i="15"/>
  <c r="BF40" i="15" s="1"/>
  <c r="BV36" i="5"/>
  <c r="BC36" i="5"/>
  <c r="BC40" i="5" s="1"/>
  <c r="BJ36" i="5"/>
  <c r="BU36" i="5"/>
  <c r="BK36" i="5"/>
  <c r="BM36" i="5"/>
  <c r="BS36" i="5"/>
  <c r="AZ36" i="5"/>
  <c r="AY36" i="5"/>
  <c r="AX36" i="5"/>
  <c r="BG36" i="5"/>
  <c r="BP36" i="5"/>
  <c r="BL36" i="5"/>
  <c r="BD36" i="5"/>
  <c r="BD40" i="5" s="1"/>
  <c r="BR36" i="5"/>
  <c r="BO36" i="5"/>
  <c r="BF36" i="5"/>
  <c r="BF40" i="5" s="1"/>
  <c r="BA36" i="5"/>
  <c r="BE36" i="5"/>
  <c r="BE40" i="5" s="1"/>
  <c r="BQ36" i="5"/>
  <c r="BI36" i="5"/>
  <c r="BT36" i="5"/>
  <c r="BN36" i="5"/>
  <c r="BH36" i="5"/>
  <c r="BB36" i="5"/>
  <c r="CA61" i="5"/>
  <c r="BI61" i="5"/>
  <c r="BS61" i="5"/>
  <c r="BO61" i="5"/>
  <c r="BM61" i="5"/>
  <c r="BF61" i="5"/>
  <c r="BZ61" i="5"/>
  <c r="BD61" i="5"/>
  <c r="BH61" i="5"/>
  <c r="BJ61" i="5"/>
  <c r="BC61" i="5"/>
  <c r="BQ61" i="5"/>
  <c r="BY61" i="5"/>
  <c r="BG61" i="5"/>
  <c r="BE61" i="5"/>
  <c r="BN61" i="5"/>
  <c r="BX61" i="5"/>
  <c r="BR61" i="5"/>
  <c r="BK61" i="5"/>
  <c r="BL61" i="5"/>
  <c r="BP61" i="5"/>
  <c r="CG60" i="11"/>
  <c r="CP60" i="11"/>
  <c r="CL60" i="11"/>
  <c r="BY60" i="11"/>
  <c r="CB60" i="11"/>
  <c r="CE60" i="11"/>
  <c r="CA60" i="11"/>
  <c r="CJ60" i="11"/>
  <c r="CC60" i="11"/>
  <c r="CH60" i="11"/>
  <c r="CK60" i="11"/>
  <c r="CI60" i="11"/>
  <c r="CF60" i="11"/>
  <c r="CN60" i="11"/>
  <c r="CM60" i="11"/>
  <c r="CO60" i="11"/>
  <c r="BZ60" i="11"/>
  <c r="CD60" i="11"/>
  <c r="CR61" i="15"/>
  <c r="CJ61" i="15"/>
  <c r="CI61" i="15"/>
  <c r="CU61" i="15"/>
  <c r="CS61" i="15"/>
  <c r="CT61" i="15"/>
  <c r="CL61" i="15"/>
  <c r="CN61" i="15"/>
  <c r="CM61" i="15"/>
  <c r="CY61" i="15"/>
  <c r="CP61" i="15"/>
  <c r="DB61" i="15"/>
  <c r="DB64" i="15" s="1"/>
  <c r="CZ61" i="15"/>
  <c r="CZ64" i="15" s="1"/>
  <c r="CX61" i="15"/>
  <c r="CK61" i="15"/>
  <c r="CO61" i="15"/>
  <c r="CV61" i="15"/>
  <c r="DA61" i="15"/>
  <c r="DA64" i="15" s="1"/>
  <c r="CQ61" i="15"/>
  <c r="CW61" i="15"/>
  <c r="BV60" i="5"/>
  <c r="BF60" i="5"/>
  <c r="BG60" i="5"/>
  <c r="BD60" i="5"/>
  <c r="BU60" i="5"/>
  <c r="BS60" i="5"/>
  <c r="BQ60" i="5"/>
  <c r="AX60" i="5"/>
  <c r="BC60" i="5"/>
  <c r="BT60" i="5"/>
  <c r="BJ60" i="5"/>
  <c r="BR60" i="5"/>
  <c r="BN60" i="5"/>
  <c r="BK60" i="5"/>
  <c r="BM60" i="5"/>
  <c r="BP60" i="5"/>
  <c r="BO60" i="5"/>
  <c r="BA60" i="5"/>
  <c r="BB60" i="5"/>
  <c r="AY60" i="5"/>
  <c r="BE60" i="5"/>
  <c r="BL60" i="5"/>
  <c r="BH60" i="5"/>
  <c r="BI60" i="5"/>
  <c r="AZ60" i="5"/>
  <c r="BP59" i="11"/>
  <c r="BS59" i="11"/>
  <c r="BL59" i="11"/>
  <c r="BK59" i="11"/>
  <c r="BR59" i="11"/>
  <c r="BQ59" i="11"/>
  <c r="BM59" i="11"/>
  <c r="BO59" i="11"/>
  <c r="BN59" i="11"/>
  <c r="BI59" i="11"/>
  <c r="BJ59" i="11"/>
  <c r="BN60" i="15"/>
  <c r="BN64" i="15" s="1"/>
  <c r="BP60" i="15"/>
  <c r="BP64" i="15" s="1"/>
  <c r="BT60" i="15"/>
  <c r="BT64" i="15" s="1"/>
  <c r="BG60" i="15"/>
  <c r="BG64" i="15" s="1"/>
  <c r="AZ60" i="15"/>
  <c r="AZ64" i="15" s="1"/>
  <c r="BE60" i="15"/>
  <c r="BE64" i="15" s="1"/>
  <c r="BU60" i="15"/>
  <c r="BU64" i="15" s="1"/>
  <c r="BR60" i="15"/>
  <c r="BR64" i="15" s="1"/>
  <c r="BM60" i="15"/>
  <c r="BM64" i="15" s="1"/>
  <c r="BH60" i="15"/>
  <c r="BH64" i="15" s="1"/>
  <c r="BQ60" i="15"/>
  <c r="BQ64" i="15" s="1"/>
  <c r="BI60" i="15"/>
  <c r="BI64" i="15" s="1"/>
  <c r="BJ60" i="15"/>
  <c r="BJ64" i="15" s="1"/>
  <c r="BB60" i="15"/>
  <c r="BB64" i="15" s="1"/>
  <c r="BK60" i="15"/>
  <c r="BK64" i="15" s="1"/>
  <c r="BC60" i="15"/>
  <c r="BC64" i="15" s="1"/>
  <c r="BO60" i="15"/>
  <c r="BO64" i="15" s="1"/>
  <c r="BA60" i="15"/>
  <c r="BA64" i="15" s="1"/>
  <c r="BF60" i="15"/>
  <c r="BF64" i="15" s="1"/>
  <c r="BD60" i="15"/>
  <c r="BD64" i="15" s="1"/>
  <c r="BS60" i="15"/>
  <c r="BS64" i="15" s="1"/>
  <c r="BL60" i="15"/>
  <c r="BL64" i="15" s="1"/>
  <c r="BN51" i="11"/>
  <c r="BL51" i="11"/>
  <c r="BM51" i="11"/>
  <c r="BO51" i="11"/>
  <c r="BQ51" i="11"/>
  <c r="BP51" i="11"/>
  <c r="BK51" i="11"/>
  <c r="BV52" i="5"/>
  <c r="BD52" i="5"/>
  <c r="BI52" i="5"/>
  <c r="BP52" i="5"/>
  <c r="AX52" i="5"/>
  <c r="BO52" i="5"/>
  <c r="BS52" i="5"/>
  <c r="BG52" i="5"/>
  <c r="BE52" i="5"/>
  <c r="BC52" i="5"/>
  <c r="BB52" i="5"/>
  <c r="BM52" i="5"/>
  <c r="BT52" i="5"/>
  <c r="BH52" i="5"/>
  <c r="AY52" i="5"/>
  <c r="BU52" i="5"/>
  <c r="BF52" i="5"/>
  <c r="BQ52" i="5"/>
  <c r="BA52" i="5"/>
  <c r="BJ52" i="5"/>
  <c r="BN52" i="5"/>
  <c r="AZ52" i="5"/>
  <c r="BL52" i="5"/>
  <c r="BK52" i="5"/>
  <c r="BR52" i="5"/>
  <c r="BH52" i="15"/>
  <c r="BH56" i="15" s="1"/>
  <c r="BO52" i="15"/>
  <c r="BO56" i="15" s="1"/>
  <c r="BL52" i="15"/>
  <c r="BL56" i="15" s="1"/>
  <c r="BB52" i="15"/>
  <c r="BB56" i="15" s="1"/>
  <c r="BE52" i="15"/>
  <c r="BE56" i="15" s="1"/>
  <c r="BP52" i="15"/>
  <c r="BP56" i="15" s="1"/>
  <c r="BG52" i="15"/>
  <c r="BG56" i="15" s="1"/>
  <c r="AZ52" i="15"/>
  <c r="AZ56" i="15" s="1"/>
  <c r="BD52" i="15"/>
  <c r="BD56" i="15" s="1"/>
  <c r="BK52" i="15"/>
  <c r="BK56" i="15" s="1"/>
  <c r="BQ52" i="15"/>
  <c r="BQ56" i="15" s="1"/>
  <c r="BJ52" i="15"/>
  <c r="BJ56" i="15" s="1"/>
  <c r="BS52" i="15"/>
  <c r="BS56" i="15" s="1"/>
  <c r="BC52" i="15"/>
  <c r="BC56" i="15" s="1"/>
  <c r="BR52" i="15"/>
  <c r="BR56" i="15" s="1"/>
  <c r="BN52" i="15"/>
  <c r="BN56" i="15" s="1"/>
  <c r="BM52" i="15"/>
  <c r="BM56" i="15" s="1"/>
  <c r="BF52" i="15"/>
  <c r="BF56" i="15" s="1"/>
  <c r="BI52" i="15"/>
  <c r="BI56" i="15" s="1"/>
  <c r="BA52" i="15"/>
  <c r="BA56" i="15" s="1"/>
  <c r="AZ15" i="11" l="1"/>
  <c r="BA15" i="11"/>
  <c r="AY15" i="11"/>
  <c r="AV15" i="11"/>
  <c r="CH38" i="15"/>
  <c r="CM38" i="15"/>
  <c r="CJ38" i="15"/>
  <c r="CF38" i="15"/>
  <c r="CE38" i="15"/>
  <c r="CL38" i="15"/>
  <c r="CN38" i="15"/>
  <c r="CN40" i="15" s="1"/>
  <c r="CO38" i="15"/>
  <c r="CO40" i="15" s="1"/>
  <c r="CA38" i="5"/>
  <c r="BU38" i="5"/>
  <c r="BU40" i="5" s="1"/>
  <c r="CD38" i="5"/>
  <c r="CD40" i="5" s="1"/>
  <c r="BR61" i="11"/>
  <c r="BR63" i="11" s="1"/>
  <c r="CG61" i="11"/>
  <c r="CG63" i="11" s="1"/>
  <c r="BX61" i="11"/>
  <c r="BX63" i="11" s="1"/>
  <c r="CO61" i="11"/>
  <c r="CO63" i="11" s="1"/>
  <c r="CV61" i="11"/>
  <c r="CV63" i="11" s="1"/>
  <c r="BV61" i="11"/>
  <c r="BV63" i="11" s="1"/>
  <c r="CE61" i="11"/>
  <c r="CE63" i="11" s="1"/>
  <c r="CD61" i="11"/>
  <c r="CD63" i="11" s="1"/>
  <c r="CL61" i="11"/>
  <c r="CL63" i="11" s="1"/>
  <c r="CU61" i="11"/>
  <c r="CU63" i="11" s="1"/>
  <c r="BZ61" i="11"/>
  <c r="BZ63" i="11" s="1"/>
  <c r="CJ61" i="11"/>
  <c r="CJ63" i="11" s="1"/>
  <c r="BW61" i="11"/>
  <c r="BW63" i="11" s="1"/>
  <c r="BU61" i="11"/>
  <c r="BU63" i="11" s="1"/>
  <c r="CS61" i="11"/>
  <c r="CS63" i="11" s="1"/>
  <c r="BS61" i="11"/>
  <c r="BS63" i="11" s="1"/>
  <c r="CF61" i="11"/>
  <c r="CF63" i="11" s="1"/>
  <c r="CC61" i="11"/>
  <c r="CC63" i="11" s="1"/>
  <c r="BY61" i="11"/>
  <c r="BY63" i="11" s="1"/>
  <c r="CN61" i="11"/>
  <c r="CN63" i="11" s="1"/>
  <c r="CK61" i="11"/>
  <c r="CK63" i="11" s="1"/>
  <c r="BT61" i="11"/>
  <c r="BT63" i="11" s="1"/>
  <c r="CQ61" i="11"/>
  <c r="CQ63" i="11" s="1"/>
  <c r="CP61" i="11"/>
  <c r="CP63" i="11" s="1"/>
  <c r="CR61" i="11"/>
  <c r="CR63" i="11" s="1"/>
  <c r="CT61" i="11"/>
  <c r="CT63" i="11" s="1"/>
  <c r="CW61" i="11"/>
  <c r="CW63" i="11" s="1"/>
  <c r="CI61" i="11"/>
  <c r="CI63" i="11" s="1"/>
  <c r="CB61" i="11"/>
  <c r="CB63" i="11" s="1"/>
  <c r="CH61" i="11"/>
  <c r="CH63" i="11" s="1"/>
  <c r="CM61" i="11"/>
  <c r="CM63" i="11" s="1"/>
  <c r="CA61" i="11"/>
  <c r="CA63" i="11" s="1"/>
  <c r="CV62" i="15"/>
  <c r="CV64" i="15" s="1"/>
  <c r="CO62" i="15"/>
  <c r="CO64" i="15" s="1"/>
  <c r="CS62" i="15"/>
  <c r="CS64" i="15" s="1"/>
  <c r="CY62" i="15"/>
  <c r="CY64" i="15" s="1"/>
  <c r="CQ62" i="15"/>
  <c r="CQ64" i="15" s="1"/>
  <c r="CW62" i="15"/>
  <c r="CW64" i="15" s="1"/>
  <c r="CN62" i="15"/>
  <c r="CN64" i="15" s="1"/>
  <c r="CM62" i="15"/>
  <c r="CM64" i="15" s="1"/>
  <c r="CX62" i="15"/>
  <c r="CX64" i="15" s="1"/>
  <c r="CR62" i="15"/>
  <c r="CR64" i="15" s="1"/>
  <c r="CT62" i="15"/>
  <c r="CT64" i="15" s="1"/>
  <c r="CP62" i="15"/>
  <c r="CP64" i="15" s="1"/>
  <c r="CL62" i="15"/>
  <c r="CL64" i="15" s="1"/>
  <c r="CU62" i="15"/>
  <c r="CU64" i="15" s="1"/>
  <c r="CE62" i="5"/>
  <c r="CE64" i="5" s="1"/>
  <c r="BY62" i="5"/>
  <c r="BY64" i="5" s="1"/>
  <c r="CD62" i="5"/>
  <c r="CD64" i="5" s="1"/>
  <c r="BU62" i="5"/>
  <c r="BU64" i="5" s="1"/>
  <c r="BX62" i="5"/>
  <c r="BX64" i="5" s="1"/>
  <c r="BR62" i="5"/>
  <c r="BR64" i="5" s="1"/>
  <c r="BT62" i="5"/>
  <c r="BT64" i="5" s="1"/>
  <c r="CB62" i="5"/>
  <c r="CB64" i="5" s="1"/>
  <c r="BS62" i="5"/>
  <c r="BS64" i="5" s="1"/>
  <c r="BV62" i="5"/>
  <c r="BV64" i="5" s="1"/>
  <c r="CA62" i="5"/>
  <c r="CA64" i="5" s="1"/>
  <c r="CC62" i="5"/>
  <c r="CC64" i="5" s="1"/>
  <c r="BW62" i="5"/>
  <c r="BW64" i="5" s="1"/>
  <c r="BZ62" i="5"/>
  <c r="BZ64" i="5" s="1"/>
  <c r="BW38" i="5"/>
  <c r="BW40" i="5" s="1"/>
  <c r="BR38" i="5"/>
  <c r="BR40" i="5" s="1"/>
  <c r="BS38" i="5"/>
  <c r="BS40" i="5" s="1"/>
  <c r="CC38" i="5"/>
  <c r="CC40" i="5" s="1"/>
  <c r="CJ64" i="15"/>
  <c r="CI64" i="15"/>
  <c r="CK64" i="15"/>
  <c r="AX64" i="5"/>
  <c r="BN55" i="11"/>
  <c r="BL55" i="11"/>
  <c r="BM55" i="11"/>
  <c r="BO55" i="11"/>
  <c r="BK55" i="11"/>
  <c r="AX56" i="5"/>
  <c r="BB56" i="5"/>
  <c r="BA56" i="5"/>
  <c r="AZ56" i="5"/>
  <c r="CB38" i="5"/>
  <c r="CB40" i="5" s="1"/>
  <c r="BY38" i="5"/>
  <c r="BY40" i="5" s="1"/>
  <c r="BX38" i="5"/>
  <c r="BX40" i="5" s="1"/>
  <c r="BT38" i="5"/>
  <c r="BT40" i="5" s="1"/>
  <c r="BA64" i="5"/>
  <c r="BB64" i="5"/>
  <c r="AY64" i="5"/>
  <c r="AZ64" i="5"/>
  <c r="BL63" i="11"/>
  <c r="BK63" i="11"/>
  <c r="BJ63" i="11"/>
  <c r="BL37" i="11"/>
  <c r="BL39" i="11" s="1"/>
  <c r="BT37" i="11"/>
  <c r="BT39" i="11" s="1"/>
  <c r="BC37" i="11"/>
  <c r="BC39" i="11" s="1"/>
  <c r="CD37" i="11"/>
  <c r="CD39" i="11" s="1"/>
  <c r="BJ37" i="11"/>
  <c r="BJ39" i="11" s="1"/>
  <c r="CI37" i="11"/>
  <c r="CI39" i="11" s="1"/>
  <c r="BB37" i="11"/>
  <c r="BB39" i="11" s="1"/>
  <c r="BO37" i="11"/>
  <c r="BO39" i="11" s="1"/>
  <c r="CM37" i="11"/>
  <c r="CM39" i="11" s="1"/>
  <c r="BU37" i="11"/>
  <c r="BU39" i="11" s="1"/>
  <c r="BX37" i="11"/>
  <c r="BX39" i="11" s="1"/>
  <c r="BD37" i="11"/>
  <c r="BD39" i="11" s="1"/>
  <c r="BE37" i="11"/>
  <c r="BE39" i="11" s="1"/>
  <c r="BH37" i="11"/>
  <c r="BH39" i="11" s="1"/>
  <c r="BS37" i="11"/>
  <c r="BS39" i="11" s="1"/>
  <c r="CF37" i="11"/>
  <c r="CF39" i="11" s="1"/>
  <c r="BR37" i="11"/>
  <c r="BR39" i="11" s="1"/>
  <c r="CL37" i="11"/>
  <c r="CL39" i="11" s="1"/>
  <c r="BK37" i="11"/>
  <c r="BK39" i="11" s="1"/>
  <c r="CE37" i="11"/>
  <c r="CE39" i="11" s="1"/>
  <c r="BM37" i="11"/>
  <c r="BM39" i="11" s="1"/>
  <c r="BP37" i="11"/>
  <c r="BP39" i="11" s="1"/>
  <c r="BY37" i="11"/>
  <c r="BY39" i="11" s="1"/>
  <c r="CB37" i="11"/>
  <c r="CB39" i="11" s="1"/>
  <c r="CK37" i="11"/>
  <c r="CK39" i="11" s="1"/>
  <c r="BV37" i="11"/>
  <c r="BV39" i="11" s="1"/>
  <c r="BF37" i="11"/>
  <c r="BF39" i="11" s="1"/>
  <c r="BG37" i="11"/>
  <c r="BG39" i="11" s="1"/>
  <c r="BN37" i="11"/>
  <c r="BN39" i="11" s="1"/>
  <c r="BW37" i="11"/>
  <c r="BW39" i="11" s="1"/>
  <c r="CG37" i="11"/>
  <c r="CG39" i="11" s="1"/>
  <c r="CH37" i="11"/>
  <c r="CH39" i="11" s="1"/>
  <c r="BV38" i="5"/>
  <c r="BV40" i="5" s="1"/>
  <c r="CE38" i="5"/>
  <c r="CE40" i="5" s="1"/>
  <c r="BZ38" i="5"/>
  <c r="BZ40" i="5" s="1"/>
  <c r="BF24" i="5"/>
  <c r="BE24" i="5"/>
  <c r="BG24" i="5"/>
  <c r="CK56" i="15"/>
  <c r="AY56" i="5"/>
  <c r="CG56" i="15"/>
  <c r="CJ56" i="15"/>
  <c r="CI56" i="15"/>
  <c r="CF56" i="15"/>
  <c r="CH56" i="15"/>
  <c r="BP63" i="11"/>
  <c r="AW29" i="11"/>
  <c r="AW31" i="11" s="1"/>
  <c r="AX29" i="11"/>
  <c r="AX31" i="11" s="1"/>
  <c r="AZ29" i="11"/>
  <c r="AZ31" i="11" s="1"/>
  <c r="BD29" i="11"/>
  <c r="BD31" i="11" s="1"/>
  <c r="BE29" i="11"/>
  <c r="BE31" i="11" s="1"/>
  <c r="BF29" i="11"/>
  <c r="BF31" i="11" s="1"/>
  <c r="BB29" i="11"/>
  <c r="BB31" i="11" s="1"/>
  <c r="AY29" i="11"/>
  <c r="AY31" i="11" s="1"/>
  <c r="AV29" i="11"/>
  <c r="AV31" i="11" s="1"/>
  <c r="BC29" i="11"/>
  <c r="BC31" i="11" s="1"/>
  <c r="BA29" i="11"/>
  <c r="BA31" i="11" s="1"/>
  <c r="BA30" i="15"/>
  <c r="BA32" i="15" s="1"/>
  <c r="BD30" i="15"/>
  <c r="BD32" i="15" s="1"/>
  <c r="AZ30" i="15"/>
  <c r="AZ32" i="15" s="1"/>
  <c r="BG30" i="15"/>
  <c r="BG32" i="15" s="1"/>
  <c r="BH30" i="15"/>
  <c r="BH32" i="15" s="1"/>
  <c r="BB30" i="15"/>
  <c r="BB32" i="15" s="1"/>
  <c r="AY30" i="15"/>
  <c r="AY32" i="15" s="1"/>
  <c r="BF30" i="15"/>
  <c r="BF32" i="15" s="1"/>
  <c r="BC30" i="15"/>
  <c r="BC32" i="15" s="1"/>
  <c r="BE30" i="15"/>
  <c r="BE32" i="15" s="1"/>
  <c r="BG30" i="5"/>
  <c r="BG32" i="5" s="1"/>
  <c r="BE30" i="5"/>
  <c r="BE32" i="5" s="1"/>
  <c r="BC30" i="5"/>
  <c r="BC32" i="5" s="1"/>
  <c r="BF30" i="5"/>
  <c r="BF32" i="5" s="1"/>
  <c r="BA30" i="5"/>
  <c r="BA32" i="5" s="1"/>
  <c r="AV30" i="5"/>
  <c r="AV32" i="5" s="1"/>
  <c r="AX30" i="5"/>
  <c r="AX32" i="5" s="1"/>
  <c r="AT30" i="5"/>
  <c r="AT32" i="5" s="1"/>
  <c r="BD30" i="5"/>
  <c r="BD32" i="5" s="1"/>
  <c r="AY30" i="5"/>
  <c r="AY32" i="5" s="1"/>
  <c r="AW30" i="5"/>
  <c r="AW32" i="5" s="1"/>
  <c r="AU30" i="5"/>
  <c r="AU32" i="5" s="1"/>
  <c r="BB30" i="5"/>
  <c r="BB32" i="5" s="1"/>
  <c r="AZ30" i="5"/>
  <c r="AZ32" i="5" s="1"/>
  <c r="CA40" i="5"/>
  <c r="CM40" i="15"/>
  <c r="CL40" i="15"/>
  <c r="CJ40" i="15"/>
  <c r="CH40" i="15"/>
  <c r="CF40" i="15"/>
  <c r="CE40" i="15"/>
  <c r="CE75" i="15" s="1"/>
  <c r="BQ63" i="11"/>
  <c r="BM63" i="11"/>
  <c r="BO63" i="11"/>
  <c r="BN63" i="11"/>
  <c r="BI63" i="11"/>
  <c r="BQ37" i="11"/>
  <c r="BQ39" i="11" s="1"/>
  <c r="CC37" i="11"/>
  <c r="CC39" i="11" s="1"/>
  <c r="BI37" i="11"/>
  <c r="BI39" i="11" s="1"/>
  <c r="CA37" i="11"/>
  <c r="CA39" i="11" s="1"/>
  <c r="BZ37" i="11"/>
  <c r="BZ39" i="11" s="1"/>
  <c r="CJ37" i="11"/>
  <c r="CJ39" i="11" s="1"/>
  <c r="CS70" i="15"/>
  <c r="CS72" i="15" s="1"/>
  <c r="CQ70" i="15"/>
  <c r="CQ72" i="15" s="1"/>
  <c r="BZ70" i="5"/>
  <c r="BZ72" i="5" s="1"/>
  <c r="BY70" i="5"/>
  <c r="BY72" i="5" s="1"/>
  <c r="BV70" i="5"/>
  <c r="BV72" i="5" s="1"/>
  <c r="BU70" i="5"/>
  <c r="BU72" i="5" s="1"/>
  <c r="BR70" i="5"/>
  <c r="BR72" i="5" s="1"/>
  <c r="CB70" i="5"/>
  <c r="CB72" i="5" s="1"/>
  <c r="BT70" i="5"/>
  <c r="BT72" i="5" s="1"/>
  <c r="CC70" i="5"/>
  <c r="CC72" i="5" s="1"/>
  <c r="BW70" i="5"/>
  <c r="BW72" i="5" s="1"/>
  <c r="BX70" i="5"/>
  <c r="BX72" i="5" s="1"/>
  <c r="BS70" i="5"/>
  <c r="BS72" i="5" s="1"/>
  <c r="CA70" i="5"/>
  <c r="CA72" i="5" s="1"/>
  <c r="CD70" i="5"/>
  <c r="CD72" i="5" s="1"/>
  <c r="CE70" i="5"/>
  <c r="CE72" i="5" s="1"/>
  <c r="BO69" i="11"/>
  <c r="BO71" i="11" s="1"/>
  <c r="CC69" i="11"/>
  <c r="CC71" i="11" s="1"/>
  <c r="BP69" i="11"/>
  <c r="BP71" i="11" s="1"/>
  <c r="BY69" i="11"/>
  <c r="BY71" i="11" s="1"/>
  <c r="CO69" i="11"/>
  <c r="CO71" i="11" s="1"/>
  <c r="CD38" i="15"/>
  <c r="CD40" i="15" s="1"/>
  <c r="CD75" i="15" s="1"/>
  <c r="CC38" i="15"/>
  <c r="CC40" i="15" s="1"/>
  <c r="CC75" i="15" s="1"/>
  <c r="CI38" i="15"/>
  <c r="CI40" i="15" s="1"/>
  <c r="CK38" i="15"/>
  <c r="CK40" i="15" s="1"/>
  <c r="CB38" i="15"/>
  <c r="CB40" i="15" s="1"/>
  <c r="CB75" i="15" s="1"/>
  <c r="CG38" i="15"/>
  <c r="CG40" i="15" s="1"/>
  <c r="CA69" i="11"/>
  <c r="CA71" i="11" s="1"/>
  <c r="BQ69" i="11"/>
  <c r="BQ71" i="11" s="1"/>
  <c r="CB69" i="11"/>
  <c r="CB71" i="11" s="1"/>
  <c r="BU69" i="11"/>
  <c r="BU71" i="11" s="1"/>
  <c r="BT69" i="11"/>
  <c r="BT71" i="11" s="1"/>
  <c r="CI69" i="11"/>
  <c r="CI71" i="11" s="1"/>
  <c r="BR69" i="11"/>
  <c r="BR71" i="11" s="1"/>
  <c r="CK69" i="11"/>
  <c r="CK71" i="11" s="1"/>
  <c r="CE69" i="11"/>
  <c r="CE71" i="11" s="1"/>
  <c r="BV69" i="11"/>
  <c r="BV71" i="11" s="1"/>
  <c r="BX69" i="11"/>
  <c r="BX71" i="11" s="1"/>
  <c r="CM69" i="11"/>
  <c r="CM71" i="11" s="1"/>
  <c r="CN69" i="11"/>
  <c r="CN71" i="11" s="1"/>
  <c r="CJ69" i="11"/>
  <c r="CJ71" i="11" s="1"/>
  <c r="CV69" i="11"/>
  <c r="CV71" i="11" s="1"/>
  <c r="BW69" i="11"/>
  <c r="BW71" i="11" s="1"/>
  <c r="CS69" i="11"/>
  <c r="CS71" i="11" s="1"/>
  <c r="CR69" i="11"/>
  <c r="CR71" i="11" s="1"/>
  <c r="CL69" i="11"/>
  <c r="CL71" i="11" s="1"/>
  <c r="CW69" i="11"/>
  <c r="CW71" i="11" s="1"/>
  <c r="CU69" i="11"/>
  <c r="CU71" i="11" s="1"/>
  <c r="CF69" i="11"/>
  <c r="CF71" i="11" s="1"/>
  <c r="CH69" i="11"/>
  <c r="CH71" i="11" s="1"/>
  <c r="BS69" i="11"/>
  <c r="BS71" i="11" s="1"/>
  <c r="CG69" i="11"/>
  <c r="CG71" i="11" s="1"/>
  <c r="CP69" i="11"/>
  <c r="CP71" i="11" s="1"/>
  <c r="CQ69" i="11"/>
  <c r="CQ71" i="11" s="1"/>
  <c r="BZ69" i="11"/>
  <c r="BZ71" i="11" s="1"/>
  <c r="CT69" i="11"/>
  <c r="CT71" i="11" s="1"/>
  <c r="CD69" i="11"/>
  <c r="CD71" i="11" s="1"/>
  <c r="CP70" i="15"/>
  <c r="CP72" i="15" s="1"/>
  <c r="CR70" i="15"/>
  <c r="CR72" i="15" s="1"/>
  <c r="CY70" i="15"/>
  <c r="CY72" i="15" s="1"/>
  <c r="CL70" i="15"/>
  <c r="CL72" i="15" s="1"/>
  <c r="CT70" i="15"/>
  <c r="CT72" i="15" s="1"/>
  <c r="CO70" i="15"/>
  <c r="CO72" i="15" s="1"/>
  <c r="CU70" i="15"/>
  <c r="CU72" i="15" s="1"/>
  <c r="CN70" i="15"/>
  <c r="CN72" i="15" s="1"/>
  <c r="CV70" i="15"/>
  <c r="CV72" i="15" s="1"/>
  <c r="CX70" i="15"/>
  <c r="CX72" i="15" s="1"/>
  <c r="CW70" i="15"/>
  <c r="CW72" i="15" s="1"/>
  <c r="CM70" i="15"/>
  <c r="CM72" i="15" s="1"/>
  <c r="AY72" i="5"/>
  <c r="AX72" i="5"/>
  <c r="BA72" i="5"/>
  <c r="AZ72" i="5"/>
  <c r="BW40" i="15"/>
  <c r="CA40" i="15"/>
  <c r="CA75" i="15" s="1"/>
  <c r="BU40" i="15"/>
  <c r="BV40" i="15"/>
  <c r="BT40" i="15"/>
  <c r="BY40" i="15"/>
  <c r="BZ40" i="15"/>
  <c r="BZ75" i="15" s="1"/>
  <c r="BX40" i="15"/>
  <c r="CI72" i="15"/>
  <c r="CJ72" i="15"/>
  <c r="CK72" i="15"/>
  <c r="BQ48" i="15"/>
  <c r="BQ75" i="15" s="1"/>
  <c r="BU48" i="15"/>
  <c r="BT48" i="15"/>
  <c r="BP48" i="15"/>
  <c r="BP75" i="15" s="1"/>
  <c r="BV48" i="15"/>
  <c r="BS48" i="15"/>
  <c r="BS75" i="15" s="1"/>
  <c r="BX48" i="15"/>
  <c r="BR48" i="15"/>
  <c r="BR75" i="15" s="1"/>
  <c r="BY48" i="15"/>
  <c r="BO48" i="15"/>
  <c r="BO75" i="15" s="1"/>
  <c r="BW48" i="15"/>
  <c r="BN48" i="15"/>
  <c r="BN75" i="15" s="1"/>
  <c r="BD47" i="11"/>
  <c r="BE47" i="11"/>
  <c r="BB47" i="11"/>
  <c r="BC47" i="11"/>
  <c r="AZ48" i="5"/>
  <c r="AX48" i="5"/>
  <c r="AY48" i="5"/>
  <c r="BB48" i="5"/>
  <c r="BA48" i="5"/>
  <c r="BE48" i="15"/>
  <c r="BM71" i="11"/>
  <c r="BN71" i="11"/>
  <c r="BL71" i="11"/>
  <c r="BB72" i="5"/>
  <c r="EN7" i="11"/>
  <c r="EM7" i="11"/>
  <c r="AT22" i="5"/>
  <c r="AT24" i="5" s="1"/>
  <c r="BA22" i="5"/>
  <c r="BA24" i="5" s="1"/>
  <c r="AZ22" i="5"/>
  <c r="AZ24" i="5" s="1"/>
  <c r="BD22" i="5"/>
  <c r="BD24" i="5" s="1"/>
  <c r="AS22" i="5"/>
  <c r="AS24" i="5" s="1"/>
  <c r="AS75" i="5" s="1"/>
  <c r="AQ22" i="5"/>
  <c r="AQ24" i="5" s="1"/>
  <c r="AQ75" i="5" s="1"/>
  <c r="BB22" i="5"/>
  <c r="BB24" i="5" s="1"/>
  <c r="AU22" i="5"/>
  <c r="AU24" i="5" s="1"/>
  <c r="BC22" i="5"/>
  <c r="BC24" i="5" s="1"/>
  <c r="AY22" i="5"/>
  <c r="AY24" i="5" s="1"/>
  <c r="AR22" i="5"/>
  <c r="AR24" i="5" s="1"/>
  <c r="AR75" i="5" s="1"/>
  <c r="AX22" i="5"/>
  <c r="AX24" i="5" s="1"/>
  <c r="AV22" i="5"/>
  <c r="AV24" i="5" s="1"/>
  <c r="AW22" i="5"/>
  <c r="AW24" i="5" s="1"/>
  <c r="AQ21" i="11"/>
  <c r="AQ23" i="11" s="1"/>
  <c r="AU21" i="11"/>
  <c r="AU23" i="11" s="1"/>
  <c r="AT21" i="11"/>
  <c r="AT23" i="11" s="1"/>
  <c r="BB21" i="11"/>
  <c r="BB23" i="11" s="1"/>
  <c r="AV21" i="11"/>
  <c r="AV23" i="11" s="1"/>
  <c r="AX21" i="11"/>
  <c r="AX23" i="11" s="1"/>
  <c r="AZ21" i="11"/>
  <c r="AZ23" i="11" s="1"/>
  <c r="BC21" i="11"/>
  <c r="BC23" i="11" s="1"/>
  <c r="BA21" i="11"/>
  <c r="BA23" i="11" s="1"/>
  <c r="AS21" i="11"/>
  <c r="AS23" i="11" s="1"/>
  <c r="AW21" i="11"/>
  <c r="AW23" i="11" s="1"/>
  <c r="AR21" i="11"/>
  <c r="AR23" i="11" s="1"/>
  <c r="AY21" i="11"/>
  <c r="AY23" i="11" s="1"/>
  <c r="BE22" i="15"/>
  <c r="BE24" i="15" s="1"/>
  <c r="BB22" i="15"/>
  <c r="BB24" i="15" s="1"/>
  <c r="BA22" i="15"/>
  <c r="BA24" i="15" s="1"/>
  <c r="BC22" i="15"/>
  <c r="BC24" i="15" s="1"/>
  <c r="BD22" i="15"/>
  <c r="BD24" i="15" s="1"/>
  <c r="AY22" i="15"/>
  <c r="AY24" i="15" s="1"/>
  <c r="AZ22" i="15"/>
  <c r="AZ24" i="15" s="1"/>
  <c r="CR53" i="11"/>
  <c r="CR55" i="11" s="1"/>
  <c r="BZ53" i="11"/>
  <c r="BZ55" i="11" s="1"/>
  <c r="CK53" i="11"/>
  <c r="CK55" i="11" s="1"/>
  <c r="CL53" i="11"/>
  <c r="CL55" i="11" s="1"/>
  <c r="BU53" i="11"/>
  <c r="BU55" i="11" s="1"/>
  <c r="CS53" i="11"/>
  <c r="CS55" i="11" s="1"/>
  <c r="CG53" i="11"/>
  <c r="CG55" i="11" s="1"/>
  <c r="CA53" i="11"/>
  <c r="CA55" i="11" s="1"/>
  <c r="BS53" i="11"/>
  <c r="BS55" i="11" s="1"/>
  <c r="CU53" i="11"/>
  <c r="CU55" i="11" s="1"/>
  <c r="CE53" i="11"/>
  <c r="CE55" i="11" s="1"/>
  <c r="CW53" i="11"/>
  <c r="CW55" i="11" s="1"/>
  <c r="CT53" i="11"/>
  <c r="CT55" i="11" s="1"/>
  <c r="BT53" i="11"/>
  <c r="BT55" i="11" s="1"/>
  <c r="BR53" i="11"/>
  <c r="BR55" i="11" s="1"/>
  <c r="CV53" i="11"/>
  <c r="CV55" i="11" s="1"/>
  <c r="CD53" i="11"/>
  <c r="CD55" i="11" s="1"/>
  <c r="CH53" i="11"/>
  <c r="CH55" i="11" s="1"/>
  <c r="CI53" i="11"/>
  <c r="CI55" i="11" s="1"/>
  <c r="CM53" i="11"/>
  <c r="CM55" i="11" s="1"/>
  <c r="CJ53" i="11"/>
  <c r="CJ55" i="11" s="1"/>
  <c r="BP53" i="11"/>
  <c r="BP55" i="11" s="1"/>
  <c r="BY53" i="11"/>
  <c r="BY55" i="11" s="1"/>
  <c r="CN53" i="11"/>
  <c r="CN55" i="11" s="1"/>
  <c r="BX53" i="11"/>
  <c r="BX55" i="11" s="1"/>
  <c r="BV53" i="11"/>
  <c r="BV55" i="11" s="1"/>
  <c r="BW53" i="11"/>
  <c r="BW55" i="11" s="1"/>
  <c r="CQ53" i="11"/>
  <c r="CQ55" i="11" s="1"/>
  <c r="BQ53" i="11"/>
  <c r="BQ55" i="11" s="1"/>
  <c r="CO53" i="11"/>
  <c r="CO55" i="11" s="1"/>
  <c r="CF53" i="11"/>
  <c r="CF55" i="11" s="1"/>
  <c r="CB53" i="11"/>
  <c r="CB55" i="11" s="1"/>
  <c r="CC53" i="11"/>
  <c r="CC55" i="11" s="1"/>
  <c r="CP53" i="11"/>
  <c r="CP55" i="11" s="1"/>
  <c r="CB54" i="5"/>
  <c r="CB56" i="5" s="1"/>
  <c r="CD54" i="5"/>
  <c r="CD56" i="5" s="1"/>
  <c r="BZ54" i="5"/>
  <c r="BZ56" i="5" s="1"/>
  <c r="BT54" i="5"/>
  <c r="BT56" i="5" s="1"/>
  <c r="BY54" i="5"/>
  <c r="BY56" i="5" s="1"/>
  <c r="CC54" i="5"/>
  <c r="CC56" i="5" s="1"/>
  <c r="CE54" i="5"/>
  <c r="CE56" i="5" s="1"/>
  <c r="BW54" i="5"/>
  <c r="BW56" i="5" s="1"/>
  <c r="BS54" i="5"/>
  <c r="BS56" i="5" s="1"/>
  <c r="CA54" i="5"/>
  <c r="CA56" i="5" s="1"/>
  <c r="BV54" i="5"/>
  <c r="BV56" i="5" s="1"/>
  <c r="BU54" i="5"/>
  <c r="BU56" i="5" s="1"/>
  <c r="BX54" i="5"/>
  <c r="BX56" i="5" s="1"/>
  <c r="BR54" i="5"/>
  <c r="BR56" i="5" s="1"/>
  <c r="CX54" i="15"/>
  <c r="CX56" i="15" s="1"/>
  <c r="CS54" i="15"/>
  <c r="CS56" i="15" s="1"/>
  <c r="CM54" i="15"/>
  <c r="CM56" i="15" s="1"/>
  <c r="CQ54" i="15"/>
  <c r="CQ56" i="15" s="1"/>
  <c r="CN54" i="15"/>
  <c r="CN56" i="15" s="1"/>
  <c r="CL54" i="15"/>
  <c r="CL56" i="15" s="1"/>
  <c r="CY54" i="15"/>
  <c r="CY56" i="15" s="1"/>
  <c r="CR54" i="15"/>
  <c r="CR56" i="15" s="1"/>
  <c r="CU54" i="15"/>
  <c r="CU56" i="15" s="1"/>
  <c r="CW54" i="15"/>
  <c r="CW56" i="15" s="1"/>
  <c r="CP54" i="15"/>
  <c r="CP56" i="15" s="1"/>
  <c r="CO54" i="15"/>
  <c r="CO56" i="15" s="1"/>
  <c r="CT54" i="15"/>
  <c r="CT56" i="15" s="1"/>
  <c r="CV54" i="15"/>
  <c r="CV56" i="15" s="1"/>
  <c r="BL48" i="5"/>
  <c r="BO48" i="5"/>
  <c r="BJ40" i="5"/>
  <c r="BK40" i="5"/>
  <c r="BM40" i="5"/>
  <c r="BP48" i="5"/>
  <c r="BN48" i="5"/>
  <c r="BF48" i="5"/>
  <c r="BG48" i="5"/>
  <c r="BE48" i="5"/>
  <c r="BC48" i="5"/>
  <c r="BQ48" i="5"/>
  <c r="BD48" i="5"/>
  <c r="BM48" i="5"/>
  <c r="BL48" i="15"/>
  <c r="BL75" i="15" s="1"/>
  <c r="BH48" i="15"/>
  <c r="BJ48" i="15"/>
  <c r="BJ75" i="15" s="1"/>
  <c r="BK48" i="15"/>
  <c r="BK75" i="15" s="1"/>
  <c r="BF48" i="15"/>
  <c r="BG48" i="15"/>
  <c r="BI48" i="15"/>
  <c r="BI75" i="15" s="1"/>
  <c r="BM48" i="15"/>
  <c r="BM75" i="15" s="1"/>
  <c r="BA39" i="11"/>
  <c r="AX39" i="11"/>
  <c r="AY39" i="11"/>
  <c r="AZ39" i="11"/>
  <c r="AZ40" i="5"/>
  <c r="AY40" i="5"/>
  <c r="AX40" i="5"/>
  <c r="BG40" i="5"/>
  <c r="BP40" i="5"/>
  <c r="BL40" i="5"/>
  <c r="BO40" i="5"/>
  <c r="BA40" i="5"/>
  <c r="BQ40" i="5"/>
  <c r="BI40" i="5"/>
  <c r="BN40" i="5"/>
  <c r="BH40" i="5"/>
  <c r="BB40" i="5"/>
  <c r="DB75" i="15"/>
  <c r="CZ75" i="15"/>
  <c r="DA75" i="15"/>
  <c r="BF64" i="5"/>
  <c r="BG64" i="5"/>
  <c r="BD64" i="5"/>
  <c r="CR46" i="15"/>
  <c r="CR48" i="15" s="1"/>
  <c r="CY46" i="15"/>
  <c r="CY48" i="15" s="1"/>
  <c r="CN46" i="15"/>
  <c r="CN48" i="15" s="1"/>
  <c r="CO46" i="15"/>
  <c r="CO48" i="15" s="1"/>
  <c r="CU46" i="15"/>
  <c r="CU48" i="15" s="1"/>
  <c r="CS46" i="15"/>
  <c r="CS48" i="15" s="1"/>
  <c r="CT46" i="15"/>
  <c r="CT48" i="15" s="1"/>
  <c r="CX46" i="15"/>
  <c r="CX48" i="15" s="1"/>
  <c r="CV46" i="15"/>
  <c r="CV48" i="15" s="1"/>
  <c r="CQ46" i="15"/>
  <c r="CQ48" i="15" s="1"/>
  <c r="CM46" i="15"/>
  <c r="CM48" i="15" s="1"/>
  <c r="CL46" i="15"/>
  <c r="CL48" i="15" s="1"/>
  <c r="CW46" i="15"/>
  <c r="CW48" i="15" s="1"/>
  <c r="CP46" i="15"/>
  <c r="CP48" i="15" s="1"/>
  <c r="BS46" i="5"/>
  <c r="BS48" i="5" s="1"/>
  <c r="BR46" i="5"/>
  <c r="BR48" i="5" s="1"/>
  <c r="BW46" i="5"/>
  <c r="BW48" i="5" s="1"/>
  <c r="CD46" i="5"/>
  <c r="CD48" i="5" s="1"/>
  <c r="CE46" i="5"/>
  <c r="CE48" i="5" s="1"/>
  <c r="BU46" i="5"/>
  <c r="BU48" i="5" s="1"/>
  <c r="BT46" i="5"/>
  <c r="BT48" i="5" s="1"/>
  <c r="BX46" i="5"/>
  <c r="BX48" i="5" s="1"/>
  <c r="BV46" i="5"/>
  <c r="BV48" i="5" s="1"/>
  <c r="BY46" i="5"/>
  <c r="BY48" i="5" s="1"/>
  <c r="CB46" i="5"/>
  <c r="CB48" i="5" s="1"/>
  <c r="CC46" i="5"/>
  <c r="CC48" i="5" s="1"/>
  <c r="CA46" i="5"/>
  <c r="CA48" i="5" s="1"/>
  <c r="BZ46" i="5"/>
  <c r="BZ48" i="5" s="1"/>
  <c r="BH45" i="11"/>
  <c r="BH47" i="11" s="1"/>
  <c r="BQ45" i="11"/>
  <c r="BQ47" i="11" s="1"/>
  <c r="CE45" i="11"/>
  <c r="CE47" i="11" s="1"/>
  <c r="CC45" i="11"/>
  <c r="CC47" i="11" s="1"/>
  <c r="BZ45" i="11"/>
  <c r="BZ47" i="11" s="1"/>
  <c r="BX45" i="11"/>
  <c r="BX47" i="11" s="1"/>
  <c r="CG45" i="11"/>
  <c r="CG47" i="11" s="1"/>
  <c r="BP45" i="11"/>
  <c r="BP47" i="11" s="1"/>
  <c r="BV45" i="11"/>
  <c r="BV47" i="11" s="1"/>
  <c r="CA45" i="11"/>
  <c r="CA47" i="11" s="1"/>
  <c r="BJ45" i="11"/>
  <c r="BJ47" i="11" s="1"/>
  <c r="CD45" i="11"/>
  <c r="CD47" i="11" s="1"/>
  <c r="BM45" i="11"/>
  <c r="BM47" i="11" s="1"/>
  <c r="CB45" i="11"/>
  <c r="CB47" i="11" s="1"/>
  <c r="CS45" i="11"/>
  <c r="CS47" i="11" s="1"/>
  <c r="BF45" i="11"/>
  <c r="BF47" i="11" s="1"/>
  <c r="CH45" i="11"/>
  <c r="CH47" i="11" s="1"/>
  <c r="BN45" i="11"/>
  <c r="BN47" i="11" s="1"/>
  <c r="BS45" i="11"/>
  <c r="BS47" i="11" s="1"/>
  <c r="CK45" i="11"/>
  <c r="CK47" i="11" s="1"/>
  <c r="CM45" i="11"/>
  <c r="CM47" i="11" s="1"/>
  <c r="BO45" i="11"/>
  <c r="BO47" i="11" s="1"/>
  <c r="CU45" i="11"/>
  <c r="CU47" i="11" s="1"/>
  <c r="BK45" i="11"/>
  <c r="BK47" i="11" s="1"/>
  <c r="CF45" i="11"/>
  <c r="CF47" i="11" s="1"/>
  <c r="BW45" i="11"/>
  <c r="BW47" i="11" s="1"/>
  <c r="CW45" i="11"/>
  <c r="CW47" i="11" s="1"/>
  <c r="CV45" i="11"/>
  <c r="CV47" i="11" s="1"/>
  <c r="BT45" i="11"/>
  <c r="BT47" i="11" s="1"/>
  <c r="BI45" i="11"/>
  <c r="BI47" i="11" s="1"/>
  <c r="CR45" i="11"/>
  <c r="CR47" i="11" s="1"/>
  <c r="CN45" i="11"/>
  <c r="CN47" i="11" s="1"/>
  <c r="CJ45" i="11"/>
  <c r="CJ47" i="11" s="1"/>
  <c r="CO45" i="11"/>
  <c r="CO47" i="11" s="1"/>
  <c r="CI45" i="11"/>
  <c r="CI47" i="11" s="1"/>
  <c r="BG45" i="11"/>
  <c r="BG47" i="11" s="1"/>
  <c r="BR45" i="11"/>
  <c r="BR47" i="11" s="1"/>
  <c r="CQ45" i="11"/>
  <c r="CQ47" i="11" s="1"/>
  <c r="BY45" i="11"/>
  <c r="BY47" i="11" s="1"/>
  <c r="BL45" i="11"/>
  <c r="BL47" i="11" s="1"/>
  <c r="BU45" i="11"/>
  <c r="BU47" i="11" s="1"/>
  <c r="CT45" i="11"/>
  <c r="CT47" i="11" s="1"/>
  <c r="CL45" i="11"/>
  <c r="CL47" i="11" s="1"/>
  <c r="CP45" i="11"/>
  <c r="CP47" i="11" s="1"/>
  <c r="EP16" i="5"/>
  <c r="AE75" i="5"/>
  <c r="EO16" i="5"/>
  <c r="K11" i="5"/>
  <c r="J11" i="5"/>
  <c r="K11" i="15"/>
  <c r="J11" i="15" s="1"/>
  <c r="L11" i="15"/>
  <c r="EP16" i="15"/>
  <c r="EQ16" i="15"/>
  <c r="AR15" i="11"/>
  <c r="BC72" i="5"/>
  <c r="BN72" i="5"/>
  <c r="BH72" i="5"/>
  <c r="BP72" i="5"/>
  <c r="BK72" i="5"/>
  <c r="BJ72" i="5"/>
  <c r="BQ72" i="5"/>
  <c r="BM72" i="5"/>
  <c r="BG72" i="5"/>
  <c r="BE72" i="5"/>
  <c r="BD72" i="5"/>
  <c r="BL72" i="5"/>
  <c r="BO72" i="5"/>
  <c r="BF72" i="5"/>
  <c r="BI72" i="5"/>
  <c r="BQ64" i="5"/>
  <c r="BC64" i="5"/>
  <c r="BJ64" i="5"/>
  <c r="BN64" i="5"/>
  <c r="BK64" i="5"/>
  <c r="BM64" i="5"/>
  <c r="BP64" i="5"/>
  <c r="BO64" i="5"/>
  <c r="BE64" i="5"/>
  <c r="BL64" i="5"/>
  <c r="BH64" i="5"/>
  <c r="BI64" i="5"/>
  <c r="BD56" i="5"/>
  <c r="BI56" i="5"/>
  <c r="BP56" i="5"/>
  <c r="BO56" i="5"/>
  <c r="BG56" i="5"/>
  <c r="BE56" i="5"/>
  <c r="BC56" i="5"/>
  <c r="BM56" i="5"/>
  <c r="BH56" i="5"/>
  <c r="BF56" i="5"/>
  <c r="BQ56" i="5"/>
  <c r="BJ56" i="5"/>
  <c r="BN56" i="5"/>
  <c r="BL56" i="5"/>
  <c r="BK56" i="5"/>
  <c r="AQ15" i="11"/>
  <c r="AS15" i="11"/>
  <c r="CH75" i="15" l="1"/>
  <c r="CF75" i="15"/>
  <c r="CG75" i="15"/>
  <c r="AT75" i="5"/>
  <c r="AU75" i="5"/>
  <c r="AV75" i="5"/>
  <c r="AW75" i="5"/>
  <c r="CJ75" i="15"/>
  <c r="CK75" i="15"/>
  <c r="EN31" i="11"/>
  <c r="EM31" i="11"/>
  <c r="CD75" i="5"/>
  <c r="CE75" i="5"/>
  <c r="CB75" i="5"/>
  <c r="CC75" i="5"/>
  <c r="CW75" i="15"/>
  <c r="CO75" i="15"/>
  <c r="CU75" i="15"/>
  <c r="CL75" i="15"/>
  <c r="CP75" i="15"/>
  <c r="BW75" i="15"/>
  <c r="BU75" i="15"/>
  <c r="BV75" i="15"/>
  <c r="BY75" i="15"/>
  <c r="BX75" i="15"/>
  <c r="BA75" i="15"/>
  <c r="BB75" i="15"/>
  <c r="AZ75" i="15"/>
  <c r="BD75" i="15"/>
  <c r="BC75" i="15"/>
  <c r="BE75" i="15"/>
  <c r="EQ40" i="15"/>
  <c r="EP40" i="15"/>
  <c r="L35" i="15"/>
  <c r="BT75" i="15"/>
  <c r="K35" i="15"/>
  <c r="J35" i="15" s="1"/>
  <c r="K67" i="15"/>
  <c r="J67" i="15" s="1"/>
  <c r="L67" i="15"/>
  <c r="CI75" i="15"/>
  <c r="EM71" i="11"/>
  <c r="EN71" i="11"/>
  <c r="EM23" i="11"/>
  <c r="EN23" i="11"/>
  <c r="EN63" i="11"/>
  <c r="EM63" i="11"/>
  <c r="CS75" i="15"/>
  <c r="CT75" i="15"/>
  <c r="CX75" i="15"/>
  <c r="CV75" i="15"/>
  <c r="CQ75" i="15"/>
  <c r="CM75" i="15"/>
  <c r="L51" i="15"/>
  <c r="BH75" i="15"/>
  <c r="BG75" i="15"/>
  <c r="AY75" i="5"/>
  <c r="L59" i="15"/>
  <c r="CR75" i="15"/>
  <c r="CY75" i="15"/>
  <c r="CN75" i="15"/>
  <c r="K51" i="15"/>
  <c r="J51" i="15" s="1"/>
  <c r="EN39" i="11"/>
  <c r="EM39" i="11"/>
  <c r="EN55" i="11"/>
  <c r="EM55" i="11"/>
  <c r="K27" i="15"/>
  <c r="J27" i="15" s="1"/>
  <c r="L27" i="15"/>
  <c r="EP32" i="15"/>
  <c r="EQ32" i="15"/>
  <c r="BV75" i="5"/>
  <c r="EO40" i="5"/>
  <c r="BZ75" i="5"/>
  <c r="BS75" i="5"/>
  <c r="BW75" i="5"/>
  <c r="BU75" i="5"/>
  <c r="BT75" i="5"/>
  <c r="BX75" i="5"/>
  <c r="BY75" i="5"/>
  <c r="CA75" i="5"/>
  <c r="BA75" i="5"/>
  <c r="BI75" i="5"/>
  <c r="K35" i="5"/>
  <c r="EP40" i="5"/>
  <c r="AX75" i="5"/>
  <c r="J27" i="5"/>
  <c r="EO32" i="5"/>
  <c r="K27" i="5"/>
  <c r="EP32" i="5"/>
  <c r="K19" i="15"/>
  <c r="J19" i="15" s="1"/>
  <c r="L19" i="15"/>
  <c r="EP24" i="15"/>
  <c r="EQ24" i="15"/>
  <c r="AY75" i="15"/>
  <c r="L43" i="15"/>
  <c r="K43" i="15"/>
  <c r="J43" i="15" s="1"/>
  <c r="BF75" i="15"/>
  <c r="BB75" i="5"/>
  <c r="J35" i="5"/>
  <c r="K59" i="15"/>
  <c r="J59" i="15" s="1"/>
  <c r="BR75" i="5"/>
  <c r="EO48" i="5"/>
  <c r="J43" i="5"/>
  <c r="K43" i="5"/>
  <c r="EP48" i="5"/>
  <c r="EM47" i="11"/>
  <c r="EN47" i="11"/>
  <c r="BD75" i="5"/>
  <c r="BP75" i="5"/>
  <c r="BO75" i="5"/>
  <c r="BG75" i="5"/>
  <c r="BE75" i="5"/>
  <c r="BM75" i="5"/>
  <c r="BH75" i="5"/>
  <c r="BF75" i="5"/>
  <c r="BQ75" i="5"/>
  <c r="BJ75" i="5"/>
  <c r="BN75" i="5"/>
  <c r="BL75" i="5"/>
  <c r="BK75" i="5"/>
  <c r="EO64" i="5"/>
  <c r="EP64" i="5"/>
  <c r="J59" i="5"/>
  <c r="K59" i="5"/>
  <c r="K51" i="5"/>
  <c r="EP56" i="5"/>
  <c r="EO56" i="5"/>
  <c r="J51" i="5"/>
  <c r="EM15" i="11"/>
  <c r="EN15" i="11"/>
  <c r="BC75" i="5"/>
  <c r="AZ75" i="5"/>
  <c r="J19" i="5"/>
  <c r="EO24" i="5"/>
  <c r="K19" i="5"/>
  <c r="EP24" i="5"/>
  <c r="J67" i="5"/>
  <c r="K67" i="5"/>
  <c r="M77" i="15" l="1"/>
  <c r="N77" i="15" s="1"/>
  <c r="M78" i="15"/>
  <c r="N78" i="15" s="1"/>
  <c r="L77" i="5"/>
  <c r="M77" i="5" s="1"/>
  <c r="L78" i="5"/>
  <c r="M78" i="5" s="1"/>
  <c r="K55" i="3" l="1"/>
  <c r="K277" i="3"/>
  <c r="K187" i="3"/>
  <c r="L97" i="3"/>
  <c r="L281" i="3"/>
  <c r="K326" i="3"/>
  <c r="K202" i="3"/>
  <c r="L22" i="3"/>
  <c r="K112" i="3"/>
  <c r="K11" i="3"/>
  <c r="L57" i="3"/>
  <c r="K110" i="3"/>
  <c r="L335" i="3"/>
  <c r="L200" i="3"/>
  <c r="K166" i="3"/>
  <c r="L346" i="3"/>
  <c r="K31" i="3"/>
  <c r="K241" i="3"/>
  <c r="K286" i="3"/>
  <c r="K196" i="3"/>
  <c r="K348" i="3"/>
  <c r="K33" i="3"/>
  <c r="K363" i="3"/>
  <c r="K138" i="3"/>
  <c r="K93" i="3"/>
  <c r="K273" i="3"/>
  <c r="K17" i="3"/>
  <c r="K162" i="3"/>
  <c r="K27" i="3"/>
  <c r="K347" i="3"/>
  <c r="K302" i="3"/>
  <c r="K94" i="3"/>
  <c r="L229" i="3"/>
  <c r="K201" i="3"/>
  <c r="L111" i="3"/>
  <c r="L291" i="3"/>
  <c r="L156" i="3"/>
  <c r="K8" i="3"/>
  <c r="K189" i="3"/>
  <c r="K177" i="3"/>
  <c r="K87" i="3"/>
  <c r="K357" i="3"/>
  <c r="L267" i="3"/>
  <c r="K269" i="3"/>
  <c r="K359" i="3"/>
  <c r="K224" i="3"/>
  <c r="K296" i="3"/>
  <c r="L71" i="3"/>
  <c r="K199" i="3"/>
  <c r="L250" i="3"/>
  <c r="K283" i="3"/>
  <c r="L317" i="3"/>
  <c r="K59" i="3"/>
  <c r="L104" i="3"/>
  <c r="K178" i="3"/>
  <c r="K40" i="3"/>
  <c r="L169" i="3"/>
  <c r="L124" i="3"/>
  <c r="K132" i="3"/>
  <c r="K316" i="3"/>
  <c r="K327" i="3"/>
  <c r="L322" i="3"/>
  <c r="K142" i="3"/>
  <c r="K320" i="3"/>
  <c r="L66" i="3"/>
  <c r="K155" i="3"/>
  <c r="L166" i="3"/>
  <c r="K45" i="3"/>
  <c r="L16" i="3"/>
  <c r="L196" i="3"/>
  <c r="K360" i="3"/>
  <c r="K270" i="3"/>
  <c r="K295" i="3"/>
  <c r="L245" i="3"/>
  <c r="K68" i="3"/>
  <c r="L158" i="3"/>
  <c r="L68" i="3"/>
  <c r="L203" i="3"/>
  <c r="K167" i="3"/>
  <c r="K101" i="3"/>
  <c r="L150" i="3"/>
  <c r="K21" i="3"/>
  <c r="K280" i="3"/>
  <c r="K339" i="3"/>
  <c r="K312" i="3"/>
  <c r="L363" i="3"/>
  <c r="K341" i="3"/>
  <c r="K69" i="3"/>
  <c r="L303" i="3"/>
  <c r="L249" i="3"/>
  <c r="K13" i="3"/>
  <c r="K245" i="3"/>
  <c r="K362" i="3"/>
  <c r="K122" i="3"/>
  <c r="K157" i="3"/>
  <c r="K301" i="3"/>
  <c r="L339" i="3"/>
  <c r="L114" i="3"/>
  <c r="K235" i="3"/>
  <c r="K282" i="3"/>
  <c r="L338" i="3"/>
  <c r="K203" i="3"/>
  <c r="L293" i="3"/>
  <c r="K247" i="3"/>
  <c r="L247" i="3"/>
  <c r="L212" i="3"/>
  <c r="L77" i="3"/>
  <c r="K249" i="3"/>
  <c r="L197" i="3"/>
  <c r="L53" i="3"/>
  <c r="L20" i="3"/>
  <c r="L361" i="3"/>
  <c r="L67" i="3"/>
  <c r="L238" i="3"/>
  <c r="K292" i="3"/>
  <c r="K232" i="3"/>
  <c r="K297" i="3"/>
  <c r="L297" i="3"/>
  <c r="K10" i="3"/>
  <c r="L190" i="3"/>
  <c r="L365" i="3"/>
  <c r="K116" i="3"/>
  <c r="L34" i="3"/>
  <c r="K257" i="3"/>
  <c r="K32" i="3"/>
  <c r="L140" i="3"/>
  <c r="K275" i="3"/>
  <c r="K24" i="3"/>
  <c r="L55" i="3"/>
  <c r="M55" i="3" s="1"/>
  <c r="S55" i="3" s="1"/>
  <c r="L45" i="3"/>
  <c r="L100" i="3"/>
  <c r="K113" i="3"/>
  <c r="L248" i="3"/>
  <c r="K293" i="3"/>
  <c r="L23" i="3"/>
  <c r="K248" i="3"/>
  <c r="M248" i="3" s="1"/>
  <c r="L113" i="3"/>
  <c r="L235" i="3"/>
  <c r="K315" i="3"/>
  <c r="L360" i="3"/>
  <c r="L270" i="3"/>
  <c r="L271" i="3"/>
  <c r="L46" i="3"/>
  <c r="L180" i="3"/>
  <c r="K338" i="3"/>
  <c r="K12" i="3"/>
  <c r="L12" i="3"/>
  <c r="L6" i="3"/>
  <c r="K228" i="3"/>
  <c r="L54" i="3"/>
  <c r="K185" i="3"/>
  <c r="K145" i="3"/>
  <c r="K158" i="3"/>
  <c r="L325" i="3"/>
  <c r="K100" i="3"/>
  <c r="L9" i="3"/>
  <c r="L145" i="3"/>
  <c r="K271" i="3"/>
  <c r="L280" i="3"/>
  <c r="K226" i="3"/>
  <c r="M363" i="3" l="1"/>
  <c r="S363" i="3" s="1"/>
  <c r="K168" i="3"/>
  <c r="K86" i="3"/>
  <c r="L266" i="3"/>
  <c r="L78" i="3"/>
  <c r="K164" i="3"/>
  <c r="K29" i="3"/>
  <c r="K120" i="3"/>
  <c r="K352" i="3"/>
  <c r="L307" i="3"/>
  <c r="K300" i="3"/>
  <c r="K364" i="3"/>
  <c r="L21" i="3"/>
  <c r="M21" i="3" s="1"/>
  <c r="S21" i="3" s="1"/>
  <c r="K246" i="3"/>
  <c r="K144" i="3"/>
  <c r="K324" i="3"/>
  <c r="K54" i="3"/>
  <c r="M54" i="3" s="1"/>
  <c r="S54" i="3" s="1"/>
  <c r="L234" i="3"/>
  <c r="K279" i="3"/>
  <c r="L42" i="3"/>
  <c r="L26" i="3"/>
  <c r="L251" i="3"/>
  <c r="K244" i="3"/>
  <c r="L109" i="3"/>
  <c r="L194" i="3"/>
  <c r="L185" i="3"/>
  <c r="M185" i="3" s="1"/>
  <c r="S185" i="3" s="1"/>
  <c r="L120" i="3"/>
  <c r="M120" i="3" s="1"/>
  <c r="S120" i="3" s="1"/>
  <c r="L210" i="3"/>
  <c r="K173" i="3"/>
  <c r="L35" i="3"/>
  <c r="K75" i="3"/>
  <c r="K210" i="3"/>
  <c r="M210" i="3" s="1"/>
  <c r="S210" i="3" s="1"/>
  <c r="K263" i="3"/>
  <c r="L74" i="3"/>
  <c r="K89" i="3"/>
  <c r="K44" i="3"/>
  <c r="K131" i="3"/>
  <c r="L345" i="3"/>
  <c r="L300" i="3"/>
  <c r="L349" i="3"/>
  <c r="L304" i="3"/>
  <c r="K304" i="3"/>
  <c r="K349" i="3"/>
  <c r="K278" i="3"/>
  <c r="K50" i="3"/>
  <c r="K140" i="3"/>
  <c r="M140" i="3" s="1"/>
  <c r="S140" i="3" s="1"/>
  <c r="K230" i="3"/>
  <c r="L320" i="3"/>
  <c r="M320" i="3" s="1"/>
  <c r="S320" i="3" s="1"/>
  <c r="L192" i="3"/>
  <c r="K152" i="3"/>
  <c r="K284" i="3"/>
  <c r="L65" i="3"/>
  <c r="K229" i="3"/>
  <c r="M229" i="3" s="1"/>
  <c r="S229" i="3" s="1"/>
  <c r="K313" i="3"/>
  <c r="L283" i="3"/>
  <c r="M283" i="3" s="1"/>
  <c r="S283" i="3" s="1"/>
  <c r="L302" i="3"/>
  <c r="M302" i="3" s="1"/>
  <c r="S302" i="3" s="1"/>
  <c r="L8" i="3"/>
  <c r="M8" i="3" s="1"/>
  <c r="S8" i="3" s="1"/>
  <c r="K216" i="3"/>
  <c r="K30" i="3"/>
  <c r="L30" i="3"/>
  <c r="L125" i="3"/>
  <c r="K41" i="3"/>
  <c r="L257" i="3"/>
  <c r="M257" i="3" s="1"/>
  <c r="S257" i="3" s="1"/>
  <c r="K356" i="3"/>
  <c r="K250" i="3"/>
  <c r="M250" i="3" s="1"/>
  <c r="K355" i="3"/>
  <c r="K85" i="3"/>
  <c r="L344" i="3"/>
  <c r="K310" i="3"/>
  <c r="K119" i="3"/>
  <c r="L217" i="3"/>
  <c r="L29" i="3"/>
  <c r="L36" i="3"/>
  <c r="K314" i="3"/>
  <c r="K179" i="3"/>
  <c r="K365" i="3"/>
  <c r="M365" i="3" s="1"/>
  <c r="S365" i="3" s="1"/>
  <c r="L232" i="3"/>
  <c r="M232" i="3" s="1"/>
  <c r="S232" i="3" s="1"/>
  <c r="K6" i="3"/>
  <c r="M6" i="3" s="1"/>
  <c r="S6" i="3" s="1"/>
  <c r="K52" i="3"/>
  <c r="L52" i="3"/>
  <c r="K209" i="3"/>
  <c r="L191" i="3"/>
  <c r="K146" i="3"/>
  <c r="L236" i="3"/>
  <c r="K236" i="3"/>
  <c r="L56" i="3"/>
  <c r="L10" i="3"/>
  <c r="M10" i="3" s="1"/>
  <c r="S10" i="3" s="1"/>
  <c r="L146" i="3"/>
  <c r="L101" i="3"/>
  <c r="M101" i="3" s="1"/>
  <c r="S101" i="3" s="1"/>
  <c r="K56" i="3"/>
  <c r="K191" i="3"/>
  <c r="K67" i="3"/>
  <c r="M67" i="3" s="1"/>
  <c r="L337" i="3"/>
  <c r="L157" i="3"/>
  <c r="M157" i="3" s="1"/>
  <c r="K337" i="3"/>
  <c r="L292" i="3"/>
  <c r="M292" i="3" s="1"/>
  <c r="K147" i="3"/>
  <c r="K102" i="3"/>
  <c r="K192" i="3"/>
  <c r="L237" i="3"/>
  <c r="L282" i="3"/>
  <c r="M282" i="3" s="1"/>
  <c r="S282" i="3" s="1"/>
  <c r="K237" i="3"/>
  <c r="L147" i="3"/>
  <c r="K290" i="3"/>
  <c r="L290" i="3"/>
  <c r="L301" i="3"/>
  <c r="M301" i="3" s="1"/>
  <c r="S301" i="3" s="1"/>
  <c r="L256" i="3"/>
  <c r="K121" i="3"/>
  <c r="L211" i="3"/>
  <c r="L121" i="3"/>
  <c r="K256" i="3"/>
  <c r="M256" i="3" s="1"/>
  <c r="S256" i="3" s="1"/>
  <c r="K76" i="3"/>
  <c r="K211" i="3"/>
  <c r="L76" i="3"/>
  <c r="L331" i="3"/>
  <c r="L61" i="3"/>
  <c r="K61" i="3"/>
  <c r="K331" i="3"/>
  <c r="L330" i="3"/>
  <c r="K285" i="3"/>
  <c r="K60" i="3"/>
  <c r="K195" i="3"/>
  <c r="L285" i="3"/>
  <c r="K150" i="3"/>
  <c r="M150" i="3" s="1"/>
  <c r="S150" i="3" s="1"/>
  <c r="L195" i="3"/>
  <c r="K15" i="3"/>
  <c r="L60" i="3"/>
  <c r="K240" i="3"/>
  <c r="L15" i="3"/>
  <c r="K105" i="3"/>
  <c r="M105" i="3" s="1"/>
  <c r="S105" i="3" s="1"/>
  <c r="L240" i="3"/>
  <c r="K330" i="3"/>
  <c r="K123" i="3"/>
  <c r="L123" i="3"/>
  <c r="K303" i="3"/>
  <c r="M303" i="3" s="1"/>
  <c r="S303" i="3" s="1"/>
  <c r="K213" i="3"/>
  <c r="L275" i="3"/>
  <c r="M275" i="3" s="1"/>
  <c r="S275" i="3" s="1"/>
  <c r="L230" i="3"/>
  <c r="L262" i="3"/>
  <c r="L318" i="3"/>
  <c r="K48" i="3"/>
  <c r="L183" i="3"/>
  <c r="L48" i="3"/>
  <c r="K183" i="3"/>
  <c r="L228" i="3"/>
  <c r="M228" i="3" s="1"/>
  <c r="S228" i="3" s="1"/>
  <c r="K318" i="3"/>
  <c r="K62" i="3"/>
  <c r="K107" i="3"/>
  <c r="K287" i="3"/>
  <c r="L287" i="3"/>
  <c r="L242" i="3"/>
  <c r="L107" i="3"/>
  <c r="L332" i="3"/>
  <c r="L62" i="3"/>
  <c r="K242" i="3"/>
  <c r="K332" i="3"/>
  <c r="L117" i="3"/>
  <c r="L252" i="3"/>
  <c r="K207" i="3"/>
  <c r="K342" i="3"/>
  <c r="K117" i="3"/>
  <c r="K252" i="3"/>
  <c r="L207" i="3"/>
  <c r="K72" i="3"/>
  <c r="L342" i="3"/>
  <c r="L72" i="3"/>
  <c r="L358" i="3"/>
  <c r="K88" i="3"/>
  <c r="L167" i="3"/>
  <c r="M167" i="3" s="1"/>
  <c r="S167" i="3" s="1"/>
  <c r="K77" i="3"/>
  <c r="M77" i="3" s="1"/>
  <c r="S77" i="3" s="1"/>
  <c r="L32" i="3"/>
  <c r="M32" i="3" s="1"/>
  <c r="S32" i="3" s="1"/>
  <c r="L122" i="3"/>
  <c r="M122" i="3" s="1"/>
  <c r="S122" i="3" s="1"/>
  <c r="K212" i="3"/>
  <c r="M212" i="3" s="1"/>
  <c r="S212" i="3" s="1"/>
  <c r="L139" i="3"/>
  <c r="K49" i="3"/>
  <c r="K319" i="3"/>
  <c r="L319" i="3"/>
  <c r="L184" i="3"/>
  <c r="L364" i="3"/>
  <c r="K139" i="3"/>
  <c r="K274" i="3"/>
  <c r="L274" i="3"/>
  <c r="L49" i="3"/>
  <c r="K184" i="3"/>
  <c r="L246" i="3"/>
  <c r="K99" i="3"/>
  <c r="L324" i="3"/>
  <c r="L99" i="3"/>
  <c r="K234" i="3"/>
  <c r="L279" i="3"/>
  <c r="L144" i="3"/>
  <c r="L323" i="3"/>
  <c r="L278" i="3"/>
  <c r="L233" i="3"/>
  <c r="L188" i="3"/>
  <c r="K233" i="3"/>
  <c r="K323" i="3"/>
  <c r="K98" i="3"/>
  <c r="K188" i="3"/>
  <c r="M188" i="3" s="1"/>
  <c r="S188" i="3" s="1"/>
  <c r="K7" i="3"/>
  <c r="L7" i="3"/>
  <c r="K143" i="3"/>
  <c r="L143" i="3"/>
  <c r="M143" i="3" s="1"/>
  <c r="S143" i="3" s="1"/>
  <c r="K53" i="3"/>
  <c r="M53" i="3" s="1"/>
  <c r="S53" i="3" s="1"/>
  <c r="K42" i="3"/>
  <c r="L312" i="3"/>
  <c r="M312" i="3" s="1"/>
  <c r="L222" i="3"/>
  <c r="K222" i="3"/>
  <c r="K134" i="3"/>
  <c r="L116" i="3"/>
  <c r="M116" i="3" s="1"/>
  <c r="K251" i="3"/>
  <c r="K161" i="3"/>
  <c r="K26" i="3"/>
  <c r="L206" i="3"/>
  <c r="L341" i="3"/>
  <c r="M341" i="3" s="1"/>
  <c r="K206" i="3"/>
  <c r="L161" i="3"/>
  <c r="L334" i="3"/>
  <c r="K109" i="3"/>
  <c r="K334" i="3"/>
  <c r="K154" i="3"/>
  <c r="L64" i="3"/>
  <c r="L154" i="3"/>
  <c r="K19" i="3"/>
  <c r="L289" i="3"/>
  <c r="K64" i="3"/>
  <c r="L244" i="3"/>
  <c r="K289" i="3"/>
  <c r="M289" i="3" s="1"/>
  <c r="S289" i="3" s="1"/>
  <c r="L19" i="3"/>
  <c r="K311" i="3"/>
  <c r="K176" i="3"/>
  <c r="K343" i="3"/>
  <c r="K298" i="3"/>
  <c r="L208" i="3"/>
  <c r="K118" i="3"/>
  <c r="L343" i="3"/>
  <c r="L118" i="3"/>
  <c r="K208" i="3"/>
  <c r="L28" i="3"/>
  <c r="K163" i="3"/>
  <c r="K253" i="3"/>
  <c r="L163" i="3"/>
  <c r="L298" i="3"/>
  <c r="L73" i="3"/>
  <c r="K73" i="3"/>
  <c r="K28" i="3"/>
  <c r="L253" i="3"/>
  <c r="K340" i="3"/>
  <c r="K115" i="3"/>
  <c r="K70" i="3"/>
  <c r="K160" i="3"/>
  <c r="L160" i="3"/>
  <c r="K25" i="3"/>
  <c r="L205" i="3"/>
  <c r="L25" i="3"/>
  <c r="L340" i="3"/>
  <c r="L70" i="3"/>
  <c r="L115" i="3"/>
  <c r="K205" i="3"/>
  <c r="L58" i="3"/>
  <c r="K148" i="3"/>
  <c r="L13" i="3"/>
  <c r="M13" i="3" s="1"/>
  <c r="S13" i="3" s="1"/>
  <c r="K58" i="3"/>
  <c r="L193" i="3"/>
  <c r="K103" i="3"/>
  <c r="L148" i="3"/>
  <c r="K193" i="3"/>
  <c r="K238" i="3"/>
  <c r="M238" i="3" s="1"/>
  <c r="S238" i="3" s="1"/>
  <c r="L103" i="3"/>
  <c r="L328" i="3"/>
  <c r="K328" i="3"/>
  <c r="M328" i="3" s="1"/>
  <c r="S328" i="3" s="1"/>
  <c r="L159" i="3"/>
  <c r="L24" i="3"/>
  <c r="M24" i="3" s="1"/>
  <c r="K294" i="3"/>
  <c r="K159" i="3"/>
  <c r="L204" i="3"/>
  <c r="K204" i="3"/>
  <c r="L294" i="3"/>
  <c r="K114" i="3"/>
  <c r="M114" i="3" s="1"/>
  <c r="L69" i="3"/>
  <c r="M69" i="3" s="1"/>
  <c r="L137" i="3"/>
  <c r="L92" i="3"/>
  <c r="K227" i="3"/>
  <c r="K137" i="3"/>
  <c r="L47" i="3"/>
  <c r="L182" i="3"/>
  <c r="K182" i="3"/>
  <c r="K92" i="3"/>
  <c r="L272" i="3"/>
  <c r="L362" i="3"/>
  <c r="M362" i="3" s="1"/>
  <c r="S362" i="3" s="1"/>
  <c r="K272" i="3"/>
  <c r="K47" i="3"/>
  <c r="L227" i="3"/>
  <c r="L14" i="3"/>
  <c r="L239" i="3"/>
  <c r="K149" i="3"/>
  <c r="L329" i="3"/>
  <c r="K14" i="3"/>
  <c r="K194" i="3"/>
  <c r="L149" i="3"/>
  <c r="K329" i="3"/>
  <c r="M329" i="3" s="1"/>
  <c r="S329" i="3" s="1"/>
  <c r="K239" i="3"/>
  <c r="L79" i="3"/>
  <c r="K259" i="3"/>
  <c r="L259" i="3"/>
  <c r="L214" i="3"/>
  <c r="K214" i="3"/>
  <c r="M214" i="3" s="1"/>
  <c r="S214" i="3" s="1"/>
  <c r="K79" i="3"/>
  <c r="L98" i="3"/>
  <c r="L50" i="3"/>
  <c r="L102" i="3"/>
  <c r="M245" i="3"/>
  <c r="S245" i="3" s="1"/>
  <c r="M338" i="3"/>
  <c r="M203" i="3"/>
  <c r="K218" i="3"/>
  <c r="L353" i="3"/>
  <c r="L82" i="3"/>
  <c r="L296" i="3"/>
  <c r="M296" i="3" s="1"/>
  <c r="K172" i="3"/>
  <c r="L112" i="3"/>
  <c r="M112" i="3" s="1"/>
  <c r="K23" i="3"/>
  <c r="M23" i="3" s="1"/>
  <c r="K262" i="3"/>
  <c r="K190" i="3"/>
  <c r="M190" i="3" s="1"/>
  <c r="S190" i="3" s="1"/>
  <c r="K9" i="3"/>
  <c r="M9" i="3" s="1"/>
  <c r="S9" i="3" s="1"/>
  <c r="K325" i="3"/>
  <c r="M325" i="3" s="1"/>
  <c r="S325" i="3" s="1"/>
  <c r="L85" i="3"/>
  <c r="L220" i="3"/>
  <c r="L129" i="3"/>
  <c r="L309" i="3"/>
  <c r="K305" i="3"/>
  <c r="L80" i="3"/>
  <c r="L11" i="3"/>
  <c r="M11" i="3" s="1"/>
  <c r="S11" i="3" s="1"/>
  <c r="K57" i="3"/>
  <c r="M57" i="3" s="1"/>
  <c r="S57" i="3" s="1"/>
  <c r="K215" i="3"/>
  <c r="L305" i="3"/>
  <c r="L357" i="3"/>
  <c r="M357" i="3" s="1"/>
  <c r="K267" i="3"/>
  <c r="M267" i="3" s="1"/>
  <c r="L152" i="3"/>
  <c r="L170" i="3"/>
  <c r="K197" i="3"/>
  <c r="M197" i="3" s="1"/>
  <c r="L27" i="3"/>
  <c r="M27" i="3" s="1"/>
  <c r="S27" i="3" s="1"/>
  <c r="L199" i="3"/>
  <c r="M199" i="3" s="1"/>
  <c r="S199" i="3" s="1"/>
  <c r="L273" i="3"/>
  <c r="M273" i="3" s="1"/>
  <c r="S273" i="3" s="1"/>
  <c r="L189" i="3"/>
  <c r="M189" i="3" s="1"/>
  <c r="S189" i="3" s="1"/>
  <c r="M304" i="3"/>
  <c r="S304" i="3" s="1"/>
  <c r="L215" i="3"/>
  <c r="M215" i="3" s="1"/>
  <c r="S215" i="3" s="1"/>
  <c r="L171" i="3"/>
  <c r="K84" i="3"/>
  <c r="K354" i="3"/>
  <c r="L39" i="3"/>
  <c r="K130" i="3"/>
  <c r="K36" i="3"/>
  <c r="L306" i="3"/>
  <c r="K261" i="3"/>
  <c r="L216" i="3"/>
  <c r="L40" i="3"/>
  <c r="M40" i="3" s="1"/>
  <c r="L38" i="3"/>
  <c r="K346" i="3"/>
  <c r="M346" i="3" s="1"/>
  <c r="S346" i="3" s="1"/>
  <c r="L138" i="3"/>
  <c r="M138" i="3" s="1"/>
  <c r="S138" i="3" s="1"/>
  <c r="L130" i="3"/>
  <c r="L327" i="3"/>
  <c r="M327" i="3" s="1"/>
  <c r="S327" i="3" s="1"/>
  <c r="L255" i="3"/>
  <c r="K156" i="3"/>
  <c r="M156" i="3" s="1"/>
  <c r="S156" i="3" s="1"/>
  <c r="L348" i="3"/>
  <c r="M348" i="3" s="1"/>
  <c r="S348" i="3" s="1"/>
  <c r="L258" i="3"/>
  <c r="K65" i="3"/>
  <c r="L110" i="3"/>
  <c r="M110" i="3" s="1"/>
  <c r="S110" i="3" s="1"/>
  <c r="K129" i="3"/>
  <c r="M129" i="3" s="1"/>
  <c r="S129" i="3" s="1"/>
  <c r="L165" i="3"/>
  <c r="K353" i="3"/>
  <c r="K38" i="3"/>
  <c r="K170" i="3"/>
  <c r="L241" i="3"/>
  <c r="M241" i="3" s="1"/>
  <c r="S241" i="3" s="1"/>
  <c r="L17" i="3"/>
  <c r="M17" i="3" s="1"/>
  <c r="K20" i="3"/>
  <c r="M20" i="3" s="1"/>
  <c r="S20" i="3" s="1"/>
  <c r="L162" i="3"/>
  <c r="M162" i="3" s="1"/>
  <c r="S162" i="3" s="1"/>
  <c r="L175" i="3"/>
  <c r="K80" i="3"/>
  <c r="L347" i="3"/>
  <c r="M347" i="3" s="1"/>
  <c r="S347" i="3" s="1"/>
  <c r="L284" i="3"/>
  <c r="L350" i="3"/>
  <c r="L31" i="3"/>
  <c r="M31" i="3" s="1"/>
  <c r="S31" i="3" s="1"/>
  <c r="L310" i="3"/>
  <c r="K308" i="3"/>
  <c r="K345" i="3"/>
  <c r="L295" i="3"/>
  <c r="M295" i="3" s="1"/>
  <c r="L213" i="3"/>
  <c r="K125" i="3"/>
  <c r="K22" i="3"/>
  <c r="M22" i="3" s="1"/>
  <c r="L202" i="3"/>
  <c r="M202" i="3" s="1"/>
  <c r="M45" i="3"/>
  <c r="S45" i="3" s="1"/>
  <c r="M293" i="3"/>
  <c r="K126" i="3"/>
  <c r="K128" i="3"/>
  <c r="L126" i="3"/>
  <c r="K351" i="3"/>
  <c r="L260" i="3"/>
  <c r="K35" i="3"/>
  <c r="L254" i="3"/>
  <c r="K220" i="3"/>
  <c r="K350" i="3"/>
  <c r="K255" i="3"/>
  <c r="L352" i="3"/>
  <c r="K175" i="3"/>
  <c r="K71" i="3"/>
  <c r="M71" i="3" s="1"/>
  <c r="L94" i="3"/>
  <c r="M94" i="3" s="1"/>
  <c r="S94" i="3" s="1"/>
  <c r="L93" i="3"/>
  <c r="M93" i="3" s="1"/>
  <c r="S93" i="3" s="1"/>
  <c r="M235" i="3"/>
  <c r="S235" i="3" s="1"/>
  <c r="M158" i="3"/>
  <c r="M196" i="3"/>
  <c r="S196" i="3" s="1"/>
  <c r="M280" i="3"/>
  <c r="S280" i="3" s="1"/>
  <c r="L351" i="3"/>
  <c r="K260" i="3"/>
  <c r="K39" i="3"/>
  <c r="L174" i="3"/>
  <c r="K219" i="3"/>
  <c r="L173" i="3"/>
  <c r="K306" i="3"/>
  <c r="K81" i="3"/>
  <c r="K171" i="3"/>
  <c r="K299" i="3"/>
  <c r="L164" i="3"/>
  <c r="L263" i="3"/>
  <c r="K83" i="3"/>
  <c r="L83" i="3"/>
  <c r="L308" i="3"/>
  <c r="L128" i="3"/>
  <c r="K127" i="3"/>
  <c r="K307" i="3"/>
  <c r="K309" i="3"/>
  <c r="L264" i="3"/>
  <c r="L84" i="3"/>
  <c r="K317" i="3"/>
  <c r="M317" i="3" s="1"/>
  <c r="S317" i="3" s="1"/>
  <c r="K258" i="3"/>
  <c r="L218" i="3"/>
  <c r="K165" i="3"/>
  <c r="K82" i="3"/>
  <c r="K265" i="3"/>
  <c r="L75" i="3"/>
  <c r="L354" i="3"/>
  <c r="L37" i="3"/>
  <c r="L127" i="3"/>
  <c r="L172" i="3"/>
  <c r="K217" i="3"/>
  <c r="K37" i="3"/>
  <c r="M37" i="3" s="1"/>
  <c r="S37" i="3" s="1"/>
  <c r="L133" i="3"/>
  <c r="L178" i="3"/>
  <c r="M178" i="3" s="1"/>
  <c r="S178" i="3" s="1"/>
  <c r="L223" i="3"/>
  <c r="L43" i="3"/>
  <c r="L268" i="3"/>
  <c r="L224" i="3"/>
  <c r="M224" i="3" s="1"/>
  <c r="S224" i="3" s="1"/>
  <c r="L221" i="3"/>
  <c r="L106" i="3"/>
  <c r="K16" i="3"/>
  <c r="M16" i="3" s="1"/>
  <c r="S16" i="3" s="1"/>
  <c r="L286" i="3"/>
  <c r="M286" i="3" s="1"/>
  <c r="S286" i="3" s="1"/>
  <c r="L265" i="3"/>
  <c r="L355" i="3"/>
  <c r="K335" i="3"/>
  <c r="M335" i="3" s="1"/>
  <c r="S335" i="3" s="1"/>
  <c r="L155" i="3"/>
  <c r="M155" i="3" s="1"/>
  <c r="S155" i="3" s="1"/>
  <c r="K200" i="3"/>
  <c r="M200" i="3" s="1"/>
  <c r="S200" i="3" s="1"/>
  <c r="K281" i="3"/>
  <c r="M281" i="3" s="1"/>
  <c r="S281" i="3" s="1"/>
  <c r="L326" i="3"/>
  <c r="M326" i="3" s="1"/>
  <c r="S326" i="3" s="1"/>
  <c r="K91" i="3"/>
  <c r="K46" i="3"/>
  <c r="M46" i="3" s="1"/>
  <c r="S46" i="3" s="1"/>
  <c r="K136" i="3"/>
  <c r="K180" i="3"/>
  <c r="M180" i="3" s="1"/>
  <c r="S180" i="3" s="1"/>
  <c r="L135" i="3"/>
  <c r="K135" i="3"/>
  <c r="K225" i="3"/>
  <c r="L225" i="3"/>
  <c r="K90" i="3"/>
  <c r="L90" i="3"/>
  <c r="L315" i="3"/>
  <c r="M315" i="3" s="1"/>
  <c r="S315" i="3" s="1"/>
  <c r="L181" i="3"/>
  <c r="L316" i="3"/>
  <c r="M316" i="3" s="1"/>
  <c r="S316" i="3" s="1"/>
  <c r="K361" i="3"/>
  <c r="M361" i="3" s="1"/>
  <c r="S361" i="3" s="1"/>
  <c r="K181" i="3"/>
  <c r="L336" i="3"/>
  <c r="K111" i="3"/>
  <c r="M111" i="3" s="1"/>
  <c r="S111" i="3" s="1"/>
  <c r="K291" i="3"/>
  <c r="M291" i="3" s="1"/>
  <c r="S291" i="3" s="1"/>
  <c r="L201" i="3"/>
  <c r="M201" i="3" s="1"/>
  <c r="S201" i="3" s="1"/>
  <c r="K66" i="3"/>
  <c r="M66" i="3" s="1"/>
  <c r="S66" i="3" s="1"/>
  <c r="K336" i="3"/>
  <c r="L59" i="3"/>
  <c r="M59" i="3" s="1"/>
  <c r="S59" i="3" s="1"/>
  <c r="K104" i="3"/>
  <c r="M104" i="3" s="1"/>
  <c r="S104" i="3" s="1"/>
  <c r="K124" i="3"/>
  <c r="M124" i="3" s="1"/>
  <c r="S124" i="3" s="1"/>
  <c r="K169" i="3"/>
  <c r="M169" i="3" s="1"/>
  <c r="S169" i="3" s="1"/>
  <c r="K34" i="3"/>
  <c r="M34" i="3" s="1"/>
  <c r="S34" i="3" s="1"/>
  <c r="K151" i="3"/>
  <c r="K106" i="3"/>
  <c r="L151" i="3"/>
  <c r="L91" i="3"/>
  <c r="L136" i="3"/>
  <c r="L226" i="3"/>
  <c r="M226" i="3" s="1"/>
  <c r="S226" i="3" s="1"/>
  <c r="L277" i="3"/>
  <c r="M277" i="3" s="1"/>
  <c r="S277" i="3" s="1"/>
  <c r="L187" i="3"/>
  <c r="M187" i="3" s="1"/>
  <c r="S187" i="3" s="1"/>
  <c r="K322" i="3"/>
  <c r="M322" i="3" s="1"/>
  <c r="S322" i="3" s="1"/>
  <c r="L142" i="3"/>
  <c r="M142" i="3" s="1"/>
  <c r="S142" i="3" s="1"/>
  <c r="K97" i="3"/>
  <c r="M97" i="3" s="1"/>
  <c r="S97" i="3" s="1"/>
  <c r="L132" i="3"/>
  <c r="M132" i="3" s="1"/>
  <c r="L177" i="3"/>
  <c r="M177" i="3" s="1"/>
  <c r="L87" i="3"/>
  <c r="M87" i="3" s="1"/>
  <c r="K78" i="3"/>
  <c r="L168" i="3"/>
  <c r="L33" i="3"/>
  <c r="M33" i="3" s="1"/>
  <c r="S33" i="3" s="1"/>
  <c r="M360" i="3"/>
  <c r="S360" i="3" s="1"/>
  <c r="M270" i="3"/>
  <c r="S270" i="3" s="1"/>
  <c r="M68" i="3"/>
  <c r="M339" i="3"/>
  <c r="M349" i="3"/>
  <c r="S349" i="3" s="1"/>
  <c r="M249" i="3"/>
  <c r="M247" i="3"/>
  <c r="M297" i="3"/>
  <c r="S297" i="3" s="1"/>
  <c r="M113" i="3"/>
  <c r="M12" i="3"/>
  <c r="M145" i="3"/>
  <c r="S145" i="3" s="1"/>
  <c r="M100" i="3"/>
  <c r="S100" i="3" s="1"/>
  <c r="M166" i="3"/>
  <c r="S166" i="3" s="1"/>
  <c r="M271" i="3"/>
  <c r="S271" i="3" s="1"/>
  <c r="L219" i="3"/>
  <c r="L119" i="3"/>
  <c r="L209" i="3"/>
  <c r="K254" i="3"/>
  <c r="K74" i="3"/>
  <c r="L299" i="3"/>
  <c r="K344" i="3"/>
  <c r="L81" i="3"/>
  <c r="L261" i="3"/>
  <c r="K264" i="3"/>
  <c r="K174" i="3"/>
  <c r="M135" i="3" l="1"/>
  <c r="S135" i="3" s="1"/>
  <c r="M79" i="3"/>
  <c r="S79" i="3" s="1"/>
  <c r="M184" i="3"/>
  <c r="S184" i="3" s="1"/>
  <c r="M139" i="3"/>
  <c r="S139" i="3" s="1"/>
  <c r="M183" i="3"/>
  <c r="S183" i="3" s="1"/>
  <c r="M337" i="3"/>
  <c r="M181" i="3"/>
  <c r="S181" i="3" s="1"/>
  <c r="M159" i="3"/>
  <c r="M318" i="3"/>
  <c r="S318" i="3" s="1"/>
  <c r="M73" i="3"/>
  <c r="S73" i="3" s="1"/>
  <c r="M118" i="3"/>
  <c r="S118" i="3" s="1"/>
  <c r="M61" i="3"/>
  <c r="S61" i="3" s="1"/>
  <c r="M236" i="3"/>
  <c r="S236" i="3" s="1"/>
  <c r="M332" i="3"/>
  <c r="M242" i="3"/>
  <c r="M206" i="3"/>
  <c r="M285" i="3"/>
  <c r="S285" i="3" s="1"/>
  <c r="M319" i="3"/>
  <c r="S319" i="3" s="1"/>
  <c r="M65" i="3"/>
  <c r="S65" i="3" s="1"/>
  <c r="M323" i="3"/>
  <c r="S323" i="3" s="1"/>
  <c r="M342" i="3"/>
  <c r="S342" i="3" s="1"/>
  <c r="M233" i="3"/>
  <c r="S233" i="3" s="1"/>
  <c r="M330" i="3"/>
  <c r="S330" i="3" s="1"/>
  <c r="M64" i="3"/>
  <c r="S64" i="3" s="1"/>
  <c r="M252" i="3"/>
  <c r="S252" i="3" s="1"/>
  <c r="M278" i="3"/>
  <c r="S278" i="3" s="1"/>
  <c r="M117" i="3"/>
  <c r="S117" i="3" s="1"/>
  <c r="M222" i="3"/>
  <c r="M205" i="3"/>
  <c r="M230" i="3"/>
  <c r="S230" i="3" s="1"/>
  <c r="M28" i="3"/>
  <c r="S28" i="3" s="1"/>
  <c r="M193" i="3"/>
  <c r="S193" i="3" s="1"/>
  <c r="M168" i="3"/>
  <c r="S168" i="3" s="1"/>
  <c r="M284" i="3"/>
  <c r="S284" i="3" s="1"/>
  <c r="L356" i="3"/>
  <c r="M356" i="3" s="1"/>
  <c r="M310" i="3"/>
  <c r="M137" i="3"/>
  <c r="S137" i="3" s="1"/>
  <c r="M345" i="3"/>
  <c r="S345" i="3" s="1"/>
  <c r="M78" i="3"/>
  <c r="S78" i="3" s="1"/>
  <c r="M29" i="3"/>
  <c r="S29" i="3" s="1"/>
  <c r="M246" i="3"/>
  <c r="S246" i="3" s="1"/>
  <c r="M324" i="3"/>
  <c r="S324" i="3" s="1"/>
  <c r="M234" i="3"/>
  <c r="S234" i="3" s="1"/>
  <c r="M144" i="3"/>
  <c r="S144" i="3" s="1"/>
  <c r="M42" i="3"/>
  <c r="M251" i="3"/>
  <c r="M26" i="3"/>
  <c r="M109" i="3"/>
  <c r="S109" i="3" s="1"/>
  <c r="M244" i="3"/>
  <c r="M364" i="3"/>
  <c r="S364" i="3" s="1"/>
  <c r="M279" i="3"/>
  <c r="S279" i="3" s="1"/>
  <c r="M182" i="3"/>
  <c r="S182" i="3" s="1"/>
  <c r="M164" i="3"/>
  <c r="S164" i="3" s="1"/>
  <c r="M307" i="3"/>
  <c r="S307" i="3" s="1"/>
  <c r="L313" i="3"/>
  <c r="M313" i="3" s="1"/>
  <c r="S313" i="3" s="1"/>
  <c r="M92" i="3"/>
  <c r="S92" i="3" s="1"/>
  <c r="M272" i="3"/>
  <c r="S272" i="3" s="1"/>
  <c r="M47" i="3"/>
  <c r="S47" i="3" s="1"/>
  <c r="M227" i="3"/>
  <c r="S227" i="3" s="1"/>
  <c r="M125" i="3"/>
  <c r="S125" i="3" s="1"/>
  <c r="M85" i="3"/>
  <c r="M74" i="3"/>
  <c r="S74" i="3" s="1"/>
  <c r="M56" i="3"/>
  <c r="S56" i="3" s="1"/>
  <c r="M191" i="3"/>
  <c r="S191" i="3" s="1"/>
  <c r="M192" i="3"/>
  <c r="S192" i="3" s="1"/>
  <c r="M14" i="3"/>
  <c r="S14" i="3" s="1"/>
  <c r="M194" i="3"/>
  <c r="S194" i="3" s="1"/>
  <c r="M239" i="3"/>
  <c r="S239" i="3" s="1"/>
  <c r="M35" i="3"/>
  <c r="S35" i="3" s="1"/>
  <c r="M220" i="3"/>
  <c r="M352" i="3"/>
  <c r="S352" i="3" s="1"/>
  <c r="M309" i="3"/>
  <c r="S309" i="3" s="1"/>
  <c r="M75" i="3"/>
  <c r="S75" i="3" s="1"/>
  <c r="M217" i="3"/>
  <c r="S217" i="3" s="1"/>
  <c r="K133" i="3"/>
  <c r="M133" i="3" s="1"/>
  <c r="S133" i="3" s="1"/>
  <c r="L88" i="3"/>
  <c r="M88" i="3" s="1"/>
  <c r="S88" i="3" s="1"/>
  <c r="K43" i="3"/>
  <c r="M43" i="3" s="1"/>
  <c r="S43" i="3" s="1"/>
  <c r="M300" i="3"/>
  <c r="S300" i="3" s="1"/>
  <c r="M237" i="3"/>
  <c r="S237" i="3" s="1"/>
  <c r="M50" i="3"/>
  <c r="S50" i="3" s="1"/>
  <c r="M36" i="3"/>
  <c r="S36" i="3" s="1"/>
  <c r="M30" i="3"/>
  <c r="S30" i="3" s="1"/>
  <c r="M331" i="3"/>
  <c r="S331" i="3" s="1"/>
  <c r="M287" i="3"/>
  <c r="M207" i="3"/>
  <c r="S207" i="3" s="1"/>
  <c r="M49" i="3"/>
  <c r="S49" i="3" s="1"/>
  <c r="M262" i="3"/>
  <c r="S262" i="3" s="1"/>
  <c r="M173" i="3"/>
  <c r="S173" i="3" s="1"/>
  <c r="M263" i="3"/>
  <c r="S263" i="3" s="1"/>
  <c r="M147" i="3"/>
  <c r="S147" i="3" s="1"/>
  <c r="M211" i="3"/>
  <c r="S211" i="3" s="1"/>
  <c r="M60" i="3"/>
  <c r="S60" i="3" s="1"/>
  <c r="M123" i="3"/>
  <c r="S123" i="3" s="1"/>
  <c r="M253" i="3"/>
  <c r="S253" i="3" s="1"/>
  <c r="M70" i="3"/>
  <c r="M52" i="3"/>
  <c r="S52" i="3" s="1"/>
  <c r="M146" i="3"/>
  <c r="S146" i="3" s="1"/>
  <c r="M290" i="3"/>
  <c r="S290" i="3" s="1"/>
  <c r="M121" i="3"/>
  <c r="S121" i="3" s="1"/>
  <c r="M15" i="3"/>
  <c r="S15" i="3" s="1"/>
  <c r="M240" i="3"/>
  <c r="S240" i="3" s="1"/>
  <c r="M340" i="3"/>
  <c r="M160" i="3"/>
  <c r="M149" i="3"/>
  <c r="S149" i="3" s="1"/>
  <c r="M274" i="3"/>
  <c r="S274" i="3" s="1"/>
  <c r="M99" i="3"/>
  <c r="S99" i="3" s="1"/>
  <c r="M98" i="3"/>
  <c r="S98" i="3" s="1"/>
  <c r="M7" i="3"/>
  <c r="S7" i="3" s="1"/>
  <c r="M161" i="3"/>
  <c r="M334" i="3"/>
  <c r="S334" i="3" s="1"/>
  <c r="M154" i="3"/>
  <c r="S154" i="3" s="1"/>
  <c r="M343" i="3"/>
  <c r="S343" i="3" s="1"/>
  <c r="M208" i="3"/>
  <c r="S208" i="3" s="1"/>
  <c r="M163" i="3"/>
  <c r="S163" i="3" s="1"/>
  <c r="M148" i="3"/>
  <c r="S148" i="3" s="1"/>
  <c r="M259" i="3"/>
  <c r="S259" i="3" s="1"/>
  <c r="M152" i="3"/>
  <c r="M216" i="3"/>
  <c r="S216" i="3" s="1"/>
  <c r="L179" i="3"/>
  <c r="M179" i="3" s="1"/>
  <c r="S179" i="3" s="1"/>
  <c r="L314" i="3"/>
  <c r="M314" i="3" s="1"/>
  <c r="S314" i="3" s="1"/>
  <c r="L311" i="3"/>
  <c r="M311" i="3" s="1"/>
  <c r="L131" i="3"/>
  <c r="M131" i="3" s="1"/>
  <c r="K221" i="3"/>
  <c r="M221" i="3" s="1"/>
  <c r="L176" i="3"/>
  <c r="M176" i="3" s="1"/>
  <c r="L269" i="3"/>
  <c r="M269" i="3" s="1"/>
  <c r="S269" i="3" s="1"/>
  <c r="K268" i="3"/>
  <c r="M268" i="3" s="1"/>
  <c r="S268" i="3" s="1"/>
  <c r="M102" i="3"/>
  <c r="S102" i="3" s="1"/>
  <c r="M76" i="3"/>
  <c r="S76" i="3" s="1"/>
  <c r="M195" i="3"/>
  <c r="S195" i="3" s="1"/>
  <c r="M58" i="3"/>
  <c r="S58" i="3" s="1"/>
  <c r="M294" i="3"/>
  <c r="M204" i="3"/>
  <c r="M48" i="3"/>
  <c r="S48" i="3" s="1"/>
  <c r="M62" i="3"/>
  <c r="M107" i="3"/>
  <c r="M72" i="3"/>
  <c r="S72" i="3" s="1"/>
  <c r="M19" i="3"/>
  <c r="S19" i="3" s="1"/>
  <c r="M298" i="3"/>
  <c r="S298" i="3" s="1"/>
  <c r="M115" i="3"/>
  <c r="M25" i="3"/>
  <c r="M103" i="3"/>
  <c r="S103" i="3" s="1"/>
  <c r="M305" i="3"/>
  <c r="S305" i="3" s="1"/>
  <c r="M353" i="3"/>
  <c r="S353" i="3" s="1"/>
  <c r="M213" i="3"/>
  <c r="S213" i="3" s="1"/>
  <c r="M350" i="3"/>
  <c r="S350" i="3" s="1"/>
  <c r="M175" i="3"/>
  <c r="M218" i="3"/>
  <c r="S218" i="3" s="1"/>
  <c r="M82" i="3"/>
  <c r="S82" i="3" s="1"/>
  <c r="M172" i="3"/>
  <c r="S172" i="3" s="1"/>
  <c r="M355" i="3"/>
  <c r="M119" i="3"/>
  <c r="S119" i="3" s="1"/>
  <c r="M209" i="3"/>
  <c r="S209" i="3" s="1"/>
  <c r="M344" i="3"/>
  <c r="S344" i="3" s="1"/>
  <c r="L89" i="3"/>
  <c r="M89" i="3" s="1"/>
  <c r="S89" i="3" s="1"/>
  <c r="K266" i="3"/>
  <c r="M266" i="3" s="1"/>
  <c r="K223" i="3"/>
  <c r="M223" i="3" s="1"/>
  <c r="S223" i="3" s="1"/>
  <c r="M39" i="3"/>
  <c r="S39" i="3" s="1"/>
  <c r="M38" i="3"/>
  <c r="S38" i="3" s="1"/>
  <c r="M170" i="3"/>
  <c r="S170" i="3" s="1"/>
  <c r="M80" i="3"/>
  <c r="S80" i="3" s="1"/>
  <c r="M126" i="3"/>
  <c r="S126" i="3" s="1"/>
  <c r="M260" i="3"/>
  <c r="S260" i="3" s="1"/>
  <c r="M174" i="3"/>
  <c r="S174" i="3" s="1"/>
  <c r="M130" i="3"/>
  <c r="M255" i="3"/>
  <c r="S255" i="3" s="1"/>
  <c r="M351" i="3"/>
  <c r="S351" i="3" s="1"/>
  <c r="M306" i="3"/>
  <c r="S306" i="3" s="1"/>
  <c r="M171" i="3"/>
  <c r="S171" i="3" s="1"/>
  <c r="M308" i="3"/>
  <c r="S308" i="3" s="1"/>
  <c r="M128" i="3"/>
  <c r="S128" i="3" s="1"/>
  <c r="M84" i="3"/>
  <c r="S84" i="3" s="1"/>
  <c r="M258" i="3"/>
  <c r="S258" i="3" s="1"/>
  <c r="M165" i="3"/>
  <c r="S165" i="3" s="1"/>
  <c r="M354" i="3"/>
  <c r="S354" i="3" s="1"/>
  <c r="M265" i="3"/>
  <c r="M336" i="3"/>
  <c r="S336" i="3" s="1"/>
  <c r="M254" i="3"/>
  <c r="S254" i="3" s="1"/>
  <c r="M261" i="3"/>
  <c r="S261" i="3" s="1"/>
  <c r="L86" i="3"/>
  <c r="M86" i="3" s="1"/>
  <c r="L41" i="3"/>
  <c r="M41" i="3" s="1"/>
  <c r="L44" i="3"/>
  <c r="M44" i="3" s="1"/>
  <c r="S44" i="3" s="1"/>
  <c r="K358" i="3"/>
  <c r="M358" i="3" s="1"/>
  <c r="S358" i="3" s="1"/>
  <c r="L134" i="3"/>
  <c r="M134" i="3" s="1"/>
  <c r="S134" i="3" s="1"/>
  <c r="L359" i="3"/>
  <c r="M359" i="3" s="1"/>
  <c r="S359" i="3" s="1"/>
  <c r="M91" i="3"/>
  <c r="S91" i="3" s="1"/>
  <c r="M136" i="3"/>
  <c r="S136" i="3" s="1"/>
  <c r="M219" i="3"/>
  <c r="S219" i="3" s="1"/>
  <c r="M299" i="3"/>
  <c r="S299" i="3" s="1"/>
  <c r="M81" i="3"/>
  <c r="S81" i="3" s="1"/>
  <c r="M264" i="3"/>
  <c r="S264" i="3" s="1"/>
  <c r="M83" i="3"/>
  <c r="S83" i="3" s="1"/>
  <c r="M127" i="3"/>
  <c r="S127" i="3" s="1"/>
  <c r="M106" i="3"/>
  <c r="S106" i="3" s="1"/>
  <c r="M225" i="3"/>
  <c r="S225" i="3" s="1"/>
  <c r="M90" i="3"/>
  <c r="S90" i="3" s="1"/>
  <c r="M151" i="3"/>
  <c r="S151" i="3" s="1"/>
  <c r="F3" i="16"/>
  <c r="F2" i="9"/>
  <c r="F3" i="14"/>
  <c r="F2" i="12" l="1"/>
  <c r="K2" i="12" s="1"/>
  <c r="F43" i="16"/>
  <c r="BB43" i="16" s="1"/>
  <c r="F42" i="12"/>
  <c r="F43" i="14"/>
  <c r="F41" i="9"/>
  <c r="F9" i="9"/>
  <c r="F11" i="14"/>
  <c r="AS11" i="14" s="1"/>
  <c r="F11" i="16"/>
  <c r="AT11" i="16" s="1"/>
  <c r="AT16" i="16" s="1"/>
  <c r="F10" i="12"/>
  <c r="F54" i="14"/>
  <c r="F52" i="9"/>
  <c r="F54" i="16"/>
  <c r="F53" i="12"/>
  <c r="F18" i="9"/>
  <c r="F19" i="12"/>
  <c r="K19" i="12" s="1"/>
  <c r="F20" i="16"/>
  <c r="F20" i="14"/>
  <c r="V268" i="3"/>
  <c r="W268" i="3" s="1"/>
  <c r="V265" i="3"/>
  <c r="W265" i="3" s="1"/>
  <c r="F50" i="12"/>
  <c r="F51" i="14"/>
  <c r="F51" i="16"/>
  <c r="F49" i="9"/>
  <c r="F26" i="12"/>
  <c r="F27" i="16"/>
  <c r="F27" i="14"/>
  <c r="F25" i="9"/>
  <c r="F33" i="9"/>
  <c r="F35" i="14"/>
  <c r="F34" i="12"/>
  <c r="F35" i="16"/>
  <c r="F60" i="16"/>
  <c r="F30" i="14"/>
  <c r="F29" i="12"/>
  <c r="F28" i="9"/>
  <c r="F30" i="16"/>
  <c r="F59" i="9"/>
  <c r="F45" i="12"/>
  <c r="F46" i="14"/>
  <c r="F46" i="16"/>
  <c r="F44" i="9"/>
  <c r="F19" i="14"/>
  <c r="F18" i="12"/>
  <c r="K18" i="12" s="1"/>
  <c r="F19" i="16"/>
  <c r="F17" i="9"/>
  <c r="F36" i="14"/>
  <c r="AW36" i="14" s="1"/>
  <c r="F35" i="12"/>
  <c r="K35" i="12" s="1"/>
  <c r="K39" i="12" s="1"/>
  <c r="F34" i="9"/>
  <c r="F36" i="16"/>
  <c r="AX36" i="16" s="1"/>
  <c r="AX40" i="16" s="1"/>
  <c r="F59" i="12"/>
  <c r="F60" i="14"/>
  <c r="F58" i="9"/>
  <c r="F59" i="14"/>
  <c r="F57" i="9"/>
  <c r="F58" i="12"/>
  <c r="F59" i="16"/>
  <c r="V40" i="3"/>
  <c r="W40" i="3" s="1"/>
  <c r="V43" i="3"/>
  <c r="W43" i="3" s="1"/>
  <c r="F61" i="16"/>
  <c r="F61" i="14"/>
  <c r="F60" i="12"/>
  <c r="F21" i="14"/>
  <c r="F19" i="9"/>
  <c r="F20" i="12"/>
  <c r="K20" i="12" s="1"/>
  <c r="F21" i="16"/>
  <c r="F27" i="12"/>
  <c r="K27" i="12" s="1"/>
  <c r="K31" i="12" s="1"/>
  <c r="CR31" i="12" s="1"/>
  <c r="F26" i="9"/>
  <c r="F28" i="14"/>
  <c r="AV28" i="14" s="1"/>
  <c r="F28" i="16"/>
  <c r="AW28" i="16" s="1"/>
  <c r="AW32" i="16" s="1"/>
  <c r="F45" i="14"/>
  <c r="F45" i="16"/>
  <c r="F43" i="9"/>
  <c r="F44" i="12"/>
  <c r="F53" i="14"/>
  <c r="F52" i="12"/>
  <c r="F51" i="9"/>
  <c r="F53" i="16"/>
  <c r="F13" i="16"/>
  <c r="F12" i="12"/>
  <c r="F11" i="9"/>
  <c r="F13" i="14"/>
  <c r="F29" i="16"/>
  <c r="F28" i="12"/>
  <c r="F27" i="9"/>
  <c r="F29" i="14"/>
  <c r="V175" i="3"/>
  <c r="W175" i="3" s="1"/>
  <c r="V178" i="3"/>
  <c r="W178" i="3" s="1"/>
  <c r="F14" i="16"/>
  <c r="F13" i="12"/>
  <c r="F12" i="9"/>
  <c r="F14" i="14"/>
  <c r="F12" i="16"/>
  <c r="AS12" i="16" s="1"/>
  <c r="AS16" i="16" s="1"/>
  <c r="F11" i="12"/>
  <c r="K11" i="12" s="1"/>
  <c r="K15" i="12" s="1"/>
  <c r="F10" i="9"/>
  <c r="F12" i="14"/>
  <c r="AR12" i="14" s="1"/>
  <c r="F4" i="14"/>
  <c r="F3" i="9"/>
  <c r="F3" i="12"/>
  <c r="K3" i="12" s="1"/>
  <c r="F4" i="16"/>
  <c r="F44" i="14"/>
  <c r="BD44" i="14" s="1"/>
  <c r="BD48" i="14" s="1"/>
  <c r="F43" i="12"/>
  <c r="F42" i="9"/>
  <c r="F44" i="16"/>
  <c r="V358" i="3"/>
  <c r="W358" i="3" s="1"/>
  <c r="V355" i="3"/>
  <c r="W355" i="3" s="1"/>
  <c r="V223" i="3"/>
  <c r="W223" i="3" s="1"/>
  <c r="V220" i="3"/>
  <c r="W220" i="3" s="1"/>
  <c r="F50" i="9"/>
  <c r="F51" i="12"/>
  <c r="F52" i="16"/>
  <c r="F52" i="14"/>
  <c r="V313" i="3"/>
  <c r="W313" i="3" s="1"/>
  <c r="V310" i="3"/>
  <c r="W310" i="3" s="1"/>
  <c r="V88" i="3"/>
  <c r="W88" i="3" s="1"/>
  <c r="V85" i="3"/>
  <c r="W85" i="3" s="1"/>
  <c r="V133" i="3"/>
  <c r="W133" i="3" s="1"/>
  <c r="V130" i="3"/>
  <c r="W130" i="3" s="1"/>
  <c r="F21" i="12"/>
  <c r="K21" i="12" s="1"/>
  <c r="F20" i="9"/>
  <c r="F22" i="16"/>
  <c r="F22" i="14"/>
  <c r="F62" i="14"/>
  <c r="F60" i="9"/>
  <c r="F61" i="12"/>
  <c r="F62" i="16"/>
  <c r="F36" i="12"/>
  <c r="F37" i="16"/>
  <c r="F35" i="9"/>
  <c r="F37" i="14"/>
  <c r="F4" i="12"/>
  <c r="K4" i="12" s="1"/>
  <c r="F5" i="16"/>
  <c r="AT5" i="16" s="1"/>
  <c r="AT8" i="16" s="1"/>
  <c r="F5" i="14"/>
  <c r="AS5" i="14" s="1"/>
  <c r="F4" i="9"/>
  <c r="F5" i="12"/>
  <c r="K5" i="12" s="1"/>
  <c r="F6" i="16"/>
  <c r="F5" i="9"/>
  <c r="F6" i="14"/>
  <c r="BF3" i="14"/>
  <c r="AY3" i="14"/>
  <c r="AY8" i="14" s="1"/>
  <c r="BC3" i="14"/>
  <c r="AZ3" i="14"/>
  <c r="AZ8" i="14" s="1"/>
  <c r="BA3" i="14"/>
  <c r="BB3" i="14"/>
  <c r="BG3" i="14"/>
  <c r="AX3" i="14"/>
  <c r="AX8" i="14" s="1"/>
  <c r="BD3" i="14"/>
  <c r="BE3" i="14"/>
  <c r="F38" i="16"/>
  <c r="F38" i="14"/>
  <c r="F36" i="9"/>
  <c r="F37" i="12"/>
  <c r="BB14" i="14" l="1"/>
  <c r="AZ14" i="14"/>
  <c r="AY14" i="14"/>
  <c r="BA14" i="14"/>
  <c r="AV14" i="14"/>
  <c r="AV16" i="14" s="1"/>
  <c r="AW14" i="14"/>
  <c r="AW16" i="14" s="1"/>
  <c r="AX14" i="14"/>
  <c r="AV13" i="16"/>
  <c r="AV16" i="16" s="1"/>
  <c r="BH13" i="16"/>
  <c r="BI13" i="16"/>
  <c r="BJ13" i="16"/>
  <c r="BO13" i="16"/>
  <c r="BO16" i="16" s="1"/>
  <c r="BK13" i="16"/>
  <c r="BL13" i="16"/>
  <c r="BM13" i="16"/>
  <c r="BM16" i="16" s="1"/>
  <c r="BN13" i="16"/>
  <c r="BN16" i="16" s="1"/>
  <c r="BP13" i="16"/>
  <c r="BP16" i="16" s="1"/>
  <c r="AY13" i="16"/>
  <c r="AZ13" i="16"/>
  <c r="BA13" i="16"/>
  <c r="BB13" i="16"/>
  <c r="BC13" i="16"/>
  <c r="BD13" i="16"/>
  <c r="BE13" i="16"/>
  <c r="BF13" i="16"/>
  <c r="BG13" i="16"/>
  <c r="BQ13" i="16"/>
  <c r="BQ16" i="16" s="1"/>
  <c r="BR13" i="16"/>
  <c r="BR16" i="16" s="1"/>
  <c r="BS13" i="16"/>
  <c r="BS16" i="16" s="1"/>
  <c r="BT13" i="16"/>
  <c r="BT16" i="16" s="1"/>
  <c r="BU13" i="16"/>
  <c r="BU16" i="16" s="1"/>
  <c r="BV13" i="16"/>
  <c r="BV16" i="16" s="1"/>
  <c r="BW13" i="16"/>
  <c r="BW16" i="16" s="1"/>
  <c r="BX13" i="16"/>
  <c r="BX16" i="16" s="1"/>
  <c r="BY13" i="16"/>
  <c r="BY16" i="16" s="1"/>
  <c r="BZ13" i="16"/>
  <c r="BZ16" i="16" s="1"/>
  <c r="CA13" i="16"/>
  <c r="CA16" i="16" s="1"/>
  <c r="CB13" i="16"/>
  <c r="CB16" i="16" s="1"/>
  <c r="CC13" i="16"/>
  <c r="CC16" i="16" s="1"/>
  <c r="CD13" i="16"/>
  <c r="CD16" i="16" s="1"/>
  <c r="AU13" i="14"/>
  <c r="BL13" i="14"/>
  <c r="BA13" i="14"/>
  <c r="AX13" i="14"/>
  <c r="AY13" i="14"/>
  <c r="AZ13" i="14"/>
  <c r="BK13" i="14"/>
  <c r="BB13" i="14"/>
  <c r="BD13" i="14"/>
  <c r="BC13" i="14"/>
  <c r="BE13" i="14"/>
  <c r="BI13" i="14"/>
  <c r="BF13" i="14"/>
  <c r="BG13" i="14"/>
  <c r="BH13" i="14"/>
  <c r="BJ13" i="14"/>
  <c r="BM13" i="14"/>
  <c r="BN13" i="14"/>
  <c r="BO13" i="14"/>
  <c r="BP13" i="14"/>
  <c r="BQ13" i="14"/>
  <c r="BR13" i="14"/>
  <c r="BS13" i="14"/>
  <c r="BT13" i="14"/>
  <c r="BU13" i="14"/>
  <c r="BV13" i="14"/>
  <c r="BW13" i="14"/>
  <c r="BX13" i="14"/>
  <c r="BY13" i="14"/>
  <c r="BZ13" i="14"/>
  <c r="CA13" i="14"/>
  <c r="CB13" i="14"/>
  <c r="CC13" i="14"/>
  <c r="AV6" i="14"/>
  <c r="AV8" i="14" s="1"/>
  <c r="AW6" i="14"/>
  <c r="AW8" i="14" s="1"/>
  <c r="BF43" i="14"/>
  <c r="AZ43" i="14"/>
  <c r="BA43" i="16"/>
  <c r="AX43" i="16"/>
  <c r="BD43" i="16"/>
  <c r="BF43" i="16"/>
  <c r="AW43" i="16"/>
  <c r="AX43" i="14"/>
  <c r="BA43" i="14"/>
  <c r="AY43" i="14"/>
  <c r="BG43" i="14"/>
  <c r="CI54" i="14"/>
  <c r="CI56" i="14" s="1"/>
  <c r="CD54" i="14"/>
  <c r="CD56" i="14" s="1"/>
  <c r="CF54" i="14"/>
  <c r="CF56" i="14" s="1"/>
  <c r="BX54" i="14"/>
  <c r="BZ54" i="14"/>
  <c r="BW54" i="14"/>
  <c r="CG54" i="14"/>
  <c r="CG56" i="14" s="1"/>
  <c r="CC54" i="14"/>
  <c r="CC56" i="14" s="1"/>
  <c r="CB54" i="14"/>
  <c r="CB56" i="14" s="1"/>
  <c r="CH54" i="14"/>
  <c r="CH56" i="14" s="1"/>
  <c r="CA54" i="14"/>
  <c r="BY54" i="14"/>
  <c r="CE54" i="14"/>
  <c r="CE56" i="14" s="1"/>
  <c r="CJ54" i="14"/>
  <c r="CJ56" i="14" s="1"/>
  <c r="BA27" i="16"/>
  <c r="BD27" i="16"/>
  <c r="BC27" i="16"/>
  <c r="AY27" i="16"/>
  <c r="AZ27" i="16"/>
  <c r="BF27" i="16"/>
  <c r="BE27" i="16"/>
  <c r="BB27" i="16"/>
  <c r="BG27" i="16"/>
  <c r="BH27" i="16"/>
  <c r="AY43" i="16"/>
  <c r="BE43" i="16"/>
  <c r="AZ43" i="16"/>
  <c r="BC43" i="16"/>
  <c r="BA51" i="14"/>
  <c r="BE51" i="14"/>
  <c r="BC51" i="14"/>
  <c r="AZ51" i="14"/>
  <c r="AY51" i="14"/>
  <c r="BB51" i="14"/>
  <c r="AX51" i="14"/>
  <c r="BD51" i="14"/>
  <c r="BA27" i="14"/>
  <c r="BE27" i="14"/>
  <c r="BE32" i="14" s="1"/>
  <c r="BF27" i="14"/>
  <c r="BF32" i="14" s="1"/>
  <c r="BG27" i="14"/>
  <c r="BG32" i="14" s="1"/>
  <c r="BD27" i="14"/>
  <c r="BD32" i="14" s="1"/>
  <c r="BB27" i="14"/>
  <c r="BB32" i="14" s="1"/>
  <c r="AX27" i="14"/>
  <c r="BC27" i="14"/>
  <c r="BC32" i="14" s="1"/>
  <c r="AZ27" i="14"/>
  <c r="AY27" i="14"/>
  <c r="BE35" i="14"/>
  <c r="BE40" i="14" s="1"/>
  <c r="BD35" i="14"/>
  <c r="BD40" i="14" s="1"/>
  <c r="BF35" i="14"/>
  <c r="BF40" i="14" s="1"/>
  <c r="BA35" i="14"/>
  <c r="AZ35" i="14"/>
  <c r="BB35" i="14"/>
  <c r="AY35" i="14"/>
  <c r="AX35" i="14"/>
  <c r="BC35" i="14"/>
  <c r="BC40" i="14" s="1"/>
  <c r="BG35" i="14"/>
  <c r="BG40" i="14" s="1"/>
  <c r="BH35" i="16"/>
  <c r="BF35" i="16"/>
  <c r="AY35" i="16"/>
  <c r="BG35" i="16"/>
  <c r="BE35" i="16"/>
  <c r="AZ35" i="16"/>
  <c r="BB35" i="16"/>
  <c r="BD35" i="16"/>
  <c r="BA35" i="16"/>
  <c r="BC35" i="16"/>
  <c r="K23" i="12"/>
  <c r="AQ30" i="14"/>
  <c r="AQ32" i="14" s="1"/>
  <c r="BA30" i="14"/>
  <c r="AZ30" i="14"/>
  <c r="AP30" i="14"/>
  <c r="AP32" i="14" s="1"/>
  <c r="AX30" i="14"/>
  <c r="AW30" i="14"/>
  <c r="AW32" i="14" s="1"/>
  <c r="AV30" i="14"/>
  <c r="AV32" i="14" s="1"/>
  <c r="AS30" i="14"/>
  <c r="AS32" i="14" s="1"/>
  <c r="AR30" i="14"/>
  <c r="AR32" i="14" s="1"/>
  <c r="AN30" i="14"/>
  <c r="AN32" i="14" s="1"/>
  <c r="AO30" i="14"/>
  <c r="AO32" i="14" s="1"/>
  <c r="AU30" i="14"/>
  <c r="AU32" i="14" s="1"/>
  <c r="AY30" i="14"/>
  <c r="AT30" i="14"/>
  <c r="AT32" i="14" s="1"/>
  <c r="BL30" i="16"/>
  <c r="BK30" i="16"/>
  <c r="BC30" i="16"/>
  <c r="AY30" i="16"/>
  <c r="BB30" i="16"/>
  <c r="AZ30" i="16"/>
  <c r="BJ30" i="16"/>
  <c r="BI30" i="16"/>
  <c r="BF30" i="16"/>
  <c r="BD30" i="16"/>
  <c r="BA30" i="16"/>
  <c r="BG30" i="16"/>
  <c r="BH30" i="16"/>
  <c r="BE30" i="16"/>
  <c r="BX46" i="14"/>
  <c r="CF46" i="14"/>
  <c r="CF48" i="14" s="1"/>
  <c r="CI46" i="14"/>
  <c r="CI48" i="14" s="1"/>
  <c r="CD46" i="14"/>
  <c r="CD48" i="14" s="1"/>
  <c r="CG46" i="14"/>
  <c r="CG48" i="14" s="1"/>
  <c r="CB46" i="14"/>
  <c r="CB48" i="14" s="1"/>
  <c r="CH46" i="14"/>
  <c r="CH48" i="14" s="1"/>
  <c r="BW46" i="14"/>
  <c r="CE46" i="14"/>
  <c r="CE48" i="14" s="1"/>
  <c r="BZ46" i="14"/>
  <c r="CC46" i="14"/>
  <c r="CC48" i="14" s="1"/>
  <c r="CJ46" i="14"/>
  <c r="CJ48" i="14" s="1"/>
  <c r="CA46" i="14"/>
  <c r="BY46" i="14"/>
  <c r="BA60" i="14"/>
  <c r="AY60" i="14"/>
  <c r="BI60" i="14"/>
  <c r="BG60" i="14"/>
  <c r="AX60" i="14"/>
  <c r="BN60" i="14"/>
  <c r="BE60" i="14"/>
  <c r="AZ60" i="14"/>
  <c r="BP60" i="14"/>
  <c r="BK60" i="14"/>
  <c r="BC60" i="14"/>
  <c r="BQ60" i="14"/>
  <c r="BQ64" i="14" s="1"/>
  <c r="BH60" i="14"/>
  <c r="BM60" i="14"/>
  <c r="BU60" i="14"/>
  <c r="BS60" i="14"/>
  <c r="BS64" i="14" s="1"/>
  <c r="BL60" i="14"/>
  <c r="BB60" i="14"/>
  <c r="BJ60" i="14"/>
  <c r="BD60" i="14"/>
  <c r="BF60" i="14"/>
  <c r="BT60" i="14"/>
  <c r="BT64" i="14" s="1"/>
  <c r="BR60" i="14"/>
  <c r="BR64" i="14" s="1"/>
  <c r="BO60" i="14"/>
  <c r="BV60" i="14"/>
  <c r="BG59" i="14"/>
  <c r="BJ59" i="14"/>
  <c r="BH59" i="14"/>
  <c r="AX59" i="14"/>
  <c r="AX64" i="14" s="1"/>
  <c r="BF59" i="14"/>
  <c r="BI59" i="14"/>
  <c r="AY59" i="14"/>
  <c r="BL59" i="14"/>
  <c r="BR53" i="14"/>
  <c r="BZ53" i="14"/>
  <c r="BW53" i="14"/>
  <c r="BO59" i="14"/>
  <c r="BM59" i="14"/>
  <c r="BN59" i="14"/>
  <c r="BD59" i="14"/>
  <c r="BK59" i="14"/>
  <c r="BB59" i="14"/>
  <c r="AZ59" i="14"/>
  <c r="BA59" i="14"/>
  <c r="BC59" i="14"/>
  <c r="BE59" i="14"/>
  <c r="BP59" i="14"/>
  <c r="BC53" i="14"/>
  <c r="BX53" i="14"/>
  <c r="BM53" i="14"/>
  <c r="BD53" i="14"/>
  <c r="BP53" i="14"/>
  <c r="BL53" i="14"/>
  <c r="BQ53" i="14"/>
  <c r="BJ53" i="14"/>
  <c r="BV53" i="14"/>
  <c r="BE53" i="14"/>
  <c r="BU53" i="14"/>
  <c r="BY53" i="14"/>
  <c r="BN53" i="14"/>
  <c r="BT53" i="14"/>
  <c r="BK53" i="14"/>
  <c r="CA53" i="14"/>
  <c r="BO53" i="14"/>
  <c r="BS53" i="14"/>
  <c r="CA61" i="14"/>
  <c r="BG61" i="14"/>
  <c r="BH61" i="14"/>
  <c r="BZ61" i="14"/>
  <c r="BW61" i="14"/>
  <c r="BV61" i="14"/>
  <c r="BI61" i="14"/>
  <c r="BF61" i="14"/>
  <c r="BC61" i="14"/>
  <c r="BU61" i="14"/>
  <c r="BJ61" i="14"/>
  <c r="BY61" i="14"/>
  <c r="BO61" i="14"/>
  <c r="BN61" i="14"/>
  <c r="BL61" i="14"/>
  <c r="BX61" i="14"/>
  <c r="BX45" i="14"/>
  <c r="BN45" i="14"/>
  <c r="BM45" i="14"/>
  <c r="BJ45" i="14"/>
  <c r="BF45" i="14"/>
  <c r="BZ45" i="14"/>
  <c r="BL45" i="14"/>
  <c r="BO45" i="14"/>
  <c r="CA45" i="14"/>
  <c r="BH45" i="14"/>
  <c r="BS45" i="14"/>
  <c r="BG45" i="14"/>
  <c r="BW45" i="14"/>
  <c r="BR45" i="14"/>
  <c r="BP45" i="14"/>
  <c r="BQ45" i="14"/>
  <c r="BY45" i="14"/>
  <c r="BK45" i="14"/>
  <c r="BI45" i="14"/>
  <c r="BM45" i="16"/>
  <c r="BK45" i="16"/>
  <c r="BI45" i="16"/>
  <c r="BD45" i="16"/>
  <c r="BO45" i="16"/>
  <c r="BC45" i="16"/>
  <c r="CQ15" i="12"/>
  <c r="CR15" i="12"/>
  <c r="AY22" i="16"/>
  <c r="AY24" i="16" s="1"/>
  <c r="BG22" i="16"/>
  <c r="BG24" i="16" s="1"/>
  <c r="BJ22" i="16"/>
  <c r="BJ24" i="16" s="1"/>
  <c r="BC22" i="16"/>
  <c r="BC24" i="16" s="1"/>
  <c r="BA22" i="16"/>
  <c r="BA24" i="16" s="1"/>
  <c r="AQ6" i="14"/>
  <c r="AQ8" i="14" s="1"/>
  <c r="AO6" i="14"/>
  <c r="AO8" i="14" s="1"/>
  <c r="AN6" i="14"/>
  <c r="AN8" i="14" s="1"/>
  <c r="AT6" i="14"/>
  <c r="AT8" i="14" s="1"/>
  <c r="AU6" i="14"/>
  <c r="AU8" i="14" s="1"/>
  <c r="AL6" i="14"/>
  <c r="AL8" i="14" s="1"/>
  <c r="AS6" i="14"/>
  <c r="AS8" i="14" s="1"/>
  <c r="AK6" i="14"/>
  <c r="AK8" i="14" s="1"/>
  <c r="BE61" i="14"/>
  <c r="BM61" i="14"/>
  <c r="BD61" i="14"/>
  <c r="BP61" i="14"/>
  <c r="BK61" i="14"/>
  <c r="BU45" i="14"/>
  <c r="BT45" i="14"/>
  <c r="BV45" i="14"/>
  <c r="BA45" i="16"/>
  <c r="AY45" i="16"/>
  <c r="BE45" i="16"/>
  <c r="BL45" i="16"/>
  <c r="BH45" i="16"/>
  <c r="AZ45" i="16"/>
  <c r="BP45" i="16"/>
  <c r="BQ45" i="16"/>
  <c r="BG45" i="16"/>
  <c r="BF45" i="16"/>
  <c r="BN45" i="16"/>
  <c r="BB45" i="16"/>
  <c r="BR45" i="16"/>
  <c r="BJ45" i="16"/>
  <c r="BM29" i="16"/>
  <c r="BM32" i="16" s="1"/>
  <c r="BD29" i="16"/>
  <c r="BG29" i="16"/>
  <c r="AZ29" i="16"/>
  <c r="BL29" i="16"/>
  <c r="BA29" i="16"/>
  <c r="BP29" i="16"/>
  <c r="BP32" i="16" s="1"/>
  <c r="BK29" i="16"/>
  <c r="BN29" i="16"/>
  <c r="BN32" i="16" s="1"/>
  <c r="BI29" i="16"/>
  <c r="BO29" i="16"/>
  <c r="BO32" i="16" s="1"/>
  <c r="BE29" i="16"/>
  <c r="AY29" i="16"/>
  <c r="BQ29" i="16"/>
  <c r="BQ32" i="16" s="1"/>
  <c r="BC29" i="16"/>
  <c r="BB29" i="16"/>
  <c r="BH29" i="16"/>
  <c r="BF29" i="16"/>
  <c r="BR29" i="16"/>
  <c r="BR32" i="16" s="1"/>
  <c r="BJ29" i="16"/>
  <c r="AX29" i="14"/>
  <c r="AY29" i="14"/>
  <c r="AY14" i="16"/>
  <c r="AY16" i="16" s="1"/>
  <c r="AZ14" i="16"/>
  <c r="BB14" i="16"/>
  <c r="BB16" i="16" s="1"/>
  <c r="BC14" i="16"/>
  <c r="BC16" i="16" s="1"/>
  <c r="BI14" i="16"/>
  <c r="BA14" i="16"/>
  <c r="BJ14" i="16"/>
  <c r="BD14" i="16"/>
  <c r="BG14" i="16"/>
  <c r="BL14" i="16"/>
  <c r="BE14" i="16"/>
  <c r="BF14" i="16"/>
  <c r="BK14" i="16"/>
  <c r="BH14" i="16"/>
  <c r="AT14" i="14"/>
  <c r="AT16" i="14" s="1"/>
  <c r="AP14" i="14"/>
  <c r="AP16" i="14" s="1"/>
  <c r="AS14" i="14"/>
  <c r="AS16" i="14" s="1"/>
  <c r="AJ14" i="14"/>
  <c r="AJ16" i="14" s="1"/>
  <c r="AL14" i="14"/>
  <c r="AL16" i="14" s="1"/>
  <c r="AK14" i="14"/>
  <c r="AK16" i="14" s="1"/>
  <c r="AQ14" i="14"/>
  <c r="AQ16" i="14" s="1"/>
  <c r="AU14" i="14"/>
  <c r="AM14" i="14"/>
  <c r="AM16" i="14" s="1"/>
  <c r="AN14" i="14"/>
  <c r="AN16" i="14" s="1"/>
  <c r="AH14" i="14"/>
  <c r="AH16" i="14" s="1"/>
  <c r="AO14" i="14"/>
  <c r="AO16" i="14" s="1"/>
  <c r="AI14" i="14"/>
  <c r="AI16" i="14" s="1"/>
  <c r="AR14" i="14"/>
  <c r="AR16" i="14" s="1"/>
  <c r="BP44" i="14"/>
  <c r="BR44" i="14"/>
  <c r="BU44" i="14"/>
  <c r="BE44" i="14"/>
  <c r="BE48" i="14" s="1"/>
  <c r="BI44" i="14"/>
  <c r="BT44" i="14"/>
  <c r="BC44" i="14"/>
  <c r="BC48" i="14" s="1"/>
  <c r="BH44" i="14"/>
  <c r="BG44" i="14"/>
  <c r="BJ44" i="14"/>
  <c r="AX44" i="14"/>
  <c r="BB44" i="14"/>
  <c r="BB48" i="14" s="1"/>
  <c r="BO44" i="14"/>
  <c r="AY44" i="14"/>
  <c r="BN44" i="14"/>
  <c r="BQ44" i="14"/>
  <c r="BK44" i="14"/>
  <c r="BF44" i="14"/>
  <c r="BS44" i="14"/>
  <c r="BM44" i="14"/>
  <c r="BL44" i="14"/>
  <c r="BA44" i="14"/>
  <c r="AZ44" i="14"/>
  <c r="BV44" i="14"/>
  <c r="BI44" i="16"/>
  <c r="BK44" i="16"/>
  <c r="BQ44" i="16"/>
  <c r="BJ44" i="16"/>
  <c r="BE44" i="16"/>
  <c r="BN44" i="16"/>
  <c r="AY44" i="16"/>
  <c r="BF44" i="16"/>
  <c r="BA44" i="16"/>
  <c r="BD44" i="16"/>
  <c r="BH44" i="16"/>
  <c r="BO44" i="16"/>
  <c r="BL44" i="16"/>
  <c r="BM44" i="16"/>
  <c r="BP44" i="16"/>
  <c r="BB44" i="16"/>
  <c r="BC44" i="16"/>
  <c r="BG44" i="16"/>
  <c r="AZ44" i="16"/>
  <c r="BR44" i="16"/>
  <c r="BH52" i="16"/>
  <c r="BF52" i="16"/>
  <c r="BJ52" i="16"/>
  <c r="BP52" i="16"/>
  <c r="BN52" i="16"/>
  <c r="BI52" i="16"/>
  <c r="BL52" i="16"/>
  <c r="BK52" i="16"/>
  <c r="BM52" i="16"/>
  <c r="BD52" i="16"/>
  <c r="BA52" i="16"/>
  <c r="BO52" i="16"/>
  <c r="AZ52" i="16"/>
  <c r="BC52" i="16"/>
  <c r="BB52" i="16"/>
  <c r="BQ52" i="16"/>
  <c r="BG52" i="16"/>
  <c r="BE52" i="16"/>
  <c r="AY52" i="16"/>
  <c r="BR52" i="16"/>
  <c r="BV52" i="14"/>
  <c r="BB52" i="14"/>
  <c r="BO52" i="14"/>
  <c r="BF52" i="14"/>
  <c r="BF56" i="14" s="1"/>
  <c r="BM52" i="14"/>
  <c r="BD52" i="14"/>
  <c r="BP52" i="14"/>
  <c r="BJ52" i="14"/>
  <c r="AY52" i="14"/>
  <c r="BC52" i="14"/>
  <c r="BG52" i="14"/>
  <c r="BG56" i="14" s="1"/>
  <c r="BE52" i="14"/>
  <c r="AX52" i="14"/>
  <c r="BH52" i="14"/>
  <c r="BH56" i="14" s="1"/>
  <c r="BS52" i="14"/>
  <c r="BN52" i="14"/>
  <c r="BA52" i="14"/>
  <c r="BT52" i="14"/>
  <c r="AZ52" i="14"/>
  <c r="BR52" i="14"/>
  <c r="BI52" i="14"/>
  <c r="BI56" i="14" s="1"/>
  <c r="BK52" i="14"/>
  <c r="BL52" i="14"/>
  <c r="BQ52" i="14"/>
  <c r="BU52" i="14"/>
  <c r="BF22" i="16"/>
  <c r="BF24" i="16" s="1"/>
  <c r="AZ22" i="16"/>
  <c r="AZ24" i="16" s="1"/>
  <c r="BH22" i="16"/>
  <c r="BH24" i="16" s="1"/>
  <c r="BI22" i="16"/>
  <c r="BI24" i="16" s="1"/>
  <c r="BD22" i="16"/>
  <c r="BD24" i="16" s="1"/>
  <c r="BE22" i="16"/>
  <c r="BE24" i="16" s="1"/>
  <c r="BK22" i="16"/>
  <c r="BK24" i="16" s="1"/>
  <c r="BL22" i="16"/>
  <c r="BL24" i="16" s="1"/>
  <c r="BB22" i="16"/>
  <c r="BB24" i="16" s="1"/>
  <c r="AL22" i="14"/>
  <c r="AL24" i="14" s="1"/>
  <c r="AQ22" i="14"/>
  <c r="AQ24" i="14" s="1"/>
  <c r="AK22" i="14"/>
  <c r="AK24" i="14" s="1"/>
  <c r="AG22" i="14"/>
  <c r="AG24" i="14" s="1"/>
  <c r="AG67" i="14" s="1"/>
  <c r="AN22" i="14"/>
  <c r="AN24" i="14" s="1"/>
  <c r="AR22" i="14"/>
  <c r="AR24" i="14" s="1"/>
  <c r="AI22" i="14"/>
  <c r="AI24" i="14" s="1"/>
  <c r="AF22" i="14"/>
  <c r="AF24" i="14" s="1"/>
  <c r="AO22" i="14"/>
  <c r="AO24" i="14" s="1"/>
  <c r="AS22" i="14"/>
  <c r="AS24" i="14" s="1"/>
  <c r="AR6" i="14"/>
  <c r="AR8" i="14" s="1"/>
  <c r="AM6" i="14"/>
  <c r="AM8" i="14" s="1"/>
  <c r="AH6" i="14"/>
  <c r="AH8" i="14" s="1"/>
  <c r="AI6" i="14"/>
  <c r="AI8" i="14" s="1"/>
  <c r="K7" i="12"/>
  <c r="AM22" i="14"/>
  <c r="AM24" i="14" s="1"/>
  <c r="AH22" i="14"/>
  <c r="AH24" i="14" s="1"/>
  <c r="AJ22" i="14"/>
  <c r="AJ24" i="14" s="1"/>
  <c r="AP22" i="14"/>
  <c r="AP24" i="14" s="1"/>
  <c r="CI62" i="14"/>
  <c r="CI64" i="14" s="1"/>
  <c r="CD62" i="14"/>
  <c r="CD64" i="14" s="1"/>
  <c r="CH62" i="14"/>
  <c r="CH64" i="14" s="1"/>
  <c r="BW62" i="14"/>
  <c r="BZ62" i="14"/>
  <c r="CE62" i="14"/>
  <c r="CE64" i="14" s="1"/>
  <c r="CA62" i="14"/>
  <c r="CG62" i="14"/>
  <c r="CG64" i="14" s="1"/>
  <c r="CC62" i="14"/>
  <c r="CC64" i="14" s="1"/>
  <c r="CB62" i="14"/>
  <c r="CB64" i="14" s="1"/>
  <c r="BX62" i="14"/>
  <c r="CF62" i="14"/>
  <c r="CF64" i="14" s="1"/>
  <c r="BY62" i="14"/>
  <c r="CJ62" i="14"/>
  <c r="CJ64" i="14" s="1"/>
  <c r="AJ6" i="14"/>
  <c r="AJ8" i="14" s="1"/>
  <c r="AP6" i="14"/>
  <c r="AP8" i="14" s="1"/>
  <c r="BG37" i="16"/>
  <c r="BP37" i="16"/>
  <c r="BP40" i="16" s="1"/>
  <c r="BD37" i="16"/>
  <c r="BB37" i="16"/>
  <c r="BA37" i="16"/>
  <c r="BE37" i="16"/>
  <c r="BJ37" i="16"/>
  <c r="BH37" i="16"/>
  <c r="BO37" i="16"/>
  <c r="BO40" i="16" s="1"/>
  <c r="BK37" i="16"/>
  <c r="BQ37" i="16"/>
  <c r="BQ40" i="16" s="1"/>
  <c r="BF37" i="16"/>
  <c r="BL37" i="16"/>
  <c r="BN37" i="16"/>
  <c r="BN40" i="16" s="1"/>
  <c r="AY37" i="16"/>
  <c r="BC37" i="16"/>
  <c r="BI37" i="16"/>
  <c r="BM37" i="16"/>
  <c r="BM40" i="16" s="1"/>
  <c r="AZ37" i="16"/>
  <c r="BR37" i="16"/>
  <c r="BR40" i="16" s="1"/>
  <c r="AX37" i="14"/>
  <c r="AZ37" i="14"/>
  <c r="AY37" i="14"/>
  <c r="L3" i="16"/>
  <c r="K3" i="16"/>
  <c r="J3" i="16" s="1"/>
  <c r="BL38" i="16"/>
  <c r="BB38" i="16"/>
  <c r="AZ38" i="16"/>
  <c r="BI38" i="16"/>
  <c r="BA38" i="16"/>
  <c r="BF38" i="16"/>
  <c r="BD38" i="16"/>
  <c r="BJ38" i="16"/>
  <c r="BC38" i="16"/>
  <c r="BK38" i="16"/>
  <c r="BG38" i="16"/>
  <c r="BE38" i="16"/>
  <c r="AY38" i="16"/>
  <c r="BH38" i="16"/>
  <c r="AY38" i="14"/>
  <c r="BB38" i="14"/>
  <c r="AW38" i="14"/>
  <c r="AW40" i="14" s="1"/>
  <c r="AS38" i="14"/>
  <c r="AS40" i="14" s="1"/>
  <c r="AO38" i="14"/>
  <c r="AO40" i="14" s="1"/>
  <c r="AV38" i="14"/>
  <c r="AV40" i="14" s="1"/>
  <c r="AT38" i="14"/>
  <c r="AT40" i="14" s="1"/>
  <c r="AP38" i="14"/>
  <c r="AP40" i="14" s="1"/>
  <c r="AX38" i="14"/>
  <c r="BA38" i="14"/>
  <c r="AQ38" i="14"/>
  <c r="AQ40" i="14" s="1"/>
  <c r="AZ38" i="14"/>
  <c r="AR38" i="14"/>
  <c r="AR40" i="14" s="1"/>
  <c r="AU38" i="14"/>
  <c r="AU40" i="14" s="1"/>
  <c r="BK40" i="16" l="1"/>
  <c r="BL40" i="16"/>
  <c r="BJ40" i="16"/>
  <c r="BC40" i="16"/>
  <c r="AZ40" i="16"/>
  <c r="BF40" i="16"/>
  <c r="BA40" i="16"/>
  <c r="BE40" i="16"/>
  <c r="BH40" i="16"/>
  <c r="BD40" i="16"/>
  <c r="BG40" i="16"/>
  <c r="BI40" i="16"/>
  <c r="BB40" i="16"/>
  <c r="AY40" i="16"/>
  <c r="BE16" i="16"/>
  <c r="BD16" i="16"/>
  <c r="BJ16" i="16"/>
  <c r="BG16" i="16"/>
  <c r="BL16" i="16"/>
  <c r="BI16" i="16"/>
  <c r="BF16" i="16"/>
  <c r="BK16" i="16"/>
  <c r="BH16" i="16"/>
  <c r="BA16" i="16"/>
  <c r="AZ16" i="16"/>
  <c r="AU16" i="14"/>
  <c r="AU67" i="14" s="1"/>
  <c r="AX16" i="14"/>
  <c r="BA16" i="14"/>
  <c r="AY16" i="14"/>
  <c r="AZ16" i="14"/>
  <c r="BB16" i="14"/>
  <c r="BZ56" i="14"/>
  <c r="BW56" i="14"/>
  <c r="BY56" i="14"/>
  <c r="CA56" i="14"/>
  <c r="AX48" i="14"/>
  <c r="AY48" i="14"/>
  <c r="BA48" i="14"/>
  <c r="AZ48" i="14"/>
  <c r="BX56" i="14"/>
  <c r="BA32" i="14"/>
  <c r="AZ32" i="14"/>
  <c r="BB40" i="14"/>
  <c r="BA40" i="14"/>
  <c r="BB56" i="14"/>
  <c r="AY56" i="14"/>
  <c r="AX56" i="14"/>
  <c r="BA56" i="14"/>
  <c r="AZ56" i="14"/>
  <c r="AY64" i="14"/>
  <c r="BB32" i="16"/>
  <c r="AX32" i="14"/>
  <c r="BL32" i="16"/>
  <c r="BK32" i="16"/>
  <c r="AY32" i="16"/>
  <c r="BC32" i="16"/>
  <c r="BH32" i="16"/>
  <c r="BF32" i="16"/>
  <c r="BJ32" i="16"/>
  <c r="AY32" i="14"/>
  <c r="AW67" i="14"/>
  <c r="CQ23" i="12"/>
  <c r="CR23" i="12"/>
  <c r="BB64" i="14"/>
  <c r="AZ64" i="14"/>
  <c r="BA64" i="14"/>
  <c r="BD32" i="16"/>
  <c r="BG32" i="16"/>
  <c r="AZ32" i="16"/>
  <c r="BA32" i="16"/>
  <c r="BI32" i="16"/>
  <c r="BE32" i="16"/>
  <c r="AM67" i="14"/>
  <c r="BM56" i="14"/>
  <c r="BQ56" i="14"/>
  <c r="BU56" i="14"/>
  <c r="BN56" i="14"/>
  <c r="BT56" i="14"/>
  <c r="BK56" i="14"/>
  <c r="BO56" i="14"/>
  <c r="BS56" i="14"/>
  <c r="AR67" i="14"/>
  <c r="BP56" i="14"/>
  <c r="BJ56" i="14"/>
  <c r="BD56" i="14"/>
  <c r="BV56" i="14"/>
  <c r="BC56" i="14"/>
  <c r="BL56" i="14"/>
  <c r="BE56" i="14"/>
  <c r="AV67" i="14"/>
  <c r="CA64" i="14"/>
  <c r="BG64" i="14"/>
  <c r="BH64" i="14"/>
  <c r="BZ64" i="14"/>
  <c r="BW64" i="14"/>
  <c r="BV64" i="14"/>
  <c r="BI64" i="14"/>
  <c r="BF64" i="14"/>
  <c r="BC64" i="14"/>
  <c r="BU64" i="14"/>
  <c r="BJ64" i="14"/>
  <c r="BY64" i="14"/>
  <c r="BO64" i="14"/>
  <c r="BN64" i="14"/>
  <c r="BL64" i="14"/>
  <c r="BX64" i="14"/>
  <c r="BX48" i="14"/>
  <c r="BN48" i="14"/>
  <c r="BM48" i="14"/>
  <c r="BJ48" i="14"/>
  <c r="BF48" i="14"/>
  <c r="BZ48" i="14"/>
  <c r="BL48" i="14"/>
  <c r="BO48" i="14"/>
  <c r="CA48" i="14"/>
  <c r="BH48" i="14"/>
  <c r="BS48" i="14"/>
  <c r="BG48" i="14"/>
  <c r="BW48" i="14"/>
  <c r="BR48" i="14"/>
  <c r="BP48" i="14"/>
  <c r="BQ48" i="14"/>
  <c r="BY48" i="14"/>
  <c r="BK48" i="14"/>
  <c r="BI48" i="14"/>
  <c r="AQ67" i="14"/>
  <c r="AO67" i="14"/>
  <c r="AN67" i="14"/>
  <c r="AT67" i="14"/>
  <c r="AL67" i="14"/>
  <c r="AS67" i="14"/>
  <c r="AK67" i="14"/>
  <c r="BE64" i="14"/>
  <c r="BM64" i="14"/>
  <c r="BD64" i="14"/>
  <c r="BP64" i="14"/>
  <c r="BK64" i="14"/>
  <c r="BU48" i="14"/>
  <c r="BT48" i="14"/>
  <c r="BV48" i="14"/>
  <c r="BR56" i="14"/>
  <c r="AI67" i="14"/>
  <c r="CI67" i="14"/>
  <c r="CD67" i="14"/>
  <c r="CH67" i="14"/>
  <c r="CE67" i="14"/>
  <c r="CG67" i="14"/>
  <c r="CC67" i="14"/>
  <c r="CB67" i="14"/>
  <c r="CF67" i="14"/>
  <c r="CJ67" i="14"/>
  <c r="AJ67" i="14"/>
  <c r="AP67" i="14"/>
  <c r="L19" i="16"/>
  <c r="K19" i="16"/>
  <c r="J19" i="16" s="1"/>
  <c r="CU24" i="14"/>
  <c r="AF67" i="14"/>
  <c r="J19" i="14"/>
  <c r="CT24" i="14"/>
  <c r="K19" i="14"/>
  <c r="K3" i="14"/>
  <c r="CT8" i="14"/>
  <c r="J3" i="14"/>
  <c r="AH67" i="14"/>
  <c r="CU8" i="14"/>
  <c r="CR7" i="12"/>
  <c r="CQ7" i="12"/>
  <c r="AY40" i="14"/>
  <c r="AX40" i="14"/>
  <c r="AZ40" i="14"/>
  <c r="K11" i="16" l="1"/>
  <c r="J11" i="16" s="1"/>
  <c r="L11" i="16"/>
  <c r="K11" i="14"/>
  <c r="CT16" i="14"/>
  <c r="CU16" i="14"/>
  <c r="J11" i="14"/>
  <c r="BB67" i="14"/>
  <c r="BA67" i="14"/>
  <c r="K35" i="14"/>
  <c r="J35" i="14"/>
  <c r="AY67" i="14"/>
  <c r="AX67" i="14"/>
  <c r="CT32" i="14"/>
  <c r="CU32" i="14"/>
  <c r="J27" i="14"/>
  <c r="K27" i="14"/>
  <c r="AZ67" i="14"/>
  <c r="K27" i="16"/>
  <c r="J27" i="16" s="1"/>
  <c r="L27" i="16"/>
  <c r="BX67" i="14"/>
  <c r="BE67" i="14"/>
  <c r="K51" i="14"/>
  <c r="J51" i="14"/>
  <c r="BK67" i="14"/>
  <c r="BZ67" i="14"/>
  <c r="BS67" i="14"/>
  <c r="BQ67" i="14"/>
  <c r="BD67" i="14"/>
  <c r="BT67" i="14"/>
  <c r="BI67" i="14"/>
  <c r="BM67" i="14"/>
  <c r="BV67" i="14"/>
  <c r="BU67" i="14"/>
  <c r="BN67" i="14"/>
  <c r="BL67" i="14"/>
  <c r="CA67" i="14"/>
  <c r="BW67" i="14"/>
  <c r="BR67" i="14"/>
  <c r="BP67" i="14"/>
  <c r="BG67" i="14"/>
  <c r="BH67" i="14"/>
  <c r="BF67" i="14"/>
  <c r="BJ67" i="14"/>
  <c r="BO67" i="14"/>
  <c r="BY67" i="14"/>
  <c r="BC67" i="14"/>
  <c r="J59" i="14"/>
  <c r="K59" i="14"/>
  <c r="K43" i="14"/>
  <c r="J43" i="14"/>
  <c r="K35" i="16"/>
  <c r="J35" i="16" s="1"/>
  <c r="L35" i="16"/>
  <c r="L70" i="14" l="1"/>
  <c r="M70" i="14" s="1"/>
  <c r="L69" i="14"/>
  <c r="M69" i="14" s="1"/>
  <c r="AD46" i="16" l="1"/>
  <c r="AD48" i="16" s="1"/>
  <c r="BR46" i="16"/>
  <c r="BR48" i="16" s="1"/>
  <c r="CM46" i="16"/>
  <c r="CM48" i="16" s="1"/>
  <c r="BM46" i="16"/>
  <c r="BM48" i="16" s="1"/>
  <c r="U46" i="16" l="1"/>
  <c r="U48" i="16" s="1"/>
  <c r="T46" i="16"/>
  <c r="T48" i="16" s="1"/>
  <c r="AU46" i="16"/>
  <c r="AU48" i="16" s="1"/>
  <c r="AV46" i="16"/>
  <c r="AV48" i="16" s="1"/>
  <c r="BC46" i="16"/>
  <c r="BC48" i="16" s="1"/>
  <c r="BB46" i="16"/>
  <c r="BB48" i="16" s="1"/>
  <c r="AB46" i="16"/>
  <c r="AB48" i="16" s="1"/>
  <c r="AO46" i="16"/>
  <c r="AO48" i="16" s="1"/>
  <c r="CA46" i="16"/>
  <c r="CA48" i="16" s="1"/>
  <c r="BW46" i="16"/>
  <c r="BW48" i="16" s="1"/>
  <c r="CG46" i="16"/>
  <c r="CG48" i="16" s="1"/>
  <c r="AK46" i="16"/>
  <c r="AK48" i="16" s="1"/>
  <c r="CO46" i="16"/>
  <c r="CO48" i="16" s="1"/>
  <c r="CF46" i="16"/>
  <c r="CF48" i="16" s="1"/>
  <c r="BN46" i="16"/>
  <c r="BN48" i="16" s="1"/>
  <c r="AH46" i="16"/>
  <c r="AH48" i="16" s="1"/>
  <c r="CD46" i="16"/>
  <c r="CD48" i="16" s="1"/>
  <c r="AY46" i="16"/>
  <c r="AY48" i="16" s="1"/>
  <c r="AZ46" i="16"/>
  <c r="AZ48" i="16" s="1"/>
  <c r="M46" i="16"/>
  <c r="M48" i="16" s="1"/>
  <c r="CS46" i="16"/>
  <c r="CS48" i="16" s="1"/>
  <c r="AM46" i="16"/>
  <c r="AM48" i="16" s="1"/>
  <c r="BY46" i="16"/>
  <c r="BY48" i="16" s="1"/>
  <c r="BK46" i="16"/>
  <c r="BK48" i="16" s="1"/>
  <c r="BG46" i="16"/>
  <c r="BG48" i="16" s="1"/>
  <c r="AN46" i="16"/>
  <c r="AN48" i="16" s="1"/>
  <c r="P46" i="16"/>
  <c r="P48" i="16" s="1"/>
  <c r="CB46" i="16"/>
  <c r="CB48" i="16" s="1"/>
  <c r="BQ46" i="16"/>
  <c r="BQ48" i="16" s="1"/>
  <c r="CL46" i="16"/>
  <c r="CL48" i="16" s="1"/>
  <c r="AC46" i="16"/>
  <c r="AC48" i="16" s="1"/>
  <c r="CR46" i="16"/>
  <c r="CR48" i="16" s="1"/>
  <c r="CN46" i="16"/>
  <c r="CN48" i="16" s="1"/>
  <c r="BF46" i="16"/>
  <c r="BF48" i="16" s="1"/>
  <c r="S46" i="16"/>
  <c r="S48" i="16" s="1"/>
  <c r="AG46" i="16"/>
  <c r="AG48" i="16" s="1"/>
  <c r="CC46" i="16"/>
  <c r="CC48" i="16" s="1"/>
  <c r="BU46" i="16"/>
  <c r="BU48" i="16" s="1"/>
  <c r="CI46" i="16"/>
  <c r="CI48" i="16" s="1"/>
  <c r="W46" i="16"/>
  <c r="W48" i="16" s="1"/>
  <c r="BS46" i="16"/>
  <c r="BS48" i="16" s="1"/>
  <c r="O46" i="16"/>
  <c r="O48" i="16" s="1"/>
  <c r="AF46" i="16"/>
  <c r="AF48" i="16" s="1"/>
  <c r="AS46" i="16"/>
  <c r="AS48" i="16" s="1"/>
  <c r="BT46" i="16"/>
  <c r="BT48" i="16" s="1"/>
  <c r="BD46" i="16"/>
  <c r="BD48" i="16" s="1"/>
  <c r="BO46" i="16"/>
  <c r="BO48" i="16" s="1"/>
  <c r="AE46" i="16"/>
  <c r="AE48" i="16" s="1"/>
  <c r="AQ46" i="16"/>
  <c r="AQ48" i="16" s="1"/>
  <c r="CP46" i="16"/>
  <c r="CP48" i="16" s="1"/>
  <c r="CH46" i="16"/>
  <c r="CH48" i="16" s="1"/>
  <c r="BA46" i="16"/>
  <c r="BA48" i="16" s="1"/>
  <c r="Y46" i="16"/>
  <c r="Y48" i="16" s="1"/>
  <c r="V46" i="16"/>
  <c r="V48" i="16" s="1"/>
  <c r="X46" i="16"/>
  <c r="X48" i="16" s="1"/>
  <c r="AL46" i="16"/>
  <c r="AL48" i="16" s="1"/>
  <c r="BV46" i="16"/>
  <c r="BV48" i="16" s="1"/>
  <c r="BJ46" i="16"/>
  <c r="BJ48" i="16" s="1"/>
  <c r="BX46" i="16"/>
  <c r="BX48" i="16" s="1"/>
  <c r="BH46" i="16"/>
  <c r="BH48" i="16" s="1"/>
  <c r="Q46" i="16"/>
  <c r="Q48" i="16" s="1"/>
  <c r="AA46" i="16"/>
  <c r="AA48" i="16" s="1"/>
  <c r="AT46" i="16"/>
  <c r="AT48" i="16" s="1"/>
  <c r="BZ46" i="16"/>
  <c r="BZ48" i="16" s="1"/>
  <c r="BL46" i="16"/>
  <c r="BL48" i="16" s="1"/>
  <c r="CJ46" i="16"/>
  <c r="CJ48" i="16" s="1"/>
  <c r="CT46" i="16"/>
  <c r="CT48" i="16" s="1"/>
  <c r="Z46" i="16"/>
  <c r="Z48" i="16" s="1"/>
  <c r="AR46" i="16"/>
  <c r="AR48" i="16" s="1"/>
  <c r="AI46" i="16"/>
  <c r="AI48" i="16" s="1"/>
  <c r="AW46" i="16"/>
  <c r="AW48" i="16" s="1"/>
  <c r="CQ46" i="16"/>
  <c r="CQ48" i="16" s="1"/>
  <c r="BP46" i="16"/>
  <c r="BP48" i="16" s="1"/>
  <c r="CE46" i="16"/>
  <c r="CE48" i="16" s="1"/>
  <c r="AJ46" i="16"/>
  <c r="AJ48" i="16" s="1"/>
  <c r="BE46" i="16"/>
  <c r="BE48" i="16" s="1"/>
  <c r="CK46" i="16"/>
  <c r="CK48" i="16" s="1"/>
  <c r="AP46" i="16"/>
  <c r="AP48" i="16" s="1"/>
  <c r="BI46" i="16"/>
  <c r="BI48" i="16" s="1"/>
  <c r="AX46" i="16"/>
  <c r="AX48" i="16" s="1"/>
  <c r="R46" i="16"/>
  <c r="R48" i="16" s="1"/>
  <c r="N46" i="16"/>
  <c r="N48" i="16" s="1"/>
  <c r="L43" i="16" l="1"/>
  <c r="K43" i="16"/>
  <c r="J43" i="16" s="1"/>
  <c r="I54" i="16"/>
  <c r="CU54" i="16" l="1"/>
  <c r="CV54" i="16"/>
  <c r="CW54" i="16"/>
  <c r="CX54" i="16"/>
  <c r="CY54" i="16"/>
  <c r="CZ54" i="16"/>
  <c r="DA54" i="16"/>
  <c r="DB54" i="16"/>
  <c r="DC54" i="16"/>
  <c r="DD54" i="16"/>
  <c r="DE54" i="16"/>
  <c r="DF54" i="16"/>
  <c r="DG54" i="16"/>
  <c r="DH54" i="16"/>
  <c r="DI54" i="16"/>
  <c r="DJ54" i="16"/>
  <c r="DK54" i="16"/>
  <c r="DL54" i="16"/>
  <c r="DM54" i="16"/>
  <c r="DN54" i="16"/>
  <c r="DO54" i="16"/>
  <c r="DP54" i="16"/>
  <c r="DQ54" i="16"/>
  <c r="DR54" i="16"/>
  <c r="DS54" i="16"/>
  <c r="DT54" i="16"/>
  <c r="DU54" i="16"/>
  <c r="DV54" i="16"/>
  <c r="W54" i="16"/>
  <c r="CK54" i="16"/>
  <c r="AU54" i="16"/>
  <c r="BW54" i="16"/>
  <c r="CE54" i="16"/>
  <c r="AF54" i="16"/>
  <c r="CB54" i="16"/>
  <c r="Z54" i="16"/>
  <c r="CT54" i="16"/>
  <c r="CM54" i="16"/>
  <c r="BN54" i="16"/>
  <c r="AN54" i="16"/>
  <c r="AM54" i="16"/>
  <c r="AL54" i="16"/>
  <c r="U54" i="16"/>
  <c r="CQ54" i="16"/>
  <c r="CS54" i="16"/>
  <c r="BK54" i="16"/>
  <c r="BJ54" i="16"/>
  <c r="BI54" i="16"/>
  <c r="BR54" i="16"/>
  <c r="AY54" i="16"/>
  <c r="AW54" i="16"/>
  <c r="BX54" i="16"/>
  <c r="AQ54" i="16"/>
  <c r="Y54" i="16"/>
  <c r="BS54" i="16"/>
  <c r="AP54" i="16"/>
  <c r="AC54" i="16"/>
  <c r="BZ54" i="16"/>
  <c r="AZ54" i="16"/>
  <c r="CJ54" i="16"/>
  <c r="CA54" i="16"/>
  <c r="BE54" i="16"/>
  <c r="BP54" i="16"/>
  <c r="X54" i="16"/>
  <c r="AV54" i="16"/>
  <c r="AT54" i="16"/>
  <c r="BT54" i="16"/>
  <c r="CN54" i="16"/>
  <c r="BV54" i="16"/>
  <c r="AE54" i="16"/>
  <c r="AH54" i="16"/>
  <c r="BH54" i="16"/>
  <c r="AX54" i="16"/>
  <c r="CR54" i="16"/>
  <c r="CC54" i="16"/>
  <c r="BC54" i="16"/>
  <c r="BB54" i="16"/>
  <c r="BA54" i="16"/>
  <c r="CF54" i="16"/>
  <c r="BQ54" i="16"/>
  <c r="T54" i="16"/>
  <c r="S54" i="16"/>
  <c r="CI54" i="16"/>
  <c r="R54" i="16"/>
  <c r="BG54" i="16"/>
  <c r="AO54" i="16"/>
  <c r="Q54" i="16"/>
  <c r="BM54" i="16"/>
  <c r="CH54" i="16"/>
  <c r="AG54" i="16"/>
  <c r="CD54" i="16"/>
  <c r="AA54" i="16"/>
  <c r="BU54" i="16"/>
  <c r="BD54" i="16"/>
  <c r="O54" i="16"/>
  <c r="V54" i="16"/>
  <c r="AK54" i="16"/>
  <c r="CO54" i="16"/>
  <c r="BO54" i="16"/>
  <c r="BL54" i="16"/>
  <c r="N54" i="16"/>
  <c r="P54" i="16"/>
  <c r="AD54" i="16"/>
  <c r="AS54" i="16"/>
  <c r="CP54" i="16"/>
  <c r="AJ54" i="16"/>
  <c r="M54" i="16"/>
  <c r="CL54" i="16"/>
  <c r="AB54" i="16"/>
  <c r="BF54" i="16"/>
  <c r="AI54" i="16"/>
  <c r="BY54" i="16"/>
  <c r="CG54" i="16"/>
  <c r="AR54" i="16"/>
  <c r="I51" i="16"/>
  <c r="BH51" i="16" l="1"/>
  <c r="CU51" i="16"/>
  <c r="CY51" i="16"/>
  <c r="DG51" i="16"/>
  <c r="DS51" i="16"/>
  <c r="DI51" i="16"/>
  <c r="CV51" i="16"/>
  <c r="CZ51" i="16"/>
  <c r="DD51" i="16"/>
  <c r="DH51" i="16"/>
  <c r="DL51" i="16"/>
  <c r="DP51" i="16"/>
  <c r="DT51" i="16"/>
  <c r="DE51" i="16"/>
  <c r="DU51" i="16"/>
  <c r="CW51" i="16"/>
  <c r="DQ51" i="16"/>
  <c r="CX51" i="16"/>
  <c r="DB51" i="16"/>
  <c r="DF51" i="16"/>
  <c r="DJ51" i="16"/>
  <c r="DN51" i="16"/>
  <c r="DR51" i="16"/>
  <c r="DV51" i="16"/>
  <c r="DC51" i="16"/>
  <c r="DK51" i="16"/>
  <c r="DO51" i="16"/>
  <c r="DA51" i="16"/>
  <c r="DM51" i="16"/>
  <c r="BV51" i="16"/>
  <c r="BM51" i="16"/>
  <c r="BJ51" i="16"/>
  <c r="N51" i="16"/>
  <c r="AA51" i="16"/>
  <c r="X51" i="16"/>
  <c r="BZ51" i="16"/>
  <c r="AC51" i="16"/>
  <c r="AK51" i="16"/>
  <c r="BY51" i="16"/>
  <c r="AL51" i="16"/>
  <c r="CT51" i="16"/>
  <c r="Z51" i="16"/>
  <c r="CS51" i="16"/>
  <c r="BX51" i="16"/>
  <c r="BW51" i="16"/>
  <c r="BL51" i="16"/>
  <c r="BQ51" i="16"/>
  <c r="AP51" i="16"/>
  <c r="AU51" i="16"/>
  <c r="AG51" i="16"/>
  <c r="AV51" i="16"/>
  <c r="AH51" i="16"/>
  <c r="CP51" i="16"/>
  <c r="O51" i="16"/>
  <c r="AZ51" i="16"/>
  <c r="P51" i="16"/>
  <c r="CO51" i="16"/>
  <c r="V51" i="16"/>
  <c r="W51" i="16"/>
  <c r="BD51" i="16"/>
  <c r="CJ51" i="16"/>
  <c r="BI51" i="16"/>
  <c r="AE51" i="16"/>
  <c r="CK51" i="16"/>
  <c r="BP51" i="16"/>
  <c r="BF51" i="16"/>
  <c r="CL51" i="16"/>
  <c r="CB51" i="16"/>
  <c r="BN51" i="16"/>
  <c r="CG51" i="16"/>
  <c r="CA51" i="16"/>
  <c r="CN51" i="16"/>
  <c r="R51" i="16"/>
  <c r="BK51" i="16"/>
  <c r="AD51" i="16"/>
  <c r="CF51" i="16"/>
  <c r="Y51" i="16"/>
  <c r="AW51" i="16"/>
  <c r="AQ51" i="16"/>
  <c r="BE51" i="16"/>
  <c r="BC51" i="16"/>
  <c r="U51" i="16"/>
  <c r="AF51" i="16"/>
  <c r="BS51" i="16"/>
  <c r="AS51" i="16"/>
  <c r="CR51" i="16"/>
  <c r="BO51" i="16"/>
  <c r="AM51" i="16"/>
  <c r="CD51" i="16"/>
  <c r="CH51" i="16"/>
  <c r="BB51" i="16"/>
  <c r="CQ51" i="16"/>
  <c r="AY51" i="16"/>
  <c r="AN51" i="16"/>
  <c r="AO51" i="16"/>
  <c r="BG51" i="16"/>
  <c r="M51" i="16"/>
  <c r="AX51" i="16"/>
  <c r="AT51" i="16"/>
  <c r="CI51" i="16"/>
  <c r="CE51" i="16"/>
  <c r="Q51" i="16"/>
  <c r="AJ51" i="16"/>
  <c r="BT51" i="16"/>
  <c r="BR51" i="16"/>
  <c r="S51" i="16"/>
  <c r="BA51" i="16"/>
  <c r="CC51" i="16"/>
  <c r="BU51" i="16"/>
  <c r="AR51" i="16"/>
  <c r="AB51" i="16"/>
  <c r="CM51" i="16"/>
  <c r="T51" i="16"/>
  <c r="AI51" i="16"/>
  <c r="I53" i="16"/>
  <c r="BH53" i="16" l="1"/>
  <c r="BH56" i="16" s="1"/>
  <c r="CU53" i="16"/>
  <c r="CV53" i="16"/>
  <c r="CW53" i="16"/>
  <c r="CX53" i="16"/>
  <c r="CX56" i="16" s="1"/>
  <c r="CY53" i="16"/>
  <c r="CZ53" i="16"/>
  <c r="DA53" i="16"/>
  <c r="DB53" i="16"/>
  <c r="DB56" i="16" s="1"/>
  <c r="DC53" i="16"/>
  <c r="DC56" i="16" s="1"/>
  <c r="DD53" i="16"/>
  <c r="DD56" i="16" s="1"/>
  <c r="DE53" i="16"/>
  <c r="DF53" i="16"/>
  <c r="DF56" i="16" s="1"/>
  <c r="DG53" i="16"/>
  <c r="DG56" i="16" s="1"/>
  <c r="DH53" i="16"/>
  <c r="DH56" i="16" s="1"/>
  <c r="DI53" i="16"/>
  <c r="DJ53" i="16"/>
  <c r="DK53" i="16"/>
  <c r="DK56" i="16" s="1"/>
  <c r="DL53" i="16"/>
  <c r="DL56" i="16" s="1"/>
  <c r="DM53" i="16"/>
  <c r="DN53" i="16"/>
  <c r="DO53" i="16"/>
  <c r="DP53" i="16"/>
  <c r="DP56" i="16" s="1"/>
  <c r="DQ53" i="16"/>
  <c r="DR53" i="16"/>
  <c r="DS53" i="16"/>
  <c r="DT53" i="16"/>
  <c r="DT56" i="16" s="1"/>
  <c r="DU53" i="16"/>
  <c r="DV53" i="16"/>
  <c r="DA56" i="16"/>
  <c r="DV56" i="16"/>
  <c r="CW56" i="16"/>
  <c r="CZ56" i="16"/>
  <c r="DO56" i="16"/>
  <c r="DR56" i="16"/>
  <c r="DU56" i="16"/>
  <c r="CV56" i="16"/>
  <c r="CY56" i="16"/>
  <c r="DN56" i="16"/>
  <c r="DE56" i="16"/>
  <c r="DI56" i="16"/>
  <c r="CU56" i="16"/>
  <c r="DM56" i="16"/>
  <c r="DJ56" i="16"/>
  <c r="DQ56" i="16"/>
  <c r="DS56" i="16"/>
  <c r="AD53" i="16"/>
  <c r="AD56" i="16" s="1"/>
  <c r="BO53" i="16"/>
  <c r="BO56" i="16" s="1"/>
  <c r="P53" i="16"/>
  <c r="BT53" i="16"/>
  <c r="BT56" i="16" s="1"/>
  <c r="BS53" i="16"/>
  <c r="BS56" i="16" s="1"/>
  <c r="BB53" i="16"/>
  <c r="BB56" i="16" s="1"/>
  <c r="BP53" i="16"/>
  <c r="BP56" i="16" s="1"/>
  <c r="AJ53" i="16"/>
  <c r="AJ56" i="16" s="1"/>
  <c r="W53" i="16"/>
  <c r="W56" i="16" s="1"/>
  <c r="AQ53" i="16"/>
  <c r="AQ56" i="16" s="1"/>
  <c r="BK53" i="16"/>
  <c r="BK56" i="16" s="1"/>
  <c r="M53" i="16"/>
  <c r="M56" i="16" s="1"/>
  <c r="AF53" i="16"/>
  <c r="AF56" i="16" s="1"/>
  <c r="AS53" i="16"/>
  <c r="AS56" i="16" s="1"/>
  <c r="CH53" i="16"/>
  <c r="CH56" i="16" s="1"/>
  <c r="CQ53" i="16"/>
  <c r="CQ56" i="16" s="1"/>
  <c r="AH53" i="16"/>
  <c r="AH56" i="16" s="1"/>
  <c r="V53" i="16"/>
  <c r="V56" i="16" s="1"/>
  <c r="R53" i="16"/>
  <c r="R56" i="16" s="1"/>
  <c r="AW53" i="16"/>
  <c r="AW56" i="16" s="1"/>
  <c r="BE53" i="16"/>
  <c r="BE56" i="16" s="1"/>
  <c r="BZ53" i="16"/>
  <c r="BZ56" i="16" s="1"/>
  <c r="T53" i="16"/>
  <c r="T56" i="16" s="1"/>
  <c r="AN53" i="16"/>
  <c r="AN56" i="16" s="1"/>
  <c r="CS53" i="16"/>
  <c r="CS56" i="16" s="1"/>
  <c r="AP53" i="16"/>
  <c r="AP56" i="16" s="1"/>
  <c r="BN53" i="16"/>
  <c r="BN56" i="16" s="1"/>
  <c r="CC53" i="16"/>
  <c r="CC56" i="16" s="1"/>
  <c r="BR53" i="16"/>
  <c r="BR56" i="16" s="1"/>
  <c r="AX53" i="16"/>
  <c r="AX56" i="16" s="1"/>
  <c r="CE53" i="16"/>
  <c r="CE56" i="16" s="1"/>
  <c r="BU53" i="16"/>
  <c r="BU56" i="16" s="1"/>
  <c r="X53" i="16"/>
  <c r="X56" i="16" s="1"/>
  <c r="AB53" i="16"/>
  <c r="AB56" i="16" s="1"/>
  <c r="BM53" i="16"/>
  <c r="BM56" i="16" s="1"/>
  <c r="BY53" i="16"/>
  <c r="BY56" i="16" s="1"/>
  <c r="CN53" i="16"/>
  <c r="CN56" i="16" s="1"/>
  <c r="CB53" i="16"/>
  <c r="CB56" i="16" s="1"/>
  <c r="BD53" i="16"/>
  <c r="BD56" i="16" s="1"/>
  <c r="BQ53" i="16"/>
  <c r="BQ56" i="16" s="1"/>
  <c r="CI53" i="16"/>
  <c r="CI56" i="16" s="1"/>
  <c r="AR53" i="16"/>
  <c r="AR56" i="16" s="1"/>
  <c r="CO53" i="16"/>
  <c r="CO56" i="16" s="1"/>
  <c r="N53" i="16"/>
  <c r="N56" i="16" s="1"/>
  <c r="BA53" i="16"/>
  <c r="BA56" i="16" s="1"/>
  <c r="BG53" i="16"/>
  <c r="BG56" i="16" s="1"/>
  <c r="AC53" i="16"/>
  <c r="AC56" i="16" s="1"/>
  <c r="Z53" i="16"/>
  <c r="Z56" i="16" s="1"/>
  <c r="CG53" i="16"/>
  <c r="CG56" i="16" s="1"/>
  <c r="BF53" i="16"/>
  <c r="BF56" i="16" s="1"/>
  <c r="BI53" i="16"/>
  <c r="CP53" i="16"/>
  <c r="CP56" i="16" s="1"/>
  <c r="AU53" i="16"/>
  <c r="AU56" i="16" s="1"/>
  <c r="CT53" i="16"/>
  <c r="CT56" i="16" s="1"/>
  <c r="S53" i="16"/>
  <c r="S56" i="16" s="1"/>
  <c r="AI53" i="16"/>
  <c r="BJ53" i="16"/>
  <c r="BJ56" i="16" s="1"/>
  <c r="AT53" i="16"/>
  <c r="AT56" i="16" s="1"/>
  <c r="BV53" i="16"/>
  <c r="BV56" i="16" s="1"/>
  <c r="AZ53" i="16"/>
  <c r="AZ56" i="16" s="1"/>
  <c r="AL53" i="16"/>
  <c r="AL56" i="16" s="1"/>
  <c r="CA53" i="16"/>
  <c r="CA56" i="16" s="1"/>
  <c r="CL53" i="16"/>
  <c r="CL56" i="16" s="1"/>
  <c r="AE53" i="16"/>
  <c r="AE56" i="16" s="1"/>
  <c r="O53" i="16"/>
  <c r="O56" i="16" s="1"/>
  <c r="AG53" i="16"/>
  <c r="AG56" i="16" s="1"/>
  <c r="BL53" i="16"/>
  <c r="BL56" i="16" s="1"/>
  <c r="BX53" i="16"/>
  <c r="BX56" i="16" s="1"/>
  <c r="AY53" i="16"/>
  <c r="AY56" i="16" s="1"/>
  <c r="CD53" i="16"/>
  <c r="CD56" i="16" s="1"/>
  <c r="CM53" i="16"/>
  <c r="CM56" i="16" s="1"/>
  <c r="BC53" i="16"/>
  <c r="BC56" i="16" s="1"/>
  <c r="Y53" i="16"/>
  <c r="Y56" i="16" s="1"/>
  <c r="CF53" i="16"/>
  <c r="CF56" i="16" s="1"/>
  <c r="CK53" i="16"/>
  <c r="CK56" i="16" s="1"/>
  <c r="AV53" i="16"/>
  <c r="AV56" i="16" s="1"/>
  <c r="BI56" i="16"/>
  <c r="P56" i="16"/>
  <c r="U53" i="16"/>
  <c r="U56" i="16" s="1"/>
  <c r="CR53" i="16"/>
  <c r="CR56" i="16" s="1"/>
  <c r="AI56" i="16"/>
  <c r="AA53" i="16"/>
  <c r="AA56" i="16" s="1"/>
  <c r="AM53" i="16"/>
  <c r="AM56" i="16" s="1"/>
  <c r="AO53" i="16"/>
  <c r="AO56" i="16" s="1"/>
  <c r="BW53" i="16"/>
  <c r="BW56" i="16" s="1"/>
  <c r="CJ53" i="16"/>
  <c r="CJ56" i="16" s="1"/>
  <c r="AK53" i="16"/>
  <c r="AK56" i="16" s="1"/>
  <c r="Q53" i="16"/>
  <c r="Q56" i="16" s="1"/>
  <c r="K51" i="16" l="1"/>
  <c r="J51" i="16" s="1"/>
  <c r="L51" i="16"/>
  <c r="I62" i="16"/>
  <c r="CU62" i="16" l="1"/>
  <c r="CV62" i="16"/>
  <c r="CW62" i="16"/>
  <c r="CX62" i="16"/>
  <c r="CY62" i="16"/>
  <c r="CZ62" i="16"/>
  <c r="DA62" i="16"/>
  <c r="DB62" i="16"/>
  <c r="DC62" i="16"/>
  <c r="DD62" i="16"/>
  <c r="DE62" i="16"/>
  <c r="DF62" i="16"/>
  <c r="DG62" i="16"/>
  <c r="DH62" i="16"/>
  <c r="DI62" i="16"/>
  <c r="DJ62" i="16"/>
  <c r="DK62" i="16"/>
  <c r="DL62" i="16"/>
  <c r="DM62" i="16"/>
  <c r="DN62" i="16"/>
  <c r="DO62" i="16"/>
  <c r="DP62" i="16"/>
  <c r="DQ62" i="16"/>
  <c r="DR62" i="16"/>
  <c r="DS62" i="16"/>
  <c r="DT62" i="16"/>
  <c r="DU62" i="16"/>
  <c r="DV62" i="16"/>
  <c r="CL62" i="16"/>
  <c r="AR62" i="16"/>
  <c r="BO62" i="16"/>
  <c r="CT62" i="16"/>
  <c r="CQ62" i="16"/>
  <c r="AH62" i="16"/>
  <c r="BR62" i="16"/>
  <c r="CC62" i="16"/>
  <c r="CR62" i="16"/>
  <c r="BA62" i="16"/>
  <c r="N62" i="16"/>
  <c r="AQ62" i="16"/>
  <c r="AV62" i="16"/>
  <c r="AG62" i="16"/>
  <c r="R62" i="16"/>
  <c r="AL62" i="16"/>
  <c r="BG62" i="16"/>
  <c r="M62" i="16"/>
  <c r="BH62" i="16"/>
  <c r="BV62" i="16"/>
  <c r="CA62" i="16"/>
  <c r="AE62" i="16"/>
  <c r="U62" i="16"/>
  <c r="AW62" i="16"/>
  <c r="S62" i="16"/>
  <c r="BB62" i="16"/>
  <c r="AA62" i="16"/>
  <c r="BK62" i="16"/>
  <c r="AB62" i="16"/>
  <c r="BN62" i="16"/>
  <c r="BW62" i="16"/>
  <c r="CP62" i="16"/>
  <c r="AK62" i="16"/>
  <c r="V62" i="16"/>
  <c r="BF62" i="16"/>
  <c r="AU62" i="16"/>
  <c r="AF62" i="16"/>
  <c r="BL62" i="16"/>
  <c r="BS62" i="16"/>
  <c r="CD62" i="16"/>
  <c r="CH62" i="16"/>
  <c r="CM62" i="16"/>
  <c r="CO62" i="16"/>
  <c r="CJ62" i="16"/>
  <c r="AC62" i="16"/>
  <c r="AS62" i="16"/>
  <c r="BI62" i="16"/>
  <c r="Q62" i="16"/>
  <c r="T62" i="16"/>
  <c r="AD62" i="16"/>
  <c r="AX62" i="16"/>
  <c r="W62" i="16"/>
  <c r="AM62" i="16"/>
  <c r="BC62" i="16"/>
  <c r="P62" i="16"/>
  <c r="X62" i="16"/>
  <c r="AN62" i="16"/>
  <c r="BD62" i="16"/>
  <c r="BJ62" i="16"/>
  <c r="BQ62" i="16"/>
  <c r="BU62" i="16"/>
  <c r="CS62" i="16"/>
  <c r="CB62" i="16"/>
  <c r="CE62" i="16"/>
  <c r="CI62" i="16"/>
  <c r="CG62" i="16"/>
  <c r="CN62" i="16"/>
  <c r="BM62" i="16"/>
  <c r="Y62" i="16"/>
  <c r="AO62" i="16"/>
  <c r="BE62" i="16"/>
  <c r="Z62" i="16"/>
  <c r="AT62" i="16"/>
  <c r="AI62" i="16"/>
  <c r="AY62" i="16"/>
  <c r="O62" i="16"/>
  <c r="AJ62" i="16"/>
  <c r="AZ62" i="16"/>
  <c r="AP62" i="16"/>
  <c r="BP62" i="16"/>
  <c r="BT62" i="16"/>
  <c r="BX62" i="16"/>
  <c r="BY62" i="16"/>
  <c r="BZ62" i="16"/>
  <c r="CK62" i="16"/>
  <c r="CF62" i="16"/>
  <c r="CM59" i="16"/>
  <c r="BE59" i="16"/>
  <c r="BD59" i="16"/>
  <c r="AZ59" i="16"/>
  <c r="T59" i="16"/>
  <c r="BC59" i="16"/>
  <c r="AN59" i="16"/>
  <c r="I59" i="16"/>
  <c r="M59" i="16"/>
  <c r="BU59" i="16" l="1"/>
  <c r="CU59" i="16"/>
  <c r="CV59" i="16"/>
  <c r="CW59" i="16"/>
  <c r="CX59" i="16"/>
  <c r="CY59" i="16"/>
  <c r="CZ59" i="16"/>
  <c r="DA59" i="16"/>
  <c r="DB59" i="16"/>
  <c r="DC59" i="16"/>
  <c r="DD59" i="16"/>
  <c r="DE59" i="16"/>
  <c r="DF59" i="16"/>
  <c r="DG59" i="16"/>
  <c r="DH59" i="16"/>
  <c r="DI59" i="16"/>
  <c r="DJ59" i="16"/>
  <c r="DK59" i="16"/>
  <c r="DL59" i="16"/>
  <c r="DM59" i="16"/>
  <c r="DN59" i="16"/>
  <c r="DO59" i="16"/>
  <c r="DP59" i="16"/>
  <c r="DQ59" i="16"/>
  <c r="DR59" i="16"/>
  <c r="DS59" i="16"/>
  <c r="DT59" i="16"/>
  <c r="DU59" i="16"/>
  <c r="DV59" i="16"/>
  <c r="BO59" i="16"/>
  <c r="CN59" i="16"/>
  <c r="U59" i="16"/>
  <c r="O59" i="16"/>
  <c r="CP59" i="16"/>
  <c r="CS59" i="16"/>
  <c r="AE59" i="16"/>
  <c r="BS59" i="16"/>
  <c r="AC59" i="16"/>
  <c r="R59" i="16"/>
  <c r="CA59" i="16"/>
  <c r="AM59" i="16"/>
  <c r="CB59" i="16"/>
  <c r="CK59" i="16"/>
  <c r="AK59" i="16"/>
  <c r="X59" i="16"/>
  <c r="AO59" i="16"/>
  <c r="CI59" i="16"/>
  <c r="AI59" i="16"/>
  <c r="AW59" i="16"/>
  <c r="N59" i="16"/>
  <c r="AF59" i="16"/>
  <c r="BJ59" i="16"/>
  <c r="AD59" i="16"/>
  <c r="AY59" i="16"/>
  <c r="BR59" i="16"/>
  <c r="CJ59" i="16"/>
  <c r="AP59" i="16"/>
  <c r="AU59" i="16"/>
  <c r="AH59" i="16"/>
  <c r="Y59" i="16"/>
  <c r="CO59" i="16"/>
  <c r="Z59" i="16"/>
  <c r="CL59" i="16"/>
  <c r="CC59" i="16"/>
  <c r="CH59" i="16"/>
  <c r="AL59" i="16"/>
  <c r="CD59" i="16"/>
  <c r="CG59" i="16"/>
  <c r="CF59" i="16"/>
  <c r="BM59" i="16"/>
  <c r="AJ59" i="16"/>
  <c r="CT59" i="16"/>
  <c r="BB59" i="16"/>
  <c r="AQ59" i="16"/>
  <c r="CR59" i="16"/>
  <c r="BZ59" i="16"/>
  <c r="BX59" i="16"/>
  <c r="AA59" i="16"/>
  <c r="BA59" i="16"/>
  <c r="BI59" i="16"/>
  <c r="AR59" i="16"/>
  <c r="AG59" i="16"/>
  <c r="BF59" i="16"/>
  <c r="BH59" i="16"/>
  <c r="BL59" i="16"/>
  <c r="Q59" i="16"/>
  <c r="W59" i="16"/>
  <c r="AT59" i="16"/>
  <c r="BN59" i="16"/>
  <c r="BK59" i="16"/>
  <c r="S59" i="16"/>
  <c r="BT59" i="16"/>
  <c r="P59" i="16"/>
  <c r="AB59" i="16"/>
  <c r="BQ59" i="16"/>
  <c r="V59" i="16"/>
  <c r="AV59" i="16"/>
  <c r="BY59" i="16"/>
  <c r="BV59" i="16"/>
  <c r="BP59" i="16"/>
  <c r="BW59" i="16"/>
  <c r="AX59" i="16"/>
  <c r="CQ59" i="16"/>
  <c r="AS59" i="16"/>
  <c r="BG59" i="16"/>
  <c r="CE59" i="16"/>
  <c r="BJ60" i="16"/>
  <c r="AQ60" i="16"/>
  <c r="BL60" i="16"/>
  <c r="CH60" i="16"/>
  <c r="I60" i="16"/>
  <c r="CU60" i="16" l="1"/>
  <c r="CV60" i="16"/>
  <c r="CW60" i="16"/>
  <c r="CX60" i="16"/>
  <c r="CY60" i="16"/>
  <c r="CZ60" i="16"/>
  <c r="DA60" i="16"/>
  <c r="DB60" i="16"/>
  <c r="DC60" i="16"/>
  <c r="DD60" i="16"/>
  <c r="DE60" i="16"/>
  <c r="DF60" i="16"/>
  <c r="DG60" i="16"/>
  <c r="DH60" i="16"/>
  <c r="DI60" i="16"/>
  <c r="DJ60" i="16"/>
  <c r="DK60" i="16"/>
  <c r="DL60" i="16"/>
  <c r="DM60" i="16"/>
  <c r="DN60" i="16"/>
  <c r="DO60" i="16"/>
  <c r="DP60" i="16"/>
  <c r="DQ60" i="16"/>
  <c r="DR60" i="16"/>
  <c r="DS60" i="16"/>
  <c r="DT60" i="16"/>
  <c r="DU60" i="16"/>
  <c r="DV60" i="16"/>
  <c r="M60" i="16"/>
  <c r="AA60" i="16"/>
  <c r="BH60" i="16"/>
  <c r="CF60" i="16"/>
  <c r="BF60" i="16"/>
  <c r="BA60" i="16"/>
  <c r="CE60" i="16"/>
  <c r="Y60" i="16"/>
  <c r="BS60" i="16"/>
  <c r="X60" i="16"/>
  <c r="CI60" i="16"/>
  <c r="AN60" i="16"/>
  <c r="AS60" i="16"/>
  <c r="BO60" i="16"/>
  <c r="AZ60" i="16"/>
  <c r="V60" i="16"/>
  <c r="AB60" i="16"/>
  <c r="CM60" i="16"/>
  <c r="CK60" i="16"/>
  <c r="CL60" i="16"/>
  <c r="AI60" i="16"/>
  <c r="BX60" i="16"/>
  <c r="BW60" i="16"/>
  <c r="AW60" i="16"/>
  <c r="BR60" i="16"/>
  <c r="AR60" i="16"/>
  <c r="AU60" i="16"/>
  <c r="U60" i="16"/>
  <c r="S60" i="16"/>
  <c r="BN60" i="16"/>
  <c r="CP60" i="16"/>
  <c r="W60" i="16"/>
  <c r="AT60" i="16"/>
  <c r="CG60" i="16"/>
  <c r="CN60" i="16"/>
  <c r="CB60" i="16"/>
  <c r="R60" i="16"/>
  <c r="BD60" i="16"/>
  <c r="BE60" i="16"/>
  <c r="BP60" i="16"/>
  <c r="BQ60" i="16"/>
  <c r="BU60" i="16"/>
  <c r="AC60" i="16"/>
  <c r="AO60" i="16"/>
  <c r="O60" i="16"/>
  <c r="BY60" i="16"/>
  <c r="BV60" i="16"/>
  <c r="AL60" i="16"/>
  <c r="CA60" i="16"/>
  <c r="BK60" i="16"/>
  <c r="CS60" i="16"/>
  <c r="Q60" i="16"/>
  <c r="AY60" i="16"/>
  <c r="CJ60" i="16"/>
  <c r="BG60" i="16"/>
  <c r="BT60" i="16"/>
  <c r="BC60" i="16"/>
  <c r="P60" i="16"/>
  <c r="T60" i="16"/>
  <c r="AV60" i="16"/>
  <c r="AG60" i="16"/>
  <c r="AE60" i="16"/>
  <c r="AX60" i="16"/>
  <c r="AM60" i="16"/>
  <c r="AK60" i="16"/>
  <c r="BB60" i="16"/>
  <c r="AD60" i="16"/>
  <c r="CR60" i="16"/>
  <c r="Z60" i="16"/>
  <c r="BI60" i="16"/>
  <c r="CQ60" i="16"/>
  <c r="CD60" i="16"/>
  <c r="AP60" i="16"/>
  <c r="AF60" i="16"/>
  <c r="N60" i="16"/>
  <c r="CC60" i="16"/>
  <c r="BZ60" i="16"/>
  <c r="BM60" i="16"/>
  <c r="AH60" i="16"/>
  <c r="AJ60" i="16"/>
  <c r="CO60" i="16"/>
  <c r="CT60" i="16"/>
  <c r="I61" i="16"/>
  <c r="CU61" i="16" l="1"/>
  <c r="CV61" i="16"/>
  <c r="CW61" i="16"/>
  <c r="CX61" i="16"/>
  <c r="CY61" i="16"/>
  <c r="CZ61" i="16"/>
  <c r="DA61" i="16"/>
  <c r="DB61" i="16"/>
  <c r="DC61" i="16"/>
  <c r="DD61" i="16"/>
  <c r="DD64" i="16" s="1"/>
  <c r="DE61" i="16"/>
  <c r="DF61" i="16"/>
  <c r="DF64" i="16" s="1"/>
  <c r="DG61" i="16"/>
  <c r="DH61" i="16"/>
  <c r="DI61" i="16"/>
  <c r="DJ61" i="16"/>
  <c r="DK61" i="16"/>
  <c r="DL61" i="16"/>
  <c r="DM61" i="16"/>
  <c r="DN61" i="16"/>
  <c r="DO61" i="16"/>
  <c r="DP61" i="16"/>
  <c r="DQ61" i="16"/>
  <c r="DR61" i="16"/>
  <c r="DS61" i="16"/>
  <c r="DS64" i="16" s="1"/>
  <c r="DT61" i="16"/>
  <c r="DU61" i="16"/>
  <c r="DV61" i="16"/>
  <c r="DV64" i="16" s="1"/>
  <c r="CD61" i="16"/>
  <c r="CD64" i="16" s="1"/>
  <c r="CD67" i="16" s="1"/>
  <c r="CK61" i="16"/>
  <c r="CK64" i="16" s="1"/>
  <c r="CK67" i="16" s="1"/>
  <c r="CQ61" i="16"/>
  <c r="CQ64" i="16" s="1"/>
  <c r="CQ67" i="16" s="1"/>
  <c r="BM61" i="16"/>
  <c r="BM64" i="16" s="1"/>
  <c r="BM67" i="16" s="1"/>
  <c r="AW61" i="16"/>
  <c r="AW64" i="16" s="1"/>
  <c r="AW67" i="16" s="1"/>
  <c r="AF61" i="16"/>
  <c r="AF64" i="16" s="1"/>
  <c r="AF67" i="16" s="1"/>
  <c r="BU61" i="16"/>
  <c r="BU64" i="16" s="1"/>
  <c r="BU67" i="16" s="1"/>
  <c r="BD61" i="16"/>
  <c r="BD64" i="16" s="1"/>
  <c r="BD67" i="16" s="1"/>
  <c r="W61" i="16"/>
  <c r="W64" i="16" s="1"/>
  <c r="W67" i="16" s="1"/>
  <c r="S61" i="16"/>
  <c r="S64" i="16" s="1"/>
  <c r="S67" i="16" s="1"/>
  <c r="AB61" i="16"/>
  <c r="AB64" i="16" s="1"/>
  <c r="AB67" i="16" s="1"/>
  <c r="AS61" i="16"/>
  <c r="AS64" i="16" s="1"/>
  <c r="AS67" i="16" s="1"/>
  <c r="BS61" i="16"/>
  <c r="BS64" i="16" s="1"/>
  <c r="BS67" i="16" s="1"/>
  <c r="AX61" i="16"/>
  <c r="AX64" i="16" s="1"/>
  <c r="AX67" i="16" s="1"/>
  <c r="T61" i="16"/>
  <c r="T64" i="16" s="1"/>
  <c r="T67" i="16" s="1"/>
  <c r="DU64" i="16"/>
  <c r="DG64" i="16"/>
  <c r="DQ64" i="16"/>
  <c r="DJ64" i="16"/>
  <c r="DL64" i="16"/>
  <c r="DN64" i="16"/>
  <c r="DO64" i="16"/>
  <c r="CV64" i="16"/>
  <c r="DA64" i="16"/>
  <c r="CL61" i="16"/>
  <c r="CL64" i="16" s="1"/>
  <c r="CL67" i="16" s="1"/>
  <c r="AP61" i="16"/>
  <c r="AP64" i="16" s="1"/>
  <c r="AP67" i="16" s="1"/>
  <c r="BH61" i="16"/>
  <c r="BH64" i="16" s="1"/>
  <c r="BH67" i="16" s="1"/>
  <c r="BZ61" i="16"/>
  <c r="BZ64" i="16" s="1"/>
  <c r="BZ67" i="16" s="1"/>
  <c r="BR61" i="16"/>
  <c r="BR64" i="16" s="1"/>
  <c r="BR67" i="16" s="1"/>
  <c r="BJ61" i="16"/>
  <c r="BJ64" i="16" s="1"/>
  <c r="BJ67" i="16" s="1"/>
  <c r="CF61" i="16"/>
  <c r="CF64" i="16" s="1"/>
  <c r="CF67" i="16" s="1"/>
  <c r="BE61" i="16"/>
  <c r="BE64" i="16" s="1"/>
  <c r="BE67" i="16" s="1"/>
  <c r="AT61" i="16"/>
  <c r="AT64" i="16" s="1"/>
  <c r="AT67" i="16" s="1"/>
  <c r="BN61" i="16"/>
  <c r="BN64" i="16" s="1"/>
  <c r="BN67" i="16" s="1"/>
  <c r="CM61" i="16"/>
  <c r="CM64" i="16" s="1"/>
  <c r="CM67" i="16" s="1"/>
  <c r="BO61" i="16"/>
  <c r="BO64" i="16" s="1"/>
  <c r="BO67" i="16" s="1"/>
  <c r="X61" i="16"/>
  <c r="X64" i="16" s="1"/>
  <c r="X67" i="16" s="1"/>
  <c r="AM61" i="16"/>
  <c r="AM64" i="16" s="1"/>
  <c r="AM67" i="16" s="1"/>
  <c r="AV61" i="16"/>
  <c r="AV64" i="16" s="1"/>
  <c r="AV67" i="16" s="1"/>
  <c r="BT61" i="16"/>
  <c r="BT64" i="16" s="1"/>
  <c r="BT67" i="16" s="1"/>
  <c r="AH61" i="16"/>
  <c r="AH64" i="16" s="1"/>
  <c r="AH67" i="16" s="1"/>
  <c r="CE61" i="16"/>
  <c r="CE64" i="16" s="1"/>
  <c r="CE67" i="16" s="1"/>
  <c r="CT61" i="16"/>
  <c r="CT64" i="16" s="1"/>
  <c r="CT67" i="16" s="1"/>
  <c r="AY61" i="16"/>
  <c r="AY64" i="16" s="1"/>
  <c r="AY67" i="16" s="1"/>
  <c r="CA61" i="16"/>
  <c r="CA64" i="16" s="1"/>
  <c r="CA67" i="16" s="1"/>
  <c r="O61" i="16"/>
  <c r="O64" i="16" s="1"/>
  <c r="O67" i="16" s="1"/>
  <c r="AG61" i="16"/>
  <c r="AG64" i="16" s="1"/>
  <c r="AG67" i="16" s="1"/>
  <c r="BC61" i="16"/>
  <c r="BC64" i="16" s="1"/>
  <c r="BC67" i="16" s="1"/>
  <c r="CR61" i="16"/>
  <c r="CR64" i="16" s="1"/>
  <c r="CR67" i="16" s="1"/>
  <c r="BX61" i="16"/>
  <c r="BX64" i="16" s="1"/>
  <c r="BX67" i="16" s="1"/>
  <c r="BL61" i="16"/>
  <c r="BL64" i="16" s="1"/>
  <c r="BL67" i="16" s="1"/>
  <c r="AD61" i="16"/>
  <c r="AD64" i="16" s="1"/>
  <c r="AD67" i="16" s="1"/>
  <c r="AQ61" i="16"/>
  <c r="AQ64" i="16" s="1"/>
  <c r="AQ67" i="16" s="1"/>
  <c r="AI61" i="16"/>
  <c r="AI64" i="16" s="1"/>
  <c r="AI67" i="16" s="1"/>
  <c r="CC61" i="16"/>
  <c r="CC64" i="16" s="1"/>
  <c r="CC67" i="16" s="1"/>
  <c r="BP61" i="16"/>
  <c r="BP64" i="16" s="1"/>
  <c r="BP67" i="16" s="1"/>
  <c r="CB61" i="16"/>
  <c r="CB64" i="16" s="1"/>
  <c r="CB67" i="16" s="1"/>
  <c r="CG61" i="16"/>
  <c r="CG64" i="16" s="1"/>
  <c r="CG67" i="16" s="1"/>
  <c r="CP61" i="16"/>
  <c r="CP64" i="16" s="1"/>
  <c r="CP67" i="16" s="1"/>
  <c r="AU61" i="16"/>
  <c r="AU64" i="16" s="1"/>
  <c r="AU67" i="16" s="1"/>
  <c r="AZ61" i="16"/>
  <c r="AZ64" i="16" s="1"/>
  <c r="AZ67" i="16" s="1"/>
  <c r="CI61" i="16"/>
  <c r="CI64" i="16" s="1"/>
  <c r="CI67" i="16" s="1"/>
  <c r="AK61" i="16"/>
  <c r="AK64" i="16" s="1"/>
  <c r="AK67" i="16" s="1"/>
  <c r="DC64" i="16"/>
  <c r="CZ64" i="16"/>
  <c r="DP64" i="16"/>
  <c r="DE64" i="16"/>
  <c r="CW64" i="16"/>
  <c r="DH64" i="16"/>
  <c r="CY64" i="16"/>
  <c r="DR64" i="16"/>
  <c r="DT64" i="16"/>
  <c r="DM64" i="16"/>
  <c r="DK64" i="16"/>
  <c r="DB64" i="16"/>
  <c r="DI64" i="16"/>
  <c r="CX64" i="16"/>
  <c r="Z61" i="16"/>
  <c r="Z64" i="16" s="1"/>
  <c r="Z67" i="16" s="1"/>
  <c r="AR61" i="16"/>
  <c r="AR64" i="16" s="1"/>
  <c r="AR67" i="16" s="1"/>
  <c r="BI61" i="16"/>
  <c r="BI64" i="16" s="1"/>
  <c r="BI67" i="16" s="1"/>
  <c r="CH61" i="16"/>
  <c r="CH64" i="16" s="1"/>
  <c r="CH67" i="16" s="1"/>
  <c r="BW61" i="16"/>
  <c r="BW64" i="16" s="1"/>
  <c r="BW67" i="16" s="1"/>
  <c r="N61" i="16"/>
  <c r="N64" i="16" s="1"/>
  <c r="N67" i="16" s="1"/>
  <c r="BQ61" i="16"/>
  <c r="BQ64" i="16" s="1"/>
  <c r="BQ67" i="16" s="1"/>
  <c r="R61" i="16"/>
  <c r="R64" i="16" s="1"/>
  <c r="R67" i="16" s="1"/>
  <c r="CN61" i="16"/>
  <c r="CN64" i="16" s="1"/>
  <c r="CN67" i="16" s="1"/>
  <c r="U61" i="16"/>
  <c r="U64" i="16" s="1"/>
  <c r="U67" i="16" s="1"/>
  <c r="V61" i="16"/>
  <c r="V64" i="16" s="1"/>
  <c r="V67" i="16" s="1"/>
  <c r="AN61" i="16"/>
  <c r="AN64" i="16" s="1"/>
  <c r="AN67" i="16" s="1"/>
  <c r="BB61" i="16"/>
  <c r="BB64" i="16" s="1"/>
  <c r="BB67" i="16" s="1"/>
  <c r="AE61" i="16"/>
  <c r="AE64" i="16" s="1"/>
  <c r="AE67" i="16" s="1"/>
  <c r="AC61" i="16"/>
  <c r="AC64" i="16" s="1"/>
  <c r="AC67" i="16" s="1"/>
  <c r="BY61" i="16"/>
  <c r="BY64" i="16" s="1"/>
  <c r="BY67" i="16" s="1"/>
  <c r="AL61" i="16"/>
  <c r="AL64" i="16" s="1"/>
  <c r="AL67" i="16" s="1"/>
  <c r="CJ61" i="16"/>
  <c r="CJ64" i="16" s="1"/>
  <c r="CJ67" i="16" s="1"/>
  <c r="AJ61" i="16"/>
  <c r="AJ64" i="16" s="1"/>
  <c r="AJ67" i="16" s="1"/>
  <c r="BF61" i="16"/>
  <c r="BF64" i="16" s="1"/>
  <c r="BF67" i="16" s="1"/>
  <c r="Y61" i="16"/>
  <c r="Y64" i="16" s="1"/>
  <c r="Y67" i="16" s="1"/>
  <c r="P61" i="16"/>
  <c r="P64" i="16" s="1"/>
  <c r="P67" i="16" s="1"/>
  <c r="CU64" i="16"/>
  <c r="BK61" i="16"/>
  <c r="BK64" i="16" s="1"/>
  <c r="BK67" i="16" s="1"/>
  <c r="Q61" i="16"/>
  <c r="Q64" i="16" s="1"/>
  <c r="Q67" i="16" s="1"/>
  <c r="BV61" i="16"/>
  <c r="BV64" i="16" s="1"/>
  <c r="BV67" i="16" s="1"/>
  <c r="M61" i="16"/>
  <c r="M64" i="16" s="1"/>
  <c r="BG61" i="16"/>
  <c r="BG64" i="16" s="1"/>
  <c r="BG67" i="16" s="1"/>
  <c r="BA61" i="16"/>
  <c r="BA64" i="16" s="1"/>
  <c r="BA67" i="16" s="1"/>
  <c r="AO61" i="16"/>
  <c r="AO64" i="16" s="1"/>
  <c r="AO67" i="16" s="1"/>
  <c r="CS61" i="16"/>
  <c r="CS64" i="16" s="1"/>
  <c r="CS67" i="16" s="1"/>
  <c r="AA61" i="16"/>
  <c r="AA64" i="16" s="1"/>
  <c r="AA67" i="16" s="1"/>
  <c r="CO61" i="16"/>
  <c r="CO64" i="16" s="1"/>
  <c r="CO67" i="16" s="1"/>
  <c r="M67" i="16" l="1"/>
  <c r="K59" i="16"/>
  <c r="J59" i="16" s="1"/>
  <c r="L59" i="16"/>
  <c r="M69" i="16" l="1"/>
  <c r="N69" i="16" s="1"/>
  <c r="M70" i="16"/>
  <c r="N70" i="16" s="1"/>
  <c r="I6" i="17"/>
  <c r="CR6" i="17" l="1"/>
  <c r="CY6" i="17"/>
  <c r="DO6" i="17"/>
  <c r="EE6" i="17"/>
  <c r="EU6" i="17"/>
  <c r="FK6" i="17"/>
  <c r="DH6" i="17"/>
  <c r="DX6" i="17"/>
  <c r="EN6" i="17"/>
  <c r="FD6" i="17"/>
  <c r="DA6" i="17"/>
  <c r="DQ6" i="17"/>
  <c r="EG6" i="17"/>
  <c r="EW6" i="17"/>
  <c r="FM6" i="17"/>
  <c r="DJ6" i="17"/>
  <c r="DZ6" i="17"/>
  <c r="EP6" i="17"/>
  <c r="FF6" i="17"/>
  <c r="DC6" i="17"/>
  <c r="DS6" i="17"/>
  <c r="EI6" i="17"/>
  <c r="EY6" i="17"/>
  <c r="FO6" i="17"/>
  <c r="DL6" i="17"/>
  <c r="EB6" i="17"/>
  <c r="ER6" i="17"/>
  <c r="FH6" i="17"/>
  <c r="DE6" i="17"/>
  <c r="DU6" i="17"/>
  <c r="EK6" i="17"/>
  <c r="FA6" i="17"/>
  <c r="FQ6" i="17"/>
  <c r="DN6" i="17"/>
  <c r="ED6" i="17"/>
  <c r="ET6" i="17"/>
  <c r="FJ6" i="17"/>
  <c r="DG6" i="17"/>
  <c r="DW6" i="17"/>
  <c r="EM6" i="17"/>
  <c r="FC6" i="17"/>
  <c r="CZ6" i="17"/>
  <c r="DP6" i="17"/>
  <c r="EF6" i="17"/>
  <c r="EV6" i="17"/>
  <c r="FL6" i="17"/>
  <c r="DI6" i="17"/>
  <c r="DY6" i="17"/>
  <c r="EO6" i="17"/>
  <c r="FE6" i="17"/>
  <c r="DB6" i="17"/>
  <c r="DR6" i="17"/>
  <c r="EH6" i="17"/>
  <c r="EX6" i="17"/>
  <c r="FN6" i="17"/>
  <c r="DK6" i="17"/>
  <c r="EA6" i="17"/>
  <c r="EQ6" i="17"/>
  <c r="FG6" i="17"/>
  <c r="DD6" i="17"/>
  <c r="DT6" i="17"/>
  <c r="EJ6" i="17"/>
  <c r="EZ6" i="17"/>
  <c r="FP6" i="17"/>
  <c r="DM6" i="17"/>
  <c r="EC6" i="17"/>
  <c r="ES6" i="17"/>
  <c r="FI6" i="17"/>
  <c r="DF6" i="17"/>
  <c r="DV6" i="17"/>
  <c r="EL6" i="17"/>
  <c r="FB6" i="17"/>
  <c r="FR6" i="17"/>
  <c r="CK6" i="17"/>
  <c r="BP6" i="17"/>
  <c r="BU6" i="17"/>
  <c r="AZ6" i="17"/>
  <c r="CA6" i="17"/>
  <c r="CQ6" i="17"/>
  <c r="CD6" i="17"/>
  <c r="AH6" i="17"/>
  <c r="AA6" i="17"/>
  <c r="BC6" i="17"/>
  <c r="BJ6" i="17"/>
  <c r="AJ6" i="17"/>
  <c r="AW6" i="17"/>
  <c r="CJ6" i="17"/>
  <c r="W6" i="17"/>
  <c r="BH6" i="17"/>
  <c r="AG6" i="17"/>
  <c r="BK6" i="17"/>
  <c r="AI6" i="17"/>
  <c r="CB6" i="17"/>
  <c r="BX6" i="17"/>
  <c r="O6" i="17"/>
  <c r="AV6" i="17"/>
  <c r="AS6" i="17"/>
  <c r="BW6" i="17"/>
  <c r="AO6" i="17"/>
  <c r="AX6" i="17"/>
  <c r="P6" i="17"/>
  <c r="BN6" i="17"/>
  <c r="AF6" i="17"/>
  <c r="V6" i="17"/>
  <c r="CU6" i="17"/>
  <c r="R6" i="17"/>
  <c r="X6" i="17"/>
  <c r="CS6" i="17"/>
  <c r="CV6" i="17"/>
  <c r="CM6" i="17"/>
  <c r="M6" i="17"/>
  <c r="BZ6" i="17"/>
  <c r="U6" i="17"/>
  <c r="BS6" i="17"/>
  <c r="CW6" i="17"/>
  <c r="AY6" i="17"/>
  <c r="Y6" i="17"/>
  <c r="CT6" i="17"/>
  <c r="CN6" i="17"/>
  <c r="CC6" i="17"/>
  <c r="CE6" i="17"/>
  <c r="CP6" i="17"/>
  <c r="CF6" i="17"/>
  <c r="BV6" i="17"/>
  <c r="BG6" i="17"/>
  <c r="S6" i="17"/>
  <c r="Z6" i="17"/>
  <c r="N6" i="17"/>
  <c r="AL6" i="17"/>
  <c r="AU6" i="17"/>
  <c r="BE6" i="17"/>
  <c r="BD6" i="17"/>
  <c r="BQ6" i="17"/>
  <c r="CG6" i="17"/>
  <c r="AC6" i="17"/>
  <c r="CI6" i="17"/>
  <c r="AE6" i="17"/>
  <c r="AB6" i="17"/>
  <c r="BA6" i="17"/>
  <c r="BR6" i="17"/>
  <c r="AM6" i="17"/>
  <c r="BY6" i="17"/>
  <c r="BI6" i="17"/>
  <c r="BB6" i="17"/>
  <c r="CX6" i="17"/>
  <c r="BO6" i="17"/>
  <c r="AK6" i="17"/>
  <c r="CH6" i="17"/>
  <c r="Q6" i="17"/>
  <c r="AQ6" i="17"/>
  <c r="BM6" i="17"/>
  <c r="AT6" i="17"/>
  <c r="AN6" i="17"/>
  <c r="BT6" i="17"/>
  <c r="T6" i="17"/>
  <c r="CL6" i="17"/>
  <c r="AR6" i="17"/>
  <c r="BF6" i="17"/>
  <c r="CO6" i="17"/>
  <c r="AP6" i="17"/>
  <c r="BL6" i="17"/>
  <c r="AD6" i="17"/>
  <c r="I4" i="17"/>
  <c r="CO4" i="17" l="1"/>
  <c r="CY4" i="17"/>
  <c r="CY8" i="17" s="1"/>
  <c r="DO4" i="17"/>
  <c r="DO8" i="17" s="1"/>
  <c r="EE4" i="17"/>
  <c r="EE8" i="17" s="1"/>
  <c r="EU4" i="17"/>
  <c r="EU8" i="17" s="1"/>
  <c r="FK4" i="17"/>
  <c r="FK8" i="17" s="1"/>
  <c r="DH4" i="17"/>
  <c r="DH8" i="17" s="1"/>
  <c r="DX4" i="17"/>
  <c r="DX8" i="17" s="1"/>
  <c r="EN4" i="17"/>
  <c r="EN8" i="17" s="1"/>
  <c r="FD4" i="17"/>
  <c r="FD8" i="17" s="1"/>
  <c r="DA4" i="17"/>
  <c r="DA8" i="17" s="1"/>
  <c r="DQ4" i="17"/>
  <c r="DQ8" i="17" s="1"/>
  <c r="EG4" i="17"/>
  <c r="EG8" i="17" s="1"/>
  <c r="EW4" i="17"/>
  <c r="EW8" i="17" s="1"/>
  <c r="FM4" i="17"/>
  <c r="FM8" i="17" s="1"/>
  <c r="DJ4" i="17"/>
  <c r="DJ8" i="17" s="1"/>
  <c r="DZ4" i="17"/>
  <c r="DZ8" i="17" s="1"/>
  <c r="EP4" i="17"/>
  <c r="EP8" i="17" s="1"/>
  <c r="FF4" i="17"/>
  <c r="FF8" i="17" s="1"/>
  <c r="DC4" i="17"/>
  <c r="DC8" i="17" s="1"/>
  <c r="EI4" i="17"/>
  <c r="EI8" i="17" s="1"/>
  <c r="EY4" i="17"/>
  <c r="EY8" i="17" s="1"/>
  <c r="FO4" i="17"/>
  <c r="FO8" i="17" s="1"/>
  <c r="DL4" i="17"/>
  <c r="DL8" i="17" s="1"/>
  <c r="EB4" i="17"/>
  <c r="EB8" i="17" s="1"/>
  <c r="ER4" i="17"/>
  <c r="ER8" i="17" s="1"/>
  <c r="FH4" i="17"/>
  <c r="FH8" i="17" s="1"/>
  <c r="DE4" i="17"/>
  <c r="DE8" i="17" s="1"/>
  <c r="EK4" i="17"/>
  <c r="EK8" i="17" s="1"/>
  <c r="FA4" i="17"/>
  <c r="FA8" i="17" s="1"/>
  <c r="DN4" i="17"/>
  <c r="DN8" i="17" s="1"/>
  <c r="ET4" i="17"/>
  <c r="ET8" i="17" s="1"/>
  <c r="DG4" i="17"/>
  <c r="DG8" i="17" s="1"/>
  <c r="DW4" i="17"/>
  <c r="DW8" i="17" s="1"/>
  <c r="EM4" i="17"/>
  <c r="EM8" i="17" s="1"/>
  <c r="FC4" i="17"/>
  <c r="FC8" i="17" s="1"/>
  <c r="CZ4" i="17"/>
  <c r="CZ8" i="17" s="1"/>
  <c r="DP4" i="17"/>
  <c r="DP8" i="17" s="1"/>
  <c r="EF4" i="17"/>
  <c r="EF8" i="17" s="1"/>
  <c r="EV4" i="17"/>
  <c r="EV8" i="17" s="1"/>
  <c r="FL4" i="17"/>
  <c r="FL8" i="17" s="1"/>
  <c r="DI4" i="17"/>
  <c r="DI8" i="17" s="1"/>
  <c r="DY4" i="17"/>
  <c r="DY8" i="17" s="1"/>
  <c r="EO4" i="17"/>
  <c r="EO8" i="17" s="1"/>
  <c r="FE4" i="17"/>
  <c r="FE8" i="17" s="1"/>
  <c r="DB4" i="17"/>
  <c r="DB8" i="17" s="1"/>
  <c r="DR4" i="17"/>
  <c r="DR8" i="17" s="1"/>
  <c r="EH4" i="17"/>
  <c r="EH8" i="17" s="1"/>
  <c r="EX4" i="17"/>
  <c r="EX8" i="17" s="1"/>
  <c r="FN4" i="17"/>
  <c r="FN8" i="17" s="1"/>
  <c r="DK4" i="17"/>
  <c r="DK8" i="17" s="1"/>
  <c r="EA4" i="17"/>
  <c r="EA8" i="17" s="1"/>
  <c r="EQ4" i="17"/>
  <c r="EQ8" i="17" s="1"/>
  <c r="FG4" i="17"/>
  <c r="FG8" i="17" s="1"/>
  <c r="DD4" i="17"/>
  <c r="DD8" i="17" s="1"/>
  <c r="DT4" i="17"/>
  <c r="DT8" i="17" s="1"/>
  <c r="EJ4" i="17"/>
  <c r="EJ8" i="17" s="1"/>
  <c r="EZ4" i="17"/>
  <c r="EZ8" i="17" s="1"/>
  <c r="FP4" i="17"/>
  <c r="FP8" i="17" s="1"/>
  <c r="DM4" i="17"/>
  <c r="DM8" i="17" s="1"/>
  <c r="EC4" i="17"/>
  <c r="EC8" i="17" s="1"/>
  <c r="ES4" i="17"/>
  <c r="ES8" i="17" s="1"/>
  <c r="FI4" i="17"/>
  <c r="FI8" i="17" s="1"/>
  <c r="DF4" i="17"/>
  <c r="DF8" i="17" s="1"/>
  <c r="DV4" i="17"/>
  <c r="DV8" i="17" s="1"/>
  <c r="EL4" i="17"/>
  <c r="EL8" i="17" s="1"/>
  <c r="FB4" i="17"/>
  <c r="FB8" i="17" s="1"/>
  <c r="FR4" i="17"/>
  <c r="FR8" i="17" s="1"/>
  <c r="DS4" i="17"/>
  <c r="DS8" i="17" s="1"/>
  <c r="DU4" i="17"/>
  <c r="DU8" i="17" s="1"/>
  <c r="FQ4" i="17"/>
  <c r="FQ8" i="17" s="1"/>
  <c r="ED4" i="17"/>
  <c r="ED8" i="17" s="1"/>
  <c r="FJ4" i="17"/>
  <c r="FJ8" i="17" s="1"/>
  <c r="S4" i="17"/>
  <c r="S8" i="17" s="1"/>
  <c r="AY4" i="17"/>
  <c r="AY8" i="17" s="1"/>
  <c r="AG4" i="17"/>
  <c r="AG8" i="17" s="1"/>
  <c r="CG4" i="17"/>
  <c r="CG8" i="17" s="1"/>
  <c r="BD4" i="17"/>
  <c r="BD8" i="17" s="1"/>
  <c r="AF4" i="17"/>
  <c r="AF8" i="17" s="1"/>
  <c r="CI4" i="17"/>
  <c r="CI8" i="17" s="1"/>
  <c r="CR4" i="17"/>
  <c r="CR8" i="17" s="1"/>
  <c r="U4" i="17"/>
  <c r="U8" i="17" s="1"/>
  <c r="Q4" i="17"/>
  <c r="Q8" i="17" s="1"/>
  <c r="X4" i="17"/>
  <c r="X8" i="17" s="1"/>
  <c r="CF4" i="17"/>
  <c r="CF8" i="17" s="1"/>
  <c r="BR4" i="17"/>
  <c r="BR8" i="17" s="1"/>
  <c r="AJ4" i="17"/>
  <c r="AJ8" i="17" s="1"/>
  <c r="CS4" i="17"/>
  <c r="CS8" i="17" s="1"/>
  <c r="AD4" i="17"/>
  <c r="AD8" i="17" s="1"/>
  <c r="BC4" i="17"/>
  <c r="BC8" i="17" s="1"/>
  <c r="AP4" i="17"/>
  <c r="AP8" i="17" s="1"/>
  <c r="AC4" i="17"/>
  <c r="AC8" i="17" s="1"/>
  <c r="CO8" i="17"/>
  <c r="CT4" i="17"/>
  <c r="CT8" i="17" s="1"/>
  <c r="BA4" i="17"/>
  <c r="BA8" i="17" s="1"/>
  <c r="BZ4" i="17"/>
  <c r="BZ8" i="17" s="1"/>
  <c r="O4" i="17"/>
  <c r="O8" i="17" s="1"/>
  <c r="AX4" i="17"/>
  <c r="AX8" i="17" s="1"/>
  <c r="N4" i="17"/>
  <c r="N8" i="17" s="1"/>
  <c r="CC4" i="17"/>
  <c r="CC8" i="17" s="1"/>
  <c r="AS4" i="17"/>
  <c r="AS8" i="17" s="1"/>
  <c r="BE4" i="17"/>
  <c r="BE8" i="17" s="1"/>
  <c r="CN4" i="17"/>
  <c r="CN8" i="17" s="1"/>
  <c r="AO4" i="17"/>
  <c r="AO8" i="17" s="1"/>
  <c r="CK4" i="17"/>
  <c r="CK8" i="17" s="1"/>
  <c r="BQ4" i="17"/>
  <c r="BQ8" i="17" s="1"/>
  <c r="BJ4" i="17"/>
  <c r="BJ8" i="17" s="1"/>
  <c r="AR4" i="17"/>
  <c r="AR8" i="17" s="1"/>
  <c r="CM4" i="17"/>
  <c r="CM8" i="17" s="1"/>
  <c r="AM4" i="17"/>
  <c r="AM8" i="17" s="1"/>
  <c r="AU4" i="17"/>
  <c r="AU8" i="17" s="1"/>
  <c r="CP4" i="17"/>
  <c r="CP8" i="17" s="1"/>
  <c r="Y4" i="17"/>
  <c r="Y8" i="17" s="1"/>
  <c r="CX4" i="17"/>
  <c r="CX8" i="17" s="1"/>
  <c r="BB4" i="17"/>
  <c r="BB8" i="17" s="1"/>
  <c r="BS4" i="17"/>
  <c r="BS8" i="17" s="1"/>
  <c r="BW4" i="17"/>
  <c r="BW8" i="17" s="1"/>
  <c r="AH4" i="17"/>
  <c r="AH8" i="17" s="1"/>
  <c r="BF4" i="17"/>
  <c r="BF8" i="17" s="1"/>
  <c r="R4" i="17"/>
  <c r="R8" i="17" s="1"/>
  <c r="BN4" i="17"/>
  <c r="BN8" i="17" s="1"/>
  <c r="AA4" i="17"/>
  <c r="AA8" i="17" s="1"/>
  <c r="T4" i="17"/>
  <c r="T8" i="17" s="1"/>
  <c r="BI4" i="17"/>
  <c r="BI8" i="17" s="1"/>
  <c r="AB4" i="17"/>
  <c r="AB8" i="17" s="1"/>
  <c r="CJ4" i="17"/>
  <c r="CJ8" i="17" s="1"/>
  <c r="CB4" i="17"/>
  <c r="CB8" i="17" s="1"/>
  <c r="AI4" i="17"/>
  <c r="AI8" i="17" s="1"/>
  <c r="BH4" i="17"/>
  <c r="BH8" i="17" s="1"/>
  <c r="BU4" i="17"/>
  <c r="BU8" i="17" s="1"/>
  <c r="CA4" i="17"/>
  <c r="CA8" i="17" s="1"/>
  <c r="CW4" i="17"/>
  <c r="CW8" i="17" s="1"/>
  <c r="V4" i="17"/>
  <c r="V8" i="17" s="1"/>
  <c r="BT4" i="17"/>
  <c r="BT8" i="17" s="1"/>
  <c r="CL4" i="17"/>
  <c r="CL8" i="17" s="1"/>
  <c r="CH4" i="17"/>
  <c r="CH8" i="17" s="1"/>
  <c r="W4" i="17"/>
  <c r="W8" i="17" s="1"/>
  <c r="BM4" i="17"/>
  <c r="BM8" i="17" s="1"/>
  <c r="Z4" i="17"/>
  <c r="Z8" i="17" s="1"/>
  <c r="AK4" i="17"/>
  <c r="AK8" i="17" s="1"/>
  <c r="M4" i="17"/>
  <c r="M8" i="17" s="1"/>
  <c r="AE4" i="17"/>
  <c r="AE8" i="17" s="1"/>
  <c r="AL4" i="17"/>
  <c r="AL8" i="17" s="1"/>
  <c r="CE4" i="17"/>
  <c r="CE8" i="17" s="1"/>
  <c r="AN4" i="17"/>
  <c r="AN8" i="17" s="1"/>
  <c r="CD4" i="17"/>
  <c r="CD8" i="17" s="1"/>
  <c r="BO4" i="17"/>
  <c r="BO8" i="17" s="1"/>
  <c r="P4" i="17"/>
  <c r="P8" i="17" s="1"/>
  <c r="BK4" i="17"/>
  <c r="BK8" i="17" s="1"/>
  <c r="BP4" i="17"/>
  <c r="BP8" i="17" s="1"/>
  <c r="CV4" i="17"/>
  <c r="CV8" i="17" s="1"/>
  <c r="AW4" i="17"/>
  <c r="AW8" i="17" s="1"/>
  <c r="BX4" i="17"/>
  <c r="BX8" i="17" s="1"/>
  <c r="CQ4" i="17"/>
  <c r="CQ8" i="17" s="1"/>
  <c r="AT4" i="17"/>
  <c r="AT8" i="17" s="1"/>
  <c r="AQ4" i="17"/>
  <c r="AQ8" i="17" s="1"/>
  <c r="BL4" i="17"/>
  <c r="BL8" i="17" s="1"/>
  <c r="BY4" i="17"/>
  <c r="BY8" i="17" s="1"/>
  <c r="BG4" i="17"/>
  <c r="BG8" i="17" s="1"/>
  <c r="AZ4" i="17"/>
  <c r="AZ8" i="17" s="1"/>
  <c r="CU4" i="17"/>
  <c r="CU8" i="17" s="1"/>
  <c r="BV4" i="17"/>
  <c r="BV8" i="17" s="1"/>
  <c r="AV4" i="17"/>
  <c r="AV8" i="17" s="1"/>
  <c r="L3" i="17" l="1"/>
  <c r="K3" i="17"/>
  <c r="J3" i="17" s="1"/>
  <c r="I22" i="17"/>
  <c r="CN22" i="17" l="1"/>
  <c r="CN24" i="17" s="1"/>
  <c r="CI22" i="17"/>
  <c r="CI24" i="17" s="1"/>
  <c r="W22" i="17"/>
  <c r="W24" i="17" s="1"/>
  <c r="BT22" i="17"/>
  <c r="BT24" i="17" s="1"/>
  <c r="CQ22" i="17"/>
  <c r="CQ24" i="17" s="1"/>
  <c r="CV22" i="17"/>
  <c r="CV24" i="17" s="1"/>
  <c r="CE22" i="17"/>
  <c r="CE24" i="17" s="1"/>
  <c r="BY22" i="17"/>
  <c r="BY24" i="17" s="1"/>
  <c r="CL22" i="17"/>
  <c r="CL24" i="17" s="1"/>
  <c r="BH22" i="17"/>
  <c r="BH24" i="17" s="1"/>
  <c r="AI22" i="17"/>
  <c r="AI24" i="17" s="1"/>
  <c r="BS22" i="17"/>
  <c r="BS24" i="17" s="1"/>
  <c r="CK22" i="17"/>
  <c r="CK24" i="17" s="1"/>
  <c r="BR22" i="17"/>
  <c r="BR24" i="17" s="1"/>
  <c r="AF22" i="17"/>
  <c r="AF24" i="17" s="1"/>
  <c r="BK22" i="17"/>
  <c r="BK24" i="17" s="1"/>
  <c r="AN22" i="17"/>
  <c r="AN24" i="17" s="1"/>
  <c r="AP22" i="17"/>
  <c r="AP24" i="17" s="1"/>
  <c r="BO22" i="17"/>
  <c r="BO24" i="17" s="1"/>
  <c r="BB22" i="17"/>
  <c r="BB24" i="17" s="1"/>
  <c r="BL22" i="17"/>
  <c r="BL24" i="17" s="1"/>
  <c r="N22" i="17"/>
  <c r="N24" i="17" s="1"/>
  <c r="AB22" i="17"/>
  <c r="AB24" i="17" s="1"/>
  <c r="P22" i="17"/>
  <c r="P24" i="17" s="1"/>
  <c r="BF22" i="17"/>
  <c r="BF24" i="17" s="1"/>
  <c r="AS22" i="17"/>
  <c r="AS24" i="17" s="1"/>
  <c r="CD22" i="17"/>
  <c r="CD24" i="17" s="1"/>
  <c r="BG22" i="17"/>
  <c r="BG24" i="17" s="1"/>
  <c r="BQ22" i="17"/>
  <c r="BQ24" i="17" s="1"/>
  <c r="AE22" i="17"/>
  <c r="AE24" i="17" s="1"/>
  <c r="Y22" i="17"/>
  <c r="Y24" i="17" s="1"/>
  <c r="CC22" i="17"/>
  <c r="CC24" i="17" s="1"/>
  <c r="AJ22" i="17"/>
  <c r="AJ24" i="17" s="1"/>
  <c r="BJ22" i="17"/>
  <c r="BJ24" i="17" s="1"/>
  <c r="AY22" i="17"/>
  <c r="AY24" i="17" s="1"/>
  <c r="BU22" i="17"/>
  <c r="BU24" i="17" s="1"/>
  <c r="AR22" i="17"/>
  <c r="AR24" i="17" s="1"/>
  <c r="CP22" i="17"/>
  <c r="CP24" i="17" s="1"/>
  <c r="BD22" i="17"/>
  <c r="BD24" i="17" s="1"/>
  <c r="AK22" i="17"/>
  <c r="AK24" i="17" s="1"/>
  <c r="V22" i="17"/>
  <c r="V24" i="17" s="1"/>
  <c r="BZ22" i="17"/>
  <c r="BZ24" i="17" s="1"/>
  <c r="CB22" i="17"/>
  <c r="CB24" i="17" s="1"/>
  <c r="CJ22" i="17"/>
  <c r="CJ24" i="17" s="1"/>
  <c r="O22" i="17"/>
  <c r="O24" i="17" s="1"/>
  <c r="X22" i="17"/>
  <c r="X24" i="17" s="1"/>
  <c r="U22" i="17"/>
  <c r="U24" i="17" s="1"/>
  <c r="AM22" i="17"/>
  <c r="AM24" i="17" s="1"/>
  <c r="AC22" i="17"/>
  <c r="AC24" i="17" s="1"/>
  <c r="CR22" i="17"/>
  <c r="CR24" i="17" s="1"/>
  <c r="CF22" i="17"/>
  <c r="CF24" i="17" s="1"/>
  <c r="AU22" i="17"/>
  <c r="AU24" i="17" s="1"/>
  <c r="CX22" i="17"/>
  <c r="CX24" i="17" s="1"/>
  <c r="Z22" i="17"/>
  <c r="Z24" i="17" s="1"/>
  <c r="AL22" i="17"/>
  <c r="AL24" i="17" s="1"/>
  <c r="AO22" i="17"/>
  <c r="AO24" i="17" s="1"/>
  <c r="BC22" i="17"/>
  <c r="BC24" i="17" s="1"/>
  <c r="AG22" i="17"/>
  <c r="AG24" i="17" s="1"/>
  <c r="AZ22" i="17"/>
  <c r="AZ24" i="17" s="1"/>
  <c r="BV22" i="17"/>
  <c r="BV24" i="17" s="1"/>
  <c r="BI22" i="17"/>
  <c r="BI24" i="17" s="1"/>
  <c r="BW22" i="17"/>
  <c r="BW24" i="17" s="1"/>
  <c r="CT22" i="17"/>
  <c r="CT24" i="17" s="1"/>
  <c r="CU22" i="17"/>
  <c r="CU24" i="17" s="1"/>
  <c r="AQ22" i="17"/>
  <c r="AQ24" i="17" s="1"/>
  <c r="AX22" i="17"/>
  <c r="AX24" i="17" s="1"/>
  <c r="BP22" i="17"/>
  <c r="BP24" i="17" s="1"/>
  <c r="CW22" i="17"/>
  <c r="CW24" i="17" s="1"/>
  <c r="T22" i="17"/>
  <c r="T24" i="17" s="1"/>
  <c r="BE22" i="17"/>
  <c r="BE24" i="17" s="1"/>
  <c r="CA22" i="17"/>
  <c r="CA24" i="17" s="1"/>
  <c r="BX22" i="17"/>
  <c r="BX24" i="17" s="1"/>
  <c r="AV22" i="17"/>
  <c r="AV24" i="17" s="1"/>
  <c r="CO22" i="17"/>
  <c r="CO24" i="17" s="1"/>
  <c r="AW22" i="17"/>
  <c r="AW24" i="17" s="1"/>
  <c r="CS22" i="17"/>
  <c r="CS24" i="17" s="1"/>
  <c r="AD22" i="17"/>
  <c r="AD24" i="17" s="1"/>
  <c r="BA22" i="17"/>
  <c r="BA24" i="17" s="1"/>
  <c r="S22" i="17"/>
  <c r="S24" i="17" s="1"/>
  <c r="BM22" i="17"/>
  <c r="BM24" i="17" s="1"/>
  <c r="CG22" i="17"/>
  <c r="CG24" i="17" s="1"/>
  <c r="AH22" i="17"/>
  <c r="AH24" i="17" s="1"/>
  <c r="R22" i="17"/>
  <c r="R24" i="17" s="1"/>
  <c r="CH22" i="17"/>
  <c r="CH24" i="17" s="1"/>
  <c r="AA22" i="17"/>
  <c r="AA24" i="17" s="1"/>
  <c r="Q22" i="17"/>
  <c r="Q24" i="17" s="1"/>
  <c r="BN22" i="17"/>
  <c r="BN24" i="17" s="1"/>
  <c r="CM22" i="17"/>
  <c r="CM24" i="17" s="1"/>
  <c r="AT22" i="17"/>
  <c r="AT24" i="17" s="1"/>
  <c r="M22" i="17"/>
  <c r="M24" i="17" s="1"/>
  <c r="L19" i="17" l="1"/>
  <c r="K19" i="17"/>
  <c r="J19" i="17" s="1"/>
  <c r="CL28" i="17"/>
  <c r="BI28" i="17"/>
  <c r="AJ28" i="17"/>
  <c r="BP28" i="17"/>
  <c r="BZ28" i="17"/>
  <c r="BD28" i="17"/>
  <c r="BV28" i="17"/>
  <c r="AU28" i="17"/>
  <c r="M28" i="17"/>
  <c r="AX28" i="17"/>
  <c r="CO28" i="17"/>
  <c r="I28" i="17"/>
  <c r="AC28" i="17" s="1"/>
  <c r="BF28" i="17"/>
  <c r="BW28" i="17" l="1"/>
  <c r="BM28" i="17"/>
  <c r="S28" i="17"/>
  <c r="BS28" i="17"/>
  <c r="AB28" i="17"/>
  <c r="CR28" i="17"/>
  <c r="AE28" i="17"/>
  <c r="BA28" i="17"/>
  <c r="Q28" i="17"/>
  <c r="BT28" i="17"/>
  <c r="AI28" i="17"/>
  <c r="BU28" i="17"/>
  <c r="CE28" i="17"/>
  <c r="CX28" i="17"/>
  <c r="AF28" i="17"/>
  <c r="P28" i="17"/>
  <c r="CH28" i="17"/>
  <c r="BR28" i="17"/>
  <c r="BJ28" i="17"/>
  <c r="BK28" i="17"/>
  <c r="CM28" i="17"/>
  <c r="CF28" i="17"/>
  <c r="BC28" i="17"/>
  <c r="O28" i="17"/>
  <c r="BG28" i="17"/>
  <c r="AZ28" i="17"/>
  <c r="CG28" i="17"/>
  <c r="AY28" i="17"/>
  <c r="T28" i="17"/>
  <c r="BE28" i="17"/>
  <c r="CI28" i="17"/>
  <c r="BH28" i="17"/>
  <c r="AG28" i="17"/>
  <c r="CQ28" i="17"/>
  <c r="AS28" i="17"/>
  <c r="BY28" i="17"/>
  <c r="AT28" i="17"/>
  <c r="CC28" i="17"/>
  <c r="W28" i="17"/>
  <c r="AW28" i="17"/>
  <c r="BQ28" i="17"/>
  <c r="CD28" i="17"/>
  <c r="CU28" i="17"/>
  <c r="AL28" i="17"/>
  <c r="X28" i="17"/>
  <c r="CJ28" i="17"/>
  <c r="BO28" i="17"/>
  <c r="V28" i="17"/>
  <c r="AA28" i="17"/>
  <c r="BB28" i="17"/>
  <c r="AK28" i="17"/>
  <c r="CV28" i="17"/>
  <c r="AP28" i="17"/>
  <c r="CB28" i="17"/>
  <c r="CN28" i="17"/>
  <c r="Z28" i="17"/>
  <c r="Y28" i="17"/>
  <c r="AM28" i="17"/>
  <c r="CA28" i="17"/>
  <c r="AH28" i="17"/>
  <c r="R28" i="17"/>
  <c r="AV28" i="17"/>
  <c r="AD28" i="17"/>
  <c r="N28" i="17"/>
  <c r="CP28" i="17"/>
  <c r="BL28" i="17"/>
  <c r="CW28" i="17"/>
  <c r="AR28" i="17"/>
  <c r="AO28" i="17"/>
  <c r="BX28" i="17"/>
  <c r="AN28" i="17"/>
  <c r="CK28" i="17"/>
  <c r="CS28" i="17"/>
  <c r="AQ28" i="17"/>
  <c r="BN28" i="17"/>
  <c r="U28" i="17"/>
  <c r="CT28" i="17"/>
  <c r="CV27" i="17"/>
  <c r="CW27" i="17"/>
  <c r="CG27" i="17"/>
  <c r="I27" i="17"/>
  <c r="BA27" i="17"/>
  <c r="BS27" i="17" l="1"/>
  <c r="T27" i="17"/>
  <c r="BL27" i="17"/>
  <c r="BM27" i="17"/>
  <c r="AK27" i="17"/>
  <c r="CF27" i="17"/>
  <c r="R27" i="17"/>
  <c r="BH27" i="17"/>
  <c r="AX27" i="17"/>
  <c r="U27" i="17"/>
  <c r="W27" i="17"/>
  <c r="Q27" i="17"/>
  <c r="BY27" i="17"/>
  <c r="CH27" i="17"/>
  <c r="AS27" i="17"/>
  <c r="AY27" i="17"/>
  <c r="BK27" i="17"/>
  <c r="AA27" i="17"/>
  <c r="CJ27" i="17"/>
  <c r="V27" i="17"/>
  <c r="CD27" i="17"/>
  <c r="AC27" i="17"/>
  <c r="AE27" i="17"/>
  <c r="CL27" i="17"/>
  <c r="AQ27" i="17"/>
  <c r="BB27" i="17"/>
  <c r="BZ27" i="17"/>
  <c r="AJ27" i="17"/>
  <c r="AV27" i="17"/>
  <c r="CX27" i="17"/>
  <c r="AF27" i="17"/>
  <c r="AT27" i="17"/>
  <c r="AO27" i="17"/>
  <c r="AH27" i="17"/>
  <c r="AP27" i="17"/>
  <c r="CP27" i="17"/>
  <c r="CE27" i="17"/>
  <c r="CT27" i="17"/>
  <c r="BC27" i="17"/>
  <c r="BG27" i="17"/>
  <c r="BE27" i="17"/>
  <c r="BT27" i="17"/>
  <c r="BU27" i="17"/>
  <c r="P27" i="17"/>
  <c r="BO27" i="17"/>
  <c r="AM27" i="17"/>
  <c r="BP27" i="17"/>
  <c r="CS27" i="17"/>
  <c r="BJ27" i="17"/>
  <c r="AW27" i="17"/>
  <c r="AN27" i="17"/>
  <c r="CI27" i="17"/>
  <c r="CU27" i="17"/>
  <c r="CK27" i="17"/>
  <c r="CN27" i="17"/>
  <c r="CQ27" i="17"/>
  <c r="AD27" i="17"/>
  <c r="CR27" i="17"/>
  <c r="CC27" i="17"/>
  <c r="BX27" i="17"/>
  <c r="BN27" i="17"/>
  <c r="BD27" i="17"/>
  <c r="AG27" i="17"/>
  <c r="BQ27" i="17"/>
  <c r="BI27" i="17"/>
  <c r="BF27" i="17"/>
  <c r="CO27" i="17"/>
  <c r="BV27" i="17"/>
  <c r="AZ27" i="17"/>
  <c r="BR27" i="17"/>
  <c r="O27" i="17"/>
  <c r="AI27" i="17"/>
  <c r="Y27" i="17"/>
  <c r="N27" i="17"/>
  <c r="CB27" i="17"/>
  <c r="AU27" i="17"/>
  <c r="S27" i="17"/>
  <c r="AL27" i="17"/>
  <c r="AB27" i="17"/>
  <c r="CM27" i="17"/>
  <c r="M27" i="17"/>
  <c r="BW27" i="17"/>
  <c r="X27" i="17"/>
  <c r="AR27" i="17"/>
  <c r="CA27" i="17"/>
  <c r="Z27" i="17"/>
  <c r="BC29" i="17"/>
  <c r="AP29" i="17"/>
  <c r="I29" i="17"/>
  <c r="BR29" i="17" s="1"/>
  <c r="AL29" i="17" l="1"/>
  <c r="P29" i="17"/>
  <c r="AO29" i="17"/>
  <c r="AH29" i="17"/>
  <c r="CT29" i="17"/>
  <c r="BD29" i="17"/>
  <c r="AY29" i="17"/>
  <c r="BX29" i="17"/>
  <c r="CO29" i="17"/>
  <c r="CH29" i="17"/>
  <c r="BI29" i="17"/>
  <c r="CV29" i="17"/>
  <c r="CN29" i="17"/>
  <c r="O29" i="17"/>
  <c r="AT29" i="17"/>
  <c r="AJ29" i="17"/>
  <c r="BB29" i="17"/>
  <c r="AC29" i="17"/>
  <c r="BH29" i="17"/>
  <c r="BM29" i="17"/>
  <c r="CU29" i="17"/>
  <c r="BJ29" i="17"/>
  <c r="BO29" i="17"/>
  <c r="AZ29" i="17"/>
  <c r="N29" i="17"/>
  <c r="BG29" i="17"/>
  <c r="AU29" i="17"/>
  <c r="AA29" i="17"/>
  <c r="W29" i="17"/>
  <c r="CK29" i="17"/>
  <c r="BK29" i="17"/>
  <c r="X29" i="17"/>
  <c r="BA29" i="17"/>
  <c r="CW29" i="17"/>
  <c r="CQ29" i="17"/>
  <c r="CA29" i="17"/>
  <c r="Z29" i="17"/>
  <c r="AV29" i="17"/>
  <c r="BZ29" i="17"/>
  <c r="AE29" i="17"/>
  <c r="AX29" i="17"/>
  <c r="AK29" i="17"/>
  <c r="BS29" i="17"/>
  <c r="AW29" i="17"/>
  <c r="AM29" i="17"/>
  <c r="BT29" i="17"/>
  <c r="BQ29" i="17"/>
  <c r="BN29" i="17"/>
  <c r="BY29" i="17"/>
  <c r="CR29" i="17"/>
  <c r="CJ29" i="17"/>
  <c r="BW29" i="17"/>
  <c r="AR29" i="17"/>
  <c r="CG29" i="17"/>
  <c r="AD29" i="17"/>
  <c r="Y29" i="17"/>
  <c r="CX29" i="17"/>
  <c r="CL29" i="17"/>
  <c r="U29" i="17"/>
  <c r="CF29" i="17"/>
  <c r="T29" i="17"/>
  <c r="AN29" i="17"/>
  <c r="BP29" i="17"/>
  <c r="BU29" i="17"/>
  <c r="AB29" i="17"/>
  <c r="CB29" i="17"/>
  <c r="M29" i="17"/>
  <c r="AG29" i="17"/>
  <c r="AS29" i="17"/>
  <c r="CC29" i="17"/>
  <c r="V29" i="17"/>
  <c r="Q29" i="17"/>
  <c r="BF29" i="17"/>
  <c r="BV29" i="17"/>
  <c r="S29" i="17"/>
  <c r="AI29" i="17"/>
  <c r="AF29" i="17"/>
  <c r="AQ29" i="17"/>
  <c r="CD29" i="17"/>
  <c r="R29" i="17"/>
  <c r="BL29" i="17"/>
  <c r="CI29" i="17"/>
  <c r="CE29" i="17"/>
  <c r="CM29" i="17"/>
  <c r="CP29" i="17"/>
  <c r="BE29" i="17"/>
  <c r="CS29" i="17"/>
  <c r="AN30" i="17"/>
  <c r="AN32" i="17" s="1"/>
  <c r="CX30" i="17"/>
  <c r="CX32" i="17" s="1"/>
  <c r="BN30" i="17"/>
  <c r="BN32" i="17" s="1"/>
  <c r="I30" i="17"/>
  <c r="CP30" i="17" l="1"/>
  <c r="CP32" i="17" s="1"/>
  <c r="BE30" i="17"/>
  <c r="BE32" i="17" s="1"/>
  <c r="CT30" i="17"/>
  <c r="CT32" i="17" s="1"/>
  <c r="AK30" i="17"/>
  <c r="AK32" i="17" s="1"/>
  <c r="CA30" i="17"/>
  <c r="CA32" i="17" s="1"/>
  <c r="X30" i="17"/>
  <c r="X32" i="17" s="1"/>
  <c r="AA30" i="17"/>
  <c r="AA32" i="17" s="1"/>
  <c r="AZ30" i="17"/>
  <c r="AZ32" i="17" s="1"/>
  <c r="BM30" i="17"/>
  <c r="BM32" i="17" s="1"/>
  <c r="AJ30" i="17"/>
  <c r="AJ32" i="17" s="1"/>
  <c r="CV30" i="17"/>
  <c r="CV32" i="17" s="1"/>
  <c r="BX30" i="17"/>
  <c r="BX32" i="17" s="1"/>
  <c r="CS30" i="17"/>
  <c r="CS32" i="17" s="1"/>
  <c r="CD30" i="17"/>
  <c r="CD32" i="17" s="1"/>
  <c r="S30" i="17"/>
  <c r="S32" i="17" s="1"/>
  <c r="BF30" i="17"/>
  <c r="BF32" i="17" s="1"/>
  <c r="AS30" i="17"/>
  <c r="AS32" i="17" s="1"/>
  <c r="BU30" i="17"/>
  <c r="BU32" i="17" s="1"/>
  <c r="CF30" i="17"/>
  <c r="CF32" i="17" s="1"/>
  <c r="CG30" i="17"/>
  <c r="CG32" i="17" s="1"/>
  <c r="CR30" i="17"/>
  <c r="CR32" i="17" s="1"/>
  <c r="CO30" i="17"/>
  <c r="CO32" i="17" s="1"/>
  <c r="AI30" i="17"/>
  <c r="AI32" i="17" s="1"/>
  <c r="CC30" i="17"/>
  <c r="CC32" i="17" s="1"/>
  <c r="M30" i="17"/>
  <c r="M32" i="17" s="1"/>
  <c r="CE30" i="17"/>
  <c r="CE32" i="17" s="1"/>
  <c r="AP30" i="17"/>
  <c r="AP32" i="17" s="1"/>
  <c r="AH30" i="17"/>
  <c r="AH32" i="17" s="1"/>
  <c r="BS30" i="17"/>
  <c r="BS32" i="17" s="1"/>
  <c r="BZ30" i="17"/>
  <c r="BZ32" i="17" s="1"/>
  <c r="Z30" i="17"/>
  <c r="Z32" i="17" s="1"/>
  <c r="BA30" i="17"/>
  <c r="BA32" i="17" s="1"/>
  <c r="W30" i="17"/>
  <c r="W32" i="17" s="1"/>
  <c r="N30" i="17"/>
  <c r="N32" i="17" s="1"/>
  <c r="CU30" i="17"/>
  <c r="CU32" i="17" s="1"/>
  <c r="P30" i="17"/>
  <c r="P32" i="17" s="1"/>
  <c r="AB30" i="17"/>
  <c r="AB32" i="17" s="1"/>
  <c r="AD30" i="17"/>
  <c r="AD32" i="17" s="1"/>
  <c r="AW30" i="17"/>
  <c r="AW32" i="17" s="1"/>
  <c r="AM30" i="17"/>
  <c r="AM32" i="17" s="1"/>
  <c r="AO30" i="17"/>
  <c r="AO32" i="17" s="1"/>
  <c r="AL30" i="17"/>
  <c r="AL32" i="17" s="1"/>
  <c r="AE30" i="17"/>
  <c r="AE32" i="17" s="1"/>
  <c r="AV30" i="17"/>
  <c r="AV32" i="17" s="1"/>
  <c r="CW30" i="17"/>
  <c r="CW32" i="17" s="1"/>
  <c r="CK30" i="17"/>
  <c r="CK32" i="17" s="1"/>
  <c r="BG30" i="17"/>
  <c r="BG32" i="17" s="1"/>
  <c r="BJ30" i="17"/>
  <c r="BJ32" i="17" s="1"/>
  <c r="AC30" i="17"/>
  <c r="AC32" i="17" s="1"/>
  <c r="O30" i="17"/>
  <c r="O32" i="17" s="1"/>
  <c r="CH30" i="17"/>
  <c r="CH32" i="17" s="1"/>
  <c r="BD30" i="17"/>
  <c r="BD32" i="17" s="1"/>
  <c r="BL30" i="17"/>
  <c r="BL32" i="17" s="1"/>
  <c r="AF30" i="17"/>
  <c r="AF32" i="17" s="1"/>
  <c r="V30" i="17"/>
  <c r="V32" i="17" s="1"/>
  <c r="BR30" i="17"/>
  <c r="BR32" i="17" s="1"/>
  <c r="CM30" i="17"/>
  <c r="CM32" i="17" s="1"/>
  <c r="BT30" i="17"/>
  <c r="BT32" i="17" s="1"/>
  <c r="BC30" i="17"/>
  <c r="BC32" i="17" s="1"/>
  <c r="AX30" i="17"/>
  <c r="AX32" i="17" s="1"/>
  <c r="CQ30" i="17"/>
  <c r="CQ32" i="17" s="1"/>
  <c r="BK30" i="17"/>
  <c r="BK32" i="17" s="1"/>
  <c r="AU30" i="17"/>
  <c r="AU32" i="17" s="1"/>
  <c r="BO30" i="17"/>
  <c r="BO32" i="17" s="1"/>
  <c r="BH30" i="17"/>
  <c r="BH32" i="17" s="1"/>
  <c r="AT30" i="17"/>
  <c r="AT32" i="17" s="1"/>
  <c r="BI30" i="17"/>
  <c r="BI32" i="17" s="1"/>
  <c r="AY30" i="17"/>
  <c r="AY32" i="17" s="1"/>
  <c r="CI30" i="17"/>
  <c r="CI32" i="17" s="1"/>
  <c r="AQ30" i="17"/>
  <c r="AQ32" i="17" s="1"/>
  <c r="BV30" i="17"/>
  <c r="BV32" i="17" s="1"/>
  <c r="Q30" i="17"/>
  <c r="Q32" i="17" s="1"/>
  <c r="AG30" i="17"/>
  <c r="AG32" i="17" s="1"/>
  <c r="BP30" i="17"/>
  <c r="BP32" i="17" s="1"/>
  <c r="U30" i="17"/>
  <c r="U32" i="17" s="1"/>
  <c r="AR30" i="17"/>
  <c r="AR32" i="17" s="1"/>
  <c r="BY30" i="17"/>
  <c r="BY32" i="17" s="1"/>
  <c r="BB30" i="17"/>
  <c r="BB32" i="17" s="1"/>
  <c r="CN30" i="17"/>
  <c r="CN32" i="17" s="1"/>
  <c r="R30" i="17"/>
  <c r="R32" i="17" s="1"/>
  <c r="T30" i="17"/>
  <c r="T32" i="17" s="1"/>
  <c r="Y30" i="17"/>
  <c r="Y32" i="17" s="1"/>
  <c r="CB30" i="17"/>
  <c r="CB32" i="17" s="1"/>
  <c r="CJ30" i="17"/>
  <c r="CJ32" i="17" s="1"/>
  <c r="CL30" i="17"/>
  <c r="CL32" i="17" s="1"/>
  <c r="BQ30" i="17"/>
  <c r="BQ32" i="17" s="1"/>
  <c r="BW30" i="17"/>
  <c r="BW32" i="17" s="1"/>
  <c r="L27" i="17" l="1"/>
  <c r="K27" i="17"/>
  <c r="J27" i="17" s="1"/>
  <c r="BS37" i="17"/>
  <c r="BD37" i="17"/>
  <c r="BX37" i="17"/>
  <c r="CK37" i="17"/>
  <c r="CJ37" i="17"/>
  <c r="BC37" i="17"/>
  <c r="BM37" i="17"/>
  <c r="BY37" i="17"/>
  <c r="BZ37" i="17"/>
  <c r="CR37" i="17"/>
  <c r="CG37" i="17"/>
  <c r="BH37" i="17"/>
  <c r="BJ37" i="17"/>
  <c r="CE37" i="17"/>
  <c r="CD37" i="17"/>
  <c r="CL37" i="17"/>
  <c r="CM37" i="17"/>
  <c r="CV37" i="17"/>
  <c r="BO37" i="17"/>
  <c r="BI37" i="17"/>
  <c r="BN37" i="17"/>
  <c r="BW37" i="17"/>
  <c r="CB37" i="17"/>
  <c r="CQ37" i="17"/>
  <c r="CU37" i="17"/>
  <c r="AW37" i="17"/>
  <c r="T37" i="17"/>
  <c r="M37" i="17"/>
  <c r="AY37" i="17"/>
  <c r="AX37" i="17"/>
  <c r="AG37" i="17"/>
  <c r="R37" i="17"/>
  <c r="BA37" i="17"/>
  <c r="AP37" i="17"/>
  <c r="AA37" i="17"/>
  <c r="S37" i="17"/>
  <c r="P37" i="17"/>
  <c r="Z37" i="17"/>
  <c r="AJ37" i="17"/>
  <c r="O37" i="17"/>
  <c r="AL37" i="17"/>
  <c r="AI37" i="17"/>
  <c r="U37" i="17"/>
  <c r="Q37" i="17"/>
  <c r="AH37" i="17"/>
  <c r="I37" i="17"/>
  <c r="BP37" i="17" s="1"/>
  <c r="AE37" i="17" l="1"/>
  <c r="AB37" i="17"/>
  <c r="AU37" i="17"/>
  <c r="AK37" i="17"/>
  <c r="AQ37" i="17"/>
  <c r="AZ37" i="17"/>
  <c r="AO37" i="17"/>
  <c r="AV37" i="17"/>
  <c r="X37" i="17"/>
  <c r="AF37" i="17"/>
  <c r="CI37" i="17"/>
  <c r="BK37" i="17"/>
  <c r="BL37" i="17"/>
  <c r="CN37" i="17"/>
  <c r="CA37" i="17"/>
  <c r="BE37" i="17"/>
  <c r="CT37" i="17"/>
  <c r="BG37" i="17"/>
  <c r="BQ37" i="17"/>
  <c r="CH37" i="17"/>
  <c r="CC37" i="17"/>
  <c r="BT37" i="17"/>
  <c r="AN37" i="17"/>
  <c r="AS37" i="17"/>
  <c r="AC37" i="17"/>
  <c r="W37" i="17"/>
  <c r="AT37" i="17"/>
  <c r="AM37" i="17"/>
  <c r="AR37" i="17"/>
  <c r="AD37" i="17"/>
  <c r="V37" i="17"/>
  <c r="N37" i="17"/>
  <c r="Y37" i="17"/>
  <c r="CP37" i="17"/>
  <c r="CF37" i="17"/>
  <c r="BB37" i="17"/>
  <c r="CW37" i="17"/>
  <c r="CO37" i="17"/>
  <c r="BR37" i="17"/>
  <c r="BU37" i="17"/>
  <c r="CS37" i="17"/>
  <c r="BF37" i="17"/>
  <c r="CX37" i="17"/>
  <c r="BV37" i="17"/>
  <c r="AL35" i="17"/>
  <c r="N35" i="17"/>
  <c r="AJ35" i="17"/>
  <c r="CE35" i="17"/>
  <c r="CA35" i="17"/>
  <c r="AF35" i="17"/>
  <c r="CK35" i="17"/>
  <c r="AE35" i="17"/>
  <c r="BK35" i="17"/>
  <c r="BI35" i="17"/>
  <c r="I35" i="17"/>
  <c r="AB35" i="17" s="1"/>
  <c r="M35" i="17"/>
  <c r="P35" i="17" l="1"/>
  <c r="AY35" i="17"/>
  <c r="BZ35" i="17"/>
  <c r="CI35" i="17"/>
  <c r="V35" i="17"/>
  <c r="BR35" i="17"/>
  <c r="AW35" i="17"/>
  <c r="CJ35" i="17"/>
  <c r="AN35" i="17"/>
  <c r="CH35" i="17"/>
  <c r="AP35" i="17"/>
  <c r="CU35" i="17"/>
  <c r="CF35" i="17"/>
  <c r="AH35" i="17"/>
  <c r="BH35" i="17"/>
  <c r="CQ35" i="17"/>
  <c r="CD35" i="17"/>
  <c r="CT35" i="17"/>
  <c r="CV35" i="17"/>
  <c r="X35" i="17"/>
  <c r="CC35" i="17"/>
  <c r="BQ35" i="17"/>
  <c r="R35" i="17"/>
  <c r="AZ35" i="17"/>
  <c r="AV35" i="17"/>
  <c r="BO35" i="17"/>
  <c r="AU35" i="17"/>
  <c r="BU35" i="17"/>
  <c r="AS35" i="17"/>
  <c r="W35" i="17"/>
  <c r="BX35" i="17"/>
  <c r="AK35" i="17"/>
  <c r="BJ35" i="17"/>
  <c r="BL35" i="17"/>
  <c r="AX35" i="17"/>
  <c r="CL35" i="17"/>
  <c r="BM35" i="17"/>
  <c r="CN35" i="17"/>
  <c r="CS35" i="17"/>
  <c r="AG35" i="17"/>
  <c r="AD35" i="17"/>
  <c r="CO35" i="17"/>
  <c r="CX35" i="17"/>
  <c r="CR35" i="17"/>
  <c r="AQ35" i="17"/>
  <c r="BB35" i="17"/>
  <c r="BC35" i="17"/>
  <c r="O35" i="17"/>
  <c r="Z35" i="17"/>
  <c r="S35" i="17"/>
  <c r="AT35" i="17"/>
  <c r="BN35" i="17"/>
  <c r="T35" i="17"/>
  <c r="BV35" i="17"/>
  <c r="CW35" i="17"/>
  <c r="BW35" i="17"/>
  <c r="CG35" i="17"/>
  <c r="U35" i="17"/>
  <c r="CM35" i="17"/>
  <c r="BA35" i="17"/>
  <c r="AA35" i="17"/>
  <c r="BF35" i="17"/>
  <c r="AI35" i="17"/>
  <c r="AR35" i="17"/>
  <c r="BP35" i="17"/>
  <c r="Q35" i="17"/>
  <c r="BT35" i="17"/>
  <c r="CB35" i="17"/>
  <c r="BS35" i="17"/>
  <c r="AM35" i="17"/>
  <c r="CP35" i="17"/>
  <c r="BE35" i="17"/>
  <c r="BG35" i="17"/>
  <c r="Y35" i="17"/>
  <c r="BY35" i="17"/>
  <c r="AC35" i="17"/>
  <c r="AO35" i="17"/>
  <c r="BD35" i="17"/>
  <c r="BU36" i="17"/>
  <c r="S36" i="17"/>
  <c r="AP36" i="17"/>
  <c r="CD36" i="17"/>
  <c r="BC36" i="17"/>
  <c r="BB36" i="17"/>
  <c r="CO36" i="17"/>
  <c r="M36" i="17"/>
  <c r="AD36" i="17"/>
  <c r="I36" i="17"/>
  <c r="Y36" i="17" s="1"/>
  <c r="AG36" i="17"/>
  <c r="X36" i="17" l="1"/>
  <c r="AS36" i="17"/>
  <c r="BD36" i="17"/>
  <c r="AM36" i="17"/>
  <c r="CP36" i="17"/>
  <c r="BR36" i="17"/>
  <c r="BT36" i="17"/>
  <c r="AT36" i="17"/>
  <c r="AN36" i="17"/>
  <c r="BX36" i="17"/>
  <c r="BI36" i="17"/>
  <c r="AF36" i="17"/>
  <c r="BA36" i="17"/>
  <c r="CE36" i="17"/>
  <c r="N36" i="17"/>
  <c r="BH36" i="17"/>
  <c r="CC36" i="17"/>
  <c r="W36" i="17"/>
  <c r="BO36" i="17"/>
  <c r="BQ36" i="17"/>
  <c r="BZ36" i="17"/>
  <c r="CU36" i="17"/>
  <c r="AH36" i="17"/>
  <c r="CR36" i="17"/>
  <c r="BG36" i="17"/>
  <c r="BE36" i="17"/>
  <c r="V36" i="17"/>
  <c r="Q36" i="17"/>
  <c r="CL36" i="17"/>
  <c r="T36" i="17"/>
  <c r="CG36" i="17"/>
  <c r="BJ36" i="17"/>
  <c r="CJ36" i="17"/>
  <c r="CK36" i="17"/>
  <c r="AA36" i="17"/>
  <c r="BN36" i="17"/>
  <c r="BY36" i="17"/>
  <c r="AO36" i="17"/>
  <c r="CQ36" i="17"/>
  <c r="CN36" i="17"/>
  <c r="AU36" i="17"/>
  <c r="R36" i="17"/>
  <c r="CH36" i="17"/>
  <c r="CT36" i="17"/>
  <c r="CB36" i="17"/>
  <c r="AQ36" i="17"/>
  <c r="BS36" i="17"/>
  <c r="CI36" i="17"/>
  <c r="BP36" i="17"/>
  <c r="AY36" i="17"/>
  <c r="AK36" i="17"/>
  <c r="BF36" i="17"/>
  <c r="AX36" i="17"/>
  <c r="CM36" i="17"/>
  <c r="AE36" i="17"/>
  <c r="AI36" i="17"/>
  <c r="BW36" i="17"/>
  <c r="AJ36" i="17"/>
  <c r="AL36" i="17"/>
  <c r="AR36" i="17"/>
  <c r="AW36" i="17"/>
  <c r="P36" i="17"/>
  <c r="BL36" i="17"/>
  <c r="BV36" i="17"/>
  <c r="BM36" i="17"/>
  <c r="CW36" i="17"/>
  <c r="BK36" i="17"/>
  <c r="CA36" i="17"/>
  <c r="U36" i="17"/>
  <c r="CF36" i="17"/>
  <c r="O36" i="17"/>
  <c r="AZ36" i="17"/>
  <c r="CS36" i="17"/>
  <c r="AC36" i="17"/>
  <c r="CX36" i="17"/>
  <c r="CV36" i="17"/>
  <c r="Z36" i="17"/>
  <c r="AV36" i="17"/>
  <c r="AB36" i="17"/>
  <c r="BW38" i="17"/>
  <c r="BW40" i="17" s="1"/>
  <c r="BW43" i="17" s="1"/>
  <c r="CW38" i="17"/>
  <c r="CW40" i="17" s="1"/>
  <c r="CW43" i="17" s="1"/>
  <c r="AM38" i="17"/>
  <c r="AM40" i="17" s="1"/>
  <c r="AM43" i="17" s="1"/>
  <c r="CN38" i="17"/>
  <c r="M38" i="17"/>
  <c r="M40" i="17" s="1"/>
  <c r="CR38" i="17"/>
  <c r="CR40" i="17" s="1"/>
  <c r="CR43" i="17" s="1"/>
  <c r="I38" i="17"/>
  <c r="BF38" i="17" s="1"/>
  <c r="BF40" i="17" s="1"/>
  <c r="BF43" i="17" s="1"/>
  <c r="BO38" i="17"/>
  <c r="BO40" i="17" s="1"/>
  <c r="BO43" i="17" s="1"/>
  <c r="CN40" i="17" l="1"/>
  <c r="CN43" i="17" s="1"/>
  <c r="M43" i="17"/>
  <c r="CO38" i="17"/>
  <c r="CO40" i="17" s="1"/>
  <c r="CO43" i="17" s="1"/>
  <c r="AA38" i="17"/>
  <c r="AA40" i="17" s="1"/>
  <c r="AA43" i="17" s="1"/>
  <c r="BG38" i="17"/>
  <c r="BG40" i="17" s="1"/>
  <c r="BG43" i="17" s="1"/>
  <c r="AP38" i="17"/>
  <c r="AP40" i="17" s="1"/>
  <c r="AP43" i="17" s="1"/>
  <c r="AW38" i="17"/>
  <c r="AW40" i="17" s="1"/>
  <c r="AW43" i="17" s="1"/>
  <c r="AX38" i="17"/>
  <c r="AX40" i="17" s="1"/>
  <c r="AX43" i="17" s="1"/>
  <c r="BP38" i="17"/>
  <c r="BP40" i="17" s="1"/>
  <c r="BP43" i="17" s="1"/>
  <c r="CA38" i="17"/>
  <c r="CA40" i="17" s="1"/>
  <c r="CA43" i="17" s="1"/>
  <c r="AL38" i="17"/>
  <c r="AL40" i="17" s="1"/>
  <c r="AL43" i="17" s="1"/>
  <c r="AG38" i="17"/>
  <c r="AG40" i="17" s="1"/>
  <c r="AG43" i="17" s="1"/>
  <c r="Q38" i="17"/>
  <c r="Q40" i="17" s="1"/>
  <c r="Q43" i="17" s="1"/>
  <c r="CV38" i="17"/>
  <c r="CV40" i="17" s="1"/>
  <c r="CV43" i="17" s="1"/>
  <c r="BL38" i="17"/>
  <c r="BL40" i="17" s="1"/>
  <c r="BL43" i="17" s="1"/>
  <c r="AJ38" i="17"/>
  <c r="AJ40" i="17" s="1"/>
  <c r="AJ43" i="17" s="1"/>
  <c r="CH38" i="17"/>
  <c r="CH40" i="17" s="1"/>
  <c r="CH43" i="17" s="1"/>
  <c r="CE38" i="17"/>
  <c r="CE40" i="17" s="1"/>
  <c r="CE43" i="17" s="1"/>
  <c r="S38" i="17"/>
  <c r="S40" i="17" s="1"/>
  <c r="S43" i="17" s="1"/>
  <c r="CC38" i="17"/>
  <c r="CC40" i="17" s="1"/>
  <c r="CC43" i="17" s="1"/>
  <c r="CB38" i="17"/>
  <c r="CB40" i="17" s="1"/>
  <c r="CB43" i="17" s="1"/>
  <c r="BE38" i="17"/>
  <c r="BE40" i="17" s="1"/>
  <c r="BE43" i="17" s="1"/>
  <c r="CX38" i="17"/>
  <c r="CX40" i="17" s="1"/>
  <c r="CX43" i="17" s="1"/>
  <c r="AR38" i="17"/>
  <c r="AR40" i="17" s="1"/>
  <c r="AR43" i="17" s="1"/>
  <c r="BQ38" i="17"/>
  <c r="BQ40" i="17" s="1"/>
  <c r="BQ43" i="17" s="1"/>
  <c r="BJ38" i="17"/>
  <c r="BJ40" i="17" s="1"/>
  <c r="BJ43" i="17" s="1"/>
  <c r="CP38" i="17"/>
  <c r="CP40" i="17" s="1"/>
  <c r="CP43" i="17" s="1"/>
  <c r="BK38" i="17"/>
  <c r="BK40" i="17" s="1"/>
  <c r="BK43" i="17" s="1"/>
  <c r="BU38" i="17"/>
  <c r="BU40" i="17" s="1"/>
  <c r="BU43" i="17" s="1"/>
  <c r="AZ38" i="17"/>
  <c r="AZ40" i="17" s="1"/>
  <c r="AZ43" i="17" s="1"/>
  <c r="AQ38" i="17"/>
  <c r="AQ40" i="17" s="1"/>
  <c r="AQ43" i="17" s="1"/>
  <c r="CL38" i="17"/>
  <c r="CL40" i="17" s="1"/>
  <c r="CL43" i="17" s="1"/>
  <c r="BC38" i="17"/>
  <c r="BC40" i="17" s="1"/>
  <c r="BC43" i="17" s="1"/>
  <c r="AY38" i="17"/>
  <c r="AY40" i="17" s="1"/>
  <c r="AY43" i="17" s="1"/>
  <c r="BH38" i="17"/>
  <c r="BH40" i="17" s="1"/>
  <c r="BH43" i="17" s="1"/>
  <c r="T38" i="17"/>
  <c r="T40" i="17" s="1"/>
  <c r="T43" i="17" s="1"/>
  <c r="BT38" i="17"/>
  <c r="BT40" i="17" s="1"/>
  <c r="BT43" i="17" s="1"/>
  <c r="U38" i="17"/>
  <c r="U40" i="17" s="1"/>
  <c r="U43" i="17" s="1"/>
  <c r="X38" i="17"/>
  <c r="X40" i="17" s="1"/>
  <c r="X43" i="17" s="1"/>
  <c r="AD38" i="17"/>
  <c r="AD40" i="17" s="1"/>
  <c r="AD43" i="17" s="1"/>
  <c r="AT38" i="17"/>
  <c r="AT40" i="17" s="1"/>
  <c r="AT43" i="17" s="1"/>
  <c r="CS38" i="17"/>
  <c r="CS40" i="17" s="1"/>
  <c r="CS43" i="17" s="1"/>
  <c r="CQ38" i="17"/>
  <c r="CQ40" i="17" s="1"/>
  <c r="CQ43" i="17" s="1"/>
  <c r="BN38" i="17"/>
  <c r="BN40" i="17" s="1"/>
  <c r="BN43" i="17" s="1"/>
  <c r="AN38" i="17"/>
  <c r="AN40" i="17" s="1"/>
  <c r="AN43" i="17" s="1"/>
  <c r="AC38" i="17"/>
  <c r="AC40" i="17" s="1"/>
  <c r="AC43" i="17" s="1"/>
  <c r="CF38" i="17"/>
  <c r="CF40" i="17" s="1"/>
  <c r="CF43" i="17" s="1"/>
  <c r="BV38" i="17"/>
  <c r="BV40" i="17" s="1"/>
  <c r="BV43" i="17" s="1"/>
  <c r="BM38" i="17"/>
  <c r="BM40" i="17" s="1"/>
  <c r="BM43" i="17" s="1"/>
  <c r="BZ38" i="17"/>
  <c r="BZ40" i="17" s="1"/>
  <c r="BZ43" i="17" s="1"/>
  <c r="CJ38" i="17"/>
  <c r="CJ40" i="17" s="1"/>
  <c r="CJ43" i="17" s="1"/>
  <c r="BR38" i="17"/>
  <c r="BR40" i="17" s="1"/>
  <c r="BR43" i="17" s="1"/>
  <c r="BB38" i="17"/>
  <c r="BB40" i="17" s="1"/>
  <c r="BB43" i="17" s="1"/>
  <c r="AH38" i="17"/>
  <c r="AH40" i="17" s="1"/>
  <c r="AH43" i="17" s="1"/>
  <c r="CK38" i="17"/>
  <c r="CK40" i="17" s="1"/>
  <c r="CK43" i="17" s="1"/>
  <c r="BI38" i="17"/>
  <c r="BI40" i="17" s="1"/>
  <c r="BI43" i="17" s="1"/>
  <c r="AB38" i="17"/>
  <c r="AB40" i="17" s="1"/>
  <c r="AB43" i="17" s="1"/>
  <c r="AI38" i="17"/>
  <c r="AI40" i="17" s="1"/>
  <c r="AI43" i="17" s="1"/>
  <c r="O38" i="17"/>
  <c r="O40" i="17" s="1"/>
  <c r="O43" i="17" s="1"/>
  <c r="V38" i="17"/>
  <c r="V40" i="17" s="1"/>
  <c r="V43" i="17" s="1"/>
  <c r="Y38" i="17"/>
  <c r="Y40" i="17" s="1"/>
  <c r="Y43" i="17" s="1"/>
  <c r="AK38" i="17"/>
  <c r="AK40" i="17" s="1"/>
  <c r="AK43" i="17" s="1"/>
  <c r="W38" i="17"/>
  <c r="W40" i="17" s="1"/>
  <c r="W43" i="17" s="1"/>
  <c r="CG38" i="17"/>
  <c r="CG40" i="17" s="1"/>
  <c r="CG43" i="17" s="1"/>
  <c r="AF38" i="17"/>
  <c r="AF40" i="17" s="1"/>
  <c r="AF43" i="17" s="1"/>
  <c r="AS38" i="17"/>
  <c r="AS40" i="17" s="1"/>
  <c r="AS43" i="17" s="1"/>
  <c r="CD38" i="17"/>
  <c r="CD40" i="17" s="1"/>
  <c r="CD43" i="17" s="1"/>
  <c r="CI38" i="17"/>
  <c r="CI40" i="17" s="1"/>
  <c r="CI43" i="17" s="1"/>
  <c r="BS38" i="17"/>
  <c r="BS40" i="17" s="1"/>
  <c r="BS43" i="17" s="1"/>
  <c r="AE38" i="17"/>
  <c r="AE40" i="17" s="1"/>
  <c r="AE43" i="17" s="1"/>
  <c r="CU38" i="17"/>
  <c r="CU40" i="17" s="1"/>
  <c r="CU43" i="17" s="1"/>
  <c r="R38" i="17"/>
  <c r="R40" i="17" s="1"/>
  <c r="R43" i="17" s="1"/>
  <c r="BA38" i="17"/>
  <c r="BA40" i="17" s="1"/>
  <c r="BA43" i="17" s="1"/>
  <c r="AV38" i="17"/>
  <c r="AV40" i="17" s="1"/>
  <c r="AV43" i="17" s="1"/>
  <c r="P38" i="17"/>
  <c r="P40" i="17" s="1"/>
  <c r="P43" i="17" s="1"/>
  <c r="CM38" i="17"/>
  <c r="CM40" i="17" s="1"/>
  <c r="CM43" i="17" s="1"/>
  <c r="AU38" i="17"/>
  <c r="AU40" i="17" s="1"/>
  <c r="AU43" i="17" s="1"/>
  <c r="BY38" i="17"/>
  <c r="BY40" i="17" s="1"/>
  <c r="BY43" i="17" s="1"/>
  <c r="BX38" i="17"/>
  <c r="BX40" i="17" s="1"/>
  <c r="BX43" i="17" s="1"/>
  <c r="BD38" i="17"/>
  <c r="BD40" i="17" s="1"/>
  <c r="BD43" i="17" s="1"/>
  <c r="CT38" i="17"/>
  <c r="CT40" i="17" s="1"/>
  <c r="CT43" i="17" s="1"/>
  <c r="AO38" i="17"/>
  <c r="AO40" i="17" s="1"/>
  <c r="AO43" i="17" s="1"/>
  <c r="N38" i="17"/>
  <c r="N40" i="17" s="1"/>
  <c r="N43" i="17" s="1"/>
  <c r="Z38" i="17"/>
  <c r="Z40" i="17" s="1"/>
  <c r="Z43" i="17" s="1"/>
  <c r="M46" i="17" l="1"/>
  <c r="N46" i="17" s="1"/>
  <c r="M45" i="17"/>
  <c r="N45" i="17" s="1"/>
  <c r="L35" i="17"/>
  <c r="K35" i="17"/>
  <c r="J35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tc={BDF1D089-6282-43E4-BC33-ED6F11289BA7}</author>
  </authors>
  <commentList>
    <comment ref="H25" authorId="0" shapeId="0" xr:uid="{BDF1D089-6282-43E4-BC33-ED6F11289BA7}">
      <text>
        <t>[Threaded comment]
Your version of Excel allows you to read this threaded comment; however, any edits to it will get removed if the file is opened in a newer version of Excel. Learn more: https://go.microsoft.com/fwlink/?linkid=870924
Comment:
    Toay sebdays xzyada aarha tha</t>
      </text>
    </comment>
  </commentList>
</comments>
</file>

<file path=xl/sharedStrings.xml><?xml version="1.0" encoding="utf-8"?>
<sst xmlns="http://schemas.openxmlformats.org/spreadsheetml/2006/main" count="6177" uniqueCount="778">
  <si>
    <t>Container Make</t>
  </si>
  <si>
    <t>Block No.</t>
  </si>
  <si>
    <t>Containers</t>
  </si>
  <si>
    <t>MWH</t>
  </si>
  <si>
    <t>IDT Charging / Commissioning Start</t>
  </si>
  <si>
    <t>Trial-Run Start Date</t>
  </si>
  <si>
    <t>COD</t>
  </si>
  <si>
    <t>Status</t>
  </si>
  <si>
    <t>Remarks</t>
  </si>
  <si>
    <t>Sr.</t>
  </si>
  <si>
    <t>Activity</t>
  </si>
  <si>
    <t>Progress</t>
  </si>
  <si>
    <t>EDC</t>
  </si>
  <si>
    <t>vendor</t>
  </si>
  <si>
    <t>S</t>
  </si>
  <si>
    <t>C</t>
  </si>
  <si>
    <t>B</t>
  </si>
  <si>
    <t>CATL</t>
  </si>
  <si>
    <t>1, 2, 3 &amp; 4</t>
  </si>
  <si>
    <t>BCF Precast Erection &amp; Welding</t>
  </si>
  <si>
    <t>MSC</t>
  </si>
  <si>
    <t>Battery Container Erection</t>
  </si>
  <si>
    <t>HEFT &amp; Pratibha</t>
  </si>
  <si>
    <t>CT Rail Fixing</t>
  </si>
  <si>
    <t>CT Erection</t>
  </si>
  <si>
    <t>Pratibha</t>
  </si>
  <si>
    <t xml:space="preserve">PCS Slab casting </t>
  </si>
  <si>
    <t>PCS Erection</t>
  </si>
  <si>
    <t>ACDB Erection</t>
  </si>
  <si>
    <t>ECP Panel Erection (Communication Panel)</t>
  </si>
  <si>
    <t>PCS PEB</t>
  </si>
  <si>
    <t>Synergy</t>
  </si>
  <si>
    <t>SGR Slab Casting</t>
  </si>
  <si>
    <t>HT Panel Erection</t>
  </si>
  <si>
    <t>SGR PEB</t>
  </si>
  <si>
    <t>MCR Slab Casting</t>
  </si>
  <si>
    <t>EMS Panel Erection</t>
  </si>
  <si>
    <t>MCR PEB</t>
  </si>
  <si>
    <t>CSS Slab Casting</t>
  </si>
  <si>
    <t>CSS Erection</t>
  </si>
  <si>
    <t>NIFPS Precast Erection</t>
  </si>
  <si>
    <t>NIFPS Panel Erection</t>
  </si>
  <si>
    <t>Ornet</t>
  </si>
  <si>
    <t>NIFPS Fabrication</t>
  </si>
  <si>
    <t>BOT Precast Erection</t>
  </si>
  <si>
    <t>Sachi</t>
  </si>
  <si>
    <t>BOT Slab casting</t>
  </si>
  <si>
    <t>HT cable laying</t>
  </si>
  <si>
    <t>HT cable termination</t>
  </si>
  <si>
    <t>DC &amp; LT cable laying</t>
  </si>
  <si>
    <t>DC &amp; LT cable termination</t>
  </si>
  <si>
    <t>Aux, Control &amp; communication cable laying</t>
  </si>
  <si>
    <t xml:space="preserve">CT Testing </t>
  </si>
  <si>
    <t xml:space="preserve">HTP testing </t>
  </si>
  <si>
    <t>Earthing</t>
  </si>
  <si>
    <t>LA</t>
  </si>
  <si>
    <t>5, 6, 7 &amp; 8</t>
  </si>
  <si>
    <t>IDT Charging / 
Commissioning Start</t>
  </si>
  <si>
    <t>Mandays</t>
  </si>
  <si>
    <t>Days</t>
  </si>
  <si>
    <t>Min. Date</t>
  </si>
  <si>
    <t>Average Manpower</t>
  </si>
  <si>
    <t>Peak Manpower</t>
  </si>
  <si>
    <t>Block 1</t>
  </si>
  <si>
    <t>Erection</t>
  </si>
  <si>
    <t>Cable Laying</t>
  </si>
  <si>
    <t>Termination</t>
  </si>
  <si>
    <t>Testing</t>
  </si>
  <si>
    <t>CFT</t>
  </si>
  <si>
    <t>Total</t>
  </si>
  <si>
    <t>Block 2</t>
  </si>
  <si>
    <t>Block 4</t>
  </si>
  <si>
    <t>Block 3</t>
  </si>
  <si>
    <t>Block 5</t>
  </si>
  <si>
    <t>Block 6</t>
  </si>
  <si>
    <t>Block 7</t>
  </si>
  <si>
    <t>Block 8</t>
  </si>
  <si>
    <t>PSS-11</t>
  </si>
  <si>
    <t>Start date</t>
  </si>
  <si>
    <t>End Date</t>
  </si>
  <si>
    <t>Avg Manpower</t>
  </si>
  <si>
    <t>Block 9</t>
  </si>
  <si>
    <t>Total of all blocks</t>
  </si>
  <si>
    <t>Avg.</t>
  </si>
  <si>
    <t>Peak</t>
  </si>
  <si>
    <t>PSS-12</t>
  </si>
  <si>
    <t>Start Date</t>
  </si>
  <si>
    <t>Max dates</t>
  </si>
  <si>
    <t>PSS-10(B)</t>
  </si>
  <si>
    <t>-</t>
  </si>
  <si>
    <t>BESS 11</t>
  </si>
  <si>
    <t>Battery Container</t>
  </si>
  <si>
    <t>Scope</t>
  </si>
  <si>
    <t>Actual</t>
  </si>
  <si>
    <t>Balance</t>
  </si>
  <si>
    <t>Productivity</t>
  </si>
  <si>
    <t>Manpower</t>
  </si>
  <si>
    <t>Total Manpower</t>
  </si>
  <si>
    <t>B4</t>
  </si>
  <si>
    <t>DC termination</t>
  </si>
  <si>
    <t>Control &amp; Communication termination</t>
  </si>
  <si>
    <t>B3</t>
  </si>
  <si>
    <t>B2</t>
  </si>
  <si>
    <t>B1</t>
  </si>
  <si>
    <t>B5</t>
  </si>
  <si>
    <t>B6</t>
  </si>
  <si>
    <t>B7</t>
  </si>
  <si>
    <t>B8</t>
  </si>
  <si>
    <t>B9</t>
  </si>
  <si>
    <t>BESS 12</t>
  </si>
  <si>
    <t>termination</t>
  </si>
  <si>
    <t>LD-22</t>
  </si>
  <si>
    <t xml:space="preserve">testing </t>
  </si>
  <si>
    <t>LD - 16</t>
  </si>
  <si>
    <t xml:space="preserve">BESS 11 Charging Schedule </t>
  </si>
  <si>
    <t>Containers at Site</t>
  </si>
  <si>
    <t>MWh</t>
  </si>
  <si>
    <t>Trial-Run End Date</t>
  </si>
  <si>
    <t>Total Mandays</t>
  </si>
  <si>
    <t>New EDC</t>
  </si>
  <si>
    <t>271 MWh
(48 Containers)</t>
  </si>
  <si>
    <t>Civil</t>
  </si>
  <si>
    <t>Completed</t>
  </si>
  <si>
    <t>RV Enterprise</t>
  </si>
  <si>
    <t>Electrical</t>
  </si>
  <si>
    <t>Ornet / EMR</t>
  </si>
  <si>
    <t>DC Cable laying</t>
  </si>
  <si>
    <t>LT Cable laying</t>
  </si>
  <si>
    <t>DC Cable termination</t>
  </si>
  <si>
    <t>LT Cable termination</t>
  </si>
  <si>
    <t>Aux Cable laying</t>
  </si>
  <si>
    <t>Control Cable laying</t>
  </si>
  <si>
    <t>Communication Cable laying</t>
  </si>
  <si>
    <t>Aux Cable termination</t>
  </si>
  <si>
    <t>Control Cable termination</t>
  </si>
  <si>
    <t>Pratibha &amp; Emerson</t>
  </si>
  <si>
    <t>Communication Cable termination</t>
  </si>
  <si>
    <t>CT SFRA &amp; Tan delta Test</t>
  </si>
  <si>
    <t>Canbay</t>
  </si>
  <si>
    <t>CT Routine Test</t>
  </si>
  <si>
    <t>CT Control scheme &amp; Stability Test</t>
  </si>
  <si>
    <t>HT Panel Routine (CT &amp; PT, Breaker &amp; Meter) Test</t>
  </si>
  <si>
    <t>HT Panel relay test</t>
  </si>
  <si>
    <t>HT Cable VLF Test</t>
  </si>
  <si>
    <t>CSS  routine test</t>
  </si>
  <si>
    <t>ACDB routine test</t>
  </si>
  <si>
    <t>Pratibha:
Avg. required manpower - 118 nos</t>
  </si>
  <si>
    <t>Pratibha:
Avg. required manpower - 106 nos</t>
  </si>
  <si>
    <t>Pratibha:
Avg. required manpower - 117 nos</t>
  </si>
  <si>
    <t>Pratibha:
Avg. required manpower - 111 nos</t>
  </si>
  <si>
    <t>Pratibha:
Avg. required manpower - 112 nos</t>
  </si>
  <si>
    <t>Assumptions:-</t>
  </si>
  <si>
    <t>1. Ship berthing + 72 hrs - clearing of 30 containers per day for site</t>
  </si>
  <si>
    <t>2. 30 containers erected on site on 4th day</t>
  </si>
  <si>
    <t>3. IDT charging = 24 days from erection of last container in the block</t>
  </si>
  <si>
    <t>4. Trial run start date = IDT charging + 3 days</t>
  </si>
  <si>
    <t>5. Trial run end date = Trial run start date + 2 days</t>
  </si>
  <si>
    <t>6. COD = Trial run end date + 2 days</t>
  </si>
  <si>
    <t xml:space="preserve">BESS 10B Charging Schedule </t>
  </si>
  <si>
    <t>Jinko</t>
  </si>
  <si>
    <t>240 MWh
(48 containers)</t>
  </si>
  <si>
    <t>GODARA</t>
  </si>
  <si>
    <t>DP Consteel</t>
  </si>
  <si>
    <t>Metastar</t>
  </si>
  <si>
    <t>Akshar</t>
  </si>
  <si>
    <t>240 MWh
(48 containers)</t>
  </si>
  <si>
    <t>Godara/ MSC</t>
  </si>
  <si>
    <t xml:space="preserve"> MSC</t>
  </si>
  <si>
    <t xml:space="preserve">BESS 12 Charging Schedule </t>
  </si>
  <si>
    <t>Cable trench excavated, will be done post trench backfilling</t>
  </si>
  <si>
    <t>Placed on slab, anchoring WIP</t>
  </si>
  <si>
    <t>Tesla / CTR</t>
  </si>
  <si>
    <t>Akshar &amp; Honeywell</t>
  </si>
  <si>
    <t>271MWh
(48 Containers)</t>
  </si>
  <si>
    <t>271 MWh
 (48 Containers)</t>
  </si>
  <si>
    <t>,</t>
  </si>
  <si>
    <t xml:space="preserve">Testing to be completed by 25 Aug. </t>
  </si>
  <si>
    <t xml:space="preserve">Testing to be completed by 30 Aug. </t>
  </si>
  <si>
    <t xml:space="preserve">Testing to be completed by 9 Sep. </t>
  </si>
  <si>
    <t xml:space="preserve">Testing to be completed by 11 Sep. </t>
  </si>
  <si>
    <t xml:space="preserve">Testing to be completed by 12 Sep. </t>
  </si>
  <si>
    <t>Ornet/ EMR</t>
  </si>
  <si>
    <t>Tesla/ CTR</t>
  </si>
  <si>
    <t>48 PCS placed on slab, anchoring WIP</t>
  </si>
  <si>
    <t>Required 06 Testing teams at site</t>
  </si>
  <si>
    <t>01 Testing team available at site</t>
  </si>
  <si>
    <r>
      <t xml:space="preserve">* Min. 40 termination teams required for DC &amp; LT Cable termination with 
crimping tool (Each team required at least 01 skilled technician with 01 helper) Common for PSS
Total Machinery - crimping tool: 18, welding machine: 07, cable jack: 05, Farana: 01, JCB: 07 available at site (Common for PSS)
</t>
    </r>
    <r>
      <rPr>
        <sz val="10"/>
        <color rgb="FF0070C0"/>
        <rFont val="Adani Regular"/>
      </rPr>
      <t>Testing To be Completed by 02 Aug.</t>
    </r>
    <r>
      <rPr>
        <sz val="10"/>
        <color theme="1"/>
        <rFont val="Adani Regular"/>
        <family val="2"/>
      </rPr>
      <t xml:space="preserve">
</t>
    </r>
    <r>
      <rPr>
        <sz val="10"/>
        <color rgb="FF0070C0"/>
        <rFont val="Adani Regular"/>
      </rPr>
      <t>Required Testing Team (6 Skilled &amp; 12 Unskilled) (Common for PSS)</t>
    </r>
    <r>
      <rPr>
        <sz val="10"/>
        <color theme="1"/>
        <rFont val="Adani Regular"/>
        <family val="2"/>
      </rPr>
      <t xml:space="preserve">
Testing kits : 
</t>
    </r>
    <r>
      <rPr>
        <sz val="10"/>
        <color rgb="FF0070C0"/>
        <rFont val="Adani Regular"/>
      </rPr>
      <t xml:space="preserve">Oil Filteration, Online PPM Meter, SFRA &amp; Tan Delta, DC Winding Resistance, Turn Ratio meter, routine test kit (common for 1 PSS)
ERT, DC High POT, (common for 1 PSS)
VLF kit (1 nos),
IR Tester, Multimeter &amp; Clamp Meter (atleast 3 per PSS)
Breaker CRM &amp; Timing, Vaccum Bottle Integrity  (common for 1 PSS),
CT Analyzer (2 nos),
Relay Testing Kit, CT Primary Injection (3-Phase), PT Stability (3-Phase), Impedence meter (Common for 1 PSS)
</t>
    </r>
  </si>
  <si>
    <t>Akshar &amp; Adaptive</t>
  </si>
  <si>
    <t>Welding with foundation WIP</t>
  </si>
  <si>
    <t>Available At site</t>
  </si>
  <si>
    <t>Machinery</t>
  </si>
  <si>
    <t>Crimping tool</t>
  </si>
  <si>
    <t>Tools &amp; tackles</t>
  </si>
  <si>
    <t>Cable jack</t>
  </si>
  <si>
    <t xml:space="preserve">JCB </t>
  </si>
  <si>
    <t xml:space="preserve">Excavator </t>
  </si>
  <si>
    <t xml:space="preserve">farana </t>
  </si>
  <si>
    <t>Welding Machine</t>
  </si>
  <si>
    <t>Testing Kits</t>
  </si>
  <si>
    <t>Common for PSS</t>
  </si>
  <si>
    <t>Filtration Machine</t>
  </si>
  <si>
    <t>Online PPM Meter</t>
  </si>
  <si>
    <t>SFRA Test kit</t>
  </si>
  <si>
    <t>Tan delta kit</t>
  </si>
  <si>
    <t>Routine test kit</t>
  </si>
  <si>
    <t>CT Analyzer</t>
  </si>
  <si>
    <t>ERT Meter</t>
  </si>
  <si>
    <t>Primary injection kit</t>
  </si>
  <si>
    <t>PT test kit</t>
  </si>
  <si>
    <t>3 Phase Primary injection kit</t>
  </si>
  <si>
    <t>DC high Pot kit</t>
  </si>
  <si>
    <t>VLF Kit</t>
  </si>
  <si>
    <t>Relay Secondary injection kit</t>
  </si>
  <si>
    <t>Multimeter, IR Tester &amp; Clamp meter</t>
  </si>
  <si>
    <t xml:space="preserve">Impedance Meter </t>
  </si>
  <si>
    <t xml:space="preserve"> Breaker, CRM, Timming 
&amp; vacuum Bottle test kits</t>
  </si>
  <si>
    <t>Tools</t>
  </si>
  <si>
    <t>Torque Wrench</t>
  </si>
  <si>
    <t>Tool Set</t>
  </si>
  <si>
    <t>HOT Gun</t>
  </si>
  <si>
    <t>Blower</t>
  </si>
  <si>
    <t>Megar</t>
  </si>
  <si>
    <t>DG with Sablizer</t>
  </si>
  <si>
    <t>Cable Cutter</t>
  </si>
  <si>
    <t>Drilling Machine</t>
  </si>
  <si>
    <t>Drilling Machine [Hammering]</t>
  </si>
  <si>
    <t>Auger Machine</t>
  </si>
  <si>
    <t>Required At site</t>
  </si>
  <si>
    <t>Tractor</t>
  </si>
  <si>
    <t>Cable Puller</t>
  </si>
  <si>
    <t>Avg Manpower +
 20%  Buffer</t>
  </si>
  <si>
    <r>
      <rPr>
        <strike/>
        <sz val="9"/>
        <rFont val="Adani Regular"/>
      </rPr>
      <t>11 Jul</t>
    </r>
    <r>
      <rPr>
        <sz val="9"/>
        <rFont val="Adani Regular"/>
      </rPr>
      <t>, 18 Jul</t>
    </r>
  </si>
  <si>
    <r>
      <rPr>
        <strike/>
        <sz val="9"/>
        <rFont val="Adani Regular"/>
      </rPr>
      <t>10 Jul</t>
    </r>
    <r>
      <rPr>
        <sz val="9"/>
        <rFont val="Adani Regular"/>
      </rPr>
      <t>, 18 Jul</t>
    </r>
  </si>
  <si>
    <t>1 casted</t>
  </si>
  <si>
    <r>
      <rPr>
        <strike/>
        <sz val="9"/>
        <rFont val="Adani Regular"/>
      </rPr>
      <t>20 Jul</t>
    </r>
    <r>
      <rPr>
        <sz val="9"/>
        <rFont val="Adani Regular"/>
      </rPr>
      <t>, 25 Jul</t>
    </r>
  </si>
  <si>
    <r>
      <rPr>
        <strike/>
        <sz val="9"/>
        <rFont val="Adani Regular"/>
      </rPr>
      <t>15 Jul</t>
    </r>
    <r>
      <rPr>
        <sz val="9"/>
        <rFont val="Adani Regular"/>
      </rPr>
      <t>, 25 Jul</t>
    </r>
  </si>
  <si>
    <r>
      <rPr>
        <strike/>
        <sz val="10"/>
        <color rgb="FF00B050"/>
        <rFont val="Adani Regular"/>
      </rPr>
      <t>28 Jun</t>
    </r>
    <r>
      <rPr>
        <sz val="10"/>
        <color rgb="FF00B050"/>
        <rFont val="Adani Regular"/>
      </rPr>
      <t>,
05 Jul</t>
    </r>
  </si>
  <si>
    <t>Lugging WIP, Torquing YTS.</t>
  </si>
  <si>
    <t>PEB Container installation WIP.</t>
  </si>
  <si>
    <r>
      <rPr>
        <strike/>
        <sz val="9"/>
        <rFont val="Adani Regular"/>
      </rPr>
      <t>03 Jul</t>
    </r>
    <r>
      <rPr>
        <sz val="9"/>
        <rFont val="Adani Regular"/>
      </rPr>
      <t xml:space="preserve">, </t>
    </r>
    <r>
      <rPr>
        <strike/>
        <sz val="9"/>
        <rFont val="Adani Regular"/>
      </rPr>
      <t>10 Jul</t>
    </r>
    <r>
      <rPr>
        <sz val="9"/>
        <rFont val="Adani Regular"/>
      </rPr>
      <t xml:space="preserve">,
</t>
    </r>
    <r>
      <rPr>
        <strike/>
        <sz val="9"/>
        <rFont val="Adani Regular"/>
      </rPr>
      <t>18 Jul</t>
    </r>
    <r>
      <rPr>
        <sz val="9"/>
        <rFont val="Adani Regular"/>
      </rPr>
      <t>, 28 Jul</t>
    </r>
  </si>
  <si>
    <r>
      <rPr>
        <strike/>
        <sz val="9"/>
        <rFont val="Adani Regular"/>
      </rPr>
      <t>25 Jun</t>
    </r>
    <r>
      <rPr>
        <sz val="9"/>
        <rFont val="Adani Regular"/>
      </rPr>
      <t xml:space="preserve">, </t>
    </r>
    <r>
      <rPr>
        <strike/>
        <sz val="9"/>
        <rFont val="Adani Regular"/>
      </rPr>
      <t>30 Jun</t>
    </r>
    <r>
      <rPr>
        <sz val="9"/>
        <rFont val="Adani Regular"/>
      </rPr>
      <t xml:space="preserve">,
</t>
    </r>
    <r>
      <rPr>
        <strike/>
        <sz val="9"/>
        <rFont val="Adani Regular"/>
      </rPr>
      <t>13 Jul</t>
    </r>
    <r>
      <rPr>
        <sz val="9"/>
        <rFont val="Adani Regular"/>
      </rPr>
      <t>, 17 Jul</t>
    </r>
  </si>
  <si>
    <r>
      <rPr>
        <strike/>
        <sz val="9"/>
        <rFont val="Adani Regular"/>
      </rPr>
      <t>28 Jun,</t>
    </r>
    <r>
      <rPr>
        <sz val="9"/>
        <rFont val="Adani Regular"/>
      </rPr>
      <t xml:space="preserve"> </t>
    </r>
    <r>
      <rPr>
        <strike/>
        <sz val="9"/>
        <rFont val="Adani Regular"/>
      </rPr>
      <t>02 Jul</t>
    </r>
    <r>
      <rPr>
        <sz val="9"/>
        <rFont val="Adani Regular"/>
      </rPr>
      <t xml:space="preserve">,
</t>
    </r>
    <r>
      <rPr>
        <strike/>
        <sz val="9"/>
        <rFont val="Adani Regular"/>
      </rPr>
      <t>09 Jul</t>
    </r>
    <r>
      <rPr>
        <sz val="9"/>
        <rFont val="Adani Regular"/>
      </rPr>
      <t>, 22 Jul</t>
    </r>
  </si>
  <si>
    <r>
      <rPr>
        <strike/>
        <sz val="9"/>
        <color rgb="FF000000"/>
        <rFont val="Adani Regular"/>
      </rPr>
      <t>25-Jun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04 Jul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11 Jul</t>
    </r>
    <r>
      <rPr>
        <sz val="9"/>
        <color rgb="FF000000"/>
        <rFont val="Adani Regular"/>
      </rPr>
      <t>, 22 Jul</t>
    </r>
  </si>
  <si>
    <r>
      <rPr>
        <strike/>
        <sz val="9"/>
        <rFont val="Adani Regular"/>
      </rPr>
      <t>10 Jul</t>
    </r>
    <r>
      <rPr>
        <sz val="9"/>
        <rFont val="Adani Regular"/>
      </rPr>
      <t xml:space="preserve">, </t>
    </r>
    <r>
      <rPr>
        <strike/>
        <sz val="9"/>
        <rFont val="Adani Regular"/>
      </rPr>
      <t>20 Jul</t>
    </r>
    <r>
      <rPr>
        <sz val="9"/>
        <rFont val="Adani Regular"/>
      </rPr>
      <t>,
28 Jul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</si>
  <si>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08 Jul</t>
    </r>
    <r>
      <rPr>
        <sz val="9"/>
        <rFont val="Adani Regular"/>
      </rPr>
      <t xml:space="preserve">,
</t>
    </r>
    <r>
      <rPr>
        <strike/>
        <sz val="9"/>
        <rFont val="Adani Regular"/>
      </rPr>
      <t>20 Jul</t>
    </r>
    <r>
      <rPr>
        <sz val="9"/>
        <rFont val="Adani Regular"/>
      </rPr>
      <t>, 28 Jul</t>
    </r>
  </si>
  <si>
    <r>
      <rPr>
        <strike/>
        <sz val="9"/>
        <rFont val="Adani Regular"/>
      </rPr>
      <t>07 Jul</t>
    </r>
    <r>
      <rPr>
        <sz val="9"/>
        <rFont val="Adani Regular"/>
      </rPr>
      <t xml:space="preserve">, </t>
    </r>
    <r>
      <rPr>
        <strike/>
        <sz val="9"/>
        <rFont val="Adani Regular"/>
      </rPr>
      <t>18 Jul</t>
    </r>
    <r>
      <rPr>
        <sz val="9"/>
        <rFont val="Adani Regular"/>
      </rPr>
      <t>,
28 Jul</t>
    </r>
  </si>
  <si>
    <r>
      <rPr>
        <strike/>
        <sz val="9"/>
        <color rgb="FF000000"/>
        <rFont val="Adani Regular"/>
      </rPr>
      <t>30-Jun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06 Jul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15 Jul</t>
    </r>
    <r>
      <rPr>
        <sz val="9"/>
        <color rgb="FF000000"/>
        <rFont val="Adani Regular"/>
      </rPr>
      <t>, 28 Jul</t>
    </r>
  </si>
  <si>
    <r>
      <rPr>
        <strike/>
        <sz val="9"/>
        <rFont val="Adani Regular"/>
      </rPr>
      <t>30 Jun</t>
    </r>
    <r>
      <rPr>
        <sz val="9"/>
        <rFont val="Adani Regular"/>
      </rPr>
      <t xml:space="preserve">, </t>
    </r>
    <r>
      <rPr>
        <strike/>
        <sz val="9"/>
        <rFont val="Adani Regular"/>
      </rPr>
      <t>03 Jul</t>
    </r>
    <r>
      <rPr>
        <sz val="9"/>
        <rFont val="Adani Regular"/>
      </rPr>
      <t xml:space="preserve">,
</t>
    </r>
    <r>
      <rPr>
        <strike/>
        <sz val="9"/>
        <rFont val="Adani Regular"/>
      </rPr>
      <t>15 Jul</t>
    </r>
    <r>
      <rPr>
        <sz val="9"/>
        <rFont val="Adani Regular"/>
      </rPr>
      <t>, 28 Jul</t>
    </r>
  </si>
  <si>
    <r>
      <rPr>
        <strike/>
        <sz val="9"/>
        <rFont val="Adani Regular"/>
      </rPr>
      <t>14 Jul</t>
    </r>
    <r>
      <rPr>
        <sz val="9"/>
        <rFont val="Adani Regular"/>
      </rPr>
      <t>, 25 Jul</t>
    </r>
  </si>
  <si>
    <r>
      <rPr>
        <strike/>
        <sz val="10"/>
        <color rgb="FF00B050"/>
        <rFont val="Adani Regular"/>
      </rPr>
      <t>04 Jul</t>
    </r>
    <r>
      <rPr>
        <sz val="10"/>
        <color rgb="FF00B050"/>
        <rFont val="Adani Regular"/>
      </rPr>
      <t xml:space="preserve">,
</t>
    </r>
    <r>
      <rPr>
        <strike/>
        <sz val="10"/>
        <color rgb="FF00B050"/>
        <rFont val="Adani Regular"/>
      </rPr>
      <t>08 Jul,</t>
    </r>
    <r>
      <rPr>
        <sz val="10"/>
        <color rgb="FF00B050"/>
        <rFont val="Adani Regular"/>
      </rPr>
      <t xml:space="preserve">
13 Jul</t>
    </r>
  </si>
  <si>
    <r>
      <rPr>
        <strike/>
        <sz val="10"/>
        <color rgb="FF00B050"/>
        <rFont val="Adani Regular"/>
      </rPr>
      <t>07 Jul</t>
    </r>
    <r>
      <rPr>
        <sz val="10"/>
        <color rgb="FF00B050"/>
        <rFont val="Adani Regular"/>
      </rPr>
      <t xml:space="preserve">
09 Jul</t>
    </r>
  </si>
  <si>
    <r>
      <rPr>
        <strike/>
        <sz val="11"/>
        <color rgb="FF00B050"/>
        <rFont val="Aptos Narrow"/>
        <family val="2"/>
        <scheme val="minor"/>
      </rPr>
      <t>04 Jul</t>
    </r>
    <r>
      <rPr>
        <sz val="11"/>
        <color rgb="FF00B050"/>
        <rFont val="Aptos Narrow"/>
        <family val="2"/>
        <scheme val="minor"/>
      </rPr>
      <t xml:space="preserve">,
</t>
    </r>
    <r>
      <rPr>
        <strike/>
        <sz val="11"/>
        <color rgb="FF00B050"/>
        <rFont val="Aptos Narrow"/>
        <family val="2"/>
        <scheme val="minor"/>
      </rPr>
      <t>07 Jul</t>
    </r>
    <r>
      <rPr>
        <sz val="11"/>
        <color rgb="FF00B050"/>
        <rFont val="Aptos Narrow"/>
        <family val="2"/>
        <scheme val="minor"/>
      </rPr>
      <t xml:space="preserve">
</t>
    </r>
    <r>
      <rPr>
        <strike/>
        <sz val="11"/>
        <color rgb="FF00B050"/>
        <rFont val="Aptos Narrow"/>
        <family val="2"/>
        <scheme val="minor"/>
      </rPr>
      <t>10 Jul</t>
    </r>
    <r>
      <rPr>
        <sz val="11"/>
        <color rgb="FF00B050"/>
        <rFont val="Aptos Narrow"/>
        <family val="2"/>
        <scheme val="minor"/>
      </rPr>
      <t xml:space="preserve">
14 Jul</t>
    </r>
  </si>
  <si>
    <r>
      <rPr>
        <strike/>
        <sz val="9"/>
        <rFont val="Adani Regular"/>
      </rPr>
      <t>18 Jul</t>
    </r>
    <r>
      <rPr>
        <sz val="9"/>
        <rFont val="Adani Regular"/>
      </rPr>
      <t>, 28 Jul</t>
    </r>
  </si>
  <si>
    <t>Lugging completed, toquing will be done post VLF testing.</t>
  </si>
  <si>
    <r>
      <rPr>
        <strike/>
        <sz val="9"/>
        <rFont val="Adani Regular"/>
      </rPr>
      <t>07 Jul</t>
    </r>
    <r>
      <rPr>
        <sz val="9"/>
        <rFont val="Adani Regular"/>
      </rPr>
      <t xml:space="preserve">, </t>
    </r>
    <r>
      <rPr>
        <strike/>
        <sz val="9"/>
        <rFont val="Adani Regular"/>
      </rPr>
      <t>09 Jul</t>
    </r>
    <r>
      <rPr>
        <sz val="9"/>
        <rFont val="Adani Regular"/>
      </rPr>
      <t>,
18 Jul</t>
    </r>
  </si>
  <si>
    <r>
      <rPr>
        <strike/>
        <sz val="9"/>
        <rFont val="Adani Regular"/>
      </rPr>
      <t>09 Jul</t>
    </r>
    <r>
      <rPr>
        <sz val="9"/>
        <rFont val="Adani Regular"/>
      </rPr>
      <t xml:space="preserve">, </t>
    </r>
    <r>
      <rPr>
        <strike/>
        <sz val="9"/>
        <rFont val="Adani Regular"/>
      </rPr>
      <t>12 Jul</t>
    </r>
    <r>
      <rPr>
        <sz val="9"/>
        <rFont val="Adani Regular"/>
      </rPr>
      <t>,
20 Jul</t>
    </r>
  </si>
  <si>
    <r>
      <rPr>
        <strike/>
        <sz val="9"/>
        <color rgb="FF000000"/>
        <rFont val="Adani Regular"/>
      </rPr>
      <t>27 Jun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30 Jun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10 Jul</t>
    </r>
    <r>
      <rPr>
        <sz val="9"/>
        <color rgb="FF000000"/>
        <rFont val="Adani Regular"/>
      </rPr>
      <t>, 17 Jul</t>
    </r>
  </si>
  <si>
    <r>
      <rPr>
        <strike/>
        <sz val="9"/>
        <color rgb="FF000000"/>
        <rFont val="Adani Regular"/>
      </rPr>
      <t>04 Jul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07 Jul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11 Jul</t>
    </r>
    <r>
      <rPr>
        <sz val="9"/>
        <color rgb="FF000000"/>
        <rFont val="Adani Regular"/>
      </rPr>
      <t>, 17 Jul</t>
    </r>
  </si>
  <si>
    <r>
      <rPr>
        <strike/>
        <sz val="9"/>
        <rFont val="Adani Regular"/>
      </rPr>
      <t>15 Jul</t>
    </r>
    <r>
      <rPr>
        <sz val="9"/>
        <rFont val="Adani Regular"/>
      </rPr>
      <t xml:space="preserve">, </t>
    </r>
    <r>
      <rPr>
        <strike/>
        <sz val="9"/>
        <rFont val="Adani Regular"/>
      </rPr>
      <t>18 Jul</t>
    </r>
    <r>
      <rPr>
        <sz val="9"/>
        <rFont val="Adani Regular"/>
      </rPr>
      <t>,
25 Jul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</si>
  <si>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10 Jul</t>
    </r>
    <r>
      <rPr>
        <sz val="9"/>
        <rFont val="Adani Regular"/>
      </rPr>
      <t>,
20 Jul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</si>
  <si>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11 Jul</t>
    </r>
    <r>
      <rPr>
        <sz val="9"/>
        <rFont val="Adani Regular"/>
      </rPr>
      <t>,
22 Jul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</si>
  <si>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12 Jul</t>
    </r>
    <r>
      <rPr>
        <sz val="9"/>
        <rFont val="Adani Regular"/>
      </rPr>
      <t>,
22 Jul</t>
    </r>
  </si>
  <si>
    <r>
      <rPr>
        <strike/>
        <sz val="9"/>
        <color rgb="FF000000"/>
        <rFont val="Adani Regular"/>
      </rPr>
      <t>11 Jul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12 Jul</t>
    </r>
    <r>
      <rPr>
        <sz val="9"/>
        <color rgb="FF000000"/>
        <rFont val="Adani Regular"/>
      </rPr>
      <t>,
22 Jul</t>
    </r>
  </si>
  <si>
    <r>
      <rPr>
        <strike/>
        <sz val="9"/>
        <rFont val="Adani Regular"/>
      </rPr>
      <t>06 Jul</t>
    </r>
    <r>
      <rPr>
        <sz val="9"/>
        <rFont val="Adani Regular"/>
      </rPr>
      <t xml:space="preserve">, </t>
    </r>
    <r>
      <rPr>
        <strike/>
        <sz val="9"/>
        <rFont val="Adani Regular"/>
      </rPr>
      <t>10 Jul</t>
    </r>
    <r>
      <rPr>
        <sz val="9"/>
        <rFont val="Adani Regular"/>
        <family val="2"/>
      </rPr>
      <t>,
25 Jul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</si>
  <si>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09 Jul</t>
    </r>
    <r>
      <rPr>
        <sz val="9"/>
        <rFont val="Adani Regular"/>
      </rPr>
      <t>,
16 Jul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</si>
  <si>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09 Jul</t>
    </r>
    <r>
      <rPr>
        <sz val="9"/>
        <rFont val="Adani Regular"/>
      </rPr>
      <t>,
17 Jul</t>
    </r>
  </si>
  <si>
    <t>HT Panel - breaker test completed</t>
  </si>
  <si>
    <r>
      <rPr>
        <strike/>
        <sz val="9"/>
        <rFont val="Adani Regular"/>
      </rPr>
      <t>11 Jul</t>
    </r>
    <r>
      <rPr>
        <sz val="9"/>
        <rFont val="Adani Regular"/>
      </rPr>
      <t>, 19 Jul</t>
    </r>
  </si>
  <si>
    <r>
      <rPr>
        <strike/>
        <sz val="9"/>
        <rFont val="Adani Regular"/>
      </rPr>
      <t>11 Jul</t>
    </r>
    <r>
      <rPr>
        <sz val="9"/>
        <rFont val="Adani Regular"/>
      </rPr>
      <t>, 20 Jul</t>
    </r>
  </si>
  <si>
    <r>
      <rPr>
        <strike/>
        <sz val="9"/>
        <rFont val="Adani Regular"/>
      </rPr>
      <t>11 Jul</t>
    </r>
    <r>
      <rPr>
        <sz val="9"/>
        <rFont val="Adani Regular"/>
      </rPr>
      <t>, 21 Jul</t>
    </r>
  </si>
  <si>
    <r>
      <rPr>
        <strike/>
        <sz val="9"/>
        <rFont val="Adani Regular"/>
      </rPr>
      <t>27 Jul</t>
    </r>
    <r>
      <rPr>
        <sz val="9"/>
        <rFont val="Adani Regular"/>
      </rPr>
      <t>, 05 Aug</t>
    </r>
  </si>
  <si>
    <r>
      <rPr>
        <strike/>
        <sz val="9"/>
        <rFont val="Adani Regular"/>
      </rPr>
      <t>09 Jul</t>
    </r>
    <r>
      <rPr>
        <sz val="9"/>
        <rFont val="Adani Regular"/>
      </rPr>
      <t xml:space="preserve">, </t>
    </r>
    <r>
      <rPr>
        <strike/>
        <sz val="9"/>
        <rFont val="Adani Regular"/>
      </rPr>
      <t>15 Jul</t>
    </r>
    <r>
      <rPr>
        <sz val="9"/>
        <rFont val="Adani Regular"/>
      </rPr>
      <t>,
20 Jul</t>
    </r>
  </si>
  <si>
    <r>
      <rPr>
        <strike/>
        <sz val="9"/>
        <rFont val="Adani Regular"/>
      </rPr>
      <t>17 Jul,</t>
    </r>
    <r>
      <rPr>
        <sz val="9"/>
        <rFont val="Adani Regular"/>
      </rPr>
      <t xml:space="preserve"> 03 Aug</t>
    </r>
  </si>
  <si>
    <r>
      <rPr>
        <strike/>
        <sz val="9"/>
        <rFont val="Adani Regular"/>
      </rPr>
      <t>27 Jul,</t>
    </r>
    <r>
      <rPr>
        <sz val="9"/>
        <rFont val="Adani Regular"/>
      </rPr>
      <t xml:space="preserve"> 05 Aug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</si>
  <si>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09 Jul</t>
    </r>
    <r>
      <rPr>
        <sz val="9"/>
        <rFont val="Adani Regular"/>
      </rPr>
      <t>,
18 Jul</t>
    </r>
  </si>
  <si>
    <t>Torquing WIP</t>
  </si>
  <si>
    <r>
      <rPr>
        <strike/>
        <sz val="9"/>
        <rFont val="Adani Regular"/>
      </rPr>
      <t>20-Jul</t>
    </r>
    <r>
      <rPr>
        <sz val="9"/>
        <rFont val="Adani Regular"/>
      </rPr>
      <t>, 05 Aug</t>
    </r>
  </si>
  <si>
    <r>
      <rPr>
        <strike/>
        <sz val="9"/>
        <rFont val="Adani Regular"/>
      </rPr>
      <t>25-Jul</t>
    </r>
    <r>
      <rPr>
        <sz val="9"/>
        <rFont val="Adani Regular"/>
      </rPr>
      <t>, 07 Aug</t>
    </r>
  </si>
  <si>
    <r>
      <rPr>
        <strike/>
        <sz val="9"/>
        <rFont val="Adani Regular"/>
      </rPr>
      <t>27- Jul</t>
    </r>
    <r>
      <rPr>
        <sz val="9"/>
        <rFont val="Adani Regular"/>
      </rPr>
      <t>, 07 Aug</t>
    </r>
  </si>
  <si>
    <r>
      <rPr>
        <strike/>
        <sz val="9"/>
        <rFont val="Adani Regular"/>
      </rPr>
      <t>12 Jul</t>
    </r>
    <r>
      <rPr>
        <sz val="9"/>
        <rFont val="Adani Regular"/>
      </rPr>
      <t xml:space="preserve">, </t>
    </r>
    <r>
      <rPr>
        <strike/>
        <sz val="9"/>
        <rFont val="Adani Regular"/>
      </rPr>
      <t>20 Jul,</t>
    </r>
    <r>
      <rPr>
        <sz val="9"/>
        <rFont val="Adani Regular"/>
      </rPr>
      <t xml:space="preserve">
05 Aug </t>
    </r>
  </si>
  <si>
    <r>
      <rPr>
        <strike/>
        <sz val="9"/>
        <rFont val="Adani Regular"/>
      </rPr>
      <t>21-Jul,</t>
    </r>
    <r>
      <rPr>
        <sz val="9"/>
        <rFont val="Adani Regular"/>
        <family val="2"/>
      </rPr>
      <t xml:space="preserve"> 28-Jul</t>
    </r>
  </si>
  <si>
    <r>
      <rPr>
        <strike/>
        <sz val="9"/>
        <rFont val="Adani Regular"/>
      </rPr>
      <t>18-Jul,</t>
    </r>
    <r>
      <rPr>
        <sz val="9"/>
        <rFont val="Adani Regular"/>
      </rPr>
      <t xml:space="preserve"> 25 Jul</t>
    </r>
  </si>
  <si>
    <r>
      <rPr>
        <strike/>
        <sz val="9"/>
        <rFont val="Adani Regular"/>
      </rPr>
      <t>02 Jul</t>
    </r>
    <r>
      <rPr>
        <sz val="9"/>
        <rFont val="Adani Regular"/>
      </rPr>
      <t xml:space="preserve">, </t>
    </r>
    <r>
      <rPr>
        <strike/>
        <sz val="9"/>
        <rFont val="Adani Regular"/>
      </rPr>
      <t>07 Jul</t>
    </r>
    <r>
      <rPr>
        <sz val="9"/>
        <rFont val="Adani Regular"/>
      </rPr>
      <t xml:space="preserve">,
</t>
    </r>
    <r>
      <rPr>
        <strike/>
        <sz val="9"/>
        <rFont val="Adani Regular"/>
      </rPr>
      <t>12 Jul,</t>
    </r>
    <r>
      <rPr>
        <sz val="9"/>
        <rFont val="Adani Regular"/>
      </rPr>
      <t xml:space="preserve"> 30 Jul</t>
    </r>
  </si>
  <si>
    <r>
      <rPr>
        <strike/>
        <sz val="9"/>
        <rFont val="Adani Regular"/>
      </rPr>
      <t>14-Jul,</t>
    </r>
    <r>
      <rPr>
        <sz val="9"/>
        <rFont val="Adani Regular"/>
      </rPr>
      <t xml:space="preserve"> 30 Jul</t>
    </r>
  </si>
  <si>
    <r>
      <rPr>
        <strike/>
        <sz val="9"/>
        <rFont val="Adani Regular"/>
      </rPr>
      <t>24-Jul,</t>
    </r>
    <r>
      <rPr>
        <sz val="9"/>
        <rFont val="Adani Regular"/>
      </rPr>
      <t xml:space="preserve"> 03 Aug</t>
    </r>
  </si>
  <si>
    <r>
      <rPr>
        <strike/>
        <sz val="9"/>
        <color rgb="FF000000"/>
        <rFont val="Adani Regular"/>
      </rPr>
      <t>22 Jun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02 Jul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14 Jul</t>
    </r>
    <r>
      <rPr>
        <sz val="9"/>
        <color rgb="FF000000"/>
        <rFont val="Adani Regular"/>
      </rPr>
      <t>, 20 Jul</t>
    </r>
  </si>
  <si>
    <r>
      <rPr>
        <strike/>
        <sz val="9"/>
        <rFont val="Adani Regular"/>
      </rPr>
      <t>24 Jun</t>
    </r>
    <r>
      <rPr>
        <sz val="9"/>
        <rFont val="Adani Regular"/>
      </rPr>
      <t xml:space="preserve">, </t>
    </r>
    <r>
      <rPr>
        <strike/>
        <sz val="9"/>
        <rFont val="Adani Regular"/>
      </rPr>
      <t>30 Jun</t>
    </r>
    <r>
      <rPr>
        <sz val="9"/>
        <rFont val="Adani Regular"/>
      </rPr>
      <t xml:space="preserve">,
</t>
    </r>
    <r>
      <rPr>
        <strike/>
        <sz val="9"/>
        <rFont val="Adani Regular"/>
      </rPr>
      <t>15 Jul</t>
    </r>
    <r>
      <rPr>
        <sz val="9"/>
        <rFont val="Adani Regular"/>
      </rPr>
      <t>, 22 Jul</t>
    </r>
  </si>
  <si>
    <r>
      <rPr>
        <strike/>
        <sz val="9"/>
        <rFont val="Adani Regular"/>
      </rPr>
      <t>10 Jul</t>
    </r>
    <r>
      <rPr>
        <sz val="9"/>
        <rFont val="Adani Regular"/>
      </rPr>
      <t xml:space="preserve">, </t>
    </r>
    <r>
      <rPr>
        <strike/>
        <sz val="9"/>
        <rFont val="Adani Regular"/>
      </rPr>
      <t>20 Jul</t>
    </r>
    <r>
      <rPr>
        <sz val="9"/>
        <rFont val="Adani Regular"/>
      </rPr>
      <t>,
07 Aug</t>
    </r>
  </si>
  <si>
    <r>
      <rPr>
        <strike/>
        <sz val="9"/>
        <rFont val="Adani Regular"/>
      </rPr>
      <t>15 Jul</t>
    </r>
    <r>
      <rPr>
        <sz val="9"/>
        <rFont val="Adani Regular"/>
      </rPr>
      <t>, 07 Aug</t>
    </r>
  </si>
  <si>
    <r>
      <rPr>
        <strike/>
        <sz val="9"/>
        <rFont val="Adani Regular"/>
      </rPr>
      <t>15 Jul</t>
    </r>
    <r>
      <rPr>
        <sz val="9"/>
        <rFont val="Adani Regular"/>
      </rPr>
      <t>, 31 Jul</t>
    </r>
  </si>
  <si>
    <r>
      <rPr>
        <strike/>
        <sz val="9"/>
        <rFont val="Adani Regular"/>
      </rPr>
      <t>16 Jul</t>
    </r>
    <r>
      <rPr>
        <sz val="9"/>
        <rFont val="Adani Regular"/>
      </rPr>
      <t>, 08 Aug</t>
    </r>
  </si>
  <si>
    <r>
      <rPr>
        <strike/>
        <sz val="9"/>
        <rFont val="Adani Regular"/>
      </rPr>
      <t>16 Jul</t>
    </r>
    <r>
      <rPr>
        <sz val="9"/>
        <rFont val="Adani Regular"/>
      </rPr>
      <t>, 17 Aug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</si>
  <si>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11 Jul</t>
    </r>
    <r>
      <rPr>
        <sz val="9"/>
        <rFont val="Adani Regular"/>
      </rPr>
      <t>,
20 Jul</t>
    </r>
  </si>
  <si>
    <r>
      <rPr>
        <strike/>
        <sz val="9"/>
        <color rgb="FF000000"/>
        <rFont val="Adani Regular"/>
      </rPr>
      <t>01 Jul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06 Jul,
11 Jul</t>
    </r>
    <r>
      <rPr>
        <sz val="9"/>
        <color rgb="FF000000"/>
        <rFont val="Adani Regular"/>
      </rPr>
      <t>, 20 Jul</t>
    </r>
  </si>
  <si>
    <r>
      <rPr>
        <strike/>
        <sz val="9"/>
        <color rgb="FF000000"/>
        <rFont val="Adani Regular"/>
      </rPr>
      <t>01 Jul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10 Jul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14 Jul</t>
    </r>
    <r>
      <rPr>
        <sz val="9"/>
        <color rgb="FF000000"/>
        <rFont val="Adani Regular"/>
      </rPr>
      <t>, 21 Jul</t>
    </r>
  </si>
  <si>
    <r>
      <rPr>
        <strike/>
        <sz val="9"/>
        <rFont val="Adani Regular"/>
      </rPr>
      <t>01 Jul</t>
    </r>
    <r>
      <rPr>
        <sz val="9"/>
        <rFont val="Adani Regular"/>
      </rPr>
      <t xml:space="preserve">, </t>
    </r>
    <r>
      <rPr>
        <strike/>
        <sz val="9"/>
        <rFont val="Adani Regular"/>
      </rPr>
      <t>12 Jul</t>
    </r>
    <r>
      <rPr>
        <sz val="9"/>
        <rFont val="Adani Regular"/>
      </rPr>
      <t>,
22 Jul</t>
    </r>
  </si>
  <si>
    <r>
      <rPr>
        <strike/>
        <sz val="9"/>
        <rFont val="Adani Regular"/>
      </rPr>
      <t>06 Jul</t>
    </r>
    <r>
      <rPr>
        <sz val="9"/>
        <rFont val="Adani Regular"/>
      </rPr>
      <t xml:space="preserve">, </t>
    </r>
    <r>
      <rPr>
        <strike/>
        <sz val="9"/>
        <rFont val="Adani Regular"/>
      </rPr>
      <t>14 Jul</t>
    </r>
    <r>
      <rPr>
        <sz val="9"/>
        <rFont val="Adani Regular"/>
      </rPr>
      <t xml:space="preserve">,
</t>
    </r>
    <r>
      <rPr>
        <strike/>
        <sz val="9"/>
        <rFont val="Adani Regular"/>
      </rPr>
      <t>17 Jul</t>
    </r>
    <r>
      <rPr>
        <sz val="9"/>
        <rFont val="Adani Regular"/>
      </rPr>
      <t>, 26 Jul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</si>
  <si>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15 Jul</t>
    </r>
    <r>
      <rPr>
        <sz val="9"/>
        <rFont val="Adani Regular"/>
      </rPr>
      <t>,
29 Jul</t>
    </r>
  </si>
  <si>
    <r>
      <rPr>
        <strike/>
        <sz val="9"/>
        <rFont val="Adani Regular"/>
      </rPr>
      <t>11 Jul</t>
    </r>
    <r>
      <rPr>
        <sz val="9"/>
        <rFont val="Adani Regular"/>
      </rPr>
      <t xml:space="preserve">, </t>
    </r>
    <r>
      <rPr>
        <strike/>
        <sz val="9"/>
        <rFont val="Adani Regular"/>
      </rPr>
      <t>15 Jul</t>
    </r>
    <r>
      <rPr>
        <sz val="9"/>
        <rFont val="Adani Regular"/>
      </rPr>
      <t>,
01 Aug</t>
    </r>
  </si>
  <si>
    <r>
      <rPr>
        <strike/>
        <sz val="9"/>
        <rFont val="Adani Regular"/>
      </rPr>
      <t>15 Jul</t>
    </r>
    <r>
      <rPr>
        <sz val="9"/>
        <rFont val="Adani Regular"/>
      </rPr>
      <t>, 04 Aug</t>
    </r>
  </si>
  <si>
    <r>
      <rPr>
        <strike/>
        <sz val="9"/>
        <rFont val="Adani Regular"/>
      </rPr>
      <t>21 Jul</t>
    </r>
    <r>
      <rPr>
        <sz val="9"/>
        <rFont val="Adani Regular"/>
      </rPr>
      <t>, 07 Aug</t>
    </r>
  </si>
  <si>
    <r>
      <rPr>
        <strike/>
        <sz val="11"/>
        <color rgb="FF00B050"/>
        <rFont val="Aptos Narrow"/>
        <family val="2"/>
        <scheme val="minor"/>
      </rPr>
      <t>30 Jun</t>
    </r>
    <r>
      <rPr>
        <sz val="11"/>
        <color rgb="FF00B050"/>
        <rFont val="Aptos Narrow"/>
        <family val="2"/>
        <scheme val="minor"/>
      </rPr>
      <t xml:space="preserve">
</t>
    </r>
    <r>
      <rPr>
        <strike/>
        <sz val="11"/>
        <color rgb="FF00B050"/>
        <rFont val="Aptos Narrow"/>
        <family val="2"/>
        <scheme val="minor"/>
      </rPr>
      <t xml:space="preserve">04 Jul
</t>
    </r>
    <r>
      <rPr>
        <sz val="11"/>
        <color rgb="FF00B050"/>
        <rFont val="Aptos Narrow"/>
        <family val="2"/>
        <scheme val="minor"/>
      </rPr>
      <t>09 Jul</t>
    </r>
  </si>
  <si>
    <r>
      <rPr>
        <strike/>
        <sz val="9"/>
        <rFont val="Adani Regular"/>
      </rPr>
      <t>24-Jul</t>
    </r>
    <r>
      <rPr>
        <sz val="9"/>
        <rFont val="Adani Regular"/>
      </rPr>
      <t>, 03 Aug</t>
    </r>
  </si>
  <si>
    <r>
      <rPr>
        <strike/>
        <sz val="9"/>
        <rFont val="Adani Regular"/>
      </rPr>
      <t>09 Jul</t>
    </r>
    <r>
      <rPr>
        <sz val="9"/>
        <rFont val="Adani Regular"/>
      </rPr>
      <t xml:space="preserve">, </t>
    </r>
    <r>
      <rPr>
        <strike/>
        <sz val="9"/>
        <rFont val="Adani Regular"/>
      </rPr>
      <t>13 Jul</t>
    </r>
    <r>
      <rPr>
        <sz val="9"/>
        <rFont val="Adani Regular"/>
      </rPr>
      <t>,
19 Jul</t>
    </r>
  </si>
  <si>
    <r>
      <rPr>
        <strike/>
        <sz val="9"/>
        <rFont val="Adani Regular"/>
      </rPr>
      <t>13 Jul</t>
    </r>
    <r>
      <rPr>
        <sz val="9"/>
        <rFont val="Adani Regular"/>
      </rPr>
      <t>, 19Jul</t>
    </r>
  </si>
  <si>
    <r>
      <rPr>
        <strike/>
        <sz val="9"/>
        <rFont val="Adani Regular"/>
      </rPr>
      <t>07 Jul</t>
    </r>
    <r>
      <rPr>
        <sz val="9"/>
        <rFont val="Adani Regular"/>
      </rPr>
      <t xml:space="preserve">, </t>
    </r>
    <r>
      <rPr>
        <strike/>
        <sz val="9"/>
        <rFont val="Adani Regular"/>
      </rPr>
      <t>17 Jul</t>
    </r>
    <r>
      <rPr>
        <sz val="9"/>
        <rFont val="Adani Regular"/>
      </rPr>
      <t>,
28 Jul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</si>
  <si>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20 Jul</t>
    </r>
    <r>
      <rPr>
        <sz val="9"/>
        <rFont val="Adani Regular"/>
      </rPr>
      <t>,
30 Jul</t>
    </r>
  </si>
  <si>
    <r>
      <rPr>
        <strike/>
        <sz val="9"/>
        <rFont val="Adani Regular"/>
      </rPr>
      <t>20 Jul</t>
    </r>
    <r>
      <rPr>
        <sz val="9"/>
        <rFont val="Adani Regular"/>
      </rPr>
      <t>, 25Jul</t>
    </r>
  </si>
  <si>
    <r>
      <rPr>
        <strike/>
        <sz val="9"/>
        <rFont val="Adani Regular"/>
      </rPr>
      <t>22 Jul</t>
    </r>
    <r>
      <rPr>
        <sz val="9"/>
        <rFont val="Adani Regular"/>
      </rPr>
      <t>, 25Jul</t>
    </r>
  </si>
  <si>
    <r>
      <rPr>
        <strike/>
        <sz val="9"/>
        <rFont val="Adani Regular"/>
      </rPr>
      <t>10 Jul</t>
    </r>
    <r>
      <rPr>
        <sz val="9"/>
        <rFont val="Adani Regular"/>
      </rPr>
      <t xml:space="preserve">, </t>
    </r>
    <r>
      <rPr>
        <strike/>
        <sz val="9"/>
        <rFont val="Adani Regular"/>
      </rPr>
      <t>16 Jul</t>
    </r>
    <r>
      <rPr>
        <sz val="9"/>
        <rFont val="Adani Regular"/>
      </rPr>
      <t xml:space="preserve">,
</t>
    </r>
    <r>
      <rPr>
        <strike/>
        <sz val="9"/>
        <rFont val="Adani Regular"/>
      </rPr>
      <t>18 Jul</t>
    </r>
    <r>
      <rPr>
        <sz val="9"/>
        <rFont val="Adani Regular"/>
      </rPr>
      <t>, 01 Aug</t>
    </r>
  </si>
  <si>
    <r>
      <rPr>
        <strike/>
        <sz val="9"/>
        <rFont val="Adani Regular"/>
      </rPr>
      <t>11 Jul</t>
    </r>
    <r>
      <rPr>
        <sz val="9"/>
        <rFont val="Adani Regular"/>
      </rPr>
      <t xml:space="preserve">, </t>
    </r>
    <r>
      <rPr>
        <strike/>
        <sz val="9"/>
        <rFont val="Adani Regular"/>
      </rPr>
      <t>16 Jul</t>
    </r>
    <r>
      <rPr>
        <sz val="9"/>
        <rFont val="Adani Regular"/>
      </rPr>
      <t>,
23 Jul</t>
    </r>
  </si>
  <si>
    <r>
      <rPr>
        <strike/>
        <sz val="9"/>
        <rFont val="Adani Regular"/>
      </rPr>
      <t>15 Jul</t>
    </r>
    <r>
      <rPr>
        <sz val="9"/>
        <rFont val="Adani Regular"/>
      </rPr>
      <t xml:space="preserve">, </t>
    </r>
    <r>
      <rPr>
        <strike/>
        <sz val="9"/>
        <rFont val="Adani Regular"/>
      </rPr>
      <t>17 Jul</t>
    </r>
    <r>
      <rPr>
        <sz val="9"/>
        <rFont val="Adani Regular"/>
      </rPr>
      <t>,
25 Jul</t>
    </r>
  </si>
  <si>
    <r>
      <rPr>
        <strike/>
        <sz val="9"/>
        <rFont val="Adani Regular"/>
      </rPr>
      <t>20 Jul</t>
    </r>
    <r>
      <rPr>
        <sz val="9"/>
        <rFont val="Adani Regular"/>
      </rPr>
      <t>, 27 Jul</t>
    </r>
  </si>
  <si>
    <r>
      <rPr>
        <strike/>
        <sz val="9"/>
        <rFont val="Adani Regular"/>
      </rPr>
      <t>19 Jul</t>
    </r>
    <r>
      <rPr>
        <sz val="9"/>
        <rFont val="Adani Regular"/>
      </rPr>
      <t>, 27 Jul</t>
    </r>
  </si>
  <si>
    <r>
      <rPr>
        <strike/>
        <sz val="9"/>
        <rFont val="Adani Regular"/>
      </rPr>
      <t>24 Jul</t>
    </r>
    <r>
      <rPr>
        <sz val="9"/>
        <rFont val="Adani Regular"/>
      </rPr>
      <t>, 30 Jul</t>
    </r>
  </si>
  <si>
    <r>
      <rPr>
        <strike/>
        <sz val="9"/>
        <rFont val="Adani Regular"/>
      </rPr>
      <t>23 Jul</t>
    </r>
    <r>
      <rPr>
        <sz val="9"/>
        <rFont val="Adani Regular"/>
      </rPr>
      <t>, 30 Jul</t>
    </r>
  </si>
  <si>
    <r>
      <rPr>
        <strike/>
        <sz val="9"/>
        <rFont val="Adani Regular"/>
      </rPr>
      <t>28 Jul</t>
    </r>
    <r>
      <rPr>
        <sz val="9"/>
        <rFont val="Adani Regular"/>
      </rPr>
      <t>, 05 Aug</t>
    </r>
  </si>
  <si>
    <r>
      <rPr>
        <strike/>
        <sz val="9"/>
        <rFont val="Adani Regular"/>
      </rPr>
      <t>27 Jul</t>
    </r>
    <r>
      <rPr>
        <sz val="9"/>
        <rFont val="Adani Regular"/>
      </rPr>
      <t>, 07 Aug</t>
    </r>
  </si>
  <si>
    <r>
      <rPr>
        <strike/>
        <sz val="9"/>
        <rFont val="Adani Regular"/>
      </rPr>
      <t>01 Aug</t>
    </r>
    <r>
      <rPr>
        <sz val="9"/>
        <rFont val="Adani Regular"/>
      </rPr>
      <t>, 12 Aug</t>
    </r>
  </si>
  <si>
    <r>
      <rPr>
        <strike/>
        <sz val="9"/>
        <rFont val="Adani Regular"/>
      </rPr>
      <t>31 Jul</t>
    </r>
    <r>
      <rPr>
        <sz val="9"/>
        <rFont val="Adani Regular"/>
      </rPr>
      <t>, 15 Aug</t>
    </r>
  </si>
  <si>
    <r>
      <rPr>
        <strike/>
        <sz val="9"/>
        <rFont val="Adani Regular"/>
      </rPr>
      <t>05 Aug</t>
    </r>
    <r>
      <rPr>
        <sz val="9"/>
        <rFont val="Adani Regular"/>
      </rPr>
      <t>, 20 Aug</t>
    </r>
  </si>
  <si>
    <r>
      <rPr>
        <strike/>
        <sz val="9"/>
        <rFont val="Adani Regular"/>
      </rPr>
      <t>04 Jul</t>
    </r>
    <r>
      <rPr>
        <sz val="9"/>
        <rFont val="Adani Regular"/>
      </rPr>
      <t>, 20 Aug</t>
    </r>
  </si>
  <si>
    <r>
      <rPr>
        <strike/>
        <sz val="9"/>
        <rFont val="Adani Regular"/>
      </rPr>
      <t>09 Aug</t>
    </r>
    <r>
      <rPr>
        <sz val="9"/>
        <rFont val="Adani Regular"/>
      </rPr>
      <t>, 25 Aug</t>
    </r>
  </si>
  <si>
    <r>
      <rPr>
        <strike/>
        <sz val="9"/>
        <rFont val="Adani Regular"/>
      </rPr>
      <t>02 Jul</t>
    </r>
    <r>
      <rPr>
        <sz val="9"/>
        <rFont val="Adani Regular"/>
      </rPr>
      <t xml:space="preserve">, </t>
    </r>
    <r>
      <rPr>
        <strike/>
        <sz val="9"/>
        <rFont val="Adani Regular"/>
      </rPr>
      <t>06 Jul</t>
    </r>
    <r>
      <rPr>
        <sz val="9"/>
        <rFont val="Adani Regular"/>
      </rPr>
      <t xml:space="preserve">,
</t>
    </r>
    <r>
      <rPr>
        <strike/>
        <sz val="9"/>
        <rFont val="Adani Regular"/>
      </rPr>
      <t>15 Jul</t>
    </r>
    <r>
      <rPr>
        <sz val="9"/>
        <rFont val="Adani Regular"/>
      </rPr>
      <t>, 27 jul</t>
    </r>
  </si>
  <si>
    <r>
      <rPr>
        <strike/>
        <sz val="9"/>
        <rFont val="Adani Regular"/>
      </rPr>
      <t>09 Jul</t>
    </r>
    <r>
      <rPr>
        <sz val="9"/>
        <rFont val="Adani Regular"/>
      </rPr>
      <t xml:space="preserve">, </t>
    </r>
    <r>
      <rPr>
        <strike/>
        <sz val="9"/>
        <rFont val="Adani Regular"/>
      </rPr>
      <t>18 Jul</t>
    </r>
    <r>
      <rPr>
        <sz val="9"/>
        <rFont val="Adani Regular"/>
      </rPr>
      <t>,
30 Jul</t>
    </r>
  </si>
  <si>
    <r>
      <rPr>
        <strike/>
        <sz val="9"/>
        <rFont val="Adani Regular"/>
      </rPr>
      <t>15 Jul</t>
    </r>
    <r>
      <rPr>
        <sz val="9"/>
        <rFont val="Adani Regular"/>
      </rPr>
      <t>, 30 Jul</t>
    </r>
  </si>
  <si>
    <r>
      <rPr>
        <strike/>
        <sz val="9"/>
        <rFont val="Adani Regular"/>
      </rPr>
      <t>10 Jul</t>
    </r>
    <r>
      <rPr>
        <sz val="9"/>
        <rFont val="Adani Regular"/>
      </rPr>
      <t xml:space="preserve">, </t>
    </r>
    <r>
      <rPr>
        <strike/>
        <sz val="9"/>
        <rFont val="Adani Regular"/>
      </rPr>
      <t>15 Jul</t>
    </r>
    <r>
      <rPr>
        <sz val="9"/>
        <rFont val="Adani Regular"/>
      </rPr>
      <t>,
25 Jul</t>
    </r>
  </si>
  <si>
    <r>
      <rPr>
        <strike/>
        <sz val="9"/>
        <rFont val="Adani Regular"/>
      </rPr>
      <t>20 Jul</t>
    </r>
    <r>
      <rPr>
        <sz val="9"/>
        <rFont val="Adani Regular"/>
      </rPr>
      <t>, 26 Jul</t>
    </r>
  </si>
  <si>
    <r>
      <rPr>
        <strike/>
        <sz val="9"/>
        <rFont val="Adani Regular"/>
      </rPr>
      <t>22 Jul</t>
    </r>
    <r>
      <rPr>
        <sz val="9"/>
        <rFont val="Adani Regular"/>
      </rPr>
      <t>, 01 Aug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</si>
  <si>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13 Jul</t>
    </r>
    <r>
      <rPr>
        <sz val="9"/>
        <rFont val="Adani Regular"/>
      </rPr>
      <t>,
22 Jul</t>
    </r>
  </si>
  <si>
    <r>
      <rPr>
        <strike/>
        <sz val="9"/>
        <rFont val="Adani Regular"/>
      </rPr>
      <t>13 Jul</t>
    </r>
    <r>
      <rPr>
        <sz val="9"/>
        <rFont val="Adani Regular"/>
      </rPr>
      <t>, 30 Jul</t>
    </r>
  </si>
  <si>
    <r>
      <rPr>
        <strike/>
        <sz val="9"/>
        <rFont val="Adani Regular"/>
      </rPr>
      <t>20 Jul</t>
    </r>
    <r>
      <rPr>
        <sz val="9"/>
        <rFont val="Adani Regular"/>
      </rPr>
      <t>, 29 Jul</t>
    </r>
  </si>
  <si>
    <r>
      <rPr>
        <strike/>
        <sz val="9"/>
        <rFont val="Adani Regular"/>
      </rPr>
      <t>20 Jul</t>
    </r>
    <r>
      <rPr>
        <sz val="9"/>
        <rFont val="Adani Regular"/>
      </rPr>
      <t>, 30 Jul</t>
    </r>
  </si>
  <si>
    <r>
      <rPr>
        <strike/>
        <sz val="9"/>
        <rFont val="Adani Regular"/>
      </rPr>
      <t>16-Jul,</t>
    </r>
    <r>
      <rPr>
        <sz val="9"/>
        <rFont val="Adani Regular"/>
      </rPr>
      <t xml:space="preserve"> 03 Aug</t>
    </r>
  </si>
  <si>
    <r>
      <rPr>
        <strike/>
        <sz val="9"/>
        <rFont val="Adani Regular"/>
      </rPr>
      <t>23- Jul</t>
    </r>
    <r>
      <rPr>
        <sz val="9"/>
        <rFont val="Adani Regular"/>
      </rPr>
      <t>, 03 Aug</t>
    </r>
  </si>
  <si>
    <r>
      <rPr>
        <strike/>
        <sz val="9"/>
        <rFont val="Adani Regular"/>
      </rPr>
      <t>23 Jul</t>
    </r>
    <r>
      <rPr>
        <sz val="9"/>
        <rFont val="Adani Regular"/>
      </rPr>
      <t>, 03 Aug</t>
    </r>
  </si>
  <si>
    <r>
      <rPr>
        <strike/>
        <sz val="9"/>
        <rFont val="Adani Regular"/>
      </rPr>
      <t>23 Jul</t>
    </r>
    <r>
      <rPr>
        <sz val="9"/>
        <rFont val="Adani Regular"/>
      </rPr>
      <t>, 04 Aug</t>
    </r>
  </si>
  <si>
    <t>Glanding WIP.</t>
  </si>
  <si>
    <r>
      <rPr>
        <strike/>
        <sz val="9"/>
        <rFont val="Adani Regular"/>
      </rPr>
      <t>21 Jul</t>
    </r>
    <r>
      <rPr>
        <sz val="9"/>
        <rFont val="Adani Regular"/>
      </rPr>
      <t>, 26 Jul</t>
    </r>
  </si>
  <si>
    <r>
      <rPr>
        <strike/>
        <sz val="9"/>
        <rFont val="Adani Regular"/>
      </rPr>
      <t>26 Jul</t>
    </r>
    <r>
      <rPr>
        <sz val="9"/>
        <rFont val="Adani Regular"/>
      </rPr>
      <t>, 29 Jul</t>
    </r>
  </si>
  <si>
    <r>
      <rPr>
        <strike/>
        <sz val="9"/>
        <rFont val="Adani Regular"/>
      </rPr>
      <t>25 Jul</t>
    </r>
    <r>
      <rPr>
        <sz val="9"/>
        <rFont val="Adani Regular"/>
      </rPr>
      <t>, 05 Aug</t>
    </r>
  </si>
  <si>
    <r>
      <rPr>
        <strike/>
        <sz val="9"/>
        <rFont val="Adani Regular"/>
      </rPr>
      <t>30 Jul</t>
    </r>
    <r>
      <rPr>
        <sz val="9"/>
        <rFont val="Adani Regular"/>
      </rPr>
      <t>, 08 Aug</t>
    </r>
  </si>
  <si>
    <r>
      <rPr>
        <strike/>
        <sz val="9"/>
        <rFont val="Adani Regular"/>
      </rPr>
      <t>29 Jul</t>
    </r>
    <r>
      <rPr>
        <sz val="9"/>
        <rFont val="Adani Regular"/>
      </rPr>
      <t>, 08 Aug</t>
    </r>
  </si>
  <si>
    <r>
      <rPr>
        <strike/>
        <sz val="9"/>
        <rFont val="Adani Regular"/>
      </rPr>
      <t>03 Aug</t>
    </r>
    <r>
      <rPr>
        <sz val="9"/>
        <rFont val="Adani Regular"/>
      </rPr>
      <t>, 11 Aug</t>
    </r>
  </si>
  <si>
    <r>
      <rPr>
        <strike/>
        <sz val="9"/>
        <rFont val="Adani Regular"/>
      </rPr>
      <t>02 Aug</t>
    </r>
    <r>
      <rPr>
        <sz val="9"/>
        <rFont val="Adani Regular"/>
      </rPr>
      <t>, 11 Aug</t>
    </r>
  </si>
  <si>
    <r>
      <rPr>
        <strike/>
        <sz val="9"/>
        <rFont val="Adani Regular"/>
      </rPr>
      <t>07 Aug</t>
    </r>
    <r>
      <rPr>
        <sz val="9"/>
        <rFont val="Adani Regular"/>
      </rPr>
      <t>, 15Aug</t>
    </r>
  </si>
  <si>
    <r>
      <rPr>
        <strike/>
        <sz val="9"/>
        <rFont val="Adani Regular"/>
      </rPr>
      <t>27 Jul</t>
    </r>
    <r>
      <rPr>
        <sz val="9"/>
        <rFont val="Adani Regular"/>
      </rPr>
      <t>, 02 Aug</t>
    </r>
  </si>
  <si>
    <r>
      <rPr>
        <strike/>
        <sz val="9"/>
        <rFont val="Adani Regular"/>
      </rPr>
      <t>31 Jul</t>
    </r>
    <r>
      <rPr>
        <sz val="9"/>
        <rFont val="Adani Regular"/>
      </rPr>
      <t>, 05 Aug</t>
    </r>
  </si>
  <si>
    <r>
      <rPr>
        <strike/>
        <sz val="9"/>
        <rFont val="Adani Regular"/>
      </rPr>
      <t>20 Jul</t>
    </r>
    <r>
      <rPr>
        <sz val="9"/>
        <rFont val="Adani Regular"/>
      </rPr>
      <t>, 03 Aug</t>
    </r>
  </si>
  <si>
    <r>
      <rPr>
        <strike/>
        <sz val="9"/>
        <rFont val="Adani Regular"/>
      </rPr>
      <t>20 Jul</t>
    </r>
    <r>
      <rPr>
        <sz val="9"/>
        <rFont val="Adani Regular"/>
      </rPr>
      <t>, 06 Aug</t>
    </r>
  </si>
  <si>
    <r>
      <rPr>
        <strike/>
        <sz val="9"/>
        <rFont val="Adani Regular"/>
      </rPr>
      <t>25 Jul</t>
    </r>
    <r>
      <rPr>
        <sz val="9"/>
        <rFont val="Adani Regular"/>
      </rPr>
      <t>, 03 Aug</t>
    </r>
  </si>
  <si>
    <r>
      <rPr>
        <strike/>
        <sz val="9"/>
        <rFont val="Adani Regular"/>
      </rPr>
      <t>25 Jul</t>
    </r>
    <r>
      <rPr>
        <sz val="9"/>
        <rFont val="Adani Regular"/>
      </rPr>
      <t>, 06 Aug</t>
    </r>
  </si>
  <si>
    <r>
      <rPr>
        <strike/>
        <sz val="9"/>
        <rFont val="Adani Regular"/>
      </rPr>
      <t>17 Jul</t>
    </r>
    <r>
      <rPr>
        <sz val="9"/>
        <rFont val="Adani Regular"/>
      </rPr>
      <t>, 21 Jul</t>
    </r>
  </si>
  <si>
    <r>
      <rPr>
        <strike/>
        <sz val="9"/>
        <rFont val="Adani Regular"/>
      </rPr>
      <t>19 Jul</t>
    </r>
    <r>
      <rPr>
        <sz val="9"/>
        <rFont val="Adani Regular"/>
      </rPr>
      <t>, 22 Jul</t>
    </r>
  </si>
  <si>
    <r>
      <rPr>
        <strike/>
        <sz val="9"/>
        <rFont val="Adani Regular"/>
      </rPr>
      <t>25 Jul</t>
    </r>
    <r>
      <rPr>
        <sz val="9"/>
        <rFont val="Adani Regular"/>
      </rPr>
      <t>, 28 Jul</t>
    </r>
  </si>
  <si>
    <r>
      <rPr>
        <strike/>
        <sz val="9"/>
        <rFont val="Adani Regular"/>
      </rPr>
      <t>23 Jul</t>
    </r>
    <r>
      <rPr>
        <sz val="9"/>
        <rFont val="Adani Regular"/>
      </rPr>
      <t>, 27 Jul</t>
    </r>
  </si>
  <si>
    <r>
      <rPr>
        <strike/>
        <sz val="9"/>
        <rFont val="Adani Regular"/>
      </rPr>
      <t>03 Aug</t>
    </r>
    <r>
      <rPr>
        <sz val="9"/>
        <rFont val="Adani Regular"/>
      </rPr>
      <t>, 06 Aug</t>
    </r>
  </si>
  <si>
    <r>
      <rPr>
        <strike/>
        <sz val="9"/>
        <rFont val="Adani Regular"/>
      </rPr>
      <t>01 Aug</t>
    </r>
    <r>
      <rPr>
        <sz val="9"/>
        <rFont val="Adani Regular"/>
      </rPr>
      <t>, 05 Aug</t>
    </r>
  </si>
  <si>
    <r>
      <rPr>
        <strike/>
        <sz val="9"/>
        <rFont val="Adani Regular"/>
      </rPr>
      <t>06 Aug</t>
    </r>
    <r>
      <rPr>
        <sz val="9"/>
        <rFont val="Adani Regular"/>
      </rPr>
      <t>, 09 Aug</t>
    </r>
  </si>
  <si>
    <r>
      <rPr>
        <strike/>
        <sz val="9"/>
        <rFont val="Adani Regular"/>
      </rPr>
      <t>04 Aug</t>
    </r>
    <r>
      <rPr>
        <sz val="9"/>
        <rFont val="Adani Regular"/>
      </rPr>
      <t>, 08 Aug</t>
    </r>
  </si>
  <si>
    <r>
      <rPr>
        <strike/>
        <sz val="9"/>
        <rFont val="Adani Regular"/>
      </rPr>
      <t>09 Aug</t>
    </r>
    <r>
      <rPr>
        <sz val="9"/>
        <rFont val="Adani Regular"/>
      </rPr>
      <t>, 20 Aug</t>
    </r>
  </si>
  <si>
    <r>
      <rPr>
        <strike/>
        <sz val="9"/>
        <rFont val="Adani Regular"/>
      </rPr>
      <t>15 Aug</t>
    </r>
    <r>
      <rPr>
        <sz val="9"/>
        <rFont val="Adani Regular"/>
      </rPr>
      <t>, 20 Aug</t>
    </r>
  </si>
  <si>
    <r>
      <rPr>
        <strike/>
        <sz val="9"/>
        <rFont val="Adani Regular"/>
      </rPr>
      <t>19-Jul,</t>
    </r>
    <r>
      <rPr>
        <sz val="9"/>
        <rFont val="Adani Regular"/>
        <family val="2"/>
      </rPr>
      <t xml:space="preserve"> 30 Jul</t>
    </r>
  </si>
  <si>
    <r>
      <rPr>
        <strike/>
        <sz val="9"/>
        <rFont val="Adani Regular"/>
      </rPr>
      <t>11-Jul,</t>
    </r>
    <r>
      <rPr>
        <sz val="9"/>
        <rFont val="Adani Regular"/>
        <family val="2"/>
      </rPr>
      <t xml:space="preserve"> 25 Jul</t>
    </r>
  </si>
  <si>
    <r>
      <rPr>
        <strike/>
        <sz val="9"/>
        <rFont val="Adani Regular"/>
      </rPr>
      <t xml:space="preserve">11-Jul, </t>
    </r>
    <r>
      <rPr>
        <sz val="9"/>
        <rFont val="Adani Regular"/>
        <family val="2"/>
      </rPr>
      <t>25 Jul</t>
    </r>
  </si>
  <si>
    <r>
      <rPr>
        <strike/>
        <sz val="9"/>
        <rFont val="Adani Regular"/>
      </rPr>
      <t>11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17 Jul</t>
    </r>
    <r>
      <rPr>
        <sz val="9"/>
        <rFont val="Adani Regular"/>
        <family val="2"/>
      </rPr>
      <t>, 
25 Jul</t>
    </r>
  </si>
  <si>
    <r>
      <rPr>
        <strike/>
        <sz val="9"/>
        <rFont val="Adani Regular"/>
      </rPr>
      <t>23-Jul</t>
    </r>
    <r>
      <rPr>
        <sz val="9"/>
        <rFont val="Adani Regular"/>
        <family val="2"/>
      </rPr>
      <t>, 30 Jul</t>
    </r>
  </si>
  <si>
    <r>
      <rPr>
        <strike/>
        <sz val="9"/>
        <rFont val="Adani Regular"/>
      </rPr>
      <t>14 Aug</t>
    </r>
    <r>
      <rPr>
        <sz val="9"/>
        <rFont val="Adani Regular"/>
      </rPr>
      <t>, 21 Aug</t>
    </r>
  </si>
  <si>
    <r>
      <rPr>
        <strike/>
        <sz val="9"/>
        <rFont val="Adani Regular"/>
      </rPr>
      <t>24 Aug</t>
    </r>
    <r>
      <rPr>
        <sz val="9"/>
        <rFont val="Adani Regular"/>
      </rPr>
      <t>, 27 Aug</t>
    </r>
  </si>
  <si>
    <r>
      <rPr>
        <strike/>
        <sz val="9"/>
        <rFont val="Adani Regular"/>
      </rPr>
      <t>26 Aug</t>
    </r>
    <r>
      <rPr>
        <sz val="9"/>
        <rFont val="Adani Regular"/>
      </rPr>
      <t>, 29 Aug</t>
    </r>
  </si>
  <si>
    <r>
      <rPr>
        <strike/>
        <sz val="9"/>
        <rFont val="Adani Regular"/>
      </rPr>
      <t>27 Aug</t>
    </r>
    <r>
      <rPr>
        <sz val="9"/>
        <rFont val="Adani Regular"/>
      </rPr>
      <t>, 31 Aug</t>
    </r>
  </si>
  <si>
    <r>
      <rPr>
        <strike/>
        <sz val="9"/>
        <rFont val="Adani Regular"/>
      </rPr>
      <t>29-Jul,</t>
    </r>
    <r>
      <rPr>
        <sz val="9"/>
        <rFont val="Adani Regular"/>
        <family val="2"/>
      </rPr>
      <t xml:space="preserve"> 31 Jul</t>
    </r>
  </si>
  <si>
    <r>
      <rPr>
        <strike/>
        <sz val="9"/>
        <rFont val="Adani Regular"/>
      </rPr>
      <t xml:space="preserve">27-Jul, </t>
    </r>
    <r>
      <rPr>
        <sz val="9"/>
        <rFont val="Adani Regular"/>
        <family val="2"/>
      </rPr>
      <t>05 Aug</t>
    </r>
  </si>
  <si>
    <r>
      <rPr>
        <strike/>
        <sz val="9"/>
        <rFont val="Adani Regular"/>
      </rPr>
      <t>25-Jul,</t>
    </r>
    <r>
      <rPr>
        <sz val="9"/>
        <rFont val="Adani Regular"/>
        <family val="2"/>
      </rPr>
      <t xml:space="preserve"> 28 Jul</t>
    </r>
  </si>
  <si>
    <r>
      <rPr>
        <strike/>
        <sz val="9"/>
        <rFont val="Adani Regular"/>
      </rPr>
      <t>25-Jul,</t>
    </r>
    <r>
      <rPr>
        <sz val="9"/>
        <rFont val="Adani Regular"/>
        <family val="2"/>
      </rPr>
      <t xml:space="preserve"> 02 Aug</t>
    </r>
  </si>
  <si>
    <r>
      <rPr>
        <strike/>
        <sz val="9"/>
        <rFont val="Adani Regular"/>
      </rPr>
      <t>29-Jul,</t>
    </r>
    <r>
      <rPr>
        <sz val="9"/>
        <rFont val="Adani Regular"/>
        <family val="2"/>
      </rPr>
      <t xml:space="preserve"> 03 Aug</t>
    </r>
  </si>
  <si>
    <r>
      <rPr>
        <strike/>
        <sz val="9"/>
        <rFont val="Adani Regular"/>
      </rPr>
      <t>29-Jul</t>
    </r>
    <r>
      <rPr>
        <sz val="9"/>
        <rFont val="Adani Regular"/>
        <family val="2"/>
      </rPr>
      <t>, 03 Aug</t>
    </r>
  </si>
  <si>
    <r>
      <rPr>
        <strike/>
        <sz val="9"/>
        <rFont val="Adani Regular"/>
      </rPr>
      <t>29-Jul,</t>
    </r>
    <r>
      <rPr>
        <sz val="9"/>
        <rFont val="Adani Regular"/>
        <family val="2"/>
      </rPr>
      <t xml:space="preserve"> 01 Aug</t>
    </r>
  </si>
  <si>
    <r>
      <rPr>
        <strike/>
        <sz val="9"/>
        <rFont val="Adani Regular"/>
      </rPr>
      <t>19-Jul,</t>
    </r>
    <r>
      <rPr>
        <sz val="9"/>
        <rFont val="Adani Regular"/>
        <family val="2"/>
      </rPr>
      <t xml:space="preserve"> 31 Jul</t>
    </r>
  </si>
  <si>
    <r>
      <rPr>
        <strike/>
        <sz val="9"/>
        <rFont val="Adani Regular"/>
      </rPr>
      <t>19-Jul,</t>
    </r>
    <r>
      <rPr>
        <sz val="9"/>
        <rFont val="Adani Regular"/>
        <family val="2"/>
      </rPr>
      <t xml:space="preserve"> 29 Jul</t>
    </r>
  </si>
  <si>
    <r>
      <rPr>
        <strike/>
        <sz val="9"/>
        <rFont val="Adani Regular"/>
      </rPr>
      <t>09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22 Jul,</t>
    </r>
    <r>
      <rPr>
        <sz val="9"/>
        <rFont val="Adani Regular"/>
        <family val="2"/>
      </rPr>
      <t xml:space="preserve">
 30 Jul</t>
    </r>
  </si>
  <si>
    <r>
      <rPr>
        <strike/>
        <sz val="9"/>
        <rFont val="Adani Regular"/>
      </rPr>
      <t>19 Jul</t>
    </r>
    <r>
      <rPr>
        <sz val="9"/>
        <rFont val="Adani Regular"/>
      </rPr>
      <t>, 25 Jul</t>
    </r>
  </si>
  <si>
    <r>
      <rPr>
        <strike/>
        <sz val="9"/>
        <rFont val="Adani Regular"/>
      </rPr>
      <t>22 Aug</t>
    </r>
    <r>
      <rPr>
        <sz val="9"/>
        <rFont val="Adani Regular"/>
      </rPr>
      <t>, 24 Aug</t>
    </r>
  </si>
  <si>
    <r>
      <rPr>
        <strike/>
        <sz val="9"/>
        <rFont val="Adani Regular"/>
      </rPr>
      <t>24 Aug</t>
    </r>
    <r>
      <rPr>
        <sz val="9"/>
        <rFont val="Adani Regular"/>
      </rPr>
      <t>, 26 Aug</t>
    </r>
  </si>
  <si>
    <r>
      <rPr>
        <strike/>
        <sz val="9"/>
        <rFont val="Adani Regular"/>
      </rPr>
      <t>12 Aug</t>
    </r>
    <r>
      <rPr>
        <sz val="9"/>
        <rFont val="Adani Regular"/>
      </rPr>
      <t>, 21 Aug</t>
    </r>
  </si>
  <si>
    <r>
      <rPr>
        <strike/>
        <sz val="9"/>
        <rFont val="Adani Regular"/>
      </rPr>
      <t>26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02 Aug,</t>
    </r>
    <r>
      <rPr>
        <sz val="9"/>
        <rFont val="Adani Regular"/>
        <family val="2"/>
      </rPr>
      <t xml:space="preserve"> 
05 Aug</t>
    </r>
  </si>
  <si>
    <r>
      <rPr>
        <strike/>
        <sz val="9"/>
        <rFont val="Adani Regular"/>
      </rPr>
      <t>07-Aug,</t>
    </r>
    <r>
      <rPr>
        <sz val="9"/>
        <rFont val="Adani Regular"/>
        <family val="2"/>
      </rPr>
      <t xml:space="preserve"> 20 Aug</t>
    </r>
  </si>
  <si>
    <r>
      <rPr>
        <strike/>
        <sz val="9"/>
        <rFont val="Adani Regular"/>
      </rPr>
      <t>28-Jul,</t>
    </r>
    <r>
      <rPr>
        <sz val="9"/>
        <rFont val="Adani Regular"/>
        <family val="2"/>
      </rPr>
      <t xml:space="preserve"> 13 Aug</t>
    </r>
  </si>
  <si>
    <r>
      <rPr>
        <strike/>
        <sz val="9"/>
        <rFont val="Adani Regular"/>
      </rPr>
      <t>03-Aug,</t>
    </r>
    <r>
      <rPr>
        <sz val="9"/>
        <rFont val="Adani Regular"/>
        <family val="2"/>
      </rPr>
      <t xml:space="preserve"> 12 Aug</t>
    </r>
  </si>
  <si>
    <r>
      <rPr>
        <strike/>
        <sz val="9"/>
        <rFont val="Adani Regular"/>
      </rPr>
      <t>28-Jul</t>
    </r>
    <r>
      <rPr>
        <sz val="9"/>
        <rFont val="Adani Regular"/>
        <family val="2"/>
      </rPr>
      <t>, 08 Aug</t>
    </r>
  </si>
  <si>
    <r>
      <rPr>
        <strike/>
        <sz val="9"/>
        <rFont val="Adani Regular"/>
      </rPr>
      <t>12-Aug,</t>
    </r>
    <r>
      <rPr>
        <sz val="9"/>
        <rFont val="Adani Regular"/>
        <family val="2"/>
      </rPr>
      <t xml:space="preserve"> 23 Aug</t>
    </r>
  </si>
  <si>
    <r>
      <rPr>
        <strike/>
        <sz val="9"/>
        <rFont val="Adani Regular"/>
      </rPr>
      <t>12-Aug</t>
    </r>
    <r>
      <rPr>
        <sz val="9"/>
        <rFont val="Adani Regular"/>
        <family val="2"/>
      </rPr>
      <t>, 23 Aug</t>
    </r>
  </si>
  <si>
    <r>
      <rPr>
        <strike/>
        <sz val="9"/>
        <rFont val="Adani Regular"/>
      </rPr>
      <t>02-Aug,</t>
    </r>
    <r>
      <rPr>
        <sz val="9"/>
        <rFont val="Adani Regular"/>
        <family val="2"/>
      </rPr>
      <t xml:space="preserve"> 20 Aug</t>
    </r>
  </si>
  <si>
    <r>
      <rPr>
        <strike/>
        <sz val="9"/>
        <rFont val="Adani Regular"/>
      </rPr>
      <t xml:space="preserve">08-Aug, </t>
    </r>
    <r>
      <rPr>
        <sz val="9"/>
        <rFont val="Adani Regular"/>
        <family val="2"/>
      </rPr>
      <t>20 Aug</t>
    </r>
  </si>
  <si>
    <r>
      <rPr>
        <strike/>
        <sz val="9"/>
        <rFont val="Adani Regular"/>
      </rPr>
      <t>02-Aug,</t>
    </r>
    <r>
      <rPr>
        <sz val="9"/>
        <rFont val="Adani Regular"/>
        <family val="2"/>
      </rPr>
      <t xml:space="preserve"> 15 Aug</t>
    </r>
  </si>
  <si>
    <t>Lugging WIP, Sleev &amp; Torquing WIP (512 nos torquing completed)</t>
  </si>
  <si>
    <t>Lugging completed, Sleev &amp; Torquing WIP (384 nos torquing completed)</t>
  </si>
  <si>
    <t>Pratibha:
Available manpower - 36 nos
Avg. required manpower - 122 nos</t>
  </si>
  <si>
    <t>Pratibha:
Available manpower - 52 nos
Avg. required manpower - 121 nos</t>
  </si>
  <si>
    <t>Pratibha:
Available manpower - 70 nos
Avg. required manpower - 122 nos</t>
  </si>
  <si>
    <t>Pratibha:
Available manpower - 95 nos
Avg. required manpower - 115 nos</t>
  </si>
  <si>
    <t>Lugging complete, Torquing will be done post VLT test.</t>
  </si>
  <si>
    <t>Container welding with foundation WIP</t>
  </si>
  <si>
    <t>Testing to be completed by 28 july.</t>
  </si>
  <si>
    <t>Testing to be completed by 06 Aug.</t>
  </si>
  <si>
    <t>Testing to be completed by 09 Aug.</t>
  </si>
  <si>
    <r>
      <t xml:space="preserve">* Min. 80 termination team required for DC &amp; LT Cable termination with crimping tool (Each team required at least 01 skilled technician with 01 helper) -  (Common For PSS)
Available - 4 Teams (4 Skilled &amp; 8 Helpers) for HT Cable Termination, 10 (10 Skilled &amp; 15 Helpers) Teams for Aux. Cable termination &amp; 35  Teams (75 Technician) for DC &amp; LT Cable termination at site. (Spread Across 4 Blocks)
Total Machinery - crimping tool: 50, cable jack: 07, welding machine: 10, Farana: 04, JCB: 07 available at site (Common for PSS)
</t>
    </r>
    <r>
      <rPr>
        <sz val="10"/>
        <color rgb="FF0070C0"/>
        <rFont val="Adani Regular"/>
      </rPr>
      <t xml:space="preserve">Testing to be completed by </t>
    </r>
    <r>
      <rPr>
        <strike/>
        <sz val="10"/>
        <color rgb="FF0070C0"/>
        <rFont val="Adani Regular"/>
      </rPr>
      <t>21 Jul</t>
    </r>
    <r>
      <rPr>
        <sz val="10"/>
        <color rgb="FF0070C0"/>
        <rFont val="Adani Regular"/>
      </rPr>
      <t xml:space="preserve">, 24 Jul
.
Required Testing Team (6 Skilled &amp; 12 Unskilled) (Common for PSS)
</t>
    </r>
    <r>
      <rPr>
        <sz val="10"/>
        <color theme="1"/>
        <rFont val="Adani Regular"/>
        <family val="2"/>
      </rPr>
      <t xml:space="preserve">
Testing kits :
</t>
    </r>
    <r>
      <rPr>
        <sz val="10"/>
        <color rgb="FF0070C0"/>
        <rFont val="Adani Regular"/>
      </rPr>
      <t xml:space="preserve">Oil Filteration, Online PPM Meter, SFRA &amp; Tan Delta, DC Winding Resistance, Turn Ratio meter, routine test kit (common for 1 PSS)
ERT, DC High POT, (common for 1 PSS)
VLF kit (1 nos),
IR Tester, Multimeter &amp; Clamp Meter (atleast 3 per PSS)
Breaker CRM &amp; Timing, Vaccum Bottle Integrity  (common for 1 PSS),
CT Analyzer (2 nos),
Relay Testing Kit, CT Primary Injection (3-Phase), PT Stability (3-Phase), Impedence meter (Common for 1 PSS)
</t>
    </r>
    <r>
      <rPr>
        <sz val="10"/>
        <color theme="1"/>
        <rFont val="Adani Regular"/>
        <family val="2"/>
      </rPr>
      <t xml:space="preserve">
</t>
    </r>
  </si>
  <si>
    <r>
      <t xml:space="preserve">* Min. 60 termination teams required for DC &amp; LT Cable termination with 
crimping tool (Each team required at least 01 skilled technician with 01 helper) Common for PSS
Available - 26 teams (52 Technician) of DC &amp; LT Cable Termination &amp; 2 HT Cable Termination Teams
Machinery - Crimping tool: 60, Cable jack: 06, JCB: 06, Excavator: 01, Farana: 06, DG: 08, Welding machine: 10 (Common For PSS)
</t>
    </r>
    <r>
      <rPr>
        <sz val="10"/>
        <color rgb="FF0070C0"/>
        <rFont val="Adani Regular"/>
      </rPr>
      <t xml:space="preserve">Testing To be Completed by </t>
    </r>
    <r>
      <rPr>
        <strike/>
        <sz val="10"/>
        <color rgb="FF0070C0"/>
        <rFont val="Adani Regular"/>
      </rPr>
      <t>19 Jul</t>
    </r>
    <r>
      <rPr>
        <sz val="10"/>
        <color rgb="FF0070C0"/>
        <rFont val="Adani Regular"/>
      </rPr>
      <t>, 22 july.</t>
    </r>
    <r>
      <rPr>
        <sz val="10"/>
        <color theme="1"/>
        <rFont val="Adani Regular"/>
        <family val="2"/>
      </rPr>
      <t xml:space="preserve">
</t>
    </r>
    <r>
      <rPr>
        <sz val="10"/>
        <color rgb="FF0070C0"/>
        <rFont val="Adani Regular"/>
      </rPr>
      <t>Required Testing Team (6 Skilled &amp; 12 Unskilled)  (Common For PSS)</t>
    </r>
    <r>
      <rPr>
        <sz val="10"/>
        <color theme="1"/>
        <rFont val="Adani Regular"/>
        <family val="2"/>
      </rPr>
      <t xml:space="preserve">
Testing kits : 
</t>
    </r>
    <r>
      <rPr>
        <sz val="10"/>
        <color rgb="FF0070C0"/>
        <rFont val="Adani Regular"/>
      </rPr>
      <t xml:space="preserve">Oil Filteration, Online PPM Meter, SFRA &amp; Tan Delta, DC Winding Resistance, Turn Ratio meter, routine test kit (common for 1 PSS)
ERT, DC High POT, (common for 1 PSS)
VLF kit (1 nos),
IR Tester, Multimeter &amp; Clamp Meter (atleast 3 per PSS)
Breaker CRM &amp; Timing, Vaccum Bottle Integrity  (common for 1 PSS),
CT Analyzer (2 nos),
Relay Testing Kit, CT Primary Injection (3-Phase), PT Stability (3-Phase), Impedence meter (Common for 1 PSS)
</t>
    </r>
  </si>
  <si>
    <r>
      <rPr>
        <sz val="10"/>
        <color rgb="FF00B050"/>
        <rFont val="Adani Regular"/>
      </rPr>
      <t>Breaker test completed</t>
    </r>
    <r>
      <rPr>
        <sz val="10"/>
        <color theme="1"/>
        <rFont val="Adani Regular"/>
        <family val="2"/>
      </rPr>
      <t>, reamining CT, PT &amp; meter test WIP</t>
    </r>
  </si>
  <si>
    <r>
      <rPr>
        <strike/>
        <sz val="10"/>
        <color theme="1"/>
        <rFont val="Adani Regular"/>
      </rPr>
      <t>13 Jul</t>
    </r>
    <r>
      <rPr>
        <sz val="10"/>
        <color theme="1"/>
        <rFont val="Adani Regular"/>
        <family val="2"/>
      </rPr>
      <t>,
20 Jul</t>
    </r>
  </si>
  <si>
    <r>
      <rPr>
        <strike/>
        <sz val="10"/>
        <color theme="1"/>
        <rFont val="Adani Regular"/>
      </rPr>
      <t>16 Jul</t>
    </r>
    <r>
      <rPr>
        <sz val="10"/>
        <color theme="1"/>
        <rFont val="Adani Regular"/>
        <family val="2"/>
      </rPr>
      <t>,
23 Jul</t>
    </r>
  </si>
  <si>
    <r>
      <rPr>
        <strike/>
        <sz val="10"/>
        <color theme="1"/>
        <rFont val="Adani Regular"/>
      </rPr>
      <t>04 Aug</t>
    </r>
    <r>
      <rPr>
        <sz val="10"/>
        <color theme="1"/>
        <rFont val="Adani Regular"/>
        <family val="2"/>
      </rPr>
      <t>,
15 Aug</t>
    </r>
  </si>
  <si>
    <r>
      <rPr>
        <strike/>
        <sz val="10"/>
        <color theme="1"/>
        <rFont val="Adani Regular"/>
      </rPr>
      <t>09 Aug</t>
    </r>
    <r>
      <rPr>
        <sz val="10"/>
        <color theme="1"/>
        <rFont val="Adani Regular"/>
        <family val="2"/>
      </rPr>
      <t>,
16 Aug</t>
    </r>
  </si>
  <si>
    <r>
      <rPr>
        <strike/>
        <sz val="10"/>
        <color theme="1"/>
        <rFont val="Adani Regular"/>
      </rPr>
      <t>19 Aug</t>
    </r>
    <r>
      <rPr>
        <sz val="10"/>
        <color theme="1"/>
        <rFont val="Adani Regular"/>
        <family val="2"/>
      </rPr>
      <t>,
22 Aug</t>
    </r>
  </si>
  <si>
    <r>
      <rPr>
        <strike/>
        <sz val="10"/>
        <color theme="1"/>
        <rFont val="Adani Regular"/>
      </rPr>
      <t>21 Aug</t>
    </r>
    <r>
      <rPr>
        <sz val="10"/>
        <color theme="1"/>
        <rFont val="Adani Regular"/>
        <family val="2"/>
      </rPr>
      <t>,
24 Aug</t>
    </r>
  </si>
  <si>
    <r>
      <rPr>
        <strike/>
        <sz val="10"/>
        <color theme="1"/>
        <rFont val="Adani Regular"/>
      </rPr>
      <t>22 Aug</t>
    </r>
    <r>
      <rPr>
        <sz val="10"/>
        <color theme="1"/>
        <rFont val="Adani Regular"/>
        <family val="2"/>
      </rPr>
      <t>,
26 Aug</t>
    </r>
  </si>
  <si>
    <t xml:space="preserve">
18 Jul</t>
  </si>
  <si>
    <t xml:space="preserve">
20 Jul</t>
  </si>
  <si>
    <r>
      <rPr>
        <strike/>
        <sz val="10"/>
        <color rgb="FF00B050"/>
        <rFont val="Adani Regular"/>
      </rPr>
      <t>13 Jul</t>
    </r>
    <r>
      <rPr>
        <sz val="10"/>
        <color rgb="FF00B050"/>
        <rFont val="Adani Regular"/>
      </rPr>
      <t xml:space="preserve">,
</t>
    </r>
    <r>
      <rPr>
        <strike/>
        <sz val="10"/>
        <color rgb="FF00B050"/>
        <rFont val="Adani Regular"/>
      </rPr>
      <t>20 Jul</t>
    </r>
    <r>
      <rPr>
        <sz val="10"/>
        <color rgb="FF00B050"/>
        <rFont val="Adani Regular"/>
      </rPr>
      <t xml:space="preserve">
21 Jul</t>
    </r>
  </si>
  <si>
    <r>
      <rPr>
        <strike/>
        <sz val="10"/>
        <color rgb="FF00B050"/>
        <rFont val="Adani Regular"/>
      </rPr>
      <t>13 Jul</t>
    </r>
    <r>
      <rPr>
        <sz val="10"/>
        <color rgb="FF00B050"/>
        <rFont val="Adani Regular"/>
      </rPr>
      <t xml:space="preserve">
</t>
    </r>
    <r>
      <rPr>
        <strike/>
        <sz val="10"/>
        <color rgb="FF00B050"/>
        <rFont val="Adani Regular"/>
      </rPr>
      <t>20 Jul</t>
    </r>
    <r>
      <rPr>
        <sz val="10"/>
        <color rgb="FF00B050"/>
        <rFont val="Adani Regular"/>
      </rPr>
      <t xml:space="preserve">
22 Jul</t>
    </r>
  </si>
  <si>
    <r>
      <rPr>
        <strike/>
        <sz val="10"/>
        <color rgb="FF00B050"/>
        <rFont val="Adani Regular"/>
      </rPr>
      <t>14 Jul</t>
    </r>
    <r>
      <rPr>
        <sz val="10"/>
        <color rgb="FF00B050"/>
        <rFont val="Adani Regular"/>
      </rPr>
      <t xml:space="preserve">
</t>
    </r>
    <r>
      <rPr>
        <strike/>
        <sz val="10"/>
        <color rgb="FF00B050"/>
        <rFont val="Adani Regular"/>
      </rPr>
      <t>21 Jul</t>
    </r>
    <r>
      <rPr>
        <sz val="10"/>
        <color rgb="FF00B050"/>
        <rFont val="Adani Regular"/>
      </rPr>
      <t xml:space="preserve">
24 Jul</t>
    </r>
  </si>
  <si>
    <r>
      <rPr>
        <strike/>
        <sz val="10"/>
        <color rgb="FF00B050"/>
        <rFont val="Adani Regular"/>
      </rPr>
      <t>12 Jul</t>
    </r>
    <r>
      <rPr>
        <sz val="10"/>
        <color rgb="FF00B050"/>
        <rFont val="Adani Regular"/>
      </rPr>
      <t xml:space="preserve">
</t>
    </r>
    <r>
      <rPr>
        <strike/>
        <sz val="10"/>
        <color rgb="FF00B050"/>
        <rFont val="Adani Regular"/>
      </rPr>
      <t>19 Jul</t>
    </r>
    <r>
      <rPr>
        <sz val="10"/>
        <color rgb="FF00B050"/>
        <rFont val="Adani Regular"/>
      </rPr>
      <t xml:space="preserve">
21 Jul</t>
    </r>
  </si>
  <si>
    <r>
      <rPr>
        <strike/>
        <sz val="10"/>
        <color theme="1"/>
        <rFont val="Adani Regular"/>
      </rPr>
      <t>18 Jul</t>
    </r>
    <r>
      <rPr>
        <sz val="10"/>
        <color theme="1"/>
        <rFont val="Adani Regular"/>
        <family val="2"/>
      </rPr>
      <t xml:space="preserve">
</t>
    </r>
    <r>
      <rPr>
        <strike/>
        <sz val="10"/>
        <color theme="1"/>
        <rFont val="Adani Regular"/>
      </rPr>
      <t>25 Jul</t>
    </r>
    <r>
      <rPr>
        <sz val="10"/>
        <color theme="1"/>
        <rFont val="Adani Regular"/>
      </rPr>
      <t xml:space="preserve">
27 Jul</t>
    </r>
  </si>
  <si>
    <r>
      <rPr>
        <strike/>
        <sz val="10"/>
        <color theme="1"/>
        <rFont val="Adani Regular"/>
      </rPr>
      <t>28 Aug</t>
    </r>
    <r>
      <rPr>
        <sz val="10"/>
        <color theme="1"/>
        <rFont val="Adani Regular"/>
        <family val="2"/>
      </rPr>
      <t xml:space="preserve">
14 Sep</t>
    </r>
  </si>
  <si>
    <r>
      <rPr>
        <strike/>
        <sz val="10"/>
        <color theme="1"/>
        <rFont val="Adani Regular"/>
      </rPr>
      <t>02 Sep</t>
    </r>
    <r>
      <rPr>
        <sz val="10"/>
        <color theme="1"/>
        <rFont val="Adani Regular"/>
        <family val="2"/>
      </rPr>
      <t xml:space="preserve">
19 Sep</t>
    </r>
  </si>
  <si>
    <r>
      <rPr>
        <strike/>
        <sz val="10"/>
        <color theme="1"/>
        <rFont val="Adani Regular"/>
      </rPr>
      <t>05 Sep</t>
    </r>
    <r>
      <rPr>
        <sz val="10"/>
        <color theme="1"/>
        <rFont val="Adani Regular"/>
        <family val="2"/>
      </rPr>
      <t xml:space="preserve">
22 Sep</t>
    </r>
  </si>
  <si>
    <r>
      <rPr>
        <strike/>
        <sz val="10"/>
        <color theme="1"/>
        <rFont val="Adani Regular"/>
      </rPr>
      <t>31 Aug</t>
    </r>
    <r>
      <rPr>
        <sz val="10"/>
        <color theme="1"/>
        <rFont val="Adani Regular"/>
        <family val="2"/>
      </rPr>
      <t xml:space="preserve">
17 Sep</t>
    </r>
  </si>
  <si>
    <r>
      <rPr>
        <strike/>
        <sz val="10"/>
        <color theme="1"/>
        <rFont val="Adani Regular"/>
      </rPr>
      <t>08 Sep</t>
    </r>
    <r>
      <rPr>
        <sz val="10"/>
        <color theme="1"/>
        <rFont val="Adani Regular"/>
        <family val="2"/>
      </rPr>
      <t xml:space="preserve">
25 Sep</t>
    </r>
  </si>
  <si>
    <r>
      <rPr>
        <strike/>
        <sz val="10"/>
        <color theme="1"/>
        <rFont val="Adani Regular"/>
      </rPr>
      <t>15 Jul</t>
    </r>
    <r>
      <rPr>
        <sz val="10"/>
        <color theme="1"/>
        <rFont val="Adani Regular"/>
        <family val="2"/>
      </rPr>
      <t xml:space="preserve">
</t>
    </r>
    <r>
      <rPr>
        <strike/>
        <sz val="10"/>
        <color theme="1"/>
        <rFont val="Adani Regular"/>
      </rPr>
      <t>28 Jul</t>
    </r>
    <r>
      <rPr>
        <sz val="10"/>
        <color theme="1"/>
        <rFont val="Adani Regular"/>
        <family val="2"/>
      </rPr>
      <t xml:space="preserve">
03 Aug</t>
    </r>
  </si>
  <si>
    <r>
      <rPr>
        <strike/>
        <sz val="10"/>
        <color theme="1"/>
        <rFont val="Adani Regular"/>
      </rPr>
      <t>06 Aug</t>
    </r>
    <r>
      <rPr>
        <sz val="10"/>
        <color theme="1"/>
        <rFont val="Adani Regular"/>
        <family val="2"/>
      </rPr>
      <t xml:space="preserve">
</t>
    </r>
    <r>
      <rPr>
        <strike/>
        <sz val="10"/>
        <color theme="1"/>
        <rFont val="Adani Regular"/>
      </rPr>
      <t>20 Aug</t>
    </r>
    <r>
      <rPr>
        <sz val="10"/>
        <color theme="1"/>
        <rFont val="Adani Regular"/>
      </rPr>
      <t xml:space="preserve">
31 Aug</t>
    </r>
  </si>
  <si>
    <r>
      <rPr>
        <strike/>
        <sz val="10"/>
        <color theme="1"/>
        <rFont val="Adani Regular"/>
      </rPr>
      <t>30 Aug</t>
    </r>
    <r>
      <rPr>
        <sz val="10"/>
        <color theme="1"/>
        <rFont val="Adani Regular"/>
        <family val="2"/>
      </rPr>
      <t xml:space="preserve">
21 Sep</t>
    </r>
  </si>
  <si>
    <r>
      <rPr>
        <strike/>
        <sz val="10"/>
        <color theme="1"/>
        <rFont val="Adani Regular"/>
      </rPr>
      <t>04 Sep</t>
    </r>
    <r>
      <rPr>
        <sz val="10"/>
        <color theme="1"/>
        <rFont val="Adani Regular"/>
        <family val="2"/>
      </rPr>
      <t xml:space="preserve">
26 Sep</t>
    </r>
  </si>
  <si>
    <r>
      <rPr>
        <strike/>
        <sz val="10"/>
        <color theme="1"/>
        <rFont val="Adani Regular"/>
      </rPr>
      <t>07 Sep</t>
    </r>
    <r>
      <rPr>
        <sz val="10"/>
        <color theme="1"/>
        <rFont val="Adani Regular"/>
        <family val="2"/>
      </rPr>
      <t xml:space="preserve">
29 Sep</t>
    </r>
  </si>
  <si>
    <r>
      <rPr>
        <strike/>
        <sz val="10"/>
        <color theme="1"/>
        <rFont val="Adani Regular"/>
      </rPr>
      <t>11 Aug</t>
    </r>
    <r>
      <rPr>
        <sz val="10"/>
        <color theme="1"/>
        <rFont val="Adani Regular"/>
        <family val="2"/>
      </rPr>
      <t xml:space="preserve">
</t>
    </r>
    <r>
      <rPr>
        <strike/>
        <sz val="10"/>
        <color theme="1"/>
        <rFont val="Adani Regular"/>
      </rPr>
      <t>30 Aug</t>
    </r>
    <r>
      <rPr>
        <sz val="10"/>
        <color theme="1"/>
        <rFont val="Adani Regular"/>
        <family val="2"/>
      </rPr>
      <t xml:space="preserve">
09 Sep</t>
    </r>
  </si>
  <si>
    <r>
      <rPr>
        <strike/>
        <sz val="10"/>
        <color theme="1"/>
        <rFont val="Adani Regular"/>
      </rPr>
      <t>04 Sep</t>
    </r>
    <r>
      <rPr>
        <sz val="10"/>
        <color theme="1"/>
        <rFont val="Adani Regular"/>
        <family val="2"/>
      </rPr>
      <t xml:space="preserve">
30 Sep</t>
    </r>
  </si>
  <si>
    <r>
      <rPr>
        <strike/>
        <sz val="10"/>
        <color theme="1"/>
        <rFont val="Adani Regular"/>
      </rPr>
      <t>09 Sep</t>
    </r>
    <r>
      <rPr>
        <sz val="10"/>
        <color theme="1"/>
        <rFont val="Adani Regular"/>
        <family val="2"/>
      </rPr>
      <t xml:space="preserve">
05 Oct</t>
    </r>
  </si>
  <si>
    <r>
      <rPr>
        <strike/>
        <sz val="10"/>
        <color theme="1"/>
        <rFont val="Adani Regular"/>
      </rPr>
      <t>12 Sep</t>
    </r>
    <r>
      <rPr>
        <sz val="10"/>
        <color theme="1"/>
        <rFont val="Adani Regular"/>
        <family val="2"/>
      </rPr>
      <t xml:space="preserve">
08 Oct</t>
    </r>
  </si>
  <si>
    <r>
      <rPr>
        <strike/>
        <sz val="9"/>
        <rFont val="Adani Regular"/>
      </rPr>
      <t>27 Aug</t>
    </r>
    <r>
      <rPr>
        <sz val="9"/>
        <rFont val="Adani Regular"/>
      </rPr>
      <t xml:space="preserve">, </t>
    </r>
    <r>
      <rPr>
        <strike/>
        <sz val="9"/>
        <rFont val="Adani Regular"/>
      </rPr>
      <t>31 Aug</t>
    </r>
    <r>
      <rPr>
        <sz val="9"/>
        <rFont val="Adani Regular"/>
      </rPr>
      <t>,
10 Sep</t>
    </r>
  </si>
  <si>
    <r>
      <rPr>
        <strike/>
        <sz val="9"/>
        <rFont val="Adani Regular"/>
      </rPr>
      <t>31 Aug</t>
    </r>
    <r>
      <rPr>
        <sz val="9"/>
        <rFont val="Adani Regular"/>
      </rPr>
      <t>, 12 Sep</t>
    </r>
  </si>
  <si>
    <r>
      <rPr>
        <strike/>
        <sz val="9"/>
        <rFont val="Adani Regular"/>
      </rPr>
      <t>02 Sep</t>
    </r>
    <r>
      <rPr>
        <sz val="9"/>
        <rFont val="Adani Regular"/>
      </rPr>
      <t>, 14 Sep</t>
    </r>
  </si>
  <si>
    <r>
      <rPr>
        <strike/>
        <sz val="9"/>
        <rFont val="Adani Regular"/>
      </rPr>
      <t>29 Aug</t>
    </r>
    <r>
      <rPr>
        <sz val="9"/>
        <rFont val="Adani Regular"/>
      </rPr>
      <t>, 10 Sep</t>
    </r>
  </si>
  <si>
    <r>
      <rPr>
        <strike/>
        <sz val="9"/>
        <rFont val="Adani Regular"/>
      </rPr>
      <t>26 Aug</t>
    </r>
    <r>
      <rPr>
        <sz val="9"/>
        <rFont val="Adani Regular"/>
      </rPr>
      <t xml:space="preserve">, </t>
    </r>
    <r>
      <rPr>
        <strike/>
        <sz val="9"/>
        <rFont val="Adani Regular"/>
      </rPr>
      <t>29 Aug</t>
    </r>
    <r>
      <rPr>
        <sz val="9"/>
        <rFont val="Adani Regular"/>
      </rPr>
      <t>,
10 Sep</t>
    </r>
  </si>
  <si>
    <r>
      <rPr>
        <strike/>
        <sz val="9"/>
        <rFont val="Adani Regular"/>
      </rPr>
      <t>09 Sep</t>
    </r>
    <r>
      <rPr>
        <sz val="9"/>
        <rFont val="Adani Regular"/>
      </rPr>
      <t>, 21 Sep</t>
    </r>
  </si>
  <si>
    <t>Akshar &amp; Emerson</t>
  </si>
  <si>
    <r>
      <rPr>
        <strike/>
        <sz val="9"/>
        <rFont val="Adani Regular"/>
      </rPr>
      <t>28 Aug</t>
    </r>
    <r>
      <rPr>
        <sz val="9"/>
        <rFont val="Adani Regular"/>
      </rPr>
      <t>, 08 Sep</t>
    </r>
  </si>
  <si>
    <r>
      <rPr>
        <strike/>
        <sz val="9"/>
        <rFont val="Adani Regular"/>
      </rPr>
      <t>31 Jul</t>
    </r>
    <r>
      <rPr>
        <sz val="9"/>
        <rFont val="Adani Regular"/>
      </rPr>
      <t>, 06 Aug</t>
    </r>
  </si>
  <si>
    <r>
      <rPr>
        <strike/>
        <sz val="9"/>
        <rFont val="Adani Regular"/>
      </rPr>
      <t>30 Jul</t>
    </r>
    <r>
      <rPr>
        <sz val="9"/>
        <rFont val="Adani Regular"/>
      </rPr>
      <t>, 05 Aug</t>
    </r>
  </si>
  <si>
    <r>
      <rPr>
        <strike/>
        <sz val="9"/>
        <rFont val="Adani Regular"/>
      </rPr>
      <t>30 Jul</t>
    </r>
    <r>
      <rPr>
        <sz val="9"/>
        <rFont val="Adani Regular"/>
      </rPr>
      <t>, 10 Aug</t>
    </r>
  </si>
  <si>
    <r>
      <rPr>
        <strike/>
        <sz val="9"/>
        <rFont val="Adani Regular"/>
      </rPr>
      <t>24 Aug</t>
    </r>
    <r>
      <rPr>
        <sz val="9"/>
        <rFont val="Adani Regular"/>
      </rPr>
      <t xml:space="preserve">, </t>
    </r>
    <r>
      <rPr>
        <strike/>
        <sz val="9"/>
        <rFont val="Adani Regular"/>
      </rPr>
      <t>27 Aug</t>
    </r>
    <r>
      <rPr>
        <sz val="9"/>
        <rFont val="Adani Regular"/>
      </rPr>
      <t>,
10 Sep</t>
    </r>
  </si>
  <si>
    <t>HEFT &amp; Akshar</t>
  </si>
  <si>
    <r>
      <rPr>
        <strike/>
        <sz val="9"/>
        <rFont val="Adani Regular"/>
      </rPr>
      <t>26 Aug</t>
    </r>
    <r>
      <rPr>
        <sz val="9"/>
        <rFont val="Adani Regular"/>
      </rPr>
      <t>, 06 Sep</t>
    </r>
  </si>
  <si>
    <r>
      <rPr>
        <strike/>
        <sz val="9"/>
        <rFont val="Adani Regular"/>
      </rPr>
      <t>20 Jul</t>
    </r>
    <r>
      <rPr>
        <sz val="9"/>
        <rFont val="Adani Regular"/>
      </rPr>
      <t>, 02 Aug</t>
    </r>
  </si>
  <si>
    <r>
      <rPr>
        <strike/>
        <sz val="9"/>
        <rFont val="Adani Regular"/>
      </rPr>
      <t>15 Jul</t>
    </r>
    <r>
      <rPr>
        <sz val="9"/>
        <rFont val="Adani Regular"/>
      </rPr>
      <t xml:space="preserve">, </t>
    </r>
    <r>
      <rPr>
        <strike/>
        <sz val="9"/>
        <rFont val="Adani Regular"/>
      </rPr>
      <t>30 Jul</t>
    </r>
    <r>
      <rPr>
        <sz val="9"/>
        <rFont val="Adani Regular"/>
      </rPr>
      <t>,
0 5 Aug</t>
    </r>
  </si>
  <si>
    <r>
      <rPr>
        <strike/>
        <sz val="9"/>
        <color rgb="FF000000"/>
        <rFont val="Adani Regular"/>
      </rPr>
      <t>22 Jun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02 Jul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20 Jul</t>
    </r>
    <r>
      <rPr>
        <sz val="9"/>
        <color rgb="FF000000"/>
        <rFont val="Adani Regular"/>
      </rPr>
      <t>, 28 Jul</t>
    </r>
  </si>
  <si>
    <t>Pratibha/ Akshar</t>
  </si>
  <si>
    <r>
      <rPr>
        <strike/>
        <sz val="9"/>
        <rFont val="Adani Regular"/>
      </rPr>
      <t>18-Jul,</t>
    </r>
    <r>
      <rPr>
        <sz val="9"/>
        <rFont val="Adani Regular"/>
      </rPr>
      <t xml:space="preserve"> </t>
    </r>
    <r>
      <rPr>
        <strike/>
        <sz val="9"/>
        <rFont val="Adani Regular"/>
      </rPr>
      <t>25 Jul</t>
    </r>
    <r>
      <rPr>
        <sz val="9"/>
        <rFont val="Adani Regular"/>
      </rPr>
      <t>,
28 Jul</t>
    </r>
  </si>
  <si>
    <r>
      <rPr>
        <strike/>
        <sz val="9"/>
        <rFont val="Adani Regular"/>
      </rPr>
      <t>24 Jun</t>
    </r>
    <r>
      <rPr>
        <sz val="9"/>
        <rFont val="Adani Regular"/>
      </rPr>
      <t xml:space="preserve">, </t>
    </r>
    <r>
      <rPr>
        <strike/>
        <sz val="9"/>
        <rFont val="Adani Regular"/>
      </rPr>
      <t>30 Jun</t>
    </r>
    <r>
      <rPr>
        <sz val="9"/>
        <rFont val="Adani Regular"/>
      </rPr>
      <t xml:space="preserve">,
</t>
    </r>
    <r>
      <rPr>
        <strike/>
        <sz val="9"/>
        <rFont val="Adani Regular"/>
      </rPr>
      <t>22 Jul</t>
    </r>
    <r>
      <rPr>
        <sz val="9"/>
        <rFont val="Adani Regular"/>
      </rPr>
      <t>, 28 Jul</t>
    </r>
  </si>
  <si>
    <r>
      <rPr>
        <strike/>
        <sz val="9"/>
        <rFont val="Adani Regular"/>
      </rPr>
      <t>09 Aug</t>
    </r>
    <r>
      <rPr>
        <sz val="9"/>
        <rFont val="Adani Regular"/>
      </rPr>
      <t xml:space="preserve">, </t>
    </r>
    <r>
      <rPr>
        <strike/>
        <sz val="9"/>
        <rFont val="Adani Regular"/>
      </rPr>
      <t>20 Aug</t>
    </r>
    <r>
      <rPr>
        <sz val="9"/>
        <rFont val="Adani Regular"/>
      </rPr>
      <t>,
29 Aug</t>
    </r>
  </si>
  <si>
    <r>
      <rPr>
        <strike/>
        <sz val="9"/>
        <rFont val="Adani Regular"/>
      </rPr>
      <t>15 Aug</t>
    </r>
    <r>
      <rPr>
        <sz val="9"/>
        <rFont val="Adani Regular"/>
      </rPr>
      <t xml:space="preserve">, </t>
    </r>
    <r>
      <rPr>
        <strike/>
        <sz val="9"/>
        <rFont val="Adani Regular"/>
      </rPr>
      <t>20 Aug</t>
    </r>
    <r>
      <rPr>
        <sz val="9"/>
        <rFont val="Adani Regular"/>
      </rPr>
      <t>,
06 Sep</t>
    </r>
  </si>
  <si>
    <r>
      <rPr>
        <strike/>
        <sz val="9"/>
        <rFont val="Adani Regular"/>
      </rPr>
      <t>15 Aug</t>
    </r>
    <r>
      <rPr>
        <sz val="9"/>
        <rFont val="Adani Regular"/>
      </rPr>
      <t>, 25 Aug</t>
    </r>
  </si>
  <si>
    <r>
      <rPr>
        <strike/>
        <sz val="9"/>
        <rFont val="Adani Regular"/>
      </rPr>
      <t>25 Aug</t>
    </r>
    <r>
      <rPr>
        <sz val="9"/>
        <rFont val="Adani Regular"/>
      </rPr>
      <t>, 11 Sep</t>
    </r>
  </si>
  <si>
    <r>
      <rPr>
        <strike/>
        <sz val="9"/>
        <rFont val="Adani Regular"/>
      </rPr>
      <t>23 Aug</t>
    </r>
    <r>
      <rPr>
        <sz val="9"/>
        <rFont val="Adani Regular"/>
      </rPr>
      <t>, 09 Sep</t>
    </r>
  </si>
  <si>
    <r>
      <rPr>
        <strike/>
        <sz val="9"/>
        <rFont val="Adani Regular"/>
      </rPr>
      <t>26 Jul</t>
    </r>
    <r>
      <rPr>
        <sz val="9"/>
        <rFont val="Adani Regular"/>
      </rPr>
      <t>, 01 Aug</t>
    </r>
  </si>
  <si>
    <r>
      <rPr>
        <strike/>
        <sz val="9"/>
        <rFont val="Adani Regular"/>
      </rPr>
      <t>26 Jul</t>
    </r>
    <r>
      <rPr>
        <sz val="9"/>
        <rFont val="Adani Regular"/>
      </rPr>
      <t>, 05 Aug</t>
    </r>
  </si>
  <si>
    <r>
      <rPr>
        <strike/>
        <sz val="9"/>
        <rFont val="Adani Regular"/>
      </rPr>
      <t>05 Aug</t>
    </r>
    <r>
      <rPr>
        <sz val="9"/>
        <rFont val="Adani Regular"/>
      </rPr>
      <t>, 10 Aug</t>
    </r>
  </si>
  <si>
    <r>
      <rPr>
        <strike/>
        <sz val="9"/>
        <rFont val="Adani Regular"/>
      </rPr>
      <t>04 Aug</t>
    </r>
    <r>
      <rPr>
        <sz val="9"/>
        <rFont val="Adani Regular"/>
      </rPr>
      <t>, 10 Aug</t>
    </r>
  </si>
  <si>
    <r>
      <rPr>
        <strike/>
        <sz val="9"/>
        <rFont val="Adani Regular"/>
      </rPr>
      <t>11 Aug</t>
    </r>
    <r>
      <rPr>
        <sz val="9"/>
        <rFont val="Adani Regular"/>
      </rPr>
      <t>, 20  Aug</t>
    </r>
  </si>
  <si>
    <r>
      <rPr>
        <strike/>
        <sz val="9"/>
        <rFont val="Adani Regular"/>
      </rPr>
      <t>20 Jul</t>
    </r>
    <r>
      <rPr>
        <sz val="9"/>
        <rFont val="Adani Regular"/>
      </rPr>
      <t xml:space="preserve">, </t>
    </r>
    <r>
      <rPr>
        <strike/>
        <sz val="9"/>
        <rFont val="Adani Regular"/>
      </rPr>
      <t>25 Jul</t>
    </r>
    <r>
      <rPr>
        <sz val="9"/>
        <rFont val="Adani Regular"/>
      </rPr>
      <t>,
05 Aug</t>
    </r>
  </si>
  <si>
    <r>
      <rPr>
        <strike/>
        <sz val="9"/>
        <rFont val="Adani Regular"/>
      </rPr>
      <t>22 Jul</t>
    </r>
    <r>
      <rPr>
        <sz val="9"/>
        <rFont val="Adani Regular"/>
      </rPr>
      <t xml:space="preserve">, </t>
    </r>
    <r>
      <rPr>
        <strike/>
        <sz val="9"/>
        <rFont val="Adani Regular"/>
      </rPr>
      <t>25 Jul</t>
    </r>
    <r>
      <rPr>
        <sz val="9"/>
        <rFont val="Adani Regular"/>
      </rPr>
      <t>,
05 Aug</t>
    </r>
  </si>
  <si>
    <r>
      <rPr>
        <strike/>
        <sz val="9"/>
        <rFont val="Adani Regular"/>
      </rPr>
      <t>10 Jul</t>
    </r>
    <r>
      <rPr>
        <sz val="9"/>
        <rFont val="Adani Regular"/>
      </rPr>
      <t xml:space="preserve">, </t>
    </r>
    <r>
      <rPr>
        <strike/>
        <sz val="9"/>
        <rFont val="Adani Regular"/>
      </rPr>
      <t>16 Jul</t>
    </r>
    <r>
      <rPr>
        <sz val="9"/>
        <rFont val="Adani Regular"/>
      </rPr>
      <t xml:space="preserve">,
</t>
    </r>
    <r>
      <rPr>
        <strike/>
        <sz val="9"/>
        <rFont val="Adani Regular"/>
      </rPr>
      <t>01 Aug</t>
    </r>
    <r>
      <rPr>
        <sz val="9"/>
        <rFont val="Adani Regular"/>
      </rPr>
      <t>, 05 Aug</t>
    </r>
  </si>
  <si>
    <r>
      <rPr>
        <strike/>
        <sz val="9"/>
        <rFont val="Adani Regular"/>
      </rPr>
      <t>19 Jul</t>
    </r>
    <r>
      <rPr>
        <sz val="9"/>
        <rFont val="Adani Regular"/>
      </rPr>
      <t xml:space="preserve">, </t>
    </r>
    <r>
      <rPr>
        <strike/>
        <sz val="9"/>
        <rFont val="Adani Regular"/>
      </rPr>
      <t>27 Jul</t>
    </r>
    <r>
      <rPr>
        <sz val="9"/>
        <rFont val="Adani Regular"/>
      </rPr>
      <t>,
06 Aug</t>
    </r>
  </si>
  <si>
    <r>
      <rPr>
        <strike/>
        <sz val="9"/>
        <rFont val="Adani Regular"/>
      </rPr>
      <t>24 Jul</t>
    </r>
    <r>
      <rPr>
        <sz val="9"/>
        <rFont val="Adani Regular"/>
      </rPr>
      <t xml:space="preserve">, </t>
    </r>
    <r>
      <rPr>
        <strike/>
        <sz val="9"/>
        <rFont val="Adani Regular"/>
      </rPr>
      <t>30 Jul</t>
    </r>
    <r>
      <rPr>
        <sz val="9"/>
        <rFont val="Adani Regular"/>
      </rPr>
      <t>,
10 Aug</t>
    </r>
  </si>
  <si>
    <r>
      <rPr>
        <strike/>
        <sz val="9"/>
        <rFont val="Adani Regular"/>
      </rPr>
      <t>06 Jul</t>
    </r>
    <r>
      <rPr>
        <sz val="9"/>
        <rFont val="Adani Regular"/>
      </rPr>
      <t xml:space="preserve">, </t>
    </r>
    <r>
      <rPr>
        <strike/>
        <sz val="9"/>
        <rFont val="Adani Regular"/>
      </rPr>
      <t>14 Jul</t>
    </r>
    <r>
      <rPr>
        <sz val="9"/>
        <rFont val="Adani Regular"/>
      </rPr>
      <t xml:space="preserve">,
</t>
    </r>
    <r>
      <rPr>
        <strike/>
        <sz val="9"/>
        <rFont val="Adani Regular"/>
      </rPr>
      <t>26 Jul</t>
    </r>
    <r>
      <rPr>
        <sz val="9"/>
        <rFont val="Adani Regular"/>
      </rPr>
      <t>, 30 Jul</t>
    </r>
  </si>
  <si>
    <r>
      <rPr>
        <strike/>
        <sz val="10"/>
        <color theme="1"/>
        <rFont val="Adani Regular"/>
      </rPr>
      <t>11 Sep</t>
    </r>
    <r>
      <rPr>
        <sz val="10"/>
        <color theme="1"/>
        <rFont val="Adani Regular"/>
        <family val="2"/>
      </rPr>
      <t xml:space="preserve">
17 Sep</t>
    </r>
  </si>
  <si>
    <r>
      <rPr>
        <strike/>
        <sz val="10"/>
        <color theme="1"/>
        <rFont val="Adani Regular"/>
      </rPr>
      <t>16 Sep</t>
    </r>
    <r>
      <rPr>
        <sz val="10"/>
        <color theme="1"/>
        <rFont val="Adani Regular"/>
        <family val="2"/>
      </rPr>
      <t xml:space="preserve">
22 Sep</t>
    </r>
  </si>
  <si>
    <r>
      <rPr>
        <strike/>
        <sz val="10"/>
        <color theme="1"/>
        <rFont val="Adani Regular"/>
      </rPr>
      <t>19 Sep</t>
    </r>
    <r>
      <rPr>
        <sz val="10"/>
        <color theme="1"/>
        <rFont val="Adani Regular"/>
        <family val="2"/>
      </rPr>
      <t xml:space="preserve">
25 Sep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</si>
  <si>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13 Jul</t>
    </r>
    <r>
      <rPr>
        <sz val="9"/>
        <rFont val="Adani Regular"/>
      </rPr>
      <t>,
31 Jul</t>
    </r>
  </si>
  <si>
    <r>
      <rPr>
        <strike/>
        <sz val="9"/>
        <rFont val="Adani Regular"/>
      </rPr>
      <t>20 Jul</t>
    </r>
    <r>
      <rPr>
        <sz val="9"/>
        <rFont val="Adani Regular"/>
      </rPr>
      <t xml:space="preserve">, </t>
    </r>
    <r>
      <rPr>
        <strike/>
        <sz val="9"/>
        <rFont val="Adani Regular"/>
      </rPr>
      <t>27 Jul</t>
    </r>
    <r>
      <rPr>
        <sz val="9"/>
        <rFont val="Adani Regular"/>
      </rPr>
      <t>,
02 Aug</t>
    </r>
  </si>
  <si>
    <r>
      <rPr>
        <strike/>
        <sz val="9"/>
        <rFont val="Adani Regular"/>
      </rPr>
      <t>20 Jul</t>
    </r>
    <r>
      <rPr>
        <sz val="9"/>
        <rFont val="Adani Regular"/>
      </rPr>
      <t xml:space="preserve">, </t>
    </r>
    <r>
      <rPr>
        <strike/>
        <sz val="9"/>
        <rFont val="Adani Regular"/>
      </rPr>
      <t>26 Jul</t>
    </r>
    <r>
      <rPr>
        <sz val="9"/>
        <rFont val="Adani Regular"/>
      </rPr>
      <t>,
31 Jul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</si>
  <si>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10 Jul</t>
    </r>
    <r>
      <rPr>
        <sz val="9"/>
        <rFont val="Adani Regular"/>
      </rPr>
      <t xml:space="preserve">,
</t>
    </r>
    <r>
      <rPr>
        <strike/>
        <sz val="9"/>
        <rFont val="Adani Regular"/>
      </rPr>
      <t>22 Jul</t>
    </r>
    <r>
      <rPr>
        <sz val="9"/>
        <rFont val="Adani Regular"/>
      </rPr>
      <t>, 27 Jul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</si>
  <si>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10 Jul</t>
    </r>
    <r>
      <rPr>
        <sz val="9"/>
        <rFont val="Adani Regular"/>
      </rPr>
      <t xml:space="preserve">,
</t>
    </r>
    <r>
      <rPr>
        <strike/>
        <sz val="9"/>
        <rFont val="Adani Regular"/>
      </rPr>
      <t>23 Jul</t>
    </r>
    <r>
      <rPr>
        <sz val="9"/>
        <rFont val="Adani Regular"/>
      </rPr>
      <t>, 29 Jul</t>
    </r>
  </si>
  <si>
    <r>
      <rPr>
        <strike/>
        <sz val="9"/>
        <rFont val="Adani Regular"/>
      </rPr>
      <t>29 Aug</t>
    </r>
    <r>
      <rPr>
        <sz val="9"/>
        <rFont val="Adani Regular"/>
      </rPr>
      <t>, 09 Sep</t>
    </r>
  </si>
  <si>
    <r>
      <rPr>
        <strike/>
        <sz val="9"/>
        <rFont val="Adani Regular"/>
      </rPr>
      <t>08 Sep</t>
    </r>
    <r>
      <rPr>
        <sz val="9"/>
        <rFont val="Adani Regular"/>
      </rPr>
      <t>, 14 Sep</t>
    </r>
  </si>
  <si>
    <r>
      <rPr>
        <strike/>
        <sz val="9"/>
        <rFont val="Adani Regular"/>
      </rPr>
      <t>06 Sep</t>
    </r>
    <r>
      <rPr>
        <sz val="9"/>
        <rFont val="Adani Regular"/>
      </rPr>
      <t>, 12 Sep</t>
    </r>
  </si>
  <si>
    <r>
      <rPr>
        <strike/>
        <sz val="9"/>
        <rFont val="Adani Regular"/>
      </rPr>
      <t>10 Jul</t>
    </r>
    <r>
      <rPr>
        <sz val="9"/>
        <rFont val="Adani Regular"/>
      </rPr>
      <t xml:space="preserve">, </t>
    </r>
    <r>
      <rPr>
        <strike/>
        <sz val="9"/>
        <rFont val="Adani Regular"/>
      </rPr>
      <t>12 Jul</t>
    </r>
    <r>
      <rPr>
        <sz val="9"/>
        <rFont val="Adani Regular"/>
      </rPr>
      <t xml:space="preserve">,
</t>
    </r>
    <r>
      <rPr>
        <strike/>
        <sz val="9"/>
        <rFont val="Adani Regular"/>
      </rPr>
      <t>22 Jul</t>
    </r>
    <r>
      <rPr>
        <sz val="9"/>
        <rFont val="Adani Regular"/>
      </rPr>
      <t>, 26 Jul</t>
    </r>
  </si>
  <si>
    <r>
      <rPr>
        <strike/>
        <sz val="9"/>
        <rFont val="Adani Regular"/>
      </rPr>
      <t>30 Jun</t>
    </r>
    <r>
      <rPr>
        <sz val="9"/>
        <rFont val="Adani Regular"/>
      </rPr>
      <t xml:space="preserve">, </t>
    </r>
    <r>
      <rPr>
        <strike/>
        <sz val="9"/>
        <rFont val="Adani Regular"/>
      </rPr>
      <t>10 Jul</t>
    </r>
    <r>
      <rPr>
        <sz val="9"/>
        <rFont val="Adani Regular"/>
      </rPr>
      <t xml:space="preserve">,
</t>
    </r>
    <r>
      <rPr>
        <strike/>
        <sz val="9"/>
        <rFont val="Adani Regular"/>
      </rPr>
      <t>21 Jul</t>
    </r>
    <r>
      <rPr>
        <sz val="9"/>
        <rFont val="Adani Regular"/>
      </rPr>
      <t>, 27 Jul</t>
    </r>
  </si>
  <si>
    <r>
      <rPr>
        <strike/>
        <sz val="9"/>
        <rFont val="Adani Regular"/>
      </rPr>
      <t>30 Jun</t>
    </r>
    <r>
      <rPr>
        <sz val="9"/>
        <rFont val="Adani Regular"/>
      </rPr>
      <t xml:space="preserve">, </t>
    </r>
    <r>
      <rPr>
        <strike/>
        <sz val="9"/>
        <rFont val="Adani Regular"/>
      </rPr>
      <t>10 Jul</t>
    </r>
    <r>
      <rPr>
        <sz val="9"/>
        <rFont val="Adani Regular"/>
      </rPr>
      <t xml:space="preserve">,
</t>
    </r>
    <r>
      <rPr>
        <strike/>
        <sz val="9"/>
        <rFont val="Adani Regular"/>
      </rPr>
      <t>23 Jul</t>
    </r>
    <r>
      <rPr>
        <sz val="9"/>
        <rFont val="Adani Regular"/>
      </rPr>
      <t>, 29 Jul</t>
    </r>
  </si>
  <si>
    <r>
      <rPr>
        <strike/>
        <sz val="9"/>
        <rFont val="Adani Regular"/>
      </rPr>
      <t>18 Aug</t>
    </r>
    <r>
      <rPr>
        <sz val="9"/>
        <rFont val="Adani Regular"/>
      </rPr>
      <t>, 30 Aug</t>
    </r>
  </si>
  <si>
    <r>
      <rPr>
        <strike/>
        <sz val="9"/>
        <rFont val="Adani Regular"/>
      </rPr>
      <t>07 Aug</t>
    </r>
    <r>
      <rPr>
        <sz val="9"/>
        <rFont val="Adani Regular"/>
      </rPr>
      <t>, 15 Aug</t>
    </r>
  </si>
  <si>
    <r>
      <rPr>
        <strike/>
        <sz val="9"/>
        <rFont val="Adani Regular"/>
      </rPr>
      <t>28 Aug</t>
    </r>
    <r>
      <rPr>
        <sz val="9"/>
        <rFont val="Adani Regular"/>
      </rPr>
      <t>, 14 Sep</t>
    </r>
  </si>
  <si>
    <r>
      <rPr>
        <strike/>
        <sz val="9"/>
        <rFont val="Adani Regular"/>
      </rPr>
      <t>26 Aug</t>
    </r>
    <r>
      <rPr>
        <sz val="9"/>
        <rFont val="Adani Regular"/>
      </rPr>
      <t>, 12 Sep</t>
    </r>
  </si>
  <si>
    <r>
      <rPr>
        <strike/>
        <sz val="9"/>
        <rFont val="Adani Regular"/>
      </rPr>
      <t>16 Aug</t>
    </r>
    <r>
      <rPr>
        <sz val="9"/>
        <rFont val="Adani Regular"/>
      </rPr>
      <t>, 02 Sep</t>
    </r>
  </si>
  <si>
    <r>
      <rPr>
        <strike/>
        <sz val="9"/>
        <rFont val="Adani Regular"/>
      </rPr>
      <t>18 Aug</t>
    </r>
    <r>
      <rPr>
        <sz val="9"/>
        <rFont val="Adani Regular"/>
        <family val="2"/>
      </rPr>
      <t>, 04 Sep</t>
    </r>
  </si>
  <si>
    <r>
      <rPr>
        <strike/>
        <sz val="9"/>
        <rFont val="Adani Regular"/>
      </rPr>
      <t>29 Jul</t>
    </r>
    <r>
      <rPr>
        <sz val="9"/>
        <rFont val="Adani Regular"/>
      </rPr>
      <t>, 04 Aug</t>
    </r>
  </si>
  <si>
    <r>
      <rPr>
        <strike/>
        <sz val="9"/>
        <rFont val="Adani Regular"/>
      </rPr>
      <t>14 Aug</t>
    </r>
    <r>
      <rPr>
        <sz val="9"/>
        <rFont val="Adani Regular"/>
      </rPr>
      <t>, 24 Aug</t>
    </r>
  </si>
  <si>
    <r>
      <rPr>
        <strike/>
        <sz val="9"/>
        <rFont val="Adani Regular"/>
      </rPr>
      <t>27 Aug</t>
    </r>
    <r>
      <rPr>
        <sz val="9"/>
        <rFont val="Adani Regular"/>
      </rPr>
      <t>, 03 Sep</t>
    </r>
  </si>
  <si>
    <r>
      <rPr>
        <strike/>
        <sz val="9"/>
        <rFont val="Adani Regular"/>
      </rPr>
      <t>29 Aug</t>
    </r>
    <r>
      <rPr>
        <sz val="9"/>
        <rFont val="Adani Regular"/>
      </rPr>
      <t>, 05 Sep</t>
    </r>
  </si>
  <si>
    <r>
      <rPr>
        <strike/>
        <sz val="9"/>
        <color rgb="FF000000"/>
        <rFont val="Adani Regular"/>
      </rPr>
      <t>30 Jun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10 Jul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21 Jul</t>
    </r>
    <r>
      <rPr>
        <sz val="9"/>
        <color rgb="FF000000"/>
        <rFont val="Adani Regular"/>
      </rPr>
      <t>, 27 Jul</t>
    </r>
  </si>
  <si>
    <r>
      <rPr>
        <strike/>
        <sz val="9"/>
        <rFont val="Adani Regular"/>
      </rPr>
      <t>30 Jun</t>
    </r>
    <r>
      <rPr>
        <sz val="9"/>
        <rFont val="Adani Regular"/>
      </rPr>
      <t xml:space="preserve">, </t>
    </r>
    <r>
      <rPr>
        <strike/>
        <sz val="9"/>
        <rFont val="Adani Regular"/>
      </rPr>
      <t>10 Jul</t>
    </r>
    <r>
      <rPr>
        <sz val="9"/>
        <rFont val="Adani Regular"/>
      </rPr>
      <t xml:space="preserve">,
</t>
    </r>
    <r>
      <rPr>
        <strike/>
        <sz val="9"/>
        <rFont val="Adani Regular"/>
      </rPr>
      <t>22 Jul</t>
    </r>
    <r>
      <rPr>
        <sz val="9"/>
        <rFont val="Adani Regular"/>
      </rPr>
      <t>, 29 Jul</t>
    </r>
  </si>
  <si>
    <r>
      <rPr>
        <strike/>
        <sz val="9"/>
        <rFont val="Adani Regular"/>
      </rPr>
      <t>27 Jul</t>
    </r>
    <r>
      <rPr>
        <sz val="9"/>
        <rFont val="Adani Regular"/>
      </rPr>
      <t>, 04 Aug</t>
    </r>
  </si>
  <si>
    <r>
      <rPr>
        <strike/>
        <sz val="9"/>
        <rFont val="Adani Regular"/>
      </rPr>
      <t>29 Jul</t>
    </r>
    <r>
      <rPr>
        <sz val="9"/>
        <rFont val="Adani Regular"/>
      </rPr>
      <t>, 09 Aug</t>
    </r>
  </si>
  <si>
    <r>
      <rPr>
        <strike/>
        <sz val="9"/>
        <rFont val="Adani Regular"/>
      </rPr>
      <t>25 Jul</t>
    </r>
    <r>
      <rPr>
        <sz val="9"/>
        <rFont val="Adani Regular"/>
      </rPr>
      <t>, 09 Aug</t>
    </r>
  </si>
  <si>
    <r>
      <rPr>
        <strike/>
        <sz val="9"/>
        <rFont val="Adani Regular"/>
      </rPr>
      <t>10 Aug</t>
    </r>
    <r>
      <rPr>
        <sz val="9"/>
        <rFont val="Adani Regular"/>
      </rPr>
      <t>, 12 Aug</t>
    </r>
  </si>
  <si>
    <r>
      <rPr>
        <strike/>
        <sz val="9"/>
        <rFont val="Adani Regular"/>
      </rPr>
      <t>26  Jun</t>
    </r>
    <r>
      <rPr>
        <sz val="9"/>
        <rFont val="Adani Regular"/>
      </rPr>
      <t xml:space="preserve">, </t>
    </r>
    <r>
      <rPr>
        <strike/>
        <sz val="9"/>
        <rFont val="Adani Regular"/>
      </rPr>
      <t>08 Jul</t>
    </r>
    <r>
      <rPr>
        <sz val="9"/>
        <rFont val="Adani Regular"/>
      </rPr>
      <t xml:space="preserve">,
</t>
    </r>
    <r>
      <rPr>
        <strike/>
        <sz val="9"/>
        <rFont val="Adani Regular"/>
      </rPr>
      <t>21 Jul</t>
    </r>
    <r>
      <rPr>
        <sz val="9"/>
        <rFont val="Adani Regular"/>
      </rPr>
      <t>, 28 Jul</t>
    </r>
  </si>
  <si>
    <r>
      <rPr>
        <strike/>
        <sz val="9"/>
        <rFont val="Adani Regular"/>
      </rPr>
      <t>24 Jun</t>
    </r>
    <r>
      <rPr>
        <sz val="9"/>
        <rFont val="Adani Regular"/>
      </rPr>
      <t xml:space="preserve">, </t>
    </r>
    <r>
      <rPr>
        <strike/>
        <sz val="9"/>
        <rFont val="Adani Regular"/>
      </rPr>
      <t>08 Jul</t>
    </r>
    <r>
      <rPr>
        <sz val="9"/>
        <rFont val="Adani Regular"/>
      </rPr>
      <t xml:space="preserve">,
</t>
    </r>
    <r>
      <rPr>
        <strike/>
        <sz val="9"/>
        <rFont val="Adani Regular"/>
      </rPr>
      <t>20 Jul</t>
    </r>
    <r>
      <rPr>
        <sz val="9"/>
        <rFont val="Adani Regular"/>
      </rPr>
      <t>, 28 Jul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</si>
  <si>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20 Jul</t>
    </r>
    <r>
      <rPr>
        <sz val="9"/>
        <rFont val="Adani Regular"/>
      </rPr>
      <t xml:space="preserve">,
</t>
    </r>
    <r>
      <rPr>
        <strike/>
        <sz val="9"/>
        <rFont val="Adani Regular"/>
      </rPr>
      <t>25 Jul</t>
    </r>
    <r>
      <rPr>
        <sz val="9"/>
        <rFont val="Adani Regular"/>
      </rPr>
      <t>, 28 Jul</t>
    </r>
  </si>
  <si>
    <r>
      <rPr>
        <strike/>
        <sz val="9"/>
        <color rgb="FF000000"/>
        <rFont val="Adani Regular"/>
      </rPr>
      <t>06 Jul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10 Jul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24 Jul</t>
    </r>
    <r>
      <rPr>
        <sz val="9"/>
        <color rgb="FF000000"/>
        <rFont val="Adani Regular"/>
      </rPr>
      <t>, 29 Jul</t>
    </r>
  </si>
  <si>
    <r>
      <rPr>
        <strike/>
        <sz val="9"/>
        <rFont val="Adani Regular"/>
      </rPr>
      <t>16-Aug,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02 Sep</t>
    </r>
    <r>
      <rPr>
        <sz val="9"/>
        <rFont val="Adani Regular"/>
      </rPr>
      <t>,
13 Sep</t>
    </r>
  </si>
  <si>
    <r>
      <rPr>
        <strike/>
        <sz val="9"/>
        <rFont val="Adani Regular"/>
      </rPr>
      <t>22-Aug,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02 Sep</t>
    </r>
    <r>
      <rPr>
        <sz val="9"/>
        <rFont val="Adani Regular"/>
      </rPr>
      <t>,
20 Sep</t>
    </r>
  </si>
  <si>
    <r>
      <rPr>
        <strike/>
        <sz val="9"/>
        <rFont val="Adani Regular"/>
      </rPr>
      <t>22 Aug</t>
    </r>
    <r>
      <rPr>
        <sz val="9"/>
        <rFont val="Adani Regular"/>
        <family val="2"/>
      </rPr>
      <t>, 15 Sep</t>
    </r>
  </si>
  <si>
    <r>
      <rPr>
        <strike/>
        <sz val="9"/>
        <rFont val="Adani Regular"/>
      </rPr>
      <t>01-Sep,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03 Sep</t>
    </r>
    <r>
      <rPr>
        <sz val="9"/>
        <rFont val="Adani Regular"/>
      </rPr>
      <t>,
27 Sep</t>
    </r>
  </si>
  <si>
    <r>
      <rPr>
        <strike/>
        <sz val="9"/>
        <rFont val="Adani Regular"/>
      </rPr>
      <t>01-Sep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02 Sep</t>
    </r>
    <r>
      <rPr>
        <sz val="9"/>
        <rFont val="Adani Regular"/>
      </rPr>
      <t>,
25 Sep</t>
    </r>
  </si>
  <si>
    <r>
      <rPr>
        <strike/>
        <sz val="9"/>
        <rFont val="Adani Regular"/>
      </rPr>
      <t>22-Aug,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02 Sep</t>
    </r>
    <r>
      <rPr>
        <sz val="9"/>
        <rFont val="Adani Regular"/>
        <family val="2"/>
      </rPr>
      <t>,</t>
    </r>
    <r>
      <rPr>
        <sz val="9"/>
        <rFont val="Adani Regular"/>
      </rPr>
      <t xml:space="preserve">
14 Sep</t>
    </r>
  </si>
  <si>
    <r>
      <rPr>
        <strike/>
        <sz val="9"/>
        <rFont val="Adani Regular"/>
      </rPr>
      <t>20-Aug,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02 Sep</t>
    </r>
    <r>
      <rPr>
        <sz val="9"/>
        <rFont val="Adani Regular"/>
      </rPr>
      <t>,
13 Sep</t>
    </r>
  </si>
  <si>
    <r>
      <rPr>
        <strike/>
        <sz val="9"/>
        <rFont val="Adani Regular"/>
      </rPr>
      <t>10 Jul</t>
    </r>
    <r>
      <rPr>
        <sz val="9"/>
        <rFont val="Adani Regular"/>
      </rPr>
      <t xml:space="preserve">, </t>
    </r>
    <r>
      <rPr>
        <strike/>
        <sz val="9"/>
        <rFont val="Adani Regular"/>
      </rPr>
      <t>20 Jul</t>
    </r>
    <r>
      <rPr>
        <sz val="9"/>
        <rFont val="Adani Regular"/>
      </rPr>
      <t xml:space="preserve">,
</t>
    </r>
    <r>
      <rPr>
        <strike/>
        <sz val="9"/>
        <rFont val="Adani Regular"/>
      </rPr>
      <t>26 Jul</t>
    </r>
    <r>
      <rPr>
        <sz val="9"/>
        <rFont val="Adani Regular"/>
      </rPr>
      <t>, 06 Aug</t>
    </r>
  </si>
  <si>
    <r>
      <rPr>
        <strike/>
        <sz val="9"/>
        <rFont val="Adani Regular"/>
      </rPr>
      <t>17 Jul</t>
    </r>
    <r>
      <rPr>
        <sz val="9"/>
        <rFont val="Adani Regular"/>
      </rPr>
      <t xml:space="preserve">, </t>
    </r>
    <r>
      <rPr>
        <strike/>
        <sz val="9"/>
        <rFont val="Adani Regular"/>
      </rPr>
      <t>26 Jul</t>
    </r>
    <r>
      <rPr>
        <sz val="9"/>
        <rFont val="Adani Regular"/>
      </rPr>
      <t>,
08 Aug</t>
    </r>
  </si>
  <si>
    <r>
      <rPr>
        <strike/>
        <sz val="9"/>
        <rFont val="Adani Regular"/>
      </rPr>
      <t>09 Jul</t>
    </r>
    <r>
      <rPr>
        <sz val="9"/>
        <rFont val="Adani Regular"/>
      </rPr>
      <t xml:space="preserve">, </t>
    </r>
    <r>
      <rPr>
        <strike/>
        <sz val="9"/>
        <rFont val="Adani Regular"/>
      </rPr>
      <t>28 Jul</t>
    </r>
    <r>
      <rPr>
        <sz val="9"/>
        <rFont val="Adani Regular"/>
      </rPr>
      <t>,
08 Aug</t>
    </r>
  </si>
  <si>
    <r>
      <rPr>
        <strike/>
        <sz val="9"/>
        <rFont val="Adani Regular"/>
      </rPr>
      <t>10 Jul</t>
    </r>
    <r>
      <rPr>
        <sz val="9"/>
        <rFont val="Adani Regular"/>
      </rPr>
      <t xml:space="preserve">, </t>
    </r>
    <r>
      <rPr>
        <strike/>
        <sz val="9"/>
        <rFont val="Adani Regular"/>
      </rPr>
      <t>22 Jul</t>
    </r>
    <r>
      <rPr>
        <sz val="9"/>
        <rFont val="Adani Regular"/>
      </rPr>
      <t>,
06 Aug</t>
    </r>
  </si>
  <si>
    <r>
      <rPr>
        <strike/>
        <sz val="9"/>
        <rFont val="Adani Regular"/>
      </rPr>
      <t>04 Aug</t>
    </r>
    <r>
      <rPr>
        <sz val="9"/>
        <rFont val="Adani Regular"/>
      </rPr>
      <t>, 15 Aug</t>
    </r>
  </si>
  <si>
    <r>
      <rPr>
        <strike/>
        <sz val="9"/>
        <rFont val="Adani Regular"/>
      </rPr>
      <t>28 Jul</t>
    </r>
    <r>
      <rPr>
        <sz val="9"/>
        <rFont val="Adani Regular"/>
      </rPr>
      <t>, 15 Aug</t>
    </r>
  </si>
  <si>
    <r>
      <rPr>
        <strike/>
        <sz val="9"/>
        <rFont val="Adani Regular"/>
      </rPr>
      <t>05 Aug</t>
    </r>
    <r>
      <rPr>
        <sz val="9"/>
        <rFont val="Adani Regular"/>
      </rPr>
      <t>, 15 Aug</t>
    </r>
  </si>
  <si>
    <r>
      <rPr>
        <strike/>
        <sz val="9"/>
        <rFont val="Adani Regular"/>
      </rPr>
      <t>11-Aug, 23 Aug</t>
    </r>
    <r>
      <rPr>
        <sz val="9"/>
        <rFont val="Adani Regular"/>
      </rPr>
      <t>,
04 Sep</t>
    </r>
  </si>
  <si>
    <r>
      <rPr>
        <strike/>
        <sz val="9"/>
        <rFont val="Adani Regular"/>
      </rPr>
      <t>27 Aug</t>
    </r>
    <r>
      <rPr>
        <sz val="9"/>
        <rFont val="Adani Regular"/>
        <family val="2"/>
      </rPr>
      <t>, 18 Sep</t>
    </r>
  </si>
  <si>
    <r>
      <rPr>
        <strike/>
        <sz val="9"/>
        <rFont val="Adani Regular"/>
      </rPr>
      <t>27 Aug</t>
    </r>
    <r>
      <rPr>
        <sz val="9"/>
        <rFont val="Adani Regular"/>
        <family val="2"/>
      </rPr>
      <t>, 16 Sep</t>
    </r>
  </si>
  <si>
    <r>
      <rPr>
        <strike/>
        <sz val="9"/>
        <rFont val="Adani Regular"/>
      </rPr>
      <t>17-Aug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24 Aug</t>
    </r>
    <r>
      <rPr>
        <sz val="9"/>
        <rFont val="Adani Regular"/>
      </rPr>
      <t>,
12 Sep</t>
    </r>
  </si>
  <si>
    <r>
      <rPr>
        <strike/>
        <sz val="9"/>
        <rFont val="Adani Regular"/>
      </rPr>
      <t>17 Aug</t>
    </r>
    <r>
      <rPr>
        <sz val="9"/>
        <rFont val="Adani Regular"/>
        <family val="2"/>
      </rPr>
      <t>, 10 Sep</t>
    </r>
  </si>
  <si>
    <r>
      <t xml:space="preserve"> </t>
    </r>
    <r>
      <rPr>
        <strike/>
        <sz val="9"/>
        <rFont val="Adani Regular"/>
      </rPr>
      <t>22 Jul</t>
    </r>
    <r>
      <rPr>
        <sz val="9"/>
        <rFont val="Adani Regular"/>
      </rPr>
      <t xml:space="preserve">, </t>
    </r>
    <r>
      <rPr>
        <strike/>
        <sz val="9"/>
        <rFont val="Adani Regular"/>
      </rPr>
      <t>28 Jul</t>
    </r>
    <r>
      <rPr>
        <sz val="9"/>
        <rFont val="Adani Regular"/>
      </rPr>
      <t>,
06 Aug</t>
    </r>
  </si>
  <si>
    <r>
      <rPr>
        <strike/>
        <sz val="9"/>
        <rFont val="Adani Regular"/>
      </rPr>
      <t>28 Jul</t>
    </r>
    <r>
      <rPr>
        <sz val="9"/>
        <rFont val="Adani Regular"/>
      </rPr>
      <t>, 03 Aug</t>
    </r>
  </si>
  <si>
    <r>
      <rPr>
        <strike/>
        <sz val="9"/>
        <rFont val="Adani Regular"/>
      </rPr>
      <t>22 Jul</t>
    </r>
    <r>
      <rPr>
        <sz val="9"/>
        <rFont val="Adani Regular"/>
      </rPr>
      <t>, 28 Jul</t>
    </r>
  </si>
  <si>
    <r>
      <rPr>
        <strike/>
        <sz val="9"/>
        <rFont val="Adani Regular"/>
      </rPr>
      <t>15-Aug,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26 Aug</t>
    </r>
    <r>
      <rPr>
        <sz val="9"/>
        <rFont val="Adani Regular"/>
      </rPr>
      <t>,
06 Sep</t>
    </r>
  </si>
  <si>
    <r>
      <rPr>
        <strike/>
        <sz val="9"/>
        <rFont val="Adani Regular"/>
      </rPr>
      <t>17-Aug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25 Aug</t>
    </r>
    <r>
      <rPr>
        <sz val="9"/>
        <rFont val="Adani Regular"/>
      </rPr>
      <t>,
07 Sep</t>
    </r>
  </si>
  <si>
    <r>
      <rPr>
        <strike/>
        <sz val="9"/>
        <rFont val="Adani Regular"/>
      </rPr>
      <t>02 Jul</t>
    </r>
    <r>
      <rPr>
        <sz val="9"/>
        <rFont val="Adani Regular"/>
      </rPr>
      <t xml:space="preserve">, </t>
    </r>
    <r>
      <rPr>
        <strike/>
        <sz val="9"/>
        <rFont val="Adani Regular"/>
      </rPr>
      <t>06 Jul</t>
    </r>
    <r>
      <rPr>
        <sz val="9"/>
        <rFont val="Adani Regular"/>
      </rPr>
      <t xml:space="preserve">,
</t>
    </r>
    <r>
      <rPr>
        <strike/>
        <sz val="9"/>
        <rFont val="Adani Regular"/>
      </rPr>
      <t>22 Jul</t>
    </r>
    <r>
      <rPr>
        <sz val="9"/>
        <rFont val="Adani Regular"/>
      </rPr>
      <t>, 29 Jul</t>
    </r>
  </si>
  <si>
    <r>
      <rPr>
        <strike/>
        <sz val="9"/>
        <rFont val="Adani Regular"/>
      </rPr>
      <t>09 Jul</t>
    </r>
    <r>
      <rPr>
        <sz val="9"/>
        <rFont val="Adani Regular"/>
      </rPr>
      <t xml:space="preserve">, </t>
    </r>
    <r>
      <rPr>
        <strike/>
        <sz val="9"/>
        <rFont val="Adani Regular"/>
      </rPr>
      <t>15 Jul</t>
    </r>
    <r>
      <rPr>
        <sz val="9"/>
        <rFont val="Adani Regular"/>
      </rPr>
      <t xml:space="preserve">,
</t>
    </r>
    <r>
      <rPr>
        <strike/>
        <sz val="9"/>
        <rFont val="Adani Regular"/>
      </rPr>
      <t>24 Jul</t>
    </r>
    <r>
      <rPr>
        <sz val="9"/>
        <rFont val="Adani Regular"/>
      </rPr>
      <t>, 28 Jul</t>
    </r>
  </si>
  <si>
    <r>
      <rPr>
        <strike/>
        <sz val="9"/>
        <rFont val="Adani Regular"/>
      </rPr>
      <t>10 Jul</t>
    </r>
    <r>
      <rPr>
        <sz val="9"/>
        <rFont val="Adani Regular"/>
      </rPr>
      <t xml:space="preserve">, </t>
    </r>
    <r>
      <rPr>
        <strike/>
        <sz val="9"/>
        <rFont val="Adani Regular"/>
      </rPr>
      <t>20 Jul</t>
    </r>
    <r>
      <rPr>
        <sz val="9"/>
        <rFont val="Adani Regular"/>
      </rPr>
      <t xml:space="preserve">,
</t>
    </r>
    <r>
      <rPr>
        <strike/>
        <sz val="9"/>
        <rFont val="Adani Regular"/>
      </rPr>
      <t>26 Jul</t>
    </r>
    <r>
      <rPr>
        <sz val="9"/>
        <rFont val="Adani Regular"/>
      </rPr>
      <t>, 02 Aug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</si>
  <si>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09 Jul</t>
    </r>
    <r>
      <rPr>
        <sz val="9"/>
        <rFont val="Adani Regular"/>
      </rPr>
      <t xml:space="preserve">,
</t>
    </r>
    <r>
      <rPr>
        <strike/>
        <sz val="9"/>
        <rFont val="Adani Regular"/>
      </rPr>
      <t>15 Jul</t>
    </r>
    <r>
      <rPr>
        <sz val="9"/>
        <rFont val="Adani Regular"/>
      </rPr>
      <t>, 28 Jul</t>
    </r>
  </si>
  <si>
    <r>
      <rPr>
        <strike/>
        <sz val="9"/>
        <rFont val="Adani Regular"/>
      </rPr>
      <t>20 Jul</t>
    </r>
    <r>
      <rPr>
        <sz val="9"/>
        <rFont val="Adani Regular"/>
      </rPr>
      <t xml:space="preserve">, </t>
    </r>
    <r>
      <rPr>
        <strike/>
        <sz val="9"/>
        <rFont val="Adani Regular"/>
      </rPr>
      <t>25 Jul</t>
    </r>
    <r>
      <rPr>
        <sz val="9"/>
        <rFont val="Adani Regular"/>
      </rPr>
      <t>,
08 Aug</t>
    </r>
  </si>
  <si>
    <r>
      <rPr>
        <strike/>
        <sz val="9"/>
        <rFont val="Adani Regular"/>
      </rPr>
      <t>15 Jul</t>
    </r>
    <r>
      <rPr>
        <sz val="9"/>
        <rFont val="Adani Regular"/>
      </rPr>
      <t xml:space="preserve">, </t>
    </r>
    <r>
      <rPr>
        <strike/>
        <sz val="9"/>
        <rFont val="Adani Regular"/>
      </rPr>
      <t>25 Jul</t>
    </r>
    <r>
      <rPr>
        <sz val="9"/>
        <rFont val="Adani Regular"/>
      </rPr>
      <t>,
31 Jul</t>
    </r>
  </si>
  <si>
    <r>
      <rPr>
        <strike/>
        <sz val="9"/>
        <rFont val="Adani Regular"/>
      </rPr>
      <t>11 Jul</t>
    </r>
    <r>
      <rPr>
        <sz val="9"/>
        <rFont val="Adani Regular"/>
      </rPr>
      <t xml:space="preserve">, </t>
    </r>
    <r>
      <rPr>
        <strike/>
        <sz val="9"/>
        <rFont val="Adani Regular"/>
      </rPr>
      <t>18 Jul</t>
    </r>
    <r>
      <rPr>
        <sz val="9"/>
        <rFont val="Adani Regular"/>
      </rPr>
      <t>,
31 Jul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</si>
  <si>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12 Jul</t>
    </r>
    <r>
      <rPr>
        <sz val="9"/>
        <rFont val="Adani Regular"/>
      </rPr>
      <t xml:space="preserve">,
</t>
    </r>
    <r>
      <rPr>
        <strike/>
        <sz val="9"/>
        <rFont val="Adani Regular"/>
      </rPr>
      <t>25 Jul</t>
    </r>
    <r>
      <rPr>
        <sz val="9"/>
        <rFont val="Adani Regular"/>
      </rPr>
      <t>, 30 Jul</t>
    </r>
  </si>
  <si>
    <r>
      <rPr>
        <strike/>
        <sz val="9"/>
        <rFont val="Adani Regular"/>
      </rPr>
      <t>29 Jul</t>
    </r>
    <r>
      <rPr>
        <sz val="9"/>
        <rFont val="Adani Regular"/>
        <family val="2"/>
      </rPr>
      <t>, 05 Aug</t>
    </r>
  </si>
  <si>
    <r>
      <rPr>
        <strike/>
        <sz val="9"/>
        <rFont val="Adani Regular"/>
      </rPr>
      <t>25-Jul</t>
    </r>
    <r>
      <rPr>
        <sz val="9"/>
        <rFont val="Adani Regular"/>
        <family val="2"/>
      </rPr>
      <t>, 31 Jul</t>
    </r>
  </si>
  <si>
    <r>
      <rPr>
        <strike/>
        <sz val="9"/>
        <rFont val="Adani Regular"/>
      </rPr>
      <t>07 Jul</t>
    </r>
    <r>
      <rPr>
        <sz val="9"/>
        <rFont val="Adani Regular"/>
      </rPr>
      <t xml:space="preserve">, </t>
    </r>
    <r>
      <rPr>
        <strike/>
        <sz val="9"/>
        <rFont val="Adani Regular"/>
      </rPr>
      <t>18 Jul</t>
    </r>
    <r>
      <rPr>
        <sz val="9"/>
        <rFont val="Adani Regular"/>
      </rPr>
      <t xml:space="preserve">,
</t>
    </r>
    <r>
      <rPr>
        <strike/>
        <sz val="9"/>
        <rFont val="Adani Regular"/>
      </rPr>
      <t>27 Jul</t>
    </r>
    <r>
      <rPr>
        <sz val="9"/>
        <rFont val="Adani Regular"/>
      </rPr>
      <t>, 30 Jul</t>
    </r>
  </si>
  <si>
    <r>
      <rPr>
        <strike/>
        <sz val="9"/>
        <rFont val="Adani Regular"/>
      </rPr>
      <t>07 Jul</t>
    </r>
    <r>
      <rPr>
        <sz val="9"/>
        <rFont val="Adani Regular"/>
      </rPr>
      <t xml:space="preserve">, </t>
    </r>
    <r>
      <rPr>
        <strike/>
        <sz val="9"/>
        <rFont val="Adani Regular"/>
      </rPr>
      <t>15 Jul</t>
    </r>
    <r>
      <rPr>
        <sz val="9"/>
        <rFont val="Adani Regular"/>
      </rPr>
      <t xml:space="preserve">,
</t>
    </r>
    <r>
      <rPr>
        <strike/>
        <sz val="9"/>
        <rFont val="Adani Regular"/>
      </rPr>
      <t>25 Jul</t>
    </r>
    <r>
      <rPr>
        <sz val="9"/>
        <rFont val="Adani Regular"/>
      </rPr>
      <t>, 30 Jul</t>
    </r>
  </si>
  <si>
    <r>
      <rPr>
        <strike/>
        <sz val="9"/>
        <rFont val="Adani Regular"/>
      </rPr>
      <t>21 Jul</t>
    </r>
    <r>
      <rPr>
        <sz val="9"/>
        <rFont val="Adani Regular"/>
      </rPr>
      <t>, 30 Jul</t>
    </r>
  </si>
  <si>
    <r>
      <rPr>
        <strike/>
        <sz val="9"/>
        <rFont val="Adani Regular"/>
      </rPr>
      <t>25 Jul</t>
    </r>
    <r>
      <rPr>
        <sz val="9"/>
        <rFont val="Adani Regular"/>
      </rPr>
      <t>, 02 Aug</t>
    </r>
  </si>
  <si>
    <r>
      <rPr>
        <strike/>
        <sz val="9"/>
        <rFont val="Adani Regular"/>
      </rPr>
      <t>21 Jul</t>
    </r>
    <r>
      <rPr>
        <sz val="9"/>
        <rFont val="Adani Regular"/>
      </rPr>
      <t>, 01 Aug</t>
    </r>
  </si>
  <si>
    <r>
      <rPr>
        <strike/>
        <sz val="9"/>
        <rFont val="Adani Regular"/>
      </rPr>
      <t>21 Jul</t>
    </r>
    <r>
      <rPr>
        <sz val="9"/>
        <rFont val="Adani Regular"/>
      </rPr>
      <t>, 31 Jul</t>
    </r>
  </si>
  <si>
    <r>
      <rPr>
        <strike/>
        <sz val="9"/>
        <rFont val="Adani Regular"/>
      </rPr>
      <t>25 Jul</t>
    </r>
    <r>
      <rPr>
        <sz val="9"/>
        <rFont val="Adani Regular"/>
      </rPr>
      <t>, 01 Aug</t>
    </r>
  </si>
  <si>
    <r>
      <rPr>
        <strike/>
        <sz val="9"/>
        <rFont val="Adani Regular"/>
      </rPr>
      <t>30 Jul</t>
    </r>
    <r>
      <rPr>
        <sz val="9"/>
        <rFont val="Adani Regular"/>
      </rPr>
      <t>, 04 Aug</t>
    </r>
  </si>
  <si>
    <r>
      <rPr>
        <strike/>
        <sz val="9"/>
        <rFont val="Adani Regular"/>
      </rPr>
      <t>31 Jul</t>
    </r>
    <r>
      <rPr>
        <sz val="9"/>
        <rFont val="Adani Regular"/>
      </rPr>
      <t>, 10 Aug</t>
    </r>
  </si>
  <si>
    <r>
      <rPr>
        <strike/>
        <sz val="9"/>
        <rFont val="Adani Regular"/>
      </rPr>
      <t>25 Jul</t>
    </r>
    <r>
      <rPr>
        <sz val="9"/>
        <rFont val="Adani Regular"/>
      </rPr>
      <t>, 10 Aug</t>
    </r>
  </si>
  <si>
    <r>
      <rPr>
        <strike/>
        <sz val="9"/>
        <rFont val="Adani Regular"/>
      </rPr>
      <t>04 Aug</t>
    </r>
    <r>
      <rPr>
        <sz val="9"/>
        <rFont val="Adani Regular"/>
      </rPr>
      <t>, 12 Aug</t>
    </r>
  </si>
  <si>
    <r>
      <rPr>
        <strike/>
        <sz val="9"/>
        <rFont val="Adani Regular"/>
      </rPr>
      <t>14 Aug</t>
    </r>
    <r>
      <rPr>
        <sz val="9"/>
        <rFont val="Adani Regular"/>
      </rPr>
      <t>, 16 Aug</t>
    </r>
  </si>
  <si>
    <r>
      <rPr>
        <strike/>
        <sz val="9"/>
        <rFont val="Adani Regular"/>
      </rPr>
      <t>30 Jul</t>
    </r>
    <r>
      <rPr>
        <sz val="9"/>
        <rFont val="Adani Regular"/>
      </rPr>
      <t>, 12 Aug</t>
    </r>
  </si>
  <si>
    <r>
      <rPr>
        <strike/>
        <sz val="9"/>
        <rFont val="Adani Regular"/>
      </rPr>
      <t>03 Aug</t>
    </r>
    <r>
      <rPr>
        <sz val="9"/>
        <rFont val="Adani Regular"/>
      </rPr>
      <t>, 15 Aug</t>
    </r>
  </si>
  <si>
    <r>
      <rPr>
        <strike/>
        <sz val="9"/>
        <rFont val="Adani Regular"/>
      </rPr>
      <t>10 Aug</t>
    </r>
    <r>
      <rPr>
        <sz val="9"/>
        <rFont val="Adani Regular"/>
      </rPr>
      <t>, 14 Aug</t>
    </r>
  </si>
  <si>
    <r>
      <rPr>
        <strike/>
        <sz val="9"/>
        <rFont val="Adani Regular"/>
      </rPr>
      <t>14 Jul</t>
    </r>
    <r>
      <rPr>
        <sz val="9"/>
        <rFont val="Adani Regular"/>
      </rPr>
      <t xml:space="preserve">, </t>
    </r>
    <r>
      <rPr>
        <strike/>
        <sz val="9"/>
        <rFont val="Adani Regular"/>
      </rPr>
      <t>20 Jul</t>
    </r>
    <r>
      <rPr>
        <sz val="9"/>
        <rFont val="Adani Regular"/>
      </rPr>
      <t xml:space="preserve">,
</t>
    </r>
    <r>
      <rPr>
        <strike/>
        <sz val="9"/>
        <rFont val="Adani Regular"/>
      </rPr>
      <t>25 Jul</t>
    </r>
    <r>
      <rPr>
        <sz val="9"/>
        <rFont val="Adani Regular"/>
      </rPr>
      <t>, 28 Jul</t>
    </r>
  </si>
  <si>
    <r>
      <rPr>
        <strike/>
        <sz val="9"/>
        <rFont val="Adani Regular"/>
      </rPr>
      <t>09 Jul</t>
    </r>
    <r>
      <rPr>
        <sz val="9"/>
        <rFont val="Adani Regular"/>
      </rPr>
      <t xml:space="preserve">, </t>
    </r>
    <r>
      <rPr>
        <strike/>
        <sz val="9"/>
        <rFont val="Adani Regular"/>
      </rPr>
      <t>15 Jul</t>
    </r>
    <r>
      <rPr>
        <sz val="9"/>
        <rFont val="Adani Regular"/>
      </rPr>
      <t xml:space="preserve">,
</t>
    </r>
    <r>
      <rPr>
        <strike/>
        <sz val="9"/>
        <rFont val="Adani Regular"/>
      </rPr>
      <t>22 Jul</t>
    </r>
    <r>
      <rPr>
        <sz val="9"/>
        <rFont val="Adani Regular"/>
      </rPr>
      <t>, 26 Jul</t>
    </r>
  </si>
  <si>
    <r>
      <rPr>
        <strike/>
        <sz val="9"/>
        <rFont val="Adani Regular"/>
      </rPr>
      <t>02 Aug</t>
    </r>
    <r>
      <rPr>
        <sz val="9"/>
        <rFont val="Adani Regular"/>
        <family val="2"/>
      </rPr>
      <t>, 04 Aug</t>
    </r>
  </si>
  <si>
    <r>
      <rPr>
        <strike/>
        <sz val="9"/>
        <rFont val="Adani Regular"/>
      </rPr>
      <t>02 Aug</t>
    </r>
    <r>
      <rPr>
        <sz val="9"/>
        <rFont val="Adani Regular"/>
        <family val="2"/>
      </rPr>
      <t>, 03 Aug</t>
    </r>
  </si>
  <si>
    <t>04 ACDB placed on slab, anchoring WIP</t>
  </si>
  <si>
    <r>
      <rPr>
        <strike/>
        <sz val="9"/>
        <rFont val="Adani Regular"/>
      </rPr>
      <t>06 Jul</t>
    </r>
    <r>
      <rPr>
        <sz val="9"/>
        <rFont val="Adani Regular"/>
      </rPr>
      <t xml:space="preserve">, </t>
    </r>
    <r>
      <rPr>
        <strike/>
        <sz val="9"/>
        <rFont val="Adani Regular"/>
      </rPr>
      <t>16 Jul</t>
    </r>
    <r>
      <rPr>
        <sz val="9"/>
        <rFont val="Adani Regular"/>
      </rPr>
      <t xml:space="preserve">,
</t>
    </r>
    <r>
      <rPr>
        <strike/>
        <sz val="9"/>
        <rFont val="Adani Regular"/>
      </rPr>
      <t>24 Jul</t>
    </r>
    <r>
      <rPr>
        <sz val="9"/>
        <rFont val="Adani Regular"/>
      </rPr>
      <t>, 29 Jul</t>
    </r>
  </si>
  <si>
    <r>
      <rPr>
        <strike/>
        <sz val="9"/>
        <rFont val="Adani Regular"/>
      </rPr>
      <t>06 Jul</t>
    </r>
    <r>
      <rPr>
        <sz val="9"/>
        <rFont val="Adani Regular"/>
      </rPr>
      <t xml:space="preserve">, </t>
    </r>
    <r>
      <rPr>
        <strike/>
        <sz val="9"/>
        <rFont val="Adani Regular"/>
      </rPr>
      <t>15 Jul</t>
    </r>
    <r>
      <rPr>
        <sz val="9"/>
        <rFont val="Adani Regular"/>
      </rPr>
      <t xml:space="preserve">,
</t>
    </r>
    <r>
      <rPr>
        <strike/>
        <sz val="9"/>
        <rFont val="Adani Regular"/>
      </rPr>
      <t>19 Jul</t>
    </r>
    <r>
      <rPr>
        <sz val="9"/>
        <rFont val="Adani Regular"/>
      </rPr>
      <t>, 29 Jul</t>
    </r>
  </si>
  <si>
    <r>
      <rPr>
        <strike/>
        <sz val="9"/>
        <rFont val="Adani Regular"/>
      </rPr>
      <t>13 Jul</t>
    </r>
    <r>
      <rPr>
        <sz val="9"/>
        <rFont val="Adani Regular"/>
      </rPr>
      <t xml:space="preserve">, </t>
    </r>
    <r>
      <rPr>
        <strike/>
        <sz val="9"/>
        <rFont val="Adani Regular"/>
      </rPr>
      <t>17 Jul</t>
    </r>
    <r>
      <rPr>
        <sz val="9"/>
        <rFont val="Adani Regular"/>
      </rPr>
      <t xml:space="preserve">,
</t>
    </r>
    <r>
      <rPr>
        <strike/>
        <sz val="9"/>
        <rFont val="Adani Regular"/>
      </rPr>
      <t>20 Jul</t>
    </r>
    <r>
      <rPr>
        <sz val="9"/>
        <rFont val="Adani Regular"/>
      </rPr>
      <t>, 26 Jul</t>
    </r>
  </si>
  <si>
    <r>
      <rPr>
        <strike/>
        <sz val="9"/>
        <rFont val="Adani Regular"/>
      </rPr>
      <t>24 Jul</t>
    </r>
    <r>
      <rPr>
        <sz val="9"/>
        <rFont val="Adani Regular"/>
      </rPr>
      <t>, 01 Aug</t>
    </r>
  </si>
  <si>
    <r>
      <rPr>
        <strike/>
        <sz val="9"/>
        <rFont val="Adani Regular"/>
      </rPr>
      <t>20 Jul</t>
    </r>
    <r>
      <rPr>
        <sz val="9"/>
        <rFont val="Adani Regular"/>
      </rPr>
      <t>, 31 Jul</t>
    </r>
  </si>
  <si>
    <r>
      <rPr>
        <strike/>
        <sz val="9"/>
        <rFont val="Adani Regular"/>
      </rPr>
      <t>22 Jul</t>
    </r>
    <r>
      <rPr>
        <sz val="9"/>
        <rFont val="Adani Regular"/>
      </rPr>
      <t>, 03 Aug</t>
    </r>
  </si>
  <si>
    <r>
      <rPr>
        <strike/>
        <sz val="9"/>
        <rFont val="Adani Regular"/>
      </rPr>
      <t>24 Jul</t>
    </r>
    <r>
      <rPr>
        <sz val="9"/>
        <rFont val="Adani Regular"/>
      </rPr>
      <t>, 31 Jul</t>
    </r>
  </si>
  <si>
    <r>
      <rPr>
        <strike/>
        <sz val="10"/>
        <color rgb="FF00B050"/>
        <rFont val="Adani Regular"/>
      </rPr>
      <t>16 Jul</t>
    </r>
    <r>
      <rPr>
        <sz val="10"/>
        <color rgb="FF00B050"/>
        <rFont val="Adani Regular"/>
      </rPr>
      <t xml:space="preserve">,
</t>
    </r>
    <r>
      <rPr>
        <strike/>
        <sz val="10"/>
        <color rgb="FF00B050"/>
        <rFont val="Adani Regular"/>
      </rPr>
      <t>23 Jul</t>
    </r>
    <r>
      <rPr>
        <sz val="10"/>
        <color rgb="FF00B050"/>
        <rFont val="Adani Regular"/>
      </rPr>
      <t xml:space="preserve">
24 Jul</t>
    </r>
  </si>
  <si>
    <r>
      <rPr>
        <strike/>
        <sz val="9"/>
        <rFont val="Adani Regular"/>
      </rPr>
      <t>19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22 Jul</t>
    </r>
    <r>
      <rPr>
        <sz val="9"/>
        <rFont val="Adani Regular"/>
        <family val="2"/>
      </rPr>
      <t>,
01 Aug</t>
    </r>
  </si>
  <si>
    <r>
      <rPr>
        <strike/>
        <sz val="9"/>
        <rFont val="Adani Regular"/>
      </rPr>
      <t>23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30 Jul</t>
    </r>
    <r>
      <rPr>
        <sz val="9"/>
        <rFont val="Adani Regular"/>
      </rPr>
      <t>,
01 Aug</t>
    </r>
  </si>
  <si>
    <r>
      <rPr>
        <strike/>
        <sz val="9"/>
        <rFont val="Adani Regular"/>
      </rPr>
      <t>19-Jul,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28 Jul</t>
    </r>
    <r>
      <rPr>
        <sz val="9"/>
        <rFont val="Adani Regular"/>
      </rPr>
      <t>,
02 Aug</t>
    </r>
  </si>
  <si>
    <r>
      <rPr>
        <strike/>
        <sz val="9"/>
        <rFont val="Adani Regular"/>
      </rPr>
      <t>21-Jul, 30 Jul</t>
    </r>
    <r>
      <rPr>
        <sz val="9"/>
        <rFont val="Adani Regular"/>
      </rPr>
      <t>,
02 Aug</t>
    </r>
  </si>
  <si>
    <r>
      <rPr>
        <strike/>
        <sz val="9"/>
        <rFont val="Adani Regular"/>
      </rPr>
      <t>14-Jul</t>
    </r>
    <r>
      <rPr>
        <sz val="9"/>
        <rFont val="Adani Regular"/>
      </rPr>
      <t xml:space="preserve">, </t>
    </r>
    <r>
      <rPr>
        <sz val="9"/>
        <rFont val="Adani Regular"/>
        <family val="2"/>
      </rPr>
      <t>25 Jul</t>
    </r>
  </si>
  <si>
    <r>
      <rPr>
        <strike/>
        <sz val="9"/>
        <rFont val="Adani Regular"/>
      </rPr>
      <t>18-Jul, 24 Jul</t>
    </r>
    <r>
      <rPr>
        <sz val="9"/>
        <rFont val="Adani Regular"/>
      </rPr>
      <t>,
02 Aug</t>
    </r>
  </si>
  <si>
    <r>
      <rPr>
        <strike/>
        <sz val="9"/>
        <rFont val="Adani Regular"/>
      </rPr>
      <t>06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17 Jul</t>
    </r>
    <r>
      <rPr>
        <sz val="9"/>
        <rFont val="Adani Regular"/>
      </rPr>
      <t>,
31 Jul</t>
    </r>
  </si>
  <si>
    <r>
      <rPr>
        <strike/>
        <sz val="9"/>
        <rFont val="Adani Regular"/>
      </rPr>
      <t>11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22 Jul</t>
    </r>
    <r>
      <rPr>
        <sz val="9"/>
        <rFont val="Adani Regular"/>
        <family val="2"/>
      </rPr>
      <t>,
03 Aug</t>
    </r>
  </si>
  <si>
    <r>
      <rPr>
        <strike/>
        <sz val="9"/>
        <rFont val="Adani Regular"/>
      </rPr>
      <t>25 Jul</t>
    </r>
    <r>
      <rPr>
        <sz val="9"/>
        <rFont val="Adani Regular"/>
        <family val="2"/>
      </rPr>
      <t>, 01 Aug</t>
    </r>
  </si>
  <si>
    <r>
      <rPr>
        <strike/>
        <sz val="9"/>
        <rFont val="Adani Regular"/>
      </rPr>
      <t>25-Jul,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01 Aug</t>
    </r>
    <r>
      <rPr>
        <sz val="9"/>
        <rFont val="Adani Regular"/>
      </rPr>
      <t>,
04 Aug</t>
    </r>
  </si>
  <si>
    <r>
      <rPr>
        <strike/>
        <sz val="9"/>
        <rFont val="Adani Regular"/>
      </rPr>
      <t>08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19 Jul</t>
    </r>
    <r>
      <rPr>
        <sz val="9"/>
        <rFont val="Adani Regular"/>
        <family val="2"/>
      </rPr>
      <t xml:space="preserve">,
</t>
    </r>
    <r>
      <rPr>
        <strike/>
        <sz val="9"/>
        <rFont val="Adani Regular"/>
      </rPr>
      <t>26 Jul</t>
    </r>
    <r>
      <rPr>
        <sz val="9"/>
        <rFont val="Adani Regular"/>
      </rPr>
      <t>, 08 Aug</t>
    </r>
  </si>
  <si>
    <r>
      <rPr>
        <strike/>
        <sz val="9"/>
        <rFont val="Adani Regular"/>
      </rPr>
      <t>08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24 Jul,</t>
    </r>
    <r>
      <rPr>
        <sz val="9"/>
        <rFont val="Adani Regular"/>
        <family val="2"/>
      </rPr>
      <t xml:space="preserve"> 
</t>
    </r>
    <r>
      <rPr>
        <strike/>
        <sz val="9"/>
        <rFont val="Adani Regular"/>
      </rPr>
      <t>02 Aug</t>
    </r>
    <r>
      <rPr>
        <sz val="9"/>
        <rFont val="Adani Regular"/>
      </rPr>
      <t>, 08 Aug</t>
    </r>
  </si>
  <si>
    <r>
      <rPr>
        <strike/>
        <sz val="9"/>
        <rFont val="Adani Regular"/>
      </rPr>
      <t>13 Jul</t>
    </r>
    <r>
      <rPr>
        <sz val="9"/>
        <rFont val="Adani Regular"/>
      </rPr>
      <t xml:space="preserve">, </t>
    </r>
    <r>
      <rPr>
        <strike/>
        <sz val="9"/>
        <rFont val="Adani Regular"/>
      </rPr>
      <t>28 Jul</t>
    </r>
    <r>
      <rPr>
        <sz val="9"/>
        <rFont val="Adani Regular"/>
      </rPr>
      <t>,
08 Aug</t>
    </r>
  </si>
  <si>
    <r>
      <rPr>
        <strike/>
        <sz val="9"/>
        <rFont val="Adani Regular"/>
      </rPr>
      <t>16 Jul</t>
    </r>
    <r>
      <rPr>
        <sz val="9"/>
        <rFont val="Adani Regular"/>
      </rPr>
      <t xml:space="preserve">, </t>
    </r>
    <r>
      <rPr>
        <strike/>
        <sz val="9"/>
        <rFont val="Adani Regular"/>
      </rPr>
      <t>26 Jul</t>
    </r>
    <r>
      <rPr>
        <sz val="9"/>
        <rFont val="Adani Regular"/>
      </rPr>
      <t>,
06 Aug</t>
    </r>
  </si>
  <si>
    <r>
      <rPr>
        <strike/>
        <sz val="9"/>
        <rFont val="Adani Regular"/>
      </rPr>
      <t>11 Jul</t>
    </r>
    <r>
      <rPr>
        <sz val="9"/>
        <rFont val="Adani Regular"/>
        <family val="2"/>
      </rPr>
      <t>,</t>
    </r>
    <r>
      <rPr>
        <strike/>
        <sz val="9"/>
        <rFont val="Adani Regular"/>
      </rPr>
      <t xml:space="preserve"> 24 Jul,</t>
    </r>
    <r>
      <rPr>
        <sz val="9"/>
        <rFont val="Adani Regular"/>
        <family val="2"/>
      </rPr>
      <t xml:space="preserve"> 
</t>
    </r>
    <r>
      <rPr>
        <strike/>
        <sz val="9"/>
        <rFont val="Adani Regular"/>
      </rPr>
      <t>02 Aug</t>
    </r>
    <r>
      <rPr>
        <sz val="9"/>
        <rFont val="Adani Regular"/>
      </rPr>
      <t>, 08 Aug</t>
    </r>
  </si>
  <si>
    <r>
      <t>08 Jul, 24 Jul, 
02 Aug</t>
    </r>
    <r>
      <rPr>
        <sz val="9"/>
        <rFont val="Adani Regular"/>
      </rPr>
      <t>, 08 Aug</t>
    </r>
  </si>
  <si>
    <r>
      <rPr>
        <strike/>
        <sz val="9"/>
        <rFont val="Adani Regular"/>
      </rPr>
      <t>08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24 Jul,</t>
    </r>
    <r>
      <rPr>
        <sz val="9"/>
        <rFont val="Adani Regular"/>
        <family val="2"/>
      </rPr>
      <t xml:space="preserve"> 
</t>
    </r>
    <r>
      <rPr>
        <strike/>
        <sz val="9"/>
        <rFont val="Adani Regular"/>
      </rPr>
      <t>01 Aug</t>
    </r>
    <r>
      <rPr>
        <sz val="9"/>
        <rFont val="Adani Regular"/>
        <family val="2"/>
      </rPr>
      <t>,</t>
    </r>
    <r>
      <rPr>
        <sz val="9"/>
        <rFont val="Adani Regular"/>
      </rPr>
      <t xml:space="preserve"> 04 Aug</t>
    </r>
  </si>
  <si>
    <r>
      <rPr>
        <strike/>
        <sz val="9"/>
        <rFont val="Adani Regular"/>
      </rPr>
      <t>15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24 Jul,</t>
    </r>
    <r>
      <rPr>
        <sz val="9"/>
        <rFont val="Adani Regular"/>
        <family val="2"/>
      </rPr>
      <t xml:space="preserve"> 
</t>
    </r>
    <r>
      <rPr>
        <strike/>
        <sz val="9"/>
        <rFont val="Adani Regular"/>
      </rPr>
      <t>01 Aug</t>
    </r>
    <r>
      <rPr>
        <sz val="9"/>
        <rFont val="Adani Regular"/>
      </rPr>
      <t>, 04 Aug</t>
    </r>
  </si>
  <si>
    <r>
      <rPr>
        <strike/>
        <sz val="9"/>
        <rFont val="Adani Regular"/>
      </rPr>
      <t>15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25 Jul,</t>
    </r>
    <r>
      <rPr>
        <sz val="9"/>
        <rFont val="Adani Regular"/>
        <family val="2"/>
      </rPr>
      <t xml:space="preserve"> 
</t>
    </r>
    <r>
      <rPr>
        <strike/>
        <sz val="9"/>
        <rFont val="Adani Regular"/>
      </rPr>
      <t>02 Aug</t>
    </r>
    <r>
      <rPr>
        <sz val="9"/>
        <rFont val="Adani Regular"/>
      </rPr>
      <t>, 08 Aug</t>
    </r>
  </si>
  <si>
    <r>
      <rPr>
        <strike/>
        <sz val="9"/>
        <rFont val="Adani Regular"/>
      </rPr>
      <t>10 Jul</t>
    </r>
    <r>
      <rPr>
        <sz val="9"/>
        <rFont val="Adani Regular"/>
        <family val="2"/>
      </rPr>
      <t xml:space="preserve">, </t>
    </r>
    <r>
      <rPr>
        <u/>
        <sz val="9"/>
        <rFont val="Adani Regular"/>
      </rPr>
      <t>19 Jul</t>
    </r>
    <r>
      <rPr>
        <sz val="9"/>
        <rFont val="Adani Regular"/>
        <family val="2"/>
      </rPr>
      <t>,
04 Aug</t>
    </r>
  </si>
  <si>
    <r>
      <rPr>
        <strike/>
        <sz val="9"/>
        <rFont val="Adani Regular"/>
      </rPr>
      <t>15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26 Jul</t>
    </r>
    <r>
      <rPr>
        <sz val="9"/>
        <rFont val="Adani Regular"/>
        <family val="2"/>
      </rPr>
      <t>,
08 Aug</t>
    </r>
  </si>
  <si>
    <r>
      <rPr>
        <strike/>
        <sz val="9"/>
        <rFont val="Adani Regular"/>
      </rPr>
      <t>20-Jul,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02 Aug</t>
    </r>
    <r>
      <rPr>
        <sz val="9"/>
        <rFont val="Adani Regular"/>
      </rPr>
      <t>,
08 Aug</t>
    </r>
  </si>
  <si>
    <r>
      <rPr>
        <strike/>
        <sz val="9"/>
        <rFont val="Adani Regular"/>
      </rPr>
      <t>06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25 Jul,</t>
    </r>
    <r>
      <rPr>
        <sz val="9"/>
        <rFont val="Adani Regular"/>
        <family val="2"/>
      </rPr>
      <t xml:space="preserve"> 
</t>
    </r>
    <r>
      <rPr>
        <strike/>
        <sz val="9"/>
        <rFont val="Adani Regular"/>
      </rPr>
      <t>01 Aug</t>
    </r>
    <r>
      <rPr>
        <sz val="9"/>
        <rFont val="Adani Regular"/>
      </rPr>
      <t>, 08 Aug</t>
    </r>
  </si>
  <si>
    <r>
      <rPr>
        <strike/>
        <sz val="9"/>
        <rFont val="Adani Regular"/>
      </rPr>
      <t>22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27 Jul, 
03 Aug</t>
    </r>
    <r>
      <rPr>
        <sz val="9"/>
        <rFont val="Adani Regular"/>
      </rPr>
      <t>, 15 Aug</t>
    </r>
  </si>
  <si>
    <r>
      <rPr>
        <strike/>
        <sz val="9"/>
        <rFont val="Adani Regular"/>
      </rPr>
      <t>12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28 Jul,</t>
    </r>
    <r>
      <rPr>
        <sz val="9"/>
        <rFont val="Adani Regular"/>
        <family val="2"/>
      </rPr>
      <t xml:space="preserve"> 
</t>
    </r>
    <r>
      <rPr>
        <strike/>
        <sz val="9"/>
        <rFont val="Adani Regular"/>
      </rPr>
      <t>02 Aug</t>
    </r>
    <r>
      <rPr>
        <sz val="9"/>
        <rFont val="Adani Regular"/>
      </rPr>
      <t>, 10 Aug</t>
    </r>
  </si>
  <si>
    <r>
      <rPr>
        <strike/>
        <sz val="9"/>
        <rFont val="Adani Regular"/>
      </rPr>
      <t>06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28 Jul,</t>
    </r>
    <r>
      <rPr>
        <sz val="9"/>
        <rFont val="Adani Regular"/>
        <family val="2"/>
      </rPr>
      <t xml:space="preserve"> 
</t>
    </r>
    <r>
      <rPr>
        <strike/>
        <sz val="9"/>
        <rFont val="Adani Regular"/>
      </rPr>
      <t>02 Aug</t>
    </r>
    <r>
      <rPr>
        <sz val="9"/>
        <rFont val="Adani Regular"/>
      </rPr>
      <t>, 10 Aug</t>
    </r>
  </si>
  <si>
    <r>
      <rPr>
        <strike/>
        <sz val="9"/>
        <rFont val="Adani Regular"/>
      </rPr>
      <t>26 Jul</t>
    </r>
    <r>
      <rPr>
        <sz val="9"/>
        <rFont val="Adani Regular"/>
        <family val="2"/>
      </rPr>
      <t>,</t>
    </r>
    <r>
      <rPr>
        <strike/>
        <sz val="9"/>
        <rFont val="Adani Regular"/>
      </rPr>
      <t xml:space="preserve"> 02 Aug, 
04 Aug</t>
    </r>
    <r>
      <rPr>
        <sz val="9"/>
        <rFont val="Adani Regular"/>
      </rPr>
      <t>, 16 Aug</t>
    </r>
  </si>
  <si>
    <r>
      <rPr>
        <strike/>
        <sz val="9"/>
        <rFont val="Adani Regular"/>
      </rPr>
      <t>16-Jul,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08 Aug</t>
    </r>
    <r>
      <rPr>
        <sz val="9"/>
        <rFont val="Adani Regular"/>
      </rPr>
      <t>,
12 Aug</t>
    </r>
  </si>
  <si>
    <r>
      <rPr>
        <strike/>
        <sz val="9"/>
        <rFont val="Adani Regular"/>
      </rPr>
      <t>26-Jul,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05 Aug</t>
    </r>
    <r>
      <rPr>
        <sz val="9"/>
        <rFont val="Adani Regular"/>
      </rPr>
      <t>,
17 Aug</t>
    </r>
  </si>
  <si>
    <r>
      <rPr>
        <strike/>
        <sz val="9"/>
        <rFont val="Adani Regular"/>
      </rPr>
      <t>11-Jul,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04 Aug</t>
    </r>
    <r>
      <rPr>
        <sz val="9"/>
        <rFont val="Adani Regular"/>
      </rPr>
      <t>,
12 Aug</t>
    </r>
  </si>
  <si>
    <r>
      <rPr>
        <strike/>
        <sz val="9"/>
        <rFont val="Adani Regular"/>
      </rPr>
      <t>15-Jul,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05 Aug</t>
    </r>
    <r>
      <rPr>
        <sz val="9"/>
        <rFont val="Adani Regular"/>
      </rPr>
      <t>,
16 Aug</t>
    </r>
  </si>
  <si>
    <r>
      <rPr>
        <strike/>
        <sz val="9"/>
        <rFont val="Adani Regular"/>
      </rPr>
      <t>22-Jul,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03 Aug</t>
    </r>
    <r>
      <rPr>
        <sz val="9"/>
        <rFont val="Adani Regular"/>
      </rPr>
      <t>,
12 Aug</t>
    </r>
  </si>
  <si>
    <r>
      <rPr>
        <strike/>
        <sz val="9"/>
        <rFont val="Adani Regular"/>
      </rPr>
      <t>05-Aug,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07 Aug</t>
    </r>
    <r>
      <rPr>
        <sz val="9"/>
        <rFont val="Adani Regular"/>
      </rPr>
      <t>,
21 Aug</t>
    </r>
  </si>
  <si>
    <r>
      <rPr>
        <strike/>
        <sz val="9"/>
        <rFont val="Adani Regular"/>
      </rPr>
      <t>05-Aug,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06 Aug</t>
    </r>
    <r>
      <rPr>
        <sz val="9"/>
        <rFont val="Adani Regular"/>
      </rPr>
      <t>,
19 Aug</t>
    </r>
  </si>
  <si>
    <r>
      <rPr>
        <strike/>
        <sz val="9"/>
        <rFont val="Adani Regular"/>
      </rPr>
      <t>22-Jul,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04 Aug</t>
    </r>
    <r>
      <rPr>
        <sz val="9"/>
        <rFont val="Adani Regular"/>
      </rPr>
      <t>,
17 Aug</t>
    </r>
  </si>
  <si>
    <r>
      <rPr>
        <strike/>
        <sz val="9"/>
        <rFont val="Adani Regular"/>
      </rPr>
      <t>22-Jul,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05 Aug</t>
    </r>
    <r>
      <rPr>
        <sz val="9"/>
        <rFont val="Adani Regular"/>
      </rPr>
      <t>,
15 Aug</t>
    </r>
  </si>
  <si>
    <r>
      <rPr>
        <strike/>
        <sz val="9"/>
        <rFont val="Adani Regular"/>
      </rPr>
      <t>22-Jul,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04 Aug</t>
    </r>
    <r>
      <rPr>
        <sz val="9"/>
        <rFont val="Adani Regular"/>
        <family val="2"/>
      </rPr>
      <t>,
15 Aug</t>
    </r>
  </si>
  <si>
    <r>
      <rPr>
        <strike/>
        <sz val="9"/>
        <rFont val="Adani Regular"/>
      </rPr>
      <t>24-Jul,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04 Aug</t>
    </r>
    <r>
      <rPr>
        <sz val="9"/>
        <rFont val="Adani Regular"/>
      </rPr>
      <t>,
16 Aug</t>
    </r>
  </si>
  <si>
    <r>
      <rPr>
        <strike/>
        <sz val="9"/>
        <rFont val="Adani Regular"/>
      </rPr>
      <t>30-Jul,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05 Aug</t>
    </r>
    <r>
      <rPr>
        <sz val="9"/>
        <rFont val="Adani Regular"/>
      </rPr>
      <t>,
16 Aug</t>
    </r>
  </si>
  <si>
    <r>
      <rPr>
        <strike/>
        <sz val="9"/>
        <rFont val="Adani Regular"/>
      </rPr>
      <t>30-Jul</t>
    </r>
    <r>
      <rPr>
        <sz val="9"/>
        <rFont val="Adani Regular"/>
      </rPr>
      <t xml:space="preserve">, </t>
    </r>
    <r>
      <rPr>
        <strike/>
        <sz val="9"/>
        <rFont val="Adani Regular"/>
      </rPr>
      <t>06 Aug</t>
    </r>
    <r>
      <rPr>
        <sz val="9"/>
        <rFont val="Adani Regular"/>
      </rPr>
      <t>,
17 Aug</t>
    </r>
  </si>
  <si>
    <r>
      <rPr>
        <strike/>
        <sz val="9"/>
        <rFont val="Adani Regular"/>
      </rPr>
      <t>02-Aug,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06 Aug</t>
    </r>
    <r>
      <rPr>
        <sz val="9"/>
        <rFont val="Adani Regular"/>
      </rPr>
      <t>,
17 Aug</t>
    </r>
  </si>
  <si>
    <r>
      <rPr>
        <strike/>
        <sz val="9"/>
        <rFont val="Adani Regular"/>
      </rPr>
      <t>30-Jul, 07 Aug</t>
    </r>
    <r>
      <rPr>
        <sz val="9"/>
        <rFont val="Adani Regular"/>
      </rPr>
      <t>,
17 Aug</t>
    </r>
  </si>
  <si>
    <r>
      <rPr>
        <strike/>
        <sz val="9"/>
        <rFont val="Adani Regular"/>
      </rPr>
      <t>30-Jul,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05 Aug</t>
    </r>
    <r>
      <rPr>
        <sz val="9"/>
        <rFont val="Adani Regular"/>
      </rPr>
      <t>,
16Aug</t>
    </r>
  </si>
  <si>
    <r>
      <rPr>
        <strike/>
        <sz val="9"/>
        <rFont val="Adani Regular"/>
      </rPr>
      <t>06 Aug</t>
    </r>
    <r>
      <rPr>
        <sz val="9"/>
        <rFont val="Adani Regular"/>
        <family val="2"/>
      </rPr>
      <t>, 17Aug</t>
    </r>
  </si>
  <si>
    <r>
      <rPr>
        <strike/>
        <sz val="9"/>
        <rFont val="Adani Regular"/>
      </rPr>
      <t>14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25 Jul</t>
    </r>
    <r>
      <rPr>
        <sz val="9"/>
        <rFont val="Adani Regular"/>
        <family val="2"/>
      </rPr>
      <t>,
10 Aug</t>
    </r>
  </si>
  <si>
    <r>
      <rPr>
        <strike/>
        <sz val="9"/>
        <rFont val="Adani Regular"/>
      </rPr>
      <t>19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30 Jul</t>
    </r>
    <r>
      <rPr>
        <sz val="9"/>
        <rFont val="Adani Regular"/>
        <family val="2"/>
      </rPr>
      <t>,
16 Aug</t>
    </r>
  </si>
  <si>
    <r>
      <rPr>
        <strike/>
        <sz val="9"/>
        <rFont val="Adani Regular"/>
      </rPr>
      <t>13 Aug</t>
    </r>
    <r>
      <rPr>
        <sz val="9"/>
        <rFont val="Adani Regular"/>
        <family val="2"/>
      </rPr>
      <t>, 23 Aug</t>
    </r>
  </si>
  <si>
    <r>
      <rPr>
        <strike/>
        <sz val="9"/>
        <rFont val="Adani Regular"/>
      </rPr>
      <t>02-Aug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10 Aug</t>
    </r>
    <r>
      <rPr>
        <sz val="9"/>
        <rFont val="Adani Regular"/>
      </rPr>
      <t>,
26 Aug</t>
    </r>
  </si>
  <si>
    <r>
      <rPr>
        <strike/>
        <sz val="9"/>
        <rFont val="Adani Regular"/>
      </rPr>
      <t>06-Aug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12 Aug</t>
    </r>
    <r>
      <rPr>
        <sz val="9"/>
        <rFont val="Adani Regular"/>
      </rPr>
      <t>,
01 Sep</t>
    </r>
  </si>
  <si>
    <r>
      <rPr>
        <strike/>
        <sz val="9"/>
        <rFont val="Adani Regular"/>
      </rPr>
      <t>13 Aug</t>
    </r>
    <r>
      <rPr>
        <sz val="9"/>
        <rFont val="Adani Regular"/>
        <family val="2"/>
      </rPr>
      <t>, 26 Aug</t>
    </r>
  </si>
  <si>
    <r>
      <rPr>
        <strike/>
        <sz val="9"/>
        <rFont val="Adani Regular"/>
      </rPr>
      <t>13-Aug,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15 Aug</t>
    </r>
    <r>
      <rPr>
        <sz val="9"/>
        <rFont val="Adani Regular"/>
      </rPr>
      <t>,
2 5Aug</t>
    </r>
  </si>
  <si>
    <r>
      <rPr>
        <strike/>
        <sz val="9"/>
        <rFont val="Adani Regular"/>
      </rPr>
      <t>13 Aug</t>
    </r>
    <r>
      <rPr>
        <sz val="9"/>
        <rFont val="Adani Regular"/>
        <family val="2"/>
      </rPr>
      <t>, 27 Aug</t>
    </r>
  </si>
  <si>
    <r>
      <rPr>
        <strike/>
        <sz val="9"/>
        <rFont val="Adani Regular"/>
      </rPr>
      <t>04-Aug,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08 Aug</t>
    </r>
    <r>
      <rPr>
        <sz val="9"/>
        <rFont val="Adani Regular"/>
      </rPr>
      <t>,
25 Aug</t>
    </r>
  </si>
  <si>
    <r>
      <rPr>
        <strike/>
        <sz val="9"/>
        <rFont val="Adani Regular"/>
      </rPr>
      <t>07-Aug,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08 Aug</t>
    </r>
    <r>
      <rPr>
        <sz val="9"/>
        <rFont val="Adani Regular"/>
      </rPr>
      <t>,
25 Aug</t>
    </r>
  </si>
  <si>
    <r>
      <rPr>
        <strike/>
        <sz val="9"/>
        <rFont val="Adani Regular"/>
      </rPr>
      <t>04-Aug,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09 Aug</t>
    </r>
    <r>
      <rPr>
        <sz val="9"/>
        <rFont val="Adani Regular"/>
      </rPr>
      <t>,
24 Aug</t>
    </r>
  </si>
  <si>
    <r>
      <rPr>
        <strike/>
        <sz val="9"/>
        <rFont val="Adani Regular"/>
      </rPr>
      <t>04-Aug, 07 Aug</t>
    </r>
    <r>
      <rPr>
        <sz val="9"/>
        <rFont val="Adani Regular"/>
      </rPr>
      <t>,
24 Aug</t>
    </r>
  </si>
  <si>
    <r>
      <rPr>
        <strike/>
        <sz val="9"/>
        <rFont val="Adani Regular"/>
      </rPr>
      <t>11 Aug</t>
    </r>
    <r>
      <rPr>
        <sz val="9"/>
        <rFont val="Adani Regular"/>
        <family val="2"/>
      </rPr>
      <t>, 23 Aug</t>
    </r>
  </si>
  <si>
    <r>
      <rPr>
        <strike/>
        <sz val="9"/>
        <rFont val="Adani Regular"/>
      </rPr>
      <t>11 Aug</t>
    </r>
    <r>
      <rPr>
        <sz val="9"/>
        <rFont val="Adani Regular"/>
        <family val="2"/>
      </rPr>
      <t>, 22 Aug</t>
    </r>
  </si>
  <si>
    <r>
      <rPr>
        <strike/>
        <sz val="9"/>
        <rFont val="Adani Regular"/>
      </rPr>
      <t>25 Jul</t>
    </r>
    <r>
      <rPr>
        <sz val="9"/>
        <rFont val="Adani Regular"/>
        <family val="2"/>
      </rPr>
      <t>, 15 Aug</t>
    </r>
  </si>
  <si>
    <r>
      <rPr>
        <strike/>
        <sz val="9"/>
        <rFont val="Adani Regular"/>
      </rPr>
      <t>04-Aug,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10 Aug</t>
    </r>
    <r>
      <rPr>
        <sz val="9"/>
        <rFont val="Adani Regular"/>
      </rPr>
      <t>,
21 Aug</t>
    </r>
  </si>
  <si>
    <r>
      <rPr>
        <strike/>
        <sz val="9"/>
        <rFont val="Adani Regular"/>
      </rPr>
      <t>30 Jul</t>
    </r>
    <r>
      <rPr>
        <sz val="9"/>
        <rFont val="Adani Regular"/>
        <family val="2"/>
      </rPr>
      <t>, 23 Aug</t>
    </r>
  </si>
  <si>
    <r>
      <rPr>
        <strike/>
        <sz val="9"/>
        <rFont val="Adani Regular"/>
      </rPr>
      <t>07-Aug,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15 Aug</t>
    </r>
    <r>
      <rPr>
        <sz val="9"/>
        <rFont val="Adani Regular"/>
      </rPr>
      <t>,
31 Aug</t>
    </r>
  </si>
  <si>
    <r>
      <rPr>
        <strike/>
        <sz val="9"/>
        <rFont val="Adani Regular"/>
      </rPr>
      <t>11-Aug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20 Aug</t>
    </r>
    <r>
      <rPr>
        <sz val="9"/>
        <rFont val="Adani Regular"/>
      </rPr>
      <t>,
05 Sep</t>
    </r>
  </si>
  <si>
    <r>
      <rPr>
        <strike/>
        <sz val="9"/>
        <rFont val="Adani Regular"/>
      </rPr>
      <t>18 Aug</t>
    </r>
    <r>
      <rPr>
        <sz val="9"/>
        <rFont val="Adani Regular"/>
        <family val="2"/>
      </rPr>
      <t>, 28 Aug</t>
    </r>
  </si>
  <si>
    <r>
      <rPr>
        <strike/>
        <sz val="9"/>
        <rFont val="Adani Regular"/>
      </rPr>
      <t>18-Aug,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20 Aug</t>
    </r>
    <r>
      <rPr>
        <sz val="9"/>
        <rFont val="Adani Regular"/>
      </rPr>
      <t>,
03 Sep</t>
    </r>
  </si>
  <si>
    <r>
      <rPr>
        <strike/>
        <sz val="9"/>
        <rFont val="Adani Regular"/>
      </rPr>
      <t>18 Aug</t>
    </r>
    <r>
      <rPr>
        <sz val="9"/>
        <rFont val="Adani Regular"/>
        <family val="2"/>
      </rPr>
      <t>, 02 Sep</t>
    </r>
  </si>
  <si>
    <r>
      <rPr>
        <strike/>
        <sz val="10"/>
        <color theme="1"/>
        <rFont val="Adani Regular"/>
      </rPr>
      <t>22 Jul</t>
    </r>
    <r>
      <rPr>
        <sz val="10"/>
        <color theme="1"/>
        <rFont val="Adani Regular"/>
      </rPr>
      <t xml:space="preserve">
28 Jul</t>
    </r>
  </si>
  <si>
    <r>
      <rPr>
        <strike/>
        <sz val="10"/>
        <color theme="1"/>
        <rFont val="Adani Regular"/>
      </rPr>
      <t>27 Jul</t>
    </r>
    <r>
      <rPr>
        <sz val="10"/>
        <color theme="1"/>
        <rFont val="Adani Regular"/>
      </rPr>
      <t xml:space="preserve">
02 Aug</t>
    </r>
  </si>
  <si>
    <r>
      <rPr>
        <strike/>
        <sz val="10"/>
        <color theme="1"/>
        <rFont val="Adani Regular"/>
      </rPr>
      <t>30 Jul</t>
    </r>
    <r>
      <rPr>
        <sz val="10"/>
        <color theme="1"/>
        <rFont val="Adani Regular"/>
      </rPr>
      <t xml:space="preserve">
05 Aug</t>
    </r>
  </si>
  <si>
    <r>
      <rPr>
        <strike/>
        <sz val="9"/>
        <rFont val="Adani Regular"/>
      </rPr>
      <t>14 Aug</t>
    </r>
    <r>
      <rPr>
        <sz val="9"/>
        <rFont val="Adani Regular"/>
      </rPr>
      <t xml:space="preserve">, </t>
    </r>
    <r>
      <rPr>
        <strike/>
        <sz val="9"/>
        <rFont val="Adani Regular"/>
      </rPr>
      <t>21 Aug</t>
    </r>
    <r>
      <rPr>
        <sz val="9"/>
        <rFont val="Adani Regular"/>
      </rPr>
      <t>,
10 Sep</t>
    </r>
  </si>
  <si>
    <r>
      <rPr>
        <strike/>
        <sz val="9"/>
        <rFont val="Adani Regular"/>
      </rPr>
      <t>20 Aug</t>
    </r>
    <r>
      <rPr>
        <sz val="9"/>
        <rFont val="Adani Regular"/>
      </rPr>
      <t>, 12 Sep</t>
    </r>
  </si>
  <si>
    <r>
      <rPr>
        <strike/>
        <sz val="9"/>
        <rFont val="Adani Regular"/>
      </rPr>
      <t>11 Aug</t>
    </r>
    <r>
      <rPr>
        <sz val="9"/>
        <rFont val="Adani Regular"/>
      </rPr>
      <t>, 20 Aug</t>
    </r>
  </si>
  <si>
    <r>
      <rPr>
        <strike/>
        <sz val="9"/>
        <rFont val="Adani Regular"/>
      </rPr>
      <t>13 Aug</t>
    </r>
    <r>
      <rPr>
        <sz val="9"/>
        <rFont val="Adani Regular"/>
      </rPr>
      <t>, 31 Aug</t>
    </r>
  </si>
  <si>
    <r>
      <rPr>
        <strike/>
        <sz val="9"/>
        <rFont val="Adani Regular"/>
      </rPr>
      <t>15 Aug</t>
    </r>
    <r>
      <rPr>
        <sz val="9"/>
        <rFont val="Adani Regular"/>
      </rPr>
      <t>, 31 Aug</t>
    </r>
  </si>
  <si>
    <r>
      <rPr>
        <strike/>
        <sz val="9"/>
        <rFont val="Adani Regular"/>
      </rPr>
      <t>06 Aug</t>
    </r>
    <r>
      <rPr>
        <sz val="9"/>
        <rFont val="Adani Regular"/>
      </rPr>
      <t>, 10 Aug</t>
    </r>
  </si>
  <si>
    <r>
      <rPr>
        <strike/>
        <sz val="9"/>
        <rFont val="Adani Regular"/>
      </rPr>
      <t>16 Aug</t>
    </r>
    <r>
      <rPr>
        <sz val="9"/>
        <rFont val="Adani Regular"/>
      </rPr>
      <t>, 25Aug</t>
    </r>
  </si>
  <si>
    <r>
      <rPr>
        <strike/>
        <sz val="9"/>
        <rFont val="Adani Regular"/>
      </rPr>
      <t>18 Aug</t>
    </r>
    <r>
      <rPr>
        <sz val="9"/>
        <rFont val="Adani Regular"/>
      </rPr>
      <t>, 12 Sep</t>
    </r>
  </si>
  <si>
    <r>
      <rPr>
        <strike/>
        <sz val="9"/>
        <rFont val="Adani Regular"/>
      </rPr>
      <t>20 Aug</t>
    </r>
    <r>
      <rPr>
        <sz val="9"/>
        <rFont val="Adani Regular"/>
      </rPr>
      <t>, 11 Sep</t>
    </r>
  </si>
  <si>
    <r>
      <rPr>
        <strike/>
        <sz val="9"/>
        <rFont val="Adani Regular"/>
      </rPr>
      <t>10 Aug</t>
    </r>
    <r>
      <rPr>
        <sz val="9"/>
        <rFont val="Adani Regular"/>
      </rPr>
      <t>, 16 Aug</t>
    </r>
  </si>
  <si>
    <r>
      <rPr>
        <strike/>
        <sz val="9"/>
        <rFont val="Adani Regular"/>
      </rPr>
      <t>1 2Aug</t>
    </r>
    <r>
      <rPr>
        <sz val="9"/>
        <rFont val="Adani Regular"/>
      </rPr>
      <t>, 18 Aug</t>
    </r>
  </si>
  <si>
    <r>
      <rPr>
        <strike/>
        <sz val="10"/>
        <color theme="1"/>
        <rFont val="Adani Regular"/>
      </rPr>
      <t>24 Jul</t>
    </r>
    <r>
      <rPr>
        <sz val="10"/>
        <color theme="1"/>
        <rFont val="Adani Regular"/>
        <family val="2"/>
      </rPr>
      <t xml:space="preserve">
28 Jul</t>
    </r>
  </si>
  <si>
    <r>
      <rPr>
        <strike/>
        <sz val="10"/>
        <color theme="1"/>
        <rFont val="Adani Regular"/>
      </rPr>
      <t>29 Jul</t>
    </r>
    <r>
      <rPr>
        <sz val="10"/>
        <color theme="1"/>
        <rFont val="Adani Regular"/>
        <family val="2"/>
      </rPr>
      <t xml:space="preserve">
02 Aug</t>
    </r>
  </si>
  <si>
    <r>
      <rPr>
        <strike/>
        <sz val="10"/>
        <color theme="1"/>
        <rFont val="Adani Regular"/>
      </rPr>
      <t>01 Aug</t>
    </r>
    <r>
      <rPr>
        <sz val="10"/>
        <color theme="1"/>
        <rFont val="Adani Regular"/>
        <family val="2"/>
      </rPr>
      <t xml:space="preserve">
05 Aug</t>
    </r>
  </si>
  <si>
    <r>
      <rPr>
        <strike/>
        <sz val="9"/>
        <rFont val="Adani Regular"/>
      </rPr>
      <t>02 Jul</t>
    </r>
    <r>
      <rPr>
        <sz val="9"/>
        <rFont val="Adani Regular"/>
      </rPr>
      <t xml:space="preserve">, </t>
    </r>
    <r>
      <rPr>
        <strike/>
        <sz val="9"/>
        <rFont val="Adani Regular"/>
      </rPr>
      <t>06 Jul</t>
    </r>
    <r>
      <rPr>
        <sz val="9"/>
        <rFont val="Adani Regular"/>
      </rPr>
      <t xml:space="preserve">,
</t>
    </r>
    <r>
      <rPr>
        <strike/>
        <sz val="9"/>
        <rFont val="Adani Regular"/>
      </rPr>
      <t>27 Jul</t>
    </r>
    <r>
      <rPr>
        <sz val="9"/>
        <rFont val="Adani Regular"/>
      </rPr>
      <t>, 07 Aug</t>
    </r>
  </si>
  <si>
    <t>PCS Placed on slab, Anchoring WIP</t>
  </si>
  <si>
    <r>
      <t xml:space="preserve">* Min. 60 termination teams required for DC &amp; LT Cable termination with 
crimping tool (Each team required at least 01 skilled technician with 01 helper) Common for PSS
Available - 26 teams (52 Technician) of DC &amp; LT Cable Termination &amp; 2 HT Cable Termination Teams
Machinery - Crimping tool: 60, Cable jack: 06, JCB: 06, Excavator: 01, Farana: 06, DG: 08, Welding machine: 10 (Common For PSS)
</t>
    </r>
    <r>
      <rPr>
        <sz val="10"/>
        <color rgb="FF0070C0"/>
        <rFont val="Adani Regular"/>
      </rPr>
      <t xml:space="preserve">Testing To be Completed by </t>
    </r>
    <r>
      <rPr>
        <strike/>
        <sz val="10"/>
        <color rgb="FF0070C0"/>
        <rFont val="Adani Regular"/>
      </rPr>
      <t>19 Jul</t>
    </r>
    <r>
      <rPr>
        <sz val="10"/>
        <color rgb="FF0070C0"/>
        <rFont val="Adani Regular"/>
      </rPr>
      <t xml:space="preserve">, </t>
    </r>
    <r>
      <rPr>
        <strike/>
        <sz val="10"/>
        <color rgb="FF0070C0"/>
        <rFont val="Adani Regular"/>
      </rPr>
      <t>22 july</t>
    </r>
    <r>
      <rPr>
        <sz val="10"/>
        <color rgb="FF0070C0"/>
        <rFont val="Adani Regular"/>
      </rPr>
      <t>, 26 July.</t>
    </r>
    <r>
      <rPr>
        <sz val="10"/>
        <color theme="1"/>
        <rFont val="Adani Regular"/>
        <family val="2"/>
      </rPr>
      <t xml:space="preserve">
</t>
    </r>
    <r>
      <rPr>
        <sz val="10"/>
        <color rgb="FF0070C0"/>
        <rFont val="Adani Regular"/>
      </rPr>
      <t>Required Testing Team (6 Skilled &amp; 12 Unskilled)  (Common For PSS)</t>
    </r>
    <r>
      <rPr>
        <sz val="10"/>
        <color theme="1"/>
        <rFont val="Adani Regular"/>
        <family val="2"/>
      </rPr>
      <t xml:space="preserve">
Testing kits : 
</t>
    </r>
    <r>
      <rPr>
        <sz val="10"/>
        <color rgb="FF0070C0"/>
        <rFont val="Adani Regular"/>
      </rPr>
      <t xml:space="preserve">Oil Filteration, Online PPM Meter, SFRA &amp; Tan Delta, DC Winding Resistance, Turn Ratio meter, routine test kit (common for 1 PSS)
ERT, DC High POT, (common for 1 PSS)
VLF kit (1 nos),
IR Tester, Multimeter &amp; Clamp Meter (atleast 3 per PSS)
Breaker CRM &amp; Timing, Vaccum Bottle Integrity  (common for 1 PSS),
CT Analyzer (2 nos),
Relay Testing Kit, CT Primary Injection (3-Phase), PT Stability (3-Phase), Impedence meter (Common for 1 PSS)
</t>
    </r>
  </si>
  <si>
    <r>
      <rPr>
        <strike/>
        <sz val="10"/>
        <color theme="1"/>
        <rFont val="Adani Regular"/>
      </rPr>
      <t>15 Sep</t>
    </r>
    <r>
      <rPr>
        <sz val="10"/>
        <color theme="1"/>
        <rFont val="Adani Regular"/>
        <family val="2"/>
      </rPr>
      <t xml:space="preserve">
23 Sep</t>
    </r>
  </si>
  <si>
    <r>
      <rPr>
        <strike/>
        <sz val="10"/>
        <color theme="1"/>
        <rFont val="Adani Regular"/>
      </rPr>
      <t>20 Sep</t>
    </r>
    <r>
      <rPr>
        <sz val="10"/>
        <color theme="1"/>
        <rFont val="Adani Regular"/>
        <family val="2"/>
      </rPr>
      <t xml:space="preserve">
27 Sep</t>
    </r>
  </si>
  <si>
    <r>
      <rPr>
        <strike/>
        <sz val="10"/>
        <color theme="1"/>
        <rFont val="Adani Regular"/>
      </rPr>
      <t>23 Sep</t>
    </r>
    <r>
      <rPr>
        <sz val="10"/>
        <color theme="1"/>
        <rFont val="Adani Regular"/>
        <family val="2"/>
      </rPr>
      <t xml:space="preserve">
30 Sep</t>
    </r>
  </si>
  <si>
    <r>
      <rPr>
        <strike/>
        <sz val="9"/>
        <rFont val="Adani Regular"/>
      </rPr>
      <t>12 Sep</t>
    </r>
    <r>
      <rPr>
        <sz val="9"/>
        <rFont val="Adani Regular"/>
      </rPr>
      <t>, 21 Sep</t>
    </r>
  </si>
  <si>
    <r>
      <rPr>
        <strike/>
        <sz val="9"/>
        <rFont val="Adani Regular"/>
      </rPr>
      <t>10 Sep</t>
    </r>
    <r>
      <rPr>
        <sz val="9"/>
        <rFont val="Adani Regular"/>
      </rPr>
      <t>, 19 Sep</t>
    </r>
  </si>
  <si>
    <r>
      <rPr>
        <strike/>
        <sz val="10"/>
        <color theme="1"/>
        <rFont val="Adani Regular"/>
      </rPr>
      <t>14 Sep</t>
    </r>
    <r>
      <rPr>
        <sz val="10"/>
        <color theme="1"/>
        <rFont val="Adani Regular"/>
        <family val="2"/>
      </rPr>
      <t xml:space="preserve">
23 Sep</t>
    </r>
  </si>
  <si>
    <r>
      <rPr>
        <strike/>
        <sz val="10"/>
        <color theme="1"/>
        <rFont val="Adani Regular"/>
      </rPr>
      <t>19 Sep</t>
    </r>
    <r>
      <rPr>
        <sz val="10"/>
        <color theme="1"/>
        <rFont val="Adani Regular"/>
        <family val="2"/>
      </rPr>
      <t xml:space="preserve">
27 Sep</t>
    </r>
  </si>
  <si>
    <r>
      <rPr>
        <strike/>
        <sz val="10"/>
        <color theme="1"/>
        <rFont val="Adani Regular"/>
      </rPr>
      <t>22 Sep</t>
    </r>
    <r>
      <rPr>
        <sz val="10"/>
        <color theme="1"/>
        <rFont val="Adani Regular"/>
        <family val="2"/>
      </rPr>
      <t xml:space="preserve">
30 Sep</t>
    </r>
  </si>
  <si>
    <r>
      <rPr>
        <strike/>
        <sz val="9"/>
        <rFont val="Adani Regular"/>
      </rPr>
      <t>11 Sep</t>
    </r>
    <r>
      <rPr>
        <sz val="9"/>
        <rFont val="Adani Regular"/>
      </rPr>
      <t>, 21 Sep</t>
    </r>
  </si>
  <si>
    <r>
      <rPr>
        <strike/>
        <sz val="9"/>
        <rFont val="Adani Regular"/>
      </rPr>
      <t>09 Sep</t>
    </r>
    <r>
      <rPr>
        <sz val="9"/>
        <rFont val="Adani Regular"/>
      </rPr>
      <t>, 19 Sep</t>
    </r>
  </si>
  <si>
    <r>
      <rPr>
        <strike/>
        <sz val="9"/>
        <rFont val="Adani Regular"/>
      </rPr>
      <t>30 Aug</t>
    </r>
    <r>
      <rPr>
        <sz val="9"/>
        <rFont val="Adani Regular"/>
      </rPr>
      <t>, 10 Sep</t>
    </r>
  </si>
  <si>
    <r>
      <rPr>
        <strike/>
        <sz val="9"/>
        <rFont val="Adani Regular"/>
      </rPr>
      <t>01 Sep</t>
    </r>
    <r>
      <rPr>
        <sz val="9"/>
        <rFont val="Adani Regular"/>
      </rPr>
      <t>, 14 Sep</t>
    </r>
  </si>
  <si>
    <r>
      <rPr>
        <strike/>
        <sz val="10"/>
        <color theme="1"/>
        <rFont val="Adani Regular"/>
      </rPr>
      <t>12 Sep</t>
    </r>
    <r>
      <rPr>
        <sz val="10"/>
        <color theme="1"/>
        <rFont val="Adani Regular"/>
        <family val="2"/>
      </rPr>
      <t xml:space="preserve">
23 Sep</t>
    </r>
  </si>
  <si>
    <r>
      <rPr>
        <strike/>
        <sz val="10"/>
        <color theme="1"/>
        <rFont val="Adani Regular"/>
      </rPr>
      <t>17 Sep</t>
    </r>
    <r>
      <rPr>
        <sz val="10"/>
        <color theme="1"/>
        <rFont val="Adani Regular"/>
        <family val="2"/>
      </rPr>
      <t xml:space="preserve">
27 Sep</t>
    </r>
  </si>
  <si>
    <r>
      <rPr>
        <strike/>
        <sz val="10"/>
        <color theme="1"/>
        <rFont val="Adani Regular"/>
      </rPr>
      <t>20 Sep</t>
    </r>
    <r>
      <rPr>
        <sz val="10"/>
        <color theme="1"/>
        <rFont val="Adani Regular"/>
        <family val="2"/>
      </rPr>
      <t xml:space="preserve">
30 Sep</t>
    </r>
  </si>
  <si>
    <r>
      <rPr>
        <strike/>
        <sz val="10"/>
        <color theme="1"/>
        <rFont val="Adani Regular"/>
      </rPr>
      <t>02 Sep</t>
    </r>
    <r>
      <rPr>
        <sz val="10"/>
        <color theme="1"/>
        <rFont val="Adani Regular"/>
        <family val="2"/>
      </rPr>
      <t xml:space="preserve">
23 Sep</t>
    </r>
  </si>
  <si>
    <r>
      <rPr>
        <strike/>
        <sz val="10"/>
        <color theme="1"/>
        <rFont val="Adani Regular"/>
      </rPr>
      <t>07 Sep</t>
    </r>
    <r>
      <rPr>
        <sz val="10"/>
        <color theme="1"/>
        <rFont val="Adani Regular"/>
        <family val="2"/>
      </rPr>
      <t xml:space="preserve">
27 Sep</t>
    </r>
  </si>
  <si>
    <r>
      <rPr>
        <strike/>
        <sz val="10"/>
        <color theme="1"/>
        <rFont val="Adani Regular"/>
      </rPr>
      <t>10 Sep</t>
    </r>
    <r>
      <rPr>
        <sz val="10"/>
        <color theme="1"/>
        <rFont val="Adani Regular"/>
        <family val="2"/>
      </rPr>
      <t xml:space="preserve">
30 Sep</t>
    </r>
  </si>
  <si>
    <r>
      <rPr>
        <strike/>
        <sz val="9"/>
        <rFont val="Adani Regular"/>
      </rPr>
      <t>07 Sep</t>
    </r>
    <r>
      <rPr>
        <sz val="9"/>
        <rFont val="Adani Regular"/>
      </rPr>
      <t>, 19 Sep</t>
    </r>
  </si>
  <si>
    <r>
      <rPr>
        <strike/>
        <sz val="9"/>
        <rFont val="Adani Regular"/>
      </rPr>
      <t>30 Aug</t>
    </r>
    <r>
      <rPr>
        <sz val="9"/>
        <rFont val="Adani Regular"/>
      </rPr>
      <t>, 14 Sep</t>
    </r>
  </si>
  <si>
    <r>
      <rPr>
        <strike/>
        <sz val="9"/>
        <rFont val="Adani Regular"/>
      </rPr>
      <t>28 Aug</t>
    </r>
    <r>
      <rPr>
        <sz val="9"/>
        <rFont val="Adani Regular"/>
      </rPr>
      <t>, 10 Sep</t>
    </r>
  </si>
  <si>
    <r>
      <rPr>
        <strike/>
        <sz val="9"/>
        <rFont val="Adani Regular"/>
      </rPr>
      <t>30 Aug</t>
    </r>
    <r>
      <rPr>
        <sz val="9"/>
        <rFont val="Adani Regular"/>
      </rPr>
      <t>, 11 Sep</t>
    </r>
  </si>
  <si>
    <r>
      <rPr>
        <strike/>
        <sz val="9"/>
        <rFont val="Adani Regular"/>
      </rPr>
      <t>01 Sep</t>
    </r>
    <r>
      <rPr>
        <sz val="9"/>
        <rFont val="Adani Regular"/>
      </rPr>
      <t>, 12 Sep</t>
    </r>
  </si>
  <si>
    <r>
      <rPr>
        <strike/>
        <sz val="9"/>
        <rFont val="Adani Regular"/>
      </rPr>
      <t>30 Aug</t>
    </r>
    <r>
      <rPr>
        <sz val="9"/>
        <rFont val="Adani Regular"/>
      </rPr>
      <t>, 21 Sep</t>
    </r>
  </si>
  <si>
    <r>
      <rPr>
        <strike/>
        <sz val="9"/>
        <rFont val="Adani Regular"/>
      </rPr>
      <t>28 Aug</t>
    </r>
    <r>
      <rPr>
        <sz val="9"/>
        <rFont val="Adani Regular"/>
      </rPr>
      <t>, 19 Sep</t>
    </r>
  </si>
  <si>
    <r>
      <rPr>
        <strike/>
        <sz val="9"/>
        <rFont val="Adani Regular"/>
      </rPr>
      <t>12 Jul</t>
    </r>
    <r>
      <rPr>
        <sz val="9"/>
        <rFont val="Adani Regular"/>
      </rPr>
      <t xml:space="preserve">, </t>
    </r>
    <r>
      <rPr>
        <strike/>
        <sz val="9"/>
        <rFont val="Adani Regular"/>
      </rPr>
      <t xml:space="preserve">20 Jul,
</t>
    </r>
    <r>
      <rPr>
        <sz val="9"/>
        <rFont val="Adani Regular"/>
      </rPr>
      <t xml:space="preserve">05 Aug </t>
    </r>
  </si>
  <si>
    <r>
      <rPr>
        <strike/>
        <sz val="9"/>
        <rFont val="Adani Regular"/>
      </rPr>
      <t>17 Jul</t>
    </r>
    <r>
      <rPr>
        <sz val="9"/>
        <rFont val="Adani Regular"/>
      </rPr>
      <t xml:space="preserve">, </t>
    </r>
    <r>
      <rPr>
        <strike/>
        <sz val="9"/>
        <rFont val="Adani Regular"/>
      </rPr>
      <t>23 Jul</t>
    </r>
    <r>
      <rPr>
        <sz val="9"/>
        <rFont val="Adani Regular"/>
      </rPr>
      <t>,
27 Jul</t>
    </r>
  </si>
  <si>
    <r>
      <rPr>
        <strike/>
        <sz val="9"/>
        <rFont val="Adani Regular"/>
      </rPr>
      <t>22 Jul</t>
    </r>
    <r>
      <rPr>
        <sz val="9"/>
        <rFont val="Adani Regular"/>
      </rPr>
      <t xml:space="preserve">, </t>
    </r>
    <r>
      <rPr>
        <strike/>
        <sz val="9"/>
        <rFont val="Adani Regular"/>
      </rPr>
      <t>26 Jul</t>
    </r>
    <r>
      <rPr>
        <sz val="9"/>
        <rFont val="Adani Regular"/>
      </rPr>
      <t>,
31 Jul</t>
    </r>
  </si>
  <si>
    <r>
      <rPr>
        <strike/>
        <sz val="9"/>
        <rFont val="Adani Regular"/>
      </rPr>
      <t>18 Jul</t>
    </r>
    <r>
      <rPr>
        <sz val="9"/>
        <rFont val="Adani Regular"/>
      </rPr>
      <t xml:space="preserve">, </t>
    </r>
    <r>
      <rPr>
        <strike/>
        <sz val="9"/>
        <rFont val="Adani Regular"/>
      </rPr>
      <t>24 Jul</t>
    </r>
    <r>
      <rPr>
        <sz val="9"/>
        <rFont val="Adani Regular"/>
      </rPr>
      <t>,
28 Jul</t>
    </r>
  </si>
  <si>
    <r>
      <rPr>
        <strike/>
        <sz val="9"/>
        <rFont val="Adani Regular"/>
      </rPr>
      <t>14 Jul</t>
    </r>
    <r>
      <rPr>
        <sz val="9"/>
        <rFont val="Adani Regular"/>
      </rPr>
      <t xml:space="preserve">, </t>
    </r>
    <r>
      <rPr>
        <strike/>
        <sz val="9"/>
        <rFont val="Adani Regular"/>
      </rPr>
      <t>23 Jul</t>
    </r>
    <r>
      <rPr>
        <sz val="9"/>
        <rFont val="Adani Regular"/>
      </rPr>
      <t>,
29 Jul</t>
    </r>
  </si>
  <si>
    <r>
      <rPr>
        <strike/>
        <sz val="9"/>
        <rFont val="Adani Regular"/>
      </rPr>
      <t>24 Jul</t>
    </r>
    <r>
      <rPr>
        <sz val="9"/>
        <rFont val="Adani Regular"/>
      </rPr>
      <t xml:space="preserve">, </t>
    </r>
    <r>
      <rPr>
        <strike/>
        <sz val="9"/>
        <rFont val="Adani Regular"/>
      </rPr>
      <t>26 Jul</t>
    </r>
    <r>
      <rPr>
        <sz val="9"/>
        <rFont val="Adani Regular"/>
      </rPr>
      <t>,
01 Aug</t>
    </r>
  </si>
  <si>
    <r>
      <rPr>
        <strike/>
        <sz val="9"/>
        <rFont val="Adani Regular"/>
      </rPr>
      <t>09 Jul</t>
    </r>
    <r>
      <rPr>
        <sz val="9"/>
        <rFont val="Adani Regular"/>
      </rPr>
      <t xml:space="preserve">, </t>
    </r>
    <r>
      <rPr>
        <strike/>
        <sz val="9"/>
        <rFont val="Adani Regular"/>
      </rPr>
      <t>20 Jul</t>
    </r>
    <r>
      <rPr>
        <sz val="9"/>
        <rFont val="Adani Regular"/>
      </rPr>
      <t>,
27 Jul</t>
    </r>
  </si>
  <si>
    <r>
      <rPr>
        <strike/>
        <sz val="9"/>
        <rFont val="Adani Regular"/>
      </rPr>
      <t>13 Jul</t>
    </r>
    <r>
      <rPr>
        <sz val="9"/>
        <rFont val="Adani Regular"/>
      </rPr>
      <t xml:space="preserve">, </t>
    </r>
    <r>
      <rPr>
        <strike/>
        <sz val="9"/>
        <rFont val="Adani Regular"/>
      </rPr>
      <t>21 Jul</t>
    </r>
    <r>
      <rPr>
        <sz val="9"/>
        <rFont val="Adani Regular"/>
      </rPr>
      <t>,
29 Jul</t>
    </r>
  </si>
  <si>
    <r>
      <rPr>
        <strike/>
        <sz val="9"/>
        <rFont val="Adani Regular"/>
      </rPr>
      <t>10 Jul</t>
    </r>
    <r>
      <rPr>
        <sz val="9"/>
        <rFont val="Adani Regular"/>
      </rPr>
      <t xml:space="preserve">, </t>
    </r>
    <r>
      <rPr>
        <strike/>
        <sz val="9"/>
        <rFont val="Adani Regular"/>
      </rPr>
      <t>18 Jul</t>
    </r>
    <r>
      <rPr>
        <sz val="9"/>
        <rFont val="Adani Regular"/>
      </rPr>
      <t>,
28 Jul</t>
    </r>
  </si>
  <si>
    <r>
      <rPr>
        <strike/>
        <sz val="9"/>
        <rFont val="Adani Regular"/>
      </rPr>
      <t>14 Jul</t>
    </r>
    <r>
      <rPr>
        <sz val="9"/>
        <rFont val="Adani Regular"/>
      </rPr>
      <t xml:space="preserve">, </t>
    </r>
    <r>
      <rPr>
        <strike/>
        <sz val="9"/>
        <rFont val="Adani Regular"/>
      </rPr>
      <t>19 Jul</t>
    </r>
    <r>
      <rPr>
        <sz val="9"/>
        <rFont val="Adani Regular"/>
      </rPr>
      <t>,
27 Jul</t>
    </r>
  </si>
  <si>
    <r>
      <rPr>
        <strike/>
        <sz val="9"/>
        <rFont val="Adani Regular"/>
      </rPr>
      <t>15 Jul, 25 Jul</t>
    </r>
    <r>
      <rPr>
        <sz val="9"/>
        <rFont val="Adani Regular"/>
      </rPr>
      <t>,
30 Jul</t>
    </r>
  </si>
  <si>
    <r>
      <rPr>
        <strike/>
        <sz val="9"/>
        <rFont val="Adani Regular"/>
      </rPr>
      <t>25 Jul</t>
    </r>
    <r>
      <rPr>
        <sz val="9"/>
        <rFont val="Adani Regular"/>
      </rPr>
      <t xml:space="preserve">, </t>
    </r>
    <r>
      <rPr>
        <strike/>
        <sz val="9"/>
        <rFont val="Adani Regular"/>
      </rPr>
      <t>27 Jul</t>
    </r>
    <r>
      <rPr>
        <sz val="9"/>
        <rFont val="Adani Regular"/>
      </rPr>
      <t>,
02 Aug</t>
    </r>
  </si>
  <si>
    <r>
      <rPr>
        <strike/>
        <sz val="9"/>
        <rFont val="Adani Regular"/>
      </rPr>
      <t>10 Jul</t>
    </r>
    <r>
      <rPr>
        <sz val="9"/>
        <rFont val="Adani Regular"/>
      </rPr>
      <t xml:space="preserve">, </t>
    </r>
    <r>
      <rPr>
        <strike/>
        <sz val="9"/>
        <rFont val="Adani Regular"/>
      </rPr>
      <t>23 Jul</t>
    </r>
    <r>
      <rPr>
        <sz val="9"/>
        <rFont val="Adani Regular"/>
      </rPr>
      <t>,
28 Jul</t>
    </r>
  </si>
  <si>
    <r>
      <rPr>
        <strike/>
        <sz val="9"/>
        <rFont val="Adani Regular"/>
      </rPr>
      <t>14 Jul</t>
    </r>
    <r>
      <rPr>
        <sz val="9"/>
        <rFont val="Adani Regular"/>
      </rPr>
      <t xml:space="preserve">, </t>
    </r>
    <r>
      <rPr>
        <strike/>
        <sz val="9"/>
        <rFont val="Adani Regular"/>
      </rPr>
      <t>24 Jul</t>
    </r>
    <r>
      <rPr>
        <sz val="9"/>
        <rFont val="Adani Regular"/>
      </rPr>
      <t>,
30 Jul</t>
    </r>
  </si>
  <si>
    <r>
      <rPr>
        <strike/>
        <sz val="9"/>
        <rFont val="Adani Regular"/>
      </rPr>
      <t>10 Jul</t>
    </r>
    <r>
      <rPr>
        <sz val="9"/>
        <rFont val="Adani Regular"/>
      </rPr>
      <t xml:space="preserve">, </t>
    </r>
    <r>
      <rPr>
        <strike/>
        <sz val="9"/>
        <rFont val="Adani Regular"/>
      </rPr>
      <t>20 Jul</t>
    </r>
    <r>
      <rPr>
        <sz val="9"/>
        <rFont val="Adani Regular"/>
      </rPr>
      <t>,
31 Jul</t>
    </r>
  </si>
  <si>
    <r>
      <rPr>
        <strike/>
        <sz val="9"/>
        <rFont val="Adani Regular"/>
      </rPr>
      <t>12 Aug</t>
    </r>
    <r>
      <rPr>
        <sz val="9"/>
        <rFont val="Adani Regular"/>
      </rPr>
      <t xml:space="preserve">, </t>
    </r>
    <r>
      <rPr>
        <strike/>
        <sz val="9"/>
        <rFont val="Adani Regular"/>
      </rPr>
      <t>23 Aug</t>
    </r>
    <r>
      <rPr>
        <sz val="9"/>
        <rFont val="Adani Regular"/>
      </rPr>
      <t>,
31 Aug</t>
    </r>
  </si>
  <si>
    <r>
      <rPr>
        <strike/>
        <sz val="9"/>
        <rFont val="Adani Regular"/>
      </rPr>
      <t>18 Aug</t>
    </r>
    <r>
      <rPr>
        <sz val="9"/>
        <rFont val="Adani Regular"/>
      </rPr>
      <t xml:space="preserve">, </t>
    </r>
    <r>
      <rPr>
        <strike/>
        <sz val="9"/>
        <rFont val="Adani Regular"/>
      </rPr>
      <t>24 Aug</t>
    </r>
    <r>
      <rPr>
        <sz val="9"/>
        <rFont val="Adani Regular"/>
      </rPr>
      <t>,
09 Sep</t>
    </r>
  </si>
  <si>
    <r>
      <rPr>
        <strike/>
        <sz val="9"/>
        <rFont val="Adani Regular"/>
      </rPr>
      <t>23 Aug</t>
    </r>
    <r>
      <rPr>
        <sz val="9"/>
        <rFont val="Adani Regular"/>
      </rPr>
      <t xml:space="preserve">, </t>
    </r>
    <r>
      <rPr>
        <strike/>
        <sz val="9"/>
        <rFont val="Adani Regular"/>
      </rPr>
      <t>27 Aug</t>
    </r>
    <r>
      <rPr>
        <sz val="9"/>
        <rFont val="Adani Regular"/>
      </rPr>
      <t>,
01 Sep</t>
    </r>
  </si>
  <si>
    <t>Lugging complete, Torquing pending.</t>
  </si>
  <si>
    <t>Torquing will be done post VLF test</t>
  </si>
  <si>
    <r>
      <rPr>
        <strike/>
        <sz val="10"/>
        <color theme="1"/>
        <rFont val="Adani Regular"/>
      </rPr>
      <t>08 Aug</t>
    </r>
    <r>
      <rPr>
        <sz val="10"/>
        <color theme="1"/>
        <rFont val="Adani Regular"/>
        <family val="2"/>
      </rPr>
      <t xml:space="preserve">
23 Aug</t>
    </r>
  </si>
  <si>
    <r>
      <rPr>
        <strike/>
        <sz val="10"/>
        <color theme="1"/>
        <rFont val="Adani Regular"/>
      </rPr>
      <t>13 Aug</t>
    </r>
    <r>
      <rPr>
        <sz val="10"/>
        <color theme="1"/>
        <rFont val="Adani Regular"/>
        <family val="2"/>
      </rPr>
      <t xml:space="preserve">
28 Aug</t>
    </r>
  </si>
  <si>
    <r>
      <rPr>
        <strike/>
        <sz val="10"/>
        <color theme="1"/>
        <rFont val="Adani Regular"/>
      </rPr>
      <t>16 Aug</t>
    </r>
    <r>
      <rPr>
        <sz val="10"/>
        <color theme="1"/>
        <rFont val="Adani Regular"/>
        <family val="2"/>
      </rPr>
      <t xml:space="preserve">
31 Aug</t>
    </r>
  </si>
  <si>
    <t>Only Lugging WIP, Torquing YTS.</t>
  </si>
  <si>
    <t>Lugging completed, Torquing WIP (2160 completed) traffo CT replacement WIP.</t>
  </si>
  <si>
    <t>Lugging completed, torquing WIP (1280 completed)</t>
  </si>
  <si>
    <t>CFT to be completed by 30 Jul.</t>
  </si>
  <si>
    <r>
      <rPr>
        <strike/>
        <sz val="9"/>
        <color rgb="FF000000"/>
        <rFont val="Adani Regular"/>
      </rPr>
      <t>11 Jul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12 Jul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26 Jul</t>
    </r>
    <r>
      <rPr>
        <sz val="9"/>
        <color rgb="FF000000"/>
        <rFont val="Adani Regular"/>
      </rPr>
      <t>, 04 Aug</t>
    </r>
  </si>
  <si>
    <r>
      <rPr>
        <strike/>
        <sz val="9"/>
        <rFont val="Adani Regular"/>
      </rPr>
      <t>15 Jul</t>
    </r>
    <r>
      <rPr>
        <sz val="9"/>
        <rFont val="Adani Regular"/>
      </rPr>
      <t xml:space="preserve">, </t>
    </r>
    <r>
      <rPr>
        <strike/>
        <sz val="9"/>
        <rFont val="Adani Regular"/>
      </rPr>
      <t>18 Jul</t>
    </r>
    <r>
      <rPr>
        <sz val="9"/>
        <rFont val="Adani Regular"/>
      </rPr>
      <t xml:space="preserve">,
</t>
    </r>
    <r>
      <rPr>
        <strike/>
        <sz val="9"/>
        <rFont val="Adani Regular"/>
      </rPr>
      <t>25 Jul</t>
    </r>
    <r>
      <rPr>
        <sz val="9"/>
        <rFont val="Adani Regular"/>
      </rPr>
      <t>, 01 Aug</t>
    </r>
  </si>
  <si>
    <r>
      <rPr>
        <strike/>
        <sz val="9"/>
        <rFont val="Adani Regular"/>
      </rPr>
      <t>15 Jul</t>
    </r>
    <r>
      <rPr>
        <sz val="9"/>
        <rFont val="Adani Regular"/>
      </rPr>
      <t xml:space="preserve">, </t>
    </r>
    <r>
      <rPr>
        <strike/>
        <sz val="9"/>
        <rFont val="Adani Regular"/>
      </rPr>
      <t>18 Jul</t>
    </r>
    <r>
      <rPr>
        <sz val="9"/>
        <rFont val="Adani Regular"/>
      </rPr>
      <t xml:space="preserve">,
</t>
    </r>
    <r>
      <rPr>
        <strike/>
        <sz val="9"/>
        <rFont val="Adani Regular"/>
      </rPr>
      <t>25 Jul</t>
    </r>
    <r>
      <rPr>
        <sz val="9"/>
        <rFont val="Adani Regular"/>
      </rPr>
      <t>, 02 Aug</t>
    </r>
  </si>
  <si>
    <r>
      <rPr>
        <strike/>
        <sz val="9"/>
        <color rgb="FF000000"/>
        <rFont val="Adani Regular"/>
      </rPr>
      <t>04 Jul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07 Jul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25 Jul</t>
    </r>
    <r>
      <rPr>
        <sz val="9"/>
        <color rgb="FF000000"/>
        <rFont val="Adani Regular"/>
      </rPr>
      <t>, 30 Jul</t>
    </r>
  </si>
  <si>
    <t>Placed on slab, welding WIP</t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</si>
  <si>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10 Jul</t>
    </r>
    <r>
      <rPr>
        <sz val="9"/>
        <rFont val="Adani Regular"/>
      </rPr>
      <t xml:space="preserve">,
</t>
    </r>
    <r>
      <rPr>
        <strike/>
        <sz val="9"/>
        <rFont val="Adani Regular"/>
      </rPr>
      <t>25 Jul</t>
    </r>
    <r>
      <rPr>
        <sz val="9"/>
        <rFont val="Adani Regular"/>
      </rPr>
      <t>, 30 Jul</t>
    </r>
  </si>
  <si>
    <r>
      <rPr>
        <strike/>
        <sz val="9"/>
        <rFont val="Adani Regular"/>
      </rPr>
      <t>15 Jul</t>
    </r>
    <r>
      <rPr>
        <sz val="9"/>
        <rFont val="Adani Regular"/>
      </rPr>
      <t xml:space="preserve">, </t>
    </r>
    <r>
      <rPr>
        <strike/>
        <sz val="9"/>
        <rFont val="Adani Regular"/>
      </rPr>
      <t>25 Jul</t>
    </r>
    <r>
      <rPr>
        <sz val="9"/>
        <rFont val="Adani Regular"/>
      </rPr>
      <t xml:space="preserve">,
</t>
    </r>
    <r>
      <rPr>
        <strike/>
        <sz val="9"/>
        <rFont val="Adani Regular"/>
      </rPr>
      <t>27 Jul</t>
    </r>
    <r>
      <rPr>
        <sz val="9"/>
        <rFont val="Adani Regular"/>
      </rPr>
      <t>, 02 Aug</t>
    </r>
  </si>
  <si>
    <r>
      <rPr>
        <strike/>
        <sz val="9"/>
        <rFont val="Adani Regular"/>
      </rPr>
      <t>15 Jul</t>
    </r>
    <r>
      <rPr>
        <sz val="9"/>
        <rFont val="Adani Regular"/>
      </rPr>
      <t xml:space="preserve">, </t>
    </r>
    <r>
      <rPr>
        <strike/>
        <sz val="9"/>
        <rFont val="Adani Regular"/>
      </rPr>
      <t>25 Jul</t>
    </r>
    <r>
      <rPr>
        <sz val="9"/>
        <rFont val="Adani Regular"/>
      </rPr>
      <t xml:space="preserve">,
</t>
    </r>
    <r>
      <rPr>
        <strike/>
        <sz val="9"/>
        <rFont val="Adani Regular"/>
      </rPr>
      <t>27 Jul</t>
    </r>
    <r>
      <rPr>
        <sz val="9"/>
        <rFont val="Adani Regular"/>
      </rPr>
      <t>, 01 Aug</t>
    </r>
  </si>
  <si>
    <r>
      <rPr>
        <strike/>
        <sz val="9"/>
        <rFont val="Adani Regular"/>
      </rPr>
      <t>25 Jul</t>
    </r>
    <r>
      <rPr>
        <sz val="9"/>
        <rFont val="Adani Regular"/>
      </rPr>
      <t xml:space="preserve">, </t>
    </r>
    <r>
      <rPr>
        <strike/>
        <sz val="9"/>
        <rFont val="Adani Regular"/>
      </rPr>
      <t>28 Jul</t>
    </r>
    <r>
      <rPr>
        <sz val="9"/>
        <rFont val="Adani Regular"/>
      </rPr>
      <t>,
04 Aug</t>
    </r>
  </si>
  <si>
    <r>
      <rPr>
        <strike/>
        <sz val="9"/>
        <rFont val="Adani Regular"/>
      </rPr>
      <t>11 Jul</t>
    </r>
    <r>
      <rPr>
        <sz val="9"/>
        <rFont val="Adani Regular"/>
      </rPr>
      <t xml:space="preserve">, </t>
    </r>
    <r>
      <rPr>
        <strike/>
        <sz val="9"/>
        <rFont val="Adani Regular"/>
      </rPr>
      <t>19 Jul</t>
    </r>
    <r>
      <rPr>
        <sz val="9"/>
        <rFont val="Adani Regular"/>
      </rPr>
      <t xml:space="preserve">,
</t>
    </r>
    <r>
      <rPr>
        <strike/>
        <sz val="9"/>
        <rFont val="Adani Regular"/>
      </rPr>
      <t>25 Jul</t>
    </r>
    <r>
      <rPr>
        <sz val="9"/>
        <rFont val="Adani Regular"/>
      </rPr>
      <t>, 31 Jul</t>
    </r>
  </si>
  <si>
    <r>
      <rPr>
        <strike/>
        <sz val="9"/>
        <rFont val="Adani Regular"/>
      </rPr>
      <t>23 Jul</t>
    </r>
    <r>
      <rPr>
        <sz val="9"/>
        <rFont val="Adani Regular"/>
      </rPr>
      <t xml:space="preserve">, </t>
    </r>
    <r>
      <rPr>
        <strike/>
        <sz val="9"/>
        <rFont val="Adani Regular"/>
      </rPr>
      <t>27 Jul</t>
    </r>
    <r>
      <rPr>
        <sz val="9"/>
        <rFont val="Adani Regular"/>
      </rPr>
      <t>,
03 Aug</t>
    </r>
  </si>
  <si>
    <r>
      <rPr>
        <strike/>
        <sz val="9"/>
        <rFont val="Adani Regular"/>
      </rPr>
      <t>11 Jul</t>
    </r>
    <r>
      <rPr>
        <sz val="9"/>
        <rFont val="Adani Regular"/>
      </rPr>
      <t xml:space="preserve">, </t>
    </r>
    <r>
      <rPr>
        <strike/>
        <sz val="9"/>
        <rFont val="Adani Regular"/>
      </rPr>
      <t>20 Jul</t>
    </r>
    <r>
      <rPr>
        <sz val="9"/>
        <rFont val="Adani Regular"/>
      </rPr>
      <t xml:space="preserve">,
</t>
    </r>
    <r>
      <rPr>
        <strike/>
        <sz val="9"/>
        <rFont val="Adani Regular"/>
      </rPr>
      <t>25 Jul</t>
    </r>
    <r>
      <rPr>
        <sz val="9"/>
        <rFont val="Adani Regular"/>
      </rPr>
      <t>, 31 Jul</t>
    </r>
  </si>
  <si>
    <r>
      <rPr>
        <strike/>
        <sz val="9"/>
        <rFont val="Adani Regular"/>
      </rPr>
      <t>13 Jul</t>
    </r>
    <r>
      <rPr>
        <sz val="9"/>
        <rFont val="Adani Regular"/>
      </rPr>
      <t xml:space="preserve">, </t>
    </r>
    <r>
      <rPr>
        <strike/>
        <sz val="9"/>
        <rFont val="Adani Regular"/>
      </rPr>
      <t>19 Jul</t>
    </r>
    <r>
      <rPr>
        <sz val="9"/>
        <rFont val="Adani Regular"/>
      </rPr>
      <t xml:space="preserve">,
</t>
    </r>
    <r>
      <rPr>
        <strike/>
        <sz val="9"/>
        <rFont val="Adani Regular"/>
      </rPr>
      <t>26 Jul</t>
    </r>
    <r>
      <rPr>
        <sz val="9"/>
        <rFont val="Adani Regular"/>
      </rPr>
      <t>, 02 Aug</t>
    </r>
  </si>
  <si>
    <r>
      <rPr>
        <strike/>
        <sz val="9"/>
        <rFont val="Adani Regular"/>
      </rPr>
      <t>15 Jul</t>
    </r>
    <r>
      <rPr>
        <sz val="9"/>
        <rFont val="Adani Regular"/>
      </rPr>
      <t xml:space="preserve">, </t>
    </r>
    <r>
      <rPr>
        <strike/>
        <sz val="9"/>
        <rFont val="Adani Regular"/>
      </rPr>
      <t>25 Jul</t>
    </r>
    <r>
      <rPr>
        <sz val="9"/>
        <rFont val="Adani Regular"/>
      </rPr>
      <t>,
02 Aug</t>
    </r>
  </si>
  <si>
    <r>
      <rPr>
        <strike/>
        <sz val="9"/>
        <rFont val="Adani Regular"/>
      </rPr>
      <t>21 Jul,</t>
    </r>
    <r>
      <rPr>
        <sz val="9"/>
        <rFont val="Adani Regular"/>
      </rPr>
      <t xml:space="preserve"> </t>
    </r>
    <r>
      <rPr>
        <strike/>
        <sz val="9"/>
        <rFont val="Adani Regular"/>
      </rPr>
      <t>25 Jul</t>
    </r>
    <r>
      <rPr>
        <sz val="9"/>
        <rFont val="Adani Regular"/>
      </rPr>
      <t xml:space="preserve">,
</t>
    </r>
    <r>
      <rPr>
        <strike/>
        <sz val="9"/>
        <rFont val="Adani Regular"/>
      </rPr>
      <t>28 Jul</t>
    </r>
    <r>
      <rPr>
        <sz val="9"/>
        <rFont val="Adani Regular"/>
      </rPr>
      <t>, 30 Jul</t>
    </r>
  </si>
  <si>
    <r>
      <rPr>
        <strike/>
        <sz val="9"/>
        <rFont val="Adani Regular"/>
      </rPr>
      <t>19 Jul</t>
    </r>
    <r>
      <rPr>
        <sz val="9"/>
        <rFont val="Adani Regular"/>
      </rPr>
      <t xml:space="preserve">, </t>
    </r>
    <r>
      <rPr>
        <strike/>
        <sz val="9"/>
        <rFont val="Adani Regular"/>
      </rPr>
      <t>23 Jul</t>
    </r>
    <r>
      <rPr>
        <sz val="9"/>
        <rFont val="Adani Regular"/>
      </rPr>
      <t xml:space="preserve">,
</t>
    </r>
    <r>
      <rPr>
        <strike/>
        <sz val="9"/>
        <rFont val="Adani Regular"/>
      </rPr>
      <t>27 Jul</t>
    </r>
    <r>
      <rPr>
        <sz val="9"/>
        <rFont val="Adani Regular"/>
      </rPr>
      <t>, 30 Jul</t>
    </r>
  </si>
  <si>
    <r>
      <rPr>
        <strike/>
        <sz val="9"/>
        <rFont val="Adani Regular"/>
      </rPr>
      <t>09 Jul,</t>
    </r>
    <r>
      <rPr>
        <sz val="9"/>
        <rFont val="Adani Regular"/>
      </rPr>
      <t xml:space="preserve"> </t>
    </r>
    <r>
      <rPr>
        <strike/>
        <sz val="9"/>
        <rFont val="Adani Regular"/>
      </rPr>
      <t>13 Jul</t>
    </r>
    <r>
      <rPr>
        <sz val="9"/>
        <rFont val="Adani Regular"/>
      </rPr>
      <t xml:space="preserve">,
</t>
    </r>
    <r>
      <rPr>
        <strike/>
        <sz val="9"/>
        <rFont val="Adani Regular"/>
      </rPr>
      <t>26 Jul</t>
    </r>
    <r>
      <rPr>
        <sz val="9"/>
        <rFont val="Adani Regular"/>
      </rPr>
      <t>, 30 Jul</t>
    </r>
  </si>
  <si>
    <r>
      <rPr>
        <strike/>
        <sz val="9"/>
        <rFont val="Adani Regular"/>
      </rPr>
      <t>23-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28 Jul</t>
    </r>
    <r>
      <rPr>
        <sz val="9"/>
        <rFont val="Adani Regular"/>
      </rPr>
      <t xml:space="preserve">,
</t>
    </r>
    <r>
      <rPr>
        <strike/>
        <sz val="9"/>
        <rFont val="Adani Regular"/>
      </rPr>
      <t xml:space="preserve">30 Jul. </t>
    </r>
    <r>
      <rPr>
        <sz val="9"/>
        <rFont val="Adani Regular"/>
      </rPr>
      <t>31 Jul</t>
    </r>
  </si>
  <si>
    <r>
      <rPr>
        <strike/>
        <sz val="9"/>
        <rFont val="Adani Regular"/>
      </rPr>
      <t>15 Jul</t>
    </r>
    <r>
      <rPr>
        <sz val="9"/>
        <rFont val="Adani Regular"/>
      </rPr>
      <t xml:space="preserve">, </t>
    </r>
    <r>
      <rPr>
        <strike/>
        <sz val="9"/>
        <rFont val="Adani Regular"/>
      </rPr>
      <t>23 Jul</t>
    </r>
    <r>
      <rPr>
        <sz val="9"/>
        <rFont val="Adani Regular"/>
      </rPr>
      <t xml:space="preserve">,
</t>
    </r>
    <r>
      <rPr>
        <strike/>
        <sz val="9"/>
        <rFont val="Adani Regular"/>
      </rPr>
      <t>28 Jul</t>
    </r>
    <r>
      <rPr>
        <sz val="9"/>
        <rFont val="Adani Regular"/>
      </rPr>
      <t>, 31 Aug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</si>
  <si>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10 Jul</t>
    </r>
    <r>
      <rPr>
        <sz val="9"/>
        <rFont val="Adani Regular"/>
        <family val="2"/>
      </rPr>
      <t xml:space="preserve">,
</t>
    </r>
    <r>
      <rPr>
        <strike/>
        <sz val="9"/>
        <rFont val="Adani Regular"/>
      </rPr>
      <t>25 Jul</t>
    </r>
    <r>
      <rPr>
        <sz val="9"/>
        <rFont val="Adani Regular"/>
      </rPr>
      <t>, 30 Jul</t>
    </r>
  </si>
  <si>
    <r>
      <t>15 Jul, 24 Jul,
28 Jul</t>
    </r>
    <r>
      <rPr>
        <sz val="9"/>
        <rFont val="Adani Regular"/>
      </rPr>
      <t>, 31 Jul</t>
    </r>
  </si>
  <si>
    <r>
      <rPr>
        <strike/>
        <sz val="9"/>
        <rFont val="Adani Regular"/>
      </rPr>
      <t>28 Jul</t>
    </r>
    <r>
      <rPr>
        <sz val="9"/>
        <rFont val="Adani Regular"/>
      </rPr>
      <t xml:space="preserve">, </t>
    </r>
    <r>
      <rPr>
        <strike/>
        <sz val="9"/>
        <rFont val="Adani Regular"/>
      </rPr>
      <t>31 Jul</t>
    </r>
    <r>
      <rPr>
        <sz val="9"/>
        <rFont val="Adani Regular"/>
      </rPr>
      <t>,
02 Aug</t>
    </r>
  </si>
  <si>
    <r>
      <rPr>
        <strike/>
        <sz val="9"/>
        <rFont val="Adani Regular"/>
      </rPr>
      <t>26 Jul</t>
    </r>
    <r>
      <rPr>
        <sz val="9"/>
        <rFont val="Adani Regular"/>
      </rPr>
      <t xml:space="preserve">, </t>
    </r>
    <r>
      <rPr>
        <strike/>
        <sz val="9"/>
        <rFont val="Adani Regular"/>
      </rPr>
      <t>29 Jul</t>
    </r>
    <r>
      <rPr>
        <sz val="9"/>
        <rFont val="Adani Regular"/>
      </rPr>
      <t>,
01 Aug</t>
    </r>
  </si>
  <si>
    <r>
      <rPr>
        <strike/>
        <sz val="9"/>
        <rFont val="Adani Regular"/>
      </rPr>
      <t>13 Jul</t>
    </r>
    <r>
      <rPr>
        <sz val="9"/>
        <rFont val="Adani Regular"/>
      </rPr>
      <t xml:space="preserve">, </t>
    </r>
    <r>
      <rPr>
        <strike/>
        <sz val="9"/>
        <rFont val="Adani Regular"/>
      </rPr>
      <t>25 Jul</t>
    </r>
    <r>
      <rPr>
        <sz val="9"/>
        <rFont val="Adani Regular"/>
      </rPr>
      <t xml:space="preserve">,
</t>
    </r>
    <r>
      <rPr>
        <strike/>
        <sz val="9"/>
        <rFont val="Adani Regular"/>
      </rPr>
      <t>28 Jul</t>
    </r>
    <r>
      <rPr>
        <sz val="9"/>
        <rFont val="Adani Regular"/>
      </rPr>
      <t>, 01 Aug</t>
    </r>
  </si>
  <si>
    <t>Lugging - 1248, toquing - 512</t>
  </si>
  <si>
    <t>Lugging - 2112, toquing - 384</t>
  </si>
  <si>
    <r>
      <rPr>
        <strike/>
        <sz val="9"/>
        <rFont val="Adani Regular"/>
      </rPr>
      <t>13-Jul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26 Jul</t>
    </r>
    <r>
      <rPr>
        <sz val="9"/>
        <rFont val="Adani Regular"/>
      </rPr>
      <t>,
30 Jul</t>
    </r>
  </si>
  <si>
    <r>
      <rPr>
        <strike/>
        <sz val="9"/>
        <rFont val="Adani Regular"/>
      </rPr>
      <t>13-Jul,</t>
    </r>
    <r>
      <rPr>
        <sz val="9"/>
        <rFont val="Adani Regular"/>
        <family val="2"/>
      </rPr>
      <t xml:space="preserve"> </t>
    </r>
    <r>
      <rPr>
        <strike/>
        <sz val="9"/>
        <rFont val="Adani Regular"/>
      </rPr>
      <t>26 Jul</t>
    </r>
    <r>
      <rPr>
        <sz val="9"/>
        <rFont val="Adani Regular"/>
      </rPr>
      <t>,</t>
    </r>
    <r>
      <rPr>
        <strike/>
        <sz val="9"/>
        <rFont val="Adani Regular"/>
      </rPr>
      <t xml:space="preserve">
</t>
    </r>
    <r>
      <rPr>
        <sz val="9"/>
        <rFont val="Adani Regular"/>
      </rPr>
      <t>30-Jul</t>
    </r>
  </si>
  <si>
    <r>
      <t xml:space="preserve">13-Jul, 26 Jul,
</t>
    </r>
    <r>
      <rPr>
        <sz val="9"/>
        <rFont val="Adani Regular"/>
      </rPr>
      <t>30-Jul</t>
    </r>
  </si>
  <si>
    <r>
      <rPr>
        <strike/>
        <sz val="9"/>
        <rFont val="Adani Regular"/>
      </rPr>
      <t>23-Jul, 28 Jul,</t>
    </r>
    <r>
      <rPr>
        <sz val="9"/>
        <rFont val="Adani Regular"/>
      </rPr>
      <t xml:space="preserve">
1- Aug</t>
    </r>
  </si>
  <si>
    <r>
      <rPr>
        <strike/>
        <sz val="9"/>
        <rFont val="Adani Regular"/>
      </rPr>
      <t>08 Jul</t>
    </r>
    <r>
      <rPr>
        <sz val="9"/>
        <rFont val="Adani Regular"/>
        <family val="2"/>
      </rPr>
      <t>,</t>
    </r>
    <r>
      <rPr>
        <strike/>
        <sz val="9"/>
        <rFont val="Adani Regular"/>
      </rPr>
      <t xml:space="preserve"> 15 Jul,</t>
    </r>
    <r>
      <rPr>
        <sz val="9"/>
        <rFont val="Adani Regular"/>
        <family val="2"/>
      </rPr>
      <t xml:space="preserve">
</t>
    </r>
    <r>
      <rPr>
        <strike/>
        <sz val="9"/>
        <rFont val="Adani Regular"/>
      </rPr>
      <t>22 Jul</t>
    </r>
    <r>
      <rPr>
        <sz val="9"/>
        <rFont val="Adani Regular"/>
      </rPr>
      <t>,</t>
    </r>
    <r>
      <rPr>
        <strike/>
        <sz val="9"/>
        <rFont val="Adani Regular"/>
      </rPr>
      <t xml:space="preserve"> 27 Jul</t>
    </r>
    <r>
      <rPr>
        <sz val="9"/>
        <rFont val="Adani Regular"/>
      </rPr>
      <t>, 
30 Jul</t>
    </r>
  </si>
  <si>
    <r>
      <rPr>
        <strike/>
        <sz val="9"/>
        <rFont val="Adani Regular"/>
      </rPr>
      <t>12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17 Jul,</t>
    </r>
    <r>
      <rPr>
        <sz val="9"/>
        <rFont val="Adani Regular"/>
        <family val="2"/>
      </rPr>
      <t xml:space="preserve">
</t>
    </r>
    <r>
      <rPr>
        <strike/>
        <sz val="9"/>
        <rFont val="Adani Regular"/>
      </rPr>
      <t>28 Jul, 30 Jul</t>
    </r>
  </si>
  <si>
    <r>
      <rPr>
        <strike/>
        <sz val="10"/>
        <color theme="1"/>
        <rFont val="Adani Regular"/>
      </rPr>
      <t>28 Jul</t>
    </r>
    <r>
      <rPr>
        <sz val="10"/>
        <color theme="1"/>
        <rFont val="Adani Regular"/>
      </rPr>
      <t xml:space="preserve">
06 Aug</t>
    </r>
  </si>
  <si>
    <r>
      <rPr>
        <strike/>
        <sz val="10"/>
        <color theme="1"/>
        <rFont val="Adani Regular"/>
      </rPr>
      <t>02 Aug</t>
    </r>
    <r>
      <rPr>
        <sz val="10"/>
        <color theme="1"/>
        <rFont val="Adani Regular"/>
      </rPr>
      <t xml:space="preserve">
10 Aug</t>
    </r>
  </si>
  <si>
    <r>
      <rPr>
        <strike/>
        <sz val="10"/>
        <color theme="1"/>
        <rFont val="Adani Regular"/>
      </rPr>
      <t>05 Aug</t>
    </r>
    <r>
      <rPr>
        <sz val="10"/>
        <color theme="1"/>
        <rFont val="Adani Regular"/>
      </rPr>
      <t xml:space="preserve">
13 Aug</t>
    </r>
  </si>
  <si>
    <r>
      <rPr>
        <strike/>
        <sz val="9"/>
        <color rgb="FF000000"/>
        <rFont val="Adani Regular"/>
      </rPr>
      <t>27 Jun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14 Jul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25 Jul</t>
    </r>
    <r>
      <rPr>
        <sz val="9"/>
        <color rgb="FF000000"/>
        <rFont val="Adani Regular"/>
      </rPr>
      <t>, 30 Jul</t>
    </r>
  </si>
  <si>
    <r>
      <rPr>
        <strike/>
        <sz val="9"/>
        <rFont val="Adani Regular"/>
      </rPr>
      <t>04 Jul</t>
    </r>
    <r>
      <rPr>
        <sz val="9"/>
        <rFont val="Adani Regular"/>
      </rPr>
      <t xml:space="preserve">, </t>
    </r>
    <r>
      <rPr>
        <strike/>
        <sz val="9"/>
        <rFont val="Adani Regular"/>
      </rPr>
      <t>15 Jul</t>
    </r>
    <r>
      <rPr>
        <sz val="9"/>
        <rFont val="Adani Regular"/>
      </rPr>
      <t xml:space="preserve">,
</t>
    </r>
    <r>
      <rPr>
        <strike/>
        <sz val="9"/>
        <rFont val="Adani Regular"/>
      </rPr>
      <t>26 Jul</t>
    </r>
    <r>
      <rPr>
        <sz val="9"/>
        <rFont val="Adani Regular"/>
      </rPr>
      <t>, 30 Jul</t>
    </r>
  </si>
  <si>
    <r>
      <rPr>
        <strike/>
        <sz val="10"/>
        <color theme="1"/>
        <rFont val="Adani Regular"/>
      </rPr>
      <t>31 Jul</t>
    </r>
    <r>
      <rPr>
        <sz val="10"/>
        <color theme="1"/>
        <rFont val="Adani Regular"/>
        <family val="2"/>
      </rPr>
      <t xml:space="preserve">
02 Aug</t>
    </r>
  </si>
  <si>
    <r>
      <rPr>
        <strike/>
        <sz val="10"/>
        <color theme="1"/>
        <rFont val="Adani Regular"/>
      </rPr>
      <t>05 Aug</t>
    </r>
    <r>
      <rPr>
        <sz val="10"/>
        <color theme="1"/>
        <rFont val="Adani Regular"/>
        <family val="2"/>
      </rPr>
      <t xml:space="preserve">
07 Aug</t>
    </r>
  </si>
  <si>
    <r>
      <rPr>
        <strike/>
        <sz val="10"/>
        <color theme="1"/>
        <rFont val="Adani Regular"/>
      </rPr>
      <t>08 Aug</t>
    </r>
    <r>
      <rPr>
        <sz val="10"/>
        <color theme="1"/>
        <rFont val="Adani Regular"/>
        <family val="2"/>
      </rPr>
      <t xml:space="preserve">
10 Aug</t>
    </r>
  </si>
  <si>
    <r>
      <rPr>
        <strike/>
        <sz val="9"/>
        <rFont val="Adani Regular"/>
      </rPr>
      <t>02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15 Jul</t>
    </r>
    <r>
      <rPr>
        <sz val="9"/>
        <rFont val="Adani Regular"/>
        <family val="2"/>
      </rPr>
      <t xml:space="preserve">,
</t>
    </r>
    <r>
      <rPr>
        <strike/>
        <sz val="9"/>
        <rFont val="Adani Regular"/>
      </rPr>
      <t>28 Jul</t>
    </r>
    <r>
      <rPr>
        <sz val="9"/>
        <rFont val="Adani Regular"/>
      </rPr>
      <t>, 31 Jul</t>
    </r>
  </si>
  <si>
    <r>
      <rPr>
        <strike/>
        <sz val="9"/>
        <rFont val="Adani Regular"/>
      </rPr>
      <t>07 Jul</t>
    </r>
    <r>
      <rPr>
        <sz val="9"/>
        <rFont val="Adani Regular"/>
        <family val="2"/>
      </rPr>
      <t xml:space="preserve">, </t>
    </r>
    <r>
      <rPr>
        <strike/>
        <sz val="9"/>
        <rFont val="Adani Regular"/>
      </rPr>
      <t>18 Jul</t>
    </r>
    <r>
      <rPr>
        <sz val="9"/>
        <rFont val="Adani Regular"/>
        <family val="2"/>
      </rPr>
      <t>,
31</t>
    </r>
    <r>
      <rPr>
        <strike/>
        <sz val="9"/>
        <rFont val="Adani Regular"/>
      </rPr>
      <t xml:space="preserve"> Jul</t>
    </r>
    <r>
      <rPr>
        <sz val="9"/>
        <rFont val="Adani Regular"/>
      </rPr>
      <t>, 01 Aug</t>
    </r>
  </si>
  <si>
    <r>
      <rPr>
        <strike/>
        <sz val="9"/>
        <rFont val="Adani Regular"/>
      </rPr>
      <t>19-Jul</t>
    </r>
    <r>
      <rPr>
        <sz val="9"/>
        <rFont val="Adani Regular"/>
      </rPr>
      <t xml:space="preserve">, </t>
    </r>
    <r>
      <rPr>
        <strike/>
        <sz val="9"/>
        <rFont val="Adani Regular"/>
      </rPr>
      <t>28 Jul</t>
    </r>
    <r>
      <rPr>
        <sz val="9"/>
        <rFont val="Adani Regular"/>
      </rPr>
      <t>,
31 Jul</t>
    </r>
  </si>
  <si>
    <t>Lugigng -1824, Torquing - 960 completed</t>
  </si>
  <si>
    <r>
      <rPr>
        <strike/>
        <sz val="9"/>
        <rFont val="Adani Regular"/>
      </rPr>
      <t>11 Jul</t>
    </r>
    <r>
      <rPr>
        <sz val="9"/>
        <rFont val="Adani Regular"/>
      </rPr>
      <t xml:space="preserve">, </t>
    </r>
    <r>
      <rPr>
        <strike/>
        <sz val="9"/>
        <rFont val="Adani Regular"/>
      </rPr>
      <t>15 Jul</t>
    </r>
    <r>
      <rPr>
        <sz val="9"/>
        <rFont val="Adani Regular"/>
      </rPr>
      <t xml:space="preserve">,
</t>
    </r>
    <r>
      <rPr>
        <strike/>
        <sz val="9"/>
        <rFont val="Adani Regular"/>
      </rPr>
      <t>25 Jul</t>
    </r>
    <r>
      <rPr>
        <sz val="9"/>
        <rFont val="Adani Regular"/>
      </rPr>
      <t>, 30 Jul</t>
    </r>
  </si>
  <si>
    <r>
      <rPr>
        <strike/>
        <sz val="9"/>
        <rFont val="Adani Regular"/>
      </rPr>
      <t>11 Jul</t>
    </r>
    <r>
      <rPr>
        <sz val="9"/>
        <rFont val="Adani Regular"/>
      </rPr>
      <t xml:space="preserve">, </t>
    </r>
    <r>
      <rPr>
        <strike/>
        <sz val="9"/>
        <rFont val="Adani Regular"/>
      </rPr>
      <t>15 Jul</t>
    </r>
    <r>
      <rPr>
        <sz val="9"/>
        <rFont val="Adani Regular"/>
      </rPr>
      <t xml:space="preserve">,
</t>
    </r>
    <r>
      <rPr>
        <strike/>
        <sz val="9"/>
        <rFont val="Adani Regular"/>
      </rPr>
      <t>26 Jul</t>
    </r>
    <r>
      <rPr>
        <sz val="9"/>
        <rFont val="Adani Regular"/>
      </rPr>
      <t>, 30 Jul</t>
    </r>
  </si>
  <si>
    <t>Placed on slab, Anchoring WIP</t>
  </si>
  <si>
    <t>Lugging completed, Torquing WIP</t>
  </si>
  <si>
    <r>
      <rPr>
        <strike/>
        <sz val="10"/>
        <rFont val="Adani Regular"/>
      </rPr>
      <t>04 Aug</t>
    </r>
    <r>
      <rPr>
        <sz val="10"/>
        <rFont val="Adani Regular"/>
      </rPr>
      <t xml:space="preserve">,
</t>
    </r>
    <r>
      <rPr>
        <strike/>
        <sz val="10"/>
        <rFont val="Adani Regular"/>
      </rPr>
      <t>15 Aug</t>
    </r>
    <r>
      <rPr>
        <sz val="10"/>
        <rFont val="Adani Regular"/>
      </rPr>
      <t xml:space="preserve">
</t>
    </r>
    <r>
      <rPr>
        <strike/>
        <sz val="10"/>
        <rFont val="Adani Regular"/>
      </rPr>
      <t>24 Aug</t>
    </r>
    <r>
      <rPr>
        <sz val="10"/>
        <rFont val="Adani Regular"/>
      </rPr>
      <t xml:space="preserve">
31 Aug</t>
    </r>
  </si>
  <si>
    <r>
      <rPr>
        <strike/>
        <sz val="9"/>
        <rFont val="Adani Regular"/>
      </rPr>
      <t>23-Jul, 29 Jul,</t>
    </r>
    <r>
      <rPr>
        <sz val="9"/>
        <rFont val="Adani Regular"/>
      </rPr>
      <t xml:space="preserve">
01-Aug</t>
    </r>
  </si>
  <si>
    <r>
      <rPr>
        <strike/>
        <sz val="10"/>
        <color theme="1"/>
        <rFont val="Adani Regular"/>
      </rPr>
      <t>09 Aug</t>
    </r>
    <r>
      <rPr>
        <sz val="10"/>
        <color theme="1"/>
        <rFont val="Adani Regular"/>
        <family val="2"/>
      </rPr>
      <t xml:space="preserve">,
</t>
    </r>
    <r>
      <rPr>
        <strike/>
        <sz val="10"/>
        <color theme="1"/>
        <rFont val="Adani Regular"/>
      </rPr>
      <t>16 Aug</t>
    </r>
    <r>
      <rPr>
        <sz val="10"/>
        <color theme="1"/>
        <rFont val="Adani Regular"/>
        <family val="2"/>
      </rPr>
      <t xml:space="preserve">
</t>
    </r>
    <r>
      <rPr>
        <strike/>
        <sz val="10"/>
        <color theme="1"/>
        <rFont val="Adani Regular"/>
      </rPr>
      <t>05 Sep</t>
    </r>
    <r>
      <rPr>
        <sz val="10"/>
        <color theme="1"/>
        <rFont val="Adani Regular"/>
        <family val="2"/>
      </rPr>
      <t xml:space="preserve">
31 Aug</t>
    </r>
  </si>
  <si>
    <r>
      <rPr>
        <strike/>
        <sz val="10"/>
        <color theme="1"/>
        <rFont val="Adani Regular"/>
      </rPr>
      <t>19 Aug</t>
    </r>
    <r>
      <rPr>
        <sz val="10"/>
        <color theme="1"/>
        <rFont val="Adani Regular"/>
        <family val="2"/>
      </rPr>
      <t xml:space="preserve">,
</t>
    </r>
    <r>
      <rPr>
        <strike/>
        <sz val="10"/>
        <color theme="1"/>
        <rFont val="Adani Regular"/>
      </rPr>
      <t>22 Aug</t>
    </r>
    <r>
      <rPr>
        <sz val="10"/>
        <color theme="1"/>
        <rFont val="Adani Regular"/>
      </rPr>
      <t xml:space="preserve">
</t>
    </r>
    <r>
      <rPr>
        <strike/>
        <sz val="10"/>
        <color theme="1"/>
        <rFont val="Adani Regular"/>
      </rPr>
      <t>05 Sep</t>
    </r>
    <r>
      <rPr>
        <sz val="10"/>
        <color theme="1"/>
        <rFont val="Adani Regular"/>
      </rPr>
      <t xml:space="preserve">
08 Sep</t>
    </r>
  </si>
  <si>
    <r>
      <rPr>
        <strike/>
        <sz val="10"/>
        <color theme="1"/>
        <rFont val="Adani Regular"/>
      </rPr>
      <t>21 Aug</t>
    </r>
    <r>
      <rPr>
        <sz val="10"/>
        <color theme="1"/>
        <rFont val="Adani Regular"/>
        <family val="2"/>
      </rPr>
      <t xml:space="preserve">,
</t>
    </r>
    <r>
      <rPr>
        <strike/>
        <sz val="10"/>
        <color theme="1"/>
        <rFont val="Adani Regular"/>
      </rPr>
      <t>24 Aug</t>
    </r>
    <r>
      <rPr>
        <sz val="10"/>
        <color theme="1"/>
        <rFont val="Adani Regular"/>
      </rPr>
      <t xml:space="preserve">
</t>
    </r>
    <r>
      <rPr>
        <strike/>
        <sz val="10"/>
        <color theme="1"/>
        <rFont val="Adani Regular"/>
      </rPr>
      <t>05 Sep</t>
    </r>
    <r>
      <rPr>
        <sz val="10"/>
        <color theme="1"/>
        <rFont val="Adani Regular"/>
      </rPr>
      <t xml:space="preserve">
08 Sep</t>
    </r>
  </si>
  <si>
    <t>Backfilling Done</t>
  </si>
  <si>
    <r>
      <rPr>
        <strike/>
        <sz val="10"/>
        <color theme="1"/>
        <rFont val="Adani Regular"/>
      </rPr>
      <t>22 Aug</t>
    </r>
    <r>
      <rPr>
        <sz val="10"/>
        <color theme="1"/>
        <rFont val="Adani Regular"/>
        <family val="2"/>
      </rPr>
      <t xml:space="preserve">,
</t>
    </r>
    <r>
      <rPr>
        <strike/>
        <sz val="10"/>
        <color theme="1"/>
        <rFont val="Adani Regular"/>
      </rPr>
      <t>26 Aug</t>
    </r>
    <r>
      <rPr>
        <sz val="10"/>
        <color theme="1"/>
        <rFont val="Adani Regular"/>
      </rPr>
      <t xml:space="preserve">
</t>
    </r>
    <r>
      <rPr>
        <strike/>
        <sz val="10"/>
        <color theme="1"/>
        <rFont val="Adani Regular"/>
      </rPr>
      <t>05 Sep</t>
    </r>
    <r>
      <rPr>
        <sz val="10"/>
        <color theme="1"/>
        <rFont val="Adani Regular"/>
      </rPr>
      <t xml:space="preserve">
08 Sep</t>
    </r>
  </si>
  <si>
    <t>F Done /4Aug</t>
  </si>
  <si>
    <t>erection pendig /8 aug</t>
  </si>
  <si>
    <t>F Done/08 aug</t>
  </si>
  <si>
    <t>EX Pending/08 aug</t>
  </si>
  <si>
    <t>F done / 8 Aug</t>
  </si>
  <si>
    <t>PCC done / 17 aug</t>
  </si>
  <si>
    <t>2 ex pending</t>
  </si>
  <si>
    <t>final lift pending</t>
  </si>
  <si>
    <t>F done/  25 Aug</t>
  </si>
  <si>
    <t>F done/  24 Aug</t>
  </si>
  <si>
    <t xml:space="preserve">F done </t>
  </si>
  <si>
    <r>
      <rPr>
        <strike/>
        <sz val="10"/>
        <color theme="1"/>
        <rFont val="Adani Regular"/>
      </rPr>
      <t>03 Aug</t>
    </r>
    <r>
      <rPr>
        <sz val="10"/>
        <color theme="1"/>
        <rFont val="Adani Regular"/>
        <family val="2"/>
      </rPr>
      <t xml:space="preserve">
</t>
    </r>
    <r>
      <rPr>
        <strike/>
        <sz val="10"/>
        <color theme="1"/>
        <rFont val="Adani Regular"/>
      </rPr>
      <t>17 Aug</t>
    </r>
    <r>
      <rPr>
        <sz val="10"/>
        <color theme="1"/>
        <rFont val="Adani Regular"/>
      </rPr>
      <t xml:space="preserve">
</t>
    </r>
    <r>
      <rPr>
        <strike/>
        <sz val="10"/>
        <color theme="1"/>
        <rFont val="Adani Regular"/>
      </rPr>
      <t>02 Aug</t>
    </r>
    <r>
      <rPr>
        <sz val="10"/>
        <color theme="1"/>
        <rFont val="Adani Regular"/>
      </rPr>
      <t xml:space="preserve">
04 Aug</t>
    </r>
  </si>
  <si>
    <r>
      <rPr>
        <strike/>
        <sz val="10"/>
        <color theme="1"/>
        <rFont val="Adani Regular"/>
      </rPr>
      <t>07 Aug</t>
    </r>
    <r>
      <rPr>
        <sz val="10"/>
        <color theme="1"/>
        <rFont val="Adani Regular"/>
        <family val="2"/>
      </rPr>
      <t xml:space="preserve">
</t>
    </r>
    <r>
      <rPr>
        <strike/>
        <sz val="10"/>
        <color theme="1"/>
        <rFont val="Adani Regular"/>
      </rPr>
      <t>19 Aug</t>
    </r>
    <r>
      <rPr>
        <sz val="10"/>
        <color theme="1"/>
        <rFont val="Adani Regular"/>
      </rPr>
      <t xml:space="preserve">
</t>
    </r>
    <r>
      <rPr>
        <strike/>
        <sz val="10"/>
        <color theme="1"/>
        <rFont val="Adani Regular"/>
      </rPr>
      <t>27 Aug</t>
    </r>
    <r>
      <rPr>
        <sz val="10"/>
        <color theme="1"/>
        <rFont val="Adani Regular"/>
      </rPr>
      <t xml:space="preserve">
29 Aug</t>
    </r>
  </si>
  <si>
    <r>
      <rPr>
        <strike/>
        <sz val="10"/>
        <color theme="1"/>
        <rFont val="Adani Regular"/>
      </rPr>
      <t>18 Aug</t>
    </r>
    <r>
      <rPr>
        <sz val="10"/>
        <color theme="1"/>
        <rFont val="Adani Regular"/>
        <family val="2"/>
      </rPr>
      <t xml:space="preserve">
</t>
    </r>
    <r>
      <rPr>
        <strike/>
        <sz val="10"/>
        <color theme="1"/>
        <rFont val="Adani Regular"/>
      </rPr>
      <t>23 Aug</t>
    </r>
    <r>
      <rPr>
        <sz val="10"/>
        <color theme="1"/>
        <rFont val="Adani Regular"/>
      </rPr>
      <t xml:space="preserve">
</t>
    </r>
    <r>
      <rPr>
        <strike/>
        <sz val="10"/>
        <color theme="1"/>
        <rFont val="Adani Regular"/>
      </rPr>
      <t>27 Aug</t>
    </r>
    <r>
      <rPr>
        <sz val="10"/>
        <color theme="1"/>
        <rFont val="Adani Regular"/>
      </rPr>
      <t xml:space="preserve">
29 Aug</t>
    </r>
  </si>
  <si>
    <t>pcc Done</t>
  </si>
  <si>
    <t>Ex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</si>
</sst>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1009]d/mmm/yy;@"/>
    <numFmt numFmtId="166" formatCode="[$-409]d\-mmm;@"/>
  </numFmts>
  <fonts count="41">
    <font>
      <sz val="10"/>
      <color theme="1"/>
      <name val="Adani Regular"/>
      <family val="2"/>
    </font>
    <font>
      <sz val="10"/>
      <color theme="1"/>
      <name val="Adani Regular"/>
      <family val="2"/>
    </font>
    <font>
      <b/>
      <sz val="10"/>
      <color theme="1"/>
      <name val="Adani Regular"/>
      <family val="2"/>
    </font>
    <font>
      <sz val="10"/>
      <color rgb="FF00B050"/>
      <name val="Adani Regular"/>
      <family val="2"/>
    </font>
    <font>
      <b/>
      <sz val="10"/>
      <color theme="1"/>
      <name val="Tahoma"/>
      <family val="2"/>
    </font>
    <font>
      <sz val="11"/>
      <color theme="1"/>
      <name val="Aptos Narrow"/>
      <family val="2"/>
      <scheme val="minor"/>
    </font>
    <font>
      <sz val="9"/>
      <color theme="1"/>
      <name val="Adani Regular"/>
      <family val="2"/>
    </font>
    <font>
      <sz val="11"/>
      <name val="Calibri"/>
      <family val="2"/>
    </font>
    <font>
      <sz val="9"/>
      <name val="Adani Regular"/>
    </font>
    <font>
      <sz val="9"/>
      <color rgb="FF00B050"/>
      <name val="Adani Regular"/>
    </font>
    <font>
      <sz val="9"/>
      <color rgb="FFFF0000"/>
      <name val="Adani Regular"/>
    </font>
    <font>
      <b/>
      <sz val="12"/>
      <color theme="1"/>
      <name val="Adani Regular"/>
    </font>
    <font>
      <sz val="9"/>
      <name val="Adani Regular"/>
      <family val="2"/>
    </font>
    <font>
      <sz val="9"/>
      <color rgb="FF00B050"/>
      <name val="Adani Regular"/>
      <family val="2"/>
    </font>
    <font>
      <b/>
      <sz val="9"/>
      <name val="Adani Regular"/>
    </font>
    <font>
      <b/>
      <sz val="9"/>
      <name val="Adani Regular"/>
      <family val="2"/>
    </font>
    <font>
      <b/>
      <sz val="11"/>
      <color theme="1"/>
      <name val="Adani Regular"/>
    </font>
    <font>
      <strike/>
      <sz val="9"/>
      <name val="Adani Regular"/>
    </font>
    <font>
      <sz val="10"/>
      <color theme="1"/>
      <name val="Adani Regular"/>
    </font>
    <font>
      <b/>
      <sz val="10"/>
      <color theme="1"/>
      <name val="Adani Regular"/>
    </font>
    <font>
      <b/>
      <sz val="11"/>
      <color theme="1"/>
      <name val="Adani Regular"/>
      <family val="2"/>
    </font>
    <font>
      <sz val="9"/>
      <color rgb="FFFF0000"/>
      <name val="Adani Regular"/>
      <family val="2"/>
    </font>
    <font>
      <sz val="10"/>
      <color rgb="FF00B050"/>
      <name val="Adani Regular"/>
    </font>
    <font>
      <sz val="11"/>
      <color rgb="FF00B050"/>
      <name val="Aptos Narrow"/>
      <family val="2"/>
      <scheme val="minor"/>
    </font>
    <font>
      <strike/>
      <sz val="10"/>
      <color theme="1"/>
      <name val="Adani Regular"/>
    </font>
    <font>
      <sz val="10"/>
      <color rgb="FF0070C0"/>
      <name val="Adani Regular"/>
    </font>
    <font>
      <sz val="10"/>
      <color rgb="FF0070C0"/>
      <name val="Adani Regular"/>
      <family val="2"/>
    </font>
    <font>
      <strike/>
      <sz val="9"/>
      <color rgb="FF000000"/>
      <name val="Adani Regular"/>
    </font>
    <font>
      <sz val="9"/>
      <color rgb="FF000000"/>
      <name val="Adani Regular"/>
    </font>
    <font>
      <strike/>
      <sz val="10"/>
      <color rgb="FF00B050"/>
      <name val="Adani Regular"/>
    </font>
    <font>
      <strike/>
      <sz val="11"/>
      <color rgb="FF00B050"/>
      <name val="Aptos Narrow"/>
      <family val="2"/>
      <scheme val="minor"/>
    </font>
    <font>
      <strike/>
      <sz val="10"/>
      <color rgb="FF0070C0"/>
      <name val="Adani Regular"/>
    </font>
    <font>
      <b/>
      <sz val="10"/>
      <color theme="1"/>
      <name val="Tahoma"/>
      <family val="2"/>
    </font>
    <font>
      <sz val="9"/>
      <color rgb="FF000000"/>
      <name val="Adani Regular"/>
      <family val="2"/>
    </font>
    <font>
      <u/>
      <sz val="9"/>
      <name val="Adani Regular"/>
    </font>
    <font>
      <b/>
      <sz val="10"/>
      <name val="Tahoma"/>
      <family val="2"/>
    </font>
    <font>
      <sz val="10"/>
      <name val="Adani Regular"/>
      <family val="2"/>
    </font>
    <font>
      <strike/>
      <sz val="9"/>
      <name val="Adani Regular"/>
      <family val="2"/>
    </font>
    <font>
      <strike/>
      <sz val="10"/>
      <name val="Adani Regular"/>
    </font>
    <font>
      <sz val="10"/>
      <name val="Adani Regula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ashDot">
        <color theme="0" tint="-0.24994659260841701"/>
      </left>
      <right style="dashDot">
        <color theme="0" tint="-0.24994659260841701"/>
      </right>
      <top/>
      <bottom style="dashDot">
        <color theme="0" tint="-0.24994659260841701"/>
      </bottom>
      <diagonal/>
    </border>
    <border>
      <left style="thin">
        <color indexed="64"/>
      </left>
      <right style="dashDot">
        <color theme="0" tint="-0.24994659260841701"/>
      </right>
      <top/>
      <bottom style="dashDot">
        <color theme="0" tint="-0.24994659260841701"/>
      </bottom>
      <diagonal/>
    </border>
    <border>
      <left style="dashDot">
        <color theme="0" tint="-0.24994659260841701"/>
      </left>
      <right style="thin">
        <color indexed="64"/>
      </right>
      <top/>
      <bottom style="dashDot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ashDot">
        <color theme="0" tint="-0.24994659260841701"/>
      </right>
      <top style="medium">
        <color indexed="64"/>
      </top>
      <bottom style="dashDot">
        <color theme="0" tint="-0.24994659260841701"/>
      </bottom>
      <diagonal/>
    </border>
    <border>
      <left style="dashDot">
        <color theme="0" tint="-0.24994659260841701"/>
      </left>
      <right style="dashDot">
        <color theme="0" tint="-0.24994659260841701"/>
      </right>
      <top style="medium">
        <color indexed="64"/>
      </top>
      <bottom style="dashDot">
        <color theme="0" tint="-0.2499465926084170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ashDot">
        <color theme="0" tint="-0.24994659260841701"/>
      </left>
      <right style="thin">
        <color indexed="64"/>
      </right>
      <top style="medium">
        <color indexed="64"/>
      </top>
      <bottom style="dashDot">
        <color theme="0" tint="-0.2499465926084170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ashDot">
        <color theme="0" tint="-0.24994659260841701"/>
      </right>
      <top/>
      <bottom style="medium">
        <color indexed="64"/>
      </bottom>
      <diagonal/>
    </border>
    <border>
      <left style="dashDot">
        <color theme="0" tint="-0.24994659260841701"/>
      </left>
      <right style="dashDot">
        <color theme="0" tint="-0.24994659260841701"/>
      </right>
      <top/>
      <bottom style="medium">
        <color indexed="64"/>
      </bottom>
      <diagonal/>
    </border>
    <border>
      <left style="dashDot">
        <color theme="0" tint="-0.24994659260841701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dashDot">
        <color theme="0" tint="-0.24994659260841701"/>
      </left>
      <right/>
      <top/>
      <bottom style="dashDot">
        <color theme="0" tint="-0.24994659260841701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dashDot">
        <color theme="0" tint="-0.24994659260841701"/>
      </left>
      <right style="dashDot">
        <color theme="0" tint="-0.24994659260841701"/>
      </right>
      <top/>
      <bottom/>
      <diagonal/>
    </border>
    <border>
      <left/>
      <right/>
      <top/>
      <bottom style="dashDot">
        <color theme="0" tint="-0.24994659260841701"/>
      </bottom>
      <diagonal/>
    </border>
    <border>
      <left/>
      <right style="thin">
        <color indexed="64"/>
      </right>
      <top/>
      <bottom style="dashDot">
        <color theme="0" tint="-0.24994659260841701"/>
      </bottom>
      <diagonal/>
    </border>
    <border>
      <left/>
      <right/>
      <top style="medium">
        <color indexed="64"/>
      </top>
      <bottom style="dashDot">
        <color theme="0" tint="-0.24994659260841701"/>
      </bottom>
      <diagonal/>
    </border>
    <border>
      <left/>
      <right style="thin">
        <color indexed="64"/>
      </right>
      <top style="medium">
        <color indexed="64"/>
      </top>
      <bottom style="dashDot">
        <color theme="0" tint="-0.24994659260841701"/>
      </bottom>
      <diagonal/>
    </border>
    <border>
      <left style="dashDot">
        <color theme="0" tint="-0.24994659260841701"/>
      </left>
      <right/>
      <top style="medium">
        <color indexed="64"/>
      </top>
      <bottom style="dashDot">
        <color theme="0" tint="-0.24994659260841701"/>
      </bottom>
      <diagonal/>
    </border>
    <border>
      <left style="thin">
        <color indexed="64"/>
      </left>
      <right style="dashDot">
        <color theme="0" tint="-0.24994659260841701"/>
      </right>
      <top style="dashDot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Dot">
        <color theme="0" tint="-0.2499465926084170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ashDot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ashDot">
        <color theme="0" tint="-0.24994659260841701"/>
      </right>
      <top/>
      <bottom style="dashDot">
        <color theme="0" tint="-0.24994659260841701"/>
      </bottom>
      <diagonal/>
    </border>
    <border>
      <left/>
      <right style="dashDot">
        <color theme="0" tint="-0.24994659260841701"/>
      </right>
      <top style="dashDot">
        <color theme="0" tint="-0.24994659260841701"/>
      </top>
      <bottom/>
      <diagonal/>
    </border>
    <border>
      <left style="dashDot">
        <color theme="0" tint="-0.24994659260841701"/>
      </left>
      <right style="dashDot">
        <color theme="0" tint="-0.24994659260841701"/>
      </right>
      <top style="dashDot">
        <color theme="0" tint="-0.24994659260841701"/>
      </top>
      <bottom/>
      <diagonal/>
    </border>
    <border>
      <left style="dashDot">
        <color theme="0" tint="-0.24994659260841701"/>
      </left>
      <right style="thin">
        <color indexed="64"/>
      </right>
      <top style="dashDot">
        <color theme="0" tint="-0.2499465926084170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Dot">
        <color theme="0" tint="-0.14996795556505021"/>
      </left>
      <right style="dashDot">
        <color theme="0" tint="-0.14996795556505021"/>
      </right>
      <top style="thin">
        <color auto="1"/>
      </top>
      <bottom style="dashDot">
        <color theme="0" tint="-0.14996795556505021"/>
      </bottom>
      <diagonal/>
    </border>
    <border>
      <left style="dashDot">
        <color theme="0" tint="-0.14996795556505021"/>
      </left>
      <right style="thin">
        <color auto="1"/>
      </right>
      <top style="thin">
        <color auto="1"/>
      </top>
      <bottom style="dashDot">
        <color theme="0" tint="-0.14996795556505021"/>
      </bottom>
      <diagonal/>
    </border>
    <border>
      <left style="thin">
        <color auto="1"/>
      </left>
      <right style="dashDot">
        <color theme="0" tint="-0.14996795556505021"/>
      </right>
      <top style="dashDot">
        <color theme="0" tint="-0.14996795556505021"/>
      </top>
      <bottom style="dashDot">
        <color theme="0" tint="-0.14996795556505021"/>
      </bottom>
      <diagonal/>
    </border>
    <border>
      <left style="dashDot">
        <color theme="0" tint="-0.14996795556505021"/>
      </left>
      <right style="dashDot">
        <color theme="0" tint="-0.14996795556505021"/>
      </right>
      <top style="dashDot">
        <color theme="0" tint="-0.14996795556505021"/>
      </top>
      <bottom style="dashDot">
        <color theme="0" tint="-0.14996795556505021"/>
      </bottom>
      <diagonal/>
    </border>
    <border>
      <left style="dashDot">
        <color theme="0" tint="-0.14996795556505021"/>
      </left>
      <right style="thin">
        <color auto="1"/>
      </right>
      <top style="dashDot">
        <color theme="0" tint="-0.14996795556505021"/>
      </top>
      <bottom style="dashDot">
        <color theme="0" tint="-0.14996795556505021"/>
      </bottom>
      <diagonal/>
    </border>
    <border>
      <left style="dashDot">
        <color theme="0" tint="-0.14996795556505021"/>
      </left>
      <right style="dashDot">
        <color theme="0" tint="-0.14996795556505021"/>
      </right>
      <top style="dashDot">
        <color theme="0" tint="-0.14996795556505021"/>
      </top>
      <bottom style="thin">
        <color auto="1"/>
      </bottom>
      <diagonal/>
    </border>
    <border>
      <left style="dashDot">
        <color theme="0" tint="-0.14996795556505021"/>
      </left>
      <right style="thin">
        <color auto="1"/>
      </right>
      <top style="dashDot">
        <color theme="0" tint="-0.14996795556505021"/>
      </top>
      <bottom style="thin">
        <color auto="1"/>
      </bottom>
      <diagonal/>
    </border>
    <border>
      <left style="thin">
        <color auto="1"/>
      </left>
      <right style="dashDot">
        <color theme="0" tint="-0.14996795556505021"/>
      </right>
      <top style="medium">
        <color indexed="64"/>
      </top>
      <bottom style="dashDot">
        <color theme="0" tint="-0.14996795556505021"/>
      </bottom>
      <diagonal/>
    </border>
    <border>
      <left style="dashDot">
        <color theme="0" tint="-0.14996795556505021"/>
      </left>
      <right style="dashDot">
        <color theme="0" tint="-0.14996795556505021"/>
      </right>
      <top style="medium">
        <color indexed="64"/>
      </top>
      <bottom style="dashDot">
        <color theme="0" tint="-0.14996795556505021"/>
      </bottom>
      <diagonal/>
    </border>
    <border>
      <left style="dashDot">
        <color theme="0" tint="-0.14996795556505021"/>
      </left>
      <right style="thin">
        <color auto="1"/>
      </right>
      <top style="medium">
        <color indexed="64"/>
      </top>
      <bottom style="dashDot">
        <color theme="0" tint="-0.14996795556505021"/>
      </bottom>
      <diagonal/>
    </border>
    <border>
      <left style="thin">
        <color auto="1"/>
      </left>
      <right style="dashDot">
        <color theme="0" tint="-0.14996795556505021"/>
      </right>
      <top style="dashDot">
        <color theme="0" tint="-0.14996795556505021"/>
      </top>
      <bottom style="medium">
        <color indexed="64"/>
      </bottom>
      <diagonal/>
    </border>
    <border>
      <left style="dashDot">
        <color theme="0" tint="-0.14996795556505021"/>
      </left>
      <right style="dashDot">
        <color theme="0" tint="-0.14996795556505021"/>
      </right>
      <top style="dashDot">
        <color theme="0" tint="-0.14996795556505021"/>
      </top>
      <bottom style="medium">
        <color indexed="64"/>
      </bottom>
      <diagonal/>
    </border>
    <border>
      <left style="dashDot">
        <color theme="0" tint="-0.14996795556505021"/>
      </left>
      <right style="thin">
        <color auto="1"/>
      </right>
      <top style="dashDot">
        <color theme="0" tint="-0.14996795556505021"/>
      </top>
      <bottom style="medium">
        <color indexed="64"/>
      </bottom>
      <diagonal/>
    </border>
    <border>
      <left style="dashDot">
        <color theme="0" tint="-0.14996795556505021"/>
      </left>
      <right style="dashDot">
        <color theme="0" tint="-0.14996795556505021"/>
      </right>
      <top style="dashDot">
        <color theme="0" tint="-0.14996795556505021"/>
      </top>
      <bottom/>
      <diagonal/>
    </border>
    <border>
      <left style="dashDot">
        <color theme="0" tint="-0.14996795556505021"/>
      </left>
      <right style="thin">
        <color auto="1"/>
      </right>
      <top style="dashDot">
        <color theme="0" tint="-0.1499679555650502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ashDot">
        <color theme="0" tint="-0.14996795556505021"/>
      </right>
      <top style="medium">
        <color indexed="64"/>
      </top>
      <bottom style="dashDot">
        <color theme="0" tint="-0.14996795556505021"/>
      </bottom>
      <diagonal/>
    </border>
    <border>
      <left/>
      <right style="dashDot">
        <color theme="0" tint="-0.14996795556505021"/>
      </right>
      <top style="dashDot">
        <color theme="0" tint="-0.14996795556505021"/>
      </top>
      <bottom style="dashDot">
        <color theme="0" tint="-0.14996795556505021"/>
      </bottom>
      <diagonal/>
    </border>
    <border>
      <left/>
      <right style="dashDot">
        <color theme="0" tint="-0.14996795556505021"/>
      </right>
      <top style="dashDot">
        <color theme="0" tint="-0.14996795556505021"/>
      </top>
      <bottom style="medium">
        <color indexed="64"/>
      </bottom>
      <diagonal/>
    </border>
    <border>
      <left/>
      <right style="dashDot">
        <color theme="0" tint="-0.14996795556505021"/>
      </right>
      <top style="dashDot">
        <color theme="0" tint="-0.14996795556505021"/>
      </top>
      <bottom/>
      <diagonal/>
    </border>
    <border>
      <left/>
      <right style="dashDot">
        <color theme="0" tint="-0.14996795556505021"/>
      </right>
      <top style="thin">
        <color auto="1"/>
      </top>
      <bottom style="dashDot">
        <color theme="0" tint="-0.14996795556505021"/>
      </bottom>
      <diagonal/>
    </border>
    <border>
      <left/>
      <right style="dashDot">
        <color theme="0" tint="-0.14996795556505021"/>
      </right>
      <top style="dashDot">
        <color theme="0" tint="-0.14996795556505021"/>
      </top>
      <bottom style="thin">
        <color auto="1"/>
      </bottom>
      <diagonal/>
    </border>
    <border>
      <left style="dashDot">
        <color theme="0" tint="-0.24994659260841701"/>
      </left>
      <right style="thin">
        <color theme="1"/>
      </right>
      <top style="medium">
        <color indexed="64"/>
      </top>
      <bottom style="dashDot">
        <color theme="0" tint="-0.24994659260841701"/>
      </bottom>
      <diagonal/>
    </border>
    <border>
      <left style="dashDot">
        <color theme="0" tint="-0.24994659260841701"/>
      </left>
      <right style="thin">
        <color theme="1"/>
      </right>
      <top/>
      <bottom style="dashDot">
        <color theme="0" tint="-0.24994659260841701"/>
      </bottom>
      <diagonal/>
    </border>
    <border>
      <left style="dashDot">
        <color theme="0" tint="-0.24994659260841701"/>
      </left>
      <right style="thin">
        <color theme="1"/>
      </right>
      <top/>
      <bottom style="medium">
        <color indexed="64"/>
      </bottom>
      <diagonal/>
    </border>
    <border>
      <left style="thin">
        <color auto="1"/>
      </left>
      <right style="dashDot">
        <color theme="0" tint="-0.14996795556505021"/>
      </right>
      <top/>
      <bottom style="dashDot">
        <color theme="0" tint="-0.14996795556505021"/>
      </bottom>
      <diagonal/>
    </border>
    <border>
      <left style="dashDot">
        <color theme="0" tint="-0.14996795556505021"/>
      </left>
      <right style="dashDot">
        <color theme="0" tint="-0.14996795556505021"/>
      </right>
      <top/>
      <bottom style="dashDot">
        <color theme="0" tint="-0.14996795556505021"/>
      </bottom>
      <diagonal/>
    </border>
    <border>
      <left style="dashDot">
        <color theme="0" tint="-0.14996795556505021"/>
      </left>
      <right style="thin">
        <color auto="1"/>
      </right>
      <top/>
      <bottom style="dashDot">
        <color theme="0" tint="-0.14996795556505021"/>
      </bottom>
      <diagonal/>
    </border>
    <border>
      <left/>
      <right style="dashDot">
        <color theme="0" tint="-0.14996795556505021"/>
      </right>
      <top/>
      <bottom style="dashDot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theme="0" tint="-0.24994659260841701"/>
      </left>
      <right style="dashDot">
        <color theme="0" tint="-0.24994659260841701"/>
      </right>
      <top style="dashDot">
        <color theme="0" tint="-0.24994659260841701"/>
      </top>
      <bottom style="medium">
        <color indexed="64"/>
      </bottom>
      <diagonal/>
    </border>
    <border>
      <left style="dashDot">
        <color theme="0" tint="-0.14996795556505021"/>
      </left>
      <right/>
      <top style="dashDot">
        <color theme="0" tint="-0.1499679555650502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dashDot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dashDot">
        <color theme="0" tint="-0.24994659260841701"/>
      </right>
      <top/>
      <bottom/>
      <diagonal/>
    </border>
    <border>
      <left style="dashDot">
        <color theme="0" tint="-0.24994659260841701"/>
      </left>
      <right/>
      <top/>
      <bottom/>
      <diagonal/>
    </border>
    <border>
      <left style="dashDot">
        <color theme="0" tint="-0.24994659260841701"/>
      </left>
      <right/>
      <top style="dashDot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6" fillId="0" borderId="0"/>
    <xf numFmtId="0" fontId="1" fillId="0" borderId="0"/>
    <xf numFmtId="0" fontId="7" fillId="0" borderId="0">
      <alignment vertical="center"/>
    </xf>
    <xf numFmtId="0" fontId="5" fillId="0" borderId="0"/>
  </cellStyleXfs>
  <cellXfs count="665">
    <xf numFmtId="0" fontId="0" fillId="0" borderId="0" xfId="0"/>
    <xf numFmtId="1" fontId="8" fillId="0" borderId="14" xfId="4" applyNumberFormat="1" applyFont="1" applyBorder="1" applyAlignment="1">
      <alignment horizontal="center" vertical="center"/>
    </xf>
    <xf numFmtId="1" fontId="9" fillId="0" borderId="14" xfId="4" applyNumberFormat="1" applyFont="1" applyBorder="1" applyAlignment="1">
      <alignment horizontal="center" vertical="center"/>
    </xf>
    <xf numFmtId="16" fontId="8" fillId="0" borderId="14" xfId="4" applyNumberFormat="1" applyFont="1" applyBorder="1" applyAlignment="1">
      <alignment horizontal="center" vertical="center"/>
    </xf>
    <xf numFmtId="164" fontId="8" fillId="0" borderId="15" xfId="4" applyNumberFormat="1" applyFont="1" applyBorder="1" applyAlignment="1">
      <alignment horizontal="left" vertical="center"/>
    </xf>
    <xf numFmtId="1" fontId="8" fillId="0" borderId="16" xfId="4" applyNumberFormat="1" applyFont="1" applyBorder="1" applyAlignment="1">
      <alignment horizontal="left" vertical="center"/>
    </xf>
    <xf numFmtId="2" fontId="8" fillId="0" borderId="15" xfId="4" applyNumberFormat="1" applyFont="1" applyBorder="1" applyAlignment="1">
      <alignment horizontal="left" vertical="center"/>
    </xf>
    <xf numFmtId="1" fontId="10" fillId="0" borderId="14" xfId="4" applyNumberFormat="1" applyFont="1" applyBorder="1" applyAlignment="1">
      <alignment horizontal="center" vertical="center"/>
    </xf>
    <xf numFmtId="1" fontId="8" fillId="0" borderId="14" xfId="4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164" fontId="8" fillId="0" borderId="18" xfId="4" applyNumberFormat="1" applyFont="1" applyBorder="1" applyAlignment="1">
      <alignment horizontal="left" vertical="center"/>
    </xf>
    <xf numFmtId="1" fontId="8" fillId="0" borderId="19" xfId="4" applyNumberFormat="1" applyFont="1" applyBorder="1" applyAlignment="1">
      <alignment horizontal="left" vertical="center" wrapText="1"/>
    </xf>
    <xf numFmtId="1" fontId="8" fillId="0" borderId="19" xfId="4" applyNumberFormat="1" applyFont="1" applyBorder="1" applyAlignment="1">
      <alignment horizontal="center" vertical="center"/>
    </xf>
    <xf numFmtId="1" fontId="9" fillId="0" borderId="19" xfId="4" applyNumberFormat="1" applyFont="1" applyBorder="1" applyAlignment="1">
      <alignment horizontal="center" vertical="center"/>
    </xf>
    <xf numFmtId="1" fontId="10" fillId="0" borderId="19" xfId="4" applyNumberFormat="1" applyFont="1" applyBorder="1" applyAlignment="1">
      <alignment horizontal="center" vertical="center"/>
    </xf>
    <xf numFmtId="16" fontId="8" fillId="0" borderId="19" xfId="4" applyNumberFormat="1" applyFont="1" applyBorder="1" applyAlignment="1">
      <alignment horizontal="center" vertical="center"/>
    </xf>
    <xf numFmtId="1" fontId="8" fillId="0" borderId="23" xfId="4" applyNumberFormat="1" applyFont="1" applyBorder="1" applyAlignment="1">
      <alignment horizontal="left" vertical="center"/>
    </xf>
    <xf numFmtId="0" fontId="0" fillId="0" borderId="22" xfId="0" applyBorder="1"/>
    <xf numFmtId="0" fontId="0" fillId="0" borderId="17" xfId="0" applyBorder="1"/>
    <xf numFmtId="0" fontId="0" fillId="0" borderId="24" xfId="0" applyBorder="1"/>
    <xf numFmtId="16" fontId="8" fillId="0" borderId="14" xfId="4" applyNumberFormat="1" applyFont="1" applyBorder="1" applyAlignment="1">
      <alignment horizontal="center" vertical="center" wrapText="1"/>
    </xf>
    <xf numFmtId="1" fontId="8" fillId="0" borderId="16" xfId="4" applyNumberFormat="1" applyFont="1" applyBorder="1" applyAlignment="1">
      <alignment horizontal="left" vertical="center" wrapText="1"/>
    </xf>
    <xf numFmtId="2" fontId="8" fillId="0" borderId="26" xfId="4" applyNumberFormat="1" applyFont="1" applyBorder="1" applyAlignment="1">
      <alignment horizontal="left" vertical="center"/>
    </xf>
    <xf numFmtId="1" fontId="8" fillId="0" borderId="27" xfId="4" applyNumberFormat="1" applyFont="1" applyBorder="1" applyAlignment="1">
      <alignment horizontal="left" vertical="center" wrapText="1"/>
    </xf>
    <xf numFmtId="1" fontId="8" fillId="0" borderId="27" xfId="4" applyNumberFormat="1" applyFont="1" applyBorder="1" applyAlignment="1">
      <alignment horizontal="center" vertical="center"/>
    </xf>
    <xf numFmtId="1" fontId="9" fillId="0" borderId="27" xfId="4" applyNumberFormat="1" applyFont="1" applyBorder="1" applyAlignment="1">
      <alignment horizontal="center" vertical="center"/>
    </xf>
    <xf numFmtId="1" fontId="10" fillId="0" borderId="27" xfId="4" applyNumberFormat="1" applyFont="1" applyBorder="1" applyAlignment="1">
      <alignment horizontal="center" vertical="center"/>
    </xf>
    <xf numFmtId="16" fontId="8" fillId="0" borderId="27" xfId="4" applyNumberFormat="1" applyFont="1" applyBorder="1" applyAlignment="1">
      <alignment horizontal="center" vertical="center"/>
    </xf>
    <xf numFmtId="1" fontId="8" fillId="0" borderId="28" xfId="4" applyNumberFormat="1" applyFont="1" applyBorder="1" applyAlignment="1">
      <alignment horizontal="left" vertical="center"/>
    </xf>
    <xf numFmtId="15" fontId="11" fillId="3" borderId="0" xfId="0" applyNumberFormat="1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" fontId="12" fillId="0" borderId="14" xfId="4" applyNumberFormat="1" applyFont="1" applyBorder="1" applyAlignment="1">
      <alignment horizontal="center" vertical="center"/>
    </xf>
    <xf numFmtId="1" fontId="13" fillId="0" borderId="14" xfId="4" applyNumberFormat="1" applyFont="1" applyBorder="1" applyAlignment="1">
      <alignment horizontal="center" vertical="center"/>
    </xf>
    <xf numFmtId="1" fontId="12" fillId="0" borderId="27" xfId="4" applyNumberFormat="1" applyFont="1" applyBorder="1" applyAlignment="1">
      <alignment horizontal="center" vertical="center"/>
    </xf>
    <xf numFmtId="1" fontId="13" fillId="0" borderId="27" xfId="4" applyNumberFormat="1" applyFont="1" applyBorder="1" applyAlignment="1">
      <alignment horizontal="center" vertical="center"/>
    </xf>
    <xf numFmtId="1" fontId="12" fillId="0" borderId="19" xfId="4" applyNumberFormat="1" applyFont="1" applyBorder="1" applyAlignment="1">
      <alignment horizontal="center" vertical="center"/>
    </xf>
    <xf numFmtId="1" fontId="13" fillId="0" borderId="19" xfId="4" applyNumberFormat="1" applyFont="1" applyBorder="1" applyAlignment="1">
      <alignment horizontal="center" vertical="center"/>
    </xf>
    <xf numFmtId="1" fontId="8" fillId="0" borderId="33" xfId="4" applyNumberFormat="1" applyFont="1" applyBorder="1" applyAlignment="1">
      <alignment horizontal="left" vertical="center" wrapText="1"/>
    </xf>
    <xf numFmtId="0" fontId="0" fillId="0" borderId="34" xfId="0" applyBorder="1"/>
    <xf numFmtId="0" fontId="0" fillId="0" borderId="35" xfId="0" applyBorder="1"/>
    <xf numFmtId="2" fontId="8" fillId="0" borderId="15" xfId="4" applyNumberFormat="1" applyFont="1" applyBorder="1" applyAlignment="1">
      <alignment horizontal="center" vertical="center"/>
    </xf>
    <xf numFmtId="1" fontId="14" fillId="0" borderId="41" xfId="4" applyNumberFormat="1" applyFont="1" applyBorder="1" applyAlignment="1">
      <alignment horizontal="center" vertical="center" wrapText="1"/>
    </xf>
    <xf numFmtId="1" fontId="14" fillId="0" borderId="33" xfId="4" applyNumberFormat="1" applyFont="1" applyBorder="1" applyAlignment="1">
      <alignment vertical="center" wrapText="1"/>
    </xf>
    <xf numFmtId="1" fontId="14" fillId="0" borderId="33" xfId="4" applyNumberFormat="1" applyFont="1" applyBorder="1" applyAlignment="1">
      <alignment horizontal="center" vertical="center"/>
    </xf>
    <xf numFmtId="1" fontId="14" fillId="0" borderId="41" xfId="4" applyNumberFormat="1" applyFont="1" applyBorder="1" applyAlignment="1">
      <alignment vertical="center" wrapText="1"/>
    </xf>
    <xf numFmtId="1" fontId="14" fillId="0" borderId="39" xfId="4" applyNumberFormat="1" applyFont="1" applyBorder="1" applyAlignment="1">
      <alignment vertical="center" wrapText="1"/>
    </xf>
    <xf numFmtId="1" fontId="15" fillId="0" borderId="33" xfId="4" applyNumberFormat="1" applyFont="1" applyBorder="1" applyAlignment="1">
      <alignment vertical="center" wrapText="1"/>
    </xf>
    <xf numFmtId="1" fontId="15" fillId="0" borderId="37" xfId="4" applyNumberFormat="1" applyFont="1" applyBorder="1" applyAlignment="1">
      <alignment vertical="center" wrapText="1"/>
    </xf>
    <xf numFmtId="1" fontId="15" fillId="0" borderId="33" xfId="4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8" fillId="0" borderId="18" xfId="4" applyNumberFormat="1" applyFont="1" applyBorder="1" applyAlignment="1">
      <alignment horizontal="center" vertical="center"/>
    </xf>
    <xf numFmtId="2" fontId="8" fillId="0" borderId="42" xfId="4" applyNumberFormat="1" applyFont="1" applyBorder="1" applyAlignment="1">
      <alignment horizontal="left" vertical="center"/>
    </xf>
    <xf numFmtId="164" fontId="9" fillId="0" borderId="15" xfId="4" applyNumberFormat="1" applyFont="1" applyBorder="1" applyAlignment="1">
      <alignment horizontal="left" vertical="center"/>
    </xf>
    <xf numFmtId="1" fontId="9" fillId="0" borderId="14" xfId="4" applyNumberFormat="1" applyFont="1" applyBorder="1" applyAlignment="1">
      <alignment horizontal="left" vertical="center" wrapText="1"/>
    </xf>
    <xf numFmtId="1" fontId="9" fillId="0" borderId="16" xfId="4" applyNumberFormat="1" applyFont="1" applyBorder="1" applyAlignment="1">
      <alignment horizontal="left" vertical="center"/>
    </xf>
    <xf numFmtId="2" fontId="9" fillId="0" borderId="15" xfId="4" applyNumberFormat="1" applyFont="1" applyBorder="1" applyAlignment="1">
      <alignment horizontal="left" vertical="center"/>
    </xf>
    <xf numFmtId="16" fontId="0" fillId="0" borderId="0" xfId="0" applyNumberFormat="1"/>
    <xf numFmtId="1" fontId="14" fillId="0" borderId="37" xfId="4" applyNumberFormat="1" applyFont="1" applyBorder="1" applyAlignment="1">
      <alignment vertical="center" wrapText="1"/>
    </xf>
    <xf numFmtId="0" fontId="0" fillId="0" borderId="24" xfId="0" applyBorder="1" applyAlignment="1">
      <alignment vertical="top"/>
    </xf>
    <xf numFmtId="16" fontId="9" fillId="0" borderId="14" xfId="4" applyNumberFormat="1" applyFont="1" applyBorder="1" applyAlignment="1">
      <alignment horizontal="center" vertical="center"/>
    </xf>
    <xf numFmtId="0" fontId="16" fillId="4" borderId="44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/>
    </xf>
    <xf numFmtId="15" fontId="0" fillId="0" borderId="0" xfId="0" applyNumberFormat="1"/>
    <xf numFmtId="16" fontId="12" fillId="0" borderId="14" xfId="4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0" xfId="1"/>
    <xf numFmtId="0" fontId="5" fillId="0" borderId="0" xfId="1" applyAlignment="1">
      <alignment vertical="center"/>
    </xf>
    <xf numFmtId="0" fontId="4" fillId="2" borderId="4" xfId="1" applyFont="1" applyFill="1" applyBorder="1" applyAlignment="1">
      <alignment horizontal="center" vertical="center"/>
    </xf>
    <xf numFmtId="16" fontId="5" fillId="0" borderId="0" xfId="1" applyNumberFormat="1"/>
    <xf numFmtId="2" fontId="8" fillId="0" borderId="18" xfId="4" applyNumberFormat="1" applyFont="1" applyBorder="1" applyAlignment="1">
      <alignment horizontal="center" vertical="center"/>
    </xf>
    <xf numFmtId="1" fontId="14" fillId="0" borderId="41" xfId="4" applyNumberFormat="1" applyFont="1" applyBorder="1" applyAlignment="1">
      <alignment horizontal="center" vertical="center"/>
    </xf>
    <xf numFmtId="1" fontId="14" fillId="0" borderId="23" xfId="4" applyNumberFormat="1" applyFont="1" applyBorder="1" applyAlignment="1">
      <alignment vertical="center" wrapText="1"/>
    </xf>
    <xf numFmtId="0" fontId="5" fillId="0" borderId="24" xfId="1" applyBorder="1"/>
    <xf numFmtId="1" fontId="8" fillId="0" borderId="0" xfId="4" applyNumberFormat="1" applyFont="1" applyAlignment="1">
      <alignment horizontal="left" vertical="center" wrapText="1"/>
    </xf>
    <xf numFmtId="1" fontId="8" fillId="0" borderId="0" xfId="4" applyNumberFormat="1" applyFont="1" applyAlignment="1">
      <alignment horizontal="center" vertical="center"/>
    </xf>
    <xf numFmtId="1" fontId="9" fillId="0" borderId="0" xfId="4" applyNumberFormat="1" applyFont="1" applyAlignment="1">
      <alignment horizontal="center" vertical="center"/>
    </xf>
    <xf numFmtId="1" fontId="10" fillId="0" borderId="0" xfId="4" applyNumberFormat="1" applyFont="1" applyAlignment="1">
      <alignment horizontal="center" vertical="center"/>
    </xf>
    <xf numFmtId="16" fontId="8" fillId="0" borderId="0" xfId="4" applyNumberFormat="1" applyFont="1" applyAlignment="1">
      <alignment horizontal="center" vertical="center"/>
    </xf>
    <xf numFmtId="1" fontId="8" fillId="0" borderId="0" xfId="4" applyNumberFormat="1" applyFont="1" applyAlignment="1">
      <alignment horizontal="left" vertical="center"/>
    </xf>
    <xf numFmtId="2" fontId="8" fillId="0" borderId="0" xfId="4" applyNumberFormat="1" applyFont="1" applyAlignment="1">
      <alignment horizontal="left" vertical="center"/>
    </xf>
    <xf numFmtId="0" fontId="5" fillId="0" borderId="0" xfId="1" applyAlignment="1">
      <alignment wrapText="1"/>
    </xf>
    <xf numFmtId="1" fontId="12" fillId="0" borderId="0" xfId="4" applyNumberFormat="1" applyFont="1" applyAlignment="1">
      <alignment horizontal="left" vertical="center"/>
    </xf>
    <xf numFmtId="1" fontId="14" fillId="0" borderId="38" xfId="4" applyNumberFormat="1" applyFont="1" applyBorder="1" applyAlignment="1">
      <alignment vertical="center" wrapText="1"/>
    </xf>
    <xf numFmtId="0" fontId="0" fillId="0" borderId="13" xfId="0" applyBorder="1"/>
    <xf numFmtId="1" fontId="9" fillId="0" borderId="56" xfId="4" applyNumberFormat="1" applyFont="1" applyBorder="1" applyAlignment="1">
      <alignment horizontal="center" vertical="center"/>
    </xf>
    <xf numFmtId="1" fontId="9" fillId="0" borderId="16" xfId="4" applyNumberFormat="1" applyFont="1" applyBorder="1" applyAlignment="1">
      <alignment horizontal="left" vertical="center" wrapText="1"/>
    </xf>
    <xf numFmtId="16" fontId="12" fillId="0" borderId="14" xfId="4" applyNumberFormat="1" applyFont="1" applyBorder="1" applyAlignment="1">
      <alignment horizontal="center" vertical="center" wrapText="1"/>
    </xf>
    <xf numFmtId="2" fontId="12" fillId="0" borderId="15" xfId="4" applyNumberFormat="1" applyFont="1" applyBorder="1" applyAlignment="1">
      <alignment horizontal="left" vertical="center"/>
    </xf>
    <xf numFmtId="1" fontId="12" fillId="0" borderId="33" xfId="4" applyNumberFormat="1" applyFont="1" applyBorder="1" applyAlignment="1">
      <alignment horizontal="center" vertical="center"/>
    </xf>
    <xf numFmtId="1" fontId="12" fillId="0" borderId="16" xfId="4" applyNumberFormat="1" applyFont="1" applyBorder="1" applyAlignment="1">
      <alignment horizontal="center" vertical="center"/>
    </xf>
    <xf numFmtId="1" fontId="14" fillId="0" borderId="16" xfId="4" applyNumberFormat="1" applyFont="1" applyBorder="1" applyAlignment="1">
      <alignment vertical="center" wrapText="1"/>
    </xf>
    <xf numFmtId="1" fontId="12" fillId="0" borderId="37" xfId="4" applyNumberFormat="1" applyFont="1" applyBorder="1" applyAlignment="1">
      <alignment horizontal="center" vertical="center"/>
    </xf>
    <xf numFmtId="1" fontId="0" fillId="0" borderId="0" xfId="0" applyNumberFormat="1"/>
    <xf numFmtId="1" fontId="18" fillId="0" borderId="0" xfId="0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50" xfId="0" applyBorder="1" applyAlignment="1">
      <alignment horizontal="center"/>
    </xf>
    <xf numFmtId="1" fontId="0" fillId="0" borderId="50" xfId="0" applyNumberFormat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5" borderId="0" xfId="0" applyNumberFormat="1" applyFill="1"/>
    <xf numFmtId="0" fontId="0" fillId="5" borderId="24" xfId="0" applyFill="1" applyBorder="1"/>
    <xf numFmtId="165" fontId="0" fillId="5" borderId="64" xfId="0" applyNumberFormat="1" applyFill="1" applyBorder="1" applyAlignment="1">
      <alignment horizontal="center" vertical="center"/>
    </xf>
    <xf numFmtId="0" fontId="0" fillId="0" borderId="50" xfId="0" applyBorder="1"/>
    <xf numFmtId="166" fontId="0" fillId="0" borderId="50" xfId="0" applyNumberFormat="1" applyBorder="1" applyAlignment="1">
      <alignment horizontal="center"/>
    </xf>
    <xf numFmtId="15" fontId="0" fillId="0" borderId="50" xfId="0" applyNumberFormat="1" applyBorder="1"/>
    <xf numFmtId="0" fontId="2" fillId="0" borderId="50" xfId="0" applyFont="1" applyBorder="1" applyAlignment="1">
      <alignment horizontal="center"/>
    </xf>
    <xf numFmtId="1" fontId="2" fillId="0" borderId="50" xfId="0" applyNumberFormat="1" applyFont="1" applyBorder="1" applyAlignment="1">
      <alignment horizontal="center"/>
    </xf>
    <xf numFmtId="0" fontId="2" fillId="6" borderId="50" xfId="0" applyFont="1" applyFill="1" applyBorder="1"/>
    <xf numFmtId="0" fontId="2" fillId="6" borderId="50" xfId="0" applyFont="1" applyFill="1" applyBorder="1" applyAlignment="1">
      <alignment horizontal="center"/>
    </xf>
    <xf numFmtId="15" fontId="0" fillId="6" borderId="50" xfId="0" applyNumberFormat="1" applyFill="1" applyBorder="1" applyAlignment="1">
      <alignment horizontal="center"/>
    </xf>
    <xf numFmtId="15" fontId="0" fillId="6" borderId="0" xfId="0" applyNumberFormat="1" applyFill="1" applyAlignment="1">
      <alignment horizontal="center"/>
    </xf>
    <xf numFmtId="15" fontId="0" fillId="6" borderId="0" xfId="0" applyNumberFormat="1" applyFill="1"/>
    <xf numFmtId="0" fontId="0" fillId="0" borderId="24" xfId="0" applyBorder="1" applyAlignment="1">
      <alignment vertical="center"/>
    </xf>
    <xf numFmtId="0" fontId="0" fillId="0" borderId="65" xfId="0" applyBorder="1"/>
    <xf numFmtId="0" fontId="0" fillId="0" borderId="66" xfId="0" applyBorder="1"/>
    <xf numFmtId="0" fontId="0" fillId="3" borderId="0" xfId="0" applyFill="1"/>
    <xf numFmtId="165" fontId="0" fillId="5" borderId="50" xfId="0" applyNumberFormat="1" applyFill="1" applyBorder="1" applyAlignment="1">
      <alignment horizontal="center" vertical="center"/>
    </xf>
    <xf numFmtId="0" fontId="2" fillId="6" borderId="50" xfId="0" applyFont="1" applyFill="1" applyBorder="1" applyAlignment="1">
      <alignment wrapText="1"/>
    </xf>
    <xf numFmtId="15" fontId="0" fillId="0" borderId="65" xfId="0" applyNumberFormat="1" applyBorder="1"/>
    <xf numFmtId="165" fontId="0" fillId="0" borderId="0" xfId="0" applyNumberFormat="1"/>
    <xf numFmtId="0" fontId="0" fillId="0" borderId="43" xfId="0" applyBorder="1" applyAlignment="1">
      <alignment horizontal="center" vertical="center"/>
    </xf>
    <xf numFmtId="0" fontId="2" fillId="6" borderId="50" xfId="0" applyFont="1" applyFill="1" applyBorder="1" applyAlignment="1">
      <alignment horizontal="center" vertical="center" wrapText="1"/>
    </xf>
    <xf numFmtId="0" fontId="2" fillId="6" borderId="50" xfId="0" applyFont="1" applyFill="1" applyBorder="1" applyAlignment="1">
      <alignment horizontal="center" vertical="center"/>
    </xf>
    <xf numFmtId="15" fontId="0" fillId="6" borderId="50" xfId="0" applyNumberFormat="1" applyFill="1" applyBorder="1" applyAlignment="1">
      <alignment horizontal="center" vertical="center"/>
    </xf>
    <xf numFmtId="15" fontId="0" fillId="6" borderId="0" xfId="0" applyNumberFormat="1" applyFill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5" fontId="0" fillId="6" borderId="5" xfId="0" applyNumberFormat="1" applyFill="1" applyBorder="1" applyAlignment="1">
      <alignment horizontal="center"/>
    </xf>
    <xf numFmtId="1" fontId="2" fillId="0" borderId="67" xfId="0" applyNumberFormat="1" applyFont="1" applyBorder="1" applyAlignment="1">
      <alignment horizontal="center"/>
    </xf>
    <xf numFmtId="2" fontId="12" fillId="0" borderId="26" xfId="4" applyNumberFormat="1" applyFont="1" applyBorder="1" applyAlignment="1">
      <alignment horizontal="left" vertical="center"/>
    </xf>
    <xf numFmtId="1" fontId="12" fillId="0" borderId="14" xfId="4" applyNumberFormat="1" applyFont="1" applyBorder="1" applyAlignment="1">
      <alignment horizontal="left" vertical="center" wrapText="1"/>
    </xf>
    <xf numFmtId="1" fontId="21" fillId="0" borderId="14" xfId="4" applyNumberFormat="1" applyFont="1" applyBorder="1" applyAlignment="1">
      <alignment horizontal="center" vertical="center"/>
    </xf>
    <xf numFmtId="1" fontId="12" fillId="0" borderId="16" xfId="4" applyNumberFormat="1" applyFont="1" applyBorder="1" applyAlignment="1">
      <alignment horizontal="left" vertical="center"/>
    </xf>
    <xf numFmtId="0" fontId="2" fillId="0" borderId="0" xfId="0" applyFont="1"/>
    <xf numFmtId="165" fontId="2" fillId="0" borderId="0" xfId="0" applyNumberFormat="1" applyFont="1"/>
    <xf numFmtId="0" fontId="2" fillId="0" borderId="65" xfId="0" applyFont="1" applyBorder="1"/>
    <xf numFmtId="0" fontId="2" fillId="0" borderId="66" xfId="0" applyFont="1" applyBorder="1"/>
    <xf numFmtId="15" fontId="2" fillId="0" borderId="0" xfId="0" applyNumberFormat="1" applyFont="1"/>
    <xf numFmtId="15" fontId="2" fillId="0" borderId="65" xfId="0" applyNumberFormat="1" applyFont="1" applyBorder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3" borderId="65" xfId="0" applyFill="1" applyBorder="1"/>
    <xf numFmtId="15" fontId="0" fillId="3" borderId="65" xfId="0" applyNumberFormat="1" applyFill="1" applyBorder="1"/>
    <xf numFmtId="0" fontId="0" fillId="3" borderId="66" xfId="0" applyFill="1" applyBorder="1"/>
    <xf numFmtId="0" fontId="2" fillId="3" borderId="50" xfId="0" applyFont="1" applyFill="1" applyBorder="1" applyAlignment="1">
      <alignment horizontal="center"/>
    </xf>
    <xf numFmtId="1" fontId="2" fillId="3" borderId="50" xfId="0" applyNumberFormat="1" applyFont="1" applyFill="1" applyBorder="1" applyAlignment="1">
      <alignment horizontal="center"/>
    </xf>
    <xf numFmtId="15" fontId="0" fillId="3" borderId="0" xfId="0" applyNumberFormat="1" applyFill="1"/>
    <xf numFmtId="165" fontId="0" fillId="3" borderId="0" xfId="0" applyNumberFormat="1" applyFill="1"/>
    <xf numFmtId="1" fontId="2" fillId="3" borderId="67" xfId="0" applyNumberFormat="1" applyFont="1" applyFill="1" applyBorder="1" applyAlignment="1">
      <alignment horizontal="center"/>
    </xf>
    <xf numFmtId="0" fontId="2" fillId="3" borderId="67" xfId="0" applyFont="1" applyFill="1" applyBorder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0" fontId="0" fillId="3" borderId="50" xfId="0" applyFill="1" applyBorder="1"/>
    <xf numFmtId="16" fontId="0" fillId="0" borderId="5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" fontId="0" fillId="0" borderId="50" xfId="0" applyNumberFormat="1" applyBorder="1" applyAlignment="1">
      <alignment horizontal="center"/>
    </xf>
    <xf numFmtId="165" fontId="0" fillId="0" borderId="50" xfId="0" applyNumberFormat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65" fontId="0" fillId="0" borderId="64" xfId="0" applyNumberFormat="1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1" fontId="0" fillId="0" borderId="65" xfId="0" applyNumberFormat="1" applyBorder="1" applyAlignment="1">
      <alignment horizontal="center"/>
    </xf>
    <xf numFmtId="1" fontId="2" fillId="0" borderId="66" xfId="0" applyNumberFormat="1" applyFont="1" applyBorder="1" applyAlignment="1">
      <alignment horizontal="center" vertical="center"/>
    </xf>
    <xf numFmtId="1" fontId="19" fillId="3" borderId="0" xfId="0" applyNumberFormat="1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5" fillId="0" borderId="17" xfId="1" applyBorder="1"/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" fillId="0" borderId="50" xfId="0" applyFont="1" applyBorder="1" applyAlignment="1">
      <alignment horizontal="center" vertical="center"/>
    </xf>
    <xf numFmtId="166" fontId="0" fillId="0" borderId="5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0" fillId="0" borderId="50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65" xfId="0" applyFont="1" applyBorder="1" applyAlignment="1">
      <alignment vertical="center"/>
    </xf>
    <xf numFmtId="15" fontId="2" fillId="0" borderId="65" xfId="0" applyNumberFormat="1" applyFont="1" applyBorder="1" applyAlignment="1">
      <alignment vertical="center"/>
    </xf>
    <xf numFmtId="1" fontId="2" fillId="0" borderId="50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6" borderId="50" xfId="0" applyFont="1" applyFill="1" applyBorder="1" applyAlignment="1">
      <alignment vertical="center"/>
    </xf>
    <xf numFmtId="15" fontId="0" fillId="6" borderId="5" xfId="0" applyNumberForma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15" fontId="2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65" fontId="2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65" xfId="0" applyBorder="1" applyAlignment="1">
      <alignment vertical="center"/>
    </xf>
    <xf numFmtId="15" fontId="0" fillId="0" borderId="50" xfId="0" applyNumberFormat="1" applyBorder="1" applyAlignment="1">
      <alignment vertical="center"/>
    </xf>
    <xf numFmtId="0" fontId="0" fillId="3" borderId="65" xfId="0" applyFill="1" applyBorder="1" applyAlignment="1">
      <alignment vertical="center"/>
    </xf>
    <xf numFmtId="15" fontId="0" fillId="3" borderId="65" xfId="0" applyNumberFormat="1" applyFill="1" applyBorder="1" applyAlignment="1">
      <alignment vertical="center"/>
    </xf>
    <xf numFmtId="0" fontId="0" fillId="3" borderId="66" xfId="0" applyFill="1" applyBorder="1" applyAlignment="1">
      <alignment vertical="center"/>
    </xf>
    <xf numFmtId="0" fontId="2" fillId="3" borderId="50" xfId="0" applyFont="1" applyFill="1" applyBorder="1" applyAlignment="1">
      <alignment horizontal="center" vertical="center"/>
    </xf>
    <xf numFmtId="1" fontId="2" fillId="3" borderId="50" xfId="0" applyNumberFormat="1" applyFont="1" applyFill="1" applyBorder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15" fontId="0" fillId="3" borderId="0" xfId="0" applyNumberFormat="1" applyFill="1" applyAlignment="1">
      <alignment vertical="center"/>
    </xf>
    <xf numFmtId="165" fontId="0" fillId="3" borderId="0" xfId="0" applyNumberFormat="1" applyFill="1" applyAlignment="1">
      <alignment vertical="center"/>
    </xf>
    <xf numFmtId="0" fontId="0" fillId="0" borderId="7" xfId="0" applyBorder="1" applyAlignment="1">
      <alignment vertical="center"/>
    </xf>
    <xf numFmtId="1" fontId="2" fillId="3" borderId="5" xfId="0" applyNumberFormat="1" applyFont="1" applyFill="1" applyBorder="1" applyAlignment="1">
      <alignment horizontal="center" vertical="center"/>
    </xf>
    <xf numFmtId="1" fontId="2" fillId="3" borderId="67" xfId="0" applyNumberFormat="1" applyFont="1" applyFill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  <xf numFmtId="0" fontId="19" fillId="6" borderId="50" xfId="0" applyFont="1" applyFill="1" applyBorder="1" applyAlignment="1">
      <alignment horizontal="center" vertical="center" wrapText="1"/>
    </xf>
    <xf numFmtId="0" fontId="19" fillId="6" borderId="50" xfId="0" applyFont="1" applyFill="1" applyBorder="1" applyAlignment="1">
      <alignment horizontal="center" vertical="center"/>
    </xf>
    <xf numFmtId="15" fontId="19" fillId="6" borderId="50" xfId="0" applyNumberFormat="1" applyFont="1" applyFill="1" applyBorder="1" applyAlignment="1">
      <alignment horizontal="center" vertical="center"/>
    </xf>
    <xf numFmtId="15" fontId="19" fillId="6" borderId="0" xfId="0" applyNumberFormat="1" applyFont="1" applyFill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15" fontId="0" fillId="0" borderId="0" xfId="0" applyNumberFormat="1" applyAlignment="1">
      <alignment vertical="center"/>
    </xf>
    <xf numFmtId="15" fontId="0" fillId="0" borderId="65" xfId="0" applyNumberFormat="1" applyBorder="1" applyAlignment="1">
      <alignment vertical="center"/>
    </xf>
    <xf numFmtId="1" fontId="0" fillId="0" borderId="65" xfId="0" applyNumberFormat="1" applyBorder="1" applyAlignment="1">
      <alignment horizontal="center" vertical="center"/>
    </xf>
    <xf numFmtId="0" fontId="0" fillId="0" borderId="66" xfId="0" applyBorder="1" applyAlignment="1">
      <alignment vertical="center"/>
    </xf>
    <xf numFmtId="1" fontId="2" fillId="3" borderId="0" xfId="0" applyNumberFormat="1" applyFont="1" applyFill="1" applyAlignment="1">
      <alignment horizontal="center" vertical="center"/>
    </xf>
    <xf numFmtId="0" fontId="19" fillId="6" borderId="50" xfId="0" applyFont="1" applyFill="1" applyBorder="1" applyAlignment="1">
      <alignment vertical="center"/>
    </xf>
    <xf numFmtId="1" fontId="0" fillId="0" borderId="5" xfId="0" applyNumberFormat="1" applyBorder="1" applyAlignment="1">
      <alignment horizontal="center" vertical="center"/>
    </xf>
    <xf numFmtId="0" fontId="2" fillId="0" borderId="66" xfId="0" applyFont="1" applyBorder="1" applyAlignment="1">
      <alignment vertical="center"/>
    </xf>
    <xf numFmtId="1" fontId="2" fillId="0" borderId="67" xfId="0" applyNumberFormat="1" applyFont="1" applyBorder="1" applyAlignment="1">
      <alignment horizontal="center" vertical="center"/>
    </xf>
    <xf numFmtId="0" fontId="0" fillId="3" borderId="66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6" borderId="50" xfId="0" applyFont="1" applyFill="1" applyBorder="1" applyAlignment="1">
      <alignment vertical="center" wrapText="1"/>
    </xf>
    <xf numFmtId="15" fontId="19" fillId="6" borderId="0" xfId="0" applyNumberFormat="1" applyFont="1" applyFill="1" applyAlignment="1">
      <alignment vertical="center"/>
    </xf>
    <xf numFmtId="0" fontId="2" fillId="3" borderId="6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5" fillId="0" borderId="0" xfId="1" applyAlignment="1">
      <alignment vertical="center" wrapText="1"/>
    </xf>
    <xf numFmtId="16" fontId="8" fillId="0" borderId="68" xfId="4" applyNumberFormat="1" applyFont="1" applyBorder="1" applyAlignment="1">
      <alignment horizontal="center" vertical="center" wrapText="1"/>
    </xf>
    <xf numFmtId="1" fontId="8" fillId="0" borderId="69" xfId="4" applyNumberFormat="1" applyFont="1" applyBorder="1" applyAlignment="1">
      <alignment horizontal="center" vertical="center"/>
    </xf>
    <xf numFmtId="1" fontId="12" fillId="0" borderId="70" xfId="4" applyNumberFormat="1" applyFont="1" applyBorder="1" applyAlignment="1">
      <alignment horizontal="center" vertical="center"/>
    </xf>
    <xf numFmtId="1" fontId="12" fillId="0" borderId="71" xfId="4" applyNumberFormat="1" applyFont="1" applyBorder="1" applyAlignment="1">
      <alignment horizontal="center" vertical="center"/>
    </xf>
    <xf numFmtId="1" fontId="12" fillId="0" borderId="72" xfId="4" applyNumberFormat="1" applyFont="1" applyBorder="1" applyAlignment="1">
      <alignment horizontal="center" vertical="center"/>
    </xf>
    <xf numFmtId="0" fontId="0" fillId="0" borderId="71" xfId="0" applyBorder="1"/>
    <xf numFmtId="0" fontId="0" fillId="0" borderId="72" xfId="0" applyBorder="1"/>
    <xf numFmtId="1" fontId="12" fillId="0" borderId="73" xfId="4" applyNumberFormat="1" applyFont="1" applyBorder="1" applyAlignment="1">
      <alignment horizontal="center" vertical="center"/>
    </xf>
    <xf numFmtId="1" fontId="12" fillId="0" borderId="74" xfId="4" applyNumberFormat="1" applyFont="1" applyBorder="1" applyAlignment="1">
      <alignment horizontal="center" vertical="center"/>
    </xf>
    <xf numFmtId="16" fontId="8" fillId="0" borderId="76" xfId="4" applyNumberFormat="1" applyFont="1" applyBorder="1" applyAlignment="1">
      <alignment horizontal="center" vertical="center" wrapText="1"/>
    </xf>
    <xf numFmtId="1" fontId="8" fillId="0" borderId="77" xfId="4" applyNumberFormat="1" applyFont="1" applyBorder="1" applyAlignment="1">
      <alignment horizontal="center" vertical="center"/>
    </xf>
    <xf numFmtId="1" fontId="12" fillId="0" borderId="78" xfId="4" applyNumberFormat="1" applyFont="1" applyBorder="1" applyAlignment="1">
      <alignment horizontal="center" vertical="center"/>
    </xf>
    <xf numFmtId="1" fontId="12" fillId="0" borderId="79" xfId="4" applyNumberFormat="1" applyFont="1" applyBorder="1" applyAlignment="1">
      <alignment horizontal="center" vertical="center"/>
    </xf>
    <xf numFmtId="1" fontId="12" fillId="0" borderId="80" xfId="4" applyNumberFormat="1" applyFont="1" applyBorder="1" applyAlignment="1">
      <alignment horizontal="center" vertical="center"/>
    </xf>
    <xf numFmtId="1" fontId="12" fillId="0" borderId="81" xfId="4" applyNumberFormat="1" applyFont="1" applyBorder="1" applyAlignment="1">
      <alignment horizontal="center" vertical="center"/>
    </xf>
    <xf numFmtId="1" fontId="12" fillId="0" borderId="82" xfId="4" applyNumberFormat="1" applyFont="1" applyBorder="1" applyAlignment="1">
      <alignment horizontal="center" vertical="center"/>
    </xf>
    <xf numFmtId="2" fontId="12" fillId="0" borderId="15" xfId="4" applyNumberFormat="1" applyFont="1" applyBorder="1" applyAlignment="1">
      <alignment horizontal="center" vertical="center"/>
    </xf>
    <xf numFmtId="1" fontId="12" fillId="0" borderId="75" xfId="4" applyNumberFormat="1" applyFont="1" applyBorder="1" applyAlignment="1">
      <alignment horizontal="center" vertical="center"/>
    </xf>
    <xf numFmtId="1" fontId="12" fillId="0" borderId="76" xfId="4" applyNumberFormat="1" applyFont="1" applyBorder="1" applyAlignment="1">
      <alignment horizontal="center" vertical="center"/>
    </xf>
    <xf numFmtId="1" fontId="12" fillId="0" borderId="77" xfId="4" applyNumberFormat="1" applyFont="1" applyBorder="1" applyAlignment="1">
      <alignment horizontal="center" vertical="center"/>
    </xf>
    <xf numFmtId="3" fontId="0" fillId="0" borderId="50" xfId="0" applyNumberFormat="1" applyBorder="1" applyAlignment="1">
      <alignment horizontal="center"/>
    </xf>
    <xf numFmtId="1" fontId="6" fillId="0" borderId="50" xfId="4" applyNumberFormat="1" applyFont="1" applyBorder="1" applyAlignment="1">
      <alignment horizontal="center" vertical="center"/>
    </xf>
    <xf numFmtId="16" fontId="0" fillId="0" borderId="50" xfId="0" applyNumberFormat="1" applyBorder="1"/>
    <xf numFmtId="0" fontId="0" fillId="0" borderId="22" xfId="0" applyBorder="1" applyAlignment="1">
      <alignment vertical="center" wrapText="1"/>
    </xf>
    <xf numFmtId="0" fontId="0" fillId="0" borderId="22" xfId="0" applyBorder="1" applyAlignment="1">
      <alignment vertical="center"/>
    </xf>
    <xf numFmtId="1" fontId="8" fillId="0" borderId="14" xfId="4" applyNumberFormat="1" applyFont="1" applyBorder="1" applyAlignment="1">
      <alignment horizontal="left" vertical="center"/>
    </xf>
    <xf numFmtId="1" fontId="12" fillId="0" borderId="56" xfId="4" applyNumberFormat="1" applyFont="1" applyBorder="1" applyAlignment="1">
      <alignment horizontal="center" vertical="center"/>
    </xf>
    <xf numFmtId="1" fontId="12" fillId="0" borderId="48" xfId="4" applyNumberFormat="1" applyFont="1" applyBorder="1" applyAlignment="1">
      <alignment horizontal="center" vertical="center"/>
    </xf>
    <xf numFmtId="1" fontId="12" fillId="0" borderId="49" xfId="4" applyNumberFormat="1" applyFont="1" applyBorder="1" applyAlignment="1">
      <alignment horizontal="center" vertical="center"/>
    </xf>
    <xf numFmtId="1" fontId="12" fillId="0" borderId="28" xfId="4" applyNumberFormat="1" applyFont="1" applyBorder="1" applyAlignment="1">
      <alignment horizontal="center" vertical="center"/>
    </xf>
    <xf numFmtId="1" fontId="12" fillId="0" borderId="39" xfId="4" applyNumberFormat="1" applyFont="1" applyBorder="1" applyAlignment="1">
      <alignment horizontal="center" vertical="center"/>
    </xf>
    <xf numFmtId="1" fontId="12" fillId="0" borderId="41" xfId="4" applyNumberFormat="1" applyFont="1" applyBorder="1" applyAlignment="1">
      <alignment horizontal="center" vertical="center"/>
    </xf>
    <xf numFmtId="1" fontId="12" fillId="0" borderId="23" xfId="4" applyNumberFormat="1" applyFont="1" applyBorder="1" applyAlignment="1">
      <alignment horizontal="center" vertical="center"/>
    </xf>
    <xf numFmtId="0" fontId="0" fillId="0" borderId="60" xfId="0" applyBorder="1"/>
    <xf numFmtId="16" fontId="5" fillId="0" borderId="0" xfId="1" applyNumberFormat="1" applyAlignment="1">
      <alignment vertical="center"/>
    </xf>
    <xf numFmtId="1" fontId="5" fillId="0" borderId="0" xfId="1" applyNumberFormat="1" applyAlignment="1">
      <alignment vertical="center"/>
    </xf>
    <xf numFmtId="1" fontId="5" fillId="0" borderId="0" xfId="1" applyNumberFormat="1"/>
    <xf numFmtId="15" fontId="16" fillId="4" borderId="17" xfId="0" applyNumberFormat="1" applyFont="1" applyFill="1" applyBorder="1" applyAlignment="1">
      <alignment horizontal="center" vertical="center"/>
    </xf>
    <xf numFmtId="1" fontId="12" fillId="0" borderId="88" xfId="4" applyNumberFormat="1" applyFont="1" applyBorder="1" applyAlignment="1">
      <alignment horizontal="center" vertical="center"/>
    </xf>
    <xf numFmtId="0" fontId="0" fillId="0" borderId="88" xfId="0" applyBorder="1"/>
    <xf numFmtId="1" fontId="12" fillId="0" borderId="89" xfId="4" applyNumberFormat="1" applyFont="1" applyBorder="1" applyAlignment="1">
      <alignment horizontal="center" vertical="center"/>
    </xf>
    <xf numFmtId="1" fontId="12" fillId="0" borderId="90" xfId="4" applyNumberFormat="1" applyFont="1" applyBorder="1" applyAlignment="1">
      <alignment horizontal="center" vertical="center"/>
    </xf>
    <xf numFmtId="1" fontId="12" fillId="0" borderId="92" xfId="4" applyNumberFormat="1" applyFont="1" applyBorder="1" applyAlignment="1">
      <alignment horizontal="center" vertical="center"/>
    </xf>
    <xf numFmtId="16" fontId="12" fillId="0" borderId="87" xfId="4" applyNumberFormat="1" applyFont="1" applyBorder="1" applyAlignment="1">
      <alignment horizontal="center" vertical="center" wrapText="1"/>
    </xf>
    <xf numFmtId="16" fontId="12" fillId="0" borderId="91" xfId="4" applyNumberFormat="1" applyFont="1" applyBorder="1" applyAlignment="1">
      <alignment horizontal="center" vertical="center" wrapText="1"/>
    </xf>
    <xf numFmtId="1" fontId="13" fillId="0" borderId="94" xfId="4" applyNumberFormat="1" applyFont="1" applyBorder="1" applyAlignment="1">
      <alignment horizontal="left" vertical="center"/>
    </xf>
    <xf numFmtId="1" fontId="14" fillId="0" borderId="93" xfId="4" applyNumberFormat="1" applyFont="1" applyBorder="1" applyAlignment="1">
      <alignment vertical="center" wrapText="1"/>
    </xf>
    <xf numFmtId="1" fontId="8" fillId="0" borderId="94" xfId="4" applyNumberFormat="1" applyFont="1" applyBorder="1" applyAlignment="1">
      <alignment horizontal="left" vertical="center"/>
    </xf>
    <xf numFmtId="1" fontId="14" fillId="0" borderId="94" xfId="4" applyNumberFormat="1" applyFont="1" applyBorder="1" applyAlignment="1">
      <alignment vertical="center" wrapText="1"/>
    </xf>
    <xf numFmtId="1" fontId="8" fillId="0" borderId="94" xfId="4" applyNumberFormat="1" applyFont="1" applyBorder="1" applyAlignment="1">
      <alignment horizontal="left" vertical="center" wrapText="1"/>
    </xf>
    <xf numFmtId="1" fontId="9" fillId="0" borderId="70" xfId="4" applyNumberFormat="1" applyFont="1" applyBorder="1" applyAlignment="1">
      <alignment horizontal="center" vertical="center"/>
    </xf>
    <xf numFmtId="1" fontId="9" fillId="0" borderId="71" xfId="4" applyNumberFormat="1" applyFont="1" applyBorder="1" applyAlignment="1">
      <alignment horizontal="center" vertical="center"/>
    </xf>
    <xf numFmtId="1" fontId="9" fillId="0" borderId="72" xfId="4" applyNumberFormat="1" applyFont="1" applyBorder="1" applyAlignment="1">
      <alignment horizontal="center" vertical="center"/>
    </xf>
    <xf numFmtId="0" fontId="22" fillId="0" borderId="0" xfId="0" applyFont="1"/>
    <xf numFmtId="1" fontId="9" fillId="0" borderId="94" xfId="4" applyNumberFormat="1" applyFont="1" applyBorder="1" applyAlignment="1">
      <alignment horizontal="left" vertical="center"/>
    </xf>
    <xf numFmtId="16" fontId="12" fillId="0" borderId="33" xfId="4" applyNumberFormat="1" applyFont="1" applyBorder="1" applyAlignment="1">
      <alignment horizontal="center" vertical="center"/>
    </xf>
    <xf numFmtId="1" fontId="21" fillId="0" borderId="27" xfId="4" applyNumberFormat="1" applyFont="1" applyBorder="1" applyAlignment="1">
      <alignment horizontal="center" vertical="center"/>
    </xf>
    <xf numFmtId="16" fontId="12" fillId="0" borderId="27" xfId="4" applyNumberFormat="1" applyFont="1" applyBorder="1" applyAlignment="1">
      <alignment horizontal="center" vertical="center"/>
    </xf>
    <xf numFmtId="1" fontId="12" fillId="0" borderId="27" xfId="4" applyNumberFormat="1" applyFont="1" applyBorder="1" applyAlignment="1">
      <alignment horizontal="left" vertical="center" wrapText="1"/>
    </xf>
    <xf numFmtId="16" fontId="13" fillId="0" borderId="14" xfId="4" applyNumberFormat="1" applyFont="1" applyBorder="1" applyAlignment="1">
      <alignment horizontal="center" vertical="center"/>
    </xf>
    <xf numFmtId="1" fontId="12" fillId="0" borderId="96" xfId="4" applyNumberFormat="1" applyFont="1" applyBorder="1" applyAlignment="1">
      <alignment horizontal="center" vertical="center"/>
    </xf>
    <xf numFmtId="1" fontId="12" fillId="0" borderId="97" xfId="4" applyNumberFormat="1" applyFont="1" applyBorder="1" applyAlignment="1">
      <alignment horizontal="center" vertical="center"/>
    </xf>
    <xf numFmtId="1" fontId="12" fillId="0" borderId="98" xfId="4" applyNumberFormat="1" applyFont="1" applyBorder="1" applyAlignment="1">
      <alignment horizontal="center" vertical="center"/>
    </xf>
    <xf numFmtId="16" fontId="12" fillId="0" borderId="99" xfId="4" applyNumberFormat="1" applyFont="1" applyBorder="1" applyAlignment="1">
      <alignment horizontal="center" vertical="center" wrapText="1"/>
    </xf>
    <xf numFmtId="16" fontId="8" fillId="0" borderId="97" xfId="4" applyNumberFormat="1" applyFont="1" applyBorder="1" applyAlignment="1">
      <alignment horizontal="center" vertical="center" wrapText="1"/>
    </xf>
    <xf numFmtId="1" fontId="8" fillId="0" borderId="98" xfId="4" applyNumberFormat="1" applyFont="1" applyBorder="1" applyAlignment="1">
      <alignment horizontal="center" vertical="center"/>
    </xf>
    <xf numFmtId="0" fontId="0" fillId="0" borderId="24" xfId="1" applyFont="1" applyBorder="1" applyAlignment="1">
      <alignment vertical="top" wrapText="1"/>
    </xf>
    <xf numFmtId="0" fontId="23" fillId="0" borderId="0" xfId="1" applyFont="1"/>
    <xf numFmtId="0" fontId="0" fillId="0" borderId="47" xfId="1" applyFont="1" applyBorder="1" applyAlignment="1">
      <alignment vertical="top" wrapText="1"/>
    </xf>
    <xf numFmtId="0" fontId="0" fillId="0" borderId="24" xfId="0" applyBorder="1" applyAlignment="1">
      <alignment wrapText="1"/>
    </xf>
    <xf numFmtId="16" fontId="9" fillId="0" borderId="94" xfId="4" applyNumberFormat="1" applyFont="1" applyBorder="1" applyAlignment="1">
      <alignment horizontal="left" vertical="center"/>
    </xf>
    <xf numFmtId="0" fontId="0" fillId="0" borderId="24" xfId="0" applyBorder="1" applyAlignment="1">
      <alignment horizontal="left" vertical="top" wrapText="1"/>
    </xf>
    <xf numFmtId="0" fontId="5" fillId="0" borderId="22" xfId="1" applyBorder="1" applyAlignment="1">
      <alignment vertical="center" wrapText="1"/>
    </xf>
    <xf numFmtId="0" fontId="5" fillId="0" borderId="22" xfId="1" applyBorder="1" applyAlignment="1">
      <alignment vertical="center"/>
    </xf>
    <xf numFmtId="1" fontId="0" fillId="0" borderId="4" xfId="0" applyNumberFormat="1" applyBorder="1" applyAlignment="1">
      <alignment horizontal="center" vertical="center"/>
    </xf>
    <xf numFmtId="0" fontId="0" fillId="0" borderId="24" xfId="0" applyBorder="1" applyAlignment="1">
      <alignment vertical="center" wrapText="1"/>
    </xf>
    <xf numFmtId="2" fontId="9" fillId="0" borderId="56" xfId="4" applyNumberFormat="1" applyFont="1" applyBorder="1" applyAlignment="1">
      <alignment horizontal="left" vertical="center"/>
    </xf>
    <xf numFmtId="2" fontId="8" fillId="0" borderId="56" xfId="4" applyNumberFormat="1" applyFont="1" applyBorder="1" applyAlignment="1">
      <alignment horizontal="left" vertical="center"/>
    </xf>
    <xf numFmtId="0" fontId="0" fillId="0" borderId="17" xfId="1" applyFont="1" applyBorder="1" applyAlignment="1">
      <alignment vertical="top" wrapText="1"/>
    </xf>
    <xf numFmtId="0" fontId="0" fillId="0" borderId="22" xfId="1" applyFont="1" applyBorder="1" applyAlignment="1">
      <alignment vertical="top" wrapText="1"/>
    </xf>
    <xf numFmtId="0" fontId="0" fillId="0" borderId="22" xfId="0" applyBorder="1" applyAlignment="1">
      <alignment vertical="top" wrapText="1"/>
    </xf>
    <xf numFmtId="164" fontId="9" fillId="0" borderId="56" xfId="4" applyNumberFormat="1" applyFont="1" applyBorder="1" applyAlignment="1">
      <alignment horizontal="left" vertical="center"/>
    </xf>
    <xf numFmtId="1" fontId="15" fillId="0" borderId="40" xfId="4" applyNumberFormat="1" applyFont="1" applyBorder="1" applyAlignment="1">
      <alignment vertical="center" wrapText="1"/>
    </xf>
    <xf numFmtId="15" fontId="16" fillId="4" borderId="45" xfId="0" applyNumberFormat="1" applyFont="1" applyFill="1" applyBorder="1" applyAlignment="1">
      <alignment horizontal="center" vertical="center" wrapText="1"/>
    </xf>
    <xf numFmtId="0" fontId="0" fillId="0" borderId="24" xfId="0" applyBorder="1" applyAlignment="1">
      <alignment vertical="top" wrapText="1"/>
    </xf>
    <xf numFmtId="16" fontId="0" fillId="0" borderId="24" xfId="0" applyNumberFormat="1" applyBorder="1" applyAlignment="1">
      <alignment horizontal="left"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47" xfId="1" applyFont="1" applyBorder="1" applyAlignment="1">
      <alignment wrapText="1"/>
    </xf>
    <xf numFmtId="0" fontId="0" fillId="0" borderId="47" xfId="0" applyBorder="1" applyAlignment="1">
      <alignment wrapText="1"/>
    </xf>
    <xf numFmtId="0" fontId="0" fillId="0" borderId="21" xfId="1" applyFont="1" applyBorder="1" applyAlignment="1">
      <alignment vertical="top" wrapText="1"/>
    </xf>
    <xf numFmtId="0" fontId="0" fillId="0" borderId="25" xfId="0" applyBorder="1" applyAlignment="1">
      <alignment wrapText="1"/>
    </xf>
    <xf numFmtId="0" fontId="18" fillId="0" borderId="22" xfId="1" applyFont="1" applyBorder="1" applyAlignment="1">
      <alignment vertical="top" wrapText="1"/>
    </xf>
    <xf numFmtId="0" fontId="18" fillId="0" borderId="47" xfId="1" applyFont="1" applyBorder="1" applyAlignment="1">
      <alignment vertical="top" wrapText="1"/>
    </xf>
    <xf numFmtId="0" fontId="18" fillId="0" borderId="24" xfId="1" applyFont="1" applyBorder="1" applyAlignment="1">
      <alignment vertical="top" wrapText="1"/>
    </xf>
    <xf numFmtId="0" fontId="18" fillId="0" borderId="25" xfId="1" applyFont="1" applyBorder="1" applyAlignment="1">
      <alignment vertical="top" wrapText="1"/>
    </xf>
    <xf numFmtId="2" fontId="13" fillId="0" borderId="15" xfId="4" applyNumberFormat="1" applyFont="1" applyBorder="1" applyAlignment="1">
      <alignment horizontal="left" vertical="center"/>
    </xf>
    <xf numFmtId="0" fontId="0" fillId="0" borderId="67" xfId="0" applyBorder="1"/>
    <xf numFmtId="164" fontId="13" fillId="0" borderId="15" xfId="4" applyNumberFormat="1" applyFont="1" applyBorder="1" applyAlignment="1">
      <alignment horizontal="left" vertical="center"/>
    </xf>
    <xf numFmtId="0" fontId="0" fillId="0" borderId="50" xfId="0" applyBorder="1" applyAlignment="1">
      <alignment horizontal="left" vertical="center" wrapText="1"/>
    </xf>
    <xf numFmtId="0" fontId="20" fillId="0" borderId="50" xfId="0" applyFont="1" applyBorder="1" applyAlignment="1">
      <alignment horizontal="center" vertical="center"/>
    </xf>
    <xf numFmtId="0" fontId="0" fillId="0" borderId="50" xfId="0" applyBorder="1" applyAlignment="1">
      <alignment horizontal="left" vertical="center"/>
    </xf>
    <xf numFmtId="0" fontId="19" fillId="0" borderId="67" xfId="0" applyFont="1" applyBorder="1" applyAlignment="1">
      <alignment horizontal="center"/>
    </xf>
    <xf numFmtId="1" fontId="19" fillId="0" borderId="67" xfId="0" applyNumberFormat="1" applyFont="1" applyBorder="1" applyAlignment="1">
      <alignment horizontal="center" vertical="center"/>
    </xf>
    <xf numFmtId="0" fontId="18" fillId="0" borderId="50" xfId="0" applyFont="1" applyBorder="1"/>
    <xf numFmtId="0" fontId="0" fillId="0" borderId="22" xfId="0" applyBorder="1" applyAlignment="1">
      <alignment vertical="top"/>
    </xf>
    <xf numFmtId="16" fontId="13" fillId="0" borderId="33" xfId="4" applyNumberFormat="1" applyFont="1" applyBorder="1" applyAlignment="1">
      <alignment horizontal="center" vertical="center"/>
    </xf>
    <xf numFmtId="16" fontId="12" fillId="0" borderId="101" xfId="4" applyNumberFormat="1" applyFont="1" applyBorder="1" applyAlignment="1">
      <alignment horizontal="center" vertical="center"/>
    </xf>
    <xf numFmtId="0" fontId="0" fillId="0" borderId="25" xfId="1" applyFont="1" applyBorder="1"/>
    <xf numFmtId="1" fontId="12" fillId="0" borderId="102" xfId="4" applyNumberFormat="1" applyFont="1" applyBorder="1" applyAlignment="1">
      <alignment horizontal="center" vertical="center"/>
    </xf>
    <xf numFmtId="0" fontId="0" fillId="0" borderId="47" xfId="1" applyFont="1" applyBorder="1"/>
    <xf numFmtId="1" fontId="12" fillId="0" borderId="104" xfId="4" applyNumberFormat="1" applyFont="1" applyBorder="1" applyAlignment="1">
      <alignment horizontal="left" vertical="center"/>
    </xf>
    <xf numFmtId="16" fontId="13" fillId="0" borderId="33" xfId="4" applyNumberFormat="1" applyFont="1" applyBorder="1" applyAlignment="1">
      <alignment horizontal="center" vertical="center" wrapText="1"/>
    </xf>
    <xf numFmtId="1" fontId="15" fillId="0" borderId="38" xfId="4" applyNumberFormat="1" applyFont="1" applyBorder="1" applyAlignment="1">
      <alignment vertical="center" wrapText="1"/>
    </xf>
    <xf numFmtId="1" fontId="8" fillId="0" borderId="101" xfId="4" applyNumberFormat="1" applyFont="1" applyBorder="1" applyAlignment="1">
      <alignment horizontal="left" vertical="center" wrapText="1"/>
    </xf>
    <xf numFmtId="2" fontId="8" fillId="0" borderId="103" xfId="4" applyNumberFormat="1" applyFont="1" applyBorder="1" applyAlignment="1">
      <alignment horizontal="left" vertical="center"/>
    </xf>
    <xf numFmtId="1" fontId="10" fillId="0" borderId="101" xfId="4" applyNumberFormat="1" applyFont="1" applyBorder="1" applyAlignment="1">
      <alignment horizontal="center" vertical="center"/>
    </xf>
    <xf numFmtId="1" fontId="8" fillId="0" borderId="105" xfId="4" applyNumberFormat="1" applyFont="1" applyBorder="1" applyAlignment="1">
      <alignment horizontal="left" vertical="center"/>
    </xf>
    <xf numFmtId="1" fontId="12" fillId="0" borderId="105" xfId="4" applyNumberFormat="1" applyFont="1" applyBorder="1" applyAlignment="1">
      <alignment horizontal="left" vertical="center"/>
    </xf>
    <xf numFmtId="1" fontId="13" fillId="0" borderId="16" xfId="4" applyNumberFormat="1" applyFont="1" applyBorder="1" applyAlignment="1">
      <alignment horizontal="left" vertical="center"/>
    </xf>
    <xf numFmtId="1" fontId="13" fillId="0" borderId="14" xfId="4" applyNumberFormat="1" applyFont="1" applyBorder="1" applyAlignment="1">
      <alignment horizontal="left" vertical="center" wrapText="1"/>
    </xf>
    <xf numFmtId="1" fontId="12" fillId="0" borderId="94" xfId="4" applyNumberFormat="1" applyFont="1" applyBorder="1" applyAlignment="1">
      <alignment horizontal="left" vertical="center"/>
    </xf>
    <xf numFmtId="0" fontId="2" fillId="0" borderId="67" xfId="0" applyFont="1" applyBorder="1" applyAlignment="1">
      <alignment horizontal="center"/>
    </xf>
    <xf numFmtId="0" fontId="0" fillId="0" borderId="22" xfId="0" applyBorder="1" applyAlignment="1">
      <alignment horizontal="left" vertical="top"/>
    </xf>
    <xf numFmtId="16" fontId="9" fillId="0" borderId="14" xfId="4" applyNumberFormat="1" applyFont="1" applyBorder="1" applyAlignment="1">
      <alignment horizontal="center" vertical="center" wrapText="1"/>
    </xf>
    <xf numFmtId="164" fontId="12" fillId="0" borderId="18" xfId="4" applyNumberFormat="1" applyFont="1" applyBorder="1" applyAlignment="1">
      <alignment horizontal="center" vertical="center"/>
    </xf>
    <xf numFmtId="1" fontId="15" fillId="0" borderId="41" xfId="4" applyNumberFormat="1" applyFont="1" applyBorder="1" applyAlignment="1">
      <alignment vertical="center" wrapText="1"/>
    </xf>
    <xf numFmtId="1" fontId="15" fillId="0" borderId="39" xfId="4" applyNumberFormat="1" applyFont="1" applyBorder="1" applyAlignment="1">
      <alignment vertical="center" wrapText="1"/>
    </xf>
    <xf numFmtId="1" fontId="15" fillId="0" borderId="41" xfId="4" applyNumberFormat="1" applyFont="1" applyBorder="1" applyAlignment="1">
      <alignment horizontal="center" vertical="center" wrapText="1"/>
    </xf>
    <xf numFmtId="16" fontId="12" fillId="0" borderId="19" xfId="4" applyNumberFormat="1" applyFont="1" applyBorder="1" applyAlignment="1">
      <alignment horizontal="center" vertical="center"/>
    </xf>
    <xf numFmtId="0" fontId="0" fillId="0" borderId="17" xfId="0" applyBorder="1" applyAlignment="1">
      <alignment wrapText="1"/>
    </xf>
    <xf numFmtId="2" fontId="8" fillId="0" borderId="48" xfId="4" applyNumberFormat="1" applyFont="1" applyBorder="1" applyAlignment="1">
      <alignment horizontal="left" vertical="center"/>
    </xf>
    <xf numFmtId="0" fontId="0" fillId="0" borderId="67" xfId="0" applyBorder="1" applyAlignment="1">
      <alignment horizontal="center"/>
    </xf>
    <xf numFmtId="16" fontId="0" fillId="0" borderId="0" xfId="0" applyNumberFormat="1" applyAlignment="1">
      <alignment horizontal="center"/>
    </xf>
    <xf numFmtId="1" fontId="9" fillId="0" borderId="94" xfId="4" applyNumberFormat="1" applyFont="1" applyBorder="1" applyAlignment="1">
      <alignment horizontal="left" vertical="center" wrapText="1"/>
    </xf>
    <xf numFmtId="1" fontId="9" fillId="0" borderId="88" xfId="4" applyNumberFormat="1" applyFont="1" applyBorder="1" applyAlignment="1">
      <alignment horizontal="center" vertical="center"/>
    </xf>
    <xf numFmtId="0" fontId="22" fillId="0" borderId="22" xfId="0" applyFont="1" applyBorder="1"/>
    <xf numFmtId="0" fontId="0" fillId="0" borderId="22" xfId="0" applyBorder="1" applyAlignment="1">
      <alignment horizontal="left" vertical="top" wrapText="1"/>
    </xf>
    <xf numFmtId="0" fontId="18" fillId="0" borderId="24" xfId="0" applyFont="1" applyBorder="1" applyAlignment="1">
      <alignment wrapText="1"/>
    </xf>
    <xf numFmtId="1" fontId="14" fillId="0" borderId="40" xfId="4" applyNumberFormat="1" applyFont="1" applyBorder="1" applyAlignment="1">
      <alignment vertical="center" wrapText="1"/>
    </xf>
    <xf numFmtId="1" fontId="12" fillId="0" borderId="28" xfId="4" applyNumberFormat="1" applyFont="1" applyBorder="1" applyAlignment="1">
      <alignment horizontal="left" vertical="center"/>
    </xf>
    <xf numFmtId="2" fontId="8" fillId="0" borderId="109" xfId="4" applyNumberFormat="1" applyFont="1" applyBorder="1" applyAlignment="1">
      <alignment horizontal="left" vertical="center"/>
    </xf>
    <xf numFmtId="14" fontId="0" fillId="0" borderId="0" xfId="0" applyNumberFormat="1"/>
    <xf numFmtId="15" fontId="20" fillId="4" borderId="45" xfId="0" applyNumberFormat="1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/>
    </xf>
    <xf numFmtId="2" fontId="13" fillId="0" borderId="56" xfId="4" applyNumberFormat="1" applyFont="1" applyBorder="1" applyAlignment="1">
      <alignment horizontal="left" vertical="center"/>
    </xf>
    <xf numFmtId="2" fontId="12" fillId="0" borderId="56" xfId="4" applyNumberFormat="1" applyFont="1" applyBorder="1" applyAlignment="1">
      <alignment horizontal="left" vertical="center"/>
    </xf>
    <xf numFmtId="16" fontId="33" fillId="0" borderId="14" xfId="4" applyNumberFormat="1" applyFont="1" applyBorder="1" applyAlignment="1">
      <alignment horizontal="center" vertical="center" wrapText="1"/>
    </xf>
    <xf numFmtId="16" fontId="12" fillId="0" borderId="36" xfId="4" applyNumberFormat="1" applyFont="1" applyBorder="1" applyAlignment="1">
      <alignment horizontal="center" vertical="center" wrapText="1"/>
    </xf>
    <xf numFmtId="16" fontId="12" fillId="0" borderId="101" xfId="4" applyNumberFormat="1" applyFont="1" applyBorder="1" applyAlignment="1">
      <alignment horizontal="center" vertical="center" wrapText="1"/>
    </xf>
    <xf numFmtId="164" fontId="13" fillId="0" borderId="56" xfId="4" applyNumberFormat="1" applyFont="1" applyBorder="1" applyAlignment="1">
      <alignment horizontal="left" vertical="center"/>
    </xf>
    <xf numFmtId="2" fontId="12" fillId="0" borderId="48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" fontId="12" fillId="0" borderId="101" xfId="4" applyNumberFormat="1" applyFont="1" applyBorder="1" applyAlignment="1">
      <alignment horizontal="left" vertical="center" wrapText="1"/>
    </xf>
    <xf numFmtId="1" fontId="15" fillId="0" borderId="23" xfId="4" applyNumberFormat="1" applyFont="1" applyBorder="1" applyAlignment="1">
      <alignment vertical="center" wrapText="1"/>
    </xf>
    <xf numFmtId="1" fontId="15" fillId="0" borderId="16" xfId="4" applyNumberFormat="1" applyFont="1" applyBorder="1" applyAlignment="1">
      <alignment vertical="center" wrapText="1"/>
    </xf>
    <xf numFmtId="2" fontId="12" fillId="0" borderId="109" xfId="4" applyNumberFormat="1" applyFont="1" applyBorder="1" applyAlignment="1">
      <alignment horizontal="left" vertical="center"/>
    </xf>
    <xf numFmtId="16" fontId="13" fillId="0" borderId="14" xfId="4" applyNumberFormat="1" applyFont="1" applyBorder="1" applyAlignment="1">
      <alignment horizontal="center" vertical="center" wrapText="1"/>
    </xf>
    <xf numFmtId="2" fontId="12" fillId="0" borderId="103" xfId="4" applyNumberFormat="1" applyFont="1" applyBorder="1" applyAlignment="1">
      <alignment horizontal="left" vertical="center"/>
    </xf>
    <xf numFmtId="1" fontId="12" fillId="0" borderId="14" xfId="4" applyNumberFormat="1" applyFont="1" applyBorder="1" applyAlignment="1">
      <alignment horizontal="left" vertical="center"/>
    </xf>
    <xf numFmtId="1" fontId="21" fillId="0" borderId="101" xfId="4" applyNumberFormat="1" applyFont="1" applyBorder="1" applyAlignment="1">
      <alignment horizontal="center" vertical="center"/>
    </xf>
    <xf numFmtId="0" fontId="18" fillId="0" borderId="22" xfId="1" applyFont="1" applyBorder="1" applyAlignment="1">
      <alignment horizontal="left" vertical="top" wrapText="1"/>
    </xf>
    <xf numFmtId="0" fontId="18" fillId="0" borderId="47" xfId="1" applyFont="1" applyBorder="1" applyAlignment="1">
      <alignment horizontal="left" vertical="top" wrapText="1"/>
    </xf>
    <xf numFmtId="0" fontId="0" fillId="0" borderId="22" xfId="1" applyFont="1" applyBorder="1" applyAlignment="1">
      <alignment horizontal="left" vertical="top" wrapText="1"/>
    </xf>
    <xf numFmtId="15" fontId="16" fillId="4" borderId="45" xfId="0" applyNumberFormat="1" applyFont="1" applyFill="1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" fontId="8" fillId="0" borderId="49" xfId="4" applyNumberFormat="1" applyFont="1" applyBorder="1" applyAlignment="1">
      <alignment horizontal="center" vertical="center" wrapText="1"/>
    </xf>
    <xf numFmtId="2" fontId="9" fillId="0" borderId="26" xfId="4" applyNumberFormat="1" applyFont="1" applyBorder="1" applyAlignment="1">
      <alignment horizontal="left" vertical="center"/>
    </xf>
    <xf numFmtId="1" fontId="9" fillId="0" borderId="27" xfId="4" applyNumberFormat="1" applyFont="1" applyBorder="1" applyAlignment="1">
      <alignment horizontal="left" vertical="center" wrapText="1"/>
    </xf>
    <xf numFmtId="16" fontId="9" fillId="0" borderId="101" xfId="4" applyNumberFormat="1" applyFont="1" applyBorder="1" applyAlignment="1">
      <alignment horizontal="center" vertical="center"/>
    </xf>
    <xf numFmtId="1" fontId="9" fillId="0" borderId="95" xfId="4" applyNumberFormat="1" applyFont="1" applyBorder="1" applyAlignment="1">
      <alignment horizontal="left" vertical="center"/>
    </xf>
    <xf numFmtId="2" fontId="9" fillId="0" borderId="42" xfId="4" applyNumberFormat="1" applyFont="1" applyBorder="1" applyAlignment="1">
      <alignment horizontal="left" vertical="center"/>
    </xf>
    <xf numFmtId="1" fontId="9" fillId="0" borderId="105" xfId="4" applyNumberFormat="1" applyFont="1" applyBorder="1" applyAlignment="1">
      <alignment horizontal="left" vertical="center"/>
    </xf>
    <xf numFmtId="16" fontId="28" fillId="0" borderId="14" xfId="4" applyNumberFormat="1" applyFont="1" applyBorder="1" applyAlignment="1">
      <alignment horizontal="center" vertical="center" wrapText="1"/>
    </xf>
    <xf numFmtId="16" fontId="17" fillId="0" borderId="14" xfId="4" applyNumberFormat="1" applyFont="1" applyBorder="1" applyAlignment="1">
      <alignment horizontal="center" vertical="center" wrapText="1"/>
    </xf>
    <xf numFmtId="1" fontId="12" fillId="0" borderId="54" xfId="4" applyNumberFormat="1" applyFont="1" applyBorder="1" applyAlignment="1">
      <alignment horizontal="center" vertical="center"/>
    </xf>
    <xf numFmtId="2" fontId="9" fillId="0" borderId="110" xfId="4" applyNumberFormat="1" applyFont="1" applyBorder="1" applyAlignment="1">
      <alignment horizontal="left" vertical="center"/>
    </xf>
    <xf numFmtId="1" fontId="9" fillId="0" borderId="36" xfId="4" applyNumberFormat="1" applyFont="1" applyBorder="1" applyAlignment="1">
      <alignment horizontal="left" vertical="center" wrapText="1"/>
    </xf>
    <xf numFmtId="1" fontId="9" fillId="0" borderId="36" xfId="4" applyNumberFormat="1" applyFont="1" applyBorder="1" applyAlignment="1">
      <alignment horizontal="center" vertical="center"/>
    </xf>
    <xf numFmtId="1" fontId="9" fillId="0" borderId="54" xfId="4" applyNumberFormat="1" applyFont="1" applyBorder="1" applyAlignment="1">
      <alignment horizontal="left" vertical="center"/>
    </xf>
    <xf numFmtId="1" fontId="12" fillId="0" borderId="0" xfId="4" applyNumberFormat="1" applyFont="1" applyAlignment="1">
      <alignment horizontal="center" vertical="center"/>
    </xf>
    <xf numFmtId="1" fontId="12" fillId="0" borderId="111" xfId="4" applyNumberFormat="1" applyFont="1" applyBorder="1" applyAlignment="1">
      <alignment horizontal="center" vertical="center"/>
    </xf>
    <xf numFmtId="164" fontId="8" fillId="0" borderId="15" xfId="4" applyNumberFormat="1" applyFont="1" applyBorder="1" applyAlignment="1">
      <alignment horizontal="center" vertical="center"/>
    </xf>
    <xf numFmtId="1" fontId="14" fillId="0" borderId="33" xfId="4" applyNumberFormat="1" applyFont="1" applyBorder="1" applyAlignment="1">
      <alignment horizontal="center" vertical="center" wrapText="1"/>
    </xf>
    <xf numFmtId="16" fontId="8" fillId="0" borderId="33" xfId="4" applyNumberFormat="1" applyFont="1" applyBorder="1" applyAlignment="1">
      <alignment horizontal="center" vertical="center"/>
    </xf>
    <xf numFmtId="0" fontId="36" fillId="0" borderId="0" xfId="0" applyFont="1"/>
    <xf numFmtId="16" fontId="8" fillId="0" borderId="101" xfId="4" applyNumberFormat="1" applyFont="1" applyBorder="1" applyAlignment="1">
      <alignment horizontal="center" vertical="center"/>
    </xf>
    <xf numFmtId="16" fontId="8" fillId="0" borderId="112" xfId="4" applyNumberFormat="1" applyFont="1" applyBorder="1" applyAlignment="1">
      <alignment horizontal="center" vertical="center"/>
    </xf>
    <xf numFmtId="16" fontId="9" fillId="0" borderId="101" xfId="4" applyNumberFormat="1" applyFont="1" applyBorder="1" applyAlignment="1">
      <alignment horizontal="center" vertical="center" wrapText="1"/>
    </xf>
    <xf numFmtId="16" fontId="9" fillId="0" borderId="33" xfId="4" applyNumberFormat="1" applyFont="1" applyBorder="1" applyAlignment="1">
      <alignment horizontal="center" vertical="center"/>
    </xf>
    <xf numFmtId="15" fontId="2" fillId="6" borderId="50" xfId="0" applyNumberFormat="1" applyFont="1" applyFill="1" applyBorder="1" applyAlignment="1">
      <alignment horizontal="center" vertical="center"/>
    </xf>
    <xf numFmtId="16" fontId="8" fillId="0" borderId="41" xfId="4" applyNumberFormat="1" applyFont="1" applyBorder="1" applyAlignment="1">
      <alignment horizontal="center" vertical="center"/>
    </xf>
    <xf numFmtId="16" fontId="8" fillId="3" borderId="14" xfId="4" applyNumberFormat="1" applyFont="1" applyFill="1" applyBorder="1" applyAlignment="1">
      <alignment horizontal="center" vertical="center" wrapText="1"/>
    </xf>
    <xf numFmtId="16" fontId="8" fillId="0" borderId="27" xfId="4" applyNumberFormat="1" applyFont="1" applyBorder="1" applyAlignment="1">
      <alignment horizontal="center" vertical="center" wrapText="1"/>
    </xf>
    <xf numFmtId="16" fontId="37" fillId="0" borderId="14" xfId="4" applyNumberFormat="1" applyFont="1" applyBorder="1" applyAlignment="1">
      <alignment horizontal="center" vertical="center" wrapText="1"/>
    </xf>
    <xf numFmtId="16" fontId="28" fillId="3" borderId="14" xfId="4" applyNumberFormat="1" applyFont="1" applyFill="1" applyBorder="1" applyAlignment="1">
      <alignment horizontal="center" vertical="center" wrapText="1"/>
    </xf>
    <xf numFmtId="16" fontId="8" fillId="3" borderId="14" xfId="4" applyNumberFormat="1" applyFont="1" applyFill="1" applyBorder="1" applyAlignment="1">
      <alignment horizontal="center" vertical="center"/>
    </xf>
    <xf numFmtId="16" fontId="8" fillId="3" borderId="27" xfId="4" applyNumberFormat="1" applyFont="1" applyFill="1" applyBorder="1" applyAlignment="1">
      <alignment horizontal="center" vertical="center"/>
    </xf>
    <xf numFmtId="16" fontId="12" fillId="3" borderId="14" xfId="4" applyNumberFormat="1" applyFont="1" applyFill="1" applyBorder="1" applyAlignment="1">
      <alignment horizontal="center" vertical="center" wrapText="1"/>
    </xf>
    <xf numFmtId="16" fontId="8" fillId="3" borderId="101" xfId="4" applyNumberFormat="1" applyFont="1" applyFill="1" applyBorder="1" applyAlignment="1">
      <alignment horizontal="center" vertical="center"/>
    </xf>
    <xf numFmtId="16" fontId="12" fillId="3" borderId="14" xfId="4" applyNumberFormat="1" applyFont="1" applyFill="1" applyBorder="1" applyAlignment="1">
      <alignment horizontal="center" vertical="center"/>
    </xf>
    <xf numFmtId="16" fontId="8" fillId="3" borderId="49" xfId="4" applyNumberFormat="1" applyFont="1" applyFill="1" applyBorder="1" applyAlignment="1">
      <alignment horizontal="center" vertical="center"/>
    </xf>
    <xf numFmtId="16" fontId="17" fillId="3" borderId="14" xfId="4" applyNumberFormat="1" applyFont="1" applyFill="1" applyBorder="1" applyAlignment="1">
      <alignment horizontal="center" vertical="center" wrapText="1"/>
    </xf>
    <xf numFmtId="0" fontId="40" fillId="0" borderId="50" xfId="0" applyFont="1" applyBorder="1" applyAlignment="1">
      <alignment vertical="center"/>
    </xf>
    <xf numFmtId="1" fontId="0" fillId="0" borderId="4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67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 wrapText="1"/>
    </xf>
    <xf numFmtId="1" fontId="0" fillId="0" borderId="67" xfId="0" applyNumberFormat="1" applyBorder="1" applyAlignment="1">
      <alignment horizontal="center" vertical="center" wrapText="1"/>
    </xf>
    <xf numFmtId="16" fontId="0" fillId="0" borderId="4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16" fontId="0" fillId="0" borderId="67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15" fontId="0" fillId="0" borderId="67" xfId="0" applyNumberForma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5" fontId="19" fillId="0" borderId="50" xfId="0" applyNumberFormat="1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/>
    </xf>
    <xf numFmtId="15" fontId="0" fillId="0" borderId="50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" fontId="0" fillId="0" borderId="50" xfId="0" applyNumberFormat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15" fontId="3" fillId="0" borderId="2" xfId="0" applyNumberFormat="1" applyFont="1" applyBorder="1" applyAlignment="1">
      <alignment horizontal="center" vertical="center"/>
    </xf>
    <xf numFmtId="15" fontId="3" fillId="0" borderId="11" xfId="0" applyNumberFormat="1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0" fillId="7" borderId="50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67" xfId="0" applyFill="1" applyBorder="1" applyAlignment="1">
      <alignment horizontal="center" vertical="center"/>
    </xf>
    <xf numFmtId="165" fontId="0" fillId="5" borderId="4" xfId="0" applyNumberFormat="1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165" fontId="0" fillId="5" borderId="67" xfId="0" applyNumberFormat="1" applyFill="1" applyBorder="1" applyAlignment="1">
      <alignment horizontal="center" vertical="center"/>
    </xf>
    <xf numFmtId="165" fontId="0" fillId="5" borderId="50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7" xfId="0" applyNumberFormat="1" applyBorder="1" applyAlignment="1">
      <alignment horizontal="center" vertical="center"/>
    </xf>
    <xf numFmtId="165" fontId="0" fillId="0" borderId="50" xfId="0" applyNumberForma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15" fontId="19" fillId="0" borderId="50" xfId="0" applyNumberFormat="1" applyFont="1" applyBorder="1" applyAlignment="1">
      <alignment horizontal="center" vertical="center"/>
    </xf>
    <xf numFmtId="16" fontId="18" fillId="0" borderId="9" xfId="0" applyNumberFormat="1" applyFont="1" applyBorder="1" applyAlignment="1">
      <alignment horizontal="center" vertical="center" wrapText="1"/>
    </xf>
    <xf numFmtId="16" fontId="22" fillId="0" borderId="2" xfId="0" applyNumberFormat="1" applyFont="1" applyBorder="1" applyAlignment="1">
      <alignment horizontal="center" vertical="center" wrapText="1"/>
    </xf>
    <xf numFmtId="16" fontId="22" fillId="0" borderId="11" xfId="0" applyNumberFormat="1" applyFont="1" applyBorder="1" applyAlignment="1">
      <alignment horizontal="center" vertical="center" wrapText="1"/>
    </xf>
    <xf numFmtId="16" fontId="0" fillId="0" borderId="11" xfId="0" applyNumberFormat="1" applyBorder="1" applyAlignment="1">
      <alignment horizontal="center" vertical="center"/>
    </xf>
    <xf numFmtId="16" fontId="18" fillId="0" borderId="2" xfId="0" applyNumberFormat="1" applyFont="1" applyBorder="1" applyAlignment="1">
      <alignment horizontal="center" vertical="center" wrapText="1"/>
    </xf>
    <xf numFmtId="16" fontId="18" fillId="0" borderId="11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16" fontId="18" fillId="0" borderId="67" xfId="0" applyNumberFormat="1" applyFont="1" applyBorder="1" applyAlignment="1">
      <alignment horizontal="center" vertical="center" wrapText="1"/>
    </xf>
    <xf numFmtId="16" fontId="18" fillId="0" borderId="50" xfId="0" applyNumberFormat="1" applyFont="1" applyBorder="1" applyAlignment="1">
      <alignment horizontal="center" vertical="center" wrapText="1"/>
    </xf>
    <xf numFmtId="16" fontId="18" fillId="0" borderId="53" xfId="0" applyNumberFormat="1" applyFont="1" applyBorder="1" applyAlignment="1">
      <alignment horizontal="center" vertical="center" wrapText="1"/>
    </xf>
    <xf numFmtId="16" fontId="22" fillId="0" borderId="9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8" fillId="0" borderId="63" xfId="1" applyFont="1" applyBorder="1" applyAlignment="1">
      <alignment horizontal="left" vertical="center"/>
    </xf>
    <xf numFmtId="0" fontId="18" fillId="0" borderId="53" xfId="1" applyFont="1" applyBorder="1" applyAlignment="1">
      <alignment horizontal="left" vertical="center"/>
    </xf>
    <xf numFmtId="1" fontId="12" fillId="0" borderId="58" xfId="4" applyNumberFormat="1" applyFont="1" applyBorder="1" applyAlignment="1">
      <alignment horizontal="center" vertical="center"/>
    </xf>
    <xf numFmtId="1" fontId="12" fillId="0" borderId="36" xfId="4" applyNumberFormat="1" applyFont="1" applyBorder="1" applyAlignment="1">
      <alignment horizontal="center" vertical="center"/>
    </xf>
    <xf numFmtId="1" fontId="12" fillId="0" borderId="14" xfId="4" applyNumberFormat="1" applyFont="1" applyBorder="1" applyAlignment="1">
      <alignment horizontal="center" vertical="center"/>
    </xf>
    <xf numFmtId="1" fontId="12" fillId="0" borderId="59" xfId="4" applyNumberFormat="1" applyFont="1" applyBorder="1" applyAlignment="1">
      <alignment horizontal="center" vertical="center"/>
    </xf>
    <xf numFmtId="1" fontId="12" fillId="0" borderId="54" xfId="4" applyNumberFormat="1" applyFont="1" applyBorder="1" applyAlignment="1">
      <alignment horizontal="center" vertical="center"/>
    </xf>
    <xf numFmtId="1" fontId="12" fillId="0" borderId="16" xfId="4" applyNumberFormat="1" applyFont="1" applyBorder="1" applyAlignment="1">
      <alignment horizontal="center" vertical="center"/>
    </xf>
    <xf numFmtId="1" fontId="12" fillId="0" borderId="57" xfId="4" applyNumberFormat="1" applyFont="1" applyBorder="1" applyAlignment="1">
      <alignment horizontal="center" vertical="center"/>
    </xf>
    <xf numFmtId="1" fontId="12" fillId="0" borderId="56" xfId="4" applyNumberFormat="1" applyFont="1" applyBorder="1" applyAlignment="1">
      <alignment horizontal="center" vertical="center"/>
    </xf>
    <xf numFmtId="0" fontId="19" fillId="0" borderId="61" xfId="1" applyFont="1" applyBorder="1" applyAlignment="1">
      <alignment horizontal="left" vertical="center"/>
    </xf>
    <xf numFmtId="0" fontId="19" fillId="0" borderId="55" xfId="1" applyFont="1" applyBorder="1" applyAlignment="1">
      <alignment horizontal="left" vertical="center"/>
    </xf>
    <xf numFmtId="0" fontId="19" fillId="0" borderId="67" xfId="1" applyFont="1" applyBorder="1" applyAlignment="1">
      <alignment horizontal="left" vertical="center"/>
    </xf>
    <xf numFmtId="0" fontId="18" fillId="0" borderId="62" xfId="1" applyFont="1" applyBorder="1" applyAlignment="1">
      <alignment horizontal="left" vertical="center"/>
    </xf>
    <xf numFmtId="0" fontId="18" fillId="0" borderId="50" xfId="1" applyFont="1" applyBorder="1" applyAlignment="1">
      <alignment horizontal="left" vertical="center"/>
    </xf>
    <xf numFmtId="16" fontId="39" fillId="0" borderId="9" xfId="0" applyNumberFormat="1" applyFont="1" applyBorder="1" applyAlignment="1">
      <alignment horizontal="center" vertical="center" wrapText="1"/>
    </xf>
    <xf numFmtId="16" fontId="39" fillId="0" borderId="2" xfId="0" applyNumberFormat="1" applyFont="1" applyBorder="1" applyAlignment="1">
      <alignment horizontal="center" vertical="center" wrapText="1"/>
    </xf>
    <xf numFmtId="16" fontId="39" fillId="0" borderId="11" xfId="0" applyNumberFormat="1" applyFont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 vertical="center" wrapText="1"/>
    </xf>
    <xf numFmtId="0" fontId="16" fillId="4" borderId="44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0" fillId="0" borderId="106" xfId="0" applyBorder="1" applyAlignment="1">
      <alignment horizontal="left" vertical="top" wrapText="1"/>
    </xf>
    <xf numFmtId="0" fontId="0" fillId="0" borderId="65" xfId="0" applyBorder="1" applyAlignment="1">
      <alignment horizontal="left" vertical="top" wrapText="1"/>
    </xf>
    <xf numFmtId="0" fontId="0" fillId="0" borderId="66" xfId="0" applyBorder="1" applyAlignment="1">
      <alignment horizontal="left" vertical="top" wrapText="1"/>
    </xf>
    <xf numFmtId="0" fontId="0" fillId="0" borderId="10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6" fontId="22" fillId="0" borderId="55" xfId="0" applyNumberFormat="1" applyFont="1" applyBorder="1" applyAlignment="1">
      <alignment horizontal="center" vertical="center" wrapText="1"/>
    </xf>
    <xf numFmtId="16" fontId="22" fillId="0" borderId="50" xfId="0" applyNumberFormat="1" applyFont="1" applyBorder="1" applyAlignment="1">
      <alignment horizontal="center" vertical="center" wrapText="1"/>
    </xf>
    <xf numFmtId="16" fontId="22" fillId="0" borderId="53" xfId="0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35" fillId="2" borderId="4" xfId="0" applyFont="1" applyFill="1" applyBorder="1" applyAlignment="1">
      <alignment horizontal="center" vertical="center" wrapText="1"/>
    </xf>
    <xf numFmtId="16" fontId="18" fillId="0" borderId="55" xfId="0" applyNumberFormat="1" applyFont="1" applyBorder="1" applyAlignment="1">
      <alignment horizontal="center" vertical="center" wrapText="1"/>
    </xf>
    <xf numFmtId="0" fontId="0" fillId="0" borderId="113" xfId="0" applyBorder="1" applyAlignment="1">
      <alignment horizontal="center" vertical="center"/>
    </xf>
    <xf numFmtId="16" fontId="22" fillId="0" borderId="67" xfId="0" applyNumberFormat="1" applyFon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100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1" fontId="2" fillId="2" borderId="51" xfId="0" applyNumberFormat="1" applyFont="1" applyFill="1" applyBorder="1" applyAlignment="1">
      <alignment horizontal="center" vertical="center" wrapText="1"/>
    </xf>
    <xf numFmtId="1" fontId="2" fillId="2" borderId="52" xfId="0" applyNumberFormat="1" applyFont="1" applyFill="1" applyBorder="1" applyAlignment="1">
      <alignment horizontal="center" vertical="center" wrapText="1"/>
    </xf>
    <xf numFmtId="1" fontId="2" fillId="2" borderId="100" xfId="0" applyNumberFormat="1" applyFont="1" applyFill="1" applyBorder="1" applyAlignment="1">
      <alignment horizontal="center" vertical="center" wrapText="1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18" fillId="0" borderId="22" xfId="1" applyFont="1" applyBorder="1" applyAlignment="1">
      <alignment horizontal="left" vertical="top" wrapText="1"/>
    </xf>
    <xf numFmtId="0" fontId="18" fillId="0" borderId="47" xfId="1" applyFont="1" applyBorder="1" applyAlignment="1">
      <alignment horizontal="left" vertical="top" wrapText="1"/>
    </xf>
    <xf numFmtId="0" fontId="0" fillId="0" borderId="22" xfId="0" applyBorder="1" applyAlignment="1">
      <alignment horizontal="left" vertical="center" wrapText="1"/>
    </xf>
    <xf numFmtId="0" fontId="0" fillId="0" borderId="22" xfId="1" applyFont="1" applyBorder="1" applyAlignment="1">
      <alignment horizontal="left" vertical="top" wrapText="1"/>
    </xf>
    <xf numFmtId="16" fontId="23" fillId="0" borderId="2" xfId="0" applyNumberFormat="1" applyFont="1" applyBorder="1" applyAlignment="1">
      <alignment horizontal="center" vertical="center" wrapText="1"/>
    </xf>
    <xf numFmtId="16" fontId="23" fillId="0" borderId="11" xfId="0" applyNumberFormat="1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6" fontId="0" fillId="0" borderId="2" xfId="0" applyNumberFormat="1" applyBorder="1" applyAlignment="1">
      <alignment horizontal="center" vertical="center" wrapText="1"/>
    </xf>
    <xf numFmtId="16" fontId="0" fillId="0" borderId="11" xfId="0" applyNumberFormat="1" applyBorder="1" applyAlignment="1">
      <alignment horizontal="center" vertical="center" wrapText="1"/>
    </xf>
    <xf numFmtId="0" fontId="18" fillId="0" borderId="85" xfId="1" applyFont="1" applyBorder="1" applyAlignment="1">
      <alignment horizontal="left" vertical="center"/>
    </xf>
    <xf numFmtId="1" fontId="12" fillId="0" borderId="88" xfId="4" applyNumberFormat="1" applyFont="1" applyBorder="1" applyAlignment="1">
      <alignment horizontal="center" vertical="center"/>
    </xf>
    <xf numFmtId="1" fontId="12" fillId="0" borderId="71" xfId="4" applyNumberFormat="1" applyFont="1" applyBorder="1" applyAlignment="1">
      <alignment horizontal="center" vertical="center"/>
    </xf>
    <xf numFmtId="16" fontId="23" fillId="0" borderId="9" xfId="0" applyNumberFormat="1" applyFont="1" applyBorder="1" applyAlignment="1">
      <alignment horizontal="center" vertical="center" wrapText="1"/>
    </xf>
    <xf numFmtId="0" fontId="0" fillId="0" borderId="107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0" fillId="0" borderId="104" xfId="0" applyBorder="1" applyAlignment="1">
      <alignment horizontal="left" vertical="top" wrapText="1"/>
    </xf>
    <xf numFmtId="0" fontId="18" fillId="0" borderId="84" xfId="1" applyFont="1" applyBorder="1" applyAlignment="1">
      <alignment horizontal="left" vertical="center"/>
    </xf>
    <xf numFmtId="0" fontId="19" fillId="0" borderId="83" xfId="1" applyFont="1" applyBorder="1" applyAlignment="1">
      <alignment horizontal="left" vertical="center"/>
    </xf>
    <xf numFmtId="0" fontId="16" fillId="4" borderId="86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left" vertical="center" wrapText="1"/>
    </xf>
    <xf numFmtId="0" fontId="2" fillId="2" borderId="24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12" fillId="0" borderId="70" xfId="4" applyNumberFormat="1" applyFont="1" applyBorder="1" applyAlignment="1">
      <alignment horizontal="center" vertical="center"/>
    </xf>
    <xf numFmtId="1" fontId="12" fillId="0" borderId="72" xfId="4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0" fillId="4" borderId="43" xfId="0" applyFont="1" applyFill="1" applyBorder="1" applyAlignment="1">
      <alignment horizontal="center" vertical="center" wrapText="1"/>
    </xf>
    <xf numFmtId="0" fontId="20" fillId="4" borderId="44" xfId="0" applyFont="1" applyFill="1" applyBorder="1" applyAlignment="1">
      <alignment horizontal="center" vertical="center"/>
    </xf>
    <xf numFmtId="0" fontId="20" fillId="4" borderId="46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0" fontId="0" fillId="0" borderId="62" xfId="0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0" fillId="0" borderId="63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16" fontId="3" fillId="0" borderId="9" xfId="0" applyNumberFormat="1" applyFont="1" applyBorder="1" applyAlignment="1">
      <alignment horizontal="center" vertical="center" wrapText="1"/>
    </xf>
    <xf numFmtId="16" fontId="3" fillId="0" borderId="2" xfId="0" applyNumberFormat="1" applyFont="1" applyBorder="1" applyAlignment="1">
      <alignment horizontal="center" vertical="center" wrapText="1"/>
    </xf>
    <xf numFmtId="0" fontId="26" fillId="0" borderId="62" xfId="0" applyFont="1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 wrapText="1"/>
    </xf>
    <xf numFmtId="0" fontId="0" fillId="0" borderId="106" xfId="0" applyBorder="1" applyAlignment="1">
      <alignment horizontal="left" vertical="center" wrapText="1"/>
    </xf>
    <xf numFmtId="0" fontId="0" fillId="0" borderId="65" xfId="0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10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0" fillId="0" borderId="107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104" xfId="0" applyBorder="1" applyAlignment="1">
      <alignment horizontal="left" vertical="center" wrapText="1"/>
    </xf>
    <xf numFmtId="0" fontId="0" fillId="0" borderId="62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47" xfId="1" applyFont="1" applyBorder="1" applyAlignment="1">
      <alignment horizontal="left" vertical="top" wrapText="1"/>
    </xf>
    <xf numFmtId="0" fontId="0" fillId="0" borderId="62" xfId="1" applyFont="1" applyBorder="1" applyAlignment="1">
      <alignment horizontal="left" vertical="center"/>
    </xf>
    <xf numFmtId="0" fontId="0" fillId="0" borderId="50" xfId="1" applyFont="1" applyBorder="1" applyAlignment="1">
      <alignment horizontal="left" vertical="center"/>
    </xf>
    <xf numFmtId="0" fontId="0" fillId="0" borderId="63" xfId="1" applyFont="1" applyBorder="1" applyAlignment="1">
      <alignment horizontal="left" vertical="center"/>
    </xf>
    <xf numFmtId="0" fontId="0" fillId="0" borderId="53" xfId="1" applyFont="1" applyBorder="1" applyAlignment="1">
      <alignment horizontal="left" vertical="center"/>
    </xf>
    <xf numFmtId="0" fontId="2" fillId="0" borderId="61" xfId="1" applyFont="1" applyBorder="1" applyAlignment="1">
      <alignment horizontal="left" vertical="center"/>
    </xf>
    <xf numFmtId="0" fontId="2" fillId="0" borderId="55" xfId="1" applyFont="1" applyBorder="1" applyAlignment="1">
      <alignment horizontal="left" vertical="center"/>
    </xf>
    <xf numFmtId="0" fontId="2" fillId="0" borderId="67" xfId="1" applyFont="1" applyBorder="1" applyAlignment="1">
      <alignment horizontal="left" vertical="center"/>
    </xf>
    <xf numFmtId="1" fontId="18" fillId="0" borderId="4" xfId="0" applyNumberFormat="1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</cellXfs>
  <cellStyles count="6">
    <cellStyle name="Normal" xfId="0" builtinId="0"/>
    <cellStyle name="Normal 2" xfId="1" xr:uid="{B1028FFB-90D5-4655-A132-75241003884C}"/>
    <cellStyle name="Normal 2 2" xfId="5" xr:uid="{FCEA1386-891D-4B75-A39E-681F0B9B20CC}"/>
    <cellStyle name="Normal 5" xfId="2" xr:uid="{F96D326A-765A-4DB3-B1F9-703B1F17E159}"/>
    <cellStyle name="Normal 83" xfId="3" xr:uid="{2A9997D6-EC4E-4742-A03C-9674AF8120E7}"/>
    <cellStyle name="Normal 84" xfId="4" xr:uid="{F5FA3042-B062-424B-A419-331896A859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ailly%20Progress%20Report/DPR%20BESS%20_11.xlsx" TargetMode="External"/><Relationship Id="rId2" Type="http://schemas.openxmlformats.org/officeDocument/2006/relationships/externalLinkPath" Target="https://adaniltd-my.sharepoint.com/personal/30106892_adani_com/Documents/BESS/Dailly%20Progress%20Report/DPR%20BESS%20_11.xlsx" TargetMode="External"/><Relationship Id="rId1" Type="http://schemas.openxmlformats.org/officeDocument/2006/relationships/externalLinkPath" Target="/personal/30106892_adani_com/Documents/BESS/Dailly%20Progress%20Report/DPR%20BESS%20_1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aniltd-my.sharepoint.com/personal/30106892_adani_com/Documents/BESS/One%20Pagers/Charging%20Schedule%20-%20MD%20Review/BESS%2011/BESS%2011%20progress%20block%20wise.xlsx" TargetMode="External"/><Relationship Id="rId1" Type="http://schemas.openxmlformats.org/officeDocument/2006/relationships/externalLinkPath" Target="BESS%2011%20progress%20block%20wis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aniltd-my.sharepoint.com/personal/30106892_adani_com/Documents/BESS/One%20Pagers/Charging%20Schedule%20-%20MD%20Review/BESS%2011/BESS%2012%20Progress%20block%20wise.xlsx" TargetMode="External"/><Relationship Id="rId1" Type="http://schemas.openxmlformats.org/officeDocument/2006/relationships/externalLinkPath" Target="BESS%2012%20Progress%20block%20wis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aniltd-my.sharepoint.com/personal/30106892_adani_com/Documents/BESS/One%20Pagers/Charging%20Schedule%20-%20MD%20Review/BESS%2011/BESS%2010B%20progress%20block%20wise.xlsx" TargetMode="External"/><Relationship Id="rId1" Type="http://schemas.openxmlformats.org/officeDocument/2006/relationships/externalLinkPath" Target="BESS%2010B%20progress%20block%20wi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MzjURiyDUk6jtMxyDlDbtzJQO4wNM1dIpJ7V6SQAdpdPC_1E9Da0R4rr1ias0NEo" itemId="01S6LYAAQZBWK77JLCDVCIVHEBCJVZIJVM">
      <xxl21:absoluteUrl r:id="rId2"/>
      <xxl21:relativeUrl r:id="rId3"/>
    </xxl21:alternateUrls>
    <sheetNames>
      <sheetName val="Summary"/>
      <sheetName val="DP Qty"/>
      <sheetName val="Battery Container"/>
      <sheetName val="BOP"/>
      <sheetName val="Electrical Work"/>
      <sheetName val="Testing"/>
      <sheetName val="Manpower details"/>
      <sheetName val="Resource Sheet"/>
      <sheetName val="Issues Log Sheet"/>
    </sheetNames>
    <sheetDataSet>
      <sheetData sheetId="0"/>
      <sheetData sheetId="1"/>
      <sheetData sheetId="2"/>
      <sheetData sheetId="3"/>
      <sheetData sheetId="4">
        <row r="446">
          <cell r="G446">
            <v>135</v>
          </cell>
        </row>
        <row r="447">
          <cell r="G447">
            <v>135</v>
          </cell>
        </row>
        <row r="448">
          <cell r="G448">
            <v>138</v>
          </cell>
        </row>
        <row r="449">
          <cell r="G449">
            <v>135</v>
          </cell>
        </row>
        <row r="450">
          <cell r="G450">
            <v>132</v>
          </cell>
        </row>
        <row r="451">
          <cell r="G451">
            <v>135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SS 11"/>
      <sheetName val="Vstack B11"/>
    </sheetNames>
    <sheetDataSet>
      <sheetData sheetId="0">
        <row r="1">
          <cell r="B1" t="str">
            <v>BESS - 11</v>
          </cell>
        </row>
        <row r="2">
          <cell r="B2" t="str">
            <v>Activity</v>
          </cell>
          <cell r="D2" t="str">
            <v>Block 01</v>
          </cell>
          <cell r="H2" t="str">
            <v>Block 02</v>
          </cell>
          <cell r="L2" t="str">
            <v>Block 03</v>
          </cell>
          <cell r="P2" t="str">
            <v>Block 04</v>
          </cell>
          <cell r="T2" t="str">
            <v>Block 05</v>
          </cell>
          <cell r="X2" t="str">
            <v>Block 06</v>
          </cell>
          <cell r="AB2" t="str">
            <v>Block 07</v>
          </cell>
          <cell r="AF2" t="str">
            <v>Block 08</v>
          </cell>
          <cell r="AJ2" t="str">
            <v>Block 09</v>
          </cell>
        </row>
        <row r="3">
          <cell r="B3" t="str">
            <v>Battery Container - CATL</v>
          </cell>
          <cell r="D3" t="str">
            <v>Scope</v>
          </cell>
          <cell r="E3" t="str">
            <v>Actual</v>
          </cell>
          <cell r="H3" t="str">
            <v>Scope</v>
          </cell>
          <cell r="I3" t="str">
            <v>Actual</v>
          </cell>
          <cell r="L3" t="str">
            <v>Scope</v>
          </cell>
          <cell r="M3" t="str">
            <v>Actual</v>
          </cell>
          <cell r="P3" t="str">
            <v>Scope</v>
          </cell>
          <cell r="Q3" t="str">
            <v>Actual</v>
          </cell>
          <cell r="T3" t="str">
            <v>Scope</v>
          </cell>
          <cell r="U3" t="str">
            <v>Actual</v>
          </cell>
          <cell r="X3" t="str">
            <v>Scope</v>
          </cell>
          <cell r="Y3" t="str">
            <v>Actual</v>
          </cell>
          <cell r="AB3" t="str">
            <v>Scope</v>
          </cell>
          <cell r="AC3" t="str">
            <v>Actual</v>
          </cell>
          <cell r="AF3" t="str">
            <v>Scope</v>
          </cell>
          <cell r="AG3" t="str">
            <v>Actual</v>
          </cell>
          <cell r="AJ3" t="str">
            <v>Scope</v>
          </cell>
          <cell r="AK3" t="str">
            <v>Actual</v>
          </cell>
        </row>
        <row r="4">
          <cell r="B4" t="str">
            <v>BCF - Driven Cast in-situ Piling</v>
          </cell>
          <cell r="D4">
            <v>384</v>
          </cell>
          <cell r="E4">
            <v>384</v>
          </cell>
          <cell r="H4">
            <v>384</v>
          </cell>
          <cell r="I4">
            <v>384</v>
          </cell>
          <cell r="L4">
            <v>384</v>
          </cell>
          <cell r="M4">
            <v>384</v>
          </cell>
          <cell r="P4">
            <v>384</v>
          </cell>
          <cell r="Q4">
            <v>384</v>
          </cell>
          <cell r="T4">
            <v>384</v>
          </cell>
          <cell r="U4">
            <v>384</v>
          </cell>
          <cell r="X4">
            <v>384</v>
          </cell>
          <cell r="Y4">
            <v>384</v>
          </cell>
          <cell r="AB4">
            <v>384</v>
          </cell>
          <cell r="AC4">
            <v>384</v>
          </cell>
          <cell r="AF4">
            <v>384</v>
          </cell>
          <cell r="AG4">
            <v>384</v>
          </cell>
          <cell r="AJ4">
            <v>384</v>
          </cell>
          <cell r="AK4">
            <v>384</v>
          </cell>
        </row>
        <row r="5">
          <cell r="B5" t="str">
            <v>BCF - Reinforcement and Insert Plate Fixing</v>
          </cell>
          <cell r="D5">
            <v>384</v>
          </cell>
          <cell r="E5">
            <v>384</v>
          </cell>
          <cell r="H5">
            <v>384</v>
          </cell>
          <cell r="I5">
            <v>384</v>
          </cell>
          <cell r="L5">
            <v>384</v>
          </cell>
          <cell r="M5">
            <v>384</v>
          </cell>
          <cell r="P5">
            <v>384</v>
          </cell>
          <cell r="Q5">
            <v>384</v>
          </cell>
          <cell r="T5">
            <v>384</v>
          </cell>
          <cell r="U5">
            <v>384</v>
          </cell>
          <cell r="X5">
            <v>384</v>
          </cell>
          <cell r="Y5">
            <v>384</v>
          </cell>
          <cell r="AB5">
            <v>384</v>
          </cell>
          <cell r="AC5">
            <v>384</v>
          </cell>
          <cell r="AF5">
            <v>384</v>
          </cell>
          <cell r="AG5">
            <v>384</v>
          </cell>
          <cell r="AJ5">
            <v>384</v>
          </cell>
          <cell r="AK5">
            <v>384</v>
          </cell>
        </row>
        <row r="6">
          <cell r="B6" t="str">
            <v>BCF - Pile Built Up</v>
          </cell>
          <cell r="D6">
            <v>384</v>
          </cell>
          <cell r="E6">
            <v>384</v>
          </cell>
          <cell r="H6">
            <v>384</v>
          </cell>
          <cell r="I6">
            <v>384</v>
          </cell>
          <cell r="L6">
            <v>384</v>
          </cell>
          <cell r="M6">
            <v>384</v>
          </cell>
          <cell r="P6">
            <v>384</v>
          </cell>
          <cell r="Q6">
            <v>384</v>
          </cell>
          <cell r="T6">
            <v>384</v>
          </cell>
          <cell r="U6">
            <v>384</v>
          </cell>
          <cell r="X6">
            <v>384</v>
          </cell>
          <cell r="Y6">
            <v>384</v>
          </cell>
          <cell r="AB6">
            <v>384</v>
          </cell>
          <cell r="AC6">
            <v>384</v>
          </cell>
          <cell r="AF6">
            <v>384</v>
          </cell>
          <cell r="AG6">
            <v>384</v>
          </cell>
          <cell r="AJ6">
            <v>384</v>
          </cell>
          <cell r="AK6">
            <v>384</v>
          </cell>
        </row>
        <row r="7">
          <cell r="B7" t="str">
            <v>BCF - Precast Erection</v>
          </cell>
          <cell r="D7">
            <v>48</v>
          </cell>
          <cell r="E7">
            <v>48</v>
          </cell>
          <cell r="H7">
            <v>48</v>
          </cell>
          <cell r="I7">
            <v>48</v>
          </cell>
          <cell r="L7">
            <v>48</v>
          </cell>
          <cell r="M7">
            <v>48</v>
          </cell>
          <cell r="P7">
            <v>48</v>
          </cell>
          <cell r="Q7">
            <v>48</v>
          </cell>
          <cell r="T7">
            <v>48</v>
          </cell>
          <cell r="U7">
            <v>48</v>
          </cell>
          <cell r="X7">
            <v>48</v>
          </cell>
          <cell r="Y7">
            <v>48</v>
          </cell>
          <cell r="AB7">
            <v>48</v>
          </cell>
          <cell r="AC7">
            <v>48</v>
          </cell>
          <cell r="AF7">
            <v>48</v>
          </cell>
          <cell r="AG7">
            <v>48</v>
          </cell>
          <cell r="AJ7">
            <v>48</v>
          </cell>
          <cell r="AK7">
            <v>48</v>
          </cell>
        </row>
        <row r="8">
          <cell r="B8" t="str">
            <v>BCF Precast Erection &amp; Welding</v>
          </cell>
          <cell r="D8">
            <v>48</v>
          </cell>
          <cell r="E8">
            <v>48</v>
          </cell>
          <cell r="H8">
            <v>48</v>
          </cell>
          <cell r="I8">
            <v>48</v>
          </cell>
          <cell r="L8">
            <v>48</v>
          </cell>
          <cell r="M8">
            <v>48</v>
          </cell>
          <cell r="P8">
            <v>48</v>
          </cell>
          <cell r="Q8">
            <v>48</v>
          </cell>
          <cell r="T8">
            <v>48</v>
          </cell>
          <cell r="U8">
            <v>48</v>
          </cell>
          <cell r="X8">
            <v>48</v>
          </cell>
          <cell r="Y8">
            <v>48</v>
          </cell>
          <cell r="AB8">
            <v>48</v>
          </cell>
          <cell r="AC8">
            <v>48</v>
          </cell>
          <cell r="AF8">
            <v>48</v>
          </cell>
          <cell r="AG8">
            <v>48</v>
          </cell>
          <cell r="AJ8">
            <v>48</v>
          </cell>
          <cell r="AK8">
            <v>48</v>
          </cell>
        </row>
        <row r="9">
          <cell r="B9" t="str">
            <v>BCF - GSB filling above FGL</v>
          </cell>
          <cell r="D9">
            <v>48</v>
          </cell>
          <cell r="E9">
            <v>0</v>
          </cell>
          <cell r="H9">
            <v>48</v>
          </cell>
          <cell r="I9">
            <v>0</v>
          </cell>
          <cell r="L9">
            <v>48</v>
          </cell>
          <cell r="M9">
            <v>0</v>
          </cell>
          <cell r="P9">
            <v>48</v>
          </cell>
          <cell r="Q9">
            <v>0</v>
          </cell>
          <cell r="T9">
            <v>48</v>
          </cell>
          <cell r="U9">
            <v>0</v>
          </cell>
          <cell r="X9">
            <v>48</v>
          </cell>
          <cell r="Y9">
            <v>0</v>
          </cell>
          <cell r="AB9">
            <v>48</v>
          </cell>
          <cell r="AC9">
            <v>0</v>
          </cell>
          <cell r="AF9">
            <v>48</v>
          </cell>
          <cell r="AG9">
            <v>0</v>
          </cell>
          <cell r="AJ9">
            <v>48</v>
          </cell>
          <cell r="AK9">
            <v>0</v>
          </cell>
        </row>
        <row r="10">
          <cell r="B10" t="str">
            <v>Battery Container Erection</v>
          </cell>
          <cell r="D10">
            <v>48</v>
          </cell>
          <cell r="E10">
            <v>48</v>
          </cell>
          <cell r="H10">
            <v>48</v>
          </cell>
          <cell r="I10">
            <v>48</v>
          </cell>
          <cell r="L10">
            <v>48</v>
          </cell>
          <cell r="M10">
            <v>48</v>
          </cell>
          <cell r="P10">
            <v>48</v>
          </cell>
          <cell r="Q10">
            <v>48</v>
          </cell>
          <cell r="T10">
            <v>48</v>
          </cell>
          <cell r="U10">
            <v>0</v>
          </cell>
          <cell r="X10">
            <v>48</v>
          </cell>
          <cell r="Y10">
            <v>0</v>
          </cell>
          <cell r="AB10">
            <v>48</v>
          </cell>
          <cell r="AC10">
            <v>0</v>
          </cell>
          <cell r="AF10">
            <v>48</v>
          </cell>
          <cell r="AG10">
            <v>0</v>
          </cell>
          <cell r="AJ10">
            <v>48</v>
          </cell>
          <cell r="AK10">
            <v>0</v>
          </cell>
        </row>
        <row r="11">
          <cell r="B11" t="str">
            <v>CT - Ornet</v>
          </cell>
          <cell r="D11" t="str">
            <v>Scope</v>
          </cell>
          <cell r="E11" t="str">
            <v>Actual</v>
          </cell>
          <cell r="H11" t="str">
            <v>Scope</v>
          </cell>
          <cell r="I11" t="str">
            <v>Actual</v>
          </cell>
          <cell r="L11" t="str">
            <v>Scope</v>
          </cell>
          <cell r="M11" t="str">
            <v>Actual</v>
          </cell>
          <cell r="P11" t="str">
            <v>Scope</v>
          </cell>
          <cell r="Q11" t="str">
            <v>Actual</v>
          </cell>
          <cell r="T11" t="str">
            <v>Scope</v>
          </cell>
          <cell r="U11" t="str">
            <v>Actual</v>
          </cell>
          <cell r="X11" t="str">
            <v>Scope</v>
          </cell>
          <cell r="Y11" t="str">
            <v>Actual</v>
          </cell>
          <cell r="AB11" t="str">
            <v>Scope</v>
          </cell>
          <cell r="AC11" t="str">
            <v>Actual</v>
          </cell>
          <cell r="AF11" t="str">
            <v>Scope</v>
          </cell>
          <cell r="AG11" t="str">
            <v>Actual</v>
          </cell>
          <cell r="AJ11" t="str">
            <v>Scope</v>
          </cell>
          <cell r="AK11" t="str">
            <v>Actual</v>
          </cell>
        </row>
        <row r="12">
          <cell r="B12" t="str">
            <v>CT - Marking and Excavation</v>
          </cell>
          <cell r="D12">
            <v>6</v>
          </cell>
          <cell r="E12">
            <v>6</v>
          </cell>
          <cell r="H12">
            <v>6</v>
          </cell>
          <cell r="I12">
            <v>6</v>
          </cell>
          <cell r="L12">
            <v>6</v>
          </cell>
          <cell r="M12">
            <v>6</v>
          </cell>
          <cell r="P12">
            <v>6</v>
          </cell>
          <cell r="Q12">
            <v>6</v>
          </cell>
          <cell r="T12">
            <v>6</v>
          </cell>
          <cell r="U12">
            <v>6</v>
          </cell>
          <cell r="X12">
            <v>6</v>
          </cell>
          <cell r="Y12">
            <v>6</v>
          </cell>
          <cell r="AB12">
            <v>6</v>
          </cell>
          <cell r="AC12">
            <v>6</v>
          </cell>
          <cell r="AF12">
            <v>6</v>
          </cell>
          <cell r="AG12">
            <v>6</v>
          </cell>
          <cell r="AJ12">
            <v>6</v>
          </cell>
          <cell r="AK12">
            <v>6</v>
          </cell>
        </row>
        <row r="13">
          <cell r="B13" t="str">
            <v>CT - Soil Improvement/Plum concrete</v>
          </cell>
          <cell r="D13">
            <v>6</v>
          </cell>
          <cell r="E13">
            <v>6</v>
          </cell>
          <cell r="H13">
            <v>6</v>
          </cell>
          <cell r="I13">
            <v>6</v>
          </cell>
          <cell r="L13">
            <v>6</v>
          </cell>
          <cell r="M13">
            <v>6</v>
          </cell>
          <cell r="P13">
            <v>6</v>
          </cell>
          <cell r="Q13">
            <v>6</v>
          </cell>
          <cell r="T13">
            <v>6</v>
          </cell>
          <cell r="U13">
            <v>6</v>
          </cell>
          <cell r="X13">
            <v>6</v>
          </cell>
          <cell r="Y13">
            <v>6</v>
          </cell>
          <cell r="AB13">
            <v>6</v>
          </cell>
          <cell r="AC13">
            <v>6</v>
          </cell>
          <cell r="AF13">
            <v>6</v>
          </cell>
          <cell r="AG13">
            <v>6</v>
          </cell>
          <cell r="AJ13">
            <v>6</v>
          </cell>
          <cell r="AK13">
            <v>6</v>
          </cell>
        </row>
        <row r="14">
          <cell r="B14" t="str">
            <v>CT - PCC</v>
          </cell>
          <cell r="D14">
            <v>6</v>
          </cell>
          <cell r="E14">
            <v>6</v>
          </cell>
          <cell r="H14">
            <v>6</v>
          </cell>
          <cell r="I14">
            <v>6</v>
          </cell>
          <cell r="L14">
            <v>6</v>
          </cell>
          <cell r="M14">
            <v>6</v>
          </cell>
          <cell r="P14">
            <v>6</v>
          </cell>
          <cell r="Q14">
            <v>6</v>
          </cell>
          <cell r="T14">
            <v>6</v>
          </cell>
          <cell r="U14">
            <v>6</v>
          </cell>
          <cell r="X14">
            <v>6</v>
          </cell>
          <cell r="Y14">
            <v>6</v>
          </cell>
          <cell r="AB14">
            <v>6</v>
          </cell>
          <cell r="AC14">
            <v>6</v>
          </cell>
          <cell r="AF14">
            <v>6</v>
          </cell>
          <cell r="AG14">
            <v>6</v>
          </cell>
          <cell r="AJ14">
            <v>6</v>
          </cell>
          <cell r="AK14">
            <v>6</v>
          </cell>
        </row>
        <row r="15">
          <cell r="B15" t="str">
            <v>CT - Raft Casting</v>
          </cell>
          <cell r="D15">
            <v>6</v>
          </cell>
          <cell r="E15">
            <v>6</v>
          </cell>
          <cell r="H15">
            <v>6</v>
          </cell>
          <cell r="I15">
            <v>6</v>
          </cell>
          <cell r="L15">
            <v>6</v>
          </cell>
          <cell r="M15">
            <v>6</v>
          </cell>
          <cell r="P15">
            <v>6</v>
          </cell>
          <cell r="Q15">
            <v>6</v>
          </cell>
          <cell r="T15">
            <v>6</v>
          </cell>
          <cell r="U15">
            <v>6</v>
          </cell>
          <cell r="X15">
            <v>6</v>
          </cell>
          <cell r="Y15">
            <v>6</v>
          </cell>
          <cell r="AB15">
            <v>6</v>
          </cell>
          <cell r="AC15">
            <v>6</v>
          </cell>
          <cell r="AF15">
            <v>6</v>
          </cell>
          <cell r="AG15">
            <v>6</v>
          </cell>
          <cell r="AJ15">
            <v>6</v>
          </cell>
          <cell r="AK15">
            <v>6</v>
          </cell>
        </row>
        <row r="16">
          <cell r="B16" t="str">
            <v>CT - 1st Lift</v>
          </cell>
          <cell r="D16">
            <v>6</v>
          </cell>
          <cell r="E16">
            <v>6</v>
          </cell>
          <cell r="H16">
            <v>6</v>
          </cell>
          <cell r="I16">
            <v>6</v>
          </cell>
          <cell r="L16">
            <v>6</v>
          </cell>
          <cell r="M16">
            <v>6</v>
          </cell>
          <cell r="P16">
            <v>6</v>
          </cell>
          <cell r="Q16">
            <v>6</v>
          </cell>
          <cell r="T16">
            <v>6</v>
          </cell>
          <cell r="U16">
            <v>6</v>
          </cell>
          <cell r="X16">
            <v>6</v>
          </cell>
          <cell r="Y16">
            <v>6</v>
          </cell>
          <cell r="AB16">
            <v>6</v>
          </cell>
          <cell r="AC16">
            <v>6</v>
          </cell>
          <cell r="AF16">
            <v>6</v>
          </cell>
          <cell r="AG16">
            <v>6</v>
          </cell>
          <cell r="AJ16">
            <v>6</v>
          </cell>
          <cell r="AK16">
            <v>6</v>
          </cell>
        </row>
        <row r="17">
          <cell r="B17" t="str">
            <v>CT - Backfilling</v>
          </cell>
          <cell r="D17">
            <v>6</v>
          </cell>
          <cell r="E17">
            <v>6</v>
          </cell>
          <cell r="H17">
            <v>6</v>
          </cell>
          <cell r="I17">
            <v>6</v>
          </cell>
          <cell r="L17">
            <v>6</v>
          </cell>
          <cell r="M17">
            <v>6</v>
          </cell>
          <cell r="P17">
            <v>6</v>
          </cell>
          <cell r="Q17">
            <v>6</v>
          </cell>
          <cell r="T17">
            <v>6</v>
          </cell>
          <cell r="U17">
            <v>6</v>
          </cell>
          <cell r="X17">
            <v>6</v>
          </cell>
          <cell r="Y17">
            <v>6</v>
          </cell>
          <cell r="AB17">
            <v>6</v>
          </cell>
          <cell r="AC17">
            <v>6</v>
          </cell>
          <cell r="AF17">
            <v>6</v>
          </cell>
          <cell r="AG17">
            <v>6</v>
          </cell>
          <cell r="AJ17">
            <v>6</v>
          </cell>
          <cell r="AK17">
            <v>6</v>
          </cell>
        </row>
        <row r="18">
          <cell r="B18" t="str">
            <v>CT - Final Lift</v>
          </cell>
          <cell r="D18">
            <v>6</v>
          </cell>
          <cell r="E18">
            <v>6</v>
          </cell>
          <cell r="H18">
            <v>6</v>
          </cell>
          <cell r="I18">
            <v>6</v>
          </cell>
          <cell r="L18">
            <v>6</v>
          </cell>
          <cell r="M18">
            <v>6</v>
          </cell>
          <cell r="P18">
            <v>6</v>
          </cell>
          <cell r="Q18">
            <v>6</v>
          </cell>
          <cell r="T18">
            <v>6</v>
          </cell>
          <cell r="U18">
            <v>6</v>
          </cell>
          <cell r="X18">
            <v>6</v>
          </cell>
          <cell r="Y18">
            <v>6</v>
          </cell>
          <cell r="AB18">
            <v>6</v>
          </cell>
          <cell r="AC18">
            <v>6</v>
          </cell>
          <cell r="AF18">
            <v>6</v>
          </cell>
          <cell r="AG18">
            <v>6</v>
          </cell>
          <cell r="AJ18">
            <v>6</v>
          </cell>
          <cell r="AK18">
            <v>4</v>
          </cell>
        </row>
        <row r="19">
          <cell r="B19" t="str">
            <v>CT Rail Fixing</v>
          </cell>
          <cell r="D19">
            <v>6</v>
          </cell>
          <cell r="E19">
            <v>6</v>
          </cell>
          <cell r="H19">
            <v>6</v>
          </cell>
          <cell r="I19">
            <v>6</v>
          </cell>
          <cell r="L19">
            <v>6</v>
          </cell>
          <cell r="M19">
            <v>6</v>
          </cell>
          <cell r="P19">
            <v>6</v>
          </cell>
          <cell r="Q19">
            <v>6</v>
          </cell>
          <cell r="T19">
            <v>6</v>
          </cell>
          <cell r="U19">
            <v>6</v>
          </cell>
          <cell r="X19">
            <v>6</v>
          </cell>
          <cell r="Y19">
            <v>6</v>
          </cell>
          <cell r="AB19">
            <v>6</v>
          </cell>
          <cell r="AC19">
            <v>6</v>
          </cell>
          <cell r="AF19">
            <v>6</v>
          </cell>
          <cell r="AG19">
            <v>6</v>
          </cell>
          <cell r="AJ19">
            <v>6</v>
          </cell>
          <cell r="AK19">
            <v>0</v>
          </cell>
        </row>
        <row r="20">
          <cell r="B20" t="str">
            <v>CT - Rubble Soiling &amp; PCC</v>
          </cell>
          <cell r="D20">
            <v>6</v>
          </cell>
          <cell r="E20">
            <v>6</v>
          </cell>
          <cell r="H20">
            <v>6</v>
          </cell>
          <cell r="I20">
            <v>6</v>
          </cell>
          <cell r="L20">
            <v>6</v>
          </cell>
          <cell r="M20">
            <v>6</v>
          </cell>
          <cell r="P20">
            <v>6</v>
          </cell>
          <cell r="Q20">
            <v>6</v>
          </cell>
          <cell r="T20">
            <v>6</v>
          </cell>
          <cell r="U20">
            <v>6</v>
          </cell>
          <cell r="X20">
            <v>6</v>
          </cell>
          <cell r="Y20">
            <v>6</v>
          </cell>
          <cell r="AB20">
            <v>6</v>
          </cell>
          <cell r="AC20">
            <v>6</v>
          </cell>
          <cell r="AF20">
            <v>6</v>
          </cell>
          <cell r="AG20">
            <v>6</v>
          </cell>
          <cell r="AJ20">
            <v>6</v>
          </cell>
          <cell r="AK20">
            <v>5</v>
          </cell>
        </row>
        <row r="21">
          <cell r="B21" t="str">
            <v>CT - Grade slab</v>
          </cell>
          <cell r="D21">
            <v>6</v>
          </cell>
          <cell r="E21">
            <v>6</v>
          </cell>
          <cell r="H21">
            <v>6</v>
          </cell>
          <cell r="I21">
            <v>6</v>
          </cell>
          <cell r="L21">
            <v>6</v>
          </cell>
          <cell r="M21">
            <v>6</v>
          </cell>
          <cell r="P21">
            <v>6</v>
          </cell>
          <cell r="Q21">
            <v>6</v>
          </cell>
          <cell r="T21">
            <v>6</v>
          </cell>
          <cell r="U21">
            <v>6</v>
          </cell>
          <cell r="X21">
            <v>6</v>
          </cell>
          <cell r="Y21">
            <v>6</v>
          </cell>
          <cell r="AB21">
            <v>6</v>
          </cell>
          <cell r="AC21">
            <v>6</v>
          </cell>
          <cell r="AF21">
            <v>6</v>
          </cell>
          <cell r="AG21">
            <v>6</v>
          </cell>
          <cell r="AJ21">
            <v>6</v>
          </cell>
          <cell r="AK21">
            <v>5</v>
          </cell>
        </row>
        <row r="22">
          <cell r="B22" t="str">
            <v>CT - Dyke wall</v>
          </cell>
          <cell r="D22">
            <v>6</v>
          </cell>
          <cell r="E22">
            <v>6</v>
          </cell>
          <cell r="H22">
            <v>6</v>
          </cell>
          <cell r="I22">
            <v>6</v>
          </cell>
          <cell r="L22">
            <v>6</v>
          </cell>
          <cell r="M22">
            <v>6</v>
          </cell>
          <cell r="P22">
            <v>6</v>
          </cell>
          <cell r="Q22">
            <v>6</v>
          </cell>
          <cell r="T22">
            <v>6</v>
          </cell>
          <cell r="U22">
            <v>6</v>
          </cell>
          <cell r="X22">
            <v>6</v>
          </cell>
          <cell r="Y22">
            <v>6</v>
          </cell>
          <cell r="AB22">
            <v>6</v>
          </cell>
          <cell r="AC22">
            <v>6</v>
          </cell>
          <cell r="AF22">
            <v>6</v>
          </cell>
          <cell r="AG22">
            <v>6</v>
          </cell>
          <cell r="AJ22">
            <v>6</v>
          </cell>
          <cell r="AK22">
            <v>0</v>
          </cell>
        </row>
        <row r="23">
          <cell r="B23" t="str">
            <v>CT Erection</v>
          </cell>
          <cell r="D23">
            <v>6</v>
          </cell>
          <cell r="E23">
            <v>6</v>
          </cell>
          <cell r="H23">
            <v>6</v>
          </cell>
          <cell r="I23">
            <v>6</v>
          </cell>
          <cell r="L23">
            <v>6</v>
          </cell>
          <cell r="M23">
            <v>6</v>
          </cell>
          <cell r="P23">
            <v>6</v>
          </cell>
          <cell r="Q23">
            <v>6</v>
          </cell>
          <cell r="T23">
            <v>6</v>
          </cell>
          <cell r="U23">
            <v>6</v>
          </cell>
          <cell r="X23">
            <v>6</v>
          </cell>
          <cell r="Y23">
            <v>6</v>
          </cell>
          <cell r="AB23">
            <v>6</v>
          </cell>
          <cell r="AC23">
            <v>0</v>
          </cell>
          <cell r="AF23">
            <v>6</v>
          </cell>
          <cell r="AG23">
            <v>0</v>
          </cell>
          <cell r="AJ23">
            <v>6</v>
          </cell>
          <cell r="AK23">
            <v>0</v>
          </cell>
        </row>
        <row r="24">
          <cell r="B24" t="str">
            <v>CT Accessories Installation</v>
          </cell>
          <cell r="D24">
            <v>6</v>
          </cell>
          <cell r="E24">
            <v>6</v>
          </cell>
          <cell r="H24">
            <v>6</v>
          </cell>
          <cell r="I24">
            <v>6</v>
          </cell>
          <cell r="L24">
            <v>6</v>
          </cell>
          <cell r="M24">
            <v>6</v>
          </cell>
          <cell r="P24">
            <v>6</v>
          </cell>
          <cell r="Q24">
            <v>6</v>
          </cell>
          <cell r="T24">
            <v>6</v>
          </cell>
          <cell r="U24">
            <v>6</v>
          </cell>
          <cell r="X24">
            <v>6</v>
          </cell>
          <cell r="Y24">
            <v>0</v>
          </cell>
          <cell r="AB24">
            <v>6</v>
          </cell>
          <cell r="AC24">
            <v>0</v>
          </cell>
          <cell r="AF24">
            <v>6</v>
          </cell>
          <cell r="AG24">
            <v>0</v>
          </cell>
          <cell r="AJ24">
            <v>6</v>
          </cell>
          <cell r="AK24">
            <v>0</v>
          </cell>
        </row>
        <row r="25">
          <cell r="B25" t="str">
            <v>CT - Gravel filling</v>
          </cell>
          <cell r="D25">
            <v>6</v>
          </cell>
          <cell r="E25">
            <v>0</v>
          </cell>
          <cell r="H25">
            <v>6</v>
          </cell>
          <cell r="I25">
            <v>0</v>
          </cell>
          <cell r="L25">
            <v>6</v>
          </cell>
          <cell r="M25">
            <v>0</v>
          </cell>
          <cell r="P25">
            <v>6</v>
          </cell>
          <cell r="Q25">
            <v>0</v>
          </cell>
          <cell r="T25">
            <v>6</v>
          </cell>
          <cell r="U25">
            <v>0</v>
          </cell>
          <cell r="X25">
            <v>6</v>
          </cell>
          <cell r="Y25">
            <v>0</v>
          </cell>
          <cell r="AB25">
            <v>6</v>
          </cell>
          <cell r="AC25">
            <v>0</v>
          </cell>
          <cell r="AF25">
            <v>6</v>
          </cell>
          <cell r="AG25">
            <v>0</v>
          </cell>
          <cell r="AJ25">
            <v>6</v>
          </cell>
          <cell r="AK25">
            <v>0</v>
          </cell>
        </row>
        <row r="26">
          <cell r="B26" t="str">
            <v>PCS - Hopewind</v>
          </cell>
          <cell r="D26" t="str">
            <v>Scope</v>
          </cell>
          <cell r="E26" t="str">
            <v>Actual</v>
          </cell>
          <cell r="H26" t="str">
            <v>Scope</v>
          </cell>
          <cell r="I26" t="str">
            <v>Actual</v>
          </cell>
          <cell r="L26" t="str">
            <v>Scope</v>
          </cell>
          <cell r="M26" t="str">
            <v>Actual</v>
          </cell>
          <cell r="P26" t="str">
            <v>Scope</v>
          </cell>
          <cell r="Q26" t="str">
            <v>Actual</v>
          </cell>
          <cell r="T26" t="str">
            <v>Scope</v>
          </cell>
          <cell r="U26" t="str">
            <v>Actual</v>
          </cell>
          <cell r="X26" t="str">
            <v>Scope</v>
          </cell>
          <cell r="Y26" t="str">
            <v>Actual</v>
          </cell>
          <cell r="AB26" t="str">
            <v>Scope</v>
          </cell>
          <cell r="AC26" t="str">
            <v>Actual</v>
          </cell>
          <cell r="AF26" t="str">
            <v>Scope</v>
          </cell>
          <cell r="AG26" t="str">
            <v>Actual</v>
          </cell>
          <cell r="AJ26" t="str">
            <v>Scope</v>
          </cell>
          <cell r="AK26" t="str">
            <v>Actual</v>
          </cell>
        </row>
        <row r="27">
          <cell r="B27" t="str">
            <v>PCS - Driven Cast in-situ Pile</v>
          </cell>
          <cell r="D27">
            <v>84</v>
          </cell>
          <cell r="E27">
            <v>84</v>
          </cell>
          <cell r="H27">
            <v>90</v>
          </cell>
          <cell r="I27">
            <v>90</v>
          </cell>
          <cell r="L27">
            <v>90</v>
          </cell>
          <cell r="M27">
            <v>90</v>
          </cell>
          <cell r="P27">
            <v>90</v>
          </cell>
          <cell r="Q27">
            <v>90</v>
          </cell>
          <cell r="T27">
            <v>90</v>
          </cell>
          <cell r="U27">
            <v>90</v>
          </cell>
          <cell r="X27">
            <v>90</v>
          </cell>
          <cell r="Y27">
            <v>90</v>
          </cell>
          <cell r="AB27">
            <v>81</v>
          </cell>
          <cell r="AC27">
            <v>81</v>
          </cell>
          <cell r="AF27">
            <v>72</v>
          </cell>
          <cell r="AG27">
            <v>72</v>
          </cell>
          <cell r="AJ27">
            <v>72</v>
          </cell>
          <cell r="AK27">
            <v>72</v>
          </cell>
        </row>
        <row r="28">
          <cell r="B28" t="str">
            <v>PCS - PCC</v>
          </cell>
          <cell r="D28">
            <v>6</v>
          </cell>
          <cell r="E28">
            <v>6</v>
          </cell>
          <cell r="H28">
            <v>6</v>
          </cell>
          <cell r="I28">
            <v>6</v>
          </cell>
          <cell r="L28">
            <v>6</v>
          </cell>
          <cell r="M28">
            <v>6</v>
          </cell>
          <cell r="P28">
            <v>6</v>
          </cell>
          <cell r="Q28">
            <v>6</v>
          </cell>
          <cell r="T28">
            <v>6</v>
          </cell>
          <cell r="U28">
            <v>6</v>
          </cell>
          <cell r="X28">
            <v>6</v>
          </cell>
          <cell r="Y28">
            <v>6</v>
          </cell>
          <cell r="AB28">
            <v>6</v>
          </cell>
          <cell r="AC28">
            <v>6</v>
          </cell>
          <cell r="AF28">
            <v>6</v>
          </cell>
          <cell r="AG28">
            <v>6</v>
          </cell>
          <cell r="AJ28">
            <v>6</v>
          </cell>
          <cell r="AK28">
            <v>6</v>
          </cell>
        </row>
        <row r="29">
          <cell r="B29" t="str">
            <v>PCS - Footing &amp; Pile Beam Casting</v>
          </cell>
          <cell r="D29">
            <v>6</v>
          </cell>
          <cell r="E29">
            <v>6</v>
          </cell>
          <cell r="H29">
            <v>6</v>
          </cell>
          <cell r="I29">
            <v>6</v>
          </cell>
          <cell r="L29">
            <v>6</v>
          </cell>
          <cell r="M29">
            <v>6</v>
          </cell>
          <cell r="P29">
            <v>6</v>
          </cell>
          <cell r="Q29">
            <v>6</v>
          </cell>
          <cell r="T29">
            <v>6</v>
          </cell>
          <cell r="U29">
            <v>6</v>
          </cell>
          <cell r="X29">
            <v>6</v>
          </cell>
          <cell r="Y29">
            <v>6</v>
          </cell>
          <cell r="AB29">
            <v>6</v>
          </cell>
          <cell r="AC29">
            <v>6</v>
          </cell>
          <cell r="AF29">
            <v>6</v>
          </cell>
          <cell r="AG29">
            <v>6</v>
          </cell>
          <cell r="AJ29">
            <v>6</v>
          </cell>
          <cell r="AK29">
            <v>3</v>
          </cell>
        </row>
        <row r="30">
          <cell r="B30" t="str">
            <v>PCS - Column Casting</v>
          </cell>
          <cell r="D30">
            <v>6</v>
          </cell>
          <cell r="E30">
            <v>6</v>
          </cell>
          <cell r="H30">
            <v>6</v>
          </cell>
          <cell r="I30">
            <v>6</v>
          </cell>
          <cell r="L30">
            <v>6</v>
          </cell>
          <cell r="M30">
            <v>6</v>
          </cell>
          <cell r="P30">
            <v>6</v>
          </cell>
          <cell r="Q30">
            <v>6</v>
          </cell>
          <cell r="T30">
            <v>6</v>
          </cell>
          <cell r="U30">
            <v>6</v>
          </cell>
          <cell r="X30">
            <v>6</v>
          </cell>
          <cell r="Y30">
            <v>6</v>
          </cell>
          <cell r="AB30">
            <v>6</v>
          </cell>
          <cell r="AC30">
            <v>6</v>
          </cell>
          <cell r="AF30">
            <v>6</v>
          </cell>
          <cell r="AG30">
            <v>6</v>
          </cell>
          <cell r="AJ30">
            <v>6</v>
          </cell>
          <cell r="AK30">
            <v>3</v>
          </cell>
        </row>
        <row r="31">
          <cell r="B31" t="str">
            <v>PCS - Slab Reinforcement &amp; Cutout Fixing</v>
          </cell>
          <cell r="D31">
            <v>6</v>
          </cell>
          <cell r="E31">
            <v>6</v>
          </cell>
          <cell r="H31">
            <v>6</v>
          </cell>
          <cell r="I31">
            <v>6</v>
          </cell>
          <cell r="L31">
            <v>6</v>
          </cell>
          <cell r="M31">
            <v>6</v>
          </cell>
          <cell r="P31">
            <v>6</v>
          </cell>
          <cell r="Q31">
            <v>6</v>
          </cell>
          <cell r="T31">
            <v>6</v>
          </cell>
          <cell r="U31">
            <v>6</v>
          </cell>
          <cell r="X31">
            <v>6</v>
          </cell>
          <cell r="Y31">
            <v>6</v>
          </cell>
          <cell r="AB31">
            <v>6</v>
          </cell>
          <cell r="AC31">
            <v>6</v>
          </cell>
          <cell r="AF31">
            <v>6</v>
          </cell>
          <cell r="AG31">
            <v>6</v>
          </cell>
          <cell r="AJ31">
            <v>6</v>
          </cell>
          <cell r="AK31">
            <v>3</v>
          </cell>
        </row>
        <row r="32">
          <cell r="B32" t="str">
            <v xml:space="preserve">PCS Slab casting </v>
          </cell>
          <cell r="D32">
            <v>6</v>
          </cell>
          <cell r="E32">
            <v>6</v>
          </cell>
          <cell r="H32">
            <v>6</v>
          </cell>
          <cell r="I32">
            <v>6</v>
          </cell>
          <cell r="L32">
            <v>6</v>
          </cell>
          <cell r="M32">
            <v>6</v>
          </cell>
          <cell r="P32">
            <v>6</v>
          </cell>
          <cell r="Q32">
            <v>6</v>
          </cell>
          <cell r="T32">
            <v>6</v>
          </cell>
          <cell r="U32">
            <v>6</v>
          </cell>
          <cell r="X32">
            <v>6</v>
          </cell>
          <cell r="Y32">
            <v>6</v>
          </cell>
          <cell r="AB32">
            <v>6</v>
          </cell>
          <cell r="AC32">
            <v>6</v>
          </cell>
          <cell r="AF32">
            <v>6</v>
          </cell>
          <cell r="AG32">
            <v>6</v>
          </cell>
          <cell r="AJ32">
            <v>6</v>
          </cell>
          <cell r="AK32">
            <v>3</v>
          </cell>
        </row>
        <row r="33">
          <cell r="B33" t="str">
            <v>PCS - Slab Finishing</v>
          </cell>
          <cell r="D33">
            <v>6</v>
          </cell>
          <cell r="E33">
            <v>6</v>
          </cell>
          <cell r="H33">
            <v>6</v>
          </cell>
          <cell r="I33">
            <v>6</v>
          </cell>
          <cell r="L33">
            <v>6</v>
          </cell>
          <cell r="M33">
            <v>3</v>
          </cell>
          <cell r="P33">
            <v>6</v>
          </cell>
          <cell r="Q33">
            <v>0</v>
          </cell>
          <cell r="T33">
            <v>6</v>
          </cell>
          <cell r="U33">
            <v>6</v>
          </cell>
          <cell r="X33">
            <v>6</v>
          </cell>
          <cell r="Y33">
            <v>6</v>
          </cell>
          <cell r="AB33">
            <v>6</v>
          </cell>
          <cell r="AC33">
            <v>4</v>
          </cell>
          <cell r="AF33">
            <v>6</v>
          </cell>
          <cell r="AG33">
            <v>2</v>
          </cell>
          <cell r="AJ33">
            <v>6</v>
          </cell>
          <cell r="AK33">
            <v>0</v>
          </cell>
        </row>
        <row r="34">
          <cell r="B34" t="str">
            <v>PCS - Stairecase Installation</v>
          </cell>
          <cell r="D34">
            <v>6</v>
          </cell>
          <cell r="E34">
            <v>0</v>
          </cell>
          <cell r="H34">
            <v>6</v>
          </cell>
          <cell r="I34">
            <v>0</v>
          </cell>
          <cell r="L34">
            <v>6</v>
          </cell>
          <cell r="M34">
            <v>0</v>
          </cell>
          <cell r="P34">
            <v>6</v>
          </cell>
          <cell r="Q34">
            <v>6</v>
          </cell>
          <cell r="T34">
            <v>6</v>
          </cell>
          <cell r="U34">
            <v>1</v>
          </cell>
          <cell r="X34">
            <v>6</v>
          </cell>
          <cell r="Y34">
            <v>0</v>
          </cell>
          <cell r="AB34">
            <v>6</v>
          </cell>
          <cell r="AC34">
            <v>0</v>
          </cell>
          <cell r="AF34">
            <v>6</v>
          </cell>
          <cell r="AG34">
            <v>0</v>
          </cell>
          <cell r="AJ34">
            <v>6</v>
          </cell>
          <cell r="AK34">
            <v>0</v>
          </cell>
        </row>
        <row r="35">
          <cell r="B35" t="str">
            <v>PCS Erection</v>
          </cell>
          <cell r="D35">
            <v>48</v>
          </cell>
          <cell r="E35">
            <v>48</v>
          </cell>
          <cell r="H35">
            <v>48</v>
          </cell>
          <cell r="I35">
            <v>48</v>
          </cell>
          <cell r="L35">
            <v>48</v>
          </cell>
          <cell r="M35">
            <v>48</v>
          </cell>
          <cell r="P35">
            <v>48</v>
          </cell>
          <cell r="Q35">
            <v>48</v>
          </cell>
          <cell r="T35">
            <v>48</v>
          </cell>
          <cell r="U35">
            <v>0</v>
          </cell>
          <cell r="X35">
            <v>48</v>
          </cell>
          <cell r="Y35">
            <v>0</v>
          </cell>
          <cell r="AB35">
            <v>48</v>
          </cell>
          <cell r="AC35">
            <v>0</v>
          </cell>
          <cell r="AF35">
            <v>48</v>
          </cell>
          <cell r="AG35">
            <v>0</v>
          </cell>
          <cell r="AJ35">
            <v>48</v>
          </cell>
          <cell r="AK35">
            <v>0</v>
          </cell>
        </row>
        <row r="36">
          <cell r="B36" t="str">
            <v>ACDB Erection</v>
          </cell>
          <cell r="D36">
            <v>6</v>
          </cell>
          <cell r="E36">
            <v>6</v>
          </cell>
          <cell r="H36">
            <v>6</v>
          </cell>
          <cell r="I36">
            <v>6</v>
          </cell>
          <cell r="L36">
            <v>6</v>
          </cell>
          <cell r="M36">
            <v>6</v>
          </cell>
          <cell r="P36">
            <v>6</v>
          </cell>
          <cell r="Q36">
            <v>6</v>
          </cell>
          <cell r="T36">
            <v>6</v>
          </cell>
          <cell r="U36">
            <v>0</v>
          </cell>
          <cell r="X36">
            <v>6</v>
          </cell>
          <cell r="Y36">
            <v>0</v>
          </cell>
          <cell r="AB36">
            <v>6</v>
          </cell>
          <cell r="AC36">
            <v>0</v>
          </cell>
          <cell r="AF36">
            <v>6</v>
          </cell>
          <cell r="AG36">
            <v>0</v>
          </cell>
          <cell r="AJ36">
            <v>6</v>
          </cell>
          <cell r="AK36">
            <v>0</v>
          </cell>
        </row>
        <row r="37">
          <cell r="B37" t="str">
            <v>ECP Panel Erection (Communication Panel)</v>
          </cell>
          <cell r="D37">
            <v>6</v>
          </cell>
          <cell r="E37">
            <v>0</v>
          </cell>
          <cell r="H37">
            <v>6</v>
          </cell>
          <cell r="I37">
            <v>0</v>
          </cell>
          <cell r="L37">
            <v>6</v>
          </cell>
          <cell r="M37">
            <v>6</v>
          </cell>
          <cell r="P37">
            <v>6</v>
          </cell>
          <cell r="Q37">
            <v>6</v>
          </cell>
          <cell r="T37">
            <v>6</v>
          </cell>
          <cell r="U37">
            <v>0</v>
          </cell>
          <cell r="X37">
            <v>6</v>
          </cell>
          <cell r="Y37">
            <v>0</v>
          </cell>
          <cell r="AB37">
            <v>6</v>
          </cell>
          <cell r="AC37">
            <v>0</v>
          </cell>
          <cell r="AF37">
            <v>6</v>
          </cell>
          <cell r="AG37">
            <v>0</v>
          </cell>
          <cell r="AJ37">
            <v>6</v>
          </cell>
          <cell r="AK37">
            <v>0</v>
          </cell>
        </row>
        <row r="38">
          <cell r="B38" t="str">
            <v>PCS - PEB Primary Structure</v>
          </cell>
          <cell r="D38">
            <v>6</v>
          </cell>
          <cell r="E38">
            <v>6</v>
          </cell>
          <cell r="H38">
            <v>6</v>
          </cell>
          <cell r="I38">
            <v>6</v>
          </cell>
          <cell r="L38">
            <v>6</v>
          </cell>
          <cell r="M38">
            <v>6</v>
          </cell>
          <cell r="P38">
            <v>6</v>
          </cell>
          <cell r="Q38">
            <v>6</v>
          </cell>
          <cell r="T38">
            <v>6</v>
          </cell>
          <cell r="U38">
            <v>6</v>
          </cell>
          <cell r="X38">
            <v>6</v>
          </cell>
          <cell r="Y38">
            <v>6</v>
          </cell>
          <cell r="AB38">
            <v>6</v>
          </cell>
          <cell r="AC38">
            <v>6</v>
          </cell>
          <cell r="AF38">
            <v>6</v>
          </cell>
          <cell r="AG38">
            <v>3</v>
          </cell>
          <cell r="AJ38">
            <v>6</v>
          </cell>
          <cell r="AK38">
            <v>0</v>
          </cell>
        </row>
        <row r="39">
          <cell r="B39" t="str">
            <v>PCS - PEB Secondary Structure</v>
          </cell>
          <cell r="D39">
            <v>6</v>
          </cell>
          <cell r="E39">
            <v>6</v>
          </cell>
          <cell r="H39">
            <v>6</v>
          </cell>
          <cell r="I39">
            <v>6</v>
          </cell>
          <cell r="L39">
            <v>6</v>
          </cell>
          <cell r="M39">
            <v>6</v>
          </cell>
          <cell r="P39">
            <v>6</v>
          </cell>
          <cell r="Q39">
            <v>6</v>
          </cell>
          <cell r="T39">
            <v>6</v>
          </cell>
          <cell r="U39">
            <v>6</v>
          </cell>
          <cell r="X39">
            <v>6</v>
          </cell>
          <cell r="Y39">
            <v>6</v>
          </cell>
          <cell r="AB39">
            <v>6</v>
          </cell>
          <cell r="AC39">
            <v>6</v>
          </cell>
          <cell r="AF39">
            <v>6</v>
          </cell>
          <cell r="AG39">
            <v>0</v>
          </cell>
          <cell r="AJ39">
            <v>6</v>
          </cell>
          <cell r="AK39">
            <v>0</v>
          </cell>
        </row>
        <row r="40">
          <cell r="B40" t="str">
            <v>PCS PEB</v>
          </cell>
          <cell r="D40">
            <v>6</v>
          </cell>
          <cell r="E40">
            <v>6</v>
          </cell>
          <cell r="H40">
            <v>6</v>
          </cell>
          <cell r="I40">
            <v>6</v>
          </cell>
          <cell r="L40">
            <v>6</v>
          </cell>
          <cell r="M40">
            <v>6</v>
          </cell>
          <cell r="P40">
            <v>6</v>
          </cell>
          <cell r="Q40">
            <v>6</v>
          </cell>
          <cell r="T40">
            <v>6</v>
          </cell>
          <cell r="U40">
            <v>6</v>
          </cell>
          <cell r="X40">
            <v>6</v>
          </cell>
          <cell r="Y40">
            <v>6</v>
          </cell>
          <cell r="AB40">
            <v>6</v>
          </cell>
          <cell r="AC40">
            <v>6</v>
          </cell>
          <cell r="AF40">
            <v>6</v>
          </cell>
          <cell r="AG40">
            <v>0</v>
          </cell>
          <cell r="AJ40">
            <v>6</v>
          </cell>
          <cell r="AK40">
            <v>0</v>
          </cell>
        </row>
        <row r="41">
          <cell r="B41" t="str">
            <v>PCS - PEB Handrail</v>
          </cell>
          <cell r="D41">
            <v>6</v>
          </cell>
          <cell r="E41">
            <v>0</v>
          </cell>
          <cell r="H41">
            <v>6</v>
          </cell>
          <cell r="I41">
            <v>0</v>
          </cell>
          <cell r="L41">
            <v>6</v>
          </cell>
          <cell r="M41">
            <v>6</v>
          </cell>
          <cell r="P41">
            <v>6</v>
          </cell>
          <cell r="Q41">
            <v>6</v>
          </cell>
          <cell r="T41">
            <v>6</v>
          </cell>
          <cell r="U41">
            <v>0</v>
          </cell>
          <cell r="X41">
            <v>6</v>
          </cell>
          <cell r="Y41">
            <v>0</v>
          </cell>
          <cell r="AB41">
            <v>6</v>
          </cell>
          <cell r="AC41">
            <v>0</v>
          </cell>
          <cell r="AF41">
            <v>6</v>
          </cell>
          <cell r="AG41">
            <v>0</v>
          </cell>
          <cell r="AJ41">
            <v>6</v>
          </cell>
          <cell r="AK41">
            <v>0</v>
          </cell>
        </row>
        <row r="42">
          <cell r="B42" t="str">
            <v>SGR - Trisquare</v>
          </cell>
          <cell r="D42" t="str">
            <v>Scope</v>
          </cell>
          <cell r="E42" t="str">
            <v>Actual</v>
          </cell>
          <cell r="H42" t="str">
            <v>Scope</v>
          </cell>
          <cell r="I42" t="str">
            <v>Actual</v>
          </cell>
          <cell r="L42" t="str">
            <v>Scope</v>
          </cell>
          <cell r="M42" t="str">
            <v>Actual</v>
          </cell>
          <cell r="P42" t="str">
            <v>Scope</v>
          </cell>
          <cell r="Q42" t="str">
            <v>Actual</v>
          </cell>
          <cell r="T42" t="str">
            <v>Scope</v>
          </cell>
          <cell r="U42" t="str">
            <v>Actual</v>
          </cell>
          <cell r="X42" t="str">
            <v>Scope</v>
          </cell>
          <cell r="Y42" t="str">
            <v>Actual</v>
          </cell>
          <cell r="AB42" t="str">
            <v>Scope</v>
          </cell>
          <cell r="AC42" t="str">
            <v>Actual</v>
          </cell>
          <cell r="AF42" t="str">
            <v>Scope</v>
          </cell>
          <cell r="AG42" t="str">
            <v>Actual</v>
          </cell>
          <cell r="AJ42" t="str">
            <v>Scope</v>
          </cell>
          <cell r="AK42" t="str">
            <v>Actual</v>
          </cell>
        </row>
        <row r="43">
          <cell r="B43" t="str">
            <v>SGR - Driven Cast in-situ Piling</v>
          </cell>
          <cell r="D43">
            <v>14</v>
          </cell>
          <cell r="E43">
            <v>14</v>
          </cell>
          <cell r="H43">
            <v>14</v>
          </cell>
          <cell r="I43">
            <v>14</v>
          </cell>
          <cell r="L43">
            <v>14</v>
          </cell>
          <cell r="M43">
            <v>14</v>
          </cell>
          <cell r="P43">
            <v>14</v>
          </cell>
          <cell r="Q43">
            <v>14</v>
          </cell>
          <cell r="T43">
            <v>14</v>
          </cell>
          <cell r="U43">
            <v>14</v>
          </cell>
          <cell r="X43">
            <v>14</v>
          </cell>
          <cell r="Y43">
            <v>14</v>
          </cell>
          <cell r="AB43">
            <v>14</v>
          </cell>
          <cell r="AC43">
            <v>14</v>
          </cell>
          <cell r="AF43">
            <v>14</v>
          </cell>
          <cell r="AG43">
            <v>14</v>
          </cell>
          <cell r="AJ43">
            <v>14</v>
          </cell>
          <cell r="AK43">
            <v>14</v>
          </cell>
        </row>
        <row r="44">
          <cell r="B44" t="str">
            <v>SGR - PCC</v>
          </cell>
          <cell r="D44">
            <v>1</v>
          </cell>
          <cell r="E44">
            <v>1</v>
          </cell>
          <cell r="H44">
            <v>1</v>
          </cell>
          <cell r="I44">
            <v>1</v>
          </cell>
          <cell r="L44">
            <v>1</v>
          </cell>
          <cell r="M44">
            <v>1</v>
          </cell>
          <cell r="P44">
            <v>1</v>
          </cell>
          <cell r="Q44">
            <v>1</v>
          </cell>
          <cell r="T44">
            <v>1</v>
          </cell>
          <cell r="U44">
            <v>1</v>
          </cell>
          <cell r="X44">
            <v>1</v>
          </cell>
          <cell r="Y44">
            <v>1</v>
          </cell>
          <cell r="AB44">
            <v>1</v>
          </cell>
          <cell r="AC44">
            <v>1</v>
          </cell>
          <cell r="AF44">
            <v>1</v>
          </cell>
          <cell r="AG44">
            <v>1</v>
          </cell>
          <cell r="AJ44">
            <v>1</v>
          </cell>
          <cell r="AK44">
            <v>1</v>
          </cell>
        </row>
        <row r="45">
          <cell r="B45" t="str">
            <v>SGR - Footing &amp; Pile Beam Casting</v>
          </cell>
          <cell r="D45">
            <v>1</v>
          </cell>
          <cell r="E45">
            <v>1</v>
          </cell>
          <cell r="H45">
            <v>1</v>
          </cell>
          <cell r="I45">
            <v>1</v>
          </cell>
          <cell r="L45">
            <v>1</v>
          </cell>
          <cell r="M45">
            <v>1</v>
          </cell>
          <cell r="P45">
            <v>1</v>
          </cell>
          <cell r="Q45">
            <v>1</v>
          </cell>
          <cell r="T45">
            <v>1</v>
          </cell>
          <cell r="U45">
            <v>1</v>
          </cell>
          <cell r="X45">
            <v>1</v>
          </cell>
          <cell r="Y45">
            <v>1</v>
          </cell>
          <cell r="AB45">
            <v>1</v>
          </cell>
          <cell r="AC45">
            <v>1</v>
          </cell>
          <cell r="AF45">
            <v>1</v>
          </cell>
          <cell r="AG45">
            <v>1</v>
          </cell>
          <cell r="AJ45">
            <v>1</v>
          </cell>
          <cell r="AK45">
            <v>1</v>
          </cell>
        </row>
        <row r="46">
          <cell r="B46" t="str">
            <v>SGR - Column Casting</v>
          </cell>
          <cell r="D46">
            <v>1</v>
          </cell>
          <cell r="E46">
            <v>1</v>
          </cell>
          <cell r="H46">
            <v>1</v>
          </cell>
          <cell r="I46">
            <v>1</v>
          </cell>
          <cell r="L46">
            <v>1</v>
          </cell>
          <cell r="M46">
            <v>1</v>
          </cell>
          <cell r="P46">
            <v>1</v>
          </cell>
          <cell r="Q46">
            <v>1</v>
          </cell>
          <cell r="T46">
            <v>1</v>
          </cell>
          <cell r="U46">
            <v>1</v>
          </cell>
          <cell r="X46">
            <v>1</v>
          </cell>
          <cell r="Y46">
            <v>1</v>
          </cell>
          <cell r="AB46">
            <v>1</v>
          </cell>
          <cell r="AC46">
            <v>1</v>
          </cell>
          <cell r="AF46">
            <v>1</v>
          </cell>
          <cell r="AG46">
            <v>1</v>
          </cell>
          <cell r="AJ46">
            <v>1</v>
          </cell>
          <cell r="AK46">
            <v>0</v>
          </cell>
        </row>
        <row r="47">
          <cell r="B47" t="str">
            <v>SGR - Slab Reinforcement &amp; Cutout Fixing</v>
          </cell>
          <cell r="D47">
            <v>1</v>
          </cell>
          <cell r="E47">
            <v>1</v>
          </cell>
          <cell r="H47">
            <v>1</v>
          </cell>
          <cell r="I47">
            <v>1</v>
          </cell>
          <cell r="L47">
            <v>1</v>
          </cell>
          <cell r="M47">
            <v>1</v>
          </cell>
          <cell r="P47">
            <v>1</v>
          </cell>
          <cell r="Q47">
            <v>1</v>
          </cell>
          <cell r="T47">
            <v>1</v>
          </cell>
          <cell r="U47">
            <v>1</v>
          </cell>
          <cell r="X47">
            <v>1</v>
          </cell>
          <cell r="Y47">
            <v>1</v>
          </cell>
          <cell r="AB47">
            <v>1</v>
          </cell>
          <cell r="AC47">
            <v>1</v>
          </cell>
          <cell r="AF47">
            <v>1</v>
          </cell>
          <cell r="AG47">
            <v>1</v>
          </cell>
          <cell r="AJ47">
            <v>1</v>
          </cell>
          <cell r="AK47">
            <v>0</v>
          </cell>
        </row>
        <row r="48">
          <cell r="B48" t="str">
            <v>SGR Slab Casting</v>
          </cell>
          <cell r="D48">
            <v>1</v>
          </cell>
          <cell r="E48">
            <v>1</v>
          </cell>
          <cell r="H48">
            <v>1</v>
          </cell>
          <cell r="I48">
            <v>1</v>
          </cell>
          <cell r="L48">
            <v>1</v>
          </cell>
          <cell r="M48">
            <v>1</v>
          </cell>
          <cell r="P48">
            <v>1</v>
          </cell>
          <cell r="Q48">
            <v>1</v>
          </cell>
          <cell r="T48">
            <v>1</v>
          </cell>
          <cell r="U48">
            <v>1</v>
          </cell>
          <cell r="X48">
            <v>1</v>
          </cell>
          <cell r="Y48">
            <v>1</v>
          </cell>
          <cell r="AB48">
            <v>1</v>
          </cell>
          <cell r="AC48">
            <v>1</v>
          </cell>
          <cell r="AF48">
            <v>1</v>
          </cell>
          <cell r="AG48">
            <v>1</v>
          </cell>
          <cell r="AJ48">
            <v>1</v>
          </cell>
          <cell r="AK48">
            <v>0</v>
          </cell>
        </row>
        <row r="49">
          <cell r="B49" t="str">
            <v>SGR -Slab Finishing</v>
          </cell>
          <cell r="D49">
            <v>1</v>
          </cell>
          <cell r="E49">
            <v>1</v>
          </cell>
          <cell r="H49">
            <v>1</v>
          </cell>
          <cell r="I49">
            <v>1</v>
          </cell>
          <cell r="L49">
            <v>1</v>
          </cell>
          <cell r="M49">
            <v>1</v>
          </cell>
          <cell r="P49">
            <v>1</v>
          </cell>
          <cell r="Q49">
            <v>0</v>
          </cell>
          <cell r="T49">
            <v>1</v>
          </cell>
          <cell r="U49">
            <v>1</v>
          </cell>
          <cell r="X49">
            <v>1</v>
          </cell>
          <cell r="Y49">
            <v>1</v>
          </cell>
          <cell r="AB49">
            <v>1</v>
          </cell>
          <cell r="AC49">
            <v>1</v>
          </cell>
          <cell r="AF49">
            <v>1</v>
          </cell>
          <cell r="AG49">
            <v>0</v>
          </cell>
          <cell r="AJ49">
            <v>1</v>
          </cell>
          <cell r="AK49">
            <v>0</v>
          </cell>
        </row>
        <row r="50">
          <cell r="B50" t="str">
            <v>SGR - Stairecase Installation</v>
          </cell>
          <cell r="D50">
            <v>1</v>
          </cell>
          <cell r="E50">
            <v>0</v>
          </cell>
          <cell r="H50">
            <v>1</v>
          </cell>
          <cell r="I50">
            <v>0</v>
          </cell>
          <cell r="L50">
            <v>1</v>
          </cell>
          <cell r="M50">
            <v>0</v>
          </cell>
          <cell r="P50">
            <v>1</v>
          </cell>
          <cell r="Q50">
            <v>1</v>
          </cell>
          <cell r="T50">
            <v>1</v>
          </cell>
          <cell r="U50">
            <v>0</v>
          </cell>
          <cell r="X50">
            <v>1</v>
          </cell>
          <cell r="Y50">
            <v>0</v>
          </cell>
          <cell r="AB50">
            <v>1</v>
          </cell>
          <cell r="AC50">
            <v>0</v>
          </cell>
          <cell r="AF50">
            <v>1</v>
          </cell>
          <cell r="AG50">
            <v>0</v>
          </cell>
          <cell r="AJ50">
            <v>1</v>
          </cell>
          <cell r="AK50">
            <v>0</v>
          </cell>
        </row>
        <row r="51">
          <cell r="B51" t="str">
            <v>HT Panel Erection</v>
          </cell>
          <cell r="D51">
            <v>2</v>
          </cell>
          <cell r="E51">
            <v>2</v>
          </cell>
          <cell r="H51">
            <v>2</v>
          </cell>
          <cell r="I51">
            <v>2</v>
          </cell>
          <cell r="L51">
            <v>2</v>
          </cell>
          <cell r="M51">
            <v>2</v>
          </cell>
          <cell r="P51">
            <v>2</v>
          </cell>
          <cell r="Q51">
            <v>2</v>
          </cell>
          <cell r="T51">
            <v>2</v>
          </cell>
          <cell r="U51">
            <v>0</v>
          </cell>
          <cell r="X51">
            <v>2</v>
          </cell>
          <cell r="Y51">
            <v>0</v>
          </cell>
          <cell r="AB51">
            <v>2</v>
          </cell>
          <cell r="AC51">
            <v>0</v>
          </cell>
          <cell r="AF51">
            <v>2</v>
          </cell>
          <cell r="AG51">
            <v>0</v>
          </cell>
          <cell r="AJ51">
            <v>2</v>
          </cell>
          <cell r="AK51">
            <v>0</v>
          </cell>
        </row>
        <row r="52">
          <cell r="B52" t="str">
            <v>SGR - PEB Primary Structure</v>
          </cell>
          <cell r="D52">
            <v>1</v>
          </cell>
          <cell r="E52">
            <v>1</v>
          </cell>
          <cell r="H52">
            <v>1</v>
          </cell>
          <cell r="I52">
            <v>1</v>
          </cell>
          <cell r="L52">
            <v>1</v>
          </cell>
          <cell r="M52">
            <v>1</v>
          </cell>
          <cell r="P52">
            <v>1</v>
          </cell>
          <cell r="Q52">
            <v>1</v>
          </cell>
          <cell r="T52">
            <v>1</v>
          </cell>
          <cell r="U52">
            <v>0</v>
          </cell>
          <cell r="X52">
            <v>1</v>
          </cell>
          <cell r="Y52">
            <v>0</v>
          </cell>
          <cell r="AB52">
            <v>1</v>
          </cell>
          <cell r="AC52">
            <v>0</v>
          </cell>
          <cell r="AF52">
            <v>1</v>
          </cell>
          <cell r="AG52">
            <v>0</v>
          </cell>
          <cell r="AJ52">
            <v>1</v>
          </cell>
          <cell r="AK52">
            <v>0</v>
          </cell>
        </row>
        <row r="53">
          <cell r="B53" t="str">
            <v>SGR - PEB Secondary Structure</v>
          </cell>
          <cell r="D53">
            <v>1</v>
          </cell>
          <cell r="E53">
            <v>1</v>
          </cell>
          <cell r="H53">
            <v>1</v>
          </cell>
          <cell r="I53">
            <v>1</v>
          </cell>
          <cell r="L53">
            <v>1</v>
          </cell>
          <cell r="M53">
            <v>1</v>
          </cell>
          <cell r="P53">
            <v>1</v>
          </cell>
          <cell r="Q53">
            <v>1</v>
          </cell>
          <cell r="T53">
            <v>1</v>
          </cell>
          <cell r="U53">
            <v>0</v>
          </cell>
          <cell r="X53">
            <v>1</v>
          </cell>
          <cell r="Y53">
            <v>0</v>
          </cell>
          <cell r="AB53">
            <v>1</v>
          </cell>
          <cell r="AC53">
            <v>0</v>
          </cell>
          <cell r="AF53">
            <v>1</v>
          </cell>
          <cell r="AG53">
            <v>0</v>
          </cell>
          <cell r="AJ53">
            <v>1</v>
          </cell>
          <cell r="AK53">
            <v>0</v>
          </cell>
        </row>
        <row r="54">
          <cell r="B54" t="str">
            <v>SGR PEB</v>
          </cell>
          <cell r="D54">
            <v>1</v>
          </cell>
          <cell r="E54">
            <v>1</v>
          </cell>
          <cell r="H54">
            <v>1</v>
          </cell>
          <cell r="I54">
            <v>1</v>
          </cell>
          <cell r="L54">
            <v>1</v>
          </cell>
          <cell r="M54">
            <v>1</v>
          </cell>
          <cell r="P54">
            <v>1</v>
          </cell>
          <cell r="Q54">
            <v>1</v>
          </cell>
          <cell r="T54">
            <v>1</v>
          </cell>
          <cell r="U54">
            <v>0</v>
          </cell>
          <cell r="X54">
            <v>1</v>
          </cell>
          <cell r="Y54">
            <v>0</v>
          </cell>
          <cell r="AB54">
            <v>1</v>
          </cell>
          <cell r="AC54">
            <v>0</v>
          </cell>
          <cell r="AF54">
            <v>1</v>
          </cell>
          <cell r="AG54">
            <v>0</v>
          </cell>
          <cell r="AJ54">
            <v>1</v>
          </cell>
          <cell r="AK54">
            <v>0</v>
          </cell>
        </row>
        <row r="55">
          <cell r="B55" t="str">
            <v>SGR - PEB Handrail</v>
          </cell>
          <cell r="D55">
            <v>1</v>
          </cell>
          <cell r="E55">
            <v>0</v>
          </cell>
          <cell r="H55">
            <v>1</v>
          </cell>
          <cell r="I55">
            <v>0</v>
          </cell>
          <cell r="L55">
            <v>1</v>
          </cell>
          <cell r="M55">
            <v>0</v>
          </cell>
          <cell r="P55">
            <v>1</v>
          </cell>
          <cell r="Q55">
            <v>0</v>
          </cell>
          <cell r="T55">
            <v>1</v>
          </cell>
          <cell r="U55">
            <v>1</v>
          </cell>
          <cell r="X55">
            <v>1</v>
          </cell>
          <cell r="Y55">
            <v>0</v>
          </cell>
          <cell r="AB55">
            <v>1</v>
          </cell>
          <cell r="AC55">
            <v>0</v>
          </cell>
          <cell r="AF55">
            <v>1</v>
          </cell>
          <cell r="AG55">
            <v>0</v>
          </cell>
          <cell r="AJ55">
            <v>1</v>
          </cell>
          <cell r="AK55">
            <v>0</v>
          </cell>
        </row>
        <row r="56">
          <cell r="B56" t="str">
            <v>MCR - Emerson</v>
          </cell>
          <cell r="D56" t="str">
            <v>Scope</v>
          </cell>
          <cell r="E56" t="str">
            <v>Actual</v>
          </cell>
          <cell r="H56" t="str">
            <v>Scope</v>
          </cell>
          <cell r="I56" t="str">
            <v>Actual</v>
          </cell>
          <cell r="L56" t="str">
            <v>Scope</v>
          </cell>
          <cell r="M56" t="str">
            <v>Actual</v>
          </cell>
          <cell r="P56" t="str">
            <v>Scope</v>
          </cell>
          <cell r="Q56" t="str">
            <v>Actual</v>
          </cell>
          <cell r="T56" t="str">
            <v>Scope</v>
          </cell>
          <cell r="U56" t="str">
            <v>Actual</v>
          </cell>
          <cell r="X56" t="str">
            <v>Scope</v>
          </cell>
          <cell r="Y56" t="str">
            <v>Actual</v>
          </cell>
          <cell r="AB56" t="str">
            <v>Scope</v>
          </cell>
          <cell r="AC56" t="str">
            <v>Actual</v>
          </cell>
          <cell r="AF56" t="str">
            <v>Scope</v>
          </cell>
          <cell r="AG56" t="str">
            <v>Actual</v>
          </cell>
          <cell r="AJ56" t="str">
            <v>Scope</v>
          </cell>
          <cell r="AK56" t="str">
            <v>Actual</v>
          </cell>
        </row>
        <row r="57">
          <cell r="B57" t="str">
            <v>MCR - Driven Cast in-situ Piling</v>
          </cell>
          <cell r="D57">
            <v>8</v>
          </cell>
          <cell r="E57">
            <v>8</v>
          </cell>
          <cell r="H57">
            <v>8</v>
          </cell>
          <cell r="I57">
            <v>8</v>
          </cell>
          <cell r="L57">
            <v>8</v>
          </cell>
          <cell r="M57">
            <v>8</v>
          </cell>
          <cell r="P57">
            <v>8</v>
          </cell>
          <cell r="Q57">
            <v>8</v>
          </cell>
          <cell r="T57">
            <v>8</v>
          </cell>
          <cell r="U57">
            <v>8</v>
          </cell>
          <cell r="X57">
            <v>8</v>
          </cell>
          <cell r="Y57">
            <v>8</v>
          </cell>
          <cell r="AB57">
            <v>8</v>
          </cell>
          <cell r="AC57">
            <v>8</v>
          </cell>
          <cell r="AF57">
            <v>8</v>
          </cell>
          <cell r="AG57">
            <v>8</v>
          </cell>
          <cell r="AJ57">
            <v>8</v>
          </cell>
          <cell r="AK57">
            <v>8</v>
          </cell>
        </row>
        <row r="58">
          <cell r="B58" t="str">
            <v>MCR - PCC</v>
          </cell>
          <cell r="D58">
            <v>1</v>
          </cell>
          <cell r="E58">
            <v>1</v>
          </cell>
          <cell r="H58">
            <v>1</v>
          </cell>
          <cell r="I58">
            <v>1</v>
          </cell>
          <cell r="L58">
            <v>1</v>
          </cell>
          <cell r="M58">
            <v>1</v>
          </cell>
          <cell r="P58">
            <v>1</v>
          </cell>
          <cell r="Q58">
            <v>1</v>
          </cell>
          <cell r="T58">
            <v>1</v>
          </cell>
          <cell r="U58">
            <v>1</v>
          </cell>
          <cell r="X58">
            <v>1</v>
          </cell>
          <cell r="Y58">
            <v>1</v>
          </cell>
          <cell r="AB58">
            <v>1</v>
          </cell>
          <cell r="AC58">
            <v>1</v>
          </cell>
          <cell r="AF58">
            <v>1</v>
          </cell>
          <cell r="AG58">
            <v>1</v>
          </cell>
          <cell r="AJ58">
            <v>1</v>
          </cell>
          <cell r="AK58">
            <v>1</v>
          </cell>
        </row>
        <row r="59">
          <cell r="B59" t="str">
            <v>MCR - Footing &amp; Pile Beam Casting</v>
          </cell>
          <cell r="D59">
            <v>1</v>
          </cell>
          <cell r="E59">
            <v>1</v>
          </cell>
          <cell r="H59">
            <v>1</v>
          </cell>
          <cell r="I59">
            <v>1</v>
          </cell>
          <cell r="L59">
            <v>1</v>
          </cell>
          <cell r="M59">
            <v>1</v>
          </cell>
          <cell r="P59">
            <v>1</v>
          </cell>
          <cell r="Q59">
            <v>1</v>
          </cell>
          <cell r="T59">
            <v>1</v>
          </cell>
          <cell r="U59">
            <v>1</v>
          </cell>
          <cell r="X59">
            <v>1</v>
          </cell>
          <cell r="Y59">
            <v>1</v>
          </cell>
          <cell r="AB59">
            <v>1</v>
          </cell>
          <cell r="AC59">
            <v>1</v>
          </cell>
          <cell r="AF59">
            <v>1</v>
          </cell>
          <cell r="AG59">
            <v>1</v>
          </cell>
          <cell r="AJ59">
            <v>1</v>
          </cell>
          <cell r="AK59">
            <v>1</v>
          </cell>
        </row>
        <row r="60">
          <cell r="B60" t="str">
            <v>MCR - Column Casting</v>
          </cell>
          <cell r="D60">
            <v>1</v>
          </cell>
          <cell r="E60">
            <v>1</v>
          </cell>
          <cell r="H60">
            <v>1</v>
          </cell>
          <cell r="I60">
            <v>1</v>
          </cell>
          <cell r="L60">
            <v>1</v>
          </cell>
          <cell r="M60">
            <v>1</v>
          </cell>
          <cell r="P60">
            <v>1</v>
          </cell>
          <cell r="Q60">
            <v>1</v>
          </cell>
          <cell r="T60">
            <v>1</v>
          </cell>
          <cell r="U60">
            <v>1</v>
          </cell>
          <cell r="X60">
            <v>1</v>
          </cell>
          <cell r="Y60">
            <v>1</v>
          </cell>
          <cell r="AB60">
            <v>1</v>
          </cell>
          <cell r="AC60">
            <v>1</v>
          </cell>
          <cell r="AF60">
            <v>1</v>
          </cell>
          <cell r="AG60">
            <v>1</v>
          </cell>
          <cell r="AJ60">
            <v>1</v>
          </cell>
          <cell r="AK60">
            <v>0</v>
          </cell>
        </row>
        <row r="61">
          <cell r="B61" t="str">
            <v>MCR - Slab Reinforcement &amp; Cutout Fixing</v>
          </cell>
          <cell r="D61">
            <v>1</v>
          </cell>
          <cell r="E61">
            <v>1</v>
          </cell>
          <cell r="H61">
            <v>1</v>
          </cell>
          <cell r="I61">
            <v>1</v>
          </cell>
          <cell r="L61">
            <v>1</v>
          </cell>
          <cell r="M61">
            <v>1</v>
          </cell>
          <cell r="P61">
            <v>1</v>
          </cell>
          <cell r="Q61">
            <v>1</v>
          </cell>
          <cell r="T61">
            <v>1</v>
          </cell>
          <cell r="U61">
            <v>1</v>
          </cell>
          <cell r="X61">
            <v>1</v>
          </cell>
          <cell r="Y61">
            <v>1</v>
          </cell>
          <cell r="AB61">
            <v>1</v>
          </cell>
          <cell r="AC61">
            <v>1</v>
          </cell>
          <cell r="AF61">
            <v>1</v>
          </cell>
          <cell r="AG61">
            <v>1</v>
          </cell>
          <cell r="AJ61">
            <v>1</v>
          </cell>
          <cell r="AK61">
            <v>0</v>
          </cell>
        </row>
        <row r="62">
          <cell r="B62" t="str">
            <v>MCR Slab Casting</v>
          </cell>
          <cell r="D62">
            <v>1</v>
          </cell>
          <cell r="E62">
            <v>1</v>
          </cell>
          <cell r="H62">
            <v>1</v>
          </cell>
          <cell r="I62">
            <v>1</v>
          </cell>
          <cell r="L62">
            <v>1</v>
          </cell>
          <cell r="M62">
            <v>1</v>
          </cell>
          <cell r="P62">
            <v>1</v>
          </cell>
          <cell r="Q62">
            <v>1</v>
          </cell>
          <cell r="T62">
            <v>1</v>
          </cell>
          <cell r="U62">
            <v>1</v>
          </cell>
          <cell r="X62">
            <v>1</v>
          </cell>
          <cell r="Y62">
            <v>1</v>
          </cell>
          <cell r="AB62">
            <v>1</v>
          </cell>
          <cell r="AC62">
            <v>1</v>
          </cell>
          <cell r="AF62">
            <v>1</v>
          </cell>
          <cell r="AG62">
            <v>1</v>
          </cell>
          <cell r="AJ62">
            <v>1</v>
          </cell>
          <cell r="AK62">
            <v>0</v>
          </cell>
        </row>
        <row r="63">
          <cell r="B63" t="str">
            <v>MCR - Slab Finishing</v>
          </cell>
          <cell r="D63">
            <v>1</v>
          </cell>
          <cell r="E63">
            <v>0</v>
          </cell>
          <cell r="H63">
            <v>1</v>
          </cell>
          <cell r="I63">
            <v>1</v>
          </cell>
          <cell r="L63">
            <v>1</v>
          </cell>
          <cell r="M63">
            <v>0</v>
          </cell>
          <cell r="P63">
            <v>1</v>
          </cell>
          <cell r="Q63">
            <v>0</v>
          </cell>
          <cell r="T63">
            <v>1</v>
          </cell>
          <cell r="U63">
            <v>0</v>
          </cell>
          <cell r="X63">
            <v>1</v>
          </cell>
          <cell r="Y63">
            <v>0</v>
          </cell>
          <cell r="AB63">
            <v>1</v>
          </cell>
          <cell r="AC63">
            <v>0</v>
          </cell>
          <cell r="AF63">
            <v>1</v>
          </cell>
          <cell r="AG63">
            <v>0</v>
          </cell>
          <cell r="AJ63">
            <v>1</v>
          </cell>
          <cell r="AK63">
            <v>0</v>
          </cell>
        </row>
        <row r="64">
          <cell r="B64" t="str">
            <v>MCR - Stairecase Installation</v>
          </cell>
          <cell r="D64">
            <v>1</v>
          </cell>
          <cell r="E64">
            <v>0</v>
          </cell>
          <cell r="H64">
            <v>0</v>
          </cell>
          <cell r="I64">
            <v>0</v>
          </cell>
          <cell r="L64">
            <v>0</v>
          </cell>
          <cell r="M64">
            <v>0</v>
          </cell>
          <cell r="P64">
            <v>0</v>
          </cell>
          <cell r="Q64">
            <v>0</v>
          </cell>
          <cell r="T64">
            <v>1</v>
          </cell>
          <cell r="U64">
            <v>0</v>
          </cell>
          <cell r="X64">
            <v>1</v>
          </cell>
          <cell r="Y64">
            <v>0</v>
          </cell>
          <cell r="AB64">
            <v>1</v>
          </cell>
          <cell r="AC64">
            <v>0</v>
          </cell>
          <cell r="AF64">
            <v>1</v>
          </cell>
          <cell r="AG64">
            <v>0</v>
          </cell>
          <cell r="AJ64">
            <v>1</v>
          </cell>
          <cell r="AK64">
            <v>0</v>
          </cell>
        </row>
        <row r="65">
          <cell r="B65" t="str">
            <v>EMS Panel Erection</v>
          </cell>
          <cell r="D65">
            <v>1</v>
          </cell>
          <cell r="E65">
            <v>0</v>
          </cell>
          <cell r="H65">
            <v>1</v>
          </cell>
          <cell r="I65">
            <v>1</v>
          </cell>
          <cell r="L65">
            <v>1</v>
          </cell>
          <cell r="M65">
            <v>0</v>
          </cell>
          <cell r="P65">
            <v>1</v>
          </cell>
          <cell r="Q65">
            <v>1</v>
          </cell>
          <cell r="T65">
            <v>1</v>
          </cell>
          <cell r="U65">
            <v>0</v>
          </cell>
          <cell r="X65">
            <v>1</v>
          </cell>
          <cell r="Y65">
            <v>0</v>
          </cell>
          <cell r="AB65">
            <v>1</v>
          </cell>
          <cell r="AC65">
            <v>0</v>
          </cell>
          <cell r="AF65">
            <v>1</v>
          </cell>
          <cell r="AG65">
            <v>0</v>
          </cell>
          <cell r="AJ65">
            <v>1</v>
          </cell>
          <cell r="AK65">
            <v>0</v>
          </cell>
        </row>
        <row r="66">
          <cell r="B66" t="str">
            <v>MCR PEB</v>
          </cell>
          <cell r="D66">
            <v>1</v>
          </cell>
          <cell r="E66">
            <v>1</v>
          </cell>
          <cell r="H66">
            <v>1</v>
          </cell>
          <cell r="I66">
            <v>1</v>
          </cell>
          <cell r="L66">
            <v>1</v>
          </cell>
          <cell r="M66">
            <v>1</v>
          </cell>
          <cell r="P66">
            <v>1</v>
          </cell>
          <cell r="Q66">
            <v>1</v>
          </cell>
          <cell r="T66">
            <v>1</v>
          </cell>
          <cell r="U66">
            <v>0</v>
          </cell>
          <cell r="X66">
            <v>1</v>
          </cell>
          <cell r="Y66">
            <v>0</v>
          </cell>
          <cell r="AB66">
            <v>1</v>
          </cell>
          <cell r="AC66">
            <v>0</v>
          </cell>
          <cell r="AF66">
            <v>1</v>
          </cell>
          <cell r="AG66">
            <v>0</v>
          </cell>
          <cell r="AJ66">
            <v>1</v>
          </cell>
          <cell r="AK66">
            <v>0</v>
          </cell>
        </row>
        <row r="67">
          <cell r="B67" t="str">
            <v>CSS - Akshar</v>
          </cell>
          <cell r="D67" t="str">
            <v>Scope</v>
          </cell>
          <cell r="E67" t="str">
            <v>Actual</v>
          </cell>
          <cell r="H67" t="str">
            <v>Scope</v>
          </cell>
          <cell r="I67" t="str">
            <v>Actual</v>
          </cell>
          <cell r="L67" t="str">
            <v>Scope</v>
          </cell>
          <cell r="M67" t="str">
            <v>Actual</v>
          </cell>
          <cell r="P67" t="str">
            <v>Scope</v>
          </cell>
          <cell r="Q67" t="str">
            <v>Actual</v>
          </cell>
          <cell r="T67" t="str">
            <v>Scope</v>
          </cell>
          <cell r="U67" t="str">
            <v>Actual</v>
          </cell>
          <cell r="X67" t="str">
            <v>Scope</v>
          </cell>
          <cell r="Y67" t="str">
            <v>Actual</v>
          </cell>
          <cell r="AB67" t="str">
            <v>Scope</v>
          </cell>
          <cell r="AC67" t="str">
            <v>Actual</v>
          </cell>
          <cell r="AF67" t="str">
            <v>Scope</v>
          </cell>
          <cell r="AG67" t="str">
            <v>Actual</v>
          </cell>
          <cell r="AJ67" t="str">
            <v>Scope</v>
          </cell>
          <cell r="AK67" t="str">
            <v>Actual</v>
          </cell>
        </row>
        <row r="68">
          <cell r="B68" t="str">
            <v>CSS - Marking &amp; Excavation</v>
          </cell>
          <cell r="D68">
            <v>1</v>
          </cell>
          <cell r="E68">
            <v>1</v>
          </cell>
          <cell r="H68">
            <v>1</v>
          </cell>
          <cell r="I68">
            <v>1</v>
          </cell>
          <cell r="L68">
            <v>1</v>
          </cell>
          <cell r="M68">
            <v>1</v>
          </cell>
          <cell r="P68">
            <v>1</v>
          </cell>
          <cell r="Q68">
            <v>1</v>
          </cell>
          <cell r="T68">
            <v>1</v>
          </cell>
          <cell r="U68">
            <v>1</v>
          </cell>
          <cell r="X68">
            <v>1</v>
          </cell>
          <cell r="Y68">
            <v>1</v>
          </cell>
          <cell r="AB68">
            <v>1</v>
          </cell>
          <cell r="AC68">
            <v>1</v>
          </cell>
          <cell r="AF68">
            <v>1</v>
          </cell>
          <cell r="AG68">
            <v>1</v>
          </cell>
          <cell r="AJ68">
            <v>1</v>
          </cell>
          <cell r="AK68">
            <v>1</v>
          </cell>
        </row>
        <row r="69">
          <cell r="B69" t="str">
            <v>CSS - Soil Improvement</v>
          </cell>
          <cell r="D69">
            <v>1</v>
          </cell>
          <cell r="E69">
            <v>1</v>
          </cell>
          <cell r="H69">
            <v>1</v>
          </cell>
          <cell r="I69">
            <v>1</v>
          </cell>
          <cell r="L69">
            <v>1</v>
          </cell>
          <cell r="M69">
            <v>1</v>
          </cell>
          <cell r="P69">
            <v>1</v>
          </cell>
          <cell r="Q69">
            <v>1</v>
          </cell>
          <cell r="T69">
            <v>1</v>
          </cell>
          <cell r="U69">
            <v>1</v>
          </cell>
          <cell r="X69">
            <v>1</v>
          </cell>
          <cell r="Y69">
            <v>1</v>
          </cell>
          <cell r="AB69">
            <v>1</v>
          </cell>
          <cell r="AC69">
            <v>1</v>
          </cell>
          <cell r="AF69">
            <v>1</v>
          </cell>
          <cell r="AG69">
            <v>1</v>
          </cell>
          <cell r="AJ69">
            <v>1</v>
          </cell>
          <cell r="AK69">
            <v>1</v>
          </cell>
        </row>
        <row r="70">
          <cell r="B70" t="str">
            <v>CSS - PCC</v>
          </cell>
          <cell r="D70">
            <v>1</v>
          </cell>
          <cell r="E70">
            <v>1</v>
          </cell>
          <cell r="H70">
            <v>1</v>
          </cell>
          <cell r="I70">
            <v>1</v>
          </cell>
          <cell r="L70">
            <v>1</v>
          </cell>
          <cell r="M70">
            <v>1</v>
          </cell>
          <cell r="P70">
            <v>1</v>
          </cell>
          <cell r="Q70">
            <v>1</v>
          </cell>
          <cell r="T70">
            <v>1</v>
          </cell>
          <cell r="U70">
            <v>1</v>
          </cell>
          <cell r="X70">
            <v>1</v>
          </cell>
          <cell r="Y70">
            <v>1</v>
          </cell>
          <cell r="AB70">
            <v>1</v>
          </cell>
          <cell r="AC70">
            <v>1</v>
          </cell>
          <cell r="AF70">
            <v>1</v>
          </cell>
          <cell r="AG70">
            <v>1</v>
          </cell>
          <cell r="AJ70">
            <v>1</v>
          </cell>
          <cell r="AK70">
            <v>1</v>
          </cell>
        </row>
        <row r="71">
          <cell r="B71" t="str">
            <v>CSS - Footing Casting</v>
          </cell>
          <cell r="D71">
            <v>1</v>
          </cell>
          <cell r="E71">
            <v>1</v>
          </cell>
          <cell r="H71">
            <v>1</v>
          </cell>
          <cell r="I71">
            <v>1</v>
          </cell>
          <cell r="L71">
            <v>1</v>
          </cell>
          <cell r="M71">
            <v>1</v>
          </cell>
          <cell r="P71">
            <v>1</v>
          </cell>
          <cell r="Q71">
            <v>1</v>
          </cell>
          <cell r="T71">
            <v>1</v>
          </cell>
          <cell r="U71">
            <v>1</v>
          </cell>
          <cell r="X71">
            <v>1</v>
          </cell>
          <cell r="Y71">
            <v>1</v>
          </cell>
          <cell r="AB71">
            <v>1</v>
          </cell>
          <cell r="AC71">
            <v>1</v>
          </cell>
          <cell r="AF71">
            <v>1</v>
          </cell>
          <cell r="AG71">
            <v>1</v>
          </cell>
          <cell r="AJ71">
            <v>1</v>
          </cell>
          <cell r="AK71">
            <v>0</v>
          </cell>
        </row>
        <row r="72">
          <cell r="B72" t="str">
            <v>CSS - Wall Casting</v>
          </cell>
          <cell r="D72">
            <v>1</v>
          </cell>
          <cell r="E72">
            <v>1</v>
          </cell>
          <cell r="H72">
            <v>1</v>
          </cell>
          <cell r="I72">
            <v>1</v>
          </cell>
          <cell r="L72">
            <v>1</v>
          </cell>
          <cell r="M72">
            <v>1</v>
          </cell>
          <cell r="P72">
            <v>1</v>
          </cell>
          <cell r="Q72">
            <v>1</v>
          </cell>
          <cell r="T72">
            <v>1</v>
          </cell>
          <cell r="U72">
            <v>1</v>
          </cell>
          <cell r="X72">
            <v>1</v>
          </cell>
          <cell r="Y72">
            <v>1</v>
          </cell>
          <cell r="AB72">
            <v>1</v>
          </cell>
          <cell r="AC72">
            <v>1</v>
          </cell>
          <cell r="AF72">
            <v>1</v>
          </cell>
          <cell r="AG72">
            <v>1</v>
          </cell>
          <cell r="AJ72">
            <v>1</v>
          </cell>
          <cell r="AK72">
            <v>0</v>
          </cell>
        </row>
        <row r="73">
          <cell r="B73" t="str">
            <v>CSS - Backfilling</v>
          </cell>
          <cell r="D73">
            <v>1</v>
          </cell>
          <cell r="E73">
            <v>1</v>
          </cell>
          <cell r="H73">
            <v>1</v>
          </cell>
          <cell r="I73">
            <v>1</v>
          </cell>
          <cell r="L73">
            <v>1</v>
          </cell>
          <cell r="M73">
            <v>1</v>
          </cell>
          <cell r="P73">
            <v>1</v>
          </cell>
          <cell r="Q73">
            <v>1</v>
          </cell>
          <cell r="T73">
            <v>1</v>
          </cell>
          <cell r="U73">
            <v>1</v>
          </cell>
          <cell r="X73">
            <v>1</v>
          </cell>
          <cell r="Y73">
            <v>1</v>
          </cell>
          <cell r="AB73">
            <v>1</v>
          </cell>
          <cell r="AC73">
            <v>1</v>
          </cell>
          <cell r="AF73">
            <v>1</v>
          </cell>
          <cell r="AG73">
            <v>1</v>
          </cell>
          <cell r="AJ73">
            <v>1</v>
          </cell>
          <cell r="AK73">
            <v>0</v>
          </cell>
        </row>
        <row r="74">
          <cell r="B74" t="str">
            <v>CSS Slab Casting</v>
          </cell>
          <cell r="D74">
            <v>1</v>
          </cell>
          <cell r="E74">
            <v>1</v>
          </cell>
          <cell r="H74">
            <v>1</v>
          </cell>
          <cell r="I74">
            <v>1</v>
          </cell>
          <cell r="L74">
            <v>1</v>
          </cell>
          <cell r="M74">
            <v>1</v>
          </cell>
          <cell r="P74">
            <v>1</v>
          </cell>
          <cell r="Q74">
            <v>1</v>
          </cell>
          <cell r="T74">
            <v>1</v>
          </cell>
          <cell r="U74">
            <v>1</v>
          </cell>
          <cell r="X74">
            <v>1</v>
          </cell>
          <cell r="Y74">
            <v>1</v>
          </cell>
          <cell r="AB74">
            <v>1</v>
          </cell>
          <cell r="AC74">
            <v>1</v>
          </cell>
          <cell r="AF74">
            <v>1</v>
          </cell>
          <cell r="AG74">
            <v>1</v>
          </cell>
          <cell r="AJ74">
            <v>1</v>
          </cell>
          <cell r="AK74">
            <v>0</v>
          </cell>
        </row>
        <row r="75">
          <cell r="B75" t="str">
            <v>CSS - Staircase &amp; Finishing Work</v>
          </cell>
          <cell r="D75">
            <v>1</v>
          </cell>
          <cell r="E75">
            <v>0</v>
          </cell>
          <cell r="H75">
            <v>1</v>
          </cell>
          <cell r="I75">
            <v>0</v>
          </cell>
          <cell r="L75">
            <v>1</v>
          </cell>
          <cell r="M75">
            <v>0</v>
          </cell>
          <cell r="P75">
            <v>0</v>
          </cell>
          <cell r="Q75">
            <v>0</v>
          </cell>
          <cell r="T75">
            <v>1</v>
          </cell>
          <cell r="U75">
            <v>0</v>
          </cell>
          <cell r="X75">
            <v>1</v>
          </cell>
          <cell r="Y75">
            <v>0</v>
          </cell>
          <cell r="AB75">
            <v>1</v>
          </cell>
          <cell r="AC75">
            <v>0</v>
          </cell>
          <cell r="AF75">
            <v>1</v>
          </cell>
          <cell r="AG75">
            <v>0</v>
          </cell>
          <cell r="AJ75">
            <v>1</v>
          </cell>
          <cell r="AK75">
            <v>0</v>
          </cell>
        </row>
        <row r="76">
          <cell r="B76" t="str">
            <v>CSS Erection</v>
          </cell>
          <cell r="D76">
            <v>1</v>
          </cell>
          <cell r="E76">
            <v>1</v>
          </cell>
          <cell r="H76">
            <v>1</v>
          </cell>
          <cell r="I76">
            <v>1</v>
          </cell>
          <cell r="L76">
            <v>1</v>
          </cell>
          <cell r="M76">
            <v>1</v>
          </cell>
          <cell r="P76">
            <v>1</v>
          </cell>
          <cell r="Q76">
            <v>1</v>
          </cell>
          <cell r="T76">
            <v>1</v>
          </cell>
          <cell r="U76">
            <v>0</v>
          </cell>
          <cell r="X76">
            <v>1</v>
          </cell>
          <cell r="Y76">
            <v>0</v>
          </cell>
          <cell r="AB76">
            <v>1</v>
          </cell>
          <cell r="AC76">
            <v>0</v>
          </cell>
          <cell r="AF76">
            <v>1</v>
          </cell>
          <cell r="AG76">
            <v>0</v>
          </cell>
          <cell r="AJ76">
            <v>1</v>
          </cell>
          <cell r="AK76">
            <v>0</v>
          </cell>
        </row>
        <row r="77">
          <cell r="B77" t="str">
            <v xml:space="preserve">NIFPS  </v>
          </cell>
          <cell r="D77" t="str">
            <v>Scope</v>
          </cell>
          <cell r="E77" t="str">
            <v>Actual</v>
          </cell>
          <cell r="H77" t="str">
            <v>Scope</v>
          </cell>
          <cell r="I77" t="str">
            <v>Actual</v>
          </cell>
          <cell r="L77" t="str">
            <v>Scope</v>
          </cell>
          <cell r="M77" t="str">
            <v>Actual</v>
          </cell>
          <cell r="P77" t="str">
            <v>Scope</v>
          </cell>
          <cell r="Q77" t="str">
            <v>Actual</v>
          </cell>
          <cell r="T77" t="str">
            <v>Scope</v>
          </cell>
          <cell r="U77" t="str">
            <v>Actual</v>
          </cell>
          <cell r="X77" t="str">
            <v>Scope</v>
          </cell>
          <cell r="Y77" t="str">
            <v>Actual</v>
          </cell>
          <cell r="AB77" t="str">
            <v>Scope</v>
          </cell>
          <cell r="AC77" t="str">
            <v>Actual</v>
          </cell>
          <cell r="AF77" t="str">
            <v>Scope</v>
          </cell>
          <cell r="AG77" t="str">
            <v>Actual</v>
          </cell>
          <cell r="AJ77" t="str">
            <v>Scope</v>
          </cell>
          <cell r="AK77" t="str">
            <v>Actual</v>
          </cell>
        </row>
        <row r="78">
          <cell r="B78" t="str">
            <v>NIFPS - Excavation / Compaction</v>
          </cell>
          <cell r="D78">
            <v>6</v>
          </cell>
          <cell r="E78">
            <v>6</v>
          </cell>
          <cell r="H78">
            <v>6</v>
          </cell>
          <cell r="I78">
            <v>6</v>
          </cell>
          <cell r="L78">
            <v>6</v>
          </cell>
          <cell r="M78">
            <v>6</v>
          </cell>
          <cell r="P78">
            <v>6</v>
          </cell>
          <cell r="Q78">
            <v>6</v>
          </cell>
          <cell r="T78">
            <v>6</v>
          </cell>
          <cell r="U78">
            <v>6</v>
          </cell>
          <cell r="X78">
            <v>6</v>
          </cell>
          <cell r="Y78">
            <v>6</v>
          </cell>
          <cell r="AB78">
            <v>6</v>
          </cell>
          <cell r="AC78">
            <v>6</v>
          </cell>
          <cell r="AF78">
            <v>6</v>
          </cell>
          <cell r="AG78">
            <v>6</v>
          </cell>
          <cell r="AJ78">
            <v>6</v>
          </cell>
          <cell r="AK78">
            <v>6</v>
          </cell>
        </row>
        <row r="79">
          <cell r="B79" t="str">
            <v>NIFPS - PCC</v>
          </cell>
          <cell r="D79">
            <v>6</v>
          </cell>
          <cell r="E79">
            <v>6</v>
          </cell>
          <cell r="H79">
            <v>6</v>
          </cell>
          <cell r="I79">
            <v>6</v>
          </cell>
          <cell r="L79">
            <v>6</v>
          </cell>
          <cell r="M79">
            <v>6</v>
          </cell>
          <cell r="P79">
            <v>6</v>
          </cell>
          <cell r="Q79">
            <v>6</v>
          </cell>
          <cell r="T79">
            <v>6</v>
          </cell>
          <cell r="U79">
            <v>6</v>
          </cell>
          <cell r="X79">
            <v>6</v>
          </cell>
          <cell r="Y79">
            <v>6</v>
          </cell>
          <cell r="AB79">
            <v>6</v>
          </cell>
          <cell r="AC79">
            <v>6</v>
          </cell>
          <cell r="AF79">
            <v>6</v>
          </cell>
          <cell r="AG79">
            <v>6</v>
          </cell>
          <cell r="AJ79">
            <v>6</v>
          </cell>
          <cell r="AK79">
            <v>5</v>
          </cell>
        </row>
        <row r="80">
          <cell r="B80" t="str">
            <v>NIFPS Precast Erection</v>
          </cell>
          <cell r="D80">
            <v>6</v>
          </cell>
          <cell r="E80">
            <v>5</v>
          </cell>
          <cell r="H80">
            <v>6</v>
          </cell>
          <cell r="I80">
            <v>5</v>
          </cell>
          <cell r="L80">
            <v>6</v>
          </cell>
          <cell r="M80">
            <v>6</v>
          </cell>
          <cell r="P80">
            <v>6</v>
          </cell>
          <cell r="Q80">
            <v>6</v>
          </cell>
          <cell r="T80">
            <v>6</v>
          </cell>
          <cell r="U80">
            <v>6</v>
          </cell>
          <cell r="X80">
            <v>6</v>
          </cell>
          <cell r="Y80">
            <v>6</v>
          </cell>
          <cell r="AB80">
            <v>6</v>
          </cell>
          <cell r="AC80">
            <v>6</v>
          </cell>
          <cell r="AF80">
            <v>6</v>
          </cell>
          <cell r="AG80">
            <v>6</v>
          </cell>
          <cell r="AJ80">
            <v>6</v>
          </cell>
          <cell r="AK80">
            <v>0</v>
          </cell>
        </row>
        <row r="81">
          <cell r="B81" t="str">
            <v>NIFPS - Finishing Work</v>
          </cell>
          <cell r="D81">
            <v>6</v>
          </cell>
          <cell r="E81">
            <v>0</v>
          </cell>
          <cell r="H81">
            <v>6</v>
          </cell>
          <cell r="I81">
            <v>0</v>
          </cell>
          <cell r="L81">
            <v>6</v>
          </cell>
          <cell r="M81">
            <v>3</v>
          </cell>
          <cell r="P81">
            <v>0</v>
          </cell>
          <cell r="Q81">
            <v>0</v>
          </cell>
          <cell r="T81">
            <v>6</v>
          </cell>
          <cell r="U81">
            <v>0</v>
          </cell>
          <cell r="X81">
            <v>6</v>
          </cell>
          <cell r="Y81">
            <v>0</v>
          </cell>
          <cell r="AB81">
            <v>6</v>
          </cell>
          <cell r="AC81">
            <v>0</v>
          </cell>
          <cell r="AF81">
            <v>6</v>
          </cell>
          <cell r="AG81">
            <v>0</v>
          </cell>
          <cell r="AJ81">
            <v>6</v>
          </cell>
          <cell r="AK81">
            <v>0</v>
          </cell>
        </row>
        <row r="82">
          <cell r="B82" t="str">
            <v>NIFPS Panel Erection</v>
          </cell>
          <cell r="D82">
            <v>6</v>
          </cell>
          <cell r="E82">
            <v>0</v>
          </cell>
          <cell r="H82">
            <v>6</v>
          </cell>
          <cell r="I82">
            <v>0</v>
          </cell>
          <cell r="L82">
            <v>6</v>
          </cell>
          <cell r="M82">
            <v>6</v>
          </cell>
          <cell r="P82">
            <v>6</v>
          </cell>
          <cell r="Q82">
            <v>6</v>
          </cell>
          <cell r="T82">
            <v>6</v>
          </cell>
          <cell r="U82">
            <v>0</v>
          </cell>
          <cell r="X82">
            <v>6</v>
          </cell>
          <cell r="Y82">
            <v>0</v>
          </cell>
          <cell r="AB82">
            <v>6</v>
          </cell>
          <cell r="AC82">
            <v>0</v>
          </cell>
          <cell r="AF82">
            <v>6</v>
          </cell>
          <cell r="AG82">
            <v>0</v>
          </cell>
          <cell r="AJ82">
            <v>6</v>
          </cell>
          <cell r="AK82">
            <v>0</v>
          </cell>
        </row>
        <row r="83">
          <cell r="B83" t="str">
            <v>NIFPS Fabrication</v>
          </cell>
          <cell r="D83">
            <v>6</v>
          </cell>
          <cell r="E83">
            <v>0</v>
          </cell>
          <cell r="H83">
            <v>6</v>
          </cell>
          <cell r="I83">
            <v>0</v>
          </cell>
          <cell r="L83">
            <v>6</v>
          </cell>
          <cell r="M83">
            <v>6</v>
          </cell>
          <cell r="P83">
            <v>6</v>
          </cell>
          <cell r="Q83">
            <v>6</v>
          </cell>
          <cell r="T83">
            <v>6</v>
          </cell>
          <cell r="U83">
            <v>0</v>
          </cell>
          <cell r="X83">
            <v>6</v>
          </cell>
          <cell r="Y83">
            <v>0</v>
          </cell>
          <cell r="AB83">
            <v>6</v>
          </cell>
          <cell r="AC83">
            <v>0</v>
          </cell>
          <cell r="AF83">
            <v>6</v>
          </cell>
          <cell r="AG83">
            <v>0</v>
          </cell>
          <cell r="AJ83">
            <v>6</v>
          </cell>
          <cell r="AK83">
            <v>0</v>
          </cell>
        </row>
        <row r="84">
          <cell r="B84" t="str">
            <v xml:space="preserve">BOT </v>
          </cell>
          <cell r="D84" t="str">
            <v>Scope</v>
          </cell>
          <cell r="E84" t="str">
            <v>Actual</v>
          </cell>
          <cell r="H84" t="str">
            <v>Scope</v>
          </cell>
          <cell r="I84" t="str">
            <v>Actual</v>
          </cell>
          <cell r="L84" t="str">
            <v>Scope</v>
          </cell>
          <cell r="M84" t="str">
            <v>Actual</v>
          </cell>
          <cell r="P84" t="str">
            <v>Scope</v>
          </cell>
          <cell r="Q84" t="str">
            <v>Actual</v>
          </cell>
          <cell r="T84" t="str">
            <v>Scope</v>
          </cell>
          <cell r="U84" t="str">
            <v>Actual</v>
          </cell>
          <cell r="X84" t="str">
            <v>Scope</v>
          </cell>
          <cell r="Y84" t="str">
            <v>Actual</v>
          </cell>
          <cell r="AB84" t="str">
            <v>Scope</v>
          </cell>
          <cell r="AC84" t="str">
            <v>Actual</v>
          </cell>
          <cell r="AF84" t="str">
            <v>Scope</v>
          </cell>
          <cell r="AG84" t="str">
            <v>Actual</v>
          </cell>
          <cell r="AJ84" t="str">
            <v>Scope</v>
          </cell>
          <cell r="AK84" t="str">
            <v>Actual</v>
          </cell>
        </row>
        <row r="85">
          <cell r="B85" t="str">
            <v>BOT - Marking &amp; Excavation</v>
          </cell>
          <cell r="D85">
            <v>3</v>
          </cell>
          <cell r="E85">
            <v>3</v>
          </cell>
          <cell r="H85">
            <v>3</v>
          </cell>
          <cell r="I85">
            <v>3</v>
          </cell>
          <cell r="L85">
            <v>3</v>
          </cell>
          <cell r="M85">
            <v>3</v>
          </cell>
          <cell r="P85">
            <v>3</v>
          </cell>
          <cell r="Q85">
            <v>3</v>
          </cell>
          <cell r="T85">
            <v>3</v>
          </cell>
          <cell r="U85">
            <v>3</v>
          </cell>
          <cell r="X85">
            <v>3</v>
          </cell>
          <cell r="Y85">
            <v>3</v>
          </cell>
          <cell r="AB85">
            <v>3</v>
          </cell>
          <cell r="AC85">
            <v>3</v>
          </cell>
          <cell r="AF85">
            <v>3</v>
          </cell>
          <cell r="AG85">
            <v>3</v>
          </cell>
          <cell r="AJ85">
            <v>3</v>
          </cell>
          <cell r="AK85">
            <v>3</v>
          </cell>
        </row>
        <row r="86">
          <cell r="B86" t="str">
            <v>BOT - Rubble Soiling</v>
          </cell>
          <cell r="D86">
            <v>3</v>
          </cell>
          <cell r="E86">
            <v>3</v>
          </cell>
          <cell r="H86">
            <v>3</v>
          </cell>
          <cell r="I86">
            <v>3</v>
          </cell>
          <cell r="L86">
            <v>3</v>
          </cell>
          <cell r="M86">
            <v>3</v>
          </cell>
          <cell r="P86">
            <v>3</v>
          </cell>
          <cell r="Q86">
            <v>3</v>
          </cell>
          <cell r="T86">
            <v>3</v>
          </cell>
          <cell r="U86">
            <v>3</v>
          </cell>
          <cell r="X86">
            <v>3</v>
          </cell>
          <cell r="Y86">
            <v>3</v>
          </cell>
          <cell r="AB86">
            <v>3</v>
          </cell>
          <cell r="AC86">
            <v>3</v>
          </cell>
          <cell r="AF86">
            <v>3</v>
          </cell>
          <cell r="AG86">
            <v>3</v>
          </cell>
          <cell r="AJ86">
            <v>3</v>
          </cell>
          <cell r="AK86">
            <v>3</v>
          </cell>
        </row>
        <row r="87">
          <cell r="B87" t="str">
            <v>BOT - PCC</v>
          </cell>
          <cell r="D87">
            <v>3</v>
          </cell>
          <cell r="E87">
            <v>3</v>
          </cell>
          <cell r="H87">
            <v>3</v>
          </cell>
          <cell r="I87">
            <v>3</v>
          </cell>
          <cell r="L87">
            <v>3</v>
          </cell>
          <cell r="M87">
            <v>3</v>
          </cell>
          <cell r="P87">
            <v>3</v>
          </cell>
          <cell r="Q87">
            <v>3</v>
          </cell>
          <cell r="T87">
            <v>3</v>
          </cell>
          <cell r="U87">
            <v>3</v>
          </cell>
          <cell r="X87">
            <v>3</v>
          </cell>
          <cell r="Y87">
            <v>3</v>
          </cell>
          <cell r="AB87">
            <v>3</v>
          </cell>
          <cell r="AC87">
            <v>3</v>
          </cell>
          <cell r="AF87">
            <v>3</v>
          </cell>
          <cell r="AG87">
            <v>3</v>
          </cell>
          <cell r="AJ87">
            <v>3</v>
          </cell>
          <cell r="AK87">
            <v>3</v>
          </cell>
        </row>
        <row r="88">
          <cell r="B88" t="str">
            <v>BOT Precast Erection</v>
          </cell>
          <cell r="D88">
            <v>0</v>
          </cell>
          <cell r="E88">
            <v>0</v>
          </cell>
          <cell r="H88">
            <v>2</v>
          </cell>
          <cell r="I88">
            <v>2</v>
          </cell>
          <cell r="L88">
            <v>1</v>
          </cell>
          <cell r="M88">
            <v>1</v>
          </cell>
          <cell r="P88">
            <v>0</v>
          </cell>
          <cell r="Q88">
            <v>0</v>
          </cell>
          <cell r="T88">
            <v>3</v>
          </cell>
          <cell r="U88">
            <v>3</v>
          </cell>
          <cell r="X88">
            <v>3</v>
          </cell>
          <cell r="Y88">
            <v>3</v>
          </cell>
          <cell r="AB88">
            <v>3</v>
          </cell>
          <cell r="AC88">
            <v>3</v>
          </cell>
          <cell r="AF88">
            <v>3</v>
          </cell>
          <cell r="AG88">
            <v>3</v>
          </cell>
          <cell r="AJ88">
            <v>3</v>
          </cell>
          <cell r="AK88">
            <v>3</v>
          </cell>
        </row>
        <row r="89">
          <cell r="B89" t="str">
            <v>BOT - Raft casting</v>
          </cell>
          <cell r="D89">
            <v>3</v>
          </cell>
          <cell r="E89">
            <v>3</v>
          </cell>
          <cell r="H89">
            <v>1</v>
          </cell>
          <cell r="I89">
            <v>1</v>
          </cell>
          <cell r="L89">
            <v>2</v>
          </cell>
          <cell r="M89">
            <v>2</v>
          </cell>
          <cell r="P89">
            <v>3</v>
          </cell>
          <cell r="Q89">
            <v>3</v>
          </cell>
          <cell r="T89">
            <v>0</v>
          </cell>
          <cell r="U89">
            <v>0</v>
          </cell>
          <cell r="X89">
            <v>0</v>
          </cell>
          <cell r="Y89">
            <v>0</v>
          </cell>
          <cell r="AB89">
            <v>0</v>
          </cell>
          <cell r="AC89">
            <v>0</v>
          </cell>
          <cell r="AF89">
            <v>0</v>
          </cell>
          <cell r="AG89">
            <v>0</v>
          </cell>
          <cell r="AJ89">
            <v>0</v>
          </cell>
          <cell r="AK89">
            <v>0</v>
          </cell>
        </row>
        <row r="90">
          <cell r="B90" t="str">
            <v>BOT - First lift</v>
          </cell>
          <cell r="D90">
            <v>3</v>
          </cell>
          <cell r="E90">
            <v>3</v>
          </cell>
          <cell r="H90">
            <v>1</v>
          </cell>
          <cell r="I90">
            <v>1</v>
          </cell>
          <cell r="L90">
            <v>2</v>
          </cell>
          <cell r="M90">
            <v>2</v>
          </cell>
          <cell r="P90">
            <v>3</v>
          </cell>
          <cell r="Q90">
            <v>3</v>
          </cell>
          <cell r="T90">
            <v>0</v>
          </cell>
          <cell r="U90">
            <v>0</v>
          </cell>
          <cell r="X90">
            <v>0</v>
          </cell>
          <cell r="Y90">
            <v>0</v>
          </cell>
          <cell r="AB90">
            <v>0</v>
          </cell>
          <cell r="AC90">
            <v>0</v>
          </cell>
          <cell r="AF90">
            <v>0</v>
          </cell>
          <cell r="AG90">
            <v>0</v>
          </cell>
          <cell r="AJ90">
            <v>0</v>
          </cell>
          <cell r="AK90">
            <v>0</v>
          </cell>
        </row>
        <row r="91">
          <cell r="B91" t="str">
            <v>BOT - Final lift</v>
          </cell>
          <cell r="D91">
            <v>3</v>
          </cell>
          <cell r="E91">
            <v>3</v>
          </cell>
          <cell r="H91">
            <v>1</v>
          </cell>
          <cell r="I91">
            <v>1</v>
          </cell>
          <cell r="L91">
            <v>2</v>
          </cell>
          <cell r="M91">
            <v>2</v>
          </cell>
          <cell r="P91">
            <v>3</v>
          </cell>
          <cell r="Q91">
            <v>3</v>
          </cell>
          <cell r="T91">
            <v>0</v>
          </cell>
          <cell r="U91">
            <v>0</v>
          </cell>
          <cell r="X91">
            <v>0</v>
          </cell>
          <cell r="Y91">
            <v>0</v>
          </cell>
          <cell r="AB91">
            <v>0</v>
          </cell>
          <cell r="AC91">
            <v>0</v>
          </cell>
          <cell r="AF91">
            <v>0</v>
          </cell>
          <cell r="AG91">
            <v>0</v>
          </cell>
          <cell r="AJ91">
            <v>0</v>
          </cell>
          <cell r="AK91">
            <v>0</v>
          </cell>
        </row>
        <row r="92">
          <cell r="B92" t="str">
            <v>BOT - Painting &amp; Backfiling</v>
          </cell>
          <cell r="D92">
            <v>3</v>
          </cell>
          <cell r="E92">
            <v>3</v>
          </cell>
          <cell r="H92">
            <v>3</v>
          </cell>
          <cell r="I92">
            <v>3</v>
          </cell>
          <cell r="L92">
            <v>3</v>
          </cell>
          <cell r="M92">
            <v>3</v>
          </cell>
          <cell r="P92">
            <v>3</v>
          </cell>
          <cell r="Q92">
            <v>3</v>
          </cell>
          <cell r="T92">
            <v>3</v>
          </cell>
          <cell r="U92">
            <v>3</v>
          </cell>
          <cell r="X92">
            <v>3</v>
          </cell>
          <cell r="Y92">
            <v>3</v>
          </cell>
          <cell r="AB92">
            <v>3</v>
          </cell>
          <cell r="AC92">
            <v>3</v>
          </cell>
          <cell r="AF92">
            <v>3</v>
          </cell>
          <cell r="AG92">
            <v>3</v>
          </cell>
          <cell r="AJ92">
            <v>3</v>
          </cell>
          <cell r="AK92">
            <v>3</v>
          </cell>
        </row>
        <row r="93">
          <cell r="B93" t="str">
            <v>BOT Slab casting</v>
          </cell>
          <cell r="D93">
            <v>3</v>
          </cell>
          <cell r="E93">
            <v>3</v>
          </cell>
          <cell r="H93">
            <v>1</v>
          </cell>
          <cell r="I93">
            <v>1</v>
          </cell>
          <cell r="L93">
            <v>2</v>
          </cell>
          <cell r="M93">
            <v>2</v>
          </cell>
          <cell r="P93">
            <v>3</v>
          </cell>
          <cell r="Q93">
            <v>3</v>
          </cell>
          <cell r="T93">
            <v>0</v>
          </cell>
          <cell r="U93">
            <v>0</v>
          </cell>
          <cell r="X93">
            <v>0</v>
          </cell>
          <cell r="Y93">
            <v>0</v>
          </cell>
          <cell r="AB93">
            <v>0</v>
          </cell>
          <cell r="AC93">
            <v>0</v>
          </cell>
          <cell r="AF93">
            <v>0</v>
          </cell>
          <cell r="AG93">
            <v>0</v>
          </cell>
          <cell r="AJ93">
            <v>0</v>
          </cell>
          <cell r="AK93">
            <v>0</v>
          </cell>
        </row>
        <row r="94">
          <cell r="B94" t="str">
            <v>HML</v>
          </cell>
          <cell r="D94" t="str">
            <v>Scope</v>
          </cell>
          <cell r="E94" t="str">
            <v>Actual</v>
          </cell>
          <cell r="H94" t="str">
            <v>Scope</v>
          </cell>
          <cell r="I94" t="str">
            <v>Actual</v>
          </cell>
          <cell r="L94" t="str">
            <v>Scope</v>
          </cell>
          <cell r="M94" t="str">
            <v>Actual</v>
          </cell>
          <cell r="P94" t="str">
            <v>Scope</v>
          </cell>
          <cell r="Q94" t="str">
            <v>Actual</v>
          </cell>
          <cell r="T94" t="str">
            <v>Scope</v>
          </cell>
          <cell r="U94" t="str">
            <v>Actual</v>
          </cell>
          <cell r="X94" t="str">
            <v>Scope</v>
          </cell>
          <cell r="Y94" t="str">
            <v>Actual</v>
          </cell>
          <cell r="AB94" t="str">
            <v>Scope</v>
          </cell>
          <cell r="AC94" t="str">
            <v>Actual</v>
          </cell>
          <cell r="AF94" t="str">
            <v>Scope</v>
          </cell>
          <cell r="AG94" t="str">
            <v>Actual</v>
          </cell>
          <cell r="AJ94" t="str">
            <v>Scope</v>
          </cell>
          <cell r="AK94" t="str">
            <v>Actual</v>
          </cell>
        </row>
        <row r="95">
          <cell r="B95" t="str">
            <v>High Mast - Marking and Excavation</v>
          </cell>
          <cell r="D95">
            <v>1</v>
          </cell>
          <cell r="E95">
            <v>1</v>
          </cell>
          <cell r="H95">
            <v>1</v>
          </cell>
          <cell r="I95">
            <v>1</v>
          </cell>
          <cell r="L95">
            <v>1</v>
          </cell>
          <cell r="M95">
            <v>1</v>
          </cell>
          <cell r="P95">
            <v>1</v>
          </cell>
          <cell r="Q95">
            <v>1</v>
          </cell>
          <cell r="T95">
            <v>1</v>
          </cell>
          <cell r="U95">
            <v>1</v>
          </cell>
          <cell r="X95">
            <v>1</v>
          </cell>
          <cell r="Y95">
            <v>1</v>
          </cell>
          <cell r="AB95">
            <v>1</v>
          </cell>
          <cell r="AC95">
            <v>1</v>
          </cell>
          <cell r="AF95">
            <v>0</v>
          </cell>
          <cell r="AG95">
            <v>0</v>
          </cell>
          <cell r="AJ95">
            <v>0</v>
          </cell>
          <cell r="AK95">
            <v>0</v>
          </cell>
        </row>
        <row r="96">
          <cell r="B96" t="str">
            <v>High Mast - Rubble soiling &amp; PCC</v>
          </cell>
          <cell r="D96">
            <v>1</v>
          </cell>
          <cell r="E96">
            <v>1</v>
          </cell>
          <cell r="H96">
            <v>1</v>
          </cell>
          <cell r="I96">
            <v>1</v>
          </cell>
          <cell r="L96">
            <v>1</v>
          </cell>
          <cell r="M96">
            <v>1</v>
          </cell>
          <cell r="P96">
            <v>1</v>
          </cell>
          <cell r="Q96">
            <v>1</v>
          </cell>
          <cell r="T96">
            <v>1</v>
          </cell>
          <cell r="U96">
            <v>1</v>
          </cell>
          <cell r="X96">
            <v>1</v>
          </cell>
          <cell r="Y96">
            <v>1</v>
          </cell>
          <cell r="AB96">
            <v>1</v>
          </cell>
          <cell r="AC96">
            <v>1</v>
          </cell>
          <cell r="AF96">
            <v>0</v>
          </cell>
          <cell r="AG96">
            <v>0</v>
          </cell>
          <cell r="AJ96">
            <v>0</v>
          </cell>
          <cell r="AK96">
            <v>0</v>
          </cell>
        </row>
        <row r="97">
          <cell r="B97" t="str">
            <v>High Mast - Raft casting</v>
          </cell>
          <cell r="D97">
            <v>1</v>
          </cell>
          <cell r="E97">
            <v>1</v>
          </cell>
          <cell r="H97">
            <v>1</v>
          </cell>
          <cell r="I97">
            <v>1</v>
          </cell>
          <cell r="L97">
            <v>1</v>
          </cell>
          <cell r="M97">
            <v>1</v>
          </cell>
          <cell r="P97">
            <v>1</v>
          </cell>
          <cell r="Q97">
            <v>1</v>
          </cell>
          <cell r="T97">
            <v>1</v>
          </cell>
          <cell r="U97">
            <v>1</v>
          </cell>
          <cell r="X97">
            <v>1</v>
          </cell>
          <cell r="Y97">
            <v>1</v>
          </cell>
          <cell r="AB97">
            <v>1</v>
          </cell>
          <cell r="AC97">
            <v>1</v>
          </cell>
          <cell r="AF97">
            <v>0</v>
          </cell>
          <cell r="AG97">
            <v>0</v>
          </cell>
          <cell r="AJ97">
            <v>0</v>
          </cell>
          <cell r="AK97">
            <v>0</v>
          </cell>
        </row>
        <row r="98">
          <cell r="B98" t="str">
            <v>High Mast - 1st Lift casting</v>
          </cell>
          <cell r="D98">
            <v>1</v>
          </cell>
          <cell r="E98">
            <v>1</v>
          </cell>
          <cell r="H98">
            <v>1</v>
          </cell>
          <cell r="I98">
            <v>1</v>
          </cell>
          <cell r="L98">
            <v>1</v>
          </cell>
          <cell r="M98">
            <v>1</v>
          </cell>
          <cell r="P98">
            <v>1</v>
          </cell>
          <cell r="Q98">
            <v>1</v>
          </cell>
          <cell r="T98">
            <v>1</v>
          </cell>
          <cell r="U98">
            <v>1</v>
          </cell>
          <cell r="X98">
            <v>1</v>
          </cell>
          <cell r="Y98">
            <v>1</v>
          </cell>
          <cell r="AB98">
            <v>1</v>
          </cell>
          <cell r="AC98">
            <v>1</v>
          </cell>
          <cell r="AF98">
            <v>0</v>
          </cell>
          <cell r="AG98">
            <v>0</v>
          </cell>
          <cell r="AJ98">
            <v>0</v>
          </cell>
          <cell r="AK98">
            <v>0</v>
          </cell>
        </row>
        <row r="99">
          <cell r="B99" t="str">
            <v>High Mast - Bolt fixing &amp; final casting</v>
          </cell>
          <cell r="D99">
            <v>1</v>
          </cell>
          <cell r="E99">
            <v>1</v>
          </cell>
          <cell r="H99">
            <v>1</v>
          </cell>
          <cell r="I99">
            <v>1</v>
          </cell>
          <cell r="L99">
            <v>1</v>
          </cell>
          <cell r="M99">
            <v>1</v>
          </cell>
          <cell r="P99">
            <v>1</v>
          </cell>
          <cell r="Q99">
            <v>1</v>
          </cell>
          <cell r="T99">
            <v>1</v>
          </cell>
          <cell r="U99">
            <v>1</v>
          </cell>
          <cell r="X99">
            <v>1</v>
          </cell>
          <cell r="Y99">
            <v>1</v>
          </cell>
          <cell r="AB99">
            <v>1</v>
          </cell>
          <cell r="AC99">
            <v>1</v>
          </cell>
          <cell r="AF99">
            <v>0</v>
          </cell>
          <cell r="AG99">
            <v>0</v>
          </cell>
          <cell r="AJ99">
            <v>0</v>
          </cell>
          <cell r="AK99">
            <v>0</v>
          </cell>
        </row>
        <row r="100">
          <cell r="B100" t="str">
            <v>High Mast Installation</v>
          </cell>
          <cell r="D100">
            <v>0</v>
          </cell>
          <cell r="E100">
            <v>0</v>
          </cell>
          <cell r="H100">
            <v>0</v>
          </cell>
          <cell r="I100">
            <v>0</v>
          </cell>
          <cell r="L100">
            <v>0</v>
          </cell>
          <cell r="M100">
            <v>0</v>
          </cell>
          <cell r="P100">
            <v>0</v>
          </cell>
          <cell r="Q100">
            <v>0</v>
          </cell>
          <cell r="T100">
            <v>0</v>
          </cell>
          <cell r="U100">
            <v>0</v>
          </cell>
          <cell r="X100">
            <v>0</v>
          </cell>
          <cell r="Y100">
            <v>0</v>
          </cell>
          <cell r="AB100">
            <v>0</v>
          </cell>
          <cell r="AC100">
            <v>0</v>
          </cell>
          <cell r="AF100">
            <v>0</v>
          </cell>
          <cell r="AG100">
            <v>0</v>
          </cell>
          <cell r="AJ100">
            <v>0</v>
          </cell>
          <cell r="AK100">
            <v>0</v>
          </cell>
        </row>
        <row r="101">
          <cell r="B101" t="str">
            <v>High Mast - Distribution Box Installation</v>
          </cell>
          <cell r="D101">
            <v>0</v>
          </cell>
          <cell r="E101">
            <v>0</v>
          </cell>
          <cell r="H101">
            <v>0</v>
          </cell>
          <cell r="I101">
            <v>0</v>
          </cell>
          <cell r="L101">
            <v>0</v>
          </cell>
          <cell r="M101">
            <v>0</v>
          </cell>
          <cell r="P101">
            <v>0</v>
          </cell>
          <cell r="Q101">
            <v>0</v>
          </cell>
          <cell r="T101">
            <v>0</v>
          </cell>
          <cell r="U101">
            <v>0</v>
          </cell>
          <cell r="X101">
            <v>0</v>
          </cell>
          <cell r="Y101">
            <v>0</v>
          </cell>
          <cell r="AB101">
            <v>0</v>
          </cell>
          <cell r="AC101">
            <v>0</v>
          </cell>
          <cell r="AF101">
            <v>0</v>
          </cell>
          <cell r="AG101">
            <v>0</v>
          </cell>
          <cell r="AJ101">
            <v>0</v>
          </cell>
          <cell r="AK101">
            <v>0</v>
          </cell>
        </row>
        <row r="102">
          <cell r="B102" t="str">
            <v>High Mast - Trench Excavation</v>
          </cell>
          <cell r="D102">
            <v>0</v>
          </cell>
          <cell r="E102">
            <v>0</v>
          </cell>
          <cell r="H102">
            <v>0</v>
          </cell>
          <cell r="I102">
            <v>0</v>
          </cell>
          <cell r="L102">
            <v>0</v>
          </cell>
          <cell r="M102">
            <v>0</v>
          </cell>
          <cell r="P102">
            <v>0</v>
          </cell>
          <cell r="Q102">
            <v>0</v>
          </cell>
          <cell r="T102">
            <v>0</v>
          </cell>
          <cell r="U102">
            <v>0</v>
          </cell>
          <cell r="X102">
            <v>0</v>
          </cell>
          <cell r="Y102">
            <v>0</v>
          </cell>
          <cell r="AB102">
            <v>0</v>
          </cell>
          <cell r="AC102">
            <v>0</v>
          </cell>
          <cell r="AF102">
            <v>0</v>
          </cell>
          <cell r="AG102">
            <v>0</v>
          </cell>
          <cell r="AJ102">
            <v>0</v>
          </cell>
          <cell r="AK102">
            <v>0</v>
          </cell>
        </row>
        <row r="103">
          <cell r="B103" t="str">
            <v>High Mast - Cable Laying (3.5Cx240 sqmm)</v>
          </cell>
          <cell r="D103">
            <v>0</v>
          </cell>
          <cell r="E103">
            <v>0</v>
          </cell>
          <cell r="H103">
            <v>0</v>
          </cell>
          <cell r="I103">
            <v>0</v>
          </cell>
          <cell r="L103">
            <v>0</v>
          </cell>
          <cell r="M103">
            <v>0</v>
          </cell>
          <cell r="P103">
            <v>0</v>
          </cell>
          <cell r="Q103">
            <v>0</v>
          </cell>
          <cell r="T103">
            <v>0</v>
          </cell>
          <cell r="U103">
            <v>0</v>
          </cell>
          <cell r="X103">
            <v>0</v>
          </cell>
          <cell r="Y103">
            <v>0</v>
          </cell>
          <cell r="AB103">
            <v>0</v>
          </cell>
          <cell r="AC103">
            <v>0</v>
          </cell>
          <cell r="AF103">
            <v>0</v>
          </cell>
          <cell r="AG103">
            <v>0</v>
          </cell>
          <cell r="AJ103">
            <v>0</v>
          </cell>
          <cell r="AK103">
            <v>0</v>
          </cell>
        </row>
        <row r="104">
          <cell r="B104" t="str">
            <v>High Mast - Cable Laying (3.5Cx70 sqmm)</v>
          </cell>
          <cell r="D104">
            <v>0</v>
          </cell>
          <cell r="E104">
            <v>0</v>
          </cell>
          <cell r="H104">
            <v>0</v>
          </cell>
          <cell r="I104">
            <v>0</v>
          </cell>
          <cell r="L104">
            <v>0</v>
          </cell>
          <cell r="M104">
            <v>0</v>
          </cell>
          <cell r="P104">
            <v>0</v>
          </cell>
          <cell r="Q104">
            <v>0</v>
          </cell>
          <cell r="T104">
            <v>0</v>
          </cell>
          <cell r="U104">
            <v>0</v>
          </cell>
          <cell r="X104">
            <v>0</v>
          </cell>
          <cell r="Y104">
            <v>0</v>
          </cell>
          <cell r="AB104">
            <v>0</v>
          </cell>
          <cell r="AC104">
            <v>0</v>
          </cell>
          <cell r="AF104">
            <v>0</v>
          </cell>
          <cell r="AG104">
            <v>0</v>
          </cell>
          <cell r="AJ104">
            <v>0</v>
          </cell>
          <cell r="AK104">
            <v>0</v>
          </cell>
        </row>
        <row r="105">
          <cell r="B105" t="str">
            <v>High Mast - Cable Termination</v>
          </cell>
          <cell r="D105">
            <v>0</v>
          </cell>
          <cell r="E105">
            <v>0</v>
          </cell>
          <cell r="H105">
            <v>0</v>
          </cell>
          <cell r="I105">
            <v>0</v>
          </cell>
          <cell r="L105">
            <v>0</v>
          </cell>
          <cell r="M105">
            <v>0</v>
          </cell>
          <cell r="P105">
            <v>0</v>
          </cell>
          <cell r="Q105">
            <v>0</v>
          </cell>
          <cell r="T105">
            <v>0</v>
          </cell>
          <cell r="U105">
            <v>0</v>
          </cell>
          <cell r="X105">
            <v>0</v>
          </cell>
          <cell r="Y105">
            <v>0</v>
          </cell>
          <cell r="AB105">
            <v>0</v>
          </cell>
          <cell r="AC105">
            <v>0</v>
          </cell>
          <cell r="AF105">
            <v>0</v>
          </cell>
          <cell r="AG105">
            <v>0</v>
          </cell>
          <cell r="AJ105">
            <v>0</v>
          </cell>
          <cell r="AK105">
            <v>0</v>
          </cell>
        </row>
        <row r="106">
          <cell r="B106" t="str">
            <v>Earthing &amp; LA</v>
          </cell>
          <cell r="D106" t="str">
            <v>Scope</v>
          </cell>
          <cell r="E106" t="str">
            <v>Actual</v>
          </cell>
          <cell r="H106" t="str">
            <v>Scope</v>
          </cell>
          <cell r="I106" t="str">
            <v>Actual</v>
          </cell>
          <cell r="L106" t="str">
            <v>Scope</v>
          </cell>
          <cell r="M106" t="str">
            <v>Actual</v>
          </cell>
          <cell r="P106" t="str">
            <v>Scope</v>
          </cell>
          <cell r="Q106" t="str">
            <v>Actual</v>
          </cell>
          <cell r="T106" t="str">
            <v>Scope</v>
          </cell>
          <cell r="U106" t="str">
            <v>Actual</v>
          </cell>
          <cell r="X106" t="str">
            <v>Scope</v>
          </cell>
          <cell r="Y106" t="str">
            <v>Actual</v>
          </cell>
          <cell r="AB106" t="str">
            <v>Scope</v>
          </cell>
          <cell r="AC106" t="str">
            <v>Actual</v>
          </cell>
          <cell r="AF106" t="str">
            <v>Scope</v>
          </cell>
          <cell r="AG106" t="str">
            <v>Actual</v>
          </cell>
          <cell r="AJ106" t="str">
            <v>Scope</v>
          </cell>
          <cell r="AK106" t="str">
            <v>Actual</v>
          </cell>
        </row>
        <row r="107">
          <cell r="B107" t="str">
            <v>Earthing - Trench Excavation</v>
          </cell>
          <cell r="D107">
            <v>2980</v>
          </cell>
          <cell r="E107">
            <v>374</v>
          </cell>
          <cell r="H107">
            <v>2980</v>
          </cell>
          <cell r="I107">
            <v>751</v>
          </cell>
          <cell r="L107">
            <v>2980</v>
          </cell>
          <cell r="M107">
            <v>1805</v>
          </cell>
          <cell r="P107">
            <v>3033</v>
          </cell>
          <cell r="Q107">
            <v>2797</v>
          </cell>
          <cell r="T107">
            <v>2980</v>
          </cell>
          <cell r="U107">
            <v>0</v>
          </cell>
          <cell r="X107">
            <v>2980</v>
          </cell>
          <cell r="Y107">
            <v>400</v>
          </cell>
          <cell r="AB107">
            <v>2980</v>
          </cell>
          <cell r="AC107">
            <v>200</v>
          </cell>
          <cell r="AF107">
            <v>2980</v>
          </cell>
          <cell r="AG107">
            <v>0</v>
          </cell>
          <cell r="AJ107">
            <v>2980</v>
          </cell>
          <cell r="AK107">
            <v>0</v>
          </cell>
        </row>
        <row r="108">
          <cell r="B108" t="str">
            <v>Earthing - Strip Laying (25x6)</v>
          </cell>
          <cell r="D108">
            <v>143</v>
          </cell>
          <cell r="E108">
            <v>0</v>
          </cell>
          <cell r="H108">
            <v>143</v>
          </cell>
          <cell r="I108">
            <v>0</v>
          </cell>
          <cell r="L108">
            <v>143</v>
          </cell>
          <cell r="M108">
            <v>0</v>
          </cell>
          <cell r="P108">
            <v>143</v>
          </cell>
          <cell r="Q108">
            <v>0</v>
          </cell>
          <cell r="T108">
            <v>143</v>
          </cell>
          <cell r="U108">
            <v>0</v>
          </cell>
          <cell r="X108">
            <v>143</v>
          </cell>
          <cell r="Y108">
            <v>0</v>
          </cell>
          <cell r="AB108">
            <v>143</v>
          </cell>
          <cell r="AC108">
            <v>0</v>
          </cell>
          <cell r="AF108">
            <v>143</v>
          </cell>
          <cell r="AG108">
            <v>0</v>
          </cell>
          <cell r="AJ108">
            <v>143</v>
          </cell>
          <cell r="AK108">
            <v>0</v>
          </cell>
        </row>
        <row r="109">
          <cell r="B109" t="str">
            <v>Earthing</v>
          </cell>
          <cell r="D109">
            <v>4284</v>
          </cell>
          <cell r="E109">
            <v>432</v>
          </cell>
          <cell r="H109">
            <v>4284</v>
          </cell>
          <cell r="I109">
            <v>572</v>
          </cell>
          <cell r="L109">
            <v>4284</v>
          </cell>
          <cell r="M109">
            <v>2434</v>
          </cell>
          <cell r="P109">
            <v>5069.8</v>
          </cell>
          <cell r="Q109">
            <v>5069.7</v>
          </cell>
          <cell r="T109">
            <v>4284</v>
          </cell>
          <cell r="U109">
            <v>0</v>
          </cell>
          <cell r="X109">
            <v>4284</v>
          </cell>
          <cell r="Y109">
            <v>0</v>
          </cell>
          <cell r="AB109">
            <v>4284</v>
          </cell>
          <cell r="AC109">
            <v>0</v>
          </cell>
          <cell r="AF109">
            <v>4284</v>
          </cell>
          <cell r="AG109">
            <v>0</v>
          </cell>
          <cell r="AJ109">
            <v>4284</v>
          </cell>
          <cell r="AK109">
            <v>0</v>
          </cell>
        </row>
        <row r="110">
          <cell r="B110" t="str">
            <v>LA - Foundation</v>
          </cell>
          <cell r="D110">
            <v>10</v>
          </cell>
          <cell r="E110">
            <v>0</v>
          </cell>
          <cell r="H110">
            <v>10</v>
          </cell>
          <cell r="I110">
            <v>0</v>
          </cell>
          <cell r="L110">
            <v>10</v>
          </cell>
          <cell r="M110">
            <v>0</v>
          </cell>
          <cell r="P110">
            <v>10</v>
          </cell>
          <cell r="Q110">
            <v>10</v>
          </cell>
          <cell r="T110">
            <v>10</v>
          </cell>
          <cell r="U110">
            <v>0</v>
          </cell>
          <cell r="X110">
            <v>10</v>
          </cell>
          <cell r="Y110">
            <v>0</v>
          </cell>
          <cell r="AB110">
            <v>10</v>
          </cell>
          <cell r="AC110">
            <v>0</v>
          </cell>
          <cell r="AF110">
            <v>10</v>
          </cell>
          <cell r="AG110">
            <v>0</v>
          </cell>
          <cell r="AJ110">
            <v>10</v>
          </cell>
          <cell r="AK110">
            <v>0</v>
          </cell>
        </row>
        <row r="111">
          <cell r="B111" t="str">
            <v>LA - Erection</v>
          </cell>
          <cell r="D111">
            <v>10</v>
          </cell>
          <cell r="E111">
            <v>0</v>
          </cell>
          <cell r="H111">
            <v>10</v>
          </cell>
          <cell r="I111">
            <v>0</v>
          </cell>
          <cell r="L111">
            <v>10</v>
          </cell>
          <cell r="M111">
            <v>0</v>
          </cell>
          <cell r="P111">
            <v>10</v>
          </cell>
          <cell r="Q111">
            <v>10</v>
          </cell>
          <cell r="T111">
            <v>10</v>
          </cell>
          <cell r="U111">
            <v>0</v>
          </cell>
          <cell r="X111">
            <v>10</v>
          </cell>
          <cell r="Y111">
            <v>0</v>
          </cell>
          <cell r="AB111">
            <v>10</v>
          </cell>
          <cell r="AC111">
            <v>0</v>
          </cell>
          <cell r="AF111">
            <v>10</v>
          </cell>
          <cell r="AG111">
            <v>0</v>
          </cell>
          <cell r="AJ111">
            <v>10</v>
          </cell>
          <cell r="AK111">
            <v>0</v>
          </cell>
        </row>
        <row r="112">
          <cell r="B112" t="str">
            <v>LA</v>
          </cell>
          <cell r="D112">
            <v>10</v>
          </cell>
          <cell r="E112">
            <v>0</v>
          </cell>
          <cell r="H112">
            <v>10</v>
          </cell>
          <cell r="I112">
            <v>0</v>
          </cell>
          <cell r="L112">
            <v>10</v>
          </cell>
          <cell r="M112">
            <v>0</v>
          </cell>
          <cell r="P112">
            <v>10</v>
          </cell>
          <cell r="Q112">
            <v>10</v>
          </cell>
          <cell r="T112">
            <v>10</v>
          </cell>
          <cell r="U112">
            <v>0</v>
          </cell>
          <cell r="X112">
            <v>10</v>
          </cell>
          <cell r="Y112">
            <v>0</v>
          </cell>
          <cell r="AB112">
            <v>10</v>
          </cell>
          <cell r="AC112">
            <v>0</v>
          </cell>
          <cell r="AF112">
            <v>10</v>
          </cell>
          <cell r="AG112">
            <v>0</v>
          </cell>
          <cell r="AJ112">
            <v>10</v>
          </cell>
          <cell r="AK112">
            <v>0</v>
          </cell>
        </row>
        <row r="113">
          <cell r="B113" t="str">
            <v>HT &amp; FO Cable</v>
          </cell>
          <cell r="D113" t="str">
            <v>Scope</v>
          </cell>
          <cell r="E113" t="str">
            <v>Actual</v>
          </cell>
          <cell r="H113" t="str">
            <v>Scope</v>
          </cell>
          <cell r="I113" t="str">
            <v>Actual</v>
          </cell>
          <cell r="L113" t="str">
            <v>Scope</v>
          </cell>
          <cell r="M113" t="str">
            <v>Actual</v>
          </cell>
          <cell r="P113" t="str">
            <v>Scope</v>
          </cell>
          <cell r="Q113" t="str">
            <v>Actual</v>
          </cell>
          <cell r="T113" t="str">
            <v>Scope</v>
          </cell>
          <cell r="U113" t="str">
            <v>Actual</v>
          </cell>
          <cell r="X113" t="str">
            <v>Scope</v>
          </cell>
          <cell r="Y113" t="str">
            <v>Actual</v>
          </cell>
          <cell r="AB113" t="str">
            <v>Scope</v>
          </cell>
          <cell r="AC113" t="str">
            <v>Actual</v>
          </cell>
          <cell r="AF113" t="str">
            <v>Scope</v>
          </cell>
          <cell r="AG113" t="str">
            <v>Actual</v>
          </cell>
          <cell r="AJ113" t="str">
            <v>Scope</v>
          </cell>
          <cell r="AK113" t="str">
            <v>Actual</v>
          </cell>
        </row>
        <row r="114">
          <cell r="B114" t="str">
            <v>HT Cable Trench Excavation (PSS to SGR )</v>
          </cell>
          <cell r="D114">
            <v>0</v>
          </cell>
          <cell r="E114">
            <v>0</v>
          </cell>
          <cell r="H114">
            <v>0</v>
          </cell>
          <cell r="I114">
            <v>0</v>
          </cell>
          <cell r="L114">
            <v>0</v>
          </cell>
          <cell r="M114">
            <v>0</v>
          </cell>
          <cell r="P114">
            <v>0</v>
          </cell>
          <cell r="Q114">
            <v>0</v>
          </cell>
          <cell r="T114">
            <v>0</v>
          </cell>
          <cell r="U114">
            <v>0</v>
          </cell>
          <cell r="X114">
            <v>0</v>
          </cell>
          <cell r="Y114">
            <v>0</v>
          </cell>
          <cell r="AB114">
            <v>0</v>
          </cell>
          <cell r="AC114">
            <v>0</v>
          </cell>
          <cell r="AF114">
            <v>0</v>
          </cell>
          <cell r="AG114">
            <v>0</v>
          </cell>
          <cell r="AJ114">
            <v>0</v>
          </cell>
          <cell r="AK114">
            <v>0</v>
          </cell>
        </row>
        <row r="115">
          <cell r="B115" t="str">
            <v>HT cable laying</v>
          </cell>
          <cell r="D115">
            <v>8217</v>
          </cell>
          <cell r="E115">
            <v>8217</v>
          </cell>
          <cell r="H115">
            <v>7561</v>
          </cell>
          <cell r="I115">
            <v>7561</v>
          </cell>
          <cell r="L115">
            <v>7003</v>
          </cell>
          <cell r="M115">
            <v>7003</v>
          </cell>
          <cell r="P115">
            <v>6312</v>
          </cell>
          <cell r="Q115">
            <v>6312</v>
          </cell>
          <cell r="T115">
            <v>5078</v>
          </cell>
          <cell r="U115">
            <v>603</v>
          </cell>
          <cell r="X115">
            <v>4276</v>
          </cell>
          <cell r="Y115">
            <v>0</v>
          </cell>
          <cell r="AB115">
            <v>3842</v>
          </cell>
          <cell r="AC115">
            <v>0</v>
          </cell>
          <cell r="AF115">
            <v>2946</v>
          </cell>
          <cell r="AG115">
            <v>0</v>
          </cell>
          <cell r="AJ115">
            <v>3906</v>
          </cell>
          <cell r="AK115">
            <v>0</v>
          </cell>
        </row>
        <row r="116">
          <cell r="B116" t="str">
            <v>HT Cable Trench Excavation (CT to SGR)</v>
          </cell>
          <cell r="D116">
            <v>234</v>
          </cell>
          <cell r="E116">
            <v>234</v>
          </cell>
          <cell r="H116">
            <v>234</v>
          </cell>
          <cell r="I116">
            <v>234</v>
          </cell>
          <cell r="L116">
            <v>225</v>
          </cell>
          <cell r="M116">
            <v>225</v>
          </cell>
          <cell r="P116">
            <v>280</v>
          </cell>
          <cell r="Q116">
            <v>280</v>
          </cell>
          <cell r="T116">
            <v>225</v>
          </cell>
          <cell r="U116">
            <v>0</v>
          </cell>
          <cell r="X116">
            <v>225</v>
          </cell>
          <cell r="Y116">
            <v>0</v>
          </cell>
          <cell r="AB116">
            <v>225</v>
          </cell>
          <cell r="AC116">
            <v>0</v>
          </cell>
          <cell r="AF116">
            <v>225</v>
          </cell>
          <cell r="AG116">
            <v>0</v>
          </cell>
          <cell r="AJ116">
            <v>225</v>
          </cell>
          <cell r="AK116">
            <v>0</v>
          </cell>
        </row>
        <row r="117">
          <cell r="B117" t="str">
            <v>HT cable laying</v>
          </cell>
          <cell r="D117">
            <v>575</v>
          </cell>
          <cell r="E117">
            <v>575</v>
          </cell>
          <cell r="H117">
            <v>537</v>
          </cell>
          <cell r="I117">
            <v>537</v>
          </cell>
          <cell r="L117">
            <v>574</v>
          </cell>
          <cell r="M117">
            <v>574</v>
          </cell>
          <cell r="P117">
            <v>524</v>
          </cell>
          <cell r="Q117">
            <v>524</v>
          </cell>
          <cell r="T117">
            <v>529.75</v>
          </cell>
          <cell r="U117">
            <v>0</v>
          </cell>
          <cell r="X117">
            <v>530.08999999999992</v>
          </cell>
          <cell r="Y117">
            <v>0</v>
          </cell>
          <cell r="AB117">
            <v>530.08999999999992</v>
          </cell>
          <cell r="AC117">
            <v>0</v>
          </cell>
          <cell r="AF117">
            <v>530.12</v>
          </cell>
          <cell r="AG117">
            <v>0</v>
          </cell>
          <cell r="AJ117">
            <v>539.48</v>
          </cell>
          <cell r="AK117">
            <v>0</v>
          </cell>
        </row>
        <row r="118">
          <cell r="B118" t="str">
            <v>HT cable laying</v>
          </cell>
          <cell r="D118">
            <v>73</v>
          </cell>
          <cell r="E118">
            <v>73</v>
          </cell>
          <cell r="H118">
            <v>73</v>
          </cell>
          <cell r="I118">
            <v>73</v>
          </cell>
          <cell r="L118">
            <v>73</v>
          </cell>
          <cell r="M118">
            <v>73</v>
          </cell>
          <cell r="P118">
            <v>73</v>
          </cell>
          <cell r="Q118">
            <v>73</v>
          </cell>
          <cell r="T118">
            <v>73</v>
          </cell>
          <cell r="U118">
            <v>0</v>
          </cell>
          <cell r="X118">
            <v>73</v>
          </cell>
          <cell r="Y118">
            <v>0</v>
          </cell>
          <cell r="AB118">
            <v>73</v>
          </cell>
          <cell r="AC118">
            <v>0</v>
          </cell>
          <cell r="AF118">
            <v>73</v>
          </cell>
          <cell r="AG118">
            <v>0</v>
          </cell>
          <cell r="AJ118">
            <v>73</v>
          </cell>
          <cell r="AK118">
            <v>0</v>
          </cell>
        </row>
        <row r="119">
          <cell r="B119" t="str">
            <v>HT cable termination</v>
          </cell>
          <cell r="D119">
            <v>6</v>
          </cell>
          <cell r="E119">
            <v>6</v>
          </cell>
          <cell r="H119">
            <v>6</v>
          </cell>
          <cell r="I119">
            <v>6</v>
          </cell>
          <cell r="L119">
            <v>6</v>
          </cell>
          <cell r="M119">
            <v>6</v>
          </cell>
          <cell r="P119">
            <v>6</v>
          </cell>
          <cell r="Q119">
            <v>6</v>
          </cell>
          <cell r="T119">
            <v>6</v>
          </cell>
          <cell r="U119">
            <v>0</v>
          </cell>
          <cell r="X119">
            <v>6</v>
          </cell>
          <cell r="Y119">
            <v>0</v>
          </cell>
          <cell r="AB119">
            <v>6</v>
          </cell>
          <cell r="AC119">
            <v>0</v>
          </cell>
          <cell r="AF119">
            <v>6</v>
          </cell>
          <cell r="AG119">
            <v>0</v>
          </cell>
          <cell r="AJ119">
            <v>6</v>
          </cell>
          <cell r="AK119">
            <v>0</v>
          </cell>
        </row>
        <row r="120">
          <cell r="B120" t="str">
            <v>HT cable termination</v>
          </cell>
          <cell r="D120">
            <v>8</v>
          </cell>
          <cell r="E120">
            <v>8</v>
          </cell>
          <cell r="H120">
            <v>8</v>
          </cell>
          <cell r="I120">
            <v>8</v>
          </cell>
          <cell r="L120">
            <v>8</v>
          </cell>
          <cell r="M120">
            <v>8</v>
          </cell>
          <cell r="P120">
            <v>8</v>
          </cell>
          <cell r="Q120">
            <v>8</v>
          </cell>
          <cell r="T120">
            <v>8</v>
          </cell>
          <cell r="U120">
            <v>0</v>
          </cell>
          <cell r="X120">
            <v>8</v>
          </cell>
          <cell r="Y120">
            <v>0</v>
          </cell>
          <cell r="AB120">
            <v>8</v>
          </cell>
          <cell r="AC120">
            <v>0</v>
          </cell>
          <cell r="AF120">
            <v>8</v>
          </cell>
          <cell r="AG120">
            <v>0</v>
          </cell>
          <cell r="AJ120">
            <v>8</v>
          </cell>
          <cell r="AK120">
            <v>0</v>
          </cell>
        </row>
        <row r="121">
          <cell r="B121" t="str">
            <v>HT cable termination</v>
          </cell>
          <cell r="D121">
            <v>2</v>
          </cell>
          <cell r="E121">
            <v>2</v>
          </cell>
          <cell r="H121">
            <v>2</v>
          </cell>
          <cell r="I121">
            <v>2</v>
          </cell>
          <cell r="L121">
            <v>2</v>
          </cell>
          <cell r="M121">
            <v>2</v>
          </cell>
          <cell r="P121">
            <v>2</v>
          </cell>
          <cell r="Q121">
            <v>2</v>
          </cell>
          <cell r="T121">
            <v>2</v>
          </cell>
          <cell r="U121">
            <v>0</v>
          </cell>
          <cell r="X121">
            <v>2</v>
          </cell>
          <cell r="Y121">
            <v>0</v>
          </cell>
          <cell r="AB121">
            <v>2</v>
          </cell>
          <cell r="AC121">
            <v>0</v>
          </cell>
          <cell r="AF121">
            <v>2</v>
          </cell>
          <cell r="AG121">
            <v>0</v>
          </cell>
          <cell r="AJ121">
            <v>2</v>
          </cell>
          <cell r="AK121">
            <v>0</v>
          </cell>
        </row>
        <row r="122">
          <cell r="B122" t="str">
            <v>HT cable termination</v>
          </cell>
          <cell r="D122">
            <v>6</v>
          </cell>
          <cell r="E122">
            <v>6</v>
          </cell>
          <cell r="H122">
            <v>6</v>
          </cell>
          <cell r="I122">
            <v>6</v>
          </cell>
          <cell r="L122">
            <v>6</v>
          </cell>
          <cell r="M122">
            <v>6</v>
          </cell>
          <cell r="P122">
            <v>6</v>
          </cell>
          <cell r="Q122">
            <v>6</v>
          </cell>
          <cell r="T122">
            <v>6</v>
          </cell>
          <cell r="U122">
            <v>0</v>
          </cell>
          <cell r="X122">
            <v>6</v>
          </cell>
          <cell r="Y122">
            <v>0</v>
          </cell>
          <cell r="AB122">
            <v>6</v>
          </cell>
          <cell r="AC122">
            <v>0</v>
          </cell>
          <cell r="AF122">
            <v>6</v>
          </cell>
          <cell r="AG122">
            <v>0</v>
          </cell>
          <cell r="AJ122">
            <v>6</v>
          </cell>
          <cell r="AK122">
            <v>0</v>
          </cell>
        </row>
        <row r="123">
          <cell r="B123" t="str">
            <v>HT cable termination</v>
          </cell>
          <cell r="D123">
            <v>6</v>
          </cell>
          <cell r="E123">
            <v>6</v>
          </cell>
          <cell r="H123">
            <v>6</v>
          </cell>
          <cell r="I123">
            <v>6</v>
          </cell>
          <cell r="L123">
            <v>6</v>
          </cell>
          <cell r="M123">
            <v>6</v>
          </cell>
          <cell r="P123">
            <v>6</v>
          </cell>
          <cell r="Q123">
            <v>6</v>
          </cell>
          <cell r="T123">
            <v>6</v>
          </cell>
          <cell r="U123">
            <v>0</v>
          </cell>
          <cell r="X123">
            <v>6</v>
          </cell>
          <cell r="Y123">
            <v>0</v>
          </cell>
          <cell r="AB123">
            <v>6</v>
          </cell>
          <cell r="AC123">
            <v>0</v>
          </cell>
          <cell r="AF123">
            <v>6</v>
          </cell>
          <cell r="AG123">
            <v>0</v>
          </cell>
          <cell r="AJ123">
            <v>6</v>
          </cell>
          <cell r="AK123">
            <v>0</v>
          </cell>
        </row>
        <row r="124">
          <cell r="B124" t="str">
            <v>HT Cable Torquing</v>
          </cell>
          <cell r="D124">
            <v>6</v>
          </cell>
          <cell r="E124">
            <v>0</v>
          </cell>
          <cell r="H124">
            <v>6</v>
          </cell>
          <cell r="I124">
            <v>0</v>
          </cell>
          <cell r="L124">
            <v>6</v>
          </cell>
          <cell r="M124">
            <v>0</v>
          </cell>
          <cell r="P124">
            <v>6</v>
          </cell>
          <cell r="Q124">
            <v>6</v>
          </cell>
          <cell r="T124">
            <v>6</v>
          </cell>
          <cell r="U124">
            <v>0</v>
          </cell>
          <cell r="X124">
            <v>6</v>
          </cell>
          <cell r="Y124">
            <v>0</v>
          </cell>
          <cell r="AB124">
            <v>6</v>
          </cell>
          <cell r="AC124">
            <v>0</v>
          </cell>
          <cell r="AF124">
            <v>6</v>
          </cell>
          <cell r="AG124">
            <v>0</v>
          </cell>
          <cell r="AJ124">
            <v>6</v>
          </cell>
          <cell r="AK124">
            <v>0</v>
          </cell>
        </row>
        <row r="125">
          <cell r="B125" t="str">
            <v>HT Cable Torquing</v>
          </cell>
          <cell r="D125">
            <v>8</v>
          </cell>
          <cell r="E125">
            <v>0</v>
          </cell>
          <cell r="H125">
            <v>8</v>
          </cell>
          <cell r="I125">
            <v>0</v>
          </cell>
          <cell r="L125">
            <v>8</v>
          </cell>
          <cell r="M125">
            <v>0</v>
          </cell>
          <cell r="P125">
            <v>8</v>
          </cell>
          <cell r="Q125">
            <v>8</v>
          </cell>
          <cell r="T125">
            <v>8</v>
          </cell>
          <cell r="U125">
            <v>0</v>
          </cell>
          <cell r="X125">
            <v>8</v>
          </cell>
          <cell r="Y125">
            <v>0</v>
          </cell>
          <cell r="AB125">
            <v>8</v>
          </cell>
          <cell r="AC125">
            <v>0</v>
          </cell>
          <cell r="AF125">
            <v>8</v>
          </cell>
          <cell r="AG125">
            <v>0</v>
          </cell>
          <cell r="AJ125">
            <v>8</v>
          </cell>
          <cell r="AK125">
            <v>0</v>
          </cell>
        </row>
        <row r="126">
          <cell r="B126" t="str">
            <v>HT Cable Torquing</v>
          </cell>
          <cell r="D126">
            <v>2</v>
          </cell>
          <cell r="E126">
            <v>0</v>
          </cell>
          <cell r="H126">
            <v>2</v>
          </cell>
          <cell r="I126">
            <v>0</v>
          </cell>
          <cell r="L126">
            <v>2</v>
          </cell>
          <cell r="M126">
            <v>0</v>
          </cell>
          <cell r="P126">
            <v>2</v>
          </cell>
          <cell r="Q126">
            <v>2</v>
          </cell>
          <cell r="T126">
            <v>2</v>
          </cell>
          <cell r="U126">
            <v>0</v>
          </cell>
          <cell r="X126">
            <v>2</v>
          </cell>
          <cell r="Y126">
            <v>0</v>
          </cell>
          <cell r="AB126">
            <v>2</v>
          </cell>
          <cell r="AC126">
            <v>0</v>
          </cell>
          <cell r="AF126">
            <v>2</v>
          </cell>
          <cell r="AG126">
            <v>0</v>
          </cell>
          <cell r="AJ126">
            <v>2</v>
          </cell>
          <cell r="AK126">
            <v>0</v>
          </cell>
        </row>
        <row r="127">
          <cell r="B127" t="str">
            <v>HT Cable Torquing</v>
          </cell>
          <cell r="D127">
            <v>6</v>
          </cell>
          <cell r="E127">
            <v>0</v>
          </cell>
          <cell r="H127">
            <v>6</v>
          </cell>
          <cell r="I127">
            <v>0</v>
          </cell>
          <cell r="L127">
            <v>6</v>
          </cell>
          <cell r="M127">
            <v>0</v>
          </cell>
          <cell r="P127">
            <v>6</v>
          </cell>
          <cell r="Q127">
            <v>6</v>
          </cell>
          <cell r="T127">
            <v>6</v>
          </cell>
          <cell r="U127">
            <v>0</v>
          </cell>
          <cell r="X127">
            <v>6</v>
          </cell>
          <cell r="Y127">
            <v>0</v>
          </cell>
          <cell r="AB127">
            <v>6</v>
          </cell>
          <cell r="AC127">
            <v>0</v>
          </cell>
          <cell r="AF127">
            <v>6</v>
          </cell>
          <cell r="AG127">
            <v>0</v>
          </cell>
          <cell r="AJ127">
            <v>6</v>
          </cell>
          <cell r="AK127">
            <v>0</v>
          </cell>
        </row>
        <row r="128">
          <cell r="B128" t="str">
            <v>HT Cable Torquing</v>
          </cell>
          <cell r="D128">
            <v>6</v>
          </cell>
          <cell r="E128">
            <v>0</v>
          </cell>
          <cell r="H128">
            <v>6</v>
          </cell>
          <cell r="I128">
            <v>0</v>
          </cell>
          <cell r="L128">
            <v>6</v>
          </cell>
          <cell r="M128">
            <v>0</v>
          </cell>
          <cell r="P128">
            <v>6</v>
          </cell>
          <cell r="Q128">
            <v>6</v>
          </cell>
          <cell r="T128">
            <v>6</v>
          </cell>
          <cell r="U128">
            <v>0</v>
          </cell>
          <cell r="X128">
            <v>6</v>
          </cell>
          <cell r="Y128">
            <v>0</v>
          </cell>
          <cell r="AB128">
            <v>6</v>
          </cell>
          <cell r="AC128">
            <v>0</v>
          </cell>
          <cell r="AF128">
            <v>6</v>
          </cell>
          <cell r="AG128">
            <v>0</v>
          </cell>
          <cell r="AJ128">
            <v>6</v>
          </cell>
          <cell r="AK128">
            <v>0</v>
          </cell>
        </row>
        <row r="129">
          <cell r="B129" t="str">
            <v>FO Cable Laying</v>
          </cell>
          <cell r="D129">
            <v>1021</v>
          </cell>
          <cell r="E129">
            <v>0</v>
          </cell>
          <cell r="H129">
            <v>1021</v>
          </cell>
          <cell r="I129">
            <v>0</v>
          </cell>
          <cell r="L129">
            <v>877</v>
          </cell>
          <cell r="M129">
            <v>877</v>
          </cell>
          <cell r="P129">
            <v>812</v>
          </cell>
          <cell r="Q129">
            <v>812</v>
          </cell>
          <cell r="T129">
            <v>1021</v>
          </cell>
          <cell r="U129">
            <v>0</v>
          </cell>
          <cell r="X129">
            <v>1021</v>
          </cell>
          <cell r="Y129">
            <v>0</v>
          </cell>
          <cell r="AB129">
            <v>1021</v>
          </cell>
          <cell r="AC129">
            <v>0</v>
          </cell>
          <cell r="AF129">
            <v>1021</v>
          </cell>
          <cell r="AG129">
            <v>0</v>
          </cell>
          <cell r="AJ129">
            <v>1021</v>
          </cell>
          <cell r="AK129">
            <v>0</v>
          </cell>
        </row>
        <row r="130">
          <cell r="B130" t="str">
            <v>DC &amp; LT Cable</v>
          </cell>
          <cell r="D130" t="str">
            <v>Scope</v>
          </cell>
          <cell r="E130" t="str">
            <v>Actual</v>
          </cell>
          <cell r="H130" t="str">
            <v>Scope</v>
          </cell>
          <cell r="I130" t="str">
            <v>Actual</v>
          </cell>
          <cell r="L130" t="str">
            <v>Scope</v>
          </cell>
          <cell r="M130" t="str">
            <v>Actual</v>
          </cell>
          <cell r="P130" t="str">
            <v>Scope</v>
          </cell>
          <cell r="Q130" t="str">
            <v>Actual</v>
          </cell>
          <cell r="T130" t="str">
            <v>Scope</v>
          </cell>
          <cell r="U130" t="str">
            <v>Actual</v>
          </cell>
          <cell r="X130" t="str">
            <v>Scope</v>
          </cell>
          <cell r="Y130" t="str">
            <v>Actual</v>
          </cell>
          <cell r="AB130" t="str">
            <v>Scope</v>
          </cell>
          <cell r="AC130" t="str">
            <v>Actual</v>
          </cell>
          <cell r="AF130" t="str">
            <v>Scope</v>
          </cell>
          <cell r="AG130" t="str">
            <v>Actual</v>
          </cell>
          <cell r="AJ130" t="str">
            <v>Scope</v>
          </cell>
          <cell r="AK130" t="str">
            <v>Actual</v>
          </cell>
        </row>
        <row r="131">
          <cell r="B131" t="str">
            <v>DC Cable Trench Excavation</v>
          </cell>
          <cell r="D131">
            <v>810</v>
          </cell>
          <cell r="E131">
            <v>810</v>
          </cell>
          <cell r="H131">
            <v>809</v>
          </cell>
          <cell r="I131">
            <v>809</v>
          </cell>
          <cell r="L131">
            <v>813</v>
          </cell>
          <cell r="M131">
            <v>813</v>
          </cell>
          <cell r="P131">
            <v>807</v>
          </cell>
          <cell r="Q131">
            <v>807</v>
          </cell>
          <cell r="T131">
            <v>810</v>
          </cell>
          <cell r="U131">
            <v>0</v>
          </cell>
          <cell r="X131">
            <v>810</v>
          </cell>
          <cell r="Y131">
            <v>0</v>
          </cell>
          <cell r="AB131">
            <v>810</v>
          </cell>
          <cell r="AC131">
            <v>0</v>
          </cell>
          <cell r="AF131">
            <v>810</v>
          </cell>
          <cell r="AG131">
            <v>0</v>
          </cell>
          <cell r="AJ131">
            <v>810</v>
          </cell>
          <cell r="AK131">
            <v>0</v>
          </cell>
        </row>
        <row r="132">
          <cell r="B132" t="str">
            <v>DC Cable laying</v>
          </cell>
          <cell r="D132">
            <v>13120</v>
          </cell>
          <cell r="E132">
            <v>13120</v>
          </cell>
          <cell r="H132">
            <v>13292</v>
          </cell>
          <cell r="I132">
            <v>13292</v>
          </cell>
          <cell r="L132">
            <v>13780</v>
          </cell>
          <cell r="M132">
            <v>13780</v>
          </cell>
          <cell r="P132">
            <v>13556</v>
          </cell>
          <cell r="Q132">
            <v>13556</v>
          </cell>
          <cell r="T132">
            <v>14290</v>
          </cell>
          <cell r="U132">
            <v>0</v>
          </cell>
          <cell r="X132">
            <v>14288</v>
          </cell>
          <cell r="Y132">
            <v>0</v>
          </cell>
          <cell r="AB132">
            <v>14288</v>
          </cell>
          <cell r="AC132">
            <v>0</v>
          </cell>
          <cell r="AF132">
            <v>14288</v>
          </cell>
          <cell r="AG132">
            <v>0</v>
          </cell>
          <cell r="AJ132">
            <v>14288</v>
          </cell>
          <cell r="AK132">
            <v>0</v>
          </cell>
        </row>
        <row r="133">
          <cell r="B133" t="str">
            <v>DC Cable termination</v>
          </cell>
          <cell r="D133">
            <v>768</v>
          </cell>
          <cell r="E133">
            <v>0</v>
          </cell>
          <cell r="H133">
            <v>768</v>
          </cell>
          <cell r="I133">
            <v>0</v>
          </cell>
          <cell r="L133">
            <v>768</v>
          </cell>
          <cell r="M133">
            <v>768</v>
          </cell>
          <cell r="P133">
            <v>768</v>
          </cell>
          <cell r="Q133">
            <v>768</v>
          </cell>
          <cell r="T133">
            <v>768</v>
          </cell>
          <cell r="U133">
            <v>0</v>
          </cell>
          <cell r="X133">
            <v>768</v>
          </cell>
          <cell r="Y133">
            <v>0</v>
          </cell>
          <cell r="AB133">
            <v>768</v>
          </cell>
          <cell r="AC133">
            <v>0</v>
          </cell>
          <cell r="AF133">
            <v>768</v>
          </cell>
          <cell r="AG133">
            <v>0</v>
          </cell>
          <cell r="AJ133">
            <v>768</v>
          </cell>
          <cell r="AK133">
            <v>0</v>
          </cell>
        </row>
        <row r="134">
          <cell r="B134" t="str">
            <v>DC Cable termination</v>
          </cell>
          <cell r="D134">
            <v>768</v>
          </cell>
          <cell r="E134">
            <v>0</v>
          </cell>
          <cell r="H134">
            <v>768</v>
          </cell>
          <cell r="I134">
            <v>0</v>
          </cell>
          <cell r="L134">
            <v>768</v>
          </cell>
          <cell r="M134">
            <v>768</v>
          </cell>
          <cell r="P134">
            <v>768</v>
          </cell>
          <cell r="Q134">
            <v>768</v>
          </cell>
          <cell r="T134">
            <v>768</v>
          </cell>
          <cell r="U134">
            <v>0</v>
          </cell>
          <cell r="X134">
            <v>768</v>
          </cell>
          <cell r="Y134">
            <v>0</v>
          </cell>
          <cell r="AB134">
            <v>768</v>
          </cell>
          <cell r="AC134">
            <v>0</v>
          </cell>
          <cell r="AF134">
            <v>768</v>
          </cell>
          <cell r="AG134">
            <v>0</v>
          </cell>
          <cell r="AJ134">
            <v>768</v>
          </cell>
          <cell r="AK134">
            <v>0</v>
          </cell>
        </row>
        <row r="135">
          <cell r="B135" t="str">
            <v>DC Cable termination with Torquing</v>
          </cell>
          <cell r="D135">
            <v>768</v>
          </cell>
          <cell r="E135">
            <v>0</v>
          </cell>
          <cell r="H135">
            <v>768</v>
          </cell>
          <cell r="I135">
            <v>0</v>
          </cell>
          <cell r="L135">
            <v>768</v>
          </cell>
          <cell r="M135">
            <v>0</v>
          </cell>
          <cell r="P135">
            <v>768</v>
          </cell>
          <cell r="Q135">
            <v>768</v>
          </cell>
          <cell r="T135">
            <v>768</v>
          </cell>
          <cell r="U135">
            <v>0</v>
          </cell>
          <cell r="X135">
            <v>768</v>
          </cell>
          <cell r="Y135">
            <v>0</v>
          </cell>
          <cell r="AB135">
            <v>768</v>
          </cell>
          <cell r="AC135">
            <v>0</v>
          </cell>
          <cell r="AF135">
            <v>768</v>
          </cell>
          <cell r="AG135">
            <v>0</v>
          </cell>
          <cell r="AJ135">
            <v>768</v>
          </cell>
          <cell r="AK135">
            <v>0</v>
          </cell>
        </row>
        <row r="136">
          <cell r="B136" t="str">
            <v>DC Cable termination with Torquing</v>
          </cell>
          <cell r="D136">
            <v>768</v>
          </cell>
          <cell r="E136">
            <v>0</v>
          </cell>
          <cell r="H136">
            <v>768</v>
          </cell>
          <cell r="I136">
            <v>0</v>
          </cell>
          <cell r="L136">
            <v>768</v>
          </cell>
          <cell r="M136">
            <v>0</v>
          </cell>
          <cell r="P136">
            <v>768</v>
          </cell>
          <cell r="Q136">
            <v>768</v>
          </cell>
          <cell r="T136">
            <v>768</v>
          </cell>
          <cell r="U136">
            <v>0</v>
          </cell>
          <cell r="X136">
            <v>768</v>
          </cell>
          <cell r="Y136">
            <v>0</v>
          </cell>
          <cell r="AB136">
            <v>768</v>
          </cell>
          <cell r="AC136">
            <v>0</v>
          </cell>
          <cell r="AF136">
            <v>768</v>
          </cell>
          <cell r="AG136">
            <v>0</v>
          </cell>
          <cell r="AJ136">
            <v>768</v>
          </cell>
          <cell r="AK136">
            <v>0</v>
          </cell>
        </row>
        <row r="137">
          <cell r="B137" t="str">
            <v>LT Cable Trench Excavation - 1Cx400 sqmm</v>
          </cell>
          <cell r="D137">
            <v>704</v>
          </cell>
          <cell r="E137">
            <v>642</v>
          </cell>
          <cell r="H137">
            <v>764</v>
          </cell>
          <cell r="I137">
            <v>764</v>
          </cell>
          <cell r="L137">
            <v>676</v>
          </cell>
          <cell r="M137">
            <v>676</v>
          </cell>
          <cell r="P137">
            <v>694</v>
          </cell>
          <cell r="Q137">
            <v>694</v>
          </cell>
          <cell r="T137">
            <v>653</v>
          </cell>
          <cell r="U137">
            <v>0</v>
          </cell>
          <cell r="X137">
            <v>653</v>
          </cell>
          <cell r="Y137">
            <v>0</v>
          </cell>
          <cell r="AB137">
            <v>653</v>
          </cell>
          <cell r="AC137">
            <v>0</v>
          </cell>
          <cell r="AF137">
            <v>653</v>
          </cell>
          <cell r="AG137">
            <v>0</v>
          </cell>
          <cell r="AJ137">
            <v>653</v>
          </cell>
          <cell r="AK137">
            <v>0</v>
          </cell>
        </row>
        <row r="138">
          <cell r="B138" t="str">
            <v>LT Cable laying</v>
          </cell>
          <cell r="D138">
            <v>44784</v>
          </cell>
          <cell r="E138">
            <v>44784</v>
          </cell>
          <cell r="H138">
            <v>46080</v>
          </cell>
          <cell r="I138">
            <v>46080</v>
          </cell>
          <cell r="L138">
            <v>45596</v>
          </cell>
          <cell r="M138">
            <v>45596</v>
          </cell>
          <cell r="P138">
            <v>44160</v>
          </cell>
          <cell r="Q138">
            <v>44160</v>
          </cell>
          <cell r="T138">
            <v>47399</v>
          </cell>
          <cell r="U138">
            <v>0</v>
          </cell>
          <cell r="X138">
            <v>47399</v>
          </cell>
          <cell r="Y138">
            <v>0</v>
          </cell>
          <cell r="AB138">
            <v>47399</v>
          </cell>
          <cell r="AC138">
            <v>0</v>
          </cell>
          <cell r="AF138">
            <v>47399</v>
          </cell>
          <cell r="AG138">
            <v>0</v>
          </cell>
          <cell r="AJ138">
            <v>47492</v>
          </cell>
          <cell r="AK138">
            <v>0</v>
          </cell>
        </row>
        <row r="139">
          <cell r="B139" t="str">
            <v>LT Cable termination</v>
          </cell>
          <cell r="D139">
            <v>1152</v>
          </cell>
          <cell r="E139">
            <v>0</v>
          </cell>
          <cell r="H139">
            <v>1152</v>
          </cell>
          <cell r="I139">
            <v>0</v>
          </cell>
          <cell r="L139">
            <v>1152</v>
          </cell>
          <cell r="M139">
            <v>1152</v>
          </cell>
          <cell r="P139">
            <v>1152</v>
          </cell>
          <cell r="Q139">
            <v>1152</v>
          </cell>
          <cell r="T139">
            <v>1152</v>
          </cell>
          <cell r="U139">
            <v>0</v>
          </cell>
          <cell r="X139">
            <v>1152</v>
          </cell>
          <cell r="Y139">
            <v>0</v>
          </cell>
          <cell r="AB139">
            <v>1152</v>
          </cell>
          <cell r="AC139">
            <v>0</v>
          </cell>
          <cell r="AF139">
            <v>1152</v>
          </cell>
          <cell r="AG139">
            <v>0</v>
          </cell>
          <cell r="AJ139">
            <v>1152</v>
          </cell>
          <cell r="AK139">
            <v>0</v>
          </cell>
        </row>
        <row r="140">
          <cell r="B140" t="str">
            <v>LT Cable termination</v>
          </cell>
          <cell r="D140">
            <v>1152</v>
          </cell>
          <cell r="E140">
            <v>0</v>
          </cell>
          <cell r="H140">
            <v>1152</v>
          </cell>
          <cell r="I140">
            <v>0</v>
          </cell>
          <cell r="L140">
            <v>1152</v>
          </cell>
          <cell r="M140">
            <v>1152</v>
          </cell>
          <cell r="P140">
            <v>1152</v>
          </cell>
          <cell r="Q140">
            <v>1152</v>
          </cell>
          <cell r="T140">
            <v>1152</v>
          </cell>
          <cell r="U140">
            <v>0</v>
          </cell>
          <cell r="X140">
            <v>1152</v>
          </cell>
          <cell r="Y140">
            <v>0</v>
          </cell>
          <cell r="AB140">
            <v>1152</v>
          </cell>
          <cell r="AC140">
            <v>0</v>
          </cell>
          <cell r="AF140">
            <v>1152</v>
          </cell>
          <cell r="AG140">
            <v>0</v>
          </cell>
          <cell r="AJ140">
            <v>1152</v>
          </cell>
          <cell r="AK140">
            <v>0</v>
          </cell>
        </row>
        <row r="141">
          <cell r="B141" t="str">
            <v>LT Cable termination with Torquing</v>
          </cell>
          <cell r="D141">
            <v>1152</v>
          </cell>
          <cell r="E141">
            <v>0</v>
          </cell>
          <cell r="H141">
            <v>1152</v>
          </cell>
          <cell r="I141">
            <v>0</v>
          </cell>
          <cell r="L141">
            <v>1152</v>
          </cell>
          <cell r="M141">
            <v>0</v>
          </cell>
          <cell r="P141">
            <v>1152</v>
          </cell>
          <cell r="Q141">
            <v>1152</v>
          </cell>
          <cell r="T141">
            <v>1152</v>
          </cell>
          <cell r="U141">
            <v>0</v>
          </cell>
          <cell r="X141">
            <v>1152</v>
          </cell>
          <cell r="Y141">
            <v>0</v>
          </cell>
          <cell r="AB141">
            <v>1152</v>
          </cell>
          <cell r="AC141">
            <v>0</v>
          </cell>
          <cell r="AF141">
            <v>1152</v>
          </cell>
          <cell r="AG141">
            <v>0</v>
          </cell>
          <cell r="AJ141">
            <v>1152</v>
          </cell>
          <cell r="AK141">
            <v>0</v>
          </cell>
        </row>
        <row r="142">
          <cell r="B142" t="str">
            <v>LT Cable termination with Torquing</v>
          </cell>
          <cell r="D142">
            <v>1152</v>
          </cell>
          <cell r="E142">
            <v>0</v>
          </cell>
          <cell r="H142">
            <v>1152</v>
          </cell>
          <cell r="I142">
            <v>0</v>
          </cell>
          <cell r="L142">
            <v>1152</v>
          </cell>
          <cell r="M142">
            <v>0</v>
          </cell>
          <cell r="P142">
            <v>1152</v>
          </cell>
          <cell r="Q142">
            <v>1152</v>
          </cell>
          <cell r="T142">
            <v>1152</v>
          </cell>
          <cell r="U142">
            <v>0</v>
          </cell>
          <cell r="X142">
            <v>1152</v>
          </cell>
          <cell r="Y142">
            <v>0</v>
          </cell>
          <cell r="AB142">
            <v>1152</v>
          </cell>
          <cell r="AC142">
            <v>0</v>
          </cell>
          <cell r="AF142">
            <v>1152</v>
          </cell>
          <cell r="AG142">
            <v>0</v>
          </cell>
          <cell r="AJ142">
            <v>1152</v>
          </cell>
          <cell r="AK142">
            <v>0</v>
          </cell>
        </row>
        <row r="143">
          <cell r="B143" t="str">
            <v>Aux Cable</v>
          </cell>
          <cell r="D143" t="str">
            <v>Scope</v>
          </cell>
          <cell r="E143" t="str">
            <v>Actual</v>
          </cell>
          <cell r="H143" t="str">
            <v>Scope</v>
          </cell>
          <cell r="I143" t="str">
            <v>Actual</v>
          </cell>
          <cell r="L143" t="str">
            <v>Scope</v>
          </cell>
          <cell r="M143" t="str">
            <v>Actual</v>
          </cell>
          <cell r="P143" t="str">
            <v>Scope</v>
          </cell>
          <cell r="Q143" t="str">
            <v>Actual</v>
          </cell>
          <cell r="T143" t="str">
            <v>Scope</v>
          </cell>
          <cell r="U143" t="str">
            <v>Actual</v>
          </cell>
          <cell r="X143" t="str">
            <v>Scope</v>
          </cell>
          <cell r="Y143" t="str">
            <v>Actual</v>
          </cell>
          <cell r="AB143" t="str">
            <v>Scope</v>
          </cell>
          <cell r="AC143" t="str">
            <v>Actual</v>
          </cell>
          <cell r="AF143" t="str">
            <v>Scope</v>
          </cell>
          <cell r="AG143" t="str">
            <v>Actual</v>
          </cell>
          <cell r="AJ143" t="str">
            <v>Scope</v>
          </cell>
          <cell r="AK143" t="str">
            <v>Actual</v>
          </cell>
        </row>
        <row r="144">
          <cell r="B144" t="str">
            <v>Aux Cable laying</v>
          </cell>
          <cell r="D144">
            <v>4573</v>
          </cell>
          <cell r="E144">
            <v>4573</v>
          </cell>
          <cell r="H144">
            <v>4672</v>
          </cell>
          <cell r="I144">
            <v>4672</v>
          </cell>
          <cell r="L144">
            <v>4632</v>
          </cell>
          <cell r="M144">
            <v>4632</v>
          </cell>
          <cell r="P144">
            <v>4425</v>
          </cell>
          <cell r="Q144">
            <v>4425</v>
          </cell>
          <cell r="T144">
            <v>4479</v>
          </cell>
          <cell r="U144">
            <v>0</v>
          </cell>
          <cell r="X144">
            <v>4479</v>
          </cell>
          <cell r="Y144">
            <v>0</v>
          </cell>
          <cell r="AB144">
            <v>4479</v>
          </cell>
          <cell r="AC144">
            <v>0</v>
          </cell>
          <cell r="AF144">
            <v>4479</v>
          </cell>
          <cell r="AG144">
            <v>0</v>
          </cell>
          <cell r="AJ144">
            <v>4479</v>
          </cell>
          <cell r="AK144">
            <v>0</v>
          </cell>
        </row>
        <row r="145">
          <cell r="B145" t="str">
            <v>Aux Cable laying</v>
          </cell>
          <cell r="D145">
            <v>1328</v>
          </cell>
          <cell r="E145">
            <v>0</v>
          </cell>
          <cell r="H145">
            <v>1331</v>
          </cell>
          <cell r="I145">
            <v>0</v>
          </cell>
          <cell r="L145">
            <v>1340</v>
          </cell>
          <cell r="M145">
            <v>0</v>
          </cell>
          <cell r="P145">
            <v>1341</v>
          </cell>
          <cell r="Q145">
            <v>1341</v>
          </cell>
          <cell r="T145">
            <v>1359</v>
          </cell>
          <cell r="U145">
            <v>0</v>
          </cell>
          <cell r="X145">
            <v>1359</v>
          </cell>
          <cell r="Y145">
            <v>0</v>
          </cell>
          <cell r="AB145">
            <v>1359</v>
          </cell>
          <cell r="AC145">
            <v>0</v>
          </cell>
          <cell r="AF145">
            <v>1359</v>
          </cell>
          <cell r="AG145">
            <v>0</v>
          </cell>
          <cell r="AJ145">
            <v>1359</v>
          </cell>
          <cell r="AK145">
            <v>0</v>
          </cell>
        </row>
        <row r="146">
          <cell r="B146" t="str">
            <v>Aux Cable laying</v>
          </cell>
          <cell r="D146">
            <v>372</v>
          </cell>
          <cell r="E146">
            <v>0</v>
          </cell>
          <cell r="H146">
            <v>373</v>
          </cell>
          <cell r="I146">
            <v>0</v>
          </cell>
          <cell r="L146">
            <v>343</v>
          </cell>
          <cell r="M146">
            <v>290</v>
          </cell>
          <cell r="P146">
            <v>300</v>
          </cell>
          <cell r="Q146">
            <v>300</v>
          </cell>
          <cell r="T146">
            <v>382</v>
          </cell>
          <cell r="U146">
            <v>0</v>
          </cell>
          <cell r="X146">
            <v>382</v>
          </cell>
          <cell r="Y146">
            <v>0</v>
          </cell>
          <cell r="AB146">
            <v>382</v>
          </cell>
          <cell r="AC146">
            <v>0</v>
          </cell>
          <cell r="AF146">
            <v>382</v>
          </cell>
          <cell r="AG146">
            <v>0</v>
          </cell>
          <cell r="AJ146">
            <v>382</v>
          </cell>
          <cell r="AK146">
            <v>0</v>
          </cell>
        </row>
        <row r="147">
          <cell r="B147" t="str">
            <v>Aux Cable laying</v>
          </cell>
          <cell r="D147">
            <v>86</v>
          </cell>
          <cell r="E147">
            <v>0</v>
          </cell>
          <cell r="H147">
            <v>86</v>
          </cell>
          <cell r="I147">
            <v>0</v>
          </cell>
          <cell r="L147">
            <v>86</v>
          </cell>
          <cell r="M147">
            <v>0</v>
          </cell>
          <cell r="P147">
            <v>116</v>
          </cell>
          <cell r="Q147">
            <v>116</v>
          </cell>
          <cell r="T147">
            <v>86</v>
          </cell>
          <cell r="U147">
            <v>0</v>
          </cell>
          <cell r="X147">
            <v>86</v>
          </cell>
          <cell r="Y147">
            <v>0</v>
          </cell>
          <cell r="AB147">
            <v>86</v>
          </cell>
          <cell r="AC147">
            <v>0</v>
          </cell>
          <cell r="AF147">
            <v>86</v>
          </cell>
          <cell r="AG147">
            <v>0</v>
          </cell>
          <cell r="AJ147">
            <v>86</v>
          </cell>
          <cell r="AK147">
            <v>0</v>
          </cell>
        </row>
        <row r="148">
          <cell r="B148" t="str">
            <v>Aux Cable laying</v>
          </cell>
          <cell r="D148">
            <v>1134</v>
          </cell>
          <cell r="E148">
            <v>0</v>
          </cell>
          <cell r="H148">
            <v>1140</v>
          </cell>
          <cell r="I148">
            <v>0</v>
          </cell>
          <cell r="L148">
            <v>1170</v>
          </cell>
          <cell r="M148">
            <v>576</v>
          </cell>
          <cell r="P148">
            <v>600</v>
          </cell>
          <cell r="Q148">
            <v>600</v>
          </cell>
          <cell r="T148">
            <v>1170</v>
          </cell>
          <cell r="U148">
            <v>0</v>
          </cell>
          <cell r="X148">
            <v>1170</v>
          </cell>
          <cell r="Y148">
            <v>0</v>
          </cell>
          <cell r="AB148">
            <v>1170</v>
          </cell>
          <cell r="AC148">
            <v>0</v>
          </cell>
          <cell r="AF148">
            <v>1170</v>
          </cell>
          <cell r="AG148">
            <v>0</v>
          </cell>
          <cell r="AJ148">
            <v>1170</v>
          </cell>
          <cell r="AK148">
            <v>0</v>
          </cell>
        </row>
        <row r="149">
          <cell r="B149" t="str">
            <v>Aux Cable laying</v>
          </cell>
          <cell r="D149">
            <v>61</v>
          </cell>
          <cell r="E149">
            <v>0</v>
          </cell>
          <cell r="H149">
            <v>61</v>
          </cell>
          <cell r="I149">
            <v>0</v>
          </cell>
          <cell r="L149">
            <v>55</v>
          </cell>
          <cell r="M149">
            <v>55</v>
          </cell>
          <cell r="P149">
            <v>55</v>
          </cell>
          <cell r="Q149">
            <v>55</v>
          </cell>
          <cell r="T149">
            <v>61</v>
          </cell>
          <cell r="U149">
            <v>0</v>
          </cell>
          <cell r="X149">
            <v>61</v>
          </cell>
          <cell r="Y149">
            <v>0</v>
          </cell>
          <cell r="AB149">
            <v>61</v>
          </cell>
          <cell r="AC149">
            <v>0</v>
          </cell>
          <cell r="AF149">
            <v>61</v>
          </cell>
          <cell r="AG149">
            <v>0</v>
          </cell>
          <cell r="AJ149">
            <v>61</v>
          </cell>
          <cell r="AK149">
            <v>0</v>
          </cell>
        </row>
        <row r="150">
          <cell r="B150" t="str">
            <v>Aux Cable laying</v>
          </cell>
          <cell r="D150">
            <v>14</v>
          </cell>
          <cell r="E150">
            <v>0</v>
          </cell>
          <cell r="H150">
            <v>14</v>
          </cell>
          <cell r="I150">
            <v>0</v>
          </cell>
          <cell r="L150">
            <v>14</v>
          </cell>
          <cell r="M150">
            <v>14</v>
          </cell>
          <cell r="P150">
            <v>14</v>
          </cell>
          <cell r="Q150">
            <v>14</v>
          </cell>
          <cell r="T150">
            <v>14</v>
          </cell>
          <cell r="U150">
            <v>0</v>
          </cell>
          <cell r="X150">
            <v>14</v>
          </cell>
          <cell r="Y150">
            <v>0</v>
          </cell>
          <cell r="AB150">
            <v>14</v>
          </cell>
          <cell r="AC150">
            <v>0</v>
          </cell>
          <cell r="AF150">
            <v>14</v>
          </cell>
          <cell r="AG150">
            <v>0</v>
          </cell>
          <cell r="AJ150">
            <v>14</v>
          </cell>
          <cell r="AK150">
            <v>0</v>
          </cell>
        </row>
        <row r="151">
          <cell r="B151" t="str">
            <v>Aux Cable laying</v>
          </cell>
          <cell r="D151">
            <v>65</v>
          </cell>
          <cell r="E151">
            <v>0</v>
          </cell>
          <cell r="H151">
            <v>64</v>
          </cell>
          <cell r="I151">
            <v>0</v>
          </cell>
          <cell r="L151">
            <v>64</v>
          </cell>
          <cell r="M151">
            <v>64</v>
          </cell>
          <cell r="P151">
            <v>110</v>
          </cell>
          <cell r="Q151">
            <v>110</v>
          </cell>
          <cell r="T151">
            <v>64</v>
          </cell>
          <cell r="U151">
            <v>0</v>
          </cell>
          <cell r="X151">
            <v>64</v>
          </cell>
          <cell r="Y151">
            <v>0</v>
          </cell>
          <cell r="AB151">
            <v>64</v>
          </cell>
          <cell r="AC151">
            <v>0</v>
          </cell>
          <cell r="AF151">
            <v>64</v>
          </cell>
          <cell r="AG151">
            <v>0</v>
          </cell>
          <cell r="AJ151">
            <v>64</v>
          </cell>
          <cell r="AK151">
            <v>0</v>
          </cell>
        </row>
        <row r="152">
          <cell r="B152" t="str">
            <v>Aux Cable laying</v>
          </cell>
          <cell r="D152">
            <v>4</v>
          </cell>
          <cell r="E152">
            <v>0</v>
          </cell>
          <cell r="H152">
            <v>4</v>
          </cell>
          <cell r="I152">
            <v>0</v>
          </cell>
          <cell r="L152">
            <v>4</v>
          </cell>
          <cell r="M152">
            <v>4</v>
          </cell>
          <cell r="P152">
            <v>25</v>
          </cell>
          <cell r="Q152">
            <v>25</v>
          </cell>
          <cell r="T152">
            <v>4</v>
          </cell>
          <cell r="U152">
            <v>0</v>
          </cell>
          <cell r="X152">
            <v>4</v>
          </cell>
          <cell r="Y152">
            <v>0</v>
          </cell>
          <cell r="AB152">
            <v>4</v>
          </cell>
          <cell r="AC152">
            <v>0</v>
          </cell>
          <cell r="AF152">
            <v>4</v>
          </cell>
          <cell r="AG152">
            <v>0</v>
          </cell>
          <cell r="AJ152">
            <v>4</v>
          </cell>
          <cell r="AK152">
            <v>0</v>
          </cell>
        </row>
        <row r="153">
          <cell r="B153" t="str">
            <v>Aux Cable laying</v>
          </cell>
          <cell r="D153">
            <v>6</v>
          </cell>
          <cell r="E153">
            <v>0</v>
          </cell>
          <cell r="H153">
            <v>6</v>
          </cell>
          <cell r="I153">
            <v>0</v>
          </cell>
          <cell r="L153">
            <v>6</v>
          </cell>
          <cell r="M153">
            <v>6</v>
          </cell>
          <cell r="P153">
            <v>12</v>
          </cell>
          <cell r="Q153">
            <v>12</v>
          </cell>
          <cell r="T153">
            <v>6</v>
          </cell>
          <cell r="U153">
            <v>0</v>
          </cell>
          <cell r="X153">
            <v>6</v>
          </cell>
          <cell r="Y153">
            <v>0</v>
          </cell>
          <cell r="AB153">
            <v>6</v>
          </cell>
          <cell r="AC153">
            <v>0</v>
          </cell>
          <cell r="AF153">
            <v>6</v>
          </cell>
          <cell r="AG153">
            <v>0</v>
          </cell>
          <cell r="AJ153">
            <v>6</v>
          </cell>
          <cell r="AK153">
            <v>0</v>
          </cell>
        </row>
        <row r="154">
          <cell r="B154" t="str">
            <v>Aux Cable laying</v>
          </cell>
          <cell r="D154">
            <v>589</v>
          </cell>
          <cell r="E154">
            <v>0</v>
          </cell>
          <cell r="H154">
            <v>590</v>
          </cell>
          <cell r="I154">
            <v>0</v>
          </cell>
          <cell r="L154">
            <v>591</v>
          </cell>
          <cell r="M154">
            <v>495</v>
          </cell>
          <cell r="P154">
            <v>595</v>
          </cell>
          <cell r="Q154">
            <v>595</v>
          </cell>
          <cell r="T154">
            <v>557</v>
          </cell>
          <cell r="U154">
            <v>0</v>
          </cell>
          <cell r="X154">
            <v>557</v>
          </cell>
          <cell r="Y154">
            <v>0</v>
          </cell>
          <cell r="AB154">
            <v>557</v>
          </cell>
          <cell r="AC154">
            <v>0</v>
          </cell>
          <cell r="AF154">
            <v>557</v>
          </cell>
          <cell r="AG154">
            <v>0</v>
          </cell>
          <cell r="AJ154">
            <v>557</v>
          </cell>
          <cell r="AK154">
            <v>0</v>
          </cell>
        </row>
        <row r="155">
          <cell r="B155" t="str">
            <v>Aux Cable laying</v>
          </cell>
          <cell r="D155">
            <v>38</v>
          </cell>
          <cell r="E155">
            <v>0</v>
          </cell>
          <cell r="H155">
            <v>38</v>
          </cell>
          <cell r="I155">
            <v>0</v>
          </cell>
          <cell r="L155">
            <v>38</v>
          </cell>
          <cell r="M155">
            <v>38</v>
          </cell>
          <cell r="P155">
            <v>78</v>
          </cell>
          <cell r="Q155">
            <v>78</v>
          </cell>
          <cell r="T155">
            <v>38</v>
          </cell>
          <cell r="U155">
            <v>0</v>
          </cell>
          <cell r="X155">
            <v>38</v>
          </cell>
          <cell r="Y155">
            <v>0</v>
          </cell>
          <cell r="AB155">
            <v>38</v>
          </cell>
          <cell r="AC155">
            <v>0</v>
          </cell>
          <cell r="AF155">
            <v>38</v>
          </cell>
          <cell r="AG155">
            <v>0</v>
          </cell>
          <cell r="AJ155">
            <v>38</v>
          </cell>
          <cell r="AK155">
            <v>0</v>
          </cell>
        </row>
        <row r="156">
          <cell r="B156" t="str">
            <v>Aux Cable laying</v>
          </cell>
          <cell r="D156">
            <v>12</v>
          </cell>
          <cell r="E156">
            <v>0</v>
          </cell>
          <cell r="H156">
            <v>12</v>
          </cell>
          <cell r="I156">
            <v>0</v>
          </cell>
          <cell r="L156">
            <v>12</v>
          </cell>
          <cell r="M156">
            <v>12</v>
          </cell>
          <cell r="P156">
            <v>30</v>
          </cell>
          <cell r="Q156">
            <v>30</v>
          </cell>
          <cell r="T156">
            <v>12</v>
          </cell>
          <cell r="U156">
            <v>0</v>
          </cell>
          <cell r="X156">
            <v>12</v>
          </cell>
          <cell r="Y156">
            <v>0</v>
          </cell>
          <cell r="AB156">
            <v>12</v>
          </cell>
          <cell r="AC156">
            <v>0</v>
          </cell>
          <cell r="AF156">
            <v>12</v>
          </cell>
          <cell r="AG156">
            <v>0</v>
          </cell>
          <cell r="AJ156">
            <v>12</v>
          </cell>
          <cell r="AK156">
            <v>0</v>
          </cell>
        </row>
        <row r="157">
          <cell r="B157" t="str">
            <v>Aux Cable Termination</v>
          </cell>
          <cell r="D157">
            <v>48</v>
          </cell>
          <cell r="E157">
            <v>0</v>
          </cell>
          <cell r="H157">
            <v>48</v>
          </cell>
          <cell r="I157">
            <v>0</v>
          </cell>
          <cell r="L157">
            <v>48</v>
          </cell>
          <cell r="M157">
            <v>0</v>
          </cell>
          <cell r="P157">
            <v>48</v>
          </cell>
          <cell r="Q157">
            <v>48</v>
          </cell>
          <cell r="T157">
            <v>48</v>
          </cell>
          <cell r="U157">
            <v>0</v>
          </cell>
          <cell r="X157">
            <v>48</v>
          </cell>
          <cell r="Y157">
            <v>0</v>
          </cell>
          <cell r="AB157">
            <v>48</v>
          </cell>
          <cell r="AC157">
            <v>0</v>
          </cell>
          <cell r="AF157">
            <v>48</v>
          </cell>
          <cell r="AG157">
            <v>0</v>
          </cell>
          <cell r="AJ157">
            <v>48</v>
          </cell>
          <cell r="AK157">
            <v>0</v>
          </cell>
        </row>
        <row r="158">
          <cell r="B158" t="str">
            <v>Aux Cable Termination</v>
          </cell>
          <cell r="D158">
            <v>48</v>
          </cell>
          <cell r="E158">
            <v>0</v>
          </cell>
          <cell r="H158">
            <v>48</v>
          </cell>
          <cell r="I158">
            <v>0</v>
          </cell>
          <cell r="L158">
            <v>48</v>
          </cell>
          <cell r="M158">
            <v>0</v>
          </cell>
          <cell r="P158">
            <v>48</v>
          </cell>
          <cell r="Q158">
            <v>48</v>
          </cell>
          <cell r="T158">
            <v>48</v>
          </cell>
          <cell r="U158">
            <v>0</v>
          </cell>
          <cell r="X158">
            <v>48</v>
          </cell>
          <cell r="Y158">
            <v>0</v>
          </cell>
          <cell r="AB158">
            <v>48</v>
          </cell>
          <cell r="AC158">
            <v>0</v>
          </cell>
          <cell r="AF158">
            <v>48</v>
          </cell>
          <cell r="AG158">
            <v>0</v>
          </cell>
          <cell r="AJ158">
            <v>48</v>
          </cell>
          <cell r="AK158">
            <v>0</v>
          </cell>
        </row>
        <row r="159">
          <cell r="B159" t="str">
            <v>Aux Cable Termination</v>
          </cell>
          <cell r="D159">
            <v>49</v>
          </cell>
          <cell r="E159">
            <v>0</v>
          </cell>
          <cell r="H159">
            <v>49</v>
          </cell>
          <cell r="I159">
            <v>0</v>
          </cell>
          <cell r="L159">
            <v>49</v>
          </cell>
          <cell r="M159">
            <v>0</v>
          </cell>
          <cell r="P159">
            <v>49</v>
          </cell>
          <cell r="Q159">
            <v>49</v>
          </cell>
          <cell r="T159">
            <v>49</v>
          </cell>
          <cell r="U159">
            <v>0</v>
          </cell>
          <cell r="X159">
            <v>49</v>
          </cell>
          <cell r="Y159">
            <v>0</v>
          </cell>
          <cell r="AB159">
            <v>49</v>
          </cell>
          <cell r="AC159">
            <v>0</v>
          </cell>
          <cell r="AF159">
            <v>49</v>
          </cell>
          <cell r="AG159">
            <v>0</v>
          </cell>
          <cell r="AJ159">
            <v>49</v>
          </cell>
          <cell r="AK159">
            <v>0</v>
          </cell>
        </row>
        <row r="160">
          <cell r="B160" t="str">
            <v>Aux Cable Termination</v>
          </cell>
          <cell r="D160">
            <v>24</v>
          </cell>
          <cell r="E160">
            <v>0</v>
          </cell>
          <cell r="H160">
            <v>24</v>
          </cell>
          <cell r="I160">
            <v>0</v>
          </cell>
          <cell r="L160">
            <v>24</v>
          </cell>
          <cell r="M160">
            <v>0</v>
          </cell>
          <cell r="P160">
            <v>24</v>
          </cell>
          <cell r="Q160">
            <v>24</v>
          </cell>
          <cell r="T160">
            <v>24</v>
          </cell>
          <cell r="U160">
            <v>0</v>
          </cell>
          <cell r="X160">
            <v>24</v>
          </cell>
          <cell r="Y160">
            <v>0</v>
          </cell>
          <cell r="AB160">
            <v>24</v>
          </cell>
          <cell r="AC160">
            <v>0</v>
          </cell>
          <cell r="AF160">
            <v>24</v>
          </cell>
          <cell r="AG160">
            <v>0</v>
          </cell>
          <cell r="AJ160">
            <v>24</v>
          </cell>
          <cell r="AK160">
            <v>0</v>
          </cell>
        </row>
        <row r="161">
          <cell r="B161" t="str">
            <v>Aux Cable Termination</v>
          </cell>
          <cell r="D161">
            <v>48</v>
          </cell>
          <cell r="E161">
            <v>0</v>
          </cell>
          <cell r="H161">
            <v>48</v>
          </cell>
          <cell r="I161">
            <v>0</v>
          </cell>
          <cell r="L161">
            <v>48</v>
          </cell>
          <cell r="M161">
            <v>0</v>
          </cell>
          <cell r="P161">
            <v>48</v>
          </cell>
          <cell r="Q161">
            <v>48</v>
          </cell>
          <cell r="T161">
            <v>48</v>
          </cell>
          <cell r="U161">
            <v>0</v>
          </cell>
          <cell r="X161">
            <v>48</v>
          </cell>
          <cell r="Y161">
            <v>0</v>
          </cell>
          <cell r="AB161">
            <v>48</v>
          </cell>
          <cell r="AC161">
            <v>0</v>
          </cell>
          <cell r="AF161">
            <v>48</v>
          </cell>
          <cell r="AG161">
            <v>0</v>
          </cell>
          <cell r="AJ161">
            <v>48</v>
          </cell>
          <cell r="AK161">
            <v>0</v>
          </cell>
        </row>
        <row r="162">
          <cell r="B162" t="str">
            <v>Aux Cable Termination</v>
          </cell>
          <cell r="D162">
            <v>24</v>
          </cell>
          <cell r="E162">
            <v>0</v>
          </cell>
          <cell r="H162">
            <v>24</v>
          </cell>
          <cell r="I162">
            <v>0</v>
          </cell>
          <cell r="L162">
            <v>24</v>
          </cell>
          <cell r="M162">
            <v>0</v>
          </cell>
          <cell r="P162">
            <v>24</v>
          </cell>
          <cell r="Q162">
            <v>24</v>
          </cell>
          <cell r="T162">
            <v>24</v>
          </cell>
          <cell r="U162">
            <v>0</v>
          </cell>
          <cell r="X162">
            <v>24</v>
          </cell>
          <cell r="Y162">
            <v>0</v>
          </cell>
          <cell r="AB162">
            <v>24</v>
          </cell>
          <cell r="AC162">
            <v>0</v>
          </cell>
          <cell r="AF162">
            <v>24</v>
          </cell>
          <cell r="AG162">
            <v>0</v>
          </cell>
          <cell r="AJ162">
            <v>24</v>
          </cell>
          <cell r="AK162">
            <v>0</v>
          </cell>
        </row>
        <row r="163">
          <cell r="B163" t="str">
            <v>Aux Cable Termination</v>
          </cell>
          <cell r="D163">
            <v>12</v>
          </cell>
          <cell r="E163">
            <v>0</v>
          </cell>
          <cell r="H163">
            <v>12</v>
          </cell>
          <cell r="I163">
            <v>0</v>
          </cell>
          <cell r="L163">
            <v>12</v>
          </cell>
          <cell r="M163">
            <v>0</v>
          </cell>
          <cell r="P163">
            <v>12</v>
          </cell>
          <cell r="Q163">
            <v>12</v>
          </cell>
          <cell r="T163">
            <v>12</v>
          </cell>
          <cell r="U163">
            <v>0</v>
          </cell>
          <cell r="X163">
            <v>12</v>
          </cell>
          <cell r="Y163">
            <v>0</v>
          </cell>
          <cell r="AB163">
            <v>12</v>
          </cell>
          <cell r="AC163">
            <v>0</v>
          </cell>
          <cell r="AF163">
            <v>12</v>
          </cell>
          <cell r="AG163">
            <v>0</v>
          </cell>
          <cell r="AJ163">
            <v>12</v>
          </cell>
          <cell r="AK163">
            <v>0</v>
          </cell>
        </row>
        <row r="164">
          <cell r="B164" t="str">
            <v>Aux Cable Termination</v>
          </cell>
          <cell r="D164">
            <v>1</v>
          </cell>
          <cell r="E164">
            <v>0</v>
          </cell>
          <cell r="H164">
            <v>1</v>
          </cell>
          <cell r="I164">
            <v>0</v>
          </cell>
          <cell r="L164">
            <v>1</v>
          </cell>
          <cell r="M164">
            <v>0</v>
          </cell>
          <cell r="P164">
            <v>1</v>
          </cell>
          <cell r="Q164">
            <v>1</v>
          </cell>
          <cell r="T164">
            <v>1</v>
          </cell>
          <cell r="U164">
            <v>0</v>
          </cell>
          <cell r="X164">
            <v>1</v>
          </cell>
          <cell r="Y164">
            <v>0</v>
          </cell>
          <cell r="AB164">
            <v>1</v>
          </cell>
          <cell r="AC164">
            <v>0</v>
          </cell>
          <cell r="AF164">
            <v>1</v>
          </cell>
          <cell r="AG164">
            <v>0</v>
          </cell>
          <cell r="AJ164">
            <v>1</v>
          </cell>
          <cell r="AK164">
            <v>0</v>
          </cell>
        </row>
        <row r="165">
          <cell r="B165" t="str">
            <v>Aux Cable Termination</v>
          </cell>
          <cell r="D165">
            <v>2</v>
          </cell>
          <cell r="E165">
            <v>0</v>
          </cell>
          <cell r="H165">
            <v>2</v>
          </cell>
          <cell r="I165">
            <v>0</v>
          </cell>
          <cell r="L165">
            <v>2</v>
          </cell>
          <cell r="M165">
            <v>0</v>
          </cell>
          <cell r="P165">
            <v>2</v>
          </cell>
          <cell r="Q165">
            <v>2</v>
          </cell>
          <cell r="T165">
            <v>2</v>
          </cell>
          <cell r="U165">
            <v>0</v>
          </cell>
          <cell r="X165">
            <v>2</v>
          </cell>
          <cell r="Y165">
            <v>0</v>
          </cell>
          <cell r="AB165">
            <v>2</v>
          </cell>
          <cell r="AC165">
            <v>0</v>
          </cell>
          <cell r="AF165">
            <v>2</v>
          </cell>
          <cell r="AG165">
            <v>0</v>
          </cell>
          <cell r="AJ165">
            <v>2</v>
          </cell>
          <cell r="AK165">
            <v>0</v>
          </cell>
        </row>
        <row r="166">
          <cell r="B166" t="str">
            <v>Aux Cable Termination</v>
          </cell>
          <cell r="D166">
            <v>2</v>
          </cell>
          <cell r="E166">
            <v>0</v>
          </cell>
          <cell r="H166">
            <v>2</v>
          </cell>
          <cell r="I166">
            <v>0</v>
          </cell>
          <cell r="L166">
            <v>2</v>
          </cell>
          <cell r="M166">
            <v>0</v>
          </cell>
          <cell r="P166">
            <v>2</v>
          </cell>
          <cell r="Q166">
            <v>2</v>
          </cell>
          <cell r="T166">
            <v>2</v>
          </cell>
          <cell r="U166">
            <v>0</v>
          </cell>
          <cell r="X166">
            <v>2</v>
          </cell>
          <cell r="Y166">
            <v>0</v>
          </cell>
          <cell r="AB166">
            <v>2</v>
          </cell>
          <cell r="AC166">
            <v>0</v>
          </cell>
          <cell r="AF166">
            <v>2</v>
          </cell>
          <cell r="AG166">
            <v>0</v>
          </cell>
          <cell r="AJ166">
            <v>2</v>
          </cell>
          <cell r="AK166">
            <v>0</v>
          </cell>
        </row>
        <row r="167">
          <cell r="B167" t="str">
            <v>Aux Cable Termination</v>
          </cell>
          <cell r="D167">
            <v>3</v>
          </cell>
          <cell r="E167">
            <v>0</v>
          </cell>
          <cell r="H167">
            <v>3</v>
          </cell>
          <cell r="I167">
            <v>0</v>
          </cell>
          <cell r="L167">
            <v>3</v>
          </cell>
          <cell r="M167">
            <v>0</v>
          </cell>
          <cell r="P167">
            <v>3</v>
          </cell>
          <cell r="Q167">
            <v>3</v>
          </cell>
          <cell r="T167">
            <v>3</v>
          </cell>
          <cell r="U167">
            <v>0</v>
          </cell>
          <cell r="X167">
            <v>3</v>
          </cell>
          <cell r="Y167">
            <v>0</v>
          </cell>
          <cell r="AB167">
            <v>3</v>
          </cell>
          <cell r="AC167">
            <v>0</v>
          </cell>
          <cell r="AF167">
            <v>3</v>
          </cell>
          <cell r="AG167">
            <v>0</v>
          </cell>
          <cell r="AJ167">
            <v>3</v>
          </cell>
          <cell r="AK167">
            <v>0</v>
          </cell>
        </row>
        <row r="168">
          <cell r="B168" t="str">
            <v>Aux Cable Termination</v>
          </cell>
          <cell r="D168">
            <v>11</v>
          </cell>
          <cell r="E168">
            <v>0</v>
          </cell>
          <cell r="H168">
            <v>11</v>
          </cell>
          <cell r="I168">
            <v>0</v>
          </cell>
          <cell r="L168">
            <v>11</v>
          </cell>
          <cell r="M168">
            <v>0</v>
          </cell>
          <cell r="P168">
            <v>10</v>
          </cell>
          <cell r="Q168">
            <v>10</v>
          </cell>
          <cell r="T168">
            <v>11</v>
          </cell>
          <cell r="U168">
            <v>0</v>
          </cell>
          <cell r="X168">
            <v>11</v>
          </cell>
          <cell r="Y168">
            <v>0</v>
          </cell>
          <cell r="AB168">
            <v>11</v>
          </cell>
          <cell r="AC168">
            <v>0</v>
          </cell>
          <cell r="AF168">
            <v>11</v>
          </cell>
          <cell r="AG168">
            <v>0</v>
          </cell>
          <cell r="AJ168">
            <v>11</v>
          </cell>
          <cell r="AK168">
            <v>0</v>
          </cell>
        </row>
        <row r="169">
          <cell r="B169" t="str">
            <v>Aux Cable Termination</v>
          </cell>
          <cell r="D169">
            <v>2</v>
          </cell>
          <cell r="E169">
            <v>0</v>
          </cell>
          <cell r="H169">
            <v>2</v>
          </cell>
          <cell r="I169">
            <v>0</v>
          </cell>
          <cell r="L169">
            <v>2</v>
          </cell>
          <cell r="M169">
            <v>0</v>
          </cell>
          <cell r="P169">
            <v>2</v>
          </cell>
          <cell r="Q169">
            <v>2</v>
          </cell>
          <cell r="T169">
            <v>2</v>
          </cell>
          <cell r="U169">
            <v>0</v>
          </cell>
          <cell r="X169">
            <v>2</v>
          </cell>
          <cell r="Y169">
            <v>0</v>
          </cell>
          <cell r="AB169">
            <v>2</v>
          </cell>
          <cell r="AC169">
            <v>0</v>
          </cell>
          <cell r="AF169">
            <v>2</v>
          </cell>
          <cell r="AG169">
            <v>0</v>
          </cell>
          <cell r="AJ169">
            <v>2</v>
          </cell>
          <cell r="AK169">
            <v>0</v>
          </cell>
        </row>
        <row r="170">
          <cell r="B170" t="str">
            <v>Aux Cable Termination</v>
          </cell>
          <cell r="D170">
            <v>1</v>
          </cell>
          <cell r="E170">
            <v>0</v>
          </cell>
          <cell r="H170">
            <v>1</v>
          </cell>
          <cell r="I170">
            <v>0</v>
          </cell>
          <cell r="L170">
            <v>1</v>
          </cell>
          <cell r="M170">
            <v>0</v>
          </cell>
          <cell r="P170">
            <v>1</v>
          </cell>
          <cell r="Q170">
            <v>1</v>
          </cell>
          <cell r="T170">
            <v>1</v>
          </cell>
          <cell r="U170">
            <v>0</v>
          </cell>
          <cell r="X170">
            <v>1</v>
          </cell>
          <cell r="Y170">
            <v>0</v>
          </cell>
          <cell r="AB170">
            <v>1</v>
          </cell>
          <cell r="AC170">
            <v>0</v>
          </cell>
          <cell r="AF170">
            <v>1</v>
          </cell>
          <cell r="AG170">
            <v>0</v>
          </cell>
          <cell r="AJ170">
            <v>1</v>
          </cell>
          <cell r="AK170">
            <v>0</v>
          </cell>
        </row>
        <row r="171">
          <cell r="B171" t="str">
            <v>Aux Cable Termination</v>
          </cell>
          <cell r="D171">
            <v>6</v>
          </cell>
          <cell r="E171">
            <v>0</v>
          </cell>
          <cell r="H171">
            <v>6</v>
          </cell>
          <cell r="I171">
            <v>0</v>
          </cell>
          <cell r="L171">
            <v>6</v>
          </cell>
          <cell r="M171">
            <v>0</v>
          </cell>
          <cell r="P171">
            <v>6</v>
          </cell>
          <cell r="Q171">
            <v>6</v>
          </cell>
          <cell r="T171">
            <v>6</v>
          </cell>
          <cell r="U171">
            <v>0</v>
          </cell>
          <cell r="X171">
            <v>6</v>
          </cell>
          <cell r="Y171">
            <v>0</v>
          </cell>
          <cell r="AB171">
            <v>6</v>
          </cell>
          <cell r="AC171">
            <v>0</v>
          </cell>
          <cell r="AF171">
            <v>6</v>
          </cell>
          <cell r="AG171">
            <v>0</v>
          </cell>
          <cell r="AJ171">
            <v>6</v>
          </cell>
          <cell r="AK171">
            <v>0</v>
          </cell>
        </row>
        <row r="172">
          <cell r="B172" t="str">
            <v>Aux Cable Termination</v>
          </cell>
          <cell r="D172">
            <v>4</v>
          </cell>
          <cell r="E172">
            <v>0</v>
          </cell>
          <cell r="H172">
            <v>4</v>
          </cell>
          <cell r="I172">
            <v>0</v>
          </cell>
          <cell r="L172">
            <v>4</v>
          </cell>
          <cell r="M172">
            <v>0</v>
          </cell>
          <cell r="P172">
            <v>4</v>
          </cell>
          <cell r="Q172">
            <v>4</v>
          </cell>
          <cell r="T172">
            <v>4</v>
          </cell>
          <cell r="U172">
            <v>0</v>
          </cell>
          <cell r="X172">
            <v>4</v>
          </cell>
          <cell r="Y172">
            <v>0</v>
          </cell>
          <cell r="AB172">
            <v>4</v>
          </cell>
          <cell r="AC172">
            <v>0</v>
          </cell>
          <cell r="AF172">
            <v>4</v>
          </cell>
          <cell r="AG172">
            <v>0</v>
          </cell>
          <cell r="AJ172">
            <v>4</v>
          </cell>
          <cell r="AK172">
            <v>0</v>
          </cell>
        </row>
        <row r="173">
          <cell r="B173" t="str">
            <v>Aux Cable Termination</v>
          </cell>
          <cell r="D173">
            <v>1</v>
          </cell>
          <cell r="E173">
            <v>0</v>
          </cell>
          <cell r="H173">
            <v>1</v>
          </cell>
          <cell r="I173">
            <v>0</v>
          </cell>
          <cell r="L173">
            <v>1</v>
          </cell>
          <cell r="M173">
            <v>0</v>
          </cell>
          <cell r="P173">
            <v>0</v>
          </cell>
          <cell r="Q173">
            <v>0</v>
          </cell>
          <cell r="T173">
            <v>1</v>
          </cell>
          <cell r="U173">
            <v>0</v>
          </cell>
          <cell r="X173">
            <v>1</v>
          </cell>
          <cell r="Y173">
            <v>0</v>
          </cell>
          <cell r="AB173">
            <v>1</v>
          </cell>
          <cell r="AC173">
            <v>0</v>
          </cell>
          <cell r="AF173">
            <v>1</v>
          </cell>
          <cell r="AG173">
            <v>0</v>
          </cell>
          <cell r="AJ173">
            <v>1</v>
          </cell>
          <cell r="AK173">
            <v>0</v>
          </cell>
        </row>
        <row r="174">
          <cell r="B174" t="str">
            <v>Control Cable</v>
          </cell>
          <cell r="D174" t="str">
            <v>Scope</v>
          </cell>
          <cell r="E174" t="str">
            <v>Actual</v>
          </cell>
          <cell r="H174" t="str">
            <v>Scope</v>
          </cell>
          <cell r="I174" t="str">
            <v>Actual</v>
          </cell>
          <cell r="L174" t="str">
            <v>Scope</v>
          </cell>
          <cell r="M174" t="str">
            <v>Actual</v>
          </cell>
          <cell r="P174" t="str">
            <v>Scope</v>
          </cell>
          <cell r="Q174" t="str">
            <v>Actual</v>
          </cell>
          <cell r="T174" t="str">
            <v>Scope</v>
          </cell>
          <cell r="U174" t="str">
            <v>Actual</v>
          </cell>
          <cell r="X174" t="str">
            <v>Scope</v>
          </cell>
          <cell r="Y174" t="str">
            <v>Actual</v>
          </cell>
          <cell r="AB174" t="str">
            <v>Scope</v>
          </cell>
          <cell r="AC174" t="str">
            <v>Actual</v>
          </cell>
          <cell r="AF174" t="str">
            <v>Scope</v>
          </cell>
          <cell r="AG174" t="str">
            <v>Actual</v>
          </cell>
          <cell r="AJ174" t="str">
            <v>Scope</v>
          </cell>
          <cell r="AK174" t="str">
            <v>Actual</v>
          </cell>
        </row>
        <row r="175">
          <cell r="B175" t="str">
            <v>Control Cable laying</v>
          </cell>
          <cell r="D175">
            <v>1266</v>
          </cell>
          <cell r="E175">
            <v>0</v>
          </cell>
          <cell r="H175">
            <v>1248</v>
          </cell>
          <cell r="I175">
            <v>428</v>
          </cell>
          <cell r="L175">
            <v>1110</v>
          </cell>
          <cell r="M175">
            <v>868</v>
          </cell>
          <cell r="P175">
            <v>996</v>
          </cell>
          <cell r="Q175">
            <v>996</v>
          </cell>
          <cell r="T175">
            <v>1266</v>
          </cell>
          <cell r="U175">
            <v>0</v>
          </cell>
          <cell r="X175">
            <v>1266</v>
          </cell>
          <cell r="Y175">
            <v>0</v>
          </cell>
          <cell r="AB175">
            <v>1266</v>
          </cell>
          <cell r="AC175">
            <v>0</v>
          </cell>
          <cell r="AF175">
            <v>1266</v>
          </cell>
          <cell r="AG175">
            <v>0</v>
          </cell>
          <cell r="AJ175">
            <v>1266</v>
          </cell>
          <cell r="AK175">
            <v>0</v>
          </cell>
        </row>
        <row r="176">
          <cell r="B176" t="str">
            <v>Control Cable laying</v>
          </cell>
          <cell r="D176">
            <v>3165</v>
          </cell>
          <cell r="E176">
            <v>0</v>
          </cell>
          <cell r="H176">
            <v>3120</v>
          </cell>
          <cell r="I176">
            <v>1500</v>
          </cell>
          <cell r="L176">
            <v>2610</v>
          </cell>
          <cell r="M176">
            <v>2610</v>
          </cell>
          <cell r="P176">
            <v>2475</v>
          </cell>
          <cell r="Q176">
            <v>2475</v>
          </cell>
          <cell r="T176">
            <v>3165</v>
          </cell>
          <cell r="U176">
            <v>0</v>
          </cell>
          <cell r="X176">
            <v>3165</v>
          </cell>
          <cell r="Y176">
            <v>0</v>
          </cell>
          <cell r="AB176">
            <v>3165</v>
          </cell>
          <cell r="AC176">
            <v>0</v>
          </cell>
          <cell r="AF176">
            <v>3165</v>
          </cell>
          <cell r="AG176">
            <v>0</v>
          </cell>
          <cell r="AJ176">
            <v>3165</v>
          </cell>
          <cell r="AK176">
            <v>0</v>
          </cell>
        </row>
        <row r="177">
          <cell r="B177" t="str">
            <v>Control Cable laying</v>
          </cell>
          <cell r="D177">
            <v>1266</v>
          </cell>
          <cell r="E177">
            <v>0</v>
          </cell>
          <cell r="H177">
            <v>1248</v>
          </cell>
          <cell r="I177">
            <v>600</v>
          </cell>
          <cell r="L177">
            <v>1040</v>
          </cell>
          <cell r="M177">
            <v>1040</v>
          </cell>
          <cell r="P177">
            <v>990</v>
          </cell>
          <cell r="Q177">
            <v>990</v>
          </cell>
          <cell r="T177">
            <v>1266</v>
          </cell>
          <cell r="U177">
            <v>0</v>
          </cell>
          <cell r="X177">
            <v>1266</v>
          </cell>
          <cell r="Y177">
            <v>0</v>
          </cell>
          <cell r="AB177">
            <v>1266</v>
          </cell>
          <cell r="AC177">
            <v>0</v>
          </cell>
          <cell r="AF177">
            <v>1266</v>
          </cell>
          <cell r="AG177">
            <v>0</v>
          </cell>
          <cell r="AJ177">
            <v>1266</v>
          </cell>
          <cell r="AK177">
            <v>0</v>
          </cell>
        </row>
        <row r="178">
          <cell r="B178" t="str">
            <v>Control Cable laying</v>
          </cell>
          <cell r="D178">
            <v>563</v>
          </cell>
          <cell r="E178">
            <v>0</v>
          </cell>
          <cell r="H178">
            <v>1072</v>
          </cell>
          <cell r="I178">
            <v>0</v>
          </cell>
          <cell r="L178">
            <v>1157</v>
          </cell>
          <cell r="M178">
            <v>749</v>
          </cell>
          <cell r="P178">
            <v>1006</v>
          </cell>
          <cell r="Q178">
            <v>1006</v>
          </cell>
          <cell r="T178">
            <v>542</v>
          </cell>
          <cell r="U178">
            <v>0</v>
          </cell>
          <cell r="X178">
            <v>542</v>
          </cell>
          <cell r="Y178">
            <v>0</v>
          </cell>
          <cell r="AB178">
            <v>542</v>
          </cell>
          <cell r="AC178">
            <v>0</v>
          </cell>
          <cell r="AF178">
            <v>542</v>
          </cell>
          <cell r="AG178">
            <v>0</v>
          </cell>
          <cell r="AJ178">
            <v>542</v>
          </cell>
          <cell r="AK178">
            <v>0</v>
          </cell>
        </row>
        <row r="179">
          <cell r="B179" t="str">
            <v>Control Cable laying</v>
          </cell>
          <cell r="D179">
            <v>563</v>
          </cell>
          <cell r="E179">
            <v>0</v>
          </cell>
          <cell r="H179">
            <v>0</v>
          </cell>
          <cell r="I179">
            <v>0</v>
          </cell>
          <cell r="L179">
            <v>0</v>
          </cell>
          <cell r="M179">
            <v>0</v>
          </cell>
          <cell r="P179">
            <v>0</v>
          </cell>
          <cell r="Q179">
            <v>0</v>
          </cell>
          <cell r="T179">
            <v>542</v>
          </cell>
          <cell r="U179">
            <v>0</v>
          </cell>
          <cell r="X179">
            <v>542</v>
          </cell>
          <cell r="Y179">
            <v>0</v>
          </cell>
          <cell r="AB179">
            <v>542</v>
          </cell>
          <cell r="AC179">
            <v>0</v>
          </cell>
          <cell r="AF179">
            <v>542</v>
          </cell>
          <cell r="AG179">
            <v>0</v>
          </cell>
          <cell r="AJ179">
            <v>542</v>
          </cell>
          <cell r="AK179">
            <v>0</v>
          </cell>
        </row>
        <row r="180">
          <cell r="B180" t="str">
            <v>Control Cable laying</v>
          </cell>
          <cell r="D180">
            <v>764</v>
          </cell>
          <cell r="E180">
            <v>0</v>
          </cell>
          <cell r="H180">
            <v>764</v>
          </cell>
          <cell r="I180">
            <v>0</v>
          </cell>
          <cell r="L180">
            <v>764</v>
          </cell>
          <cell r="M180">
            <v>0</v>
          </cell>
          <cell r="P180">
            <v>1368</v>
          </cell>
          <cell r="Q180">
            <v>1368</v>
          </cell>
          <cell r="T180">
            <v>764</v>
          </cell>
          <cell r="U180">
            <v>0</v>
          </cell>
          <cell r="X180">
            <v>764</v>
          </cell>
          <cell r="Y180">
            <v>0</v>
          </cell>
          <cell r="AB180">
            <v>764</v>
          </cell>
          <cell r="AC180">
            <v>0</v>
          </cell>
          <cell r="AF180">
            <v>764</v>
          </cell>
          <cell r="AG180">
            <v>0</v>
          </cell>
          <cell r="AJ180">
            <v>764</v>
          </cell>
          <cell r="AK180">
            <v>0</v>
          </cell>
        </row>
        <row r="181">
          <cell r="B181" t="str">
            <v>Control Cable laying</v>
          </cell>
          <cell r="D181">
            <v>140</v>
          </cell>
          <cell r="E181">
            <v>0</v>
          </cell>
          <cell r="H181">
            <v>140</v>
          </cell>
          <cell r="I181">
            <v>0</v>
          </cell>
          <cell r="L181">
            <v>140</v>
          </cell>
          <cell r="M181">
            <v>0</v>
          </cell>
          <cell r="P181">
            <v>227</v>
          </cell>
          <cell r="Q181">
            <v>227</v>
          </cell>
          <cell r="T181">
            <v>140</v>
          </cell>
          <cell r="U181">
            <v>0</v>
          </cell>
          <cell r="X181">
            <v>140</v>
          </cell>
          <cell r="Y181">
            <v>0</v>
          </cell>
          <cell r="AB181">
            <v>140</v>
          </cell>
          <cell r="AC181">
            <v>0</v>
          </cell>
          <cell r="AF181">
            <v>140</v>
          </cell>
          <cell r="AG181">
            <v>0</v>
          </cell>
          <cell r="AJ181">
            <v>140</v>
          </cell>
          <cell r="AK181">
            <v>0</v>
          </cell>
        </row>
        <row r="182">
          <cell r="B182" t="str">
            <v>Control Cable laying</v>
          </cell>
          <cell r="D182">
            <v>192</v>
          </cell>
          <cell r="E182">
            <v>0</v>
          </cell>
          <cell r="H182">
            <v>192</v>
          </cell>
          <cell r="I182">
            <v>0</v>
          </cell>
          <cell r="L182">
            <v>192</v>
          </cell>
          <cell r="M182">
            <v>0</v>
          </cell>
          <cell r="P182">
            <v>218</v>
          </cell>
          <cell r="Q182">
            <v>218</v>
          </cell>
          <cell r="T182">
            <v>192</v>
          </cell>
          <cell r="U182">
            <v>0</v>
          </cell>
          <cell r="X182">
            <v>192</v>
          </cell>
          <cell r="Y182">
            <v>0</v>
          </cell>
          <cell r="AB182">
            <v>192</v>
          </cell>
          <cell r="AC182">
            <v>0</v>
          </cell>
          <cell r="AF182">
            <v>192</v>
          </cell>
          <cell r="AG182">
            <v>0</v>
          </cell>
          <cell r="AJ182">
            <v>192</v>
          </cell>
          <cell r="AK182">
            <v>0</v>
          </cell>
        </row>
        <row r="183">
          <cell r="B183" t="str">
            <v>Control Cable laying</v>
          </cell>
          <cell r="D183">
            <v>1156</v>
          </cell>
          <cell r="E183">
            <v>0</v>
          </cell>
          <cell r="H183">
            <v>1156</v>
          </cell>
          <cell r="I183">
            <v>0</v>
          </cell>
          <cell r="L183">
            <v>1008</v>
          </cell>
          <cell r="M183">
            <v>1008</v>
          </cell>
          <cell r="P183">
            <v>996</v>
          </cell>
          <cell r="Q183">
            <v>996</v>
          </cell>
          <cell r="T183">
            <v>1156</v>
          </cell>
          <cell r="U183">
            <v>0</v>
          </cell>
          <cell r="X183">
            <v>1156</v>
          </cell>
          <cell r="Y183">
            <v>0</v>
          </cell>
          <cell r="AB183">
            <v>1156</v>
          </cell>
          <cell r="AC183">
            <v>0</v>
          </cell>
          <cell r="AF183">
            <v>1156</v>
          </cell>
          <cell r="AG183">
            <v>0</v>
          </cell>
          <cell r="AJ183">
            <v>1156</v>
          </cell>
          <cell r="AK183">
            <v>0</v>
          </cell>
        </row>
        <row r="184">
          <cell r="B184" t="str">
            <v>Control Cable laying</v>
          </cell>
          <cell r="D184">
            <v>578</v>
          </cell>
          <cell r="E184">
            <v>0</v>
          </cell>
          <cell r="H184">
            <v>578</v>
          </cell>
          <cell r="I184">
            <v>0</v>
          </cell>
          <cell r="L184">
            <v>487</v>
          </cell>
          <cell r="M184">
            <v>487</v>
          </cell>
          <cell r="P184">
            <v>492</v>
          </cell>
          <cell r="Q184">
            <v>492</v>
          </cell>
          <cell r="T184">
            <v>578</v>
          </cell>
          <cell r="U184">
            <v>0</v>
          </cell>
          <cell r="X184">
            <v>578</v>
          </cell>
          <cell r="Y184">
            <v>0</v>
          </cell>
          <cell r="AB184">
            <v>578</v>
          </cell>
          <cell r="AC184">
            <v>0</v>
          </cell>
          <cell r="AF184">
            <v>578</v>
          </cell>
          <cell r="AG184">
            <v>0</v>
          </cell>
          <cell r="AJ184">
            <v>578</v>
          </cell>
          <cell r="AK184">
            <v>0</v>
          </cell>
        </row>
        <row r="185">
          <cell r="B185" t="str">
            <v>Control Cable laying</v>
          </cell>
          <cell r="D185">
            <v>578</v>
          </cell>
          <cell r="E185">
            <v>0</v>
          </cell>
          <cell r="H185">
            <v>578</v>
          </cell>
          <cell r="I185">
            <v>0</v>
          </cell>
          <cell r="L185">
            <v>480</v>
          </cell>
          <cell r="M185">
            <v>480</v>
          </cell>
          <cell r="P185">
            <v>498</v>
          </cell>
          <cell r="Q185">
            <v>498</v>
          </cell>
          <cell r="T185">
            <v>578</v>
          </cell>
          <cell r="U185">
            <v>0</v>
          </cell>
          <cell r="X185">
            <v>578</v>
          </cell>
          <cell r="Y185">
            <v>0</v>
          </cell>
          <cell r="AB185">
            <v>578</v>
          </cell>
          <cell r="AC185">
            <v>0</v>
          </cell>
          <cell r="AF185">
            <v>578</v>
          </cell>
          <cell r="AG185">
            <v>0</v>
          </cell>
          <cell r="AJ185">
            <v>578</v>
          </cell>
          <cell r="AK185">
            <v>0</v>
          </cell>
        </row>
        <row r="186">
          <cell r="B186" t="str">
            <v>Control Cable laying</v>
          </cell>
          <cell r="D186">
            <v>792</v>
          </cell>
          <cell r="E186">
            <v>0</v>
          </cell>
          <cell r="H186">
            <v>792</v>
          </cell>
          <cell r="I186">
            <v>0</v>
          </cell>
          <cell r="L186">
            <v>792</v>
          </cell>
          <cell r="M186">
            <v>0</v>
          </cell>
          <cell r="P186">
            <v>765</v>
          </cell>
          <cell r="Q186">
            <v>765</v>
          </cell>
          <cell r="T186">
            <v>792</v>
          </cell>
          <cell r="U186">
            <v>0</v>
          </cell>
          <cell r="X186">
            <v>792</v>
          </cell>
          <cell r="Y186">
            <v>0</v>
          </cell>
          <cell r="AB186">
            <v>792</v>
          </cell>
          <cell r="AC186">
            <v>0</v>
          </cell>
          <cell r="AF186">
            <v>792</v>
          </cell>
          <cell r="AG186">
            <v>0</v>
          </cell>
          <cell r="AJ186">
            <v>792</v>
          </cell>
          <cell r="AK186">
            <v>0</v>
          </cell>
        </row>
        <row r="187">
          <cell r="B187" t="str">
            <v>Control Cable laying</v>
          </cell>
          <cell r="D187">
            <v>303</v>
          </cell>
          <cell r="E187">
            <v>0</v>
          </cell>
          <cell r="H187">
            <v>303</v>
          </cell>
          <cell r="I187">
            <v>0</v>
          </cell>
          <cell r="L187">
            <v>303</v>
          </cell>
          <cell r="M187">
            <v>0</v>
          </cell>
          <cell r="P187">
            <v>292</v>
          </cell>
          <cell r="Q187">
            <v>292</v>
          </cell>
          <cell r="T187">
            <v>303</v>
          </cell>
          <cell r="U187">
            <v>0</v>
          </cell>
          <cell r="X187">
            <v>303</v>
          </cell>
          <cell r="Y187">
            <v>0</v>
          </cell>
          <cell r="AB187">
            <v>303</v>
          </cell>
          <cell r="AC187">
            <v>0</v>
          </cell>
          <cell r="AF187">
            <v>303</v>
          </cell>
          <cell r="AG187">
            <v>0</v>
          </cell>
          <cell r="AJ187">
            <v>303</v>
          </cell>
          <cell r="AK187">
            <v>0</v>
          </cell>
        </row>
        <row r="188">
          <cell r="B188" t="str">
            <v>Control Cable laying</v>
          </cell>
          <cell r="D188">
            <v>292</v>
          </cell>
          <cell r="E188">
            <v>0</v>
          </cell>
          <cell r="H188">
            <v>292</v>
          </cell>
          <cell r="I188">
            <v>0</v>
          </cell>
          <cell r="L188">
            <v>292</v>
          </cell>
          <cell r="M188">
            <v>0</v>
          </cell>
          <cell r="P188">
            <v>246</v>
          </cell>
          <cell r="Q188">
            <v>246</v>
          </cell>
          <cell r="T188">
            <v>292</v>
          </cell>
          <cell r="U188">
            <v>0</v>
          </cell>
          <cell r="X188">
            <v>292</v>
          </cell>
          <cell r="Y188">
            <v>0</v>
          </cell>
          <cell r="AB188">
            <v>292</v>
          </cell>
          <cell r="AC188">
            <v>0</v>
          </cell>
          <cell r="AF188">
            <v>292</v>
          </cell>
          <cell r="AG188">
            <v>0</v>
          </cell>
          <cell r="AJ188">
            <v>292</v>
          </cell>
          <cell r="AK188">
            <v>0</v>
          </cell>
        </row>
        <row r="189">
          <cell r="B189" t="str">
            <v>Control Cable laying</v>
          </cell>
          <cell r="D189">
            <v>71</v>
          </cell>
          <cell r="E189">
            <v>0</v>
          </cell>
          <cell r="H189">
            <v>71</v>
          </cell>
          <cell r="I189">
            <v>0</v>
          </cell>
          <cell r="L189">
            <v>71</v>
          </cell>
          <cell r="M189">
            <v>0</v>
          </cell>
          <cell r="P189">
            <v>71</v>
          </cell>
          <cell r="Q189">
            <v>71</v>
          </cell>
          <cell r="T189">
            <v>71</v>
          </cell>
          <cell r="U189">
            <v>0</v>
          </cell>
          <cell r="X189">
            <v>71</v>
          </cell>
          <cell r="Y189">
            <v>0</v>
          </cell>
          <cell r="AB189">
            <v>71</v>
          </cell>
          <cell r="AC189">
            <v>0</v>
          </cell>
          <cell r="AF189">
            <v>71</v>
          </cell>
          <cell r="AG189">
            <v>0</v>
          </cell>
          <cell r="AJ189">
            <v>71</v>
          </cell>
          <cell r="AK189">
            <v>0</v>
          </cell>
        </row>
        <row r="190">
          <cell r="B190" t="str">
            <v>Control Cable laying</v>
          </cell>
          <cell r="D190">
            <v>262</v>
          </cell>
          <cell r="E190">
            <v>0</v>
          </cell>
          <cell r="H190">
            <v>262</v>
          </cell>
          <cell r="I190">
            <v>0</v>
          </cell>
          <cell r="L190">
            <v>262</v>
          </cell>
          <cell r="M190">
            <v>0</v>
          </cell>
          <cell r="P190">
            <v>246</v>
          </cell>
          <cell r="Q190">
            <v>246</v>
          </cell>
          <cell r="T190">
            <v>262</v>
          </cell>
          <cell r="U190">
            <v>0</v>
          </cell>
          <cell r="X190">
            <v>262</v>
          </cell>
          <cell r="Y190">
            <v>0</v>
          </cell>
          <cell r="AB190">
            <v>262</v>
          </cell>
          <cell r="AC190">
            <v>0</v>
          </cell>
          <cell r="AF190">
            <v>262</v>
          </cell>
          <cell r="AG190">
            <v>0</v>
          </cell>
          <cell r="AJ190">
            <v>262</v>
          </cell>
          <cell r="AK190">
            <v>0</v>
          </cell>
        </row>
        <row r="191">
          <cell r="B191" t="str">
            <v>Control Cable laying</v>
          </cell>
          <cell r="D191">
            <v>642</v>
          </cell>
          <cell r="E191">
            <v>0</v>
          </cell>
          <cell r="H191">
            <v>642</v>
          </cell>
          <cell r="I191">
            <v>0</v>
          </cell>
          <cell r="L191">
            <v>486</v>
          </cell>
          <cell r="M191">
            <v>486</v>
          </cell>
          <cell r="P191">
            <v>480</v>
          </cell>
          <cell r="Q191">
            <v>480</v>
          </cell>
          <cell r="T191">
            <v>642</v>
          </cell>
          <cell r="U191">
            <v>0</v>
          </cell>
          <cell r="X191">
            <v>642</v>
          </cell>
          <cell r="Y191">
            <v>0</v>
          </cell>
          <cell r="AB191">
            <v>642</v>
          </cell>
          <cell r="AC191">
            <v>0</v>
          </cell>
          <cell r="AF191">
            <v>642</v>
          </cell>
          <cell r="AG191">
            <v>0</v>
          </cell>
          <cell r="AJ191">
            <v>642</v>
          </cell>
          <cell r="AK191">
            <v>0</v>
          </cell>
        </row>
        <row r="192">
          <cell r="B192" t="str">
            <v>Control Cable laying</v>
          </cell>
          <cell r="D192">
            <v>619</v>
          </cell>
          <cell r="E192">
            <v>0</v>
          </cell>
          <cell r="H192">
            <v>619</v>
          </cell>
          <cell r="I192">
            <v>0</v>
          </cell>
          <cell r="L192">
            <v>619</v>
          </cell>
          <cell r="M192">
            <v>619</v>
          </cell>
          <cell r="P192">
            <v>634</v>
          </cell>
          <cell r="Q192">
            <v>634</v>
          </cell>
          <cell r="T192">
            <v>619</v>
          </cell>
          <cell r="U192">
            <v>0</v>
          </cell>
          <cell r="X192">
            <v>619</v>
          </cell>
          <cell r="Y192">
            <v>0</v>
          </cell>
          <cell r="AB192">
            <v>619</v>
          </cell>
          <cell r="AC192">
            <v>0</v>
          </cell>
          <cell r="AF192">
            <v>619</v>
          </cell>
          <cell r="AG192">
            <v>0</v>
          </cell>
          <cell r="AJ192">
            <v>619</v>
          </cell>
          <cell r="AK192">
            <v>0</v>
          </cell>
        </row>
        <row r="193">
          <cell r="B193" t="str">
            <v>Control Cable laying</v>
          </cell>
          <cell r="D193">
            <v>0</v>
          </cell>
          <cell r="E193">
            <v>0</v>
          </cell>
          <cell r="H193">
            <v>619</v>
          </cell>
          <cell r="I193">
            <v>0</v>
          </cell>
          <cell r="L193">
            <v>616</v>
          </cell>
          <cell r="M193">
            <v>475</v>
          </cell>
          <cell r="P193">
            <v>588</v>
          </cell>
          <cell r="Q193">
            <v>588</v>
          </cell>
          <cell r="T193">
            <v>0</v>
          </cell>
          <cell r="U193">
            <v>0</v>
          </cell>
          <cell r="X193">
            <v>0</v>
          </cell>
          <cell r="Y193">
            <v>0</v>
          </cell>
          <cell r="AB193">
            <v>0</v>
          </cell>
          <cell r="AC193">
            <v>0</v>
          </cell>
          <cell r="AF193">
            <v>0</v>
          </cell>
          <cell r="AG193">
            <v>0</v>
          </cell>
          <cell r="AJ193">
            <v>0</v>
          </cell>
          <cell r="AK193">
            <v>0</v>
          </cell>
        </row>
        <row r="194">
          <cell r="B194" t="str">
            <v>Control Cable laying</v>
          </cell>
          <cell r="D194">
            <v>619</v>
          </cell>
          <cell r="E194">
            <v>0</v>
          </cell>
          <cell r="H194">
            <v>0</v>
          </cell>
          <cell r="I194">
            <v>0</v>
          </cell>
          <cell r="L194">
            <v>0</v>
          </cell>
          <cell r="M194">
            <v>0</v>
          </cell>
          <cell r="P194">
            <v>0</v>
          </cell>
          <cell r="Q194">
            <v>0</v>
          </cell>
          <cell r="T194">
            <v>619</v>
          </cell>
          <cell r="U194">
            <v>0</v>
          </cell>
          <cell r="X194">
            <v>619</v>
          </cell>
          <cell r="Y194">
            <v>0</v>
          </cell>
          <cell r="AB194">
            <v>619</v>
          </cell>
          <cell r="AC194">
            <v>0</v>
          </cell>
          <cell r="AF194">
            <v>619</v>
          </cell>
          <cell r="AG194">
            <v>0</v>
          </cell>
          <cell r="AJ194">
            <v>619</v>
          </cell>
          <cell r="AK194">
            <v>0</v>
          </cell>
        </row>
        <row r="195">
          <cell r="B195" t="str">
            <v>Control Cable laying</v>
          </cell>
          <cell r="D195">
            <v>639</v>
          </cell>
          <cell r="E195">
            <v>0</v>
          </cell>
          <cell r="H195">
            <v>639</v>
          </cell>
          <cell r="I195">
            <v>0</v>
          </cell>
          <cell r="L195">
            <v>627</v>
          </cell>
          <cell r="M195">
            <v>486</v>
          </cell>
          <cell r="P195">
            <v>590</v>
          </cell>
          <cell r="Q195">
            <v>590</v>
          </cell>
          <cell r="T195">
            <v>639</v>
          </cell>
          <cell r="U195">
            <v>0</v>
          </cell>
          <cell r="X195">
            <v>639</v>
          </cell>
          <cell r="Y195">
            <v>0</v>
          </cell>
          <cell r="AB195">
            <v>639</v>
          </cell>
          <cell r="AC195">
            <v>0</v>
          </cell>
          <cell r="AF195">
            <v>639</v>
          </cell>
          <cell r="AG195">
            <v>0</v>
          </cell>
          <cell r="AJ195">
            <v>639</v>
          </cell>
          <cell r="AK195">
            <v>0</v>
          </cell>
        </row>
        <row r="196">
          <cell r="B196" t="str">
            <v>Control Cable laying</v>
          </cell>
          <cell r="D196">
            <v>20</v>
          </cell>
          <cell r="E196">
            <v>0</v>
          </cell>
          <cell r="H196">
            <v>20</v>
          </cell>
          <cell r="I196">
            <v>0</v>
          </cell>
          <cell r="L196">
            <v>20</v>
          </cell>
          <cell r="M196">
            <v>0</v>
          </cell>
          <cell r="P196">
            <v>20</v>
          </cell>
          <cell r="Q196">
            <v>20</v>
          </cell>
          <cell r="T196">
            <v>20</v>
          </cell>
          <cell r="U196">
            <v>0</v>
          </cell>
          <cell r="X196">
            <v>20</v>
          </cell>
          <cell r="Y196">
            <v>0</v>
          </cell>
          <cell r="AB196">
            <v>20</v>
          </cell>
          <cell r="AC196">
            <v>0</v>
          </cell>
          <cell r="AF196">
            <v>20</v>
          </cell>
          <cell r="AG196">
            <v>0</v>
          </cell>
          <cell r="AJ196">
            <v>20</v>
          </cell>
          <cell r="AK196">
            <v>0</v>
          </cell>
        </row>
        <row r="197">
          <cell r="B197" t="str">
            <v>Control Cable termination</v>
          </cell>
          <cell r="D197">
            <v>12</v>
          </cell>
          <cell r="E197">
            <v>0</v>
          </cell>
          <cell r="H197">
            <v>12</v>
          </cell>
          <cell r="I197">
            <v>0</v>
          </cell>
          <cell r="L197">
            <v>12</v>
          </cell>
          <cell r="M197">
            <v>0</v>
          </cell>
          <cell r="P197">
            <v>12</v>
          </cell>
          <cell r="Q197">
            <v>12</v>
          </cell>
          <cell r="T197">
            <v>12</v>
          </cell>
          <cell r="U197">
            <v>0</v>
          </cell>
          <cell r="X197">
            <v>12</v>
          </cell>
          <cell r="Y197">
            <v>0</v>
          </cell>
          <cell r="AB197">
            <v>12</v>
          </cell>
          <cell r="AC197">
            <v>0</v>
          </cell>
          <cell r="AF197">
            <v>12</v>
          </cell>
          <cell r="AG197">
            <v>0</v>
          </cell>
          <cell r="AJ197">
            <v>12</v>
          </cell>
          <cell r="AK197">
            <v>0</v>
          </cell>
        </row>
        <row r="198">
          <cell r="B198" t="str">
            <v>Control Cable termination</v>
          </cell>
          <cell r="D198">
            <v>22</v>
          </cell>
          <cell r="E198">
            <v>0</v>
          </cell>
          <cell r="H198">
            <v>22</v>
          </cell>
          <cell r="I198">
            <v>0</v>
          </cell>
          <cell r="L198">
            <v>22</v>
          </cell>
          <cell r="M198">
            <v>0</v>
          </cell>
          <cell r="P198">
            <v>22</v>
          </cell>
          <cell r="Q198">
            <v>22</v>
          </cell>
          <cell r="T198">
            <v>22</v>
          </cell>
          <cell r="U198">
            <v>0</v>
          </cell>
          <cell r="X198">
            <v>22</v>
          </cell>
          <cell r="Y198">
            <v>0</v>
          </cell>
          <cell r="AB198">
            <v>22</v>
          </cell>
          <cell r="AC198">
            <v>0</v>
          </cell>
          <cell r="AF198">
            <v>22</v>
          </cell>
          <cell r="AG198">
            <v>0</v>
          </cell>
          <cell r="AJ198">
            <v>22</v>
          </cell>
          <cell r="AK198">
            <v>0</v>
          </cell>
        </row>
        <row r="199">
          <cell r="B199" t="str">
            <v>Control Cable termination</v>
          </cell>
          <cell r="D199">
            <v>30</v>
          </cell>
          <cell r="E199">
            <v>0</v>
          </cell>
          <cell r="H199">
            <v>30</v>
          </cell>
          <cell r="I199">
            <v>0</v>
          </cell>
          <cell r="L199">
            <v>30</v>
          </cell>
          <cell r="M199">
            <v>0</v>
          </cell>
          <cell r="P199">
            <v>30</v>
          </cell>
          <cell r="Q199">
            <v>30</v>
          </cell>
          <cell r="T199">
            <v>30</v>
          </cell>
          <cell r="U199">
            <v>0</v>
          </cell>
          <cell r="X199">
            <v>30</v>
          </cell>
          <cell r="Y199">
            <v>0</v>
          </cell>
          <cell r="AB199">
            <v>30</v>
          </cell>
          <cell r="AC199">
            <v>0</v>
          </cell>
          <cell r="AF199">
            <v>30</v>
          </cell>
          <cell r="AG199">
            <v>0</v>
          </cell>
          <cell r="AJ199">
            <v>30</v>
          </cell>
          <cell r="AK199">
            <v>0</v>
          </cell>
        </row>
        <row r="200">
          <cell r="B200" t="str">
            <v>Control Cable termination</v>
          </cell>
          <cell r="D200">
            <v>30</v>
          </cell>
          <cell r="E200">
            <v>0</v>
          </cell>
          <cell r="H200">
            <v>30</v>
          </cell>
          <cell r="I200">
            <v>0</v>
          </cell>
          <cell r="L200">
            <v>30</v>
          </cell>
          <cell r="M200">
            <v>0</v>
          </cell>
          <cell r="P200">
            <v>30</v>
          </cell>
          <cell r="Q200">
            <v>30</v>
          </cell>
          <cell r="T200">
            <v>30</v>
          </cell>
          <cell r="U200">
            <v>0</v>
          </cell>
          <cell r="X200">
            <v>30</v>
          </cell>
          <cell r="Y200">
            <v>0</v>
          </cell>
          <cell r="AB200">
            <v>30</v>
          </cell>
          <cell r="AC200">
            <v>0</v>
          </cell>
          <cell r="AF200">
            <v>30</v>
          </cell>
          <cell r="AG200">
            <v>0</v>
          </cell>
          <cell r="AJ200">
            <v>30</v>
          </cell>
          <cell r="AK200">
            <v>0</v>
          </cell>
        </row>
        <row r="201">
          <cell r="B201" t="str">
            <v>Control Cable termination</v>
          </cell>
          <cell r="D201">
            <v>12</v>
          </cell>
          <cell r="E201">
            <v>0</v>
          </cell>
          <cell r="H201">
            <v>12</v>
          </cell>
          <cell r="I201">
            <v>0</v>
          </cell>
          <cell r="L201">
            <v>12</v>
          </cell>
          <cell r="M201">
            <v>0</v>
          </cell>
          <cell r="P201">
            <v>12</v>
          </cell>
          <cell r="Q201">
            <v>12</v>
          </cell>
          <cell r="T201">
            <v>12</v>
          </cell>
          <cell r="U201">
            <v>0</v>
          </cell>
          <cell r="X201">
            <v>12</v>
          </cell>
          <cell r="Y201">
            <v>0</v>
          </cell>
          <cell r="AB201">
            <v>12</v>
          </cell>
          <cell r="AC201">
            <v>0</v>
          </cell>
          <cell r="AF201">
            <v>12</v>
          </cell>
          <cell r="AG201">
            <v>0</v>
          </cell>
          <cell r="AJ201">
            <v>12</v>
          </cell>
          <cell r="AK201">
            <v>0</v>
          </cell>
        </row>
        <row r="202">
          <cell r="B202" t="str">
            <v>Control Cable termination</v>
          </cell>
          <cell r="D202">
            <v>58</v>
          </cell>
          <cell r="E202">
            <v>0</v>
          </cell>
          <cell r="H202">
            <v>52</v>
          </cell>
          <cell r="I202">
            <v>0</v>
          </cell>
          <cell r="L202">
            <v>52</v>
          </cell>
          <cell r="M202">
            <v>0</v>
          </cell>
          <cell r="P202">
            <v>52</v>
          </cell>
          <cell r="Q202">
            <v>52</v>
          </cell>
          <cell r="T202">
            <v>58</v>
          </cell>
          <cell r="U202">
            <v>0</v>
          </cell>
          <cell r="X202">
            <v>58</v>
          </cell>
          <cell r="Y202">
            <v>0</v>
          </cell>
          <cell r="AB202">
            <v>58</v>
          </cell>
          <cell r="AC202">
            <v>0</v>
          </cell>
          <cell r="AF202">
            <v>58</v>
          </cell>
          <cell r="AG202">
            <v>0</v>
          </cell>
          <cell r="AJ202">
            <v>58</v>
          </cell>
          <cell r="AK202">
            <v>0</v>
          </cell>
        </row>
        <row r="203">
          <cell r="B203" t="str">
            <v>Control Cable termination</v>
          </cell>
          <cell r="D203">
            <v>6</v>
          </cell>
          <cell r="E203">
            <v>0</v>
          </cell>
          <cell r="H203">
            <v>6</v>
          </cell>
          <cell r="I203">
            <v>0</v>
          </cell>
          <cell r="L203">
            <v>6</v>
          </cell>
          <cell r="M203">
            <v>0</v>
          </cell>
          <cell r="P203">
            <v>6</v>
          </cell>
          <cell r="Q203">
            <v>6</v>
          </cell>
          <cell r="T203">
            <v>6</v>
          </cell>
          <cell r="U203">
            <v>0</v>
          </cell>
          <cell r="X203">
            <v>6</v>
          </cell>
          <cell r="Y203">
            <v>0</v>
          </cell>
          <cell r="AB203">
            <v>6</v>
          </cell>
          <cell r="AC203">
            <v>0</v>
          </cell>
          <cell r="AF203">
            <v>6</v>
          </cell>
          <cell r="AG203">
            <v>0</v>
          </cell>
          <cell r="AJ203">
            <v>6</v>
          </cell>
          <cell r="AK203">
            <v>0</v>
          </cell>
        </row>
        <row r="204">
          <cell r="B204" t="str">
            <v>Control Cable termination</v>
          </cell>
          <cell r="D204">
            <v>6</v>
          </cell>
          <cell r="E204">
            <v>0</v>
          </cell>
          <cell r="H204">
            <v>0</v>
          </cell>
          <cell r="I204">
            <v>0</v>
          </cell>
          <cell r="L204">
            <v>0</v>
          </cell>
          <cell r="M204">
            <v>0</v>
          </cell>
          <cell r="P204">
            <v>0</v>
          </cell>
          <cell r="Q204">
            <v>0</v>
          </cell>
          <cell r="T204">
            <v>6</v>
          </cell>
          <cell r="U204">
            <v>0</v>
          </cell>
          <cell r="X204">
            <v>6</v>
          </cell>
          <cell r="Y204">
            <v>0</v>
          </cell>
          <cell r="AB204">
            <v>6</v>
          </cell>
          <cell r="AC204">
            <v>0</v>
          </cell>
          <cell r="AF204">
            <v>6</v>
          </cell>
          <cell r="AG204">
            <v>0</v>
          </cell>
          <cell r="AJ204">
            <v>6</v>
          </cell>
          <cell r="AK204">
            <v>0</v>
          </cell>
        </row>
        <row r="205">
          <cell r="B205" t="str">
            <v>Control Cable termination</v>
          </cell>
          <cell r="D205">
            <v>40</v>
          </cell>
          <cell r="E205">
            <v>0</v>
          </cell>
          <cell r="H205">
            <v>40</v>
          </cell>
          <cell r="I205">
            <v>0</v>
          </cell>
          <cell r="L205">
            <v>40</v>
          </cell>
          <cell r="M205">
            <v>0</v>
          </cell>
          <cell r="P205">
            <v>40</v>
          </cell>
          <cell r="Q205">
            <v>40</v>
          </cell>
          <cell r="T205">
            <v>40</v>
          </cell>
          <cell r="U205">
            <v>0</v>
          </cell>
          <cell r="X205">
            <v>40</v>
          </cell>
          <cell r="Y205">
            <v>0</v>
          </cell>
          <cell r="AB205">
            <v>40</v>
          </cell>
          <cell r="AC205">
            <v>0</v>
          </cell>
          <cell r="AF205">
            <v>40</v>
          </cell>
          <cell r="AG205">
            <v>0</v>
          </cell>
          <cell r="AJ205">
            <v>40</v>
          </cell>
          <cell r="AK205">
            <v>0</v>
          </cell>
        </row>
        <row r="206">
          <cell r="B206" t="str">
            <v>Control Cable termination</v>
          </cell>
          <cell r="D206">
            <v>4</v>
          </cell>
          <cell r="E206">
            <v>0</v>
          </cell>
          <cell r="H206">
            <v>4</v>
          </cell>
          <cell r="I206">
            <v>0</v>
          </cell>
          <cell r="L206">
            <v>4</v>
          </cell>
          <cell r="M206">
            <v>0</v>
          </cell>
          <cell r="P206">
            <v>4</v>
          </cell>
          <cell r="Q206">
            <v>4</v>
          </cell>
          <cell r="T206">
            <v>4</v>
          </cell>
          <cell r="U206">
            <v>0</v>
          </cell>
          <cell r="X206">
            <v>4</v>
          </cell>
          <cell r="Y206">
            <v>0</v>
          </cell>
          <cell r="AB206">
            <v>4</v>
          </cell>
          <cell r="AC206">
            <v>0</v>
          </cell>
          <cell r="AF206">
            <v>4</v>
          </cell>
          <cell r="AG206">
            <v>0</v>
          </cell>
          <cell r="AJ206">
            <v>4</v>
          </cell>
          <cell r="AK206">
            <v>0</v>
          </cell>
        </row>
        <row r="207">
          <cell r="B207" t="str">
            <v>Control Cable termination</v>
          </cell>
          <cell r="D207">
            <v>9</v>
          </cell>
          <cell r="E207">
            <v>0</v>
          </cell>
          <cell r="H207">
            <v>9</v>
          </cell>
          <cell r="I207">
            <v>0</v>
          </cell>
          <cell r="L207">
            <v>9</v>
          </cell>
          <cell r="M207">
            <v>0</v>
          </cell>
          <cell r="P207">
            <v>9</v>
          </cell>
          <cell r="Q207">
            <v>9</v>
          </cell>
          <cell r="T207">
            <v>9</v>
          </cell>
          <cell r="U207">
            <v>0</v>
          </cell>
          <cell r="X207">
            <v>9</v>
          </cell>
          <cell r="Y207">
            <v>0</v>
          </cell>
          <cell r="AB207">
            <v>9</v>
          </cell>
          <cell r="AC207">
            <v>0</v>
          </cell>
          <cell r="AF207">
            <v>9</v>
          </cell>
          <cell r="AG207">
            <v>0</v>
          </cell>
          <cell r="AJ207">
            <v>9</v>
          </cell>
          <cell r="AK207">
            <v>0</v>
          </cell>
        </row>
        <row r="208">
          <cell r="B208" t="str">
            <v>Control Cable termination</v>
          </cell>
          <cell r="D208">
            <v>9</v>
          </cell>
          <cell r="E208">
            <v>0</v>
          </cell>
          <cell r="H208">
            <v>9</v>
          </cell>
          <cell r="I208">
            <v>0</v>
          </cell>
          <cell r="L208">
            <v>9</v>
          </cell>
          <cell r="M208">
            <v>0</v>
          </cell>
          <cell r="P208">
            <v>9</v>
          </cell>
          <cell r="Q208">
            <v>9</v>
          </cell>
          <cell r="T208">
            <v>9</v>
          </cell>
          <cell r="U208">
            <v>0</v>
          </cell>
          <cell r="X208">
            <v>9</v>
          </cell>
          <cell r="Y208">
            <v>0</v>
          </cell>
          <cell r="AB208">
            <v>9</v>
          </cell>
          <cell r="AC208">
            <v>0</v>
          </cell>
          <cell r="AF208">
            <v>9</v>
          </cell>
          <cell r="AG208">
            <v>0</v>
          </cell>
          <cell r="AJ208">
            <v>9</v>
          </cell>
          <cell r="AK208">
            <v>0</v>
          </cell>
        </row>
        <row r="209">
          <cell r="B209" t="str">
            <v>Control Cable termination</v>
          </cell>
          <cell r="D209">
            <v>12</v>
          </cell>
          <cell r="E209">
            <v>0</v>
          </cell>
          <cell r="H209">
            <v>12</v>
          </cell>
          <cell r="I209">
            <v>0</v>
          </cell>
          <cell r="L209">
            <v>12</v>
          </cell>
          <cell r="M209">
            <v>0</v>
          </cell>
          <cell r="P209">
            <v>12</v>
          </cell>
          <cell r="Q209">
            <v>12</v>
          </cell>
          <cell r="T209">
            <v>12</v>
          </cell>
          <cell r="U209">
            <v>0</v>
          </cell>
          <cell r="X209">
            <v>12</v>
          </cell>
          <cell r="Y209">
            <v>0</v>
          </cell>
          <cell r="AB209">
            <v>12</v>
          </cell>
          <cell r="AC209">
            <v>0</v>
          </cell>
          <cell r="AF209">
            <v>12</v>
          </cell>
          <cell r="AG209">
            <v>0</v>
          </cell>
          <cell r="AJ209">
            <v>12</v>
          </cell>
          <cell r="AK209">
            <v>0</v>
          </cell>
        </row>
        <row r="210">
          <cell r="B210" t="str">
            <v>Control Cable termination</v>
          </cell>
          <cell r="D210">
            <v>18</v>
          </cell>
          <cell r="E210">
            <v>0</v>
          </cell>
          <cell r="H210">
            <v>18</v>
          </cell>
          <cell r="I210">
            <v>0</v>
          </cell>
          <cell r="L210">
            <v>18</v>
          </cell>
          <cell r="M210">
            <v>0</v>
          </cell>
          <cell r="P210">
            <v>18</v>
          </cell>
          <cell r="Q210">
            <v>18</v>
          </cell>
          <cell r="T210">
            <v>18</v>
          </cell>
          <cell r="U210">
            <v>0</v>
          </cell>
          <cell r="X210">
            <v>18</v>
          </cell>
          <cell r="Y210">
            <v>0</v>
          </cell>
          <cell r="AB210">
            <v>18</v>
          </cell>
          <cell r="AC210">
            <v>0</v>
          </cell>
          <cell r="AF210">
            <v>18</v>
          </cell>
          <cell r="AG210">
            <v>0</v>
          </cell>
          <cell r="AJ210">
            <v>18</v>
          </cell>
          <cell r="AK210">
            <v>0</v>
          </cell>
        </row>
        <row r="211">
          <cell r="B211" t="str">
            <v>Control Cable termination</v>
          </cell>
          <cell r="D211">
            <v>6</v>
          </cell>
          <cell r="E211">
            <v>0</v>
          </cell>
          <cell r="H211">
            <v>6</v>
          </cell>
          <cell r="I211">
            <v>0</v>
          </cell>
          <cell r="L211">
            <v>6</v>
          </cell>
          <cell r="M211">
            <v>0</v>
          </cell>
          <cell r="P211">
            <v>6</v>
          </cell>
          <cell r="Q211">
            <v>6</v>
          </cell>
          <cell r="T211">
            <v>6</v>
          </cell>
          <cell r="U211">
            <v>0</v>
          </cell>
          <cell r="X211">
            <v>6</v>
          </cell>
          <cell r="Y211">
            <v>0</v>
          </cell>
          <cell r="AB211">
            <v>6</v>
          </cell>
          <cell r="AC211">
            <v>0</v>
          </cell>
          <cell r="AF211">
            <v>6</v>
          </cell>
          <cell r="AG211">
            <v>0</v>
          </cell>
          <cell r="AJ211">
            <v>6</v>
          </cell>
          <cell r="AK211">
            <v>0</v>
          </cell>
        </row>
        <row r="212">
          <cell r="B212" t="str">
            <v>Control Cable termination</v>
          </cell>
          <cell r="D212">
            <v>49</v>
          </cell>
          <cell r="E212">
            <v>0</v>
          </cell>
          <cell r="H212">
            <v>43</v>
          </cell>
          <cell r="I212">
            <v>0</v>
          </cell>
          <cell r="L212">
            <v>43</v>
          </cell>
          <cell r="M212">
            <v>0</v>
          </cell>
          <cell r="P212">
            <v>43</v>
          </cell>
          <cell r="Q212">
            <v>43</v>
          </cell>
          <cell r="T212">
            <v>49</v>
          </cell>
          <cell r="U212">
            <v>0</v>
          </cell>
          <cell r="X212">
            <v>49</v>
          </cell>
          <cell r="Y212">
            <v>0</v>
          </cell>
          <cell r="AB212">
            <v>49</v>
          </cell>
          <cell r="AC212">
            <v>0</v>
          </cell>
          <cell r="AF212">
            <v>49</v>
          </cell>
          <cell r="AG212">
            <v>0</v>
          </cell>
          <cell r="AJ212">
            <v>49</v>
          </cell>
          <cell r="AK212">
            <v>0</v>
          </cell>
        </row>
        <row r="213">
          <cell r="B213" t="str">
            <v>Control Cable termination</v>
          </cell>
          <cell r="D213">
            <v>6</v>
          </cell>
          <cell r="E213">
            <v>0</v>
          </cell>
          <cell r="H213">
            <v>6</v>
          </cell>
          <cell r="I213">
            <v>0</v>
          </cell>
          <cell r="L213">
            <v>6</v>
          </cell>
          <cell r="M213">
            <v>0</v>
          </cell>
          <cell r="P213">
            <v>6</v>
          </cell>
          <cell r="Q213">
            <v>6</v>
          </cell>
          <cell r="T213">
            <v>6</v>
          </cell>
          <cell r="U213">
            <v>0</v>
          </cell>
          <cell r="X213">
            <v>6</v>
          </cell>
          <cell r="Y213">
            <v>0</v>
          </cell>
          <cell r="AB213">
            <v>6</v>
          </cell>
          <cell r="AC213">
            <v>0</v>
          </cell>
          <cell r="AF213">
            <v>6</v>
          </cell>
          <cell r="AG213">
            <v>0</v>
          </cell>
          <cell r="AJ213">
            <v>6</v>
          </cell>
          <cell r="AK213">
            <v>0</v>
          </cell>
        </row>
        <row r="214">
          <cell r="B214" t="str">
            <v>Control Cable termination</v>
          </cell>
          <cell r="D214">
            <v>15</v>
          </cell>
          <cell r="E214">
            <v>0</v>
          </cell>
          <cell r="H214">
            <v>21</v>
          </cell>
          <cell r="I214">
            <v>0</v>
          </cell>
          <cell r="L214">
            <v>21</v>
          </cell>
          <cell r="M214">
            <v>0</v>
          </cell>
          <cell r="P214">
            <v>20</v>
          </cell>
          <cell r="Q214">
            <v>20</v>
          </cell>
          <cell r="T214">
            <v>15</v>
          </cell>
          <cell r="U214">
            <v>0</v>
          </cell>
          <cell r="X214">
            <v>15</v>
          </cell>
          <cell r="Y214">
            <v>0</v>
          </cell>
          <cell r="AB214">
            <v>15</v>
          </cell>
          <cell r="AC214">
            <v>0</v>
          </cell>
          <cell r="AF214">
            <v>15</v>
          </cell>
          <cell r="AG214">
            <v>0</v>
          </cell>
          <cell r="AJ214">
            <v>15</v>
          </cell>
          <cell r="AK214">
            <v>0</v>
          </cell>
        </row>
        <row r="215">
          <cell r="B215" t="str">
            <v>Control Cable termination</v>
          </cell>
          <cell r="D215">
            <v>22</v>
          </cell>
          <cell r="E215">
            <v>0</v>
          </cell>
          <cell r="H215">
            <v>22</v>
          </cell>
          <cell r="I215">
            <v>0</v>
          </cell>
          <cell r="L215">
            <v>22</v>
          </cell>
          <cell r="M215">
            <v>0</v>
          </cell>
          <cell r="P215">
            <v>22</v>
          </cell>
          <cell r="Q215">
            <v>22</v>
          </cell>
          <cell r="T215">
            <v>22</v>
          </cell>
          <cell r="U215">
            <v>0</v>
          </cell>
          <cell r="X215">
            <v>22</v>
          </cell>
          <cell r="Y215">
            <v>0</v>
          </cell>
          <cell r="AB215">
            <v>22</v>
          </cell>
          <cell r="AC215">
            <v>0</v>
          </cell>
          <cell r="AF215">
            <v>22</v>
          </cell>
          <cell r="AG215">
            <v>0</v>
          </cell>
          <cell r="AJ215">
            <v>22</v>
          </cell>
          <cell r="AK215">
            <v>0</v>
          </cell>
        </row>
        <row r="216">
          <cell r="B216" t="str">
            <v>Control Cable termination</v>
          </cell>
          <cell r="D216">
            <v>10</v>
          </cell>
          <cell r="E216">
            <v>0</v>
          </cell>
          <cell r="H216">
            <v>10</v>
          </cell>
          <cell r="I216">
            <v>0</v>
          </cell>
          <cell r="L216">
            <v>10</v>
          </cell>
          <cell r="M216">
            <v>0</v>
          </cell>
          <cell r="P216">
            <v>10</v>
          </cell>
          <cell r="Q216">
            <v>10</v>
          </cell>
          <cell r="T216">
            <v>10</v>
          </cell>
          <cell r="U216">
            <v>0</v>
          </cell>
          <cell r="X216">
            <v>10</v>
          </cell>
          <cell r="Y216">
            <v>0</v>
          </cell>
          <cell r="AB216">
            <v>10</v>
          </cell>
          <cell r="AC216">
            <v>0</v>
          </cell>
          <cell r="AF216">
            <v>10</v>
          </cell>
          <cell r="AG216">
            <v>0</v>
          </cell>
          <cell r="AJ216">
            <v>10</v>
          </cell>
          <cell r="AK216">
            <v>0</v>
          </cell>
        </row>
        <row r="217">
          <cell r="B217" t="str">
            <v>Control Cable termination</v>
          </cell>
          <cell r="D217">
            <v>19</v>
          </cell>
          <cell r="E217">
            <v>0</v>
          </cell>
          <cell r="H217">
            <v>19</v>
          </cell>
          <cell r="I217">
            <v>0</v>
          </cell>
          <cell r="L217">
            <v>19</v>
          </cell>
          <cell r="M217">
            <v>0</v>
          </cell>
          <cell r="P217">
            <v>10</v>
          </cell>
          <cell r="Q217">
            <v>10</v>
          </cell>
          <cell r="T217">
            <v>19</v>
          </cell>
          <cell r="U217">
            <v>0</v>
          </cell>
          <cell r="X217">
            <v>19</v>
          </cell>
          <cell r="Y217">
            <v>0</v>
          </cell>
          <cell r="AB217">
            <v>19</v>
          </cell>
          <cell r="AC217">
            <v>0</v>
          </cell>
          <cell r="AF217">
            <v>19</v>
          </cell>
          <cell r="AG217">
            <v>0</v>
          </cell>
          <cell r="AJ217">
            <v>19</v>
          </cell>
          <cell r="AK217">
            <v>0</v>
          </cell>
        </row>
        <row r="218">
          <cell r="B218" t="str">
            <v>Control Cable termination</v>
          </cell>
          <cell r="D218">
            <v>9</v>
          </cell>
          <cell r="E218">
            <v>0</v>
          </cell>
          <cell r="H218">
            <v>9</v>
          </cell>
          <cell r="I218">
            <v>0</v>
          </cell>
          <cell r="L218">
            <v>9</v>
          </cell>
          <cell r="M218">
            <v>0</v>
          </cell>
          <cell r="P218">
            <v>9</v>
          </cell>
          <cell r="Q218">
            <v>9</v>
          </cell>
          <cell r="T218">
            <v>9</v>
          </cell>
          <cell r="U218">
            <v>0</v>
          </cell>
          <cell r="X218">
            <v>9</v>
          </cell>
          <cell r="Y218">
            <v>0</v>
          </cell>
          <cell r="AB218">
            <v>9</v>
          </cell>
          <cell r="AC218">
            <v>0</v>
          </cell>
          <cell r="AF218">
            <v>9</v>
          </cell>
          <cell r="AG218">
            <v>0</v>
          </cell>
          <cell r="AJ218">
            <v>9</v>
          </cell>
          <cell r="AK218">
            <v>0</v>
          </cell>
        </row>
        <row r="219">
          <cell r="B219" t="str">
            <v>Control Cable termination</v>
          </cell>
          <cell r="D219">
            <v>2</v>
          </cell>
          <cell r="E219">
            <v>0</v>
          </cell>
          <cell r="H219">
            <v>2</v>
          </cell>
          <cell r="I219">
            <v>0</v>
          </cell>
          <cell r="L219">
            <v>2</v>
          </cell>
          <cell r="M219">
            <v>0</v>
          </cell>
          <cell r="P219">
            <v>2</v>
          </cell>
          <cell r="Q219">
            <v>2</v>
          </cell>
          <cell r="T219">
            <v>2</v>
          </cell>
          <cell r="U219">
            <v>0</v>
          </cell>
          <cell r="X219">
            <v>2</v>
          </cell>
          <cell r="Y219">
            <v>0</v>
          </cell>
          <cell r="AB219">
            <v>2</v>
          </cell>
          <cell r="AC219">
            <v>0</v>
          </cell>
          <cell r="AF219">
            <v>2</v>
          </cell>
          <cell r="AG219">
            <v>0</v>
          </cell>
          <cell r="AJ219">
            <v>2</v>
          </cell>
          <cell r="AK219">
            <v>0</v>
          </cell>
        </row>
        <row r="220">
          <cell r="B220" t="str">
            <v>Control Cable termination</v>
          </cell>
          <cell r="D220">
            <v>9</v>
          </cell>
          <cell r="E220">
            <v>0</v>
          </cell>
          <cell r="H220">
            <v>9</v>
          </cell>
          <cell r="I220">
            <v>0</v>
          </cell>
          <cell r="L220">
            <v>9</v>
          </cell>
          <cell r="M220">
            <v>0</v>
          </cell>
          <cell r="P220">
            <v>0</v>
          </cell>
          <cell r="Q220">
            <v>0</v>
          </cell>
          <cell r="T220">
            <v>9</v>
          </cell>
          <cell r="U220">
            <v>0</v>
          </cell>
          <cell r="X220">
            <v>9</v>
          </cell>
          <cell r="Y220">
            <v>0</v>
          </cell>
          <cell r="AB220">
            <v>9</v>
          </cell>
          <cell r="AC220">
            <v>0</v>
          </cell>
          <cell r="AF220">
            <v>9</v>
          </cell>
          <cell r="AG220">
            <v>0</v>
          </cell>
          <cell r="AJ220">
            <v>9</v>
          </cell>
          <cell r="AK220">
            <v>0</v>
          </cell>
        </row>
        <row r="221">
          <cell r="B221" t="str">
            <v>Control Cable termination</v>
          </cell>
          <cell r="D221">
            <v>6</v>
          </cell>
          <cell r="E221">
            <v>0</v>
          </cell>
          <cell r="H221">
            <v>6</v>
          </cell>
          <cell r="I221">
            <v>0</v>
          </cell>
          <cell r="L221">
            <v>6</v>
          </cell>
          <cell r="M221">
            <v>0</v>
          </cell>
          <cell r="P221">
            <v>6</v>
          </cell>
          <cell r="Q221">
            <v>6</v>
          </cell>
          <cell r="T221">
            <v>6</v>
          </cell>
          <cell r="U221">
            <v>0</v>
          </cell>
          <cell r="X221">
            <v>6</v>
          </cell>
          <cell r="Y221">
            <v>0</v>
          </cell>
          <cell r="AB221">
            <v>6</v>
          </cell>
          <cell r="AC221">
            <v>0</v>
          </cell>
          <cell r="AF221">
            <v>6</v>
          </cell>
          <cell r="AG221">
            <v>0</v>
          </cell>
          <cell r="AJ221">
            <v>6</v>
          </cell>
          <cell r="AK221">
            <v>0</v>
          </cell>
        </row>
        <row r="222">
          <cell r="B222" t="str">
            <v>Control Cable termination</v>
          </cell>
          <cell r="D222">
            <v>6</v>
          </cell>
          <cell r="E222">
            <v>0</v>
          </cell>
          <cell r="H222">
            <v>6</v>
          </cell>
          <cell r="I222">
            <v>0</v>
          </cell>
          <cell r="L222">
            <v>6</v>
          </cell>
          <cell r="M222">
            <v>0</v>
          </cell>
          <cell r="P222">
            <v>6</v>
          </cell>
          <cell r="Q222">
            <v>6</v>
          </cell>
          <cell r="T222">
            <v>6</v>
          </cell>
          <cell r="U222">
            <v>0</v>
          </cell>
          <cell r="X222">
            <v>6</v>
          </cell>
          <cell r="Y222">
            <v>0</v>
          </cell>
          <cell r="AB222">
            <v>6</v>
          </cell>
          <cell r="AC222">
            <v>0</v>
          </cell>
          <cell r="AF222">
            <v>6</v>
          </cell>
          <cell r="AG222">
            <v>0</v>
          </cell>
          <cell r="AJ222">
            <v>6</v>
          </cell>
          <cell r="AK222">
            <v>0</v>
          </cell>
        </row>
        <row r="223">
          <cell r="B223" t="str">
            <v>Control Cable termination</v>
          </cell>
          <cell r="D223">
            <v>6</v>
          </cell>
          <cell r="E223">
            <v>0</v>
          </cell>
          <cell r="H223">
            <v>0</v>
          </cell>
          <cell r="I223">
            <v>0</v>
          </cell>
          <cell r="L223">
            <v>0</v>
          </cell>
          <cell r="M223">
            <v>0</v>
          </cell>
          <cell r="P223">
            <v>0</v>
          </cell>
          <cell r="Q223">
            <v>0</v>
          </cell>
          <cell r="T223">
            <v>6</v>
          </cell>
          <cell r="U223">
            <v>0</v>
          </cell>
          <cell r="X223">
            <v>6</v>
          </cell>
          <cell r="Y223">
            <v>0</v>
          </cell>
          <cell r="AB223">
            <v>6</v>
          </cell>
          <cell r="AC223">
            <v>0</v>
          </cell>
          <cell r="AF223">
            <v>6</v>
          </cell>
          <cell r="AG223">
            <v>0</v>
          </cell>
          <cell r="AJ223">
            <v>6</v>
          </cell>
          <cell r="AK223">
            <v>0</v>
          </cell>
        </row>
        <row r="224">
          <cell r="B224" t="str">
            <v>Control Cable termination</v>
          </cell>
          <cell r="D224">
            <v>0</v>
          </cell>
          <cell r="E224">
            <v>0</v>
          </cell>
          <cell r="H224">
            <v>6</v>
          </cell>
          <cell r="I224">
            <v>0</v>
          </cell>
          <cell r="L224">
            <v>6</v>
          </cell>
          <cell r="M224">
            <v>0</v>
          </cell>
          <cell r="P224">
            <v>6</v>
          </cell>
          <cell r="Q224">
            <v>6</v>
          </cell>
          <cell r="T224">
            <v>0</v>
          </cell>
          <cell r="U224">
            <v>0</v>
          </cell>
          <cell r="X224">
            <v>0</v>
          </cell>
          <cell r="Y224">
            <v>0</v>
          </cell>
          <cell r="AB224">
            <v>0</v>
          </cell>
          <cell r="AC224">
            <v>0</v>
          </cell>
          <cell r="AF224">
            <v>0</v>
          </cell>
          <cell r="AG224">
            <v>0</v>
          </cell>
          <cell r="AJ224">
            <v>0</v>
          </cell>
          <cell r="AK224">
            <v>0</v>
          </cell>
        </row>
        <row r="225">
          <cell r="B225" t="str">
            <v>Control Cable termination</v>
          </cell>
          <cell r="D225">
            <v>6</v>
          </cell>
          <cell r="E225">
            <v>0</v>
          </cell>
          <cell r="H225">
            <v>6</v>
          </cell>
          <cell r="I225">
            <v>0</v>
          </cell>
          <cell r="L225">
            <v>6</v>
          </cell>
          <cell r="M225">
            <v>0</v>
          </cell>
          <cell r="P225">
            <v>6</v>
          </cell>
          <cell r="Q225">
            <v>6</v>
          </cell>
          <cell r="T225">
            <v>6</v>
          </cell>
          <cell r="U225">
            <v>0</v>
          </cell>
          <cell r="X225">
            <v>6</v>
          </cell>
          <cell r="Y225">
            <v>0</v>
          </cell>
          <cell r="AB225">
            <v>6</v>
          </cell>
          <cell r="AC225">
            <v>0</v>
          </cell>
          <cell r="AF225">
            <v>6</v>
          </cell>
          <cell r="AG225">
            <v>0</v>
          </cell>
          <cell r="AJ225">
            <v>6</v>
          </cell>
          <cell r="AK225">
            <v>0</v>
          </cell>
        </row>
        <row r="226">
          <cell r="B226" t="str">
            <v>Control Cable termination</v>
          </cell>
          <cell r="D226">
            <v>1</v>
          </cell>
          <cell r="E226">
            <v>0</v>
          </cell>
          <cell r="H226">
            <v>1</v>
          </cell>
          <cell r="I226">
            <v>0</v>
          </cell>
          <cell r="L226">
            <v>1</v>
          </cell>
          <cell r="M226">
            <v>0</v>
          </cell>
          <cell r="P226">
            <v>0</v>
          </cell>
          <cell r="Q226">
            <v>0</v>
          </cell>
          <cell r="T226">
            <v>1</v>
          </cell>
          <cell r="U226">
            <v>0</v>
          </cell>
          <cell r="X226">
            <v>1</v>
          </cell>
          <cell r="Y226">
            <v>0</v>
          </cell>
          <cell r="AB226">
            <v>1</v>
          </cell>
          <cell r="AC226">
            <v>0</v>
          </cell>
          <cell r="AF226">
            <v>1</v>
          </cell>
          <cell r="AG226">
            <v>0</v>
          </cell>
          <cell r="AJ226">
            <v>1</v>
          </cell>
          <cell r="AK226">
            <v>0</v>
          </cell>
        </row>
        <row r="227">
          <cell r="B227" t="str">
            <v>Control Cable termination</v>
          </cell>
          <cell r="D227">
            <v>48</v>
          </cell>
          <cell r="E227">
            <v>0</v>
          </cell>
          <cell r="H227">
            <v>48</v>
          </cell>
          <cell r="I227">
            <v>0</v>
          </cell>
          <cell r="L227">
            <v>48</v>
          </cell>
          <cell r="M227">
            <v>0</v>
          </cell>
          <cell r="P227">
            <v>48</v>
          </cell>
          <cell r="Q227">
            <v>48</v>
          </cell>
          <cell r="T227">
            <v>48</v>
          </cell>
          <cell r="U227">
            <v>0</v>
          </cell>
          <cell r="X227">
            <v>48</v>
          </cell>
          <cell r="Y227">
            <v>0</v>
          </cell>
          <cell r="AB227">
            <v>48</v>
          </cell>
          <cell r="AC227">
            <v>0</v>
          </cell>
          <cell r="AF227">
            <v>48</v>
          </cell>
          <cell r="AG227">
            <v>0</v>
          </cell>
          <cell r="AJ227">
            <v>48</v>
          </cell>
          <cell r="AK227">
            <v>0</v>
          </cell>
        </row>
        <row r="228">
          <cell r="B228" t="str">
            <v>Control Cable termination</v>
          </cell>
          <cell r="D228">
            <v>48</v>
          </cell>
          <cell r="E228">
            <v>0</v>
          </cell>
          <cell r="H228">
            <v>48</v>
          </cell>
          <cell r="I228">
            <v>0</v>
          </cell>
          <cell r="L228">
            <v>48</v>
          </cell>
          <cell r="M228">
            <v>0</v>
          </cell>
          <cell r="P228">
            <v>48</v>
          </cell>
          <cell r="Q228">
            <v>48</v>
          </cell>
          <cell r="T228">
            <v>48</v>
          </cell>
          <cell r="U228">
            <v>0</v>
          </cell>
          <cell r="X228">
            <v>48</v>
          </cell>
          <cell r="Y228">
            <v>0</v>
          </cell>
          <cell r="AB228">
            <v>48</v>
          </cell>
          <cell r="AC228">
            <v>0</v>
          </cell>
          <cell r="AF228">
            <v>48</v>
          </cell>
          <cell r="AG228">
            <v>0</v>
          </cell>
          <cell r="AJ228">
            <v>48</v>
          </cell>
          <cell r="AK228">
            <v>0</v>
          </cell>
        </row>
        <row r="229">
          <cell r="B229" t="str">
            <v>Communication Cable</v>
          </cell>
          <cell r="D229" t="str">
            <v>Scope</v>
          </cell>
          <cell r="E229" t="str">
            <v>Actual</v>
          </cell>
          <cell r="H229" t="str">
            <v>Scope</v>
          </cell>
          <cell r="I229" t="str">
            <v>Actual</v>
          </cell>
          <cell r="L229" t="str">
            <v>Scope</v>
          </cell>
          <cell r="M229" t="str">
            <v>Actual</v>
          </cell>
          <cell r="P229" t="str">
            <v>Scope</v>
          </cell>
          <cell r="Q229" t="str">
            <v>Actual</v>
          </cell>
          <cell r="T229" t="str">
            <v>Scope</v>
          </cell>
          <cell r="U229" t="str">
            <v>Actual</v>
          </cell>
          <cell r="X229" t="str">
            <v>Scope</v>
          </cell>
          <cell r="Y229" t="str">
            <v>Actual</v>
          </cell>
          <cell r="AB229" t="str">
            <v>Scope</v>
          </cell>
          <cell r="AC229" t="str">
            <v>Actual</v>
          </cell>
          <cell r="AF229" t="str">
            <v>Scope</v>
          </cell>
          <cell r="AG229" t="str">
            <v>Actual</v>
          </cell>
          <cell r="AJ229" t="str">
            <v>Scope</v>
          </cell>
          <cell r="AK229" t="str">
            <v>Actual</v>
          </cell>
        </row>
        <row r="230">
          <cell r="B230" t="str">
            <v>Communication Cable laying</v>
          </cell>
          <cell r="D230">
            <v>1344</v>
          </cell>
          <cell r="E230">
            <v>0</v>
          </cell>
          <cell r="H230">
            <v>1344</v>
          </cell>
          <cell r="I230">
            <v>0</v>
          </cell>
          <cell r="L230">
            <v>1344</v>
          </cell>
          <cell r="M230">
            <v>0</v>
          </cell>
          <cell r="P230">
            <v>1458</v>
          </cell>
          <cell r="Q230">
            <v>1458</v>
          </cell>
          <cell r="T230">
            <v>1344</v>
          </cell>
          <cell r="U230">
            <v>0</v>
          </cell>
          <cell r="X230">
            <v>1344</v>
          </cell>
          <cell r="Y230">
            <v>0</v>
          </cell>
          <cell r="AB230">
            <v>1344</v>
          </cell>
          <cell r="AC230">
            <v>0</v>
          </cell>
          <cell r="AF230">
            <v>1344</v>
          </cell>
          <cell r="AG230">
            <v>0</v>
          </cell>
          <cell r="AJ230">
            <v>1344</v>
          </cell>
          <cell r="AK230">
            <v>0</v>
          </cell>
        </row>
        <row r="231">
          <cell r="B231" t="str">
            <v>Communication Cable laying</v>
          </cell>
          <cell r="D231">
            <v>987</v>
          </cell>
          <cell r="E231">
            <v>0</v>
          </cell>
          <cell r="H231">
            <v>987</v>
          </cell>
          <cell r="I231">
            <v>0</v>
          </cell>
          <cell r="L231">
            <v>987</v>
          </cell>
          <cell r="M231">
            <v>0</v>
          </cell>
          <cell r="P231">
            <v>1072</v>
          </cell>
          <cell r="Q231">
            <v>1072</v>
          </cell>
          <cell r="T231">
            <v>987</v>
          </cell>
          <cell r="U231">
            <v>0</v>
          </cell>
          <cell r="X231">
            <v>987</v>
          </cell>
          <cell r="Y231">
            <v>0</v>
          </cell>
          <cell r="AB231">
            <v>987</v>
          </cell>
          <cell r="AC231">
            <v>0</v>
          </cell>
          <cell r="AF231">
            <v>987</v>
          </cell>
          <cell r="AG231">
            <v>0</v>
          </cell>
          <cell r="AJ231">
            <v>987</v>
          </cell>
          <cell r="AK231">
            <v>0</v>
          </cell>
        </row>
        <row r="232">
          <cell r="B232" t="str">
            <v>Communication Cable laying</v>
          </cell>
          <cell r="D232">
            <v>1008</v>
          </cell>
          <cell r="E232">
            <v>0</v>
          </cell>
          <cell r="H232">
            <v>1008</v>
          </cell>
          <cell r="I232">
            <v>0</v>
          </cell>
          <cell r="L232">
            <v>1008</v>
          </cell>
          <cell r="M232">
            <v>0</v>
          </cell>
          <cell r="P232">
            <v>989</v>
          </cell>
          <cell r="Q232">
            <v>989</v>
          </cell>
          <cell r="T232">
            <v>1008</v>
          </cell>
          <cell r="U232">
            <v>0</v>
          </cell>
          <cell r="X232">
            <v>1008</v>
          </cell>
          <cell r="Y232">
            <v>0</v>
          </cell>
          <cell r="AB232">
            <v>1008</v>
          </cell>
          <cell r="AC232">
            <v>0</v>
          </cell>
          <cell r="AF232">
            <v>1008</v>
          </cell>
          <cell r="AG232">
            <v>0</v>
          </cell>
          <cell r="AJ232">
            <v>1008</v>
          </cell>
          <cell r="AK232">
            <v>0</v>
          </cell>
        </row>
        <row r="233">
          <cell r="B233" t="str">
            <v>Communication Cable laying</v>
          </cell>
          <cell r="D233">
            <v>20</v>
          </cell>
          <cell r="E233">
            <v>0</v>
          </cell>
          <cell r="H233">
            <v>20</v>
          </cell>
          <cell r="I233">
            <v>0</v>
          </cell>
          <cell r="L233">
            <v>20</v>
          </cell>
          <cell r="M233">
            <v>0</v>
          </cell>
          <cell r="P233">
            <v>20</v>
          </cell>
          <cell r="Q233">
            <v>20</v>
          </cell>
          <cell r="T233">
            <v>20</v>
          </cell>
          <cell r="U233">
            <v>0</v>
          </cell>
          <cell r="X233">
            <v>20</v>
          </cell>
          <cell r="Y233">
            <v>0</v>
          </cell>
          <cell r="AB233">
            <v>20</v>
          </cell>
          <cell r="AC233">
            <v>0</v>
          </cell>
          <cell r="AF233">
            <v>20</v>
          </cell>
          <cell r="AG233">
            <v>0</v>
          </cell>
          <cell r="AJ233">
            <v>20</v>
          </cell>
          <cell r="AK233">
            <v>0</v>
          </cell>
        </row>
        <row r="234">
          <cell r="B234" t="str">
            <v>Communication Cable laying</v>
          </cell>
          <cell r="D234">
            <v>20</v>
          </cell>
          <cell r="E234">
            <v>0</v>
          </cell>
          <cell r="H234">
            <v>20</v>
          </cell>
          <cell r="I234">
            <v>0</v>
          </cell>
          <cell r="L234">
            <v>20</v>
          </cell>
          <cell r="M234">
            <v>0</v>
          </cell>
          <cell r="P234">
            <v>0</v>
          </cell>
          <cell r="Q234">
            <v>0</v>
          </cell>
          <cell r="T234">
            <v>20</v>
          </cell>
          <cell r="U234">
            <v>0</v>
          </cell>
          <cell r="X234">
            <v>20</v>
          </cell>
          <cell r="Y234">
            <v>0</v>
          </cell>
          <cell r="AB234">
            <v>20</v>
          </cell>
          <cell r="AC234">
            <v>0</v>
          </cell>
          <cell r="AF234">
            <v>20</v>
          </cell>
          <cell r="AG234">
            <v>0</v>
          </cell>
          <cell r="AJ234">
            <v>20</v>
          </cell>
          <cell r="AK234">
            <v>0</v>
          </cell>
        </row>
        <row r="235">
          <cell r="B235" t="str">
            <v>Communication Cable laying</v>
          </cell>
          <cell r="D235">
            <v>295</v>
          </cell>
          <cell r="E235">
            <v>0</v>
          </cell>
          <cell r="H235">
            <v>295</v>
          </cell>
          <cell r="I235">
            <v>0</v>
          </cell>
          <cell r="L235">
            <v>295</v>
          </cell>
          <cell r="M235">
            <v>0</v>
          </cell>
          <cell r="P235">
            <v>292</v>
          </cell>
          <cell r="Q235">
            <v>292</v>
          </cell>
          <cell r="T235">
            <v>295</v>
          </cell>
          <cell r="U235">
            <v>0</v>
          </cell>
          <cell r="X235">
            <v>295</v>
          </cell>
          <cell r="Y235">
            <v>0</v>
          </cell>
          <cell r="AB235">
            <v>295</v>
          </cell>
          <cell r="AC235">
            <v>0</v>
          </cell>
          <cell r="AF235">
            <v>295</v>
          </cell>
          <cell r="AG235">
            <v>0</v>
          </cell>
          <cell r="AJ235">
            <v>295</v>
          </cell>
          <cell r="AK235">
            <v>0</v>
          </cell>
        </row>
        <row r="236">
          <cell r="B236" t="str">
            <v>Communication Cable laying</v>
          </cell>
          <cell r="D236">
            <v>110</v>
          </cell>
          <cell r="E236">
            <v>0</v>
          </cell>
          <cell r="H236">
            <v>110</v>
          </cell>
          <cell r="I236">
            <v>0</v>
          </cell>
          <cell r="L236">
            <v>110</v>
          </cell>
          <cell r="M236">
            <v>0</v>
          </cell>
          <cell r="P236">
            <v>104</v>
          </cell>
          <cell r="Q236">
            <v>104</v>
          </cell>
          <cell r="T236">
            <v>110</v>
          </cell>
          <cell r="U236">
            <v>0</v>
          </cell>
          <cell r="X236">
            <v>110</v>
          </cell>
          <cell r="Y236">
            <v>0</v>
          </cell>
          <cell r="AB236">
            <v>110</v>
          </cell>
          <cell r="AC236">
            <v>0</v>
          </cell>
          <cell r="AF236">
            <v>110</v>
          </cell>
          <cell r="AG236">
            <v>0</v>
          </cell>
          <cell r="AJ236">
            <v>110</v>
          </cell>
          <cell r="AK236">
            <v>0</v>
          </cell>
        </row>
        <row r="237">
          <cell r="B237" t="str">
            <v>Communication Cable laying</v>
          </cell>
          <cell r="D237">
            <v>766</v>
          </cell>
          <cell r="E237">
            <v>0</v>
          </cell>
          <cell r="H237">
            <v>766</v>
          </cell>
          <cell r="I237">
            <v>0</v>
          </cell>
          <cell r="L237">
            <v>766</v>
          </cell>
          <cell r="M237">
            <v>0</v>
          </cell>
          <cell r="P237">
            <v>998</v>
          </cell>
          <cell r="Q237">
            <v>998</v>
          </cell>
          <cell r="T237">
            <v>766</v>
          </cell>
          <cell r="U237">
            <v>0</v>
          </cell>
          <cell r="X237">
            <v>766</v>
          </cell>
          <cell r="Y237">
            <v>0</v>
          </cell>
          <cell r="AB237">
            <v>766</v>
          </cell>
          <cell r="AC237">
            <v>0</v>
          </cell>
          <cell r="AF237">
            <v>766</v>
          </cell>
          <cell r="AG237">
            <v>0</v>
          </cell>
          <cell r="AJ237">
            <v>766</v>
          </cell>
          <cell r="AK237">
            <v>0</v>
          </cell>
        </row>
        <row r="238">
          <cell r="B238" t="str">
            <v>Communication Cable laying</v>
          </cell>
          <cell r="D238">
            <v>242</v>
          </cell>
          <cell r="E238">
            <v>0</v>
          </cell>
          <cell r="H238">
            <v>242</v>
          </cell>
          <cell r="I238">
            <v>0</v>
          </cell>
          <cell r="L238">
            <v>242</v>
          </cell>
          <cell r="M238">
            <v>0</v>
          </cell>
          <cell r="P238">
            <v>242</v>
          </cell>
          <cell r="Q238">
            <v>242</v>
          </cell>
          <cell r="T238">
            <v>242</v>
          </cell>
          <cell r="U238">
            <v>0</v>
          </cell>
          <cell r="X238">
            <v>242</v>
          </cell>
          <cell r="Y238">
            <v>0</v>
          </cell>
          <cell r="AB238">
            <v>242</v>
          </cell>
          <cell r="AC238">
            <v>0</v>
          </cell>
          <cell r="AF238">
            <v>242</v>
          </cell>
          <cell r="AG238">
            <v>0</v>
          </cell>
          <cell r="AJ238">
            <v>242</v>
          </cell>
          <cell r="AK238">
            <v>0</v>
          </cell>
        </row>
        <row r="239">
          <cell r="B239" t="str">
            <v>Communication Cable termination</v>
          </cell>
          <cell r="D239">
            <v>48</v>
          </cell>
          <cell r="E239">
            <v>0</v>
          </cell>
          <cell r="H239">
            <v>48</v>
          </cell>
          <cell r="I239">
            <v>0</v>
          </cell>
          <cell r="L239">
            <v>48</v>
          </cell>
          <cell r="M239">
            <v>0</v>
          </cell>
          <cell r="P239">
            <v>48</v>
          </cell>
          <cell r="Q239">
            <v>48</v>
          </cell>
          <cell r="T239">
            <v>48</v>
          </cell>
          <cell r="U239">
            <v>0</v>
          </cell>
          <cell r="X239">
            <v>48</v>
          </cell>
          <cell r="Y239">
            <v>0</v>
          </cell>
          <cell r="AB239">
            <v>48</v>
          </cell>
          <cell r="AC239">
            <v>0</v>
          </cell>
          <cell r="AF239">
            <v>48</v>
          </cell>
          <cell r="AG239">
            <v>0</v>
          </cell>
          <cell r="AJ239">
            <v>48</v>
          </cell>
          <cell r="AK239">
            <v>0</v>
          </cell>
        </row>
        <row r="240">
          <cell r="B240" t="str">
            <v>Communication Cable termination</v>
          </cell>
          <cell r="D240">
            <v>96</v>
          </cell>
          <cell r="E240">
            <v>0</v>
          </cell>
          <cell r="H240">
            <v>96</v>
          </cell>
          <cell r="I240">
            <v>0</v>
          </cell>
          <cell r="L240">
            <v>96</v>
          </cell>
          <cell r="M240">
            <v>0</v>
          </cell>
          <cell r="P240">
            <v>96</v>
          </cell>
          <cell r="Q240">
            <v>96</v>
          </cell>
          <cell r="T240">
            <v>96</v>
          </cell>
          <cell r="U240">
            <v>0</v>
          </cell>
          <cell r="X240">
            <v>96</v>
          </cell>
          <cell r="Y240">
            <v>0</v>
          </cell>
          <cell r="AB240">
            <v>96</v>
          </cell>
          <cell r="AC240">
            <v>0</v>
          </cell>
          <cell r="AF240">
            <v>96</v>
          </cell>
          <cell r="AG240">
            <v>0</v>
          </cell>
          <cell r="AJ240">
            <v>96</v>
          </cell>
          <cell r="AK240">
            <v>0</v>
          </cell>
        </row>
        <row r="241">
          <cell r="B241" t="str">
            <v>Communication Cable termination</v>
          </cell>
          <cell r="D241">
            <v>48</v>
          </cell>
          <cell r="E241">
            <v>0</v>
          </cell>
          <cell r="H241">
            <v>48</v>
          </cell>
          <cell r="I241">
            <v>0</v>
          </cell>
          <cell r="L241">
            <v>48</v>
          </cell>
          <cell r="M241">
            <v>0</v>
          </cell>
          <cell r="P241">
            <v>48</v>
          </cell>
          <cell r="Q241">
            <v>48</v>
          </cell>
          <cell r="T241">
            <v>48</v>
          </cell>
          <cell r="U241">
            <v>0</v>
          </cell>
          <cell r="X241">
            <v>48</v>
          </cell>
          <cell r="Y241">
            <v>0</v>
          </cell>
          <cell r="AB241">
            <v>48</v>
          </cell>
          <cell r="AC241">
            <v>0</v>
          </cell>
          <cell r="AF241">
            <v>48</v>
          </cell>
          <cell r="AG241">
            <v>0</v>
          </cell>
          <cell r="AJ241">
            <v>48</v>
          </cell>
          <cell r="AK241">
            <v>0</v>
          </cell>
        </row>
        <row r="242">
          <cell r="B242" t="str">
            <v>Communication Cable termination</v>
          </cell>
          <cell r="D242">
            <v>48</v>
          </cell>
          <cell r="E242">
            <v>0</v>
          </cell>
          <cell r="H242">
            <v>48</v>
          </cell>
          <cell r="I242">
            <v>0</v>
          </cell>
          <cell r="L242">
            <v>48</v>
          </cell>
          <cell r="M242">
            <v>0</v>
          </cell>
          <cell r="P242">
            <v>48</v>
          </cell>
          <cell r="Q242">
            <v>48</v>
          </cell>
          <cell r="T242">
            <v>48</v>
          </cell>
          <cell r="U242">
            <v>0</v>
          </cell>
          <cell r="X242">
            <v>48</v>
          </cell>
          <cell r="Y242">
            <v>0</v>
          </cell>
          <cell r="AB242">
            <v>48</v>
          </cell>
          <cell r="AC242">
            <v>0</v>
          </cell>
          <cell r="AF242">
            <v>48</v>
          </cell>
          <cell r="AG242">
            <v>0</v>
          </cell>
          <cell r="AJ242">
            <v>48</v>
          </cell>
          <cell r="AK242">
            <v>0</v>
          </cell>
        </row>
        <row r="243">
          <cell r="B243" t="str">
            <v>Communication Cable termination</v>
          </cell>
          <cell r="D243">
            <v>48</v>
          </cell>
          <cell r="E243">
            <v>0</v>
          </cell>
          <cell r="H243">
            <v>48</v>
          </cell>
          <cell r="I243">
            <v>0</v>
          </cell>
          <cell r="L243">
            <v>48</v>
          </cell>
          <cell r="M243">
            <v>0</v>
          </cell>
          <cell r="P243">
            <v>48</v>
          </cell>
          <cell r="Q243">
            <v>48</v>
          </cell>
          <cell r="T243">
            <v>48</v>
          </cell>
          <cell r="U243">
            <v>0</v>
          </cell>
          <cell r="X243">
            <v>48</v>
          </cell>
          <cell r="Y243">
            <v>0</v>
          </cell>
          <cell r="AB243">
            <v>48</v>
          </cell>
          <cell r="AC243">
            <v>0</v>
          </cell>
          <cell r="AF243">
            <v>48</v>
          </cell>
          <cell r="AG243">
            <v>0</v>
          </cell>
          <cell r="AJ243">
            <v>48</v>
          </cell>
          <cell r="AK243">
            <v>0</v>
          </cell>
        </row>
        <row r="244">
          <cell r="B244" t="str">
            <v>Communication Cable termination</v>
          </cell>
          <cell r="D244">
            <v>1</v>
          </cell>
          <cell r="E244">
            <v>0</v>
          </cell>
          <cell r="H244">
            <v>1</v>
          </cell>
          <cell r="I244">
            <v>0</v>
          </cell>
          <cell r="L244">
            <v>1</v>
          </cell>
          <cell r="M244">
            <v>0</v>
          </cell>
          <cell r="P244">
            <v>0</v>
          </cell>
          <cell r="Q244">
            <v>0</v>
          </cell>
          <cell r="T244">
            <v>1</v>
          </cell>
          <cell r="U244">
            <v>0</v>
          </cell>
          <cell r="X244">
            <v>1</v>
          </cell>
          <cell r="Y244">
            <v>0</v>
          </cell>
          <cell r="AB244">
            <v>1</v>
          </cell>
          <cell r="AC244">
            <v>0</v>
          </cell>
          <cell r="AF244">
            <v>1</v>
          </cell>
          <cell r="AG244">
            <v>0</v>
          </cell>
          <cell r="AJ244">
            <v>1</v>
          </cell>
          <cell r="AK244">
            <v>0</v>
          </cell>
        </row>
        <row r="245">
          <cell r="B245" t="str">
            <v>Communication Cable termination</v>
          </cell>
          <cell r="D245">
            <v>25</v>
          </cell>
          <cell r="E245">
            <v>0</v>
          </cell>
          <cell r="H245">
            <v>25</v>
          </cell>
          <cell r="I245">
            <v>0</v>
          </cell>
          <cell r="L245">
            <v>25</v>
          </cell>
          <cell r="M245">
            <v>0</v>
          </cell>
          <cell r="P245">
            <v>24</v>
          </cell>
          <cell r="Q245">
            <v>24</v>
          </cell>
          <cell r="T245">
            <v>25</v>
          </cell>
          <cell r="U245">
            <v>0</v>
          </cell>
          <cell r="X245">
            <v>25</v>
          </cell>
          <cell r="Y245">
            <v>0</v>
          </cell>
          <cell r="AB245">
            <v>25</v>
          </cell>
          <cell r="AC245">
            <v>0</v>
          </cell>
          <cell r="AF245">
            <v>25</v>
          </cell>
          <cell r="AG245">
            <v>0</v>
          </cell>
          <cell r="AJ245">
            <v>25</v>
          </cell>
          <cell r="AK245">
            <v>0</v>
          </cell>
        </row>
        <row r="246">
          <cell r="B246" t="str">
            <v>Communication Cable termination</v>
          </cell>
          <cell r="D246">
            <v>1</v>
          </cell>
          <cell r="E246">
            <v>0</v>
          </cell>
          <cell r="H246">
            <v>1</v>
          </cell>
          <cell r="I246">
            <v>0</v>
          </cell>
          <cell r="L246">
            <v>1</v>
          </cell>
          <cell r="M246">
            <v>0</v>
          </cell>
          <cell r="P246">
            <v>0</v>
          </cell>
          <cell r="Q246">
            <v>0</v>
          </cell>
          <cell r="T246">
            <v>1</v>
          </cell>
          <cell r="U246">
            <v>0</v>
          </cell>
          <cell r="X246">
            <v>1</v>
          </cell>
          <cell r="Y246">
            <v>0</v>
          </cell>
          <cell r="AB246">
            <v>1</v>
          </cell>
          <cell r="AC246">
            <v>0</v>
          </cell>
          <cell r="AF246">
            <v>1</v>
          </cell>
          <cell r="AG246">
            <v>0</v>
          </cell>
          <cell r="AJ246">
            <v>1</v>
          </cell>
          <cell r="AK246">
            <v>0</v>
          </cell>
        </row>
        <row r="247">
          <cell r="B247" t="str">
            <v>Communication Cable termination</v>
          </cell>
          <cell r="D247">
            <v>9</v>
          </cell>
          <cell r="E247">
            <v>0</v>
          </cell>
          <cell r="H247">
            <v>9</v>
          </cell>
          <cell r="I247">
            <v>0</v>
          </cell>
          <cell r="L247">
            <v>9</v>
          </cell>
          <cell r="M247">
            <v>0</v>
          </cell>
          <cell r="P247">
            <v>8</v>
          </cell>
          <cell r="Q247">
            <v>8</v>
          </cell>
          <cell r="T247">
            <v>9</v>
          </cell>
          <cell r="U247">
            <v>0</v>
          </cell>
          <cell r="X247">
            <v>9</v>
          </cell>
          <cell r="Y247">
            <v>0</v>
          </cell>
          <cell r="AB247">
            <v>9</v>
          </cell>
          <cell r="AC247">
            <v>0</v>
          </cell>
          <cell r="AF247">
            <v>9</v>
          </cell>
          <cell r="AG247">
            <v>0</v>
          </cell>
          <cell r="AJ247">
            <v>9</v>
          </cell>
          <cell r="AK247">
            <v>0</v>
          </cell>
        </row>
        <row r="248">
          <cell r="B248" t="str">
            <v>Communication Cable termination</v>
          </cell>
          <cell r="D248">
            <v>10</v>
          </cell>
          <cell r="E248">
            <v>0</v>
          </cell>
          <cell r="H248">
            <v>10</v>
          </cell>
          <cell r="I248">
            <v>0</v>
          </cell>
          <cell r="L248">
            <v>10</v>
          </cell>
          <cell r="M248">
            <v>0</v>
          </cell>
          <cell r="P248">
            <v>10</v>
          </cell>
          <cell r="Q248">
            <v>10</v>
          </cell>
          <cell r="T248">
            <v>10</v>
          </cell>
          <cell r="U248">
            <v>0</v>
          </cell>
          <cell r="X248">
            <v>10</v>
          </cell>
          <cell r="Y248">
            <v>0</v>
          </cell>
          <cell r="AB248">
            <v>10</v>
          </cell>
          <cell r="AC248">
            <v>0</v>
          </cell>
          <cell r="AF248">
            <v>10</v>
          </cell>
          <cell r="AG248">
            <v>0</v>
          </cell>
          <cell r="AJ248">
            <v>10</v>
          </cell>
          <cell r="AK248">
            <v>0</v>
          </cell>
        </row>
        <row r="249">
          <cell r="B249" t="str">
            <v>Communication Cable termination</v>
          </cell>
          <cell r="D249">
            <v>6</v>
          </cell>
          <cell r="E249">
            <v>0</v>
          </cell>
          <cell r="H249">
            <v>6</v>
          </cell>
          <cell r="I249">
            <v>0</v>
          </cell>
          <cell r="L249">
            <v>6</v>
          </cell>
          <cell r="M249">
            <v>0</v>
          </cell>
          <cell r="P249">
            <v>6</v>
          </cell>
          <cell r="Q249">
            <v>6</v>
          </cell>
          <cell r="T249">
            <v>6</v>
          </cell>
          <cell r="U249">
            <v>0</v>
          </cell>
          <cell r="X249">
            <v>6</v>
          </cell>
          <cell r="Y249">
            <v>0</v>
          </cell>
          <cell r="AB249">
            <v>6</v>
          </cell>
          <cell r="AC249">
            <v>0</v>
          </cell>
          <cell r="AF249">
            <v>6</v>
          </cell>
          <cell r="AG249">
            <v>0</v>
          </cell>
          <cell r="AJ249">
            <v>6</v>
          </cell>
          <cell r="AK249">
            <v>0</v>
          </cell>
        </row>
        <row r="250">
          <cell r="B250" t="str">
            <v>Communication Cable termination</v>
          </cell>
          <cell r="D250">
            <v>24</v>
          </cell>
          <cell r="E250">
            <v>0</v>
          </cell>
          <cell r="H250">
            <v>24</v>
          </cell>
          <cell r="I250">
            <v>0</v>
          </cell>
          <cell r="L250">
            <v>24</v>
          </cell>
          <cell r="M250">
            <v>0</v>
          </cell>
          <cell r="P250">
            <v>24</v>
          </cell>
          <cell r="Q250">
            <v>24</v>
          </cell>
          <cell r="T250">
            <v>24</v>
          </cell>
          <cell r="U250">
            <v>0</v>
          </cell>
          <cell r="X250">
            <v>24</v>
          </cell>
          <cell r="Y250">
            <v>0</v>
          </cell>
          <cell r="AB250">
            <v>24</v>
          </cell>
          <cell r="AC250">
            <v>0</v>
          </cell>
          <cell r="AF250">
            <v>24</v>
          </cell>
          <cell r="AG250">
            <v>0</v>
          </cell>
          <cell r="AJ250">
            <v>24</v>
          </cell>
          <cell r="AK250">
            <v>0</v>
          </cell>
        </row>
        <row r="251">
          <cell r="B251" t="str">
            <v>Communication Cable termination</v>
          </cell>
          <cell r="D251">
            <v>20</v>
          </cell>
          <cell r="E251">
            <v>0</v>
          </cell>
          <cell r="H251">
            <v>20</v>
          </cell>
          <cell r="I251">
            <v>0</v>
          </cell>
          <cell r="L251">
            <v>20</v>
          </cell>
          <cell r="M251">
            <v>0</v>
          </cell>
          <cell r="P251">
            <v>20</v>
          </cell>
          <cell r="Q251">
            <v>20</v>
          </cell>
          <cell r="T251">
            <v>20</v>
          </cell>
          <cell r="U251">
            <v>0</v>
          </cell>
          <cell r="X251">
            <v>20</v>
          </cell>
          <cell r="Y251">
            <v>0</v>
          </cell>
          <cell r="AB251">
            <v>20</v>
          </cell>
          <cell r="AC251">
            <v>0</v>
          </cell>
          <cell r="AF251">
            <v>20</v>
          </cell>
          <cell r="AG251">
            <v>0</v>
          </cell>
          <cell r="AJ251">
            <v>20</v>
          </cell>
          <cell r="AK251">
            <v>0</v>
          </cell>
        </row>
        <row r="252">
          <cell r="B252" t="str">
            <v>Harmonic Filter</v>
          </cell>
          <cell r="D252" t="str">
            <v>Scope</v>
          </cell>
          <cell r="E252" t="str">
            <v>Actual</v>
          </cell>
          <cell r="H252" t="str">
            <v>Scope</v>
          </cell>
          <cell r="I252" t="str">
            <v>Actual</v>
          </cell>
          <cell r="L252" t="str">
            <v>Scope</v>
          </cell>
          <cell r="M252" t="str">
            <v>Actual</v>
          </cell>
          <cell r="P252" t="str">
            <v>Scope</v>
          </cell>
          <cell r="Q252" t="str">
            <v>Actual</v>
          </cell>
          <cell r="T252" t="str">
            <v>Scope</v>
          </cell>
          <cell r="U252" t="str">
            <v>Actual</v>
          </cell>
          <cell r="X252" t="str">
            <v>Scope</v>
          </cell>
          <cell r="Y252" t="str">
            <v>Actual</v>
          </cell>
          <cell r="AB252" t="str">
            <v>Scope</v>
          </cell>
          <cell r="AC252" t="str">
            <v>Actual</v>
          </cell>
          <cell r="AF252" t="str">
            <v>Scope</v>
          </cell>
          <cell r="AG252" t="str">
            <v>Actual</v>
          </cell>
          <cell r="AJ252" t="str">
            <v>Scope</v>
          </cell>
          <cell r="AK252" t="str">
            <v>Actual</v>
          </cell>
        </row>
        <row r="253">
          <cell r="B253" t="str">
            <v>HF - Marking and Excavation</v>
          </cell>
          <cell r="D253">
            <v>8</v>
          </cell>
          <cell r="E253">
            <v>5</v>
          </cell>
        </row>
        <row r="254">
          <cell r="B254" t="str">
            <v>HF - Soil Improvement</v>
          </cell>
          <cell r="D254">
            <v>8</v>
          </cell>
          <cell r="E254">
            <v>5</v>
          </cell>
        </row>
        <row r="255">
          <cell r="B255" t="str">
            <v>HF - PCC</v>
          </cell>
          <cell r="D255">
            <v>8</v>
          </cell>
          <cell r="E255">
            <v>5</v>
          </cell>
        </row>
        <row r="256">
          <cell r="B256" t="str">
            <v>HF - Steel Reinforcement</v>
          </cell>
          <cell r="D256">
            <v>8</v>
          </cell>
          <cell r="E256">
            <v>4</v>
          </cell>
        </row>
        <row r="257">
          <cell r="B257" t="str">
            <v>Harmonic filter raft Casting</v>
          </cell>
          <cell r="D257">
            <v>8</v>
          </cell>
          <cell r="E257">
            <v>4</v>
          </cell>
        </row>
        <row r="258">
          <cell r="B258" t="str">
            <v>HF - Support Structure Erection</v>
          </cell>
          <cell r="D258">
            <v>8</v>
          </cell>
          <cell r="E258">
            <v>4</v>
          </cell>
        </row>
        <row r="259">
          <cell r="B259" t="str">
            <v>HF - Capacitor Bank Erection</v>
          </cell>
          <cell r="D259">
            <v>24</v>
          </cell>
          <cell r="E259">
            <v>0</v>
          </cell>
        </row>
        <row r="260">
          <cell r="B260" t="str">
            <v>HF - Reactor Erection</v>
          </cell>
          <cell r="D260">
            <v>24</v>
          </cell>
          <cell r="E260">
            <v>0</v>
          </cell>
        </row>
        <row r="261">
          <cell r="B261" t="str">
            <v>HF - Isolator With Cable Support &amp; Surge Arrester With Monitor</v>
          </cell>
          <cell r="D261">
            <v>8</v>
          </cell>
          <cell r="E261">
            <v>0</v>
          </cell>
        </row>
        <row r="262">
          <cell r="B262" t="str">
            <v>HF - Earthing</v>
          </cell>
          <cell r="D262">
            <v>0</v>
          </cell>
          <cell r="E262">
            <v>0</v>
          </cell>
        </row>
        <row r="263">
          <cell r="B263" t="str">
            <v>HF - Earth Pit</v>
          </cell>
          <cell r="D263">
            <v>0</v>
          </cell>
          <cell r="E263">
            <v>0</v>
          </cell>
        </row>
        <row r="264">
          <cell r="B264" t="str">
            <v>HF - HT Cable Laying (3Cx300 sqmm)</v>
          </cell>
          <cell r="D264">
            <v>0</v>
          </cell>
          <cell r="E264">
            <v>0</v>
          </cell>
        </row>
        <row r="265">
          <cell r="B265" t="str">
            <v>HF - HT Cable Termination (3Cx300 sqmm)</v>
          </cell>
          <cell r="D265">
            <v>0</v>
          </cell>
          <cell r="E265">
            <v>0</v>
          </cell>
        </row>
        <row r="266">
          <cell r="B266" t="str">
            <v>HF - Cable Laying &amp; Termination (3Cx2.5 sqmm)</v>
          </cell>
          <cell r="D266">
            <v>0</v>
          </cell>
          <cell r="E266">
            <v>0</v>
          </cell>
        </row>
        <row r="267">
          <cell r="B267" t="str">
            <v>HF - Cable Laying &amp; Termination (5Cx2.5 sqmm)</v>
          </cell>
          <cell r="D267">
            <v>0</v>
          </cell>
          <cell r="E267">
            <v>0</v>
          </cell>
        </row>
        <row r="268">
          <cell r="B268" t="str">
            <v>Testing</v>
          </cell>
          <cell r="D268" t="str">
            <v>Scope</v>
          </cell>
          <cell r="E268" t="str">
            <v>Actual</v>
          </cell>
          <cell r="H268" t="str">
            <v>Scope</v>
          </cell>
          <cell r="I268" t="str">
            <v>Actual</v>
          </cell>
          <cell r="L268" t="str">
            <v>Scope</v>
          </cell>
          <cell r="M268" t="str">
            <v>Actual</v>
          </cell>
          <cell r="P268" t="str">
            <v>Scope</v>
          </cell>
          <cell r="Q268" t="str">
            <v>Actual</v>
          </cell>
          <cell r="T268" t="str">
            <v>Scope</v>
          </cell>
          <cell r="U268" t="str">
            <v>Actual</v>
          </cell>
          <cell r="X268" t="str">
            <v>Scope</v>
          </cell>
          <cell r="Y268" t="str">
            <v>Actual</v>
          </cell>
          <cell r="AB268" t="str">
            <v>Scope</v>
          </cell>
          <cell r="AC268" t="str">
            <v>Actual</v>
          </cell>
          <cell r="AF268" t="str">
            <v>Scope</v>
          </cell>
          <cell r="AG268" t="str">
            <v>Actual</v>
          </cell>
          <cell r="AJ268" t="str">
            <v>Scope</v>
          </cell>
          <cell r="AK268" t="str">
            <v>Actual</v>
          </cell>
        </row>
        <row r="269">
          <cell r="B269" t="str">
            <v>CT Oil Filteration</v>
          </cell>
          <cell r="D269">
            <v>6</v>
          </cell>
          <cell r="E269">
            <v>6</v>
          </cell>
          <cell r="H269">
            <v>6</v>
          </cell>
          <cell r="I269">
            <v>6</v>
          </cell>
          <cell r="L269">
            <v>6</v>
          </cell>
          <cell r="M269">
            <v>6</v>
          </cell>
          <cell r="P269">
            <v>6</v>
          </cell>
          <cell r="Q269">
            <v>6</v>
          </cell>
          <cell r="T269">
            <v>6</v>
          </cell>
          <cell r="U269">
            <v>0</v>
          </cell>
          <cell r="X269">
            <v>6</v>
          </cell>
          <cell r="Y269">
            <v>0</v>
          </cell>
          <cell r="AB269">
            <v>6</v>
          </cell>
          <cell r="AC269">
            <v>0</v>
          </cell>
          <cell r="AF269">
            <v>6</v>
          </cell>
          <cell r="AG269">
            <v>0</v>
          </cell>
          <cell r="AJ269">
            <v>6</v>
          </cell>
          <cell r="AK269">
            <v>0</v>
          </cell>
        </row>
        <row r="270">
          <cell r="B270" t="str">
            <v>CT SFRA &amp; Tan delta Test</v>
          </cell>
          <cell r="D270">
            <v>6</v>
          </cell>
          <cell r="E270">
            <v>6</v>
          </cell>
          <cell r="H270">
            <v>6</v>
          </cell>
          <cell r="I270">
            <v>6</v>
          </cell>
          <cell r="L270">
            <v>6</v>
          </cell>
          <cell r="M270">
            <v>6</v>
          </cell>
          <cell r="P270">
            <v>6</v>
          </cell>
          <cell r="Q270">
            <v>6</v>
          </cell>
          <cell r="T270">
            <v>6</v>
          </cell>
          <cell r="U270">
            <v>0</v>
          </cell>
          <cell r="X270">
            <v>6</v>
          </cell>
          <cell r="Y270">
            <v>0</v>
          </cell>
          <cell r="AB270">
            <v>6</v>
          </cell>
          <cell r="AC270">
            <v>0</v>
          </cell>
          <cell r="AF270">
            <v>6</v>
          </cell>
          <cell r="AG270">
            <v>0</v>
          </cell>
          <cell r="AJ270">
            <v>6</v>
          </cell>
          <cell r="AK270">
            <v>0</v>
          </cell>
        </row>
        <row r="271">
          <cell r="B271" t="str">
            <v>CT SFRA Test</v>
          </cell>
          <cell r="D271">
            <v>6</v>
          </cell>
          <cell r="E271">
            <v>6</v>
          </cell>
          <cell r="H271">
            <v>6</v>
          </cell>
          <cell r="I271">
            <v>6</v>
          </cell>
          <cell r="L271">
            <v>6</v>
          </cell>
          <cell r="M271">
            <v>6</v>
          </cell>
          <cell r="P271">
            <v>6</v>
          </cell>
          <cell r="Q271">
            <v>6</v>
          </cell>
          <cell r="T271">
            <v>6</v>
          </cell>
          <cell r="U271">
            <v>0</v>
          </cell>
          <cell r="X271">
            <v>6</v>
          </cell>
          <cell r="Y271">
            <v>0</v>
          </cell>
          <cell r="AB271">
            <v>6</v>
          </cell>
          <cell r="AC271">
            <v>0</v>
          </cell>
          <cell r="AF271">
            <v>6</v>
          </cell>
          <cell r="AG271">
            <v>0</v>
          </cell>
          <cell r="AJ271">
            <v>6</v>
          </cell>
          <cell r="AK271">
            <v>0</v>
          </cell>
        </row>
        <row r="272">
          <cell r="B272" t="str">
            <v>CT Tan Delta Test</v>
          </cell>
          <cell r="D272">
            <v>6</v>
          </cell>
          <cell r="E272">
            <v>6</v>
          </cell>
          <cell r="H272">
            <v>6</v>
          </cell>
          <cell r="I272">
            <v>6</v>
          </cell>
          <cell r="L272">
            <v>6</v>
          </cell>
          <cell r="M272">
            <v>6</v>
          </cell>
          <cell r="P272">
            <v>6</v>
          </cell>
          <cell r="Q272">
            <v>6</v>
          </cell>
          <cell r="T272">
            <v>6</v>
          </cell>
          <cell r="U272">
            <v>0</v>
          </cell>
          <cell r="X272">
            <v>6</v>
          </cell>
          <cell r="Y272">
            <v>0</v>
          </cell>
          <cell r="AB272">
            <v>6</v>
          </cell>
          <cell r="AC272">
            <v>0</v>
          </cell>
          <cell r="AF272">
            <v>6</v>
          </cell>
          <cell r="AG272">
            <v>0</v>
          </cell>
          <cell r="AJ272">
            <v>6</v>
          </cell>
          <cell r="AK272">
            <v>0</v>
          </cell>
        </row>
        <row r="273">
          <cell r="B273" t="str">
            <v>CT Routine Test</v>
          </cell>
          <cell r="D273">
            <v>6</v>
          </cell>
          <cell r="E273">
            <v>0</v>
          </cell>
          <cell r="H273">
            <v>6</v>
          </cell>
          <cell r="I273">
            <v>0</v>
          </cell>
          <cell r="L273">
            <v>6</v>
          </cell>
          <cell r="M273">
            <v>6</v>
          </cell>
          <cell r="P273">
            <v>6</v>
          </cell>
          <cell r="Q273">
            <v>6</v>
          </cell>
          <cell r="T273">
            <v>6</v>
          </cell>
          <cell r="U273">
            <v>0</v>
          </cell>
          <cell r="X273">
            <v>6</v>
          </cell>
          <cell r="Y273">
            <v>0</v>
          </cell>
          <cell r="AB273">
            <v>6</v>
          </cell>
          <cell r="AC273">
            <v>0</v>
          </cell>
          <cell r="AF273">
            <v>6</v>
          </cell>
          <cell r="AG273">
            <v>0</v>
          </cell>
          <cell r="AJ273">
            <v>6</v>
          </cell>
          <cell r="AK273">
            <v>0</v>
          </cell>
        </row>
        <row r="274">
          <cell r="B274" t="str">
            <v>CT Current Transformer Test</v>
          </cell>
          <cell r="D274">
            <v>6</v>
          </cell>
          <cell r="E274">
            <v>0</v>
          </cell>
          <cell r="H274">
            <v>6</v>
          </cell>
          <cell r="I274">
            <v>0</v>
          </cell>
          <cell r="L274">
            <v>6</v>
          </cell>
          <cell r="M274">
            <v>0</v>
          </cell>
          <cell r="P274">
            <v>6</v>
          </cell>
          <cell r="Q274">
            <v>6</v>
          </cell>
          <cell r="T274">
            <v>6</v>
          </cell>
          <cell r="U274">
            <v>0</v>
          </cell>
          <cell r="X274">
            <v>6</v>
          </cell>
          <cell r="Y274">
            <v>0</v>
          </cell>
          <cell r="AB274">
            <v>6</v>
          </cell>
          <cell r="AC274">
            <v>0</v>
          </cell>
          <cell r="AF274">
            <v>6</v>
          </cell>
          <cell r="AG274">
            <v>0</v>
          </cell>
          <cell r="AJ274">
            <v>6</v>
          </cell>
          <cell r="AK274">
            <v>0</v>
          </cell>
        </row>
        <row r="275">
          <cell r="B275" t="str">
            <v>CT Control scheme &amp; Stability Test</v>
          </cell>
          <cell r="D275">
            <v>6</v>
          </cell>
          <cell r="E275">
            <v>0</v>
          </cell>
          <cell r="H275">
            <v>6</v>
          </cell>
          <cell r="I275">
            <v>0</v>
          </cell>
          <cell r="L275">
            <v>6</v>
          </cell>
          <cell r="M275">
            <v>0</v>
          </cell>
          <cell r="P275">
            <v>6</v>
          </cell>
          <cell r="Q275">
            <v>6</v>
          </cell>
          <cell r="T275">
            <v>6</v>
          </cell>
          <cell r="U275">
            <v>0</v>
          </cell>
          <cell r="X275">
            <v>6</v>
          </cell>
          <cell r="Y275">
            <v>0</v>
          </cell>
          <cell r="AB275">
            <v>6</v>
          </cell>
          <cell r="AC275">
            <v>0</v>
          </cell>
          <cell r="AF275">
            <v>6</v>
          </cell>
          <cell r="AG275">
            <v>0</v>
          </cell>
          <cell r="AJ275">
            <v>6</v>
          </cell>
          <cell r="AK275">
            <v>0</v>
          </cell>
        </row>
        <row r="276">
          <cell r="B276" t="str">
            <v>CT Control Scheme Test (Transformer protection simulation with SCADA)</v>
          </cell>
          <cell r="D276">
            <v>6</v>
          </cell>
          <cell r="E276">
            <v>0</v>
          </cell>
          <cell r="H276">
            <v>6</v>
          </cell>
          <cell r="I276">
            <v>0</v>
          </cell>
          <cell r="L276">
            <v>6</v>
          </cell>
          <cell r="M276">
            <v>0</v>
          </cell>
          <cell r="P276">
            <v>6</v>
          </cell>
          <cell r="Q276">
            <v>6</v>
          </cell>
          <cell r="T276">
            <v>6</v>
          </cell>
          <cell r="U276">
            <v>0</v>
          </cell>
          <cell r="X276">
            <v>6</v>
          </cell>
          <cell r="Y276">
            <v>0</v>
          </cell>
          <cell r="AB276">
            <v>6</v>
          </cell>
          <cell r="AC276">
            <v>0</v>
          </cell>
          <cell r="AF276">
            <v>6</v>
          </cell>
          <cell r="AG276">
            <v>0</v>
          </cell>
          <cell r="AJ276">
            <v>6</v>
          </cell>
          <cell r="AK276">
            <v>0</v>
          </cell>
        </row>
        <row r="277">
          <cell r="B277" t="str">
            <v>CT Stability</v>
          </cell>
          <cell r="D277">
            <v>6</v>
          </cell>
          <cell r="E277">
            <v>0</v>
          </cell>
          <cell r="H277">
            <v>6</v>
          </cell>
          <cell r="I277">
            <v>0</v>
          </cell>
          <cell r="L277">
            <v>6</v>
          </cell>
          <cell r="M277">
            <v>0</v>
          </cell>
          <cell r="P277">
            <v>6</v>
          </cell>
          <cell r="Q277">
            <v>6</v>
          </cell>
          <cell r="T277">
            <v>6</v>
          </cell>
          <cell r="U277">
            <v>0</v>
          </cell>
          <cell r="X277">
            <v>6</v>
          </cell>
          <cell r="Y277">
            <v>0</v>
          </cell>
          <cell r="AB277">
            <v>6</v>
          </cell>
          <cell r="AC277">
            <v>0</v>
          </cell>
          <cell r="AF277">
            <v>6</v>
          </cell>
          <cell r="AG277">
            <v>0</v>
          </cell>
          <cell r="AJ277">
            <v>6</v>
          </cell>
          <cell r="AK277">
            <v>0</v>
          </cell>
        </row>
        <row r="278">
          <cell r="B278" t="str">
            <v>HT Panel Routine (CT &amp; PT, Breaker &amp; Meter) Test</v>
          </cell>
          <cell r="D278">
            <v>12</v>
          </cell>
          <cell r="E278">
            <v>0</v>
          </cell>
          <cell r="H278">
            <v>12</v>
          </cell>
          <cell r="I278">
            <v>0</v>
          </cell>
          <cell r="L278">
            <v>12</v>
          </cell>
          <cell r="M278">
            <v>0</v>
          </cell>
          <cell r="P278">
            <v>12</v>
          </cell>
          <cell r="Q278">
            <v>12</v>
          </cell>
          <cell r="T278">
            <v>12</v>
          </cell>
          <cell r="U278">
            <v>0</v>
          </cell>
          <cell r="X278">
            <v>12</v>
          </cell>
          <cell r="Y278">
            <v>0</v>
          </cell>
          <cell r="AB278">
            <v>12</v>
          </cell>
          <cell r="AC278">
            <v>0</v>
          </cell>
          <cell r="AF278">
            <v>12</v>
          </cell>
          <cell r="AG278">
            <v>0</v>
          </cell>
          <cell r="AJ278">
            <v>12</v>
          </cell>
          <cell r="AK278">
            <v>0</v>
          </cell>
        </row>
        <row r="279">
          <cell r="B279" t="str">
            <v>HT Panel CT &amp; PT Test</v>
          </cell>
          <cell r="D279">
            <v>12</v>
          </cell>
          <cell r="E279">
            <v>0</v>
          </cell>
          <cell r="H279">
            <v>12</v>
          </cell>
          <cell r="I279">
            <v>0</v>
          </cell>
          <cell r="L279">
            <v>12</v>
          </cell>
          <cell r="M279">
            <v>0</v>
          </cell>
          <cell r="P279">
            <v>12</v>
          </cell>
          <cell r="Q279">
            <v>12</v>
          </cell>
          <cell r="T279">
            <v>12</v>
          </cell>
          <cell r="U279">
            <v>0</v>
          </cell>
          <cell r="X279">
            <v>12</v>
          </cell>
          <cell r="Y279">
            <v>0</v>
          </cell>
          <cell r="AB279">
            <v>12</v>
          </cell>
          <cell r="AC279">
            <v>0</v>
          </cell>
          <cell r="AF279">
            <v>12</v>
          </cell>
          <cell r="AG279">
            <v>0</v>
          </cell>
          <cell r="AJ279">
            <v>12</v>
          </cell>
          <cell r="AK279">
            <v>0</v>
          </cell>
        </row>
        <row r="280">
          <cell r="B280" t="str">
            <v>HT Panel Breaker Test</v>
          </cell>
          <cell r="D280">
            <v>12</v>
          </cell>
          <cell r="E280">
            <v>0</v>
          </cell>
          <cell r="H280">
            <v>12</v>
          </cell>
          <cell r="I280">
            <v>0</v>
          </cell>
          <cell r="L280">
            <v>12</v>
          </cell>
          <cell r="M280">
            <v>12</v>
          </cell>
          <cell r="P280">
            <v>12</v>
          </cell>
          <cell r="Q280">
            <v>12</v>
          </cell>
          <cell r="T280">
            <v>12</v>
          </cell>
          <cell r="U280">
            <v>0</v>
          </cell>
          <cell r="X280">
            <v>12</v>
          </cell>
          <cell r="Y280">
            <v>0</v>
          </cell>
          <cell r="AB280">
            <v>12</v>
          </cell>
          <cell r="AC280">
            <v>0</v>
          </cell>
          <cell r="AF280">
            <v>12</v>
          </cell>
          <cell r="AG280">
            <v>0</v>
          </cell>
          <cell r="AJ280">
            <v>12</v>
          </cell>
          <cell r="AK280">
            <v>0</v>
          </cell>
        </row>
        <row r="281">
          <cell r="B281" t="str">
            <v>HT Panel Meter Check (CT Primary Injection)</v>
          </cell>
          <cell r="D281">
            <v>12</v>
          </cell>
          <cell r="E281">
            <v>0</v>
          </cell>
          <cell r="H281">
            <v>12</v>
          </cell>
          <cell r="I281">
            <v>0</v>
          </cell>
          <cell r="L281">
            <v>12</v>
          </cell>
          <cell r="M281">
            <v>0</v>
          </cell>
          <cell r="P281">
            <v>12</v>
          </cell>
          <cell r="Q281">
            <v>12</v>
          </cell>
          <cell r="T281">
            <v>12</v>
          </cell>
          <cell r="U281">
            <v>0</v>
          </cell>
          <cell r="X281">
            <v>12</v>
          </cell>
          <cell r="Y281">
            <v>0</v>
          </cell>
          <cell r="AB281">
            <v>12</v>
          </cell>
          <cell r="AC281">
            <v>0</v>
          </cell>
          <cell r="AF281">
            <v>12</v>
          </cell>
          <cell r="AG281">
            <v>0</v>
          </cell>
          <cell r="AJ281">
            <v>12</v>
          </cell>
          <cell r="AK281">
            <v>0</v>
          </cell>
        </row>
        <row r="282">
          <cell r="B282" t="str">
            <v>HT Panel - Panel Scheme checking &amp; relay BIBO Test</v>
          </cell>
          <cell r="D282">
            <v>12</v>
          </cell>
          <cell r="E282">
            <v>0</v>
          </cell>
          <cell r="H282">
            <v>12</v>
          </cell>
          <cell r="I282">
            <v>0</v>
          </cell>
          <cell r="L282">
            <v>12</v>
          </cell>
          <cell r="M282">
            <v>0</v>
          </cell>
          <cell r="P282">
            <v>12</v>
          </cell>
          <cell r="Q282">
            <v>0</v>
          </cell>
          <cell r="T282">
            <v>12</v>
          </cell>
          <cell r="U282">
            <v>0</v>
          </cell>
          <cell r="X282">
            <v>12</v>
          </cell>
          <cell r="Y282">
            <v>0</v>
          </cell>
          <cell r="AB282">
            <v>12</v>
          </cell>
          <cell r="AC282">
            <v>0</v>
          </cell>
          <cell r="AF282">
            <v>12</v>
          </cell>
          <cell r="AG282">
            <v>0</v>
          </cell>
          <cell r="AJ282">
            <v>12</v>
          </cell>
          <cell r="AK282">
            <v>0</v>
          </cell>
        </row>
        <row r="283">
          <cell r="B283" t="str">
            <v>HT Panel Relay Test</v>
          </cell>
          <cell r="D283">
            <v>16</v>
          </cell>
          <cell r="E283">
            <v>0</v>
          </cell>
          <cell r="H283">
            <v>16</v>
          </cell>
          <cell r="I283">
            <v>0</v>
          </cell>
          <cell r="L283">
            <v>16</v>
          </cell>
          <cell r="M283">
            <v>0</v>
          </cell>
          <cell r="P283">
            <v>16</v>
          </cell>
          <cell r="Q283">
            <v>16</v>
          </cell>
          <cell r="T283">
            <v>16</v>
          </cell>
          <cell r="U283">
            <v>0</v>
          </cell>
          <cell r="X283">
            <v>16</v>
          </cell>
          <cell r="Y283">
            <v>0</v>
          </cell>
          <cell r="AB283">
            <v>16</v>
          </cell>
          <cell r="AC283">
            <v>0</v>
          </cell>
          <cell r="AF283">
            <v>16</v>
          </cell>
          <cell r="AG283">
            <v>0</v>
          </cell>
          <cell r="AJ283">
            <v>16</v>
          </cell>
          <cell r="AK283">
            <v>0</v>
          </cell>
        </row>
        <row r="284">
          <cell r="B284" t="str">
            <v>HT Cable VLF Test</v>
          </cell>
          <cell r="D284">
            <v>14</v>
          </cell>
          <cell r="E284">
            <v>0</v>
          </cell>
          <cell r="H284">
            <v>14</v>
          </cell>
          <cell r="I284">
            <v>0</v>
          </cell>
          <cell r="L284">
            <v>14</v>
          </cell>
          <cell r="M284">
            <v>14</v>
          </cell>
          <cell r="P284">
            <v>14</v>
          </cell>
          <cell r="Q284">
            <v>14</v>
          </cell>
          <cell r="T284">
            <v>14</v>
          </cell>
          <cell r="U284">
            <v>0</v>
          </cell>
          <cell r="X284">
            <v>14</v>
          </cell>
          <cell r="Y284">
            <v>0</v>
          </cell>
          <cell r="AB284">
            <v>14</v>
          </cell>
          <cell r="AC284">
            <v>0</v>
          </cell>
          <cell r="AF284">
            <v>14</v>
          </cell>
          <cell r="AG284">
            <v>0</v>
          </cell>
          <cell r="AJ284">
            <v>14</v>
          </cell>
          <cell r="AK284">
            <v>0</v>
          </cell>
        </row>
        <row r="285">
          <cell r="B285" t="str">
            <v>CSS - Dry Type Transformer Test</v>
          </cell>
          <cell r="D285">
            <v>1</v>
          </cell>
          <cell r="E285">
            <v>0</v>
          </cell>
          <cell r="H285">
            <v>1</v>
          </cell>
          <cell r="I285">
            <v>0</v>
          </cell>
          <cell r="L285">
            <v>1</v>
          </cell>
          <cell r="M285">
            <v>1</v>
          </cell>
          <cell r="P285">
            <v>1</v>
          </cell>
          <cell r="Q285">
            <v>1</v>
          </cell>
          <cell r="T285">
            <v>1</v>
          </cell>
          <cell r="U285">
            <v>0</v>
          </cell>
          <cell r="X285">
            <v>1</v>
          </cell>
          <cell r="Y285">
            <v>0</v>
          </cell>
          <cell r="AB285">
            <v>1</v>
          </cell>
          <cell r="AC285">
            <v>0</v>
          </cell>
          <cell r="AF285">
            <v>1</v>
          </cell>
          <cell r="AG285">
            <v>0</v>
          </cell>
          <cell r="AJ285">
            <v>1</v>
          </cell>
          <cell r="AK285">
            <v>0</v>
          </cell>
        </row>
        <row r="286">
          <cell r="B286" t="str">
            <v>CSS  routine test</v>
          </cell>
          <cell r="D286">
            <v>1</v>
          </cell>
          <cell r="E286">
            <v>0</v>
          </cell>
          <cell r="H286">
            <v>1</v>
          </cell>
          <cell r="I286">
            <v>0</v>
          </cell>
          <cell r="L286">
            <v>1</v>
          </cell>
          <cell r="M286">
            <v>0</v>
          </cell>
          <cell r="P286">
            <v>1</v>
          </cell>
          <cell r="Q286">
            <v>1</v>
          </cell>
          <cell r="T286">
            <v>1</v>
          </cell>
          <cell r="U286">
            <v>0</v>
          </cell>
          <cell r="X286">
            <v>1</v>
          </cell>
          <cell r="Y286">
            <v>0</v>
          </cell>
          <cell r="AB286">
            <v>1</v>
          </cell>
          <cell r="AC286">
            <v>0</v>
          </cell>
          <cell r="AF286">
            <v>1</v>
          </cell>
          <cell r="AG286">
            <v>0</v>
          </cell>
          <cell r="AJ286">
            <v>1</v>
          </cell>
          <cell r="AK286">
            <v>0</v>
          </cell>
        </row>
        <row r="287">
          <cell r="B287" t="str">
            <v>ACDB routine test</v>
          </cell>
          <cell r="D287">
            <v>6</v>
          </cell>
          <cell r="E287">
            <v>0</v>
          </cell>
          <cell r="H287">
            <v>6</v>
          </cell>
          <cell r="I287">
            <v>0</v>
          </cell>
          <cell r="L287">
            <v>6</v>
          </cell>
          <cell r="M287">
            <v>6</v>
          </cell>
          <cell r="P287">
            <v>6</v>
          </cell>
          <cell r="Q287">
            <v>6</v>
          </cell>
          <cell r="T287">
            <v>6</v>
          </cell>
          <cell r="U287">
            <v>0</v>
          </cell>
          <cell r="X287">
            <v>6</v>
          </cell>
          <cell r="Y287">
            <v>0</v>
          </cell>
          <cell r="AB287">
            <v>6</v>
          </cell>
          <cell r="AC287">
            <v>0</v>
          </cell>
          <cell r="AF287">
            <v>6</v>
          </cell>
          <cell r="AG287">
            <v>0</v>
          </cell>
          <cell r="AJ287">
            <v>6</v>
          </cell>
          <cell r="AK287">
            <v>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SS 12"/>
      <sheetName val="Vstack B12"/>
    </sheetNames>
    <sheetDataSet>
      <sheetData sheetId="0">
        <row r="4">
          <cell r="B4" t="str">
            <v>o</v>
          </cell>
          <cell r="E4">
            <v>384</v>
          </cell>
          <cell r="F4">
            <v>384</v>
          </cell>
          <cell r="I4">
            <v>384</v>
          </cell>
          <cell r="J4">
            <v>384</v>
          </cell>
          <cell r="M4">
            <v>384</v>
          </cell>
          <cell r="N4">
            <v>384</v>
          </cell>
          <cell r="Q4">
            <v>384</v>
          </cell>
          <cell r="R4">
            <v>384</v>
          </cell>
          <cell r="U4">
            <v>384</v>
          </cell>
          <cell r="V4">
            <v>384</v>
          </cell>
          <cell r="Y4">
            <v>384</v>
          </cell>
          <cell r="Z4">
            <v>384</v>
          </cell>
          <cell r="AC4">
            <v>384</v>
          </cell>
          <cell r="AD4">
            <v>384</v>
          </cell>
          <cell r="AG4">
            <v>384</v>
          </cell>
          <cell r="AH4">
            <v>384</v>
          </cell>
        </row>
        <row r="5">
          <cell r="B5" t="str">
            <v>BCF - Reinforcement and Insert Plate Fixing</v>
          </cell>
          <cell r="E5">
            <v>384</v>
          </cell>
          <cell r="F5">
            <v>384</v>
          </cell>
          <cell r="I5">
            <v>384</v>
          </cell>
          <cell r="J5">
            <v>384</v>
          </cell>
          <cell r="M5">
            <v>384</v>
          </cell>
          <cell r="N5">
            <v>384</v>
          </cell>
          <cell r="Q5">
            <v>384</v>
          </cell>
          <cell r="R5">
            <v>384</v>
          </cell>
          <cell r="U5">
            <v>384</v>
          </cell>
          <cell r="V5">
            <v>384</v>
          </cell>
          <cell r="Y5">
            <v>384</v>
          </cell>
          <cell r="Z5">
            <v>384</v>
          </cell>
          <cell r="AC5">
            <v>384</v>
          </cell>
          <cell r="AD5">
            <v>384</v>
          </cell>
          <cell r="AG5">
            <v>384</v>
          </cell>
          <cell r="AH5">
            <v>384</v>
          </cell>
        </row>
        <row r="6">
          <cell r="B6" t="str">
            <v>BCF - Pile Built Up</v>
          </cell>
          <cell r="E6">
            <v>384</v>
          </cell>
          <cell r="F6">
            <v>384</v>
          </cell>
          <cell r="I6">
            <v>384</v>
          </cell>
          <cell r="J6">
            <v>384</v>
          </cell>
          <cell r="M6">
            <v>384</v>
          </cell>
          <cell r="N6">
            <v>384</v>
          </cell>
          <cell r="Q6">
            <v>384</v>
          </cell>
          <cell r="R6">
            <v>384</v>
          </cell>
          <cell r="U6">
            <v>384</v>
          </cell>
          <cell r="V6">
            <v>384</v>
          </cell>
          <cell r="Y6">
            <v>384</v>
          </cell>
          <cell r="Z6">
            <v>384</v>
          </cell>
          <cell r="AC6">
            <v>384</v>
          </cell>
          <cell r="AD6">
            <v>384</v>
          </cell>
          <cell r="AG6">
            <v>384</v>
          </cell>
          <cell r="AH6">
            <v>384</v>
          </cell>
        </row>
        <row r="7">
          <cell r="B7" t="str">
            <v>BCF - Precast Erection</v>
          </cell>
          <cell r="E7">
            <v>48</v>
          </cell>
          <cell r="F7">
            <v>48</v>
          </cell>
          <cell r="I7">
            <v>48</v>
          </cell>
          <cell r="J7">
            <v>48</v>
          </cell>
          <cell r="M7">
            <v>48</v>
          </cell>
          <cell r="N7">
            <v>48</v>
          </cell>
          <cell r="Q7">
            <v>48</v>
          </cell>
          <cell r="R7">
            <v>48</v>
          </cell>
          <cell r="U7">
            <v>48</v>
          </cell>
          <cell r="V7">
            <v>48</v>
          </cell>
          <cell r="Y7">
            <v>48</v>
          </cell>
          <cell r="Z7">
            <v>48</v>
          </cell>
          <cell r="AC7">
            <v>48</v>
          </cell>
          <cell r="AD7">
            <v>48</v>
          </cell>
          <cell r="AG7">
            <v>48</v>
          </cell>
          <cell r="AH7">
            <v>48</v>
          </cell>
        </row>
        <row r="8">
          <cell r="B8" t="str">
            <v>BCF Precast Erection &amp; Welding</v>
          </cell>
          <cell r="E8">
            <v>48</v>
          </cell>
          <cell r="F8">
            <v>48</v>
          </cell>
          <cell r="I8">
            <v>48</v>
          </cell>
          <cell r="J8">
            <v>48</v>
          </cell>
          <cell r="M8">
            <v>48</v>
          </cell>
          <cell r="N8">
            <v>48</v>
          </cell>
          <cell r="Q8">
            <v>48</v>
          </cell>
          <cell r="R8">
            <v>48</v>
          </cell>
          <cell r="U8">
            <v>48</v>
          </cell>
          <cell r="V8">
            <v>48</v>
          </cell>
          <cell r="Y8">
            <v>48</v>
          </cell>
          <cell r="Z8">
            <v>48</v>
          </cell>
          <cell r="AC8">
            <v>48</v>
          </cell>
          <cell r="AD8">
            <v>48</v>
          </cell>
          <cell r="AG8">
            <v>48</v>
          </cell>
          <cell r="AH8">
            <v>48</v>
          </cell>
        </row>
        <row r="9">
          <cell r="B9" t="str">
            <v>BCF - GSB Gillling above FGL</v>
          </cell>
          <cell r="E9">
            <v>48</v>
          </cell>
          <cell r="F9">
            <v>0</v>
          </cell>
          <cell r="I9">
            <v>48</v>
          </cell>
          <cell r="J9">
            <v>0</v>
          </cell>
          <cell r="M9">
            <v>48</v>
          </cell>
          <cell r="N9">
            <v>0</v>
          </cell>
          <cell r="Q9">
            <v>48</v>
          </cell>
          <cell r="R9">
            <v>0</v>
          </cell>
          <cell r="U9">
            <v>48</v>
          </cell>
          <cell r="V9">
            <v>0</v>
          </cell>
          <cell r="Y9">
            <v>48</v>
          </cell>
          <cell r="Z9">
            <v>0</v>
          </cell>
          <cell r="AC9">
            <v>48</v>
          </cell>
          <cell r="AD9">
            <v>0</v>
          </cell>
          <cell r="AG9">
            <v>48</v>
          </cell>
          <cell r="AH9">
            <v>0</v>
          </cell>
        </row>
        <row r="10">
          <cell r="B10" t="str">
            <v>Battery Container Erection</v>
          </cell>
          <cell r="E10">
            <v>48</v>
          </cell>
          <cell r="F10">
            <v>48</v>
          </cell>
          <cell r="I10">
            <v>48</v>
          </cell>
          <cell r="J10">
            <v>48</v>
          </cell>
          <cell r="M10">
            <v>48</v>
          </cell>
          <cell r="N10">
            <v>48</v>
          </cell>
          <cell r="Q10">
            <v>48</v>
          </cell>
          <cell r="R10">
            <v>48</v>
          </cell>
          <cell r="U10">
            <v>48</v>
          </cell>
          <cell r="V10">
            <v>47</v>
          </cell>
          <cell r="Y10">
            <v>48</v>
          </cell>
          <cell r="Z10">
            <v>0</v>
          </cell>
          <cell r="AC10">
            <v>48</v>
          </cell>
          <cell r="AD10">
            <v>0</v>
          </cell>
          <cell r="AG10">
            <v>48</v>
          </cell>
          <cell r="AH10">
            <v>0</v>
          </cell>
        </row>
        <row r="11">
          <cell r="B11" t="str">
            <v>CT - Tesla</v>
          </cell>
          <cell r="E11" t="str">
            <v>Scope</v>
          </cell>
          <cell r="F11" t="str">
            <v>Actual</v>
          </cell>
          <cell r="I11" t="str">
            <v>Scope</v>
          </cell>
          <cell r="J11" t="str">
            <v>Actual</v>
          </cell>
          <cell r="M11" t="str">
            <v>Scope</v>
          </cell>
          <cell r="N11" t="str">
            <v>Actual</v>
          </cell>
          <cell r="Q11" t="str">
            <v>Scope</v>
          </cell>
          <cell r="R11" t="str">
            <v>Actual</v>
          </cell>
          <cell r="U11" t="str">
            <v>Scope</v>
          </cell>
          <cell r="V11" t="str">
            <v>Actual</v>
          </cell>
          <cell r="Y11" t="str">
            <v>Scope</v>
          </cell>
          <cell r="Z11" t="str">
            <v>Actual</v>
          </cell>
          <cell r="AC11" t="str">
            <v>Scope</v>
          </cell>
          <cell r="AD11" t="str">
            <v>Actual</v>
          </cell>
          <cell r="AG11" t="str">
            <v>Scope</v>
          </cell>
          <cell r="AH11" t="str">
            <v>Actual</v>
          </cell>
        </row>
        <row r="12">
          <cell r="B12" t="str">
            <v>CT - Marking and Excavation</v>
          </cell>
          <cell r="E12">
            <v>6</v>
          </cell>
          <cell r="F12">
            <v>6</v>
          </cell>
          <cell r="I12">
            <v>6</v>
          </cell>
          <cell r="J12">
            <v>6</v>
          </cell>
          <cell r="M12">
            <v>6</v>
          </cell>
          <cell r="N12">
            <v>6</v>
          </cell>
          <cell r="Q12">
            <v>6</v>
          </cell>
          <cell r="R12">
            <v>6</v>
          </cell>
          <cell r="U12">
            <v>6</v>
          </cell>
          <cell r="V12">
            <v>6</v>
          </cell>
          <cell r="Y12">
            <v>6</v>
          </cell>
          <cell r="Z12">
            <v>6</v>
          </cell>
          <cell r="AC12">
            <v>6</v>
          </cell>
          <cell r="AD12">
            <v>6</v>
          </cell>
          <cell r="AG12">
            <v>6</v>
          </cell>
          <cell r="AH12">
            <v>6</v>
          </cell>
        </row>
        <row r="13">
          <cell r="B13" t="str">
            <v>CT - Soil Improvement/Plum concrete</v>
          </cell>
          <cell r="E13">
            <v>6</v>
          </cell>
          <cell r="F13">
            <v>6</v>
          </cell>
          <cell r="I13">
            <v>6</v>
          </cell>
          <cell r="J13">
            <v>6</v>
          </cell>
          <cell r="M13">
            <v>6</v>
          </cell>
          <cell r="N13">
            <v>6</v>
          </cell>
          <cell r="Q13">
            <v>6</v>
          </cell>
          <cell r="R13">
            <v>6</v>
          </cell>
          <cell r="U13">
            <v>6</v>
          </cell>
          <cell r="V13">
            <v>6</v>
          </cell>
          <cell r="Y13">
            <v>6</v>
          </cell>
          <cell r="Z13">
            <v>6</v>
          </cell>
          <cell r="AC13">
            <v>6</v>
          </cell>
          <cell r="AD13">
            <v>6</v>
          </cell>
          <cell r="AG13">
            <v>6</v>
          </cell>
          <cell r="AH13">
            <v>6</v>
          </cell>
        </row>
        <row r="14">
          <cell r="B14" t="str">
            <v>CT - PCC</v>
          </cell>
          <cell r="E14">
            <v>6</v>
          </cell>
          <cell r="F14">
            <v>6</v>
          </cell>
          <cell r="I14">
            <v>6</v>
          </cell>
          <cell r="J14">
            <v>6</v>
          </cell>
          <cell r="M14">
            <v>6</v>
          </cell>
          <cell r="N14">
            <v>6</v>
          </cell>
          <cell r="Q14">
            <v>6</v>
          </cell>
          <cell r="R14">
            <v>6</v>
          </cell>
          <cell r="U14">
            <v>6</v>
          </cell>
          <cell r="V14">
            <v>6</v>
          </cell>
          <cell r="Y14">
            <v>6</v>
          </cell>
          <cell r="Z14">
            <v>6</v>
          </cell>
          <cell r="AC14">
            <v>6</v>
          </cell>
          <cell r="AD14">
            <v>6</v>
          </cell>
          <cell r="AG14">
            <v>6</v>
          </cell>
          <cell r="AH14">
            <v>6</v>
          </cell>
        </row>
        <row r="15">
          <cell r="B15" t="str">
            <v>CT - Raft Casting</v>
          </cell>
          <cell r="E15">
            <v>6</v>
          </cell>
          <cell r="F15">
            <v>6</v>
          </cell>
          <cell r="I15">
            <v>6</v>
          </cell>
          <cell r="J15">
            <v>6</v>
          </cell>
          <cell r="M15">
            <v>6</v>
          </cell>
          <cell r="N15">
            <v>6</v>
          </cell>
          <cell r="Q15">
            <v>6</v>
          </cell>
          <cell r="R15">
            <v>6</v>
          </cell>
          <cell r="U15">
            <v>6</v>
          </cell>
          <cell r="V15">
            <v>6</v>
          </cell>
          <cell r="Y15">
            <v>6</v>
          </cell>
          <cell r="Z15">
            <v>6</v>
          </cell>
          <cell r="AC15">
            <v>6</v>
          </cell>
          <cell r="AD15">
            <v>6</v>
          </cell>
          <cell r="AG15">
            <v>6</v>
          </cell>
          <cell r="AH15">
            <v>6</v>
          </cell>
        </row>
        <row r="16">
          <cell r="B16" t="str">
            <v>CT - 1st Lift</v>
          </cell>
          <cell r="E16">
            <v>6</v>
          </cell>
          <cell r="F16">
            <v>6</v>
          </cell>
          <cell r="I16">
            <v>6</v>
          </cell>
          <cell r="J16">
            <v>6</v>
          </cell>
          <cell r="M16">
            <v>6</v>
          </cell>
          <cell r="N16">
            <v>6</v>
          </cell>
          <cell r="Q16">
            <v>6</v>
          </cell>
          <cell r="R16">
            <v>6</v>
          </cell>
          <cell r="U16">
            <v>6</v>
          </cell>
          <cell r="V16">
            <v>6</v>
          </cell>
          <cell r="Y16">
            <v>6</v>
          </cell>
          <cell r="Z16">
            <v>6</v>
          </cell>
          <cell r="AC16">
            <v>6</v>
          </cell>
          <cell r="AD16">
            <v>6</v>
          </cell>
          <cell r="AG16">
            <v>6</v>
          </cell>
          <cell r="AH16">
            <v>6</v>
          </cell>
        </row>
        <row r="17">
          <cell r="B17" t="str">
            <v>CT - Backfilling</v>
          </cell>
          <cell r="E17">
            <v>6</v>
          </cell>
          <cell r="F17">
            <v>6</v>
          </cell>
          <cell r="I17">
            <v>6</v>
          </cell>
          <cell r="J17">
            <v>6</v>
          </cell>
          <cell r="M17">
            <v>6</v>
          </cell>
          <cell r="N17">
            <v>6</v>
          </cell>
          <cell r="Q17">
            <v>6</v>
          </cell>
          <cell r="R17">
            <v>6</v>
          </cell>
          <cell r="U17">
            <v>6</v>
          </cell>
          <cell r="V17">
            <v>6</v>
          </cell>
          <cell r="Y17">
            <v>6</v>
          </cell>
          <cell r="Z17">
            <v>6</v>
          </cell>
          <cell r="AC17">
            <v>6</v>
          </cell>
          <cell r="AD17">
            <v>6</v>
          </cell>
          <cell r="AG17">
            <v>6</v>
          </cell>
          <cell r="AH17">
            <v>6</v>
          </cell>
        </row>
        <row r="18">
          <cell r="B18" t="str">
            <v>CT - Final Lift</v>
          </cell>
          <cell r="E18">
            <v>6</v>
          </cell>
          <cell r="F18">
            <v>6</v>
          </cell>
          <cell r="I18">
            <v>6</v>
          </cell>
          <cell r="J18">
            <v>6</v>
          </cell>
          <cell r="M18">
            <v>6</v>
          </cell>
          <cell r="N18">
            <v>6</v>
          </cell>
          <cell r="Q18">
            <v>6</v>
          </cell>
          <cell r="R18">
            <v>6</v>
          </cell>
          <cell r="U18">
            <v>6</v>
          </cell>
          <cell r="V18">
            <v>6</v>
          </cell>
          <cell r="Y18">
            <v>6</v>
          </cell>
          <cell r="Z18">
            <v>6</v>
          </cell>
          <cell r="AC18">
            <v>6</v>
          </cell>
          <cell r="AD18">
            <v>6</v>
          </cell>
          <cell r="AG18">
            <v>6</v>
          </cell>
          <cell r="AH18">
            <v>6</v>
          </cell>
        </row>
        <row r="19">
          <cell r="B19" t="str">
            <v>CT Rail Fixing</v>
          </cell>
          <cell r="E19">
            <v>6</v>
          </cell>
          <cell r="F19">
            <v>6</v>
          </cell>
          <cell r="I19">
            <v>6</v>
          </cell>
          <cell r="J19">
            <v>6</v>
          </cell>
          <cell r="M19">
            <v>6</v>
          </cell>
          <cell r="N19">
            <v>6</v>
          </cell>
          <cell r="Q19">
            <v>6</v>
          </cell>
          <cell r="R19">
            <v>6</v>
          </cell>
          <cell r="U19">
            <v>6</v>
          </cell>
          <cell r="V19">
            <v>6</v>
          </cell>
          <cell r="Y19">
            <v>6</v>
          </cell>
          <cell r="Z19">
            <v>6</v>
          </cell>
          <cell r="AC19">
            <v>6</v>
          </cell>
          <cell r="AD19">
            <v>6</v>
          </cell>
          <cell r="AG19">
            <v>6</v>
          </cell>
          <cell r="AH19">
            <v>6</v>
          </cell>
        </row>
        <row r="20">
          <cell r="B20" t="str">
            <v>CT - Rubble Soiling &amp; PCC</v>
          </cell>
          <cell r="E20">
            <v>6</v>
          </cell>
          <cell r="F20">
            <v>6</v>
          </cell>
          <cell r="I20">
            <v>6</v>
          </cell>
          <cell r="J20">
            <v>6</v>
          </cell>
          <cell r="M20">
            <v>6</v>
          </cell>
          <cell r="N20">
            <v>6</v>
          </cell>
          <cell r="Q20">
            <v>6</v>
          </cell>
          <cell r="R20">
            <v>6</v>
          </cell>
          <cell r="U20">
            <v>6</v>
          </cell>
          <cell r="V20">
            <v>6</v>
          </cell>
          <cell r="Y20">
            <v>6</v>
          </cell>
          <cell r="Z20">
            <v>6</v>
          </cell>
          <cell r="AC20">
            <v>6</v>
          </cell>
          <cell r="AD20">
            <v>6</v>
          </cell>
          <cell r="AG20">
            <v>6</v>
          </cell>
          <cell r="AH20">
            <v>6</v>
          </cell>
        </row>
        <row r="21">
          <cell r="B21" t="str">
            <v>CT - Grade slab</v>
          </cell>
          <cell r="E21">
            <v>6</v>
          </cell>
          <cell r="F21">
            <v>6</v>
          </cell>
          <cell r="I21">
            <v>6</v>
          </cell>
          <cell r="J21">
            <v>6</v>
          </cell>
          <cell r="M21">
            <v>6</v>
          </cell>
          <cell r="N21">
            <v>6</v>
          </cell>
          <cell r="Q21">
            <v>6</v>
          </cell>
          <cell r="R21">
            <v>6</v>
          </cell>
          <cell r="U21">
            <v>6</v>
          </cell>
          <cell r="V21">
            <v>6</v>
          </cell>
          <cell r="Y21">
            <v>6</v>
          </cell>
          <cell r="Z21">
            <v>6</v>
          </cell>
          <cell r="AC21">
            <v>6</v>
          </cell>
          <cell r="AD21">
            <v>6</v>
          </cell>
          <cell r="AG21">
            <v>6</v>
          </cell>
          <cell r="AH21">
            <v>6</v>
          </cell>
        </row>
        <row r="22">
          <cell r="B22" t="str">
            <v>CT - Dyke wall</v>
          </cell>
          <cell r="E22">
            <v>6</v>
          </cell>
          <cell r="F22">
            <v>6</v>
          </cell>
          <cell r="I22">
            <v>6</v>
          </cell>
          <cell r="J22">
            <v>6</v>
          </cell>
          <cell r="M22">
            <v>6</v>
          </cell>
          <cell r="N22">
            <v>6</v>
          </cell>
          <cell r="Q22">
            <v>6</v>
          </cell>
          <cell r="R22">
            <v>6</v>
          </cell>
          <cell r="U22">
            <v>6</v>
          </cell>
          <cell r="V22">
            <v>6</v>
          </cell>
          <cell r="Y22">
            <v>6</v>
          </cell>
          <cell r="Z22">
            <v>6</v>
          </cell>
          <cell r="AC22">
            <v>6</v>
          </cell>
          <cell r="AD22">
            <v>6</v>
          </cell>
          <cell r="AG22">
            <v>6</v>
          </cell>
          <cell r="AH22">
            <v>6</v>
          </cell>
        </row>
        <row r="23">
          <cell r="B23" t="str">
            <v>CT Erection</v>
          </cell>
          <cell r="E23">
            <v>6</v>
          </cell>
          <cell r="F23">
            <v>6</v>
          </cell>
          <cell r="I23">
            <v>6</v>
          </cell>
          <cell r="J23">
            <v>6</v>
          </cell>
          <cell r="M23">
            <v>6</v>
          </cell>
          <cell r="N23">
            <v>6</v>
          </cell>
          <cell r="Q23">
            <v>6</v>
          </cell>
          <cell r="R23">
            <v>6</v>
          </cell>
          <cell r="U23">
            <v>6</v>
          </cell>
          <cell r="V23">
            <v>6</v>
          </cell>
          <cell r="Y23">
            <v>6</v>
          </cell>
          <cell r="Z23">
            <v>0</v>
          </cell>
          <cell r="AC23">
            <v>6</v>
          </cell>
          <cell r="AD23">
            <v>0</v>
          </cell>
          <cell r="AG23">
            <v>6</v>
          </cell>
          <cell r="AH23">
            <v>0</v>
          </cell>
        </row>
        <row r="24">
          <cell r="B24" t="str">
            <v>CT Accessories Installation</v>
          </cell>
          <cell r="E24">
            <v>6</v>
          </cell>
          <cell r="F24">
            <v>6</v>
          </cell>
          <cell r="I24">
            <v>6</v>
          </cell>
          <cell r="J24">
            <v>6</v>
          </cell>
          <cell r="M24">
            <v>6</v>
          </cell>
          <cell r="N24">
            <v>6</v>
          </cell>
          <cell r="Q24">
            <v>6</v>
          </cell>
          <cell r="R24">
            <v>6</v>
          </cell>
          <cell r="U24">
            <v>6</v>
          </cell>
          <cell r="V24">
            <v>6</v>
          </cell>
          <cell r="Y24">
            <v>6</v>
          </cell>
          <cell r="Z24">
            <v>0</v>
          </cell>
          <cell r="AC24">
            <v>6</v>
          </cell>
          <cell r="AD24">
            <v>0</v>
          </cell>
          <cell r="AG24">
            <v>6</v>
          </cell>
          <cell r="AH24">
            <v>0</v>
          </cell>
        </row>
        <row r="25">
          <cell r="B25" t="str">
            <v>CT - Gravel Gilling</v>
          </cell>
          <cell r="E25">
            <v>6</v>
          </cell>
          <cell r="F25">
            <v>2</v>
          </cell>
          <cell r="I25">
            <v>6</v>
          </cell>
          <cell r="J25">
            <v>0</v>
          </cell>
          <cell r="M25">
            <v>6</v>
          </cell>
          <cell r="N25">
            <v>0</v>
          </cell>
          <cell r="Q25">
            <v>6</v>
          </cell>
          <cell r="R25">
            <v>6</v>
          </cell>
          <cell r="U25">
            <v>6</v>
          </cell>
          <cell r="V25">
            <v>0</v>
          </cell>
          <cell r="Y25">
            <v>6</v>
          </cell>
          <cell r="Z25">
            <v>0</v>
          </cell>
          <cell r="AC25">
            <v>6</v>
          </cell>
          <cell r="AD25">
            <v>0</v>
          </cell>
          <cell r="AG25">
            <v>6</v>
          </cell>
          <cell r="AH25">
            <v>0</v>
          </cell>
        </row>
        <row r="26">
          <cell r="B26" t="str">
            <v>PCS - Inova Automation</v>
          </cell>
          <cell r="E26" t="str">
            <v>Scope</v>
          </cell>
          <cell r="F26" t="str">
            <v>Actual</v>
          </cell>
          <cell r="I26" t="str">
            <v>Scope</v>
          </cell>
          <cell r="J26" t="str">
            <v>Actual</v>
          </cell>
          <cell r="M26" t="str">
            <v>Scope</v>
          </cell>
          <cell r="N26" t="str">
            <v>Actual</v>
          </cell>
          <cell r="Q26" t="str">
            <v>Scope</v>
          </cell>
          <cell r="R26" t="str">
            <v>Actual</v>
          </cell>
          <cell r="U26" t="str">
            <v>Scope</v>
          </cell>
          <cell r="V26" t="str">
            <v>Actual</v>
          </cell>
          <cell r="Y26" t="str">
            <v>Scope</v>
          </cell>
          <cell r="Z26" t="str">
            <v>Actual</v>
          </cell>
          <cell r="AC26" t="str">
            <v>Scope</v>
          </cell>
          <cell r="AD26" t="str">
            <v>Actual</v>
          </cell>
          <cell r="AG26" t="str">
            <v>Scope</v>
          </cell>
          <cell r="AH26" t="str">
            <v>Actual</v>
          </cell>
        </row>
        <row r="27">
          <cell r="B27" t="str">
            <v>PCS - Driven Cast in-situ Piling</v>
          </cell>
          <cell r="E27">
            <v>75</v>
          </cell>
          <cell r="F27">
            <v>75</v>
          </cell>
          <cell r="I27">
            <v>75</v>
          </cell>
          <cell r="J27">
            <v>75</v>
          </cell>
          <cell r="M27">
            <v>90</v>
          </cell>
          <cell r="N27">
            <v>90</v>
          </cell>
          <cell r="Q27">
            <v>81</v>
          </cell>
          <cell r="R27">
            <v>81</v>
          </cell>
          <cell r="U27">
            <v>90</v>
          </cell>
          <cell r="V27">
            <v>90</v>
          </cell>
          <cell r="Y27">
            <v>72</v>
          </cell>
          <cell r="Z27">
            <v>72</v>
          </cell>
          <cell r="AC27">
            <v>72</v>
          </cell>
          <cell r="AD27">
            <v>72</v>
          </cell>
          <cell r="AG27">
            <v>72</v>
          </cell>
          <cell r="AH27">
            <v>72</v>
          </cell>
        </row>
        <row r="28">
          <cell r="B28" t="str">
            <v>PCS - PCC</v>
          </cell>
          <cell r="E28">
            <v>6</v>
          </cell>
          <cell r="F28">
            <v>6</v>
          </cell>
          <cell r="I28">
            <v>6</v>
          </cell>
          <cell r="J28">
            <v>6</v>
          </cell>
          <cell r="M28">
            <v>6</v>
          </cell>
          <cell r="N28">
            <v>6</v>
          </cell>
          <cell r="Q28">
            <v>6</v>
          </cell>
          <cell r="R28">
            <v>6</v>
          </cell>
          <cell r="U28">
            <v>6</v>
          </cell>
          <cell r="V28">
            <v>6</v>
          </cell>
          <cell r="Y28">
            <v>6</v>
          </cell>
          <cell r="Z28">
            <v>6</v>
          </cell>
          <cell r="AC28">
            <v>6</v>
          </cell>
          <cell r="AD28">
            <v>6</v>
          </cell>
          <cell r="AG28">
            <v>6</v>
          </cell>
          <cell r="AH28">
            <v>6</v>
          </cell>
        </row>
        <row r="29">
          <cell r="B29" t="str">
            <v>PCS - Footing &amp; Pile Beam Casting</v>
          </cell>
          <cell r="E29">
            <v>6</v>
          </cell>
          <cell r="F29">
            <v>6</v>
          </cell>
          <cell r="I29">
            <v>6</v>
          </cell>
          <cell r="J29">
            <v>6</v>
          </cell>
          <cell r="M29">
            <v>6</v>
          </cell>
          <cell r="N29">
            <v>6</v>
          </cell>
          <cell r="Q29">
            <v>6</v>
          </cell>
          <cell r="R29">
            <v>6</v>
          </cell>
          <cell r="U29">
            <v>6</v>
          </cell>
          <cell r="V29">
            <v>6</v>
          </cell>
          <cell r="Y29">
            <v>6</v>
          </cell>
          <cell r="Z29">
            <v>6</v>
          </cell>
          <cell r="AC29">
            <v>6</v>
          </cell>
          <cell r="AD29">
            <v>6</v>
          </cell>
          <cell r="AG29">
            <v>6</v>
          </cell>
          <cell r="AH29">
            <v>6</v>
          </cell>
        </row>
        <row r="30">
          <cell r="B30" t="str">
            <v>PCS - Column Casting</v>
          </cell>
          <cell r="E30">
            <v>6</v>
          </cell>
          <cell r="F30">
            <v>6</v>
          </cell>
          <cell r="I30">
            <v>6</v>
          </cell>
          <cell r="J30">
            <v>6</v>
          </cell>
          <cell r="M30">
            <v>6</v>
          </cell>
          <cell r="N30">
            <v>6</v>
          </cell>
          <cell r="Q30">
            <v>6</v>
          </cell>
          <cell r="R30">
            <v>6</v>
          </cell>
          <cell r="U30">
            <v>6</v>
          </cell>
          <cell r="V30">
            <v>6</v>
          </cell>
          <cell r="Y30">
            <v>6</v>
          </cell>
          <cell r="Z30">
            <v>6</v>
          </cell>
          <cell r="AC30">
            <v>6</v>
          </cell>
          <cell r="AD30">
            <v>6</v>
          </cell>
          <cell r="AG30">
            <v>6</v>
          </cell>
          <cell r="AH30">
            <v>6</v>
          </cell>
        </row>
        <row r="31">
          <cell r="B31" t="str">
            <v>PCS - Slab Reinforcement &amp; Cutout Fixing</v>
          </cell>
          <cell r="E31">
            <v>6</v>
          </cell>
          <cell r="F31">
            <v>6</v>
          </cell>
          <cell r="I31">
            <v>6</v>
          </cell>
          <cell r="J31">
            <v>6</v>
          </cell>
          <cell r="M31">
            <v>6</v>
          </cell>
          <cell r="N31">
            <v>6</v>
          </cell>
          <cell r="Q31">
            <v>6</v>
          </cell>
          <cell r="R31">
            <v>6</v>
          </cell>
          <cell r="U31">
            <v>6</v>
          </cell>
          <cell r="V31">
            <v>6</v>
          </cell>
          <cell r="Y31">
            <v>6</v>
          </cell>
          <cell r="Z31">
            <v>6</v>
          </cell>
          <cell r="AC31">
            <v>6</v>
          </cell>
          <cell r="AD31">
            <v>6</v>
          </cell>
          <cell r="AG31">
            <v>6</v>
          </cell>
          <cell r="AH31">
            <v>6</v>
          </cell>
        </row>
        <row r="32">
          <cell r="B32" t="str">
            <v xml:space="preserve">PCS Slab casting </v>
          </cell>
          <cell r="E32">
            <v>6</v>
          </cell>
          <cell r="F32">
            <v>6</v>
          </cell>
          <cell r="I32">
            <v>6</v>
          </cell>
          <cell r="J32">
            <v>6</v>
          </cell>
          <cell r="M32">
            <v>6</v>
          </cell>
          <cell r="N32">
            <v>6</v>
          </cell>
          <cell r="Q32">
            <v>6</v>
          </cell>
          <cell r="R32">
            <v>6</v>
          </cell>
          <cell r="U32">
            <v>6</v>
          </cell>
          <cell r="V32">
            <v>6</v>
          </cell>
          <cell r="Y32">
            <v>6</v>
          </cell>
          <cell r="Z32">
            <v>6</v>
          </cell>
          <cell r="AC32">
            <v>6</v>
          </cell>
          <cell r="AD32">
            <v>6</v>
          </cell>
          <cell r="AG32">
            <v>6</v>
          </cell>
          <cell r="AH32">
            <v>6</v>
          </cell>
        </row>
        <row r="33">
          <cell r="B33" t="str">
            <v>PCS - Slab Finishing</v>
          </cell>
          <cell r="E33">
            <v>6</v>
          </cell>
          <cell r="F33">
            <v>6</v>
          </cell>
          <cell r="I33">
            <v>6</v>
          </cell>
          <cell r="J33">
            <v>6</v>
          </cell>
          <cell r="M33">
            <v>6</v>
          </cell>
          <cell r="N33">
            <v>6</v>
          </cell>
          <cell r="Q33">
            <v>6</v>
          </cell>
          <cell r="R33">
            <v>1</v>
          </cell>
          <cell r="U33">
            <v>6</v>
          </cell>
          <cell r="V33">
            <v>6</v>
          </cell>
          <cell r="Y33">
            <v>6</v>
          </cell>
          <cell r="Z33">
            <v>0</v>
          </cell>
          <cell r="AC33">
            <v>6</v>
          </cell>
          <cell r="AD33">
            <v>0</v>
          </cell>
          <cell r="AG33">
            <v>6</v>
          </cell>
          <cell r="AH33">
            <v>0</v>
          </cell>
        </row>
        <row r="34">
          <cell r="B34" t="str">
            <v>PCS - Stairecase Installation</v>
          </cell>
          <cell r="E34">
            <v>6</v>
          </cell>
          <cell r="F34">
            <v>5</v>
          </cell>
          <cell r="I34">
            <v>6</v>
          </cell>
          <cell r="J34">
            <v>0</v>
          </cell>
          <cell r="M34">
            <v>6</v>
          </cell>
          <cell r="N34">
            <v>0</v>
          </cell>
          <cell r="Q34">
            <v>6</v>
          </cell>
          <cell r="R34">
            <v>6</v>
          </cell>
          <cell r="U34">
            <v>6</v>
          </cell>
          <cell r="V34">
            <v>0</v>
          </cell>
          <cell r="Y34">
            <v>6</v>
          </cell>
          <cell r="Z34">
            <v>0</v>
          </cell>
          <cell r="AC34">
            <v>6</v>
          </cell>
          <cell r="AD34">
            <v>0</v>
          </cell>
          <cell r="AG34">
            <v>6</v>
          </cell>
          <cell r="AH34">
            <v>0</v>
          </cell>
        </row>
        <row r="35">
          <cell r="B35" t="str">
            <v>PCS Erection</v>
          </cell>
          <cell r="E35">
            <v>48</v>
          </cell>
          <cell r="F35">
            <v>48</v>
          </cell>
          <cell r="I35">
            <v>48</v>
          </cell>
          <cell r="J35">
            <v>24</v>
          </cell>
          <cell r="M35">
            <v>48</v>
          </cell>
          <cell r="N35">
            <v>0</v>
          </cell>
          <cell r="Q35">
            <v>48</v>
          </cell>
          <cell r="R35">
            <v>48</v>
          </cell>
          <cell r="U35">
            <v>48</v>
          </cell>
          <cell r="V35">
            <v>0</v>
          </cell>
          <cell r="Y35">
            <v>48</v>
          </cell>
          <cell r="Z35">
            <v>0</v>
          </cell>
          <cell r="AC35">
            <v>48</v>
          </cell>
          <cell r="AD35">
            <v>0</v>
          </cell>
          <cell r="AG35">
            <v>48</v>
          </cell>
          <cell r="AH35">
            <v>0</v>
          </cell>
        </row>
        <row r="36">
          <cell r="B36" t="str">
            <v>ACDB Erection</v>
          </cell>
          <cell r="E36">
            <v>6</v>
          </cell>
          <cell r="F36">
            <v>6</v>
          </cell>
          <cell r="I36">
            <v>6</v>
          </cell>
          <cell r="J36">
            <v>6</v>
          </cell>
          <cell r="M36">
            <v>6</v>
          </cell>
          <cell r="N36">
            <v>6</v>
          </cell>
          <cell r="Q36">
            <v>6</v>
          </cell>
          <cell r="R36">
            <v>6</v>
          </cell>
          <cell r="U36">
            <v>6</v>
          </cell>
          <cell r="V36">
            <v>6</v>
          </cell>
          <cell r="Y36">
            <v>6</v>
          </cell>
          <cell r="Z36">
            <v>0</v>
          </cell>
          <cell r="AC36">
            <v>6</v>
          </cell>
          <cell r="AD36">
            <v>0</v>
          </cell>
          <cell r="AG36">
            <v>6</v>
          </cell>
          <cell r="AH36">
            <v>0</v>
          </cell>
        </row>
        <row r="37">
          <cell r="B37" t="str">
            <v>ECP Panel Erection (Communication Panel)</v>
          </cell>
          <cell r="E37">
            <v>6</v>
          </cell>
          <cell r="F37">
            <v>6</v>
          </cell>
          <cell r="I37">
            <v>6</v>
          </cell>
          <cell r="J37">
            <v>6</v>
          </cell>
          <cell r="M37">
            <v>6</v>
          </cell>
          <cell r="N37">
            <v>0</v>
          </cell>
          <cell r="Q37">
            <v>6</v>
          </cell>
          <cell r="R37">
            <v>6</v>
          </cell>
          <cell r="U37">
            <v>6</v>
          </cell>
          <cell r="V37">
            <v>0</v>
          </cell>
          <cell r="Y37">
            <v>6</v>
          </cell>
          <cell r="Z37">
            <v>0</v>
          </cell>
          <cell r="AC37">
            <v>6</v>
          </cell>
          <cell r="AD37">
            <v>0</v>
          </cell>
          <cell r="AG37">
            <v>6</v>
          </cell>
          <cell r="AH37">
            <v>0</v>
          </cell>
        </row>
        <row r="38">
          <cell r="B38" t="str">
            <v>PCS - PEB Primary Structure</v>
          </cell>
          <cell r="E38">
            <v>6</v>
          </cell>
          <cell r="F38">
            <v>6</v>
          </cell>
          <cell r="I38">
            <v>6</v>
          </cell>
          <cell r="J38">
            <v>6</v>
          </cell>
          <cell r="M38">
            <v>6</v>
          </cell>
          <cell r="N38">
            <v>6</v>
          </cell>
          <cell r="Q38">
            <v>6</v>
          </cell>
          <cell r="R38">
            <v>6</v>
          </cell>
          <cell r="U38">
            <v>6</v>
          </cell>
          <cell r="V38">
            <v>6</v>
          </cell>
          <cell r="Y38">
            <v>6</v>
          </cell>
          <cell r="Z38">
            <v>6</v>
          </cell>
          <cell r="AC38">
            <v>6</v>
          </cell>
          <cell r="AD38">
            <v>6</v>
          </cell>
          <cell r="AG38">
            <v>6</v>
          </cell>
          <cell r="AH38">
            <v>6</v>
          </cell>
        </row>
        <row r="39">
          <cell r="B39" t="str">
            <v>PCS - PEB Secondary Structure</v>
          </cell>
          <cell r="E39">
            <v>6</v>
          </cell>
          <cell r="F39">
            <v>6</v>
          </cell>
          <cell r="I39">
            <v>6</v>
          </cell>
          <cell r="J39">
            <v>6</v>
          </cell>
          <cell r="M39">
            <v>6</v>
          </cell>
          <cell r="N39">
            <v>6</v>
          </cell>
          <cell r="Q39">
            <v>6</v>
          </cell>
          <cell r="R39">
            <v>6</v>
          </cell>
          <cell r="U39">
            <v>6</v>
          </cell>
          <cell r="V39">
            <v>6</v>
          </cell>
          <cell r="Y39">
            <v>6</v>
          </cell>
          <cell r="Z39">
            <v>6</v>
          </cell>
          <cell r="AC39">
            <v>6</v>
          </cell>
          <cell r="AD39">
            <v>6</v>
          </cell>
          <cell r="AG39">
            <v>6</v>
          </cell>
          <cell r="AH39">
            <v>6</v>
          </cell>
        </row>
        <row r="40">
          <cell r="B40" t="str">
            <v>PCS PEB</v>
          </cell>
          <cell r="E40">
            <v>6</v>
          </cell>
          <cell r="F40">
            <v>6</v>
          </cell>
          <cell r="I40">
            <v>6</v>
          </cell>
          <cell r="J40">
            <v>6</v>
          </cell>
          <cell r="M40">
            <v>6</v>
          </cell>
          <cell r="N40">
            <v>6</v>
          </cell>
          <cell r="Q40">
            <v>6</v>
          </cell>
          <cell r="R40">
            <v>6</v>
          </cell>
          <cell r="U40">
            <v>6</v>
          </cell>
          <cell r="V40">
            <v>6</v>
          </cell>
          <cell r="Y40">
            <v>6</v>
          </cell>
          <cell r="Z40">
            <v>6</v>
          </cell>
          <cell r="AC40">
            <v>6</v>
          </cell>
          <cell r="AD40">
            <v>6</v>
          </cell>
          <cell r="AG40">
            <v>6</v>
          </cell>
          <cell r="AH40">
            <v>6</v>
          </cell>
        </row>
        <row r="41">
          <cell r="B41" t="str">
            <v>PCS - PEB Handrail</v>
          </cell>
          <cell r="E41">
            <v>6</v>
          </cell>
          <cell r="F41">
            <v>0</v>
          </cell>
          <cell r="I41">
            <v>6</v>
          </cell>
          <cell r="J41">
            <v>0</v>
          </cell>
          <cell r="M41">
            <v>6</v>
          </cell>
          <cell r="N41">
            <v>0</v>
          </cell>
          <cell r="Q41">
            <v>6</v>
          </cell>
          <cell r="R41">
            <v>6</v>
          </cell>
          <cell r="U41">
            <v>6</v>
          </cell>
          <cell r="V41">
            <v>0</v>
          </cell>
          <cell r="Y41">
            <v>6</v>
          </cell>
          <cell r="Z41">
            <v>0</v>
          </cell>
          <cell r="AC41">
            <v>6</v>
          </cell>
          <cell r="AD41">
            <v>0</v>
          </cell>
          <cell r="AG41">
            <v>6</v>
          </cell>
          <cell r="AH41">
            <v>0</v>
          </cell>
        </row>
        <row r="42">
          <cell r="B42" t="str">
            <v>SGR - Trisquare</v>
          </cell>
          <cell r="E42" t="str">
            <v>Scope</v>
          </cell>
          <cell r="F42" t="str">
            <v>Actual</v>
          </cell>
          <cell r="I42" t="str">
            <v>Scope</v>
          </cell>
          <cell r="J42" t="str">
            <v>Actual</v>
          </cell>
          <cell r="M42" t="str">
            <v>Scope</v>
          </cell>
          <cell r="N42" t="str">
            <v>Actual</v>
          </cell>
          <cell r="Q42" t="str">
            <v>Scope</v>
          </cell>
          <cell r="R42" t="str">
            <v>Actual</v>
          </cell>
          <cell r="U42" t="str">
            <v>Scope</v>
          </cell>
          <cell r="V42" t="str">
            <v>Actual</v>
          </cell>
          <cell r="Y42" t="str">
            <v>Scope</v>
          </cell>
          <cell r="Z42" t="str">
            <v>Actual</v>
          </cell>
          <cell r="AC42" t="str">
            <v>Scope</v>
          </cell>
          <cell r="AD42" t="str">
            <v>Actual</v>
          </cell>
          <cell r="AG42" t="str">
            <v>Scope</v>
          </cell>
          <cell r="AH42" t="str">
            <v>Actual</v>
          </cell>
        </row>
        <row r="43">
          <cell r="B43" t="str">
            <v>SGR - Driven Cast in-situ Piling</v>
          </cell>
          <cell r="E43">
            <v>14</v>
          </cell>
          <cell r="F43">
            <v>14</v>
          </cell>
          <cell r="I43">
            <v>14</v>
          </cell>
          <cell r="J43">
            <v>14</v>
          </cell>
          <cell r="M43">
            <v>14</v>
          </cell>
          <cell r="N43">
            <v>14</v>
          </cell>
          <cell r="Q43">
            <v>14</v>
          </cell>
          <cell r="R43">
            <v>14</v>
          </cell>
          <cell r="U43">
            <v>14</v>
          </cell>
          <cell r="V43">
            <v>14</v>
          </cell>
          <cell r="Y43">
            <v>14</v>
          </cell>
          <cell r="Z43">
            <v>14</v>
          </cell>
          <cell r="AC43">
            <v>14</v>
          </cell>
          <cell r="AD43">
            <v>14</v>
          </cell>
          <cell r="AG43">
            <v>14</v>
          </cell>
          <cell r="AH43">
            <v>14</v>
          </cell>
        </row>
        <row r="44">
          <cell r="B44" t="str">
            <v>SGR - PCC</v>
          </cell>
          <cell r="E44">
            <v>1</v>
          </cell>
          <cell r="F44">
            <v>1</v>
          </cell>
          <cell r="I44">
            <v>1</v>
          </cell>
          <cell r="J44">
            <v>1</v>
          </cell>
          <cell r="M44">
            <v>1</v>
          </cell>
          <cell r="N44">
            <v>1</v>
          </cell>
          <cell r="Q44">
            <v>1</v>
          </cell>
          <cell r="R44">
            <v>1</v>
          </cell>
          <cell r="U44">
            <v>1</v>
          </cell>
          <cell r="V44">
            <v>1</v>
          </cell>
          <cell r="Y44">
            <v>1</v>
          </cell>
          <cell r="Z44">
            <v>1</v>
          </cell>
          <cell r="AC44">
            <v>1</v>
          </cell>
          <cell r="AD44">
            <v>1</v>
          </cell>
          <cell r="AG44">
            <v>1</v>
          </cell>
          <cell r="AH44">
            <v>1</v>
          </cell>
        </row>
        <row r="45">
          <cell r="B45" t="str">
            <v>SGR - Footing &amp; Pile Beam Casting</v>
          </cell>
          <cell r="E45">
            <v>1</v>
          </cell>
          <cell r="F45">
            <v>1</v>
          </cell>
          <cell r="I45">
            <v>1</v>
          </cell>
          <cell r="J45">
            <v>1</v>
          </cell>
          <cell r="M45">
            <v>1</v>
          </cell>
          <cell r="N45">
            <v>1</v>
          </cell>
          <cell r="Q45">
            <v>1</v>
          </cell>
          <cell r="R45">
            <v>1</v>
          </cell>
          <cell r="U45">
            <v>1</v>
          </cell>
          <cell r="V45">
            <v>1</v>
          </cell>
          <cell r="Y45">
            <v>1</v>
          </cell>
          <cell r="Z45">
            <v>1</v>
          </cell>
          <cell r="AC45">
            <v>1</v>
          </cell>
          <cell r="AD45">
            <v>1</v>
          </cell>
          <cell r="AG45">
            <v>1</v>
          </cell>
          <cell r="AH45">
            <v>1</v>
          </cell>
        </row>
        <row r="46">
          <cell r="B46" t="str">
            <v>SGR - Column Casting</v>
          </cell>
          <cell r="E46">
            <v>1</v>
          </cell>
          <cell r="F46">
            <v>1</v>
          </cell>
          <cell r="I46">
            <v>1</v>
          </cell>
          <cell r="J46">
            <v>1</v>
          </cell>
          <cell r="M46">
            <v>1</v>
          </cell>
          <cell r="N46">
            <v>1</v>
          </cell>
          <cell r="Q46">
            <v>1</v>
          </cell>
          <cell r="R46">
            <v>1</v>
          </cell>
          <cell r="U46">
            <v>1</v>
          </cell>
          <cell r="V46">
            <v>1</v>
          </cell>
          <cell r="Y46">
            <v>1</v>
          </cell>
          <cell r="Z46">
            <v>1</v>
          </cell>
          <cell r="AC46">
            <v>1</v>
          </cell>
          <cell r="AD46">
            <v>1</v>
          </cell>
          <cell r="AG46">
            <v>1</v>
          </cell>
          <cell r="AH46">
            <v>1</v>
          </cell>
        </row>
        <row r="47">
          <cell r="B47" t="str">
            <v>SGR - Slab Reinforcement &amp; Cutout Fixing</v>
          </cell>
          <cell r="E47">
            <v>1</v>
          </cell>
          <cell r="F47">
            <v>1</v>
          </cell>
          <cell r="I47">
            <v>1</v>
          </cell>
          <cell r="J47">
            <v>1</v>
          </cell>
          <cell r="M47">
            <v>1</v>
          </cell>
          <cell r="N47">
            <v>1</v>
          </cell>
          <cell r="Q47">
            <v>1</v>
          </cell>
          <cell r="R47">
            <v>1</v>
          </cell>
          <cell r="U47">
            <v>1</v>
          </cell>
          <cell r="V47">
            <v>1</v>
          </cell>
          <cell r="Y47">
            <v>1</v>
          </cell>
          <cell r="Z47">
            <v>1</v>
          </cell>
          <cell r="AC47">
            <v>1</v>
          </cell>
          <cell r="AD47">
            <v>1</v>
          </cell>
          <cell r="AG47">
            <v>1</v>
          </cell>
          <cell r="AH47">
            <v>1</v>
          </cell>
        </row>
        <row r="48">
          <cell r="B48" t="str">
            <v>SGR Slab Casting</v>
          </cell>
          <cell r="E48">
            <v>1</v>
          </cell>
          <cell r="F48">
            <v>1</v>
          </cell>
          <cell r="I48">
            <v>1</v>
          </cell>
          <cell r="J48">
            <v>1</v>
          </cell>
          <cell r="M48">
            <v>1</v>
          </cell>
          <cell r="N48">
            <v>1</v>
          </cell>
          <cell r="Q48">
            <v>1</v>
          </cell>
          <cell r="R48">
            <v>1</v>
          </cell>
          <cell r="U48">
            <v>1</v>
          </cell>
          <cell r="V48">
            <v>1</v>
          </cell>
          <cell r="Y48">
            <v>1</v>
          </cell>
          <cell r="Z48">
            <v>1</v>
          </cell>
          <cell r="AC48">
            <v>1</v>
          </cell>
          <cell r="AD48">
            <v>1</v>
          </cell>
          <cell r="AG48">
            <v>1</v>
          </cell>
          <cell r="AH48">
            <v>1</v>
          </cell>
        </row>
        <row r="49">
          <cell r="B49" t="str">
            <v>SGR - Slab Finishing</v>
          </cell>
          <cell r="E49">
            <v>1</v>
          </cell>
          <cell r="F49">
            <v>1</v>
          </cell>
          <cell r="I49">
            <v>1</v>
          </cell>
          <cell r="J49">
            <v>1</v>
          </cell>
          <cell r="M49">
            <v>1</v>
          </cell>
          <cell r="N49">
            <v>1</v>
          </cell>
          <cell r="Q49">
            <v>1</v>
          </cell>
          <cell r="R49">
            <v>1</v>
          </cell>
          <cell r="U49">
            <v>1</v>
          </cell>
          <cell r="V49">
            <v>1</v>
          </cell>
          <cell r="Y49">
            <v>1</v>
          </cell>
          <cell r="Z49">
            <v>0</v>
          </cell>
          <cell r="AC49">
            <v>1</v>
          </cell>
          <cell r="AD49">
            <v>0</v>
          </cell>
          <cell r="AG49">
            <v>1</v>
          </cell>
          <cell r="AH49">
            <v>0</v>
          </cell>
        </row>
        <row r="50">
          <cell r="B50" t="str">
            <v>SGR - Stairecase Installation</v>
          </cell>
          <cell r="E50">
            <v>1</v>
          </cell>
          <cell r="F50">
            <v>0</v>
          </cell>
          <cell r="I50">
            <v>1</v>
          </cell>
          <cell r="J50">
            <v>0</v>
          </cell>
          <cell r="M50">
            <v>1</v>
          </cell>
          <cell r="N50">
            <v>0</v>
          </cell>
          <cell r="Q50">
            <v>1</v>
          </cell>
          <cell r="R50">
            <v>1</v>
          </cell>
          <cell r="U50">
            <v>1</v>
          </cell>
          <cell r="V50">
            <v>0</v>
          </cell>
          <cell r="Y50">
            <v>1</v>
          </cell>
          <cell r="Z50">
            <v>0</v>
          </cell>
          <cell r="AC50">
            <v>1</v>
          </cell>
          <cell r="AD50">
            <v>0</v>
          </cell>
          <cell r="AG50">
            <v>1</v>
          </cell>
          <cell r="AH50">
            <v>0</v>
          </cell>
        </row>
        <row r="51">
          <cell r="B51" t="str">
            <v>HT Panel Erection</v>
          </cell>
          <cell r="E51">
            <v>2</v>
          </cell>
          <cell r="F51">
            <v>2</v>
          </cell>
          <cell r="I51">
            <v>2</v>
          </cell>
          <cell r="J51">
            <v>2</v>
          </cell>
          <cell r="M51">
            <v>2</v>
          </cell>
          <cell r="N51">
            <v>2</v>
          </cell>
          <cell r="Q51">
            <v>2</v>
          </cell>
          <cell r="R51">
            <v>2</v>
          </cell>
          <cell r="U51">
            <v>2</v>
          </cell>
          <cell r="V51">
            <v>2</v>
          </cell>
          <cell r="Y51">
            <v>2</v>
          </cell>
          <cell r="Z51">
            <v>0</v>
          </cell>
          <cell r="AC51">
            <v>2</v>
          </cell>
          <cell r="AD51">
            <v>0</v>
          </cell>
          <cell r="AG51">
            <v>2</v>
          </cell>
          <cell r="AH51">
            <v>0</v>
          </cell>
        </row>
        <row r="52">
          <cell r="B52" t="str">
            <v>SGR - PEB Primary Structure</v>
          </cell>
          <cell r="E52">
            <v>1</v>
          </cell>
          <cell r="F52">
            <v>1</v>
          </cell>
          <cell r="I52">
            <v>1</v>
          </cell>
          <cell r="J52">
            <v>1</v>
          </cell>
          <cell r="M52">
            <v>1</v>
          </cell>
          <cell r="N52">
            <v>0</v>
          </cell>
          <cell r="Q52">
            <v>1</v>
          </cell>
          <cell r="R52">
            <v>1</v>
          </cell>
          <cell r="U52">
            <v>1</v>
          </cell>
          <cell r="V52">
            <v>0</v>
          </cell>
          <cell r="Y52">
            <v>1</v>
          </cell>
          <cell r="Z52">
            <v>0</v>
          </cell>
          <cell r="AC52">
            <v>1</v>
          </cell>
          <cell r="AD52">
            <v>0</v>
          </cell>
          <cell r="AG52">
            <v>1</v>
          </cell>
          <cell r="AH52">
            <v>0</v>
          </cell>
        </row>
        <row r="53">
          <cell r="B53" t="str">
            <v>SGR - PEB Secondary Structure</v>
          </cell>
          <cell r="E53">
            <v>1</v>
          </cell>
          <cell r="F53">
            <v>1</v>
          </cell>
          <cell r="I53">
            <v>1</v>
          </cell>
          <cell r="J53">
            <v>1</v>
          </cell>
          <cell r="M53">
            <v>1</v>
          </cell>
          <cell r="N53">
            <v>0</v>
          </cell>
          <cell r="Q53">
            <v>1</v>
          </cell>
          <cell r="R53">
            <v>1</v>
          </cell>
          <cell r="U53">
            <v>1</v>
          </cell>
          <cell r="V53">
            <v>0</v>
          </cell>
          <cell r="Y53">
            <v>1</v>
          </cell>
          <cell r="Z53">
            <v>0</v>
          </cell>
          <cell r="AC53">
            <v>1</v>
          </cell>
          <cell r="AD53">
            <v>0</v>
          </cell>
          <cell r="AG53">
            <v>1</v>
          </cell>
          <cell r="AH53">
            <v>0</v>
          </cell>
        </row>
        <row r="54">
          <cell r="B54" t="str">
            <v>SGR PEB</v>
          </cell>
          <cell r="E54">
            <v>1</v>
          </cell>
          <cell r="F54">
            <v>1</v>
          </cell>
          <cell r="I54">
            <v>1</v>
          </cell>
          <cell r="J54">
            <v>1</v>
          </cell>
          <cell r="M54">
            <v>1</v>
          </cell>
          <cell r="N54">
            <v>0</v>
          </cell>
          <cell r="Q54">
            <v>1</v>
          </cell>
          <cell r="R54">
            <v>1</v>
          </cell>
          <cell r="U54">
            <v>1</v>
          </cell>
          <cell r="V54">
            <v>0</v>
          </cell>
          <cell r="Y54">
            <v>1</v>
          </cell>
          <cell r="Z54">
            <v>0</v>
          </cell>
          <cell r="AC54">
            <v>1</v>
          </cell>
          <cell r="AD54">
            <v>0</v>
          </cell>
          <cell r="AG54">
            <v>1</v>
          </cell>
          <cell r="AH54">
            <v>0</v>
          </cell>
        </row>
        <row r="55">
          <cell r="B55" t="str">
            <v>SGR - PEB Handrail</v>
          </cell>
          <cell r="E55">
            <v>1</v>
          </cell>
          <cell r="F55">
            <v>0</v>
          </cell>
          <cell r="I55">
            <v>1</v>
          </cell>
          <cell r="J55">
            <v>0</v>
          </cell>
          <cell r="M55">
            <v>1</v>
          </cell>
          <cell r="N55">
            <v>0</v>
          </cell>
          <cell r="Q55">
            <v>1</v>
          </cell>
          <cell r="R55">
            <v>0</v>
          </cell>
          <cell r="U55">
            <v>1</v>
          </cell>
          <cell r="V55">
            <v>0</v>
          </cell>
          <cell r="Y55">
            <v>1</v>
          </cell>
          <cell r="Z55">
            <v>0</v>
          </cell>
          <cell r="AC55">
            <v>1</v>
          </cell>
          <cell r="AD55">
            <v>0</v>
          </cell>
          <cell r="AG55">
            <v>1</v>
          </cell>
          <cell r="AH55">
            <v>0</v>
          </cell>
        </row>
        <row r="56">
          <cell r="B56" t="str">
            <v>MCR - Honeywell</v>
          </cell>
          <cell r="E56" t="str">
            <v>Scope</v>
          </cell>
          <cell r="F56" t="str">
            <v>Actual</v>
          </cell>
          <cell r="I56" t="str">
            <v>Scope</v>
          </cell>
          <cell r="J56" t="str">
            <v>Actual</v>
          </cell>
          <cell r="M56" t="str">
            <v>Scope</v>
          </cell>
          <cell r="N56" t="str">
            <v>Actual</v>
          </cell>
          <cell r="Q56" t="str">
            <v>Scope</v>
          </cell>
          <cell r="R56" t="str">
            <v>Actual</v>
          </cell>
          <cell r="U56" t="str">
            <v>Scope</v>
          </cell>
          <cell r="V56" t="str">
            <v>Actual</v>
          </cell>
          <cell r="Y56" t="str">
            <v>Scope</v>
          </cell>
          <cell r="Z56" t="str">
            <v>Actual</v>
          </cell>
          <cell r="AC56" t="str">
            <v>Scope</v>
          </cell>
          <cell r="AD56" t="str">
            <v>Actual</v>
          </cell>
          <cell r="AG56" t="str">
            <v>Scope</v>
          </cell>
          <cell r="AH56" t="str">
            <v>Actual</v>
          </cell>
        </row>
        <row r="57">
          <cell r="B57" t="str">
            <v>MCR - Driven Cast in-situ Piling</v>
          </cell>
          <cell r="E57">
            <v>8</v>
          </cell>
          <cell r="F57">
            <v>8</v>
          </cell>
          <cell r="I57">
            <v>8</v>
          </cell>
          <cell r="J57">
            <v>8</v>
          </cell>
          <cell r="M57">
            <v>8</v>
          </cell>
          <cell r="N57">
            <v>8</v>
          </cell>
          <cell r="Q57">
            <v>8</v>
          </cell>
          <cell r="R57">
            <v>8</v>
          </cell>
          <cell r="U57">
            <v>8</v>
          </cell>
          <cell r="V57">
            <v>8</v>
          </cell>
          <cell r="Y57">
            <v>8</v>
          </cell>
          <cell r="Z57">
            <v>8</v>
          </cell>
          <cell r="AC57">
            <v>8</v>
          </cell>
          <cell r="AD57">
            <v>8</v>
          </cell>
          <cell r="AG57">
            <v>8</v>
          </cell>
          <cell r="AH57">
            <v>8</v>
          </cell>
        </row>
        <row r="58">
          <cell r="B58" t="str">
            <v>MCR - PCC</v>
          </cell>
          <cell r="E58">
            <v>1</v>
          </cell>
          <cell r="F58">
            <v>1</v>
          </cell>
          <cell r="I58">
            <v>1</v>
          </cell>
          <cell r="J58">
            <v>1</v>
          </cell>
          <cell r="M58">
            <v>1</v>
          </cell>
          <cell r="N58">
            <v>1</v>
          </cell>
          <cell r="Q58">
            <v>1</v>
          </cell>
          <cell r="R58">
            <v>1</v>
          </cell>
          <cell r="U58">
            <v>1</v>
          </cell>
          <cell r="V58">
            <v>1</v>
          </cell>
          <cell r="Y58">
            <v>1</v>
          </cell>
          <cell r="Z58">
            <v>1</v>
          </cell>
          <cell r="AC58">
            <v>1</v>
          </cell>
          <cell r="AD58">
            <v>1</v>
          </cell>
          <cell r="AG58">
            <v>1</v>
          </cell>
          <cell r="AH58">
            <v>1</v>
          </cell>
        </row>
        <row r="59">
          <cell r="B59" t="str">
            <v>MCR - Footing &amp; Pile Beam Casting</v>
          </cell>
          <cell r="E59">
            <v>1</v>
          </cell>
          <cell r="F59">
            <v>1</v>
          </cell>
          <cell r="I59">
            <v>1</v>
          </cell>
          <cell r="J59">
            <v>1</v>
          </cell>
          <cell r="M59">
            <v>1</v>
          </cell>
          <cell r="N59">
            <v>1</v>
          </cell>
          <cell r="Q59">
            <v>1</v>
          </cell>
          <cell r="R59">
            <v>1</v>
          </cell>
          <cell r="U59">
            <v>1</v>
          </cell>
          <cell r="V59">
            <v>1</v>
          </cell>
          <cell r="Y59">
            <v>1</v>
          </cell>
          <cell r="Z59">
            <v>1</v>
          </cell>
          <cell r="AC59">
            <v>1</v>
          </cell>
          <cell r="AD59">
            <v>1</v>
          </cell>
          <cell r="AG59">
            <v>1</v>
          </cell>
          <cell r="AH59">
            <v>1</v>
          </cell>
        </row>
        <row r="60">
          <cell r="B60" t="str">
            <v>MCR - Column Casting</v>
          </cell>
          <cell r="E60">
            <v>1</v>
          </cell>
          <cell r="F60">
            <v>1</v>
          </cell>
          <cell r="I60">
            <v>1</v>
          </cell>
          <cell r="J60">
            <v>1</v>
          </cell>
          <cell r="M60">
            <v>1</v>
          </cell>
          <cell r="N60">
            <v>1</v>
          </cell>
          <cell r="Q60">
            <v>1</v>
          </cell>
          <cell r="R60">
            <v>1</v>
          </cell>
          <cell r="U60">
            <v>1</v>
          </cell>
          <cell r="V60">
            <v>1</v>
          </cell>
          <cell r="Y60">
            <v>1</v>
          </cell>
          <cell r="Z60">
            <v>1</v>
          </cell>
          <cell r="AC60">
            <v>1</v>
          </cell>
          <cell r="AD60">
            <v>1</v>
          </cell>
          <cell r="AG60">
            <v>1</v>
          </cell>
          <cell r="AH60">
            <v>1</v>
          </cell>
        </row>
        <row r="61">
          <cell r="B61" t="str">
            <v>MCR - Slab Reinforcement &amp; Cutout Fixing</v>
          </cell>
          <cell r="E61">
            <v>1</v>
          </cell>
          <cell r="F61">
            <v>1</v>
          </cell>
          <cell r="I61">
            <v>1</v>
          </cell>
          <cell r="J61">
            <v>1</v>
          </cell>
          <cell r="M61">
            <v>1</v>
          </cell>
          <cell r="N61">
            <v>1</v>
          </cell>
          <cell r="Q61">
            <v>1</v>
          </cell>
          <cell r="R61">
            <v>1</v>
          </cell>
          <cell r="U61">
            <v>1</v>
          </cell>
          <cell r="V61">
            <v>1</v>
          </cell>
          <cell r="Y61">
            <v>1</v>
          </cell>
          <cell r="Z61">
            <v>1</v>
          </cell>
          <cell r="AC61">
            <v>1</v>
          </cell>
          <cell r="AD61">
            <v>1</v>
          </cell>
          <cell r="AG61">
            <v>1</v>
          </cell>
          <cell r="AH61">
            <v>1</v>
          </cell>
        </row>
        <row r="62">
          <cell r="B62" t="str">
            <v>MCR Slab Casting</v>
          </cell>
          <cell r="E62">
            <v>1</v>
          </cell>
          <cell r="F62">
            <v>1</v>
          </cell>
          <cell r="I62">
            <v>1</v>
          </cell>
          <cell r="J62">
            <v>1</v>
          </cell>
          <cell r="M62">
            <v>1</v>
          </cell>
          <cell r="N62">
            <v>1</v>
          </cell>
          <cell r="Q62">
            <v>1</v>
          </cell>
          <cell r="R62">
            <v>1</v>
          </cell>
          <cell r="U62">
            <v>1</v>
          </cell>
          <cell r="V62">
            <v>1</v>
          </cell>
          <cell r="Y62">
            <v>1</v>
          </cell>
          <cell r="Z62">
            <v>1</v>
          </cell>
          <cell r="AC62">
            <v>1</v>
          </cell>
          <cell r="AD62">
            <v>1</v>
          </cell>
          <cell r="AG62">
            <v>1</v>
          </cell>
          <cell r="AH62">
            <v>1</v>
          </cell>
        </row>
        <row r="63">
          <cell r="B63" t="str">
            <v>MCR - Slab Finishing</v>
          </cell>
          <cell r="E63">
            <v>1</v>
          </cell>
          <cell r="F63">
            <v>1</v>
          </cell>
          <cell r="I63">
            <v>1</v>
          </cell>
          <cell r="J63">
            <v>1</v>
          </cell>
          <cell r="M63">
            <v>1</v>
          </cell>
          <cell r="N63">
            <v>0</v>
          </cell>
          <cell r="Q63">
            <v>1</v>
          </cell>
          <cell r="R63">
            <v>1</v>
          </cell>
          <cell r="U63">
            <v>1</v>
          </cell>
          <cell r="V63">
            <v>1</v>
          </cell>
          <cell r="Y63">
            <v>1</v>
          </cell>
          <cell r="Z63">
            <v>0</v>
          </cell>
          <cell r="AC63">
            <v>1</v>
          </cell>
          <cell r="AD63">
            <v>0</v>
          </cell>
          <cell r="AG63">
            <v>1</v>
          </cell>
          <cell r="AH63">
            <v>0</v>
          </cell>
        </row>
        <row r="64">
          <cell r="B64" t="str">
            <v>MCR - Staircase</v>
          </cell>
          <cell r="E64">
            <v>1</v>
          </cell>
          <cell r="F64">
            <v>1</v>
          </cell>
          <cell r="I64">
            <v>1</v>
          </cell>
          <cell r="J64">
            <v>0</v>
          </cell>
          <cell r="M64">
            <v>1</v>
          </cell>
          <cell r="N64">
            <v>0</v>
          </cell>
          <cell r="Q64">
            <v>0</v>
          </cell>
          <cell r="R64">
            <v>0</v>
          </cell>
          <cell r="U64">
            <v>1</v>
          </cell>
          <cell r="V64">
            <v>0</v>
          </cell>
          <cell r="Y64">
            <v>1</v>
          </cell>
          <cell r="Z64">
            <v>0</v>
          </cell>
          <cell r="AC64">
            <v>1</v>
          </cell>
          <cell r="AD64">
            <v>0</v>
          </cell>
          <cell r="AG64">
            <v>1</v>
          </cell>
          <cell r="AH64">
            <v>0</v>
          </cell>
        </row>
        <row r="65">
          <cell r="B65" t="str">
            <v>EMS Panel Erection</v>
          </cell>
          <cell r="E65">
            <v>1</v>
          </cell>
          <cell r="F65">
            <v>1</v>
          </cell>
          <cell r="I65">
            <v>1</v>
          </cell>
          <cell r="J65">
            <v>1</v>
          </cell>
          <cell r="M65">
            <v>1</v>
          </cell>
          <cell r="N65">
            <v>0</v>
          </cell>
          <cell r="Q65">
            <v>1</v>
          </cell>
          <cell r="R65">
            <v>1</v>
          </cell>
          <cell r="U65">
            <v>1</v>
          </cell>
          <cell r="V65">
            <v>0</v>
          </cell>
          <cell r="Y65">
            <v>1</v>
          </cell>
          <cell r="Z65">
            <v>0</v>
          </cell>
          <cell r="AC65">
            <v>1</v>
          </cell>
          <cell r="AD65">
            <v>0</v>
          </cell>
          <cell r="AG65">
            <v>1</v>
          </cell>
          <cell r="AH65">
            <v>0</v>
          </cell>
        </row>
        <row r="66">
          <cell r="B66" t="str">
            <v>MCR - PEB Primary Structure</v>
          </cell>
          <cell r="E66">
            <v>0</v>
          </cell>
          <cell r="F66">
            <v>0</v>
          </cell>
          <cell r="I66">
            <v>0</v>
          </cell>
          <cell r="J66">
            <v>0</v>
          </cell>
          <cell r="M66">
            <v>0</v>
          </cell>
          <cell r="N66">
            <v>0</v>
          </cell>
          <cell r="Q66">
            <v>0</v>
          </cell>
          <cell r="R66">
            <v>0</v>
          </cell>
          <cell r="U66">
            <v>0</v>
          </cell>
          <cell r="V66">
            <v>0</v>
          </cell>
          <cell r="Y66">
            <v>0</v>
          </cell>
          <cell r="Z66">
            <v>0</v>
          </cell>
          <cell r="AC66">
            <v>0</v>
          </cell>
          <cell r="AD66">
            <v>0</v>
          </cell>
          <cell r="AG66">
            <v>0</v>
          </cell>
          <cell r="AH66">
            <v>0</v>
          </cell>
        </row>
        <row r="67">
          <cell r="B67" t="str">
            <v>MCR - PEB Secondary Structure</v>
          </cell>
          <cell r="E67">
            <v>0</v>
          </cell>
          <cell r="F67">
            <v>0</v>
          </cell>
          <cell r="I67">
            <v>0</v>
          </cell>
          <cell r="J67">
            <v>0</v>
          </cell>
          <cell r="M67">
            <v>0</v>
          </cell>
          <cell r="N67">
            <v>0</v>
          </cell>
          <cell r="Q67">
            <v>0</v>
          </cell>
          <cell r="R67">
            <v>0</v>
          </cell>
          <cell r="U67">
            <v>0</v>
          </cell>
          <cell r="V67">
            <v>0</v>
          </cell>
          <cell r="Y67">
            <v>0</v>
          </cell>
          <cell r="Z67">
            <v>0</v>
          </cell>
          <cell r="AC67">
            <v>0</v>
          </cell>
          <cell r="AD67">
            <v>0</v>
          </cell>
          <cell r="AG67">
            <v>0</v>
          </cell>
          <cell r="AH67">
            <v>0</v>
          </cell>
        </row>
        <row r="68">
          <cell r="B68" t="str">
            <v>MCR PEB</v>
          </cell>
          <cell r="E68">
            <v>1</v>
          </cell>
          <cell r="F68">
            <v>1</v>
          </cell>
          <cell r="I68">
            <v>1</v>
          </cell>
          <cell r="J68">
            <v>1</v>
          </cell>
          <cell r="M68">
            <v>1</v>
          </cell>
          <cell r="N68">
            <v>0</v>
          </cell>
          <cell r="Q68">
            <v>1</v>
          </cell>
          <cell r="R68">
            <v>1</v>
          </cell>
          <cell r="U68">
            <v>1</v>
          </cell>
          <cell r="V68">
            <v>1</v>
          </cell>
          <cell r="Y68">
            <v>1</v>
          </cell>
          <cell r="Z68">
            <v>0</v>
          </cell>
          <cell r="AC68">
            <v>1</v>
          </cell>
          <cell r="AD68">
            <v>0</v>
          </cell>
          <cell r="AG68">
            <v>1</v>
          </cell>
          <cell r="AH68">
            <v>0</v>
          </cell>
        </row>
        <row r="69">
          <cell r="B69" t="str">
            <v>MCR - Door Installation</v>
          </cell>
          <cell r="E69">
            <v>0</v>
          </cell>
          <cell r="F69">
            <v>0</v>
          </cell>
          <cell r="I69">
            <v>0</v>
          </cell>
          <cell r="J69">
            <v>0</v>
          </cell>
          <cell r="M69">
            <v>0</v>
          </cell>
          <cell r="N69">
            <v>0</v>
          </cell>
          <cell r="Q69">
            <v>0</v>
          </cell>
          <cell r="R69">
            <v>0</v>
          </cell>
          <cell r="U69">
            <v>0</v>
          </cell>
          <cell r="V69">
            <v>0</v>
          </cell>
          <cell r="Y69">
            <v>0</v>
          </cell>
          <cell r="Z69">
            <v>0</v>
          </cell>
          <cell r="AC69">
            <v>0</v>
          </cell>
          <cell r="AD69">
            <v>0</v>
          </cell>
          <cell r="AG69">
            <v>0</v>
          </cell>
          <cell r="AH69">
            <v>0</v>
          </cell>
        </row>
        <row r="70">
          <cell r="B70" t="str">
            <v>CSS - Akshar</v>
          </cell>
          <cell r="E70" t="str">
            <v>Scope</v>
          </cell>
          <cell r="F70" t="str">
            <v>Actual</v>
          </cell>
          <cell r="I70" t="str">
            <v>Scope</v>
          </cell>
          <cell r="J70" t="str">
            <v>Actual</v>
          </cell>
          <cell r="M70" t="str">
            <v>Scope</v>
          </cell>
          <cell r="N70" t="str">
            <v>Actual</v>
          </cell>
          <cell r="Q70" t="str">
            <v>Scope</v>
          </cell>
          <cell r="R70" t="str">
            <v>Actual</v>
          </cell>
          <cell r="U70" t="str">
            <v>Scope</v>
          </cell>
          <cell r="V70" t="str">
            <v>Actual</v>
          </cell>
          <cell r="Y70" t="str">
            <v>Scope</v>
          </cell>
          <cell r="Z70" t="str">
            <v>Actual</v>
          </cell>
          <cell r="AC70" t="str">
            <v>Scope</v>
          </cell>
          <cell r="AD70" t="str">
            <v>Actual</v>
          </cell>
          <cell r="AG70" t="str">
            <v>Scope</v>
          </cell>
          <cell r="AH70" t="str">
            <v>Actual</v>
          </cell>
        </row>
        <row r="71">
          <cell r="B71" t="str">
            <v>CSS - Marking &amp; Excavation</v>
          </cell>
          <cell r="E71">
            <v>1</v>
          </cell>
          <cell r="F71">
            <v>1</v>
          </cell>
          <cell r="I71">
            <v>1</v>
          </cell>
          <cell r="J71">
            <v>1</v>
          </cell>
          <cell r="M71">
            <v>1</v>
          </cell>
          <cell r="N71">
            <v>1</v>
          </cell>
          <cell r="Q71">
            <v>1</v>
          </cell>
          <cell r="R71">
            <v>1</v>
          </cell>
          <cell r="U71">
            <v>1</v>
          </cell>
          <cell r="V71">
            <v>1</v>
          </cell>
          <cell r="Y71">
            <v>1</v>
          </cell>
          <cell r="Z71">
            <v>1</v>
          </cell>
          <cell r="AC71">
            <v>1</v>
          </cell>
          <cell r="AD71">
            <v>1</v>
          </cell>
          <cell r="AG71">
            <v>1</v>
          </cell>
          <cell r="AH71">
            <v>1</v>
          </cell>
        </row>
        <row r="72">
          <cell r="B72" t="str">
            <v>CSS - Rubble soiling</v>
          </cell>
          <cell r="E72">
            <v>1</v>
          </cell>
          <cell r="F72">
            <v>1</v>
          </cell>
          <cell r="I72">
            <v>1</v>
          </cell>
          <cell r="J72">
            <v>1</v>
          </cell>
          <cell r="M72">
            <v>1</v>
          </cell>
          <cell r="N72">
            <v>1</v>
          </cell>
          <cell r="Q72">
            <v>1</v>
          </cell>
          <cell r="R72">
            <v>1</v>
          </cell>
          <cell r="U72">
            <v>1</v>
          </cell>
          <cell r="V72">
            <v>1</v>
          </cell>
          <cell r="Y72">
            <v>1</v>
          </cell>
          <cell r="Z72">
            <v>1</v>
          </cell>
          <cell r="AC72">
            <v>1</v>
          </cell>
          <cell r="AD72">
            <v>1</v>
          </cell>
          <cell r="AG72">
            <v>1</v>
          </cell>
          <cell r="AH72">
            <v>1</v>
          </cell>
        </row>
        <row r="73">
          <cell r="B73" t="str">
            <v>CSS - PCC</v>
          </cell>
          <cell r="E73">
            <v>1</v>
          </cell>
          <cell r="F73">
            <v>1</v>
          </cell>
          <cell r="I73">
            <v>1</v>
          </cell>
          <cell r="J73">
            <v>1</v>
          </cell>
          <cell r="M73">
            <v>1</v>
          </cell>
          <cell r="N73">
            <v>1</v>
          </cell>
          <cell r="Q73">
            <v>1</v>
          </cell>
          <cell r="R73">
            <v>1</v>
          </cell>
          <cell r="U73">
            <v>1</v>
          </cell>
          <cell r="V73">
            <v>1</v>
          </cell>
          <cell r="Y73">
            <v>1</v>
          </cell>
          <cell r="Z73">
            <v>1</v>
          </cell>
          <cell r="AC73">
            <v>1</v>
          </cell>
          <cell r="AD73">
            <v>1</v>
          </cell>
          <cell r="AG73">
            <v>1</v>
          </cell>
          <cell r="AH73">
            <v>1</v>
          </cell>
        </row>
        <row r="74">
          <cell r="B74" t="str">
            <v>CSS - Footing Casting</v>
          </cell>
          <cell r="E74">
            <v>1</v>
          </cell>
          <cell r="F74">
            <v>1</v>
          </cell>
          <cell r="I74">
            <v>1</v>
          </cell>
          <cell r="J74">
            <v>1</v>
          </cell>
          <cell r="M74">
            <v>1</v>
          </cell>
          <cell r="N74">
            <v>1</v>
          </cell>
          <cell r="Q74">
            <v>1</v>
          </cell>
          <cell r="R74">
            <v>1</v>
          </cell>
          <cell r="U74">
            <v>1</v>
          </cell>
          <cell r="V74">
            <v>1</v>
          </cell>
          <cell r="Y74">
            <v>1</v>
          </cell>
          <cell r="Z74">
            <v>1</v>
          </cell>
          <cell r="AC74">
            <v>1</v>
          </cell>
          <cell r="AD74">
            <v>1</v>
          </cell>
          <cell r="AG74">
            <v>1</v>
          </cell>
          <cell r="AH74">
            <v>1</v>
          </cell>
        </row>
        <row r="75">
          <cell r="B75" t="str">
            <v>CSS - Wall Casting</v>
          </cell>
          <cell r="E75">
            <v>1</v>
          </cell>
          <cell r="F75">
            <v>1</v>
          </cell>
          <cell r="I75">
            <v>1</v>
          </cell>
          <cell r="J75">
            <v>1</v>
          </cell>
          <cell r="M75">
            <v>1</v>
          </cell>
          <cell r="N75">
            <v>1</v>
          </cell>
          <cell r="Q75">
            <v>1</v>
          </cell>
          <cell r="R75">
            <v>1</v>
          </cell>
          <cell r="U75">
            <v>1</v>
          </cell>
          <cell r="V75">
            <v>1</v>
          </cell>
          <cell r="Y75">
            <v>1</v>
          </cell>
          <cell r="Z75">
            <v>1</v>
          </cell>
          <cell r="AC75">
            <v>1</v>
          </cell>
          <cell r="AD75">
            <v>1</v>
          </cell>
          <cell r="AG75">
            <v>1</v>
          </cell>
          <cell r="AH75">
            <v>1</v>
          </cell>
        </row>
        <row r="76">
          <cell r="B76" t="str">
            <v>CSS - Backfilling</v>
          </cell>
          <cell r="E76">
            <v>1</v>
          </cell>
          <cell r="F76">
            <v>1</v>
          </cell>
          <cell r="I76">
            <v>1</v>
          </cell>
          <cell r="J76">
            <v>1</v>
          </cell>
          <cell r="M76">
            <v>1</v>
          </cell>
          <cell r="N76">
            <v>1</v>
          </cell>
          <cell r="Q76">
            <v>1</v>
          </cell>
          <cell r="R76">
            <v>1</v>
          </cell>
          <cell r="U76">
            <v>1</v>
          </cell>
          <cell r="V76">
            <v>1</v>
          </cell>
          <cell r="Y76">
            <v>1</v>
          </cell>
          <cell r="Z76">
            <v>1</v>
          </cell>
          <cell r="AC76">
            <v>1</v>
          </cell>
          <cell r="AD76">
            <v>1</v>
          </cell>
          <cell r="AG76">
            <v>1</v>
          </cell>
          <cell r="AH76">
            <v>1</v>
          </cell>
        </row>
        <row r="77">
          <cell r="B77" t="str">
            <v>CSS Slab Casting</v>
          </cell>
          <cell r="E77">
            <v>1</v>
          </cell>
          <cell r="F77">
            <v>1</v>
          </cell>
          <cell r="I77">
            <v>1</v>
          </cell>
          <cell r="J77">
            <v>1</v>
          </cell>
          <cell r="M77">
            <v>1</v>
          </cell>
          <cell r="N77">
            <v>1</v>
          </cell>
          <cell r="Q77">
            <v>1</v>
          </cell>
          <cell r="R77">
            <v>1</v>
          </cell>
          <cell r="U77">
            <v>1</v>
          </cell>
          <cell r="V77">
            <v>1</v>
          </cell>
          <cell r="Y77">
            <v>1</v>
          </cell>
          <cell r="Z77">
            <v>1</v>
          </cell>
          <cell r="AC77">
            <v>1</v>
          </cell>
          <cell r="AD77">
            <v>1</v>
          </cell>
          <cell r="AG77">
            <v>1</v>
          </cell>
          <cell r="AH77">
            <v>1</v>
          </cell>
        </row>
        <row r="78">
          <cell r="B78" t="str">
            <v>CSS - Staircase</v>
          </cell>
          <cell r="E78">
            <v>1</v>
          </cell>
          <cell r="F78">
            <v>0</v>
          </cell>
          <cell r="I78">
            <v>1</v>
          </cell>
          <cell r="J78">
            <v>0</v>
          </cell>
          <cell r="M78">
            <v>1</v>
          </cell>
          <cell r="N78">
            <v>0</v>
          </cell>
          <cell r="Q78">
            <v>0</v>
          </cell>
          <cell r="R78">
            <v>0</v>
          </cell>
          <cell r="U78">
            <v>1</v>
          </cell>
          <cell r="V78">
            <v>0</v>
          </cell>
          <cell r="Y78">
            <v>1</v>
          </cell>
          <cell r="Z78">
            <v>0</v>
          </cell>
          <cell r="AC78">
            <v>1</v>
          </cell>
          <cell r="AD78">
            <v>0</v>
          </cell>
          <cell r="AG78">
            <v>1</v>
          </cell>
          <cell r="AH78">
            <v>0</v>
          </cell>
        </row>
        <row r="79">
          <cell r="B79" t="str">
            <v>CSS Erection</v>
          </cell>
          <cell r="E79">
            <v>1</v>
          </cell>
          <cell r="F79">
            <v>1</v>
          </cell>
          <cell r="I79">
            <v>1</v>
          </cell>
          <cell r="J79">
            <v>1</v>
          </cell>
          <cell r="M79">
            <v>1</v>
          </cell>
          <cell r="N79">
            <v>1</v>
          </cell>
          <cell r="Q79">
            <v>1</v>
          </cell>
          <cell r="R79">
            <v>1</v>
          </cell>
          <cell r="U79">
            <v>1</v>
          </cell>
          <cell r="V79">
            <v>1</v>
          </cell>
          <cell r="Y79">
            <v>1</v>
          </cell>
          <cell r="Z79">
            <v>0</v>
          </cell>
          <cell r="AC79">
            <v>1</v>
          </cell>
          <cell r="AD79">
            <v>0</v>
          </cell>
          <cell r="AG79">
            <v>1</v>
          </cell>
          <cell r="AH79">
            <v>0</v>
          </cell>
        </row>
        <row r="80">
          <cell r="B80" t="str">
            <v xml:space="preserve">NIFPS  </v>
          </cell>
          <cell r="E80" t="str">
            <v>Scope</v>
          </cell>
          <cell r="F80" t="str">
            <v>Actual</v>
          </cell>
          <cell r="I80" t="str">
            <v>Scope</v>
          </cell>
          <cell r="J80" t="str">
            <v>Actual</v>
          </cell>
          <cell r="M80" t="str">
            <v>Scope</v>
          </cell>
          <cell r="N80" t="str">
            <v>Actual</v>
          </cell>
          <cell r="Q80" t="str">
            <v>Scope</v>
          </cell>
          <cell r="R80" t="str">
            <v>Actual</v>
          </cell>
          <cell r="U80" t="str">
            <v>Scope</v>
          </cell>
          <cell r="V80" t="str">
            <v>Actual</v>
          </cell>
          <cell r="Y80" t="str">
            <v>Scope</v>
          </cell>
          <cell r="Z80" t="str">
            <v>Actual</v>
          </cell>
          <cell r="AC80" t="str">
            <v>Scope</v>
          </cell>
          <cell r="AD80" t="str">
            <v>Actual</v>
          </cell>
          <cell r="AG80" t="str">
            <v>Scope</v>
          </cell>
          <cell r="AH80" t="str">
            <v>Actual</v>
          </cell>
        </row>
        <row r="81">
          <cell r="B81" t="str">
            <v>NIFPS - Excavation / Compaction</v>
          </cell>
          <cell r="E81">
            <v>6</v>
          </cell>
          <cell r="F81">
            <v>6</v>
          </cell>
          <cell r="I81">
            <v>6</v>
          </cell>
          <cell r="J81">
            <v>6</v>
          </cell>
          <cell r="M81">
            <v>6</v>
          </cell>
          <cell r="N81">
            <v>0</v>
          </cell>
          <cell r="Q81">
            <v>6</v>
          </cell>
          <cell r="R81">
            <v>6</v>
          </cell>
          <cell r="U81">
            <v>6</v>
          </cell>
          <cell r="V81">
            <v>4</v>
          </cell>
          <cell r="Y81">
            <v>6</v>
          </cell>
          <cell r="Z81">
            <v>0</v>
          </cell>
          <cell r="AC81">
            <v>6</v>
          </cell>
          <cell r="AD81">
            <v>0</v>
          </cell>
          <cell r="AG81">
            <v>6</v>
          </cell>
          <cell r="AH81">
            <v>0</v>
          </cell>
        </row>
        <row r="82">
          <cell r="B82" t="str">
            <v>NIFPS - PCC</v>
          </cell>
          <cell r="E82">
            <v>6</v>
          </cell>
          <cell r="F82">
            <v>6</v>
          </cell>
          <cell r="I82">
            <v>6</v>
          </cell>
          <cell r="J82">
            <v>6</v>
          </cell>
          <cell r="M82">
            <v>6</v>
          </cell>
          <cell r="N82">
            <v>0</v>
          </cell>
          <cell r="Q82">
            <v>6</v>
          </cell>
          <cell r="R82">
            <v>6</v>
          </cell>
          <cell r="U82">
            <v>6</v>
          </cell>
          <cell r="V82">
            <v>4</v>
          </cell>
          <cell r="Y82">
            <v>6</v>
          </cell>
          <cell r="Z82">
            <v>0</v>
          </cell>
          <cell r="AC82">
            <v>6</v>
          </cell>
          <cell r="AD82">
            <v>0</v>
          </cell>
          <cell r="AG82">
            <v>6</v>
          </cell>
          <cell r="AH82">
            <v>0</v>
          </cell>
        </row>
        <row r="83">
          <cell r="B83" t="str">
            <v>NIFPS Precast Erection</v>
          </cell>
          <cell r="E83">
            <v>6</v>
          </cell>
          <cell r="F83">
            <v>6</v>
          </cell>
          <cell r="I83">
            <v>6</v>
          </cell>
          <cell r="J83">
            <v>6</v>
          </cell>
          <cell r="M83">
            <v>6</v>
          </cell>
          <cell r="N83">
            <v>0</v>
          </cell>
          <cell r="Q83">
            <v>6</v>
          </cell>
          <cell r="R83">
            <v>6</v>
          </cell>
          <cell r="U83">
            <v>6</v>
          </cell>
          <cell r="V83">
            <v>0</v>
          </cell>
          <cell r="Y83">
            <v>6</v>
          </cell>
          <cell r="Z83">
            <v>0</v>
          </cell>
          <cell r="AC83">
            <v>6</v>
          </cell>
          <cell r="AD83">
            <v>0</v>
          </cell>
          <cell r="AG83">
            <v>6</v>
          </cell>
          <cell r="AH83">
            <v>0</v>
          </cell>
        </row>
        <row r="84">
          <cell r="B84" t="str">
            <v>NIFPS - Finishing Work</v>
          </cell>
          <cell r="E84">
            <v>6</v>
          </cell>
          <cell r="F84">
            <v>0</v>
          </cell>
          <cell r="I84">
            <v>6</v>
          </cell>
          <cell r="J84">
            <v>0</v>
          </cell>
          <cell r="M84">
            <v>6</v>
          </cell>
          <cell r="N84">
            <v>0</v>
          </cell>
          <cell r="Q84">
            <v>6</v>
          </cell>
          <cell r="R84">
            <v>6</v>
          </cell>
          <cell r="U84">
            <v>6</v>
          </cell>
          <cell r="V84">
            <v>0</v>
          </cell>
          <cell r="Y84">
            <v>6</v>
          </cell>
          <cell r="Z84">
            <v>0</v>
          </cell>
          <cell r="AC84">
            <v>6</v>
          </cell>
          <cell r="AD84">
            <v>0</v>
          </cell>
          <cell r="AG84">
            <v>6</v>
          </cell>
          <cell r="AH84">
            <v>0</v>
          </cell>
        </row>
        <row r="85">
          <cell r="B85" t="str">
            <v>NIFPS Panel Erection</v>
          </cell>
          <cell r="E85">
            <v>6</v>
          </cell>
          <cell r="F85">
            <v>6</v>
          </cell>
          <cell r="I85">
            <v>6</v>
          </cell>
          <cell r="J85">
            <v>2</v>
          </cell>
          <cell r="M85">
            <v>6</v>
          </cell>
          <cell r="N85">
            <v>0</v>
          </cell>
          <cell r="Q85">
            <v>6</v>
          </cell>
          <cell r="R85">
            <v>6</v>
          </cell>
          <cell r="U85">
            <v>6</v>
          </cell>
          <cell r="V85">
            <v>0</v>
          </cell>
          <cell r="Y85">
            <v>6</v>
          </cell>
          <cell r="Z85">
            <v>0</v>
          </cell>
          <cell r="AC85">
            <v>6</v>
          </cell>
          <cell r="AD85">
            <v>0</v>
          </cell>
          <cell r="AG85">
            <v>6</v>
          </cell>
          <cell r="AH85">
            <v>0</v>
          </cell>
        </row>
        <row r="86">
          <cell r="B86" t="str">
            <v>NIFPS Fabrication</v>
          </cell>
          <cell r="E86">
            <v>6</v>
          </cell>
          <cell r="F86">
            <v>6</v>
          </cell>
          <cell r="I86">
            <v>6</v>
          </cell>
          <cell r="J86">
            <v>2</v>
          </cell>
          <cell r="M86">
            <v>6</v>
          </cell>
          <cell r="N86">
            <v>0</v>
          </cell>
          <cell r="Q86">
            <v>6</v>
          </cell>
          <cell r="R86">
            <v>6</v>
          </cell>
          <cell r="U86">
            <v>6</v>
          </cell>
          <cell r="V86">
            <v>0</v>
          </cell>
          <cell r="Y86">
            <v>6</v>
          </cell>
          <cell r="Z86">
            <v>0</v>
          </cell>
          <cell r="AC86">
            <v>6</v>
          </cell>
          <cell r="AD86">
            <v>0</v>
          </cell>
          <cell r="AG86">
            <v>6</v>
          </cell>
          <cell r="AH86">
            <v>0</v>
          </cell>
        </row>
        <row r="87">
          <cell r="B87" t="str">
            <v xml:space="preserve">BOT </v>
          </cell>
          <cell r="E87" t="str">
            <v>Scope</v>
          </cell>
          <cell r="F87" t="str">
            <v>Actual</v>
          </cell>
          <cell r="I87" t="str">
            <v>Scope</v>
          </cell>
          <cell r="J87" t="str">
            <v>Actual</v>
          </cell>
          <cell r="M87" t="str">
            <v>Scope</v>
          </cell>
          <cell r="N87" t="str">
            <v>Actual</v>
          </cell>
          <cell r="Q87" t="str">
            <v>Scope</v>
          </cell>
          <cell r="R87" t="str">
            <v>Actual</v>
          </cell>
          <cell r="U87" t="str">
            <v>Scope</v>
          </cell>
          <cell r="V87" t="str">
            <v>Actual</v>
          </cell>
          <cell r="Y87" t="str">
            <v>Scope</v>
          </cell>
          <cell r="Z87" t="str">
            <v>Actual</v>
          </cell>
          <cell r="AC87" t="str">
            <v>Scope</v>
          </cell>
          <cell r="AD87" t="str">
            <v>Actual</v>
          </cell>
          <cell r="AG87" t="str">
            <v>Scope</v>
          </cell>
          <cell r="AH87" t="str">
            <v>Actual</v>
          </cell>
        </row>
        <row r="88">
          <cell r="B88" t="str">
            <v>BOT - Marking &amp; Excavation</v>
          </cell>
          <cell r="E88">
            <v>3</v>
          </cell>
          <cell r="F88">
            <v>3</v>
          </cell>
          <cell r="I88">
            <v>3</v>
          </cell>
          <cell r="J88">
            <v>3</v>
          </cell>
          <cell r="M88">
            <v>3</v>
          </cell>
          <cell r="N88">
            <v>3</v>
          </cell>
          <cell r="Q88">
            <v>3</v>
          </cell>
          <cell r="R88">
            <v>3</v>
          </cell>
          <cell r="U88">
            <v>3</v>
          </cell>
          <cell r="V88">
            <v>3</v>
          </cell>
          <cell r="Y88">
            <v>3</v>
          </cell>
          <cell r="Z88">
            <v>3</v>
          </cell>
          <cell r="AC88">
            <v>3</v>
          </cell>
          <cell r="AD88">
            <v>3</v>
          </cell>
          <cell r="AG88">
            <v>3</v>
          </cell>
          <cell r="AH88">
            <v>3</v>
          </cell>
        </row>
        <row r="89">
          <cell r="B89" t="str">
            <v>BOT - Rubble Soiling</v>
          </cell>
          <cell r="E89">
            <v>3</v>
          </cell>
          <cell r="F89">
            <v>3</v>
          </cell>
          <cell r="I89">
            <v>3</v>
          </cell>
          <cell r="J89">
            <v>3</v>
          </cell>
          <cell r="M89">
            <v>3</v>
          </cell>
          <cell r="N89">
            <v>3</v>
          </cell>
          <cell r="Q89">
            <v>3</v>
          </cell>
          <cell r="R89">
            <v>3</v>
          </cell>
          <cell r="U89">
            <v>3</v>
          </cell>
          <cell r="V89">
            <v>3</v>
          </cell>
          <cell r="Y89">
            <v>3</v>
          </cell>
          <cell r="Z89">
            <v>3</v>
          </cell>
          <cell r="AC89">
            <v>3</v>
          </cell>
          <cell r="AD89">
            <v>1</v>
          </cell>
          <cell r="AG89">
            <v>3</v>
          </cell>
          <cell r="AH89">
            <v>3</v>
          </cell>
        </row>
        <row r="90">
          <cell r="B90" t="str">
            <v>BOT - PCC</v>
          </cell>
          <cell r="E90">
            <v>3</v>
          </cell>
          <cell r="F90">
            <v>3</v>
          </cell>
          <cell r="I90">
            <v>3</v>
          </cell>
          <cell r="J90">
            <v>3</v>
          </cell>
          <cell r="M90">
            <v>3</v>
          </cell>
          <cell r="N90">
            <v>3</v>
          </cell>
          <cell r="Q90">
            <v>3</v>
          </cell>
          <cell r="R90">
            <v>3</v>
          </cell>
          <cell r="U90">
            <v>3</v>
          </cell>
          <cell r="V90">
            <v>3</v>
          </cell>
          <cell r="Y90">
            <v>3</v>
          </cell>
          <cell r="Z90">
            <v>3</v>
          </cell>
          <cell r="AC90">
            <v>3</v>
          </cell>
          <cell r="AD90">
            <v>1</v>
          </cell>
          <cell r="AG90">
            <v>3</v>
          </cell>
          <cell r="AH90">
            <v>3</v>
          </cell>
        </row>
        <row r="91">
          <cell r="B91" t="str">
            <v>BOT Precast Erection</v>
          </cell>
          <cell r="E91">
            <v>3</v>
          </cell>
          <cell r="F91">
            <v>3</v>
          </cell>
          <cell r="I91">
            <v>3</v>
          </cell>
          <cell r="J91">
            <v>3</v>
          </cell>
          <cell r="M91">
            <v>3</v>
          </cell>
          <cell r="N91">
            <v>3</v>
          </cell>
          <cell r="Q91">
            <v>2</v>
          </cell>
          <cell r="R91">
            <v>2</v>
          </cell>
          <cell r="U91">
            <v>3</v>
          </cell>
          <cell r="V91">
            <v>3</v>
          </cell>
          <cell r="Y91">
            <v>3</v>
          </cell>
          <cell r="Z91">
            <v>0</v>
          </cell>
          <cell r="AC91">
            <v>3</v>
          </cell>
          <cell r="AD91">
            <v>0</v>
          </cell>
          <cell r="AG91">
            <v>3</v>
          </cell>
          <cell r="AH91">
            <v>0</v>
          </cell>
        </row>
        <row r="92">
          <cell r="B92" t="str">
            <v>BOT - Raft casting</v>
          </cell>
          <cell r="E92">
            <v>0</v>
          </cell>
          <cell r="F92">
            <v>0</v>
          </cell>
          <cell r="I92">
            <v>0</v>
          </cell>
          <cell r="J92">
            <v>0</v>
          </cell>
          <cell r="M92">
            <v>0</v>
          </cell>
          <cell r="N92">
            <v>0</v>
          </cell>
          <cell r="Q92">
            <v>1</v>
          </cell>
          <cell r="R92">
            <v>1</v>
          </cell>
          <cell r="U92">
            <v>0</v>
          </cell>
          <cell r="V92">
            <v>0</v>
          </cell>
          <cell r="Y92">
            <v>0</v>
          </cell>
          <cell r="Z92">
            <v>0</v>
          </cell>
          <cell r="AC92">
            <v>0</v>
          </cell>
          <cell r="AD92">
            <v>0</v>
          </cell>
          <cell r="AG92">
            <v>0</v>
          </cell>
          <cell r="AH92">
            <v>0</v>
          </cell>
        </row>
        <row r="93">
          <cell r="B93" t="str">
            <v>BOT - First lift</v>
          </cell>
          <cell r="E93">
            <v>0</v>
          </cell>
          <cell r="F93">
            <v>0</v>
          </cell>
          <cell r="I93">
            <v>0</v>
          </cell>
          <cell r="J93">
            <v>0</v>
          </cell>
          <cell r="M93">
            <v>0</v>
          </cell>
          <cell r="N93">
            <v>0</v>
          </cell>
          <cell r="Q93">
            <v>1</v>
          </cell>
          <cell r="R93">
            <v>1</v>
          </cell>
          <cell r="U93">
            <v>0</v>
          </cell>
          <cell r="V93">
            <v>0</v>
          </cell>
          <cell r="Y93">
            <v>0</v>
          </cell>
          <cell r="Z93">
            <v>0</v>
          </cell>
          <cell r="AC93">
            <v>0</v>
          </cell>
          <cell r="AD93">
            <v>0</v>
          </cell>
          <cell r="AG93">
            <v>0</v>
          </cell>
          <cell r="AH93">
            <v>0</v>
          </cell>
        </row>
        <row r="94">
          <cell r="B94" t="str">
            <v>BOT - Final lift</v>
          </cell>
          <cell r="E94">
            <v>0</v>
          </cell>
          <cell r="F94">
            <v>0</v>
          </cell>
          <cell r="I94">
            <v>0</v>
          </cell>
          <cell r="J94">
            <v>0</v>
          </cell>
          <cell r="M94">
            <v>0</v>
          </cell>
          <cell r="N94">
            <v>0</v>
          </cell>
          <cell r="Q94">
            <v>1</v>
          </cell>
          <cell r="R94">
            <v>1</v>
          </cell>
          <cell r="U94">
            <v>0</v>
          </cell>
          <cell r="V94">
            <v>0</v>
          </cell>
          <cell r="Y94">
            <v>0</v>
          </cell>
          <cell r="Z94">
            <v>0</v>
          </cell>
          <cell r="AC94">
            <v>0</v>
          </cell>
          <cell r="AD94">
            <v>0</v>
          </cell>
          <cell r="AG94">
            <v>0</v>
          </cell>
          <cell r="AH94">
            <v>0</v>
          </cell>
        </row>
        <row r="95">
          <cell r="B95" t="str">
            <v>BOT - Painting &amp; Backfiling</v>
          </cell>
          <cell r="E95">
            <v>3</v>
          </cell>
          <cell r="F95">
            <v>3</v>
          </cell>
          <cell r="I95">
            <v>3</v>
          </cell>
          <cell r="J95">
            <v>3</v>
          </cell>
          <cell r="M95">
            <v>3</v>
          </cell>
          <cell r="N95">
            <v>3</v>
          </cell>
          <cell r="Q95">
            <v>3</v>
          </cell>
          <cell r="R95">
            <v>3</v>
          </cell>
          <cell r="U95">
            <v>3</v>
          </cell>
          <cell r="V95">
            <v>3</v>
          </cell>
          <cell r="Y95">
            <v>3</v>
          </cell>
          <cell r="Z95">
            <v>0</v>
          </cell>
          <cell r="AC95">
            <v>3</v>
          </cell>
          <cell r="AD95">
            <v>0</v>
          </cell>
          <cell r="AG95">
            <v>3</v>
          </cell>
          <cell r="AH95">
            <v>0</v>
          </cell>
        </row>
        <row r="96">
          <cell r="B96" t="str">
            <v>BOT Slab casting</v>
          </cell>
          <cell r="E96">
            <v>0</v>
          </cell>
          <cell r="F96">
            <v>0</v>
          </cell>
          <cell r="I96">
            <v>0</v>
          </cell>
          <cell r="J96">
            <v>0</v>
          </cell>
          <cell r="M96">
            <v>0</v>
          </cell>
          <cell r="N96">
            <v>0</v>
          </cell>
          <cell r="Q96">
            <v>1</v>
          </cell>
          <cell r="R96">
            <v>1</v>
          </cell>
          <cell r="U96">
            <v>0</v>
          </cell>
          <cell r="V96">
            <v>0</v>
          </cell>
          <cell r="Y96">
            <v>0</v>
          </cell>
          <cell r="Z96">
            <v>0</v>
          </cell>
          <cell r="AC96">
            <v>0</v>
          </cell>
          <cell r="AD96">
            <v>0</v>
          </cell>
          <cell r="AG96">
            <v>0</v>
          </cell>
          <cell r="AH96">
            <v>0</v>
          </cell>
        </row>
        <row r="97">
          <cell r="B97" t="str">
            <v>HML</v>
          </cell>
          <cell r="E97" t="str">
            <v>Scope</v>
          </cell>
          <cell r="F97" t="str">
            <v>Actual</v>
          </cell>
          <cell r="I97" t="str">
            <v>Scope</v>
          </cell>
          <cell r="J97" t="str">
            <v>Actual</v>
          </cell>
          <cell r="M97" t="str">
            <v>Scope</v>
          </cell>
          <cell r="N97" t="str">
            <v>Actual</v>
          </cell>
          <cell r="Q97" t="str">
            <v>Scope</v>
          </cell>
          <cell r="R97" t="str">
            <v>Actual</v>
          </cell>
          <cell r="U97" t="str">
            <v>Scope</v>
          </cell>
          <cell r="V97" t="str">
            <v>Actual</v>
          </cell>
          <cell r="Y97" t="str">
            <v>Scope</v>
          </cell>
          <cell r="Z97" t="str">
            <v>Actual</v>
          </cell>
          <cell r="AC97" t="str">
            <v>Scope</v>
          </cell>
          <cell r="AD97" t="str">
            <v>Actual</v>
          </cell>
          <cell r="AG97" t="str">
            <v>Scope</v>
          </cell>
          <cell r="AH97" t="str">
            <v>Actual</v>
          </cell>
        </row>
        <row r="98">
          <cell r="B98" t="str">
            <v>HML - Marking and Excavation</v>
          </cell>
          <cell r="E98">
            <v>1</v>
          </cell>
          <cell r="F98">
            <v>1</v>
          </cell>
          <cell r="I98">
            <v>1</v>
          </cell>
          <cell r="J98">
            <v>1</v>
          </cell>
          <cell r="M98">
            <v>1</v>
          </cell>
          <cell r="N98">
            <v>1</v>
          </cell>
          <cell r="Q98">
            <v>1</v>
          </cell>
          <cell r="R98">
            <v>1</v>
          </cell>
          <cell r="U98">
            <v>1</v>
          </cell>
          <cell r="V98">
            <v>1</v>
          </cell>
          <cell r="Y98">
            <v>1</v>
          </cell>
          <cell r="Z98">
            <v>1</v>
          </cell>
          <cell r="AC98">
            <v>1</v>
          </cell>
          <cell r="AD98">
            <v>1</v>
          </cell>
          <cell r="AG98">
            <v>0</v>
          </cell>
          <cell r="AH98">
            <v>0</v>
          </cell>
        </row>
        <row r="99">
          <cell r="B99" t="str">
            <v>HML - Rubble soiling &amp; PCC</v>
          </cell>
          <cell r="E99">
            <v>1</v>
          </cell>
          <cell r="F99">
            <v>1</v>
          </cell>
          <cell r="I99">
            <v>1</v>
          </cell>
          <cell r="J99">
            <v>1</v>
          </cell>
          <cell r="M99">
            <v>1</v>
          </cell>
          <cell r="N99">
            <v>1</v>
          </cell>
          <cell r="Q99">
            <v>1</v>
          </cell>
          <cell r="R99">
            <v>1</v>
          </cell>
          <cell r="U99">
            <v>1</v>
          </cell>
          <cell r="V99">
            <v>1</v>
          </cell>
          <cell r="Y99">
            <v>1</v>
          </cell>
          <cell r="Z99">
            <v>1</v>
          </cell>
          <cell r="AC99">
            <v>1</v>
          </cell>
          <cell r="AD99">
            <v>1</v>
          </cell>
          <cell r="AG99">
            <v>0</v>
          </cell>
          <cell r="AH99">
            <v>0</v>
          </cell>
        </row>
        <row r="100">
          <cell r="B100" t="str">
            <v>HML - Raft casting</v>
          </cell>
          <cell r="E100">
            <v>1</v>
          </cell>
          <cell r="F100">
            <v>1</v>
          </cell>
          <cell r="I100">
            <v>1</v>
          </cell>
          <cell r="J100">
            <v>1</v>
          </cell>
          <cell r="M100">
            <v>1</v>
          </cell>
          <cell r="N100">
            <v>1</v>
          </cell>
          <cell r="Q100">
            <v>1</v>
          </cell>
          <cell r="R100">
            <v>1</v>
          </cell>
          <cell r="U100">
            <v>1</v>
          </cell>
          <cell r="V100">
            <v>1</v>
          </cell>
          <cell r="Y100">
            <v>1</v>
          </cell>
          <cell r="Z100">
            <v>1</v>
          </cell>
          <cell r="AC100">
            <v>1</v>
          </cell>
          <cell r="AD100">
            <v>1</v>
          </cell>
          <cell r="AG100">
            <v>0</v>
          </cell>
          <cell r="AH100">
            <v>0</v>
          </cell>
        </row>
        <row r="101">
          <cell r="B101" t="str">
            <v>HML - 1st Lift casting</v>
          </cell>
          <cell r="E101">
            <v>1</v>
          </cell>
          <cell r="F101">
            <v>1</v>
          </cell>
          <cell r="I101">
            <v>1</v>
          </cell>
          <cell r="J101">
            <v>1</v>
          </cell>
          <cell r="M101">
            <v>1</v>
          </cell>
          <cell r="N101">
            <v>1</v>
          </cell>
          <cell r="Q101">
            <v>1</v>
          </cell>
          <cell r="R101">
            <v>1</v>
          </cell>
          <cell r="U101">
            <v>1</v>
          </cell>
          <cell r="V101">
            <v>1</v>
          </cell>
          <cell r="Y101">
            <v>1</v>
          </cell>
          <cell r="Z101">
            <v>1</v>
          </cell>
          <cell r="AC101">
            <v>1</v>
          </cell>
          <cell r="AD101">
            <v>1</v>
          </cell>
          <cell r="AG101">
            <v>0</v>
          </cell>
          <cell r="AH101">
            <v>0</v>
          </cell>
        </row>
        <row r="102">
          <cell r="B102" t="str">
            <v>HML - Bolt fixing &amp; final casting</v>
          </cell>
          <cell r="E102">
            <v>1</v>
          </cell>
          <cell r="F102">
            <v>1</v>
          </cell>
          <cell r="I102">
            <v>1</v>
          </cell>
          <cell r="J102">
            <v>1</v>
          </cell>
          <cell r="M102">
            <v>1</v>
          </cell>
          <cell r="N102">
            <v>1</v>
          </cell>
          <cell r="Q102">
            <v>1</v>
          </cell>
          <cell r="R102">
            <v>1</v>
          </cell>
          <cell r="U102">
            <v>1</v>
          </cell>
          <cell r="V102">
            <v>1</v>
          </cell>
          <cell r="Y102">
            <v>1</v>
          </cell>
          <cell r="Z102">
            <v>1</v>
          </cell>
          <cell r="AC102">
            <v>1</v>
          </cell>
          <cell r="AD102">
            <v>1</v>
          </cell>
          <cell r="AG102">
            <v>0</v>
          </cell>
          <cell r="AH102">
            <v>0</v>
          </cell>
        </row>
        <row r="103">
          <cell r="B103" t="str">
            <v>High Mast Installation</v>
          </cell>
          <cell r="E103"/>
          <cell r="F103"/>
          <cell r="I103"/>
          <cell r="J103"/>
          <cell r="M103"/>
          <cell r="N103"/>
          <cell r="Q103"/>
          <cell r="R103"/>
          <cell r="U103"/>
          <cell r="V103"/>
          <cell r="Y103"/>
          <cell r="Z103"/>
          <cell r="AC103"/>
          <cell r="AD103"/>
          <cell r="AG103"/>
          <cell r="AH103"/>
        </row>
        <row r="104">
          <cell r="B104" t="str">
            <v>HML - Distribution Box Installation</v>
          </cell>
          <cell r="E104"/>
          <cell r="F104"/>
          <cell r="I104"/>
          <cell r="J104"/>
          <cell r="M104"/>
          <cell r="N104"/>
          <cell r="Q104"/>
          <cell r="R104"/>
          <cell r="U104"/>
          <cell r="V104"/>
          <cell r="Y104"/>
          <cell r="Z104"/>
          <cell r="AC104"/>
          <cell r="AD104"/>
          <cell r="AG104"/>
          <cell r="AH104"/>
        </row>
        <row r="105">
          <cell r="B105" t="str">
            <v>HML - Trench Excavation</v>
          </cell>
          <cell r="E105"/>
          <cell r="F105"/>
          <cell r="I105"/>
          <cell r="J105"/>
          <cell r="M105"/>
          <cell r="N105"/>
          <cell r="Q105"/>
          <cell r="R105"/>
          <cell r="U105"/>
          <cell r="V105"/>
          <cell r="Y105"/>
          <cell r="Z105"/>
          <cell r="AC105"/>
          <cell r="AD105"/>
          <cell r="AG105"/>
          <cell r="AH105"/>
        </row>
        <row r="106">
          <cell r="B106" t="str">
            <v>HML - Cable Laying (3.5Cx240 sqmm)</v>
          </cell>
          <cell r="E106"/>
          <cell r="F106"/>
          <cell r="I106"/>
          <cell r="J106"/>
          <cell r="M106"/>
          <cell r="N106"/>
          <cell r="Q106"/>
          <cell r="R106"/>
          <cell r="U106"/>
          <cell r="V106"/>
          <cell r="Y106"/>
          <cell r="Z106"/>
          <cell r="AC106"/>
          <cell r="AD106"/>
          <cell r="AG106"/>
          <cell r="AH106"/>
        </row>
        <row r="107">
          <cell r="B107" t="str">
            <v>HML - Cable Laying (4Cx50 sqmm)</v>
          </cell>
          <cell r="E107"/>
          <cell r="F107"/>
          <cell r="I107"/>
          <cell r="J107"/>
          <cell r="M107"/>
          <cell r="N107"/>
          <cell r="Q107"/>
          <cell r="R107"/>
          <cell r="U107"/>
          <cell r="V107"/>
          <cell r="Y107"/>
          <cell r="Z107"/>
          <cell r="AC107"/>
          <cell r="AD107"/>
          <cell r="AG107"/>
          <cell r="AH107"/>
        </row>
        <row r="108">
          <cell r="B108" t="str">
            <v>HML - Cable Termination</v>
          </cell>
          <cell r="E108"/>
          <cell r="F108"/>
          <cell r="I108"/>
          <cell r="J108"/>
          <cell r="M108"/>
          <cell r="N108"/>
          <cell r="Q108"/>
          <cell r="R108"/>
          <cell r="U108"/>
          <cell r="V108"/>
          <cell r="Y108"/>
          <cell r="Z108"/>
          <cell r="AC108"/>
          <cell r="AD108"/>
          <cell r="AG108"/>
          <cell r="AH108"/>
        </row>
        <row r="109">
          <cell r="B109" t="str">
            <v>Earthing &amp; LA</v>
          </cell>
          <cell r="E109" t="str">
            <v>Scope</v>
          </cell>
          <cell r="F109" t="str">
            <v>Actual</v>
          </cell>
          <cell r="I109" t="str">
            <v>Scope</v>
          </cell>
          <cell r="J109" t="str">
            <v>Actual</v>
          </cell>
          <cell r="M109" t="str">
            <v>Scope</v>
          </cell>
          <cell r="N109" t="str">
            <v>Actual</v>
          </cell>
          <cell r="Q109" t="str">
            <v>Scope</v>
          </cell>
          <cell r="R109" t="str">
            <v>Actual</v>
          </cell>
          <cell r="U109" t="str">
            <v>Scope</v>
          </cell>
          <cell r="V109" t="str">
            <v>Actual</v>
          </cell>
          <cell r="Y109" t="str">
            <v>Scope</v>
          </cell>
          <cell r="Z109" t="str">
            <v>Actual</v>
          </cell>
          <cell r="AC109" t="str">
            <v>Scope</v>
          </cell>
          <cell r="AD109" t="str">
            <v>Actual</v>
          </cell>
          <cell r="AG109" t="str">
            <v>Scope</v>
          </cell>
          <cell r="AH109" t="str">
            <v>Actual</v>
          </cell>
        </row>
        <row r="110">
          <cell r="B110" t="str">
            <v>Earthing - Trench Excavation</v>
          </cell>
          <cell r="E110">
            <v>2980</v>
          </cell>
          <cell r="F110">
            <v>2980</v>
          </cell>
          <cell r="I110">
            <v>2980</v>
          </cell>
          <cell r="J110">
            <v>2930</v>
          </cell>
          <cell r="M110">
            <v>2980</v>
          </cell>
          <cell r="N110">
            <v>560</v>
          </cell>
          <cell r="Q110">
            <v>2980</v>
          </cell>
          <cell r="R110">
            <v>2980</v>
          </cell>
          <cell r="U110">
            <v>2980</v>
          </cell>
          <cell r="V110">
            <v>386</v>
          </cell>
          <cell r="Y110">
            <v>2980</v>
          </cell>
          <cell r="Z110">
            <v>0</v>
          </cell>
          <cell r="AC110">
            <v>2980</v>
          </cell>
          <cell r="AD110">
            <v>0</v>
          </cell>
          <cell r="AG110">
            <v>2980</v>
          </cell>
          <cell r="AH110">
            <v>0</v>
          </cell>
        </row>
        <row r="111">
          <cell r="B111" t="str">
            <v>Earthing - Strip Laying (25x6)</v>
          </cell>
          <cell r="E111">
            <v>147</v>
          </cell>
          <cell r="F111">
            <v>25</v>
          </cell>
          <cell r="I111">
            <v>147</v>
          </cell>
          <cell r="J111">
            <v>0</v>
          </cell>
          <cell r="M111">
            <v>147</v>
          </cell>
          <cell r="N111">
            <v>0</v>
          </cell>
          <cell r="Q111">
            <v>147</v>
          </cell>
          <cell r="R111">
            <v>65</v>
          </cell>
          <cell r="U111">
            <v>147</v>
          </cell>
          <cell r="V111">
            <v>0</v>
          </cell>
          <cell r="Y111">
            <v>147</v>
          </cell>
          <cell r="Z111">
            <v>0</v>
          </cell>
          <cell r="AC111">
            <v>147</v>
          </cell>
          <cell r="AD111">
            <v>0</v>
          </cell>
          <cell r="AG111">
            <v>147</v>
          </cell>
          <cell r="AH111">
            <v>0</v>
          </cell>
        </row>
        <row r="112">
          <cell r="B112" t="str">
            <v>Earthing</v>
          </cell>
          <cell r="E112">
            <v>3933</v>
          </cell>
          <cell r="F112">
            <v>3640</v>
          </cell>
          <cell r="I112">
            <v>3510</v>
          </cell>
          <cell r="J112">
            <v>822</v>
          </cell>
          <cell r="M112">
            <v>3510</v>
          </cell>
          <cell r="N112">
            <v>195</v>
          </cell>
          <cell r="Q112">
            <v>4827</v>
          </cell>
          <cell r="R112">
            <v>4827</v>
          </cell>
          <cell r="U112">
            <v>3510</v>
          </cell>
          <cell r="V112">
            <v>154</v>
          </cell>
          <cell r="Y112">
            <v>3510</v>
          </cell>
          <cell r="Z112">
            <v>0</v>
          </cell>
          <cell r="AC112">
            <v>3510</v>
          </cell>
          <cell r="AD112">
            <v>0</v>
          </cell>
          <cell r="AG112">
            <v>3510</v>
          </cell>
          <cell r="AH112">
            <v>0</v>
          </cell>
        </row>
        <row r="113">
          <cell r="B113" t="str">
            <v>LA - Foundation</v>
          </cell>
          <cell r="E113"/>
          <cell r="F113"/>
          <cell r="I113">
            <v>10</v>
          </cell>
          <cell r="J113">
            <v>10</v>
          </cell>
          <cell r="M113">
            <v>10</v>
          </cell>
          <cell r="N113">
            <v>0</v>
          </cell>
          <cell r="Q113">
            <v>10</v>
          </cell>
          <cell r="R113">
            <v>10</v>
          </cell>
          <cell r="U113">
            <v>10</v>
          </cell>
          <cell r="V113">
            <v>0</v>
          </cell>
          <cell r="Y113">
            <v>10</v>
          </cell>
          <cell r="Z113">
            <v>0</v>
          </cell>
          <cell r="AC113">
            <v>10</v>
          </cell>
          <cell r="AD113">
            <v>0</v>
          </cell>
          <cell r="AG113">
            <v>10</v>
          </cell>
          <cell r="AH113">
            <v>0</v>
          </cell>
        </row>
        <row r="114">
          <cell r="B114" t="str">
            <v>LA</v>
          </cell>
          <cell r="E114">
            <v>10</v>
          </cell>
          <cell r="F114"/>
          <cell r="I114">
            <v>10</v>
          </cell>
          <cell r="J114">
            <v>10</v>
          </cell>
          <cell r="M114">
            <v>10</v>
          </cell>
          <cell r="N114">
            <v>0</v>
          </cell>
          <cell r="Q114">
            <v>10</v>
          </cell>
          <cell r="R114">
            <v>10</v>
          </cell>
          <cell r="U114">
            <v>10</v>
          </cell>
          <cell r="V114">
            <v>0</v>
          </cell>
          <cell r="Y114">
            <v>10</v>
          </cell>
          <cell r="Z114">
            <v>0</v>
          </cell>
          <cell r="AC114">
            <v>10</v>
          </cell>
          <cell r="AD114">
            <v>0</v>
          </cell>
          <cell r="AG114">
            <v>10</v>
          </cell>
          <cell r="AH114">
            <v>0</v>
          </cell>
        </row>
        <row r="115">
          <cell r="B115" t="str">
            <v>LA Earth Pit Installation &amp; Connection</v>
          </cell>
          <cell r="E115"/>
          <cell r="F115"/>
          <cell r="I115">
            <v>10</v>
          </cell>
          <cell r="J115">
            <v>0</v>
          </cell>
          <cell r="M115">
            <v>10</v>
          </cell>
          <cell r="N115">
            <v>0</v>
          </cell>
          <cell r="Q115">
            <v>10</v>
          </cell>
          <cell r="R115">
            <v>10</v>
          </cell>
          <cell r="U115">
            <v>10</v>
          </cell>
          <cell r="V115">
            <v>0</v>
          </cell>
          <cell r="Y115">
            <v>10</v>
          </cell>
          <cell r="Z115">
            <v>0</v>
          </cell>
          <cell r="AC115">
            <v>10</v>
          </cell>
          <cell r="AD115">
            <v>0</v>
          </cell>
          <cell r="AG115">
            <v>10</v>
          </cell>
          <cell r="AH115">
            <v>0</v>
          </cell>
        </row>
        <row r="116">
          <cell r="B116" t="str">
            <v>HT &amp; FO Cable</v>
          </cell>
          <cell r="E116" t="str">
            <v>Scope</v>
          </cell>
          <cell r="F116" t="str">
            <v>Actual</v>
          </cell>
          <cell r="I116" t="str">
            <v>Scope</v>
          </cell>
          <cell r="J116" t="str">
            <v>Actual</v>
          </cell>
          <cell r="M116" t="str">
            <v>Scope</v>
          </cell>
          <cell r="N116" t="str">
            <v>Actual</v>
          </cell>
          <cell r="Q116" t="str">
            <v>Scope</v>
          </cell>
          <cell r="R116" t="str">
            <v>Actual</v>
          </cell>
          <cell r="U116" t="str">
            <v>Scope</v>
          </cell>
          <cell r="V116" t="str">
            <v>Actual</v>
          </cell>
          <cell r="Y116" t="str">
            <v>Scope</v>
          </cell>
          <cell r="Z116" t="str">
            <v>Actual</v>
          </cell>
          <cell r="AC116" t="str">
            <v>Scope</v>
          </cell>
          <cell r="AD116" t="str">
            <v>Actual</v>
          </cell>
          <cell r="AG116" t="str">
            <v>Scope</v>
          </cell>
          <cell r="AH116" t="str">
            <v>Actual</v>
          </cell>
        </row>
        <row r="117">
          <cell r="B117" t="str">
            <v>HT Cable Trench Excavation (PSS to SGR )</v>
          </cell>
          <cell r="E117"/>
          <cell r="F117"/>
          <cell r="I117"/>
          <cell r="J117"/>
          <cell r="M117"/>
          <cell r="N117"/>
          <cell r="Q117"/>
          <cell r="R117"/>
          <cell r="U117"/>
          <cell r="V117"/>
          <cell r="Y117"/>
          <cell r="Z117"/>
          <cell r="AC117"/>
          <cell r="AD117"/>
          <cell r="AG117"/>
          <cell r="AH117"/>
        </row>
        <row r="118">
          <cell r="B118" t="str">
            <v>HT cable laying</v>
          </cell>
          <cell r="E118">
            <v>4951</v>
          </cell>
          <cell r="F118">
            <v>4951</v>
          </cell>
          <cell r="I118">
            <v>4492</v>
          </cell>
          <cell r="J118">
            <v>4492</v>
          </cell>
          <cell r="M118">
            <v>3663</v>
          </cell>
          <cell r="N118">
            <v>3663</v>
          </cell>
          <cell r="Q118">
            <v>4314</v>
          </cell>
          <cell r="R118">
            <v>4314</v>
          </cell>
          <cell r="U118">
            <v>4069</v>
          </cell>
          <cell r="V118">
            <v>4069</v>
          </cell>
          <cell r="Y118">
            <v>2229</v>
          </cell>
          <cell r="Z118">
            <v>2000</v>
          </cell>
          <cell r="AC118">
            <v>3027</v>
          </cell>
          <cell r="AD118">
            <v>2100</v>
          </cell>
          <cell r="AG118">
            <v>3462</v>
          </cell>
          <cell r="AH118">
            <v>2100</v>
          </cell>
        </row>
        <row r="119">
          <cell r="B119" t="str">
            <v>HT Cable Trench Excavation (CT to SGR)</v>
          </cell>
          <cell r="E119">
            <v>225</v>
          </cell>
          <cell r="F119">
            <v>225</v>
          </cell>
          <cell r="I119">
            <v>225</v>
          </cell>
          <cell r="J119">
            <v>225</v>
          </cell>
          <cell r="M119">
            <v>225</v>
          </cell>
          <cell r="N119">
            <v>225</v>
          </cell>
          <cell r="Q119">
            <v>225</v>
          </cell>
          <cell r="R119">
            <v>225</v>
          </cell>
          <cell r="U119">
            <v>225</v>
          </cell>
          <cell r="V119">
            <v>225</v>
          </cell>
          <cell r="Y119">
            <v>225</v>
          </cell>
          <cell r="Z119">
            <v>0</v>
          </cell>
          <cell r="AC119">
            <v>225</v>
          </cell>
          <cell r="AD119">
            <v>0</v>
          </cell>
          <cell r="AG119">
            <v>225</v>
          </cell>
          <cell r="AH119">
            <v>0</v>
          </cell>
        </row>
        <row r="120">
          <cell r="B120" t="str">
            <v>HT cable laying</v>
          </cell>
          <cell r="E120">
            <v>550</v>
          </cell>
          <cell r="F120">
            <v>550</v>
          </cell>
          <cell r="I120">
            <v>590</v>
          </cell>
          <cell r="J120">
            <v>590</v>
          </cell>
          <cell r="M120">
            <v>574</v>
          </cell>
          <cell r="N120">
            <v>574</v>
          </cell>
          <cell r="Q120">
            <v>548</v>
          </cell>
          <cell r="R120">
            <v>548</v>
          </cell>
          <cell r="U120">
            <v>567</v>
          </cell>
          <cell r="V120">
            <v>567</v>
          </cell>
          <cell r="Y120">
            <v>520</v>
          </cell>
          <cell r="Z120">
            <v>0</v>
          </cell>
          <cell r="AC120">
            <v>520</v>
          </cell>
          <cell r="AD120">
            <v>0</v>
          </cell>
          <cell r="AG120">
            <v>520</v>
          </cell>
          <cell r="AH120">
            <v>0</v>
          </cell>
        </row>
        <row r="121">
          <cell r="B121" t="str">
            <v>HT cable laying</v>
          </cell>
          <cell r="E121">
            <v>56</v>
          </cell>
          <cell r="F121">
            <v>56</v>
          </cell>
          <cell r="I121">
            <v>56</v>
          </cell>
          <cell r="J121">
            <v>56</v>
          </cell>
          <cell r="M121">
            <v>56</v>
          </cell>
          <cell r="N121">
            <v>56</v>
          </cell>
          <cell r="Q121">
            <v>56</v>
          </cell>
          <cell r="R121">
            <v>56</v>
          </cell>
          <cell r="U121">
            <v>56</v>
          </cell>
          <cell r="V121">
            <v>56</v>
          </cell>
          <cell r="Y121">
            <v>71</v>
          </cell>
          <cell r="Z121">
            <v>0</v>
          </cell>
          <cell r="AC121">
            <v>71</v>
          </cell>
          <cell r="AD121">
            <v>0</v>
          </cell>
          <cell r="AG121">
            <v>71</v>
          </cell>
          <cell r="AH121">
            <v>0</v>
          </cell>
        </row>
        <row r="122">
          <cell r="B122" t="str">
            <v>HT cable termination</v>
          </cell>
          <cell r="E122">
            <v>6</v>
          </cell>
          <cell r="F122">
            <v>6</v>
          </cell>
          <cell r="I122">
            <v>6</v>
          </cell>
          <cell r="J122">
            <v>6</v>
          </cell>
          <cell r="M122">
            <v>6</v>
          </cell>
          <cell r="N122">
            <v>6</v>
          </cell>
          <cell r="Q122">
            <v>6</v>
          </cell>
          <cell r="R122">
            <v>6</v>
          </cell>
          <cell r="U122">
            <v>6</v>
          </cell>
          <cell r="V122">
            <v>6</v>
          </cell>
          <cell r="Y122">
            <v>6</v>
          </cell>
          <cell r="Z122">
            <v>0</v>
          </cell>
          <cell r="AC122">
            <v>6</v>
          </cell>
          <cell r="AD122">
            <v>0</v>
          </cell>
          <cell r="AG122">
            <v>6</v>
          </cell>
          <cell r="AH122">
            <v>0</v>
          </cell>
        </row>
        <row r="123">
          <cell r="B123" t="str">
            <v>HT cable termination</v>
          </cell>
          <cell r="E123">
            <v>8</v>
          </cell>
          <cell r="F123">
            <v>8</v>
          </cell>
          <cell r="I123">
            <v>8</v>
          </cell>
          <cell r="J123">
            <v>8</v>
          </cell>
          <cell r="M123">
            <v>8</v>
          </cell>
          <cell r="N123">
            <v>8</v>
          </cell>
          <cell r="Q123">
            <v>8</v>
          </cell>
          <cell r="R123">
            <v>8</v>
          </cell>
          <cell r="U123">
            <v>8</v>
          </cell>
          <cell r="V123">
            <v>8</v>
          </cell>
          <cell r="Y123">
            <v>8</v>
          </cell>
          <cell r="Z123">
            <v>0</v>
          </cell>
          <cell r="AC123">
            <v>8</v>
          </cell>
          <cell r="AD123">
            <v>0</v>
          </cell>
          <cell r="AG123">
            <v>8</v>
          </cell>
          <cell r="AH123">
            <v>0</v>
          </cell>
        </row>
        <row r="124">
          <cell r="B124" t="str">
            <v>HT cable termination</v>
          </cell>
          <cell r="E124">
            <v>2</v>
          </cell>
          <cell r="F124">
            <v>2</v>
          </cell>
          <cell r="I124">
            <v>2</v>
          </cell>
          <cell r="J124">
            <v>2</v>
          </cell>
          <cell r="M124">
            <v>2</v>
          </cell>
          <cell r="N124">
            <v>0</v>
          </cell>
          <cell r="Q124">
            <v>2</v>
          </cell>
          <cell r="R124">
            <v>2</v>
          </cell>
          <cell r="U124">
            <v>2</v>
          </cell>
          <cell r="V124">
            <v>0</v>
          </cell>
          <cell r="Y124">
            <v>2</v>
          </cell>
          <cell r="Z124">
            <v>0</v>
          </cell>
          <cell r="AC124">
            <v>2</v>
          </cell>
          <cell r="AD124">
            <v>0</v>
          </cell>
          <cell r="AG124">
            <v>2</v>
          </cell>
          <cell r="AH124">
            <v>0</v>
          </cell>
        </row>
        <row r="125">
          <cell r="B125" t="str">
            <v>HT cable termination</v>
          </cell>
          <cell r="E125">
            <v>6</v>
          </cell>
          <cell r="F125">
            <v>6</v>
          </cell>
          <cell r="I125">
            <v>6</v>
          </cell>
          <cell r="J125">
            <v>6</v>
          </cell>
          <cell r="M125">
            <v>6</v>
          </cell>
          <cell r="N125">
            <v>0</v>
          </cell>
          <cell r="Q125">
            <v>6</v>
          </cell>
          <cell r="R125">
            <v>6</v>
          </cell>
          <cell r="U125">
            <v>6</v>
          </cell>
          <cell r="V125">
            <v>0</v>
          </cell>
          <cell r="Y125">
            <v>6</v>
          </cell>
          <cell r="Z125">
            <v>0</v>
          </cell>
          <cell r="AC125">
            <v>6</v>
          </cell>
          <cell r="AD125">
            <v>0</v>
          </cell>
          <cell r="AG125">
            <v>6</v>
          </cell>
          <cell r="AH125">
            <v>0</v>
          </cell>
        </row>
        <row r="126">
          <cell r="B126" t="str">
            <v>HT cable termination</v>
          </cell>
          <cell r="E126">
            <v>6</v>
          </cell>
          <cell r="F126">
            <v>6</v>
          </cell>
          <cell r="I126">
            <v>6</v>
          </cell>
          <cell r="J126">
            <v>6</v>
          </cell>
          <cell r="M126">
            <v>6</v>
          </cell>
          <cell r="N126">
            <v>0</v>
          </cell>
          <cell r="Q126">
            <v>6</v>
          </cell>
          <cell r="R126">
            <v>6</v>
          </cell>
          <cell r="U126">
            <v>6</v>
          </cell>
          <cell r="V126">
            <v>0</v>
          </cell>
          <cell r="Y126">
            <v>6</v>
          </cell>
          <cell r="Z126">
            <v>0</v>
          </cell>
          <cell r="AC126">
            <v>6</v>
          </cell>
          <cell r="AD126">
            <v>0</v>
          </cell>
          <cell r="AG126">
            <v>6</v>
          </cell>
          <cell r="AH126">
            <v>0</v>
          </cell>
        </row>
        <row r="127">
          <cell r="B127" t="str">
            <v>FO Cable Laying</v>
          </cell>
          <cell r="E127"/>
          <cell r="F127"/>
          <cell r="I127"/>
          <cell r="J127"/>
          <cell r="M127"/>
          <cell r="N127"/>
          <cell r="Q127"/>
          <cell r="R127"/>
          <cell r="U127"/>
          <cell r="V127"/>
          <cell r="Y127"/>
          <cell r="Z127"/>
          <cell r="AC127"/>
          <cell r="AD127"/>
          <cell r="AG127"/>
          <cell r="AH127"/>
        </row>
        <row r="128">
          <cell r="B128" t="str">
            <v>DC &amp; LT Cable</v>
          </cell>
          <cell r="E128" t="str">
            <v>Scope</v>
          </cell>
          <cell r="F128" t="str">
            <v>Actual</v>
          </cell>
          <cell r="I128" t="str">
            <v>Scope</v>
          </cell>
          <cell r="J128" t="str">
            <v>Actual</v>
          </cell>
          <cell r="M128" t="str">
            <v>Scope</v>
          </cell>
          <cell r="N128" t="str">
            <v>Actual</v>
          </cell>
          <cell r="Q128" t="str">
            <v>Scope</v>
          </cell>
          <cell r="R128" t="str">
            <v>Actual</v>
          </cell>
          <cell r="U128" t="str">
            <v>Scope</v>
          </cell>
          <cell r="V128" t="str">
            <v>Actual</v>
          </cell>
          <cell r="Y128" t="str">
            <v>Scope</v>
          </cell>
          <cell r="Z128" t="str">
            <v>Actual</v>
          </cell>
          <cell r="AC128" t="str">
            <v>Scope</v>
          </cell>
          <cell r="AD128" t="str">
            <v>Actual</v>
          </cell>
          <cell r="AG128" t="str">
            <v>Scope</v>
          </cell>
          <cell r="AH128" t="str">
            <v>Actual</v>
          </cell>
        </row>
        <row r="129">
          <cell r="B129" t="str">
            <v>DC Cable Trench Excavation</v>
          </cell>
          <cell r="E129">
            <v>810</v>
          </cell>
          <cell r="F129">
            <v>810</v>
          </cell>
          <cell r="I129">
            <v>810</v>
          </cell>
          <cell r="J129">
            <v>810</v>
          </cell>
          <cell r="M129">
            <v>810</v>
          </cell>
          <cell r="N129">
            <v>810</v>
          </cell>
          <cell r="Q129">
            <v>810</v>
          </cell>
          <cell r="R129">
            <v>810</v>
          </cell>
          <cell r="U129">
            <v>810</v>
          </cell>
          <cell r="V129">
            <v>810</v>
          </cell>
          <cell r="Y129">
            <v>810</v>
          </cell>
          <cell r="Z129">
            <v>0</v>
          </cell>
          <cell r="AC129">
            <v>810</v>
          </cell>
          <cell r="AD129">
            <v>0</v>
          </cell>
          <cell r="AG129">
            <v>810</v>
          </cell>
          <cell r="AH129">
            <v>0</v>
          </cell>
        </row>
        <row r="130">
          <cell r="B130" t="str">
            <v>DC Cable laying</v>
          </cell>
          <cell r="E130">
            <v>13568</v>
          </cell>
          <cell r="F130">
            <v>13568</v>
          </cell>
          <cell r="I130">
            <v>13648</v>
          </cell>
          <cell r="J130">
            <v>13648</v>
          </cell>
          <cell r="M130">
            <v>13522</v>
          </cell>
          <cell r="N130">
            <v>13522</v>
          </cell>
          <cell r="Q130">
            <v>13758</v>
          </cell>
          <cell r="R130">
            <v>13758</v>
          </cell>
          <cell r="U130">
            <v>13472</v>
          </cell>
          <cell r="V130">
            <v>13472</v>
          </cell>
          <cell r="Y130">
            <v>14334</v>
          </cell>
          <cell r="Z130">
            <v>0</v>
          </cell>
          <cell r="AC130">
            <v>14334</v>
          </cell>
          <cell r="AD130">
            <v>0</v>
          </cell>
          <cell r="AG130">
            <v>14334</v>
          </cell>
          <cell r="AH130">
            <v>0</v>
          </cell>
        </row>
        <row r="131">
          <cell r="B131" t="str">
            <v>DC Cable termination</v>
          </cell>
          <cell r="E131">
            <v>768</v>
          </cell>
          <cell r="F131">
            <v>768</v>
          </cell>
          <cell r="I131">
            <v>768</v>
          </cell>
          <cell r="J131">
            <v>640</v>
          </cell>
          <cell r="M131">
            <v>768</v>
          </cell>
          <cell r="N131">
            <v>0</v>
          </cell>
          <cell r="Q131">
            <v>768</v>
          </cell>
          <cell r="R131">
            <v>768</v>
          </cell>
          <cell r="U131">
            <v>768</v>
          </cell>
          <cell r="V131">
            <v>0</v>
          </cell>
          <cell r="Y131">
            <v>768</v>
          </cell>
          <cell r="Z131">
            <v>0</v>
          </cell>
          <cell r="AC131">
            <v>768</v>
          </cell>
          <cell r="AD131">
            <v>0</v>
          </cell>
          <cell r="AG131">
            <v>768</v>
          </cell>
          <cell r="AH131">
            <v>0</v>
          </cell>
        </row>
        <row r="132">
          <cell r="B132" t="str">
            <v>DC Cable termination</v>
          </cell>
          <cell r="E132">
            <v>768</v>
          </cell>
          <cell r="F132">
            <v>768</v>
          </cell>
          <cell r="I132">
            <v>768</v>
          </cell>
          <cell r="J132">
            <v>608</v>
          </cell>
          <cell r="M132">
            <v>768</v>
          </cell>
          <cell r="N132">
            <v>0</v>
          </cell>
          <cell r="Q132">
            <v>768</v>
          </cell>
          <cell r="R132">
            <v>768</v>
          </cell>
          <cell r="U132">
            <v>768</v>
          </cell>
          <cell r="V132">
            <v>0</v>
          </cell>
          <cell r="Y132">
            <v>768</v>
          </cell>
          <cell r="Z132">
            <v>0</v>
          </cell>
          <cell r="AC132">
            <v>768</v>
          </cell>
          <cell r="AD132">
            <v>0</v>
          </cell>
          <cell r="AG132">
            <v>768</v>
          </cell>
          <cell r="AH132">
            <v>0</v>
          </cell>
        </row>
        <row r="133">
          <cell r="B133" t="str">
            <v>DC Cable termination with Torquing</v>
          </cell>
          <cell r="E133">
            <v>768</v>
          </cell>
          <cell r="F133">
            <v>768</v>
          </cell>
          <cell r="I133">
            <v>768</v>
          </cell>
          <cell r="J133">
            <v>256</v>
          </cell>
          <cell r="M133">
            <v>768</v>
          </cell>
          <cell r="N133">
            <v>0</v>
          </cell>
          <cell r="Q133">
            <v>768</v>
          </cell>
          <cell r="R133">
            <v>768</v>
          </cell>
          <cell r="U133">
            <v>768</v>
          </cell>
          <cell r="V133">
            <v>0</v>
          </cell>
          <cell r="Y133">
            <v>768</v>
          </cell>
          <cell r="Z133">
            <v>0</v>
          </cell>
          <cell r="AC133">
            <v>768</v>
          </cell>
          <cell r="AD133">
            <v>0</v>
          </cell>
          <cell r="AG133">
            <v>768</v>
          </cell>
          <cell r="AH133">
            <v>0</v>
          </cell>
        </row>
        <row r="134">
          <cell r="B134" t="str">
            <v>DC Cable termination with Torquing</v>
          </cell>
          <cell r="E134">
            <v>768</v>
          </cell>
          <cell r="F134">
            <v>768</v>
          </cell>
          <cell r="I134">
            <v>768</v>
          </cell>
          <cell r="J134">
            <v>256</v>
          </cell>
          <cell r="M134">
            <v>768</v>
          </cell>
          <cell r="N134">
            <v>0</v>
          </cell>
          <cell r="Q134">
            <v>768</v>
          </cell>
          <cell r="R134">
            <v>768</v>
          </cell>
          <cell r="U134">
            <v>768</v>
          </cell>
          <cell r="V134">
            <v>0</v>
          </cell>
          <cell r="Y134">
            <v>768</v>
          </cell>
          <cell r="Z134">
            <v>0</v>
          </cell>
          <cell r="AC134">
            <v>768</v>
          </cell>
          <cell r="AD134">
            <v>0</v>
          </cell>
          <cell r="AG134">
            <v>768</v>
          </cell>
          <cell r="AH134">
            <v>0</v>
          </cell>
        </row>
        <row r="135">
          <cell r="B135" t="str">
            <v>LT Cable Trench Excavation - 1Cx400 sqmm</v>
          </cell>
          <cell r="E135">
            <v>598</v>
          </cell>
          <cell r="F135">
            <v>598</v>
          </cell>
          <cell r="I135">
            <v>618</v>
          </cell>
          <cell r="J135">
            <v>618</v>
          </cell>
          <cell r="M135">
            <v>605</v>
          </cell>
          <cell r="N135">
            <v>605</v>
          </cell>
          <cell r="Q135">
            <v>589</v>
          </cell>
          <cell r="R135">
            <v>589</v>
          </cell>
          <cell r="U135">
            <v>545</v>
          </cell>
          <cell r="V135">
            <v>545</v>
          </cell>
          <cell r="Y135">
            <v>653</v>
          </cell>
          <cell r="Z135">
            <v>0</v>
          </cell>
          <cell r="AC135">
            <v>653</v>
          </cell>
          <cell r="AD135">
            <v>0</v>
          </cell>
          <cell r="AG135">
            <v>653</v>
          </cell>
          <cell r="AH135">
            <v>0</v>
          </cell>
        </row>
        <row r="136">
          <cell r="B136" t="str">
            <v>LT Cable laying</v>
          </cell>
          <cell r="E136">
            <v>42518</v>
          </cell>
          <cell r="F136">
            <v>42518</v>
          </cell>
          <cell r="I136">
            <v>42648</v>
          </cell>
          <cell r="J136">
            <v>42648</v>
          </cell>
          <cell r="M136">
            <v>41952</v>
          </cell>
          <cell r="N136">
            <v>41952</v>
          </cell>
          <cell r="Q136">
            <v>42620</v>
          </cell>
          <cell r="R136">
            <v>42620</v>
          </cell>
          <cell r="U136">
            <v>42946</v>
          </cell>
          <cell r="V136">
            <v>42946</v>
          </cell>
          <cell r="Y136">
            <v>46770</v>
          </cell>
          <cell r="Z136">
            <v>0</v>
          </cell>
          <cell r="AC136">
            <v>46770</v>
          </cell>
          <cell r="AD136">
            <v>0</v>
          </cell>
          <cell r="AG136">
            <v>46770</v>
          </cell>
          <cell r="AH136">
            <v>0</v>
          </cell>
        </row>
        <row r="137">
          <cell r="B137" t="str">
            <v>LT Cable termination</v>
          </cell>
          <cell r="E137">
            <v>1152</v>
          </cell>
          <cell r="F137">
            <v>1152</v>
          </cell>
          <cell r="I137">
            <v>1152</v>
          </cell>
          <cell r="J137">
            <v>960</v>
          </cell>
          <cell r="M137">
            <v>1152</v>
          </cell>
          <cell r="N137">
            <v>0</v>
          </cell>
          <cell r="Q137">
            <v>1152</v>
          </cell>
          <cell r="R137">
            <v>1152</v>
          </cell>
          <cell r="U137">
            <v>1152</v>
          </cell>
          <cell r="V137">
            <v>0</v>
          </cell>
          <cell r="Y137">
            <v>1152</v>
          </cell>
          <cell r="Z137">
            <v>0</v>
          </cell>
          <cell r="AC137">
            <v>1152</v>
          </cell>
          <cell r="AD137">
            <v>0</v>
          </cell>
          <cell r="AG137">
            <v>1152</v>
          </cell>
          <cell r="AH137">
            <v>0</v>
          </cell>
        </row>
        <row r="138">
          <cell r="B138" t="str">
            <v>LT Cable termination</v>
          </cell>
          <cell r="E138">
            <v>1152</v>
          </cell>
          <cell r="F138">
            <v>1152</v>
          </cell>
          <cell r="I138">
            <v>1152</v>
          </cell>
          <cell r="J138">
            <v>1152</v>
          </cell>
          <cell r="M138">
            <v>1152</v>
          </cell>
          <cell r="N138">
            <v>192</v>
          </cell>
          <cell r="Q138">
            <v>1152</v>
          </cell>
          <cell r="R138">
            <v>1152</v>
          </cell>
          <cell r="U138">
            <v>1152</v>
          </cell>
          <cell r="V138">
            <v>0</v>
          </cell>
          <cell r="Y138">
            <v>1152</v>
          </cell>
          <cell r="Z138">
            <v>0</v>
          </cell>
          <cell r="AC138">
            <v>1152</v>
          </cell>
          <cell r="AD138">
            <v>0</v>
          </cell>
          <cell r="AG138">
            <v>1152</v>
          </cell>
          <cell r="AH138">
            <v>0</v>
          </cell>
        </row>
        <row r="139">
          <cell r="B139" t="str">
            <v>LT Cable termination with Torquing</v>
          </cell>
          <cell r="E139">
            <v>1152</v>
          </cell>
          <cell r="F139">
            <v>1152</v>
          </cell>
          <cell r="I139">
            <v>1152</v>
          </cell>
          <cell r="J139">
            <v>384</v>
          </cell>
          <cell r="M139">
            <v>1152</v>
          </cell>
          <cell r="N139">
            <v>0</v>
          </cell>
          <cell r="Q139">
            <v>1152</v>
          </cell>
          <cell r="R139">
            <v>1152</v>
          </cell>
          <cell r="U139">
            <v>1152</v>
          </cell>
          <cell r="V139">
            <v>0</v>
          </cell>
          <cell r="Y139">
            <v>1152</v>
          </cell>
          <cell r="Z139">
            <v>0</v>
          </cell>
          <cell r="AC139">
            <v>1152</v>
          </cell>
          <cell r="AD139">
            <v>0</v>
          </cell>
          <cell r="AG139">
            <v>1152</v>
          </cell>
          <cell r="AH139">
            <v>0</v>
          </cell>
        </row>
        <row r="140">
          <cell r="B140" t="str">
            <v>LT Cable termination with Torquing</v>
          </cell>
          <cell r="E140">
            <v>1152</v>
          </cell>
          <cell r="F140">
            <v>1008</v>
          </cell>
          <cell r="I140">
            <v>1152</v>
          </cell>
          <cell r="J140">
            <v>0</v>
          </cell>
          <cell r="M140">
            <v>1152</v>
          </cell>
          <cell r="N140">
            <v>0</v>
          </cell>
          <cell r="Q140">
            <v>1152</v>
          </cell>
          <cell r="R140">
            <v>1152</v>
          </cell>
          <cell r="U140">
            <v>1152</v>
          </cell>
          <cell r="V140">
            <v>0</v>
          </cell>
          <cell r="Y140">
            <v>1152</v>
          </cell>
          <cell r="Z140">
            <v>0</v>
          </cell>
          <cell r="AC140">
            <v>1152</v>
          </cell>
          <cell r="AD140">
            <v>0</v>
          </cell>
          <cell r="AG140">
            <v>1152</v>
          </cell>
          <cell r="AH140">
            <v>0</v>
          </cell>
        </row>
        <row r="141">
          <cell r="B141" t="str">
            <v>Aux Cable</v>
          </cell>
          <cell r="E141" t="str">
            <v>Scope</v>
          </cell>
          <cell r="F141" t="str">
            <v>Actual</v>
          </cell>
          <cell r="I141" t="str">
            <v>Scope</v>
          </cell>
          <cell r="J141" t="str">
            <v>Actual</v>
          </cell>
          <cell r="M141" t="str">
            <v>Scope</v>
          </cell>
          <cell r="N141" t="str">
            <v>Actual</v>
          </cell>
          <cell r="Q141" t="str">
            <v>Scope</v>
          </cell>
          <cell r="R141" t="str">
            <v>Actual</v>
          </cell>
          <cell r="U141" t="str">
            <v>Scope</v>
          </cell>
          <cell r="V141" t="str">
            <v>Actual</v>
          </cell>
          <cell r="Y141" t="str">
            <v>Scope</v>
          </cell>
          <cell r="Z141" t="str">
            <v>Actual</v>
          </cell>
          <cell r="AC141" t="str">
            <v>Scope</v>
          </cell>
          <cell r="AD141" t="str">
            <v>Actual</v>
          </cell>
          <cell r="AG141" t="str">
            <v>Scope</v>
          </cell>
          <cell r="AH141" t="str">
            <v>Actual</v>
          </cell>
        </row>
        <row r="142">
          <cell r="B142" t="str">
            <v>Aux Cable laying</v>
          </cell>
          <cell r="E142">
            <v>4852</v>
          </cell>
          <cell r="F142">
            <v>4852</v>
          </cell>
          <cell r="I142">
            <v>4734</v>
          </cell>
          <cell r="J142">
            <v>4734</v>
          </cell>
          <cell r="M142">
            <v>4719</v>
          </cell>
          <cell r="N142">
            <v>4719</v>
          </cell>
          <cell r="Q142">
            <v>4611</v>
          </cell>
          <cell r="R142">
            <v>4611</v>
          </cell>
          <cell r="U142">
            <v>4856</v>
          </cell>
          <cell r="V142">
            <v>4856</v>
          </cell>
          <cell r="Y142">
            <v>4470</v>
          </cell>
          <cell r="Z142">
            <v>0</v>
          </cell>
          <cell r="AC142">
            <v>4470</v>
          </cell>
          <cell r="AD142">
            <v>0</v>
          </cell>
          <cell r="AG142">
            <v>4470</v>
          </cell>
          <cell r="AH142">
            <v>0</v>
          </cell>
        </row>
        <row r="143">
          <cell r="B143" t="str">
            <v>Aux Cable laying</v>
          </cell>
          <cell r="E143">
            <v>1275</v>
          </cell>
          <cell r="F143">
            <v>1275</v>
          </cell>
          <cell r="I143">
            <v>1117</v>
          </cell>
          <cell r="J143">
            <v>1117</v>
          </cell>
          <cell r="M143">
            <v>1066</v>
          </cell>
          <cell r="N143">
            <v>0</v>
          </cell>
          <cell r="Q143">
            <v>1210</v>
          </cell>
          <cell r="R143">
            <v>1210</v>
          </cell>
          <cell r="U143">
            <v>1080</v>
          </cell>
          <cell r="V143">
            <v>388</v>
          </cell>
          <cell r="Y143">
            <v>1066</v>
          </cell>
          <cell r="Z143">
            <v>0</v>
          </cell>
          <cell r="AC143">
            <v>1066</v>
          </cell>
          <cell r="AD143">
            <v>0</v>
          </cell>
          <cell r="AG143">
            <v>1066</v>
          </cell>
          <cell r="AH143">
            <v>0</v>
          </cell>
        </row>
        <row r="144">
          <cell r="B144" t="str">
            <v>Aux Cable laying</v>
          </cell>
          <cell r="E144">
            <v>390</v>
          </cell>
          <cell r="F144">
            <v>390</v>
          </cell>
          <cell r="I144">
            <v>367</v>
          </cell>
          <cell r="J144">
            <v>367</v>
          </cell>
          <cell r="M144">
            <v>359</v>
          </cell>
          <cell r="N144">
            <v>62</v>
          </cell>
          <cell r="Q144">
            <v>364</v>
          </cell>
          <cell r="R144">
            <v>364</v>
          </cell>
          <cell r="U144">
            <v>356</v>
          </cell>
          <cell r="V144">
            <v>0</v>
          </cell>
          <cell r="Y144">
            <v>356</v>
          </cell>
          <cell r="Z144">
            <v>0</v>
          </cell>
          <cell r="AC144">
            <v>356</v>
          </cell>
          <cell r="AD144">
            <v>0</v>
          </cell>
          <cell r="AG144">
            <v>356</v>
          </cell>
          <cell r="AH144">
            <v>0</v>
          </cell>
        </row>
        <row r="145">
          <cell r="B145" t="str">
            <v>Aux Cable laying</v>
          </cell>
          <cell r="E145">
            <v>1134</v>
          </cell>
          <cell r="F145">
            <v>1134</v>
          </cell>
          <cell r="I145">
            <v>1090</v>
          </cell>
          <cell r="J145">
            <v>1090</v>
          </cell>
          <cell r="M145">
            <v>1097</v>
          </cell>
          <cell r="N145">
            <v>0</v>
          </cell>
          <cell r="Q145">
            <v>1095</v>
          </cell>
          <cell r="R145">
            <v>1095</v>
          </cell>
          <cell r="U145">
            <v>1097</v>
          </cell>
          <cell r="V145">
            <v>0</v>
          </cell>
          <cell r="Y145">
            <v>1097</v>
          </cell>
          <cell r="Z145">
            <v>0</v>
          </cell>
          <cell r="AC145">
            <v>1097</v>
          </cell>
          <cell r="AD145">
            <v>0</v>
          </cell>
          <cell r="AG145">
            <v>1097</v>
          </cell>
          <cell r="AH145">
            <v>0</v>
          </cell>
        </row>
        <row r="146">
          <cell r="B146" t="str">
            <v>Aux Cable laying</v>
          </cell>
          <cell r="E146">
            <v>60</v>
          </cell>
          <cell r="F146">
            <v>60</v>
          </cell>
          <cell r="I146">
            <v>60</v>
          </cell>
          <cell r="J146">
            <v>60</v>
          </cell>
          <cell r="M146">
            <v>55</v>
          </cell>
          <cell r="N146">
            <v>0</v>
          </cell>
          <cell r="Q146">
            <v>60</v>
          </cell>
          <cell r="R146">
            <v>60</v>
          </cell>
          <cell r="U146">
            <v>55</v>
          </cell>
          <cell r="V146">
            <v>0</v>
          </cell>
          <cell r="Y146">
            <v>55</v>
          </cell>
          <cell r="Z146">
            <v>0</v>
          </cell>
          <cell r="AC146">
            <v>55</v>
          </cell>
          <cell r="AD146">
            <v>0</v>
          </cell>
          <cell r="AG146">
            <v>55</v>
          </cell>
          <cell r="AH146">
            <v>0</v>
          </cell>
        </row>
        <row r="147">
          <cell r="B147" t="str">
            <v>Aux Cable laying</v>
          </cell>
          <cell r="E147">
            <v>17</v>
          </cell>
          <cell r="F147">
            <v>17</v>
          </cell>
          <cell r="I147">
            <v>17</v>
          </cell>
          <cell r="J147">
            <v>0</v>
          </cell>
          <cell r="M147">
            <v>17</v>
          </cell>
          <cell r="N147">
            <v>0</v>
          </cell>
          <cell r="Q147">
            <v>17</v>
          </cell>
          <cell r="R147">
            <v>17</v>
          </cell>
          <cell r="U147">
            <v>17</v>
          </cell>
          <cell r="V147">
            <v>0</v>
          </cell>
          <cell r="Y147">
            <v>17</v>
          </cell>
          <cell r="Z147">
            <v>0</v>
          </cell>
          <cell r="AC147">
            <v>17</v>
          </cell>
          <cell r="AD147">
            <v>0</v>
          </cell>
          <cell r="AG147">
            <v>17</v>
          </cell>
          <cell r="AH147">
            <v>0</v>
          </cell>
        </row>
        <row r="148">
          <cell r="B148" t="str">
            <v>Aux Cable laying</v>
          </cell>
          <cell r="E148">
            <v>62</v>
          </cell>
          <cell r="F148">
            <v>62</v>
          </cell>
          <cell r="I148">
            <v>62</v>
          </cell>
          <cell r="J148">
            <v>0</v>
          </cell>
          <cell r="M148">
            <v>62</v>
          </cell>
          <cell r="N148">
            <v>0</v>
          </cell>
          <cell r="Q148">
            <v>62</v>
          </cell>
          <cell r="R148">
            <v>62</v>
          </cell>
          <cell r="U148">
            <v>62</v>
          </cell>
          <cell r="V148">
            <v>0</v>
          </cell>
          <cell r="Y148">
            <v>62</v>
          </cell>
          <cell r="Z148">
            <v>0</v>
          </cell>
          <cell r="AC148">
            <v>62</v>
          </cell>
          <cell r="AD148">
            <v>0</v>
          </cell>
          <cell r="AG148">
            <v>62</v>
          </cell>
          <cell r="AH148">
            <v>0</v>
          </cell>
        </row>
        <row r="149">
          <cell r="B149" t="str">
            <v>Aux Cable laying</v>
          </cell>
          <cell r="E149">
            <v>20</v>
          </cell>
          <cell r="F149">
            <v>20</v>
          </cell>
          <cell r="I149">
            <v>7</v>
          </cell>
          <cell r="J149">
            <v>0</v>
          </cell>
          <cell r="M149">
            <v>7</v>
          </cell>
          <cell r="N149">
            <v>0</v>
          </cell>
          <cell r="Q149">
            <v>20</v>
          </cell>
          <cell r="R149">
            <v>20</v>
          </cell>
          <cell r="U149">
            <v>7</v>
          </cell>
          <cell r="V149">
            <v>0</v>
          </cell>
          <cell r="Y149">
            <v>7</v>
          </cell>
          <cell r="Z149">
            <v>0</v>
          </cell>
          <cell r="AC149">
            <v>7</v>
          </cell>
          <cell r="AD149">
            <v>0</v>
          </cell>
          <cell r="AG149">
            <v>7</v>
          </cell>
          <cell r="AH149">
            <v>0</v>
          </cell>
        </row>
        <row r="150">
          <cell r="B150" t="str">
            <v>Aux Cable laying</v>
          </cell>
          <cell r="E150">
            <v>10</v>
          </cell>
          <cell r="F150">
            <v>10</v>
          </cell>
          <cell r="I150">
            <v>10</v>
          </cell>
          <cell r="J150">
            <v>10</v>
          </cell>
          <cell r="M150">
            <v>10</v>
          </cell>
          <cell r="N150">
            <v>0</v>
          </cell>
          <cell r="Q150">
            <v>10</v>
          </cell>
          <cell r="R150">
            <v>10</v>
          </cell>
          <cell r="U150">
            <v>10</v>
          </cell>
          <cell r="V150">
            <v>0</v>
          </cell>
          <cell r="Y150">
            <v>10</v>
          </cell>
          <cell r="Z150">
            <v>0</v>
          </cell>
          <cell r="AC150">
            <v>10</v>
          </cell>
          <cell r="AD150">
            <v>0</v>
          </cell>
          <cell r="AG150">
            <v>10</v>
          </cell>
          <cell r="AH150">
            <v>0</v>
          </cell>
        </row>
        <row r="151">
          <cell r="B151" t="str">
            <v>Aux Cable laying</v>
          </cell>
          <cell r="E151">
            <v>566</v>
          </cell>
          <cell r="F151">
            <v>566</v>
          </cell>
          <cell r="I151">
            <v>566</v>
          </cell>
          <cell r="J151">
            <v>566</v>
          </cell>
          <cell r="M151">
            <v>566</v>
          </cell>
          <cell r="N151">
            <v>0</v>
          </cell>
          <cell r="Q151">
            <v>695</v>
          </cell>
          <cell r="R151">
            <v>695</v>
          </cell>
          <cell r="U151">
            <v>566</v>
          </cell>
          <cell r="V151">
            <v>0</v>
          </cell>
          <cell r="Y151">
            <v>566</v>
          </cell>
          <cell r="Z151">
            <v>0</v>
          </cell>
          <cell r="AC151">
            <v>566</v>
          </cell>
          <cell r="AD151">
            <v>0</v>
          </cell>
          <cell r="AG151">
            <v>566</v>
          </cell>
          <cell r="AH151">
            <v>0</v>
          </cell>
        </row>
        <row r="152">
          <cell r="B152" t="str">
            <v>Aux Cable laying</v>
          </cell>
          <cell r="E152">
            <v>33</v>
          </cell>
          <cell r="F152">
            <v>33</v>
          </cell>
          <cell r="I152">
            <v>33</v>
          </cell>
          <cell r="J152">
            <v>0</v>
          </cell>
          <cell r="M152">
            <v>33</v>
          </cell>
          <cell r="N152">
            <v>0</v>
          </cell>
          <cell r="Q152">
            <v>33</v>
          </cell>
          <cell r="R152">
            <v>33</v>
          </cell>
          <cell r="U152">
            <v>33</v>
          </cell>
          <cell r="V152">
            <v>0</v>
          </cell>
          <cell r="Y152">
            <v>33</v>
          </cell>
          <cell r="Z152">
            <v>0</v>
          </cell>
          <cell r="AC152">
            <v>33</v>
          </cell>
          <cell r="AD152">
            <v>0</v>
          </cell>
          <cell r="AG152">
            <v>33</v>
          </cell>
          <cell r="AH152">
            <v>0</v>
          </cell>
        </row>
        <row r="153">
          <cell r="B153" t="str">
            <v>Aux Cable laying</v>
          </cell>
          <cell r="E153">
            <v>9</v>
          </cell>
          <cell r="F153">
            <v>0</v>
          </cell>
          <cell r="I153">
            <v>9</v>
          </cell>
          <cell r="J153">
            <v>0</v>
          </cell>
          <cell r="M153">
            <v>9</v>
          </cell>
          <cell r="N153">
            <v>0</v>
          </cell>
          <cell r="Q153">
            <v>9</v>
          </cell>
          <cell r="R153">
            <v>0</v>
          </cell>
          <cell r="U153">
            <v>9</v>
          </cell>
          <cell r="V153">
            <v>0</v>
          </cell>
          <cell r="Y153">
            <v>9</v>
          </cell>
          <cell r="Z153">
            <v>0</v>
          </cell>
          <cell r="AC153">
            <v>9</v>
          </cell>
          <cell r="AD153">
            <v>0</v>
          </cell>
          <cell r="AG153">
            <v>9</v>
          </cell>
          <cell r="AH153">
            <v>0</v>
          </cell>
        </row>
        <row r="154">
          <cell r="B154" t="str">
            <v>Aux Cable termination</v>
          </cell>
          <cell r="E154">
            <v>48</v>
          </cell>
          <cell r="F154">
            <v>48</v>
          </cell>
          <cell r="I154">
            <v>48</v>
          </cell>
          <cell r="J154">
            <v>0</v>
          </cell>
          <cell r="M154">
            <v>48</v>
          </cell>
          <cell r="N154">
            <v>0</v>
          </cell>
          <cell r="Q154">
            <v>48</v>
          </cell>
          <cell r="R154">
            <v>48</v>
          </cell>
          <cell r="U154">
            <v>48</v>
          </cell>
          <cell r="V154">
            <v>0</v>
          </cell>
          <cell r="Y154">
            <v>48</v>
          </cell>
          <cell r="Z154">
            <v>0</v>
          </cell>
          <cell r="AC154">
            <v>48</v>
          </cell>
          <cell r="AD154">
            <v>0</v>
          </cell>
          <cell r="AG154">
            <v>48</v>
          </cell>
          <cell r="AH154">
            <v>0</v>
          </cell>
        </row>
        <row r="155">
          <cell r="B155" t="str">
            <v>Aux Cable termination</v>
          </cell>
          <cell r="E155">
            <v>48</v>
          </cell>
          <cell r="F155">
            <v>48</v>
          </cell>
          <cell r="I155">
            <v>48</v>
          </cell>
          <cell r="J155">
            <v>0</v>
          </cell>
          <cell r="M155">
            <v>48</v>
          </cell>
          <cell r="N155">
            <v>0</v>
          </cell>
          <cell r="Q155">
            <v>48</v>
          </cell>
          <cell r="R155">
            <v>48</v>
          </cell>
          <cell r="U155">
            <v>48</v>
          </cell>
          <cell r="V155">
            <v>0</v>
          </cell>
          <cell r="Y155">
            <v>48</v>
          </cell>
          <cell r="Z155">
            <v>0</v>
          </cell>
          <cell r="AC155">
            <v>48</v>
          </cell>
          <cell r="AD155">
            <v>0</v>
          </cell>
          <cell r="AG155">
            <v>48</v>
          </cell>
          <cell r="AH155">
            <v>0</v>
          </cell>
        </row>
        <row r="156">
          <cell r="B156" t="str">
            <v>Aux Cable termination</v>
          </cell>
          <cell r="E156">
            <v>49</v>
          </cell>
          <cell r="F156">
            <v>49</v>
          </cell>
          <cell r="I156">
            <v>49</v>
          </cell>
          <cell r="J156">
            <v>8</v>
          </cell>
          <cell r="M156">
            <v>49</v>
          </cell>
          <cell r="N156">
            <v>0</v>
          </cell>
          <cell r="Q156">
            <v>49</v>
          </cell>
          <cell r="R156">
            <v>49</v>
          </cell>
          <cell r="U156">
            <v>49</v>
          </cell>
          <cell r="V156">
            <v>0</v>
          </cell>
          <cell r="Y156">
            <v>49</v>
          </cell>
          <cell r="Z156">
            <v>0</v>
          </cell>
          <cell r="AC156">
            <v>49</v>
          </cell>
          <cell r="AD156">
            <v>0</v>
          </cell>
          <cell r="AG156">
            <v>49</v>
          </cell>
          <cell r="AH156">
            <v>0</v>
          </cell>
        </row>
        <row r="157">
          <cell r="B157" t="str">
            <v>Aux Cable termination</v>
          </cell>
          <cell r="E157">
            <v>48</v>
          </cell>
          <cell r="F157">
            <v>48</v>
          </cell>
          <cell r="I157">
            <v>48</v>
          </cell>
          <cell r="J157">
            <v>8</v>
          </cell>
          <cell r="M157">
            <v>48</v>
          </cell>
          <cell r="N157">
            <v>0</v>
          </cell>
          <cell r="Q157">
            <v>48</v>
          </cell>
          <cell r="R157">
            <v>48</v>
          </cell>
          <cell r="U157">
            <v>48</v>
          </cell>
          <cell r="V157">
            <v>0</v>
          </cell>
          <cell r="Y157">
            <v>48</v>
          </cell>
          <cell r="Z157">
            <v>0</v>
          </cell>
          <cell r="AC157">
            <v>48</v>
          </cell>
          <cell r="AD157">
            <v>0</v>
          </cell>
          <cell r="AG157">
            <v>48</v>
          </cell>
          <cell r="AH157">
            <v>0</v>
          </cell>
        </row>
        <row r="158">
          <cell r="B158" t="str">
            <v>Aux Cable termination</v>
          </cell>
          <cell r="E158">
            <v>24</v>
          </cell>
          <cell r="F158">
            <v>24</v>
          </cell>
          <cell r="I158">
            <v>24</v>
          </cell>
          <cell r="J158">
            <v>0</v>
          </cell>
          <cell r="M158">
            <v>24</v>
          </cell>
          <cell r="N158">
            <v>0</v>
          </cell>
          <cell r="Q158">
            <v>24</v>
          </cell>
          <cell r="R158">
            <v>24</v>
          </cell>
          <cell r="U158">
            <v>24</v>
          </cell>
          <cell r="V158">
            <v>0</v>
          </cell>
          <cell r="Y158">
            <v>24</v>
          </cell>
          <cell r="Z158">
            <v>0</v>
          </cell>
          <cell r="AC158">
            <v>24</v>
          </cell>
          <cell r="AD158">
            <v>0</v>
          </cell>
          <cell r="AG158">
            <v>24</v>
          </cell>
          <cell r="AH158">
            <v>0</v>
          </cell>
        </row>
        <row r="159">
          <cell r="B159" t="str">
            <v>Aux Cable termination</v>
          </cell>
          <cell r="E159">
            <v>6</v>
          </cell>
          <cell r="F159">
            <v>6</v>
          </cell>
          <cell r="I159">
            <v>6</v>
          </cell>
          <cell r="J159">
            <v>0</v>
          </cell>
          <cell r="M159">
            <v>6</v>
          </cell>
          <cell r="N159">
            <v>0</v>
          </cell>
          <cell r="Q159">
            <v>6</v>
          </cell>
          <cell r="R159">
            <v>6</v>
          </cell>
          <cell r="U159">
            <v>6</v>
          </cell>
          <cell r="V159">
            <v>0</v>
          </cell>
          <cell r="Y159">
            <v>6</v>
          </cell>
          <cell r="Z159">
            <v>0</v>
          </cell>
          <cell r="AC159">
            <v>6</v>
          </cell>
          <cell r="AD159">
            <v>0</v>
          </cell>
          <cell r="AG159">
            <v>6</v>
          </cell>
          <cell r="AH159">
            <v>0</v>
          </cell>
        </row>
        <row r="160">
          <cell r="B160" t="str">
            <v>Aux Cable termination</v>
          </cell>
          <cell r="E160">
            <v>18</v>
          </cell>
          <cell r="F160">
            <v>18</v>
          </cell>
          <cell r="I160">
            <v>18</v>
          </cell>
          <cell r="J160">
            <v>18</v>
          </cell>
          <cell r="M160">
            <v>18</v>
          </cell>
          <cell r="N160">
            <v>0</v>
          </cell>
          <cell r="Q160">
            <v>18</v>
          </cell>
          <cell r="R160">
            <v>18</v>
          </cell>
          <cell r="U160">
            <v>18</v>
          </cell>
          <cell r="V160">
            <v>0</v>
          </cell>
          <cell r="Y160">
            <v>18</v>
          </cell>
          <cell r="Z160">
            <v>0</v>
          </cell>
          <cell r="AC160">
            <v>18</v>
          </cell>
          <cell r="AD160">
            <v>0</v>
          </cell>
          <cell r="AG160">
            <v>18</v>
          </cell>
          <cell r="AH160">
            <v>0</v>
          </cell>
        </row>
        <row r="161">
          <cell r="B161" t="str">
            <v>Aux Cable termination</v>
          </cell>
          <cell r="E161">
            <v>1</v>
          </cell>
          <cell r="F161">
            <v>1</v>
          </cell>
          <cell r="I161">
            <v>1</v>
          </cell>
          <cell r="J161">
            <v>0</v>
          </cell>
          <cell r="M161">
            <v>1</v>
          </cell>
          <cell r="N161">
            <v>0</v>
          </cell>
          <cell r="Q161">
            <v>1</v>
          </cell>
          <cell r="R161">
            <v>1</v>
          </cell>
          <cell r="U161">
            <v>1</v>
          </cell>
          <cell r="V161">
            <v>0</v>
          </cell>
          <cell r="Y161">
            <v>1</v>
          </cell>
          <cell r="Z161">
            <v>0</v>
          </cell>
          <cell r="AC161">
            <v>1</v>
          </cell>
          <cell r="AD161">
            <v>0</v>
          </cell>
          <cell r="AG161">
            <v>1</v>
          </cell>
          <cell r="AH161">
            <v>0</v>
          </cell>
        </row>
        <row r="162">
          <cell r="B162" t="str">
            <v>Aux Cable termination</v>
          </cell>
          <cell r="E162">
            <v>2</v>
          </cell>
          <cell r="F162">
            <v>2</v>
          </cell>
          <cell r="I162">
            <v>2</v>
          </cell>
          <cell r="J162">
            <v>0</v>
          </cell>
          <cell r="M162">
            <v>2</v>
          </cell>
          <cell r="N162">
            <v>0</v>
          </cell>
          <cell r="Q162">
            <v>2</v>
          </cell>
          <cell r="R162">
            <v>2</v>
          </cell>
          <cell r="U162">
            <v>2</v>
          </cell>
          <cell r="V162">
            <v>0</v>
          </cell>
          <cell r="Y162">
            <v>2</v>
          </cell>
          <cell r="Z162">
            <v>0</v>
          </cell>
          <cell r="AC162">
            <v>2</v>
          </cell>
          <cell r="AD162">
            <v>0</v>
          </cell>
          <cell r="AG162">
            <v>2</v>
          </cell>
          <cell r="AH162">
            <v>0</v>
          </cell>
        </row>
        <row r="163">
          <cell r="B163" t="str">
            <v>Aux Cable termination</v>
          </cell>
          <cell r="E163">
            <v>2</v>
          </cell>
          <cell r="F163">
            <v>2</v>
          </cell>
          <cell r="I163">
            <v>2</v>
          </cell>
          <cell r="J163">
            <v>0</v>
          </cell>
          <cell r="M163">
            <v>2</v>
          </cell>
          <cell r="N163">
            <v>0</v>
          </cell>
          <cell r="Q163">
            <v>2</v>
          </cell>
          <cell r="R163">
            <v>2</v>
          </cell>
          <cell r="U163">
            <v>2</v>
          </cell>
          <cell r="V163">
            <v>0</v>
          </cell>
          <cell r="Y163">
            <v>2</v>
          </cell>
          <cell r="Z163">
            <v>0</v>
          </cell>
          <cell r="AC163">
            <v>2</v>
          </cell>
          <cell r="AD163">
            <v>0</v>
          </cell>
          <cell r="AG163">
            <v>2</v>
          </cell>
          <cell r="AH163">
            <v>0</v>
          </cell>
        </row>
        <row r="164">
          <cell r="B164" t="str">
            <v>Aux Cable termination</v>
          </cell>
          <cell r="E164">
            <v>3</v>
          </cell>
          <cell r="F164">
            <v>3</v>
          </cell>
          <cell r="I164">
            <v>3</v>
          </cell>
          <cell r="J164">
            <v>0</v>
          </cell>
          <cell r="M164">
            <v>3</v>
          </cell>
          <cell r="N164">
            <v>0</v>
          </cell>
          <cell r="Q164">
            <v>3</v>
          </cell>
          <cell r="R164">
            <v>3</v>
          </cell>
          <cell r="U164">
            <v>3</v>
          </cell>
          <cell r="V164">
            <v>0</v>
          </cell>
          <cell r="Y164">
            <v>3</v>
          </cell>
          <cell r="Z164">
            <v>0</v>
          </cell>
          <cell r="AC164">
            <v>3</v>
          </cell>
          <cell r="AD164">
            <v>0</v>
          </cell>
          <cell r="AG164">
            <v>3</v>
          </cell>
          <cell r="AH164">
            <v>0</v>
          </cell>
        </row>
        <row r="165">
          <cell r="B165" t="str">
            <v>Aux Cable termination</v>
          </cell>
          <cell r="E165">
            <v>2</v>
          </cell>
          <cell r="F165">
            <v>2</v>
          </cell>
          <cell r="I165">
            <v>2</v>
          </cell>
          <cell r="J165">
            <v>0</v>
          </cell>
          <cell r="M165">
            <v>2</v>
          </cell>
          <cell r="N165">
            <v>0</v>
          </cell>
          <cell r="Q165">
            <v>2</v>
          </cell>
          <cell r="R165">
            <v>2</v>
          </cell>
          <cell r="U165">
            <v>2</v>
          </cell>
          <cell r="V165">
            <v>0</v>
          </cell>
          <cell r="Y165">
            <v>2</v>
          </cell>
          <cell r="Z165">
            <v>0</v>
          </cell>
          <cell r="AC165">
            <v>2</v>
          </cell>
          <cell r="AD165">
            <v>0</v>
          </cell>
          <cell r="AG165">
            <v>2</v>
          </cell>
          <cell r="AH165">
            <v>0</v>
          </cell>
        </row>
        <row r="166">
          <cell r="B166" t="str">
            <v>Aux Cable termination</v>
          </cell>
          <cell r="E166">
            <v>1</v>
          </cell>
          <cell r="F166">
            <v>1</v>
          </cell>
          <cell r="I166">
            <v>1</v>
          </cell>
          <cell r="J166">
            <v>0</v>
          </cell>
          <cell r="M166">
            <v>1</v>
          </cell>
          <cell r="N166">
            <v>0</v>
          </cell>
          <cell r="Q166">
            <v>1</v>
          </cell>
          <cell r="R166">
            <v>1</v>
          </cell>
          <cell r="U166">
            <v>1</v>
          </cell>
          <cell r="V166">
            <v>0</v>
          </cell>
          <cell r="Y166">
            <v>1</v>
          </cell>
          <cell r="Z166">
            <v>0</v>
          </cell>
          <cell r="AC166">
            <v>1</v>
          </cell>
          <cell r="AD166">
            <v>0</v>
          </cell>
          <cell r="AG166">
            <v>1</v>
          </cell>
          <cell r="AH166">
            <v>0</v>
          </cell>
        </row>
        <row r="167">
          <cell r="B167" t="str">
            <v>Aux Cable termination</v>
          </cell>
          <cell r="E167">
            <v>10</v>
          </cell>
          <cell r="F167">
            <v>10</v>
          </cell>
          <cell r="I167">
            <v>10</v>
          </cell>
          <cell r="J167">
            <v>0</v>
          </cell>
          <cell r="M167">
            <v>10</v>
          </cell>
          <cell r="N167">
            <v>0</v>
          </cell>
          <cell r="Q167">
            <v>10</v>
          </cell>
          <cell r="R167">
            <v>10</v>
          </cell>
          <cell r="U167">
            <v>10</v>
          </cell>
          <cell r="V167">
            <v>0</v>
          </cell>
          <cell r="Y167">
            <v>10</v>
          </cell>
          <cell r="Z167">
            <v>0</v>
          </cell>
          <cell r="AC167">
            <v>10</v>
          </cell>
          <cell r="AD167">
            <v>0</v>
          </cell>
          <cell r="AG167">
            <v>10</v>
          </cell>
          <cell r="AH167">
            <v>0</v>
          </cell>
        </row>
        <row r="168">
          <cell r="B168" t="str">
            <v>Aux Cable termination</v>
          </cell>
          <cell r="E168">
            <v>6</v>
          </cell>
          <cell r="F168">
            <v>6</v>
          </cell>
          <cell r="I168">
            <v>6</v>
          </cell>
          <cell r="J168">
            <v>0</v>
          </cell>
          <cell r="M168">
            <v>6</v>
          </cell>
          <cell r="N168">
            <v>0</v>
          </cell>
          <cell r="Q168">
            <v>6</v>
          </cell>
          <cell r="R168">
            <v>6</v>
          </cell>
          <cell r="U168">
            <v>6</v>
          </cell>
          <cell r="V168">
            <v>0</v>
          </cell>
          <cell r="Y168">
            <v>6</v>
          </cell>
          <cell r="Z168">
            <v>0</v>
          </cell>
          <cell r="AC168">
            <v>6</v>
          </cell>
          <cell r="AD168">
            <v>0</v>
          </cell>
          <cell r="AG168">
            <v>6</v>
          </cell>
          <cell r="AH168">
            <v>0</v>
          </cell>
        </row>
        <row r="169">
          <cell r="B169" t="str">
            <v>Aux Cable termination</v>
          </cell>
          <cell r="E169">
            <v>4</v>
          </cell>
          <cell r="F169">
            <v>4</v>
          </cell>
          <cell r="I169">
            <v>4</v>
          </cell>
          <cell r="J169">
            <v>0</v>
          </cell>
          <cell r="M169">
            <v>4</v>
          </cell>
          <cell r="N169">
            <v>0</v>
          </cell>
          <cell r="Q169">
            <v>4</v>
          </cell>
          <cell r="R169">
            <v>4</v>
          </cell>
          <cell r="U169">
            <v>4</v>
          </cell>
          <cell r="V169">
            <v>0</v>
          </cell>
          <cell r="Y169">
            <v>4</v>
          </cell>
          <cell r="Z169">
            <v>0</v>
          </cell>
          <cell r="AC169">
            <v>4</v>
          </cell>
          <cell r="AD169">
            <v>0</v>
          </cell>
          <cell r="AG169">
            <v>4</v>
          </cell>
          <cell r="AH169">
            <v>0</v>
          </cell>
        </row>
        <row r="170">
          <cell r="B170" t="str">
            <v>Aux Cable termination</v>
          </cell>
          <cell r="E170">
            <v>0</v>
          </cell>
          <cell r="F170">
            <v>0</v>
          </cell>
          <cell r="I170">
            <v>0</v>
          </cell>
          <cell r="J170">
            <v>0</v>
          </cell>
          <cell r="M170">
            <v>0</v>
          </cell>
          <cell r="N170">
            <v>0</v>
          </cell>
          <cell r="Q170">
            <v>0</v>
          </cell>
          <cell r="R170">
            <v>0</v>
          </cell>
          <cell r="U170">
            <v>0</v>
          </cell>
          <cell r="V170">
            <v>0</v>
          </cell>
          <cell r="Y170">
            <v>0</v>
          </cell>
          <cell r="Z170">
            <v>0</v>
          </cell>
          <cell r="AC170">
            <v>0</v>
          </cell>
          <cell r="AD170">
            <v>0</v>
          </cell>
          <cell r="AG170">
            <v>0</v>
          </cell>
          <cell r="AH170">
            <v>0</v>
          </cell>
        </row>
        <row r="171">
          <cell r="B171" t="str">
            <v>Aux Cable termination</v>
          </cell>
          <cell r="E171">
            <v>0</v>
          </cell>
          <cell r="F171">
            <v>0</v>
          </cell>
          <cell r="I171">
            <v>0</v>
          </cell>
          <cell r="J171">
            <v>0</v>
          </cell>
          <cell r="M171">
            <v>0</v>
          </cell>
          <cell r="N171">
            <v>0</v>
          </cell>
          <cell r="Q171">
            <v>0</v>
          </cell>
          <cell r="R171">
            <v>0</v>
          </cell>
          <cell r="U171">
            <v>0</v>
          </cell>
          <cell r="V171">
            <v>0</v>
          </cell>
          <cell r="Y171">
            <v>0</v>
          </cell>
          <cell r="Z171">
            <v>0</v>
          </cell>
          <cell r="AC171">
            <v>0</v>
          </cell>
          <cell r="AD171">
            <v>0</v>
          </cell>
          <cell r="AG171">
            <v>0</v>
          </cell>
          <cell r="AH171">
            <v>0</v>
          </cell>
        </row>
        <row r="172">
          <cell r="B172" t="str">
            <v>Control Cable</v>
          </cell>
          <cell r="E172" t="str">
            <v>Scope</v>
          </cell>
          <cell r="F172" t="str">
            <v>Actual</v>
          </cell>
          <cell r="I172" t="str">
            <v>Scope</v>
          </cell>
          <cell r="J172" t="str">
            <v>Actual</v>
          </cell>
          <cell r="M172" t="str">
            <v>Scope</v>
          </cell>
          <cell r="N172" t="str">
            <v>Actual</v>
          </cell>
          <cell r="Q172" t="str">
            <v>Scope</v>
          </cell>
          <cell r="R172" t="str">
            <v>Actual</v>
          </cell>
          <cell r="U172" t="str">
            <v>Scope</v>
          </cell>
          <cell r="V172" t="str">
            <v>Actual</v>
          </cell>
          <cell r="Y172" t="str">
            <v>Scope</v>
          </cell>
          <cell r="Z172" t="str">
            <v>Actual</v>
          </cell>
          <cell r="AC172" t="str">
            <v>Scope</v>
          </cell>
          <cell r="AD172" t="str">
            <v>Actual</v>
          </cell>
          <cell r="AG172" t="str">
            <v>Scope</v>
          </cell>
          <cell r="AH172" t="str">
            <v>Actual</v>
          </cell>
        </row>
        <row r="173">
          <cell r="B173" t="str">
            <v>Control Cable laying</v>
          </cell>
          <cell r="E173">
            <v>1140</v>
          </cell>
          <cell r="F173">
            <v>1140</v>
          </cell>
          <cell r="I173">
            <v>1164</v>
          </cell>
          <cell r="J173">
            <v>1164</v>
          </cell>
          <cell r="M173">
            <v>1156</v>
          </cell>
          <cell r="N173">
            <v>1156</v>
          </cell>
          <cell r="Q173">
            <v>1144</v>
          </cell>
          <cell r="R173">
            <v>1144</v>
          </cell>
          <cell r="U173">
            <v>1140</v>
          </cell>
          <cell r="V173">
            <v>1140</v>
          </cell>
          <cell r="Y173">
            <v>1140</v>
          </cell>
          <cell r="Z173">
            <v>0</v>
          </cell>
          <cell r="AC173">
            <v>1140</v>
          </cell>
          <cell r="AD173">
            <v>0</v>
          </cell>
          <cell r="AG173">
            <v>1140</v>
          </cell>
          <cell r="AH173">
            <v>0</v>
          </cell>
        </row>
        <row r="174">
          <cell r="B174" t="str">
            <v>Control Cable laying</v>
          </cell>
          <cell r="E174">
            <v>2850</v>
          </cell>
          <cell r="F174">
            <v>2850</v>
          </cell>
          <cell r="I174">
            <v>2930</v>
          </cell>
          <cell r="J174">
            <v>2930</v>
          </cell>
          <cell r="M174">
            <v>2890</v>
          </cell>
          <cell r="N174">
            <v>2890</v>
          </cell>
          <cell r="Q174">
            <v>2865</v>
          </cell>
          <cell r="R174">
            <v>2865</v>
          </cell>
          <cell r="U174">
            <v>2850</v>
          </cell>
          <cell r="V174">
            <v>0</v>
          </cell>
          <cell r="Y174">
            <v>2850</v>
          </cell>
          <cell r="Z174">
            <v>0</v>
          </cell>
          <cell r="AC174">
            <v>2850</v>
          </cell>
          <cell r="AD174">
            <v>0</v>
          </cell>
          <cell r="AG174">
            <v>2850</v>
          </cell>
          <cell r="AH174">
            <v>0</v>
          </cell>
        </row>
        <row r="175">
          <cell r="B175" t="str">
            <v>Control Cable laying</v>
          </cell>
          <cell r="E175">
            <v>1140</v>
          </cell>
          <cell r="F175">
            <v>1140</v>
          </cell>
          <cell r="I175">
            <v>1172</v>
          </cell>
          <cell r="J175">
            <v>1172</v>
          </cell>
          <cell r="M175">
            <v>1156</v>
          </cell>
          <cell r="N175">
            <v>1156</v>
          </cell>
          <cell r="Q175">
            <v>1136</v>
          </cell>
          <cell r="R175">
            <v>1136</v>
          </cell>
          <cell r="U175">
            <v>1140</v>
          </cell>
          <cell r="V175">
            <v>0</v>
          </cell>
          <cell r="Y175">
            <v>1140</v>
          </cell>
          <cell r="Z175">
            <v>0</v>
          </cell>
          <cell r="AC175">
            <v>1140</v>
          </cell>
          <cell r="AD175">
            <v>0</v>
          </cell>
          <cell r="AG175">
            <v>1140</v>
          </cell>
          <cell r="AH175">
            <v>0</v>
          </cell>
        </row>
        <row r="176">
          <cell r="B176" t="str">
            <v>Control Cable laying</v>
          </cell>
          <cell r="E176">
            <v>576</v>
          </cell>
          <cell r="F176">
            <v>576</v>
          </cell>
          <cell r="I176">
            <v>576</v>
          </cell>
          <cell r="J176">
            <v>576</v>
          </cell>
          <cell r="M176">
            <v>605</v>
          </cell>
          <cell r="N176">
            <v>605</v>
          </cell>
          <cell r="Q176">
            <v>578</v>
          </cell>
          <cell r="R176">
            <v>578</v>
          </cell>
          <cell r="U176">
            <v>576</v>
          </cell>
          <cell r="V176">
            <v>0</v>
          </cell>
          <cell r="Y176">
            <v>576</v>
          </cell>
          <cell r="Z176">
            <v>0</v>
          </cell>
          <cell r="AC176">
            <v>576</v>
          </cell>
          <cell r="AD176">
            <v>0</v>
          </cell>
          <cell r="AG176">
            <v>576</v>
          </cell>
          <cell r="AH176">
            <v>0</v>
          </cell>
        </row>
        <row r="177">
          <cell r="B177" t="str">
            <v>Control Cable laying</v>
          </cell>
          <cell r="E177">
            <v>576</v>
          </cell>
          <cell r="F177">
            <v>576</v>
          </cell>
          <cell r="I177">
            <v>576</v>
          </cell>
          <cell r="J177">
            <v>576</v>
          </cell>
          <cell r="M177">
            <v>605</v>
          </cell>
          <cell r="N177">
            <v>605</v>
          </cell>
          <cell r="Q177">
            <v>573</v>
          </cell>
          <cell r="R177">
            <v>573</v>
          </cell>
          <cell r="U177">
            <v>576</v>
          </cell>
          <cell r="V177">
            <v>0</v>
          </cell>
          <cell r="Y177">
            <v>576</v>
          </cell>
          <cell r="Z177">
            <v>0</v>
          </cell>
          <cell r="AC177">
            <v>576</v>
          </cell>
          <cell r="AD177">
            <v>0</v>
          </cell>
          <cell r="AG177">
            <v>576</v>
          </cell>
          <cell r="AH177">
            <v>0</v>
          </cell>
        </row>
        <row r="178">
          <cell r="B178" t="str">
            <v>Control Cable laying</v>
          </cell>
          <cell r="E178">
            <v>658</v>
          </cell>
          <cell r="F178">
            <v>658</v>
          </cell>
          <cell r="I178">
            <v>597</v>
          </cell>
          <cell r="J178">
            <v>597</v>
          </cell>
          <cell r="M178">
            <v>658</v>
          </cell>
          <cell r="N178">
            <v>658</v>
          </cell>
          <cell r="Q178">
            <v>597</v>
          </cell>
          <cell r="R178">
            <v>597</v>
          </cell>
          <cell r="U178">
            <v>658</v>
          </cell>
          <cell r="V178">
            <v>0</v>
          </cell>
          <cell r="Y178">
            <v>658</v>
          </cell>
          <cell r="Z178">
            <v>0</v>
          </cell>
          <cell r="AC178">
            <v>658</v>
          </cell>
          <cell r="AD178">
            <v>0</v>
          </cell>
          <cell r="AG178">
            <v>658</v>
          </cell>
          <cell r="AH178">
            <v>0</v>
          </cell>
        </row>
        <row r="179">
          <cell r="B179" t="str">
            <v>Control Cable laying</v>
          </cell>
          <cell r="E179">
            <v>920</v>
          </cell>
          <cell r="F179">
            <v>920</v>
          </cell>
          <cell r="I179">
            <v>920</v>
          </cell>
          <cell r="J179">
            <v>920</v>
          </cell>
          <cell r="M179">
            <v>920</v>
          </cell>
          <cell r="N179">
            <v>0</v>
          </cell>
          <cell r="Q179">
            <v>920</v>
          </cell>
          <cell r="R179">
            <v>920</v>
          </cell>
          <cell r="U179">
            <v>920</v>
          </cell>
          <cell r="V179">
            <v>0</v>
          </cell>
          <cell r="Y179">
            <v>920</v>
          </cell>
          <cell r="Z179">
            <v>0</v>
          </cell>
          <cell r="AC179">
            <v>920</v>
          </cell>
          <cell r="AD179">
            <v>0</v>
          </cell>
          <cell r="AG179">
            <v>920</v>
          </cell>
          <cell r="AH179">
            <v>0</v>
          </cell>
        </row>
        <row r="180">
          <cell r="B180" t="str">
            <v>Control Cable laying</v>
          </cell>
          <cell r="E180">
            <v>162</v>
          </cell>
          <cell r="F180">
            <v>162</v>
          </cell>
          <cell r="I180">
            <v>162</v>
          </cell>
          <cell r="J180">
            <v>0</v>
          </cell>
          <cell r="M180">
            <v>162</v>
          </cell>
          <cell r="N180">
            <v>0</v>
          </cell>
          <cell r="Q180">
            <v>162</v>
          </cell>
          <cell r="R180">
            <v>162</v>
          </cell>
          <cell r="U180">
            <v>162</v>
          </cell>
          <cell r="V180">
            <v>0</v>
          </cell>
          <cell r="Y180">
            <v>162</v>
          </cell>
          <cell r="Z180">
            <v>0</v>
          </cell>
          <cell r="AC180">
            <v>162</v>
          </cell>
          <cell r="AD180">
            <v>0</v>
          </cell>
          <cell r="AG180">
            <v>162</v>
          </cell>
          <cell r="AH180">
            <v>0</v>
          </cell>
        </row>
        <row r="181">
          <cell r="B181" t="str">
            <v>Control Cable laying</v>
          </cell>
          <cell r="E181">
            <v>94</v>
          </cell>
          <cell r="F181">
            <v>94</v>
          </cell>
          <cell r="I181">
            <v>94</v>
          </cell>
          <cell r="J181">
            <v>0</v>
          </cell>
          <cell r="M181">
            <v>94</v>
          </cell>
          <cell r="N181">
            <v>0</v>
          </cell>
          <cell r="Q181">
            <v>94</v>
          </cell>
          <cell r="R181">
            <v>94</v>
          </cell>
          <cell r="U181">
            <v>94</v>
          </cell>
          <cell r="V181">
            <v>0</v>
          </cell>
          <cell r="Y181">
            <v>94</v>
          </cell>
          <cell r="Z181">
            <v>0</v>
          </cell>
          <cell r="AC181">
            <v>94</v>
          </cell>
          <cell r="AD181">
            <v>0</v>
          </cell>
          <cell r="AG181">
            <v>94</v>
          </cell>
          <cell r="AH181">
            <v>0</v>
          </cell>
        </row>
        <row r="182">
          <cell r="B182" t="str">
            <v>Control Cable laying</v>
          </cell>
          <cell r="E182">
            <v>176</v>
          </cell>
          <cell r="F182">
            <v>176</v>
          </cell>
          <cell r="I182">
            <v>176</v>
          </cell>
          <cell r="J182">
            <v>0</v>
          </cell>
          <cell r="M182">
            <v>176</v>
          </cell>
          <cell r="N182">
            <v>0</v>
          </cell>
          <cell r="Q182">
            <v>288</v>
          </cell>
          <cell r="R182">
            <v>288</v>
          </cell>
          <cell r="U182">
            <v>176</v>
          </cell>
          <cell r="V182">
            <v>0</v>
          </cell>
          <cell r="Y182">
            <v>176</v>
          </cell>
          <cell r="Z182">
            <v>0</v>
          </cell>
          <cell r="AC182">
            <v>176</v>
          </cell>
          <cell r="AD182">
            <v>0</v>
          </cell>
          <cell r="AG182">
            <v>176</v>
          </cell>
          <cell r="AH182">
            <v>0</v>
          </cell>
        </row>
        <row r="183">
          <cell r="B183" t="str">
            <v>Control Cable laying</v>
          </cell>
          <cell r="E183">
            <v>1140</v>
          </cell>
          <cell r="F183">
            <v>1140</v>
          </cell>
          <cell r="I183">
            <v>1168</v>
          </cell>
          <cell r="J183">
            <v>1168</v>
          </cell>
          <cell r="M183">
            <v>1192</v>
          </cell>
          <cell r="N183">
            <v>1192</v>
          </cell>
          <cell r="Q183">
            <v>1140</v>
          </cell>
          <cell r="R183">
            <v>1140</v>
          </cell>
          <cell r="U183">
            <v>1140</v>
          </cell>
          <cell r="V183">
            <v>0</v>
          </cell>
          <cell r="Y183">
            <v>1140</v>
          </cell>
          <cell r="Z183">
            <v>0</v>
          </cell>
          <cell r="AC183">
            <v>1140</v>
          </cell>
          <cell r="AD183">
            <v>0</v>
          </cell>
          <cell r="AG183">
            <v>1140</v>
          </cell>
          <cell r="AH183">
            <v>0</v>
          </cell>
        </row>
        <row r="184">
          <cell r="B184" t="str">
            <v>Control Cable laying</v>
          </cell>
          <cell r="E184">
            <v>570</v>
          </cell>
          <cell r="F184">
            <v>570</v>
          </cell>
          <cell r="I184">
            <v>570</v>
          </cell>
          <cell r="J184">
            <v>570</v>
          </cell>
          <cell r="M184">
            <v>594</v>
          </cell>
          <cell r="N184">
            <v>594</v>
          </cell>
          <cell r="Q184">
            <v>586</v>
          </cell>
          <cell r="R184">
            <v>586</v>
          </cell>
          <cell r="U184">
            <v>570</v>
          </cell>
          <cell r="V184">
            <v>0</v>
          </cell>
          <cell r="Y184">
            <v>570</v>
          </cell>
          <cell r="Z184">
            <v>0</v>
          </cell>
          <cell r="AC184">
            <v>570</v>
          </cell>
          <cell r="AD184">
            <v>0</v>
          </cell>
          <cell r="AG184">
            <v>570</v>
          </cell>
          <cell r="AH184">
            <v>0</v>
          </cell>
        </row>
        <row r="185">
          <cell r="B185" t="str">
            <v>Control Cable laying</v>
          </cell>
          <cell r="E185">
            <v>570</v>
          </cell>
          <cell r="F185">
            <v>570</v>
          </cell>
          <cell r="I185">
            <v>570</v>
          </cell>
          <cell r="J185">
            <v>570</v>
          </cell>
          <cell r="M185">
            <v>594</v>
          </cell>
          <cell r="N185">
            <v>594</v>
          </cell>
          <cell r="Q185">
            <v>572</v>
          </cell>
          <cell r="R185">
            <v>572</v>
          </cell>
          <cell r="U185">
            <v>570</v>
          </cell>
          <cell r="V185">
            <v>0</v>
          </cell>
          <cell r="Y185">
            <v>570</v>
          </cell>
          <cell r="Z185">
            <v>0</v>
          </cell>
          <cell r="AC185">
            <v>570</v>
          </cell>
          <cell r="AD185">
            <v>0</v>
          </cell>
          <cell r="AG185">
            <v>570</v>
          </cell>
          <cell r="AH185">
            <v>0</v>
          </cell>
        </row>
        <row r="186">
          <cell r="B186" t="str">
            <v>Control Cable laying</v>
          </cell>
          <cell r="E186">
            <v>672</v>
          </cell>
          <cell r="F186">
            <v>672</v>
          </cell>
          <cell r="I186">
            <v>672</v>
          </cell>
          <cell r="J186">
            <v>672</v>
          </cell>
          <cell r="M186">
            <v>672</v>
          </cell>
          <cell r="N186">
            <v>0</v>
          </cell>
          <cell r="Q186">
            <v>672</v>
          </cell>
          <cell r="R186">
            <v>672</v>
          </cell>
          <cell r="U186">
            <v>672</v>
          </cell>
          <cell r="V186">
            <v>0</v>
          </cell>
          <cell r="Y186">
            <v>672</v>
          </cell>
          <cell r="Z186">
            <v>0</v>
          </cell>
          <cell r="AC186">
            <v>672</v>
          </cell>
          <cell r="AD186">
            <v>0</v>
          </cell>
          <cell r="AG186">
            <v>672</v>
          </cell>
          <cell r="AH186">
            <v>0</v>
          </cell>
        </row>
        <row r="187">
          <cell r="B187" t="str">
            <v>Control Cable laying</v>
          </cell>
          <cell r="E187">
            <v>336</v>
          </cell>
          <cell r="F187">
            <v>336</v>
          </cell>
          <cell r="I187">
            <v>336</v>
          </cell>
          <cell r="J187">
            <v>336</v>
          </cell>
          <cell r="M187">
            <v>336</v>
          </cell>
          <cell r="N187">
            <v>0</v>
          </cell>
          <cell r="Q187">
            <v>336</v>
          </cell>
          <cell r="R187">
            <v>336</v>
          </cell>
          <cell r="U187">
            <v>336</v>
          </cell>
          <cell r="V187">
            <v>0</v>
          </cell>
          <cell r="Y187">
            <v>336</v>
          </cell>
          <cell r="Z187">
            <v>0</v>
          </cell>
          <cell r="AC187">
            <v>336</v>
          </cell>
          <cell r="AD187">
            <v>0</v>
          </cell>
          <cell r="AG187">
            <v>336</v>
          </cell>
          <cell r="AH187">
            <v>0</v>
          </cell>
        </row>
        <row r="188">
          <cell r="B188" t="str">
            <v>Control Cable laying</v>
          </cell>
          <cell r="E188">
            <v>362</v>
          </cell>
          <cell r="F188">
            <v>362</v>
          </cell>
          <cell r="I188">
            <v>362</v>
          </cell>
          <cell r="J188">
            <v>362</v>
          </cell>
          <cell r="M188">
            <v>299</v>
          </cell>
          <cell r="N188">
            <v>0</v>
          </cell>
          <cell r="Q188">
            <v>362</v>
          </cell>
          <cell r="R188">
            <v>362</v>
          </cell>
          <cell r="U188">
            <v>299</v>
          </cell>
          <cell r="V188">
            <v>0</v>
          </cell>
          <cell r="Y188">
            <v>299</v>
          </cell>
          <cell r="Z188">
            <v>0</v>
          </cell>
          <cell r="AC188">
            <v>299</v>
          </cell>
          <cell r="AD188">
            <v>0</v>
          </cell>
          <cell r="AG188">
            <v>299</v>
          </cell>
          <cell r="AH188">
            <v>0</v>
          </cell>
        </row>
        <row r="189">
          <cell r="B189" t="str">
            <v>Control Cable laying</v>
          </cell>
          <cell r="E189">
            <v>100</v>
          </cell>
          <cell r="F189">
            <v>100</v>
          </cell>
          <cell r="I189">
            <v>100</v>
          </cell>
          <cell r="J189">
            <v>100</v>
          </cell>
          <cell r="M189">
            <v>70</v>
          </cell>
          <cell r="N189">
            <v>0</v>
          </cell>
          <cell r="Q189">
            <v>371</v>
          </cell>
          <cell r="R189">
            <v>371</v>
          </cell>
          <cell r="U189">
            <v>70</v>
          </cell>
          <cell r="V189">
            <v>0</v>
          </cell>
          <cell r="Y189">
            <v>70</v>
          </cell>
          <cell r="Z189">
            <v>0</v>
          </cell>
          <cell r="AC189">
            <v>70</v>
          </cell>
          <cell r="AD189">
            <v>0</v>
          </cell>
          <cell r="AG189">
            <v>70</v>
          </cell>
          <cell r="AH189">
            <v>0</v>
          </cell>
        </row>
        <row r="190">
          <cell r="B190" t="str">
            <v>Control Cable laying</v>
          </cell>
          <cell r="E190">
            <v>362</v>
          </cell>
          <cell r="F190">
            <v>362</v>
          </cell>
          <cell r="I190">
            <v>362</v>
          </cell>
          <cell r="J190">
            <v>362</v>
          </cell>
          <cell r="M190">
            <v>260</v>
          </cell>
          <cell r="N190">
            <v>0</v>
          </cell>
          <cell r="Q190">
            <v>362</v>
          </cell>
          <cell r="R190">
            <v>362</v>
          </cell>
          <cell r="U190">
            <v>260</v>
          </cell>
          <cell r="V190">
            <v>0</v>
          </cell>
          <cell r="Y190">
            <v>260</v>
          </cell>
          <cell r="Z190">
            <v>0</v>
          </cell>
          <cell r="AC190">
            <v>260</v>
          </cell>
          <cell r="AD190">
            <v>0</v>
          </cell>
          <cell r="AG190">
            <v>260</v>
          </cell>
          <cell r="AH190">
            <v>0</v>
          </cell>
        </row>
        <row r="191">
          <cell r="B191" t="str">
            <v>Control Cable laying</v>
          </cell>
          <cell r="E191">
            <v>120</v>
          </cell>
          <cell r="F191">
            <v>120</v>
          </cell>
          <cell r="I191">
            <v>120</v>
          </cell>
          <cell r="J191">
            <v>0</v>
          </cell>
          <cell r="M191">
            <v>120</v>
          </cell>
          <cell r="N191">
            <v>0</v>
          </cell>
          <cell r="Q191">
            <v>120</v>
          </cell>
          <cell r="R191">
            <v>120</v>
          </cell>
          <cell r="U191">
            <v>120</v>
          </cell>
          <cell r="V191">
            <v>0</v>
          </cell>
          <cell r="Y191">
            <v>120</v>
          </cell>
          <cell r="Z191">
            <v>0</v>
          </cell>
          <cell r="AC191">
            <v>120</v>
          </cell>
          <cell r="AD191">
            <v>0</v>
          </cell>
          <cell r="AG191">
            <v>120</v>
          </cell>
          <cell r="AH191">
            <v>0</v>
          </cell>
        </row>
        <row r="192">
          <cell r="B192" t="str">
            <v>Control Cable laying</v>
          </cell>
          <cell r="E192">
            <v>684</v>
          </cell>
          <cell r="F192">
            <v>684</v>
          </cell>
          <cell r="I192">
            <v>650</v>
          </cell>
          <cell r="J192">
            <v>650</v>
          </cell>
          <cell r="M192">
            <v>0</v>
          </cell>
          <cell r="N192">
            <v>0</v>
          </cell>
          <cell r="Q192">
            <v>505</v>
          </cell>
          <cell r="R192">
            <v>505</v>
          </cell>
          <cell r="U192">
            <v>0</v>
          </cell>
          <cell r="V192">
            <v>0</v>
          </cell>
          <cell r="Y192">
            <v>0</v>
          </cell>
          <cell r="Z192">
            <v>0</v>
          </cell>
          <cell r="AC192">
            <v>0</v>
          </cell>
          <cell r="AD192">
            <v>0</v>
          </cell>
          <cell r="AG192">
            <v>0</v>
          </cell>
          <cell r="AH192">
            <v>0</v>
          </cell>
        </row>
        <row r="193">
          <cell r="B193" t="str">
            <v>Control Cable laying</v>
          </cell>
          <cell r="E193">
            <v>650</v>
          </cell>
          <cell r="F193">
            <v>650</v>
          </cell>
          <cell r="I193">
            <v>650</v>
          </cell>
          <cell r="J193">
            <v>650</v>
          </cell>
          <cell r="M193">
            <v>689</v>
          </cell>
          <cell r="N193">
            <v>689</v>
          </cell>
          <cell r="Q193">
            <v>645</v>
          </cell>
          <cell r="R193">
            <v>645</v>
          </cell>
          <cell r="U193">
            <v>647</v>
          </cell>
          <cell r="V193">
            <v>0</v>
          </cell>
          <cell r="Y193">
            <v>647</v>
          </cell>
          <cell r="Z193">
            <v>0</v>
          </cell>
          <cell r="AC193">
            <v>647</v>
          </cell>
          <cell r="AD193">
            <v>0</v>
          </cell>
          <cell r="AG193">
            <v>647</v>
          </cell>
          <cell r="AH193">
            <v>0</v>
          </cell>
        </row>
        <row r="194">
          <cell r="B194" t="str">
            <v>Control Cable laying</v>
          </cell>
          <cell r="E194">
            <v>20</v>
          </cell>
          <cell r="F194">
            <v>0</v>
          </cell>
          <cell r="I194">
            <v>20</v>
          </cell>
          <cell r="J194">
            <v>0</v>
          </cell>
          <cell r="M194">
            <v>20</v>
          </cell>
          <cell r="N194">
            <v>0</v>
          </cell>
          <cell r="Q194">
            <v>20</v>
          </cell>
          <cell r="R194">
            <v>0</v>
          </cell>
          <cell r="U194">
            <v>20</v>
          </cell>
          <cell r="V194">
            <v>0</v>
          </cell>
          <cell r="Y194">
            <v>20</v>
          </cell>
          <cell r="Z194">
            <v>0</v>
          </cell>
          <cell r="AC194">
            <v>20</v>
          </cell>
          <cell r="AD194">
            <v>0</v>
          </cell>
          <cell r="AG194">
            <v>20</v>
          </cell>
          <cell r="AH194">
            <v>0</v>
          </cell>
        </row>
        <row r="195">
          <cell r="B195" t="str">
            <v>Control Cable laying</v>
          </cell>
          <cell r="E195">
            <v>1062</v>
          </cell>
          <cell r="F195">
            <v>1062</v>
          </cell>
          <cell r="I195">
            <v>1063</v>
          </cell>
          <cell r="J195">
            <v>1063</v>
          </cell>
          <cell r="M195">
            <v>1062</v>
          </cell>
          <cell r="N195">
            <v>1062</v>
          </cell>
          <cell r="Q195">
            <v>1062</v>
          </cell>
          <cell r="R195">
            <v>1062</v>
          </cell>
          <cell r="U195">
            <v>1062</v>
          </cell>
          <cell r="V195">
            <v>1062</v>
          </cell>
          <cell r="Y195">
            <v>1012</v>
          </cell>
          <cell r="Z195">
            <v>0</v>
          </cell>
          <cell r="AC195">
            <v>1012</v>
          </cell>
          <cell r="AD195">
            <v>0</v>
          </cell>
          <cell r="AG195">
            <v>1012</v>
          </cell>
          <cell r="AH195">
            <v>0</v>
          </cell>
        </row>
        <row r="196">
          <cell r="B196" t="str">
            <v>Control Cable termination</v>
          </cell>
          <cell r="E196">
            <v>12</v>
          </cell>
          <cell r="F196">
            <v>12</v>
          </cell>
          <cell r="I196">
            <v>12</v>
          </cell>
          <cell r="J196">
            <v>12</v>
          </cell>
          <cell r="M196">
            <v>12</v>
          </cell>
          <cell r="N196">
            <v>0</v>
          </cell>
          <cell r="Q196">
            <v>12</v>
          </cell>
          <cell r="R196">
            <v>12</v>
          </cell>
          <cell r="U196">
            <v>12</v>
          </cell>
          <cell r="V196">
            <v>0</v>
          </cell>
          <cell r="Y196">
            <v>12</v>
          </cell>
          <cell r="Z196">
            <v>0</v>
          </cell>
          <cell r="AC196">
            <v>12</v>
          </cell>
          <cell r="AD196">
            <v>0</v>
          </cell>
          <cell r="AG196">
            <v>12</v>
          </cell>
          <cell r="AH196">
            <v>0</v>
          </cell>
        </row>
        <row r="197">
          <cell r="B197" t="str">
            <v>Control Cable termination</v>
          </cell>
          <cell r="E197">
            <v>20</v>
          </cell>
          <cell r="F197">
            <v>20</v>
          </cell>
          <cell r="I197">
            <v>20</v>
          </cell>
          <cell r="J197">
            <v>0</v>
          </cell>
          <cell r="M197">
            <v>20</v>
          </cell>
          <cell r="N197">
            <v>0</v>
          </cell>
          <cell r="Q197">
            <v>20</v>
          </cell>
          <cell r="R197">
            <v>20</v>
          </cell>
          <cell r="U197">
            <v>20</v>
          </cell>
          <cell r="V197">
            <v>0</v>
          </cell>
          <cell r="Y197">
            <v>20</v>
          </cell>
          <cell r="Z197">
            <v>0</v>
          </cell>
          <cell r="AC197">
            <v>20</v>
          </cell>
          <cell r="AD197">
            <v>0</v>
          </cell>
          <cell r="AG197">
            <v>20</v>
          </cell>
          <cell r="AH197">
            <v>0</v>
          </cell>
        </row>
        <row r="198">
          <cell r="B198" t="str">
            <v>Control Cable termination</v>
          </cell>
          <cell r="E198">
            <v>30</v>
          </cell>
          <cell r="F198">
            <v>30</v>
          </cell>
          <cell r="I198">
            <v>30</v>
          </cell>
          <cell r="J198">
            <v>30</v>
          </cell>
          <cell r="M198">
            <v>30</v>
          </cell>
          <cell r="N198">
            <v>0</v>
          </cell>
          <cell r="Q198">
            <v>30</v>
          </cell>
          <cell r="R198">
            <v>30</v>
          </cell>
          <cell r="U198">
            <v>30</v>
          </cell>
          <cell r="V198">
            <v>0</v>
          </cell>
          <cell r="Y198">
            <v>30</v>
          </cell>
          <cell r="Z198">
            <v>0</v>
          </cell>
          <cell r="AC198">
            <v>30</v>
          </cell>
          <cell r="AD198">
            <v>0</v>
          </cell>
          <cell r="AG198">
            <v>30</v>
          </cell>
          <cell r="AH198">
            <v>0</v>
          </cell>
        </row>
        <row r="199">
          <cell r="B199" t="str">
            <v>Control Cable termination</v>
          </cell>
          <cell r="E199">
            <v>30</v>
          </cell>
          <cell r="F199">
            <v>30</v>
          </cell>
          <cell r="I199">
            <v>30</v>
          </cell>
          <cell r="J199">
            <v>0</v>
          </cell>
          <cell r="M199">
            <v>30</v>
          </cell>
          <cell r="N199">
            <v>0</v>
          </cell>
          <cell r="Q199">
            <v>30</v>
          </cell>
          <cell r="R199">
            <v>30</v>
          </cell>
          <cell r="U199">
            <v>30</v>
          </cell>
          <cell r="V199">
            <v>0</v>
          </cell>
          <cell r="Y199">
            <v>30</v>
          </cell>
          <cell r="Z199">
            <v>0</v>
          </cell>
          <cell r="AC199">
            <v>30</v>
          </cell>
          <cell r="AD199">
            <v>0</v>
          </cell>
          <cell r="AG199">
            <v>30</v>
          </cell>
          <cell r="AH199">
            <v>0</v>
          </cell>
        </row>
        <row r="200">
          <cell r="B200" t="str">
            <v>Control Cable termination</v>
          </cell>
          <cell r="E200">
            <v>12</v>
          </cell>
          <cell r="F200">
            <v>12</v>
          </cell>
          <cell r="I200">
            <v>12</v>
          </cell>
          <cell r="J200">
            <v>12</v>
          </cell>
          <cell r="M200">
            <v>12</v>
          </cell>
          <cell r="N200">
            <v>0</v>
          </cell>
          <cell r="Q200">
            <v>12</v>
          </cell>
          <cell r="R200">
            <v>12</v>
          </cell>
          <cell r="U200">
            <v>12</v>
          </cell>
          <cell r="V200">
            <v>0</v>
          </cell>
          <cell r="Y200">
            <v>12</v>
          </cell>
          <cell r="Z200">
            <v>0</v>
          </cell>
          <cell r="AC200">
            <v>12</v>
          </cell>
          <cell r="AD200">
            <v>0</v>
          </cell>
          <cell r="AG200">
            <v>12</v>
          </cell>
          <cell r="AH200">
            <v>0</v>
          </cell>
        </row>
        <row r="201">
          <cell r="B201" t="str">
            <v>Control Cable termination</v>
          </cell>
          <cell r="E201">
            <v>62</v>
          </cell>
          <cell r="F201">
            <v>62</v>
          </cell>
          <cell r="I201">
            <v>62</v>
          </cell>
          <cell r="J201">
            <v>0</v>
          </cell>
          <cell r="M201">
            <v>62</v>
          </cell>
          <cell r="N201">
            <v>0</v>
          </cell>
          <cell r="Q201">
            <v>62</v>
          </cell>
          <cell r="R201">
            <v>62</v>
          </cell>
          <cell r="U201">
            <v>62</v>
          </cell>
          <cell r="V201">
            <v>0</v>
          </cell>
          <cell r="Y201">
            <v>62</v>
          </cell>
          <cell r="Z201">
            <v>0</v>
          </cell>
          <cell r="AC201">
            <v>62</v>
          </cell>
          <cell r="AD201">
            <v>0</v>
          </cell>
          <cell r="AG201">
            <v>62</v>
          </cell>
          <cell r="AH201">
            <v>0</v>
          </cell>
        </row>
        <row r="202">
          <cell r="B202" t="str">
            <v>Control Cable termination</v>
          </cell>
          <cell r="E202">
            <v>12</v>
          </cell>
          <cell r="F202">
            <v>12</v>
          </cell>
          <cell r="I202">
            <v>12</v>
          </cell>
          <cell r="J202">
            <v>0</v>
          </cell>
          <cell r="M202">
            <v>12</v>
          </cell>
          <cell r="N202">
            <v>0</v>
          </cell>
          <cell r="Q202">
            <v>12</v>
          </cell>
          <cell r="R202">
            <v>12</v>
          </cell>
          <cell r="U202">
            <v>12</v>
          </cell>
          <cell r="V202">
            <v>0</v>
          </cell>
          <cell r="Y202">
            <v>12</v>
          </cell>
          <cell r="Z202">
            <v>0</v>
          </cell>
          <cell r="AC202">
            <v>12</v>
          </cell>
          <cell r="AD202">
            <v>0</v>
          </cell>
          <cell r="AG202">
            <v>12</v>
          </cell>
          <cell r="AH202">
            <v>0</v>
          </cell>
        </row>
        <row r="203">
          <cell r="B203" t="str">
            <v>Control Cable termination</v>
          </cell>
          <cell r="E203">
            <v>6</v>
          </cell>
          <cell r="F203">
            <v>6</v>
          </cell>
          <cell r="I203">
            <v>6</v>
          </cell>
          <cell r="J203">
            <v>0</v>
          </cell>
          <cell r="M203">
            <v>6</v>
          </cell>
          <cell r="N203">
            <v>0</v>
          </cell>
          <cell r="Q203">
            <v>6</v>
          </cell>
          <cell r="R203">
            <v>6</v>
          </cell>
          <cell r="U203">
            <v>6</v>
          </cell>
          <cell r="V203">
            <v>0</v>
          </cell>
          <cell r="Y203">
            <v>6</v>
          </cell>
          <cell r="Z203">
            <v>0</v>
          </cell>
          <cell r="AC203">
            <v>6</v>
          </cell>
          <cell r="AD203">
            <v>0</v>
          </cell>
          <cell r="AG203">
            <v>6</v>
          </cell>
          <cell r="AH203">
            <v>0</v>
          </cell>
        </row>
        <row r="204">
          <cell r="B204" t="str">
            <v>Control Cable termination</v>
          </cell>
          <cell r="E204">
            <v>6</v>
          </cell>
          <cell r="F204">
            <v>6</v>
          </cell>
          <cell r="I204">
            <v>6</v>
          </cell>
          <cell r="J204">
            <v>0</v>
          </cell>
          <cell r="M204">
            <v>6</v>
          </cell>
          <cell r="N204">
            <v>0</v>
          </cell>
          <cell r="Q204">
            <v>6</v>
          </cell>
          <cell r="R204">
            <v>6</v>
          </cell>
          <cell r="U204">
            <v>6</v>
          </cell>
          <cell r="V204">
            <v>0</v>
          </cell>
          <cell r="Y204">
            <v>6</v>
          </cell>
          <cell r="Z204">
            <v>0</v>
          </cell>
          <cell r="AC204">
            <v>6</v>
          </cell>
          <cell r="AD204">
            <v>0</v>
          </cell>
          <cell r="AG204">
            <v>6</v>
          </cell>
          <cell r="AH204">
            <v>0</v>
          </cell>
        </row>
        <row r="205">
          <cell r="B205" t="str">
            <v>Control Cable termination</v>
          </cell>
          <cell r="E205">
            <v>40</v>
          </cell>
          <cell r="F205">
            <v>40</v>
          </cell>
          <cell r="I205">
            <v>40</v>
          </cell>
          <cell r="J205">
            <v>0</v>
          </cell>
          <cell r="M205">
            <v>40</v>
          </cell>
          <cell r="N205">
            <v>0</v>
          </cell>
          <cell r="Q205">
            <v>40</v>
          </cell>
          <cell r="R205">
            <v>40</v>
          </cell>
          <cell r="U205">
            <v>40</v>
          </cell>
          <cell r="V205">
            <v>0</v>
          </cell>
          <cell r="Y205">
            <v>40</v>
          </cell>
          <cell r="Z205">
            <v>0</v>
          </cell>
          <cell r="AC205">
            <v>40</v>
          </cell>
          <cell r="AD205">
            <v>0</v>
          </cell>
          <cell r="AG205">
            <v>40</v>
          </cell>
          <cell r="AH205">
            <v>0</v>
          </cell>
        </row>
        <row r="206">
          <cell r="B206" t="str">
            <v>Control Cable termination</v>
          </cell>
          <cell r="E206">
            <v>2</v>
          </cell>
          <cell r="F206">
            <v>2</v>
          </cell>
          <cell r="I206">
            <v>2</v>
          </cell>
          <cell r="J206">
            <v>0</v>
          </cell>
          <cell r="M206">
            <v>2</v>
          </cell>
          <cell r="N206">
            <v>0</v>
          </cell>
          <cell r="Q206">
            <v>2</v>
          </cell>
          <cell r="R206">
            <v>2</v>
          </cell>
          <cell r="U206">
            <v>2</v>
          </cell>
          <cell r="V206">
            <v>0</v>
          </cell>
          <cell r="Y206">
            <v>2</v>
          </cell>
          <cell r="Z206">
            <v>0</v>
          </cell>
          <cell r="AC206">
            <v>2</v>
          </cell>
          <cell r="AD206">
            <v>0</v>
          </cell>
          <cell r="AG206">
            <v>2</v>
          </cell>
          <cell r="AH206">
            <v>0</v>
          </cell>
        </row>
        <row r="207">
          <cell r="B207" t="str">
            <v>Control Cable termination</v>
          </cell>
          <cell r="E207">
            <v>13</v>
          </cell>
          <cell r="F207">
            <v>13</v>
          </cell>
          <cell r="I207">
            <v>13</v>
          </cell>
          <cell r="J207">
            <v>0</v>
          </cell>
          <cell r="M207">
            <v>13</v>
          </cell>
          <cell r="N207">
            <v>0</v>
          </cell>
          <cell r="Q207">
            <v>13</v>
          </cell>
          <cell r="R207">
            <v>13</v>
          </cell>
          <cell r="U207">
            <v>13</v>
          </cell>
          <cell r="V207">
            <v>0</v>
          </cell>
          <cell r="Y207">
            <v>13</v>
          </cell>
          <cell r="Z207">
            <v>0</v>
          </cell>
          <cell r="AC207">
            <v>13</v>
          </cell>
          <cell r="AD207">
            <v>0</v>
          </cell>
          <cell r="AG207">
            <v>13</v>
          </cell>
          <cell r="AH207">
            <v>0</v>
          </cell>
        </row>
        <row r="208">
          <cell r="B208" t="str">
            <v>Control Cable termination</v>
          </cell>
          <cell r="E208">
            <v>9</v>
          </cell>
          <cell r="F208">
            <v>9</v>
          </cell>
          <cell r="I208">
            <v>9</v>
          </cell>
          <cell r="J208">
            <v>0</v>
          </cell>
          <cell r="M208">
            <v>9</v>
          </cell>
          <cell r="N208">
            <v>0</v>
          </cell>
          <cell r="Q208">
            <v>9</v>
          </cell>
          <cell r="R208">
            <v>9</v>
          </cell>
          <cell r="U208">
            <v>9</v>
          </cell>
          <cell r="V208">
            <v>0</v>
          </cell>
          <cell r="Y208">
            <v>9</v>
          </cell>
          <cell r="Z208">
            <v>0</v>
          </cell>
          <cell r="AC208">
            <v>9</v>
          </cell>
          <cell r="AD208">
            <v>0</v>
          </cell>
          <cell r="AG208">
            <v>9</v>
          </cell>
          <cell r="AH208">
            <v>0</v>
          </cell>
        </row>
        <row r="209">
          <cell r="B209" t="str">
            <v>Control Cable termination</v>
          </cell>
          <cell r="E209">
            <v>12</v>
          </cell>
          <cell r="F209">
            <v>12</v>
          </cell>
          <cell r="I209">
            <v>12</v>
          </cell>
          <cell r="J209">
            <v>12</v>
          </cell>
          <cell r="M209">
            <v>12</v>
          </cell>
          <cell r="N209">
            <v>0</v>
          </cell>
          <cell r="Q209">
            <v>12</v>
          </cell>
          <cell r="R209">
            <v>12</v>
          </cell>
          <cell r="U209">
            <v>12</v>
          </cell>
          <cell r="V209">
            <v>0</v>
          </cell>
          <cell r="Y209">
            <v>12</v>
          </cell>
          <cell r="Z209">
            <v>0</v>
          </cell>
          <cell r="AC209">
            <v>12</v>
          </cell>
          <cell r="AD209">
            <v>0</v>
          </cell>
          <cell r="AG209">
            <v>12</v>
          </cell>
          <cell r="AH209">
            <v>0</v>
          </cell>
        </row>
        <row r="210">
          <cell r="B210" t="str">
            <v>Control Cable termination</v>
          </cell>
          <cell r="E210">
            <v>12</v>
          </cell>
          <cell r="F210">
            <v>12</v>
          </cell>
          <cell r="I210">
            <v>12</v>
          </cell>
          <cell r="J210">
            <v>0</v>
          </cell>
          <cell r="M210">
            <v>12</v>
          </cell>
          <cell r="N210">
            <v>0</v>
          </cell>
          <cell r="Q210">
            <v>12</v>
          </cell>
          <cell r="R210">
            <v>12</v>
          </cell>
          <cell r="U210">
            <v>12</v>
          </cell>
          <cell r="V210">
            <v>0</v>
          </cell>
          <cell r="Y210">
            <v>12</v>
          </cell>
          <cell r="Z210">
            <v>0</v>
          </cell>
          <cell r="AC210">
            <v>12</v>
          </cell>
          <cell r="AD210">
            <v>0</v>
          </cell>
          <cell r="AG210">
            <v>12</v>
          </cell>
          <cell r="AH210">
            <v>0</v>
          </cell>
        </row>
        <row r="211">
          <cell r="B211" t="str">
            <v>Control Cable termination</v>
          </cell>
          <cell r="E211">
            <v>6</v>
          </cell>
          <cell r="F211">
            <v>6</v>
          </cell>
          <cell r="I211">
            <v>6</v>
          </cell>
          <cell r="J211">
            <v>6</v>
          </cell>
          <cell r="M211">
            <v>6</v>
          </cell>
          <cell r="N211">
            <v>0</v>
          </cell>
          <cell r="Q211">
            <v>6</v>
          </cell>
          <cell r="R211">
            <v>6</v>
          </cell>
          <cell r="U211">
            <v>6</v>
          </cell>
          <cell r="V211">
            <v>0</v>
          </cell>
          <cell r="Y211">
            <v>6</v>
          </cell>
          <cell r="Z211">
            <v>0</v>
          </cell>
          <cell r="AC211">
            <v>6</v>
          </cell>
          <cell r="AD211">
            <v>0</v>
          </cell>
          <cell r="AG211">
            <v>6</v>
          </cell>
          <cell r="AH211">
            <v>0</v>
          </cell>
        </row>
        <row r="212">
          <cell r="B212" t="str">
            <v>Control Cable termination</v>
          </cell>
          <cell r="E212">
            <v>43</v>
          </cell>
          <cell r="F212">
            <v>37</v>
          </cell>
          <cell r="I212">
            <v>43</v>
          </cell>
          <cell r="J212">
            <v>0</v>
          </cell>
          <cell r="M212">
            <v>49</v>
          </cell>
          <cell r="N212">
            <v>0</v>
          </cell>
          <cell r="Q212">
            <v>45</v>
          </cell>
          <cell r="R212">
            <v>45</v>
          </cell>
          <cell r="U212">
            <v>49</v>
          </cell>
          <cell r="V212">
            <v>0</v>
          </cell>
          <cell r="Y212">
            <v>49</v>
          </cell>
          <cell r="Z212">
            <v>0</v>
          </cell>
          <cell r="AC212">
            <v>49</v>
          </cell>
          <cell r="AD212">
            <v>0</v>
          </cell>
          <cell r="AG212">
            <v>49</v>
          </cell>
          <cell r="AH212">
            <v>0</v>
          </cell>
        </row>
        <row r="213">
          <cell r="B213" t="str">
            <v>Control Cable termination</v>
          </cell>
          <cell r="E213">
            <v>6</v>
          </cell>
          <cell r="F213">
            <v>6</v>
          </cell>
          <cell r="I213">
            <v>6</v>
          </cell>
          <cell r="J213">
            <v>6</v>
          </cell>
          <cell r="M213">
            <v>6</v>
          </cell>
          <cell r="N213">
            <v>0</v>
          </cell>
          <cell r="Q213">
            <v>6</v>
          </cell>
          <cell r="R213">
            <v>6</v>
          </cell>
          <cell r="U213">
            <v>6</v>
          </cell>
          <cell r="V213">
            <v>0</v>
          </cell>
          <cell r="Y213">
            <v>6</v>
          </cell>
          <cell r="Z213">
            <v>0</v>
          </cell>
          <cell r="AC213">
            <v>6</v>
          </cell>
          <cell r="AD213">
            <v>0</v>
          </cell>
          <cell r="AG213">
            <v>6</v>
          </cell>
          <cell r="AH213">
            <v>0</v>
          </cell>
        </row>
        <row r="214">
          <cell r="B214" t="str">
            <v>Control Cable termination</v>
          </cell>
          <cell r="E214">
            <v>20</v>
          </cell>
          <cell r="F214">
            <v>20</v>
          </cell>
          <cell r="I214">
            <v>20</v>
          </cell>
          <cell r="J214">
            <v>0</v>
          </cell>
          <cell r="M214">
            <v>14</v>
          </cell>
          <cell r="N214">
            <v>0</v>
          </cell>
          <cell r="Q214">
            <v>20</v>
          </cell>
          <cell r="R214">
            <v>20</v>
          </cell>
          <cell r="U214">
            <v>14</v>
          </cell>
          <cell r="V214">
            <v>0</v>
          </cell>
          <cell r="Y214">
            <v>14</v>
          </cell>
          <cell r="Z214">
            <v>0</v>
          </cell>
          <cell r="AC214">
            <v>14</v>
          </cell>
          <cell r="AD214">
            <v>0</v>
          </cell>
          <cell r="AG214">
            <v>14</v>
          </cell>
          <cell r="AH214">
            <v>0</v>
          </cell>
        </row>
        <row r="215">
          <cell r="B215" t="str">
            <v>Control Cable termination</v>
          </cell>
          <cell r="E215">
            <v>22</v>
          </cell>
          <cell r="F215">
            <v>22</v>
          </cell>
          <cell r="I215">
            <v>22</v>
          </cell>
          <cell r="J215">
            <v>0</v>
          </cell>
          <cell r="M215">
            <v>22</v>
          </cell>
          <cell r="N215">
            <v>0</v>
          </cell>
          <cell r="Q215">
            <v>24</v>
          </cell>
          <cell r="R215">
            <v>24</v>
          </cell>
          <cell r="U215">
            <v>22</v>
          </cell>
          <cell r="V215">
            <v>0</v>
          </cell>
          <cell r="Y215">
            <v>22</v>
          </cell>
          <cell r="Z215">
            <v>0</v>
          </cell>
          <cell r="AC215">
            <v>22</v>
          </cell>
          <cell r="AD215">
            <v>0</v>
          </cell>
          <cell r="AG215">
            <v>22</v>
          </cell>
          <cell r="AH215">
            <v>0</v>
          </cell>
        </row>
        <row r="216">
          <cell r="B216" t="str">
            <v>Control Cable termination</v>
          </cell>
          <cell r="E216">
            <v>10</v>
          </cell>
          <cell r="F216">
            <v>10</v>
          </cell>
          <cell r="I216">
            <v>10</v>
          </cell>
          <cell r="J216">
            <v>0</v>
          </cell>
          <cell r="M216">
            <v>10</v>
          </cell>
          <cell r="N216">
            <v>0</v>
          </cell>
          <cell r="Q216">
            <v>10</v>
          </cell>
          <cell r="R216">
            <v>10</v>
          </cell>
          <cell r="U216">
            <v>10</v>
          </cell>
          <cell r="V216">
            <v>0</v>
          </cell>
          <cell r="Y216">
            <v>10</v>
          </cell>
          <cell r="Z216">
            <v>0</v>
          </cell>
          <cell r="AC216">
            <v>10</v>
          </cell>
          <cell r="AD216">
            <v>0</v>
          </cell>
          <cell r="AG216">
            <v>10</v>
          </cell>
          <cell r="AH216">
            <v>0</v>
          </cell>
        </row>
        <row r="217">
          <cell r="B217" t="str">
            <v>Control Cable termination</v>
          </cell>
          <cell r="E217">
            <v>10</v>
          </cell>
          <cell r="F217">
            <v>10</v>
          </cell>
          <cell r="I217">
            <v>19</v>
          </cell>
          <cell r="J217">
            <v>0</v>
          </cell>
          <cell r="M217">
            <v>19</v>
          </cell>
          <cell r="N217">
            <v>0</v>
          </cell>
          <cell r="Q217">
            <v>10</v>
          </cell>
          <cell r="R217">
            <v>10</v>
          </cell>
          <cell r="U217">
            <v>19</v>
          </cell>
          <cell r="V217">
            <v>0</v>
          </cell>
          <cell r="Y217">
            <v>19</v>
          </cell>
          <cell r="Z217">
            <v>0</v>
          </cell>
          <cell r="AC217">
            <v>19</v>
          </cell>
          <cell r="AD217">
            <v>0</v>
          </cell>
          <cell r="AG217">
            <v>19</v>
          </cell>
          <cell r="AH217">
            <v>0</v>
          </cell>
        </row>
        <row r="218">
          <cell r="B218" t="str">
            <v>Control Cable termination</v>
          </cell>
          <cell r="E218">
            <v>9</v>
          </cell>
          <cell r="F218">
            <v>9</v>
          </cell>
          <cell r="I218">
            <v>9</v>
          </cell>
          <cell r="J218">
            <v>0</v>
          </cell>
          <cell r="M218">
            <v>9</v>
          </cell>
          <cell r="N218">
            <v>0</v>
          </cell>
          <cell r="Q218">
            <v>9</v>
          </cell>
          <cell r="R218">
            <v>9</v>
          </cell>
          <cell r="U218">
            <v>9</v>
          </cell>
          <cell r="V218">
            <v>0</v>
          </cell>
          <cell r="Y218">
            <v>9</v>
          </cell>
          <cell r="Z218">
            <v>0</v>
          </cell>
          <cell r="AC218">
            <v>9</v>
          </cell>
          <cell r="AD218">
            <v>0</v>
          </cell>
          <cell r="AG218">
            <v>9</v>
          </cell>
          <cell r="AH218">
            <v>0</v>
          </cell>
        </row>
        <row r="219">
          <cell r="B219" t="str">
            <v>Control Cable termination</v>
          </cell>
          <cell r="E219">
            <v>2</v>
          </cell>
          <cell r="F219">
            <v>2</v>
          </cell>
          <cell r="I219">
            <v>2</v>
          </cell>
          <cell r="J219">
            <v>0</v>
          </cell>
          <cell r="M219">
            <v>2</v>
          </cell>
          <cell r="N219">
            <v>0</v>
          </cell>
          <cell r="Q219">
            <v>2</v>
          </cell>
          <cell r="R219">
            <v>2</v>
          </cell>
          <cell r="U219">
            <v>2</v>
          </cell>
          <cell r="V219">
            <v>0</v>
          </cell>
          <cell r="Y219">
            <v>2</v>
          </cell>
          <cell r="Z219">
            <v>0</v>
          </cell>
          <cell r="AC219">
            <v>2</v>
          </cell>
          <cell r="AD219">
            <v>0</v>
          </cell>
          <cell r="AG219">
            <v>2</v>
          </cell>
          <cell r="AH219">
            <v>0</v>
          </cell>
        </row>
        <row r="220">
          <cell r="B220" t="str">
            <v>Control Cable termination</v>
          </cell>
          <cell r="E220">
            <v>0</v>
          </cell>
          <cell r="F220">
            <v>0</v>
          </cell>
          <cell r="I220">
            <v>9</v>
          </cell>
          <cell r="J220">
            <v>0</v>
          </cell>
          <cell r="M220">
            <v>9</v>
          </cell>
          <cell r="N220">
            <v>0</v>
          </cell>
          <cell r="Q220">
            <v>0</v>
          </cell>
          <cell r="R220">
            <v>0</v>
          </cell>
          <cell r="U220">
            <v>9</v>
          </cell>
          <cell r="V220">
            <v>0</v>
          </cell>
          <cell r="Y220">
            <v>9</v>
          </cell>
          <cell r="Z220">
            <v>0</v>
          </cell>
          <cell r="AC220">
            <v>9</v>
          </cell>
          <cell r="AD220">
            <v>0</v>
          </cell>
          <cell r="AG220">
            <v>9</v>
          </cell>
          <cell r="AH220">
            <v>0</v>
          </cell>
        </row>
        <row r="221">
          <cell r="B221" t="str">
            <v>Control Cable termination</v>
          </cell>
          <cell r="E221">
            <v>6</v>
          </cell>
          <cell r="F221">
            <v>0</v>
          </cell>
          <cell r="I221">
            <v>6</v>
          </cell>
          <cell r="J221">
            <v>0</v>
          </cell>
          <cell r="M221">
            <v>6</v>
          </cell>
          <cell r="N221">
            <v>0</v>
          </cell>
          <cell r="Q221">
            <v>6</v>
          </cell>
          <cell r="R221">
            <v>6</v>
          </cell>
          <cell r="U221">
            <v>6</v>
          </cell>
          <cell r="V221">
            <v>0</v>
          </cell>
          <cell r="Y221">
            <v>6</v>
          </cell>
          <cell r="Z221">
            <v>0</v>
          </cell>
          <cell r="AC221">
            <v>6</v>
          </cell>
          <cell r="AD221">
            <v>0</v>
          </cell>
          <cell r="AG221">
            <v>6</v>
          </cell>
          <cell r="AH221">
            <v>0</v>
          </cell>
        </row>
        <row r="222">
          <cell r="B222" t="str">
            <v>Control Cable termination</v>
          </cell>
          <cell r="E222">
            <v>0</v>
          </cell>
          <cell r="F222">
            <v>0</v>
          </cell>
          <cell r="I222">
            <v>0</v>
          </cell>
          <cell r="J222">
            <v>0</v>
          </cell>
          <cell r="M222">
            <v>6</v>
          </cell>
          <cell r="N222">
            <v>0</v>
          </cell>
          <cell r="Q222">
            <v>0</v>
          </cell>
          <cell r="R222">
            <v>0</v>
          </cell>
          <cell r="U222">
            <v>6</v>
          </cell>
          <cell r="V222">
            <v>0</v>
          </cell>
          <cell r="Y222">
            <v>6</v>
          </cell>
          <cell r="Z222">
            <v>0</v>
          </cell>
          <cell r="AC222">
            <v>6</v>
          </cell>
          <cell r="AD222">
            <v>0</v>
          </cell>
          <cell r="AG222">
            <v>6</v>
          </cell>
          <cell r="AH222">
            <v>0</v>
          </cell>
        </row>
        <row r="223">
          <cell r="B223" t="str">
            <v>Control Cable termination</v>
          </cell>
          <cell r="E223">
            <v>6</v>
          </cell>
          <cell r="F223">
            <v>6</v>
          </cell>
          <cell r="I223">
            <v>6</v>
          </cell>
          <cell r="J223">
            <v>0</v>
          </cell>
          <cell r="M223">
            <v>0</v>
          </cell>
          <cell r="N223">
            <v>0</v>
          </cell>
          <cell r="Q223">
            <v>6</v>
          </cell>
          <cell r="R223">
            <v>6</v>
          </cell>
          <cell r="U223">
            <v>0</v>
          </cell>
          <cell r="V223">
            <v>0</v>
          </cell>
          <cell r="Y223">
            <v>0</v>
          </cell>
          <cell r="Z223">
            <v>0</v>
          </cell>
          <cell r="AC223">
            <v>0</v>
          </cell>
          <cell r="AD223">
            <v>0</v>
          </cell>
          <cell r="AG223">
            <v>0</v>
          </cell>
          <cell r="AH223">
            <v>0</v>
          </cell>
        </row>
        <row r="224">
          <cell r="B224" t="str">
            <v>Control Cable termination</v>
          </cell>
          <cell r="E224">
            <v>6</v>
          </cell>
          <cell r="F224">
            <v>6</v>
          </cell>
          <cell r="I224">
            <v>6</v>
          </cell>
          <cell r="J224">
            <v>0</v>
          </cell>
          <cell r="M224">
            <v>6</v>
          </cell>
          <cell r="N224">
            <v>0</v>
          </cell>
          <cell r="Q224">
            <v>6</v>
          </cell>
          <cell r="R224">
            <v>6</v>
          </cell>
          <cell r="U224">
            <v>6</v>
          </cell>
          <cell r="V224">
            <v>0</v>
          </cell>
          <cell r="Y224">
            <v>6</v>
          </cell>
          <cell r="Z224">
            <v>0</v>
          </cell>
          <cell r="AC224">
            <v>6</v>
          </cell>
          <cell r="AD224">
            <v>0</v>
          </cell>
          <cell r="AG224">
            <v>6</v>
          </cell>
          <cell r="AH224">
            <v>0</v>
          </cell>
        </row>
        <row r="225">
          <cell r="B225" t="str">
            <v>Control Cable termination</v>
          </cell>
          <cell r="E225">
            <v>0</v>
          </cell>
          <cell r="F225">
            <v>0</v>
          </cell>
          <cell r="I225">
            <v>0</v>
          </cell>
          <cell r="J225">
            <v>0</v>
          </cell>
          <cell r="M225">
            <v>0</v>
          </cell>
          <cell r="N225">
            <v>0</v>
          </cell>
          <cell r="Q225">
            <v>0</v>
          </cell>
          <cell r="R225">
            <v>0</v>
          </cell>
          <cell r="U225">
            <v>0</v>
          </cell>
          <cell r="V225">
            <v>0</v>
          </cell>
          <cell r="Y225">
            <v>0</v>
          </cell>
          <cell r="Z225">
            <v>0</v>
          </cell>
          <cell r="AC225">
            <v>0</v>
          </cell>
          <cell r="AD225">
            <v>0</v>
          </cell>
          <cell r="AG225">
            <v>0</v>
          </cell>
          <cell r="AH225">
            <v>0</v>
          </cell>
        </row>
        <row r="226">
          <cell r="B226" t="str">
            <v>Control Cable termination</v>
          </cell>
          <cell r="E226">
            <v>48</v>
          </cell>
          <cell r="F226">
            <v>48</v>
          </cell>
          <cell r="I226">
            <v>48</v>
          </cell>
          <cell r="J226">
            <v>0</v>
          </cell>
          <cell r="M226">
            <v>48</v>
          </cell>
          <cell r="N226">
            <v>0</v>
          </cell>
          <cell r="Q226">
            <v>48</v>
          </cell>
          <cell r="R226">
            <v>48</v>
          </cell>
          <cell r="U226">
            <v>48</v>
          </cell>
          <cell r="V226">
            <v>0</v>
          </cell>
          <cell r="Y226">
            <v>48</v>
          </cell>
          <cell r="Z226">
            <v>0</v>
          </cell>
          <cell r="AC226">
            <v>48</v>
          </cell>
          <cell r="AD226">
            <v>0</v>
          </cell>
          <cell r="AG226">
            <v>48</v>
          </cell>
          <cell r="AH226">
            <v>0</v>
          </cell>
        </row>
        <row r="227">
          <cell r="B227" t="str">
            <v>Control Cable termination</v>
          </cell>
          <cell r="E227">
            <v>48</v>
          </cell>
          <cell r="F227">
            <v>48</v>
          </cell>
          <cell r="I227">
            <v>48</v>
          </cell>
          <cell r="J227">
            <v>0</v>
          </cell>
          <cell r="M227">
            <v>48</v>
          </cell>
          <cell r="N227">
            <v>0</v>
          </cell>
          <cell r="Q227">
            <v>48</v>
          </cell>
          <cell r="R227">
            <v>48</v>
          </cell>
          <cell r="U227">
            <v>48</v>
          </cell>
          <cell r="V227">
            <v>0</v>
          </cell>
          <cell r="Y227">
            <v>48</v>
          </cell>
          <cell r="Z227">
            <v>0</v>
          </cell>
          <cell r="AC227">
            <v>48</v>
          </cell>
          <cell r="AD227">
            <v>0</v>
          </cell>
          <cell r="AG227">
            <v>48</v>
          </cell>
          <cell r="AH227">
            <v>0</v>
          </cell>
        </row>
        <row r="228">
          <cell r="B228" t="str">
            <v>Communication Cable</v>
          </cell>
          <cell r="E228" t="str">
            <v>Scope</v>
          </cell>
          <cell r="F228" t="str">
            <v>Actual</v>
          </cell>
          <cell r="I228" t="str">
            <v>Scope</v>
          </cell>
          <cell r="J228" t="str">
            <v>Actual</v>
          </cell>
          <cell r="M228" t="str">
            <v>Scope</v>
          </cell>
          <cell r="N228" t="str">
            <v>Actual</v>
          </cell>
          <cell r="Q228" t="str">
            <v>Scope</v>
          </cell>
          <cell r="R228" t="str">
            <v>Actual</v>
          </cell>
          <cell r="U228" t="str">
            <v>Scope</v>
          </cell>
          <cell r="V228" t="str">
            <v>Actual</v>
          </cell>
          <cell r="Y228" t="str">
            <v>Scope</v>
          </cell>
          <cell r="Z228" t="str">
            <v>Actual</v>
          </cell>
          <cell r="AC228" t="str">
            <v>Scope</v>
          </cell>
          <cell r="AD228" t="str">
            <v>Actual</v>
          </cell>
          <cell r="AG228" t="str">
            <v>Scope</v>
          </cell>
          <cell r="AH228" t="str">
            <v>Actual</v>
          </cell>
        </row>
        <row r="229">
          <cell r="B229" t="str">
            <v>Communication Cable laying</v>
          </cell>
          <cell r="E229">
            <v>1332</v>
          </cell>
          <cell r="F229">
            <v>1332</v>
          </cell>
          <cell r="I229">
            <v>1332</v>
          </cell>
          <cell r="J229">
            <v>1332</v>
          </cell>
          <cell r="M229">
            <v>1012</v>
          </cell>
          <cell r="N229">
            <v>0</v>
          </cell>
          <cell r="Q229">
            <v>1332</v>
          </cell>
          <cell r="R229">
            <v>1332</v>
          </cell>
          <cell r="U229">
            <v>1012</v>
          </cell>
          <cell r="V229">
            <v>0</v>
          </cell>
          <cell r="Y229">
            <v>1012</v>
          </cell>
          <cell r="Z229">
            <v>0</v>
          </cell>
          <cell r="AC229">
            <v>1012</v>
          </cell>
          <cell r="AD229">
            <v>0</v>
          </cell>
          <cell r="AG229">
            <v>1012</v>
          </cell>
          <cell r="AH229">
            <v>0</v>
          </cell>
        </row>
        <row r="230">
          <cell r="B230" t="str">
            <v>Communication Cable laying</v>
          </cell>
          <cell r="E230">
            <v>982</v>
          </cell>
          <cell r="F230">
            <v>982</v>
          </cell>
          <cell r="I230">
            <v>982</v>
          </cell>
          <cell r="J230">
            <v>982</v>
          </cell>
          <cell r="M230">
            <v>982</v>
          </cell>
          <cell r="N230">
            <v>0</v>
          </cell>
          <cell r="Q230">
            <v>982</v>
          </cell>
          <cell r="R230">
            <v>982</v>
          </cell>
          <cell r="U230">
            <v>982</v>
          </cell>
          <cell r="V230">
            <v>0</v>
          </cell>
          <cell r="Y230">
            <v>982</v>
          </cell>
          <cell r="Z230">
            <v>0</v>
          </cell>
          <cell r="AC230">
            <v>982</v>
          </cell>
          <cell r="AD230">
            <v>0</v>
          </cell>
          <cell r="AG230">
            <v>982</v>
          </cell>
          <cell r="AH230">
            <v>0</v>
          </cell>
        </row>
        <row r="231">
          <cell r="B231" t="str">
            <v>Communication Cable laying</v>
          </cell>
          <cell r="E231">
            <v>1062</v>
          </cell>
          <cell r="F231">
            <v>1062</v>
          </cell>
          <cell r="I231">
            <v>1062</v>
          </cell>
          <cell r="J231">
            <v>1062</v>
          </cell>
          <cell r="M231">
            <v>1008</v>
          </cell>
          <cell r="N231">
            <v>0</v>
          </cell>
          <cell r="Q231">
            <v>1062</v>
          </cell>
          <cell r="R231">
            <v>1062</v>
          </cell>
          <cell r="U231">
            <v>1008</v>
          </cell>
          <cell r="V231">
            <v>0</v>
          </cell>
          <cell r="Y231">
            <v>1008</v>
          </cell>
          <cell r="Z231">
            <v>0</v>
          </cell>
          <cell r="AC231">
            <v>1008</v>
          </cell>
          <cell r="AD231">
            <v>0</v>
          </cell>
          <cell r="AG231">
            <v>1008</v>
          </cell>
          <cell r="AH231">
            <v>0</v>
          </cell>
        </row>
        <row r="232">
          <cell r="B232" t="str">
            <v>Communication Cable laying</v>
          </cell>
          <cell r="E232">
            <v>0</v>
          </cell>
          <cell r="F232">
            <v>0</v>
          </cell>
          <cell r="I232">
            <v>0</v>
          </cell>
          <cell r="J232">
            <v>0</v>
          </cell>
          <cell r="M232">
            <v>0</v>
          </cell>
          <cell r="N232">
            <v>0</v>
          </cell>
          <cell r="Q232">
            <v>0</v>
          </cell>
          <cell r="R232">
            <v>0</v>
          </cell>
          <cell r="U232">
            <v>0</v>
          </cell>
          <cell r="V232">
            <v>0</v>
          </cell>
          <cell r="Y232">
            <v>0</v>
          </cell>
          <cell r="Z232">
            <v>0</v>
          </cell>
          <cell r="AC232">
            <v>0</v>
          </cell>
          <cell r="AD232">
            <v>0</v>
          </cell>
          <cell r="AG232">
            <v>0</v>
          </cell>
          <cell r="AH232">
            <v>0</v>
          </cell>
        </row>
        <row r="233">
          <cell r="B233" t="str">
            <v>Communication Cable laying</v>
          </cell>
          <cell r="E233">
            <v>20</v>
          </cell>
          <cell r="F233">
            <v>20</v>
          </cell>
          <cell r="I233">
            <v>20</v>
          </cell>
          <cell r="J233">
            <v>0</v>
          </cell>
          <cell r="M233">
            <v>20</v>
          </cell>
          <cell r="N233">
            <v>0</v>
          </cell>
          <cell r="Q233">
            <v>20</v>
          </cell>
          <cell r="R233">
            <v>20</v>
          </cell>
          <cell r="U233">
            <v>20</v>
          </cell>
          <cell r="V233">
            <v>0</v>
          </cell>
          <cell r="Y233">
            <v>20</v>
          </cell>
          <cell r="Z233">
            <v>0</v>
          </cell>
          <cell r="AC233">
            <v>20</v>
          </cell>
          <cell r="AD233">
            <v>0</v>
          </cell>
          <cell r="AG233">
            <v>20</v>
          </cell>
          <cell r="AH233">
            <v>0</v>
          </cell>
        </row>
        <row r="234">
          <cell r="B234" t="str">
            <v>Communication Cable laying</v>
          </cell>
          <cell r="E234">
            <v>106</v>
          </cell>
          <cell r="F234">
            <v>106</v>
          </cell>
          <cell r="I234">
            <v>106</v>
          </cell>
          <cell r="J234">
            <v>106</v>
          </cell>
          <cell r="M234">
            <v>106</v>
          </cell>
          <cell r="N234">
            <v>0</v>
          </cell>
          <cell r="Q234">
            <v>100</v>
          </cell>
          <cell r="R234">
            <v>100</v>
          </cell>
          <cell r="U234">
            <v>106</v>
          </cell>
          <cell r="V234">
            <v>0</v>
          </cell>
          <cell r="Y234">
            <v>106</v>
          </cell>
          <cell r="Z234">
            <v>0</v>
          </cell>
          <cell r="AC234">
            <v>106</v>
          </cell>
          <cell r="AD234">
            <v>0</v>
          </cell>
          <cell r="AG234">
            <v>106</v>
          </cell>
          <cell r="AH234">
            <v>0</v>
          </cell>
        </row>
        <row r="235">
          <cell r="B235" t="str">
            <v>Communication Cable laying</v>
          </cell>
          <cell r="E235">
            <v>728</v>
          </cell>
          <cell r="F235">
            <v>728</v>
          </cell>
          <cell r="I235">
            <v>672</v>
          </cell>
          <cell r="J235">
            <v>0</v>
          </cell>
          <cell r="M235">
            <v>672</v>
          </cell>
          <cell r="N235">
            <v>0</v>
          </cell>
          <cell r="Q235">
            <v>728</v>
          </cell>
          <cell r="R235">
            <v>728</v>
          </cell>
          <cell r="U235">
            <v>672</v>
          </cell>
          <cell r="V235">
            <v>0</v>
          </cell>
          <cell r="Y235">
            <v>672</v>
          </cell>
          <cell r="Z235">
            <v>0</v>
          </cell>
          <cell r="AC235">
            <v>672</v>
          </cell>
          <cell r="AD235">
            <v>0</v>
          </cell>
          <cell r="AG235">
            <v>672</v>
          </cell>
          <cell r="AH235">
            <v>0</v>
          </cell>
        </row>
        <row r="236">
          <cell r="B236" t="str">
            <v>Communication Cable laying</v>
          </cell>
          <cell r="E236">
            <v>56</v>
          </cell>
          <cell r="F236">
            <v>56</v>
          </cell>
          <cell r="I236">
            <v>218</v>
          </cell>
          <cell r="J236">
            <v>0</v>
          </cell>
          <cell r="M236">
            <v>218</v>
          </cell>
          <cell r="N236">
            <v>0</v>
          </cell>
          <cell r="Q236">
            <v>56</v>
          </cell>
          <cell r="R236">
            <v>56</v>
          </cell>
          <cell r="U236">
            <v>218</v>
          </cell>
          <cell r="V236">
            <v>0</v>
          </cell>
          <cell r="Y236">
            <v>218</v>
          </cell>
          <cell r="Z236">
            <v>0</v>
          </cell>
          <cell r="AC236">
            <v>218</v>
          </cell>
          <cell r="AD236">
            <v>0</v>
          </cell>
          <cell r="AG236">
            <v>218</v>
          </cell>
          <cell r="AH236">
            <v>0</v>
          </cell>
        </row>
        <row r="237">
          <cell r="B237" t="str">
            <v>Communication Cable termination</v>
          </cell>
          <cell r="E237">
            <v>48</v>
          </cell>
          <cell r="F237">
            <v>48</v>
          </cell>
          <cell r="I237">
            <v>48</v>
          </cell>
          <cell r="J237">
            <v>0</v>
          </cell>
          <cell r="M237">
            <v>48</v>
          </cell>
          <cell r="N237">
            <v>0</v>
          </cell>
          <cell r="Q237">
            <v>48</v>
          </cell>
          <cell r="R237">
            <v>48</v>
          </cell>
          <cell r="U237">
            <v>48</v>
          </cell>
          <cell r="V237">
            <v>0</v>
          </cell>
          <cell r="Y237">
            <v>48</v>
          </cell>
          <cell r="Z237">
            <v>0</v>
          </cell>
          <cell r="AC237">
            <v>48</v>
          </cell>
          <cell r="AD237">
            <v>0</v>
          </cell>
          <cell r="AG237">
            <v>48</v>
          </cell>
          <cell r="AH237">
            <v>0</v>
          </cell>
        </row>
        <row r="238">
          <cell r="B238" t="str">
            <v>Communication Cable termination</v>
          </cell>
          <cell r="E238">
            <v>96</v>
          </cell>
          <cell r="F238">
            <v>96</v>
          </cell>
          <cell r="I238">
            <v>96</v>
          </cell>
          <cell r="J238">
            <v>0</v>
          </cell>
          <cell r="M238">
            <v>96</v>
          </cell>
          <cell r="N238">
            <v>0</v>
          </cell>
          <cell r="Q238">
            <v>96</v>
          </cell>
          <cell r="R238">
            <v>96</v>
          </cell>
          <cell r="U238">
            <v>96</v>
          </cell>
          <cell r="V238">
            <v>0</v>
          </cell>
          <cell r="Y238">
            <v>96</v>
          </cell>
          <cell r="Z238">
            <v>0</v>
          </cell>
          <cell r="AC238">
            <v>96</v>
          </cell>
          <cell r="AD238">
            <v>0</v>
          </cell>
          <cell r="AG238">
            <v>96</v>
          </cell>
          <cell r="AH238">
            <v>0</v>
          </cell>
        </row>
        <row r="239">
          <cell r="B239" t="str">
            <v>Communication Cable termination</v>
          </cell>
          <cell r="E239">
            <v>48</v>
          </cell>
          <cell r="F239">
            <v>48</v>
          </cell>
          <cell r="I239">
            <v>48</v>
          </cell>
          <cell r="J239">
            <v>0</v>
          </cell>
          <cell r="M239">
            <v>48</v>
          </cell>
          <cell r="N239">
            <v>0</v>
          </cell>
          <cell r="Q239">
            <v>48</v>
          </cell>
          <cell r="R239">
            <v>48</v>
          </cell>
          <cell r="U239">
            <v>48</v>
          </cell>
          <cell r="V239">
            <v>0</v>
          </cell>
          <cell r="Y239">
            <v>48</v>
          </cell>
          <cell r="Z239">
            <v>0</v>
          </cell>
          <cell r="AC239">
            <v>48</v>
          </cell>
          <cell r="AD239">
            <v>0</v>
          </cell>
          <cell r="AG239">
            <v>48</v>
          </cell>
          <cell r="AH239">
            <v>0</v>
          </cell>
        </row>
        <row r="240">
          <cell r="B240" t="str">
            <v>Communication Cable termination</v>
          </cell>
          <cell r="E240">
            <v>48</v>
          </cell>
          <cell r="F240">
            <v>48</v>
          </cell>
          <cell r="I240">
            <v>48</v>
          </cell>
          <cell r="J240">
            <v>0</v>
          </cell>
          <cell r="M240">
            <v>48</v>
          </cell>
          <cell r="N240">
            <v>0</v>
          </cell>
          <cell r="Q240">
            <v>48</v>
          </cell>
          <cell r="R240">
            <v>48</v>
          </cell>
          <cell r="U240">
            <v>48</v>
          </cell>
          <cell r="V240">
            <v>0</v>
          </cell>
          <cell r="Y240">
            <v>48</v>
          </cell>
          <cell r="Z240">
            <v>0</v>
          </cell>
          <cell r="AC240">
            <v>48</v>
          </cell>
          <cell r="AD240">
            <v>0</v>
          </cell>
          <cell r="AG240">
            <v>48</v>
          </cell>
          <cell r="AH240">
            <v>0</v>
          </cell>
        </row>
        <row r="241">
          <cell r="B241" t="str">
            <v>Communication Cable termination</v>
          </cell>
          <cell r="E241">
            <v>48</v>
          </cell>
          <cell r="F241">
            <v>48</v>
          </cell>
          <cell r="I241">
            <v>48</v>
          </cell>
          <cell r="J241">
            <v>0</v>
          </cell>
          <cell r="M241">
            <v>48</v>
          </cell>
          <cell r="N241">
            <v>0</v>
          </cell>
          <cell r="Q241">
            <v>48</v>
          </cell>
          <cell r="R241">
            <v>48</v>
          </cell>
          <cell r="U241">
            <v>48</v>
          </cell>
          <cell r="V241">
            <v>0</v>
          </cell>
          <cell r="Y241">
            <v>48</v>
          </cell>
          <cell r="Z241">
            <v>0</v>
          </cell>
          <cell r="AC241">
            <v>48</v>
          </cell>
          <cell r="AD241">
            <v>0</v>
          </cell>
          <cell r="AG241">
            <v>48</v>
          </cell>
          <cell r="AH241">
            <v>0</v>
          </cell>
        </row>
        <row r="242">
          <cell r="B242" t="str">
            <v>Communication Cable termination</v>
          </cell>
          <cell r="E242">
            <v>0</v>
          </cell>
          <cell r="F242">
            <v>0</v>
          </cell>
          <cell r="I242">
            <v>0</v>
          </cell>
          <cell r="J242">
            <v>0</v>
          </cell>
          <cell r="M242">
            <v>0</v>
          </cell>
          <cell r="N242">
            <v>0</v>
          </cell>
          <cell r="Q242">
            <v>0</v>
          </cell>
          <cell r="R242">
            <v>0</v>
          </cell>
          <cell r="U242">
            <v>0</v>
          </cell>
          <cell r="V242">
            <v>0</v>
          </cell>
          <cell r="Y242">
            <v>0</v>
          </cell>
          <cell r="Z242">
            <v>0</v>
          </cell>
          <cell r="AC242">
            <v>0</v>
          </cell>
          <cell r="AD242">
            <v>0</v>
          </cell>
          <cell r="AG242">
            <v>0</v>
          </cell>
          <cell r="AH242">
            <v>0</v>
          </cell>
        </row>
        <row r="243">
          <cell r="B243" t="str">
            <v>Communication Cable termination</v>
          </cell>
          <cell r="E243">
            <v>24</v>
          </cell>
          <cell r="F243">
            <v>24</v>
          </cell>
          <cell r="I243">
            <v>24</v>
          </cell>
          <cell r="J243">
            <v>0</v>
          </cell>
          <cell r="M243">
            <v>24</v>
          </cell>
          <cell r="N243">
            <v>0</v>
          </cell>
          <cell r="Q243">
            <v>24</v>
          </cell>
          <cell r="R243">
            <v>24</v>
          </cell>
          <cell r="U243">
            <v>24</v>
          </cell>
          <cell r="V243">
            <v>0</v>
          </cell>
          <cell r="Y243">
            <v>24</v>
          </cell>
          <cell r="Z243">
            <v>0</v>
          </cell>
          <cell r="AC243">
            <v>24</v>
          </cell>
          <cell r="AD243">
            <v>0</v>
          </cell>
          <cell r="AG243">
            <v>24</v>
          </cell>
          <cell r="AH243">
            <v>0</v>
          </cell>
        </row>
        <row r="244">
          <cell r="B244" t="str">
            <v>Communication Cable termination</v>
          </cell>
          <cell r="E244">
            <v>1</v>
          </cell>
          <cell r="F244">
            <v>1</v>
          </cell>
          <cell r="I244">
            <v>1</v>
          </cell>
          <cell r="J244">
            <v>0</v>
          </cell>
          <cell r="M244">
            <v>1</v>
          </cell>
          <cell r="N244">
            <v>0</v>
          </cell>
          <cell r="Q244">
            <v>1</v>
          </cell>
          <cell r="R244">
            <v>1</v>
          </cell>
          <cell r="U244">
            <v>1</v>
          </cell>
          <cell r="V244">
            <v>0</v>
          </cell>
          <cell r="Y244">
            <v>1</v>
          </cell>
          <cell r="Z244">
            <v>0</v>
          </cell>
          <cell r="AC244">
            <v>1</v>
          </cell>
          <cell r="AD244">
            <v>0</v>
          </cell>
          <cell r="AG244">
            <v>1</v>
          </cell>
          <cell r="AH244">
            <v>0</v>
          </cell>
        </row>
        <row r="245">
          <cell r="B245" t="str">
            <v>Communication Cable termination</v>
          </cell>
          <cell r="E245">
            <v>5</v>
          </cell>
          <cell r="F245">
            <v>5</v>
          </cell>
          <cell r="I245">
            <v>5</v>
          </cell>
          <cell r="J245">
            <v>0</v>
          </cell>
          <cell r="M245">
            <v>5</v>
          </cell>
          <cell r="N245">
            <v>0</v>
          </cell>
          <cell r="Q245">
            <v>5</v>
          </cell>
          <cell r="R245">
            <v>5</v>
          </cell>
          <cell r="U245">
            <v>5</v>
          </cell>
          <cell r="V245">
            <v>0</v>
          </cell>
          <cell r="Y245">
            <v>5</v>
          </cell>
          <cell r="Z245">
            <v>0</v>
          </cell>
          <cell r="AC245">
            <v>5</v>
          </cell>
          <cell r="AD245">
            <v>0</v>
          </cell>
          <cell r="AG245">
            <v>5</v>
          </cell>
          <cell r="AH245">
            <v>0</v>
          </cell>
        </row>
        <row r="246">
          <cell r="B246" t="str">
            <v>Communication Cable termination</v>
          </cell>
          <cell r="E246">
            <v>6</v>
          </cell>
          <cell r="F246">
            <v>6</v>
          </cell>
          <cell r="I246">
            <v>6</v>
          </cell>
          <cell r="J246">
            <v>0</v>
          </cell>
          <cell r="M246">
            <v>6</v>
          </cell>
          <cell r="N246">
            <v>0</v>
          </cell>
          <cell r="Q246">
            <v>6</v>
          </cell>
          <cell r="R246">
            <v>6</v>
          </cell>
          <cell r="U246">
            <v>6</v>
          </cell>
          <cell r="V246">
            <v>0</v>
          </cell>
          <cell r="Y246">
            <v>6</v>
          </cell>
          <cell r="Z246">
            <v>0</v>
          </cell>
          <cell r="AC246">
            <v>6</v>
          </cell>
          <cell r="AD246">
            <v>0</v>
          </cell>
          <cell r="AG246">
            <v>6</v>
          </cell>
          <cell r="AH246">
            <v>0</v>
          </cell>
        </row>
        <row r="247">
          <cell r="B247" t="str">
            <v>Communication Cable termination</v>
          </cell>
          <cell r="E247">
            <v>24</v>
          </cell>
          <cell r="F247">
            <v>24</v>
          </cell>
          <cell r="I247">
            <v>24</v>
          </cell>
          <cell r="J247">
            <v>0</v>
          </cell>
          <cell r="M247">
            <v>24</v>
          </cell>
          <cell r="N247">
            <v>0</v>
          </cell>
          <cell r="Q247">
            <v>24</v>
          </cell>
          <cell r="R247">
            <v>24</v>
          </cell>
          <cell r="U247">
            <v>24</v>
          </cell>
          <cell r="V247">
            <v>0</v>
          </cell>
          <cell r="Y247">
            <v>24</v>
          </cell>
          <cell r="Z247">
            <v>0</v>
          </cell>
          <cell r="AC247">
            <v>24</v>
          </cell>
          <cell r="AD247">
            <v>0</v>
          </cell>
          <cell r="AG247">
            <v>24</v>
          </cell>
          <cell r="AH247">
            <v>0</v>
          </cell>
        </row>
        <row r="248">
          <cell r="B248" t="str">
            <v>Communication Cable termination</v>
          </cell>
          <cell r="E248">
            <v>6</v>
          </cell>
          <cell r="F248">
            <v>6</v>
          </cell>
          <cell r="I248">
            <v>6</v>
          </cell>
          <cell r="J248">
            <v>0</v>
          </cell>
          <cell r="M248">
            <v>6</v>
          </cell>
          <cell r="N248">
            <v>0</v>
          </cell>
          <cell r="Q248">
            <v>6</v>
          </cell>
          <cell r="R248">
            <v>6</v>
          </cell>
          <cell r="U248">
            <v>6</v>
          </cell>
          <cell r="V248">
            <v>0</v>
          </cell>
          <cell r="Y248">
            <v>6</v>
          </cell>
          <cell r="Z248">
            <v>0</v>
          </cell>
          <cell r="AC248">
            <v>6</v>
          </cell>
          <cell r="AD248">
            <v>0</v>
          </cell>
          <cell r="AG248">
            <v>6</v>
          </cell>
          <cell r="AH248">
            <v>0</v>
          </cell>
        </row>
        <row r="249">
          <cell r="B249" t="str">
            <v>Testing</v>
          </cell>
          <cell r="E249" t="str">
            <v>Scope</v>
          </cell>
          <cell r="F249" t="str">
            <v>Actual</v>
          </cell>
          <cell r="I249" t="str">
            <v>Scope</v>
          </cell>
          <cell r="J249" t="str">
            <v>Actual</v>
          </cell>
          <cell r="M249" t="str">
            <v>Scope</v>
          </cell>
          <cell r="N249" t="str">
            <v>Actual</v>
          </cell>
          <cell r="Q249" t="str">
            <v>Scope</v>
          </cell>
          <cell r="R249" t="str">
            <v>Actual</v>
          </cell>
          <cell r="U249" t="str">
            <v>Scope</v>
          </cell>
          <cell r="V249" t="str">
            <v>Actual</v>
          </cell>
          <cell r="Y249" t="str">
            <v>Scope</v>
          </cell>
          <cell r="Z249" t="str">
            <v>Actual</v>
          </cell>
          <cell r="AC249" t="str">
            <v>Scope</v>
          </cell>
          <cell r="AD249" t="str">
            <v>Actual</v>
          </cell>
          <cell r="AG249" t="str">
            <v>Scope</v>
          </cell>
          <cell r="AH249" t="str">
            <v>Actual</v>
          </cell>
        </row>
        <row r="250">
          <cell r="B250" t="str">
            <v>CT Oil Filteration</v>
          </cell>
          <cell r="E250">
            <v>6</v>
          </cell>
          <cell r="F250">
            <v>6</v>
          </cell>
          <cell r="I250">
            <v>6</v>
          </cell>
          <cell r="J250">
            <v>6</v>
          </cell>
          <cell r="M250">
            <v>6</v>
          </cell>
          <cell r="N250">
            <v>5</v>
          </cell>
          <cell r="Q250">
            <v>6</v>
          </cell>
          <cell r="R250">
            <v>6</v>
          </cell>
          <cell r="U250">
            <v>6</v>
          </cell>
          <cell r="V250">
            <v>6</v>
          </cell>
          <cell r="Y250">
            <v>6</v>
          </cell>
          <cell r="Z250">
            <v>0</v>
          </cell>
          <cell r="AC250">
            <v>6</v>
          </cell>
          <cell r="AD250">
            <v>0</v>
          </cell>
          <cell r="AG250">
            <v>6</v>
          </cell>
          <cell r="AH250">
            <v>0</v>
          </cell>
        </row>
        <row r="251">
          <cell r="B251" t="str">
            <v>CT SFRA &amp; Tan delta Test</v>
          </cell>
          <cell r="E251">
            <v>6</v>
          </cell>
          <cell r="F251">
            <v>6</v>
          </cell>
          <cell r="I251">
            <v>6</v>
          </cell>
          <cell r="J251">
            <v>6</v>
          </cell>
          <cell r="M251">
            <v>6</v>
          </cell>
          <cell r="N251">
            <v>5</v>
          </cell>
          <cell r="Q251">
            <v>6</v>
          </cell>
          <cell r="R251">
            <v>6</v>
          </cell>
          <cell r="U251">
            <v>6</v>
          </cell>
          <cell r="V251">
            <v>1</v>
          </cell>
          <cell r="Y251">
            <v>6</v>
          </cell>
          <cell r="Z251">
            <v>0</v>
          </cell>
          <cell r="AC251">
            <v>6</v>
          </cell>
          <cell r="AD251">
            <v>0</v>
          </cell>
          <cell r="AG251">
            <v>6</v>
          </cell>
          <cell r="AH251">
            <v>0</v>
          </cell>
        </row>
        <row r="252">
          <cell r="B252" t="str">
            <v>CT SFRA Test</v>
          </cell>
          <cell r="E252">
            <v>6</v>
          </cell>
          <cell r="F252">
            <v>6</v>
          </cell>
          <cell r="I252">
            <v>6</v>
          </cell>
          <cell r="J252">
            <v>6</v>
          </cell>
          <cell r="M252">
            <v>6</v>
          </cell>
          <cell r="N252">
            <v>5</v>
          </cell>
          <cell r="Q252">
            <v>6</v>
          </cell>
          <cell r="R252">
            <v>6</v>
          </cell>
          <cell r="U252">
            <v>6</v>
          </cell>
          <cell r="V252">
            <v>1</v>
          </cell>
          <cell r="Y252">
            <v>6</v>
          </cell>
          <cell r="Z252">
            <v>0</v>
          </cell>
          <cell r="AC252">
            <v>6</v>
          </cell>
          <cell r="AD252">
            <v>0</v>
          </cell>
          <cell r="AG252">
            <v>6</v>
          </cell>
          <cell r="AH252">
            <v>0</v>
          </cell>
        </row>
        <row r="253">
          <cell r="B253" t="str">
            <v>CT Tan Delta Test</v>
          </cell>
          <cell r="E253">
            <v>6</v>
          </cell>
          <cell r="F253">
            <v>6</v>
          </cell>
          <cell r="I253">
            <v>6</v>
          </cell>
          <cell r="J253">
            <v>6</v>
          </cell>
          <cell r="M253">
            <v>6</v>
          </cell>
          <cell r="N253">
            <v>5</v>
          </cell>
          <cell r="Q253">
            <v>6</v>
          </cell>
          <cell r="R253">
            <v>6</v>
          </cell>
          <cell r="U253">
            <v>6</v>
          </cell>
          <cell r="V253">
            <v>1</v>
          </cell>
          <cell r="Y253">
            <v>6</v>
          </cell>
          <cell r="Z253">
            <v>0</v>
          </cell>
          <cell r="AC253">
            <v>6</v>
          </cell>
          <cell r="AD253">
            <v>0</v>
          </cell>
          <cell r="AG253">
            <v>6</v>
          </cell>
          <cell r="AH253">
            <v>0</v>
          </cell>
        </row>
        <row r="254">
          <cell r="B254" t="str">
            <v>CT Routine Test</v>
          </cell>
          <cell r="E254">
            <v>6</v>
          </cell>
          <cell r="F254">
            <v>6</v>
          </cell>
          <cell r="I254">
            <v>6</v>
          </cell>
          <cell r="J254">
            <v>6</v>
          </cell>
          <cell r="M254">
            <v>6</v>
          </cell>
          <cell r="N254">
            <v>5</v>
          </cell>
          <cell r="Q254">
            <v>6</v>
          </cell>
          <cell r="R254">
            <v>6</v>
          </cell>
          <cell r="U254">
            <v>6</v>
          </cell>
          <cell r="V254">
            <v>0</v>
          </cell>
          <cell r="Y254">
            <v>6</v>
          </cell>
          <cell r="Z254">
            <v>0</v>
          </cell>
          <cell r="AC254">
            <v>6</v>
          </cell>
          <cell r="AD254">
            <v>0</v>
          </cell>
          <cell r="AG254">
            <v>6</v>
          </cell>
          <cell r="AH254">
            <v>0</v>
          </cell>
        </row>
        <row r="255">
          <cell r="B255" t="str">
            <v>CT Current Transformer Test</v>
          </cell>
          <cell r="E255">
            <v>6</v>
          </cell>
          <cell r="F255">
            <v>6</v>
          </cell>
          <cell r="I255">
            <v>6</v>
          </cell>
          <cell r="J255">
            <v>6</v>
          </cell>
          <cell r="M255">
            <v>6</v>
          </cell>
          <cell r="N255">
            <v>0</v>
          </cell>
          <cell r="Q255">
            <v>6</v>
          </cell>
          <cell r="R255">
            <v>6</v>
          </cell>
          <cell r="U255">
            <v>6</v>
          </cell>
          <cell r="V255">
            <v>0</v>
          </cell>
          <cell r="Y255">
            <v>6</v>
          </cell>
          <cell r="Z255">
            <v>0</v>
          </cell>
          <cell r="AC255">
            <v>6</v>
          </cell>
          <cell r="AD255">
            <v>0</v>
          </cell>
          <cell r="AG255">
            <v>6</v>
          </cell>
          <cell r="AH255">
            <v>0</v>
          </cell>
        </row>
        <row r="256">
          <cell r="B256" t="str">
            <v>CT Control scheme &amp; Stability Test</v>
          </cell>
          <cell r="E256">
            <v>6</v>
          </cell>
          <cell r="F256">
            <v>0</v>
          </cell>
          <cell r="I256">
            <v>6</v>
          </cell>
          <cell r="J256">
            <v>0</v>
          </cell>
          <cell r="M256">
            <v>6</v>
          </cell>
          <cell r="N256">
            <v>0</v>
          </cell>
          <cell r="Q256">
            <v>6</v>
          </cell>
          <cell r="R256">
            <v>6</v>
          </cell>
          <cell r="U256">
            <v>6</v>
          </cell>
          <cell r="V256">
            <v>0</v>
          </cell>
          <cell r="Y256">
            <v>6</v>
          </cell>
          <cell r="Z256">
            <v>0</v>
          </cell>
          <cell r="AC256">
            <v>6</v>
          </cell>
          <cell r="AD256">
            <v>0</v>
          </cell>
          <cell r="AG256">
            <v>6</v>
          </cell>
          <cell r="AH256">
            <v>0</v>
          </cell>
        </row>
        <row r="257">
          <cell r="B257" t="str">
            <v>CT Control Scheme Test (Transformer protection simulation with SCADA)</v>
          </cell>
          <cell r="E257">
            <v>6</v>
          </cell>
          <cell r="F257">
            <v>0</v>
          </cell>
          <cell r="I257">
            <v>6</v>
          </cell>
          <cell r="J257">
            <v>0</v>
          </cell>
          <cell r="M257">
            <v>6</v>
          </cell>
          <cell r="N257">
            <v>0</v>
          </cell>
          <cell r="Q257">
            <v>6</v>
          </cell>
          <cell r="R257">
            <v>6</v>
          </cell>
          <cell r="U257">
            <v>6</v>
          </cell>
          <cell r="V257">
            <v>0</v>
          </cell>
          <cell r="Y257">
            <v>6</v>
          </cell>
          <cell r="Z257">
            <v>0</v>
          </cell>
          <cell r="AC257">
            <v>6</v>
          </cell>
          <cell r="AD257">
            <v>0</v>
          </cell>
          <cell r="AG257">
            <v>6</v>
          </cell>
          <cell r="AH257">
            <v>0</v>
          </cell>
        </row>
        <row r="258">
          <cell r="B258" t="str">
            <v>CT Stability</v>
          </cell>
          <cell r="E258">
            <v>6</v>
          </cell>
          <cell r="F258">
            <v>0</v>
          </cell>
          <cell r="I258">
            <v>6</v>
          </cell>
          <cell r="J258">
            <v>0</v>
          </cell>
          <cell r="M258">
            <v>6</v>
          </cell>
          <cell r="N258">
            <v>0</v>
          </cell>
          <cell r="Q258">
            <v>6</v>
          </cell>
          <cell r="R258">
            <v>6</v>
          </cell>
          <cell r="U258">
            <v>6</v>
          </cell>
          <cell r="V258">
            <v>0</v>
          </cell>
          <cell r="Y258">
            <v>6</v>
          </cell>
          <cell r="Z258">
            <v>0</v>
          </cell>
          <cell r="AC258">
            <v>6</v>
          </cell>
          <cell r="AD258">
            <v>0</v>
          </cell>
          <cell r="AG258">
            <v>6</v>
          </cell>
          <cell r="AH258">
            <v>0</v>
          </cell>
        </row>
        <row r="259">
          <cell r="B259" t="str">
            <v>HT Panel Routine (CT &amp; PT, Breaker &amp; Meter) Test</v>
          </cell>
          <cell r="E259">
            <v>12</v>
          </cell>
          <cell r="F259">
            <v>12</v>
          </cell>
          <cell r="I259">
            <v>12</v>
          </cell>
          <cell r="J259">
            <v>12</v>
          </cell>
          <cell r="M259">
            <v>12</v>
          </cell>
          <cell r="N259">
            <v>0</v>
          </cell>
          <cell r="Q259">
            <v>12</v>
          </cell>
          <cell r="R259">
            <v>12</v>
          </cell>
          <cell r="U259">
            <v>12</v>
          </cell>
          <cell r="V259">
            <v>0</v>
          </cell>
          <cell r="Y259">
            <v>12</v>
          </cell>
          <cell r="Z259">
            <v>0</v>
          </cell>
          <cell r="AC259">
            <v>12</v>
          </cell>
          <cell r="AD259">
            <v>0</v>
          </cell>
          <cell r="AG259">
            <v>12</v>
          </cell>
          <cell r="AH259">
            <v>0</v>
          </cell>
        </row>
        <row r="260">
          <cell r="B260" t="str">
            <v>HT Panel CT &amp; PT Test</v>
          </cell>
          <cell r="E260">
            <v>12</v>
          </cell>
          <cell r="F260">
            <v>12</v>
          </cell>
          <cell r="I260">
            <v>12</v>
          </cell>
          <cell r="J260">
            <v>12</v>
          </cell>
          <cell r="M260">
            <v>12</v>
          </cell>
          <cell r="N260">
            <v>12</v>
          </cell>
          <cell r="Q260">
            <v>12</v>
          </cell>
          <cell r="R260">
            <v>12</v>
          </cell>
          <cell r="U260">
            <v>12</v>
          </cell>
          <cell r="V260">
            <v>0</v>
          </cell>
          <cell r="Y260">
            <v>12</v>
          </cell>
          <cell r="Z260">
            <v>0</v>
          </cell>
          <cell r="AC260">
            <v>12</v>
          </cell>
          <cell r="AD260">
            <v>0</v>
          </cell>
          <cell r="AG260">
            <v>12</v>
          </cell>
          <cell r="AH260">
            <v>0</v>
          </cell>
        </row>
        <row r="261">
          <cell r="B261" t="str">
            <v>HT Panel Breaker Test</v>
          </cell>
          <cell r="E261">
            <v>12</v>
          </cell>
          <cell r="F261">
            <v>12</v>
          </cell>
          <cell r="I261">
            <v>12</v>
          </cell>
          <cell r="J261">
            <v>12</v>
          </cell>
          <cell r="M261">
            <v>12</v>
          </cell>
          <cell r="N261">
            <v>12</v>
          </cell>
          <cell r="Q261">
            <v>12</v>
          </cell>
          <cell r="R261">
            <v>12</v>
          </cell>
          <cell r="U261">
            <v>12</v>
          </cell>
          <cell r="V261">
            <v>0</v>
          </cell>
          <cell r="Y261">
            <v>12</v>
          </cell>
          <cell r="Z261">
            <v>0</v>
          </cell>
          <cell r="AC261">
            <v>12</v>
          </cell>
          <cell r="AD261">
            <v>0</v>
          </cell>
          <cell r="AG261">
            <v>12</v>
          </cell>
          <cell r="AH261">
            <v>0</v>
          </cell>
        </row>
        <row r="262">
          <cell r="B262" t="str">
            <v>HT Panel Meter Check (CT Primary Injection)</v>
          </cell>
          <cell r="E262">
            <v>12</v>
          </cell>
          <cell r="F262">
            <v>12</v>
          </cell>
          <cell r="I262">
            <v>12</v>
          </cell>
          <cell r="J262">
            <v>12</v>
          </cell>
          <cell r="M262">
            <v>12</v>
          </cell>
          <cell r="N262">
            <v>0</v>
          </cell>
          <cell r="Q262">
            <v>12</v>
          </cell>
          <cell r="R262">
            <v>12</v>
          </cell>
          <cell r="U262">
            <v>12</v>
          </cell>
          <cell r="V262">
            <v>0</v>
          </cell>
          <cell r="Y262">
            <v>12</v>
          </cell>
          <cell r="Z262">
            <v>0</v>
          </cell>
          <cell r="AC262">
            <v>12</v>
          </cell>
          <cell r="AD262">
            <v>0</v>
          </cell>
          <cell r="AG262">
            <v>12</v>
          </cell>
          <cell r="AH262">
            <v>0</v>
          </cell>
        </row>
        <row r="263">
          <cell r="B263" t="str">
            <v>HT Panel - Panel Scheme checking &amp; relay BIBO Test</v>
          </cell>
          <cell r="E263">
            <v>12</v>
          </cell>
          <cell r="F263">
            <v>0</v>
          </cell>
          <cell r="I263">
            <v>12</v>
          </cell>
          <cell r="J263">
            <v>0</v>
          </cell>
          <cell r="M263">
            <v>12</v>
          </cell>
          <cell r="N263">
            <v>0</v>
          </cell>
          <cell r="Q263">
            <v>12</v>
          </cell>
          <cell r="R263">
            <v>12</v>
          </cell>
          <cell r="U263">
            <v>12</v>
          </cell>
          <cell r="V263">
            <v>0</v>
          </cell>
          <cell r="Y263">
            <v>12</v>
          </cell>
          <cell r="Z263">
            <v>0</v>
          </cell>
          <cell r="AC263">
            <v>12</v>
          </cell>
          <cell r="AD263">
            <v>0</v>
          </cell>
          <cell r="AG263">
            <v>12</v>
          </cell>
          <cell r="AH263">
            <v>0</v>
          </cell>
        </row>
        <row r="264">
          <cell r="B264" t="str">
            <v>HT Panel Relay Test</v>
          </cell>
          <cell r="E264">
            <v>16</v>
          </cell>
          <cell r="F264">
            <v>8</v>
          </cell>
          <cell r="I264">
            <v>16</v>
          </cell>
          <cell r="J264">
            <v>0</v>
          </cell>
          <cell r="M264">
            <v>16</v>
          </cell>
          <cell r="N264">
            <v>0</v>
          </cell>
          <cell r="Q264">
            <v>16</v>
          </cell>
          <cell r="R264">
            <v>16</v>
          </cell>
          <cell r="U264">
            <v>16</v>
          </cell>
          <cell r="V264">
            <v>0</v>
          </cell>
          <cell r="Y264">
            <v>16</v>
          </cell>
          <cell r="Z264">
            <v>0</v>
          </cell>
          <cell r="AC264">
            <v>16</v>
          </cell>
          <cell r="AD264">
            <v>0</v>
          </cell>
          <cell r="AG264">
            <v>16</v>
          </cell>
          <cell r="AH264">
            <v>0</v>
          </cell>
        </row>
        <row r="265">
          <cell r="B265" t="str">
            <v>HT Cable VLF Test</v>
          </cell>
          <cell r="E265">
            <v>14</v>
          </cell>
          <cell r="F265">
            <v>14</v>
          </cell>
          <cell r="I265">
            <v>14</v>
          </cell>
          <cell r="J265">
            <v>14</v>
          </cell>
          <cell r="M265">
            <v>14</v>
          </cell>
          <cell r="N265">
            <v>0</v>
          </cell>
          <cell r="Q265">
            <v>14</v>
          </cell>
          <cell r="R265">
            <v>14</v>
          </cell>
          <cell r="U265">
            <v>14</v>
          </cell>
          <cell r="V265">
            <v>0</v>
          </cell>
          <cell r="Y265">
            <v>14</v>
          </cell>
          <cell r="Z265">
            <v>0</v>
          </cell>
          <cell r="AC265">
            <v>14</v>
          </cell>
          <cell r="AD265">
            <v>0</v>
          </cell>
          <cell r="AG265">
            <v>14</v>
          </cell>
          <cell r="AH265">
            <v>0</v>
          </cell>
        </row>
        <row r="266">
          <cell r="B266" t="str">
            <v>CSS - Dry Type Transformer Test</v>
          </cell>
          <cell r="E266">
            <v>1</v>
          </cell>
          <cell r="F266">
            <v>1</v>
          </cell>
          <cell r="I266">
            <v>1</v>
          </cell>
          <cell r="J266">
            <v>1</v>
          </cell>
          <cell r="M266">
            <v>1</v>
          </cell>
          <cell r="N266">
            <v>1</v>
          </cell>
          <cell r="Q266">
            <v>1</v>
          </cell>
          <cell r="R266">
            <v>1</v>
          </cell>
          <cell r="U266">
            <v>1</v>
          </cell>
          <cell r="V266">
            <v>0</v>
          </cell>
          <cell r="Y266">
            <v>1</v>
          </cell>
          <cell r="Z266">
            <v>0</v>
          </cell>
          <cell r="AC266">
            <v>1</v>
          </cell>
          <cell r="AD266">
            <v>0</v>
          </cell>
          <cell r="AG266">
            <v>1</v>
          </cell>
          <cell r="AH266">
            <v>0</v>
          </cell>
        </row>
        <row r="267">
          <cell r="B267" t="str">
            <v>CSS  routine test</v>
          </cell>
          <cell r="E267">
            <v>1</v>
          </cell>
          <cell r="F267">
            <v>1</v>
          </cell>
          <cell r="I267">
            <v>1</v>
          </cell>
          <cell r="J267">
            <v>1</v>
          </cell>
          <cell r="M267">
            <v>1</v>
          </cell>
          <cell r="N267">
            <v>1</v>
          </cell>
          <cell r="Q267">
            <v>1</v>
          </cell>
          <cell r="R267">
            <v>1</v>
          </cell>
          <cell r="U267">
            <v>1</v>
          </cell>
          <cell r="V267">
            <v>0</v>
          </cell>
          <cell r="Y267">
            <v>1</v>
          </cell>
          <cell r="Z267">
            <v>0</v>
          </cell>
          <cell r="AC267">
            <v>1</v>
          </cell>
          <cell r="AD267">
            <v>0</v>
          </cell>
          <cell r="AG267">
            <v>1</v>
          </cell>
          <cell r="AH267">
            <v>0</v>
          </cell>
        </row>
        <row r="268">
          <cell r="B268" t="str">
            <v>ACDB routine test</v>
          </cell>
          <cell r="E268">
            <v>6</v>
          </cell>
          <cell r="F268">
            <v>6</v>
          </cell>
          <cell r="I268">
            <v>6</v>
          </cell>
          <cell r="J268">
            <v>6</v>
          </cell>
          <cell r="M268">
            <v>6</v>
          </cell>
          <cell r="N268">
            <v>0</v>
          </cell>
          <cell r="Q268">
            <v>6</v>
          </cell>
          <cell r="R268">
            <v>6</v>
          </cell>
          <cell r="U268">
            <v>6</v>
          </cell>
          <cell r="V268">
            <v>0</v>
          </cell>
          <cell r="Y268">
            <v>6</v>
          </cell>
          <cell r="Z268">
            <v>0</v>
          </cell>
          <cell r="AC268">
            <v>6</v>
          </cell>
          <cell r="AD268">
            <v>0</v>
          </cell>
          <cell r="AG268">
            <v>6</v>
          </cell>
          <cell r="AH268">
            <v>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SS 10B"/>
      <sheetName val="Vstack B10"/>
    </sheetNames>
    <sheetDataSet>
      <sheetData sheetId="0">
        <row r="1">
          <cell r="B1" t="str">
            <v>BESS - 10B</v>
          </cell>
          <cell r="E1"/>
          <cell r="F1"/>
          <cell r="I1"/>
          <cell r="J1"/>
          <cell r="M1"/>
          <cell r="N1"/>
          <cell r="Q1"/>
          <cell r="R1"/>
          <cell r="U1"/>
          <cell r="V1"/>
        </row>
        <row r="2">
          <cell r="B2" t="str">
            <v>Activity</v>
          </cell>
          <cell r="E2" t="str">
            <v>Block 01</v>
          </cell>
          <cell r="F2"/>
          <cell r="I2" t="str">
            <v>Block 02</v>
          </cell>
          <cell r="J2"/>
          <cell r="M2" t="str">
            <v>Block 03</v>
          </cell>
          <cell r="N2"/>
          <cell r="Q2" t="str">
            <v>Block 04</v>
          </cell>
          <cell r="R2"/>
          <cell r="U2" t="str">
            <v>Block 05</v>
          </cell>
          <cell r="V2"/>
        </row>
        <row r="3">
          <cell r="B3" t="str">
            <v>Battery Container - Jinko</v>
          </cell>
          <cell r="E3" t="str">
            <v>Scope</v>
          </cell>
          <cell r="F3" t="str">
            <v>Status on</v>
          </cell>
          <cell r="I3" t="str">
            <v>Scope</v>
          </cell>
          <cell r="J3" t="str">
            <v>Status on</v>
          </cell>
          <cell r="M3" t="str">
            <v>Scope</v>
          </cell>
          <cell r="N3" t="str">
            <v>Status on</v>
          </cell>
          <cell r="Q3" t="str">
            <v>Scope</v>
          </cell>
          <cell r="R3" t="str">
            <v>Status on</v>
          </cell>
          <cell r="U3" t="str">
            <v>Scope</v>
          </cell>
          <cell r="V3" t="str">
            <v>Status on</v>
          </cell>
        </row>
        <row r="4">
          <cell r="B4" t="str">
            <v>BCF - DCIS (Driven Cast in-situ)</v>
          </cell>
          <cell r="E4">
            <v>384</v>
          </cell>
          <cell r="F4">
            <v>384</v>
          </cell>
          <cell r="I4">
            <v>384</v>
          </cell>
          <cell r="J4">
            <v>384</v>
          </cell>
          <cell r="M4">
            <v>384</v>
          </cell>
          <cell r="N4">
            <v>384</v>
          </cell>
          <cell r="Q4">
            <v>384</v>
          </cell>
          <cell r="R4">
            <v>384</v>
          </cell>
          <cell r="U4">
            <v>384</v>
          </cell>
          <cell r="V4">
            <v>384</v>
          </cell>
        </row>
        <row r="5">
          <cell r="B5" t="str">
            <v>BCF - Reinforcement and Insert Plate Fixing</v>
          </cell>
          <cell r="E5">
            <v>384</v>
          </cell>
          <cell r="F5">
            <v>384</v>
          </cell>
          <cell r="I5">
            <v>384</v>
          </cell>
          <cell r="J5">
            <v>384</v>
          </cell>
          <cell r="M5">
            <v>384</v>
          </cell>
          <cell r="N5">
            <v>384</v>
          </cell>
          <cell r="Q5">
            <v>384</v>
          </cell>
          <cell r="R5">
            <v>384</v>
          </cell>
          <cell r="U5">
            <v>384</v>
          </cell>
          <cell r="V5">
            <v>384</v>
          </cell>
        </row>
        <row r="6">
          <cell r="B6" t="str">
            <v>BCF - Pile Built Up</v>
          </cell>
          <cell r="E6">
            <v>384</v>
          </cell>
          <cell r="F6">
            <v>384</v>
          </cell>
          <cell r="I6">
            <v>384</v>
          </cell>
          <cell r="J6">
            <v>384</v>
          </cell>
          <cell r="M6">
            <v>384</v>
          </cell>
          <cell r="N6">
            <v>384</v>
          </cell>
          <cell r="Q6">
            <v>384</v>
          </cell>
          <cell r="R6">
            <v>384</v>
          </cell>
          <cell r="U6">
            <v>384</v>
          </cell>
          <cell r="V6">
            <v>384</v>
          </cell>
        </row>
        <row r="7">
          <cell r="B7" t="str">
            <v>BCF - Precast Erection</v>
          </cell>
          <cell r="E7">
            <v>48</v>
          </cell>
          <cell r="F7">
            <v>48</v>
          </cell>
          <cell r="I7">
            <v>48</v>
          </cell>
          <cell r="J7">
            <v>48</v>
          </cell>
          <cell r="M7">
            <v>48</v>
          </cell>
          <cell r="N7">
            <v>48</v>
          </cell>
          <cell r="Q7">
            <v>48</v>
          </cell>
          <cell r="R7">
            <v>48</v>
          </cell>
          <cell r="U7">
            <v>48</v>
          </cell>
          <cell r="V7">
            <v>48</v>
          </cell>
        </row>
        <row r="8">
          <cell r="B8" t="str">
            <v>BCF Precast Erection &amp; Welding</v>
          </cell>
          <cell r="E8">
            <v>48</v>
          </cell>
          <cell r="F8">
            <v>48</v>
          </cell>
          <cell r="I8">
            <v>48</v>
          </cell>
          <cell r="J8">
            <v>48</v>
          </cell>
          <cell r="M8">
            <v>48</v>
          </cell>
          <cell r="N8">
            <v>48</v>
          </cell>
          <cell r="Q8">
            <v>48</v>
          </cell>
          <cell r="R8">
            <v>48</v>
          </cell>
          <cell r="U8">
            <v>48</v>
          </cell>
          <cell r="V8">
            <v>48</v>
          </cell>
        </row>
        <row r="9">
          <cell r="B9" t="str">
            <v>BCF - GDB filling on FGL</v>
          </cell>
          <cell r="E9">
            <v>48</v>
          </cell>
          <cell r="F9">
            <v>0</v>
          </cell>
          <cell r="I9">
            <v>48</v>
          </cell>
          <cell r="J9">
            <v>0</v>
          </cell>
          <cell r="M9">
            <v>48</v>
          </cell>
          <cell r="N9">
            <v>0</v>
          </cell>
          <cell r="Q9">
            <v>48</v>
          </cell>
          <cell r="R9">
            <v>0</v>
          </cell>
          <cell r="U9">
            <v>48</v>
          </cell>
          <cell r="V9">
            <v>0</v>
          </cell>
        </row>
        <row r="10">
          <cell r="B10" t="str">
            <v>Battery Container Erection</v>
          </cell>
          <cell r="E10">
            <v>48</v>
          </cell>
          <cell r="F10">
            <v>48</v>
          </cell>
          <cell r="I10">
            <v>48</v>
          </cell>
          <cell r="J10">
            <v>47</v>
          </cell>
          <cell r="M10">
            <v>48</v>
          </cell>
          <cell r="N10">
            <v>0</v>
          </cell>
          <cell r="Q10">
            <v>48</v>
          </cell>
          <cell r="R10">
            <v>0</v>
          </cell>
          <cell r="U10">
            <v>48</v>
          </cell>
          <cell r="V10">
            <v>28</v>
          </cell>
        </row>
        <row r="11">
          <cell r="B11" t="str">
            <v>CT - Ornet(16) + Tesla(14)</v>
          </cell>
          <cell r="E11" t="str">
            <v>Scope</v>
          </cell>
          <cell r="F11" t="str">
            <v>Actual</v>
          </cell>
          <cell r="I11" t="str">
            <v>Scope</v>
          </cell>
          <cell r="J11" t="str">
            <v>Actual</v>
          </cell>
          <cell r="M11" t="str">
            <v>Scope</v>
          </cell>
          <cell r="N11" t="str">
            <v>Actual</v>
          </cell>
          <cell r="Q11" t="str">
            <v>Scope</v>
          </cell>
          <cell r="R11" t="str">
            <v>Actual</v>
          </cell>
          <cell r="U11" t="str">
            <v>Scope</v>
          </cell>
          <cell r="V11" t="str">
            <v>Actual</v>
          </cell>
        </row>
        <row r="12">
          <cell r="B12" t="str">
            <v>CT - Marking and Excavation</v>
          </cell>
          <cell r="E12">
            <v>6</v>
          </cell>
          <cell r="F12">
            <v>6</v>
          </cell>
          <cell r="I12">
            <v>6</v>
          </cell>
          <cell r="J12">
            <v>6</v>
          </cell>
          <cell r="M12">
            <v>6</v>
          </cell>
          <cell r="N12">
            <v>6</v>
          </cell>
          <cell r="Q12">
            <v>6</v>
          </cell>
          <cell r="R12">
            <v>6</v>
          </cell>
          <cell r="U12">
            <v>6</v>
          </cell>
          <cell r="V12">
            <v>6</v>
          </cell>
        </row>
        <row r="13">
          <cell r="B13" t="str">
            <v>CT - Soil Improvement/Plum concrete</v>
          </cell>
          <cell r="E13">
            <v>6</v>
          </cell>
          <cell r="F13">
            <v>6</v>
          </cell>
          <cell r="I13">
            <v>6</v>
          </cell>
          <cell r="J13">
            <v>6</v>
          </cell>
          <cell r="M13">
            <v>6</v>
          </cell>
          <cell r="N13">
            <v>6</v>
          </cell>
          <cell r="Q13">
            <v>6</v>
          </cell>
          <cell r="R13">
            <v>6</v>
          </cell>
          <cell r="U13">
            <v>6</v>
          </cell>
          <cell r="V13">
            <v>6</v>
          </cell>
        </row>
        <row r="14">
          <cell r="B14" t="str">
            <v>CT - PCC</v>
          </cell>
          <cell r="E14">
            <v>6</v>
          </cell>
          <cell r="F14">
            <v>6</v>
          </cell>
          <cell r="I14">
            <v>6</v>
          </cell>
          <cell r="J14">
            <v>6</v>
          </cell>
          <cell r="M14">
            <v>6</v>
          </cell>
          <cell r="N14">
            <v>6</v>
          </cell>
          <cell r="Q14">
            <v>6</v>
          </cell>
          <cell r="R14">
            <v>6</v>
          </cell>
          <cell r="U14">
            <v>6</v>
          </cell>
          <cell r="V14">
            <v>6</v>
          </cell>
        </row>
        <row r="15">
          <cell r="B15" t="str">
            <v>CT - Raft Casting</v>
          </cell>
          <cell r="E15">
            <v>4</v>
          </cell>
          <cell r="F15">
            <v>4</v>
          </cell>
          <cell r="I15">
            <v>6</v>
          </cell>
          <cell r="J15">
            <v>6</v>
          </cell>
          <cell r="M15">
            <v>6</v>
          </cell>
          <cell r="N15">
            <v>6</v>
          </cell>
          <cell r="Q15">
            <v>4</v>
          </cell>
          <cell r="R15">
            <v>4</v>
          </cell>
          <cell r="U15">
            <v>0</v>
          </cell>
          <cell r="V15">
            <v>0</v>
          </cell>
        </row>
        <row r="16">
          <cell r="B16" t="str">
            <v>CT - 1st Lift</v>
          </cell>
          <cell r="E16">
            <v>4</v>
          </cell>
          <cell r="F16">
            <v>4</v>
          </cell>
          <cell r="I16">
            <v>6</v>
          </cell>
          <cell r="J16">
            <v>6</v>
          </cell>
          <cell r="M16">
            <v>6</v>
          </cell>
          <cell r="N16">
            <v>6</v>
          </cell>
          <cell r="Q16">
            <v>4</v>
          </cell>
          <cell r="R16">
            <v>4</v>
          </cell>
          <cell r="U16">
            <v>0</v>
          </cell>
          <cell r="V16">
            <v>0</v>
          </cell>
        </row>
        <row r="17">
          <cell r="B17" t="str">
            <v>CT - Backfilling</v>
          </cell>
          <cell r="E17">
            <v>6</v>
          </cell>
          <cell r="F17">
            <v>6</v>
          </cell>
          <cell r="I17">
            <v>6</v>
          </cell>
          <cell r="J17">
            <v>6</v>
          </cell>
          <cell r="M17">
            <v>6</v>
          </cell>
          <cell r="N17">
            <v>4</v>
          </cell>
          <cell r="Q17">
            <v>6</v>
          </cell>
          <cell r="R17">
            <v>2</v>
          </cell>
          <cell r="U17">
            <v>6</v>
          </cell>
          <cell r="V17">
            <v>4</v>
          </cell>
        </row>
        <row r="18">
          <cell r="B18" t="str">
            <v>CT - Final Lift</v>
          </cell>
          <cell r="E18">
            <v>4</v>
          </cell>
          <cell r="F18">
            <v>4</v>
          </cell>
          <cell r="I18">
            <v>6</v>
          </cell>
          <cell r="J18">
            <v>6</v>
          </cell>
          <cell r="M18">
            <v>6</v>
          </cell>
          <cell r="N18">
            <v>2</v>
          </cell>
          <cell r="Q18">
            <v>4</v>
          </cell>
          <cell r="R18">
            <v>0</v>
          </cell>
          <cell r="U18">
            <v>0</v>
          </cell>
          <cell r="V18">
            <v>0</v>
          </cell>
        </row>
        <row r="19">
          <cell r="B19" t="str">
            <v>CT Rail Fixing</v>
          </cell>
          <cell r="E19">
            <v>6</v>
          </cell>
          <cell r="F19">
            <v>6</v>
          </cell>
          <cell r="I19">
            <v>6</v>
          </cell>
          <cell r="J19">
            <v>6</v>
          </cell>
          <cell r="M19">
            <v>6</v>
          </cell>
          <cell r="N19">
            <v>2</v>
          </cell>
          <cell r="Q19">
            <v>6</v>
          </cell>
          <cell r="R19">
            <v>0</v>
          </cell>
          <cell r="U19">
            <v>6</v>
          </cell>
          <cell r="V19">
            <v>4</v>
          </cell>
        </row>
        <row r="20">
          <cell r="B20" t="str">
            <v>CT - Rubble Soiling &amp; PCC</v>
          </cell>
          <cell r="E20">
            <v>6</v>
          </cell>
          <cell r="F20">
            <v>6</v>
          </cell>
          <cell r="I20">
            <v>6</v>
          </cell>
          <cell r="J20">
            <v>6</v>
          </cell>
          <cell r="M20">
            <v>6</v>
          </cell>
          <cell r="N20">
            <v>4</v>
          </cell>
          <cell r="Q20">
            <v>6</v>
          </cell>
          <cell r="R20">
            <v>0</v>
          </cell>
          <cell r="U20">
            <v>6</v>
          </cell>
          <cell r="V20">
            <v>4</v>
          </cell>
        </row>
        <row r="21">
          <cell r="B21" t="str">
            <v>CT - Grade slab</v>
          </cell>
          <cell r="E21">
            <v>6</v>
          </cell>
          <cell r="F21">
            <v>6</v>
          </cell>
          <cell r="I21">
            <v>6</v>
          </cell>
          <cell r="J21">
            <v>6</v>
          </cell>
          <cell r="M21">
            <v>6</v>
          </cell>
          <cell r="N21">
            <v>4</v>
          </cell>
          <cell r="Q21">
            <v>6</v>
          </cell>
          <cell r="R21">
            <v>0</v>
          </cell>
          <cell r="U21">
            <v>6</v>
          </cell>
          <cell r="V21">
            <v>0</v>
          </cell>
        </row>
        <row r="22">
          <cell r="B22" t="str">
            <v>CT - Dyke wall</v>
          </cell>
          <cell r="E22">
            <v>6</v>
          </cell>
          <cell r="F22">
            <v>6</v>
          </cell>
          <cell r="I22">
            <v>6</v>
          </cell>
          <cell r="J22">
            <v>6</v>
          </cell>
          <cell r="M22">
            <v>6</v>
          </cell>
          <cell r="N22">
            <v>0</v>
          </cell>
          <cell r="Q22">
            <v>6</v>
          </cell>
          <cell r="R22">
            <v>0</v>
          </cell>
          <cell r="U22">
            <v>6</v>
          </cell>
          <cell r="V22">
            <v>0</v>
          </cell>
        </row>
        <row r="23">
          <cell r="B23" t="str">
            <v>CT Erection Tank</v>
          </cell>
          <cell r="E23">
            <v>6</v>
          </cell>
          <cell r="F23">
            <v>6</v>
          </cell>
          <cell r="I23">
            <v>6</v>
          </cell>
          <cell r="J23">
            <v>6</v>
          </cell>
          <cell r="M23">
            <v>6</v>
          </cell>
          <cell r="N23">
            <v>2</v>
          </cell>
          <cell r="Q23">
            <v>6</v>
          </cell>
          <cell r="R23">
            <v>0</v>
          </cell>
          <cell r="U23">
            <v>6</v>
          </cell>
          <cell r="V23">
            <v>2</v>
          </cell>
        </row>
        <row r="24">
          <cell r="B24" t="str">
            <v>CT Erection</v>
          </cell>
          <cell r="E24">
            <v>6</v>
          </cell>
          <cell r="F24">
            <v>6</v>
          </cell>
          <cell r="I24">
            <v>6</v>
          </cell>
          <cell r="J24">
            <v>6</v>
          </cell>
          <cell r="M24">
            <v>6</v>
          </cell>
          <cell r="N24">
            <v>0</v>
          </cell>
          <cell r="Q24">
            <v>6</v>
          </cell>
          <cell r="R24">
            <v>0</v>
          </cell>
          <cell r="U24">
            <v>6</v>
          </cell>
          <cell r="V24">
            <v>0</v>
          </cell>
        </row>
        <row r="25">
          <cell r="B25" t="str">
            <v>CT - Gravel filling</v>
          </cell>
          <cell r="E25">
            <v>6</v>
          </cell>
          <cell r="F25">
            <v>0</v>
          </cell>
          <cell r="I25">
            <v>6</v>
          </cell>
          <cell r="J25">
            <v>0</v>
          </cell>
          <cell r="M25">
            <v>6</v>
          </cell>
          <cell r="N25">
            <v>0</v>
          </cell>
          <cell r="Q25">
            <v>6</v>
          </cell>
          <cell r="R25">
            <v>0</v>
          </cell>
          <cell r="U25">
            <v>6</v>
          </cell>
          <cell r="V25">
            <v>0</v>
          </cell>
        </row>
        <row r="26">
          <cell r="B26" t="str">
            <v>PCS - Inova Automation</v>
          </cell>
          <cell r="E26" t="str">
            <v>Scope</v>
          </cell>
          <cell r="F26" t="str">
            <v>Actual</v>
          </cell>
          <cell r="I26" t="str">
            <v>Scope</v>
          </cell>
          <cell r="J26" t="str">
            <v>Actual</v>
          </cell>
          <cell r="M26" t="str">
            <v>Scope</v>
          </cell>
          <cell r="N26" t="str">
            <v>Actual</v>
          </cell>
          <cell r="Q26" t="str">
            <v>Scope</v>
          </cell>
          <cell r="R26" t="str">
            <v>Actual</v>
          </cell>
          <cell r="U26" t="str">
            <v>Scope</v>
          </cell>
          <cell r="V26" t="str">
            <v>Actual</v>
          </cell>
        </row>
        <row r="27">
          <cell r="B27" t="str">
            <v>PCS - Driven Cast in-situ Piling</v>
          </cell>
          <cell r="E27">
            <v>90</v>
          </cell>
          <cell r="F27">
            <v>90</v>
          </cell>
          <cell r="I27">
            <v>90</v>
          </cell>
          <cell r="J27">
            <v>90</v>
          </cell>
          <cell r="M27">
            <v>90</v>
          </cell>
          <cell r="N27">
            <v>90</v>
          </cell>
          <cell r="Q27">
            <v>90</v>
          </cell>
          <cell r="R27">
            <v>90</v>
          </cell>
          <cell r="U27">
            <v>90</v>
          </cell>
          <cell r="V27">
            <v>90</v>
          </cell>
        </row>
        <row r="28">
          <cell r="B28" t="str">
            <v>PCS - PCC</v>
          </cell>
          <cell r="E28">
            <v>6</v>
          </cell>
          <cell r="F28">
            <v>6</v>
          </cell>
          <cell r="I28">
            <v>6</v>
          </cell>
          <cell r="J28">
            <v>6</v>
          </cell>
          <cell r="M28">
            <v>6</v>
          </cell>
          <cell r="N28">
            <v>6</v>
          </cell>
          <cell r="Q28">
            <v>6</v>
          </cell>
          <cell r="R28">
            <v>6</v>
          </cell>
          <cell r="U28">
            <v>6</v>
          </cell>
          <cell r="V28">
            <v>6</v>
          </cell>
        </row>
        <row r="29">
          <cell r="B29" t="str">
            <v>PCS - Footing &amp; Pile Beam Casting</v>
          </cell>
          <cell r="E29">
            <v>6</v>
          </cell>
          <cell r="F29">
            <v>6</v>
          </cell>
          <cell r="I29">
            <v>6</v>
          </cell>
          <cell r="J29">
            <v>6</v>
          </cell>
          <cell r="M29">
            <v>6</v>
          </cell>
          <cell r="N29">
            <v>6</v>
          </cell>
          <cell r="Q29">
            <v>6</v>
          </cell>
          <cell r="R29">
            <v>5</v>
          </cell>
          <cell r="U29">
            <v>6</v>
          </cell>
          <cell r="V29">
            <v>6</v>
          </cell>
        </row>
        <row r="30">
          <cell r="B30" t="str">
            <v>PCS - Column Casting</v>
          </cell>
          <cell r="E30">
            <v>6</v>
          </cell>
          <cell r="F30">
            <v>6</v>
          </cell>
          <cell r="I30">
            <v>6</v>
          </cell>
          <cell r="J30">
            <v>6</v>
          </cell>
          <cell r="M30">
            <v>6</v>
          </cell>
          <cell r="N30">
            <v>5</v>
          </cell>
          <cell r="Q30">
            <v>6</v>
          </cell>
          <cell r="R30">
            <v>1</v>
          </cell>
          <cell r="U30">
            <v>6</v>
          </cell>
          <cell r="V30">
            <v>6</v>
          </cell>
        </row>
        <row r="31">
          <cell r="B31" t="str">
            <v>PCS - Slab Reinforcement &amp; Cutout Fixing</v>
          </cell>
          <cell r="E31">
            <v>6</v>
          </cell>
          <cell r="F31">
            <v>6</v>
          </cell>
          <cell r="I31">
            <v>6</v>
          </cell>
          <cell r="J31">
            <v>6</v>
          </cell>
          <cell r="M31">
            <v>6</v>
          </cell>
          <cell r="N31">
            <v>5</v>
          </cell>
          <cell r="Q31">
            <v>6</v>
          </cell>
          <cell r="R31">
            <v>1</v>
          </cell>
          <cell r="U31">
            <v>6</v>
          </cell>
          <cell r="V31">
            <v>6</v>
          </cell>
        </row>
        <row r="32">
          <cell r="B32" t="str">
            <v xml:space="preserve">PCS Slab casting </v>
          </cell>
          <cell r="E32">
            <v>6</v>
          </cell>
          <cell r="F32">
            <v>6</v>
          </cell>
          <cell r="I32">
            <v>6</v>
          </cell>
          <cell r="J32">
            <v>6</v>
          </cell>
          <cell r="M32">
            <v>6</v>
          </cell>
          <cell r="N32">
            <v>5</v>
          </cell>
          <cell r="Q32">
            <v>6</v>
          </cell>
          <cell r="R32">
            <v>1</v>
          </cell>
          <cell r="U32">
            <v>6</v>
          </cell>
          <cell r="V32">
            <v>6</v>
          </cell>
        </row>
        <row r="33">
          <cell r="B33" t="str">
            <v>PCS - Screed Concrete</v>
          </cell>
          <cell r="E33">
            <v>6</v>
          </cell>
          <cell r="F33">
            <v>5</v>
          </cell>
          <cell r="I33">
            <v>6</v>
          </cell>
          <cell r="J33">
            <v>6</v>
          </cell>
          <cell r="M33">
            <v>6</v>
          </cell>
          <cell r="N33">
            <v>2</v>
          </cell>
          <cell r="Q33">
            <v>6</v>
          </cell>
          <cell r="R33">
            <v>0</v>
          </cell>
          <cell r="U33">
            <v>6</v>
          </cell>
          <cell r="V33">
            <v>3</v>
          </cell>
        </row>
        <row r="34">
          <cell r="B34" t="str">
            <v>PCS - Stairecase Installation</v>
          </cell>
          <cell r="E34">
            <v>6</v>
          </cell>
          <cell r="F34">
            <v>0</v>
          </cell>
          <cell r="I34">
            <v>6</v>
          </cell>
          <cell r="J34">
            <v>5</v>
          </cell>
          <cell r="M34">
            <v>6</v>
          </cell>
          <cell r="N34">
            <v>0</v>
          </cell>
          <cell r="Q34">
            <v>6</v>
          </cell>
          <cell r="R34">
            <v>0</v>
          </cell>
          <cell r="U34">
            <v>6</v>
          </cell>
          <cell r="V34">
            <v>0</v>
          </cell>
        </row>
        <row r="35">
          <cell r="B35" t="str">
            <v>PCS Erection</v>
          </cell>
          <cell r="E35">
            <v>48</v>
          </cell>
          <cell r="F35">
            <v>48</v>
          </cell>
          <cell r="I35">
            <v>48</v>
          </cell>
          <cell r="J35">
            <v>32</v>
          </cell>
          <cell r="M35">
            <v>48</v>
          </cell>
          <cell r="N35">
            <v>0</v>
          </cell>
          <cell r="Q35">
            <v>48</v>
          </cell>
          <cell r="R35">
            <v>0</v>
          </cell>
          <cell r="U35">
            <v>48</v>
          </cell>
          <cell r="V35">
            <v>0</v>
          </cell>
        </row>
        <row r="36">
          <cell r="B36" t="str">
            <v>ACDB Erection</v>
          </cell>
          <cell r="E36">
            <v>6</v>
          </cell>
          <cell r="F36">
            <v>6</v>
          </cell>
          <cell r="I36">
            <v>6</v>
          </cell>
          <cell r="J36">
            <v>0</v>
          </cell>
          <cell r="M36">
            <v>6</v>
          </cell>
          <cell r="N36">
            <v>0</v>
          </cell>
          <cell r="Q36">
            <v>6</v>
          </cell>
          <cell r="R36">
            <v>0</v>
          </cell>
          <cell r="U36">
            <v>6</v>
          </cell>
          <cell r="V36">
            <v>0</v>
          </cell>
        </row>
        <row r="37">
          <cell r="B37" t="str">
            <v>ECP Panel Erection (Communication Panel)</v>
          </cell>
          <cell r="E37">
            <v>6</v>
          </cell>
          <cell r="F37">
            <v>6</v>
          </cell>
          <cell r="I37">
            <v>6</v>
          </cell>
          <cell r="J37">
            <v>0</v>
          </cell>
          <cell r="M37">
            <v>6</v>
          </cell>
          <cell r="N37">
            <v>0</v>
          </cell>
          <cell r="Q37">
            <v>6</v>
          </cell>
          <cell r="R37">
            <v>0</v>
          </cell>
          <cell r="U37">
            <v>6</v>
          </cell>
          <cell r="V37">
            <v>0</v>
          </cell>
        </row>
        <row r="38">
          <cell r="B38" t="str">
            <v>PCS - PEB Primary structure</v>
          </cell>
          <cell r="E38">
            <v>6</v>
          </cell>
          <cell r="F38">
            <v>6</v>
          </cell>
          <cell r="I38">
            <v>6</v>
          </cell>
          <cell r="J38">
            <v>6</v>
          </cell>
          <cell r="M38">
            <v>6</v>
          </cell>
          <cell r="N38">
            <v>1</v>
          </cell>
          <cell r="Q38">
            <v>6</v>
          </cell>
          <cell r="R38">
            <v>0</v>
          </cell>
          <cell r="U38">
            <v>6</v>
          </cell>
          <cell r="V38">
            <v>5</v>
          </cell>
        </row>
        <row r="39">
          <cell r="B39" t="str">
            <v>PCS - PEB Secondary Structure</v>
          </cell>
          <cell r="E39">
            <v>6</v>
          </cell>
          <cell r="F39">
            <v>6</v>
          </cell>
          <cell r="I39">
            <v>6</v>
          </cell>
          <cell r="J39">
            <v>6</v>
          </cell>
          <cell r="M39">
            <v>6</v>
          </cell>
          <cell r="N39">
            <v>1</v>
          </cell>
          <cell r="Q39">
            <v>6</v>
          </cell>
          <cell r="R39">
            <v>0</v>
          </cell>
          <cell r="U39">
            <v>6</v>
          </cell>
          <cell r="V39">
            <v>5</v>
          </cell>
        </row>
        <row r="40">
          <cell r="B40" t="str">
            <v>PCS PEB</v>
          </cell>
          <cell r="E40">
            <v>6</v>
          </cell>
          <cell r="F40">
            <v>6</v>
          </cell>
          <cell r="I40">
            <v>6</v>
          </cell>
          <cell r="J40">
            <v>6</v>
          </cell>
          <cell r="M40">
            <v>6</v>
          </cell>
          <cell r="N40">
            <v>1</v>
          </cell>
          <cell r="Q40">
            <v>6</v>
          </cell>
          <cell r="R40">
            <v>0</v>
          </cell>
          <cell r="U40">
            <v>6</v>
          </cell>
          <cell r="V40">
            <v>5</v>
          </cell>
        </row>
        <row r="41">
          <cell r="B41" t="str">
            <v>PCS - PEB Handrail</v>
          </cell>
          <cell r="E41">
            <v>6</v>
          </cell>
          <cell r="F41">
            <v>0</v>
          </cell>
          <cell r="I41">
            <v>6</v>
          </cell>
          <cell r="J41">
            <v>0</v>
          </cell>
          <cell r="M41">
            <v>6</v>
          </cell>
          <cell r="N41">
            <v>0</v>
          </cell>
          <cell r="Q41">
            <v>6</v>
          </cell>
          <cell r="R41">
            <v>0</v>
          </cell>
          <cell r="U41">
            <v>6</v>
          </cell>
          <cell r="V41">
            <v>0</v>
          </cell>
        </row>
        <row r="42">
          <cell r="B42" t="str">
            <v>SGR - Trisquare</v>
          </cell>
          <cell r="E42" t="str">
            <v>Scope</v>
          </cell>
          <cell r="F42" t="str">
            <v>Actual</v>
          </cell>
          <cell r="I42" t="str">
            <v>Scope</v>
          </cell>
          <cell r="J42" t="str">
            <v>Actual</v>
          </cell>
          <cell r="M42" t="str">
            <v>Scope</v>
          </cell>
          <cell r="N42" t="str">
            <v>Actual</v>
          </cell>
          <cell r="Q42" t="str">
            <v>Scope</v>
          </cell>
          <cell r="R42" t="str">
            <v>Actual</v>
          </cell>
          <cell r="U42" t="str">
            <v>Scope</v>
          </cell>
          <cell r="V42" t="str">
            <v>Actual</v>
          </cell>
        </row>
        <row r="43">
          <cell r="B43" t="str">
            <v>SGR - Driven Cast in-situ Piling</v>
          </cell>
          <cell r="E43">
            <v>14</v>
          </cell>
          <cell r="F43">
            <v>14</v>
          </cell>
          <cell r="I43">
            <v>14</v>
          </cell>
          <cell r="J43">
            <v>14</v>
          </cell>
          <cell r="M43">
            <v>14</v>
          </cell>
          <cell r="N43">
            <v>14</v>
          </cell>
          <cell r="Q43">
            <v>14</v>
          </cell>
          <cell r="R43">
            <v>14</v>
          </cell>
          <cell r="U43">
            <v>14</v>
          </cell>
          <cell r="V43">
            <v>14</v>
          </cell>
        </row>
        <row r="44">
          <cell r="B44" t="str">
            <v>SGR - PCC</v>
          </cell>
          <cell r="E44">
            <v>1</v>
          </cell>
          <cell r="F44">
            <v>1</v>
          </cell>
          <cell r="I44">
            <v>1</v>
          </cell>
          <cell r="J44">
            <v>1</v>
          </cell>
          <cell r="M44">
            <v>1</v>
          </cell>
          <cell r="N44">
            <v>1</v>
          </cell>
          <cell r="Q44">
            <v>1</v>
          </cell>
          <cell r="R44">
            <v>1</v>
          </cell>
          <cell r="U44">
            <v>1</v>
          </cell>
          <cell r="V44">
            <v>1</v>
          </cell>
        </row>
        <row r="45">
          <cell r="B45" t="str">
            <v>SGR - Footing &amp; Pile Beam Casting</v>
          </cell>
          <cell r="E45">
            <v>1</v>
          </cell>
          <cell r="F45">
            <v>1</v>
          </cell>
          <cell r="I45">
            <v>1</v>
          </cell>
          <cell r="J45">
            <v>1</v>
          </cell>
          <cell r="M45">
            <v>1</v>
          </cell>
          <cell r="N45">
            <v>1</v>
          </cell>
          <cell r="Q45">
            <v>1</v>
          </cell>
          <cell r="R45">
            <v>1</v>
          </cell>
          <cell r="U45">
            <v>1</v>
          </cell>
          <cell r="V45">
            <v>1</v>
          </cell>
        </row>
        <row r="46">
          <cell r="B46" t="str">
            <v>SGR - Column Casting</v>
          </cell>
          <cell r="E46">
            <v>1</v>
          </cell>
          <cell r="F46">
            <v>1</v>
          </cell>
          <cell r="I46">
            <v>1</v>
          </cell>
          <cell r="J46">
            <v>1</v>
          </cell>
          <cell r="M46">
            <v>1</v>
          </cell>
          <cell r="N46">
            <v>1</v>
          </cell>
          <cell r="Q46">
            <v>1</v>
          </cell>
          <cell r="R46">
            <v>0</v>
          </cell>
          <cell r="U46">
            <v>1</v>
          </cell>
          <cell r="V46">
            <v>0</v>
          </cell>
        </row>
        <row r="47">
          <cell r="B47" t="str">
            <v>SGR - Slab Reinforcement &amp; Cutout Fixing</v>
          </cell>
          <cell r="E47">
            <v>1</v>
          </cell>
          <cell r="F47">
            <v>1</v>
          </cell>
          <cell r="I47">
            <v>1</v>
          </cell>
          <cell r="J47">
            <v>1</v>
          </cell>
          <cell r="M47">
            <v>1</v>
          </cell>
          <cell r="N47">
            <v>1</v>
          </cell>
          <cell r="Q47">
            <v>1</v>
          </cell>
          <cell r="R47">
            <v>0</v>
          </cell>
          <cell r="U47">
            <v>1</v>
          </cell>
          <cell r="V47">
            <v>0</v>
          </cell>
        </row>
        <row r="48">
          <cell r="B48" t="str">
            <v>SGR Slab Casting</v>
          </cell>
          <cell r="E48">
            <v>1</v>
          </cell>
          <cell r="F48">
            <v>1</v>
          </cell>
          <cell r="I48">
            <v>1</v>
          </cell>
          <cell r="J48">
            <v>1</v>
          </cell>
          <cell r="M48">
            <v>1</v>
          </cell>
          <cell r="N48">
            <v>1</v>
          </cell>
          <cell r="Q48">
            <v>1</v>
          </cell>
          <cell r="R48">
            <v>0</v>
          </cell>
          <cell r="U48">
            <v>1</v>
          </cell>
          <cell r="V48">
            <v>0</v>
          </cell>
        </row>
        <row r="49">
          <cell r="B49" t="str">
            <v>SGR - Screed Concrete</v>
          </cell>
          <cell r="E49">
            <v>1</v>
          </cell>
          <cell r="F49">
            <v>1</v>
          </cell>
          <cell r="I49">
            <v>1</v>
          </cell>
          <cell r="J49">
            <v>1</v>
          </cell>
          <cell r="M49">
            <v>1</v>
          </cell>
          <cell r="N49">
            <v>1</v>
          </cell>
          <cell r="Q49">
            <v>1</v>
          </cell>
          <cell r="R49">
            <v>0</v>
          </cell>
          <cell r="U49">
            <v>1</v>
          </cell>
          <cell r="V49">
            <v>0</v>
          </cell>
        </row>
        <row r="50">
          <cell r="B50" t="str">
            <v>SGR - Stairecase Installation</v>
          </cell>
          <cell r="E50">
            <v>1</v>
          </cell>
          <cell r="F50">
            <v>1</v>
          </cell>
          <cell r="I50">
            <v>1</v>
          </cell>
          <cell r="J50">
            <v>0</v>
          </cell>
          <cell r="M50">
            <v>1</v>
          </cell>
          <cell r="N50">
            <v>0</v>
          </cell>
          <cell r="Q50">
            <v>1</v>
          </cell>
          <cell r="R50">
            <v>0</v>
          </cell>
          <cell r="U50">
            <v>1</v>
          </cell>
          <cell r="V50">
            <v>0</v>
          </cell>
        </row>
        <row r="51">
          <cell r="B51" t="str">
            <v>HT Panel Erection</v>
          </cell>
          <cell r="E51">
            <v>2</v>
          </cell>
          <cell r="F51">
            <v>2</v>
          </cell>
          <cell r="I51">
            <v>2</v>
          </cell>
          <cell r="J51">
            <v>0</v>
          </cell>
          <cell r="M51">
            <v>2</v>
          </cell>
          <cell r="N51">
            <v>0</v>
          </cell>
          <cell r="Q51">
            <v>2</v>
          </cell>
          <cell r="R51">
            <v>0</v>
          </cell>
          <cell r="U51">
            <v>2</v>
          </cell>
          <cell r="V51">
            <v>0</v>
          </cell>
        </row>
        <row r="52">
          <cell r="B52" t="str">
            <v>SGR - PEB Primary structure</v>
          </cell>
          <cell r="E52">
            <v>1</v>
          </cell>
          <cell r="F52">
            <v>1</v>
          </cell>
          <cell r="I52">
            <v>1</v>
          </cell>
          <cell r="J52">
            <v>0</v>
          </cell>
          <cell r="M52">
            <v>1</v>
          </cell>
          <cell r="N52">
            <v>0</v>
          </cell>
          <cell r="Q52">
            <v>1</v>
          </cell>
          <cell r="R52">
            <v>0</v>
          </cell>
          <cell r="U52">
            <v>1</v>
          </cell>
          <cell r="V52">
            <v>0</v>
          </cell>
        </row>
        <row r="53">
          <cell r="B53" t="str">
            <v>SGR - PEB Secondary structure</v>
          </cell>
          <cell r="E53">
            <v>1</v>
          </cell>
          <cell r="F53">
            <v>1</v>
          </cell>
          <cell r="I53">
            <v>1</v>
          </cell>
          <cell r="J53">
            <v>0</v>
          </cell>
          <cell r="M53">
            <v>1</v>
          </cell>
          <cell r="N53">
            <v>0</v>
          </cell>
          <cell r="Q53">
            <v>1</v>
          </cell>
          <cell r="R53">
            <v>0</v>
          </cell>
          <cell r="U53">
            <v>1</v>
          </cell>
          <cell r="V53">
            <v>0</v>
          </cell>
        </row>
        <row r="54">
          <cell r="B54" t="str">
            <v>SGR PEB</v>
          </cell>
          <cell r="E54">
            <v>1</v>
          </cell>
          <cell r="F54">
            <v>1</v>
          </cell>
          <cell r="I54">
            <v>1</v>
          </cell>
          <cell r="J54">
            <v>0</v>
          </cell>
          <cell r="M54">
            <v>1</v>
          </cell>
          <cell r="N54">
            <v>0</v>
          </cell>
          <cell r="Q54">
            <v>1</v>
          </cell>
          <cell r="R54">
            <v>0</v>
          </cell>
          <cell r="U54">
            <v>1</v>
          </cell>
          <cell r="V54">
            <v>0</v>
          </cell>
        </row>
        <row r="55">
          <cell r="B55" t="str">
            <v>SGR - PEB Handrail</v>
          </cell>
          <cell r="E55">
            <v>1</v>
          </cell>
          <cell r="F55">
            <v>0</v>
          </cell>
          <cell r="I55">
            <v>1</v>
          </cell>
          <cell r="J55">
            <v>0</v>
          </cell>
          <cell r="M55">
            <v>1</v>
          </cell>
          <cell r="N55">
            <v>0</v>
          </cell>
          <cell r="Q55">
            <v>1</v>
          </cell>
          <cell r="R55">
            <v>0</v>
          </cell>
          <cell r="U55">
            <v>1</v>
          </cell>
          <cell r="V55">
            <v>0</v>
          </cell>
        </row>
        <row r="56">
          <cell r="B56" t="str">
            <v>MCR - Adaptive</v>
          </cell>
          <cell r="E56" t="str">
            <v>Scope</v>
          </cell>
          <cell r="F56" t="str">
            <v>Actual</v>
          </cell>
          <cell r="I56" t="str">
            <v>Scope</v>
          </cell>
          <cell r="J56" t="str">
            <v>Actual</v>
          </cell>
          <cell r="M56" t="str">
            <v>Scope</v>
          </cell>
          <cell r="N56" t="str">
            <v>Actual</v>
          </cell>
          <cell r="Q56" t="str">
            <v>Scope</v>
          </cell>
          <cell r="R56" t="str">
            <v>Actual</v>
          </cell>
          <cell r="U56" t="str">
            <v>Scope</v>
          </cell>
          <cell r="V56" t="str">
            <v>Actual</v>
          </cell>
        </row>
        <row r="57">
          <cell r="B57" t="str">
            <v>MCR - Driven Cast in-situ Piling</v>
          </cell>
          <cell r="E57">
            <v>8</v>
          </cell>
          <cell r="F57">
            <v>8</v>
          </cell>
          <cell r="I57">
            <v>8</v>
          </cell>
          <cell r="J57">
            <v>8</v>
          </cell>
          <cell r="M57">
            <v>8</v>
          </cell>
          <cell r="N57">
            <v>8</v>
          </cell>
          <cell r="Q57">
            <v>8</v>
          </cell>
          <cell r="R57">
            <v>8</v>
          </cell>
          <cell r="U57">
            <v>8</v>
          </cell>
          <cell r="V57">
            <v>8</v>
          </cell>
        </row>
        <row r="58">
          <cell r="B58" t="str">
            <v>MCR - PCC</v>
          </cell>
          <cell r="E58">
            <v>1</v>
          </cell>
          <cell r="F58">
            <v>1</v>
          </cell>
          <cell r="I58">
            <v>1</v>
          </cell>
          <cell r="J58">
            <v>1</v>
          </cell>
          <cell r="M58">
            <v>1</v>
          </cell>
          <cell r="N58">
            <v>1</v>
          </cell>
          <cell r="Q58">
            <v>1</v>
          </cell>
          <cell r="R58">
            <v>1</v>
          </cell>
          <cell r="U58">
            <v>1</v>
          </cell>
          <cell r="V58">
            <v>1</v>
          </cell>
        </row>
        <row r="59">
          <cell r="B59" t="str">
            <v>MCR - Footing &amp; Pile Beam Casting</v>
          </cell>
          <cell r="E59">
            <v>1</v>
          </cell>
          <cell r="F59">
            <v>1</v>
          </cell>
          <cell r="I59">
            <v>1</v>
          </cell>
          <cell r="J59">
            <v>1</v>
          </cell>
          <cell r="M59">
            <v>1</v>
          </cell>
          <cell r="N59">
            <v>1</v>
          </cell>
          <cell r="Q59">
            <v>1</v>
          </cell>
          <cell r="R59">
            <v>1</v>
          </cell>
          <cell r="U59">
            <v>1</v>
          </cell>
          <cell r="V59">
            <v>1</v>
          </cell>
        </row>
        <row r="60">
          <cell r="B60" t="str">
            <v>MCR - Column Casting</v>
          </cell>
          <cell r="E60">
            <v>1</v>
          </cell>
          <cell r="F60">
            <v>1</v>
          </cell>
          <cell r="I60">
            <v>1</v>
          </cell>
          <cell r="J60">
            <v>1</v>
          </cell>
          <cell r="M60">
            <v>1</v>
          </cell>
          <cell r="N60">
            <v>1</v>
          </cell>
          <cell r="Q60">
            <v>1</v>
          </cell>
          <cell r="R60">
            <v>0</v>
          </cell>
          <cell r="U60">
            <v>1</v>
          </cell>
          <cell r="V60">
            <v>1</v>
          </cell>
        </row>
        <row r="61">
          <cell r="B61" t="str">
            <v>MCR - Slab Reinforcement &amp; Cutout Fixing</v>
          </cell>
          <cell r="E61">
            <v>1</v>
          </cell>
          <cell r="F61">
            <v>1</v>
          </cell>
          <cell r="I61">
            <v>1</v>
          </cell>
          <cell r="J61">
            <v>1</v>
          </cell>
          <cell r="M61">
            <v>1</v>
          </cell>
          <cell r="N61">
            <v>1</v>
          </cell>
          <cell r="Q61">
            <v>1</v>
          </cell>
          <cell r="R61">
            <v>0</v>
          </cell>
          <cell r="U61">
            <v>1</v>
          </cell>
          <cell r="V61">
            <v>1</v>
          </cell>
        </row>
        <row r="62">
          <cell r="B62" t="str">
            <v>MCR Slab Casting</v>
          </cell>
          <cell r="E62">
            <v>1</v>
          </cell>
          <cell r="F62">
            <v>1</v>
          </cell>
          <cell r="I62">
            <v>1</v>
          </cell>
          <cell r="J62">
            <v>1</v>
          </cell>
          <cell r="M62">
            <v>1</v>
          </cell>
          <cell r="N62">
            <v>1</v>
          </cell>
          <cell r="Q62">
            <v>1</v>
          </cell>
          <cell r="R62">
            <v>0</v>
          </cell>
          <cell r="U62">
            <v>1</v>
          </cell>
          <cell r="V62">
            <v>1</v>
          </cell>
        </row>
        <row r="63">
          <cell r="B63" t="str">
            <v>MCR - Screed Concrete</v>
          </cell>
          <cell r="E63">
            <v>1</v>
          </cell>
          <cell r="F63">
            <v>1</v>
          </cell>
          <cell r="I63">
            <v>1</v>
          </cell>
          <cell r="J63">
            <v>1</v>
          </cell>
          <cell r="M63">
            <v>1</v>
          </cell>
          <cell r="N63">
            <v>0</v>
          </cell>
          <cell r="Q63">
            <v>1</v>
          </cell>
          <cell r="R63">
            <v>0</v>
          </cell>
          <cell r="U63">
            <v>1</v>
          </cell>
          <cell r="V63">
            <v>0</v>
          </cell>
        </row>
        <row r="64">
          <cell r="B64" t="str">
            <v>MCR - Stairecase Installation</v>
          </cell>
          <cell r="E64">
            <v>0</v>
          </cell>
          <cell r="F64">
            <v>0</v>
          </cell>
          <cell r="I64">
            <v>0</v>
          </cell>
          <cell r="J64">
            <v>0</v>
          </cell>
          <cell r="M64">
            <v>1</v>
          </cell>
          <cell r="N64">
            <v>0</v>
          </cell>
          <cell r="Q64">
            <v>1</v>
          </cell>
          <cell r="R64">
            <v>0</v>
          </cell>
          <cell r="U64">
            <v>1</v>
          </cell>
          <cell r="V64">
            <v>0</v>
          </cell>
        </row>
        <row r="65">
          <cell r="B65" t="str">
            <v>EMS Panel Erection</v>
          </cell>
          <cell r="E65">
            <v>1</v>
          </cell>
          <cell r="F65">
            <v>1</v>
          </cell>
          <cell r="I65">
            <v>1</v>
          </cell>
          <cell r="J65">
            <v>0</v>
          </cell>
          <cell r="M65">
            <v>1</v>
          </cell>
          <cell r="N65">
            <v>0</v>
          </cell>
          <cell r="Q65">
            <v>1</v>
          </cell>
          <cell r="R65">
            <v>0</v>
          </cell>
          <cell r="U65">
            <v>1</v>
          </cell>
          <cell r="V65">
            <v>0</v>
          </cell>
        </row>
        <row r="66">
          <cell r="B66" t="str">
            <v>MCR PEB</v>
          </cell>
          <cell r="E66">
            <v>1</v>
          </cell>
          <cell r="F66">
            <v>1</v>
          </cell>
          <cell r="I66">
            <v>1</v>
          </cell>
          <cell r="J66">
            <v>1</v>
          </cell>
          <cell r="M66">
            <v>1</v>
          </cell>
          <cell r="N66">
            <v>0</v>
          </cell>
          <cell r="Q66">
            <v>1</v>
          </cell>
          <cell r="R66">
            <v>0</v>
          </cell>
          <cell r="U66">
            <v>1</v>
          </cell>
          <cell r="V66">
            <v>0</v>
          </cell>
        </row>
        <row r="67">
          <cell r="B67" t="str">
            <v>MCR - Door installation</v>
          </cell>
          <cell r="E67">
            <v>0</v>
          </cell>
          <cell r="F67">
            <v>0</v>
          </cell>
          <cell r="I67">
            <v>0</v>
          </cell>
          <cell r="J67">
            <v>0</v>
          </cell>
          <cell r="M67">
            <v>0</v>
          </cell>
          <cell r="N67">
            <v>0</v>
          </cell>
          <cell r="Q67">
            <v>0</v>
          </cell>
          <cell r="R67">
            <v>0</v>
          </cell>
          <cell r="U67">
            <v>0</v>
          </cell>
          <cell r="V67">
            <v>0</v>
          </cell>
        </row>
        <row r="68">
          <cell r="B68" t="str">
            <v>CSS - Akshar</v>
          </cell>
          <cell r="E68" t="str">
            <v>Scope</v>
          </cell>
          <cell r="F68" t="str">
            <v>Actual</v>
          </cell>
          <cell r="I68" t="str">
            <v>Scope</v>
          </cell>
          <cell r="J68" t="str">
            <v>Actual</v>
          </cell>
          <cell r="M68" t="str">
            <v>Scope</v>
          </cell>
          <cell r="N68" t="str">
            <v>Actual</v>
          </cell>
          <cell r="Q68" t="str">
            <v>Scope</v>
          </cell>
          <cell r="R68" t="str">
            <v>Actual</v>
          </cell>
          <cell r="U68" t="str">
            <v>Scope</v>
          </cell>
          <cell r="V68" t="str">
            <v>Actual</v>
          </cell>
        </row>
        <row r="69">
          <cell r="B69" t="str">
            <v>Marking &amp; Excavation</v>
          </cell>
          <cell r="E69">
            <v>1</v>
          </cell>
          <cell r="F69">
            <v>1</v>
          </cell>
          <cell r="I69">
            <v>1</v>
          </cell>
          <cell r="J69">
            <v>1</v>
          </cell>
          <cell r="M69">
            <v>1</v>
          </cell>
          <cell r="N69">
            <v>1</v>
          </cell>
          <cell r="Q69">
            <v>1</v>
          </cell>
          <cell r="R69">
            <v>1</v>
          </cell>
          <cell r="U69">
            <v>1</v>
          </cell>
          <cell r="V69">
            <v>1</v>
          </cell>
        </row>
        <row r="70">
          <cell r="B70" t="str">
            <v>Plum concrete/Rubble soiling</v>
          </cell>
          <cell r="E70">
            <v>1</v>
          </cell>
          <cell r="F70">
            <v>1</v>
          </cell>
          <cell r="I70">
            <v>1</v>
          </cell>
          <cell r="J70">
            <v>1</v>
          </cell>
          <cell r="M70">
            <v>1</v>
          </cell>
          <cell r="N70">
            <v>1</v>
          </cell>
          <cell r="Q70">
            <v>1</v>
          </cell>
          <cell r="R70">
            <v>1</v>
          </cell>
          <cell r="U70">
            <v>1</v>
          </cell>
          <cell r="V70">
            <v>1</v>
          </cell>
        </row>
        <row r="71">
          <cell r="B71" t="str">
            <v>PCC</v>
          </cell>
          <cell r="E71">
            <v>1</v>
          </cell>
          <cell r="F71">
            <v>1</v>
          </cell>
          <cell r="I71">
            <v>1</v>
          </cell>
          <cell r="J71">
            <v>1</v>
          </cell>
          <cell r="M71">
            <v>1</v>
          </cell>
          <cell r="N71">
            <v>1</v>
          </cell>
          <cell r="Q71">
            <v>1</v>
          </cell>
          <cell r="R71">
            <v>1</v>
          </cell>
          <cell r="U71">
            <v>1</v>
          </cell>
          <cell r="V71">
            <v>1</v>
          </cell>
        </row>
        <row r="72">
          <cell r="B72" t="str">
            <v>Continous Raft</v>
          </cell>
          <cell r="E72">
            <v>1</v>
          </cell>
          <cell r="F72">
            <v>1</v>
          </cell>
          <cell r="I72">
            <v>1</v>
          </cell>
          <cell r="J72">
            <v>1</v>
          </cell>
          <cell r="M72">
            <v>1</v>
          </cell>
          <cell r="N72">
            <v>0</v>
          </cell>
          <cell r="Q72">
            <v>1</v>
          </cell>
          <cell r="R72">
            <v>0</v>
          </cell>
          <cell r="U72">
            <v>1</v>
          </cell>
          <cell r="V72">
            <v>1</v>
          </cell>
        </row>
        <row r="73">
          <cell r="B73" t="str">
            <v xml:space="preserve">RCC wall </v>
          </cell>
          <cell r="E73">
            <v>1</v>
          </cell>
          <cell r="F73">
            <v>1</v>
          </cell>
          <cell r="I73">
            <v>1</v>
          </cell>
          <cell r="J73">
            <v>1</v>
          </cell>
          <cell r="M73">
            <v>1</v>
          </cell>
          <cell r="N73">
            <v>0</v>
          </cell>
          <cell r="Q73">
            <v>1</v>
          </cell>
          <cell r="R73">
            <v>0</v>
          </cell>
          <cell r="U73">
            <v>1</v>
          </cell>
          <cell r="V73">
            <v>0</v>
          </cell>
        </row>
        <row r="74">
          <cell r="B74" t="str">
            <v>Painting &amp; Backfilling</v>
          </cell>
          <cell r="E74">
            <v>1</v>
          </cell>
          <cell r="F74">
            <v>1</v>
          </cell>
          <cell r="I74">
            <v>1</v>
          </cell>
          <cell r="J74">
            <v>1</v>
          </cell>
          <cell r="M74">
            <v>1</v>
          </cell>
          <cell r="N74">
            <v>0</v>
          </cell>
          <cell r="Q74">
            <v>1</v>
          </cell>
          <cell r="R74">
            <v>0</v>
          </cell>
          <cell r="U74">
            <v>1</v>
          </cell>
          <cell r="V74">
            <v>0</v>
          </cell>
        </row>
        <row r="75">
          <cell r="B75" t="str">
            <v>CSS Slab Casting</v>
          </cell>
          <cell r="E75">
            <v>1</v>
          </cell>
          <cell r="F75">
            <v>1</v>
          </cell>
          <cell r="I75">
            <v>1</v>
          </cell>
          <cell r="J75">
            <v>0</v>
          </cell>
          <cell r="M75">
            <v>1</v>
          </cell>
          <cell r="N75">
            <v>0</v>
          </cell>
          <cell r="Q75">
            <v>1</v>
          </cell>
          <cell r="R75">
            <v>0</v>
          </cell>
          <cell r="U75">
            <v>1</v>
          </cell>
          <cell r="V75">
            <v>0</v>
          </cell>
        </row>
        <row r="76">
          <cell r="B76" t="str">
            <v>Staircase</v>
          </cell>
          <cell r="E76">
            <v>1</v>
          </cell>
          <cell r="F76">
            <v>0</v>
          </cell>
          <cell r="I76">
            <v>1</v>
          </cell>
          <cell r="J76">
            <v>0</v>
          </cell>
          <cell r="M76">
            <v>1</v>
          </cell>
          <cell r="N76">
            <v>0</v>
          </cell>
          <cell r="Q76">
            <v>1</v>
          </cell>
          <cell r="R76">
            <v>0</v>
          </cell>
          <cell r="U76">
            <v>1</v>
          </cell>
          <cell r="V76">
            <v>0</v>
          </cell>
        </row>
        <row r="77">
          <cell r="B77" t="str">
            <v>CSS Erection</v>
          </cell>
          <cell r="E77">
            <v>1</v>
          </cell>
          <cell r="F77">
            <v>1</v>
          </cell>
          <cell r="I77">
            <v>1</v>
          </cell>
          <cell r="J77">
            <v>0</v>
          </cell>
          <cell r="M77">
            <v>1</v>
          </cell>
          <cell r="N77">
            <v>0</v>
          </cell>
          <cell r="Q77">
            <v>1</v>
          </cell>
          <cell r="R77">
            <v>0</v>
          </cell>
          <cell r="U77">
            <v>1</v>
          </cell>
          <cell r="V77">
            <v>0</v>
          </cell>
        </row>
        <row r="78">
          <cell r="B78" t="str">
            <v xml:space="preserve">NIFPS  </v>
          </cell>
          <cell r="E78" t="str">
            <v>Scope</v>
          </cell>
          <cell r="F78" t="str">
            <v>Actual</v>
          </cell>
          <cell r="I78" t="str">
            <v>Scope</v>
          </cell>
          <cell r="J78" t="str">
            <v>Actual</v>
          </cell>
          <cell r="M78" t="str">
            <v>Scope</v>
          </cell>
          <cell r="N78" t="str">
            <v>Actual</v>
          </cell>
          <cell r="Q78" t="str">
            <v>Scope</v>
          </cell>
          <cell r="R78" t="str">
            <v>Actual</v>
          </cell>
          <cell r="U78" t="str">
            <v>Scope</v>
          </cell>
          <cell r="V78" t="str">
            <v>Actual</v>
          </cell>
        </row>
        <row r="79">
          <cell r="B79" t="str">
            <v>Excavation / Compaction</v>
          </cell>
          <cell r="E79">
            <v>6</v>
          </cell>
          <cell r="F79">
            <v>6</v>
          </cell>
          <cell r="I79">
            <v>6</v>
          </cell>
          <cell r="J79">
            <v>6</v>
          </cell>
          <cell r="M79">
            <v>6</v>
          </cell>
          <cell r="N79">
            <v>4</v>
          </cell>
          <cell r="Q79">
            <v>6</v>
          </cell>
          <cell r="R79">
            <v>0</v>
          </cell>
          <cell r="U79">
            <v>6</v>
          </cell>
          <cell r="V79">
            <v>0</v>
          </cell>
        </row>
        <row r="80">
          <cell r="B80" t="str">
            <v>PCC</v>
          </cell>
          <cell r="E80">
            <v>6</v>
          </cell>
          <cell r="F80">
            <v>6</v>
          </cell>
          <cell r="I80">
            <v>6</v>
          </cell>
          <cell r="J80">
            <v>6</v>
          </cell>
          <cell r="M80">
            <v>6</v>
          </cell>
          <cell r="N80">
            <v>4</v>
          </cell>
          <cell r="Q80">
            <v>6</v>
          </cell>
          <cell r="R80">
            <v>0</v>
          </cell>
          <cell r="U80">
            <v>6</v>
          </cell>
          <cell r="V80">
            <v>0</v>
          </cell>
        </row>
        <row r="81">
          <cell r="B81" t="str">
            <v>NIFPS Precast Erection</v>
          </cell>
          <cell r="E81">
            <v>6</v>
          </cell>
          <cell r="F81">
            <v>6</v>
          </cell>
          <cell r="I81">
            <v>6</v>
          </cell>
          <cell r="J81">
            <v>6</v>
          </cell>
          <cell r="M81">
            <v>6</v>
          </cell>
          <cell r="N81">
            <v>0</v>
          </cell>
          <cell r="Q81">
            <v>6</v>
          </cell>
          <cell r="R81">
            <v>0</v>
          </cell>
          <cell r="U81">
            <v>6</v>
          </cell>
          <cell r="V81">
            <v>0</v>
          </cell>
        </row>
        <row r="82">
          <cell r="B82" t="str">
            <v>Finishing Work</v>
          </cell>
          <cell r="E82">
            <v>4</v>
          </cell>
          <cell r="F82">
            <v>0</v>
          </cell>
          <cell r="I82">
            <v>6</v>
          </cell>
          <cell r="J82">
            <v>1</v>
          </cell>
          <cell r="M82">
            <v>6</v>
          </cell>
          <cell r="N82">
            <v>0</v>
          </cell>
          <cell r="Q82">
            <v>6</v>
          </cell>
          <cell r="R82">
            <v>0</v>
          </cell>
          <cell r="U82">
            <v>6</v>
          </cell>
          <cell r="V82">
            <v>0</v>
          </cell>
        </row>
        <row r="83">
          <cell r="B83" t="str">
            <v>NIFPS Panel Erection</v>
          </cell>
          <cell r="E83">
            <v>6</v>
          </cell>
          <cell r="F83">
            <v>4</v>
          </cell>
          <cell r="I83">
            <v>6</v>
          </cell>
          <cell r="J83">
            <v>2</v>
          </cell>
          <cell r="M83">
            <v>6</v>
          </cell>
          <cell r="N83">
            <v>0</v>
          </cell>
          <cell r="Q83">
            <v>6</v>
          </cell>
          <cell r="R83">
            <v>0</v>
          </cell>
          <cell r="U83">
            <v>6</v>
          </cell>
          <cell r="V83">
            <v>0</v>
          </cell>
        </row>
        <row r="84">
          <cell r="B84" t="str">
            <v>NIFPS Fabrication</v>
          </cell>
          <cell r="E84">
            <v>6</v>
          </cell>
          <cell r="F84">
            <v>3</v>
          </cell>
          <cell r="I84">
            <v>6</v>
          </cell>
          <cell r="J84">
            <v>2</v>
          </cell>
          <cell r="M84">
            <v>6</v>
          </cell>
          <cell r="N84">
            <v>0</v>
          </cell>
          <cell r="Q84">
            <v>6</v>
          </cell>
          <cell r="R84">
            <v>0</v>
          </cell>
          <cell r="U84">
            <v>6</v>
          </cell>
          <cell r="V84">
            <v>0</v>
          </cell>
        </row>
        <row r="85">
          <cell r="B85" t="str">
            <v xml:space="preserve">BOT </v>
          </cell>
          <cell r="E85" t="str">
            <v>Scope</v>
          </cell>
          <cell r="F85" t="str">
            <v>Actual</v>
          </cell>
          <cell r="I85" t="str">
            <v>Scope</v>
          </cell>
          <cell r="J85" t="str">
            <v>Actual</v>
          </cell>
          <cell r="M85" t="str">
            <v>Scope</v>
          </cell>
          <cell r="N85" t="str">
            <v>Actual</v>
          </cell>
          <cell r="Q85" t="str">
            <v>Scope</v>
          </cell>
          <cell r="R85" t="str">
            <v>Actual</v>
          </cell>
          <cell r="U85" t="str">
            <v>Scope</v>
          </cell>
          <cell r="V85" t="str">
            <v>Actual</v>
          </cell>
        </row>
        <row r="86">
          <cell r="B86" t="str">
            <v>Excavation / Compaction</v>
          </cell>
          <cell r="E86">
            <v>3</v>
          </cell>
          <cell r="F86">
            <v>3</v>
          </cell>
          <cell r="I86">
            <v>3</v>
          </cell>
          <cell r="J86">
            <v>3</v>
          </cell>
          <cell r="M86">
            <v>3</v>
          </cell>
          <cell r="N86">
            <v>3</v>
          </cell>
          <cell r="Q86">
            <v>3</v>
          </cell>
          <cell r="R86">
            <v>3</v>
          </cell>
          <cell r="U86">
            <v>3</v>
          </cell>
          <cell r="V86">
            <v>3</v>
          </cell>
        </row>
        <row r="87">
          <cell r="B87" t="str">
            <v>Rubble Soiling</v>
          </cell>
          <cell r="E87">
            <v>3</v>
          </cell>
          <cell r="F87">
            <v>3</v>
          </cell>
          <cell r="I87">
            <v>3</v>
          </cell>
          <cell r="J87">
            <v>3</v>
          </cell>
          <cell r="M87">
            <v>3</v>
          </cell>
          <cell r="N87">
            <v>3</v>
          </cell>
          <cell r="Q87">
            <v>3</v>
          </cell>
          <cell r="R87">
            <v>3</v>
          </cell>
          <cell r="U87">
            <v>3</v>
          </cell>
          <cell r="V87">
            <v>3</v>
          </cell>
        </row>
        <row r="88">
          <cell r="B88" t="str">
            <v>PCC</v>
          </cell>
          <cell r="E88">
            <v>3</v>
          </cell>
          <cell r="F88">
            <v>3</v>
          </cell>
          <cell r="I88">
            <v>3</v>
          </cell>
          <cell r="J88">
            <v>3</v>
          </cell>
          <cell r="M88">
            <v>3</v>
          </cell>
          <cell r="N88">
            <v>3</v>
          </cell>
          <cell r="Q88">
            <v>3</v>
          </cell>
          <cell r="R88">
            <v>3</v>
          </cell>
          <cell r="U88">
            <v>3</v>
          </cell>
          <cell r="V88">
            <v>3</v>
          </cell>
        </row>
        <row r="89">
          <cell r="B89" t="str">
            <v>BOT Precast Erection</v>
          </cell>
          <cell r="E89">
            <v>3</v>
          </cell>
          <cell r="F89">
            <v>3</v>
          </cell>
          <cell r="I89">
            <v>3</v>
          </cell>
          <cell r="J89">
            <v>3</v>
          </cell>
          <cell r="M89">
            <v>3</v>
          </cell>
          <cell r="N89">
            <v>3</v>
          </cell>
          <cell r="Q89">
            <v>3</v>
          </cell>
          <cell r="R89">
            <v>3</v>
          </cell>
          <cell r="U89">
            <v>3</v>
          </cell>
          <cell r="V89">
            <v>3</v>
          </cell>
        </row>
        <row r="90">
          <cell r="B90" t="str">
            <v>Painting &amp; Backfiling</v>
          </cell>
          <cell r="E90">
            <v>3</v>
          </cell>
          <cell r="F90">
            <v>3</v>
          </cell>
          <cell r="I90">
            <v>3</v>
          </cell>
          <cell r="J90">
            <v>3</v>
          </cell>
          <cell r="M90">
            <v>3</v>
          </cell>
          <cell r="N90">
            <v>3</v>
          </cell>
          <cell r="Q90">
            <v>3</v>
          </cell>
          <cell r="R90">
            <v>0</v>
          </cell>
          <cell r="U90">
            <v>3</v>
          </cell>
          <cell r="V90">
            <v>0</v>
          </cell>
        </row>
        <row r="91">
          <cell r="B91" t="str">
            <v>BOT Sump Connection</v>
          </cell>
          <cell r="E91">
            <v>6</v>
          </cell>
          <cell r="F91">
            <v>0</v>
          </cell>
          <cell r="I91">
            <v>6</v>
          </cell>
          <cell r="J91">
            <v>0</v>
          </cell>
          <cell r="M91">
            <v>6</v>
          </cell>
          <cell r="N91">
            <v>0</v>
          </cell>
          <cell r="Q91">
            <v>6</v>
          </cell>
          <cell r="R91">
            <v>0</v>
          </cell>
          <cell r="U91">
            <v>6</v>
          </cell>
          <cell r="V91">
            <v>0</v>
          </cell>
        </row>
        <row r="92">
          <cell r="B92" t="str">
            <v>HML</v>
          </cell>
          <cell r="E92" t="str">
            <v>Scope</v>
          </cell>
          <cell r="F92" t="str">
            <v>Actual</v>
          </cell>
          <cell r="I92" t="str">
            <v>Scope</v>
          </cell>
          <cell r="J92" t="str">
            <v>Actual</v>
          </cell>
          <cell r="M92" t="str">
            <v>Scope</v>
          </cell>
          <cell r="N92" t="str">
            <v>Actual</v>
          </cell>
          <cell r="Q92" t="str">
            <v>Scope</v>
          </cell>
          <cell r="R92" t="str">
            <v>Actual</v>
          </cell>
          <cell r="U92" t="str">
            <v>Scope</v>
          </cell>
          <cell r="V92" t="str">
            <v>Actual</v>
          </cell>
        </row>
        <row r="93">
          <cell r="B93" t="str">
            <v>HML - Marking and Excavation</v>
          </cell>
          <cell r="E93">
            <v>1</v>
          </cell>
          <cell r="F93">
            <v>1</v>
          </cell>
          <cell r="I93">
            <v>1</v>
          </cell>
          <cell r="J93">
            <v>1</v>
          </cell>
          <cell r="M93">
            <v>1</v>
          </cell>
          <cell r="N93">
            <v>1</v>
          </cell>
          <cell r="Q93">
            <v>1</v>
          </cell>
          <cell r="R93">
            <v>1</v>
          </cell>
          <cell r="U93">
            <v>1</v>
          </cell>
          <cell r="V93">
            <v>1</v>
          </cell>
        </row>
        <row r="94">
          <cell r="B94" t="str">
            <v>HML - Rubble soiling &amp; PCC</v>
          </cell>
          <cell r="E94">
            <v>1</v>
          </cell>
          <cell r="F94">
            <v>1</v>
          </cell>
          <cell r="I94">
            <v>1</v>
          </cell>
          <cell r="J94">
            <v>1</v>
          </cell>
          <cell r="M94">
            <v>1</v>
          </cell>
          <cell r="N94">
            <v>1</v>
          </cell>
          <cell r="Q94">
            <v>1</v>
          </cell>
          <cell r="R94">
            <v>1</v>
          </cell>
          <cell r="U94">
            <v>1</v>
          </cell>
          <cell r="V94">
            <v>1</v>
          </cell>
        </row>
        <row r="95">
          <cell r="B95" t="str">
            <v>HML - Raft casting</v>
          </cell>
          <cell r="E95">
            <v>1</v>
          </cell>
          <cell r="F95">
            <v>1</v>
          </cell>
          <cell r="I95">
            <v>1</v>
          </cell>
          <cell r="J95">
            <v>1</v>
          </cell>
          <cell r="M95">
            <v>1</v>
          </cell>
          <cell r="N95">
            <v>1</v>
          </cell>
          <cell r="Q95">
            <v>1</v>
          </cell>
          <cell r="R95">
            <v>1</v>
          </cell>
          <cell r="U95">
            <v>1</v>
          </cell>
          <cell r="V95">
            <v>1</v>
          </cell>
        </row>
        <row r="96">
          <cell r="B96" t="str">
            <v>HML - 1st Lift casting</v>
          </cell>
          <cell r="E96">
            <v>1</v>
          </cell>
          <cell r="F96">
            <v>1</v>
          </cell>
          <cell r="I96">
            <v>1</v>
          </cell>
          <cell r="J96">
            <v>1</v>
          </cell>
          <cell r="M96">
            <v>1</v>
          </cell>
          <cell r="N96">
            <v>1</v>
          </cell>
          <cell r="Q96">
            <v>1</v>
          </cell>
          <cell r="R96">
            <v>1</v>
          </cell>
          <cell r="U96">
            <v>1</v>
          </cell>
          <cell r="V96">
            <v>1</v>
          </cell>
        </row>
        <row r="97">
          <cell r="B97" t="str">
            <v>HML - Bolt fixing &amp; final casting</v>
          </cell>
          <cell r="E97">
            <v>1</v>
          </cell>
          <cell r="F97">
            <v>1</v>
          </cell>
          <cell r="I97">
            <v>1</v>
          </cell>
          <cell r="J97">
            <v>1</v>
          </cell>
          <cell r="M97">
            <v>1</v>
          </cell>
          <cell r="N97">
            <v>1</v>
          </cell>
          <cell r="Q97">
            <v>1</v>
          </cell>
          <cell r="R97">
            <v>1</v>
          </cell>
          <cell r="U97">
            <v>1</v>
          </cell>
          <cell r="V97">
            <v>1</v>
          </cell>
        </row>
        <row r="98">
          <cell r="B98" t="str">
            <v>High Mast Installation</v>
          </cell>
          <cell r="E98"/>
          <cell r="F98"/>
          <cell r="I98"/>
          <cell r="J98"/>
          <cell r="M98"/>
          <cell r="N98"/>
          <cell r="Q98"/>
          <cell r="R98"/>
          <cell r="U98"/>
          <cell r="V98"/>
        </row>
        <row r="99">
          <cell r="B99" t="str">
            <v>HML - Distribution Box Installation</v>
          </cell>
          <cell r="E99"/>
          <cell r="F99"/>
          <cell r="I99"/>
          <cell r="J99"/>
          <cell r="M99"/>
          <cell r="N99"/>
          <cell r="Q99"/>
          <cell r="R99"/>
          <cell r="U99"/>
          <cell r="V99"/>
        </row>
        <row r="100">
          <cell r="B100" t="str">
            <v>HML - Trench Excavation</v>
          </cell>
          <cell r="E100"/>
          <cell r="F100"/>
          <cell r="I100"/>
          <cell r="J100"/>
          <cell r="M100"/>
          <cell r="N100"/>
          <cell r="Q100"/>
          <cell r="R100"/>
          <cell r="U100"/>
          <cell r="V100"/>
        </row>
        <row r="101">
          <cell r="B101" t="str">
            <v>HML - Cable Laying (3.5Cx240 sqmm)</v>
          </cell>
          <cell r="E101"/>
          <cell r="F101"/>
          <cell r="I101"/>
          <cell r="J101"/>
          <cell r="M101"/>
          <cell r="N101"/>
          <cell r="Q101"/>
          <cell r="R101"/>
          <cell r="U101"/>
          <cell r="V101"/>
        </row>
        <row r="102">
          <cell r="B102" t="str">
            <v>HML - Cable Laying (3.5Cx50 sqmm)</v>
          </cell>
          <cell r="E102"/>
          <cell r="F102"/>
          <cell r="I102"/>
          <cell r="J102"/>
          <cell r="M102"/>
          <cell r="N102"/>
          <cell r="Q102"/>
          <cell r="R102"/>
          <cell r="U102"/>
          <cell r="V102"/>
        </row>
        <row r="103">
          <cell r="B103" t="str">
            <v>HML - Cable Termination</v>
          </cell>
          <cell r="E103"/>
          <cell r="F103"/>
          <cell r="I103"/>
          <cell r="J103"/>
          <cell r="M103"/>
          <cell r="N103"/>
          <cell r="Q103"/>
          <cell r="R103"/>
          <cell r="U103"/>
          <cell r="V103"/>
        </row>
        <row r="104">
          <cell r="B104" t="str">
            <v>Earthing &amp; LA</v>
          </cell>
          <cell r="E104" t="str">
            <v>Scope</v>
          </cell>
          <cell r="F104" t="str">
            <v>Actual</v>
          </cell>
          <cell r="I104" t="str">
            <v>Scope</v>
          </cell>
          <cell r="J104" t="str">
            <v>Actual</v>
          </cell>
          <cell r="M104" t="str">
            <v>Scope</v>
          </cell>
          <cell r="N104" t="str">
            <v>Actual</v>
          </cell>
          <cell r="Q104" t="str">
            <v>Scope</v>
          </cell>
          <cell r="R104" t="str">
            <v>Actual</v>
          </cell>
          <cell r="U104" t="str">
            <v>Scope</v>
          </cell>
          <cell r="V104" t="str">
            <v>Actual</v>
          </cell>
        </row>
        <row r="105">
          <cell r="B105" t="str">
            <v>Earthing - Trench Excavation</v>
          </cell>
          <cell r="E105">
            <v>2980</v>
          </cell>
          <cell r="F105">
            <v>1223</v>
          </cell>
          <cell r="I105">
            <v>2980</v>
          </cell>
          <cell r="J105">
            <v>740</v>
          </cell>
          <cell r="M105">
            <v>2980</v>
          </cell>
          <cell r="N105">
            <v>594</v>
          </cell>
          <cell r="Q105">
            <v>2980</v>
          </cell>
          <cell r="R105">
            <v>564</v>
          </cell>
          <cell r="U105">
            <v>2980</v>
          </cell>
          <cell r="V105">
            <v>459</v>
          </cell>
        </row>
        <row r="106">
          <cell r="B106" t="str">
            <v>Earthing - Strip Laying (25x6)</v>
          </cell>
          <cell r="E106">
            <v>150</v>
          </cell>
          <cell r="F106">
            <v>25</v>
          </cell>
          <cell r="I106">
            <v>150</v>
          </cell>
          <cell r="J106">
            <v>0</v>
          </cell>
          <cell r="M106">
            <v>150</v>
          </cell>
          <cell r="N106">
            <v>0</v>
          </cell>
          <cell r="Q106">
            <v>150</v>
          </cell>
          <cell r="R106">
            <v>0</v>
          </cell>
          <cell r="U106">
            <v>150</v>
          </cell>
          <cell r="V106">
            <v>0</v>
          </cell>
        </row>
        <row r="107">
          <cell r="B107" t="str">
            <v>Earthing</v>
          </cell>
          <cell r="E107">
            <v>3784</v>
          </cell>
          <cell r="F107">
            <v>3100</v>
          </cell>
          <cell r="I107">
            <v>3784</v>
          </cell>
          <cell r="J107">
            <v>1341</v>
          </cell>
          <cell r="M107">
            <v>3784</v>
          </cell>
          <cell r="N107">
            <v>539</v>
          </cell>
          <cell r="Q107">
            <v>3784</v>
          </cell>
          <cell r="R107">
            <v>478</v>
          </cell>
          <cell r="U107">
            <v>3784</v>
          </cell>
          <cell r="V107">
            <v>550</v>
          </cell>
        </row>
        <row r="108">
          <cell r="B108" t="str">
            <v>LA - Foundation</v>
          </cell>
          <cell r="E108">
            <v>10</v>
          </cell>
          <cell r="F108">
            <v>5</v>
          </cell>
          <cell r="I108">
            <v>10</v>
          </cell>
          <cell r="J108">
            <v>0</v>
          </cell>
          <cell r="M108">
            <v>10</v>
          </cell>
          <cell r="N108">
            <v>0</v>
          </cell>
          <cell r="Q108">
            <v>10</v>
          </cell>
          <cell r="R108">
            <v>0</v>
          </cell>
          <cell r="U108">
            <v>10</v>
          </cell>
          <cell r="V108">
            <v>0</v>
          </cell>
        </row>
        <row r="109">
          <cell r="B109" t="str">
            <v>LA</v>
          </cell>
          <cell r="E109">
            <v>10</v>
          </cell>
          <cell r="F109">
            <v>0</v>
          </cell>
          <cell r="I109">
            <v>10</v>
          </cell>
          <cell r="J109">
            <v>0</v>
          </cell>
          <cell r="M109">
            <v>10</v>
          </cell>
          <cell r="N109">
            <v>0</v>
          </cell>
          <cell r="Q109">
            <v>10</v>
          </cell>
          <cell r="R109">
            <v>0</v>
          </cell>
          <cell r="U109">
            <v>10</v>
          </cell>
          <cell r="V109">
            <v>0</v>
          </cell>
        </row>
        <row r="110">
          <cell r="B110" t="str">
            <v>LA Earth Pit Installation &amp; Connection</v>
          </cell>
          <cell r="E110">
            <v>0</v>
          </cell>
          <cell r="F110">
            <v>0</v>
          </cell>
          <cell r="I110">
            <v>0</v>
          </cell>
          <cell r="J110">
            <v>0</v>
          </cell>
          <cell r="M110">
            <v>0</v>
          </cell>
          <cell r="N110">
            <v>0</v>
          </cell>
          <cell r="Q110">
            <v>0</v>
          </cell>
          <cell r="R110">
            <v>0</v>
          </cell>
          <cell r="U110">
            <v>0</v>
          </cell>
          <cell r="V110">
            <v>0</v>
          </cell>
        </row>
        <row r="111">
          <cell r="B111" t="str">
            <v>HT &amp; FO Cable</v>
          </cell>
          <cell r="E111" t="str">
            <v>Scope</v>
          </cell>
          <cell r="F111" t="str">
            <v>Actual</v>
          </cell>
          <cell r="I111" t="str">
            <v>Scope</v>
          </cell>
          <cell r="J111" t="str">
            <v>Actual</v>
          </cell>
          <cell r="M111" t="str">
            <v>Scope</v>
          </cell>
          <cell r="N111" t="str">
            <v>Actual</v>
          </cell>
          <cell r="Q111" t="str">
            <v>Scope</v>
          </cell>
          <cell r="R111" t="str">
            <v>Actual</v>
          </cell>
          <cell r="U111" t="str">
            <v>Scope</v>
          </cell>
          <cell r="V111" t="str">
            <v>Actual</v>
          </cell>
        </row>
        <row r="112">
          <cell r="B112" t="str">
            <v>HT Cable Trench Excavation (PSS to SGR )</v>
          </cell>
          <cell r="E112">
            <v>0</v>
          </cell>
          <cell r="F112">
            <v>0</v>
          </cell>
          <cell r="I112">
            <v>0</v>
          </cell>
          <cell r="J112">
            <v>0</v>
          </cell>
          <cell r="M112">
            <v>0</v>
          </cell>
          <cell r="N112">
            <v>0</v>
          </cell>
          <cell r="Q112">
            <v>0</v>
          </cell>
          <cell r="R112">
            <v>0</v>
          </cell>
          <cell r="U112">
            <v>0</v>
          </cell>
          <cell r="V112">
            <v>0</v>
          </cell>
        </row>
        <row r="113">
          <cell r="B113" t="str">
            <v>HT cable laying</v>
          </cell>
          <cell r="E113">
            <v>14392</v>
          </cell>
          <cell r="F113">
            <v>14392</v>
          </cell>
          <cell r="I113">
            <v>15082</v>
          </cell>
          <cell r="J113">
            <v>15082</v>
          </cell>
          <cell r="M113">
            <v>15956</v>
          </cell>
          <cell r="N113">
            <v>15956</v>
          </cell>
          <cell r="Q113">
            <v>12597</v>
          </cell>
          <cell r="R113">
            <v>12597</v>
          </cell>
          <cell r="U113">
            <v>12831</v>
          </cell>
          <cell r="V113">
            <v>12831</v>
          </cell>
        </row>
        <row r="114">
          <cell r="B114" t="str">
            <v>HT Cable Trench Excavation (CT to SGR)</v>
          </cell>
          <cell r="E114">
            <v>0</v>
          </cell>
          <cell r="F114">
            <v>0</v>
          </cell>
          <cell r="I114">
            <v>0</v>
          </cell>
          <cell r="J114">
            <v>0</v>
          </cell>
          <cell r="M114">
            <v>0</v>
          </cell>
          <cell r="N114">
            <v>0</v>
          </cell>
          <cell r="Q114">
            <v>0</v>
          </cell>
          <cell r="R114">
            <v>0</v>
          </cell>
          <cell r="U114">
            <v>0</v>
          </cell>
          <cell r="V114">
            <v>0</v>
          </cell>
        </row>
        <row r="115">
          <cell r="B115" t="str">
            <v>HT cable laying</v>
          </cell>
          <cell r="E115">
            <v>526</v>
          </cell>
          <cell r="F115">
            <v>526</v>
          </cell>
          <cell r="I115">
            <v>515</v>
          </cell>
          <cell r="J115">
            <v>0</v>
          </cell>
          <cell r="M115">
            <v>515</v>
          </cell>
          <cell r="N115">
            <v>0</v>
          </cell>
          <cell r="Q115">
            <v>515</v>
          </cell>
          <cell r="R115">
            <v>0</v>
          </cell>
          <cell r="U115">
            <v>515</v>
          </cell>
          <cell r="V115">
            <v>0</v>
          </cell>
        </row>
        <row r="116">
          <cell r="B116" t="str">
            <v>HT cable laying</v>
          </cell>
          <cell r="E116">
            <v>70</v>
          </cell>
          <cell r="F116">
            <v>70</v>
          </cell>
          <cell r="I116">
            <v>65</v>
          </cell>
          <cell r="J116">
            <v>0</v>
          </cell>
          <cell r="M116">
            <v>65</v>
          </cell>
          <cell r="N116">
            <v>0</v>
          </cell>
          <cell r="Q116">
            <v>65</v>
          </cell>
          <cell r="R116">
            <v>0</v>
          </cell>
          <cell r="U116">
            <v>65</v>
          </cell>
          <cell r="V116">
            <v>0</v>
          </cell>
        </row>
        <row r="117">
          <cell r="B117" t="str">
            <v>HT cable termination</v>
          </cell>
          <cell r="E117">
            <v>6</v>
          </cell>
          <cell r="F117">
            <v>6</v>
          </cell>
          <cell r="I117">
            <v>6</v>
          </cell>
          <cell r="J117">
            <v>0</v>
          </cell>
          <cell r="M117">
            <v>6</v>
          </cell>
          <cell r="N117">
            <v>0</v>
          </cell>
          <cell r="Q117">
            <v>6</v>
          </cell>
          <cell r="R117">
            <v>0</v>
          </cell>
          <cell r="U117">
            <v>6</v>
          </cell>
          <cell r="V117">
            <v>0</v>
          </cell>
        </row>
        <row r="118">
          <cell r="B118" t="str">
            <v>HT cable termination</v>
          </cell>
          <cell r="E118">
            <v>8</v>
          </cell>
          <cell r="F118">
            <v>8</v>
          </cell>
          <cell r="I118">
            <v>8</v>
          </cell>
          <cell r="J118">
            <v>0</v>
          </cell>
          <cell r="M118">
            <v>8</v>
          </cell>
          <cell r="N118">
            <v>0</v>
          </cell>
          <cell r="Q118">
            <v>8</v>
          </cell>
          <cell r="R118">
            <v>0</v>
          </cell>
          <cell r="U118">
            <v>8</v>
          </cell>
          <cell r="V118">
            <v>0</v>
          </cell>
        </row>
        <row r="119">
          <cell r="B119" t="str">
            <v>HT cable termination</v>
          </cell>
          <cell r="E119">
            <v>2</v>
          </cell>
          <cell r="F119">
            <v>2</v>
          </cell>
          <cell r="I119">
            <v>2</v>
          </cell>
          <cell r="J119">
            <v>0</v>
          </cell>
          <cell r="M119">
            <v>2</v>
          </cell>
          <cell r="N119">
            <v>0</v>
          </cell>
          <cell r="Q119">
            <v>2</v>
          </cell>
          <cell r="R119">
            <v>0</v>
          </cell>
          <cell r="U119">
            <v>2</v>
          </cell>
          <cell r="V119">
            <v>0</v>
          </cell>
        </row>
        <row r="120">
          <cell r="B120" t="str">
            <v>HT cable termination</v>
          </cell>
          <cell r="E120">
            <v>6</v>
          </cell>
          <cell r="F120">
            <v>6</v>
          </cell>
          <cell r="I120">
            <v>6</v>
          </cell>
          <cell r="J120">
            <v>0</v>
          </cell>
          <cell r="M120">
            <v>6</v>
          </cell>
          <cell r="N120">
            <v>0</v>
          </cell>
          <cell r="Q120">
            <v>6</v>
          </cell>
          <cell r="R120">
            <v>0</v>
          </cell>
          <cell r="U120">
            <v>6</v>
          </cell>
          <cell r="V120">
            <v>0</v>
          </cell>
        </row>
        <row r="121">
          <cell r="B121" t="str">
            <v>HT cable termination</v>
          </cell>
          <cell r="E121">
            <v>6</v>
          </cell>
          <cell r="F121">
            <v>0</v>
          </cell>
          <cell r="I121">
            <v>6</v>
          </cell>
          <cell r="J121">
            <v>0</v>
          </cell>
          <cell r="M121">
            <v>6</v>
          </cell>
          <cell r="N121">
            <v>0</v>
          </cell>
          <cell r="Q121">
            <v>6</v>
          </cell>
          <cell r="R121">
            <v>0</v>
          </cell>
          <cell r="U121">
            <v>6</v>
          </cell>
          <cell r="V121">
            <v>0</v>
          </cell>
        </row>
        <row r="122">
          <cell r="B122" t="str">
            <v>HT cable torquing</v>
          </cell>
          <cell r="E122">
            <v>6</v>
          </cell>
          <cell r="F122">
            <v>0</v>
          </cell>
          <cell r="I122">
            <v>6</v>
          </cell>
          <cell r="J122">
            <v>0</v>
          </cell>
          <cell r="M122">
            <v>6</v>
          </cell>
          <cell r="N122">
            <v>0</v>
          </cell>
          <cell r="Q122">
            <v>6</v>
          </cell>
          <cell r="R122">
            <v>0</v>
          </cell>
          <cell r="U122">
            <v>6</v>
          </cell>
          <cell r="V122">
            <v>0</v>
          </cell>
        </row>
        <row r="123">
          <cell r="B123" t="str">
            <v>HT cable torquing</v>
          </cell>
          <cell r="E123">
            <v>8</v>
          </cell>
          <cell r="F123">
            <v>0</v>
          </cell>
          <cell r="I123">
            <v>8</v>
          </cell>
          <cell r="J123">
            <v>0</v>
          </cell>
          <cell r="M123">
            <v>8</v>
          </cell>
          <cell r="N123">
            <v>0</v>
          </cell>
          <cell r="Q123">
            <v>8</v>
          </cell>
          <cell r="R123">
            <v>0</v>
          </cell>
          <cell r="U123">
            <v>8</v>
          </cell>
          <cell r="V123">
            <v>0</v>
          </cell>
        </row>
        <row r="124">
          <cell r="B124" t="str">
            <v>HT cable torquing</v>
          </cell>
          <cell r="E124">
            <v>2</v>
          </cell>
          <cell r="F124">
            <v>0</v>
          </cell>
          <cell r="I124">
            <v>2</v>
          </cell>
          <cell r="J124">
            <v>0</v>
          </cell>
          <cell r="M124">
            <v>2</v>
          </cell>
          <cell r="N124">
            <v>0</v>
          </cell>
          <cell r="Q124">
            <v>2</v>
          </cell>
          <cell r="R124">
            <v>0</v>
          </cell>
          <cell r="U124">
            <v>2</v>
          </cell>
          <cell r="V124">
            <v>0</v>
          </cell>
        </row>
        <row r="125">
          <cell r="B125" t="str">
            <v>HT cable torquing</v>
          </cell>
          <cell r="E125">
            <v>6</v>
          </cell>
          <cell r="F125">
            <v>0</v>
          </cell>
          <cell r="I125">
            <v>6</v>
          </cell>
          <cell r="J125">
            <v>0</v>
          </cell>
          <cell r="M125">
            <v>6</v>
          </cell>
          <cell r="N125">
            <v>0</v>
          </cell>
          <cell r="Q125">
            <v>6</v>
          </cell>
          <cell r="R125">
            <v>0</v>
          </cell>
          <cell r="U125">
            <v>6</v>
          </cell>
          <cell r="V125">
            <v>0</v>
          </cell>
        </row>
        <row r="126">
          <cell r="B126" t="str">
            <v>HT cable torquing</v>
          </cell>
          <cell r="E126">
            <v>6</v>
          </cell>
          <cell r="F126">
            <v>0</v>
          </cell>
          <cell r="I126">
            <v>6</v>
          </cell>
          <cell r="J126">
            <v>0</v>
          </cell>
          <cell r="M126">
            <v>6</v>
          </cell>
          <cell r="N126">
            <v>0</v>
          </cell>
          <cell r="Q126">
            <v>6</v>
          </cell>
          <cell r="R126">
            <v>0</v>
          </cell>
          <cell r="U126">
            <v>6</v>
          </cell>
          <cell r="V126">
            <v>0</v>
          </cell>
        </row>
        <row r="127">
          <cell r="B127" t="str">
            <v>FO Cable Laying</v>
          </cell>
          <cell r="E127">
            <v>0</v>
          </cell>
          <cell r="F127">
            <v>0</v>
          </cell>
          <cell r="I127">
            <v>0</v>
          </cell>
          <cell r="J127">
            <v>0</v>
          </cell>
          <cell r="M127">
            <v>0</v>
          </cell>
          <cell r="N127">
            <v>0</v>
          </cell>
          <cell r="Q127">
            <v>0</v>
          </cell>
          <cell r="R127">
            <v>0</v>
          </cell>
          <cell r="U127">
            <v>0</v>
          </cell>
          <cell r="V127">
            <v>0</v>
          </cell>
        </row>
        <row r="128">
          <cell r="B128" t="str">
            <v>DC &amp; LT Cable</v>
          </cell>
          <cell r="E128" t="str">
            <v>Scope</v>
          </cell>
          <cell r="F128" t="str">
            <v>Actual</v>
          </cell>
          <cell r="I128" t="str">
            <v>Scope</v>
          </cell>
          <cell r="J128" t="str">
            <v>Actual</v>
          </cell>
          <cell r="M128" t="str">
            <v>Scope</v>
          </cell>
          <cell r="N128" t="str">
            <v>Actual</v>
          </cell>
          <cell r="Q128" t="str">
            <v>Scope</v>
          </cell>
          <cell r="R128" t="str">
            <v>Actual</v>
          </cell>
          <cell r="U128" t="str">
            <v>Scope</v>
          </cell>
          <cell r="V128" t="str">
            <v>Actual</v>
          </cell>
        </row>
        <row r="129">
          <cell r="B129" t="str">
            <v>DC Cable Trench Excavation</v>
          </cell>
          <cell r="E129">
            <v>0</v>
          </cell>
          <cell r="F129">
            <v>0</v>
          </cell>
          <cell r="I129">
            <v>0</v>
          </cell>
          <cell r="J129">
            <v>0</v>
          </cell>
          <cell r="M129">
            <v>0</v>
          </cell>
          <cell r="N129">
            <v>0</v>
          </cell>
          <cell r="Q129">
            <v>0</v>
          </cell>
          <cell r="R129">
            <v>0</v>
          </cell>
          <cell r="U129">
            <v>0</v>
          </cell>
          <cell r="V129">
            <v>0</v>
          </cell>
        </row>
        <row r="130">
          <cell r="B130" t="str">
            <v>DC Cable laying</v>
          </cell>
          <cell r="E130">
            <v>20671</v>
          </cell>
          <cell r="F130">
            <v>20671</v>
          </cell>
          <cell r="I130">
            <v>22076</v>
          </cell>
          <cell r="J130">
            <v>22076</v>
          </cell>
          <cell r="M130">
            <v>20188</v>
          </cell>
          <cell r="N130">
            <v>3040</v>
          </cell>
          <cell r="Q130">
            <v>19818</v>
          </cell>
          <cell r="R130">
            <v>0</v>
          </cell>
          <cell r="U130">
            <v>19782</v>
          </cell>
          <cell r="V130">
            <v>10882</v>
          </cell>
        </row>
        <row r="131">
          <cell r="B131" t="str">
            <v>DC Cable termination</v>
          </cell>
          <cell r="E131">
            <v>768</v>
          </cell>
          <cell r="F131">
            <v>768</v>
          </cell>
          <cell r="I131">
            <v>768</v>
          </cell>
          <cell r="J131">
            <v>0</v>
          </cell>
          <cell r="M131">
            <v>768</v>
          </cell>
          <cell r="N131">
            <v>0</v>
          </cell>
          <cell r="Q131">
            <v>768</v>
          </cell>
          <cell r="R131">
            <v>0</v>
          </cell>
          <cell r="U131">
            <v>768</v>
          </cell>
          <cell r="V131">
            <v>0</v>
          </cell>
        </row>
        <row r="132">
          <cell r="B132" t="str">
            <v>DC Cable termination</v>
          </cell>
          <cell r="E132">
            <v>768</v>
          </cell>
          <cell r="F132">
            <v>768</v>
          </cell>
          <cell r="I132">
            <v>768</v>
          </cell>
          <cell r="J132">
            <v>384</v>
          </cell>
          <cell r="M132">
            <v>768</v>
          </cell>
          <cell r="N132">
            <v>0</v>
          </cell>
          <cell r="Q132">
            <v>768</v>
          </cell>
          <cell r="R132">
            <v>0</v>
          </cell>
          <cell r="U132">
            <v>768</v>
          </cell>
          <cell r="V132">
            <v>0</v>
          </cell>
        </row>
        <row r="133">
          <cell r="B133" t="str">
            <v>DC Cable termination</v>
          </cell>
          <cell r="E133">
            <v>0</v>
          </cell>
          <cell r="F133">
            <v>0</v>
          </cell>
          <cell r="I133">
            <v>0</v>
          </cell>
          <cell r="J133">
            <v>0</v>
          </cell>
          <cell r="M133">
            <v>0</v>
          </cell>
          <cell r="N133">
            <v>0</v>
          </cell>
          <cell r="Q133">
            <v>0</v>
          </cell>
          <cell r="R133">
            <v>0</v>
          </cell>
          <cell r="U133">
            <v>0</v>
          </cell>
          <cell r="V133">
            <v>0</v>
          </cell>
        </row>
        <row r="134">
          <cell r="B134" t="str">
            <v>DC Cable Torquing</v>
          </cell>
          <cell r="E134">
            <v>768</v>
          </cell>
          <cell r="F134">
            <v>640</v>
          </cell>
          <cell r="I134">
            <v>768</v>
          </cell>
          <cell r="J134">
            <v>0</v>
          </cell>
          <cell r="M134">
            <v>768</v>
          </cell>
          <cell r="N134">
            <v>0</v>
          </cell>
          <cell r="Q134">
            <v>768</v>
          </cell>
          <cell r="R134">
            <v>0</v>
          </cell>
          <cell r="U134">
            <v>768</v>
          </cell>
          <cell r="V134">
            <v>0</v>
          </cell>
        </row>
        <row r="135">
          <cell r="B135" t="str">
            <v>DC Cable Torquing</v>
          </cell>
          <cell r="E135">
            <v>768</v>
          </cell>
          <cell r="F135">
            <v>640</v>
          </cell>
          <cell r="I135">
            <v>768</v>
          </cell>
          <cell r="J135">
            <v>0</v>
          </cell>
          <cell r="M135">
            <v>768</v>
          </cell>
          <cell r="N135">
            <v>0</v>
          </cell>
          <cell r="Q135">
            <v>768</v>
          </cell>
          <cell r="R135">
            <v>0</v>
          </cell>
          <cell r="U135">
            <v>768</v>
          </cell>
          <cell r="V135">
            <v>0</v>
          </cell>
        </row>
        <row r="136">
          <cell r="B136" t="str">
            <v>LT Cable laying</v>
          </cell>
          <cell r="E136">
            <v>43523</v>
          </cell>
          <cell r="F136">
            <v>43523</v>
          </cell>
          <cell r="I136">
            <v>43230</v>
          </cell>
          <cell r="J136">
            <v>43230</v>
          </cell>
          <cell r="M136">
            <v>44477</v>
          </cell>
          <cell r="N136">
            <v>0</v>
          </cell>
          <cell r="Q136">
            <v>44477</v>
          </cell>
          <cell r="R136">
            <v>0</v>
          </cell>
          <cell r="U136">
            <v>44477</v>
          </cell>
          <cell r="V136">
            <v>0</v>
          </cell>
        </row>
        <row r="137">
          <cell r="B137" t="str">
            <v>LT Cable termination</v>
          </cell>
          <cell r="E137">
            <v>1152</v>
          </cell>
          <cell r="F137">
            <v>960</v>
          </cell>
          <cell r="I137">
            <v>1152</v>
          </cell>
          <cell r="J137">
            <v>480</v>
          </cell>
          <cell r="M137">
            <v>1152</v>
          </cell>
          <cell r="N137">
            <v>0</v>
          </cell>
          <cell r="Q137">
            <v>1152</v>
          </cell>
          <cell r="R137">
            <v>0</v>
          </cell>
          <cell r="U137">
            <v>1152</v>
          </cell>
          <cell r="V137">
            <v>0</v>
          </cell>
        </row>
        <row r="138">
          <cell r="B138" t="str">
            <v>LT Cable termination</v>
          </cell>
          <cell r="E138">
            <v>1152</v>
          </cell>
          <cell r="F138">
            <v>864</v>
          </cell>
          <cell r="I138">
            <v>1152</v>
          </cell>
          <cell r="J138">
            <v>768</v>
          </cell>
          <cell r="M138">
            <v>1152</v>
          </cell>
          <cell r="N138">
            <v>0</v>
          </cell>
          <cell r="Q138">
            <v>1152</v>
          </cell>
          <cell r="R138">
            <v>0</v>
          </cell>
          <cell r="U138">
            <v>1152</v>
          </cell>
          <cell r="V138">
            <v>0</v>
          </cell>
        </row>
        <row r="139">
          <cell r="B139" t="str">
            <v>LT Cable Torquing</v>
          </cell>
          <cell r="E139">
            <v>1152</v>
          </cell>
          <cell r="F139">
            <v>576</v>
          </cell>
          <cell r="I139">
            <v>1152</v>
          </cell>
          <cell r="J139">
            <v>0</v>
          </cell>
          <cell r="M139">
            <v>1152</v>
          </cell>
          <cell r="N139">
            <v>0</v>
          </cell>
          <cell r="Q139">
            <v>1152</v>
          </cell>
          <cell r="R139">
            <v>0</v>
          </cell>
          <cell r="U139">
            <v>1152</v>
          </cell>
          <cell r="V139">
            <v>0</v>
          </cell>
        </row>
        <row r="140">
          <cell r="B140" t="str">
            <v>LT Cable Torquing</v>
          </cell>
          <cell r="E140">
            <v>1152</v>
          </cell>
          <cell r="F140">
            <v>384</v>
          </cell>
          <cell r="I140">
            <v>1152</v>
          </cell>
          <cell r="J140">
            <v>0</v>
          </cell>
          <cell r="M140">
            <v>1152</v>
          </cell>
          <cell r="N140">
            <v>0</v>
          </cell>
          <cell r="Q140">
            <v>1152</v>
          </cell>
          <cell r="R140">
            <v>0</v>
          </cell>
          <cell r="U140">
            <v>1152</v>
          </cell>
          <cell r="V140">
            <v>0</v>
          </cell>
        </row>
        <row r="141">
          <cell r="B141" t="str">
            <v>Aux Cable</v>
          </cell>
          <cell r="E141" t="str">
            <v>Scope</v>
          </cell>
          <cell r="F141" t="str">
            <v>Actual</v>
          </cell>
          <cell r="I141" t="str">
            <v>Scope</v>
          </cell>
          <cell r="J141" t="str">
            <v>Actual</v>
          </cell>
          <cell r="M141" t="str">
            <v>Scope</v>
          </cell>
          <cell r="N141" t="str">
            <v>Actual</v>
          </cell>
          <cell r="Q141" t="str">
            <v>Scope</v>
          </cell>
          <cell r="R141" t="str">
            <v>Actual</v>
          </cell>
          <cell r="U141" t="str">
            <v>Scope</v>
          </cell>
          <cell r="V141" t="str">
            <v>Actual</v>
          </cell>
        </row>
        <row r="142">
          <cell r="B142" t="str">
            <v>Aux Cable laying</v>
          </cell>
          <cell r="E142">
            <v>5688</v>
          </cell>
          <cell r="F142">
            <v>5688</v>
          </cell>
          <cell r="I142">
            <v>4404</v>
          </cell>
          <cell r="J142">
            <v>4404</v>
          </cell>
          <cell r="M142">
            <v>4154</v>
          </cell>
          <cell r="N142">
            <v>0</v>
          </cell>
          <cell r="Q142">
            <v>4154</v>
          </cell>
          <cell r="R142">
            <v>0</v>
          </cell>
          <cell r="U142">
            <v>4154</v>
          </cell>
          <cell r="V142">
            <v>0</v>
          </cell>
        </row>
        <row r="143">
          <cell r="B143" t="str">
            <v>Aux Cable laying</v>
          </cell>
          <cell r="E143">
            <v>1646</v>
          </cell>
          <cell r="F143">
            <v>1646</v>
          </cell>
          <cell r="I143">
            <v>1716</v>
          </cell>
          <cell r="J143">
            <v>1716</v>
          </cell>
          <cell r="M143">
            <v>1629</v>
          </cell>
          <cell r="N143">
            <v>0</v>
          </cell>
          <cell r="Q143">
            <v>1629</v>
          </cell>
          <cell r="R143">
            <v>0</v>
          </cell>
          <cell r="U143">
            <v>1660</v>
          </cell>
          <cell r="V143">
            <v>313</v>
          </cell>
        </row>
        <row r="144">
          <cell r="B144" t="str">
            <v>Aux Cable laying</v>
          </cell>
          <cell r="E144">
            <v>366</v>
          </cell>
          <cell r="F144">
            <v>366</v>
          </cell>
          <cell r="I144">
            <v>366</v>
          </cell>
          <cell r="J144">
            <v>311</v>
          </cell>
          <cell r="M144">
            <v>366</v>
          </cell>
          <cell r="N144">
            <v>0</v>
          </cell>
          <cell r="Q144">
            <v>366</v>
          </cell>
          <cell r="R144">
            <v>0</v>
          </cell>
          <cell r="U144">
            <v>366</v>
          </cell>
          <cell r="V144">
            <v>0</v>
          </cell>
        </row>
        <row r="145">
          <cell r="B145" t="str">
            <v>Aux Cable laying</v>
          </cell>
          <cell r="E145">
            <v>84</v>
          </cell>
          <cell r="F145">
            <v>84</v>
          </cell>
          <cell r="I145">
            <v>84</v>
          </cell>
          <cell r="J145">
            <v>70</v>
          </cell>
          <cell r="M145">
            <v>84</v>
          </cell>
          <cell r="N145">
            <v>0</v>
          </cell>
          <cell r="Q145">
            <v>84</v>
          </cell>
          <cell r="R145">
            <v>0</v>
          </cell>
          <cell r="U145">
            <v>84</v>
          </cell>
          <cell r="V145">
            <v>0</v>
          </cell>
        </row>
        <row r="146">
          <cell r="B146" t="str">
            <v>Aux Cable laying</v>
          </cell>
          <cell r="E146">
            <v>1088</v>
          </cell>
          <cell r="F146">
            <v>707</v>
          </cell>
          <cell r="I146">
            <v>984</v>
          </cell>
          <cell r="J146">
            <v>813</v>
          </cell>
          <cell r="M146">
            <v>1137</v>
          </cell>
          <cell r="N146">
            <v>0</v>
          </cell>
          <cell r="Q146">
            <v>1137</v>
          </cell>
          <cell r="R146">
            <v>0</v>
          </cell>
          <cell r="U146">
            <v>1137</v>
          </cell>
          <cell r="V146">
            <v>0</v>
          </cell>
        </row>
        <row r="147">
          <cell r="B147" t="str">
            <v>Aux Cable laying</v>
          </cell>
          <cell r="E147">
            <v>54</v>
          </cell>
          <cell r="F147">
            <v>0</v>
          </cell>
          <cell r="I147">
            <v>54</v>
          </cell>
          <cell r="J147">
            <v>0</v>
          </cell>
          <cell r="M147">
            <v>54</v>
          </cell>
          <cell r="N147">
            <v>0</v>
          </cell>
          <cell r="Q147">
            <v>54</v>
          </cell>
          <cell r="R147">
            <v>0</v>
          </cell>
          <cell r="U147">
            <v>54</v>
          </cell>
          <cell r="V147">
            <v>0</v>
          </cell>
        </row>
        <row r="148">
          <cell r="B148" t="str">
            <v>Aux Cable laying</v>
          </cell>
          <cell r="E148">
            <v>13</v>
          </cell>
          <cell r="F148">
            <v>13</v>
          </cell>
          <cell r="I148">
            <v>17</v>
          </cell>
          <cell r="J148">
            <v>0</v>
          </cell>
          <cell r="M148">
            <v>17</v>
          </cell>
          <cell r="N148">
            <v>0</v>
          </cell>
          <cell r="Q148">
            <v>17</v>
          </cell>
          <cell r="R148">
            <v>0</v>
          </cell>
          <cell r="U148">
            <v>17</v>
          </cell>
          <cell r="V148">
            <v>0</v>
          </cell>
        </row>
        <row r="149">
          <cell r="B149" t="str">
            <v>Aux Cable laying</v>
          </cell>
          <cell r="E149">
            <v>58</v>
          </cell>
          <cell r="F149">
            <v>0</v>
          </cell>
          <cell r="I149">
            <v>58</v>
          </cell>
          <cell r="J149">
            <v>0</v>
          </cell>
          <cell r="M149">
            <v>58</v>
          </cell>
          <cell r="N149">
            <v>0</v>
          </cell>
          <cell r="Q149">
            <v>58</v>
          </cell>
          <cell r="R149">
            <v>0</v>
          </cell>
          <cell r="U149">
            <v>58</v>
          </cell>
          <cell r="V149">
            <v>0</v>
          </cell>
        </row>
        <row r="150">
          <cell r="B150" t="str">
            <v>Aux Cable laying</v>
          </cell>
          <cell r="E150">
            <v>8</v>
          </cell>
          <cell r="F150">
            <v>8</v>
          </cell>
          <cell r="I150">
            <v>8</v>
          </cell>
          <cell r="J150">
            <v>0</v>
          </cell>
          <cell r="M150">
            <v>8</v>
          </cell>
          <cell r="N150">
            <v>0</v>
          </cell>
          <cell r="Q150">
            <v>8</v>
          </cell>
          <cell r="R150">
            <v>0</v>
          </cell>
          <cell r="U150">
            <v>8</v>
          </cell>
          <cell r="V150">
            <v>0</v>
          </cell>
        </row>
        <row r="151">
          <cell r="B151" t="str">
            <v>Aux Cable laying</v>
          </cell>
          <cell r="E151">
            <v>17</v>
          </cell>
          <cell r="F151">
            <v>17</v>
          </cell>
          <cell r="I151">
            <v>6</v>
          </cell>
          <cell r="J151">
            <v>0</v>
          </cell>
          <cell r="M151">
            <v>6</v>
          </cell>
          <cell r="N151">
            <v>0</v>
          </cell>
          <cell r="Q151">
            <v>6</v>
          </cell>
          <cell r="R151">
            <v>0</v>
          </cell>
          <cell r="U151">
            <v>6</v>
          </cell>
          <cell r="V151">
            <v>0</v>
          </cell>
        </row>
        <row r="152">
          <cell r="B152" t="str">
            <v>Aux Cable laying</v>
          </cell>
          <cell r="E152">
            <v>553</v>
          </cell>
          <cell r="F152">
            <v>195</v>
          </cell>
          <cell r="I152">
            <v>566</v>
          </cell>
          <cell r="J152">
            <v>0</v>
          </cell>
          <cell r="M152">
            <v>566</v>
          </cell>
          <cell r="N152">
            <v>0</v>
          </cell>
          <cell r="Q152">
            <v>566</v>
          </cell>
          <cell r="R152">
            <v>0</v>
          </cell>
          <cell r="U152">
            <v>566</v>
          </cell>
          <cell r="V152">
            <v>0</v>
          </cell>
        </row>
        <row r="153">
          <cell r="B153" t="str">
            <v>Aux Cable laying</v>
          </cell>
          <cell r="E153">
            <v>15</v>
          </cell>
          <cell r="F153">
            <v>0</v>
          </cell>
          <cell r="I153">
            <v>15</v>
          </cell>
          <cell r="J153">
            <v>0</v>
          </cell>
          <cell r="M153">
            <v>15</v>
          </cell>
          <cell r="N153">
            <v>0</v>
          </cell>
          <cell r="Q153">
            <v>15</v>
          </cell>
          <cell r="R153">
            <v>0</v>
          </cell>
          <cell r="U153">
            <v>15</v>
          </cell>
          <cell r="V153">
            <v>0</v>
          </cell>
        </row>
        <row r="154">
          <cell r="B154" t="str">
            <v>Aux Cable laying</v>
          </cell>
          <cell r="E154">
            <v>12</v>
          </cell>
          <cell r="F154">
            <v>0</v>
          </cell>
          <cell r="I154">
            <v>12</v>
          </cell>
          <cell r="J154">
            <v>0</v>
          </cell>
          <cell r="M154">
            <v>12</v>
          </cell>
          <cell r="N154">
            <v>0</v>
          </cell>
          <cell r="Q154">
            <v>12</v>
          </cell>
          <cell r="R154">
            <v>0</v>
          </cell>
          <cell r="U154">
            <v>12</v>
          </cell>
          <cell r="V154">
            <v>0</v>
          </cell>
        </row>
        <row r="155">
          <cell r="B155" t="str">
            <v>Aux Cable termination</v>
          </cell>
          <cell r="E155">
            <v>48</v>
          </cell>
          <cell r="F155">
            <v>0</v>
          </cell>
          <cell r="I155">
            <v>48</v>
          </cell>
          <cell r="J155">
            <v>0</v>
          </cell>
          <cell r="M155">
            <v>48</v>
          </cell>
          <cell r="N155">
            <v>0</v>
          </cell>
          <cell r="Q155">
            <v>48</v>
          </cell>
          <cell r="R155">
            <v>0</v>
          </cell>
          <cell r="U155">
            <v>48</v>
          </cell>
          <cell r="V155">
            <v>0</v>
          </cell>
        </row>
        <row r="156">
          <cell r="B156" t="str">
            <v>Aux Cable termination</v>
          </cell>
          <cell r="E156">
            <v>48</v>
          </cell>
          <cell r="F156">
            <v>32</v>
          </cell>
          <cell r="I156">
            <v>48</v>
          </cell>
          <cell r="J156">
            <v>0</v>
          </cell>
          <cell r="M156">
            <v>48</v>
          </cell>
          <cell r="N156">
            <v>0</v>
          </cell>
          <cell r="Q156">
            <v>48</v>
          </cell>
          <cell r="R156">
            <v>0</v>
          </cell>
          <cell r="U156">
            <v>48</v>
          </cell>
          <cell r="V156">
            <v>0</v>
          </cell>
        </row>
        <row r="157">
          <cell r="B157" t="str">
            <v>Aux Cable termination</v>
          </cell>
          <cell r="E157">
            <v>49</v>
          </cell>
          <cell r="F157">
            <v>48</v>
          </cell>
          <cell r="I157">
            <v>49</v>
          </cell>
          <cell r="J157">
            <v>0</v>
          </cell>
          <cell r="M157">
            <v>49</v>
          </cell>
          <cell r="N157">
            <v>0</v>
          </cell>
          <cell r="Q157">
            <v>49</v>
          </cell>
          <cell r="R157">
            <v>0</v>
          </cell>
          <cell r="U157">
            <v>49</v>
          </cell>
          <cell r="V157">
            <v>0</v>
          </cell>
        </row>
        <row r="158">
          <cell r="B158" t="str">
            <v>Aux Cable termination</v>
          </cell>
          <cell r="E158">
            <v>48</v>
          </cell>
          <cell r="F158">
            <v>48</v>
          </cell>
          <cell r="I158">
            <v>48</v>
          </cell>
          <cell r="J158">
            <v>0</v>
          </cell>
          <cell r="M158">
            <v>48</v>
          </cell>
          <cell r="N158">
            <v>0</v>
          </cell>
          <cell r="Q158">
            <v>48</v>
          </cell>
          <cell r="R158">
            <v>0</v>
          </cell>
          <cell r="U158">
            <v>48</v>
          </cell>
          <cell r="V158">
            <v>0</v>
          </cell>
        </row>
        <row r="159">
          <cell r="B159" t="str">
            <v>Aux Cable termination</v>
          </cell>
          <cell r="E159">
            <v>24</v>
          </cell>
          <cell r="F159">
            <v>0</v>
          </cell>
          <cell r="I159">
            <v>24</v>
          </cell>
          <cell r="J159">
            <v>0</v>
          </cell>
          <cell r="M159">
            <v>24</v>
          </cell>
          <cell r="N159">
            <v>0</v>
          </cell>
          <cell r="Q159">
            <v>24</v>
          </cell>
          <cell r="R159">
            <v>0</v>
          </cell>
          <cell r="U159">
            <v>24</v>
          </cell>
          <cell r="V159">
            <v>0</v>
          </cell>
        </row>
        <row r="160">
          <cell r="B160" t="str">
            <v>Aux Cable termination</v>
          </cell>
          <cell r="E160">
            <v>12</v>
          </cell>
          <cell r="F160">
            <v>0</v>
          </cell>
          <cell r="I160">
            <v>12</v>
          </cell>
          <cell r="J160">
            <v>0</v>
          </cell>
          <cell r="M160">
            <v>12</v>
          </cell>
          <cell r="N160">
            <v>0</v>
          </cell>
          <cell r="Q160">
            <v>12</v>
          </cell>
          <cell r="R160">
            <v>0</v>
          </cell>
          <cell r="U160">
            <v>12</v>
          </cell>
          <cell r="V160">
            <v>0</v>
          </cell>
        </row>
        <row r="161">
          <cell r="B161" t="str">
            <v>Aux Cable termination</v>
          </cell>
          <cell r="E161">
            <v>24</v>
          </cell>
          <cell r="F161">
            <v>0</v>
          </cell>
          <cell r="I161">
            <v>24</v>
          </cell>
          <cell r="J161">
            <v>0</v>
          </cell>
          <cell r="M161">
            <v>24</v>
          </cell>
          <cell r="N161">
            <v>0</v>
          </cell>
          <cell r="Q161">
            <v>24</v>
          </cell>
          <cell r="R161">
            <v>0</v>
          </cell>
          <cell r="U161">
            <v>24</v>
          </cell>
          <cell r="V161">
            <v>0</v>
          </cell>
        </row>
        <row r="162">
          <cell r="B162" t="str">
            <v>Aux Cable termination</v>
          </cell>
          <cell r="E162">
            <v>1</v>
          </cell>
          <cell r="F162">
            <v>0</v>
          </cell>
          <cell r="I162">
            <v>1</v>
          </cell>
          <cell r="J162">
            <v>0</v>
          </cell>
          <cell r="M162">
            <v>1</v>
          </cell>
          <cell r="N162">
            <v>0</v>
          </cell>
          <cell r="Q162">
            <v>1</v>
          </cell>
          <cell r="R162">
            <v>0</v>
          </cell>
          <cell r="U162">
            <v>1</v>
          </cell>
          <cell r="V162">
            <v>0</v>
          </cell>
        </row>
        <row r="163">
          <cell r="B163" t="str">
            <v>Aux Cable termination</v>
          </cell>
          <cell r="E163">
            <v>2</v>
          </cell>
          <cell r="F163">
            <v>2</v>
          </cell>
          <cell r="I163">
            <v>2</v>
          </cell>
          <cell r="J163">
            <v>0</v>
          </cell>
          <cell r="M163">
            <v>2</v>
          </cell>
          <cell r="N163">
            <v>0</v>
          </cell>
          <cell r="Q163">
            <v>2</v>
          </cell>
          <cell r="R163">
            <v>0</v>
          </cell>
          <cell r="U163">
            <v>2</v>
          </cell>
          <cell r="V163">
            <v>0</v>
          </cell>
        </row>
        <row r="164">
          <cell r="B164" t="str">
            <v>Aux Cable termination</v>
          </cell>
          <cell r="E164">
            <v>2</v>
          </cell>
          <cell r="F164">
            <v>2</v>
          </cell>
          <cell r="I164">
            <v>2</v>
          </cell>
          <cell r="J164">
            <v>0</v>
          </cell>
          <cell r="M164">
            <v>2</v>
          </cell>
          <cell r="N164">
            <v>0</v>
          </cell>
          <cell r="Q164">
            <v>2</v>
          </cell>
          <cell r="R164">
            <v>0</v>
          </cell>
          <cell r="U164">
            <v>2</v>
          </cell>
          <cell r="V164">
            <v>0</v>
          </cell>
        </row>
        <row r="165">
          <cell r="B165" t="str">
            <v>Aux Cable termination</v>
          </cell>
          <cell r="E165">
            <v>3</v>
          </cell>
          <cell r="F165">
            <v>1</v>
          </cell>
          <cell r="I165">
            <v>3</v>
          </cell>
          <cell r="J165">
            <v>0</v>
          </cell>
          <cell r="M165">
            <v>3</v>
          </cell>
          <cell r="N165">
            <v>0</v>
          </cell>
          <cell r="Q165">
            <v>3</v>
          </cell>
          <cell r="R165">
            <v>0</v>
          </cell>
          <cell r="U165">
            <v>3</v>
          </cell>
          <cell r="V165">
            <v>0</v>
          </cell>
        </row>
        <row r="166">
          <cell r="B166" t="str">
            <v>Aux Cable termination</v>
          </cell>
          <cell r="E166">
            <v>2</v>
          </cell>
          <cell r="F166">
            <v>0</v>
          </cell>
          <cell r="I166">
            <v>2</v>
          </cell>
          <cell r="J166">
            <v>0</v>
          </cell>
          <cell r="M166">
            <v>2</v>
          </cell>
          <cell r="N166">
            <v>0</v>
          </cell>
          <cell r="Q166">
            <v>2</v>
          </cell>
          <cell r="R166">
            <v>0</v>
          </cell>
          <cell r="U166">
            <v>2</v>
          </cell>
          <cell r="V166">
            <v>0</v>
          </cell>
        </row>
        <row r="167">
          <cell r="B167" t="str">
            <v>Aux Cable termination</v>
          </cell>
          <cell r="E167">
            <v>1</v>
          </cell>
          <cell r="F167">
            <v>1</v>
          </cell>
          <cell r="I167">
            <v>1</v>
          </cell>
          <cell r="J167">
            <v>0</v>
          </cell>
          <cell r="M167">
            <v>1</v>
          </cell>
          <cell r="N167">
            <v>0</v>
          </cell>
          <cell r="Q167">
            <v>1</v>
          </cell>
          <cell r="R167">
            <v>0</v>
          </cell>
          <cell r="U167">
            <v>1</v>
          </cell>
          <cell r="V167">
            <v>0</v>
          </cell>
        </row>
        <row r="168">
          <cell r="B168" t="str">
            <v>Aux Cable termination</v>
          </cell>
          <cell r="E168">
            <v>8</v>
          </cell>
          <cell r="F168">
            <v>0</v>
          </cell>
          <cell r="I168">
            <v>8</v>
          </cell>
          <cell r="J168">
            <v>0</v>
          </cell>
          <cell r="M168">
            <v>8</v>
          </cell>
          <cell r="N168">
            <v>0</v>
          </cell>
          <cell r="Q168">
            <v>8</v>
          </cell>
          <cell r="R168">
            <v>0</v>
          </cell>
          <cell r="U168">
            <v>8</v>
          </cell>
          <cell r="V168">
            <v>0</v>
          </cell>
        </row>
        <row r="169">
          <cell r="B169" t="str">
            <v>Aux Cable termination</v>
          </cell>
          <cell r="E169">
            <v>6</v>
          </cell>
          <cell r="F169">
            <v>0</v>
          </cell>
          <cell r="I169">
            <v>6</v>
          </cell>
          <cell r="J169">
            <v>0</v>
          </cell>
          <cell r="M169">
            <v>6</v>
          </cell>
          <cell r="N169">
            <v>0</v>
          </cell>
          <cell r="Q169">
            <v>6</v>
          </cell>
          <cell r="R169">
            <v>0</v>
          </cell>
          <cell r="U169">
            <v>6</v>
          </cell>
          <cell r="V169">
            <v>0</v>
          </cell>
        </row>
        <row r="170">
          <cell r="B170" t="str">
            <v>Aux Cable termination</v>
          </cell>
          <cell r="E170">
            <v>2</v>
          </cell>
          <cell r="F170">
            <v>0</v>
          </cell>
          <cell r="I170">
            <v>2</v>
          </cell>
          <cell r="J170">
            <v>0</v>
          </cell>
          <cell r="M170">
            <v>2</v>
          </cell>
          <cell r="N170">
            <v>0</v>
          </cell>
          <cell r="Q170">
            <v>2</v>
          </cell>
          <cell r="R170">
            <v>0</v>
          </cell>
          <cell r="U170">
            <v>2</v>
          </cell>
          <cell r="V170">
            <v>0</v>
          </cell>
        </row>
        <row r="171">
          <cell r="B171" t="str">
            <v>Aux Cable termination</v>
          </cell>
          <cell r="E171">
            <v>1</v>
          </cell>
          <cell r="F171">
            <v>0</v>
          </cell>
          <cell r="I171">
            <v>1</v>
          </cell>
          <cell r="J171">
            <v>0</v>
          </cell>
          <cell r="M171">
            <v>1</v>
          </cell>
          <cell r="N171">
            <v>0</v>
          </cell>
          <cell r="Q171">
            <v>1</v>
          </cell>
          <cell r="R171">
            <v>0</v>
          </cell>
          <cell r="U171">
            <v>1</v>
          </cell>
          <cell r="V171">
            <v>0</v>
          </cell>
        </row>
        <row r="172">
          <cell r="B172" t="str">
            <v>Aux Cable termination</v>
          </cell>
          <cell r="E172">
            <v>1</v>
          </cell>
          <cell r="F172">
            <v>0</v>
          </cell>
          <cell r="I172">
            <v>1</v>
          </cell>
          <cell r="J172">
            <v>0</v>
          </cell>
          <cell r="M172">
            <v>1</v>
          </cell>
          <cell r="N172">
            <v>0</v>
          </cell>
          <cell r="Q172">
            <v>1</v>
          </cell>
          <cell r="R172">
            <v>0</v>
          </cell>
          <cell r="U172">
            <v>1</v>
          </cell>
          <cell r="V172">
            <v>0</v>
          </cell>
        </row>
        <row r="173">
          <cell r="B173" t="str">
            <v>Control Cable</v>
          </cell>
          <cell r="E173" t="str">
            <v>Scope</v>
          </cell>
          <cell r="F173" t="str">
            <v>Actual</v>
          </cell>
          <cell r="I173" t="str">
            <v>Scope</v>
          </cell>
          <cell r="J173" t="str">
            <v>Actual</v>
          </cell>
          <cell r="M173" t="str">
            <v>Scope</v>
          </cell>
          <cell r="N173" t="str">
            <v>Actual</v>
          </cell>
          <cell r="Q173" t="str">
            <v>Scope</v>
          </cell>
          <cell r="R173" t="str">
            <v>Actual</v>
          </cell>
          <cell r="U173" t="str">
            <v>Scope</v>
          </cell>
          <cell r="V173" t="str">
            <v>Actual</v>
          </cell>
        </row>
        <row r="174">
          <cell r="B174" t="str">
            <v>Control Cable laying</v>
          </cell>
          <cell r="E174">
            <v>1140</v>
          </cell>
          <cell r="F174">
            <v>1140</v>
          </cell>
          <cell r="I174">
            <v>1140</v>
          </cell>
          <cell r="J174">
            <v>0</v>
          </cell>
          <cell r="M174">
            <v>1140</v>
          </cell>
          <cell r="N174">
            <v>0</v>
          </cell>
          <cell r="Q174">
            <v>1140</v>
          </cell>
          <cell r="R174">
            <v>0</v>
          </cell>
          <cell r="U174">
            <v>1140</v>
          </cell>
          <cell r="V174">
            <v>0</v>
          </cell>
        </row>
        <row r="175">
          <cell r="B175" t="str">
            <v>Control Cable laying</v>
          </cell>
          <cell r="E175">
            <v>2850</v>
          </cell>
          <cell r="F175">
            <v>2850</v>
          </cell>
          <cell r="I175">
            <v>2850</v>
          </cell>
          <cell r="J175">
            <v>0</v>
          </cell>
          <cell r="M175">
            <v>2850</v>
          </cell>
          <cell r="N175">
            <v>0</v>
          </cell>
          <cell r="Q175">
            <v>2850</v>
          </cell>
          <cell r="R175">
            <v>0</v>
          </cell>
          <cell r="U175">
            <v>2850</v>
          </cell>
          <cell r="V175">
            <v>0</v>
          </cell>
        </row>
        <row r="176">
          <cell r="B176" t="str">
            <v>Control Cable laying</v>
          </cell>
          <cell r="E176">
            <v>1214</v>
          </cell>
          <cell r="F176">
            <v>606</v>
          </cell>
          <cell r="I176">
            <v>1140</v>
          </cell>
          <cell r="J176">
            <v>0</v>
          </cell>
          <cell r="M176">
            <v>1140</v>
          </cell>
          <cell r="N176">
            <v>0</v>
          </cell>
          <cell r="Q176">
            <v>1140</v>
          </cell>
          <cell r="R176">
            <v>0</v>
          </cell>
          <cell r="U176">
            <v>1140</v>
          </cell>
          <cell r="V176">
            <v>0</v>
          </cell>
        </row>
        <row r="177">
          <cell r="B177" t="str">
            <v>Control Cable laying</v>
          </cell>
          <cell r="E177">
            <v>1064</v>
          </cell>
          <cell r="F177">
            <v>992</v>
          </cell>
          <cell r="I177">
            <v>556</v>
          </cell>
          <cell r="J177">
            <v>0</v>
          </cell>
          <cell r="M177">
            <v>556</v>
          </cell>
          <cell r="N177">
            <v>0</v>
          </cell>
          <cell r="Q177">
            <v>556</v>
          </cell>
          <cell r="R177">
            <v>0</v>
          </cell>
          <cell r="U177">
            <v>556</v>
          </cell>
          <cell r="V177">
            <v>0</v>
          </cell>
        </row>
        <row r="178">
          <cell r="B178" t="str">
            <v>Control Cable laying</v>
          </cell>
          <cell r="E178">
            <v>556</v>
          </cell>
          <cell r="F178">
            <v>0</v>
          </cell>
          <cell r="I178">
            <v>556</v>
          </cell>
          <cell r="J178">
            <v>0</v>
          </cell>
          <cell r="M178">
            <v>556</v>
          </cell>
          <cell r="N178">
            <v>0</v>
          </cell>
          <cell r="Q178">
            <v>556</v>
          </cell>
          <cell r="R178">
            <v>0</v>
          </cell>
          <cell r="U178">
            <v>556</v>
          </cell>
          <cell r="V178">
            <v>0</v>
          </cell>
        </row>
        <row r="179">
          <cell r="B179" t="str">
            <v>Control Cable laying</v>
          </cell>
          <cell r="E179">
            <v>764</v>
          </cell>
          <cell r="F179">
            <v>0</v>
          </cell>
          <cell r="I179">
            <v>764</v>
          </cell>
          <cell r="J179">
            <v>0</v>
          </cell>
          <cell r="M179">
            <v>764</v>
          </cell>
          <cell r="N179">
            <v>0</v>
          </cell>
          <cell r="Q179">
            <v>764</v>
          </cell>
          <cell r="R179">
            <v>0</v>
          </cell>
          <cell r="U179">
            <v>764</v>
          </cell>
          <cell r="V179">
            <v>0</v>
          </cell>
        </row>
        <row r="180">
          <cell r="B180" t="str">
            <v>Control Cable laying</v>
          </cell>
          <cell r="E180">
            <v>140</v>
          </cell>
          <cell r="F180">
            <v>0</v>
          </cell>
          <cell r="I180">
            <v>140</v>
          </cell>
          <cell r="J180">
            <v>0</v>
          </cell>
          <cell r="M180">
            <v>140</v>
          </cell>
          <cell r="N180">
            <v>0</v>
          </cell>
          <cell r="Q180">
            <v>140</v>
          </cell>
          <cell r="R180">
            <v>0</v>
          </cell>
          <cell r="U180">
            <v>140</v>
          </cell>
          <cell r="V180">
            <v>0</v>
          </cell>
        </row>
        <row r="181">
          <cell r="B181" t="str">
            <v>Control Cable laying</v>
          </cell>
          <cell r="E181">
            <v>192</v>
          </cell>
          <cell r="F181">
            <v>0</v>
          </cell>
          <cell r="I181">
            <v>192</v>
          </cell>
          <cell r="J181">
            <v>0</v>
          </cell>
          <cell r="M181">
            <v>192</v>
          </cell>
          <cell r="N181">
            <v>0</v>
          </cell>
          <cell r="Q181">
            <v>192</v>
          </cell>
          <cell r="R181">
            <v>0</v>
          </cell>
          <cell r="U181">
            <v>192</v>
          </cell>
          <cell r="V181">
            <v>0</v>
          </cell>
        </row>
        <row r="182">
          <cell r="B182" t="str">
            <v>Control Cable laying</v>
          </cell>
          <cell r="E182">
            <v>1014</v>
          </cell>
          <cell r="F182">
            <v>280</v>
          </cell>
          <cell r="I182">
            <v>1154</v>
          </cell>
          <cell r="J182">
            <v>0</v>
          </cell>
          <cell r="M182">
            <v>1154</v>
          </cell>
          <cell r="N182">
            <v>0</v>
          </cell>
          <cell r="Q182">
            <v>1154</v>
          </cell>
          <cell r="R182">
            <v>0</v>
          </cell>
          <cell r="U182">
            <v>1154</v>
          </cell>
          <cell r="V182">
            <v>0</v>
          </cell>
        </row>
        <row r="183">
          <cell r="B183" t="str">
            <v>Control Cable laying</v>
          </cell>
          <cell r="E183">
            <v>507</v>
          </cell>
          <cell r="F183">
            <v>140</v>
          </cell>
          <cell r="I183">
            <v>577</v>
          </cell>
          <cell r="J183">
            <v>0</v>
          </cell>
          <cell r="M183">
            <v>577</v>
          </cell>
          <cell r="N183">
            <v>0</v>
          </cell>
          <cell r="Q183">
            <v>577</v>
          </cell>
          <cell r="R183">
            <v>0</v>
          </cell>
          <cell r="U183">
            <v>577</v>
          </cell>
          <cell r="V183">
            <v>0</v>
          </cell>
        </row>
        <row r="184">
          <cell r="B184" t="str">
            <v>Control Cable laying</v>
          </cell>
          <cell r="E184">
            <v>507</v>
          </cell>
          <cell r="F184">
            <v>140</v>
          </cell>
          <cell r="I184">
            <v>577</v>
          </cell>
          <cell r="J184">
            <v>0</v>
          </cell>
          <cell r="M184">
            <v>577</v>
          </cell>
          <cell r="N184">
            <v>0</v>
          </cell>
          <cell r="Q184">
            <v>577</v>
          </cell>
          <cell r="R184">
            <v>0</v>
          </cell>
          <cell r="U184">
            <v>577</v>
          </cell>
          <cell r="V184">
            <v>0</v>
          </cell>
        </row>
        <row r="185">
          <cell r="B185" t="str">
            <v>Control Cable laying</v>
          </cell>
          <cell r="E185">
            <v>803</v>
          </cell>
          <cell r="F185">
            <v>803</v>
          </cell>
          <cell r="I185">
            <v>803</v>
          </cell>
          <cell r="J185">
            <v>0</v>
          </cell>
          <cell r="M185">
            <v>803</v>
          </cell>
          <cell r="N185">
            <v>0</v>
          </cell>
          <cell r="Q185">
            <v>803</v>
          </cell>
          <cell r="R185">
            <v>0</v>
          </cell>
          <cell r="U185">
            <v>803</v>
          </cell>
          <cell r="V185">
            <v>0</v>
          </cell>
        </row>
        <row r="186">
          <cell r="B186" t="str">
            <v>Control Cable laying</v>
          </cell>
          <cell r="E186">
            <v>303</v>
          </cell>
          <cell r="F186">
            <v>303</v>
          </cell>
          <cell r="I186">
            <v>303</v>
          </cell>
          <cell r="J186">
            <v>0</v>
          </cell>
          <cell r="M186">
            <v>303</v>
          </cell>
          <cell r="N186">
            <v>0</v>
          </cell>
          <cell r="Q186">
            <v>303</v>
          </cell>
          <cell r="R186">
            <v>0</v>
          </cell>
          <cell r="U186">
            <v>303</v>
          </cell>
          <cell r="V186">
            <v>0</v>
          </cell>
        </row>
        <row r="187">
          <cell r="B187" t="str">
            <v>Control Cable laying</v>
          </cell>
          <cell r="E187">
            <v>333</v>
          </cell>
          <cell r="F187">
            <v>0</v>
          </cell>
          <cell r="I187">
            <v>333</v>
          </cell>
          <cell r="J187">
            <v>0</v>
          </cell>
          <cell r="M187">
            <v>333</v>
          </cell>
          <cell r="N187">
            <v>0</v>
          </cell>
          <cell r="Q187">
            <v>333</v>
          </cell>
          <cell r="R187">
            <v>0</v>
          </cell>
          <cell r="U187">
            <v>333</v>
          </cell>
          <cell r="V187">
            <v>0</v>
          </cell>
        </row>
        <row r="188">
          <cell r="B188" t="str">
            <v>Control Cable laying</v>
          </cell>
          <cell r="E188">
            <v>74</v>
          </cell>
          <cell r="F188">
            <v>0</v>
          </cell>
          <cell r="I188">
            <v>74</v>
          </cell>
          <cell r="J188">
            <v>0</v>
          </cell>
          <cell r="M188">
            <v>74</v>
          </cell>
          <cell r="N188">
            <v>0</v>
          </cell>
          <cell r="Q188">
            <v>74</v>
          </cell>
          <cell r="R188">
            <v>0</v>
          </cell>
          <cell r="U188">
            <v>74</v>
          </cell>
          <cell r="V188">
            <v>0</v>
          </cell>
        </row>
        <row r="189">
          <cell r="B189" t="str">
            <v>Control Cable laying</v>
          </cell>
          <cell r="E189">
            <v>259</v>
          </cell>
          <cell r="F189">
            <v>0</v>
          </cell>
          <cell r="I189">
            <v>259</v>
          </cell>
          <cell r="J189">
            <v>0</v>
          </cell>
          <cell r="M189">
            <v>259</v>
          </cell>
          <cell r="N189">
            <v>0</v>
          </cell>
          <cell r="Q189">
            <v>259</v>
          </cell>
          <cell r="R189">
            <v>0</v>
          </cell>
          <cell r="U189">
            <v>259</v>
          </cell>
          <cell r="V189">
            <v>0</v>
          </cell>
        </row>
        <row r="190">
          <cell r="B190" t="str">
            <v>Control Cable laying</v>
          </cell>
          <cell r="E190">
            <v>508</v>
          </cell>
          <cell r="F190">
            <v>145</v>
          </cell>
          <cell r="I190">
            <v>642</v>
          </cell>
          <cell r="J190">
            <v>0</v>
          </cell>
          <cell r="M190">
            <v>642</v>
          </cell>
          <cell r="N190">
            <v>0</v>
          </cell>
          <cell r="Q190">
            <v>642</v>
          </cell>
          <cell r="R190">
            <v>0</v>
          </cell>
          <cell r="U190">
            <v>642</v>
          </cell>
          <cell r="V190">
            <v>0</v>
          </cell>
        </row>
        <row r="191">
          <cell r="B191" t="str">
            <v>Control Cable laying</v>
          </cell>
          <cell r="E191">
            <v>565</v>
          </cell>
          <cell r="F191">
            <v>187</v>
          </cell>
          <cell r="I191">
            <v>602</v>
          </cell>
          <cell r="J191">
            <v>0</v>
          </cell>
          <cell r="M191">
            <v>602</v>
          </cell>
          <cell r="N191">
            <v>0</v>
          </cell>
          <cell r="Q191">
            <v>602</v>
          </cell>
          <cell r="R191">
            <v>0</v>
          </cell>
          <cell r="U191">
            <v>602</v>
          </cell>
          <cell r="V191">
            <v>0</v>
          </cell>
        </row>
        <row r="192">
          <cell r="B192" t="str">
            <v>Control Cable laying</v>
          </cell>
          <cell r="E192">
            <v>563</v>
          </cell>
          <cell r="F192">
            <v>185</v>
          </cell>
          <cell r="I192">
            <v>602</v>
          </cell>
          <cell r="J192">
            <v>0</v>
          </cell>
          <cell r="M192">
            <v>602</v>
          </cell>
          <cell r="N192">
            <v>0</v>
          </cell>
          <cell r="Q192">
            <v>602</v>
          </cell>
          <cell r="R192">
            <v>0</v>
          </cell>
          <cell r="U192">
            <v>602</v>
          </cell>
          <cell r="V192">
            <v>0</v>
          </cell>
        </row>
        <row r="193">
          <cell r="B193" t="str">
            <v>Control Cable laying</v>
          </cell>
          <cell r="E193">
            <v>584</v>
          </cell>
          <cell r="F193">
            <v>185</v>
          </cell>
          <cell r="I193">
            <v>633</v>
          </cell>
          <cell r="J193">
            <v>0</v>
          </cell>
          <cell r="M193">
            <v>633</v>
          </cell>
          <cell r="N193">
            <v>0</v>
          </cell>
          <cell r="Q193">
            <v>633</v>
          </cell>
          <cell r="R193">
            <v>0</v>
          </cell>
          <cell r="U193">
            <v>633</v>
          </cell>
          <cell r="V193">
            <v>0</v>
          </cell>
        </row>
        <row r="194">
          <cell r="B194" t="str">
            <v>Control Cable laying</v>
          </cell>
          <cell r="E194">
            <v>25</v>
          </cell>
          <cell r="F194">
            <v>0</v>
          </cell>
          <cell r="I194">
            <v>25</v>
          </cell>
          <cell r="J194">
            <v>0</v>
          </cell>
          <cell r="M194">
            <v>25</v>
          </cell>
          <cell r="N194">
            <v>0</v>
          </cell>
          <cell r="Q194">
            <v>25</v>
          </cell>
          <cell r="R194">
            <v>0</v>
          </cell>
          <cell r="U194">
            <v>25</v>
          </cell>
          <cell r="V194">
            <v>0</v>
          </cell>
        </row>
        <row r="195">
          <cell r="B195" t="str">
            <v>Control Cable laying</v>
          </cell>
          <cell r="E195">
            <v>1387</v>
          </cell>
          <cell r="F195">
            <v>1387</v>
          </cell>
          <cell r="I195">
            <v>1413</v>
          </cell>
          <cell r="J195">
            <v>1413</v>
          </cell>
          <cell r="M195">
            <v>1358</v>
          </cell>
          <cell r="N195">
            <v>0</v>
          </cell>
          <cell r="Q195">
            <v>1358</v>
          </cell>
          <cell r="R195">
            <v>0</v>
          </cell>
          <cell r="U195">
            <v>1358</v>
          </cell>
          <cell r="V195">
            <v>0</v>
          </cell>
        </row>
        <row r="196">
          <cell r="B196" t="str">
            <v>Control Cable termination</v>
          </cell>
          <cell r="E196">
            <v>12</v>
          </cell>
          <cell r="F196">
            <v>0</v>
          </cell>
          <cell r="I196">
            <v>12</v>
          </cell>
          <cell r="J196">
            <v>0</v>
          </cell>
          <cell r="M196">
            <v>12</v>
          </cell>
          <cell r="N196">
            <v>0</v>
          </cell>
          <cell r="Q196">
            <v>12</v>
          </cell>
          <cell r="R196">
            <v>0</v>
          </cell>
          <cell r="U196">
            <v>12</v>
          </cell>
          <cell r="V196">
            <v>0</v>
          </cell>
        </row>
        <row r="197">
          <cell r="B197" t="str">
            <v>Control Cable termination</v>
          </cell>
          <cell r="E197">
            <v>22</v>
          </cell>
          <cell r="F197">
            <v>0</v>
          </cell>
          <cell r="I197">
            <v>22</v>
          </cell>
          <cell r="J197">
            <v>0</v>
          </cell>
          <cell r="M197">
            <v>22</v>
          </cell>
          <cell r="N197">
            <v>0</v>
          </cell>
          <cell r="Q197">
            <v>22</v>
          </cell>
          <cell r="R197">
            <v>0</v>
          </cell>
          <cell r="U197">
            <v>22</v>
          </cell>
          <cell r="V197">
            <v>0</v>
          </cell>
        </row>
        <row r="198">
          <cell r="B198" t="str">
            <v>Control Cable termination</v>
          </cell>
          <cell r="E198">
            <v>30</v>
          </cell>
          <cell r="F198">
            <v>0</v>
          </cell>
          <cell r="I198">
            <v>30</v>
          </cell>
          <cell r="J198">
            <v>0</v>
          </cell>
          <cell r="M198">
            <v>30</v>
          </cell>
          <cell r="N198">
            <v>0</v>
          </cell>
          <cell r="Q198">
            <v>30</v>
          </cell>
          <cell r="R198">
            <v>0</v>
          </cell>
          <cell r="U198">
            <v>30</v>
          </cell>
          <cell r="V198">
            <v>0</v>
          </cell>
        </row>
        <row r="199">
          <cell r="B199" t="str">
            <v>Control Cable termination</v>
          </cell>
          <cell r="E199">
            <v>30</v>
          </cell>
          <cell r="F199">
            <v>0</v>
          </cell>
          <cell r="I199">
            <v>30</v>
          </cell>
          <cell r="J199">
            <v>0</v>
          </cell>
          <cell r="M199">
            <v>30</v>
          </cell>
          <cell r="N199">
            <v>0</v>
          </cell>
          <cell r="Q199">
            <v>30</v>
          </cell>
          <cell r="R199">
            <v>0</v>
          </cell>
          <cell r="U199">
            <v>30</v>
          </cell>
          <cell r="V199">
            <v>0</v>
          </cell>
        </row>
        <row r="200">
          <cell r="B200" t="str">
            <v>Control Cable termination</v>
          </cell>
          <cell r="E200">
            <v>12</v>
          </cell>
          <cell r="F200">
            <v>0</v>
          </cell>
          <cell r="I200">
            <v>12</v>
          </cell>
          <cell r="J200">
            <v>0</v>
          </cell>
          <cell r="M200">
            <v>12</v>
          </cell>
          <cell r="N200">
            <v>0</v>
          </cell>
          <cell r="Q200">
            <v>12</v>
          </cell>
          <cell r="R200">
            <v>0</v>
          </cell>
          <cell r="U200">
            <v>12</v>
          </cell>
          <cell r="V200">
            <v>0</v>
          </cell>
        </row>
        <row r="201">
          <cell r="B201" t="str">
            <v>Control Cable termination</v>
          </cell>
          <cell r="E201">
            <v>58</v>
          </cell>
          <cell r="F201">
            <v>0</v>
          </cell>
          <cell r="I201">
            <v>58</v>
          </cell>
          <cell r="J201">
            <v>0</v>
          </cell>
          <cell r="M201">
            <v>58</v>
          </cell>
          <cell r="N201">
            <v>0</v>
          </cell>
          <cell r="Q201">
            <v>58</v>
          </cell>
          <cell r="R201">
            <v>0</v>
          </cell>
          <cell r="U201">
            <v>58</v>
          </cell>
          <cell r="V201">
            <v>0</v>
          </cell>
        </row>
        <row r="202">
          <cell r="B202" t="str">
            <v>Control Cable termination</v>
          </cell>
          <cell r="E202">
            <v>6</v>
          </cell>
          <cell r="F202">
            <v>0</v>
          </cell>
          <cell r="I202">
            <v>6</v>
          </cell>
          <cell r="J202">
            <v>0</v>
          </cell>
          <cell r="M202">
            <v>6</v>
          </cell>
          <cell r="N202">
            <v>0</v>
          </cell>
          <cell r="Q202">
            <v>6</v>
          </cell>
          <cell r="R202">
            <v>0</v>
          </cell>
          <cell r="U202">
            <v>6</v>
          </cell>
          <cell r="V202">
            <v>0</v>
          </cell>
        </row>
        <row r="203">
          <cell r="B203" t="str">
            <v>Control Cable termination</v>
          </cell>
          <cell r="E203">
            <v>6</v>
          </cell>
          <cell r="F203">
            <v>0</v>
          </cell>
          <cell r="I203">
            <v>6</v>
          </cell>
          <cell r="J203">
            <v>0</v>
          </cell>
          <cell r="M203">
            <v>6</v>
          </cell>
          <cell r="N203">
            <v>0</v>
          </cell>
          <cell r="Q203">
            <v>6</v>
          </cell>
          <cell r="R203">
            <v>0</v>
          </cell>
          <cell r="U203">
            <v>6</v>
          </cell>
          <cell r="V203">
            <v>0</v>
          </cell>
        </row>
        <row r="204">
          <cell r="B204" t="str">
            <v>Control Cable termination</v>
          </cell>
          <cell r="E204">
            <v>40</v>
          </cell>
          <cell r="F204">
            <v>0</v>
          </cell>
          <cell r="I204">
            <v>40</v>
          </cell>
          <cell r="J204">
            <v>0</v>
          </cell>
          <cell r="M204">
            <v>40</v>
          </cell>
          <cell r="N204">
            <v>0</v>
          </cell>
          <cell r="Q204">
            <v>40</v>
          </cell>
          <cell r="R204">
            <v>0</v>
          </cell>
          <cell r="U204">
            <v>40</v>
          </cell>
          <cell r="V204">
            <v>0</v>
          </cell>
        </row>
        <row r="205">
          <cell r="B205" t="str">
            <v>Control Cable termination</v>
          </cell>
          <cell r="E205">
            <v>9</v>
          </cell>
          <cell r="F205">
            <v>0</v>
          </cell>
          <cell r="I205">
            <v>9</v>
          </cell>
          <cell r="J205">
            <v>0</v>
          </cell>
          <cell r="M205">
            <v>9</v>
          </cell>
          <cell r="N205">
            <v>0</v>
          </cell>
          <cell r="Q205">
            <v>9</v>
          </cell>
          <cell r="R205">
            <v>0</v>
          </cell>
          <cell r="U205">
            <v>9</v>
          </cell>
          <cell r="V205">
            <v>0</v>
          </cell>
        </row>
        <row r="206">
          <cell r="B206" t="str">
            <v>Control Cable termination</v>
          </cell>
          <cell r="E206">
            <v>9</v>
          </cell>
          <cell r="F206">
            <v>0</v>
          </cell>
          <cell r="I206">
            <v>9</v>
          </cell>
          <cell r="J206">
            <v>0</v>
          </cell>
          <cell r="M206">
            <v>9</v>
          </cell>
          <cell r="N206">
            <v>0</v>
          </cell>
          <cell r="Q206">
            <v>9</v>
          </cell>
          <cell r="R206">
            <v>0</v>
          </cell>
          <cell r="U206">
            <v>9</v>
          </cell>
          <cell r="V206">
            <v>0</v>
          </cell>
        </row>
        <row r="207">
          <cell r="B207" t="str">
            <v>Control Cable termination</v>
          </cell>
          <cell r="E207">
            <v>4</v>
          </cell>
          <cell r="F207">
            <v>0</v>
          </cell>
          <cell r="I207">
            <v>4</v>
          </cell>
          <cell r="J207">
            <v>0</v>
          </cell>
          <cell r="M207">
            <v>4</v>
          </cell>
          <cell r="N207">
            <v>0</v>
          </cell>
          <cell r="Q207">
            <v>4</v>
          </cell>
          <cell r="R207">
            <v>0</v>
          </cell>
          <cell r="U207">
            <v>4</v>
          </cell>
          <cell r="V207">
            <v>0</v>
          </cell>
        </row>
        <row r="208">
          <cell r="B208" t="str">
            <v>Control Cable termination</v>
          </cell>
          <cell r="E208">
            <v>12</v>
          </cell>
          <cell r="F208">
            <v>0</v>
          </cell>
          <cell r="I208">
            <v>12</v>
          </cell>
          <cell r="J208">
            <v>0</v>
          </cell>
          <cell r="M208">
            <v>12</v>
          </cell>
          <cell r="N208">
            <v>0</v>
          </cell>
          <cell r="Q208">
            <v>12</v>
          </cell>
          <cell r="R208">
            <v>0</v>
          </cell>
          <cell r="U208">
            <v>12</v>
          </cell>
          <cell r="V208">
            <v>0</v>
          </cell>
        </row>
        <row r="209">
          <cell r="B209" t="str">
            <v>Control Cable termination</v>
          </cell>
          <cell r="E209">
            <v>18</v>
          </cell>
          <cell r="F209">
            <v>0</v>
          </cell>
          <cell r="I209">
            <v>18</v>
          </cell>
          <cell r="J209">
            <v>0</v>
          </cell>
          <cell r="M209">
            <v>18</v>
          </cell>
          <cell r="N209">
            <v>0</v>
          </cell>
          <cell r="Q209">
            <v>18</v>
          </cell>
          <cell r="R209">
            <v>0</v>
          </cell>
          <cell r="U209">
            <v>18</v>
          </cell>
          <cell r="V209">
            <v>0</v>
          </cell>
        </row>
        <row r="210">
          <cell r="B210" t="str">
            <v>Control Cable termination</v>
          </cell>
          <cell r="E210">
            <v>6</v>
          </cell>
          <cell r="F210">
            <v>0</v>
          </cell>
          <cell r="I210">
            <v>6</v>
          </cell>
          <cell r="J210">
            <v>0</v>
          </cell>
          <cell r="M210">
            <v>6</v>
          </cell>
          <cell r="N210">
            <v>0</v>
          </cell>
          <cell r="Q210">
            <v>6</v>
          </cell>
          <cell r="R210">
            <v>0</v>
          </cell>
          <cell r="U210">
            <v>6</v>
          </cell>
          <cell r="V210">
            <v>0</v>
          </cell>
        </row>
        <row r="211">
          <cell r="B211" t="str">
            <v>Control Cable termination</v>
          </cell>
          <cell r="E211">
            <v>43</v>
          </cell>
          <cell r="F211">
            <v>0</v>
          </cell>
          <cell r="I211">
            <v>43</v>
          </cell>
          <cell r="J211">
            <v>0</v>
          </cell>
          <cell r="M211">
            <v>43</v>
          </cell>
          <cell r="N211">
            <v>0</v>
          </cell>
          <cell r="Q211">
            <v>43</v>
          </cell>
          <cell r="R211">
            <v>0</v>
          </cell>
          <cell r="U211">
            <v>43</v>
          </cell>
          <cell r="V211">
            <v>0</v>
          </cell>
        </row>
        <row r="212">
          <cell r="B212" t="str">
            <v>Control Cable termination</v>
          </cell>
          <cell r="E212">
            <v>6</v>
          </cell>
          <cell r="F212">
            <v>0</v>
          </cell>
          <cell r="I212">
            <v>6</v>
          </cell>
          <cell r="J212">
            <v>0</v>
          </cell>
          <cell r="M212">
            <v>6</v>
          </cell>
          <cell r="N212">
            <v>0</v>
          </cell>
          <cell r="Q212">
            <v>6</v>
          </cell>
          <cell r="R212">
            <v>0</v>
          </cell>
          <cell r="U212">
            <v>6</v>
          </cell>
          <cell r="V212">
            <v>0</v>
          </cell>
        </row>
        <row r="213">
          <cell r="B213" t="str">
            <v>Control Cable termination</v>
          </cell>
          <cell r="E213">
            <v>21</v>
          </cell>
          <cell r="F213">
            <v>0</v>
          </cell>
          <cell r="I213">
            <v>21</v>
          </cell>
          <cell r="J213">
            <v>0</v>
          </cell>
          <cell r="M213">
            <v>21</v>
          </cell>
          <cell r="N213">
            <v>0</v>
          </cell>
          <cell r="Q213">
            <v>21</v>
          </cell>
          <cell r="R213">
            <v>0</v>
          </cell>
          <cell r="U213">
            <v>21</v>
          </cell>
          <cell r="V213">
            <v>0</v>
          </cell>
        </row>
        <row r="214">
          <cell r="B214" t="str">
            <v>Control Cable termination</v>
          </cell>
          <cell r="E214">
            <v>22</v>
          </cell>
          <cell r="F214">
            <v>0</v>
          </cell>
          <cell r="I214">
            <v>22</v>
          </cell>
          <cell r="J214">
            <v>0</v>
          </cell>
          <cell r="M214">
            <v>22</v>
          </cell>
          <cell r="N214">
            <v>0</v>
          </cell>
          <cell r="Q214">
            <v>22</v>
          </cell>
          <cell r="R214">
            <v>0</v>
          </cell>
          <cell r="U214">
            <v>22</v>
          </cell>
          <cell r="V214">
            <v>0</v>
          </cell>
        </row>
        <row r="215">
          <cell r="B215" t="str">
            <v>Control Cable termination</v>
          </cell>
          <cell r="E215">
            <v>10</v>
          </cell>
          <cell r="F215">
            <v>0</v>
          </cell>
          <cell r="I215">
            <v>10</v>
          </cell>
          <cell r="J215">
            <v>0</v>
          </cell>
          <cell r="M215">
            <v>10</v>
          </cell>
          <cell r="N215">
            <v>0</v>
          </cell>
          <cell r="Q215">
            <v>10</v>
          </cell>
          <cell r="R215">
            <v>0</v>
          </cell>
          <cell r="U215">
            <v>10</v>
          </cell>
          <cell r="V215">
            <v>0</v>
          </cell>
        </row>
        <row r="216">
          <cell r="B216" t="str">
            <v>Control Cable termination</v>
          </cell>
          <cell r="E216">
            <v>19</v>
          </cell>
          <cell r="F216">
            <v>0</v>
          </cell>
          <cell r="I216">
            <v>19</v>
          </cell>
          <cell r="J216">
            <v>0</v>
          </cell>
          <cell r="M216">
            <v>19</v>
          </cell>
          <cell r="N216">
            <v>0</v>
          </cell>
          <cell r="Q216">
            <v>19</v>
          </cell>
          <cell r="R216">
            <v>0</v>
          </cell>
          <cell r="U216">
            <v>19</v>
          </cell>
          <cell r="V216">
            <v>0</v>
          </cell>
        </row>
        <row r="217">
          <cell r="B217" t="str">
            <v>Control Cable termination</v>
          </cell>
          <cell r="E217">
            <v>9</v>
          </cell>
          <cell r="F217">
            <v>0</v>
          </cell>
          <cell r="I217">
            <v>9</v>
          </cell>
          <cell r="J217">
            <v>0</v>
          </cell>
          <cell r="M217">
            <v>9</v>
          </cell>
          <cell r="N217">
            <v>0</v>
          </cell>
          <cell r="Q217">
            <v>9</v>
          </cell>
          <cell r="R217">
            <v>0</v>
          </cell>
          <cell r="U217">
            <v>9</v>
          </cell>
          <cell r="V217">
            <v>0</v>
          </cell>
        </row>
        <row r="218">
          <cell r="B218" t="str">
            <v>Control Cable termination</v>
          </cell>
          <cell r="E218">
            <v>2</v>
          </cell>
          <cell r="F218">
            <v>0</v>
          </cell>
          <cell r="I218">
            <v>2</v>
          </cell>
          <cell r="J218">
            <v>0</v>
          </cell>
          <cell r="M218">
            <v>2</v>
          </cell>
          <cell r="N218">
            <v>0</v>
          </cell>
          <cell r="Q218">
            <v>2</v>
          </cell>
          <cell r="R218">
            <v>0</v>
          </cell>
          <cell r="U218">
            <v>2</v>
          </cell>
          <cell r="V218">
            <v>0</v>
          </cell>
        </row>
        <row r="219">
          <cell r="B219" t="str">
            <v>Control Cable termination</v>
          </cell>
          <cell r="E219">
            <v>9</v>
          </cell>
          <cell r="F219">
            <v>0</v>
          </cell>
          <cell r="I219">
            <v>9</v>
          </cell>
          <cell r="J219">
            <v>0</v>
          </cell>
          <cell r="M219">
            <v>9</v>
          </cell>
          <cell r="N219">
            <v>0</v>
          </cell>
          <cell r="Q219">
            <v>9</v>
          </cell>
          <cell r="R219">
            <v>0</v>
          </cell>
          <cell r="U219">
            <v>9</v>
          </cell>
          <cell r="V219">
            <v>0</v>
          </cell>
        </row>
        <row r="220">
          <cell r="B220" t="str">
            <v>Control Cable termination</v>
          </cell>
          <cell r="E220">
            <v>6</v>
          </cell>
          <cell r="F220">
            <v>0</v>
          </cell>
          <cell r="I220">
            <v>6</v>
          </cell>
          <cell r="J220">
            <v>0</v>
          </cell>
          <cell r="M220">
            <v>6</v>
          </cell>
          <cell r="N220">
            <v>0</v>
          </cell>
          <cell r="Q220">
            <v>6</v>
          </cell>
          <cell r="R220">
            <v>0</v>
          </cell>
          <cell r="U220">
            <v>6</v>
          </cell>
          <cell r="V220">
            <v>0</v>
          </cell>
        </row>
        <row r="221">
          <cell r="B221" t="str">
            <v>Control Cable termination</v>
          </cell>
          <cell r="E221">
            <v>6</v>
          </cell>
          <cell r="F221">
            <v>0</v>
          </cell>
          <cell r="I221">
            <v>6</v>
          </cell>
          <cell r="J221">
            <v>0</v>
          </cell>
          <cell r="M221">
            <v>6</v>
          </cell>
          <cell r="N221">
            <v>0</v>
          </cell>
          <cell r="Q221">
            <v>6</v>
          </cell>
          <cell r="R221">
            <v>0</v>
          </cell>
          <cell r="U221">
            <v>6</v>
          </cell>
          <cell r="V221">
            <v>0</v>
          </cell>
        </row>
        <row r="222">
          <cell r="B222" t="str">
            <v>Control Cable termination</v>
          </cell>
          <cell r="E222">
            <v>6</v>
          </cell>
          <cell r="F222">
            <v>0</v>
          </cell>
          <cell r="I222">
            <v>6</v>
          </cell>
          <cell r="J222">
            <v>0</v>
          </cell>
          <cell r="M222">
            <v>6</v>
          </cell>
          <cell r="N222">
            <v>0</v>
          </cell>
          <cell r="Q222">
            <v>6</v>
          </cell>
          <cell r="R222">
            <v>0</v>
          </cell>
          <cell r="U222">
            <v>6</v>
          </cell>
          <cell r="V222">
            <v>0</v>
          </cell>
        </row>
        <row r="223">
          <cell r="B223" t="str">
            <v>Control Cable termination</v>
          </cell>
          <cell r="E223">
            <v>6</v>
          </cell>
          <cell r="F223">
            <v>0</v>
          </cell>
          <cell r="I223">
            <v>6</v>
          </cell>
          <cell r="J223">
            <v>0</v>
          </cell>
          <cell r="M223">
            <v>6</v>
          </cell>
          <cell r="N223">
            <v>0</v>
          </cell>
          <cell r="Q223">
            <v>6</v>
          </cell>
          <cell r="R223">
            <v>0</v>
          </cell>
          <cell r="U223">
            <v>6</v>
          </cell>
          <cell r="V223">
            <v>0</v>
          </cell>
        </row>
        <row r="224">
          <cell r="B224" t="str">
            <v>Control Cable termination</v>
          </cell>
          <cell r="E224">
            <v>1</v>
          </cell>
          <cell r="F224">
            <v>0</v>
          </cell>
          <cell r="I224">
            <v>1</v>
          </cell>
          <cell r="J224">
            <v>0</v>
          </cell>
          <cell r="M224">
            <v>1</v>
          </cell>
          <cell r="N224">
            <v>0</v>
          </cell>
          <cell r="Q224">
            <v>1</v>
          </cell>
          <cell r="R224">
            <v>0</v>
          </cell>
          <cell r="U224">
            <v>1</v>
          </cell>
          <cell r="V224">
            <v>0</v>
          </cell>
        </row>
        <row r="225">
          <cell r="B225" t="str">
            <v>Control Cable termination</v>
          </cell>
          <cell r="E225">
            <v>48</v>
          </cell>
          <cell r="F225">
            <v>32</v>
          </cell>
          <cell r="I225">
            <v>48</v>
          </cell>
          <cell r="J225">
            <v>0</v>
          </cell>
          <cell r="M225">
            <v>48</v>
          </cell>
          <cell r="N225">
            <v>0</v>
          </cell>
          <cell r="Q225">
            <v>48</v>
          </cell>
          <cell r="R225">
            <v>0</v>
          </cell>
          <cell r="U225">
            <v>48</v>
          </cell>
          <cell r="V225">
            <v>0</v>
          </cell>
        </row>
        <row r="226">
          <cell r="B226" t="str">
            <v>Control Cable termination</v>
          </cell>
          <cell r="E226">
            <v>48</v>
          </cell>
          <cell r="F226">
            <v>32</v>
          </cell>
          <cell r="I226">
            <v>48</v>
          </cell>
          <cell r="J226">
            <v>0</v>
          </cell>
          <cell r="M226">
            <v>48</v>
          </cell>
          <cell r="N226">
            <v>0</v>
          </cell>
          <cell r="Q226">
            <v>48</v>
          </cell>
          <cell r="R226">
            <v>0</v>
          </cell>
          <cell r="U226">
            <v>48</v>
          </cell>
          <cell r="V226">
            <v>0</v>
          </cell>
        </row>
        <row r="227">
          <cell r="B227" t="str">
            <v>Communication Cable</v>
          </cell>
          <cell r="E227" t="str">
            <v>Scope</v>
          </cell>
          <cell r="F227" t="str">
            <v>Actual</v>
          </cell>
          <cell r="I227" t="str">
            <v>Scope</v>
          </cell>
          <cell r="J227" t="str">
            <v>Actual</v>
          </cell>
          <cell r="M227" t="str">
            <v>Scope</v>
          </cell>
          <cell r="N227" t="str">
            <v>Actual</v>
          </cell>
          <cell r="Q227" t="str">
            <v>Scope</v>
          </cell>
          <cell r="R227" t="str">
            <v>Actual</v>
          </cell>
          <cell r="U227" t="str">
            <v>Scope</v>
          </cell>
          <cell r="V227" t="str">
            <v>Actual</v>
          </cell>
        </row>
        <row r="228">
          <cell r="B228" t="str">
            <v>Communication Cable laying</v>
          </cell>
          <cell r="E228">
            <v>1765</v>
          </cell>
          <cell r="F228">
            <v>1765</v>
          </cell>
          <cell r="I228">
            <v>1692</v>
          </cell>
          <cell r="J228">
            <v>1692</v>
          </cell>
          <cell r="M228">
            <v>1702</v>
          </cell>
          <cell r="N228">
            <v>0</v>
          </cell>
          <cell r="Q228">
            <v>1702</v>
          </cell>
          <cell r="R228">
            <v>0</v>
          </cell>
          <cell r="U228">
            <v>1726</v>
          </cell>
          <cell r="V228">
            <v>318</v>
          </cell>
        </row>
        <row r="229">
          <cell r="B229" t="str">
            <v>Communication Cable laying</v>
          </cell>
          <cell r="E229">
            <v>778</v>
          </cell>
          <cell r="F229">
            <v>778</v>
          </cell>
          <cell r="I229">
            <v>987</v>
          </cell>
          <cell r="J229">
            <v>0</v>
          </cell>
          <cell r="M229">
            <v>987</v>
          </cell>
          <cell r="N229">
            <v>0</v>
          </cell>
          <cell r="Q229">
            <v>987</v>
          </cell>
          <cell r="R229">
            <v>0</v>
          </cell>
          <cell r="U229">
            <v>987</v>
          </cell>
          <cell r="V229">
            <v>0</v>
          </cell>
        </row>
        <row r="230">
          <cell r="B230" t="str">
            <v>Communication Cable laying</v>
          </cell>
          <cell r="E230">
            <v>1302</v>
          </cell>
          <cell r="F230">
            <v>1302</v>
          </cell>
          <cell r="I230">
            <v>1515</v>
          </cell>
          <cell r="J230">
            <v>1515</v>
          </cell>
          <cell r="M230">
            <v>1008</v>
          </cell>
          <cell r="N230">
            <v>0</v>
          </cell>
          <cell r="Q230">
            <v>1008</v>
          </cell>
          <cell r="R230">
            <v>0</v>
          </cell>
          <cell r="U230">
            <v>1008</v>
          </cell>
          <cell r="V230">
            <v>0</v>
          </cell>
        </row>
        <row r="231">
          <cell r="B231" t="str">
            <v>Communication Cable laying</v>
          </cell>
          <cell r="E231">
            <v>20</v>
          </cell>
          <cell r="F231">
            <v>0</v>
          </cell>
          <cell r="I231">
            <v>20</v>
          </cell>
          <cell r="J231">
            <v>0</v>
          </cell>
          <cell r="M231">
            <v>20</v>
          </cell>
          <cell r="N231">
            <v>0</v>
          </cell>
          <cell r="Q231">
            <v>20</v>
          </cell>
          <cell r="R231">
            <v>0</v>
          </cell>
          <cell r="U231">
            <v>20</v>
          </cell>
          <cell r="V231">
            <v>0</v>
          </cell>
        </row>
        <row r="232">
          <cell r="B232" t="str">
            <v>Communication Cable laying</v>
          </cell>
          <cell r="E232">
            <v>20</v>
          </cell>
          <cell r="F232">
            <v>0</v>
          </cell>
          <cell r="I232">
            <v>20</v>
          </cell>
          <cell r="J232">
            <v>0</v>
          </cell>
          <cell r="M232">
            <v>20</v>
          </cell>
          <cell r="N232">
            <v>0</v>
          </cell>
          <cell r="Q232">
            <v>20</v>
          </cell>
          <cell r="R232">
            <v>0</v>
          </cell>
          <cell r="U232">
            <v>20</v>
          </cell>
          <cell r="V232">
            <v>0</v>
          </cell>
        </row>
        <row r="233">
          <cell r="B233" t="str">
            <v>Communication Cable laying</v>
          </cell>
          <cell r="E233">
            <v>429</v>
          </cell>
          <cell r="F233">
            <v>0</v>
          </cell>
          <cell r="I233">
            <v>295</v>
          </cell>
          <cell r="J233">
            <v>0</v>
          </cell>
          <cell r="M233">
            <v>295</v>
          </cell>
          <cell r="N233">
            <v>0</v>
          </cell>
          <cell r="Q233">
            <v>295</v>
          </cell>
          <cell r="R233">
            <v>0</v>
          </cell>
          <cell r="U233">
            <v>295</v>
          </cell>
          <cell r="V233">
            <v>0</v>
          </cell>
        </row>
        <row r="234">
          <cell r="B234" t="str">
            <v>Communication Cable laying</v>
          </cell>
          <cell r="E234">
            <v>104</v>
          </cell>
          <cell r="F234">
            <v>0</v>
          </cell>
          <cell r="I234">
            <v>110</v>
          </cell>
          <cell r="J234">
            <v>0</v>
          </cell>
          <cell r="M234">
            <v>110</v>
          </cell>
          <cell r="N234">
            <v>0</v>
          </cell>
          <cell r="Q234">
            <v>110</v>
          </cell>
          <cell r="R234">
            <v>0</v>
          </cell>
          <cell r="U234">
            <v>110</v>
          </cell>
          <cell r="V234">
            <v>0</v>
          </cell>
        </row>
        <row r="235">
          <cell r="B235" t="str">
            <v>Communication Cable laying</v>
          </cell>
          <cell r="E235">
            <v>704</v>
          </cell>
          <cell r="F235">
            <v>704</v>
          </cell>
          <cell r="I235">
            <v>768</v>
          </cell>
          <cell r="J235">
            <v>0</v>
          </cell>
          <cell r="M235">
            <v>768</v>
          </cell>
          <cell r="N235">
            <v>0</v>
          </cell>
          <cell r="Q235">
            <v>768</v>
          </cell>
          <cell r="R235">
            <v>0</v>
          </cell>
          <cell r="U235">
            <v>768</v>
          </cell>
          <cell r="V235">
            <v>0</v>
          </cell>
        </row>
        <row r="236">
          <cell r="B236" t="str">
            <v>Communication Cable laying</v>
          </cell>
          <cell r="E236">
            <v>234</v>
          </cell>
          <cell r="F236">
            <v>0</v>
          </cell>
          <cell r="I236">
            <v>234</v>
          </cell>
          <cell r="J236">
            <v>0</v>
          </cell>
          <cell r="M236">
            <v>234</v>
          </cell>
          <cell r="N236">
            <v>0</v>
          </cell>
          <cell r="Q236">
            <v>234</v>
          </cell>
          <cell r="R236">
            <v>0</v>
          </cell>
          <cell r="U236">
            <v>234</v>
          </cell>
          <cell r="V236">
            <v>0</v>
          </cell>
        </row>
        <row r="237">
          <cell r="B237" t="str">
            <v>Communication Cable termination</v>
          </cell>
          <cell r="E237">
            <v>48</v>
          </cell>
          <cell r="F237">
            <v>16</v>
          </cell>
          <cell r="I237">
            <v>48</v>
          </cell>
          <cell r="J237">
            <v>0</v>
          </cell>
          <cell r="M237">
            <v>48</v>
          </cell>
          <cell r="N237">
            <v>0</v>
          </cell>
          <cell r="Q237">
            <v>48</v>
          </cell>
          <cell r="R237">
            <v>0</v>
          </cell>
          <cell r="U237">
            <v>48</v>
          </cell>
          <cell r="V237">
            <v>0</v>
          </cell>
        </row>
        <row r="238">
          <cell r="B238" t="str">
            <v>Communication Cable termination</v>
          </cell>
          <cell r="E238">
            <v>96</v>
          </cell>
          <cell r="F238">
            <v>32</v>
          </cell>
          <cell r="I238">
            <v>96</v>
          </cell>
          <cell r="J238">
            <v>0</v>
          </cell>
          <cell r="M238">
            <v>96</v>
          </cell>
          <cell r="N238">
            <v>0</v>
          </cell>
          <cell r="Q238">
            <v>96</v>
          </cell>
          <cell r="R238">
            <v>0</v>
          </cell>
          <cell r="U238">
            <v>96</v>
          </cell>
          <cell r="V238">
            <v>0</v>
          </cell>
        </row>
        <row r="239">
          <cell r="B239" t="str">
            <v>Communication Cable termination</v>
          </cell>
          <cell r="E239">
            <v>48</v>
          </cell>
          <cell r="F239">
            <v>16</v>
          </cell>
          <cell r="I239">
            <v>48</v>
          </cell>
          <cell r="J239">
            <v>0</v>
          </cell>
          <cell r="M239">
            <v>48</v>
          </cell>
          <cell r="N239">
            <v>0</v>
          </cell>
          <cell r="Q239">
            <v>48</v>
          </cell>
          <cell r="R239">
            <v>0</v>
          </cell>
          <cell r="U239">
            <v>48</v>
          </cell>
          <cell r="V239">
            <v>0</v>
          </cell>
        </row>
        <row r="240">
          <cell r="B240" t="str">
            <v>Communication Cable termination</v>
          </cell>
          <cell r="E240">
            <v>48</v>
          </cell>
          <cell r="F240">
            <v>32</v>
          </cell>
          <cell r="I240">
            <v>48</v>
          </cell>
          <cell r="J240">
            <v>0</v>
          </cell>
          <cell r="M240">
            <v>48</v>
          </cell>
          <cell r="N240">
            <v>0</v>
          </cell>
          <cell r="Q240">
            <v>48</v>
          </cell>
          <cell r="R240">
            <v>0</v>
          </cell>
          <cell r="U240">
            <v>48</v>
          </cell>
          <cell r="V240">
            <v>0</v>
          </cell>
        </row>
        <row r="241">
          <cell r="B241" t="str">
            <v>Communication Cable termination</v>
          </cell>
          <cell r="E241">
            <v>48</v>
          </cell>
          <cell r="F241">
            <v>32</v>
          </cell>
          <cell r="I241">
            <v>48</v>
          </cell>
          <cell r="J241">
            <v>0</v>
          </cell>
          <cell r="M241">
            <v>48</v>
          </cell>
          <cell r="N241">
            <v>0</v>
          </cell>
          <cell r="Q241">
            <v>48</v>
          </cell>
          <cell r="R241">
            <v>0</v>
          </cell>
          <cell r="U241">
            <v>48</v>
          </cell>
          <cell r="V241">
            <v>0</v>
          </cell>
        </row>
        <row r="242">
          <cell r="B242" t="str">
            <v>Communication Cable termination</v>
          </cell>
          <cell r="E242">
            <v>1</v>
          </cell>
          <cell r="F242">
            <v>0</v>
          </cell>
          <cell r="I242">
            <v>1</v>
          </cell>
          <cell r="J242">
            <v>0</v>
          </cell>
          <cell r="M242">
            <v>1</v>
          </cell>
          <cell r="N242">
            <v>0</v>
          </cell>
          <cell r="Q242">
            <v>1</v>
          </cell>
          <cell r="R242">
            <v>0</v>
          </cell>
          <cell r="U242">
            <v>1</v>
          </cell>
          <cell r="V242">
            <v>0</v>
          </cell>
        </row>
        <row r="243">
          <cell r="B243" t="str">
            <v>Communication Cable termination</v>
          </cell>
          <cell r="E243">
            <v>25</v>
          </cell>
          <cell r="F243">
            <v>0</v>
          </cell>
          <cell r="I243">
            <v>25</v>
          </cell>
          <cell r="J243">
            <v>0</v>
          </cell>
          <cell r="M243">
            <v>25</v>
          </cell>
          <cell r="N243">
            <v>0</v>
          </cell>
          <cell r="Q243">
            <v>25</v>
          </cell>
          <cell r="R243">
            <v>0</v>
          </cell>
          <cell r="U243">
            <v>25</v>
          </cell>
          <cell r="V243">
            <v>0</v>
          </cell>
        </row>
        <row r="244">
          <cell r="B244" t="str">
            <v>Communication Cable termination</v>
          </cell>
          <cell r="E244">
            <v>1</v>
          </cell>
          <cell r="F244">
            <v>0</v>
          </cell>
          <cell r="I244">
            <v>1</v>
          </cell>
          <cell r="J244">
            <v>0</v>
          </cell>
          <cell r="M244">
            <v>1</v>
          </cell>
          <cell r="N244">
            <v>0</v>
          </cell>
          <cell r="Q244">
            <v>1</v>
          </cell>
          <cell r="R244">
            <v>0</v>
          </cell>
          <cell r="U244">
            <v>1</v>
          </cell>
          <cell r="V244">
            <v>0</v>
          </cell>
        </row>
        <row r="245">
          <cell r="B245" t="str">
            <v>Communication Cable termination</v>
          </cell>
          <cell r="E245">
            <v>9</v>
          </cell>
          <cell r="F245">
            <v>0</v>
          </cell>
          <cell r="I245">
            <v>9</v>
          </cell>
          <cell r="J245">
            <v>0</v>
          </cell>
          <cell r="M245">
            <v>9</v>
          </cell>
          <cell r="N245">
            <v>0</v>
          </cell>
          <cell r="Q245">
            <v>9</v>
          </cell>
          <cell r="R245">
            <v>0</v>
          </cell>
          <cell r="U245">
            <v>9</v>
          </cell>
          <cell r="V245">
            <v>0</v>
          </cell>
        </row>
        <row r="246">
          <cell r="B246" t="str">
            <v>Communication Cable termination</v>
          </cell>
          <cell r="E246">
            <v>6</v>
          </cell>
          <cell r="F246">
            <v>0</v>
          </cell>
          <cell r="I246">
            <v>6</v>
          </cell>
          <cell r="J246">
            <v>0</v>
          </cell>
          <cell r="M246">
            <v>6</v>
          </cell>
          <cell r="N246">
            <v>0</v>
          </cell>
          <cell r="Q246">
            <v>6</v>
          </cell>
          <cell r="R246">
            <v>0</v>
          </cell>
          <cell r="U246">
            <v>6</v>
          </cell>
          <cell r="V246">
            <v>0</v>
          </cell>
        </row>
        <row r="247">
          <cell r="B247" t="str">
            <v>Communication Cable termination</v>
          </cell>
          <cell r="E247">
            <v>6</v>
          </cell>
          <cell r="F247">
            <v>0</v>
          </cell>
          <cell r="I247">
            <v>6</v>
          </cell>
          <cell r="J247">
            <v>0</v>
          </cell>
          <cell r="M247">
            <v>6</v>
          </cell>
          <cell r="N247">
            <v>0</v>
          </cell>
          <cell r="Q247">
            <v>6</v>
          </cell>
          <cell r="R247">
            <v>0</v>
          </cell>
          <cell r="U247">
            <v>6</v>
          </cell>
          <cell r="V247">
            <v>0</v>
          </cell>
        </row>
        <row r="248">
          <cell r="B248" t="str">
            <v>Communication Cable termination</v>
          </cell>
          <cell r="E248">
            <v>24</v>
          </cell>
          <cell r="F248">
            <v>0</v>
          </cell>
          <cell r="I248">
            <v>24</v>
          </cell>
          <cell r="J248">
            <v>0</v>
          </cell>
          <cell r="M248">
            <v>24</v>
          </cell>
          <cell r="N248">
            <v>0</v>
          </cell>
          <cell r="Q248">
            <v>24</v>
          </cell>
          <cell r="R248">
            <v>0</v>
          </cell>
          <cell r="U248">
            <v>24</v>
          </cell>
          <cell r="V248">
            <v>0</v>
          </cell>
        </row>
        <row r="249">
          <cell r="B249" t="str">
            <v>Communication Cable termination</v>
          </cell>
          <cell r="E249">
            <v>20</v>
          </cell>
          <cell r="F249">
            <v>0</v>
          </cell>
          <cell r="I249">
            <v>20</v>
          </cell>
          <cell r="J249">
            <v>0</v>
          </cell>
          <cell r="M249">
            <v>20</v>
          </cell>
          <cell r="N249">
            <v>0</v>
          </cell>
          <cell r="Q249">
            <v>20</v>
          </cell>
          <cell r="R249">
            <v>0</v>
          </cell>
          <cell r="U249">
            <v>20</v>
          </cell>
          <cell r="V249">
            <v>0</v>
          </cell>
        </row>
        <row r="250">
          <cell r="B250" t="str">
            <v>Testing</v>
          </cell>
          <cell r="E250" t="str">
            <v>Scope</v>
          </cell>
          <cell r="F250" t="str">
            <v>Actual</v>
          </cell>
          <cell r="I250" t="str">
            <v>Scope</v>
          </cell>
          <cell r="J250" t="str">
            <v>Actual</v>
          </cell>
          <cell r="M250" t="str">
            <v>Scope</v>
          </cell>
          <cell r="N250" t="str">
            <v>Actual</v>
          </cell>
          <cell r="Q250" t="str">
            <v>Scope</v>
          </cell>
          <cell r="R250" t="str">
            <v>Actual</v>
          </cell>
          <cell r="U250" t="str">
            <v>Scope</v>
          </cell>
          <cell r="V250" t="str">
            <v>Actual</v>
          </cell>
        </row>
        <row r="251">
          <cell r="B251" t="str">
            <v>CT Oil Filteration</v>
          </cell>
          <cell r="E251">
            <v>6</v>
          </cell>
          <cell r="F251">
            <v>5</v>
          </cell>
          <cell r="I251">
            <v>6</v>
          </cell>
          <cell r="J251">
            <v>6</v>
          </cell>
          <cell r="M251">
            <v>6</v>
          </cell>
          <cell r="N251">
            <v>0</v>
          </cell>
          <cell r="Q251">
            <v>6</v>
          </cell>
          <cell r="R251">
            <v>0</v>
          </cell>
          <cell r="U251">
            <v>6</v>
          </cell>
          <cell r="V251">
            <v>0</v>
          </cell>
        </row>
        <row r="252">
          <cell r="B252" t="str">
            <v>CT SFRA &amp; Tan delta Test</v>
          </cell>
          <cell r="E252">
            <v>6</v>
          </cell>
          <cell r="F252">
            <v>4</v>
          </cell>
          <cell r="I252">
            <v>6</v>
          </cell>
          <cell r="J252">
            <v>6</v>
          </cell>
          <cell r="M252">
            <v>6</v>
          </cell>
          <cell r="N252">
            <v>0</v>
          </cell>
          <cell r="Q252">
            <v>6</v>
          </cell>
          <cell r="R252">
            <v>0</v>
          </cell>
          <cell r="U252">
            <v>6</v>
          </cell>
          <cell r="V252">
            <v>0</v>
          </cell>
        </row>
        <row r="253">
          <cell r="B253" t="str">
            <v>CT SFRA Test</v>
          </cell>
          <cell r="E253">
            <v>6</v>
          </cell>
          <cell r="F253">
            <v>4</v>
          </cell>
          <cell r="I253">
            <v>6</v>
          </cell>
          <cell r="J253">
            <v>6</v>
          </cell>
          <cell r="M253">
            <v>6</v>
          </cell>
          <cell r="N253">
            <v>0</v>
          </cell>
          <cell r="Q253">
            <v>6</v>
          </cell>
          <cell r="R253">
            <v>0</v>
          </cell>
          <cell r="U253">
            <v>6</v>
          </cell>
          <cell r="V253">
            <v>0</v>
          </cell>
        </row>
        <row r="254">
          <cell r="B254" t="str">
            <v>CT Tan Delta Test</v>
          </cell>
          <cell r="E254">
            <v>6</v>
          </cell>
          <cell r="F254">
            <v>4</v>
          </cell>
          <cell r="I254">
            <v>6</v>
          </cell>
          <cell r="J254">
            <v>6</v>
          </cell>
          <cell r="M254">
            <v>6</v>
          </cell>
          <cell r="N254">
            <v>0</v>
          </cell>
          <cell r="Q254">
            <v>6</v>
          </cell>
          <cell r="R254">
            <v>0</v>
          </cell>
          <cell r="U254">
            <v>6</v>
          </cell>
          <cell r="V254">
            <v>0</v>
          </cell>
        </row>
        <row r="255">
          <cell r="B255" t="str">
            <v>CT Routine Test</v>
          </cell>
          <cell r="E255">
            <v>6</v>
          </cell>
          <cell r="F255">
            <v>4</v>
          </cell>
          <cell r="I255">
            <v>6</v>
          </cell>
          <cell r="J255">
            <v>6</v>
          </cell>
          <cell r="M255">
            <v>6</v>
          </cell>
          <cell r="N255">
            <v>0</v>
          </cell>
          <cell r="Q255">
            <v>6</v>
          </cell>
          <cell r="R255">
            <v>0</v>
          </cell>
          <cell r="U255">
            <v>6</v>
          </cell>
          <cell r="V255">
            <v>0</v>
          </cell>
        </row>
        <row r="256">
          <cell r="B256" t="str">
            <v>CT Current Transformer Test</v>
          </cell>
          <cell r="E256">
            <v>6</v>
          </cell>
          <cell r="F256">
            <v>0</v>
          </cell>
          <cell r="I256">
            <v>6</v>
          </cell>
          <cell r="J256">
            <v>0</v>
          </cell>
          <cell r="M256">
            <v>6</v>
          </cell>
          <cell r="N256">
            <v>0</v>
          </cell>
          <cell r="Q256">
            <v>6</v>
          </cell>
          <cell r="R256">
            <v>0</v>
          </cell>
          <cell r="U256">
            <v>6</v>
          </cell>
          <cell r="V256">
            <v>0</v>
          </cell>
        </row>
        <row r="257">
          <cell r="B257" t="str">
            <v>CT Control scheme &amp; Stability Test</v>
          </cell>
          <cell r="E257">
            <v>6</v>
          </cell>
          <cell r="F257">
            <v>0</v>
          </cell>
          <cell r="I257">
            <v>6</v>
          </cell>
          <cell r="J257">
            <v>0</v>
          </cell>
          <cell r="M257">
            <v>6</v>
          </cell>
          <cell r="N257">
            <v>0</v>
          </cell>
          <cell r="Q257">
            <v>6</v>
          </cell>
          <cell r="R257">
            <v>0</v>
          </cell>
          <cell r="U257">
            <v>6</v>
          </cell>
          <cell r="V257">
            <v>0</v>
          </cell>
        </row>
        <row r="258">
          <cell r="B258" t="str">
            <v>CT Control Scheme Test (Transformer protection simulation with SCADA)</v>
          </cell>
          <cell r="E258">
            <v>6</v>
          </cell>
          <cell r="F258">
            <v>0</v>
          </cell>
          <cell r="I258">
            <v>6</v>
          </cell>
          <cell r="J258">
            <v>0</v>
          </cell>
          <cell r="M258">
            <v>6</v>
          </cell>
          <cell r="N258">
            <v>0</v>
          </cell>
          <cell r="Q258">
            <v>6</v>
          </cell>
          <cell r="R258">
            <v>0</v>
          </cell>
          <cell r="U258">
            <v>6</v>
          </cell>
          <cell r="V258">
            <v>0</v>
          </cell>
        </row>
        <row r="259">
          <cell r="B259" t="str">
            <v>CT Stability</v>
          </cell>
          <cell r="E259">
            <v>6</v>
          </cell>
          <cell r="F259">
            <v>0</v>
          </cell>
          <cell r="I259">
            <v>6</v>
          </cell>
          <cell r="J259">
            <v>0</v>
          </cell>
          <cell r="M259">
            <v>6</v>
          </cell>
          <cell r="N259">
            <v>0</v>
          </cell>
          <cell r="Q259">
            <v>6</v>
          </cell>
          <cell r="R259">
            <v>0</v>
          </cell>
          <cell r="U259">
            <v>6</v>
          </cell>
          <cell r="V259">
            <v>0</v>
          </cell>
        </row>
        <row r="260">
          <cell r="B260" t="str">
            <v>HT Panel Routine (CT &amp; PT, Breaker &amp; Meter) Test</v>
          </cell>
          <cell r="E260">
            <v>12</v>
          </cell>
          <cell r="F260">
            <v>12</v>
          </cell>
          <cell r="I260">
            <v>12</v>
          </cell>
          <cell r="J260">
            <v>0</v>
          </cell>
          <cell r="M260">
            <v>12</v>
          </cell>
          <cell r="N260">
            <v>0</v>
          </cell>
          <cell r="Q260">
            <v>12</v>
          </cell>
          <cell r="R260">
            <v>0</v>
          </cell>
          <cell r="U260">
            <v>12</v>
          </cell>
          <cell r="V260">
            <v>0</v>
          </cell>
        </row>
        <row r="261">
          <cell r="B261" t="str">
            <v>HT Panel CT &amp; PT Test</v>
          </cell>
          <cell r="E261">
            <v>12</v>
          </cell>
          <cell r="F261">
            <v>12</v>
          </cell>
          <cell r="I261">
            <v>12</v>
          </cell>
          <cell r="J261">
            <v>0</v>
          </cell>
          <cell r="M261">
            <v>12</v>
          </cell>
          <cell r="N261">
            <v>0</v>
          </cell>
          <cell r="Q261">
            <v>12</v>
          </cell>
          <cell r="R261">
            <v>0</v>
          </cell>
          <cell r="U261">
            <v>12</v>
          </cell>
          <cell r="V261">
            <v>0</v>
          </cell>
        </row>
        <row r="262">
          <cell r="B262" t="str">
            <v>HT Panel Breaker Test</v>
          </cell>
          <cell r="E262">
            <v>12</v>
          </cell>
          <cell r="F262">
            <v>12</v>
          </cell>
          <cell r="I262">
            <v>12</v>
          </cell>
          <cell r="J262">
            <v>0</v>
          </cell>
          <cell r="M262">
            <v>12</v>
          </cell>
          <cell r="N262">
            <v>0</v>
          </cell>
          <cell r="Q262">
            <v>12</v>
          </cell>
          <cell r="R262">
            <v>0</v>
          </cell>
          <cell r="U262">
            <v>12</v>
          </cell>
          <cell r="V262">
            <v>0</v>
          </cell>
        </row>
        <row r="263">
          <cell r="B263" t="str">
            <v>HT Panel Meter Check (CT Primary Injection)</v>
          </cell>
          <cell r="E263">
            <v>12</v>
          </cell>
          <cell r="F263">
            <v>12</v>
          </cell>
          <cell r="I263">
            <v>12</v>
          </cell>
          <cell r="J263">
            <v>0</v>
          </cell>
          <cell r="M263">
            <v>12</v>
          </cell>
          <cell r="N263">
            <v>0</v>
          </cell>
          <cell r="Q263">
            <v>12</v>
          </cell>
          <cell r="R263">
            <v>0</v>
          </cell>
          <cell r="U263">
            <v>12</v>
          </cell>
          <cell r="V263">
            <v>0</v>
          </cell>
        </row>
        <row r="264">
          <cell r="B264" t="str">
            <v>HT Panel - Panel Scheme checking &amp; relay BIBO Test</v>
          </cell>
          <cell r="E264">
            <v>12</v>
          </cell>
          <cell r="F264">
            <v>0</v>
          </cell>
          <cell r="I264">
            <v>12</v>
          </cell>
          <cell r="J264">
            <v>0</v>
          </cell>
          <cell r="M264">
            <v>12</v>
          </cell>
          <cell r="N264">
            <v>0</v>
          </cell>
          <cell r="Q264">
            <v>12</v>
          </cell>
          <cell r="R264">
            <v>0</v>
          </cell>
          <cell r="U264">
            <v>12</v>
          </cell>
          <cell r="V264">
            <v>0</v>
          </cell>
        </row>
        <row r="265">
          <cell r="B265" t="str">
            <v>HT Panel Relay Test</v>
          </cell>
          <cell r="E265">
            <v>20</v>
          </cell>
          <cell r="F265">
            <v>0</v>
          </cell>
          <cell r="I265">
            <v>20</v>
          </cell>
          <cell r="J265">
            <v>0</v>
          </cell>
          <cell r="M265">
            <v>20</v>
          </cell>
          <cell r="N265">
            <v>0</v>
          </cell>
          <cell r="Q265">
            <v>20</v>
          </cell>
          <cell r="R265">
            <v>0</v>
          </cell>
          <cell r="U265">
            <v>20</v>
          </cell>
          <cell r="V265">
            <v>0</v>
          </cell>
        </row>
        <row r="266">
          <cell r="B266" t="str">
            <v>HT Cable VLF Test</v>
          </cell>
          <cell r="E266">
            <v>14</v>
          </cell>
          <cell r="F266">
            <v>7</v>
          </cell>
          <cell r="I266">
            <v>14</v>
          </cell>
          <cell r="J266">
            <v>0</v>
          </cell>
          <cell r="M266">
            <v>14</v>
          </cell>
          <cell r="N266">
            <v>0</v>
          </cell>
          <cell r="Q266">
            <v>14</v>
          </cell>
          <cell r="R266">
            <v>0</v>
          </cell>
          <cell r="U266">
            <v>14</v>
          </cell>
          <cell r="V266">
            <v>0</v>
          </cell>
        </row>
        <row r="267">
          <cell r="B267" t="str">
            <v>CSS - Dry Type Transformer Test</v>
          </cell>
          <cell r="E267">
            <v>1</v>
          </cell>
          <cell r="F267">
            <v>0</v>
          </cell>
          <cell r="I267">
            <v>1</v>
          </cell>
          <cell r="J267">
            <v>0</v>
          </cell>
          <cell r="M267">
            <v>1</v>
          </cell>
          <cell r="N267">
            <v>0</v>
          </cell>
          <cell r="Q267">
            <v>1</v>
          </cell>
          <cell r="R267">
            <v>0</v>
          </cell>
          <cell r="U267">
            <v>1</v>
          </cell>
          <cell r="V267">
            <v>0</v>
          </cell>
        </row>
        <row r="268">
          <cell r="B268" t="str">
            <v>CSS  routine test</v>
          </cell>
          <cell r="E268">
            <v>1</v>
          </cell>
          <cell r="F268">
            <v>0</v>
          </cell>
          <cell r="I268">
            <v>1</v>
          </cell>
          <cell r="J268">
            <v>0</v>
          </cell>
          <cell r="M268">
            <v>1</v>
          </cell>
          <cell r="N268">
            <v>0</v>
          </cell>
          <cell r="Q268">
            <v>1</v>
          </cell>
          <cell r="R268">
            <v>0</v>
          </cell>
          <cell r="U268">
            <v>1</v>
          </cell>
          <cell r="V268">
            <v>0</v>
          </cell>
        </row>
        <row r="269">
          <cell r="B269" t="str">
            <v>ACDB routine test</v>
          </cell>
          <cell r="E269">
            <v>6</v>
          </cell>
          <cell r="F269">
            <v>6</v>
          </cell>
          <cell r="I269">
            <v>6</v>
          </cell>
          <cell r="J269">
            <v>0</v>
          </cell>
          <cell r="M269">
            <v>6</v>
          </cell>
          <cell r="N269">
            <v>0</v>
          </cell>
          <cell r="Q269">
            <v>6</v>
          </cell>
          <cell r="R269">
            <v>0</v>
          </cell>
          <cell r="U269">
            <v>6</v>
          </cell>
          <cell r="V269">
            <v>0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ivyanshi Tahkit" id="{53A99DC8-E069-43DF-A5AB-EB3B4E334A68}" userId="S::30136587@adani.com::e9fa80da-cab3-4b38-8a7a-32adb87f1e3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5" dT="2026-06-23T05:15:56.41" personId="{53A99DC8-E069-43DF-A5AB-EB3B4E334A68}" id="{BDF1D089-6282-43E4-BC33-ED6F11289BA7}">
    <text>Toay sebdays xzyada aarha tha</text>
  </threadedComment>
</ThreadedComment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2E58-D56F-4CE1-8B87-D5A95508BE7D}">
  <dimension ref="B1:P95"/>
  <sheetViews>
    <sheetView zoomScale="70" zoomScaleNormal="70" workbookViewId="0">
      <selection activeCell="N5" sqref="N5"/>
    </sheetView>
  </sheetViews>
  <sheetFormatPr defaultRowHeight="13.5"/>
  <cols>
    <col min="1" max="1" width="2.33203125" customWidth="1"/>
    <col min="2" max="2" width="9" bestFit="1" customWidth="1"/>
    <col min="3" max="3" width="7.5546875" bestFit="1" customWidth="1"/>
    <col min="4" max="4" width="8.5546875" bestFit="1" customWidth="1"/>
    <col min="5" max="5" width="7" bestFit="1" customWidth="1"/>
    <col min="6" max="6" width="11.5546875" customWidth="1"/>
    <col min="7" max="7" width="9.5546875" customWidth="1"/>
    <col min="8" max="8" width="10.33203125" customWidth="1"/>
    <col min="9" max="9" width="4" bestFit="1" customWidth="1"/>
    <col min="10" max="10" width="18.5546875" style="9" customWidth="1"/>
    <col min="11" max="11" width="5.5546875" bestFit="1" customWidth="1"/>
    <col min="12" max="12" width="4.5546875" bestFit="1" customWidth="1"/>
    <col min="13" max="13" width="6.44140625" bestFit="1" customWidth="1"/>
    <col min="14" max="14" width="11" customWidth="1"/>
    <col min="15" max="15" width="11.5546875" bestFit="1" customWidth="1"/>
    <col min="16" max="16" width="23.33203125" customWidth="1"/>
  </cols>
  <sheetData>
    <row r="1" spans="2:16" ht="17.25" thickBot="1">
      <c r="P1" s="29">
        <v>46144</v>
      </c>
    </row>
    <row r="2" spans="2:16">
      <c r="B2" s="468" t="s">
        <v>0</v>
      </c>
      <c r="C2" s="470" t="s">
        <v>1</v>
      </c>
      <c r="D2" s="470" t="s">
        <v>2</v>
      </c>
      <c r="E2" s="470" t="s">
        <v>3</v>
      </c>
      <c r="F2" s="470" t="s">
        <v>4</v>
      </c>
      <c r="G2" s="470" t="s">
        <v>5</v>
      </c>
      <c r="H2" s="470" t="s">
        <v>6</v>
      </c>
      <c r="I2" s="482" t="s">
        <v>7</v>
      </c>
      <c r="J2" s="483"/>
      <c r="K2" s="483"/>
      <c r="L2" s="483"/>
      <c r="M2" s="483"/>
      <c r="N2" s="483"/>
      <c r="O2" s="484"/>
      <c r="P2" s="485" t="s">
        <v>8</v>
      </c>
    </row>
    <row r="3" spans="2:16">
      <c r="B3" s="469"/>
      <c r="C3" s="471"/>
      <c r="D3" s="471"/>
      <c r="E3" s="471"/>
      <c r="F3" s="471"/>
      <c r="G3" s="471"/>
      <c r="H3" s="471"/>
      <c r="I3" s="487" t="s">
        <v>9</v>
      </c>
      <c r="J3" s="487" t="s">
        <v>10</v>
      </c>
      <c r="K3" s="489" t="s">
        <v>11</v>
      </c>
      <c r="L3" s="490"/>
      <c r="M3" s="491"/>
      <c r="N3" s="492" t="s">
        <v>12</v>
      </c>
      <c r="O3" s="492" t="s">
        <v>13</v>
      </c>
      <c r="P3" s="486"/>
    </row>
    <row r="4" spans="2:16" ht="14.25" thickBot="1">
      <c r="B4" s="469"/>
      <c r="C4" s="471"/>
      <c r="D4" s="471"/>
      <c r="E4" s="471"/>
      <c r="F4" s="471"/>
      <c r="G4" s="471"/>
      <c r="H4" s="471"/>
      <c r="I4" s="488"/>
      <c r="J4" s="488"/>
      <c r="K4" s="30" t="s">
        <v>14</v>
      </c>
      <c r="L4" s="30" t="s">
        <v>15</v>
      </c>
      <c r="M4" s="30" t="s">
        <v>16</v>
      </c>
      <c r="N4" s="493"/>
      <c r="O4" s="493"/>
      <c r="P4" s="486"/>
    </row>
    <row r="5" spans="2:16" ht="25.5">
      <c r="B5" s="472" t="s">
        <v>17</v>
      </c>
      <c r="C5" s="475" t="s">
        <v>18</v>
      </c>
      <c r="D5" s="475">
        <v>192</v>
      </c>
      <c r="E5" s="475">
        <f t="shared" ref="E5" si="0">D5*5.015</f>
        <v>962.87999999999988</v>
      </c>
      <c r="F5" s="478"/>
      <c r="G5" s="475"/>
      <c r="H5" s="475"/>
      <c r="I5" s="10">
        <v>1.1000000000000001</v>
      </c>
      <c r="J5" s="11" t="s">
        <v>19</v>
      </c>
      <c r="K5" s="39">
        <f>'BESS 11'!K143+'BESS 11'!K97+'BESS 11'!K51+'BESS 11'!K6</f>
        <v>192</v>
      </c>
      <c r="L5" s="40">
        <f>'BESS 11'!L143+'BESS 11'!L97+'BESS 11'!L51+'BESS 11'!L6</f>
        <v>192</v>
      </c>
      <c r="M5" s="14">
        <f t="shared" ref="M5" si="1">K5-L5</f>
        <v>0</v>
      </c>
      <c r="N5" s="15"/>
      <c r="O5" s="16" t="s">
        <v>20</v>
      </c>
      <c r="P5" s="18"/>
    </row>
    <row r="6" spans="2:16">
      <c r="B6" s="473"/>
      <c r="C6" s="476"/>
      <c r="D6" s="476"/>
      <c r="E6" s="476"/>
      <c r="F6" s="476"/>
      <c r="G6" s="476"/>
      <c r="H6" s="476"/>
      <c r="I6" s="4">
        <f>I5+0.1</f>
        <v>1.2000000000000002</v>
      </c>
      <c r="J6" s="8" t="s">
        <v>21</v>
      </c>
      <c r="K6" s="35" t="e">
        <f>'BESS 11'!#REF!+'BESS 11'!#REF!+'BESS 11'!#REF!+'BESS 11'!#REF!</f>
        <v>#REF!</v>
      </c>
      <c r="L6" s="36" t="e">
        <f>'BESS 11'!#REF!+'BESS 11'!#REF!+'BESS 11'!#REF!+'BESS 11'!#REF!</f>
        <v>#REF!</v>
      </c>
      <c r="M6" s="7" t="e">
        <f>K6-L6</f>
        <v>#REF!</v>
      </c>
      <c r="N6" s="20"/>
      <c r="O6" s="21" t="s">
        <v>22</v>
      </c>
      <c r="P6" s="42"/>
    </row>
    <row r="7" spans="2:16">
      <c r="B7" s="473"/>
      <c r="C7" s="476"/>
      <c r="D7" s="476"/>
      <c r="E7" s="476"/>
      <c r="F7" s="476"/>
      <c r="G7" s="476"/>
      <c r="H7" s="476"/>
      <c r="I7" s="4">
        <f t="shared" ref="I7:I13" si="2">I6+0.1</f>
        <v>1.3000000000000003</v>
      </c>
      <c r="J7" s="8" t="s">
        <v>23</v>
      </c>
      <c r="K7" s="35">
        <f>'BESS 11'!K144+'BESS 11'!K98+'BESS 11'!K52+'BESS 11'!K7</f>
        <v>24</v>
      </c>
      <c r="L7" s="36">
        <f>'BESS 11'!L144+'BESS 11'!L98+'BESS 11'!L52+'BESS 11'!L7</f>
        <v>24</v>
      </c>
      <c r="M7" s="7">
        <f t="shared" ref="M7:M24" si="3">K7-L7</f>
        <v>0</v>
      </c>
      <c r="N7" s="3"/>
      <c r="O7" s="5" t="s">
        <v>20</v>
      </c>
      <c r="P7" s="42"/>
    </row>
    <row r="8" spans="2:16">
      <c r="B8" s="473"/>
      <c r="C8" s="476"/>
      <c r="D8" s="476"/>
      <c r="E8" s="476"/>
      <c r="F8" s="476"/>
      <c r="G8" s="476"/>
      <c r="H8" s="476"/>
      <c r="I8" s="4">
        <f t="shared" si="2"/>
        <v>1.4000000000000004</v>
      </c>
      <c r="J8" s="8" t="s">
        <v>24</v>
      </c>
      <c r="K8" s="35">
        <f>'BESS 11'!K155+'BESS 11'!K110+'BESS 11'!K64+'BESS 11'!K18</f>
        <v>24</v>
      </c>
      <c r="L8" s="36">
        <f>'BESS 11'!L155+'BESS 11'!L110+'BESS 11'!L64+'BESS 11'!L18</f>
        <v>24</v>
      </c>
      <c r="M8" s="7">
        <f t="shared" si="3"/>
        <v>0</v>
      </c>
      <c r="N8" s="3"/>
      <c r="O8" s="5" t="s">
        <v>25</v>
      </c>
      <c r="P8" s="42"/>
    </row>
    <row r="9" spans="2:16">
      <c r="B9" s="473"/>
      <c r="C9" s="476"/>
      <c r="D9" s="476"/>
      <c r="E9" s="476"/>
      <c r="F9" s="476"/>
      <c r="G9" s="476"/>
      <c r="H9" s="476"/>
      <c r="I9" s="4">
        <f t="shared" si="2"/>
        <v>1.5000000000000004</v>
      </c>
      <c r="J9" s="8" t="s">
        <v>26</v>
      </c>
      <c r="K9" s="35">
        <f>'BESS 11'!K145+'BESS 11'!K99+'BESS 11'!K53+'BESS 11'!K8</f>
        <v>24</v>
      </c>
      <c r="L9" s="36">
        <f>'BESS 11'!L145+'BESS 11'!L99+'BESS 11'!L53+'BESS 11'!L8</f>
        <v>24</v>
      </c>
      <c r="M9" s="7">
        <f t="shared" si="3"/>
        <v>0</v>
      </c>
      <c r="N9" s="3"/>
      <c r="O9" s="5" t="s">
        <v>20</v>
      </c>
      <c r="P9" s="42"/>
    </row>
    <row r="10" spans="2:16">
      <c r="B10" s="473"/>
      <c r="C10" s="476"/>
      <c r="D10" s="476"/>
      <c r="E10" s="476"/>
      <c r="F10" s="476"/>
      <c r="G10" s="476"/>
      <c r="H10" s="476"/>
      <c r="I10" s="4">
        <f t="shared" si="2"/>
        <v>1.6000000000000005</v>
      </c>
      <c r="J10" s="8" t="s">
        <v>27</v>
      </c>
      <c r="K10" s="35" t="e">
        <f>'BESS 11'!K156+'BESS 11'!K111+'BESS 11'!#REF!+'BESS 11'!K19</f>
        <v>#REF!</v>
      </c>
      <c r="L10" s="36" t="e">
        <f>'BESS 11'!L156+'BESS 11'!L111+'BESS 11'!#REF!+'BESS 11'!L19</f>
        <v>#REF!</v>
      </c>
      <c r="M10" s="7" t="e">
        <f t="shared" si="3"/>
        <v>#REF!</v>
      </c>
      <c r="N10" s="3"/>
      <c r="O10" s="5" t="s">
        <v>25</v>
      </c>
      <c r="P10" s="42"/>
    </row>
    <row r="11" spans="2:16">
      <c r="B11" s="473"/>
      <c r="C11" s="476"/>
      <c r="D11" s="476"/>
      <c r="E11" s="476"/>
      <c r="F11" s="476"/>
      <c r="G11" s="476"/>
      <c r="H11" s="476"/>
      <c r="I11" s="4">
        <f t="shared" si="2"/>
        <v>1.7000000000000006</v>
      </c>
      <c r="J11" s="41" t="s">
        <v>28</v>
      </c>
      <c r="K11" s="35">
        <f>'BESS 11'!K157+'BESS 11'!K112+'BESS 11'!K66+'BESS 11'!K20</f>
        <v>24</v>
      </c>
      <c r="L11" s="36">
        <f>'BESS 11'!L157+'BESS 11'!L112+'BESS 11'!L66+'BESS 11'!L20</f>
        <v>24</v>
      </c>
      <c r="M11" s="7">
        <f t="shared" si="3"/>
        <v>0</v>
      </c>
      <c r="N11" s="3"/>
      <c r="O11" s="5" t="s">
        <v>25</v>
      </c>
      <c r="P11" s="42"/>
    </row>
    <row r="12" spans="2:16" ht="25.5">
      <c r="B12" s="473"/>
      <c r="C12" s="476"/>
      <c r="D12" s="476"/>
      <c r="E12" s="476"/>
      <c r="F12" s="476"/>
      <c r="G12" s="476"/>
      <c r="H12" s="476"/>
      <c r="I12" s="4">
        <f t="shared" si="2"/>
        <v>1.8000000000000007</v>
      </c>
      <c r="J12" s="8" t="s">
        <v>29</v>
      </c>
      <c r="K12" s="35">
        <f>'BESS 11'!K158+'BESS 11'!K113+'BESS 11'!K67+'BESS 11'!K21</f>
        <v>24</v>
      </c>
      <c r="L12" s="36">
        <f>'BESS 11'!L158+'BESS 11'!L113+'BESS 11'!L67+'BESS 11'!L21</f>
        <v>12</v>
      </c>
      <c r="M12" s="7">
        <f t="shared" si="3"/>
        <v>12</v>
      </c>
      <c r="N12" s="3"/>
      <c r="O12" s="5" t="s">
        <v>25</v>
      </c>
      <c r="P12" s="42"/>
    </row>
    <row r="13" spans="2:16">
      <c r="B13" s="473"/>
      <c r="C13" s="476"/>
      <c r="D13" s="476"/>
      <c r="E13" s="476"/>
      <c r="F13" s="476"/>
      <c r="G13" s="476"/>
      <c r="H13" s="476"/>
      <c r="I13" s="4">
        <f t="shared" si="2"/>
        <v>1.9000000000000008</v>
      </c>
      <c r="J13" s="8" t="s">
        <v>30</v>
      </c>
      <c r="K13" s="35">
        <f>'BESS 11'!K151+'BESS 11'!K106+'BESS 11'!K60+'BESS 11'!K14</f>
        <v>24</v>
      </c>
      <c r="L13" s="36">
        <f>'BESS 11'!L151+'BESS 11'!L106+'BESS 11'!L60+'BESS 11'!L14</f>
        <v>24</v>
      </c>
      <c r="M13" s="7">
        <f t="shared" si="3"/>
        <v>0</v>
      </c>
      <c r="N13" s="3"/>
      <c r="O13" s="5" t="s">
        <v>31</v>
      </c>
      <c r="P13" s="42"/>
    </row>
    <row r="14" spans="2:16">
      <c r="B14" s="473"/>
      <c r="C14" s="476"/>
      <c r="D14" s="476"/>
      <c r="E14" s="476"/>
      <c r="F14" s="476"/>
      <c r="G14" s="476"/>
      <c r="H14" s="476"/>
      <c r="I14" s="6">
        <f>I5</f>
        <v>1.1000000000000001</v>
      </c>
      <c r="J14" s="8" t="s">
        <v>32</v>
      </c>
      <c r="K14" s="35">
        <f>'BESS 11'!K146+'BESS 11'!K100+'BESS 11'!K54+'BESS 11'!K9</f>
        <v>4</v>
      </c>
      <c r="L14" s="36">
        <f>'BESS 11'!L146+'BESS 11'!L100+'BESS 11'!L54+'BESS 11'!L9</f>
        <v>4</v>
      </c>
      <c r="M14" s="7">
        <f t="shared" si="3"/>
        <v>0</v>
      </c>
      <c r="N14" s="3"/>
      <c r="O14" s="5" t="s">
        <v>20</v>
      </c>
      <c r="P14" s="42"/>
    </row>
    <row r="15" spans="2:16">
      <c r="B15" s="473"/>
      <c r="C15" s="476"/>
      <c r="D15" s="476"/>
      <c r="E15" s="476"/>
      <c r="F15" s="476"/>
      <c r="G15" s="476"/>
      <c r="H15" s="476"/>
      <c r="I15" s="6">
        <f>I14+0.01</f>
        <v>1.1100000000000001</v>
      </c>
      <c r="J15" s="8" t="s">
        <v>33</v>
      </c>
      <c r="K15" s="35">
        <f>'BESS 11'!K159+'BESS 11'!K114+'BESS 11'!K68+'BESS 11'!K22</f>
        <v>8</v>
      </c>
      <c r="L15" s="36">
        <f>'BESS 11'!L159+'BESS 11'!L114+'BESS 11'!L68+'BESS 11'!L22</f>
        <v>8</v>
      </c>
      <c r="M15" s="7">
        <f t="shared" si="3"/>
        <v>0</v>
      </c>
      <c r="N15" s="3"/>
      <c r="O15" s="5" t="s">
        <v>25</v>
      </c>
      <c r="P15" s="42"/>
    </row>
    <row r="16" spans="2:16">
      <c r="B16" s="473"/>
      <c r="C16" s="476"/>
      <c r="D16" s="476"/>
      <c r="E16" s="476"/>
      <c r="F16" s="476"/>
      <c r="G16" s="476"/>
      <c r="H16" s="476"/>
      <c r="I16" s="6">
        <f t="shared" ref="I16:I35" si="4">I15+0.01</f>
        <v>1.1200000000000001</v>
      </c>
      <c r="J16" s="8" t="s">
        <v>34</v>
      </c>
      <c r="K16" s="35">
        <f>'BESS 11'!K152+'BESS 11'!K108+'BESS 11'!K61+'BESS 11'!K15</f>
        <v>4</v>
      </c>
      <c r="L16" s="36">
        <f>'BESS 11'!L152+'BESS 11'!L108+'BESS 11'!L61+'BESS 11'!L15</f>
        <v>4</v>
      </c>
      <c r="M16" s="7">
        <f t="shared" si="3"/>
        <v>0</v>
      </c>
      <c r="N16" s="3"/>
      <c r="O16" s="5" t="s">
        <v>31</v>
      </c>
      <c r="P16" s="42"/>
    </row>
    <row r="17" spans="2:16">
      <c r="B17" s="473"/>
      <c r="C17" s="476"/>
      <c r="D17" s="476"/>
      <c r="E17" s="476"/>
      <c r="F17" s="476"/>
      <c r="G17" s="476"/>
      <c r="H17" s="476"/>
      <c r="I17" s="6">
        <f t="shared" si="4"/>
        <v>1.1300000000000001</v>
      </c>
      <c r="J17" s="8" t="s">
        <v>35</v>
      </c>
      <c r="K17" s="35">
        <f>'BESS 11'!K147+'BESS 11'!K101+'BESS 11'!K56+'BESS 11'!K10</f>
        <v>4</v>
      </c>
      <c r="L17" s="36">
        <f>'BESS 11'!L147+'BESS 11'!L101+'BESS 11'!L56+'BESS 11'!L10</f>
        <v>4</v>
      </c>
      <c r="M17" s="7">
        <f t="shared" si="3"/>
        <v>0</v>
      </c>
      <c r="N17" s="3"/>
      <c r="O17" s="5" t="s">
        <v>20</v>
      </c>
      <c r="P17" s="42"/>
    </row>
    <row r="18" spans="2:16">
      <c r="B18" s="473"/>
      <c r="C18" s="476"/>
      <c r="D18" s="476"/>
      <c r="E18" s="476"/>
      <c r="F18" s="476"/>
      <c r="G18" s="476"/>
      <c r="H18" s="476"/>
      <c r="I18" s="6">
        <f t="shared" si="4"/>
        <v>1.1400000000000001</v>
      </c>
      <c r="J18" s="8" t="s">
        <v>36</v>
      </c>
      <c r="K18" s="35">
        <f>'BESS 11'!K160+'BESS 11'!K115+'BESS 11'!K69+'BESS 11'!K23</f>
        <v>4</v>
      </c>
      <c r="L18" s="36">
        <f>'BESS 11'!L160+'BESS 11'!L115+'BESS 11'!L69+'BESS 11'!L23</f>
        <v>2</v>
      </c>
      <c r="M18" s="7">
        <f t="shared" si="3"/>
        <v>2</v>
      </c>
      <c r="N18" s="3"/>
      <c r="O18" s="5" t="s">
        <v>25</v>
      </c>
      <c r="P18" s="42"/>
    </row>
    <row r="19" spans="2:16">
      <c r="B19" s="473"/>
      <c r="C19" s="476"/>
      <c r="D19" s="476"/>
      <c r="E19" s="476"/>
      <c r="F19" s="476"/>
      <c r="G19" s="476"/>
      <c r="H19" s="476"/>
      <c r="I19" s="6">
        <f t="shared" si="4"/>
        <v>1.1500000000000001</v>
      </c>
      <c r="J19" s="8" t="s">
        <v>37</v>
      </c>
      <c r="K19" s="35">
        <f>'BESS 11'!K153+'BESS 11'!K107+'BESS 11'!K62+'BESS 11'!K16</f>
        <v>4</v>
      </c>
      <c r="L19" s="36">
        <f>'BESS 11'!L153+'BESS 11'!L107+'BESS 11'!L62+'BESS 11'!L16</f>
        <v>4</v>
      </c>
      <c r="M19" s="7">
        <f t="shared" si="3"/>
        <v>0</v>
      </c>
      <c r="N19" s="3"/>
      <c r="O19" s="5" t="s">
        <v>31</v>
      </c>
      <c r="P19" s="42"/>
    </row>
    <row r="20" spans="2:16">
      <c r="B20" s="473"/>
      <c r="C20" s="476"/>
      <c r="D20" s="476"/>
      <c r="E20" s="476"/>
      <c r="F20" s="476"/>
      <c r="G20" s="476"/>
      <c r="H20" s="476"/>
      <c r="I20" s="6">
        <f t="shared" si="4"/>
        <v>1.1600000000000001</v>
      </c>
      <c r="J20" s="8" t="s">
        <v>38</v>
      </c>
      <c r="K20" s="35">
        <f>'BESS 11'!K148+'BESS 11'!K102+'BESS 11'!K55+'BESS 11'!K11</f>
        <v>4</v>
      </c>
      <c r="L20" s="36">
        <f>'BESS 11'!L148+'BESS 11'!L102+'BESS 11'!L55+'BESS 11'!L11</f>
        <v>4</v>
      </c>
      <c r="M20" s="7">
        <f t="shared" si="3"/>
        <v>0</v>
      </c>
      <c r="N20" s="3"/>
      <c r="O20" s="5" t="s">
        <v>20</v>
      </c>
      <c r="P20" s="42"/>
    </row>
    <row r="21" spans="2:16">
      <c r="B21" s="473"/>
      <c r="C21" s="476"/>
      <c r="D21" s="476"/>
      <c r="E21" s="476"/>
      <c r="F21" s="476"/>
      <c r="G21" s="476"/>
      <c r="H21" s="476"/>
      <c r="I21" s="6">
        <f t="shared" si="4"/>
        <v>1.1700000000000002</v>
      </c>
      <c r="J21" s="8" t="s">
        <v>39</v>
      </c>
      <c r="K21" s="35">
        <f>'BESS 11'!K161+'BESS 11'!K116+'BESS 11'!K70+'BESS 11'!K24</f>
        <v>4</v>
      </c>
      <c r="L21" s="36">
        <f>'BESS 11'!L161+'BESS 11'!L116+'BESS 11'!L70+'BESS 11'!L24</f>
        <v>4</v>
      </c>
      <c r="M21" s="7">
        <f t="shared" si="3"/>
        <v>0</v>
      </c>
      <c r="N21" s="3"/>
      <c r="O21" s="5" t="s">
        <v>25</v>
      </c>
      <c r="P21" s="42"/>
    </row>
    <row r="22" spans="2:16">
      <c r="B22" s="473"/>
      <c r="C22" s="476"/>
      <c r="D22" s="476"/>
      <c r="E22" s="476"/>
      <c r="F22" s="476"/>
      <c r="G22" s="476"/>
      <c r="H22" s="476"/>
      <c r="I22" s="6">
        <f t="shared" si="4"/>
        <v>1.1800000000000002</v>
      </c>
      <c r="J22" s="8" t="s">
        <v>40</v>
      </c>
      <c r="K22" s="35">
        <f>'BESS 11'!K150+'BESS 11'!K105+'BESS 11'!K57+'BESS 11'!K12</f>
        <v>17</v>
      </c>
      <c r="L22" s="36">
        <f>'BESS 11'!L150+'BESS 11'!L105+'BESS 11'!L57+'BESS 11'!L12</f>
        <v>15</v>
      </c>
      <c r="M22" s="7">
        <f t="shared" si="3"/>
        <v>2</v>
      </c>
      <c r="N22" s="3"/>
      <c r="O22" s="5" t="s">
        <v>20</v>
      </c>
      <c r="P22" s="42"/>
    </row>
    <row r="23" spans="2:16">
      <c r="B23" s="473"/>
      <c r="C23" s="476"/>
      <c r="D23" s="476"/>
      <c r="E23" s="476"/>
      <c r="F23" s="476"/>
      <c r="G23" s="476"/>
      <c r="H23" s="476"/>
      <c r="I23" s="6">
        <f t="shared" si="4"/>
        <v>1.1900000000000002</v>
      </c>
      <c r="J23" s="8" t="s">
        <v>41</v>
      </c>
      <c r="K23" s="35">
        <f>'BESS 11'!K162+'BESS 11'!K117+'BESS 11'!K71+'BESS 11'!K25</f>
        <v>24</v>
      </c>
      <c r="L23" s="36">
        <f>'BESS 11'!L162+'BESS 11'!L117+'BESS 11'!L71+'BESS 11'!L25</f>
        <v>12</v>
      </c>
      <c r="M23" s="7">
        <f t="shared" si="3"/>
        <v>12</v>
      </c>
      <c r="N23" s="3"/>
      <c r="O23" s="5" t="s">
        <v>42</v>
      </c>
      <c r="P23" s="42"/>
    </row>
    <row r="24" spans="2:16">
      <c r="B24" s="473"/>
      <c r="C24" s="476"/>
      <c r="D24" s="476"/>
      <c r="E24" s="476"/>
      <c r="F24" s="476"/>
      <c r="G24" s="476"/>
      <c r="H24" s="476"/>
      <c r="I24" s="6">
        <f t="shared" si="4"/>
        <v>1.2000000000000002</v>
      </c>
      <c r="J24" s="8" t="s">
        <v>43</v>
      </c>
      <c r="K24" s="35">
        <f>'BESS 11'!K163+'BESS 11'!K118+'BESS 11'!K72+'BESS 11'!K26</f>
        <v>24</v>
      </c>
      <c r="L24" s="36">
        <f>'BESS 11'!L163+'BESS 11'!L118+'BESS 11'!L72+'BESS 11'!L26</f>
        <v>12</v>
      </c>
      <c r="M24" s="7">
        <f t="shared" si="3"/>
        <v>12</v>
      </c>
      <c r="N24" s="3"/>
      <c r="O24" s="5" t="s">
        <v>42</v>
      </c>
      <c r="P24" s="42"/>
    </row>
    <row r="25" spans="2:16">
      <c r="B25" s="473"/>
      <c r="C25" s="476"/>
      <c r="D25" s="476"/>
      <c r="E25" s="476"/>
      <c r="F25" s="476"/>
      <c r="G25" s="476"/>
      <c r="H25" s="476"/>
      <c r="I25" s="6">
        <f t="shared" si="4"/>
        <v>1.2100000000000002</v>
      </c>
      <c r="J25" s="8" t="s">
        <v>44</v>
      </c>
      <c r="K25" s="35" t="e">
        <f>'BESS 11'!K104+'BESS 11'!#REF!</f>
        <v>#REF!</v>
      </c>
      <c r="L25" s="36" t="e">
        <f>'BESS 11'!L104+'BESS 11'!#REF!</f>
        <v>#REF!</v>
      </c>
      <c r="M25" s="7" t="e">
        <f>K25-L25</f>
        <v>#REF!</v>
      </c>
      <c r="N25" s="3"/>
      <c r="O25" s="5" t="s">
        <v>45</v>
      </c>
      <c r="P25" s="42"/>
    </row>
    <row r="26" spans="2:16">
      <c r="B26" s="473"/>
      <c r="C26" s="476"/>
      <c r="D26" s="476"/>
      <c r="E26" s="476"/>
      <c r="F26" s="476"/>
      <c r="G26" s="476"/>
      <c r="H26" s="476"/>
      <c r="I26" s="6">
        <f t="shared" si="4"/>
        <v>1.2200000000000002</v>
      </c>
      <c r="J26" s="8" t="s">
        <v>46</v>
      </c>
      <c r="K26" s="35">
        <f>'BESS 11'!K149+'BESS 11'!K103+'BESS 11'!K59+'BESS 11'!K13</f>
        <v>16</v>
      </c>
      <c r="L26" s="36">
        <f>'BESS 11'!L149+'BESS 11'!L103+'BESS 11'!L59+'BESS 11'!L13</f>
        <v>16</v>
      </c>
      <c r="M26" s="7">
        <f t="shared" ref="M26:M33" si="5">K26-L26</f>
        <v>0</v>
      </c>
      <c r="N26" s="3"/>
      <c r="O26" s="5" t="s">
        <v>20</v>
      </c>
      <c r="P26" s="42"/>
    </row>
    <row r="27" spans="2:16">
      <c r="B27" s="473"/>
      <c r="C27" s="476"/>
      <c r="D27" s="476"/>
      <c r="E27" s="476"/>
      <c r="F27" s="476"/>
      <c r="G27" s="476"/>
      <c r="H27" s="476"/>
      <c r="I27" s="6">
        <f t="shared" si="4"/>
        <v>1.2300000000000002</v>
      </c>
      <c r="J27" s="8" t="s">
        <v>47</v>
      </c>
      <c r="K27" s="35">
        <f>'BESS 11'!K165+'BESS 11'!K120+'BESS 11'!K74+'BESS 11'!K28</f>
        <v>31595</v>
      </c>
      <c r="L27" s="36">
        <f>'BESS 11'!L165+'BESS 11'!L120+'BESS 11'!L74+'BESS 11'!L28</f>
        <v>31595</v>
      </c>
      <c r="M27" s="7">
        <f t="shared" si="5"/>
        <v>0</v>
      </c>
      <c r="N27" s="3"/>
      <c r="O27" s="5" t="s">
        <v>25</v>
      </c>
      <c r="P27" s="42"/>
    </row>
    <row r="28" spans="2:16">
      <c r="B28" s="473"/>
      <c r="C28" s="476"/>
      <c r="D28" s="476"/>
      <c r="E28" s="476"/>
      <c r="F28" s="476"/>
      <c r="G28" s="476"/>
      <c r="H28" s="476"/>
      <c r="I28" s="6">
        <f t="shared" si="4"/>
        <v>1.2400000000000002</v>
      </c>
      <c r="J28" s="8" t="s">
        <v>48</v>
      </c>
      <c r="K28" s="35">
        <f>'BESS 11'!K166+'BESS 11'!K121+'BESS 11'!K75+'BESS 11'!K29</f>
        <v>112</v>
      </c>
      <c r="L28" s="36">
        <f>'BESS 11'!L166+'BESS 11'!L121+'BESS 11'!L75+'BESS 11'!L29</f>
        <v>112</v>
      </c>
      <c r="M28" s="7">
        <f t="shared" si="5"/>
        <v>0</v>
      </c>
      <c r="N28" s="3"/>
      <c r="O28" s="5" t="s">
        <v>25</v>
      </c>
      <c r="P28" s="42"/>
    </row>
    <row r="29" spans="2:16">
      <c r="B29" s="473"/>
      <c r="C29" s="476"/>
      <c r="D29" s="476"/>
      <c r="E29" s="476"/>
      <c r="F29" s="476"/>
      <c r="G29" s="476"/>
      <c r="H29" s="476"/>
      <c r="I29" s="6">
        <f t="shared" si="4"/>
        <v>1.2500000000000002</v>
      </c>
      <c r="J29" s="8" t="s">
        <v>49</v>
      </c>
      <c r="K29" s="35">
        <f>'BESS 11'!K167+'BESS 11'!K122+'BESS 11'!K76+'BESS 11'!K30</f>
        <v>53748</v>
      </c>
      <c r="L29" s="36">
        <f>'BESS 11'!L167+'BESS 11'!L122+'BESS 11'!L76+'BESS 11'!L30</f>
        <v>53748</v>
      </c>
      <c r="M29" s="7">
        <f t="shared" si="5"/>
        <v>0</v>
      </c>
      <c r="N29" s="3"/>
      <c r="O29" s="5" t="s">
        <v>25</v>
      </c>
      <c r="P29" s="42"/>
    </row>
    <row r="30" spans="2:16">
      <c r="B30" s="473"/>
      <c r="C30" s="476"/>
      <c r="D30" s="476"/>
      <c r="E30" s="476"/>
      <c r="F30" s="476"/>
      <c r="G30" s="476"/>
      <c r="H30" s="476"/>
      <c r="I30" s="6">
        <f t="shared" si="4"/>
        <v>1.2600000000000002</v>
      </c>
      <c r="J30" s="8" t="s">
        <v>50</v>
      </c>
      <c r="K30" s="35">
        <f>'BESS 11'!K169+'BESS 11'!K124+'BESS 11'!K78+'BESS 11'!K32</f>
        <v>6144</v>
      </c>
      <c r="L30" s="36">
        <f>'BESS 11'!L169+'BESS 11'!L124+'BESS 11'!L78+'BESS 11'!L32</f>
        <v>3072</v>
      </c>
      <c r="M30" s="7">
        <f t="shared" si="5"/>
        <v>3072</v>
      </c>
      <c r="N30" s="3"/>
      <c r="O30" s="5" t="s">
        <v>25</v>
      </c>
      <c r="P30" s="42"/>
    </row>
    <row r="31" spans="2:16" ht="25.5">
      <c r="B31" s="473"/>
      <c r="C31" s="476"/>
      <c r="D31" s="476"/>
      <c r="E31" s="476"/>
      <c r="F31" s="476"/>
      <c r="G31" s="476"/>
      <c r="H31" s="476"/>
      <c r="I31" s="6">
        <f t="shared" si="4"/>
        <v>1.2700000000000002</v>
      </c>
      <c r="J31" s="8" t="s">
        <v>51</v>
      </c>
      <c r="K31" s="35">
        <f>'BESS 11'!K171+'BESS 11'!K126+'BESS 11'!K80+'BESS 11'!K34</f>
        <v>32729</v>
      </c>
      <c r="L31" s="36">
        <f>'BESS 11'!L171+'BESS 11'!L126+'BESS 11'!L80+'BESS 11'!L34</f>
        <v>23132</v>
      </c>
      <c r="M31" s="7">
        <f t="shared" si="5"/>
        <v>9597</v>
      </c>
      <c r="N31" s="3"/>
      <c r="O31" s="5" t="s">
        <v>25</v>
      </c>
      <c r="P31" s="42"/>
    </row>
    <row r="32" spans="2:16">
      <c r="B32" s="473"/>
      <c r="C32" s="476"/>
      <c r="D32" s="476"/>
      <c r="E32" s="476"/>
      <c r="F32" s="476"/>
      <c r="G32" s="476"/>
      <c r="H32" s="476"/>
      <c r="I32" s="6">
        <f t="shared" si="4"/>
        <v>1.2800000000000002</v>
      </c>
      <c r="J32" s="8" t="s">
        <v>52</v>
      </c>
      <c r="K32" s="35">
        <f>'BESS 11'!K177+'BESS 11'!K132+'BESS 11'!K86+'BESS 11'!K40</f>
        <v>24</v>
      </c>
      <c r="L32" s="36">
        <f>'BESS 11'!L177+'BESS 11'!L132+'BESS 11'!L86+'BESS 11'!L40</f>
        <v>24</v>
      </c>
      <c r="M32" s="7">
        <f t="shared" si="5"/>
        <v>0</v>
      </c>
      <c r="N32" s="3"/>
      <c r="O32" s="5" t="s">
        <v>25</v>
      </c>
      <c r="P32" s="42"/>
    </row>
    <row r="33" spans="2:16">
      <c r="B33" s="473"/>
      <c r="C33" s="476"/>
      <c r="D33" s="476"/>
      <c r="E33" s="476"/>
      <c r="F33" s="476"/>
      <c r="G33" s="476"/>
      <c r="H33" s="476"/>
      <c r="I33" s="6">
        <f t="shared" si="4"/>
        <v>1.2900000000000003</v>
      </c>
      <c r="J33" s="8" t="s">
        <v>53</v>
      </c>
      <c r="K33" s="35">
        <f>'BESS 11'!K180+'BESS 11'!K135+'BESS 11'!K89+'BESS 11'!K43</f>
        <v>48</v>
      </c>
      <c r="L33" s="36">
        <f>'BESS 11'!L180+'BESS 11'!L135+'BESS 11'!L89+'BESS 11'!L43</f>
        <v>12</v>
      </c>
      <c r="M33" s="7">
        <f t="shared" si="5"/>
        <v>36</v>
      </c>
      <c r="N33" s="3"/>
      <c r="O33" s="5" t="s">
        <v>25</v>
      </c>
      <c r="P33" s="42"/>
    </row>
    <row r="34" spans="2:16">
      <c r="B34" s="473"/>
      <c r="C34" s="476"/>
      <c r="D34" s="476"/>
      <c r="E34" s="476"/>
      <c r="F34" s="476"/>
      <c r="G34" s="476"/>
      <c r="H34" s="476"/>
      <c r="I34" s="6">
        <f t="shared" si="4"/>
        <v>1.3000000000000003</v>
      </c>
      <c r="J34" s="8" t="s">
        <v>54</v>
      </c>
      <c r="K34" s="35">
        <f>'BESS 11'!K185+'BESS 11'!K140+'BESS 11'!K94+'BESS 11'!K48</f>
        <v>17921.8</v>
      </c>
      <c r="L34" s="36">
        <f>'BESS 11'!L185+'BESS 11'!L140+'BESS 11'!L94+'BESS 11'!L48</f>
        <v>8507.7000000000007</v>
      </c>
      <c r="M34" s="7">
        <f>K34-L34</f>
        <v>9414.0999999999985</v>
      </c>
      <c r="N34" s="3"/>
      <c r="O34" s="5" t="s">
        <v>25</v>
      </c>
      <c r="P34" s="42"/>
    </row>
    <row r="35" spans="2:16" ht="14.25" thickBot="1">
      <c r="B35" s="474"/>
      <c r="C35" s="477"/>
      <c r="D35" s="477"/>
      <c r="E35" s="477"/>
      <c r="F35" s="477"/>
      <c r="G35" s="477"/>
      <c r="H35" s="477"/>
      <c r="I35" s="22">
        <f t="shared" si="4"/>
        <v>1.3100000000000003</v>
      </c>
      <c r="J35" s="23" t="s">
        <v>55</v>
      </c>
      <c r="K35" s="37">
        <f>'BESS 11'!K186+'BESS 11'!K141+'BESS 11'!K95+'BESS 11'!K49</f>
        <v>40</v>
      </c>
      <c r="L35" s="38">
        <f>'BESS 11'!L186+'BESS 11'!L141+'BESS 11'!L95+'BESS 11'!L49</f>
        <v>10</v>
      </c>
      <c r="M35" s="26">
        <f>K35-L35</f>
        <v>30</v>
      </c>
      <c r="N35" s="27"/>
      <c r="O35" s="28" t="s">
        <v>25</v>
      </c>
      <c r="P35" s="43"/>
    </row>
    <row r="36" spans="2:16" ht="25.5">
      <c r="B36" s="473" t="s">
        <v>17</v>
      </c>
      <c r="C36" s="445" t="s">
        <v>56</v>
      </c>
      <c r="D36" s="476">
        <v>48</v>
      </c>
      <c r="E36" s="476">
        <v>240.71999999999997</v>
      </c>
      <c r="F36" s="480"/>
      <c r="G36" s="480"/>
      <c r="H36" s="494"/>
      <c r="I36" s="4">
        <v>2.1</v>
      </c>
      <c r="J36" s="8" t="s">
        <v>19</v>
      </c>
      <c r="K36" s="1">
        <f>'BESS 11'!K188+'BESS 11'!K233+'BESS 11'!K278+'BESS 11'!K323</f>
        <v>192</v>
      </c>
      <c r="L36" s="2">
        <f>'BESS 11'!L188+'BESS 11'!L233+'BESS 11'!L278+'BESS 11'!L323</f>
        <v>192</v>
      </c>
      <c r="M36" s="7">
        <f t="shared" ref="M36" si="6">K36-L36</f>
        <v>0</v>
      </c>
      <c r="N36" s="3"/>
      <c r="O36" s="5" t="s">
        <v>20</v>
      </c>
      <c r="P36" s="34"/>
    </row>
    <row r="37" spans="2:16">
      <c r="B37" s="473"/>
      <c r="C37" s="445"/>
      <c r="D37" s="476"/>
      <c r="E37" s="476"/>
      <c r="F37" s="480"/>
      <c r="G37" s="480"/>
      <c r="H37" s="494"/>
      <c r="I37" s="4">
        <f>I36+0.1</f>
        <v>2.2000000000000002</v>
      </c>
      <c r="J37" s="8" t="s">
        <v>21</v>
      </c>
      <c r="K37" s="1" t="e">
        <f>'BESS 11'!#REF!+'BESS 11'!#REF!+'BESS 11'!#REF!+'BESS 11'!#REF!</f>
        <v>#REF!</v>
      </c>
      <c r="L37" s="2" t="e">
        <f>'BESS 11'!#REF!+'BESS 11'!#REF!+'BESS 11'!#REF!+'BESS 11'!#REF!</f>
        <v>#REF!</v>
      </c>
      <c r="M37" s="7" t="e">
        <f>K37-L37</f>
        <v>#REF!</v>
      </c>
      <c r="N37" s="3"/>
      <c r="O37" s="5" t="s">
        <v>22</v>
      </c>
      <c r="P37" s="31"/>
    </row>
    <row r="38" spans="2:16">
      <c r="B38" s="473"/>
      <c r="C38" s="445"/>
      <c r="D38" s="476"/>
      <c r="E38" s="476"/>
      <c r="F38" s="480"/>
      <c r="G38" s="480"/>
      <c r="H38" s="494"/>
      <c r="I38" s="4">
        <f t="shared" ref="I38:I44" si="7">I37+0.1</f>
        <v>2.3000000000000003</v>
      </c>
      <c r="J38" s="8" t="s">
        <v>23</v>
      </c>
      <c r="K38" s="1">
        <f>'BESS 11'!K189+'BESS 11'!K234+'BESS 11'!K279+'BESS 11'!K324</f>
        <v>24</v>
      </c>
      <c r="L38" s="2">
        <f>'BESS 11'!L189+'BESS 11'!L234+'BESS 11'!L279+'BESS 11'!L324</f>
        <v>24</v>
      </c>
      <c r="M38" s="7">
        <f t="shared" ref="M38:M55" si="8">K38-L38</f>
        <v>0</v>
      </c>
      <c r="N38" s="3"/>
      <c r="O38" s="5" t="s">
        <v>20</v>
      </c>
      <c r="P38" s="31"/>
    </row>
    <row r="39" spans="2:16">
      <c r="B39" s="473"/>
      <c r="C39" s="445"/>
      <c r="D39" s="476"/>
      <c r="E39" s="476"/>
      <c r="F39" s="480"/>
      <c r="G39" s="480"/>
      <c r="H39" s="494"/>
      <c r="I39" s="4">
        <f t="shared" si="7"/>
        <v>2.4000000000000004</v>
      </c>
      <c r="J39" s="8" t="s">
        <v>24</v>
      </c>
      <c r="K39" s="1">
        <f>'BESS 11'!K200+'BESS 11'!K245+'BESS 11'!K290+'BESS 11'!K335</f>
        <v>24</v>
      </c>
      <c r="L39" s="2">
        <f>'BESS 11'!L200+'BESS 11'!L245+'BESS 11'!L290+'BESS 11'!L335</f>
        <v>12</v>
      </c>
      <c r="M39" s="7">
        <f t="shared" si="8"/>
        <v>12</v>
      </c>
      <c r="N39" s="3"/>
      <c r="O39" s="5" t="s">
        <v>25</v>
      </c>
      <c r="P39" s="31"/>
    </row>
    <row r="40" spans="2:16">
      <c r="B40" s="473"/>
      <c r="C40" s="445"/>
      <c r="D40" s="476"/>
      <c r="E40" s="476"/>
      <c r="F40" s="480"/>
      <c r="G40" s="480"/>
      <c r="H40" s="494"/>
      <c r="I40" s="4">
        <f t="shared" si="7"/>
        <v>2.5000000000000004</v>
      </c>
      <c r="J40" s="8" t="s">
        <v>26</v>
      </c>
      <c r="K40" s="1">
        <f>'BESS 11'!K190+'BESS 11'!K235+'BESS 11'!K280+'BESS 11'!K325</f>
        <v>24</v>
      </c>
      <c r="L40" s="2">
        <f>'BESS 11'!L190+'BESS 11'!L235+'BESS 11'!L280+'BESS 11'!L325</f>
        <v>24</v>
      </c>
      <c r="M40" s="7">
        <f t="shared" si="8"/>
        <v>0</v>
      </c>
      <c r="N40" s="3"/>
      <c r="O40" s="5" t="s">
        <v>20</v>
      </c>
      <c r="P40" s="31"/>
    </row>
    <row r="41" spans="2:16">
      <c r="B41" s="473"/>
      <c r="C41" s="445"/>
      <c r="D41" s="476"/>
      <c r="E41" s="476"/>
      <c r="F41" s="480"/>
      <c r="G41" s="480"/>
      <c r="H41" s="494"/>
      <c r="I41" s="4">
        <f t="shared" si="7"/>
        <v>2.6000000000000005</v>
      </c>
      <c r="J41" s="8" t="s">
        <v>27</v>
      </c>
      <c r="K41" s="1">
        <f>'BESS 11'!K201+'BESS 11'!K246+'BESS 11'!K291+'BESS 11'!K336</f>
        <v>192</v>
      </c>
      <c r="L41" s="2">
        <f>'BESS 11'!L201+'BESS 11'!L246+'BESS 11'!L291+'BESS 11'!L336</f>
        <v>0</v>
      </c>
      <c r="M41" s="7">
        <f t="shared" si="8"/>
        <v>192</v>
      </c>
      <c r="N41" s="3"/>
      <c r="O41" s="5" t="s">
        <v>25</v>
      </c>
      <c r="P41" s="31"/>
    </row>
    <row r="42" spans="2:16">
      <c r="B42" s="473"/>
      <c r="C42" s="445"/>
      <c r="D42" s="476"/>
      <c r="E42" s="476"/>
      <c r="F42" s="480"/>
      <c r="G42" s="480"/>
      <c r="H42" s="494"/>
      <c r="I42" s="4">
        <f t="shared" si="7"/>
        <v>2.7000000000000006</v>
      </c>
      <c r="J42" s="8" t="s">
        <v>28</v>
      </c>
      <c r="K42" s="1">
        <f>'BESS 11'!K202+'BESS 11'!K247+'BESS 11'!K292+'BESS 11'!K337</f>
        <v>24</v>
      </c>
      <c r="L42" s="2">
        <f>'BESS 11'!L202+'BESS 11'!L247+'BESS 11'!L292+'BESS 11'!L337</f>
        <v>0</v>
      </c>
      <c r="M42" s="7">
        <f t="shared" si="8"/>
        <v>24</v>
      </c>
      <c r="N42" s="3"/>
      <c r="O42" s="5" t="s">
        <v>25</v>
      </c>
      <c r="P42" s="31"/>
    </row>
    <row r="43" spans="2:16" ht="25.5">
      <c r="B43" s="473"/>
      <c r="C43" s="445"/>
      <c r="D43" s="476"/>
      <c r="E43" s="476"/>
      <c r="F43" s="480"/>
      <c r="G43" s="480"/>
      <c r="H43" s="494"/>
      <c r="I43" s="4">
        <f t="shared" si="7"/>
        <v>2.8000000000000007</v>
      </c>
      <c r="J43" s="8" t="s">
        <v>29</v>
      </c>
      <c r="K43" s="1">
        <f>'BESS 11'!K203+'BESS 11'!K248+'BESS 11'!K293+'BESS 11'!K338</f>
        <v>24</v>
      </c>
      <c r="L43" s="2">
        <f>'BESS 11'!L203+'BESS 11'!L248+'BESS 11'!L293+'BESS 11'!L338</f>
        <v>0</v>
      </c>
      <c r="M43" s="7">
        <f t="shared" si="8"/>
        <v>24</v>
      </c>
      <c r="N43" s="3"/>
      <c r="O43" s="5" t="s">
        <v>25</v>
      </c>
      <c r="P43" s="31"/>
    </row>
    <row r="44" spans="2:16">
      <c r="B44" s="473"/>
      <c r="C44" s="445"/>
      <c r="D44" s="476"/>
      <c r="E44" s="476"/>
      <c r="F44" s="480"/>
      <c r="G44" s="480"/>
      <c r="H44" s="494"/>
      <c r="I44" s="4">
        <f t="shared" si="7"/>
        <v>2.9000000000000008</v>
      </c>
      <c r="J44" s="8" t="s">
        <v>30</v>
      </c>
      <c r="K44" s="1">
        <f>'BESS 11'!K196+'BESS 11'!K241+'BESS 11'!K286+'BESS 11'!K331</f>
        <v>24</v>
      </c>
      <c r="L44" s="2">
        <f>'BESS 11'!L196+'BESS 11'!L241+'BESS 11'!L286+'BESS 11'!L331</f>
        <v>18</v>
      </c>
      <c r="M44" s="7">
        <f t="shared" si="8"/>
        <v>6</v>
      </c>
      <c r="N44" s="3"/>
      <c r="O44" s="5" t="s">
        <v>31</v>
      </c>
      <c r="P44" s="31"/>
    </row>
    <row r="45" spans="2:16">
      <c r="B45" s="473"/>
      <c r="C45" s="445"/>
      <c r="D45" s="476"/>
      <c r="E45" s="476"/>
      <c r="F45" s="480"/>
      <c r="G45" s="480"/>
      <c r="H45" s="494"/>
      <c r="I45" s="6">
        <f>I36</f>
        <v>2.1</v>
      </c>
      <c r="J45" s="8" t="s">
        <v>32</v>
      </c>
      <c r="K45" s="1">
        <f>'BESS 11'!K191+'BESS 11'!K236+'BESS 11'!K281+'BESS 11'!K326</f>
        <v>4</v>
      </c>
      <c r="L45" s="2">
        <f>'BESS 11'!L191+'BESS 11'!L236+'BESS 11'!L281+'BESS 11'!L326</f>
        <v>4</v>
      </c>
      <c r="M45" s="7">
        <f t="shared" si="8"/>
        <v>0</v>
      </c>
      <c r="N45" s="3"/>
      <c r="O45" s="5" t="s">
        <v>20</v>
      </c>
      <c r="P45" s="31"/>
    </row>
    <row r="46" spans="2:16">
      <c r="B46" s="473"/>
      <c r="C46" s="445"/>
      <c r="D46" s="476"/>
      <c r="E46" s="476"/>
      <c r="F46" s="480"/>
      <c r="G46" s="480"/>
      <c r="H46" s="494"/>
      <c r="I46" s="6">
        <f>I45+0.01</f>
        <v>2.11</v>
      </c>
      <c r="J46" s="8" t="s">
        <v>33</v>
      </c>
      <c r="K46" s="1">
        <f>'BESS 11'!K204+'BESS 11'!K249+'BESS 11'!K294+'BESS 11'!K339</f>
        <v>8</v>
      </c>
      <c r="L46" s="2">
        <f>'BESS 11'!L204+'BESS 11'!L249+'BESS 11'!L294+'BESS 11'!L339</f>
        <v>0</v>
      </c>
      <c r="M46" s="7">
        <f t="shared" si="8"/>
        <v>8</v>
      </c>
      <c r="N46" s="3"/>
      <c r="O46" s="5" t="s">
        <v>25</v>
      </c>
      <c r="P46" s="31"/>
    </row>
    <row r="47" spans="2:16">
      <c r="B47" s="473"/>
      <c r="C47" s="445"/>
      <c r="D47" s="476"/>
      <c r="E47" s="476"/>
      <c r="F47" s="480"/>
      <c r="G47" s="480"/>
      <c r="H47" s="494"/>
      <c r="I47" s="6">
        <f t="shared" ref="I47:I65" si="9">I46+0.01</f>
        <v>2.1199999999999997</v>
      </c>
      <c r="J47" s="8" t="s">
        <v>34</v>
      </c>
      <c r="K47" s="1">
        <f>'BESS 11'!K197+'BESS 11'!K242+'BESS 11'!K287+'BESS 11'!K332</f>
        <v>4</v>
      </c>
      <c r="L47" s="2">
        <f>'BESS 11'!L197+'BESS 11'!L242+'BESS 11'!L287+'BESS 11'!L332</f>
        <v>0</v>
      </c>
      <c r="M47" s="7">
        <f t="shared" si="8"/>
        <v>4</v>
      </c>
      <c r="N47" s="3"/>
      <c r="O47" s="5" t="s">
        <v>31</v>
      </c>
      <c r="P47" s="31"/>
    </row>
    <row r="48" spans="2:16">
      <c r="B48" s="473"/>
      <c r="C48" s="445"/>
      <c r="D48" s="476"/>
      <c r="E48" s="476"/>
      <c r="F48" s="480"/>
      <c r="G48" s="480"/>
      <c r="H48" s="494"/>
      <c r="I48" s="6">
        <f t="shared" si="9"/>
        <v>2.1299999999999994</v>
      </c>
      <c r="J48" s="8" t="s">
        <v>35</v>
      </c>
      <c r="K48" s="1">
        <f>'BESS 11'!K192+'BESS 11'!K237+'BESS 11'!K282+'BESS 11'!K327</f>
        <v>4</v>
      </c>
      <c r="L48" s="2">
        <f>'BESS 11'!L192+'BESS 11'!L237+'BESS 11'!L282+'BESS 11'!L327</f>
        <v>4</v>
      </c>
      <c r="M48" s="7">
        <f t="shared" si="8"/>
        <v>0</v>
      </c>
      <c r="N48" s="3"/>
      <c r="O48" s="5" t="s">
        <v>20</v>
      </c>
      <c r="P48" s="31"/>
    </row>
    <row r="49" spans="2:16">
      <c r="B49" s="473"/>
      <c r="C49" s="445"/>
      <c r="D49" s="476"/>
      <c r="E49" s="476"/>
      <c r="F49" s="480"/>
      <c r="G49" s="480"/>
      <c r="H49" s="494"/>
      <c r="I49" s="6">
        <f t="shared" si="9"/>
        <v>2.1399999999999992</v>
      </c>
      <c r="J49" s="8" t="s">
        <v>36</v>
      </c>
      <c r="K49" s="1">
        <f>'BESS 11'!K205+'BESS 11'!K250+'BESS 11'!K295+'BESS 11'!K340</f>
        <v>4</v>
      </c>
      <c r="L49" s="2">
        <f>'BESS 11'!L205+'BESS 11'!L250+'BESS 11'!L295+'BESS 11'!L340</f>
        <v>0</v>
      </c>
      <c r="M49" s="7">
        <f t="shared" si="8"/>
        <v>4</v>
      </c>
      <c r="N49" s="3"/>
      <c r="O49" s="5" t="s">
        <v>25</v>
      </c>
      <c r="P49" s="31"/>
    </row>
    <row r="50" spans="2:16">
      <c r="B50" s="473"/>
      <c r="C50" s="445"/>
      <c r="D50" s="476"/>
      <c r="E50" s="476"/>
      <c r="F50" s="480"/>
      <c r="G50" s="480"/>
      <c r="H50" s="494"/>
      <c r="I50" s="6">
        <f t="shared" si="9"/>
        <v>2.149999999999999</v>
      </c>
      <c r="J50" s="8" t="s">
        <v>37</v>
      </c>
      <c r="K50" s="1">
        <f>'BESS 11'!K198+'BESS 11'!K243+'BESS 11'!K288+'BESS 11'!K333</f>
        <v>4</v>
      </c>
      <c r="L50" s="2">
        <f>'BESS 11'!L198+'BESS 11'!L243+'BESS 11'!L288+'BESS 11'!L333</f>
        <v>0</v>
      </c>
      <c r="M50" s="7">
        <f t="shared" si="8"/>
        <v>4</v>
      </c>
      <c r="N50" s="3"/>
      <c r="O50" s="5" t="s">
        <v>31</v>
      </c>
      <c r="P50" s="31"/>
    </row>
    <row r="51" spans="2:16">
      <c r="B51" s="473"/>
      <c r="C51" s="445"/>
      <c r="D51" s="476"/>
      <c r="E51" s="476"/>
      <c r="F51" s="480"/>
      <c r="G51" s="480"/>
      <c r="H51" s="494"/>
      <c r="I51" s="6">
        <f t="shared" si="9"/>
        <v>2.1599999999999988</v>
      </c>
      <c r="J51" s="8" t="s">
        <v>38</v>
      </c>
      <c r="K51" s="1">
        <f>'BESS 11'!K193+'BESS 11'!K238+'BESS 11'!K283+'BESS 11'!K328</f>
        <v>4</v>
      </c>
      <c r="L51" s="2">
        <f>'BESS 11'!L193+'BESS 11'!L238+'BESS 11'!L283+'BESS 11'!L328</f>
        <v>4</v>
      </c>
      <c r="M51" s="7">
        <f t="shared" si="8"/>
        <v>0</v>
      </c>
      <c r="N51" s="3"/>
      <c r="O51" s="5" t="s">
        <v>20</v>
      </c>
      <c r="P51" s="31"/>
    </row>
    <row r="52" spans="2:16">
      <c r="B52" s="473"/>
      <c r="C52" s="445"/>
      <c r="D52" s="476"/>
      <c r="E52" s="476"/>
      <c r="F52" s="480"/>
      <c r="G52" s="480"/>
      <c r="H52" s="494"/>
      <c r="I52" s="6">
        <f t="shared" si="9"/>
        <v>2.1699999999999986</v>
      </c>
      <c r="J52" s="8" t="s">
        <v>39</v>
      </c>
      <c r="K52" s="1">
        <f>'BESS 11'!K206+'BESS 11'!K251+'BESS 11'!K296+'BESS 11'!K341</f>
        <v>4</v>
      </c>
      <c r="L52" s="2">
        <f>'BESS 11'!L206+'BESS 11'!L251+'BESS 11'!L296+'BESS 11'!L341</f>
        <v>0</v>
      </c>
      <c r="M52" s="7">
        <f t="shared" si="8"/>
        <v>4</v>
      </c>
      <c r="N52" s="3"/>
      <c r="O52" s="5" t="s">
        <v>25</v>
      </c>
      <c r="P52" s="31"/>
    </row>
    <row r="53" spans="2:16">
      <c r="B53" s="473"/>
      <c r="C53" s="445"/>
      <c r="D53" s="476"/>
      <c r="E53" s="476"/>
      <c r="F53" s="480"/>
      <c r="G53" s="480"/>
      <c r="H53" s="494"/>
      <c r="I53" s="6">
        <f t="shared" si="9"/>
        <v>2.1799999999999984</v>
      </c>
      <c r="J53" s="8" t="s">
        <v>40</v>
      </c>
      <c r="K53" s="1">
        <f>'BESS 11'!K194+'BESS 11'!K239+'BESS 11'!K284+'BESS 11'!K329</f>
        <v>12</v>
      </c>
      <c r="L53" s="2">
        <f>'BESS 11'!L194+'BESS 11'!L239+'BESS 11'!L284+'BESS 11'!L329</f>
        <v>12</v>
      </c>
      <c r="M53" s="7">
        <f t="shared" si="8"/>
        <v>0</v>
      </c>
      <c r="N53" s="3"/>
      <c r="O53" s="5" t="s">
        <v>20</v>
      </c>
      <c r="P53" s="31"/>
    </row>
    <row r="54" spans="2:16">
      <c r="B54" s="473"/>
      <c r="C54" s="445"/>
      <c r="D54" s="476"/>
      <c r="E54" s="476"/>
      <c r="F54" s="480"/>
      <c r="G54" s="480"/>
      <c r="H54" s="494"/>
      <c r="I54" s="6">
        <f t="shared" si="9"/>
        <v>2.1899999999999982</v>
      </c>
      <c r="J54" s="8" t="s">
        <v>41</v>
      </c>
      <c r="K54" s="1">
        <f>'BESS 11'!K207+'BESS 11'!K252+'BESS 11'!K297+'BESS 11'!K342</f>
        <v>24</v>
      </c>
      <c r="L54" s="2">
        <f>'BESS 11'!L207+'BESS 11'!L252+'BESS 11'!L297+'BESS 11'!L342</f>
        <v>0</v>
      </c>
      <c r="M54" s="7">
        <f t="shared" si="8"/>
        <v>24</v>
      </c>
      <c r="N54" s="3"/>
      <c r="O54" s="5" t="s">
        <v>42</v>
      </c>
      <c r="P54" s="31"/>
    </row>
    <row r="55" spans="2:16">
      <c r="B55" s="473"/>
      <c r="C55" s="445"/>
      <c r="D55" s="476"/>
      <c r="E55" s="476"/>
      <c r="F55" s="480"/>
      <c r="G55" s="480"/>
      <c r="H55" s="494"/>
      <c r="I55" s="6">
        <f t="shared" si="9"/>
        <v>2.199999999999998</v>
      </c>
      <c r="J55" s="8" t="s">
        <v>43</v>
      </c>
      <c r="K55" s="1">
        <f>'BESS 11'!K208+'BESS 11'!K253+'BESS 11'!K298+'BESS 11'!K343</f>
        <v>24</v>
      </c>
      <c r="L55" s="2">
        <f>'BESS 11'!L208+'BESS 11'!L253+'BESS 11'!L298+'BESS 11'!L343</f>
        <v>0</v>
      </c>
      <c r="M55" s="7">
        <f t="shared" si="8"/>
        <v>24</v>
      </c>
      <c r="N55" s="3"/>
      <c r="O55" s="5" t="s">
        <v>42</v>
      </c>
      <c r="P55" s="31"/>
    </row>
    <row r="56" spans="2:16">
      <c r="B56" s="473"/>
      <c r="C56" s="445"/>
      <c r="D56" s="476"/>
      <c r="E56" s="476"/>
      <c r="F56" s="480"/>
      <c r="G56" s="480"/>
      <c r="H56" s="494"/>
      <c r="I56" s="6">
        <f t="shared" si="9"/>
        <v>2.2099999999999977</v>
      </c>
      <c r="J56" s="8" t="s">
        <v>44</v>
      </c>
      <c r="K56" s="1">
        <f>'BESS 11'!K195+'BESS 11'!K240+'BESS 11'!K285+'BESS 11'!K330</f>
        <v>24</v>
      </c>
      <c r="L56" s="2">
        <f>'BESS 11'!L195+'BESS 11'!L240+'BESS 11'!L285+'BESS 11'!L330</f>
        <v>24</v>
      </c>
      <c r="M56" s="7">
        <f>K56-L56</f>
        <v>0</v>
      </c>
      <c r="N56" s="3"/>
      <c r="O56" s="5" t="s">
        <v>45</v>
      </c>
      <c r="P56" s="31"/>
    </row>
    <row r="57" spans="2:16">
      <c r="B57" s="473"/>
      <c r="C57" s="445"/>
      <c r="D57" s="476"/>
      <c r="E57" s="476"/>
      <c r="F57" s="480"/>
      <c r="G57" s="480"/>
      <c r="H57" s="494"/>
      <c r="I57" s="6">
        <f t="shared" si="9"/>
        <v>2.2199999999999975</v>
      </c>
      <c r="J57" s="8" t="s">
        <v>47</v>
      </c>
      <c r="K57" s="1">
        <f>'BESS 11'!K210+'BESS 11'!K255+'BESS 11'!K300+'BESS 11'!K345</f>
        <v>18554.05</v>
      </c>
      <c r="L57" s="2">
        <f>'BESS 11'!L210+'BESS 11'!L255+'BESS 11'!L300+'BESS 11'!L345</f>
        <v>603</v>
      </c>
      <c r="M57" s="7">
        <f t="shared" ref="M57:M63" si="10">K57-L57</f>
        <v>17951.05</v>
      </c>
      <c r="N57" s="3"/>
      <c r="O57" s="5" t="s">
        <v>25</v>
      </c>
      <c r="P57" s="31"/>
    </row>
    <row r="58" spans="2:16">
      <c r="B58" s="473"/>
      <c r="C58" s="445"/>
      <c r="D58" s="476"/>
      <c r="E58" s="476"/>
      <c r="F58" s="480"/>
      <c r="G58" s="480"/>
      <c r="H58" s="494"/>
      <c r="I58" s="6">
        <f t="shared" si="9"/>
        <v>2.2299999999999973</v>
      </c>
      <c r="J58" s="8" t="s">
        <v>48</v>
      </c>
      <c r="K58" s="1">
        <f>'BESS 11'!K211+'BESS 11'!K256+'BESS 11'!K301+'BESS 11'!K346</f>
        <v>112</v>
      </c>
      <c r="L58" s="2">
        <f>'BESS 11'!L211+'BESS 11'!L256+'BESS 11'!L301+'BESS 11'!L346</f>
        <v>0</v>
      </c>
      <c r="M58" s="7">
        <f t="shared" si="10"/>
        <v>112</v>
      </c>
      <c r="N58" s="3"/>
      <c r="O58" s="5" t="s">
        <v>25</v>
      </c>
      <c r="P58" s="31"/>
    </row>
    <row r="59" spans="2:16">
      <c r="B59" s="473"/>
      <c r="C59" s="445"/>
      <c r="D59" s="476"/>
      <c r="E59" s="476"/>
      <c r="F59" s="480"/>
      <c r="G59" s="480"/>
      <c r="H59" s="494"/>
      <c r="I59" s="6">
        <f t="shared" si="9"/>
        <v>2.2399999999999971</v>
      </c>
      <c r="J59" s="8" t="s">
        <v>49</v>
      </c>
      <c r="K59" s="1">
        <f>'BESS 11'!K212+'BESS 11'!K257+'BESS 11'!K302+'BESS 11'!K347</f>
        <v>57154</v>
      </c>
      <c r="L59" s="2">
        <f>'BESS 11'!L212+'BESS 11'!L257+'BESS 11'!L302+'BESS 11'!L347</f>
        <v>0</v>
      </c>
      <c r="M59" s="7">
        <f t="shared" si="10"/>
        <v>57154</v>
      </c>
      <c r="N59" s="3"/>
      <c r="O59" s="5" t="s">
        <v>25</v>
      </c>
      <c r="P59" s="31"/>
    </row>
    <row r="60" spans="2:16">
      <c r="B60" s="473"/>
      <c r="C60" s="445"/>
      <c r="D60" s="476"/>
      <c r="E60" s="476"/>
      <c r="F60" s="480"/>
      <c r="G60" s="480"/>
      <c r="H60" s="494"/>
      <c r="I60" s="6">
        <f t="shared" si="9"/>
        <v>2.2499999999999969</v>
      </c>
      <c r="J60" s="8" t="s">
        <v>50</v>
      </c>
      <c r="K60" s="1">
        <f>'BESS 11'!K214+'BESS 11'!K259+'BESS 11'!K304+'BESS 11'!K349</f>
        <v>6144</v>
      </c>
      <c r="L60" s="2">
        <f>'BESS 11'!L214+'BESS 11'!L259+'BESS 11'!L304+'BESS 11'!L349</f>
        <v>0</v>
      </c>
      <c r="M60" s="7">
        <f t="shared" si="10"/>
        <v>6144</v>
      </c>
      <c r="N60" s="3"/>
      <c r="O60" s="5" t="s">
        <v>25</v>
      </c>
      <c r="P60" s="31"/>
    </row>
    <row r="61" spans="2:16" ht="25.5">
      <c r="B61" s="473"/>
      <c r="C61" s="445"/>
      <c r="D61" s="476"/>
      <c r="E61" s="476"/>
      <c r="F61" s="480"/>
      <c r="G61" s="480"/>
      <c r="H61" s="494"/>
      <c r="I61" s="6">
        <f t="shared" si="9"/>
        <v>2.2599999999999967</v>
      </c>
      <c r="J61" s="8" t="s">
        <v>51</v>
      </c>
      <c r="K61" s="1">
        <f>'BESS 11'!K216+'BESS 11'!K261+'BESS 11'!K306+'BESS 11'!K351</f>
        <v>32928</v>
      </c>
      <c r="L61" s="2">
        <f>'BESS 11'!L216+'BESS 11'!L261+'BESS 11'!L306+'BESS 11'!L351</f>
        <v>0</v>
      </c>
      <c r="M61" s="7">
        <f t="shared" si="10"/>
        <v>32928</v>
      </c>
      <c r="N61" s="3"/>
      <c r="O61" s="5" t="s">
        <v>25</v>
      </c>
      <c r="P61" s="31"/>
    </row>
    <row r="62" spans="2:16">
      <c r="B62" s="473"/>
      <c r="C62" s="445"/>
      <c r="D62" s="476"/>
      <c r="E62" s="476"/>
      <c r="F62" s="480"/>
      <c r="G62" s="480"/>
      <c r="H62" s="494"/>
      <c r="I62" s="6">
        <f t="shared" si="9"/>
        <v>2.2699999999999965</v>
      </c>
      <c r="J62" s="8" t="s">
        <v>52</v>
      </c>
      <c r="K62" s="1">
        <f>'BESS 11'!K222+'BESS 11'!K267+'BESS 11'!K312+'BESS 11'!K357</f>
        <v>24</v>
      </c>
      <c r="L62" s="2">
        <f>'BESS 11'!L222+'BESS 11'!L267+'BESS 11'!L312+'BESS 11'!L357</f>
        <v>0</v>
      </c>
      <c r="M62" s="7">
        <f t="shared" si="10"/>
        <v>24</v>
      </c>
      <c r="N62" s="3"/>
      <c r="O62" s="5" t="s">
        <v>25</v>
      </c>
      <c r="P62" s="31"/>
    </row>
    <row r="63" spans="2:16">
      <c r="B63" s="473"/>
      <c r="C63" s="445"/>
      <c r="D63" s="476"/>
      <c r="E63" s="476"/>
      <c r="F63" s="480"/>
      <c r="G63" s="480"/>
      <c r="H63" s="494"/>
      <c r="I63" s="6">
        <f t="shared" si="9"/>
        <v>2.2799999999999963</v>
      </c>
      <c r="J63" s="8" t="s">
        <v>53</v>
      </c>
      <c r="K63" s="1">
        <f>'BESS 11'!K225+'BESS 11'!K270+'BESS 11'!K315+'BESS 11'!K360</f>
        <v>48</v>
      </c>
      <c r="L63" s="2">
        <f>'BESS 11'!L225+'BESS 11'!L270+'BESS 11'!L315+'BESS 11'!L360</f>
        <v>0</v>
      </c>
      <c r="M63" s="7">
        <f t="shared" si="10"/>
        <v>48</v>
      </c>
      <c r="N63" s="3"/>
      <c r="O63" s="5" t="s">
        <v>25</v>
      </c>
      <c r="P63" s="31"/>
    </row>
    <row r="64" spans="2:16">
      <c r="B64" s="473"/>
      <c r="C64" s="445"/>
      <c r="D64" s="476"/>
      <c r="E64" s="476"/>
      <c r="F64" s="480"/>
      <c r="G64" s="480"/>
      <c r="H64" s="480"/>
      <c r="I64" s="6">
        <f t="shared" si="9"/>
        <v>2.289999999999996</v>
      </c>
      <c r="J64" s="8" t="s">
        <v>54</v>
      </c>
      <c r="K64" s="1">
        <f>'BESS 11'!K230+'BESS 11'!K275+'BESS 11'!K320+'BESS 11'!K365</f>
        <v>17136</v>
      </c>
      <c r="L64" s="2">
        <f>'BESS 11'!L230+'BESS 11'!L275+'BESS 11'!L320+'BESS 11'!L365</f>
        <v>0</v>
      </c>
      <c r="M64" s="7">
        <f>K64-L64</f>
        <v>17136</v>
      </c>
      <c r="N64" s="3"/>
      <c r="O64" s="5" t="s">
        <v>25</v>
      </c>
      <c r="P64" s="31"/>
    </row>
    <row r="65" spans="2:16" ht="14.25" thickBot="1">
      <c r="B65" s="474"/>
      <c r="C65" s="479"/>
      <c r="D65" s="477"/>
      <c r="E65" s="477"/>
      <c r="F65" s="481"/>
      <c r="G65" s="481"/>
      <c r="H65" s="481"/>
      <c r="I65" s="22">
        <f t="shared" si="9"/>
        <v>2.2999999999999958</v>
      </c>
      <c r="J65" s="23" t="s">
        <v>55</v>
      </c>
      <c r="K65" s="24">
        <f>'BESS 11'!K231+'BESS 11'!K276+'BESS 11'!K321+'BESS 11'!K366</f>
        <v>40</v>
      </c>
      <c r="L65" s="25">
        <f>'BESS 11'!L231+'BESS 11'!L276+'BESS 11'!L321+'BESS 11'!L366</f>
        <v>0</v>
      </c>
      <c r="M65" s="26">
        <f>K65-L65</f>
        <v>40</v>
      </c>
      <c r="N65" s="27"/>
      <c r="O65" s="28" t="s">
        <v>25</v>
      </c>
      <c r="P65" s="32"/>
    </row>
    <row r="66" spans="2:16" ht="25.5">
      <c r="B66" s="472" t="s">
        <v>17</v>
      </c>
      <c r="C66" s="475">
        <v>9</v>
      </c>
      <c r="D66" s="475">
        <v>48</v>
      </c>
      <c r="E66" s="475">
        <f t="shared" ref="E66" si="11">D66*5.015</f>
        <v>240.71999999999997</v>
      </c>
      <c r="F66" s="475"/>
      <c r="G66" s="475"/>
      <c r="H66" s="475"/>
      <c r="I66" s="10">
        <v>3.1</v>
      </c>
      <c r="J66" s="11" t="s">
        <v>19</v>
      </c>
      <c r="K66" s="12">
        <f>'BESS 11'!K368</f>
        <v>48</v>
      </c>
      <c r="L66" s="13">
        <f>'BESS 11'!L368</f>
        <v>48</v>
      </c>
      <c r="M66" s="14">
        <f t="shared" ref="M66" si="12">K66-L66</f>
        <v>0</v>
      </c>
      <c r="N66" s="15"/>
      <c r="O66" s="16" t="s">
        <v>20</v>
      </c>
      <c r="P66" s="33"/>
    </row>
    <row r="67" spans="2:16">
      <c r="B67" s="473"/>
      <c r="C67" s="476"/>
      <c r="D67" s="476"/>
      <c r="E67" s="476"/>
      <c r="F67" s="476"/>
      <c r="G67" s="476"/>
      <c r="H67" s="476"/>
      <c r="I67" s="4">
        <f>I66+0.1</f>
        <v>3.2</v>
      </c>
      <c r="J67" s="8" t="s">
        <v>21</v>
      </c>
      <c r="K67" s="1" t="e">
        <f>'BESS 11'!#REF!</f>
        <v>#REF!</v>
      </c>
      <c r="L67" s="2" t="e">
        <f>'BESS 11'!#REF!</f>
        <v>#REF!</v>
      </c>
      <c r="M67" s="7" t="e">
        <f>K67-L67</f>
        <v>#REF!</v>
      </c>
      <c r="N67" s="3"/>
      <c r="O67" s="5" t="s">
        <v>22</v>
      </c>
      <c r="P67" s="31"/>
    </row>
    <row r="68" spans="2:16">
      <c r="B68" s="473"/>
      <c r="C68" s="476"/>
      <c r="D68" s="476"/>
      <c r="E68" s="476"/>
      <c r="F68" s="476"/>
      <c r="G68" s="476"/>
      <c r="H68" s="476"/>
      <c r="I68" s="4">
        <f t="shared" ref="I68:I74" si="13">I67+0.1</f>
        <v>3.3000000000000003</v>
      </c>
      <c r="J68" s="8" t="s">
        <v>23</v>
      </c>
      <c r="K68" s="1">
        <f>'BESS 11'!K369</f>
        <v>6</v>
      </c>
      <c r="L68" s="2">
        <f>'BESS 11'!L369</f>
        <v>0</v>
      </c>
      <c r="M68" s="7">
        <f t="shared" ref="M68:M85" si="14">K68-L68</f>
        <v>6</v>
      </c>
      <c r="N68" s="3"/>
      <c r="O68" s="5" t="s">
        <v>20</v>
      </c>
      <c r="P68" s="31"/>
    </row>
    <row r="69" spans="2:16">
      <c r="B69" s="473"/>
      <c r="C69" s="476"/>
      <c r="D69" s="476"/>
      <c r="E69" s="476"/>
      <c r="F69" s="476"/>
      <c r="G69" s="476"/>
      <c r="H69" s="476"/>
      <c r="I69" s="4">
        <f t="shared" si="13"/>
        <v>3.4000000000000004</v>
      </c>
      <c r="J69" s="8" t="s">
        <v>24</v>
      </c>
      <c r="K69" s="1">
        <f>'BESS 11'!K380</f>
        <v>6</v>
      </c>
      <c r="L69" s="2">
        <f>'BESS 11'!L380</f>
        <v>0</v>
      </c>
      <c r="M69" s="7">
        <f t="shared" si="14"/>
        <v>6</v>
      </c>
      <c r="N69" s="3"/>
      <c r="O69" s="5" t="s">
        <v>25</v>
      </c>
      <c r="P69" s="31"/>
    </row>
    <row r="70" spans="2:16">
      <c r="B70" s="473"/>
      <c r="C70" s="476"/>
      <c r="D70" s="476"/>
      <c r="E70" s="476"/>
      <c r="F70" s="476"/>
      <c r="G70" s="476"/>
      <c r="H70" s="476"/>
      <c r="I70" s="4">
        <f t="shared" si="13"/>
        <v>3.5000000000000004</v>
      </c>
      <c r="J70" s="8" t="s">
        <v>26</v>
      </c>
      <c r="K70" s="1">
        <f>'BESS 11'!K370</f>
        <v>6</v>
      </c>
      <c r="L70" s="2">
        <f>'BESS 11'!L370</f>
        <v>3</v>
      </c>
      <c r="M70" s="7">
        <f t="shared" si="14"/>
        <v>3</v>
      </c>
      <c r="N70" s="3"/>
      <c r="O70" s="5" t="s">
        <v>20</v>
      </c>
      <c r="P70" s="31"/>
    </row>
    <row r="71" spans="2:16">
      <c r="B71" s="473"/>
      <c r="C71" s="476"/>
      <c r="D71" s="476"/>
      <c r="E71" s="476"/>
      <c r="F71" s="476"/>
      <c r="G71" s="476"/>
      <c r="H71" s="476"/>
      <c r="I71" s="4">
        <f t="shared" si="13"/>
        <v>3.6000000000000005</v>
      </c>
      <c r="J71" s="8" t="s">
        <v>27</v>
      </c>
      <c r="K71" s="1">
        <f>'BESS 11'!K381</f>
        <v>48</v>
      </c>
      <c r="L71" s="2">
        <f>'BESS 11'!L381</f>
        <v>0</v>
      </c>
      <c r="M71" s="7">
        <f t="shared" si="14"/>
        <v>48</v>
      </c>
      <c r="N71" s="3"/>
      <c r="O71" s="5" t="s">
        <v>25</v>
      </c>
      <c r="P71" s="31"/>
    </row>
    <row r="72" spans="2:16">
      <c r="B72" s="473"/>
      <c r="C72" s="476"/>
      <c r="D72" s="476"/>
      <c r="E72" s="476"/>
      <c r="F72" s="476"/>
      <c r="G72" s="476"/>
      <c r="H72" s="476"/>
      <c r="I72" s="4">
        <f t="shared" si="13"/>
        <v>3.7000000000000006</v>
      </c>
      <c r="J72" s="8" t="s">
        <v>28</v>
      </c>
      <c r="K72" s="1">
        <f>'BESS 11'!K382</f>
        <v>6</v>
      </c>
      <c r="L72" s="2">
        <f>'BESS 11'!L382</f>
        <v>0</v>
      </c>
      <c r="M72" s="7">
        <f t="shared" si="14"/>
        <v>6</v>
      </c>
      <c r="N72" s="3"/>
      <c r="O72" s="5" t="s">
        <v>25</v>
      </c>
      <c r="P72" s="31"/>
    </row>
    <row r="73" spans="2:16" ht="25.5">
      <c r="B73" s="473"/>
      <c r="C73" s="476"/>
      <c r="D73" s="476"/>
      <c r="E73" s="476"/>
      <c r="F73" s="476"/>
      <c r="G73" s="476"/>
      <c r="H73" s="476"/>
      <c r="I73" s="4">
        <f t="shared" si="13"/>
        <v>3.8000000000000007</v>
      </c>
      <c r="J73" s="8" t="s">
        <v>29</v>
      </c>
      <c r="K73" s="1">
        <f>'BESS 11'!K383</f>
        <v>6</v>
      </c>
      <c r="L73" s="2">
        <f>'BESS 11'!L383</f>
        <v>0</v>
      </c>
      <c r="M73" s="7">
        <f t="shared" si="14"/>
        <v>6</v>
      </c>
      <c r="N73" s="3"/>
      <c r="O73" s="5" t="s">
        <v>25</v>
      </c>
      <c r="P73" s="31"/>
    </row>
    <row r="74" spans="2:16">
      <c r="B74" s="473"/>
      <c r="C74" s="476"/>
      <c r="D74" s="476"/>
      <c r="E74" s="476"/>
      <c r="F74" s="476"/>
      <c r="G74" s="476"/>
      <c r="H74" s="476"/>
      <c r="I74" s="4">
        <f t="shared" si="13"/>
        <v>3.9000000000000008</v>
      </c>
      <c r="J74" s="8" t="s">
        <v>30</v>
      </c>
      <c r="K74" s="1">
        <f>'BESS 11'!K376</f>
        <v>6</v>
      </c>
      <c r="L74" s="2">
        <f>'BESS 11'!L376</f>
        <v>0</v>
      </c>
      <c r="M74" s="7">
        <f t="shared" si="14"/>
        <v>6</v>
      </c>
      <c r="N74" s="3"/>
      <c r="O74" s="5" t="s">
        <v>31</v>
      </c>
      <c r="P74" s="31"/>
    </row>
    <row r="75" spans="2:16">
      <c r="B75" s="473"/>
      <c r="C75" s="476"/>
      <c r="D75" s="476"/>
      <c r="E75" s="476"/>
      <c r="F75" s="476"/>
      <c r="G75" s="476"/>
      <c r="H75" s="476"/>
      <c r="I75" s="6">
        <f>I66</f>
        <v>3.1</v>
      </c>
      <c r="J75" s="8" t="s">
        <v>32</v>
      </c>
      <c r="K75" s="1">
        <f>'BESS 11'!K371</f>
        <v>1</v>
      </c>
      <c r="L75" s="2">
        <f>'BESS 11'!L371</f>
        <v>0</v>
      </c>
      <c r="M75" s="7">
        <f t="shared" si="14"/>
        <v>1</v>
      </c>
      <c r="N75" s="3"/>
      <c r="O75" s="5" t="s">
        <v>20</v>
      </c>
      <c r="P75" s="31"/>
    </row>
    <row r="76" spans="2:16">
      <c r="B76" s="473"/>
      <c r="C76" s="476"/>
      <c r="D76" s="476"/>
      <c r="E76" s="476"/>
      <c r="F76" s="476"/>
      <c r="G76" s="476"/>
      <c r="H76" s="476"/>
      <c r="I76" s="6">
        <f>I75+0.01</f>
        <v>3.11</v>
      </c>
      <c r="J76" s="8" t="s">
        <v>33</v>
      </c>
      <c r="K76" s="1">
        <f>'BESS 11'!K384</f>
        <v>2</v>
      </c>
      <c r="L76" s="2">
        <f>'BESS 11'!L384</f>
        <v>0</v>
      </c>
      <c r="M76" s="7">
        <f t="shared" si="14"/>
        <v>2</v>
      </c>
      <c r="N76" s="3"/>
      <c r="O76" s="5" t="s">
        <v>25</v>
      </c>
      <c r="P76" s="31"/>
    </row>
    <row r="77" spans="2:16">
      <c r="B77" s="473"/>
      <c r="C77" s="476"/>
      <c r="D77" s="476"/>
      <c r="E77" s="476"/>
      <c r="F77" s="476"/>
      <c r="G77" s="476"/>
      <c r="H77" s="476"/>
      <c r="I77" s="6">
        <f t="shared" ref="I77:I95" si="15">I76+0.01</f>
        <v>3.1199999999999997</v>
      </c>
      <c r="J77" s="8" t="s">
        <v>34</v>
      </c>
      <c r="K77" s="1">
        <f>'BESS 11'!K377</f>
        <v>1</v>
      </c>
      <c r="L77" s="2">
        <f>'BESS 11'!L377</f>
        <v>0</v>
      </c>
      <c r="M77" s="7">
        <f t="shared" si="14"/>
        <v>1</v>
      </c>
      <c r="N77" s="3"/>
      <c r="O77" s="5" t="s">
        <v>31</v>
      </c>
      <c r="P77" s="31"/>
    </row>
    <row r="78" spans="2:16">
      <c r="B78" s="473"/>
      <c r="C78" s="476"/>
      <c r="D78" s="476"/>
      <c r="E78" s="476"/>
      <c r="F78" s="476"/>
      <c r="G78" s="476"/>
      <c r="H78" s="476"/>
      <c r="I78" s="6">
        <f t="shared" si="15"/>
        <v>3.1299999999999994</v>
      </c>
      <c r="J78" s="8" t="s">
        <v>35</v>
      </c>
      <c r="K78" s="1">
        <f>'BESS 11'!K372</f>
        <v>1</v>
      </c>
      <c r="L78" s="2">
        <f>'BESS 11'!L372</f>
        <v>0</v>
      </c>
      <c r="M78" s="7">
        <f t="shared" si="14"/>
        <v>1</v>
      </c>
      <c r="N78" s="3"/>
      <c r="O78" s="5" t="s">
        <v>20</v>
      </c>
      <c r="P78" s="31"/>
    </row>
    <row r="79" spans="2:16">
      <c r="B79" s="473"/>
      <c r="C79" s="476"/>
      <c r="D79" s="476"/>
      <c r="E79" s="476"/>
      <c r="F79" s="476"/>
      <c r="G79" s="476"/>
      <c r="H79" s="476"/>
      <c r="I79" s="6">
        <f t="shared" si="15"/>
        <v>3.1399999999999992</v>
      </c>
      <c r="J79" s="8" t="s">
        <v>36</v>
      </c>
      <c r="K79" s="1">
        <f>'BESS 11'!K385</f>
        <v>1</v>
      </c>
      <c r="L79" s="2">
        <f>'BESS 11'!L385</f>
        <v>0</v>
      </c>
      <c r="M79" s="7">
        <f t="shared" si="14"/>
        <v>1</v>
      </c>
      <c r="N79" s="3"/>
      <c r="O79" s="5" t="s">
        <v>25</v>
      </c>
      <c r="P79" s="31"/>
    </row>
    <row r="80" spans="2:16">
      <c r="B80" s="473"/>
      <c r="C80" s="476"/>
      <c r="D80" s="476"/>
      <c r="E80" s="476"/>
      <c r="F80" s="476"/>
      <c r="G80" s="476"/>
      <c r="H80" s="476"/>
      <c r="I80" s="6">
        <f t="shared" si="15"/>
        <v>3.149999999999999</v>
      </c>
      <c r="J80" s="8" t="s">
        <v>37</v>
      </c>
      <c r="K80" s="1">
        <f>'BESS 11'!K378</f>
        <v>1</v>
      </c>
      <c r="L80" s="2">
        <f>'BESS 11'!L378</f>
        <v>0</v>
      </c>
      <c r="M80" s="7">
        <f t="shared" si="14"/>
        <v>1</v>
      </c>
      <c r="N80" s="3"/>
      <c r="O80" s="5" t="s">
        <v>31</v>
      </c>
      <c r="P80" s="31"/>
    </row>
    <row r="81" spans="2:16">
      <c r="B81" s="473"/>
      <c r="C81" s="476"/>
      <c r="D81" s="476"/>
      <c r="E81" s="476"/>
      <c r="F81" s="476"/>
      <c r="G81" s="476"/>
      <c r="H81" s="476"/>
      <c r="I81" s="6">
        <f t="shared" si="15"/>
        <v>3.1599999999999988</v>
      </c>
      <c r="J81" s="8" t="s">
        <v>38</v>
      </c>
      <c r="K81" s="1">
        <f>'BESS 11'!K374</f>
        <v>3</v>
      </c>
      <c r="L81" s="2">
        <f>'BESS 11'!L374</f>
        <v>3</v>
      </c>
      <c r="M81" s="7">
        <f t="shared" si="14"/>
        <v>0</v>
      </c>
      <c r="N81" s="3"/>
      <c r="O81" s="5" t="s">
        <v>20</v>
      </c>
      <c r="P81" s="31"/>
    </row>
    <row r="82" spans="2:16">
      <c r="B82" s="473"/>
      <c r="C82" s="476"/>
      <c r="D82" s="476"/>
      <c r="E82" s="476"/>
      <c r="F82" s="476"/>
      <c r="G82" s="476"/>
      <c r="H82" s="476"/>
      <c r="I82" s="6">
        <f t="shared" si="15"/>
        <v>3.1699999999999986</v>
      </c>
      <c r="J82" s="8" t="s">
        <v>39</v>
      </c>
      <c r="K82" s="1">
        <f>'BESS 11'!K386</f>
        <v>1</v>
      </c>
      <c r="L82" s="2">
        <f>'BESS 11'!L386</f>
        <v>0</v>
      </c>
      <c r="M82" s="7">
        <f t="shared" si="14"/>
        <v>1</v>
      </c>
      <c r="N82" s="3"/>
      <c r="O82" s="5" t="s">
        <v>25</v>
      </c>
      <c r="P82" s="31"/>
    </row>
    <row r="83" spans="2:16">
      <c r="B83" s="473"/>
      <c r="C83" s="476"/>
      <c r="D83" s="476"/>
      <c r="E83" s="476"/>
      <c r="F83" s="476"/>
      <c r="G83" s="476"/>
      <c r="H83" s="476"/>
      <c r="I83" s="6">
        <f t="shared" si="15"/>
        <v>3.1799999999999984</v>
      </c>
      <c r="J83" s="8" t="s">
        <v>40</v>
      </c>
      <c r="K83" s="1">
        <f>'BESS 11'!K373</f>
        <v>1</v>
      </c>
      <c r="L83" s="2">
        <f>'BESS 11'!L373</f>
        <v>0</v>
      </c>
      <c r="M83" s="7">
        <f t="shared" si="14"/>
        <v>1</v>
      </c>
      <c r="N83" s="3"/>
      <c r="O83" s="5" t="s">
        <v>20</v>
      </c>
      <c r="P83" s="31"/>
    </row>
    <row r="84" spans="2:16">
      <c r="B84" s="473"/>
      <c r="C84" s="476"/>
      <c r="D84" s="476"/>
      <c r="E84" s="476"/>
      <c r="F84" s="476"/>
      <c r="G84" s="476"/>
      <c r="H84" s="476"/>
      <c r="I84" s="6">
        <f t="shared" si="15"/>
        <v>3.1899999999999982</v>
      </c>
      <c r="J84" s="8" t="s">
        <v>41</v>
      </c>
      <c r="K84" s="1">
        <f>'BESS 11'!K387</f>
        <v>6</v>
      </c>
      <c r="L84" s="2">
        <f>'BESS 11'!L387</f>
        <v>0</v>
      </c>
      <c r="M84" s="7">
        <f t="shared" si="14"/>
        <v>6</v>
      </c>
      <c r="N84" s="3"/>
      <c r="O84" s="5" t="s">
        <v>42</v>
      </c>
      <c r="P84" s="31"/>
    </row>
    <row r="85" spans="2:16">
      <c r="B85" s="473"/>
      <c r="C85" s="476"/>
      <c r="D85" s="476"/>
      <c r="E85" s="476"/>
      <c r="F85" s="476"/>
      <c r="G85" s="476"/>
      <c r="H85" s="476"/>
      <c r="I85" s="6">
        <f t="shared" si="15"/>
        <v>3.199999999999998</v>
      </c>
      <c r="J85" s="8" t="s">
        <v>43</v>
      </c>
      <c r="K85" s="1">
        <f>'BESS 11'!K388</f>
        <v>6</v>
      </c>
      <c r="L85" s="2">
        <f>'BESS 11'!L388</f>
        <v>0</v>
      </c>
      <c r="M85" s="7">
        <f t="shared" si="14"/>
        <v>6</v>
      </c>
      <c r="N85" s="3"/>
      <c r="O85" s="5" t="s">
        <v>42</v>
      </c>
      <c r="P85" s="31"/>
    </row>
    <row r="86" spans="2:16">
      <c r="B86" s="473"/>
      <c r="C86" s="476"/>
      <c r="D86" s="476"/>
      <c r="E86" s="476"/>
      <c r="F86" s="476"/>
      <c r="G86" s="476"/>
      <c r="H86" s="476"/>
      <c r="I86" s="6">
        <f t="shared" si="15"/>
        <v>3.2099999999999977</v>
      </c>
      <c r="J86" s="8" t="s">
        <v>44</v>
      </c>
      <c r="K86" s="1">
        <f>'BESS 11'!K375</f>
        <v>6</v>
      </c>
      <c r="L86" s="2">
        <f>'BESS 11'!L375</f>
        <v>0</v>
      </c>
      <c r="M86" s="7">
        <f>K86-L86</f>
        <v>6</v>
      </c>
      <c r="N86" s="3"/>
      <c r="O86" s="5" t="s">
        <v>45</v>
      </c>
      <c r="P86" s="31"/>
    </row>
    <row r="87" spans="2:16">
      <c r="B87" s="473"/>
      <c r="C87" s="476"/>
      <c r="D87" s="476"/>
      <c r="E87" s="476"/>
      <c r="F87" s="476"/>
      <c r="G87" s="476"/>
      <c r="H87" s="476"/>
      <c r="I87" s="6">
        <f t="shared" si="15"/>
        <v>3.2199999999999975</v>
      </c>
      <c r="J87" s="8" t="s">
        <v>47</v>
      </c>
      <c r="K87" s="1">
        <f>'BESS 11'!K390</f>
        <v>4518.4799999999996</v>
      </c>
      <c r="L87" s="2">
        <f>'BESS 11'!L390</f>
        <v>0</v>
      </c>
      <c r="M87" s="7">
        <f t="shared" ref="M87:M95" si="16">K87-L87</f>
        <v>4518.4799999999996</v>
      </c>
      <c r="N87" s="3"/>
      <c r="O87" s="5" t="s">
        <v>25</v>
      </c>
      <c r="P87" s="31"/>
    </row>
    <row r="88" spans="2:16">
      <c r="B88" s="473"/>
      <c r="C88" s="476"/>
      <c r="D88" s="476"/>
      <c r="E88" s="476"/>
      <c r="F88" s="476"/>
      <c r="G88" s="476"/>
      <c r="H88" s="476"/>
      <c r="I88" s="6">
        <f t="shared" si="15"/>
        <v>3.2299999999999973</v>
      </c>
      <c r="J88" s="8" t="s">
        <v>48</v>
      </c>
      <c r="K88" s="1">
        <f>'BESS 11'!K391</f>
        <v>28</v>
      </c>
      <c r="L88" s="2">
        <f>'BESS 11'!L391</f>
        <v>0</v>
      </c>
      <c r="M88" s="7">
        <f t="shared" si="16"/>
        <v>28</v>
      </c>
      <c r="N88" s="3"/>
      <c r="O88" s="5" t="s">
        <v>25</v>
      </c>
      <c r="P88" s="31"/>
    </row>
    <row r="89" spans="2:16">
      <c r="B89" s="473"/>
      <c r="C89" s="476"/>
      <c r="D89" s="476"/>
      <c r="E89" s="476"/>
      <c r="F89" s="476"/>
      <c r="G89" s="476"/>
      <c r="H89" s="476"/>
      <c r="I89" s="6">
        <f t="shared" si="15"/>
        <v>3.2399999999999971</v>
      </c>
      <c r="J89" s="8" t="s">
        <v>49</v>
      </c>
      <c r="K89" s="1">
        <f>'BESS 11'!K392</f>
        <v>14288</v>
      </c>
      <c r="L89" s="2">
        <f>'BESS 11'!L392</f>
        <v>0</v>
      </c>
      <c r="M89" s="7">
        <f t="shared" si="16"/>
        <v>14288</v>
      </c>
      <c r="N89" s="3"/>
      <c r="O89" s="5" t="s">
        <v>25</v>
      </c>
      <c r="P89" s="31"/>
    </row>
    <row r="90" spans="2:16">
      <c r="B90" s="473"/>
      <c r="C90" s="476"/>
      <c r="D90" s="476"/>
      <c r="E90" s="476"/>
      <c r="F90" s="476"/>
      <c r="G90" s="476"/>
      <c r="H90" s="476"/>
      <c r="I90" s="6">
        <f t="shared" si="15"/>
        <v>3.2499999999999969</v>
      </c>
      <c r="J90" s="8" t="s">
        <v>50</v>
      </c>
      <c r="K90" s="1">
        <f>'BESS 11'!K394</f>
        <v>1536</v>
      </c>
      <c r="L90" s="2">
        <f>'BESS 11'!L394</f>
        <v>0</v>
      </c>
      <c r="M90" s="7">
        <f t="shared" si="16"/>
        <v>1536</v>
      </c>
      <c r="N90" s="3"/>
      <c r="O90" s="5" t="s">
        <v>25</v>
      </c>
      <c r="P90" s="31"/>
    </row>
    <row r="91" spans="2:16" ht="25.5">
      <c r="B91" s="473"/>
      <c r="C91" s="476"/>
      <c r="D91" s="476"/>
      <c r="E91" s="476"/>
      <c r="F91" s="476"/>
      <c r="G91" s="476"/>
      <c r="H91" s="476"/>
      <c r="I91" s="6">
        <f t="shared" si="15"/>
        <v>3.2599999999999967</v>
      </c>
      <c r="J91" s="8" t="s">
        <v>51</v>
      </c>
      <c r="K91" s="1">
        <f>'BESS 11'!K396</f>
        <v>8232</v>
      </c>
      <c r="L91" s="2">
        <f>'BESS 11'!L396</f>
        <v>0</v>
      </c>
      <c r="M91" s="7">
        <f t="shared" si="16"/>
        <v>8232</v>
      </c>
      <c r="N91" s="3"/>
      <c r="O91" s="5" t="s">
        <v>25</v>
      </c>
      <c r="P91" s="31"/>
    </row>
    <row r="92" spans="2:16">
      <c r="B92" s="473"/>
      <c r="C92" s="476"/>
      <c r="D92" s="476"/>
      <c r="E92" s="476"/>
      <c r="F92" s="476"/>
      <c r="G92" s="476"/>
      <c r="H92" s="476"/>
      <c r="I92" s="6">
        <f t="shared" si="15"/>
        <v>3.2699999999999965</v>
      </c>
      <c r="J92" s="8" t="s">
        <v>52</v>
      </c>
      <c r="K92" s="1">
        <f>'BESS 11'!K402</f>
        <v>6</v>
      </c>
      <c r="L92" s="2">
        <f>'BESS 11'!L402</f>
        <v>0</v>
      </c>
      <c r="M92" s="7">
        <f t="shared" si="16"/>
        <v>6</v>
      </c>
      <c r="N92" s="3"/>
      <c r="O92" s="5" t="s">
        <v>25</v>
      </c>
      <c r="P92" s="31"/>
    </row>
    <row r="93" spans="2:16">
      <c r="B93" s="473"/>
      <c r="C93" s="476"/>
      <c r="D93" s="476"/>
      <c r="E93" s="476"/>
      <c r="F93" s="476"/>
      <c r="G93" s="476"/>
      <c r="H93" s="476"/>
      <c r="I93" s="6">
        <f t="shared" si="15"/>
        <v>3.2799999999999963</v>
      </c>
      <c r="J93" s="8" t="s">
        <v>53</v>
      </c>
      <c r="K93" s="1">
        <f>'BESS 11'!K405</f>
        <v>12</v>
      </c>
      <c r="L93" s="2">
        <f>'BESS 11'!L405</f>
        <v>0</v>
      </c>
      <c r="M93" s="7">
        <f t="shared" si="16"/>
        <v>12</v>
      </c>
      <c r="N93" s="3"/>
      <c r="O93" s="5" t="s">
        <v>25</v>
      </c>
      <c r="P93" s="31"/>
    </row>
    <row r="94" spans="2:16">
      <c r="B94" s="473"/>
      <c r="C94" s="476"/>
      <c r="D94" s="476"/>
      <c r="E94" s="476"/>
      <c r="F94" s="476"/>
      <c r="G94" s="476"/>
      <c r="H94" s="476"/>
      <c r="I94" s="6">
        <f t="shared" si="15"/>
        <v>3.289999999999996</v>
      </c>
      <c r="J94" s="8" t="s">
        <v>54</v>
      </c>
      <c r="K94" s="1">
        <f>'BESS 11'!K410</f>
        <v>4284</v>
      </c>
      <c r="L94" s="2">
        <f>'BESS 11'!L410</f>
        <v>0</v>
      </c>
      <c r="M94" s="7">
        <f t="shared" si="16"/>
        <v>4284</v>
      </c>
      <c r="N94" s="3"/>
      <c r="O94" s="5" t="s">
        <v>25</v>
      </c>
      <c r="P94" s="31"/>
    </row>
    <row r="95" spans="2:16" ht="14.25" thickBot="1">
      <c r="B95" s="474"/>
      <c r="C95" s="477"/>
      <c r="D95" s="477"/>
      <c r="E95" s="477"/>
      <c r="F95" s="477"/>
      <c r="G95" s="477"/>
      <c r="H95" s="477"/>
      <c r="I95" s="22">
        <f t="shared" si="15"/>
        <v>3.2999999999999958</v>
      </c>
      <c r="J95" s="23" t="s">
        <v>55</v>
      </c>
      <c r="K95" s="24">
        <f>'BESS 11'!K411</f>
        <v>10</v>
      </c>
      <c r="L95" s="25">
        <f>'BESS 11'!L411</f>
        <v>0</v>
      </c>
      <c r="M95" s="26">
        <f t="shared" si="16"/>
        <v>10</v>
      </c>
      <c r="N95" s="27"/>
      <c r="O95" s="28" t="s">
        <v>25</v>
      </c>
      <c r="P95" s="32"/>
    </row>
  </sheetData>
  <mergeCells count="35">
    <mergeCell ref="G66:G95"/>
    <mergeCell ref="H2:H4"/>
    <mergeCell ref="I2:O2"/>
    <mergeCell ref="P2:P4"/>
    <mergeCell ref="J3:J4"/>
    <mergeCell ref="K3:M3"/>
    <mergeCell ref="O3:O4"/>
    <mergeCell ref="H5:H35"/>
    <mergeCell ref="H36:H65"/>
    <mergeCell ref="H66:H95"/>
    <mergeCell ref="G5:G35"/>
    <mergeCell ref="G36:G65"/>
    <mergeCell ref="G2:G4"/>
    <mergeCell ref="I3:I4"/>
    <mergeCell ref="N3:N4"/>
    <mergeCell ref="B66:B95"/>
    <mergeCell ref="C66:C95"/>
    <mergeCell ref="D66:D95"/>
    <mergeCell ref="E66:E95"/>
    <mergeCell ref="F66:F95"/>
    <mergeCell ref="B36:B65"/>
    <mergeCell ref="C36:C65"/>
    <mergeCell ref="D36:D65"/>
    <mergeCell ref="E36:E65"/>
    <mergeCell ref="F36:F65"/>
    <mergeCell ref="B5:B35"/>
    <mergeCell ref="C5:C35"/>
    <mergeCell ref="D5:D35"/>
    <mergeCell ref="E5:E35"/>
    <mergeCell ref="F5:F35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7A4E-FF19-4BEC-9C4B-6996909C21D5}">
  <dimension ref="A1:GU71"/>
  <sheetViews>
    <sheetView zoomScale="86" workbookViewId="0">
      <pane xSplit="4" ySplit="1" topLeftCell="E12" activePane="bottomRight" state="frozen"/>
      <selection pane="topRight" activeCell="E1" sqref="E1"/>
      <selection pane="bottomLeft" activeCell="A2" sqref="A2"/>
      <selection pane="bottomRight" activeCell="E28" sqref="E28"/>
    </sheetView>
  </sheetViews>
  <sheetFormatPr defaultRowHeight="13.5"/>
  <cols>
    <col min="2" max="2" width="15.88671875" bestFit="1" customWidth="1"/>
    <col min="3" max="3" width="15.109375" bestFit="1" customWidth="1"/>
    <col min="4" max="4" width="8.5546875" customWidth="1"/>
    <col min="5" max="5" width="14.33203125" customWidth="1"/>
    <col min="8" max="8" width="10.109375" bestFit="1" customWidth="1"/>
    <col min="9" max="10" width="10.109375" customWidth="1"/>
    <col min="11" max="12" width="8.88671875" bestFit="1" customWidth="1"/>
    <col min="28" max="50" width="8.5546875" bestFit="1" customWidth="1"/>
    <col min="51" max="94" width="9.33203125" bestFit="1" customWidth="1"/>
    <col min="95" max="95" width="14.5546875" bestFit="1" customWidth="1"/>
    <col min="96" max="96" width="12.33203125" bestFit="1" customWidth="1"/>
    <col min="97" max="97" width="9.33203125" hidden="1" customWidth="1"/>
    <col min="98" max="120" width="0" hidden="1" customWidth="1"/>
    <col min="203" max="203" width="10.109375" customWidth="1"/>
  </cols>
  <sheetData>
    <row r="1" spans="1:203" ht="40.5" customHeight="1">
      <c r="B1" s="124" t="s">
        <v>57</v>
      </c>
      <c r="C1" s="114" t="str">
        <f>'BESS 11'!$G$2</f>
        <v>Trial-Run End Date</v>
      </c>
      <c r="D1" s="114" t="str">
        <f>'BESS 11'!$H$2</f>
        <v>COD</v>
      </c>
      <c r="E1" s="114" t="s">
        <v>10</v>
      </c>
      <c r="F1" s="115" t="s">
        <v>58</v>
      </c>
      <c r="G1" s="115" t="s">
        <v>59</v>
      </c>
      <c r="H1" s="115" t="s">
        <v>60</v>
      </c>
      <c r="I1" s="116">
        <v>46195</v>
      </c>
      <c r="J1" s="116">
        <v>46196</v>
      </c>
      <c r="K1" s="116">
        <f>MIN('BESS 11'!O18:O25,'BESS 11'!O27)</f>
        <v>0</v>
      </c>
      <c r="L1" s="116">
        <f t="shared" ref="L1:AQ1" si="0">K1+1</f>
        <v>1</v>
      </c>
      <c r="M1" s="116">
        <f t="shared" si="0"/>
        <v>2</v>
      </c>
      <c r="N1" s="116">
        <f t="shared" si="0"/>
        <v>3</v>
      </c>
      <c r="O1" s="116">
        <f t="shared" si="0"/>
        <v>4</v>
      </c>
      <c r="P1" s="116">
        <f t="shared" si="0"/>
        <v>5</v>
      </c>
      <c r="Q1" s="116">
        <f t="shared" si="0"/>
        <v>6</v>
      </c>
      <c r="R1" s="116">
        <f t="shared" si="0"/>
        <v>7</v>
      </c>
      <c r="S1" s="116">
        <f t="shared" si="0"/>
        <v>8</v>
      </c>
      <c r="T1" s="116">
        <f t="shared" si="0"/>
        <v>9</v>
      </c>
      <c r="U1" s="116">
        <f t="shared" si="0"/>
        <v>10</v>
      </c>
      <c r="V1" s="116">
        <f t="shared" si="0"/>
        <v>11</v>
      </c>
      <c r="W1" s="116">
        <f t="shared" si="0"/>
        <v>12</v>
      </c>
      <c r="X1" s="116">
        <f t="shared" si="0"/>
        <v>13</v>
      </c>
      <c r="Y1" s="116">
        <f t="shared" si="0"/>
        <v>14</v>
      </c>
      <c r="Z1" s="116">
        <f t="shared" si="0"/>
        <v>15</v>
      </c>
      <c r="AA1" s="116">
        <f t="shared" si="0"/>
        <v>16</v>
      </c>
      <c r="AB1" s="116">
        <f t="shared" si="0"/>
        <v>17</v>
      </c>
      <c r="AC1" s="116">
        <f t="shared" si="0"/>
        <v>18</v>
      </c>
      <c r="AD1" s="116">
        <f t="shared" si="0"/>
        <v>19</v>
      </c>
      <c r="AE1" s="116">
        <f t="shared" si="0"/>
        <v>20</v>
      </c>
      <c r="AF1" s="116">
        <f t="shared" si="0"/>
        <v>21</v>
      </c>
      <c r="AG1" s="116">
        <f t="shared" si="0"/>
        <v>22</v>
      </c>
      <c r="AH1" s="116">
        <f t="shared" si="0"/>
        <v>23</v>
      </c>
      <c r="AI1" s="116">
        <f t="shared" si="0"/>
        <v>24</v>
      </c>
      <c r="AJ1" s="116">
        <f t="shared" si="0"/>
        <v>25</v>
      </c>
      <c r="AK1" s="116">
        <f t="shared" si="0"/>
        <v>26</v>
      </c>
      <c r="AL1" s="116">
        <f t="shared" si="0"/>
        <v>27</v>
      </c>
      <c r="AM1" s="116">
        <f t="shared" si="0"/>
        <v>28</v>
      </c>
      <c r="AN1" s="116">
        <f t="shared" si="0"/>
        <v>29</v>
      </c>
      <c r="AO1" s="116">
        <f t="shared" si="0"/>
        <v>30</v>
      </c>
      <c r="AP1" s="116">
        <f t="shared" si="0"/>
        <v>31</v>
      </c>
      <c r="AQ1" s="116">
        <f t="shared" si="0"/>
        <v>32</v>
      </c>
      <c r="AR1" s="116">
        <f t="shared" ref="AR1:BW1" si="1">AQ1+1</f>
        <v>33</v>
      </c>
      <c r="AS1" s="116">
        <f t="shared" si="1"/>
        <v>34</v>
      </c>
      <c r="AT1" s="116">
        <f t="shared" si="1"/>
        <v>35</v>
      </c>
      <c r="AU1" s="116">
        <f t="shared" si="1"/>
        <v>36</v>
      </c>
      <c r="AV1" s="116">
        <f t="shared" si="1"/>
        <v>37</v>
      </c>
      <c r="AW1" s="116">
        <f t="shared" si="1"/>
        <v>38</v>
      </c>
      <c r="AX1" s="116">
        <f t="shared" si="1"/>
        <v>39</v>
      </c>
      <c r="AY1" s="116">
        <f t="shared" si="1"/>
        <v>40</v>
      </c>
      <c r="AZ1" s="116">
        <f t="shared" si="1"/>
        <v>41</v>
      </c>
      <c r="BA1" s="116">
        <f t="shared" si="1"/>
        <v>42</v>
      </c>
      <c r="BB1" s="116">
        <f t="shared" si="1"/>
        <v>43</v>
      </c>
      <c r="BC1" s="116">
        <f t="shared" si="1"/>
        <v>44</v>
      </c>
      <c r="BD1" s="116">
        <f t="shared" si="1"/>
        <v>45</v>
      </c>
      <c r="BE1" s="116">
        <f t="shared" si="1"/>
        <v>46</v>
      </c>
      <c r="BF1" s="116">
        <f t="shared" si="1"/>
        <v>47</v>
      </c>
      <c r="BG1" s="116">
        <f t="shared" si="1"/>
        <v>48</v>
      </c>
      <c r="BH1" s="116">
        <f t="shared" si="1"/>
        <v>49</v>
      </c>
      <c r="BI1" s="116">
        <f t="shared" si="1"/>
        <v>50</v>
      </c>
      <c r="BJ1" s="116">
        <f t="shared" si="1"/>
        <v>51</v>
      </c>
      <c r="BK1" s="116">
        <f t="shared" si="1"/>
        <v>52</v>
      </c>
      <c r="BL1" s="116">
        <f t="shared" si="1"/>
        <v>53</v>
      </c>
      <c r="BM1" s="116">
        <f t="shared" si="1"/>
        <v>54</v>
      </c>
      <c r="BN1" s="116">
        <f t="shared" si="1"/>
        <v>55</v>
      </c>
      <c r="BO1" s="116">
        <f t="shared" si="1"/>
        <v>56</v>
      </c>
      <c r="BP1" s="116">
        <f t="shared" si="1"/>
        <v>57</v>
      </c>
      <c r="BQ1" s="116">
        <f t="shared" si="1"/>
        <v>58</v>
      </c>
      <c r="BR1" s="116">
        <f t="shared" si="1"/>
        <v>59</v>
      </c>
      <c r="BS1" s="116">
        <f t="shared" si="1"/>
        <v>60</v>
      </c>
      <c r="BT1" s="116">
        <f t="shared" si="1"/>
        <v>61</v>
      </c>
      <c r="BU1" s="116">
        <f t="shared" si="1"/>
        <v>62</v>
      </c>
      <c r="BV1" s="116">
        <f t="shared" si="1"/>
        <v>63</v>
      </c>
      <c r="BW1" s="116">
        <f t="shared" si="1"/>
        <v>64</v>
      </c>
      <c r="BX1" s="116">
        <f t="shared" ref="BX1:CP1" si="2">BW1+1</f>
        <v>65</v>
      </c>
      <c r="BY1" s="116">
        <f t="shared" si="2"/>
        <v>66</v>
      </c>
      <c r="BZ1" s="116">
        <f t="shared" si="2"/>
        <v>67</v>
      </c>
      <c r="CA1" s="116">
        <f t="shared" si="2"/>
        <v>68</v>
      </c>
      <c r="CB1" s="116">
        <f t="shared" si="2"/>
        <v>69</v>
      </c>
      <c r="CC1" s="116">
        <f t="shared" si="2"/>
        <v>70</v>
      </c>
      <c r="CD1" s="116">
        <f t="shared" si="2"/>
        <v>71</v>
      </c>
      <c r="CE1" s="116">
        <f t="shared" si="2"/>
        <v>72</v>
      </c>
      <c r="CF1" s="116">
        <f t="shared" si="2"/>
        <v>73</v>
      </c>
      <c r="CG1" s="116">
        <f t="shared" si="2"/>
        <v>74</v>
      </c>
      <c r="CH1" s="116">
        <f t="shared" si="2"/>
        <v>75</v>
      </c>
      <c r="CI1" s="116">
        <f t="shared" si="2"/>
        <v>76</v>
      </c>
      <c r="CJ1" s="116">
        <f t="shared" si="2"/>
        <v>77</v>
      </c>
      <c r="CK1" s="116">
        <f t="shared" si="2"/>
        <v>78</v>
      </c>
      <c r="CL1" s="116">
        <f t="shared" si="2"/>
        <v>79</v>
      </c>
      <c r="CM1" s="116">
        <f t="shared" si="2"/>
        <v>80</v>
      </c>
      <c r="CN1" s="116">
        <f t="shared" si="2"/>
        <v>81</v>
      </c>
      <c r="CO1" s="116">
        <f t="shared" si="2"/>
        <v>82</v>
      </c>
      <c r="CP1" s="116">
        <f t="shared" si="2"/>
        <v>83</v>
      </c>
      <c r="CQ1" s="118" t="s">
        <v>61</v>
      </c>
      <c r="CR1" s="118" t="s">
        <v>62</v>
      </c>
      <c r="CS1" s="117" t="e">
        <f>CR1+1</f>
        <v>#VALUE!</v>
      </c>
      <c r="CT1" s="118">
        <v>46282</v>
      </c>
      <c r="CU1" s="118">
        <v>46283</v>
      </c>
      <c r="CV1" s="118">
        <v>46284</v>
      </c>
      <c r="CW1" s="118">
        <v>46285</v>
      </c>
      <c r="CX1" s="118">
        <v>46286</v>
      </c>
      <c r="CY1" s="118">
        <v>46287</v>
      </c>
      <c r="CZ1" s="118">
        <v>46288</v>
      </c>
      <c r="DA1" s="118">
        <v>46289</v>
      </c>
      <c r="DB1" s="118">
        <v>46290</v>
      </c>
      <c r="DC1" s="118">
        <v>46291</v>
      </c>
      <c r="DD1" s="118">
        <v>46292</v>
      </c>
      <c r="DE1" s="118">
        <v>46293</v>
      </c>
      <c r="DF1" s="118">
        <v>46294</v>
      </c>
      <c r="DG1" s="118">
        <v>46295</v>
      </c>
      <c r="DH1" s="118">
        <v>46296</v>
      </c>
      <c r="DI1" s="118">
        <v>46297</v>
      </c>
      <c r="DJ1" s="118">
        <v>46298</v>
      </c>
      <c r="DK1" s="118">
        <v>46299</v>
      </c>
      <c r="DL1" s="118">
        <v>46300</v>
      </c>
      <c r="DM1" s="118">
        <v>46301</v>
      </c>
      <c r="DN1" s="118">
        <v>46302</v>
      </c>
      <c r="DO1" s="118">
        <v>46303</v>
      </c>
      <c r="DP1" s="118">
        <v>46304</v>
      </c>
      <c r="DQ1" s="118">
        <v>46305</v>
      </c>
      <c r="DR1" s="118">
        <v>46306</v>
      </c>
      <c r="DS1" s="118">
        <v>46307</v>
      </c>
      <c r="DT1" s="118">
        <v>46308</v>
      </c>
      <c r="DU1" s="118">
        <v>46309</v>
      </c>
      <c r="DV1" s="118">
        <v>46310</v>
      </c>
      <c r="DW1" s="118">
        <v>46311</v>
      </c>
      <c r="DX1" s="118">
        <v>46312</v>
      </c>
      <c r="DY1" s="118">
        <v>46313</v>
      </c>
      <c r="DZ1" s="118">
        <v>46314</v>
      </c>
      <c r="EA1" s="118">
        <v>46315</v>
      </c>
      <c r="EB1" s="118">
        <v>46316</v>
      </c>
      <c r="EC1" s="118">
        <v>46317</v>
      </c>
      <c r="ED1" s="118">
        <v>46318</v>
      </c>
      <c r="EE1" s="118">
        <v>46319</v>
      </c>
      <c r="EF1" s="118">
        <v>46320</v>
      </c>
      <c r="EG1" s="118">
        <v>46321</v>
      </c>
      <c r="EH1" s="118">
        <v>46322</v>
      </c>
      <c r="EI1" s="118">
        <v>46323</v>
      </c>
      <c r="EJ1" s="118">
        <v>46324</v>
      </c>
      <c r="EK1" s="118">
        <v>46325</v>
      </c>
      <c r="EL1" s="118">
        <v>46326</v>
      </c>
      <c r="EM1" s="118">
        <v>46327</v>
      </c>
      <c r="EN1" s="118">
        <v>46328</v>
      </c>
      <c r="EO1" s="118">
        <v>46329</v>
      </c>
      <c r="EP1" s="118">
        <v>46330</v>
      </c>
      <c r="EQ1" s="118">
        <v>46331</v>
      </c>
      <c r="ER1" s="118">
        <v>46332</v>
      </c>
      <c r="ES1" s="118">
        <v>46333</v>
      </c>
      <c r="ET1" s="118">
        <v>46334</v>
      </c>
      <c r="EU1" s="118">
        <v>46335</v>
      </c>
      <c r="EV1" s="118">
        <v>46336</v>
      </c>
      <c r="EW1" s="118">
        <v>46337</v>
      </c>
      <c r="EX1" s="118">
        <v>46338</v>
      </c>
      <c r="EY1" s="118">
        <v>46339</v>
      </c>
      <c r="EZ1" s="118">
        <v>46340</v>
      </c>
      <c r="FA1" s="118">
        <v>46341</v>
      </c>
      <c r="FB1" s="118">
        <v>46342</v>
      </c>
      <c r="FC1" s="118">
        <v>46343</v>
      </c>
      <c r="FD1" s="118">
        <v>46344</v>
      </c>
      <c r="FE1" s="118">
        <v>46345</v>
      </c>
      <c r="FF1" s="118">
        <v>46346</v>
      </c>
      <c r="FG1" s="118">
        <v>46347</v>
      </c>
      <c r="FH1" s="118">
        <v>46348</v>
      </c>
      <c r="FI1" s="118">
        <v>46349</v>
      </c>
      <c r="FJ1" s="118">
        <v>46350</v>
      </c>
      <c r="FK1" s="118">
        <v>46351</v>
      </c>
      <c r="FL1" s="118">
        <v>46352</v>
      </c>
      <c r="FM1" s="118">
        <v>46353</v>
      </c>
      <c r="FN1" s="118">
        <v>46354</v>
      </c>
      <c r="FO1" s="118">
        <v>46355</v>
      </c>
      <c r="FP1" s="118">
        <v>46356</v>
      </c>
      <c r="FQ1" s="118">
        <v>46357</v>
      </c>
      <c r="FR1" s="118">
        <v>46358</v>
      </c>
      <c r="FS1" s="118">
        <v>46359</v>
      </c>
      <c r="FT1" s="118">
        <v>46360</v>
      </c>
      <c r="FU1" s="118">
        <v>46361</v>
      </c>
      <c r="FV1" s="118">
        <v>46362</v>
      </c>
      <c r="FW1" s="118">
        <v>46363</v>
      </c>
      <c r="FX1" s="118">
        <v>46364</v>
      </c>
      <c r="FY1" s="118">
        <v>46365</v>
      </c>
      <c r="FZ1" s="118">
        <v>46366</v>
      </c>
      <c r="GA1" s="118">
        <v>46367</v>
      </c>
      <c r="GB1" s="118">
        <v>46368</v>
      </c>
      <c r="GC1" s="118">
        <v>46369</v>
      </c>
      <c r="GD1" s="118">
        <v>46370</v>
      </c>
      <c r="GE1" s="118">
        <v>46371</v>
      </c>
      <c r="GF1" s="118">
        <v>46372</v>
      </c>
      <c r="GG1" s="118">
        <v>46373</v>
      </c>
      <c r="GH1" s="118">
        <v>46374</v>
      </c>
      <c r="GI1" s="118">
        <v>46375</v>
      </c>
      <c r="GJ1" s="118">
        <v>46376</v>
      </c>
      <c r="GK1" s="118">
        <v>46377</v>
      </c>
      <c r="GL1" s="118">
        <v>46378</v>
      </c>
      <c r="GM1" s="118">
        <v>46379</v>
      </c>
      <c r="GN1" s="118">
        <v>46380</v>
      </c>
      <c r="GO1" s="118">
        <v>46381</v>
      </c>
      <c r="GP1" s="118">
        <v>46382</v>
      </c>
      <c r="GQ1" s="118">
        <v>46383</v>
      </c>
      <c r="GR1" s="118">
        <v>46384</v>
      </c>
      <c r="GS1" s="118">
        <v>46385</v>
      </c>
      <c r="GT1" s="118">
        <v>46386</v>
      </c>
      <c r="GU1" s="118">
        <v>46387</v>
      </c>
    </row>
    <row r="2" spans="1:203">
      <c r="A2" s="495" t="s">
        <v>63</v>
      </c>
      <c r="B2" s="465">
        <f>'BESS 12'!F51</f>
        <v>46231</v>
      </c>
      <c r="C2" s="465">
        <f>'BESS 12'!G51</f>
        <v>46236</v>
      </c>
      <c r="D2" s="467">
        <f>'BESS 12'!H51</f>
        <v>46239</v>
      </c>
      <c r="E2" s="109" t="s">
        <v>64</v>
      </c>
      <c r="F2" s="102" t="e">
        <f>SUM('BESS 12'!S64:S71,'BESS 12'!S73)</f>
        <v>#VALUE!</v>
      </c>
      <c r="G2" s="102">
        <f>MAX('BESS 12'!O64:O71,'BESS 12'!O73)-MIN('BESS 12'!O64:O71,'BESS 12'!O73)+1</f>
        <v>1</v>
      </c>
      <c r="H2" s="110">
        <f>MIN('BESS 12'!O64:O71,'BESS 12'!O73)</f>
        <v>0</v>
      </c>
      <c r="I2" s="101" t="str">
        <f t="shared" ref="I2:R5" si="3">IF(AND(I$1&gt;=$H2,I$1&lt;($H2+$G2)),ROUND($F2/$G2,0),"-")</f>
        <v>-</v>
      </c>
      <c r="J2" s="101" t="str">
        <f t="shared" si="3"/>
        <v>-</v>
      </c>
      <c r="K2" s="101" t="e">
        <f t="shared" si="3"/>
        <v>#VALUE!</v>
      </c>
      <c r="L2" s="101" t="str">
        <f t="shared" si="3"/>
        <v>-</v>
      </c>
      <c r="M2" s="101" t="str">
        <f t="shared" si="3"/>
        <v>-</v>
      </c>
      <c r="N2" s="101" t="str">
        <f t="shared" si="3"/>
        <v>-</v>
      </c>
      <c r="O2" s="101" t="str">
        <f t="shared" si="3"/>
        <v>-</v>
      </c>
      <c r="P2" s="101" t="str">
        <f t="shared" si="3"/>
        <v>-</v>
      </c>
      <c r="Q2" s="101" t="str">
        <f t="shared" si="3"/>
        <v>-</v>
      </c>
      <c r="R2" s="101" t="str">
        <f t="shared" si="3"/>
        <v>-</v>
      </c>
      <c r="S2" s="101" t="str">
        <f t="shared" ref="S2:AB5" si="4">IF(AND(S$1&gt;=$H2,S$1&lt;($H2+$G2)),ROUND($F2/$G2,0),"-")</f>
        <v>-</v>
      </c>
      <c r="T2" s="101" t="str">
        <f t="shared" si="4"/>
        <v>-</v>
      </c>
      <c r="U2" s="101" t="str">
        <f t="shared" si="4"/>
        <v>-</v>
      </c>
      <c r="V2" s="101" t="str">
        <f t="shared" si="4"/>
        <v>-</v>
      </c>
      <c r="W2" s="101" t="str">
        <f t="shared" si="4"/>
        <v>-</v>
      </c>
      <c r="X2" s="101" t="str">
        <f t="shared" si="4"/>
        <v>-</v>
      </c>
      <c r="Y2" s="101" t="str">
        <f t="shared" si="4"/>
        <v>-</v>
      </c>
      <c r="Z2" s="101" t="str">
        <f t="shared" si="4"/>
        <v>-</v>
      </c>
      <c r="AA2" s="101" t="str">
        <f t="shared" si="4"/>
        <v>-</v>
      </c>
      <c r="AB2" s="101" t="str">
        <f t="shared" si="4"/>
        <v>-</v>
      </c>
      <c r="AC2" s="101" t="str">
        <f t="shared" ref="AC2:AL5" si="5">IF(AND(AC$1&gt;=$H2,AC$1&lt;($H2+$G2)),ROUND($F2/$G2,0),"-")</f>
        <v>-</v>
      </c>
      <c r="AD2" s="101" t="str">
        <f t="shared" si="5"/>
        <v>-</v>
      </c>
      <c r="AE2" s="101" t="str">
        <f t="shared" si="5"/>
        <v>-</v>
      </c>
      <c r="AF2" s="101" t="str">
        <f t="shared" si="5"/>
        <v>-</v>
      </c>
      <c r="AG2" s="101" t="str">
        <f t="shared" si="5"/>
        <v>-</v>
      </c>
      <c r="AH2" s="101" t="str">
        <f t="shared" si="5"/>
        <v>-</v>
      </c>
      <c r="AI2" s="101" t="str">
        <f t="shared" si="5"/>
        <v>-</v>
      </c>
      <c r="AJ2" s="101" t="str">
        <f t="shared" si="5"/>
        <v>-</v>
      </c>
      <c r="AK2" s="101" t="str">
        <f t="shared" si="5"/>
        <v>-</v>
      </c>
      <c r="AL2" s="101" t="str">
        <f t="shared" si="5"/>
        <v>-</v>
      </c>
      <c r="AM2" s="101" t="str">
        <f t="shared" ref="AM2:AV5" si="6">IF(AND(AM$1&gt;=$H2,AM$1&lt;($H2+$G2)),ROUND($F2/$G2,0),"-")</f>
        <v>-</v>
      </c>
      <c r="AN2" s="101" t="str">
        <f t="shared" si="6"/>
        <v>-</v>
      </c>
      <c r="AO2" s="101" t="str">
        <f t="shared" si="6"/>
        <v>-</v>
      </c>
      <c r="AP2" s="101" t="str">
        <f t="shared" si="6"/>
        <v>-</v>
      </c>
      <c r="AQ2" s="101" t="str">
        <f t="shared" si="6"/>
        <v>-</v>
      </c>
      <c r="AR2" s="101" t="str">
        <f t="shared" si="6"/>
        <v>-</v>
      </c>
      <c r="AS2" s="101" t="str">
        <f t="shared" si="6"/>
        <v>-</v>
      </c>
      <c r="AT2" s="101" t="str">
        <f t="shared" si="6"/>
        <v>-</v>
      </c>
      <c r="AU2" s="101" t="str">
        <f t="shared" si="6"/>
        <v>-</v>
      </c>
      <c r="AV2" s="101" t="str">
        <f t="shared" si="6"/>
        <v>-</v>
      </c>
      <c r="AW2" s="101" t="str">
        <f t="shared" ref="AW2:BF5" si="7">IF(AND(AW$1&gt;=$H2,AW$1&lt;($H2+$G2)),ROUND($F2/$G2,0),"-")</f>
        <v>-</v>
      </c>
      <c r="AX2" s="101" t="str">
        <f t="shared" si="7"/>
        <v>-</v>
      </c>
      <c r="AY2" s="101" t="str">
        <f t="shared" si="7"/>
        <v>-</v>
      </c>
      <c r="AZ2" s="101" t="str">
        <f t="shared" si="7"/>
        <v>-</v>
      </c>
      <c r="BA2" s="101" t="str">
        <f t="shared" si="7"/>
        <v>-</v>
      </c>
      <c r="BB2" s="101" t="str">
        <f t="shared" si="7"/>
        <v>-</v>
      </c>
      <c r="BC2" s="101" t="str">
        <f t="shared" si="7"/>
        <v>-</v>
      </c>
      <c r="BD2" s="101" t="str">
        <f t="shared" si="7"/>
        <v>-</v>
      </c>
      <c r="BE2" s="101" t="str">
        <f t="shared" si="7"/>
        <v>-</v>
      </c>
      <c r="BF2" s="101" t="str">
        <f t="shared" si="7"/>
        <v>-</v>
      </c>
      <c r="BG2" s="101" t="str">
        <f t="shared" ref="BG2:BP5" si="8">IF(AND(BG$1&gt;=$H2,BG$1&lt;($H2+$G2)),ROUND($F2/$G2,0),"-")</f>
        <v>-</v>
      </c>
      <c r="BH2" s="101" t="str">
        <f t="shared" si="8"/>
        <v>-</v>
      </c>
      <c r="BI2" s="101" t="str">
        <f t="shared" si="8"/>
        <v>-</v>
      </c>
      <c r="BJ2" s="101" t="str">
        <f t="shared" si="8"/>
        <v>-</v>
      </c>
      <c r="BK2" s="101" t="str">
        <f t="shared" si="8"/>
        <v>-</v>
      </c>
      <c r="BL2" s="101" t="str">
        <f t="shared" si="8"/>
        <v>-</v>
      </c>
      <c r="BM2" s="101" t="str">
        <f t="shared" si="8"/>
        <v>-</v>
      </c>
      <c r="BN2" s="101" t="str">
        <f t="shared" si="8"/>
        <v>-</v>
      </c>
      <c r="BO2" s="101" t="str">
        <f t="shared" si="8"/>
        <v>-</v>
      </c>
      <c r="BP2" s="101" t="str">
        <f t="shared" si="8"/>
        <v>-</v>
      </c>
      <c r="BQ2" s="101" t="str">
        <f t="shared" ref="BQ2:BZ5" si="9">IF(AND(BQ$1&gt;=$H2,BQ$1&lt;($H2+$G2)),ROUND($F2/$G2,0),"-")</f>
        <v>-</v>
      </c>
      <c r="BR2" s="101" t="str">
        <f t="shared" si="9"/>
        <v>-</v>
      </c>
      <c r="BS2" s="101" t="str">
        <f t="shared" si="9"/>
        <v>-</v>
      </c>
      <c r="BT2" s="101" t="str">
        <f t="shared" si="9"/>
        <v>-</v>
      </c>
      <c r="BU2" s="101" t="str">
        <f t="shared" si="9"/>
        <v>-</v>
      </c>
      <c r="BV2" s="101" t="str">
        <f t="shared" si="9"/>
        <v>-</v>
      </c>
      <c r="BW2" s="101" t="str">
        <f t="shared" si="9"/>
        <v>-</v>
      </c>
      <c r="BX2" s="101" t="str">
        <f t="shared" si="9"/>
        <v>-</v>
      </c>
      <c r="BY2" s="101" t="str">
        <f t="shared" si="9"/>
        <v>-</v>
      </c>
      <c r="BZ2" s="101" t="str">
        <f t="shared" si="9"/>
        <v>-</v>
      </c>
      <c r="CA2" s="101" t="str">
        <f t="shared" ref="CA2:CJ5" si="10">IF(AND(CA$1&gt;=$H2,CA$1&lt;($H2+$G2)),ROUND($F2/$G2,0),"-")</f>
        <v>-</v>
      </c>
      <c r="CB2" s="101" t="str">
        <f t="shared" si="10"/>
        <v>-</v>
      </c>
      <c r="CC2" s="101" t="str">
        <f t="shared" si="10"/>
        <v>-</v>
      </c>
      <c r="CD2" s="101" t="str">
        <f t="shared" si="10"/>
        <v>-</v>
      </c>
      <c r="CE2" s="101" t="str">
        <f t="shared" si="10"/>
        <v>-</v>
      </c>
      <c r="CF2" s="101" t="str">
        <f t="shared" si="10"/>
        <v>-</v>
      </c>
      <c r="CG2" s="101" t="str">
        <f t="shared" si="10"/>
        <v>-</v>
      </c>
      <c r="CH2" s="101" t="str">
        <f t="shared" si="10"/>
        <v>-</v>
      </c>
      <c r="CI2" s="101" t="str">
        <f t="shared" si="10"/>
        <v>-</v>
      </c>
      <c r="CJ2" s="101" t="str">
        <f t="shared" si="10"/>
        <v>-</v>
      </c>
      <c r="CK2" s="101" t="str">
        <f t="shared" ref="CK2:CP5" si="11">IF(AND(CK$1&gt;=$H2,CK$1&lt;($H2+$G2)),ROUND($F2/$G2,0),"-")</f>
        <v>-</v>
      </c>
      <c r="CL2" s="101" t="str">
        <f t="shared" si="11"/>
        <v>-</v>
      </c>
      <c r="CM2" s="101" t="str">
        <f t="shared" si="11"/>
        <v>-</v>
      </c>
      <c r="CN2" s="101" t="str">
        <f t="shared" si="11"/>
        <v>-</v>
      </c>
      <c r="CO2" s="101" t="str">
        <f t="shared" si="11"/>
        <v>-</v>
      </c>
      <c r="CP2" s="101" t="str">
        <f t="shared" si="11"/>
        <v>-</v>
      </c>
    </row>
    <row r="3" spans="1:203">
      <c r="A3" s="495"/>
      <c r="B3" s="466"/>
      <c r="C3" s="466"/>
      <c r="D3" s="466"/>
      <c r="E3" s="109" t="s">
        <v>65</v>
      </c>
      <c r="F3" s="102" t="e">
        <f>SUM('BESS 12'!S74,'BESS 12'!S76:S77,'BESS 12'!S80:S82)</f>
        <v>#VALUE!</v>
      </c>
      <c r="G3" s="102">
        <f>MAX('BESS 12'!O74,'BESS 12'!O76:O77,'BESS 12'!O80:O82)-MIN('BESS 12'!O74,'BESS 12'!O76:O77,'BESS 12'!O80:O82)+1</f>
        <v>1</v>
      </c>
      <c r="H3" s="110">
        <f>MIN('BESS 12'!O74,'BESS 12'!O76:O77,'BESS 12'!O80:O82)</f>
        <v>0</v>
      </c>
      <c r="I3" s="101" t="str">
        <f t="shared" si="3"/>
        <v>-</v>
      </c>
      <c r="J3" s="101" t="str">
        <f t="shared" si="3"/>
        <v>-</v>
      </c>
      <c r="K3" s="101" t="e">
        <f t="shared" si="3"/>
        <v>#VALUE!</v>
      </c>
      <c r="L3" s="101" t="str">
        <f t="shared" si="3"/>
        <v>-</v>
      </c>
      <c r="M3" s="101" t="str">
        <f t="shared" si="3"/>
        <v>-</v>
      </c>
      <c r="N3" s="101" t="str">
        <f t="shared" si="3"/>
        <v>-</v>
      </c>
      <c r="O3" s="101" t="str">
        <f t="shared" si="3"/>
        <v>-</v>
      </c>
      <c r="P3" s="101" t="str">
        <f t="shared" si="3"/>
        <v>-</v>
      </c>
      <c r="Q3" s="101" t="str">
        <f t="shared" si="3"/>
        <v>-</v>
      </c>
      <c r="R3" s="101" t="str">
        <f t="shared" si="3"/>
        <v>-</v>
      </c>
      <c r="S3" s="101" t="str">
        <f t="shared" si="4"/>
        <v>-</v>
      </c>
      <c r="T3" s="101" t="str">
        <f t="shared" si="4"/>
        <v>-</v>
      </c>
      <c r="U3" s="101" t="str">
        <f t="shared" si="4"/>
        <v>-</v>
      </c>
      <c r="V3" s="101" t="str">
        <f t="shared" si="4"/>
        <v>-</v>
      </c>
      <c r="W3" s="101" t="str">
        <f t="shared" si="4"/>
        <v>-</v>
      </c>
      <c r="X3" s="101" t="str">
        <f t="shared" si="4"/>
        <v>-</v>
      </c>
      <c r="Y3" s="101" t="str">
        <f t="shared" si="4"/>
        <v>-</v>
      </c>
      <c r="Z3" s="101" t="str">
        <f t="shared" si="4"/>
        <v>-</v>
      </c>
      <c r="AA3" s="101" t="str">
        <f t="shared" si="4"/>
        <v>-</v>
      </c>
      <c r="AB3" s="101" t="str">
        <f t="shared" si="4"/>
        <v>-</v>
      </c>
      <c r="AC3" s="101" t="str">
        <f t="shared" si="5"/>
        <v>-</v>
      </c>
      <c r="AD3" s="101" t="str">
        <f t="shared" si="5"/>
        <v>-</v>
      </c>
      <c r="AE3" s="101" t="str">
        <f t="shared" si="5"/>
        <v>-</v>
      </c>
      <c r="AF3" s="101" t="str">
        <f t="shared" si="5"/>
        <v>-</v>
      </c>
      <c r="AG3" s="101" t="str">
        <f t="shared" si="5"/>
        <v>-</v>
      </c>
      <c r="AH3" s="101" t="str">
        <f t="shared" si="5"/>
        <v>-</v>
      </c>
      <c r="AI3" s="101" t="str">
        <f t="shared" si="5"/>
        <v>-</v>
      </c>
      <c r="AJ3" s="101" t="str">
        <f t="shared" si="5"/>
        <v>-</v>
      </c>
      <c r="AK3" s="101" t="str">
        <f t="shared" si="5"/>
        <v>-</v>
      </c>
      <c r="AL3" s="101" t="str">
        <f t="shared" si="5"/>
        <v>-</v>
      </c>
      <c r="AM3" s="101" t="str">
        <f t="shared" si="6"/>
        <v>-</v>
      </c>
      <c r="AN3" s="101" t="str">
        <f t="shared" si="6"/>
        <v>-</v>
      </c>
      <c r="AO3" s="101" t="str">
        <f t="shared" si="6"/>
        <v>-</v>
      </c>
      <c r="AP3" s="101" t="str">
        <f t="shared" si="6"/>
        <v>-</v>
      </c>
      <c r="AQ3" s="101" t="str">
        <f t="shared" si="6"/>
        <v>-</v>
      </c>
      <c r="AR3" s="101" t="str">
        <f t="shared" si="6"/>
        <v>-</v>
      </c>
      <c r="AS3" s="101" t="str">
        <f t="shared" si="6"/>
        <v>-</v>
      </c>
      <c r="AT3" s="101" t="str">
        <f t="shared" si="6"/>
        <v>-</v>
      </c>
      <c r="AU3" s="101" t="str">
        <f t="shared" si="6"/>
        <v>-</v>
      </c>
      <c r="AV3" s="101" t="str">
        <f t="shared" si="6"/>
        <v>-</v>
      </c>
      <c r="AW3" s="101" t="str">
        <f t="shared" si="7"/>
        <v>-</v>
      </c>
      <c r="AX3" s="101" t="str">
        <f t="shared" si="7"/>
        <v>-</v>
      </c>
      <c r="AY3" s="101" t="str">
        <f t="shared" si="7"/>
        <v>-</v>
      </c>
      <c r="AZ3" s="101" t="str">
        <f t="shared" si="7"/>
        <v>-</v>
      </c>
      <c r="BA3" s="101" t="str">
        <f t="shared" si="7"/>
        <v>-</v>
      </c>
      <c r="BB3" s="101" t="str">
        <f t="shared" si="7"/>
        <v>-</v>
      </c>
      <c r="BC3" s="101" t="str">
        <f t="shared" si="7"/>
        <v>-</v>
      </c>
      <c r="BD3" s="101" t="str">
        <f t="shared" si="7"/>
        <v>-</v>
      </c>
      <c r="BE3" s="101" t="str">
        <f t="shared" si="7"/>
        <v>-</v>
      </c>
      <c r="BF3" s="101" t="str">
        <f t="shared" si="7"/>
        <v>-</v>
      </c>
      <c r="BG3" s="101" t="str">
        <f t="shared" si="8"/>
        <v>-</v>
      </c>
      <c r="BH3" s="101" t="str">
        <f t="shared" si="8"/>
        <v>-</v>
      </c>
      <c r="BI3" s="101" t="str">
        <f t="shared" si="8"/>
        <v>-</v>
      </c>
      <c r="BJ3" s="101" t="str">
        <f t="shared" si="8"/>
        <v>-</v>
      </c>
      <c r="BK3" s="101" t="str">
        <f t="shared" si="8"/>
        <v>-</v>
      </c>
      <c r="BL3" s="101" t="str">
        <f t="shared" si="8"/>
        <v>-</v>
      </c>
      <c r="BM3" s="101" t="str">
        <f t="shared" si="8"/>
        <v>-</v>
      </c>
      <c r="BN3" s="101" t="str">
        <f t="shared" si="8"/>
        <v>-</v>
      </c>
      <c r="BO3" s="101" t="str">
        <f t="shared" si="8"/>
        <v>-</v>
      </c>
      <c r="BP3" s="101" t="str">
        <f t="shared" si="8"/>
        <v>-</v>
      </c>
      <c r="BQ3" s="101" t="str">
        <f t="shared" si="9"/>
        <v>-</v>
      </c>
      <c r="BR3" s="101" t="str">
        <f t="shared" si="9"/>
        <v>-</v>
      </c>
      <c r="BS3" s="101" t="str">
        <f t="shared" si="9"/>
        <v>-</v>
      </c>
      <c r="BT3" s="101" t="str">
        <f t="shared" si="9"/>
        <v>-</v>
      </c>
      <c r="BU3" s="101" t="str">
        <f t="shared" si="9"/>
        <v>-</v>
      </c>
      <c r="BV3" s="101" t="str">
        <f t="shared" si="9"/>
        <v>-</v>
      </c>
      <c r="BW3" s="101" t="str">
        <f t="shared" si="9"/>
        <v>-</v>
      </c>
      <c r="BX3" s="101" t="str">
        <f t="shared" si="9"/>
        <v>-</v>
      </c>
      <c r="BY3" s="101" t="str">
        <f t="shared" si="9"/>
        <v>-</v>
      </c>
      <c r="BZ3" s="101" t="str">
        <f t="shared" si="9"/>
        <v>-</v>
      </c>
      <c r="CA3" s="101" t="str">
        <f t="shared" si="10"/>
        <v>-</v>
      </c>
      <c r="CB3" s="101" t="str">
        <f t="shared" si="10"/>
        <v>-</v>
      </c>
      <c r="CC3" s="101" t="str">
        <f t="shared" si="10"/>
        <v>-</v>
      </c>
      <c r="CD3" s="101" t="str">
        <f t="shared" si="10"/>
        <v>-</v>
      </c>
      <c r="CE3" s="101" t="str">
        <f t="shared" si="10"/>
        <v>-</v>
      </c>
      <c r="CF3" s="101" t="str">
        <f t="shared" si="10"/>
        <v>-</v>
      </c>
      <c r="CG3" s="101" t="str">
        <f t="shared" si="10"/>
        <v>-</v>
      </c>
      <c r="CH3" s="101" t="str">
        <f t="shared" si="10"/>
        <v>-</v>
      </c>
      <c r="CI3" s="101" t="str">
        <f t="shared" si="10"/>
        <v>-</v>
      </c>
      <c r="CJ3" s="101" t="str">
        <f t="shared" si="10"/>
        <v>-</v>
      </c>
      <c r="CK3" s="101" t="str">
        <f t="shared" si="11"/>
        <v>-</v>
      </c>
      <c r="CL3" s="101" t="str">
        <f t="shared" si="11"/>
        <v>-</v>
      </c>
      <c r="CM3" s="101" t="str">
        <f t="shared" si="11"/>
        <v>-</v>
      </c>
      <c r="CN3" s="101" t="str">
        <f t="shared" si="11"/>
        <v>-</v>
      </c>
      <c r="CO3" s="101" t="str">
        <f t="shared" si="11"/>
        <v>-</v>
      </c>
      <c r="CP3" s="101" t="str">
        <f t="shared" si="11"/>
        <v>-</v>
      </c>
    </row>
    <row r="4" spans="1:203">
      <c r="A4" s="495"/>
      <c r="B4" s="466"/>
      <c r="C4" s="466"/>
      <c r="D4" s="466"/>
      <c r="E4" s="109" t="s">
        <v>66</v>
      </c>
      <c r="F4" s="102" t="e">
        <f>SUM('BESS 12'!S75,'BESS 12'!S78:S79,'BESS 12'!S83:S84)</f>
        <v>#VALUE!</v>
      </c>
      <c r="G4" s="102">
        <f>MAX('BESS 12'!O75,'BESS 12'!O78:O79,'BESS 12'!O83:O84)-MIN('BESS 12'!O75,'BESS 12'!O78:O79,'BESS 12'!O83:O84)+1</f>
        <v>1</v>
      </c>
      <c r="H4" s="110">
        <f>MIN('BESS 12'!O75,'BESS 12'!O78:O79,'BESS 12'!O83:O84)</f>
        <v>46233</v>
      </c>
      <c r="I4" s="101" t="str">
        <f t="shared" si="3"/>
        <v>-</v>
      </c>
      <c r="J4" s="101" t="str">
        <f t="shared" si="3"/>
        <v>-</v>
      </c>
      <c r="K4" s="101" t="str">
        <f t="shared" si="3"/>
        <v>-</v>
      </c>
      <c r="L4" s="101" t="str">
        <f t="shared" si="3"/>
        <v>-</v>
      </c>
      <c r="M4" s="101" t="str">
        <f t="shared" si="3"/>
        <v>-</v>
      </c>
      <c r="N4" s="101" t="str">
        <f t="shared" si="3"/>
        <v>-</v>
      </c>
      <c r="O4" s="101" t="str">
        <f t="shared" si="3"/>
        <v>-</v>
      </c>
      <c r="P4" s="101" t="str">
        <f t="shared" si="3"/>
        <v>-</v>
      </c>
      <c r="Q4" s="101" t="str">
        <f t="shared" si="3"/>
        <v>-</v>
      </c>
      <c r="R4" s="101" t="str">
        <f t="shared" si="3"/>
        <v>-</v>
      </c>
      <c r="S4" s="101" t="str">
        <f t="shared" si="4"/>
        <v>-</v>
      </c>
      <c r="T4" s="101" t="str">
        <f t="shared" si="4"/>
        <v>-</v>
      </c>
      <c r="U4" s="101" t="str">
        <f t="shared" si="4"/>
        <v>-</v>
      </c>
      <c r="V4" s="101" t="str">
        <f t="shared" si="4"/>
        <v>-</v>
      </c>
      <c r="W4" s="101" t="str">
        <f t="shared" si="4"/>
        <v>-</v>
      </c>
      <c r="X4" s="101" t="str">
        <f t="shared" si="4"/>
        <v>-</v>
      </c>
      <c r="Y4" s="101" t="str">
        <f t="shared" si="4"/>
        <v>-</v>
      </c>
      <c r="Z4" s="101" t="str">
        <f t="shared" si="4"/>
        <v>-</v>
      </c>
      <c r="AA4" s="101" t="str">
        <f t="shared" si="4"/>
        <v>-</v>
      </c>
      <c r="AB4" s="101" t="str">
        <f t="shared" si="4"/>
        <v>-</v>
      </c>
      <c r="AC4" s="101" t="str">
        <f t="shared" si="5"/>
        <v>-</v>
      </c>
      <c r="AD4" s="101" t="str">
        <f t="shared" si="5"/>
        <v>-</v>
      </c>
      <c r="AE4" s="101" t="str">
        <f t="shared" si="5"/>
        <v>-</v>
      </c>
      <c r="AF4" s="101" t="str">
        <f t="shared" si="5"/>
        <v>-</v>
      </c>
      <c r="AG4" s="101" t="str">
        <f t="shared" si="5"/>
        <v>-</v>
      </c>
      <c r="AH4" s="101" t="str">
        <f t="shared" si="5"/>
        <v>-</v>
      </c>
      <c r="AI4" s="101" t="str">
        <f t="shared" si="5"/>
        <v>-</v>
      </c>
      <c r="AJ4" s="101" t="str">
        <f t="shared" si="5"/>
        <v>-</v>
      </c>
      <c r="AK4" s="101" t="str">
        <f t="shared" si="5"/>
        <v>-</v>
      </c>
      <c r="AL4" s="101" t="str">
        <f t="shared" si="5"/>
        <v>-</v>
      </c>
      <c r="AM4" s="101" t="str">
        <f t="shared" si="6"/>
        <v>-</v>
      </c>
      <c r="AN4" s="101" t="str">
        <f t="shared" si="6"/>
        <v>-</v>
      </c>
      <c r="AO4" s="101" t="str">
        <f t="shared" si="6"/>
        <v>-</v>
      </c>
      <c r="AP4" s="101" t="str">
        <f t="shared" si="6"/>
        <v>-</v>
      </c>
      <c r="AQ4" s="101" t="str">
        <f t="shared" si="6"/>
        <v>-</v>
      </c>
      <c r="AR4" s="101" t="str">
        <f t="shared" si="6"/>
        <v>-</v>
      </c>
      <c r="AS4" s="101" t="str">
        <f t="shared" si="6"/>
        <v>-</v>
      </c>
      <c r="AT4" s="101" t="str">
        <f t="shared" si="6"/>
        <v>-</v>
      </c>
      <c r="AU4" s="101" t="str">
        <f t="shared" si="6"/>
        <v>-</v>
      </c>
      <c r="AV4" s="101" t="str">
        <f t="shared" si="6"/>
        <v>-</v>
      </c>
      <c r="AW4" s="101" t="str">
        <f t="shared" si="7"/>
        <v>-</v>
      </c>
      <c r="AX4" s="101" t="str">
        <f t="shared" si="7"/>
        <v>-</v>
      </c>
      <c r="AY4" s="101" t="str">
        <f t="shared" si="7"/>
        <v>-</v>
      </c>
      <c r="AZ4" s="101" t="str">
        <f t="shared" si="7"/>
        <v>-</v>
      </c>
      <c r="BA4" s="101" t="str">
        <f t="shared" si="7"/>
        <v>-</v>
      </c>
      <c r="BB4" s="101" t="str">
        <f t="shared" si="7"/>
        <v>-</v>
      </c>
      <c r="BC4" s="101" t="str">
        <f t="shared" si="7"/>
        <v>-</v>
      </c>
      <c r="BD4" s="101" t="str">
        <f t="shared" si="7"/>
        <v>-</v>
      </c>
      <c r="BE4" s="101" t="str">
        <f t="shared" si="7"/>
        <v>-</v>
      </c>
      <c r="BF4" s="101" t="str">
        <f t="shared" si="7"/>
        <v>-</v>
      </c>
      <c r="BG4" s="101" t="str">
        <f t="shared" si="8"/>
        <v>-</v>
      </c>
      <c r="BH4" s="101" t="str">
        <f t="shared" si="8"/>
        <v>-</v>
      </c>
      <c r="BI4" s="101" t="str">
        <f t="shared" si="8"/>
        <v>-</v>
      </c>
      <c r="BJ4" s="101" t="str">
        <f t="shared" si="8"/>
        <v>-</v>
      </c>
      <c r="BK4" s="101" t="str">
        <f t="shared" si="8"/>
        <v>-</v>
      </c>
      <c r="BL4" s="101" t="str">
        <f t="shared" si="8"/>
        <v>-</v>
      </c>
      <c r="BM4" s="101" t="str">
        <f t="shared" si="8"/>
        <v>-</v>
      </c>
      <c r="BN4" s="101" t="str">
        <f t="shared" si="8"/>
        <v>-</v>
      </c>
      <c r="BO4" s="101" t="str">
        <f t="shared" si="8"/>
        <v>-</v>
      </c>
      <c r="BP4" s="101" t="str">
        <f t="shared" si="8"/>
        <v>-</v>
      </c>
      <c r="BQ4" s="101" t="str">
        <f t="shared" si="9"/>
        <v>-</v>
      </c>
      <c r="BR4" s="101" t="str">
        <f t="shared" si="9"/>
        <v>-</v>
      </c>
      <c r="BS4" s="101" t="str">
        <f t="shared" si="9"/>
        <v>-</v>
      </c>
      <c r="BT4" s="101" t="str">
        <f t="shared" si="9"/>
        <v>-</v>
      </c>
      <c r="BU4" s="101" t="str">
        <f t="shared" si="9"/>
        <v>-</v>
      </c>
      <c r="BV4" s="101" t="str">
        <f t="shared" si="9"/>
        <v>-</v>
      </c>
      <c r="BW4" s="101" t="str">
        <f t="shared" si="9"/>
        <v>-</v>
      </c>
      <c r="BX4" s="101" t="str">
        <f t="shared" si="9"/>
        <v>-</v>
      </c>
      <c r="BY4" s="101" t="str">
        <f t="shared" si="9"/>
        <v>-</v>
      </c>
      <c r="BZ4" s="101" t="str">
        <f t="shared" si="9"/>
        <v>-</v>
      </c>
      <c r="CA4" s="101" t="str">
        <f t="shared" si="10"/>
        <v>-</v>
      </c>
      <c r="CB4" s="101" t="str">
        <f t="shared" si="10"/>
        <v>-</v>
      </c>
      <c r="CC4" s="101" t="str">
        <f t="shared" si="10"/>
        <v>-</v>
      </c>
      <c r="CD4" s="101" t="str">
        <f t="shared" si="10"/>
        <v>-</v>
      </c>
      <c r="CE4" s="101" t="str">
        <f t="shared" si="10"/>
        <v>-</v>
      </c>
      <c r="CF4" s="101" t="str">
        <f t="shared" si="10"/>
        <v>-</v>
      </c>
      <c r="CG4" s="101" t="str">
        <f t="shared" si="10"/>
        <v>-</v>
      </c>
      <c r="CH4" s="101" t="str">
        <f t="shared" si="10"/>
        <v>-</v>
      </c>
      <c r="CI4" s="101" t="str">
        <f t="shared" si="10"/>
        <v>-</v>
      </c>
      <c r="CJ4" s="101" t="str">
        <f t="shared" si="10"/>
        <v>-</v>
      </c>
      <c r="CK4" s="101" t="str">
        <f t="shared" si="11"/>
        <v>-</v>
      </c>
      <c r="CL4" s="101" t="str">
        <f t="shared" si="11"/>
        <v>-</v>
      </c>
      <c r="CM4" s="101" t="str">
        <f t="shared" si="11"/>
        <v>-</v>
      </c>
      <c r="CN4" s="101" t="str">
        <f t="shared" si="11"/>
        <v>-</v>
      </c>
      <c r="CO4" s="101" t="str">
        <f t="shared" si="11"/>
        <v>-</v>
      </c>
      <c r="CP4" s="101" t="str">
        <f t="shared" si="11"/>
        <v>-</v>
      </c>
    </row>
    <row r="5" spans="1:203">
      <c r="A5" s="495"/>
      <c r="B5" s="466"/>
      <c r="C5" s="466"/>
      <c r="D5" s="466"/>
      <c r="E5" s="109" t="s">
        <v>67</v>
      </c>
      <c r="F5" s="102" t="e">
        <f>SUM('BESS 12'!S88:S95)</f>
        <v>#VALUE!</v>
      </c>
      <c r="G5" s="102">
        <f>MAX('BESS 12'!O88:O95)-MIN('BESS 12'!O88:O95)+1</f>
        <v>1</v>
      </c>
      <c r="H5" s="110">
        <f>MIN('BESS 12'!O88:O95)</f>
        <v>46233</v>
      </c>
      <c r="I5" s="101" t="str">
        <f t="shared" si="3"/>
        <v>-</v>
      </c>
      <c r="J5" s="101" t="str">
        <f t="shared" si="3"/>
        <v>-</v>
      </c>
      <c r="K5" s="101" t="str">
        <f t="shared" si="3"/>
        <v>-</v>
      </c>
      <c r="L5" s="101" t="str">
        <f t="shared" si="3"/>
        <v>-</v>
      </c>
      <c r="M5" s="101" t="str">
        <f t="shared" si="3"/>
        <v>-</v>
      </c>
      <c r="N5" s="101" t="str">
        <f t="shared" si="3"/>
        <v>-</v>
      </c>
      <c r="O5" s="101" t="str">
        <f t="shared" si="3"/>
        <v>-</v>
      </c>
      <c r="P5" s="101" t="str">
        <f t="shared" si="3"/>
        <v>-</v>
      </c>
      <c r="Q5" s="101" t="str">
        <f t="shared" si="3"/>
        <v>-</v>
      </c>
      <c r="R5" s="101" t="str">
        <f t="shared" si="3"/>
        <v>-</v>
      </c>
      <c r="S5" s="101" t="str">
        <f t="shared" si="4"/>
        <v>-</v>
      </c>
      <c r="T5" s="101" t="str">
        <f t="shared" si="4"/>
        <v>-</v>
      </c>
      <c r="U5" s="101" t="str">
        <f t="shared" si="4"/>
        <v>-</v>
      </c>
      <c r="V5" s="101" t="str">
        <f t="shared" si="4"/>
        <v>-</v>
      </c>
      <c r="W5" s="101" t="str">
        <f t="shared" si="4"/>
        <v>-</v>
      </c>
      <c r="X5" s="101" t="str">
        <f t="shared" si="4"/>
        <v>-</v>
      </c>
      <c r="Y5" s="101" t="str">
        <f t="shared" si="4"/>
        <v>-</v>
      </c>
      <c r="Z5" s="101" t="str">
        <f t="shared" si="4"/>
        <v>-</v>
      </c>
      <c r="AA5" s="101" t="str">
        <f t="shared" si="4"/>
        <v>-</v>
      </c>
      <c r="AB5" s="101" t="str">
        <f t="shared" si="4"/>
        <v>-</v>
      </c>
      <c r="AC5" s="101" t="str">
        <f t="shared" si="5"/>
        <v>-</v>
      </c>
      <c r="AD5" s="101" t="str">
        <f t="shared" si="5"/>
        <v>-</v>
      </c>
      <c r="AE5" s="101" t="str">
        <f t="shared" si="5"/>
        <v>-</v>
      </c>
      <c r="AF5" s="101" t="str">
        <f t="shared" si="5"/>
        <v>-</v>
      </c>
      <c r="AG5" s="101" t="str">
        <f t="shared" si="5"/>
        <v>-</v>
      </c>
      <c r="AH5" s="101" t="str">
        <f t="shared" si="5"/>
        <v>-</v>
      </c>
      <c r="AI5" s="101" t="str">
        <f t="shared" si="5"/>
        <v>-</v>
      </c>
      <c r="AJ5" s="101" t="str">
        <f t="shared" si="5"/>
        <v>-</v>
      </c>
      <c r="AK5" s="101" t="str">
        <f t="shared" si="5"/>
        <v>-</v>
      </c>
      <c r="AL5" s="101" t="str">
        <f t="shared" si="5"/>
        <v>-</v>
      </c>
      <c r="AM5" s="101" t="str">
        <f t="shared" si="6"/>
        <v>-</v>
      </c>
      <c r="AN5" s="101" t="str">
        <f t="shared" si="6"/>
        <v>-</v>
      </c>
      <c r="AO5" s="101" t="str">
        <f t="shared" si="6"/>
        <v>-</v>
      </c>
      <c r="AP5" s="101" t="str">
        <f t="shared" si="6"/>
        <v>-</v>
      </c>
      <c r="AQ5" s="101" t="str">
        <f t="shared" si="6"/>
        <v>-</v>
      </c>
      <c r="AR5" s="101" t="str">
        <f t="shared" si="6"/>
        <v>-</v>
      </c>
      <c r="AS5" s="101" t="str">
        <f t="shared" si="6"/>
        <v>-</v>
      </c>
      <c r="AT5" s="101" t="str">
        <f t="shared" si="6"/>
        <v>-</v>
      </c>
      <c r="AU5" s="101" t="str">
        <f t="shared" si="6"/>
        <v>-</v>
      </c>
      <c r="AV5" s="101" t="str">
        <f t="shared" si="6"/>
        <v>-</v>
      </c>
      <c r="AW5" s="101" t="str">
        <f t="shared" si="7"/>
        <v>-</v>
      </c>
      <c r="AX5" s="101" t="str">
        <f t="shared" si="7"/>
        <v>-</v>
      </c>
      <c r="AY5" s="101" t="str">
        <f t="shared" si="7"/>
        <v>-</v>
      </c>
      <c r="AZ5" s="101" t="str">
        <f t="shared" si="7"/>
        <v>-</v>
      </c>
      <c r="BA5" s="101" t="str">
        <f t="shared" si="7"/>
        <v>-</v>
      </c>
      <c r="BB5" s="101" t="str">
        <f t="shared" si="7"/>
        <v>-</v>
      </c>
      <c r="BC5" s="101" t="str">
        <f t="shared" si="7"/>
        <v>-</v>
      </c>
      <c r="BD5" s="101" t="str">
        <f t="shared" si="7"/>
        <v>-</v>
      </c>
      <c r="BE5" s="101" t="str">
        <f t="shared" si="7"/>
        <v>-</v>
      </c>
      <c r="BF5" s="101" t="str">
        <f t="shared" si="7"/>
        <v>-</v>
      </c>
      <c r="BG5" s="101" t="str">
        <f t="shared" si="8"/>
        <v>-</v>
      </c>
      <c r="BH5" s="101" t="str">
        <f t="shared" si="8"/>
        <v>-</v>
      </c>
      <c r="BI5" s="101" t="str">
        <f t="shared" si="8"/>
        <v>-</v>
      </c>
      <c r="BJ5" s="101" t="str">
        <f t="shared" si="8"/>
        <v>-</v>
      </c>
      <c r="BK5" s="101" t="str">
        <f t="shared" si="8"/>
        <v>-</v>
      </c>
      <c r="BL5" s="101" t="str">
        <f t="shared" si="8"/>
        <v>-</v>
      </c>
      <c r="BM5" s="101" t="str">
        <f t="shared" si="8"/>
        <v>-</v>
      </c>
      <c r="BN5" s="101" t="str">
        <f t="shared" si="8"/>
        <v>-</v>
      </c>
      <c r="BO5" s="101" t="str">
        <f t="shared" si="8"/>
        <v>-</v>
      </c>
      <c r="BP5" s="101" t="str">
        <f t="shared" si="8"/>
        <v>-</v>
      </c>
      <c r="BQ5" s="101" t="str">
        <f t="shared" si="9"/>
        <v>-</v>
      </c>
      <c r="BR5" s="101" t="str">
        <f t="shared" si="9"/>
        <v>-</v>
      </c>
      <c r="BS5" s="101" t="str">
        <f t="shared" si="9"/>
        <v>-</v>
      </c>
      <c r="BT5" s="101" t="str">
        <f t="shared" si="9"/>
        <v>-</v>
      </c>
      <c r="BU5" s="101" t="str">
        <f t="shared" si="9"/>
        <v>-</v>
      </c>
      <c r="BV5" s="101" t="str">
        <f t="shared" si="9"/>
        <v>-</v>
      </c>
      <c r="BW5" s="101" t="str">
        <f t="shared" si="9"/>
        <v>-</v>
      </c>
      <c r="BX5" s="101" t="str">
        <f t="shared" si="9"/>
        <v>-</v>
      </c>
      <c r="BY5" s="101" t="str">
        <f t="shared" si="9"/>
        <v>-</v>
      </c>
      <c r="BZ5" s="101" t="str">
        <f t="shared" si="9"/>
        <v>-</v>
      </c>
      <c r="CA5" s="101" t="str">
        <f t="shared" si="10"/>
        <v>-</v>
      </c>
      <c r="CB5" s="101" t="str">
        <f t="shared" si="10"/>
        <v>-</v>
      </c>
      <c r="CC5" s="101" t="str">
        <f t="shared" si="10"/>
        <v>-</v>
      </c>
      <c r="CD5" s="101" t="str">
        <f t="shared" si="10"/>
        <v>-</v>
      </c>
      <c r="CE5" s="101" t="str">
        <f t="shared" si="10"/>
        <v>-</v>
      </c>
      <c r="CF5" s="101" t="str">
        <f t="shared" si="10"/>
        <v>-</v>
      </c>
      <c r="CG5" s="101" t="str">
        <f t="shared" si="10"/>
        <v>-</v>
      </c>
      <c r="CH5" s="101" t="str">
        <f t="shared" si="10"/>
        <v>-</v>
      </c>
      <c r="CI5" s="101" t="str">
        <f t="shared" si="10"/>
        <v>-</v>
      </c>
      <c r="CJ5" s="101" t="str">
        <f t="shared" si="10"/>
        <v>-</v>
      </c>
      <c r="CK5" s="101" t="str">
        <f t="shared" si="11"/>
        <v>-</v>
      </c>
      <c r="CL5" s="101" t="str">
        <f t="shared" si="11"/>
        <v>-</v>
      </c>
      <c r="CM5" s="101" t="str">
        <f t="shared" si="11"/>
        <v>-</v>
      </c>
      <c r="CN5" s="101" t="str">
        <f t="shared" si="11"/>
        <v>-</v>
      </c>
      <c r="CO5" s="101" t="str">
        <f t="shared" si="11"/>
        <v>-</v>
      </c>
      <c r="CP5" s="101" t="str">
        <f t="shared" si="11"/>
        <v>-</v>
      </c>
    </row>
    <row r="6" spans="1:203">
      <c r="A6" s="495"/>
      <c r="B6" s="466"/>
      <c r="C6" s="466"/>
      <c r="D6" s="466"/>
      <c r="E6" s="109" t="s">
        <v>68</v>
      </c>
      <c r="F6" s="101">
        <v>250</v>
      </c>
      <c r="G6" s="101">
        <v>30</v>
      </c>
      <c r="H6" s="110">
        <f>B2-3</f>
        <v>46228</v>
      </c>
      <c r="I6" s="110"/>
      <c r="J6" s="110"/>
      <c r="K6" s="101"/>
      <c r="L6" s="102"/>
      <c r="M6" s="102"/>
      <c r="N6" s="102"/>
      <c r="O6" s="102"/>
      <c r="P6" s="102"/>
      <c r="Q6" s="102"/>
      <c r="R6" s="102"/>
      <c r="S6" s="102"/>
      <c r="T6" s="102">
        <v>5</v>
      </c>
      <c r="U6" s="102">
        <v>5</v>
      </c>
      <c r="V6" s="102">
        <v>5</v>
      </c>
      <c r="W6" s="102">
        <v>5</v>
      </c>
      <c r="X6" s="102">
        <v>5</v>
      </c>
      <c r="Y6" s="102">
        <v>5</v>
      </c>
      <c r="Z6" s="102">
        <v>5</v>
      </c>
      <c r="AA6" s="102">
        <v>5</v>
      </c>
      <c r="AB6" s="102">
        <v>5</v>
      </c>
      <c r="AC6" s="102">
        <v>5</v>
      </c>
      <c r="AD6" s="102">
        <v>5</v>
      </c>
      <c r="AE6" s="102">
        <v>5</v>
      </c>
      <c r="AF6" s="102">
        <v>5</v>
      </c>
      <c r="AG6" s="102">
        <v>5</v>
      </c>
      <c r="AH6" s="102">
        <v>5</v>
      </c>
      <c r="AI6" s="102">
        <v>5</v>
      </c>
      <c r="AJ6" s="102">
        <v>5</v>
      </c>
      <c r="AK6" s="102">
        <v>5</v>
      </c>
      <c r="AL6" s="102">
        <v>5</v>
      </c>
      <c r="AM6" s="102">
        <v>5</v>
      </c>
      <c r="AN6" s="102">
        <v>5</v>
      </c>
      <c r="AO6" s="102">
        <v>5</v>
      </c>
      <c r="AP6" s="102">
        <v>5</v>
      </c>
      <c r="AQ6" s="102">
        <v>5</v>
      </c>
      <c r="AR6" s="102">
        <v>30</v>
      </c>
      <c r="AS6" s="102">
        <v>30</v>
      </c>
      <c r="AT6" s="102">
        <v>30</v>
      </c>
      <c r="AU6" s="102">
        <v>30</v>
      </c>
      <c r="AV6" s="102">
        <v>5</v>
      </c>
      <c r="AW6" s="102">
        <v>5</v>
      </c>
      <c r="AX6" s="102"/>
      <c r="AY6" s="102"/>
      <c r="AZ6" s="102"/>
      <c r="BA6" s="102"/>
      <c r="BB6" s="102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M6" s="109"/>
      <c r="CN6" s="109"/>
      <c r="CO6" s="109"/>
      <c r="CP6" s="109"/>
    </row>
    <row r="7" spans="1:203">
      <c r="A7" s="120"/>
      <c r="B7" s="125"/>
      <c r="C7" s="125"/>
      <c r="D7" s="120"/>
      <c r="E7" s="120"/>
      <c r="F7" s="120"/>
      <c r="G7" s="121"/>
      <c r="H7" s="112" t="s">
        <v>69</v>
      </c>
      <c r="I7" s="113">
        <f t="shared" ref="I7:AW7" si="12">SUM(I2:I6)</f>
        <v>0</v>
      </c>
      <c r="J7" s="113">
        <f t="shared" si="12"/>
        <v>0</v>
      </c>
      <c r="K7" s="113" t="e">
        <f t="shared" si="12"/>
        <v>#VALUE!</v>
      </c>
      <c r="L7" s="113">
        <f t="shared" si="12"/>
        <v>0</v>
      </c>
      <c r="M7" s="113">
        <f t="shared" si="12"/>
        <v>0</v>
      </c>
      <c r="N7" s="113">
        <f t="shared" si="12"/>
        <v>0</v>
      </c>
      <c r="O7" s="113">
        <f t="shared" si="12"/>
        <v>0</v>
      </c>
      <c r="P7" s="113">
        <f t="shared" si="12"/>
        <v>0</v>
      </c>
      <c r="Q7" s="113">
        <f t="shared" si="12"/>
        <v>0</v>
      </c>
      <c r="R7" s="113">
        <f t="shared" si="12"/>
        <v>0</v>
      </c>
      <c r="S7" s="113">
        <f t="shared" si="12"/>
        <v>0</v>
      </c>
      <c r="T7" s="113">
        <f t="shared" si="12"/>
        <v>5</v>
      </c>
      <c r="U7" s="113">
        <f t="shared" si="12"/>
        <v>5</v>
      </c>
      <c r="V7" s="113">
        <f t="shared" si="12"/>
        <v>5</v>
      </c>
      <c r="W7" s="113">
        <f t="shared" si="12"/>
        <v>5</v>
      </c>
      <c r="X7" s="113">
        <f t="shared" si="12"/>
        <v>5</v>
      </c>
      <c r="Y7" s="113">
        <f t="shared" si="12"/>
        <v>5</v>
      </c>
      <c r="Z7" s="113">
        <f t="shared" si="12"/>
        <v>5</v>
      </c>
      <c r="AA7" s="113">
        <f t="shared" si="12"/>
        <v>5</v>
      </c>
      <c r="AB7" s="113">
        <f t="shared" si="12"/>
        <v>5</v>
      </c>
      <c r="AC7" s="113">
        <f t="shared" si="12"/>
        <v>5</v>
      </c>
      <c r="AD7" s="113">
        <f t="shared" si="12"/>
        <v>5</v>
      </c>
      <c r="AE7" s="113">
        <f t="shared" si="12"/>
        <v>5</v>
      </c>
      <c r="AF7" s="113">
        <f t="shared" si="12"/>
        <v>5</v>
      </c>
      <c r="AG7" s="113">
        <f t="shared" si="12"/>
        <v>5</v>
      </c>
      <c r="AH7" s="113">
        <f t="shared" si="12"/>
        <v>5</v>
      </c>
      <c r="AI7" s="113">
        <f t="shared" si="12"/>
        <v>5</v>
      </c>
      <c r="AJ7" s="113">
        <f t="shared" si="12"/>
        <v>5</v>
      </c>
      <c r="AK7" s="113">
        <f t="shared" si="12"/>
        <v>5</v>
      </c>
      <c r="AL7" s="113">
        <f t="shared" si="12"/>
        <v>5</v>
      </c>
      <c r="AM7" s="113">
        <f t="shared" si="12"/>
        <v>5</v>
      </c>
      <c r="AN7" s="113">
        <f t="shared" si="12"/>
        <v>5</v>
      </c>
      <c r="AO7" s="113">
        <f t="shared" si="12"/>
        <v>5</v>
      </c>
      <c r="AP7" s="113">
        <f t="shared" si="12"/>
        <v>5</v>
      </c>
      <c r="AQ7" s="113">
        <f t="shared" si="12"/>
        <v>5</v>
      </c>
      <c r="AR7" s="113">
        <f t="shared" si="12"/>
        <v>30</v>
      </c>
      <c r="AS7" s="113">
        <f t="shared" si="12"/>
        <v>30</v>
      </c>
      <c r="AT7" s="113">
        <f t="shared" si="12"/>
        <v>30</v>
      </c>
      <c r="AU7" s="113">
        <f t="shared" si="12"/>
        <v>30</v>
      </c>
      <c r="AV7" s="113">
        <f t="shared" si="12"/>
        <v>5</v>
      </c>
      <c r="AW7" s="113">
        <f t="shared" si="12"/>
        <v>5</v>
      </c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60" t="e">
        <f>AVERAGE(I7:AY7)</f>
        <v>#VALUE!</v>
      </c>
      <c r="CR7" s="160" t="e">
        <f>MAX(I7:AY7)</f>
        <v>#VALUE!</v>
      </c>
    </row>
    <row r="8" spans="1:203">
      <c r="F8" s="99"/>
      <c r="G8" s="99"/>
      <c r="H8" s="99"/>
      <c r="I8" s="99"/>
      <c r="J8" s="99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</row>
    <row r="9" spans="1:203">
      <c r="A9" s="496" t="s">
        <v>70</v>
      </c>
      <c r="B9" s="458" t="str">
        <f>'BESS 12'!F96</f>
        <v>31 Jul
02 Aug</v>
      </c>
      <c r="C9" s="458" t="str">
        <f>'BESS 12'!G96</f>
        <v>05 Aug
07 Aug</v>
      </c>
      <c r="D9" s="114"/>
      <c r="E9" s="114" t="s">
        <v>10</v>
      </c>
      <c r="F9" s="115" t="s">
        <v>58</v>
      </c>
      <c r="G9" s="115" t="s">
        <v>59</v>
      </c>
      <c r="H9" s="115" t="s">
        <v>60</v>
      </c>
      <c r="I9" s="116">
        <v>46195</v>
      </c>
      <c r="J9" s="116">
        <v>46196</v>
      </c>
      <c r="K9" s="116">
        <f>MIN('BESS 11'!O26:O33,'BESS 11'!O35)</f>
        <v>0</v>
      </c>
      <c r="L9" s="116">
        <f t="shared" ref="L9:AQ9" si="13">K9+1</f>
        <v>1</v>
      </c>
      <c r="M9" s="116">
        <f t="shared" si="13"/>
        <v>2</v>
      </c>
      <c r="N9" s="116">
        <f t="shared" si="13"/>
        <v>3</v>
      </c>
      <c r="O9" s="116">
        <f t="shared" si="13"/>
        <v>4</v>
      </c>
      <c r="P9" s="116">
        <f t="shared" si="13"/>
        <v>5</v>
      </c>
      <c r="Q9" s="116">
        <f t="shared" si="13"/>
        <v>6</v>
      </c>
      <c r="R9" s="116">
        <f t="shared" si="13"/>
        <v>7</v>
      </c>
      <c r="S9" s="116">
        <f t="shared" si="13"/>
        <v>8</v>
      </c>
      <c r="T9" s="116">
        <f t="shared" si="13"/>
        <v>9</v>
      </c>
      <c r="U9" s="116">
        <f t="shared" si="13"/>
        <v>10</v>
      </c>
      <c r="V9" s="116">
        <f t="shared" si="13"/>
        <v>11</v>
      </c>
      <c r="W9" s="116">
        <f t="shared" si="13"/>
        <v>12</v>
      </c>
      <c r="X9" s="116">
        <f t="shared" si="13"/>
        <v>13</v>
      </c>
      <c r="Y9" s="116">
        <f t="shared" si="13"/>
        <v>14</v>
      </c>
      <c r="Z9" s="116">
        <f t="shared" si="13"/>
        <v>15</v>
      </c>
      <c r="AA9" s="116">
        <f t="shared" si="13"/>
        <v>16</v>
      </c>
      <c r="AB9" s="116">
        <f t="shared" si="13"/>
        <v>17</v>
      </c>
      <c r="AC9" s="116">
        <f t="shared" si="13"/>
        <v>18</v>
      </c>
      <c r="AD9" s="116">
        <f t="shared" si="13"/>
        <v>19</v>
      </c>
      <c r="AE9" s="116">
        <f t="shared" si="13"/>
        <v>20</v>
      </c>
      <c r="AF9" s="116">
        <f t="shared" si="13"/>
        <v>21</v>
      </c>
      <c r="AG9" s="116">
        <f t="shared" si="13"/>
        <v>22</v>
      </c>
      <c r="AH9" s="116">
        <f t="shared" si="13"/>
        <v>23</v>
      </c>
      <c r="AI9" s="116">
        <f t="shared" si="13"/>
        <v>24</v>
      </c>
      <c r="AJ9" s="116">
        <f t="shared" si="13"/>
        <v>25</v>
      </c>
      <c r="AK9" s="116">
        <f t="shared" si="13"/>
        <v>26</v>
      </c>
      <c r="AL9" s="116">
        <f t="shared" si="13"/>
        <v>27</v>
      </c>
      <c r="AM9" s="116">
        <f t="shared" si="13"/>
        <v>28</v>
      </c>
      <c r="AN9" s="116">
        <f t="shared" si="13"/>
        <v>29</v>
      </c>
      <c r="AO9" s="116">
        <f t="shared" si="13"/>
        <v>30</v>
      </c>
      <c r="AP9" s="116">
        <f t="shared" si="13"/>
        <v>31</v>
      </c>
      <c r="AQ9" s="116">
        <f t="shared" si="13"/>
        <v>32</v>
      </c>
      <c r="AR9" s="116">
        <f t="shared" ref="AR9:BW9" si="14">AQ9+1</f>
        <v>33</v>
      </c>
      <c r="AS9" s="116">
        <f t="shared" si="14"/>
        <v>34</v>
      </c>
      <c r="AT9" s="116">
        <f t="shared" si="14"/>
        <v>35</v>
      </c>
      <c r="AU9" s="116">
        <f t="shared" si="14"/>
        <v>36</v>
      </c>
      <c r="AV9" s="116">
        <f t="shared" si="14"/>
        <v>37</v>
      </c>
      <c r="AW9" s="116">
        <f t="shared" si="14"/>
        <v>38</v>
      </c>
      <c r="AX9" s="116">
        <f t="shared" si="14"/>
        <v>39</v>
      </c>
      <c r="AY9" s="116">
        <f t="shared" si="14"/>
        <v>40</v>
      </c>
      <c r="AZ9" s="116">
        <f t="shared" si="14"/>
        <v>41</v>
      </c>
      <c r="BA9" s="116">
        <f t="shared" si="14"/>
        <v>42</v>
      </c>
      <c r="BB9" s="116">
        <f t="shared" si="14"/>
        <v>43</v>
      </c>
      <c r="BC9" s="116">
        <f t="shared" si="14"/>
        <v>44</v>
      </c>
      <c r="BD9" s="116">
        <f t="shared" si="14"/>
        <v>45</v>
      </c>
      <c r="BE9" s="116">
        <f t="shared" si="14"/>
        <v>46</v>
      </c>
      <c r="BF9" s="116">
        <f t="shared" si="14"/>
        <v>47</v>
      </c>
      <c r="BG9" s="116">
        <f t="shared" si="14"/>
        <v>48</v>
      </c>
      <c r="BH9" s="116">
        <f t="shared" si="14"/>
        <v>49</v>
      </c>
      <c r="BI9" s="116">
        <f t="shared" si="14"/>
        <v>50</v>
      </c>
      <c r="BJ9" s="116">
        <f t="shared" si="14"/>
        <v>51</v>
      </c>
      <c r="BK9" s="116">
        <f t="shared" si="14"/>
        <v>52</v>
      </c>
      <c r="BL9" s="116">
        <f t="shared" si="14"/>
        <v>53</v>
      </c>
      <c r="BM9" s="116">
        <f t="shared" si="14"/>
        <v>54</v>
      </c>
      <c r="BN9" s="116">
        <f t="shared" si="14"/>
        <v>55</v>
      </c>
      <c r="BO9" s="116">
        <f t="shared" si="14"/>
        <v>56</v>
      </c>
      <c r="BP9" s="116">
        <f t="shared" si="14"/>
        <v>57</v>
      </c>
      <c r="BQ9" s="116">
        <f t="shared" si="14"/>
        <v>58</v>
      </c>
      <c r="BR9" s="116">
        <f t="shared" si="14"/>
        <v>59</v>
      </c>
      <c r="BS9" s="116">
        <f t="shared" si="14"/>
        <v>60</v>
      </c>
      <c r="BT9" s="116">
        <f t="shared" si="14"/>
        <v>61</v>
      </c>
      <c r="BU9" s="116">
        <f t="shared" si="14"/>
        <v>62</v>
      </c>
      <c r="BV9" s="116">
        <f t="shared" si="14"/>
        <v>63</v>
      </c>
      <c r="BW9" s="116">
        <f t="shared" si="14"/>
        <v>64</v>
      </c>
      <c r="BX9" s="116">
        <f t="shared" ref="BX9:CP9" si="15">BW9+1</f>
        <v>65</v>
      </c>
      <c r="BY9" s="116">
        <f t="shared" si="15"/>
        <v>66</v>
      </c>
      <c r="BZ9" s="116">
        <f t="shared" si="15"/>
        <v>67</v>
      </c>
      <c r="CA9" s="116">
        <f t="shared" si="15"/>
        <v>68</v>
      </c>
      <c r="CB9" s="116">
        <f t="shared" si="15"/>
        <v>69</v>
      </c>
      <c r="CC9" s="116">
        <f t="shared" si="15"/>
        <v>70</v>
      </c>
      <c r="CD9" s="116">
        <f t="shared" si="15"/>
        <v>71</v>
      </c>
      <c r="CE9" s="116">
        <f t="shared" si="15"/>
        <v>72</v>
      </c>
      <c r="CF9" s="116">
        <f t="shared" si="15"/>
        <v>73</v>
      </c>
      <c r="CG9" s="116">
        <f t="shared" si="15"/>
        <v>74</v>
      </c>
      <c r="CH9" s="116">
        <f t="shared" si="15"/>
        <v>75</v>
      </c>
      <c r="CI9" s="116">
        <f t="shared" si="15"/>
        <v>76</v>
      </c>
      <c r="CJ9" s="116">
        <f t="shared" si="15"/>
        <v>77</v>
      </c>
      <c r="CK9" s="116">
        <f t="shared" si="15"/>
        <v>78</v>
      </c>
      <c r="CL9" s="116">
        <f t="shared" si="15"/>
        <v>79</v>
      </c>
      <c r="CM9" s="116">
        <f t="shared" si="15"/>
        <v>80</v>
      </c>
      <c r="CN9" s="116">
        <f t="shared" si="15"/>
        <v>81</v>
      </c>
      <c r="CO9" s="116">
        <f t="shared" si="15"/>
        <v>82</v>
      </c>
      <c r="CP9" s="116">
        <f t="shared" si="15"/>
        <v>83</v>
      </c>
    </row>
    <row r="10" spans="1:203">
      <c r="A10" s="497"/>
      <c r="B10" s="459"/>
      <c r="C10" s="459"/>
      <c r="D10" s="467" t="str">
        <f>'BESS 12'!H96</f>
        <v>08 Aug
10 Aug</v>
      </c>
      <c r="E10" s="109" t="s">
        <v>64</v>
      </c>
      <c r="F10" s="102" t="e">
        <f>SUM('BESS 12'!S109:S116,'BESS 12'!S118)</f>
        <v>#VALUE!</v>
      </c>
      <c r="G10" s="101">
        <f>MAX('BESS 11'!O64:O71,'BESS 11'!O73)-MIN('BESS 11'!O64:O71,'BESS 11'!O73)+1</f>
        <v>1</v>
      </c>
      <c r="H10" s="110">
        <f>MIN('BESS 12'!O109:O116,'BESS 12'!O118)</f>
        <v>46229</v>
      </c>
      <c r="I10" s="101" t="str">
        <f t="shared" ref="I10:R13" si="16">IF(AND(I$1&gt;=$H10,I$1&lt;($H10+$G10)),ROUND($F10/$G10,0),"-")</f>
        <v>-</v>
      </c>
      <c r="J10" s="101" t="str">
        <f t="shared" si="16"/>
        <v>-</v>
      </c>
      <c r="K10" s="101" t="str">
        <f t="shared" si="16"/>
        <v>-</v>
      </c>
      <c r="L10" s="101" t="str">
        <f t="shared" si="16"/>
        <v>-</v>
      </c>
      <c r="M10" s="101" t="str">
        <f t="shared" si="16"/>
        <v>-</v>
      </c>
      <c r="N10" s="101" t="str">
        <f t="shared" si="16"/>
        <v>-</v>
      </c>
      <c r="O10" s="101" t="str">
        <f t="shared" si="16"/>
        <v>-</v>
      </c>
      <c r="P10" s="101" t="str">
        <f t="shared" si="16"/>
        <v>-</v>
      </c>
      <c r="Q10" s="101" t="str">
        <f t="shared" si="16"/>
        <v>-</v>
      </c>
      <c r="R10" s="101" t="str">
        <f t="shared" si="16"/>
        <v>-</v>
      </c>
      <c r="S10" s="101" t="str">
        <f t="shared" ref="S10:AB13" si="17">IF(AND(S$1&gt;=$H10,S$1&lt;($H10+$G10)),ROUND($F10/$G10,0),"-")</f>
        <v>-</v>
      </c>
      <c r="T10" s="101" t="str">
        <f t="shared" si="17"/>
        <v>-</v>
      </c>
      <c r="U10" s="101" t="str">
        <f t="shared" si="17"/>
        <v>-</v>
      </c>
      <c r="V10" s="101" t="str">
        <f t="shared" si="17"/>
        <v>-</v>
      </c>
      <c r="W10" s="101" t="str">
        <f t="shared" si="17"/>
        <v>-</v>
      </c>
      <c r="X10" s="101" t="str">
        <f t="shared" si="17"/>
        <v>-</v>
      </c>
      <c r="Y10" s="101" t="str">
        <f t="shared" si="17"/>
        <v>-</v>
      </c>
      <c r="Z10" s="101" t="str">
        <f t="shared" si="17"/>
        <v>-</v>
      </c>
      <c r="AA10" s="101" t="str">
        <f t="shared" si="17"/>
        <v>-</v>
      </c>
      <c r="AB10" s="101" t="str">
        <f t="shared" si="17"/>
        <v>-</v>
      </c>
      <c r="AC10" s="101" t="str">
        <f t="shared" ref="AC10:AL13" si="18">IF(AND(AC$1&gt;=$H10,AC$1&lt;($H10+$G10)),ROUND($F10/$G10,0),"-")</f>
        <v>-</v>
      </c>
      <c r="AD10" s="101" t="str">
        <f t="shared" si="18"/>
        <v>-</v>
      </c>
      <c r="AE10" s="101" t="str">
        <f t="shared" si="18"/>
        <v>-</v>
      </c>
      <c r="AF10" s="101" t="str">
        <f t="shared" si="18"/>
        <v>-</v>
      </c>
      <c r="AG10" s="101" t="str">
        <f t="shared" si="18"/>
        <v>-</v>
      </c>
      <c r="AH10" s="101" t="str">
        <f t="shared" si="18"/>
        <v>-</v>
      </c>
      <c r="AI10" s="101" t="str">
        <f t="shared" si="18"/>
        <v>-</v>
      </c>
      <c r="AJ10" s="101" t="str">
        <f t="shared" si="18"/>
        <v>-</v>
      </c>
      <c r="AK10" s="101" t="str">
        <f t="shared" si="18"/>
        <v>-</v>
      </c>
      <c r="AL10" s="101" t="str">
        <f t="shared" si="18"/>
        <v>-</v>
      </c>
      <c r="AM10" s="101" t="str">
        <f t="shared" ref="AM10:AV13" si="19">IF(AND(AM$1&gt;=$H10,AM$1&lt;($H10+$G10)),ROUND($F10/$G10,0),"-")</f>
        <v>-</v>
      </c>
      <c r="AN10" s="101" t="str">
        <f t="shared" si="19"/>
        <v>-</v>
      </c>
      <c r="AO10" s="101" t="str">
        <f t="shared" si="19"/>
        <v>-</v>
      </c>
      <c r="AP10" s="101" t="str">
        <f t="shared" si="19"/>
        <v>-</v>
      </c>
      <c r="AQ10" s="101" t="str">
        <f t="shared" si="19"/>
        <v>-</v>
      </c>
      <c r="AR10" s="101" t="str">
        <f t="shared" si="19"/>
        <v>-</v>
      </c>
      <c r="AS10" s="101" t="str">
        <f t="shared" si="19"/>
        <v>-</v>
      </c>
      <c r="AT10" s="101" t="str">
        <f t="shared" si="19"/>
        <v>-</v>
      </c>
      <c r="AU10" s="101" t="str">
        <f t="shared" si="19"/>
        <v>-</v>
      </c>
      <c r="AV10" s="101" t="str">
        <f t="shared" si="19"/>
        <v>-</v>
      </c>
      <c r="AW10" s="101" t="str">
        <f t="shared" ref="AW10:BF13" si="20">IF(AND(AW$1&gt;=$H10,AW$1&lt;($H10+$G10)),ROUND($F10/$G10,0),"-")</f>
        <v>-</v>
      </c>
      <c r="AX10" s="101" t="str">
        <f t="shared" si="20"/>
        <v>-</v>
      </c>
      <c r="AY10" s="101" t="str">
        <f t="shared" si="20"/>
        <v>-</v>
      </c>
      <c r="AZ10" s="101" t="str">
        <f t="shared" si="20"/>
        <v>-</v>
      </c>
      <c r="BA10" s="101" t="str">
        <f t="shared" si="20"/>
        <v>-</v>
      </c>
      <c r="BB10" s="101" t="str">
        <f t="shared" si="20"/>
        <v>-</v>
      </c>
      <c r="BC10" s="101" t="str">
        <f t="shared" si="20"/>
        <v>-</v>
      </c>
      <c r="BD10" s="101" t="str">
        <f t="shared" si="20"/>
        <v>-</v>
      </c>
      <c r="BE10" s="101" t="str">
        <f t="shared" si="20"/>
        <v>-</v>
      </c>
      <c r="BF10" s="101" t="str">
        <f t="shared" si="20"/>
        <v>-</v>
      </c>
      <c r="BG10" s="101" t="str">
        <f t="shared" ref="BG10:BP13" si="21">IF(AND(BG$1&gt;=$H10,BG$1&lt;($H10+$G10)),ROUND($F10/$G10,0),"-")</f>
        <v>-</v>
      </c>
      <c r="BH10" s="101" t="str">
        <f t="shared" si="21"/>
        <v>-</v>
      </c>
      <c r="BI10" s="101" t="str">
        <f t="shared" si="21"/>
        <v>-</v>
      </c>
      <c r="BJ10" s="101" t="str">
        <f t="shared" si="21"/>
        <v>-</v>
      </c>
      <c r="BK10" s="101" t="str">
        <f t="shared" si="21"/>
        <v>-</v>
      </c>
      <c r="BL10" s="101" t="str">
        <f t="shared" si="21"/>
        <v>-</v>
      </c>
      <c r="BM10" s="101" t="str">
        <f t="shared" si="21"/>
        <v>-</v>
      </c>
      <c r="BN10" s="101" t="str">
        <f t="shared" si="21"/>
        <v>-</v>
      </c>
      <c r="BO10" s="101" t="str">
        <f t="shared" si="21"/>
        <v>-</v>
      </c>
      <c r="BP10" s="101" t="str">
        <f t="shared" si="21"/>
        <v>-</v>
      </c>
      <c r="BQ10" s="101" t="str">
        <f t="shared" ref="BQ10:BZ13" si="22">IF(AND(BQ$1&gt;=$H10,BQ$1&lt;($H10+$G10)),ROUND($F10/$G10,0),"-")</f>
        <v>-</v>
      </c>
      <c r="BR10" s="101" t="str">
        <f t="shared" si="22"/>
        <v>-</v>
      </c>
      <c r="BS10" s="101" t="str">
        <f t="shared" si="22"/>
        <v>-</v>
      </c>
      <c r="BT10" s="101" t="str">
        <f t="shared" si="22"/>
        <v>-</v>
      </c>
      <c r="BU10" s="101" t="str">
        <f t="shared" si="22"/>
        <v>-</v>
      </c>
      <c r="BV10" s="101" t="str">
        <f t="shared" si="22"/>
        <v>-</v>
      </c>
      <c r="BW10" s="101" t="str">
        <f t="shared" si="22"/>
        <v>-</v>
      </c>
      <c r="BX10" s="101" t="str">
        <f t="shared" si="22"/>
        <v>-</v>
      </c>
      <c r="BY10" s="101" t="str">
        <f t="shared" si="22"/>
        <v>-</v>
      </c>
      <c r="BZ10" s="101" t="str">
        <f t="shared" si="22"/>
        <v>-</v>
      </c>
      <c r="CA10" s="101" t="str">
        <f t="shared" ref="CA10:CJ13" si="23">IF(AND(CA$1&gt;=$H10,CA$1&lt;($H10+$G10)),ROUND($F10/$G10,0),"-")</f>
        <v>-</v>
      </c>
      <c r="CB10" s="101" t="str">
        <f t="shared" si="23"/>
        <v>-</v>
      </c>
      <c r="CC10" s="101" t="str">
        <f t="shared" si="23"/>
        <v>-</v>
      </c>
      <c r="CD10" s="101" t="str">
        <f t="shared" si="23"/>
        <v>-</v>
      </c>
      <c r="CE10" s="101" t="str">
        <f t="shared" si="23"/>
        <v>-</v>
      </c>
      <c r="CF10" s="101" t="str">
        <f t="shared" si="23"/>
        <v>-</v>
      </c>
      <c r="CG10" s="101" t="str">
        <f t="shared" si="23"/>
        <v>-</v>
      </c>
      <c r="CH10" s="101" t="str">
        <f t="shared" si="23"/>
        <v>-</v>
      </c>
      <c r="CI10" s="101" t="str">
        <f t="shared" si="23"/>
        <v>-</v>
      </c>
      <c r="CJ10" s="101" t="str">
        <f t="shared" si="23"/>
        <v>-</v>
      </c>
      <c r="CK10" s="101" t="str">
        <f t="shared" ref="CK10:CP13" si="24">IF(AND(CK$1&gt;=$H10,CK$1&lt;($H10+$G10)),ROUND($F10/$G10,0),"-")</f>
        <v>-</v>
      </c>
      <c r="CL10" s="101" t="str">
        <f t="shared" si="24"/>
        <v>-</v>
      </c>
      <c r="CM10" s="101" t="str">
        <f t="shared" si="24"/>
        <v>-</v>
      </c>
      <c r="CN10" s="101" t="str">
        <f t="shared" si="24"/>
        <v>-</v>
      </c>
      <c r="CO10" s="101" t="str">
        <f t="shared" si="24"/>
        <v>-</v>
      </c>
      <c r="CP10" s="101" t="str">
        <f t="shared" si="24"/>
        <v>-</v>
      </c>
    </row>
    <row r="11" spans="1:203">
      <c r="A11" s="497"/>
      <c r="B11" s="459"/>
      <c r="C11" s="459"/>
      <c r="D11" s="466"/>
      <c r="E11" s="109" t="s">
        <v>65</v>
      </c>
      <c r="F11" s="102" t="e">
        <f>SUM('BESS 12'!S119,'BESS 12'!S121:S122,'BESS 12'!S125:S127)</f>
        <v>#VALUE!</v>
      </c>
      <c r="G11" s="102">
        <f>MAX('BESS 12'!O119,'BESS 12'!O121:O122,'BESS 12'!O125:O127)-MIN('BESS 12'!O119,'BESS 12'!O121:O122,'BESS 12'!O125:O127)+1</f>
        <v>1</v>
      </c>
      <c r="H11" s="110">
        <f>MIN('BESS 12'!O119,'BESS 12'!O121:O122,'BESS 12'!O125:O127)</f>
        <v>46233</v>
      </c>
      <c r="I11" s="101" t="str">
        <f t="shared" si="16"/>
        <v>-</v>
      </c>
      <c r="J11" s="101" t="str">
        <f t="shared" si="16"/>
        <v>-</v>
      </c>
      <c r="K11" s="101" t="str">
        <f t="shared" si="16"/>
        <v>-</v>
      </c>
      <c r="L11" s="101" t="str">
        <f t="shared" si="16"/>
        <v>-</v>
      </c>
      <c r="M11" s="101" t="str">
        <f t="shared" si="16"/>
        <v>-</v>
      </c>
      <c r="N11" s="101" t="str">
        <f t="shared" si="16"/>
        <v>-</v>
      </c>
      <c r="O11" s="101" t="str">
        <f t="shared" si="16"/>
        <v>-</v>
      </c>
      <c r="P11" s="101" t="str">
        <f t="shared" si="16"/>
        <v>-</v>
      </c>
      <c r="Q11" s="101" t="str">
        <f t="shared" si="16"/>
        <v>-</v>
      </c>
      <c r="R11" s="101" t="str">
        <f t="shared" si="16"/>
        <v>-</v>
      </c>
      <c r="S11" s="101" t="str">
        <f t="shared" si="17"/>
        <v>-</v>
      </c>
      <c r="T11" s="101" t="str">
        <f t="shared" si="17"/>
        <v>-</v>
      </c>
      <c r="U11" s="101" t="str">
        <f t="shared" si="17"/>
        <v>-</v>
      </c>
      <c r="V11" s="101" t="str">
        <f t="shared" si="17"/>
        <v>-</v>
      </c>
      <c r="W11" s="101" t="str">
        <f t="shared" si="17"/>
        <v>-</v>
      </c>
      <c r="X11" s="101" t="str">
        <f t="shared" si="17"/>
        <v>-</v>
      </c>
      <c r="Y11" s="101" t="str">
        <f t="shared" si="17"/>
        <v>-</v>
      </c>
      <c r="Z11" s="101" t="str">
        <f t="shared" si="17"/>
        <v>-</v>
      </c>
      <c r="AA11" s="101" t="str">
        <f t="shared" si="17"/>
        <v>-</v>
      </c>
      <c r="AB11" s="101" t="str">
        <f t="shared" si="17"/>
        <v>-</v>
      </c>
      <c r="AC11" s="101" t="str">
        <f t="shared" si="18"/>
        <v>-</v>
      </c>
      <c r="AD11" s="101" t="str">
        <f t="shared" si="18"/>
        <v>-</v>
      </c>
      <c r="AE11" s="101" t="str">
        <f t="shared" si="18"/>
        <v>-</v>
      </c>
      <c r="AF11" s="101" t="str">
        <f t="shared" si="18"/>
        <v>-</v>
      </c>
      <c r="AG11" s="101" t="str">
        <f t="shared" si="18"/>
        <v>-</v>
      </c>
      <c r="AH11" s="101" t="str">
        <f t="shared" si="18"/>
        <v>-</v>
      </c>
      <c r="AI11" s="101" t="str">
        <f t="shared" si="18"/>
        <v>-</v>
      </c>
      <c r="AJ11" s="101" t="str">
        <f t="shared" si="18"/>
        <v>-</v>
      </c>
      <c r="AK11" s="101" t="str">
        <f t="shared" si="18"/>
        <v>-</v>
      </c>
      <c r="AL11" s="101" t="str">
        <f t="shared" si="18"/>
        <v>-</v>
      </c>
      <c r="AM11" s="101" t="str">
        <f t="shared" si="19"/>
        <v>-</v>
      </c>
      <c r="AN11" s="101" t="str">
        <f t="shared" si="19"/>
        <v>-</v>
      </c>
      <c r="AO11" s="101" t="str">
        <f t="shared" si="19"/>
        <v>-</v>
      </c>
      <c r="AP11" s="101" t="str">
        <f t="shared" si="19"/>
        <v>-</v>
      </c>
      <c r="AQ11" s="101" t="str">
        <f t="shared" si="19"/>
        <v>-</v>
      </c>
      <c r="AR11" s="101" t="str">
        <f t="shared" si="19"/>
        <v>-</v>
      </c>
      <c r="AS11" s="101" t="str">
        <f t="shared" si="19"/>
        <v>-</v>
      </c>
      <c r="AT11" s="101" t="str">
        <f t="shared" si="19"/>
        <v>-</v>
      </c>
      <c r="AU11" s="101" t="str">
        <f t="shared" si="19"/>
        <v>-</v>
      </c>
      <c r="AV11" s="101" t="str">
        <f t="shared" si="19"/>
        <v>-</v>
      </c>
      <c r="AW11" s="101" t="str">
        <f t="shared" si="20"/>
        <v>-</v>
      </c>
      <c r="AX11" s="101" t="str">
        <f t="shared" si="20"/>
        <v>-</v>
      </c>
      <c r="AY11" s="101" t="str">
        <f t="shared" si="20"/>
        <v>-</v>
      </c>
      <c r="AZ11" s="101" t="str">
        <f t="shared" si="20"/>
        <v>-</v>
      </c>
      <c r="BA11" s="101" t="str">
        <f t="shared" si="20"/>
        <v>-</v>
      </c>
      <c r="BB11" s="101" t="str">
        <f t="shared" si="20"/>
        <v>-</v>
      </c>
      <c r="BC11" s="101" t="str">
        <f t="shared" si="20"/>
        <v>-</v>
      </c>
      <c r="BD11" s="101" t="str">
        <f t="shared" si="20"/>
        <v>-</v>
      </c>
      <c r="BE11" s="101" t="str">
        <f t="shared" si="20"/>
        <v>-</v>
      </c>
      <c r="BF11" s="101" t="str">
        <f t="shared" si="20"/>
        <v>-</v>
      </c>
      <c r="BG11" s="101" t="str">
        <f t="shared" si="21"/>
        <v>-</v>
      </c>
      <c r="BH11" s="101" t="str">
        <f t="shared" si="21"/>
        <v>-</v>
      </c>
      <c r="BI11" s="101" t="str">
        <f t="shared" si="21"/>
        <v>-</v>
      </c>
      <c r="BJ11" s="101" t="str">
        <f t="shared" si="21"/>
        <v>-</v>
      </c>
      <c r="BK11" s="101" t="str">
        <f t="shared" si="21"/>
        <v>-</v>
      </c>
      <c r="BL11" s="101" t="str">
        <f t="shared" si="21"/>
        <v>-</v>
      </c>
      <c r="BM11" s="101" t="str">
        <f t="shared" si="21"/>
        <v>-</v>
      </c>
      <c r="BN11" s="101" t="str">
        <f t="shared" si="21"/>
        <v>-</v>
      </c>
      <c r="BO11" s="101" t="str">
        <f t="shared" si="21"/>
        <v>-</v>
      </c>
      <c r="BP11" s="101" t="str">
        <f t="shared" si="21"/>
        <v>-</v>
      </c>
      <c r="BQ11" s="101" t="str">
        <f t="shared" si="22"/>
        <v>-</v>
      </c>
      <c r="BR11" s="101" t="str">
        <f t="shared" si="22"/>
        <v>-</v>
      </c>
      <c r="BS11" s="101" t="str">
        <f t="shared" si="22"/>
        <v>-</v>
      </c>
      <c r="BT11" s="101" t="str">
        <f t="shared" si="22"/>
        <v>-</v>
      </c>
      <c r="BU11" s="101" t="str">
        <f t="shared" si="22"/>
        <v>-</v>
      </c>
      <c r="BV11" s="101" t="str">
        <f t="shared" si="22"/>
        <v>-</v>
      </c>
      <c r="BW11" s="101" t="str">
        <f t="shared" si="22"/>
        <v>-</v>
      </c>
      <c r="BX11" s="101" t="str">
        <f t="shared" si="22"/>
        <v>-</v>
      </c>
      <c r="BY11" s="101" t="str">
        <f t="shared" si="22"/>
        <v>-</v>
      </c>
      <c r="BZ11" s="101" t="str">
        <f t="shared" si="22"/>
        <v>-</v>
      </c>
      <c r="CA11" s="101" t="str">
        <f t="shared" si="23"/>
        <v>-</v>
      </c>
      <c r="CB11" s="101" t="str">
        <f t="shared" si="23"/>
        <v>-</v>
      </c>
      <c r="CC11" s="101" t="str">
        <f t="shared" si="23"/>
        <v>-</v>
      </c>
      <c r="CD11" s="101" t="str">
        <f t="shared" si="23"/>
        <v>-</v>
      </c>
      <c r="CE11" s="101" t="str">
        <f t="shared" si="23"/>
        <v>-</v>
      </c>
      <c r="CF11" s="101" t="str">
        <f t="shared" si="23"/>
        <v>-</v>
      </c>
      <c r="CG11" s="101" t="str">
        <f t="shared" si="23"/>
        <v>-</v>
      </c>
      <c r="CH11" s="101" t="str">
        <f t="shared" si="23"/>
        <v>-</v>
      </c>
      <c r="CI11" s="101" t="str">
        <f t="shared" si="23"/>
        <v>-</v>
      </c>
      <c r="CJ11" s="101" t="str">
        <f t="shared" si="23"/>
        <v>-</v>
      </c>
      <c r="CK11" s="101" t="str">
        <f t="shared" si="24"/>
        <v>-</v>
      </c>
      <c r="CL11" s="101" t="str">
        <f t="shared" si="24"/>
        <v>-</v>
      </c>
      <c r="CM11" s="101" t="str">
        <f t="shared" si="24"/>
        <v>-</v>
      </c>
      <c r="CN11" s="101" t="str">
        <f t="shared" si="24"/>
        <v>-</v>
      </c>
      <c r="CO11" s="101" t="str">
        <f t="shared" si="24"/>
        <v>-</v>
      </c>
      <c r="CP11" s="101" t="str">
        <f t="shared" si="24"/>
        <v>-</v>
      </c>
    </row>
    <row r="12" spans="1:203">
      <c r="A12" s="497"/>
      <c r="B12" s="459"/>
      <c r="C12" s="459"/>
      <c r="D12" s="466"/>
      <c r="E12" s="109" t="s">
        <v>66</v>
      </c>
      <c r="F12" s="102" t="e">
        <f>SUM('BESS 12'!S120,'BESS 12'!S123:S124,'BESS 12'!S128:S129)</f>
        <v>#VALUE!</v>
      </c>
      <c r="G12" s="102">
        <f>MAX('BESS 12'!O120,'BESS 12'!O123:O124,'BESS 12'!O128:O129)-MIN('BESS 12'!O120,'BESS 12'!O123:O124,'BESS 12'!O128:O129)+1</f>
        <v>32</v>
      </c>
      <c r="H12" s="110">
        <f>MIN('BESS 12'!O120,'BESS 12'!O123:O124,'BESS 12'!O128:O129)</f>
        <v>46234</v>
      </c>
      <c r="I12" s="101" t="str">
        <f t="shared" si="16"/>
        <v>-</v>
      </c>
      <c r="J12" s="101" t="str">
        <f t="shared" si="16"/>
        <v>-</v>
      </c>
      <c r="K12" s="101" t="str">
        <f t="shared" si="16"/>
        <v>-</v>
      </c>
      <c r="L12" s="101" t="str">
        <f t="shared" si="16"/>
        <v>-</v>
      </c>
      <c r="M12" s="101" t="str">
        <f t="shared" si="16"/>
        <v>-</v>
      </c>
      <c r="N12" s="101" t="str">
        <f t="shared" si="16"/>
        <v>-</v>
      </c>
      <c r="O12" s="101" t="str">
        <f t="shared" si="16"/>
        <v>-</v>
      </c>
      <c r="P12" s="101" t="str">
        <f t="shared" si="16"/>
        <v>-</v>
      </c>
      <c r="Q12" s="101" t="str">
        <f t="shared" si="16"/>
        <v>-</v>
      </c>
      <c r="R12" s="101" t="str">
        <f t="shared" si="16"/>
        <v>-</v>
      </c>
      <c r="S12" s="101" t="str">
        <f t="shared" si="17"/>
        <v>-</v>
      </c>
      <c r="T12" s="101" t="str">
        <f t="shared" si="17"/>
        <v>-</v>
      </c>
      <c r="U12" s="101" t="str">
        <f t="shared" si="17"/>
        <v>-</v>
      </c>
      <c r="V12" s="101" t="str">
        <f t="shared" si="17"/>
        <v>-</v>
      </c>
      <c r="W12" s="101" t="str">
        <f t="shared" si="17"/>
        <v>-</v>
      </c>
      <c r="X12" s="101" t="str">
        <f t="shared" si="17"/>
        <v>-</v>
      </c>
      <c r="Y12" s="101" t="str">
        <f t="shared" si="17"/>
        <v>-</v>
      </c>
      <c r="Z12" s="101" t="str">
        <f t="shared" si="17"/>
        <v>-</v>
      </c>
      <c r="AA12" s="101" t="str">
        <f t="shared" si="17"/>
        <v>-</v>
      </c>
      <c r="AB12" s="101" t="str">
        <f t="shared" si="17"/>
        <v>-</v>
      </c>
      <c r="AC12" s="101" t="str">
        <f t="shared" si="18"/>
        <v>-</v>
      </c>
      <c r="AD12" s="101" t="str">
        <f t="shared" si="18"/>
        <v>-</v>
      </c>
      <c r="AE12" s="101" t="str">
        <f t="shared" si="18"/>
        <v>-</v>
      </c>
      <c r="AF12" s="101" t="str">
        <f t="shared" si="18"/>
        <v>-</v>
      </c>
      <c r="AG12" s="101" t="str">
        <f t="shared" si="18"/>
        <v>-</v>
      </c>
      <c r="AH12" s="101" t="str">
        <f t="shared" si="18"/>
        <v>-</v>
      </c>
      <c r="AI12" s="101" t="str">
        <f t="shared" si="18"/>
        <v>-</v>
      </c>
      <c r="AJ12" s="101" t="str">
        <f t="shared" si="18"/>
        <v>-</v>
      </c>
      <c r="AK12" s="101" t="str">
        <f t="shared" si="18"/>
        <v>-</v>
      </c>
      <c r="AL12" s="101" t="str">
        <f t="shared" si="18"/>
        <v>-</v>
      </c>
      <c r="AM12" s="101" t="str">
        <f t="shared" si="19"/>
        <v>-</v>
      </c>
      <c r="AN12" s="101" t="str">
        <f t="shared" si="19"/>
        <v>-</v>
      </c>
      <c r="AO12" s="101" t="str">
        <f t="shared" si="19"/>
        <v>-</v>
      </c>
      <c r="AP12" s="101" t="str">
        <f t="shared" si="19"/>
        <v>-</v>
      </c>
      <c r="AQ12" s="101" t="str">
        <f t="shared" si="19"/>
        <v>-</v>
      </c>
      <c r="AR12" s="101" t="str">
        <f t="shared" si="19"/>
        <v>-</v>
      </c>
      <c r="AS12" s="101" t="str">
        <f t="shared" si="19"/>
        <v>-</v>
      </c>
      <c r="AT12" s="101" t="str">
        <f t="shared" si="19"/>
        <v>-</v>
      </c>
      <c r="AU12" s="101" t="str">
        <f t="shared" si="19"/>
        <v>-</v>
      </c>
      <c r="AV12" s="101" t="str">
        <f t="shared" si="19"/>
        <v>-</v>
      </c>
      <c r="AW12" s="101" t="str">
        <f t="shared" si="20"/>
        <v>-</v>
      </c>
      <c r="AX12" s="101" t="str">
        <f t="shared" si="20"/>
        <v>-</v>
      </c>
      <c r="AY12" s="101" t="str">
        <f t="shared" si="20"/>
        <v>-</v>
      </c>
      <c r="AZ12" s="101" t="str">
        <f t="shared" si="20"/>
        <v>-</v>
      </c>
      <c r="BA12" s="101" t="str">
        <f t="shared" si="20"/>
        <v>-</v>
      </c>
      <c r="BB12" s="101" t="str">
        <f t="shared" si="20"/>
        <v>-</v>
      </c>
      <c r="BC12" s="101" t="str">
        <f t="shared" si="20"/>
        <v>-</v>
      </c>
      <c r="BD12" s="101" t="str">
        <f t="shared" si="20"/>
        <v>-</v>
      </c>
      <c r="BE12" s="101" t="str">
        <f t="shared" si="20"/>
        <v>-</v>
      </c>
      <c r="BF12" s="101" t="str">
        <f t="shared" si="20"/>
        <v>-</v>
      </c>
      <c r="BG12" s="101" t="str">
        <f t="shared" si="21"/>
        <v>-</v>
      </c>
      <c r="BH12" s="101" t="str">
        <f t="shared" si="21"/>
        <v>-</v>
      </c>
      <c r="BI12" s="101" t="str">
        <f t="shared" si="21"/>
        <v>-</v>
      </c>
      <c r="BJ12" s="101" t="str">
        <f t="shared" si="21"/>
        <v>-</v>
      </c>
      <c r="BK12" s="101" t="str">
        <f t="shared" si="21"/>
        <v>-</v>
      </c>
      <c r="BL12" s="101" t="str">
        <f t="shared" si="21"/>
        <v>-</v>
      </c>
      <c r="BM12" s="101" t="str">
        <f t="shared" si="21"/>
        <v>-</v>
      </c>
      <c r="BN12" s="101" t="str">
        <f t="shared" si="21"/>
        <v>-</v>
      </c>
      <c r="BO12" s="101" t="str">
        <f t="shared" si="21"/>
        <v>-</v>
      </c>
      <c r="BP12" s="101" t="str">
        <f t="shared" si="21"/>
        <v>-</v>
      </c>
      <c r="BQ12" s="101" t="str">
        <f t="shared" si="22"/>
        <v>-</v>
      </c>
      <c r="BR12" s="101" t="str">
        <f t="shared" si="22"/>
        <v>-</v>
      </c>
      <c r="BS12" s="101" t="str">
        <f t="shared" si="22"/>
        <v>-</v>
      </c>
      <c r="BT12" s="101" t="str">
        <f t="shared" si="22"/>
        <v>-</v>
      </c>
      <c r="BU12" s="101" t="str">
        <f t="shared" si="22"/>
        <v>-</v>
      </c>
      <c r="BV12" s="101" t="str">
        <f t="shared" si="22"/>
        <v>-</v>
      </c>
      <c r="BW12" s="101" t="str">
        <f t="shared" si="22"/>
        <v>-</v>
      </c>
      <c r="BX12" s="101" t="str">
        <f t="shared" si="22"/>
        <v>-</v>
      </c>
      <c r="BY12" s="101" t="str">
        <f t="shared" si="22"/>
        <v>-</v>
      </c>
      <c r="BZ12" s="101" t="str">
        <f t="shared" si="22"/>
        <v>-</v>
      </c>
      <c r="CA12" s="101" t="str">
        <f t="shared" si="23"/>
        <v>-</v>
      </c>
      <c r="CB12" s="101" t="str">
        <f t="shared" si="23"/>
        <v>-</v>
      </c>
      <c r="CC12" s="101" t="str">
        <f t="shared" si="23"/>
        <v>-</v>
      </c>
      <c r="CD12" s="101" t="str">
        <f t="shared" si="23"/>
        <v>-</v>
      </c>
      <c r="CE12" s="101" t="str">
        <f t="shared" si="23"/>
        <v>-</v>
      </c>
      <c r="CF12" s="101" t="str">
        <f t="shared" si="23"/>
        <v>-</v>
      </c>
      <c r="CG12" s="101" t="str">
        <f t="shared" si="23"/>
        <v>-</v>
      </c>
      <c r="CH12" s="101" t="str">
        <f t="shared" si="23"/>
        <v>-</v>
      </c>
      <c r="CI12" s="101" t="str">
        <f t="shared" si="23"/>
        <v>-</v>
      </c>
      <c r="CJ12" s="101" t="str">
        <f t="shared" si="23"/>
        <v>-</v>
      </c>
      <c r="CK12" s="101" t="str">
        <f t="shared" si="24"/>
        <v>-</v>
      </c>
      <c r="CL12" s="101" t="str">
        <f t="shared" si="24"/>
        <v>-</v>
      </c>
      <c r="CM12" s="101" t="str">
        <f t="shared" si="24"/>
        <v>-</v>
      </c>
      <c r="CN12" s="101" t="str">
        <f t="shared" si="24"/>
        <v>-</v>
      </c>
      <c r="CO12" s="101" t="str">
        <f t="shared" si="24"/>
        <v>-</v>
      </c>
      <c r="CP12" s="101" t="str">
        <f t="shared" si="24"/>
        <v>-</v>
      </c>
    </row>
    <row r="13" spans="1:203">
      <c r="A13" s="497"/>
      <c r="B13" s="459"/>
      <c r="C13" s="459"/>
      <c r="D13" s="466"/>
      <c r="E13" s="109" t="s">
        <v>67</v>
      </c>
      <c r="F13" s="102" t="e">
        <f>SUM('BESS 12'!S133:S140)</f>
        <v>#VALUE!</v>
      </c>
      <c r="G13" s="101">
        <f>MAX('BESS 11'!O87:O95)-MIN('BESS 11'!O87:O95)+1</f>
        <v>5</v>
      </c>
      <c r="H13" s="110">
        <f>MIN('BESS 12'!O133:O140)</f>
        <v>46235</v>
      </c>
      <c r="I13" s="101" t="str">
        <f t="shared" si="16"/>
        <v>-</v>
      </c>
      <c r="J13" s="101" t="str">
        <f t="shared" si="16"/>
        <v>-</v>
      </c>
      <c r="K13" s="101" t="str">
        <f t="shared" si="16"/>
        <v>-</v>
      </c>
      <c r="L13" s="101" t="str">
        <f t="shared" si="16"/>
        <v>-</v>
      </c>
      <c r="M13" s="101" t="str">
        <f t="shared" si="16"/>
        <v>-</v>
      </c>
      <c r="N13" s="101" t="str">
        <f t="shared" si="16"/>
        <v>-</v>
      </c>
      <c r="O13" s="101" t="str">
        <f t="shared" si="16"/>
        <v>-</v>
      </c>
      <c r="P13" s="101" t="str">
        <f t="shared" si="16"/>
        <v>-</v>
      </c>
      <c r="Q13" s="101" t="str">
        <f t="shared" si="16"/>
        <v>-</v>
      </c>
      <c r="R13" s="101" t="str">
        <f t="shared" si="16"/>
        <v>-</v>
      </c>
      <c r="S13" s="101" t="str">
        <f t="shared" si="17"/>
        <v>-</v>
      </c>
      <c r="T13" s="101" t="str">
        <f t="shared" si="17"/>
        <v>-</v>
      </c>
      <c r="U13" s="101" t="str">
        <f t="shared" si="17"/>
        <v>-</v>
      </c>
      <c r="V13" s="101" t="str">
        <f t="shared" si="17"/>
        <v>-</v>
      </c>
      <c r="W13" s="101" t="str">
        <f t="shared" si="17"/>
        <v>-</v>
      </c>
      <c r="X13" s="101" t="str">
        <f t="shared" si="17"/>
        <v>-</v>
      </c>
      <c r="Y13" s="101" t="str">
        <f t="shared" si="17"/>
        <v>-</v>
      </c>
      <c r="Z13" s="101" t="str">
        <f t="shared" si="17"/>
        <v>-</v>
      </c>
      <c r="AA13" s="101" t="str">
        <f t="shared" si="17"/>
        <v>-</v>
      </c>
      <c r="AB13" s="101" t="str">
        <f t="shared" si="17"/>
        <v>-</v>
      </c>
      <c r="AC13" s="101" t="str">
        <f t="shared" si="18"/>
        <v>-</v>
      </c>
      <c r="AD13" s="101" t="str">
        <f t="shared" si="18"/>
        <v>-</v>
      </c>
      <c r="AE13" s="101" t="str">
        <f t="shared" si="18"/>
        <v>-</v>
      </c>
      <c r="AF13" s="101" t="str">
        <f t="shared" si="18"/>
        <v>-</v>
      </c>
      <c r="AG13" s="101" t="str">
        <f t="shared" si="18"/>
        <v>-</v>
      </c>
      <c r="AH13" s="101" t="str">
        <f t="shared" si="18"/>
        <v>-</v>
      </c>
      <c r="AI13" s="101" t="str">
        <f t="shared" si="18"/>
        <v>-</v>
      </c>
      <c r="AJ13" s="101" t="str">
        <f t="shared" si="18"/>
        <v>-</v>
      </c>
      <c r="AK13" s="101" t="str">
        <f t="shared" si="18"/>
        <v>-</v>
      </c>
      <c r="AL13" s="101" t="str">
        <f t="shared" si="18"/>
        <v>-</v>
      </c>
      <c r="AM13" s="101" t="str">
        <f t="shared" si="19"/>
        <v>-</v>
      </c>
      <c r="AN13" s="101" t="str">
        <f t="shared" si="19"/>
        <v>-</v>
      </c>
      <c r="AO13" s="101" t="str">
        <f t="shared" si="19"/>
        <v>-</v>
      </c>
      <c r="AP13" s="101" t="str">
        <f t="shared" si="19"/>
        <v>-</v>
      </c>
      <c r="AQ13" s="101" t="str">
        <f t="shared" si="19"/>
        <v>-</v>
      </c>
      <c r="AR13" s="101" t="str">
        <f t="shared" si="19"/>
        <v>-</v>
      </c>
      <c r="AS13" s="101" t="str">
        <f t="shared" si="19"/>
        <v>-</v>
      </c>
      <c r="AT13" s="101" t="str">
        <f t="shared" si="19"/>
        <v>-</v>
      </c>
      <c r="AU13" s="101" t="str">
        <f t="shared" si="19"/>
        <v>-</v>
      </c>
      <c r="AV13" s="101" t="str">
        <f t="shared" si="19"/>
        <v>-</v>
      </c>
      <c r="AW13" s="101" t="str">
        <f t="shared" si="20"/>
        <v>-</v>
      </c>
      <c r="AX13" s="101" t="str">
        <f t="shared" si="20"/>
        <v>-</v>
      </c>
      <c r="AY13" s="101" t="str">
        <f t="shared" si="20"/>
        <v>-</v>
      </c>
      <c r="AZ13" s="101" t="str">
        <f t="shared" si="20"/>
        <v>-</v>
      </c>
      <c r="BA13" s="101" t="str">
        <f t="shared" si="20"/>
        <v>-</v>
      </c>
      <c r="BB13" s="101" t="str">
        <f t="shared" si="20"/>
        <v>-</v>
      </c>
      <c r="BC13" s="101" t="str">
        <f t="shared" si="20"/>
        <v>-</v>
      </c>
      <c r="BD13" s="101" t="str">
        <f t="shared" si="20"/>
        <v>-</v>
      </c>
      <c r="BE13" s="101" t="str">
        <f t="shared" si="20"/>
        <v>-</v>
      </c>
      <c r="BF13" s="101" t="str">
        <f t="shared" si="20"/>
        <v>-</v>
      </c>
      <c r="BG13" s="101" t="str">
        <f t="shared" si="21"/>
        <v>-</v>
      </c>
      <c r="BH13" s="101" t="str">
        <f t="shared" si="21"/>
        <v>-</v>
      </c>
      <c r="BI13" s="101" t="str">
        <f t="shared" si="21"/>
        <v>-</v>
      </c>
      <c r="BJ13" s="101" t="str">
        <f t="shared" si="21"/>
        <v>-</v>
      </c>
      <c r="BK13" s="101" t="str">
        <f t="shared" si="21"/>
        <v>-</v>
      </c>
      <c r="BL13" s="101" t="str">
        <f t="shared" si="21"/>
        <v>-</v>
      </c>
      <c r="BM13" s="101" t="str">
        <f t="shared" si="21"/>
        <v>-</v>
      </c>
      <c r="BN13" s="101" t="str">
        <f t="shared" si="21"/>
        <v>-</v>
      </c>
      <c r="BO13" s="101" t="str">
        <f t="shared" si="21"/>
        <v>-</v>
      </c>
      <c r="BP13" s="101" t="str">
        <f t="shared" si="21"/>
        <v>-</v>
      </c>
      <c r="BQ13" s="101" t="str">
        <f t="shared" si="22"/>
        <v>-</v>
      </c>
      <c r="BR13" s="101" t="str">
        <f t="shared" si="22"/>
        <v>-</v>
      </c>
      <c r="BS13" s="101" t="str">
        <f t="shared" si="22"/>
        <v>-</v>
      </c>
      <c r="BT13" s="101" t="str">
        <f t="shared" si="22"/>
        <v>-</v>
      </c>
      <c r="BU13" s="101" t="str">
        <f t="shared" si="22"/>
        <v>-</v>
      </c>
      <c r="BV13" s="101" t="str">
        <f t="shared" si="22"/>
        <v>-</v>
      </c>
      <c r="BW13" s="101" t="str">
        <f t="shared" si="22"/>
        <v>-</v>
      </c>
      <c r="BX13" s="101" t="str">
        <f t="shared" si="22"/>
        <v>-</v>
      </c>
      <c r="BY13" s="101" t="str">
        <f t="shared" si="22"/>
        <v>-</v>
      </c>
      <c r="BZ13" s="101" t="str">
        <f t="shared" si="22"/>
        <v>-</v>
      </c>
      <c r="CA13" s="101" t="str">
        <f t="shared" si="23"/>
        <v>-</v>
      </c>
      <c r="CB13" s="101" t="str">
        <f t="shared" si="23"/>
        <v>-</v>
      </c>
      <c r="CC13" s="101" t="str">
        <f t="shared" si="23"/>
        <v>-</v>
      </c>
      <c r="CD13" s="101" t="str">
        <f t="shared" si="23"/>
        <v>-</v>
      </c>
      <c r="CE13" s="101" t="str">
        <f t="shared" si="23"/>
        <v>-</v>
      </c>
      <c r="CF13" s="101" t="str">
        <f t="shared" si="23"/>
        <v>-</v>
      </c>
      <c r="CG13" s="101" t="str">
        <f t="shared" si="23"/>
        <v>-</v>
      </c>
      <c r="CH13" s="101" t="str">
        <f t="shared" si="23"/>
        <v>-</v>
      </c>
      <c r="CI13" s="101" t="str">
        <f t="shared" si="23"/>
        <v>-</v>
      </c>
      <c r="CJ13" s="101" t="str">
        <f t="shared" si="23"/>
        <v>-</v>
      </c>
      <c r="CK13" s="101" t="str">
        <f t="shared" si="24"/>
        <v>-</v>
      </c>
      <c r="CL13" s="101" t="str">
        <f t="shared" si="24"/>
        <v>-</v>
      </c>
      <c r="CM13" s="101" t="str">
        <f t="shared" si="24"/>
        <v>-</v>
      </c>
      <c r="CN13" s="101" t="str">
        <f t="shared" si="24"/>
        <v>-</v>
      </c>
      <c r="CO13" s="101" t="str">
        <f t="shared" si="24"/>
        <v>-</v>
      </c>
      <c r="CP13" s="101" t="str">
        <f t="shared" si="24"/>
        <v>-</v>
      </c>
    </row>
    <row r="14" spans="1:203">
      <c r="A14" s="498"/>
      <c r="B14" s="460"/>
      <c r="C14" s="460"/>
      <c r="D14" s="466"/>
      <c r="E14" s="109" t="s">
        <v>68</v>
      </c>
      <c r="F14" s="101">
        <v>250</v>
      </c>
      <c r="G14" s="101">
        <v>30</v>
      </c>
      <c r="H14" s="110" t="e">
        <f>B9-3</f>
        <v>#VALUE!</v>
      </c>
      <c r="I14" s="110"/>
      <c r="J14" s="110"/>
      <c r="K14" s="101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>
        <v>5</v>
      </c>
      <c r="W14" s="102">
        <v>5</v>
      </c>
      <c r="X14" s="102">
        <v>5</v>
      </c>
      <c r="Y14" s="102">
        <v>5</v>
      </c>
      <c r="Z14" s="102">
        <v>5</v>
      </c>
      <c r="AA14" s="102">
        <v>5</v>
      </c>
      <c r="AB14" s="102">
        <v>5</v>
      </c>
      <c r="AC14" s="102">
        <v>5</v>
      </c>
      <c r="AD14" s="102">
        <v>5</v>
      </c>
      <c r="AE14" s="102">
        <v>5</v>
      </c>
      <c r="AF14" s="102">
        <v>5</v>
      </c>
      <c r="AG14" s="102">
        <v>5</v>
      </c>
      <c r="AH14" s="102">
        <v>5</v>
      </c>
      <c r="AI14" s="102">
        <v>5</v>
      </c>
      <c r="AJ14" s="102">
        <v>5</v>
      </c>
      <c r="AK14" s="102">
        <v>5</v>
      </c>
      <c r="AL14" s="102">
        <v>5</v>
      </c>
      <c r="AM14" s="102">
        <v>5</v>
      </c>
      <c r="AN14" s="102">
        <v>5</v>
      </c>
      <c r="AO14" s="102">
        <v>5</v>
      </c>
      <c r="AP14" s="102">
        <v>5</v>
      </c>
      <c r="AQ14" s="102">
        <v>5</v>
      </c>
      <c r="AR14" s="102">
        <v>5</v>
      </c>
      <c r="AS14" s="102">
        <v>5</v>
      </c>
      <c r="AT14" s="102">
        <v>30</v>
      </c>
      <c r="AU14" s="102">
        <v>30</v>
      </c>
      <c r="AV14" s="102">
        <v>30</v>
      </c>
      <c r="AW14" s="102">
        <v>30</v>
      </c>
      <c r="AX14" s="102">
        <v>5</v>
      </c>
      <c r="AY14" s="102">
        <v>5</v>
      </c>
      <c r="AZ14" s="102"/>
      <c r="BA14" s="102"/>
      <c r="BB14" s="102"/>
      <c r="BC14" s="102"/>
      <c r="BD14" s="102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</row>
    <row r="15" spans="1:203">
      <c r="B15" s="67"/>
      <c r="E15" s="120"/>
      <c r="F15" s="120"/>
      <c r="G15" s="121"/>
      <c r="H15" s="112" t="s">
        <v>69</v>
      </c>
      <c r="I15" s="113">
        <f t="shared" ref="I15:AY15" si="25">SUM(I10:I14)</f>
        <v>0</v>
      </c>
      <c r="J15" s="113">
        <f t="shared" si="25"/>
        <v>0</v>
      </c>
      <c r="K15" s="113">
        <f t="shared" si="25"/>
        <v>0</v>
      </c>
      <c r="L15" s="113">
        <f t="shared" si="25"/>
        <v>0</v>
      </c>
      <c r="M15" s="113">
        <f t="shared" si="25"/>
        <v>0</v>
      </c>
      <c r="N15" s="113">
        <f t="shared" si="25"/>
        <v>0</v>
      </c>
      <c r="O15" s="113">
        <f t="shared" si="25"/>
        <v>0</v>
      </c>
      <c r="P15" s="113">
        <f t="shared" si="25"/>
        <v>0</v>
      </c>
      <c r="Q15" s="113">
        <f t="shared" si="25"/>
        <v>0</v>
      </c>
      <c r="R15" s="113">
        <f t="shared" si="25"/>
        <v>0</v>
      </c>
      <c r="S15" s="113">
        <f t="shared" si="25"/>
        <v>0</v>
      </c>
      <c r="T15" s="113">
        <f t="shared" si="25"/>
        <v>0</v>
      </c>
      <c r="U15" s="113">
        <f t="shared" si="25"/>
        <v>0</v>
      </c>
      <c r="V15" s="113">
        <f t="shared" si="25"/>
        <v>5</v>
      </c>
      <c r="W15" s="113">
        <f t="shared" si="25"/>
        <v>5</v>
      </c>
      <c r="X15" s="113">
        <f t="shared" si="25"/>
        <v>5</v>
      </c>
      <c r="Y15" s="113">
        <f t="shared" si="25"/>
        <v>5</v>
      </c>
      <c r="Z15" s="113">
        <f t="shared" si="25"/>
        <v>5</v>
      </c>
      <c r="AA15" s="113">
        <f t="shared" si="25"/>
        <v>5</v>
      </c>
      <c r="AB15" s="113">
        <f t="shared" si="25"/>
        <v>5</v>
      </c>
      <c r="AC15" s="113">
        <f t="shared" si="25"/>
        <v>5</v>
      </c>
      <c r="AD15" s="113">
        <f t="shared" si="25"/>
        <v>5</v>
      </c>
      <c r="AE15" s="113">
        <f t="shared" si="25"/>
        <v>5</v>
      </c>
      <c r="AF15" s="113">
        <f t="shared" si="25"/>
        <v>5</v>
      </c>
      <c r="AG15" s="113">
        <f t="shared" si="25"/>
        <v>5</v>
      </c>
      <c r="AH15" s="113">
        <f t="shared" si="25"/>
        <v>5</v>
      </c>
      <c r="AI15" s="113">
        <f t="shared" si="25"/>
        <v>5</v>
      </c>
      <c r="AJ15" s="113">
        <f t="shared" si="25"/>
        <v>5</v>
      </c>
      <c r="AK15" s="113">
        <f t="shared" si="25"/>
        <v>5</v>
      </c>
      <c r="AL15" s="113">
        <f t="shared" si="25"/>
        <v>5</v>
      </c>
      <c r="AM15" s="113">
        <f t="shared" si="25"/>
        <v>5</v>
      </c>
      <c r="AN15" s="113">
        <f t="shared" si="25"/>
        <v>5</v>
      </c>
      <c r="AO15" s="113">
        <f t="shared" si="25"/>
        <v>5</v>
      </c>
      <c r="AP15" s="113">
        <f t="shared" si="25"/>
        <v>5</v>
      </c>
      <c r="AQ15" s="113">
        <f t="shared" si="25"/>
        <v>5</v>
      </c>
      <c r="AR15" s="113">
        <f t="shared" si="25"/>
        <v>5</v>
      </c>
      <c r="AS15" s="113">
        <f t="shared" si="25"/>
        <v>5</v>
      </c>
      <c r="AT15" s="113">
        <f t="shared" si="25"/>
        <v>30</v>
      </c>
      <c r="AU15" s="113">
        <f t="shared" si="25"/>
        <v>30</v>
      </c>
      <c r="AV15" s="113">
        <f t="shared" si="25"/>
        <v>30</v>
      </c>
      <c r="AW15" s="113">
        <f t="shared" si="25"/>
        <v>30</v>
      </c>
      <c r="AX15" s="113">
        <f t="shared" si="25"/>
        <v>5</v>
      </c>
      <c r="AY15" s="113">
        <f t="shared" si="25"/>
        <v>5</v>
      </c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  <c r="CM15" s="109"/>
      <c r="CN15" s="109"/>
      <c r="CO15" s="109"/>
      <c r="CP15" s="109"/>
      <c r="CQ15" s="160">
        <f>AVERAGE(I15:BA15)</f>
        <v>5.8139534883720927</v>
      </c>
      <c r="CR15" s="160">
        <f>MAX(I15:BA15)</f>
        <v>30</v>
      </c>
    </row>
    <row r="16" spans="1:203">
      <c r="E16" s="103"/>
      <c r="F16" s="104"/>
      <c r="G16" s="104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7"/>
    </row>
    <row r="17" spans="1:96">
      <c r="A17" s="496" t="s">
        <v>71</v>
      </c>
      <c r="B17" s="499" t="str">
        <f>'BESS 12'!F5</f>
        <v>24 Jul
28 Jul</v>
      </c>
      <c r="C17" s="499" t="str">
        <f>'BESS 12'!G5</f>
        <v>29 Jul
02 Aug</v>
      </c>
      <c r="D17" s="114"/>
      <c r="E17" s="114" t="s">
        <v>10</v>
      </c>
      <c r="F17" s="115" t="s">
        <v>58</v>
      </c>
      <c r="G17" s="115" t="s">
        <v>59</v>
      </c>
      <c r="H17" s="115" t="s">
        <v>60</v>
      </c>
      <c r="I17" s="116">
        <v>46195</v>
      </c>
      <c r="J17" s="116">
        <v>46196</v>
      </c>
      <c r="K17" s="116">
        <v>46197</v>
      </c>
      <c r="L17" s="116">
        <f t="shared" ref="L17:AQ17" si="26">K17+1</f>
        <v>46198</v>
      </c>
      <c r="M17" s="116">
        <f t="shared" si="26"/>
        <v>46199</v>
      </c>
      <c r="N17" s="116">
        <f t="shared" si="26"/>
        <v>46200</v>
      </c>
      <c r="O17" s="116">
        <f t="shared" si="26"/>
        <v>46201</v>
      </c>
      <c r="P17" s="116">
        <f t="shared" si="26"/>
        <v>46202</v>
      </c>
      <c r="Q17" s="116">
        <f t="shared" si="26"/>
        <v>46203</v>
      </c>
      <c r="R17" s="116">
        <f t="shared" si="26"/>
        <v>46204</v>
      </c>
      <c r="S17" s="116">
        <f t="shared" si="26"/>
        <v>46205</v>
      </c>
      <c r="T17" s="116">
        <f t="shared" si="26"/>
        <v>46206</v>
      </c>
      <c r="U17" s="116">
        <f t="shared" si="26"/>
        <v>46207</v>
      </c>
      <c r="V17" s="116">
        <f t="shared" si="26"/>
        <v>46208</v>
      </c>
      <c r="W17" s="116">
        <f t="shared" si="26"/>
        <v>46209</v>
      </c>
      <c r="X17" s="116">
        <f t="shared" si="26"/>
        <v>46210</v>
      </c>
      <c r="Y17" s="116">
        <f t="shared" si="26"/>
        <v>46211</v>
      </c>
      <c r="Z17" s="116">
        <f t="shared" si="26"/>
        <v>46212</v>
      </c>
      <c r="AA17" s="116">
        <f t="shared" si="26"/>
        <v>46213</v>
      </c>
      <c r="AB17" s="116">
        <f t="shared" si="26"/>
        <v>46214</v>
      </c>
      <c r="AC17" s="116">
        <f t="shared" si="26"/>
        <v>46215</v>
      </c>
      <c r="AD17" s="116">
        <f t="shared" si="26"/>
        <v>46216</v>
      </c>
      <c r="AE17" s="116">
        <f t="shared" si="26"/>
        <v>46217</v>
      </c>
      <c r="AF17" s="116">
        <f t="shared" si="26"/>
        <v>46218</v>
      </c>
      <c r="AG17" s="116">
        <f t="shared" si="26"/>
        <v>46219</v>
      </c>
      <c r="AH17" s="116">
        <f t="shared" si="26"/>
        <v>46220</v>
      </c>
      <c r="AI17" s="116">
        <f t="shared" si="26"/>
        <v>46221</v>
      </c>
      <c r="AJ17" s="116">
        <f t="shared" si="26"/>
        <v>46222</v>
      </c>
      <c r="AK17" s="116">
        <f t="shared" si="26"/>
        <v>46223</v>
      </c>
      <c r="AL17" s="116">
        <f t="shared" si="26"/>
        <v>46224</v>
      </c>
      <c r="AM17" s="116">
        <f t="shared" si="26"/>
        <v>46225</v>
      </c>
      <c r="AN17" s="116">
        <f t="shared" si="26"/>
        <v>46226</v>
      </c>
      <c r="AO17" s="116">
        <f t="shared" si="26"/>
        <v>46227</v>
      </c>
      <c r="AP17" s="116">
        <f t="shared" si="26"/>
        <v>46228</v>
      </c>
      <c r="AQ17" s="116">
        <f t="shared" si="26"/>
        <v>46229</v>
      </c>
      <c r="AR17" s="116">
        <f t="shared" ref="AR17:BW17" si="27">AQ17+1</f>
        <v>46230</v>
      </c>
      <c r="AS17" s="116">
        <f t="shared" si="27"/>
        <v>46231</v>
      </c>
      <c r="AT17" s="116">
        <f t="shared" si="27"/>
        <v>46232</v>
      </c>
      <c r="AU17" s="116">
        <f t="shared" si="27"/>
        <v>46233</v>
      </c>
      <c r="AV17" s="116">
        <f t="shared" si="27"/>
        <v>46234</v>
      </c>
      <c r="AW17" s="116">
        <f t="shared" si="27"/>
        <v>46235</v>
      </c>
      <c r="AX17" s="116">
        <f t="shared" si="27"/>
        <v>46236</v>
      </c>
      <c r="AY17" s="116">
        <f t="shared" si="27"/>
        <v>46237</v>
      </c>
      <c r="AZ17" s="116">
        <f t="shared" si="27"/>
        <v>46238</v>
      </c>
      <c r="BA17" s="116">
        <f t="shared" si="27"/>
        <v>46239</v>
      </c>
      <c r="BB17" s="116">
        <f t="shared" si="27"/>
        <v>46240</v>
      </c>
      <c r="BC17" s="116">
        <f t="shared" si="27"/>
        <v>46241</v>
      </c>
      <c r="BD17" s="116">
        <f t="shared" si="27"/>
        <v>46242</v>
      </c>
      <c r="BE17" s="116">
        <f t="shared" si="27"/>
        <v>46243</v>
      </c>
      <c r="BF17" s="116">
        <f t="shared" si="27"/>
        <v>46244</v>
      </c>
      <c r="BG17" s="116">
        <f t="shared" si="27"/>
        <v>46245</v>
      </c>
      <c r="BH17" s="116">
        <f t="shared" si="27"/>
        <v>46246</v>
      </c>
      <c r="BI17" s="116">
        <f t="shared" si="27"/>
        <v>46247</v>
      </c>
      <c r="BJ17" s="116">
        <f t="shared" si="27"/>
        <v>46248</v>
      </c>
      <c r="BK17" s="116">
        <f t="shared" si="27"/>
        <v>46249</v>
      </c>
      <c r="BL17" s="116">
        <f t="shared" si="27"/>
        <v>46250</v>
      </c>
      <c r="BM17" s="116">
        <f t="shared" si="27"/>
        <v>46251</v>
      </c>
      <c r="BN17" s="116">
        <f t="shared" si="27"/>
        <v>46252</v>
      </c>
      <c r="BO17" s="116">
        <f t="shared" si="27"/>
        <v>46253</v>
      </c>
      <c r="BP17" s="116">
        <f t="shared" si="27"/>
        <v>46254</v>
      </c>
      <c r="BQ17" s="116">
        <f t="shared" si="27"/>
        <v>46255</v>
      </c>
      <c r="BR17" s="116">
        <f t="shared" si="27"/>
        <v>46256</v>
      </c>
      <c r="BS17" s="116">
        <f t="shared" si="27"/>
        <v>46257</v>
      </c>
      <c r="BT17" s="116">
        <f t="shared" si="27"/>
        <v>46258</v>
      </c>
      <c r="BU17" s="116">
        <f t="shared" si="27"/>
        <v>46259</v>
      </c>
      <c r="BV17" s="116">
        <f t="shared" si="27"/>
        <v>46260</v>
      </c>
      <c r="BW17" s="116">
        <f t="shared" si="27"/>
        <v>46261</v>
      </c>
      <c r="BX17" s="116">
        <f t="shared" ref="BX17:CP17" si="28">BW17+1</f>
        <v>46262</v>
      </c>
      <c r="BY17" s="116">
        <f t="shared" si="28"/>
        <v>46263</v>
      </c>
      <c r="BZ17" s="116">
        <f t="shared" si="28"/>
        <v>46264</v>
      </c>
      <c r="CA17" s="116">
        <f t="shared" si="28"/>
        <v>46265</v>
      </c>
      <c r="CB17" s="116">
        <f t="shared" si="28"/>
        <v>46266</v>
      </c>
      <c r="CC17" s="116">
        <f t="shared" si="28"/>
        <v>46267</v>
      </c>
      <c r="CD17" s="116">
        <f t="shared" si="28"/>
        <v>46268</v>
      </c>
      <c r="CE17" s="116">
        <f t="shared" si="28"/>
        <v>46269</v>
      </c>
      <c r="CF17" s="116">
        <f t="shared" si="28"/>
        <v>46270</v>
      </c>
      <c r="CG17" s="116">
        <f t="shared" si="28"/>
        <v>46271</v>
      </c>
      <c r="CH17" s="116">
        <f t="shared" si="28"/>
        <v>46272</v>
      </c>
      <c r="CI17" s="116">
        <f t="shared" si="28"/>
        <v>46273</v>
      </c>
      <c r="CJ17" s="116">
        <f t="shared" si="28"/>
        <v>46274</v>
      </c>
      <c r="CK17" s="116">
        <f t="shared" si="28"/>
        <v>46275</v>
      </c>
      <c r="CL17" s="116">
        <f t="shared" si="28"/>
        <v>46276</v>
      </c>
      <c r="CM17" s="116">
        <f t="shared" si="28"/>
        <v>46277</v>
      </c>
      <c r="CN17" s="116">
        <f t="shared" si="28"/>
        <v>46278</v>
      </c>
      <c r="CO17" s="116">
        <f t="shared" si="28"/>
        <v>46279</v>
      </c>
      <c r="CP17" s="116">
        <f t="shared" si="28"/>
        <v>46280</v>
      </c>
    </row>
    <row r="18" spans="1:96">
      <c r="A18" s="497"/>
      <c r="B18" s="500"/>
      <c r="C18" s="500"/>
      <c r="D18" s="467" t="str">
        <f>'BESS 12'!H5</f>
        <v>01 Aug
05 Aug</v>
      </c>
      <c r="E18" s="109" t="s">
        <v>64</v>
      </c>
      <c r="F18" s="102" t="e">
        <f>SUM('BESS 12'!S19:S26,'BESS 12'!S28)</f>
        <v>#VALUE!</v>
      </c>
      <c r="G18" s="101">
        <f>MAX('BESS 12'!O19:O26,'BESS 12'!O28)-MIN('BESS 12'!O19:O26,'BESS 12'!O28)+1</f>
        <v>1</v>
      </c>
      <c r="H18" s="110">
        <f>MIN('BESS 12'!O19:O26,'BESS 12'!O28)</f>
        <v>0</v>
      </c>
      <c r="I18" s="101" t="str">
        <f t="shared" ref="I18:R21" si="29">IF(AND(I$1&gt;=$H18,I$1&lt;($H18+$G18)),ROUND($F18/$G18,0),"-")</f>
        <v>-</v>
      </c>
      <c r="J18" s="101" t="str">
        <f t="shared" si="29"/>
        <v>-</v>
      </c>
      <c r="K18" s="101" t="e">
        <f t="shared" si="29"/>
        <v>#VALUE!</v>
      </c>
      <c r="L18" s="101" t="str">
        <f t="shared" si="29"/>
        <v>-</v>
      </c>
      <c r="M18" s="101" t="str">
        <f t="shared" si="29"/>
        <v>-</v>
      </c>
      <c r="N18" s="101" t="str">
        <f t="shared" si="29"/>
        <v>-</v>
      </c>
      <c r="O18" s="101" t="str">
        <f t="shared" si="29"/>
        <v>-</v>
      </c>
      <c r="P18" s="101" t="str">
        <f t="shared" si="29"/>
        <v>-</v>
      </c>
      <c r="Q18" s="101" t="str">
        <f t="shared" si="29"/>
        <v>-</v>
      </c>
      <c r="R18" s="101" t="str">
        <f t="shared" si="29"/>
        <v>-</v>
      </c>
      <c r="S18" s="101" t="str">
        <f t="shared" ref="S18:AB21" si="30">IF(AND(S$1&gt;=$H18,S$1&lt;($H18+$G18)),ROUND($F18/$G18,0),"-")</f>
        <v>-</v>
      </c>
      <c r="T18" s="101" t="str">
        <f t="shared" si="30"/>
        <v>-</v>
      </c>
      <c r="U18" s="101" t="str">
        <f t="shared" si="30"/>
        <v>-</v>
      </c>
      <c r="V18" s="101" t="str">
        <f t="shared" si="30"/>
        <v>-</v>
      </c>
      <c r="W18" s="101" t="str">
        <f t="shared" si="30"/>
        <v>-</v>
      </c>
      <c r="X18" s="101" t="str">
        <f t="shared" si="30"/>
        <v>-</v>
      </c>
      <c r="Y18" s="101" t="str">
        <f t="shared" si="30"/>
        <v>-</v>
      </c>
      <c r="Z18" s="101" t="str">
        <f t="shared" si="30"/>
        <v>-</v>
      </c>
      <c r="AA18" s="101" t="str">
        <f t="shared" si="30"/>
        <v>-</v>
      </c>
      <c r="AB18" s="101" t="str">
        <f t="shared" si="30"/>
        <v>-</v>
      </c>
      <c r="AC18" s="101" t="str">
        <f t="shared" ref="AC18:AL21" si="31">IF(AND(AC$1&gt;=$H18,AC$1&lt;($H18+$G18)),ROUND($F18/$G18,0),"-")</f>
        <v>-</v>
      </c>
      <c r="AD18" s="101" t="str">
        <f t="shared" si="31"/>
        <v>-</v>
      </c>
      <c r="AE18" s="101" t="str">
        <f t="shared" si="31"/>
        <v>-</v>
      </c>
      <c r="AF18" s="101" t="str">
        <f t="shared" si="31"/>
        <v>-</v>
      </c>
      <c r="AG18" s="101" t="str">
        <f t="shared" si="31"/>
        <v>-</v>
      </c>
      <c r="AH18" s="101" t="str">
        <f t="shared" si="31"/>
        <v>-</v>
      </c>
      <c r="AI18" s="101" t="str">
        <f t="shared" si="31"/>
        <v>-</v>
      </c>
      <c r="AJ18" s="101" t="str">
        <f t="shared" si="31"/>
        <v>-</v>
      </c>
      <c r="AK18" s="101" t="str">
        <f t="shared" si="31"/>
        <v>-</v>
      </c>
      <c r="AL18" s="101" t="str">
        <f t="shared" si="31"/>
        <v>-</v>
      </c>
      <c r="AM18" s="101" t="str">
        <f t="shared" ref="AM18:AV21" si="32">IF(AND(AM$1&gt;=$H18,AM$1&lt;($H18+$G18)),ROUND($F18/$G18,0),"-")</f>
        <v>-</v>
      </c>
      <c r="AN18" s="101" t="str">
        <f t="shared" si="32"/>
        <v>-</v>
      </c>
      <c r="AO18" s="101" t="str">
        <f t="shared" si="32"/>
        <v>-</v>
      </c>
      <c r="AP18" s="101" t="str">
        <f t="shared" si="32"/>
        <v>-</v>
      </c>
      <c r="AQ18" s="101" t="str">
        <f t="shared" si="32"/>
        <v>-</v>
      </c>
      <c r="AR18" s="101" t="str">
        <f t="shared" si="32"/>
        <v>-</v>
      </c>
      <c r="AS18" s="101" t="str">
        <f t="shared" si="32"/>
        <v>-</v>
      </c>
      <c r="AT18" s="101" t="str">
        <f t="shared" si="32"/>
        <v>-</v>
      </c>
      <c r="AU18" s="101" t="str">
        <f t="shared" si="32"/>
        <v>-</v>
      </c>
      <c r="AV18" s="101" t="str">
        <f t="shared" si="32"/>
        <v>-</v>
      </c>
      <c r="AW18" s="101" t="str">
        <f t="shared" ref="AW18:BF21" si="33">IF(AND(AW$1&gt;=$H18,AW$1&lt;($H18+$G18)),ROUND($F18/$G18,0),"-")</f>
        <v>-</v>
      </c>
      <c r="AX18" s="101" t="str">
        <f t="shared" si="33"/>
        <v>-</v>
      </c>
      <c r="AY18" s="101" t="str">
        <f t="shared" si="33"/>
        <v>-</v>
      </c>
      <c r="AZ18" s="101" t="str">
        <f t="shared" si="33"/>
        <v>-</v>
      </c>
      <c r="BA18" s="101" t="str">
        <f t="shared" si="33"/>
        <v>-</v>
      </c>
      <c r="BB18" s="101" t="str">
        <f t="shared" si="33"/>
        <v>-</v>
      </c>
      <c r="BC18" s="101" t="str">
        <f t="shared" si="33"/>
        <v>-</v>
      </c>
      <c r="BD18" s="101" t="str">
        <f t="shared" si="33"/>
        <v>-</v>
      </c>
      <c r="BE18" s="101" t="str">
        <f t="shared" si="33"/>
        <v>-</v>
      </c>
      <c r="BF18" s="101" t="str">
        <f t="shared" si="33"/>
        <v>-</v>
      </c>
      <c r="BG18" s="101" t="str">
        <f t="shared" ref="BG18:BP21" si="34">IF(AND(BG$1&gt;=$H18,BG$1&lt;($H18+$G18)),ROUND($F18/$G18,0),"-")</f>
        <v>-</v>
      </c>
      <c r="BH18" s="101" t="str">
        <f t="shared" si="34"/>
        <v>-</v>
      </c>
      <c r="BI18" s="101" t="str">
        <f t="shared" si="34"/>
        <v>-</v>
      </c>
      <c r="BJ18" s="101" t="str">
        <f t="shared" si="34"/>
        <v>-</v>
      </c>
      <c r="BK18" s="101" t="str">
        <f t="shared" si="34"/>
        <v>-</v>
      </c>
      <c r="BL18" s="101" t="str">
        <f t="shared" si="34"/>
        <v>-</v>
      </c>
      <c r="BM18" s="101" t="str">
        <f t="shared" si="34"/>
        <v>-</v>
      </c>
      <c r="BN18" s="101" t="str">
        <f t="shared" si="34"/>
        <v>-</v>
      </c>
      <c r="BO18" s="101" t="str">
        <f t="shared" si="34"/>
        <v>-</v>
      </c>
      <c r="BP18" s="101" t="str">
        <f t="shared" si="34"/>
        <v>-</v>
      </c>
      <c r="BQ18" s="101" t="str">
        <f t="shared" ref="BQ18:BZ21" si="35">IF(AND(BQ$1&gt;=$H18,BQ$1&lt;($H18+$G18)),ROUND($F18/$G18,0),"-")</f>
        <v>-</v>
      </c>
      <c r="BR18" s="101" t="str">
        <f t="shared" si="35"/>
        <v>-</v>
      </c>
      <c r="BS18" s="101" t="str">
        <f t="shared" si="35"/>
        <v>-</v>
      </c>
      <c r="BT18" s="101" t="str">
        <f t="shared" si="35"/>
        <v>-</v>
      </c>
      <c r="BU18" s="101" t="str">
        <f t="shared" si="35"/>
        <v>-</v>
      </c>
      <c r="BV18" s="101" t="str">
        <f t="shared" si="35"/>
        <v>-</v>
      </c>
      <c r="BW18" s="101" t="str">
        <f t="shared" si="35"/>
        <v>-</v>
      </c>
      <c r="BX18" s="101" t="str">
        <f t="shared" si="35"/>
        <v>-</v>
      </c>
      <c r="BY18" s="101" t="str">
        <f t="shared" si="35"/>
        <v>-</v>
      </c>
      <c r="BZ18" s="101" t="str">
        <f t="shared" si="35"/>
        <v>-</v>
      </c>
      <c r="CA18" s="101" t="str">
        <f t="shared" ref="CA18:CJ21" si="36">IF(AND(CA$1&gt;=$H18,CA$1&lt;($H18+$G18)),ROUND($F18/$G18,0),"-")</f>
        <v>-</v>
      </c>
      <c r="CB18" s="101" t="str">
        <f t="shared" si="36"/>
        <v>-</v>
      </c>
      <c r="CC18" s="101" t="str">
        <f t="shared" si="36"/>
        <v>-</v>
      </c>
      <c r="CD18" s="101" t="str">
        <f t="shared" si="36"/>
        <v>-</v>
      </c>
      <c r="CE18" s="101" t="str">
        <f t="shared" si="36"/>
        <v>-</v>
      </c>
      <c r="CF18" s="101" t="str">
        <f t="shared" si="36"/>
        <v>-</v>
      </c>
      <c r="CG18" s="101" t="str">
        <f t="shared" si="36"/>
        <v>-</v>
      </c>
      <c r="CH18" s="101" t="str">
        <f t="shared" si="36"/>
        <v>-</v>
      </c>
      <c r="CI18" s="101" t="str">
        <f t="shared" si="36"/>
        <v>-</v>
      </c>
      <c r="CJ18" s="101" t="str">
        <f t="shared" si="36"/>
        <v>-</v>
      </c>
      <c r="CK18" s="101" t="str">
        <f t="shared" ref="CK18:CP21" si="37">IF(AND(CK$1&gt;=$H18,CK$1&lt;($H18+$G18)),ROUND($F18/$G18,0),"-")</f>
        <v>-</v>
      </c>
      <c r="CL18" s="101" t="str">
        <f t="shared" si="37"/>
        <v>-</v>
      </c>
      <c r="CM18" s="101" t="str">
        <f t="shared" si="37"/>
        <v>-</v>
      </c>
      <c r="CN18" s="101" t="str">
        <f t="shared" si="37"/>
        <v>-</v>
      </c>
      <c r="CO18" s="101" t="str">
        <f t="shared" si="37"/>
        <v>-</v>
      </c>
      <c r="CP18" s="101" t="str">
        <f t="shared" si="37"/>
        <v>-</v>
      </c>
    </row>
    <row r="19" spans="1:96">
      <c r="A19" s="497"/>
      <c r="B19" s="500"/>
      <c r="C19" s="500"/>
      <c r="D19" s="466"/>
      <c r="E19" s="109" t="s">
        <v>65</v>
      </c>
      <c r="F19" s="102" t="e">
        <f>SUM('BESS 12'!S29,'BESS 12'!S31,'BESS 12'!S32,'BESS 12'!S35:S37)</f>
        <v>#VALUE!</v>
      </c>
      <c r="G19" s="102">
        <f>MAX('BESS 12'!O29,'BESS 12'!O31,'BESS 12'!O32,'BESS 12'!O35:O37)-MIN('BESS 12'!O29,'BESS 12'!O31,'BESS 12'!O32,'BESS 12'!O35:O37)+1</f>
        <v>1</v>
      </c>
      <c r="H19" s="110">
        <f>MIN('BESS 12'!O29,'BESS 12'!O31,'BESS 12'!O32,'BESS 12'!O35:O37)</f>
        <v>0</v>
      </c>
      <c r="I19" s="101" t="str">
        <f t="shared" si="29"/>
        <v>-</v>
      </c>
      <c r="J19" s="101" t="str">
        <f t="shared" si="29"/>
        <v>-</v>
      </c>
      <c r="K19" s="101" t="e">
        <f t="shared" si="29"/>
        <v>#VALUE!</v>
      </c>
      <c r="L19" s="101" t="str">
        <f t="shared" si="29"/>
        <v>-</v>
      </c>
      <c r="M19" s="101" t="str">
        <f t="shared" si="29"/>
        <v>-</v>
      </c>
      <c r="N19" s="101" t="str">
        <f t="shared" si="29"/>
        <v>-</v>
      </c>
      <c r="O19" s="101" t="str">
        <f t="shared" si="29"/>
        <v>-</v>
      </c>
      <c r="P19" s="101" t="str">
        <f t="shared" si="29"/>
        <v>-</v>
      </c>
      <c r="Q19" s="101" t="str">
        <f t="shared" si="29"/>
        <v>-</v>
      </c>
      <c r="R19" s="101" t="str">
        <f t="shared" si="29"/>
        <v>-</v>
      </c>
      <c r="S19" s="101" t="str">
        <f t="shared" si="30"/>
        <v>-</v>
      </c>
      <c r="T19" s="101" t="str">
        <f t="shared" si="30"/>
        <v>-</v>
      </c>
      <c r="U19" s="101" t="str">
        <f t="shared" si="30"/>
        <v>-</v>
      </c>
      <c r="V19" s="101" t="str">
        <f t="shared" si="30"/>
        <v>-</v>
      </c>
      <c r="W19" s="101" t="str">
        <f t="shared" si="30"/>
        <v>-</v>
      </c>
      <c r="X19" s="101" t="str">
        <f t="shared" si="30"/>
        <v>-</v>
      </c>
      <c r="Y19" s="101" t="str">
        <f t="shared" si="30"/>
        <v>-</v>
      </c>
      <c r="Z19" s="101" t="str">
        <f t="shared" si="30"/>
        <v>-</v>
      </c>
      <c r="AA19" s="101" t="str">
        <f t="shared" si="30"/>
        <v>-</v>
      </c>
      <c r="AB19" s="101" t="str">
        <f t="shared" si="30"/>
        <v>-</v>
      </c>
      <c r="AC19" s="101" t="str">
        <f t="shared" si="31"/>
        <v>-</v>
      </c>
      <c r="AD19" s="101" t="str">
        <f t="shared" si="31"/>
        <v>-</v>
      </c>
      <c r="AE19" s="101" t="str">
        <f t="shared" si="31"/>
        <v>-</v>
      </c>
      <c r="AF19" s="101" t="str">
        <f t="shared" si="31"/>
        <v>-</v>
      </c>
      <c r="AG19" s="101" t="str">
        <f t="shared" si="31"/>
        <v>-</v>
      </c>
      <c r="AH19" s="101" t="str">
        <f t="shared" si="31"/>
        <v>-</v>
      </c>
      <c r="AI19" s="101" t="str">
        <f t="shared" si="31"/>
        <v>-</v>
      </c>
      <c r="AJ19" s="101" t="str">
        <f t="shared" si="31"/>
        <v>-</v>
      </c>
      <c r="AK19" s="101" t="str">
        <f t="shared" si="31"/>
        <v>-</v>
      </c>
      <c r="AL19" s="101" t="str">
        <f t="shared" si="31"/>
        <v>-</v>
      </c>
      <c r="AM19" s="101" t="str">
        <f t="shared" si="32"/>
        <v>-</v>
      </c>
      <c r="AN19" s="101" t="str">
        <f t="shared" si="32"/>
        <v>-</v>
      </c>
      <c r="AO19" s="101" t="str">
        <f t="shared" si="32"/>
        <v>-</v>
      </c>
      <c r="AP19" s="101" t="str">
        <f t="shared" si="32"/>
        <v>-</v>
      </c>
      <c r="AQ19" s="101" t="str">
        <f t="shared" si="32"/>
        <v>-</v>
      </c>
      <c r="AR19" s="101" t="str">
        <f t="shared" si="32"/>
        <v>-</v>
      </c>
      <c r="AS19" s="101" t="str">
        <f t="shared" si="32"/>
        <v>-</v>
      </c>
      <c r="AT19" s="101" t="str">
        <f t="shared" si="32"/>
        <v>-</v>
      </c>
      <c r="AU19" s="101" t="str">
        <f t="shared" si="32"/>
        <v>-</v>
      </c>
      <c r="AV19" s="101" t="str">
        <f t="shared" si="32"/>
        <v>-</v>
      </c>
      <c r="AW19" s="101" t="str">
        <f t="shared" si="33"/>
        <v>-</v>
      </c>
      <c r="AX19" s="101" t="str">
        <f t="shared" si="33"/>
        <v>-</v>
      </c>
      <c r="AY19" s="101" t="str">
        <f t="shared" si="33"/>
        <v>-</v>
      </c>
      <c r="AZ19" s="101" t="str">
        <f t="shared" si="33"/>
        <v>-</v>
      </c>
      <c r="BA19" s="101" t="str">
        <f t="shared" si="33"/>
        <v>-</v>
      </c>
      <c r="BB19" s="101" t="str">
        <f t="shared" si="33"/>
        <v>-</v>
      </c>
      <c r="BC19" s="101" t="str">
        <f t="shared" si="33"/>
        <v>-</v>
      </c>
      <c r="BD19" s="101" t="str">
        <f t="shared" si="33"/>
        <v>-</v>
      </c>
      <c r="BE19" s="101" t="str">
        <f t="shared" si="33"/>
        <v>-</v>
      </c>
      <c r="BF19" s="101" t="str">
        <f t="shared" si="33"/>
        <v>-</v>
      </c>
      <c r="BG19" s="101" t="str">
        <f t="shared" si="34"/>
        <v>-</v>
      </c>
      <c r="BH19" s="101" t="str">
        <f t="shared" si="34"/>
        <v>-</v>
      </c>
      <c r="BI19" s="101" t="str">
        <f t="shared" si="34"/>
        <v>-</v>
      </c>
      <c r="BJ19" s="101" t="str">
        <f t="shared" si="34"/>
        <v>-</v>
      </c>
      <c r="BK19" s="101" t="str">
        <f t="shared" si="34"/>
        <v>-</v>
      </c>
      <c r="BL19" s="101" t="str">
        <f t="shared" si="34"/>
        <v>-</v>
      </c>
      <c r="BM19" s="101" t="str">
        <f t="shared" si="34"/>
        <v>-</v>
      </c>
      <c r="BN19" s="101" t="str">
        <f t="shared" si="34"/>
        <v>-</v>
      </c>
      <c r="BO19" s="101" t="str">
        <f t="shared" si="34"/>
        <v>-</v>
      </c>
      <c r="BP19" s="101" t="str">
        <f t="shared" si="34"/>
        <v>-</v>
      </c>
      <c r="BQ19" s="101" t="str">
        <f t="shared" si="35"/>
        <v>-</v>
      </c>
      <c r="BR19" s="101" t="str">
        <f t="shared" si="35"/>
        <v>-</v>
      </c>
      <c r="BS19" s="101" t="str">
        <f t="shared" si="35"/>
        <v>-</v>
      </c>
      <c r="BT19" s="101" t="str">
        <f t="shared" si="35"/>
        <v>-</v>
      </c>
      <c r="BU19" s="101" t="str">
        <f t="shared" si="35"/>
        <v>-</v>
      </c>
      <c r="BV19" s="101" t="str">
        <f t="shared" si="35"/>
        <v>-</v>
      </c>
      <c r="BW19" s="101" t="str">
        <f t="shared" si="35"/>
        <v>-</v>
      </c>
      <c r="BX19" s="101" t="str">
        <f t="shared" si="35"/>
        <v>-</v>
      </c>
      <c r="BY19" s="101" t="str">
        <f t="shared" si="35"/>
        <v>-</v>
      </c>
      <c r="BZ19" s="101" t="str">
        <f t="shared" si="35"/>
        <v>-</v>
      </c>
      <c r="CA19" s="101" t="str">
        <f t="shared" si="36"/>
        <v>-</v>
      </c>
      <c r="CB19" s="101" t="str">
        <f t="shared" si="36"/>
        <v>-</v>
      </c>
      <c r="CC19" s="101" t="str">
        <f t="shared" si="36"/>
        <v>-</v>
      </c>
      <c r="CD19" s="101" t="str">
        <f t="shared" si="36"/>
        <v>-</v>
      </c>
      <c r="CE19" s="101" t="str">
        <f t="shared" si="36"/>
        <v>-</v>
      </c>
      <c r="CF19" s="101" t="str">
        <f t="shared" si="36"/>
        <v>-</v>
      </c>
      <c r="CG19" s="101" t="str">
        <f t="shared" si="36"/>
        <v>-</v>
      </c>
      <c r="CH19" s="101" t="str">
        <f t="shared" si="36"/>
        <v>-</v>
      </c>
      <c r="CI19" s="101" t="str">
        <f t="shared" si="36"/>
        <v>-</v>
      </c>
      <c r="CJ19" s="101" t="str">
        <f t="shared" si="36"/>
        <v>-</v>
      </c>
      <c r="CK19" s="101" t="str">
        <f t="shared" si="37"/>
        <v>-</v>
      </c>
      <c r="CL19" s="101" t="str">
        <f t="shared" si="37"/>
        <v>-</v>
      </c>
      <c r="CM19" s="101" t="str">
        <f t="shared" si="37"/>
        <v>-</v>
      </c>
      <c r="CN19" s="101" t="str">
        <f t="shared" si="37"/>
        <v>-</v>
      </c>
      <c r="CO19" s="101" t="str">
        <f t="shared" si="37"/>
        <v>-</v>
      </c>
      <c r="CP19" s="101" t="str">
        <f t="shared" si="37"/>
        <v>-</v>
      </c>
    </row>
    <row r="20" spans="1:96">
      <c r="A20" s="497"/>
      <c r="B20" s="500"/>
      <c r="C20" s="500"/>
      <c r="D20" s="466"/>
      <c r="E20" s="109" t="s">
        <v>66</v>
      </c>
      <c r="F20" s="102" t="e">
        <f>SUM('BESS 12'!S30,'BESS 12'!S33:S34,'BESS 12'!S38:S39)</f>
        <v>#VALUE!</v>
      </c>
      <c r="G20" s="102">
        <f>MAX('BESS 12'!O30,'BESS 12'!O32,'BESS 12'!O33,'BESS 12'!O36:O38)-MIN('BESS 12'!O30,'BESS 12'!O32,'BESS 12'!O33,'BESS 12'!O36:O38)+1</f>
        <v>1</v>
      </c>
      <c r="H20" s="110">
        <f>MIN('BESS 12'!O30,'BESS 12'!O33:O34,'BESS 12'!O38:O39)</f>
        <v>0</v>
      </c>
      <c r="I20" s="101" t="str">
        <f t="shared" si="29"/>
        <v>-</v>
      </c>
      <c r="J20" s="101" t="str">
        <f t="shared" si="29"/>
        <v>-</v>
      </c>
      <c r="K20" s="101" t="e">
        <f t="shared" si="29"/>
        <v>#VALUE!</v>
      </c>
      <c r="L20" s="101" t="str">
        <f t="shared" si="29"/>
        <v>-</v>
      </c>
      <c r="M20" s="101" t="str">
        <f t="shared" si="29"/>
        <v>-</v>
      </c>
      <c r="N20" s="101" t="str">
        <f t="shared" si="29"/>
        <v>-</v>
      </c>
      <c r="O20" s="101" t="str">
        <f t="shared" si="29"/>
        <v>-</v>
      </c>
      <c r="P20" s="101" t="str">
        <f t="shared" si="29"/>
        <v>-</v>
      </c>
      <c r="Q20" s="101" t="str">
        <f t="shared" si="29"/>
        <v>-</v>
      </c>
      <c r="R20" s="101" t="str">
        <f t="shared" si="29"/>
        <v>-</v>
      </c>
      <c r="S20" s="101" t="str">
        <f t="shared" si="30"/>
        <v>-</v>
      </c>
      <c r="T20" s="101" t="str">
        <f t="shared" si="30"/>
        <v>-</v>
      </c>
      <c r="U20" s="101" t="str">
        <f t="shared" si="30"/>
        <v>-</v>
      </c>
      <c r="V20" s="101" t="str">
        <f t="shared" si="30"/>
        <v>-</v>
      </c>
      <c r="W20" s="101" t="str">
        <f t="shared" si="30"/>
        <v>-</v>
      </c>
      <c r="X20" s="101" t="str">
        <f t="shared" si="30"/>
        <v>-</v>
      </c>
      <c r="Y20" s="101" t="str">
        <f t="shared" si="30"/>
        <v>-</v>
      </c>
      <c r="Z20" s="101" t="str">
        <f t="shared" si="30"/>
        <v>-</v>
      </c>
      <c r="AA20" s="101" t="str">
        <f t="shared" si="30"/>
        <v>-</v>
      </c>
      <c r="AB20" s="101" t="str">
        <f t="shared" si="30"/>
        <v>-</v>
      </c>
      <c r="AC20" s="101" t="str">
        <f t="shared" si="31"/>
        <v>-</v>
      </c>
      <c r="AD20" s="101" t="str">
        <f t="shared" si="31"/>
        <v>-</v>
      </c>
      <c r="AE20" s="101" t="str">
        <f t="shared" si="31"/>
        <v>-</v>
      </c>
      <c r="AF20" s="101" t="str">
        <f t="shared" si="31"/>
        <v>-</v>
      </c>
      <c r="AG20" s="101" t="str">
        <f t="shared" si="31"/>
        <v>-</v>
      </c>
      <c r="AH20" s="101" t="str">
        <f t="shared" si="31"/>
        <v>-</v>
      </c>
      <c r="AI20" s="101" t="str">
        <f t="shared" si="31"/>
        <v>-</v>
      </c>
      <c r="AJ20" s="101" t="str">
        <f t="shared" si="31"/>
        <v>-</v>
      </c>
      <c r="AK20" s="101" t="str">
        <f t="shared" si="31"/>
        <v>-</v>
      </c>
      <c r="AL20" s="101" t="str">
        <f t="shared" si="31"/>
        <v>-</v>
      </c>
      <c r="AM20" s="101" t="str">
        <f t="shared" si="32"/>
        <v>-</v>
      </c>
      <c r="AN20" s="101" t="str">
        <f t="shared" si="32"/>
        <v>-</v>
      </c>
      <c r="AO20" s="101" t="str">
        <f t="shared" si="32"/>
        <v>-</v>
      </c>
      <c r="AP20" s="101" t="str">
        <f t="shared" si="32"/>
        <v>-</v>
      </c>
      <c r="AQ20" s="101" t="str">
        <f t="shared" si="32"/>
        <v>-</v>
      </c>
      <c r="AR20" s="101" t="str">
        <f t="shared" si="32"/>
        <v>-</v>
      </c>
      <c r="AS20" s="101" t="str">
        <f t="shared" si="32"/>
        <v>-</v>
      </c>
      <c r="AT20" s="101" t="str">
        <f t="shared" si="32"/>
        <v>-</v>
      </c>
      <c r="AU20" s="101" t="str">
        <f t="shared" si="32"/>
        <v>-</v>
      </c>
      <c r="AV20" s="101" t="str">
        <f t="shared" si="32"/>
        <v>-</v>
      </c>
      <c r="AW20" s="101" t="str">
        <f t="shared" si="33"/>
        <v>-</v>
      </c>
      <c r="AX20" s="101" t="str">
        <f t="shared" si="33"/>
        <v>-</v>
      </c>
      <c r="AY20" s="101" t="str">
        <f t="shared" si="33"/>
        <v>-</v>
      </c>
      <c r="AZ20" s="101" t="str">
        <f t="shared" si="33"/>
        <v>-</v>
      </c>
      <c r="BA20" s="101" t="str">
        <f t="shared" si="33"/>
        <v>-</v>
      </c>
      <c r="BB20" s="101" t="str">
        <f t="shared" si="33"/>
        <v>-</v>
      </c>
      <c r="BC20" s="101" t="str">
        <f t="shared" si="33"/>
        <v>-</v>
      </c>
      <c r="BD20" s="101" t="str">
        <f t="shared" si="33"/>
        <v>-</v>
      </c>
      <c r="BE20" s="101" t="str">
        <f t="shared" si="33"/>
        <v>-</v>
      </c>
      <c r="BF20" s="101" t="str">
        <f t="shared" si="33"/>
        <v>-</v>
      </c>
      <c r="BG20" s="101" t="str">
        <f t="shared" si="34"/>
        <v>-</v>
      </c>
      <c r="BH20" s="101" t="str">
        <f t="shared" si="34"/>
        <v>-</v>
      </c>
      <c r="BI20" s="101" t="str">
        <f t="shared" si="34"/>
        <v>-</v>
      </c>
      <c r="BJ20" s="101" t="str">
        <f t="shared" si="34"/>
        <v>-</v>
      </c>
      <c r="BK20" s="101" t="str">
        <f t="shared" si="34"/>
        <v>-</v>
      </c>
      <c r="BL20" s="101" t="str">
        <f t="shared" si="34"/>
        <v>-</v>
      </c>
      <c r="BM20" s="101" t="str">
        <f t="shared" si="34"/>
        <v>-</v>
      </c>
      <c r="BN20" s="101" t="str">
        <f t="shared" si="34"/>
        <v>-</v>
      </c>
      <c r="BO20" s="101" t="str">
        <f t="shared" si="34"/>
        <v>-</v>
      </c>
      <c r="BP20" s="101" t="str">
        <f t="shared" si="34"/>
        <v>-</v>
      </c>
      <c r="BQ20" s="101" t="str">
        <f t="shared" si="35"/>
        <v>-</v>
      </c>
      <c r="BR20" s="101" t="str">
        <f t="shared" si="35"/>
        <v>-</v>
      </c>
      <c r="BS20" s="101" t="str">
        <f t="shared" si="35"/>
        <v>-</v>
      </c>
      <c r="BT20" s="101" t="str">
        <f t="shared" si="35"/>
        <v>-</v>
      </c>
      <c r="BU20" s="101" t="str">
        <f t="shared" si="35"/>
        <v>-</v>
      </c>
      <c r="BV20" s="101" t="str">
        <f t="shared" si="35"/>
        <v>-</v>
      </c>
      <c r="BW20" s="101" t="str">
        <f t="shared" si="35"/>
        <v>-</v>
      </c>
      <c r="BX20" s="101" t="str">
        <f t="shared" si="35"/>
        <v>-</v>
      </c>
      <c r="BY20" s="101" t="str">
        <f t="shared" si="35"/>
        <v>-</v>
      </c>
      <c r="BZ20" s="101" t="str">
        <f t="shared" si="35"/>
        <v>-</v>
      </c>
      <c r="CA20" s="101" t="str">
        <f t="shared" si="36"/>
        <v>-</v>
      </c>
      <c r="CB20" s="101" t="str">
        <f t="shared" si="36"/>
        <v>-</v>
      </c>
      <c r="CC20" s="101" t="str">
        <f t="shared" si="36"/>
        <v>-</v>
      </c>
      <c r="CD20" s="101" t="str">
        <f t="shared" si="36"/>
        <v>-</v>
      </c>
      <c r="CE20" s="101" t="str">
        <f t="shared" si="36"/>
        <v>-</v>
      </c>
      <c r="CF20" s="101" t="str">
        <f t="shared" si="36"/>
        <v>-</v>
      </c>
      <c r="CG20" s="101" t="str">
        <f t="shared" si="36"/>
        <v>-</v>
      </c>
      <c r="CH20" s="101" t="str">
        <f t="shared" si="36"/>
        <v>-</v>
      </c>
      <c r="CI20" s="101" t="str">
        <f t="shared" si="36"/>
        <v>-</v>
      </c>
      <c r="CJ20" s="101" t="str">
        <f t="shared" si="36"/>
        <v>-</v>
      </c>
      <c r="CK20" s="101" t="str">
        <f t="shared" si="37"/>
        <v>-</v>
      </c>
      <c r="CL20" s="101" t="str">
        <f t="shared" si="37"/>
        <v>-</v>
      </c>
      <c r="CM20" s="101" t="str">
        <f t="shared" si="37"/>
        <v>-</v>
      </c>
      <c r="CN20" s="101" t="str">
        <f t="shared" si="37"/>
        <v>-</v>
      </c>
      <c r="CO20" s="101" t="str">
        <f t="shared" si="37"/>
        <v>-</v>
      </c>
      <c r="CP20" s="101" t="str">
        <f t="shared" si="37"/>
        <v>-</v>
      </c>
    </row>
    <row r="21" spans="1:96">
      <c r="A21" s="497"/>
      <c r="B21" s="500"/>
      <c r="C21" s="500"/>
      <c r="D21" s="466"/>
      <c r="E21" s="109" t="s">
        <v>67</v>
      </c>
      <c r="F21" s="102" t="e">
        <f>SUM('BESS 12'!S43:S50)</f>
        <v>#VALUE!</v>
      </c>
      <c r="G21" s="101">
        <f>MAX('BESS 12'!O43:O50)-MIN('BESS 12'!O43:O50)+1</f>
        <v>1</v>
      </c>
      <c r="H21" s="110">
        <f>MIN('BESS 12'!O43:O50)</f>
        <v>0</v>
      </c>
      <c r="I21" s="101" t="str">
        <f t="shared" si="29"/>
        <v>-</v>
      </c>
      <c r="J21" s="101" t="str">
        <f t="shared" si="29"/>
        <v>-</v>
      </c>
      <c r="K21" s="101" t="e">
        <f t="shared" si="29"/>
        <v>#VALUE!</v>
      </c>
      <c r="L21" s="101" t="str">
        <f t="shared" si="29"/>
        <v>-</v>
      </c>
      <c r="M21" s="101" t="str">
        <f t="shared" si="29"/>
        <v>-</v>
      </c>
      <c r="N21" s="101" t="str">
        <f t="shared" si="29"/>
        <v>-</v>
      </c>
      <c r="O21" s="101" t="str">
        <f t="shared" si="29"/>
        <v>-</v>
      </c>
      <c r="P21" s="101" t="str">
        <f t="shared" si="29"/>
        <v>-</v>
      </c>
      <c r="Q21" s="101" t="str">
        <f t="shared" si="29"/>
        <v>-</v>
      </c>
      <c r="R21" s="101" t="str">
        <f t="shared" si="29"/>
        <v>-</v>
      </c>
      <c r="S21" s="101" t="str">
        <f t="shared" si="30"/>
        <v>-</v>
      </c>
      <c r="T21" s="101" t="str">
        <f t="shared" si="30"/>
        <v>-</v>
      </c>
      <c r="U21" s="101" t="str">
        <f t="shared" si="30"/>
        <v>-</v>
      </c>
      <c r="V21" s="101" t="str">
        <f t="shared" si="30"/>
        <v>-</v>
      </c>
      <c r="W21" s="101" t="str">
        <f t="shared" si="30"/>
        <v>-</v>
      </c>
      <c r="X21" s="101" t="str">
        <f t="shared" si="30"/>
        <v>-</v>
      </c>
      <c r="Y21" s="101" t="str">
        <f t="shared" si="30"/>
        <v>-</v>
      </c>
      <c r="Z21" s="101" t="str">
        <f t="shared" si="30"/>
        <v>-</v>
      </c>
      <c r="AA21" s="101" t="str">
        <f t="shared" si="30"/>
        <v>-</v>
      </c>
      <c r="AB21" s="101" t="str">
        <f t="shared" si="30"/>
        <v>-</v>
      </c>
      <c r="AC21" s="101" t="str">
        <f t="shared" si="31"/>
        <v>-</v>
      </c>
      <c r="AD21" s="101" t="str">
        <f t="shared" si="31"/>
        <v>-</v>
      </c>
      <c r="AE21" s="101" t="str">
        <f t="shared" si="31"/>
        <v>-</v>
      </c>
      <c r="AF21" s="101" t="str">
        <f t="shared" si="31"/>
        <v>-</v>
      </c>
      <c r="AG21" s="101" t="str">
        <f t="shared" si="31"/>
        <v>-</v>
      </c>
      <c r="AH21" s="101" t="str">
        <f t="shared" si="31"/>
        <v>-</v>
      </c>
      <c r="AI21" s="101" t="str">
        <f t="shared" si="31"/>
        <v>-</v>
      </c>
      <c r="AJ21" s="101" t="str">
        <f t="shared" si="31"/>
        <v>-</v>
      </c>
      <c r="AK21" s="101" t="str">
        <f t="shared" si="31"/>
        <v>-</v>
      </c>
      <c r="AL21" s="101" t="str">
        <f t="shared" si="31"/>
        <v>-</v>
      </c>
      <c r="AM21" s="101" t="str">
        <f t="shared" si="32"/>
        <v>-</v>
      </c>
      <c r="AN21" s="101" t="str">
        <f t="shared" si="32"/>
        <v>-</v>
      </c>
      <c r="AO21" s="101" t="str">
        <f t="shared" si="32"/>
        <v>-</v>
      </c>
      <c r="AP21" s="101" t="str">
        <f t="shared" si="32"/>
        <v>-</v>
      </c>
      <c r="AQ21" s="101" t="str">
        <f t="shared" si="32"/>
        <v>-</v>
      </c>
      <c r="AR21" s="101" t="str">
        <f t="shared" si="32"/>
        <v>-</v>
      </c>
      <c r="AS21" s="101" t="str">
        <f t="shared" si="32"/>
        <v>-</v>
      </c>
      <c r="AT21" s="101" t="str">
        <f t="shared" si="32"/>
        <v>-</v>
      </c>
      <c r="AU21" s="101" t="str">
        <f t="shared" si="32"/>
        <v>-</v>
      </c>
      <c r="AV21" s="101" t="str">
        <f t="shared" si="32"/>
        <v>-</v>
      </c>
      <c r="AW21" s="101" t="str">
        <f t="shared" si="33"/>
        <v>-</v>
      </c>
      <c r="AX21" s="101" t="str">
        <f t="shared" si="33"/>
        <v>-</v>
      </c>
      <c r="AY21" s="101" t="str">
        <f t="shared" si="33"/>
        <v>-</v>
      </c>
      <c r="AZ21" s="101" t="str">
        <f t="shared" si="33"/>
        <v>-</v>
      </c>
      <c r="BA21" s="101" t="str">
        <f t="shared" si="33"/>
        <v>-</v>
      </c>
      <c r="BB21" s="101" t="str">
        <f t="shared" si="33"/>
        <v>-</v>
      </c>
      <c r="BC21" s="101" t="str">
        <f t="shared" si="33"/>
        <v>-</v>
      </c>
      <c r="BD21" s="101" t="str">
        <f t="shared" si="33"/>
        <v>-</v>
      </c>
      <c r="BE21" s="101" t="str">
        <f t="shared" si="33"/>
        <v>-</v>
      </c>
      <c r="BF21" s="101" t="str">
        <f t="shared" si="33"/>
        <v>-</v>
      </c>
      <c r="BG21" s="101" t="str">
        <f t="shared" si="34"/>
        <v>-</v>
      </c>
      <c r="BH21" s="101" t="str">
        <f t="shared" si="34"/>
        <v>-</v>
      </c>
      <c r="BI21" s="101" t="str">
        <f t="shared" si="34"/>
        <v>-</v>
      </c>
      <c r="BJ21" s="101" t="str">
        <f t="shared" si="34"/>
        <v>-</v>
      </c>
      <c r="BK21" s="101" t="str">
        <f t="shared" si="34"/>
        <v>-</v>
      </c>
      <c r="BL21" s="101" t="str">
        <f t="shared" si="34"/>
        <v>-</v>
      </c>
      <c r="BM21" s="101" t="str">
        <f t="shared" si="34"/>
        <v>-</v>
      </c>
      <c r="BN21" s="101" t="str">
        <f t="shared" si="34"/>
        <v>-</v>
      </c>
      <c r="BO21" s="101" t="str">
        <f t="shared" si="34"/>
        <v>-</v>
      </c>
      <c r="BP21" s="101" t="str">
        <f t="shared" si="34"/>
        <v>-</v>
      </c>
      <c r="BQ21" s="101" t="str">
        <f t="shared" si="35"/>
        <v>-</v>
      </c>
      <c r="BR21" s="101" t="str">
        <f t="shared" si="35"/>
        <v>-</v>
      </c>
      <c r="BS21" s="101" t="str">
        <f t="shared" si="35"/>
        <v>-</v>
      </c>
      <c r="BT21" s="101" t="str">
        <f t="shared" si="35"/>
        <v>-</v>
      </c>
      <c r="BU21" s="101" t="str">
        <f t="shared" si="35"/>
        <v>-</v>
      </c>
      <c r="BV21" s="101" t="str">
        <f t="shared" si="35"/>
        <v>-</v>
      </c>
      <c r="BW21" s="101" t="str">
        <f t="shared" si="35"/>
        <v>-</v>
      </c>
      <c r="BX21" s="101" t="str">
        <f t="shared" si="35"/>
        <v>-</v>
      </c>
      <c r="BY21" s="101" t="str">
        <f t="shared" si="35"/>
        <v>-</v>
      </c>
      <c r="BZ21" s="101" t="str">
        <f t="shared" si="35"/>
        <v>-</v>
      </c>
      <c r="CA21" s="101" t="str">
        <f t="shared" si="36"/>
        <v>-</v>
      </c>
      <c r="CB21" s="101" t="str">
        <f t="shared" si="36"/>
        <v>-</v>
      </c>
      <c r="CC21" s="101" t="str">
        <f t="shared" si="36"/>
        <v>-</v>
      </c>
      <c r="CD21" s="101" t="str">
        <f t="shared" si="36"/>
        <v>-</v>
      </c>
      <c r="CE21" s="101" t="str">
        <f t="shared" si="36"/>
        <v>-</v>
      </c>
      <c r="CF21" s="101" t="str">
        <f t="shared" si="36"/>
        <v>-</v>
      </c>
      <c r="CG21" s="101" t="str">
        <f t="shared" si="36"/>
        <v>-</v>
      </c>
      <c r="CH21" s="101" t="str">
        <f t="shared" si="36"/>
        <v>-</v>
      </c>
      <c r="CI21" s="101" t="str">
        <f t="shared" si="36"/>
        <v>-</v>
      </c>
      <c r="CJ21" s="101" t="str">
        <f t="shared" si="36"/>
        <v>-</v>
      </c>
      <c r="CK21" s="101" t="str">
        <f t="shared" si="37"/>
        <v>-</v>
      </c>
      <c r="CL21" s="101" t="str">
        <f t="shared" si="37"/>
        <v>-</v>
      </c>
      <c r="CM21" s="101" t="str">
        <f t="shared" si="37"/>
        <v>-</v>
      </c>
      <c r="CN21" s="101" t="str">
        <f t="shared" si="37"/>
        <v>-</v>
      </c>
      <c r="CO21" s="101" t="str">
        <f t="shared" si="37"/>
        <v>-</v>
      </c>
      <c r="CP21" s="101" t="str">
        <f t="shared" si="37"/>
        <v>-</v>
      </c>
    </row>
    <row r="22" spans="1:96">
      <c r="A22" s="498"/>
      <c r="B22" s="501"/>
      <c r="C22" s="501"/>
      <c r="D22" s="466"/>
      <c r="E22" s="109" t="s">
        <v>68</v>
      </c>
      <c r="F22" s="101">
        <v>250</v>
      </c>
      <c r="G22" s="101">
        <v>30</v>
      </c>
      <c r="H22" s="110" t="e">
        <f>B17-3</f>
        <v>#VALUE!</v>
      </c>
      <c r="I22" s="110"/>
      <c r="J22" s="110"/>
      <c r="K22" s="101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>
        <v>5</v>
      </c>
      <c r="Z22" s="102">
        <v>5</v>
      </c>
      <c r="AA22" s="102">
        <v>5</v>
      </c>
      <c r="AB22" s="102">
        <v>5</v>
      </c>
      <c r="AC22" s="102">
        <v>5</v>
      </c>
      <c r="AD22" s="102">
        <v>5</v>
      </c>
      <c r="AE22" s="102">
        <v>5</v>
      </c>
      <c r="AF22" s="102">
        <v>5</v>
      </c>
      <c r="AG22" s="102">
        <v>5</v>
      </c>
      <c r="AH22" s="102">
        <v>5</v>
      </c>
      <c r="AI22" s="102">
        <v>5</v>
      </c>
      <c r="AJ22" s="102">
        <v>5</v>
      </c>
      <c r="AK22" s="102">
        <v>5</v>
      </c>
      <c r="AL22" s="102">
        <v>5</v>
      </c>
      <c r="AM22" s="102">
        <v>5</v>
      </c>
      <c r="AN22" s="102">
        <v>5</v>
      </c>
      <c r="AO22" s="102">
        <v>5</v>
      </c>
      <c r="AP22" s="102">
        <v>5</v>
      </c>
      <c r="AQ22" s="102">
        <v>5</v>
      </c>
      <c r="AR22" s="102">
        <v>5</v>
      </c>
      <c r="AS22" s="102">
        <v>5</v>
      </c>
      <c r="AT22" s="102">
        <v>5</v>
      </c>
      <c r="AU22" s="102">
        <v>5</v>
      </c>
      <c r="AV22" s="102">
        <v>5</v>
      </c>
      <c r="AW22" s="102">
        <v>30</v>
      </c>
      <c r="AX22" s="102">
        <v>30</v>
      </c>
      <c r="AY22" s="102">
        <v>30</v>
      </c>
      <c r="AZ22" s="102">
        <v>30</v>
      </c>
      <c r="BA22" s="102">
        <v>5</v>
      </c>
      <c r="BB22" s="102">
        <v>5</v>
      </c>
      <c r="BC22" s="102"/>
      <c r="BD22" s="102"/>
      <c r="BE22" s="102"/>
      <c r="BF22" s="102"/>
      <c r="BG22" s="102"/>
      <c r="BH22" s="101"/>
      <c r="BI22" s="101"/>
      <c r="BJ22" s="101"/>
      <c r="BK22" s="101"/>
      <c r="BL22" s="101"/>
      <c r="BM22" s="101"/>
      <c r="BN22" s="101"/>
      <c r="BO22" s="101"/>
      <c r="BP22" s="109"/>
      <c r="BQ22" s="109"/>
      <c r="BR22" s="109"/>
      <c r="BS22" s="109"/>
      <c r="BT22" s="109"/>
      <c r="BU22" s="109"/>
      <c r="BV22" s="109"/>
      <c r="BW22" s="109"/>
      <c r="BX22" s="109"/>
      <c r="BY22" s="109"/>
      <c r="BZ22" s="109"/>
      <c r="CA22" s="109"/>
      <c r="CB22" s="109"/>
      <c r="CC22" s="109"/>
      <c r="CD22" s="109"/>
      <c r="CE22" s="109"/>
      <c r="CF22" s="109"/>
      <c r="CG22" s="109"/>
      <c r="CH22" s="109"/>
      <c r="CI22" s="109"/>
      <c r="CJ22" s="109"/>
      <c r="CK22" s="109"/>
      <c r="CL22" s="109"/>
      <c r="CM22" s="109"/>
      <c r="CN22" s="109"/>
      <c r="CO22" s="109"/>
      <c r="CP22" s="109"/>
    </row>
    <row r="23" spans="1:96">
      <c r="B23" s="126"/>
      <c r="E23" s="120"/>
      <c r="F23" s="120"/>
      <c r="G23" s="121"/>
      <c r="H23" s="112" t="s">
        <v>69</v>
      </c>
      <c r="I23" s="113">
        <f t="shared" ref="I23:AN23" si="38">SUM(I18:I22)</f>
        <v>0</v>
      </c>
      <c r="J23" s="113">
        <f t="shared" si="38"/>
        <v>0</v>
      </c>
      <c r="K23" s="113" t="e">
        <f t="shared" si="38"/>
        <v>#VALUE!</v>
      </c>
      <c r="L23" s="113">
        <f t="shared" si="38"/>
        <v>0</v>
      </c>
      <c r="M23" s="113">
        <f t="shared" si="38"/>
        <v>0</v>
      </c>
      <c r="N23" s="113">
        <f t="shared" si="38"/>
        <v>0</v>
      </c>
      <c r="O23" s="113">
        <f t="shared" si="38"/>
        <v>0</v>
      </c>
      <c r="P23" s="113">
        <f t="shared" si="38"/>
        <v>0</v>
      </c>
      <c r="Q23" s="113">
        <f t="shared" si="38"/>
        <v>0</v>
      </c>
      <c r="R23" s="113">
        <f t="shared" si="38"/>
        <v>0</v>
      </c>
      <c r="S23" s="113">
        <f t="shared" si="38"/>
        <v>0</v>
      </c>
      <c r="T23" s="113">
        <f t="shared" si="38"/>
        <v>0</v>
      </c>
      <c r="U23" s="113">
        <f t="shared" si="38"/>
        <v>0</v>
      </c>
      <c r="V23" s="113">
        <f t="shared" si="38"/>
        <v>0</v>
      </c>
      <c r="W23" s="113">
        <f t="shared" si="38"/>
        <v>0</v>
      </c>
      <c r="X23" s="113">
        <f t="shared" si="38"/>
        <v>0</v>
      </c>
      <c r="Y23" s="113">
        <f t="shared" si="38"/>
        <v>5</v>
      </c>
      <c r="Z23" s="113">
        <f t="shared" si="38"/>
        <v>5</v>
      </c>
      <c r="AA23" s="113">
        <f t="shared" si="38"/>
        <v>5</v>
      </c>
      <c r="AB23" s="113">
        <f t="shared" si="38"/>
        <v>5</v>
      </c>
      <c r="AC23" s="113">
        <f t="shared" si="38"/>
        <v>5</v>
      </c>
      <c r="AD23" s="113">
        <f t="shared" si="38"/>
        <v>5</v>
      </c>
      <c r="AE23" s="113">
        <f t="shared" si="38"/>
        <v>5</v>
      </c>
      <c r="AF23" s="113">
        <f t="shared" si="38"/>
        <v>5</v>
      </c>
      <c r="AG23" s="113">
        <f t="shared" si="38"/>
        <v>5</v>
      </c>
      <c r="AH23" s="113">
        <f t="shared" si="38"/>
        <v>5</v>
      </c>
      <c r="AI23" s="113">
        <f t="shared" si="38"/>
        <v>5</v>
      </c>
      <c r="AJ23" s="113">
        <f t="shared" si="38"/>
        <v>5</v>
      </c>
      <c r="AK23" s="113">
        <f t="shared" si="38"/>
        <v>5</v>
      </c>
      <c r="AL23" s="113">
        <f t="shared" si="38"/>
        <v>5</v>
      </c>
      <c r="AM23" s="113">
        <f t="shared" si="38"/>
        <v>5</v>
      </c>
      <c r="AN23" s="113">
        <f t="shared" si="38"/>
        <v>5</v>
      </c>
      <c r="AO23" s="113">
        <f t="shared" ref="AO23:BO23" si="39">SUM(AO18:AO22)</f>
        <v>5</v>
      </c>
      <c r="AP23" s="113">
        <f t="shared" si="39"/>
        <v>5</v>
      </c>
      <c r="AQ23" s="113">
        <f t="shared" si="39"/>
        <v>5</v>
      </c>
      <c r="AR23" s="113">
        <f t="shared" si="39"/>
        <v>5</v>
      </c>
      <c r="AS23" s="113">
        <f t="shared" si="39"/>
        <v>5</v>
      </c>
      <c r="AT23" s="113">
        <f t="shared" si="39"/>
        <v>5</v>
      </c>
      <c r="AU23" s="113">
        <f t="shared" si="39"/>
        <v>5</v>
      </c>
      <c r="AV23" s="113">
        <f t="shared" si="39"/>
        <v>5</v>
      </c>
      <c r="AW23" s="113">
        <f t="shared" si="39"/>
        <v>30</v>
      </c>
      <c r="AX23" s="113">
        <f t="shared" si="39"/>
        <v>30</v>
      </c>
      <c r="AY23" s="113">
        <f t="shared" si="39"/>
        <v>30</v>
      </c>
      <c r="AZ23" s="113">
        <f t="shared" si="39"/>
        <v>30</v>
      </c>
      <c r="BA23" s="113">
        <f t="shared" si="39"/>
        <v>5</v>
      </c>
      <c r="BB23" s="113">
        <f t="shared" si="39"/>
        <v>5</v>
      </c>
      <c r="BC23" s="113">
        <f t="shared" si="39"/>
        <v>0</v>
      </c>
      <c r="BD23" s="113">
        <f t="shared" si="39"/>
        <v>0</v>
      </c>
      <c r="BE23" s="113">
        <f t="shared" si="39"/>
        <v>0</v>
      </c>
      <c r="BF23" s="113">
        <f t="shared" si="39"/>
        <v>0</v>
      </c>
      <c r="BG23" s="113">
        <f t="shared" si="39"/>
        <v>0</v>
      </c>
      <c r="BH23" s="113">
        <f t="shared" si="39"/>
        <v>0</v>
      </c>
      <c r="BI23" s="113">
        <f t="shared" si="39"/>
        <v>0</v>
      </c>
      <c r="BJ23" s="113">
        <f t="shared" si="39"/>
        <v>0</v>
      </c>
      <c r="BK23" s="113">
        <f t="shared" si="39"/>
        <v>0</v>
      </c>
      <c r="BL23" s="113">
        <f t="shared" si="39"/>
        <v>0</v>
      </c>
      <c r="BM23" s="113">
        <f t="shared" si="39"/>
        <v>0</v>
      </c>
      <c r="BN23" s="113">
        <f t="shared" si="39"/>
        <v>0</v>
      </c>
      <c r="BO23" s="113">
        <f t="shared" si="39"/>
        <v>0</v>
      </c>
      <c r="BP23" s="109"/>
      <c r="BQ23" s="109"/>
      <c r="BR23" s="109"/>
      <c r="BS23" s="109"/>
      <c r="BT23" s="109"/>
      <c r="BU23" s="109"/>
      <c r="BV23" s="109"/>
      <c r="BW23" s="109"/>
      <c r="BX23" s="109"/>
      <c r="BY23" s="109"/>
      <c r="BZ23" s="109"/>
      <c r="CA23" s="109"/>
      <c r="CB23" s="109"/>
      <c r="CC23" s="109"/>
      <c r="CD23" s="109"/>
      <c r="CE23" s="109"/>
      <c r="CF23" s="109"/>
      <c r="CG23" s="109"/>
      <c r="CH23" s="109"/>
      <c r="CI23" s="109"/>
      <c r="CJ23" s="109"/>
      <c r="CK23" s="109"/>
      <c r="CL23" s="109"/>
      <c r="CM23" s="109"/>
      <c r="CN23" s="109"/>
      <c r="CO23" s="109"/>
      <c r="CP23" s="109"/>
      <c r="CQ23" s="160" t="e">
        <f>AVERAGE(I23:BD23)</f>
        <v>#VALUE!</v>
      </c>
      <c r="CR23" s="160" t="e">
        <f>MAX(I23:BD23)</f>
        <v>#VALUE!</v>
      </c>
    </row>
    <row r="24" spans="1:96">
      <c r="B24" s="126"/>
      <c r="E24" s="103"/>
      <c r="F24" s="104"/>
      <c r="G24" s="104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3"/>
      <c r="BH24" s="103"/>
      <c r="BI24" s="103"/>
      <c r="BJ24" s="103"/>
      <c r="BK24" s="103"/>
      <c r="BL24" s="103"/>
      <c r="BM24" s="103"/>
      <c r="BN24" s="103"/>
      <c r="BO24" s="103"/>
      <c r="BP24" s="107"/>
    </row>
    <row r="25" spans="1:96">
      <c r="A25" s="495" t="s">
        <v>72</v>
      </c>
      <c r="B25" s="502">
        <f>'BESS 12'!F141</f>
        <v>46240</v>
      </c>
      <c r="C25" s="502">
        <f>'BESS 12'!G141</f>
        <v>46245</v>
      </c>
      <c r="D25" s="114"/>
      <c r="E25" s="114" t="s">
        <v>10</v>
      </c>
      <c r="F25" s="115" t="s">
        <v>58</v>
      </c>
      <c r="G25" s="115" t="s">
        <v>59</v>
      </c>
      <c r="H25" s="115" t="s">
        <v>60</v>
      </c>
      <c r="I25" s="116">
        <v>46195</v>
      </c>
      <c r="J25" s="116">
        <v>46196</v>
      </c>
      <c r="K25" s="116">
        <v>46197</v>
      </c>
      <c r="L25" s="116">
        <f t="shared" ref="L25:AQ25" si="40">K25+1</f>
        <v>46198</v>
      </c>
      <c r="M25" s="116">
        <f t="shared" si="40"/>
        <v>46199</v>
      </c>
      <c r="N25" s="116">
        <f t="shared" si="40"/>
        <v>46200</v>
      </c>
      <c r="O25" s="116">
        <f t="shared" si="40"/>
        <v>46201</v>
      </c>
      <c r="P25" s="116">
        <f t="shared" si="40"/>
        <v>46202</v>
      </c>
      <c r="Q25" s="116">
        <f t="shared" si="40"/>
        <v>46203</v>
      </c>
      <c r="R25" s="116">
        <f t="shared" si="40"/>
        <v>46204</v>
      </c>
      <c r="S25" s="116">
        <f t="shared" si="40"/>
        <v>46205</v>
      </c>
      <c r="T25" s="116">
        <f t="shared" si="40"/>
        <v>46206</v>
      </c>
      <c r="U25" s="116">
        <f t="shared" si="40"/>
        <v>46207</v>
      </c>
      <c r="V25" s="116">
        <f t="shared" si="40"/>
        <v>46208</v>
      </c>
      <c r="W25" s="116">
        <f t="shared" si="40"/>
        <v>46209</v>
      </c>
      <c r="X25" s="116">
        <f t="shared" si="40"/>
        <v>46210</v>
      </c>
      <c r="Y25" s="116">
        <f t="shared" si="40"/>
        <v>46211</v>
      </c>
      <c r="Z25" s="116">
        <f t="shared" si="40"/>
        <v>46212</v>
      </c>
      <c r="AA25" s="116">
        <f t="shared" si="40"/>
        <v>46213</v>
      </c>
      <c r="AB25" s="116">
        <f t="shared" si="40"/>
        <v>46214</v>
      </c>
      <c r="AC25" s="116">
        <f t="shared" si="40"/>
        <v>46215</v>
      </c>
      <c r="AD25" s="116">
        <f t="shared" si="40"/>
        <v>46216</v>
      </c>
      <c r="AE25" s="116">
        <f t="shared" si="40"/>
        <v>46217</v>
      </c>
      <c r="AF25" s="116">
        <f t="shared" si="40"/>
        <v>46218</v>
      </c>
      <c r="AG25" s="116">
        <f t="shared" si="40"/>
        <v>46219</v>
      </c>
      <c r="AH25" s="116">
        <f t="shared" si="40"/>
        <v>46220</v>
      </c>
      <c r="AI25" s="116">
        <f t="shared" si="40"/>
        <v>46221</v>
      </c>
      <c r="AJ25" s="116">
        <f t="shared" si="40"/>
        <v>46222</v>
      </c>
      <c r="AK25" s="116">
        <f t="shared" si="40"/>
        <v>46223</v>
      </c>
      <c r="AL25" s="116">
        <f t="shared" si="40"/>
        <v>46224</v>
      </c>
      <c r="AM25" s="116">
        <f t="shared" si="40"/>
        <v>46225</v>
      </c>
      <c r="AN25" s="116">
        <f t="shared" si="40"/>
        <v>46226</v>
      </c>
      <c r="AO25" s="116">
        <f t="shared" si="40"/>
        <v>46227</v>
      </c>
      <c r="AP25" s="116">
        <f t="shared" si="40"/>
        <v>46228</v>
      </c>
      <c r="AQ25" s="116">
        <f t="shared" si="40"/>
        <v>46229</v>
      </c>
      <c r="AR25" s="116">
        <f t="shared" ref="AR25:BW25" si="41">AQ25+1</f>
        <v>46230</v>
      </c>
      <c r="AS25" s="116">
        <f t="shared" si="41"/>
        <v>46231</v>
      </c>
      <c r="AT25" s="116">
        <f t="shared" si="41"/>
        <v>46232</v>
      </c>
      <c r="AU25" s="116">
        <f t="shared" si="41"/>
        <v>46233</v>
      </c>
      <c r="AV25" s="116">
        <f t="shared" si="41"/>
        <v>46234</v>
      </c>
      <c r="AW25" s="116">
        <f t="shared" si="41"/>
        <v>46235</v>
      </c>
      <c r="AX25" s="116">
        <f t="shared" si="41"/>
        <v>46236</v>
      </c>
      <c r="AY25" s="116">
        <f t="shared" si="41"/>
        <v>46237</v>
      </c>
      <c r="AZ25" s="116">
        <f t="shared" si="41"/>
        <v>46238</v>
      </c>
      <c r="BA25" s="116">
        <f t="shared" si="41"/>
        <v>46239</v>
      </c>
      <c r="BB25" s="116">
        <f t="shared" si="41"/>
        <v>46240</v>
      </c>
      <c r="BC25" s="116">
        <f t="shared" si="41"/>
        <v>46241</v>
      </c>
      <c r="BD25" s="116">
        <f t="shared" si="41"/>
        <v>46242</v>
      </c>
      <c r="BE25" s="116">
        <f t="shared" si="41"/>
        <v>46243</v>
      </c>
      <c r="BF25" s="116">
        <f t="shared" si="41"/>
        <v>46244</v>
      </c>
      <c r="BG25" s="116">
        <f t="shared" si="41"/>
        <v>46245</v>
      </c>
      <c r="BH25" s="116">
        <f t="shared" si="41"/>
        <v>46246</v>
      </c>
      <c r="BI25" s="116">
        <f t="shared" si="41"/>
        <v>46247</v>
      </c>
      <c r="BJ25" s="116">
        <f t="shared" si="41"/>
        <v>46248</v>
      </c>
      <c r="BK25" s="116">
        <f t="shared" si="41"/>
        <v>46249</v>
      </c>
      <c r="BL25" s="116">
        <f t="shared" si="41"/>
        <v>46250</v>
      </c>
      <c r="BM25" s="116">
        <f t="shared" si="41"/>
        <v>46251</v>
      </c>
      <c r="BN25" s="116">
        <f t="shared" si="41"/>
        <v>46252</v>
      </c>
      <c r="BO25" s="116">
        <f t="shared" si="41"/>
        <v>46253</v>
      </c>
      <c r="BP25" s="116">
        <f t="shared" si="41"/>
        <v>46254</v>
      </c>
      <c r="BQ25" s="116">
        <f t="shared" si="41"/>
        <v>46255</v>
      </c>
      <c r="BR25" s="116">
        <f t="shared" si="41"/>
        <v>46256</v>
      </c>
      <c r="BS25" s="116">
        <f t="shared" si="41"/>
        <v>46257</v>
      </c>
      <c r="BT25" s="116">
        <f t="shared" si="41"/>
        <v>46258</v>
      </c>
      <c r="BU25" s="116">
        <f t="shared" si="41"/>
        <v>46259</v>
      </c>
      <c r="BV25" s="116">
        <f t="shared" si="41"/>
        <v>46260</v>
      </c>
      <c r="BW25" s="116">
        <f t="shared" si="41"/>
        <v>46261</v>
      </c>
      <c r="BX25" s="116">
        <f t="shared" ref="BX25:CP25" si="42">BW25+1</f>
        <v>46262</v>
      </c>
      <c r="BY25" s="116">
        <f t="shared" si="42"/>
        <v>46263</v>
      </c>
      <c r="BZ25" s="116">
        <f t="shared" si="42"/>
        <v>46264</v>
      </c>
      <c r="CA25" s="116">
        <f t="shared" si="42"/>
        <v>46265</v>
      </c>
      <c r="CB25" s="116">
        <f t="shared" si="42"/>
        <v>46266</v>
      </c>
      <c r="CC25" s="116">
        <f t="shared" si="42"/>
        <v>46267</v>
      </c>
      <c r="CD25" s="116">
        <f t="shared" si="42"/>
        <v>46268</v>
      </c>
      <c r="CE25" s="116">
        <f t="shared" si="42"/>
        <v>46269</v>
      </c>
      <c r="CF25" s="116">
        <f t="shared" si="42"/>
        <v>46270</v>
      </c>
      <c r="CG25" s="116">
        <f t="shared" si="42"/>
        <v>46271</v>
      </c>
      <c r="CH25" s="116">
        <f t="shared" si="42"/>
        <v>46272</v>
      </c>
      <c r="CI25" s="116">
        <f t="shared" si="42"/>
        <v>46273</v>
      </c>
      <c r="CJ25" s="116">
        <f t="shared" si="42"/>
        <v>46274</v>
      </c>
      <c r="CK25" s="116">
        <f t="shared" si="42"/>
        <v>46275</v>
      </c>
      <c r="CL25" s="116">
        <f t="shared" si="42"/>
        <v>46276</v>
      </c>
      <c r="CM25" s="116">
        <f t="shared" si="42"/>
        <v>46277</v>
      </c>
      <c r="CN25" s="116">
        <f t="shared" si="42"/>
        <v>46278</v>
      </c>
      <c r="CO25" s="116">
        <f t="shared" si="42"/>
        <v>46279</v>
      </c>
      <c r="CP25" s="116">
        <f t="shared" si="42"/>
        <v>46280</v>
      </c>
    </row>
    <row r="26" spans="1:96">
      <c r="A26" s="495"/>
      <c r="B26" s="502"/>
      <c r="C26" s="502"/>
      <c r="D26" s="467">
        <f>'BESS 12'!H141</f>
        <v>46248</v>
      </c>
      <c r="E26" s="109" t="s">
        <v>64</v>
      </c>
      <c r="F26" s="102" t="e">
        <f>SUM('BESS 12'!S154:S161,'BESS 12'!S163)</f>
        <v>#VALUE!</v>
      </c>
      <c r="G26" s="101">
        <f>MAX('BESS 11'!O155:O162,'BESS 11'!O164)-MIN('BESS 11'!O155:O162,'BESS 11'!O164)+1</f>
        <v>10</v>
      </c>
      <c r="H26" s="110">
        <f>MIN('BESS 12'!O154:O161,'BESS 12'!O163)</f>
        <v>46229</v>
      </c>
      <c r="I26" s="101" t="str">
        <f t="shared" ref="I26:R29" si="43">IF(AND(I$1&gt;=$H26,I$1&lt;($H26+$G26)),ROUND($F26/$G26,0),"-")</f>
        <v>-</v>
      </c>
      <c r="J26" s="101" t="str">
        <f t="shared" si="43"/>
        <v>-</v>
      </c>
      <c r="K26" s="101" t="str">
        <f t="shared" si="43"/>
        <v>-</v>
      </c>
      <c r="L26" s="101" t="str">
        <f t="shared" si="43"/>
        <v>-</v>
      </c>
      <c r="M26" s="101" t="str">
        <f t="shared" si="43"/>
        <v>-</v>
      </c>
      <c r="N26" s="101" t="str">
        <f t="shared" si="43"/>
        <v>-</v>
      </c>
      <c r="O26" s="101" t="str">
        <f t="shared" si="43"/>
        <v>-</v>
      </c>
      <c r="P26" s="101" t="str">
        <f t="shared" si="43"/>
        <v>-</v>
      </c>
      <c r="Q26" s="101" t="str">
        <f t="shared" si="43"/>
        <v>-</v>
      </c>
      <c r="R26" s="101" t="str">
        <f t="shared" si="43"/>
        <v>-</v>
      </c>
      <c r="S26" s="101" t="str">
        <f t="shared" ref="S26:AB29" si="44">IF(AND(S$1&gt;=$H26,S$1&lt;($H26+$G26)),ROUND($F26/$G26,0),"-")</f>
        <v>-</v>
      </c>
      <c r="T26" s="101" t="str">
        <f t="shared" si="44"/>
        <v>-</v>
      </c>
      <c r="U26" s="101" t="str">
        <f t="shared" si="44"/>
        <v>-</v>
      </c>
      <c r="V26" s="101" t="str">
        <f t="shared" si="44"/>
        <v>-</v>
      </c>
      <c r="W26" s="101" t="str">
        <f t="shared" si="44"/>
        <v>-</v>
      </c>
      <c r="X26" s="101" t="str">
        <f t="shared" si="44"/>
        <v>-</v>
      </c>
      <c r="Y26" s="101" t="str">
        <f t="shared" si="44"/>
        <v>-</v>
      </c>
      <c r="Z26" s="101" t="str">
        <f t="shared" si="44"/>
        <v>-</v>
      </c>
      <c r="AA26" s="101" t="str">
        <f t="shared" si="44"/>
        <v>-</v>
      </c>
      <c r="AB26" s="101" t="str">
        <f t="shared" si="44"/>
        <v>-</v>
      </c>
      <c r="AC26" s="101" t="str">
        <f t="shared" ref="AC26:AL29" si="45">IF(AND(AC$1&gt;=$H26,AC$1&lt;($H26+$G26)),ROUND($F26/$G26,0),"-")</f>
        <v>-</v>
      </c>
      <c r="AD26" s="101" t="str">
        <f t="shared" si="45"/>
        <v>-</v>
      </c>
      <c r="AE26" s="101" t="str">
        <f t="shared" si="45"/>
        <v>-</v>
      </c>
      <c r="AF26" s="101" t="str">
        <f t="shared" si="45"/>
        <v>-</v>
      </c>
      <c r="AG26" s="101" t="str">
        <f t="shared" si="45"/>
        <v>-</v>
      </c>
      <c r="AH26" s="101" t="str">
        <f t="shared" si="45"/>
        <v>-</v>
      </c>
      <c r="AI26" s="101" t="str">
        <f t="shared" si="45"/>
        <v>-</v>
      </c>
      <c r="AJ26" s="101" t="str">
        <f t="shared" si="45"/>
        <v>-</v>
      </c>
      <c r="AK26" s="101" t="str">
        <f t="shared" si="45"/>
        <v>-</v>
      </c>
      <c r="AL26" s="101" t="str">
        <f t="shared" si="45"/>
        <v>-</v>
      </c>
      <c r="AM26" s="101" t="str">
        <f t="shared" ref="AM26:AV29" si="46">IF(AND(AM$1&gt;=$H26,AM$1&lt;($H26+$G26)),ROUND($F26/$G26,0),"-")</f>
        <v>-</v>
      </c>
      <c r="AN26" s="101" t="str">
        <f t="shared" si="46"/>
        <v>-</v>
      </c>
      <c r="AO26" s="101" t="str">
        <f t="shared" si="46"/>
        <v>-</v>
      </c>
      <c r="AP26" s="101" t="str">
        <f t="shared" si="46"/>
        <v>-</v>
      </c>
      <c r="AQ26" s="101" t="str">
        <f t="shared" si="46"/>
        <v>-</v>
      </c>
      <c r="AR26" s="101" t="str">
        <f t="shared" si="46"/>
        <v>-</v>
      </c>
      <c r="AS26" s="101" t="str">
        <f t="shared" si="46"/>
        <v>-</v>
      </c>
      <c r="AT26" s="101" t="str">
        <f t="shared" si="46"/>
        <v>-</v>
      </c>
      <c r="AU26" s="101" t="str">
        <f t="shared" si="46"/>
        <v>-</v>
      </c>
      <c r="AV26" s="101" t="str">
        <f t="shared" si="46"/>
        <v>-</v>
      </c>
      <c r="AW26" s="101" t="str">
        <f t="shared" ref="AW26:BF29" si="47">IF(AND(AW$1&gt;=$H26,AW$1&lt;($H26+$G26)),ROUND($F26/$G26,0),"-")</f>
        <v>-</v>
      </c>
      <c r="AX26" s="101" t="str">
        <f t="shared" si="47"/>
        <v>-</v>
      </c>
      <c r="AY26" s="101" t="str">
        <f t="shared" si="47"/>
        <v>-</v>
      </c>
      <c r="AZ26" s="101" t="str">
        <f t="shared" si="47"/>
        <v>-</v>
      </c>
      <c r="BA26" s="101" t="str">
        <f t="shared" si="47"/>
        <v>-</v>
      </c>
      <c r="BB26" s="101" t="str">
        <f t="shared" si="47"/>
        <v>-</v>
      </c>
      <c r="BC26" s="101" t="str">
        <f t="shared" si="47"/>
        <v>-</v>
      </c>
      <c r="BD26" s="101" t="str">
        <f t="shared" si="47"/>
        <v>-</v>
      </c>
      <c r="BE26" s="101" t="str">
        <f t="shared" si="47"/>
        <v>-</v>
      </c>
      <c r="BF26" s="101" t="str">
        <f t="shared" si="47"/>
        <v>-</v>
      </c>
      <c r="BG26" s="101" t="str">
        <f t="shared" ref="BG26:BP29" si="48">IF(AND(BG$1&gt;=$H26,BG$1&lt;($H26+$G26)),ROUND($F26/$G26,0),"-")</f>
        <v>-</v>
      </c>
      <c r="BH26" s="101" t="str">
        <f t="shared" si="48"/>
        <v>-</v>
      </c>
      <c r="BI26" s="101" t="str">
        <f t="shared" si="48"/>
        <v>-</v>
      </c>
      <c r="BJ26" s="101" t="str">
        <f t="shared" si="48"/>
        <v>-</v>
      </c>
      <c r="BK26" s="101" t="str">
        <f t="shared" si="48"/>
        <v>-</v>
      </c>
      <c r="BL26" s="101" t="str">
        <f t="shared" si="48"/>
        <v>-</v>
      </c>
      <c r="BM26" s="101" t="str">
        <f t="shared" si="48"/>
        <v>-</v>
      </c>
      <c r="BN26" s="101" t="str">
        <f t="shared" si="48"/>
        <v>-</v>
      </c>
      <c r="BO26" s="101" t="str">
        <f t="shared" si="48"/>
        <v>-</v>
      </c>
      <c r="BP26" s="101" t="str">
        <f t="shared" si="48"/>
        <v>-</v>
      </c>
      <c r="BQ26" s="101" t="str">
        <f t="shared" ref="BQ26:BZ29" si="49">IF(AND(BQ$1&gt;=$H26,BQ$1&lt;($H26+$G26)),ROUND($F26/$G26,0),"-")</f>
        <v>-</v>
      </c>
      <c r="BR26" s="101" t="str">
        <f t="shared" si="49"/>
        <v>-</v>
      </c>
      <c r="BS26" s="101" t="str">
        <f t="shared" si="49"/>
        <v>-</v>
      </c>
      <c r="BT26" s="101" t="str">
        <f t="shared" si="49"/>
        <v>-</v>
      </c>
      <c r="BU26" s="101" t="str">
        <f t="shared" si="49"/>
        <v>-</v>
      </c>
      <c r="BV26" s="101" t="str">
        <f t="shared" si="49"/>
        <v>-</v>
      </c>
      <c r="BW26" s="101" t="str">
        <f t="shared" si="49"/>
        <v>-</v>
      </c>
      <c r="BX26" s="101" t="str">
        <f t="shared" si="49"/>
        <v>-</v>
      </c>
      <c r="BY26" s="101" t="str">
        <f t="shared" si="49"/>
        <v>-</v>
      </c>
      <c r="BZ26" s="101" t="str">
        <f t="shared" si="49"/>
        <v>-</v>
      </c>
      <c r="CA26" s="101" t="str">
        <f t="shared" ref="CA26:CJ29" si="50">IF(AND(CA$1&gt;=$H26,CA$1&lt;($H26+$G26)),ROUND($F26/$G26,0),"-")</f>
        <v>-</v>
      </c>
      <c r="CB26" s="101" t="str">
        <f t="shared" si="50"/>
        <v>-</v>
      </c>
      <c r="CC26" s="101" t="str">
        <f t="shared" si="50"/>
        <v>-</v>
      </c>
      <c r="CD26" s="101" t="str">
        <f t="shared" si="50"/>
        <v>-</v>
      </c>
      <c r="CE26" s="101" t="str">
        <f t="shared" si="50"/>
        <v>-</v>
      </c>
      <c r="CF26" s="101" t="str">
        <f t="shared" si="50"/>
        <v>-</v>
      </c>
      <c r="CG26" s="101" t="str">
        <f t="shared" si="50"/>
        <v>-</v>
      </c>
      <c r="CH26" s="101" t="str">
        <f t="shared" si="50"/>
        <v>-</v>
      </c>
      <c r="CI26" s="101" t="str">
        <f t="shared" si="50"/>
        <v>-</v>
      </c>
      <c r="CJ26" s="101" t="str">
        <f t="shared" si="50"/>
        <v>-</v>
      </c>
      <c r="CK26" s="101" t="str">
        <f t="shared" ref="CK26:CP29" si="51">IF(AND(CK$1&gt;=$H26,CK$1&lt;($H26+$G26)),ROUND($F26/$G26,0),"-")</f>
        <v>-</v>
      </c>
      <c r="CL26" s="101" t="str">
        <f t="shared" si="51"/>
        <v>-</v>
      </c>
      <c r="CM26" s="101" t="str">
        <f t="shared" si="51"/>
        <v>-</v>
      </c>
      <c r="CN26" s="101" t="str">
        <f t="shared" si="51"/>
        <v>-</v>
      </c>
      <c r="CO26" s="101" t="str">
        <f t="shared" si="51"/>
        <v>-</v>
      </c>
      <c r="CP26" s="101" t="str">
        <f t="shared" si="51"/>
        <v>-</v>
      </c>
    </row>
    <row r="27" spans="1:96">
      <c r="A27" s="495"/>
      <c r="B27" s="502"/>
      <c r="C27" s="502"/>
      <c r="D27" s="466"/>
      <c r="E27" s="109" t="s">
        <v>65</v>
      </c>
      <c r="F27" s="102" t="e">
        <f>SUM('BESS 12'!S164,'BESS 12'!S166:S167,'BESS 12'!S170:S172)</f>
        <v>#VALUE!</v>
      </c>
      <c r="G27" s="101">
        <f>MAX('BESS 11'!O165,'BESS 11'!O167:O168,'BESS 11'!O171:O173)-MIN('BESS 11'!O165,'BESS 11'!O167:O168,'BESS 11'!O171:O173)+1</f>
        <v>1</v>
      </c>
      <c r="H27" s="110">
        <f>MIN('BESS 12'!O164,'BESS 12'!O166:O167,'BESS 12'!O170:O172)</f>
        <v>46232</v>
      </c>
      <c r="I27" s="101" t="str">
        <f t="shared" si="43"/>
        <v>-</v>
      </c>
      <c r="J27" s="101" t="str">
        <f t="shared" si="43"/>
        <v>-</v>
      </c>
      <c r="K27" s="101" t="str">
        <f t="shared" si="43"/>
        <v>-</v>
      </c>
      <c r="L27" s="101" t="str">
        <f t="shared" si="43"/>
        <v>-</v>
      </c>
      <c r="M27" s="101" t="str">
        <f t="shared" si="43"/>
        <v>-</v>
      </c>
      <c r="N27" s="101" t="str">
        <f t="shared" si="43"/>
        <v>-</v>
      </c>
      <c r="O27" s="101" t="str">
        <f t="shared" si="43"/>
        <v>-</v>
      </c>
      <c r="P27" s="101" t="str">
        <f t="shared" si="43"/>
        <v>-</v>
      </c>
      <c r="Q27" s="101" t="str">
        <f t="shared" si="43"/>
        <v>-</v>
      </c>
      <c r="R27" s="101" t="str">
        <f t="shared" si="43"/>
        <v>-</v>
      </c>
      <c r="S27" s="101" t="str">
        <f t="shared" si="44"/>
        <v>-</v>
      </c>
      <c r="T27" s="101" t="str">
        <f t="shared" si="44"/>
        <v>-</v>
      </c>
      <c r="U27" s="101" t="str">
        <f t="shared" si="44"/>
        <v>-</v>
      </c>
      <c r="V27" s="101" t="str">
        <f t="shared" si="44"/>
        <v>-</v>
      </c>
      <c r="W27" s="101" t="str">
        <f t="shared" si="44"/>
        <v>-</v>
      </c>
      <c r="X27" s="101" t="str">
        <f t="shared" si="44"/>
        <v>-</v>
      </c>
      <c r="Y27" s="101" t="str">
        <f t="shared" si="44"/>
        <v>-</v>
      </c>
      <c r="Z27" s="101" t="str">
        <f t="shared" si="44"/>
        <v>-</v>
      </c>
      <c r="AA27" s="101" t="str">
        <f t="shared" si="44"/>
        <v>-</v>
      </c>
      <c r="AB27" s="101" t="str">
        <f t="shared" si="44"/>
        <v>-</v>
      </c>
      <c r="AC27" s="101" t="str">
        <f t="shared" si="45"/>
        <v>-</v>
      </c>
      <c r="AD27" s="101" t="str">
        <f t="shared" si="45"/>
        <v>-</v>
      </c>
      <c r="AE27" s="101" t="str">
        <f t="shared" si="45"/>
        <v>-</v>
      </c>
      <c r="AF27" s="101" t="str">
        <f t="shared" si="45"/>
        <v>-</v>
      </c>
      <c r="AG27" s="101" t="str">
        <f t="shared" si="45"/>
        <v>-</v>
      </c>
      <c r="AH27" s="101" t="str">
        <f t="shared" si="45"/>
        <v>-</v>
      </c>
      <c r="AI27" s="101" t="str">
        <f t="shared" si="45"/>
        <v>-</v>
      </c>
      <c r="AJ27" s="101" t="str">
        <f t="shared" si="45"/>
        <v>-</v>
      </c>
      <c r="AK27" s="101" t="str">
        <f t="shared" si="45"/>
        <v>-</v>
      </c>
      <c r="AL27" s="101" t="str">
        <f t="shared" si="45"/>
        <v>-</v>
      </c>
      <c r="AM27" s="101" t="str">
        <f t="shared" si="46"/>
        <v>-</v>
      </c>
      <c r="AN27" s="101" t="str">
        <f t="shared" si="46"/>
        <v>-</v>
      </c>
      <c r="AO27" s="101" t="str">
        <f t="shared" si="46"/>
        <v>-</v>
      </c>
      <c r="AP27" s="101" t="str">
        <f t="shared" si="46"/>
        <v>-</v>
      </c>
      <c r="AQ27" s="101" t="str">
        <f t="shared" si="46"/>
        <v>-</v>
      </c>
      <c r="AR27" s="101" t="str">
        <f t="shared" si="46"/>
        <v>-</v>
      </c>
      <c r="AS27" s="101" t="str">
        <f t="shared" si="46"/>
        <v>-</v>
      </c>
      <c r="AT27" s="101" t="str">
        <f t="shared" si="46"/>
        <v>-</v>
      </c>
      <c r="AU27" s="101" t="str">
        <f t="shared" si="46"/>
        <v>-</v>
      </c>
      <c r="AV27" s="101" t="str">
        <f t="shared" si="46"/>
        <v>-</v>
      </c>
      <c r="AW27" s="101" t="str">
        <f t="shared" si="47"/>
        <v>-</v>
      </c>
      <c r="AX27" s="101" t="str">
        <f t="shared" si="47"/>
        <v>-</v>
      </c>
      <c r="AY27" s="101" t="str">
        <f t="shared" si="47"/>
        <v>-</v>
      </c>
      <c r="AZ27" s="101" t="str">
        <f t="shared" si="47"/>
        <v>-</v>
      </c>
      <c r="BA27" s="101" t="str">
        <f t="shared" si="47"/>
        <v>-</v>
      </c>
      <c r="BB27" s="101" t="str">
        <f t="shared" si="47"/>
        <v>-</v>
      </c>
      <c r="BC27" s="101" t="str">
        <f t="shared" si="47"/>
        <v>-</v>
      </c>
      <c r="BD27" s="101" t="str">
        <f t="shared" si="47"/>
        <v>-</v>
      </c>
      <c r="BE27" s="101" t="str">
        <f t="shared" si="47"/>
        <v>-</v>
      </c>
      <c r="BF27" s="101" t="str">
        <f t="shared" si="47"/>
        <v>-</v>
      </c>
      <c r="BG27" s="101" t="str">
        <f t="shared" si="48"/>
        <v>-</v>
      </c>
      <c r="BH27" s="101" t="str">
        <f t="shared" si="48"/>
        <v>-</v>
      </c>
      <c r="BI27" s="101" t="str">
        <f t="shared" si="48"/>
        <v>-</v>
      </c>
      <c r="BJ27" s="101" t="str">
        <f t="shared" si="48"/>
        <v>-</v>
      </c>
      <c r="BK27" s="101" t="str">
        <f t="shared" si="48"/>
        <v>-</v>
      </c>
      <c r="BL27" s="101" t="str">
        <f t="shared" si="48"/>
        <v>-</v>
      </c>
      <c r="BM27" s="101" t="str">
        <f t="shared" si="48"/>
        <v>-</v>
      </c>
      <c r="BN27" s="101" t="str">
        <f t="shared" si="48"/>
        <v>-</v>
      </c>
      <c r="BO27" s="101" t="str">
        <f t="shared" si="48"/>
        <v>-</v>
      </c>
      <c r="BP27" s="101" t="str">
        <f t="shared" si="48"/>
        <v>-</v>
      </c>
      <c r="BQ27" s="101" t="str">
        <f t="shared" si="49"/>
        <v>-</v>
      </c>
      <c r="BR27" s="101" t="str">
        <f t="shared" si="49"/>
        <v>-</v>
      </c>
      <c r="BS27" s="101" t="str">
        <f t="shared" si="49"/>
        <v>-</v>
      </c>
      <c r="BT27" s="101" t="str">
        <f t="shared" si="49"/>
        <v>-</v>
      </c>
      <c r="BU27" s="101" t="str">
        <f t="shared" si="49"/>
        <v>-</v>
      </c>
      <c r="BV27" s="101" t="str">
        <f t="shared" si="49"/>
        <v>-</v>
      </c>
      <c r="BW27" s="101" t="str">
        <f t="shared" si="49"/>
        <v>-</v>
      </c>
      <c r="BX27" s="101" t="str">
        <f t="shared" si="49"/>
        <v>-</v>
      </c>
      <c r="BY27" s="101" t="str">
        <f t="shared" si="49"/>
        <v>-</v>
      </c>
      <c r="BZ27" s="101" t="str">
        <f t="shared" si="49"/>
        <v>-</v>
      </c>
      <c r="CA27" s="101" t="str">
        <f t="shared" si="50"/>
        <v>-</v>
      </c>
      <c r="CB27" s="101" t="str">
        <f t="shared" si="50"/>
        <v>-</v>
      </c>
      <c r="CC27" s="101" t="str">
        <f t="shared" si="50"/>
        <v>-</v>
      </c>
      <c r="CD27" s="101" t="str">
        <f t="shared" si="50"/>
        <v>-</v>
      </c>
      <c r="CE27" s="101" t="str">
        <f t="shared" si="50"/>
        <v>-</v>
      </c>
      <c r="CF27" s="101" t="str">
        <f t="shared" si="50"/>
        <v>-</v>
      </c>
      <c r="CG27" s="101" t="str">
        <f t="shared" si="50"/>
        <v>-</v>
      </c>
      <c r="CH27" s="101" t="str">
        <f t="shared" si="50"/>
        <v>-</v>
      </c>
      <c r="CI27" s="101" t="str">
        <f t="shared" si="50"/>
        <v>-</v>
      </c>
      <c r="CJ27" s="101" t="str">
        <f t="shared" si="50"/>
        <v>-</v>
      </c>
      <c r="CK27" s="101" t="str">
        <f t="shared" si="51"/>
        <v>-</v>
      </c>
      <c r="CL27" s="101" t="str">
        <f t="shared" si="51"/>
        <v>-</v>
      </c>
      <c r="CM27" s="101" t="str">
        <f t="shared" si="51"/>
        <v>-</v>
      </c>
      <c r="CN27" s="101" t="str">
        <f t="shared" si="51"/>
        <v>-</v>
      </c>
      <c r="CO27" s="101" t="str">
        <f t="shared" si="51"/>
        <v>-</v>
      </c>
      <c r="CP27" s="101" t="str">
        <f t="shared" si="51"/>
        <v>-</v>
      </c>
    </row>
    <row r="28" spans="1:96">
      <c r="A28" s="495"/>
      <c r="B28" s="502"/>
      <c r="C28" s="502"/>
      <c r="D28" s="466"/>
      <c r="E28" s="109" t="s">
        <v>66</v>
      </c>
      <c r="F28" s="102" t="e">
        <f>SUM('BESS 12'!S165,'BESS 12'!S168:S169,'BESS 12'!S173:S174)</f>
        <v>#VALUE!</v>
      </c>
      <c r="G28" s="102">
        <f>MAX('BESS 11'!O166,'BESS 11'!O169:O170,'BESS 11'!O174:O175)-MIN('BESS 11'!O166,'BESS 11'!O169:O170,'BESS 11'!O174:O175)+1</f>
        <v>1</v>
      </c>
      <c r="H28" s="110">
        <f>MIN('BESS 12'!O165,'BESS 12'!O168:O169,'BESS 12'!O173:O174)</f>
        <v>46232</v>
      </c>
      <c r="I28" s="101" t="str">
        <f t="shared" si="43"/>
        <v>-</v>
      </c>
      <c r="J28" s="101" t="str">
        <f t="shared" si="43"/>
        <v>-</v>
      </c>
      <c r="K28" s="101" t="str">
        <f t="shared" si="43"/>
        <v>-</v>
      </c>
      <c r="L28" s="101" t="str">
        <f t="shared" si="43"/>
        <v>-</v>
      </c>
      <c r="M28" s="101" t="str">
        <f t="shared" si="43"/>
        <v>-</v>
      </c>
      <c r="N28" s="101" t="str">
        <f t="shared" si="43"/>
        <v>-</v>
      </c>
      <c r="O28" s="101" t="str">
        <f t="shared" si="43"/>
        <v>-</v>
      </c>
      <c r="P28" s="101" t="str">
        <f t="shared" si="43"/>
        <v>-</v>
      </c>
      <c r="Q28" s="101" t="str">
        <f t="shared" si="43"/>
        <v>-</v>
      </c>
      <c r="R28" s="101" t="str">
        <f t="shared" si="43"/>
        <v>-</v>
      </c>
      <c r="S28" s="101" t="str">
        <f t="shared" si="44"/>
        <v>-</v>
      </c>
      <c r="T28" s="101" t="str">
        <f t="shared" si="44"/>
        <v>-</v>
      </c>
      <c r="U28" s="101" t="str">
        <f t="shared" si="44"/>
        <v>-</v>
      </c>
      <c r="V28" s="101" t="str">
        <f t="shared" si="44"/>
        <v>-</v>
      </c>
      <c r="W28" s="101" t="str">
        <f t="shared" si="44"/>
        <v>-</v>
      </c>
      <c r="X28" s="101" t="str">
        <f t="shared" si="44"/>
        <v>-</v>
      </c>
      <c r="Y28" s="101" t="str">
        <f t="shared" si="44"/>
        <v>-</v>
      </c>
      <c r="Z28" s="101" t="str">
        <f t="shared" si="44"/>
        <v>-</v>
      </c>
      <c r="AA28" s="101" t="str">
        <f t="shared" si="44"/>
        <v>-</v>
      </c>
      <c r="AB28" s="101" t="str">
        <f t="shared" si="44"/>
        <v>-</v>
      </c>
      <c r="AC28" s="101" t="str">
        <f t="shared" si="45"/>
        <v>-</v>
      </c>
      <c r="AD28" s="101" t="str">
        <f t="shared" si="45"/>
        <v>-</v>
      </c>
      <c r="AE28" s="101" t="str">
        <f t="shared" si="45"/>
        <v>-</v>
      </c>
      <c r="AF28" s="101" t="str">
        <f t="shared" si="45"/>
        <v>-</v>
      </c>
      <c r="AG28" s="101" t="str">
        <f t="shared" si="45"/>
        <v>-</v>
      </c>
      <c r="AH28" s="101" t="str">
        <f t="shared" si="45"/>
        <v>-</v>
      </c>
      <c r="AI28" s="101" t="str">
        <f t="shared" si="45"/>
        <v>-</v>
      </c>
      <c r="AJ28" s="101" t="str">
        <f t="shared" si="45"/>
        <v>-</v>
      </c>
      <c r="AK28" s="101" t="str">
        <f t="shared" si="45"/>
        <v>-</v>
      </c>
      <c r="AL28" s="101" t="str">
        <f t="shared" si="45"/>
        <v>-</v>
      </c>
      <c r="AM28" s="101" t="str">
        <f t="shared" si="46"/>
        <v>-</v>
      </c>
      <c r="AN28" s="101" t="str">
        <f t="shared" si="46"/>
        <v>-</v>
      </c>
      <c r="AO28" s="101" t="str">
        <f t="shared" si="46"/>
        <v>-</v>
      </c>
      <c r="AP28" s="101" t="str">
        <f t="shared" si="46"/>
        <v>-</v>
      </c>
      <c r="AQ28" s="101" t="str">
        <f t="shared" si="46"/>
        <v>-</v>
      </c>
      <c r="AR28" s="101" t="str">
        <f t="shared" si="46"/>
        <v>-</v>
      </c>
      <c r="AS28" s="101" t="str">
        <f t="shared" si="46"/>
        <v>-</v>
      </c>
      <c r="AT28" s="101" t="str">
        <f t="shared" si="46"/>
        <v>-</v>
      </c>
      <c r="AU28" s="101" t="str">
        <f t="shared" si="46"/>
        <v>-</v>
      </c>
      <c r="AV28" s="101" t="str">
        <f t="shared" si="46"/>
        <v>-</v>
      </c>
      <c r="AW28" s="101" t="str">
        <f t="shared" si="47"/>
        <v>-</v>
      </c>
      <c r="AX28" s="101" t="str">
        <f t="shared" si="47"/>
        <v>-</v>
      </c>
      <c r="AY28" s="101" t="str">
        <f t="shared" si="47"/>
        <v>-</v>
      </c>
      <c r="AZ28" s="101" t="str">
        <f t="shared" si="47"/>
        <v>-</v>
      </c>
      <c r="BA28" s="101" t="str">
        <f t="shared" si="47"/>
        <v>-</v>
      </c>
      <c r="BB28" s="101" t="str">
        <f t="shared" si="47"/>
        <v>-</v>
      </c>
      <c r="BC28" s="101" t="str">
        <f t="shared" si="47"/>
        <v>-</v>
      </c>
      <c r="BD28" s="101" t="str">
        <f t="shared" si="47"/>
        <v>-</v>
      </c>
      <c r="BE28" s="101" t="str">
        <f t="shared" si="47"/>
        <v>-</v>
      </c>
      <c r="BF28" s="101" t="str">
        <f t="shared" si="47"/>
        <v>-</v>
      </c>
      <c r="BG28" s="101" t="str">
        <f t="shared" si="48"/>
        <v>-</v>
      </c>
      <c r="BH28" s="101" t="str">
        <f t="shared" si="48"/>
        <v>-</v>
      </c>
      <c r="BI28" s="101" t="str">
        <f t="shared" si="48"/>
        <v>-</v>
      </c>
      <c r="BJ28" s="101" t="str">
        <f t="shared" si="48"/>
        <v>-</v>
      </c>
      <c r="BK28" s="101" t="str">
        <f t="shared" si="48"/>
        <v>-</v>
      </c>
      <c r="BL28" s="101" t="str">
        <f t="shared" si="48"/>
        <v>-</v>
      </c>
      <c r="BM28" s="101" t="str">
        <f t="shared" si="48"/>
        <v>-</v>
      </c>
      <c r="BN28" s="101" t="str">
        <f t="shared" si="48"/>
        <v>-</v>
      </c>
      <c r="BO28" s="101" t="str">
        <f t="shared" si="48"/>
        <v>-</v>
      </c>
      <c r="BP28" s="101" t="str">
        <f t="shared" si="48"/>
        <v>-</v>
      </c>
      <c r="BQ28" s="101" t="str">
        <f t="shared" si="49"/>
        <v>-</v>
      </c>
      <c r="BR28" s="101" t="str">
        <f t="shared" si="49"/>
        <v>-</v>
      </c>
      <c r="BS28" s="101" t="str">
        <f t="shared" si="49"/>
        <v>-</v>
      </c>
      <c r="BT28" s="101" t="str">
        <f t="shared" si="49"/>
        <v>-</v>
      </c>
      <c r="BU28" s="101" t="str">
        <f t="shared" si="49"/>
        <v>-</v>
      </c>
      <c r="BV28" s="101" t="str">
        <f t="shared" si="49"/>
        <v>-</v>
      </c>
      <c r="BW28" s="101" t="str">
        <f t="shared" si="49"/>
        <v>-</v>
      </c>
      <c r="BX28" s="101" t="str">
        <f t="shared" si="49"/>
        <v>-</v>
      </c>
      <c r="BY28" s="101" t="str">
        <f t="shared" si="49"/>
        <v>-</v>
      </c>
      <c r="BZ28" s="101" t="str">
        <f t="shared" si="49"/>
        <v>-</v>
      </c>
      <c r="CA28" s="101" t="str">
        <f t="shared" si="50"/>
        <v>-</v>
      </c>
      <c r="CB28" s="101" t="str">
        <f t="shared" si="50"/>
        <v>-</v>
      </c>
      <c r="CC28" s="101" t="str">
        <f t="shared" si="50"/>
        <v>-</v>
      </c>
      <c r="CD28" s="101" t="str">
        <f t="shared" si="50"/>
        <v>-</v>
      </c>
      <c r="CE28" s="101" t="str">
        <f t="shared" si="50"/>
        <v>-</v>
      </c>
      <c r="CF28" s="101" t="str">
        <f t="shared" si="50"/>
        <v>-</v>
      </c>
      <c r="CG28" s="101" t="str">
        <f t="shared" si="50"/>
        <v>-</v>
      </c>
      <c r="CH28" s="101" t="str">
        <f t="shared" si="50"/>
        <v>-</v>
      </c>
      <c r="CI28" s="101" t="str">
        <f t="shared" si="50"/>
        <v>-</v>
      </c>
      <c r="CJ28" s="101" t="str">
        <f t="shared" si="50"/>
        <v>-</v>
      </c>
      <c r="CK28" s="101" t="str">
        <f t="shared" si="51"/>
        <v>-</v>
      </c>
      <c r="CL28" s="101" t="str">
        <f t="shared" si="51"/>
        <v>-</v>
      </c>
      <c r="CM28" s="101" t="str">
        <f t="shared" si="51"/>
        <v>-</v>
      </c>
      <c r="CN28" s="101" t="str">
        <f t="shared" si="51"/>
        <v>-</v>
      </c>
      <c r="CO28" s="101" t="str">
        <f t="shared" si="51"/>
        <v>-</v>
      </c>
      <c r="CP28" s="101" t="str">
        <f t="shared" si="51"/>
        <v>-</v>
      </c>
    </row>
    <row r="29" spans="1:96" ht="14.25" thickBot="1">
      <c r="A29" s="495"/>
      <c r="B29" s="502"/>
      <c r="C29" s="502"/>
      <c r="D29" s="466"/>
      <c r="E29" s="161" t="s">
        <v>67</v>
      </c>
      <c r="F29" s="102" t="e">
        <f>SUM('BESS 12'!S176:S185)</f>
        <v>#VALUE!</v>
      </c>
      <c r="G29" s="101">
        <f>MAX('BESS 11'!O178:O186)-MIN('BESS 11'!O178:O186)+1</f>
        <v>11</v>
      </c>
      <c r="H29" s="110">
        <f>MIN('BESS 12'!O176:O185)</f>
        <v>46230</v>
      </c>
      <c r="I29" s="101" t="str">
        <f t="shared" si="43"/>
        <v>-</v>
      </c>
      <c r="J29" s="101" t="str">
        <f t="shared" si="43"/>
        <v>-</v>
      </c>
      <c r="K29" s="101" t="str">
        <f t="shared" si="43"/>
        <v>-</v>
      </c>
      <c r="L29" s="101" t="str">
        <f t="shared" si="43"/>
        <v>-</v>
      </c>
      <c r="M29" s="101" t="str">
        <f t="shared" si="43"/>
        <v>-</v>
      </c>
      <c r="N29" s="101" t="str">
        <f t="shared" si="43"/>
        <v>-</v>
      </c>
      <c r="O29" s="101" t="str">
        <f t="shared" si="43"/>
        <v>-</v>
      </c>
      <c r="P29" s="101" t="str">
        <f t="shared" si="43"/>
        <v>-</v>
      </c>
      <c r="Q29" s="101" t="str">
        <f t="shared" si="43"/>
        <v>-</v>
      </c>
      <c r="R29" s="101" t="str">
        <f t="shared" si="43"/>
        <v>-</v>
      </c>
      <c r="S29" s="101" t="str">
        <f t="shared" si="44"/>
        <v>-</v>
      </c>
      <c r="T29" s="101" t="str">
        <f t="shared" si="44"/>
        <v>-</v>
      </c>
      <c r="U29" s="101" t="str">
        <f t="shared" si="44"/>
        <v>-</v>
      </c>
      <c r="V29" s="101" t="str">
        <f t="shared" si="44"/>
        <v>-</v>
      </c>
      <c r="W29" s="101" t="str">
        <f t="shared" si="44"/>
        <v>-</v>
      </c>
      <c r="X29" s="101" t="str">
        <f t="shared" si="44"/>
        <v>-</v>
      </c>
      <c r="Y29" s="101" t="str">
        <f t="shared" si="44"/>
        <v>-</v>
      </c>
      <c r="Z29" s="101" t="str">
        <f t="shared" si="44"/>
        <v>-</v>
      </c>
      <c r="AA29" s="101" t="str">
        <f t="shared" si="44"/>
        <v>-</v>
      </c>
      <c r="AB29" s="101" t="str">
        <f t="shared" si="44"/>
        <v>-</v>
      </c>
      <c r="AC29" s="101" t="str">
        <f t="shared" si="45"/>
        <v>-</v>
      </c>
      <c r="AD29" s="101" t="str">
        <f t="shared" si="45"/>
        <v>-</v>
      </c>
      <c r="AE29" s="101" t="str">
        <f t="shared" si="45"/>
        <v>-</v>
      </c>
      <c r="AF29" s="101" t="str">
        <f t="shared" si="45"/>
        <v>-</v>
      </c>
      <c r="AG29" s="101" t="str">
        <f t="shared" si="45"/>
        <v>-</v>
      </c>
      <c r="AH29" s="101" t="str">
        <f t="shared" si="45"/>
        <v>-</v>
      </c>
      <c r="AI29" s="101" t="str">
        <f t="shared" si="45"/>
        <v>-</v>
      </c>
      <c r="AJ29" s="101" t="str">
        <f t="shared" si="45"/>
        <v>-</v>
      </c>
      <c r="AK29" s="101" t="str">
        <f t="shared" si="45"/>
        <v>-</v>
      </c>
      <c r="AL29" s="101" t="str">
        <f t="shared" si="45"/>
        <v>-</v>
      </c>
      <c r="AM29" s="101" t="str">
        <f t="shared" si="46"/>
        <v>-</v>
      </c>
      <c r="AN29" s="101" t="str">
        <f t="shared" si="46"/>
        <v>-</v>
      </c>
      <c r="AO29" s="101" t="str">
        <f t="shared" si="46"/>
        <v>-</v>
      </c>
      <c r="AP29" s="101" t="str">
        <f t="shared" si="46"/>
        <v>-</v>
      </c>
      <c r="AQ29" s="101" t="str">
        <f t="shared" si="46"/>
        <v>-</v>
      </c>
      <c r="AR29" s="101" t="str">
        <f t="shared" si="46"/>
        <v>-</v>
      </c>
      <c r="AS29" s="101" t="str">
        <f t="shared" si="46"/>
        <v>-</v>
      </c>
      <c r="AT29" s="101" t="str">
        <f t="shared" si="46"/>
        <v>-</v>
      </c>
      <c r="AU29" s="101" t="str">
        <f t="shared" si="46"/>
        <v>-</v>
      </c>
      <c r="AV29" s="101" t="str">
        <f t="shared" si="46"/>
        <v>-</v>
      </c>
      <c r="AW29" s="101" t="str">
        <f t="shared" si="47"/>
        <v>-</v>
      </c>
      <c r="AX29" s="101" t="str">
        <f t="shared" si="47"/>
        <v>-</v>
      </c>
      <c r="AY29" s="101" t="str">
        <f t="shared" si="47"/>
        <v>-</v>
      </c>
      <c r="AZ29" s="101" t="str">
        <f t="shared" si="47"/>
        <v>-</v>
      </c>
      <c r="BA29" s="101" t="str">
        <f t="shared" si="47"/>
        <v>-</v>
      </c>
      <c r="BB29" s="101" t="str">
        <f t="shared" si="47"/>
        <v>-</v>
      </c>
      <c r="BC29" s="101" t="str">
        <f t="shared" si="47"/>
        <v>-</v>
      </c>
      <c r="BD29" s="101" t="str">
        <f t="shared" si="47"/>
        <v>-</v>
      </c>
      <c r="BE29" s="101" t="str">
        <f t="shared" si="47"/>
        <v>-</v>
      </c>
      <c r="BF29" s="101" t="str">
        <f t="shared" si="47"/>
        <v>-</v>
      </c>
      <c r="BG29" s="101" t="str">
        <f t="shared" si="48"/>
        <v>-</v>
      </c>
      <c r="BH29" s="101" t="str">
        <f t="shared" si="48"/>
        <v>-</v>
      </c>
      <c r="BI29" s="101" t="str">
        <f t="shared" si="48"/>
        <v>-</v>
      </c>
      <c r="BJ29" s="101" t="str">
        <f t="shared" si="48"/>
        <v>-</v>
      </c>
      <c r="BK29" s="101" t="str">
        <f t="shared" si="48"/>
        <v>-</v>
      </c>
      <c r="BL29" s="101" t="str">
        <f t="shared" si="48"/>
        <v>-</v>
      </c>
      <c r="BM29" s="101" t="str">
        <f t="shared" si="48"/>
        <v>-</v>
      </c>
      <c r="BN29" s="101" t="str">
        <f t="shared" si="48"/>
        <v>-</v>
      </c>
      <c r="BO29" s="101" t="str">
        <f t="shared" si="48"/>
        <v>-</v>
      </c>
      <c r="BP29" s="101" t="str">
        <f t="shared" si="48"/>
        <v>-</v>
      </c>
      <c r="BQ29" s="101" t="str">
        <f t="shared" si="49"/>
        <v>-</v>
      </c>
      <c r="BR29" s="101" t="str">
        <f t="shared" si="49"/>
        <v>-</v>
      </c>
      <c r="BS29" s="101" t="str">
        <f t="shared" si="49"/>
        <v>-</v>
      </c>
      <c r="BT29" s="101" t="str">
        <f t="shared" si="49"/>
        <v>-</v>
      </c>
      <c r="BU29" s="101" t="str">
        <f t="shared" si="49"/>
        <v>-</v>
      </c>
      <c r="BV29" s="101" t="str">
        <f t="shared" si="49"/>
        <v>-</v>
      </c>
      <c r="BW29" s="101" t="str">
        <f t="shared" si="49"/>
        <v>-</v>
      </c>
      <c r="BX29" s="101" t="str">
        <f t="shared" si="49"/>
        <v>-</v>
      </c>
      <c r="BY29" s="101" t="str">
        <f t="shared" si="49"/>
        <v>-</v>
      </c>
      <c r="BZ29" s="101" t="str">
        <f t="shared" si="49"/>
        <v>-</v>
      </c>
      <c r="CA29" s="101" t="str">
        <f t="shared" si="50"/>
        <v>-</v>
      </c>
      <c r="CB29" s="101" t="str">
        <f t="shared" si="50"/>
        <v>-</v>
      </c>
      <c r="CC29" s="101" t="str">
        <f t="shared" si="50"/>
        <v>-</v>
      </c>
      <c r="CD29" s="101" t="str">
        <f t="shared" si="50"/>
        <v>-</v>
      </c>
      <c r="CE29" s="101" t="str">
        <f t="shared" si="50"/>
        <v>-</v>
      </c>
      <c r="CF29" s="101" t="str">
        <f t="shared" si="50"/>
        <v>-</v>
      </c>
      <c r="CG29" s="101" t="str">
        <f t="shared" si="50"/>
        <v>-</v>
      </c>
      <c r="CH29" s="101" t="str">
        <f t="shared" si="50"/>
        <v>-</v>
      </c>
      <c r="CI29" s="101" t="str">
        <f t="shared" si="50"/>
        <v>-</v>
      </c>
      <c r="CJ29" s="101" t="str">
        <f t="shared" si="50"/>
        <v>-</v>
      </c>
      <c r="CK29" s="101" t="str">
        <f t="shared" si="51"/>
        <v>-</v>
      </c>
      <c r="CL29" s="101" t="str">
        <f t="shared" si="51"/>
        <v>-</v>
      </c>
      <c r="CM29" s="101" t="str">
        <f t="shared" si="51"/>
        <v>-</v>
      </c>
      <c r="CN29" s="101" t="str">
        <f t="shared" si="51"/>
        <v>-</v>
      </c>
      <c r="CO29" s="101" t="str">
        <f t="shared" si="51"/>
        <v>-</v>
      </c>
      <c r="CP29" s="101" t="str">
        <f t="shared" si="51"/>
        <v>-</v>
      </c>
    </row>
    <row r="30" spans="1:96" ht="14.25" thickBot="1">
      <c r="A30" s="127"/>
      <c r="B30" s="108"/>
      <c r="C30" s="108"/>
      <c r="D30" s="466"/>
      <c r="E30" s="109" t="s">
        <v>68</v>
      </c>
      <c r="F30" s="101">
        <v>250</v>
      </c>
      <c r="G30" s="101">
        <v>30</v>
      </c>
      <c r="H30" s="110">
        <f>B25-3</f>
        <v>46237</v>
      </c>
      <c r="I30" s="110"/>
      <c r="J30" s="110"/>
      <c r="K30" s="101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>
        <v>5</v>
      </c>
      <c r="AK30" s="102">
        <v>5</v>
      </c>
      <c r="AL30" s="102">
        <v>5</v>
      </c>
      <c r="AM30" s="102">
        <v>5</v>
      </c>
      <c r="AN30" s="102">
        <v>5</v>
      </c>
      <c r="AO30" s="102">
        <v>5</v>
      </c>
      <c r="AP30" s="102">
        <v>5</v>
      </c>
      <c r="AQ30" s="102">
        <v>5</v>
      </c>
      <c r="AR30" s="102">
        <v>5</v>
      </c>
      <c r="AS30" s="102">
        <v>5</v>
      </c>
      <c r="AT30" s="102">
        <v>5</v>
      </c>
      <c r="AU30" s="102">
        <v>5</v>
      </c>
      <c r="AV30" s="102">
        <v>5</v>
      </c>
      <c r="AW30" s="102">
        <v>5</v>
      </c>
      <c r="AX30" s="102">
        <v>5</v>
      </c>
      <c r="AY30" s="102">
        <v>5</v>
      </c>
      <c r="AZ30" s="102">
        <v>5</v>
      </c>
      <c r="BA30" s="102">
        <v>5</v>
      </c>
      <c r="BB30" s="102">
        <v>5</v>
      </c>
      <c r="BC30" s="102">
        <v>5</v>
      </c>
      <c r="BD30" s="102">
        <v>5</v>
      </c>
      <c r="BE30" s="102">
        <v>5</v>
      </c>
      <c r="BF30" s="102">
        <v>5</v>
      </c>
      <c r="BG30" s="101">
        <v>5</v>
      </c>
      <c r="BH30" s="102">
        <v>30</v>
      </c>
      <c r="BI30" s="102">
        <v>30</v>
      </c>
      <c r="BJ30" s="102">
        <v>30</v>
      </c>
      <c r="BK30" s="102">
        <v>30</v>
      </c>
      <c r="BL30" s="102">
        <v>5</v>
      </c>
      <c r="BM30" s="102">
        <v>5</v>
      </c>
      <c r="BN30" s="102"/>
      <c r="BO30" s="102"/>
      <c r="BP30" s="102"/>
      <c r="BQ30" s="102"/>
      <c r="BR30" s="102"/>
      <c r="BS30" s="109"/>
      <c r="BT30" s="109"/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  <c r="CG30" s="109"/>
      <c r="CH30" s="109"/>
      <c r="CI30" s="109"/>
      <c r="CJ30" s="109"/>
      <c r="CK30" s="109"/>
      <c r="CL30" s="109"/>
      <c r="CM30" s="109"/>
      <c r="CN30" s="109"/>
      <c r="CO30" s="109"/>
      <c r="CP30" s="109"/>
    </row>
    <row r="31" spans="1:96">
      <c r="B31" s="126"/>
      <c r="E31" s="120"/>
      <c r="F31" s="120"/>
      <c r="G31" s="121"/>
      <c r="H31" s="112" t="s">
        <v>69</v>
      </c>
      <c r="I31" s="113">
        <f t="shared" ref="I31:AN31" si="52">SUM(I26:I30)</f>
        <v>0</v>
      </c>
      <c r="J31" s="113">
        <f t="shared" si="52"/>
        <v>0</v>
      </c>
      <c r="K31" s="113">
        <f t="shared" si="52"/>
        <v>0</v>
      </c>
      <c r="L31" s="113">
        <f t="shared" si="52"/>
        <v>0</v>
      </c>
      <c r="M31" s="113">
        <f t="shared" si="52"/>
        <v>0</v>
      </c>
      <c r="N31" s="113">
        <f t="shared" si="52"/>
        <v>0</v>
      </c>
      <c r="O31" s="113">
        <f t="shared" si="52"/>
        <v>0</v>
      </c>
      <c r="P31" s="113">
        <f t="shared" si="52"/>
        <v>0</v>
      </c>
      <c r="Q31" s="113">
        <f t="shared" si="52"/>
        <v>0</v>
      </c>
      <c r="R31" s="113">
        <f t="shared" si="52"/>
        <v>0</v>
      </c>
      <c r="S31" s="113">
        <f t="shared" si="52"/>
        <v>0</v>
      </c>
      <c r="T31" s="113">
        <f t="shared" si="52"/>
        <v>0</v>
      </c>
      <c r="U31" s="113">
        <f t="shared" si="52"/>
        <v>0</v>
      </c>
      <c r="V31" s="113">
        <f t="shared" si="52"/>
        <v>0</v>
      </c>
      <c r="W31" s="113">
        <f t="shared" si="52"/>
        <v>0</v>
      </c>
      <c r="X31" s="113">
        <f t="shared" si="52"/>
        <v>0</v>
      </c>
      <c r="Y31" s="113">
        <f t="shared" si="52"/>
        <v>0</v>
      </c>
      <c r="Z31" s="113">
        <f t="shared" si="52"/>
        <v>0</v>
      </c>
      <c r="AA31" s="113">
        <f t="shared" si="52"/>
        <v>0</v>
      </c>
      <c r="AB31" s="113">
        <f t="shared" si="52"/>
        <v>0</v>
      </c>
      <c r="AC31" s="113">
        <f t="shared" si="52"/>
        <v>0</v>
      </c>
      <c r="AD31" s="113">
        <f t="shared" si="52"/>
        <v>0</v>
      </c>
      <c r="AE31" s="113">
        <f t="shared" si="52"/>
        <v>0</v>
      </c>
      <c r="AF31" s="113">
        <f t="shared" si="52"/>
        <v>0</v>
      </c>
      <c r="AG31" s="113">
        <f t="shared" si="52"/>
        <v>0</v>
      </c>
      <c r="AH31" s="113">
        <f t="shared" si="52"/>
        <v>0</v>
      </c>
      <c r="AI31" s="113">
        <f t="shared" si="52"/>
        <v>0</v>
      </c>
      <c r="AJ31" s="113">
        <f t="shared" si="52"/>
        <v>5</v>
      </c>
      <c r="AK31" s="113">
        <f t="shared" si="52"/>
        <v>5</v>
      </c>
      <c r="AL31" s="113">
        <f t="shared" si="52"/>
        <v>5</v>
      </c>
      <c r="AM31" s="113">
        <f t="shared" si="52"/>
        <v>5</v>
      </c>
      <c r="AN31" s="113">
        <f t="shared" si="52"/>
        <v>5</v>
      </c>
      <c r="AO31" s="113">
        <f t="shared" ref="AO31:BQ31" si="53">SUM(AO26:AO30)</f>
        <v>5</v>
      </c>
      <c r="AP31" s="113">
        <f t="shared" si="53"/>
        <v>5</v>
      </c>
      <c r="AQ31" s="113">
        <f t="shared" si="53"/>
        <v>5</v>
      </c>
      <c r="AR31" s="113">
        <f t="shared" si="53"/>
        <v>5</v>
      </c>
      <c r="AS31" s="113">
        <f t="shared" si="53"/>
        <v>5</v>
      </c>
      <c r="AT31" s="113">
        <f t="shared" si="53"/>
        <v>5</v>
      </c>
      <c r="AU31" s="113">
        <f t="shared" si="53"/>
        <v>5</v>
      </c>
      <c r="AV31" s="113">
        <f t="shared" si="53"/>
        <v>5</v>
      </c>
      <c r="AW31" s="113">
        <f t="shared" si="53"/>
        <v>5</v>
      </c>
      <c r="AX31" s="113">
        <f t="shared" si="53"/>
        <v>5</v>
      </c>
      <c r="AY31" s="113">
        <f t="shared" si="53"/>
        <v>5</v>
      </c>
      <c r="AZ31" s="113">
        <f t="shared" si="53"/>
        <v>5</v>
      </c>
      <c r="BA31" s="113">
        <f t="shared" si="53"/>
        <v>5</v>
      </c>
      <c r="BB31" s="113">
        <f t="shared" si="53"/>
        <v>5</v>
      </c>
      <c r="BC31" s="113">
        <f t="shared" si="53"/>
        <v>5</v>
      </c>
      <c r="BD31" s="113">
        <f t="shared" si="53"/>
        <v>5</v>
      </c>
      <c r="BE31" s="113">
        <f t="shared" si="53"/>
        <v>5</v>
      </c>
      <c r="BF31" s="113">
        <f t="shared" si="53"/>
        <v>5</v>
      </c>
      <c r="BG31" s="113">
        <f t="shared" si="53"/>
        <v>5</v>
      </c>
      <c r="BH31" s="113">
        <f t="shared" si="53"/>
        <v>30</v>
      </c>
      <c r="BI31" s="113">
        <f t="shared" si="53"/>
        <v>30</v>
      </c>
      <c r="BJ31" s="113">
        <f t="shared" si="53"/>
        <v>30</v>
      </c>
      <c r="BK31" s="113">
        <f t="shared" si="53"/>
        <v>30</v>
      </c>
      <c r="BL31" s="113">
        <f t="shared" si="53"/>
        <v>5</v>
      </c>
      <c r="BM31" s="113">
        <f t="shared" si="53"/>
        <v>5</v>
      </c>
      <c r="BN31" s="113">
        <f t="shared" si="53"/>
        <v>0</v>
      </c>
      <c r="BO31" s="113">
        <f t="shared" si="53"/>
        <v>0</v>
      </c>
      <c r="BP31" s="113">
        <f t="shared" si="53"/>
        <v>0</v>
      </c>
      <c r="BQ31" s="113">
        <f t="shared" si="53"/>
        <v>0</v>
      </c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09"/>
      <c r="CO31" s="109"/>
      <c r="CP31" s="109"/>
      <c r="CQ31" s="160">
        <f>AVERAGE(P31:BQ31)</f>
        <v>4.6296296296296298</v>
      </c>
      <c r="CR31" s="160">
        <f>MAX(I31:BD31)</f>
        <v>5</v>
      </c>
    </row>
    <row r="33" spans="1:119">
      <c r="A33" s="495" t="s">
        <v>73</v>
      </c>
      <c r="B33" s="502">
        <f>'BESS 12'!F186</f>
        <v>46241</v>
      </c>
      <c r="C33" s="502">
        <f>'BESS 12'!G186</f>
        <v>46246</v>
      </c>
      <c r="D33" s="114"/>
      <c r="E33" s="114" t="s">
        <v>10</v>
      </c>
      <c r="F33" s="115" t="s">
        <v>58</v>
      </c>
      <c r="G33" s="115" t="s">
        <v>59</v>
      </c>
      <c r="H33" s="115" t="s">
        <v>60</v>
      </c>
      <c r="I33" s="116">
        <v>46195</v>
      </c>
      <c r="J33" s="116">
        <v>46196</v>
      </c>
      <c r="K33" s="116">
        <v>46197</v>
      </c>
      <c r="L33" s="116">
        <f t="shared" ref="L33:AQ33" si="54">K33+1</f>
        <v>46198</v>
      </c>
      <c r="M33" s="116">
        <f t="shared" si="54"/>
        <v>46199</v>
      </c>
      <c r="N33" s="116">
        <f t="shared" si="54"/>
        <v>46200</v>
      </c>
      <c r="O33" s="116">
        <f t="shared" si="54"/>
        <v>46201</v>
      </c>
      <c r="P33" s="116">
        <f t="shared" si="54"/>
        <v>46202</v>
      </c>
      <c r="Q33" s="116">
        <f t="shared" si="54"/>
        <v>46203</v>
      </c>
      <c r="R33" s="116">
        <f t="shared" si="54"/>
        <v>46204</v>
      </c>
      <c r="S33" s="116">
        <f t="shared" si="54"/>
        <v>46205</v>
      </c>
      <c r="T33" s="116">
        <f t="shared" si="54"/>
        <v>46206</v>
      </c>
      <c r="U33" s="116">
        <f t="shared" si="54"/>
        <v>46207</v>
      </c>
      <c r="V33" s="116">
        <f t="shared" si="54"/>
        <v>46208</v>
      </c>
      <c r="W33" s="116">
        <f t="shared" si="54"/>
        <v>46209</v>
      </c>
      <c r="X33" s="116">
        <f t="shared" si="54"/>
        <v>46210</v>
      </c>
      <c r="Y33" s="116">
        <f t="shared" si="54"/>
        <v>46211</v>
      </c>
      <c r="Z33" s="116">
        <f t="shared" si="54"/>
        <v>46212</v>
      </c>
      <c r="AA33" s="116">
        <f t="shared" si="54"/>
        <v>46213</v>
      </c>
      <c r="AB33" s="116">
        <f t="shared" si="54"/>
        <v>46214</v>
      </c>
      <c r="AC33" s="116">
        <f t="shared" si="54"/>
        <v>46215</v>
      </c>
      <c r="AD33" s="116">
        <f t="shared" si="54"/>
        <v>46216</v>
      </c>
      <c r="AE33" s="116">
        <f t="shared" si="54"/>
        <v>46217</v>
      </c>
      <c r="AF33" s="116">
        <f t="shared" si="54"/>
        <v>46218</v>
      </c>
      <c r="AG33" s="116">
        <f t="shared" si="54"/>
        <v>46219</v>
      </c>
      <c r="AH33" s="116">
        <f t="shared" si="54"/>
        <v>46220</v>
      </c>
      <c r="AI33" s="116">
        <f t="shared" si="54"/>
        <v>46221</v>
      </c>
      <c r="AJ33" s="116">
        <f t="shared" si="54"/>
        <v>46222</v>
      </c>
      <c r="AK33" s="116">
        <f t="shared" si="54"/>
        <v>46223</v>
      </c>
      <c r="AL33" s="116">
        <f t="shared" si="54"/>
        <v>46224</v>
      </c>
      <c r="AM33" s="116">
        <f t="shared" si="54"/>
        <v>46225</v>
      </c>
      <c r="AN33" s="116">
        <f t="shared" si="54"/>
        <v>46226</v>
      </c>
      <c r="AO33" s="116">
        <f t="shared" si="54"/>
        <v>46227</v>
      </c>
      <c r="AP33" s="116">
        <f t="shared" si="54"/>
        <v>46228</v>
      </c>
      <c r="AQ33" s="116">
        <f t="shared" si="54"/>
        <v>46229</v>
      </c>
      <c r="AR33" s="116">
        <f t="shared" ref="AR33:BW33" si="55">AQ33+1</f>
        <v>46230</v>
      </c>
      <c r="AS33" s="116">
        <f t="shared" si="55"/>
        <v>46231</v>
      </c>
      <c r="AT33" s="116">
        <f t="shared" si="55"/>
        <v>46232</v>
      </c>
      <c r="AU33" s="116">
        <f t="shared" si="55"/>
        <v>46233</v>
      </c>
      <c r="AV33" s="116">
        <f t="shared" si="55"/>
        <v>46234</v>
      </c>
      <c r="AW33" s="116">
        <f t="shared" si="55"/>
        <v>46235</v>
      </c>
      <c r="AX33" s="116">
        <f t="shared" si="55"/>
        <v>46236</v>
      </c>
      <c r="AY33" s="116">
        <f t="shared" si="55"/>
        <v>46237</v>
      </c>
      <c r="AZ33" s="116">
        <f t="shared" si="55"/>
        <v>46238</v>
      </c>
      <c r="BA33" s="116">
        <f t="shared" si="55"/>
        <v>46239</v>
      </c>
      <c r="BB33" s="116">
        <f t="shared" si="55"/>
        <v>46240</v>
      </c>
      <c r="BC33" s="116">
        <f t="shared" si="55"/>
        <v>46241</v>
      </c>
      <c r="BD33" s="116">
        <f t="shared" si="55"/>
        <v>46242</v>
      </c>
      <c r="BE33" s="116">
        <f t="shared" si="55"/>
        <v>46243</v>
      </c>
      <c r="BF33" s="116">
        <f t="shared" si="55"/>
        <v>46244</v>
      </c>
      <c r="BG33" s="116">
        <f t="shared" si="55"/>
        <v>46245</v>
      </c>
      <c r="BH33" s="116">
        <f t="shared" si="55"/>
        <v>46246</v>
      </c>
      <c r="BI33" s="116">
        <f t="shared" si="55"/>
        <v>46247</v>
      </c>
      <c r="BJ33" s="116">
        <f t="shared" si="55"/>
        <v>46248</v>
      </c>
      <c r="BK33" s="116">
        <f t="shared" si="55"/>
        <v>46249</v>
      </c>
      <c r="BL33" s="116">
        <f t="shared" si="55"/>
        <v>46250</v>
      </c>
      <c r="BM33" s="116">
        <f t="shared" si="55"/>
        <v>46251</v>
      </c>
      <c r="BN33" s="116">
        <f t="shared" si="55"/>
        <v>46252</v>
      </c>
      <c r="BO33" s="116">
        <f t="shared" si="55"/>
        <v>46253</v>
      </c>
      <c r="BP33" s="116">
        <f t="shared" si="55"/>
        <v>46254</v>
      </c>
      <c r="BQ33" s="116">
        <f t="shared" si="55"/>
        <v>46255</v>
      </c>
      <c r="BR33" s="116">
        <f t="shared" si="55"/>
        <v>46256</v>
      </c>
      <c r="BS33" s="116">
        <f t="shared" si="55"/>
        <v>46257</v>
      </c>
      <c r="BT33" s="116">
        <f t="shared" si="55"/>
        <v>46258</v>
      </c>
      <c r="BU33" s="116">
        <f t="shared" si="55"/>
        <v>46259</v>
      </c>
      <c r="BV33" s="116">
        <f t="shared" si="55"/>
        <v>46260</v>
      </c>
      <c r="BW33" s="116">
        <f t="shared" si="55"/>
        <v>46261</v>
      </c>
      <c r="BX33" s="116">
        <f t="shared" ref="BX33:CP33" si="56">BW33+1</f>
        <v>46262</v>
      </c>
      <c r="BY33" s="116">
        <f t="shared" si="56"/>
        <v>46263</v>
      </c>
      <c r="BZ33" s="116">
        <f t="shared" si="56"/>
        <v>46264</v>
      </c>
      <c r="CA33" s="116">
        <f t="shared" si="56"/>
        <v>46265</v>
      </c>
      <c r="CB33" s="116">
        <f t="shared" si="56"/>
        <v>46266</v>
      </c>
      <c r="CC33" s="116">
        <f t="shared" si="56"/>
        <v>46267</v>
      </c>
      <c r="CD33" s="116">
        <f t="shared" si="56"/>
        <v>46268</v>
      </c>
      <c r="CE33" s="116">
        <f t="shared" si="56"/>
        <v>46269</v>
      </c>
      <c r="CF33" s="116">
        <f t="shared" si="56"/>
        <v>46270</v>
      </c>
      <c r="CG33" s="116">
        <f t="shared" si="56"/>
        <v>46271</v>
      </c>
      <c r="CH33" s="116">
        <f t="shared" si="56"/>
        <v>46272</v>
      </c>
      <c r="CI33" s="116">
        <f t="shared" si="56"/>
        <v>46273</v>
      </c>
      <c r="CJ33" s="116">
        <f t="shared" si="56"/>
        <v>46274</v>
      </c>
      <c r="CK33" s="116">
        <f t="shared" si="56"/>
        <v>46275</v>
      </c>
      <c r="CL33" s="116">
        <f t="shared" si="56"/>
        <v>46276</v>
      </c>
      <c r="CM33" s="116">
        <f t="shared" si="56"/>
        <v>46277</v>
      </c>
      <c r="CN33" s="116">
        <f t="shared" si="56"/>
        <v>46278</v>
      </c>
      <c r="CO33" s="116">
        <f t="shared" si="56"/>
        <v>46279</v>
      </c>
      <c r="CP33" s="116">
        <f t="shared" si="56"/>
        <v>46280</v>
      </c>
      <c r="CS33" s="116">
        <f t="shared" ref="CS33:DO33" si="57">CR33+1</f>
        <v>1</v>
      </c>
      <c r="CT33" s="116">
        <f t="shared" si="57"/>
        <v>2</v>
      </c>
      <c r="CU33" s="116">
        <f t="shared" si="57"/>
        <v>3</v>
      </c>
      <c r="CV33" s="116">
        <f t="shared" si="57"/>
        <v>4</v>
      </c>
      <c r="CW33" s="116">
        <f t="shared" si="57"/>
        <v>5</v>
      </c>
      <c r="CX33" s="116">
        <f t="shared" si="57"/>
        <v>6</v>
      </c>
      <c r="CY33" s="116">
        <f t="shared" si="57"/>
        <v>7</v>
      </c>
      <c r="CZ33" s="116">
        <f t="shared" si="57"/>
        <v>8</v>
      </c>
      <c r="DA33" s="116">
        <f t="shared" si="57"/>
        <v>9</v>
      </c>
      <c r="DB33" s="116">
        <f t="shared" si="57"/>
        <v>10</v>
      </c>
      <c r="DC33" s="116">
        <f t="shared" si="57"/>
        <v>11</v>
      </c>
      <c r="DD33" s="116">
        <f t="shared" si="57"/>
        <v>12</v>
      </c>
      <c r="DE33" s="116">
        <f t="shared" si="57"/>
        <v>13</v>
      </c>
      <c r="DF33" s="116">
        <f t="shared" si="57"/>
        <v>14</v>
      </c>
      <c r="DG33" s="116">
        <f t="shared" si="57"/>
        <v>15</v>
      </c>
      <c r="DH33" s="116">
        <f t="shared" si="57"/>
        <v>16</v>
      </c>
      <c r="DI33" s="116">
        <f t="shared" si="57"/>
        <v>17</v>
      </c>
      <c r="DJ33" s="116">
        <f t="shared" si="57"/>
        <v>18</v>
      </c>
      <c r="DK33" s="116">
        <f t="shared" si="57"/>
        <v>19</v>
      </c>
      <c r="DL33" s="116">
        <f t="shared" si="57"/>
        <v>20</v>
      </c>
      <c r="DM33" s="116">
        <f t="shared" si="57"/>
        <v>21</v>
      </c>
      <c r="DN33" s="116">
        <f t="shared" si="57"/>
        <v>22</v>
      </c>
      <c r="DO33" s="116">
        <f t="shared" si="57"/>
        <v>23</v>
      </c>
    </row>
    <row r="34" spans="1:119">
      <c r="A34" s="495"/>
      <c r="B34" s="502"/>
      <c r="C34" s="502"/>
      <c r="D34" s="467">
        <f>'BESS 12'!H186</f>
        <v>46249</v>
      </c>
      <c r="E34" s="109" t="s">
        <v>64</v>
      </c>
      <c r="F34" s="102" t="e">
        <f>SUM('BESS 12'!S199:S206,'BESS 12'!S208)</f>
        <v>#VALUE!</v>
      </c>
      <c r="G34" s="101">
        <f>MAX('BESS 12'!O199:O206,'BESS 12'!O208)-MIN('BESS 12'!O199:O206,'BESS 12'!O208)+1</f>
        <v>6</v>
      </c>
      <c r="H34" s="110">
        <f>MIN('BESS 12'!O199:O206,'BESS 12'!O208)</f>
        <v>46228</v>
      </c>
      <c r="I34" s="101" t="str">
        <f t="shared" ref="I34:R37" si="58">IF(AND(I$1&gt;=$H34,I$1&lt;($H34+$G34)),ROUND($F34/$G34,0),"-")</f>
        <v>-</v>
      </c>
      <c r="J34" s="101" t="str">
        <f t="shared" si="58"/>
        <v>-</v>
      </c>
      <c r="K34" s="101" t="str">
        <f t="shared" si="58"/>
        <v>-</v>
      </c>
      <c r="L34" s="101" t="str">
        <f t="shared" si="58"/>
        <v>-</v>
      </c>
      <c r="M34" s="101" t="str">
        <f t="shared" si="58"/>
        <v>-</v>
      </c>
      <c r="N34" s="101" t="str">
        <f t="shared" si="58"/>
        <v>-</v>
      </c>
      <c r="O34" s="101" t="str">
        <f t="shared" si="58"/>
        <v>-</v>
      </c>
      <c r="P34" s="101" t="str">
        <f t="shared" si="58"/>
        <v>-</v>
      </c>
      <c r="Q34" s="101" t="str">
        <f t="shared" si="58"/>
        <v>-</v>
      </c>
      <c r="R34" s="101" t="str">
        <f t="shared" si="58"/>
        <v>-</v>
      </c>
      <c r="S34" s="101" t="str">
        <f t="shared" ref="S34:AB37" si="59">IF(AND(S$1&gt;=$H34,S$1&lt;($H34+$G34)),ROUND($F34/$G34,0),"-")</f>
        <v>-</v>
      </c>
      <c r="T34" s="101" t="str">
        <f t="shared" si="59"/>
        <v>-</v>
      </c>
      <c r="U34" s="101" t="str">
        <f t="shared" si="59"/>
        <v>-</v>
      </c>
      <c r="V34" s="101" t="str">
        <f t="shared" si="59"/>
        <v>-</v>
      </c>
      <c r="W34" s="101" t="str">
        <f t="shared" si="59"/>
        <v>-</v>
      </c>
      <c r="X34" s="101" t="str">
        <f t="shared" si="59"/>
        <v>-</v>
      </c>
      <c r="Y34" s="101" t="str">
        <f t="shared" si="59"/>
        <v>-</v>
      </c>
      <c r="Z34" s="101" t="str">
        <f t="shared" si="59"/>
        <v>-</v>
      </c>
      <c r="AA34" s="101" t="str">
        <f t="shared" si="59"/>
        <v>-</v>
      </c>
      <c r="AB34" s="101" t="str">
        <f t="shared" si="59"/>
        <v>-</v>
      </c>
      <c r="AC34" s="101" t="str">
        <f t="shared" ref="AC34:AL37" si="60">IF(AND(AC$1&gt;=$H34,AC$1&lt;($H34+$G34)),ROUND($F34/$G34,0),"-")</f>
        <v>-</v>
      </c>
      <c r="AD34" s="101" t="str">
        <f t="shared" si="60"/>
        <v>-</v>
      </c>
      <c r="AE34" s="101" t="str">
        <f t="shared" si="60"/>
        <v>-</v>
      </c>
      <c r="AF34" s="101" t="str">
        <f t="shared" si="60"/>
        <v>-</v>
      </c>
      <c r="AG34" s="101" t="str">
        <f t="shared" si="60"/>
        <v>-</v>
      </c>
      <c r="AH34" s="101" t="str">
        <f t="shared" si="60"/>
        <v>-</v>
      </c>
      <c r="AI34" s="101" t="str">
        <f t="shared" si="60"/>
        <v>-</v>
      </c>
      <c r="AJ34" s="101" t="str">
        <f t="shared" si="60"/>
        <v>-</v>
      </c>
      <c r="AK34" s="101" t="str">
        <f t="shared" si="60"/>
        <v>-</v>
      </c>
      <c r="AL34" s="101" t="str">
        <f t="shared" si="60"/>
        <v>-</v>
      </c>
      <c r="AM34" s="101" t="str">
        <f t="shared" ref="AM34:AV37" si="61">IF(AND(AM$1&gt;=$H34,AM$1&lt;($H34+$G34)),ROUND($F34/$G34,0),"-")</f>
        <v>-</v>
      </c>
      <c r="AN34" s="101" t="str">
        <f t="shared" si="61"/>
        <v>-</v>
      </c>
      <c r="AO34" s="101" t="str">
        <f t="shared" si="61"/>
        <v>-</v>
      </c>
      <c r="AP34" s="101" t="str">
        <f t="shared" si="61"/>
        <v>-</v>
      </c>
      <c r="AQ34" s="101" t="str">
        <f t="shared" si="61"/>
        <v>-</v>
      </c>
      <c r="AR34" s="101" t="str">
        <f t="shared" si="61"/>
        <v>-</v>
      </c>
      <c r="AS34" s="101" t="str">
        <f t="shared" si="61"/>
        <v>-</v>
      </c>
      <c r="AT34" s="101" t="str">
        <f t="shared" si="61"/>
        <v>-</v>
      </c>
      <c r="AU34" s="101" t="str">
        <f t="shared" si="61"/>
        <v>-</v>
      </c>
      <c r="AV34" s="101" t="str">
        <f t="shared" si="61"/>
        <v>-</v>
      </c>
      <c r="AW34" s="101" t="str">
        <f t="shared" ref="AW34:BF37" si="62">IF(AND(AW$1&gt;=$H34,AW$1&lt;($H34+$G34)),ROUND($F34/$G34,0),"-")</f>
        <v>-</v>
      </c>
      <c r="AX34" s="101" t="str">
        <f t="shared" si="62"/>
        <v>-</v>
      </c>
      <c r="AY34" s="101" t="str">
        <f t="shared" si="62"/>
        <v>-</v>
      </c>
      <c r="AZ34" s="101" t="str">
        <f t="shared" si="62"/>
        <v>-</v>
      </c>
      <c r="BA34" s="101" t="str">
        <f t="shared" si="62"/>
        <v>-</v>
      </c>
      <c r="BB34" s="101" t="str">
        <f t="shared" si="62"/>
        <v>-</v>
      </c>
      <c r="BC34" s="101" t="str">
        <f t="shared" si="62"/>
        <v>-</v>
      </c>
      <c r="BD34" s="101" t="str">
        <f t="shared" si="62"/>
        <v>-</v>
      </c>
      <c r="BE34" s="101" t="str">
        <f t="shared" si="62"/>
        <v>-</v>
      </c>
      <c r="BF34" s="101" t="str">
        <f t="shared" si="62"/>
        <v>-</v>
      </c>
      <c r="BG34" s="101" t="str">
        <f t="shared" ref="BG34:BP37" si="63">IF(AND(BG$1&gt;=$H34,BG$1&lt;($H34+$G34)),ROUND($F34/$G34,0),"-")</f>
        <v>-</v>
      </c>
      <c r="BH34" s="101" t="str">
        <f t="shared" si="63"/>
        <v>-</v>
      </c>
      <c r="BI34" s="101" t="str">
        <f t="shared" si="63"/>
        <v>-</v>
      </c>
      <c r="BJ34" s="101" t="str">
        <f t="shared" si="63"/>
        <v>-</v>
      </c>
      <c r="BK34" s="101" t="str">
        <f t="shared" si="63"/>
        <v>-</v>
      </c>
      <c r="BL34" s="101" t="str">
        <f t="shared" si="63"/>
        <v>-</v>
      </c>
      <c r="BM34" s="101" t="str">
        <f t="shared" si="63"/>
        <v>-</v>
      </c>
      <c r="BN34" s="101" t="str">
        <f t="shared" si="63"/>
        <v>-</v>
      </c>
      <c r="BO34" s="101" t="str">
        <f t="shared" si="63"/>
        <v>-</v>
      </c>
      <c r="BP34" s="101" t="str">
        <f t="shared" si="63"/>
        <v>-</v>
      </c>
      <c r="BQ34" s="101" t="str">
        <f t="shared" ref="BQ34:BZ37" si="64">IF(AND(BQ$1&gt;=$H34,BQ$1&lt;($H34+$G34)),ROUND($F34/$G34,0),"-")</f>
        <v>-</v>
      </c>
      <c r="BR34" s="101" t="str">
        <f t="shared" si="64"/>
        <v>-</v>
      </c>
      <c r="BS34" s="101" t="str">
        <f t="shared" si="64"/>
        <v>-</v>
      </c>
      <c r="BT34" s="101" t="str">
        <f t="shared" si="64"/>
        <v>-</v>
      </c>
      <c r="BU34" s="101" t="str">
        <f t="shared" si="64"/>
        <v>-</v>
      </c>
      <c r="BV34" s="101" t="str">
        <f t="shared" si="64"/>
        <v>-</v>
      </c>
      <c r="BW34" s="101" t="str">
        <f t="shared" si="64"/>
        <v>-</v>
      </c>
      <c r="BX34" s="101" t="str">
        <f t="shared" si="64"/>
        <v>-</v>
      </c>
      <c r="BY34" s="101" t="str">
        <f t="shared" si="64"/>
        <v>-</v>
      </c>
      <c r="BZ34" s="101" t="str">
        <f t="shared" si="64"/>
        <v>-</v>
      </c>
      <c r="CA34" s="101" t="str">
        <f t="shared" ref="CA34:CJ37" si="65">IF(AND(CA$1&gt;=$H34,CA$1&lt;($H34+$G34)),ROUND($F34/$G34,0),"-")</f>
        <v>-</v>
      </c>
      <c r="CB34" s="101" t="str">
        <f t="shared" si="65"/>
        <v>-</v>
      </c>
      <c r="CC34" s="101" t="str">
        <f t="shared" si="65"/>
        <v>-</v>
      </c>
      <c r="CD34" s="101" t="str">
        <f t="shared" si="65"/>
        <v>-</v>
      </c>
      <c r="CE34" s="101" t="str">
        <f t="shared" si="65"/>
        <v>-</v>
      </c>
      <c r="CF34" s="101" t="str">
        <f t="shared" si="65"/>
        <v>-</v>
      </c>
      <c r="CG34" s="101" t="str">
        <f t="shared" si="65"/>
        <v>-</v>
      </c>
      <c r="CH34" s="101" t="str">
        <f t="shared" si="65"/>
        <v>-</v>
      </c>
      <c r="CI34" s="101" t="str">
        <f t="shared" si="65"/>
        <v>-</v>
      </c>
      <c r="CJ34" s="101" t="str">
        <f t="shared" si="65"/>
        <v>-</v>
      </c>
      <c r="CK34" s="101" t="str">
        <f t="shared" ref="CK34:CP37" si="66">IF(AND(CK$1&gt;=$H34,CK$1&lt;($H34+$G34)),ROUND($F34/$G34,0),"-")</f>
        <v>-</v>
      </c>
      <c r="CL34" s="101" t="str">
        <f t="shared" si="66"/>
        <v>-</v>
      </c>
      <c r="CM34" s="101" t="str">
        <f t="shared" si="66"/>
        <v>-</v>
      </c>
      <c r="CN34" s="101" t="str">
        <f t="shared" si="66"/>
        <v>-</v>
      </c>
      <c r="CO34" s="101" t="str">
        <f t="shared" si="66"/>
        <v>-</v>
      </c>
      <c r="CP34" s="101" t="str">
        <f t="shared" si="66"/>
        <v>-</v>
      </c>
      <c r="CS34" s="101" t="e">
        <f t="shared" ref="CS34:DB37" si="67">IF(AND(CS$1&gt;=$H34,CS$1&lt;($H34+$G34)),ROUND($F34/$G34,0),"-")</f>
        <v>#VALUE!</v>
      </c>
      <c r="CT34" s="101" t="str">
        <f t="shared" si="67"/>
        <v>-</v>
      </c>
      <c r="CU34" s="101" t="str">
        <f t="shared" si="67"/>
        <v>-</v>
      </c>
      <c r="CV34" s="101" t="str">
        <f t="shared" si="67"/>
        <v>-</v>
      </c>
      <c r="CW34" s="101" t="str">
        <f t="shared" si="67"/>
        <v>-</v>
      </c>
      <c r="CX34" s="101" t="str">
        <f t="shared" si="67"/>
        <v>-</v>
      </c>
      <c r="CY34" s="101" t="str">
        <f t="shared" si="67"/>
        <v>-</v>
      </c>
      <c r="CZ34" s="101" t="str">
        <f t="shared" si="67"/>
        <v>-</v>
      </c>
      <c r="DA34" s="101" t="str">
        <f t="shared" si="67"/>
        <v>-</v>
      </c>
      <c r="DB34" s="101" t="str">
        <f t="shared" si="67"/>
        <v>-</v>
      </c>
      <c r="DC34" s="101" t="str">
        <f t="shared" ref="DC34:DO37" si="68">IF(AND(DC$1&gt;=$H34,DC$1&lt;($H34+$G34)),ROUND($F34/$G34,0),"-")</f>
        <v>-</v>
      </c>
      <c r="DD34" s="101" t="str">
        <f t="shared" si="68"/>
        <v>-</v>
      </c>
      <c r="DE34" s="101" t="str">
        <f t="shared" si="68"/>
        <v>-</v>
      </c>
      <c r="DF34" s="101" t="str">
        <f t="shared" si="68"/>
        <v>-</v>
      </c>
      <c r="DG34" s="101" t="str">
        <f t="shared" si="68"/>
        <v>-</v>
      </c>
      <c r="DH34" s="101" t="str">
        <f t="shared" si="68"/>
        <v>-</v>
      </c>
      <c r="DI34" s="101" t="str">
        <f t="shared" si="68"/>
        <v>-</v>
      </c>
      <c r="DJ34" s="101" t="str">
        <f t="shared" si="68"/>
        <v>-</v>
      </c>
      <c r="DK34" s="101" t="str">
        <f t="shared" si="68"/>
        <v>-</v>
      </c>
      <c r="DL34" s="101" t="str">
        <f t="shared" si="68"/>
        <v>-</v>
      </c>
      <c r="DM34" s="101" t="str">
        <f t="shared" si="68"/>
        <v>-</v>
      </c>
      <c r="DN34" s="101" t="str">
        <f t="shared" si="68"/>
        <v>-</v>
      </c>
      <c r="DO34" s="101" t="str">
        <f t="shared" si="68"/>
        <v>-</v>
      </c>
    </row>
    <row r="35" spans="1:119">
      <c r="A35" s="495"/>
      <c r="B35" s="502"/>
      <c r="C35" s="502"/>
      <c r="D35" s="466"/>
      <c r="E35" s="109" t="s">
        <v>65</v>
      </c>
      <c r="F35" s="102" t="e">
        <f>SUM('BESS 12'!S209,'BESS 12'!S211:S212,'BESS 12'!S215:S217)</f>
        <v>#VALUE!</v>
      </c>
      <c r="G35" s="101">
        <f>MAX('BESS 12'!O209,'BESS 12'!O211:O212,'BESS 12'!O215:O217)-MIN('BESS 12'!O209,'BESS 12'!O211:O212,'BESS 12'!O215:O217)+1</f>
        <v>1</v>
      </c>
      <c r="H35" s="110">
        <f>MIN('BESS 12'!O209,'BESS 12'!O211:O212,'BESS 12'!O215:O217)</f>
        <v>46233</v>
      </c>
      <c r="I35" s="101" t="str">
        <f t="shared" si="58"/>
        <v>-</v>
      </c>
      <c r="J35" s="101" t="str">
        <f t="shared" si="58"/>
        <v>-</v>
      </c>
      <c r="K35" s="101" t="str">
        <f t="shared" si="58"/>
        <v>-</v>
      </c>
      <c r="L35" s="101" t="str">
        <f t="shared" si="58"/>
        <v>-</v>
      </c>
      <c r="M35" s="101" t="str">
        <f t="shared" si="58"/>
        <v>-</v>
      </c>
      <c r="N35" s="101" t="str">
        <f t="shared" si="58"/>
        <v>-</v>
      </c>
      <c r="O35" s="101" t="str">
        <f t="shared" si="58"/>
        <v>-</v>
      </c>
      <c r="P35" s="101" t="str">
        <f t="shared" si="58"/>
        <v>-</v>
      </c>
      <c r="Q35" s="101" t="str">
        <f t="shared" si="58"/>
        <v>-</v>
      </c>
      <c r="R35" s="101" t="str">
        <f t="shared" si="58"/>
        <v>-</v>
      </c>
      <c r="S35" s="101" t="str">
        <f t="shared" si="59"/>
        <v>-</v>
      </c>
      <c r="T35" s="101" t="str">
        <f t="shared" si="59"/>
        <v>-</v>
      </c>
      <c r="U35" s="101" t="str">
        <f t="shared" si="59"/>
        <v>-</v>
      </c>
      <c r="V35" s="101" t="str">
        <f t="shared" si="59"/>
        <v>-</v>
      </c>
      <c r="W35" s="101" t="str">
        <f t="shared" si="59"/>
        <v>-</v>
      </c>
      <c r="X35" s="101" t="str">
        <f t="shared" si="59"/>
        <v>-</v>
      </c>
      <c r="Y35" s="101" t="str">
        <f t="shared" si="59"/>
        <v>-</v>
      </c>
      <c r="Z35" s="101" t="str">
        <f t="shared" si="59"/>
        <v>-</v>
      </c>
      <c r="AA35" s="101" t="str">
        <f t="shared" si="59"/>
        <v>-</v>
      </c>
      <c r="AB35" s="101" t="str">
        <f t="shared" si="59"/>
        <v>-</v>
      </c>
      <c r="AC35" s="101" t="str">
        <f t="shared" si="60"/>
        <v>-</v>
      </c>
      <c r="AD35" s="101" t="str">
        <f t="shared" si="60"/>
        <v>-</v>
      </c>
      <c r="AE35" s="101" t="str">
        <f t="shared" si="60"/>
        <v>-</v>
      </c>
      <c r="AF35" s="101" t="str">
        <f t="shared" si="60"/>
        <v>-</v>
      </c>
      <c r="AG35" s="101" t="str">
        <f t="shared" si="60"/>
        <v>-</v>
      </c>
      <c r="AH35" s="101" t="str">
        <f t="shared" si="60"/>
        <v>-</v>
      </c>
      <c r="AI35" s="101" t="str">
        <f t="shared" si="60"/>
        <v>-</v>
      </c>
      <c r="AJ35" s="101" t="str">
        <f t="shared" si="60"/>
        <v>-</v>
      </c>
      <c r="AK35" s="101" t="str">
        <f t="shared" si="60"/>
        <v>-</v>
      </c>
      <c r="AL35" s="101" t="str">
        <f t="shared" si="60"/>
        <v>-</v>
      </c>
      <c r="AM35" s="101" t="str">
        <f t="shared" si="61"/>
        <v>-</v>
      </c>
      <c r="AN35" s="101" t="str">
        <f t="shared" si="61"/>
        <v>-</v>
      </c>
      <c r="AO35" s="101" t="str">
        <f t="shared" si="61"/>
        <v>-</v>
      </c>
      <c r="AP35" s="101" t="str">
        <f t="shared" si="61"/>
        <v>-</v>
      </c>
      <c r="AQ35" s="101" t="str">
        <f t="shared" si="61"/>
        <v>-</v>
      </c>
      <c r="AR35" s="101" t="str">
        <f t="shared" si="61"/>
        <v>-</v>
      </c>
      <c r="AS35" s="101" t="str">
        <f t="shared" si="61"/>
        <v>-</v>
      </c>
      <c r="AT35" s="101" t="str">
        <f t="shared" si="61"/>
        <v>-</v>
      </c>
      <c r="AU35" s="101" t="str">
        <f t="shared" si="61"/>
        <v>-</v>
      </c>
      <c r="AV35" s="101" t="str">
        <f t="shared" si="61"/>
        <v>-</v>
      </c>
      <c r="AW35" s="101" t="str">
        <f t="shared" si="62"/>
        <v>-</v>
      </c>
      <c r="AX35" s="101" t="str">
        <f t="shared" si="62"/>
        <v>-</v>
      </c>
      <c r="AY35" s="101" t="str">
        <f t="shared" si="62"/>
        <v>-</v>
      </c>
      <c r="AZ35" s="101" t="str">
        <f t="shared" si="62"/>
        <v>-</v>
      </c>
      <c r="BA35" s="101" t="str">
        <f t="shared" si="62"/>
        <v>-</v>
      </c>
      <c r="BB35" s="101" t="str">
        <f t="shared" si="62"/>
        <v>-</v>
      </c>
      <c r="BC35" s="101" t="str">
        <f t="shared" si="62"/>
        <v>-</v>
      </c>
      <c r="BD35" s="101" t="str">
        <f t="shared" si="62"/>
        <v>-</v>
      </c>
      <c r="BE35" s="101" t="str">
        <f t="shared" si="62"/>
        <v>-</v>
      </c>
      <c r="BF35" s="101" t="str">
        <f t="shared" si="62"/>
        <v>-</v>
      </c>
      <c r="BG35" s="101" t="str">
        <f t="shared" si="63"/>
        <v>-</v>
      </c>
      <c r="BH35" s="101" t="str">
        <f t="shared" si="63"/>
        <v>-</v>
      </c>
      <c r="BI35" s="101" t="str">
        <f t="shared" si="63"/>
        <v>-</v>
      </c>
      <c r="BJ35" s="101" t="str">
        <f t="shared" si="63"/>
        <v>-</v>
      </c>
      <c r="BK35" s="101" t="str">
        <f t="shared" si="63"/>
        <v>-</v>
      </c>
      <c r="BL35" s="101" t="str">
        <f t="shared" si="63"/>
        <v>-</v>
      </c>
      <c r="BM35" s="101" t="str">
        <f t="shared" si="63"/>
        <v>-</v>
      </c>
      <c r="BN35" s="101" t="str">
        <f t="shared" si="63"/>
        <v>-</v>
      </c>
      <c r="BO35" s="101" t="str">
        <f t="shared" si="63"/>
        <v>-</v>
      </c>
      <c r="BP35" s="101" t="str">
        <f t="shared" si="63"/>
        <v>-</v>
      </c>
      <c r="BQ35" s="101" t="str">
        <f t="shared" si="64"/>
        <v>-</v>
      </c>
      <c r="BR35" s="101" t="str">
        <f t="shared" si="64"/>
        <v>-</v>
      </c>
      <c r="BS35" s="101" t="str">
        <f t="shared" si="64"/>
        <v>-</v>
      </c>
      <c r="BT35" s="101" t="str">
        <f t="shared" si="64"/>
        <v>-</v>
      </c>
      <c r="BU35" s="101" t="str">
        <f t="shared" si="64"/>
        <v>-</v>
      </c>
      <c r="BV35" s="101" t="str">
        <f t="shared" si="64"/>
        <v>-</v>
      </c>
      <c r="BW35" s="101" t="str">
        <f t="shared" si="64"/>
        <v>-</v>
      </c>
      <c r="BX35" s="101" t="str">
        <f t="shared" si="64"/>
        <v>-</v>
      </c>
      <c r="BY35" s="101" t="str">
        <f t="shared" si="64"/>
        <v>-</v>
      </c>
      <c r="BZ35" s="101" t="str">
        <f t="shared" si="64"/>
        <v>-</v>
      </c>
      <c r="CA35" s="101" t="str">
        <f t="shared" si="65"/>
        <v>-</v>
      </c>
      <c r="CB35" s="101" t="str">
        <f t="shared" si="65"/>
        <v>-</v>
      </c>
      <c r="CC35" s="101" t="str">
        <f t="shared" si="65"/>
        <v>-</v>
      </c>
      <c r="CD35" s="101" t="str">
        <f t="shared" si="65"/>
        <v>-</v>
      </c>
      <c r="CE35" s="101" t="str">
        <f t="shared" si="65"/>
        <v>-</v>
      </c>
      <c r="CF35" s="101" t="str">
        <f t="shared" si="65"/>
        <v>-</v>
      </c>
      <c r="CG35" s="101" t="str">
        <f t="shared" si="65"/>
        <v>-</v>
      </c>
      <c r="CH35" s="101" t="str">
        <f t="shared" si="65"/>
        <v>-</v>
      </c>
      <c r="CI35" s="101" t="str">
        <f t="shared" si="65"/>
        <v>-</v>
      </c>
      <c r="CJ35" s="101" t="str">
        <f t="shared" si="65"/>
        <v>-</v>
      </c>
      <c r="CK35" s="101" t="str">
        <f t="shared" si="66"/>
        <v>-</v>
      </c>
      <c r="CL35" s="101" t="str">
        <f t="shared" si="66"/>
        <v>-</v>
      </c>
      <c r="CM35" s="101" t="str">
        <f t="shared" si="66"/>
        <v>-</v>
      </c>
      <c r="CN35" s="101" t="str">
        <f t="shared" si="66"/>
        <v>-</v>
      </c>
      <c r="CO35" s="101" t="str">
        <f t="shared" si="66"/>
        <v>-</v>
      </c>
      <c r="CP35" s="101" t="str">
        <f t="shared" si="66"/>
        <v>-</v>
      </c>
      <c r="CS35" s="101" t="e">
        <f t="shared" si="67"/>
        <v>#VALUE!</v>
      </c>
      <c r="CT35" s="101" t="str">
        <f t="shared" si="67"/>
        <v>-</v>
      </c>
      <c r="CU35" s="101" t="str">
        <f t="shared" si="67"/>
        <v>-</v>
      </c>
      <c r="CV35" s="101" t="str">
        <f t="shared" si="67"/>
        <v>-</v>
      </c>
      <c r="CW35" s="101" t="str">
        <f t="shared" si="67"/>
        <v>-</v>
      </c>
      <c r="CX35" s="101" t="str">
        <f t="shared" si="67"/>
        <v>-</v>
      </c>
      <c r="CY35" s="101" t="str">
        <f t="shared" si="67"/>
        <v>-</v>
      </c>
      <c r="CZ35" s="101" t="str">
        <f t="shared" si="67"/>
        <v>-</v>
      </c>
      <c r="DA35" s="101" t="str">
        <f t="shared" si="67"/>
        <v>-</v>
      </c>
      <c r="DB35" s="101" t="str">
        <f t="shared" si="67"/>
        <v>-</v>
      </c>
      <c r="DC35" s="101" t="str">
        <f t="shared" si="68"/>
        <v>-</v>
      </c>
      <c r="DD35" s="101" t="str">
        <f t="shared" si="68"/>
        <v>-</v>
      </c>
      <c r="DE35" s="101" t="str">
        <f t="shared" si="68"/>
        <v>-</v>
      </c>
      <c r="DF35" s="101" t="str">
        <f t="shared" si="68"/>
        <v>-</v>
      </c>
      <c r="DG35" s="101" t="str">
        <f t="shared" si="68"/>
        <v>-</v>
      </c>
      <c r="DH35" s="101" t="str">
        <f t="shared" si="68"/>
        <v>-</v>
      </c>
      <c r="DI35" s="101" t="str">
        <f t="shared" si="68"/>
        <v>-</v>
      </c>
      <c r="DJ35" s="101" t="str">
        <f t="shared" si="68"/>
        <v>-</v>
      </c>
      <c r="DK35" s="101" t="str">
        <f t="shared" si="68"/>
        <v>-</v>
      </c>
      <c r="DL35" s="101" t="str">
        <f t="shared" si="68"/>
        <v>-</v>
      </c>
      <c r="DM35" s="101" t="str">
        <f t="shared" si="68"/>
        <v>-</v>
      </c>
      <c r="DN35" s="101" t="str">
        <f t="shared" si="68"/>
        <v>-</v>
      </c>
      <c r="DO35" s="101" t="str">
        <f t="shared" si="68"/>
        <v>-</v>
      </c>
    </row>
    <row r="36" spans="1:119">
      <c r="A36" s="495"/>
      <c r="B36" s="502"/>
      <c r="C36" s="502"/>
      <c r="D36" s="466"/>
      <c r="E36" s="109" t="s">
        <v>66</v>
      </c>
      <c r="F36" s="102" t="e">
        <f>SUM('BESS 12'!S210,'BESS 12'!S213:S214,'BESS 12'!S218:S219)</f>
        <v>#VALUE!</v>
      </c>
      <c r="G36" s="102">
        <f>MAX('BESS 12'!O210,'BESS 12'!O213:O214,'BESS 12'!O218:O219)-MIN('BESS 12'!O210,'BESS 12'!O213:O214,'BESS 12'!O218:O219)+1</f>
        <v>4</v>
      </c>
      <c r="H36" s="110">
        <f>MIN('BESS 12'!O210,'BESS 12'!O213:O214,'BESS 12'!O218:O219)</f>
        <v>46233</v>
      </c>
      <c r="I36" s="101" t="str">
        <f t="shared" si="58"/>
        <v>-</v>
      </c>
      <c r="J36" s="101" t="str">
        <f t="shared" si="58"/>
        <v>-</v>
      </c>
      <c r="K36" s="101" t="str">
        <f t="shared" si="58"/>
        <v>-</v>
      </c>
      <c r="L36" s="101" t="str">
        <f t="shared" si="58"/>
        <v>-</v>
      </c>
      <c r="M36" s="101" t="str">
        <f t="shared" si="58"/>
        <v>-</v>
      </c>
      <c r="N36" s="101" t="str">
        <f t="shared" si="58"/>
        <v>-</v>
      </c>
      <c r="O36" s="101" t="str">
        <f t="shared" si="58"/>
        <v>-</v>
      </c>
      <c r="P36" s="101" t="str">
        <f t="shared" si="58"/>
        <v>-</v>
      </c>
      <c r="Q36" s="101" t="str">
        <f t="shared" si="58"/>
        <v>-</v>
      </c>
      <c r="R36" s="101" t="str">
        <f t="shared" si="58"/>
        <v>-</v>
      </c>
      <c r="S36" s="101" t="str">
        <f t="shared" si="59"/>
        <v>-</v>
      </c>
      <c r="T36" s="101" t="str">
        <f t="shared" si="59"/>
        <v>-</v>
      </c>
      <c r="U36" s="101" t="str">
        <f t="shared" si="59"/>
        <v>-</v>
      </c>
      <c r="V36" s="101" t="str">
        <f t="shared" si="59"/>
        <v>-</v>
      </c>
      <c r="W36" s="101" t="str">
        <f t="shared" si="59"/>
        <v>-</v>
      </c>
      <c r="X36" s="101" t="str">
        <f t="shared" si="59"/>
        <v>-</v>
      </c>
      <c r="Y36" s="101" t="str">
        <f t="shared" si="59"/>
        <v>-</v>
      </c>
      <c r="Z36" s="101" t="str">
        <f t="shared" si="59"/>
        <v>-</v>
      </c>
      <c r="AA36" s="101" t="str">
        <f t="shared" si="59"/>
        <v>-</v>
      </c>
      <c r="AB36" s="101" t="str">
        <f t="shared" si="59"/>
        <v>-</v>
      </c>
      <c r="AC36" s="101" t="str">
        <f t="shared" si="60"/>
        <v>-</v>
      </c>
      <c r="AD36" s="101" t="str">
        <f t="shared" si="60"/>
        <v>-</v>
      </c>
      <c r="AE36" s="101" t="str">
        <f t="shared" si="60"/>
        <v>-</v>
      </c>
      <c r="AF36" s="101" t="str">
        <f t="shared" si="60"/>
        <v>-</v>
      </c>
      <c r="AG36" s="101" t="str">
        <f t="shared" si="60"/>
        <v>-</v>
      </c>
      <c r="AH36" s="101" t="str">
        <f t="shared" si="60"/>
        <v>-</v>
      </c>
      <c r="AI36" s="101" t="str">
        <f t="shared" si="60"/>
        <v>-</v>
      </c>
      <c r="AJ36" s="101" t="str">
        <f t="shared" si="60"/>
        <v>-</v>
      </c>
      <c r="AK36" s="101" t="str">
        <f t="shared" si="60"/>
        <v>-</v>
      </c>
      <c r="AL36" s="101" t="str">
        <f t="shared" si="60"/>
        <v>-</v>
      </c>
      <c r="AM36" s="101" t="str">
        <f t="shared" si="61"/>
        <v>-</v>
      </c>
      <c r="AN36" s="101" t="str">
        <f t="shared" si="61"/>
        <v>-</v>
      </c>
      <c r="AO36" s="101" t="str">
        <f t="shared" si="61"/>
        <v>-</v>
      </c>
      <c r="AP36" s="101" t="str">
        <f t="shared" si="61"/>
        <v>-</v>
      </c>
      <c r="AQ36" s="101" t="str">
        <f t="shared" si="61"/>
        <v>-</v>
      </c>
      <c r="AR36" s="101" t="str">
        <f t="shared" si="61"/>
        <v>-</v>
      </c>
      <c r="AS36" s="101" t="str">
        <f t="shared" si="61"/>
        <v>-</v>
      </c>
      <c r="AT36" s="101" t="str">
        <f t="shared" si="61"/>
        <v>-</v>
      </c>
      <c r="AU36" s="101" t="str">
        <f t="shared" si="61"/>
        <v>-</v>
      </c>
      <c r="AV36" s="101" t="str">
        <f t="shared" si="61"/>
        <v>-</v>
      </c>
      <c r="AW36" s="101" t="str">
        <f t="shared" si="62"/>
        <v>-</v>
      </c>
      <c r="AX36" s="101" t="str">
        <f t="shared" si="62"/>
        <v>-</v>
      </c>
      <c r="AY36" s="101" t="str">
        <f t="shared" si="62"/>
        <v>-</v>
      </c>
      <c r="AZ36" s="101" t="str">
        <f t="shared" si="62"/>
        <v>-</v>
      </c>
      <c r="BA36" s="101" t="str">
        <f t="shared" si="62"/>
        <v>-</v>
      </c>
      <c r="BB36" s="101" t="str">
        <f t="shared" si="62"/>
        <v>-</v>
      </c>
      <c r="BC36" s="101" t="str">
        <f t="shared" si="62"/>
        <v>-</v>
      </c>
      <c r="BD36" s="101" t="str">
        <f t="shared" si="62"/>
        <v>-</v>
      </c>
      <c r="BE36" s="101" t="str">
        <f t="shared" si="62"/>
        <v>-</v>
      </c>
      <c r="BF36" s="101" t="str">
        <f t="shared" si="62"/>
        <v>-</v>
      </c>
      <c r="BG36" s="101" t="str">
        <f t="shared" si="63"/>
        <v>-</v>
      </c>
      <c r="BH36" s="101" t="str">
        <f t="shared" si="63"/>
        <v>-</v>
      </c>
      <c r="BI36" s="101" t="str">
        <f t="shared" si="63"/>
        <v>-</v>
      </c>
      <c r="BJ36" s="101" t="str">
        <f t="shared" si="63"/>
        <v>-</v>
      </c>
      <c r="BK36" s="101" t="str">
        <f t="shared" si="63"/>
        <v>-</v>
      </c>
      <c r="BL36" s="101" t="str">
        <f t="shared" si="63"/>
        <v>-</v>
      </c>
      <c r="BM36" s="101" t="str">
        <f t="shared" si="63"/>
        <v>-</v>
      </c>
      <c r="BN36" s="101" t="str">
        <f t="shared" si="63"/>
        <v>-</v>
      </c>
      <c r="BO36" s="101" t="str">
        <f t="shared" si="63"/>
        <v>-</v>
      </c>
      <c r="BP36" s="101" t="str">
        <f t="shared" si="63"/>
        <v>-</v>
      </c>
      <c r="BQ36" s="101" t="str">
        <f t="shared" si="64"/>
        <v>-</v>
      </c>
      <c r="BR36" s="101" t="str">
        <f t="shared" si="64"/>
        <v>-</v>
      </c>
      <c r="BS36" s="101" t="str">
        <f t="shared" si="64"/>
        <v>-</v>
      </c>
      <c r="BT36" s="101" t="str">
        <f t="shared" si="64"/>
        <v>-</v>
      </c>
      <c r="BU36" s="101" t="str">
        <f t="shared" si="64"/>
        <v>-</v>
      </c>
      <c r="BV36" s="101" t="str">
        <f t="shared" si="64"/>
        <v>-</v>
      </c>
      <c r="BW36" s="101" t="str">
        <f t="shared" si="64"/>
        <v>-</v>
      </c>
      <c r="BX36" s="101" t="str">
        <f t="shared" si="64"/>
        <v>-</v>
      </c>
      <c r="BY36" s="101" t="str">
        <f t="shared" si="64"/>
        <v>-</v>
      </c>
      <c r="BZ36" s="101" t="str">
        <f t="shared" si="64"/>
        <v>-</v>
      </c>
      <c r="CA36" s="101" t="str">
        <f t="shared" si="65"/>
        <v>-</v>
      </c>
      <c r="CB36" s="101" t="str">
        <f t="shared" si="65"/>
        <v>-</v>
      </c>
      <c r="CC36" s="101" t="str">
        <f t="shared" si="65"/>
        <v>-</v>
      </c>
      <c r="CD36" s="101" t="str">
        <f t="shared" si="65"/>
        <v>-</v>
      </c>
      <c r="CE36" s="101" t="str">
        <f t="shared" si="65"/>
        <v>-</v>
      </c>
      <c r="CF36" s="101" t="str">
        <f t="shared" si="65"/>
        <v>-</v>
      </c>
      <c r="CG36" s="101" t="str">
        <f t="shared" si="65"/>
        <v>-</v>
      </c>
      <c r="CH36" s="101" t="str">
        <f t="shared" si="65"/>
        <v>-</v>
      </c>
      <c r="CI36" s="101" t="str">
        <f t="shared" si="65"/>
        <v>-</v>
      </c>
      <c r="CJ36" s="101" t="str">
        <f t="shared" si="65"/>
        <v>-</v>
      </c>
      <c r="CK36" s="101" t="str">
        <f t="shared" si="66"/>
        <v>-</v>
      </c>
      <c r="CL36" s="101" t="str">
        <f t="shared" si="66"/>
        <v>-</v>
      </c>
      <c r="CM36" s="101" t="str">
        <f t="shared" si="66"/>
        <v>-</v>
      </c>
      <c r="CN36" s="101" t="str">
        <f t="shared" si="66"/>
        <v>-</v>
      </c>
      <c r="CO36" s="101" t="str">
        <f t="shared" si="66"/>
        <v>-</v>
      </c>
      <c r="CP36" s="101" t="str">
        <f t="shared" si="66"/>
        <v>-</v>
      </c>
      <c r="CS36" s="101" t="e">
        <f t="shared" si="67"/>
        <v>#VALUE!</v>
      </c>
      <c r="CT36" s="101" t="str">
        <f t="shared" si="67"/>
        <v>-</v>
      </c>
      <c r="CU36" s="101" t="str">
        <f t="shared" si="67"/>
        <v>-</v>
      </c>
      <c r="CV36" s="101" t="str">
        <f t="shared" si="67"/>
        <v>-</v>
      </c>
      <c r="CW36" s="101" t="str">
        <f t="shared" si="67"/>
        <v>-</v>
      </c>
      <c r="CX36" s="101" t="str">
        <f t="shared" si="67"/>
        <v>-</v>
      </c>
      <c r="CY36" s="101" t="str">
        <f t="shared" si="67"/>
        <v>-</v>
      </c>
      <c r="CZ36" s="101" t="str">
        <f t="shared" si="67"/>
        <v>-</v>
      </c>
      <c r="DA36" s="101" t="str">
        <f t="shared" si="67"/>
        <v>-</v>
      </c>
      <c r="DB36" s="101" t="str">
        <f t="shared" si="67"/>
        <v>-</v>
      </c>
      <c r="DC36" s="101" t="str">
        <f t="shared" si="68"/>
        <v>-</v>
      </c>
      <c r="DD36" s="101" t="str">
        <f t="shared" si="68"/>
        <v>-</v>
      </c>
      <c r="DE36" s="101" t="str">
        <f t="shared" si="68"/>
        <v>-</v>
      </c>
      <c r="DF36" s="101" t="str">
        <f t="shared" si="68"/>
        <v>-</v>
      </c>
      <c r="DG36" s="101" t="str">
        <f t="shared" si="68"/>
        <v>-</v>
      </c>
      <c r="DH36" s="101" t="str">
        <f t="shared" si="68"/>
        <v>-</v>
      </c>
      <c r="DI36" s="101" t="str">
        <f t="shared" si="68"/>
        <v>-</v>
      </c>
      <c r="DJ36" s="101" t="str">
        <f t="shared" si="68"/>
        <v>-</v>
      </c>
      <c r="DK36" s="101" t="str">
        <f t="shared" si="68"/>
        <v>-</v>
      </c>
      <c r="DL36" s="101" t="str">
        <f t="shared" si="68"/>
        <v>-</v>
      </c>
      <c r="DM36" s="101" t="str">
        <f t="shared" si="68"/>
        <v>-</v>
      </c>
      <c r="DN36" s="101" t="str">
        <f t="shared" si="68"/>
        <v>-</v>
      </c>
      <c r="DO36" s="101" t="str">
        <f t="shared" si="68"/>
        <v>-</v>
      </c>
    </row>
    <row r="37" spans="1:119">
      <c r="A37" s="495"/>
      <c r="B37" s="502"/>
      <c r="C37" s="502"/>
      <c r="D37" s="466"/>
      <c r="E37" s="109" t="s">
        <v>67</v>
      </c>
      <c r="F37" s="102" t="e">
        <f>SUM('BESS 12'!S221:S230)</f>
        <v>#VALUE!</v>
      </c>
      <c r="G37" s="101">
        <f>MAX('BESS 12'!O221:O230)-MIN('BESS 12'!O221:O230)+1</f>
        <v>8</v>
      </c>
      <c r="H37" s="110">
        <f>MIN('BESS 12'!O221:O230)</f>
        <v>46231</v>
      </c>
      <c r="I37" s="101" t="str">
        <f t="shared" si="58"/>
        <v>-</v>
      </c>
      <c r="J37" s="101" t="str">
        <f t="shared" si="58"/>
        <v>-</v>
      </c>
      <c r="K37" s="101" t="str">
        <f t="shared" si="58"/>
        <v>-</v>
      </c>
      <c r="L37" s="101" t="str">
        <f t="shared" si="58"/>
        <v>-</v>
      </c>
      <c r="M37" s="101" t="str">
        <f t="shared" si="58"/>
        <v>-</v>
      </c>
      <c r="N37" s="101" t="str">
        <f t="shared" si="58"/>
        <v>-</v>
      </c>
      <c r="O37" s="101" t="str">
        <f t="shared" si="58"/>
        <v>-</v>
      </c>
      <c r="P37" s="101" t="str">
        <f t="shared" si="58"/>
        <v>-</v>
      </c>
      <c r="Q37" s="101" t="str">
        <f t="shared" si="58"/>
        <v>-</v>
      </c>
      <c r="R37" s="101" t="str">
        <f t="shared" si="58"/>
        <v>-</v>
      </c>
      <c r="S37" s="101" t="str">
        <f t="shared" si="59"/>
        <v>-</v>
      </c>
      <c r="T37" s="101" t="str">
        <f t="shared" si="59"/>
        <v>-</v>
      </c>
      <c r="U37" s="101" t="str">
        <f t="shared" si="59"/>
        <v>-</v>
      </c>
      <c r="V37" s="101" t="str">
        <f t="shared" si="59"/>
        <v>-</v>
      </c>
      <c r="W37" s="101" t="str">
        <f t="shared" si="59"/>
        <v>-</v>
      </c>
      <c r="X37" s="101" t="str">
        <f t="shared" si="59"/>
        <v>-</v>
      </c>
      <c r="Y37" s="101" t="str">
        <f t="shared" si="59"/>
        <v>-</v>
      </c>
      <c r="Z37" s="101" t="str">
        <f t="shared" si="59"/>
        <v>-</v>
      </c>
      <c r="AA37" s="101" t="str">
        <f t="shared" si="59"/>
        <v>-</v>
      </c>
      <c r="AB37" s="101" t="str">
        <f t="shared" si="59"/>
        <v>-</v>
      </c>
      <c r="AC37" s="101" t="str">
        <f t="shared" si="60"/>
        <v>-</v>
      </c>
      <c r="AD37" s="101" t="str">
        <f t="shared" si="60"/>
        <v>-</v>
      </c>
      <c r="AE37" s="101" t="str">
        <f t="shared" si="60"/>
        <v>-</v>
      </c>
      <c r="AF37" s="101" t="str">
        <f t="shared" si="60"/>
        <v>-</v>
      </c>
      <c r="AG37" s="101" t="str">
        <f t="shared" si="60"/>
        <v>-</v>
      </c>
      <c r="AH37" s="101" t="str">
        <f t="shared" si="60"/>
        <v>-</v>
      </c>
      <c r="AI37" s="101" t="str">
        <f t="shared" si="60"/>
        <v>-</v>
      </c>
      <c r="AJ37" s="101" t="str">
        <f t="shared" si="60"/>
        <v>-</v>
      </c>
      <c r="AK37" s="101" t="str">
        <f t="shared" si="60"/>
        <v>-</v>
      </c>
      <c r="AL37" s="101" t="str">
        <f t="shared" si="60"/>
        <v>-</v>
      </c>
      <c r="AM37" s="101" t="str">
        <f t="shared" si="61"/>
        <v>-</v>
      </c>
      <c r="AN37" s="101" t="str">
        <f t="shared" si="61"/>
        <v>-</v>
      </c>
      <c r="AO37" s="101" t="str">
        <f t="shared" si="61"/>
        <v>-</v>
      </c>
      <c r="AP37" s="101" t="str">
        <f t="shared" si="61"/>
        <v>-</v>
      </c>
      <c r="AQ37" s="101" t="str">
        <f t="shared" si="61"/>
        <v>-</v>
      </c>
      <c r="AR37" s="101" t="str">
        <f t="shared" si="61"/>
        <v>-</v>
      </c>
      <c r="AS37" s="101" t="str">
        <f t="shared" si="61"/>
        <v>-</v>
      </c>
      <c r="AT37" s="101" t="str">
        <f t="shared" si="61"/>
        <v>-</v>
      </c>
      <c r="AU37" s="101" t="str">
        <f t="shared" si="61"/>
        <v>-</v>
      </c>
      <c r="AV37" s="101" t="str">
        <f t="shared" si="61"/>
        <v>-</v>
      </c>
      <c r="AW37" s="101" t="str">
        <f t="shared" si="62"/>
        <v>-</v>
      </c>
      <c r="AX37" s="101" t="str">
        <f t="shared" si="62"/>
        <v>-</v>
      </c>
      <c r="AY37" s="101" t="str">
        <f t="shared" si="62"/>
        <v>-</v>
      </c>
      <c r="AZ37" s="101" t="str">
        <f t="shared" si="62"/>
        <v>-</v>
      </c>
      <c r="BA37" s="101" t="str">
        <f t="shared" si="62"/>
        <v>-</v>
      </c>
      <c r="BB37" s="101" t="str">
        <f t="shared" si="62"/>
        <v>-</v>
      </c>
      <c r="BC37" s="101" t="str">
        <f t="shared" si="62"/>
        <v>-</v>
      </c>
      <c r="BD37" s="101" t="str">
        <f t="shared" si="62"/>
        <v>-</v>
      </c>
      <c r="BE37" s="101" t="str">
        <f t="shared" si="62"/>
        <v>-</v>
      </c>
      <c r="BF37" s="101" t="str">
        <f t="shared" si="62"/>
        <v>-</v>
      </c>
      <c r="BG37" s="101" t="str">
        <f t="shared" si="63"/>
        <v>-</v>
      </c>
      <c r="BH37" s="101" t="str">
        <f t="shared" si="63"/>
        <v>-</v>
      </c>
      <c r="BI37" s="101" t="str">
        <f t="shared" si="63"/>
        <v>-</v>
      </c>
      <c r="BJ37" s="101" t="str">
        <f t="shared" si="63"/>
        <v>-</v>
      </c>
      <c r="BK37" s="101" t="str">
        <f t="shared" si="63"/>
        <v>-</v>
      </c>
      <c r="BL37" s="101" t="str">
        <f t="shared" si="63"/>
        <v>-</v>
      </c>
      <c r="BM37" s="101" t="str">
        <f t="shared" si="63"/>
        <v>-</v>
      </c>
      <c r="BN37" s="101" t="str">
        <f t="shared" si="63"/>
        <v>-</v>
      </c>
      <c r="BO37" s="101" t="str">
        <f t="shared" si="63"/>
        <v>-</v>
      </c>
      <c r="BP37" s="101" t="str">
        <f t="shared" si="63"/>
        <v>-</v>
      </c>
      <c r="BQ37" s="101" t="str">
        <f t="shared" si="64"/>
        <v>-</v>
      </c>
      <c r="BR37" s="101" t="str">
        <f t="shared" si="64"/>
        <v>-</v>
      </c>
      <c r="BS37" s="101" t="str">
        <f t="shared" si="64"/>
        <v>-</v>
      </c>
      <c r="BT37" s="101" t="str">
        <f t="shared" si="64"/>
        <v>-</v>
      </c>
      <c r="BU37" s="101" t="str">
        <f t="shared" si="64"/>
        <v>-</v>
      </c>
      <c r="BV37" s="101" t="str">
        <f t="shared" si="64"/>
        <v>-</v>
      </c>
      <c r="BW37" s="101" t="str">
        <f t="shared" si="64"/>
        <v>-</v>
      </c>
      <c r="BX37" s="101" t="str">
        <f t="shared" si="64"/>
        <v>-</v>
      </c>
      <c r="BY37" s="101" t="str">
        <f t="shared" si="64"/>
        <v>-</v>
      </c>
      <c r="BZ37" s="101" t="str">
        <f t="shared" si="64"/>
        <v>-</v>
      </c>
      <c r="CA37" s="101" t="str">
        <f t="shared" si="65"/>
        <v>-</v>
      </c>
      <c r="CB37" s="101" t="str">
        <f t="shared" si="65"/>
        <v>-</v>
      </c>
      <c r="CC37" s="101" t="str">
        <f t="shared" si="65"/>
        <v>-</v>
      </c>
      <c r="CD37" s="101" t="str">
        <f t="shared" si="65"/>
        <v>-</v>
      </c>
      <c r="CE37" s="101" t="str">
        <f t="shared" si="65"/>
        <v>-</v>
      </c>
      <c r="CF37" s="101" t="str">
        <f t="shared" si="65"/>
        <v>-</v>
      </c>
      <c r="CG37" s="101" t="str">
        <f t="shared" si="65"/>
        <v>-</v>
      </c>
      <c r="CH37" s="101" t="str">
        <f t="shared" si="65"/>
        <v>-</v>
      </c>
      <c r="CI37" s="101" t="str">
        <f t="shared" si="65"/>
        <v>-</v>
      </c>
      <c r="CJ37" s="101" t="str">
        <f t="shared" si="65"/>
        <v>-</v>
      </c>
      <c r="CK37" s="101" t="str">
        <f t="shared" si="66"/>
        <v>-</v>
      </c>
      <c r="CL37" s="101" t="str">
        <f t="shared" si="66"/>
        <v>-</v>
      </c>
      <c r="CM37" s="101" t="str">
        <f t="shared" si="66"/>
        <v>-</v>
      </c>
      <c r="CN37" s="101" t="str">
        <f t="shared" si="66"/>
        <v>-</v>
      </c>
      <c r="CO37" s="101" t="str">
        <f t="shared" si="66"/>
        <v>-</v>
      </c>
      <c r="CP37" s="101" t="str">
        <f t="shared" si="66"/>
        <v>-</v>
      </c>
      <c r="CS37" s="101" t="e">
        <f t="shared" si="67"/>
        <v>#VALUE!</v>
      </c>
      <c r="CT37" s="101" t="str">
        <f t="shared" si="67"/>
        <v>-</v>
      </c>
      <c r="CU37" s="101" t="str">
        <f t="shared" si="67"/>
        <v>-</v>
      </c>
      <c r="CV37" s="101" t="str">
        <f t="shared" si="67"/>
        <v>-</v>
      </c>
      <c r="CW37" s="101" t="str">
        <f t="shared" si="67"/>
        <v>-</v>
      </c>
      <c r="CX37" s="101" t="str">
        <f t="shared" si="67"/>
        <v>-</v>
      </c>
      <c r="CY37" s="101" t="str">
        <f t="shared" si="67"/>
        <v>-</v>
      </c>
      <c r="CZ37" s="101" t="str">
        <f t="shared" si="67"/>
        <v>-</v>
      </c>
      <c r="DA37" s="101" t="str">
        <f t="shared" si="67"/>
        <v>-</v>
      </c>
      <c r="DB37" s="101" t="str">
        <f t="shared" si="67"/>
        <v>-</v>
      </c>
      <c r="DC37" s="101" t="str">
        <f t="shared" si="68"/>
        <v>-</v>
      </c>
      <c r="DD37" s="101" t="str">
        <f t="shared" si="68"/>
        <v>-</v>
      </c>
      <c r="DE37" s="101" t="str">
        <f t="shared" si="68"/>
        <v>-</v>
      </c>
      <c r="DF37" s="101" t="str">
        <f t="shared" si="68"/>
        <v>-</v>
      </c>
      <c r="DG37" s="101" t="str">
        <f t="shared" si="68"/>
        <v>-</v>
      </c>
      <c r="DH37" s="101" t="str">
        <f t="shared" si="68"/>
        <v>-</v>
      </c>
      <c r="DI37" s="101" t="str">
        <f t="shared" si="68"/>
        <v>-</v>
      </c>
      <c r="DJ37" s="101" t="str">
        <f t="shared" si="68"/>
        <v>-</v>
      </c>
      <c r="DK37" s="101" t="str">
        <f t="shared" si="68"/>
        <v>-</v>
      </c>
      <c r="DL37" s="101" t="str">
        <f t="shared" si="68"/>
        <v>-</v>
      </c>
      <c r="DM37" s="101" t="str">
        <f t="shared" si="68"/>
        <v>-</v>
      </c>
      <c r="DN37" s="101" t="str">
        <f t="shared" si="68"/>
        <v>-</v>
      </c>
      <c r="DO37" s="101" t="str">
        <f t="shared" si="68"/>
        <v>-</v>
      </c>
    </row>
    <row r="38" spans="1:119">
      <c r="A38" s="65"/>
      <c r="B38" s="123"/>
      <c r="C38" s="123"/>
      <c r="D38" s="466"/>
      <c r="E38" s="109" t="s">
        <v>68</v>
      </c>
      <c r="F38" s="101">
        <v>250</v>
      </c>
      <c r="G38" s="101">
        <v>30</v>
      </c>
      <c r="H38" s="110">
        <f>B33-3</f>
        <v>46238</v>
      </c>
      <c r="I38" s="110"/>
      <c r="J38" s="110"/>
      <c r="K38" s="101"/>
      <c r="L38" s="102"/>
      <c r="M38" s="102"/>
      <c r="N38" s="102"/>
      <c r="O38" s="102"/>
      <c r="P38" s="102"/>
      <c r="Q38" s="102"/>
      <c r="R38" s="102"/>
      <c r="S38" s="102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>
        <v>5</v>
      </c>
      <c r="AN38" s="109">
        <v>5</v>
      </c>
      <c r="AO38" s="109">
        <v>5</v>
      </c>
      <c r="AP38" s="109">
        <v>5</v>
      </c>
      <c r="AQ38" s="109">
        <v>5</v>
      </c>
      <c r="AR38" s="109">
        <v>5</v>
      </c>
      <c r="AS38" s="109">
        <v>5</v>
      </c>
      <c r="AT38" s="109">
        <v>5</v>
      </c>
      <c r="AU38" s="109">
        <v>5</v>
      </c>
      <c r="AV38" s="109">
        <v>5</v>
      </c>
      <c r="AW38" s="109">
        <v>5</v>
      </c>
      <c r="AX38" s="109">
        <v>5</v>
      </c>
      <c r="AY38" s="109">
        <v>5</v>
      </c>
      <c r="AZ38" s="109">
        <v>5</v>
      </c>
      <c r="BA38" s="109">
        <v>5</v>
      </c>
      <c r="BB38" s="109">
        <v>5</v>
      </c>
      <c r="BC38" s="109">
        <v>5</v>
      </c>
      <c r="BD38" s="109">
        <v>5</v>
      </c>
      <c r="BE38" s="109">
        <v>5</v>
      </c>
      <c r="BF38" s="109">
        <v>5</v>
      </c>
      <c r="BG38" s="109">
        <v>5</v>
      </c>
      <c r="BH38" s="109">
        <v>5</v>
      </c>
      <c r="BI38" s="109">
        <v>5</v>
      </c>
      <c r="BJ38" s="109">
        <v>5</v>
      </c>
      <c r="BK38" s="109">
        <v>30</v>
      </c>
      <c r="BL38" s="109">
        <v>30</v>
      </c>
      <c r="BM38" s="109">
        <v>30</v>
      </c>
      <c r="BN38" s="109">
        <v>30</v>
      </c>
      <c r="BO38" s="109">
        <v>5</v>
      </c>
      <c r="BP38" s="109">
        <v>5</v>
      </c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L38" s="109"/>
      <c r="CM38" s="109"/>
      <c r="CN38" s="109"/>
      <c r="CO38" s="109"/>
      <c r="CP38" s="109"/>
      <c r="CS38" s="109"/>
      <c r="CT38" s="109"/>
      <c r="CU38" s="109"/>
      <c r="CV38" s="109"/>
      <c r="CW38" s="109"/>
      <c r="CX38" s="109"/>
      <c r="CY38" s="109"/>
      <c r="CZ38" s="109"/>
      <c r="DA38" s="109"/>
      <c r="DB38" s="109"/>
      <c r="DC38" s="109"/>
      <c r="DD38" s="109"/>
      <c r="DE38" s="109"/>
      <c r="DF38" s="109"/>
      <c r="DG38" s="109"/>
      <c r="DH38" s="109"/>
      <c r="DI38" s="109"/>
      <c r="DJ38" s="109"/>
      <c r="DK38" s="109"/>
      <c r="DL38" s="109"/>
      <c r="DM38" s="109"/>
      <c r="DN38" s="109"/>
      <c r="DO38" s="109"/>
    </row>
    <row r="39" spans="1:119">
      <c r="B39" s="126"/>
      <c r="E39" s="120"/>
      <c r="F39" s="120"/>
      <c r="G39" s="121"/>
      <c r="H39" s="112" t="s">
        <v>69</v>
      </c>
      <c r="I39" s="113">
        <f t="shared" ref="I39:AN39" si="69">SUM(I34:I38)</f>
        <v>0</v>
      </c>
      <c r="J39" s="113">
        <f t="shared" si="69"/>
        <v>0</v>
      </c>
      <c r="K39" s="113">
        <f t="shared" si="69"/>
        <v>0</v>
      </c>
      <c r="L39" s="113">
        <f t="shared" si="69"/>
        <v>0</v>
      </c>
      <c r="M39" s="113">
        <f t="shared" si="69"/>
        <v>0</v>
      </c>
      <c r="N39" s="113">
        <f t="shared" si="69"/>
        <v>0</v>
      </c>
      <c r="O39" s="113">
        <f t="shared" si="69"/>
        <v>0</v>
      </c>
      <c r="P39" s="113">
        <f t="shared" si="69"/>
        <v>0</v>
      </c>
      <c r="Q39" s="113">
        <f t="shared" si="69"/>
        <v>0</v>
      </c>
      <c r="R39" s="113">
        <f t="shared" si="69"/>
        <v>0</v>
      </c>
      <c r="S39" s="113">
        <f t="shared" si="69"/>
        <v>0</v>
      </c>
      <c r="T39" s="113">
        <f t="shared" si="69"/>
        <v>0</v>
      </c>
      <c r="U39" s="113">
        <f t="shared" si="69"/>
        <v>0</v>
      </c>
      <c r="V39" s="113">
        <f t="shared" si="69"/>
        <v>0</v>
      </c>
      <c r="W39" s="113">
        <f t="shared" si="69"/>
        <v>0</v>
      </c>
      <c r="X39" s="113">
        <f t="shared" si="69"/>
        <v>0</v>
      </c>
      <c r="Y39" s="113">
        <f t="shared" si="69"/>
        <v>0</v>
      </c>
      <c r="Z39" s="113">
        <f t="shared" si="69"/>
        <v>0</v>
      </c>
      <c r="AA39" s="113">
        <f t="shared" si="69"/>
        <v>0</v>
      </c>
      <c r="AB39" s="113">
        <f t="shared" si="69"/>
        <v>0</v>
      </c>
      <c r="AC39" s="113">
        <f t="shared" si="69"/>
        <v>0</v>
      </c>
      <c r="AD39" s="113">
        <f t="shared" si="69"/>
        <v>0</v>
      </c>
      <c r="AE39" s="113">
        <f t="shared" si="69"/>
        <v>0</v>
      </c>
      <c r="AF39" s="113">
        <f t="shared" si="69"/>
        <v>0</v>
      </c>
      <c r="AG39" s="113">
        <f t="shared" si="69"/>
        <v>0</v>
      </c>
      <c r="AH39" s="113">
        <f t="shared" si="69"/>
        <v>0</v>
      </c>
      <c r="AI39" s="113">
        <f t="shared" si="69"/>
        <v>0</v>
      </c>
      <c r="AJ39" s="113">
        <f t="shared" si="69"/>
        <v>0</v>
      </c>
      <c r="AK39" s="113">
        <f t="shared" si="69"/>
        <v>0</v>
      </c>
      <c r="AL39" s="113">
        <f t="shared" si="69"/>
        <v>0</v>
      </c>
      <c r="AM39" s="113">
        <f t="shared" si="69"/>
        <v>5</v>
      </c>
      <c r="AN39" s="113">
        <f t="shared" si="69"/>
        <v>5</v>
      </c>
      <c r="AO39" s="113">
        <f t="shared" ref="AO39:BT39" si="70">SUM(AO34:AO38)</f>
        <v>5</v>
      </c>
      <c r="AP39" s="113">
        <f t="shared" si="70"/>
        <v>5</v>
      </c>
      <c r="AQ39" s="113">
        <f t="shared" si="70"/>
        <v>5</v>
      </c>
      <c r="AR39" s="113">
        <f t="shared" si="70"/>
        <v>5</v>
      </c>
      <c r="AS39" s="113">
        <f t="shared" si="70"/>
        <v>5</v>
      </c>
      <c r="AT39" s="113">
        <f t="shared" si="70"/>
        <v>5</v>
      </c>
      <c r="AU39" s="113">
        <f t="shared" si="70"/>
        <v>5</v>
      </c>
      <c r="AV39" s="113">
        <f t="shared" si="70"/>
        <v>5</v>
      </c>
      <c r="AW39" s="113">
        <f t="shared" si="70"/>
        <v>5</v>
      </c>
      <c r="AX39" s="113">
        <f t="shared" si="70"/>
        <v>5</v>
      </c>
      <c r="AY39" s="113">
        <f t="shared" si="70"/>
        <v>5</v>
      </c>
      <c r="AZ39" s="113">
        <f t="shared" si="70"/>
        <v>5</v>
      </c>
      <c r="BA39" s="113">
        <f t="shared" si="70"/>
        <v>5</v>
      </c>
      <c r="BB39" s="113">
        <f t="shared" si="70"/>
        <v>5</v>
      </c>
      <c r="BC39" s="113">
        <f t="shared" si="70"/>
        <v>5</v>
      </c>
      <c r="BD39" s="113">
        <f t="shared" si="70"/>
        <v>5</v>
      </c>
      <c r="BE39" s="113">
        <f t="shared" si="70"/>
        <v>5</v>
      </c>
      <c r="BF39" s="113">
        <f t="shared" si="70"/>
        <v>5</v>
      </c>
      <c r="BG39" s="113">
        <f t="shared" si="70"/>
        <v>5</v>
      </c>
      <c r="BH39" s="113">
        <f t="shared" si="70"/>
        <v>5</v>
      </c>
      <c r="BI39" s="113">
        <f t="shared" si="70"/>
        <v>5</v>
      </c>
      <c r="BJ39" s="113">
        <f t="shared" si="70"/>
        <v>5</v>
      </c>
      <c r="BK39" s="113">
        <f t="shared" si="70"/>
        <v>30</v>
      </c>
      <c r="BL39" s="113">
        <f t="shared" si="70"/>
        <v>30</v>
      </c>
      <c r="BM39" s="113">
        <f t="shared" si="70"/>
        <v>30</v>
      </c>
      <c r="BN39" s="113">
        <f t="shared" si="70"/>
        <v>30</v>
      </c>
      <c r="BO39" s="113">
        <f t="shared" si="70"/>
        <v>5</v>
      </c>
      <c r="BP39" s="113">
        <f t="shared" si="70"/>
        <v>5</v>
      </c>
      <c r="BQ39" s="113">
        <f t="shared" si="70"/>
        <v>0</v>
      </c>
      <c r="BR39" s="113">
        <f t="shared" si="70"/>
        <v>0</v>
      </c>
      <c r="BS39" s="113">
        <f t="shared" si="70"/>
        <v>0</v>
      </c>
      <c r="BT39" s="113">
        <f t="shared" si="70"/>
        <v>0</v>
      </c>
      <c r="BU39" s="113">
        <f t="shared" ref="BU39:CP39" si="71">SUM(BU34:BU38)</f>
        <v>0</v>
      </c>
      <c r="BV39" s="113">
        <f t="shared" si="71"/>
        <v>0</v>
      </c>
      <c r="BW39" s="113">
        <f t="shared" si="71"/>
        <v>0</v>
      </c>
      <c r="BX39" s="113">
        <f t="shared" si="71"/>
        <v>0</v>
      </c>
      <c r="BY39" s="113">
        <f t="shared" si="71"/>
        <v>0</v>
      </c>
      <c r="BZ39" s="113">
        <f t="shared" si="71"/>
        <v>0</v>
      </c>
      <c r="CA39" s="113">
        <f t="shared" si="71"/>
        <v>0</v>
      </c>
      <c r="CB39" s="113">
        <f t="shared" si="71"/>
        <v>0</v>
      </c>
      <c r="CC39" s="113">
        <f t="shared" si="71"/>
        <v>0</v>
      </c>
      <c r="CD39" s="113">
        <f t="shared" si="71"/>
        <v>0</v>
      </c>
      <c r="CE39" s="113">
        <f t="shared" si="71"/>
        <v>0</v>
      </c>
      <c r="CF39" s="113">
        <f t="shared" si="71"/>
        <v>0</v>
      </c>
      <c r="CG39" s="113">
        <f t="shared" si="71"/>
        <v>0</v>
      </c>
      <c r="CH39" s="113">
        <f t="shared" si="71"/>
        <v>0</v>
      </c>
      <c r="CI39" s="113">
        <f t="shared" si="71"/>
        <v>0</v>
      </c>
      <c r="CJ39" s="113">
        <f t="shared" si="71"/>
        <v>0</v>
      </c>
      <c r="CK39" s="113">
        <f t="shared" si="71"/>
        <v>0</v>
      </c>
      <c r="CL39" s="113">
        <f t="shared" si="71"/>
        <v>0</v>
      </c>
      <c r="CM39" s="113">
        <f t="shared" si="71"/>
        <v>0</v>
      </c>
      <c r="CN39" s="113">
        <f t="shared" si="71"/>
        <v>0</v>
      </c>
      <c r="CO39" s="113">
        <f t="shared" si="71"/>
        <v>0</v>
      </c>
      <c r="CP39" s="113">
        <f t="shared" si="71"/>
        <v>0</v>
      </c>
      <c r="CQ39" s="122"/>
      <c r="CR39" s="122"/>
      <c r="CS39" s="113" t="e">
        <f t="shared" ref="CS39:DO39" si="72">SUM(CS34:CS38)</f>
        <v>#VALUE!</v>
      </c>
      <c r="CT39" s="113">
        <f t="shared" si="72"/>
        <v>0</v>
      </c>
      <c r="CU39" s="113">
        <f t="shared" si="72"/>
        <v>0</v>
      </c>
      <c r="CV39" s="113">
        <f t="shared" si="72"/>
        <v>0</v>
      </c>
      <c r="CW39" s="113">
        <f t="shared" si="72"/>
        <v>0</v>
      </c>
      <c r="CX39" s="113">
        <f t="shared" si="72"/>
        <v>0</v>
      </c>
      <c r="CY39" s="113">
        <f t="shared" si="72"/>
        <v>0</v>
      </c>
      <c r="CZ39" s="113">
        <f t="shared" si="72"/>
        <v>0</v>
      </c>
      <c r="DA39" s="113">
        <f t="shared" si="72"/>
        <v>0</v>
      </c>
      <c r="DB39" s="113">
        <f t="shared" si="72"/>
        <v>0</v>
      </c>
      <c r="DC39" s="113">
        <f t="shared" si="72"/>
        <v>0</v>
      </c>
      <c r="DD39" s="113">
        <f t="shared" si="72"/>
        <v>0</v>
      </c>
      <c r="DE39" s="113">
        <f t="shared" si="72"/>
        <v>0</v>
      </c>
      <c r="DF39" s="113">
        <f t="shared" si="72"/>
        <v>0</v>
      </c>
      <c r="DG39" s="113">
        <f t="shared" si="72"/>
        <v>0</v>
      </c>
      <c r="DH39" s="113">
        <f t="shared" si="72"/>
        <v>0</v>
      </c>
      <c r="DI39" s="113">
        <f t="shared" si="72"/>
        <v>0</v>
      </c>
      <c r="DJ39" s="113">
        <f t="shared" si="72"/>
        <v>0</v>
      </c>
      <c r="DK39" s="113">
        <f t="shared" si="72"/>
        <v>0</v>
      </c>
      <c r="DL39" s="113">
        <f t="shared" si="72"/>
        <v>0</v>
      </c>
      <c r="DM39" s="113">
        <f t="shared" si="72"/>
        <v>0</v>
      </c>
      <c r="DN39" s="113">
        <f t="shared" si="72"/>
        <v>0</v>
      </c>
      <c r="DO39" s="113">
        <f t="shared" si="72"/>
        <v>0</v>
      </c>
    </row>
    <row r="41" spans="1:119">
      <c r="A41" s="495" t="s">
        <v>74</v>
      </c>
      <c r="B41" s="502">
        <f>'BESS 12'!F231</f>
        <v>46258</v>
      </c>
      <c r="C41" s="502">
        <f>'BESS 12'!G231</f>
        <v>46262</v>
      </c>
      <c r="D41" s="114"/>
      <c r="E41" s="114" t="s">
        <v>10</v>
      </c>
      <c r="F41" s="115" t="s">
        <v>58</v>
      </c>
      <c r="G41" s="115" t="s">
        <v>59</v>
      </c>
      <c r="H41" s="115" t="s">
        <v>60</v>
      </c>
      <c r="I41" s="116">
        <v>46195</v>
      </c>
      <c r="J41" s="116">
        <v>46196</v>
      </c>
      <c r="K41" s="116">
        <v>46197</v>
      </c>
      <c r="L41" s="116">
        <f t="shared" ref="L41:AQ41" si="73">K41+1</f>
        <v>46198</v>
      </c>
      <c r="M41" s="116">
        <f t="shared" si="73"/>
        <v>46199</v>
      </c>
      <c r="N41" s="116">
        <f t="shared" si="73"/>
        <v>46200</v>
      </c>
      <c r="O41" s="116">
        <f t="shared" si="73"/>
        <v>46201</v>
      </c>
      <c r="P41" s="116">
        <f t="shared" si="73"/>
        <v>46202</v>
      </c>
      <c r="Q41" s="116">
        <f t="shared" si="73"/>
        <v>46203</v>
      </c>
      <c r="R41" s="116">
        <f t="shared" si="73"/>
        <v>46204</v>
      </c>
      <c r="S41" s="116">
        <f t="shared" si="73"/>
        <v>46205</v>
      </c>
      <c r="T41" s="116">
        <f t="shared" si="73"/>
        <v>46206</v>
      </c>
      <c r="U41" s="116">
        <f t="shared" si="73"/>
        <v>46207</v>
      </c>
      <c r="V41" s="116">
        <f t="shared" si="73"/>
        <v>46208</v>
      </c>
      <c r="W41" s="116">
        <f t="shared" si="73"/>
        <v>46209</v>
      </c>
      <c r="X41" s="116">
        <f t="shared" si="73"/>
        <v>46210</v>
      </c>
      <c r="Y41" s="116">
        <f t="shared" si="73"/>
        <v>46211</v>
      </c>
      <c r="Z41" s="116">
        <f t="shared" si="73"/>
        <v>46212</v>
      </c>
      <c r="AA41" s="116">
        <f t="shared" si="73"/>
        <v>46213</v>
      </c>
      <c r="AB41" s="116">
        <f t="shared" si="73"/>
        <v>46214</v>
      </c>
      <c r="AC41" s="116">
        <f t="shared" si="73"/>
        <v>46215</v>
      </c>
      <c r="AD41" s="116">
        <f t="shared" si="73"/>
        <v>46216</v>
      </c>
      <c r="AE41" s="116">
        <f t="shared" si="73"/>
        <v>46217</v>
      </c>
      <c r="AF41" s="116">
        <f t="shared" si="73"/>
        <v>46218</v>
      </c>
      <c r="AG41" s="116">
        <f t="shared" si="73"/>
        <v>46219</v>
      </c>
      <c r="AH41" s="116">
        <f t="shared" si="73"/>
        <v>46220</v>
      </c>
      <c r="AI41" s="116">
        <f t="shared" si="73"/>
        <v>46221</v>
      </c>
      <c r="AJ41" s="116">
        <f t="shared" si="73"/>
        <v>46222</v>
      </c>
      <c r="AK41" s="116">
        <f t="shared" si="73"/>
        <v>46223</v>
      </c>
      <c r="AL41" s="116">
        <f t="shared" si="73"/>
        <v>46224</v>
      </c>
      <c r="AM41" s="116">
        <f t="shared" si="73"/>
        <v>46225</v>
      </c>
      <c r="AN41" s="116">
        <f t="shared" si="73"/>
        <v>46226</v>
      </c>
      <c r="AO41" s="116">
        <f t="shared" si="73"/>
        <v>46227</v>
      </c>
      <c r="AP41" s="116">
        <f t="shared" si="73"/>
        <v>46228</v>
      </c>
      <c r="AQ41" s="116">
        <f t="shared" si="73"/>
        <v>46229</v>
      </c>
      <c r="AR41" s="116">
        <f t="shared" ref="AR41:BW41" si="74">AQ41+1</f>
        <v>46230</v>
      </c>
      <c r="AS41" s="116">
        <f t="shared" si="74"/>
        <v>46231</v>
      </c>
      <c r="AT41" s="116">
        <f t="shared" si="74"/>
        <v>46232</v>
      </c>
      <c r="AU41" s="116">
        <f t="shared" si="74"/>
        <v>46233</v>
      </c>
      <c r="AV41" s="116">
        <f t="shared" si="74"/>
        <v>46234</v>
      </c>
      <c r="AW41" s="116">
        <f t="shared" si="74"/>
        <v>46235</v>
      </c>
      <c r="AX41" s="116">
        <f t="shared" si="74"/>
        <v>46236</v>
      </c>
      <c r="AY41" s="116">
        <f t="shared" si="74"/>
        <v>46237</v>
      </c>
      <c r="AZ41" s="116">
        <f t="shared" si="74"/>
        <v>46238</v>
      </c>
      <c r="BA41" s="116">
        <f t="shared" si="74"/>
        <v>46239</v>
      </c>
      <c r="BB41" s="116">
        <f t="shared" si="74"/>
        <v>46240</v>
      </c>
      <c r="BC41" s="116">
        <f t="shared" si="74"/>
        <v>46241</v>
      </c>
      <c r="BD41" s="116">
        <f t="shared" si="74"/>
        <v>46242</v>
      </c>
      <c r="BE41" s="116">
        <f t="shared" si="74"/>
        <v>46243</v>
      </c>
      <c r="BF41" s="116">
        <f t="shared" si="74"/>
        <v>46244</v>
      </c>
      <c r="BG41" s="116">
        <f t="shared" si="74"/>
        <v>46245</v>
      </c>
      <c r="BH41" s="116">
        <f t="shared" si="74"/>
        <v>46246</v>
      </c>
      <c r="BI41" s="116">
        <f t="shared" si="74"/>
        <v>46247</v>
      </c>
      <c r="BJ41" s="116">
        <f t="shared" si="74"/>
        <v>46248</v>
      </c>
      <c r="BK41" s="116">
        <f t="shared" si="74"/>
        <v>46249</v>
      </c>
      <c r="BL41" s="116">
        <f t="shared" si="74"/>
        <v>46250</v>
      </c>
      <c r="BM41" s="116">
        <f t="shared" si="74"/>
        <v>46251</v>
      </c>
      <c r="BN41" s="116">
        <f t="shared" si="74"/>
        <v>46252</v>
      </c>
      <c r="BO41" s="116">
        <f t="shared" si="74"/>
        <v>46253</v>
      </c>
      <c r="BP41" s="116">
        <f t="shared" si="74"/>
        <v>46254</v>
      </c>
      <c r="BQ41" s="116">
        <f t="shared" si="74"/>
        <v>46255</v>
      </c>
      <c r="BR41" s="116">
        <f t="shared" si="74"/>
        <v>46256</v>
      </c>
      <c r="BS41" s="116">
        <f t="shared" si="74"/>
        <v>46257</v>
      </c>
      <c r="BT41" s="116">
        <f t="shared" si="74"/>
        <v>46258</v>
      </c>
      <c r="BU41" s="116">
        <f t="shared" si="74"/>
        <v>46259</v>
      </c>
      <c r="BV41" s="116">
        <f t="shared" si="74"/>
        <v>46260</v>
      </c>
      <c r="BW41" s="116">
        <f t="shared" si="74"/>
        <v>46261</v>
      </c>
      <c r="BX41" s="116">
        <f t="shared" ref="BX41:CP41" si="75">BW41+1</f>
        <v>46262</v>
      </c>
      <c r="BY41" s="116">
        <f t="shared" si="75"/>
        <v>46263</v>
      </c>
      <c r="BZ41" s="116">
        <f t="shared" si="75"/>
        <v>46264</v>
      </c>
      <c r="CA41" s="116">
        <f t="shared" si="75"/>
        <v>46265</v>
      </c>
      <c r="CB41" s="116">
        <f t="shared" si="75"/>
        <v>46266</v>
      </c>
      <c r="CC41" s="116">
        <f t="shared" si="75"/>
        <v>46267</v>
      </c>
      <c r="CD41" s="116">
        <f t="shared" si="75"/>
        <v>46268</v>
      </c>
      <c r="CE41" s="116">
        <f t="shared" si="75"/>
        <v>46269</v>
      </c>
      <c r="CF41" s="116">
        <f t="shared" si="75"/>
        <v>46270</v>
      </c>
      <c r="CG41" s="116">
        <f t="shared" si="75"/>
        <v>46271</v>
      </c>
      <c r="CH41" s="116">
        <f t="shared" si="75"/>
        <v>46272</v>
      </c>
      <c r="CI41" s="116">
        <f t="shared" si="75"/>
        <v>46273</v>
      </c>
      <c r="CJ41" s="116">
        <f t="shared" si="75"/>
        <v>46274</v>
      </c>
      <c r="CK41" s="116">
        <f t="shared" si="75"/>
        <v>46275</v>
      </c>
      <c r="CL41" s="116">
        <f t="shared" si="75"/>
        <v>46276</v>
      </c>
      <c r="CM41" s="116">
        <f t="shared" si="75"/>
        <v>46277</v>
      </c>
      <c r="CN41" s="116">
        <f t="shared" si="75"/>
        <v>46278</v>
      </c>
      <c r="CO41" s="116">
        <f t="shared" si="75"/>
        <v>46279</v>
      </c>
      <c r="CP41" s="116">
        <f t="shared" si="75"/>
        <v>46280</v>
      </c>
      <c r="CS41" s="116">
        <f t="shared" ref="CS41:DO41" si="76">CR41+1</f>
        <v>1</v>
      </c>
      <c r="CT41" s="116">
        <f t="shared" si="76"/>
        <v>2</v>
      </c>
      <c r="CU41" s="116">
        <f t="shared" si="76"/>
        <v>3</v>
      </c>
      <c r="CV41" s="116">
        <f t="shared" si="76"/>
        <v>4</v>
      </c>
      <c r="CW41" s="116">
        <f t="shared" si="76"/>
        <v>5</v>
      </c>
      <c r="CX41" s="116">
        <f t="shared" si="76"/>
        <v>6</v>
      </c>
      <c r="CY41" s="116">
        <f t="shared" si="76"/>
        <v>7</v>
      </c>
      <c r="CZ41" s="116">
        <f t="shared" si="76"/>
        <v>8</v>
      </c>
      <c r="DA41" s="116">
        <f t="shared" si="76"/>
        <v>9</v>
      </c>
      <c r="DB41" s="116">
        <f t="shared" si="76"/>
        <v>10</v>
      </c>
      <c r="DC41" s="116">
        <f t="shared" si="76"/>
        <v>11</v>
      </c>
      <c r="DD41" s="116">
        <f t="shared" si="76"/>
        <v>12</v>
      </c>
      <c r="DE41" s="116">
        <f t="shared" si="76"/>
        <v>13</v>
      </c>
      <c r="DF41" s="116">
        <f t="shared" si="76"/>
        <v>14</v>
      </c>
      <c r="DG41" s="116">
        <f t="shared" si="76"/>
        <v>15</v>
      </c>
      <c r="DH41" s="116">
        <f t="shared" si="76"/>
        <v>16</v>
      </c>
      <c r="DI41" s="116">
        <f t="shared" si="76"/>
        <v>17</v>
      </c>
      <c r="DJ41" s="116">
        <f t="shared" si="76"/>
        <v>18</v>
      </c>
      <c r="DK41" s="116">
        <f t="shared" si="76"/>
        <v>19</v>
      </c>
      <c r="DL41" s="116">
        <f t="shared" si="76"/>
        <v>20</v>
      </c>
      <c r="DM41" s="116">
        <f t="shared" si="76"/>
        <v>21</v>
      </c>
      <c r="DN41" s="116">
        <f t="shared" si="76"/>
        <v>22</v>
      </c>
      <c r="DO41" s="116">
        <f t="shared" si="76"/>
        <v>23</v>
      </c>
    </row>
    <row r="42" spans="1:119">
      <c r="A42" s="495"/>
      <c r="B42" s="502"/>
      <c r="C42" s="502"/>
      <c r="D42" s="467">
        <f>'BESS 12'!H231</f>
        <v>46265</v>
      </c>
      <c r="E42" s="109" t="s">
        <v>64</v>
      </c>
      <c r="F42" s="102" t="e">
        <f>SUM('BESS 12'!S244:S251,'BESS 12'!S253)</f>
        <v>#VALUE!</v>
      </c>
      <c r="G42" s="102">
        <f>MAX('BESS 12'!O244:O251,'BESS 12'!O253)-MIN('BESS 12'!O244:O251,'BESS 12'!O253)+1</f>
        <v>7</v>
      </c>
      <c r="H42" s="110">
        <f>MIN('BESS 12'!O244:O251,'BESS 12'!O253)</f>
        <v>46236</v>
      </c>
      <c r="I42" s="101" t="str">
        <f t="shared" ref="I42:R45" si="77">IF(AND(I$1&gt;=$H42,I$1&lt;($H42+$G42)),ROUND($F42/$G42,0),"-")</f>
        <v>-</v>
      </c>
      <c r="J42" s="101" t="str">
        <f t="shared" si="77"/>
        <v>-</v>
      </c>
      <c r="K42" s="101" t="str">
        <f t="shared" si="77"/>
        <v>-</v>
      </c>
      <c r="L42" s="101" t="str">
        <f t="shared" si="77"/>
        <v>-</v>
      </c>
      <c r="M42" s="101" t="str">
        <f t="shared" si="77"/>
        <v>-</v>
      </c>
      <c r="N42" s="101" t="str">
        <f t="shared" si="77"/>
        <v>-</v>
      </c>
      <c r="O42" s="101" t="str">
        <f t="shared" si="77"/>
        <v>-</v>
      </c>
      <c r="P42" s="101" t="str">
        <f t="shared" si="77"/>
        <v>-</v>
      </c>
      <c r="Q42" s="101" t="str">
        <f t="shared" si="77"/>
        <v>-</v>
      </c>
      <c r="R42" s="101" t="str">
        <f t="shared" si="77"/>
        <v>-</v>
      </c>
      <c r="S42" s="101" t="str">
        <f t="shared" ref="S42:AB45" si="78">IF(AND(S$1&gt;=$H42,S$1&lt;($H42+$G42)),ROUND($F42/$G42,0),"-")</f>
        <v>-</v>
      </c>
      <c r="T42" s="101" t="str">
        <f t="shared" si="78"/>
        <v>-</v>
      </c>
      <c r="U42" s="101" t="str">
        <f t="shared" si="78"/>
        <v>-</v>
      </c>
      <c r="V42" s="101" t="str">
        <f t="shared" si="78"/>
        <v>-</v>
      </c>
      <c r="W42" s="101" t="str">
        <f t="shared" si="78"/>
        <v>-</v>
      </c>
      <c r="X42" s="101" t="str">
        <f t="shared" si="78"/>
        <v>-</v>
      </c>
      <c r="Y42" s="101" t="str">
        <f t="shared" si="78"/>
        <v>-</v>
      </c>
      <c r="Z42" s="101" t="str">
        <f t="shared" si="78"/>
        <v>-</v>
      </c>
      <c r="AA42" s="101" t="str">
        <f t="shared" si="78"/>
        <v>-</v>
      </c>
      <c r="AB42" s="101" t="str">
        <f t="shared" si="78"/>
        <v>-</v>
      </c>
      <c r="AC42" s="101" t="str">
        <f t="shared" ref="AC42:AL45" si="79">IF(AND(AC$1&gt;=$H42,AC$1&lt;($H42+$G42)),ROUND($F42/$G42,0),"-")</f>
        <v>-</v>
      </c>
      <c r="AD42" s="101" t="str">
        <f t="shared" si="79"/>
        <v>-</v>
      </c>
      <c r="AE42" s="101" t="str">
        <f t="shared" si="79"/>
        <v>-</v>
      </c>
      <c r="AF42" s="101" t="str">
        <f t="shared" si="79"/>
        <v>-</v>
      </c>
      <c r="AG42" s="101" t="str">
        <f t="shared" si="79"/>
        <v>-</v>
      </c>
      <c r="AH42" s="101" t="str">
        <f t="shared" si="79"/>
        <v>-</v>
      </c>
      <c r="AI42" s="101" t="str">
        <f t="shared" si="79"/>
        <v>-</v>
      </c>
      <c r="AJ42" s="101" t="str">
        <f t="shared" si="79"/>
        <v>-</v>
      </c>
      <c r="AK42" s="101" t="str">
        <f t="shared" si="79"/>
        <v>-</v>
      </c>
      <c r="AL42" s="101" t="str">
        <f t="shared" si="79"/>
        <v>-</v>
      </c>
      <c r="AM42" s="101" t="str">
        <f t="shared" ref="AM42:AV45" si="80">IF(AND(AM$1&gt;=$H42,AM$1&lt;($H42+$G42)),ROUND($F42/$G42,0),"-")</f>
        <v>-</v>
      </c>
      <c r="AN42" s="101" t="str">
        <f t="shared" si="80"/>
        <v>-</v>
      </c>
      <c r="AO42" s="101" t="str">
        <f t="shared" si="80"/>
        <v>-</v>
      </c>
      <c r="AP42" s="101" t="str">
        <f t="shared" si="80"/>
        <v>-</v>
      </c>
      <c r="AQ42" s="101" t="str">
        <f t="shared" si="80"/>
        <v>-</v>
      </c>
      <c r="AR42" s="101" t="str">
        <f t="shared" si="80"/>
        <v>-</v>
      </c>
      <c r="AS42" s="101" t="str">
        <f t="shared" si="80"/>
        <v>-</v>
      </c>
      <c r="AT42" s="101" t="str">
        <f t="shared" si="80"/>
        <v>-</v>
      </c>
      <c r="AU42" s="101" t="str">
        <f t="shared" si="80"/>
        <v>-</v>
      </c>
      <c r="AV42" s="101" t="str">
        <f t="shared" si="80"/>
        <v>-</v>
      </c>
      <c r="AW42" s="101" t="str">
        <f t="shared" ref="AW42:BF45" si="81">IF(AND(AW$1&gt;=$H42,AW$1&lt;($H42+$G42)),ROUND($F42/$G42,0),"-")</f>
        <v>-</v>
      </c>
      <c r="AX42" s="101" t="str">
        <f t="shared" si="81"/>
        <v>-</v>
      </c>
      <c r="AY42" s="101" t="str">
        <f t="shared" si="81"/>
        <v>-</v>
      </c>
      <c r="AZ42" s="101" t="str">
        <f t="shared" si="81"/>
        <v>-</v>
      </c>
      <c r="BA42" s="101" t="str">
        <f t="shared" si="81"/>
        <v>-</v>
      </c>
      <c r="BB42" s="101" t="str">
        <f t="shared" si="81"/>
        <v>-</v>
      </c>
      <c r="BC42" s="101" t="str">
        <f t="shared" si="81"/>
        <v>-</v>
      </c>
      <c r="BD42" s="101" t="str">
        <f t="shared" si="81"/>
        <v>-</v>
      </c>
      <c r="BE42" s="101" t="str">
        <f t="shared" si="81"/>
        <v>-</v>
      </c>
      <c r="BF42" s="101" t="str">
        <f t="shared" si="81"/>
        <v>-</v>
      </c>
      <c r="BG42" s="101" t="str">
        <f t="shared" ref="BG42:BP45" si="82">IF(AND(BG$1&gt;=$H42,BG$1&lt;($H42+$G42)),ROUND($F42/$G42,0),"-")</f>
        <v>-</v>
      </c>
      <c r="BH42" s="101" t="str">
        <f t="shared" si="82"/>
        <v>-</v>
      </c>
      <c r="BI42" s="101" t="str">
        <f t="shared" si="82"/>
        <v>-</v>
      </c>
      <c r="BJ42" s="101" t="str">
        <f t="shared" si="82"/>
        <v>-</v>
      </c>
      <c r="BK42" s="101" t="str">
        <f t="shared" si="82"/>
        <v>-</v>
      </c>
      <c r="BL42" s="101" t="str">
        <f t="shared" si="82"/>
        <v>-</v>
      </c>
      <c r="BM42" s="101" t="str">
        <f t="shared" si="82"/>
        <v>-</v>
      </c>
      <c r="BN42" s="101" t="str">
        <f t="shared" si="82"/>
        <v>-</v>
      </c>
      <c r="BO42" s="101" t="str">
        <f t="shared" si="82"/>
        <v>-</v>
      </c>
      <c r="BP42" s="101" t="str">
        <f t="shared" si="82"/>
        <v>-</v>
      </c>
      <c r="BQ42" s="101" t="str">
        <f t="shared" ref="BQ42:BZ45" si="83">IF(AND(BQ$1&gt;=$H42,BQ$1&lt;($H42+$G42)),ROUND($F42/$G42,0),"-")</f>
        <v>-</v>
      </c>
      <c r="BR42" s="101" t="str">
        <f t="shared" si="83"/>
        <v>-</v>
      </c>
      <c r="BS42" s="101" t="str">
        <f t="shared" si="83"/>
        <v>-</v>
      </c>
      <c r="BT42" s="101" t="str">
        <f t="shared" si="83"/>
        <v>-</v>
      </c>
      <c r="BU42" s="101" t="str">
        <f t="shared" si="83"/>
        <v>-</v>
      </c>
      <c r="BV42" s="101" t="str">
        <f t="shared" si="83"/>
        <v>-</v>
      </c>
      <c r="BW42" s="101" t="str">
        <f t="shared" si="83"/>
        <v>-</v>
      </c>
      <c r="BX42" s="101" t="str">
        <f t="shared" si="83"/>
        <v>-</v>
      </c>
      <c r="BY42" s="101" t="str">
        <f t="shared" si="83"/>
        <v>-</v>
      </c>
      <c r="BZ42" s="101" t="str">
        <f t="shared" si="83"/>
        <v>-</v>
      </c>
      <c r="CA42" s="101" t="str">
        <f t="shared" ref="CA42:CJ45" si="84">IF(AND(CA$1&gt;=$H42,CA$1&lt;($H42+$G42)),ROUND($F42/$G42,0),"-")</f>
        <v>-</v>
      </c>
      <c r="CB42" s="101" t="str">
        <f t="shared" si="84"/>
        <v>-</v>
      </c>
      <c r="CC42" s="101" t="str">
        <f t="shared" si="84"/>
        <v>-</v>
      </c>
      <c r="CD42" s="101" t="str">
        <f t="shared" si="84"/>
        <v>-</v>
      </c>
      <c r="CE42" s="101" t="str">
        <f t="shared" si="84"/>
        <v>-</v>
      </c>
      <c r="CF42" s="101" t="str">
        <f t="shared" si="84"/>
        <v>-</v>
      </c>
      <c r="CG42" s="101" t="str">
        <f t="shared" si="84"/>
        <v>-</v>
      </c>
      <c r="CH42" s="101" t="str">
        <f t="shared" si="84"/>
        <v>-</v>
      </c>
      <c r="CI42" s="101" t="str">
        <f t="shared" si="84"/>
        <v>-</v>
      </c>
      <c r="CJ42" s="101" t="str">
        <f t="shared" si="84"/>
        <v>-</v>
      </c>
      <c r="CK42" s="101" t="str">
        <f t="shared" ref="CK42:CP45" si="85">IF(AND(CK$1&gt;=$H42,CK$1&lt;($H42+$G42)),ROUND($F42/$G42,0),"-")</f>
        <v>-</v>
      </c>
      <c r="CL42" s="101" t="str">
        <f t="shared" si="85"/>
        <v>-</v>
      </c>
      <c r="CM42" s="101" t="str">
        <f t="shared" si="85"/>
        <v>-</v>
      </c>
      <c r="CN42" s="101" t="str">
        <f t="shared" si="85"/>
        <v>-</v>
      </c>
      <c r="CO42" s="101" t="str">
        <f t="shared" si="85"/>
        <v>-</v>
      </c>
      <c r="CP42" s="101" t="str">
        <f t="shared" si="85"/>
        <v>-</v>
      </c>
      <c r="CS42" s="101" t="e">
        <f t="shared" ref="CS42:DB45" si="86">IF(AND(CS$1&gt;=$H42,CS$1&lt;($H42+$G42)),ROUND($F42/$G42,0),"-")</f>
        <v>#VALUE!</v>
      </c>
      <c r="CT42" s="101" t="str">
        <f t="shared" si="86"/>
        <v>-</v>
      </c>
      <c r="CU42" s="101" t="str">
        <f t="shared" si="86"/>
        <v>-</v>
      </c>
      <c r="CV42" s="101" t="str">
        <f t="shared" si="86"/>
        <v>-</v>
      </c>
      <c r="CW42" s="101" t="str">
        <f t="shared" si="86"/>
        <v>-</v>
      </c>
      <c r="CX42" s="101" t="str">
        <f t="shared" si="86"/>
        <v>-</v>
      </c>
      <c r="CY42" s="101" t="str">
        <f t="shared" si="86"/>
        <v>-</v>
      </c>
      <c r="CZ42" s="101" t="str">
        <f t="shared" si="86"/>
        <v>-</v>
      </c>
      <c r="DA42" s="101" t="str">
        <f t="shared" si="86"/>
        <v>-</v>
      </c>
      <c r="DB42" s="101" t="str">
        <f t="shared" si="86"/>
        <v>-</v>
      </c>
      <c r="DC42" s="101" t="str">
        <f t="shared" ref="DC42:DO45" si="87">IF(AND(DC$1&gt;=$H42,DC$1&lt;($H42+$G42)),ROUND($F42/$G42,0),"-")</f>
        <v>-</v>
      </c>
      <c r="DD42" s="101" t="str">
        <f t="shared" si="87"/>
        <v>-</v>
      </c>
      <c r="DE42" s="101" t="str">
        <f t="shared" si="87"/>
        <v>-</v>
      </c>
      <c r="DF42" s="101" t="str">
        <f t="shared" si="87"/>
        <v>-</v>
      </c>
      <c r="DG42" s="101" t="str">
        <f t="shared" si="87"/>
        <v>-</v>
      </c>
      <c r="DH42" s="101" t="str">
        <f t="shared" si="87"/>
        <v>-</v>
      </c>
      <c r="DI42" s="101" t="str">
        <f t="shared" si="87"/>
        <v>-</v>
      </c>
      <c r="DJ42" s="101" t="str">
        <f t="shared" si="87"/>
        <v>-</v>
      </c>
      <c r="DK42" s="101" t="str">
        <f t="shared" si="87"/>
        <v>-</v>
      </c>
      <c r="DL42" s="101" t="str">
        <f t="shared" si="87"/>
        <v>-</v>
      </c>
      <c r="DM42" s="101" t="str">
        <f t="shared" si="87"/>
        <v>-</v>
      </c>
      <c r="DN42" s="101" t="str">
        <f t="shared" si="87"/>
        <v>-</v>
      </c>
      <c r="DO42" s="101" t="str">
        <f t="shared" si="87"/>
        <v>-</v>
      </c>
    </row>
    <row r="43" spans="1:119">
      <c r="A43" s="495"/>
      <c r="B43" s="502"/>
      <c r="C43" s="502"/>
      <c r="D43" s="466"/>
      <c r="E43" s="109" t="s">
        <v>65</v>
      </c>
      <c r="F43" s="102" t="e">
        <f>SUM('BESS 12'!S254,'BESS 12'!S256:S257,'BESS 12'!S260:S262)</f>
        <v>#VALUE!</v>
      </c>
      <c r="G43" s="102">
        <f>MAX('BESS 12'!O254,'BESS 12'!O256:O257,'BESS 12'!O260:O262)-MIN('BESS 12'!O254,'BESS 12'!O256:O257,'BESS 12'!O260:O262)+1</f>
        <v>4</v>
      </c>
      <c r="H43" s="110">
        <f>MIN('BESS 12'!O254,'BESS 12'!O256:O257,'BESS 12'!O260:O262)</f>
        <v>46243</v>
      </c>
      <c r="I43" s="101" t="str">
        <f t="shared" si="77"/>
        <v>-</v>
      </c>
      <c r="J43" s="101" t="str">
        <f t="shared" si="77"/>
        <v>-</v>
      </c>
      <c r="K43" s="101" t="str">
        <f t="shared" si="77"/>
        <v>-</v>
      </c>
      <c r="L43" s="101" t="str">
        <f t="shared" si="77"/>
        <v>-</v>
      </c>
      <c r="M43" s="101" t="str">
        <f t="shared" si="77"/>
        <v>-</v>
      </c>
      <c r="N43" s="101" t="str">
        <f t="shared" si="77"/>
        <v>-</v>
      </c>
      <c r="O43" s="101" t="str">
        <f t="shared" si="77"/>
        <v>-</v>
      </c>
      <c r="P43" s="101" t="str">
        <f t="shared" si="77"/>
        <v>-</v>
      </c>
      <c r="Q43" s="101" t="str">
        <f t="shared" si="77"/>
        <v>-</v>
      </c>
      <c r="R43" s="101" t="str">
        <f t="shared" si="77"/>
        <v>-</v>
      </c>
      <c r="S43" s="101" t="str">
        <f t="shared" si="78"/>
        <v>-</v>
      </c>
      <c r="T43" s="101" t="str">
        <f t="shared" si="78"/>
        <v>-</v>
      </c>
      <c r="U43" s="101" t="str">
        <f t="shared" si="78"/>
        <v>-</v>
      </c>
      <c r="V43" s="101" t="str">
        <f t="shared" si="78"/>
        <v>-</v>
      </c>
      <c r="W43" s="101" t="str">
        <f t="shared" si="78"/>
        <v>-</v>
      </c>
      <c r="X43" s="101" t="str">
        <f t="shared" si="78"/>
        <v>-</v>
      </c>
      <c r="Y43" s="101" t="str">
        <f t="shared" si="78"/>
        <v>-</v>
      </c>
      <c r="Z43" s="101" t="str">
        <f t="shared" si="78"/>
        <v>-</v>
      </c>
      <c r="AA43" s="101" t="str">
        <f t="shared" si="78"/>
        <v>-</v>
      </c>
      <c r="AB43" s="101" t="str">
        <f t="shared" si="78"/>
        <v>-</v>
      </c>
      <c r="AC43" s="101" t="str">
        <f t="shared" si="79"/>
        <v>-</v>
      </c>
      <c r="AD43" s="101" t="str">
        <f t="shared" si="79"/>
        <v>-</v>
      </c>
      <c r="AE43" s="101" t="str">
        <f t="shared" si="79"/>
        <v>-</v>
      </c>
      <c r="AF43" s="101" t="str">
        <f t="shared" si="79"/>
        <v>-</v>
      </c>
      <c r="AG43" s="101" t="str">
        <f t="shared" si="79"/>
        <v>-</v>
      </c>
      <c r="AH43" s="101" t="str">
        <f t="shared" si="79"/>
        <v>-</v>
      </c>
      <c r="AI43" s="101" t="str">
        <f t="shared" si="79"/>
        <v>-</v>
      </c>
      <c r="AJ43" s="101" t="str">
        <f t="shared" si="79"/>
        <v>-</v>
      </c>
      <c r="AK43" s="101" t="str">
        <f t="shared" si="79"/>
        <v>-</v>
      </c>
      <c r="AL43" s="101" t="str">
        <f t="shared" si="79"/>
        <v>-</v>
      </c>
      <c r="AM43" s="101" t="str">
        <f t="shared" si="80"/>
        <v>-</v>
      </c>
      <c r="AN43" s="101" t="str">
        <f t="shared" si="80"/>
        <v>-</v>
      </c>
      <c r="AO43" s="101" t="str">
        <f t="shared" si="80"/>
        <v>-</v>
      </c>
      <c r="AP43" s="101" t="str">
        <f t="shared" si="80"/>
        <v>-</v>
      </c>
      <c r="AQ43" s="101" t="str">
        <f t="shared" si="80"/>
        <v>-</v>
      </c>
      <c r="AR43" s="101" t="str">
        <f t="shared" si="80"/>
        <v>-</v>
      </c>
      <c r="AS43" s="101" t="str">
        <f t="shared" si="80"/>
        <v>-</v>
      </c>
      <c r="AT43" s="101" t="str">
        <f t="shared" si="80"/>
        <v>-</v>
      </c>
      <c r="AU43" s="101" t="str">
        <f t="shared" si="80"/>
        <v>-</v>
      </c>
      <c r="AV43" s="101" t="str">
        <f t="shared" si="80"/>
        <v>-</v>
      </c>
      <c r="AW43" s="101" t="str">
        <f t="shared" si="81"/>
        <v>-</v>
      </c>
      <c r="AX43" s="101" t="str">
        <f t="shared" si="81"/>
        <v>-</v>
      </c>
      <c r="AY43" s="101" t="str">
        <f t="shared" si="81"/>
        <v>-</v>
      </c>
      <c r="AZ43" s="101" t="str">
        <f t="shared" si="81"/>
        <v>-</v>
      </c>
      <c r="BA43" s="101" t="str">
        <f t="shared" si="81"/>
        <v>-</v>
      </c>
      <c r="BB43" s="101" t="str">
        <f t="shared" si="81"/>
        <v>-</v>
      </c>
      <c r="BC43" s="101" t="str">
        <f t="shared" si="81"/>
        <v>-</v>
      </c>
      <c r="BD43" s="101" t="str">
        <f t="shared" si="81"/>
        <v>-</v>
      </c>
      <c r="BE43" s="101" t="str">
        <f t="shared" si="81"/>
        <v>-</v>
      </c>
      <c r="BF43" s="101" t="str">
        <f t="shared" si="81"/>
        <v>-</v>
      </c>
      <c r="BG43" s="101" t="str">
        <f t="shared" si="82"/>
        <v>-</v>
      </c>
      <c r="BH43" s="101" t="str">
        <f t="shared" si="82"/>
        <v>-</v>
      </c>
      <c r="BI43" s="101" t="str">
        <f t="shared" si="82"/>
        <v>-</v>
      </c>
      <c r="BJ43" s="101" t="str">
        <f t="shared" si="82"/>
        <v>-</v>
      </c>
      <c r="BK43" s="101" t="str">
        <f t="shared" si="82"/>
        <v>-</v>
      </c>
      <c r="BL43" s="101" t="str">
        <f t="shared" si="82"/>
        <v>-</v>
      </c>
      <c r="BM43" s="101" t="str">
        <f t="shared" si="82"/>
        <v>-</v>
      </c>
      <c r="BN43" s="101" t="str">
        <f t="shared" si="82"/>
        <v>-</v>
      </c>
      <c r="BO43" s="101" t="str">
        <f t="shared" si="82"/>
        <v>-</v>
      </c>
      <c r="BP43" s="101" t="str">
        <f t="shared" si="82"/>
        <v>-</v>
      </c>
      <c r="BQ43" s="101" t="str">
        <f t="shared" si="83"/>
        <v>-</v>
      </c>
      <c r="BR43" s="101" t="str">
        <f t="shared" si="83"/>
        <v>-</v>
      </c>
      <c r="BS43" s="101" t="str">
        <f t="shared" si="83"/>
        <v>-</v>
      </c>
      <c r="BT43" s="101" t="str">
        <f t="shared" si="83"/>
        <v>-</v>
      </c>
      <c r="BU43" s="101" t="str">
        <f t="shared" si="83"/>
        <v>-</v>
      </c>
      <c r="BV43" s="101" t="str">
        <f t="shared" si="83"/>
        <v>-</v>
      </c>
      <c r="BW43" s="101" t="str">
        <f t="shared" si="83"/>
        <v>-</v>
      </c>
      <c r="BX43" s="101" t="str">
        <f t="shared" si="83"/>
        <v>-</v>
      </c>
      <c r="BY43" s="101" t="str">
        <f t="shared" si="83"/>
        <v>-</v>
      </c>
      <c r="BZ43" s="101" t="str">
        <f t="shared" si="83"/>
        <v>-</v>
      </c>
      <c r="CA43" s="101" t="str">
        <f t="shared" si="84"/>
        <v>-</v>
      </c>
      <c r="CB43" s="101" t="str">
        <f t="shared" si="84"/>
        <v>-</v>
      </c>
      <c r="CC43" s="101" t="str">
        <f t="shared" si="84"/>
        <v>-</v>
      </c>
      <c r="CD43" s="101" t="str">
        <f t="shared" si="84"/>
        <v>-</v>
      </c>
      <c r="CE43" s="101" t="str">
        <f t="shared" si="84"/>
        <v>-</v>
      </c>
      <c r="CF43" s="101" t="str">
        <f t="shared" si="84"/>
        <v>-</v>
      </c>
      <c r="CG43" s="101" t="str">
        <f t="shared" si="84"/>
        <v>-</v>
      </c>
      <c r="CH43" s="101" t="str">
        <f t="shared" si="84"/>
        <v>-</v>
      </c>
      <c r="CI43" s="101" t="str">
        <f t="shared" si="84"/>
        <v>-</v>
      </c>
      <c r="CJ43" s="101" t="str">
        <f t="shared" si="84"/>
        <v>-</v>
      </c>
      <c r="CK43" s="101" t="str">
        <f t="shared" si="85"/>
        <v>-</v>
      </c>
      <c r="CL43" s="101" t="str">
        <f t="shared" si="85"/>
        <v>-</v>
      </c>
      <c r="CM43" s="101" t="str">
        <f t="shared" si="85"/>
        <v>-</v>
      </c>
      <c r="CN43" s="101" t="str">
        <f t="shared" si="85"/>
        <v>-</v>
      </c>
      <c r="CO43" s="101" t="str">
        <f t="shared" si="85"/>
        <v>-</v>
      </c>
      <c r="CP43" s="101" t="str">
        <f t="shared" si="85"/>
        <v>-</v>
      </c>
      <c r="CS43" s="101" t="e">
        <f t="shared" si="86"/>
        <v>#VALUE!</v>
      </c>
      <c r="CT43" s="101" t="str">
        <f t="shared" si="86"/>
        <v>-</v>
      </c>
      <c r="CU43" s="101" t="str">
        <f t="shared" si="86"/>
        <v>-</v>
      </c>
      <c r="CV43" s="101" t="str">
        <f t="shared" si="86"/>
        <v>-</v>
      </c>
      <c r="CW43" s="101" t="str">
        <f t="shared" si="86"/>
        <v>-</v>
      </c>
      <c r="CX43" s="101" t="str">
        <f t="shared" si="86"/>
        <v>-</v>
      </c>
      <c r="CY43" s="101" t="str">
        <f t="shared" si="86"/>
        <v>-</v>
      </c>
      <c r="CZ43" s="101" t="str">
        <f t="shared" si="86"/>
        <v>-</v>
      </c>
      <c r="DA43" s="101" t="str">
        <f t="shared" si="86"/>
        <v>-</v>
      </c>
      <c r="DB43" s="101" t="str">
        <f t="shared" si="86"/>
        <v>-</v>
      </c>
      <c r="DC43" s="101" t="str">
        <f t="shared" si="87"/>
        <v>-</v>
      </c>
      <c r="DD43" s="101" t="str">
        <f t="shared" si="87"/>
        <v>-</v>
      </c>
      <c r="DE43" s="101" t="str">
        <f t="shared" si="87"/>
        <v>-</v>
      </c>
      <c r="DF43" s="101" t="str">
        <f t="shared" si="87"/>
        <v>-</v>
      </c>
      <c r="DG43" s="101" t="str">
        <f t="shared" si="87"/>
        <v>-</v>
      </c>
      <c r="DH43" s="101" t="str">
        <f t="shared" si="87"/>
        <v>-</v>
      </c>
      <c r="DI43" s="101" t="str">
        <f t="shared" si="87"/>
        <v>-</v>
      </c>
      <c r="DJ43" s="101" t="str">
        <f t="shared" si="87"/>
        <v>-</v>
      </c>
      <c r="DK43" s="101" t="str">
        <f t="shared" si="87"/>
        <v>-</v>
      </c>
      <c r="DL43" s="101" t="str">
        <f t="shared" si="87"/>
        <v>-</v>
      </c>
      <c r="DM43" s="101" t="str">
        <f t="shared" si="87"/>
        <v>-</v>
      </c>
      <c r="DN43" s="101" t="str">
        <f t="shared" si="87"/>
        <v>-</v>
      </c>
      <c r="DO43" s="101" t="str">
        <f t="shared" si="87"/>
        <v>-</v>
      </c>
    </row>
    <row r="44" spans="1:119">
      <c r="A44" s="495"/>
      <c r="B44" s="502"/>
      <c r="C44" s="502"/>
      <c r="D44" s="466"/>
      <c r="E44" s="109" t="s">
        <v>66</v>
      </c>
      <c r="F44" s="102" t="e">
        <f>SUM('BESS 12'!S255,'BESS 12'!S258:S259,'BESS 12'!S263:S264)</f>
        <v>#VALUE!</v>
      </c>
      <c r="G44" s="102">
        <f>MAX('BESS 12'!O255,'BESS 12'!O258:O259,'BESS 12'!O263:O264)-MIN('BESS 12'!O255,'BESS 12'!O258:O259,'BESS 12'!O263:O264)+1</f>
        <v>5</v>
      </c>
      <c r="H44" s="110">
        <f>MIN('BESS 12'!O255,'BESS 12'!O258:O259,'BESS 12'!O263:O264)</f>
        <v>46246</v>
      </c>
      <c r="I44" s="101" t="str">
        <f t="shared" si="77"/>
        <v>-</v>
      </c>
      <c r="J44" s="101" t="str">
        <f t="shared" si="77"/>
        <v>-</v>
      </c>
      <c r="K44" s="101" t="str">
        <f t="shared" si="77"/>
        <v>-</v>
      </c>
      <c r="L44" s="101" t="str">
        <f t="shared" si="77"/>
        <v>-</v>
      </c>
      <c r="M44" s="101" t="str">
        <f t="shared" si="77"/>
        <v>-</v>
      </c>
      <c r="N44" s="101" t="str">
        <f t="shared" si="77"/>
        <v>-</v>
      </c>
      <c r="O44" s="101" t="str">
        <f t="shared" si="77"/>
        <v>-</v>
      </c>
      <c r="P44" s="101" t="str">
        <f t="shared" si="77"/>
        <v>-</v>
      </c>
      <c r="Q44" s="101" t="str">
        <f t="shared" si="77"/>
        <v>-</v>
      </c>
      <c r="R44" s="101" t="str">
        <f t="shared" si="77"/>
        <v>-</v>
      </c>
      <c r="S44" s="101" t="str">
        <f t="shared" si="78"/>
        <v>-</v>
      </c>
      <c r="T44" s="101" t="str">
        <f t="shared" si="78"/>
        <v>-</v>
      </c>
      <c r="U44" s="101" t="str">
        <f t="shared" si="78"/>
        <v>-</v>
      </c>
      <c r="V44" s="101" t="str">
        <f t="shared" si="78"/>
        <v>-</v>
      </c>
      <c r="W44" s="101" t="str">
        <f t="shared" si="78"/>
        <v>-</v>
      </c>
      <c r="X44" s="101" t="str">
        <f t="shared" si="78"/>
        <v>-</v>
      </c>
      <c r="Y44" s="101" t="str">
        <f t="shared" si="78"/>
        <v>-</v>
      </c>
      <c r="Z44" s="101" t="str">
        <f t="shared" si="78"/>
        <v>-</v>
      </c>
      <c r="AA44" s="101" t="str">
        <f t="shared" si="78"/>
        <v>-</v>
      </c>
      <c r="AB44" s="101" t="str">
        <f t="shared" si="78"/>
        <v>-</v>
      </c>
      <c r="AC44" s="101" t="str">
        <f t="shared" si="79"/>
        <v>-</v>
      </c>
      <c r="AD44" s="101" t="str">
        <f t="shared" si="79"/>
        <v>-</v>
      </c>
      <c r="AE44" s="101" t="str">
        <f t="shared" si="79"/>
        <v>-</v>
      </c>
      <c r="AF44" s="101" t="str">
        <f t="shared" si="79"/>
        <v>-</v>
      </c>
      <c r="AG44" s="101" t="str">
        <f t="shared" si="79"/>
        <v>-</v>
      </c>
      <c r="AH44" s="101" t="str">
        <f t="shared" si="79"/>
        <v>-</v>
      </c>
      <c r="AI44" s="101" t="str">
        <f t="shared" si="79"/>
        <v>-</v>
      </c>
      <c r="AJ44" s="101" t="str">
        <f t="shared" si="79"/>
        <v>-</v>
      </c>
      <c r="AK44" s="101" t="str">
        <f t="shared" si="79"/>
        <v>-</v>
      </c>
      <c r="AL44" s="101" t="str">
        <f t="shared" si="79"/>
        <v>-</v>
      </c>
      <c r="AM44" s="101" t="str">
        <f t="shared" si="80"/>
        <v>-</v>
      </c>
      <c r="AN44" s="101" t="str">
        <f t="shared" si="80"/>
        <v>-</v>
      </c>
      <c r="AO44" s="101" t="str">
        <f t="shared" si="80"/>
        <v>-</v>
      </c>
      <c r="AP44" s="101" t="str">
        <f t="shared" si="80"/>
        <v>-</v>
      </c>
      <c r="AQ44" s="101" t="str">
        <f t="shared" si="80"/>
        <v>-</v>
      </c>
      <c r="AR44" s="101" t="str">
        <f t="shared" si="80"/>
        <v>-</v>
      </c>
      <c r="AS44" s="101" t="str">
        <f t="shared" si="80"/>
        <v>-</v>
      </c>
      <c r="AT44" s="101" t="str">
        <f t="shared" si="80"/>
        <v>-</v>
      </c>
      <c r="AU44" s="101" t="str">
        <f t="shared" si="80"/>
        <v>-</v>
      </c>
      <c r="AV44" s="101" t="str">
        <f t="shared" si="80"/>
        <v>-</v>
      </c>
      <c r="AW44" s="101" t="str">
        <f t="shared" si="81"/>
        <v>-</v>
      </c>
      <c r="AX44" s="101" t="str">
        <f t="shared" si="81"/>
        <v>-</v>
      </c>
      <c r="AY44" s="101" t="str">
        <f t="shared" si="81"/>
        <v>-</v>
      </c>
      <c r="AZ44" s="101" t="str">
        <f t="shared" si="81"/>
        <v>-</v>
      </c>
      <c r="BA44" s="101" t="str">
        <f t="shared" si="81"/>
        <v>-</v>
      </c>
      <c r="BB44" s="101" t="str">
        <f t="shared" si="81"/>
        <v>-</v>
      </c>
      <c r="BC44" s="101" t="str">
        <f t="shared" si="81"/>
        <v>-</v>
      </c>
      <c r="BD44" s="101" t="str">
        <f t="shared" si="81"/>
        <v>-</v>
      </c>
      <c r="BE44" s="101" t="str">
        <f t="shared" si="81"/>
        <v>-</v>
      </c>
      <c r="BF44" s="101" t="str">
        <f t="shared" si="81"/>
        <v>-</v>
      </c>
      <c r="BG44" s="101" t="str">
        <f t="shared" si="82"/>
        <v>-</v>
      </c>
      <c r="BH44" s="101" t="str">
        <f t="shared" si="82"/>
        <v>-</v>
      </c>
      <c r="BI44" s="101" t="str">
        <f t="shared" si="82"/>
        <v>-</v>
      </c>
      <c r="BJ44" s="101" t="str">
        <f t="shared" si="82"/>
        <v>-</v>
      </c>
      <c r="BK44" s="101" t="str">
        <f t="shared" si="82"/>
        <v>-</v>
      </c>
      <c r="BL44" s="101" t="str">
        <f t="shared" si="82"/>
        <v>-</v>
      </c>
      <c r="BM44" s="101" t="str">
        <f t="shared" si="82"/>
        <v>-</v>
      </c>
      <c r="BN44" s="101" t="str">
        <f t="shared" si="82"/>
        <v>-</v>
      </c>
      <c r="BO44" s="101" t="str">
        <f t="shared" si="82"/>
        <v>-</v>
      </c>
      <c r="BP44" s="101" t="str">
        <f t="shared" si="82"/>
        <v>-</v>
      </c>
      <c r="BQ44" s="101" t="str">
        <f t="shared" si="83"/>
        <v>-</v>
      </c>
      <c r="BR44" s="101" t="str">
        <f t="shared" si="83"/>
        <v>-</v>
      </c>
      <c r="BS44" s="101" t="str">
        <f t="shared" si="83"/>
        <v>-</v>
      </c>
      <c r="BT44" s="101" t="str">
        <f t="shared" si="83"/>
        <v>-</v>
      </c>
      <c r="BU44" s="101" t="str">
        <f t="shared" si="83"/>
        <v>-</v>
      </c>
      <c r="BV44" s="101" t="str">
        <f t="shared" si="83"/>
        <v>-</v>
      </c>
      <c r="BW44" s="101" t="str">
        <f t="shared" si="83"/>
        <v>-</v>
      </c>
      <c r="BX44" s="101" t="str">
        <f t="shared" si="83"/>
        <v>-</v>
      </c>
      <c r="BY44" s="101" t="str">
        <f t="shared" si="83"/>
        <v>-</v>
      </c>
      <c r="BZ44" s="101" t="str">
        <f t="shared" si="83"/>
        <v>-</v>
      </c>
      <c r="CA44" s="101" t="str">
        <f t="shared" si="84"/>
        <v>-</v>
      </c>
      <c r="CB44" s="101" t="str">
        <f t="shared" si="84"/>
        <v>-</v>
      </c>
      <c r="CC44" s="101" t="str">
        <f t="shared" si="84"/>
        <v>-</v>
      </c>
      <c r="CD44" s="101" t="str">
        <f t="shared" si="84"/>
        <v>-</v>
      </c>
      <c r="CE44" s="101" t="str">
        <f t="shared" si="84"/>
        <v>-</v>
      </c>
      <c r="CF44" s="101" t="str">
        <f t="shared" si="84"/>
        <v>-</v>
      </c>
      <c r="CG44" s="101" t="str">
        <f t="shared" si="84"/>
        <v>-</v>
      </c>
      <c r="CH44" s="101" t="str">
        <f t="shared" si="84"/>
        <v>-</v>
      </c>
      <c r="CI44" s="101" t="str">
        <f t="shared" si="84"/>
        <v>-</v>
      </c>
      <c r="CJ44" s="101" t="str">
        <f t="shared" si="84"/>
        <v>-</v>
      </c>
      <c r="CK44" s="101" t="str">
        <f t="shared" si="85"/>
        <v>-</v>
      </c>
      <c r="CL44" s="101" t="str">
        <f t="shared" si="85"/>
        <v>-</v>
      </c>
      <c r="CM44" s="101" t="str">
        <f t="shared" si="85"/>
        <v>-</v>
      </c>
      <c r="CN44" s="101" t="str">
        <f t="shared" si="85"/>
        <v>-</v>
      </c>
      <c r="CO44" s="101" t="str">
        <f t="shared" si="85"/>
        <v>-</v>
      </c>
      <c r="CP44" s="101" t="str">
        <f t="shared" si="85"/>
        <v>-</v>
      </c>
      <c r="CS44" s="101" t="e">
        <f t="shared" si="86"/>
        <v>#VALUE!</v>
      </c>
      <c r="CT44" s="101" t="str">
        <f t="shared" si="86"/>
        <v>-</v>
      </c>
      <c r="CU44" s="101" t="str">
        <f t="shared" si="86"/>
        <v>-</v>
      </c>
      <c r="CV44" s="101" t="str">
        <f t="shared" si="86"/>
        <v>-</v>
      </c>
      <c r="CW44" s="101" t="str">
        <f t="shared" si="86"/>
        <v>-</v>
      </c>
      <c r="CX44" s="101" t="str">
        <f t="shared" si="86"/>
        <v>-</v>
      </c>
      <c r="CY44" s="101" t="str">
        <f t="shared" si="86"/>
        <v>-</v>
      </c>
      <c r="CZ44" s="101" t="str">
        <f t="shared" si="86"/>
        <v>-</v>
      </c>
      <c r="DA44" s="101" t="str">
        <f t="shared" si="86"/>
        <v>-</v>
      </c>
      <c r="DB44" s="101" t="str">
        <f t="shared" si="86"/>
        <v>-</v>
      </c>
      <c r="DC44" s="101" t="str">
        <f t="shared" si="87"/>
        <v>-</v>
      </c>
      <c r="DD44" s="101" t="str">
        <f t="shared" si="87"/>
        <v>-</v>
      </c>
      <c r="DE44" s="101" t="str">
        <f t="shared" si="87"/>
        <v>-</v>
      </c>
      <c r="DF44" s="101" t="str">
        <f t="shared" si="87"/>
        <v>-</v>
      </c>
      <c r="DG44" s="101" t="str">
        <f t="shared" si="87"/>
        <v>-</v>
      </c>
      <c r="DH44" s="101" t="str">
        <f t="shared" si="87"/>
        <v>-</v>
      </c>
      <c r="DI44" s="101" t="str">
        <f t="shared" si="87"/>
        <v>-</v>
      </c>
      <c r="DJ44" s="101" t="str">
        <f t="shared" si="87"/>
        <v>-</v>
      </c>
      <c r="DK44" s="101" t="str">
        <f t="shared" si="87"/>
        <v>-</v>
      </c>
      <c r="DL44" s="101" t="str">
        <f t="shared" si="87"/>
        <v>-</v>
      </c>
      <c r="DM44" s="101" t="str">
        <f t="shared" si="87"/>
        <v>-</v>
      </c>
      <c r="DN44" s="101" t="str">
        <f t="shared" si="87"/>
        <v>-</v>
      </c>
      <c r="DO44" s="101" t="str">
        <f t="shared" si="87"/>
        <v>-</v>
      </c>
    </row>
    <row r="45" spans="1:119">
      <c r="A45" s="495"/>
      <c r="B45" s="502"/>
      <c r="C45" s="502"/>
      <c r="D45" s="466"/>
      <c r="E45" s="109" t="s">
        <v>67</v>
      </c>
      <c r="F45" s="102" t="e">
        <f>SUM('BESS 12'!S266:S275)</f>
        <v>#VALUE!</v>
      </c>
      <c r="G45" s="102">
        <f>MAX('BESS 12'!O266:O275)-MIN('BESS 12'!O266:O275)+1</f>
        <v>17</v>
      </c>
      <c r="H45" s="110">
        <f>MIN('BESS 12'!O266:O275)</f>
        <v>46244</v>
      </c>
      <c r="I45" s="101" t="str">
        <f t="shared" si="77"/>
        <v>-</v>
      </c>
      <c r="J45" s="101" t="str">
        <f t="shared" si="77"/>
        <v>-</v>
      </c>
      <c r="K45" s="101" t="str">
        <f t="shared" si="77"/>
        <v>-</v>
      </c>
      <c r="L45" s="101" t="str">
        <f t="shared" si="77"/>
        <v>-</v>
      </c>
      <c r="M45" s="101" t="str">
        <f t="shared" si="77"/>
        <v>-</v>
      </c>
      <c r="N45" s="101" t="str">
        <f t="shared" si="77"/>
        <v>-</v>
      </c>
      <c r="O45" s="101" t="str">
        <f t="shared" si="77"/>
        <v>-</v>
      </c>
      <c r="P45" s="101" t="str">
        <f t="shared" si="77"/>
        <v>-</v>
      </c>
      <c r="Q45" s="101" t="str">
        <f t="shared" si="77"/>
        <v>-</v>
      </c>
      <c r="R45" s="101" t="str">
        <f t="shared" si="77"/>
        <v>-</v>
      </c>
      <c r="S45" s="101" t="str">
        <f t="shared" si="78"/>
        <v>-</v>
      </c>
      <c r="T45" s="101" t="str">
        <f t="shared" si="78"/>
        <v>-</v>
      </c>
      <c r="U45" s="101" t="str">
        <f t="shared" si="78"/>
        <v>-</v>
      </c>
      <c r="V45" s="101" t="str">
        <f t="shared" si="78"/>
        <v>-</v>
      </c>
      <c r="W45" s="101" t="str">
        <f t="shared" si="78"/>
        <v>-</v>
      </c>
      <c r="X45" s="101" t="str">
        <f t="shared" si="78"/>
        <v>-</v>
      </c>
      <c r="Y45" s="101" t="str">
        <f t="shared" si="78"/>
        <v>-</v>
      </c>
      <c r="Z45" s="101" t="str">
        <f t="shared" si="78"/>
        <v>-</v>
      </c>
      <c r="AA45" s="101" t="str">
        <f t="shared" si="78"/>
        <v>-</v>
      </c>
      <c r="AB45" s="101" t="str">
        <f t="shared" si="78"/>
        <v>-</v>
      </c>
      <c r="AC45" s="101" t="str">
        <f t="shared" si="79"/>
        <v>-</v>
      </c>
      <c r="AD45" s="101" t="str">
        <f t="shared" si="79"/>
        <v>-</v>
      </c>
      <c r="AE45" s="101" t="str">
        <f t="shared" si="79"/>
        <v>-</v>
      </c>
      <c r="AF45" s="101" t="str">
        <f t="shared" si="79"/>
        <v>-</v>
      </c>
      <c r="AG45" s="101" t="str">
        <f t="shared" si="79"/>
        <v>-</v>
      </c>
      <c r="AH45" s="101" t="str">
        <f t="shared" si="79"/>
        <v>-</v>
      </c>
      <c r="AI45" s="101" t="str">
        <f t="shared" si="79"/>
        <v>-</v>
      </c>
      <c r="AJ45" s="101" t="str">
        <f t="shared" si="79"/>
        <v>-</v>
      </c>
      <c r="AK45" s="101" t="str">
        <f t="shared" si="79"/>
        <v>-</v>
      </c>
      <c r="AL45" s="101" t="str">
        <f t="shared" si="79"/>
        <v>-</v>
      </c>
      <c r="AM45" s="101" t="str">
        <f t="shared" si="80"/>
        <v>-</v>
      </c>
      <c r="AN45" s="101" t="str">
        <f t="shared" si="80"/>
        <v>-</v>
      </c>
      <c r="AO45" s="101" t="str">
        <f t="shared" si="80"/>
        <v>-</v>
      </c>
      <c r="AP45" s="101" t="str">
        <f t="shared" si="80"/>
        <v>-</v>
      </c>
      <c r="AQ45" s="101" t="str">
        <f t="shared" si="80"/>
        <v>-</v>
      </c>
      <c r="AR45" s="101" t="str">
        <f t="shared" si="80"/>
        <v>-</v>
      </c>
      <c r="AS45" s="101" t="str">
        <f t="shared" si="80"/>
        <v>-</v>
      </c>
      <c r="AT45" s="101" t="str">
        <f t="shared" si="80"/>
        <v>-</v>
      </c>
      <c r="AU45" s="101" t="str">
        <f t="shared" si="80"/>
        <v>-</v>
      </c>
      <c r="AV45" s="101" t="str">
        <f t="shared" si="80"/>
        <v>-</v>
      </c>
      <c r="AW45" s="101" t="str">
        <f t="shared" si="81"/>
        <v>-</v>
      </c>
      <c r="AX45" s="101" t="str">
        <f t="shared" si="81"/>
        <v>-</v>
      </c>
      <c r="AY45" s="101" t="str">
        <f t="shared" si="81"/>
        <v>-</v>
      </c>
      <c r="AZ45" s="101" t="str">
        <f t="shared" si="81"/>
        <v>-</v>
      </c>
      <c r="BA45" s="101" t="str">
        <f t="shared" si="81"/>
        <v>-</v>
      </c>
      <c r="BB45" s="101" t="str">
        <f t="shared" si="81"/>
        <v>-</v>
      </c>
      <c r="BC45" s="101" t="str">
        <f t="shared" si="81"/>
        <v>-</v>
      </c>
      <c r="BD45" s="101" t="str">
        <f t="shared" si="81"/>
        <v>-</v>
      </c>
      <c r="BE45" s="101" t="str">
        <f t="shared" si="81"/>
        <v>-</v>
      </c>
      <c r="BF45" s="101" t="str">
        <f t="shared" si="81"/>
        <v>-</v>
      </c>
      <c r="BG45" s="101" t="str">
        <f t="shared" si="82"/>
        <v>-</v>
      </c>
      <c r="BH45" s="101" t="str">
        <f t="shared" si="82"/>
        <v>-</v>
      </c>
      <c r="BI45" s="101" t="str">
        <f t="shared" si="82"/>
        <v>-</v>
      </c>
      <c r="BJ45" s="101" t="str">
        <f t="shared" si="82"/>
        <v>-</v>
      </c>
      <c r="BK45" s="101" t="str">
        <f t="shared" si="82"/>
        <v>-</v>
      </c>
      <c r="BL45" s="101" t="str">
        <f t="shared" si="82"/>
        <v>-</v>
      </c>
      <c r="BM45" s="101" t="str">
        <f t="shared" si="82"/>
        <v>-</v>
      </c>
      <c r="BN45" s="101" t="str">
        <f t="shared" si="82"/>
        <v>-</v>
      </c>
      <c r="BO45" s="101" t="str">
        <f t="shared" si="82"/>
        <v>-</v>
      </c>
      <c r="BP45" s="101" t="str">
        <f t="shared" si="82"/>
        <v>-</v>
      </c>
      <c r="BQ45" s="101" t="str">
        <f t="shared" si="83"/>
        <v>-</v>
      </c>
      <c r="BR45" s="101" t="str">
        <f t="shared" si="83"/>
        <v>-</v>
      </c>
      <c r="BS45" s="101" t="str">
        <f t="shared" si="83"/>
        <v>-</v>
      </c>
      <c r="BT45" s="101" t="str">
        <f t="shared" si="83"/>
        <v>-</v>
      </c>
      <c r="BU45" s="101" t="str">
        <f t="shared" si="83"/>
        <v>-</v>
      </c>
      <c r="BV45" s="101" t="str">
        <f t="shared" si="83"/>
        <v>-</v>
      </c>
      <c r="BW45" s="101" t="str">
        <f t="shared" si="83"/>
        <v>-</v>
      </c>
      <c r="BX45" s="101" t="str">
        <f t="shared" si="83"/>
        <v>-</v>
      </c>
      <c r="BY45" s="101" t="str">
        <f t="shared" si="83"/>
        <v>-</v>
      </c>
      <c r="BZ45" s="101" t="str">
        <f t="shared" si="83"/>
        <v>-</v>
      </c>
      <c r="CA45" s="101" t="str">
        <f t="shared" si="84"/>
        <v>-</v>
      </c>
      <c r="CB45" s="101" t="str">
        <f t="shared" si="84"/>
        <v>-</v>
      </c>
      <c r="CC45" s="132" t="str">
        <f t="shared" si="84"/>
        <v>-</v>
      </c>
      <c r="CD45" s="132" t="str">
        <f t="shared" si="84"/>
        <v>-</v>
      </c>
      <c r="CE45" s="132" t="str">
        <f t="shared" si="84"/>
        <v>-</v>
      </c>
      <c r="CF45" s="132" t="str">
        <f t="shared" si="84"/>
        <v>-</v>
      </c>
      <c r="CG45" s="132" t="str">
        <f t="shared" si="84"/>
        <v>-</v>
      </c>
      <c r="CH45" s="132" t="str">
        <f t="shared" si="84"/>
        <v>-</v>
      </c>
      <c r="CI45" s="132" t="str">
        <f t="shared" si="84"/>
        <v>-</v>
      </c>
      <c r="CJ45" s="132" t="str">
        <f t="shared" si="84"/>
        <v>-</v>
      </c>
      <c r="CK45" s="132" t="str">
        <f t="shared" si="85"/>
        <v>-</v>
      </c>
      <c r="CL45" s="132" t="str">
        <f t="shared" si="85"/>
        <v>-</v>
      </c>
      <c r="CM45" s="132" t="str">
        <f t="shared" si="85"/>
        <v>-</v>
      </c>
      <c r="CN45" s="132" t="str">
        <f t="shared" si="85"/>
        <v>-</v>
      </c>
      <c r="CO45" s="132" t="str">
        <f t="shared" si="85"/>
        <v>-</v>
      </c>
      <c r="CP45" s="132" t="str">
        <f t="shared" si="85"/>
        <v>-</v>
      </c>
      <c r="CS45" s="132" t="e">
        <f t="shared" si="86"/>
        <v>#VALUE!</v>
      </c>
      <c r="CT45" s="132" t="str">
        <f t="shared" si="86"/>
        <v>-</v>
      </c>
      <c r="CU45" s="132" t="str">
        <f t="shared" si="86"/>
        <v>-</v>
      </c>
      <c r="CV45" s="132" t="str">
        <f t="shared" si="86"/>
        <v>-</v>
      </c>
      <c r="CW45" s="132" t="str">
        <f t="shared" si="86"/>
        <v>-</v>
      </c>
      <c r="CX45" s="132" t="str">
        <f t="shared" si="86"/>
        <v>-</v>
      </c>
      <c r="CY45" s="132" t="str">
        <f t="shared" si="86"/>
        <v>-</v>
      </c>
      <c r="CZ45" s="132" t="str">
        <f t="shared" si="86"/>
        <v>-</v>
      </c>
      <c r="DA45" s="132" t="str">
        <f t="shared" si="86"/>
        <v>-</v>
      </c>
      <c r="DB45" s="132" t="str">
        <f t="shared" si="86"/>
        <v>-</v>
      </c>
      <c r="DC45" s="132" t="str">
        <f t="shared" si="87"/>
        <v>-</v>
      </c>
      <c r="DD45" s="132" t="str">
        <f t="shared" si="87"/>
        <v>-</v>
      </c>
      <c r="DE45" s="132" t="str">
        <f t="shared" si="87"/>
        <v>-</v>
      </c>
      <c r="DF45" s="132" t="str">
        <f t="shared" si="87"/>
        <v>-</v>
      </c>
      <c r="DG45" s="132" t="str">
        <f t="shared" si="87"/>
        <v>-</v>
      </c>
      <c r="DH45" s="132" t="str">
        <f t="shared" si="87"/>
        <v>-</v>
      </c>
      <c r="DI45" s="132" t="str">
        <f t="shared" si="87"/>
        <v>-</v>
      </c>
      <c r="DJ45" s="132" t="str">
        <f t="shared" si="87"/>
        <v>-</v>
      </c>
      <c r="DK45" s="132" t="str">
        <f t="shared" si="87"/>
        <v>-</v>
      </c>
      <c r="DL45" s="132" t="str">
        <f t="shared" si="87"/>
        <v>-</v>
      </c>
      <c r="DM45" s="132" t="str">
        <f t="shared" si="87"/>
        <v>-</v>
      </c>
      <c r="DN45" s="132" t="str">
        <f t="shared" si="87"/>
        <v>-</v>
      </c>
      <c r="DO45" s="132" t="str">
        <f t="shared" si="87"/>
        <v>-</v>
      </c>
    </row>
    <row r="46" spans="1:119">
      <c r="A46" s="65"/>
      <c r="B46" s="123"/>
      <c r="C46" s="123"/>
      <c r="D46" s="466"/>
      <c r="E46" s="109" t="s">
        <v>68</v>
      </c>
      <c r="F46" s="101">
        <v>250</v>
      </c>
      <c r="G46" s="101">
        <v>30</v>
      </c>
      <c r="H46" s="110">
        <f>B41-3</f>
        <v>46255</v>
      </c>
      <c r="AV46" s="101"/>
      <c r="AW46" s="101"/>
      <c r="AX46" s="101"/>
      <c r="AY46" s="101"/>
      <c r="AZ46" s="101">
        <v>5</v>
      </c>
      <c r="BA46" s="101">
        <v>5</v>
      </c>
      <c r="BB46" s="101">
        <v>5</v>
      </c>
      <c r="BC46" s="101">
        <v>5</v>
      </c>
      <c r="BD46" s="101">
        <v>5</v>
      </c>
      <c r="BE46" s="101">
        <v>5</v>
      </c>
      <c r="BF46" s="101">
        <v>5</v>
      </c>
      <c r="BG46" s="101">
        <v>5</v>
      </c>
      <c r="BH46" s="101">
        <v>5</v>
      </c>
      <c r="BI46" s="101">
        <v>5</v>
      </c>
      <c r="BJ46" s="101">
        <v>5</v>
      </c>
      <c r="BK46" s="101">
        <v>5</v>
      </c>
      <c r="BL46" s="101">
        <v>5</v>
      </c>
      <c r="BM46" s="101">
        <v>5</v>
      </c>
      <c r="BN46" s="101">
        <v>5</v>
      </c>
      <c r="BO46" s="101">
        <v>5</v>
      </c>
      <c r="BP46" s="101">
        <v>5</v>
      </c>
      <c r="BQ46" s="101">
        <v>5</v>
      </c>
      <c r="BR46" s="101">
        <v>5</v>
      </c>
      <c r="BS46" s="101">
        <v>5</v>
      </c>
      <c r="BT46" s="101">
        <v>5</v>
      </c>
      <c r="BU46" s="101">
        <v>5</v>
      </c>
      <c r="BV46" s="101">
        <v>5</v>
      </c>
      <c r="BW46" s="101">
        <v>5</v>
      </c>
      <c r="BX46" s="101">
        <v>30</v>
      </c>
      <c r="BY46" s="101">
        <v>30</v>
      </c>
      <c r="BZ46" s="101">
        <v>30</v>
      </c>
      <c r="CA46" s="101">
        <v>30</v>
      </c>
      <c r="CB46" s="148">
        <v>5</v>
      </c>
      <c r="CC46" s="101">
        <v>5</v>
      </c>
      <c r="CD46" s="101"/>
      <c r="CE46" s="101"/>
      <c r="CF46" s="101"/>
      <c r="CG46" s="101"/>
      <c r="CH46" s="101"/>
      <c r="CI46" s="101"/>
      <c r="CJ46" s="101"/>
      <c r="CK46" s="101"/>
      <c r="CL46" s="101"/>
      <c r="CM46" s="101"/>
      <c r="CN46" s="101"/>
      <c r="CO46" s="101"/>
      <c r="CP46" s="101"/>
      <c r="CS46" s="101"/>
      <c r="CT46" s="101"/>
      <c r="CU46" s="101"/>
      <c r="CV46" s="101"/>
      <c r="CW46" s="101"/>
      <c r="CX46" s="101"/>
      <c r="CY46" s="101"/>
      <c r="CZ46" s="101"/>
      <c r="DA46" s="101"/>
      <c r="DB46" s="101"/>
      <c r="DC46" s="101"/>
      <c r="DD46" s="101"/>
      <c r="DE46" s="101"/>
      <c r="DF46" s="101"/>
      <c r="DG46" s="101"/>
      <c r="DH46" s="101"/>
      <c r="DI46" s="101"/>
      <c r="DJ46" s="101"/>
      <c r="DK46" s="101"/>
      <c r="DL46" s="101"/>
      <c r="DM46" s="101"/>
      <c r="DN46" s="101"/>
      <c r="DO46" s="101"/>
    </row>
    <row r="47" spans="1:119">
      <c r="B47" s="126"/>
      <c r="E47" s="120"/>
      <c r="F47" s="120"/>
      <c r="G47" s="121"/>
      <c r="H47" s="112" t="s">
        <v>69</v>
      </c>
      <c r="I47" s="113">
        <f t="shared" ref="I47:AN47" si="88">SUM(I42:I46)</f>
        <v>0</v>
      </c>
      <c r="J47" s="113">
        <f t="shared" si="88"/>
        <v>0</v>
      </c>
      <c r="K47" s="113">
        <f t="shared" si="88"/>
        <v>0</v>
      </c>
      <c r="L47" s="113">
        <f t="shared" si="88"/>
        <v>0</v>
      </c>
      <c r="M47" s="113">
        <f t="shared" si="88"/>
        <v>0</v>
      </c>
      <c r="N47" s="113">
        <f t="shared" si="88"/>
        <v>0</v>
      </c>
      <c r="O47" s="113">
        <f t="shared" si="88"/>
        <v>0</v>
      </c>
      <c r="P47" s="113">
        <f t="shared" si="88"/>
        <v>0</v>
      </c>
      <c r="Q47" s="113">
        <f t="shared" si="88"/>
        <v>0</v>
      </c>
      <c r="R47" s="113">
        <f t="shared" si="88"/>
        <v>0</v>
      </c>
      <c r="S47" s="113">
        <f t="shared" si="88"/>
        <v>0</v>
      </c>
      <c r="T47" s="113">
        <f t="shared" si="88"/>
        <v>0</v>
      </c>
      <c r="U47" s="113">
        <f t="shared" si="88"/>
        <v>0</v>
      </c>
      <c r="V47" s="113">
        <f t="shared" si="88"/>
        <v>0</v>
      </c>
      <c r="W47" s="113">
        <f t="shared" si="88"/>
        <v>0</v>
      </c>
      <c r="X47" s="113">
        <f t="shared" si="88"/>
        <v>0</v>
      </c>
      <c r="Y47" s="113">
        <f t="shared" si="88"/>
        <v>0</v>
      </c>
      <c r="Z47" s="113">
        <f t="shared" si="88"/>
        <v>0</v>
      </c>
      <c r="AA47" s="113">
        <f t="shared" si="88"/>
        <v>0</v>
      </c>
      <c r="AB47" s="113">
        <f t="shared" si="88"/>
        <v>0</v>
      </c>
      <c r="AC47" s="113">
        <f t="shared" si="88"/>
        <v>0</v>
      </c>
      <c r="AD47" s="113">
        <f t="shared" si="88"/>
        <v>0</v>
      </c>
      <c r="AE47" s="113">
        <f t="shared" si="88"/>
        <v>0</v>
      </c>
      <c r="AF47" s="113">
        <f t="shared" si="88"/>
        <v>0</v>
      </c>
      <c r="AG47" s="113">
        <f t="shared" si="88"/>
        <v>0</v>
      </c>
      <c r="AH47" s="113">
        <f t="shared" si="88"/>
        <v>0</v>
      </c>
      <c r="AI47" s="113">
        <f t="shared" si="88"/>
        <v>0</v>
      </c>
      <c r="AJ47" s="113">
        <f t="shared" si="88"/>
        <v>0</v>
      </c>
      <c r="AK47" s="113">
        <f t="shared" si="88"/>
        <v>0</v>
      </c>
      <c r="AL47" s="113">
        <f t="shared" si="88"/>
        <v>0</v>
      </c>
      <c r="AM47" s="113">
        <f t="shared" si="88"/>
        <v>0</v>
      </c>
      <c r="AN47" s="113">
        <f t="shared" si="88"/>
        <v>0</v>
      </c>
      <c r="AO47" s="113">
        <f t="shared" ref="AO47:BT47" si="89">SUM(AO42:AO46)</f>
        <v>0</v>
      </c>
      <c r="AP47" s="113">
        <f t="shared" si="89"/>
        <v>0</v>
      </c>
      <c r="AQ47" s="113">
        <f t="shared" si="89"/>
        <v>0</v>
      </c>
      <c r="AR47" s="113">
        <f t="shared" si="89"/>
        <v>0</v>
      </c>
      <c r="AS47" s="113">
        <f t="shared" si="89"/>
        <v>0</v>
      </c>
      <c r="AT47" s="113">
        <f t="shared" si="89"/>
        <v>0</v>
      </c>
      <c r="AU47" s="113">
        <f t="shared" si="89"/>
        <v>0</v>
      </c>
      <c r="AV47" s="113">
        <f t="shared" si="89"/>
        <v>0</v>
      </c>
      <c r="AW47" s="113">
        <f t="shared" si="89"/>
        <v>0</v>
      </c>
      <c r="AX47" s="113">
        <f t="shared" si="89"/>
        <v>0</v>
      </c>
      <c r="AY47" s="113">
        <f t="shared" si="89"/>
        <v>0</v>
      </c>
      <c r="AZ47" s="113">
        <f t="shared" si="89"/>
        <v>5</v>
      </c>
      <c r="BA47" s="113">
        <f t="shared" si="89"/>
        <v>5</v>
      </c>
      <c r="BB47" s="113">
        <f t="shared" si="89"/>
        <v>5</v>
      </c>
      <c r="BC47" s="113">
        <f t="shared" si="89"/>
        <v>5</v>
      </c>
      <c r="BD47" s="113">
        <f t="shared" si="89"/>
        <v>5</v>
      </c>
      <c r="BE47" s="113">
        <f t="shared" si="89"/>
        <v>5</v>
      </c>
      <c r="BF47" s="113">
        <f t="shared" si="89"/>
        <v>5</v>
      </c>
      <c r="BG47" s="113">
        <f t="shared" si="89"/>
        <v>5</v>
      </c>
      <c r="BH47" s="113">
        <f t="shared" si="89"/>
        <v>5</v>
      </c>
      <c r="BI47" s="113">
        <f t="shared" si="89"/>
        <v>5</v>
      </c>
      <c r="BJ47" s="113">
        <f t="shared" si="89"/>
        <v>5</v>
      </c>
      <c r="BK47" s="113">
        <f t="shared" si="89"/>
        <v>5</v>
      </c>
      <c r="BL47" s="113">
        <f t="shared" si="89"/>
        <v>5</v>
      </c>
      <c r="BM47" s="113">
        <f t="shared" si="89"/>
        <v>5</v>
      </c>
      <c r="BN47" s="113">
        <f t="shared" si="89"/>
        <v>5</v>
      </c>
      <c r="BO47" s="113">
        <f t="shared" si="89"/>
        <v>5</v>
      </c>
      <c r="BP47" s="113">
        <f t="shared" si="89"/>
        <v>5</v>
      </c>
      <c r="BQ47" s="113">
        <f t="shared" si="89"/>
        <v>5</v>
      </c>
      <c r="BR47" s="113">
        <f t="shared" si="89"/>
        <v>5</v>
      </c>
      <c r="BS47" s="113">
        <f t="shared" si="89"/>
        <v>5</v>
      </c>
      <c r="BT47" s="113">
        <f t="shared" si="89"/>
        <v>5</v>
      </c>
      <c r="BU47" s="113">
        <f t="shared" ref="BU47:CP47" si="90">SUM(BU42:BU46)</f>
        <v>5</v>
      </c>
      <c r="BV47" s="113">
        <f t="shared" si="90"/>
        <v>5</v>
      </c>
      <c r="BW47" s="113">
        <f t="shared" si="90"/>
        <v>5</v>
      </c>
      <c r="BX47" s="113">
        <f t="shared" si="90"/>
        <v>30</v>
      </c>
      <c r="BY47" s="113">
        <f t="shared" si="90"/>
        <v>30</v>
      </c>
      <c r="BZ47" s="113">
        <f t="shared" si="90"/>
        <v>30</v>
      </c>
      <c r="CA47" s="113">
        <f t="shared" si="90"/>
        <v>30</v>
      </c>
      <c r="CB47" s="113">
        <f t="shared" si="90"/>
        <v>5</v>
      </c>
      <c r="CC47" s="113">
        <f t="shared" si="90"/>
        <v>5</v>
      </c>
      <c r="CD47" s="113">
        <f t="shared" si="90"/>
        <v>0</v>
      </c>
      <c r="CE47" s="113">
        <f t="shared" si="90"/>
        <v>0</v>
      </c>
      <c r="CF47" s="113">
        <f t="shared" si="90"/>
        <v>0</v>
      </c>
      <c r="CG47" s="113">
        <f t="shared" si="90"/>
        <v>0</v>
      </c>
      <c r="CH47" s="113">
        <f t="shared" si="90"/>
        <v>0</v>
      </c>
      <c r="CI47" s="113">
        <f t="shared" si="90"/>
        <v>0</v>
      </c>
      <c r="CJ47" s="113">
        <f t="shared" si="90"/>
        <v>0</v>
      </c>
      <c r="CK47" s="113">
        <f t="shared" si="90"/>
        <v>0</v>
      </c>
      <c r="CL47" s="113">
        <f t="shared" si="90"/>
        <v>0</v>
      </c>
      <c r="CM47" s="113">
        <f t="shared" si="90"/>
        <v>0</v>
      </c>
      <c r="CN47" s="113">
        <f t="shared" si="90"/>
        <v>0</v>
      </c>
      <c r="CO47" s="113">
        <f t="shared" si="90"/>
        <v>0</v>
      </c>
      <c r="CP47" s="113">
        <f t="shared" si="90"/>
        <v>0</v>
      </c>
      <c r="CQ47" s="122"/>
      <c r="CR47" s="122"/>
      <c r="CS47" s="113" t="e">
        <f t="shared" ref="CS47:DO47" si="91">SUM(CS42:CS46)</f>
        <v>#VALUE!</v>
      </c>
      <c r="CT47" s="113">
        <f t="shared" si="91"/>
        <v>0</v>
      </c>
      <c r="CU47" s="113">
        <f t="shared" si="91"/>
        <v>0</v>
      </c>
      <c r="CV47" s="113">
        <f t="shared" si="91"/>
        <v>0</v>
      </c>
      <c r="CW47" s="113">
        <f t="shared" si="91"/>
        <v>0</v>
      </c>
      <c r="CX47" s="113">
        <f t="shared" si="91"/>
        <v>0</v>
      </c>
      <c r="CY47" s="113">
        <f t="shared" si="91"/>
        <v>0</v>
      </c>
      <c r="CZ47" s="113">
        <f t="shared" si="91"/>
        <v>0</v>
      </c>
      <c r="DA47" s="113">
        <f t="shared" si="91"/>
        <v>0</v>
      </c>
      <c r="DB47" s="113">
        <f t="shared" si="91"/>
        <v>0</v>
      </c>
      <c r="DC47" s="113">
        <f t="shared" si="91"/>
        <v>0</v>
      </c>
      <c r="DD47" s="113">
        <f t="shared" si="91"/>
        <v>0</v>
      </c>
      <c r="DE47" s="113">
        <f t="shared" si="91"/>
        <v>0</v>
      </c>
      <c r="DF47" s="113">
        <f t="shared" si="91"/>
        <v>0</v>
      </c>
      <c r="DG47" s="113">
        <f t="shared" si="91"/>
        <v>0</v>
      </c>
      <c r="DH47" s="113">
        <f t="shared" si="91"/>
        <v>0</v>
      </c>
      <c r="DI47" s="113">
        <f t="shared" si="91"/>
        <v>0</v>
      </c>
      <c r="DJ47" s="113">
        <f t="shared" si="91"/>
        <v>0</v>
      </c>
      <c r="DK47" s="113">
        <f t="shared" si="91"/>
        <v>0</v>
      </c>
      <c r="DL47" s="113">
        <f t="shared" si="91"/>
        <v>0</v>
      </c>
      <c r="DM47" s="113">
        <f t="shared" si="91"/>
        <v>0</v>
      </c>
      <c r="DN47" s="113">
        <f t="shared" si="91"/>
        <v>0</v>
      </c>
      <c r="DO47" s="113">
        <f t="shared" si="91"/>
        <v>0</v>
      </c>
    </row>
    <row r="49" spans="1:124">
      <c r="A49" s="495" t="s">
        <v>75</v>
      </c>
      <c r="B49" s="502" t="str">
        <f>'BESS 12'!F276</f>
        <v>31 Aug
17 Sep</v>
      </c>
      <c r="C49" s="502" t="str">
        <f>'BESS 12'!G276</f>
        <v>05 Sep
22 Sep</v>
      </c>
      <c r="D49" s="114"/>
      <c r="E49" s="114" t="s">
        <v>10</v>
      </c>
      <c r="F49" s="115" t="s">
        <v>58</v>
      </c>
      <c r="G49" s="115" t="s">
        <v>59</v>
      </c>
      <c r="H49" s="115" t="s">
        <v>60</v>
      </c>
      <c r="I49" s="116">
        <v>46195</v>
      </c>
      <c r="J49" s="116">
        <v>46196</v>
      </c>
      <c r="K49" s="116">
        <v>46197</v>
      </c>
      <c r="L49" s="116">
        <f t="shared" ref="L49:AQ49" si="92">K49+1</f>
        <v>46198</v>
      </c>
      <c r="M49" s="116">
        <f t="shared" si="92"/>
        <v>46199</v>
      </c>
      <c r="N49" s="116">
        <f t="shared" si="92"/>
        <v>46200</v>
      </c>
      <c r="O49" s="116">
        <f t="shared" si="92"/>
        <v>46201</v>
      </c>
      <c r="P49" s="116">
        <f t="shared" si="92"/>
        <v>46202</v>
      </c>
      <c r="Q49" s="116">
        <f t="shared" si="92"/>
        <v>46203</v>
      </c>
      <c r="R49" s="116">
        <f t="shared" si="92"/>
        <v>46204</v>
      </c>
      <c r="S49" s="116">
        <f t="shared" si="92"/>
        <v>46205</v>
      </c>
      <c r="T49" s="116">
        <f t="shared" si="92"/>
        <v>46206</v>
      </c>
      <c r="U49" s="116">
        <f t="shared" si="92"/>
        <v>46207</v>
      </c>
      <c r="V49" s="116">
        <f t="shared" si="92"/>
        <v>46208</v>
      </c>
      <c r="W49" s="116">
        <f t="shared" si="92"/>
        <v>46209</v>
      </c>
      <c r="X49" s="116">
        <f t="shared" si="92"/>
        <v>46210</v>
      </c>
      <c r="Y49" s="116">
        <f t="shared" si="92"/>
        <v>46211</v>
      </c>
      <c r="Z49" s="116">
        <f t="shared" si="92"/>
        <v>46212</v>
      </c>
      <c r="AA49" s="116">
        <f t="shared" si="92"/>
        <v>46213</v>
      </c>
      <c r="AB49" s="116">
        <f t="shared" si="92"/>
        <v>46214</v>
      </c>
      <c r="AC49" s="116">
        <f t="shared" si="92"/>
        <v>46215</v>
      </c>
      <c r="AD49" s="116">
        <f t="shared" si="92"/>
        <v>46216</v>
      </c>
      <c r="AE49" s="116">
        <f t="shared" si="92"/>
        <v>46217</v>
      </c>
      <c r="AF49" s="116">
        <f t="shared" si="92"/>
        <v>46218</v>
      </c>
      <c r="AG49" s="116">
        <f t="shared" si="92"/>
        <v>46219</v>
      </c>
      <c r="AH49" s="116">
        <f t="shared" si="92"/>
        <v>46220</v>
      </c>
      <c r="AI49" s="116">
        <f t="shared" si="92"/>
        <v>46221</v>
      </c>
      <c r="AJ49" s="116">
        <f t="shared" si="92"/>
        <v>46222</v>
      </c>
      <c r="AK49" s="116">
        <f t="shared" si="92"/>
        <v>46223</v>
      </c>
      <c r="AL49" s="116">
        <f t="shared" si="92"/>
        <v>46224</v>
      </c>
      <c r="AM49" s="116">
        <f t="shared" si="92"/>
        <v>46225</v>
      </c>
      <c r="AN49" s="116">
        <f t="shared" si="92"/>
        <v>46226</v>
      </c>
      <c r="AO49" s="116">
        <f t="shared" si="92"/>
        <v>46227</v>
      </c>
      <c r="AP49" s="116">
        <f t="shared" si="92"/>
        <v>46228</v>
      </c>
      <c r="AQ49" s="116">
        <f t="shared" si="92"/>
        <v>46229</v>
      </c>
      <c r="AR49" s="116">
        <f t="shared" ref="AR49:BW49" si="93">AQ49+1</f>
        <v>46230</v>
      </c>
      <c r="AS49" s="116">
        <f t="shared" si="93"/>
        <v>46231</v>
      </c>
      <c r="AT49" s="116">
        <f t="shared" si="93"/>
        <v>46232</v>
      </c>
      <c r="AU49" s="116">
        <f t="shared" si="93"/>
        <v>46233</v>
      </c>
      <c r="AV49" s="116">
        <f t="shared" si="93"/>
        <v>46234</v>
      </c>
      <c r="AW49" s="116">
        <f t="shared" si="93"/>
        <v>46235</v>
      </c>
      <c r="AX49" s="116">
        <f t="shared" si="93"/>
        <v>46236</v>
      </c>
      <c r="AY49" s="116">
        <f t="shared" si="93"/>
        <v>46237</v>
      </c>
      <c r="AZ49" s="116">
        <f t="shared" si="93"/>
        <v>46238</v>
      </c>
      <c r="BA49" s="116">
        <f t="shared" si="93"/>
        <v>46239</v>
      </c>
      <c r="BB49" s="116">
        <f t="shared" si="93"/>
        <v>46240</v>
      </c>
      <c r="BC49" s="116">
        <f t="shared" si="93"/>
        <v>46241</v>
      </c>
      <c r="BD49" s="116">
        <f t="shared" si="93"/>
        <v>46242</v>
      </c>
      <c r="BE49" s="116">
        <f t="shared" si="93"/>
        <v>46243</v>
      </c>
      <c r="BF49" s="116">
        <f t="shared" si="93"/>
        <v>46244</v>
      </c>
      <c r="BG49" s="116">
        <f t="shared" si="93"/>
        <v>46245</v>
      </c>
      <c r="BH49" s="116">
        <f t="shared" si="93"/>
        <v>46246</v>
      </c>
      <c r="BI49" s="116">
        <f t="shared" si="93"/>
        <v>46247</v>
      </c>
      <c r="BJ49" s="116">
        <f t="shared" si="93"/>
        <v>46248</v>
      </c>
      <c r="BK49" s="116">
        <f t="shared" si="93"/>
        <v>46249</v>
      </c>
      <c r="BL49" s="116">
        <f t="shared" si="93"/>
        <v>46250</v>
      </c>
      <c r="BM49" s="116">
        <f t="shared" si="93"/>
        <v>46251</v>
      </c>
      <c r="BN49" s="116">
        <f t="shared" si="93"/>
        <v>46252</v>
      </c>
      <c r="BO49" s="116">
        <f t="shared" si="93"/>
        <v>46253</v>
      </c>
      <c r="BP49" s="116">
        <f t="shared" si="93"/>
        <v>46254</v>
      </c>
      <c r="BQ49" s="116">
        <f t="shared" si="93"/>
        <v>46255</v>
      </c>
      <c r="BR49" s="116">
        <f t="shared" si="93"/>
        <v>46256</v>
      </c>
      <c r="BS49" s="116">
        <f t="shared" si="93"/>
        <v>46257</v>
      </c>
      <c r="BT49" s="116">
        <f t="shared" si="93"/>
        <v>46258</v>
      </c>
      <c r="BU49" s="116">
        <f t="shared" si="93"/>
        <v>46259</v>
      </c>
      <c r="BV49" s="116">
        <f t="shared" si="93"/>
        <v>46260</v>
      </c>
      <c r="BW49" s="116">
        <f t="shared" si="93"/>
        <v>46261</v>
      </c>
      <c r="BX49" s="116">
        <f t="shared" ref="BX49:CP49" si="94">BW49+1</f>
        <v>46262</v>
      </c>
      <c r="BY49" s="116">
        <f t="shared" si="94"/>
        <v>46263</v>
      </c>
      <c r="BZ49" s="116">
        <f t="shared" si="94"/>
        <v>46264</v>
      </c>
      <c r="CA49" s="116">
        <f t="shared" si="94"/>
        <v>46265</v>
      </c>
      <c r="CB49" s="116">
        <f t="shared" si="94"/>
        <v>46266</v>
      </c>
      <c r="CC49" s="116">
        <f t="shared" si="94"/>
        <v>46267</v>
      </c>
      <c r="CD49" s="116">
        <f t="shared" si="94"/>
        <v>46268</v>
      </c>
      <c r="CE49" s="116">
        <f t="shared" si="94"/>
        <v>46269</v>
      </c>
      <c r="CF49" s="116">
        <f t="shared" si="94"/>
        <v>46270</v>
      </c>
      <c r="CG49" s="116">
        <f t="shared" si="94"/>
        <v>46271</v>
      </c>
      <c r="CH49" s="116">
        <f t="shared" si="94"/>
        <v>46272</v>
      </c>
      <c r="CI49" s="116">
        <f t="shared" si="94"/>
        <v>46273</v>
      </c>
      <c r="CJ49" s="116">
        <f t="shared" si="94"/>
        <v>46274</v>
      </c>
      <c r="CK49" s="116">
        <f t="shared" si="94"/>
        <v>46275</v>
      </c>
      <c r="CL49" s="116">
        <f t="shared" si="94"/>
        <v>46276</v>
      </c>
      <c r="CM49" s="116">
        <f t="shared" si="94"/>
        <v>46277</v>
      </c>
      <c r="CN49" s="116">
        <f t="shared" si="94"/>
        <v>46278</v>
      </c>
      <c r="CO49" s="116">
        <f t="shared" si="94"/>
        <v>46279</v>
      </c>
      <c r="CP49" s="116">
        <f t="shared" si="94"/>
        <v>46280</v>
      </c>
      <c r="CS49" s="116">
        <f t="shared" ref="CS49:DR49" si="95">CR49+1</f>
        <v>1</v>
      </c>
      <c r="CT49" s="116">
        <f t="shared" si="95"/>
        <v>2</v>
      </c>
      <c r="CU49" s="116">
        <f t="shared" si="95"/>
        <v>3</v>
      </c>
      <c r="CV49" s="116">
        <f t="shared" si="95"/>
        <v>4</v>
      </c>
      <c r="CW49" s="116">
        <f t="shared" si="95"/>
        <v>5</v>
      </c>
      <c r="CX49" s="116">
        <f t="shared" si="95"/>
        <v>6</v>
      </c>
      <c r="CY49" s="116">
        <f t="shared" si="95"/>
        <v>7</v>
      </c>
      <c r="CZ49" s="116">
        <f t="shared" si="95"/>
        <v>8</v>
      </c>
      <c r="DA49" s="116">
        <f t="shared" si="95"/>
        <v>9</v>
      </c>
      <c r="DB49" s="116">
        <f t="shared" si="95"/>
        <v>10</v>
      </c>
      <c r="DC49" s="116">
        <f t="shared" si="95"/>
        <v>11</v>
      </c>
      <c r="DD49" s="116">
        <f t="shared" si="95"/>
        <v>12</v>
      </c>
      <c r="DE49" s="116">
        <f t="shared" si="95"/>
        <v>13</v>
      </c>
      <c r="DF49" s="116">
        <f t="shared" si="95"/>
        <v>14</v>
      </c>
      <c r="DG49" s="116">
        <f t="shared" si="95"/>
        <v>15</v>
      </c>
      <c r="DH49" s="116">
        <f t="shared" si="95"/>
        <v>16</v>
      </c>
      <c r="DI49" s="116">
        <f t="shared" si="95"/>
        <v>17</v>
      </c>
      <c r="DJ49" s="116">
        <f t="shared" si="95"/>
        <v>18</v>
      </c>
      <c r="DK49" s="116">
        <f t="shared" si="95"/>
        <v>19</v>
      </c>
      <c r="DL49" s="116">
        <f t="shared" si="95"/>
        <v>20</v>
      </c>
      <c r="DM49" s="116">
        <f t="shared" si="95"/>
        <v>21</v>
      </c>
      <c r="DN49" s="116">
        <f t="shared" si="95"/>
        <v>22</v>
      </c>
      <c r="DO49" s="116">
        <f t="shared" si="95"/>
        <v>23</v>
      </c>
      <c r="DP49" s="116">
        <f t="shared" si="95"/>
        <v>24</v>
      </c>
      <c r="DQ49" s="116">
        <f t="shared" si="95"/>
        <v>25</v>
      </c>
      <c r="DR49" s="116">
        <f t="shared" si="95"/>
        <v>26</v>
      </c>
    </row>
    <row r="50" spans="1:124">
      <c r="A50" s="495"/>
      <c r="B50" s="502"/>
      <c r="C50" s="502"/>
      <c r="D50" s="467" t="str">
        <f>'BESS 12'!H276</f>
        <v>08 Sep
25 Sep</v>
      </c>
      <c r="E50" s="109" t="s">
        <v>64</v>
      </c>
      <c r="F50" s="102" t="e">
        <f>SUM('BESS 12'!S289:S296,'BESS 12'!S298)</f>
        <v>#VALUE!</v>
      </c>
      <c r="G50" s="101">
        <f>MAX('BESS 12'!O289:O296,'BESS 12'!O298)-MIN('BESS 12'!O289:O296,'BESS 12'!O298)+1</f>
        <v>29</v>
      </c>
      <c r="H50" s="110">
        <f>MIN('BESS 12'!O289:O296,'BESS 12'!O298)</f>
        <v>46237</v>
      </c>
      <c r="I50" s="101" t="str">
        <f t="shared" ref="I50:R53" si="96">IF(AND(I$1&gt;=$H50,I$1&lt;($H50+$G50)),ROUND($F50/$G50,0),"-")</f>
        <v>-</v>
      </c>
      <c r="J50" s="101" t="str">
        <f t="shared" si="96"/>
        <v>-</v>
      </c>
      <c r="K50" s="101" t="str">
        <f t="shared" si="96"/>
        <v>-</v>
      </c>
      <c r="L50" s="101" t="str">
        <f t="shared" si="96"/>
        <v>-</v>
      </c>
      <c r="M50" s="101" t="str">
        <f t="shared" si="96"/>
        <v>-</v>
      </c>
      <c r="N50" s="101" t="str">
        <f t="shared" si="96"/>
        <v>-</v>
      </c>
      <c r="O50" s="101" t="str">
        <f t="shared" si="96"/>
        <v>-</v>
      </c>
      <c r="P50" s="101" t="str">
        <f t="shared" si="96"/>
        <v>-</v>
      </c>
      <c r="Q50" s="101" t="str">
        <f t="shared" si="96"/>
        <v>-</v>
      </c>
      <c r="R50" s="101" t="str">
        <f t="shared" si="96"/>
        <v>-</v>
      </c>
      <c r="S50" s="101" t="str">
        <f t="shared" ref="S50:AB53" si="97">IF(AND(S$1&gt;=$H50,S$1&lt;($H50+$G50)),ROUND($F50/$G50,0),"-")</f>
        <v>-</v>
      </c>
      <c r="T50" s="101" t="str">
        <f t="shared" si="97"/>
        <v>-</v>
      </c>
      <c r="U50" s="101" t="str">
        <f t="shared" si="97"/>
        <v>-</v>
      </c>
      <c r="V50" s="101" t="str">
        <f t="shared" si="97"/>
        <v>-</v>
      </c>
      <c r="W50" s="101" t="str">
        <f t="shared" si="97"/>
        <v>-</v>
      </c>
      <c r="X50" s="101" t="str">
        <f t="shared" si="97"/>
        <v>-</v>
      </c>
      <c r="Y50" s="101" t="str">
        <f t="shared" si="97"/>
        <v>-</v>
      </c>
      <c r="Z50" s="101" t="str">
        <f t="shared" si="97"/>
        <v>-</v>
      </c>
      <c r="AA50" s="101" t="str">
        <f t="shared" si="97"/>
        <v>-</v>
      </c>
      <c r="AB50" s="101" t="str">
        <f t="shared" si="97"/>
        <v>-</v>
      </c>
      <c r="AC50" s="101" t="str">
        <f t="shared" ref="AC50:AL53" si="98">IF(AND(AC$1&gt;=$H50,AC$1&lt;($H50+$G50)),ROUND($F50/$G50,0),"-")</f>
        <v>-</v>
      </c>
      <c r="AD50" s="101" t="str">
        <f t="shared" si="98"/>
        <v>-</v>
      </c>
      <c r="AE50" s="101" t="str">
        <f t="shared" si="98"/>
        <v>-</v>
      </c>
      <c r="AF50" s="101" t="str">
        <f t="shared" si="98"/>
        <v>-</v>
      </c>
      <c r="AG50" s="101" t="str">
        <f t="shared" si="98"/>
        <v>-</v>
      </c>
      <c r="AH50" s="101" t="str">
        <f t="shared" si="98"/>
        <v>-</v>
      </c>
      <c r="AI50" s="101" t="str">
        <f t="shared" si="98"/>
        <v>-</v>
      </c>
      <c r="AJ50" s="101" t="str">
        <f t="shared" si="98"/>
        <v>-</v>
      </c>
      <c r="AK50" s="101" t="str">
        <f t="shared" si="98"/>
        <v>-</v>
      </c>
      <c r="AL50" s="101" t="str">
        <f t="shared" si="98"/>
        <v>-</v>
      </c>
      <c r="AM50" s="101" t="str">
        <f t="shared" ref="AM50:AV53" si="99">IF(AND(AM$1&gt;=$H50,AM$1&lt;($H50+$G50)),ROUND($F50/$G50,0),"-")</f>
        <v>-</v>
      </c>
      <c r="AN50" s="101" t="str">
        <f t="shared" si="99"/>
        <v>-</v>
      </c>
      <c r="AO50" s="101" t="str">
        <f t="shared" si="99"/>
        <v>-</v>
      </c>
      <c r="AP50" s="101" t="str">
        <f t="shared" si="99"/>
        <v>-</v>
      </c>
      <c r="AQ50" s="101" t="str">
        <f t="shared" si="99"/>
        <v>-</v>
      </c>
      <c r="AR50" s="101" t="str">
        <f t="shared" si="99"/>
        <v>-</v>
      </c>
      <c r="AS50" s="101" t="str">
        <f t="shared" si="99"/>
        <v>-</v>
      </c>
      <c r="AT50" s="101" t="str">
        <f t="shared" si="99"/>
        <v>-</v>
      </c>
      <c r="AU50" s="101" t="str">
        <f t="shared" si="99"/>
        <v>-</v>
      </c>
      <c r="AV50" s="101" t="str">
        <f t="shared" si="99"/>
        <v>-</v>
      </c>
      <c r="AW50" s="101" t="str">
        <f t="shared" ref="AW50:BF53" si="100">IF(AND(AW$1&gt;=$H50,AW$1&lt;($H50+$G50)),ROUND($F50/$G50,0),"-")</f>
        <v>-</v>
      </c>
      <c r="AX50" s="101" t="str">
        <f t="shared" si="100"/>
        <v>-</v>
      </c>
      <c r="AY50" s="101" t="str">
        <f t="shared" si="100"/>
        <v>-</v>
      </c>
      <c r="AZ50" s="101" t="str">
        <f t="shared" si="100"/>
        <v>-</v>
      </c>
      <c r="BA50" s="101" t="str">
        <f t="shared" si="100"/>
        <v>-</v>
      </c>
      <c r="BB50" s="101" t="str">
        <f t="shared" si="100"/>
        <v>-</v>
      </c>
      <c r="BC50" s="101" t="str">
        <f t="shared" si="100"/>
        <v>-</v>
      </c>
      <c r="BD50" s="101" t="str">
        <f t="shared" si="100"/>
        <v>-</v>
      </c>
      <c r="BE50" s="101" t="str">
        <f t="shared" si="100"/>
        <v>-</v>
      </c>
      <c r="BF50" s="101" t="str">
        <f t="shared" si="100"/>
        <v>-</v>
      </c>
      <c r="BG50" s="101" t="str">
        <f t="shared" ref="BG50:BP53" si="101">IF(AND(BG$1&gt;=$H50,BG$1&lt;($H50+$G50)),ROUND($F50/$G50,0),"-")</f>
        <v>-</v>
      </c>
      <c r="BH50" s="101" t="str">
        <f t="shared" si="101"/>
        <v>-</v>
      </c>
      <c r="BI50" s="101" t="str">
        <f t="shared" si="101"/>
        <v>-</v>
      </c>
      <c r="BJ50" s="101" t="str">
        <f t="shared" si="101"/>
        <v>-</v>
      </c>
      <c r="BK50" s="101" t="str">
        <f t="shared" si="101"/>
        <v>-</v>
      </c>
      <c r="BL50" s="101" t="str">
        <f t="shared" si="101"/>
        <v>-</v>
      </c>
      <c r="BM50" s="101" t="str">
        <f t="shared" si="101"/>
        <v>-</v>
      </c>
      <c r="BN50" s="101" t="str">
        <f t="shared" si="101"/>
        <v>-</v>
      </c>
      <c r="BO50" s="101" t="str">
        <f t="shared" si="101"/>
        <v>-</v>
      </c>
      <c r="BP50" s="101" t="str">
        <f t="shared" si="101"/>
        <v>-</v>
      </c>
      <c r="BQ50" s="101" t="str">
        <f t="shared" ref="BQ50:BZ53" si="102">IF(AND(BQ$1&gt;=$H50,BQ$1&lt;($H50+$G50)),ROUND($F50/$G50,0),"-")</f>
        <v>-</v>
      </c>
      <c r="BR50" s="101" t="str">
        <f t="shared" si="102"/>
        <v>-</v>
      </c>
      <c r="BS50" s="101" t="str">
        <f t="shared" si="102"/>
        <v>-</v>
      </c>
      <c r="BT50" s="101" t="str">
        <f t="shared" si="102"/>
        <v>-</v>
      </c>
      <c r="BU50" s="101" t="str">
        <f t="shared" si="102"/>
        <v>-</v>
      </c>
      <c r="BV50" s="101" t="str">
        <f t="shared" si="102"/>
        <v>-</v>
      </c>
      <c r="BW50" s="101" t="str">
        <f t="shared" si="102"/>
        <v>-</v>
      </c>
      <c r="BX50" s="101" t="str">
        <f t="shared" si="102"/>
        <v>-</v>
      </c>
      <c r="BY50" s="101" t="str">
        <f t="shared" si="102"/>
        <v>-</v>
      </c>
      <c r="BZ50" s="101" t="str">
        <f t="shared" si="102"/>
        <v>-</v>
      </c>
      <c r="CA50" s="101" t="str">
        <f t="shared" ref="CA50:CJ53" si="103">IF(AND(CA$1&gt;=$H50,CA$1&lt;($H50+$G50)),ROUND($F50/$G50,0),"-")</f>
        <v>-</v>
      </c>
      <c r="CB50" s="101" t="str">
        <f t="shared" si="103"/>
        <v>-</v>
      </c>
      <c r="CC50" s="101" t="str">
        <f t="shared" si="103"/>
        <v>-</v>
      </c>
      <c r="CD50" s="101" t="str">
        <f t="shared" si="103"/>
        <v>-</v>
      </c>
      <c r="CE50" s="101" t="str">
        <f t="shared" si="103"/>
        <v>-</v>
      </c>
      <c r="CF50" s="101" t="str">
        <f t="shared" si="103"/>
        <v>-</v>
      </c>
      <c r="CG50" s="101" t="str">
        <f t="shared" si="103"/>
        <v>-</v>
      </c>
      <c r="CH50" s="101" t="str">
        <f t="shared" si="103"/>
        <v>-</v>
      </c>
      <c r="CI50" s="101" t="str">
        <f t="shared" si="103"/>
        <v>-</v>
      </c>
      <c r="CJ50" s="101" t="str">
        <f t="shared" si="103"/>
        <v>-</v>
      </c>
      <c r="CK50" s="101" t="str">
        <f t="shared" ref="CK50:CP53" si="104">IF(AND(CK$1&gt;=$H50,CK$1&lt;($H50+$G50)),ROUND($F50/$G50,0),"-")</f>
        <v>-</v>
      </c>
      <c r="CL50" s="101" t="str">
        <f t="shared" si="104"/>
        <v>-</v>
      </c>
      <c r="CM50" s="101" t="str">
        <f t="shared" si="104"/>
        <v>-</v>
      </c>
      <c r="CN50" s="101" t="str">
        <f t="shared" si="104"/>
        <v>-</v>
      </c>
      <c r="CO50" s="101" t="str">
        <f t="shared" si="104"/>
        <v>-</v>
      </c>
      <c r="CP50" s="101" t="str">
        <f t="shared" si="104"/>
        <v>-</v>
      </c>
      <c r="CS50" s="101" t="e">
        <f t="shared" ref="CS50:DB53" si="105">IF(AND(CS$1&gt;=$H50,CS$1&lt;($H50+$G50)),ROUND($F50/$G50,0),"-")</f>
        <v>#VALUE!</v>
      </c>
      <c r="CT50" s="101" t="str">
        <f t="shared" si="105"/>
        <v>-</v>
      </c>
      <c r="CU50" s="101" t="str">
        <f t="shared" si="105"/>
        <v>-</v>
      </c>
      <c r="CV50" s="101" t="str">
        <f t="shared" si="105"/>
        <v>-</v>
      </c>
      <c r="CW50" s="101" t="str">
        <f t="shared" si="105"/>
        <v>-</v>
      </c>
      <c r="CX50" s="101" t="str">
        <f t="shared" si="105"/>
        <v>-</v>
      </c>
      <c r="CY50" s="101" t="str">
        <f t="shared" si="105"/>
        <v>-</v>
      </c>
      <c r="CZ50" s="101" t="str">
        <f t="shared" si="105"/>
        <v>-</v>
      </c>
      <c r="DA50" s="101" t="str">
        <f t="shared" si="105"/>
        <v>-</v>
      </c>
      <c r="DB50" s="101" t="str">
        <f t="shared" si="105"/>
        <v>-</v>
      </c>
      <c r="DC50" s="101" t="str">
        <f t="shared" ref="DC50:DL53" si="106">IF(AND(DC$1&gt;=$H50,DC$1&lt;($H50+$G50)),ROUND($F50/$G50,0),"-")</f>
        <v>-</v>
      </c>
      <c r="DD50" s="101" t="str">
        <f t="shared" si="106"/>
        <v>-</v>
      </c>
      <c r="DE50" s="101" t="str">
        <f t="shared" si="106"/>
        <v>-</v>
      </c>
      <c r="DF50" s="101" t="str">
        <f t="shared" si="106"/>
        <v>-</v>
      </c>
      <c r="DG50" s="101" t="str">
        <f t="shared" si="106"/>
        <v>-</v>
      </c>
      <c r="DH50" s="101" t="str">
        <f t="shared" si="106"/>
        <v>-</v>
      </c>
      <c r="DI50" s="101" t="str">
        <f t="shared" si="106"/>
        <v>-</v>
      </c>
      <c r="DJ50" s="101" t="str">
        <f t="shared" si="106"/>
        <v>-</v>
      </c>
      <c r="DK50" s="101" t="str">
        <f t="shared" si="106"/>
        <v>-</v>
      </c>
      <c r="DL50" s="101" t="str">
        <f t="shared" si="106"/>
        <v>-</v>
      </c>
      <c r="DM50" s="101" t="str">
        <f t="shared" ref="DM50:DR53" si="107">IF(AND(DM$1&gt;=$H50,DM$1&lt;($H50+$G50)),ROUND($F50/$G50,0),"-")</f>
        <v>-</v>
      </c>
      <c r="DN50" s="101" t="str">
        <f t="shared" si="107"/>
        <v>-</v>
      </c>
      <c r="DO50" s="101" t="str">
        <f t="shared" si="107"/>
        <v>-</v>
      </c>
      <c r="DP50" s="101" t="str">
        <f t="shared" si="107"/>
        <v>-</v>
      </c>
      <c r="DQ50" s="101" t="str">
        <f t="shared" si="107"/>
        <v>-</v>
      </c>
      <c r="DR50" s="101" t="str">
        <f t="shared" si="107"/>
        <v>-</v>
      </c>
    </row>
    <row r="51" spans="1:124">
      <c r="A51" s="495"/>
      <c r="B51" s="502"/>
      <c r="C51" s="502"/>
      <c r="D51" s="466"/>
      <c r="E51" s="109" t="s">
        <v>65</v>
      </c>
      <c r="F51" s="102" t="e">
        <f>SUM('BESS 12'!S299,'BESS 12'!S301:S302,'BESS 12'!S305:S307)</f>
        <v>#VALUE!</v>
      </c>
      <c r="G51" s="101">
        <f>MAX('BESS 12'!O299,'BESS 12'!O301:O302,'BESS 12'!O305:O307)-MIN('BESS 12'!O299,'BESS 12'!O301:O302,'BESS 12'!O305:O307)+1</f>
        <v>6</v>
      </c>
      <c r="H51" s="110">
        <f>MIN('BESS 12'!O299,'BESS 12'!O301:O302,'BESS 12'!O305:O307)</f>
        <v>46238</v>
      </c>
      <c r="I51" s="101" t="str">
        <f t="shared" si="96"/>
        <v>-</v>
      </c>
      <c r="J51" s="101" t="str">
        <f t="shared" si="96"/>
        <v>-</v>
      </c>
      <c r="K51" s="101" t="str">
        <f t="shared" si="96"/>
        <v>-</v>
      </c>
      <c r="L51" s="101" t="str">
        <f t="shared" si="96"/>
        <v>-</v>
      </c>
      <c r="M51" s="101" t="str">
        <f t="shared" si="96"/>
        <v>-</v>
      </c>
      <c r="N51" s="101" t="str">
        <f t="shared" si="96"/>
        <v>-</v>
      </c>
      <c r="O51" s="101" t="str">
        <f t="shared" si="96"/>
        <v>-</v>
      </c>
      <c r="P51" s="101" t="str">
        <f t="shared" si="96"/>
        <v>-</v>
      </c>
      <c r="Q51" s="101" t="str">
        <f t="shared" si="96"/>
        <v>-</v>
      </c>
      <c r="R51" s="101" t="str">
        <f t="shared" si="96"/>
        <v>-</v>
      </c>
      <c r="S51" s="101" t="str">
        <f t="shared" si="97"/>
        <v>-</v>
      </c>
      <c r="T51" s="101" t="str">
        <f t="shared" si="97"/>
        <v>-</v>
      </c>
      <c r="U51" s="101" t="str">
        <f t="shared" si="97"/>
        <v>-</v>
      </c>
      <c r="V51" s="101" t="str">
        <f t="shared" si="97"/>
        <v>-</v>
      </c>
      <c r="W51" s="101" t="str">
        <f t="shared" si="97"/>
        <v>-</v>
      </c>
      <c r="X51" s="101" t="str">
        <f t="shared" si="97"/>
        <v>-</v>
      </c>
      <c r="Y51" s="101" t="str">
        <f t="shared" si="97"/>
        <v>-</v>
      </c>
      <c r="Z51" s="101" t="str">
        <f t="shared" si="97"/>
        <v>-</v>
      </c>
      <c r="AA51" s="101" t="str">
        <f t="shared" si="97"/>
        <v>-</v>
      </c>
      <c r="AB51" s="101" t="str">
        <f t="shared" si="97"/>
        <v>-</v>
      </c>
      <c r="AC51" s="101" t="str">
        <f t="shared" si="98"/>
        <v>-</v>
      </c>
      <c r="AD51" s="101" t="str">
        <f t="shared" si="98"/>
        <v>-</v>
      </c>
      <c r="AE51" s="101" t="str">
        <f t="shared" si="98"/>
        <v>-</v>
      </c>
      <c r="AF51" s="101" t="str">
        <f t="shared" si="98"/>
        <v>-</v>
      </c>
      <c r="AG51" s="101" t="str">
        <f t="shared" si="98"/>
        <v>-</v>
      </c>
      <c r="AH51" s="101" t="str">
        <f t="shared" si="98"/>
        <v>-</v>
      </c>
      <c r="AI51" s="101" t="str">
        <f t="shared" si="98"/>
        <v>-</v>
      </c>
      <c r="AJ51" s="101" t="str">
        <f t="shared" si="98"/>
        <v>-</v>
      </c>
      <c r="AK51" s="101" t="str">
        <f t="shared" si="98"/>
        <v>-</v>
      </c>
      <c r="AL51" s="101" t="str">
        <f t="shared" si="98"/>
        <v>-</v>
      </c>
      <c r="AM51" s="101" t="str">
        <f t="shared" si="99"/>
        <v>-</v>
      </c>
      <c r="AN51" s="101" t="str">
        <f t="shared" si="99"/>
        <v>-</v>
      </c>
      <c r="AO51" s="101" t="str">
        <f t="shared" si="99"/>
        <v>-</v>
      </c>
      <c r="AP51" s="101" t="str">
        <f t="shared" si="99"/>
        <v>-</v>
      </c>
      <c r="AQ51" s="101" t="str">
        <f t="shared" si="99"/>
        <v>-</v>
      </c>
      <c r="AR51" s="101" t="str">
        <f t="shared" si="99"/>
        <v>-</v>
      </c>
      <c r="AS51" s="101" t="str">
        <f t="shared" si="99"/>
        <v>-</v>
      </c>
      <c r="AT51" s="101" t="str">
        <f t="shared" si="99"/>
        <v>-</v>
      </c>
      <c r="AU51" s="101" t="str">
        <f t="shared" si="99"/>
        <v>-</v>
      </c>
      <c r="AV51" s="101" t="str">
        <f t="shared" si="99"/>
        <v>-</v>
      </c>
      <c r="AW51" s="101" t="str">
        <f t="shared" si="100"/>
        <v>-</v>
      </c>
      <c r="AX51" s="101" t="str">
        <f t="shared" si="100"/>
        <v>-</v>
      </c>
      <c r="AY51" s="101" t="str">
        <f t="shared" si="100"/>
        <v>-</v>
      </c>
      <c r="AZ51" s="101" t="str">
        <f t="shared" si="100"/>
        <v>-</v>
      </c>
      <c r="BA51" s="101" t="str">
        <f t="shared" si="100"/>
        <v>-</v>
      </c>
      <c r="BB51" s="101" t="str">
        <f t="shared" si="100"/>
        <v>-</v>
      </c>
      <c r="BC51" s="101" t="str">
        <f t="shared" si="100"/>
        <v>-</v>
      </c>
      <c r="BD51" s="101" t="str">
        <f t="shared" si="100"/>
        <v>-</v>
      </c>
      <c r="BE51" s="101" t="str">
        <f t="shared" si="100"/>
        <v>-</v>
      </c>
      <c r="BF51" s="101" t="str">
        <f t="shared" si="100"/>
        <v>-</v>
      </c>
      <c r="BG51" s="101" t="str">
        <f t="shared" si="101"/>
        <v>-</v>
      </c>
      <c r="BH51" s="101" t="str">
        <f t="shared" si="101"/>
        <v>-</v>
      </c>
      <c r="BI51" s="101" t="str">
        <f t="shared" si="101"/>
        <v>-</v>
      </c>
      <c r="BJ51" s="101" t="str">
        <f t="shared" si="101"/>
        <v>-</v>
      </c>
      <c r="BK51" s="101" t="str">
        <f t="shared" si="101"/>
        <v>-</v>
      </c>
      <c r="BL51" s="101" t="str">
        <f t="shared" si="101"/>
        <v>-</v>
      </c>
      <c r="BM51" s="101" t="str">
        <f t="shared" si="101"/>
        <v>-</v>
      </c>
      <c r="BN51" s="101" t="str">
        <f t="shared" si="101"/>
        <v>-</v>
      </c>
      <c r="BO51" s="101" t="str">
        <f t="shared" si="101"/>
        <v>-</v>
      </c>
      <c r="BP51" s="101" t="str">
        <f t="shared" si="101"/>
        <v>-</v>
      </c>
      <c r="BQ51" s="101" t="str">
        <f t="shared" si="102"/>
        <v>-</v>
      </c>
      <c r="BR51" s="101" t="str">
        <f t="shared" si="102"/>
        <v>-</v>
      </c>
      <c r="BS51" s="101" t="str">
        <f t="shared" si="102"/>
        <v>-</v>
      </c>
      <c r="BT51" s="101" t="str">
        <f t="shared" si="102"/>
        <v>-</v>
      </c>
      <c r="BU51" s="101" t="str">
        <f t="shared" si="102"/>
        <v>-</v>
      </c>
      <c r="BV51" s="101" t="str">
        <f t="shared" si="102"/>
        <v>-</v>
      </c>
      <c r="BW51" s="101" t="str">
        <f t="shared" si="102"/>
        <v>-</v>
      </c>
      <c r="BX51" s="101" t="str">
        <f t="shared" si="102"/>
        <v>-</v>
      </c>
      <c r="BY51" s="101" t="str">
        <f t="shared" si="102"/>
        <v>-</v>
      </c>
      <c r="BZ51" s="101" t="str">
        <f t="shared" si="102"/>
        <v>-</v>
      </c>
      <c r="CA51" s="101" t="str">
        <f t="shared" si="103"/>
        <v>-</v>
      </c>
      <c r="CB51" s="101" t="str">
        <f t="shared" si="103"/>
        <v>-</v>
      </c>
      <c r="CC51" s="101" t="str">
        <f t="shared" si="103"/>
        <v>-</v>
      </c>
      <c r="CD51" s="101" t="str">
        <f t="shared" si="103"/>
        <v>-</v>
      </c>
      <c r="CE51" s="101" t="str">
        <f t="shared" si="103"/>
        <v>-</v>
      </c>
      <c r="CF51" s="101" t="str">
        <f t="shared" si="103"/>
        <v>-</v>
      </c>
      <c r="CG51" s="101" t="str">
        <f t="shared" si="103"/>
        <v>-</v>
      </c>
      <c r="CH51" s="101" t="str">
        <f t="shared" si="103"/>
        <v>-</v>
      </c>
      <c r="CI51" s="101" t="str">
        <f t="shared" si="103"/>
        <v>-</v>
      </c>
      <c r="CJ51" s="101" t="str">
        <f t="shared" si="103"/>
        <v>-</v>
      </c>
      <c r="CK51" s="101" t="str">
        <f t="shared" si="104"/>
        <v>-</v>
      </c>
      <c r="CL51" s="101" t="str">
        <f t="shared" si="104"/>
        <v>-</v>
      </c>
      <c r="CM51" s="101" t="str">
        <f t="shared" si="104"/>
        <v>-</v>
      </c>
      <c r="CN51" s="101" t="str">
        <f t="shared" si="104"/>
        <v>-</v>
      </c>
      <c r="CO51" s="101" t="str">
        <f t="shared" si="104"/>
        <v>-</v>
      </c>
      <c r="CP51" s="101" t="str">
        <f t="shared" si="104"/>
        <v>-</v>
      </c>
      <c r="CS51" s="101" t="e">
        <f t="shared" si="105"/>
        <v>#VALUE!</v>
      </c>
      <c r="CT51" s="101" t="str">
        <f t="shared" si="105"/>
        <v>-</v>
      </c>
      <c r="CU51" s="101" t="str">
        <f t="shared" si="105"/>
        <v>-</v>
      </c>
      <c r="CV51" s="101" t="str">
        <f t="shared" si="105"/>
        <v>-</v>
      </c>
      <c r="CW51" s="101" t="str">
        <f t="shared" si="105"/>
        <v>-</v>
      </c>
      <c r="CX51" s="101" t="str">
        <f t="shared" si="105"/>
        <v>-</v>
      </c>
      <c r="CY51" s="101" t="str">
        <f t="shared" si="105"/>
        <v>-</v>
      </c>
      <c r="CZ51" s="101" t="str">
        <f t="shared" si="105"/>
        <v>-</v>
      </c>
      <c r="DA51" s="101" t="str">
        <f t="shared" si="105"/>
        <v>-</v>
      </c>
      <c r="DB51" s="101" t="str">
        <f t="shared" si="105"/>
        <v>-</v>
      </c>
      <c r="DC51" s="101" t="str">
        <f t="shared" si="106"/>
        <v>-</v>
      </c>
      <c r="DD51" s="101" t="str">
        <f t="shared" si="106"/>
        <v>-</v>
      </c>
      <c r="DE51" s="101" t="str">
        <f t="shared" si="106"/>
        <v>-</v>
      </c>
      <c r="DF51" s="101" t="str">
        <f t="shared" si="106"/>
        <v>-</v>
      </c>
      <c r="DG51" s="101" t="str">
        <f t="shared" si="106"/>
        <v>-</v>
      </c>
      <c r="DH51" s="101" t="str">
        <f t="shared" si="106"/>
        <v>-</v>
      </c>
      <c r="DI51" s="101" t="str">
        <f t="shared" si="106"/>
        <v>-</v>
      </c>
      <c r="DJ51" s="101" t="str">
        <f t="shared" si="106"/>
        <v>-</v>
      </c>
      <c r="DK51" s="101" t="str">
        <f t="shared" si="106"/>
        <v>-</v>
      </c>
      <c r="DL51" s="101" t="str">
        <f t="shared" si="106"/>
        <v>-</v>
      </c>
      <c r="DM51" s="101" t="str">
        <f t="shared" si="107"/>
        <v>-</v>
      </c>
      <c r="DN51" s="101" t="str">
        <f t="shared" si="107"/>
        <v>-</v>
      </c>
      <c r="DO51" s="101" t="str">
        <f t="shared" si="107"/>
        <v>-</v>
      </c>
      <c r="DP51" s="101" t="str">
        <f t="shared" si="107"/>
        <v>-</v>
      </c>
      <c r="DQ51" s="101" t="str">
        <f t="shared" si="107"/>
        <v>-</v>
      </c>
      <c r="DR51" s="101" t="str">
        <f t="shared" si="107"/>
        <v>-</v>
      </c>
    </row>
    <row r="52" spans="1:124">
      <c r="A52" s="495"/>
      <c r="B52" s="502"/>
      <c r="C52" s="502"/>
      <c r="D52" s="466"/>
      <c r="E52" s="109" t="s">
        <v>66</v>
      </c>
      <c r="F52" s="102" t="e">
        <f>SUM('BESS 12'!S300,'BESS 12'!S303:S304,'BESS 12'!S308:S309)</f>
        <v>#VALUE!</v>
      </c>
      <c r="G52" s="101">
        <f>MAX('BESS 12'!O300,'BESS 12'!O303:O304,'BESS 12'!O308:O309)-MIN('BESS 12'!O300,'BESS 12'!O303:O304,'BESS 12'!O308:O309)+1</f>
        <v>27</v>
      </c>
      <c r="H52" s="110">
        <f>MIN('BESS 12'!O300,'BESS 12'!O303:O304,'BESS 12'!O308:O309)</f>
        <v>46248</v>
      </c>
      <c r="I52" s="101" t="str">
        <f t="shared" si="96"/>
        <v>-</v>
      </c>
      <c r="J52" s="101" t="str">
        <f t="shared" si="96"/>
        <v>-</v>
      </c>
      <c r="K52" s="101" t="str">
        <f t="shared" si="96"/>
        <v>-</v>
      </c>
      <c r="L52" s="101" t="str">
        <f t="shared" si="96"/>
        <v>-</v>
      </c>
      <c r="M52" s="101" t="str">
        <f t="shared" si="96"/>
        <v>-</v>
      </c>
      <c r="N52" s="101" t="str">
        <f t="shared" si="96"/>
        <v>-</v>
      </c>
      <c r="O52" s="101" t="str">
        <f t="shared" si="96"/>
        <v>-</v>
      </c>
      <c r="P52" s="101" t="str">
        <f t="shared" si="96"/>
        <v>-</v>
      </c>
      <c r="Q52" s="101" t="str">
        <f t="shared" si="96"/>
        <v>-</v>
      </c>
      <c r="R52" s="101" t="str">
        <f t="shared" si="96"/>
        <v>-</v>
      </c>
      <c r="S52" s="101" t="str">
        <f t="shared" si="97"/>
        <v>-</v>
      </c>
      <c r="T52" s="101" t="str">
        <f t="shared" si="97"/>
        <v>-</v>
      </c>
      <c r="U52" s="101" t="str">
        <f t="shared" si="97"/>
        <v>-</v>
      </c>
      <c r="V52" s="101" t="str">
        <f t="shared" si="97"/>
        <v>-</v>
      </c>
      <c r="W52" s="101" t="str">
        <f t="shared" si="97"/>
        <v>-</v>
      </c>
      <c r="X52" s="101" t="str">
        <f t="shared" si="97"/>
        <v>-</v>
      </c>
      <c r="Y52" s="101" t="str">
        <f t="shared" si="97"/>
        <v>-</v>
      </c>
      <c r="Z52" s="101" t="str">
        <f t="shared" si="97"/>
        <v>-</v>
      </c>
      <c r="AA52" s="101" t="str">
        <f t="shared" si="97"/>
        <v>-</v>
      </c>
      <c r="AB52" s="101" t="str">
        <f t="shared" si="97"/>
        <v>-</v>
      </c>
      <c r="AC52" s="101" t="str">
        <f t="shared" si="98"/>
        <v>-</v>
      </c>
      <c r="AD52" s="101" t="str">
        <f t="shared" si="98"/>
        <v>-</v>
      </c>
      <c r="AE52" s="101" t="str">
        <f t="shared" si="98"/>
        <v>-</v>
      </c>
      <c r="AF52" s="101" t="str">
        <f t="shared" si="98"/>
        <v>-</v>
      </c>
      <c r="AG52" s="101" t="str">
        <f t="shared" si="98"/>
        <v>-</v>
      </c>
      <c r="AH52" s="101" t="str">
        <f t="shared" si="98"/>
        <v>-</v>
      </c>
      <c r="AI52" s="101" t="str">
        <f t="shared" si="98"/>
        <v>-</v>
      </c>
      <c r="AJ52" s="101" t="str">
        <f t="shared" si="98"/>
        <v>-</v>
      </c>
      <c r="AK52" s="101" t="str">
        <f t="shared" si="98"/>
        <v>-</v>
      </c>
      <c r="AL52" s="101" t="str">
        <f t="shared" si="98"/>
        <v>-</v>
      </c>
      <c r="AM52" s="101" t="str">
        <f t="shared" si="99"/>
        <v>-</v>
      </c>
      <c r="AN52" s="101" t="str">
        <f t="shared" si="99"/>
        <v>-</v>
      </c>
      <c r="AO52" s="101" t="str">
        <f t="shared" si="99"/>
        <v>-</v>
      </c>
      <c r="AP52" s="101" t="str">
        <f t="shared" si="99"/>
        <v>-</v>
      </c>
      <c r="AQ52" s="101" t="str">
        <f t="shared" si="99"/>
        <v>-</v>
      </c>
      <c r="AR52" s="101" t="str">
        <f t="shared" si="99"/>
        <v>-</v>
      </c>
      <c r="AS52" s="101" t="str">
        <f t="shared" si="99"/>
        <v>-</v>
      </c>
      <c r="AT52" s="101" t="str">
        <f t="shared" si="99"/>
        <v>-</v>
      </c>
      <c r="AU52" s="101" t="str">
        <f t="shared" si="99"/>
        <v>-</v>
      </c>
      <c r="AV52" s="101" t="str">
        <f t="shared" si="99"/>
        <v>-</v>
      </c>
      <c r="AW52" s="101" t="str">
        <f t="shared" si="100"/>
        <v>-</v>
      </c>
      <c r="AX52" s="101" t="str">
        <f t="shared" si="100"/>
        <v>-</v>
      </c>
      <c r="AY52" s="101" t="str">
        <f t="shared" si="100"/>
        <v>-</v>
      </c>
      <c r="AZ52" s="101" t="str">
        <f t="shared" si="100"/>
        <v>-</v>
      </c>
      <c r="BA52" s="101" t="str">
        <f t="shared" si="100"/>
        <v>-</v>
      </c>
      <c r="BB52" s="101" t="str">
        <f t="shared" si="100"/>
        <v>-</v>
      </c>
      <c r="BC52" s="101" t="str">
        <f t="shared" si="100"/>
        <v>-</v>
      </c>
      <c r="BD52" s="101" t="str">
        <f t="shared" si="100"/>
        <v>-</v>
      </c>
      <c r="BE52" s="101" t="str">
        <f t="shared" si="100"/>
        <v>-</v>
      </c>
      <c r="BF52" s="101" t="str">
        <f t="shared" si="100"/>
        <v>-</v>
      </c>
      <c r="BG52" s="101" t="str">
        <f t="shared" si="101"/>
        <v>-</v>
      </c>
      <c r="BH52" s="101" t="str">
        <f t="shared" si="101"/>
        <v>-</v>
      </c>
      <c r="BI52" s="101" t="str">
        <f t="shared" si="101"/>
        <v>-</v>
      </c>
      <c r="BJ52" s="101" t="str">
        <f t="shared" si="101"/>
        <v>-</v>
      </c>
      <c r="BK52" s="101" t="str">
        <f t="shared" si="101"/>
        <v>-</v>
      </c>
      <c r="BL52" s="101" t="str">
        <f t="shared" si="101"/>
        <v>-</v>
      </c>
      <c r="BM52" s="101" t="str">
        <f t="shared" si="101"/>
        <v>-</v>
      </c>
      <c r="BN52" s="101" t="str">
        <f t="shared" si="101"/>
        <v>-</v>
      </c>
      <c r="BO52" s="101" t="str">
        <f t="shared" si="101"/>
        <v>-</v>
      </c>
      <c r="BP52" s="101" t="str">
        <f t="shared" si="101"/>
        <v>-</v>
      </c>
      <c r="BQ52" s="101" t="str">
        <f t="shared" si="102"/>
        <v>-</v>
      </c>
      <c r="BR52" s="101" t="str">
        <f t="shared" si="102"/>
        <v>-</v>
      </c>
      <c r="BS52" s="101" t="str">
        <f t="shared" si="102"/>
        <v>-</v>
      </c>
      <c r="BT52" s="101" t="str">
        <f t="shared" si="102"/>
        <v>-</v>
      </c>
      <c r="BU52" s="101" t="str">
        <f t="shared" si="102"/>
        <v>-</v>
      </c>
      <c r="BV52" s="101" t="str">
        <f t="shared" si="102"/>
        <v>-</v>
      </c>
      <c r="BW52" s="101" t="str">
        <f t="shared" si="102"/>
        <v>-</v>
      </c>
      <c r="BX52" s="101" t="str">
        <f t="shared" si="102"/>
        <v>-</v>
      </c>
      <c r="BY52" s="101" t="str">
        <f t="shared" si="102"/>
        <v>-</v>
      </c>
      <c r="BZ52" s="101" t="str">
        <f t="shared" si="102"/>
        <v>-</v>
      </c>
      <c r="CA52" s="101" t="str">
        <f t="shared" si="103"/>
        <v>-</v>
      </c>
      <c r="CB52" s="101" t="str">
        <f t="shared" si="103"/>
        <v>-</v>
      </c>
      <c r="CC52" s="101" t="str">
        <f t="shared" si="103"/>
        <v>-</v>
      </c>
      <c r="CD52" s="101" t="str">
        <f t="shared" si="103"/>
        <v>-</v>
      </c>
      <c r="CE52" s="101" t="str">
        <f t="shared" si="103"/>
        <v>-</v>
      </c>
      <c r="CF52" s="101" t="str">
        <f t="shared" si="103"/>
        <v>-</v>
      </c>
      <c r="CG52" s="101" t="str">
        <f t="shared" si="103"/>
        <v>-</v>
      </c>
      <c r="CH52" s="101" t="str">
        <f t="shared" si="103"/>
        <v>-</v>
      </c>
      <c r="CI52" s="101" t="str">
        <f t="shared" si="103"/>
        <v>-</v>
      </c>
      <c r="CJ52" s="101" t="str">
        <f t="shared" si="103"/>
        <v>-</v>
      </c>
      <c r="CK52" s="101" t="str">
        <f t="shared" si="104"/>
        <v>-</v>
      </c>
      <c r="CL52" s="101" t="str">
        <f t="shared" si="104"/>
        <v>-</v>
      </c>
      <c r="CM52" s="101" t="str">
        <f t="shared" si="104"/>
        <v>-</v>
      </c>
      <c r="CN52" s="101" t="str">
        <f t="shared" si="104"/>
        <v>-</v>
      </c>
      <c r="CO52" s="101" t="str">
        <f t="shared" si="104"/>
        <v>-</v>
      </c>
      <c r="CP52" s="101" t="str">
        <f t="shared" si="104"/>
        <v>-</v>
      </c>
      <c r="CS52" s="101" t="e">
        <f t="shared" si="105"/>
        <v>#VALUE!</v>
      </c>
      <c r="CT52" s="101" t="str">
        <f t="shared" si="105"/>
        <v>-</v>
      </c>
      <c r="CU52" s="101" t="str">
        <f t="shared" si="105"/>
        <v>-</v>
      </c>
      <c r="CV52" s="101" t="str">
        <f t="shared" si="105"/>
        <v>-</v>
      </c>
      <c r="CW52" s="101" t="str">
        <f t="shared" si="105"/>
        <v>-</v>
      </c>
      <c r="CX52" s="101" t="str">
        <f t="shared" si="105"/>
        <v>-</v>
      </c>
      <c r="CY52" s="101" t="str">
        <f t="shared" si="105"/>
        <v>-</v>
      </c>
      <c r="CZ52" s="101" t="str">
        <f t="shared" si="105"/>
        <v>-</v>
      </c>
      <c r="DA52" s="101" t="str">
        <f t="shared" si="105"/>
        <v>-</v>
      </c>
      <c r="DB52" s="101" t="str">
        <f t="shared" si="105"/>
        <v>-</v>
      </c>
      <c r="DC52" s="101" t="str">
        <f t="shared" si="106"/>
        <v>-</v>
      </c>
      <c r="DD52" s="101" t="str">
        <f t="shared" si="106"/>
        <v>-</v>
      </c>
      <c r="DE52" s="101" t="str">
        <f t="shared" si="106"/>
        <v>-</v>
      </c>
      <c r="DF52" s="101" t="str">
        <f t="shared" si="106"/>
        <v>-</v>
      </c>
      <c r="DG52" s="101" t="str">
        <f t="shared" si="106"/>
        <v>-</v>
      </c>
      <c r="DH52" s="101" t="str">
        <f t="shared" si="106"/>
        <v>-</v>
      </c>
      <c r="DI52" s="101" t="str">
        <f t="shared" si="106"/>
        <v>-</v>
      </c>
      <c r="DJ52" s="101" t="str">
        <f t="shared" si="106"/>
        <v>-</v>
      </c>
      <c r="DK52" s="101" t="str">
        <f t="shared" si="106"/>
        <v>-</v>
      </c>
      <c r="DL52" s="101" t="str">
        <f t="shared" si="106"/>
        <v>-</v>
      </c>
      <c r="DM52" s="101" t="str">
        <f t="shared" si="107"/>
        <v>-</v>
      </c>
      <c r="DN52" s="101" t="str">
        <f t="shared" si="107"/>
        <v>-</v>
      </c>
      <c r="DO52" s="101" t="str">
        <f t="shared" si="107"/>
        <v>-</v>
      </c>
      <c r="DP52" s="101" t="str">
        <f t="shared" si="107"/>
        <v>-</v>
      </c>
      <c r="DQ52" s="101" t="str">
        <f t="shared" si="107"/>
        <v>-</v>
      </c>
      <c r="DR52" s="101" t="str">
        <f t="shared" si="107"/>
        <v>-</v>
      </c>
    </row>
    <row r="53" spans="1:124">
      <c r="A53" s="495"/>
      <c r="B53" s="502"/>
      <c r="C53" s="502"/>
      <c r="D53" s="466"/>
      <c r="E53" s="109" t="s">
        <v>67</v>
      </c>
      <c r="F53" s="102" t="e">
        <f>SUM('BESS 12'!S311:S320)</f>
        <v>#VALUE!</v>
      </c>
      <c r="G53" s="101">
        <f>MAX('BESS 12'!O311:O320)-MIN('BESS 12'!O311:O320)+1</f>
        <v>35</v>
      </c>
      <c r="H53" s="110">
        <f>MIN('BESS 12'!O311:O320)</f>
        <v>46245</v>
      </c>
      <c r="I53" s="101" t="str">
        <f t="shared" si="96"/>
        <v>-</v>
      </c>
      <c r="J53" s="101" t="str">
        <f t="shared" si="96"/>
        <v>-</v>
      </c>
      <c r="K53" s="101" t="str">
        <f t="shared" si="96"/>
        <v>-</v>
      </c>
      <c r="L53" s="101" t="str">
        <f t="shared" si="96"/>
        <v>-</v>
      </c>
      <c r="M53" s="101" t="str">
        <f t="shared" si="96"/>
        <v>-</v>
      </c>
      <c r="N53" s="101" t="str">
        <f t="shared" si="96"/>
        <v>-</v>
      </c>
      <c r="O53" s="101" t="str">
        <f t="shared" si="96"/>
        <v>-</v>
      </c>
      <c r="P53" s="101" t="str">
        <f t="shared" si="96"/>
        <v>-</v>
      </c>
      <c r="Q53" s="101" t="str">
        <f t="shared" si="96"/>
        <v>-</v>
      </c>
      <c r="R53" s="101" t="str">
        <f t="shared" si="96"/>
        <v>-</v>
      </c>
      <c r="S53" s="101" t="str">
        <f t="shared" si="97"/>
        <v>-</v>
      </c>
      <c r="T53" s="101" t="str">
        <f t="shared" si="97"/>
        <v>-</v>
      </c>
      <c r="U53" s="101" t="str">
        <f t="shared" si="97"/>
        <v>-</v>
      </c>
      <c r="V53" s="101" t="str">
        <f t="shared" si="97"/>
        <v>-</v>
      </c>
      <c r="W53" s="101" t="str">
        <f t="shared" si="97"/>
        <v>-</v>
      </c>
      <c r="X53" s="101" t="str">
        <f t="shared" si="97"/>
        <v>-</v>
      </c>
      <c r="Y53" s="101" t="str">
        <f t="shared" si="97"/>
        <v>-</v>
      </c>
      <c r="Z53" s="101" t="str">
        <f t="shared" si="97"/>
        <v>-</v>
      </c>
      <c r="AA53" s="101" t="str">
        <f t="shared" si="97"/>
        <v>-</v>
      </c>
      <c r="AB53" s="101" t="str">
        <f t="shared" si="97"/>
        <v>-</v>
      </c>
      <c r="AC53" s="101" t="str">
        <f t="shared" si="98"/>
        <v>-</v>
      </c>
      <c r="AD53" s="101" t="str">
        <f t="shared" si="98"/>
        <v>-</v>
      </c>
      <c r="AE53" s="101" t="str">
        <f t="shared" si="98"/>
        <v>-</v>
      </c>
      <c r="AF53" s="101" t="str">
        <f t="shared" si="98"/>
        <v>-</v>
      </c>
      <c r="AG53" s="101" t="str">
        <f t="shared" si="98"/>
        <v>-</v>
      </c>
      <c r="AH53" s="101" t="str">
        <f t="shared" si="98"/>
        <v>-</v>
      </c>
      <c r="AI53" s="101" t="str">
        <f t="shared" si="98"/>
        <v>-</v>
      </c>
      <c r="AJ53" s="101" t="str">
        <f t="shared" si="98"/>
        <v>-</v>
      </c>
      <c r="AK53" s="101" t="str">
        <f t="shared" si="98"/>
        <v>-</v>
      </c>
      <c r="AL53" s="101" t="str">
        <f t="shared" si="98"/>
        <v>-</v>
      </c>
      <c r="AM53" s="101" t="str">
        <f t="shared" si="99"/>
        <v>-</v>
      </c>
      <c r="AN53" s="101" t="str">
        <f t="shared" si="99"/>
        <v>-</v>
      </c>
      <c r="AO53" s="101" t="str">
        <f t="shared" si="99"/>
        <v>-</v>
      </c>
      <c r="AP53" s="101" t="str">
        <f t="shared" si="99"/>
        <v>-</v>
      </c>
      <c r="AQ53" s="101" t="str">
        <f t="shared" si="99"/>
        <v>-</v>
      </c>
      <c r="AR53" s="101" t="str">
        <f t="shared" si="99"/>
        <v>-</v>
      </c>
      <c r="AS53" s="101" t="str">
        <f t="shared" si="99"/>
        <v>-</v>
      </c>
      <c r="AT53" s="101" t="str">
        <f t="shared" si="99"/>
        <v>-</v>
      </c>
      <c r="AU53" s="101" t="str">
        <f t="shared" si="99"/>
        <v>-</v>
      </c>
      <c r="AV53" s="101" t="str">
        <f t="shared" si="99"/>
        <v>-</v>
      </c>
      <c r="AW53" s="101" t="str">
        <f t="shared" si="100"/>
        <v>-</v>
      </c>
      <c r="AX53" s="101" t="str">
        <f t="shared" si="100"/>
        <v>-</v>
      </c>
      <c r="AY53" s="101" t="str">
        <f t="shared" si="100"/>
        <v>-</v>
      </c>
      <c r="AZ53" s="101" t="str">
        <f t="shared" si="100"/>
        <v>-</v>
      </c>
      <c r="BA53" s="101" t="str">
        <f t="shared" si="100"/>
        <v>-</v>
      </c>
      <c r="BB53" s="101" t="str">
        <f t="shared" si="100"/>
        <v>-</v>
      </c>
      <c r="BC53" s="101" t="str">
        <f t="shared" si="100"/>
        <v>-</v>
      </c>
      <c r="BD53" s="101" t="str">
        <f t="shared" si="100"/>
        <v>-</v>
      </c>
      <c r="BE53" s="101" t="str">
        <f t="shared" si="100"/>
        <v>-</v>
      </c>
      <c r="BF53" s="101" t="str">
        <f t="shared" si="100"/>
        <v>-</v>
      </c>
      <c r="BG53" s="101" t="str">
        <f t="shared" si="101"/>
        <v>-</v>
      </c>
      <c r="BH53" s="101" t="str">
        <f t="shared" si="101"/>
        <v>-</v>
      </c>
      <c r="BI53" s="101" t="str">
        <f t="shared" si="101"/>
        <v>-</v>
      </c>
      <c r="BJ53" s="101" t="str">
        <f t="shared" si="101"/>
        <v>-</v>
      </c>
      <c r="BK53" s="101" t="str">
        <f t="shared" si="101"/>
        <v>-</v>
      </c>
      <c r="BL53" s="101" t="str">
        <f t="shared" si="101"/>
        <v>-</v>
      </c>
      <c r="BM53" s="101" t="str">
        <f t="shared" si="101"/>
        <v>-</v>
      </c>
      <c r="BN53" s="101" t="str">
        <f t="shared" si="101"/>
        <v>-</v>
      </c>
      <c r="BO53" s="101" t="str">
        <f t="shared" si="101"/>
        <v>-</v>
      </c>
      <c r="BP53" s="101" t="str">
        <f t="shared" si="101"/>
        <v>-</v>
      </c>
      <c r="BQ53" s="101" t="str">
        <f t="shared" si="102"/>
        <v>-</v>
      </c>
      <c r="BR53" s="101" t="str">
        <f t="shared" si="102"/>
        <v>-</v>
      </c>
      <c r="BS53" s="101" t="str">
        <f t="shared" si="102"/>
        <v>-</v>
      </c>
      <c r="BT53" s="101" t="str">
        <f t="shared" si="102"/>
        <v>-</v>
      </c>
      <c r="BU53" s="101" t="str">
        <f t="shared" si="102"/>
        <v>-</v>
      </c>
      <c r="BV53" s="101" t="str">
        <f t="shared" si="102"/>
        <v>-</v>
      </c>
      <c r="BW53" s="101" t="str">
        <f t="shared" si="102"/>
        <v>-</v>
      </c>
      <c r="BX53" s="101" t="str">
        <f t="shared" si="102"/>
        <v>-</v>
      </c>
      <c r="BY53" s="101" t="str">
        <f t="shared" si="102"/>
        <v>-</v>
      </c>
      <c r="BZ53" s="101" t="str">
        <f t="shared" si="102"/>
        <v>-</v>
      </c>
      <c r="CA53" s="101" t="str">
        <f t="shared" si="103"/>
        <v>-</v>
      </c>
      <c r="CB53" s="101" t="str">
        <f t="shared" si="103"/>
        <v>-</v>
      </c>
      <c r="CC53" s="101" t="str">
        <f t="shared" si="103"/>
        <v>-</v>
      </c>
      <c r="CD53" s="101" t="str">
        <f t="shared" si="103"/>
        <v>-</v>
      </c>
      <c r="CE53" s="101" t="str">
        <f t="shared" si="103"/>
        <v>-</v>
      </c>
      <c r="CF53" s="132" t="str">
        <f t="shared" si="103"/>
        <v>-</v>
      </c>
      <c r="CG53" s="132" t="str">
        <f t="shared" si="103"/>
        <v>-</v>
      </c>
      <c r="CH53" s="132" t="str">
        <f t="shared" si="103"/>
        <v>-</v>
      </c>
      <c r="CI53" s="132" t="str">
        <f t="shared" si="103"/>
        <v>-</v>
      </c>
      <c r="CJ53" s="132" t="str">
        <f t="shared" si="103"/>
        <v>-</v>
      </c>
      <c r="CK53" s="132" t="str">
        <f t="shared" si="104"/>
        <v>-</v>
      </c>
      <c r="CL53" s="132" t="str">
        <f t="shared" si="104"/>
        <v>-</v>
      </c>
      <c r="CM53" s="132" t="str">
        <f t="shared" si="104"/>
        <v>-</v>
      </c>
      <c r="CN53" s="132" t="str">
        <f t="shared" si="104"/>
        <v>-</v>
      </c>
      <c r="CO53" s="132" t="str">
        <f t="shared" si="104"/>
        <v>-</v>
      </c>
      <c r="CP53" s="132" t="str">
        <f t="shared" si="104"/>
        <v>-</v>
      </c>
      <c r="CS53" s="132" t="e">
        <f t="shared" si="105"/>
        <v>#VALUE!</v>
      </c>
      <c r="CT53" s="132" t="str">
        <f t="shared" si="105"/>
        <v>-</v>
      </c>
      <c r="CU53" s="132" t="str">
        <f t="shared" si="105"/>
        <v>-</v>
      </c>
      <c r="CV53" s="132" t="str">
        <f t="shared" si="105"/>
        <v>-</v>
      </c>
      <c r="CW53" s="132" t="str">
        <f t="shared" si="105"/>
        <v>-</v>
      </c>
      <c r="CX53" s="132" t="str">
        <f t="shared" si="105"/>
        <v>-</v>
      </c>
      <c r="CY53" s="132" t="str">
        <f t="shared" si="105"/>
        <v>-</v>
      </c>
      <c r="CZ53" s="132" t="str">
        <f t="shared" si="105"/>
        <v>-</v>
      </c>
      <c r="DA53" s="132" t="str">
        <f t="shared" si="105"/>
        <v>-</v>
      </c>
      <c r="DB53" s="132" t="str">
        <f t="shared" si="105"/>
        <v>-</v>
      </c>
      <c r="DC53" s="132" t="str">
        <f t="shared" si="106"/>
        <v>-</v>
      </c>
      <c r="DD53" s="132" t="str">
        <f t="shared" si="106"/>
        <v>-</v>
      </c>
      <c r="DE53" s="132" t="str">
        <f t="shared" si="106"/>
        <v>-</v>
      </c>
      <c r="DF53" s="132" t="str">
        <f t="shared" si="106"/>
        <v>-</v>
      </c>
      <c r="DG53" s="132" t="str">
        <f t="shared" si="106"/>
        <v>-</v>
      </c>
      <c r="DH53" s="132" t="str">
        <f t="shared" si="106"/>
        <v>-</v>
      </c>
      <c r="DI53" s="132" t="str">
        <f t="shared" si="106"/>
        <v>-</v>
      </c>
      <c r="DJ53" s="132" t="str">
        <f t="shared" si="106"/>
        <v>-</v>
      </c>
      <c r="DK53" s="132" t="str">
        <f t="shared" si="106"/>
        <v>-</v>
      </c>
      <c r="DL53" s="132" t="str">
        <f t="shared" si="106"/>
        <v>-</v>
      </c>
      <c r="DM53" s="132" t="str">
        <f t="shared" si="107"/>
        <v>-</v>
      </c>
      <c r="DN53" s="132" t="str">
        <f t="shared" si="107"/>
        <v>-</v>
      </c>
      <c r="DO53" s="132" t="str">
        <f t="shared" si="107"/>
        <v>-</v>
      </c>
      <c r="DP53" s="132" t="str">
        <f t="shared" si="107"/>
        <v>-</v>
      </c>
      <c r="DQ53" s="132" t="str">
        <f t="shared" si="107"/>
        <v>-</v>
      </c>
      <c r="DR53" s="132" t="str">
        <f t="shared" si="107"/>
        <v>-</v>
      </c>
    </row>
    <row r="54" spans="1:124">
      <c r="A54" s="65"/>
      <c r="B54" s="123"/>
      <c r="C54" s="123"/>
      <c r="D54" s="466"/>
      <c r="E54" s="109" t="s">
        <v>68</v>
      </c>
      <c r="F54" s="101">
        <v>250</v>
      </c>
      <c r="G54" s="101">
        <v>30</v>
      </c>
      <c r="H54" s="110" t="e">
        <f>B49-3</f>
        <v>#VALUE!</v>
      </c>
      <c r="I54" s="110"/>
      <c r="J54" s="110"/>
      <c r="K54" s="101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>
        <v>5</v>
      </c>
      <c r="BD54" s="109">
        <v>5</v>
      </c>
      <c r="BE54" s="109">
        <v>5</v>
      </c>
      <c r="BF54" s="109">
        <v>5</v>
      </c>
      <c r="BG54" s="109">
        <v>5</v>
      </c>
      <c r="BH54" s="109">
        <v>5</v>
      </c>
      <c r="BI54" s="109">
        <v>5</v>
      </c>
      <c r="BJ54" s="109">
        <v>5</v>
      </c>
      <c r="BK54" s="109">
        <v>5</v>
      </c>
      <c r="BL54" s="109">
        <v>5</v>
      </c>
      <c r="BM54" s="109">
        <v>5</v>
      </c>
      <c r="BN54" s="109">
        <v>5</v>
      </c>
      <c r="BO54" s="109">
        <v>5</v>
      </c>
      <c r="BP54" s="109">
        <v>5</v>
      </c>
      <c r="BQ54" s="109">
        <v>5</v>
      </c>
      <c r="BR54" s="109">
        <v>5</v>
      </c>
      <c r="BS54" s="109">
        <v>5</v>
      </c>
      <c r="BT54" s="109">
        <v>5</v>
      </c>
      <c r="BU54" s="109">
        <v>5</v>
      </c>
      <c r="BV54" s="109">
        <v>5</v>
      </c>
      <c r="BW54" s="109">
        <v>5</v>
      </c>
      <c r="BX54" s="109">
        <v>5</v>
      </c>
      <c r="BY54" s="109">
        <v>5</v>
      </c>
      <c r="BZ54" s="109">
        <v>5</v>
      </c>
      <c r="CA54" s="109">
        <v>30</v>
      </c>
      <c r="CB54" s="109">
        <v>30</v>
      </c>
      <c r="CC54" s="109">
        <v>30</v>
      </c>
      <c r="CD54" s="109">
        <v>30</v>
      </c>
      <c r="CE54" s="101">
        <v>5</v>
      </c>
      <c r="CF54" s="101">
        <v>5</v>
      </c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S54" s="101"/>
      <c r="CT54" s="101"/>
      <c r="CU54" s="101"/>
      <c r="CV54" s="101"/>
      <c r="CW54" s="101"/>
      <c r="CX54" s="101"/>
      <c r="CY54" s="101"/>
      <c r="CZ54" s="101"/>
      <c r="DA54" s="101"/>
      <c r="DB54" s="101"/>
      <c r="DC54" s="101"/>
      <c r="DD54" s="101"/>
      <c r="DE54" s="101"/>
      <c r="DF54" s="101"/>
      <c r="DG54" s="101"/>
      <c r="DH54" s="101"/>
      <c r="DI54" s="101"/>
      <c r="DJ54" s="101"/>
      <c r="DK54" s="101"/>
      <c r="DL54" s="101"/>
      <c r="DM54" s="101"/>
      <c r="DN54" s="101"/>
      <c r="DO54" s="101"/>
      <c r="DP54" s="101"/>
      <c r="DQ54" s="101"/>
      <c r="DR54" s="101"/>
    </row>
    <row r="55" spans="1:124" s="141" customFormat="1">
      <c r="B55" s="142"/>
      <c r="E55" s="143"/>
      <c r="F55" s="143"/>
      <c r="G55" s="144"/>
      <c r="H55" s="112" t="s">
        <v>69</v>
      </c>
      <c r="I55" s="113">
        <f t="shared" ref="I55:AN55" si="108">SUM(I50:I54)</f>
        <v>0</v>
      </c>
      <c r="J55" s="113">
        <f t="shared" si="108"/>
        <v>0</v>
      </c>
      <c r="K55" s="113">
        <f t="shared" si="108"/>
        <v>0</v>
      </c>
      <c r="L55" s="113">
        <f t="shared" si="108"/>
        <v>0</v>
      </c>
      <c r="M55" s="113">
        <f t="shared" si="108"/>
        <v>0</v>
      </c>
      <c r="N55" s="113">
        <f t="shared" si="108"/>
        <v>0</v>
      </c>
      <c r="O55" s="113">
        <f t="shared" si="108"/>
        <v>0</v>
      </c>
      <c r="P55" s="113">
        <f t="shared" si="108"/>
        <v>0</v>
      </c>
      <c r="Q55" s="113">
        <f t="shared" si="108"/>
        <v>0</v>
      </c>
      <c r="R55" s="113">
        <f t="shared" si="108"/>
        <v>0</v>
      </c>
      <c r="S55" s="113">
        <f t="shared" si="108"/>
        <v>0</v>
      </c>
      <c r="T55" s="113">
        <f t="shared" si="108"/>
        <v>0</v>
      </c>
      <c r="U55" s="113">
        <f t="shared" si="108"/>
        <v>0</v>
      </c>
      <c r="V55" s="113">
        <f t="shared" si="108"/>
        <v>0</v>
      </c>
      <c r="W55" s="113">
        <f t="shared" si="108"/>
        <v>0</v>
      </c>
      <c r="X55" s="113">
        <f t="shared" si="108"/>
        <v>0</v>
      </c>
      <c r="Y55" s="113">
        <f t="shared" si="108"/>
        <v>0</v>
      </c>
      <c r="Z55" s="113">
        <f t="shared" si="108"/>
        <v>0</v>
      </c>
      <c r="AA55" s="113">
        <f t="shared" si="108"/>
        <v>0</v>
      </c>
      <c r="AB55" s="113">
        <f t="shared" si="108"/>
        <v>0</v>
      </c>
      <c r="AC55" s="113">
        <f t="shared" si="108"/>
        <v>0</v>
      </c>
      <c r="AD55" s="113">
        <f t="shared" si="108"/>
        <v>0</v>
      </c>
      <c r="AE55" s="113">
        <f t="shared" si="108"/>
        <v>0</v>
      </c>
      <c r="AF55" s="113">
        <f t="shared" si="108"/>
        <v>0</v>
      </c>
      <c r="AG55" s="113">
        <f t="shared" si="108"/>
        <v>0</v>
      </c>
      <c r="AH55" s="113">
        <f t="shared" si="108"/>
        <v>0</v>
      </c>
      <c r="AI55" s="113">
        <f t="shared" si="108"/>
        <v>0</v>
      </c>
      <c r="AJ55" s="113">
        <f t="shared" si="108"/>
        <v>0</v>
      </c>
      <c r="AK55" s="113">
        <f t="shared" si="108"/>
        <v>0</v>
      </c>
      <c r="AL55" s="113">
        <f t="shared" si="108"/>
        <v>0</v>
      </c>
      <c r="AM55" s="113">
        <f t="shared" si="108"/>
        <v>0</v>
      </c>
      <c r="AN55" s="113">
        <f t="shared" si="108"/>
        <v>0</v>
      </c>
      <c r="AO55" s="113">
        <f t="shared" ref="AO55:BT55" si="109">SUM(AO50:AO54)</f>
        <v>0</v>
      </c>
      <c r="AP55" s="113">
        <f t="shared" si="109"/>
        <v>0</v>
      </c>
      <c r="AQ55" s="113">
        <f t="shared" si="109"/>
        <v>0</v>
      </c>
      <c r="AR55" s="113">
        <f t="shared" si="109"/>
        <v>0</v>
      </c>
      <c r="AS55" s="113">
        <f t="shared" si="109"/>
        <v>0</v>
      </c>
      <c r="AT55" s="113">
        <f t="shared" si="109"/>
        <v>0</v>
      </c>
      <c r="AU55" s="113">
        <f t="shared" si="109"/>
        <v>0</v>
      </c>
      <c r="AV55" s="113">
        <f t="shared" si="109"/>
        <v>0</v>
      </c>
      <c r="AW55" s="113">
        <f t="shared" si="109"/>
        <v>0</v>
      </c>
      <c r="AX55" s="113">
        <f t="shared" si="109"/>
        <v>0</v>
      </c>
      <c r="AY55" s="113">
        <f t="shared" si="109"/>
        <v>0</v>
      </c>
      <c r="AZ55" s="113">
        <f t="shared" si="109"/>
        <v>0</v>
      </c>
      <c r="BA55" s="113">
        <f t="shared" si="109"/>
        <v>0</v>
      </c>
      <c r="BB55" s="113">
        <f t="shared" si="109"/>
        <v>0</v>
      </c>
      <c r="BC55" s="113">
        <f t="shared" si="109"/>
        <v>5</v>
      </c>
      <c r="BD55" s="113">
        <f t="shared" si="109"/>
        <v>5</v>
      </c>
      <c r="BE55" s="113">
        <f t="shared" si="109"/>
        <v>5</v>
      </c>
      <c r="BF55" s="113">
        <f t="shared" si="109"/>
        <v>5</v>
      </c>
      <c r="BG55" s="113">
        <f t="shared" si="109"/>
        <v>5</v>
      </c>
      <c r="BH55" s="113">
        <f t="shared" si="109"/>
        <v>5</v>
      </c>
      <c r="BI55" s="113">
        <f t="shared" si="109"/>
        <v>5</v>
      </c>
      <c r="BJ55" s="113">
        <f t="shared" si="109"/>
        <v>5</v>
      </c>
      <c r="BK55" s="113">
        <f t="shared" si="109"/>
        <v>5</v>
      </c>
      <c r="BL55" s="113">
        <f t="shared" si="109"/>
        <v>5</v>
      </c>
      <c r="BM55" s="113">
        <f t="shared" si="109"/>
        <v>5</v>
      </c>
      <c r="BN55" s="113">
        <f t="shared" si="109"/>
        <v>5</v>
      </c>
      <c r="BO55" s="113">
        <f t="shared" si="109"/>
        <v>5</v>
      </c>
      <c r="BP55" s="113">
        <f t="shared" si="109"/>
        <v>5</v>
      </c>
      <c r="BQ55" s="113">
        <f t="shared" si="109"/>
        <v>5</v>
      </c>
      <c r="BR55" s="113">
        <f t="shared" si="109"/>
        <v>5</v>
      </c>
      <c r="BS55" s="113">
        <f t="shared" si="109"/>
        <v>5</v>
      </c>
      <c r="BT55" s="113">
        <f t="shared" si="109"/>
        <v>5</v>
      </c>
      <c r="BU55" s="113">
        <f t="shared" ref="BU55:CP55" si="110">SUM(BU50:BU54)</f>
        <v>5</v>
      </c>
      <c r="BV55" s="113">
        <f t="shared" si="110"/>
        <v>5</v>
      </c>
      <c r="BW55" s="113">
        <f t="shared" si="110"/>
        <v>5</v>
      </c>
      <c r="BX55" s="113">
        <f t="shared" si="110"/>
        <v>5</v>
      </c>
      <c r="BY55" s="113">
        <f t="shared" si="110"/>
        <v>5</v>
      </c>
      <c r="BZ55" s="113">
        <f t="shared" si="110"/>
        <v>5</v>
      </c>
      <c r="CA55" s="113">
        <f t="shared" si="110"/>
        <v>30</v>
      </c>
      <c r="CB55" s="113">
        <f t="shared" si="110"/>
        <v>30</v>
      </c>
      <c r="CC55" s="113">
        <f t="shared" si="110"/>
        <v>30</v>
      </c>
      <c r="CD55" s="113">
        <f t="shared" si="110"/>
        <v>30</v>
      </c>
      <c r="CE55" s="113">
        <f t="shared" si="110"/>
        <v>5</v>
      </c>
      <c r="CF55" s="113">
        <f t="shared" si="110"/>
        <v>5</v>
      </c>
      <c r="CG55" s="113">
        <f t="shared" si="110"/>
        <v>0</v>
      </c>
      <c r="CH55" s="113">
        <f t="shared" si="110"/>
        <v>0</v>
      </c>
      <c r="CI55" s="113">
        <f t="shared" si="110"/>
        <v>0</v>
      </c>
      <c r="CJ55" s="113">
        <f t="shared" si="110"/>
        <v>0</v>
      </c>
      <c r="CK55" s="113">
        <f t="shared" si="110"/>
        <v>0</v>
      </c>
      <c r="CL55" s="113">
        <f t="shared" si="110"/>
        <v>0</v>
      </c>
      <c r="CM55" s="113">
        <f t="shared" si="110"/>
        <v>0</v>
      </c>
      <c r="CN55" s="113">
        <f t="shared" si="110"/>
        <v>0</v>
      </c>
      <c r="CO55" s="113">
        <f t="shared" si="110"/>
        <v>0</v>
      </c>
      <c r="CP55" s="113">
        <f t="shared" si="110"/>
        <v>0</v>
      </c>
      <c r="CQ55" s="122"/>
      <c r="CR55" s="122"/>
      <c r="CS55" s="113" t="e">
        <f t="shared" ref="CS55:DR55" si="111">SUM(CS50:CS54)</f>
        <v>#VALUE!</v>
      </c>
      <c r="CT55" s="113">
        <f t="shared" si="111"/>
        <v>0</v>
      </c>
      <c r="CU55" s="113">
        <f t="shared" si="111"/>
        <v>0</v>
      </c>
      <c r="CV55" s="113">
        <f t="shared" si="111"/>
        <v>0</v>
      </c>
      <c r="CW55" s="113">
        <f t="shared" si="111"/>
        <v>0</v>
      </c>
      <c r="CX55" s="113">
        <f t="shared" si="111"/>
        <v>0</v>
      </c>
      <c r="CY55" s="113">
        <f t="shared" si="111"/>
        <v>0</v>
      </c>
      <c r="CZ55" s="113">
        <f t="shared" si="111"/>
        <v>0</v>
      </c>
      <c r="DA55" s="113">
        <f t="shared" si="111"/>
        <v>0</v>
      </c>
      <c r="DB55" s="113">
        <f t="shared" si="111"/>
        <v>0</v>
      </c>
      <c r="DC55" s="113">
        <f t="shared" si="111"/>
        <v>0</v>
      </c>
      <c r="DD55" s="113">
        <f t="shared" si="111"/>
        <v>0</v>
      </c>
      <c r="DE55" s="113">
        <f t="shared" si="111"/>
        <v>0</v>
      </c>
      <c r="DF55" s="113">
        <f t="shared" si="111"/>
        <v>0</v>
      </c>
      <c r="DG55" s="113">
        <f t="shared" si="111"/>
        <v>0</v>
      </c>
      <c r="DH55" s="113">
        <f t="shared" si="111"/>
        <v>0</v>
      </c>
      <c r="DI55" s="113">
        <f t="shared" si="111"/>
        <v>0</v>
      </c>
      <c r="DJ55" s="113">
        <f t="shared" si="111"/>
        <v>0</v>
      </c>
      <c r="DK55" s="113">
        <f t="shared" si="111"/>
        <v>0</v>
      </c>
      <c r="DL55" s="113">
        <f t="shared" si="111"/>
        <v>0</v>
      </c>
      <c r="DM55" s="113">
        <f t="shared" si="111"/>
        <v>0</v>
      </c>
      <c r="DN55" s="113">
        <f t="shared" si="111"/>
        <v>0</v>
      </c>
      <c r="DO55" s="113">
        <f t="shared" si="111"/>
        <v>0</v>
      </c>
      <c r="DP55" s="113">
        <f t="shared" si="111"/>
        <v>0</v>
      </c>
      <c r="DQ55" s="113">
        <f t="shared" si="111"/>
        <v>0</v>
      </c>
      <c r="DR55" s="113">
        <f t="shared" si="111"/>
        <v>0</v>
      </c>
    </row>
    <row r="57" spans="1:124">
      <c r="A57" s="495" t="s">
        <v>76</v>
      </c>
      <c r="B57" s="502" t="str">
        <f>'BESS 12'!F321</f>
        <v>11 Sep
17 Sep</v>
      </c>
      <c r="C57" s="502" t="str">
        <f>'BESS 12'!G321</f>
        <v>16 Sep
22 Sep</v>
      </c>
      <c r="D57" s="114"/>
      <c r="E57" s="114" t="s">
        <v>10</v>
      </c>
      <c r="F57" s="115" t="s">
        <v>58</v>
      </c>
      <c r="G57" s="115" t="s">
        <v>59</v>
      </c>
      <c r="H57" s="115" t="s">
        <v>60</v>
      </c>
      <c r="I57" s="116">
        <v>46195</v>
      </c>
      <c r="J57" s="116">
        <v>46196</v>
      </c>
      <c r="K57" s="116">
        <v>46197</v>
      </c>
      <c r="L57" s="116">
        <f t="shared" ref="L57:AQ57" si="112">K57+1</f>
        <v>46198</v>
      </c>
      <c r="M57" s="116">
        <f t="shared" si="112"/>
        <v>46199</v>
      </c>
      <c r="N57" s="116">
        <f t="shared" si="112"/>
        <v>46200</v>
      </c>
      <c r="O57" s="116">
        <f t="shared" si="112"/>
        <v>46201</v>
      </c>
      <c r="P57" s="116">
        <f t="shared" si="112"/>
        <v>46202</v>
      </c>
      <c r="Q57" s="116">
        <f t="shared" si="112"/>
        <v>46203</v>
      </c>
      <c r="R57" s="116">
        <f t="shared" si="112"/>
        <v>46204</v>
      </c>
      <c r="S57" s="116">
        <f t="shared" si="112"/>
        <v>46205</v>
      </c>
      <c r="T57" s="116">
        <f t="shared" si="112"/>
        <v>46206</v>
      </c>
      <c r="U57" s="116">
        <f t="shared" si="112"/>
        <v>46207</v>
      </c>
      <c r="V57" s="116">
        <f t="shared" si="112"/>
        <v>46208</v>
      </c>
      <c r="W57" s="116">
        <f t="shared" si="112"/>
        <v>46209</v>
      </c>
      <c r="X57" s="116">
        <f t="shared" si="112"/>
        <v>46210</v>
      </c>
      <c r="Y57" s="116">
        <f t="shared" si="112"/>
        <v>46211</v>
      </c>
      <c r="Z57" s="116">
        <f t="shared" si="112"/>
        <v>46212</v>
      </c>
      <c r="AA57" s="116">
        <f t="shared" si="112"/>
        <v>46213</v>
      </c>
      <c r="AB57" s="116">
        <f t="shared" si="112"/>
        <v>46214</v>
      </c>
      <c r="AC57" s="116">
        <f t="shared" si="112"/>
        <v>46215</v>
      </c>
      <c r="AD57" s="116">
        <f t="shared" si="112"/>
        <v>46216</v>
      </c>
      <c r="AE57" s="116">
        <f t="shared" si="112"/>
        <v>46217</v>
      </c>
      <c r="AF57" s="116">
        <f t="shared" si="112"/>
        <v>46218</v>
      </c>
      <c r="AG57" s="116">
        <f t="shared" si="112"/>
        <v>46219</v>
      </c>
      <c r="AH57" s="116">
        <f t="shared" si="112"/>
        <v>46220</v>
      </c>
      <c r="AI57" s="116">
        <f t="shared" si="112"/>
        <v>46221</v>
      </c>
      <c r="AJ57" s="116">
        <f t="shared" si="112"/>
        <v>46222</v>
      </c>
      <c r="AK57" s="116">
        <f t="shared" si="112"/>
        <v>46223</v>
      </c>
      <c r="AL57" s="116">
        <f t="shared" si="112"/>
        <v>46224</v>
      </c>
      <c r="AM57" s="116">
        <f t="shared" si="112"/>
        <v>46225</v>
      </c>
      <c r="AN57" s="116">
        <f t="shared" si="112"/>
        <v>46226</v>
      </c>
      <c r="AO57" s="116">
        <f t="shared" si="112"/>
        <v>46227</v>
      </c>
      <c r="AP57" s="116">
        <f t="shared" si="112"/>
        <v>46228</v>
      </c>
      <c r="AQ57" s="116">
        <f t="shared" si="112"/>
        <v>46229</v>
      </c>
      <c r="AR57" s="116">
        <f t="shared" ref="AR57:BW57" si="113">AQ57+1</f>
        <v>46230</v>
      </c>
      <c r="AS57" s="116">
        <f t="shared" si="113"/>
        <v>46231</v>
      </c>
      <c r="AT57" s="116">
        <f t="shared" si="113"/>
        <v>46232</v>
      </c>
      <c r="AU57" s="116">
        <f t="shared" si="113"/>
        <v>46233</v>
      </c>
      <c r="AV57" s="116">
        <f t="shared" si="113"/>
        <v>46234</v>
      </c>
      <c r="AW57" s="116">
        <f t="shared" si="113"/>
        <v>46235</v>
      </c>
      <c r="AX57" s="116">
        <f t="shared" si="113"/>
        <v>46236</v>
      </c>
      <c r="AY57" s="116">
        <f t="shared" si="113"/>
        <v>46237</v>
      </c>
      <c r="AZ57" s="116">
        <f t="shared" si="113"/>
        <v>46238</v>
      </c>
      <c r="BA57" s="116">
        <f t="shared" si="113"/>
        <v>46239</v>
      </c>
      <c r="BB57" s="116">
        <f t="shared" si="113"/>
        <v>46240</v>
      </c>
      <c r="BC57" s="116">
        <f t="shared" si="113"/>
        <v>46241</v>
      </c>
      <c r="BD57" s="116">
        <f t="shared" si="113"/>
        <v>46242</v>
      </c>
      <c r="BE57" s="116">
        <f t="shared" si="113"/>
        <v>46243</v>
      </c>
      <c r="BF57" s="116">
        <f t="shared" si="113"/>
        <v>46244</v>
      </c>
      <c r="BG57" s="116">
        <f t="shared" si="113"/>
        <v>46245</v>
      </c>
      <c r="BH57" s="116">
        <f t="shared" si="113"/>
        <v>46246</v>
      </c>
      <c r="BI57" s="116">
        <f t="shared" si="113"/>
        <v>46247</v>
      </c>
      <c r="BJ57" s="116">
        <f t="shared" si="113"/>
        <v>46248</v>
      </c>
      <c r="BK57" s="116">
        <f t="shared" si="113"/>
        <v>46249</v>
      </c>
      <c r="BL57" s="116">
        <f t="shared" si="113"/>
        <v>46250</v>
      </c>
      <c r="BM57" s="116">
        <f t="shared" si="113"/>
        <v>46251</v>
      </c>
      <c r="BN57" s="116">
        <f t="shared" si="113"/>
        <v>46252</v>
      </c>
      <c r="BO57" s="116">
        <f t="shared" si="113"/>
        <v>46253</v>
      </c>
      <c r="BP57" s="116">
        <f t="shared" si="113"/>
        <v>46254</v>
      </c>
      <c r="BQ57" s="116">
        <f t="shared" si="113"/>
        <v>46255</v>
      </c>
      <c r="BR57" s="116">
        <f t="shared" si="113"/>
        <v>46256</v>
      </c>
      <c r="BS57" s="116">
        <f t="shared" si="113"/>
        <v>46257</v>
      </c>
      <c r="BT57" s="116">
        <f t="shared" si="113"/>
        <v>46258</v>
      </c>
      <c r="BU57" s="116">
        <f t="shared" si="113"/>
        <v>46259</v>
      </c>
      <c r="BV57" s="116">
        <f t="shared" si="113"/>
        <v>46260</v>
      </c>
      <c r="BW57" s="116">
        <f t="shared" si="113"/>
        <v>46261</v>
      </c>
      <c r="BX57" s="116">
        <f t="shared" ref="BX57:CP57" si="114">BW57+1</f>
        <v>46262</v>
      </c>
      <c r="BY57" s="116">
        <f t="shared" si="114"/>
        <v>46263</v>
      </c>
      <c r="BZ57" s="116">
        <f t="shared" si="114"/>
        <v>46264</v>
      </c>
      <c r="CA57" s="116">
        <f t="shared" si="114"/>
        <v>46265</v>
      </c>
      <c r="CB57" s="116">
        <f t="shared" si="114"/>
        <v>46266</v>
      </c>
      <c r="CC57" s="116">
        <f t="shared" si="114"/>
        <v>46267</v>
      </c>
      <c r="CD57" s="116">
        <f t="shared" si="114"/>
        <v>46268</v>
      </c>
      <c r="CE57" s="116">
        <f t="shared" si="114"/>
        <v>46269</v>
      </c>
      <c r="CF57" s="116">
        <f t="shared" si="114"/>
        <v>46270</v>
      </c>
      <c r="CG57" s="116">
        <f t="shared" si="114"/>
        <v>46271</v>
      </c>
      <c r="CH57" s="116">
        <f t="shared" si="114"/>
        <v>46272</v>
      </c>
      <c r="CI57" s="116">
        <f t="shared" si="114"/>
        <v>46273</v>
      </c>
      <c r="CJ57" s="116">
        <f t="shared" si="114"/>
        <v>46274</v>
      </c>
      <c r="CK57" s="116">
        <f t="shared" si="114"/>
        <v>46275</v>
      </c>
      <c r="CL57" s="116">
        <f t="shared" si="114"/>
        <v>46276</v>
      </c>
      <c r="CM57" s="116">
        <f t="shared" si="114"/>
        <v>46277</v>
      </c>
      <c r="CN57" s="116">
        <f t="shared" si="114"/>
        <v>46278</v>
      </c>
      <c r="CO57" s="116">
        <f t="shared" si="114"/>
        <v>46279</v>
      </c>
      <c r="CP57" s="116">
        <f t="shared" si="114"/>
        <v>46280</v>
      </c>
      <c r="CS57" s="116">
        <f t="shared" ref="CS57:DT57" si="115">CR57+1</f>
        <v>1</v>
      </c>
      <c r="CT57" s="116">
        <f t="shared" si="115"/>
        <v>2</v>
      </c>
      <c r="CU57" s="116">
        <f t="shared" si="115"/>
        <v>3</v>
      </c>
      <c r="CV57" s="116">
        <f t="shared" si="115"/>
        <v>4</v>
      </c>
      <c r="CW57" s="116">
        <f t="shared" si="115"/>
        <v>5</v>
      </c>
      <c r="CX57" s="116">
        <f t="shared" si="115"/>
        <v>6</v>
      </c>
      <c r="CY57" s="116">
        <f t="shared" si="115"/>
        <v>7</v>
      </c>
      <c r="CZ57" s="116">
        <f t="shared" si="115"/>
        <v>8</v>
      </c>
      <c r="DA57" s="116">
        <f t="shared" si="115"/>
        <v>9</v>
      </c>
      <c r="DB57" s="116">
        <f t="shared" si="115"/>
        <v>10</v>
      </c>
      <c r="DC57" s="116">
        <f t="shared" si="115"/>
        <v>11</v>
      </c>
      <c r="DD57" s="116">
        <f t="shared" si="115"/>
        <v>12</v>
      </c>
      <c r="DE57" s="116">
        <f t="shared" si="115"/>
        <v>13</v>
      </c>
      <c r="DF57" s="116">
        <f t="shared" si="115"/>
        <v>14</v>
      </c>
      <c r="DG57" s="116">
        <f t="shared" si="115"/>
        <v>15</v>
      </c>
      <c r="DH57" s="116">
        <f t="shared" si="115"/>
        <v>16</v>
      </c>
      <c r="DI57" s="116">
        <f t="shared" si="115"/>
        <v>17</v>
      </c>
      <c r="DJ57" s="116">
        <f t="shared" si="115"/>
        <v>18</v>
      </c>
      <c r="DK57" s="116">
        <f t="shared" si="115"/>
        <v>19</v>
      </c>
      <c r="DL57" s="116">
        <f t="shared" si="115"/>
        <v>20</v>
      </c>
      <c r="DM57" s="116">
        <f t="shared" si="115"/>
        <v>21</v>
      </c>
      <c r="DN57" s="116">
        <f t="shared" si="115"/>
        <v>22</v>
      </c>
      <c r="DO57" s="116">
        <f t="shared" si="115"/>
        <v>23</v>
      </c>
      <c r="DP57" s="116">
        <f t="shared" si="115"/>
        <v>24</v>
      </c>
      <c r="DQ57" s="116">
        <f t="shared" si="115"/>
        <v>25</v>
      </c>
      <c r="DR57" s="116">
        <f t="shared" si="115"/>
        <v>26</v>
      </c>
      <c r="DS57" s="116">
        <f t="shared" si="115"/>
        <v>27</v>
      </c>
      <c r="DT57" s="116">
        <f t="shared" si="115"/>
        <v>28</v>
      </c>
    </row>
    <row r="58" spans="1:124">
      <c r="A58" s="495"/>
      <c r="B58" s="502"/>
      <c r="C58" s="502"/>
      <c r="D58" s="467" t="str">
        <f>'BESS 12'!H321</f>
        <v>19 Sep
25 Sep</v>
      </c>
      <c r="E58" s="109" t="s">
        <v>64</v>
      </c>
      <c r="F58" s="102" t="e">
        <f>SUM('BESS 12'!S334:S341,'BESS 12'!S343)</f>
        <v>#VALUE!</v>
      </c>
      <c r="G58" s="101">
        <f>MAX('BESS 11'!O335:O342,'BESS 11'!O344)-MIN('BESS 11'!O335:O342,'BESS 11'!O344)+1</f>
        <v>37</v>
      </c>
      <c r="H58" s="110">
        <f>MIN('BESS 11'!O335:O342,'BESS 11'!O344)</f>
        <v>46239</v>
      </c>
      <c r="I58" s="101" t="str">
        <f t="shared" ref="I58:R61" si="116">IF(AND(I$1&gt;=$H58,I$1&lt;($H58+$G58)),ROUND($F58/$G58,0),"-")</f>
        <v>-</v>
      </c>
      <c r="J58" s="101" t="str">
        <f t="shared" si="116"/>
        <v>-</v>
      </c>
      <c r="K58" s="101" t="str">
        <f t="shared" si="116"/>
        <v>-</v>
      </c>
      <c r="L58" s="101" t="str">
        <f t="shared" si="116"/>
        <v>-</v>
      </c>
      <c r="M58" s="101" t="str">
        <f t="shared" si="116"/>
        <v>-</v>
      </c>
      <c r="N58" s="101" t="str">
        <f t="shared" si="116"/>
        <v>-</v>
      </c>
      <c r="O58" s="101" t="str">
        <f t="shared" si="116"/>
        <v>-</v>
      </c>
      <c r="P58" s="101" t="str">
        <f t="shared" si="116"/>
        <v>-</v>
      </c>
      <c r="Q58" s="101" t="str">
        <f t="shared" si="116"/>
        <v>-</v>
      </c>
      <c r="R58" s="101" t="str">
        <f t="shared" si="116"/>
        <v>-</v>
      </c>
      <c r="S58" s="101" t="str">
        <f t="shared" ref="S58:AB61" si="117">IF(AND(S$1&gt;=$H58,S$1&lt;($H58+$G58)),ROUND($F58/$G58,0),"-")</f>
        <v>-</v>
      </c>
      <c r="T58" s="101" t="str">
        <f t="shared" si="117"/>
        <v>-</v>
      </c>
      <c r="U58" s="101" t="str">
        <f t="shared" si="117"/>
        <v>-</v>
      </c>
      <c r="V58" s="101" t="str">
        <f t="shared" si="117"/>
        <v>-</v>
      </c>
      <c r="W58" s="101" t="str">
        <f t="shared" si="117"/>
        <v>-</v>
      </c>
      <c r="X58" s="101" t="str">
        <f t="shared" si="117"/>
        <v>-</v>
      </c>
      <c r="Y58" s="101" t="str">
        <f t="shared" si="117"/>
        <v>-</v>
      </c>
      <c r="Z58" s="101" t="str">
        <f t="shared" si="117"/>
        <v>-</v>
      </c>
      <c r="AA58" s="101" t="str">
        <f t="shared" si="117"/>
        <v>-</v>
      </c>
      <c r="AB58" s="101" t="str">
        <f t="shared" si="117"/>
        <v>-</v>
      </c>
      <c r="AC58" s="101" t="str">
        <f t="shared" ref="AC58:AL61" si="118">IF(AND(AC$1&gt;=$H58,AC$1&lt;($H58+$G58)),ROUND($F58/$G58,0),"-")</f>
        <v>-</v>
      </c>
      <c r="AD58" s="101" t="str">
        <f t="shared" si="118"/>
        <v>-</v>
      </c>
      <c r="AE58" s="101" t="str">
        <f t="shared" si="118"/>
        <v>-</v>
      </c>
      <c r="AF58" s="101" t="str">
        <f t="shared" si="118"/>
        <v>-</v>
      </c>
      <c r="AG58" s="101" t="str">
        <f t="shared" si="118"/>
        <v>-</v>
      </c>
      <c r="AH58" s="101" t="str">
        <f t="shared" si="118"/>
        <v>-</v>
      </c>
      <c r="AI58" s="101" t="str">
        <f t="shared" si="118"/>
        <v>-</v>
      </c>
      <c r="AJ58" s="101" t="str">
        <f t="shared" si="118"/>
        <v>-</v>
      </c>
      <c r="AK58" s="101" t="str">
        <f t="shared" si="118"/>
        <v>-</v>
      </c>
      <c r="AL58" s="101" t="str">
        <f t="shared" si="118"/>
        <v>-</v>
      </c>
      <c r="AM58" s="101" t="str">
        <f t="shared" ref="AM58:AV61" si="119">IF(AND(AM$1&gt;=$H58,AM$1&lt;($H58+$G58)),ROUND($F58/$G58,0),"-")</f>
        <v>-</v>
      </c>
      <c r="AN58" s="101" t="str">
        <f t="shared" si="119"/>
        <v>-</v>
      </c>
      <c r="AO58" s="101" t="str">
        <f t="shared" si="119"/>
        <v>-</v>
      </c>
      <c r="AP58" s="101" t="str">
        <f t="shared" si="119"/>
        <v>-</v>
      </c>
      <c r="AQ58" s="101" t="str">
        <f t="shared" si="119"/>
        <v>-</v>
      </c>
      <c r="AR58" s="101" t="str">
        <f t="shared" si="119"/>
        <v>-</v>
      </c>
      <c r="AS58" s="101" t="str">
        <f t="shared" si="119"/>
        <v>-</v>
      </c>
      <c r="AT58" s="101" t="str">
        <f t="shared" si="119"/>
        <v>-</v>
      </c>
      <c r="AU58" s="101" t="str">
        <f t="shared" si="119"/>
        <v>-</v>
      </c>
      <c r="AV58" s="101" t="str">
        <f t="shared" si="119"/>
        <v>-</v>
      </c>
      <c r="AW58" s="101" t="str">
        <f t="shared" ref="AW58:BF61" si="120">IF(AND(AW$1&gt;=$H58,AW$1&lt;($H58+$G58)),ROUND($F58/$G58,0),"-")</f>
        <v>-</v>
      </c>
      <c r="AX58" s="101" t="str">
        <f t="shared" si="120"/>
        <v>-</v>
      </c>
      <c r="AY58" s="101" t="str">
        <f t="shared" si="120"/>
        <v>-</v>
      </c>
      <c r="AZ58" s="101" t="str">
        <f t="shared" si="120"/>
        <v>-</v>
      </c>
      <c r="BA58" s="101" t="str">
        <f t="shared" si="120"/>
        <v>-</v>
      </c>
      <c r="BB58" s="101" t="str">
        <f t="shared" si="120"/>
        <v>-</v>
      </c>
      <c r="BC58" s="101" t="str">
        <f t="shared" si="120"/>
        <v>-</v>
      </c>
      <c r="BD58" s="101" t="str">
        <f t="shared" si="120"/>
        <v>-</v>
      </c>
      <c r="BE58" s="101" t="str">
        <f t="shared" si="120"/>
        <v>-</v>
      </c>
      <c r="BF58" s="101" t="str">
        <f t="shared" si="120"/>
        <v>-</v>
      </c>
      <c r="BG58" s="101" t="str">
        <f t="shared" ref="BG58:BP61" si="121">IF(AND(BG$1&gt;=$H58,BG$1&lt;($H58+$G58)),ROUND($F58/$G58,0),"-")</f>
        <v>-</v>
      </c>
      <c r="BH58" s="101" t="str">
        <f t="shared" si="121"/>
        <v>-</v>
      </c>
      <c r="BI58" s="101" t="str">
        <f t="shared" si="121"/>
        <v>-</v>
      </c>
      <c r="BJ58" s="101" t="str">
        <f t="shared" si="121"/>
        <v>-</v>
      </c>
      <c r="BK58" s="101" t="str">
        <f t="shared" si="121"/>
        <v>-</v>
      </c>
      <c r="BL58" s="101" t="str">
        <f t="shared" si="121"/>
        <v>-</v>
      </c>
      <c r="BM58" s="101" t="str">
        <f t="shared" si="121"/>
        <v>-</v>
      </c>
      <c r="BN58" s="101" t="str">
        <f t="shared" si="121"/>
        <v>-</v>
      </c>
      <c r="BO58" s="101" t="str">
        <f t="shared" si="121"/>
        <v>-</v>
      </c>
      <c r="BP58" s="101" t="str">
        <f t="shared" si="121"/>
        <v>-</v>
      </c>
      <c r="BQ58" s="101" t="str">
        <f t="shared" ref="BQ58:BZ61" si="122">IF(AND(BQ$1&gt;=$H58,BQ$1&lt;($H58+$G58)),ROUND($F58/$G58,0),"-")</f>
        <v>-</v>
      </c>
      <c r="BR58" s="101" t="str">
        <f t="shared" si="122"/>
        <v>-</v>
      </c>
      <c r="BS58" s="101" t="str">
        <f t="shared" si="122"/>
        <v>-</v>
      </c>
      <c r="BT58" s="101" t="str">
        <f t="shared" si="122"/>
        <v>-</v>
      </c>
      <c r="BU58" s="101" t="str">
        <f t="shared" si="122"/>
        <v>-</v>
      </c>
      <c r="BV58" s="101" t="str">
        <f t="shared" si="122"/>
        <v>-</v>
      </c>
      <c r="BW58" s="101" t="str">
        <f t="shared" si="122"/>
        <v>-</v>
      </c>
      <c r="BX58" s="101" t="str">
        <f t="shared" si="122"/>
        <v>-</v>
      </c>
      <c r="BY58" s="101" t="str">
        <f t="shared" si="122"/>
        <v>-</v>
      </c>
      <c r="BZ58" s="101" t="str">
        <f t="shared" si="122"/>
        <v>-</v>
      </c>
      <c r="CA58" s="101" t="str">
        <f t="shared" ref="CA58:CJ61" si="123">IF(AND(CA$1&gt;=$H58,CA$1&lt;($H58+$G58)),ROUND($F58/$G58,0),"-")</f>
        <v>-</v>
      </c>
      <c r="CB58" s="101" t="str">
        <f t="shared" si="123"/>
        <v>-</v>
      </c>
      <c r="CC58" s="101" t="str">
        <f t="shared" si="123"/>
        <v>-</v>
      </c>
      <c r="CD58" s="101" t="str">
        <f t="shared" si="123"/>
        <v>-</v>
      </c>
      <c r="CE58" s="101" t="str">
        <f t="shared" si="123"/>
        <v>-</v>
      </c>
      <c r="CF58" s="101" t="str">
        <f t="shared" si="123"/>
        <v>-</v>
      </c>
      <c r="CG58" s="101" t="str">
        <f t="shared" si="123"/>
        <v>-</v>
      </c>
      <c r="CH58" s="101" t="str">
        <f t="shared" si="123"/>
        <v>-</v>
      </c>
      <c r="CI58" s="101" t="str">
        <f t="shared" si="123"/>
        <v>-</v>
      </c>
      <c r="CJ58" s="101" t="str">
        <f t="shared" si="123"/>
        <v>-</v>
      </c>
      <c r="CK58" s="101" t="str">
        <f t="shared" ref="CK58:CP61" si="124">IF(AND(CK$1&gt;=$H58,CK$1&lt;($H58+$G58)),ROUND($F58/$G58,0),"-")</f>
        <v>-</v>
      </c>
      <c r="CL58" s="101" t="str">
        <f t="shared" si="124"/>
        <v>-</v>
      </c>
      <c r="CM58" s="101" t="str">
        <f t="shared" si="124"/>
        <v>-</v>
      </c>
      <c r="CN58" s="101" t="str">
        <f t="shared" si="124"/>
        <v>-</v>
      </c>
      <c r="CO58" s="101" t="str">
        <f t="shared" si="124"/>
        <v>-</v>
      </c>
      <c r="CP58" s="101" t="str">
        <f t="shared" si="124"/>
        <v>-</v>
      </c>
      <c r="CS58" s="101" t="e">
        <f t="shared" ref="CS58:DB61" si="125">IF(AND(CS$1&gt;=$H58,CS$1&lt;($H58+$G58)),ROUND($F58/$G58,0),"-")</f>
        <v>#VALUE!</v>
      </c>
      <c r="CT58" s="101" t="str">
        <f t="shared" si="125"/>
        <v>-</v>
      </c>
      <c r="CU58" s="101" t="str">
        <f t="shared" si="125"/>
        <v>-</v>
      </c>
      <c r="CV58" s="101" t="str">
        <f t="shared" si="125"/>
        <v>-</v>
      </c>
      <c r="CW58" s="101" t="str">
        <f t="shared" si="125"/>
        <v>-</v>
      </c>
      <c r="CX58" s="101" t="str">
        <f t="shared" si="125"/>
        <v>-</v>
      </c>
      <c r="CY58" s="101" t="str">
        <f t="shared" si="125"/>
        <v>-</v>
      </c>
      <c r="CZ58" s="101" t="str">
        <f t="shared" si="125"/>
        <v>-</v>
      </c>
      <c r="DA58" s="101" t="str">
        <f t="shared" si="125"/>
        <v>-</v>
      </c>
      <c r="DB58" s="101" t="str">
        <f t="shared" si="125"/>
        <v>-</v>
      </c>
      <c r="DC58" s="101" t="str">
        <f t="shared" ref="DC58:DL61" si="126">IF(AND(DC$1&gt;=$H58,DC$1&lt;($H58+$G58)),ROUND($F58/$G58,0),"-")</f>
        <v>-</v>
      </c>
      <c r="DD58" s="101" t="str">
        <f t="shared" si="126"/>
        <v>-</v>
      </c>
      <c r="DE58" s="101" t="str">
        <f t="shared" si="126"/>
        <v>-</v>
      </c>
      <c r="DF58" s="101" t="str">
        <f t="shared" si="126"/>
        <v>-</v>
      </c>
      <c r="DG58" s="101" t="str">
        <f t="shared" si="126"/>
        <v>-</v>
      </c>
      <c r="DH58" s="101" t="str">
        <f t="shared" si="126"/>
        <v>-</v>
      </c>
      <c r="DI58" s="101" t="str">
        <f t="shared" si="126"/>
        <v>-</v>
      </c>
      <c r="DJ58" s="101" t="str">
        <f t="shared" si="126"/>
        <v>-</v>
      </c>
      <c r="DK58" s="101" t="str">
        <f t="shared" si="126"/>
        <v>-</v>
      </c>
      <c r="DL58" s="101" t="str">
        <f t="shared" si="126"/>
        <v>-</v>
      </c>
      <c r="DM58" s="101" t="str">
        <f t="shared" ref="DM58:DT61" si="127">IF(AND(DM$1&gt;=$H58,DM$1&lt;($H58+$G58)),ROUND($F58/$G58,0),"-")</f>
        <v>-</v>
      </c>
      <c r="DN58" s="101" t="str">
        <f t="shared" si="127"/>
        <v>-</v>
      </c>
      <c r="DO58" s="101" t="str">
        <f t="shared" si="127"/>
        <v>-</v>
      </c>
      <c r="DP58" s="101" t="str">
        <f t="shared" si="127"/>
        <v>-</v>
      </c>
      <c r="DQ58" s="101" t="str">
        <f t="shared" si="127"/>
        <v>-</v>
      </c>
      <c r="DR58" s="101" t="str">
        <f t="shared" si="127"/>
        <v>-</v>
      </c>
      <c r="DS58" s="101" t="str">
        <f t="shared" si="127"/>
        <v>-</v>
      </c>
      <c r="DT58" s="101" t="str">
        <f t="shared" si="127"/>
        <v>-</v>
      </c>
    </row>
    <row r="59" spans="1:124">
      <c r="A59" s="495"/>
      <c r="B59" s="502"/>
      <c r="C59" s="502"/>
      <c r="D59" s="466"/>
      <c r="E59" s="109" t="s">
        <v>65</v>
      </c>
      <c r="F59" s="102" t="e">
        <f>SUM('BESS 12'!S344,'BESS 12'!S346:S347,'BESS 12'!S350:S352)</f>
        <v>#VALUE!</v>
      </c>
      <c r="G59" s="101">
        <f>MAX('BESS 11'!O345,'BESS 11'!O347:O348,'BESS 11'!O351:O353)-MIN('BESS 11'!O345,'BESS 11'!O347:O348,'BESS 11'!O351:O353)+1</f>
        <v>11</v>
      </c>
      <c r="H59" s="110">
        <f>MIN('BESS 11'!O345,'BESS 11'!O347:O348,'BESS 11'!O351:O353)</f>
        <v>46246</v>
      </c>
      <c r="I59" s="101" t="str">
        <f t="shared" si="116"/>
        <v>-</v>
      </c>
      <c r="J59" s="101" t="str">
        <f t="shared" si="116"/>
        <v>-</v>
      </c>
      <c r="K59" s="101" t="str">
        <f t="shared" si="116"/>
        <v>-</v>
      </c>
      <c r="L59" s="101" t="str">
        <f t="shared" si="116"/>
        <v>-</v>
      </c>
      <c r="M59" s="101" t="str">
        <f t="shared" si="116"/>
        <v>-</v>
      </c>
      <c r="N59" s="101" t="str">
        <f t="shared" si="116"/>
        <v>-</v>
      </c>
      <c r="O59" s="101" t="str">
        <f t="shared" si="116"/>
        <v>-</v>
      </c>
      <c r="P59" s="101" t="str">
        <f t="shared" si="116"/>
        <v>-</v>
      </c>
      <c r="Q59" s="101" t="str">
        <f t="shared" si="116"/>
        <v>-</v>
      </c>
      <c r="R59" s="101" t="str">
        <f t="shared" si="116"/>
        <v>-</v>
      </c>
      <c r="S59" s="101" t="str">
        <f t="shared" si="117"/>
        <v>-</v>
      </c>
      <c r="T59" s="101" t="str">
        <f t="shared" si="117"/>
        <v>-</v>
      </c>
      <c r="U59" s="101" t="str">
        <f t="shared" si="117"/>
        <v>-</v>
      </c>
      <c r="V59" s="101" t="str">
        <f t="shared" si="117"/>
        <v>-</v>
      </c>
      <c r="W59" s="101" t="str">
        <f t="shared" si="117"/>
        <v>-</v>
      </c>
      <c r="X59" s="101" t="str">
        <f t="shared" si="117"/>
        <v>-</v>
      </c>
      <c r="Y59" s="101" t="str">
        <f t="shared" si="117"/>
        <v>-</v>
      </c>
      <c r="Z59" s="101" t="str">
        <f t="shared" si="117"/>
        <v>-</v>
      </c>
      <c r="AA59" s="101" t="str">
        <f t="shared" si="117"/>
        <v>-</v>
      </c>
      <c r="AB59" s="101" t="str">
        <f t="shared" si="117"/>
        <v>-</v>
      </c>
      <c r="AC59" s="101" t="str">
        <f t="shared" si="118"/>
        <v>-</v>
      </c>
      <c r="AD59" s="101" t="str">
        <f t="shared" si="118"/>
        <v>-</v>
      </c>
      <c r="AE59" s="101" t="str">
        <f t="shared" si="118"/>
        <v>-</v>
      </c>
      <c r="AF59" s="101" t="str">
        <f t="shared" si="118"/>
        <v>-</v>
      </c>
      <c r="AG59" s="101" t="str">
        <f t="shared" si="118"/>
        <v>-</v>
      </c>
      <c r="AH59" s="101" t="str">
        <f t="shared" si="118"/>
        <v>-</v>
      </c>
      <c r="AI59" s="101" t="str">
        <f t="shared" si="118"/>
        <v>-</v>
      </c>
      <c r="AJ59" s="101" t="str">
        <f t="shared" si="118"/>
        <v>-</v>
      </c>
      <c r="AK59" s="101" t="str">
        <f t="shared" si="118"/>
        <v>-</v>
      </c>
      <c r="AL59" s="101" t="str">
        <f t="shared" si="118"/>
        <v>-</v>
      </c>
      <c r="AM59" s="101" t="str">
        <f t="shared" si="119"/>
        <v>-</v>
      </c>
      <c r="AN59" s="101" t="str">
        <f t="shared" si="119"/>
        <v>-</v>
      </c>
      <c r="AO59" s="101" t="str">
        <f t="shared" si="119"/>
        <v>-</v>
      </c>
      <c r="AP59" s="101" t="str">
        <f t="shared" si="119"/>
        <v>-</v>
      </c>
      <c r="AQ59" s="101" t="str">
        <f t="shared" si="119"/>
        <v>-</v>
      </c>
      <c r="AR59" s="101" t="str">
        <f t="shared" si="119"/>
        <v>-</v>
      </c>
      <c r="AS59" s="101" t="str">
        <f t="shared" si="119"/>
        <v>-</v>
      </c>
      <c r="AT59" s="101" t="str">
        <f t="shared" si="119"/>
        <v>-</v>
      </c>
      <c r="AU59" s="101" t="str">
        <f t="shared" si="119"/>
        <v>-</v>
      </c>
      <c r="AV59" s="101" t="str">
        <f t="shared" si="119"/>
        <v>-</v>
      </c>
      <c r="AW59" s="101" t="str">
        <f t="shared" si="120"/>
        <v>-</v>
      </c>
      <c r="AX59" s="101" t="str">
        <f t="shared" si="120"/>
        <v>-</v>
      </c>
      <c r="AY59" s="101" t="str">
        <f t="shared" si="120"/>
        <v>-</v>
      </c>
      <c r="AZ59" s="101" t="str">
        <f t="shared" si="120"/>
        <v>-</v>
      </c>
      <c r="BA59" s="101" t="str">
        <f t="shared" si="120"/>
        <v>-</v>
      </c>
      <c r="BB59" s="101" t="str">
        <f t="shared" si="120"/>
        <v>-</v>
      </c>
      <c r="BC59" s="101" t="str">
        <f t="shared" si="120"/>
        <v>-</v>
      </c>
      <c r="BD59" s="101" t="str">
        <f t="shared" si="120"/>
        <v>-</v>
      </c>
      <c r="BE59" s="101" t="str">
        <f t="shared" si="120"/>
        <v>-</v>
      </c>
      <c r="BF59" s="101" t="str">
        <f t="shared" si="120"/>
        <v>-</v>
      </c>
      <c r="BG59" s="101" t="str">
        <f t="shared" si="121"/>
        <v>-</v>
      </c>
      <c r="BH59" s="101" t="str">
        <f t="shared" si="121"/>
        <v>-</v>
      </c>
      <c r="BI59" s="101" t="str">
        <f t="shared" si="121"/>
        <v>-</v>
      </c>
      <c r="BJ59" s="101" t="str">
        <f t="shared" si="121"/>
        <v>-</v>
      </c>
      <c r="BK59" s="101" t="str">
        <f t="shared" si="121"/>
        <v>-</v>
      </c>
      <c r="BL59" s="101" t="str">
        <f t="shared" si="121"/>
        <v>-</v>
      </c>
      <c r="BM59" s="101" t="str">
        <f t="shared" si="121"/>
        <v>-</v>
      </c>
      <c r="BN59" s="101" t="str">
        <f t="shared" si="121"/>
        <v>-</v>
      </c>
      <c r="BO59" s="101" t="str">
        <f t="shared" si="121"/>
        <v>-</v>
      </c>
      <c r="BP59" s="101" t="str">
        <f t="shared" si="121"/>
        <v>-</v>
      </c>
      <c r="BQ59" s="101" t="str">
        <f t="shared" si="122"/>
        <v>-</v>
      </c>
      <c r="BR59" s="101" t="str">
        <f t="shared" si="122"/>
        <v>-</v>
      </c>
      <c r="BS59" s="101" t="str">
        <f t="shared" si="122"/>
        <v>-</v>
      </c>
      <c r="BT59" s="101" t="str">
        <f t="shared" si="122"/>
        <v>-</v>
      </c>
      <c r="BU59" s="101" t="str">
        <f t="shared" si="122"/>
        <v>-</v>
      </c>
      <c r="BV59" s="101" t="str">
        <f t="shared" si="122"/>
        <v>-</v>
      </c>
      <c r="BW59" s="101" t="str">
        <f t="shared" si="122"/>
        <v>-</v>
      </c>
      <c r="BX59" s="101" t="str">
        <f t="shared" si="122"/>
        <v>-</v>
      </c>
      <c r="BY59" s="101" t="str">
        <f t="shared" si="122"/>
        <v>-</v>
      </c>
      <c r="BZ59" s="101" t="str">
        <f t="shared" si="122"/>
        <v>-</v>
      </c>
      <c r="CA59" s="101" t="str">
        <f t="shared" si="123"/>
        <v>-</v>
      </c>
      <c r="CB59" s="101" t="str">
        <f t="shared" si="123"/>
        <v>-</v>
      </c>
      <c r="CC59" s="101" t="str">
        <f t="shared" si="123"/>
        <v>-</v>
      </c>
      <c r="CD59" s="101" t="str">
        <f t="shared" si="123"/>
        <v>-</v>
      </c>
      <c r="CE59" s="101" t="str">
        <f t="shared" si="123"/>
        <v>-</v>
      </c>
      <c r="CF59" s="101" t="str">
        <f t="shared" si="123"/>
        <v>-</v>
      </c>
      <c r="CG59" s="101" t="str">
        <f t="shared" si="123"/>
        <v>-</v>
      </c>
      <c r="CH59" s="101" t="str">
        <f t="shared" si="123"/>
        <v>-</v>
      </c>
      <c r="CI59" s="101" t="str">
        <f t="shared" si="123"/>
        <v>-</v>
      </c>
      <c r="CJ59" s="101" t="str">
        <f t="shared" si="123"/>
        <v>-</v>
      </c>
      <c r="CK59" s="101" t="str">
        <f t="shared" si="124"/>
        <v>-</v>
      </c>
      <c r="CL59" s="101" t="str">
        <f t="shared" si="124"/>
        <v>-</v>
      </c>
      <c r="CM59" s="101" t="str">
        <f t="shared" si="124"/>
        <v>-</v>
      </c>
      <c r="CN59" s="101" t="str">
        <f t="shared" si="124"/>
        <v>-</v>
      </c>
      <c r="CO59" s="101" t="str">
        <f t="shared" si="124"/>
        <v>-</v>
      </c>
      <c r="CP59" s="101" t="str">
        <f t="shared" si="124"/>
        <v>-</v>
      </c>
      <c r="CS59" s="101" t="e">
        <f t="shared" si="125"/>
        <v>#VALUE!</v>
      </c>
      <c r="CT59" s="101" t="str">
        <f t="shared" si="125"/>
        <v>-</v>
      </c>
      <c r="CU59" s="101" t="str">
        <f t="shared" si="125"/>
        <v>-</v>
      </c>
      <c r="CV59" s="101" t="str">
        <f t="shared" si="125"/>
        <v>-</v>
      </c>
      <c r="CW59" s="101" t="str">
        <f t="shared" si="125"/>
        <v>-</v>
      </c>
      <c r="CX59" s="101" t="str">
        <f t="shared" si="125"/>
        <v>-</v>
      </c>
      <c r="CY59" s="101" t="str">
        <f t="shared" si="125"/>
        <v>-</v>
      </c>
      <c r="CZ59" s="101" t="str">
        <f t="shared" si="125"/>
        <v>-</v>
      </c>
      <c r="DA59" s="101" t="str">
        <f t="shared" si="125"/>
        <v>-</v>
      </c>
      <c r="DB59" s="101" t="str">
        <f t="shared" si="125"/>
        <v>-</v>
      </c>
      <c r="DC59" s="101" t="str">
        <f t="shared" si="126"/>
        <v>-</v>
      </c>
      <c r="DD59" s="101" t="str">
        <f t="shared" si="126"/>
        <v>-</v>
      </c>
      <c r="DE59" s="101" t="str">
        <f t="shared" si="126"/>
        <v>-</v>
      </c>
      <c r="DF59" s="101" t="str">
        <f t="shared" si="126"/>
        <v>-</v>
      </c>
      <c r="DG59" s="101" t="str">
        <f t="shared" si="126"/>
        <v>-</v>
      </c>
      <c r="DH59" s="101" t="str">
        <f t="shared" si="126"/>
        <v>-</v>
      </c>
      <c r="DI59" s="101" t="str">
        <f t="shared" si="126"/>
        <v>-</v>
      </c>
      <c r="DJ59" s="101" t="str">
        <f t="shared" si="126"/>
        <v>-</v>
      </c>
      <c r="DK59" s="101" t="str">
        <f t="shared" si="126"/>
        <v>-</v>
      </c>
      <c r="DL59" s="101" t="str">
        <f t="shared" si="126"/>
        <v>-</v>
      </c>
      <c r="DM59" s="101" t="str">
        <f t="shared" si="127"/>
        <v>-</v>
      </c>
      <c r="DN59" s="101" t="str">
        <f t="shared" si="127"/>
        <v>-</v>
      </c>
      <c r="DO59" s="101" t="str">
        <f t="shared" si="127"/>
        <v>-</v>
      </c>
      <c r="DP59" s="101" t="str">
        <f t="shared" si="127"/>
        <v>-</v>
      </c>
      <c r="DQ59" s="101" t="str">
        <f t="shared" si="127"/>
        <v>-</v>
      </c>
      <c r="DR59" s="101" t="str">
        <f t="shared" si="127"/>
        <v>-</v>
      </c>
      <c r="DS59" s="101" t="str">
        <f t="shared" si="127"/>
        <v>-</v>
      </c>
      <c r="DT59" s="101" t="str">
        <f t="shared" si="127"/>
        <v>-</v>
      </c>
    </row>
    <row r="60" spans="1:124">
      <c r="A60" s="495"/>
      <c r="B60" s="502"/>
      <c r="C60" s="502"/>
      <c r="D60" s="466"/>
      <c r="E60" s="109" t="s">
        <v>66</v>
      </c>
      <c r="F60" s="102" t="e">
        <f>SUM('BESS 12'!S345,'BESS 12'!S348:S349,'BESS 12'!S353:S354)</f>
        <v>#VALUE!</v>
      </c>
      <c r="G60" s="102">
        <f>MAX('BESS 11'!O346,'BESS 11'!O349:O350,'BESS 11'!O354:O355)-MIN('BESS 11'!O346,'BESS 11'!O349:O350,'BESS 11'!O354:O355)+1</f>
        <v>18</v>
      </c>
      <c r="H60" s="110">
        <f>MIN('BESS 11'!O346,'BESS 11'!O349:O350,'BESS 11'!O354:O355)</f>
        <v>46262</v>
      </c>
      <c r="I60" s="101" t="str">
        <f t="shared" si="116"/>
        <v>-</v>
      </c>
      <c r="J60" s="101" t="str">
        <f t="shared" si="116"/>
        <v>-</v>
      </c>
      <c r="K60" s="101" t="str">
        <f t="shared" si="116"/>
        <v>-</v>
      </c>
      <c r="L60" s="101" t="str">
        <f t="shared" si="116"/>
        <v>-</v>
      </c>
      <c r="M60" s="101" t="str">
        <f t="shared" si="116"/>
        <v>-</v>
      </c>
      <c r="N60" s="101" t="str">
        <f t="shared" si="116"/>
        <v>-</v>
      </c>
      <c r="O60" s="101" t="str">
        <f t="shared" si="116"/>
        <v>-</v>
      </c>
      <c r="P60" s="101" t="str">
        <f t="shared" si="116"/>
        <v>-</v>
      </c>
      <c r="Q60" s="101" t="str">
        <f t="shared" si="116"/>
        <v>-</v>
      </c>
      <c r="R60" s="101" t="str">
        <f t="shared" si="116"/>
        <v>-</v>
      </c>
      <c r="S60" s="101" t="str">
        <f t="shared" si="117"/>
        <v>-</v>
      </c>
      <c r="T60" s="101" t="str">
        <f t="shared" si="117"/>
        <v>-</v>
      </c>
      <c r="U60" s="101" t="str">
        <f t="shared" si="117"/>
        <v>-</v>
      </c>
      <c r="V60" s="101" t="str">
        <f t="shared" si="117"/>
        <v>-</v>
      </c>
      <c r="W60" s="101" t="str">
        <f t="shared" si="117"/>
        <v>-</v>
      </c>
      <c r="X60" s="101" t="str">
        <f t="shared" si="117"/>
        <v>-</v>
      </c>
      <c r="Y60" s="101" t="str">
        <f t="shared" si="117"/>
        <v>-</v>
      </c>
      <c r="Z60" s="101" t="str">
        <f t="shared" si="117"/>
        <v>-</v>
      </c>
      <c r="AA60" s="101" t="str">
        <f t="shared" si="117"/>
        <v>-</v>
      </c>
      <c r="AB60" s="101" t="str">
        <f t="shared" si="117"/>
        <v>-</v>
      </c>
      <c r="AC60" s="101" t="str">
        <f t="shared" si="118"/>
        <v>-</v>
      </c>
      <c r="AD60" s="101" t="str">
        <f t="shared" si="118"/>
        <v>-</v>
      </c>
      <c r="AE60" s="101" t="str">
        <f t="shared" si="118"/>
        <v>-</v>
      </c>
      <c r="AF60" s="101" t="str">
        <f t="shared" si="118"/>
        <v>-</v>
      </c>
      <c r="AG60" s="101" t="str">
        <f t="shared" si="118"/>
        <v>-</v>
      </c>
      <c r="AH60" s="101" t="str">
        <f t="shared" si="118"/>
        <v>-</v>
      </c>
      <c r="AI60" s="101" t="str">
        <f t="shared" si="118"/>
        <v>-</v>
      </c>
      <c r="AJ60" s="101" t="str">
        <f t="shared" si="118"/>
        <v>-</v>
      </c>
      <c r="AK60" s="101" t="str">
        <f t="shared" si="118"/>
        <v>-</v>
      </c>
      <c r="AL60" s="101" t="str">
        <f t="shared" si="118"/>
        <v>-</v>
      </c>
      <c r="AM60" s="101" t="str">
        <f t="shared" si="119"/>
        <v>-</v>
      </c>
      <c r="AN60" s="101" t="str">
        <f t="shared" si="119"/>
        <v>-</v>
      </c>
      <c r="AO60" s="101" t="str">
        <f t="shared" si="119"/>
        <v>-</v>
      </c>
      <c r="AP60" s="101" t="str">
        <f t="shared" si="119"/>
        <v>-</v>
      </c>
      <c r="AQ60" s="101" t="str">
        <f t="shared" si="119"/>
        <v>-</v>
      </c>
      <c r="AR60" s="101" t="str">
        <f t="shared" si="119"/>
        <v>-</v>
      </c>
      <c r="AS60" s="101" t="str">
        <f t="shared" si="119"/>
        <v>-</v>
      </c>
      <c r="AT60" s="101" t="str">
        <f t="shared" si="119"/>
        <v>-</v>
      </c>
      <c r="AU60" s="101" t="str">
        <f t="shared" si="119"/>
        <v>-</v>
      </c>
      <c r="AV60" s="101" t="str">
        <f t="shared" si="119"/>
        <v>-</v>
      </c>
      <c r="AW60" s="101" t="str">
        <f t="shared" si="120"/>
        <v>-</v>
      </c>
      <c r="AX60" s="101" t="str">
        <f t="shared" si="120"/>
        <v>-</v>
      </c>
      <c r="AY60" s="101" t="str">
        <f t="shared" si="120"/>
        <v>-</v>
      </c>
      <c r="AZ60" s="101" t="str">
        <f t="shared" si="120"/>
        <v>-</v>
      </c>
      <c r="BA60" s="101" t="str">
        <f t="shared" si="120"/>
        <v>-</v>
      </c>
      <c r="BB60" s="101" t="str">
        <f t="shared" si="120"/>
        <v>-</v>
      </c>
      <c r="BC60" s="101" t="str">
        <f t="shared" si="120"/>
        <v>-</v>
      </c>
      <c r="BD60" s="101" t="str">
        <f t="shared" si="120"/>
        <v>-</v>
      </c>
      <c r="BE60" s="101" t="str">
        <f t="shared" si="120"/>
        <v>-</v>
      </c>
      <c r="BF60" s="101" t="str">
        <f t="shared" si="120"/>
        <v>-</v>
      </c>
      <c r="BG60" s="101" t="str">
        <f t="shared" si="121"/>
        <v>-</v>
      </c>
      <c r="BH60" s="101" t="str">
        <f t="shared" si="121"/>
        <v>-</v>
      </c>
      <c r="BI60" s="101" t="str">
        <f t="shared" si="121"/>
        <v>-</v>
      </c>
      <c r="BJ60" s="101" t="str">
        <f t="shared" si="121"/>
        <v>-</v>
      </c>
      <c r="BK60" s="101" t="str">
        <f t="shared" si="121"/>
        <v>-</v>
      </c>
      <c r="BL60" s="101" t="str">
        <f t="shared" si="121"/>
        <v>-</v>
      </c>
      <c r="BM60" s="101" t="str">
        <f t="shared" si="121"/>
        <v>-</v>
      </c>
      <c r="BN60" s="101" t="str">
        <f t="shared" si="121"/>
        <v>-</v>
      </c>
      <c r="BO60" s="101" t="str">
        <f t="shared" si="121"/>
        <v>-</v>
      </c>
      <c r="BP60" s="101" t="str">
        <f t="shared" si="121"/>
        <v>-</v>
      </c>
      <c r="BQ60" s="101" t="str">
        <f t="shared" si="122"/>
        <v>-</v>
      </c>
      <c r="BR60" s="101" t="str">
        <f t="shared" si="122"/>
        <v>-</v>
      </c>
      <c r="BS60" s="101" t="str">
        <f t="shared" si="122"/>
        <v>-</v>
      </c>
      <c r="BT60" s="101" t="str">
        <f t="shared" si="122"/>
        <v>-</v>
      </c>
      <c r="BU60" s="101" t="str">
        <f t="shared" si="122"/>
        <v>-</v>
      </c>
      <c r="BV60" s="101" t="str">
        <f t="shared" si="122"/>
        <v>-</v>
      </c>
      <c r="BW60" s="101" t="str">
        <f t="shared" si="122"/>
        <v>-</v>
      </c>
      <c r="BX60" s="101" t="str">
        <f t="shared" si="122"/>
        <v>-</v>
      </c>
      <c r="BY60" s="101" t="str">
        <f t="shared" si="122"/>
        <v>-</v>
      </c>
      <c r="BZ60" s="101" t="str">
        <f t="shared" si="122"/>
        <v>-</v>
      </c>
      <c r="CA60" s="101" t="str">
        <f t="shared" si="123"/>
        <v>-</v>
      </c>
      <c r="CB60" s="101" t="str">
        <f t="shared" si="123"/>
        <v>-</v>
      </c>
      <c r="CC60" s="101" t="str">
        <f t="shared" si="123"/>
        <v>-</v>
      </c>
      <c r="CD60" s="101" t="str">
        <f t="shared" si="123"/>
        <v>-</v>
      </c>
      <c r="CE60" s="101" t="str">
        <f t="shared" si="123"/>
        <v>-</v>
      </c>
      <c r="CF60" s="101" t="str">
        <f t="shared" si="123"/>
        <v>-</v>
      </c>
      <c r="CG60" s="101" t="str">
        <f t="shared" si="123"/>
        <v>-</v>
      </c>
      <c r="CH60" s="101" t="str">
        <f t="shared" si="123"/>
        <v>-</v>
      </c>
      <c r="CI60" s="101" t="str">
        <f t="shared" si="123"/>
        <v>-</v>
      </c>
      <c r="CJ60" s="101" t="str">
        <f t="shared" si="123"/>
        <v>-</v>
      </c>
      <c r="CK60" s="101" t="str">
        <f t="shared" si="124"/>
        <v>-</v>
      </c>
      <c r="CL60" s="101" t="str">
        <f t="shared" si="124"/>
        <v>-</v>
      </c>
      <c r="CM60" s="101" t="str">
        <f t="shared" si="124"/>
        <v>-</v>
      </c>
      <c r="CN60" s="101" t="str">
        <f t="shared" si="124"/>
        <v>-</v>
      </c>
      <c r="CO60" s="101" t="str">
        <f t="shared" si="124"/>
        <v>-</v>
      </c>
      <c r="CP60" s="101" t="str">
        <f t="shared" si="124"/>
        <v>-</v>
      </c>
      <c r="CS60" s="101" t="e">
        <f t="shared" si="125"/>
        <v>#VALUE!</v>
      </c>
      <c r="CT60" s="101" t="str">
        <f t="shared" si="125"/>
        <v>-</v>
      </c>
      <c r="CU60" s="101" t="str">
        <f t="shared" si="125"/>
        <v>-</v>
      </c>
      <c r="CV60" s="101" t="str">
        <f t="shared" si="125"/>
        <v>-</v>
      </c>
      <c r="CW60" s="101" t="str">
        <f t="shared" si="125"/>
        <v>-</v>
      </c>
      <c r="CX60" s="101" t="str">
        <f t="shared" si="125"/>
        <v>-</v>
      </c>
      <c r="CY60" s="101" t="str">
        <f t="shared" si="125"/>
        <v>-</v>
      </c>
      <c r="CZ60" s="101" t="str">
        <f t="shared" si="125"/>
        <v>-</v>
      </c>
      <c r="DA60" s="101" t="str">
        <f t="shared" si="125"/>
        <v>-</v>
      </c>
      <c r="DB60" s="101" t="str">
        <f t="shared" si="125"/>
        <v>-</v>
      </c>
      <c r="DC60" s="101" t="str">
        <f t="shared" si="126"/>
        <v>-</v>
      </c>
      <c r="DD60" s="101" t="str">
        <f t="shared" si="126"/>
        <v>-</v>
      </c>
      <c r="DE60" s="101" t="str">
        <f t="shared" si="126"/>
        <v>-</v>
      </c>
      <c r="DF60" s="101" t="str">
        <f t="shared" si="126"/>
        <v>-</v>
      </c>
      <c r="DG60" s="101" t="str">
        <f t="shared" si="126"/>
        <v>-</v>
      </c>
      <c r="DH60" s="101" t="str">
        <f t="shared" si="126"/>
        <v>-</v>
      </c>
      <c r="DI60" s="101" t="str">
        <f t="shared" si="126"/>
        <v>-</v>
      </c>
      <c r="DJ60" s="101" t="str">
        <f t="shared" si="126"/>
        <v>-</v>
      </c>
      <c r="DK60" s="101" t="str">
        <f t="shared" si="126"/>
        <v>-</v>
      </c>
      <c r="DL60" s="101" t="str">
        <f t="shared" si="126"/>
        <v>-</v>
      </c>
      <c r="DM60" s="101" t="str">
        <f t="shared" si="127"/>
        <v>-</v>
      </c>
      <c r="DN60" s="101" t="str">
        <f t="shared" si="127"/>
        <v>-</v>
      </c>
      <c r="DO60" s="101" t="str">
        <f t="shared" si="127"/>
        <v>-</v>
      </c>
      <c r="DP60" s="101" t="str">
        <f t="shared" si="127"/>
        <v>-</v>
      </c>
      <c r="DQ60" s="101" t="str">
        <f t="shared" si="127"/>
        <v>-</v>
      </c>
      <c r="DR60" s="101" t="str">
        <f t="shared" si="127"/>
        <v>-</v>
      </c>
      <c r="DS60" s="101" t="str">
        <f t="shared" si="127"/>
        <v>-</v>
      </c>
      <c r="DT60" s="101" t="str">
        <f t="shared" si="127"/>
        <v>-</v>
      </c>
    </row>
    <row r="61" spans="1:124">
      <c r="A61" s="495"/>
      <c r="B61" s="502"/>
      <c r="C61" s="502"/>
      <c r="D61" s="466"/>
      <c r="E61" s="109" t="s">
        <v>67</v>
      </c>
      <c r="F61" s="102" t="e">
        <f>SUM('BESS 12'!S356:S365)</f>
        <v>#VALUE!</v>
      </c>
      <c r="G61" s="101">
        <f>MAX('BESS 12'!O356:O365)-MIN('BESS 12'!O356:O365)+1</f>
        <v>32</v>
      </c>
      <c r="H61" s="110">
        <f>MIN('BESS 12'!O356:O365)</f>
        <v>46248</v>
      </c>
      <c r="I61" s="101" t="str">
        <f t="shared" si="116"/>
        <v>-</v>
      </c>
      <c r="J61" s="101" t="str">
        <f t="shared" si="116"/>
        <v>-</v>
      </c>
      <c r="K61" s="101" t="str">
        <f t="shared" si="116"/>
        <v>-</v>
      </c>
      <c r="L61" s="101" t="str">
        <f t="shared" si="116"/>
        <v>-</v>
      </c>
      <c r="M61" s="101" t="str">
        <f t="shared" si="116"/>
        <v>-</v>
      </c>
      <c r="N61" s="101" t="str">
        <f t="shared" si="116"/>
        <v>-</v>
      </c>
      <c r="O61" s="101" t="str">
        <f t="shared" si="116"/>
        <v>-</v>
      </c>
      <c r="P61" s="101" t="str">
        <f t="shared" si="116"/>
        <v>-</v>
      </c>
      <c r="Q61" s="101" t="str">
        <f t="shared" si="116"/>
        <v>-</v>
      </c>
      <c r="R61" s="101" t="str">
        <f t="shared" si="116"/>
        <v>-</v>
      </c>
      <c r="S61" s="101" t="str">
        <f t="shared" si="117"/>
        <v>-</v>
      </c>
      <c r="T61" s="101" t="str">
        <f t="shared" si="117"/>
        <v>-</v>
      </c>
      <c r="U61" s="101" t="str">
        <f t="shared" si="117"/>
        <v>-</v>
      </c>
      <c r="V61" s="101" t="str">
        <f t="shared" si="117"/>
        <v>-</v>
      </c>
      <c r="W61" s="101" t="str">
        <f t="shared" si="117"/>
        <v>-</v>
      </c>
      <c r="X61" s="101" t="str">
        <f t="shared" si="117"/>
        <v>-</v>
      </c>
      <c r="Y61" s="101" t="str">
        <f t="shared" si="117"/>
        <v>-</v>
      </c>
      <c r="Z61" s="101" t="str">
        <f t="shared" si="117"/>
        <v>-</v>
      </c>
      <c r="AA61" s="101" t="str">
        <f t="shared" si="117"/>
        <v>-</v>
      </c>
      <c r="AB61" s="101" t="str">
        <f t="shared" si="117"/>
        <v>-</v>
      </c>
      <c r="AC61" s="101" t="str">
        <f t="shared" si="118"/>
        <v>-</v>
      </c>
      <c r="AD61" s="101" t="str">
        <f t="shared" si="118"/>
        <v>-</v>
      </c>
      <c r="AE61" s="101" t="str">
        <f t="shared" si="118"/>
        <v>-</v>
      </c>
      <c r="AF61" s="101" t="str">
        <f t="shared" si="118"/>
        <v>-</v>
      </c>
      <c r="AG61" s="101" t="str">
        <f t="shared" si="118"/>
        <v>-</v>
      </c>
      <c r="AH61" s="101" t="str">
        <f t="shared" si="118"/>
        <v>-</v>
      </c>
      <c r="AI61" s="101" t="str">
        <f t="shared" si="118"/>
        <v>-</v>
      </c>
      <c r="AJ61" s="101" t="str">
        <f t="shared" si="118"/>
        <v>-</v>
      </c>
      <c r="AK61" s="101" t="str">
        <f t="shared" si="118"/>
        <v>-</v>
      </c>
      <c r="AL61" s="101" t="str">
        <f t="shared" si="118"/>
        <v>-</v>
      </c>
      <c r="AM61" s="101" t="str">
        <f t="shared" si="119"/>
        <v>-</v>
      </c>
      <c r="AN61" s="101" t="str">
        <f t="shared" si="119"/>
        <v>-</v>
      </c>
      <c r="AO61" s="101" t="str">
        <f t="shared" si="119"/>
        <v>-</v>
      </c>
      <c r="AP61" s="101" t="str">
        <f t="shared" si="119"/>
        <v>-</v>
      </c>
      <c r="AQ61" s="101" t="str">
        <f t="shared" si="119"/>
        <v>-</v>
      </c>
      <c r="AR61" s="101" t="str">
        <f t="shared" si="119"/>
        <v>-</v>
      </c>
      <c r="AS61" s="101" t="str">
        <f t="shared" si="119"/>
        <v>-</v>
      </c>
      <c r="AT61" s="101" t="str">
        <f t="shared" si="119"/>
        <v>-</v>
      </c>
      <c r="AU61" s="101" t="str">
        <f t="shared" si="119"/>
        <v>-</v>
      </c>
      <c r="AV61" s="101" t="str">
        <f t="shared" si="119"/>
        <v>-</v>
      </c>
      <c r="AW61" s="101" t="str">
        <f t="shared" si="120"/>
        <v>-</v>
      </c>
      <c r="AX61" s="101" t="str">
        <f t="shared" si="120"/>
        <v>-</v>
      </c>
      <c r="AY61" s="101" t="str">
        <f t="shared" si="120"/>
        <v>-</v>
      </c>
      <c r="AZ61" s="101" t="str">
        <f t="shared" si="120"/>
        <v>-</v>
      </c>
      <c r="BA61" s="101" t="str">
        <f t="shared" si="120"/>
        <v>-</v>
      </c>
      <c r="BB61" s="101" t="str">
        <f t="shared" si="120"/>
        <v>-</v>
      </c>
      <c r="BC61" s="101" t="str">
        <f t="shared" si="120"/>
        <v>-</v>
      </c>
      <c r="BD61" s="101" t="str">
        <f t="shared" si="120"/>
        <v>-</v>
      </c>
      <c r="BE61" s="101" t="str">
        <f t="shared" si="120"/>
        <v>-</v>
      </c>
      <c r="BF61" s="101" t="str">
        <f t="shared" si="120"/>
        <v>-</v>
      </c>
      <c r="BG61" s="101" t="str">
        <f t="shared" si="121"/>
        <v>-</v>
      </c>
      <c r="BH61" s="101" t="str">
        <f t="shared" si="121"/>
        <v>-</v>
      </c>
      <c r="BI61" s="101" t="str">
        <f t="shared" si="121"/>
        <v>-</v>
      </c>
      <c r="BJ61" s="101" t="str">
        <f t="shared" si="121"/>
        <v>-</v>
      </c>
      <c r="BK61" s="101" t="str">
        <f t="shared" si="121"/>
        <v>-</v>
      </c>
      <c r="BL61" s="101" t="str">
        <f t="shared" si="121"/>
        <v>-</v>
      </c>
      <c r="BM61" s="101" t="str">
        <f t="shared" si="121"/>
        <v>-</v>
      </c>
      <c r="BN61" s="101" t="str">
        <f t="shared" si="121"/>
        <v>-</v>
      </c>
      <c r="BO61" s="101" t="str">
        <f t="shared" si="121"/>
        <v>-</v>
      </c>
      <c r="BP61" s="101" t="str">
        <f t="shared" si="121"/>
        <v>-</v>
      </c>
      <c r="BQ61" s="101" t="str">
        <f t="shared" si="122"/>
        <v>-</v>
      </c>
      <c r="BR61" s="101" t="str">
        <f t="shared" si="122"/>
        <v>-</v>
      </c>
      <c r="BS61" s="101" t="str">
        <f t="shared" si="122"/>
        <v>-</v>
      </c>
      <c r="BT61" s="101" t="str">
        <f t="shared" si="122"/>
        <v>-</v>
      </c>
      <c r="BU61" s="101" t="str">
        <f t="shared" si="122"/>
        <v>-</v>
      </c>
      <c r="BV61" s="101" t="str">
        <f t="shared" si="122"/>
        <v>-</v>
      </c>
      <c r="BW61" s="101" t="str">
        <f t="shared" si="122"/>
        <v>-</v>
      </c>
      <c r="BX61" s="101" t="str">
        <f t="shared" si="122"/>
        <v>-</v>
      </c>
      <c r="BY61" s="101" t="str">
        <f t="shared" si="122"/>
        <v>-</v>
      </c>
      <c r="BZ61" s="101" t="str">
        <f t="shared" si="122"/>
        <v>-</v>
      </c>
      <c r="CA61" s="101" t="str">
        <f t="shared" si="123"/>
        <v>-</v>
      </c>
      <c r="CB61" s="101" t="str">
        <f t="shared" si="123"/>
        <v>-</v>
      </c>
      <c r="CC61" s="101" t="str">
        <f t="shared" si="123"/>
        <v>-</v>
      </c>
      <c r="CD61" s="101" t="str">
        <f t="shared" si="123"/>
        <v>-</v>
      </c>
      <c r="CE61" s="101" t="str">
        <f t="shared" si="123"/>
        <v>-</v>
      </c>
      <c r="CF61" s="101" t="str">
        <f t="shared" si="123"/>
        <v>-</v>
      </c>
      <c r="CG61" s="132" t="str">
        <f t="shared" si="123"/>
        <v>-</v>
      </c>
      <c r="CH61" s="132" t="str">
        <f t="shared" si="123"/>
        <v>-</v>
      </c>
      <c r="CI61" s="132" t="str">
        <f t="shared" si="123"/>
        <v>-</v>
      </c>
      <c r="CJ61" s="132" t="str">
        <f t="shared" si="123"/>
        <v>-</v>
      </c>
      <c r="CK61" s="132" t="str">
        <f t="shared" si="124"/>
        <v>-</v>
      </c>
      <c r="CL61" s="132" t="str">
        <f t="shared" si="124"/>
        <v>-</v>
      </c>
      <c r="CM61" s="132" t="str">
        <f t="shared" si="124"/>
        <v>-</v>
      </c>
      <c r="CN61" s="132" t="str">
        <f t="shared" si="124"/>
        <v>-</v>
      </c>
      <c r="CO61" s="132" t="str">
        <f t="shared" si="124"/>
        <v>-</v>
      </c>
      <c r="CP61" s="132" t="str">
        <f t="shared" si="124"/>
        <v>-</v>
      </c>
      <c r="CS61" s="132" t="e">
        <f t="shared" si="125"/>
        <v>#VALUE!</v>
      </c>
      <c r="CT61" s="132" t="str">
        <f t="shared" si="125"/>
        <v>-</v>
      </c>
      <c r="CU61" s="132" t="str">
        <f t="shared" si="125"/>
        <v>-</v>
      </c>
      <c r="CV61" s="132" t="str">
        <f t="shared" si="125"/>
        <v>-</v>
      </c>
      <c r="CW61" s="132" t="str">
        <f t="shared" si="125"/>
        <v>-</v>
      </c>
      <c r="CX61" s="132" t="str">
        <f t="shared" si="125"/>
        <v>-</v>
      </c>
      <c r="CY61" s="132" t="str">
        <f t="shared" si="125"/>
        <v>-</v>
      </c>
      <c r="CZ61" s="132" t="str">
        <f t="shared" si="125"/>
        <v>-</v>
      </c>
      <c r="DA61" s="132" t="str">
        <f t="shared" si="125"/>
        <v>-</v>
      </c>
      <c r="DB61" s="132" t="str">
        <f t="shared" si="125"/>
        <v>-</v>
      </c>
      <c r="DC61" s="132" t="str">
        <f t="shared" si="126"/>
        <v>-</v>
      </c>
      <c r="DD61" s="132" t="str">
        <f t="shared" si="126"/>
        <v>-</v>
      </c>
      <c r="DE61" s="132" t="str">
        <f t="shared" si="126"/>
        <v>-</v>
      </c>
      <c r="DF61" s="132" t="str">
        <f t="shared" si="126"/>
        <v>-</v>
      </c>
      <c r="DG61" s="132" t="str">
        <f t="shared" si="126"/>
        <v>-</v>
      </c>
      <c r="DH61" s="132" t="str">
        <f t="shared" si="126"/>
        <v>-</v>
      </c>
      <c r="DI61" s="132" t="str">
        <f t="shared" si="126"/>
        <v>-</v>
      </c>
      <c r="DJ61" s="132" t="str">
        <f t="shared" si="126"/>
        <v>-</v>
      </c>
      <c r="DK61" s="132" t="str">
        <f t="shared" si="126"/>
        <v>-</v>
      </c>
      <c r="DL61" s="132" t="str">
        <f t="shared" si="126"/>
        <v>-</v>
      </c>
      <c r="DM61" s="132" t="str">
        <f t="shared" si="127"/>
        <v>-</v>
      </c>
      <c r="DN61" s="132" t="str">
        <f t="shared" si="127"/>
        <v>-</v>
      </c>
      <c r="DO61" s="132" t="str">
        <f t="shared" si="127"/>
        <v>-</v>
      </c>
      <c r="DP61" s="132" t="str">
        <f t="shared" si="127"/>
        <v>-</v>
      </c>
      <c r="DQ61" s="132" t="str">
        <f t="shared" si="127"/>
        <v>-</v>
      </c>
      <c r="DR61" s="132" t="str">
        <f t="shared" si="127"/>
        <v>-</v>
      </c>
      <c r="DS61" s="132" t="str">
        <f t="shared" si="127"/>
        <v>-</v>
      </c>
      <c r="DT61" s="132" t="str">
        <f t="shared" si="127"/>
        <v>-</v>
      </c>
    </row>
    <row r="62" spans="1:124">
      <c r="A62" s="65"/>
      <c r="B62" s="123"/>
      <c r="C62" s="123"/>
      <c r="D62" s="466"/>
      <c r="E62" s="109" t="s">
        <v>68</v>
      </c>
      <c r="F62" s="101">
        <v>250</v>
      </c>
      <c r="G62" s="101">
        <v>30</v>
      </c>
      <c r="H62" s="110" t="e">
        <f>B57-3</f>
        <v>#VALUE!</v>
      </c>
      <c r="I62" s="110"/>
      <c r="J62" s="110"/>
      <c r="K62" s="101"/>
      <c r="L62" s="102"/>
      <c r="M62" s="102"/>
      <c r="N62" s="102"/>
      <c r="O62" s="102"/>
      <c r="P62" s="102"/>
      <c r="Q62" s="102"/>
      <c r="R62" s="102"/>
      <c r="S62" s="102"/>
      <c r="T62" s="102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9"/>
      <c r="BB62" s="109"/>
      <c r="BC62" s="109"/>
      <c r="BD62" s="109"/>
      <c r="BE62" s="109"/>
      <c r="BF62" s="109">
        <v>5</v>
      </c>
      <c r="BG62" s="109">
        <v>5</v>
      </c>
      <c r="BH62" s="109">
        <v>5</v>
      </c>
      <c r="BI62" s="109">
        <v>5</v>
      </c>
      <c r="BJ62" s="109">
        <v>5</v>
      </c>
      <c r="BK62" s="109">
        <v>5</v>
      </c>
      <c r="BL62" s="109">
        <v>5</v>
      </c>
      <c r="BM62" s="109">
        <v>5</v>
      </c>
      <c r="BN62" s="109">
        <v>5</v>
      </c>
      <c r="BO62" s="109">
        <v>5</v>
      </c>
      <c r="BP62" s="109">
        <v>5</v>
      </c>
      <c r="BQ62" s="109">
        <v>5</v>
      </c>
      <c r="BR62" s="109">
        <v>5</v>
      </c>
      <c r="BS62" s="109">
        <v>5</v>
      </c>
      <c r="BT62" s="109">
        <v>5</v>
      </c>
      <c r="BU62" s="109">
        <v>5</v>
      </c>
      <c r="BV62" s="109">
        <v>5</v>
      </c>
      <c r="BW62" s="109">
        <v>5</v>
      </c>
      <c r="BX62" s="109">
        <v>5</v>
      </c>
      <c r="BY62" s="109">
        <v>5</v>
      </c>
      <c r="BZ62" s="109">
        <v>5</v>
      </c>
      <c r="CA62" s="109">
        <v>5</v>
      </c>
      <c r="CB62" s="109">
        <v>5</v>
      </c>
      <c r="CC62" s="109">
        <v>5</v>
      </c>
      <c r="CD62" s="109">
        <v>30</v>
      </c>
      <c r="CE62" s="109">
        <v>30</v>
      </c>
      <c r="CF62" s="109">
        <v>30</v>
      </c>
      <c r="CG62" s="101">
        <v>30</v>
      </c>
      <c r="CH62" s="101">
        <v>5</v>
      </c>
      <c r="CI62" s="101">
        <v>5</v>
      </c>
      <c r="CJ62" s="101"/>
      <c r="CK62" s="101"/>
      <c r="CL62" s="101"/>
      <c r="CM62" s="101"/>
      <c r="CN62" s="101"/>
      <c r="CO62" s="101"/>
      <c r="CP62" s="101"/>
      <c r="CS62" s="101"/>
      <c r="CT62" s="101"/>
      <c r="CU62" s="101"/>
      <c r="CV62" s="101"/>
      <c r="CW62" s="101"/>
      <c r="CX62" s="101"/>
      <c r="CY62" s="101"/>
      <c r="CZ62" s="101"/>
      <c r="DA62" s="101"/>
      <c r="DB62" s="101"/>
      <c r="DC62" s="101"/>
      <c r="DD62" s="101"/>
      <c r="DE62" s="101"/>
      <c r="DF62" s="101"/>
      <c r="DG62" s="101"/>
      <c r="DH62" s="101"/>
      <c r="DI62" s="101"/>
      <c r="DJ62" s="101"/>
      <c r="DK62" s="101"/>
      <c r="DL62" s="101"/>
      <c r="DM62" s="101"/>
      <c r="DN62" s="101"/>
      <c r="DO62" s="101"/>
      <c r="DP62" s="101"/>
      <c r="DQ62" s="101"/>
      <c r="DR62" s="101"/>
      <c r="DS62" s="101"/>
      <c r="DT62" s="101"/>
    </row>
    <row r="63" spans="1:124" s="141" customFormat="1">
      <c r="B63" s="142"/>
      <c r="E63" s="143"/>
      <c r="F63" s="143"/>
      <c r="G63" s="144"/>
      <c r="H63" s="112" t="s">
        <v>69</v>
      </c>
      <c r="I63" s="113">
        <f t="shared" ref="I63:AN63" si="128">SUM(I58:I62)</f>
        <v>0</v>
      </c>
      <c r="J63" s="113">
        <f t="shared" si="128"/>
        <v>0</v>
      </c>
      <c r="K63" s="113">
        <f t="shared" si="128"/>
        <v>0</v>
      </c>
      <c r="L63" s="113">
        <f t="shared" si="128"/>
        <v>0</v>
      </c>
      <c r="M63" s="113">
        <f t="shared" si="128"/>
        <v>0</v>
      </c>
      <c r="N63" s="113">
        <f t="shared" si="128"/>
        <v>0</v>
      </c>
      <c r="O63" s="113">
        <f t="shared" si="128"/>
        <v>0</v>
      </c>
      <c r="P63" s="113">
        <f t="shared" si="128"/>
        <v>0</v>
      </c>
      <c r="Q63" s="113">
        <f t="shared" si="128"/>
        <v>0</v>
      </c>
      <c r="R63" s="113">
        <f t="shared" si="128"/>
        <v>0</v>
      </c>
      <c r="S63" s="113">
        <f t="shared" si="128"/>
        <v>0</v>
      </c>
      <c r="T63" s="113">
        <f t="shared" si="128"/>
        <v>0</v>
      </c>
      <c r="U63" s="113">
        <f t="shared" si="128"/>
        <v>0</v>
      </c>
      <c r="V63" s="113">
        <f t="shared" si="128"/>
        <v>0</v>
      </c>
      <c r="W63" s="113">
        <f t="shared" si="128"/>
        <v>0</v>
      </c>
      <c r="X63" s="113">
        <f t="shared" si="128"/>
        <v>0</v>
      </c>
      <c r="Y63" s="113">
        <f t="shared" si="128"/>
        <v>0</v>
      </c>
      <c r="Z63" s="113">
        <f t="shared" si="128"/>
        <v>0</v>
      </c>
      <c r="AA63" s="113">
        <f t="shared" si="128"/>
        <v>0</v>
      </c>
      <c r="AB63" s="113">
        <f t="shared" si="128"/>
        <v>0</v>
      </c>
      <c r="AC63" s="113">
        <f t="shared" si="128"/>
        <v>0</v>
      </c>
      <c r="AD63" s="113">
        <f t="shared" si="128"/>
        <v>0</v>
      </c>
      <c r="AE63" s="113">
        <f t="shared" si="128"/>
        <v>0</v>
      </c>
      <c r="AF63" s="113">
        <f t="shared" si="128"/>
        <v>0</v>
      </c>
      <c r="AG63" s="113">
        <f t="shared" si="128"/>
        <v>0</v>
      </c>
      <c r="AH63" s="113">
        <f t="shared" si="128"/>
        <v>0</v>
      </c>
      <c r="AI63" s="113">
        <f t="shared" si="128"/>
        <v>0</v>
      </c>
      <c r="AJ63" s="113">
        <f t="shared" si="128"/>
        <v>0</v>
      </c>
      <c r="AK63" s="113">
        <f t="shared" si="128"/>
        <v>0</v>
      </c>
      <c r="AL63" s="113">
        <f t="shared" si="128"/>
        <v>0</v>
      </c>
      <c r="AM63" s="113">
        <f t="shared" si="128"/>
        <v>0</v>
      </c>
      <c r="AN63" s="113">
        <f t="shared" si="128"/>
        <v>0</v>
      </c>
      <c r="AO63" s="113">
        <f t="shared" ref="AO63:BT63" si="129">SUM(AO58:AO62)</f>
        <v>0</v>
      </c>
      <c r="AP63" s="113">
        <f t="shared" si="129"/>
        <v>0</v>
      </c>
      <c r="AQ63" s="113">
        <f t="shared" si="129"/>
        <v>0</v>
      </c>
      <c r="AR63" s="113">
        <f t="shared" si="129"/>
        <v>0</v>
      </c>
      <c r="AS63" s="113">
        <f t="shared" si="129"/>
        <v>0</v>
      </c>
      <c r="AT63" s="113">
        <f t="shared" si="129"/>
        <v>0</v>
      </c>
      <c r="AU63" s="113">
        <f t="shared" si="129"/>
        <v>0</v>
      </c>
      <c r="AV63" s="113">
        <f t="shared" si="129"/>
        <v>0</v>
      </c>
      <c r="AW63" s="113">
        <f t="shared" si="129"/>
        <v>0</v>
      </c>
      <c r="AX63" s="113">
        <f t="shared" si="129"/>
        <v>0</v>
      </c>
      <c r="AY63" s="113">
        <f t="shared" si="129"/>
        <v>0</v>
      </c>
      <c r="AZ63" s="113">
        <f t="shared" si="129"/>
        <v>0</v>
      </c>
      <c r="BA63" s="113">
        <f t="shared" si="129"/>
        <v>0</v>
      </c>
      <c r="BB63" s="113">
        <f t="shared" si="129"/>
        <v>0</v>
      </c>
      <c r="BC63" s="113">
        <f t="shared" si="129"/>
        <v>0</v>
      </c>
      <c r="BD63" s="113">
        <f t="shared" si="129"/>
        <v>0</v>
      </c>
      <c r="BE63" s="113">
        <f t="shared" si="129"/>
        <v>0</v>
      </c>
      <c r="BF63" s="113">
        <f t="shared" si="129"/>
        <v>5</v>
      </c>
      <c r="BG63" s="113">
        <f t="shared" si="129"/>
        <v>5</v>
      </c>
      <c r="BH63" s="113">
        <f t="shared" si="129"/>
        <v>5</v>
      </c>
      <c r="BI63" s="113">
        <f t="shared" si="129"/>
        <v>5</v>
      </c>
      <c r="BJ63" s="113">
        <f t="shared" si="129"/>
        <v>5</v>
      </c>
      <c r="BK63" s="113">
        <f t="shared" si="129"/>
        <v>5</v>
      </c>
      <c r="BL63" s="113">
        <f t="shared" si="129"/>
        <v>5</v>
      </c>
      <c r="BM63" s="113">
        <f t="shared" si="129"/>
        <v>5</v>
      </c>
      <c r="BN63" s="113">
        <f t="shared" si="129"/>
        <v>5</v>
      </c>
      <c r="BO63" s="113">
        <f t="shared" si="129"/>
        <v>5</v>
      </c>
      <c r="BP63" s="113">
        <f t="shared" si="129"/>
        <v>5</v>
      </c>
      <c r="BQ63" s="113">
        <f t="shared" si="129"/>
        <v>5</v>
      </c>
      <c r="BR63" s="113">
        <f t="shared" si="129"/>
        <v>5</v>
      </c>
      <c r="BS63" s="113">
        <f t="shared" si="129"/>
        <v>5</v>
      </c>
      <c r="BT63" s="113">
        <f t="shared" si="129"/>
        <v>5</v>
      </c>
      <c r="BU63" s="113">
        <f t="shared" ref="BU63:CP63" si="130">SUM(BU58:BU62)</f>
        <v>5</v>
      </c>
      <c r="BV63" s="113">
        <f t="shared" si="130"/>
        <v>5</v>
      </c>
      <c r="BW63" s="113">
        <f t="shared" si="130"/>
        <v>5</v>
      </c>
      <c r="BX63" s="113">
        <f t="shared" si="130"/>
        <v>5</v>
      </c>
      <c r="BY63" s="113">
        <f t="shared" si="130"/>
        <v>5</v>
      </c>
      <c r="BZ63" s="113">
        <f t="shared" si="130"/>
        <v>5</v>
      </c>
      <c r="CA63" s="113">
        <f t="shared" si="130"/>
        <v>5</v>
      </c>
      <c r="CB63" s="113">
        <f t="shared" si="130"/>
        <v>5</v>
      </c>
      <c r="CC63" s="113">
        <f t="shared" si="130"/>
        <v>5</v>
      </c>
      <c r="CD63" s="113">
        <f t="shared" si="130"/>
        <v>30</v>
      </c>
      <c r="CE63" s="113">
        <f t="shared" si="130"/>
        <v>30</v>
      </c>
      <c r="CF63" s="113">
        <f t="shared" si="130"/>
        <v>30</v>
      </c>
      <c r="CG63" s="113">
        <f t="shared" si="130"/>
        <v>30</v>
      </c>
      <c r="CH63" s="113">
        <f t="shared" si="130"/>
        <v>5</v>
      </c>
      <c r="CI63" s="113">
        <f t="shared" si="130"/>
        <v>5</v>
      </c>
      <c r="CJ63" s="113">
        <f t="shared" si="130"/>
        <v>0</v>
      </c>
      <c r="CK63" s="113">
        <f t="shared" si="130"/>
        <v>0</v>
      </c>
      <c r="CL63" s="113">
        <f t="shared" si="130"/>
        <v>0</v>
      </c>
      <c r="CM63" s="113">
        <f t="shared" si="130"/>
        <v>0</v>
      </c>
      <c r="CN63" s="113">
        <f t="shared" si="130"/>
        <v>0</v>
      </c>
      <c r="CO63" s="113">
        <f t="shared" si="130"/>
        <v>0</v>
      </c>
      <c r="CP63" s="113">
        <f t="shared" si="130"/>
        <v>0</v>
      </c>
      <c r="CQ63" s="122"/>
      <c r="CR63" s="122"/>
      <c r="CS63" s="113" t="e">
        <f t="shared" ref="CS63:DT63" si="131">SUM(CS58:CS62)</f>
        <v>#VALUE!</v>
      </c>
      <c r="CT63" s="113">
        <f t="shared" si="131"/>
        <v>0</v>
      </c>
      <c r="CU63" s="113">
        <f t="shared" si="131"/>
        <v>0</v>
      </c>
      <c r="CV63" s="113">
        <f t="shared" si="131"/>
        <v>0</v>
      </c>
      <c r="CW63" s="113">
        <f t="shared" si="131"/>
        <v>0</v>
      </c>
      <c r="CX63" s="113">
        <f t="shared" si="131"/>
        <v>0</v>
      </c>
      <c r="CY63" s="113">
        <f t="shared" si="131"/>
        <v>0</v>
      </c>
      <c r="CZ63" s="113">
        <f t="shared" si="131"/>
        <v>0</v>
      </c>
      <c r="DA63" s="113">
        <f t="shared" si="131"/>
        <v>0</v>
      </c>
      <c r="DB63" s="113">
        <f t="shared" si="131"/>
        <v>0</v>
      </c>
      <c r="DC63" s="113">
        <f t="shared" si="131"/>
        <v>0</v>
      </c>
      <c r="DD63" s="113">
        <f t="shared" si="131"/>
        <v>0</v>
      </c>
      <c r="DE63" s="113">
        <f t="shared" si="131"/>
        <v>0</v>
      </c>
      <c r="DF63" s="113">
        <f t="shared" si="131"/>
        <v>0</v>
      </c>
      <c r="DG63" s="113">
        <f t="shared" si="131"/>
        <v>0</v>
      </c>
      <c r="DH63" s="113">
        <f t="shared" si="131"/>
        <v>0</v>
      </c>
      <c r="DI63" s="113">
        <f t="shared" si="131"/>
        <v>0</v>
      </c>
      <c r="DJ63" s="113">
        <f t="shared" si="131"/>
        <v>0</v>
      </c>
      <c r="DK63" s="113">
        <f t="shared" si="131"/>
        <v>0</v>
      </c>
      <c r="DL63" s="113">
        <f t="shared" si="131"/>
        <v>0</v>
      </c>
      <c r="DM63" s="113">
        <f t="shared" si="131"/>
        <v>0</v>
      </c>
      <c r="DN63" s="113">
        <f t="shared" si="131"/>
        <v>0</v>
      </c>
      <c r="DO63" s="113">
        <f t="shared" si="131"/>
        <v>0</v>
      </c>
      <c r="DP63" s="113">
        <f t="shared" si="131"/>
        <v>0</v>
      </c>
      <c r="DQ63" s="113">
        <f t="shared" si="131"/>
        <v>0</v>
      </c>
      <c r="DR63" s="113">
        <f t="shared" si="131"/>
        <v>0</v>
      </c>
      <c r="DS63" s="113">
        <f t="shared" si="131"/>
        <v>0</v>
      </c>
      <c r="DT63" s="113">
        <f t="shared" si="131"/>
        <v>0</v>
      </c>
    </row>
    <row r="71" spans="95:96">
      <c r="CQ71" s="122"/>
      <c r="CR71" s="122"/>
    </row>
  </sheetData>
  <mergeCells count="32">
    <mergeCell ref="A49:A53"/>
    <mergeCell ref="B49:B53"/>
    <mergeCell ref="C49:C53"/>
    <mergeCell ref="D50:D54"/>
    <mergeCell ref="A57:A61"/>
    <mergeCell ref="B57:B61"/>
    <mergeCell ref="C57:C61"/>
    <mergeCell ref="D58:D62"/>
    <mergeCell ref="A33:A37"/>
    <mergeCell ref="B33:B37"/>
    <mergeCell ref="C33:C37"/>
    <mergeCell ref="D34:D38"/>
    <mergeCell ref="A41:A45"/>
    <mergeCell ref="B41:B45"/>
    <mergeCell ref="C41:C45"/>
    <mergeCell ref="D42:D46"/>
    <mergeCell ref="A17:A22"/>
    <mergeCell ref="B17:B22"/>
    <mergeCell ref="C17:C22"/>
    <mergeCell ref="D18:D22"/>
    <mergeCell ref="A25:A29"/>
    <mergeCell ref="B25:B29"/>
    <mergeCell ref="C25:C29"/>
    <mergeCell ref="D26:D30"/>
    <mergeCell ref="A2:A6"/>
    <mergeCell ref="B2:B6"/>
    <mergeCell ref="C2:C6"/>
    <mergeCell ref="D2:D6"/>
    <mergeCell ref="A9:A14"/>
    <mergeCell ref="B9:B14"/>
    <mergeCell ref="C9:C14"/>
    <mergeCell ref="D10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1BC0-2A30-4243-AE87-8E97CCAF834D}">
  <dimension ref="A1:FR39"/>
  <sheetViews>
    <sheetView zoomScale="86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2" sqref="D2:D6"/>
    </sheetView>
  </sheetViews>
  <sheetFormatPr defaultRowHeight="13.5"/>
  <cols>
    <col min="2" max="2" width="15.88671875" bestFit="1" customWidth="1"/>
    <col min="3" max="3" width="15.109375" bestFit="1" customWidth="1"/>
    <col min="4" max="4" width="8.5546875" customWidth="1"/>
    <col min="5" max="5" width="14.33203125" customWidth="1"/>
    <col min="8" max="8" width="10.109375" bestFit="1" customWidth="1"/>
    <col min="9" max="10" width="10.109375" customWidth="1"/>
    <col min="11" max="12" width="8.88671875" bestFit="1" customWidth="1"/>
    <col min="28" max="50" width="8.5546875" bestFit="1" customWidth="1"/>
    <col min="51" max="97" width="9.33203125" bestFit="1" customWidth="1"/>
    <col min="174" max="174" width="10.109375" customWidth="1"/>
  </cols>
  <sheetData>
    <row r="1" spans="1:174" s="53" customFormat="1" ht="40.5" customHeight="1">
      <c r="B1" s="128" t="s">
        <v>57</v>
      </c>
      <c r="C1" s="129" t="str">
        <f>'BESS 11'!$G$2</f>
        <v>Trial-Run End Date</v>
      </c>
      <c r="D1" s="129" t="str">
        <f>'BESS 11'!$H$2</f>
        <v>COD</v>
      </c>
      <c r="E1" s="129" t="s">
        <v>10</v>
      </c>
      <c r="F1" s="129" t="s">
        <v>58</v>
      </c>
      <c r="G1" s="129" t="s">
        <v>59</v>
      </c>
      <c r="H1" s="129" t="s">
        <v>60</v>
      </c>
      <c r="I1" s="130">
        <v>46195</v>
      </c>
      <c r="J1" s="130">
        <v>46196</v>
      </c>
      <c r="K1" s="130">
        <v>46197</v>
      </c>
      <c r="L1" s="130">
        <v>46198</v>
      </c>
      <c r="M1" s="130">
        <v>46199</v>
      </c>
      <c r="N1" s="130">
        <v>46200</v>
      </c>
      <c r="O1" s="130">
        <v>46201</v>
      </c>
      <c r="P1" s="130">
        <v>46202</v>
      </c>
      <c r="Q1" s="130">
        <v>46203</v>
      </c>
      <c r="R1" s="130">
        <v>46204</v>
      </c>
      <c r="S1" s="130">
        <v>46205</v>
      </c>
      <c r="T1" s="130">
        <v>46206</v>
      </c>
      <c r="U1" s="130">
        <v>46207</v>
      </c>
      <c r="V1" s="130">
        <v>46208</v>
      </c>
      <c r="W1" s="130">
        <v>46209</v>
      </c>
      <c r="X1" s="130">
        <v>46210</v>
      </c>
      <c r="Y1" s="130">
        <v>46211</v>
      </c>
      <c r="Z1" s="130">
        <v>46212</v>
      </c>
      <c r="AA1" s="130">
        <v>46213</v>
      </c>
      <c r="AB1" s="130">
        <v>46214</v>
      </c>
      <c r="AC1" s="130">
        <v>46215</v>
      </c>
      <c r="AD1" s="130">
        <v>46216</v>
      </c>
      <c r="AE1" s="130">
        <v>46217</v>
      </c>
      <c r="AF1" s="130">
        <v>46218</v>
      </c>
      <c r="AG1" s="130">
        <v>46219</v>
      </c>
      <c r="AH1" s="130">
        <v>46220</v>
      </c>
      <c r="AI1" s="130">
        <v>46221</v>
      </c>
      <c r="AJ1" s="130">
        <v>46222</v>
      </c>
      <c r="AK1" s="130">
        <v>46223</v>
      </c>
      <c r="AL1" s="130">
        <v>46224</v>
      </c>
      <c r="AM1" s="130">
        <v>46225</v>
      </c>
      <c r="AN1" s="130">
        <v>46226</v>
      </c>
      <c r="AO1" s="130">
        <v>46227</v>
      </c>
      <c r="AP1" s="130">
        <v>46228</v>
      </c>
      <c r="AQ1" s="130">
        <v>46229</v>
      </c>
      <c r="AR1" s="130">
        <v>46230</v>
      </c>
      <c r="AS1" s="130">
        <v>46231</v>
      </c>
      <c r="AT1" s="130">
        <v>46232</v>
      </c>
      <c r="AU1" s="130">
        <v>46233</v>
      </c>
      <c r="AV1" s="130">
        <v>46234</v>
      </c>
      <c r="AW1" s="130">
        <v>46235</v>
      </c>
      <c r="AX1" s="130">
        <v>46236</v>
      </c>
      <c r="AY1" s="130">
        <v>46237</v>
      </c>
      <c r="AZ1" s="130">
        <v>46238</v>
      </c>
      <c r="BA1" s="130">
        <v>46239</v>
      </c>
      <c r="BB1" s="130">
        <v>46240</v>
      </c>
      <c r="BC1" s="130">
        <v>46241</v>
      </c>
      <c r="BD1" s="130">
        <v>46242</v>
      </c>
      <c r="BE1" s="130">
        <v>46243</v>
      </c>
      <c r="BF1" s="130">
        <v>46244</v>
      </c>
      <c r="BG1" s="130">
        <v>46245</v>
      </c>
      <c r="BH1" s="130">
        <v>46246</v>
      </c>
      <c r="BI1" s="130">
        <v>46247</v>
      </c>
      <c r="BJ1" s="130">
        <v>46248</v>
      </c>
      <c r="BK1" s="130">
        <v>46249</v>
      </c>
      <c r="BL1" s="130">
        <v>46250</v>
      </c>
      <c r="BM1" s="130">
        <v>46251</v>
      </c>
      <c r="BN1" s="130">
        <v>46252</v>
      </c>
      <c r="BO1" s="130">
        <v>46253</v>
      </c>
      <c r="BP1" s="130">
        <v>46254</v>
      </c>
      <c r="BQ1" s="130">
        <v>46255</v>
      </c>
      <c r="BR1" s="130">
        <v>46256</v>
      </c>
      <c r="BS1" s="130">
        <v>46257</v>
      </c>
      <c r="BT1" s="130">
        <v>46258</v>
      </c>
      <c r="BU1" s="130">
        <v>46259</v>
      </c>
      <c r="BV1" s="130">
        <v>46260</v>
      </c>
      <c r="BW1" s="130">
        <v>46261</v>
      </c>
      <c r="BX1" s="130">
        <v>46262</v>
      </c>
      <c r="BY1" s="130">
        <v>46263</v>
      </c>
      <c r="BZ1" s="130">
        <v>46264</v>
      </c>
      <c r="CA1" s="130">
        <v>46265</v>
      </c>
      <c r="CB1" s="130">
        <v>46266</v>
      </c>
      <c r="CC1" s="130">
        <v>46267</v>
      </c>
      <c r="CD1" s="130">
        <v>46268</v>
      </c>
      <c r="CE1" s="130">
        <v>46269</v>
      </c>
      <c r="CF1" s="130">
        <v>46270</v>
      </c>
      <c r="CG1" s="130">
        <v>46271</v>
      </c>
      <c r="CH1" s="130">
        <v>46272</v>
      </c>
      <c r="CI1" s="130">
        <v>46273</v>
      </c>
      <c r="CJ1" s="130">
        <v>46274</v>
      </c>
      <c r="CK1" s="130">
        <v>46275</v>
      </c>
      <c r="CL1" s="130">
        <v>46276</v>
      </c>
      <c r="CM1" s="130">
        <v>46277</v>
      </c>
      <c r="CN1" s="130">
        <v>46278</v>
      </c>
      <c r="CO1" s="130">
        <v>46279</v>
      </c>
      <c r="CP1" s="130">
        <v>46280</v>
      </c>
      <c r="CQ1" s="130">
        <v>46281</v>
      </c>
      <c r="CR1" s="130">
        <v>46282</v>
      </c>
      <c r="CS1" s="130">
        <v>46283</v>
      </c>
      <c r="CT1" s="130">
        <v>46284</v>
      </c>
      <c r="CU1" s="131">
        <v>46312</v>
      </c>
      <c r="CV1" s="131">
        <v>46313</v>
      </c>
      <c r="CW1" s="131">
        <v>46314</v>
      </c>
      <c r="CX1" s="131">
        <v>46315</v>
      </c>
      <c r="CY1" s="131">
        <v>46316</v>
      </c>
      <c r="CZ1" s="131">
        <v>46317</v>
      </c>
      <c r="DA1" s="131">
        <v>46318</v>
      </c>
      <c r="DB1" s="131">
        <v>46319</v>
      </c>
      <c r="DC1" s="131">
        <v>46320</v>
      </c>
      <c r="DD1" s="131">
        <v>46321</v>
      </c>
      <c r="DE1" s="131">
        <v>46322</v>
      </c>
      <c r="DF1" s="131">
        <v>46323</v>
      </c>
      <c r="DG1" s="131">
        <v>46324</v>
      </c>
      <c r="DH1" s="131">
        <v>46325</v>
      </c>
      <c r="DI1" s="131">
        <v>46326</v>
      </c>
      <c r="DJ1" s="131">
        <v>46327</v>
      </c>
      <c r="DK1" s="131">
        <v>46328</v>
      </c>
      <c r="DL1" s="131">
        <v>46329</v>
      </c>
      <c r="DM1" s="131">
        <v>46330</v>
      </c>
      <c r="DN1" s="131">
        <v>46331</v>
      </c>
      <c r="DO1" s="131">
        <v>46332</v>
      </c>
      <c r="DP1" s="131">
        <v>46333</v>
      </c>
      <c r="DQ1" s="131">
        <v>46334</v>
      </c>
      <c r="DR1" s="131">
        <v>46335</v>
      </c>
      <c r="DS1" s="131">
        <v>46336</v>
      </c>
      <c r="DT1" s="131">
        <v>46337</v>
      </c>
      <c r="DU1" s="131">
        <v>46338</v>
      </c>
      <c r="DV1" s="131">
        <v>46339</v>
      </c>
      <c r="DW1" s="131">
        <v>46340</v>
      </c>
      <c r="DX1" s="131">
        <v>46341</v>
      </c>
      <c r="DY1" s="131">
        <v>46342</v>
      </c>
      <c r="DZ1" s="131">
        <v>46343</v>
      </c>
      <c r="EA1" s="131">
        <v>46344</v>
      </c>
      <c r="EB1" s="131">
        <v>46345</v>
      </c>
      <c r="EC1" s="131">
        <v>46346</v>
      </c>
      <c r="ED1" s="131">
        <v>46347</v>
      </c>
      <c r="EE1" s="131">
        <v>46348</v>
      </c>
      <c r="EF1" s="131">
        <v>46349</v>
      </c>
      <c r="EG1" s="131">
        <v>46350</v>
      </c>
      <c r="EH1" s="131">
        <v>46351</v>
      </c>
      <c r="EI1" s="131">
        <v>46352</v>
      </c>
      <c r="EJ1" s="131">
        <v>46353</v>
      </c>
      <c r="EK1" s="131">
        <v>46354</v>
      </c>
      <c r="EL1" s="131">
        <v>46355</v>
      </c>
      <c r="EM1" s="131">
        <v>46356</v>
      </c>
      <c r="EN1" s="131">
        <v>46357</v>
      </c>
      <c r="EO1" s="131">
        <v>46358</v>
      </c>
      <c r="EP1" s="131">
        <v>46359</v>
      </c>
      <c r="EQ1" s="131">
        <v>46360</v>
      </c>
      <c r="ER1" s="131">
        <v>46361</v>
      </c>
      <c r="ES1" s="131">
        <v>46362</v>
      </c>
      <c r="ET1" s="131">
        <v>46363</v>
      </c>
      <c r="EU1" s="131">
        <v>46364</v>
      </c>
      <c r="EV1" s="131">
        <v>46365</v>
      </c>
      <c r="EW1" s="131">
        <v>46366</v>
      </c>
      <c r="EX1" s="131">
        <v>46367</v>
      </c>
      <c r="EY1" s="131">
        <v>46368</v>
      </c>
      <c r="EZ1" s="131">
        <v>46369</v>
      </c>
      <c r="FA1" s="131">
        <v>46370</v>
      </c>
      <c r="FB1" s="131">
        <v>46371</v>
      </c>
      <c r="FC1" s="131">
        <v>46372</v>
      </c>
      <c r="FD1" s="131">
        <v>46373</v>
      </c>
      <c r="FE1" s="131">
        <v>46374</v>
      </c>
      <c r="FF1" s="131">
        <v>46375</v>
      </c>
      <c r="FG1" s="131">
        <v>46376</v>
      </c>
      <c r="FH1" s="131">
        <v>46377</v>
      </c>
      <c r="FI1" s="131">
        <v>46378</v>
      </c>
      <c r="FJ1" s="131">
        <v>46379</v>
      </c>
      <c r="FK1" s="131">
        <v>46380</v>
      </c>
      <c r="FL1" s="131">
        <v>46381</v>
      </c>
      <c r="FM1" s="131">
        <v>46382</v>
      </c>
      <c r="FN1" s="131">
        <v>46383</v>
      </c>
      <c r="FO1" s="131">
        <v>46384</v>
      </c>
      <c r="FP1" s="131">
        <v>46385</v>
      </c>
      <c r="FQ1" s="131">
        <v>46386</v>
      </c>
      <c r="FR1" s="131">
        <v>46387</v>
      </c>
    </row>
    <row r="2" spans="1:174">
      <c r="A2" s="466" t="s">
        <v>63</v>
      </c>
      <c r="B2" s="465">
        <f>'BESS 10B'!F5</f>
        <v>46239</v>
      </c>
      <c r="C2" s="465">
        <f>'BESS 10B'!G5</f>
        <v>46244</v>
      </c>
      <c r="D2" s="467">
        <f>'BESS 10B'!H5</f>
        <v>46247</v>
      </c>
      <c r="E2" s="109" t="s">
        <v>64</v>
      </c>
      <c r="F2" s="102" t="e">
        <f>SUM('BESS 10B'!S18:S25,'BESS 10B'!S27)</f>
        <v>#VALUE!</v>
      </c>
      <c r="G2" s="102">
        <f>MAX('BESS 10B'!O18:O25,'BESS 10B'!O27)-MIN('BESS 10B'!O18:O25,'BESS 10B'!O27)+1</f>
        <v>1</v>
      </c>
      <c r="H2" s="110">
        <f>MIN('BESS 10B'!O18:O25,'BESS 10B'!O27)</f>
        <v>46234</v>
      </c>
      <c r="I2" s="101" t="str">
        <f t="shared" ref="I2:R5" si="0">IF(AND(I$1&gt;=$H2,I$1&lt;($H2+$G2)),ROUND($F2/$G2,0),"-")</f>
        <v>-</v>
      </c>
      <c r="J2" s="101" t="str">
        <f t="shared" si="0"/>
        <v>-</v>
      </c>
      <c r="K2" s="101" t="str">
        <f t="shared" si="0"/>
        <v>-</v>
      </c>
      <c r="L2" s="101" t="str">
        <f t="shared" si="0"/>
        <v>-</v>
      </c>
      <c r="M2" s="101" t="str">
        <f t="shared" si="0"/>
        <v>-</v>
      </c>
      <c r="N2" s="101" t="str">
        <f t="shared" si="0"/>
        <v>-</v>
      </c>
      <c r="O2" s="101" t="str">
        <f t="shared" si="0"/>
        <v>-</v>
      </c>
      <c r="P2" s="101" t="str">
        <f t="shared" si="0"/>
        <v>-</v>
      </c>
      <c r="Q2" s="101" t="str">
        <f t="shared" si="0"/>
        <v>-</v>
      </c>
      <c r="R2" s="101" t="str">
        <f t="shared" si="0"/>
        <v>-</v>
      </c>
      <c r="S2" s="101" t="str">
        <f t="shared" ref="S2:AB5" si="1">IF(AND(S$1&gt;=$H2,S$1&lt;($H2+$G2)),ROUND($F2/$G2,0),"-")</f>
        <v>-</v>
      </c>
      <c r="T2" s="101" t="str">
        <f t="shared" si="1"/>
        <v>-</v>
      </c>
      <c r="U2" s="101" t="str">
        <f t="shared" si="1"/>
        <v>-</v>
      </c>
      <c r="V2" s="101" t="str">
        <f t="shared" si="1"/>
        <v>-</v>
      </c>
      <c r="W2" s="101" t="str">
        <f t="shared" si="1"/>
        <v>-</v>
      </c>
      <c r="X2" s="101" t="str">
        <f t="shared" si="1"/>
        <v>-</v>
      </c>
      <c r="Y2" s="101" t="str">
        <f t="shared" si="1"/>
        <v>-</v>
      </c>
      <c r="Z2" s="101" t="str">
        <f t="shared" si="1"/>
        <v>-</v>
      </c>
      <c r="AA2" s="101" t="str">
        <f t="shared" si="1"/>
        <v>-</v>
      </c>
      <c r="AB2" s="101" t="str">
        <f t="shared" si="1"/>
        <v>-</v>
      </c>
      <c r="AC2" s="101" t="str">
        <f t="shared" ref="AC2:AL5" si="2">IF(AND(AC$1&gt;=$H2,AC$1&lt;($H2+$G2)),ROUND($F2/$G2,0),"-")</f>
        <v>-</v>
      </c>
      <c r="AD2" s="101" t="str">
        <f t="shared" si="2"/>
        <v>-</v>
      </c>
      <c r="AE2" s="101" t="str">
        <f t="shared" si="2"/>
        <v>-</v>
      </c>
      <c r="AF2" s="101" t="str">
        <f t="shared" si="2"/>
        <v>-</v>
      </c>
      <c r="AG2" s="101" t="str">
        <f t="shared" si="2"/>
        <v>-</v>
      </c>
      <c r="AH2" s="101" t="str">
        <f t="shared" si="2"/>
        <v>-</v>
      </c>
      <c r="AI2" s="101" t="str">
        <f t="shared" si="2"/>
        <v>-</v>
      </c>
      <c r="AJ2" s="101" t="str">
        <f t="shared" si="2"/>
        <v>-</v>
      </c>
      <c r="AK2" s="101" t="str">
        <f t="shared" si="2"/>
        <v>-</v>
      </c>
      <c r="AL2" s="101" t="str">
        <f t="shared" si="2"/>
        <v>-</v>
      </c>
      <c r="AM2" s="101" t="str">
        <f t="shared" ref="AM2:AV5" si="3">IF(AND(AM$1&gt;=$H2,AM$1&lt;($H2+$G2)),ROUND($F2/$G2,0),"-")</f>
        <v>-</v>
      </c>
      <c r="AN2" s="101" t="str">
        <f t="shared" si="3"/>
        <v>-</v>
      </c>
      <c r="AO2" s="101" t="str">
        <f t="shared" si="3"/>
        <v>-</v>
      </c>
      <c r="AP2" s="101" t="str">
        <f t="shared" si="3"/>
        <v>-</v>
      </c>
      <c r="AQ2" s="101" t="str">
        <f t="shared" si="3"/>
        <v>-</v>
      </c>
      <c r="AR2" s="101" t="str">
        <f t="shared" si="3"/>
        <v>-</v>
      </c>
      <c r="AS2" s="101" t="str">
        <f t="shared" si="3"/>
        <v>-</v>
      </c>
      <c r="AT2" s="101" t="str">
        <f t="shared" si="3"/>
        <v>-</v>
      </c>
      <c r="AU2" s="101" t="str">
        <f t="shared" si="3"/>
        <v>-</v>
      </c>
      <c r="AV2" s="101" t="e">
        <f t="shared" si="3"/>
        <v>#VALUE!</v>
      </c>
      <c r="AW2" s="101" t="str">
        <f t="shared" ref="AW2:BF5" si="4">IF(AND(AW$1&gt;=$H2,AW$1&lt;($H2+$G2)),ROUND($F2/$G2,0),"-")</f>
        <v>-</v>
      </c>
      <c r="AX2" s="101" t="str">
        <f t="shared" si="4"/>
        <v>-</v>
      </c>
      <c r="AY2" s="101" t="str">
        <f t="shared" si="4"/>
        <v>-</v>
      </c>
      <c r="AZ2" s="101" t="str">
        <f t="shared" si="4"/>
        <v>-</v>
      </c>
      <c r="BA2" s="101" t="str">
        <f t="shared" si="4"/>
        <v>-</v>
      </c>
      <c r="BB2" s="101" t="str">
        <f t="shared" si="4"/>
        <v>-</v>
      </c>
      <c r="BC2" s="101" t="str">
        <f t="shared" si="4"/>
        <v>-</v>
      </c>
      <c r="BD2" s="101" t="str">
        <f t="shared" si="4"/>
        <v>-</v>
      </c>
      <c r="BE2" s="101" t="str">
        <f t="shared" si="4"/>
        <v>-</v>
      </c>
      <c r="BF2" s="101" t="str">
        <f t="shared" si="4"/>
        <v>-</v>
      </c>
      <c r="BG2" s="101" t="str">
        <f t="shared" ref="BG2:BP5" si="5">IF(AND(BG$1&gt;=$H2,BG$1&lt;($H2+$G2)),ROUND($F2/$G2,0),"-")</f>
        <v>-</v>
      </c>
      <c r="BH2" s="101" t="str">
        <f t="shared" si="5"/>
        <v>-</v>
      </c>
      <c r="BI2" s="101" t="str">
        <f t="shared" si="5"/>
        <v>-</v>
      </c>
      <c r="BJ2" s="101" t="str">
        <f t="shared" si="5"/>
        <v>-</v>
      </c>
      <c r="BK2" s="101" t="str">
        <f t="shared" si="5"/>
        <v>-</v>
      </c>
      <c r="BL2" s="101" t="str">
        <f t="shared" si="5"/>
        <v>-</v>
      </c>
      <c r="BM2" s="101" t="str">
        <f t="shared" si="5"/>
        <v>-</v>
      </c>
      <c r="BN2" s="101" t="str">
        <f t="shared" si="5"/>
        <v>-</v>
      </c>
      <c r="BO2" s="101" t="str">
        <f t="shared" si="5"/>
        <v>-</v>
      </c>
      <c r="BP2" s="101" t="str">
        <f t="shared" si="5"/>
        <v>-</v>
      </c>
      <c r="BQ2" s="101" t="str">
        <f t="shared" ref="BQ2:BZ5" si="6">IF(AND(BQ$1&gt;=$H2,BQ$1&lt;($H2+$G2)),ROUND($F2/$G2,0),"-")</f>
        <v>-</v>
      </c>
      <c r="BR2" s="101" t="str">
        <f t="shared" si="6"/>
        <v>-</v>
      </c>
      <c r="BS2" s="101" t="str">
        <f t="shared" si="6"/>
        <v>-</v>
      </c>
      <c r="BT2" s="101" t="str">
        <f t="shared" si="6"/>
        <v>-</v>
      </c>
      <c r="BU2" s="101" t="str">
        <f t="shared" si="6"/>
        <v>-</v>
      </c>
      <c r="BV2" s="101" t="str">
        <f t="shared" si="6"/>
        <v>-</v>
      </c>
      <c r="BW2" s="101" t="str">
        <f t="shared" si="6"/>
        <v>-</v>
      </c>
      <c r="BX2" s="101" t="str">
        <f t="shared" si="6"/>
        <v>-</v>
      </c>
      <c r="BY2" s="101" t="str">
        <f t="shared" si="6"/>
        <v>-</v>
      </c>
      <c r="BZ2" s="101" t="str">
        <f t="shared" si="6"/>
        <v>-</v>
      </c>
      <c r="CA2" s="101" t="str">
        <f t="shared" ref="CA2:CJ5" si="7">IF(AND(CA$1&gt;=$H2,CA$1&lt;($H2+$G2)),ROUND($F2/$G2,0),"-")</f>
        <v>-</v>
      </c>
      <c r="CB2" s="101" t="str">
        <f t="shared" si="7"/>
        <v>-</v>
      </c>
      <c r="CC2" s="101" t="str">
        <f t="shared" si="7"/>
        <v>-</v>
      </c>
      <c r="CD2" s="101" t="str">
        <f t="shared" si="7"/>
        <v>-</v>
      </c>
      <c r="CE2" s="101" t="str">
        <f t="shared" si="7"/>
        <v>-</v>
      </c>
      <c r="CF2" s="101" t="str">
        <f t="shared" si="7"/>
        <v>-</v>
      </c>
      <c r="CG2" s="101" t="str">
        <f t="shared" si="7"/>
        <v>-</v>
      </c>
      <c r="CH2" s="101" t="str">
        <f t="shared" si="7"/>
        <v>-</v>
      </c>
      <c r="CI2" s="101" t="str">
        <f t="shared" si="7"/>
        <v>-</v>
      </c>
      <c r="CJ2" s="101" t="str">
        <f t="shared" si="7"/>
        <v>-</v>
      </c>
      <c r="CK2" s="101" t="str">
        <f t="shared" ref="CK2:CT5" si="8">IF(AND(CK$1&gt;=$H2,CK$1&lt;($H2+$G2)),ROUND($F2/$G2,0),"-")</f>
        <v>-</v>
      </c>
      <c r="CL2" s="101" t="str">
        <f t="shared" si="8"/>
        <v>-</v>
      </c>
      <c r="CM2" s="101" t="str">
        <f t="shared" si="8"/>
        <v>-</v>
      </c>
      <c r="CN2" s="101" t="str">
        <f t="shared" si="8"/>
        <v>-</v>
      </c>
      <c r="CO2" s="101" t="str">
        <f t="shared" si="8"/>
        <v>-</v>
      </c>
      <c r="CP2" s="134" t="str">
        <f t="shared" si="8"/>
        <v>-</v>
      </c>
      <c r="CQ2" s="134" t="str">
        <f t="shared" si="8"/>
        <v>-</v>
      </c>
      <c r="CR2" s="134" t="str">
        <f t="shared" si="8"/>
        <v>-</v>
      </c>
      <c r="CS2" s="134" t="str">
        <f t="shared" si="8"/>
        <v>-</v>
      </c>
      <c r="CT2" s="101" t="str">
        <f t="shared" si="8"/>
        <v>-</v>
      </c>
    </row>
    <row r="3" spans="1:174">
      <c r="A3" s="466"/>
      <c r="B3" s="466"/>
      <c r="C3" s="466"/>
      <c r="D3" s="466"/>
      <c r="E3" s="109" t="s">
        <v>65</v>
      </c>
      <c r="F3" s="102" t="e">
        <f>SUM('BESS 10B'!S28,'BESS 10B'!S30:S31,'BESS 10B'!S34:S36)</f>
        <v>#VALUE!</v>
      </c>
      <c r="G3" s="102">
        <f>MAX('BESS 10B'!O28,'BESS 10B'!O30:O31,'BESS 10B'!O34:O36)-MIN('BESS 10B'!O28,'BESS 10B'!O30:O31,'BESS 10B'!O34:O36)+1</f>
        <v>1</v>
      </c>
      <c r="H3" s="110">
        <f>MIN('BESS 10B'!O28,'BESS 10B'!O30:O31,'BESS 10B'!O34:O36)</f>
        <v>46233</v>
      </c>
      <c r="I3" s="101" t="str">
        <f t="shared" si="0"/>
        <v>-</v>
      </c>
      <c r="J3" s="101" t="str">
        <f t="shared" si="0"/>
        <v>-</v>
      </c>
      <c r="K3" s="101" t="str">
        <f t="shared" si="0"/>
        <v>-</v>
      </c>
      <c r="L3" s="101" t="str">
        <f t="shared" si="0"/>
        <v>-</v>
      </c>
      <c r="M3" s="101" t="str">
        <f t="shared" si="0"/>
        <v>-</v>
      </c>
      <c r="N3" s="101" t="str">
        <f t="shared" si="0"/>
        <v>-</v>
      </c>
      <c r="O3" s="101" t="str">
        <f t="shared" si="0"/>
        <v>-</v>
      </c>
      <c r="P3" s="101" t="str">
        <f t="shared" si="0"/>
        <v>-</v>
      </c>
      <c r="Q3" s="101" t="str">
        <f t="shared" si="0"/>
        <v>-</v>
      </c>
      <c r="R3" s="101" t="str">
        <f t="shared" si="0"/>
        <v>-</v>
      </c>
      <c r="S3" s="101" t="str">
        <f t="shared" si="1"/>
        <v>-</v>
      </c>
      <c r="T3" s="101" t="str">
        <f t="shared" si="1"/>
        <v>-</v>
      </c>
      <c r="U3" s="101" t="str">
        <f t="shared" si="1"/>
        <v>-</v>
      </c>
      <c r="V3" s="101" t="str">
        <f t="shared" si="1"/>
        <v>-</v>
      </c>
      <c r="W3" s="101" t="str">
        <f t="shared" si="1"/>
        <v>-</v>
      </c>
      <c r="X3" s="101" t="str">
        <f t="shared" si="1"/>
        <v>-</v>
      </c>
      <c r="Y3" s="101" t="str">
        <f t="shared" si="1"/>
        <v>-</v>
      </c>
      <c r="Z3" s="101" t="str">
        <f t="shared" si="1"/>
        <v>-</v>
      </c>
      <c r="AA3" s="101" t="str">
        <f t="shared" si="1"/>
        <v>-</v>
      </c>
      <c r="AB3" s="101" t="str">
        <f t="shared" si="1"/>
        <v>-</v>
      </c>
      <c r="AC3" s="101" t="str">
        <f t="shared" si="2"/>
        <v>-</v>
      </c>
      <c r="AD3" s="101" t="str">
        <f t="shared" si="2"/>
        <v>-</v>
      </c>
      <c r="AE3" s="101" t="str">
        <f t="shared" si="2"/>
        <v>-</v>
      </c>
      <c r="AF3" s="101" t="str">
        <f t="shared" si="2"/>
        <v>-</v>
      </c>
      <c r="AG3" s="101" t="str">
        <f t="shared" si="2"/>
        <v>-</v>
      </c>
      <c r="AH3" s="101" t="str">
        <f t="shared" si="2"/>
        <v>-</v>
      </c>
      <c r="AI3" s="101" t="str">
        <f t="shared" si="2"/>
        <v>-</v>
      </c>
      <c r="AJ3" s="101" t="str">
        <f t="shared" si="2"/>
        <v>-</v>
      </c>
      <c r="AK3" s="101" t="str">
        <f t="shared" si="2"/>
        <v>-</v>
      </c>
      <c r="AL3" s="101" t="str">
        <f t="shared" si="2"/>
        <v>-</v>
      </c>
      <c r="AM3" s="101" t="str">
        <f t="shared" si="3"/>
        <v>-</v>
      </c>
      <c r="AN3" s="101" t="str">
        <f t="shared" si="3"/>
        <v>-</v>
      </c>
      <c r="AO3" s="101" t="str">
        <f t="shared" si="3"/>
        <v>-</v>
      </c>
      <c r="AP3" s="101" t="str">
        <f t="shared" si="3"/>
        <v>-</v>
      </c>
      <c r="AQ3" s="101" t="str">
        <f t="shared" si="3"/>
        <v>-</v>
      </c>
      <c r="AR3" s="101" t="str">
        <f t="shared" si="3"/>
        <v>-</v>
      </c>
      <c r="AS3" s="101" t="str">
        <f t="shared" si="3"/>
        <v>-</v>
      </c>
      <c r="AT3" s="101" t="str">
        <f t="shared" si="3"/>
        <v>-</v>
      </c>
      <c r="AU3" s="101" t="e">
        <f t="shared" si="3"/>
        <v>#VALUE!</v>
      </c>
      <c r="AV3" s="101" t="str">
        <f t="shared" si="3"/>
        <v>-</v>
      </c>
      <c r="AW3" s="101" t="str">
        <f t="shared" si="4"/>
        <v>-</v>
      </c>
      <c r="AX3" s="101" t="str">
        <f t="shared" si="4"/>
        <v>-</v>
      </c>
      <c r="AY3" s="101" t="str">
        <f t="shared" si="4"/>
        <v>-</v>
      </c>
      <c r="AZ3" s="101" t="str">
        <f t="shared" si="4"/>
        <v>-</v>
      </c>
      <c r="BA3" s="101" t="str">
        <f t="shared" si="4"/>
        <v>-</v>
      </c>
      <c r="BB3" s="101" t="str">
        <f t="shared" si="4"/>
        <v>-</v>
      </c>
      <c r="BC3" s="101" t="str">
        <f t="shared" si="4"/>
        <v>-</v>
      </c>
      <c r="BD3" s="101" t="str">
        <f t="shared" si="4"/>
        <v>-</v>
      </c>
      <c r="BE3" s="101" t="str">
        <f t="shared" si="4"/>
        <v>-</v>
      </c>
      <c r="BF3" s="101" t="str">
        <f t="shared" si="4"/>
        <v>-</v>
      </c>
      <c r="BG3" s="101" t="str">
        <f t="shared" si="5"/>
        <v>-</v>
      </c>
      <c r="BH3" s="101" t="str">
        <f t="shared" si="5"/>
        <v>-</v>
      </c>
      <c r="BI3" s="101" t="str">
        <f t="shared" si="5"/>
        <v>-</v>
      </c>
      <c r="BJ3" s="101" t="str">
        <f t="shared" si="5"/>
        <v>-</v>
      </c>
      <c r="BK3" s="101" t="str">
        <f t="shared" si="5"/>
        <v>-</v>
      </c>
      <c r="BL3" s="101" t="str">
        <f t="shared" si="5"/>
        <v>-</v>
      </c>
      <c r="BM3" s="101" t="str">
        <f t="shared" si="5"/>
        <v>-</v>
      </c>
      <c r="BN3" s="101" t="str">
        <f t="shared" si="5"/>
        <v>-</v>
      </c>
      <c r="BO3" s="101" t="str">
        <f t="shared" si="5"/>
        <v>-</v>
      </c>
      <c r="BP3" s="101" t="str">
        <f t="shared" si="5"/>
        <v>-</v>
      </c>
      <c r="BQ3" s="101" t="str">
        <f t="shared" si="6"/>
        <v>-</v>
      </c>
      <c r="BR3" s="101" t="str">
        <f t="shared" si="6"/>
        <v>-</v>
      </c>
      <c r="BS3" s="101" t="str">
        <f t="shared" si="6"/>
        <v>-</v>
      </c>
      <c r="BT3" s="101" t="str">
        <f t="shared" si="6"/>
        <v>-</v>
      </c>
      <c r="BU3" s="101" t="str">
        <f t="shared" si="6"/>
        <v>-</v>
      </c>
      <c r="BV3" s="101" t="str">
        <f t="shared" si="6"/>
        <v>-</v>
      </c>
      <c r="BW3" s="101" t="str">
        <f t="shared" si="6"/>
        <v>-</v>
      </c>
      <c r="BX3" s="101" t="str">
        <f t="shared" si="6"/>
        <v>-</v>
      </c>
      <c r="BY3" s="101" t="str">
        <f t="shared" si="6"/>
        <v>-</v>
      </c>
      <c r="BZ3" s="101" t="str">
        <f t="shared" si="6"/>
        <v>-</v>
      </c>
      <c r="CA3" s="101" t="str">
        <f t="shared" si="7"/>
        <v>-</v>
      </c>
      <c r="CB3" s="101" t="str">
        <f t="shared" si="7"/>
        <v>-</v>
      </c>
      <c r="CC3" s="101" t="str">
        <f t="shared" si="7"/>
        <v>-</v>
      </c>
      <c r="CD3" s="101" t="str">
        <f t="shared" si="7"/>
        <v>-</v>
      </c>
      <c r="CE3" s="101" t="str">
        <f t="shared" si="7"/>
        <v>-</v>
      </c>
      <c r="CF3" s="101" t="str">
        <f t="shared" si="7"/>
        <v>-</v>
      </c>
      <c r="CG3" s="101" t="str">
        <f t="shared" si="7"/>
        <v>-</v>
      </c>
      <c r="CH3" s="101" t="str">
        <f t="shared" si="7"/>
        <v>-</v>
      </c>
      <c r="CI3" s="101" t="str">
        <f t="shared" si="7"/>
        <v>-</v>
      </c>
      <c r="CJ3" s="101" t="str">
        <f t="shared" si="7"/>
        <v>-</v>
      </c>
      <c r="CK3" s="101" t="str">
        <f t="shared" si="8"/>
        <v>-</v>
      </c>
      <c r="CL3" s="101" t="str">
        <f t="shared" si="8"/>
        <v>-</v>
      </c>
      <c r="CM3" s="101" t="str">
        <f t="shared" si="8"/>
        <v>-</v>
      </c>
      <c r="CN3" s="101" t="str">
        <f t="shared" si="8"/>
        <v>-</v>
      </c>
      <c r="CO3" s="101" t="str">
        <f t="shared" si="8"/>
        <v>-</v>
      </c>
      <c r="CP3" s="134" t="str">
        <f t="shared" si="8"/>
        <v>-</v>
      </c>
      <c r="CQ3" s="134" t="str">
        <f t="shared" si="8"/>
        <v>-</v>
      </c>
      <c r="CR3" s="134" t="str">
        <f t="shared" si="8"/>
        <v>-</v>
      </c>
      <c r="CS3" s="134" t="str">
        <f t="shared" si="8"/>
        <v>-</v>
      </c>
      <c r="CT3" s="101" t="str">
        <f t="shared" si="8"/>
        <v>-</v>
      </c>
    </row>
    <row r="4" spans="1:174">
      <c r="A4" s="466"/>
      <c r="B4" s="466"/>
      <c r="C4" s="466"/>
      <c r="D4" s="466"/>
      <c r="E4" s="109" t="s">
        <v>66</v>
      </c>
      <c r="F4" s="102" t="e">
        <f>SUM('BESS 10B'!S29,'BESS 10B'!S32:S33,'BESS 10B'!S37:S38)</f>
        <v>#VALUE!</v>
      </c>
      <c r="G4" s="102">
        <f>MAX('BESS 10B'!O29,'BESS 10B'!O32:O33,'BESS 10B'!O37:O38)-MIN('BESS 10B'!O29,'BESS 10B'!O32:O33,'BESS 10B'!O37:O38)+1</f>
        <v>1</v>
      </c>
      <c r="H4" s="110">
        <f>MIN('BESS 10B'!O29,'BESS 10B'!O32:O33,'BESS 10B'!O37:O38)</f>
        <v>46235</v>
      </c>
      <c r="I4" s="101" t="str">
        <f t="shared" si="0"/>
        <v>-</v>
      </c>
      <c r="J4" s="101" t="str">
        <f t="shared" si="0"/>
        <v>-</v>
      </c>
      <c r="K4" s="101" t="str">
        <f t="shared" si="0"/>
        <v>-</v>
      </c>
      <c r="L4" s="101" t="str">
        <f t="shared" si="0"/>
        <v>-</v>
      </c>
      <c r="M4" s="101" t="str">
        <f t="shared" si="0"/>
        <v>-</v>
      </c>
      <c r="N4" s="101" t="str">
        <f t="shared" si="0"/>
        <v>-</v>
      </c>
      <c r="O4" s="101" t="str">
        <f t="shared" si="0"/>
        <v>-</v>
      </c>
      <c r="P4" s="101" t="str">
        <f t="shared" si="0"/>
        <v>-</v>
      </c>
      <c r="Q4" s="101" t="str">
        <f t="shared" si="0"/>
        <v>-</v>
      </c>
      <c r="R4" s="101" t="str">
        <f t="shared" si="0"/>
        <v>-</v>
      </c>
      <c r="S4" s="101" t="str">
        <f t="shared" si="1"/>
        <v>-</v>
      </c>
      <c r="T4" s="101" t="str">
        <f t="shared" si="1"/>
        <v>-</v>
      </c>
      <c r="U4" s="101" t="str">
        <f t="shared" si="1"/>
        <v>-</v>
      </c>
      <c r="V4" s="101" t="str">
        <f t="shared" si="1"/>
        <v>-</v>
      </c>
      <c r="W4" s="101" t="str">
        <f t="shared" si="1"/>
        <v>-</v>
      </c>
      <c r="X4" s="101" t="str">
        <f t="shared" si="1"/>
        <v>-</v>
      </c>
      <c r="Y4" s="101" t="str">
        <f t="shared" si="1"/>
        <v>-</v>
      </c>
      <c r="Z4" s="101" t="str">
        <f t="shared" si="1"/>
        <v>-</v>
      </c>
      <c r="AA4" s="101" t="str">
        <f t="shared" si="1"/>
        <v>-</v>
      </c>
      <c r="AB4" s="101" t="str">
        <f t="shared" si="1"/>
        <v>-</v>
      </c>
      <c r="AC4" s="101" t="str">
        <f t="shared" si="2"/>
        <v>-</v>
      </c>
      <c r="AD4" s="101" t="str">
        <f t="shared" si="2"/>
        <v>-</v>
      </c>
      <c r="AE4" s="101" t="str">
        <f t="shared" si="2"/>
        <v>-</v>
      </c>
      <c r="AF4" s="101" t="str">
        <f t="shared" si="2"/>
        <v>-</v>
      </c>
      <c r="AG4" s="101" t="str">
        <f t="shared" si="2"/>
        <v>-</v>
      </c>
      <c r="AH4" s="101" t="str">
        <f t="shared" si="2"/>
        <v>-</v>
      </c>
      <c r="AI4" s="101" t="str">
        <f t="shared" si="2"/>
        <v>-</v>
      </c>
      <c r="AJ4" s="101" t="str">
        <f t="shared" si="2"/>
        <v>-</v>
      </c>
      <c r="AK4" s="101" t="str">
        <f t="shared" si="2"/>
        <v>-</v>
      </c>
      <c r="AL4" s="101" t="str">
        <f t="shared" si="2"/>
        <v>-</v>
      </c>
      <c r="AM4" s="101" t="str">
        <f t="shared" si="3"/>
        <v>-</v>
      </c>
      <c r="AN4" s="101" t="str">
        <f t="shared" si="3"/>
        <v>-</v>
      </c>
      <c r="AO4" s="101" t="str">
        <f t="shared" si="3"/>
        <v>-</v>
      </c>
      <c r="AP4" s="101" t="str">
        <f t="shared" si="3"/>
        <v>-</v>
      </c>
      <c r="AQ4" s="101" t="str">
        <f t="shared" si="3"/>
        <v>-</v>
      </c>
      <c r="AR4" s="101" t="str">
        <f t="shared" si="3"/>
        <v>-</v>
      </c>
      <c r="AS4" s="101" t="str">
        <f t="shared" si="3"/>
        <v>-</v>
      </c>
      <c r="AT4" s="101" t="str">
        <f t="shared" si="3"/>
        <v>-</v>
      </c>
      <c r="AU4" s="101" t="str">
        <f t="shared" si="3"/>
        <v>-</v>
      </c>
      <c r="AV4" s="101" t="str">
        <f t="shared" si="3"/>
        <v>-</v>
      </c>
      <c r="AW4" s="101" t="e">
        <f t="shared" si="4"/>
        <v>#VALUE!</v>
      </c>
      <c r="AX4" s="101" t="str">
        <f t="shared" si="4"/>
        <v>-</v>
      </c>
      <c r="AY4" s="101" t="str">
        <f t="shared" si="4"/>
        <v>-</v>
      </c>
      <c r="AZ4" s="101" t="str">
        <f t="shared" si="4"/>
        <v>-</v>
      </c>
      <c r="BA4" s="101" t="str">
        <f t="shared" si="4"/>
        <v>-</v>
      </c>
      <c r="BB4" s="101" t="str">
        <f t="shared" si="4"/>
        <v>-</v>
      </c>
      <c r="BC4" s="101" t="str">
        <f t="shared" si="4"/>
        <v>-</v>
      </c>
      <c r="BD4" s="101" t="str">
        <f t="shared" si="4"/>
        <v>-</v>
      </c>
      <c r="BE4" s="101" t="str">
        <f t="shared" si="4"/>
        <v>-</v>
      </c>
      <c r="BF4" s="101" t="str">
        <f t="shared" si="4"/>
        <v>-</v>
      </c>
      <c r="BG4" s="101" t="str">
        <f t="shared" si="5"/>
        <v>-</v>
      </c>
      <c r="BH4" s="101" t="str">
        <f t="shared" si="5"/>
        <v>-</v>
      </c>
      <c r="BI4" s="101" t="str">
        <f t="shared" si="5"/>
        <v>-</v>
      </c>
      <c r="BJ4" s="101" t="str">
        <f t="shared" si="5"/>
        <v>-</v>
      </c>
      <c r="BK4" s="101" t="str">
        <f t="shared" si="5"/>
        <v>-</v>
      </c>
      <c r="BL4" s="101" t="str">
        <f t="shared" si="5"/>
        <v>-</v>
      </c>
      <c r="BM4" s="101" t="str">
        <f t="shared" si="5"/>
        <v>-</v>
      </c>
      <c r="BN4" s="101" t="str">
        <f t="shared" si="5"/>
        <v>-</v>
      </c>
      <c r="BO4" s="101" t="str">
        <f t="shared" si="5"/>
        <v>-</v>
      </c>
      <c r="BP4" s="101" t="str">
        <f t="shared" si="5"/>
        <v>-</v>
      </c>
      <c r="BQ4" s="101" t="str">
        <f t="shared" si="6"/>
        <v>-</v>
      </c>
      <c r="BR4" s="101" t="str">
        <f t="shared" si="6"/>
        <v>-</v>
      </c>
      <c r="BS4" s="101" t="str">
        <f t="shared" si="6"/>
        <v>-</v>
      </c>
      <c r="BT4" s="101" t="str">
        <f t="shared" si="6"/>
        <v>-</v>
      </c>
      <c r="BU4" s="101" t="str">
        <f t="shared" si="6"/>
        <v>-</v>
      </c>
      <c r="BV4" s="101" t="str">
        <f t="shared" si="6"/>
        <v>-</v>
      </c>
      <c r="BW4" s="101" t="str">
        <f t="shared" si="6"/>
        <v>-</v>
      </c>
      <c r="BX4" s="101" t="str">
        <f t="shared" si="6"/>
        <v>-</v>
      </c>
      <c r="BY4" s="101" t="str">
        <f t="shared" si="6"/>
        <v>-</v>
      </c>
      <c r="BZ4" s="101" t="str">
        <f t="shared" si="6"/>
        <v>-</v>
      </c>
      <c r="CA4" s="101" t="str">
        <f t="shared" si="7"/>
        <v>-</v>
      </c>
      <c r="CB4" s="101" t="str">
        <f t="shared" si="7"/>
        <v>-</v>
      </c>
      <c r="CC4" s="101" t="str">
        <f t="shared" si="7"/>
        <v>-</v>
      </c>
      <c r="CD4" s="101" t="str">
        <f t="shared" si="7"/>
        <v>-</v>
      </c>
      <c r="CE4" s="101" t="str">
        <f t="shared" si="7"/>
        <v>-</v>
      </c>
      <c r="CF4" s="101" t="str">
        <f t="shared" si="7"/>
        <v>-</v>
      </c>
      <c r="CG4" s="101" t="str">
        <f t="shared" si="7"/>
        <v>-</v>
      </c>
      <c r="CH4" s="101" t="str">
        <f t="shared" si="7"/>
        <v>-</v>
      </c>
      <c r="CI4" s="101" t="str">
        <f t="shared" si="7"/>
        <v>-</v>
      </c>
      <c r="CJ4" s="101" t="str">
        <f t="shared" si="7"/>
        <v>-</v>
      </c>
      <c r="CK4" s="101" t="str">
        <f t="shared" si="8"/>
        <v>-</v>
      </c>
      <c r="CL4" s="101" t="str">
        <f t="shared" si="8"/>
        <v>-</v>
      </c>
      <c r="CM4" s="101" t="str">
        <f t="shared" si="8"/>
        <v>-</v>
      </c>
      <c r="CN4" s="101" t="str">
        <f t="shared" si="8"/>
        <v>-</v>
      </c>
      <c r="CO4" s="101" t="str">
        <f t="shared" si="8"/>
        <v>-</v>
      </c>
      <c r="CP4" s="134" t="str">
        <f t="shared" si="8"/>
        <v>-</v>
      </c>
      <c r="CQ4" s="134" t="str">
        <f t="shared" si="8"/>
        <v>-</v>
      </c>
      <c r="CR4" s="134" t="str">
        <f t="shared" si="8"/>
        <v>-</v>
      </c>
      <c r="CS4" s="134" t="str">
        <f t="shared" si="8"/>
        <v>-</v>
      </c>
      <c r="CT4" s="101" t="str">
        <f t="shared" si="8"/>
        <v>-</v>
      </c>
    </row>
    <row r="5" spans="1:174">
      <c r="A5" s="466"/>
      <c r="B5" s="466"/>
      <c r="C5" s="466"/>
      <c r="D5" s="466"/>
      <c r="E5" s="109" t="s">
        <v>67</v>
      </c>
      <c r="F5" s="102" t="e">
        <f>SUM('BESS 10B'!S40:S49)</f>
        <v>#VALUE!</v>
      </c>
      <c r="G5" s="102">
        <f>MAX('BESS 10B'!O40:O49)-MIN('BESS 10B'!O40:O49)+1</f>
        <v>6</v>
      </c>
      <c r="H5" s="110">
        <f>MIN('BESS 10B'!O40:O49)</f>
        <v>46233</v>
      </c>
      <c r="I5" s="101" t="str">
        <f t="shared" si="0"/>
        <v>-</v>
      </c>
      <c r="J5" s="101" t="str">
        <f t="shared" si="0"/>
        <v>-</v>
      </c>
      <c r="K5" s="101" t="str">
        <f t="shared" si="0"/>
        <v>-</v>
      </c>
      <c r="L5" s="101" t="str">
        <f t="shared" si="0"/>
        <v>-</v>
      </c>
      <c r="M5" s="101" t="str">
        <f t="shared" si="0"/>
        <v>-</v>
      </c>
      <c r="N5" s="101" t="str">
        <f t="shared" si="0"/>
        <v>-</v>
      </c>
      <c r="O5" s="101" t="str">
        <f t="shared" si="0"/>
        <v>-</v>
      </c>
      <c r="P5" s="101" t="str">
        <f t="shared" si="0"/>
        <v>-</v>
      </c>
      <c r="Q5" s="101" t="str">
        <f t="shared" si="0"/>
        <v>-</v>
      </c>
      <c r="R5" s="101" t="str">
        <f t="shared" si="0"/>
        <v>-</v>
      </c>
      <c r="S5" s="101" t="str">
        <f t="shared" si="1"/>
        <v>-</v>
      </c>
      <c r="T5" s="101" t="str">
        <f t="shared" si="1"/>
        <v>-</v>
      </c>
      <c r="U5" s="101" t="str">
        <f t="shared" si="1"/>
        <v>-</v>
      </c>
      <c r="V5" s="101" t="str">
        <f t="shared" si="1"/>
        <v>-</v>
      </c>
      <c r="W5" s="101" t="str">
        <f t="shared" si="1"/>
        <v>-</v>
      </c>
      <c r="X5" s="101" t="str">
        <f t="shared" si="1"/>
        <v>-</v>
      </c>
      <c r="Y5" s="101" t="str">
        <f t="shared" si="1"/>
        <v>-</v>
      </c>
      <c r="Z5" s="101" t="str">
        <f t="shared" si="1"/>
        <v>-</v>
      </c>
      <c r="AA5" s="101" t="str">
        <f t="shared" si="1"/>
        <v>-</v>
      </c>
      <c r="AB5" s="101" t="str">
        <f t="shared" si="1"/>
        <v>-</v>
      </c>
      <c r="AC5" s="101" t="str">
        <f t="shared" si="2"/>
        <v>-</v>
      </c>
      <c r="AD5" s="101" t="str">
        <f t="shared" si="2"/>
        <v>-</v>
      </c>
      <c r="AE5" s="101" t="str">
        <f t="shared" si="2"/>
        <v>-</v>
      </c>
      <c r="AF5" s="101" t="str">
        <f t="shared" si="2"/>
        <v>-</v>
      </c>
      <c r="AG5" s="101" t="str">
        <f t="shared" si="2"/>
        <v>-</v>
      </c>
      <c r="AH5" s="101" t="str">
        <f t="shared" si="2"/>
        <v>-</v>
      </c>
      <c r="AI5" s="101" t="str">
        <f t="shared" si="2"/>
        <v>-</v>
      </c>
      <c r="AJ5" s="101" t="str">
        <f t="shared" si="2"/>
        <v>-</v>
      </c>
      <c r="AK5" s="101" t="str">
        <f t="shared" si="2"/>
        <v>-</v>
      </c>
      <c r="AL5" s="101" t="str">
        <f t="shared" si="2"/>
        <v>-</v>
      </c>
      <c r="AM5" s="101" t="str">
        <f t="shared" si="3"/>
        <v>-</v>
      </c>
      <c r="AN5" s="101" t="str">
        <f t="shared" si="3"/>
        <v>-</v>
      </c>
      <c r="AO5" s="101" t="str">
        <f t="shared" si="3"/>
        <v>-</v>
      </c>
      <c r="AP5" s="101" t="str">
        <f t="shared" si="3"/>
        <v>-</v>
      </c>
      <c r="AQ5" s="101" t="str">
        <f t="shared" si="3"/>
        <v>-</v>
      </c>
      <c r="AR5" s="101" t="str">
        <f t="shared" si="3"/>
        <v>-</v>
      </c>
      <c r="AS5" s="101" t="str">
        <f t="shared" si="3"/>
        <v>-</v>
      </c>
      <c r="AT5" s="101" t="str">
        <f t="shared" si="3"/>
        <v>-</v>
      </c>
      <c r="AU5" s="101" t="e">
        <f t="shared" si="3"/>
        <v>#VALUE!</v>
      </c>
      <c r="AV5" s="101" t="e">
        <f t="shared" si="3"/>
        <v>#VALUE!</v>
      </c>
      <c r="AW5" s="101" t="e">
        <f t="shared" si="4"/>
        <v>#VALUE!</v>
      </c>
      <c r="AX5" s="101" t="e">
        <f t="shared" si="4"/>
        <v>#VALUE!</v>
      </c>
      <c r="AY5" s="101" t="e">
        <f t="shared" si="4"/>
        <v>#VALUE!</v>
      </c>
      <c r="AZ5" s="101" t="e">
        <f t="shared" si="4"/>
        <v>#VALUE!</v>
      </c>
      <c r="BA5" s="101" t="str">
        <f t="shared" si="4"/>
        <v>-</v>
      </c>
      <c r="BB5" s="101" t="str">
        <f t="shared" si="4"/>
        <v>-</v>
      </c>
      <c r="BC5" s="101" t="str">
        <f t="shared" si="4"/>
        <v>-</v>
      </c>
      <c r="BD5" s="101" t="str">
        <f t="shared" si="4"/>
        <v>-</v>
      </c>
      <c r="BE5" s="101" t="str">
        <f t="shared" si="4"/>
        <v>-</v>
      </c>
      <c r="BF5" s="101" t="str">
        <f t="shared" si="4"/>
        <v>-</v>
      </c>
      <c r="BG5" s="101" t="str">
        <f t="shared" si="5"/>
        <v>-</v>
      </c>
      <c r="BH5" s="101" t="str">
        <f t="shared" si="5"/>
        <v>-</v>
      </c>
      <c r="BI5" s="101" t="str">
        <f t="shared" si="5"/>
        <v>-</v>
      </c>
      <c r="BJ5" s="101" t="str">
        <f t="shared" si="5"/>
        <v>-</v>
      </c>
      <c r="BK5" s="101" t="str">
        <f t="shared" si="5"/>
        <v>-</v>
      </c>
      <c r="BL5" s="101" t="str">
        <f t="shared" si="5"/>
        <v>-</v>
      </c>
      <c r="BM5" s="101" t="str">
        <f t="shared" si="5"/>
        <v>-</v>
      </c>
      <c r="BN5" s="101" t="str">
        <f t="shared" si="5"/>
        <v>-</v>
      </c>
      <c r="BO5" s="101" t="str">
        <f t="shared" si="5"/>
        <v>-</v>
      </c>
      <c r="BP5" s="101" t="str">
        <f t="shared" si="5"/>
        <v>-</v>
      </c>
      <c r="BQ5" s="101" t="str">
        <f t="shared" si="6"/>
        <v>-</v>
      </c>
      <c r="BR5" s="101" t="str">
        <f t="shared" si="6"/>
        <v>-</v>
      </c>
      <c r="BS5" s="101" t="str">
        <f t="shared" si="6"/>
        <v>-</v>
      </c>
      <c r="BT5" s="101" t="str">
        <f t="shared" si="6"/>
        <v>-</v>
      </c>
      <c r="BU5" s="101" t="str">
        <f t="shared" si="6"/>
        <v>-</v>
      </c>
      <c r="BV5" s="101" t="str">
        <f t="shared" si="6"/>
        <v>-</v>
      </c>
      <c r="BW5" s="101" t="str">
        <f t="shared" si="6"/>
        <v>-</v>
      </c>
      <c r="BX5" s="101" t="str">
        <f t="shared" si="6"/>
        <v>-</v>
      </c>
      <c r="BY5" s="101" t="str">
        <f t="shared" si="6"/>
        <v>-</v>
      </c>
      <c r="BZ5" s="101" t="str">
        <f t="shared" si="6"/>
        <v>-</v>
      </c>
      <c r="CA5" s="101" t="str">
        <f t="shared" si="7"/>
        <v>-</v>
      </c>
      <c r="CB5" s="101" t="str">
        <f t="shared" si="7"/>
        <v>-</v>
      </c>
      <c r="CC5" s="101" t="str">
        <f t="shared" si="7"/>
        <v>-</v>
      </c>
      <c r="CD5" s="101" t="str">
        <f t="shared" si="7"/>
        <v>-</v>
      </c>
      <c r="CE5" s="101" t="str">
        <f t="shared" si="7"/>
        <v>-</v>
      </c>
      <c r="CF5" s="101" t="str">
        <f t="shared" si="7"/>
        <v>-</v>
      </c>
      <c r="CG5" s="101" t="str">
        <f t="shared" si="7"/>
        <v>-</v>
      </c>
      <c r="CH5" s="101" t="str">
        <f t="shared" si="7"/>
        <v>-</v>
      </c>
      <c r="CI5" s="101" t="str">
        <f t="shared" si="7"/>
        <v>-</v>
      </c>
      <c r="CJ5" s="101" t="str">
        <f t="shared" si="7"/>
        <v>-</v>
      </c>
      <c r="CK5" s="101" t="str">
        <f t="shared" si="8"/>
        <v>-</v>
      </c>
      <c r="CL5" s="101" t="str">
        <f t="shared" si="8"/>
        <v>-</v>
      </c>
      <c r="CM5" s="101" t="str">
        <f t="shared" si="8"/>
        <v>-</v>
      </c>
      <c r="CN5" s="101" t="str">
        <f t="shared" si="8"/>
        <v>-</v>
      </c>
      <c r="CO5" s="101" t="str">
        <f t="shared" si="8"/>
        <v>-</v>
      </c>
      <c r="CP5" s="134" t="str">
        <f t="shared" si="8"/>
        <v>-</v>
      </c>
      <c r="CQ5" s="134" t="str">
        <f t="shared" si="8"/>
        <v>-</v>
      </c>
      <c r="CR5" s="134" t="str">
        <f t="shared" si="8"/>
        <v>-</v>
      </c>
      <c r="CS5" s="134" t="str">
        <f t="shared" si="8"/>
        <v>-</v>
      </c>
      <c r="CT5" s="101" t="str">
        <f t="shared" si="8"/>
        <v>-</v>
      </c>
    </row>
    <row r="6" spans="1:174">
      <c r="A6" s="466"/>
      <c r="B6" s="466"/>
      <c r="C6" s="466"/>
      <c r="D6" s="466"/>
      <c r="E6" s="109" t="s">
        <v>68</v>
      </c>
      <c r="F6" s="102">
        <f>SUM(Z6:BC6)</f>
        <v>250</v>
      </c>
      <c r="G6" s="101">
        <v>30</v>
      </c>
      <c r="H6" s="110">
        <f>B2-3</f>
        <v>46236</v>
      </c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>
        <v>5</v>
      </c>
      <c r="AA6" s="102">
        <v>5</v>
      </c>
      <c r="AB6" s="102">
        <v>5</v>
      </c>
      <c r="AC6" s="102">
        <v>5</v>
      </c>
      <c r="AD6" s="102">
        <v>5</v>
      </c>
      <c r="AE6" s="102">
        <v>5</v>
      </c>
      <c r="AF6" s="102">
        <v>5</v>
      </c>
      <c r="AG6" s="102">
        <v>5</v>
      </c>
      <c r="AH6" s="102">
        <v>5</v>
      </c>
      <c r="AI6" s="102">
        <v>5</v>
      </c>
      <c r="AJ6" s="102">
        <v>5</v>
      </c>
      <c r="AK6" s="102">
        <v>5</v>
      </c>
      <c r="AL6" s="102">
        <v>5</v>
      </c>
      <c r="AM6" s="102">
        <v>5</v>
      </c>
      <c r="AN6" s="102">
        <v>5</v>
      </c>
      <c r="AO6" s="102">
        <v>5</v>
      </c>
      <c r="AP6" s="102">
        <v>5</v>
      </c>
      <c r="AQ6" s="102">
        <v>5</v>
      </c>
      <c r="AR6" s="102">
        <v>5</v>
      </c>
      <c r="AS6" s="102">
        <v>5</v>
      </c>
      <c r="AT6" s="102">
        <v>5</v>
      </c>
      <c r="AU6" s="102">
        <v>5</v>
      </c>
      <c r="AV6" s="102">
        <v>5</v>
      </c>
      <c r="AW6" s="102">
        <v>5</v>
      </c>
      <c r="AX6" s="102">
        <v>30</v>
      </c>
      <c r="AY6" s="102">
        <v>30</v>
      </c>
      <c r="AZ6" s="102">
        <v>30</v>
      </c>
      <c r="BA6" s="102">
        <v>30</v>
      </c>
      <c r="BB6" s="101">
        <v>5</v>
      </c>
      <c r="BC6" s="101">
        <v>5</v>
      </c>
      <c r="BD6" s="101"/>
      <c r="BE6" s="101"/>
      <c r="BF6" s="101"/>
      <c r="BG6" s="101"/>
      <c r="BH6" s="101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M6" s="109"/>
      <c r="CN6" s="109"/>
      <c r="CO6" s="109"/>
      <c r="CP6" s="133"/>
      <c r="CQ6" s="133"/>
      <c r="CR6" s="133"/>
      <c r="CS6" s="133"/>
      <c r="CT6" s="109"/>
    </row>
    <row r="7" spans="1:174" s="141" customFormat="1">
      <c r="A7" s="143"/>
      <c r="B7" s="146"/>
      <c r="C7" s="146"/>
      <c r="D7" s="143"/>
      <c r="E7" s="143"/>
      <c r="F7" s="143"/>
      <c r="G7" s="144"/>
      <c r="H7" s="112" t="s">
        <v>69</v>
      </c>
      <c r="I7" s="112"/>
      <c r="J7" s="112"/>
      <c r="K7" s="113">
        <f t="shared" ref="K7:AP7" si="9">SUM(K2:K6)</f>
        <v>0</v>
      </c>
      <c r="L7" s="113">
        <f t="shared" si="9"/>
        <v>0</v>
      </c>
      <c r="M7" s="113">
        <f t="shared" si="9"/>
        <v>0</v>
      </c>
      <c r="N7" s="113">
        <f t="shared" si="9"/>
        <v>0</v>
      </c>
      <c r="O7" s="113">
        <f t="shared" si="9"/>
        <v>0</v>
      </c>
      <c r="P7" s="113">
        <f t="shared" si="9"/>
        <v>0</v>
      </c>
      <c r="Q7" s="113">
        <f t="shared" si="9"/>
        <v>0</v>
      </c>
      <c r="R7" s="113">
        <f t="shared" si="9"/>
        <v>0</v>
      </c>
      <c r="S7" s="113">
        <f t="shared" si="9"/>
        <v>0</v>
      </c>
      <c r="T7" s="113">
        <f t="shared" si="9"/>
        <v>0</v>
      </c>
      <c r="U7" s="113">
        <f t="shared" si="9"/>
        <v>0</v>
      </c>
      <c r="V7" s="113">
        <f t="shared" si="9"/>
        <v>0</v>
      </c>
      <c r="W7" s="113">
        <f t="shared" si="9"/>
        <v>0</v>
      </c>
      <c r="X7" s="113">
        <f t="shared" si="9"/>
        <v>0</v>
      </c>
      <c r="Y7" s="113">
        <f t="shared" si="9"/>
        <v>0</v>
      </c>
      <c r="Z7" s="113">
        <f t="shared" si="9"/>
        <v>5</v>
      </c>
      <c r="AA7" s="113">
        <f t="shared" si="9"/>
        <v>5</v>
      </c>
      <c r="AB7" s="113">
        <f t="shared" si="9"/>
        <v>5</v>
      </c>
      <c r="AC7" s="113">
        <f t="shared" si="9"/>
        <v>5</v>
      </c>
      <c r="AD7" s="113">
        <f t="shared" si="9"/>
        <v>5</v>
      </c>
      <c r="AE7" s="113">
        <f t="shared" si="9"/>
        <v>5</v>
      </c>
      <c r="AF7" s="113">
        <f t="shared" si="9"/>
        <v>5</v>
      </c>
      <c r="AG7" s="113">
        <f t="shared" si="9"/>
        <v>5</v>
      </c>
      <c r="AH7" s="113">
        <f t="shared" si="9"/>
        <v>5</v>
      </c>
      <c r="AI7" s="113">
        <f t="shared" si="9"/>
        <v>5</v>
      </c>
      <c r="AJ7" s="113">
        <f t="shared" si="9"/>
        <v>5</v>
      </c>
      <c r="AK7" s="113">
        <f t="shared" si="9"/>
        <v>5</v>
      </c>
      <c r="AL7" s="113">
        <f t="shared" si="9"/>
        <v>5</v>
      </c>
      <c r="AM7" s="113">
        <f t="shared" si="9"/>
        <v>5</v>
      </c>
      <c r="AN7" s="113">
        <f t="shared" si="9"/>
        <v>5</v>
      </c>
      <c r="AO7" s="113">
        <f t="shared" si="9"/>
        <v>5</v>
      </c>
      <c r="AP7" s="113">
        <f t="shared" si="9"/>
        <v>5</v>
      </c>
      <c r="AQ7" s="113">
        <f t="shared" ref="AQ7:BV7" si="10">SUM(AQ2:AQ6)</f>
        <v>5</v>
      </c>
      <c r="AR7" s="113">
        <f t="shared" si="10"/>
        <v>5</v>
      </c>
      <c r="AS7" s="113">
        <f t="shared" si="10"/>
        <v>5</v>
      </c>
      <c r="AT7" s="113">
        <f t="shared" si="10"/>
        <v>5</v>
      </c>
      <c r="AU7" s="113" t="e">
        <f t="shared" si="10"/>
        <v>#VALUE!</v>
      </c>
      <c r="AV7" s="113" t="e">
        <f t="shared" si="10"/>
        <v>#VALUE!</v>
      </c>
      <c r="AW7" s="113" t="e">
        <f t="shared" si="10"/>
        <v>#VALUE!</v>
      </c>
      <c r="AX7" s="113" t="e">
        <f t="shared" si="10"/>
        <v>#VALUE!</v>
      </c>
      <c r="AY7" s="113" t="e">
        <f t="shared" si="10"/>
        <v>#VALUE!</v>
      </c>
      <c r="AZ7" s="113" t="e">
        <f t="shared" si="10"/>
        <v>#VALUE!</v>
      </c>
      <c r="BA7" s="113">
        <f t="shared" si="10"/>
        <v>30</v>
      </c>
      <c r="BB7" s="113">
        <f t="shared" si="10"/>
        <v>5</v>
      </c>
      <c r="BC7" s="113">
        <f t="shared" si="10"/>
        <v>5</v>
      </c>
      <c r="BD7" s="113">
        <f t="shared" si="10"/>
        <v>0</v>
      </c>
      <c r="BE7" s="113">
        <f t="shared" si="10"/>
        <v>0</v>
      </c>
      <c r="BF7" s="113">
        <f t="shared" si="10"/>
        <v>0</v>
      </c>
      <c r="BG7" s="113">
        <f t="shared" si="10"/>
        <v>0</v>
      </c>
      <c r="BH7" s="113">
        <f t="shared" si="10"/>
        <v>0</v>
      </c>
      <c r="BI7" s="113">
        <f t="shared" si="10"/>
        <v>0</v>
      </c>
      <c r="BJ7" s="113">
        <f t="shared" si="10"/>
        <v>0</v>
      </c>
      <c r="BK7" s="113">
        <f t="shared" si="10"/>
        <v>0</v>
      </c>
      <c r="BL7" s="113">
        <f t="shared" si="10"/>
        <v>0</v>
      </c>
      <c r="BM7" s="113">
        <f t="shared" si="10"/>
        <v>0</v>
      </c>
      <c r="BN7" s="113">
        <f t="shared" si="10"/>
        <v>0</v>
      </c>
      <c r="BO7" s="113">
        <f t="shared" si="10"/>
        <v>0</v>
      </c>
      <c r="BP7" s="113">
        <f t="shared" si="10"/>
        <v>0</v>
      </c>
      <c r="BQ7" s="113">
        <f t="shared" si="10"/>
        <v>0</v>
      </c>
      <c r="BR7" s="113">
        <f t="shared" si="10"/>
        <v>0</v>
      </c>
      <c r="BS7" s="113">
        <f t="shared" si="10"/>
        <v>0</v>
      </c>
      <c r="BT7" s="113">
        <f t="shared" si="10"/>
        <v>0</v>
      </c>
      <c r="BU7" s="113">
        <f t="shared" si="10"/>
        <v>0</v>
      </c>
      <c r="BV7" s="113">
        <f t="shared" si="10"/>
        <v>0</v>
      </c>
      <c r="BW7" s="113">
        <f t="shared" ref="BW7:CT7" si="11">SUM(BW2:BW6)</f>
        <v>0</v>
      </c>
      <c r="BX7" s="113">
        <f t="shared" si="11"/>
        <v>0</v>
      </c>
      <c r="BY7" s="113">
        <f t="shared" si="11"/>
        <v>0</v>
      </c>
      <c r="BZ7" s="113">
        <f t="shared" si="11"/>
        <v>0</v>
      </c>
      <c r="CA7" s="113">
        <f t="shared" si="11"/>
        <v>0</v>
      </c>
      <c r="CB7" s="113">
        <f t="shared" si="11"/>
        <v>0</v>
      </c>
      <c r="CC7" s="113">
        <f t="shared" si="11"/>
        <v>0</v>
      </c>
      <c r="CD7" s="113">
        <f t="shared" si="11"/>
        <v>0</v>
      </c>
      <c r="CE7" s="113">
        <f t="shared" si="11"/>
        <v>0</v>
      </c>
      <c r="CF7" s="113">
        <f t="shared" si="11"/>
        <v>0</v>
      </c>
      <c r="CG7" s="113">
        <f t="shared" si="11"/>
        <v>0</v>
      </c>
      <c r="CH7" s="113">
        <f t="shared" si="11"/>
        <v>0</v>
      </c>
      <c r="CI7" s="113">
        <f t="shared" si="11"/>
        <v>0</v>
      </c>
      <c r="CJ7" s="113">
        <f t="shared" si="11"/>
        <v>0</v>
      </c>
      <c r="CK7" s="113">
        <f t="shared" si="11"/>
        <v>0</v>
      </c>
      <c r="CL7" s="113">
        <f t="shared" si="11"/>
        <v>0</v>
      </c>
      <c r="CM7" s="113">
        <f t="shared" si="11"/>
        <v>0</v>
      </c>
      <c r="CN7" s="113">
        <f t="shared" si="11"/>
        <v>0</v>
      </c>
      <c r="CO7" s="113">
        <f t="shared" si="11"/>
        <v>0</v>
      </c>
      <c r="CP7" s="113">
        <f t="shared" si="11"/>
        <v>0</v>
      </c>
      <c r="CQ7" s="113">
        <f t="shared" si="11"/>
        <v>0</v>
      </c>
      <c r="CR7" s="113">
        <f t="shared" si="11"/>
        <v>0</v>
      </c>
      <c r="CS7" s="113">
        <f t="shared" si="11"/>
        <v>0</v>
      </c>
      <c r="CT7" s="113">
        <f t="shared" si="11"/>
        <v>0</v>
      </c>
    </row>
    <row r="8" spans="1:174">
      <c r="F8" s="99"/>
      <c r="G8" s="99"/>
      <c r="H8" s="99"/>
      <c r="I8" s="99"/>
      <c r="J8" s="99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CQ8" s="109"/>
      <c r="CR8" s="109"/>
      <c r="CS8" s="109"/>
      <c r="CT8" s="109"/>
    </row>
    <row r="9" spans="1:174">
      <c r="A9" s="503" t="s">
        <v>70</v>
      </c>
      <c r="B9" s="458">
        <f>'BESS 10B'!F50</f>
        <v>46245</v>
      </c>
      <c r="C9" s="458">
        <f>'BESS 10B'!G50</f>
        <v>46250</v>
      </c>
      <c r="D9" s="114"/>
      <c r="E9" s="114" t="s">
        <v>10</v>
      </c>
      <c r="F9" s="115" t="s">
        <v>58</v>
      </c>
      <c r="G9" s="115" t="s">
        <v>59</v>
      </c>
      <c r="H9" s="115" t="s">
        <v>60</v>
      </c>
      <c r="I9" s="116">
        <v>46195</v>
      </c>
      <c r="J9" s="116">
        <v>46196</v>
      </c>
      <c r="K9" s="116">
        <f>MIN('BESS 11'!O26:O33,'BESS 11'!O35)</f>
        <v>0</v>
      </c>
      <c r="L9" s="116">
        <f t="shared" ref="L9:AQ9" si="12">K9+1</f>
        <v>1</v>
      </c>
      <c r="M9" s="116">
        <f t="shared" si="12"/>
        <v>2</v>
      </c>
      <c r="N9" s="116">
        <f t="shared" si="12"/>
        <v>3</v>
      </c>
      <c r="O9" s="116">
        <f t="shared" si="12"/>
        <v>4</v>
      </c>
      <c r="P9" s="116">
        <f t="shared" si="12"/>
        <v>5</v>
      </c>
      <c r="Q9" s="116">
        <f t="shared" si="12"/>
        <v>6</v>
      </c>
      <c r="R9" s="116">
        <f t="shared" si="12"/>
        <v>7</v>
      </c>
      <c r="S9" s="116">
        <f t="shared" si="12"/>
        <v>8</v>
      </c>
      <c r="T9" s="116">
        <f t="shared" si="12"/>
        <v>9</v>
      </c>
      <c r="U9" s="116">
        <f t="shared" si="12"/>
        <v>10</v>
      </c>
      <c r="V9" s="116">
        <f t="shared" si="12"/>
        <v>11</v>
      </c>
      <c r="W9" s="116">
        <f t="shared" si="12"/>
        <v>12</v>
      </c>
      <c r="X9" s="116">
        <f t="shared" si="12"/>
        <v>13</v>
      </c>
      <c r="Y9" s="116">
        <f t="shared" si="12"/>
        <v>14</v>
      </c>
      <c r="Z9" s="116">
        <f t="shared" si="12"/>
        <v>15</v>
      </c>
      <c r="AA9" s="116">
        <f t="shared" si="12"/>
        <v>16</v>
      </c>
      <c r="AB9" s="116">
        <f t="shared" si="12"/>
        <v>17</v>
      </c>
      <c r="AC9" s="116">
        <f t="shared" si="12"/>
        <v>18</v>
      </c>
      <c r="AD9" s="116">
        <f t="shared" si="12"/>
        <v>19</v>
      </c>
      <c r="AE9" s="116">
        <f t="shared" si="12"/>
        <v>20</v>
      </c>
      <c r="AF9" s="116">
        <f t="shared" si="12"/>
        <v>21</v>
      </c>
      <c r="AG9" s="116">
        <f t="shared" si="12"/>
        <v>22</v>
      </c>
      <c r="AH9" s="116">
        <f t="shared" si="12"/>
        <v>23</v>
      </c>
      <c r="AI9" s="116">
        <f t="shared" si="12"/>
        <v>24</v>
      </c>
      <c r="AJ9" s="116">
        <f t="shared" si="12"/>
        <v>25</v>
      </c>
      <c r="AK9" s="116">
        <f t="shared" si="12"/>
        <v>26</v>
      </c>
      <c r="AL9" s="116">
        <f t="shared" si="12"/>
        <v>27</v>
      </c>
      <c r="AM9" s="116">
        <f t="shared" si="12"/>
        <v>28</v>
      </c>
      <c r="AN9" s="116">
        <f t="shared" si="12"/>
        <v>29</v>
      </c>
      <c r="AO9" s="116">
        <f t="shared" si="12"/>
        <v>30</v>
      </c>
      <c r="AP9" s="116">
        <f t="shared" si="12"/>
        <v>31</v>
      </c>
      <c r="AQ9" s="116">
        <f t="shared" si="12"/>
        <v>32</v>
      </c>
      <c r="AR9" s="116">
        <f t="shared" ref="AR9:BW9" si="13">AQ9+1</f>
        <v>33</v>
      </c>
      <c r="AS9" s="116">
        <f t="shared" si="13"/>
        <v>34</v>
      </c>
      <c r="AT9" s="116">
        <f t="shared" si="13"/>
        <v>35</v>
      </c>
      <c r="AU9" s="116">
        <f t="shared" si="13"/>
        <v>36</v>
      </c>
      <c r="AV9" s="116">
        <f t="shared" si="13"/>
        <v>37</v>
      </c>
      <c r="AW9" s="116">
        <f t="shared" si="13"/>
        <v>38</v>
      </c>
      <c r="AX9" s="116">
        <f t="shared" si="13"/>
        <v>39</v>
      </c>
      <c r="AY9" s="116">
        <f t="shared" si="13"/>
        <v>40</v>
      </c>
      <c r="AZ9" s="116">
        <f t="shared" si="13"/>
        <v>41</v>
      </c>
      <c r="BA9" s="116">
        <f t="shared" si="13"/>
        <v>42</v>
      </c>
      <c r="BB9" s="116">
        <f t="shared" si="13"/>
        <v>43</v>
      </c>
      <c r="BC9" s="116">
        <f t="shared" si="13"/>
        <v>44</v>
      </c>
      <c r="BD9" s="116">
        <f t="shared" si="13"/>
        <v>45</v>
      </c>
      <c r="BE9" s="116">
        <f t="shared" si="13"/>
        <v>46</v>
      </c>
      <c r="BF9" s="116">
        <f t="shared" si="13"/>
        <v>47</v>
      </c>
      <c r="BG9" s="116">
        <f t="shared" si="13"/>
        <v>48</v>
      </c>
      <c r="BH9" s="116">
        <f t="shared" si="13"/>
        <v>49</v>
      </c>
      <c r="BI9" s="116">
        <f t="shared" si="13"/>
        <v>50</v>
      </c>
      <c r="BJ9" s="116">
        <f t="shared" si="13"/>
        <v>51</v>
      </c>
      <c r="BK9" s="116">
        <f t="shared" si="13"/>
        <v>52</v>
      </c>
      <c r="BL9" s="116">
        <f t="shared" si="13"/>
        <v>53</v>
      </c>
      <c r="BM9" s="116">
        <f t="shared" si="13"/>
        <v>54</v>
      </c>
      <c r="BN9" s="116">
        <f t="shared" si="13"/>
        <v>55</v>
      </c>
      <c r="BO9" s="116">
        <f t="shared" si="13"/>
        <v>56</v>
      </c>
      <c r="BP9" s="116">
        <f t="shared" si="13"/>
        <v>57</v>
      </c>
      <c r="BQ9" s="116">
        <f t="shared" si="13"/>
        <v>58</v>
      </c>
      <c r="BR9" s="116">
        <f t="shared" si="13"/>
        <v>59</v>
      </c>
      <c r="BS9" s="116">
        <f t="shared" si="13"/>
        <v>60</v>
      </c>
      <c r="BT9" s="116">
        <f t="shared" si="13"/>
        <v>61</v>
      </c>
      <c r="BU9" s="116">
        <f t="shared" si="13"/>
        <v>62</v>
      </c>
      <c r="BV9" s="116">
        <f t="shared" si="13"/>
        <v>63</v>
      </c>
      <c r="BW9" s="116">
        <f t="shared" si="13"/>
        <v>64</v>
      </c>
      <c r="BX9" s="116">
        <f t="shared" ref="BX9:CT9" si="14">BW9+1</f>
        <v>65</v>
      </c>
      <c r="BY9" s="116">
        <f t="shared" si="14"/>
        <v>66</v>
      </c>
      <c r="BZ9" s="116">
        <f t="shared" si="14"/>
        <v>67</v>
      </c>
      <c r="CA9" s="116">
        <f t="shared" si="14"/>
        <v>68</v>
      </c>
      <c r="CB9" s="116">
        <f t="shared" si="14"/>
        <v>69</v>
      </c>
      <c r="CC9" s="116">
        <f t="shared" si="14"/>
        <v>70</v>
      </c>
      <c r="CD9" s="116">
        <f t="shared" si="14"/>
        <v>71</v>
      </c>
      <c r="CE9" s="116">
        <f t="shared" si="14"/>
        <v>72</v>
      </c>
      <c r="CF9" s="116">
        <f t="shared" si="14"/>
        <v>73</v>
      </c>
      <c r="CG9" s="116">
        <f t="shared" si="14"/>
        <v>74</v>
      </c>
      <c r="CH9" s="116">
        <f t="shared" si="14"/>
        <v>75</v>
      </c>
      <c r="CI9" s="116">
        <f t="shared" si="14"/>
        <v>76</v>
      </c>
      <c r="CJ9" s="116">
        <f t="shared" si="14"/>
        <v>77</v>
      </c>
      <c r="CK9" s="116">
        <f t="shared" si="14"/>
        <v>78</v>
      </c>
      <c r="CL9" s="116">
        <f t="shared" si="14"/>
        <v>79</v>
      </c>
      <c r="CM9" s="116">
        <f t="shared" si="14"/>
        <v>80</v>
      </c>
      <c r="CN9" s="116">
        <f t="shared" si="14"/>
        <v>81</v>
      </c>
      <c r="CO9" s="116">
        <f t="shared" si="14"/>
        <v>82</v>
      </c>
      <c r="CP9" s="135">
        <f t="shared" si="14"/>
        <v>83</v>
      </c>
      <c r="CQ9" s="135">
        <f t="shared" si="14"/>
        <v>84</v>
      </c>
      <c r="CR9" s="135">
        <f t="shared" si="14"/>
        <v>85</v>
      </c>
      <c r="CS9" s="135">
        <f t="shared" si="14"/>
        <v>86</v>
      </c>
      <c r="CT9" s="116">
        <f t="shared" si="14"/>
        <v>87</v>
      </c>
    </row>
    <row r="10" spans="1:174">
      <c r="A10" s="476"/>
      <c r="B10" s="459"/>
      <c r="C10" s="459"/>
      <c r="D10" s="467">
        <f>'BESS 10B'!H50</f>
        <v>46253</v>
      </c>
      <c r="E10" s="109" t="s">
        <v>64</v>
      </c>
      <c r="F10" s="102" t="e">
        <f>SUM('BESS 10B'!S63:S70,'BESS 10B'!S72)</f>
        <v>#VALUE!</v>
      </c>
      <c r="G10" s="102">
        <f>MAX('BESS 10B'!O63:O70,'BESS 10B'!O72)-MIN('BESS 10B'!O63:O70,'BESS 10B'!O72)+1</f>
        <v>9</v>
      </c>
      <c r="H10" s="110">
        <f>MIN('BESS 10B'!O63:O70,'BESS 10B'!SN72)</f>
        <v>46228</v>
      </c>
      <c r="I10" s="101" t="str">
        <f t="shared" ref="I10:R13" si="15">IF(AND(I$1&gt;=$H10,I$1&lt;($H10+$G10)),ROUND($F10/$G10,0),"-")</f>
        <v>-</v>
      </c>
      <c r="J10" s="101" t="str">
        <f t="shared" si="15"/>
        <v>-</v>
      </c>
      <c r="K10" s="101" t="str">
        <f t="shared" si="15"/>
        <v>-</v>
      </c>
      <c r="L10" s="101" t="str">
        <f t="shared" si="15"/>
        <v>-</v>
      </c>
      <c r="M10" s="101" t="str">
        <f t="shared" si="15"/>
        <v>-</v>
      </c>
      <c r="N10" s="101" t="str">
        <f t="shared" si="15"/>
        <v>-</v>
      </c>
      <c r="O10" s="101" t="str">
        <f t="shared" si="15"/>
        <v>-</v>
      </c>
      <c r="P10" s="101" t="str">
        <f t="shared" si="15"/>
        <v>-</v>
      </c>
      <c r="Q10" s="101" t="str">
        <f t="shared" si="15"/>
        <v>-</v>
      </c>
      <c r="R10" s="101" t="str">
        <f t="shared" si="15"/>
        <v>-</v>
      </c>
      <c r="S10" s="101" t="str">
        <f t="shared" ref="S10:AB13" si="16">IF(AND(S$1&gt;=$H10,S$1&lt;($H10+$G10)),ROUND($F10/$G10,0),"-")</f>
        <v>-</v>
      </c>
      <c r="T10" s="101" t="str">
        <f t="shared" si="16"/>
        <v>-</v>
      </c>
      <c r="U10" s="101" t="str">
        <f t="shared" si="16"/>
        <v>-</v>
      </c>
      <c r="V10" s="101" t="str">
        <f t="shared" si="16"/>
        <v>-</v>
      </c>
      <c r="W10" s="101" t="str">
        <f t="shared" si="16"/>
        <v>-</v>
      </c>
      <c r="X10" s="101" t="str">
        <f t="shared" si="16"/>
        <v>-</v>
      </c>
      <c r="Y10" s="101" t="str">
        <f t="shared" si="16"/>
        <v>-</v>
      </c>
      <c r="Z10" s="101" t="str">
        <f t="shared" si="16"/>
        <v>-</v>
      </c>
      <c r="AA10" s="101" t="str">
        <f t="shared" si="16"/>
        <v>-</v>
      </c>
      <c r="AB10" s="101" t="str">
        <f t="shared" si="16"/>
        <v>-</v>
      </c>
      <c r="AC10" s="101" t="str">
        <f t="shared" ref="AC10:AL13" si="17">IF(AND(AC$1&gt;=$H10,AC$1&lt;($H10+$G10)),ROUND($F10/$G10,0),"-")</f>
        <v>-</v>
      </c>
      <c r="AD10" s="101" t="str">
        <f t="shared" si="17"/>
        <v>-</v>
      </c>
      <c r="AE10" s="101" t="str">
        <f t="shared" si="17"/>
        <v>-</v>
      </c>
      <c r="AF10" s="101" t="str">
        <f t="shared" si="17"/>
        <v>-</v>
      </c>
      <c r="AG10" s="101" t="str">
        <f t="shared" si="17"/>
        <v>-</v>
      </c>
      <c r="AH10" s="101" t="str">
        <f t="shared" si="17"/>
        <v>-</v>
      </c>
      <c r="AI10" s="101" t="str">
        <f t="shared" si="17"/>
        <v>-</v>
      </c>
      <c r="AJ10" s="101" t="str">
        <f t="shared" si="17"/>
        <v>-</v>
      </c>
      <c r="AK10" s="101" t="str">
        <f t="shared" si="17"/>
        <v>-</v>
      </c>
      <c r="AL10" s="101" t="str">
        <f t="shared" si="17"/>
        <v>-</v>
      </c>
      <c r="AM10" s="101" t="str">
        <f t="shared" ref="AM10:AV13" si="18">IF(AND(AM$1&gt;=$H10,AM$1&lt;($H10+$G10)),ROUND($F10/$G10,0),"-")</f>
        <v>-</v>
      </c>
      <c r="AN10" s="101" t="str">
        <f t="shared" si="18"/>
        <v>-</v>
      </c>
      <c r="AO10" s="101" t="str">
        <f t="shared" si="18"/>
        <v>-</v>
      </c>
      <c r="AP10" s="101" t="e">
        <f t="shared" si="18"/>
        <v>#VALUE!</v>
      </c>
      <c r="AQ10" s="101" t="e">
        <f t="shared" si="18"/>
        <v>#VALUE!</v>
      </c>
      <c r="AR10" s="101" t="e">
        <f t="shared" si="18"/>
        <v>#VALUE!</v>
      </c>
      <c r="AS10" s="101" t="e">
        <f t="shared" si="18"/>
        <v>#VALUE!</v>
      </c>
      <c r="AT10" s="101" t="e">
        <f t="shared" si="18"/>
        <v>#VALUE!</v>
      </c>
      <c r="AU10" s="101" t="e">
        <f t="shared" si="18"/>
        <v>#VALUE!</v>
      </c>
      <c r="AV10" s="101" t="e">
        <f t="shared" si="18"/>
        <v>#VALUE!</v>
      </c>
      <c r="AW10" s="101" t="e">
        <f t="shared" ref="AW10:BF13" si="19">IF(AND(AW$1&gt;=$H10,AW$1&lt;($H10+$G10)),ROUND($F10/$G10,0),"-")</f>
        <v>#VALUE!</v>
      </c>
      <c r="AX10" s="101" t="e">
        <f t="shared" si="19"/>
        <v>#VALUE!</v>
      </c>
      <c r="AY10" s="101" t="str">
        <f t="shared" si="19"/>
        <v>-</v>
      </c>
      <c r="AZ10" s="101" t="str">
        <f t="shared" si="19"/>
        <v>-</v>
      </c>
      <c r="BA10" s="101" t="str">
        <f t="shared" si="19"/>
        <v>-</v>
      </c>
      <c r="BB10" s="101" t="str">
        <f t="shared" si="19"/>
        <v>-</v>
      </c>
      <c r="BC10" s="101" t="str">
        <f t="shared" si="19"/>
        <v>-</v>
      </c>
      <c r="BD10" s="101" t="str">
        <f t="shared" si="19"/>
        <v>-</v>
      </c>
      <c r="BE10" s="101" t="str">
        <f t="shared" si="19"/>
        <v>-</v>
      </c>
      <c r="BF10" s="101" t="str">
        <f t="shared" si="19"/>
        <v>-</v>
      </c>
      <c r="BG10" s="101" t="str">
        <f t="shared" ref="BG10:BP13" si="20">IF(AND(BG$1&gt;=$H10,BG$1&lt;($H10+$G10)),ROUND($F10/$G10,0),"-")</f>
        <v>-</v>
      </c>
      <c r="BH10" s="101" t="str">
        <f t="shared" si="20"/>
        <v>-</v>
      </c>
      <c r="BI10" s="101" t="str">
        <f t="shared" si="20"/>
        <v>-</v>
      </c>
      <c r="BJ10" s="101" t="str">
        <f t="shared" si="20"/>
        <v>-</v>
      </c>
      <c r="BK10" s="101" t="str">
        <f t="shared" si="20"/>
        <v>-</v>
      </c>
      <c r="BL10" s="101" t="str">
        <f t="shared" si="20"/>
        <v>-</v>
      </c>
      <c r="BM10" s="101" t="str">
        <f t="shared" si="20"/>
        <v>-</v>
      </c>
      <c r="BN10" s="101" t="str">
        <f t="shared" si="20"/>
        <v>-</v>
      </c>
      <c r="BO10" s="101" t="str">
        <f t="shared" si="20"/>
        <v>-</v>
      </c>
      <c r="BP10" s="101" t="str">
        <f t="shared" si="20"/>
        <v>-</v>
      </c>
      <c r="BQ10" s="101" t="str">
        <f t="shared" ref="BQ10:BZ13" si="21">IF(AND(BQ$1&gt;=$H10,BQ$1&lt;($H10+$G10)),ROUND($F10/$G10,0),"-")</f>
        <v>-</v>
      </c>
      <c r="BR10" s="101" t="str">
        <f t="shared" si="21"/>
        <v>-</v>
      </c>
      <c r="BS10" s="101" t="str">
        <f t="shared" si="21"/>
        <v>-</v>
      </c>
      <c r="BT10" s="101" t="str">
        <f t="shared" si="21"/>
        <v>-</v>
      </c>
      <c r="BU10" s="101" t="str">
        <f t="shared" si="21"/>
        <v>-</v>
      </c>
      <c r="BV10" s="101" t="str">
        <f t="shared" si="21"/>
        <v>-</v>
      </c>
      <c r="BW10" s="101" t="str">
        <f t="shared" si="21"/>
        <v>-</v>
      </c>
      <c r="BX10" s="101" t="str">
        <f t="shared" si="21"/>
        <v>-</v>
      </c>
      <c r="BY10" s="101" t="str">
        <f t="shared" si="21"/>
        <v>-</v>
      </c>
      <c r="BZ10" s="101" t="str">
        <f t="shared" si="21"/>
        <v>-</v>
      </c>
      <c r="CA10" s="101" t="str">
        <f t="shared" ref="CA10:CJ13" si="22">IF(AND(CA$1&gt;=$H10,CA$1&lt;($H10+$G10)),ROUND($F10/$G10,0),"-")</f>
        <v>-</v>
      </c>
      <c r="CB10" s="101" t="str">
        <f t="shared" si="22"/>
        <v>-</v>
      </c>
      <c r="CC10" s="101" t="str">
        <f t="shared" si="22"/>
        <v>-</v>
      </c>
      <c r="CD10" s="101" t="str">
        <f t="shared" si="22"/>
        <v>-</v>
      </c>
      <c r="CE10" s="101" t="str">
        <f t="shared" si="22"/>
        <v>-</v>
      </c>
      <c r="CF10" s="101" t="str">
        <f t="shared" si="22"/>
        <v>-</v>
      </c>
      <c r="CG10" s="101" t="str">
        <f t="shared" si="22"/>
        <v>-</v>
      </c>
      <c r="CH10" s="101" t="str">
        <f t="shared" si="22"/>
        <v>-</v>
      </c>
      <c r="CI10" s="101" t="str">
        <f t="shared" si="22"/>
        <v>-</v>
      </c>
      <c r="CJ10" s="101" t="str">
        <f t="shared" si="22"/>
        <v>-</v>
      </c>
      <c r="CK10" s="101" t="str">
        <f t="shared" ref="CK10:CT13" si="23">IF(AND(CK$1&gt;=$H10,CK$1&lt;($H10+$G10)),ROUND($F10/$G10,0),"-")</f>
        <v>-</v>
      </c>
      <c r="CL10" s="101" t="str">
        <f t="shared" si="23"/>
        <v>-</v>
      </c>
      <c r="CM10" s="101" t="str">
        <f t="shared" si="23"/>
        <v>-</v>
      </c>
      <c r="CN10" s="101" t="str">
        <f t="shared" si="23"/>
        <v>-</v>
      </c>
      <c r="CO10" s="101" t="str">
        <f t="shared" si="23"/>
        <v>-</v>
      </c>
      <c r="CP10" s="134" t="str">
        <f t="shared" si="23"/>
        <v>-</v>
      </c>
      <c r="CQ10" s="134" t="str">
        <f t="shared" si="23"/>
        <v>-</v>
      </c>
      <c r="CR10" s="134" t="str">
        <f t="shared" si="23"/>
        <v>-</v>
      </c>
      <c r="CS10" s="134" t="str">
        <f t="shared" si="23"/>
        <v>-</v>
      </c>
      <c r="CT10" s="101" t="str">
        <f t="shared" si="23"/>
        <v>-</v>
      </c>
    </row>
    <row r="11" spans="1:174">
      <c r="A11" s="476"/>
      <c r="B11" s="459"/>
      <c r="C11" s="459"/>
      <c r="D11" s="466"/>
      <c r="E11" s="109" t="s">
        <v>65</v>
      </c>
      <c r="F11" s="102" t="e">
        <f>SUM('BESS 10B'!S73,'BESS 10B'!S75:S76,'BESS 10B'!S79:S81)</f>
        <v>#VALUE!</v>
      </c>
      <c r="G11" s="102">
        <f>MAX('BESS 10B'!O73,'BESS 10B'!O75:O76,'BESS 10B'!O79:O81)-MIN('BESS 10B'!O73,'BESS 10B'!O75:O76,'BESS 10B'!O79:O81)+1</f>
        <v>3</v>
      </c>
      <c r="H11" s="110">
        <f>MIN('BESS 10B'!O73,'BESS 10B'!O75:O76,'BESS 10B'!O79:O81)</f>
        <v>46232</v>
      </c>
      <c r="I11" s="101" t="str">
        <f t="shared" si="15"/>
        <v>-</v>
      </c>
      <c r="J11" s="101" t="str">
        <f t="shared" si="15"/>
        <v>-</v>
      </c>
      <c r="K11" s="101" t="str">
        <f t="shared" si="15"/>
        <v>-</v>
      </c>
      <c r="L11" s="101" t="str">
        <f t="shared" si="15"/>
        <v>-</v>
      </c>
      <c r="M11" s="101" t="str">
        <f t="shared" si="15"/>
        <v>-</v>
      </c>
      <c r="N11" s="101" t="str">
        <f t="shared" si="15"/>
        <v>-</v>
      </c>
      <c r="O11" s="101" t="str">
        <f t="shared" si="15"/>
        <v>-</v>
      </c>
      <c r="P11" s="101" t="str">
        <f t="shared" si="15"/>
        <v>-</v>
      </c>
      <c r="Q11" s="101" t="str">
        <f t="shared" si="15"/>
        <v>-</v>
      </c>
      <c r="R11" s="101" t="str">
        <f t="shared" si="15"/>
        <v>-</v>
      </c>
      <c r="S11" s="101" t="str">
        <f t="shared" si="16"/>
        <v>-</v>
      </c>
      <c r="T11" s="101" t="str">
        <f t="shared" si="16"/>
        <v>-</v>
      </c>
      <c r="U11" s="101" t="str">
        <f t="shared" si="16"/>
        <v>-</v>
      </c>
      <c r="V11" s="101" t="str">
        <f t="shared" si="16"/>
        <v>-</v>
      </c>
      <c r="W11" s="101" t="str">
        <f t="shared" si="16"/>
        <v>-</v>
      </c>
      <c r="X11" s="101" t="str">
        <f t="shared" si="16"/>
        <v>-</v>
      </c>
      <c r="Y11" s="101" t="str">
        <f t="shared" si="16"/>
        <v>-</v>
      </c>
      <c r="Z11" s="101" t="str">
        <f t="shared" si="16"/>
        <v>-</v>
      </c>
      <c r="AA11" s="101" t="str">
        <f t="shared" si="16"/>
        <v>-</v>
      </c>
      <c r="AB11" s="101" t="str">
        <f t="shared" si="16"/>
        <v>-</v>
      </c>
      <c r="AC11" s="101" t="str">
        <f t="shared" si="17"/>
        <v>-</v>
      </c>
      <c r="AD11" s="101" t="str">
        <f t="shared" si="17"/>
        <v>-</v>
      </c>
      <c r="AE11" s="101" t="str">
        <f t="shared" si="17"/>
        <v>-</v>
      </c>
      <c r="AF11" s="101" t="str">
        <f t="shared" si="17"/>
        <v>-</v>
      </c>
      <c r="AG11" s="101" t="str">
        <f t="shared" si="17"/>
        <v>-</v>
      </c>
      <c r="AH11" s="101" t="str">
        <f t="shared" si="17"/>
        <v>-</v>
      </c>
      <c r="AI11" s="101" t="str">
        <f t="shared" si="17"/>
        <v>-</v>
      </c>
      <c r="AJ11" s="101" t="str">
        <f t="shared" si="17"/>
        <v>-</v>
      </c>
      <c r="AK11" s="101" t="str">
        <f t="shared" si="17"/>
        <v>-</v>
      </c>
      <c r="AL11" s="101" t="str">
        <f t="shared" si="17"/>
        <v>-</v>
      </c>
      <c r="AM11" s="101" t="str">
        <f t="shared" si="18"/>
        <v>-</v>
      </c>
      <c r="AN11" s="101" t="str">
        <f t="shared" si="18"/>
        <v>-</v>
      </c>
      <c r="AO11" s="101" t="str">
        <f t="shared" si="18"/>
        <v>-</v>
      </c>
      <c r="AP11" s="101" t="str">
        <f t="shared" si="18"/>
        <v>-</v>
      </c>
      <c r="AQ11" s="101" t="str">
        <f t="shared" si="18"/>
        <v>-</v>
      </c>
      <c r="AR11" s="101" t="str">
        <f t="shared" si="18"/>
        <v>-</v>
      </c>
      <c r="AS11" s="101" t="str">
        <f t="shared" si="18"/>
        <v>-</v>
      </c>
      <c r="AT11" s="101" t="e">
        <f t="shared" si="18"/>
        <v>#VALUE!</v>
      </c>
      <c r="AU11" s="101" t="e">
        <f t="shared" si="18"/>
        <v>#VALUE!</v>
      </c>
      <c r="AV11" s="101" t="e">
        <f t="shared" si="18"/>
        <v>#VALUE!</v>
      </c>
      <c r="AW11" s="101" t="str">
        <f t="shared" si="19"/>
        <v>-</v>
      </c>
      <c r="AX11" s="101" t="str">
        <f t="shared" si="19"/>
        <v>-</v>
      </c>
      <c r="AY11" s="101" t="str">
        <f t="shared" si="19"/>
        <v>-</v>
      </c>
      <c r="AZ11" s="101" t="str">
        <f t="shared" si="19"/>
        <v>-</v>
      </c>
      <c r="BA11" s="101" t="str">
        <f t="shared" si="19"/>
        <v>-</v>
      </c>
      <c r="BB11" s="101" t="str">
        <f t="shared" si="19"/>
        <v>-</v>
      </c>
      <c r="BC11" s="101" t="str">
        <f t="shared" si="19"/>
        <v>-</v>
      </c>
      <c r="BD11" s="101" t="str">
        <f t="shared" si="19"/>
        <v>-</v>
      </c>
      <c r="BE11" s="101" t="str">
        <f t="shared" si="19"/>
        <v>-</v>
      </c>
      <c r="BF11" s="101" t="str">
        <f t="shared" si="19"/>
        <v>-</v>
      </c>
      <c r="BG11" s="101" t="str">
        <f t="shared" si="20"/>
        <v>-</v>
      </c>
      <c r="BH11" s="101" t="str">
        <f t="shared" si="20"/>
        <v>-</v>
      </c>
      <c r="BI11" s="101" t="str">
        <f t="shared" si="20"/>
        <v>-</v>
      </c>
      <c r="BJ11" s="101" t="str">
        <f t="shared" si="20"/>
        <v>-</v>
      </c>
      <c r="BK11" s="101" t="str">
        <f t="shared" si="20"/>
        <v>-</v>
      </c>
      <c r="BL11" s="101" t="str">
        <f t="shared" si="20"/>
        <v>-</v>
      </c>
      <c r="BM11" s="101" t="str">
        <f t="shared" si="20"/>
        <v>-</v>
      </c>
      <c r="BN11" s="101" t="str">
        <f t="shared" si="20"/>
        <v>-</v>
      </c>
      <c r="BO11" s="101" t="str">
        <f t="shared" si="20"/>
        <v>-</v>
      </c>
      <c r="BP11" s="101" t="str">
        <f t="shared" si="20"/>
        <v>-</v>
      </c>
      <c r="BQ11" s="101" t="str">
        <f t="shared" si="21"/>
        <v>-</v>
      </c>
      <c r="BR11" s="101" t="str">
        <f t="shared" si="21"/>
        <v>-</v>
      </c>
      <c r="BS11" s="101" t="str">
        <f t="shared" si="21"/>
        <v>-</v>
      </c>
      <c r="BT11" s="101" t="str">
        <f t="shared" si="21"/>
        <v>-</v>
      </c>
      <c r="BU11" s="101" t="str">
        <f t="shared" si="21"/>
        <v>-</v>
      </c>
      <c r="BV11" s="101" t="str">
        <f t="shared" si="21"/>
        <v>-</v>
      </c>
      <c r="BW11" s="101" t="str">
        <f t="shared" si="21"/>
        <v>-</v>
      </c>
      <c r="BX11" s="101" t="str">
        <f t="shared" si="21"/>
        <v>-</v>
      </c>
      <c r="BY11" s="101" t="str">
        <f t="shared" si="21"/>
        <v>-</v>
      </c>
      <c r="BZ11" s="101" t="str">
        <f t="shared" si="21"/>
        <v>-</v>
      </c>
      <c r="CA11" s="101" t="str">
        <f t="shared" si="22"/>
        <v>-</v>
      </c>
      <c r="CB11" s="101" t="str">
        <f t="shared" si="22"/>
        <v>-</v>
      </c>
      <c r="CC11" s="101" t="str">
        <f t="shared" si="22"/>
        <v>-</v>
      </c>
      <c r="CD11" s="101" t="str">
        <f t="shared" si="22"/>
        <v>-</v>
      </c>
      <c r="CE11" s="101" t="str">
        <f t="shared" si="22"/>
        <v>-</v>
      </c>
      <c r="CF11" s="101" t="str">
        <f t="shared" si="22"/>
        <v>-</v>
      </c>
      <c r="CG11" s="101" t="str">
        <f t="shared" si="22"/>
        <v>-</v>
      </c>
      <c r="CH11" s="101" t="str">
        <f t="shared" si="22"/>
        <v>-</v>
      </c>
      <c r="CI11" s="101" t="str">
        <f t="shared" si="22"/>
        <v>-</v>
      </c>
      <c r="CJ11" s="101" t="str">
        <f t="shared" si="22"/>
        <v>-</v>
      </c>
      <c r="CK11" s="101" t="str">
        <f t="shared" si="23"/>
        <v>-</v>
      </c>
      <c r="CL11" s="101" t="str">
        <f t="shared" si="23"/>
        <v>-</v>
      </c>
      <c r="CM11" s="101" t="str">
        <f t="shared" si="23"/>
        <v>-</v>
      </c>
      <c r="CN11" s="101" t="str">
        <f t="shared" si="23"/>
        <v>-</v>
      </c>
      <c r="CO11" s="101" t="str">
        <f t="shared" si="23"/>
        <v>-</v>
      </c>
      <c r="CP11" s="134" t="str">
        <f t="shared" si="23"/>
        <v>-</v>
      </c>
      <c r="CQ11" s="134" t="str">
        <f t="shared" si="23"/>
        <v>-</v>
      </c>
      <c r="CR11" s="134" t="str">
        <f t="shared" si="23"/>
        <v>-</v>
      </c>
      <c r="CS11" s="134" t="str">
        <f t="shared" si="23"/>
        <v>-</v>
      </c>
      <c r="CT11" s="101" t="str">
        <f t="shared" si="23"/>
        <v>-</v>
      </c>
    </row>
    <row r="12" spans="1:174">
      <c r="A12" s="476"/>
      <c r="B12" s="459"/>
      <c r="C12" s="459"/>
      <c r="D12" s="466"/>
      <c r="E12" s="109" t="s">
        <v>66</v>
      </c>
      <c r="F12" s="102" t="e">
        <f>SUM('BESS 10B'!S74,'BESS 10B'!S77:S78,'BESS 10B'!S82:S83)</f>
        <v>#VALUE!</v>
      </c>
      <c r="G12" s="102">
        <f>MAX('BESS 10B'!O74,'BESS 10B'!O77:O78,'BESS 10B'!O82:O83)-MIN('BESS 10B'!O74,'BESS 10B'!O77:O78,'BESS 10B'!O82:O83)+1</f>
        <v>6</v>
      </c>
      <c r="H12" s="110">
        <f>MIN('BESS 10B'!O74,'BESS 10B'!O77:O78,'BESS 10B'!O82:O83)</f>
        <v>46234</v>
      </c>
      <c r="I12" s="101" t="str">
        <f t="shared" si="15"/>
        <v>-</v>
      </c>
      <c r="J12" s="101" t="str">
        <f t="shared" si="15"/>
        <v>-</v>
      </c>
      <c r="K12" s="101" t="str">
        <f t="shared" si="15"/>
        <v>-</v>
      </c>
      <c r="L12" s="101" t="str">
        <f t="shared" si="15"/>
        <v>-</v>
      </c>
      <c r="M12" s="101" t="str">
        <f t="shared" si="15"/>
        <v>-</v>
      </c>
      <c r="N12" s="101" t="str">
        <f t="shared" si="15"/>
        <v>-</v>
      </c>
      <c r="O12" s="101" t="str">
        <f t="shared" si="15"/>
        <v>-</v>
      </c>
      <c r="P12" s="101" t="str">
        <f t="shared" si="15"/>
        <v>-</v>
      </c>
      <c r="Q12" s="101" t="str">
        <f t="shared" si="15"/>
        <v>-</v>
      </c>
      <c r="R12" s="101" t="str">
        <f t="shared" si="15"/>
        <v>-</v>
      </c>
      <c r="S12" s="101" t="str">
        <f t="shared" si="16"/>
        <v>-</v>
      </c>
      <c r="T12" s="101" t="str">
        <f t="shared" si="16"/>
        <v>-</v>
      </c>
      <c r="U12" s="101" t="str">
        <f t="shared" si="16"/>
        <v>-</v>
      </c>
      <c r="V12" s="101" t="str">
        <f t="shared" si="16"/>
        <v>-</v>
      </c>
      <c r="W12" s="101" t="str">
        <f t="shared" si="16"/>
        <v>-</v>
      </c>
      <c r="X12" s="101" t="str">
        <f t="shared" si="16"/>
        <v>-</v>
      </c>
      <c r="Y12" s="101" t="str">
        <f t="shared" si="16"/>
        <v>-</v>
      </c>
      <c r="Z12" s="101" t="str">
        <f t="shared" si="16"/>
        <v>-</v>
      </c>
      <c r="AA12" s="101" t="str">
        <f t="shared" si="16"/>
        <v>-</v>
      </c>
      <c r="AB12" s="101" t="str">
        <f t="shared" si="16"/>
        <v>-</v>
      </c>
      <c r="AC12" s="101" t="str">
        <f t="shared" si="17"/>
        <v>-</v>
      </c>
      <c r="AD12" s="101" t="str">
        <f t="shared" si="17"/>
        <v>-</v>
      </c>
      <c r="AE12" s="101" t="str">
        <f t="shared" si="17"/>
        <v>-</v>
      </c>
      <c r="AF12" s="101" t="str">
        <f t="shared" si="17"/>
        <v>-</v>
      </c>
      <c r="AG12" s="101" t="str">
        <f t="shared" si="17"/>
        <v>-</v>
      </c>
      <c r="AH12" s="101" t="str">
        <f t="shared" si="17"/>
        <v>-</v>
      </c>
      <c r="AI12" s="101" t="str">
        <f t="shared" si="17"/>
        <v>-</v>
      </c>
      <c r="AJ12" s="101" t="str">
        <f t="shared" si="17"/>
        <v>-</v>
      </c>
      <c r="AK12" s="101" t="str">
        <f t="shared" si="17"/>
        <v>-</v>
      </c>
      <c r="AL12" s="101" t="str">
        <f t="shared" si="17"/>
        <v>-</v>
      </c>
      <c r="AM12" s="101" t="str">
        <f t="shared" si="18"/>
        <v>-</v>
      </c>
      <c r="AN12" s="101" t="str">
        <f t="shared" si="18"/>
        <v>-</v>
      </c>
      <c r="AO12" s="101" t="str">
        <f t="shared" si="18"/>
        <v>-</v>
      </c>
      <c r="AP12" s="101" t="str">
        <f t="shared" si="18"/>
        <v>-</v>
      </c>
      <c r="AQ12" s="101" t="str">
        <f t="shared" si="18"/>
        <v>-</v>
      </c>
      <c r="AR12" s="101" t="str">
        <f t="shared" si="18"/>
        <v>-</v>
      </c>
      <c r="AS12" s="101" t="str">
        <f t="shared" si="18"/>
        <v>-</v>
      </c>
      <c r="AT12" s="101" t="str">
        <f t="shared" si="18"/>
        <v>-</v>
      </c>
      <c r="AU12" s="101" t="str">
        <f t="shared" si="18"/>
        <v>-</v>
      </c>
      <c r="AV12" s="101" t="e">
        <f t="shared" si="18"/>
        <v>#VALUE!</v>
      </c>
      <c r="AW12" s="101" t="e">
        <f t="shared" si="19"/>
        <v>#VALUE!</v>
      </c>
      <c r="AX12" s="101" t="e">
        <f t="shared" si="19"/>
        <v>#VALUE!</v>
      </c>
      <c r="AY12" s="101" t="e">
        <f t="shared" si="19"/>
        <v>#VALUE!</v>
      </c>
      <c r="AZ12" s="101" t="e">
        <f t="shared" si="19"/>
        <v>#VALUE!</v>
      </c>
      <c r="BA12" s="101" t="e">
        <f t="shared" si="19"/>
        <v>#VALUE!</v>
      </c>
      <c r="BB12" s="101" t="str">
        <f t="shared" si="19"/>
        <v>-</v>
      </c>
      <c r="BC12" s="101" t="str">
        <f t="shared" si="19"/>
        <v>-</v>
      </c>
      <c r="BD12" s="101" t="str">
        <f t="shared" si="19"/>
        <v>-</v>
      </c>
      <c r="BE12" s="101" t="str">
        <f t="shared" si="19"/>
        <v>-</v>
      </c>
      <c r="BF12" s="101" t="str">
        <f t="shared" si="19"/>
        <v>-</v>
      </c>
      <c r="BG12" s="101" t="str">
        <f t="shared" si="20"/>
        <v>-</v>
      </c>
      <c r="BH12" s="101" t="str">
        <f t="shared" si="20"/>
        <v>-</v>
      </c>
      <c r="BI12" s="101" t="str">
        <f t="shared" si="20"/>
        <v>-</v>
      </c>
      <c r="BJ12" s="101" t="str">
        <f t="shared" si="20"/>
        <v>-</v>
      </c>
      <c r="BK12" s="101" t="str">
        <f t="shared" si="20"/>
        <v>-</v>
      </c>
      <c r="BL12" s="101" t="str">
        <f t="shared" si="20"/>
        <v>-</v>
      </c>
      <c r="BM12" s="101" t="str">
        <f t="shared" si="20"/>
        <v>-</v>
      </c>
      <c r="BN12" s="101" t="str">
        <f t="shared" si="20"/>
        <v>-</v>
      </c>
      <c r="BO12" s="101" t="str">
        <f t="shared" si="20"/>
        <v>-</v>
      </c>
      <c r="BP12" s="101" t="str">
        <f t="shared" si="20"/>
        <v>-</v>
      </c>
      <c r="BQ12" s="101" t="str">
        <f t="shared" si="21"/>
        <v>-</v>
      </c>
      <c r="BR12" s="101" t="str">
        <f t="shared" si="21"/>
        <v>-</v>
      </c>
      <c r="BS12" s="101" t="str">
        <f t="shared" si="21"/>
        <v>-</v>
      </c>
      <c r="BT12" s="101" t="str">
        <f t="shared" si="21"/>
        <v>-</v>
      </c>
      <c r="BU12" s="101" t="str">
        <f t="shared" si="21"/>
        <v>-</v>
      </c>
      <c r="BV12" s="101" t="str">
        <f t="shared" si="21"/>
        <v>-</v>
      </c>
      <c r="BW12" s="101" t="str">
        <f t="shared" si="21"/>
        <v>-</v>
      </c>
      <c r="BX12" s="101" t="str">
        <f t="shared" si="21"/>
        <v>-</v>
      </c>
      <c r="BY12" s="101" t="str">
        <f t="shared" si="21"/>
        <v>-</v>
      </c>
      <c r="BZ12" s="101" t="str">
        <f t="shared" si="21"/>
        <v>-</v>
      </c>
      <c r="CA12" s="101" t="str">
        <f t="shared" si="22"/>
        <v>-</v>
      </c>
      <c r="CB12" s="101" t="str">
        <f t="shared" si="22"/>
        <v>-</v>
      </c>
      <c r="CC12" s="101" t="str">
        <f t="shared" si="22"/>
        <v>-</v>
      </c>
      <c r="CD12" s="101" t="str">
        <f t="shared" si="22"/>
        <v>-</v>
      </c>
      <c r="CE12" s="101" t="str">
        <f t="shared" si="22"/>
        <v>-</v>
      </c>
      <c r="CF12" s="101" t="str">
        <f t="shared" si="22"/>
        <v>-</v>
      </c>
      <c r="CG12" s="101" t="str">
        <f t="shared" si="22"/>
        <v>-</v>
      </c>
      <c r="CH12" s="101" t="str">
        <f t="shared" si="22"/>
        <v>-</v>
      </c>
      <c r="CI12" s="101" t="str">
        <f t="shared" si="22"/>
        <v>-</v>
      </c>
      <c r="CJ12" s="101" t="str">
        <f t="shared" si="22"/>
        <v>-</v>
      </c>
      <c r="CK12" s="101" t="str">
        <f t="shared" si="23"/>
        <v>-</v>
      </c>
      <c r="CL12" s="101" t="str">
        <f t="shared" si="23"/>
        <v>-</v>
      </c>
      <c r="CM12" s="101" t="str">
        <f t="shared" si="23"/>
        <v>-</v>
      </c>
      <c r="CN12" s="101" t="str">
        <f t="shared" si="23"/>
        <v>-</v>
      </c>
      <c r="CO12" s="101" t="str">
        <f t="shared" si="23"/>
        <v>-</v>
      </c>
      <c r="CP12" s="134" t="str">
        <f t="shared" si="23"/>
        <v>-</v>
      </c>
      <c r="CQ12" s="134" t="str">
        <f t="shared" si="23"/>
        <v>-</v>
      </c>
      <c r="CR12" s="134" t="str">
        <f t="shared" si="23"/>
        <v>-</v>
      </c>
      <c r="CS12" s="134" t="str">
        <f t="shared" si="23"/>
        <v>-</v>
      </c>
      <c r="CT12" s="101" t="str">
        <f t="shared" si="23"/>
        <v>-</v>
      </c>
    </row>
    <row r="13" spans="1:174">
      <c r="A13" s="476"/>
      <c r="B13" s="459"/>
      <c r="C13" s="459"/>
      <c r="D13" s="466"/>
      <c r="E13" s="109" t="s">
        <v>67</v>
      </c>
      <c r="F13" s="102" t="e">
        <f>SUM('BESS 10B'!S85:S94)</f>
        <v>#VALUE!</v>
      </c>
      <c r="G13" s="102">
        <f>MAX('BESS 10B'!O85:O94)-MIN('BESS 10B'!O85:O94)+1</f>
        <v>12</v>
      </c>
      <c r="H13" s="110">
        <f>MIN('BESS 10B'!O85:O94)</f>
        <v>46231</v>
      </c>
      <c r="I13" s="101" t="str">
        <f t="shared" si="15"/>
        <v>-</v>
      </c>
      <c r="J13" s="101" t="str">
        <f t="shared" si="15"/>
        <v>-</v>
      </c>
      <c r="K13" s="101" t="str">
        <f t="shared" si="15"/>
        <v>-</v>
      </c>
      <c r="L13" s="101" t="str">
        <f t="shared" si="15"/>
        <v>-</v>
      </c>
      <c r="M13" s="101" t="str">
        <f t="shared" si="15"/>
        <v>-</v>
      </c>
      <c r="N13" s="101" t="str">
        <f t="shared" si="15"/>
        <v>-</v>
      </c>
      <c r="O13" s="101" t="str">
        <f t="shared" si="15"/>
        <v>-</v>
      </c>
      <c r="P13" s="101" t="str">
        <f t="shared" si="15"/>
        <v>-</v>
      </c>
      <c r="Q13" s="101" t="str">
        <f t="shared" si="15"/>
        <v>-</v>
      </c>
      <c r="R13" s="101" t="str">
        <f t="shared" si="15"/>
        <v>-</v>
      </c>
      <c r="S13" s="101" t="str">
        <f t="shared" si="16"/>
        <v>-</v>
      </c>
      <c r="T13" s="101" t="str">
        <f t="shared" si="16"/>
        <v>-</v>
      </c>
      <c r="U13" s="101" t="str">
        <f t="shared" si="16"/>
        <v>-</v>
      </c>
      <c r="V13" s="101" t="str">
        <f t="shared" si="16"/>
        <v>-</v>
      </c>
      <c r="W13" s="101" t="str">
        <f t="shared" si="16"/>
        <v>-</v>
      </c>
      <c r="X13" s="101" t="str">
        <f t="shared" si="16"/>
        <v>-</v>
      </c>
      <c r="Y13" s="101" t="str">
        <f t="shared" si="16"/>
        <v>-</v>
      </c>
      <c r="Z13" s="101" t="str">
        <f t="shared" si="16"/>
        <v>-</v>
      </c>
      <c r="AA13" s="101" t="str">
        <f t="shared" si="16"/>
        <v>-</v>
      </c>
      <c r="AB13" s="101" t="str">
        <f t="shared" si="16"/>
        <v>-</v>
      </c>
      <c r="AC13" s="101" t="str">
        <f t="shared" si="17"/>
        <v>-</v>
      </c>
      <c r="AD13" s="101" t="str">
        <f t="shared" si="17"/>
        <v>-</v>
      </c>
      <c r="AE13" s="101" t="str">
        <f t="shared" si="17"/>
        <v>-</v>
      </c>
      <c r="AF13" s="101" t="str">
        <f t="shared" si="17"/>
        <v>-</v>
      </c>
      <c r="AG13" s="101" t="str">
        <f t="shared" si="17"/>
        <v>-</v>
      </c>
      <c r="AH13" s="101" t="str">
        <f t="shared" si="17"/>
        <v>-</v>
      </c>
      <c r="AI13" s="101" t="str">
        <f t="shared" si="17"/>
        <v>-</v>
      </c>
      <c r="AJ13" s="101" t="str">
        <f t="shared" si="17"/>
        <v>-</v>
      </c>
      <c r="AK13" s="101" t="str">
        <f t="shared" si="17"/>
        <v>-</v>
      </c>
      <c r="AL13" s="101" t="str">
        <f t="shared" si="17"/>
        <v>-</v>
      </c>
      <c r="AM13" s="101" t="str">
        <f t="shared" si="18"/>
        <v>-</v>
      </c>
      <c r="AN13" s="101" t="str">
        <f t="shared" si="18"/>
        <v>-</v>
      </c>
      <c r="AO13" s="101" t="str">
        <f t="shared" si="18"/>
        <v>-</v>
      </c>
      <c r="AP13" s="101" t="str">
        <f t="shared" si="18"/>
        <v>-</v>
      </c>
      <c r="AQ13" s="101" t="str">
        <f t="shared" si="18"/>
        <v>-</v>
      </c>
      <c r="AR13" s="101" t="str">
        <f t="shared" si="18"/>
        <v>-</v>
      </c>
      <c r="AS13" s="101" t="e">
        <f t="shared" si="18"/>
        <v>#VALUE!</v>
      </c>
      <c r="AT13" s="101" t="e">
        <f t="shared" si="18"/>
        <v>#VALUE!</v>
      </c>
      <c r="AU13" s="101" t="e">
        <f t="shared" si="18"/>
        <v>#VALUE!</v>
      </c>
      <c r="AV13" s="101" t="e">
        <f t="shared" si="18"/>
        <v>#VALUE!</v>
      </c>
      <c r="AW13" s="101" t="e">
        <f t="shared" si="19"/>
        <v>#VALUE!</v>
      </c>
      <c r="AX13" s="101" t="e">
        <f t="shared" si="19"/>
        <v>#VALUE!</v>
      </c>
      <c r="AY13" s="101" t="e">
        <f t="shared" si="19"/>
        <v>#VALUE!</v>
      </c>
      <c r="AZ13" s="101" t="e">
        <f t="shared" si="19"/>
        <v>#VALUE!</v>
      </c>
      <c r="BA13" s="101" t="e">
        <f t="shared" si="19"/>
        <v>#VALUE!</v>
      </c>
      <c r="BB13" s="101" t="e">
        <f t="shared" si="19"/>
        <v>#VALUE!</v>
      </c>
      <c r="BC13" s="101" t="e">
        <f t="shared" si="19"/>
        <v>#VALUE!</v>
      </c>
      <c r="BD13" s="101" t="e">
        <f t="shared" si="19"/>
        <v>#VALUE!</v>
      </c>
      <c r="BE13" s="101" t="str">
        <f t="shared" si="19"/>
        <v>-</v>
      </c>
      <c r="BF13" s="101" t="str">
        <f t="shared" si="19"/>
        <v>-</v>
      </c>
      <c r="BG13" s="101" t="str">
        <f t="shared" si="20"/>
        <v>-</v>
      </c>
      <c r="BH13" s="101" t="str">
        <f t="shared" si="20"/>
        <v>-</v>
      </c>
      <c r="BI13" s="101" t="str">
        <f t="shared" si="20"/>
        <v>-</v>
      </c>
      <c r="BJ13" s="101" t="str">
        <f t="shared" si="20"/>
        <v>-</v>
      </c>
      <c r="BK13" s="101" t="str">
        <f t="shared" si="20"/>
        <v>-</v>
      </c>
      <c r="BL13" s="101" t="str">
        <f t="shared" si="20"/>
        <v>-</v>
      </c>
      <c r="BM13" s="101" t="str">
        <f t="shared" si="20"/>
        <v>-</v>
      </c>
      <c r="BN13" s="101" t="str">
        <f t="shared" si="20"/>
        <v>-</v>
      </c>
      <c r="BO13" s="101" t="str">
        <f t="shared" si="20"/>
        <v>-</v>
      </c>
      <c r="BP13" s="101" t="str">
        <f t="shared" si="20"/>
        <v>-</v>
      </c>
      <c r="BQ13" s="101" t="str">
        <f t="shared" si="21"/>
        <v>-</v>
      </c>
      <c r="BR13" s="101" t="str">
        <f t="shared" si="21"/>
        <v>-</v>
      </c>
      <c r="BS13" s="101" t="str">
        <f t="shared" si="21"/>
        <v>-</v>
      </c>
      <c r="BT13" s="101" t="str">
        <f t="shared" si="21"/>
        <v>-</v>
      </c>
      <c r="BU13" s="101" t="str">
        <f t="shared" si="21"/>
        <v>-</v>
      </c>
      <c r="BV13" s="101" t="str">
        <f t="shared" si="21"/>
        <v>-</v>
      </c>
      <c r="BW13" s="101" t="str">
        <f t="shared" si="21"/>
        <v>-</v>
      </c>
      <c r="BX13" s="101" t="str">
        <f t="shared" si="21"/>
        <v>-</v>
      </c>
      <c r="BY13" s="101" t="str">
        <f t="shared" si="21"/>
        <v>-</v>
      </c>
      <c r="BZ13" s="101" t="str">
        <f t="shared" si="21"/>
        <v>-</v>
      </c>
      <c r="CA13" s="101" t="str">
        <f t="shared" si="22"/>
        <v>-</v>
      </c>
      <c r="CB13" s="101" t="str">
        <f t="shared" si="22"/>
        <v>-</v>
      </c>
      <c r="CC13" s="101" t="str">
        <f t="shared" si="22"/>
        <v>-</v>
      </c>
      <c r="CD13" s="101" t="str">
        <f t="shared" si="22"/>
        <v>-</v>
      </c>
      <c r="CE13" s="101" t="str">
        <f t="shared" si="22"/>
        <v>-</v>
      </c>
      <c r="CF13" s="101" t="str">
        <f t="shared" si="22"/>
        <v>-</v>
      </c>
      <c r="CG13" s="101" t="str">
        <f t="shared" si="22"/>
        <v>-</v>
      </c>
      <c r="CH13" s="101" t="str">
        <f t="shared" si="22"/>
        <v>-</v>
      </c>
      <c r="CI13" s="101" t="str">
        <f t="shared" si="22"/>
        <v>-</v>
      </c>
      <c r="CJ13" s="101" t="str">
        <f t="shared" si="22"/>
        <v>-</v>
      </c>
      <c r="CK13" s="101" t="str">
        <f t="shared" si="23"/>
        <v>-</v>
      </c>
      <c r="CL13" s="101" t="str">
        <f t="shared" si="23"/>
        <v>-</v>
      </c>
      <c r="CM13" s="101" t="str">
        <f t="shared" si="23"/>
        <v>-</v>
      </c>
      <c r="CN13" s="101" t="str">
        <f t="shared" si="23"/>
        <v>-</v>
      </c>
      <c r="CO13" s="101" t="str">
        <f t="shared" si="23"/>
        <v>-</v>
      </c>
      <c r="CP13" s="134" t="str">
        <f t="shared" si="23"/>
        <v>-</v>
      </c>
      <c r="CQ13" s="134" t="str">
        <f t="shared" si="23"/>
        <v>-</v>
      </c>
      <c r="CR13" s="134" t="str">
        <f t="shared" si="23"/>
        <v>-</v>
      </c>
      <c r="CS13" s="134" t="str">
        <f t="shared" si="23"/>
        <v>-</v>
      </c>
      <c r="CT13" s="101" t="str">
        <f t="shared" si="23"/>
        <v>-</v>
      </c>
    </row>
    <row r="14" spans="1:174">
      <c r="A14" s="504"/>
      <c r="B14" s="460"/>
      <c r="C14" s="460"/>
      <c r="D14" s="466"/>
      <c r="E14" s="109" t="s">
        <v>68</v>
      </c>
      <c r="F14" s="102">
        <f>SUM(AL14:BO14)</f>
        <v>250</v>
      </c>
      <c r="G14" s="101">
        <v>30</v>
      </c>
      <c r="H14" s="110">
        <f>B9-3</f>
        <v>46242</v>
      </c>
      <c r="I14" s="110"/>
      <c r="J14" s="110"/>
      <c r="K14" s="101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>
        <v>5</v>
      </c>
      <c r="AM14" s="102">
        <v>5</v>
      </c>
      <c r="AN14" s="102">
        <v>5</v>
      </c>
      <c r="AO14" s="102">
        <v>5</v>
      </c>
      <c r="AP14" s="102">
        <v>5</v>
      </c>
      <c r="AQ14" s="102">
        <v>5</v>
      </c>
      <c r="AR14" s="102">
        <v>5</v>
      </c>
      <c r="AS14" s="102">
        <v>5</v>
      </c>
      <c r="AT14" s="102">
        <v>5</v>
      </c>
      <c r="AU14" s="102">
        <v>5</v>
      </c>
      <c r="AV14" s="102">
        <v>5</v>
      </c>
      <c r="AW14" s="102">
        <v>5</v>
      </c>
      <c r="AX14" s="102">
        <v>5</v>
      </c>
      <c r="AY14" s="102">
        <v>5</v>
      </c>
      <c r="AZ14" s="102">
        <v>5</v>
      </c>
      <c r="BA14" s="102">
        <v>5</v>
      </c>
      <c r="BB14" s="102">
        <v>5</v>
      </c>
      <c r="BC14" s="102">
        <v>5</v>
      </c>
      <c r="BD14" s="102">
        <v>5</v>
      </c>
      <c r="BE14" s="102">
        <v>5</v>
      </c>
      <c r="BF14" s="102">
        <v>5</v>
      </c>
      <c r="BG14" s="102">
        <v>5</v>
      </c>
      <c r="BH14" s="102">
        <v>5</v>
      </c>
      <c r="BI14" s="102">
        <v>5</v>
      </c>
      <c r="BJ14" s="101">
        <v>30</v>
      </c>
      <c r="BK14" s="101">
        <v>30</v>
      </c>
      <c r="BL14" s="101">
        <v>30</v>
      </c>
      <c r="BM14" s="101">
        <v>30</v>
      </c>
      <c r="BN14" s="101">
        <v>5</v>
      </c>
      <c r="BO14" s="101">
        <v>5</v>
      </c>
      <c r="BP14" s="101"/>
      <c r="BQ14" s="101"/>
      <c r="BR14" s="101"/>
      <c r="BS14" s="101"/>
      <c r="BT14" s="101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33"/>
      <c r="CQ14" s="133"/>
      <c r="CR14" s="133"/>
      <c r="CS14" s="133"/>
      <c r="CT14" s="109"/>
    </row>
    <row r="15" spans="1:174" s="141" customFormat="1">
      <c r="B15" s="145"/>
      <c r="E15" s="143"/>
      <c r="F15" s="143"/>
      <c r="G15" s="144"/>
      <c r="H15" s="112" t="s">
        <v>69</v>
      </c>
      <c r="I15" s="112"/>
      <c r="J15" s="112"/>
      <c r="K15" s="113">
        <f t="shared" ref="K15:AP15" si="24">SUM(K10:K14)</f>
        <v>0</v>
      </c>
      <c r="L15" s="113">
        <f t="shared" si="24"/>
        <v>0</v>
      </c>
      <c r="M15" s="113">
        <f t="shared" si="24"/>
        <v>0</v>
      </c>
      <c r="N15" s="113">
        <f t="shared" si="24"/>
        <v>0</v>
      </c>
      <c r="O15" s="113">
        <f t="shared" si="24"/>
        <v>0</v>
      </c>
      <c r="P15" s="113">
        <f t="shared" si="24"/>
        <v>0</v>
      </c>
      <c r="Q15" s="113">
        <f t="shared" si="24"/>
        <v>0</v>
      </c>
      <c r="R15" s="113">
        <f t="shared" si="24"/>
        <v>0</v>
      </c>
      <c r="S15" s="113">
        <f t="shared" si="24"/>
        <v>0</v>
      </c>
      <c r="T15" s="113">
        <f t="shared" si="24"/>
        <v>0</v>
      </c>
      <c r="U15" s="113">
        <f t="shared" si="24"/>
        <v>0</v>
      </c>
      <c r="V15" s="113">
        <f t="shared" si="24"/>
        <v>0</v>
      </c>
      <c r="W15" s="113">
        <f t="shared" si="24"/>
        <v>0</v>
      </c>
      <c r="X15" s="113">
        <f t="shared" si="24"/>
        <v>0</v>
      </c>
      <c r="Y15" s="113">
        <f t="shared" si="24"/>
        <v>0</v>
      </c>
      <c r="Z15" s="113">
        <f t="shared" si="24"/>
        <v>0</v>
      </c>
      <c r="AA15" s="113">
        <f t="shared" si="24"/>
        <v>0</v>
      </c>
      <c r="AB15" s="113">
        <f t="shared" si="24"/>
        <v>0</v>
      </c>
      <c r="AC15" s="113">
        <f t="shared" si="24"/>
        <v>0</v>
      </c>
      <c r="AD15" s="113">
        <f t="shared" si="24"/>
        <v>0</v>
      </c>
      <c r="AE15" s="113">
        <f t="shared" si="24"/>
        <v>0</v>
      </c>
      <c r="AF15" s="113">
        <f t="shared" si="24"/>
        <v>0</v>
      </c>
      <c r="AG15" s="113">
        <f t="shared" si="24"/>
        <v>0</v>
      </c>
      <c r="AH15" s="113">
        <f t="shared" si="24"/>
        <v>0</v>
      </c>
      <c r="AI15" s="113">
        <f t="shared" si="24"/>
        <v>0</v>
      </c>
      <c r="AJ15" s="113">
        <f t="shared" si="24"/>
        <v>0</v>
      </c>
      <c r="AK15" s="113">
        <f t="shared" si="24"/>
        <v>0</v>
      </c>
      <c r="AL15" s="113">
        <f t="shared" si="24"/>
        <v>5</v>
      </c>
      <c r="AM15" s="113">
        <f t="shared" si="24"/>
        <v>5</v>
      </c>
      <c r="AN15" s="113">
        <f t="shared" si="24"/>
        <v>5</v>
      </c>
      <c r="AO15" s="113">
        <f t="shared" si="24"/>
        <v>5</v>
      </c>
      <c r="AP15" s="113" t="e">
        <f t="shared" si="24"/>
        <v>#VALUE!</v>
      </c>
      <c r="AQ15" s="113" t="e">
        <f t="shared" ref="AQ15:BV15" si="25">SUM(AQ10:AQ14)</f>
        <v>#VALUE!</v>
      </c>
      <c r="AR15" s="113" t="e">
        <f t="shared" si="25"/>
        <v>#VALUE!</v>
      </c>
      <c r="AS15" s="113" t="e">
        <f t="shared" si="25"/>
        <v>#VALUE!</v>
      </c>
      <c r="AT15" s="113" t="e">
        <f t="shared" si="25"/>
        <v>#VALUE!</v>
      </c>
      <c r="AU15" s="113" t="e">
        <f t="shared" si="25"/>
        <v>#VALUE!</v>
      </c>
      <c r="AV15" s="113" t="e">
        <f t="shared" si="25"/>
        <v>#VALUE!</v>
      </c>
      <c r="AW15" s="113" t="e">
        <f t="shared" si="25"/>
        <v>#VALUE!</v>
      </c>
      <c r="AX15" s="113" t="e">
        <f t="shared" si="25"/>
        <v>#VALUE!</v>
      </c>
      <c r="AY15" s="113" t="e">
        <f t="shared" si="25"/>
        <v>#VALUE!</v>
      </c>
      <c r="AZ15" s="113" t="e">
        <f t="shared" si="25"/>
        <v>#VALUE!</v>
      </c>
      <c r="BA15" s="113" t="e">
        <f t="shared" si="25"/>
        <v>#VALUE!</v>
      </c>
      <c r="BB15" s="113" t="e">
        <f t="shared" si="25"/>
        <v>#VALUE!</v>
      </c>
      <c r="BC15" s="113" t="e">
        <f t="shared" si="25"/>
        <v>#VALUE!</v>
      </c>
      <c r="BD15" s="113" t="e">
        <f t="shared" si="25"/>
        <v>#VALUE!</v>
      </c>
      <c r="BE15" s="113">
        <f t="shared" si="25"/>
        <v>5</v>
      </c>
      <c r="BF15" s="113">
        <f t="shared" si="25"/>
        <v>5</v>
      </c>
      <c r="BG15" s="113">
        <f t="shared" si="25"/>
        <v>5</v>
      </c>
      <c r="BH15" s="113">
        <f t="shared" si="25"/>
        <v>5</v>
      </c>
      <c r="BI15" s="113">
        <f t="shared" si="25"/>
        <v>5</v>
      </c>
      <c r="BJ15" s="113">
        <f t="shared" si="25"/>
        <v>30</v>
      </c>
      <c r="BK15" s="113">
        <f t="shared" si="25"/>
        <v>30</v>
      </c>
      <c r="BL15" s="113">
        <f t="shared" si="25"/>
        <v>30</v>
      </c>
      <c r="BM15" s="113">
        <f t="shared" si="25"/>
        <v>30</v>
      </c>
      <c r="BN15" s="113">
        <f t="shared" si="25"/>
        <v>5</v>
      </c>
      <c r="BO15" s="113">
        <f t="shared" si="25"/>
        <v>5</v>
      </c>
      <c r="BP15" s="113">
        <f t="shared" si="25"/>
        <v>0</v>
      </c>
      <c r="BQ15" s="113">
        <f t="shared" si="25"/>
        <v>0</v>
      </c>
      <c r="BR15" s="113">
        <f t="shared" si="25"/>
        <v>0</v>
      </c>
      <c r="BS15" s="113">
        <f t="shared" si="25"/>
        <v>0</v>
      </c>
      <c r="BT15" s="113">
        <f t="shared" si="25"/>
        <v>0</v>
      </c>
      <c r="BU15" s="113">
        <f t="shared" si="25"/>
        <v>0</v>
      </c>
      <c r="BV15" s="113">
        <f t="shared" si="25"/>
        <v>0</v>
      </c>
      <c r="BW15" s="113">
        <f t="shared" ref="BW15:CT15" si="26">SUM(BW10:BW14)</f>
        <v>0</v>
      </c>
      <c r="BX15" s="113">
        <f t="shared" si="26"/>
        <v>0</v>
      </c>
      <c r="BY15" s="113">
        <f t="shared" si="26"/>
        <v>0</v>
      </c>
      <c r="BZ15" s="113">
        <f t="shared" si="26"/>
        <v>0</v>
      </c>
      <c r="CA15" s="113">
        <f t="shared" si="26"/>
        <v>0</v>
      </c>
      <c r="CB15" s="113">
        <f t="shared" si="26"/>
        <v>0</v>
      </c>
      <c r="CC15" s="113">
        <f t="shared" si="26"/>
        <v>0</v>
      </c>
      <c r="CD15" s="113">
        <f t="shared" si="26"/>
        <v>0</v>
      </c>
      <c r="CE15" s="113">
        <f t="shared" si="26"/>
        <v>0</v>
      </c>
      <c r="CF15" s="113">
        <f t="shared" si="26"/>
        <v>0</v>
      </c>
      <c r="CG15" s="113">
        <f t="shared" si="26"/>
        <v>0</v>
      </c>
      <c r="CH15" s="113">
        <f t="shared" si="26"/>
        <v>0</v>
      </c>
      <c r="CI15" s="113">
        <f t="shared" si="26"/>
        <v>0</v>
      </c>
      <c r="CJ15" s="113">
        <f t="shared" si="26"/>
        <v>0</v>
      </c>
      <c r="CK15" s="113">
        <f t="shared" si="26"/>
        <v>0</v>
      </c>
      <c r="CL15" s="113">
        <f t="shared" si="26"/>
        <v>0</v>
      </c>
      <c r="CM15" s="113">
        <f t="shared" si="26"/>
        <v>0</v>
      </c>
      <c r="CN15" s="113">
        <f t="shared" si="26"/>
        <v>0</v>
      </c>
      <c r="CO15" s="113">
        <f t="shared" si="26"/>
        <v>0</v>
      </c>
      <c r="CP15" s="113">
        <f t="shared" si="26"/>
        <v>0</v>
      </c>
      <c r="CQ15" s="113">
        <f t="shared" si="26"/>
        <v>0</v>
      </c>
      <c r="CR15" s="113">
        <f t="shared" si="26"/>
        <v>0</v>
      </c>
      <c r="CS15" s="113">
        <f t="shared" si="26"/>
        <v>0</v>
      </c>
      <c r="CT15" s="113">
        <f t="shared" si="26"/>
        <v>0</v>
      </c>
    </row>
    <row r="16" spans="1:174">
      <c r="E16" s="103"/>
      <c r="F16" s="104"/>
      <c r="G16" s="104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7"/>
      <c r="CQ16" s="109"/>
      <c r="CR16" s="109"/>
      <c r="CS16" s="109"/>
      <c r="CT16" s="109"/>
    </row>
    <row r="17" spans="1:98">
      <c r="A17" s="503" t="s">
        <v>72</v>
      </c>
      <c r="B17" s="499" t="str">
        <f>'BESS 10B'!F95</f>
        <v>08 Aug
23 Aug</v>
      </c>
      <c r="C17" s="499" t="str">
        <f>'BESS 10B'!G95</f>
        <v>13 Aug
28 Aug</v>
      </c>
      <c r="D17" s="114"/>
      <c r="E17" s="114" t="s">
        <v>10</v>
      </c>
      <c r="F17" s="115" t="s">
        <v>58</v>
      </c>
      <c r="G17" s="115" t="s">
        <v>59</v>
      </c>
      <c r="H17" s="115" t="s">
        <v>60</v>
      </c>
      <c r="I17" s="116">
        <v>46195</v>
      </c>
      <c r="J17" s="116">
        <v>46196</v>
      </c>
      <c r="K17" s="116">
        <v>46197</v>
      </c>
      <c r="L17" s="116">
        <f t="shared" ref="L17:AQ17" si="27">K17+1</f>
        <v>46198</v>
      </c>
      <c r="M17" s="116">
        <f t="shared" si="27"/>
        <v>46199</v>
      </c>
      <c r="N17" s="116">
        <f t="shared" si="27"/>
        <v>46200</v>
      </c>
      <c r="O17" s="116">
        <f t="shared" si="27"/>
        <v>46201</v>
      </c>
      <c r="P17" s="116">
        <f t="shared" si="27"/>
        <v>46202</v>
      </c>
      <c r="Q17" s="116">
        <f t="shared" si="27"/>
        <v>46203</v>
      </c>
      <c r="R17" s="116">
        <f t="shared" si="27"/>
        <v>46204</v>
      </c>
      <c r="S17" s="116">
        <f t="shared" si="27"/>
        <v>46205</v>
      </c>
      <c r="T17" s="116">
        <f t="shared" si="27"/>
        <v>46206</v>
      </c>
      <c r="U17" s="116">
        <f t="shared" si="27"/>
        <v>46207</v>
      </c>
      <c r="V17" s="116">
        <f t="shared" si="27"/>
        <v>46208</v>
      </c>
      <c r="W17" s="116">
        <f t="shared" si="27"/>
        <v>46209</v>
      </c>
      <c r="X17" s="116">
        <f t="shared" si="27"/>
        <v>46210</v>
      </c>
      <c r="Y17" s="116">
        <f t="shared" si="27"/>
        <v>46211</v>
      </c>
      <c r="Z17" s="116">
        <f t="shared" si="27"/>
        <v>46212</v>
      </c>
      <c r="AA17" s="116">
        <f t="shared" si="27"/>
        <v>46213</v>
      </c>
      <c r="AB17" s="116">
        <f t="shared" si="27"/>
        <v>46214</v>
      </c>
      <c r="AC17" s="116">
        <f t="shared" si="27"/>
        <v>46215</v>
      </c>
      <c r="AD17" s="116">
        <f t="shared" si="27"/>
        <v>46216</v>
      </c>
      <c r="AE17" s="116">
        <f t="shared" si="27"/>
        <v>46217</v>
      </c>
      <c r="AF17" s="116">
        <f t="shared" si="27"/>
        <v>46218</v>
      </c>
      <c r="AG17" s="116">
        <f t="shared" si="27"/>
        <v>46219</v>
      </c>
      <c r="AH17" s="116">
        <f t="shared" si="27"/>
        <v>46220</v>
      </c>
      <c r="AI17" s="116">
        <f t="shared" si="27"/>
        <v>46221</v>
      </c>
      <c r="AJ17" s="116">
        <f t="shared" si="27"/>
        <v>46222</v>
      </c>
      <c r="AK17" s="116">
        <f t="shared" si="27"/>
        <v>46223</v>
      </c>
      <c r="AL17" s="116">
        <f t="shared" si="27"/>
        <v>46224</v>
      </c>
      <c r="AM17" s="116">
        <f t="shared" si="27"/>
        <v>46225</v>
      </c>
      <c r="AN17" s="116">
        <f t="shared" si="27"/>
        <v>46226</v>
      </c>
      <c r="AO17" s="116">
        <f t="shared" si="27"/>
        <v>46227</v>
      </c>
      <c r="AP17" s="116">
        <f t="shared" si="27"/>
        <v>46228</v>
      </c>
      <c r="AQ17" s="116">
        <f t="shared" si="27"/>
        <v>46229</v>
      </c>
      <c r="AR17" s="116">
        <f t="shared" ref="AR17:BW17" si="28">AQ17+1</f>
        <v>46230</v>
      </c>
      <c r="AS17" s="116">
        <f t="shared" si="28"/>
        <v>46231</v>
      </c>
      <c r="AT17" s="116">
        <f t="shared" si="28"/>
        <v>46232</v>
      </c>
      <c r="AU17" s="116">
        <f t="shared" si="28"/>
        <v>46233</v>
      </c>
      <c r="AV17" s="116">
        <f t="shared" si="28"/>
        <v>46234</v>
      </c>
      <c r="AW17" s="116">
        <f t="shared" si="28"/>
        <v>46235</v>
      </c>
      <c r="AX17" s="116">
        <f t="shared" si="28"/>
        <v>46236</v>
      </c>
      <c r="AY17" s="116">
        <f t="shared" si="28"/>
        <v>46237</v>
      </c>
      <c r="AZ17" s="116">
        <f t="shared" si="28"/>
        <v>46238</v>
      </c>
      <c r="BA17" s="116">
        <f t="shared" si="28"/>
        <v>46239</v>
      </c>
      <c r="BB17" s="116">
        <f t="shared" si="28"/>
        <v>46240</v>
      </c>
      <c r="BC17" s="116">
        <f t="shared" si="28"/>
        <v>46241</v>
      </c>
      <c r="BD17" s="116">
        <f t="shared" si="28"/>
        <v>46242</v>
      </c>
      <c r="BE17" s="116">
        <f t="shared" si="28"/>
        <v>46243</v>
      </c>
      <c r="BF17" s="116">
        <f t="shared" si="28"/>
        <v>46244</v>
      </c>
      <c r="BG17" s="116">
        <f t="shared" si="28"/>
        <v>46245</v>
      </c>
      <c r="BH17" s="116">
        <f t="shared" si="28"/>
        <v>46246</v>
      </c>
      <c r="BI17" s="116">
        <f t="shared" si="28"/>
        <v>46247</v>
      </c>
      <c r="BJ17" s="116">
        <f t="shared" si="28"/>
        <v>46248</v>
      </c>
      <c r="BK17" s="116">
        <f t="shared" si="28"/>
        <v>46249</v>
      </c>
      <c r="BL17" s="116">
        <f t="shared" si="28"/>
        <v>46250</v>
      </c>
      <c r="BM17" s="116">
        <f t="shared" si="28"/>
        <v>46251</v>
      </c>
      <c r="BN17" s="116">
        <f t="shared" si="28"/>
        <v>46252</v>
      </c>
      <c r="BO17" s="116">
        <f t="shared" si="28"/>
        <v>46253</v>
      </c>
      <c r="BP17" s="116">
        <f t="shared" si="28"/>
        <v>46254</v>
      </c>
      <c r="BQ17" s="116">
        <f t="shared" si="28"/>
        <v>46255</v>
      </c>
      <c r="BR17" s="116">
        <f t="shared" si="28"/>
        <v>46256</v>
      </c>
      <c r="BS17" s="116">
        <f t="shared" si="28"/>
        <v>46257</v>
      </c>
      <c r="BT17" s="116">
        <f t="shared" si="28"/>
        <v>46258</v>
      </c>
      <c r="BU17" s="116">
        <f t="shared" si="28"/>
        <v>46259</v>
      </c>
      <c r="BV17" s="116">
        <f t="shared" si="28"/>
        <v>46260</v>
      </c>
      <c r="BW17" s="116">
        <f t="shared" si="28"/>
        <v>46261</v>
      </c>
      <c r="BX17" s="116">
        <f t="shared" ref="BX17:CT17" si="29">BW17+1</f>
        <v>46262</v>
      </c>
      <c r="BY17" s="116">
        <f t="shared" si="29"/>
        <v>46263</v>
      </c>
      <c r="BZ17" s="116">
        <f t="shared" si="29"/>
        <v>46264</v>
      </c>
      <c r="CA17" s="116">
        <f t="shared" si="29"/>
        <v>46265</v>
      </c>
      <c r="CB17" s="116">
        <f t="shared" si="29"/>
        <v>46266</v>
      </c>
      <c r="CC17" s="116">
        <f t="shared" si="29"/>
        <v>46267</v>
      </c>
      <c r="CD17" s="116">
        <f t="shared" si="29"/>
        <v>46268</v>
      </c>
      <c r="CE17" s="116">
        <f t="shared" si="29"/>
        <v>46269</v>
      </c>
      <c r="CF17" s="116">
        <f t="shared" si="29"/>
        <v>46270</v>
      </c>
      <c r="CG17" s="116">
        <f t="shared" si="29"/>
        <v>46271</v>
      </c>
      <c r="CH17" s="116">
        <f t="shared" si="29"/>
        <v>46272</v>
      </c>
      <c r="CI17" s="116">
        <f t="shared" si="29"/>
        <v>46273</v>
      </c>
      <c r="CJ17" s="116">
        <f t="shared" si="29"/>
        <v>46274</v>
      </c>
      <c r="CK17" s="116">
        <f t="shared" si="29"/>
        <v>46275</v>
      </c>
      <c r="CL17" s="116">
        <f t="shared" si="29"/>
        <v>46276</v>
      </c>
      <c r="CM17" s="116">
        <f t="shared" si="29"/>
        <v>46277</v>
      </c>
      <c r="CN17" s="116">
        <f t="shared" si="29"/>
        <v>46278</v>
      </c>
      <c r="CO17" s="116">
        <f t="shared" si="29"/>
        <v>46279</v>
      </c>
      <c r="CP17" s="135">
        <f t="shared" si="29"/>
        <v>46280</v>
      </c>
      <c r="CQ17" s="135">
        <f t="shared" si="29"/>
        <v>46281</v>
      </c>
      <c r="CR17" s="135">
        <f t="shared" si="29"/>
        <v>46282</v>
      </c>
      <c r="CS17" s="135">
        <f t="shared" si="29"/>
        <v>46283</v>
      </c>
      <c r="CT17" s="116">
        <f t="shared" si="29"/>
        <v>46284</v>
      </c>
    </row>
    <row r="18" spans="1:98">
      <c r="A18" s="476"/>
      <c r="B18" s="500"/>
      <c r="C18" s="500"/>
      <c r="D18" s="467" t="str">
        <f>'BESS 10B'!H95</f>
        <v>16 Aug
31 Aug</v>
      </c>
      <c r="E18" s="109" t="s">
        <v>64</v>
      </c>
      <c r="F18" s="102" t="e">
        <f>SUM('BESS 10B'!S108:S115,'BESS 10B'!S117)</f>
        <v>#VALUE!</v>
      </c>
      <c r="G18" s="102">
        <f>MAX('BESS 10B'!O108:O115,'BESS 10B'!O117)-MIN('BESS 10B'!O108:O115,'BESS 10B'!O117)+1</f>
        <v>5</v>
      </c>
      <c r="H18" s="110" t="e">
        <f>MIN('BESS 10B'!S108:S115,'BESS 10B'!S117)</f>
        <v>#VALUE!</v>
      </c>
      <c r="I18" s="101" t="e">
        <f t="shared" ref="I18:R21" si="30">IF(AND(I$1&gt;=$H18,I$1&lt;($H18+$G18)),ROUND($F18/$G18,0),"-")</f>
        <v>#VALUE!</v>
      </c>
      <c r="J18" s="101" t="e">
        <f t="shared" si="30"/>
        <v>#VALUE!</v>
      </c>
      <c r="K18" s="101" t="e">
        <f t="shared" si="30"/>
        <v>#VALUE!</v>
      </c>
      <c r="L18" s="101" t="e">
        <f t="shared" si="30"/>
        <v>#VALUE!</v>
      </c>
      <c r="M18" s="101" t="e">
        <f t="shared" si="30"/>
        <v>#VALUE!</v>
      </c>
      <c r="N18" s="101" t="e">
        <f t="shared" si="30"/>
        <v>#VALUE!</v>
      </c>
      <c r="O18" s="101" t="e">
        <f t="shared" si="30"/>
        <v>#VALUE!</v>
      </c>
      <c r="P18" s="101" t="e">
        <f t="shared" si="30"/>
        <v>#VALUE!</v>
      </c>
      <c r="Q18" s="101" t="e">
        <f t="shared" si="30"/>
        <v>#VALUE!</v>
      </c>
      <c r="R18" s="101" t="e">
        <f t="shared" si="30"/>
        <v>#VALUE!</v>
      </c>
      <c r="S18" s="101" t="e">
        <f t="shared" ref="S18:AB21" si="31">IF(AND(S$1&gt;=$H18,S$1&lt;($H18+$G18)),ROUND($F18/$G18,0),"-")</f>
        <v>#VALUE!</v>
      </c>
      <c r="T18" s="101" t="e">
        <f t="shared" si="31"/>
        <v>#VALUE!</v>
      </c>
      <c r="U18" s="101" t="e">
        <f t="shared" si="31"/>
        <v>#VALUE!</v>
      </c>
      <c r="V18" s="101" t="e">
        <f t="shared" si="31"/>
        <v>#VALUE!</v>
      </c>
      <c r="W18" s="101" t="e">
        <f t="shared" si="31"/>
        <v>#VALUE!</v>
      </c>
      <c r="X18" s="101" t="e">
        <f t="shared" si="31"/>
        <v>#VALUE!</v>
      </c>
      <c r="Y18" s="101" t="e">
        <f t="shared" si="31"/>
        <v>#VALUE!</v>
      </c>
      <c r="Z18" s="101" t="e">
        <f t="shared" si="31"/>
        <v>#VALUE!</v>
      </c>
      <c r="AA18" s="101" t="e">
        <f t="shared" si="31"/>
        <v>#VALUE!</v>
      </c>
      <c r="AB18" s="101" t="e">
        <f t="shared" si="31"/>
        <v>#VALUE!</v>
      </c>
      <c r="AC18" s="101" t="e">
        <f t="shared" ref="AC18:AL21" si="32">IF(AND(AC$1&gt;=$H18,AC$1&lt;($H18+$G18)),ROUND($F18/$G18,0),"-")</f>
        <v>#VALUE!</v>
      </c>
      <c r="AD18" s="101" t="e">
        <f t="shared" si="32"/>
        <v>#VALUE!</v>
      </c>
      <c r="AE18" s="101" t="e">
        <f t="shared" si="32"/>
        <v>#VALUE!</v>
      </c>
      <c r="AF18" s="101" t="e">
        <f t="shared" si="32"/>
        <v>#VALUE!</v>
      </c>
      <c r="AG18" s="101" t="e">
        <f t="shared" si="32"/>
        <v>#VALUE!</v>
      </c>
      <c r="AH18" s="101" t="e">
        <f t="shared" si="32"/>
        <v>#VALUE!</v>
      </c>
      <c r="AI18" s="101" t="e">
        <f t="shared" si="32"/>
        <v>#VALUE!</v>
      </c>
      <c r="AJ18" s="101" t="e">
        <f t="shared" si="32"/>
        <v>#VALUE!</v>
      </c>
      <c r="AK18" s="101" t="e">
        <f t="shared" si="32"/>
        <v>#VALUE!</v>
      </c>
      <c r="AL18" s="101" t="e">
        <f t="shared" si="32"/>
        <v>#VALUE!</v>
      </c>
      <c r="AM18" s="101" t="e">
        <f t="shared" ref="AM18:AV21" si="33">IF(AND(AM$1&gt;=$H18,AM$1&lt;($H18+$G18)),ROUND($F18/$G18,0),"-")</f>
        <v>#VALUE!</v>
      </c>
      <c r="AN18" s="101" t="e">
        <f t="shared" si="33"/>
        <v>#VALUE!</v>
      </c>
      <c r="AO18" s="101" t="e">
        <f t="shared" si="33"/>
        <v>#VALUE!</v>
      </c>
      <c r="AP18" s="101" t="e">
        <f t="shared" si="33"/>
        <v>#VALUE!</v>
      </c>
      <c r="AQ18" s="101" t="e">
        <f t="shared" si="33"/>
        <v>#VALUE!</v>
      </c>
      <c r="AR18" s="101" t="e">
        <f t="shared" si="33"/>
        <v>#VALUE!</v>
      </c>
      <c r="AS18" s="101" t="e">
        <f t="shared" si="33"/>
        <v>#VALUE!</v>
      </c>
      <c r="AT18" s="101" t="e">
        <f t="shared" si="33"/>
        <v>#VALUE!</v>
      </c>
      <c r="AU18" s="101" t="e">
        <f t="shared" si="33"/>
        <v>#VALUE!</v>
      </c>
      <c r="AV18" s="101" t="e">
        <f t="shared" si="33"/>
        <v>#VALUE!</v>
      </c>
      <c r="AW18" s="101" t="e">
        <f t="shared" ref="AW18:BF21" si="34">IF(AND(AW$1&gt;=$H18,AW$1&lt;($H18+$G18)),ROUND($F18/$G18,0),"-")</f>
        <v>#VALUE!</v>
      </c>
      <c r="AX18" s="101" t="e">
        <f t="shared" si="34"/>
        <v>#VALUE!</v>
      </c>
      <c r="AY18" s="101" t="e">
        <f t="shared" si="34"/>
        <v>#VALUE!</v>
      </c>
      <c r="AZ18" s="101" t="e">
        <f t="shared" si="34"/>
        <v>#VALUE!</v>
      </c>
      <c r="BA18" s="101" t="e">
        <f t="shared" si="34"/>
        <v>#VALUE!</v>
      </c>
      <c r="BB18" s="101" t="e">
        <f t="shared" si="34"/>
        <v>#VALUE!</v>
      </c>
      <c r="BC18" s="101" t="e">
        <f t="shared" si="34"/>
        <v>#VALUE!</v>
      </c>
      <c r="BD18" s="101" t="e">
        <f t="shared" si="34"/>
        <v>#VALUE!</v>
      </c>
      <c r="BE18" s="101" t="e">
        <f t="shared" si="34"/>
        <v>#VALUE!</v>
      </c>
      <c r="BF18" s="101" t="e">
        <f t="shared" si="34"/>
        <v>#VALUE!</v>
      </c>
      <c r="BG18" s="101" t="e">
        <f t="shared" ref="BG18:BP21" si="35">IF(AND(BG$1&gt;=$H18,BG$1&lt;($H18+$G18)),ROUND($F18/$G18,0),"-")</f>
        <v>#VALUE!</v>
      </c>
      <c r="BH18" s="101" t="e">
        <f t="shared" si="35"/>
        <v>#VALUE!</v>
      </c>
      <c r="BI18" s="101" t="e">
        <f t="shared" si="35"/>
        <v>#VALUE!</v>
      </c>
      <c r="BJ18" s="101" t="e">
        <f t="shared" si="35"/>
        <v>#VALUE!</v>
      </c>
      <c r="BK18" s="101" t="e">
        <f t="shared" si="35"/>
        <v>#VALUE!</v>
      </c>
      <c r="BL18" s="101" t="e">
        <f t="shared" si="35"/>
        <v>#VALUE!</v>
      </c>
      <c r="BM18" s="101" t="e">
        <f t="shared" si="35"/>
        <v>#VALUE!</v>
      </c>
      <c r="BN18" s="101" t="e">
        <f t="shared" si="35"/>
        <v>#VALUE!</v>
      </c>
      <c r="BO18" s="101" t="e">
        <f t="shared" si="35"/>
        <v>#VALUE!</v>
      </c>
      <c r="BP18" s="101" t="e">
        <f t="shared" si="35"/>
        <v>#VALUE!</v>
      </c>
      <c r="BQ18" s="101" t="e">
        <f t="shared" ref="BQ18:BZ21" si="36">IF(AND(BQ$1&gt;=$H18,BQ$1&lt;($H18+$G18)),ROUND($F18/$G18,0),"-")</f>
        <v>#VALUE!</v>
      </c>
      <c r="BR18" s="101" t="e">
        <f t="shared" si="36"/>
        <v>#VALUE!</v>
      </c>
      <c r="BS18" s="101" t="e">
        <f t="shared" si="36"/>
        <v>#VALUE!</v>
      </c>
      <c r="BT18" s="101" t="e">
        <f t="shared" si="36"/>
        <v>#VALUE!</v>
      </c>
      <c r="BU18" s="101" t="e">
        <f t="shared" si="36"/>
        <v>#VALUE!</v>
      </c>
      <c r="BV18" s="101" t="e">
        <f t="shared" si="36"/>
        <v>#VALUE!</v>
      </c>
      <c r="BW18" s="101" t="e">
        <f t="shared" si="36"/>
        <v>#VALUE!</v>
      </c>
      <c r="BX18" s="101" t="e">
        <f t="shared" si="36"/>
        <v>#VALUE!</v>
      </c>
      <c r="BY18" s="101" t="e">
        <f t="shared" si="36"/>
        <v>#VALUE!</v>
      </c>
      <c r="BZ18" s="101" t="e">
        <f t="shared" si="36"/>
        <v>#VALUE!</v>
      </c>
      <c r="CA18" s="101" t="e">
        <f t="shared" ref="CA18:CJ21" si="37">IF(AND(CA$1&gt;=$H18,CA$1&lt;($H18+$G18)),ROUND($F18/$G18,0),"-")</f>
        <v>#VALUE!</v>
      </c>
      <c r="CB18" s="101" t="e">
        <f t="shared" si="37"/>
        <v>#VALUE!</v>
      </c>
      <c r="CC18" s="101" t="e">
        <f t="shared" si="37"/>
        <v>#VALUE!</v>
      </c>
      <c r="CD18" s="101" t="e">
        <f t="shared" si="37"/>
        <v>#VALUE!</v>
      </c>
      <c r="CE18" s="101" t="e">
        <f t="shared" si="37"/>
        <v>#VALUE!</v>
      </c>
      <c r="CF18" s="101" t="e">
        <f t="shared" si="37"/>
        <v>#VALUE!</v>
      </c>
      <c r="CG18" s="101" t="e">
        <f t="shared" si="37"/>
        <v>#VALUE!</v>
      </c>
      <c r="CH18" s="101" t="e">
        <f t="shared" si="37"/>
        <v>#VALUE!</v>
      </c>
      <c r="CI18" s="101" t="e">
        <f t="shared" si="37"/>
        <v>#VALUE!</v>
      </c>
      <c r="CJ18" s="101" t="e">
        <f t="shared" si="37"/>
        <v>#VALUE!</v>
      </c>
      <c r="CK18" s="101" t="e">
        <f t="shared" ref="CK18:CT21" si="38">IF(AND(CK$1&gt;=$H18,CK$1&lt;($H18+$G18)),ROUND($F18/$G18,0),"-")</f>
        <v>#VALUE!</v>
      </c>
      <c r="CL18" s="101" t="e">
        <f t="shared" si="38"/>
        <v>#VALUE!</v>
      </c>
      <c r="CM18" s="101" t="e">
        <f t="shared" si="38"/>
        <v>#VALUE!</v>
      </c>
      <c r="CN18" s="101" t="e">
        <f t="shared" si="38"/>
        <v>#VALUE!</v>
      </c>
      <c r="CO18" s="101" t="e">
        <f t="shared" si="38"/>
        <v>#VALUE!</v>
      </c>
      <c r="CP18" s="134" t="e">
        <f t="shared" si="38"/>
        <v>#VALUE!</v>
      </c>
      <c r="CQ18" s="134" t="e">
        <f t="shared" si="38"/>
        <v>#VALUE!</v>
      </c>
      <c r="CR18" s="134" t="e">
        <f t="shared" si="38"/>
        <v>#VALUE!</v>
      </c>
      <c r="CS18" s="134" t="e">
        <f t="shared" si="38"/>
        <v>#VALUE!</v>
      </c>
      <c r="CT18" s="101" t="e">
        <f t="shared" si="38"/>
        <v>#VALUE!</v>
      </c>
    </row>
    <row r="19" spans="1:98">
      <c r="A19" s="476"/>
      <c r="B19" s="500"/>
      <c r="C19" s="500"/>
      <c r="D19" s="466"/>
      <c r="E19" s="109" t="s">
        <v>65</v>
      </c>
      <c r="F19" s="102" t="e">
        <f>SUM('BESS 10B'!S118,'BESS 10B'!S120:S121,'BESS 10B'!S124:S126)</f>
        <v>#VALUE!</v>
      </c>
      <c r="G19" s="102">
        <f>MAX('BESS 10B'!O118,'BESS 10B'!O120:O121,'BESS 10B'!O124:O126)-MIN('BESS 10B'!O118,'BESS 10B'!O120:O121,'BESS 10B'!O124:O126)+1</f>
        <v>5</v>
      </c>
      <c r="H19" s="110">
        <f>MIN('BESS 10B'!O118,'BESS 10B'!O120:O121,'BESS 10B'!O124:O126)</f>
        <v>46242</v>
      </c>
      <c r="I19" s="101" t="str">
        <f t="shared" si="30"/>
        <v>-</v>
      </c>
      <c r="J19" s="101" t="str">
        <f t="shared" si="30"/>
        <v>-</v>
      </c>
      <c r="K19" s="101" t="str">
        <f t="shared" si="30"/>
        <v>-</v>
      </c>
      <c r="L19" s="101" t="str">
        <f t="shared" si="30"/>
        <v>-</v>
      </c>
      <c r="M19" s="101" t="str">
        <f t="shared" si="30"/>
        <v>-</v>
      </c>
      <c r="N19" s="101" t="str">
        <f t="shared" si="30"/>
        <v>-</v>
      </c>
      <c r="O19" s="101" t="str">
        <f t="shared" si="30"/>
        <v>-</v>
      </c>
      <c r="P19" s="101" t="str">
        <f t="shared" si="30"/>
        <v>-</v>
      </c>
      <c r="Q19" s="101" t="str">
        <f t="shared" si="30"/>
        <v>-</v>
      </c>
      <c r="R19" s="101" t="str">
        <f t="shared" si="30"/>
        <v>-</v>
      </c>
      <c r="S19" s="101" t="str">
        <f t="shared" si="31"/>
        <v>-</v>
      </c>
      <c r="T19" s="101" t="str">
        <f t="shared" si="31"/>
        <v>-</v>
      </c>
      <c r="U19" s="101" t="str">
        <f t="shared" si="31"/>
        <v>-</v>
      </c>
      <c r="V19" s="101" t="str">
        <f t="shared" si="31"/>
        <v>-</v>
      </c>
      <c r="W19" s="101" t="str">
        <f t="shared" si="31"/>
        <v>-</v>
      </c>
      <c r="X19" s="101" t="str">
        <f t="shared" si="31"/>
        <v>-</v>
      </c>
      <c r="Y19" s="101" t="str">
        <f t="shared" si="31"/>
        <v>-</v>
      </c>
      <c r="Z19" s="101" t="str">
        <f t="shared" si="31"/>
        <v>-</v>
      </c>
      <c r="AA19" s="101" t="str">
        <f t="shared" si="31"/>
        <v>-</v>
      </c>
      <c r="AB19" s="101" t="str">
        <f t="shared" si="31"/>
        <v>-</v>
      </c>
      <c r="AC19" s="101" t="str">
        <f t="shared" si="32"/>
        <v>-</v>
      </c>
      <c r="AD19" s="101" t="str">
        <f t="shared" si="32"/>
        <v>-</v>
      </c>
      <c r="AE19" s="101" t="str">
        <f t="shared" si="32"/>
        <v>-</v>
      </c>
      <c r="AF19" s="101" t="str">
        <f t="shared" si="32"/>
        <v>-</v>
      </c>
      <c r="AG19" s="101" t="str">
        <f t="shared" si="32"/>
        <v>-</v>
      </c>
      <c r="AH19" s="101" t="str">
        <f t="shared" si="32"/>
        <v>-</v>
      </c>
      <c r="AI19" s="101" t="str">
        <f t="shared" si="32"/>
        <v>-</v>
      </c>
      <c r="AJ19" s="101" t="str">
        <f t="shared" si="32"/>
        <v>-</v>
      </c>
      <c r="AK19" s="101" t="str">
        <f t="shared" si="32"/>
        <v>-</v>
      </c>
      <c r="AL19" s="101" t="str">
        <f t="shared" si="32"/>
        <v>-</v>
      </c>
      <c r="AM19" s="101" t="str">
        <f t="shared" si="33"/>
        <v>-</v>
      </c>
      <c r="AN19" s="101" t="str">
        <f t="shared" si="33"/>
        <v>-</v>
      </c>
      <c r="AO19" s="101" t="str">
        <f t="shared" si="33"/>
        <v>-</v>
      </c>
      <c r="AP19" s="101" t="str">
        <f t="shared" si="33"/>
        <v>-</v>
      </c>
      <c r="AQ19" s="101" t="str">
        <f t="shared" si="33"/>
        <v>-</v>
      </c>
      <c r="AR19" s="101" t="str">
        <f t="shared" si="33"/>
        <v>-</v>
      </c>
      <c r="AS19" s="101" t="str">
        <f t="shared" si="33"/>
        <v>-</v>
      </c>
      <c r="AT19" s="101" t="str">
        <f t="shared" si="33"/>
        <v>-</v>
      </c>
      <c r="AU19" s="101" t="str">
        <f t="shared" si="33"/>
        <v>-</v>
      </c>
      <c r="AV19" s="101" t="str">
        <f t="shared" si="33"/>
        <v>-</v>
      </c>
      <c r="AW19" s="101" t="str">
        <f t="shared" si="34"/>
        <v>-</v>
      </c>
      <c r="AX19" s="101" t="str">
        <f t="shared" si="34"/>
        <v>-</v>
      </c>
      <c r="AY19" s="101" t="str">
        <f t="shared" si="34"/>
        <v>-</v>
      </c>
      <c r="AZ19" s="101" t="str">
        <f t="shared" si="34"/>
        <v>-</v>
      </c>
      <c r="BA19" s="101" t="str">
        <f t="shared" si="34"/>
        <v>-</v>
      </c>
      <c r="BB19" s="101" t="str">
        <f t="shared" si="34"/>
        <v>-</v>
      </c>
      <c r="BC19" s="101" t="str">
        <f t="shared" si="34"/>
        <v>-</v>
      </c>
      <c r="BD19" s="101" t="e">
        <f t="shared" si="34"/>
        <v>#VALUE!</v>
      </c>
      <c r="BE19" s="101" t="e">
        <f t="shared" si="34"/>
        <v>#VALUE!</v>
      </c>
      <c r="BF19" s="101" t="e">
        <f t="shared" si="34"/>
        <v>#VALUE!</v>
      </c>
      <c r="BG19" s="101" t="e">
        <f t="shared" si="35"/>
        <v>#VALUE!</v>
      </c>
      <c r="BH19" s="101" t="e">
        <f t="shared" si="35"/>
        <v>#VALUE!</v>
      </c>
      <c r="BI19" s="101" t="str">
        <f t="shared" si="35"/>
        <v>-</v>
      </c>
      <c r="BJ19" s="101" t="str">
        <f t="shared" si="35"/>
        <v>-</v>
      </c>
      <c r="BK19" s="101" t="str">
        <f t="shared" si="35"/>
        <v>-</v>
      </c>
      <c r="BL19" s="101" t="str">
        <f t="shared" si="35"/>
        <v>-</v>
      </c>
      <c r="BM19" s="101" t="str">
        <f t="shared" si="35"/>
        <v>-</v>
      </c>
      <c r="BN19" s="101" t="str">
        <f t="shared" si="35"/>
        <v>-</v>
      </c>
      <c r="BO19" s="101" t="str">
        <f t="shared" si="35"/>
        <v>-</v>
      </c>
      <c r="BP19" s="101" t="str">
        <f t="shared" si="35"/>
        <v>-</v>
      </c>
      <c r="BQ19" s="101" t="str">
        <f t="shared" si="36"/>
        <v>-</v>
      </c>
      <c r="BR19" s="101" t="str">
        <f t="shared" si="36"/>
        <v>-</v>
      </c>
      <c r="BS19" s="101" t="str">
        <f t="shared" si="36"/>
        <v>-</v>
      </c>
      <c r="BT19" s="101" t="str">
        <f t="shared" si="36"/>
        <v>-</v>
      </c>
      <c r="BU19" s="101" t="str">
        <f t="shared" si="36"/>
        <v>-</v>
      </c>
      <c r="BV19" s="101" t="str">
        <f t="shared" si="36"/>
        <v>-</v>
      </c>
      <c r="BW19" s="101" t="str">
        <f t="shared" si="36"/>
        <v>-</v>
      </c>
      <c r="BX19" s="101" t="str">
        <f t="shared" si="36"/>
        <v>-</v>
      </c>
      <c r="BY19" s="101" t="str">
        <f t="shared" si="36"/>
        <v>-</v>
      </c>
      <c r="BZ19" s="101" t="str">
        <f t="shared" si="36"/>
        <v>-</v>
      </c>
      <c r="CA19" s="101" t="str">
        <f t="shared" si="37"/>
        <v>-</v>
      </c>
      <c r="CB19" s="101" t="str">
        <f t="shared" si="37"/>
        <v>-</v>
      </c>
      <c r="CC19" s="101" t="str">
        <f t="shared" si="37"/>
        <v>-</v>
      </c>
      <c r="CD19" s="101" t="str">
        <f t="shared" si="37"/>
        <v>-</v>
      </c>
      <c r="CE19" s="101" t="str">
        <f t="shared" si="37"/>
        <v>-</v>
      </c>
      <c r="CF19" s="101" t="str">
        <f t="shared" si="37"/>
        <v>-</v>
      </c>
      <c r="CG19" s="101" t="str">
        <f t="shared" si="37"/>
        <v>-</v>
      </c>
      <c r="CH19" s="101" t="str">
        <f t="shared" si="37"/>
        <v>-</v>
      </c>
      <c r="CI19" s="101" t="str">
        <f t="shared" si="37"/>
        <v>-</v>
      </c>
      <c r="CJ19" s="101" t="str">
        <f t="shared" si="37"/>
        <v>-</v>
      </c>
      <c r="CK19" s="101" t="str">
        <f t="shared" si="38"/>
        <v>-</v>
      </c>
      <c r="CL19" s="101" t="str">
        <f t="shared" si="38"/>
        <v>-</v>
      </c>
      <c r="CM19" s="101" t="str">
        <f t="shared" si="38"/>
        <v>-</v>
      </c>
      <c r="CN19" s="101" t="str">
        <f t="shared" si="38"/>
        <v>-</v>
      </c>
      <c r="CO19" s="101" t="str">
        <f t="shared" si="38"/>
        <v>-</v>
      </c>
      <c r="CP19" s="134" t="str">
        <f t="shared" si="38"/>
        <v>-</v>
      </c>
      <c r="CQ19" s="134" t="str">
        <f t="shared" si="38"/>
        <v>-</v>
      </c>
      <c r="CR19" s="134" t="str">
        <f t="shared" si="38"/>
        <v>-</v>
      </c>
      <c r="CS19" s="134" t="str">
        <f t="shared" si="38"/>
        <v>-</v>
      </c>
      <c r="CT19" s="101" t="str">
        <f t="shared" si="38"/>
        <v>-</v>
      </c>
    </row>
    <row r="20" spans="1:98">
      <c r="A20" s="476"/>
      <c r="B20" s="500"/>
      <c r="C20" s="500"/>
      <c r="D20" s="466"/>
      <c r="E20" s="109" t="s">
        <v>66</v>
      </c>
      <c r="F20" s="102" t="e">
        <f>SUM('BESS 10B'!S119,'BESS 10B'!S122:S123,'BESS 10B'!S127:S128)</f>
        <v>#VALUE!</v>
      </c>
      <c r="G20" s="102">
        <f>MAX('BESS 10B'!O119,'BESS 10B'!O121:O122,'BESS 10B'!O125:O127)-MIN('BESS 10B'!O119,'BESS 10B'!O121:O122,'BESS 10B'!O125:O127)+1</f>
        <v>8</v>
      </c>
      <c r="H20" s="110">
        <f>MIN('BESS 10B'!O119,'BESS 10B'!O121:O122,'BESS 10B'!O125:O127)</f>
        <v>46244</v>
      </c>
      <c r="I20" s="101" t="str">
        <f t="shared" si="30"/>
        <v>-</v>
      </c>
      <c r="J20" s="101" t="str">
        <f t="shared" si="30"/>
        <v>-</v>
      </c>
      <c r="K20" s="101" t="str">
        <f t="shared" si="30"/>
        <v>-</v>
      </c>
      <c r="L20" s="101" t="str">
        <f t="shared" si="30"/>
        <v>-</v>
      </c>
      <c r="M20" s="101" t="str">
        <f t="shared" si="30"/>
        <v>-</v>
      </c>
      <c r="N20" s="101" t="str">
        <f t="shared" si="30"/>
        <v>-</v>
      </c>
      <c r="O20" s="101" t="str">
        <f t="shared" si="30"/>
        <v>-</v>
      </c>
      <c r="P20" s="101" t="str">
        <f t="shared" si="30"/>
        <v>-</v>
      </c>
      <c r="Q20" s="101" t="str">
        <f t="shared" si="30"/>
        <v>-</v>
      </c>
      <c r="R20" s="101" t="str">
        <f t="shared" si="30"/>
        <v>-</v>
      </c>
      <c r="S20" s="101" t="str">
        <f t="shared" si="31"/>
        <v>-</v>
      </c>
      <c r="T20" s="101" t="str">
        <f t="shared" si="31"/>
        <v>-</v>
      </c>
      <c r="U20" s="101" t="str">
        <f t="shared" si="31"/>
        <v>-</v>
      </c>
      <c r="V20" s="101" t="str">
        <f t="shared" si="31"/>
        <v>-</v>
      </c>
      <c r="W20" s="101" t="str">
        <f t="shared" si="31"/>
        <v>-</v>
      </c>
      <c r="X20" s="101" t="str">
        <f t="shared" si="31"/>
        <v>-</v>
      </c>
      <c r="Y20" s="101" t="str">
        <f t="shared" si="31"/>
        <v>-</v>
      </c>
      <c r="Z20" s="101" t="str">
        <f t="shared" si="31"/>
        <v>-</v>
      </c>
      <c r="AA20" s="101" t="str">
        <f t="shared" si="31"/>
        <v>-</v>
      </c>
      <c r="AB20" s="101" t="str">
        <f t="shared" si="31"/>
        <v>-</v>
      </c>
      <c r="AC20" s="101" t="str">
        <f t="shared" si="32"/>
        <v>-</v>
      </c>
      <c r="AD20" s="101" t="str">
        <f t="shared" si="32"/>
        <v>-</v>
      </c>
      <c r="AE20" s="101" t="str">
        <f t="shared" si="32"/>
        <v>-</v>
      </c>
      <c r="AF20" s="101" t="str">
        <f t="shared" si="32"/>
        <v>-</v>
      </c>
      <c r="AG20" s="101" t="str">
        <f t="shared" si="32"/>
        <v>-</v>
      </c>
      <c r="AH20" s="101" t="str">
        <f t="shared" si="32"/>
        <v>-</v>
      </c>
      <c r="AI20" s="101" t="str">
        <f t="shared" si="32"/>
        <v>-</v>
      </c>
      <c r="AJ20" s="101" t="str">
        <f t="shared" si="32"/>
        <v>-</v>
      </c>
      <c r="AK20" s="101" t="str">
        <f t="shared" si="32"/>
        <v>-</v>
      </c>
      <c r="AL20" s="101" t="str">
        <f t="shared" si="32"/>
        <v>-</v>
      </c>
      <c r="AM20" s="101" t="str">
        <f t="shared" si="33"/>
        <v>-</v>
      </c>
      <c r="AN20" s="101" t="str">
        <f t="shared" si="33"/>
        <v>-</v>
      </c>
      <c r="AO20" s="101" t="str">
        <f t="shared" si="33"/>
        <v>-</v>
      </c>
      <c r="AP20" s="101" t="str">
        <f t="shared" si="33"/>
        <v>-</v>
      </c>
      <c r="AQ20" s="101" t="str">
        <f t="shared" si="33"/>
        <v>-</v>
      </c>
      <c r="AR20" s="101" t="str">
        <f t="shared" si="33"/>
        <v>-</v>
      </c>
      <c r="AS20" s="101" t="str">
        <f t="shared" si="33"/>
        <v>-</v>
      </c>
      <c r="AT20" s="101" t="str">
        <f t="shared" si="33"/>
        <v>-</v>
      </c>
      <c r="AU20" s="101" t="str">
        <f t="shared" si="33"/>
        <v>-</v>
      </c>
      <c r="AV20" s="101" t="str">
        <f t="shared" si="33"/>
        <v>-</v>
      </c>
      <c r="AW20" s="101" t="str">
        <f t="shared" si="34"/>
        <v>-</v>
      </c>
      <c r="AX20" s="101" t="str">
        <f t="shared" si="34"/>
        <v>-</v>
      </c>
      <c r="AY20" s="101" t="str">
        <f t="shared" si="34"/>
        <v>-</v>
      </c>
      <c r="AZ20" s="101" t="str">
        <f t="shared" si="34"/>
        <v>-</v>
      </c>
      <c r="BA20" s="101" t="str">
        <f t="shared" si="34"/>
        <v>-</v>
      </c>
      <c r="BB20" s="101" t="str">
        <f t="shared" si="34"/>
        <v>-</v>
      </c>
      <c r="BC20" s="101" t="str">
        <f t="shared" si="34"/>
        <v>-</v>
      </c>
      <c r="BD20" s="101" t="str">
        <f t="shared" si="34"/>
        <v>-</v>
      </c>
      <c r="BE20" s="101" t="str">
        <f t="shared" si="34"/>
        <v>-</v>
      </c>
      <c r="BF20" s="101" t="e">
        <f t="shared" si="34"/>
        <v>#VALUE!</v>
      </c>
      <c r="BG20" s="101" t="e">
        <f t="shared" si="35"/>
        <v>#VALUE!</v>
      </c>
      <c r="BH20" s="101" t="e">
        <f t="shared" si="35"/>
        <v>#VALUE!</v>
      </c>
      <c r="BI20" s="101" t="e">
        <f t="shared" si="35"/>
        <v>#VALUE!</v>
      </c>
      <c r="BJ20" s="101" t="e">
        <f t="shared" si="35"/>
        <v>#VALUE!</v>
      </c>
      <c r="BK20" s="101" t="e">
        <f t="shared" si="35"/>
        <v>#VALUE!</v>
      </c>
      <c r="BL20" s="101" t="e">
        <f t="shared" si="35"/>
        <v>#VALUE!</v>
      </c>
      <c r="BM20" s="101" t="e">
        <f t="shared" si="35"/>
        <v>#VALUE!</v>
      </c>
      <c r="BN20" s="101" t="str">
        <f t="shared" si="35"/>
        <v>-</v>
      </c>
      <c r="BO20" s="101" t="str">
        <f t="shared" si="35"/>
        <v>-</v>
      </c>
      <c r="BP20" s="101" t="str">
        <f t="shared" si="35"/>
        <v>-</v>
      </c>
      <c r="BQ20" s="101" t="str">
        <f t="shared" si="36"/>
        <v>-</v>
      </c>
      <c r="BR20" s="101" t="str">
        <f t="shared" si="36"/>
        <v>-</v>
      </c>
      <c r="BS20" s="101" t="str">
        <f t="shared" si="36"/>
        <v>-</v>
      </c>
      <c r="BT20" s="101" t="str">
        <f t="shared" si="36"/>
        <v>-</v>
      </c>
      <c r="BU20" s="101" t="str">
        <f t="shared" si="36"/>
        <v>-</v>
      </c>
      <c r="BV20" s="101" t="str">
        <f t="shared" si="36"/>
        <v>-</v>
      </c>
      <c r="BW20" s="101" t="str">
        <f t="shared" si="36"/>
        <v>-</v>
      </c>
      <c r="BX20" s="101" t="str">
        <f t="shared" si="36"/>
        <v>-</v>
      </c>
      <c r="BY20" s="101" t="str">
        <f t="shared" si="36"/>
        <v>-</v>
      </c>
      <c r="BZ20" s="101" t="str">
        <f t="shared" si="36"/>
        <v>-</v>
      </c>
      <c r="CA20" s="101" t="str">
        <f t="shared" si="37"/>
        <v>-</v>
      </c>
      <c r="CB20" s="101" t="str">
        <f t="shared" si="37"/>
        <v>-</v>
      </c>
      <c r="CC20" s="101" t="str">
        <f t="shared" si="37"/>
        <v>-</v>
      </c>
      <c r="CD20" s="101" t="str">
        <f t="shared" si="37"/>
        <v>-</v>
      </c>
      <c r="CE20" s="101" t="str">
        <f t="shared" si="37"/>
        <v>-</v>
      </c>
      <c r="CF20" s="101" t="str">
        <f t="shared" si="37"/>
        <v>-</v>
      </c>
      <c r="CG20" s="101" t="str">
        <f t="shared" si="37"/>
        <v>-</v>
      </c>
      <c r="CH20" s="101" t="str">
        <f t="shared" si="37"/>
        <v>-</v>
      </c>
      <c r="CI20" s="101" t="str">
        <f t="shared" si="37"/>
        <v>-</v>
      </c>
      <c r="CJ20" s="101" t="str">
        <f t="shared" si="37"/>
        <v>-</v>
      </c>
      <c r="CK20" s="101" t="str">
        <f t="shared" si="38"/>
        <v>-</v>
      </c>
      <c r="CL20" s="101" t="str">
        <f t="shared" si="38"/>
        <v>-</v>
      </c>
      <c r="CM20" s="101" t="str">
        <f t="shared" si="38"/>
        <v>-</v>
      </c>
      <c r="CN20" s="101" t="str">
        <f t="shared" si="38"/>
        <v>-</v>
      </c>
      <c r="CO20" s="101" t="str">
        <f t="shared" si="38"/>
        <v>-</v>
      </c>
      <c r="CP20" s="134" t="str">
        <f t="shared" si="38"/>
        <v>-</v>
      </c>
      <c r="CQ20" s="134" t="str">
        <f t="shared" si="38"/>
        <v>-</v>
      </c>
      <c r="CR20" s="134" t="str">
        <f t="shared" si="38"/>
        <v>-</v>
      </c>
      <c r="CS20" s="134" t="str">
        <f t="shared" si="38"/>
        <v>-</v>
      </c>
      <c r="CT20" s="101" t="str">
        <f t="shared" si="38"/>
        <v>-</v>
      </c>
    </row>
    <row r="21" spans="1:98">
      <c r="A21" s="476"/>
      <c r="B21" s="500"/>
      <c r="C21" s="500"/>
      <c r="D21" s="466"/>
      <c r="E21" s="109" t="s">
        <v>67</v>
      </c>
      <c r="F21" s="102" t="e">
        <f>SUM('BESS 10B'!S130:S139)</f>
        <v>#VALUE!</v>
      </c>
      <c r="G21" s="102">
        <f>MAX('BESS 10B'!O130:O139)-MIN('BESS 10B'!O130:O139)+1</f>
        <v>10</v>
      </c>
      <c r="H21" s="110">
        <f>MIN('BESS 10B'!O130:O139)</f>
        <v>46246</v>
      </c>
      <c r="I21" s="101" t="str">
        <f t="shared" si="30"/>
        <v>-</v>
      </c>
      <c r="J21" s="101" t="str">
        <f t="shared" si="30"/>
        <v>-</v>
      </c>
      <c r="K21" s="101" t="str">
        <f t="shared" si="30"/>
        <v>-</v>
      </c>
      <c r="L21" s="101" t="str">
        <f t="shared" si="30"/>
        <v>-</v>
      </c>
      <c r="M21" s="101" t="str">
        <f t="shared" si="30"/>
        <v>-</v>
      </c>
      <c r="N21" s="101" t="str">
        <f t="shared" si="30"/>
        <v>-</v>
      </c>
      <c r="O21" s="101" t="str">
        <f t="shared" si="30"/>
        <v>-</v>
      </c>
      <c r="P21" s="101" t="str">
        <f t="shared" si="30"/>
        <v>-</v>
      </c>
      <c r="Q21" s="101" t="str">
        <f t="shared" si="30"/>
        <v>-</v>
      </c>
      <c r="R21" s="101" t="str">
        <f t="shared" si="30"/>
        <v>-</v>
      </c>
      <c r="S21" s="101" t="str">
        <f t="shared" si="31"/>
        <v>-</v>
      </c>
      <c r="T21" s="101" t="str">
        <f t="shared" si="31"/>
        <v>-</v>
      </c>
      <c r="U21" s="101" t="str">
        <f t="shared" si="31"/>
        <v>-</v>
      </c>
      <c r="V21" s="101" t="str">
        <f t="shared" si="31"/>
        <v>-</v>
      </c>
      <c r="W21" s="101" t="str">
        <f t="shared" si="31"/>
        <v>-</v>
      </c>
      <c r="X21" s="101" t="str">
        <f t="shared" si="31"/>
        <v>-</v>
      </c>
      <c r="Y21" s="101" t="str">
        <f t="shared" si="31"/>
        <v>-</v>
      </c>
      <c r="Z21" s="101" t="str">
        <f t="shared" si="31"/>
        <v>-</v>
      </c>
      <c r="AA21" s="101" t="str">
        <f t="shared" si="31"/>
        <v>-</v>
      </c>
      <c r="AB21" s="101" t="str">
        <f t="shared" si="31"/>
        <v>-</v>
      </c>
      <c r="AC21" s="101" t="str">
        <f t="shared" si="32"/>
        <v>-</v>
      </c>
      <c r="AD21" s="101" t="str">
        <f t="shared" si="32"/>
        <v>-</v>
      </c>
      <c r="AE21" s="101" t="str">
        <f t="shared" si="32"/>
        <v>-</v>
      </c>
      <c r="AF21" s="101" t="str">
        <f t="shared" si="32"/>
        <v>-</v>
      </c>
      <c r="AG21" s="101" t="str">
        <f t="shared" si="32"/>
        <v>-</v>
      </c>
      <c r="AH21" s="101" t="str">
        <f t="shared" si="32"/>
        <v>-</v>
      </c>
      <c r="AI21" s="101" t="str">
        <f t="shared" si="32"/>
        <v>-</v>
      </c>
      <c r="AJ21" s="101" t="str">
        <f t="shared" si="32"/>
        <v>-</v>
      </c>
      <c r="AK21" s="101" t="str">
        <f t="shared" si="32"/>
        <v>-</v>
      </c>
      <c r="AL21" s="101" t="str">
        <f t="shared" si="32"/>
        <v>-</v>
      </c>
      <c r="AM21" s="101" t="str">
        <f t="shared" si="33"/>
        <v>-</v>
      </c>
      <c r="AN21" s="101" t="str">
        <f t="shared" si="33"/>
        <v>-</v>
      </c>
      <c r="AO21" s="101" t="str">
        <f t="shared" si="33"/>
        <v>-</v>
      </c>
      <c r="AP21" s="101" t="str">
        <f t="shared" si="33"/>
        <v>-</v>
      </c>
      <c r="AQ21" s="101" t="str">
        <f t="shared" si="33"/>
        <v>-</v>
      </c>
      <c r="AR21" s="101" t="str">
        <f t="shared" si="33"/>
        <v>-</v>
      </c>
      <c r="AS21" s="101" t="str">
        <f t="shared" si="33"/>
        <v>-</v>
      </c>
      <c r="AT21" s="101" t="str">
        <f t="shared" si="33"/>
        <v>-</v>
      </c>
      <c r="AU21" s="101" t="str">
        <f t="shared" si="33"/>
        <v>-</v>
      </c>
      <c r="AV21" s="101" t="str">
        <f t="shared" si="33"/>
        <v>-</v>
      </c>
      <c r="AW21" s="101" t="str">
        <f t="shared" si="34"/>
        <v>-</v>
      </c>
      <c r="AX21" s="101" t="str">
        <f t="shared" si="34"/>
        <v>-</v>
      </c>
      <c r="AY21" s="101" t="str">
        <f t="shared" si="34"/>
        <v>-</v>
      </c>
      <c r="AZ21" s="101" t="str">
        <f t="shared" si="34"/>
        <v>-</v>
      </c>
      <c r="BA21" s="101" t="str">
        <f t="shared" si="34"/>
        <v>-</v>
      </c>
      <c r="BB21" s="101" t="str">
        <f t="shared" si="34"/>
        <v>-</v>
      </c>
      <c r="BC21" s="101" t="str">
        <f t="shared" si="34"/>
        <v>-</v>
      </c>
      <c r="BD21" s="101" t="str">
        <f t="shared" si="34"/>
        <v>-</v>
      </c>
      <c r="BE21" s="101" t="str">
        <f t="shared" si="34"/>
        <v>-</v>
      </c>
      <c r="BF21" s="101" t="str">
        <f t="shared" si="34"/>
        <v>-</v>
      </c>
      <c r="BG21" s="101" t="str">
        <f t="shared" si="35"/>
        <v>-</v>
      </c>
      <c r="BH21" s="101" t="e">
        <f t="shared" si="35"/>
        <v>#VALUE!</v>
      </c>
      <c r="BI21" s="101" t="e">
        <f t="shared" si="35"/>
        <v>#VALUE!</v>
      </c>
      <c r="BJ21" s="101" t="e">
        <f t="shared" si="35"/>
        <v>#VALUE!</v>
      </c>
      <c r="BK21" s="101" t="e">
        <f t="shared" si="35"/>
        <v>#VALUE!</v>
      </c>
      <c r="BL21" s="101" t="e">
        <f t="shared" si="35"/>
        <v>#VALUE!</v>
      </c>
      <c r="BM21" s="101" t="e">
        <f t="shared" si="35"/>
        <v>#VALUE!</v>
      </c>
      <c r="BN21" s="101" t="e">
        <f t="shared" si="35"/>
        <v>#VALUE!</v>
      </c>
      <c r="BO21" s="101" t="e">
        <f t="shared" si="35"/>
        <v>#VALUE!</v>
      </c>
      <c r="BP21" s="101" t="e">
        <f t="shared" si="35"/>
        <v>#VALUE!</v>
      </c>
      <c r="BQ21" s="101" t="e">
        <f t="shared" si="36"/>
        <v>#VALUE!</v>
      </c>
      <c r="BR21" s="101" t="str">
        <f t="shared" si="36"/>
        <v>-</v>
      </c>
      <c r="BS21" s="101" t="str">
        <f t="shared" si="36"/>
        <v>-</v>
      </c>
      <c r="BT21" s="101" t="str">
        <f t="shared" si="36"/>
        <v>-</v>
      </c>
      <c r="BU21" s="101" t="str">
        <f t="shared" si="36"/>
        <v>-</v>
      </c>
      <c r="BV21" s="101" t="str">
        <f t="shared" si="36"/>
        <v>-</v>
      </c>
      <c r="BW21" s="101" t="str">
        <f t="shared" si="36"/>
        <v>-</v>
      </c>
      <c r="BX21" s="101" t="str">
        <f t="shared" si="36"/>
        <v>-</v>
      </c>
      <c r="BY21" s="101" t="str">
        <f t="shared" si="36"/>
        <v>-</v>
      </c>
      <c r="BZ21" s="101" t="str">
        <f t="shared" si="36"/>
        <v>-</v>
      </c>
      <c r="CA21" s="101" t="str">
        <f t="shared" si="37"/>
        <v>-</v>
      </c>
      <c r="CB21" s="101" t="str">
        <f t="shared" si="37"/>
        <v>-</v>
      </c>
      <c r="CC21" s="101" t="str">
        <f t="shared" si="37"/>
        <v>-</v>
      </c>
      <c r="CD21" s="101" t="str">
        <f t="shared" si="37"/>
        <v>-</v>
      </c>
      <c r="CE21" s="101" t="str">
        <f t="shared" si="37"/>
        <v>-</v>
      </c>
      <c r="CF21" s="101" t="str">
        <f t="shared" si="37"/>
        <v>-</v>
      </c>
      <c r="CG21" s="101" t="str">
        <f t="shared" si="37"/>
        <v>-</v>
      </c>
      <c r="CH21" s="101" t="str">
        <f t="shared" si="37"/>
        <v>-</v>
      </c>
      <c r="CI21" s="101" t="str">
        <f t="shared" si="37"/>
        <v>-</v>
      </c>
      <c r="CJ21" s="101" t="str">
        <f t="shared" si="37"/>
        <v>-</v>
      </c>
      <c r="CK21" s="101" t="str">
        <f t="shared" si="38"/>
        <v>-</v>
      </c>
      <c r="CL21" s="101" t="str">
        <f t="shared" si="38"/>
        <v>-</v>
      </c>
      <c r="CM21" s="101" t="str">
        <f t="shared" si="38"/>
        <v>-</v>
      </c>
      <c r="CN21" s="101" t="str">
        <f t="shared" si="38"/>
        <v>-</v>
      </c>
      <c r="CO21" s="101" t="str">
        <f t="shared" si="38"/>
        <v>-</v>
      </c>
      <c r="CP21" s="134" t="str">
        <f t="shared" si="38"/>
        <v>-</v>
      </c>
      <c r="CQ21" s="134" t="str">
        <f t="shared" si="38"/>
        <v>-</v>
      </c>
      <c r="CR21" s="134" t="str">
        <f t="shared" si="38"/>
        <v>-</v>
      </c>
      <c r="CS21" s="134" t="str">
        <f t="shared" si="38"/>
        <v>-</v>
      </c>
      <c r="CT21" s="101" t="str">
        <f t="shared" si="38"/>
        <v>-</v>
      </c>
    </row>
    <row r="22" spans="1:98">
      <c r="A22" s="504"/>
      <c r="B22" s="501"/>
      <c r="C22" s="501"/>
      <c r="D22" s="466"/>
      <c r="E22" s="109" t="s">
        <v>68</v>
      </c>
      <c r="F22" s="102">
        <f>SUM(AN22:BQ22)</f>
        <v>250</v>
      </c>
      <c r="G22" s="101">
        <v>30</v>
      </c>
      <c r="H22" s="110" t="e">
        <f>B17-3</f>
        <v>#VALUE!</v>
      </c>
      <c r="I22" s="110"/>
      <c r="J22" s="110"/>
      <c r="K22" s="101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>
        <v>5</v>
      </c>
      <c r="AO22" s="102">
        <v>5</v>
      </c>
      <c r="AP22" s="102">
        <v>5</v>
      </c>
      <c r="AQ22" s="102">
        <v>5</v>
      </c>
      <c r="AR22" s="102">
        <v>5</v>
      </c>
      <c r="AS22" s="102">
        <v>5</v>
      </c>
      <c r="AT22" s="102">
        <v>5</v>
      </c>
      <c r="AU22" s="102">
        <v>5</v>
      </c>
      <c r="AV22" s="102">
        <v>5</v>
      </c>
      <c r="AW22" s="102">
        <v>5</v>
      </c>
      <c r="AX22" s="102">
        <v>5</v>
      </c>
      <c r="AY22" s="102">
        <v>5</v>
      </c>
      <c r="AZ22" s="102">
        <v>5</v>
      </c>
      <c r="BA22" s="102">
        <v>5</v>
      </c>
      <c r="BB22" s="102">
        <v>5</v>
      </c>
      <c r="BC22" s="102">
        <v>5</v>
      </c>
      <c r="BD22" s="102">
        <v>5</v>
      </c>
      <c r="BE22" s="102">
        <v>5</v>
      </c>
      <c r="BF22" s="102">
        <v>5</v>
      </c>
      <c r="BG22" s="102">
        <v>5</v>
      </c>
      <c r="BH22" s="102">
        <v>5</v>
      </c>
      <c r="BI22" s="102">
        <v>5</v>
      </c>
      <c r="BJ22" s="102">
        <v>5</v>
      </c>
      <c r="BK22" s="102">
        <v>5</v>
      </c>
      <c r="BL22" s="101">
        <v>30</v>
      </c>
      <c r="BM22" s="101">
        <v>30</v>
      </c>
      <c r="BN22" s="101">
        <v>30</v>
      </c>
      <c r="BO22" s="101">
        <v>30</v>
      </c>
      <c r="BP22" s="101">
        <v>5</v>
      </c>
      <c r="BQ22" s="101">
        <v>5</v>
      </c>
      <c r="BR22" s="101"/>
      <c r="BS22" s="101"/>
      <c r="BT22" s="101"/>
      <c r="BU22" s="101"/>
      <c r="BV22" s="101"/>
      <c r="BW22" s="109"/>
      <c r="BX22" s="109"/>
      <c r="BY22" s="109"/>
      <c r="BZ22" s="109"/>
      <c r="CA22" s="109"/>
      <c r="CB22" s="109"/>
      <c r="CC22" s="109"/>
      <c r="CD22" s="109"/>
      <c r="CE22" s="109"/>
      <c r="CF22" s="109"/>
      <c r="CG22" s="109"/>
      <c r="CH22" s="109"/>
      <c r="CI22" s="109"/>
      <c r="CJ22" s="109"/>
      <c r="CK22" s="109"/>
      <c r="CL22" s="109"/>
      <c r="CM22" s="109"/>
      <c r="CN22" s="109"/>
      <c r="CO22" s="109"/>
      <c r="CP22" s="133"/>
      <c r="CQ22" s="133"/>
      <c r="CR22" s="133"/>
      <c r="CS22" s="133"/>
      <c r="CT22" s="109"/>
    </row>
    <row r="23" spans="1:98" s="141" customFormat="1">
      <c r="B23" s="142"/>
      <c r="E23" s="143"/>
      <c r="F23" s="143"/>
      <c r="G23" s="144"/>
      <c r="H23" s="112" t="s">
        <v>69</v>
      </c>
      <c r="I23" s="112"/>
      <c r="J23" s="112"/>
      <c r="K23" s="113" t="e">
        <f t="shared" ref="K23:AP23" si="39">SUM(K18:K22)</f>
        <v>#VALUE!</v>
      </c>
      <c r="L23" s="113" t="e">
        <f t="shared" si="39"/>
        <v>#VALUE!</v>
      </c>
      <c r="M23" s="113" t="e">
        <f t="shared" si="39"/>
        <v>#VALUE!</v>
      </c>
      <c r="N23" s="113" t="e">
        <f t="shared" si="39"/>
        <v>#VALUE!</v>
      </c>
      <c r="O23" s="113" t="e">
        <f t="shared" si="39"/>
        <v>#VALUE!</v>
      </c>
      <c r="P23" s="113" t="e">
        <f t="shared" si="39"/>
        <v>#VALUE!</v>
      </c>
      <c r="Q23" s="113" t="e">
        <f t="shared" si="39"/>
        <v>#VALUE!</v>
      </c>
      <c r="R23" s="113" t="e">
        <f t="shared" si="39"/>
        <v>#VALUE!</v>
      </c>
      <c r="S23" s="113" t="e">
        <f t="shared" si="39"/>
        <v>#VALUE!</v>
      </c>
      <c r="T23" s="113" t="e">
        <f t="shared" si="39"/>
        <v>#VALUE!</v>
      </c>
      <c r="U23" s="113" t="e">
        <f t="shared" si="39"/>
        <v>#VALUE!</v>
      </c>
      <c r="V23" s="113" t="e">
        <f t="shared" si="39"/>
        <v>#VALUE!</v>
      </c>
      <c r="W23" s="113" t="e">
        <f t="shared" si="39"/>
        <v>#VALUE!</v>
      </c>
      <c r="X23" s="113" t="e">
        <f t="shared" si="39"/>
        <v>#VALUE!</v>
      </c>
      <c r="Y23" s="113" t="e">
        <f t="shared" si="39"/>
        <v>#VALUE!</v>
      </c>
      <c r="Z23" s="113" t="e">
        <f t="shared" si="39"/>
        <v>#VALUE!</v>
      </c>
      <c r="AA23" s="113" t="e">
        <f t="shared" si="39"/>
        <v>#VALUE!</v>
      </c>
      <c r="AB23" s="113" t="e">
        <f t="shared" si="39"/>
        <v>#VALUE!</v>
      </c>
      <c r="AC23" s="113" t="e">
        <f t="shared" si="39"/>
        <v>#VALUE!</v>
      </c>
      <c r="AD23" s="113" t="e">
        <f t="shared" si="39"/>
        <v>#VALUE!</v>
      </c>
      <c r="AE23" s="113" t="e">
        <f t="shared" si="39"/>
        <v>#VALUE!</v>
      </c>
      <c r="AF23" s="113" t="e">
        <f t="shared" si="39"/>
        <v>#VALUE!</v>
      </c>
      <c r="AG23" s="113" t="e">
        <f t="shared" si="39"/>
        <v>#VALUE!</v>
      </c>
      <c r="AH23" s="113" t="e">
        <f t="shared" si="39"/>
        <v>#VALUE!</v>
      </c>
      <c r="AI23" s="113" t="e">
        <f t="shared" si="39"/>
        <v>#VALUE!</v>
      </c>
      <c r="AJ23" s="113" t="e">
        <f t="shared" si="39"/>
        <v>#VALUE!</v>
      </c>
      <c r="AK23" s="113" t="e">
        <f t="shared" si="39"/>
        <v>#VALUE!</v>
      </c>
      <c r="AL23" s="113" t="e">
        <f t="shared" si="39"/>
        <v>#VALUE!</v>
      </c>
      <c r="AM23" s="113" t="e">
        <f t="shared" si="39"/>
        <v>#VALUE!</v>
      </c>
      <c r="AN23" s="113" t="e">
        <f t="shared" si="39"/>
        <v>#VALUE!</v>
      </c>
      <c r="AO23" s="113" t="e">
        <f t="shared" si="39"/>
        <v>#VALUE!</v>
      </c>
      <c r="AP23" s="113" t="e">
        <f t="shared" si="39"/>
        <v>#VALUE!</v>
      </c>
      <c r="AQ23" s="113" t="e">
        <f t="shared" ref="AQ23:BV23" si="40">SUM(AQ18:AQ22)</f>
        <v>#VALUE!</v>
      </c>
      <c r="AR23" s="113" t="e">
        <f t="shared" si="40"/>
        <v>#VALUE!</v>
      </c>
      <c r="AS23" s="113" t="e">
        <f t="shared" si="40"/>
        <v>#VALUE!</v>
      </c>
      <c r="AT23" s="113" t="e">
        <f t="shared" si="40"/>
        <v>#VALUE!</v>
      </c>
      <c r="AU23" s="113" t="e">
        <f t="shared" si="40"/>
        <v>#VALUE!</v>
      </c>
      <c r="AV23" s="113" t="e">
        <f t="shared" si="40"/>
        <v>#VALUE!</v>
      </c>
      <c r="AW23" s="113" t="e">
        <f t="shared" si="40"/>
        <v>#VALUE!</v>
      </c>
      <c r="AX23" s="113" t="e">
        <f t="shared" si="40"/>
        <v>#VALUE!</v>
      </c>
      <c r="AY23" s="113" t="e">
        <f t="shared" si="40"/>
        <v>#VALUE!</v>
      </c>
      <c r="AZ23" s="113" t="e">
        <f t="shared" si="40"/>
        <v>#VALUE!</v>
      </c>
      <c r="BA23" s="113" t="e">
        <f t="shared" si="40"/>
        <v>#VALUE!</v>
      </c>
      <c r="BB23" s="113" t="e">
        <f t="shared" si="40"/>
        <v>#VALUE!</v>
      </c>
      <c r="BC23" s="113" t="e">
        <f t="shared" si="40"/>
        <v>#VALUE!</v>
      </c>
      <c r="BD23" s="113" t="e">
        <f t="shared" si="40"/>
        <v>#VALUE!</v>
      </c>
      <c r="BE23" s="113" t="e">
        <f t="shared" si="40"/>
        <v>#VALUE!</v>
      </c>
      <c r="BF23" s="113" t="e">
        <f t="shared" si="40"/>
        <v>#VALUE!</v>
      </c>
      <c r="BG23" s="113" t="e">
        <f t="shared" si="40"/>
        <v>#VALUE!</v>
      </c>
      <c r="BH23" s="113" t="e">
        <f t="shared" si="40"/>
        <v>#VALUE!</v>
      </c>
      <c r="BI23" s="113" t="e">
        <f t="shared" si="40"/>
        <v>#VALUE!</v>
      </c>
      <c r="BJ23" s="113" t="e">
        <f t="shared" si="40"/>
        <v>#VALUE!</v>
      </c>
      <c r="BK23" s="113" t="e">
        <f t="shared" si="40"/>
        <v>#VALUE!</v>
      </c>
      <c r="BL23" s="113" t="e">
        <f t="shared" si="40"/>
        <v>#VALUE!</v>
      </c>
      <c r="BM23" s="113" t="e">
        <f t="shared" si="40"/>
        <v>#VALUE!</v>
      </c>
      <c r="BN23" s="113" t="e">
        <f t="shared" si="40"/>
        <v>#VALUE!</v>
      </c>
      <c r="BO23" s="113" t="e">
        <f t="shared" si="40"/>
        <v>#VALUE!</v>
      </c>
      <c r="BP23" s="113" t="e">
        <f t="shared" si="40"/>
        <v>#VALUE!</v>
      </c>
      <c r="BQ23" s="113" t="e">
        <f t="shared" si="40"/>
        <v>#VALUE!</v>
      </c>
      <c r="BR23" s="113" t="e">
        <f t="shared" si="40"/>
        <v>#VALUE!</v>
      </c>
      <c r="BS23" s="113" t="e">
        <f t="shared" si="40"/>
        <v>#VALUE!</v>
      </c>
      <c r="BT23" s="113" t="e">
        <f t="shared" si="40"/>
        <v>#VALUE!</v>
      </c>
      <c r="BU23" s="113" t="e">
        <f t="shared" si="40"/>
        <v>#VALUE!</v>
      </c>
      <c r="BV23" s="113" t="e">
        <f t="shared" si="40"/>
        <v>#VALUE!</v>
      </c>
      <c r="BW23" s="113" t="e">
        <f t="shared" ref="BW23:CT23" si="41">SUM(BW18:BW22)</f>
        <v>#VALUE!</v>
      </c>
      <c r="BX23" s="113" t="e">
        <f t="shared" si="41"/>
        <v>#VALUE!</v>
      </c>
      <c r="BY23" s="113" t="e">
        <f t="shared" si="41"/>
        <v>#VALUE!</v>
      </c>
      <c r="BZ23" s="113" t="e">
        <f t="shared" si="41"/>
        <v>#VALUE!</v>
      </c>
      <c r="CA23" s="113" t="e">
        <f t="shared" si="41"/>
        <v>#VALUE!</v>
      </c>
      <c r="CB23" s="113" t="e">
        <f t="shared" si="41"/>
        <v>#VALUE!</v>
      </c>
      <c r="CC23" s="113" t="e">
        <f t="shared" si="41"/>
        <v>#VALUE!</v>
      </c>
      <c r="CD23" s="113" t="e">
        <f t="shared" si="41"/>
        <v>#VALUE!</v>
      </c>
      <c r="CE23" s="113" t="e">
        <f t="shared" si="41"/>
        <v>#VALUE!</v>
      </c>
      <c r="CF23" s="113" t="e">
        <f t="shared" si="41"/>
        <v>#VALUE!</v>
      </c>
      <c r="CG23" s="113" t="e">
        <f t="shared" si="41"/>
        <v>#VALUE!</v>
      </c>
      <c r="CH23" s="113" t="e">
        <f t="shared" si="41"/>
        <v>#VALUE!</v>
      </c>
      <c r="CI23" s="113" t="e">
        <f t="shared" si="41"/>
        <v>#VALUE!</v>
      </c>
      <c r="CJ23" s="113" t="e">
        <f t="shared" si="41"/>
        <v>#VALUE!</v>
      </c>
      <c r="CK23" s="113" t="e">
        <f t="shared" si="41"/>
        <v>#VALUE!</v>
      </c>
      <c r="CL23" s="113" t="e">
        <f t="shared" si="41"/>
        <v>#VALUE!</v>
      </c>
      <c r="CM23" s="113" t="e">
        <f t="shared" si="41"/>
        <v>#VALUE!</v>
      </c>
      <c r="CN23" s="113" t="e">
        <f t="shared" si="41"/>
        <v>#VALUE!</v>
      </c>
      <c r="CO23" s="113" t="e">
        <f t="shared" si="41"/>
        <v>#VALUE!</v>
      </c>
      <c r="CP23" s="113" t="e">
        <f t="shared" si="41"/>
        <v>#VALUE!</v>
      </c>
      <c r="CQ23" s="113" t="e">
        <f t="shared" si="41"/>
        <v>#VALUE!</v>
      </c>
      <c r="CR23" s="113" t="e">
        <f t="shared" si="41"/>
        <v>#VALUE!</v>
      </c>
      <c r="CS23" s="113" t="e">
        <f t="shared" si="41"/>
        <v>#VALUE!</v>
      </c>
      <c r="CT23" s="113" t="e">
        <f t="shared" si="41"/>
        <v>#VALUE!</v>
      </c>
    </row>
    <row r="24" spans="1:98">
      <c r="B24" s="126"/>
      <c r="E24" s="103"/>
      <c r="F24" s="104"/>
      <c r="G24" s="104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3"/>
      <c r="BH24" s="103"/>
      <c r="BI24" s="103"/>
      <c r="BJ24" s="103"/>
      <c r="BK24" s="103"/>
      <c r="BL24" s="103"/>
      <c r="BM24" s="103"/>
      <c r="BN24" s="103"/>
      <c r="BO24" s="103"/>
      <c r="BP24" s="107"/>
      <c r="CQ24" s="109"/>
      <c r="CR24" s="109"/>
      <c r="CS24" s="109"/>
      <c r="CT24" s="109"/>
    </row>
    <row r="25" spans="1:98">
      <c r="A25" s="466" t="s">
        <v>71</v>
      </c>
      <c r="B25" s="502" t="str">
        <f>'BESS 10B'!F140</f>
        <v>30 Aug
21 Sep</v>
      </c>
      <c r="C25" s="502" t="str">
        <f>'BESS 10B'!G140</f>
        <v>04 Sep
26 Sep</v>
      </c>
      <c r="D25" s="114"/>
      <c r="E25" s="114" t="s">
        <v>10</v>
      </c>
      <c r="F25" s="115" t="s">
        <v>58</v>
      </c>
      <c r="G25" s="115" t="s">
        <v>59</v>
      </c>
      <c r="H25" s="115" t="s">
        <v>60</v>
      </c>
      <c r="I25" s="116">
        <v>46195</v>
      </c>
      <c r="J25" s="116">
        <v>46196</v>
      </c>
      <c r="K25" s="116">
        <v>46197</v>
      </c>
      <c r="L25" s="116">
        <f t="shared" ref="L25:AQ25" si="42">K25+1</f>
        <v>46198</v>
      </c>
      <c r="M25" s="116">
        <f t="shared" si="42"/>
        <v>46199</v>
      </c>
      <c r="N25" s="116">
        <f t="shared" si="42"/>
        <v>46200</v>
      </c>
      <c r="O25" s="116">
        <f t="shared" si="42"/>
        <v>46201</v>
      </c>
      <c r="P25" s="116">
        <f t="shared" si="42"/>
        <v>46202</v>
      </c>
      <c r="Q25" s="116">
        <f t="shared" si="42"/>
        <v>46203</v>
      </c>
      <c r="R25" s="116">
        <f t="shared" si="42"/>
        <v>46204</v>
      </c>
      <c r="S25" s="116">
        <f t="shared" si="42"/>
        <v>46205</v>
      </c>
      <c r="T25" s="116">
        <f t="shared" si="42"/>
        <v>46206</v>
      </c>
      <c r="U25" s="116">
        <f t="shared" si="42"/>
        <v>46207</v>
      </c>
      <c r="V25" s="116">
        <f t="shared" si="42"/>
        <v>46208</v>
      </c>
      <c r="W25" s="116">
        <f t="shared" si="42"/>
        <v>46209</v>
      </c>
      <c r="X25" s="116">
        <f t="shared" si="42"/>
        <v>46210</v>
      </c>
      <c r="Y25" s="116">
        <f t="shared" si="42"/>
        <v>46211</v>
      </c>
      <c r="Z25" s="116">
        <f t="shared" si="42"/>
        <v>46212</v>
      </c>
      <c r="AA25" s="116">
        <f t="shared" si="42"/>
        <v>46213</v>
      </c>
      <c r="AB25" s="116">
        <f t="shared" si="42"/>
        <v>46214</v>
      </c>
      <c r="AC25" s="116">
        <f t="shared" si="42"/>
        <v>46215</v>
      </c>
      <c r="AD25" s="116">
        <f t="shared" si="42"/>
        <v>46216</v>
      </c>
      <c r="AE25" s="116">
        <f t="shared" si="42"/>
        <v>46217</v>
      </c>
      <c r="AF25" s="116">
        <f t="shared" si="42"/>
        <v>46218</v>
      </c>
      <c r="AG25" s="116">
        <f t="shared" si="42"/>
        <v>46219</v>
      </c>
      <c r="AH25" s="116">
        <f t="shared" si="42"/>
        <v>46220</v>
      </c>
      <c r="AI25" s="116">
        <f t="shared" si="42"/>
        <v>46221</v>
      </c>
      <c r="AJ25" s="116">
        <f t="shared" si="42"/>
        <v>46222</v>
      </c>
      <c r="AK25" s="116">
        <f t="shared" si="42"/>
        <v>46223</v>
      </c>
      <c r="AL25" s="116">
        <f t="shared" si="42"/>
        <v>46224</v>
      </c>
      <c r="AM25" s="116">
        <f t="shared" si="42"/>
        <v>46225</v>
      </c>
      <c r="AN25" s="116">
        <f t="shared" si="42"/>
        <v>46226</v>
      </c>
      <c r="AO25" s="116">
        <f t="shared" si="42"/>
        <v>46227</v>
      </c>
      <c r="AP25" s="116">
        <f t="shared" si="42"/>
        <v>46228</v>
      </c>
      <c r="AQ25" s="116">
        <f t="shared" si="42"/>
        <v>46229</v>
      </c>
      <c r="AR25" s="116">
        <f t="shared" ref="AR25:BW25" si="43">AQ25+1</f>
        <v>46230</v>
      </c>
      <c r="AS25" s="116">
        <f t="shared" si="43"/>
        <v>46231</v>
      </c>
      <c r="AT25" s="116">
        <f t="shared" si="43"/>
        <v>46232</v>
      </c>
      <c r="AU25" s="116">
        <f t="shared" si="43"/>
        <v>46233</v>
      </c>
      <c r="AV25" s="116">
        <f t="shared" si="43"/>
        <v>46234</v>
      </c>
      <c r="AW25" s="116">
        <f t="shared" si="43"/>
        <v>46235</v>
      </c>
      <c r="AX25" s="116">
        <f t="shared" si="43"/>
        <v>46236</v>
      </c>
      <c r="AY25" s="116">
        <f t="shared" si="43"/>
        <v>46237</v>
      </c>
      <c r="AZ25" s="116">
        <f t="shared" si="43"/>
        <v>46238</v>
      </c>
      <c r="BA25" s="116">
        <f t="shared" si="43"/>
        <v>46239</v>
      </c>
      <c r="BB25" s="116">
        <f t="shared" si="43"/>
        <v>46240</v>
      </c>
      <c r="BC25" s="116">
        <f t="shared" si="43"/>
        <v>46241</v>
      </c>
      <c r="BD25" s="116">
        <f t="shared" si="43"/>
        <v>46242</v>
      </c>
      <c r="BE25" s="116">
        <f t="shared" si="43"/>
        <v>46243</v>
      </c>
      <c r="BF25" s="116">
        <f t="shared" si="43"/>
        <v>46244</v>
      </c>
      <c r="BG25" s="116">
        <f t="shared" si="43"/>
        <v>46245</v>
      </c>
      <c r="BH25" s="116">
        <f t="shared" si="43"/>
        <v>46246</v>
      </c>
      <c r="BI25" s="116">
        <f t="shared" si="43"/>
        <v>46247</v>
      </c>
      <c r="BJ25" s="116">
        <f t="shared" si="43"/>
        <v>46248</v>
      </c>
      <c r="BK25" s="116">
        <f t="shared" si="43"/>
        <v>46249</v>
      </c>
      <c r="BL25" s="116">
        <f t="shared" si="43"/>
        <v>46250</v>
      </c>
      <c r="BM25" s="116">
        <f t="shared" si="43"/>
        <v>46251</v>
      </c>
      <c r="BN25" s="116">
        <f t="shared" si="43"/>
        <v>46252</v>
      </c>
      <c r="BO25" s="116">
        <f t="shared" si="43"/>
        <v>46253</v>
      </c>
      <c r="BP25" s="116">
        <f t="shared" si="43"/>
        <v>46254</v>
      </c>
      <c r="BQ25" s="116">
        <f t="shared" si="43"/>
        <v>46255</v>
      </c>
      <c r="BR25" s="116">
        <f t="shared" si="43"/>
        <v>46256</v>
      </c>
      <c r="BS25" s="116">
        <f t="shared" si="43"/>
        <v>46257</v>
      </c>
      <c r="BT25" s="116">
        <f t="shared" si="43"/>
        <v>46258</v>
      </c>
      <c r="BU25" s="116">
        <f t="shared" si="43"/>
        <v>46259</v>
      </c>
      <c r="BV25" s="116">
        <f t="shared" si="43"/>
        <v>46260</v>
      </c>
      <c r="BW25" s="116">
        <f t="shared" si="43"/>
        <v>46261</v>
      </c>
      <c r="BX25" s="116">
        <f t="shared" ref="BX25:CT25" si="44">BW25+1</f>
        <v>46262</v>
      </c>
      <c r="BY25" s="116">
        <f t="shared" si="44"/>
        <v>46263</v>
      </c>
      <c r="BZ25" s="116">
        <f t="shared" si="44"/>
        <v>46264</v>
      </c>
      <c r="CA25" s="116">
        <f t="shared" si="44"/>
        <v>46265</v>
      </c>
      <c r="CB25" s="116">
        <f t="shared" si="44"/>
        <v>46266</v>
      </c>
      <c r="CC25" s="116">
        <f t="shared" si="44"/>
        <v>46267</v>
      </c>
      <c r="CD25" s="116">
        <f t="shared" si="44"/>
        <v>46268</v>
      </c>
      <c r="CE25" s="116">
        <f t="shared" si="44"/>
        <v>46269</v>
      </c>
      <c r="CF25" s="116">
        <f t="shared" si="44"/>
        <v>46270</v>
      </c>
      <c r="CG25" s="116">
        <f t="shared" si="44"/>
        <v>46271</v>
      </c>
      <c r="CH25" s="116">
        <f t="shared" si="44"/>
        <v>46272</v>
      </c>
      <c r="CI25" s="116">
        <f t="shared" si="44"/>
        <v>46273</v>
      </c>
      <c r="CJ25" s="116">
        <f t="shared" si="44"/>
        <v>46274</v>
      </c>
      <c r="CK25" s="116">
        <f t="shared" si="44"/>
        <v>46275</v>
      </c>
      <c r="CL25" s="116">
        <f t="shared" si="44"/>
        <v>46276</v>
      </c>
      <c r="CM25" s="116">
        <f t="shared" si="44"/>
        <v>46277</v>
      </c>
      <c r="CN25" s="116">
        <f t="shared" si="44"/>
        <v>46278</v>
      </c>
      <c r="CO25" s="116">
        <f t="shared" si="44"/>
        <v>46279</v>
      </c>
      <c r="CP25" s="135">
        <f t="shared" si="44"/>
        <v>46280</v>
      </c>
      <c r="CQ25" s="135">
        <f t="shared" si="44"/>
        <v>46281</v>
      </c>
      <c r="CR25" s="135">
        <f t="shared" si="44"/>
        <v>46282</v>
      </c>
      <c r="CS25" s="135">
        <f t="shared" si="44"/>
        <v>46283</v>
      </c>
      <c r="CT25" s="116">
        <f t="shared" si="44"/>
        <v>46284</v>
      </c>
    </row>
    <row r="26" spans="1:98">
      <c r="A26" s="466"/>
      <c r="B26" s="502"/>
      <c r="C26" s="502"/>
      <c r="D26" s="467" t="str">
        <f>'BESS 10B'!H140</f>
        <v>07 Sep
29 Sep</v>
      </c>
      <c r="E26" s="109" t="s">
        <v>64</v>
      </c>
      <c r="F26" s="102" t="e">
        <f>SUM('BESS 10B'!S153:S160,'BESS 10B'!S162)</f>
        <v>#VALUE!</v>
      </c>
      <c r="G26" s="102" t="e">
        <f>MAX('BESS 10B'!S153:S160,'BESS 10B'!S162)-MIN('BESS 10B'!S153:S160,'BESS 10B'!S162)+1</f>
        <v>#VALUE!</v>
      </c>
      <c r="H26" s="110">
        <f>MIN('BESS 10B'!O153:O160,'BESS 10B'!O162)</f>
        <v>46244</v>
      </c>
      <c r="I26" s="101" t="e">
        <f t="shared" ref="I26:R29" si="45">IF(AND(I$1&gt;=$H26,I$1&lt;($H26+$G26)),ROUND($F26/$G26,0),"-")</f>
        <v>#VALUE!</v>
      </c>
      <c r="J26" s="101" t="e">
        <f t="shared" si="45"/>
        <v>#VALUE!</v>
      </c>
      <c r="K26" s="101" t="e">
        <f t="shared" si="45"/>
        <v>#VALUE!</v>
      </c>
      <c r="L26" s="101" t="e">
        <f t="shared" si="45"/>
        <v>#VALUE!</v>
      </c>
      <c r="M26" s="101" t="e">
        <f t="shared" si="45"/>
        <v>#VALUE!</v>
      </c>
      <c r="N26" s="101" t="e">
        <f t="shared" si="45"/>
        <v>#VALUE!</v>
      </c>
      <c r="O26" s="101" t="e">
        <f t="shared" si="45"/>
        <v>#VALUE!</v>
      </c>
      <c r="P26" s="101" t="e">
        <f t="shared" si="45"/>
        <v>#VALUE!</v>
      </c>
      <c r="Q26" s="101" t="e">
        <f t="shared" si="45"/>
        <v>#VALUE!</v>
      </c>
      <c r="R26" s="101" t="e">
        <f t="shared" si="45"/>
        <v>#VALUE!</v>
      </c>
      <c r="S26" s="101" t="e">
        <f t="shared" ref="S26:AB29" si="46">IF(AND(S$1&gt;=$H26,S$1&lt;($H26+$G26)),ROUND($F26/$G26,0),"-")</f>
        <v>#VALUE!</v>
      </c>
      <c r="T26" s="101" t="e">
        <f t="shared" si="46"/>
        <v>#VALUE!</v>
      </c>
      <c r="U26" s="101" t="e">
        <f t="shared" si="46"/>
        <v>#VALUE!</v>
      </c>
      <c r="V26" s="101" t="e">
        <f t="shared" si="46"/>
        <v>#VALUE!</v>
      </c>
      <c r="W26" s="101" t="e">
        <f t="shared" si="46"/>
        <v>#VALUE!</v>
      </c>
      <c r="X26" s="101" t="e">
        <f t="shared" si="46"/>
        <v>#VALUE!</v>
      </c>
      <c r="Y26" s="101" t="e">
        <f t="shared" si="46"/>
        <v>#VALUE!</v>
      </c>
      <c r="Z26" s="101" t="e">
        <f t="shared" si="46"/>
        <v>#VALUE!</v>
      </c>
      <c r="AA26" s="101" t="e">
        <f t="shared" si="46"/>
        <v>#VALUE!</v>
      </c>
      <c r="AB26" s="101" t="e">
        <f t="shared" si="46"/>
        <v>#VALUE!</v>
      </c>
      <c r="AC26" s="101" t="e">
        <f t="shared" ref="AC26:AL29" si="47">IF(AND(AC$1&gt;=$H26,AC$1&lt;($H26+$G26)),ROUND($F26/$G26,0),"-")</f>
        <v>#VALUE!</v>
      </c>
      <c r="AD26" s="101" t="e">
        <f t="shared" si="47"/>
        <v>#VALUE!</v>
      </c>
      <c r="AE26" s="101" t="e">
        <f t="shared" si="47"/>
        <v>#VALUE!</v>
      </c>
      <c r="AF26" s="101" t="e">
        <f t="shared" si="47"/>
        <v>#VALUE!</v>
      </c>
      <c r="AG26" s="101" t="e">
        <f t="shared" si="47"/>
        <v>#VALUE!</v>
      </c>
      <c r="AH26" s="101" t="e">
        <f t="shared" si="47"/>
        <v>#VALUE!</v>
      </c>
      <c r="AI26" s="101" t="e">
        <f t="shared" si="47"/>
        <v>#VALUE!</v>
      </c>
      <c r="AJ26" s="101" t="e">
        <f t="shared" si="47"/>
        <v>#VALUE!</v>
      </c>
      <c r="AK26" s="101" t="e">
        <f t="shared" si="47"/>
        <v>#VALUE!</v>
      </c>
      <c r="AL26" s="101" t="e">
        <f t="shared" si="47"/>
        <v>#VALUE!</v>
      </c>
      <c r="AM26" s="101" t="e">
        <f t="shared" ref="AM26:AV29" si="48">IF(AND(AM$1&gt;=$H26,AM$1&lt;($H26+$G26)),ROUND($F26/$G26,0),"-")</f>
        <v>#VALUE!</v>
      </c>
      <c r="AN26" s="101" t="e">
        <f t="shared" si="48"/>
        <v>#VALUE!</v>
      </c>
      <c r="AO26" s="101" t="e">
        <f t="shared" si="48"/>
        <v>#VALUE!</v>
      </c>
      <c r="AP26" s="101" t="e">
        <f t="shared" si="48"/>
        <v>#VALUE!</v>
      </c>
      <c r="AQ26" s="101" t="e">
        <f t="shared" si="48"/>
        <v>#VALUE!</v>
      </c>
      <c r="AR26" s="101" t="e">
        <f t="shared" si="48"/>
        <v>#VALUE!</v>
      </c>
      <c r="AS26" s="101" t="e">
        <f t="shared" si="48"/>
        <v>#VALUE!</v>
      </c>
      <c r="AT26" s="101" t="e">
        <f t="shared" si="48"/>
        <v>#VALUE!</v>
      </c>
      <c r="AU26" s="101" t="e">
        <f t="shared" si="48"/>
        <v>#VALUE!</v>
      </c>
      <c r="AV26" s="101" t="e">
        <f t="shared" si="48"/>
        <v>#VALUE!</v>
      </c>
      <c r="AW26" s="101" t="e">
        <f t="shared" ref="AW26:BF29" si="49">IF(AND(AW$1&gt;=$H26,AW$1&lt;($H26+$G26)),ROUND($F26/$G26,0),"-")</f>
        <v>#VALUE!</v>
      </c>
      <c r="AX26" s="101" t="e">
        <f t="shared" si="49"/>
        <v>#VALUE!</v>
      </c>
      <c r="AY26" s="101" t="e">
        <f t="shared" si="49"/>
        <v>#VALUE!</v>
      </c>
      <c r="AZ26" s="101" t="e">
        <f t="shared" si="49"/>
        <v>#VALUE!</v>
      </c>
      <c r="BA26" s="101" t="e">
        <f t="shared" si="49"/>
        <v>#VALUE!</v>
      </c>
      <c r="BB26" s="101" t="e">
        <f t="shared" si="49"/>
        <v>#VALUE!</v>
      </c>
      <c r="BC26" s="101" t="e">
        <f t="shared" si="49"/>
        <v>#VALUE!</v>
      </c>
      <c r="BD26" s="101" t="e">
        <f t="shared" si="49"/>
        <v>#VALUE!</v>
      </c>
      <c r="BE26" s="101" t="e">
        <f t="shared" si="49"/>
        <v>#VALUE!</v>
      </c>
      <c r="BF26" s="101" t="e">
        <f t="shared" si="49"/>
        <v>#VALUE!</v>
      </c>
      <c r="BG26" s="101" t="e">
        <f t="shared" ref="BG26:BP29" si="50">IF(AND(BG$1&gt;=$H26,BG$1&lt;($H26+$G26)),ROUND($F26/$G26,0),"-")</f>
        <v>#VALUE!</v>
      </c>
      <c r="BH26" s="101" t="e">
        <f t="shared" si="50"/>
        <v>#VALUE!</v>
      </c>
      <c r="BI26" s="101" t="e">
        <f t="shared" si="50"/>
        <v>#VALUE!</v>
      </c>
      <c r="BJ26" s="101" t="e">
        <f t="shared" si="50"/>
        <v>#VALUE!</v>
      </c>
      <c r="BK26" s="101" t="e">
        <f t="shared" si="50"/>
        <v>#VALUE!</v>
      </c>
      <c r="BL26" s="101" t="e">
        <f t="shared" si="50"/>
        <v>#VALUE!</v>
      </c>
      <c r="BM26" s="101" t="e">
        <f t="shared" si="50"/>
        <v>#VALUE!</v>
      </c>
      <c r="BN26" s="101" t="e">
        <f t="shared" si="50"/>
        <v>#VALUE!</v>
      </c>
      <c r="BO26" s="101" t="e">
        <f t="shared" si="50"/>
        <v>#VALUE!</v>
      </c>
      <c r="BP26" s="101" t="e">
        <f t="shared" si="50"/>
        <v>#VALUE!</v>
      </c>
      <c r="BQ26" s="101" t="e">
        <f t="shared" ref="BQ26:BZ29" si="51">IF(AND(BQ$1&gt;=$H26,BQ$1&lt;($H26+$G26)),ROUND($F26/$G26,0),"-")</f>
        <v>#VALUE!</v>
      </c>
      <c r="BR26" s="101" t="e">
        <f t="shared" si="51"/>
        <v>#VALUE!</v>
      </c>
      <c r="BS26" s="101" t="e">
        <f t="shared" si="51"/>
        <v>#VALUE!</v>
      </c>
      <c r="BT26" s="101" t="e">
        <f t="shared" si="51"/>
        <v>#VALUE!</v>
      </c>
      <c r="BU26" s="101" t="e">
        <f t="shared" si="51"/>
        <v>#VALUE!</v>
      </c>
      <c r="BV26" s="101" t="e">
        <f t="shared" si="51"/>
        <v>#VALUE!</v>
      </c>
      <c r="BW26" s="101" t="e">
        <f t="shared" si="51"/>
        <v>#VALUE!</v>
      </c>
      <c r="BX26" s="101" t="e">
        <f t="shared" si="51"/>
        <v>#VALUE!</v>
      </c>
      <c r="BY26" s="101" t="e">
        <f t="shared" si="51"/>
        <v>#VALUE!</v>
      </c>
      <c r="BZ26" s="101" t="e">
        <f t="shared" si="51"/>
        <v>#VALUE!</v>
      </c>
      <c r="CA26" s="101" t="e">
        <f t="shared" ref="CA26:CJ29" si="52">IF(AND(CA$1&gt;=$H26,CA$1&lt;($H26+$G26)),ROUND($F26/$G26,0),"-")</f>
        <v>#VALUE!</v>
      </c>
      <c r="CB26" s="101" t="e">
        <f t="shared" si="52"/>
        <v>#VALUE!</v>
      </c>
      <c r="CC26" s="101" t="e">
        <f t="shared" si="52"/>
        <v>#VALUE!</v>
      </c>
      <c r="CD26" s="101" t="e">
        <f t="shared" si="52"/>
        <v>#VALUE!</v>
      </c>
      <c r="CE26" s="101" t="e">
        <f t="shared" si="52"/>
        <v>#VALUE!</v>
      </c>
      <c r="CF26" s="101" t="e">
        <f t="shared" si="52"/>
        <v>#VALUE!</v>
      </c>
      <c r="CG26" s="101" t="e">
        <f t="shared" si="52"/>
        <v>#VALUE!</v>
      </c>
      <c r="CH26" s="101" t="e">
        <f t="shared" si="52"/>
        <v>#VALUE!</v>
      </c>
      <c r="CI26" s="101" t="e">
        <f t="shared" si="52"/>
        <v>#VALUE!</v>
      </c>
      <c r="CJ26" s="101" t="e">
        <f t="shared" si="52"/>
        <v>#VALUE!</v>
      </c>
      <c r="CK26" s="101" t="e">
        <f t="shared" ref="CK26:CT29" si="53">IF(AND(CK$1&gt;=$H26,CK$1&lt;($H26+$G26)),ROUND($F26/$G26,0),"-")</f>
        <v>#VALUE!</v>
      </c>
      <c r="CL26" s="101" t="e">
        <f t="shared" si="53"/>
        <v>#VALUE!</v>
      </c>
      <c r="CM26" s="101" t="e">
        <f t="shared" si="53"/>
        <v>#VALUE!</v>
      </c>
      <c r="CN26" s="101" t="e">
        <f t="shared" si="53"/>
        <v>#VALUE!</v>
      </c>
      <c r="CO26" s="101" t="e">
        <f t="shared" si="53"/>
        <v>#VALUE!</v>
      </c>
      <c r="CP26" s="134" t="e">
        <f t="shared" si="53"/>
        <v>#VALUE!</v>
      </c>
      <c r="CQ26" s="134" t="e">
        <f t="shared" si="53"/>
        <v>#VALUE!</v>
      </c>
      <c r="CR26" s="134" t="e">
        <f t="shared" si="53"/>
        <v>#VALUE!</v>
      </c>
      <c r="CS26" s="134" t="e">
        <f t="shared" si="53"/>
        <v>#VALUE!</v>
      </c>
      <c r="CT26" s="101" t="e">
        <f t="shared" si="53"/>
        <v>#VALUE!</v>
      </c>
    </row>
    <row r="27" spans="1:98">
      <c r="A27" s="466"/>
      <c r="B27" s="502"/>
      <c r="C27" s="502"/>
      <c r="D27" s="466"/>
      <c r="E27" s="109" t="s">
        <v>65</v>
      </c>
      <c r="F27" s="102" t="e">
        <f>SUM('BESS 10B'!S163,'BESS 10B'!S165:S166,'BESS 10B'!S169:S171)</f>
        <v>#VALUE!</v>
      </c>
      <c r="G27" s="101">
        <f>MAX('BESS 10B'!O163,'BESS 10B'!O165:O166,'BESS 10B'!O169:O171)-MIN('BESS 10B'!O163,'BESS 10B'!O165:O166,'BESS 10B'!O169:O171)+1</f>
        <v>13</v>
      </c>
      <c r="H27" s="110">
        <f>MIN('BESS 10B'!O163,'BESS 10B'!O165:O166,'BESS 10B'!O169:O171)</f>
        <v>46242</v>
      </c>
      <c r="I27" s="101" t="str">
        <f t="shared" si="45"/>
        <v>-</v>
      </c>
      <c r="J27" s="101" t="str">
        <f t="shared" si="45"/>
        <v>-</v>
      </c>
      <c r="K27" s="101" t="str">
        <f t="shared" si="45"/>
        <v>-</v>
      </c>
      <c r="L27" s="101" t="str">
        <f t="shared" si="45"/>
        <v>-</v>
      </c>
      <c r="M27" s="101" t="str">
        <f t="shared" si="45"/>
        <v>-</v>
      </c>
      <c r="N27" s="101" t="str">
        <f t="shared" si="45"/>
        <v>-</v>
      </c>
      <c r="O27" s="101" t="str">
        <f t="shared" si="45"/>
        <v>-</v>
      </c>
      <c r="P27" s="101" t="str">
        <f t="shared" si="45"/>
        <v>-</v>
      </c>
      <c r="Q27" s="101" t="str">
        <f t="shared" si="45"/>
        <v>-</v>
      </c>
      <c r="R27" s="101" t="str">
        <f t="shared" si="45"/>
        <v>-</v>
      </c>
      <c r="S27" s="101" t="str">
        <f t="shared" si="46"/>
        <v>-</v>
      </c>
      <c r="T27" s="101" t="str">
        <f t="shared" si="46"/>
        <v>-</v>
      </c>
      <c r="U27" s="101" t="str">
        <f t="shared" si="46"/>
        <v>-</v>
      </c>
      <c r="V27" s="101" t="str">
        <f t="shared" si="46"/>
        <v>-</v>
      </c>
      <c r="W27" s="101" t="str">
        <f t="shared" si="46"/>
        <v>-</v>
      </c>
      <c r="X27" s="101" t="str">
        <f t="shared" si="46"/>
        <v>-</v>
      </c>
      <c r="Y27" s="101" t="str">
        <f t="shared" si="46"/>
        <v>-</v>
      </c>
      <c r="Z27" s="101" t="str">
        <f t="shared" si="46"/>
        <v>-</v>
      </c>
      <c r="AA27" s="101" t="str">
        <f t="shared" si="46"/>
        <v>-</v>
      </c>
      <c r="AB27" s="101" t="str">
        <f t="shared" si="46"/>
        <v>-</v>
      </c>
      <c r="AC27" s="101" t="str">
        <f t="shared" si="47"/>
        <v>-</v>
      </c>
      <c r="AD27" s="101" t="str">
        <f t="shared" si="47"/>
        <v>-</v>
      </c>
      <c r="AE27" s="101" t="str">
        <f t="shared" si="47"/>
        <v>-</v>
      </c>
      <c r="AF27" s="101" t="str">
        <f t="shared" si="47"/>
        <v>-</v>
      </c>
      <c r="AG27" s="101" t="str">
        <f t="shared" si="47"/>
        <v>-</v>
      </c>
      <c r="AH27" s="101" t="str">
        <f t="shared" si="47"/>
        <v>-</v>
      </c>
      <c r="AI27" s="101" t="str">
        <f t="shared" si="47"/>
        <v>-</v>
      </c>
      <c r="AJ27" s="101" t="str">
        <f t="shared" si="47"/>
        <v>-</v>
      </c>
      <c r="AK27" s="101" t="str">
        <f t="shared" si="47"/>
        <v>-</v>
      </c>
      <c r="AL27" s="101" t="str">
        <f t="shared" si="47"/>
        <v>-</v>
      </c>
      <c r="AM27" s="101" t="str">
        <f t="shared" si="48"/>
        <v>-</v>
      </c>
      <c r="AN27" s="101" t="str">
        <f t="shared" si="48"/>
        <v>-</v>
      </c>
      <c r="AO27" s="101" t="str">
        <f t="shared" si="48"/>
        <v>-</v>
      </c>
      <c r="AP27" s="101" t="str">
        <f t="shared" si="48"/>
        <v>-</v>
      </c>
      <c r="AQ27" s="101" t="str">
        <f t="shared" si="48"/>
        <v>-</v>
      </c>
      <c r="AR27" s="101" t="str">
        <f t="shared" si="48"/>
        <v>-</v>
      </c>
      <c r="AS27" s="101" t="str">
        <f t="shared" si="48"/>
        <v>-</v>
      </c>
      <c r="AT27" s="101" t="str">
        <f t="shared" si="48"/>
        <v>-</v>
      </c>
      <c r="AU27" s="101" t="str">
        <f t="shared" si="48"/>
        <v>-</v>
      </c>
      <c r="AV27" s="101" t="str">
        <f t="shared" si="48"/>
        <v>-</v>
      </c>
      <c r="AW27" s="101" t="str">
        <f t="shared" si="49"/>
        <v>-</v>
      </c>
      <c r="AX27" s="101" t="str">
        <f t="shared" si="49"/>
        <v>-</v>
      </c>
      <c r="AY27" s="101" t="str">
        <f t="shared" si="49"/>
        <v>-</v>
      </c>
      <c r="AZ27" s="101" t="str">
        <f t="shared" si="49"/>
        <v>-</v>
      </c>
      <c r="BA27" s="101" t="str">
        <f t="shared" si="49"/>
        <v>-</v>
      </c>
      <c r="BB27" s="101" t="str">
        <f t="shared" si="49"/>
        <v>-</v>
      </c>
      <c r="BC27" s="101" t="str">
        <f t="shared" si="49"/>
        <v>-</v>
      </c>
      <c r="BD27" s="101" t="e">
        <f t="shared" si="49"/>
        <v>#VALUE!</v>
      </c>
      <c r="BE27" s="101" t="e">
        <f t="shared" si="49"/>
        <v>#VALUE!</v>
      </c>
      <c r="BF27" s="101" t="e">
        <f t="shared" si="49"/>
        <v>#VALUE!</v>
      </c>
      <c r="BG27" s="101" t="e">
        <f t="shared" si="50"/>
        <v>#VALUE!</v>
      </c>
      <c r="BH27" s="101" t="e">
        <f t="shared" si="50"/>
        <v>#VALUE!</v>
      </c>
      <c r="BI27" s="101" t="e">
        <f t="shared" si="50"/>
        <v>#VALUE!</v>
      </c>
      <c r="BJ27" s="101" t="e">
        <f t="shared" si="50"/>
        <v>#VALUE!</v>
      </c>
      <c r="BK27" s="101" t="e">
        <f t="shared" si="50"/>
        <v>#VALUE!</v>
      </c>
      <c r="BL27" s="101" t="e">
        <f t="shared" si="50"/>
        <v>#VALUE!</v>
      </c>
      <c r="BM27" s="101" t="e">
        <f t="shared" si="50"/>
        <v>#VALUE!</v>
      </c>
      <c r="BN27" s="101" t="e">
        <f t="shared" si="50"/>
        <v>#VALUE!</v>
      </c>
      <c r="BO27" s="101" t="e">
        <f t="shared" si="50"/>
        <v>#VALUE!</v>
      </c>
      <c r="BP27" s="101" t="e">
        <f t="shared" si="50"/>
        <v>#VALUE!</v>
      </c>
      <c r="BQ27" s="101" t="str">
        <f t="shared" si="51"/>
        <v>-</v>
      </c>
      <c r="BR27" s="101" t="str">
        <f t="shared" si="51"/>
        <v>-</v>
      </c>
      <c r="BS27" s="101" t="str">
        <f t="shared" si="51"/>
        <v>-</v>
      </c>
      <c r="BT27" s="101" t="str">
        <f t="shared" si="51"/>
        <v>-</v>
      </c>
      <c r="BU27" s="101" t="str">
        <f t="shared" si="51"/>
        <v>-</v>
      </c>
      <c r="BV27" s="101" t="str">
        <f t="shared" si="51"/>
        <v>-</v>
      </c>
      <c r="BW27" s="101" t="str">
        <f t="shared" si="51"/>
        <v>-</v>
      </c>
      <c r="BX27" s="101" t="str">
        <f t="shared" si="51"/>
        <v>-</v>
      </c>
      <c r="BY27" s="101" t="str">
        <f t="shared" si="51"/>
        <v>-</v>
      </c>
      <c r="BZ27" s="101" t="str">
        <f t="shared" si="51"/>
        <v>-</v>
      </c>
      <c r="CA27" s="101" t="str">
        <f t="shared" si="52"/>
        <v>-</v>
      </c>
      <c r="CB27" s="101" t="str">
        <f t="shared" si="52"/>
        <v>-</v>
      </c>
      <c r="CC27" s="101" t="str">
        <f t="shared" si="52"/>
        <v>-</v>
      </c>
      <c r="CD27" s="101" t="str">
        <f t="shared" si="52"/>
        <v>-</v>
      </c>
      <c r="CE27" s="101" t="str">
        <f t="shared" si="52"/>
        <v>-</v>
      </c>
      <c r="CF27" s="101" t="str">
        <f t="shared" si="52"/>
        <v>-</v>
      </c>
      <c r="CG27" s="101" t="str">
        <f t="shared" si="52"/>
        <v>-</v>
      </c>
      <c r="CH27" s="101" t="str">
        <f t="shared" si="52"/>
        <v>-</v>
      </c>
      <c r="CI27" s="101" t="str">
        <f t="shared" si="52"/>
        <v>-</v>
      </c>
      <c r="CJ27" s="101" t="str">
        <f t="shared" si="52"/>
        <v>-</v>
      </c>
      <c r="CK27" s="101" t="str">
        <f t="shared" si="53"/>
        <v>-</v>
      </c>
      <c r="CL27" s="101" t="str">
        <f t="shared" si="53"/>
        <v>-</v>
      </c>
      <c r="CM27" s="101" t="str">
        <f t="shared" si="53"/>
        <v>-</v>
      </c>
      <c r="CN27" s="101" t="str">
        <f t="shared" si="53"/>
        <v>-</v>
      </c>
      <c r="CO27" s="101" t="str">
        <f t="shared" si="53"/>
        <v>-</v>
      </c>
      <c r="CP27" s="134" t="str">
        <f t="shared" si="53"/>
        <v>-</v>
      </c>
      <c r="CQ27" s="134" t="str">
        <f t="shared" si="53"/>
        <v>-</v>
      </c>
      <c r="CR27" s="134" t="str">
        <f t="shared" si="53"/>
        <v>-</v>
      </c>
      <c r="CS27" s="134" t="str">
        <f t="shared" si="53"/>
        <v>-</v>
      </c>
      <c r="CT27" s="101" t="str">
        <f t="shared" si="53"/>
        <v>-</v>
      </c>
    </row>
    <row r="28" spans="1:98">
      <c r="A28" s="466"/>
      <c r="B28" s="502"/>
      <c r="C28" s="502"/>
      <c r="D28" s="466"/>
      <c r="E28" s="109" t="s">
        <v>66</v>
      </c>
      <c r="F28" s="102" t="e">
        <f>SUM('BESS 10B'!S164,'BESS 10B'!S167:S168,'BESS 10B'!S172:S173)</f>
        <v>#VALUE!</v>
      </c>
      <c r="G28" s="102">
        <f>MAX('BESS 10B'!O164,'BESS 10B'!O167:O168,'BESS 10B'!O172:O173)-MIN('BESS 10B'!O164,'BESS 10B'!O167:O168,'BESS 10B'!O172:O173)+1</f>
        <v>21</v>
      </c>
      <c r="H28" s="110">
        <f>MIN('BESS 10B'!O164,'BESS 10B'!O167:O168,'BESS 10B'!O172:O173)</f>
        <v>46257</v>
      </c>
      <c r="I28" s="101" t="str">
        <f t="shared" si="45"/>
        <v>-</v>
      </c>
      <c r="J28" s="101" t="str">
        <f t="shared" si="45"/>
        <v>-</v>
      </c>
      <c r="K28" s="101" t="str">
        <f t="shared" si="45"/>
        <v>-</v>
      </c>
      <c r="L28" s="101" t="str">
        <f t="shared" si="45"/>
        <v>-</v>
      </c>
      <c r="M28" s="101" t="str">
        <f t="shared" si="45"/>
        <v>-</v>
      </c>
      <c r="N28" s="101" t="str">
        <f t="shared" si="45"/>
        <v>-</v>
      </c>
      <c r="O28" s="101" t="str">
        <f t="shared" si="45"/>
        <v>-</v>
      </c>
      <c r="P28" s="101" t="str">
        <f t="shared" si="45"/>
        <v>-</v>
      </c>
      <c r="Q28" s="101" t="str">
        <f t="shared" si="45"/>
        <v>-</v>
      </c>
      <c r="R28" s="101" t="str">
        <f t="shared" si="45"/>
        <v>-</v>
      </c>
      <c r="S28" s="101" t="str">
        <f t="shared" si="46"/>
        <v>-</v>
      </c>
      <c r="T28" s="101" t="str">
        <f t="shared" si="46"/>
        <v>-</v>
      </c>
      <c r="U28" s="101" t="str">
        <f t="shared" si="46"/>
        <v>-</v>
      </c>
      <c r="V28" s="101" t="str">
        <f t="shared" si="46"/>
        <v>-</v>
      </c>
      <c r="W28" s="101" t="str">
        <f t="shared" si="46"/>
        <v>-</v>
      </c>
      <c r="X28" s="101" t="str">
        <f t="shared" si="46"/>
        <v>-</v>
      </c>
      <c r="Y28" s="101" t="str">
        <f t="shared" si="46"/>
        <v>-</v>
      </c>
      <c r="Z28" s="101" t="str">
        <f t="shared" si="46"/>
        <v>-</v>
      </c>
      <c r="AA28" s="101" t="str">
        <f t="shared" si="46"/>
        <v>-</v>
      </c>
      <c r="AB28" s="101" t="str">
        <f t="shared" si="46"/>
        <v>-</v>
      </c>
      <c r="AC28" s="101" t="str">
        <f t="shared" si="47"/>
        <v>-</v>
      </c>
      <c r="AD28" s="101" t="str">
        <f t="shared" si="47"/>
        <v>-</v>
      </c>
      <c r="AE28" s="101" t="str">
        <f t="shared" si="47"/>
        <v>-</v>
      </c>
      <c r="AF28" s="101" t="str">
        <f t="shared" si="47"/>
        <v>-</v>
      </c>
      <c r="AG28" s="101" t="str">
        <f t="shared" si="47"/>
        <v>-</v>
      </c>
      <c r="AH28" s="101" t="str">
        <f t="shared" si="47"/>
        <v>-</v>
      </c>
      <c r="AI28" s="101" t="str">
        <f t="shared" si="47"/>
        <v>-</v>
      </c>
      <c r="AJ28" s="101" t="str">
        <f t="shared" si="47"/>
        <v>-</v>
      </c>
      <c r="AK28" s="101" t="str">
        <f t="shared" si="47"/>
        <v>-</v>
      </c>
      <c r="AL28" s="101" t="str">
        <f t="shared" si="47"/>
        <v>-</v>
      </c>
      <c r="AM28" s="101" t="str">
        <f t="shared" si="48"/>
        <v>-</v>
      </c>
      <c r="AN28" s="101" t="str">
        <f t="shared" si="48"/>
        <v>-</v>
      </c>
      <c r="AO28" s="101" t="str">
        <f t="shared" si="48"/>
        <v>-</v>
      </c>
      <c r="AP28" s="101" t="str">
        <f t="shared" si="48"/>
        <v>-</v>
      </c>
      <c r="AQ28" s="101" t="str">
        <f t="shared" si="48"/>
        <v>-</v>
      </c>
      <c r="AR28" s="101" t="str">
        <f t="shared" si="48"/>
        <v>-</v>
      </c>
      <c r="AS28" s="101" t="str">
        <f t="shared" si="48"/>
        <v>-</v>
      </c>
      <c r="AT28" s="101" t="str">
        <f t="shared" si="48"/>
        <v>-</v>
      </c>
      <c r="AU28" s="101" t="str">
        <f t="shared" si="48"/>
        <v>-</v>
      </c>
      <c r="AV28" s="101" t="str">
        <f t="shared" si="48"/>
        <v>-</v>
      </c>
      <c r="AW28" s="101" t="str">
        <f t="shared" si="49"/>
        <v>-</v>
      </c>
      <c r="AX28" s="101" t="str">
        <f t="shared" si="49"/>
        <v>-</v>
      </c>
      <c r="AY28" s="101" t="str">
        <f t="shared" si="49"/>
        <v>-</v>
      </c>
      <c r="AZ28" s="101" t="str">
        <f t="shared" si="49"/>
        <v>-</v>
      </c>
      <c r="BA28" s="101" t="str">
        <f t="shared" si="49"/>
        <v>-</v>
      </c>
      <c r="BB28" s="101" t="str">
        <f t="shared" si="49"/>
        <v>-</v>
      </c>
      <c r="BC28" s="101" t="str">
        <f t="shared" si="49"/>
        <v>-</v>
      </c>
      <c r="BD28" s="101" t="str">
        <f t="shared" si="49"/>
        <v>-</v>
      </c>
      <c r="BE28" s="101" t="str">
        <f t="shared" si="49"/>
        <v>-</v>
      </c>
      <c r="BF28" s="101" t="str">
        <f t="shared" si="49"/>
        <v>-</v>
      </c>
      <c r="BG28" s="101" t="str">
        <f t="shared" si="50"/>
        <v>-</v>
      </c>
      <c r="BH28" s="101" t="str">
        <f t="shared" si="50"/>
        <v>-</v>
      </c>
      <c r="BI28" s="101" t="str">
        <f t="shared" si="50"/>
        <v>-</v>
      </c>
      <c r="BJ28" s="101" t="str">
        <f t="shared" si="50"/>
        <v>-</v>
      </c>
      <c r="BK28" s="101" t="str">
        <f t="shared" si="50"/>
        <v>-</v>
      </c>
      <c r="BL28" s="101" t="str">
        <f t="shared" si="50"/>
        <v>-</v>
      </c>
      <c r="BM28" s="101" t="str">
        <f t="shared" si="50"/>
        <v>-</v>
      </c>
      <c r="BN28" s="101" t="str">
        <f t="shared" si="50"/>
        <v>-</v>
      </c>
      <c r="BO28" s="101" t="str">
        <f t="shared" si="50"/>
        <v>-</v>
      </c>
      <c r="BP28" s="101" t="str">
        <f t="shared" si="50"/>
        <v>-</v>
      </c>
      <c r="BQ28" s="101" t="str">
        <f t="shared" si="51"/>
        <v>-</v>
      </c>
      <c r="BR28" s="101" t="str">
        <f t="shared" si="51"/>
        <v>-</v>
      </c>
      <c r="BS28" s="101" t="e">
        <f t="shared" si="51"/>
        <v>#VALUE!</v>
      </c>
      <c r="BT28" s="101" t="e">
        <f t="shared" si="51"/>
        <v>#VALUE!</v>
      </c>
      <c r="BU28" s="101" t="e">
        <f t="shared" si="51"/>
        <v>#VALUE!</v>
      </c>
      <c r="BV28" s="101" t="e">
        <f t="shared" si="51"/>
        <v>#VALUE!</v>
      </c>
      <c r="BW28" s="101" t="e">
        <f t="shared" si="51"/>
        <v>#VALUE!</v>
      </c>
      <c r="BX28" s="101" t="e">
        <f t="shared" si="51"/>
        <v>#VALUE!</v>
      </c>
      <c r="BY28" s="101" t="e">
        <f t="shared" si="51"/>
        <v>#VALUE!</v>
      </c>
      <c r="BZ28" s="101" t="e">
        <f t="shared" si="51"/>
        <v>#VALUE!</v>
      </c>
      <c r="CA28" s="101" t="e">
        <f t="shared" si="52"/>
        <v>#VALUE!</v>
      </c>
      <c r="CB28" s="101" t="e">
        <f t="shared" si="52"/>
        <v>#VALUE!</v>
      </c>
      <c r="CC28" s="101" t="e">
        <f t="shared" si="52"/>
        <v>#VALUE!</v>
      </c>
      <c r="CD28" s="101" t="e">
        <f t="shared" si="52"/>
        <v>#VALUE!</v>
      </c>
      <c r="CE28" s="101" t="e">
        <f t="shared" si="52"/>
        <v>#VALUE!</v>
      </c>
      <c r="CF28" s="101" t="e">
        <f t="shared" si="52"/>
        <v>#VALUE!</v>
      </c>
      <c r="CG28" s="101" t="e">
        <f t="shared" si="52"/>
        <v>#VALUE!</v>
      </c>
      <c r="CH28" s="101" t="e">
        <f t="shared" si="52"/>
        <v>#VALUE!</v>
      </c>
      <c r="CI28" s="101" t="e">
        <f t="shared" si="52"/>
        <v>#VALUE!</v>
      </c>
      <c r="CJ28" s="101" t="e">
        <f t="shared" si="52"/>
        <v>#VALUE!</v>
      </c>
      <c r="CK28" s="101" t="e">
        <f t="shared" si="53"/>
        <v>#VALUE!</v>
      </c>
      <c r="CL28" s="101" t="e">
        <f t="shared" si="53"/>
        <v>#VALUE!</v>
      </c>
      <c r="CM28" s="101" t="e">
        <f t="shared" si="53"/>
        <v>#VALUE!</v>
      </c>
      <c r="CN28" s="101" t="str">
        <f t="shared" si="53"/>
        <v>-</v>
      </c>
      <c r="CO28" s="101" t="str">
        <f t="shared" si="53"/>
        <v>-</v>
      </c>
      <c r="CP28" s="134" t="str">
        <f t="shared" si="53"/>
        <v>-</v>
      </c>
      <c r="CQ28" s="134" t="str">
        <f t="shared" si="53"/>
        <v>-</v>
      </c>
      <c r="CR28" s="134" t="str">
        <f t="shared" si="53"/>
        <v>-</v>
      </c>
      <c r="CS28" s="134" t="str">
        <f t="shared" si="53"/>
        <v>-</v>
      </c>
      <c r="CT28" s="101" t="str">
        <f t="shared" si="53"/>
        <v>-</v>
      </c>
    </row>
    <row r="29" spans="1:98" ht="14.25" thickBot="1">
      <c r="A29" s="466"/>
      <c r="B29" s="502"/>
      <c r="C29" s="502"/>
      <c r="D29" s="466"/>
      <c r="E29" s="109" t="s">
        <v>67</v>
      </c>
      <c r="F29" s="102" t="e">
        <f>SUM('BESS 10B'!S175:S184)</f>
        <v>#VALUE!</v>
      </c>
      <c r="G29" s="101">
        <f>MAX('BESS 10B'!O175:O184)-MIN('BESS 10B'!O175:O184)+1</f>
        <v>24</v>
      </c>
      <c r="H29" s="110">
        <f>MIN('BESS 10B'!O175:O184)</f>
        <v>46260</v>
      </c>
      <c r="I29" s="101" t="str">
        <f t="shared" si="45"/>
        <v>-</v>
      </c>
      <c r="J29" s="101" t="str">
        <f t="shared" si="45"/>
        <v>-</v>
      </c>
      <c r="K29" s="101" t="str">
        <f t="shared" si="45"/>
        <v>-</v>
      </c>
      <c r="L29" s="101" t="str">
        <f t="shared" si="45"/>
        <v>-</v>
      </c>
      <c r="M29" s="101" t="str">
        <f t="shared" si="45"/>
        <v>-</v>
      </c>
      <c r="N29" s="101" t="str">
        <f t="shared" si="45"/>
        <v>-</v>
      </c>
      <c r="O29" s="101" t="str">
        <f t="shared" si="45"/>
        <v>-</v>
      </c>
      <c r="P29" s="101" t="str">
        <f t="shared" si="45"/>
        <v>-</v>
      </c>
      <c r="Q29" s="101" t="str">
        <f t="shared" si="45"/>
        <v>-</v>
      </c>
      <c r="R29" s="101" t="str">
        <f t="shared" si="45"/>
        <v>-</v>
      </c>
      <c r="S29" s="101" t="str">
        <f t="shared" si="46"/>
        <v>-</v>
      </c>
      <c r="T29" s="101" t="str">
        <f t="shared" si="46"/>
        <v>-</v>
      </c>
      <c r="U29" s="101" t="str">
        <f t="shared" si="46"/>
        <v>-</v>
      </c>
      <c r="V29" s="101" t="str">
        <f t="shared" si="46"/>
        <v>-</v>
      </c>
      <c r="W29" s="101" t="str">
        <f t="shared" si="46"/>
        <v>-</v>
      </c>
      <c r="X29" s="101" t="str">
        <f t="shared" si="46"/>
        <v>-</v>
      </c>
      <c r="Y29" s="101" t="str">
        <f t="shared" si="46"/>
        <v>-</v>
      </c>
      <c r="Z29" s="101" t="str">
        <f t="shared" si="46"/>
        <v>-</v>
      </c>
      <c r="AA29" s="101" t="str">
        <f t="shared" si="46"/>
        <v>-</v>
      </c>
      <c r="AB29" s="101" t="str">
        <f t="shared" si="46"/>
        <v>-</v>
      </c>
      <c r="AC29" s="101" t="str">
        <f t="shared" si="47"/>
        <v>-</v>
      </c>
      <c r="AD29" s="101" t="str">
        <f t="shared" si="47"/>
        <v>-</v>
      </c>
      <c r="AE29" s="101" t="str">
        <f t="shared" si="47"/>
        <v>-</v>
      </c>
      <c r="AF29" s="101" t="str">
        <f t="shared" si="47"/>
        <v>-</v>
      </c>
      <c r="AG29" s="101" t="str">
        <f t="shared" si="47"/>
        <v>-</v>
      </c>
      <c r="AH29" s="101" t="str">
        <f t="shared" si="47"/>
        <v>-</v>
      </c>
      <c r="AI29" s="101" t="str">
        <f t="shared" si="47"/>
        <v>-</v>
      </c>
      <c r="AJ29" s="101" t="str">
        <f t="shared" si="47"/>
        <v>-</v>
      </c>
      <c r="AK29" s="101" t="str">
        <f t="shared" si="47"/>
        <v>-</v>
      </c>
      <c r="AL29" s="101" t="str">
        <f t="shared" si="47"/>
        <v>-</v>
      </c>
      <c r="AM29" s="101" t="str">
        <f t="shared" si="48"/>
        <v>-</v>
      </c>
      <c r="AN29" s="101" t="str">
        <f t="shared" si="48"/>
        <v>-</v>
      </c>
      <c r="AO29" s="101" t="str">
        <f t="shared" si="48"/>
        <v>-</v>
      </c>
      <c r="AP29" s="101" t="str">
        <f t="shared" si="48"/>
        <v>-</v>
      </c>
      <c r="AQ29" s="101" t="str">
        <f t="shared" si="48"/>
        <v>-</v>
      </c>
      <c r="AR29" s="101" t="str">
        <f t="shared" si="48"/>
        <v>-</v>
      </c>
      <c r="AS29" s="101" t="str">
        <f t="shared" si="48"/>
        <v>-</v>
      </c>
      <c r="AT29" s="101" t="str">
        <f t="shared" si="48"/>
        <v>-</v>
      </c>
      <c r="AU29" s="101" t="str">
        <f t="shared" si="48"/>
        <v>-</v>
      </c>
      <c r="AV29" s="101" t="str">
        <f t="shared" si="48"/>
        <v>-</v>
      </c>
      <c r="AW29" s="101" t="str">
        <f t="shared" si="49"/>
        <v>-</v>
      </c>
      <c r="AX29" s="101" t="str">
        <f t="shared" si="49"/>
        <v>-</v>
      </c>
      <c r="AY29" s="101" t="str">
        <f t="shared" si="49"/>
        <v>-</v>
      </c>
      <c r="AZ29" s="101" t="str">
        <f t="shared" si="49"/>
        <v>-</v>
      </c>
      <c r="BA29" s="101" t="str">
        <f t="shared" si="49"/>
        <v>-</v>
      </c>
      <c r="BB29" s="101" t="str">
        <f t="shared" si="49"/>
        <v>-</v>
      </c>
      <c r="BC29" s="101" t="str">
        <f t="shared" si="49"/>
        <v>-</v>
      </c>
      <c r="BD29" s="101" t="str">
        <f t="shared" si="49"/>
        <v>-</v>
      </c>
      <c r="BE29" s="101" t="str">
        <f t="shared" si="49"/>
        <v>-</v>
      </c>
      <c r="BF29" s="101" t="str">
        <f t="shared" si="49"/>
        <v>-</v>
      </c>
      <c r="BG29" s="101" t="str">
        <f t="shared" si="50"/>
        <v>-</v>
      </c>
      <c r="BH29" s="101" t="str">
        <f t="shared" si="50"/>
        <v>-</v>
      </c>
      <c r="BI29" s="101" t="str">
        <f t="shared" si="50"/>
        <v>-</v>
      </c>
      <c r="BJ29" s="101" t="str">
        <f t="shared" si="50"/>
        <v>-</v>
      </c>
      <c r="BK29" s="101" t="str">
        <f t="shared" si="50"/>
        <v>-</v>
      </c>
      <c r="BL29" s="101" t="str">
        <f t="shared" si="50"/>
        <v>-</v>
      </c>
      <c r="BM29" s="101" t="str">
        <f t="shared" si="50"/>
        <v>-</v>
      </c>
      <c r="BN29" s="101" t="str">
        <f t="shared" si="50"/>
        <v>-</v>
      </c>
      <c r="BO29" s="101" t="str">
        <f t="shared" si="50"/>
        <v>-</v>
      </c>
      <c r="BP29" s="101" t="str">
        <f t="shared" si="50"/>
        <v>-</v>
      </c>
      <c r="BQ29" s="101" t="str">
        <f t="shared" si="51"/>
        <v>-</v>
      </c>
      <c r="BR29" s="101" t="str">
        <f t="shared" si="51"/>
        <v>-</v>
      </c>
      <c r="BS29" s="101" t="str">
        <f t="shared" si="51"/>
        <v>-</v>
      </c>
      <c r="BT29" s="101" t="str">
        <f t="shared" si="51"/>
        <v>-</v>
      </c>
      <c r="BU29" s="101" t="str">
        <f t="shared" si="51"/>
        <v>-</v>
      </c>
      <c r="BV29" s="101" t="e">
        <f t="shared" si="51"/>
        <v>#VALUE!</v>
      </c>
      <c r="BW29" s="101" t="e">
        <f t="shared" si="51"/>
        <v>#VALUE!</v>
      </c>
      <c r="BX29" s="101" t="e">
        <f t="shared" si="51"/>
        <v>#VALUE!</v>
      </c>
      <c r="BY29" s="101" t="e">
        <f t="shared" si="51"/>
        <v>#VALUE!</v>
      </c>
      <c r="BZ29" s="101" t="e">
        <f t="shared" si="51"/>
        <v>#VALUE!</v>
      </c>
      <c r="CA29" s="101" t="e">
        <f t="shared" si="52"/>
        <v>#VALUE!</v>
      </c>
      <c r="CB29" s="101" t="e">
        <f t="shared" si="52"/>
        <v>#VALUE!</v>
      </c>
      <c r="CC29" s="101" t="e">
        <f t="shared" si="52"/>
        <v>#VALUE!</v>
      </c>
      <c r="CD29" s="101" t="e">
        <f t="shared" si="52"/>
        <v>#VALUE!</v>
      </c>
      <c r="CE29" s="101" t="e">
        <f t="shared" si="52"/>
        <v>#VALUE!</v>
      </c>
      <c r="CF29" s="101" t="e">
        <f t="shared" si="52"/>
        <v>#VALUE!</v>
      </c>
      <c r="CG29" s="101" t="e">
        <f t="shared" si="52"/>
        <v>#VALUE!</v>
      </c>
      <c r="CH29" s="101" t="e">
        <f t="shared" si="52"/>
        <v>#VALUE!</v>
      </c>
      <c r="CI29" s="101" t="e">
        <f t="shared" si="52"/>
        <v>#VALUE!</v>
      </c>
      <c r="CJ29" s="101" t="e">
        <f t="shared" si="52"/>
        <v>#VALUE!</v>
      </c>
      <c r="CK29" s="101" t="e">
        <f t="shared" si="53"/>
        <v>#VALUE!</v>
      </c>
      <c r="CL29" s="101" t="e">
        <f t="shared" si="53"/>
        <v>#VALUE!</v>
      </c>
      <c r="CM29" s="101" t="e">
        <f t="shared" si="53"/>
        <v>#VALUE!</v>
      </c>
      <c r="CN29" s="101" t="e">
        <f t="shared" si="53"/>
        <v>#VALUE!</v>
      </c>
      <c r="CO29" s="101" t="e">
        <f t="shared" si="53"/>
        <v>#VALUE!</v>
      </c>
      <c r="CP29" s="134" t="e">
        <f t="shared" si="53"/>
        <v>#VALUE!</v>
      </c>
      <c r="CQ29" s="134" t="e">
        <f t="shared" si="53"/>
        <v>#VALUE!</v>
      </c>
      <c r="CR29" s="134" t="e">
        <f t="shared" si="53"/>
        <v>#VALUE!</v>
      </c>
      <c r="CS29" s="134" t="e">
        <f t="shared" si="53"/>
        <v>#VALUE!</v>
      </c>
      <c r="CT29" s="101" t="str">
        <f t="shared" si="53"/>
        <v>-</v>
      </c>
    </row>
    <row r="30" spans="1:98" ht="14.25" thickBot="1">
      <c r="A30" s="127"/>
      <c r="B30" s="108"/>
      <c r="C30" s="108"/>
      <c r="D30" s="466"/>
      <c r="E30" s="109" t="s">
        <v>68</v>
      </c>
      <c r="F30" s="102">
        <v>250</v>
      </c>
      <c r="G30" s="101">
        <v>30</v>
      </c>
      <c r="H30" s="110" t="e">
        <f>B25-3</f>
        <v>#VALUE!</v>
      </c>
      <c r="I30" s="110"/>
      <c r="J30" s="110"/>
      <c r="K30" s="101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>
        <v>5</v>
      </c>
      <c r="BK30" s="102">
        <v>5</v>
      </c>
      <c r="BL30" s="102">
        <v>5</v>
      </c>
      <c r="BM30" s="102">
        <v>5</v>
      </c>
      <c r="BN30" s="102">
        <v>5</v>
      </c>
      <c r="BO30" s="102">
        <v>5</v>
      </c>
      <c r="BP30" s="102">
        <v>5</v>
      </c>
      <c r="BQ30" s="102">
        <v>5</v>
      </c>
      <c r="BR30" s="102">
        <v>5</v>
      </c>
      <c r="BS30" s="102">
        <v>5</v>
      </c>
      <c r="BT30" s="102">
        <v>5</v>
      </c>
      <c r="BU30" s="102">
        <v>5</v>
      </c>
      <c r="BV30" s="102">
        <v>5</v>
      </c>
      <c r="BW30" s="102">
        <v>5</v>
      </c>
      <c r="BX30" s="102">
        <v>5</v>
      </c>
      <c r="BY30" s="102">
        <v>5</v>
      </c>
      <c r="BZ30" s="102">
        <v>5</v>
      </c>
      <c r="CA30" s="102">
        <v>5</v>
      </c>
      <c r="CB30" s="102">
        <v>5</v>
      </c>
      <c r="CC30" s="102">
        <v>5</v>
      </c>
      <c r="CD30" s="102">
        <v>5</v>
      </c>
      <c r="CE30" s="102">
        <v>5</v>
      </c>
      <c r="CF30" s="102">
        <v>5</v>
      </c>
      <c r="CG30" s="102">
        <v>5</v>
      </c>
      <c r="CH30" s="101">
        <v>30</v>
      </c>
      <c r="CI30" s="101">
        <v>30</v>
      </c>
      <c r="CJ30" s="101">
        <v>30</v>
      </c>
      <c r="CK30" s="101">
        <v>30</v>
      </c>
      <c r="CL30" s="101">
        <v>5</v>
      </c>
      <c r="CM30" s="101">
        <v>5</v>
      </c>
      <c r="CN30" s="101"/>
      <c r="CO30" s="101"/>
      <c r="CP30" s="134"/>
      <c r="CQ30" s="101"/>
      <c r="CR30" s="101"/>
      <c r="CS30" s="101"/>
      <c r="CT30" s="101"/>
    </row>
    <row r="31" spans="1:98">
      <c r="B31" s="126"/>
      <c r="E31" s="120"/>
      <c r="F31" s="120"/>
      <c r="G31" s="121"/>
      <c r="H31" s="112" t="s">
        <v>69</v>
      </c>
      <c r="I31" s="112"/>
      <c r="J31" s="112"/>
      <c r="K31" s="113" t="e">
        <f t="shared" ref="K31:AP31" si="54">SUM(K26:K30)</f>
        <v>#VALUE!</v>
      </c>
      <c r="L31" s="113" t="e">
        <f t="shared" si="54"/>
        <v>#VALUE!</v>
      </c>
      <c r="M31" s="113" t="e">
        <f t="shared" si="54"/>
        <v>#VALUE!</v>
      </c>
      <c r="N31" s="113" t="e">
        <f t="shared" si="54"/>
        <v>#VALUE!</v>
      </c>
      <c r="O31" s="113" t="e">
        <f t="shared" si="54"/>
        <v>#VALUE!</v>
      </c>
      <c r="P31" s="113" t="e">
        <f t="shared" si="54"/>
        <v>#VALUE!</v>
      </c>
      <c r="Q31" s="113" t="e">
        <f t="shared" si="54"/>
        <v>#VALUE!</v>
      </c>
      <c r="R31" s="113" t="e">
        <f t="shared" si="54"/>
        <v>#VALUE!</v>
      </c>
      <c r="S31" s="113" t="e">
        <f t="shared" si="54"/>
        <v>#VALUE!</v>
      </c>
      <c r="T31" s="113" t="e">
        <f t="shared" si="54"/>
        <v>#VALUE!</v>
      </c>
      <c r="U31" s="113" t="e">
        <f t="shared" si="54"/>
        <v>#VALUE!</v>
      </c>
      <c r="V31" s="113" t="e">
        <f t="shared" si="54"/>
        <v>#VALUE!</v>
      </c>
      <c r="W31" s="113" t="e">
        <f t="shared" si="54"/>
        <v>#VALUE!</v>
      </c>
      <c r="X31" s="113" t="e">
        <f t="shared" si="54"/>
        <v>#VALUE!</v>
      </c>
      <c r="Y31" s="113" t="e">
        <f t="shared" si="54"/>
        <v>#VALUE!</v>
      </c>
      <c r="Z31" s="113" t="e">
        <f t="shared" si="54"/>
        <v>#VALUE!</v>
      </c>
      <c r="AA31" s="113" t="e">
        <f t="shared" si="54"/>
        <v>#VALUE!</v>
      </c>
      <c r="AB31" s="113" t="e">
        <f t="shared" si="54"/>
        <v>#VALUE!</v>
      </c>
      <c r="AC31" s="113" t="e">
        <f t="shared" si="54"/>
        <v>#VALUE!</v>
      </c>
      <c r="AD31" s="113" t="e">
        <f t="shared" si="54"/>
        <v>#VALUE!</v>
      </c>
      <c r="AE31" s="113" t="e">
        <f t="shared" si="54"/>
        <v>#VALUE!</v>
      </c>
      <c r="AF31" s="113" t="e">
        <f t="shared" si="54"/>
        <v>#VALUE!</v>
      </c>
      <c r="AG31" s="113" t="e">
        <f t="shared" si="54"/>
        <v>#VALUE!</v>
      </c>
      <c r="AH31" s="113" t="e">
        <f t="shared" si="54"/>
        <v>#VALUE!</v>
      </c>
      <c r="AI31" s="113" t="e">
        <f t="shared" si="54"/>
        <v>#VALUE!</v>
      </c>
      <c r="AJ31" s="113" t="e">
        <f t="shared" si="54"/>
        <v>#VALUE!</v>
      </c>
      <c r="AK31" s="113" t="e">
        <f t="shared" si="54"/>
        <v>#VALUE!</v>
      </c>
      <c r="AL31" s="113" t="e">
        <f t="shared" si="54"/>
        <v>#VALUE!</v>
      </c>
      <c r="AM31" s="113" t="e">
        <f t="shared" si="54"/>
        <v>#VALUE!</v>
      </c>
      <c r="AN31" s="113" t="e">
        <f t="shared" si="54"/>
        <v>#VALUE!</v>
      </c>
      <c r="AO31" s="113" t="e">
        <f t="shared" si="54"/>
        <v>#VALUE!</v>
      </c>
      <c r="AP31" s="113" t="e">
        <f t="shared" si="54"/>
        <v>#VALUE!</v>
      </c>
      <c r="AQ31" s="113" t="e">
        <f t="shared" ref="AQ31:BV31" si="55">SUM(AQ26:AQ30)</f>
        <v>#VALUE!</v>
      </c>
      <c r="AR31" s="113" t="e">
        <f t="shared" si="55"/>
        <v>#VALUE!</v>
      </c>
      <c r="AS31" s="113" t="e">
        <f t="shared" si="55"/>
        <v>#VALUE!</v>
      </c>
      <c r="AT31" s="113" t="e">
        <f t="shared" si="55"/>
        <v>#VALUE!</v>
      </c>
      <c r="AU31" s="113" t="e">
        <f t="shared" si="55"/>
        <v>#VALUE!</v>
      </c>
      <c r="AV31" s="113" t="e">
        <f t="shared" si="55"/>
        <v>#VALUE!</v>
      </c>
      <c r="AW31" s="113" t="e">
        <f t="shared" si="55"/>
        <v>#VALUE!</v>
      </c>
      <c r="AX31" s="113" t="e">
        <f t="shared" si="55"/>
        <v>#VALUE!</v>
      </c>
      <c r="AY31" s="113" t="e">
        <f t="shared" si="55"/>
        <v>#VALUE!</v>
      </c>
      <c r="AZ31" s="113" t="e">
        <f t="shared" si="55"/>
        <v>#VALUE!</v>
      </c>
      <c r="BA31" s="113" t="e">
        <f t="shared" si="55"/>
        <v>#VALUE!</v>
      </c>
      <c r="BB31" s="113" t="e">
        <f t="shared" si="55"/>
        <v>#VALUE!</v>
      </c>
      <c r="BC31" s="113" t="e">
        <f t="shared" si="55"/>
        <v>#VALUE!</v>
      </c>
      <c r="BD31" s="113" t="e">
        <f t="shared" si="55"/>
        <v>#VALUE!</v>
      </c>
      <c r="BE31" s="113" t="e">
        <f t="shared" si="55"/>
        <v>#VALUE!</v>
      </c>
      <c r="BF31" s="113" t="e">
        <f t="shared" si="55"/>
        <v>#VALUE!</v>
      </c>
      <c r="BG31" s="113" t="e">
        <f t="shared" si="55"/>
        <v>#VALUE!</v>
      </c>
      <c r="BH31" s="113" t="e">
        <f t="shared" si="55"/>
        <v>#VALUE!</v>
      </c>
      <c r="BI31" s="113" t="e">
        <f t="shared" si="55"/>
        <v>#VALUE!</v>
      </c>
      <c r="BJ31" s="113" t="e">
        <f t="shared" si="55"/>
        <v>#VALUE!</v>
      </c>
      <c r="BK31" s="113" t="e">
        <f t="shared" si="55"/>
        <v>#VALUE!</v>
      </c>
      <c r="BL31" s="113" t="e">
        <f t="shared" si="55"/>
        <v>#VALUE!</v>
      </c>
      <c r="BM31" s="113" t="e">
        <f t="shared" si="55"/>
        <v>#VALUE!</v>
      </c>
      <c r="BN31" s="113" t="e">
        <f t="shared" si="55"/>
        <v>#VALUE!</v>
      </c>
      <c r="BO31" s="113" t="e">
        <f t="shared" si="55"/>
        <v>#VALUE!</v>
      </c>
      <c r="BP31" s="113" t="e">
        <f t="shared" si="55"/>
        <v>#VALUE!</v>
      </c>
      <c r="BQ31" s="113" t="e">
        <f t="shared" si="55"/>
        <v>#VALUE!</v>
      </c>
      <c r="BR31" s="113" t="e">
        <f t="shared" si="55"/>
        <v>#VALUE!</v>
      </c>
      <c r="BS31" s="113" t="e">
        <f t="shared" si="55"/>
        <v>#VALUE!</v>
      </c>
      <c r="BT31" s="113" t="e">
        <f t="shared" si="55"/>
        <v>#VALUE!</v>
      </c>
      <c r="BU31" s="113" t="e">
        <f t="shared" si="55"/>
        <v>#VALUE!</v>
      </c>
      <c r="BV31" s="113" t="e">
        <f t="shared" si="55"/>
        <v>#VALUE!</v>
      </c>
      <c r="BW31" s="113" t="e">
        <f t="shared" ref="BW31:CT31" si="56">SUM(BW26:BW30)</f>
        <v>#VALUE!</v>
      </c>
      <c r="BX31" s="113" t="e">
        <f t="shared" si="56"/>
        <v>#VALUE!</v>
      </c>
      <c r="BY31" s="113" t="e">
        <f t="shared" si="56"/>
        <v>#VALUE!</v>
      </c>
      <c r="BZ31" s="113" t="e">
        <f t="shared" si="56"/>
        <v>#VALUE!</v>
      </c>
      <c r="CA31" s="113" t="e">
        <f t="shared" si="56"/>
        <v>#VALUE!</v>
      </c>
      <c r="CB31" s="113" t="e">
        <f t="shared" si="56"/>
        <v>#VALUE!</v>
      </c>
      <c r="CC31" s="113" t="e">
        <f t="shared" si="56"/>
        <v>#VALUE!</v>
      </c>
      <c r="CD31" s="113" t="e">
        <f t="shared" si="56"/>
        <v>#VALUE!</v>
      </c>
      <c r="CE31" s="113" t="e">
        <f t="shared" si="56"/>
        <v>#VALUE!</v>
      </c>
      <c r="CF31" s="113" t="e">
        <f t="shared" si="56"/>
        <v>#VALUE!</v>
      </c>
      <c r="CG31" s="113" t="e">
        <f t="shared" si="56"/>
        <v>#VALUE!</v>
      </c>
      <c r="CH31" s="113" t="e">
        <f t="shared" si="56"/>
        <v>#VALUE!</v>
      </c>
      <c r="CI31" s="113" t="e">
        <f t="shared" si="56"/>
        <v>#VALUE!</v>
      </c>
      <c r="CJ31" s="113" t="e">
        <f t="shared" si="56"/>
        <v>#VALUE!</v>
      </c>
      <c r="CK31" s="113" t="e">
        <f t="shared" si="56"/>
        <v>#VALUE!</v>
      </c>
      <c r="CL31" s="113" t="e">
        <f t="shared" si="56"/>
        <v>#VALUE!</v>
      </c>
      <c r="CM31" s="113" t="e">
        <f t="shared" si="56"/>
        <v>#VALUE!</v>
      </c>
      <c r="CN31" s="113" t="e">
        <f t="shared" si="56"/>
        <v>#VALUE!</v>
      </c>
      <c r="CO31" s="113" t="e">
        <f t="shared" si="56"/>
        <v>#VALUE!</v>
      </c>
      <c r="CP31" s="113" t="e">
        <f t="shared" si="56"/>
        <v>#VALUE!</v>
      </c>
      <c r="CQ31" s="113" t="e">
        <f t="shared" si="56"/>
        <v>#VALUE!</v>
      </c>
      <c r="CR31" s="113" t="e">
        <f t="shared" si="56"/>
        <v>#VALUE!</v>
      </c>
      <c r="CS31" s="113" t="e">
        <f t="shared" si="56"/>
        <v>#VALUE!</v>
      </c>
      <c r="CT31" s="113" t="e">
        <f t="shared" si="56"/>
        <v>#VALUE!</v>
      </c>
    </row>
    <row r="32" spans="1:98">
      <c r="CQ32" s="109"/>
      <c r="CR32" s="109"/>
      <c r="CS32" s="109"/>
      <c r="CT32" s="109"/>
    </row>
    <row r="33" spans="1:98">
      <c r="A33" s="466" t="s">
        <v>73</v>
      </c>
      <c r="B33" s="502" t="str">
        <f>'BESS 10B'!F185</f>
        <v>04 Sep
30 Sep</v>
      </c>
      <c r="C33" s="502" t="str">
        <f>'BESS 10B'!G185</f>
        <v>09 Sep
05 Oct</v>
      </c>
      <c r="D33" s="114"/>
      <c r="E33" s="114" t="s">
        <v>10</v>
      </c>
      <c r="F33" s="115" t="s">
        <v>58</v>
      </c>
      <c r="G33" s="115" t="s">
        <v>59</v>
      </c>
      <c r="H33" s="115" t="s">
        <v>60</v>
      </c>
      <c r="I33" s="116">
        <v>46195</v>
      </c>
      <c r="J33" s="116">
        <v>46196</v>
      </c>
      <c r="K33" s="116">
        <v>46197</v>
      </c>
      <c r="L33" s="116">
        <f t="shared" ref="L33:AQ33" si="57">K33+1</f>
        <v>46198</v>
      </c>
      <c r="M33" s="116">
        <f t="shared" si="57"/>
        <v>46199</v>
      </c>
      <c r="N33" s="116">
        <f t="shared" si="57"/>
        <v>46200</v>
      </c>
      <c r="O33" s="116">
        <f t="shared" si="57"/>
        <v>46201</v>
      </c>
      <c r="P33" s="116">
        <f t="shared" si="57"/>
        <v>46202</v>
      </c>
      <c r="Q33" s="116">
        <f t="shared" si="57"/>
        <v>46203</v>
      </c>
      <c r="R33" s="116">
        <f t="shared" si="57"/>
        <v>46204</v>
      </c>
      <c r="S33" s="116">
        <f t="shared" si="57"/>
        <v>46205</v>
      </c>
      <c r="T33" s="116">
        <f t="shared" si="57"/>
        <v>46206</v>
      </c>
      <c r="U33" s="116">
        <f t="shared" si="57"/>
        <v>46207</v>
      </c>
      <c r="V33" s="116">
        <f t="shared" si="57"/>
        <v>46208</v>
      </c>
      <c r="W33" s="116">
        <f t="shared" si="57"/>
        <v>46209</v>
      </c>
      <c r="X33" s="116">
        <f t="shared" si="57"/>
        <v>46210</v>
      </c>
      <c r="Y33" s="116">
        <f t="shared" si="57"/>
        <v>46211</v>
      </c>
      <c r="Z33" s="116">
        <f t="shared" si="57"/>
        <v>46212</v>
      </c>
      <c r="AA33" s="116">
        <f t="shared" si="57"/>
        <v>46213</v>
      </c>
      <c r="AB33" s="116">
        <f t="shared" si="57"/>
        <v>46214</v>
      </c>
      <c r="AC33" s="116">
        <f t="shared" si="57"/>
        <v>46215</v>
      </c>
      <c r="AD33" s="116">
        <f t="shared" si="57"/>
        <v>46216</v>
      </c>
      <c r="AE33" s="116">
        <f t="shared" si="57"/>
        <v>46217</v>
      </c>
      <c r="AF33" s="116">
        <f t="shared" si="57"/>
        <v>46218</v>
      </c>
      <c r="AG33" s="116">
        <f t="shared" si="57"/>
        <v>46219</v>
      </c>
      <c r="AH33" s="116">
        <f t="shared" si="57"/>
        <v>46220</v>
      </c>
      <c r="AI33" s="116">
        <f t="shared" si="57"/>
        <v>46221</v>
      </c>
      <c r="AJ33" s="116">
        <f t="shared" si="57"/>
        <v>46222</v>
      </c>
      <c r="AK33" s="116">
        <f t="shared" si="57"/>
        <v>46223</v>
      </c>
      <c r="AL33" s="116">
        <f t="shared" si="57"/>
        <v>46224</v>
      </c>
      <c r="AM33" s="116">
        <f t="shared" si="57"/>
        <v>46225</v>
      </c>
      <c r="AN33" s="116">
        <f t="shared" si="57"/>
        <v>46226</v>
      </c>
      <c r="AO33" s="116">
        <f t="shared" si="57"/>
        <v>46227</v>
      </c>
      <c r="AP33" s="116">
        <f t="shared" si="57"/>
        <v>46228</v>
      </c>
      <c r="AQ33" s="116">
        <f t="shared" si="57"/>
        <v>46229</v>
      </c>
      <c r="AR33" s="116">
        <f t="shared" ref="AR33:BW33" si="58">AQ33+1</f>
        <v>46230</v>
      </c>
      <c r="AS33" s="116">
        <f t="shared" si="58"/>
        <v>46231</v>
      </c>
      <c r="AT33" s="116">
        <f t="shared" si="58"/>
        <v>46232</v>
      </c>
      <c r="AU33" s="116">
        <f t="shared" si="58"/>
        <v>46233</v>
      </c>
      <c r="AV33" s="116">
        <f t="shared" si="58"/>
        <v>46234</v>
      </c>
      <c r="AW33" s="116">
        <f t="shared" si="58"/>
        <v>46235</v>
      </c>
      <c r="AX33" s="116">
        <f t="shared" si="58"/>
        <v>46236</v>
      </c>
      <c r="AY33" s="116">
        <f t="shared" si="58"/>
        <v>46237</v>
      </c>
      <c r="AZ33" s="116">
        <f t="shared" si="58"/>
        <v>46238</v>
      </c>
      <c r="BA33" s="116">
        <f t="shared" si="58"/>
        <v>46239</v>
      </c>
      <c r="BB33" s="116">
        <f t="shared" si="58"/>
        <v>46240</v>
      </c>
      <c r="BC33" s="116">
        <f t="shared" si="58"/>
        <v>46241</v>
      </c>
      <c r="BD33" s="116">
        <f t="shared" si="58"/>
        <v>46242</v>
      </c>
      <c r="BE33" s="116">
        <f t="shared" si="58"/>
        <v>46243</v>
      </c>
      <c r="BF33" s="116">
        <f t="shared" si="58"/>
        <v>46244</v>
      </c>
      <c r="BG33" s="116">
        <f t="shared" si="58"/>
        <v>46245</v>
      </c>
      <c r="BH33" s="116">
        <f t="shared" si="58"/>
        <v>46246</v>
      </c>
      <c r="BI33" s="116">
        <f t="shared" si="58"/>
        <v>46247</v>
      </c>
      <c r="BJ33" s="116">
        <f t="shared" si="58"/>
        <v>46248</v>
      </c>
      <c r="BK33" s="116">
        <f t="shared" si="58"/>
        <v>46249</v>
      </c>
      <c r="BL33" s="116">
        <f t="shared" si="58"/>
        <v>46250</v>
      </c>
      <c r="BM33" s="116">
        <f t="shared" si="58"/>
        <v>46251</v>
      </c>
      <c r="BN33" s="116">
        <f t="shared" si="58"/>
        <v>46252</v>
      </c>
      <c r="BO33" s="116">
        <f t="shared" si="58"/>
        <v>46253</v>
      </c>
      <c r="BP33" s="116">
        <f t="shared" si="58"/>
        <v>46254</v>
      </c>
      <c r="BQ33" s="116">
        <f t="shared" si="58"/>
        <v>46255</v>
      </c>
      <c r="BR33" s="116">
        <f t="shared" si="58"/>
        <v>46256</v>
      </c>
      <c r="BS33" s="116">
        <f t="shared" si="58"/>
        <v>46257</v>
      </c>
      <c r="BT33" s="116">
        <f t="shared" si="58"/>
        <v>46258</v>
      </c>
      <c r="BU33" s="116">
        <f t="shared" si="58"/>
        <v>46259</v>
      </c>
      <c r="BV33" s="116">
        <f t="shared" si="58"/>
        <v>46260</v>
      </c>
      <c r="BW33" s="116">
        <f t="shared" si="58"/>
        <v>46261</v>
      </c>
      <c r="BX33" s="116">
        <f t="shared" ref="BX33:CT33" si="59">BW33+1</f>
        <v>46262</v>
      </c>
      <c r="BY33" s="116">
        <f t="shared" si="59"/>
        <v>46263</v>
      </c>
      <c r="BZ33" s="116">
        <f t="shared" si="59"/>
        <v>46264</v>
      </c>
      <c r="CA33" s="116">
        <f t="shared" si="59"/>
        <v>46265</v>
      </c>
      <c r="CB33" s="116">
        <f t="shared" si="59"/>
        <v>46266</v>
      </c>
      <c r="CC33" s="116">
        <f t="shared" si="59"/>
        <v>46267</v>
      </c>
      <c r="CD33" s="116">
        <f t="shared" si="59"/>
        <v>46268</v>
      </c>
      <c r="CE33" s="116">
        <f t="shared" si="59"/>
        <v>46269</v>
      </c>
      <c r="CF33" s="116">
        <f t="shared" si="59"/>
        <v>46270</v>
      </c>
      <c r="CG33" s="116">
        <f t="shared" si="59"/>
        <v>46271</v>
      </c>
      <c r="CH33" s="116">
        <f t="shared" si="59"/>
        <v>46272</v>
      </c>
      <c r="CI33" s="116">
        <f t="shared" si="59"/>
        <v>46273</v>
      </c>
      <c r="CJ33" s="116">
        <f t="shared" si="59"/>
        <v>46274</v>
      </c>
      <c r="CK33" s="116">
        <f t="shared" si="59"/>
        <v>46275</v>
      </c>
      <c r="CL33" s="116">
        <f t="shared" si="59"/>
        <v>46276</v>
      </c>
      <c r="CM33" s="116">
        <f t="shared" si="59"/>
        <v>46277</v>
      </c>
      <c r="CN33" s="116">
        <f t="shared" si="59"/>
        <v>46278</v>
      </c>
      <c r="CO33" s="116">
        <f t="shared" si="59"/>
        <v>46279</v>
      </c>
      <c r="CP33" s="135">
        <f t="shared" si="59"/>
        <v>46280</v>
      </c>
      <c r="CQ33" s="135">
        <f t="shared" si="59"/>
        <v>46281</v>
      </c>
      <c r="CR33" s="135">
        <f t="shared" si="59"/>
        <v>46282</v>
      </c>
      <c r="CS33" s="135">
        <f t="shared" si="59"/>
        <v>46283</v>
      </c>
      <c r="CT33" s="116">
        <f t="shared" si="59"/>
        <v>46284</v>
      </c>
    </row>
    <row r="34" spans="1:98">
      <c r="A34" s="466"/>
      <c r="B34" s="502"/>
      <c r="C34" s="502"/>
      <c r="D34" s="467" t="str">
        <f>'BESS 10B'!H185</f>
        <v>12 Sep
08 Oct</v>
      </c>
      <c r="E34" s="109" t="s">
        <v>64</v>
      </c>
      <c r="F34" s="102" t="e">
        <f>SUM('BESS 10B'!S198:S205,'BESS 10B'!S207)</f>
        <v>#VALUE!</v>
      </c>
      <c r="G34" s="101">
        <f>MAX('BESS 10B'!O198:O205,'BESS 10B'!O207)-MIN('BESS 10B'!O198:O205,'BESS 10B'!O207)+1</f>
        <v>30</v>
      </c>
      <c r="H34" s="110">
        <f>MIN('BESS 10B'!O198:O205,'BESS 10B'!O207)</f>
        <v>46249</v>
      </c>
      <c r="I34" s="101" t="str">
        <f t="shared" ref="I34:R37" si="60">IF(AND(I$1&gt;=$H34,I$1&lt;($H34+$G34)),ROUND($F34/$G34,0),"-")</f>
        <v>-</v>
      </c>
      <c r="J34" s="101" t="str">
        <f t="shared" si="60"/>
        <v>-</v>
      </c>
      <c r="K34" s="101" t="str">
        <f t="shared" si="60"/>
        <v>-</v>
      </c>
      <c r="L34" s="101" t="str">
        <f t="shared" si="60"/>
        <v>-</v>
      </c>
      <c r="M34" s="101" t="str">
        <f t="shared" si="60"/>
        <v>-</v>
      </c>
      <c r="N34" s="101" t="str">
        <f t="shared" si="60"/>
        <v>-</v>
      </c>
      <c r="O34" s="101" t="str">
        <f t="shared" si="60"/>
        <v>-</v>
      </c>
      <c r="P34" s="101" t="str">
        <f t="shared" si="60"/>
        <v>-</v>
      </c>
      <c r="Q34" s="101" t="str">
        <f t="shared" si="60"/>
        <v>-</v>
      </c>
      <c r="R34" s="101" t="str">
        <f t="shared" si="60"/>
        <v>-</v>
      </c>
      <c r="S34" s="101" t="str">
        <f t="shared" ref="S34:AB37" si="61">IF(AND(S$1&gt;=$H34,S$1&lt;($H34+$G34)),ROUND($F34/$G34,0),"-")</f>
        <v>-</v>
      </c>
      <c r="T34" s="101" t="str">
        <f t="shared" si="61"/>
        <v>-</v>
      </c>
      <c r="U34" s="101" t="str">
        <f t="shared" si="61"/>
        <v>-</v>
      </c>
      <c r="V34" s="101" t="str">
        <f t="shared" si="61"/>
        <v>-</v>
      </c>
      <c r="W34" s="101" t="str">
        <f t="shared" si="61"/>
        <v>-</v>
      </c>
      <c r="X34" s="101" t="str">
        <f t="shared" si="61"/>
        <v>-</v>
      </c>
      <c r="Y34" s="101" t="str">
        <f t="shared" si="61"/>
        <v>-</v>
      </c>
      <c r="Z34" s="101" t="str">
        <f t="shared" si="61"/>
        <v>-</v>
      </c>
      <c r="AA34" s="101" t="str">
        <f t="shared" si="61"/>
        <v>-</v>
      </c>
      <c r="AB34" s="101" t="str">
        <f t="shared" si="61"/>
        <v>-</v>
      </c>
      <c r="AC34" s="101" t="str">
        <f t="shared" ref="AC34:AL37" si="62">IF(AND(AC$1&gt;=$H34,AC$1&lt;($H34+$G34)),ROUND($F34/$G34,0),"-")</f>
        <v>-</v>
      </c>
      <c r="AD34" s="101" t="str">
        <f t="shared" si="62"/>
        <v>-</v>
      </c>
      <c r="AE34" s="101" t="str">
        <f t="shared" si="62"/>
        <v>-</v>
      </c>
      <c r="AF34" s="101" t="str">
        <f t="shared" si="62"/>
        <v>-</v>
      </c>
      <c r="AG34" s="101" t="str">
        <f t="shared" si="62"/>
        <v>-</v>
      </c>
      <c r="AH34" s="101" t="str">
        <f t="shared" si="62"/>
        <v>-</v>
      </c>
      <c r="AI34" s="101" t="str">
        <f t="shared" si="62"/>
        <v>-</v>
      </c>
      <c r="AJ34" s="101" t="str">
        <f t="shared" si="62"/>
        <v>-</v>
      </c>
      <c r="AK34" s="101" t="str">
        <f t="shared" si="62"/>
        <v>-</v>
      </c>
      <c r="AL34" s="101" t="str">
        <f t="shared" si="62"/>
        <v>-</v>
      </c>
      <c r="AM34" s="101" t="str">
        <f t="shared" ref="AM34:AV37" si="63">IF(AND(AM$1&gt;=$H34,AM$1&lt;($H34+$G34)),ROUND($F34/$G34,0),"-")</f>
        <v>-</v>
      </c>
      <c r="AN34" s="101" t="str">
        <f t="shared" si="63"/>
        <v>-</v>
      </c>
      <c r="AO34" s="101" t="str">
        <f t="shared" si="63"/>
        <v>-</v>
      </c>
      <c r="AP34" s="101" t="str">
        <f t="shared" si="63"/>
        <v>-</v>
      </c>
      <c r="AQ34" s="101" t="str">
        <f t="shared" si="63"/>
        <v>-</v>
      </c>
      <c r="AR34" s="101" t="str">
        <f t="shared" si="63"/>
        <v>-</v>
      </c>
      <c r="AS34" s="101" t="str">
        <f t="shared" si="63"/>
        <v>-</v>
      </c>
      <c r="AT34" s="101" t="str">
        <f t="shared" si="63"/>
        <v>-</v>
      </c>
      <c r="AU34" s="101" t="str">
        <f t="shared" si="63"/>
        <v>-</v>
      </c>
      <c r="AV34" s="101" t="str">
        <f t="shared" si="63"/>
        <v>-</v>
      </c>
      <c r="AW34" s="101" t="str">
        <f t="shared" ref="AW34:BF37" si="64">IF(AND(AW$1&gt;=$H34,AW$1&lt;($H34+$G34)),ROUND($F34/$G34,0),"-")</f>
        <v>-</v>
      </c>
      <c r="AX34" s="101" t="str">
        <f t="shared" si="64"/>
        <v>-</v>
      </c>
      <c r="AY34" s="101" t="str">
        <f t="shared" si="64"/>
        <v>-</v>
      </c>
      <c r="AZ34" s="101" t="str">
        <f t="shared" si="64"/>
        <v>-</v>
      </c>
      <c r="BA34" s="101" t="str">
        <f t="shared" si="64"/>
        <v>-</v>
      </c>
      <c r="BB34" s="101" t="str">
        <f t="shared" si="64"/>
        <v>-</v>
      </c>
      <c r="BC34" s="101" t="str">
        <f t="shared" si="64"/>
        <v>-</v>
      </c>
      <c r="BD34" s="101" t="str">
        <f t="shared" si="64"/>
        <v>-</v>
      </c>
      <c r="BE34" s="101" t="str">
        <f t="shared" si="64"/>
        <v>-</v>
      </c>
      <c r="BF34" s="101" t="str">
        <f t="shared" si="64"/>
        <v>-</v>
      </c>
      <c r="BG34" s="101" t="str">
        <f t="shared" ref="BG34:BP37" si="65">IF(AND(BG$1&gt;=$H34,BG$1&lt;($H34+$G34)),ROUND($F34/$G34,0),"-")</f>
        <v>-</v>
      </c>
      <c r="BH34" s="101" t="str">
        <f t="shared" si="65"/>
        <v>-</v>
      </c>
      <c r="BI34" s="101" t="str">
        <f t="shared" si="65"/>
        <v>-</v>
      </c>
      <c r="BJ34" s="101" t="str">
        <f t="shared" si="65"/>
        <v>-</v>
      </c>
      <c r="BK34" s="101" t="e">
        <f t="shared" si="65"/>
        <v>#VALUE!</v>
      </c>
      <c r="BL34" s="101" t="e">
        <f t="shared" si="65"/>
        <v>#VALUE!</v>
      </c>
      <c r="BM34" s="101" t="e">
        <f t="shared" si="65"/>
        <v>#VALUE!</v>
      </c>
      <c r="BN34" s="101" t="e">
        <f t="shared" si="65"/>
        <v>#VALUE!</v>
      </c>
      <c r="BO34" s="101" t="e">
        <f t="shared" si="65"/>
        <v>#VALUE!</v>
      </c>
      <c r="BP34" s="101" t="e">
        <f t="shared" si="65"/>
        <v>#VALUE!</v>
      </c>
      <c r="BQ34" s="101" t="e">
        <f t="shared" ref="BQ34:BZ37" si="66">IF(AND(BQ$1&gt;=$H34,BQ$1&lt;($H34+$G34)),ROUND($F34/$G34,0),"-")</f>
        <v>#VALUE!</v>
      </c>
      <c r="BR34" s="101" t="e">
        <f t="shared" si="66"/>
        <v>#VALUE!</v>
      </c>
      <c r="BS34" s="101" t="e">
        <f t="shared" si="66"/>
        <v>#VALUE!</v>
      </c>
      <c r="BT34" s="101" t="e">
        <f t="shared" si="66"/>
        <v>#VALUE!</v>
      </c>
      <c r="BU34" s="101" t="e">
        <f t="shared" si="66"/>
        <v>#VALUE!</v>
      </c>
      <c r="BV34" s="101" t="e">
        <f t="shared" si="66"/>
        <v>#VALUE!</v>
      </c>
      <c r="BW34" s="101" t="e">
        <f t="shared" si="66"/>
        <v>#VALUE!</v>
      </c>
      <c r="BX34" s="101" t="e">
        <f t="shared" si="66"/>
        <v>#VALUE!</v>
      </c>
      <c r="BY34" s="101" t="e">
        <f t="shared" si="66"/>
        <v>#VALUE!</v>
      </c>
      <c r="BZ34" s="101" t="e">
        <f t="shared" si="66"/>
        <v>#VALUE!</v>
      </c>
      <c r="CA34" s="101" t="e">
        <f t="shared" ref="CA34:CJ37" si="67">IF(AND(CA$1&gt;=$H34,CA$1&lt;($H34+$G34)),ROUND($F34/$G34,0),"-")</f>
        <v>#VALUE!</v>
      </c>
      <c r="CB34" s="101" t="e">
        <f t="shared" si="67"/>
        <v>#VALUE!</v>
      </c>
      <c r="CC34" s="101" t="e">
        <f t="shared" si="67"/>
        <v>#VALUE!</v>
      </c>
      <c r="CD34" s="101" t="e">
        <f t="shared" si="67"/>
        <v>#VALUE!</v>
      </c>
      <c r="CE34" s="101" t="e">
        <f t="shared" si="67"/>
        <v>#VALUE!</v>
      </c>
      <c r="CF34" s="101" t="e">
        <f t="shared" si="67"/>
        <v>#VALUE!</v>
      </c>
      <c r="CG34" s="101" t="e">
        <f t="shared" si="67"/>
        <v>#VALUE!</v>
      </c>
      <c r="CH34" s="101" t="e">
        <f t="shared" si="67"/>
        <v>#VALUE!</v>
      </c>
      <c r="CI34" s="101" t="e">
        <f t="shared" si="67"/>
        <v>#VALUE!</v>
      </c>
      <c r="CJ34" s="101" t="e">
        <f t="shared" si="67"/>
        <v>#VALUE!</v>
      </c>
      <c r="CK34" s="101" t="e">
        <f t="shared" ref="CK34:CT37" si="68">IF(AND(CK$1&gt;=$H34,CK$1&lt;($H34+$G34)),ROUND($F34/$G34,0),"-")</f>
        <v>#VALUE!</v>
      </c>
      <c r="CL34" s="101" t="e">
        <f t="shared" si="68"/>
        <v>#VALUE!</v>
      </c>
      <c r="CM34" s="101" t="e">
        <f t="shared" si="68"/>
        <v>#VALUE!</v>
      </c>
      <c r="CN34" s="101" t="e">
        <f t="shared" si="68"/>
        <v>#VALUE!</v>
      </c>
      <c r="CO34" s="101" t="str">
        <f t="shared" si="68"/>
        <v>-</v>
      </c>
      <c r="CP34" s="134" t="str">
        <f t="shared" si="68"/>
        <v>-</v>
      </c>
      <c r="CQ34" s="134" t="str">
        <f t="shared" si="68"/>
        <v>-</v>
      </c>
      <c r="CR34" s="134" t="str">
        <f t="shared" si="68"/>
        <v>-</v>
      </c>
      <c r="CS34" s="134" t="str">
        <f t="shared" si="68"/>
        <v>-</v>
      </c>
      <c r="CT34" s="101" t="str">
        <f t="shared" si="68"/>
        <v>-</v>
      </c>
    </row>
    <row r="35" spans="1:98">
      <c r="A35" s="466"/>
      <c r="B35" s="502"/>
      <c r="C35" s="502"/>
      <c r="D35" s="466"/>
      <c r="E35" s="109" t="s">
        <v>65</v>
      </c>
      <c r="F35" s="102" t="e">
        <f>SUM('BESS 10B'!S208,'BESS 10B'!S210:S211,'BESS 10B'!S214:S216)</f>
        <v>#VALUE!</v>
      </c>
      <c r="G35" s="101">
        <f>MAX('BESS 10B'!O208,'BESS 10B'!O210:O211,'BESS 10B'!O214:O216)-MIN('BESS 10B'!O208,'BESS 10B'!O210:O211,'BESS 10B'!O214:O216)+1</f>
        <v>9</v>
      </c>
      <c r="H35" s="110">
        <f>MIN('BESS 10B'!O208,'BESS 10B'!O210:O211,'BESS 10B'!O214:O216)</f>
        <v>46249</v>
      </c>
      <c r="I35" s="101" t="str">
        <f t="shared" si="60"/>
        <v>-</v>
      </c>
      <c r="J35" s="101" t="str">
        <f t="shared" si="60"/>
        <v>-</v>
      </c>
      <c r="K35" s="101" t="str">
        <f t="shared" si="60"/>
        <v>-</v>
      </c>
      <c r="L35" s="101" t="str">
        <f t="shared" si="60"/>
        <v>-</v>
      </c>
      <c r="M35" s="101" t="str">
        <f t="shared" si="60"/>
        <v>-</v>
      </c>
      <c r="N35" s="101" t="str">
        <f t="shared" si="60"/>
        <v>-</v>
      </c>
      <c r="O35" s="101" t="str">
        <f t="shared" si="60"/>
        <v>-</v>
      </c>
      <c r="P35" s="101" t="str">
        <f t="shared" si="60"/>
        <v>-</v>
      </c>
      <c r="Q35" s="101" t="str">
        <f t="shared" si="60"/>
        <v>-</v>
      </c>
      <c r="R35" s="101" t="str">
        <f t="shared" si="60"/>
        <v>-</v>
      </c>
      <c r="S35" s="101" t="str">
        <f t="shared" si="61"/>
        <v>-</v>
      </c>
      <c r="T35" s="101" t="str">
        <f t="shared" si="61"/>
        <v>-</v>
      </c>
      <c r="U35" s="101" t="str">
        <f t="shared" si="61"/>
        <v>-</v>
      </c>
      <c r="V35" s="101" t="str">
        <f t="shared" si="61"/>
        <v>-</v>
      </c>
      <c r="W35" s="101" t="str">
        <f t="shared" si="61"/>
        <v>-</v>
      </c>
      <c r="X35" s="101" t="str">
        <f t="shared" si="61"/>
        <v>-</v>
      </c>
      <c r="Y35" s="101" t="str">
        <f t="shared" si="61"/>
        <v>-</v>
      </c>
      <c r="Z35" s="101" t="str">
        <f t="shared" si="61"/>
        <v>-</v>
      </c>
      <c r="AA35" s="101" t="str">
        <f t="shared" si="61"/>
        <v>-</v>
      </c>
      <c r="AB35" s="101" t="str">
        <f t="shared" si="61"/>
        <v>-</v>
      </c>
      <c r="AC35" s="101" t="str">
        <f t="shared" si="62"/>
        <v>-</v>
      </c>
      <c r="AD35" s="101" t="str">
        <f t="shared" si="62"/>
        <v>-</v>
      </c>
      <c r="AE35" s="101" t="str">
        <f t="shared" si="62"/>
        <v>-</v>
      </c>
      <c r="AF35" s="101" t="str">
        <f t="shared" si="62"/>
        <v>-</v>
      </c>
      <c r="AG35" s="101" t="str">
        <f t="shared" si="62"/>
        <v>-</v>
      </c>
      <c r="AH35" s="101" t="str">
        <f t="shared" si="62"/>
        <v>-</v>
      </c>
      <c r="AI35" s="101" t="str">
        <f t="shared" si="62"/>
        <v>-</v>
      </c>
      <c r="AJ35" s="101" t="str">
        <f t="shared" si="62"/>
        <v>-</v>
      </c>
      <c r="AK35" s="101" t="str">
        <f t="shared" si="62"/>
        <v>-</v>
      </c>
      <c r="AL35" s="101" t="str">
        <f t="shared" si="62"/>
        <v>-</v>
      </c>
      <c r="AM35" s="101" t="str">
        <f t="shared" si="63"/>
        <v>-</v>
      </c>
      <c r="AN35" s="101" t="str">
        <f t="shared" si="63"/>
        <v>-</v>
      </c>
      <c r="AO35" s="101" t="str">
        <f t="shared" si="63"/>
        <v>-</v>
      </c>
      <c r="AP35" s="101" t="str">
        <f t="shared" si="63"/>
        <v>-</v>
      </c>
      <c r="AQ35" s="101" t="str">
        <f t="shared" si="63"/>
        <v>-</v>
      </c>
      <c r="AR35" s="101" t="str">
        <f t="shared" si="63"/>
        <v>-</v>
      </c>
      <c r="AS35" s="101" t="str">
        <f t="shared" si="63"/>
        <v>-</v>
      </c>
      <c r="AT35" s="101" t="str">
        <f t="shared" si="63"/>
        <v>-</v>
      </c>
      <c r="AU35" s="101" t="str">
        <f t="shared" si="63"/>
        <v>-</v>
      </c>
      <c r="AV35" s="101" t="str">
        <f t="shared" si="63"/>
        <v>-</v>
      </c>
      <c r="AW35" s="101" t="str">
        <f t="shared" si="64"/>
        <v>-</v>
      </c>
      <c r="AX35" s="101" t="str">
        <f t="shared" si="64"/>
        <v>-</v>
      </c>
      <c r="AY35" s="101" t="str">
        <f t="shared" si="64"/>
        <v>-</v>
      </c>
      <c r="AZ35" s="101" t="str">
        <f t="shared" si="64"/>
        <v>-</v>
      </c>
      <c r="BA35" s="101" t="str">
        <f t="shared" si="64"/>
        <v>-</v>
      </c>
      <c r="BB35" s="101" t="str">
        <f t="shared" si="64"/>
        <v>-</v>
      </c>
      <c r="BC35" s="101" t="str">
        <f t="shared" si="64"/>
        <v>-</v>
      </c>
      <c r="BD35" s="101" t="str">
        <f t="shared" si="64"/>
        <v>-</v>
      </c>
      <c r="BE35" s="101" t="str">
        <f t="shared" si="64"/>
        <v>-</v>
      </c>
      <c r="BF35" s="101" t="str">
        <f t="shared" si="64"/>
        <v>-</v>
      </c>
      <c r="BG35" s="101" t="str">
        <f t="shared" si="65"/>
        <v>-</v>
      </c>
      <c r="BH35" s="101" t="str">
        <f t="shared" si="65"/>
        <v>-</v>
      </c>
      <c r="BI35" s="101" t="str">
        <f t="shared" si="65"/>
        <v>-</v>
      </c>
      <c r="BJ35" s="101" t="str">
        <f t="shared" si="65"/>
        <v>-</v>
      </c>
      <c r="BK35" s="101" t="e">
        <f t="shared" si="65"/>
        <v>#VALUE!</v>
      </c>
      <c r="BL35" s="101" t="e">
        <f t="shared" si="65"/>
        <v>#VALUE!</v>
      </c>
      <c r="BM35" s="101" t="e">
        <f t="shared" si="65"/>
        <v>#VALUE!</v>
      </c>
      <c r="BN35" s="101" t="e">
        <f t="shared" si="65"/>
        <v>#VALUE!</v>
      </c>
      <c r="BO35" s="101" t="e">
        <f t="shared" si="65"/>
        <v>#VALUE!</v>
      </c>
      <c r="BP35" s="101" t="e">
        <f t="shared" si="65"/>
        <v>#VALUE!</v>
      </c>
      <c r="BQ35" s="101" t="e">
        <f t="shared" si="66"/>
        <v>#VALUE!</v>
      </c>
      <c r="BR35" s="101" t="e">
        <f t="shared" si="66"/>
        <v>#VALUE!</v>
      </c>
      <c r="BS35" s="101" t="e">
        <f t="shared" si="66"/>
        <v>#VALUE!</v>
      </c>
      <c r="BT35" s="101" t="str">
        <f t="shared" si="66"/>
        <v>-</v>
      </c>
      <c r="BU35" s="101" t="str">
        <f t="shared" si="66"/>
        <v>-</v>
      </c>
      <c r="BV35" s="101" t="str">
        <f t="shared" si="66"/>
        <v>-</v>
      </c>
      <c r="BW35" s="101" t="str">
        <f t="shared" si="66"/>
        <v>-</v>
      </c>
      <c r="BX35" s="101" t="str">
        <f t="shared" si="66"/>
        <v>-</v>
      </c>
      <c r="BY35" s="101" t="str">
        <f t="shared" si="66"/>
        <v>-</v>
      </c>
      <c r="BZ35" s="101" t="str">
        <f t="shared" si="66"/>
        <v>-</v>
      </c>
      <c r="CA35" s="101" t="str">
        <f t="shared" si="67"/>
        <v>-</v>
      </c>
      <c r="CB35" s="101" t="str">
        <f t="shared" si="67"/>
        <v>-</v>
      </c>
      <c r="CC35" s="101" t="str">
        <f t="shared" si="67"/>
        <v>-</v>
      </c>
      <c r="CD35" s="101" t="str">
        <f t="shared" si="67"/>
        <v>-</v>
      </c>
      <c r="CE35" s="101" t="str">
        <f t="shared" si="67"/>
        <v>-</v>
      </c>
      <c r="CF35" s="101" t="str">
        <f t="shared" si="67"/>
        <v>-</v>
      </c>
      <c r="CG35" s="101" t="str">
        <f t="shared" si="67"/>
        <v>-</v>
      </c>
      <c r="CH35" s="101" t="str">
        <f t="shared" si="67"/>
        <v>-</v>
      </c>
      <c r="CI35" s="101" t="str">
        <f t="shared" si="67"/>
        <v>-</v>
      </c>
      <c r="CJ35" s="101" t="str">
        <f t="shared" si="67"/>
        <v>-</v>
      </c>
      <c r="CK35" s="101" t="str">
        <f t="shared" si="68"/>
        <v>-</v>
      </c>
      <c r="CL35" s="101" t="str">
        <f t="shared" si="68"/>
        <v>-</v>
      </c>
      <c r="CM35" s="101" t="str">
        <f t="shared" si="68"/>
        <v>-</v>
      </c>
      <c r="CN35" s="101" t="str">
        <f t="shared" si="68"/>
        <v>-</v>
      </c>
      <c r="CO35" s="101" t="str">
        <f t="shared" si="68"/>
        <v>-</v>
      </c>
      <c r="CP35" s="134" t="str">
        <f t="shared" si="68"/>
        <v>-</v>
      </c>
      <c r="CQ35" s="134" t="str">
        <f t="shared" si="68"/>
        <v>-</v>
      </c>
      <c r="CR35" s="134" t="str">
        <f t="shared" si="68"/>
        <v>-</v>
      </c>
      <c r="CS35" s="134" t="str">
        <f t="shared" si="68"/>
        <v>-</v>
      </c>
      <c r="CT35" s="101" t="str">
        <f t="shared" si="68"/>
        <v>-</v>
      </c>
    </row>
    <row r="36" spans="1:98">
      <c r="A36" s="466"/>
      <c r="B36" s="502"/>
      <c r="C36" s="502"/>
      <c r="D36" s="466"/>
      <c r="E36" s="109" t="s">
        <v>66</v>
      </c>
      <c r="F36" s="102" t="e">
        <f>SUM('BESS 10B'!S209,'BESS 10B'!S212:S213,'BESS 10B'!S217:S218)</f>
        <v>#VALUE!</v>
      </c>
      <c r="G36" s="102">
        <f>MAX('BESS 10B'!O209,'BESS 10B'!O212:O213,'BESS 10B'!O217:O218)-MIN('BESS 10B'!O209,'BESS 10B'!O212:O213,'BESS 10B'!O217:O218)+1</f>
        <v>24</v>
      </c>
      <c r="H36" s="110">
        <f>MIN('BESS 10B'!O209,'BESS 10B'!O212:O213,'BESS 10B'!O217:O218)</f>
        <v>46262</v>
      </c>
      <c r="I36" s="101" t="str">
        <f t="shared" si="60"/>
        <v>-</v>
      </c>
      <c r="J36" s="101" t="str">
        <f t="shared" si="60"/>
        <v>-</v>
      </c>
      <c r="K36" s="101" t="str">
        <f t="shared" si="60"/>
        <v>-</v>
      </c>
      <c r="L36" s="101" t="str">
        <f t="shared" si="60"/>
        <v>-</v>
      </c>
      <c r="M36" s="101" t="str">
        <f t="shared" si="60"/>
        <v>-</v>
      </c>
      <c r="N36" s="101" t="str">
        <f t="shared" si="60"/>
        <v>-</v>
      </c>
      <c r="O36" s="101" t="str">
        <f t="shared" si="60"/>
        <v>-</v>
      </c>
      <c r="P36" s="101" t="str">
        <f t="shared" si="60"/>
        <v>-</v>
      </c>
      <c r="Q36" s="101" t="str">
        <f t="shared" si="60"/>
        <v>-</v>
      </c>
      <c r="R36" s="101" t="str">
        <f t="shared" si="60"/>
        <v>-</v>
      </c>
      <c r="S36" s="101" t="str">
        <f t="shared" si="61"/>
        <v>-</v>
      </c>
      <c r="T36" s="101" t="str">
        <f t="shared" si="61"/>
        <v>-</v>
      </c>
      <c r="U36" s="101" t="str">
        <f t="shared" si="61"/>
        <v>-</v>
      </c>
      <c r="V36" s="101" t="str">
        <f t="shared" si="61"/>
        <v>-</v>
      </c>
      <c r="W36" s="101" t="str">
        <f t="shared" si="61"/>
        <v>-</v>
      </c>
      <c r="X36" s="101" t="str">
        <f t="shared" si="61"/>
        <v>-</v>
      </c>
      <c r="Y36" s="101" t="str">
        <f t="shared" si="61"/>
        <v>-</v>
      </c>
      <c r="Z36" s="101" t="str">
        <f t="shared" si="61"/>
        <v>-</v>
      </c>
      <c r="AA36" s="101" t="str">
        <f t="shared" si="61"/>
        <v>-</v>
      </c>
      <c r="AB36" s="101" t="str">
        <f t="shared" si="61"/>
        <v>-</v>
      </c>
      <c r="AC36" s="101" t="str">
        <f t="shared" si="62"/>
        <v>-</v>
      </c>
      <c r="AD36" s="101" t="str">
        <f t="shared" si="62"/>
        <v>-</v>
      </c>
      <c r="AE36" s="101" t="str">
        <f t="shared" si="62"/>
        <v>-</v>
      </c>
      <c r="AF36" s="101" t="str">
        <f t="shared" si="62"/>
        <v>-</v>
      </c>
      <c r="AG36" s="101" t="str">
        <f t="shared" si="62"/>
        <v>-</v>
      </c>
      <c r="AH36" s="101" t="str">
        <f t="shared" si="62"/>
        <v>-</v>
      </c>
      <c r="AI36" s="101" t="str">
        <f t="shared" si="62"/>
        <v>-</v>
      </c>
      <c r="AJ36" s="101" t="str">
        <f t="shared" si="62"/>
        <v>-</v>
      </c>
      <c r="AK36" s="101" t="str">
        <f t="shared" si="62"/>
        <v>-</v>
      </c>
      <c r="AL36" s="101" t="str">
        <f t="shared" si="62"/>
        <v>-</v>
      </c>
      <c r="AM36" s="101" t="str">
        <f t="shared" si="63"/>
        <v>-</v>
      </c>
      <c r="AN36" s="101" t="str">
        <f t="shared" si="63"/>
        <v>-</v>
      </c>
      <c r="AO36" s="101" t="str">
        <f t="shared" si="63"/>
        <v>-</v>
      </c>
      <c r="AP36" s="101" t="str">
        <f t="shared" si="63"/>
        <v>-</v>
      </c>
      <c r="AQ36" s="101" t="str">
        <f t="shared" si="63"/>
        <v>-</v>
      </c>
      <c r="AR36" s="101" t="str">
        <f t="shared" si="63"/>
        <v>-</v>
      </c>
      <c r="AS36" s="101" t="str">
        <f t="shared" si="63"/>
        <v>-</v>
      </c>
      <c r="AT36" s="101" t="str">
        <f t="shared" si="63"/>
        <v>-</v>
      </c>
      <c r="AU36" s="101" t="str">
        <f t="shared" si="63"/>
        <v>-</v>
      </c>
      <c r="AV36" s="101" t="str">
        <f t="shared" si="63"/>
        <v>-</v>
      </c>
      <c r="AW36" s="101" t="str">
        <f t="shared" si="64"/>
        <v>-</v>
      </c>
      <c r="AX36" s="101" t="str">
        <f t="shared" si="64"/>
        <v>-</v>
      </c>
      <c r="AY36" s="101" t="str">
        <f t="shared" si="64"/>
        <v>-</v>
      </c>
      <c r="AZ36" s="101" t="str">
        <f t="shared" si="64"/>
        <v>-</v>
      </c>
      <c r="BA36" s="101" t="str">
        <f t="shared" si="64"/>
        <v>-</v>
      </c>
      <c r="BB36" s="101" t="str">
        <f t="shared" si="64"/>
        <v>-</v>
      </c>
      <c r="BC36" s="101" t="str">
        <f t="shared" si="64"/>
        <v>-</v>
      </c>
      <c r="BD36" s="101" t="str">
        <f t="shared" si="64"/>
        <v>-</v>
      </c>
      <c r="BE36" s="101" t="str">
        <f t="shared" si="64"/>
        <v>-</v>
      </c>
      <c r="BF36" s="101" t="str">
        <f t="shared" si="64"/>
        <v>-</v>
      </c>
      <c r="BG36" s="101" t="str">
        <f t="shared" si="65"/>
        <v>-</v>
      </c>
      <c r="BH36" s="101" t="str">
        <f t="shared" si="65"/>
        <v>-</v>
      </c>
      <c r="BI36" s="101" t="str">
        <f t="shared" si="65"/>
        <v>-</v>
      </c>
      <c r="BJ36" s="101" t="str">
        <f t="shared" si="65"/>
        <v>-</v>
      </c>
      <c r="BK36" s="101" t="str">
        <f t="shared" si="65"/>
        <v>-</v>
      </c>
      <c r="BL36" s="101" t="str">
        <f t="shared" si="65"/>
        <v>-</v>
      </c>
      <c r="BM36" s="101" t="str">
        <f t="shared" si="65"/>
        <v>-</v>
      </c>
      <c r="BN36" s="101" t="str">
        <f t="shared" si="65"/>
        <v>-</v>
      </c>
      <c r="BO36" s="101" t="str">
        <f t="shared" si="65"/>
        <v>-</v>
      </c>
      <c r="BP36" s="101" t="str">
        <f t="shared" si="65"/>
        <v>-</v>
      </c>
      <c r="BQ36" s="101" t="str">
        <f t="shared" si="66"/>
        <v>-</v>
      </c>
      <c r="BR36" s="101" t="str">
        <f t="shared" si="66"/>
        <v>-</v>
      </c>
      <c r="BS36" s="101" t="str">
        <f t="shared" si="66"/>
        <v>-</v>
      </c>
      <c r="BT36" s="101" t="str">
        <f t="shared" si="66"/>
        <v>-</v>
      </c>
      <c r="BU36" s="101" t="str">
        <f t="shared" si="66"/>
        <v>-</v>
      </c>
      <c r="BV36" s="101" t="str">
        <f t="shared" si="66"/>
        <v>-</v>
      </c>
      <c r="BW36" s="101" t="str">
        <f t="shared" si="66"/>
        <v>-</v>
      </c>
      <c r="BX36" s="101" t="e">
        <f t="shared" si="66"/>
        <v>#VALUE!</v>
      </c>
      <c r="BY36" s="101" t="e">
        <f t="shared" si="66"/>
        <v>#VALUE!</v>
      </c>
      <c r="BZ36" s="101" t="e">
        <f t="shared" si="66"/>
        <v>#VALUE!</v>
      </c>
      <c r="CA36" s="101" t="e">
        <f t="shared" si="67"/>
        <v>#VALUE!</v>
      </c>
      <c r="CB36" s="101" t="e">
        <f t="shared" si="67"/>
        <v>#VALUE!</v>
      </c>
      <c r="CC36" s="101" t="e">
        <f t="shared" si="67"/>
        <v>#VALUE!</v>
      </c>
      <c r="CD36" s="101" t="e">
        <f t="shared" si="67"/>
        <v>#VALUE!</v>
      </c>
      <c r="CE36" s="101" t="e">
        <f t="shared" si="67"/>
        <v>#VALUE!</v>
      </c>
      <c r="CF36" s="101" t="e">
        <f t="shared" si="67"/>
        <v>#VALUE!</v>
      </c>
      <c r="CG36" s="101" t="e">
        <f t="shared" si="67"/>
        <v>#VALUE!</v>
      </c>
      <c r="CH36" s="101" t="e">
        <f t="shared" si="67"/>
        <v>#VALUE!</v>
      </c>
      <c r="CI36" s="101" t="e">
        <f t="shared" si="67"/>
        <v>#VALUE!</v>
      </c>
      <c r="CJ36" s="101" t="e">
        <f t="shared" si="67"/>
        <v>#VALUE!</v>
      </c>
      <c r="CK36" s="101" t="e">
        <f t="shared" si="68"/>
        <v>#VALUE!</v>
      </c>
      <c r="CL36" s="101" t="e">
        <f t="shared" si="68"/>
        <v>#VALUE!</v>
      </c>
      <c r="CM36" s="101" t="e">
        <f t="shared" si="68"/>
        <v>#VALUE!</v>
      </c>
      <c r="CN36" s="101" t="e">
        <f t="shared" si="68"/>
        <v>#VALUE!</v>
      </c>
      <c r="CO36" s="101" t="e">
        <f t="shared" si="68"/>
        <v>#VALUE!</v>
      </c>
      <c r="CP36" s="134" t="e">
        <f t="shared" si="68"/>
        <v>#VALUE!</v>
      </c>
      <c r="CQ36" s="134" t="e">
        <f t="shared" si="68"/>
        <v>#VALUE!</v>
      </c>
      <c r="CR36" s="134" t="e">
        <f t="shared" si="68"/>
        <v>#VALUE!</v>
      </c>
      <c r="CS36" s="134" t="e">
        <f t="shared" si="68"/>
        <v>#VALUE!</v>
      </c>
      <c r="CT36" s="101" t="e">
        <f t="shared" si="68"/>
        <v>#VALUE!</v>
      </c>
    </row>
    <row r="37" spans="1:98">
      <c r="A37" s="466"/>
      <c r="B37" s="502"/>
      <c r="C37" s="502"/>
      <c r="D37" s="466"/>
      <c r="E37" s="109" t="s">
        <v>67</v>
      </c>
      <c r="F37" s="102" t="e">
        <f>SUM('BESS 10B'!S220:S229)</f>
        <v>#VALUE!</v>
      </c>
      <c r="G37" s="101">
        <f>MAX('BESS 10B'!O220:O229)-MIN('BESS 10B'!O220:O229)+1</f>
        <v>28</v>
      </c>
      <c r="H37" s="110">
        <f>MIN('BESS 10B'!O220:O229)</f>
        <v>46265</v>
      </c>
      <c r="I37" s="101" t="str">
        <f t="shared" si="60"/>
        <v>-</v>
      </c>
      <c r="J37" s="101" t="str">
        <f t="shared" si="60"/>
        <v>-</v>
      </c>
      <c r="K37" s="101" t="str">
        <f t="shared" si="60"/>
        <v>-</v>
      </c>
      <c r="L37" s="101" t="str">
        <f t="shared" si="60"/>
        <v>-</v>
      </c>
      <c r="M37" s="101" t="str">
        <f t="shared" si="60"/>
        <v>-</v>
      </c>
      <c r="N37" s="101" t="str">
        <f t="shared" si="60"/>
        <v>-</v>
      </c>
      <c r="O37" s="101" t="str">
        <f t="shared" si="60"/>
        <v>-</v>
      </c>
      <c r="P37" s="101" t="str">
        <f t="shared" si="60"/>
        <v>-</v>
      </c>
      <c r="Q37" s="101" t="str">
        <f t="shared" si="60"/>
        <v>-</v>
      </c>
      <c r="R37" s="101" t="str">
        <f t="shared" si="60"/>
        <v>-</v>
      </c>
      <c r="S37" s="101" t="str">
        <f t="shared" si="61"/>
        <v>-</v>
      </c>
      <c r="T37" s="101" t="str">
        <f t="shared" si="61"/>
        <v>-</v>
      </c>
      <c r="U37" s="101" t="str">
        <f t="shared" si="61"/>
        <v>-</v>
      </c>
      <c r="V37" s="101" t="str">
        <f t="shared" si="61"/>
        <v>-</v>
      </c>
      <c r="W37" s="101" t="str">
        <f t="shared" si="61"/>
        <v>-</v>
      </c>
      <c r="X37" s="101" t="str">
        <f t="shared" si="61"/>
        <v>-</v>
      </c>
      <c r="Y37" s="101" t="str">
        <f t="shared" si="61"/>
        <v>-</v>
      </c>
      <c r="Z37" s="101" t="str">
        <f t="shared" si="61"/>
        <v>-</v>
      </c>
      <c r="AA37" s="101" t="str">
        <f t="shared" si="61"/>
        <v>-</v>
      </c>
      <c r="AB37" s="101" t="str">
        <f t="shared" si="61"/>
        <v>-</v>
      </c>
      <c r="AC37" s="101" t="str">
        <f t="shared" si="62"/>
        <v>-</v>
      </c>
      <c r="AD37" s="101" t="str">
        <f t="shared" si="62"/>
        <v>-</v>
      </c>
      <c r="AE37" s="101" t="str">
        <f t="shared" si="62"/>
        <v>-</v>
      </c>
      <c r="AF37" s="101" t="str">
        <f t="shared" si="62"/>
        <v>-</v>
      </c>
      <c r="AG37" s="101" t="str">
        <f t="shared" si="62"/>
        <v>-</v>
      </c>
      <c r="AH37" s="101" t="str">
        <f t="shared" si="62"/>
        <v>-</v>
      </c>
      <c r="AI37" s="101" t="str">
        <f t="shared" si="62"/>
        <v>-</v>
      </c>
      <c r="AJ37" s="101" t="str">
        <f t="shared" si="62"/>
        <v>-</v>
      </c>
      <c r="AK37" s="101" t="str">
        <f t="shared" si="62"/>
        <v>-</v>
      </c>
      <c r="AL37" s="101" t="str">
        <f t="shared" si="62"/>
        <v>-</v>
      </c>
      <c r="AM37" s="101" t="str">
        <f t="shared" si="63"/>
        <v>-</v>
      </c>
      <c r="AN37" s="101" t="str">
        <f t="shared" si="63"/>
        <v>-</v>
      </c>
      <c r="AO37" s="101" t="str">
        <f t="shared" si="63"/>
        <v>-</v>
      </c>
      <c r="AP37" s="101" t="str">
        <f t="shared" si="63"/>
        <v>-</v>
      </c>
      <c r="AQ37" s="101" t="str">
        <f t="shared" si="63"/>
        <v>-</v>
      </c>
      <c r="AR37" s="101" t="str">
        <f t="shared" si="63"/>
        <v>-</v>
      </c>
      <c r="AS37" s="101" t="str">
        <f t="shared" si="63"/>
        <v>-</v>
      </c>
      <c r="AT37" s="101" t="str">
        <f t="shared" si="63"/>
        <v>-</v>
      </c>
      <c r="AU37" s="101" t="str">
        <f t="shared" si="63"/>
        <v>-</v>
      </c>
      <c r="AV37" s="101" t="str">
        <f t="shared" si="63"/>
        <v>-</v>
      </c>
      <c r="AW37" s="101" t="str">
        <f t="shared" si="64"/>
        <v>-</v>
      </c>
      <c r="AX37" s="101" t="str">
        <f t="shared" si="64"/>
        <v>-</v>
      </c>
      <c r="AY37" s="101" t="str">
        <f t="shared" si="64"/>
        <v>-</v>
      </c>
      <c r="AZ37" s="101" t="str">
        <f t="shared" si="64"/>
        <v>-</v>
      </c>
      <c r="BA37" s="101" t="str">
        <f t="shared" si="64"/>
        <v>-</v>
      </c>
      <c r="BB37" s="101" t="str">
        <f t="shared" si="64"/>
        <v>-</v>
      </c>
      <c r="BC37" s="101" t="str">
        <f t="shared" si="64"/>
        <v>-</v>
      </c>
      <c r="BD37" s="101" t="str">
        <f t="shared" si="64"/>
        <v>-</v>
      </c>
      <c r="BE37" s="101" t="str">
        <f t="shared" si="64"/>
        <v>-</v>
      </c>
      <c r="BF37" s="101" t="str">
        <f t="shared" si="64"/>
        <v>-</v>
      </c>
      <c r="BG37" s="101" t="str">
        <f t="shared" si="65"/>
        <v>-</v>
      </c>
      <c r="BH37" s="101" t="str">
        <f t="shared" si="65"/>
        <v>-</v>
      </c>
      <c r="BI37" s="101" t="str">
        <f t="shared" si="65"/>
        <v>-</v>
      </c>
      <c r="BJ37" s="101" t="str">
        <f t="shared" si="65"/>
        <v>-</v>
      </c>
      <c r="BK37" s="101" t="str">
        <f t="shared" si="65"/>
        <v>-</v>
      </c>
      <c r="BL37" s="101" t="str">
        <f t="shared" si="65"/>
        <v>-</v>
      </c>
      <c r="BM37" s="101" t="str">
        <f t="shared" si="65"/>
        <v>-</v>
      </c>
      <c r="BN37" s="101" t="str">
        <f t="shared" si="65"/>
        <v>-</v>
      </c>
      <c r="BO37" s="101" t="str">
        <f t="shared" si="65"/>
        <v>-</v>
      </c>
      <c r="BP37" s="101" t="str">
        <f t="shared" si="65"/>
        <v>-</v>
      </c>
      <c r="BQ37" s="101" t="str">
        <f t="shared" si="66"/>
        <v>-</v>
      </c>
      <c r="BR37" s="101" t="str">
        <f t="shared" si="66"/>
        <v>-</v>
      </c>
      <c r="BS37" s="101" t="str">
        <f t="shared" si="66"/>
        <v>-</v>
      </c>
      <c r="BT37" s="101" t="str">
        <f t="shared" si="66"/>
        <v>-</v>
      </c>
      <c r="BU37" s="101" t="str">
        <f t="shared" si="66"/>
        <v>-</v>
      </c>
      <c r="BV37" s="101" t="str">
        <f t="shared" si="66"/>
        <v>-</v>
      </c>
      <c r="BW37" s="101" t="str">
        <f t="shared" si="66"/>
        <v>-</v>
      </c>
      <c r="BX37" s="101" t="str">
        <f t="shared" si="66"/>
        <v>-</v>
      </c>
      <c r="BY37" s="101" t="str">
        <f t="shared" si="66"/>
        <v>-</v>
      </c>
      <c r="BZ37" s="101" t="str">
        <f t="shared" si="66"/>
        <v>-</v>
      </c>
      <c r="CA37" s="101" t="e">
        <f t="shared" si="67"/>
        <v>#VALUE!</v>
      </c>
      <c r="CB37" s="101" t="e">
        <f t="shared" si="67"/>
        <v>#VALUE!</v>
      </c>
      <c r="CC37" s="101" t="e">
        <f t="shared" si="67"/>
        <v>#VALUE!</v>
      </c>
      <c r="CD37" s="101" t="e">
        <f t="shared" si="67"/>
        <v>#VALUE!</v>
      </c>
      <c r="CE37" s="101" t="e">
        <f t="shared" si="67"/>
        <v>#VALUE!</v>
      </c>
      <c r="CF37" s="101" t="e">
        <f t="shared" si="67"/>
        <v>#VALUE!</v>
      </c>
      <c r="CG37" s="101" t="e">
        <f t="shared" si="67"/>
        <v>#VALUE!</v>
      </c>
      <c r="CH37" s="101" t="e">
        <f t="shared" si="67"/>
        <v>#VALUE!</v>
      </c>
      <c r="CI37" s="101" t="e">
        <f t="shared" si="67"/>
        <v>#VALUE!</v>
      </c>
      <c r="CJ37" s="101" t="e">
        <f t="shared" si="67"/>
        <v>#VALUE!</v>
      </c>
      <c r="CK37" s="101" t="e">
        <f t="shared" si="68"/>
        <v>#VALUE!</v>
      </c>
      <c r="CL37" s="101" t="e">
        <f t="shared" si="68"/>
        <v>#VALUE!</v>
      </c>
      <c r="CM37" s="101" t="e">
        <f t="shared" si="68"/>
        <v>#VALUE!</v>
      </c>
      <c r="CN37" s="101" t="e">
        <f t="shared" si="68"/>
        <v>#VALUE!</v>
      </c>
      <c r="CO37" s="101" t="e">
        <f t="shared" si="68"/>
        <v>#VALUE!</v>
      </c>
      <c r="CP37" s="134" t="e">
        <f t="shared" si="68"/>
        <v>#VALUE!</v>
      </c>
      <c r="CQ37" s="134" t="e">
        <f t="shared" si="68"/>
        <v>#VALUE!</v>
      </c>
      <c r="CR37" s="134" t="e">
        <f t="shared" si="68"/>
        <v>#VALUE!</v>
      </c>
      <c r="CS37" s="134" t="e">
        <f t="shared" si="68"/>
        <v>#VALUE!</v>
      </c>
      <c r="CT37" s="101" t="e">
        <f t="shared" si="68"/>
        <v>#VALUE!</v>
      </c>
    </row>
    <row r="38" spans="1:98">
      <c r="A38" s="65"/>
      <c r="B38" s="123"/>
      <c r="C38" s="123"/>
      <c r="D38" s="466"/>
      <c r="E38" s="109" t="s">
        <v>68</v>
      </c>
      <c r="F38" s="102">
        <v>250</v>
      </c>
      <c r="G38" s="101">
        <v>30</v>
      </c>
      <c r="H38" s="110" t="e">
        <f>B33-3</f>
        <v>#VALUE!</v>
      </c>
      <c r="I38" s="110"/>
      <c r="J38" s="110"/>
      <c r="K38" s="101"/>
      <c r="L38" s="102"/>
      <c r="M38" s="102"/>
      <c r="N38" s="102"/>
      <c r="O38" s="102"/>
      <c r="P38" s="102"/>
      <c r="Q38" s="102"/>
      <c r="R38" s="102"/>
      <c r="S38" s="102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1"/>
      <c r="BI38" s="101"/>
      <c r="BJ38" s="101"/>
      <c r="BK38" s="101"/>
      <c r="BL38" s="101">
        <v>5</v>
      </c>
      <c r="BM38" s="101">
        <v>5</v>
      </c>
      <c r="BN38" s="101">
        <v>5</v>
      </c>
      <c r="BO38" s="101">
        <v>5</v>
      </c>
      <c r="BP38" s="101">
        <v>5</v>
      </c>
      <c r="BQ38" s="101">
        <v>5</v>
      </c>
      <c r="BR38" s="101">
        <v>5</v>
      </c>
      <c r="BS38" s="101">
        <v>5</v>
      </c>
      <c r="BT38" s="101">
        <v>5</v>
      </c>
      <c r="BU38" s="101">
        <v>5</v>
      </c>
      <c r="BV38" s="101">
        <v>5</v>
      </c>
      <c r="BW38" s="101">
        <v>5</v>
      </c>
      <c r="BX38" s="101">
        <v>5</v>
      </c>
      <c r="BY38" s="101">
        <v>5</v>
      </c>
      <c r="BZ38" s="101">
        <v>5</v>
      </c>
      <c r="CA38" s="101">
        <v>5</v>
      </c>
      <c r="CB38" s="101">
        <v>5</v>
      </c>
      <c r="CC38" s="101">
        <v>5</v>
      </c>
      <c r="CD38" s="101">
        <v>5</v>
      </c>
      <c r="CE38" s="101">
        <v>5</v>
      </c>
      <c r="CF38" s="101">
        <v>5</v>
      </c>
      <c r="CG38" s="101">
        <v>5</v>
      </c>
      <c r="CH38" s="101">
        <v>5</v>
      </c>
      <c r="CI38" s="101">
        <v>5</v>
      </c>
      <c r="CJ38" s="101">
        <v>30</v>
      </c>
      <c r="CK38" s="101">
        <v>30</v>
      </c>
      <c r="CL38" s="101">
        <v>30</v>
      </c>
      <c r="CM38" s="101">
        <v>30</v>
      </c>
      <c r="CN38" s="101">
        <v>5</v>
      </c>
      <c r="CO38" s="101">
        <v>5</v>
      </c>
      <c r="CP38" s="134"/>
      <c r="CQ38" s="101"/>
      <c r="CR38" s="101"/>
      <c r="CS38" s="101"/>
      <c r="CT38" s="101"/>
    </row>
    <row r="39" spans="1:98">
      <c r="B39" s="126"/>
      <c r="E39" s="120"/>
      <c r="F39" s="120"/>
      <c r="G39" s="121"/>
      <c r="H39" s="112" t="s">
        <v>69</v>
      </c>
      <c r="I39" s="112"/>
      <c r="J39" s="112"/>
      <c r="K39" s="113">
        <f t="shared" ref="K39:AP39" si="69">SUM(K34:K38)</f>
        <v>0</v>
      </c>
      <c r="L39" s="113">
        <f t="shared" si="69"/>
        <v>0</v>
      </c>
      <c r="M39" s="113">
        <f t="shared" si="69"/>
        <v>0</v>
      </c>
      <c r="N39" s="113">
        <f t="shared" si="69"/>
        <v>0</v>
      </c>
      <c r="O39" s="113">
        <f t="shared" si="69"/>
        <v>0</v>
      </c>
      <c r="P39" s="113">
        <f t="shared" si="69"/>
        <v>0</v>
      </c>
      <c r="Q39" s="113">
        <f t="shared" si="69"/>
        <v>0</v>
      </c>
      <c r="R39" s="113">
        <f t="shared" si="69"/>
        <v>0</v>
      </c>
      <c r="S39" s="113">
        <f t="shared" si="69"/>
        <v>0</v>
      </c>
      <c r="T39" s="113">
        <f t="shared" si="69"/>
        <v>0</v>
      </c>
      <c r="U39" s="113">
        <f t="shared" si="69"/>
        <v>0</v>
      </c>
      <c r="V39" s="113">
        <f t="shared" si="69"/>
        <v>0</v>
      </c>
      <c r="W39" s="113">
        <f t="shared" si="69"/>
        <v>0</v>
      </c>
      <c r="X39" s="113">
        <f t="shared" si="69"/>
        <v>0</v>
      </c>
      <c r="Y39" s="113">
        <f t="shared" si="69"/>
        <v>0</v>
      </c>
      <c r="Z39" s="113">
        <f t="shared" si="69"/>
        <v>0</v>
      </c>
      <c r="AA39" s="113">
        <f t="shared" si="69"/>
        <v>0</v>
      </c>
      <c r="AB39" s="113">
        <f t="shared" si="69"/>
        <v>0</v>
      </c>
      <c r="AC39" s="113">
        <f t="shared" si="69"/>
        <v>0</v>
      </c>
      <c r="AD39" s="113">
        <f t="shared" si="69"/>
        <v>0</v>
      </c>
      <c r="AE39" s="113">
        <f t="shared" si="69"/>
        <v>0</v>
      </c>
      <c r="AF39" s="113">
        <f t="shared" si="69"/>
        <v>0</v>
      </c>
      <c r="AG39" s="113">
        <f t="shared" si="69"/>
        <v>0</v>
      </c>
      <c r="AH39" s="113">
        <f t="shared" si="69"/>
        <v>0</v>
      </c>
      <c r="AI39" s="113">
        <f t="shared" si="69"/>
        <v>0</v>
      </c>
      <c r="AJ39" s="113">
        <f t="shared" si="69"/>
        <v>0</v>
      </c>
      <c r="AK39" s="113">
        <f t="shared" si="69"/>
        <v>0</v>
      </c>
      <c r="AL39" s="113">
        <f t="shared" si="69"/>
        <v>0</v>
      </c>
      <c r="AM39" s="113">
        <f t="shared" si="69"/>
        <v>0</v>
      </c>
      <c r="AN39" s="113">
        <f t="shared" si="69"/>
        <v>0</v>
      </c>
      <c r="AO39" s="113">
        <f t="shared" si="69"/>
        <v>0</v>
      </c>
      <c r="AP39" s="113">
        <f t="shared" si="69"/>
        <v>0</v>
      </c>
      <c r="AQ39" s="113">
        <f t="shared" ref="AQ39:BV39" si="70">SUM(AQ34:AQ38)</f>
        <v>0</v>
      </c>
      <c r="AR39" s="113">
        <f t="shared" si="70"/>
        <v>0</v>
      </c>
      <c r="AS39" s="113">
        <f t="shared" si="70"/>
        <v>0</v>
      </c>
      <c r="AT39" s="113">
        <f t="shared" si="70"/>
        <v>0</v>
      </c>
      <c r="AU39" s="113">
        <f t="shared" si="70"/>
        <v>0</v>
      </c>
      <c r="AV39" s="113">
        <f t="shared" si="70"/>
        <v>0</v>
      </c>
      <c r="AW39" s="113">
        <f t="shared" si="70"/>
        <v>0</v>
      </c>
      <c r="AX39" s="113">
        <f t="shared" si="70"/>
        <v>0</v>
      </c>
      <c r="AY39" s="113">
        <f t="shared" si="70"/>
        <v>0</v>
      </c>
      <c r="AZ39" s="113">
        <f t="shared" si="70"/>
        <v>0</v>
      </c>
      <c r="BA39" s="113">
        <f t="shared" si="70"/>
        <v>0</v>
      </c>
      <c r="BB39" s="113">
        <f t="shared" si="70"/>
        <v>0</v>
      </c>
      <c r="BC39" s="113">
        <f t="shared" si="70"/>
        <v>0</v>
      </c>
      <c r="BD39" s="113">
        <f t="shared" si="70"/>
        <v>0</v>
      </c>
      <c r="BE39" s="113">
        <f t="shared" si="70"/>
        <v>0</v>
      </c>
      <c r="BF39" s="113">
        <f t="shared" si="70"/>
        <v>0</v>
      </c>
      <c r="BG39" s="113">
        <f t="shared" si="70"/>
        <v>0</v>
      </c>
      <c r="BH39" s="113">
        <f t="shared" si="70"/>
        <v>0</v>
      </c>
      <c r="BI39" s="113">
        <f t="shared" si="70"/>
        <v>0</v>
      </c>
      <c r="BJ39" s="113">
        <f t="shared" si="70"/>
        <v>0</v>
      </c>
      <c r="BK39" s="113" t="e">
        <f t="shared" si="70"/>
        <v>#VALUE!</v>
      </c>
      <c r="BL39" s="113" t="e">
        <f t="shared" si="70"/>
        <v>#VALUE!</v>
      </c>
      <c r="BM39" s="113" t="e">
        <f t="shared" si="70"/>
        <v>#VALUE!</v>
      </c>
      <c r="BN39" s="113" t="e">
        <f t="shared" si="70"/>
        <v>#VALUE!</v>
      </c>
      <c r="BO39" s="113" t="e">
        <f t="shared" si="70"/>
        <v>#VALUE!</v>
      </c>
      <c r="BP39" s="113" t="e">
        <f t="shared" si="70"/>
        <v>#VALUE!</v>
      </c>
      <c r="BQ39" s="113" t="e">
        <f t="shared" si="70"/>
        <v>#VALUE!</v>
      </c>
      <c r="BR39" s="113" t="e">
        <f t="shared" si="70"/>
        <v>#VALUE!</v>
      </c>
      <c r="BS39" s="113" t="e">
        <f t="shared" si="70"/>
        <v>#VALUE!</v>
      </c>
      <c r="BT39" s="113" t="e">
        <f t="shared" si="70"/>
        <v>#VALUE!</v>
      </c>
      <c r="BU39" s="113" t="e">
        <f t="shared" si="70"/>
        <v>#VALUE!</v>
      </c>
      <c r="BV39" s="113" t="e">
        <f t="shared" si="70"/>
        <v>#VALUE!</v>
      </c>
      <c r="BW39" s="113" t="e">
        <f t="shared" ref="BW39:CT39" si="71">SUM(BW34:BW38)</f>
        <v>#VALUE!</v>
      </c>
      <c r="BX39" s="113" t="e">
        <f t="shared" si="71"/>
        <v>#VALUE!</v>
      </c>
      <c r="BY39" s="113" t="e">
        <f t="shared" si="71"/>
        <v>#VALUE!</v>
      </c>
      <c r="BZ39" s="113" t="e">
        <f t="shared" si="71"/>
        <v>#VALUE!</v>
      </c>
      <c r="CA39" s="113" t="e">
        <f t="shared" si="71"/>
        <v>#VALUE!</v>
      </c>
      <c r="CB39" s="113" t="e">
        <f t="shared" si="71"/>
        <v>#VALUE!</v>
      </c>
      <c r="CC39" s="113" t="e">
        <f t="shared" si="71"/>
        <v>#VALUE!</v>
      </c>
      <c r="CD39" s="113" t="e">
        <f t="shared" si="71"/>
        <v>#VALUE!</v>
      </c>
      <c r="CE39" s="113" t="e">
        <f t="shared" si="71"/>
        <v>#VALUE!</v>
      </c>
      <c r="CF39" s="113" t="e">
        <f t="shared" si="71"/>
        <v>#VALUE!</v>
      </c>
      <c r="CG39" s="113" t="e">
        <f t="shared" si="71"/>
        <v>#VALUE!</v>
      </c>
      <c r="CH39" s="113" t="e">
        <f t="shared" si="71"/>
        <v>#VALUE!</v>
      </c>
      <c r="CI39" s="113" t="e">
        <f t="shared" si="71"/>
        <v>#VALUE!</v>
      </c>
      <c r="CJ39" s="113" t="e">
        <f t="shared" si="71"/>
        <v>#VALUE!</v>
      </c>
      <c r="CK39" s="113" t="e">
        <f t="shared" si="71"/>
        <v>#VALUE!</v>
      </c>
      <c r="CL39" s="113" t="e">
        <f t="shared" si="71"/>
        <v>#VALUE!</v>
      </c>
      <c r="CM39" s="113" t="e">
        <f t="shared" si="71"/>
        <v>#VALUE!</v>
      </c>
      <c r="CN39" s="113" t="e">
        <f t="shared" si="71"/>
        <v>#VALUE!</v>
      </c>
      <c r="CO39" s="113" t="e">
        <f t="shared" si="71"/>
        <v>#VALUE!</v>
      </c>
      <c r="CP39" s="113" t="e">
        <f t="shared" si="71"/>
        <v>#VALUE!</v>
      </c>
      <c r="CQ39" s="113" t="e">
        <f t="shared" si="71"/>
        <v>#VALUE!</v>
      </c>
      <c r="CR39" s="113" t="e">
        <f t="shared" si="71"/>
        <v>#VALUE!</v>
      </c>
      <c r="CS39" s="113" t="e">
        <f t="shared" si="71"/>
        <v>#VALUE!</v>
      </c>
      <c r="CT39" s="113" t="e">
        <f t="shared" si="71"/>
        <v>#VALUE!</v>
      </c>
    </row>
  </sheetData>
  <mergeCells count="20">
    <mergeCell ref="A33:A37"/>
    <mergeCell ref="B33:B37"/>
    <mergeCell ref="C33:C37"/>
    <mergeCell ref="D34:D38"/>
    <mergeCell ref="A17:A22"/>
    <mergeCell ref="B17:B22"/>
    <mergeCell ref="C17:C22"/>
    <mergeCell ref="D18:D22"/>
    <mergeCell ref="A25:A29"/>
    <mergeCell ref="B25:B29"/>
    <mergeCell ref="C25:C29"/>
    <mergeCell ref="D26:D30"/>
    <mergeCell ref="A2:A6"/>
    <mergeCell ref="B2:B6"/>
    <mergeCell ref="C2:C6"/>
    <mergeCell ref="D2:D6"/>
    <mergeCell ref="A9:A14"/>
    <mergeCell ref="B9:B14"/>
    <mergeCell ref="C9:C14"/>
    <mergeCell ref="D10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BC51-4E67-4F6C-A514-1F6DC6A62661}">
  <dimension ref="A1:CW86"/>
  <sheetViews>
    <sheetView zoomScale="85" workbookViewId="0">
      <selection activeCell="D4" sqref="D4"/>
    </sheetView>
  </sheetViews>
  <sheetFormatPr defaultRowHeight="13.5"/>
  <cols>
    <col min="2" max="2" width="27.5546875" bestFit="1" customWidth="1"/>
    <col min="6" max="7" width="9.5546875" customWidth="1"/>
    <col min="8" max="8" width="6.33203125" customWidth="1"/>
    <col min="9" max="9" width="10.109375" customWidth="1"/>
    <col min="11" max="12" width="12.5546875" customWidth="1"/>
    <col min="13" max="14" width="9.5546875" customWidth="1"/>
  </cols>
  <sheetData>
    <row r="1" spans="1:101">
      <c r="A1" s="141" t="s">
        <v>90</v>
      </c>
    </row>
    <row r="2" spans="1:101">
      <c r="B2" s="109" t="s">
        <v>91</v>
      </c>
      <c r="C2" s="109" t="s">
        <v>92</v>
      </c>
      <c r="D2" s="109" t="s">
        <v>93</v>
      </c>
      <c r="E2" s="109" t="s">
        <v>94</v>
      </c>
      <c r="F2" s="109" t="s">
        <v>78</v>
      </c>
      <c r="G2" s="109" t="s">
        <v>79</v>
      </c>
      <c r="H2" s="109" t="s">
        <v>59</v>
      </c>
      <c r="I2" s="109" t="s">
        <v>95</v>
      </c>
      <c r="J2" s="109" t="s">
        <v>96</v>
      </c>
      <c r="K2" s="109" t="s">
        <v>97</v>
      </c>
      <c r="L2" s="109" t="s">
        <v>80</v>
      </c>
      <c r="M2" s="260">
        <v>46201</v>
      </c>
      <c r="N2" s="260">
        <v>46202</v>
      </c>
      <c r="O2" s="260">
        <v>46203</v>
      </c>
      <c r="P2" s="260">
        <v>46204</v>
      </c>
      <c r="Q2" s="260">
        <v>46205</v>
      </c>
      <c r="R2" s="260">
        <v>46206</v>
      </c>
      <c r="S2" s="260">
        <v>46207</v>
      </c>
      <c r="T2" s="260">
        <v>46208</v>
      </c>
      <c r="U2" s="260">
        <v>46209</v>
      </c>
      <c r="V2" s="260">
        <v>46210</v>
      </c>
      <c r="W2" s="260">
        <v>46211</v>
      </c>
      <c r="X2" s="260">
        <v>46212</v>
      </c>
      <c r="Y2" s="260">
        <v>46213</v>
      </c>
      <c r="Z2" s="260">
        <v>46214</v>
      </c>
      <c r="AA2" s="260">
        <v>46215</v>
      </c>
      <c r="AB2" s="260">
        <v>46216</v>
      </c>
      <c r="AC2" s="260">
        <v>46217</v>
      </c>
      <c r="AD2" s="260">
        <v>46218</v>
      </c>
      <c r="AE2" s="260">
        <v>46219</v>
      </c>
      <c r="AF2" s="260">
        <v>46220</v>
      </c>
      <c r="AG2" s="260">
        <v>46221</v>
      </c>
      <c r="AH2" s="260">
        <v>46222</v>
      </c>
      <c r="AI2" s="260">
        <v>46223</v>
      </c>
      <c r="AJ2" s="260">
        <v>46224</v>
      </c>
      <c r="AK2" s="260">
        <v>46225</v>
      </c>
      <c r="AL2" s="260">
        <v>46226</v>
      </c>
      <c r="AM2" s="260">
        <v>46227</v>
      </c>
      <c r="AN2" s="260">
        <v>46228</v>
      </c>
      <c r="AO2" s="260">
        <v>46229</v>
      </c>
      <c r="AP2" s="260">
        <v>46230</v>
      </c>
      <c r="AQ2" s="260">
        <v>46231</v>
      </c>
      <c r="AR2" s="260">
        <v>46232</v>
      </c>
      <c r="AS2" s="260">
        <v>46233</v>
      </c>
      <c r="AT2" s="260">
        <v>46234</v>
      </c>
      <c r="AU2" s="260">
        <v>46235</v>
      </c>
      <c r="AV2" s="260">
        <v>46236</v>
      </c>
      <c r="AW2" s="260">
        <v>46237</v>
      </c>
      <c r="AX2" s="260">
        <v>46238</v>
      </c>
      <c r="AY2" s="260">
        <v>46239</v>
      </c>
      <c r="AZ2" s="260">
        <v>46240</v>
      </c>
      <c r="BA2" s="260">
        <v>46241</v>
      </c>
      <c r="BB2" s="260">
        <v>46242</v>
      </c>
      <c r="BC2" s="260">
        <v>46243</v>
      </c>
      <c r="BD2" s="260">
        <v>46244</v>
      </c>
      <c r="BE2" s="260">
        <v>46245</v>
      </c>
      <c r="BF2" s="260">
        <v>46246</v>
      </c>
      <c r="BG2" s="260">
        <v>46247</v>
      </c>
      <c r="BH2" s="260">
        <v>46248</v>
      </c>
      <c r="BI2" s="260">
        <v>46249</v>
      </c>
      <c r="BJ2" s="260">
        <v>46250</v>
      </c>
      <c r="BK2" s="260">
        <v>46251</v>
      </c>
      <c r="BL2" s="260">
        <v>46252</v>
      </c>
      <c r="BM2" s="260">
        <v>46253</v>
      </c>
      <c r="BN2" s="260">
        <v>46254</v>
      </c>
      <c r="BO2" s="260">
        <v>46255</v>
      </c>
      <c r="BP2" s="260">
        <v>46256</v>
      </c>
      <c r="BQ2" s="260">
        <v>46257</v>
      </c>
      <c r="BR2" s="260">
        <v>46258</v>
      </c>
      <c r="BS2" s="260">
        <v>46259</v>
      </c>
      <c r="BT2" s="260">
        <v>46260</v>
      </c>
      <c r="BU2" s="260">
        <v>46261</v>
      </c>
      <c r="BV2" s="260">
        <v>46262</v>
      </c>
      <c r="BW2" s="260">
        <v>46263</v>
      </c>
      <c r="BX2" s="260">
        <v>46264</v>
      </c>
      <c r="BY2" s="260">
        <v>46265</v>
      </c>
      <c r="BZ2" s="260">
        <v>46266</v>
      </c>
      <c r="CA2" s="260">
        <v>46267</v>
      </c>
      <c r="CB2" s="260">
        <v>46268</v>
      </c>
      <c r="CC2" s="260">
        <v>46269</v>
      </c>
      <c r="CD2" s="260">
        <v>46270</v>
      </c>
      <c r="CE2" s="260">
        <v>46271</v>
      </c>
      <c r="CF2" s="260">
        <v>46272</v>
      </c>
      <c r="CG2" s="260">
        <v>46273</v>
      </c>
      <c r="CH2" s="260">
        <v>46274</v>
      </c>
      <c r="CI2" s="260">
        <v>46275</v>
      </c>
      <c r="CJ2" s="260">
        <v>46276</v>
      </c>
      <c r="CK2" s="260">
        <v>46277</v>
      </c>
      <c r="CL2" s="260">
        <v>46278</v>
      </c>
      <c r="CM2" s="260">
        <v>46279</v>
      </c>
      <c r="CN2" s="260">
        <v>46280</v>
      </c>
      <c r="CO2" s="260">
        <v>46281</v>
      </c>
      <c r="CP2" s="260">
        <v>46282</v>
      </c>
      <c r="CQ2" s="260">
        <v>46283</v>
      </c>
      <c r="CR2" s="260">
        <v>46284</v>
      </c>
      <c r="CS2" s="260">
        <v>46285</v>
      </c>
      <c r="CT2" s="260">
        <v>46286</v>
      </c>
      <c r="CU2" s="260">
        <v>46287</v>
      </c>
      <c r="CV2" s="260">
        <v>46288</v>
      </c>
      <c r="CW2" s="260">
        <v>46289</v>
      </c>
    </row>
    <row r="3" spans="1:101">
      <c r="B3" s="8" t="s">
        <v>21</v>
      </c>
      <c r="C3" s="101">
        <v>48</v>
      </c>
      <c r="D3" s="102">
        <v>0</v>
      </c>
      <c r="E3" s="258">
        <f>C3-D3</f>
        <v>48</v>
      </c>
      <c r="F3" s="165" t="str">
        <f>'BESS 11'!D5</f>
        <v>28 Jun,
05 Jul</v>
      </c>
      <c r="G3" s="165" t="e">
        <f>F3+4</f>
        <v>#VALUE!</v>
      </c>
      <c r="H3" s="65" t="e">
        <f>G3-F3</f>
        <v>#VALUE!</v>
      </c>
      <c r="I3" s="96">
        <v>10</v>
      </c>
      <c r="J3" s="93">
        <v>1</v>
      </c>
      <c r="K3" s="94">
        <f>(E3*J3)/I3</f>
        <v>4.8</v>
      </c>
      <c r="L3" s="505" t="e">
        <f>AVERAGEIF(M3:Q5,"&gt;0")</f>
        <v>#DIV/0!</v>
      </c>
      <c r="M3" s="65" t="e">
        <f>IF(AND(M$2&gt;=$F3,M$2&lt;($F3+$H3)),ROUND($K3/$H3,0),"-")</f>
        <v>#VALUE!</v>
      </c>
      <c r="N3" s="65" t="e">
        <f t="shared" ref="N3:BA3" si="0">IF(AND(N$2&gt;=$F3,N$2&lt;($F3+$H3)),ROUND($K3/$H3,0),"-")</f>
        <v>#VALUE!</v>
      </c>
      <c r="O3" s="65" t="e">
        <f t="shared" si="0"/>
        <v>#VALUE!</v>
      </c>
      <c r="P3" s="65" t="e">
        <f t="shared" si="0"/>
        <v>#VALUE!</v>
      </c>
      <c r="Q3" s="65" t="e">
        <f t="shared" si="0"/>
        <v>#VALUE!</v>
      </c>
      <c r="R3" s="65" t="e">
        <f t="shared" si="0"/>
        <v>#VALUE!</v>
      </c>
      <c r="S3" s="65" t="e">
        <f t="shared" si="0"/>
        <v>#VALUE!</v>
      </c>
      <c r="T3" s="65" t="e">
        <f t="shared" si="0"/>
        <v>#VALUE!</v>
      </c>
      <c r="U3" s="65" t="e">
        <f t="shared" si="0"/>
        <v>#VALUE!</v>
      </c>
      <c r="V3" s="65" t="e">
        <f t="shared" si="0"/>
        <v>#VALUE!</v>
      </c>
      <c r="W3" s="65" t="e">
        <f t="shared" si="0"/>
        <v>#VALUE!</v>
      </c>
      <c r="X3" s="65" t="e">
        <f t="shared" si="0"/>
        <v>#VALUE!</v>
      </c>
      <c r="Y3" s="65" t="e">
        <f t="shared" si="0"/>
        <v>#VALUE!</v>
      </c>
      <c r="Z3" s="65" t="e">
        <f t="shared" si="0"/>
        <v>#VALUE!</v>
      </c>
      <c r="AA3" s="65" t="e">
        <f t="shared" si="0"/>
        <v>#VALUE!</v>
      </c>
      <c r="AB3" s="65" t="e">
        <f t="shared" si="0"/>
        <v>#VALUE!</v>
      </c>
      <c r="AC3" s="65" t="e">
        <f t="shared" si="0"/>
        <v>#VALUE!</v>
      </c>
      <c r="AD3" s="65" t="e">
        <f t="shared" si="0"/>
        <v>#VALUE!</v>
      </c>
      <c r="AE3" s="65" t="e">
        <f t="shared" si="0"/>
        <v>#VALUE!</v>
      </c>
      <c r="AF3" s="65" t="e">
        <f t="shared" si="0"/>
        <v>#VALUE!</v>
      </c>
      <c r="AG3" s="65" t="e">
        <f t="shared" si="0"/>
        <v>#VALUE!</v>
      </c>
      <c r="AH3" s="65" t="e">
        <f t="shared" si="0"/>
        <v>#VALUE!</v>
      </c>
      <c r="AI3" s="65" t="e">
        <f t="shared" si="0"/>
        <v>#VALUE!</v>
      </c>
      <c r="AJ3" s="65" t="e">
        <f t="shared" si="0"/>
        <v>#VALUE!</v>
      </c>
      <c r="AK3" s="65" t="e">
        <f t="shared" si="0"/>
        <v>#VALUE!</v>
      </c>
      <c r="AL3" s="65" t="e">
        <f t="shared" si="0"/>
        <v>#VALUE!</v>
      </c>
      <c r="AM3" s="65" t="e">
        <f t="shared" si="0"/>
        <v>#VALUE!</v>
      </c>
      <c r="AN3" s="65" t="e">
        <f t="shared" si="0"/>
        <v>#VALUE!</v>
      </c>
      <c r="AO3" s="65" t="e">
        <f t="shared" si="0"/>
        <v>#VALUE!</v>
      </c>
      <c r="AP3" s="65" t="e">
        <f t="shared" si="0"/>
        <v>#VALUE!</v>
      </c>
      <c r="AQ3" s="65" t="e">
        <f t="shared" si="0"/>
        <v>#VALUE!</v>
      </c>
      <c r="AR3" s="65" t="e">
        <f t="shared" si="0"/>
        <v>#VALUE!</v>
      </c>
      <c r="AS3" s="65" t="e">
        <f t="shared" si="0"/>
        <v>#VALUE!</v>
      </c>
      <c r="AT3" s="65" t="e">
        <f t="shared" si="0"/>
        <v>#VALUE!</v>
      </c>
      <c r="AU3" s="65" t="e">
        <f t="shared" si="0"/>
        <v>#VALUE!</v>
      </c>
      <c r="AV3" s="65" t="e">
        <f t="shared" si="0"/>
        <v>#VALUE!</v>
      </c>
      <c r="AW3" s="65" t="e">
        <f t="shared" si="0"/>
        <v>#VALUE!</v>
      </c>
      <c r="AX3" s="65" t="e">
        <f t="shared" si="0"/>
        <v>#VALUE!</v>
      </c>
      <c r="AY3" s="65" t="e">
        <f t="shared" si="0"/>
        <v>#VALUE!</v>
      </c>
      <c r="AZ3" s="65" t="e">
        <f t="shared" si="0"/>
        <v>#VALUE!</v>
      </c>
      <c r="BA3" s="65" t="e">
        <f t="shared" si="0"/>
        <v>#VALUE!</v>
      </c>
      <c r="BB3" s="260"/>
      <c r="BC3" s="260"/>
      <c r="BD3" s="260"/>
      <c r="BE3" s="260"/>
      <c r="BF3" s="260"/>
      <c r="BG3" s="260"/>
      <c r="BH3" s="260"/>
      <c r="BI3" s="260"/>
      <c r="BJ3" s="260"/>
      <c r="BK3" s="260"/>
      <c r="BL3" s="260"/>
      <c r="BM3" s="260"/>
      <c r="BN3" s="260"/>
      <c r="BO3" s="260"/>
      <c r="BP3" s="260"/>
      <c r="BQ3" s="260"/>
      <c r="BR3" s="260"/>
      <c r="BS3" s="260"/>
      <c r="BT3" s="260"/>
      <c r="BU3" s="260"/>
      <c r="BV3" s="260"/>
      <c r="BW3" s="260"/>
      <c r="BX3" s="260"/>
      <c r="BY3" s="260"/>
      <c r="BZ3" s="260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  <c r="CN3" s="260"/>
      <c r="CO3" s="260"/>
      <c r="CP3" s="260"/>
      <c r="CQ3" s="260"/>
      <c r="CR3" s="260"/>
      <c r="CS3" s="260"/>
      <c r="CT3" s="260"/>
      <c r="CU3" s="260"/>
      <c r="CV3" s="260"/>
      <c r="CW3" s="260"/>
    </row>
    <row r="4" spans="1:101">
      <c r="A4" t="s">
        <v>98</v>
      </c>
      <c r="B4" s="109" t="s">
        <v>99</v>
      </c>
      <c r="C4" s="101">
        <v>768</v>
      </c>
      <c r="D4" s="258">
        <f>SUM('[1]Electrical Work'!$G$446:$G$451)</f>
        <v>810</v>
      </c>
      <c r="E4" s="258">
        <f>C4-D4</f>
        <v>-42</v>
      </c>
      <c r="F4" s="162" t="str">
        <f>F3</f>
        <v>28 Jun,
05 Jul</v>
      </c>
      <c r="G4" s="162" t="e">
        <f>G3</f>
        <v>#VALUE!</v>
      </c>
      <c r="H4" s="65" t="e">
        <f>G4-F4</f>
        <v>#VALUE!</v>
      </c>
      <c r="I4" s="259">
        <v>40</v>
      </c>
      <c r="J4" s="259">
        <v>18</v>
      </c>
      <c r="K4" s="102">
        <f>(E4*J4)/I4</f>
        <v>-18.899999999999999</v>
      </c>
      <c r="L4" s="505"/>
      <c r="M4" s="65" t="e">
        <f>IF(AND(M$2&gt;=$F4,M$2&lt;($F4+$H4)),ROUND($K4/$H4,0),"-")</f>
        <v>#VALUE!</v>
      </c>
      <c r="N4" s="65" t="e">
        <f t="shared" ref="N4:AS4" si="1">IF(AND(N$2&gt;=$F4,N$2&lt;($F4+$H4)),ROUND($K4/$H4,0),"-")</f>
        <v>#VALUE!</v>
      </c>
      <c r="O4" s="65" t="e">
        <f t="shared" si="1"/>
        <v>#VALUE!</v>
      </c>
      <c r="P4" s="65" t="e">
        <f t="shared" si="1"/>
        <v>#VALUE!</v>
      </c>
      <c r="Q4" s="65" t="e">
        <f t="shared" si="1"/>
        <v>#VALUE!</v>
      </c>
      <c r="R4" s="65" t="e">
        <f t="shared" si="1"/>
        <v>#VALUE!</v>
      </c>
      <c r="S4" s="65" t="e">
        <f t="shared" si="1"/>
        <v>#VALUE!</v>
      </c>
      <c r="T4" s="65" t="e">
        <f t="shared" si="1"/>
        <v>#VALUE!</v>
      </c>
      <c r="U4" s="65" t="e">
        <f t="shared" si="1"/>
        <v>#VALUE!</v>
      </c>
      <c r="V4" s="65" t="e">
        <f t="shared" si="1"/>
        <v>#VALUE!</v>
      </c>
      <c r="W4" s="65" t="e">
        <f t="shared" si="1"/>
        <v>#VALUE!</v>
      </c>
      <c r="X4" s="65" t="e">
        <f t="shared" si="1"/>
        <v>#VALUE!</v>
      </c>
      <c r="Y4" s="65" t="e">
        <f t="shared" si="1"/>
        <v>#VALUE!</v>
      </c>
      <c r="Z4" s="65" t="e">
        <f t="shared" si="1"/>
        <v>#VALUE!</v>
      </c>
      <c r="AA4" s="65" t="e">
        <f t="shared" si="1"/>
        <v>#VALUE!</v>
      </c>
      <c r="AB4" s="65" t="e">
        <f t="shared" si="1"/>
        <v>#VALUE!</v>
      </c>
      <c r="AC4" s="65" t="e">
        <f t="shared" si="1"/>
        <v>#VALUE!</v>
      </c>
      <c r="AD4" s="65" t="e">
        <f t="shared" si="1"/>
        <v>#VALUE!</v>
      </c>
      <c r="AE4" s="65" t="e">
        <f t="shared" si="1"/>
        <v>#VALUE!</v>
      </c>
      <c r="AF4" s="65" t="e">
        <f t="shared" si="1"/>
        <v>#VALUE!</v>
      </c>
      <c r="AG4" s="65" t="e">
        <f t="shared" si="1"/>
        <v>#VALUE!</v>
      </c>
      <c r="AH4" s="65" t="e">
        <f t="shared" si="1"/>
        <v>#VALUE!</v>
      </c>
      <c r="AI4" s="65" t="e">
        <f t="shared" si="1"/>
        <v>#VALUE!</v>
      </c>
      <c r="AJ4" s="65" t="e">
        <f t="shared" si="1"/>
        <v>#VALUE!</v>
      </c>
      <c r="AK4" s="65" t="e">
        <f t="shared" si="1"/>
        <v>#VALUE!</v>
      </c>
      <c r="AL4" s="65" t="e">
        <f t="shared" si="1"/>
        <v>#VALUE!</v>
      </c>
      <c r="AM4" s="65" t="e">
        <f t="shared" si="1"/>
        <v>#VALUE!</v>
      </c>
      <c r="AN4" s="65" t="e">
        <f t="shared" si="1"/>
        <v>#VALUE!</v>
      </c>
      <c r="AO4" s="65" t="e">
        <f t="shared" si="1"/>
        <v>#VALUE!</v>
      </c>
      <c r="AP4" s="65" t="e">
        <f t="shared" si="1"/>
        <v>#VALUE!</v>
      </c>
      <c r="AQ4" s="65" t="e">
        <f t="shared" si="1"/>
        <v>#VALUE!</v>
      </c>
      <c r="AR4" s="65" t="e">
        <f t="shared" si="1"/>
        <v>#VALUE!</v>
      </c>
      <c r="AS4" s="65" t="e">
        <f t="shared" si="1"/>
        <v>#VALUE!</v>
      </c>
      <c r="AT4" s="65" t="e">
        <f t="shared" ref="AT4:BY4" si="2">IF(AND(AT$2&gt;=$F4,AT$2&lt;($F4+$H4)),ROUND($K4/$H4,0),"-")</f>
        <v>#VALUE!</v>
      </c>
      <c r="AU4" s="65" t="e">
        <f t="shared" si="2"/>
        <v>#VALUE!</v>
      </c>
      <c r="AV4" s="65" t="e">
        <f t="shared" si="2"/>
        <v>#VALUE!</v>
      </c>
      <c r="AW4" s="65" t="e">
        <f t="shared" si="2"/>
        <v>#VALUE!</v>
      </c>
      <c r="AX4" s="65" t="e">
        <f t="shared" si="2"/>
        <v>#VALUE!</v>
      </c>
      <c r="AY4" s="65" t="e">
        <f t="shared" si="2"/>
        <v>#VALUE!</v>
      </c>
      <c r="AZ4" s="65" t="e">
        <f t="shared" si="2"/>
        <v>#VALUE!</v>
      </c>
      <c r="BA4" s="65" t="e">
        <f t="shared" si="2"/>
        <v>#VALUE!</v>
      </c>
      <c r="BB4" s="65" t="e">
        <f t="shared" si="2"/>
        <v>#VALUE!</v>
      </c>
      <c r="BC4" s="65" t="e">
        <f t="shared" si="2"/>
        <v>#VALUE!</v>
      </c>
      <c r="BD4" s="65" t="e">
        <f t="shared" si="2"/>
        <v>#VALUE!</v>
      </c>
      <c r="BE4" s="65" t="e">
        <f t="shared" si="2"/>
        <v>#VALUE!</v>
      </c>
      <c r="BF4" s="65" t="e">
        <f t="shared" si="2"/>
        <v>#VALUE!</v>
      </c>
      <c r="BG4" s="65" t="e">
        <f t="shared" si="2"/>
        <v>#VALUE!</v>
      </c>
      <c r="BH4" s="65" t="e">
        <f t="shared" si="2"/>
        <v>#VALUE!</v>
      </c>
      <c r="BI4" s="65" t="e">
        <f t="shared" si="2"/>
        <v>#VALUE!</v>
      </c>
      <c r="BJ4" s="65" t="e">
        <f t="shared" si="2"/>
        <v>#VALUE!</v>
      </c>
      <c r="BK4" s="65" t="e">
        <f t="shared" si="2"/>
        <v>#VALUE!</v>
      </c>
      <c r="BL4" s="65" t="e">
        <f t="shared" si="2"/>
        <v>#VALUE!</v>
      </c>
      <c r="BM4" s="65" t="e">
        <f t="shared" si="2"/>
        <v>#VALUE!</v>
      </c>
      <c r="BN4" s="65" t="e">
        <f t="shared" si="2"/>
        <v>#VALUE!</v>
      </c>
      <c r="BO4" s="65" t="e">
        <f t="shared" si="2"/>
        <v>#VALUE!</v>
      </c>
      <c r="BP4" s="65" t="e">
        <f t="shared" si="2"/>
        <v>#VALUE!</v>
      </c>
      <c r="BQ4" s="65" t="e">
        <f t="shared" si="2"/>
        <v>#VALUE!</v>
      </c>
      <c r="BR4" s="65" t="e">
        <f t="shared" si="2"/>
        <v>#VALUE!</v>
      </c>
      <c r="BS4" s="65" t="e">
        <f t="shared" si="2"/>
        <v>#VALUE!</v>
      </c>
      <c r="BT4" s="65" t="e">
        <f t="shared" si="2"/>
        <v>#VALUE!</v>
      </c>
      <c r="BU4" s="65" t="e">
        <f t="shared" si="2"/>
        <v>#VALUE!</v>
      </c>
      <c r="BV4" s="65" t="e">
        <f t="shared" si="2"/>
        <v>#VALUE!</v>
      </c>
      <c r="BW4" s="65" t="e">
        <f t="shared" si="2"/>
        <v>#VALUE!</v>
      </c>
      <c r="BX4" s="65" t="e">
        <f t="shared" si="2"/>
        <v>#VALUE!</v>
      </c>
      <c r="BY4" s="65" t="e">
        <f t="shared" si="2"/>
        <v>#VALUE!</v>
      </c>
      <c r="BZ4" s="65" t="e">
        <f t="shared" ref="BZ4:CW4" si="3">IF(AND(BZ$2&gt;=$F4,BZ$2&lt;($F4+$H4)),ROUND($K4/$H4,0),"-")</f>
        <v>#VALUE!</v>
      </c>
      <c r="CA4" s="65" t="e">
        <f t="shared" si="3"/>
        <v>#VALUE!</v>
      </c>
      <c r="CB4" s="65" t="e">
        <f t="shared" si="3"/>
        <v>#VALUE!</v>
      </c>
      <c r="CC4" s="65" t="e">
        <f t="shared" si="3"/>
        <v>#VALUE!</v>
      </c>
      <c r="CD4" s="65" t="e">
        <f t="shared" si="3"/>
        <v>#VALUE!</v>
      </c>
      <c r="CE4" s="65" t="e">
        <f t="shared" si="3"/>
        <v>#VALUE!</v>
      </c>
      <c r="CF4" s="65" t="e">
        <f t="shared" si="3"/>
        <v>#VALUE!</v>
      </c>
      <c r="CG4" s="65" t="e">
        <f t="shared" si="3"/>
        <v>#VALUE!</v>
      </c>
      <c r="CH4" s="65" t="e">
        <f t="shared" si="3"/>
        <v>#VALUE!</v>
      </c>
      <c r="CI4" s="65" t="e">
        <f t="shared" si="3"/>
        <v>#VALUE!</v>
      </c>
      <c r="CJ4" s="65" t="e">
        <f t="shared" si="3"/>
        <v>#VALUE!</v>
      </c>
      <c r="CK4" s="65" t="e">
        <f t="shared" si="3"/>
        <v>#VALUE!</v>
      </c>
      <c r="CL4" s="65" t="e">
        <f t="shared" si="3"/>
        <v>#VALUE!</v>
      </c>
      <c r="CM4" s="65" t="e">
        <f t="shared" si="3"/>
        <v>#VALUE!</v>
      </c>
      <c r="CN4" s="65" t="e">
        <f t="shared" si="3"/>
        <v>#VALUE!</v>
      </c>
      <c r="CO4" s="65" t="e">
        <f t="shared" si="3"/>
        <v>#VALUE!</v>
      </c>
      <c r="CP4" s="65" t="e">
        <f t="shared" si="3"/>
        <v>#VALUE!</v>
      </c>
      <c r="CQ4" s="65" t="e">
        <f t="shared" si="3"/>
        <v>#VALUE!</v>
      </c>
      <c r="CR4" s="65" t="e">
        <f t="shared" si="3"/>
        <v>#VALUE!</v>
      </c>
      <c r="CS4" s="65" t="e">
        <f t="shared" si="3"/>
        <v>#VALUE!</v>
      </c>
      <c r="CT4" s="65" t="e">
        <f t="shared" si="3"/>
        <v>#VALUE!</v>
      </c>
      <c r="CU4" s="65" t="e">
        <f t="shared" si="3"/>
        <v>#VALUE!</v>
      </c>
      <c r="CV4" s="65" t="e">
        <f t="shared" si="3"/>
        <v>#VALUE!</v>
      </c>
      <c r="CW4" s="65" t="e">
        <f t="shared" si="3"/>
        <v>#VALUE!</v>
      </c>
    </row>
    <row r="5" spans="1:101">
      <c r="B5" s="109" t="s">
        <v>100</v>
      </c>
      <c r="C5" s="101">
        <v>1344</v>
      </c>
      <c r="D5" s="101">
        <v>0</v>
      </c>
      <c r="E5" s="258">
        <f>C5-D5</f>
        <v>1344</v>
      </c>
      <c r="F5" s="162" t="str">
        <f>F4</f>
        <v>28 Jun,
05 Jul</v>
      </c>
      <c r="G5" s="162" t="e">
        <f>G4</f>
        <v>#VALUE!</v>
      </c>
      <c r="H5" s="65" t="e">
        <f t="shared" ref="H5" si="4">H4</f>
        <v>#VALUE!</v>
      </c>
      <c r="I5" s="101">
        <v>40</v>
      </c>
      <c r="J5" s="101">
        <v>6</v>
      </c>
      <c r="K5" s="102">
        <f>(E5*J5)/I5</f>
        <v>201.6</v>
      </c>
      <c r="L5" s="505"/>
      <c r="M5" s="65" t="e">
        <f>IF(AND(M$2&gt;=$F5,M$2&lt;($F5+$H5)),ROUND($K5/$H5,0),"-")</f>
        <v>#VALUE!</v>
      </c>
      <c r="N5" s="65" t="e">
        <f t="shared" ref="N5:AA5" si="5">IF(AND(N$2&gt;=$F5,N$2&lt;($F5+$H5)),ROUND($K5/$H5,0),"-")</f>
        <v>#VALUE!</v>
      </c>
      <c r="O5" s="65" t="e">
        <f t="shared" si="5"/>
        <v>#VALUE!</v>
      </c>
      <c r="P5" s="65" t="e">
        <f t="shared" si="5"/>
        <v>#VALUE!</v>
      </c>
      <c r="Q5" s="65" t="e">
        <f t="shared" si="5"/>
        <v>#VALUE!</v>
      </c>
      <c r="R5" s="65" t="e">
        <f t="shared" si="5"/>
        <v>#VALUE!</v>
      </c>
      <c r="S5" s="65" t="e">
        <f t="shared" si="5"/>
        <v>#VALUE!</v>
      </c>
      <c r="T5" s="65" t="e">
        <f t="shared" si="5"/>
        <v>#VALUE!</v>
      </c>
      <c r="U5" s="65" t="e">
        <f t="shared" si="5"/>
        <v>#VALUE!</v>
      </c>
      <c r="V5" s="65" t="e">
        <f t="shared" si="5"/>
        <v>#VALUE!</v>
      </c>
      <c r="W5" s="65" t="e">
        <f t="shared" si="5"/>
        <v>#VALUE!</v>
      </c>
      <c r="X5" s="65" t="e">
        <f t="shared" si="5"/>
        <v>#VALUE!</v>
      </c>
      <c r="Y5" s="65" t="e">
        <f t="shared" si="5"/>
        <v>#VALUE!</v>
      </c>
      <c r="Z5" s="65" t="e">
        <f t="shared" si="5"/>
        <v>#VALUE!</v>
      </c>
      <c r="AA5" s="65" t="e">
        <f t="shared" si="5"/>
        <v>#VALUE!</v>
      </c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9"/>
      <c r="CK5" s="109"/>
      <c r="CL5" s="109"/>
      <c r="CM5" s="109"/>
      <c r="CN5" s="109"/>
      <c r="CO5" s="109"/>
      <c r="CP5" s="109"/>
      <c r="CQ5" s="109"/>
      <c r="CR5" s="109"/>
      <c r="CS5" s="109"/>
      <c r="CT5" s="109"/>
      <c r="CU5" s="109"/>
      <c r="CV5" s="109"/>
      <c r="CW5" s="109"/>
    </row>
    <row r="7" spans="1:101">
      <c r="B7" s="109" t="s">
        <v>91</v>
      </c>
      <c r="C7" s="109" t="s">
        <v>92</v>
      </c>
      <c r="D7" s="109" t="s">
        <v>93</v>
      </c>
      <c r="E7" s="109" t="s">
        <v>94</v>
      </c>
      <c r="F7" s="109" t="s">
        <v>78</v>
      </c>
      <c r="G7" s="109" t="s">
        <v>79</v>
      </c>
      <c r="H7" s="109" t="s">
        <v>59</v>
      </c>
      <c r="I7" s="109" t="s">
        <v>95</v>
      </c>
      <c r="J7" s="109" t="s">
        <v>96</v>
      </c>
      <c r="K7" s="109" t="s">
        <v>97</v>
      </c>
      <c r="L7" s="109" t="s">
        <v>80</v>
      </c>
      <c r="M7" s="260">
        <v>46201</v>
      </c>
      <c r="N7" s="260">
        <v>46202</v>
      </c>
      <c r="O7" s="260">
        <v>46203</v>
      </c>
      <c r="P7" s="260">
        <v>46204</v>
      </c>
      <c r="Q7" s="260">
        <v>46205</v>
      </c>
      <c r="R7" s="260">
        <v>46206</v>
      </c>
      <c r="S7" s="260">
        <v>46207</v>
      </c>
      <c r="T7" s="260">
        <v>46208</v>
      </c>
      <c r="U7" s="260">
        <v>46209</v>
      </c>
      <c r="V7" s="260">
        <v>46210</v>
      </c>
      <c r="W7" s="260">
        <v>46211</v>
      </c>
      <c r="X7" s="260">
        <v>46212</v>
      </c>
      <c r="Y7" s="260">
        <v>46213</v>
      </c>
      <c r="Z7" s="260">
        <v>46214</v>
      </c>
      <c r="AA7" s="260">
        <v>46215</v>
      </c>
      <c r="AB7" s="260">
        <v>46216</v>
      </c>
      <c r="AC7" s="260">
        <v>46217</v>
      </c>
      <c r="AD7" s="260">
        <v>46218</v>
      </c>
      <c r="AE7" s="260">
        <v>46219</v>
      </c>
      <c r="AF7" s="260">
        <v>46220</v>
      </c>
      <c r="AG7" s="260">
        <v>46221</v>
      </c>
      <c r="AH7" s="260">
        <v>46222</v>
      </c>
      <c r="AI7" s="260">
        <v>46223</v>
      </c>
      <c r="AJ7" s="260">
        <v>46224</v>
      </c>
      <c r="AK7" s="260">
        <v>46225</v>
      </c>
      <c r="AL7" s="260">
        <v>46226</v>
      </c>
      <c r="AM7" s="260">
        <v>46227</v>
      </c>
      <c r="AN7" s="260">
        <v>46228</v>
      </c>
      <c r="AO7" s="260">
        <v>46229</v>
      </c>
      <c r="AP7" s="260">
        <v>46230</v>
      </c>
      <c r="AQ7" s="260">
        <v>46231</v>
      </c>
      <c r="AR7" s="260">
        <v>46232</v>
      </c>
      <c r="AS7" s="260">
        <v>46233</v>
      </c>
      <c r="AT7" s="260">
        <v>46234</v>
      </c>
      <c r="AU7" s="260">
        <v>46235</v>
      </c>
      <c r="AV7" s="260">
        <v>46236</v>
      </c>
      <c r="AW7" s="260">
        <v>46237</v>
      </c>
      <c r="AX7" s="260">
        <v>46238</v>
      </c>
      <c r="AY7" s="260">
        <v>46239</v>
      </c>
      <c r="AZ7" s="260">
        <v>46240</v>
      </c>
      <c r="BA7" s="260">
        <v>46241</v>
      </c>
      <c r="BB7" s="260">
        <v>46242</v>
      </c>
      <c r="BC7" s="260">
        <v>46243</v>
      </c>
      <c r="BD7" s="260">
        <v>46244</v>
      </c>
      <c r="BE7" s="260">
        <v>46245</v>
      </c>
      <c r="BF7" s="260">
        <v>46246</v>
      </c>
      <c r="BG7" s="260">
        <v>46247</v>
      </c>
      <c r="BH7" s="260">
        <v>46248</v>
      </c>
      <c r="BI7" s="260">
        <v>46249</v>
      </c>
      <c r="BJ7" s="260">
        <v>46250</v>
      </c>
      <c r="BK7" s="260">
        <v>46251</v>
      </c>
      <c r="BL7" s="260">
        <v>46252</v>
      </c>
      <c r="BM7" s="260">
        <v>46253</v>
      </c>
      <c r="BN7" s="260">
        <v>46254</v>
      </c>
      <c r="BO7" s="260">
        <v>46255</v>
      </c>
      <c r="BP7" s="260">
        <v>46256</v>
      </c>
      <c r="BQ7" s="260">
        <v>46257</v>
      </c>
      <c r="BR7" s="260">
        <v>46258</v>
      </c>
      <c r="BS7" s="260">
        <v>46259</v>
      </c>
      <c r="BT7" s="260">
        <v>46260</v>
      </c>
      <c r="BU7" s="260">
        <v>46261</v>
      </c>
      <c r="BV7" s="260">
        <v>46262</v>
      </c>
      <c r="BW7" s="260">
        <v>46263</v>
      </c>
      <c r="BX7" s="260">
        <v>46264</v>
      </c>
      <c r="BY7" s="260">
        <v>46265</v>
      </c>
      <c r="BZ7" s="260">
        <v>46266</v>
      </c>
      <c r="CA7" s="260">
        <v>46267</v>
      </c>
      <c r="CB7" s="260">
        <v>46268</v>
      </c>
      <c r="CC7" s="260">
        <v>46269</v>
      </c>
      <c r="CD7" s="260">
        <v>46270</v>
      </c>
      <c r="CE7" s="260">
        <v>46271</v>
      </c>
      <c r="CF7" s="260">
        <v>46272</v>
      </c>
      <c r="CG7" s="260">
        <v>46273</v>
      </c>
      <c r="CH7" s="260">
        <v>46274</v>
      </c>
      <c r="CI7" s="260">
        <v>46275</v>
      </c>
      <c r="CJ7" s="260">
        <v>46276</v>
      </c>
      <c r="CK7" s="260">
        <v>46277</v>
      </c>
      <c r="CL7" s="260">
        <v>46278</v>
      </c>
      <c r="CM7" s="260">
        <v>46279</v>
      </c>
      <c r="CN7" s="260">
        <v>46280</v>
      </c>
      <c r="CO7" s="260">
        <v>46281</v>
      </c>
      <c r="CP7" s="260">
        <v>46282</v>
      </c>
      <c r="CQ7" s="260">
        <v>46283</v>
      </c>
      <c r="CR7" s="260">
        <v>46284</v>
      </c>
      <c r="CS7" s="260">
        <v>46285</v>
      </c>
      <c r="CT7" s="260">
        <v>46286</v>
      </c>
      <c r="CU7" s="260">
        <v>46287</v>
      </c>
      <c r="CV7" s="260">
        <v>46288</v>
      </c>
      <c r="CW7" s="260">
        <v>46289</v>
      </c>
    </row>
    <row r="8" spans="1:101" ht="12.75" customHeight="1">
      <c r="A8" t="s">
        <v>101</v>
      </c>
      <c r="B8" s="138" t="s">
        <v>21</v>
      </c>
      <c r="C8" s="101">
        <v>48</v>
      </c>
      <c r="D8" s="102">
        <v>0</v>
      </c>
      <c r="E8" s="258">
        <f>C8-D8</f>
        <v>48</v>
      </c>
      <c r="F8" s="165" t="str">
        <f>'BESS 11'!D50</f>
        <v>04 Jul,
08 Jul,
13 Jul</v>
      </c>
      <c r="G8" s="165" t="e">
        <f>F8+4</f>
        <v>#VALUE!</v>
      </c>
      <c r="H8" s="65" t="e">
        <f>G8-F8</f>
        <v>#VALUE!</v>
      </c>
      <c r="I8" s="96">
        <v>10</v>
      </c>
      <c r="J8" s="93">
        <v>1</v>
      </c>
      <c r="K8" s="94">
        <f>(E8*J8)/I8</f>
        <v>4.8</v>
      </c>
      <c r="L8" s="505" t="e">
        <f>AVERAGEIF(M8:CW10,"&gt;0")</f>
        <v>#DIV/0!</v>
      </c>
      <c r="M8" s="65" t="e">
        <f t="shared" ref="M8:V9" si="6">IF(AND(M$2&gt;=$F8,M$2&lt;($F8+$H8)),ROUND($K8/$H8,0),"-")</f>
        <v>#VALUE!</v>
      </c>
      <c r="N8" s="65" t="e">
        <f t="shared" si="6"/>
        <v>#VALUE!</v>
      </c>
      <c r="O8" s="65" t="e">
        <f t="shared" si="6"/>
        <v>#VALUE!</v>
      </c>
      <c r="P8" s="65" t="e">
        <f t="shared" si="6"/>
        <v>#VALUE!</v>
      </c>
      <c r="Q8" s="65" t="e">
        <f t="shared" si="6"/>
        <v>#VALUE!</v>
      </c>
      <c r="R8" s="65" t="e">
        <f t="shared" si="6"/>
        <v>#VALUE!</v>
      </c>
      <c r="S8" s="65" t="e">
        <f t="shared" si="6"/>
        <v>#VALUE!</v>
      </c>
      <c r="T8" s="65" t="e">
        <f t="shared" si="6"/>
        <v>#VALUE!</v>
      </c>
      <c r="U8" s="65" t="e">
        <f t="shared" si="6"/>
        <v>#VALUE!</v>
      </c>
      <c r="V8" s="65" t="e">
        <f t="shared" si="6"/>
        <v>#VALUE!</v>
      </c>
      <c r="W8" s="65" t="e">
        <f t="shared" ref="W8:AF9" si="7">IF(AND(W$2&gt;=$F8,W$2&lt;($F8+$H8)),ROUND($K8/$H8,0),"-")</f>
        <v>#VALUE!</v>
      </c>
      <c r="X8" s="65" t="e">
        <f t="shared" si="7"/>
        <v>#VALUE!</v>
      </c>
      <c r="Y8" s="65" t="e">
        <f t="shared" si="7"/>
        <v>#VALUE!</v>
      </c>
      <c r="Z8" s="65" t="e">
        <f t="shared" si="7"/>
        <v>#VALUE!</v>
      </c>
      <c r="AA8" s="65" t="e">
        <f t="shared" si="7"/>
        <v>#VALUE!</v>
      </c>
      <c r="AB8" s="65" t="e">
        <f t="shared" si="7"/>
        <v>#VALUE!</v>
      </c>
      <c r="AC8" s="65" t="e">
        <f t="shared" si="7"/>
        <v>#VALUE!</v>
      </c>
      <c r="AD8" s="65" t="e">
        <f t="shared" si="7"/>
        <v>#VALUE!</v>
      </c>
      <c r="AE8" s="65" t="e">
        <f t="shared" si="7"/>
        <v>#VALUE!</v>
      </c>
      <c r="AF8" s="65" t="e">
        <f t="shared" si="7"/>
        <v>#VALUE!</v>
      </c>
      <c r="AG8" s="65" t="e">
        <f t="shared" ref="AG8:AP9" si="8">IF(AND(AG$2&gt;=$F8,AG$2&lt;($F8+$H8)),ROUND($K8/$H8,0),"-")</f>
        <v>#VALUE!</v>
      </c>
      <c r="AH8" s="65" t="e">
        <f t="shared" si="8"/>
        <v>#VALUE!</v>
      </c>
      <c r="AI8" s="65" t="e">
        <f t="shared" si="8"/>
        <v>#VALUE!</v>
      </c>
      <c r="AJ8" s="65" t="e">
        <f t="shared" si="8"/>
        <v>#VALUE!</v>
      </c>
      <c r="AK8" s="65" t="e">
        <f t="shared" si="8"/>
        <v>#VALUE!</v>
      </c>
      <c r="AL8" s="65" t="e">
        <f t="shared" si="8"/>
        <v>#VALUE!</v>
      </c>
      <c r="AM8" s="65" t="e">
        <f t="shared" si="8"/>
        <v>#VALUE!</v>
      </c>
      <c r="AN8" s="65" t="e">
        <f t="shared" si="8"/>
        <v>#VALUE!</v>
      </c>
      <c r="AO8" s="65" t="e">
        <f t="shared" si="8"/>
        <v>#VALUE!</v>
      </c>
      <c r="AP8" s="65" t="e">
        <f t="shared" si="8"/>
        <v>#VALUE!</v>
      </c>
      <c r="AQ8" s="65" t="e">
        <f t="shared" ref="AQ8:BA9" si="9">IF(AND(AQ$2&gt;=$F8,AQ$2&lt;($F8+$H8)),ROUND($K8/$H8,0),"-")</f>
        <v>#VALUE!</v>
      </c>
      <c r="AR8" s="65" t="e">
        <f t="shared" si="9"/>
        <v>#VALUE!</v>
      </c>
      <c r="AS8" s="65" t="e">
        <f t="shared" si="9"/>
        <v>#VALUE!</v>
      </c>
      <c r="AT8" s="65" t="e">
        <f t="shared" si="9"/>
        <v>#VALUE!</v>
      </c>
      <c r="AU8" s="65" t="e">
        <f t="shared" si="9"/>
        <v>#VALUE!</v>
      </c>
      <c r="AV8" s="65" t="e">
        <f t="shared" si="9"/>
        <v>#VALUE!</v>
      </c>
      <c r="AW8" s="65" t="e">
        <f t="shared" si="9"/>
        <v>#VALUE!</v>
      </c>
      <c r="AX8" s="65" t="e">
        <f t="shared" si="9"/>
        <v>#VALUE!</v>
      </c>
      <c r="AY8" s="65" t="e">
        <f t="shared" si="9"/>
        <v>#VALUE!</v>
      </c>
      <c r="AZ8" s="65" t="e">
        <f t="shared" si="9"/>
        <v>#VALUE!</v>
      </c>
      <c r="BA8" s="65" t="e">
        <f t="shared" si="9"/>
        <v>#VALUE!</v>
      </c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  <c r="BP8" s="260"/>
      <c r="BQ8" s="260"/>
      <c r="BR8" s="260"/>
      <c r="BS8" s="260"/>
      <c r="BT8" s="260"/>
      <c r="BU8" s="260"/>
      <c r="BV8" s="260"/>
      <c r="BW8" s="260"/>
      <c r="BX8" s="260"/>
      <c r="BY8" s="260"/>
      <c r="BZ8" s="260"/>
      <c r="CA8" s="260"/>
      <c r="CB8" s="260"/>
      <c r="CC8" s="260"/>
      <c r="CD8" s="260"/>
      <c r="CE8" s="260"/>
      <c r="CF8" s="260"/>
      <c r="CG8" s="260"/>
      <c r="CH8" s="260"/>
      <c r="CI8" s="260"/>
      <c r="CJ8" s="260"/>
      <c r="CK8" s="260"/>
      <c r="CL8" s="260"/>
      <c r="CM8" s="260"/>
      <c r="CN8" s="260"/>
      <c r="CO8" s="260"/>
      <c r="CP8" s="260"/>
      <c r="CQ8" s="260"/>
      <c r="CR8" s="260"/>
      <c r="CS8" s="260"/>
      <c r="CT8" s="260"/>
      <c r="CU8" s="260"/>
      <c r="CV8" s="260"/>
      <c r="CW8" s="260"/>
    </row>
    <row r="9" spans="1:101" ht="12.75" customHeight="1">
      <c r="B9" s="109" t="s">
        <v>99</v>
      </c>
      <c r="C9" s="101">
        <v>768</v>
      </c>
      <c r="D9" s="258">
        <f>SUM('[1]Electrical Work'!$G$446:$G$451)</f>
        <v>810</v>
      </c>
      <c r="E9" s="258">
        <f>C9-D9</f>
        <v>-42</v>
      </c>
      <c r="F9" s="162" t="str">
        <f>F8</f>
        <v>04 Jul,
08 Jul,
13 Jul</v>
      </c>
      <c r="G9" s="162" t="e">
        <f>G8</f>
        <v>#VALUE!</v>
      </c>
      <c r="H9" s="65" t="e">
        <f>G9-F9</f>
        <v>#VALUE!</v>
      </c>
      <c r="I9" s="259">
        <v>30</v>
      </c>
      <c r="J9" s="259">
        <v>18</v>
      </c>
      <c r="K9" s="102">
        <f>(E9*J9)/I9</f>
        <v>-25.2</v>
      </c>
      <c r="L9" s="505"/>
      <c r="M9" s="65" t="e">
        <f t="shared" si="6"/>
        <v>#VALUE!</v>
      </c>
      <c r="N9" s="65" t="e">
        <f t="shared" si="6"/>
        <v>#VALUE!</v>
      </c>
      <c r="O9" s="65" t="e">
        <f t="shared" si="6"/>
        <v>#VALUE!</v>
      </c>
      <c r="P9" s="65" t="e">
        <f t="shared" si="6"/>
        <v>#VALUE!</v>
      </c>
      <c r="Q9" s="65" t="e">
        <f t="shared" si="6"/>
        <v>#VALUE!</v>
      </c>
      <c r="R9" s="65" t="e">
        <f t="shared" si="6"/>
        <v>#VALUE!</v>
      </c>
      <c r="S9" s="65" t="e">
        <f t="shared" si="6"/>
        <v>#VALUE!</v>
      </c>
      <c r="T9" s="65" t="e">
        <f t="shared" si="6"/>
        <v>#VALUE!</v>
      </c>
      <c r="U9" s="65" t="e">
        <f t="shared" si="6"/>
        <v>#VALUE!</v>
      </c>
      <c r="V9" s="65" t="e">
        <f t="shared" si="6"/>
        <v>#VALUE!</v>
      </c>
      <c r="W9" s="65" t="e">
        <f t="shared" si="7"/>
        <v>#VALUE!</v>
      </c>
      <c r="X9" s="65" t="e">
        <f t="shared" si="7"/>
        <v>#VALUE!</v>
      </c>
      <c r="Y9" s="65" t="e">
        <f t="shared" si="7"/>
        <v>#VALUE!</v>
      </c>
      <c r="Z9" s="65" t="e">
        <f t="shared" si="7"/>
        <v>#VALUE!</v>
      </c>
      <c r="AA9" s="65" t="e">
        <f t="shared" si="7"/>
        <v>#VALUE!</v>
      </c>
      <c r="AB9" s="65" t="e">
        <f t="shared" si="7"/>
        <v>#VALUE!</v>
      </c>
      <c r="AC9" s="65" t="e">
        <f t="shared" si="7"/>
        <v>#VALUE!</v>
      </c>
      <c r="AD9" s="65" t="e">
        <f t="shared" si="7"/>
        <v>#VALUE!</v>
      </c>
      <c r="AE9" s="65" t="e">
        <f t="shared" si="7"/>
        <v>#VALUE!</v>
      </c>
      <c r="AF9" s="65" t="e">
        <f t="shared" si="7"/>
        <v>#VALUE!</v>
      </c>
      <c r="AG9" s="65" t="e">
        <f t="shared" si="8"/>
        <v>#VALUE!</v>
      </c>
      <c r="AH9" s="65" t="e">
        <f t="shared" si="8"/>
        <v>#VALUE!</v>
      </c>
      <c r="AI9" s="65" t="e">
        <f t="shared" si="8"/>
        <v>#VALUE!</v>
      </c>
      <c r="AJ9" s="65" t="e">
        <f t="shared" si="8"/>
        <v>#VALUE!</v>
      </c>
      <c r="AK9" s="65" t="e">
        <f t="shared" si="8"/>
        <v>#VALUE!</v>
      </c>
      <c r="AL9" s="65" t="e">
        <f t="shared" si="8"/>
        <v>#VALUE!</v>
      </c>
      <c r="AM9" s="65" t="e">
        <f t="shared" si="8"/>
        <v>#VALUE!</v>
      </c>
      <c r="AN9" s="65" t="e">
        <f t="shared" si="8"/>
        <v>#VALUE!</v>
      </c>
      <c r="AO9" s="65" t="e">
        <f t="shared" si="8"/>
        <v>#VALUE!</v>
      </c>
      <c r="AP9" s="65" t="e">
        <f t="shared" si="8"/>
        <v>#VALUE!</v>
      </c>
      <c r="AQ9" s="65" t="e">
        <f t="shared" si="9"/>
        <v>#VALUE!</v>
      </c>
      <c r="AR9" s="65" t="e">
        <f t="shared" si="9"/>
        <v>#VALUE!</v>
      </c>
      <c r="AS9" s="65" t="e">
        <f t="shared" si="9"/>
        <v>#VALUE!</v>
      </c>
      <c r="AT9" s="65" t="e">
        <f t="shared" si="9"/>
        <v>#VALUE!</v>
      </c>
      <c r="AU9" s="65" t="e">
        <f t="shared" si="9"/>
        <v>#VALUE!</v>
      </c>
      <c r="AV9" s="65" t="e">
        <f t="shared" si="9"/>
        <v>#VALUE!</v>
      </c>
      <c r="AW9" s="65" t="e">
        <f t="shared" si="9"/>
        <v>#VALUE!</v>
      </c>
      <c r="AX9" s="65" t="e">
        <f t="shared" si="9"/>
        <v>#VALUE!</v>
      </c>
      <c r="AY9" s="65" t="e">
        <f t="shared" si="9"/>
        <v>#VALUE!</v>
      </c>
      <c r="AZ9" s="65" t="e">
        <f t="shared" si="9"/>
        <v>#VALUE!</v>
      </c>
      <c r="BA9" s="65" t="e">
        <f t="shared" si="9"/>
        <v>#VALUE!</v>
      </c>
      <c r="BB9" s="65" t="e">
        <f t="shared" ref="BB9:CW9" si="10">IF(AND(BB$2&gt;=$F9,BB$2&lt;($F9+$H9)),ROUND($K9/$H9,0),"-")</f>
        <v>#VALUE!</v>
      </c>
      <c r="BC9" s="65" t="e">
        <f t="shared" si="10"/>
        <v>#VALUE!</v>
      </c>
      <c r="BD9" s="65" t="e">
        <f t="shared" si="10"/>
        <v>#VALUE!</v>
      </c>
      <c r="BE9" s="65" t="e">
        <f t="shared" si="10"/>
        <v>#VALUE!</v>
      </c>
      <c r="BF9" s="65" t="e">
        <f t="shared" si="10"/>
        <v>#VALUE!</v>
      </c>
      <c r="BG9" s="65" t="e">
        <f t="shared" si="10"/>
        <v>#VALUE!</v>
      </c>
      <c r="BH9" s="65" t="e">
        <f t="shared" si="10"/>
        <v>#VALUE!</v>
      </c>
      <c r="BI9" s="65" t="e">
        <f t="shared" si="10"/>
        <v>#VALUE!</v>
      </c>
      <c r="BJ9" s="65" t="e">
        <f t="shared" si="10"/>
        <v>#VALUE!</v>
      </c>
      <c r="BK9" s="65" t="e">
        <f t="shared" si="10"/>
        <v>#VALUE!</v>
      </c>
      <c r="BL9" s="65" t="e">
        <f t="shared" si="10"/>
        <v>#VALUE!</v>
      </c>
      <c r="BM9" s="65" t="e">
        <f t="shared" si="10"/>
        <v>#VALUE!</v>
      </c>
      <c r="BN9" s="65" t="e">
        <f t="shared" si="10"/>
        <v>#VALUE!</v>
      </c>
      <c r="BO9" s="65" t="e">
        <f t="shared" si="10"/>
        <v>#VALUE!</v>
      </c>
      <c r="BP9" s="65" t="e">
        <f t="shared" si="10"/>
        <v>#VALUE!</v>
      </c>
      <c r="BQ9" s="65" t="e">
        <f t="shared" si="10"/>
        <v>#VALUE!</v>
      </c>
      <c r="BR9" s="65" t="e">
        <f t="shared" si="10"/>
        <v>#VALUE!</v>
      </c>
      <c r="BS9" s="65" t="e">
        <f t="shared" si="10"/>
        <v>#VALUE!</v>
      </c>
      <c r="BT9" s="65" t="e">
        <f t="shared" si="10"/>
        <v>#VALUE!</v>
      </c>
      <c r="BU9" s="65" t="e">
        <f t="shared" si="10"/>
        <v>#VALUE!</v>
      </c>
      <c r="BV9" s="65" t="e">
        <f t="shared" si="10"/>
        <v>#VALUE!</v>
      </c>
      <c r="BW9" s="65" t="e">
        <f t="shared" si="10"/>
        <v>#VALUE!</v>
      </c>
      <c r="BX9" s="65" t="e">
        <f t="shared" si="10"/>
        <v>#VALUE!</v>
      </c>
      <c r="BY9" s="65" t="e">
        <f t="shared" si="10"/>
        <v>#VALUE!</v>
      </c>
      <c r="BZ9" s="65" t="e">
        <f t="shared" si="10"/>
        <v>#VALUE!</v>
      </c>
      <c r="CA9" s="65" t="e">
        <f t="shared" si="10"/>
        <v>#VALUE!</v>
      </c>
      <c r="CB9" s="65" t="e">
        <f t="shared" si="10"/>
        <v>#VALUE!</v>
      </c>
      <c r="CC9" s="65" t="e">
        <f t="shared" si="10"/>
        <v>#VALUE!</v>
      </c>
      <c r="CD9" s="65" t="e">
        <f t="shared" si="10"/>
        <v>#VALUE!</v>
      </c>
      <c r="CE9" s="65" t="e">
        <f t="shared" si="10"/>
        <v>#VALUE!</v>
      </c>
      <c r="CF9" s="65" t="e">
        <f t="shared" si="10"/>
        <v>#VALUE!</v>
      </c>
      <c r="CG9" s="65" t="e">
        <f t="shared" si="10"/>
        <v>#VALUE!</v>
      </c>
      <c r="CH9" s="65" t="e">
        <f t="shared" si="10"/>
        <v>#VALUE!</v>
      </c>
      <c r="CI9" s="65" t="e">
        <f t="shared" si="10"/>
        <v>#VALUE!</v>
      </c>
      <c r="CJ9" s="65" t="e">
        <f t="shared" si="10"/>
        <v>#VALUE!</v>
      </c>
      <c r="CK9" s="65" t="e">
        <f t="shared" si="10"/>
        <v>#VALUE!</v>
      </c>
      <c r="CL9" s="65" t="e">
        <f t="shared" si="10"/>
        <v>#VALUE!</v>
      </c>
      <c r="CM9" s="65" t="e">
        <f t="shared" si="10"/>
        <v>#VALUE!</v>
      </c>
      <c r="CN9" s="65" t="e">
        <f t="shared" si="10"/>
        <v>#VALUE!</v>
      </c>
      <c r="CO9" s="65" t="e">
        <f t="shared" si="10"/>
        <v>#VALUE!</v>
      </c>
      <c r="CP9" s="65" t="e">
        <f t="shared" si="10"/>
        <v>#VALUE!</v>
      </c>
      <c r="CQ9" s="65" t="e">
        <f t="shared" si="10"/>
        <v>#VALUE!</v>
      </c>
      <c r="CR9" s="65" t="e">
        <f t="shared" si="10"/>
        <v>#VALUE!</v>
      </c>
      <c r="CS9" s="65" t="e">
        <f t="shared" si="10"/>
        <v>#VALUE!</v>
      </c>
      <c r="CT9" s="65" t="e">
        <f t="shared" si="10"/>
        <v>#VALUE!</v>
      </c>
      <c r="CU9" s="65" t="e">
        <f t="shared" si="10"/>
        <v>#VALUE!</v>
      </c>
      <c r="CV9" s="65" t="e">
        <f t="shared" si="10"/>
        <v>#VALUE!</v>
      </c>
      <c r="CW9" s="65" t="e">
        <f t="shared" si="10"/>
        <v>#VALUE!</v>
      </c>
    </row>
    <row r="10" spans="1:101" ht="12.75" customHeight="1">
      <c r="B10" s="109" t="s">
        <v>100</v>
      </c>
      <c r="C10" s="101">
        <v>1344</v>
      </c>
      <c r="D10" s="101">
        <v>0</v>
      </c>
      <c r="E10" s="258">
        <f>C10-D10</f>
        <v>1344</v>
      </c>
      <c r="F10" s="162" t="str">
        <f>F9</f>
        <v>04 Jul,
08 Jul,
13 Jul</v>
      </c>
      <c r="G10" s="162" t="e">
        <f>G9</f>
        <v>#VALUE!</v>
      </c>
      <c r="H10" s="65" t="e">
        <f>H9</f>
        <v>#VALUE!</v>
      </c>
      <c r="I10" s="101">
        <v>30</v>
      </c>
      <c r="J10" s="101">
        <v>6</v>
      </c>
      <c r="K10" s="102">
        <f>(E10*J10)/I10</f>
        <v>268.8</v>
      </c>
      <c r="L10" s="505"/>
      <c r="M10" s="65" t="e">
        <f t="shared" ref="M10:AA10" si="11">IF(AND(M$2&gt;=$F10,M$2&lt;($F10+$H10)),ROUND($K10/$H10,0),"-")</f>
        <v>#VALUE!</v>
      </c>
      <c r="N10" s="65" t="e">
        <f t="shared" si="11"/>
        <v>#VALUE!</v>
      </c>
      <c r="O10" s="65" t="e">
        <f t="shared" si="11"/>
        <v>#VALUE!</v>
      </c>
      <c r="P10" s="65" t="e">
        <f t="shared" si="11"/>
        <v>#VALUE!</v>
      </c>
      <c r="Q10" s="65" t="e">
        <f t="shared" si="11"/>
        <v>#VALUE!</v>
      </c>
      <c r="R10" s="65" t="e">
        <f t="shared" si="11"/>
        <v>#VALUE!</v>
      </c>
      <c r="S10" s="65" t="e">
        <f t="shared" si="11"/>
        <v>#VALUE!</v>
      </c>
      <c r="T10" s="65" t="e">
        <f t="shared" si="11"/>
        <v>#VALUE!</v>
      </c>
      <c r="U10" s="65" t="e">
        <f t="shared" si="11"/>
        <v>#VALUE!</v>
      </c>
      <c r="V10" s="65" t="e">
        <f t="shared" si="11"/>
        <v>#VALUE!</v>
      </c>
      <c r="W10" s="65" t="e">
        <f t="shared" si="11"/>
        <v>#VALUE!</v>
      </c>
      <c r="X10" s="65" t="e">
        <f t="shared" si="11"/>
        <v>#VALUE!</v>
      </c>
      <c r="Y10" s="65" t="e">
        <f t="shared" si="11"/>
        <v>#VALUE!</v>
      </c>
      <c r="Z10" s="65" t="e">
        <f t="shared" si="11"/>
        <v>#VALUE!</v>
      </c>
      <c r="AA10" s="65" t="e">
        <f t="shared" si="11"/>
        <v>#VALUE!</v>
      </c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09"/>
      <c r="CS10" s="109"/>
      <c r="CT10" s="109"/>
      <c r="CU10" s="109"/>
      <c r="CV10" s="109"/>
      <c r="CW10" s="109"/>
    </row>
    <row r="12" spans="1:101">
      <c r="B12" s="109" t="s">
        <v>91</v>
      </c>
      <c r="C12" s="109" t="s">
        <v>92</v>
      </c>
      <c r="D12" s="109" t="s">
        <v>93</v>
      </c>
      <c r="E12" s="109" t="s">
        <v>94</v>
      </c>
      <c r="F12" s="109" t="s">
        <v>78</v>
      </c>
      <c r="G12" s="109" t="s">
        <v>79</v>
      </c>
      <c r="H12" s="109" t="s">
        <v>59</v>
      </c>
      <c r="I12" s="109" t="s">
        <v>95</v>
      </c>
      <c r="J12" s="109" t="s">
        <v>96</v>
      </c>
      <c r="K12" s="109" t="s">
        <v>97</v>
      </c>
      <c r="L12" s="109" t="s">
        <v>80</v>
      </c>
      <c r="M12" s="260">
        <v>46201</v>
      </c>
      <c r="N12" s="260">
        <v>46202</v>
      </c>
      <c r="O12" s="260">
        <v>46203</v>
      </c>
      <c r="P12" s="260">
        <v>46204</v>
      </c>
      <c r="Q12" s="260">
        <v>46205</v>
      </c>
      <c r="R12" s="260">
        <v>46206</v>
      </c>
      <c r="S12" s="260">
        <v>46207</v>
      </c>
      <c r="T12" s="260">
        <v>46208</v>
      </c>
      <c r="U12" s="260">
        <v>46209</v>
      </c>
      <c r="V12" s="260">
        <v>46210</v>
      </c>
      <c r="W12" s="260">
        <v>46211</v>
      </c>
      <c r="X12" s="260">
        <v>46212</v>
      </c>
      <c r="Y12" s="260">
        <v>46213</v>
      </c>
      <c r="Z12" s="260">
        <v>46214</v>
      </c>
      <c r="AA12" s="260">
        <v>46215</v>
      </c>
      <c r="AB12" s="260">
        <v>46216</v>
      </c>
      <c r="AC12" s="260">
        <v>46217</v>
      </c>
      <c r="AD12" s="260">
        <v>46218</v>
      </c>
      <c r="AE12" s="260">
        <v>46219</v>
      </c>
      <c r="AF12" s="260">
        <v>46220</v>
      </c>
      <c r="AG12" s="260">
        <v>46221</v>
      </c>
      <c r="AH12" s="260">
        <v>46222</v>
      </c>
      <c r="AI12" s="260">
        <v>46223</v>
      </c>
      <c r="AJ12" s="260">
        <v>46224</v>
      </c>
      <c r="AK12" s="260">
        <v>46225</v>
      </c>
      <c r="AL12" s="260">
        <v>46226</v>
      </c>
      <c r="AM12" s="260">
        <v>46227</v>
      </c>
      <c r="AN12" s="260">
        <v>46228</v>
      </c>
      <c r="AO12" s="260">
        <v>46229</v>
      </c>
      <c r="AP12" s="260">
        <v>46230</v>
      </c>
      <c r="AQ12" s="260">
        <v>46231</v>
      </c>
      <c r="AR12" s="260">
        <v>46232</v>
      </c>
      <c r="AS12" s="260">
        <v>46233</v>
      </c>
      <c r="AT12" s="260">
        <v>46234</v>
      </c>
      <c r="AU12" s="260">
        <v>46235</v>
      </c>
      <c r="AV12" s="260">
        <v>46236</v>
      </c>
      <c r="AW12" s="260">
        <v>46237</v>
      </c>
      <c r="AX12" s="260">
        <v>46238</v>
      </c>
      <c r="AY12" s="260">
        <v>46239</v>
      </c>
      <c r="AZ12" s="260">
        <v>46240</v>
      </c>
      <c r="BA12" s="260">
        <v>46241</v>
      </c>
      <c r="BB12" s="260">
        <v>46242</v>
      </c>
      <c r="BC12" s="260">
        <v>46243</v>
      </c>
      <c r="BD12" s="260">
        <v>46244</v>
      </c>
      <c r="BE12" s="260">
        <v>46245</v>
      </c>
      <c r="BF12" s="260">
        <v>46246</v>
      </c>
      <c r="BG12" s="260">
        <v>46247</v>
      </c>
      <c r="BH12" s="260">
        <v>46248</v>
      </c>
      <c r="BI12" s="260">
        <v>46249</v>
      </c>
      <c r="BJ12" s="260">
        <v>46250</v>
      </c>
      <c r="BK12" s="260">
        <v>46251</v>
      </c>
      <c r="BL12" s="260">
        <v>46252</v>
      </c>
      <c r="BM12" s="260">
        <v>46253</v>
      </c>
      <c r="BN12" s="260">
        <v>46254</v>
      </c>
      <c r="BO12" s="260">
        <v>46255</v>
      </c>
      <c r="BP12" s="260">
        <v>46256</v>
      </c>
      <c r="BQ12" s="260">
        <v>46257</v>
      </c>
      <c r="BR12" s="260">
        <v>46258</v>
      </c>
      <c r="BS12" s="260">
        <v>46259</v>
      </c>
      <c r="BT12" s="260">
        <v>46260</v>
      </c>
      <c r="BU12" s="260">
        <v>46261</v>
      </c>
      <c r="BV12" s="260">
        <v>46262</v>
      </c>
      <c r="BW12" s="260">
        <v>46263</v>
      </c>
      <c r="BX12" s="260">
        <v>46264</v>
      </c>
      <c r="BY12" s="260">
        <v>46265</v>
      </c>
      <c r="BZ12" s="260">
        <v>46266</v>
      </c>
      <c r="CA12" s="260">
        <v>46267</v>
      </c>
      <c r="CB12" s="260">
        <v>46268</v>
      </c>
      <c r="CC12" s="260">
        <v>46269</v>
      </c>
      <c r="CD12" s="260">
        <v>46270</v>
      </c>
      <c r="CE12" s="260">
        <v>46271</v>
      </c>
      <c r="CF12" s="260">
        <v>46272</v>
      </c>
      <c r="CG12" s="260">
        <v>46273</v>
      </c>
      <c r="CH12" s="260">
        <v>46274</v>
      </c>
      <c r="CI12" s="260">
        <v>46275</v>
      </c>
      <c r="CJ12" s="260">
        <v>46276</v>
      </c>
      <c r="CK12" s="260">
        <v>46277</v>
      </c>
      <c r="CL12" s="260">
        <v>46278</v>
      </c>
      <c r="CM12" s="260">
        <v>46279</v>
      </c>
      <c r="CN12" s="260">
        <v>46280</v>
      </c>
      <c r="CO12" s="260">
        <v>46281</v>
      </c>
      <c r="CP12" s="260">
        <v>46282</v>
      </c>
      <c r="CQ12" s="260">
        <v>46283</v>
      </c>
      <c r="CR12" s="260">
        <v>46284</v>
      </c>
      <c r="CS12" s="260">
        <v>46285</v>
      </c>
      <c r="CT12" s="260">
        <v>46286</v>
      </c>
      <c r="CU12" s="260">
        <v>46287</v>
      </c>
      <c r="CV12" s="260">
        <v>46288</v>
      </c>
      <c r="CW12" s="260">
        <v>46289</v>
      </c>
    </row>
    <row r="13" spans="1:101" ht="12.75" customHeight="1">
      <c r="A13" t="s">
        <v>102</v>
      </c>
      <c r="B13" s="138" t="s">
        <v>21</v>
      </c>
      <c r="C13" s="101">
        <v>48</v>
      </c>
      <c r="D13" s="102">
        <v>0</v>
      </c>
      <c r="E13" s="258">
        <f>C13-D13</f>
        <v>48</v>
      </c>
      <c r="F13" s="165" t="str">
        <f>'BESS 11'!D96</f>
        <v>13 Jul,
20 Jul
21 Jul</v>
      </c>
      <c r="G13" s="165" t="e">
        <f>F13+4</f>
        <v>#VALUE!</v>
      </c>
      <c r="H13" s="65" t="e">
        <f>G13-F13</f>
        <v>#VALUE!</v>
      </c>
      <c r="I13" s="96">
        <v>10</v>
      </c>
      <c r="J13" s="93">
        <v>1</v>
      </c>
      <c r="K13" s="94">
        <f>(E13*J13)/I13</f>
        <v>4.8</v>
      </c>
      <c r="L13" s="505" t="e">
        <f>AVERAGEIF(M13:CW15,"&gt;0")</f>
        <v>#DIV/0!</v>
      </c>
      <c r="M13" s="65" t="e">
        <f t="shared" ref="M13:V14" si="12">IF(AND(M$2&gt;=$F13,M$2&lt;($F13+$H13)),ROUND($K13/$H13,0),"-")</f>
        <v>#VALUE!</v>
      </c>
      <c r="N13" s="65" t="e">
        <f t="shared" si="12"/>
        <v>#VALUE!</v>
      </c>
      <c r="O13" s="65" t="e">
        <f t="shared" si="12"/>
        <v>#VALUE!</v>
      </c>
      <c r="P13" s="65" t="e">
        <f t="shared" si="12"/>
        <v>#VALUE!</v>
      </c>
      <c r="Q13" s="65" t="e">
        <f t="shared" si="12"/>
        <v>#VALUE!</v>
      </c>
      <c r="R13" s="65" t="e">
        <f t="shared" si="12"/>
        <v>#VALUE!</v>
      </c>
      <c r="S13" s="65" t="e">
        <f t="shared" si="12"/>
        <v>#VALUE!</v>
      </c>
      <c r="T13" s="65" t="e">
        <f t="shared" si="12"/>
        <v>#VALUE!</v>
      </c>
      <c r="U13" s="65" t="e">
        <f t="shared" si="12"/>
        <v>#VALUE!</v>
      </c>
      <c r="V13" s="65" t="e">
        <f t="shared" si="12"/>
        <v>#VALUE!</v>
      </c>
      <c r="W13" s="65" t="e">
        <f t="shared" ref="W13:AF14" si="13">IF(AND(W$2&gt;=$F13,W$2&lt;($F13+$H13)),ROUND($K13/$H13,0),"-")</f>
        <v>#VALUE!</v>
      </c>
      <c r="X13" s="65" t="e">
        <f t="shared" si="13"/>
        <v>#VALUE!</v>
      </c>
      <c r="Y13" s="65" t="e">
        <f t="shared" si="13"/>
        <v>#VALUE!</v>
      </c>
      <c r="Z13" s="65" t="e">
        <f t="shared" si="13"/>
        <v>#VALUE!</v>
      </c>
      <c r="AA13" s="65" t="e">
        <f t="shared" si="13"/>
        <v>#VALUE!</v>
      </c>
      <c r="AB13" s="65" t="e">
        <f t="shared" si="13"/>
        <v>#VALUE!</v>
      </c>
      <c r="AC13" s="65" t="e">
        <f t="shared" si="13"/>
        <v>#VALUE!</v>
      </c>
      <c r="AD13" s="65" t="e">
        <f t="shared" si="13"/>
        <v>#VALUE!</v>
      </c>
      <c r="AE13" s="65" t="e">
        <f t="shared" si="13"/>
        <v>#VALUE!</v>
      </c>
      <c r="AF13" s="65" t="e">
        <f t="shared" si="13"/>
        <v>#VALUE!</v>
      </c>
      <c r="AG13" s="65" t="e">
        <f t="shared" ref="AG13:AP14" si="14">IF(AND(AG$2&gt;=$F13,AG$2&lt;($F13+$H13)),ROUND($K13/$H13,0),"-")</f>
        <v>#VALUE!</v>
      </c>
      <c r="AH13" s="65" t="e">
        <f t="shared" si="14"/>
        <v>#VALUE!</v>
      </c>
      <c r="AI13" s="65" t="e">
        <f t="shared" si="14"/>
        <v>#VALUE!</v>
      </c>
      <c r="AJ13" s="65" t="e">
        <f t="shared" si="14"/>
        <v>#VALUE!</v>
      </c>
      <c r="AK13" s="65" t="e">
        <f t="shared" si="14"/>
        <v>#VALUE!</v>
      </c>
      <c r="AL13" s="65" t="e">
        <f t="shared" si="14"/>
        <v>#VALUE!</v>
      </c>
      <c r="AM13" s="65" t="e">
        <f t="shared" si="14"/>
        <v>#VALUE!</v>
      </c>
      <c r="AN13" s="65" t="e">
        <f t="shared" si="14"/>
        <v>#VALUE!</v>
      </c>
      <c r="AO13" s="65" t="e">
        <f t="shared" si="14"/>
        <v>#VALUE!</v>
      </c>
      <c r="AP13" s="65" t="e">
        <f t="shared" si="14"/>
        <v>#VALUE!</v>
      </c>
      <c r="AQ13" s="65" t="e">
        <f t="shared" ref="AQ13:BA14" si="15">IF(AND(AQ$2&gt;=$F13,AQ$2&lt;($F13+$H13)),ROUND($K13/$H13,0),"-")</f>
        <v>#VALUE!</v>
      </c>
      <c r="AR13" s="65" t="e">
        <f t="shared" si="15"/>
        <v>#VALUE!</v>
      </c>
      <c r="AS13" s="65" t="e">
        <f t="shared" si="15"/>
        <v>#VALUE!</v>
      </c>
      <c r="AT13" s="65" t="e">
        <f t="shared" si="15"/>
        <v>#VALUE!</v>
      </c>
      <c r="AU13" s="65" t="e">
        <f t="shared" si="15"/>
        <v>#VALUE!</v>
      </c>
      <c r="AV13" s="65" t="e">
        <f t="shared" si="15"/>
        <v>#VALUE!</v>
      </c>
      <c r="AW13" s="65" t="e">
        <f t="shared" si="15"/>
        <v>#VALUE!</v>
      </c>
      <c r="AX13" s="65" t="e">
        <f t="shared" si="15"/>
        <v>#VALUE!</v>
      </c>
      <c r="AY13" s="65" t="e">
        <f t="shared" si="15"/>
        <v>#VALUE!</v>
      </c>
      <c r="AZ13" s="65" t="e">
        <f t="shared" si="15"/>
        <v>#VALUE!</v>
      </c>
      <c r="BA13" s="65" t="e">
        <f t="shared" si="15"/>
        <v>#VALUE!</v>
      </c>
      <c r="BB13" s="260"/>
      <c r="BC13" s="260"/>
      <c r="BD13" s="260"/>
      <c r="BE13" s="260"/>
      <c r="BF13" s="260"/>
      <c r="BG13" s="260"/>
      <c r="BH13" s="260"/>
      <c r="BI13" s="260"/>
      <c r="BJ13" s="260"/>
      <c r="BK13" s="260"/>
      <c r="BL13" s="260"/>
      <c r="BM13" s="260"/>
      <c r="BN13" s="260"/>
      <c r="BO13" s="260"/>
      <c r="BP13" s="260"/>
      <c r="BQ13" s="260"/>
      <c r="BR13" s="260"/>
      <c r="BS13" s="260"/>
      <c r="BT13" s="260"/>
      <c r="BU13" s="260"/>
      <c r="BV13" s="260"/>
      <c r="BW13" s="260"/>
      <c r="BX13" s="260"/>
      <c r="BY13" s="260"/>
      <c r="BZ13" s="260"/>
      <c r="CA13" s="260"/>
      <c r="CB13" s="260"/>
      <c r="CC13" s="260"/>
      <c r="CD13" s="260"/>
      <c r="CE13" s="260"/>
      <c r="CF13" s="260"/>
      <c r="CG13" s="260"/>
      <c r="CH13" s="260"/>
      <c r="CI13" s="260"/>
      <c r="CJ13" s="260"/>
      <c r="CK13" s="260"/>
      <c r="CL13" s="260"/>
      <c r="CM13" s="260"/>
      <c r="CN13" s="260"/>
      <c r="CO13" s="260"/>
      <c r="CP13" s="260"/>
      <c r="CQ13" s="260"/>
      <c r="CR13" s="260"/>
      <c r="CS13" s="260"/>
      <c r="CT13" s="260"/>
      <c r="CU13" s="260"/>
      <c r="CV13" s="260"/>
      <c r="CW13" s="260"/>
    </row>
    <row r="14" spans="1:101" ht="12.75" customHeight="1">
      <c r="B14" s="109" t="s">
        <v>99</v>
      </c>
      <c r="C14" s="101">
        <v>768</v>
      </c>
      <c r="D14" s="258">
        <f>SUM('[1]Electrical Work'!$G$446:$G$451)</f>
        <v>810</v>
      </c>
      <c r="E14" s="258">
        <f>C14-D14</f>
        <v>-42</v>
      </c>
      <c r="F14" s="162" t="str">
        <f>F13</f>
        <v>13 Jul,
20 Jul
21 Jul</v>
      </c>
      <c r="G14" s="162" t="e">
        <f>G13</f>
        <v>#VALUE!</v>
      </c>
      <c r="H14" s="65" t="e">
        <f>G14-F14</f>
        <v>#VALUE!</v>
      </c>
      <c r="I14" s="259">
        <v>30</v>
      </c>
      <c r="J14" s="259">
        <v>18</v>
      </c>
      <c r="K14" s="102">
        <f>(E14*J14)/I14</f>
        <v>-25.2</v>
      </c>
      <c r="L14" s="505"/>
      <c r="M14" s="65" t="e">
        <f t="shared" si="12"/>
        <v>#VALUE!</v>
      </c>
      <c r="N14" s="65" t="e">
        <f t="shared" si="12"/>
        <v>#VALUE!</v>
      </c>
      <c r="O14" s="65" t="e">
        <f t="shared" si="12"/>
        <v>#VALUE!</v>
      </c>
      <c r="P14" s="65" t="e">
        <f t="shared" si="12"/>
        <v>#VALUE!</v>
      </c>
      <c r="Q14" s="65" t="e">
        <f t="shared" si="12"/>
        <v>#VALUE!</v>
      </c>
      <c r="R14" s="65" t="e">
        <f t="shared" si="12"/>
        <v>#VALUE!</v>
      </c>
      <c r="S14" s="65" t="e">
        <f t="shared" si="12"/>
        <v>#VALUE!</v>
      </c>
      <c r="T14" s="65" t="e">
        <f t="shared" si="12"/>
        <v>#VALUE!</v>
      </c>
      <c r="U14" s="65" t="e">
        <f t="shared" si="12"/>
        <v>#VALUE!</v>
      </c>
      <c r="V14" s="65" t="e">
        <f t="shared" si="12"/>
        <v>#VALUE!</v>
      </c>
      <c r="W14" s="65" t="e">
        <f t="shared" si="13"/>
        <v>#VALUE!</v>
      </c>
      <c r="X14" s="65" t="e">
        <f t="shared" si="13"/>
        <v>#VALUE!</v>
      </c>
      <c r="Y14" s="65" t="e">
        <f t="shared" si="13"/>
        <v>#VALUE!</v>
      </c>
      <c r="Z14" s="65" t="e">
        <f t="shared" si="13"/>
        <v>#VALUE!</v>
      </c>
      <c r="AA14" s="65" t="e">
        <f t="shared" si="13"/>
        <v>#VALUE!</v>
      </c>
      <c r="AB14" s="65" t="e">
        <f t="shared" si="13"/>
        <v>#VALUE!</v>
      </c>
      <c r="AC14" s="65" t="e">
        <f t="shared" si="13"/>
        <v>#VALUE!</v>
      </c>
      <c r="AD14" s="65" t="e">
        <f t="shared" si="13"/>
        <v>#VALUE!</v>
      </c>
      <c r="AE14" s="65" t="e">
        <f t="shared" si="13"/>
        <v>#VALUE!</v>
      </c>
      <c r="AF14" s="65" t="e">
        <f t="shared" si="13"/>
        <v>#VALUE!</v>
      </c>
      <c r="AG14" s="65" t="e">
        <f t="shared" si="14"/>
        <v>#VALUE!</v>
      </c>
      <c r="AH14" s="65" t="e">
        <f t="shared" si="14"/>
        <v>#VALUE!</v>
      </c>
      <c r="AI14" s="65" t="e">
        <f t="shared" si="14"/>
        <v>#VALUE!</v>
      </c>
      <c r="AJ14" s="65" t="e">
        <f t="shared" si="14"/>
        <v>#VALUE!</v>
      </c>
      <c r="AK14" s="65" t="e">
        <f t="shared" si="14"/>
        <v>#VALUE!</v>
      </c>
      <c r="AL14" s="65" t="e">
        <f t="shared" si="14"/>
        <v>#VALUE!</v>
      </c>
      <c r="AM14" s="65" t="e">
        <f t="shared" si="14"/>
        <v>#VALUE!</v>
      </c>
      <c r="AN14" s="65" t="e">
        <f t="shared" si="14"/>
        <v>#VALUE!</v>
      </c>
      <c r="AO14" s="65" t="e">
        <f t="shared" si="14"/>
        <v>#VALUE!</v>
      </c>
      <c r="AP14" s="65" t="e">
        <f t="shared" si="14"/>
        <v>#VALUE!</v>
      </c>
      <c r="AQ14" s="65" t="e">
        <f t="shared" si="15"/>
        <v>#VALUE!</v>
      </c>
      <c r="AR14" s="65" t="e">
        <f t="shared" si="15"/>
        <v>#VALUE!</v>
      </c>
      <c r="AS14" s="65" t="e">
        <f t="shared" si="15"/>
        <v>#VALUE!</v>
      </c>
      <c r="AT14" s="65" t="e">
        <f t="shared" si="15"/>
        <v>#VALUE!</v>
      </c>
      <c r="AU14" s="65" t="e">
        <f t="shared" si="15"/>
        <v>#VALUE!</v>
      </c>
      <c r="AV14" s="65" t="e">
        <f t="shared" si="15"/>
        <v>#VALUE!</v>
      </c>
      <c r="AW14" s="65" t="e">
        <f t="shared" si="15"/>
        <v>#VALUE!</v>
      </c>
      <c r="AX14" s="65" t="e">
        <f t="shared" si="15"/>
        <v>#VALUE!</v>
      </c>
      <c r="AY14" s="65" t="e">
        <f t="shared" si="15"/>
        <v>#VALUE!</v>
      </c>
      <c r="AZ14" s="65" t="e">
        <f t="shared" si="15"/>
        <v>#VALUE!</v>
      </c>
      <c r="BA14" s="65" t="e">
        <f t="shared" si="15"/>
        <v>#VALUE!</v>
      </c>
      <c r="BB14" s="65" t="e">
        <f t="shared" ref="BB14:CW14" si="16">IF(AND(BB$2&gt;=$F14,BB$2&lt;($F14+$H14)),ROUND($K14/$H14,0),"-")</f>
        <v>#VALUE!</v>
      </c>
      <c r="BC14" s="65" t="e">
        <f t="shared" si="16"/>
        <v>#VALUE!</v>
      </c>
      <c r="BD14" s="65" t="e">
        <f t="shared" si="16"/>
        <v>#VALUE!</v>
      </c>
      <c r="BE14" s="65" t="e">
        <f t="shared" si="16"/>
        <v>#VALUE!</v>
      </c>
      <c r="BF14" s="65" t="e">
        <f t="shared" si="16"/>
        <v>#VALUE!</v>
      </c>
      <c r="BG14" s="65" t="e">
        <f t="shared" si="16"/>
        <v>#VALUE!</v>
      </c>
      <c r="BH14" s="65" t="e">
        <f t="shared" si="16"/>
        <v>#VALUE!</v>
      </c>
      <c r="BI14" s="65" t="e">
        <f t="shared" si="16"/>
        <v>#VALUE!</v>
      </c>
      <c r="BJ14" s="65" t="e">
        <f t="shared" si="16"/>
        <v>#VALUE!</v>
      </c>
      <c r="BK14" s="65" t="e">
        <f t="shared" si="16"/>
        <v>#VALUE!</v>
      </c>
      <c r="BL14" s="65" t="e">
        <f t="shared" si="16"/>
        <v>#VALUE!</v>
      </c>
      <c r="BM14" s="65" t="e">
        <f t="shared" si="16"/>
        <v>#VALUE!</v>
      </c>
      <c r="BN14" s="65" t="e">
        <f t="shared" si="16"/>
        <v>#VALUE!</v>
      </c>
      <c r="BO14" s="65" t="e">
        <f t="shared" si="16"/>
        <v>#VALUE!</v>
      </c>
      <c r="BP14" s="65" t="e">
        <f t="shared" si="16"/>
        <v>#VALUE!</v>
      </c>
      <c r="BQ14" s="65" t="e">
        <f t="shared" si="16"/>
        <v>#VALUE!</v>
      </c>
      <c r="BR14" s="65" t="e">
        <f t="shared" si="16"/>
        <v>#VALUE!</v>
      </c>
      <c r="BS14" s="65" t="e">
        <f t="shared" si="16"/>
        <v>#VALUE!</v>
      </c>
      <c r="BT14" s="65" t="e">
        <f t="shared" si="16"/>
        <v>#VALUE!</v>
      </c>
      <c r="BU14" s="65" t="e">
        <f t="shared" si="16"/>
        <v>#VALUE!</v>
      </c>
      <c r="BV14" s="65" t="e">
        <f t="shared" si="16"/>
        <v>#VALUE!</v>
      </c>
      <c r="BW14" s="65" t="e">
        <f t="shared" si="16"/>
        <v>#VALUE!</v>
      </c>
      <c r="BX14" s="65" t="e">
        <f t="shared" si="16"/>
        <v>#VALUE!</v>
      </c>
      <c r="BY14" s="65" t="e">
        <f t="shared" si="16"/>
        <v>#VALUE!</v>
      </c>
      <c r="BZ14" s="65" t="e">
        <f t="shared" si="16"/>
        <v>#VALUE!</v>
      </c>
      <c r="CA14" s="65" t="e">
        <f t="shared" si="16"/>
        <v>#VALUE!</v>
      </c>
      <c r="CB14" s="65" t="e">
        <f t="shared" si="16"/>
        <v>#VALUE!</v>
      </c>
      <c r="CC14" s="65" t="e">
        <f t="shared" si="16"/>
        <v>#VALUE!</v>
      </c>
      <c r="CD14" s="65" t="e">
        <f t="shared" si="16"/>
        <v>#VALUE!</v>
      </c>
      <c r="CE14" s="65" t="e">
        <f t="shared" si="16"/>
        <v>#VALUE!</v>
      </c>
      <c r="CF14" s="65" t="e">
        <f t="shared" si="16"/>
        <v>#VALUE!</v>
      </c>
      <c r="CG14" s="65" t="e">
        <f t="shared" si="16"/>
        <v>#VALUE!</v>
      </c>
      <c r="CH14" s="65" t="e">
        <f t="shared" si="16"/>
        <v>#VALUE!</v>
      </c>
      <c r="CI14" s="65" t="e">
        <f t="shared" si="16"/>
        <v>#VALUE!</v>
      </c>
      <c r="CJ14" s="65" t="e">
        <f t="shared" si="16"/>
        <v>#VALUE!</v>
      </c>
      <c r="CK14" s="65" t="e">
        <f t="shared" si="16"/>
        <v>#VALUE!</v>
      </c>
      <c r="CL14" s="65" t="e">
        <f t="shared" si="16"/>
        <v>#VALUE!</v>
      </c>
      <c r="CM14" s="65" t="e">
        <f t="shared" si="16"/>
        <v>#VALUE!</v>
      </c>
      <c r="CN14" s="65" t="e">
        <f t="shared" si="16"/>
        <v>#VALUE!</v>
      </c>
      <c r="CO14" s="65" t="e">
        <f t="shared" si="16"/>
        <v>#VALUE!</v>
      </c>
      <c r="CP14" s="65" t="e">
        <f t="shared" si="16"/>
        <v>#VALUE!</v>
      </c>
      <c r="CQ14" s="65" t="e">
        <f t="shared" si="16"/>
        <v>#VALUE!</v>
      </c>
      <c r="CR14" s="65" t="e">
        <f t="shared" si="16"/>
        <v>#VALUE!</v>
      </c>
      <c r="CS14" s="65" t="e">
        <f t="shared" si="16"/>
        <v>#VALUE!</v>
      </c>
      <c r="CT14" s="65" t="e">
        <f t="shared" si="16"/>
        <v>#VALUE!</v>
      </c>
      <c r="CU14" s="65" t="e">
        <f t="shared" si="16"/>
        <v>#VALUE!</v>
      </c>
      <c r="CV14" s="65" t="e">
        <f t="shared" si="16"/>
        <v>#VALUE!</v>
      </c>
      <c r="CW14" s="65" t="e">
        <f t="shared" si="16"/>
        <v>#VALUE!</v>
      </c>
    </row>
    <row r="15" spans="1:101" ht="12.75" customHeight="1">
      <c r="B15" s="109" t="s">
        <v>100</v>
      </c>
      <c r="C15" s="101">
        <v>1344</v>
      </c>
      <c r="D15" s="101">
        <v>0</v>
      </c>
      <c r="E15" s="258">
        <f>C15-D15</f>
        <v>1344</v>
      </c>
      <c r="F15" s="162" t="str">
        <f>F14</f>
        <v>13 Jul,
20 Jul
21 Jul</v>
      </c>
      <c r="G15" s="162" t="e">
        <f>G14</f>
        <v>#VALUE!</v>
      </c>
      <c r="H15" s="65" t="e">
        <f>H14</f>
        <v>#VALUE!</v>
      </c>
      <c r="I15" s="101">
        <v>30</v>
      </c>
      <c r="J15" s="101">
        <v>6</v>
      </c>
      <c r="K15" s="102">
        <f>(E15*J15)/I15</f>
        <v>268.8</v>
      </c>
      <c r="L15" s="505"/>
      <c r="M15" s="65" t="e">
        <f t="shared" ref="M15:AA15" si="17">IF(AND(M$2&gt;=$F15,M$2&lt;($F15+$H15)),ROUND($K15/$H15,0),"-")</f>
        <v>#VALUE!</v>
      </c>
      <c r="N15" s="65" t="e">
        <f t="shared" si="17"/>
        <v>#VALUE!</v>
      </c>
      <c r="O15" s="65" t="e">
        <f t="shared" si="17"/>
        <v>#VALUE!</v>
      </c>
      <c r="P15" s="65" t="e">
        <f t="shared" si="17"/>
        <v>#VALUE!</v>
      </c>
      <c r="Q15" s="65" t="e">
        <f t="shared" si="17"/>
        <v>#VALUE!</v>
      </c>
      <c r="R15" s="65" t="e">
        <f t="shared" si="17"/>
        <v>#VALUE!</v>
      </c>
      <c r="S15" s="65" t="e">
        <f t="shared" si="17"/>
        <v>#VALUE!</v>
      </c>
      <c r="T15" s="65" t="e">
        <f t="shared" si="17"/>
        <v>#VALUE!</v>
      </c>
      <c r="U15" s="65" t="e">
        <f t="shared" si="17"/>
        <v>#VALUE!</v>
      </c>
      <c r="V15" s="65" t="e">
        <f t="shared" si="17"/>
        <v>#VALUE!</v>
      </c>
      <c r="W15" s="65" t="e">
        <f t="shared" si="17"/>
        <v>#VALUE!</v>
      </c>
      <c r="X15" s="65" t="e">
        <f t="shared" si="17"/>
        <v>#VALUE!</v>
      </c>
      <c r="Y15" s="65" t="e">
        <f t="shared" si="17"/>
        <v>#VALUE!</v>
      </c>
      <c r="Z15" s="65" t="e">
        <f t="shared" si="17"/>
        <v>#VALUE!</v>
      </c>
      <c r="AA15" s="65" t="e">
        <f t="shared" si="17"/>
        <v>#VALUE!</v>
      </c>
      <c r="AB15" s="65" t="e">
        <f t="shared" ref="AB15:BG15" si="18">IF(AND(AB$2&gt;=$F15,AB$2&lt;($F15+$H15)),ROUND($K15/$H15,0),"-")</f>
        <v>#VALUE!</v>
      </c>
      <c r="AC15" s="65" t="e">
        <f t="shared" si="18"/>
        <v>#VALUE!</v>
      </c>
      <c r="AD15" s="65" t="e">
        <f t="shared" si="18"/>
        <v>#VALUE!</v>
      </c>
      <c r="AE15" s="65" t="e">
        <f t="shared" si="18"/>
        <v>#VALUE!</v>
      </c>
      <c r="AF15" s="65" t="e">
        <f t="shared" si="18"/>
        <v>#VALUE!</v>
      </c>
      <c r="AG15" s="65" t="e">
        <f t="shared" si="18"/>
        <v>#VALUE!</v>
      </c>
      <c r="AH15" s="65" t="e">
        <f t="shared" si="18"/>
        <v>#VALUE!</v>
      </c>
      <c r="AI15" s="65" t="e">
        <f t="shared" si="18"/>
        <v>#VALUE!</v>
      </c>
      <c r="AJ15" s="65" t="e">
        <f t="shared" si="18"/>
        <v>#VALUE!</v>
      </c>
      <c r="AK15" s="65" t="e">
        <f t="shared" si="18"/>
        <v>#VALUE!</v>
      </c>
      <c r="AL15" s="65" t="e">
        <f t="shared" si="18"/>
        <v>#VALUE!</v>
      </c>
      <c r="AM15" s="65" t="e">
        <f t="shared" si="18"/>
        <v>#VALUE!</v>
      </c>
      <c r="AN15" s="65" t="e">
        <f t="shared" si="18"/>
        <v>#VALUE!</v>
      </c>
      <c r="AO15" s="65" t="e">
        <f t="shared" si="18"/>
        <v>#VALUE!</v>
      </c>
      <c r="AP15" s="65" t="e">
        <f t="shared" si="18"/>
        <v>#VALUE!</v>
      </c>
      <c r="AQ15" s="65" t="e">
        <f t="shared" si="18"/>
        <v>#VALUE!</v>
      </c>
      <c r="AR15" s="65" t="e">
        <f t="shared" si="18"/>
        <v>#VALUE!</v>
      </c>
      <c r="AS15" s="65" t="e">
        <f t="shared" si="18"/>
        <v>#VALUE!</v>
      </c>
      <c r="AT15" s="65" t="e">
        <f t="shared" si="18"/>
        <v>#VALUE!</v>
      </c>
      <c r="AU15" s="65" t="e">
        <f t="shared" si="18"/>
        <v>#VALUE!</v>
      </c>
      <c r="AV15" s="65" t="e">
        <f t="shared" si="18"/>
        <v>#VALUE!</v>
      </c>
      <c r="AW15" s="65" t="e">
        <f t="shared" si="18"/>
        <v>#VALUE!</v>
      </c>
      <c r="AX15" s="65" t="e">
        <f t="shared" si="18"/>
        <v>#VALUE!</v>
      </c>
      <c r="AY15" s="65" t="e">
        <f t="shared" si="18"/>
        <v>#VALUE!</v>
      </c>
      <c r="AZ15" s="65" t="e">
        <f t="shared" si="18"/>
        <v>#VALUE!</v>
      </c>
      <c r="BA15" s="65" t="e">
        <f t="shared" si="18"/>
        <v>#VALUE!</v>
      </c>
      <c r="BB15" s="65" t="e">
        <f t="shared" si="18"/>
        <v>#VALUE!</v>
      </c>
      <c r="BC15" s="65" t="e">
        <f t="shared" si="18"/>
        <v>#VALUE!</v>
      </c>
      <c r="BD15" s="65" t="e">
        <f t="shared" si="18"/>
        <v>#VALUE!</v>
      </c>
      <c r="BE15" s="65" t="e">
        <f t="shared" si="18"/>
        <v>#VALUE!</v>
      </c>
      <c r="BF15" s="65" t="e">
        <f t="shared" si="18"/>
        <v>#VALUE!</v>
      </c>
      <c r="BG15" s="65" t="e">
        <f t="shared" si="18"/>
        <v>#VALUE!</v>
      </c>
      <c r="BH15" s="65" t="e">
        <f t="shared" ref="BH15:CM15" si="19">IF(AND(BH$2&gt;=$F15,BH$2&lt;($F15+$H15)),ROUND($K15/$H15,0),"-")</f>
        <v>#VALUE!</v>
      </c>
      <c r="BI15" s="65" t="e">
        <f t="shared" si="19"/>
        <v>#VALUE!</v>
      </c>
      <c r="BJ15" s="65" t="e">
        <f t="shared" si="19"/>
        <v>#VALUE!</v>
      </c>
      <c r="BK15" s="65" t="e">
        <f t="shared" si="19"/>
        <v>#VALUE!</v>
      </c>
      <c r="BL15" s="65" t="e">
        <f t="shared" si="19"/>
        <v>#VALUE!</v>
      </c>
      <c r="BM15" s="65" t="e">
        <f t="shared" si="19"/>
        <v>#VALUE!</v>
      </c>
      <c r="BN15" s="65" t="e">
        <f t="shared" si="19"/>
        <v>#VALUE!</v>
      </c>
      <c r="BO15" s="65" t="e">
        <f t="shared" si="19"/>
        <v>#VALUE!</v>
      </c>
      <c r="BP15" s="65" t="e">
        <f t="shared" si="19"/>
        <v>#VALUE!</v>
      </c>
      <c r="BQ15" s="65" t="e">
        <f t="shared" si="19"/>
        <v>#VALUE!</v>
      </c>
      <c r="BR15" s="65" t="e">
        <f t="shared" si="19"/>
        <v>#VALUE!</v>
      </c>
      <c r="BS15" s="65" t="e">
        <f t="shared" si="19"/>
        <v>#VALUE!</v>
      </c>
      <c r="BT15" s="65" t="e">
        <f t="shared" si="19"/>
        <v>#VALUE!</v>
      </c>
      <c r="BU15" s="65" t="e">
        <f t="shared" si="19"/>
        <v>#VALUE!</v>
      </c>
      <c r="BV15" s="65" t="e">
        <f t="shared" si="19"/>
        <v>#VALUE!</v>
      </c>
      <c r="BW15" s="65" t="e">
        <f t="shared" si="19"/>
        <v>#VALUE!</v>
      </c>
      <c r="BX15" s="65" t="e">
        <f t="shared" si="19"/>
        <v>#VALUE!</v>
      </c>
      <c r="BY15" s="65" t="e">
        <f t="shared" si="19"/>
        <v>#VALUE!</v>
      </c>
      <c r="BZ15" s="65" t="e">
        <f t="shared" si="19"/>
        <v>#VALUE!</v>
      </c>
      <c r="CA15" s="65" t="e">
        <f t="shared" si="19"/>
        <v>#VALUE!</v>
      </c>
      <c r="CB15" s="65" t="e">
        <f t="shared" si="19"/>
        <v>#VALUE!</v>
      </c>
      <c r="CC15" s="65" t="e">
        <f t="shared" si="19"/>
        <v>#VALUE!</v>
      </c>
      <c r="CD15" s="65" t="e">
        <f t="shared" si="19"/>
        <v>#VALUE!</v>
      </c>
      <c r="CE15" s="65" t="e">
        <f t="shared" si="19"/>
        <v>#VALUE!</v>
      </c>
      <c r="CF15" s="65" t="e">
        <f t="shared" si="19"/>
        <v>#VALUE!</v>
      </c>
      <c r="CG15" s="65" t="e">
        <f t="shared" si="19"/>
        <v>#VALUE!</v>
      </c>
      <c r="CH15" s="65" t="e">
        <f t="shared" si="19"/>
        <v>#VALUE!</v>
      </c>
      <c r="CI15" s="65" t="e">
        <f t="shared" si="19"/>
        <v>#VALUE!</v>
      </c>
      <c r="CJ15" s="65" t="e">
        <f t="shared" si="19"/>
        <v>#VALUE!</v>
      </c>
      <c r="CK15" s="65" t="e">
        <f t="shared" si="19"/>
        <v>#VALUE!</v>
      </c>
      <c r="CL15" s="65" t="e">
        <f t="shared" si="19"/>
        <v>#VALUE!</v>
      </c>
      <c r="CM15" s="65" t="e">
        <f t="shared" si="19"/>
        <v>#VALUE!</v>
      </c>
      <c r="CN15" s="65" t="e">
        <f t="shared" ref="CN15:CW15" si="20">IF(AND(CN$2&gt;=$F15,CN$2&lt;($F15+$H15)),ROUND($K15/$H15,0),"-")</f>
        <v>#VALUE!</v>
      </c>
      <c r="CO15" s="65" t="e">
        <f t="shared" si="20"/>
        <v>#VALUE!</v>
      </c>
      <c r="CP15" s="65" t="e">
        <f t="shared" si="20"/>
        <v>#VALUE!</v>
      </c>
      <c r="CQ15" s="65" t="e">
        <f t="shared" si="20"/>
        <v>#VALUE!</v>
      </c>
      <c r="CR15" s="65" t="e">
        <f t="shared" si="20"/>
        <v>#VALUE!</v>
      </c>
      <c r="CS15" s="65" t="e">
        <f t="shared" si="20"/>
        <v>#VALUE!</v>
      </c>
      <c r="CT15" s="65" t="e">
        <f t="shared" si="20"/>
        <v>#VALUE!</v>
      </c>
      <c r="CU15" s="65" t="e">
        <f t="shared" si="20"/>
        <v>#VALUE!</v>
      </c>
      <c r="CV15" s="65" t="e">
        <f t="shared" si="20"/>
        <v>#VALUE!</v>
      </c>
      <c r="CW15" s="65" t="e">
        <f t="shared" si="20"/>
        <v>#VALUE!</v>
      </c>
    </row>
    <row r="17" spans="1:101">
      <c r="B17" s="109" t="s">
        <v>91</v>
      </c>
      <c r="C17" s="109" t="s">
        <v>92</v>
      </c>
      <c r="D17" s="109" t="s">
        <v>93</v>
      </c>
      <c r="E17" s="109" t="s">
        <v>94</v>
      </c>
      <c r="F17" s="109" t="s">
        <v>78</v>
      </c>
      <c r="G17" s="109" t="s">
        <v>79</v>
      </c>
      <c r="H17" s="109" t="s">
        <v>59</v>
      </c>
      <c r="I17" s="109" t="s">
        <v>95</v>
      </c>
      <c r="J17" s="109" t="s">
        <v>96</v>
      </c>
      <c r="K17" s="109" t="s">
        <v>97</v>
      </c>
      <c r="L17" s="109" t="s">
        <v>80</v>
      </c>
      <c r="M17" s="260">
        <v>46201</v>
      </c>
      <c r="N17" s="260">
        <v>46202</v>
      </c>
      <c r="O17" s="260">
        <v>46203</v>
      </c>
      <c r="P17" s="260">
        <v>46204</v>
      </c>
      <c r="Q17" s="260">
        <v>46205</v>
      </c>
      <c r="R17" s="260">
        <v>46206</v>
      </c>
      <c r="S17" s="260">
        <v>46207</v>
      </c>
      <c r="T17" s="260">
        <v>46208</v>
      </c>
      <c r="U17" s="260">
        <v>46209</v>
      </c>
      <c r="V17" s="260">
        <v>46210</v>
      </c>
      <c r="W17" s="260">
        <v>46211</v>
      </c>
      <c r="X17" s="260">
        <v>46212</v>
      </c>
      <c r="Y17" s="260">
        <v>46213</v>
      </c>
      <c r="Z17" s="260">
        <v>46214</v>
      </c>
      <c r="AA17" s="260">
        <v>46215</v>
      </c>
      <c r="AB17" s="260">
        <v>46216</v>
      </c>
      <c r="AC17" s="260">
        <v>46217</v>
      </c>
      <c r="AD17" s="260">
        <v>46218</v>
      </c>
      <c r="AE17" s="260">
        <v>46219</v>
      </c>
      <c r="AF17" s="260">
        <v>46220</v>
      </c>
      <c r="AG17" s="260">
        <v>46221</v>
      </c>
      <c r="AH17" s="260">
        <v>46222</v>
      </c>
      <c r="AI17" s="260">
        <v>46223</v>
      </c>
      <c r="AJ17" s="260">
        <v>46224</v>
      </c>
      <c r="AK17" s="260">
        <v>46225</v>
      </c>
      <c r="AL17" s="260">
        <v>46226</v>
      </c>
      <c r="AM17" s="260">
        <v>46227</v>
      </c>
      <c r="AN17" s="260">
        <v>46228</v>
      </c>
      <c r="AO17" s="260">
        <v>46229</v>
      </c>
      <c r="AP17" s="260">
        <v>46230</v>
      </c>
      <c r="AQ17" s="260">
        <v>46231</v>
      </c>
      <c r="AR17" s="260">
        <v>46232</v>
      </c>
      <c r="AS17" s="260">
        <v>46233</v>
      </c>
      <c r="AT17" s="260">
        <v>46234</v>
      </c>
      <c r="AU17" s="260">
        <v>46235</v>
      </c>
      <c r="AV17" s="260">
        <v>46236</v>
      </c>
      <c r="AW17" s="260">
        <v>46237</v>
      </c>
      <c r="AX17" s="260">
        <v>46238</v>
      </c>
      <c r="AY17" s="260">
        <v>46239</v>
      </c>
      <c r="AZ17" s="260">
        <v>46240</v>
      </c>
      <c r="BA17" s="260">
        <v>46241</v>
      </c>
      <c r="BB17" s="260">
        <v>46242</v>
      </c>
      <c r="BC17" s="260">
        <v>46243</v>
      </c>
      <c r="BD17" s="260">
        <v>46244</v>
      </c>
      <c r="BE17" s="260">
        <v>46245</v>
      </c>
      <c r="BF17" s="260">
        <v>46246</v>
      </c>
      <c r="BG17" s="260">
        <v>46247</v>
      </c>
      <c r="BH17" s="260">
        <v>46248</v>
      </c>
      <c r="BI17" s="260">
        <v>46249</v>
      </c>
      <c r="BJ17" s="260">
        <v>46250</v>
      </c>
      <c r="BK17" s="260">
        <v>46251</v>
      </c>
      <c r="BL17" s="260">
        <v>46252</v>
      </c>
      <c r="BM17" s="260">
        <v>46253</v>
      </c>
      <c r="BN17" s="260">
        <v>46254</v>
      </c>
      <c r="BO17" s="260">
        <v>46255</v>
      </c>
      <c r="BP17" s="260">
        <v>46256</v>
      </c>
      <c r="BQ17" s="260">
        <v>46257</v>
      </c>
      <c r="BR17" s="260">
        <v>46258</v>
      </c>
      <c r="BS17" s="260">
        <v>46259</v>
      </c>
      <c r="BT17" s="260">
        <v>46260</v>
      </c>
      <c r="BU17" s="260">
        <v>46261</v>
      </c>
      <c r="BV17" s="260">
        <v>46262</v>
      </c>
      <c r="BW17" s="260">
        <v>46263</v>
      </c>
      <c r="BX17" s="260">
        <v>46264</v>
      </c>
      <c r="BY17" s="260">
        <v>46265</v>
      </c>
      <c r="BZ17" s="260">
        <v>46266</v>
      </c>
      <c r="CA17" s="260">
        <v>46267</v>
      </c>
      <c r="CB17" s="260">
        <v>46268</v>
      </c>
      <c r="CC17" s="260">
        <v>46269</v>
      </c>
      <c r="CD17" s="260">
        <v>46270</v>
      </c>
      <c r="CE17" s="260">
        <v>46271</v>
      </c>
      <c r="CF17" s="260">
        <v>46272</v>
      </c>
      <c r="CG17" s="260">
        <v>46273</v>
      </c>
      <c r="CH17" s="260">
        <v>46274</v>
      </c>
      <c r="CI17" s="260">
        <v>46275</v>
      </c>
      <c r="CJ17" s="260">
        <v>46276</v>
      </c>
      <c r="CK17" s="260">
        <v>46277</v>
      </c>
      <c r="CL17" s="260">
        <v>46278</v>
      </c>
      <c r="CM17" s="260">
        <v>46279</v>
      </c>
      <c r="CN17" s="260">
        <v>46280</v>
      </c>
      <c r="CO17" s="260">
        <v>46281</v>
      </c>
      <c r="CP17" s="260">
        <v>46282</v>
      </c>
      <c r="CQ17" s="260">
        <v>46283</v>
      </c>
      <c r="CR17" s="260">
        <v>46284</v>
      </c>
      <c r="CS17" s="260">
        <v>46285</v>
      </c>
      <c r="CT17" s="260">
        <v>46286</v>
      </c>
      <c r="CU17" s="260">
        <v>46287</v>
      </c>
      <c r="CV17" s="260">
        <v>46288</v>
      </c>
      <c r="CW17" s="260">
        <v>46289</v>
      </c>
    </row>
    <row r="18" spans="1:101" ht="12.75" customHeight="1">
      <c r="A18" t="s">
        <v>103</v>
      </c>
      <c r="B18" s="138" t="s">
        <v>21</v>
      </c>
      <c r="C18" s="101">
        <v>48</v>
      </c>
      <c r="D18" s="102">
        <v>0</v>
      </c>
      <c r="E18" s="258">
        <f>C18-D18</f>
        <v>48</v>
      </c>
      <c r="F18" s="165" t="str">
        <f>'BESS 11'!D142</f>
        <v>16 Jul,
23 Jul
24 Jul</v>
      </c>
      <c r="G18" s="165" t="e">
        <f>F18+4</f>
        <v>#VALUE!</v>
      </c>
      <c r="H18" s="65" t="e">
        <f>G18-F18</f>
        <v>#VALUE!</v>
      </c>
      <c r="I18" s="96">
        <v>10</v>
      </c>
      <c r="J18" s="93">
        <v>1</v>
      </c>
      <c r="K18" s="94">
        <f>(E18*J18)/I18</f>
        <v>4.8</v>
      </c>
      <c r="L18" s="505" t="e">
        <f>AVERAGEIF(M18:CW20,"&gt;0")</f>
        <v>#DIV/0!</v>
      </c>
      <c r="M18" s="65" t="e">
        <f t="shared" ref="M18:V19" si="21">IF(AND(M$2&gt;=$F18,M$2&lt;($F18+$H18)),ROUND($K18/$H18,0),"-")</f>
        <v>#VALUE!</v>
      </c>
      <c r="N18" s="65" t="e">
        <f t="shared" si="21"/>
        <v>#VALUE!</v>
      </c>
      <c r="O18" s="65" t="e">
        <f t="shared" si="21"/>
        <v>#VALUE!</v>
      </c>
      <c r="P18" s="65" t="e">
        <f t="shared" si="21"/>
        <v>#VALUE!</v>
      </c>
      <c r="Q18" s="65" t="e">
        <f t="shared" si="21"/>
        <v>#VALUE!</v>
      </c>
      <c r="R18" s="65" t="e">
        <f t="shared" si="21"/>
        <v>#VALUE!</v>
      </c>
      <c r="S18" s="65" t="e">
        <f t="shared" si="21"/>
        <v>#VALUE!</v>
      </c>
      <c r="T18" s="65" t="e">
        <f t="shared" si="21"/>
        <v>#VALUE!</v>
      </c>
      <c r="U18" s="65" t="e">
        <f t="shared" si="21"/>
        <v>#VALUE!</v>
      </c>
      <c r="V18" s="65" t="e">
        <f t="shared" si="21"/>
        <v>#VALUE!</v>
      </c>
      <c r="W18" s="65" t="e">
        <f t="shared" ref="W18:AF19" si="22">IF(AND(W$2&gt;=$F18,W$2&lt;($F18+$H18)),ROUND($K18/$H18,0),"-")</f>
        <v>#VALUE!</v>
      </c>
      <c r="X18" s="65" t="e">
        <f t="shared" si="22"/>
        <v>#VALUE!</v>
      </c>
      <c r="Y18" s="65" t="e">
        <f t="shared" si="22"/>
        <v>#VALUE!</v>
      </c>
      <c r="Z18" s="65" t="e">
        <f t="shared" si="22"/>
        <v>#VALUE!</v>
      </c>
      <c r="AA18" s="65" t="e">
        <f t="shared" si="22"/>
        <v>#VALUE!</v>
      </c>
      <c r="AB18" s="65" t="e">
        <f t="shared" si="22"/>
        <v>#VALUE!</v>
      </c>
      <c r="AC18" s="65" t="e">
        <f t="shared" si="22"/>
        <v>#VALUE!</v>
      </c>
      <c r="AD18" s="65" t="e">
        <f t="shared" si="22"/>
        <v>#VALUE!</v>
      </c>
      <c r="AE18" s="65" t="e">
        <f t="shared" si="22"/>
        <v>#VALUE!</v>
      </c>
      <c r="AF18" s="65" t="e">
        <f t="shared" si="22"/>
        <v>#VALUE!</v>
      </c>
      <c r="AG18" s="65" t="e">
        <f t="shared" ref="AG18:AP19" si="23">IF(AND(AG$2&gt;=$F18,AG$2&lt;($F18+$H18)),ROUND($K18/$H18,0),"-")</f>
        <v>#VALUE!</v>
      </c>
      <c r="AH18" s="65" t="e">
        <f t="shared" si="23"/>
        <v>#VALUE!</v>
      </c>
      <c r="AI18" s="65" t="e">
        <f t="shared" si="23"/>
        <v>#VALUE!</v>
      </c>
      <c r="AJ18" s="65" t="e">
        <f t="shared" si="23"/>
        <v>#VALUE!</v>
      </c>
      <c r="AK18" s="65" t="e">
        <f t="shared" si="23"/>
        <v>#VALUE!</v>
      </c>
      <c r="AL18" s="65" t="e">
        <f t="shared" si="23"/>
        <v>#VALUE!</v>
      </c>
      <c r="AM18" s="65" t="e">
        <f t="shared" si="23"/>
        <v>#VALUE!</v>
      </c>
      <c r="AN18" s="65" t="e">
        <f t="shared" si="23"/>
        <v>#VALUE!</v>
      </c>
      <c r="AO18" s="65" t="e">
        <f t="shared" si="23"/>
        <v>#VALUE!</v>
      </c>
      <c r="AP18" s="65" t="e">
        <f t="shared" si="23"/>
        <v>#VALUE!</v>
      </c>
      <c r="AQ18" s="65" t="e">
        <f t="shared" ref="AQ18:BA19" si="24">IF(AND(AQ$2&gt;=$F18,AQ$2&lt;($F18+$H18)),ROUND($K18/$H18,0),"-")</f>
        <v>#VALUE!</v>
      </c>
      <c r="AR18" s="65" t="e">
        <f t="shared" si="24"/>
        <v>#VALUE!</v>
      </c>
      <c r="AS18" s="65" t="e">
        <f t="shared" si="24"/>
        <v>#VALUE!</v>
      </c>
      <c r="AT18" s="65" t="e">
        <f t="shared" si="24"/>
        <v>#VALUE!</v>
      </c>
      <c r="AU18" s="65" t="e">
        <f t="shared" si="24"/>
        <v>#VALUE!</v>
      </c>
      <c r="AV18" s="65" t="e">
        <f t="shared" si="24"/>
        <v>#VALUE!</v>
      </c>
      <c r="AW18" s="65" t="e">
        <f t="shared" si="24"/>
        <v>#VALUE!</v>
      </c>
      <c r="AX18" s="65" t="e">
        <f t="shared" si="24"/>
        <v>#VALUE!</v>
      </c>
      <c r="AY18" s="65" t="e">
        <f t="shared" si="24"/>
        <v>#VALUE!</v>
      </c>
      <c r="AZ18" s="65" t="e">
        <f t="shared" si="24"/>
        <v>#VALUE!</v>
      </c>
      <c r="BA18" s="65" t="e">
        <f t="shared" si="24"/>
        <v>#VALUE!</v>
      </c>
      <c r="BB18" s="260"/>
      <c r="BC18" s="260"/>
      <c r="BD18" s="260"/>
      <c r="BE18" s="260"/>
      <c r="BF18" s="260"/>
      <c r="BG18" s="260"/>
      <c r="BH18" s="260"/>
      <c r="BI18" s="260"/>
      <c r="BJ18" s="260"/>
      <c r="BK18" s="260"/>
      <c r="BL18" s="260"/>
      <c r="BM18" s="260"/>
      <c r="BN18" s="260"/>
      <c r="BO18" s="260"/>
      <c r="BP18" s="260"/>
      <c r="BQ18" s="260"/>
      <c r="BR18" s="260"/>
      <c r="BS18" s="260"/>
      <c r="BT18" s="260"/>
      <c r="BU18" s="260"/>
      <c r="BV18" s="260"/>
      <c r="BW18" s="260"/>
      <c r="BX18" s="260"/>
      <c r="BY18" s="260"/>
      <c r="BZ18" s="260"/>
      <c r="CA18" s="260"/>
      <c r="CB18" s="260"/>
      <c r="CC18" s="260"/>
      <c r="CD18" s="260"/>
      <c r="CE18" s="260"/>
      <c r="CF18" s="260"/>
      <c r="CG18" s="260"/>
      <c r="CH18" s="260"/>
      <c r="CI18" s="260"/>
      <c r="CJ18" s="260"/>
      <c r="CK18" s="260"/>
      <c r="CL18" s="260"/>
      <c r="CM18" s="260"/>
      <c r="CN18" s="260"/>
      <c r="CO18" s="260"/>
      <c r="CP18" s="260"/>
      <c r="CQ18" s="260"/>
      <c r="CR18" s="260"/>
      <c r="CS18" s="260"/>
      <c r="CT18" s="260"/>
      <c r="CU18" s="260"/>
      <c r="CV18" s="260"/>
      <c r="CW18" s="260"/>
    </row>
    <row r="19" spans="1:101" ht="12.75" customHeight="1">
      <c r="B19" s="109" t="s">
        <v>99</v>
      </c>
      <c r="C19" s="101">
        <v>768</v>
      </c>
      <c r="D19" s="258">
        <f>SUM('[1]Electrical Work'!$G$446:$G$451)</f>
        <v>810</v>
      </c>
      <c r="E19" s="258">
        <f>C19-D19</f>
        <v>-42</v>
      </c>
      <c r="F19" s="162" t="str">
        <f>F18</f>
        <v>16 Jul,
23 Jul
24 Jul</v>
      </c>
      <c r="G19" s="162" t="e">
        <f>G18</f>
        <v>#VALUE!</v>
      </c>
      <c r="H19" s="65" t="e">
        <f>G19-F19</f>
        <v>#VALUE!</v>
      </c>
      <c r="I19" s="259">
        <v>30</v>
      </c>
      <c r="J19" s="259">
        <v>18</v>
      </c>
      <c r="K19" s="102">
        <f>(E19*J19)/I19</f>
        <v>-25.2</v>
      </c>
      <c r="L19" s="505"/>
      <c r="M19" s="65" t="e">
        <f t="shared" si="21"/>
        <v>#VALUE!</v>
      </c>
      <c r="N19" s="65" t="e">
        <f t="shared" si="21"/>
        <v>#VALUE!</v>
      </c>
      <c r="O19" s="65" t="e">
        <f t="shared" si="21"/>
        <v>#VALUE!</v>
      </c>
      <c r="P19" s="65" t="e">
        <f t="shared" si="21"/>
        <v>#VALUE!</v>
      </c>
      <c r="Q19" s="65" t="e">
        <f t="shared" si="21"/>
        <v>#VALUE!</v>
      </c>
      <c r="R19" s="65" t="e">
        <f t="shared" si="21"/>
        <v>#VALUE!</v>
      </c>
      <c r="S19" s="65" t="e">
        <f t="shared" si="21"/>
        <v>#VALUE!</v>
      </c>
      <c r="T19" s="65" t="e">
        <f t="shared" si="21"/>
        <v>#VALUE!</v>
      </c>
      <c r="U19" s="65" t="e">
        <f t="shared" si="21"/>
        <v>#VALUE!</v>
      </c>
      <c r="V19" s="65" t="e">
        <f t="shared" si="21"/>
        <v>#VALUE!</v>
      </c>
      <c r="W19" s="65" t="e">
        <f t="shared" si="22"/>
        <v>#VALUE!</v>
      </c>
      <c r="X19" s="65" t="e">
        <f t="shared" si="22"/>
        <v>#VALUE!</v>
      </c>
      <c r="Y19" s="65" t="e">
        <f t="shared" si="22"/>
        <v>#VALUE!</v>
      </c>
      <c r="Z19" s="65" t="e">
        <f t="shared" si="22"/>
        <v>#VALUE!</v>
      </c>
      <c r="AA19" s="65" t="e">
        <f t="shared" si="22"/>
        <v>#VALUE!</v>
      </c>
      <c r="AB19" s="65" t="e">
        <f t="shared" si="22"/>
        <v>#VALUE!</v>
      </c>
      <c r="AC19" s="65" t="e">
        <f t="shared" si="22"/>
        <v>#VALUE!</v>
      </c>
      <c r="AD19" s="65" t="e">
        <f t="shared" si="22"/>
        <v>#VALUE!</v>
      </c>
      <c r="AE19" s="65" t="e">
        <f t="shared" si="22"/>
        <v>#VALUE!</v>
      </c>
      <c r="AF19" s="65" t="e">
        <f t="shared" si="22"/>
        <v>#VALUE!</v>
      </c>
      <c r="AG19" s="65" t="e">
        <f t="shared" si="23"/>
        <v>#VALUE!</v>
      </c>
      <c r="AH19" s="65" t="e">
        <f t="shared" si="23"/>
        <v>#VALUE!</v>
      </c>
      <c r="AI19" s="65" t="e">
        <f t="shared" si="23"/>
        <v>#VALUE!</v>
      </c>
      <c r="AJ19" s="65" t="e">
        <f t="shared" si="23"/>
        <v>#VALUE!</v>
      </c>
      <c r="AK19" s="65" t="e">
        <f t="shared" si="23"/>
        <v>#VALUE!</v>
      </c>
      <c r="AL19" s="65" t="e">
        <f t="shared" si="23"/>
        <v>#VALUE!</v>
      </c>
      <c r="AM19" s="65" t="e">
        <f t="shared" si="23"/>
        <v>#VALUE!</v>
      </c>
      <c r="AN19" s="65" t="e">
        <f t="shared" si="23"/>
        <v>#VALUE!</v>
      </c>
      <c r="AO19" s="65" t="e">
        <f t="shared" si="23"/>
        <v>#VALUE!</v>
      </c>
      <c r="AP19" s="65" t="e">
        <f t="shared" si="23"/>
        <v>#VALUE!</v>
      </c>
      <c r="AQ19" s="65" t="e">
        <f t="shared" si="24"/>
        <v>#VALUE!</v>
      </c>
      <c r="AR19" s="65" t="e">
        <f t="shared" si="24"/>
        <v>#VALUE!</v>
      </c>
      <c r="AS19" s="65" t="e">
        <f t="shared" si="24"/>
        <v>#VALUE!</v>
      </c>
      <c r="AT19" s="65" t="e">
        <f t="shared" si="24"/>
        <v>#VALUE!</v>
      </c>
      <c r="AU19" s="65" t="e">
        <f t="shared" si="24"/>
        <v>#VALUE!</v>
      </c>
      <c r="AV19" s="65" t="e">
        <f t="shared" si="24"/>
        <v>#VALUE!</v>
      </c>
      <c r="AW19" s="65" t="e">
        <f t="shared" si="24"/>
        <v>#VALUE!</v>
      </c>
      <c r="AX19" s="65" t="e">
        <f t="shared" si="24"/>
        <v>#VALUE!</v>
      </c>
      <c r="AY19" s="65" t="e">
        <f t="shared" si="24"/>
        <v>#VALUE!</v>
      </c>
      <c r="AZ19" s="65" t="e">
        <f t="shared" si="24"/>
        <v>#VALUE!</v>
      </c>
      <c r="BA19" s="65" t="e">
        <f t="shared" si="24"/>
        <v>#VALUE!</v>
      </c>
      <c r="BB19" s="65" t="e">
        <f t="shared" ref="BB19:CW19" si="25">IF(AND(BB$2&gt;=$F19,BB$2&lt;($F19+$H19)),ROUND($K19/$H19,0),"-")</f>
        <v>#VALUE!</v>
      </c>
      <c r="BC19" s="65" t="e">
        <f t="shared" si="25"/>
        <v>#VALUE!</v>
      </c>
      <c r="BD19" s="65" t="e">
        <f t="shared" si="25"/>
        <v>#VALUE!</v>
      </c>
      <c r="BE19" s="65" t="e">
        <f t="shared" si="25"/>
        <v>#VALUE!</v>
      </c>
      <c r="BF19" s="65" t="e">
        <f t="shared" si="25"/>
        <v>#VALUE!</v>
      </c>
      <c r="BG19" s="65" t="e">
        <f t="shared" si="25"/>
        <v>#VALUE!</v>
      </c>
      <c r="BH19" s="65" t="e">
        <f t="shared" si="25"/>
        <v>#VALUE!</v>
      </c>
      <c r="BI19" s="65" t="e">
        <f t="shared" si="25"/>
        <v>#VALUE!</v>
      </c>
      <c r="BJ19" s="65" t="e">
        <f t="shared" si="25"/>
        <v>#VALUE!</v>
      </c>
      <c r="BK19" s="65" t="e">
        <f t="shared" si="25"/>
        <v>#VALUE!</v>
      </c>
      <c r="BL19" s="65" t="e">
        <f t="shared" si="25"/>
        <v>#VALUE!</v>
      </c>
      <c r="BM19" s="65" t="e">
        <f t="shared" si="25"/>
        <v>#VALUE!</v>
      </c>
      <c r="BN19" s="65" t="e">
        <f t="shared" si="25"/>
        <v>#VALUE!</v>
      </c>
      <c r="BO19" s="65" t="e">
        <f t="shared" si="25"/>
        <v>#VALUE!</v>
      </c>
      <c r="BP19" s="65" t="e">
        <f t="shared" si="25"/>
        <v>#VALUE!</v>
      </c>
      <c r="BQ19" s="65" t="e">
        <f t="shared" si="25"/>
        <v>#VALUE!</v>
      </c>
      <c r="BR19" s="65" t="e">
        <f t="shared" si="25"/>
        <v>#VALUE!</v>
      </c>
      <c r="BS19" s="65" t="e">
        <f t="shared" si="25"/>
        <v>#VALUE!</v>
      </c>
      <c r="BT19" s="65" t="e">
        <f t="shared" si="25"/>
        <v>#VALUE!</v>
      </c>
      <c r="BU19" s="65" t="e">
        <f t="shared" si="25"/>
        <v>#VALUE!</v>
      </c>
      <c r="BV19" s="65" t="e">
        <f t="shared" si="25"/>
        <v>#VALUE!</v>
      </c>
      <c r="BW19" s="65" t="e">
        <f t="shared" si="25"/>
        <v>#VALUE!</v>
      </c>
      <c r="BX19" s="65" t="e">
        <f t="shared" si="25"/>
        <v>#VALUE!</v>
      </c>
      <c r="BY19" s="65" t="e">
        <f t="shared" si="25"/>
        <v>#VALUE!</v>
      </c>
      <c r="BZ19" s="65" t="e">
        <f t="shared" si="25"/>
        <v>#VALUE!</v>
      </c>
      <c r="CA19" s="65" t="e">
        <f t="shared" si="25"/>
        <v>#VALUE!</v>
      </c>
      <c r="CB19" s="65" t="e">
        <f t="shared" si="25"/>
        <v>#VALUE!</v>
      </c>
      <c r="CC19" s="65" t="e">
        <f t="shared" si="25"/>
        <v>#VALUE!</v>
      </c>
      <c r="CD19" s="65" t="e">
        <f t="shared" si="25"/>
        <v>#VALUE!</v>
      </c>
      <c r="CE19" s="65" t="e">
        <f t="shared" si="25"/>
        <v>#VALUE!</v>
      </c>
      <c r="CF19" s="65" t="e">
        <f t="shared" si="25"/>
        <v>#VALUE!</v>
      </c>
      <c r="CG19" s="65" t="e">
        <f t="shared" si="25"/>
        <v>#VALUE!</v>
      </c>
      <c r="CH19" s="65" t="e">
        <f t="shared" si="25"/>
        <v>#VALUE!</v>
      </c>
      <c r="CI19" s="65" t="e">
        <f t="shared" si="25"/>
        <v>#VALUE!</v>
      </c>
      <c r="CJ19" s="65" t="e">
        <f t="shared" si="25"/>
        <v>#VALUE!</v>
      </c>
      <c r="CK19" s="65" t="e">
        <f t="shared" si="25"/>
        <v>#VALUE!</v>
      </c>
      <c r="CL19" s="65" t="e">
        <f t="shared" si="25"/>
        <v>#VALUE!</v>
      </c>
      <c r="CM19" s="65" t="e">
        <f t="shared" si="25"/>
        <v>#VALUE!</v>
      </c>
      <c r="CN19" s="65" t="e">
        <f t="shared" si="25"/>
        <v>#VALUE!</v>
      </c>
      <c r="CO19" s="65" t="e">
        <f t="shared" si="25"/>
        <v>#VALUE!</v>
      </c>
      <c r="CP19" s="65" t="e">
        <f t="shared" si="25"/>
        <v>#VALUE!</v>
      </c>
      <c r="CQ19" s="65" t="e">
        <f t="shared" si="25"/>
        <v>#VALUE!</v>
      </c>
      <c r="CR19" s="65" t="e">
        <f t="shared" si="25"/>
        <v>#VALUE!</v>
      </c>
      <c r="CS19" s="65" t="e">
        <f t="shared" si="25"/>
        <v>#VALUE!</v>
      </c>
      <c r="CT19" s="65" t="e">
        <f t="shared" si="25"/>
        <v>#VALUE!</v>
      </c>
      <c r="CU19" s="65" t="e">
        <f t="shared" si="25"/>
        <v>#VALUE!</v>
      </c>
      <c r="CV19" s="65" t="e">
        <f t="shared" si="25"/>
        <v>#VALUE!</v>
      </c>
      <c r="CW19" s="65" t="e">
        <f t="shared" si="25"/>
        <v>#VALUE!</v>
      </c>
    </row>
    <row r="20" spans="1:101" ht="12.75" customHeight="1">
      <c r="B20" s="109" t="s">
        <v>100</v>
      </c>
      <c r="C20" s="101">
        <v>1344</v>
      </c>
      <c r="D20" s="101">
        <v>0</v>
      </c>
      <c r="E20" s="258">
        <f>C20-D20</f>
        <v>1344</v>
      </c>
      <c r="F20" s="162" t="str">
        <f>F19</f>
        <v>16 Jul,
23 Jul
24 Jul</v>
      </c>
      <c r="G20" s="162" t="e">
        <f>G19</f>
        <v>#VALUE!</v>
      </c>
      <c r="H20" s="65" t="e">
        <f>H19</f>
        <v>#VALUE!</v>
      </c>
      <c r="I20" s="101">
        <v>30</v>
      </c>
      <c r="J20" s="101">
        <v>6</v>
      </c>
      <c r="K20" s="102">
        <f>(E20*J20)/I20</f>
        <v>268.8</v>
      </c>
      <c r="L20" s="505"/>
      <c r="M20" s="65" t="e">
        <f t="shared" ref="M20:AA20" si="26">IF(AND(M$2&gt;=$F20,M$2&lt;($F20+$H20)),ROUND($K20/$H20,0),"-")</f>
        <v>#VALUE!</v>
      </c>
      <c r="N20" s="65" t="e">
        <f t="shared" si="26"/>
        <v>#VALUE!</v>
      </c>
      <c r="O20" s="65" t="e">
        <f t="shared" si="26"/>
        <v>#VALUE!</v>
      </c>
      <c r="P20" s="65" t="e">
        <f t="shared" si="26"/>
        <v>#VALUE!</v>
      </c>
      <c r="Q20" s="65" t="e">
        <f t="shared" si="26"/>
        <v>#VALUE!</v>
      </c>
      <c r="R20" s="65" t="e">
        <f t="shared" si="26"/>
        <v>#VALUE!</v>
      </c>
      <c r="S20" s="65" t="e">
        <f t="shared" si="26"/>
        <v>#VALUE!</v>
      </c>
      <c r="T20" s="65" t="e">
        <f t="shared" si="26"/>
        <v>#VALUE!</v>
      </c>
      <c r="U20" s="65" t="e">
        <f t="shared" si="26"/>
        <v>#VALUE!</v>
      </c>
      <c r="V20" s="65" t="e">
        <f t="shared" si="26"/>
        <v>#VALUE!</v>
      </c>
      <c r="W20" s="65" t="e">
        <f t="shared" si="26"/>
        <v>#VALUE!</v>
      </c>
      <c r="X20" s="65" t="e">
        <f t="shared" si="26"/>
        <v>#VALUE!</v>
      </c>
      <c r="Y20" s="65" t="e">
        <f t="shared" si="26"/>
        <v>#VALUE!</v>
      </c>
      <c r="Z20" s="65" t="e">
        <f t="shared" si="26"/>
        <v>#VALUE!</v>
      </c>
      <c r="AA20" s="65" t="e">
        <f t="shared" si="26"/>
        <v>#VALUE!</v>
      </c>
      <c r="AB20" s="65" t="e">
        <f t="shared" ref="AB20:BG20" si="27">IF(AND(AB$2&gt;=$F20,AB$2&lt;($F20+$H20)),ROUND($K20/$H20,0),"-")</f>
        <v>#VALUE!</v>
      </c>
      <c r="AC20" s="65" t="e">
        <f t="shared" si="27"/>
        <v>#VALUE!</v>
      </c>
      <c r="AD20" s="65" t="e">
        <f t="shared" si="27"/>
        <v>#VALUE!</v>
      </c>
      <c r="AE20" s="65" t="e">
        <f t="shared" si="27"/>
        <v>#VALUE!</v>
      </c>
      <c r="AF20" s="65" t="e">
        <f t="shared" si="27"/>
        <v>#VALUE!</v>
      </c>
      <c r="AG20" s="65" t="e">
        <f t="shared" si="27"/>
        <v>#VALUE!</v>
      </c>
      <c r="AH20" s="65" t="e">
        <f t="shared" si="27"/>
        <v>#VALUE!</v>
      </c>
      <c r="AI20" s="65" t="e">
        <f t="shared" si="27"/>
        <v>#VALUE!</v>
      </c>
      <c r="AJ20" s="65" t="e">
        <f t="shared" si="27"/>
        <v>#VALUE!</v>
      </c>
      <c r="AK20" s="65" t="e">
        <f t="shared" si="27"/>
        <v>#VALUE!</v>
      </c>
      <c r="AL20" s="65" t="e">
        <f t="shared" si="27"/>
        <v>#VALUE!</v>
      </c>
      <c r="AM20" s="65" t="e">
        <f t="shared" si="27"/>
        <v>#VALUE!</v>
      </c>
      <c r="AN20" s="65" t="e">
        <f t="shared" si="27"/>
        <v>#VALUE!</v>
      </c>
      <c r="AO20" s="65" t="e">
        <f t="shared" si="27"/>
        <v>#VALUE!</v>
      </c>
      <c r="AP20" s="65" t="e">
        <f t="shared" si="27"/>
        <v>#VALUE!</v>
      </c>
      <c r="AQ20" s="65" t="e">
        <f t="shared" si="27"/>
        <v>#VALUE!</v>
      </c>
      <c r="AR20" s="65" t="e">
        <f t="shared" si="27"/>
        <v>#VALUE!</v>
      </c>
      <c r="AS20" s="65" t="e">
        <f t="shared" si="27"/>
        <v>#VALUE!</v>
      </c>
      <c r="AT20" s="65" t="e">
        <f t="shared" si="27"/>
        <v>#VALUE!</v>
      </c>
      <c r="AU20" s="65" t="e">
        <f t="shared" si="27"/>
        <v>#VALUE!</v>
      </c>
      <c r="AV20" s="65" t="e">
        <f t="shared" si="27"/>
        <v>#VALUE!</v>
      </c>
      <c r="AW20" s="65" t="e">
        <f t="shared" si="27"/>
        <v>#VALUE!</v>
      </c>
      <c r="AX20" s="65" t="e">
        <f t="shared" si="27"/>
        <v>#VALUE!</v>
      </c>
      <c r="AY20" s="65" t="e">
        <f t="shared" si="27"/>
        <v>#VALUE!</v>
      </c>
      <c r="AZ20" s="65" t="e">
        <f t="shared" si="27"/>
        <v>#VALUE!</v>
      </c>
      <c r="BA20" s="65" t="e">
        <f t="shared" si="27"/>
        <v>#VALUE!</v>
      </c>
      <c r="BB20" s="65" t="e">
        <f t="shared" si="27"/>
        <v>#VALUE!</v>
      </c>
      <c r="BC20" s="65" t="e">
        <f t="shared" si="27"/>
        <v>#VALUE!</v>
      </c>
      <c r="BD20" s="65" t="e">
        <f t="shared" si="27"/>
        <v>#VALUE!</v>
      </c>
      <c r="BE20" s="65" t="e">
        <f t="shared" si="27"/>
        <v>#VALUE!</v>
      </c>
      <c r="BF20" s="65" t="e">
        <f t="shared" si="27"/>
        <v>#VALUE!</v>
      </c>
      <c r="BG20" s="65" t="e">
        <f t="shared" si="27"/>
        <v>#VALUE!</v>
      </c>
      <c r="BH20" s="65" t="e">
        <f t="shared" ref="BH20:CM20" si="28">IF(AND(BH$2&gt;=$F20,BH$2&lt;($F20+$H20)),ROUND($K20/$H20,0),"-")</f>
        <v>#VALUE!</v>
      </c>
      <c r="BI20" s="65" t="e">
        <f t="shared" si="28"/>
        <v>#VALUE!</v>
      </c>
      <c r="BJ20" s="65" t="e">
        <f t="shared" si="28"/>
        <v>#VALUE!</v>
      </c>
      <c r="BK20" s="65" t="e">
        <f t="shared" si="28"/>
        <v>#VALUE!</v>
      </c>
      <c r="BL20" s="65" t="e">
        <f t="shared" si="28"/>
        <v>#VALUE!</v>
      </c>
      <c r="BM20" s="65" t="e">
        <f t="shared" si="28"/>
        <v>#VALUE!</v>
      </c>
      <c r="BN20" s="65" t="e">
        <f t="shared" si="28"/>
        <v>#VALUE!</v>
      </c>
      <c r="BO20" s="65" t="e">
        <f t="shared" si="28"/>
        <v>#VALUE!</v>
      </c>
      <c r="BP20" s="65" t="e">
        <f t="shared" si="28"/>
        <v>#VALUE!</v>
      </c>
      <c r="BQ20" s="65" t="e">
        <f t="shared" si="28"/>
        <v>#VALUE!</v>
      </c>
      <c r="BR20" s="65" t="e">
        <f t="shared" si="28"/>
        <v>#VALUE!</v>
      </c>
      <c r="BS20" s="65" t="e">
        <f t="shared" si="28"/>
        <v>#VALUE!</v>
      </c>
      <c r="BT20" s="65" t="e">
        <f t="shared" si="28"/>
        <v>#VALUE!</v>
      </c>
      <c r="BU20" s="65" t="e">
        <f t="shared" si="28"/>
        <v>#VALUE!</v>
      </c>
      <c r="BV20" s="65" t="e">
        <f t="shared" si="28"/>
        <v>#VALUE!</v>
      </c>
      <c r="BW20" s="65" t="e">
        <f t="shared" si="28"/>
        <v>#VALUE!</v>
      </c>
      <c r="BX20" s="65" t="e">
        <f t="shared" si="28"/>
        <v>#VALUE!</v>
      </c>
      <c r="BY20" s="65" t="e">
        <f t="shared" si="28"/>
        <v>#VALUE!</v>
      </c>
      <c r="BZ20" s="65" t="e">
        <f t="shared" si="28"/>
        <v>#VALUE!</v>
      </c>
      <c r="CA20" s="65" t="e">
        <f t="shared" si="28"/>
        <v>#VALUE!</v>
      </c>
      <c r="CB20" s="65" t="e">
        <f t="shared" si="28"/>
        <v>#VALUE!</v>
      </c>
      <c r="CC20" s="65" t="e">
        <f t="shared" si="28"/>
        <v>#VALUE!</v>
      </c>
      <c r="CD20" s="65" t="e">
        <f t="shared" si="28"/>
        <v>#VALUE!</v>
      </c>
      <c r="CE20" s="65" t="e">
        <f t="shared" si="28"/>
        <v>#VALUE!</v>
      </c>
      <c r="CF20" s="65" t="e">
        <f t="shared" si="28"/>
        <v>#VALUE!</v>
      </c>
      <c r="CG20" s="65" t="e">
        <f t="shared" si="28"/>
        <v>#VALUE!</v>
      </c>
      <c r="CH20" s="65" t="e">
        <f t="shared" si="28"/>
        <v>#VALUE!</v>
      </c>
      <c r="CI20" s="65" t="e">
        <f t="shared" si="28"/>
        <v>#VALUE!</v>
      </c>
      <c r="CJ20" s="65" t="e">
        <f t="shared" si="28"/>
        <v>#VALUE!</v>
      </c>
      <c r="CK20" s="65" t="e">
        <f t="shared" si="28"/>
        <v>#VALUE!</v>
      </c>
      <c r="CL20" s="65" t="e">
        <f t="shared" si="28"/>
        <v>#VALUE!</v>
      </c>
      <c r="CM20" s="65" t="e">
        <f t="shared" si="28"/>
        <v>#VALUE!</v>
      </c>
      <c r="CN20" s="65" t="e">
        <f t="shared" ref="CN20:CW20" si="29">IF(AND(CN$2&gt;=$F20,CN$2&lt;($F20+$H20)),ROUND($K20/$H20,0),"-")</f>
        <v>#VALUE!</v>
      </c>
      <c r="CO20" s="65" t="e">
        <f t="shared" si="29"/>
        <v>#VALUE!</v>
      </c>
      <c r="CP20" s="65" t="e">
        <f t="shared" si="29"/>
        <v>#VALUE!</v>
      </c>
      <c r="CQ20" s="65" t="e">
        <f t="shared" si="29"/>
        <v>#VALUE!</v>
      </c>
      <c r="CR20" s="65" t="e">
        <f t="shared" si="29"/>
        <v>#VALUE!</v>
      </c>
      <c r="CS20" s="65" t="e">
        <f t="shared" si="29"/>
        <v>#VALUE!</v>
      </c>
      <c r="CT20" s="65" t="e">
        <f t="shared" si="29"/>
        <v>#VALUE!</v>
      </c>
      <c r="CU20" s="65" t="e">
        <f t="shared" si="29"/>
        <v>#VALUE!</v>
      </c>
      <c r="CV20" s="65" t="e">
        <f t="shared" si="29"/>
        <v>#VALUE!</v>
      </c>
      <c r="CW20" s="65" t="e">
        <f t="shared" si="29"/>
        <v>#VALUE!</v>
      </c>
    </row>
    <row r="22" spans="1:101">
      <c r="B22" s="109" t="s">
        <v>91</v>
      </c>
      <c r="C22" s="109" t="s">
        <v>92</v>
      </c>
      <c r="D22" s="109" t="s">
        <v>93</v>
      </c>
      <c r="E22" s="109" t="s">
        <v>94</v>
      </c>
      <c r="F22" s="109" t="s">
        <v>78</v>
      </c>
      <c r="G22" s="109" t="s">
        <v>79</v>
      </c>
      <c r="H22" s="109" t="s">
        <v>59</v>
      </c>
      <c r="I22" s="109" t="s">
        <v>95</v>
      </c>
      <c r="J22" s="109" t="s">
        <v>96</v>
      </c>
      <c r="K22" s="109" t="s">
        <v>97</v>
      </c>
      <c r="L22" s="109" t="s">
        <v>80</v>
      </c>
      <c r="M22" s="260">
        <v>46201</v>
      </c>
      <c r="N22" s="260">
        <v>46202</v>
      </c>
      <c r="O22" s="260">
        <v>46203</v>
      </c>
      <c r="P22" s="260">
        <v>46204</v>
      </c>
      <c r="Q22" s="260">
        <v>46205</v>
      </c>
      <c r="R22" s="260">
        <v>46206</v>
      </c>
      <c r="S22" s="260">
        <v>46207</v>
      </c>
      <c r="T22" s="260">
        <v>46208</v>
      </c>
      <c r="U22" s="260">
        <v>46209</v>
      </c>
      <c r="V22" s="260">
        <v>46210</v>
      </c>
      <c r="W22" s="260">
        <v>46211</v>
      </c>
      <c r="X22" s="260">
        <v>46212</v>
      </c>
      <c r="Y22" s="260">
        <v>46213</v>
      </c>
      <c r="Z22" s="260">
        <v>46214</v>
      </c>
      <c r="AA22" s="260">
        <v>46215</v>
      </c>
      <c r="AB22" s="260">
        <v>46216</v>
      </c>
      <c r="AC22" s="260">
        <v>46217</v>
      </c>
      <c r="AD22" s="260">
        <v>46218</v>
      </c>
      <c r="AE22" s="260">
        <v>46219</v>
      </c>
      <c r="AF22" s="260">
        <v>46220</v>
      </c>
      <c r="AG22" s="260">
        <v>46221</v>
      </c>
      <c r="AH22" s="260">
        <v>46222</v>
      </c>
      <c r="AI22" s="260">
        <v>46223</v>
      </c>
      <c r="AJ22" s="260">
        <v>46224</v>
      </c>
      <c r="AK22" s="260">
        <v>46225</v>
      </c>
      <c r="AL22" s="260">
        <v>46226</v>
      </c>
      <c r="AM22" s="260">
        <v>46227</v>
      </c>
      <c r="AN22" s="260">
        <v>46228</v>
      </c>
      <c r="AO22" s="260">
        <v>46229</v>
      </c>
      <c r="AP22" s="260">
        <v>46230</v>
      </c>
      <c r="AQ22" s="260">
        <v>46231</v>
      </c>
      <c r="AR22" s="260">
        <v>46232</v>
      </c>
      <c r="AS22" s="260">
        <v>46233</v>
      </c>
      <c r="AT22" s="260">
        <v>46234</v>
      </c>
      <c r="AU22" s="260">
        <v>46235</v>
      </c>
      <c r="AV22" s="260">
        <v>46236</v>
      </c>
      <c r="AW22" s="260">
        <v>46237</v>
      </c>
      <c r="AX22" s="260">
        <v>46238</v>
      </c>
      <c r="AY22" s="260">
        <v>46239</v>
      </c>
      <c r="AZ22" s="260">
        <v>46240</v>
      </c>
      <c r="BA22" s="260">
        <v>46241</v>
      </c>
      <c r="BB22" s="260">
        <v>46242</v>
      </c>
      <c r="BC22" s="260">
        <v>46243</v>
      </c>
      <c r="BD22" s="260">
        <v>46244</v>
      </c>
      <c r="BE22" s="260">
        <v>46245</v>
      </c>
      <c r="BF22" s="260">
        <v>46246</v>
      </c>
      <c r="BG22" s="260">
        <v>46247</v>
      </c>
      <c r="BH22" s="260">
        <v>46248</v>
      </c>
      <c r="BI22" s="260">
        <v>46249</v>
      </c>
      <c r="BJ22" s="260">
        <v>46250</v>
      </c>
      <c r="BK22" s="260">
        <v>46251</v>
      </c>
      <c r="BL22" s="260">
        <v>46252</v>
      </c>
      <c r="BM22" s="260">
        <v>46253</v>
      </c>
      <c r="BN22" s="260">
        <v>46254</v>
      </c>
      <c r="BO22" s="260">
        <v>46255</v>
      </c>
      <c r="BP22" s="260">
        <v>46256</v>
      </c>
      <c r="BQ22" s="260">
        <v>46257</v>
      </c>
      <c r="BR22" s="260">
        <v>46258</v>
      </c>
      <c r="BS22" s="260">
        <v>46259</v>
      </c>
      <c r="BT22" s="260">
        <v>46260</v>
      </c>
      <c r="BU22" s="260">
        <v>46261</v>
      </c>
      <c r="BV22" s="260">
        <v>46262</v>
      </c>
      <c r="BW22" s="260">
        <v>46263</v>
      </c>
      <c r="BX22" s="260">
        <v>46264</v>
      </c>
      <c r="BY22" s="260">
        <v>46265</v>
      </c>
      <c r="BZ22" s="260">
        <v>46266</v>
      </c>
      <c r="CA22" s="260">
        <v>46267</v>
      </c>
      <c r="CB22" s="260">
        <v>46268</v>
      </c>
      <c r="CC22" s="260">
        <v>46269</v>
      </c>
      <c r="CD22" s="260">
        <v>46270</v>
      </c>
      <c r="CE22" s="260">
        <v>46271</v>
      </c>
      <c r="CF22" s="260">
        <v>46272</v>
      </c>
      <c r="CG22" s="260">
        <v>46273</v>
      </c>
      <c r="CH22" s="260">
        <v>46274</v>
      </c>
      <c r="CI22" s="260">
        <v>46275</v>
      </c>
      <c r="CJ22" s="260">
        <v>46276</v>
      </c>
      <c r="CK22" s="260">
        <v>46277</v>
      </c>
      <c r="CL22" s="260">
        <v>46278</v>
      </c>
      <c r="CM22" s="260">
        <v>46279</v>
      </c>
      <c r="CN22" s="260">
        <v>46280</v>
      </c>
      <c r="CO22" s="260">
        <v>46281</v>
      </c>
      <c r="CP22" s="260">
        <v>46282</v>
      </c>
      <c r="CQ22" s="260">
        <v>46283</v>
      </c>
      <c r="CR22" s="260">
        <v>46284</v>
      </c>
      <c r="CS22" s="260">
        <v>46285</v>
      </c>
      <c r="CT22" s="260">
        <v>46286</v>
      </c>
      <c r="CU22" s="260">
        <v>46287</v>
      </c>
      <c r="CV22" s="260">
        <v>46288</v>
      </c>
      <c r="CW22" s="260">
        <v>46289</v>
      </c>
    </row>
    <row r="23" spans="1:101" ht="12.75" customHeight="1">
      <c r="A23" t="s">
        <v>104</v>
      </c>
      <c r="B23" s="138" t="s">
        <v>21</v>
      </c>
      <c r="C23" s="101">
        <v>48</v>
      </c>
      <c r="D23" s="102">
        <v>0</v>
      </c>
      <c r="E23" s="258">
        <f>C23-D23</f>
        <v>48</v>
      </c>
      <c r="F23" s="165" t="str">
        <f>'BESS 11'!D187</f>
        <v>04 Aug,
15 Aug
24 Aug
31 Aug</v>
      </c>
      <c r="G23" s="165" t="e">
        <f>F23+4</f>
        <v>#VALUE!</v>
      </c>
      <c r="H23" s="65" t="e">
        <f>G23-F23</f>
        <v>#VALUE!</v>
      </c>
      <c r="I23" s="96">
        <v>10</v>
      </c>
      <c r="J23" s="93">
        <v>1</v>
      </c>
      <c r="K23" s="94">
        <f>(E23*J23)/I23</f>
        <v>4.8</v>
      </c>
      <c r="L23" s="505" t="e">
        <f>AVERAGEIF(M23:CW25,"&gt;0")</f>
        <v>#DIV/0!</v>
      </c>
      <c r="M23" s="65" t="e">
        <f t="shared" ref="M23:V24" si="30">IF(AND(M$2&gt;=$F23,M$2&lt;($F23+$H23)),ROUND($K23/$H23,0),"-")</f>
        <v>#VALUE!</v>
      </c>
      <c r="N23" s="65" t="e">
        <f t="shared" si="30"/>
        <v>#VALUE!</v>
      </c>
      <c r="O23" s="65" t="e">
        <f t="shared" si="30"/>
        <v>#VALUE!</v>
      </c>
      <c r="P23" s="65" t="e">
        <f t="shared" si="30"/>
        <v>#VALUE!</v>
      </c>
      <c r="Q23" s="65" t="e">
        <f t="shared" si="30"/>
        <v>#VALUE!</v>
      </c>
      <c r="R23" s="65" t="e">
        <f t="shared" si="30"/>
        <v>#VALUE!</v>
      </c>
      <c r="S23" s="65" t="e">
        <f t="shared" si="30"/>
        <v>#VALUE!</v>
      </c>
      <c r="T23" s="65" t="e">
        <f t="shared" si="30"/>
        <v>#VALUE!</v>
      </c>
      <c r="U23" s="65" t="e">
        <f t="shared" si="30"/>
        <v>#VALUE!</v>
      </c>
      <c r="V23" s="65" t="e">
        <f t="shared" si="30"/>
        <v>#VALUE!</v>
      </c>
      <c r="W23" s="65" t="e">
        <f t="shared" ref="W23:AF24" si="31">IF(AND(W$2&gt;=$F23,W$2&lt;($F23+$H23)),ROUND($K23/$H23,0),"-")</f>
        <v>#VALUE!</v>
      </c>
      <c r="X23" s="65" t="e">
        <f t="shared" si="31"/>
        <v>#VALUE!</v>
      </c>
      <c r="Y23" s="65" t="e">
        <f t="shared" si="31"/>
        <v>#VALUE!</v>
      </c>
      <c r="Z23" s="65" t="e">
        <f t="shared" si="31"/>
        <v>#VALUE!</v>
      </c>
      <c r="AA23" s="65" t="e">
        <f t="shared" si="31"/>
        <v>#VALUE!</v>
      </c>
      <c r="AB23" s="65" t="e">
        <f t="shared" si="31"/>
        <v>#VALUE!</v>
      </c>
      <c r="AC23" s="65" t="e">
        <f t="shared" si="31"/>
        <v>#VALUE!</v>
      </c>
      <c r="AD23" s="65" t="e">
        <f t="shared" si="31"/>
        <v>#VALUE!</v>
      </c>
      <c r="AE23" s="65" t="e">
        <f t="shared" si="31"/>
        <v>#VALUE!</v>
      </c>
      <c r="AF23" s="65" t="e">
        <f t="shared" si="31"/>
        <v>#VALUE!</v>
      </c>
      <c r="AG23" s="65" t="e">
        <f t="shared" ref="AG23:AP24" si="32">IF(AND(AG$2&gt;=$F23,AG$2&lt;($F23+$H23)),ROUND($K23/$H23,0),"-")</f>
        <v>#VALUE!</v>
      </c>
      <c r="AH23" s="65" t="e">
        <f t="shared" si="32"/>
        <v>#VALUE!</v>
      </c>
      <c r="AI23" s="65" t="e">
        <f t="shared" si="32"/>
        <v>#VALUE!</v>
      </c>
      <c r="AJ23" s="65" t="e">
        <f t="shared" si="32"/>
        <v>#VALUE!</v>
      </c>
      <c r="AK23" s="65" t="e">
        <f t="shared" si="32"/>
        <v>#VALUE!</v>
      </c>
      <c r="AL23" s="65" t="e">
        <f t="shared" si="32"/>
        <v>#VALUE!</v>
      </c>
      <c r="AM23" s="65" t="e">
        <f t="shared" si="32"/>
        <v>#VALUE!</v>
      </c>
      <c r="AN23" s="65" t="e">
        <f t="shared" si="32"/>
        <v>#VALUE!</v>
      </c>
      <c r="AO23" s="65" t="e">
        <f t="shared" si="32"/>
        <v>#VALUE!</v>
      </c>
      <c r="AP23" s="65" t="e">
        <f t="shared" si="32"/>
        <v>#VALUE!</v>
      </c>
      <c r="AQ23" s="65" t="e">
        <f t="shared" ref="AQ23:BA24" si="33">IF(AND(AQ$2&gt;=$F23,AQ$2&lt;($F23+$H23)),ROUND($K23/$H23,0),"-")</f>
        <v>#VALUE!</v>
      </c>
      <c r="AR23" s="65" t="e">
        <f t="shared" si="33"/>
        <v>#VALUE!</v>
      </c>
      <c r="AS23" s="65" t="e">
        <f t="shared" si="33"/>
        <v>#VALUE!</v>
      </c>
      <c r="AT23" s="65" t="e">
        <f t="shared" si="33"/>
        <v>#VALUE!</v>
      </c>
      <c r="AU23" s="65" t="e">
        <f t="shared" si="33"/>
        <v>#VALUE!</v>
      </c>
      <c r="AV23" s="65" t="e">
        <f t="shared" si="33"/>
        <v>#VALUE!</v>
      </c>
      <c r="AW23" s="65" t="e">
        <f t="shared" si="33"/>
        <v>#VALUE!</v>
      </c>
      <c r="AX23" s="65" t="e">
        <f t="shared" si="33"/>
        <v>#VALUE!</v>
      </c>
      <c r="AY23" s="65" t="e">
        <f t="shared" si="33"/>
        <v>#VALUE!</v>
      </c>
      <c r="AZ23" s="65" t="e">
        <f t="shared" si="33"/>
        <v>#VALUE!</v>
      </c>
      <c r="BA23" s="65" t="e">
        <f t="shared" si="33"/>
        <v>#VALUE!</v>
      </c>
      <c r="BB23" s="260"/>
      <c r="BC23" s="260"/>
      <c r="BD23" s="260"/>
      <c r="BE23" s="260"/>
      <c r="BF23" s="260"/>
      <c r="BG23" s="260"/>
      <c r="BH23" s="260"/>
      <c r="BI23" s="260"/>
      <c r="BJ23" s="260"/>
      <c r="BK23" s="260"/>
      <c r="BL23" s="260"/>
      <c r="BM23" s="260"/>
      <c r="BN23" s="260"/>
      <c r="BO23" s="260"/>
      <c r="BP23" s="260"/>
      <c r="BQ23" s="260"/>
      <c r="BR23" s="260"/>
      <c r="BS23" s="260"/>
      <c r="BT23" s="260"/>
      <c r="BU23" s="260"/>
      <c r="BV23" s="260"/>
      <c r="BW23" s="260"/>
      <c r="BX23" s="260"/>
      <c r="BY23" s="260"/>
      <c r="BZ23" s="260"/>
      <c r="CA23" s="260"/>
      <c r="CB23" s="260"/>
      <c r="CC23" s="260"/>
      <c r="CD23" s="260"/>
      <c r="CE23" s="260"/>
      <c r="CF23" s="260"/>
      <c r="CG23" s="260"/>
      <c r="CH23" s="260"/>
      <c r="CI23" s="260"/>
      <c r="CJ23" s="260"/>
      <c r="CK23" s="260"/>
      <c r="CL23" s="260"/>
      <c r="CM23" s="260"/>
      <c r="CN23" s="260"/>
      <c r="CO23" s="260"/>
      <c r="CP23" s="260"/>
      <c r="CQ23" s="260"/>
      <c r="CR23" s="260"/>
      <c r="CS23" s="260"/>
      <c r="CT23" s="260"/>
      <c r="CU23" s="260"/>
      <c r="CV23" s="260"/>
      <c r="CW23" s="260"/>
    </row>
    <row r="24" spans="1:101" ht="12.75" customHeight="1">
      <c r="B24" s="109" t="s">
        <v>99</v>
      </c>
      <c r="C24" s="101">
        <v>768</v>
      </c>
      <c r="D24" s="258">
        <f>SUM('[1]Electrical Work'!$G$446:$G$451)</f>
        <v>810</v>
      </c>
      <c r="E24" s="258">
        <f>C24-D24</f>
        <v>-42</v>
      </c>
      <c r="F24" s="162" t="str">
        <f>F23</f>
        <v>04 Aug,
15 Aug
24 Aug
31 Aug</v>
      </c>
      <c r="G24" s="162" t="e">
        <f>G23</f>
        <v>#VALUE!</v>
      </c>
      <c r="H24" s="65" t="e">
        <f>G24-F24</f>
        <v>#VALUE!</v>
      </c>
      <c r="I24" s="259">
        <v>30</v>
      </c>
      <c r="J24" s="259">
        <v>18</v>
      </c>
      <c r="K24" s="102">
        <f>(E24*J24)/I24</f>
        <v>-25.2</v>
      </c>
      <c r="L24" s="505"/>
      <c r="M24" s="65" t="e">
        <f t="shared" si="30"/>
        <v>#VALUE!</v>
      </c>
      <c r="N24" s="65" t="e">
        <f t="shared" si="30"/>
        <v>#VALUE!</v>
      </c>
      <c r="O24" s="65" t="e">
        <f t="shared" si="30"/>
        <v>#VALUE!</v>
      </c>
      <c r="P24" s="65" t="e">
        <f t="shared" si="30"/>
        <v>#VALUE!</v>
      </c>
      <c r="Q24" s="65" t="e">
        <f t="shared" si="30"/>
        <v>#VALUE!</v>
      </c>
      <c r="R24" s="65" t="e">
        <f t="shared" si="30"/>
        <v>#VALUE!</v>
      </c>
      <c r="S24" s="65" t="e">
        <f t="shared" si="30"/>
        <v>#VALUE!</v>
      </c>
      <c r="T24" s="65" t="e">
        <f t="shared" si="30"/>
        <v>#VALUE!</v>
      </c>
      <c r="U24" s="65" t="e">
        <f t="shared" si="30"/>
        <v>#VALUE!</v>
      </c>
      <c r="V24" s="65" t="e">
        <f t="shared" si="30"/>
        <v>#VALUE!</v>
      </c>
      <c r="W24" s="65" t="e">
        <f t="shared" si="31"/>
        <v>#VALUE!</v>
      </c>
      <c r="X24" s="65" t="e">
        <f t="shared" si="31"/>
        <v>#VALUE!</v>
      </c>
      <c r="Y24" s="65" t="e">
        <f t="shared" si="31"/>
        <v>#VALUE!</v>
      </c>
      <c r="Z24" s="65" t="e">
        <f t="shared" si="31"/>
        <v>#VALUE!</v>
      </c>
      <c r="AA24" s="65" t="e">
        <f t="shared" si="31"/>
        <v>#VALUE!</v>
      </c>
      <c r="AB24" s="65" t="e">
        <f t="shared" si="31"/>
        <v>#VALUE!</v>
      </c>
      <c r="AC24" s="65" t="e">
        <f t="shared" si="31"/>
        <v>#VALUE!</v>
      </c>
      <c r="AD24" s="65" t="e">
        <f t="shared" si="31"/>
        <v>#VALUE!</v>
      </c>
      <c r="AE24" s="65" t="e">
        <f t="shared" si="31"/>
        <v>#VALUE!</v>
      </c>
      <c r="AF24" s="65" t="e">
        <f t="shared" si="31"/>
        <v>#VALUE!</v>
      </c>
      <c r="AG24" s="65" t="e">
        <f t="shared" si="32"/>
        <v>#VALUE!</v>
      </c>
      <c r="AH24" s="65" t="e">
        <f t="shared" si="32"/>
        <v>#VALUE!</v>
      </c>
      <c r="AI24" s="65" t="e">
        <f t="shared" si="32"/>
        <v>#VALUE!</v>
      </c>
      <c r="AJ24" s="65" t="e">
        <f t="shared" si="32"/>
        <v>#VALUE!</v>
      </c>
      <c r="AK24" s="65" t="e">
        <f t="shared" si="32"/>
        <v>#VALUE!</v>
      </c>
      <c r="AL24" s="65" t="e">
        <f t="shared" si="32"/>
        <v>#VALUE!</v>
      </c>
      <c r="AM24" s="65" t="e">
        <f t="shared" si="32"/>
        <v>#VALUE!</v>
      </c>
      <c r="AN24" s="65" t="e">
        <f t="shared" si="32"/>
        <v>#VALUE!</v>
      </c>
      <c r="AO24" s="65" t="e">
        <f t="shared" si="32"/>
        <v>#VALUE!</v>
      </c>
      <c r="AP24" s="65" t="e">
        <f t="shared" si="32"/>
        <v>#VALUE!</v>
      </c>
      <c r="AQ24" s="65" t="e">
        <f t="shared" si="33"/>
        <v>#VALUE!</v>
      </c>
      <c r="AR24" s="65" t="e">
        <f t="shared" si="33"/>
        <v>#VALUE!</v>
      </c>
      <c r="AS24" s="65" t="e">
        <f t="shared" si="33"/>
        <v>#VALUE!</v>
      </c>
      <c r="AT24" s="65" t="e">
        <f t="shared" si="33"/>
        <v>#VALUE!</v>
      </c>
      <c r="AU24" s="65" t="e">
        <f t="shared" si="33"/>
        <v>#VALUE!</v>
      </c>
      <c r="AV24" s="65" t="e">
        <f t="shared" si="33"/>
        <v>#VALUE!</v>
      </c>
      <c r="AW24" s="65" t="e">
        <f t="shared" si="33"/>
        <v>#VALUE!</v>
      </c>
      <c r="AX24" s="65" t="e">
        <f t="shared" si="33"/>
        <v>#VALUE!</v>
      </c>
      <c r="AY24" s="65" t="e">
        <f t="shared" si="33"/>
        <v>#VALUE!</v>
      </c>
      <c r="AZ24" s="65" t="e">
        <f t="shared" si="33"/>
        <v>#VALUE!</v>
      </c>
      <c r="BA24" s="65" t="e">
        <f t="shared" si="33"/>
        <v>#VALUE!</v>
      </c>
      <c r="BB24" s="65" t="e">
        <f t="shared" ref="BB24:CW24" si="34">IF(AND(BB$2&gt;=$F24,BB$2&lt;($F24+$H24)),ROUND($K24/$H24,0),"-")</f>
        <v>#VALUE!</v>
      </c>
      <c r="BC24" s="65" t="e">
        <f t="shared" si="34"/>
        <v>#VALUE!</v>
      </c>
      <c r="BD24" s="65" t="e">
        <f t="shared" si="34"/>
        <v>#VALUE!</v>
      </c>
      <c r="BE24" s="65" t="e">
        <f t="shared" si="34"/>
        <v>#VALUE!</v>
      </c>
      <c r="BF24" s="65" t="e">
        <f t="shared" si="34"/>
        <v>#VALUE!</v>
      </c>
      <c r="BG24" s="65" t="e">
        <f t="shared" si="34"/>
        <v>#VALUE!</v>
      </c>
      <c r="BH24" s="65" t="e">
        <f t="shared" si="34"/>
        <v>#VALUE!</v>
      </c>
      <c r="BI24" s="65" t="e">
        <f t="shared" si="34"/>
        <v>#VALUE!</v>
      </c>
      <c r="BJ24" s="65" t="e">
        <f t="shared" si="34"/>
        <v>#VALUE!</v>
      </c>
      <c r="BK24" s="65" t="e">
        <f t="shared" si="34"/>
        <v>#VALUE!</v>
      </c>
      <c r="BL24" s="65" t="e">
        <f t="shared" si="34"/>
        <v>#VALUE!</v>
      </c>
      <c r="BM24" s="65" t="e">
        <f t="shared" si="34"/>
        <v>#VALUE!</v>
      </c>
      <c r="BN24" s="65" t="e">
        <f t="shared" si="34"/>
        <v>#VALUE!</v>
      </c>
      <c r="BO24" s="65" t="e">
        <f t="shared" si="34"/>
        <v>#VALUE!</v>
      </c>
      <c r="BP24" s="65" t="e">
        <f t="shared" si="34"/>
        <v>#VALUE!</v>
      </c>
      <c r="BQ24" s="65" t="e">
        <f t="shared" si="34"/>
        <v>#VALUE!</v>
      </c>
      <c r="BR24" s="65" t="e">
        <f t="shared" si="34"/>
        <v>#VALUE!</v>
      </c>
      <c r="BS24" s="65" t="e">
        <f t="shared" si="34"/>
        <v>#VALUE!</v>
      </c>
      <c r="BT24" s="65" t="e">
        <f t="shared" si="34"/>
        <v>#VALUE!</v>
      </c>
      <c r="BU24" s="65" t="e">
        <f t="shared" si="34"/>
        <v>#VALUE!</v>
      </c>
      <c r="BV24" s="65" t="e">
        <f t="shared" si="34"/>
        <v>#VALUE!</v>
      </c>
      <c r="BW24" s="65" t="e">
        <f t="shared" si="34"/>
        <v>#VALUE!</v>
      </c>
      <c r="BX24" s="65" t="e">
        <f t="shared" si="34"/>
        <v>#VALUE!</v>
      </c>
      <c r="BY24" s="65" t="e">
        <f t="shared" si="34"/>
        <v>#VALUE!</v>
      </c>
      <c r="BZ24" s="65" t="e">
        <f t="shared" si="34"/>
        <v>#VALUE!</v>
      </c>
      <c r="CA24" s="65" t="e">
        <f t="shared" si="34"/>
        <v>#VALUE!</v>
      </c>
      <c r="CB24" s="65" t="e">
        <f t="shared" si="34"/>
        <v>#VALUE!</v>
      </c>
      <c r="CC24" s="65" t="e">
        <f t="shared" si="34"/>
        <v>#VALUE!</v>
      </c>
      <c r="CD24" s="65" t="e">
        <f t="shared" si="34"/>
        <v>#VALUE!</v>
      </c>
      <c r="CE24" s="65" t="e">
        <f t="shared" si="34"/>
        <v>#VALUE!</v>
      </c>
      <c r="CF24" s="65" t="e">
        <f t="shared" si="34"/>
        <v>#VALUE!</v>
      </c>
      <c r="CG24" s="65" t="e">
        <f t="shared" si="34"/>
        <v>#VALUE!</v>
      </c>
      <c r="CH24" s="65" t="e">
        <f t="shared" si="34"/>
        <v>#VALUE!</v>
      </c>
      <c r="CI24" s="65" t="e">
        <f t="shared" si="34"/>
        <v>#VALUE!</v>
      </c>
      <c r="CJ24" s="65" t="e">
        <f t="shared" si="34"/>
        <v>#VALUE!</v>
      </c>
      <c r="CK24" s="65" t="e">
        <f t="shared" si="34"/>
        <v>#VALUE!</v>
      </c>
      <c r="CL24" s="65" t="e">
        <f t="shared" si="34"/>
        <v>#VALUE!</v>
      </c>
      <c r="CM24" s="65" t="e">
        <f t="shared" si="34"/>
        <v>#VALUE!</v>
      </c>
      <c r="CN24" s="65" t="e">
        <f t="shared" si="34"/>
        <v>#VALUE!</v>
      </c>
      <c r="CO24" s="65" t="e">
        <f t="shared" si="34"/>
        <v>#VALUE!</v>
      </c>
      <c r="CP24" s="65" t="e">
        <f t="shared" si="34"/>
        <v>#VALUE!</v>
      </c>
      <c r="CQ24" s="65" t="e">
        <f t="shared" si="34"/>
        <v>#VALUE!</v>
      </c>
      <c r="CR24" s="65" t="e">
        <f t="shared" si="34"/>
        <v>#VALUE!</v>
      </c>
      <c r="CS24" s="65" t="e">
        <f t="shared" si="34"/>
        <v>#VALUE!</v>
      </c>
      <c r="CT24" s="65" t="e">
        <f t="shared" si="34"/>
        <v>#VALUE!</v>
      </c>
      <c r="CU24" s="65" t="e">
        <f t="shared" si="34"/>
        <v>#VALUE!</v>
      </c>
      <c r="CV24" s="65" t="e">
        <f t="shared" si="34"/>
        <v>#VALUE!</v>
      </c>
      <c r="CW24" s="65" t="e">
        <f t="shared" si="34"/>
        <v>#VALUE!</v>
      </c>
    </row>
    <row r="25" spans="1:101" ht="12.75" customHeight="1">
      <c r="B25" s="109" t="s">
        <v>100</v>
      </c>
      <c r="C25" s="101">
        <v>1344</v>
      </c>
      <c r="D25" s="101">
        <v>0</v>
      </c>
      <c r="E25" s="258">
        <f>C25-D25</f>
        <v>1344</v>
      </c>
      <c r="F25" s="162" t="str">
        <f>F24</f>
        <v>04 Aug,
15 Aug
24 Aug
31 Aug</v>
      </c>
      <c r="G25" s="162" t="e">
        <f>G24</f>
        <v>#VALUE!</v>
      </c>
      <c r="H25" s="65" t="e">
        <f>H24</f>
        <v>#VALUE!</v>
      </c>
      <c r="I25" s="101">
        <v>30</v>
      </c>
      <c r="J25" s="101">
        <v>6</v>
      </c>
      <c r="K25" s="102">
        <f>(E25*J25)/I25</f>
        <v>268.8</v>
      </c>
      <c r="L25" s="505"/>
      <c r="M25" s="65" t="e">
        <f t="shared" ref="M25:AA25" si="35">IF(AND(M$2&gt;=$F25,M$2&lt;($F25+$H25)),ROUND($K25/$H25,0),"-")</f>
        <v>#VALUE!</v>
      </c>
      <c r="N25" s="65" t="e">
        <f t="shared" si="35"/>
        <v>#VALUE!</v>
      </c>
      <c r="O25" s="65" t="e">
        <f t="shared" si="35"/>
        <v>#VALUE!</v>
      </c>
      <c r="P25" s="65" t="e">
        <f t="shared" si="35"/>
        <v>#VALUE!</v>
      </c>
      <c r="Q25" s="65" t="e">
        <f t="shared" si="35"/>
        <v>#VALUE!</v>
      </c>
      <c r="R25" s="65" t="e">
        <f t="shared" si="35"/>
        <v>#VALUE!</v>
      </c>
      <c r="S25" s="65" t="e">
        <f t="shared" si="35"/>
        <v>#VALUE!</v>
      </c>
      <c r="T25" s="65" t="e">
        <f t="shared" si="35"/>
        <v>#VALUE!</v>
      </c>
      <c r="U25" s="65" t="e">
        <f t="shared" si="35"/>
        <v>#VALUE!</v>
      </c>
      <c r="V25" s="65" t="e">
        <f t="shared" si="35"/>
        <v>#VALUE!</v>
      </c>
      <c r="W25" s="65" t="e">
        <f t="shared" si="35"/>
        <v>#VALUE!</v>
      </c>
      <c r="X25" s="65" t="e">
        <f t="shared" si="35"/>
        <v>#VALUE!</v>
      </c>
      <c r="Y25" s="65" t="e">
        <f t="shared" si="35"/>
        <v>#VALUE!</v>
      </c>
      <c r="Z25" s="65" t="e">
        <f t="shared" si="35"/>
        <v>#VALUE!</v>
      </c>
      <c r="AA25" s="65" t="e">
        <f t="shared" si="35"/>
        <v>#VALUE!</v>
      </c>
      <c r="AB25" s="65" t="e">
        <f t="shared" ref="AB25:BG25" si="36">IF(AND(AB$2&gt;=$F25,AB$2&lt;($F25+$H25)),ROUND($K25/$H25,0),"-")</f>
        <v>#VALUE!</v>
      </c>
      <c r="AC25" s="65" t="e">
        <f t="shared" si="36"/>
        <v>#VALUE!</v>
      </c>
      <c r="AD25" s="65" t="e">
        <f t="shared" si="36"/>
        <v>#VALUE!</v>
      </c>
      <c r="AE25" s="65" t="e">
        <f t="shared" si="36"/>
        <v>#VALUE!</v>
      </c>
      <c r="AF25" s="65" t="e">
        <f t="shared" si="36"/>
        <v>#VALUE!</v>
      </c>
      <c r="AG25" s="65" t="e">
        <f t="shared" si="36"/>
        <v>#VALUE!</v>
      </c>
      <c r="AH25" s="65" t="e">
        <f t="shared" si="36"/>
        <v>#VALUE!</v>
      </c>
      <c r="AI25" s="65" t="e">
        <f t="shared" si="36"/>
        <v>#VALUE!</v>
      </c>
      <c r="AJ25" s="65" t="e">
        <f t="shared" si="36"/>
        <v>#VALUE!</v>
      </c>
      <c r="AK25" s="65" t="e">
        <f t="shared" si="36"/>
        <v>#VALUE!</v>
      </c>
      <c r="AL25" s="65" t="e">
        <f t="shared" si="36"/>
        <v>#VALUE!</v>
      </c>
      <c r="AM25" s="65" t="e">
        <f t="shared" si="36"/>
        <v>#VALUE!</v>
      </c>
      <c r="AN25" s="65" t="e">
        <f t="shared" si="36"/>
        <v>#VALUE!</v>
      </c>
      <c r="AO25" s="65" t="e">
        <f t="shared" si="36"/>
        <v>#VALUE!</v>
      </c>
      <c r="AP25" s="65" t="e">
        <f t="shared" si="36"/>
        <v>#VALUE!</v>
      </c>
      <c r="AQ25" s="65" t="e">
        <f t="shared" si="36"/>
        <v>#VALUE!</v>
      </c>
      <c r="AR25" s="65" t="e">
        <f t="shared" si="36"/>
        <v>#VALUE!</v>
      </c>
      <c r="AS25" s="65" t="e">
        <f t="shared" si="36"/>
        <v>#VALUE!</v>
      </c>
      <c r="AT25" s="65" t="e">
        <f t="shared" si="36"/>
        <v>#VALUE!</v>
      </c>
      <c r="AU25" s="65" t="e">
        <f t="shared" si="36"/>
        <v>#VALUE!</v>
      </c>
      <c r="AV25" s="65" t="e">
        <f t="shared" si="36"/>
        <v>#VALUE!</v>
      </c>
      <c r="AW25" s="65" t="e">
        <f t="shared" si="36"/>
        <v>#VALUE!</v>
      </c>
      <c r="AX25" s="65" t="e">
        <f t="shared" si="36"/>
        <v>#VALUE!</v>
      </c>
      <c r="AY25" s="65" t="e">
        <f t="shared" si="36"/>
        <v>#VALUE!</v>
      </c>
      <c r="AZ25" s="65" t="e">
        <f t="shared" si="36"/>
        <v>#VALUE!</v>
      </c>
      <c r="BA25" s="65" t="e">
        <f t="shared" si="36"/>
        <v>#VALUE!</v>
      </c>
      <c r="BB25" s="65" t="e">
        <f t="shared" si="36"/>
        <v>#VALUE!</v>
      </c>
      <c r="BC25" s="65" t="e">
        <f t="shared" si="36"/>
        <v>#VALUE!</v>
      </c>
      <c r="BD25" s="65" t="e">
        <f t="shared" si="36"/>
        <v>#VALUE!</v>
      </c>
      <c r="BE25" s="65" t="e">
        <f t="shared" si="36"/>
        <v>#VALUE!</v>
      </c>
      <c r="BF25" s="65" t="e">
        <f t="shared" si="36"/>
        <v>#VALUE!</v>
      </c>
      <c r="BG25" s="65" t="e">
        <f t="shared" si="36"/>
        <v>#VALUE!</v>
      </c>
      <c r="BH25" s="65" t="e">
        <f t="shared" ref="BH25:CM25" si="37">IF(AND(BH$2&gt;=$F25,BH$2&lt;($F25+$H25)),ROUND($K25/$H25,0),"-")</f>
        <v>#VALUE!</v>
      </c>
      <c r="BI25" s="65" t="e">
        <f t="shared" si="37"/>
        <v>#VALUE!</v>
      </c>
      <c r="BJ25" s="65" t="e">
        <f t="shared" si="37"/>
        <v>#VALUE!</v>
      </c>
      <c r="BK25" s="65" t="e">
        <f t="shared" si="37"/>
        <v>#VALUE!</v>
      </c>
      <c r="BL25" s="65" t="e">
        <f t="shared" si="37"/>
        <v>#VALUE!</v>
      </c>
      <c r="BM25" s="65" t="e">
        <f t="shared" si="37"/>
        <v>#VALUE!</v>
      </c>
      <c r="BN25" s="65" t="e">
        <f t="shared" si="37"/>
        <v>#VALUE!</v>
      </c>
      <c r="BO25" s="65" t="e">
        <f t="shared" si="37"/>
        <v>#VALUE!</v>
      </c>
      <c r="BP25" s="65" t="e">
        <f t="shared" si="37"/>
        <v>#VALUE!</v>
      </c>
      <c r="BQ25" s="65" t="e">
        <f t="shared" si="37"/>
        <v>#VALUE!</v>
      </c>
      <c r="BR25" s="65" t="e">
        <f t="shared" si="37"/>
        <v>#VALUE!</v>
      </c>
      <c r="BS25" s="65" t="e">
        <f t="shared" si="37"/>
        <v>#VALUE!</v>
      </c>
      <c r="BT25" s="65" t="e">
        <f t="shared" si="37"/>
        <v>#VALUE!</v>
      </c>
      <c r="BU25" s="65" t="e">
        <f t="shared" si="37"/>
        <v>#VALUE!</v>
      </c>
      <c r="BV25" s="65" t="e">
        <f t="shared" si="37"/>
        <v>#VALUE!</v>
      </c>
      <c r="BW25" s="65" t="e">
        <f t="shared" si="37"/>
        <v>#VALUE!</v>
      </c>
      <c r="BX25" s="65" t="e">
        <f t="shared" si="37"/>
        <v>#VALUE!</v>
      </c>
      <c r="BY25" s="65" t="e">
        <f t="shared" si="37"/>
        <v>#VALUE!</v>
      </c>
      <c r="BZ25" s="65" t="e">
        <f t="shared" si="37"/>
        <v>#VALUE!</v>
      </c>
      <c r="CA25" s="65" t="e">
        <f t="shared" si="37"/>
        <v>#VALUE!</v>
      </c>
      <c r="CB25" s="65" t="e">
        <f t="shared" si="37"/>
        <v>#VALUE!</v>
      </c>
      <c r="CC25" s="65" t="e">
        <f t="shared" si="37"/>
        <v>#VALUE!</v>
      </c>
      <c r="CD25" s="65" t="e">
        <f t="shared" si="37"/>
        <v>#VALUE!</v>
      </c>
      <c r="CE25" s="65" t="e">
        <f t="shared" si="37"/>
        <v>#VALUE!</v>
      </c>
      <c r="CF25" s="65" t="e">
        <f t="shared" si="37"/>
        <v>#VALUE!</v>
      </c>
      <c r="CG25" s="65" t="e">
        <f t="shared" si="37"/>
        <v>#VALUE!</v>
      </c>
      <c r="CH25" s="65" t="e">
        <f t="shared" si="37"/>
        <v>#VALUE!</v>
      </c>
      <c r="CI25" s="65" t="e">
        <f t="shared" si="37"/>
        <v>#VALUE!</v>
      </c>
      <c r="CJ25" s="65" t="e">
        <f t="shared" si="37"/>
        <v>#VALUE!</v>
      </c>
      <c r="CK25" s="65" t="e">
        <f t="shared" si="37"/>
        <v>#VALUE!</v>
      </c>
      <c r="CL25" s="65" t="e">
        <f t="shared" si="37"/>
        <v>#VALUE!</v>
      </c>
      <c r="CM25" s="65" t="e">
        <f t="shared" si="37"/>
        <v>#VALUE!</v>
      </c>
      <c r="CN25" s="65" t="e">
        <f t="shared" ref="CN25:CW25" si="38">IF(AND(CN$2&gt;=$F25,CN$2&lt;($F25+$H25)),ROUND($K25/$H25,0),"-")</f>
        <v>#VALUE!</v>
      </c>
      <c r="CO25" s="65" t="e">
        <f t="shared" si="38"/>
        <v>#VALUE!</v>
      </c>
      <c r="CP25" s="65" t="e">
        <f t="shared" si="38"/>
        <v>#VALUE!</v>
      </c>
      <c r="CQ25" s="65" t="e">
        <f t="shared" si="38"/>
        <v>#VALUE!</v>
      </c>
      <c r="CR25" s="65" t="e">
        <f t="shared" si="38"/>
        <v>#VALUE!</v>
      </c>
      <c r="CS25" s="65" t="e">
        <f t="shared" si="38"/>
        <v>#VALUE!</v>
      </c>
      <c r="CT25" s="65" t="e">
        <f t="shared" si="38"/>
        <v>#VALUE!</v>
      </c>
      <c r="CU25" s="65" t="e">
        <f t="shared" si="38"/>
        <v>#VALUE!</v>
      </c>
      <c r="CV25" s="65" t="e">
        <f t="shared" si="38"/>
        <v>#VALUE!</v>
      </c>
      <c r="CW25" s="65" t="e">
        <f t="shared" si="38"/>
        <v>#VALUE!</v>
      </c>
    </row>
    <row r="27" spans="1:101">
      <c r="B27" s="109" t="s">
        <v>91</v>
      </c>
      <c r="C27" s="109" t="s">
        <v>92</v>
      </c>
      <c r="D27" s="109" t="s">
        <v>93</v>
      </c>
      <c r="E27" s="109" t="s">
        <v>94</v>
      </c>
      <c r="F27" s="109" t="s">
        <v>78</v>
      </c>
      <c r="G27" s="109" t="s">
        <v>79</v>
      </c>
      <c r="H27" s="109" t="s">
        <v>59</v>
      </c>
      <c r="I27" s="109" t="s">
        <v>95</v>
      </c>
      <c r="J27" s="109" t="s">
        <v>96</v>
      </c>
      <c r="K27" s="109" t="s">
        <v>97</v>
      </c>
      <c r="L27" s="109" t="s">
        <v>80</v>
      </c>
      <c r="M27" s="260">
        <v>46201</v>
      </c>
      <c r="N27" s="260">
        <v>46202</v>
      </c>
      <c r="O27" s="260">
        <v>46203</v>
      </c>
      <c r="P27" s="260">
        <v>46204</v>
      </c>
      <c r="Q27" s="260">
        <v>46205</v>
      </c>
      <c r="R27" s="260">
        <v>46206</v>
      </c>
      <c r="S27" s="260">
        <v>46207</v>
      </c>
      <c r="T27" s="260">
        <v>46208</v>
      </c>
      <c r="U27" s="260">
        <v>46209</v>
      </c>
      <c r="V27" s="260">
        <v>46210</v>
      </c>
      <c r="W27" s="260">
        <v>46211</v>
      </c>
      <c r="X27" s="260">
        <v>46212</v>
      </c>
      <c r="Y27" s="260">
        <v>46213</v>
      </c>
      <c r="Z27" s="260">
        <v>46214</v>
      </c>
      <c r="AA27" s="260">
        <v>46215</v>
      </c>
      <c r="AB27" s="260">
        <v>46216</v>
      </c>
      <c r="AC27" s="260">
        <v>46217</v>
      </c>
      <c r="AD27" s="260">
        <v>46218</v>
      </c>
      <c r="AE27" s="260">
        <v>46219</v>
      </c>
      <c r="AF27" s="260">
        <v>46220</v>
      </c>
      <c r="AG27" s="260">
        <v>46221</v>
      </c>
      <c r="AH27" s="260">
        <v>46222</v>
      </c>
      <c r="AI27" s="260">
        <v>46223</v>
      </c>
      <c r="AJ27" s="260">
        <v>46224</v>
      </c>
      <c r="AK27" s="260">
        <v>46225</v>
      </c>
      <c r="AL27" s="260">
        <v>46226</v>
      </c>
      <c r="AM27" s="260">
        <v>46227</v>
      </c>
      <c r="AN27" s="260">
        <v>46228</v>
      </c>
      <c r="AO27" s="260">
        <v>46229</v>
      </c>
      <c r="AP27" s="260">
        <v>46230</v>
      </c>
      <c r="AQ27" s="260">
        <v>46231</v>
      </c>
      <c r="AR27" s="260">
        <v>46232</v>
      </c>
      <c r="AS27" s="260">
        <v>46233</v>
      </c>
      <c r="AT27" s="260">
        <v>46234</v>
      </c>
      <c r="AU27" s="260">
        <v>46235</v>
      </c>
      <c r="AV27" s="260">
        <v>46236</v>
      </c>
      <c r="AW27" s="260">
        <v>46237</v>
      </c>
      <c r="AX27" s="260">
        <v>46238</v>
      </c>
      <c r="AY27" s="260">
        <v>46239</v>
      </c>
      <c r="AZ27" s="260">
        <v>46240</v>
      </c>
      <c r="BA27" s="260">
        <v>46241</v>
      </c>
      <c r="BB27" s="260">
        <v>46242</v>
      </c>
      <c r="BC27" s="260">
        <v>46243</v>
      </c>
      <c r="BD27" s="260">
        <v>46244</v>
      </c>
      <c r="BE27" s="260">
        <v>46245</v>
      </c>
      <c r="BF27" s="260">
        <v>46246</v>
      </c>
      <c r="BG27" s="260">
        <v>46247</v>
      </c>
      <c r="BH27" s="260">
        <v>46248</v>
      </c>
      <c r="BI27" s="260">
        <v>46249</v>
      </c>
      <c r="BJ27" s="260">
        <v>46250</v>
      </c>
      <c r="BK27" s="260">
        <v>46251</v>
      </c>
      <c r="BL27" s="260">
        <v>46252</v>
      </c>
      <c r="BM27" s="260">
        <v>46253</v>
      </c>
      <c r="BN27" s="260">
        <v>46254</v>
      </c>
      <c r="BO27" s="260">
        <v>46255</v>
      </c>
      <c r="BP27" s="260">
        <v>46256</v>
      </c>
      <c r="BQ27" s="260">
        <v>46257</v>
      </c>
      <c r="BR27" s="260">
        <v>46258</v>
      </c>
      <c r="BS27" s="260">
        <v>46259</v>
      </c>
      <c r="BT27" s="260">
        <v>46260</v>
      </c>
      <c r="BU27" s="260">
        <v>46261</v>
      </c>
      <c r="BV27" s="260">
        <v>46262</v>
      </c>
      <c r="BW27" s="260">
        <v>46263</v>
      </c>
      <c r="BX27" s="260">
        <v>46264</v>
      </c>
      <c r="BY27" s="260">
        <v>46265</v>
      </c>
      <c r="BZ27" s="260">
        <v>46266</v>
      </c>
      <c r="CA27" s="260">
        <v>46267</v>
      </c>
      <c r="CB27" s="260">
        <v>46268</v>
      </c>
      <c r="CC27" s="260">
        <v>46269</v>
      </c>
      <c r="CD27" s="260">
        <v>46270</v>
      </c>
      <c r="CE27" s="260">
        <v>46271</v>
      </c>
      <c r="CF27" s="260">
        <v>46272</v>
      </c>
      <c r="CG27" s="260">
        <v>46273</v>
      </c>
      <c r="CH27" s="260">
        <v>46274</v>
      </c>
      <c r="CI27" s="260">
        <v>46275</v>
      </c>
      <c r="CJ27" s="260">
        <v>46276</v>
      </c>
      <c r="CK27" s="260">
        <v>46277</v>
      </c>
      <c r="CL27" s="260">
        <v>46278</v>
      </c>
      <c r="CM27" s="260">
        <v>46279</v>
      </c>
      <c r="CN27" s="260">
        <v>46280</v>
      </c>
      <c r="CO27" s="260">
        <v>46281</v>
      </c>
      <c r="CP27" s="260">
        <v>46282</v>
      </c>
      <c r="CQ27" s="260">
        <v>46283</v>
      </c>
      <c r="CR27" s="260">
        <v>46284</v>
      </c>
      <c r="CS27" s="260">
        <v>46285</v>
      </c>
      <c r="CT27" s="260">
        <v>46286</v>
      </c>
      <c r="CU27" s="260">
        <v>46287</v>
      </c>
      <c r="CV27" s="260">
        <v>46288</v>
      </c>
      <c r="CW27" s="260">
        <v>46289</v>
      </c>
    </row>
    <row r="28" spans="1:101" ht="12.75" customHeight="1">
      <c r="A28" t="s">
        <v>105</v>
      </c>
      <c r="B28" s="138" t="s">
        <v>21</v>
      </c>
      <c r="C28" s="101">
        <v>48</v>
      </c>
      <c r="D28" s="102">
        <v>0</v>
      </c>
      <c r="E28" s="258">
        <f>C28-D28</f>
        <v>48</v>
      </c>
      <c r="F28" s="165" t="str">
        <f>'BESS 11'!D232</f>
        <v>09 Aug,
16 Aug
05 Sep
31 Aug</v>
      </c>
      <c r="G28" s="165" t="e">
        <f>F28+4</f>
        <v>#VALUE!</v>
      </c>
      <c r="H28" s="65" t="e">
        <f>G28-F28</f>
        <v>#VALUE!</v>
      </c>
      <c r="I28" s="96">
        <v>10</v>
      </c>
      <c r="J28" s="93">
        <v>1</v>
      </c>
      <c r="K28" s="94">
        <f>(E28*J28)/I28</f>
        <v>4.8</v>
      </c>
      <c r="L28" s="505" t="e">
        <f>AVERAGEIF(M28:CW30,"&gt;0")</f>
        <v>#DIV/0!</v>
      </c>
      <c r="M28" s="65" t="e">
        <f t="shared" ref="M28:V29" si="39">IF(AND(M$2&gt;=$F28,M$2&lt;($F28+$H28)),ROUND($K28/$H28,0),"-")</f>
        <v>#VALUE!</v>
      </c>
      <c r="N28" s="65" t="e">
        <f t="shared" si="39"/>
        <v>#VALUE!</v>
      </c>
      <c r="O28" s="65" t="e">
        <f t="shared" si="39"/>
        <v>#VALUE!</v>
      </c>
      <c r="P28" s="65" t="e">
        <f t="shared" si="39"/>
        <v>#VALUE!</v>
      </c>
      <c r="Q28" s="65" t="e">
        <f t="shared" si="39"/>
        <v>#VALUE!</v>
      </c>
      <c r="R28" s="65" t="e">
        <f t="shared" si="39"/>
        <v>#VALUE!</v>
      </c>
      <c r="S28" s="65" t="e">
        <f t="shared" si="39"/>
        <v>#VALUE!</v>
      </c>
      <c r="T28" s="65" t="e">
        <f t="shared" si="39"/>
        <v>#VALUE!</v>
      </c>
      <c r="U28" s="65" t="e">
        <f t="shared" si="39"/>
        <v>#VALUE!</v>
      </c>
      <c r="V28" s="65" t="e">
        <f t="shared" si="39"/>
        <v>#VALUE!</v>
      </c>
      <c r="W28" s="65" t="e">
        <f t="shared" ref="W28:AF29" si="40">IF(AND(W$2&gt;=$F28,W$2&lt;($F28+$H28)),ROUND($K28/$H28,0),"-")</f>
        <v>#VALUE!</v>
      </c>
      <c r="X28" s="65" t="e">
        <f t="shared" si="40"/>
        <v>#VALUE!</v>
      </c>
      <c r="Y28" s="65" t="e">
        <f t="shared" si="40"/>
        <v>#VALUE!</v>
      </c>
      <c r="Z28" s="65" t="e">
        <f t="shared" si="40"/>
        <v>#VALUE!</v>
      </c>
      <c r="AA28" s="65" t="e">
        <f t="shared" si="40"/>
        <v>#VALUE!</v>
      </c>
      <c r="AB28" s="65" t="e">
        <f t="shared" si="40"/>
        <v>#VALUE!</v>
      </c>
      <c r="AC28" s="65" t="e">
        <f t="shared" si="40"/>
        <v>#VALUE!</v>
      </c>
      <c r="AD28" s="65" t="e">
        <f t="shared" si="40"/>
        <v>#VALUE!</v>
      </c>
      <c r="AE28" s="65" t="e">
        <f t="shared" si="40"/>
        <v>#VALUE!</v>
      </c>
      <c r="AF28" s="65" t="e">
        <f t="shared" si="40"/>
        <v>#VALUE!</v>
      </c>
      <c r="AG28" s="65" t="e">
        <f t="shared" ref="AG28:AP29" si="41">IF(AND(AG$2&gt;=$F28,AG$2&lt;($F28+$H28)),ROUND($K28/$H28,0),"-")</f>
        <v>#VALUE!</v>
      </c>
      <c r="AH28" s="65" t="e">
        <f t="shared" si="41"/>
        <v>#VALUE!</v>
      </c>
      <c r="AI28" s="65" t="e">
        <f t="shared" si="41"/>
        <v>#VALUE!</v>
      </c>
      <c r="AJ28" s="65" t="e">
        <f t="shared" si="41"/>
        <v>#VALUE!</v>
      </c>
      <c r="AK28" s="65" t="e">
        <f t="shared" si="41"/>
        <v>#VALUE!</v>
      </c>
      <c r="AL28" s="65" t="e">
        <f t="shared" si="41"/>
        <v>#VALUE!</v>
      </c>
      <c r="AM28" s="65" t="e">
        <f t="shared" si="41"/>
        <v>#VALUE!</v>
      </c>
      <c r="AN28" s="65" t="e">
        <f t="shared" si="41"/>
        <v>#VALUE!</v>
      </c>
      <c r="AO28" s="65" t="e">
        <f t="shared" si="41"/>
        <v>#VALUE!</v>
      </c>
      <c r="AP28" s="65" t="e">
        <f t="shared" si="41"/>
        <v>#VALUE!</v>
      </c>
      <c r="AQ28" s="65" t="e">
        <f t="shared" ref="AQ28:BA29" si="42">IF(AND(AQ$2&gt;=$F28,AQ$2&lt;($F28+$H28)),ROUND($K28/$H28,0),"-")</f>
        <v>#VALUE!</v>
      </c>
      <c r="AR28" s="65" t="e">
        <f t="shared" si="42"/>
        <v>#VALUE!</v>
      </c>
      <c r="AS28" s="65" t="e">
        <f t="shared" si="42"/>
        <v>#VALUE!</v>
      </c>
      <c r="AT28" s="65" t="e">
        <f t="shared" si="42"/>
        <v>#VALUE!</v>
      </c>
      <c r="AU28" s="65" t="e">
        <f t="shared" si="42"/>
        <v>#VALUE!</v>
      </c>
      <c r="AV28" s="65" t="e">
        <f t="shared" si="42"/>
        <v>#VALUE!</v>
      </c>
      <c r="AW28" s="65" t="e">
        <f t="shared" si="42"/>
        <v>#VALUE!</v>
      </c>
      <c r="AX28" s="65" t="e">
        <f t="shared" si="42"/>
        <v>#VALUE!</v>
      </c>
      <c r="AY28" s="65" t="e">
        <f t="shared" si="42"/>
        <v>#VALUE!</v>
      </c>
      <c r="AZ28" s="65" t="e">
        <f t="shared" si="42"/>
        <v>#VALUE!</v>
      </c>
      <c r="BA28" s="65" t="e">
        <f t="shared" si="42"/>
        <v>#VALUE!</v>
      </c>
      <c r="BB28" s="65" t="e">
        <f t="shared" ref="BB28:CW28" si="43">IF(AND(BB$2&gt;=$F28,BB$2&lt;($F28+$H28)),ROUND($K28/$H28,0),"-")</f>
        <v>#VALUE!</v>
      </c>
      <c r="BC28" s="65" t="e">
        <f t="shared" si="43"/>
        <v>#VALUE!</v>
      </c>
      <c r="BD28" s="65" t="e">
        <f t="shared" si="43"/>
        <v>#VALUE!</v>
      </c>
      <c r="BE28" s="65" t="e">
        <f t="shared" si="43"/>
        <v>#VALUE!</v>
      </c>
      <c r="BF28" s="65" t="e">
        <f t="shared" si="43"/>
        <v>#VALUE!</v>
      </c>
      <c r="BG28" s="65" t="e">
        <f t="shared" si="43"/>
        <v>#VALUE!</v>
      </c>
      <c r="BH28" s="65" t="e">
        <f t="shared" si="43"/>
        <v>#VALUE!</v>
      </c>
      <c r="BI28" s="65" t="e">
        <f t="shared" si="43"/>
        <v>#VALUE!</v>
      </c>
      <c r="BJ28" s="65" t="e">
        <f t="shared" si="43"/>
        <v>#VALUE!</v>
      </c>
      <c r="BK28" s="65" t="e">
        <f t="shared" si="43"/>
        <v>#VALUE!</v>
      </c>
      <c r="BL28" s="65" t="e">
        <f t="shared" si="43"/>
        <v>#VALUE!</v>
      </c>
      <c r="BM28" s="65" t="e">
        <f t="shared" si="43"/>
        <v>#VALUE!</v>
      </c>
      <c r="BN28" s="65" t="e">
        <f t="shared" si="43"/>
        <v>#VALUE!</v>
      </c>
      <c r="BO28" s="65" t="e">
        <f t="shared" si="43"/>
        <v>#VALUE!</v>
      </c>
      <c r="BP28" s="65" t="e">
        <f t="shared" si="43"/>
        <v>#VALUE!</v>
      </c>
      <c r="BQ28" s="65" t="e">
        <f t="shared" si="43"/>
        <v>#VALUE!</v>
      </c>
      <c r="BR28" s="65" t="e">
        <f t="shared" si="43"/>
        <v>#VALUE!</v>
      </c>
      <c r="BS28" s="65" t="e">
        <f t="shared" si="43"/>
        <v>#VALUE!</v>
      </c>
      <c r="BT28" s="65" t="e">
        <f t="shared" si="43"/>
        <v>#VALUE!</v>
      </c>
      <c r="BU28" s="65" t="e">
        <f t="shared" si="43"/>
        <v>#VALUE!</v>
      </c>
      <c r="BV28" s="65" t="e">
        <f t="shared" si="43"/>
        <v>#VALUE!</v>
      </c>
      <c r="BW28" s="65" t="e">
        <f t="shared" si="43"/>
        <v>#VALUE!</v>
      </c>
      <c r="BX28" s="65" t="e">
        <f t="shared" si="43"/>
        <v>#VALUE!</v>
      </c>
      <c r="BY28" s="65" t="e">
        <f t="shared" si="43"/>
        <v>#VALUE!</v>
      </c>
      <c r="BZ28" s="65" t="e">
        <f t="shared" si="43"/>
        <v>#VALUE!</v>
      </c>
      <c r="CA28" s="65" t="e">
        <f t="shared" si="43"/>
        <v>#VALUE!</v>
      </c>
      <c r="CB28" s="65" t="e">
        <f t="shared" si="43"/>
        <v>#VALUE!</v>
      </c>
      <c r="CC28" s="65" t="e">
        <f t="shared" si="43"/>
        <v>#VALUE!</v>
      </c>
      <c r="CD28" s="65" t="e">
        <f t="shared" si="43"/>
        <v>#VALUE!</v>
      </c>
      <c r="CE28" s="65" t="e">
        <f t="shared" si="43"/>
        <v>#VALUE!</v>
      </c>
      <c r="CF28" s="65" t="e">
        <f t="shared" si="43"/>
        <v>#VALUE!</v>
      </c>
      <c r="CG28" s="65" t="e">
        <f t="shared" si="43"/>
        <v>#VALUE!</v>
      </c>
      <c r="CH28" s="65" t="e">
        <f t="shared" si="43"/>
        <v>#VALUE!</v>
      </c>
      <c r="CI28" s="65" t="e">
        <f t="shared" si="43"/>
        <v>#VALUE!</v>
      </c>
      <c r="CJ28" s="65" t="e">
        <f t="shared" si="43"/>
        <v>#VALUE!</v>
      </c>
      <c r="CK28" s="65" t="e">
        <f t="shared" si="43"/>
        <v>#VALUE!</v>
      </c>
      <c r="CL28" s="65" t="e">
        <f t="shared" si="43"/>
        <v>#VALUE!</v>
      </c>
      <c r="CM28" s="65" t="e">
        <f t="shared" si="43"/>
        <v>#VALUE!</v>
      </c>
      <c r="CN28" s="65" t="e">
        <f t="shared" si="43"/>
        <v>#VALUE!</v>
      </c>
      <c r="CO28" s="65" t="e">
        <f t="shared" si="43"/>
        <v>#VALUE!</v>
      </c>
      <c r="CP28" s="65" t="e">
        <f t="shared" si="43"/>
        <v>#VALUE!</v>
      </c>
      <c r="CQ28" s="65" t="e">
        <f t="shared" si="43"/>
        <v>#VALUE!</v>
      </c>
      <c r="CR28" s="65" t="e">
        <f t="shared" si="43"/>
        <v>#VALUE!</v>
      </c>
      <c r="CS28" s="65" t="e">
        <f t="shared" si="43"/>
        <v>#VALUE!</v>
      </c>
      <c r="CT28" s="65" t="e">
        <f t="shared" si="43"/>
        <v>#VALUE!</v>
      </c>
      <c r="CU28" s="65" t="e">
        <f t="shared" si="43"/>
        <v>#VALUE!</v>
      </c>
      <c r="CV28" s="65" t="e">
        <f t="shared" si="43"/>
        <v>#VALUE!</v>
      </c>
      <c r="CW28" s="65" t="e">
        <f t="shared" si="43"/>
        <v>#VALUE!</v>
      </c>
    </row>
    <row r="29" spans="1:101" ht="12.75" customHeight="1">
      <c r="B29" s="109" t="s">
        <v>99</v>
      </c>
      <c r="C29" s="101">
        <v>768</v>
      </c>
      <c r="D29" s="258">
        <f>SUM('[1]Electrical Work'!$G$446:$G$451)</f>
        <v>810</v>
      </c>
      <c r="E29" s="258">
        <f>C29-D29</f>
        <v>-42</v>
      </c>
      <c r="F29" s="162" t="str">
        <f>F28</f>
        <v>09 Aug,
16 Aug
05 Sep
31 Aug</v>
      </c>
      <c r="G29" s="162" t="e">
        <f>G28</f>
        <v>#VALUE!</v>
      </c>
      <c r="H29" s="65" t="e">
        <f>G29-F29</f>
        <v>#VALUE!</v>
      </c>
      <c r="I29" s="259">
        <v>30</v>
      </c>
      <c r="J29" s="259">
        <v>18</v>
      </c>
      <c r="K29" s="102">
        <f>(E29*J29)/I29</f>
        <v>-25.2</v>
      </c>
      <c r="L29" s="505"/>
      <c r="M29" s="65" t="e">
        <f t="shared" si="39"/>
        <v>#VALUE!</v>
      </c>
      <c r="N29" s="65" t="e">
        <f t="shared" si="39"/>
        <v>#VALUE!</v>
      </c>
      <c r="O29" s="65" t="e">
        <f t="shared" si="39"/>
        <v>#VALUE!</v>
      </c>
      <c r="P29" s="65" t="e">
        <f t="shared" si="39"/>
        <v>#VALUE!</v>
      </c>
      <c r="Q29" s="65" t="e">
        <f t="shared" si="39"/>
        <v>#VALUE!</v>
      </c>
      <c r="R29" s="65" t="e">
        <f t="shared" si="39"/>
        <v>#VALUE!</v>
      </c>
      <c r="S29" s="65" t="e">
        <f t="shared" si="39"/>
        <v>#VALUE!</v>
      </c>
      <c r="T29" s="65" t="e">
        <f t="shared" si="39"/>
        <v>#VALUE!</v>
      </c>
      <c r="U29" s="65" t="e">
        <f t="shared" si="39"/>
        <v>#VALUE!</v>
      </c>
      <c r="V29" s="65" t="e">
        <f t="shared" si="39"/>
        <v>#VALUE!</v>
      </c>
      <c r="W29" s="65" t="e">
        <f t="shared" si="40"/>
        <v>#VALUE!</v>
      </c>
      <c r="X29" s="65" t="e">
        <f t="shared" si="40"/>
        <v>#VALUE!</v>
      </c>
      <c r="Y29" s="65" t="e">
        <f t="shared" si="40"/>
        <v>#VALUE!</v>
      </c>
      <c r="Z29" s="65" t="e">
        <f t="shared" si="40"/>
        <v>#VALUE!</v>
      </c>
      <c r="AA29" s="65" t="e">
        <f t="shared" si="40"/>
        <v>#VALUE!</v>
      </c>
      <c r="AB29" s="65" t="e">
        <f t="shared" si="40"/>
        <v>#VALUE!</v>
      </c>
      <c r="AC29" s="65" t="e">
        <f t="shared" si="40"/>
        <v>#VALUE!</v>
      </c>
      <c r="AD29" s="65" t="e">
        <f t="shared" si="40"/>
        <v>#VALUE!</v>
      </c>
      <c r="AE29" s="65" t="e">
        <f t="shared" si="40"/>
        <v>#VALUE!</v>
      </c>
      <c r="AF29" s="65" t="e">
        <f t="shared" si="40"/>
        <v>#VALUE!</v>
      </c>
      <c r="AG29" s="65" t="e">
        <f t="shared" si="41"/>
        <v>#VALUE!</v>
      </c>
      <c r="AH29" s="65" t="e">
        <f t="shared" si="41"/>
        <v>#VALUE!</v>
      </c>
      <c r="AI29" s="65" t="e">
        <f t="shared" si="41"/>
        <v>#VALUE!</v>
      </c>
      <c r="AJ29" s="65" t="e">
        <f t="shared" si="41"/>
        <v>#VALUE!</v>
      </c>
      <c r="AK29" s="65" t="e">
        <f t="shared" si="41"/>
        <v>#VALUE!</v>
      </c>
      <c r="AL29" s="65" t="e">
        <f t="shared" si="41"/>
        <v>#VALUE!</v>
      </c>
      <c r="AM29" s="65" t="e">
        <f t="shared" si="41"/>
        <v>#VALUE!</v>
      </c>
      <c r="AN29" s="65" t="e">
        <f t="shared" si="41"/>
        <v>#VALUE!</v>
      </c>
      <c r="AO29" s="65" t="e">
        <f t="shared" si="41"/>
        <v>#VALUE!</v>
      </c>
      <c r="AP29" s="65" t="e">
        <f t="shared" si="41"/>
        <v>#VALUE!</v>
      </c>
      <c r="AQ29" s="65" t="e">
        <f t="shared" si="42"/>
        <v>#VALUE!</v>
      </c>
      <c r="AR29" s="65" t="e">
        <f t="shared" si="42"/>
        <v>#VALUE!</v>
      </c>
      <c r="AS29" s="65" t="e">
        <f t="shared" si="42"/>
        <v>#VALUE!</v>
      </c>
      <c r="AT29" s="65" t="e">
        <f t="shared" si="42"/>
        <v>#VALUE!</v>
      </c>
      <c r="AU29" s="65" t="e">
        <f t="shared" si="42"/>
        <v>#VALUE!</v>
      </c>
      <c r="AV29" s="65" t="e">
        <f t="shared" si="42"/>
        <v>#VALUE!</v>
      </c>
      <c r="AW29" s="65" t="e">
        <f t="shared" si="42"/>
        <v>#VALUE!</v>
      </c>
      <c r="AX29" s="65" t="e">
        <f t="shared" si="42"/>
        <v>#VALUE!</v>
      </c>
      <c r="AY29" s="65" t="e">
        <f t="shared" si="42"/>
        <v>#VALUE!</v>
      </c>
      <c r="AZ29" s="65" t="e">
        <f t="shared" si="42"/>
        <v>#VALUE!</v>
      </c>
      <c r="BA29" s="65" t="e">
        <f t="shared" si="42"/>
        <v>#VALUE!</v>
      </c>
      <c r="BB29" s="65" t="e">
        <f t="shared" ref="BB29:CW29" si="44">IF(AND(BB$2&gt;=$F29,BB$2&lt;($F29+$H29)),ROUND($K29/$H29,0),"-")</f>
        <v>#VALUE!</v>
      </c>
      <c r="BC29" s="65" t="e">
        <f t="shared" si="44"/>
        <v>#VALUE!</v>
      </c>
      <c r="BD29" s="65" t="e">
        <f t="shared" si="44"/>
        <v>#VALUE!</v>
      </c>
      <c r="BE29" s="65" t="e">
        <f t="shared" si="44"/>
        <v>#VALUE!</v>
      </c>
      <c r="BF29" s="65" t="e">
        <f t="shared" si="44"/>
        <v>#VALUE!</v>
      </c>
      <c r="BG29" s="65" t="e">
        <f t="shared" si="44"/>
        <v>#VALUE!</v>
      </c>
      <c r="BH29" s="65" t="e">
        <f t="shared" si="44"/>
        <v>#VALUE!</v>
      </c>
      <c r="BI29" s="65" t="e">
        <f t="shared" si="44"/>
        <v>#VALUE!</v>
      </c>
      <c r="BJ29" s="65" t="e">
        <f t="shared" si="44"/>
        <v>#VALUE!</v>
      </c>
      <c r="BK29" s="65" t="e">
        <f t="shared" si="44"/>
        <v>#VALUE!</v>
      </c>
      <c r="BL29" s="65" t="e">
        <f t="shared" si="44"/>
        <v>#VALUE!</v>
      </c>
      <c r="BM29" s="65" t="e">
        <f t="shared" si="44"/>
        <v>#VALUE!</v>
      </c>
      <c r="BN29" s="65" t="e">
        <f t="shared" si="44"/>
        <v>#VALUE!</v>
      </c>
      <c r="BO29" s="65" t="e">
        <f t="shared" si="44"/>
        <v>#VALUE!</v>
      </c>
      <c r="BP29" s="65" t="e">
        <f t="shared" si="44"/>
        <v>#VALUE!</v>
      </c>
      <c r="BQ29" s="65" t="e">
        <f t="shared" si="44"/>
        <v>#VALUE!</v>
      </c>
      <c r="BR29" s="65" t="e">
        <f t="shared" si="44"/>
        <v>#VALUE!</v>
      </c>
      <c r="BS29" s="65" t="e">
        <f t="shared" si="44"/>
        <v>#VALUE!</v>
      </c>
      <c r="BT29" s="65" t="e">
        <f t="shared" si="44"/>
        <v>#VALUE!</v>
      </c>
      <c r="BU29" s="65" t="e">
        <f t="shared" si="44"/>
        <v>#VALUE!</v>
      </c>
      <c r="BV29" s="65" t="e">
        <f t="shared" si="44"/>
        <v>#VALUE!</v>
      </c>
      <c r="BW29" s="65" t="e">
        <f t="shared" si="44"/>
        <v>#VALUE!</v>
      </c>
      <c r="BX29" s="65" t="e">
        <f t="shared" si="44"/>
        <v>#VALUE!</v>
      </c>
      <c r="BY29" s="65" t="e">
        <f t="shared" si="44"/>
        <v>#VALUE!</v>
      </c>
      <c r="BZ29" s="65" t="e">
        <f t="shared" si="44"/>
        <v>#VALUE!</v>
      </c>
      <c r="CA29" s="65" t="e">
        <f t="shared" si="44"/>
        <v>#VALUE!</v>
      </c>
      <c r="CB29" s="65" t="e">
        <f t="shared" si="44"/>
        <v>#VALUE!</v>
      </c>
      <c r="CC29" s="65" t="e">
        <f t="shared" si="44"/>
        <v>#VALUE!</v>
      </c>
      <c r="CD29" s="65" t="e">
        <f t="shared" si="44"/>
        <v>#VALUE!</v>
      </c>
      <c r="CE29" s="65" t="e">
        <f t="shared" si="44"/>
        <v>#VALUE!</v>
      </c>
      <c r="CF29" s="65" t="e">
        <f t="shared" si="44"/>
        <v>#VALUE!</v>
      </c>
      <c r="CG29" s="65" t="e">
        <f t="shared" si="44"/>
        <v>#VALUE!</v>
      </c>
      <c r="CH29" s="65" t="e">
        <f t="shared" si="44"/>
        <v>#VALUE!</v>
      </c>
      <c r="CI29" s="65" t="e">
        <f t="shared" si="44"/>
        <v>#VALUE!</v>
      </c>
      <c r="CJ29" s="65" t="e">
        <f t="shared" si="44"/>
        <v>#VALUE!</v>
      </c>
      <c r="CK29" s="65" t="e">
        <f t="shared" si="44"/>
        <v>#VALUE!</v>
      </c>
      <c r="CL29" s="65" t="e">
        <f t="shared" si="44"/>
        <v>#VALUE!</v>
      </c>
      <c r="CM29" s="65" t="e">
        <f t="shared" si="44"/>
        <v>#VALUE!</v>
      </c>
      <c r="CN29" s="65" t="e">
        <f t="shared" si="44"/>
        <v>#VALUE!</v>
      </c>
      <c r="CO29" s="65" t="e">
        <f t="shared" si="44"/>
        <v>#VALUE!</v>
      </c>
      <c r="CP29" s="65" t="e">
        <f t="shared" si="44"/>
        <v>#VALUE!</v>
      </c>
      <c r="CQ29" s="65" t="e">
        <f t="shared" si="44"/>
        <v>#VALUE!</v>
      </c>
      <c r="CR29" s="65" t="e">
        <f t="shared" si="44"/>
        <v>#VALUE!</v>
      </c>
      <c r="CS29" s="65" t="e">
        <f t="shared" si="44"/>
        <v>#VALUE!</v>
      </c>
      <c r="CT29" s="65" t="e">
        <f t="shared" si="44"/>
        <v>#VALUE!</v>
      </c>
      <c r="CU29" s="65" t="e">
        <f t="shared" si="44"/>
        <v>#VALUE!</v>
      </c>
      <c r="CV29" s="65" t="e">
        <f t="shared" si="44"/>
        <v>#VALUE!</v>
      </c>
      <c r="CW29" s="65" t="e">
        <f t="shared" si="44"/>
        <v>#VALUE!</v>
      </c>
    </row>
    <row r="30" spans="1:101" ht="12.75" customHeight="1">
      <c r="B30" s="109" t="s">
        <v>100</v>
      </c>
      <c r="C30" s="101">
        <v>1344</v>
      </c>
      <c r="D30" s="101">
        <v>0</v>
      </c>
      <c r="E30" s="258">
        <f>C30-D30</f>
        <v>1344</v>
      </c>
      <c r="F30" s="162" t="str">
        <f>F29</f>
        <v>09 Aug,
16 Aug
05 Sep
31 Aug</v>
      </c>
      <c r="G30" s="162" t="e">
        <f>G29</f>
        <v>#VALUE!</v>
      </c>
      <c r="H30" s="65" t="e">
        <f>H29</f>
        <v>#VALUE!</v>
      </c>
      <c r="I30" s="101">
        <v>30</v>
      </c>
      <c r="J30" s="101">
        <v>6</v>
      </c>
      <c r="K30" s="102">
        <f>(E30*J30)/I30</f>
        <v>268.8</v>
      </c>
      <c r="L30" s="505"/>
      <c r="M30" s="65" t="e">
        <f t="shared" ref="M30:AA30" si="45">IF(AND(M$2&gt;=$F30,M$2&lt;($F30+$H30)),ROUND($K30/$H30,0),"-")</f>
        <v>#VALUE!</v>
      </c>
      <c r="N30" s="65" t="e">
        <f t="shared" si="45"/>
        <v>#VALUE!</v>
      </c>
      <c r="O30" s="65" t="e">
        <f t="shared" si="45"/>
        <v>#VALUE!</v>
      </c>
      <c r="P30" s="65" t="e">
        <f t="shared" si="45"/>
        <v>#VALUE!</v>
      </c>
      <c r="Q30" s="65" t="e">
        <f t="shared" si="45"/>
        <v>#VALUE!</v>
      </c>
      <c r="R30" s="65" t="e">
        <f t="shared" si="45"/>
        <v>#VALUE!</v>
      </c>
      <c r="S30" s="65" t="e">
        <f t="shared" si="45"/>
        <v>#VALUE!</v>
      </c>
      <c r="T30" s="65" t="e">
        <f t="shared" si="45"/>
        <v>#VALUE!</v>
      </c>
      <c r="U30" s="65" t="e">
        <f t="shared" si="45"/>
        <v>#VALUE!</v>
      </c>
      <c r="V30" s="65" t="e">
        <f t="shared" si="45"/>
        <v>#VALUE!</v>
      </c>
      <c r="W30" s="65" t="e">
        <f t="shared" si="45"/>
        <v>#VALUE!</v>
      </c>
      <c r="X30" s="65" t="e">
        <f t="shared" si="45"/>
        <v>#VALUE!</v>
      </c>
      <c r="Y30" s="65" t="e">
        <f t="shared" si="45"/>
        <v>#VALUE!</v>
      </c>
      <c r="Z30" s="65" t="e">
        <f t="shared" si="45"/>
        <v>#VALUE!</v>
      </c>
      <c r="AA30" s="65" t="e">
        <f t="shared" si="45"/>
        <v>#VALUE!</v>
      </c>
      <c r="AB30" s="65" t="e">
        <f t="shared" ref="AB30:BG30" si="46">IF(AND(AB$2&gt;=$F30,AB$2&lt;($F30+$H30)),ROUND($K30/$H30,0),"-")</f>
        <v>#VALUE!</v>
      </c>
      <c r="AC30" s="65" t="e">
        <f t="shared" si="46"/>
        <v>#VALUE!</v>
      </c>
      <c r="AD30" s="65" t="e">
        <f t="shared" si="46"/>
        <v>#VALUE!</v>
      </c>
      <c r="AE30" s="65" t="e">
        <f t="shared" si="46"/>
        <v>#VALUE!</v>
      </c>
      <c r="AF30" s="65" t="e">
        <f t="shared" si="46"/>
        <v>#VALUE!</v>
      </c>
      <c r="AG30" s="65" t="e">
        <f t="shared" si="46"/>
        <v>#VALUE!</v>
      </c>
      <c r="AH30" s="65" t="e">
        <f t="shared" si="46"/>
        <v>#VALUE!</v>
      </c>
      <c r="AI30" s="65" t="e">
        <f t="shared" si="46"/>
        <v>#VALUE!</v>
      </c>
      <c r="AJ30" s="65" t="e">
        <f t="shared" si="46"/>
        <v>#VALUE!</v>
      </c>
      <c r="AK30" s="65" t="e">
        <f t="shared" si="46"/>
        <v>#VALUE!</v>
      </c>
      <c r="AL30" s="65" t="e">
        <f t="shared" si="46"/>
        <v>#VALUE!</v>
      </c>
      <c r="AM30" s="65" t="e">
        <f t="shared" si="46"/>
        <v>#VALUE!</v>
      </c>
      <c r="AN30" s="65" t="e">
        <f t="shared" si="46"/>
        <v>#VALUE!</v>
      </c>
      <c r="AO30" s="65" t="e">
        <f t="shared" si="46"/>
        <v>#VALUE!</v>
      </c>
      <c r="AP30" s="65" t="e">
        <f t="shared" si="46"/>
        <v>#VALUE!</v>
      </c>
      <c r="AQ30" s="65" t="e">
        <f t="shared" si="46"/>
        <v>#VALUE!</v>
      </c>
      <c r="AR30" s="65" t="e">
        <f t="shared" si="46"/>
        <v>#VALUE!</v>
      </c>
      <c r="AS30" s="65" t="e">
        <f t="shared" si="46"/>
        <v>#VALUE!</v>
      </c>
      <c r="AT30" s="65" t="e">
        <f t="shared" si="46"/>
        <v>#VALUE!</v>
      </c>
      <c r="AU30" s="65" t="e">
        <f t="shared" si="46"/>
        <v>#VALUE!</v>
      </c>
      <c r="AV30" s="65" t="e">
        <f t="shared" si="46"/>
        <v>#VALUE!</v>
      </c>
      <c r="AW30" s="65" t="e">
        <f t="shared" si="46"/>
        <v>#VALUE!</v>
      </c>
      <c r="AX30" s="65" t="e">
        <f t="shared" si="46"/>
        <v>#VALUE!</v>
      </c>
      <c r="AY30" s="65" t="e">
        <f t="shared" si="46"/>
        <v>#VALUE!</v>
      </c>
      <c r="AZ30" s="65" t="e">
        <f t="shared" si="46"/>
        <v>#VALUE!</v>
      </c>
      <c r="BA30" s="65" t="e">
        <f t="shared" si="46"/>
        <v>#VALUE!</v>
      </c>
      <c r="BB30" s="65" t="e">
        <f t="shared" si="46"/>
        <v>#VALUE!</v>
      </c>
      <c r="BC30" s="65" t="e">
        <f t="shared" si="46"/>
        <v>#VALUE!</v>
      </c>
      <c r="BD30" s="65" t="e">
        <f t="shared" si="46"/>
        <v>#VALUE!</v>
      </c>
      <c r="BE30" s="65" t="e">
        <f t="shared" si="46"/>
        <v>#VALUE!</v>
      </c>
      <c r="BF30" s="65" t="e">
        <f t="shared" si="46"/>
        <v>#VALUE!</v>
      </c>
      <c r="BG30" s="65" t="e">
        <f t="shared" si="46"/>
        <v>#VALUE!</v>
      </c>
      <c r="BH30" s="65" t="e">
        <f t="shared" ref="BH30:CM30" si="47">IF(AND(BH$2&gt;=$F30,BH$2&lt;($F30+$H30)),ROUND($K30/$H30,0),"-")</f>
        <v>#VALUE!</v>
      </c>
      <c r="BI30" s="65" t="e">
        <f t="shared" si="47"/>
        <v>#VALUE!</v>
      </c>
      <c r="BJ30" s="65" t="e">
        <f t="shared" si="47"/>
        <v>#VALUE!</v>
      </c>
      <c r="BK30" s="65" t="e">
        <f t="shared" si="47"/>
        <v>#VALUE!</v>
      </c>
      <c r="BL30" s="65" t="e">
        <f t="shared" si="47"/>
        <v>#VALUE!</v>
      </c>
      <c r="BM30" s="65" t="e">
        <f t="shared" si="47"/>
        <v>#VALUE!</v>
      </c>
      <c r="BN30" s="65" t="e">
        <f t="shared" si="47"/>
        <v>#VALUE!</v>
      </c>
      <c r="BO30" s="65" t="e">
        <f t="shared" si="47"/>
        <v>#VALUE!</v>
      </c>
      <c r="BP30" s="65" t="e">
        <f t="shared" si="47"/>
        <v>#VALUE!</v>
      </c>
      <c r="BQ30" s="65" t="e">
        <f t="shared" si="47"/>
        <v>#VALUE!</v>
      </c>
      <c r="BR30" s="65" t="e">
        <f t="shared" si="47"/>
        <v>#VALUE!</v>
      </c>
      <c r="BS30" s="65" t="e">
        <f t="shared" si="47"/>
        <v>#VALUE!</v>
      </c>
      <c r="BT30" s="65" t="e">
        <f t="shared" si="47"/>
        <v>#VALUE!</v>
      </c>
      <c r="BU30" s="65" t="e">
        <f t="shared" si="47"/>
        <v>#VALUE!</v>
      </c>
      <c r="BV30" s="65" t="e">
        <f t="shared" si="47"/>
        <v>#VALUE!</v>
      </c>
      <c r="BW30" s="65" t="e">
        <f t="shared" si="47"/>
        <v>#VALUE!</v>
      </c>
      <c r="BX30" s="65" t="e">
        <f t="shared" si="47"/>
        <v>#VALUE!</v>
      </c>
      <c r="BY30" s="65" t="e">
        <f t="shared" si="47"/>
        <v>#VALUE!</v>
      </c>
      <c r="BZ30" s="65" t="e">
        <f t="shared" si="47"/>
        <v>#VALUE!</v>
      </c>
      <c r="CA30" s="65" t="e">
        <f t="shared" si="47"/>
        <v>#VALUE!</v>
      </c>
      <c r="CB30" s="65" t="e">
        <f t="shared" si="47"/>
        <v>#VALUE!</v>
      </c>
      <c r="CC30" s="65" t="e">
        <f t="shared" si="47"/>
        <v>#VALUE!</v>
      </c>
      <c r="CD30" s="65" t="e">
        <f t="shared" si="47"/>
        <v>#VALUE!</v>
      </c>
      <c r="CE30" s="65" t="e">
        <f t="shared" si="47"/>
        <v>#VALUE!</v>
      </c>
      <c r="CF30" s="65" t="e">
        <f t="shared" si="47"/>
        <v>#VALUE!</v>
      </c>
      <c r="CG30" s="65" t="e">
        <f t="shared" si="47"/>
        <v>#VALUE!</v>
      </c>
      <c r="CH30" s="65" t="e">
        <f t="shared" si="47"/>
        <v>#VALUE!</v>
      </c>
      <c r="CI30" s="65" t="e">
        <f t="shared" si="47"/>
        <v>#VALUE!</v>
      </c>
      <c r="CJ30" s="65" t="e">
        <f t="shared" si="47"/>
        <v>#VALUE!</v>
      </c>
      <c r="CK30" s="65" t="e">
        <f t="shared" si="47"/>
        <v>#VALUE!</v>
      </c>
      <c r="CL30" s="65" t="e">
        <f t="shared" si="47"/>
        <v>#VALUE!</v>
      </c>
      <c r="CM30" s="65" t="e">
        <f t="shared" si="47"/>
        <v>#VALUE!</v>
      </c>
      <c r="CN30" s="65" t="e">
        <f t="shared" ref="CN30:CW30" si="48">IF(AND(CN$2&gt;=$F30,CN$2&lt;($F30+$H30)),ROUND($K30/$H30,0),"-")</f>
        <v>#VALUE!</v>
      </c>
      <c r="CO30" s="65" t="e">
        <f t="shared" si="48"/>
        <v>#VALUE!</v>
      </c>
      <c r="CP30" s="65" t="e">
        <f t="shared" si="48"/>
        <v>#VALUE!</v>
      </c>
      <c r="CQ30" s="65" t="e">
        <f t="shared" si="48"/>
        <v>#VALUE!</v>
      </c>
      <c r="CR30" s="65" t="e">
        <f t="shared" si="48"/>
        <v>#VALUE!</v>
      </c>
      <c r="CS30" s="65" t="e">
        <f t="shared" si="48"/>
        <v>#VALUE!</v>
      </c>
      <c r="CT30" s="65" t="e">
        <f t="shared" si="48"/>
        <v>#VALUE!</v>
      </c>
      <c r="CU30" s="65" t="e">
        <f t="shared" si="48"/>
        <v>#VALUE!</v>
      </c>
      <c r="CV30" s="65" t="e">
        <f t="shared" si="48"/>
        <v>#VALUE!</v>
      </c>
      <c r="CW30" s="65" t="e">
        <f t="shared" si="48"/>
        <v>#VALUE!</v>
      </c>
    </row>
    <row r="32" spans="1:101">
      <c r="B32" s="109" t="s">
        <v>91</v>
      </c>
      <c r="C32" s="109" t="s">
        <v>92</v>
      </c>
      <c r="D32" s="109" t="s">
        <v>93</v>
      </c>
      <c r="E32" s="109" t="s">
        <v>94</v>
      </c>
      <c r="F32" s="109" t="s">
        <v>78</v>
      </c>
      <c r="G32" s="109" t="s">
        <v>79</v>
      </c>
      <c r="H32" s="109" t="s">
        <v>59</v>
      </c>
      <c r="I32" s="109" t="s">
        <v>95</v>
      </c>
      <c r="J32" s="109" t="s">
        <v>96</v>
      </c>
      <c r="K32" s="109" t="s">
        <v>97</v>
      </c>
      <c r="L32" s="109" t="s">
        <v>80</v>
      </c>
      <c r="M32" s="260">
        <v>46201</v>
      </c>
      <c r="N32" s="260">
        <v>46202</v>
      </c>
      <c r="O32" s="260">
        <v>46203</v>
      </c>
      <c r="P32" s="260">
        <v>46204</v>
      </c>
      <c r="Q32" s="260">
        <v>46205</v>
      </c>
      <c r="R32" s="260">
        <v>46206</v>
      </c>
      <c r="S32" s="260">
        <v>46207</v>
      </c>
      <c r="T32" s="260">
        <v>46208</v>
      </c>
      <c r="U32" s="260">
        <v>46209</v>
      </c>
      <c r="V32" s="260">
        <v>46210</v>
      </c>
      <c r="W32" s="260">
        <v>46211</v>
      </c>
      <c r="X32" s="260">
        <v>46212</v>
      </c>
      <c r="Y32" s="260">
        <v>46213</v>
      </c>
      <c r="Z32" s="260">
        <v>46214</v>
      </c>
      <c r="AA32" s="260">
        <v>46215</v>
      </c>
      <c r="AB32" s="260">
        <v>46216</v>
      </c>
      <c r="AC32" s="260">
        <v>46217</v>
      </c>
      <c r="AD32" s="260">
        <v>46218</v>
      </c>
      <c r="AE32" s="260">
        <v>46219</v>
      </c>
      <c r="AF32" s="260">
        <v>46220</v>
      </c>
      <c r="AG32" s="260">
        <v>46221</v>
      </c>
      <c r="AH32" s="260">
        <v>46222</v>
      </c>
      <c r="AI32" s="260">
        <v>46223</v>
      </c>
      <c r="AJ32" s="260">
        <v>46224</v>
      </c>
      <c r="AK32" s="260">
        <v>46225</v>
      </c>
      <c r="AL32" s="260">
        <v>46226</v>
      </c>
      <c r="AM32" s="260">
        <v>46227</v>
      </c>
      <c r="AN32" s="260">
        <v>46228</v>
      </c>
      <c r="AO32" s="260">
        <v>46229</v>
      </c>
      <c r="AP32" s="260">
        <v>46230</v>
      </c>
      <c r="AQ32" s="260">
        <v>46231</v>
      </c>
      <c r="AR32" s="260">
        <v>46232</v>
      </c>
      <c r="AS32" s="260">
        <v>46233</v>
      </c>
      <c r="AT32" s="260">
        <v>46234</v>
      </c>
      <c r="AU32" s="260">
        <v>46235</v>
      </c>
      <c r="AV32" s="260">
        <v>46236</v>
      </c>
      <c r="AW32" s="260">
        <v>46237</v>
      </c>
      <c r="AX32" s="260">
        <v>46238</v>
      </c>
      <c r="AY32" s="260">
        <v>46239</v>
      </c>
      <c r="AZ32" s="260">
        <v>46240</v>
      </c>
      <c r="BA32" s="260">
        <v>46241</v>
      </c>
      <c r="BB32" s="260">
        <v>46242</v>
      </c>
      <c r="BC32" s="260">
        <v>46243</v>
      </c>
      <c r="BD32" s="260">
        <v>46244</v>
      </c>
      <c r="BE32" s="260">
        <v>46245</v>
      </c>
      <c r="BF32" s="260">
        <v>46246</v>
      </c>
      <c r="BG32" s="260">
        <v>46247</v>
      </c>
      <c r="BH32" s="260">
        <v>46248</v>
      </c>
      <c r="BI32" s="260">
        <v>46249</v>
      </c>
      <c r="BJ32" s="260">
        <v>46250</v>
      </c>
      <c r="BK32" s="260">
        <v>46251</v>
      </c>
      <c r="BL32" s="260">
        <v>46252</v>
      </c>
      <c r="BM32" s="260">
        <v>46253</v>
      </c>
      <c r="BN32" s="260">
        <v>46254</v>
      </c>
      <c r="BO32" s="260">
        <v>46255</v>
      </c>
      <c r="BP32" s="260">
        <v>46256</v>
      </c>
      <c r="BQ32" s="260">
        <v>46257</v>
      </c>
      <c r="BR32" s="260">
        <v>46258</v>
      </c>
      <c r="BS32" s="260">
        <v>46259</v>
      </c>
      <c r="BT32" s="260">
        <v>46260</v>
      </c>
      <c r="BU32" s="260">
        <v>46261</v>
      </c>
      <c r="BV32" s="260">
        <v>46262</v>
      </c>
      <c r="BW32" s="260">
        <v>46263</v>
      </c>
      <c r="BX32" s="260">
        <v>46264</v>
      </c>
      <c r="BY32" s="260">
        <v>46265</v>
      </c>
      <c r="BZ32" s="260">
        <v>46266</v>
      </c>
      <c r="CA32" s="260">
        <v>46267</v>
      </c>
      <c r="CB32" s="260">
        <v>46268</v>
      </c>
      <c r="CC32" s="260">
        <v>46269</v>
      </c>
      <c r="CD32" s="260">
        <v>46270</v>
      </c>
      <c r="CE32" s="260">
        <v>46271</v>
      </c>
      <c r="CF32" s="260">
        <v>46272</v>
      </c>
      <c r="CG32" s="260">
        <v>46273</v>
      </c>
      <c r="CH32" s="260">
        <v>46274</v>
      </c>
      <c r="CI32" s="260">
        <v>46275</v>
      </c>
      <c r="CJ32" s="260">
        <v>46276</v>
      </c>
      <c r="CK32" s="260">
        <v>46277</v>
      </c>
      <c r="CL32" s="260">
        <v>46278</v>
      </c>
      <c r="CM32" s="260">
        <v>46279</v>
      </c>
      <c r="CN32" s="260">
        <v>46280</v>
      </c>
      <c r="CO32" s="260">
        <v>46281</v>
      </c>
      <c r="CP32" s="260">
        <v>46282</v>
      </c>
      <c r="CQ32" s="260">
        <v>46283</v>
      </c>
      <c r="CR32" s="260">
        <v>46284</v>
      </c>
      <c r="CS32" s="260">
        <v>46285</v>
      </c>
      <c r="CT32" s="260">
        <v>46286</v>
      </c>
      <c r="CU32" s="260">
        <v>46287</v>
      </c>
      <c r="CV32" s="260">
        <v>46288</v>
      </c>
      <c r="CW32" s="260">
        <v>46289</v>
      </c>
    </row>
    <row r="33" spans="1:101" ht="12.75" customHeight="1">
      <c r="A33" t="s">
        <v>106</v>
      </c>
      <c r="B33" s="138" t="s">
        <v>21</v>
      </c>
      <c r="C33" s="101">
        <v>48</v>
      </c>
      <c r="D33" s="102">
        <v>0</v>
      </c>
      <c r="E33" s="258">
        <f>C33-D33</f>
        <v>48</v>
      </c>
      <c r="F33" s="165" t="str">
        <f>'BESS 11'!D277</f>
        <v>19 Aug,
22 Aug
05 Sep
08 Sep</v>
      </c>
      <c r="G33" s="165" t="e">
        <f>F33+4</f>
        <v>#VALUE!</v>
      </c>
      <c r="H33" s="65" t="e">
        <f>G33-F33</f>
        <v>#VALUE!</v>
      </c>
      <c r="I33" s="96">
        <v>10</v>
      </c>
      <c r="J33" s="93">
        <v>1</v>
      </c>
      <c r="K33" s="94">
        <f>(E33*J33)/I33</f>
        <v>4.8</v>
      </c>
      <c r="L33" s="505" t="e">
        <f>AVERAGEIF(M33:CW35,"&gt;0")</f>
        <v>#DIV/0!</v>
      </c>
      <c r="M33" s="65" t="e">
        <f t="shared" ref="M33:V34" si="49">IF(AND(M$2&gt;=$F33,M$2&lt;($F33+$H33)),ROUND($K33/$H33,0),"-")</f>
        <v>#VALUE!</v>
      </c>
      <c r="N33" s="65" t="e">
        <f t="shared" si="49"/>
        <v>#VALUE!</v>
      </c>
      <c r="O33" s="65" t="e">
        <f t="shared" si="49"/>
        <v>#VALUE!</v>
      </c>
      <c r="P33" s="65" t="e">
        <f t="shared" si="49"/>
        <v>#VALUE!</v>
      </c>
      <c r="Q33" s="65" t="e">
        <f t="shared" si="49"/>
        <v>#VALUE!</v>
      </c>
      <c r="R33" s="65" t="e">
        <f t="shared" si="49"/>
        <v>#VALUE!</v>
      </c>
      <c r="S33" s="65" t="e">
        <f t="shared" si="49"/>
        <v>#VALUE!</v>
      </c>
      <c r="T33" s="65" t="e">
        <f t="shared" si="49"/>
        <v>#VALUE!</v>
      </c>
      <c r="U33" s="65" t="e">
        <f t="shared" si="49"/>
        <v>#VALUE!</v>
      </c>
      <c r="V33" s="65" t="e">
        <f t="shared" si="49"/>
        <v>#VALUE!</v>
      </c>
      <c r="W33" s="65" t="e">
        <f t="shared" ref="W33:AF34" si="50">IF(AND(W$2&gt;=$F33,W$2&lt;($F33+$H33)),ROUND($K33/$H33,0),"-")</f>
        <v>#VALUE!</v>
      </c>
      <c r="X33" s="65" t="e">
        <f t="shared" si="50"/>
        <v>#VALUE!</v>
      </c>
      <c r="Y33" s="65" t="e">
        <f t="shared" si="50"/>
        <v>#VALUE!</v>
      </c>
      <c r="Z33" s="65" t="e">
        <f t="shared" si="50"/>
        <v>#VALUE!</v>
      </c>
      <c r="AA33" s="65" t="e">
        <f t="shared" si="50"/>
        <v>#VALUE!</v>
      </c>
      <c r="AB33" s="65" t="e">
        <f t="shared" si="50"/>
        <v>#VALUE!</v>
      </c>
      <c r="AC33" s="65" t="e">
        <f t="shared" si="50"/>
        <v>#VALUE!</v>
      </c>
      <c r="AD33" s="65" t="e">
        <f t="shared" si="50"/>
        <v>#VALUE!</v>
      </c>
      <c r="AE33" s="65" t="e">
        <f t="shared" si="50"/>
        <v>#VALUE!</v>
      </c>
      <c r="AF33" s="65" t="e">
        <f t="shared" si="50"/>
        <v>#VALUE!</v>
      </c>
      <c r="AG33" s="65" t="e">
        <f t="shared" ref="AG33:AP34" si="51">IF(AND(AG$2&gt;=$F33,AG$2&lt;($F33+$H33)),ROUND($K33/$H33,0),"-")</f>
        <v>#VALUE!</v>
      </c>
      <c r="AH33" s="65" t="e">
        <f t="shared" si="51"/>
        <v>#VALUE!</v>
      </c>
      <c r="AI33" s="65" t="e">
        <f t="shared" si="51"/>
        <v>#VALUE!</v>
      </c>
      <c r="AJ33" s="65" t="e">
        <f t="shared" si="51"/>
        <v>#VALUE!</v>
      </c>
      <c r="AK33" s="65" t="e">
        <f t="shared" si="51"/>
        <v>#VALUE!</v>
      </c>
      <c r="AL33" s="65" t="e">
        <f t="shared" si="51"/>
        <v>#VALUE!</v>
      </c>
      <c r="AM33" s="65" t="e">
        <f t="shared" si="51"/>
        <v>#VALUE!</v>
      </c>
      <c r="AN33" s="65" t="e">
        <f t="shared" si="51"/>
        <v>#VALUE!</v>
      </c>
      <c r="AO33" s="65" t="e">
        <f t="shared" si="51"/>
        <v>#VALUE!</v>
      </c>
      <c r="AP33" s="65" t="e">
        <f t="shared" si="51"/>
        <v>#VALUE!</v>
      </c>
      <c r="AQ33" s="65" t="e">
        <f t="shared" ref="AQ33:BA34" si="52">IF(AND(AQ$2&gt;=$F33,AQ$2&lt;($F33+$H33)),ROUND($K33/$H33,0),"-")</f>
        <v>#VALUE!</v>
      </c>
      <c r="AR33" s="65" t="e">
        <f t="shared" si="52"/>
        <v>#VALUE!</v>
      </c>
      <c r="AS33" s="65" t="e">
        <f t="shared" si="52"/>
        <v>#VALUE!</v>
      </c>
      <c r="AT33" s="65" t="e">
        <f t="shared" si="52"/>
        <v>#VALUE!</v>
      </c>
      <c r="AU33" s="65" t="e">
        <f t="shared" si="52"/>
        <v>#VALUE!</v>
      </c>
      <c r="AV33" s="65" t="e">
        <f t="shared" si="52"/>
        <v>#VALUE!</v>
      </c>
      <c r="AW33" s="65" t="e">
        <f t="shared" si="52"/>
        <v>#VALUE!</v>
      </c>
      <c r="AX33" s="65" t="e">
        <f t="shared" si="52"/>
        <v>#VALUE!</v>
      </c>
      <c r="AY33" s="65" t="e">
        <f t="shared" si="52"/>
        <v>#VALUE!</v>
      </c>
      <c r="AZ33" s="65" t="e">
        <f t="shared" si="52"/>
        <v>#VALUE!</v>
      </c>
      <c r="BA33" s="65" t="e">
        <f t="shared" si="52"/>
        <v>#VALUE!</v>
      </c>
      <c r="BB33" s="65" t="e">
        <f t="shared" ref="BB33:CW33" si="53">IF(AND(BB$2&gt;=$F33,BB$2&lt;($F33+$H33)),ROUND($K33/$H33,0),"-")</f>
        <v>#VALUE!</v>
      </c>
      <c r="BC33" s="65" t="e">
        <f t="shared" si="53"/>
        <v>#VALUE!</v>
      </c>
      <c r="BD33" s="65" t="e">
        <f t="shared" si="53"/>
        <v>#VALUE!</v>
      </c>
      <c r="BE33" s="65" t="e">
        <f t="shared" si="53"/>
        <v>#VALUE!</v>
      </c>
      <c r="BF33" s="65" t="e">
        <f t="shared" si="53"/>
        <v>#VALUE!</v>
      </c>
      <c r="BG33" s="65" t="e">
        <f t="shared" si="53"/>
        <v>#VALUE!</v>
      </c>
      <c r="BH33" s="65" t="e">
        <f t="shared" si="53"/>
        <v>#VALUE!</v>
      </c>
      <c r="BI33" s="65" t="e">
        <f t="shared" si="53"/>
        <v>#VALUE!</v>
      </c>
      <c r="BJ33" s="65" t="e">
        <f t="shared" si="53"/>
        <v>#VALUE!</v>
      </c>
      <c r="BK33" s="65" t="e">
        <f t="shared" si="53"/>
        <v>#VALUE!</v>
      </c>
      <c r="BL33" s="65" t="e">
        <f t="shared" si="53"/>
        <v>#VALUE!</v>
      </c>
      <c r="BM33" s="65" t="e">
        <f t="shared" si="53"/>
        <v>#VALUE!</v>
      </c>
      <c r="BN33" s="65" t="e">
        <f t="shared" si="53"/>
        <v>#VALUE!</v>
      </c>
      <c r="BO33" s="65" t="e">
        <f t="shared" si="53"/>
        <v>#VALUE!</v>
      </c>
      <c r="BP33" s="65" t="e">
        <f t="shared" si="53"/>
        <v>#VALUE!</v>
      </c>
      <c r="BQ33" s="65" t="e">
        <f t="shared" si="53"/>
        <v>#VALUE!</v>
      </c>
      <c r="BR33" s="65" t="e">
        <f t="shared" si="53"/>
        <v>#VALUE!</v>
      </c>
      <c r="BS33" s="65" t="e">
        <f t="shared" si="53"/>
        <v>#VALUE!</v>
      </c>
      <c r="BT33" s="65" t="e">
        <f t="shared" si="53"/>
        <v>#VALUE!</v>
      </c>
      <c r="BU33" s="65" t="e">
        <f t="shared" si="53"/>
        <v>#VALUE!</v>
      </c>
      <c r="BV33" s="65" t="e">
        <f t="shared" si="53"/>
        <v>#VALUE!</v>
      </c>
      <c r="BW33" s="65" t="e">
        <f t="shared" si="53"/>
        <v>#VALUE!</v>
      </c>
      <c r="BX33" s="65" t="e">
        <f t="shared" si="53"/>
        <v>#VALUE!</v>
      </c>
      <c r="BY33" s="65" t="e">
        <f t="shared" si="53"/>
        <v>#VALUE!</v>
      </c>
      <c r="BZ33" s="65" t="e">
        <f t="shared" si="53"/>
        <v>#VALUE!</v>
      </c>
      <c r="CA33" s="65" t="e">
        <f t="shared" si="53"/>
        <v>#VALUE!</v>
      </c>
      <c r="CB33" s="65" t="e">
        <f t="shared" si="53"/>
        <v>#VALUE!</v>
      </c>
      <c r="CC33" s="65" t="e">
        <f t="shared" si="53"/>
        <v>#VALUE!</v>
      </c>
      <c r="CD33" s="65" t="e">
        <f t="shared" si="53"/>
        <v>#VALUE!</v>
      </c>
      <c r="CE33" s="65" t="e">
        <f t="shared" si="53"/>
        <v>#VALUE!</v>
      </c>
      <c r="CF33" s="65" t="e">
        <f t="shared" si="53"/>
        <v>#VALUE!</v>
      </c>
      <c r="CG33" s="65" t="e">
        <f t="shared" si="53"/>
        <v>#VALUE!</v>
      </c>
      <c r="CH33" s="65" t="e">
        <f t="shared" si="53"/>
        <v>#VALUE!</v>
      </c>
      <c r="CI33" s="65" t="e">
        <f t="shared" si="53"/>
        <v>#VALUE!</v>
      </c>
      <c r="CJ33" s="65" t="e">
        <f t="shared" si="53"/>
        <v>#VALUE!</v>
      </c>
      <c r="CK33" s="65" t="e">
        <f t="shared" si="53"/>
        <v>#VALUE!</v>
      </c>
      <c r="CL33" s="65" t="e">
        <f t="shared" si="53"/>
        <v>#VALUE!</v>
      </c>
      <c r="CM33" s="65" t="e">
        <f t="shared" si="53"/>
        <v>#VALUE!</v>
      </c>
      <c r="CN33" s="65" t="e">
        <f t="shared" si="53"/>
        <v>#VALUE!</v>
      </c>
      <c r="CO33" s="65" t="e">
        <f t="shared" si="53"/>
        <v>#VALUE!</v>
      </c>
      <c r="CP33" s="65" t="e">
        <f t="shared" si="53"/>
        <v>#VALUE!</v>
      </c>
      <c r="CQ33" s="65" t="e">
        <f t="shared" si="53"/>
        <v>#VALUE!</v>
      </c>
      <c r="CR33" s="65" t="e">
        <f t="shared" si="53"/>
        <v>#VALUE!</v>
      </c>
      <c r="CS33" s="65" t="e">
        <f t="shared" si="53"/>
        <v>#VALUE!</v>
      </c>
      <c r="CT33" s="65" t="e">
        <f t="shared" si="53"/>
        <v>#VALUE!</v>
      </c>
      <c r="CU33" s="65" t="e">
        <f t="shared" si="53"/>
        <v>#VALUE!</v>
      </c>
      <c r="CV33" s="65" t="e">
        <f t="shared" si="53"/>
        <v>#VALUE!</v>
      </c>
      <c r="CW33" s="65" t="e">
        <f t="shared" si="53"/>
        <v>#VALUE!</v>
      </c>
    </row>
    <row r="34" spans="1:101" ht="12.75" customHeight="1">
      <c r="B34" s="109" t="s">
        <v>99</v>
      </c>
      <c r="C34" s="101">
        <v>768</v>
      </c>
      <c r="D34" s="258">
        <f>SUM('[1]Electrical Work'!$G$446:$G$451)</f>
        <v>810</v>
      </c>
      <c r="E34" s="258">
        <f>C34-D34</f>
        <v>-42</v>
      </c>
      <c r="F34" s="162" t="str">
        <f>F33</f>
        <v>19 Aug,
22 Aug
05 Sep
08 Sep</v>
      </c>
      <c r="G34" s="162" t="e">
        <f>G33</f>
        <v>#VALUE!</v>
      </c>
      <c r="H34" s="65" t="e">
        <f>G34-F34</f>
        <v>#VALUE!</v>
      </c>
      <c r="I34" s="259">
        <v>30</v>
      </c>
      <c r="J34" s="259">
        <v>18</v>
      </c>
      <c r="K34" s="102">
        <f>(E34*J34)/I34</f>
        <v>-25.2</v>
      </c>
      <c r="L34" s="505"/>
      <c r="M34" s="65" t="e">
        <f t="shared" si="49"/>
        <v>#VALUE!</v>
      </c>
      <c r="N34" s="65" t="e">
        <f t="shared" si="49"/>
        <v>#VALUE!</v>
      </c>
      <c r="O34" s="65" t="e">
        <f t="shared" si="49"/>
        <v>#VALUE!</v>
      </c>
      <c r="P34" s="65" t="e">
        <f t="shared" si="49"/>
        <v>#VALUE!</v>
      </c>
      <c r="Q34" s="65" t="e">
        <f t="shared" si="49"/>
        <v>#VALUE!</v>
      </c>
      <c r="R34" s="65" t="e">
        <f t="shared" si="49"/>
        <v>#VALUE!</v>
      </c>
      <c r="S34" s="65" t="e">
        <f t="shared" si="49"/>
        <v>#VALUE!</v>
      </c>
      <c r="T34" s="65" t="e">
        <f t="shared" si="49"/>
        <v>#VALUE!</v>
      </c>
      <c r="U34" s="65" t="e">
        <f t="shared" si="49"/>
        <v>#VALUE!</v>
      </c>
      <c r="V34" s="65" t="e">
        <f t="shared" si="49"/>
        <v>#VALUE!</v>
      </c>
      <c r="W34" s="65" t="e">
        <f t="shared" si="50"/>
        <v>#VALUE!</v>
      </c>
      <c r="X34" s="65" t="e">
        <f t="shared" si="50"/>
        <v>#VALUE!</v>
      </c>
      <c r="Y34" s="65" t="e">
        <f t="shared" si="50"/>
        <v>#VALUE!</v>
      </c>
      <c r="Z34" s="65" t="e">
        <f t="shared" si="50"/>
        <v>#VALUE!</v>
      </c>
      <c r="AA34" s="65" t="e">
        <f t="shared" si="50"/>
        <v>#VALUE!</v>
      </c>
      <c r="AB34" s="65" t="e">
        <f t="shared" si="50"/>
        <v>#VALUE!</v>
      </c>
      <c r="AC34" s="65" t="e">
        <f t="shared" si="50"/>
        <v>#VALUE!</v>
      </c>
      <c r="AD34" s="65" t="e">
        <f t="shared" si="50"/>
        <v>#VALUE!</v>
      </c>
      <c r="AE34" s="65" t="e">
        <f t="shared" si="50"/>
        <v>#VALUE!</v>
      </c>
      <c r="AF34" s="65" t="e">
        <f t="shared" si="50"/>
        <v>#VALUE!</v>
      </c>
      <c r="AG34" s="65" t="e">
        <f t="shared" si="51"/>
        <v>#VALUE!</v>
      </c>
      <c r="AH34" s="65" t="e">
        <f t="shared" si="51"/>
        <v>#VALUE!</v>
      </c>
      <c r="AI34" s="65" t="e">
        <f t="shared" si="51"/>
        <v>#VALUE!</v>
      </c>
      <c r="AJ34" s="65" t="e">
        <f t="shared" si="51"/>
        <v>#VALUE!</v>
      </c>
      <c r="AK34" s="65" t="e">
        <f t="shared" si="51"/>
        <v>#VALUE!</v>
      </c>
      <c r="AL34" s="65" t="e">
        <f t="shared" si="51"/>
        <v>#VALUE!</v>
      </c>
      <c r="AM34" s="65" t="e">
        <f t="shared" si="51"/>
        <v>#VALUE!</v>
      </c>
      <c r="AN34" s="65" t="e">
        <f t="shared" si="51"/>
        <v>#VALUE!</v>
      </c>
      <c r="AO34" s="65" t="e">
        <f t="shared" si="51"/>
        <v>#VALUE!</v>
      </c>
      <c r="AP34" s="65" t="e">
        <f t="shared" si="51"/>
        <v>#VALUE!</v>
      </c>
      <c r="AQ34" s="65" t="e">
        <f t="shared" si="52"/>
        <v>#VALUE!</v>
      </c>
      <c r="AR34" s="65" t="e">
        <f t="shared" si="52"/>
        <v>#VALUE!</v>
      </c>
      <c r="AS34" s="65" t="e">
        <f t="shared" si="52"/>
        <v>#VALUE!</v>
      </c>
      <c r="AT34" s="65" t="e">
        <f t="shared" si="52"/>
        <v>#VALUE!</v>
      </c>
      <c r="AU34" s="65" t="e">
        <f t="shared" si="52"/>
        <v>#VALUE!</v>
      </c>
      <c r="AV34" s="65" t="e">
        <f t="shared" si="52"/>
        <v>#VALUE!</v>
      </c>
      <c r="AW34" s="65" t="e">
        <f t="shared" si="52"/>
        <v>#VALUE!</v>
      </c>
      <c r="AX34" s="65" t="e">
        <f t="shared" si="52"/>
        <v>#VALUE!</v>
      </c>
      <c r="AY34" s="65" t="e">
        <f t="shared" si="52"/>
        <v>#VALUE!</v>
      </c>
      <c r="AZ34" s="65" t="e">
        <f t="shared" si="52"/>
        <v>#VALUE!</v>
      </c>
      <c r="BA34" s="65" t="e">
        <f t="shared" si="52"/>
        <v>#VALUE!</v>
      </c>
      <c r="BB34" s="65" t="e">
        <f t="shared" ref="BB34:CW34" si="54">IF(AND(BB$2&gt;=$F34,BB$2&lt;($F34+$H34)),ROUND($K34/$H34,0),"-")</f>
        <v>#VALUE!</v>
      </c>
      <c r="BC34" s="65" t="e">
        <f t="shared" si="54"/>
        <v>#VALUE!</v>
      </c>
      <c r="BD34" s="65" t="e">
        <f t="shared" si="54"/>
        <v>#VALUE!</v>
      </c>
      <c r="BE34" s="65" t="e">
        <f t="shared" si="54"/>
        <v>#VALUE!</v>
      </c>
      <c r="BF34" s="65" t="e">
        <f t="shared" si="54"/>
        <v>#VALUE!</v>
      </c>
      <c r="BG34" s="65" t="e">
        <f t="shared" si="54"/>
        <v>#VALUE!</v>
      </c>
      <c r="BH34" s="65" t="e">
        <f t="shared" si="54"/>
        <v>#VALUE!</v>
      </c>
      <c r="BI34" s="65" t="e">
        <f t="shared" si="54"/>
        <v>#VALUE!</v>
      </c>
      <c r="BJ34" s="65" t="e">
        <f t="shared" si="54"/>
        <v>#VALUE!</v>
      </c>
      <c r="BK34" s="65" t="e">
        <f t="shared" si="54"/>
        <v>#VALUE!</v>
      </c>
      <c r="BL34" s="65" t="e">
        <f t="shared" si="54"/>
        <v>#VALUE!</v>
      </c>
      <c r="BM34" s="65" t="e">
        <f t="shared" si="54"/>
        <v>#VALUE!</v>
      </c>
      <c r="BN34" s="65" t="e">
        <f t="shared" si="54"/>
        <v>#VALUE!</v>
      </c>
      <c r="BO34" s="65" t="e">
        <f t="shared" si="54"/>
        <v>#VALUE!</v>
      </c>
      <c r="BP34" s="65" t="e">
        <f t="shared" si="54"/>
        <v>#VALUE!</v>
      </c>
      <c r="BQ34" s="65" t="e">
        <f t="shared" si="54"/>
        <v>#VALUE!</v>
      </c>
      <c r="BR34" s="65" t="e">
        <f t="shared" si="54"/>
        <v>#VALUE!</v>
      </c>
      <c r="BS34" s="65" t="e">
        <f t="shared" si="54"/>
        <v>#VALUE!</v>
      </c>
      <c r="BT34" s="65" t="e">
        <f t="shared" si="54"/>
        <v>#VALUE!</v>
      </c>
      <c r="BU34" s="65" t="e">
        <f t="shared" si="54"/>
        <v>#VALUE!</v>
      </c>
      <c r="BV34" s="65" t="e">
        <f t="shared" si="54"/>
        <v>#VALUE!</v>
      </c>
      <c r="BW34" s="65" t="e">
        <f t="shared" si="54"/>
        <v>#VALUE!</v>
      </c>
      <c r="BX34" s="65" t="e">
        <f t="shared" si="54"/>
        <v>#VALUE!</v>
      </c>
      <c r="BY34" s="65" t="e">
        <f t="shared" si="54"/>
        <v>#VALUE!</v>
      </c>
      <c r="BZ34" s="65" t="e">
        <f t="shared" si="54"/>
        <v>#VALUE!</v>
      </c>
      <c r="CA34" s="65" t="e">
        <f t="shared" si="54"/>
        <v>#VALUE!</v>
      </c>
      <c r="CB34" s="65" t="e">
        <f t="shared" si="54"/>
        <v>#VALUE!</v>
      </c>
      <c r="CC34" s="65" t="e">
        <f t="shared" si="54"/>
        <v>#VALUE!</v>
      </c>
      <c r="CD34" s="65" t="e">
        <f t="shared" si="54"/>
        <v>#VALUE!</v>
      </c>
      <c r="CE34" s="65" t="e">
        <f t="shared" si="54"/>
        <v>#VALUE!</v>
      </c>
      <c r="CF34" s="65" t="e">
        <f t="shared" si="54"/>
        <v>#VALUE!</v>
      </c>
      <c r="CG34" s="65" t="e">
        <f t="shared" si="54"/>
        <v>#VALUE!</v>
      </c>
      <c r="CH34" s="65" t="e">
        <f t="shared" si="54"/>
        <v>#VALUE!</v>
      </c>
      <c r="CI34" s="65" t="e">
        <f t="shared" si="54"/>
        <v>#VALUE!</v>
      </c>
      <c r="CJ34" s="65" t="e">
        <f t="shared" si="54"/>
        <v>#VALUE!</v>
      </c>
      <c r="CK34" s="65" t="e">
        <f t="shared" si="54"/>
        <v>#VALUE!</v>
      </c>
      <c r="CL34" s="65" t="e">
        <f t="shared" si="54"/>
        <v>#VALUE!</v>
      </c>
      <c r="CM34" s="65" t="e">
        <f t="shared" si="54"/>
        <v>#VALUE!</v>
      </c>
      <c r="CN34" s="65" t="e">
        <f t="shared" si="54"/>
        <v>#VALUE!</v>
      </c>
      <c r="CO34" s="65" t="e">
        <f t="shared" si="54"/>
        <v>#VALUE!</v>
      </c>
      <c r="CP34" s="65" t="e">
        <f t="shared" si="54"/>
        <v>#VALUE!</v>
      </c>
      <c r="CQ34" s="65" t="e">
        <f t="shared" si="54"/>
        <v>#VALUE!</v>
      </c>
      <c r="CR34" s="65" t="e">
        <f t="shared" si="54"/>
        <v>#VALUE!</v>
      </c>
      <c r="CS34" s="65" t="e">
        <f t="shared" si="54"/>
        <v>#VALUE!</v>
      </c>
      <c r="CT34" s="65" t="e">
        <f t="shared" si="54"/>
        <v>#VALUE!</v>
      </c>
      <c r="CU34" s="65" t="e">
        <f t="shared" si="54"/>
        <v>#VALUE!</v>
      </c>
      <c r="CV34" s="65" t="e">
        <f t="shared" si="54"/>
        <v>#VALUE!</v>
      </c>
      <c r="CW34" s="65" t="e">
        <f t="shared" si="54"/>
        <v>#VALUE!</v>
      </c>
    </row>
    <row r="35" spans="1:101" ht="12.75" customHeight="1">
      <c r="B35" s="109" t="s">
        <v>100</v>
      </c>
      <c r="C35" s="101">
        <v>1344</v>
      </c>
      <c r="D35" s="101">
        <v>0</v>
      </c>
      <c r="E35" s="258">
        <f>C35-D35</f>
        <v>1344</v>
      </c>
      <c r="F35" s="162" t="str">
        <f>F34</f>
        <v>19 Aug,
22 Aug
05 Sep
08 Sep</v>
      </c>
      <c r="G35" s="162" t="e">
        <f>G34</f>
        <v>#VALUE!</v>
      </c>
      <c r="H35" s="65" t="e">
        <f>H34</f>
        <v>#VALUE!</v>
      </c>
      <c r="I35" s="101">
        <v>30</v>
      </c>
      <c r="J35" s="101">
        <v>6</v>
      </c>
      <c r="K35" s="102">
        <f>(E35*J35)/I35</f>
        <v>268.8</v>
      </c>
      <c r="L35" s="505"/>
      <c r="M35" s="65" t="e">
        <f t="shared" ref="M35:AA35" si="55">IF(AND(M$2&gt;=$F35,M$2&lt;($F35+$H35)),ROUND($K35/$H35,0),"-")</f>
        <v>#VALUE!</v>
      </c>
      <c r="N35" s="65" t="e">
        <f t="shared" si="55"/>
        <v>#VALUE!</v>
      </c>
      <c r="O35" s="65" t="e">
        <f t="shared" si="55"/>
        <v>#VALUE!</v>
      </c>
      <c r="P35" s="65" t="e">
        <f t="shared" si="55"/>
        <v>#VALUE!</v>
      </c>
      <c r="Q35" s="65" t="e">
        <f t="shared" si="55"/>
        <v>#VALUE!</v>
      </c>
      <c r="R35" s="65" t="e">
        <f t="shared" si="55"/>
        <v>#VALUE!</v>
      </c>
      <c r="S35" s="65" t="e">
        <f t="shared" si="55"/>
        <v>#VALUE!</v>
      </c>
      <c r="T35" s="65" t="e">
        <f t="shared" si="55"/>
        <v>#VALUE!</v>
      </c>
      <c r="U35" s="65" t="e">
        <f t="shared" si="55"/>
        <v>#VALUE!</v>
      </c>
      <c r="V35" s="65" t="e">
        <f t="shared" si="55"/>
        <v>#VALUE!</v>
      </c>
      <c r="W35" s="65" t="e">
        <f t="shared" si="55"/>
        <v>#VALUE!</v>
      </c>
      <c r="X35" s="65" t="e">
        <f t="shared" si="55"/>
        <v>#VALUE!</v>
      </c>
      <c r="Y35" s="65" t="e">
        <f t="shared" si="55"/>
        <v>#VALUE!</v>
      </c>
      <c r="Z35" s="65" t="e">
        <f t="shared" si="55"/>
        <v>#VALUE!</v>
      </c>
      <c r="AA35" s="65" t="e">
        <f t="shared" si="55"/>
        <v>#VALUE!</v>
      </c>
      <c r="AB35" s="65" t="e">
        <f t="shared" ref="AB35:BG35" si="56">IF(AND(AB$2&gt;=$F35,AB$2&lt;($F35+$H35)),ROUND($K35/$H35,0),"-")</f>
        <v>#VALUE!</v>
      </c>
      <c r="AC35" s="65" t="e">
        <f t="shared" si="56"/>
        <v>#VALUE!</v>
      </c>
      <c r="AD35" s="65" t="e">
        <f t="shared" si="56"/>
        <v>#VALUE!</v>
      </c>
      <c r="AE35" s="65" t="e">
        <f t="shared" si="56"/>
        <v>#VALUE!</v>
      </c>
      <c r="AF35" s="65" t="e">
        <f t="shared" si="56"/>
        <v>#VALUE!</v>
      </c>
      <c r="AG35" s="65" t="e">
        <f t="shared" si="56"/>
        <v>#VALUE!</v>
      </c>
      <c r="AH35" s="65" t="e">
        <f t="shared" si="56"/>
        <v>#VALUE!</v>
      </c>
      <c r="AI35" s="65" t="e">
        <f t="shared" si="56"/>
        <v>#VALUE!</v>
      </c>
      <c r="AJ35" s="65" t="e">
        <f t="shared" si="56"/>
        <v>#VALUE!</v>
      </c>
      <c r="AK35" s="65" t="e">
        <f t="shared" si="56"/>
        <v>#VALUE!</v>
      </c>
      <c r="AL35" s="65" t="e">
        <f t="shared" si="56"/>
        <v>#VALUE!</v>
      </c>
      <c r="AM35" s="65" t="e">
        <f t="shared" si="56"/>
        <v>#VALUE!</v>
      </c>
      <c r="AN35" s="65" t="e">
        <f t="shared" si="56"/>
        <v>#VALUE!</v>
      </c>
      <c r="AO35" s="65" t="e">
        <f t="shared" si="56"/>
        <v>#VALUE!</v>
      </c>
      <c r="AP35" s="65" t="e">
        <f t="shared" si="56"/>
        <v>#VALUE!</v>
      </c>
      <c r="AQ35" s="65" t="e">
        <f t="shared" si="56"/>
        <v>#VALUE!</v>
      </c>
      <c r="AR35" s="65" t="e">
        <f t="shared" si="56"/>
        <v>#VALUE!</v>
      </c>
      <c r="AS35" s="65" t="e">
        <f t="shared" si="56"/>
        <v>#VALUE!</v>
      </c>
      <c r="AT35" s="65" t="e">
        <f t="shared" si="56"/>
        <v>#VALUE!</v>
      </c>
      <c r="AU35" s="65" t="e">
        <f t="shared" si="56"/>
        <v>#VALUE!</v>
      </c>
      <c r="AV35" s="65" t="e">
        <f t="shared" si="56"/>
        <v>#VALUE!</v>
      </c>
      <c r="AW35" s="65" t="e">
        <f t="shared" si="56"/>
        <v>#VALUE!</v>
      </c>
      <c r="AX35" s="65" t="e">
        <f t="shared" si="56"/>
        <v>#VALUE!</v>
      </c>
      <c r="AY35" s="65" t="e">
        <f t="shared" si="56"/>
        <v>#VALUE!</v>
      </c>
      <c r="AZ35" s="65" t="e">
        <f t="shared" si="56"/>
        <v>#VALUE!</v>
      </c>
      <c r="BA35" s="65" t="e">
        <f t="shared" si="56"/>
        <v>#VALUE!</v>
      </c>
      <c r="BB35" s="65" t="e">
        <f t="shared" si="56"/>
        <v>#VALUE!</v>
      </c>
      <c r="BC35" s="65" t="e">
        <f t="shared" si="56"/>
        <v>#VALUE!</v>
      </c>
      <c r="BD35" s="65" t="e">
        <f t="shared" si="56"/>
        <v>#VALUE!</v>
      </c>
      <c r="BE35" s="65" t="e">
        <f t="shared" si="56"/>
        <v>#VALUE!</v>
      </c>
      <c r="BF35" s="65" t="e">
        <f t="shared" si="56"/>
        <v>#VALUE!</v>
      </c>
      <c r="BG35" s="65" t="e">
        <f t="shared" si="56"/>
        <v>#VALUE!</v>
      </c>
      <c r="BH35" s="65" t="e">
        <f t="shared" ref="BH35:CM35" si="57">IF(AND(BH$2&gt;=$F35,BH$2&lt;($F35+$H35)),ROUND($K35/$H35,0),"-")</f>
        <v>#VALUE!</v>
      </c>
      <c r="BI35" s="65" t="e">
        <f t="shared" si="57"/>
        <v>#VALUE!</v>
      </c>
      <c r="BJ35" s="65" t="e">
        <f t="shared" si="57"/>
        <v>#VALUE!</v>
      </c>
      <c r="BK35" s="65" t="e">
        <f t="shared" si="57"/>
        <v>#VALUE!</v>
      </c>
      <c r="BL35" s="65" t="e">
        <f t="shared" si="57"/>
        <v>#VALUE!</v>
      </c>
      <c r="BM35" s="65" t="e">
        <f t="shared" si="57"/>
        <v>#VALUE!</v>
      </c>
      <c r="BN35" s="65" t="e">
        <f t="shared" si="57"/>
        <v>#VALUE!</v>
      </c>
      <c r="BO35" s="65" t="e">
        <f t="shared" si="57"/>
        <v>#VALUE!</v>
      </c>
      <c r="BP35" s="65" t="e">
        <f t="shared" si="57"/>
        <v>#VALUE!</v>
      </c>
      <c r="BQ35" s="65" t="e">
        <f t="shared" si="57"/>
        <v>#VALUE!</v>
      </c>
      <c r="BR35" s="65" t="e">
        <f t="shared" si="57"/>
        <v>#VALUE!</v>
      </c>
      <c r="BS35" s="65" t="e">
        <f t="shared" si="57"/>
        <v>#VALUE!</v>
      </c>
      <c r="BT35" s="65" t="e">
        <f t="shared" si="57"/>
        <v>#VALUE!</v>
      </c>
      <c r="BU35" s="65" t="e">
        <f t="shared" si="57"/>
        <v>#VALUE!</v>
      </c>
      <c r="BV35" s="65" t="e">
        <f t="shared" si="57"/>
        <v>#VALUE!</v>
      </c>
      <c r="BW35" s="65" t="e">
        <f t="shared" si="57"/>
        <v>#VALUE!</v>
      </c>
      <c r="BX35" s="65" t="e">
        <f t="shared" si="57"/>
        <v>#VALUE!</v>
      </c>
      <c r="BY35" s="65" t="e">
        <f t="shared" si="57"/>
        <v>#VALUE!</v>
      </c>
      <c r="BZ35" s="65" t="e">
        <f t="shared" si="57"/>
        <v>#VALUE!</v>
      </c>
      <c r="CA35" s="65" t="e">
        <f t="shared" si="57"/>
        <v>#VALUE!</v>
      </c>
      <c r="CB35" s="65" t="e">
        <f t="shared" si="57"/>
        <v>#VALUE!</v>
      </c>
      <c r="CC35" s="65" t="e">
        <f t="shared" si="57"/>
        <v>#VALUE!</v>
      </c>
      <c r="CD35" s="65" t="e">
        <f t="shared" si="57"/>
        <v>#VALUE!</v>
      </c>
      <c r="CE35" s="65" t="e">
        <f t="shared" si="57"/>
        <v>#VALUE!</v>
      </c>
      <c r="CF35" s="65" t="e">
        <f t="shared" si="57"/>
        <v>#VALUE!</v>
      </c>
      <c r="CG35" s="65" t="e">
        <f t="shared" si="57"/>
        <v>#VALUE!</v>
      </c>
      <c r="CH35" s="65" t="e">
        <f t="shared" si="57"/>
        <v>#VALUE!</v>
      </c>
      <c r="CI35" s="65" t="e">
        <f t="shared" si="57"/>
        <v>#VALUE!</v>
      </c>
      <c r="CJ35" s="65" t="e">
        <f t="shared" si="57"/>
        <v>#VALUE!</v>
      </c>
      <c r="CK35" s="65" t="e">
        <f t="shared" si="57"/>
        <v>#VALUE!</v>
      </c>
      <c r="CL35" s="65" t="e">
        <f t="shared" si="57"/>
        <v>#VALUE!</v>
      </c>
      <c r="CM35" s="65" t="e">
        <f t="shared" si="57"/>
        <v>#VALUE!</v>
      </c>
      <c r="CN35" s="65" t="e">
        <f t="shared" ref="CN35:CW35" si="58">IF(AND(CN$2&gt;=$F35,CN$2&lt;($F35+$H35)),ROUND($K35/$H35,0),"-")</f>
        <v>#VALUE!</v>
      </c>
      <c r="CO35" s="65" t="e">
        <f t="shared" si="58"/>
        <v>#VALUE!</v>
      </c>
      <c r="CP35" s="65" t="e">
        <f t="shared" si="58"/>
        <v>#VALUE!</v>
      </c>
      <c r="CQ35" s="65" t="e">
        <f t="shared" si="58"/>
        <v>#VALUE!</v>
      </c>
      <c r="CR35" s="65" t="e">
        <f t="shared" si="58"/>
        <v>#VALUE!</v>
      </c>
      <c r="CS35" s="65" t="e">
        <f t="shared" si="58"/>
        <v>#VALUE!</v>
      </c>
      <c r="CT35" s="65" t="e">
        <f t="shared" si="58"/>
        <v>#VALUE!</v>
      </c>
      <c r="CU35" s="65" t="e">
        <f t="shared" si="58"/>
        <v>#VALUE!</v>
      </c>
      <c r="CV35" s="65" t="e">
        <f t="shared" si="58"/>
        <v>#VALUE!</v>
      </c>
      <c r="CW35" s="65" t="e">
        <f t="shared" si="58"/>
        <v>#VALUE!</v>
      </c>
    </row>
    <row r="37" spans="1:101">
      <c r="B37" s="109" t="s">
        <v>91</v>
      </c>
      <c r="C37" s="109" t="s">
        <v>92</v>
      </c>
      <c r="D37" s="109" t="s">
        <v>93</v>
      </c>
      <c r="E37" s="109" t="s">
        <v>94</v>
      </c>
      <c r="F37" s="109" t="s">
        <v>78</v>
      </c>
      <c r="G37" s="109" t="s">
        <v>79</v>
      </c>
      <c r="H37" s="109" t="s">
        <v>59</v>
      </c>
      <c r="I37" s="109" t="s">
        <v>95</v>
      </c>
      <c r="J37" s="109" t="s">
        <v>96</v>
      </c>
      <c r="K37" s="109" t="s">
        <v>97</v>
      </c>
      <c r="L37" s="109" t="s">
        <v>80</v>
      </c>
      <c r="M37" s="260">
        <v>46201</v>
      </c>
      <c r="N37" s="260">
        <v>46202</v>
      </c>
      <c r="O37" s="260">
        <v>46203</v>
      </c>
      <c r="P37" s="260">
        <v>46204</v>
      </c>
      <c r="Q37" s="260">
        <v>46205</v>
      </c>
      <c r="R37" s="260">
        <v>46206</v>
      </c>
      <c r="S37" s="260">
        <v>46207</v>
      </c>
      <c r="T37" s="260">
        <v>46208</v>
      </c>
      <c r="U37" s="260">
        <v>46209</v>
      </c>
      <c r="V37" s="260">
        <v>46210</v>
      </c>
      <c r="W37" s="260">
        <v>46211</v>
      </c>
      <c r="X37" s="260">
        <v>46212</v>
      </c>
      <c r="Y37" s="260">
        <v>46213</v>
      </c>
      <c r="Z37" s="260">
        <v>46214</v>
      </c>
      <c r="AA37" s="260">
        <v>46215</v>
      </c>
      <c r="AB37" s="260">
        <v>46216</v>
      </c>
      <c r="AC37" s="260">
        <v>46217</v>
      </c>
      <c r="AD37" s="260">
        <v>46218</v>
      </c>
      <c r="AE37" s="260">
        <v>46219</v>
      </c>
      <c r="AF37" s="260">
        <v>46220</v>
      </c>
      <c r="AG37" s="260">
        <v>46221</v>
      </c>
      <c r="AH37" s="260">
        <v>46222</v>
      </c>
      <c r="AI37" s="260">
        <v>46223</v>
      </c>
      <c r="AJ37" s="260">
        <v>46224</v>
      </c>
      <c r="AK37" s="260">
        <v>46225</v>
      </c>
      <c r="AL37" s="260">
        <v>46226</v>
      </c>
      <c r="AM37" s="260">
        <v>46227</v>
      </c>
      <c r="AN37" s="260">
        <v>46228</v>
      </c>
      <c r="AO37" s="260">
        <v>46229</v>
      </c>
      <c r="AP37" s="260">
        <v>46230</v>
      </c>
      <c r="AQ37" s="260">
        <v>46231</v>
      </c>
      <c r="AR37" s="260">
        <v>46232</v>
      </c>
      <c r="AS37" s="260">
        <v>46233</v>
      </c>
      <c r="AT37" s="260">
        <v>46234</v>
      </c>
      <c r="AU37" s="260">
        <v>46235</v>
      </c>
      <c r="AV37" s="260">
        <v>46236</v>
      </c>
      <c r="AW37" s="260">
        <v>46237</v>
      </c>
      <c r="AX37" s="260">
        <v>46238</v>
      </c>
      <c r="AY37" s="260">
        <v>46239</v>
      </c>
      <c r="AZ37" s="260">
        <v>46240</v>
      </c>
      <c r="BA37" s="260">
        <v>46241</v>
      </c>
      <c r="BB37" s="260">
        <v>46242</v>
      </c>
      <c r="BC37" s="260">
        <v>46243</v>
      </c>
      <c r="BD37" s="260">
        <v>46244</v>
      </c>
      <c r="BE37" s="260">
        <v>46245</v>
      </c>
      <c r="BF37" s="260">
        <v>46246</v>
      </c>
      <c r="BG37" s="260">
        <v>46247</v>
      </c>
      <c r="BH37" s="260">
        <v>46248</v>
      </c>
      <c r="BI37" s="260">
        <v>46249</v>
      </c>
      <c r="BJ37" s="260">
        <v>46250</v>
      </c>
      <c r="BK37" s="260">
        <v>46251</v>
      </c>
      <c r="BL37" s="260">
        <v>46252</v>
      </c>
      <c r="BM37" s="260">
        <v>46253</v>
      </c>
      <c r="BN37" s="260">
        <v>46254</v>
      </c>
      <c r="BO37" s="260">
        <v>46255</v>
      </c>
      <c r="BP37" s="260">
        <v>46256</v>
      </c>
      <c r="BQ37" s="260">
        <v>46257</v>
      </c>
      <c r="BR37" s="260">
        <v>46258</v>
      </c>
      <c r="BS37" s="260">
        <v>46259</v>
      </c>
      <c r="BT37" s="260">
        <v>46260</v>
      </c>
      <c r="BU37" s="260">
        <v>46261</v>
      </c>
      <c r="BV37" s="260">
        <v>46262</v>
      </c>
      <c r="BW37" s="260">
        <v>46263</v>
      </c>
      <c r="BX37" s="260">
        <v>46264</v>
      </c>
      <c r="BY37" s="260">
        <v>46265</v>
      </c>
      <c r="BZ37" s="260">
        <v>46266</v>
      </c>
      <c r="CA37" s="260">
        <v>46267</v>
      </c>
      <c r="CB37" s="260">
        <v>46268</v>
      </c>
      <c r="CC37" s="260">
        <v>46269</v>
      </c>
      <c r="CD37" s="260">
        <v>46270</v>
      </c>
      <c r="CE37" s="260">
        <v>46271</v>
      </c>
      <c r="CF37" s="260">
        <v>46272</v>
      </c>
      <c r="CG37" s="260">
        <v>46273</v>
      </c>
      <c r="CH37" s="260">
        <v>46274</v>
      </c>
      <c r="CI37" s="260">
        <v>46275</v>
      </c>
      <c r="CJ37" s="260">
        <v>46276</v>
      </c>
      <c r="CK37" s="260">
        <v>46277</v>
      </c>
      <c r="CL37" s="260">
        <v>46278</v>
      </c>
      <c r="CM37" s="260">
        <v>46279</v>
      </c>
      <c r="CN37" s="260">
        <v>46280</v>
      </c>
      <c r="CO37" s="260">
        <v>46281</v>
      </c>
      <c r="CP37" s="260">
        <v>46282</v>
      </c>
      <c r="CQ37" s="260">
        <v>46283</v>
      </c>
      <c r="CR37" s="260">
        <v>46284</v>
      </c>
      <c r="CS37" s="260">
        <v>46285</v>
      </c>
      <c r="CT37" s="260">
        <v>46286</v>
      </c>
      <c r="CU37" s="260">
        <v>46287</v>
      </c>
      <c r="CV37" s="260">
        <v>46288</v>
      </c>
      <c r="CW37" s="260">
        <v>46289</v>
      </c>
    </row>
    <row r="38" spans="1:101" ht="12.75" customHeight="1">
      <c r="A38" t="s">
        <v>107</v>
      </c>
      <c r="B38" s="138" t="s">
        <v>21</v>
      </c>
      <c r="C38" s="101">
        <v>48</v>
      </c>
      <c r="D38" s="102">
        <v>0</v>
      </c>
      <c r="E38" s="258">
        <f>C38-D38</f>
        <v>48</v>
      </c>
      <c r="F38" s="165" t="str">
        <f>'BESS 11'!D322</f>
        <v>21 Aug,
24 Aug
05 Sep
08 Sep</v>
      </c>
      <c r="G38" s="165" t="e">
        <f>F38+4</f>
        <v>#VALUE!</v>
      </c>
      <c r="H38" s="65" t="e">
        <f>G38-F38</f>
        <v>#VALUE!</v>
      </c>
      <c r="I38" s="96">
        <v>10</v>
      </c>
      <c r="J38" s="93">
        <v>1</v>
      </c>
      <c r="K38" s="94">
        <f>(E38*J38)/I38</f>
        <v>4.8</v>
      </c>
      <c r="L38" s="505" t="e">
        <f>AVERAGEIF(M38:CW40,"&gt;0")</f>
        <v>#DIV/0!</v>
      </c>
      <c r="M38" s="65" t="e">
        <f t="shared" ref="M38:V39" si="59">IF(AND(M$2&gt;=$F38,M$2&lt;($F38+$H38)),ROUND($K38/$H38,0),"-")</f>
        <v>#VALUE!</v>
      </c>
      <c r="N38" s="65" t="e">
        <f t="shared" si="59"/>
        <v>#VALUE!</v>
      </c>
      <c r="O38" s="65" t="e">
        <f t="shared" si="59"/>
        <v>#VALUE!</v>
      </c>
      <c r="P38" s="65" t="e">
        <f t="shared" si="59"/>
        <v>#VALUE!</v>
      </c>
      <c r="Q38" s="65" t="e">
        <f t="shared" si="59"/>
        <v>#VALUE!</v>
      </c>
      <c r="R38" s="65" t="e">
        <f t="shared" si="59"/>
        <v>#VALUE!</v>
      </c>
      <c r="S38" s="65" t="e">
        <f t="shared" si="59"/>
        <v>#VALUE!</v>
      </c>
      <c r="T38" s="65" t="e">
        <f t="shared" si="59"/>
        <v>#VALUE!</v>
      </c>
      <c r="U38" s="65" t="e">
        <f t="shared" si="59"/>
        <v>#VALUE!</v>
      </c>
      <c r="V38" s="65" t="e">
        <f t="shared" si="59"/>
        <v>#VALUE!</v>
      </c>
      <c r="W38" s="65" t="e">
        <f t="shared" ref="W38:AF39" si="60">IF(AND(W$2&gt;=$F38,W$2&lt;($F38+$H38)),ROUND($K38/$H38,0),"-")</f>
        <v>#VALUE!</v>
      </c>
      <c r="X38" s="65" t="e">
        <f t="shared" si="60"/>
        <v>#VALUE!</v>
      </c>
      <c r="Y38" s="65" t="e">
        <f t="shared" si="60"/>
        <v>#VALUE!</v>
      </c>
      <c r="Z38" s="65" t="e">
        <f t="shared" si="60"/>
        <v>#VALUE!</v>
      </c>
      <c r="AA38" s="65" t="e">
        <f t="shared" si="60"/>
        <v>#VALUE!</v>
      </c>
      <c r="AB38" s="65" t="e">
        <f t="shared" si="60"/>
        <v>#VALUE!</v>
      </c>
      <c r="AC38" s="65" t="e">
        <f t="shared" si="60"/>
        <v>#VALUE!</v>
      </c>
      <c r="AD38" s="65" t="e">
        <f t="shared" si="60"/>
        <v>#VALUE!</v>
      </c>
      <c r="AE38" s="65" t="e">
        <f t="shared" si="60"/>
        <v>#VALUE!</v>
      </c>
      <c r="AF38" s="65" t="e">
        <f t="shared" si="60"/>
        <v>#VALUE!</v>
      </c>
      <c r="AG38" s="65" t="e">
        <f t="shared" ref="AG38:AP39" si="61">IF(AND(AG$2&gt;=$F38,AG$2&lt;($F38+$H38)),ROUND($K38/$H38,0),"-")</f>
        <v>#VALUE!</v>
      </c>
      <c r="AH38" s="65" t="e">
        <f t="shared" si="61"/>
        <v>#VALUE!</v>
      </c>
      <c r="AI38" s="65" t="e">
        <f t="shared" si="61"/>
        <v>#VALUE!</v>
      </c>
      <c r="AJ38" s="65" t="e">
        <f t="shared" si="61"/>
        <v>#VALUE!</v>
      </c>
      <c r="AK38" s="65" t="e">
        <f t="shared" si="61"/>
        <v>#VALUE!</v>
      </c>
      <c r="AL38" s="65" t="e">
        <f t="shared" si="61"/>
        <v>#VALUE!</v>
      </c>
      <c r="AM38" s="65" t="e">
        <f t="shared" si="61"/>
        <v>#VALUE!</v>
      </c>
      <c r="AN38" s="65" t="e">
        <f t="shared" si="61"/>
        <v>#VALUE!</v>
      </c>
      <c r="AO38" s="65" t="e">
        <f t="shared" si="61"/>
        <v>#VALUE!</v>
      </c>
      <c r="AP38" s="65" t="e">
        <f t="shared" si="61"/>
        <v>#VALUE!</v>
      </c>
      <c r="AQ38" s="65" t="e">
        <f t="shared" ref="AQ38:BA39" si="62">IF(AND(AQ$2&gt;=$F38,AQ$2&lt;($F38+$H38)),ROUND($K38/$H38,0),"-")</f>
        <v>#VALUE!</v>
      </c>
      <c r="AR38" s="65" t="e">
        <f t="shared" si="62"/>
        <v>#VALUE!</v>
      </c>
      <c r="AS38" s="65" t="e">
        <f t="shared" si="62"/>
        <v>#VALUE!</v>
      </c>
      <c r="AT38" s="65" t="e">
        <f t="shared" si="62"/>
        <v>#VALUE!</v>
      </c>
      <c r="AU38" s="65" t="e">
        <f t="shared" si="62"/>
        <v>#VALUE!</v>
      </c>
      <c r="AV38" s="65" t="e">
        <f t="shared" si="62"/>
        <v>#VALUE!</v>
      </c>
      <c r="AW38" s="65" t="e">
        <f t="shared" si="62"/>
        <v>#VALUE!</v>
      </c>
      <c r="AX38" s="65" t="e">
        <f t="shared" si="62"/>
        <v>#VALUE!</v>
      </c>
      <c r="AY38" s="65" t="e">
        <f t="shared" si="62"/>
        <v>#VALUE!</v>
      </c>
      <c r="AZ38" s="65" t="e">
        <f t="shared" si="62"/>
        <v>#VALUE!</v>
      </c>
      <c r="BA38" s="65" t="e">
        <f t="shared" si="62"/>
        <v>#VALUE!</v>
      </c>
      <c r="BB38" s="65" t="e">
        <f t="shared" ref="BB38:CW38" si="63">IF(AND(BB$2&gt;=$F38,BB$2&lt;($F38+$H38)),ROUND($K38/$H38,0),"-")</f>
        <v>#VALUE!</v>
      </c>
      <c r="BC38" s="65" t="e">
        <f t="shared" si="63"/>
        <v>#VALUE!</v>
      </c>
      <c r="BD38" s="65" t="e">
        <f t="shared" si="63"/>
        <v>#VALUE!</v>
      </c>
      <c r="BE38" s="65" t="e">
        <f t="shared" si="63"/>
        <v>#VALUE!</v>
      </c>
      <c r="BF38" s="65" t="e">
        <f t="shared" si="63"/>
        <v>#VALUE!</v>
      </c>
      <c r="BG38" s="65" t="e">
        <f t="shared" si="63"/>
        <v>#VALUE!</v>
      </c>
      <c r="BH38" s="65" t="e">
        <f t="shared" si="63"/>
        <v>#VALUE!</v>
      </c>
      <c r="BI38" s="65" t="e">
        <f t="shared" si="63"/>
        <v>#VALUE!</v>
      </c>
      <c r="BJ38" s="65" t="e">
        <f t="shared" si="63"/>
        <v>#VALUE!</v>
      </c>
      <c r="BK38" s="65" t="e">
        <f t="shared" si="63"/>
        <v>#VALUE!</v>
      </c>
      <c r="BL38" s="65" t="e">
        <f t="shared" si="63"/>
        <v>#VALUE!</v>
      </c>
      <c r="BM38" s="65" t="e">
        <f t="shared" si="63"/>
        <v>#VALUE!</v>
      </c>
      <c r="BN38" s="65" t="e">
        <f t="shared" si="63"/>
        <v>#VALUE!</v>
      </c>
      <c r="BO38" s="65" t="e">
        <f t="shared" si="63"/>
        <v>#VALUE!</v>
      </c>
      <c r="BP38" s="65" t="e">
        <f t="shared" si="63"/>
        <v>#VALUE!</v>
      </c>
      <c r="BQ38" s="65" t="e">
        <f t="shared" si="63"/>
        <v>#VALUE!</v>
      </c>
      <c r="BR38" s="65" t="e">
        <f t="shared" si="63"/>
        <v>#VALUE!</v>
      </c>
      <c r="BS38" s="65" t="e">
        <f t="shared" si="63"/>
        <v>#VALUE!</v>
      </c>
      <c r="BT38" s="65" t="e">
        <f t="shared" si="63"/>
        <v>#VALUE!</v>
      </c>
      <c r="BU38" s="65" t="e">
        <f t="shared" si="63"/>
        <v>#VALUE!</v>
      </c>
      <c r="BV38" s="65" t="e">
        <f t="shared" si="63"/>
        <v>#VALUE!</v>
      </c>
      <c r="BW38" s="65" t="e">
        <f t="shared" si="63"/>
        <v>#VALUE!</v>
      </c>
      <c r="BX38" s="65" t="e">
        <f t="shared" si="63"/>
        <v>#VALUE!</v>
      </c>
      <c r="BY38" s="65" t="e">
        <f t="shared" si="63"/>
        <v>#VALUE!</v>
      </c>
      <c r="BZ38" s="65" t="e">
        <f t="shared" si="63"/>
        <v>#VALUE!</v>
      </c>
      <c r="CA38" s="65" t="e">
        <f t="shared" si="63"/>
        <v>#VALUE!</v>
      </c>
      <c r="CB38" s="65" t="e">
        <f t="shared" si="63"/>
        <v>#VALUE!</v>
      </c>
      <c r="CC38" s="65" t="e">
        <f t="shared" si="63"/>
        <v>#VALUE!</v>
      </c>
      <c r="CD38" s="65" t="e">
        <f t="shared" si="63"/>
        <v>#VALUE!</v>
      </c>
      <c r="CE38" s="65" t="e">
        <f t="shared" si="63"/>
        <v>#VALUE!</v>
      </c>
      <c r="CF38" s="65" t="e">
        <f t="shared" si="63"/>
        <v>#VALUE!</v>
      </c>
      <c r="CG38" s="65" t="e">
        <f t="shared" si="63"/>
        <v>#VALUE!</v>
      </c>
      <c r="CH38" s="65" t="e">
        <f t="shared" si="63"/>
        <v>#VALUE!</v>
      </c>
      <c r="CI38" s="65" t="e">
        <f t="shared" si="63"/>
        <v>#VALUE!</v>
      </c>
      <c r="CJ38" s="65" t="e">
        <f t="shared" si="63"/>
        <v>#VALUE!</v>
      </c>
      <c r="CK38" s="65" t="e">
        <f t="shared" si="63"/>
        <v>#VALUE!</v>
      </c>
      <c r="CL38" s="65" t="e">
        <f t="shared" si="63"/>
        <v>#VALUE!</v>
      </c>
      <c r="CM38" s="65" t="e">
        <f t="shared" si="63"/>
        <v>#VALUE!</v>
      </c>
      <c r="CN38" s="65" t="e">
        <f t="shared" si="63"/>
        <v>#VALUE!</v>
      </c>
      <c r="CO38" s="65" t="e">
        <f t="shared" si="63"/>
        <v>#VALUE!</v>
      </c>
      <c r="CP38" s="65" t="e">
        <f t="shared" si="63"/>
        <v>#VALUE!</v>
      </c>
      <c r="CQ38" s="65" t="e">
        <f t="shared" si="63"/>
        <v>#VALUE!</v>
      </c>
      <c r="CR38" s="65" t="e">
        <f t="shared" si="63"/>
        <v>#VALUE!</v>
      </c>
      <c r="CS38" s="65" t="e">
        <f t="shared" si="63"/>
        <v>#VALUE!</v>
      </c>
      <c r="CT38" s="65" t="e">
        <f t="shared" si="63"/>
        <v>#VALUE!</v>
      </c>
      <c r="CU38" s="65" t="e">
        <f t="shared" si="63"/>
        <v>#VALUE!</v>
      </c>
      <c r="CV38" s="65" t="e">
        <f t="shared" si="63"/>
        <v>#VALUE!</v>
      </c>
      <c r="CW38" s="65" t="e">
        <f t="shared" si="63"/>
        <v>#VALUE!</v>
      </c>
    </row>
    <row r="39" spans="1:101" ht="12.75" customHeight="1">
      <c r="B39" s="109" t="s">
        <v>99</v>
      </c>
      <c r="C39" s="101">
        <v>768</v>
      </c>
      <c r="D39" s="258">
        <f>SUM('[1]Electrical Work'!$G$446:$G$451)</f>
        <v>810</v>
      </c>
      <c r="E39" s="258">
        <f>C39-D39</f>
        <v>-42</v>
      </c>
      <c r="F39" s="162" t="str">
        <f>F38</f>
        <v>21 Aug,
24 Aug
05 Sep
08 Sep</v>
      </c>
      <c r="G39" s="162" t="e">
        <f>G38</f>
        <v>#VALUE!</v>
      </c>
      <c r="H39" s="65" t="e">
        <f>G39-F39</f>
        <v>#VALUE!</v>
      </c>
      <c r="I39" s="259">
        <v>30</v>
      </c>
      <c r="J39" s="259">
        <v>18</v>
      </c>
      <c r="K39" s="102">
        <f>(E39*J39)/I39</f>
        <v>-25.2</v>
      </c>
      <c r="L39" s="505"/>
      <c r="M39" s="65" t="e">
        <f t="shared" si="59"/>
        <v>#VALUE!</v>
      </c>
      <c r="N39" s="65" t="e">
        <f t="shared" si="59"/>
        <v>#VALUE!</v>
      </c>
      <c r="O39" s="65" t="e">
        <f t="shared" si="59"/>
        <v>#VALUE!</v>
      </c>
      <c r="P39" s="65" t="e">
        <f t="shared" si="59"/>
        <v>#VALUE!</v>
      </c>
      <c r="Q39" s="65" t="e">
        <f t="shared" si="59"/>
        <v>#VALUE!</v>
      </c>
      <c r="R39" s="65" t="e">
        <f t="shared" si="59"/>
        <v>#VALUE!</v>
      </c>
      <c r="S39" s="65" t="e">
        <f t="shared" si="59"/>
        <v>#VALUE!</v>
      </c>
      <c r="T39" s="65" t="e">
        <f t="shared" si="59"/>
        <v>#VALUE!</v>
      </c>
      <c r="U39" s="65" t="e">
        <f t="shared" si="59"/>
        <v>#VALUE!</v>
      </c>
      <c r="V39" s="65" t="e">
        <f t="shared" si="59"/>
        <v>#VALUE!</v>
      </c>
      <c r="W39" s="65" t="e">
        <f t="shared" si="60"/>
        <v>#VALUE!</v>
      </c>
      <c r="X39" s="65" t="e">
        <f t="shared" si="60"/>
        <v>#VALUE!</v>
      </c>
      <c r="Y39" s="65" t="e">
        <f t="shared" si="60"/>
        <v>#VALUE!</v>
      </c>
      <c r="Z39" s="65" t="e">
        <f t="shared" si="60"/>
        <v>#VALUE!</v>
      </c>
      <c r="AA39" s="65" t="e">
        <f t="shared" si="60"/>
        <v>#VALUE!</v>
      </c>
      <c r="AB39" s="65" t="e">
        <f t="shared" si="60"/>
        <v>#VALUE!</v>
      </c>
      <c r="AC39" s="65" t="e">
        <f t="shared" si="60"/>
        <v>#VALUE!</v>
      </c>
      <c r="AD39" s="65" t="e">
        <f t="shared" si="60"/>
        <v>#VALUE!</v>
      </c>
      <c r="AE39" s="65" t="e">
        <f t="shared" si="60"/>
        <v>#VALUE!</v>
      </c>
      <c r="AF39" s="65" t="e">
        <f t="shared" si="60"/>
        <v>#VALUE!</v>
      </c>
      <c r="AG39" s="65" t="e">
        <f t="shared" si="61"/>
        <v>#VALUE!</v>
      </c>
      <c r="AH39" s="65" t="e">
        <f t="shared" si="61"/>
        <v>#VALUE!</v>
      </c>
      <c r="AI39" s="65" t="e">
        <f t="shared" si="61"/>
        <v>#VALUE!</v>
      </c>
      <c r="AJ39" s="65" t="e">
        <f t="shared" si="61"/>
        <v>#VALUE!</v>
      </c>
      <c r="AK39" s="65" t="e">
        <f t="shared" si="61"/>
        <v>#VALUE!</v>
      </c>
      <c r="AL39" s="65" t="e">
        <f t="shared" si="61"/>
        <v>#VALUE!</v>
      </c>
      <c r="AM39" s="65" t="e">
        <f t="shared" si="61"/>
        <v>#VALUE!</v>
      </c>
      <c r="AN39" s="65" t="e">
        <f t="shared" si="61"/>
        <v>#VALUE!</v>
      </c>
      <c r="AO39" s="65" t="e">
        <f t="shared" si="61"/>
        <v>#VALUE!</v>
      </c>
      <c r="AP39" s="65" t="e">
        <f t="shared" si="61"/>
        <v>#VALUE!</v>
      </c>
      <c r="AQ39" s="65" t="e">
        <f t="shared" si="62"/>
        <v>#VALUE!</v>
      </c>
      <c r="AR39" s="65" t="e">
        <f t="shared" si="62"/>
        <v>#VALUE!</v>
      </c>
      <c r="AS39" s="65" t="e">
        <f t="shared" si="62"/>
        <v>#VALUE!</v>
      </c>
      <c r="AT39" s="65" t="e">
        <f t="shared" si="62"/>
        <v>#VALUE!</v>
      </c>
      <c r="AU39" s="65" t="e">
        <f t="shared" si="62"/>
        <v>#VALUE!</v>
      </c>
      <c r="AV39" s="65" t="e">
        <f t="shared" si="62"/>
        <v>#VALUE!</v>
      </c>
      <c r="AW39" s="65" t="e">
        <f t="shared" si="62"/>
        <v>#VALUE!</v>
      </c>
      <c r="AX39" s="65" t="e">
        <f t="shared" si="62"/>
        <v>#VALUE!</v>
      </c>
      <c r="AY39" s="65" t="e">
        <f t="shared" si="62"/>
        <v>#VALUE!</v>
      </c>
      <c r="AZ39" s="65" t="e">
        <f t="shared" si="62"/>
        <v>#VALUE!</v>
      </c>
      <c r="BA39" s="65" t="e">
        <f t="shared" si="62"/>
        <v>#VALUE!</v>
      </c>
      <c r="BB39" s="65" t="e">
        <f t="shared" ref="BB39:CW39" si="64">IF(AND(BB$2&gt;=$F39,BB$2&lt;($F39+$H39)),ROUND($K39/$H39,0),"-")</f>
        <v>#VALUE!</v>
      </c>
      <c r="BC39" s="65" t="e">
        <f t="shared" si="64"/>
        <v>#VALUE!</v>
      </c>
      <c r="BD39" s="65" t="e">
        <f t="shared" si="64"/>
        <v>#VALUE!</v>
      </c>
      <c r="BE39" s="65" t="e">
        <f t="shared" si="64"/>
        <v>#VALUE!</v>
      </c>
      <c r="BF39" s="65" t="e">
        <f t="shared" si="64"/>
        <v>#VALUE!</v>
      </c>
      <c r="BG39" s="65" t="e">
        <f t="shared" si="64"/>
        <v>#VALUE!</v>
      </c>
      <c r="BH39" s="65" t="e">
        <f t="shared" si="64"/>
        <v>#VALUE!</v>
      </c>
      <c r="BI39" s="65" t="e">
        <f t="shared" si="64"/>
        <v>#VALUE!</v>
      </c>
      <c r="BJ39" s="65" t="e">
        <f t="shared" si="64"/>
        <v>#VALUE!</v>
      </c>
      <c r="BK39" s="65" t="e">
        <f t="shared" si="64"/>
        <v>#VALUE!</v>
      </c>
      <c r="BL39" s="65" t="e">
        <f t="shared" si="64"/>
        <v>#VALUE!</v>
      </c>
      <c r="BM39" s="65" t="e">
        <f t="shared" si="64"/>
        <v>#VALUE!</v>
      </c>
      <c r="BN39" s="65" t="e">
        <f t="shared" si="64"/>
        <v>#VALUE!</v>
      </c>
      <c r="BO39" s="65" t="e">
        <f t="shared" si="64"/>
        <v>#VALUE!</v>
      </c>
      <c r="BP39" s="65" t="e">
        <f t="shared" si="64"/>
        <v>#VALUE!</v>
      </c>
      <c r="BQ39" s="65" t="e">
        <f t="shared" si="64"/>
        <v>#VALUE!</v>
      </c>
      <c r="BR39" s="65" t="e">
        <f t="shared" si="64"/>
        <v>#VALUE!</v>
      </c>
      <c r="BS39" s="65" t="e">
        <f t="shared" si="64"/>
        <v>#VALUE!</v>
      </c>
      <c r="BT39" s="65" t="e">
        <f t="shared" si="64"/>
        <v>#VALUE!</v>
      </c>
      <c r="BU39" s="65" t="e">
        <f t="shared" si="64"/>
        <v>#VALUE!</v>
      </c>
      <c r="BV39" s="65" t="e">
        <f t="shared" si="64"/>
        <v>#VALUE!</v>
      </c>
      <c r="BW39" s="65" t="e">
        <f t="shared" si="64"/>
        <v>#VALUE!</v>
      </c>
      <c r="BX39" s="65" t="e">
        <f t="shared" si="64"/>
        <v>#VALUE!</v>
      </c>
      <c r="BY39" s="65" t="e">
        <f t="shared" si="64"/>
        <v>#VALUE!</v>
      </c>
      <c r="BZ39" s="65" t="e">
        <f t="shared" si="64"/>
        <v>#VALUE!</v>
      </c>
      <c r="CA39" s="65" t="e">
        <f t="shared" si="64"/>
        <v>#VALUE!</v>
      </c>
      <c r="CB39" s="65" t="e">
        <f t="shared" si="64"/>
        <v>#VALUE!</v>
      </c>
      <c r="CC39" s="65" t="e">
        <f t="shared" si="64"/>
        <v>#VALUE!</v>
      </c>
      <c r="CD39" s="65" t="e">
        <f t="shared" si="64"/>
        <v>#VALUE!</v>
      </c>
      <c r="CE39" s="65" t="e">
        <f t="shared" si="64"/>
        <v>#VALUE!</v>
      </c>
      <c r="CF39" s="65" t="e">
        <f t="shared" si="64"/>
        <v>#VALUE!</v>
      </c>
      <c r="CG39" s="65" t="e">
        <f t="shared" si="64"/>
        <v>#VALUE!</v>
      </c>
      <c r="CH39" s="65" t="e">
        <f t="shared" si="64"/>
        <v>#VALUE!</v>
      </c>
      <c r="CI39" s="65" t="e">
        <f t="shared" si="64"/>
        <v>#VALUE!</v>
      </c>
      <c r="CJ39" s="65" t="e">
        <f t="shared" si="64"/>
        <v>#VALUE!</v>
      </c>
      <c r="CK39" s="65" t="e">
        <f t="shared" si="64"/>
        <v>#VALUE!</v>
      </c>
      <c r="CL39" s="65" t="e">
        <f t="shared" si="64"/>
        <v>#VALUE!</v>
      </c>
      <c r="CM39" s="65" t="e">
        <f t="shared" si="64"/>
        <v>#VALUE!</v>
      </c>
      <c r="CN39" s="65" t="e">
        <f t="shared" si="64"/>
        <v>#VALUE!</v>
      </c>
      <c r="CO39" s="65" t="e">
        <f t="shared" si="64"/>
        <v>#VALUE!</v>
      </c>
      <c r="CP39" s="65" t="e">
        <f t="shared" si="64"/>
        <v>#VALUE!</v>
      </c>
      <c r="CQ39" s="65" t="e">
        <f t="shared" si="64"/>
        <v>#VALUE!</v>
      </c>
      <c r="CR39" s="65" t="e">
        <f t="shared" si="64"/>
        <v>#VALUE!</v>
      </c>
      <c r="CS39" s="65" t="e">
        <f t="shared" si="64"/>
        <v>#VALUE!</v>
      </c>
      <c r="CT39" s="65" t="e">
        <f t="shared" si="64"/>
        <v>#VALUE!</v>
      </c>
      <c r="CU39" s="65" t="e">
        <f t="shared" si="64"/>
        <v>#VALUE!</v>
      </c>
      <c r="CV39" s="65" t="e">
        <f t="shared" si="64"/>
        <v>#VALUE!</v>
      </c>
      <c r="CW39" s="65" t="e">
        <f t="shared" si="64"/>
        <v>#VALUE!</v>
      </c>
    </row>
    <row r="40" spans="1:101" ht="12.75" customHeight="1">
      <c r="B40" s="109" t="s">
        <v>100</v>
      </c>
      <c r="C40" s="101">
        <v>1344</v>
      </c>
      <c r="D40" s="101">
        <v>0</v>
      </c>
      <c r="E40" s="258">
        <f>C40-D40</f>
        <v>1344</v>
      </c>
      <c r="F40" s="162" t="str">
        <f>F39</f>
        <v>21 Aug,
24 Aug
05 Sep
08 Sep</v>
      </c>
      <c r="G40" s="162" t="e">
        <f>G39</f>
        <v>#VALUE!</v>
      </c>
      <c r="H40" s="65" t="e">
        <f>H39</f>
        <v>#VALUE!</v>
      </c>
      <c r="I40" s="101">
        <v>30</v>
      </c>
      <c r="J40" s="101">
        <v>6</v>
      </c>
      <c r="K40" s="102">
        <f>(E40*J40)/I40</f>
        <v>268.8</v>
      </c>
      <c r="L40" s="505"/>
      <c r="M40" s="65" t="e">
        <f t="shared" ref="M40:AA40" si="65">IF(AND(M$2&gt;=$F40,M$2&lt;($F40+$H40)),ROUND($K40/$H40,0),"-")</f>
        <v>#VALUE!</v>
      </c>
      <c r="N40" s="65" t="e">
        <f t="shared" si="65"/>
        <v>#VALUE!</v>
      </c>
      <c r="O40" s="65" t="e">
        <f t="shared" si="65"/>
        <v>#VALUE!</v>
      </c>
      <c r="P40" s="65" t="e">
        <f t="shared" si="65"/>
        <v>#VALUE!</v>
      </c>
      <c r="Q40" s="65" t="e">
        <f t="shared" si="65"/>
        <v>#VALUE!</v>
      </c>
      <c r="R40" s="65" t="e">
        <f t="shared" si="65"/>
        <v>#VALUE!</v>
      </c>
      <c r="S40" s="65" t="e">
        <f t="shared" si="65"/>
        <v>#VALUE!</v>
      </c>
      <c r="T40" s="65" t="e">
        <f t="shared" si="65"/>
        <v>#VALUE!</v>
      </c>
      <c r="U40" s="65" t="e">
        <f t="shared" si="65"/>
        <v>#VALUE!</v>
      </c>
      <c r="V40" s="65" t="e">
        <f t="shared" si="65"/>
        <v>#VALUE!</v>
      </c>
      <c r="W40" s="65" t="e">
        <f t="shared" si="65"/>
        <v>#VALUE!</v>
      </c>
      <c r="X40" s="65" t="e">
        <f t="shared" si="65"/>
        <v>#VALUE!</v>
      </c>
      <c r="Y40" s="65" t="e">
        <f t="shared" si="65"/>
        <v>#VALUE!</v>
      </c>
      <c r="Z40" s="65" t="e">
        <f t="shared" si="65"/>
        <v>#VALUE!</v>
      </c>
      <c r="AA40" s="65" t="e">
        <f t="shared" si="65"/>
        <v>#VALUE!</v>
      </c>
      <c r="AB40" s="65" t="e">
        <f t="shared" ref="AB40:BG40" si="66">IF(AND(AB$2&gt;=$F40,AB$2&lt;($F40+$H40)),ROUND($K40/$H40,0),"-")</f>
        <v>#VALUE!</v>
      </c>
      <c r="AC40" s="65" t="e">
        <f t="shared" si="66"/>
        <v>#VALUE!</v>
      </c>
      <c r="AD40" s="65" t="e">
        <f t="shared" si="66"/>
        <v>#VALUE!</v>
      </c>
      <c r="AE40" s="65" t="e">
        <f t="shared" si="66"/>
        <v>#VALUE!</v>
      </c>
      <c r="AF40" s="65" t="e">
        <f t="shared" si="66"/>
        <v>#VALUE!</v>
      </c>
      <c r="AG40" s="65" t="e">
        <f t="shared" si="66"/>
        <v>#VALUE!</v>
      </c>
      <c r="AH40" s="65" t="e">
        <f t="shared" si="66"/>
        <v>#VALUE!</v>
      </c>
      <c r="AI40" s="65" t="e">
        <f t="shared" si="66"/>
        <v>#VALUE!</v>
      </c>
      <c r="AJ40" s="65" t="e">
        <f t="shared" si="66"/>
        <v>#VALUE!</v>
      </c>
      <c r="AK40" s="65" t="e">
        <f t="shared" si="66"/>
        <v>#VALUE!</v>
      </c>
      <c r="AL40" s="65" t="e">
        <f t="shared" si="66"/>
        <v>#VALUE!</v>
      </c>
      <c r="AM40" s="65" t="e">
        <f t="shared" si="66"/>
        <v>#VALUE!</v>
      </c>
      <c r="AN40" s="65" t="e">
        <f t="shared" si="66"/>
        <v>#VALUE!</v>
      </c>
      <c r="AO40" s="65" t="e">
        <f t="shared" si="66"/>
        <v>#VALUE!</v>
      </c>
      <c r="AP40" s="65" t="e">
        <f t="shared" si="66"/>
        <v>#VALUE!</v>
      </c>
      <c r="AQ40" s="65" t="e">
        <f t="shared" si="66"/>
        <v>#VALUE!</v>
      </c>
      <c r="AR40" s="65" t="e">
        <f t="shared" si="66"/>
        <v>#VALUE!</v>
      </c>
      <c r="AS40" s="65" t="e">
        <f t="shared" si="66"/>
        <v>#VALUE!</v>
      </c>
      <c r="AT40" s="65" t="e">
        <f t="shared" si="66"/>
        <v>#VALUE!</v>
      </c>
      <c r="AU40" s="65" t="e">
        <f t="shared" si="66"/>
        <v>#VALUE!</v>
      </c>
      <c r="AV40" s="65" t="e">
        <f t="shared" si="66"/>
        <v>#VALUE!</v>
      </c>
      <c r="AW40" s="65" t="e">
        <f t="shared" si="66"/>
        <v>#VALUE!</v>
      </c>
      <c r="AX40" s="65" t="e">
        <f t="shared" si="66"/>
        <v>#VALUE!</v>
      </c>
      <c r="AY40" s="65" t="e">
        <f t="shared" si="66"/>
        <v>#VALUE!</v>
      </c>
      <c r="AZ40" s="65" t="e">
        <f t="shared" si="66"/>
        <v>#VALUE!</v>
      </c>
      <c r="BA40" s="65" t="e">
        <f t="shared" si="66"/>
        <v>#VALUE!</v>
      </c>
      <c r="BB40" s="65" t="e">
        <f t="shared" si="66"/>
        <v>#VALUE!</v>
      </c>
      <c r="BC40" s="65" t="e">
        <f t="shared" si="66"/>
        <v>#VALUE!</v>
      </c>
      <c r="BD40" s="65" t="e">
        <f t="shared" si="66"/>
        <v>#VALUE!</v>
      </c>
      <c r="BE40" s="65" t="e">
        <f t="shared" si="66"/>
        <v>#VALUE!</v>
      </c>
      <c r="BF40" s="65" t="e">
        <f t="shared" si="66"/>
        <v>#VALUE!</v>
      </c>
      <c r="BG40" s="65" t="e">
        <f t="shared" si="66"/>
        <v>#VALUE!</v>
      </c>
      <c r="BH40" s="65" t="e">
        <f t="shared" ref="BH40:CM40" si="67">IF(AND(BH$2&gt;=$F40,BH$2&lt;($F40+$H40)),ROUND($K40/$H40,0),"-")</f>
        <v>#VALUE!</v>
      </c>
      <c r="BI40" s="65" t="e">
        <f t="shared" si="67"/>
        <v>#VALUE!</v>
      </c>
      <c r="BJ40" s="65" t="e">
        <f t="shared" si="67"/>
        <v>#VALUE!</v>
      </c>
      <c r="BK40" s="65" t="e">
        <f t="shared" si="67"/>
        <v>#VALUE!</v>
      </c>
      <c r="BL40" s="65" t="e">
        <f t="shared" si="67"/>
        <v>#VALUE!</v>
      </c>
      <c r="BM40" s="65" t="e">
        <f t="shared" si="67"/>
        <v>#VALUE!</v>
      </c>
      <c r="BN40" s="65" t="e">
        <f t="shared" si="67"/>
        <v>#VALUE!</v>
      </c>
      <c r="BO40" s="65" t="e">
        <f t="shared" si="67"/>
        <v>#VALUE!</v>
      </c>
      <c r="BP40" s="65" t="e">
        <f t="shared" si="67"/>
        <v>#VALUE!</v>
      </c>
      <c r="BQ40" s="65" t="e">
        <f t="shared" si="67"/>
        <v>#VALUE!</v>
      </c>
      <c r="BR40" s="65" t="e">
        <f t="shared" si="67"/>
        <v>#VALUE!</v>
      </c>
      <c r="BS40" s="65" t="e">
        <f t="shared" si="67"/>
        <v>#VALUE!</v>
      </c>
      <c r="BT40" s="65" t="e">
        <f t="shared" si="67"/>
        <v>#VALUE!</v>
      </c>
      <c r="BU40" s="65" t="e">
        <f t="shared" si="67"/>
        <v>#VALUE!</v>
      </c>
      <c r="BV40" s="65" t="e">
        <f t="shared" si="67"/>
        <v>#VALUE!</v>
      </c>
      <c r="BW40" s="65" t="e">
        <f t="shared" si="67"/>
        <v>#VALUE!</v>
      </c>
      <c r="BX40" s="65" t="e">
        <f t="shared" si="67"/>
        <v>#VALUE!</v>
      </c>
      <c r="BY40" s="65" t="e">
        <f t="shared" si="67"/>
        <v>#VALUE!</v>
      </c>
      <c r="BZ40" s="65" t="e">
        <f t="shared" si="67"/>
        <v>#VALUE!</v>
      </c>
      <c r="CA40" s="65" t="e">
        <f t="shared" si="67"/>
        <v>#VALUE!</v>
      </c>
      <c r="CB40" s="65" t="e">
        <f t="shared" si="67"/>
        <v>#VALUE!</v>
      </c>
      <c r="CC40" s="65" t="e">
        <f t="shared" si="67"/>
        <v>#VALUE!</v>
      </c>
      <c r="CD40" s="65" t="e">
        <f t="shared" si="67"/>
        <v>#VALUE!</v>
      </c>
      <c r="CE40" s="65" t="e">
        <f t="shared" si="67"/>
        <v>#VALUE!</v>
      </c>
      <c r="CF40" s="65" t="e">
        <f t="shared" si="67"/>
        <v>#VALUE!</v>
      </c>
      <c r="CG40" s="65" t="e">
        <f t="shared" si="67"/>
        <v>#VALUE!</v>
      </c>
      <c r="CH40" s="65" t="e">
        <f t="shared" si="67"/>
        <v>#VALUE!</v>
      </c>
      <c r="CI40" s="65" t="e">
        <f t="shared" si="67"/>
        <v>#VALUE!</v>
      </c>
      <c r="CJ40" s="65" t="e">
        <f t="shared" si="67"/>
        <v>#VALUE!</v>
      </c>
      <c r="CK40" s="65" t="e">
        <f t="shared" si="67"/>
        <v>#VALUE!</v>
      </c>
      <c r="CL40" s="65" t="e">
        <f t="shared" si="67"/>
        <v>#VALUE!</v>
      </c>
      <c r="CM40" s="65" t="e">
        <f t="shared" si="67"/>
        <v>#VALUE!</v>
      </c>
      <c r="CN40" s="65" t="e">
        <f t="shared" ref="CN40:CW40" si="68">IF(AND(CN$2&gt;=$F40,CN$2&lt;($F40+$H40)),ROUND($K40/$H40,0),"-")</f>
        <v>#VALUE!</v>
      </c>
      <c r="CO40" s="65" t="e">
        <f t="shared" si="68"/>
        <v>#VALUE!</v>
      </c>
      <c r="CP40" s="65" t="e">
        <f t="shared" si="68"/>
        <v>#VALUE!</v>
      </c>
      <c r="CQ40" s="65" t="e">
        <f t="shared" si="68"/>
        <v>#VALUE!</v>
      </c>
      <c r="CR40" s="65" t="e">
        <f t="shared" si="68"/>
        <v>#VALUE!</v>
      </c>
      <c r="CS40" s="65" t="e">
        <f t="shared" si="68"/>
        <v>#VALUE!</v>
      </c>
      <c r="CT40" s="65" t="e">
        <f t="shared" si="68"/>
        <v>#VALUE!</v>
      </c>
      <c r="CU40" s="65" t="e">
        <f t="shared" si="68"/>
        <v>#VALUE!</v>
      </c>
      <c r="CV40" s="65" t="e">
        <f t="shared" si="68"/>
        <v>#VALUE!</v>
      </c>
      <c r="CW40" s="65" t="e">
        <f t="shared" si="68"/>
        <v>#VALUE!</v>
      </c>
    </row>
    <row r="42" spans="1:101">
      <c r="B42" s="109" t="s">
        <v>91</v>
      </c>
      <c r="C42" s="109" t="s">
        <v>92</v>
      </c>
      <c r="D42" s="109" t="s">
        <v>93</v>
      </c>
      <c r="E42" s="109" t="s">
        <v>94</v>
      </c>
      <c r="F42" s="109" t="s">
        <v>78</v>
      </c>
      <c r="G42" s="109" t="s">
        <v>79</v>
      </c>
      <c r="H42" s="109" t="s">
        <v>59</v>
      </c>
      <c r="I42" s="109" t="s">
        <v>95</v>
      </c>
      <c r="J42" s="109" t="s">
        <v>96</v>
      </c>
      <c r="K42" s="109" t="s">
        <v>97</v>
      </c>
      <c r="L42" s="109" t="s">
        <v>80</v>
      </c>
      <c r="M42" s="260">
        <v>46201</v>
      </c>
      <c r="N42" s="260">
        <v>46202</v>
      </c>
      <c r="O42" s="260">
        <v>46203</v>
      </c>
      <c r="P42" s="260">
        <v>46204</v>
      </c>
      <c r="Q42" s="260">
        <v>46205</v>
      </c>
      <c r="R42" s="260">
        <v>46206</v>
      </c>
      <c r="S42" s="260">
        <v>46207</v>
      </c>
      <c r="T42" s="260">
        <v>46208</v>
      </c>
      <c r="U42" s="260">
        <v>46209</v>
      </c>
      <c r="V42" s="260">
        <v>46210</v>
      </c>
      <c r="W42" s="260">
        <v>46211</v>
      </c>
      <c r="X42" s="260">
        <v>46212</v>
      </c>
      <c r="Y42" s="260">
        <v>46213</v>
      </c>
      <c r="Z42" s="260">
        <v>46214</v>
      </c>
      <c r="AA42" s="260">
        <v>46215</v>
      </c>
      <c r="AB42" s="260">
        <v>46216</v>
      </c>
      <c r="AC42" s="260">
        <v>46217</v>
      </c>
      <c r="AD42" s="260">
        <v>46218</v>
      </c>
      <c r="AE42" s="260">
        <v>46219</v>
      </c>
      <c r="AF42" s="260">
        <v>46220</v>
      </c>
      <c r="AG42" s="260">
        <v>46221</v>
      </c>
      <c r="AH42" s="260">
        <v>46222</v>
      </c>
      <c r="AI42" s="260">
        <v>46223</v>
      </c>
      <c r="AJ42" s="260">
        <v>46224</v>
      </c>
      <c r="AK42" s="260">
        <v>46225</v>
      </c>
      <c r="AL42" s="260">
        <v>46226</v>
      </c>
      <c r="AM42" s="260">
        <v>46227</v>
      </c>
      <c r="AN42" s="260">
        <v>46228</v>
      </c>
      <c r="AO42" s="260">
        <v>46229</v>
      </c>
      <c r="AP42" s="260">
        <v>46230</v>
      </c>
      <c r="AQ42" s="260">
        <v>46231</v>
      </c>
      <c r="AR42" s="260">
        <v>46232</v>
      </c>
      <c r="AS42" s="260">
        <v>46233</v>
      </c>
      <c r="AT42" s="260">
        <v>46234</v>
      </c>
      <c r="AU42" s="260">
        <v>46235</v>
      </c>
      <c r="AV42" s="260">
        <v>46236</v>
      </c>
      <c r="AW42" s="260">
        <v>46237</v>
      </c>
      <c r="AX42" s="260">
        <v>46238</v>
      </c>
      <c r="AY42" s="260">
        <v>46239</v>
      </c>
      <c r="AZ42" s="260">
        <v>46240</v>
      </c>
      <c r="BA42" s="260">
        <v>46241</v>
      </c>
      <c r="BB42" s="260">
        <v>46242</v>
      </c>
      <c r="BC42" s="260">
        <v>46243</v>
      </c>
      <c r="BD42" s="260">
        <v>46244</v>
      </c>
      <c r="BE42" s="260">
        <v>46245</v>
      </c>
      <c r="BF42" s="260">
        <v>46246</v>
      </c>
      <c r="BG42" s="260">
        <v>46247</v>
      </c>
      <c r="BH42" s="260">
        <v>46248</v>
      </c>
      <c r="BI42" s="260">
        <v>46249</v>
      </c>
      <c r="BJ42" s="260">
        <v>46250</v>
      </c>
      <c r="BK42" s="260">
        <v>46251</v>
      </c>
      <c r="BL42" s="260">
        <v>46252</v>
      </c>
      <c r="BM42" s="260">
        <v>46253</v>
      </c>
      <c r="BN42" s="260">
        <v>46254</v>
      </c>
      <c r="BO42" s="260">
        <v>46255</v>
      </c>
      <c r="BP42" s="260">
        <v>46256</v>
      </c>
      <c r="BQ42" s="260">
        <v>46257</v>
      </c>
      <c r="BR42" s="260">
        <v>46258</v>
      </c>
      <c r="BS42" s="260">
        <v>46259</v>
      </c>
      <c r="BT42" s="260">
        <v>46260</v>
      </c>
      <c r="BU42" s="260">
        <v>46261</v>
      </c>
      <c r="BV42" s="260">
        <v>46262</v>
      </c>
      <c r="BW42" s="260">
        <v>46263</v>
      </c>
      <c r="BX42" s="260">
        <v>46264</v>
      </c>
      <c r="BY42" s="260">
        <v>46265</v>
      </c>
      <c r="BZ42" s="260">
        <v>46266</v>
      </c>
      <c r="CA42" s="260">
        <v>46267</v>
      </c>
      <c r="CB42" s="260">
        <v>46268</v>
      </c>
      <c r="CC42" s="260">
        <v>46269</v>
      </c>
      <c r="CD42" s="260">
        <v>46270</v>
      </c>
      <c r="CE42" s="260">
        <v>46271</v>
      </c>
      <c r="CF42" s="260">
        <v>46272</v>
      </c>
      <c r="CG42" s="260">
        <v>46273</v>
      </c>
      <c r="CH42" s="260">
        <v>46274</v>
      </c>
      <c r="CI42" s="260">
        <v>46275</v>
      </c>
      <c r="CJ42" s="260">
        <v>46276</v>
      </c>
      <c r="CK42" s="260">
        <v>46277</v>
      </c>
      <c r="CL42" s="260">
        <v>46278</v>
      </c>
      <c r="CM42" s="260">
        <v>46279</v>
      </c>
      <c r="CN42" s="260">
        <v>46280</v>
      </c>
      <c r="CO42" s="260">
        <v>46281</v>
      </c>
      <c r="CP42" s="260">
        <v>46282</v>
      </c>
      <c r="CQ42" s="260">
        <v>46283</v>
      </c>
      <c r="CR42" s="260">
        <v>46284</v>
      </c>
      <c r="CS42" s="260">
        <v>46285</v>
      </c>
      <c r="CT42" s="260">
        <v>46286</v>
      </c>
      <c r="CU42" s="260">
        <v>46287</v>
      </c>
      <c r="CV42" s="260">
        <v>46288</v>
      </c>
      <c r="CW42" s="260">
        <v>46289</v>
      </c>
    </row>
    <row r="43" spans="1:101" ht="12.75" customHeight="1">
      <c r="A43" t="s">
        <v>108</v>
      </c>
      <c r="B43" s="138" t="s">
        <v>21</v>
      </c>
      <c r="C43" s="101">
        <v>48</v>
      </c>
      <c r="D43" s="102">
        <v>0</v>
      </c>
      <c r="E43" s="258">
        <f>C43-D43</f>
        <v>48</v>
      </c>
      <c r="F43" s="165" t="str">
        <f>'BESS 11'!D367</f>
        <v>22 Aug,
26 Aug
05 Sep
08 Sep</v>
      </c>
      <c r="G43" s="165" t="e">
        <f>F43+4</f>
        <v>#VALUE!</v>
      </c>
      <c r="H43" s="65" t="e">
        <f>G43-F43</f>
        <v>#VALUE!</v>
      </c>
      <c r="I43" s="96">
        <v>10</v>
      </c>
      <c r="J43" s="93">
        <v>1</v>
      </c>
      <c r="K43" s="94">
        <f>(E43*J43)/I43</f>
        <v>4.8</v>
      </c>
      <c r="L43" s="505" t="e">
        <f>AVERAGEIF(M43:CW45,"&gt;0")</f>
        <v>#DIV/0!</v>
      </c>
      <c r="M43" s="65" t="e">
        <f t="shared" ref="M43:V44" si="69">IF(AND(M$2&gt;=$F43,M$2&lt;($F43+$H43)),ROUND($K43/$H43,0),"-")</f>
        <v>#VALUE!</v>
      </c>
      <c r="N43" s="65" t="e">
        <f t="shared" si="69"/>
        <v>#VALUE!</v>
      </c>
      <c r="O43" s="65" t="e">
        <f t="shared" si="69"/>
        <v>#VALUE!</v>
      </c>
      <c r="P43" s="65" t="e">
        <f t="shared" si="69"/>
        <v>#VALUE!</v>
      </c>
      <c r="Q43" s="65" t="e">
        <f t="shared" si="69"/>
        <v>#VALUE!</v>
      </c>
      <c r="R43" s="65" t="e">
        <f t="shared" si="69"/>
        <v>#VALUE!</v>
      </c>
      <c r="S43" s="65" t="e">
        <f t="shared" si="69"/>
        <v>#VALUE!</v>
      </c>
      <c r="T43" s="65" t="e">
        <f t="shared" si="69"/>
        <v>#VALUE!</v>
      </c>
      <c r="U43" s="65" t="e">
        <f t="shared" si="69"/>
        <v>#VALUE!</v>
      </c>
      <c r="V43" s="65" t="e">
        <f t="shared" si="69"/>
        <v>#VALUE!</v>
      </c>
      <c r="W43" s="65" t="e">
        <f t="shared" ref="W43:AF44" si="70">IF(AND(W$2&gt;=$F43,W$2&lt;($F43+$H43)),ROUND($K43/$H43,0),"-")</f>
        <v>#VALUE!</v>
      </c>
      <c r="X43" s="65" t="e">
        <f t="shared" si="70"/>
        <v>#VALUE!</v>
      </c>
      <c r="Y43" s="65" t="e">
        <f t="shared" si="70"/>
        <v>#VALUE!</v>
      </c>
      <c r="Z43" s="65" t="e">
        <f t="shared" si="70"/>
        <v>#VALUE!</v>
      </c>
      <c r="AA43" s="65" t="e">
        <f t="shared" si="70"/>
        <v>#VALUE!</v>
      </c>
      <c r="AB43" s="65" t="e">
        <f t="shared" si="70"/>
        <v>#VALUE!</v>
      </c>
      <c r="AC43" s="65" t="e">
        <f t="shared" si="70"/>
        <v>#VALUE!</v>
      </c>
      <c r="AD43" s="65" t="e">
        <f t="shared" si="70"/>
        <v>#VALUE!</v>
      </c>
      <c r="AE43" s="65" t="e">
        <f t="shared" si="70"/>
        <v>#VALUE!</v>
      </c>
      <c r="AF43" s="65" t="e">
        <f t="shared" si="70"/>
        <v>#VALUE!</v>
      </c>
      <c r="AG43" s="65" t="e">
        <f t="shared" ref="AG43:AP44" si="71">IF(AND(AG$2&gt;=$F43,AG$2&lt;($F43+$H43)),ROUND($K43/$H43,0),"-")</f>
        <v>#VALUE!</v>
      </c>
      <c r="AH43" s="65" t="e">
        <f t="shared" si="71"/>
        <v>#VALUE!</v>
      </c>
      <c r="AI43" s="65" t="e">
        <f t="shared" si="71"/>
        <v>#VALUE!</v>
      </c>
      <c r="AJ43" s="65" t="e">
        <f t="shared" si="71"/>
        <v>#VALUE!</v>
      </c>
      <c r="AK43" s="65" t="e">
        <f t="shared" si="71"/>
        <v>#VALUE!</v>
      </c>
      <c r="AL43" s="65" t="e">
        <f t="shared" si="71"/>
        <v>#VALUE!</v>
      </c>
      <c r="AM43" s="65" t="e">
        <f t="shared" si="71"/>
        <v>#VALUE!</v>
      </c>
      <c r="AN43" s="65" t="e">
        <f t="shared" si="71"/>
        <v>#VALUE!</v>
      </c>
      <c r="AO43" s="65" t="e">
        <f t="shared" si="71"/>
        <v>#VALUE!</v>
      </c>
      <c r="AP43" s="65" t="e">
        <f t="shared" si="71"/>
        <v>#VALUE!</v>
      </c>
      <c r="AQ43" s="65" t="e">
        <f t="shared" ref="AQ43:BA44" si="72">IF(AND(AQ$2&gt;=$F43,AQ$2&lt;($F43+$H43)),ROUND($K43/$H43,0),"-")</f>
        <v>#VALUE!</v>
      </c>
      <c r="AR43" s="65" t="e">
        <f t="shared" si="72"/>
        <v>#VALUE!</v>
      </c>
      <c r="AS43" s="65" t="e">
        <f t="shared" si="72"/>
        <v>#VALUE!</v>
      </c>
      <c r="AT43" s="65" t="e">
        <f t="shared" si="72"/>
        <v>#VALUE!</v>
      </c>
      <c r="AU43" s="65" t="e">
        <f t="shared" si="72"/>
        <v>#VALUE!</v>
      </c>
      <c r="AV43" s="65" t="e">
        <f t="shared" si="72"/>
        <v>#VALUE!</v>
      </c>
      <c r="AW43" s="65" t="e">
        <f t="shared" si="72"/>
        <v>#VALUE!</v>
      </c>
      <c r="AX43" s="65" t="e">
        <f t="shared" si="72"/>
        <v>#VALUE!</v>
      </c>
      <c r="AY43" s="65" t="e">
        <f t="shared" si="72"/>
        <v>#VALUE!</v>
      </c>
      <c r="AZ43" s="65" t="e">
        <f t="shared" si="72"/>
        <v>#VALUE!</v>
      </c>
      <c r="BA43" s="65" t="e">
        <f t="shared" si="72"/>
        <v>#VALUE!</v>
      </c>
      <c r="BB43" s="65" t="e">
        <f t="shared" ref="BB43:CW43" si="73">IF(AND(BB$2&gt;=$F43,BB$2&lt;($F43+$H43)),ROUND($K43/$H43,0),"-")</f>
        <v>#VALUE!</v>
      </c>
      <c r="BC43" s="65" t="e">
        <f t="shared" si="73"/>
        <v>#VALUE!</v>
      </c>
      <c r="BD43" s="65" t="e">
        <f t="shared" si="73"/>
        <v>#VALUE!</v>
      </c>
      <c r="BE43" s="65" t="e">
        <f t="shared" si="73"/>
        <v>#VALUE!</v>
      </c>
      <c r="BF43" s="65" t="e">
        <f t="shared" si="73"/>
        <v>#VALUE!</v>
      </c>
      <c r="BG43" s="65" t="e">
        <f t="shared" si="73"/>
        <v>#VALUE!</v>
      </c>
      <c r="BH43" s="65" t="e">
        <f t="shared" si="73"/>
        <v>#VALUE!</v>
      </c>
      <c r="BI43" s="65" t="e">
        <f t="shared" si="73"/>
        <v>#VALUE!</v>
      </c>
      <c r="BJ43" s="65" t="e">
        <f t="shared" si="73"/>
        <v>#VALUE!</v>
      </c>
      <c r="BK43" s="65" t="e">
        <f t="shared" si="73"/>
        <v>#VALUE!</v>
      </c>
      <c r="BL43" s="65" t="e">
        <f t="shared" si="73"/>
        <v>#VALUE!</v>
      </c>
      <c r="BM43" s="65" t="e">
        <f t="shared" si="73"/>
        <v>#VALUE!</v>
      </c>
      <c r="BN43" s="65" t="e">
        <f t="shared" si="73"/>
        <v>#VALUE!</v>
      </c>
      <c r="BO43" s="65" t="e">
        <f t="shared" si="73"/>
        <v>#VALUE!</v>
      </c>
      <c r="BP43" s="65" t="e">
        <f t="shared" si="73"/>
        <v>#VALUE!</v>
      </c>
      <c r="BQ43" s="65" t="e">
        <f t="shared" si="73"/>
        <v>#VALUE!</v>
      </c>
      <c r="BR43" s="65" t="e">
        <f t="shared" si="73"/>
        <v>#VALUE!</v>
      </c>
      <c r="BS43" s="65" t="e">
        <f t="shared" si="73"/>
        <v>#VALUE!</v>
      </c>
      <c r="BT43" s="65" t="e">
        <f t="shared" si="73"/>
        <v>#VALUE!</v>
      </c>
      <c r="BU43" s="65" t="e">
        <f t="shared" si="73"/>
        <v>#VALUE!</v>
      </c>
      <c r="BV43" s="65" t="e">
        <f t="shared" si="73"/>
        <v>#VALUE!</v>
      </c>
      <c r="BW43" s="65" t="e">
        <f t="shared" si="73"/>
        <v>#VALUE!</v>
      </c>
      <c r="BX43" s="65" t="e">
        <f t="shared" si="73"/>
        <v>#VALUE!</v>
      </c>
      <c r="BY43" s="65" t="e">
        <f t="shared" si="73"/>
        <v>#VALUE!</v>
      </c>
      <c r="BZ43" s="65" t="e">
        <f t="shared" si="73"/>
        <v>#VALUE!</v>
      </c>
      <c r="CA43" s="65" t="e">
        <f t="shared" si="73"/>
        <v>#VALUE!</v>
      </c>
      <c r="CB43" s="65" t="e">
        <f t="shared" si="73"/>
        <v>#VALUE!</v>
      </c>
      <c r="CC43" s="65" t="e">
        <f t="shared" si="73"/>
        <v>#VALUE!</v>
      </c>
      <c r="CD43" s="65" t="e">
        <f t="shared" si="73"/>
        <v>#VALUE!</v>
      </c>
      <c r="CE43" s="65" t="e">
        <f t="shared" si="73"/>
        <v>#VALUE!</v>
      </c>
      <c r="CF43" s="65" t="e">
        <f t="shared" si="73"/>
        <v>#VALUE!</v>
      </c>
      <c r="CG43" s="65" t="e">
        <f t="shared" si="73"/>
        <v>#VALUE!</v>
      </c>
      <c r="CH43" s="65" t="e">
        <f t="shared" si="73"/>
        <v>#VALUE!</v>
      </c>
      <c r="CI43" s="65" t="e">
        <f t="shared" si="73"/>
        <v>#VALUE!</v>
      </c>
      <c r="CJ43" s="65" t="e">
        <f t="shared" si="73"/>
        <v>#VALUE!</v>
      </c>
      <c r="CK43" s="65" t="e">
        <f t="shared" si="73"/>
        <v>#VALUE!</v>
      </c>
      <c r="CL43" s="65" t="e">
        <f t="shared" si="73"/>
        <v>#VALUE!</v>
      </c>
      <c r="CM43" s="65" t="e">
        <f t="shared" si="73"/>
        <v>#VALUE!</v>
      </c>
      <c r="CN43" s="65" t="e">
        <f t="shared" si="73"/>
        <v>#VALUE!</v>
      </c>
      <c r="CO43" s="65" t="e">
        <f t="shared" si="73"/>
        <v>#VALUE!</v>
      </c>
      <c r="CP43" s="65" t="e">
        <f t="shared" si="73"/>
        <v>#VALUE!</v>
      </c>
      <c r="CQ43" s="65" t="e">
        <f t="shared" si="73"/>
        <v>#VALUE!</v>
      </c>
      <c r="CR43" s="65" t="e">
        <f t="shared" si="73"/>
        <v>#VALUE!</v>
      </c>
      <c r="CS43" s="65" t="e">
        <f t="shared" si="73"/>
        <v>#VALUE!</v>
      </c>
      <c r="CT43" s="65" t="e">
        <f t="shared" si="73"/>
        <v>#VALUE!</v>
      </c>
      <c r="CU43" s="65" t="e">
        <f t="shared" si="73"/>
        <v>#VALUE!</v>
      </c>
      <c r="CV43" s="65" t="e">
        <f t="shared" si="73"/>
        <v>#VALUE!</v>
      </c>
      <c r="CW43" s="65" t="e">
        <f t="shared" si="73"/>
        <v>#VALUE!</v>
      </c>
    </row>
    <row r="44" spans="1:101" ht="12.75" customHeight="1">
      <c r="B44" s="109" t="s">
        <v>99</v>
      </c>
      <c r="C44" s="101">
        <v>768</v>
      </c>
      <c r="D44" s="258">
        <f>SUM('[1]Electrical Work'!$G$446:$G$451)</f>
        <v>810</v>
      </c>
      <c r="E44" s="258">
        <f>C44-D44</f>
        <v>-42</v>
      </c>
      <c r="F44" s="162" t="str">
        <f>F43</f>
        <v>22 Aug,
26 Aug
05 Sep
08 Sep</v>
      </c>
      <c r="G44" s="162" t="e">
        <f>G43</f>
        <v>#VALUE!</v>
      </c>
      <c r="H44" s="65" t="e">
        <f>G44-F44</f>
        <v>#VALUE!</v>
      </c>
      <c r="I44" s="259">
        <v>30</v>
      </c>
      <c r="J44" s="259">
        <v>18</v>
      </c>
      <c r="K44" s="102">
        <f>(E44*J44)/I44</f>
        <v>-25.2</v>
      </c>
      <c r="L44" s="505"/>
      <c r="M44" s="65" t="e">
        <f t="shared" si="69"/>
        <v>#VALUE!</v>
      </c>
      <c r="N44" s="65" t="e">
        <f t="shared" si="69"/>
        <v>#VALUE!</v>
      </c>
      <c r="O44" s="65" t="e">
        <f t="shared" si="69"/>
        <v>#VALUE!</v>
      </c>
      <c r="P44" s="65" t="e">
        <f t="shared" si="69"/>
        <v>#VALUE!</v>
      </c>
      <c r="Q44" s="65" t="e">
        <f t="shared" si="69"/>
        <v>#VALUE!</v>
      </c>
      <c r="R44" s="65" t="e">
        <f t="shared" si="69"/>
        <v>#VALUE!</v>
      </c>
      <c r="S44" s="65" t="e">
        <f t="shared" si="69"/>
        <v>#VALUE!</v>
      </c>
      <c r="T44" s="65" t="e">
        <f t="shared" si="69"/>
        <v>#VALUE!</v>
      </c>
      <c r="U44" s="65" t="e">
        <f t="shared" si="69"/>
        <v>#VALUE!</v>
      </c>
      <c r="V44" s="65" t="e">
        <f t="shared" si="69"/>
        <v>#VALUE!</v>
      </c>
      <c r="W44" s="65" t="e">
        <f t="shared" si="70"/>
        <v>#VALUE!</v>
      </c>
      <c r="X44" s="65" t="e">
        <f t="shared" si="70"/>
        <v>#VALUE!</v>
      </c>
      <c r="Y44" s="65" t="e">
        <f t="shared" si="70"/>
        <v>#VALUE!</v>
      </c>
      <c r="Z44" s="65" t="e">
        <f t="shared" si="70"/>
        <v>#VALUE!</v>
      </c>
      <c r="AA44" s="65" t="e">
        <f t="shared" si="70"/>
        <v>#VALUE!</v>
      </c>
      <c r="AB44" s="65" t="e">
        <f t="shared" si="70"/>
        <v>#VALUE!</v>
      </c>
      <c r="AC44" s="65" t="e">
        <f t="shared" si="70"/>
        <v>#VALUE!</v>
      </c>
      <c r="AD44" s="65" t="e">
        <f t="shared" si="70"/>
        <v>#VALUE!</v>
      </c>
      <c r="AE44" s="65" t="e">
        <f t="shared" si="70"/>
        <v>#VALUE!</v>
      </c>
      <c r="AF44" s="65" t="e">
        <f t="shared" si="70"/>
        <v>#VALUE!</v>
      </c>
      <c r="AG44" s="65" t="e">
        <f t="shared" si="71"/>
        <v>#VALUE!</v>
      </c>
      <c r="AH44" s="65" t="e">
        <f t="shared" si="71"/>
        <v>#VALUE!</v>
      </c>
      <c r="AI44" s="65" t="e">
        <f t="shared" si="71"/>
        <v>#VALUE!</v>
      </c>
      <c r="AJ44" s="65" t="e">
        <f t="shared" si="71"/>
        <v>#VALUE!</v>
      </c>
      <c r="AK44" s="65" t="e">
        <f t="shared" si="71"/>
        <v>#VALUE!</v>
      </c>
      <c r="AL44" s="65" t="e">
        <f t="shared" si="71"/>
        <v>#VALUE!</v>
      </c>
      <c r="AM44" s="65" t="e">
        <f t="shared" si="71"/>
        <v>#VALUE!</v>
      </c>
      <c r="AN44" s="65" t="e">
        <f t="shared" si="71"/>
        <v>#VALUE!</v>
      </c>
      <c r="AO44" s="65" t="e">
        <f t="shared" si="71"/>
        <v>#VALUE!</v>
      </c>
      <c r="AP44" s="65" t="e">
        <f t="shared" si="71"/>
        <v>#VALUE!</v>
      </c>
      <c r="AQ44" s="65" t="e">
        <f t="shared" si="72"/>
        <v>#VALUE!</v>
      </c>
      <c r="AR44" s="65" t="e">
        <f t="shared" si="72"/>
        <v>#VALUE!</v>
      </c>
      <c r="AS44" s="65" t="e">
        <f t="shared" si="72"/>
        <v>#VALUE!</v>
      </c>
      <c r="AT44" s="65" t="e">
        <f t="shared" si="72"/>
        <v>#VALUE!</v>
      </c>
      <c r="AU44" s="65" t="e">
        <f t="shared" si="72"/>
        <v>#VALUE!</v>
      </c>
      <c r="AV44" s="65" t="e">
        <f t="shared" si="72"/>
        <v>#VALUE!</v>
      </c>
      <c r="AW44" s="65" t="e">
        <f t="shared" si="72"/>
        <v>#VALUE!</v>
      </c>
      <c r="AX44" s="65" t="e">
        <f t="shared" si="72"/>
        <v>#VALUE!</v>
      </c>
      <c r="AY44" s="65" t="e">
        <f t="shared" si="72"/>
        <v>#VALUE!</v>
      </c>
      <c r="AZ44" s="65" t="e">
        <f t="shared" si="72"/>
        <v>#VALUE!</v>
      </c>
      <c r="BA44" s="65" t="e">
        <f t="shared" si="72"/>
        <v>#VALUE!</v>
      </c>
      <c r="BB44" s="65" t="e">
        <f t="shared" ref="BB44:CW44" si="74">IF(AND(BB$2&gt;=$F44,BB$2&lt;($F44+$H44)),ROUND($K44/$H44,0),"-")</f>
        <v>#VALUE!</v>
      </c>
      <c r="BC44" s="65" t="e">
        <f t="shared" si="74"/>
        <v>#VALUE!</v>
      </c>
      <c r="BD44" s="65" t="e">
        <f t="shared" si="74"/>
        <v>#VALUE!</v>
      </c>
      <c r="BE44" s="65" t="e">
        <f t="shared" si="74"/>
        <v>#VALUE!</v>
      </c>
      <c r="BF44" s="65" t="e">
        <f t="shared" si="74"/>
        <v>#VALUE!</v>
      </c>
      <c r="BG44" s="65" t="e">
        <f t="shared" si="74"/>
        <v>#VALUE!</v>
      </c>
      <c r="BH44" s="65" t="e">
        <f t="shared" si="74"/>
        <v>#VALUE!</v>
      </c>
      <c r="BI44" s="65" t="e">
        <f t="shared" si="74"/>
        <v>#VALUE!</v>
      </c>
      <c r="BJ44" s="65" t="e">
        <f t="shared" si="74"/>
        <v>#VALUE!</v>
      </c>
      <c r="BK44" s="65" t="e">
        <f t="shared" si="74"/>
        <v>#VALUE!</v>
      </c>
      <c r="BL44" s="65" t="e">
        <f t="shared" si="74"/>
        <v>#VALUE!</v>
      </c>
      <c r="BM44" s="65" t="e">
        <f t="shared" si="74"/>
        <v>#VALUE!</v>
      </c>
      <c r="BN44" s="65" t="e">
        <f t="shared" si="74"/>
        <v>#VALUE!</v>
      </c>
      <c r="BO44" s="65" t="e">
        <f t="shared" si="74"/>
        <v>#VALUE!</v>
      </c>
      <c r="BP44" s="65" t="e">
        <f t="shared" si="74"/>
        <v>#VALUE!</v>
      </c>
      <c r="BQ44" s="65" t="e">
        <f t="shared" si="74"/>
        <v>#VALUE!</v>
      </c>
      <c r="BR44" s="65" t="e">
        <f t="shared" si="74"/>
        <v>#VALUE!</v>
      </c>
      <c r="BS44" s="65" t="e">
        <f t="shared" si="74"/>
        <v>#VALUE!</v>
      </c>
      <c r="BT44" s="65" t="e">
        <f t="shared" si="74"/>
        <v>#VALUE!</v>
      </c>
      <c r="BU44" s="65" t="e">
        <f t="shared" si="74"/>
        <v>#VALUE!</v>
      </c>
      <c r="BV44" s="65" t="e">
        <f t="shared" si="74"/>
        <v>#VALUE!</v>
      </c>
      <c r="BW44" s="65" t="e">
        <f t="shared" si="74"/>
        <v>#VALUE!</v>
      </c>
      <c r="BX44" s="65" t="e">
        <f t="shared" si="74"/>
        <v>#VALUE!</v>
      </c>
      <c r="BY44" s="65" t="e">
        <f t="shared" si="74"/>
        <v>#VALUE!</v>
      </c>
      <c r="BZ44" s="65" t="e">
        <f t="shared" si="74"/>
        <v>#VALUE!</v>
      </c>
      <c r="CA44" s="65" t="e">
        <f t="shared" si="74"/>
        <v>#VALUE!</v>
      </c>
      <c r="CB44" s="65" t="e">
        <f t="shared" si="74"/>
        <v>#VALUE!</v>
      </c>
      <c r="CC44" s="65" t="e">
        <f t="shared" si="74"/>
        <v>#VALUE!</v>
      </c>
      <c r="CD44" s="65" t="e">
        <f t="shared" si="74"/>
        <v>#VALUE!</v>
      </c>
      <c r="CE44" s="65" t="e">
        <f t="shared" si="74"/>
        <v>#VALUE!</v>
      </c>
      <c r="CF44" s="65" t="e">
        <f t="shared" si="74"/>
        <v>#VALUE!</v>
      </c>
      <c r="CG44" s="65" t="e">
        <f t="shared" si="74"/>
        <v>#VALUE!</v>
      </c>
      <c r="CH44" s="65" t="e">
        <f t="shared" si="74"/>
        <v>#VALUE!</v>
      </c>
      <c r="CI44" s="65" t="e">
        <f t="shared" si="74"/>
        <v>#VALUE!</v>
      </c>
      <c r="CJ44" s="65" t="e">
        <f t="shared" si="74"/>
        <v>#VALUE!</v>
      </c>
      <c r="CK44" s="65" t="e">
        <f t="shared" si="74"/>
        <v>#VALUE!</v>
      </c>
      <c r="CL44" s="65" t="e">
        <f t="shared" si="74"/>
        <v>#VALUE!</v>
      </c>
      <c r="CM44" s="65" t="e">
        <f t="shared" si="74"/>
        <v>#VALUE!</v>
      </c>
      <c r="CN44" s="65" t="e">
        <f t="shared" si="74"/>
        <v>#VALUE!</v>
      </c>
      <c r="CO44" s="65" t="e">
        <f t="shared" si="74"/>
        <v>#VALUE!</v>
      </c>
      <c r="CP44" s="65" t="e">
        <f t="shared" si="74"/>
        <v>#VALUE!</v>
      </c>
      <c r="CQ44" s="65" t="e">
        <f t="shared" si="74"/>
        <v>#VALUE!</v>
      </c>
      <c r="CR44" s="65" t="e">
        <f t="shared" si="74"/>
        <v>#VALUE!</v>
      </c>
      <c r="CS44" s="65" t="e">
        <f t="shared" si="74"/>
        <v>#VALUE!</v>
      </c>
      <c r="CT44" s="65" t="e">
        <f t="shared" si="74"/>
        <v>#VALUE!</v>
      </c>
      <c r="CU44" s="65" t="e">
        <f t="shared" si="74"/>
        <v>#VALUE!</v>
      </c>
      <c r="CV44" s="65" t="e">
        <f t="shared" si="74"/>
        <v>#VALUE!</v>
      </c>
      <c r="CW44" s="65" t="e">
        <f t="shared" si="74"/>
        <v>#VALUE!</v>
      </c>
    </row>
    <row r="45" spans="1:101" ht="12.75" customHeight="1">
      <c r="B45" s="109" t="s">
        <v>100</v>
      </c>
      <c r="C45" s="101">
        <v>1344</v>
      </c>
      <c r="D45" s="101">
        <v>0</v>
      </c>
      <c r="E45" s="258">
        <f>C45-D45</f>
        <v>1344</v>
      </c>
      <c r="F45" s="162" t="str">
        <f>F44</f>
        <v>22 Aug,
26 Aug
05 Sep
08 Sep</v>
      </c>
      <c r="G45" s="162" t="e">
        <f>G44</f>
        <v>#VALUE!</v>
      </c>
      <c r="H45" s="65" t="e">
        <f>H44</f>
        <v>#VALUE!</v>
      </c>
      <c r="I45" s="101">
        <v>30</v>
      </c>
      <c r="J45" s="101">
        <v>6</v>
      </c>
      <c r="K45" s="102">
        <f>(E45*J45)/I45</f>
        <v>268.8</v>
      </c>
      <c r="L45" s="505"/>
      <c r="M45" s="65" t="e">
        <f t="shared" ref="M45:AA45" si="75">IF(AND(M$2&gt;=$F45,M$2&lt;($F45+$H45)),ROUND($K45/$H45,0),"-")</f>
        <v>#VALUE!</v>
      </c>
      <c r="N45" s="65" t="e">
        <f t="shared" si="75"/>
        <v>#VALUE!</v>
      </c>
      <c r="O45" s="65" t="e">
        <f t="shared" si="75"/>
        <v>#VALUE!</v>
      </c>
      <c r="P45" s="65" t="e">
        <f t="shared" si="75"/>
        <v>#VALUE!</v>
      </c>
      <c r="Q45" s="65" t="e">
        <f t="shared" si="75"/>
        <v>#VALUE!</v>
      </c>
      <c r="R45" s="65" t="e">
        <f t="shared" si="75"/>
        <v>#VALUE!</v>
      </c>
      <c r="S45" s="65" t="e">
        <f t="shared" si="75"/>
        <v>#VALUE!</v>
      </c>
      <c r="T45" s="65" t="e">
        <f t="shared" si="75"/>
        <v>#VALUE!</v>
      </c>
      <c r="U45" s="65" t="e">
        <f t="shared" si="75"/>
        <v>#VALUE!</v>
      </c>
      <c r="V45" s="65" t="e">
        <f t="shared" si="75"/>
        <v>#VALUE!</v>
      </c>
      <c r="W45" s="65" t="e">
        <f t="shared" si="75"/>
        <v>#VALUE!</v>
      </c>
      <c r="X45" s="65" t="e">
        <f t="shared" si="75"/>
        <v>#VALUE!</v>
      </c>
      <c r="Y45" s="65" t="e">
        <f t="shared" si="75"/>
        <v>#VALUE!</v>
      </c>
      <c r="Z45" s="65" t="e">
        <f t="shared" si="75"/>
        <v>#VALUE!</v>
      </c>
      <c r="AA45" s="65" t="e">
        <f t="shared" si="75"/>
        <v>#VALUE!</v>
      </c>
      <c r="AB45" s="65" t="e">
        <f t="shared" ref="AB45:BG45" si="76">IF(AND(AB$2&gt;=$F45,AB$2&lt;($F45+$H45)),ROUND($K45/$H45,0),"-")</f>
        <v>#VALUE!</v>
      </c>
      <c r="AC45" s="65" t="e">
        <f t="shared" si="76"/>
        <v>#VALUE!</v>
      </c>
      <c r="AD45" s="65" t="e">
        <f t="shared" si="76"/>
        <v>#VALUE!</v>
      </c>
      <c r="AE45" s="65" t="e">
        <f t="shared" si="76"/>
        <v>#VALUE!</v>
      </c>
      <c r="AF45" s="65" t="e">
        <f t="shared" si="76"/>
        <v>#VALUE!</v>
      </c>
      <c r="AG45" s="65" t="e">
        <f t="shared" si="76"/>
        <v>#VALUE!</v>
      </c>
      <c r="AH45" s="65" t="e">
        <f t="shared" si="76"/>
        <v>#VALUE!</v>
      </c>
      <c r="AI45" s="65" t="e">
        <f t="shared" si="76"/>
        <v>#VALUE!</v>
      </c>
      <c r="AJ45" s="65" t="e">
        <f t="shared" si="76"/>
        <v>#VALUE!</v>
      </c>
      <c r="AK45" s="65" t="e">
        <f t="shared" si="76"/>
        <v>#VALUE!</v>
      </c>
      <c r="AL45" s="65" t="e">
        <f t="shared" si="76"/>
        <v>#VALUE!</v>
      </c>
      <c r="AM45" s="65" t="e">
        <f t="shared" si="76"/>
        <v>#VALUE!</v>
      </c>
      <c r="AN45" s="65" t="e">
        <f t="shared" si="76"/>
        <v>#VALUE!</v>
      </c>
      <c r="AO45" s="65" t="e">
        <f t="shared" si="76"/>
        <v>#VALUE!</v>
      </c>
      <c r="AP45" s="65" t="e">
        <f t="shared" si="76"/>
        <v>#VALUE!</v>
      </c>
      <c r="AQ45" s="65" t="e">
        <f t="shared" si="76"/>
        <v>#VALUE!</v>
      </c>
      <c r="AR45" s="65" t="e">
        <f t="shared" si="76"/>
        <v>#VALUE!</v>
      </c>
      <c r="AS45" s="65" t="e">
        <f t="shared" si="76"/>
        <v>#VALUE!</v>
      </c>
      <c r="AT45" s="65" t="e">
        <f t="shared" si="76"/>
        <v>#VALUE!</v>
      </c>
      <c r="AU45" s="65" t="e">
        <f t="shared" si="76"/>
        <v>#VALUE!</v>
      </c>
      <c r="AV45" s="65" t="e">
        <f t="shared" si="76"/>
        <v>#VALUE!</v>
      </c>
      <c r="AW45" s="65" t="e">
        <f t="shared" si="76"/>
        <v>#VALUE!</v>
      </c>
      <c r="AX45" s="65" t="e">
        <f t="shared" si="76"/>
        <v>#VALUE!</v>
      </c>
      <c r="AY45" s="65" t="e">
        <f t="shared" si="76"/>
        <v>#VALUE!</v>
      </c>
      <c r="AZ45" s="65" t="e">
        <f t="shared" si="76"/>
        <v>#VALUE!</v>
      </c>
      <c r="BA45" s="65" t="e">
        <f t="shared" si="76"/>
        <v>#VALUE!</v>
      </c>
      <c r="BB45" s="65" t="e">
        <f t="shared" si="76"/>
        <v>#VALUE!</v>
      </c>
      <c r="BC45" s="65" t="e">
        <f t="shared" si="76"/>
        <v>#VALUE!</v>
      </c>
      <c r="BD45" s="65" t="e">
        <f t="shared" si="76"/>
        <v>#VALUE!</v>
      </c>
      <c r="BE45" s="65" t="e">
        <f t="shared" si="76"/>
        <v>#VALUE!</v>
      </c>
      <c r="BF45" s="65" t="e">
        <f t="shared" si="76"/>
        <v>#VALUE!</v>
      </c>
      <c r="BG45" s="65" t="e">
        <f t="shared" si="76"/>
        <v>#VALUE!</v>
      </c>
      <c r="BH45" s="65" t="e">
        <f t="shared" ref="BH45:CM45" si="77">IF(AND(BH$2&gt;=$F45,BH$2&lt;($F45+$H45)),ROUND($K45/$H45,0),"-")</f>
        <v>#VALUE!</v>
      </c>
      <c r="BI45" s="65" t="e">
        <f t="shared" si="77"/>
        <v>#VALUE!</v>
      </c>
      <c r="BJ45" s="65" t="e">
        <f t="shared" si="77"/>
        <v>#VALUE!</v>
      </c>
      <c r="BK45" s="65" t="e">
        <f t="shared" si="77"/>
        <v>#VALUE!</v>
      </c>
      <c r="BL45" s="65" t="e">
        <f t="shared" si="77"/>
        <v>#VALUE!</v>
      </c>
      <c r="BM45" s="65" t="e">
        <f t="shared" si="77"/>
        <v>#VALUE!</v>
      </c>
      <c r="BN45" s="65" t="e">
        <f t="shared" si="77"/>
        <v>#VALUE!</v>
      </c>
      <c r="BO45" s="65" t="e">
        <f t="shared" si="77"/>
        <v>#VALUE!</v>
      </c>
      <c r="BP45" s="65" t="e">
        <f t="shared" si="77"/>
        <v>#VALUE!</v>
      </c>
      <c r="BQ45" s="65" t="e">
        <f t="shared" si="77"/>
        <v>#VALUE!</v>
      </c>
      <c r="BR45" s="65" t="e">
        <f t="shared" si="77"/>
        <v>#VALUE!</v>
      </c>
      <c r="BS45" s="65" t="e">
        <f t="shared" si="77"/>
        <v>#VALUE!</v>
      </c>
      <c r="BT45" s="65" t="e">
        <f t="shared" si="77"/>
        <v>#VALUE!</v>
      </c>
      <c r="BU45" s="65" t="e">
        <f t="shared" si="77"/>
        <v>#VALUE!</v>
      </c>
      <c r="BV45" s="65" t="e">
        <f t="shared" si="77"/>
        <v>#VALUE!</v>
      </c>
      <c r="BW45" s="65" t="e">
        <f t="shared" si="77"/>
        <v>#VALUE!</v>
      </c>
      <c r="BX45" s="65" t="e">
        <f t="shared" si="77"/>
        <v>#VALUE!</v>
      </c>
      <c r="BY45" s="65" t="e">
        <f t="shared" si="77"/>
        <v>#VALUE!</v>
      </c>
      <c r="BZ45" s="65" t="e">
        <f t="shared" si="77"/>
        <v>#VALUE!</v>
      </c>
      <c r="CA45" s="65" t="e">
        <f t="shared" si="77"/>
        <v>#VALUE!</v>
      </c>
      <c r="CB45" s="65" t="e">
        <f t="shared" si="77"/>
        <v>#VALUE!</v>
      </c>
      <c r="CC45" s="65" t="e">
        <f t="shared" si="77"/>
        <v>#VALUE!</v>
      </c>
      <c r="CD45" s="65" t="e">
        <f t="shared" si="77"/>
        <v>#VALUE!</v>
      </c>
      <c r="CE45" s="65" t="e">
        <f t="shared" si="77"/>
        <v>#VALUE!</v>
      </c>
      <c r="CF45" s="65" t="e">
        <f t="shared" si="77"/>
        <v>#VALUE!</v>
      </c>
      <c r="CG45" s="65" t="e">
        <f t="shared" si="77"/>
        <v>#VALUE!</v>
      </c>
      <c r="CH45" s="65" t="e">
        <f t="shared" si="77"/>
        <v>#VALUE!</v>
      </c>
      <c r="CI45" s="65" t="e">
        <f t="shared" si="77"/>
        <v>#VALUE!</v>
      </c>
      <c r="CJ45" s="65" t="e">
        <f t="shared" si="77"/>
        <v>#VALUE!</v>
      </c>
      <c r="CK45" s="65" t="e">
        <f t="shared" si="77"/>
        <v>#VALUE!</v>
      </c>
      <c r="CL45" s="65" t="e">
        <f t="shared" si="77"/>
        <v>#VALUE!</v>
      </c>
      <c r="CM45" s="65" t="e">
        <f t="shared" si="77"/>
        <v>#VALUE!</v>
      </c>
      <c r="CN45" s="65" t="e">
        <f t="shared" ref="CN45:CW45" si="78">IF(AND(CN$2&gt;=$F45,CN$2&lt;($F45+$H45)),ROUND($K45/$H45,0),"-")</f>
        <v>#VALUE!</v>
      </c>
      <c r="CO45" s="65" t="e">
        <f t="shared" si="78"/>
        <v>#VALUE!</v>
      </c>
      <c r="CP45" s="65" t="e">
        <f t="shared" si="78"/>
        <v>#VALUE!</v>
      </c>
      <c r="CQ45" s="65" t="e">
        <f t="shared" si="78"/>
        <v>#VALUE!</v>
      </c>
      <c r="CR45" s="65" t="e">
        <f t="shared" si="78"/>
        <v>#VALUE!</v>
      </c>
      <c r="CS45" s="65" t="e">
        <f t="shared" si="78"/>
        <v>#VALUE!</v>
      </c>
      <c r="CT45" s="65" t="e">
        <f t="shared" si="78"/>
        <v>#VALUE!</v>
      </c>
      <c r="CU45" s="65" t="e">
        <f t="shared" si="78"/>
        <v>#VALUE!</v>
      </c>
      <c r="CV45" s="65" t="e">
        <f t="shared" si="78"/>
        <v>#VALUE!</v>
      </c>
      <c r="CW45" s="65" t="e">
        <f t="shared" si="78"/>
        <v>#VALUE!</v>
      </c>
    </row>
    <row r="47" spans="1:101">
      <c r="A47" s="141" t="s">
        <v>109</v>
      </c>
    </row>
    <row r="48" spans="1:101">
      <c r="B48" s="109" t="s">
        <v>91</v>
      </c>
      <c r="C48" s="109" t="s">
        <v>92</v>
      </c>
      <c r="D48" s="109" t="s">
        <v>93</v>
      </c>
      <c r="E48" s="109" t="s">
        <v>94</v>
      </c>
      <c r="F48" s="109" t="s">
        <v>78</v>
      </c>
      <c r="G48" s="109" t="s">
        <v>79</v>
      </c>
      <c r="H48" s="109" t="s">
        <v>59</v>
      </c>
      <c r="I48" s="109" t="s">
        <v>95</v>
      </c>
      <c r="J48" s="109" t="s">
        <v>96</v>
      </c>
      <c r="K48" s="109" t="s">
        <v>97</v>
      </c>
      <c r="L48" s="109" t="s">
        <v>80</v>
      </c>
      <c r="M48" s="260">
        <v>46201</v>
      </c>
      <c r="N48" s="260">
        <v>46202</v>
      </c>
      <c r="O48" s="260">
        <v>46203</v>
      </c>
      <c r="P48" s="260">
        <v>46204</v>
      </c>
      <c r="Q48" s="260">
        <v>46205</v>
      </c>
      <c r="R48" s="260">
        <v>46206</v>
      </c>
      <c r="S48" s="260">
        <v>46207</v>
      </c>
      <c r="T48" s="260">
        <v>46208</v>
      </c>
      <c r="U48" s="260">
        <v>46209</v>
      </c>
      <c r="V48" s="260">
        <v>46210</v>
      </c>
      <c r="W48" s="260">
        <v>46211</v>
      </c>
      <c r="X48" s="260">
        <v>46212</v>
      </c>
      <c r="Y48" s="260">
        <v>46213</v>
      </c>
      <c r="Z48" s="260">
        <v>46214</v>
      </c>
      <c r="AA48" s="260">
        <v>46215</v>
      </c>
      <c r="AB48" s="260">
        <v>46216</v>
      </c>
      <c r="AC48" s="260">
        <v>46217</v>
      </c>
      <c r="AD48" s="260">
        <v>46218</v>
      </c>
      <c r="AE48" s="260">
        <v>46219</v>
      </c>
      <c r="AF48" s="260">
        <v>46220</v>
      </c>
      <c r="AG48" s="260">
        <v>46221</v>
      </c>
      <c r="AH48" s="260">
        <v>46222</v>
      </c>
      <c r="AI48" s="260">
        <v>46223</v>
      </c>
      <c r="AJ48" s="260">
        <v>46224</v>
      </c>
      <c r="AK48" s="260">
        <v>46225</v>
      </c>
      <c r="AL48" s="260">
        <v>46226</v>
      </c>
      <c r="AM48" s="260">
        <v>46227</v>
      </c>
      <c r="AN48" s="260">
        <v>46228</v>
      </c>
      <c r="AO48" s="260">
        <v>46229</v>
      </c>
      <c r="AP48" s="260">
        <v>46230</v>
      </c>
      <c r="AQ48" s="260">
        <v>46231</v>
      </c>
      <c r="AR48" s="260">
        <v>46232</v>
      </c>
      <c r="AS48" s="260">
        <v>46233</v>
      </c>
      <c r="AT48" s="260">
        <v>46234</v>
      </c>
      <c r="AU48" s="260">
        <v>46235</v>
      </c>
      <c r="AV48" s="260">
        <v>46236</v>
      </c>
      <c r="AW48" s="260">
        <v>46237</v>
      </c>
      <c r="AX48" s="260">
        <v>46238</v>
      </c>
      <c r="AY48" s="260">
        <v>46239</v>
      </c>
      <c r="AZ48" s="260">
        <v>46240</v>
      </c>
      <c r="BA48" s="260">
        <v>46241</v>
      </c>
      <c r="BB48" s="260">
        <v>46242</v>
      </c>
      <c r="BC48" s="260">
        <v>46243</v>
      </c>
      <c r="BD48" s="260">
        <v>46244</v>
      </c>
      <c r="BE48" s="260">
        <v>46245</v>
      </c>
      <c r="BF48" s="260">
        <v>46246</v>
      </c>
      <c r="BG48" s="260">
        <v>46247</v>
      </c>
      <c r="BH48" s="260">
        <v>46248</v>
      </c>
      <c r="BI48" s="260">
        <v>46249</v>
      </c>
      <c r="BJ48" s="260">
        <v>46250</v>
      </c>
      <c r="BK48" s="260">
        <v>46251</v>
      </c>
      <c r="BL48" s="260">
        <v>46252</v>
      </c>
      <c r="BM48" s="260">
        <v>46253</v>
      </c>
      <c r="BN48" s="260">
        <v>46254</v>
      </c>
      <c r="BO48" s="260">
        <v>46255</v>
      </c>
      <c r="BP48" s="260">
        <v>46256</v>
      </c>
      <c r="BQ48" s="260">
        <v>46257</v>
      </c>
      <c r="BR48" s="260">
        <v>46258</v>
      </c>
      <c r="BS48" s="260">
        <v>46259</v>
      </c>
      <c r="BT48" s="260">
        <v>46260</v>
      </c>
      <c r="BU48" s="260">
        <v>46261</v>
      </c>
      <c r="BV48" s="260">
        <v>46262</v>
      </c>
      <c r="BW48" s="260">
        <v>46263</v>
      </c>
      <c r="BX48" s="260">
        <v>46264</v>
      </c>
      <c r="BY48" s="260">
        <v>46265</v>
      </c>
      <c r="BZ48" s="260">
        <v>46266</v>
      </c>
      <c r="CA48" s="260">
        <v>46267</v>
      </c>
      <c r="CB48" s="260">
        <v>46268</v>
      </c>
      <c r="CC48" s="260">
        <v>46269</v>
      </c>
      <c r="CD48" s="260">
        <v>46270</v>
      </c>
      <c r="CE48" s="260">
        <v>46271</v>
      </c>
      <c r="CF48" s="260">
        <v>46272</v>
      </c>
      <c r="CG48" s="260">
        <v>46273</v>
      </c>
      <c r="CH48" s="260">
        <v>46274</v>
      </c>
      <c r="CI48" s="260">
        <v>46275</v>
      </c>
      <c r="CJ48" s="260">
        <v>46276</v>
      </c>
      <c r="CK48" s="260">
        <v>46277</v>
      </c>
      <c r="CL48" s="260">
        <v>46278</v>
      </c>
      <c r="CM48" s="260">
        <v>46279</v>
      </c>
      <c r="CN48" s="260">
        <v>46280</v>
      </c>
      <c r="CO48" s="260">
        <v>46281</v>
      </c>
      <c r="CP48" s="260">
        <v>46282</v>
      </c>
      <c r="CQ48" s="260">
        <v>46283</v>
      </c>
      <c r="CR48" s="260">
        <v>46284</v>
      </c>
      <c r="CS48" s="260">
        <v>46285</v>
      </c>
      <c r="CT48" s="260">
        <v>46286</v>
      </c>
      <c r="CU48" s="260">
        <v>46287</v>
      </c>
      <c r="CV48" s="260">
        <v>46288</v>
      </c>
      <c r="CW48" s="260">
        <v>46289</v>
      </c>
    </row>
    <row r="49" spans="1:101">
      <c r="A49" t="s">
        <v>103</v>
      </c>
      <c r="B49" s="138" t="s">
        <v>21</v>
      </c>
      <c r="C49" s="101">
        <v>48</v>
      </c>
      <c r="D49" s="102">
        <v>0</v>
      </c>
      <c r="E49" s="258">
        <f>C49-D49</f>
        <v>48</v>
      </c>
      <c r="F49" s="165" t="str">
        <f>'BESS 12'!D51</f>
        <v>30 Jun
04 Jul
09 Jul</v>
      </c>
      <c r="G49" s="165" t="e">
        <f>F49+4</f>
        <v>#VALUE!</v>
      </c>
      <c r="H49" s="65" t="e">
        <f>G49-F49</f>
        <v>#VALUE!</v>
      </c>
      <c r="I49" s="96">
        <v>10</v>
      </c>
      <c r="J49" s="93">
        <v>1</v>
      </c>
      <c r="K49" s="94">
        <f>(E49*J49)/I49</f>
        <v>4.8</v>
      </c>
      <c r="L49" s="505" t="e">
        <f>AVERAGEIF(M49:CW51,"&gt;0")</f>
        <v>#DIV/0!</v>
      </c>
      <c r="M49" s="65" t="e">
        <f t="shared" ref="M49:V51" si="79">IF(AND(M$2&gt;=$F49,M$2&lt;($F49+$H49)),ROUND($K49/$H49,0),"-")</f>
        <v>#VALUE!</v>
      </c>
      <c r="N49" s="65" t="e">
        <f t="shared" si="79"/>
        <v>#VALUE!</v>
      </c>
      <c r="O49" s="65" t="e">
        <f t="shared" si="79"/>
        <v>#VALUE!</v>
      </c>
      <c r="P49" s="65" t="e">
        <f t="shared" si="79"/>
        <v>#VALUE!</v>
      </c>
      <c r="Q49" s="65" t="e">
        <f t="shared" si="79"/>
        <v>#VALUE!</v>
      </c>
      <c r="R49" s="65" t="e">
        <f t="shared" si="79"/>
        <v>#VALUE!</v>
      </c>
      <c r="S49" s="65" t="e">
        <f t="shared" si="79"/>
        <v>#VALUE!</v>
      </c>
      <c r="T49" s="65" t="e">
        <f t="shared" si="79"/>
        <v>#VALUE!</v>
      </c>
      <c r="U49" s="65" t="e">
        <f t="shared" si="79"/>
        <v>#VALUE!</v>
      </c>
      <c r="V49" s="65" t="e">
        <f t="shared" si="79"/>
        <v>#VALUE!</v>
      </c>
      <c r="W49" s="65" t="e">
        <f t="shared" ref="W49:AF51" si="80">IF(AND(W$2&gt;=$F49,W$2&lt;($F49+$H49)),ROUND($K49/$H49,0),"-")</f>
        <v>#VALUE!</v>
      </c>
      <c r="X49" s="65" t="e">
        <f t="shared" si="80"/>
        <v>#VALUE!</v>
      </c>
      <c r="Y49" s="65" t="e">
        <f t="shared" si="80"/>
        <v>#VALUE!</v>
      </c>
      <c r="Z49" s="65" t="e">
        <f t="shared" si="80"/>
        <v>#VALUE!</v>
      </c>
      <c r="AA49" s="65" t="e">
        <f t="shared" si="80"/>
        <v>#VALUE!</v>
      </c>
      <c r="AB49" s="65" t="e">
        <f t="shared" si="80"/>
        <v>#VALUE!</v>
      </c>
      <c r="AC49" s="65" t="e">
        <f t="shared" si="80"/>
        <v>#VALUE!</v>
      </c>
      <c r="AD49" s="65" t="e">
        <f t="shared" si="80"/>
        <v>#VALUE!</v>
      </c>
      <c r="AE49" s="65" t="e">
        <f t="shared" si="80"/>
        <v>#VALUE!</v>
      </c>
      <c r="AF49" s="65" t="e">
        <f t="shared" si="80"/>
        <v>#VALUE!</v>
      </c>
      <c r="AG49" s="65" t="e">
        <f t="shared" ref="AG49:AP51" si="81">IF(AND(AG$2&gt;=$F49,AG$2&lt;($F49+$H49)),ROUND($K49/$H49,0),"-")</f>
        <v>#VALUE!</v>
      </c>
      <c r="AH49" s="65" t="e">
        <f t="shared" si="81"/>
        <v>#VALUE!</v>
      </c>
      <c r="AI49" s="65" t="e">
        <f t="shared" si="81"/>
        <v>#VALUE!</v>
      </c>
      <c r="AJ49" s="65" t="e">
        <f t="shared" si="81"/>
        <v>#VALUE!</v>
      </c>
      <c r="AK49" s="65" t="e">
        <f t="shared" si="81"/>
        <v>#VALUE!</v>
      </c>
      <c r="AL49" s="65" t="e">
        <f t="shared" si="81"/>
        <v>#VALUE!</v>
      </c>
      <c r="AM49" s="65" t="e">
        <f t="shared" si="81"/>
        <v>#VALUE!</v>
      </c>
      <c r="AN49" s="65" t="e">
        <f t="shared" si="81"/>
        <v>#VALUE!</v>
      </c>
      <c r="AO49" s="65" t="e">
        <f t="shared" si="81"/>
        <v>#VALUE!</v>
      </c>
      <c r="AP49" s="65" t="e">
        <f t="shared" si="81"/>
        <v>#VALUE!</v>
      </c>
      <c r="AQ49" s="65" t="e">
        <f t="shared" ref="AQ49:AZ51" si="82">IF(AND(AQ$2&gt;=$F49,AQ$2&lt;($F49+$H49)),ROUND($K49/$H49,0),"-")</f>
        <v>#VALUE!</v>
      </c>
      <c r="AR49" s="65" t="e">
        <f t="shared" si="82"/>
        <v>#VALUE!</v>
      </c>
      <c r="AS49" s="65" t="e">
        <f t="shared" si="82"/>
        <v>#VALUE!</v>
      </c>
      <c r="AT49" s="65" t="e">
        <f t="shared" si="82"/>
        <v>#VALUE!</v>
      </c>
      <c r="AU49" s="65" t="e">
        <f t="shared" si="82"/>
        <v>#VALUE!</v>
      </c>
      <c r="AV49" s="65" t="e">
        <f t="shared" si="82"/>
        <v>#VALUE!</v>
      </c>
      <c r="AW49" s="65" t="e">
        <f t="shared" si="82"/>
        <v>#VALUE!</v>
      </c>
      <c r="AX49" s="65" t="e">
        <f t="shared" si="82"/>
        <v>#VALUE!</v>
      </c>
      <c r="AY49" s="65" t="e">
        <f t="shared" si="82"/>
        <v>#VALUE!</v>
      </c>
      <c r="AZ49" s="65" t="e">
        <f t="shared" si="82"/>
        <v>#VALUE!</v>
      </c>
      <c r="BA49" s="65" t="e">
        <f t="shared" ref="BA49:BJ51" si="83">IF(AND(BA$2&gt;=$F49,BA$2&lt;($F49+$H49)),ROUND($K49/$H49,0),"-")</f>
        <v>#VALUE!</v>
      </c>
      <c r="BB49" s="65" t="e">
        <f t="shared" si="83"/>
        <v>#VALUE!</v>
      </c>
      <c r="BC49" s="65" t="e">
        <f t="shared" si="83"/>
        <v>#VALUE!</v>
      </c>
      <c r="BD49" s="65" t="e">
        <f t="shared" si="83"/>
        <v>#VALUE!</v>
      </c>
      <c r="BE49" s="65" t="e">
        <f t="shared" si="83"/>
        <v>#VALUE!</v>
      </c>
      <c r="BF49" s="65" t="e">
        <f t="shared" si="83"/>
        <v>#VALUE!</v>
      </c>
      <c r="BG49" s="65" t="e">
        <f t="shared" si="83"/>
        <v>#VALUE!</v>
      </c>
      <c r="BH49" s="65" t="e">
        <f t="shared" si="83"/>
        <v>#VALUE!</v>
      </c>
      <c r="BI49" s="65" t="e">
        <f t="shared" si="83"/>
        <v>#VALUE!</v>
      </c>
      <c r="BJ49" s="65" t="e">
        <f t="shared" si="83"/>
        <v>#VALUE!</v>
      </c>
      <c r="BK49" s="65" t="e">
        <f t="shared" ref="BK49:BT51" si="84">IF(AND(BK$2&gt;=$F49,BK$2&lt;($F49+$H49)),ROUND($K49/$H49,0),"-")</f>
        <v>#VALUE!</v>
      </c>
      <c r="BL49" s="65" t="e">
        <f t="shared" si="84"/>
        <v>#VALUE!</v>
      </c>
      <c r="BM49" s="65" t="e">
        <f t="shared" si="84"/>
        <v>#VALUE!</v>
      </c>
      <c r="BN49" s="65" t="e">
        <f t="shared" si="84"/>
        <v>#VALUE!</v>
      </c>
      <c r="BO49" s="65" t="e">
        <f t="shared" si="84"/>
        <v>#VALUE!</v>
      </c>
      <c r="BP49" s="65" t="e">
        <f t="shared" si="84"/>
        <v>#VALUE!</v>
      </c>
      <c r="BQ49" s="65" t="e">
        <f t="shared" si="84"/>
        <v>#VALUE!</v>
      </c>
      <c r="BR49" s="65" t="e">
        <f t="shared" si="84"/>
        <v>#VALUE!</v>
      </c>
      <c r="BS49" s="65" t="e">
        <f t="shared" si="84"/>
        <v>#VALUE!</v>
      </c>
      <c r="BT49" s="65" t="e">
        <f t="shared" si="84"/>
        <v>#VALUE!</v>
      </c>
      <c r="BU49" s="65" t="e">
        <f t="shared" ref="BU49:CD51" si="85">IF(AND(BU$2&gt;=$F49,BU$2&lt;($F49+$H49)),ROUND($K49/$H49,0),"-")</f>
        <v>#VALUE!</v>
      </c>
      <c r="BV49" s="65" t="e">
        <f t="shared" si="85"/>
        <v>#VALUE!</v>
      </c>
      <c r="BW49" s="65" t="e">
        <f t="shared" si="85"/>
        <v>#VALUE!</v>
      </c>
      <c r="BX49" s="65" t="e">
        <f t="shared" si="85"/>
        <v>#VALUE!</v>
      </c>
      <c r="BY49" s="65" t="e">
        <f t="shared" si="85"/>
        <v>#VALUE!</v>
      </c>
      <c r="BZ49" s="65" t="e">
        <f t="shared" si="85"/>
        <v>#VALUE!</v>
      </c>
      <c r="CA49" s="65" t="e">
        <f t="shared" si="85"/>
        <v>#VALUE!</v>
      </c>
      <c r="CB49" s="65" t="e">
        <f t="shared" si="85"/>
        <v>#VALUE!</v>
      </c>
      <c r="CC49" s="65" t="e">
        <f t="shared" si="85"/>
        <v>#VALUE!</v>
      </c>
      <c r="CD49" s="65" t="e">
        <f t="shared" si="85"/>
        <v>#VALUE!</v>
      </c>
      <c r="CE49" s="65" t="e">
        <f t="shared" ref="CE49:CN51" si="86">IF(AND(CE$2&gt;=$F49,CE$2&lt;($F49+$H49)),ROUND($K49/$H49,0),"-")</f>
        <v>#VALUE!</v>
      </c>
      <c r="CF49" s="65" t="e">
        <f t="shared" si="86"/>
        <v>#VALUE!</v>
      </c>
      <c r="CG49" s="65" t="e">
        <f t="shared" si="86"/>
        <v>#VALUE!</v>
      </c>
      <c r="CH49" s="65" t="e">
        <f t="shared" si="86"/>
        <v>#VALUE!</v>
      </c>
      <c r="CI49" s="65" t="e">
        <f t="shared" si="86"/>
        <v>#VALUE!</v>
      </c>
      <c r="CJ49" s="65" t="e">
        <f t="shared" si="86"/>
        <v>#VALUE!</v>
      </c>
      <c r="CK49" s="65" t="e">
        <f t="shared" si="86"/>
        <v>#VALUE!</v>
      </c>
      <c r="CL49" s="65" t="e">
        <f t="shared" si="86"/>
        <v>#VALUE!</v>
      </c>
      <c r="CM49" s="65" t="e">
        <f t="shared" si="86"/>
        <v>#VALUE!</v>
      </c>
      <c r="CN49" s="65" t="e">
        <f t="shared" si="86"/>
        <v>#VALUE!</v>
      </c>
      <c r="CO49" s="65" t="e">
        <f t="shared" ref="CO49:CW51" si="87">IF(AND(CO$2&gt;=$F49,CO$2&lt;($F49+$H49)),ROUND($K49/$H49,0),"-")</f>
        <v>#VALUE!</v>
      </c>
      <c r="CP49" s="65" t="e">
        <f t="shared" si="87"/>
        <v>#VALUE!</v>
      </c>
      <c r="CQ49" s="65" t="e">
        <f t="shared" si="87"/>
        <v>#VALUE!</v>
      </c>
      <c r="CR49" s="65" t="e">
        <f t="shared" si="87"/>
        <v>#VALUE!</v>
      </c>
      <c r="CS49" s="65" t="e">
        <f t="shared" si="87"/>
        <v>#VALUE!</v>
      </c>
      <c r="CT49" s="65" t="e">
        <f t="shared" si="87"/>
        <v>#VALUE!</v>
      </c>
      <c r="CU49" s="65" t="e">
        <f t="shared" si="87"/>
        <v>#VALUE!</v>
      </c>
      <c r="CV49" s="65" t="e">
        <f t="shared" si="87"/>
        <v>#VALUE!</v>
      </c>
      <c r="CW49" s="65" t="e">
        <f t="shared" si="87"/>
        <v>#VALUE!</v>
      </c>
    </row>
    <row r="50" spans="1:101">
      <c r="B50" s="109" t="s">
        <v>99</v>
      </c>
      <c r="C50" s="101">
        <v>768</v>
      </c>
      <c r="D50" s="258">
        <f>SUM('[1]Electrical Work'!$G$446:$G$451)</f>
        <v>810</v>
      </c>
      <c r="E50" s="258">
        <f>C50-D50</f>
        <v>-42</v>
      </c>
      <c r="F50" s="162" t="str">
        <f>F49</f>
        <v>30 Jun
04 Jul
09 Jul</v>
      </c>
      <c r="G50" s="162" t="e">
        <f>G49</f>
        <v>#VALUE!</v>
      </c>
      <c r="H50" s="65" t="e">
        <f>G50-F50</f>
        <v>#VALUE!</v>
      </c>
      <c r="I50" s="259">
        <v>30</v>
      </c>
      <c r="J50" s="259">
        <v>18</v>
      </c>
      <c r="K50" s="102">
        <f>(E50*J50)/I50</f>
        <v>-25.2</v>
      </c>
      <c r="L50" s="505"/>
      <c r="M50" s="65" t="e">
        <f t="shared" si="79"/>
        <v>#VALUE!</v>
      </c>
      <c r="N50" s="65" t="e">
        <f t="shared" si="79"/>
        <v>#VALUE!</v>
      </c>
      <c r="O50" s="65" t="e">
        <f t="shared" si="79"/>
        <v>#VALUE!</v>
      </c>
      <c r="P50" s="65" t="e">
        <f t="shared" si="79"/>
        <v>#VALUE!</v>
      </c>
      <c r="Q50" s="65" t="e">
        <f t="shared" si="79"/>
        <v>#VALUE!</v>
      </c>
      <c r="R50" s="65" t="e">
        <f t="shared" si="79"/>
        <v>#VALUE!</v>
      </c>
      <c r="S50" s="65" t="e">
        <f t="shared" si="79"/>
        <v>#VALUE!</v>
      </c>
      <c r="T50" s="65" t="e">
        <f t="shared" si="79"/>
        <v>#VALUE!</v>
      </c>
      <c r="U50" s="65" t="e">
        <f t="shared" si="79"/>
        <v>#VALUE!</v>
      </c>
      <c r="V50" s="65" t="e">
        <f t="shared" si="79"/>
        <v>#VALUE!</v>
      </c>
      <c r="W50" s="65" t="e">
        <f t="shared" si="80"/>
        <v>#VALUE!</v>
      </c>
      <c r="X50" s="65" t="e">
        <f t="shared" si="80"/>
        <v>#VALUE!</v>
      </c>
      <c r="Y50" s="65" t="e">
        <f t="shared" si="80"/>
        <v>#VALUE!</v>
      </c>
      <c r="Z50" s="65" t="e">
        <f t="shared" si="80"/>
        <v>#VALUE!</v>
      </c>
      <c r="AA50" s="65" t="e">
        <f t="shared" si="80"/>
        <v>#VALUE!</v>
      </c>
      <c r="AB50" s="65" t="e">
        <f t="shared" si="80"/>
        <v>#VALUE!</v>
      </c>
      <c r="AC50" s="65" t="e">
        <f t="shared" si="80"/>
        <v>#VALUE!</v>
      </c>
      <c r="AD50" s="65" t="e">
        <f t="shared" si="80"/>
        <v>#VALUE!</v>
      </c>
      <c r="AE50" s="65" t="e">
        <f t="shared" si="80"/>
        <v>#VALUE!</v>
      </c>
      <c r="AF50" s="65" t="e">
        <f t="shared" si="80"/>
        <v>#VALUE!</v>
      </c>
      <c r="AG50" s="65" t="e">
        <f t="shared" si="81"/>
        <v>#VALUE!</v>
      </c>
      <c r="AH50" s="65" t="e">
        <f t="shared" si="81"/>
        <v>#VALUE!</v>
      </c>
      <c r="AI50" s="65" t="e">
        <f t="shared" si="81"/>
        <v>#VALUE!</v>
      </c>
      <c r="AJ50" s="65" t="e">
        <f t="shared" si="81"/>
        <v>#VALUE!</v>
      </c>
      <c r="AK50" s="65" t="e">
        <f t="shared" si="81"/>
        <v>#VALUE!</v>
      </c>
      <c r="AL50" s="65" t="e">
        <f t="shared" si="81"/>
        <v>#VALUE!</v>
      </c>
      <c r="AM50" s="65" t="e">
        <f t="shared" si="81"/>
        <v>#VALUE!</v>
      </c>
      <c r="AN50" s="65" t="e">
        <f t="shared" si="81"/>
        <v>#VALUE!</v>
      </c>
      <c r="AO50" s="65" t="e">
        <f t="shared" si="81"/>
        <v>#VALUE!</v>
      </c>
      <c r="AP50" s="65" t="e">
        <f t="shared" si="81"/>
        <v>#VALUE!</v>
      </c>
      <c r="AQ50" s="65" t="e">
        <f t="shared" si="82"/>
        <v>#VALUE!</v>
      </c>
      <c r="AR50" s="65" t="e">
        <f t="shared" si="82"/>
        <v>#VALUE!</v>
      </c>
      <c r="AS50" s="65" t="e">
        <f t="shared" si="82"/>
        <v>#VALUE!</v>
      </c>
      <c r="AT50" s="65" t="e">
        <f t="shared" si="82"/>
        <v>#VALUE!</v>
      </c>
      <c r="AU50" s="65" t="e">
        <f t="shared" si="82"/>
        <v>#VALUE!</v>
      </c>
      <c r="AV50" s="65" t="e">
        <f t="shared" si="82"/>
        <v>#VALUE!</v>
      </c>
      <c r="AW50" s="65" t="e">
        <f t="shared" si="82"/>
        <v>#VALUE!</v>
      </c>
      <c r="AX50" s="65" t="e">
        <f t="shared" si="82"/>
        <v>#VALUE!</v>
      </c>
      <c r="AY50" s="65" t="e">
        <f t="shared" si="82"/>
        <v>#VALUE!</v>
      </c>
      <c r="AZ50" s="65" t="e">
        <f t="shared" si="82"/>
        <v>#VALUE!</v>
      </c>
      <c r="BA50" s="65" t="e">
        <f t="shared" si="83"/>
        <v>#VALUE!</v>
      </c>
      <c r="BB50" s="65" t="e">
        <f t="shared" si="83"/>
        <v>#VALUE!</v>
      </c>
      <c r="BC50" s="65" t="e">
        <f t="shared" si="83"/>
        <v>#VALUE!</v>
      </c>
      <c r="BD50" s="65" t="e">
        <f t="shared" si="83"/>
        <v>#VALUE!</v>
      </c>
      <c r="BE50" s="65" t="e">
        <f t="shared" si="83"/>
        <v>#VALUE!</v>
      </c>
      <c r="BF50" s="65" t="e">
        <f t="shared" si="83"/>
        <v>#VALUE!</v>
      </c>
      <c r="BG50" s="65" t="e">
        <f t="shared" si="83"/>
        <v>#VALUE!</v>
      </c>
      <c r="BH50" s="65" t="e">
        <f t="shared" si="83"/>
        <v>#VALUE!</v>
      </c>
      <c r="BI50" s="65" t="e">
        <f t="shared" si="83"/>
        <v>#VALUE!</v>
      </c>
      <c r="BJ50" s="65" t="e">
        <f t="shared" si="83"/>
        <v>#VALUE!</v>
      </c>
      <c r="BK50" s="65" t="e">
        <f t="shared" si="84"/>
        <v>#VALUE!</v>
      </c>
      <c r="BL50" s="65" t="e">
        <f t="shared" si="84"/>
        <v>#VALUE!</v>
      </c>
      <c r="BM50" s="65" t="e">
        <f t="shared" si="84"/>
        <v>#VALUE!</v>
      </c>
      <c r="BN50" s="65" t="e">
        <f t="shared" si="84"/>
        <v>#VALUE!</v>
      </c>
      <c r="BO50" s="65" t="e">
        <f t="shared" si="84"/>
        <v>#VALUE!</v>
      </c>
      <c r="BP50" s="65" t="e">
        <f t="shared" si="84"/>
        <v>#VALUE!</v>
      </c>
      <c r="BQ50" s="65" t="e">
        <f t="shared" si="84"/>
        <v>#VALUE!</v>
      </c>
      <c r="BR50" s="65" t="e">
        <f t="shared" si="84"/>
        <v>#VALUE!</v>
      </c>
      <c r="BS50" s="65" t="e">
        <f t="shared" si="84"/>
        <v>#VALUE!</v>
      </c>
      <c r="BT50" s="65" t="e">
        <f t="shared" si="84"/>
        <v>#VALUE!</v>
      </c>
      <c r="BU50" s="65" t="e">
        <f t="shared" si="85"/>
        <v>#VALUE!</v>
      </c>
      <c r="BV50" s="65" t="e">
        <f t="shared" si="85"/>
        <v>#VALUE!</v>
      </c>
      <c r="BW50" s="65" t="e">
        <f t="shared" si="85"/>
        <v>#VALUE!</v>
      </c>
      <c r="BX50" s="65" t="e">
        <f t="shared" si="85"/>
        <v>#VALUE!</v>
      </c>
      <c r="BY50" s="65" t="e">
        <f t="shared" si="85"/>
        <v>#VALUE!</v>
      </c>
      <c r="BZ50" s="65" t="e">
        <f t="shared" si="85"/>
        <v>#VALUE!</v>
      </c>
      <c r="CA50" s="65" t="e">
        <f t="shared" si="85"/>
        <v>#VALUE!</v>
      </c>
      <c r="CB50" s="65" t="e">
        <f t="shared" si="85"/>
        <v>#VALUE!</v>
      </c>
      <c r="CC50" s="65" t="e">
        <f t="shared" si="85"/>
        <v>#VALUE!</v>
      </c>
      <c r="CD50" s="65" t="e">
        <f t="shared" si="85"/>
        <v>#VALUE!</v>
      </c>
      <c r="CE50" s="65" t="e">
        <f t="shared" si="86"/>
        <v>#VALUE!</v>
      </c>
      <c r="CF50" s="65" t="e">
        <f t="shared" si="86"/>
        <v>#VALUE!</v>
      </c>
      <c r="CG50" s="65" t="e">
        <f t="shared" si="86"/>
        <v>#VALUE!</v>
      </c>
      <c r="CH50" s="65" t="e">
        <f t="shared" si="86"/>
        <v>#VALUE!</v>
      </c>
      <c r="CI50" s="65" t="e">
        <f t="shared" si="86"/>
        <v>#VALUE!</v>
      </c>
      <c r="CJ50" s="65" t="e">
        <f t="shared" si="86"/>
        <v>#VALUE!</v>
      </c>
      <c r="CK50" s="65" t="e">
        <f t="shared" si="86"/>
        <v>#VALUE!</v>
      </c>
      <c r="CL50" s="65" t="e">
        <f t="shared" si="86"/>
        <v>#VALUE!</v>
      </c>
      <c r="CM50" s="65" t="e">
        <f t="shared" si="86"/>
        <v>#VALUE!</v>
      </c>
      <c r="CN50" s="65" t="e">
        <f t="shared" si="86"/>
        <v>#VALUE!</v>
      </c>
      <c r="CO50" s="65" t="e">
        <f t="shared" si="87"/>
        <v>#VALUE!</v>
      </c>
      <c r="CP50" s="65" t="e">
        <f t="shared" si="87"/>
        <v>#VALUE!</v>
      </c>
      <c r="CQ50" s="65" t="e">
        <f t="shared" si="87"/>
        <v>#VALUE!</v>
      </c>
      <c r="CR50" s="65" t="e">
        <f t="shared" si="87"/>
        <v>#VALUE!</v>
      </c>
      <c r="CS50" s="65" t="e">
        <f t="shared" si="87"/>
        <v>#VALUE!</v>
      </c>
      <c r="CT50" s="65" t="e">
        <f t="shared" si="87"/>
        <v>#VALUE!</v>
      </c>
      <c r="CU50" s="65" t="e">
        <f t="shared" si="87"/>
        <v>#VALUE!</v>
      </c>
      <c r="CV50" s="65" t="e">
        <f t="shared" si="87"/>
        <v>#VALUE!</v>
      </c>
      <c r="CW50" s="65" t="e">
        <f t="shared" si="87"/>
        <v>#VALUE!</v>
      </c>
    </row>
    <row r="51" spans="1:101">
      <c r="B51" s="109" t="s">
        <v>100</v>
      </c>
      <c r="C51" s="101">
        <v>1344</v>
      </c>
      <c r="D51" s="101">
        <v>0</v>
      </c>
      <c r="E51" s="258">
        <f>C51-D51</f>
        <v>1344</v>
      </c>
      <c r="F51" s="162" t="str">
        <f>F50</f>
        <v>30 Jun
04 Jul
09 Jul</v>
      </c>
      <c r="G51" s="162" t="e">
        <f>G50</f>
        <v>#VALUE!</v>
      </c>
      <c r="H51" s="65" t="e">
        <f>H50</f>
        <v>#VALUE!</v>
      </c>
      <c r="I51" s="101">
        <v>30</v>
      </c>
      <c r="J51" s="101">
        <v>6</v>
      </c>
      <c r="K51" s="102">
        <f>(E51*J51)/I51</f>
        <v>268.8</v>
      </c>
      <c r="L51" s="505"/>
      <c r="M51" s="65" t="e">
        <f t="shared" si="79"/>
        <v>#VALUE!</v>
      </c>
      <c r="N51" s="65" t="e">
        <f t="shared" si="79"/>
        <v>#VALUE!</v>
      </c>
      <c r="O51" s="65" t="e">
        <f t="shared" si="79"/>
        <v>#VALUE!</v>
      </c>
      <c r="P51" s="65" t="e">
        <f t="shared" si="79"/>
        <v>#VALUE!</v>
      </c>
      <c r="Q51" s="65" t="e">
        <f t="shared" si="79"/>
        <v>#VALUE!</v>
      </c>
      <c r="R51" s="65" t="e">
        <f t="shared" si="79"/>
        <v>#VALUE!</v>
      </c>
      <c r="S51" s="65" t="e">
        <f t="shared" si="79"/>
        <v>#VALUE!</v>
      </c>
      <c r="T51" s="65" t="e">
        <f t="shared" si="79"/>
        <v>#VALUE!</v>
      </c>
      <c r="U51" s="65" t="e">
        <f t="shared" si="79"/>
        <v>#VALUE!</v>
      </c>
      <c r="V51" s="65" t="e">
        <f t="shared" si="79"/>
        <v>#VALUE!</v>
      </c>
      <c r="W51" s="65" t="e">
        <f t="shared" si="80"/>
        <v>#VALUE!</v>
      </c>
      <c r="X51" s="65" t="e">
        <f t="shared" si="80"/>
        <v>#VALUE!</v>
      </c>
      <c r="Y51" s="65" t="e">
        <f t="shared" si="80"/>
        <v>#VALUE!</v>
      </c>
      <c r="Z51" s="65" t="e">
        <f t="shared" si="80"/>
        <v>#VALUE!</v>
      </c>
      <c r="AA51" s="65" t="e">
        <f t="shared" si="80"/>
        <v>#VALUE!</v>
      </c>
      <c r="AB51" s="65" t="e">
        <f t="shared" si="80"/>
        <v>#VALUE!</v>
      </c>
      <c r="AC51" s="65" t="e">
        <f t="shared" si="80"/>
        <v>#VALUE!</v>
      </c>
      <c r="AD51" s="65" t="e">
        <f t="shared" si="80"/>
        <v>#VALUE!</v>
      </c>
      <c r="AE51" s="65" t="e">
        <f t="shared" si="80"/>
        <v>#VALUE!</v>
      </c>
      <c r="AF51" s="65" t="e">
        <f t="shared" si="80"/>
        <v>#VALUE!</v>
      </c>
      <c r="AG51" s="65" t="e">
        <f t="shared" si="81"/>
        <v>#VALUE!</v>
      </c>
      <c r="AH51" s="65" t="e">
        <f t="shared" si="81"/>
        <v>#VALUE!</v>
      </c>
      <c r="AI51" s="65" t="e">
        <f t="shared" si="81"/>
        <v>#VALUE!</v>
      </c>
      <c r="AJ51" s="65" t="e">
        <f t="shared" si="81"/>
        <v>#VALUE!</v>
      </c>
      <c r="AK51" s="65" t="e">
        <f t="shared" si="81"/>
        <v>#VALUE!</v>
      </c>
      <c r="AL51" s="65" t="e">
        <f t="shared" si="81"/>
        <v>#VALUE!</v>
      </c>
      <c r="AM51" s="65" t="e">
        <f t="shared" si="81"/>
        <v>#VALUE!</v>
      </c>
      <c r="AN51" s="65" t="e">
        <f t="shared" si="81"/>
        <v>#VALUE!</v>
      </c>
      <c r="AO51" s="65" t="e">
        <f t="shared" si="81"/>
        <v>#VALUE!</v>
      </c>
      <c r="AP51" s="65" t="e">
        <f t="shared" si="81"/>
        <v>#VALUE!</v>
      </c>
      <c r="AQ51" s="65" t="e">
        <f t="shared" si="82"/>
        <v>#VALUE!</v>
      </c>
      <c r="AR51" s="65" t="e">
        <f t="shared" si="82"/>
        <v>#VALUE!</v>
      </c>
      <c r="AS51" s="65" t="e">
        <f t="shared" si="82"/>
        <v>#VALUE!</v>
      </c>
      <c r="AT51" s="65" t="e">
        <f t="shared" si="82"/>
        <v>#VALUE!</v>
      </c>
      <c r="AU51" s="65" t="e">
        <f t="shared" si="82"/>
        <v>#VALUE!</v>
      </c>
      <c r="AV51" s="65" t="e">
        <f t="shared" si="82"/>
        <v>#VALUE!</v>
      </c>
      <c r="AW51" s="65" t="e">
        <f t="shared" si="82"/>
        <v>#VALUE!</v>
      </c>
      <c r="AX51" s="65" t="e">
        <f t="shared" si="82"/>
        <v>#VALUE!</v>
      </c>
      <c r="AY51" s="65" t="e">
        <f t="shared" si="82"/>
        <v>#VALUE!</v>
      </c>
      <c r="AZ51" s="65" t="e">
        <f t="shared" si="82"/>
        <v>#VALUE!</v>
      </c>
      <c r="BA51" s="65" t="e">
        <f t="shared" si="83"/>
        <v>#VALUE!</v>
      </c>
      <c r="BB51" s="65" t="e">
        <f t="shared" si="83"/>
        <v>#VALUE!</v>
      </c>
      <c r="BC51" s="65" t="e">
        <f t="shared" si="83"/>
        <v>#VALUE!</v>
      </c>
      <c r="BD51" s="65" t="e">
        <f t="shared" si="83"/>
        <v>#VALUE!</v>
      </c>
      <c r="BE51" s="65" t="e">
        <f t="shared" si="83"/>
        <v>#VALUE!</v>
      </c>
      <c r="BF51" s="65" t="e">
        <f t="shared" si="83"/>
        <v>#VALUE!</v>
      </c>
      <c r="BG51" s="65" t="e">
        <f t="shared" si="83"/>
        <v>#VALUE!</v>
      </c>
      <c r="BH51" s="65" t="e">
        <f t="shared" si="83"/>
        <v>#VALUE!</v>
      </c>
      <c r="BI51" s="65" t="e">
        <f t="shared" si="83"/>
        <v>#VALUE!</v>
      </c>
      <c r="BJ51" s="65" t="e">
        <f t="shared" si="83"/>
        <v>#VALUE!</v>
      </c>
      <c r="BK51" s="65" t="e">
        <f t="shared" si="84"/>
        <v>#VALUE!</v>
      </c>
      <c r="BL51" s="65" t="e">
        <f t="shared" si="84"/>
        <v>#VALUE!</v>
      </c>
      <c r="BM51" s="65" t="e">
        <f t="shared" si="84"/>
        <v>#VALUE!</v>
      </c>
      <c r="BN51" s="65" t="e">
        <f t="shared" si="84"/>
        <v>#VALUE!</v>
      </c>
      <c r="BO51" s="65" t="e">
        <f t="shared" si="84"/>
        <v>#VALUE!</v>
      </c>
      <c r="BP51" s="65" t="e">
        <f t="shared" si="84"/>
        <v>#VALUE!</v>
      </c>
      <c r="BQ51" s="65" t="e">
        <f t="shared" si="84"/>
        <v>#VALUE!</v>
      </c>
      <c r="BR51" s="65" t="e">
        <f t="shared" si="84"/>
        <v>#VALUE!</v>
      </c>
      <c r="BS51" s="65" t="e">
        <f t="shared" si="84"/>
        <v>#VALUE!</v>
      </c>
      <c r="BT51" s="65" t="e">
        <f t="shared" si="84"/>
        <v>#VALUE!</v>
      </c>
      <c r="BU51" s="65" t="e">
        <f t="shared" si="85"/>
        <v>#VALUE!</v>
      </c>
      <c r="BV51" s="65" t="e">
        <f t="shared" si="85"/>
        <v>#VALUE!</v>
      </c>
      <c r="BW51" s="65" t="e">
        <f t="shared" si="85"/>
        <v>#VALUE!</v>
      </c>
      <c r="BX51" s="65" t="e">
        <f t="shared" si="85"/>
        <v>#VALUE!</v>
      </c>
      <c r="BY51" s="65" t="e">
        <f t="shared" si="85"/>
        <v>#VALUE!</v>
      </c>
      <c r="BZ51" s="65" t="e">
        <f t="shared" si="85"/>
        <v>#VALUE!</v>
      </c>
      <c r="CA51" s="65" t="e">
        <f t="shared" si="85"/>
        <v>#VALUE!</v>
      </c>
      <c r="CB51" s="65" t="e">
        <f t="shared" si="85"/>
        <v>#VALUE!</v>
      </c>
      <c r="CC51" s="65" t="e">
        <f t="shared" si="85"/>
        <v>#VALUE!</v>
      </c>
      <c r="CD51" s="65" t="e">
        <f t="shared" si="85"/>
        <v>#VALUE!</v>
      </c>
      <c r="CE51" s="65" t="e">
        <f t="shared" si="86"/>
        <v>#VALUE!</v>
      </c>
      <c r="CF51" s="65" t="e">
        <f t="shared" si="86"/>
        <v>#VALUE!</v>
      </c>
      <c r="CG51" s="65" t="e">
        <f t="shared" si="86"/>
        <v>#VALUE!</v>
      </c>
      <c r="CH51" s="65" t="e">
        <f t="shared" si="86"/>
        <v>#VALUE!</v>
      </c>
      <c r="CI51" s="65" t="e">
        <f t="shared" si="86"/>
        <v>#VALUE!</v>
      </c>
      <c r="CJ51" s="65" t="e">
        <f t="shared" si="86"/>
        <v>#VALUE!</v>
      </c>
      <c r="CK51" s="65" t="e">
        <f t="shared" si="86"/>
        <v>#VALUE!</v>
      </c>
      <c r="CL51" s="65" t="e">
        <f t="shared" si="86"/>
        <v>#VALUE!</v>
      </c>
      <c r="CM51" s="65" t="e">
        <f t="shared" si="86"/>
        <v>#VALUE!</v>
      </c>
      <c r="CN51" s="65" t="e">
        <f t="shared" si="86"/>
        <v>#VALUE!</v>
      </c>
      <c r="CO51" s="65" t="e">
        <f t="shared" si="87"/>
        <v>#VALUE!</v>
      </c>
      <c r="CP51" s="65" t="e">
        <f t="shared" si="87"/>
        <v>#VALUE!</v>
      </c>
      <c r="CQ51" s="65" t="e">
        <f t="shared" si="87"/>
        <v>#VALUE!</v>
      </c>
      <c r="CR51" s="65" t="e">
        <f t="shared" si="87"/>
        <v>#VALUE!</v>
      </c>
      <c r="CS51" s="65" t="e">
        <f t="shared" si="87"/>
        <v>#VALUE!</v>
      </c>
      <c r="CT51" s="65" t="e">
        <f t="shared" si="87"/>
        <v>#VALUE!</v>
      </c>
      <c r="CU51" s="65" t="e">
        <f t="shared" si="87"/>
        <v>#VALUE!</v>
      </c>
      <c r="CV51" s="65" t="e">
        <f t="shared" si="87"/>
        <v>#VALUE!</v>
      </c>
      <c r="CW51" s="65" t="e">
        <f t="shared" si="87"/>
        <v>#VALUE!</v>
      </c>
    </row>
    <row r="53" spans="1:101">
      <c r="B53" s="109" t="s">
        <v>91</v>
      </c>
      <c r="C53" s="109" t="s">
        <v>92</v>
      </c>
      <c r="D53" s="109" t="s">
        <v>93</v>
      </c>
      <c r="E53" s="109" t="s">
        <v>94</v>
      </c>
      <c r="F53" s="109" t="s">
        <v>78</v>
      </c>
      <c r="G53" s="109" t="s">
        <v>79</v>
      </c>
      <c r="H53" s="109" t="s">
        <v>59</v>
      </c>
      <c r="I53" s="109" t="s">
        <v>95</v>
      </c>
      <c r="J53" s="109" t="s">
        <v>96</v>
      </c>
      <c r="K53" s="109" t="s">
        <v>97</v>
      </c>
      <c r="L53" s="109" t="s">
        <v>80</v>
      </c>
      <c r="M53" s="260">
        <v>46201</v>
      </c>
      <c r="N53" s="260">
        <v>46202</v>
      </c>
      <c r="O53" s="260">
        <v>46203</v>
      </c>
      <c r="P53" s="260">
        <v>46204</v>
      </c>
      <c r="Q53" s="260">
        <v>46205</v>
      </c>
      <c r="R53" s="260">
        <v>46206</v>
      </c>
      <c r="S53" s="260">
        <v>46207</v>
      </c>
      <c r="T53" s="260">
        <v>46208</v>
      </c>
      <c r="U53" s="260">
        <v>46209</v>
      </c>
      <c r="V53" s="260">
        <v>46210</v>
      </c>
      <c r="W53" s="260">
        <v>46211</v>
      </c>
      <c r="X53" s="260">
        <v>46212</v>
      </c>
      <c r="Y53" s="260">
        <v>46213</v>
      </c>
      <c r="Z53" s="260">
        <v>46214</v>
      </c>
      <c r="AA53" s="260">
        <v>46215</v>
      </c>
      <c r="AB53" s="260">
        <v>46216</v>
      </c>
      <c r="AC53" s="260">
        <v>46217</v>
      </c>
      <c r="AD53" s="260">
        <v>46218</v>
      </c>
      <c r="AE53" s="260">
        <v>46219</v>
      </c>
      <c r="AF53" s="260">
        <v>46220</v>
      </c>
      <c r="AG53" s="260">
        <v>46221</v>
      </c>
      <c r="AH53" s="260">
        <v>46222</v>
      </c>
      <c r="AI53" s="260">
        <v>46223</v>
      </c>
      <c r="AJ53" s="260">
        <v>46224</v>
      </c>
      <c r="AK53" s="260">
        <v>46225</v>
      </c>
      <c r="AL53" s="260">
        <v>46226</v>
      </c>
      <c r="AM53" s="260">
        <v>46227</v>
      </c>
      <c r="AN53" s="260">
        <v>46228</v>
      </c>
      <c r="AO53" s="260">
        <v>46229</v>
      </c>
      <c r="AP53" s="260">
        <v>46230</v>
      </c>
      <c r="AQ53" s="260">
        <v>46231</v>
      </c>
      <c r="AR53" s="260">
        <v>46232</v>
      </c>
      <c r="AS53" s="260">
        <v>46233</v>
      </c>
      <c r="AT53" s="260">
        <v>46234</v>
      </c>
      <c r="AU53" s="260">
        <v>46235</v>
      </c>
      <c r="AV53" s="260">
        <v>46236</v>
      </c>
      <c r="AW53" s="260">
        <v>46237</v>
      </c>
      <c r="AX53" s="260">
        <v>46238</v>
      </c>
      <c r="AY53" s="260">
        <v>46239</v>
      </c>
      <c r="AZ53" s="260">
        <v>46240</v>
      </c>
      <c r="BA53" s="260">
        <v>46241</v>
      </c>
      <c r="BB53" s="260">
        <v>46242</v>
      </c>
      <c r="BC53" s="260">
        <v>46243</v>
      </c>
      <c r="BD53" s="260">
        <v>46244</v>
      </c>
      <c r="BE53" s="260">
        <v>46245</v>
      </c>
      <c r="BF53" s="260">
        <v>46246</v>
      </c>
      <c r="BG53" s="260">
        <v>46247</v>
      </c>
      <c r="BH53" s="260">
        <v>46248</v>
      </c>
      <c r="BI53" s="260">
        <v>46249</v>
      </c>
      <c r="BJ53" s="260">
        <v>46250</v>
      </c>
      <c r="BK53" s="260">
        <v>46251</v>
      </c>
      <c r="BL53" s="260">
        <v>46252</v>
      </c>
      <c r="BM53" s="260">
        <v>46253</v>
      </c>
      <c r="BN53" s="260">
        <v>46254</v>
      </c>
      <c r="BO53" s="260">
        <v>46255</v>
      </c>
      <c r="BP53" s="260">
        <v>46256</v>
      </c>
      <c r="BQ53" s="260">
        <v>46257</v>
      </c>
      <c r="BR53" s="260">
        <v>46258</v>
      </c>
      <c r="BS53" s="260">
        <v>46259</v>
      </c>
      <c r="BT53" s="260">
        <v>46260</v>
      </c>
      <c r="BU53" s="260">
        <v>46261</v>
      </c>
      <c r="BV53" s="260">
        <v>46262</v>
      </c>
      <c r="BW53" s="260">
        <v>46263</v>
      </c>
      <c r="BX53" s="260">
        <v>46264</v>
      </c>
      <c r="BY53" s="260">
        <v>46265</v>
      </c>
      <c r="BZ53" s="260">
        <v>46266</v>
      </c>
      <c r="CA53" s="260">
        <v>46267</v>
      </c>
      <c r="CB53" s="260">
        <v>46268</v>
      </c>
      <c r="CC53" s="260">
        <v>46269</v>
      </c>
      <c r="CD53" s="260">
        <v>46270</v>
      </c>
      <c r="CE53" s="260">
        <v>46271</v>
      </c>
      <c r="CF53" s="260">
        <v>46272</v>
      </c>
      <c r="CG53" s="260">
        <v>46273</v>
      </c>
      <c r="CH53" s="260">
        <v>46274</v>
      </c>
      <c r="CI53" s="260">
        <v>46275</v>
      </c>
      <c r="CJ53" s="260">
        <v>46276</v>
      </c>
      <c r="CK53" s="260">
        <v>46277</v>
      </c>
      <c r="CL53" s="260">
        <v>46278</v>
      </c>
      <c r="CM53" s="260">
        <v>46279</v>
      </c>
      <c r="CN53" s="260">
        <v>46280</v>
      </c>
      <c r="CO53" s="260">
        <v>46281</v>
      </c>
      <c r="CP53" s="260">
        <v>46282</v>
      </c>
      <c r="CQ53" s="260">
        <v>46283</v>
      </c>
      <c r="CR53" s="260">
        <v>46284</v>
      </c>
      <c r="CS53" s="260">
        <v>46285</v>
      </c>
      <c r="CT53" s="260">
        <v>46286</v>
      </c>
      <c r="CU53" s="260">
        <v>46287</v>
      </c>
      <c r="CV53" s="260">
        <v>46288</v>
      </c>
      <c r="CW53" s="260">
        <v>46289</v>
      </c>
    </row>
    <row r="54" spans="1:101">
      <c r="A54" t="s">
        <v>102</v>
      </c>
      <c r="B54" s="138" t="s">
        <v>21</v>
      </c>
      <c r="C54" s="101">
        <v>48</v>
      </c>
      <c r="D54" s="102">
        <v>0</v>
      </c>
      <c r="E54" s="258">
        <f>C54-D54</f>
        <v>48</v>
      </c>
      <c r="F54" s="165" t="str">
        <f>'BESS 12'!D96</f>
        <v>04 Jul,
07 Jul
10 Jul
14 Jul</v>
      </c>
      <c r="G54" s="165" t="e">
        <f>F54+4</f>
        <v>#VALUE!</v>
      </c>
      <c r="H54" s="65" t="e">
        <f>G54-F54</f>
        <v>#VALUE!</v>
      </c>
      <c r="I54" s="96">
        <v>10</v>
      </c>
      <c r="J54" s="93">
        <v>1</v>
      </c>
      <c r="K54" s="94">
        <f>(E54*J54)/I54</f>
        <v>4.8</v>
      </c>
      <c r="L54" s="505" t="e">
        <f>AVERAGEIF(M54:CW56,"&gt;0")</f>
        <v>#DIV/0!</v>
      </c>
      <c r="M54" s="65" t="e">
        <f t="shared" ref="M54:V56" si="88">IF(AND(M$2&gt;=$F54,M$2&lt;($F54+$H54)),ROUND($K54/$H54,0),"-")</f>
        <v>#VALUE!</v>
      </c>
      <c r="N54" s="65" t="e">
        <f t="shared" si="88"/>
        <v>#VALUE!</v>
      </c>
      <c r="O54" s="65" t="e">
        <f t="shared" si="88"/>
        <v>#VALUE!</v>
      </c>
      <c r="P54" s="65" t="e">
        <f t="shared" si="88"/>
        <v>#VALUE!</v>
      </c>
      <c r="Q54" s="65" t="e">
        <f t="shared" si="88"/>
        <v>#VALUE!</v>
      </c>
      <c r="R54" s="65" t="e">
        <f t="shared" si="88"/>
        <v>#VALUE!</v>
      </c>
      <c r="S54" s="65" t="e">
        <f t="shared" si="88"/>
        <v>#VALUE!</v>
      </c>
      <c r="T54" s="65" t="e">
        <f t="shared" si="88"/>
        <v>#VALUE!</v>
      </c>
      <c r="U54" s="65" t="e">
        <f t="shared" si="88"/>
        <v>#VALUE!</v>
      </c>
      <c r="V54" s="65" t="e">
        <f t="shared" si="88"/>
        <v>#VALUE!</v>
      </c>
      <c r="W54" s="65" t="e">
        <f t="shared" ref="W54:AF56" si="89">IF(AND(W$2&gt;=$F54,W$2&lt;($F54+$H54)),ROUND($K54/$H54,0),"-")</f>
        <v>#VALUE!</v>
      </c>
      <c r="X54" s="65" t="e">
        <f t="shared" si="89"/>
        <v>#VALUE!</v>
      </c>
      <c r="Y54" s="65" t="e">
        <f t="shared" si="89"/>
        <v>#VALUE!</v>
      </c>
      <c r="Z54" s="65" t="e">
        <f t="shared" si="89"/>
        <v>#VALUE!</v>
      </c>
      <c r="AA54" s="65" t="e">
        <f t="shared" si="89"/>
        <v>#VALUE!</v>
      </c>
      <c r="AB54" s="65" t="e">
        <f t="shared" si="89"/>
        <v>#VALUE!</v>
      </c>
      <c r="AC54" s="65" t="e">
        <f t="shared" si="89"/>
        <v>#VALUE!</v>
      </c>
      <c r="AD54" s="65" t="e">
        <f t="shared" si="89"/>
        <v>#VALUE!</v>
      </c>
      <c r="AE54" s="65" t="e">
        <f t="shared" si="89"/>
        <v>#VALUE!</v>
      </c>
      <c r="AF54" s="65" t="e">
        <f t="shared" si="89"/>
        <v>#VALUE!</v>
      </c>
      <c r="AG54" s="65" t="e">
        <f t="shared" ref="AG54:AP56" si="90">IF(AND(AG$2&gt;=$F54,AG$2&lt;($F54+$H54)),ROUND($K54/$H54,0),"-")</f>
        <v>#VALUE!</v>
      </c>
      <c r="AH54" s="65" t="e">
        <f t="shared" si="90"/>
        <v>#VALUE!</v>
      </c>
      <c r="AI54" s="65" t="e">
        <f t="shared" si="90"/>
        <v>#VALUE!</v>
      </c>
      <c r="AJ54" s="65" t="e">
        <f t="shared" si="90"/>
        <v>#VALUE!</v>
      </c>
      <c r="AK54" s="65" t="e">
        <f t="shared" si="90"/>
        <v>#VALUE!</v>
      </c>
      <c r="AL54" s="65" t="e">
        <f t="shared" si="90"/>
        <v>#VALUE!</v>
      </c>
      <c r="AM54" s="65" t="e">
        <f t="shared" si="90"/>
        <v>#VALUE!</v>
      </c>
      <c r="AN54" s="65" t="e">
        <f t="shared" si="90"/>
        <v>#VALUE!</v>
      </c>
      <c r="AO54" s="65" t="e">
        <f t="shared" si="90"/>
        <v>#VALUE!</v>
      </c>
      <c r="AP54" s="65" t="e">
        <f t="shared" si="90"/>
        <v>#VALUE!</v>
      </c>
      <c r="AQ54" s="65" t="e">
        <f t="shared" ref="AQ54:AZ56" si="91">IF(AND(AQ$2&gt;=$F54,AQ$2&lt;($F54+$H54)),ROUND($K54/$H54,0),"-")</f>
        <v>#VALUE!</v>
      </c>
      <c r="AR54" s="65" t="e">
        <f t="shared" si="91"/>
        <v>#VALUE!</v>
      </c>
      <c r="AS54" s="65" t="e">
        <f t="shared" si="91"/>
        <v>#VALUE!</v>
      </c>
      <c r="AT54" s="65" t="e">
        <f t="shared" si="91"/>
        <v>#VALUE!</v>
      </c>
      <c r="AU54" s="65" t="e">
        <f t="shared" si="91"/>
        <v>#VALUE!</v>
      </c>
      <c r="AV54" s="65" t="e">
        <f t="shared" si="91"/>
        <v>#VALUE!</v>
      </c>
      <c r="AW54" s="65" t="e">
        <f t="shared" si="91"/>
        <v>#VALUE!</v>
      </c>
      <c r="AX54" s="65" t="e">
        <f t="shared" si="91"/>
        <v>#VALUE!</v>
      </c>
      <c r="AY54" s="65" t="e">
        <f t="shared" si="91"/>
        <v>#VALUE!</v>
      </c>
      <c r="AZ54" s="65" t="e">
        <f t="shared" si="91"/>
        <v>#VALUE!</v>
      </c>
      <c r="BA54" s="65" t="e">
        <f t="shared" ref="BA54:BJ56" si="92">IF(AND(BA$2&gt;=$F54,BA$2&lt;($F54+$H54)),ROUND($K54/$H54,0),"-")</f>
        <v>#VALUE!</v>
      </c>
      <c r="BB54" s="65" t="e">
        <f t="shared" si="92"/>
        <v>#VALUE!</v>
      </c>
      <c r="BC54" s="65" t="e">
        <f t="shared" si="92"/>
        <v>#VALUE!</v>
      </c>
      <c r="BD54" s="65" t="e">
        <f t="shared" si="92"/>
        <v>#VALUE!</v>
      </c>
      <c r="BE54" s="65" t="e">
        <f t="shared" si="92"/>
        <v>#VALUE!</v>
      </c>
      <c r="BF54" s="65" t="e">
        <f t="shared" si="92"/>
        <v>#VALUE!</v>
      </c>
      <c r="BG54" s="65" t="e">
        <f t="shared" si="92"/>
        <v>#VALUE!</v>
      </c>
      <c r="BH54" s="65" t="e">
        <f t="shared" si="92"/>
        <v>#VALUE!</v>
      </c>
      <c r="BI54" s="65" t="e">
        <f t="shared" si="92"/>
        <v>#VALUE!</v>
      </c>
      <c r="BJ54" s="65" t="e">
        <f t="shared" si="92"/>
        <v>#VALUE!</v>
      </c>
      <c r="BK54" s="65" t="e">
        <f t="shared" ref="BK54:BT56" si="93">IF(AND(BK$2&gt;=$F54,BK$2&lt;($F54+$H54)),ROUND($K54/$H54,0),"-")</f>
        <v>#VALUE!</v>
      </c>
      <c r="BL54" s="65" t="e">
        <f t="shared" si="93"/>
        <v>#VALUE!</v>
      </c>
      <c r="BM54" s="65" t="e">
        <f t="shared" si="93"/>
        <v>#VALUE!</v>
      </c>
      <c r="BN54" s="65" t="e">
        <f t="shared" si="93"/>
        <v>#VALUE!</v>
      </c>
      <c r="BO54" s="65" t="e">
        <f t="shared" si="93"/>
        <v>#VALUE!</v>
      </c>
      <c r="BP54" s="65" t="e">
        <f t="shared" si="93"/>
        <v>#VALUE!</v>
      </c>
      <c r="BQ54" s="65" t="e">
        <f t="shared" si="93"/>
        <v>#VALUE!</v>
      </c>
      <c r="BR54" s="65" t="e">
        <f t="shared" si="93"/>
        <v>#VALUE!</v>
      </c>
      <c r="BS54" s="65" t="e">
        <f t="shared" si="93"/>
        <v>#VALUE!</v>
      </c>
      <c r="BT54" s="65" t="e">
        <f t="shared" si="93"/>
        <v>#VALUE!</v>
      </c>
      <c r="BU54" s="65" t="e">
        <f t="shared" ref="BU54:CD56" si="94">IF(AND(BU$2&gt;=$F54,BU$2&lt;($F54+$H54)),ROUND($K54/$H54,0),"-")</f>
        <v>#VALUE!</v>
      </c>
      <c r="BV54" s="65" t="e">
        <f t="shared" si="94"/>
        <v>#VALUE!</v>
      </c>
      <c r="BW54" s="65" t="e">
        <f t="shared" si="94"/>
        <v>#VALUE!</v>
      </c>
      <c r="BX54" s="65" t="e">
        <f t="shared" si="94"/>
        <v>#VALUE!</v>
      </c>
      <c r="BY54" s="65" t="e">
        <f t="shared" si="94"/>
        <v>#VALUE!</v>
      </c>
      <c r="BZ54" s="65" t="e">
        <f t="shared" si="94"/>
        <v>#VALUE!</v>
      </c>
      <c r="CA54" s="65" t="e">
        <f t="shared" si="94"/>
        <v>#VALUE!</v>
      </c>
      <c r="CB54" s="65" t="e">
        <f t="shared" si="94"/>
        <v>#VALUE!</v>
      </c>
      <c r="CC54" s="65" t="e">
        <f t="shared" si="94"/>
        <v>#VALUE!</v>
      </c>
      <c r="CD54" s="65" t="e">
        <f t="shared" si="94"/>
        <v>#VALUE!</v>
      </c>
      <c r="CE54" s="65" t="e">
        <f t="shared" ref="CE54:CN56" si="95">IF(AND(CE$2&gt;=$F54,CE$2&lt;($F54+$H54)),ROUND($K54/$H54,0),"-")</f>
        <v>#VALUE!</v>
      </c>
      <c r="CF54" s="65" t="e">
        <f t="shared" si="95"/>
        <v>#VALUE!</v>
      </c>
      <c r="CG54" s="65" t="e">
        <f t="shared" si="95"/>
        <v>#VALUE!</v>
      </c>
      <c r="CH54" s="65" t="e">
        <f t="shared" si="95"/>
        <v>#VALUE!</v>
      </c>
      <c r="CI54" s="65" t="e">
        <f t="shared" si="95"/>
        <v>#VALUE!</v>
      </c>
      <c r="CJ54" s="65" t="e">
        <f t="shared" si="95"/>
        <v>#VALUE!</v>
      </c>
      <c r="CK54" s="65" t="e">
        <f t="shared" si="95"/>
        <v>#VALUE!</v>
      </c>
      <c r="CL54" s="65" t="e">
        <f t="shared" si="95"/>
        <v>#VALUE!</v>
      </c>
      <c r="CM54" s="65" t="e">
        <f t="shared" si="95"/>
        <v>#VALUE!</v>
      </c>
      <c r="CN54" s="65" t="e">
        <f t="shared" si="95"/>
        <v>#VALUE!</v>
      </c>
      <c r="CO54" s="65" t="e">
        <f t="shared" ref="CO54:CW56" si="96">IF(AND(CO$2&gt;=$F54,CO$2&lt;($F54+$H54)),ROUND($K54/$H54,0),"-")</f>
        <v>#VALUE!</v>
      </c>
      <c r="CP54" s="65" t="e">
        <f t="shared" si="96"/>
        <v>#VALUE!</v>
      </c>
      <c r="CQ54" s="65" t="e">
        <f t="shared" si="96"/>
        <v>#VALUE!</v>
      </c>
      <c r="CR54" s="65" t="e">
        <f t="shared" si="96"/>
        <v>#VALUE!</v>
      </c>
      <c r="CS54" s="65" t="e">
        <f t="shared" si="96"/>
        <v>#VALUE!</v>
      </c>
      <c r="CT54" s="65" t="e">
        <f t="shared" si="96"/>
        <v>#VALUE!</v>
      </c>
      <c r="CU54" s="65" t="e">
        <f t="shared" si="96"/>
        <v>#VALUE!</v>
      </c>
      <c r="CV54" s="65" t="e">
        <f t="shared" si="96"/>
        <v>#VALUE!</v>
      </c>
      <c r="CW54" s="65" t="e">
        <f t="shared" si="96"/>
        <v>#VALUE!</v>
      </c>
    </row>
    <row r="55" spans="1:101">
      <c r="B55" s="109" t="s">
        <v>99</v>
      </c>
      <c r="C55" s="101">
        <v>768</v>
      </c>
      <c r="D55" s="258">
        <f>SUM('[1]Electrical Work'!$G$446:$G$451)</f>
        <v>810</v>
      </c>
      <c r="E55" s="258">
        <f>C55-D55</f>
        <v>-42</v>
      </c>
      <c r="F55" s="162" t="str">
        <f>F54</f>
        <v>04 Jul,
07 Jul
10 Jul
14 Jul</v>
      </c>
      <c r="G55" s="162" t="e">
        <f>G54</f>
        <v>#VALUE!</v>
      </c>
      <c r="H55" s="65" t="e">
        <f>G55-F55</f>
        <v>#VALUE!</v>
      </c>
      <c r="I55" s="259">
        <v>30</v>
      </c>
      <c r="J55" s="259">
        <v>18</v>
      </c>
      <c r="K55" s="102">
        <f>(E55*J55)/I55</f>
        <v>-25.2</v>
      </c>
      <c r="L55" s="505"/>
      <c r="M55" s="65" t="e">
        <f t="shared" si="88"/>
        <v>#VALUE!</v>
      </c>
      <c r="N55" s="65" t="e">
        <f t="shared" si="88"/>
        <v>#VALUE!</v>
      </c>
      <c r="O55" s="65" t="e">
        <f t="shared" si="88"/>
        <v>#VALUE!</v>
      </c>
      <c r="P55" s="65" t="e">
        <f t="shared" si="88"/>
        <v>#VALUE!</v>
      </c>
      <c r="Q55" s="65" t="e">
        <f t="shared" si="88"/>
        <v>#VALUE!</v>
      </c>
      <c r="R55" s="65" t="e">
        <f t="shared" si="88"/>
        <v>#VALUE!</v>
      </c>
      <c r="S55" s="65" t="e">
        <f t="shared" si="88"/>
        <v>#VALUE!</v>
      </c>
      <c r="T55" s="65" t="e">
        <f t="shared" si="88"/>
        <v>#VALUE!</v>
      </c>
      <c r="U55" s="65" t="e">
        <f t="shared" si="88"/>
        <v>#VALUE!</v>
      </c>
      <c r="V55" s="65" t="e">
        <f t="shared" si="88"/>
        <v>#VALUE!</v>
      </c>
      <c r="W55" s="65" t="e">
        <f t="shared" si="89"/>
        <v>#VALUE!</v>
      </c>
      <c r="X55" s="65" t="e">
        <f t="shared" si="89"/>
        <v>#VALUE!</v>
      </c>
      <c r="Y55" s="65" t="e">
        <f t="shared" si="89"/>
        <v>#VALUE!</v>
      </c>
      <c r="Z55" s="65" t="e">
        <f t="shared" si="89"/>
        <v>#VALUE!</v>
      </c>
      <c r="AA55" s="65" t="e">
        <f t="shared" si="89"/>
        <v>#VALUE!</v>
      </c>
      <c r="AB55" s="65" t="e">
        <f t="shared" si="89"/>
        <v>#VALUE!</v>
      </c>
      <c r="AC55" s="65" t="e">
        <f t="shared" si="89"/>
        <v>#VALUE!</v>
      </c>
      <c r="AD55" s="65" t="e">
        <f t="shared" si="89"/>
        <v>#VALUE!</v>
      </c>
      <c r="AE55" s="65" t="e">
        <f t="shared" si="89"/>
        <v>#VALUE!</v>
      </c>
      <c r="AF55" s="65" t="e">
        <f t="shared" si="89"/>
        <v>#VALUE!</v>
      </c>
      <c r="AG55" s="65" t="e">
        <f t="shared" si="90"/>
        <v>#VALUE!</v>
      </c>
      <c r="AH55" s="65" t="e">
        <f t="shared" si="90"/>
        <v>#VALUE!</v>
      </c>
      <c r="AI55" s="65" t="e">
        <f t="shared" si="90"/>
        <v>#VALUE!</v>
      </c>
      <c r="AJ55" s="65" t="e">
        <f t="shared" si="90"/>
        <v>#VALUE!</v>
      </c>
      <c r="AK55" s="65" t="e">
        <f t="shared" si="90"/>
        <v>#VALUE!</v>
      </c>
      <c r="AL55" s="65" t="e">
        <f t="shared" si="90"/>
        <v>#VALUE!</v>
      </c>
      <c r="AM55" s="65" t="e">
        <f t="shared" si="90"/>
        <v>#VALUE!</v>
      </c>
      <c r="AN55" s="65" t="e">
        <f t="shared" si="90"/>
        <v>#VALUE!</v>
      </c>
      <c r="AO55" s="65" t="e">
        <f t="shared" si="90"/>
        <v>#VALUE!</v>
      </c>
      <c r="AP55" s="65" t="e">
        <f t="shared" si="90"/>
        <v>#VALUE!</v>
      </c>
      <c r="AQ55" s="65" t="e">
        <f t="shared" si="91"/>
        <v>#VALUE!</v>
      </c>
      <c r="AR55" s="65" t="e">
        <f t="shared" si="91"/>
        <v>#VALUE!</v>
      </c>
      <c r="AS55" s="65" t="e">
        <f t="shared" si="91"/>
        <v>#VALUE!</v>
      </c>
      <c r="AT55" s="65" t="e">
        <f t="shared" si="91"/>
        <v>#VALUE!</v>
      </c>
      <c r="AU55" s="65" t="e">
        <f t="shared" si="91"/>
        <v>#VALUE!</v>
      </c>
      <c r="AV55" s="65" t="e">
        <f t="shared" si="91"/>
        <v>#VALUE!</v>
      </c>
      <c r="AW55" s="65" t="e">
        <f t="shared" si="91"/>
        <v>#VALUE!</v>
      </c>
      <c r="AX55" s="65" t="e">
        <f t="shared" si="91"/>
        <v>#VALUE!</v>
      </c>
      <c r="AY55" s="65" t="e">
        <f t="shared" si="91"/>
        <v>#VALUE!</v>
      </c>
      <c r="AZ55" s="65" t="e">
        <f t="shared" si="91"/>
        <v>#VALUE!</v>
      </c>
      <c r="BA55" s="65" t="e">
        <f t="shared" si="92"/>
        <v>#VALUE!</v>
      </c>
      <c r="BB55" s="65" t="e">
        <f t="shared" si="92"/>
        <v>#VALUE!</v>
      </c>
      <c r="BC55" s="65" t="e">
        <f t="shared" si="92"/>
        <v>#VALUE!</v>
      </c>
      <c r="BD55" s="65" t="e">
        <f t="shared" si="92"/>
        <v>#VALUE!</v>
      </c>
      <c r="BE55" s="65" t="e">
        <f t="shared" si="92"/>
        <v>#VALUE!</v>
      </c>
      <c r="BF55" s="65" t="e">
        <f t="shared" si="92"/>
        <v>#VALUE!</v>
      </c>
      <c r="BG55" s="65" t="e">
        <f t="shared" si="92"/>
        <v>#VALUE!</v>
      </c>
      <c r="BH55" s="65" t="e">
        <f t="shared" si="92"/>
        <v>#VALUE!</v>
      </c>
      <c r="BI55" s="65" t="e">
        <f t="shared" si="92"/>
        <v>#VALUE!</v>
      </c>
      <c r="BJ55" s="65" t="e">
        <f t="shared" si="92"/>
        <v>#VALUE!</v>
      </c>
      <c r="BK55" s="65" t="e">
        <f t="shared" si="93"/>
        <v>#VALUE!</v>
      </c>
      <c r="BL55" s="65" t="e">
        <f t="shared" si="93"/>
        <v>#VALUE!</v>
      </c>
      <c r="BM55" s="65" t="e">
        <f t="shared" si="93"/>
        <v>#VALUE!</v>
      </c>
      <c r="BN55" s="65" t="e">
        <f t="shared" si="93"/>
        <v>#VALUE!</v>
      </c>
      <c r="BO55" s="65" t="e">
        <f t="shared" si="93"/>
        <v>#VALUE!</v>
      </c>
      <c r="BP55" s="65" t="e">
        <f t="shared" si="93"/>
        <v>#VALUE!</v>
      </c>
      <c r="BQ55" s="65" t="e">
        <f t="shared" si="93"/>
        <v>#VALUE!</v>
      </c>
      <c r="BR55" s="65" t="e">
        <f t="shared" si="93"/>
        <v>#VALUE!</v>
      </c>
      <c r="BS55" s="65" t="e">
        <f t="shared" si="93"/>
        <v>#VALUE!</v>
      </c>
      <c r="BT55" s="65" t="e">
        <f t="shared" si="93"/>
        <v>#VALUE!</v>
      </c>
      <c r="BU55" s="65" t="e">
        <f t="shared" si="94"/>
        <v>#VALUE!</v>
      </c>
      <c r="BV55" s="65" t="e">
        <f t="shared" si="94"/>
        <v>#VALUE!</v>
      </c>
      <c r="BW55" s="65" t="e">
        <f t="shared" si="94"/>
        <v>#VALUE!</v>
      </c>
      <c r="BX55" s="65" t="e">
        <f t="shared" si="94"/>
        <v>#VALUE!</v>
      </c>
      <c r="BY55" s="65" t="e">
        <f t="shared" si="94"/>
        <v>#VALUE!</v>
      </c>
      <c r="BZ55" s="65" t="e">
        <f t="shared" si="94"/>
        <v>#VALUE!</v>
      </c>
      <c r="CA55" s="65" t="e">
        <f t="shared" si="94"/>
        <v>#VALUE!</v>
      </c>
      <c r="CB55" s="65" t="e">
        <f t="shared" si="94"/>
        <v>#VALUE!</v>
      </c>
      <c r="CC55" s="65" t="e">
        <f t="shared" si="94"/>
        <v>#VALUE!</v>
      </c>
      <c r="CD55" s="65" t="e">
        <f t="shared" si="94"/>
        <v>#VALUE!</v>
      </c>
      <c r="CE55" s="65" t="e">
        <f t="shared" si="95"/>
        <v>#VALUE!</v>
      </c>
      <c r="CF55" s="65" t="e">
        <f t="shared" si="95"/>
        <v>#VALUE!</v>
      </c>
      <c r="CG55" s="65" t="e">
        <f t="shared" si="95"/>
        <v>#VALUE!</v>
      </c>
      <c r="CH55" s="65" t="e">
        <f t="shared" si="95"/>
        <v>#VALUE!</v>
      </c>
      <c r="CI55" s="65" t="e">
        <f t="shared" si="95"/>
        <v>#VALUE!</v>
      </c>
      <c r="CJ55" s="65" t="e">
        <f t="shared" si="95"/>
        <v>#VALUE!</v>
      </c>
      <c r="CK55" s="65" t="e">
        <f t="shared" si="95"/>
        <v>#VALUE!</v>
      </c>
      <c r="CL55" s="65" t="e">
        <f t="shared" si="95"/>
        <v>#VALUE!</v>
      </c>
      <c r="CM55" s="65" t="e">
        <f t="shared" si="95"/>
        <v>#VALUE!</v>
      </c>
      <c r="CN55" s="65" t="e">
        <f t="shared" si="95"/>
        <v>#VALUE!</v>
      </c>
      <c r="CO55" s="65" t="e">
        <f t="shared" si="96"/>
        <v>#VALUE!</v>
      </c>
      <c r="CP55" s="65" t="e">
        <f t="shared" si="96"/>
        <v>#VALUE!</v>
      </c>
      <c r="CQ55" s="65" t="e">
        <f t="shared" si="96"/>
        <v>#VALUE!</v>
      </c>
      <c r="CR55" s="65" t="e">
        <f t="shared" si="96"/>
        <v>#VALUE!</v>
      </c>
      <c r="CS55" s="65" t="e">
        <f t="shared" si="96"/>
        <v>#VALUE!</v>
      </c>
      <c r="CT55" s="65" t="e">
        <f t="shared" si="96"/>
        <v>#VALUE!</v>
      </c>
      <c r="CU55" s="65" t="e">
        <f t="shared" si="96"/>
        <v>#VALUE!</v>
      </c>
      <c r="CV55" s="65" t="e">
        <f t="shared" si="96"/>
        <v>#VALUE!</v>
      </c>
      <c r="CW55" s="65" t="e">
        <f t="shared" si="96"/>
        <v>#VALUE!</v>
      </c>
    </row>
    <row r="56" spans="1:101">
      <c r="B56" s="109" t="s">
        <v>100</v>
      </c>
      <c r="C56" s="101">
        <v>1344</v>
      </c>
      <c r="D56" s="101">
        <v>0</v>
      </c>
      <c r="E56" s="258">
        <f>C56-D56</f>
        <v>1344</v>
      </c>
      <c r="F56" s="162" t="str">
        <f>F55</f>
        <v>04 Jul,
07 Jul
10 Jul
14 Jul</v>
      </c>
      <c r="G56" s="162" t="e">
        <f>G55</f>
        <v>#VALUE!</v>
      </c>
      <c r="H56" s="65" t="e">
        <f>H55</f>
        <v>#VALUE!</v>
      </c>
      <c r="I56" s="101">
        <v>30</v>
      </c>
      <c r="J56" s="101">
        <v>6</v>
      </c>
      <c r="K56" s="102">
        <f>(E56*J56)/I56</f>
        <v>268.8</v>
      </c>
      <c r="L56" s="505"/>
      <c r="M56" s="65" t="e">
        <f t="shared" si="88"/>
        <v>#VALUE!</v>
      </c>
      <c r="N56" s="65" t="e">
        <f t="shared" si="88"/>
        <v>#VALUE!</v>
      </c>
      <c r="O56" s="65" t="e">
        <f t="shared" si="88"/>
        <v>#VALUE!</v>
      </c>
      <c r="P56" s="65" t="e">
        <f t="shared" si="88"/>
        <v>#VALUE!</v>
      </c>
      <c r="Q56" s="65" t="e">
        <f t="shared" si="88"/>
        <v>#VALUE!</v>
      </c>
      <c r="R56" s="65" t="e">
        <f t="shared" si="88"/>
        <v>#VALUE!</v>
      </c>
      <c r="S56" s="65" t="e">
        <f t="shared" si="88"/>
        <v>#VALUE!</v>
      </c>
      <c r="T56" s="65" t="e">
        <f t="shared" si="88"/>
        <v>#VALUE!</v>
      </c>
      <c r="U56" s="65" t="e">
        <f t="shared" si="88"/>
        <v>#VALUE!</v>
      </c>
      <c r="V56" s="65" t="e">
        <f t="shared" si="88"/>
        <v>#VALUE!</v>
      </c>
      <c r="W56" s="65" t="e">
        <f t="shared" si="89"/>
        <v>#VALUE!</v>
      </c>
      <c r="X56" s="65" t="e">
        <f t="shared" si="89"/>
        <v>#VALUE!</v>
      </c>
      <c r="Y56" s="65" t="e">
        <f t="shared" si="89"/>
        <v>#VALUE!</v>
      </c>
      <c r="Z56" s="65" t="e">
        <f t="shared" si="89"/>
        <v>#VALUE!</v>
      </c>
      <c r="AA56" s="65" t="e">
        <f t="shared" si="89"/>
        <v>#VALUE!</v>
      </c>
      <c r="AB56" s="65" t="e">
        <f t="shared" si="89"/>
        <v>#VALUE!</v>
      </c>
      <c r="AC56" s="65" t="e">
        <f t="shared" si="89"/>
        <v>#VALUE!</v>
      </c>
      <c r="AD56" s="65" t="e">
        <f t="shared" si="89"/>
        <v>#VALUE!</v>
      </c>
      <c r="AE56" s="65" t="e">
        <f t="shared" si="89"/>
        <v>#VALUE!</v>
      </c>
      <c r="AF56" s="65" t="e">
        <f t="shared" si="89"/>
        <v>#VALUE!</v>
      </c>
      <c r="AG56" s="65" t="e">
        <f t="shared" si="90"/>
        <v>#VALUE!</v>
      </c>
      <c r="AH56" s="65" t="e">
        <f t="shared" si="90"/>
        <v>#VALUE!</v>
      </c>
      <c r="AI56" s="65" t="e">
        <f t="shared" si="90"/>
        <v>#VALUE!</v>
      </c>
      <c r="AJ56" s="65" t="e">
        <f t="shared" si="90"/>
        <v>#VALUE!</v>
      </c>
      <c r="AK56" s="65" t="e">
        <f t="shared" si="90"/>
        <v>#VALUE!</v>
      </c>
      <c r="AL56" s="65" t="e">
        <f t="shared" si="90"/>
        <v>#VALUE!</v>
      </c>
      <c r="AM56" s="65" t="e">
        <f t="shared" si="90"/>
        <v>#VALUE!</v>
      </c>
      <c r="AN56" s="65" t="e">
        <f t="shared" si="90"/>
        <v>#VALUE!</v>
      </c>
      <c r="AO56" s="65" t="e">
        <f t="shared" si="90"/>
        <v>#VALUE!</v>
      </c>
      <c r="AP56" s="65" t="e">
        <f t="shared" si="90"/>
        <v>#VALUE!</v>
      </c>
      <c r="AQ56" s="65" t="e">
        <f t="shared" si="91"/>
        <v>#VALUE!</v>
      </c>
      <c r="AR56" s="65" t="e">
        <f t="shared" si="91"/>
        <v>#VALUE!</v>
      </c>
      <c r="AS56" s="65" t="e">
        <f t="shared" si="91"/>
        <v>#VALUE!</v>
      </c>
      <c r="AT56" s="65" t="e">
        <f t="shared" si="91"/>
        <v>#VALUE!</v>
      </c>
      <c r="AU56" s="65" t="e">
        <f t="shared" si="91"/>
        <v>#VALUE!</v>
      </c>
      <c r="AV56" s="65" t="e">
        <f t="shared" si="91"/>
        <v>#VALUE!</v>
      </c>
      <c r="AW56" s="65" t="e">
        <f t="shared" si="91"/>
        <v>#VALUE!</v>
      </c>
      <c r="AX56" s="65" t="e">
        <f t="shared" si="91"/>
        <v>#VALUE!</v>
      </c>
      <c r="AY56" s="65" t="e">
        <f t="shared" si="91"/>
        <v>#VALUE!</v>
      </c>
      <c r="AZ56" s="65" t="e">
        <f t="shared" si="91"/>
        <v>#VALUE!</v>
      </c>
      <c r="BA56" s="65" t="e">
        <f t="shared" si="92"/>
        <v>#VALUE!</v>
      </c>
      <c r="BB56" s="65" t="e">
        <f t="shared" si="92"/>
        <v>#VALUE!</v>
      </c>
      <c r="BC56" s="65" t="e">
        <f t="shared" si="92"/>
        <v>#VALUE!</v>
      </c>
      <c r="BD56" s="65" t="e">
        <f t="shared" si="92"/>
        <v>#VALUE!</v>
      </c>
      <c r="BE56" s="65" t="e">
        <f t="shared" si="92"/>
        <v>#VALUE!</v>
      </c>
      <c r="BF56" s="65" t="e">
        <f t="shared" si="92"/>
        <v>#VALUE!</v>
      </c>
      <c r="BG56" s="65" t="e">
        <f t="shared" si="92"/>
        <v>#VALUE!</v>
      </c>
      <c r="BH56" s="65" t="e">
        <f t="shared" si="92"/>
        <v>#VALUE!</v>
      </c>
      <c r="BI56" s="65" t="e">
        <f t="shared" si="92"/>
        <v>#VALUE!</v>
      </c>
      <c r="BJ56" s="65" t="e">
        <f t="shared" si="92"/>
        <v>#VALUE!</v>
      </c>
      <c r="BK56" s="65" t="e">
        <f t="shared" si="93"/>
        <v>#VALUE!</v>
      </c>
      <c r="BL56" s="65" t="e">
        <f t="shared" si="93"/>
        <v>#VALUE!</v>
      </c>
      <c r="BM56" s="65" t="e">
        <f t="shared" si="93"/>
        <v>#VALUE!</v>
      </c>
      <c r="BN56" s="65" t="e">
        <f t="shared" si="93"/>
        <v>#VALUE!</v>
      </c>
      <c r="BO56" s="65" t="e">
        <f t="shared" si="93"/>
        <v>#VALUE!</v>
      </c>
      <c r="BP56" s="65" t="e">
        <f t="shared" si="93"/>
        <v>#VALUE!</v>
      </c>
      <c r="BQ56" s="65" t="e">
        <f t="shared" si="93"/>
        <v>#VALUE!</v>
      </c>
      <c r="BR56" s="65" t="e">
        <f t="shared" si="93"/>
        <v>#VALUE!</v>
      </c>
      <c r="BS56" s="65" t="e">
        <f t="shared" si="93"/>
        <v>#VALUE!</v>
      </c>
      <c r="BT56" s="65" t="e">
        <f t="shared" si="93"/>
        <v>#VALUE!</v>
      </c>
      <c r="BU56" s="65" t="e">
        <f t="shared" si="94"/>
        <v>#VALUE!</v>
      </c>
      <c r="BV56" s="65" t="e">
        <f t="shared" si="94"/>
        <v>#VALUE!</v>
      </c>
      <c r="BW56" s="65" t="e">
        <f t="shared" si="94"/>
        <v>#VALUE!</v>
      </c>
      <c r="BX56" s="65" t="e">
        <f t="shared" si="94"/>
        <v>#VALUE!</v>
      </c>
      <c r="BY56" s="65" t="e">
        <f t="shared" si="94"/>
        <v>#VALUE!</v>
      </c>
      <c r="BZ56" s="65" t="e">
        <f t="shared" si="94"/>
        <v>#VALUE!</v>
      </c>
      <c r="CA56" s="65" t="e">
        <f t="shared" si="94"/>
        <v>#VALUE!</v>
      </c>
      <c r="CB56" s="65" t="e">
        <f t="shared" si="94"/>
        <v>#VALUE!</v>
      </c>
      <c r="CC56" s="65" t="e">
        <f t="shared" si="94"/>
        <v>#VALUE!</v>
      </c>
      <c r="CD56" s="65" t="e">
        <f t="shared" si="94"/>
        <v>#VALUE!</v>
      </c>
      <c r="CE56" s="65" t="e">
        <f t="shared" si="95"/>
        <v>#VALUE!</v>
      </c>
      <c r="CF56" s="65" t="e">
        <f t="shared" si="95"/>
        <v>#VALUE!</v>
      </c>
      <c r="CG56" s="65" t="e">
        <f t="shared" si="95"/>
        <v>#VALUE!</v>
      </c>
      <c r="CH56" s="65" t="e">
        <f t="shared" si="95"/>
        <v>#VALUE!</v>
      </c>
      <c r="CI56" s="65" t="e">
        <f t="shared" si="95"/>
        <v>#VALUE!</v>
      </c>
      <c r="CJ56" s="65" t="e">
        <f t="shared" si="95"/>
        <v>#VALUE!</v>
      </c>
      <c r="CK56" s="65" t="e">
        <f t="shared" si="95"/>
        <v>#VALUE!</v>
      </c>
      <c r="CL56" s="65" t="e">
        <f t="shared" si="95"/>
        <v>#VALUE!</v>
      </c>
      <c r="CM56" s="65" t="e">
        <f t="shared" si="95"/>
        <v>#VALUE!</v>
      </c>
      <c r="CN56" s="65" t="e">
        <f t="shared" si="95"/>
        <v>#VALUE!</v>
      </c>
      <c r="CO56" s="65" t="e">
        <f t="shared" si="96"/>
        <v>#VALUE!</v>
      </c>
      <c r="CP56" s="65" t="e">
        <f t="shared" si="96"/>
        <v>#VALUE!</v>
      </c>
      <c r="CQ56" s="65" t="e">
        <f t="shared" si="96"/>
        <v>#VALUE!</v>
      </c>
      <c r="CR56" s="65" t="e">
        <f t="shared" si="96"/>
        <v>#VALUE!</v>
      </c>
      <c r="CS56" s="65" t="e">
        <f t="shared" si="96"/>
        <v>#VALUE!</v>
      </c>
      <c r="CT56" s="65" t="e">
        <f t="shared" si="96"/>
        <v>#VALUE!</v>
      </c>
      <c r="CU56" s="65" t="e">
        <f t="shared" si="96"/>
        <v>#VALUE!</v>
      </c>
      <c r="CV56" s="65" t="e">
        <f t="shared" si="96"/>
        <v>#VALUE!</v>
      </c>
      <c r="CW56" s="65" t="e">
        <f t="shared" si="96"/>
        <v>#VALUE!</v>
      </c>
    </row>
    <row r="58" spans="1:101">
      <c r="B58" s="109" t="s">
        <v>91</v>
      </c>
      <c r="C58" s="109" t="s">
        <v>92</v>
      </c>
      <c r="D58" s="109" t="s">
        <v>93</v>
      </c>
      <c r="E58" s="109" t="s">
        <v>94</v>
      </c>
      <c r="F58" s="109" t="s">
        <v>78</v>
      </c>
      <c r="G58" s="109" t="s">
        <v>79</v>
      </c>
      <c r="H58" s="109" t="s">
        <v>59</v>
      </c>
      <c r="I58" s="109" t="s">
        <v>95</v>
      </c>
      <c r="J58" s="109" t="s">
        <v>96</v>
      </c>
      <c r="K58" s="109" t="s">
        <v>97</v>
      </c>
      <c r="L58" s="109" t="s">
        <v>80</v>
      </c>
      <c r="M58" s="260">
        <v>46201</v>
      </c>
      <c r="N58" s="260">
        <v>46202</v>
      </c>
      <c r="O58" s="260">
        <v>46203</v>
      </c>
      <c r="P58" s="260">
        <v>46204</v>
      </c>
      <c r="Q58" s="260">
        <v>46205</v>
      </c>
      <c r="R58" s="260">
        <v>46206</v>
      </c>
      <c r="S58" s="260">
        <v>46207</v>
      </c>
      <c r="T58" s="260">
        <v>46208</v>
      </c>
      <c r="U58" s="260">
        <v>46209</v>
      </c>
      <c r="V58" s="260">
        <v>46210</v>
      </c>
      <c r="W58" s="260">
        <v>46211</v>
      </c>
      <c r="X58" s="260">
        <v>46212</v>
      </c>
      <c r="Y58" s="260">
        <v>46213</v>
      </c>
      <c r="Z58" s="260">
        <v>46214</v>
      </c>
      <c r="AA58" s="260">
        <v>46215</v>
      </c>
      <c r="AB58" s="260">
        <v>46216</v>
      </c>
      <c r="AC58" s="260">
        <v>46217</v>
      </c>
      <c r="AD58" s="260">
        <v>46218</v>
      </c>
      <c r="AE58" s="260">
        <v>46219</v>
      </c>
      <c r="AF58" s="260">
        <v>46220</v>
      </c>
      <c r="AG58" s="260">
        <v>46221</v>
      </c>
      <c r="AH58" s="260">
        <v>46222</v>
      </c>
      <c r="AI58" s="260">
        <v>46223</v>
      </c>
      <c r="AJ58" s="260">
        <v>46224</v>
      </c>
      <c r="AK58" s="260">
        <v>46225</v>
      </c>
      <c r="AL58" s="260">
        <v>46226</v>
      </c>
      <c r="AM58" s="260">
        <v>46227</v>
      </c>
      <c r="AN58" s="260">
        <v>46228</v>
      </c>
      <c r="AO58" s="260">
        <v>46229</v>
      </c>
      <c r="AP58" s="260">
        <v>46230</v>
      </c>
      <c r="AQ58" s="260">
        <v>46231</v>
      </c>
      <c r="AR58" s="260">
        <v>46232</v>
      </c>
      <c r="AS58" s="260">
        <v>46233</v>
      </c>
      <c r="AT58" s="260">
        <v>46234</v>
      </c>
      <c r="AU58" s="260">
        <v>46235</v>
      </c>
      <c r="AV58" s="260">
        <v>46236</v>
      </c>
      <c r="AW58" s="260">
        <v>46237</v>
      </c>
      <c r="AX58" s="260">
        <v>46238</v>
      </c>
      <c r="AY58" s="260">
        <v>46239</v>
      </c>
      <c r="AZ58" s="260">
        <v>46240</v>
      </c>
      <c r="BA58" s="260">
        <v>46241</v>
      </c>
      <c r="BB58" s="260">
        <v>46242</v>
      </c>
      <c r="BC58" s="260">
        <v>46243</v>
      </c>
      <c r="BD58" s="260">
        <v>46244</v>
      </c>
      <c r="BE58" s="260">
        <v>46245</v>
      </c>
      <c r="BF58" s="260">
        <v>46246</v>
      </c>
      <c r="BG58" s="260">
        <v>46247</v>
      </c>
      <c r="BH58" s="260">
        <v>46248</v>
      </c>
      <c r="BI58" s="260">
        <v>46249</v>
      </c>
      <c r="BJ58" s="260">
        <v>46250</v>
      </c>
      <c r="BK58" s="260">
        <v>46251</v>
      </c>
      <c r="BL58" s="260">
        <v>46252</v>
      </c>
      <c r="BM58" s="260">
        <v>46253</v>
      </c>
      <c r="BN58" s="260">
        <v>46254</v>
      </c>
      <c r="BO58" s="260">
        <v>46255</v>
      </c>
      <c r="BP58" s="260">
        <v>46256</v>
      </c>
      <c r="BQ58" s="260">
        <v>46257</v>
      </c>
      <c r="BR58" s="260">
        <v>46258</v>
      </c>
      <c r="BS58" s="260">
        <v>46259</v>
      </c>
      <c r="BT58" s="260">
        <v>46260</v>
      </c>
      <c r="BU58" s="260">
        <v>46261</v>
      </c>
      <c r="BV58" s="260">
        <v>46262</v>
      </c>
      <c r="BW58" s="260">
        <v>46263</v>
      </c>
      <c r="BX58" s="260">
        <v>46264</v>
      </c>
      <c r="BY58" s="260">
        <v>46265</v>
      </c>
      <c r="BZ58" s="260">
        <v>46266</v>
      </c>
      <c r="CA58" s="260">
        <v>46267</v>
      </c>
      <c r="CB58" s="260">
        <v>46268</v>
      </c>
      <c r="CC58" s="260">
        <v>46269</v>
      </c>
      <c r="CD58" s="260">
        <v>46270</v>
      </c>
      <c r="CE58" s="260">
        <v>46271</v>
      </c>
      <c r="CF58" s="260">
        <v>46272</v>
      </c>
      <c r="CG58" s="260">
        <v>46273</v>
      </c>
      <c r="CH58" s="260">
        <v>46274</v>
      </c>
      <c r="CI58" s="260">
        <v>46275</v>
      </c>
      <c r="CJ58" s="260">
        <v>46276</v>
      </c>
      <c r="CK58" s="260">
        <v>46277</v>
      </c>
      <c r="CL58" s="260">
        <v>46278</v>
      </c>
      <c r="CM58" s="260">
        <v>46279</v>
      </c>
      <c r="CN58" s="260">
        <v>46280</v>
      </c>
      <c r="CO58" s="260">
        <v>46281</v>
      </c>
      <c r="CP58" s="260">
        <v>46282</v>
      </c>
      <c r="CQ58" s="260">
        <v>46283</v>
      </c>
      <c r="CR58" s="260">
        <v>46284</v>
      </c>
      <c r="CS58" s="260">
        <v>46285</v>
      </c>
      <c r="CT58" s="260">
        <v>46286</v>
      </c>
      <c r="CU58" s="260">
        <v>46287</v>
      </c>
      <c r="CV58" s="260">
        <v>46288</v>
      </c>
      <c r="CW58" s="260">
        <v>46289</v>
      </c>
    </row>
    <row r="59" spans="1:101">
      <c r="A59" t="s">
        <v>98</v>
      </c>
      <c r="B59" s="138" t="s">
        <v>21</v>
      </c>
      <c r="C59" s="101">
        <v>48</v>
      </c>
      <c r="D59" s="102">
        <v>0</v>
      </c>
      <c r="E59" s="258">
        <f>C59-D59</f>
        <v>48</v>
      </c>
      <c r="F59" s="165" t="str">
        <f>'BESS 12'!D5</f>
        <v>07 Jul
09 Jul</v>
      </c>
      <c r="G59" s="165" t="e">
        <f>F59+4</f>
        <v>#VALUE!</v>
      </c>
      <c r="H59" s="65" t="e">
        <f>G59-F59</f>
        <v>#VALUE!</v>
      </c>
      <c r="I59" s="96">
        <v>10</v>
      </c>
      <c r="J59" s="93">
        <v>1</v>
      </c>
      <c r="K59" s="94">
        <f>(E59*J59)/I59</f>
        <v>4.8</v>
      </c>
      <c r="L59" s="505" t="e">
        <f>AVERAGEIF(M59:CW61,"&gt;0")</f>
        <v>#DIV/0!</v>
      </c>
      <c r="M59" s="65" t="e">
        <f t="shared" ref="M59:V61" si="97">IF(AND(M$2&gt;=$F59,M$2&lt;($F59+$H59)),ROUND($K59/$H59,0),"-")</f>
        <v>#VALUE!</v>
      </c>
      <c r="N59" s="65" t="e">
        <f t="shared" si="97"/>
        <v>#VALUE!</v>
      </c>
      <c r="O59" s="65" t="e">
        <f t="shared" si="97"/>
        <v>#VALUE!</v>
      </c>
      <c r="P59" s="65" t="e">
        <f t="shared" si="97"/>
        <v>#VALUE!</v>
      </c>
      <c r="Q59" s="65" t="e">
        <f t="shared" si="97"/>
        <v>#VALUE!</v>
      </c>
      <c r="R59" s="65" t="e">
        <f t="shared" si="97"/>
        <v>#VALUE!</v>
      </c>
      <c r="S59" s="65" t="e">
        <f t="shared" si="97"/>
        <v>#VALUE!</v>
      </c>
      <c r="T59" s="65" t="e">
        <f t="shared" si="97"/>
        <v>#VALUE!</v>
      </c>
      <c r="U59" s="65" t="e">
        <f t="shared" si="97"/>
        <v>#VALUE!</v>
      </c>
      <c r="V59" s="65" t="e">
        <f t="shared" si="97"/>
        <v>#VALUE!</v>
      </c>
      <c r="W59" s="65" t="e">
        <f t="shared" ref="W59:AF61" si="98">IF(AND(W$2&gt;=$F59,W$2&lt;($F59+$H59)),ROUND($K59/$H59,0),"-")</f>
        <v>#VALUE!</v>
      </c>
      <c r="X59" s="65" t="e">
        <f t="shared" si="98"/>
        <v>#VALUE!</v>
      </c>
      <c r="Y59" s="65" t="e">
        <f t="shared" si="98"/>
        <v>#VALUE!</v>
      </c>
      <c r="Z59" s="65" t="e">
        <f t="shared" si="98"/>
        <v>#VALUE!</v>
      </c>
      <c r="AA59" s="65" t="e">
        <f t="shared" si="98"/>
        <v>#VALUE!</v>
      </c>
      <c r="AB59" s="65" t="e">
        <f t="shared" si="98"/>
        <v>#VALUE!</v>
      </c>
      <c r="AC59" s="65" t="e">
        <f t="shared" si="98"/>
        <v>#VALUE!</v>
      </c>
      <c r="AD59" s="65" t="e">
        <f t="shared" si="98"/>
        <v>#VALUE!</v>
      </c>
      <c r="AE59" s="65" t="e">
        <f t="shared" si="98"/>
        <v>#VALUE!</v>
      </c>
      <c r="AF59" s="65" t="e">
        <f t="shared" si="98"/>
        <v>#VALUE!</v>
      </c>
      <c r="AG59" s="65" t="e">
        <f t="shared" ref="AG59:AP61" si="99">IF(AND(AG$2&gt;=$F59,AG$2&lt;($F59+$H59)),ROUND($K59/$H59,0),"-")</f>
        <v>#VALUE!</v>
      </c>
      <c r="AH59" s="65" t="e">
        <f t="shared" si="99"/>
        <v>#VALUE!</v>
      </c>
      <c r="AI59" s="65" t="e">
        <f t="shared" si="99"/>
        <v>#VALUE!</v>
      </c>
      <c r="AJ59" s="65" t="e">
        <f t="shared" si="99"/>
        <v>#VALUE!</v>
      </c>
      <c r="AK59" s="65" t="e">
        <f t="shared" si="99"/>
        <v>#VALUE!</v>
      </c>
      <c r="AL59" s="65" t="e">
        <f t="shared" si="99"/>
        <v>#VALUE!</v>
      </c>
      <c r="AM59" s="65" t="e">
        <f t="shared" si="99"/>
        <v>#VALUE!</v>
      </c>
      <c r="AN59" s="65" t="e">
        <f t="shared" si="99"/>
        <v>#VALUE!</v>
      </c>
      <c r="AO59" s="65" t="e">
        <f t="shared" si="99"/>
        <v>#VALUE!</v>
      </c>
      <c r="AP59" s="65" t="e">
        <f t="shared" si="99"/>
        <v>#VALUE!</v>
      </c>
      <c r="AQ59" s="65" t="e">
        <f t="shared" ref="AQ59:AZ61" si="100">IF(AND(AQ$2&gt;=$F59,AQ$2&lt;($F59+$H59)),ROUND($K59/$H59,0),"-")</f>
        <v>#VALUE!</v>
      </c>
      <c r="AR59" s="65" t="e">
        <f t="shared" si="100"/>
        <v>#VALUE!</v>
      </c>
      <c r="AS59" s="65" t="e">
        <f t="shared" si="100"/>
        <v>#VALUE!</v>
      </c>
      <c r="AT59" s="65" t="e">
        <f t="shared" si="100"/>
        <v>#VALUE!</v>
      </c>
      <c r="AU59" s="65" t="e">
        <f t="shared" si="100"/>
        <v>#VALUE!</v>
      </c>
      <c r="AV59" s="65" t="e">
        <f t="shared" si="100"/>
        <v>#VALUE!</v>
      </c>
      <c r="AW59" s="65" t="e">
        <f t="shared" si="100"/>
        <v>#VALUE!</v>
      </c>
      <c r="AX59" s="65" t="e">
        <f t="shared" si="100"/>
        <v>#VALUE!</v>
      </c>
      <c r="AY59" s="65" t="e">
        <f t="shared" si="100"/>
        <v>#VALUE!</v>
      </c>
      <c r="AZ59" s="65" t="e">
        <f t="shared" si="100"/>
        <v>#VALUE!</v>
      </c>
      <c r="BA59" s="65" t="e">
        <f t="shared" ref="BA59:BJ61" si="101">IF(AND(BA$2&gt;=$F59,BA$2&lt;($F59+$H59)),ROUND($K59/$H59,0),"-")</f>
        <v>#VALUE!</v>
      </c>
      <c r="BB59" s="65" t="e">
        <f t="shared" si="101"/>
        <v>#VALUE!</v>
      </c>
      <c r="BC59" s="65" t="e">
        <f t="shared" si="101"/>
        <v>#VALUE!</v>
      </c>
      <c r="BD59" s="65" t="e">
        <f t="shared" si="101"/>
        <v>#VALUE!</v>
      </c>
      <c r="BE59" s="65" t="e">
        <f t="shared" si="101"/>
        <v>#VALUE!</v>
      </c>
      <c r="BF59" s="65" t="e">
        <f t="shared" si="101"/>
        <v>#VALUE!</v>
      </c>
      <c r="BG59" s="65" t="e">
        <f t="shared" si="101"/>
        <v>#VALUE!</v>
      </c>
      <c r="BH59" s="65" t="e">
        <f t="shared" si="101"/>
        <v>#VALUE!</v>
      </c>
      <c r="BI59" s="65" t="e">
        <f t="shared" si="101"/>
        <v>#VALUE!</v>
      </c>
      <c r="BJ59" s="65" t="e">
        <f t="shared" si="101"/>
        <v>#VALUE!</v>
      </c>
      <c r="BK59" s="65" t="e">
        <f t="shared" ref="BK59:BT61" si="102">IF(AND(BK$2&gt;=$F59,BK$2&lt;($F59+$H59)),ROUND($K59/$H59,0),"-")</f>
        <v>#VALUE!</v>
      </c>
      <c r="BL59" s="65" t="e">
        <f t="shared" si="102"/>
        <v>#VALUE!</v>
      </c>
      <c r="BM59" s="65" t="e">
        <f t="shared" si="102"/>
        <v>#VALUE!</v>
      </c>
      <c r="BN59" s="65" t="e">
        <f t="shared" si="102"/>
        <v>#VALUE!</v>
      </c>
      <c r="BO59" s="65" t="e">
        <f t="shared" si="102"/>
        <v>#VALUE!</v>
      </c>
      <c r="BP59" s="65" t="e">
        <f t="shared" si="102"/>
        <v>#VALUE!</v>
      </c>
      <c r="BQ59" s="65" t="e">
        <f t="shared" si="102"/>
        <v>#VALUE!</v>
      </c>
      <c r="BR59" s="65" t="e">
        <f t="shared" si="102"/>
        <v>#VALUE!</v>
      </c>
      <c r="BS59" s="65" t="e">
        <f t="shared" si="102"/>
        <v>#VALUE!</v>
      </c>
      <c r="BT59" s="65" t="e">
        <f t="shared" si="102"/>
        <v>#VALUE!</v>
      </c>
      <c r="BU59" s="65" t="e">
        <f t="shared" ref="BU59:CD61" si="103">IF(AND(BU$2&gt;=$F59,BU$2&lt;($F59+$H59)),ROUND($K59/$H59,0),"-")</f>
        <v>#VALUE!</v>
      </c>
      <c r="BV59" s="65" t="e">
        <f t="shared" si="103"/>
        <v>#VALUE!</v>
      </c>
      <c r="BW59" s="65" t="e">
        <f t="shared" si="103"/>
        <v>#VALUE!</v>
      </c>
      <c r="BX59" s="65" t="e">
        <f t="shared" si="103"/>
        <v>#VALUE!</v>
      </c>
      <c r="BY59" s="65" t="e">
        <f t="shared" si="103"/>
        <v>#VALUE!</v>
      </c>
      <c r="BZ59" s="65" t="e">
        <f t="shared" si="103"/>
        <v>#VALUE!</v>
      </c>
      <c r="CA59" s="65" t="e">
        <f t="shared" si="103"/>
        <v>#VALUE!</v>
      </c>
      <c r="CB59" s="65" t="e">
        <f t="shared" si="103"/>
        <v>#VALUE!</v>
      </c>
      <c r="CC59" s="65" t="e">
        <f t="shared" si="103"/>
        <v>#VALUE!</v>
      </c>
      <c r="CD59" s="65" t="e">
        <f t="shared" si="103"/>
        <v>#VALUE!</v>
      </c>
      <c r="CE59" s="65" t="e">
        <f t="shared" ref="CE59:CN61" si="104">IF(AND(CE$2&gt;=$F59,CE$2&lt;($F59+$H59)),ROUND($K59/$H59,0),"-")</f>
        <v>#VALUE!</v>
      </c>
      <c r="CF59" s="65" t="e">
        <f t="shared" si="104"/>
        <v>#VALUE!</v>
      </c>
      <c r="CG59" s="65" t="e">
        <f t="shared" si="104"/>
        <v>#VALUE!</v>
      </c>
      <c r="CH59" s="65" t="e">
        <f t="shared" si="104"/>
        <v>#VALUE!</v>
      </c>
      <c r="CI59" s="65" t="e">
        <f t="shared" si="104"/>
        <v>#VALUE!</v>
      </c>
      <c r="CJ59" s="65" t="e">
        <f t="shared" si="104"/>
        <v>#VALUE!</v>
      </c>
      <c r="CK59" s="65" t="e">
        <f t="shared" si="104"/>
        <v>#VALUE!</v>
      </c>
      <c r="CL59" s="65" t="e">
        <f t="shared" si="104"/>
        <v>#VALUE!</v>
      </c>
      <c r="CM59" s="65" t="e">
        <f t="shared" si="104"/>
        <v>#VALUE!</v>
      </c>
      <c r="CN59" s="65" t="e">
        <f t="shared" si="104"/>
        <v>#VALUE!</v>
      </c>
      <c r="CO59" s="65" t="e">
        <f t="shared" ref="CO59:CW61" si="105">IF(AND(CO$2&gt;=$F59,CO$2&lt;($F59+$H59)),ROUND($K59/$H59,0),"-")</f>
        <v>#VALUE!</v>
      </c>
      <c r="CP59" s="65" t="e">
        <f t="shared" si="105"/>
        <v>#VALUE!</v>
      </c>
      <c r="CQ59" s="65" t="e">
        <f t="shared" si="105"/>
        <v>#VALUE!</v>
      </c>
      <c r="CR59" s="65" t="e">
        <f t="shared" si="105"/>
        <v>#VALUE!</v>
      </c>
      <c r="CS59" s="65" t="e">
        <f t="shared" si="105"/>
        <v>#VALUE!</v>
      </c>
      <c r="CT59" s="65" t="e">
        <f t="shared" si="105"/>
        <v>#VALUE!</v>
      </c>
      <c r="CU59" s="65" t="e">
        <f t="shared" si="105"/>
        <v>#VALUE!</v>
      </c>
      <c r="CV59" s="65" t="e">
        <f t="shared" si="105"/>
        <v>#VALUE!</v>
      </c>
      <c r="CW59" s="65" t="e">
        <f t="shared" si="105"/>
        <v>#VALUE!</v>
      </c>
    </row>
    <row r="60" spans="1:101">
      <c r="B60" s="109" t="s">
        <v>99</v>
      </c>
      <c r="C60" s="101">
        <v>768</v>
      </c>
      <c r="D60" s="258">
        <f>SUM('[1]Electrical Work'!$G$446:$G$451)</f>
        <v>810</v>
      </c>
      <c r="E60" s="258">
        <f>C60-D60</f>
        <v>-42</v>
      </c>
      <c r="F60" s="162" t="str">
        <f>F59</f>
        <v>07 Jul
09 Jul</v>
      </c>
      <c r="G60" s="162" t="e">
        <f>G59</f>
        <v>#VALUE!</v>
      </c>
      <c r="H60" s="65" t="e">
        <f>G60-F60</f>
        <v>#VALUE!</v>
      </c>
      <c r="I60" s="259">
        <v>30</v>
      </c>
      <c r="J60" s="259">
        <v>18</v>
      </c>
      <c r="K60" s="102">
        <f>(E60*J60)/I60</f>
        <v>-25.2</v>
      </c>
      <c r="L60" s="505"/>
      <c r="M60" s="65" t="e">
        <f t="shared" si="97"/>
        <v>#VALUE!</v>
      </c>
      <c r="N60" s="65" t="e">
        <f t="shared" si="97"/>
        <v>#VALUE!</v>
      </c>
      <c r="O60" s="65" t="e">
        <f t="shared" si="97"/>
        <v>#VALUE!</v>
      </c>
      <c r="P60" s="65" t="e">
        <f t="shared" si="97"/>
        <v>#VALUE!</v>
      </c>
      <c r="Q60" s="65" t="e">
        <f t="shared" si="97"/>
        <v>#VALUE!</v>
      </c>
      <c r="R60" s="65" t="e">
        <f t="shared" si="97"/>
        <v>#VALUE!</v>
      </c>
      <c r="S60" s="65" t="e">
        <f t="shared" si="97"/>
        <v>#VALUE!</v>
      </c>
      <c r="T60" s="65" t="e">
        <f t="shared" si="97"/>
        <v>#VALUE!</v>
      </c>
      <c r="U60" s="65" t="e">
        <f t="shared" si="97"/>
        <v>#VALUE!</v>
      </c>
      <c r="V60" s="65" t="e">
        <f t="shared" si="97"/>
        <v>#VALUE!</v>
      </c>
      <c r="W60" s="65" t="e">
        <f t="shared" si="98"/>
        <v>#VALUE!</v>
      </c>
      <c r="X60" s="65" t="e">
        <f t="shared" si="98"/>
        <v>#VALUE!</v>
      </c>
      <c r="Y60" s="65" t="e">
        <f t="shared" si="98"/>
        <v>#VALUE!</v>
      </c>
      <c r="Z60" s="65" t="e">
        <f t="shared" si="98"/>
        <v>#VALUE!</v>
      </c>
      <c r="AA60" s="65" t="e">
        <f t="shared" si="98"/>
        <v>#VALUE!</v>
      </c>
      <c r="AB60" s="65" t="e">
        <f t="shared" si="98"/>
        <v>#VALUE!</v>
      </c>
      <c r="AC60" s="65" t="e">
        <f t="shared" si="98"/>
        <v>#VALUE!</v>
      </c>
      <c r="AD60" s="65" t="e">
        <f t="shared" si="98"/>
        <v>#VALUE!</v>
      </c>
      <c r="AE60" s="65" t="e">
        <f t="shared" si="98"/>
        <v>#VALUE!</v>
      </c>
      <c r="AF60" s="65" t="e">
        <f t="shared" si="98"/>
        <v>#VALUE!</v>
      </c>
      <c r="AG60" s="65" t="e">
        <f t="shared" si="99"/>
        <v>#VALUE!</v>
      </c>
      <c r="AH60" s="65" t="e">
        <f t="shared" si="99"/>
        <v>#VALUE!</v>
      </c>
      <c r="AI60" s="65" t="e">
        <f t="shared" si="99"/>
        <v>#VALUE!</v>
      </c>
      <c r="AJ60" s="65" t="e">
        <f t="shared" si="99"/>
        <v>#VALUE!</v>
      </c>
      <c r="AK60" s="65" t="e">
        <f t="shared" si="99"/>
        <v>#VALUE!</v>
      </c>
      <c r="AL60" s="65" t="e">
        <f t="shared" si="99"/>
        <v>#VALUE!</v>
      </c>
      <c r="AM60" s="65" t="e">
        <f t="shared" si="99"/>
        <v>#VALUE!</v>
      </c>
      <c r="AN60" s="65" t="e">
        <f t="shared" si="99"/>
        <v>#VALUE!</v>
      </c>
      <c r="AO60" s="65" t="e">
        <f t="shared" si="99"/>
        <v>#VALUE!</v>
      </c>
      <c r="AP60" s="65" t="e">
        <f t="shared" si="99"/>
        <v>#VALUE!</v>
      </c>
      <c r="AQ60" s="65" t="e">
        <f t="shared" si="100"/>
        <v>#VALUE!</v>
      </c>
      <c r="AR60" s="65" t="e">
        <f t="shared" si="100"/>
        <v>#VALUE!</v>
      </c>
      <c r="AS60" s="65" t="e">
        <f t="shared" si="100"/>
        <v>#VALUE!</v>
      </c>
      <c r="AT60" s="65" t="e">
        <f t="shared" si="100"/>
        <v>#VALUE!</v>
      </c>
      <c r="AU60" s="65" t="e">
        <f t="shared" si="100"/>
        <v>#VALUE!</v>
      </c>
      <c r="AV60" s="65" t="e">
        <f t="shared" si="100"/>
        <v>#VALUE!</v>
      </c>
      <c r="AW60" s="65" t="e">
        <f t="shared" si="100"/>
        <v>#VALUE!</v>
      </c>
      <c r="AX60" s="65" t="e">
        <f t="shared" si="100"/>
        <v>#VALUE!</v>
      </c>
      <c r="AY60" s="65" t="e">
        <f t="shared" si="100"/>
        <v>#VALUE!</v>
      </c>
      <c r="AZ60" s="65" t="e">
        <f t="shared" si="100"/>
        <v>#VALUE!</v>
      </c>
      <c r="BA60" s="65" t="e">
        <f t="shared" si="101"/>
        <v>#VALUE!</v>
      </c>
      <c r="BB60" s="65" t="e">
        <f t="shared" si="101"/>
        <v>#VALUE!</v>
      </c>
      <c r="BC60" s="65" t="e">
        <f t="shared" si="101"/>
        <v>#VALUE!</v>
      </c>
      <c r="BD60" s="65" t="e">
        <f t="shared" si="101"/>
        <v>#VALUE!</v>
      </c>
      <c r="BE60" s="65" t="e">
        <f t="shared" si="101"/>
        <v>#VALUE!</v>
      </c>
      <c r="BF60" s="65" t="e">
        <f t="shared" si="101"/>
        <v>#VALUE!</v>
      </c>
      <c r="BG60" s="65" t="e">
        <f t="shared" si="101"/>
        <v>#VALUE!</v>
      </c>
      <c r="BH60" s="65" t="e">
        <f t="shared" si="101"/>
        <v>#VALUE!</v>
      </c>
      <c r="BI60" s="65" t="e">
        <f t="shared" si="101"/>
        <v>#VALUE!</v>
      </c>
      <c r="BJ60" s="65" t="e">
        <f t="shared" si="101"/>
        <v>#VALUE!</v>
      </c>
      <c r="BK60" s="65" t="e">
        <f t="shared" si="102"/>
        <v>#VALUE!</v>
      </c>
      <c r="BL60" s="65" t="e">
        <f t="shared" si="102"/>
        <v>#VALUE!</v>
      </c>
      <c r="BM60" s="65" t="e">
        <f t="shared" si="102"/>
        <v>#VALUE!</v>
      </c>
      <c r="BN60" s="65" t="e">
        <f t="shared" si="102"/>
        <v>#VALUE!</v>
      </c>
      <c r="BO60" s="65" t="e">
        <f t="shared" si="102"/>
        <v>#VALUE!</v>
      </c>
      <c r="BP60" s="65" t="e">
        <f t="shared" si="102"/>
        <v>#VALUE!</v>
      </c>
      <c r="BQ60" s="65" t="e">
        <f t="shared" si="102"/>
        <v>#VALUE!</v>
      </c>
      <c r="BR60" s="65" t="e">
        <f t="shared" si="102"/>
        <v>#VALUE!</v>
      </c>
      <c r="BS60" s="65" t="e">
        <f t="shared" si="102"/>
        <v>#VALUE!</v>
      </c>
      <c r="BT60" s="65" t="e">
        <f t="shared" si="102"/>
        <v>#VALUE!</v>
      </c>
      <c r="BU60" s="65" t="e">
        <f t="shared" si="103"/>
        <v>#VALUE!</v>
      </c>
      <c r="BV60" s="65" t="e">
        <f t="shared" si="103"/>
        <v>#VALUE!</v>
      </c>
      <c r="BW60" s="65" t="e">
        <f t="shared" si="103"/>
        <v>#VALUE!</v>
      </c>
      <c r="BX60" s="65" t="e">
        <f t="shared" si="103"/>
        <v>#VALUE!</v>
      </c>
      <c r="BY60" s="65" t="e">
        <f t="shared" si="103"/>
        <v>#VALUE!</v>
      </c>
      <c r="BZ60" s="65" t="e">
        <f t="shared" si="103"/>
        <v>#VALUE!</v>
      </c>
      <c r="CA60" s="65" t="e">
        <f t="shared" si="103"/>
        <v>#VALUE!</v>
      </c>
      <c r="CB60" s="65" t="e">
        <f t="shared" si="103"/>
        <v>#VALUE!</v>
      </c>
      <c r="CC60" s="65" t="e">
        <f t="shared" si="103"/>
        <v>#VALUE!</v>
      </c>
      <c r="CD60" s="65" t="e">
        <f t="shared" si="103"/>
        <v>#VALUE!</v>
      </c>
      <c r="CE60" s="65" t="e">
        <f t="shared" si="104"/>
        <v>#VALUE!</v>
      </c>
      <c r="CF60" s="65" t="e">
        <f t="shared" si="104"/>
        <v>#VALUE!</v>
      </c>
      <c r="CG60" s="65" t="e">
        <f t="shared" si="104"/>
        <v>#VALUE!</v>
      </c>
      <c r="CH60" s="65" t="e">
        <f t="shared" si="104"/>
        <v>#VALUE!</v>
      </c>
      <c r="CI60" s="65" t="e">
        <f t="shared" si="104"/>
        <v>#VALUE!</v>
      </c>
      <c r="CJ60" s="65" t="e">
        <f t="shared" si="104"/>
        <v>#VALUE!</v>
      </c>
      <c r="CK60" s="65" t="e">
        <f t="shared" si="104"/>
        <v>#VALUE!</v>
      </c>
      <c r="CL60" s="65" t="e">
        <f t="shared" si="104"/>
        <v>#VALUE!</v>
      </c>
      <c r="CM60" s="65" t="e">
        <f t="shared" si="104"/>
        <v>#VALUE!</v>
      </c>
      <c r="CN60" s="65" t="e">
        <f t="shared" si="104"/>
        <v>#VALUE!</v>
      </c>
      <c r="CO60" s="65" t="e">
        <f t="shared" si="105"/>
        <v>#VALUE!</v>
      </c>
      <c r="CP60" s="65" t="e">
        <f t="shared" si="105"/>
        <v>#VALUE!</v>
      </c>
      <c r="CQ60" s="65" t="e">
        <f t="shared" si="105"/>
        <v>#VALUE!</v>
      </c>
      <c r="CR60" s="65" t="e">
        <f t="shared" si="105"/>
        <v>#VALUE!</v>
      </c>
      <c r="CS60" s="65" t="e">
        <f t="shared" si="105"/>
        <v>#VALUE!</v>
      </c>
      <c r="CT60" s="65" t="e">
        <f t="shared" si="105"/>
        <v>#VALUE!</v>
      </c>
      <c r="CU60" s="65" t="e">
        <f t="shared" si="105"/>
        <v>#VALUE!</v>
      </c>
      <c r="CV60" s="65" t="e">
        <f t="shared" si="105"/>
        <v>#VALUE!</v>
      </c>
      <c r="CW60" s="65" t="e">
        <f t="shared" si="105"/>
        <v>#VALUE!</v>
      </c>
    </row>
    <row r="61" spans="1:101">
      <c r="B61" s="109" t="s">
        <v>100</v>
      </c>
      <c r="C61" s="101">
        <v>1344</v>
      </c>
      <c r="D61" s="101">
        <v>0</v>
      </c>
      <c r="E61" s="258">
        <f>C61-D61</f>
        <v>1344</v>
      </c>
      <c r="F61" s="162" t="str">
        <f>F60</f>
        <v>07 Jul
09 Jul</v>
      </c>
      <c r="G61" s="162" t="e">
        <f>G60</f>
        <v>#VALUE!</v>
      </c>
      <c r="H61" s="65" t="e">
        <f>H60</f>
        <v>#VALUE!</v>
      </c>
      <c r="I61" s="101">
        <v>30</v>
      </c>
      <c r="J61" s="101">
        <v>6</v>
      </c>
      <c r="K61" s="102">
        <f>(E61*J61)/I61</f>
        <v>268.8</v>
      </c>
      <c r="L61" s="505"/>
      <c r="M61" s="65" t="e">
        <f t="shared" si="97"/>
        <v>#VALUE!</v>
      </c>
      <c r="N61" s="65" t="e">
        <f t="shared" si="97"/>
        <v>#VALUE!</v>
      </c>
      <c r="O61" s="65" t="e">
        <f t="shared" si="97"/>
        <v>#VALUE!</v>
      </c>
      <c r="P61" s="65" t="e">
        <f t="shared" si="97"/>
        <v>#VALUE!</v>
      </c>
      <c r="Q61" s="65" t="e">
        <f t="shared" si="97"/>
        <v>#VALUE!</v>
      </c>
      <c r="R61" s="65" t="e">
        <f t="shared" si="97"/>
        <v>#VALUE!</v>
      </c>
      <c r="S61" s="65" t="e">
        <f t="shared" si="97"/>
        <v>#VALUE!</v>
      </c>
      <c r="T61" s="65" t="e">
        <f t="shared" si="97"/>
        <v>#VALUE!</v>
      </c>
      <c r="U61" s="65" t="e">
        <f t="shared" si="97"/>
        <v>#VALUE!</v>
      </c>
      <c r="V61" s="65" t="e">
        <f t="shared" si="97"/>
        <v>#VALUE!</v>
      </c>
      <c r="W61" s="65" t="e">
        <f t="shared" si="98"/>
        <v>#VALUE!</v>
      </c>
      <c r="X61" s="65" t="e">
        <f t="shared" si="98"/>
        <v>#VALUE!</v>
      </c>
      <c r="Y61" s="65" t="e">
        <f t="shared" si="98"/>
        <v>#VALUE!</v>
      </c>
      <c r="Z61" s="65" t="e">
        <f t="shared" si="98"/>
        <v>#VALUE!</v>
      </c>
      <c r="AA61" s="65" t="e">
        <f t="shared" si="98"/>
        <v>#VALUE!</v>
      </c>
      <c r="AB61" s="65" t="e">
        <f t="shared" si="98"/>
        <v>#VALUE!</v>
      </c>
      <c r="AC61" s="65" t="e">
        <f t="shared" si="98"/>
        <v>#VALUE!</v>
      </c>
      <c r="AD61" s="65" t="e">
        <f t="shared" si="98"/>
        <v>#VALUE!</v>
      </c>
      <c r="AE61" s="65" t="e">
        <f t="shared" si="98"/>
        <v>#VALUE!</v>
      </c>
      <c r="AF61" s="65" t="e">
        <f t="shared" si="98"/>
        <v>#VALUE!</v>
      </c>
      <c r="AG61" s="65" t="e">
        <f t="shared" si="99"/>
        <v>#VALUE!</v>
      </c>
      <c r="AH61" s="65" t="e">
        <f t="shared" si="99"/>
        <v>#VALUE!</v>
      </c>
      <c r="AI61" s="65" t="e">
        <f t="shared" si="99"/>
        <v>#VALUE!</v>
      </c>
      <c r="AJ61" s="65" t="e">
        <f t="shared" si="99"/>
        <v>#VALUE!</v>
      </c>
      <c r="AK61" s="65" t="e">
        <f t="shared" si="99"/>
        <v>#VALUE!</v>
      </c>
      <c r="AL61" s="65" t="e">
        <f t="shared" si="99"/>
        <v>#VALUE!</v>
      </c>
      <c r="AM61" s="65" t="e">
        <f t="shared" si="99"/>
        <v>#VALUE!</v>
      </c>
      <c r="AN61" s="65" t="e">
        <f t="shared" si="99"/>
        <v>#VALUE!</v>
      </c>
      <c r="AO61" s="65" t="e">
        <f t="shared" si="99"/>
        <v>#VALUE!</v>
      </c>
      <c r="AP61" s="65" t="e">
        <f t="shared" si="99"/>
        <v>#VALUE!</v>
      </c>
      <c r="AQ61" s="65" t="e">
        <f t="shared" si="100"/>
        <v>#VALUE!</v>
      </c>
      <c r="AR61" s="65" t="e">
        <f t="shared" si="100"/>
        <v>#VALUE!</v>
      </c>
      <c r="AS61" s="65" t="e">
        <f t="shared" si="100"/>
        <v>#VALUE!</v>
      </c>
      <c r="AT61" s="65" t="e">
        <f t="shared" si="100"/>
        <v>#VALUE!</v>
      </c>
      <c r="AU61" s="65" t="e">
        <f t="shared" si="100"/>
        <v>#VALUE!</v>
      </c>
      <c r="AV61" s="65" t="e">
        <f t="shared" si="100"/>
        <v>#VALUE!</v>
      </c>
      <c r="AW61" s="65" t="e">
        <f t="shared" si="100"/>
        <v>#VALUE!</v>
      </c>
      <c r="AX61" s="65" t="e">
        <f t="shared" si="100"/>
        <v>#VALUE!</v>
      </c>
      <c r="AY61" s="65" t="e">
        <f t="shared" si="100"/>
        <v>#VALUE!</v>
      </c>
      <c r="AZ61" s="65" t="e">
        <f t="shared" si="100"/>
        <v>#VALUE!</v>
      </c>
      <c r="BA61" s="65" t="e">
        <f t="shared" si="101"/>
        <v>#VALUE!</v>
      </c>
      <c r="BB61" s="65" t="e">
        <f t="shared" si="101"/>
        <v>#VALUE!</v>
      </c>
      <c r="BC61" s="65" t="e">
        <f t="shared" si="101"/>
        <v>#VALUE!</v>
      </c>
      <c r="BD61" s="65" t="e">
        <f t="shared" si="101"/>
        <v>#VALUE!</v>
      </c>
      <c r="BE61" s="65" t="e">
        <f t="shared" si="101"/>
        <v>#VALUE!</v>
      </c>
      <c r="BF61" s="65" t="e">
        <f t="shared" si="101"/>
        <v>#VALUE!</v>
      </c>
      <c r="BG61" s="65" t="e">
        <f t="shared" si="101"/>
        <v>#VALUE!</v>
      </c>
      <c r="BH61" s="65" t="e">
        <f t="shared" si="101"/>
        <v>#VALUE!</v>
      </c>
      <c r="BI61" s="65" t="e">
        <f t="shared" si="101"/>
        <v>#VALUE!</v>
      </c>
      <c r="BJ61" s="65" t="e">
        <f t="shared" si="101"/>
        <v>#VALUE!</v>
      </c>
      <c r="BK61" s="65" t="e">
        <f t="shared" si="102"/>
        <v>#VALUE!</v>
      </c>
      <c r="BL61" s="65" t="e">
        <f t="shared" si="102"/>
        <v>#VALUE!</v>
      </c>
      <c r="BM61" s="65" t="e">
        <f t="shared" si="102"/>
        <v>#VALUE!</v>
      </c>
      <c r="BN61" s="65" t="e">
        <f t="shared" si="102"/>
        <v>#VALUE!</v>
      </c>
      <c r="BO61" s="65" t="e">
        <f t="shared" si="102"/>
        <v>#VALUE!</v>
      </c>
      <c r="BP61" s="65" t="e">
        <f t="shared" si="102"/>
        <v>#VALUE!</v>
      </c>
      <c r="BQ61" s="65" t="e">
        <f t="shared" si="102"/>
        <v>#VALUE!</v>
      </c>
      <c r="BR61" s="65" t="e">
        <f t="shared" si="102"/>
        <v>#VALUE!</v>
      </c>
      <c r="BS61" s="65" t="e">
        <f t="shared" si="102"/>
        <v>#VALUE!</v>
      </c>
      <c r="BT61" s="65" t="e">
        <f t="shared" si="102"/>
        <v>#VALUE!</v>
      </c>
      <c r="BU61" s="65" t="e">
        <f t="shared" si="103"/>
        <v>#VALUE!</v>
      </c>
      <c r="BV61" s="65" t="e">
        <f t="shared" si="103"/>
        <v>#VALUE!</v>
      </c>
      <c r="BW61" s="65" t="e">
        <f t="shared" si="103"/>
        <v>#VALUE!</v>
      </c>
      <c r="BX61" s="65" t="e">
        <f t="shared" si="103"/>
        <v>#VALUE!</v>
      </c>
      <c r="BY61" s="65" t="e">
        <f t="shared" si="103"/>
        <v>#VALUE!</v>
      </c>
      <c r="BZ61" s="65" t="e">
        <f t="shared" si="103"/>
        <v>#VALUE!</v>
      </c>
      <c r="CA61" s="65" t="e">
        <f t="shared" si="103"/>
        <v>#VALUE!</v>
      </c>
      <c r="CB61" s="65" t="e">
        <f t="shared" si="103"/>
        <v>#VALUE!</v>
      </c>
      <c r="CC61" s="65" t="e">
        <f t="shared" si="103"/>
        <v>#VALUE!</v>
      </c>
      <c r="CD61" s="65" t="e">
        <f t="shared" si="103"/>
        <v>#VALUE!</v>
      </c>
      <c r="CE61" s="65" t="e">
        <f t="shared" si="104"/>
        <v>#VALUE!</v>
      </c>
      <c r="CF61" s="65" t="e">
        <f t="shared" si="104"/>
        <v>#VALUE!</v>
      </c>
      <c r="CG61" s="65" t="e">
        <f t="shared" si="104"/>
        <v>#VALUE!</v>
      </c>
      <c r="CH61" s="65" t="e">
        <f t="shared" si="104"/>
        <v>#VALUE!</v>
      </c>
      <c r="CI61" s="65" t="e">
        <f t="shared" si="104"/>
        <v>#VALUE!</v>
      </c>
      <c r="CJ61" s="65" t="e">
        <f t="shared" si="104"/>
        <v>#VALUE!</v>
      </c>
      <c r="CK61" s="65" t="e">
        <f t="shared" si="104"/>
        <v>#VALUE!</v>
      </c>
      <c r="CL61" s="65" t="e">
        <f t="shared" si="104"/>
        <v>#VALUE!</v>
      </c>
      <c r="CM61" s="65" t="e">
        <f t="shared" si="104"/>
        <v>#VALUE!</v>
      </c>
      <c r="CN61" s="65" t="e">
        <f t="shared" si="104"/>
        <v>#VALUE!</v>
      </c>
      <c r="CO61" s="65" t="e">
        <f t="shared" si="105"/>
        <v>#VALUE!</v>
      </c>
      <c r="CP61" s="65" t="e">
        <f t="shared" si="105"/>
        <v>#VALUE!</v>
      </c>
      <c r="CQ61" s="65" t="e">
        <f t="shared" si="105"/>
        <v>#VALUE!</v>
      </c>
      <c r="CR61" s="65" t="e">
        <f t="shared" si="105"/>
        <v>#VALUE!</v>
      </c>
      <c r="CS61" s="65" t="e">
        <f t="shared" si="105"/>
        <v>#VALUE!</v>
      </c>
      <c r="CT61" s="65" t="e">
        <f t="shared" si="105"/>
        <v>#VALUE!</v>
      </c>
      <c r="CU61" s="65" t="e">
        <f t="shared" si="105"/>
        <v>#VALUE!</v>
      </c>
      <c r="CV61" s="65" t="e">
        <f t="shared" si="105"/>
        <v>#VALUE!</v>
      </c>
      <c r="CW61" s="65" t="e">
        <f t="shared" si="105"/>
        <v>#VALUE!</v>
      </c>
    </row>
    <row r="63" spans="1:101">
      <c r="B63" s="109" t="s">
        <v>91</v>
      </c>
      <c r="C63" s="109" t="s">
        <v>92</v>
      </c>
      <c r="D63" s="109" t="s">
        <v>93</v>
      </c>
      <c r="E63" s="109" t="s">
        <v>94</v>
      </c>
      <c r="F63" s="109" t="s">
        <v>78</v>
      </c>
      <c r="G63" s="109" t="s">
        <v>79</v>
      </c>
      <c r="H63" s="109" t="s">
        <v>59</v>
      </c>
      <c r="I63" s="109" t="s">
        <v>95</v>
      </c>
      <c r="J63" s="109" t="s">
        <v>96</v>
      </c>
      <c r="K63" s="109" t="s">
        <v>97</v>
      </c>
      <c r="L63" s="109" t="s">
        <v>80</v>
      </c>
      <c r="M63" s="260">
        <v>46201</v>
      </c>
      <c r="N63" s="260">
        <v>46202</v>
      </c>
      <c r="O63" s="260">
        <v>46203</v>
      </c>
      <c r="P63" s="260">
        <v>46204</v>
      </c>
      <c r="Q63" s="260">
        <v>46205</v>
      </c>
      <c r="R63" s="260">
        <v>46206</v>
      </c>
      <c r="S63" s="260">
        <v>46207</v>
      </c>
      <c r="T63" s="260">
        <v>46208</v>
      </c>
      <c r="U63" s="260">
        <v>46209</v>
      </c>
      <c r="V63" s="260">
        <v>46210</v>
      </c>
      <c r="W63" s="260">
        <v>46211</v>
      </c>
      <c r="X63" s="260">
        <v>46212</v>
      </c>
      <c r="Y63" s="260">
        <v>46213</v>
      </c>
      <c r="Z63" s="260">
        <v>46214</v>
      </c>
      <c r="AA63" s="260">
        <v>46215</v>
      </c>
      <c r="AB63" s="260">
        <v>46216</v>
      </c>
      <c r="AC63" s="260">
        <v>46217</v>
      </c>
      <c r="AD63" s="260">
        <v>46218</v>
      </c>
      <c r="AE63" s="260">
        <v>46219</v>
      </c>
      <c r="AF63" s="260">
        <v>46220</v>
      </c>
      <c r="AG63" s="260">
        <v>46221</v>
      </c>
      <c r="AH63" s="260">
        <v>46222</v>
      </c>
      <c r="AI63" s="260">
        <v>46223</v>
      </c>
      <c r="AJ63" s="260">
        <v>46224</v>
      </c>
      <c r="AK63" s="260">
        <v>46225</v>
      </c>
      <c r="AL63" s="260">
        <v>46226</v>
      </c>
      <c r="AM63" s="260">
        <v>46227</v>
      </c>
      <c r="AN63" s="260">
        <v>46228</v>
      </c>
      <c r="AO63" s="260">
        <v>46229</v>
      </c>
      <c r="AP63" s="260">
        <v>46230</v>
      </c>
      <c r="AQ63" s="260">
        <v>46231</v>
      </c>
      <c r="AR63" s="260">
        <v>46232</v>
      </c>
      <c r="AS63" s="260">
        <v>46233</v>
      </c>
      <c r="AT63" s="260">
        <v>46234</v>
      </c>
      <c r="AU63" s="260">
        <v>46235</v>
      </c>
      <c r="AV63" s="260">
        <v>46236</v>
      </c>
      <c r="AW63" s="260">
        <v>46237</v>
      </c>
      <c r="AX63" s="260">
        <v>46238</v>
      </c>
      <c r="AY63" s="260">
        <v>46239</v>
      </c>
      <c r="AZ63" s="260">
        <v>46240</v>
      </c>
      <c r="BA63" s="260">
        <v>46241</v>
      </c>
      <c r="BB63" s="260">
        <v>46242</v>
      </c>
      <c r="BC63" s="260">
        <v>46243</v>
      </c>
      <c r="BD63" s="260">
        <v>46244</v>
      </c>
      <c r="BE63" s="260">
        <v>46245</v>
      </c>
      <c r="BF63" s="260">
        <v>46246</v>
      </c>
      <c r="BG63" s="260">
        <v>46247</v>
      </c>
      <c r="BH63" s="260">
        <v>46248</v>
      </c>
      <c r="BI63" s="260">
        <v>46249</v>
      </c>
      <c r="BJ63" s="260">
        <v>46250</v>
      </c>
      <c r="BK63" s="260">
        <v>46251</v>
      </c>
      <c r="BL63" s="260">
        <v>46252</v>
      </c>
      <c r="BM63" s="260">
        <v>46253</v>
      </c>
      <c r="BN63" s="260">
        <v>46254</v>
      </c>
      <c r="BO63" s="260">
        <v>46255</v>
      </c>
      <c r="BP63" s="260">
        <v>46256</v>
      </c>
      <c r="BQ63" s="260">
        <v>46257</v>
      </c>
      <c r="BR63" s="260">
        <v>46258</v>
      </c>
      <c r="BS63" s="260">
        <v>46259</v>
      </c>
      <c r="BT63" s="260">
        <v>46260</v>
      </c>
      <c r="BU63" s="260">
        <v>46261</v>
      </c>
      <c r="BV63" s="260">
        <v>46262</v>
      </c>
      <c r="BW63" s="260">
        <v>46263</v>
      </c>
      <c r="BX63" s="260">
        <v>46264</v>
      </c>
      <c r="BY63" s="260">
        <v>46265</v>
      </c>
      <c r="BZ63" s="260">
        <v>46266</v>
      </c>
      <c r="CA63" s="260">
        <v>46267</v>
      </c>
      <c r="CB63" s="260">
        <v>46268</v>
      </c>
      <c r="CC63" s="260">
        <v>46269</v>
      </c>
      <c r="CD63" s="260">
        <v>46270</v>
      </c>
      <c r="CE63" s="260">
        <v>46271</v>
      </c>
      <c r="CF63" s="260">
        <v>46272</v>
      </c>
      <c r="CG63" s="260">
        <v>46273</v>
      </c>
      <c r="CH63" s="260">
        <v>46274</v>
      </c>
      <c r="CI63" s="260">
        <v>46275</v>
      </c>
      <c r="CJ63" s="260">
        <v>46276</v>
      </c>
      <c r="CK63" s="260">
        <v>46277</v>
      </c>
      <c r="CL63" s="260">
        <v>46278</v>
      </c>
      <c r="CM63" s="260">
        <v>46279</v>
      </c>
      <c r="CN63" s="260">
        <v>46280</v>
      </c>
      <c r="CO63" s="260">
        <v>46281</v>
      </c>
      <c r="CP63" s="260">
        <v>46282</v>
      </c>
      <c r="CQ63" s="260">
        <v>46283</v>
      </c>
      <c r="CR63" s="260">
        <v>46284</v>
      </c>
      <c r="CS63" s="260">
        <v>46285</v>
      </c>
      <c r="CT63" s="260">
        <v>46286</v>
      </c>
      <c r="CU63" s="260">
        <v>46287</v>
      </c>
      <c r="CV63" s="260">
        <v>46288</v>
      </c>
      <c r="CW63" s="260">
        <v>46289</v>
      </c>
    </row>
    <row r="64" spans="1:101">
      <c r="A64" t="s">
        <v>101</v>
      </c>
      <c r="B64" s="138" t="s">
        <v>21</v>
      </c>
      <c r="C64" s="101">
        <v>48</v>
      </c>
      <c r="D64" s="102">
        <v>0</v>
      </c>
      <c r="E64" s="258">
        <f>C64-D64</f>
        <v>48</v>
      </c>
      <c r="F64" s="165" t="str">
        <f>'BESS 12'!D141</f>
        <v>13 Jul
20 Jul
22 Jul</v>
      </c>
      <c r="G64" s="165" t="e">
        <f>F64+4</f>
        <v>#VALUE!</v>
      </c>
      <c r="H64" s="65" t="e">
        <f>G64-F64</f>
        <v>#VALUE!</v>
      </c>
      <c r="I64" s="96">
        <v>10</v>
      </c>
      <c r="J64" s="93">
        <v>1</v>
      </c>
      <c r="K64" s="94">
        <f>(E64*J64)/I64</f>
        <v>4.8</v>
      </c>
      <c r="L64" s="505" t="e">
        <f>AVERAGEIF(M64:CW66,"&gt;0")</f>
        <v>#DIV/0!</v>
      </c>
      <c r="M64" s="65" t="e">
        <f t="shared" ref="M64:V66" si="106">IF(AND(M$2&gt;=$F64,M$2&lt;($F64+$H64)),ROUND($K64/$H64,0),"-")</f>
        <v>#VALUE!</v>
      </c>
      <c r="N64" s="65" t="e">
        <f t="shared" si="106"/>
        <v>#VALUE!</v>
      </c>
      <c r="O64" s="65" t="e">
        <f t="shared" si="106"/>
        <v>#VALUE!</v>
      </c>
      <c r="P64" s="65" t="e">
        <f t="shared" si="106"/>
        <v>#VALUE!</v>
      </c>
      <c r="Q64" s="65" t="e">
        <f t="shared" si="106"/>
        <v>#VALUE!</v>
      </c>
      <c r="R64" s="65" t="e">
        <f t="shared" si="106"/>
        <v>#VALUE!</v>
      </c>
      <c r="S64" s="65" t="e">
        <f t="shared" si="106"/>
        <v>#VALUE!</v>
      </c>
      <c r="T64" s="65" t="e">
        <f t="shared" si="106"/>
        <v>#VALUE!</v>
      </c>
      <c r="U64" s="65" t="e">
        <f t="shared" si="106"/>
        <v>#VALUE!</v>
      </c>
      <c r="V64" s="65" t="e">
        <f t="shared" si="106"/>
        <v>#VALUE!</v>
      </c>
      <c r="W64" s="65" t="e">
        <f t="shared" ref="W64:AF66" si="107">IF(AND(W$2&gt;=$F64,W$2&lt;($F64+$H64)),ROUND($K64/$H64,0),"-")</f>
        <v>#VALUE!</v>
      </c>
      <c r="X64" s="65" t="e">
        <f t="shared" si="107"/>
        <v>#VALUE!</v>
      </c>
      <c r="Y64" s="65" t="e">
        <f t="shared" si="107"/>
        <v>#VALUE!</v>
      </c>
      <c r="Z64" s="65" t="e">
        <f t="shared" si="107"/>
        <v>#VALUE!</v>
      </c>
      <c r="AA64" s="65" t="e">
        <f t="shared" si="107"/>
        <v>#VALUE!</v>
      </c>
      <c r="AB64" s="65" t="e">
        <f t="shared" si="107"/>
        <v>#VALUE!</v>
      </c>
      <c r="AC64" s="65" t="e">
        <f t="shared" si="107"/>
        <v>#VALUE!</v>
      </c>
      <c r="AD64" s="65" t="e">
        <f t="shared" si="107"/>
        <v>#VALUE!</v>
      </c>
      <c r="AE64" s="65" t="e">
        <f t="shared" si="107"/>
        <v>#VALUE!</v>
      </c>
      <c r="AF64" s="65" t="e">
        <f t="shared" si="107"/>
        <v>#VALUE!</v>
      </c>
      <c r="AG64" s="65" t="e">
        <f t="shared" ref="AG64:AP66" si="108">IF(AND(AG$2&gt;=$F64,AG$2&lt;($F64+$H64)),ROUND($K64/$H64,0),"-")</f>
        <v>#VALUE!</v>
      </c>
      <c r="AH64" s="65" t="e">
        <f t="shared" si="108"/>
        <v>#VALUE!</v>
      </c>
      <c r="AI64" s="65" t="e">
        <f t="shared" si="108"/>
        <v>#VALUE!</v>
      </c>
      <c r="AJ64" s="65" t="e">
        <f t="shared" si="108"/>
        <v>#VALUE!</v>
      </c>
      <c r="AK64" s="65" t="e">
        <f t="shared" si="108"/>
        <v>#VALUE!</v>
      </c>
      <c r="AL64" s="65" t="e">
        <f t="shared" si="108"/>
        <v>#VALUE!</v>
      </c>
      <c r="AM64" s="65" t="e">
        <f t="shared" si="108"/>
        <v>#VALUE!</v>
      </c>
      <c r="AN64" s="65" t="e">
        <f t="shared" si="108"/>
        <v>#VALUE!</v>
      </c>
      <c r="AO64" s="65" t="e">
        <f t="shared" si="108"/>
        <v>#VALUE!</v>
      </c>
      <c r="AP64" s="65" t="e">
        <f t="shared" si="108"/>
        <v>#VALUE!</v>
      </c>
      <c r="AQ64" s="65" t="e">
        <f t="shared" ref="AQ64:AZ66" si="109">IF(AND(AQ$2&gt;=$F64,AQ$2&lt;($F64+$H64)),ROUND($K64/$H64,0),"-")</f>
        <v>#VALUE!</v>
      </c>
      <c r="AR64" s="65" t="e">
        <f t="shared" si="109"/>
        <v>#VALUE!</v>
      </c>
      <c r="AS64" s="65" t="e">
        <f t="shared" si="109"/>
        <v>#VALUE!</v>
      </c>
      <c r="AT64" s="65" t="e">
        <f t="shared" si="109"/>
        <v>#VALUE!</v>
      </c>
      <c r="AU64" s="65" t="e">
        <f t="shared" si="109"/>
        <v>#VALUE!</v>
      </c>
      <c r="AV64" s="65" t="e">
        <f t="shared" si="109"/>
        <v>#VALUE!</v>
      </c>
      <c r="AW64" s="65" t="e">
        <f t="shared" si="109"/>
        <v>#VALUE!</v>
      </c>
      <c r="AX64" s="65" t="e">
        <f t="shared" si="109"/>
        <v>#VALUE!</v>
      </c>
      <c r="AY64" s="65" t="e">
        <f t="shared" si="109"/>
        <v>#VALUE!</v>
      </c>
      <c r="AZ64" s="65" t="e">
        <f t="shared" si="109"/>
        <v>#VALUE!</v>
      </c>
      <c r="BA64" s="65" t="e">
        <f t="shared" ref="BA64:BJ66" si="110">IF(AND(BA$2&gt;=$F64,BA$2&lt;($F64+$H64)),ROUND($K64/$H64,0),"-")</f>
        <v>#VALUE!</v>
      </c>
      <c r="BB64" s="65" t="e">
        <f t="shared" si="110"/>
        <v>#VALUE!</v>
      </c>
      <c r="BC64" s="65" t="e">
        <f t="shared" si="110"/>
        <v>#VALUE!</v>
      </c>
      <c r="BD64" s="65" t="e">
        <f t="shared" si="110"/>
        <v>#VALUE!</v>
      </c>
      <c r="BE64" s="65" t="e">
        <f t="shared" si="110"/>
        <v>#VALUE!</v>
      </c>
      <c r="BF64" s="65" t="e">
        <f t="shared" si="110"/>
        <v>#VALUE!</v>
      </c>
      <c r="BG64" s="65" t="e">
        <f t="shared" si="110"/>
        <v>#VALUE!</v>
      </c>
      <c r="BH64" s="65" t="e">
        <f t="shared" si="110"/>
        <v>#VALUE!</v>
      </c>
      <c r="BI64" s="65" t="e">
        <f t="shared" si="110"/>
        <v>#VALUE!</v>
      </c>
      <c r="BJ64" s="65" t="e">
        <f t="shared" si="110"/>
        <v>#VALUE!</v>
      </c>
      <c r="BK64" s="65" t="e">
        <f t="shared" ref="BK64:BT66" si="111">IF(AND(BK$2&gt;=$F64,BK$2&lt;($F64+$H64)),ROUND($K64/$H64,0),"-")</f>
        <v>#VALUE!</v>
      </c>
      <c r="BL64" s="65" t="e">
        <f t="shared" si="111"/>
        <v>#VALUE!</v>
      </c>
      <c r="BM64" s="65" t="e">
        <f t="shared" si="111"/>
        <v>#VALUE!</v>
      </c>
      <c r="BN64" s="65" t="e">
        <f t="shared" si="111"/>
        <v>#VALUE!</v>
      </c>
      <c r="BO64" s="65" t="e">
        <f t="shared" si="111"/>
        <v>#VALUE!</v>
      </c>
      <c r="BP64" s="65" t="e">
        <f t="shared" si="111"/>
        <v>#VALUE!</v>
      </c>
      <c r="BQ64" s="65" t="e">
        <f t="shared" si="111"/>
        <v>#VALUE!</v>
      </c>
      <c r="BR64" s="65" t="e">
        <f t="shared" si="111"/>
        <v>#VALUE!</v>
      </c>
      <c r="BS64" s="65" t="e">
        <f t="shared" si="111"/>
        <v>#VALUE!</v>
      </c>
      <c r="BT64" s="65" t="e">
        <f t="shared" si="111"/>
        <v>#VALUE!</v>
      </c>
      <c r="BU64" s="65" t="e">
        <f t="shared" ref="BU64:CD66" si="112">IF(AND(BU$2&gt;=$F64,BU$2&lt;($F64+$H64)),ROUND($K64/$H64,0),"-")</f>
        <v>#VALUE!</v>
      </c>
      <c r="BV64" s="65" t="e">
        <f t="shared" si="112"/>
        <v>#VALUE!</v>
      </c>
      <c r="BW64" s="65" t="e">
        <f t="shared" si="112"/>
        <v>#VALUE!</v>
      </c>
      <c r="BX64" s="65" t="e">
        <f t="shared" si="112"/>
        <v>#VALUE!</v>
      </c>
      <c r="BY64" s="65" t="e">
        <f t="shared" si="112"/>
        <v>#VALUE!</v>
      </c>
      <c r="BZ64" s="65" t="e">
        <f t="shared" si="112"/>
        <v>#VALUE!</v>
      </c>
      <c r="CA64" s="65" t="e">
        <f t="shared" si="112"/>
        <v>#VALUE!</v>
      </c>
      <c r="CB64" s="65" t="e">
        <f t="shared" si="112"/>
        <v>#VALUE!</v>
      </c>
      <c r="CC64" s="65" t="e">
        <f t="shared" si="112"/>
        <v>#VALUE!</v>
      </c>
      <c r="CD64" s="65" t="e">
        <f t="shared" si="112"/>
        <v>#VALUE!</v>
      </c>
      <c r="CE64" s="65" t="e">
        <f t="shared" ref="CE64:CN66" si="113">IF(AND(CE$2&gt;=$F64,CE$2&lt;($F64+$H64)),ROUND($K64/$H64,0),"-")</f>
        <v>#VALUE!</v>
      </c>
      <c r="CF64" s="65" t="e">
        <f t="shared" si="113"/>
        <v>#VALUE!</v>
      </c>
      <c r="CG64" s="65" t="e">
        <f t="shared" si="113"/>
        <v>#VALUE!</v>
      </c>
      <c r="CH64" s="65" t="e">
        <f t="shared" si="113"/>
        <v>#VALUE!</v>
      </c>
      <c r="CI64" s="65" t="e">
        <f t="shared" si="113"/>
        <v>#VALUE!</v>
      </c>
      <c r="CJ64" s="65" t="e">
        <f t="shared" si="113"/>
        <v>#VALUE!</v>
      </c>
      <c r="CK64" s="65" t="e">
        <f t="shared" si="113"/>
        <v>#VALUE!</v>
      </c>
      <c r="CL64" s="65" t="e">
        <f t="shared" si="113"/>
        <v>#VALUE!</v>
      </c>
      <c r="CM64" s="65" t="e">
        <f t="shared" si="113"/>
        <v>#VALUE!</v>
      </c>
      <c r="CN64" s="65" t="e">
        <f t="shared" si="113"/>
        <v>#VALUE!</v>
      </c>
      <c r="CO64" s="65" t="e">
        <f t="shared" ref="CO64:CW66" si="114">IF(AND(CO$2&gt;=$F64,CO$2&lt;($F64+$H64)),ROUND($K64/$H64,0),"-")</f>
        <v>#VALUE!</v>
      </c>
      <c r="CP64" s="65" t="e">
        <f t="shared" si="114"/>
        <v>#VALUE!</v>
      </c>
      <c r="CQ64" s="65" t="e">
        <f t="shared" si="114"/>
        <v>#VALUE!</v>
      </c>
      <c r="CR64" s="65" t="e">
        <f t="shared" si="114"/>
        <v>#VALUE!</v>
      </c>
      <c r="CS64" s="65" t="e">
        <f t="shared" si="114"/>
        <v>#VALUE!</v>
      </c>
      <c r="CT64" s="65" t="e">
        <f t="shared" si="114"/>
        <v>#VALUE!</v>
      </c>
      <c r="CU64" s="65" t="e">
        <f t="shared" si="114"/>
        <v>#VALUE!</v>
      </c>
      <c r="CV64" s="65" t="e">
        <f t="shared" si="114"/>
        <v>#VALUE!</v>
      </c>
      <c r="CW64" s="65" t="e">
        <f t="shared" si="114"/>
        <v>#VALUE!</v>
      </c>
    </row>
    <row r="65" spans="1:101">
      <c r="B65" s="109" t="s">
        <v>99</v>
      </c>
      <c r="C65" s="101">
        <v>768</v>
      </c>
      <c r="D65" s="258">
        <f>SUM('[1]Electrical Work'!$G$446:$G$451)</f>
        <v>810</v>
      </c>
      <c r="E65" s="258">
        <f>C65-D65</f>
        <v>-42</v>
      </c>
      <c r="F65" s="162" t="str">
        <f>F64</f>
        <v>13 Jul
20 Jul
22 Jul</v>
      </c>
      <c r="G65" s="162" t="e">
        <f>G64</f>
        <v>#VALUE!</v>
      </c>
      <c r="H65" s="65" t="e">
        <f>G65-F65</f>
        <v>#VALUE!</v>
      </c>
      <c r="I65" s="259">
        <v>30</v>
      </c>
      <c r="J65" s="259">
        <v>18</v>
      </c>
      <c r="K65" s="102">
        <f>(E65*J65)/I65</f>
        <v>-25.2</v>
      </c>
      <c r="L65" s="505"/>
      <c r="M65" s="65" t="e">
        <f t="shared" si="106"/>
        <v>#VALUE!</v>
      </c>
      <c r="N65" s="65" t="e">
        <f t="shared" si="106"/>
        <v>#VALUE!</v>
      </c>
      <c r="O65" s="65" t="e">
        <f t="shared" si="106"/>
        <v>#VALUE!</v>
      </c>
      <c r="P65" s="65" t="e">
        <f t="shared" si="106"/>
        <v>#VALUE!</v>
      </c>
      <c r="Q65" s="65" t="e">
        <f t="shared" si="106"/>
        <v>#VALUE!</v>
      </c>
      <c r="R65" s="65" t="e">
        <f t="shared" si="106"/>
        <v>#VALUE!</v>
      </c>
      <c r="S65" s="65" t="e">
        <f t="shared" si="106"/>
        <v>#VALUE!</v>
      </c>
      <c r="T65" s="65" t="e">
        <f t="shared" si="106"/>
        <v>#VALUE!</v>
      </c>
      <c r="U65" s="65" t="e">
        <f t="shared" si="106"/>
        <v>#VALUE!</v>
      </c>
      <c r="V65" s="65" t="e">
        <f t="shared" si="106"/>
        <v>#VALUE!</v>
      </c>
      <c r="W65" s="65" t="e">
        <f t="shared" si="107"/>
        <v>#VALUE!</v>
      </c>
      <c r="X65" s="65" t="e">
        <f t="shared" si="107"/>
        <v>#VALUE!</v>
      </c>
      <c r="Y65" s="65" t="e">
        <f t="shared" si="107"/>
        <v>#VALUE!</v>
      </c>
      <c r="Z65" s="65" t="e">
        <f t="shared" si="107"/>
        <v>#VALUE!</v>
      </c>
      <c r="AA65" s="65" t="e">
        <f t="shared" si="107"/>
        <v>#VALUE!</v>
      </c>
      <c r="AB65" s="65" t="e">
        <f t="shared" si="107"/>
        <v>#VALUE!</v>
      </c>
      <c r="AC65" s="65" t="e">
        <f t="shared" si="107"/>
        <v>#VALUE!</v>
      </c>
      <c r="AD65" s="65" t="e">
        <f t="shared" si="107"/>
        <v>#VALUE!</v>
      </c>
      <c r="AE65" s="65" t="e">
        <f t="shared" si="107"/>
        <v>#VALUE!</v>
      </c>
      <c r="AF65" s="65" t="e">
        <f t="shared" si="107"/>
        <v>#VALUE!</v>
      </c>
      <c r="AG65" s="65" t="e">
        <f t="shared" si="108"/>
        <v>#VALUE!</v>
      </c>
      <c r="AH65" s="65" t="e">
        <f t="shared" si="108"/>
        <v>#VALUE!</v>
      </c>
      <c r="AI65" s="65" t="e">
        <f t="shared" si="108"/>
        <v>#VALUE!</v>
      </c>
      <c r="AJ65" s="65" t="e">
        <f t="shared" si="108"/>
        <v>#VALUE!</v>
      </c>
      <c r="AK65" s="65" t="e">
        <f t="shared" si="108"/>
        <v>#VALUE!</v>
      </c>
      <c r="AL65" s="65" t="e">
        <f t="shared" si="108"/>
        <v>#VALUE!</v>
      </c>
      <c r="AM65" s="65" t="e">
        <f t="shared" si="108"/>
        <v>#VALUE!</v>
      </c>
      <c r="AN65" s="65" t="e">
        <f t="shared" si="108"/>
        <v>#VALUE!</v>
      </c>
      <c r="AO65" s="65" t="e">
        <f t="shared" si="108"/>
        <v>#VALUE!</v>
      </c>
      <c r="AP65" s="65" t="e">
        <f t="shared" si="108"/>
        <v>#VALUE!</v>
      </c>
      <c r="AQ65" s="65" t="e">
        <f t="shared" si="109"/>
        <v>#VALUE!</v>
      </c>
      <c r="AR65" s="65" t="e">
        <f t="shared" si="109"/>
        <v>#VALUE!</v>
      </c>
      <c r="AS65" s="65" t="e">
        <f t="shared" si="109"/>
        <v>#VALUE!</v>
      </c>
      <c r="AT65" s="65" t="e">
        <f t="shared" si="109"/>
        <v>#VALUE!</v>
      </c>
      <c r="AU65" s="65" t="e">
        <f t="shared" si="109"/>
        <v>#VALUE!</v>
      </c>
      <c r="AV65" s="65" t="e">
        <f t="shared" si="109"/>
        <v>#VALUE!</v>
      </c>
      <c r="AW65" s="65" t="e">
        <f t="shared" si="109"/>
        <v>#VALUE!</v>
      </c>
      <c r="AX65" s="65" t="e">
        <f t="shared" si="109"/>
        <v>#VALUE!</v>
      </c>
      <c r="AY65" s="65" t="e">
        <f t="shared" si="109"/>
        <v>#VALUE!</v>
      </c>
      <c r="AZ65" s="65" t="e">
        <f t="shared" si="109"/>
        <v>#VALUE!</v>
      </c>
      <c r="BA65" s="65" t="e">
        <f t="shared" si="110"/>
        <v>#VALUE!</v>
      </c>
      <c r="BB65" s="65" t="e">
        <f t="shared" si="110"/>
        <v>#VALUE!</v>
      </c>
      <c r="BC65" s="65" t="e">
        <f t="shared" si="110"/>
        <v>#VALUE!</v>
      </c>
      <c r="BD65" s="65" t="e">
        <f t="shared" si="110"/>
        <v>#VALUE!</v>
      </c>
      <c r="BE65" s="65" t="e">
        <f t="shared" si="110"/>
        <v>#VALUE!</v>
      </c>
      <c r="BF65" s="65" t="e">
        <f t="shared" si="110"/>
        <v>#VALUE!</v>
      </c>
      <c r="BG65" s="65" t="e">
        <f t="shared" si="110"/>
        <v>#VALUE!</v>
      </c>
      <c r="BH65" s="65" t="e">
        <f t="shared" si="110"/>
        <v>#VALUE!</v>
      </c>
      <c r="BI65" s="65" t="e">
        <f t="shared" si="110"/>
        <v>#VALUE!</v>
      </c>
      <c r="BJ65" s="65" t="e">
        <f t="shared" si="110"/>
        <v>#VALUE!</v>
      </c>
      <c r="BK65" s="65" t="e">
        <f t="shared" si="111"/>
        <v>#VALUE!</v>
      </c>
      <c r="BL65" s="65" t="e">
        <f t="shared" si="111"/>
        <v>#VALUE!</v>
      </c>
      <c r="BM65" s="65" t="e">
        <f t="shared" si="111"/>
        <v>#VALUE!</v>
      </c>
      <c r="BN65" s="65" t="e">
        <f t="shared" si="111"/>
        <v>#VALUE!</v>
      </c>
      <c r="BO65" s="65" t="e">
        <f t="shared" si="111"/>
        <v>#VALUE!</v>
      </c>
      <c r="BP65" s="65" t="e">
        <f t="shared" si="111"/>
        <v>#VALUE!</v>
      </c>
      <c r="BQ65" s="65" t="e">
        <f t="shared" si="111"/>
        <v>#VALUE!</v>
      </c>
      <c r="BR65" s="65" t="e">
        <f t="shared" si="111"/>
        <v>#VALUE!</v>
      </c>
      <c r="BS65" s="65" t="e">
        <f t="shared" si="111"/>
        <v>#VALUE!</v>
      </c>
      <c r="BT65" s="65" t="e">
        <f t="shared" si="111"/>
        <v>#VALUE!</v>
      </c>
      <c r="BU65" s="65" t="e">
        <f t="shared" si="112"/>
        <v>#VALUE!</v>
      </c>
      <c r="BV65" s="65" t="e">
        <f t="shared" si="112"/>
        <v>#VALUE!</v>
      </c>
      <c r="BW65" s="65" t="e">
        <f t="shared" si="112"/>
        <v>#VALUE!</v>
      </c>
      <c r="BX65" s="65" t="e">
        <f t="shared" si="112"/>
        <v>#VALUE!</v>
      </c>
      <c r="BY65" s="65" t="e">
        <f t="shared" si="112"/>
        <v>#VALUE!</v>
      </c>
      <c r="BZ65" s="65" t="e">
        <f t="shared" si="112"/>
        <v>#VALUE!</v>
      </c>
      <c r="CA65" s="65" t="e">
        <f t="shared" si="112"/>
        <v>#VALUE!</v>
      </c>
      <c r="CB65" s="65" t="e">
        <f t="shared" si="112"/>
        <v>#VALUE!</v>
      </c>
      <c r="CC65" s="65" t="e">
        <f t="shared" si="112"/>
        <v>#VALUE!</v>
      </c>
      <c r="CD65" s="65" t="e">
        <f t="shared" si="112"/>
        <v>#VALUE!</v>
      </c>
      <c r="CE65" s="65" t="e">
        <f t="shared" si="113"/>
        <v>#VALUE!</v>
      </c>
      <c r="CF65" s="65" t="e">
        <f t="shared" si="113"/>
        <v>#VALUE!</v>
      </c>
      <c r="CG65" s="65" t="e">
        <f t="shared" si="113"/>
        <v>#VALUE!</v>
      </c>
      <c r="CH65" s="65" t="e">
        <f t="shared" si="113"/>
        <v>#VALUE!</v>
      </c>
      <c r="CI65" s="65" t="e">
        <f t="shared" si="113"/>
        <v>#VALUE!</v>
      </c>
      <c r="CJ65" s="65" t="e">
        <f t="shared" si="113"/>
        <v>#VALUE!</v>
      </c>
      <c r="CK65" s="65" t="e">
        <f t="shared" si="113"/>
        <v>#VALUE!</v>
      </c>
      <c r="CL65" s="65" t="e">
        <f t="shared" si="113"/>
        <v>#VALUE!</v>
      </c>
      <c r="CM65" s="65" t="e">
        <f t="shared" si="113"/>
        <v>#VALUE!</v>
      </c>
      <c r="CN65" s="65" t="e">
        <f t="shared" si="113"/>
        <v>#VALUE!</v>
      </c>
      <c r="CO65" s="65" t="e">
        <f t="shared" si="114"/>
        <v>#VALUE!</v>
      </c>
      <c r="CP65" s="65" t="e">
        <f t="shared" si="114"/>
        <v>#VALUE!</v>
      </c>
      <c r="CQ65" s="65" t="e">
        <f t="shared" si="114"/>
        <v>#VALUE!</v>
      </c>
      <c r="CR65" s="65" t="e">
        <f t="shared" si="114"/>
        <v>#VALUE!</v>
      </c>
      <c r="CS65" s="65" t="e">
        <f t="shared" si="114"/>
        <v>#VALUE!</v>
      </c>
      <c r="CT65" s="65" t="e">
        <f t="shared" si="114"/>
        <v>#VALUE!</v>
      </c>
      <c r="CU65" s="65" t="e">
        <f t="shared" si="114"/>
        <v>#VALUE!</v>
      </c>
      <c r="CV65" s="65" t="e">
        <f t="shared" si="114"/>
        <v>#VALUE!</v>
      </c>
      <c r="CW65" s="65" t="e">
        <f t="shared" si="114"/>
        <v>#VALUE!</v>
      </c>
    </row>
    <row r="66" spans="1:101">
      <c r="B66" s="109" t="s">
        <v>100</v>
      </c>
      <c r="C66" s="101">
        <v>1344</v>
      </c>
      <c r="D66" s="101">
        <v>0</v>
      </c>
      <c r="E66" s="258">
        <f>C66-D66</f>
        <v>1344</v>
      </c>
      <c r="F66" s="162" t="str">
        <f>F65</f>
        <v>13 Jul
20 Jul
22 Jul</v>
      </c>
      <c r="G66" s="162" t="e">
        <f>G65</f>
        <v>#VALUE!</v>
      </c>
      <c r="H66" s="65" t="e">
        <f>H65</f>
        <v>#VALUE!</v>
      </c>
      <c r="I66" s="101">
        <v>30</v>
      </c>
      <c r="J66" s="101">
        <v>6</v>
      </c>
      <c r="K66" s="102">
        <f>(E66*J66)/I66</f>
        <v>268.8</v>
      </c>
      <c r="L66" s="505"/>
      <c r="M66" s="65" t="e">
        <f t="shared" si="106"/>
        <v>#VALUE!</v>
      </c>
      <c r="N66" s="65" t="e">
        <f t="shared" si="106"/>
        <v>#VALUE!</v>
      </c>
      <c r="O66" s="65" t="e">
        <f t="shared" si="106"/>
        <v>#VALUE!</v>
      </c>
      <c r="P66" s="65" t="e">
        <f t="shared" si="106"/>
        <v>#VALUE!</v>
      </c>
      <c r="Q66" s="65" t="e">
        <f t="shared" si="106"/>
        <v>#VALUE!</v>
      </c>
      <c r="R66" s="65" t="e">
        <f t="shared" si="106"/>
        <v>#VALUE!</v>
      </c>
      <c r="S66" s="65" t="e">
        <f t="shared" si="106"/>
        <v>#VALUE!</v>
      </c>
      <c r="T66" s="65" t="e">
        <f t="shared" si="106"/>
        <v>#VALUE!</v>
      </c>
      <c r="U66" s="65" t="e">
        <f t="shared" si="106"/>
        <v>#VALUE!</v>
      </c>
      <c r="V66" s="65" t="e">
        <f t="shared" si="106"/>
        <v>#VALUE!</v>
      </c>
      <c r="W66" s="65" t="e">
        <f t="shared" si="107"/>
        <v>#VALUE!</v>
      </c>
      <c r="X66" s="65" t="e">
        <f t="shared" si="107"/>
        <v>#VALUE!</v>
      </c>
      <c r="Y66" s="65" t="e">
        <f t="shared" si="107"/>
        <v>#VALUE!</v>
      </c>
      <c r="Z66" s="65" t="e">
        <f t="shared" si="107"/>
        <v>#VALUE!</v>
      </c>
      <c r="AA66" s="65" t="e">
        <f t="shared" si="107"/>
        <v>#VALUE!</v>
      </c>
      <c r="AB66" s="65" t="e">
        <f t="shared" si="107"/>
        <v>#VALUE!</v>
      </c>
      <c r="AC66" s="65" t="e">
        <f t="shared" si="107"/>
        <v>#VALUE!</v>
      </c>
      <c r="AD66" s="65" t="e">
        <f t="shared" si="107"/>
        <v>#VALUE!</v>
      </c>
      <c r="AE66" s="65" t="e">
        <f t="shared" si="107"/>
        <v>#VALUE!</v>
      </c>
      <c r="AF66" s="65" t="e">
        <f t="shared" si="107"/>
        <v>#VALUE!</v>
      </c>
      <c r="AG66" s="65" t="e">
        <f t="shared" si="108"/>
        <v>#VALUE!</v>
      </c>
      <c r="AH66" s="65" t="e">
        <f t="shared" si="108"/>
        <v>#VALUE!</v>
      </c>
      <c r="AI66" s="65" t="e">
        <f t="shared" si="108"/>
        <v>#VALUE!</v>
      </c>
      <c r="AJ66" s="65" t="e">
        <f t="shared" si="108"/>
        <v>#VALUE!</v>
      </c>
      <c r="AK66" s="65" t="e">
        <f t="shared" si="108"/>
        <v>#VALUE!</v>
      </c>
      <c r="AL66" s="65" t="e">
        <f t="shared" si="108"/>
        <v>#VALUE!</v>
      </c>
      <c r="AM66" s="65" t="e">
        <f t="shared" si="108"/>
        <v>#VALUE!</v>
      </c>
      <c r="AN66" s="65" t="e">
        <f t="shared" si="108"/>
        <v>#VALUE!</v>
      </c>
      <c r="AO66" s="65" t="e">
        <f t="shared" si="108"/>
        <v>#VALUE!</v>
      </c>
      <c r="AP66" s="65" t="e">
        <f t="shared" si="108"/>
        <v>#VALUE!</v>
      </c>
      <c r="AQ66" s="65" t="e">
        <f t="shared" si="109"/>
        <v>#VALUE!</v>
      </c>
      <c r="AR66" s="65" t="e">
        <f t="shared" si="109"/>
        <v>#VALUE!</v>
      </c>
      <c r="AS66" s="65" t="e">
        <f t="shared" si="109"/>
        <v>#VALUE!</v>
      </c>
      <c r="AT66" s="65" t="e">
        <f t="shared" si="109"/>
        <v>#VALUE!</v>
      </c>
      <c r="AU66" s="65" t="e">
        <f t="shared" si="109"/>
        <v>#VALUE!</v>
      </c>
      <c r="AV66" s="65" t="e">
        <f t="shared" si="109"/>
        <v>#VALUE!</v>
      </c>
      <c r="AW66" s="65" t="e">
        <f t="shared" si="109"/>
        <v>#VALUE!</v>
      </c>
      <c r="AX66" s="65" t="e">
        <f t="shared" si="109"/>
        <v>#VALUE!</v>
      </c>
      <c r="AY66" s="65" t="e">
        <f t="shared" si="109"/>
        <v>#VALUE!</v>
      </c>
      <c r="AZ66" s="65" t="e">
        <f t="shared" si="109"/>
        <v>#VALUE!</v>
      </c>
      <c r="BA66" s="65" t="e">
        <f t="shared" si="110"/>
        <v>#VALUE!</v>
      </c>
      <c r="BB66" s="65" t="e">
        <f t="shared" si="110"/>
        <v>#VALUE!</v>
      </c>
      <c r="BC66" s="65" t="e">
        <f t="shared" si="110"/>
        <v>#VALUE!</v>
      </c>
      <c r="BD66" s="65" t="e">
        <f t="shared" si="110"/>
        <v>#VALUE!</v>
      </c>
      <c r="BE66" s="65" t="e">
        <f t="shared" si="110"/>
        <v>#VALUE!</v>
      </c>
      <c r="BF66" s="65" t="e">
        <f t="shared" si="110"/>
        <v>#VALUE!</v>
      </c>
      <c r="BG66" s="65" t="e">
        <f t="shared" si="110"/>
        <v>#VALUE!</v>
      </c>
      <c r="BH66" s="65" t="e">
        <f t="shared" si="110"/>
        <v>#VALUE!</v>
      </c>
      <c r="BI66" s="65" t="e">
        <f t="shared" si="110"/>
        <v>#VALUE!</v>
      </c>
      <c r="BJ66" s="65" t="e">
        <f t="shared" si="110"/>
        <v>#VALUE!</v>
      </c>
      <c r="BK66" s="65" t="e">
        <f t="shared" si="111"/>
        <v>#VALUE!</v>
      </c>
      <c r="BL66" s="65" t="e">
        <f t="shared" si="111"/>
        <v>#VALUE!</v>
      </c>
      <c r="BM66" s="65" t="e">
        <f t="shared" si="111"/>
        <v>#VALUE!</v>
      </c>
      <c r="BN66" s="65" t="e">
        <f t="shared" si="111"/>
        <v>#VALUE!</v>
      </c>
      <c r="BO66" s="65" t="e">
        <f t="shared" si="111"/>
        <v>#VALUE!</v>
      </c>
      <c r="BP66" s="65" t="e">
        <f t="shared" si="111"/>
        <v>#VALUE!</v>
      </c>
      <c r="BQ66" s="65" t="e">
        <f t="shared" si="111"/>
        <v>#VALUE!</v>
      </c>
      <c r="BR66" s="65" t="e">
        <f t="shared" si="111"/>
        <v>#VALUE!</v>
      </c>
      <c r="BS66" s="65" t="e">
        <f t="shared" si="111"/>
        <v>#VALUE!</v>
      </c>
      <c r="BT66" s="65" t="e">
        <f t="shared" si="111"/>
        <v>#VALUE!</v>
      </c>
      <c r="BU66" s="65" t="e">
        <f t="shared" si="112"/>
        <v>#VALUE!</v>
      </c>
      <c r="BV66" s="65" t="e">
        <f t="shared" si="112"/>
        <v>#VALUE!</v>
      </c>
      <c r="BW66" s="65" t="e">
        <f t="shared" si="112"/>
        <v>#VALUE!</v>
      </c>
      <c r="BX66" s="65" t="e">
        <f t="shared" si="112"/>
        <v>#VALUE!</v>
      </c>
      <c r="BY66" s="65" t="e">
        <f t="shared" si="112"/>
        <v>#VALUE!</v>
      </c>
      <c r="BZ66" s="65" t="e">
        <f t="shared" si="112"/>
        <v>#VALUE!</v>
      </c>
      <c r="CA66" s="65" t="e">
        <f t="shared" si="112"/>
        <v>#VALUE!</v>
      </c>
      <c r="CB66" s="65" t="e">
        <f t="shared" si="112"/>
        <v>#VALUE!</v>
      </c>
      <c r="CC66" s="65" t="e">
        <f t="shared" si="112"/>
        <v>#VALUE!</v>
      </c>
      <c r="CD66" s="65" t="e">
        <f t="shared" si="112"/>
        <v>#VALUE!</v>
      </c>
      <c r="CE66" s="65" t="e">
        <f t="shared" si="113"/>
        <v>#VALUE!</v>
      </c>
      <c r="CF66" s="65" t="e">
        <f t="shared" si="113"/>
        <v>#VALUE!</v>
      </c>
      <c r="CG66" s="65" t="e">
        <f t="shared" si="113"/>
        <v>#VALUE!</v>
      </c>
      <c r="CH66" s="65" t="e">
        <f t="shared" si="113"/>
        <v>#VALUE!</v>
      </c>
      <c r="CI66" s="65" t="e">
        <f t="shared" si="113"/>
        <v>#VALUE!</v>
      </c>
      <c r="CJ66" s="65" t="e">
        <f t="shared" si="113"/>
        <v>#VALUE!</v>
      </c>
      <c r="CK66" s="65" t="e">
        <f t="shared" si="113"/>
        <v>#VALUE!</v>
      </c>
      <c r="CL66" s="65" t="e">
        <f t="shared" si="113"/>
        <v>#VALUE!</v>
      </c>
      <c r="CM66" s="65" t="e">
        <f t="shared" si="113"/>
        <v>#VALUE!</v>
      </c>
      <c r="CN66" s="65" t="e">
        <f t="shared" si="113"/>
        <v>#VALUE!</v>
      </c>
      <c r="CO66" s="65" t="e">
        <f t="shared" si="114"/>
        <v>#VALUE!</v>
      </c>
      <c r="CP66" s="65" t="e">
        <f t="shared" si="114"/>
        <v>#VALUE!</v>
      </c>
      <c r="CQ66" s="65" t="e">
        <f t="shared" si="114"/>
        <v>#VALUE!</v>
      </c>
      <c r="CR66" s="65" t="e">
        <f t="shared" si="114"/>
        <v>#VALUE!</v>
      </c>
      <c r="CS66" s="65" t="e">
        <f t="shared" si="114"/>
        <v>#VALUE!</v>
      </c>
      <c r="CT66" s="65" t="e">
        <f t="shared" si="114"/>
        <v>#VALUE!</v>
      </c>
      <c r="CU66" s="65" t="e">
        <f t="shared" si="114"/>
        <v>#VALUE!</v>
      </c>
      <c r="CV66" s="65" t="e">
        <f t="shared" si="114"/>
        <v>#VALUE!</v>
      </c>
      <c r="CW66" s="65" t="e">
        <f t="shared" si="114"/>
        <v>#VALUE!</v>
      </c>
    </row>
    <row r="68" spans="1:101">
      <c r="B68" s="109" t="s">
        <v>91</v>
      </c>
      <c r="C68" s="109" t="s">
        <v>92</v>
      </c>
      <c r="D68" s="109" t="s">
        <v>93</v>
      </c>
      <c r="E68" s="109" t="s">
        <v>94</v>
      </c>
      <c r="F68" s="109" t="s">
        <v>78</v>
      </c>
      <c r="G68" s="109" t="s">
        <v>79</v>
      </c>
      <c r="H68" s="109" t="s">
        <v>59</v>
      </c>
      <c r="I68" s="109" t="s">
        <v>95</v>
      </c>
      <c r="J68" s="109" t="s">
        <v>96</v>
      </c>
      <c r="K68" s="109" t="s">
        <v>97</v>
      </c>
      <c r="L68" s="109" t="s">
        <v>80</v>
      </c>
      <c r="M68" s="260">
        <v>46201</v>
      </c>
      <c r="N68" s="260">
        <v>46202</v>
      </c>
      <c r="O68" s="260">
        <v>46203</v>
      </c>
      <c r="P68" s="260">
        <v>46204</v>
      </c>
      <c r="Q68" s="260">
        <v>46205</v>
      </c>
      <c r="R68" s="260">
        <v>46206</v>
      </c>
      <c r="S68" s="260">
        <v>46207</v>
      </c>
      <c r="T68" s="260">
        <v>46208</v>
      </c>
      <c r="U68" s="260">
        <v>46209</v>
      </c>
      <c r="V68" s="260">
        <v>46210</v>
      </c>
      <c r="W68" s="260">
        <v>46211</v>
      </c>
      <c r="X68" s="260">
        <v>46212</v>
      </c>
      <c r="Y68" s="260">
        <v>46213</v>
      </c>
      <c r="Z68" s="260">
        <v>46214</v>
      </c>
      <c r="AA68" s="260">
        <v>46215</v>
      </c>
      <c r="AB68" s="260">
        <v>46216</v>
      </c>
      <c r="AC68" s="260">
        <v>46217</v>
      </c>
      <c r="AD68" s="260">
        <v>46218</v>
      </c>
      <c r="AE68" s="260">
        <v>46219</v>
      </c>
      <c r="AF68" s="260">
        <v>46220</v>
      </c>
      <c r="AG68" s="260">
        <v>46221</v>
      </c>
      <c r="AH68" s="260">
        <v>46222</v>
      </c>
      <c r="AI68" s="260">
        <v>46223</v>
      </c>
      <c r="AJ68" s="260">
        <v>46224</v>
      </c>
      <c r="AK68" s="260">
        <v>46225</v>
      </c>
      <c r="AL68" s="260">
        <v>46226</v>
      </c>
      <c r="AM68" s="260">
        <v>46227</v>
      </c>
      <c r="AN68" s="260">
        <v>46228</v>
      </c>
      <c r="AO68" s="260">
        <v>46229</v>
      </c>
      <c r="AP68" s="260">
        <v>46230</v>
      </c>
      <c r="AQ68" s="260">
        <v>46231</v>
      </c>
      <c r="AR68" s="260">
        <v>46232</v>
      </c>
      <c r="AS68" s="260">
        <v>46233</v>
      </c>
      <c r="AT68" s="260">
        <v>46234</v>
      </c>
      <c r="AU68" s="260">
        <v>46235</v>
      </c>
      <c r="AV68" s="260">
        <v>46236</v>
      </c>
      <c r="AW68" s="260">
        <v>46237</v>
      </c>
      <c r="AX68" s="260">
        <v>46238</v>
      </c>
      <c r="AY68" s="260">
        <v>46239</v>
      </c>
      <c r="AZ68" s="260">
        <v>46240</v>
      </c>
      <c r="BA68" s="260">
        <v>46241</v>
      </c>
      <c r="BB68" s="260">
        <v>46242</v>
      </c>
      <c r="BC68" s="260">
        <v>46243</v>
      </c>
      <c r="BD68" s="260">
        <v>46244</v>
      </c>
      <c r="BE68" s="260">
        <v>46245</v>
      </c>
      <c r="BF68" s="260">
        <v>46246</v>
      </c>
      <c r="BG68" s="260">
        <v>46247</v>
      </c>
      <c r="BH68" s="260">
        <v>46248</v>
      </c>
      <c r="BI68" s="260">
        <v>46249</v>
      </c>
      <c r="BJ68" s="260">
        <v>46250</v>
      </c>
      <c r="BK68" s="260">
        <v>46251</v>
      </c>
      <c r="BL68" s="260">
        <v>46252</v>
      </c>
      <c r="BM68" s="260">
        <v>46253</v>
      </c>
      <c r="BN68" s="260">
        <v>46254</v>
      </c>
      <c r="BO68" s="260">
        <v>46255</v>
      </c>
      <c r="BP68" s="260">
        <v>46256</v>
      </c>
      <c r="BQ68" s="260">
        <v>46257</v>
      </c>
      <c r="BR68" s="260">
        <v>46258</v>
      </c>
      <c r="BS68" s="260">
        <v>46259</v>
      </c>
      <c r="BT68" s="260">
        <v>46260</v>
      </c>
      <c r="BU68" s="260">
        <v>46261</v>
      </c>
      <c r="BV68" s="260">
        <v>46262</v>
      </c>
      <c r="BW68" s="260">
        <v>46263</v>
      </c>
      <c r="BX68" s="260">
        <v>46264</v>
      </c>
      <c r="BY68" s="260">
        <v>46265</v>
      </c>
      <c r="BZ68" s="260">
        <v>46266</v>
      </c>
      <c r="CA68" s="260">
        <v>46267</v>
      </c>
      <c r="CB68" s="260">
        <v>46268</v>
      </c>
      <c r="CC68" s="260">
        <v>46269</v>
      </c>
      <c r="CD68" s="260">
        <v>46270</v>
      </c>
      <c r="CE68" s="260">
        <v>46271</v>
      </c>
      <c r="CF68" s="260">
        <v>46272</v>
      </c>
      <c r="CG68" s="260">
        <v>46273</v>
      </c>
      <c r="CH68" s="260">
        <v>46274</v>
      </c>
      <c r="CI68" s="260">
        <v>46275</v>
      </c>
      <c r="CJ68" s="260">
        <v>46276</v>
      </c>
      <c r="CK68" s="260">
        <v>46277</v>
      </c>
      <c r="CL68" s="260">
        <v>46278</v>
      </c>
      <c r="CM68" s="260">
        <v>46279</v>
      </c>
      <c r="CN68" s="260">
        <v>46280</v>
      </c>
      <c r="CO68" s="260">
        <v>46281</v>
      </c>
      <c r="CP68" s="260">
        <v>46282</v>
      </c>
      <c r="CQ68" s="260">
        <v>46283</v>
      </c>
      <c r="CR68" s="260">
        <v>46284</v>
      </c>
      <c r="CS68" s="260">
        <v>46285</v>
      </c>
      <c r="CT68" s="260">
        <v>46286</v>
      </c>
      <c r="CU68" s="260">
        <v>46287</v>
      </c>
      <c r="CV68" s="260">
        <v>46288</v>
      </c>
      <c r="CW68" s="260">
        <v>46289</v>
      </c>
    </row>
    <row r="69" spans="1:101">
      <c r="A69" t="s">
        <v>104</v>
      </c>
      <c r="B69" s="138" t="s">
        <v>21</v>
      </c>
      <c r="C69" s="101">
        <v>48</v>
      </c>
      <c r="D69" s="102">
        <v>0</v>
      </c>
      <c r="E69" s="258">
        <f>C69-D69</f>
        <v>48</v>
      </c>
      <c r="F69" s="165" t="str">
        <f>'BESS 12'!D186</f>
        <v>14 Jul
21 Jul
24 Jul</v>
      </c>
      <c r="G69" s="165" t="e">
        <f>F69+4</f>
        <v>#VALUE!</v>
      </c>
      <c r="H69" s="65" t="e">
        <f>G69-F69</f>
        <v>#VALUE!</v>
      </c>
      <c r="I69" s="96">
        <v>10</v>
      </c>
      <c r="J69" s="93">
        <v>1</v>
      </c>
      <c r="K69" s="94">
        <f>(E69*J69)/I69</f>
        <v>4.8</v>
      </c>
      <c r="L69" s="505" t="e">
        <f>AVERAGEIF(M69:CW71,"&gt;0")</f>
        <v>#DIV/0!</v>
      </c>
      <c r="M69" s="65" t="e">
        <f t="shared" ref="M69:V71" si="115">IF(AND(M$2&gt;=$F69,M$2&lt;($F69+$H69)),ROUND($K69/$H69,0),"-")</f>
        <v>#VALUE!</v>
      </c>
      <c r="N69" s="65" t="e">
        <f t="shared" si="115"/>
        <v>#VALUE!</v>
      </c>
      <c r="O69" s="65" t="e">
        <f t="shared" si="115"/>
        <v>#VALUE!</v>
      </c>
      <c r="P69" s="65" t="e">
        <f t="shared" si="115"/>
        <v>#VALUE!</v>
      </c>
      <c r="Q69" s="65" t="e">
        <f t="shared" si="115"/>
        <v>#VALUE!</v>
      </c>
      <c r="R69" s="65" t="e">
        <f t="shared" si="115"/>
        <v>#VALUE!</v>
      </c>
      <c r="S69" s="65" t="e">
        <f t="shared" si="115"/>
        <v>#VALUE!</v>
      </c>
      <c r="T69" s="65" t="e">
        <f t="shared" si="115"/>
        <v>#VALUE!</v>
      </c>
      <c r="U69" s="65" t="e">
        <f t="shared" si="115"/>
        <v>#VALUE!</v>
      </c>
      <c r="V69" s="65" t="e">
        <f t="shared" si="115"/>
        <v>#VALUE!</v>
      </c>
      <c r="W69" s="65" t="e">
        <f t="shared" ref="W69:AF71" si="116">IF(AND(W$2&gt;=$F69,W$2&lt;($F69+$H69)),ROUND($K69/$H69,0),"-")</f>
        <v>#VALUE!</v>
      </c>
      <c r="X69" s="65" t="e">
        <f t="shared" si="116"/>
        <v>#VALUE!</v>
      </c>
      <c r="Y69" s="65" t="e">
        <f t="shared" si="116"/>
        <v>#VALUE!</v>
      </c>
      <c r="Z69" s="65" t="e">
        <f t="shared" si="116"/>
        <v>#VALUE!</v>
      </c>
      <c r="AA69" s="65" t="e">
        <f t="shared" si="116"/>
        <v>#VALUE!</v>
      </c>
      <c r="AB69" s="65" t="e">
        <f t="shared" si="116"/>
        <v>#VALUE!</v>
      </c>
      <c r="AC69" s="65" t="e">
        <f t="shared" si="116"/>
        <v>#VALUE!</v>
      </c>
      <c r="AD69" s="65" t="e">
        <f t="shared" si="116"/>
        <v>#VALUE!</v>
      </c>
      <c r="AE69" s="65" t="e">
        <f t="shared" si="116"/>
        <v>#VALUE!</v>
      </c>
      <c r="AF69" s="65" t="e">
        <f t="shared" si="116"/>
        <v>#VALUE!</v>
      </c>
      <c r="AG69" s="65" t="e">
        <f t="shared" ref="AG69:AP71" si="117">IF(AND(AG$2&gt;=$F69,AG$2&lt;($F69+$H69)),ROUND($K69/$H69,0),"-")</f>
        <v>#VALUE!</v>
      </c>
      <c r="AH69" s="65" t="e">
        <f t="shared" si="117"/>
        <v>#VALUE!</v>
      </c>
      <c r="AI69" s="65" t="e">
        <f t="shared" si="117"/>
        <v>#VALUE!</v>
      </c>
      <c r="AJ69" s="65" t="e">
        <f t="shared" si="117"/>
        <v>#VALUE!</v>
      </c>
      <c r="AK69" s="65" t="e">
        <f t="shared" si="117"/>
        <v>#VALUE!</v>
      </c>
      <c r="AL69" s="65" t="e">
        <f t="shared" si="117"/>
        <v>#VALUE!</v>
      </c>
      <c r="AM69" s="65" t="e">
        <f t="shared" si="117"/>
        <v>#VALUE!</v>
      </c>
      <c r="AN69" s="65" t="e">
        <f t="shared" si="117"/>
        <v>#VALUE!</v>
      </c>
      <c r="AO69" s="65" t="e">
        <f t="shared" si="117"/>
        <v>#VALUE!</v>
      </c>
      <c r="AP69" s="65" t="e">
        <f t="shared" si="117"/>
        <v>#VALUE!</v>
      </c>
      <c r="AQ69" s="65" t="e">
        <f t="shared" ref="AQ69:AZ71" si="118">IF(AND(AQ$2&gt;=$F69,AQ$2&lt;($F69+$H69)),ROUND($K69/$H69,0),"-")</f>
        <v>#VALUE!</v>
      </c>
      <c r="AR69" s="65" t="e">
        <f t="shared" si="118"/>
        <v>#VALUE!</v>
      </c>
      <c r="AS69" s="65" t="e">
        <f t="shared" si="118"/>
        <v>#VALUE!</v>
      </c>
      <c r="AT69" s="65" t="e">
        <f t="shared" si="118"/>
        <v>#VALUE!</v>
      </c>
      <c r="AU69" s="65" t="e">
        <f t="shared" si="118"/>
        <v>#VALUE!</v>
      </c>
      <c r="AV69" s="65" t="e">
        <f t="shared" si="118"/>
        <v>#VALUE!</v>
      </c>
      <c r="AW69" s="65" t="e">
        <f t="shared" si="118"/>
        <v>#VALUE!</v>
      </c>
      <c r="AX69" s="65" t="e">
        <f t="shared" si="118"/>
        <v>#VALUE!</v>
      </c>
      <c r="AY69" s="65" t="e">
        <f t="shared" si="118"/>
        <v>#VALUE!</v>
      </c>
      <c r="AZ69" s="65" t="e">
        <f t="shared" si="118"/>
        <v>#VALUE!</v>
      </c>
      <c r="BA69" s="65" t="e">
        <f t="shared" ref="BA69:BJ71" si="119">IF(AND(BA$2&gt;=$F69,BA$2&lt;($F69+$H69)),ROUND($K69/$H69,0),"-")</f>
        <v>#VALUE!</v>
      </c>
      <c r="BB69" s="65" t="e">
        <f t="shared" si="119"/>
        <v>#VALUE!</v>
      </c>
      <c r="BC69" s="65" t="e">
        <f t="shared" si="119"/>
        <v>#VALUE!</v>
      </c>
      <c r="BD69" s="65" t="e">
        <f t="shared" si="119"/>
        <v>#VALUE!</v>
      </c>
      <c r="BE69" s="65" t="e">
        <f t="shared" si="119"/>
        <v>#VALUE!</v>
      </c>
      <c r="BF69" s="65" t="e">
        <f t="shared" si="119"/>
        <v>#VALUE!</v>
      </c>
      <c r="BG69" s="65" t="e">
        <f t="shared" si="119"/>
        <v>#VALUE!</v>
      </c>
      <c r="BH69" s="65" t="e">
        <f t="shared" si="119"/>
        <v>#VALUE!</v>
      </c>
      <c r="BI69" s="65" t="e">
        <f t="shared" si="119"/>
        <v>#VALUE!</v>
      </c>
      <c r="BJ69" s="65" t="e">
        <f t="shared" si="119"/>
        <v>#VALUE!</v>
      </c>
      <c r="BK69" s="65" t="e">
        <f t="shared" ref="BK69:BT71" si="120">IF(AND(BK$2&gt;=$F69,BK$2&lt;($F69+$H69)),ROUND($K69/$H69,0),"-")</f>
        <v>#VALUE!</v>
      </c>
      <c r="BL69" s="65" t="e">
        <f t="shared" si="120"/>
        <v>#VALUE!</v>
      </c>
      <c r="BM69" s="65" t="e">
        <f t="shared" si="120"/>
        <v>#VALUE!</v>
      </c>
      <c r="BN69" s="65" t="e">
        <f t="shared" si="120"/>
        <v>#VALUE!</v>
      </c>
      <c r="BO69" s="65" t="e">
        <f t="shared" si="120"/>
        <v>#VALUE!</v>
      </c>
      <c r="BP69" s="65" t="e">
        <f t="shared" si="120"/>
        <v>#VALUE!</v>
      </c>
      <c r="BQ69" s="65" t="e">
        <f t="shared" si="120"/>
        <v>#VALUE!</v>
      </c>
      <c r="BR69" s="65" t="e">
        <f t="shared" si="120"/>
        <v>#VALUE!</v>
      </c>
      <c r="BS69" s="65" t="e">
        <f t="shared" si="120"/>
        <v>#VALUE!</v>
      </c>
      <c r="BT69" s="65" t="e">
        <f t="shared" si="120"/>
        <v>#VALUE!</v>
      </c>
      <c r="BU69" s="65" t="e">
        <f t="shared" ref="BU69:CD71" si="121">IF(AND(BU$2&gt;=$F69,BU$2&lt;($F69+$H69)),ROUND($K69/$H69,0),"-")</f>
        <v>#VALUE!</v>
      </c>
      <c r="BV69" s="65" t="e">
        <f t="shared" si="121"/>
        <v>#VALUE!</v>
      </c>
      <c r="BW69" s="65" t="e">
        <f t="shared" si="121"/>
        <v>#VALUE!</v>
      </c>
      <c r="BX69" s="65" t="e">
        <f t="shared" si="121"/>
        <v>#VALUE!</v>
      </c>
      <c r="BY69" s="65" t="e">
        <f t="shared" si="121"/>
        <v>#VALUE!</v>
      </c>
      <c r="BZ69" s="65" t="e">
        <f t="shared" si="121"/>
        <v>#VALUE!</v>
      </c>
      <c r="CA69" s="65" t="e">
        <f t="shared" si="121"/>
        <v>#VALUE!</v>
      </c>
      <c r="CB69" s="65" t="e">
        <f t="shared" si="121"/>
        <v>#VALUE!</v>
      </c>
      <c r="CC69" s="65" t="e">
        <f t="shared" si="121"/>
        <v>#VALUE!</v>
      </c>
      <c r="CD69" s="65" t="e">
        <f t="shared" si="121"/>
        <v>#VALUE!</v>
      </c>
      <c r="CE69" s="65" t="e">
        <f t="shared" ref="CE69:CN71" si="122">IF(AND(CE$2&gt;=$F69,CE$2&lt;($F69+$H69)),ROUND($K69/$H69,0),"-")</f>
        <v>#VALUE!</v>
      </c>
      <c r="CF69" s="65" t="e">
        <f t="shared" si="122"/>
        <v>#VALUE!</v>
      </c>
      <c r="CG69" s="65" t="e">
        <f t="shared" si="122"/>
        <v>#VALUE!</v>
      </c>
      <c r="CH69" s="65" t="e">
        <f t="shared" si="122"/>
        <v>#VALUE!</v>
      </c>
      <c r="CI69" s="65" t="e">
        <f t="shared" si="122"/>
        <v>#VALUE!</v>
      </c>
      <c r="CJ69" s="65" t="e">
        <f t="shared" si="122"/>
        <v>#VALUE!</v>
      </c>
      <c r="CK69" s="65" t="e">
        <f t="shared" si="122"/>
        <v>#VALUE!</v>
      </c>
      <c r="CL69" s="65" t="e">
        <f t="shared" si="122"/>
        <v>#VALUE!</v>
      </c>
      <c r="CM69" s="65" t="e">
        <f t="shared" si="122"/>
        <v>#VALUE!</v>
      </c>
      <c r="CN69" s="65" t="e">
        <f t="shared" si="122"/>
        <v>#VALUE!</v>
      </c>
      <c r="CO69" s="65" t="e">
        <f t="shared" ref="CO69:CW71" si="123">IF(AND(CO$2&gt;=$F69,CO$2&lt;($F69+$H69)),ROUND($K69/$H69,0),"-")</f>
        <v>#VALUE!</v>
      </c>
      <c r="CP69" s="65" t="e">
        <f t="shared" si="123"/>
        <v>#VALUE!</v>
      </c>
      <c r="CQ69" s="65" t="e">
        <f t="shared" si="123"/>
        <v>#VALUE!</v>
      </c>
      <c r="CR69" s="65" t="e">
        <f t="shared" si="123"/>
        <v>#VALUE!</v>
      </c>
      <c r="CS69" s="65" t="e">
        <f t="shared" si="123"/>
        <v>#VALUE!</v>
      </c>
      <c r="CT69" s="65" t="e">
        <f t="shared" si="123"/>
        <v>#VALUE!</v>
      </c>
      <c r="CU69" s="65" t="e">
        <f t="shared" si="123"/>
        <v>#VALUE!</v>
      </c>
      <c r="CV69" s="65" t="e">
        <f t="shared" si="123"/>
        <v>#VALUE!</v>
      </c>
      <c r="CW69" s="65" t="e">
        <f t="shared" si="123"/>
        <v>#VALUE!</v>
      </c>
    </row>
    <row r="70" spans="1:101">
      <c r="B70" s="109" t="s">
        <v>99</v>
      </c>
      <c r="C70" s="101">
        <v>768</v>
      </c>
      <c r="D70" s="258">
        <f>SUM('[1]Electrical Work'!$G$446:$G$451)</f>
        <v>810</v>
      </c>
      <c r="E70" s="258">
        <f>C70-D70</f>
        <v>-42</v>
      </c>
      <c r="F70" s="162" t="str">
        <f>F69</f>
        <v>14 Jul
21 Jul
24 Jul</v>
      </c>
      <c r="G70" s="162" t="e">
        <f>G69</f>
        <v>#VALUE!</v>
      </c>
      <c r="H70" s="65" t="e">
        <f>G70-F70</f>
        <v>#VALUE!</v>
      </c>
      <c r="I70" s="259">
        <v>30</v>
      </c>
      <c r="J70" s="259">
        <v>18</v>
      </c>
      <c r="K70" s="102">
        <f>(E70*J70)/I70</f>
        <v>-25.2</v>
      </c>
      <c r="L70" s="505"/>
      <c r="M70" s="65" t="e">
        <f t="shared" si="115"/>
        <v>#VALUE!</v>
      </c>
      <c r="N70" s="65" t="e">
        <f t="shared" si="115"/>
        <v>#VALUE!</v>
      </c>
      <c r="O70" s="65" t="e">
        <f t="shared" si="115"/>
        <v>#VALUE!</v>
      </c>
      <c r="P70" s="65" t="e">
        <f t="shared" si="115"/>
        <v>#VALUE!</v>
      </c>
      <c r="Q70" s="65" t="e">
        <f t="shared" si="115"/>
        <v>#VALUE!</v>
      </c>
      <c r="R70" s="65" t="e">
        <f t="shared" si="115"/>
        <v>#VALUE!</v>
      </c>
      <c r="S70" s="65" t="e">
        <f t="shared" si="115"/>
        <v>#VALUE!</v>
      </c>
      <c r="T70" s="65" t="e">
        <f t="shared" si="115"/>
        <v>#VALUE!</v>
      </c>
      <c r="U70" s="65" t="e">
        <f t="shared" si="115"/>
        <v>#VALUE!</v>
      </c>
      <c r="V70" s="65" t="e">
        <f t="shared" si="115"/>
        <v>#VALUE!</v>
      </c>
      <c r="W70" s="65" t="e">
        <f t="shared" si="116"/>
        <v>#VALUE!</v>
      </c>
      <c r="X70" s="65" t="e">
        <f t="shared" si="116"/>
        <v>#VALUE!</v>
      </c>
      <c r="Y70" s="65" t="e">
        <f t="shared" si="116"/>
        <v>#VALUE!</v>
      </c>
      <c r="Z70" s="65" t="e">
        <f t="shared" si="116"/>
        <v>#VALUE!</v>
      </c>
      <c r="AA70" s="65" t="e">
        <f t="shared" si="116"/>
        <v>#VALUE!</v>
      </c>
      <c r="AB70" s="65" t="e">
        <f t="shared" si="116"/>
        <v>#VALUE!</v>
      </c>
      <c r="AC70" s="65" t="e">
        <f t="shared" si="116"/>
        <v>#VALUE!</v>
      </c>
      <c r="AD70" s="65" t="e">
        <f t="shared" si="116"/>
        <v>#VALUE!</v>
      </c>
      <c r="AE70" s="65" t="e">
        <f t="shared" si="116"/>
        <v>#VALUE!</v>
      </c>
      <c r="AF70" s="65" t="e">
        <f t="shared" si="116"/>
        <v>#VALUE!</v>
      </c>
      <c r="AG70" s="65" t="e">
        <f t="shared" si="117"/>
        <v>#VALUE!</v>
      </c>
      <c r="AH70" s="65" t="e">
        <f t="shared" si="117"/>
        <v>#VALUE!</v>
      </c>
      <c r="AI70" s="65" t="e">
        <f t="shared" si="117"/>
        <v>#VALUE!</v>
      </c>
      <c r="AJ70" s="65" t="e">
        <f t="shared" si="117"/>
        <v>#VALUE!</v>
      </c>
      <c r="AK70" s="65" t="e">
        <f t="shared" si="117"/>
        <v>#VALUE!</v>
      </c>
      <c r="AL70" s="65" t="e">
        <f t="shared" si="117"/>
        <v>#VALUE!</v>
      </c>
      <c r="AM70" s="65" t="e">
        <f t="shared" si="117"/>
        <v>#VALUE!</v>
      </c>
      <c r="AN70" s="65" t="e">
        <f t="shared" si="117"/>
        <v>#VALUE!</v>
      </c>
      <c r="AO70" s="65" t="e">
        <f t="shared" si="117"/>
        <v>#VALUE!</v>
      </c>
      <c r="AP70" s="65" t="e">
        <f t="shared" si="117"/>
        <v>#VALUE!</v>
      </c>
      <c r="AQ70" s="65" t="e">
        <f t="shared" si="118"/>
        <v>#VALUE!</v>
      </c>
      <c r="AR70" s="65" t="e">
        <f t="shared" si="118"/>
        <v>#VALUE!</v>
      </c>
      <c r="AS70" s="65" t="e">
        <f t="shared" si="118"/>
        <v>#VALUE!</v>
      </c>
      <c r="AT70" s="65" t="e">
        <f t="shared" si="118"/>
        <v>#VALUE!</v>
      </c>
      <c r="AU70" s="65" t="e">
        <f t="shared" si="118"/>
        <v>#VALUE!</v>
      </c>
      <c r="AV70" s="65" t="e">
        <f t="shared" si="118"/>
        <v>#VALUE!</v>
      </c>
      <c r="AW70" s="65" t="e">
        <f t="shared" si="118"/>
        <v>#VALUE!</v>
      </c>
      <c r="AX70" s="65" t="e">
        <f t="shared" si="118"/>
        <v>#VALUE!</v>
      </c>
      <c r="AY70" s="65" t="e">
        <f t="shared" si="118"/>
        <v>#VALUE!</v>
      </c>
      <c r="AZ70" s="65" t="e">
        <f t="shared" si="118"/>
        <v>#VALUE!</v>
      </c>
      <c r="BA70" s="65" t="e">
        <f t="shared" si="119"/>
        <v>#VALUE!</v>
      </c>
      <c r="BB70" s="65" t="e">
        <f t="shared" si="119"/>
        <v>#VALUE!</v>
      </c>
      <c r="BC70" s="65" t="e">
        <f t="shared" si="119"/>
        <v>#VALUE!</v>
      </c>
      <c r="BD70" s="65" t="e">
        <f t="shared" si="119"/>
        <v>#VALUE!</v>
      </c>
      <c r="BE70" s="65" t="e">
        <f t="shared" si="119"/>
        <v>#VALUE!</v>
      </c>
      <c r="BF70" s="65" t="e">
        <f t="shared" si="119"/>
        <v>#VALUE!</v>
      </c>
      <c r="BG70" s="65" t="e">
        <f t="shared" si="119"/>
        <v>#VALUE!</v>
      </c>
      <c r="BH70" s="65" t="e">
        <f t="shared" si="119"/>
        <v>#VALUE!</v>
      </c>
      <c r="BI70" s="65" t="e">
        <f t="shared" si="119"/>
        <v>#VALUE!</v>
      </c>
      <c r="BJ70" s="65" t="e">
        <f t="shared" si="119"/>
        <v>#VALUE!</v>
      </c>
      <c r="BK70" s="65" t="e">
        <f t="shared" si="120"/>
        <v>#VALUE!</v>
      </c>
      <c r="BL70" s="65" t="e">
        <f t="shared" si="120"/>
        <v>#VALUE!</v>
      </c>
      <c r="BM70" s="65" t="e">
        <f t="shared" si="120"/>
        <v>#VALUE!</v>
      </c>
      <c r="BN70" s="65" t="e">
        <f t="shared" si="120"/>
        <v>#VALUE!</v>
      </c>
      <c r="BO70" s="65" t="e">
        <f t="shared" si="120"/>
        <v>#VALUE!</v>
      </c>
      <c r="BP70" s="65" t="e">
        <f t="shared" si="120"/>
        <v>#VALUE!</v>
      </c>
      <c r="BQ70" s="65" t="e">
        <f t="shared" si="120"/>
        <v>#VALUE!</v>
      </c>
      <c r="BR70" s="65" t="e">
        <f t="shared" si="120"/>
        <v>#VALUE!</v>
      </c>
      <c r="BS70" s="65" t="e">
        <f t="shared" si="120"/>
        <v>#VALUE!</v>
      </c>
      <c r="BT70" s="65" t="e">
        <f t="shared" si="120"/>
        <v>#VALUE!</v>
      </c>
      <c r="BU70" s="65" t="e">
        <f t="shared" si="121"/>
        <v>#VALUE!</v>
      </c>
      <c r="BV70" s="65" t="e">
        <f t="shared" si="121"/>
        <v>#VALUE!</v>
      </c>
      <c r="BW70" s="65" t="e">
        <f t="shared" si="121"/>
        <v>#VALUE!</v>
      </c>
      <c r="BX70" s="65" t="e">
        <f t="shared" si="121"/>
        <v>#VALUE!</v>
      </c>
      <c r="BY70" s="65" t="e">
        <f t="shared" si="121"/>
        <v>#VALUE!</v>
      </c>
      <c r="BZ70" s="65" t="e">
        <f t="shared" si="121"/>
        <v>#VALUE!</v>
      </c>
      <c r="CA70" s="65" t="e">
        <f t="shared" si="121"/>
        <v>#VALUE!</v>
      </c>
      <c r="CB70" s="65" t="e">
        <f t="shared" si="121"/>
        <v>#VALUE!</v>
      </c>
      <c r="CC70" s="65" t="e">
        <f t="shared" si="121"/>
        <v>#VALUE!</v>
      </c>
      <c r="CD70" s="65" t="e">
        <f t="shared" si="121"/>
        <v>#VALUE!</v>
      </c>
      <c r="CE70" s="65" t="e">
        <f t="shared" si="122"/>
        <v>#VALUE!</v>
      </c>
      <c r="CF70" s="65" t="e">
        <f t="shared" si="122"/>
        <v>#VALUE!</v>
      </c>
      <c r="CG70" s="65" t="e">
        <f t="shared" si="122"/>
        <v>#VALUE!</v>
      </c>
      <c r="CH70" s="65" t="e">
        <f t="shared" si="122"/>
        <v>#VALUE!</v>
      </c>
      <c r="CI70" s="65" t="e">
        <f t="shared" si="122"/>
        <v>#VALUE!</v>
      </c>
      <c r="CJ70" s="65" t="e">
        <f t="shared" si="122"/>
        <v>#VALUE!</v>
      </c>
      <c r="CK70" s="65" t="e">
        <f t="shared" si="122"/>
        <v>#VALUE!</v>
      </c>
      <c r="CL70" s="65" t="e">
        <f t="shared" si="122"/>
        <v>#VALUE!</v>
      </c>
      <c r="CM70" s="65" t="e">
        <f t="shared" si="122"/>
        <v>#VALUE!</v>
      </c>
      <c r="CN70" s="65" t="e">
        <f t="shared" si="122"/>
        <v>#VALUE!</v>
      </c>
      <c r="CO70" s="65" t="e">
        <f t="shared" si="123"/>
        <v>#VALUE!</v>
      </c>
      <c r="CP70" s="65" t="e">
        <f t="shared" si="123"/>
        <v>#VALUE!</v>
      </c>
      <c r="CQ70" s="65" t="e">
        <f t="shared" si="123"/>
        <v>#VALUE!</v>
      </c>
      <c r="CR70" s="65" t="e">
        <f t="shared" si="123"/>
        <v>#VALUE!</v>
      </c>
      <c r="CS70" s="65" t="e">
        <f t="shared" si="123"/>
        <v>#VALUE!</v>
      </c>
      <c r="CT70" s="65" t="e">
        <f t="shared" si="123"/>
        <v>#VALUE!</v>
      </c>
      <c r="CU70" s="65" t="e">
        <f t="shared" si="123"/>
        <v>#VALUE!</v>
      </c>
      <c r="CV70" s="65" t="e">
        <f t="shared" si="123"/>
        <v>#VALUE!</v>
      </c>
      <c r="CW70" s="65" t="e">
        <f t="shared" si="123"/>
        <v>#VALUE!</v>
      </c>
    </row>
    <row r="71" spans="1:101">
      <c r="B71" s="109" t="s">
        <v>100</v>
      </c>
      <c r="C71" s="101">
        <v>1344</v>
      </c>
      <c r="D71" s="101">
        <v>0</v>
      </c>
      <c r="E71" s="258">
        <f>C71-D71</f>
        <v>1344</v>
      </c>
      <c r="F71" s="162" t="str">
        <f>F70</f>
        <v>14 Jul
21 Jul
24 Jul</v>
      </c>
      <c r="G71" s="162" t="e">
        <f>G70</f>
        <v>#VALUE!</v>
      </c>
      <c r="H71" s="65" t="e">
        <f>H70</f>
        <v>#VALUE!</v>
      </c>
      <c r="I71" s="101">
        <v>30</v>
      </c>
      <c r="J71" s="101">
        <v>6</v>
      </c>
      <c r="K71" s="102">
        <f>(E71*J71)/I71</f>
        <v>268.8</v>
      </c>
      <c r="L71" s="505"/>
      <c r="M71" s="65" t="e">
        <f t="shared" si="115"/>
        <v>#VALUE!</v>
      </c>
      <c r="N71" s="65" t="e">
        <f t="shared" si="115"/>
        <v>#VALUE!</v>
      </c>
      <c r="O71" s="65" t="e">
        <f t="shared" si="115"/>
        <v>#VALUE!</v>
      </c>
      <c r="P71" s="65" t="e">
        <f t="shared" si="115"/>
        <v>#VALUE!</v>
      </c>
      <c r="Q71" s="65" t="e">
        <f t="shared" si="115"/>
        <v>#VALUE!</v>
      </c>
      <c r="R71" s="65" t="e">
        <f t="shared" si="115"/>
        <v>#VALUE!</v>
      </c>
      <c r="S71" s="65" t="e">
        <f t="shared" si="115"/>
        <v>#VALUE!</v>
      </c>
      <c r="T71" s="65" t="e">
        <f t="shared" si="115"/>
        <v>#VALUE!</v>
      </c>
      <c r="U71" s="65" t="e">
        <f t="shared" si="115"/>
        <v>#VALUE!</v>
      </c>
      <c r="V71" s="65" t="e">
        <f t="shared" si="115"/>
        <v>#VALUE!</v>
      </c>
      <c r="W71" s="65" t="e">
        <f t="shared" si="116"/>
        <v>#VALUE!</v>
      </c>
      <c r="X71" s="65" t="e">
        <f t="shared" si="116"/>
        <v>#VALUE!</v>
      </c>
      <c r="Y71" s="65" t="e">
        <f t="shared" si="116"/>
        <v>#VALUE!</v>
      </c>
      <c r="Z71" s="65" t="e">
        <f t="shared" si="116"/>
        <v>#VALUE!</v>
      </c>
      <c r="AA71" s="65" t="e">
        <f t="shared" si="116"/>
        <v>#VALUE!</v>
      </c>
      <c r="AB71" s="65" t="e">
        <f t="shared" si="116"/>
        <v>#VALUE!</v>
      </c>
      <c r="AC71" s="65" t="e">
        <f t="shared" si="116"/>
        <v>#VALUE!</v>
      </c>
      <c r="AD71" s="65" t="e">
        <f t="shared" si="116"/>
        <v>#VALUE!</v>
      </c>
      <c r="AE71" s="65" t="e">
        <f t="shared" si="116"/>
        <v>#VALUE!</v>
      </c>
      <c r="AF71" s="65" t="e">
        <f t="shared" si="116"/>
        <v>#VALUE!</v>
      </c>
      <c r="AG71" s="65" t="e">
        <f t="shared" si="117"/>
        <v>#VALUE!</v>
      </c>
      <c r="AH71" s="65" t="e">
        <f t="shared" si="117"/>
        <v>#VALUE!</v>
      </c>
      <c r="AI71" s="65" t="e">
        <f t="shared" si="117"/>
        <v>#VALUE!</v>
      </c>
      <c r="AJ71" s="65" t="e">
        <f t="shared" si="117"/>
        <v>#VALUE!</v>
      </c>
      <c r="AK71" s="65" t="e">
        <f t="shared" si="117"/>
        <v>#VALUE!</v>
      </c>
      <c r="AL71" s="65" t="e">
        <f t="shared" si="117"/>
        <v>#VALUE!</v>
      </c>
      <c r="AM71" s="65" t="e">
        <f t="shared" si="117"/>
        <v>#VALUE!</v>
      </c>
      <c r="AN71" s="65" t="e">
        <f t="shared" si="117"/>
        <v>#VALUE!</v>
      </c>
      <c r="AO71" s="65" t="e">
        <f t="shared" si="117"/>
        <v>#VALUE!</v>
      </c>
      <c r="AP71" s="65" t="e">
        <f t="shared" si="117"/>
        <v>#VALUE!</v>
      </c>
      <c r="AQ71" s="65" t="e">
        <f t="shared" si="118"/>
        <v>#VALUE!</v>
      </c>
      <c r="AR71" s="65" t="e">
        <f t="shared" si="118"/>
        <v>#VALUE!</v>
      </c>
      <c r="AS71" s="65" t="e">
        <f t="shared" si="118"/>
        <v>#VALUE!</v>
      </c>
      <c r="AT71" s="65" t="e">
        <f t="shared" si="118"/>
        <v>#VALUE!</v>
      </c>
      <c r="AU71" s="65" t="e">
        <f t="shared" si="118"/>
        <v>#VALUE!</v>
      </c>
      <c r="AV71" s="65" t="e">
        <f t="shared" si="118"/>
        <v>#VALUE!</v>
      </c>
      <c r="AW71" s="65" t="e">
        <f t="shared" si="118"/>
        <v>#VALUE!</v>
      </c>
      <c r="AX71" s="65" t="e">
        <f t="shared" si="118"/>
        <v>#VALUE!</v>
      </c>
      <c r="AY71" s="65" t="e">
        <f t="shared" si="118"/>
        <v>#VALUE!</v>
      </c>
      <c r="AZ71" s="65" t="e">
        <f t="shared" si="118"/>
        <v>#VALUE!</v>
      </c>
      <c r="BA71" s="65" t="e">
        <f t="shared" si="119"/>
        <v>#VALUE!</v>
      </c>
      <c r="BB71" s="65" t="e">
        <f t="shared" si="119"/>
        <v>#VALUE!</v>
      </c>
      <c r="BC71" s="65" t="e">
        <f t="shared" si="119"/>
        <v>#VALUE!</v>
      </c>
      <c r="BD71" s="65" t="e">
        <f t="shared" si="119"/>
        <v>#VALUE!</v>
      </c>
      <c r="BE71" s="65" t="e">
        <f t="shared" si="119"/>
        <v>#VALUE!</v>
      </c>
      <c r="BF71" s="65" t="e">
        <f t="shared" si="119"/>
        <v>#VALUE!</v>
      </c>
      <c r="BG71" s="65" t="e">
        <f t="shared" si="119"/>
        <v>#VALUE!</v>
      </c>
      <c r="BH71" s="65" t="e">
        <f t="shared" si="119"/>
        <v>#VALUE!</v>
      </c>
      <c r="BI71" s="65" t="e">
        <f t="shared" si="119"/>
        <v>#VALUE!</v>
      </c>
      <c r="BJ71" s="65" t="e">
        <f t="shared" si="119"/>
        <v>#VALUE!</v>
      </c>
      <c r="BK71" s="65" t="e">
        <f t="shared" si="120"/>
        <v>#VALUE!</v>
      </c>
      <c r="BL71" s="65" t="e">
        <f t="shared" si="120"/>
        <v>#VALUE!</v>
      </c>
      <c r="BM71" s="65" t="e">
        <f t="shared" si="120"/>
        <v>#VALUE!</v>
      </c>
      <c r="BN71" s="65" t="e">
        <f t="shared" si="120"/>
        <v>#VALUE!</v>
      </c>
      <c r="BO71" s="65" t="e">
        <f t="shared" si="120"/>
        <v>#VALUE!</v>
      </c>
      <c r="BP71" s="65" t="e">
        <f t="shared" si="120"/>
        <v>#VALUE!</v>
      </c>
      <c r="BQ71" s="65" t="e">
        <f t="shared" si="120"/>
        <v>#VALUE!</v>
      </c>
      <c r="BR71" s="65" t="e">
        <f t="shared" si="120"/>
        <v>#VALUE!</v>
      </c>
      <c r="BS71" s="65" t="e">
        <f t="shared" si="120"/>
        <v>#VALUE!</v>
      </c>
      <c r="BT71" s="65" t="e">
        <f t="shared" si="120"/>
        <v>#VALUE!</v>
      </c>
      <c r="BU71" s="65" t="e">
        <f t="shared" si="121"/>
        <v>#VALUE!</v>
      </c>
      <c r="BV71" s="65" t="e">
        <f t="shared" si="121"/>
        <v>#VALUE!</v>
      </c>
      <c r="BW71" s="65" t="e">
        <f t="shared" si="121"/>
        <v>#VALUE!</v>
      </c>
      <c r="BX71" s="65" t="e">
        <f t="shared" si="121"/>
        <v>#VALUE!</v>
      </c>
      <c r="BY71" s="65" t="e">
        <f t="shared" si="121"/>
        <v>#VALUE!</v>
      </c>
      <c r="BZ71" s="65" t="e">
        <f t="shared" si="121"/>
        <v>#VALUE!</v>
      </c>
      <c r="CA71" s="65" t="e">
        <f t="shared" si="121"/>
        <v>#VALUE!</v>
      </c>
      <c r="CB71" s="65" t="e">
        <f t="shared" si="121"/>
        <v>#VALUE!</v>
      </c>
      <c r="CC71" s="65" t="e">
        <f t="shared" si="121"/>
        <v>#VALUE!</v>
      </c>
      <c r="CD71" s="65" t="e">
        <f t="shared" si="121"/>
        <v>#VALUE!</v>
      </c>
      <c r="CE71" s="65" t="e">
        <f t="shared" si="122"/>
        <v>#VALUE!</v>
      </c>
      <c r="CF71" s="65" t="e">
        <f t="shared" si="122"/>
        <v>#VALUE!</v>
      </c>
      <c r="CG71" s="65" t="e">
        <f t="shared" si="122"/>
        <v>#VALUE!</v>
      </c>
      <c r="CH71" s="65" t="e">
        <f t="shared" si="122"/>
        <v>#VALUE!</v>
      </c>
      <c r="CI71" s="65" t="e">
        <f t="shared" si="122"/>
        <v>#VALUE!</v>
      </c>
      <c r="CJ71" s="65" t="e">
        <f t="shared" si="122"/>
        <v>#VALUE!</v>
      </c>
      <c r="CK71" s="65" t="e">
        <f t="shared" si="122"/>
        <v>#VALUE!</v>
      </c>
      <c r="CL71" s="65" t="e">
        <f t="shared" si="122"/>
        <v>#VALUE!</v>
      </c>
      <c r="CM71" s="65" t="e">
        <f t="shared" si="122"/>
        <v>#VALUE!</v>
      </c>
      <c r="CN71" s="65" t="e">
        <f t="shared" si="122"/>
        <v>#VALUE!</v>
      </c>
      <c r="CO71" s="65" t="e">
        <f t="shared" si="123"/>
        <v>#VALUE!</v>
      </c>
      <c r="CP71" s="65" t="e">
        <f t="shared" si="123"/>
        <v>#VALUE!</v>
      </c>
      <c r="CQ71" s="65" t="e">
        <f t="shared" si="123"/>
        <v>#VALUE!</v>
      </c>
      <c r="CR71" s="65" t="e">
        <f t="shared" si="123"/>
        <v>#VALUE!</v>
      </c>
      <c r="CS71" s="65" t="e">
        <f t="shared" si="123"/>
        <v>#VALUE!</v>
      </c>
      <c r="CT71" s="65" t="e">
        <f t="shared" si="123"/>
        <v>#VALUE!</v>
      </c>
      <c r="CU71" s="65" t="e">
        <f t="shared" si="123"/>
        <v>#VALUE!</v>
      </c>
      <c r="CV71" s="65" t="e">
        <f t="shared" si="123"/>
        <v>#VALUE!</v>
      </c>
      <c r="CW71" s="65" t="e">
        <f t="shared" si="123"/>
        <v>#VALUE!</v>
      </c>
    </row>
    <row r="73" spans="1:101">
      <c r="B73" s="109" t="s">
        <v>91</v>
      </c>
      <c r="C73" s="109" t="s">
        <v>92</v>
      </c>
      <c r="D73" s="109" t="s">
        <v>93</v>
      </c>
      <c r="E73" s="109" t="s">
        <v>94</v>
      </c>
      <c r="F73" s="109" t="s">
        <v>78</v>
      </c>
      <c r="G73" s="109" t="s">
        <v>79</v>
      </c>
      <c r="H73" s="109" t="s">
        <v>59</v>
      </c>
      <c r="I73" s="109" t="s">
        <v>95</v>
      </c>
      <c r="J73" s="109" t="s">
        <v>96</v>
      </c>
      <c r="K73" s="109" t="s">
        <v>97</v>
      </c>
      <c r="L73" s="109" t="s">
        <v>80</v>
      </c>
      <c r="M73" s="260">
        <v>46201</v>
      </c>
      <c r="N73" s="260">
        <v>46202</v>
      </c>
      <c r="O73" s="260">
        <v>46203</v>
      </c>
      <c r="P73" s="260">
        <v>46204</v>
      </c>
      <c r="Q73" s="260">
        <v>46205</v>
      </c>
      <c r="R73" s="260">
        <v>46206</v>
      </c>
      <c r="S73" s="260">
        <v>46207</v>
      </c>
      <c r="T73" s="260">
        <v>46208</v>
      </c>
      <c r="U73" s="260">
        <v>46209</v>
      </c>
      <c r="V73" s="260">
        <v>46210</v>
      </c>
      <c r="W73" s="260">
        <v>46211</v>
      </c>
      <c r="X73" s="260">
        <v>46212</v>
      </c>
      <c r="Y73" s="260">
        <v>46213</v>
      </c>
      <c r="Z73" s="260">
        <v>46214</v>
      </c>
      <c r="AA73" s="260">
        <v>46215</v>
      </c>
      <c r="AB73" s="260">
        <v>46216</v>
      </c>
      <c r="AC73" s="260">
        <v>46217</v>
      </c>
      <c r="AD73" s="260">
        <v>46218</v>
      </c>
      <c r="AE73" s="260">
        <v>46219</v>
      </c>
      <c r="AF73" s="260">
        <v>46220</v>
      </c>
      <c r="AG73" s="260">
        <v>46221</v>
      </c>
      <c r="AH73" s="260">
        <v>46222</v>
      </c>
      <c r="AI73" s="260">
        <v>46223</v>
      </c>
      <c r="AJ73" s="260">
        <v>46224</v>
      </c>
      <c r="AK73" s="260">
        <v>46225</v>
      </c>
      <c r="AL73" s="260">
        <v>46226</v>
      </c>
      <c r="AM73" s="260">
        <v>46227</v>
      </c>
      <c r="AN73" s="260">
        <v>46228</v>
      </c>
      <c r="AO73" s="260">
        <v>46229</v>
      </c>
      <c r="AP73" s="260">
        <v>46230</v>
      </c>
      <c r="AQ73" s="260">
        <v>46231</v>
      </c>
      <c r="AR73" s="260">
        <v>46232</v>
      </c>
      <c r="AS73" s="260">
        <v>46233</v>
      </c>
      <c r="AT73" s="260">
        <v>46234</v>
      </c>
      <c r="AU73" s="260">
        <v>46235</v>
      </c>
      <c r="AV73" s="260">
        <v>46236</v>
      </c>
      <c r="AW73" s="260">
        <v>46237</v>
      </c>
      <c r="AX73" s="260">
        <v>46238</v>
      </c>
      <c r="AY73" s="260">
        <v>46239</v>
      </c>
      <c r="AZ73" s="260">
        <v>46240</v>
      </c>
      <c r="BA73" s="260">
        <v>46241</v>
      </c>
      <c r="BB73" s="260">
        <v>46242</v>
      </c>
      <c r="BC73" s="260">
        <v>46243</v>
      </c>
      <c r="BD73" s="260">
        <v>46244</v>
      </c>
      <c r="BE73" s="260">
        <v>46245</v>
      </c>
      <c r="BF73" s="260">
        <v>46246</v>
      </c>
      <c r="BG73" s="260">
        <v>46247</v>
      </c>
      <c r="BH73" s="260">
        <v>46248</v>
      </c>
      <c r="BI73" s="260">
        <v>46249</v>
      </c>
      <c r="BJ73" s="260">
        <v>46250</v>
      </c>
      <c r="BK73" s="260">
        <v>46251</v>
      </c>
      <c r="BL73" s="260">
        <v>46252</v>
      </c>
      <c r="BM73" s="260">
        <v>46253</v>
      </c>
      <c r="BN73" s="260">
        <v>46254</v>
      </c>
      <c r="BO73" s="260">
        <v>46255</v>
      </c>
      <c r="BP73" s="260">
        <v>46256</v>
      </c>
      <c r="BQ73" s="260">
        <v>46257</v>
      </c>
      <c r="BR73" s="260">
        <v>46258</v>
      </c>
      <c r="BS73" s="260">
        <v>46259</v>
      </c>
      <c r="BT73" s="260">
        <v>46260</v>
      </c>
      <c r="BU73" s="260">
        <v>46261</v>
      </c>
      <c r="BV73" s="260">
        <v>46262</v>
      </c>
      <c r="BW73" s="260">
        <v>46263</v>
      </c>
      <c r="BX73" s="260">
        <v>46264</v>
      </c>
      <c r="BY73" s="260">
        <v>46265</v>
      </c>
      <c r="BZ73" s="260">
        <v>46266</v>
      </c>
      <c r="CA73" s="260">
        <v>46267</v>
      </c>
      <c r="CB73" s="260">
        <v>46268</v>
      </c>
      <c r="CC73" s="260">
        <v>46269</v>
      </c>
      <c r="CD73" s="260">
        <v>46270</v>
      </c>
      <c r="CE73" s="260">
        <v>46271</v>
      </c>
      <c r="CF73" s="260">
        <v>46272</v>
      </c>
      <c r="CG73" s="260">
        <v>46273</v>
      </c>
      <c r="CH73" s="260">
        <v>46274</v>
      </c>
      <c r="CI73" s="260">
        <v>46275</v>
      </c>
      <c r="CJ73" s="260">
        <v>46276</v>
      </c>
      <c r="CK73" s="260">
        <v>46277</v>
      </c>
      <c r="CL73" s="260">
        <v>46278</v>
      </c>
      <c r="CM73" s="260">
        <v>46279</v>
      </c>
      <c r="CN73" s="260">
        <v>46280</v>
      </c>
      <c r="CO73" s="260">
        <v>46281</v>
      </c>
      <c r="CP73" s="260">
        <v>46282</v>
      </c>
      <c r="CQ73" s="260">
        <v>46283</v>
      </c>
      <c r="CR73" s="260">
        <v>46284</v>
      </c>
      <c r="CS73" s="260">
        <v>46285</v>
      </c>
      <c r="CT73" s="260">
        <v>46286</v>
      </c>
      <c r="CU73" s="260">
        <v>46287</v>
      </c>
      <c r="CV73" s="260">
        <v>46288</v>
      </c>
      <c r="CW73" s="260">
        <v>46289</v>
      </c>
    </row>
    <row r="74" spans="1:101">
      <c r="A74" t="s">
        <v>105</v>
      </c>
      <c r="B74" s="138" t="s">
        <v>21</v>
      </c>
      <c r="C74" s="101">
        <v>48</v>
      </c>
      <c r="D74" s="102">
        <v>0</v>
      </c>
      <c r="E74" s="258">
        <f>C74-D74</f>
        <v>48</v>
      </c>
      <c r="F74" s="165" t="str">
        <f>'BESS 12'!D231</f>
        <v>03 Aug
17 Aug
02 Aug
04 Aug</v>
      </c>
      <c r="G74" s="165" t="e">
        <f>F74+4</f>
        <v>#VALUE!</v>
      </c>
      <c r="H74" s="65" t="e">
        <f>G74-F74</f>
        <v>#VALUE!</v>
      </c>
      <c r="I74" s="96">
        <v>10</v>
      </c>
      <c r="J74" s="93">
        <v>1</v>
      </c>
      <c r="K74" s="94">
        <f>(E74*J74)/I74</f>
        <v>4.8</v>
      </c>
      <c r="L74" s="505" t="e">
        <f>AVERAGEIF(M74:CW76,"&gt;0")</f>
        <v>#DIV/0!</v>
      </c>
      <c r="M74" s="65" t="e">
        <f t="shared" ref="M74:V76" si="124">IF(AND(M$2&gt;=$F74,M$2&lt;($F74+$H74)),ROUND($K74/$H74,0),"-")</f>
        <v>#VALUE!</v>
      </c>
      <c r="N74" s="65" t="e">
        <f t="shared" si="124"/>
        <v>#VALUE!</v>
      </c>
      <c r="O74" s="65" t="e">
        <f t="shared" si="124"/>
        <v>#VALUE!</v>
      </c>
      <c r="P74" s="65" t="e">
        <f t="shared" si="124"/>
        <v>#VALUE!</v>
      </c>
      <c r="Q74" s="65" t="e">
        <f t="shared" si="124"/>
        <v>#VALUE!</v>
      </c>
      <c r="R74" s="65" t="e">
        <f t="shared" si="124"/>
        <v>#VALUE!</v>
      </c>
      <c r="S74" s="65" t="e">
        <f t="shared" si="124"/>
        <v>#VALUE!</v>
      </c>
      <c r="T74" s="65" t="e">
        <f t="shared" si="124"/>
        <v>#VALUE!</v>
      </c>
      <c r="U74" s="65" t="e">
        <f t="shared" si="124"/>
        <v>#VALUE!</v>
      </c>
      <c r="V74" s="65" t="e">
        <f t="shared" si="124"/>
        <v>#VALUE!</v>
      </c>
      <c r="W74" s="65" t="e">
        <f t="shared" ref="W74:AF76" si="125">IF(AND(W$2&gt;=$F74,W$2&lt;($F74+$H74)),ROUND($K74/$H74,0),"-")</f>
        <v>#VALUE!</v>
      </c>
      <c r="X74" s="65" t="e">
        <f t="shared" si="125"/>
        <v>#VALUE!</v>
      </c>
      <c r="Y74" s="65" t="e">
        <f t="shared" si="125"/>
        <v>#VALUE!</v>
      </c>
      <c r="Z74" s="65" t="e">
        <f t="shared" si="125"/>
        <v>#VALUE!</v>
      </c>
      <c r="AA74" s="65" t="e">
        <f t="shared" si="125"/>
        <v>#VALUE!</v>
      </c>
      <c r="AB74" s="65" t="e">
        <f t="shared" si="125"/>
        <v>#VALUE!</v>
      </c>
      <c r="AC74" s="65" t="e">
        <f t="shared" si="125"/>
        <v>#VALUE!</v>
      </c>
      <c r="AD74" s="65" t="e">
        <f t="shared" si="125"/>
        <v>#VALUE!</v>
      </c>
      <c r="AE74" s="65" t="e">
        <f t="shared" si="125"/>
        <v>#VALUE!</v>
      </c>
      <c r="AF74" s="65" t="e">
        <f t="shared" si="125"/>
        <v>#VALUE!</v>
      </c>
      <c r="AG74" s="65" t="e">
        <f t="shared" ref="AG74:AP76" si="126">IF(AND(AG$2&gt;=$F74,AG$2&lt;($F74+$H74)),ROUND($K74/$H74,0),"-")</f>
        <v>#VALUE!</v>
      </c>
      <c r="AH74" s="65" t="e">
        <f t="shared" si="126"/>
        <v>#VALUE!</v>
      </c>
      <c r="AI74" s="65" t="e">
        <f t="shared" si="126"/>
        <v>#VALUE!</v>
      </c>
      <c r="AJ74" s="65" t="e">
        <f t="shared" si="126"/>
        <v>#VALUE!</v>
      </c>
      <c r="AK74" s="65" t="e">
        <f t="shared" si="126"/>
        <v>#VALUE!</v>
      </c>
      <c r="AL74" s="65" t="e">
        <f t="shared" si="126"/>
        <v>#VALUE!</v>
      </c>
      <c r="AM74" s="65" t="e">
        <f t="shared" si="126"/>
        <v>#VALUE!</v>
      </c>
      <c r="AN74" s="65" t="e">
        <f t="shared" si="126"/>
        <v>#VALUE!</v>
      </c>
      <c r="AO74" s="65" t="e">
        <f t="shared" si="126"/>
        <v>#VALUE!</v>
      </c>
      <c r="AP74" s="65" t="e">
        <f t="shared" si="126"/>
        <v>#VALUE!</v>
      </c>
      <c r="AQ74" s="65" t="e">
        <f t="shared" ref="AQ74:AZ76" si="127">IF(AND(AQ$2&gt;=$F74,AQ$2&lt;($F74+$H74)),ROUND($K74/$H74,0),"-")</f>
        <v>#VALUE!</v>
      </c>
      <c r="AR74" s="65" t="e">
        <f t="shared" si="127"/>
        <v>#VALUE!</v>
      </c>
      <c r="AS74" s="65" t="e">
        <f t="shared" si="127"/>
        <v>#VALUE!</v>
      </c>
      <c r="AT74" s="65" t="e">
        <f t="shared" si="127"/>
        <v>#VALUE!</v>
      </c>
      <c r="AU74" s="65" t="e">
        <f t="shared" si="127"/>
        <v>#VALUE!</v>
      </c>
      <c r="AV74" s="65" t="e">
        <f t="shared" si="127"/>
        <v>#VALUE!</v>
      </c>
      <c r="AW74" s="65" t="e">
        <f t="shared" si="127"/>
        <v>#VALUE!</v>
      </c>
      <c r="AX74" s="65" t="e">
        <f t="shared" si="127"/>
        <v>#VALUE!</v>
      </c>
      <c r="AY74" s="65" t="e">
        <f t="shared" si="127"/>
        <v>#VALUE!</v>
      </c>
      <c r="AZ74" s="65" t="e">
        <f t="shared" si="127"/>
        <v>#VALUE!</v>
      </c>
      <c r="BA74" s="65" t="e">
        <f t="shared" ref="BA74:BJ76" si="128">IF(AND(BA$2&gt;=$F74,BA$2&lt;($F74+$H74)),ROUND($K74/$H74,0),"-")</f>
        <v>#VALUE!</v>
      </c>
      <c r="BB74" s="65" t="e">
        <f t="shared" si="128"/>
        <v>#VALUE!</v>
      </c>
      <c r="BC74" s="65" t="e">
        <f t="shared" si="128"/>
        <v>#VALUE!</v>
      </c>
      <c r="BD74" s="65" t="e">
        <f t="shared" si="128"/>
        <v>#VALUE!</v>
      </c>
      <c r="BE74" s="65" t="e">
        <f t="shared" si="128"/>
        <v>#VALUE!</v>
      </c>
      <c r="BF74" s="65" t="e">
        <f t="shared" si="128"/>
        <v>#VALUE!</v>
      </c>
      <c r="BG74" s="65" t="e">
        <f t="shared" si="128"/>
        <v>#VALUE!</v>
      </c>
      <c r="BH74" s="65" t="e">
        <f t="shared" si="128"/>
        <v>#VALUE!</v>
      </c>
      <c r="BI74" s="65" t="e">
        <f t="shared" si="128"/>
        <v>#VALUE!</v>
      </c>
      <c r="BJ74" s="65" t="e">
        <f t="shared" si="128"/>
        <v>#VALUE!</v>
      </c>
      <c r="BK74" s="65" t="e">
        <f t="shared" ref="BK74:BT76" si="129">IF(AND(BK$2&gt;=$F74,BK$2&lt;($F74+$H74)),ROUND($K74/$H74,0),"-")</f>
        <v>#VALUE!</v>
      </c>
      <c r="BL74" s="65" t="e">
        <f t="shared" si="129"/>
        <v>#VALUE!</v>
      </c>
      <c r="BM74" s="65" t="e">
        <f t="shared" si="129"/>
        <v>#VALUE!</v>
      </c>
      <c r="BN74" s="65" t="e">
        <f t="shared" si="129"/>
        <v>#VALUE!</v>
      </c>
      <c r="BO74" s="65" t="e">
        <f t="shared" si="129"/>
        <v>#VALUE!</v>
      </c>
      <c r="BP74" s="65" t="e">
        <f t="shared" si="129"/>
        <v>#VALUE!</v>
      </c>
      <c r="BQ74" s="65" t="e">
        <f t="shared" si="129"/>
        <v>#VALUE!</v>
      </c>
      <c r="BR74" s="65" t="e">
        <f t="shared" si="129"/>
        <v>#VALUE!</v>
      </c>
      <c r="BS74" s="65" t="e">
        <f t="shared" si="129"/>
        <v>#VALUE!</v>
      </c>
      <c r="BT74" s="65" t="e">
        <f t="shared" si="129"/>
        <v>#VALUE!</v>
      </c>
      <c r="BU74" s="65" t="e">
        <f t="shared" ref="BU74:CD76" si="130">IF(AND(BU$2&gt;=$F74,BU$2&lt;($F74+$H74)),ROUND($K74/$H74,0),"-")</f>
        <v>#VALUE!</v>
      </c>
      <c r="BV74" s="65" t="e">
        <f t="shared" si="130"/>
        <v>#VALUE!</v>
      </c>
      <c r="BW74" s="65" t="e">
        <f t="shared" si="130"/>
        <v>#VALUE!</v>
      </c>
      <c r="BX74" s="65" t="e">
        <f t="shared" si="130"/>
        <v>#VALUE!</v>
      </c>
      <c r="BY74" s="65" t="e">
        <f t="shared" si="130"/>
        <v>#VALUE!</v>
      </c>
      <c r="BZ74" s="65" t="e">
        <f t="shared" si="130"/>
        <v>#VALUE!</v>
      </c>
      <c r="CA74" s="65" t="e">
        <f t="shared" si="130"/>
        <v>#VALUE!</v>
      </c>
      <c r="CB74" s="65" t="e">
        <f t="shared" si="130"/>
        <v>#VALUE!</v>
      </c>
      <c r="CC74" s="65" t="e">
        <f t="shared" si="130"/>
        <v>#VALUE!</v>
      </c>
      <c r="CD74" s="65" t="e">
        <f t="shared" si="130"/>
        <v>#VALUE!</v>
      </c>
      <c r="CE74" s="65" t="e">
        <f t="shared" ref="CE74:CN76" si="131">IF(AND(CE$2&gt;=$F74,CE$2&lt;($F74+$H74)),ROUND($K74/$H74,0),"-")</f>
        <v>#VALUE!</v>
      </c>
      <c r="CF74" s="65" t="e">
        <f t="shared" si="131"/>
        <v>#VALUE!</v>
      </c>
      <c r="CG74" s="65" t="e">
        <f t="shared" si="131"/>
        <v>#VALUE!</v>
      </c>
      <c r="CH74" s="65" t="e">
        <f t="shared" si="131"/>
        <v>#VALUE!</v>
      </c>
      <c r="CI74" s="65" t="e">
        <f t="shared" si="131"/>
        <v>#VALUE!</v>
      </c>
      <c r="CJ74" s="65" t="e">
        <f t="shared" si="131"/>
        <v>#VALUE!</v>
      </c>
      <c r="CK74" s="65" t="e">
        <f t="shared" si="131"/>
        <v>#VALUE!</v>
      </c>
      <c r="CL74" s="65" t="e">
        <f t="shared" si="131"/>
        <v>#VALUE!</v>
      </c>
      <c r="CM74" s="65" t="e">
        <f t="shared" si="131"/>
        <v>#VALUE!</v>
      </c>
      <c r="CN74" s="65" t="e">
        <f t="shared" si="131"/>
        <v>#VALUE!</v>
      </c>
      <c r="CO74" s="65" t="e">
        <f t="shared" ref="CO74:CW76" si="132">IF(AND(CO$2&gt;=$F74,CO$2&lt;($F74+$H74)),ROUND($K74/$H74,0),"-")</f>
        <v>#VALUE!</v>
      </c>
      <c r="CP74" s="65" t="e">
        <f t="shared" si="132"/>
        <v>#VALUE!</v>
      </c>
      <c r="CQ74" s="65" t="e">
        <f t="shared" si="132"/>
        <v>#VALUE!</v>
      </c>
      <c r="CR74" s="65" t="e">
        <f t="shared" si="132"/>
        <v>#VALUE!</v>
      </c>
      <c r="CS74" s="65" t="e">
        <f t="shared" si="132"/>
        <v>#VALUE!</v>
      </c>
      <c r="CT74" s="65" t="e">
        <f t="shared" si="132"/>
        <v>#VALUE!</v>
      </c>
      <c r="CU74" s="65" t="e">
        <f t="shared" si="132"/>
        <v>#VALUE!</v>
      </c>
      <c r="CV74" s="65" t="e">
        <f t="shared" si="132"/>
        <v>#VALUE!</v>
      </c>
      <c r="CW74" s="65" t="e">
        <f t="shared" si="132"/>
        <v>#VALUE!</v>
      </c>
    </row>
    <row r="75" spans="1:101">
      <c r="B75" s="109" t="s">
        <v>99</v>
      </c>
      <c r="C75" s="101">
        <v>768</v>
      </c>
      <c r="D75" s="258">
        <f>SUM('[1]Electrical Work'!$G$446:$G$451)</f>
        <v>810</v>
      </c>
      <c r="E75" s="258">
        <f>C75-D75</f>
        <v>-42</v>
      </c>
      <c r="F75" s="162" t="str">
        <f>F74</f>
        <v>03 Aug
17 Aug
02 Aug
04 Aug</v>
      </c>
      <c r="G75" s="162" t="e">
        <f>G74</f>
        <v>#VALUE!</v>
      </c>
      <c r="H75" s="65" t="e">
        <f>G75-F75</f>
        <v>#VALUE!</v>
      </c>
      <c r="I75" s="259">
        <v>30</v>
      </c>
      <c r="J75" s="259">
        <v>18</v>
      </c>
      <c r="K75" s="102">
        <f>(E75*J75)/I75</f>
        <v>-25.2</v>
      </c>
      <c r="L75" s="505"/>
      <c r="M75" s="65" t="e">
        <f t="shared" si="124"/>
        <v>#VALUE!</v>
      </c>
      <c r="N75" s="65" t="e">
        <f t="shared" si="124"/>
        <v>#VALUE!</v>
      </c>
      <c r="O75" s="65" t="e">
        <f t="shared" si="124"/>
        <v>#VALUE!</v>
      </c>
      <c r="P75" s="65" t="e">
        <f t="shared" si="124"/>
        <v>#VALUE!</v>
      </c>
      <c r="Q75" s="65" t="e">
        <f t="shared" si="124"/>
        <v>#VALUE!</v>
      </c>
      <c r="R75" s="65" t="e">
        <f t="shared" si="124"/>
        <v>#VALUE!</v>
      </c>
      <c r="S75" s="65" t="e">
        <f t="shared" si="124"/>
        <v>#VALUE!</v>
      </c>
      <c r="T75" s="65" t="e">
        <f t="shared" si="124"/>
        <v>#VALUE!</v>
      </c>
      <c r="U75" s="65" t="e">
        <f t="shared" si="124"/>
        <v>#VALUE!</v>
      </c>
      <c r="V75" s="65" t="e">
        <f t="shared" si="124"/>
        <v>#VALUE!</v>
      </c>
      <c r="W75" s="65" t="e">
        <f t="shared" si="125"/>
        <v>#VALUE!</v>
      </c>
      <c r="X75" s="65" t="e">
        <f t="shared" si="125"/>
        <v>#VALUE!</v>
      </c>
      <c r="Y75" s="65" t="e">
        <f t="shared" si="125"/>
        <v>#VALUE!</v>
      </c>
      <c r="Z75" s="65" t="e">
        <f t="shared" si="125"/>
        <v>#VALUE!</v>
      </c>
      <c r="AA75" s="65" t="e">
        <f t="shared" si="125"/>
        <v>#VALUE!</v>
      </c>
      <c r="AB75" s="65" t="e">
        <f t="shared" si="125"/>
        <v>#VALUE!</v>
      </c>
      <c r="AC75" s="65" t="e">
        <f t="shared" si="125"/>
        <v>#VALUE!</v>
      </c>
      <c r="AD75" s="65" t="e">
        <f t="shared" si="125"/>
        <v>#VALUE!</v>
      </c>
      <c r="AE75" s="65" t="e">
        <f t="shared" si="125"/>
        <v>#VALUE!</v>
      </c>
      <c r="AF75" s="65" t="e">
        <f t="shared" si="125"/>
        <v>#VALUE!</v>
      </c>
      <c r="AG75" s="65" t="e">
        <f t="shared" si="126"/>
        <v>#VALUE!</v>
      </c>
      <c r="AH75" s="65" t="e">
        <f t="shared" si="126"/>
        <v>#VALUE!</v>
      </c>
      <c r="AI75" s="65" t="e">
        <f t="shared" si="126"/>
        <v>#VALUE!</v>
      </c>
      <c r="AJ75" s="65" t="e">
        <f t="shared" si="126"/>
        <v>#VALUE!</v>
      </c>
      <c r="AK75" s="65" t="e">
        <f t="shared" si="126"/>
        <v>#VALUE!</v>
      </c>
      <c r="AL75" s="65" t="e">
        <f t="shared" si="126"/>
        <v>#VALUE!</v>
      </c>
      <c r="AM75" s="65" t="e">
        <f t="shared" si="126"/>
        <v>#VALUE!</v>
      </c>
      <c r="AN75" s="65" t="e">
        <f t="shared" si="126"/>
        <v>#VALUE!</v>
      </c>
      <c r="AO75" s="65" t="e">
        <f t="shared" si="126"/>
        <v>#VALUE!</v>
      </c>
      <c r="AP75" s="65" t="e">
        <f t="shared" si="126"/>
        <v>#VALUE!</v>
      </c>
      <c r="AQ75" s="65" t="e">
        <f t="shared" si="127"/>
        <v>#VALUE!</v>
      </c>
      <c r="AR75" s="65" t="e">
        <f t="shared" si="127"/>
        <v>#VALUE!</v>
      </c>
      <c r="AS75" s="65" t="e">
        <f t="shared" si="127"/>
        <v>#VALUE!</v>
      </c>
      <c r="AT75" s="65" t="e">
        <f t="shared" si="127"/>
        <v>#VALUE!</v>
      </c>
      <c r="AU75" s="65" t="e">
        <f t="shared" si="127"/>
        <v>#VALUE!</v>
      </c>
      <c r="AV75" s="65" t="e">
        <f t="shared" si="127"/>
        <v>#VALUE!</v>
      </c>
      <c r="AW75" s="65" t="e">
        <f t="shared" si="127"/>
        <v>#VALUE!</v>
      </c>
      <c r="AX75" s="65" t="e">
        <f t="shared" si="127"/>
        <v>#VALUE!</v>
      </c>
      <c r="AY75" s="65" t="e">
        <f t="shared" si="127"/>
        <v>#VALUE!</v>
      </c>
      <c r="AZ75" s="65" t="e">
        <f t="shared" si="127"/>
        <v>#VALUE!</v>
      </c>
      <c r="BA75" s="65" t="e">
        <f t="shared" si="128"/>
        <v>#VALUE!</v>
      </c>
      <c r="BB75" s="65" t="e">
        <f t="shared" si="128"/>
        <v>#VALUE!</v>
      </c>
      <c r="BC75" s="65" t="e">
        <f t="shared" si="128"/>
        <v>#VALUE!</v>
      </c>
      <c r="BD75" s="65" t="e">
        <f t="shared" si="128"/>
        <v>#VALUE!</v>
      </c>
      <c r="BE75" s="65" t="e">
        <f t="shared" si="128"/>
        <v>#VALUE!</v>
      </c>
      <c r="BF75" s="65" t="e">
        <f t="shared" si="128"/>
        <v>#VALUE!</v>
      </c>
      <c r="BG75" s="65" t="e">
        <f t="shared" si="128"/>
        <v>#VALUE!</v>
      </c>
      <c r="BH75" s="65" t="e">
        <f t="shared" si="128"/>
        <v>#VALUE!</v>
      </c>
      <c r="BI75" s="65" t="e">
        <f t="shared" si="128"/>
        <v>#VALUE!</v>
      </c>
      <c r="BJ75" s="65" t="e">
        <f t="shared" si="128"/>
        <v>#VALUE!</v>
      </c>
      <c r="BK75" s="65" t="e">
        <f t="shared" si="129"/>
        <v>#VALUE!</v>
      </c>
      <c r="BL75" s="65" t="e">
        <f t="shared" si="129"/>
        <v>#VALUE!</v>
      </c>
      <c r="BM75" s="65" t="e">
        <f t="shared" si="129"/>
        <v>#VALUE!</v>
      </c>
      <c r="BN75" s="65" t="e">
        <f t="shared" si="129"/>
        <v>#VALUE!</v>
      </c>
      <c r="BO75" s="65" t="e">
        <f t="shared" si="129"/>
        <v>#VALUE!</v>
      </c>
      <c r="BP75" s="65" t="e">
        <f t="shared" si="129"/>
        <v>#VALUE!</v>
      </c>
      <c r="BQ75" s="65" t="e">
        <f t="shared" si="129"/>
        <v>#VALUE!</v>
      </c>
      <c r="BR75" s="65" t="e">
        <f t="shared" si="129"/>
        <v>#VALUE!</v>
      </c>
      <c r="BS75" s="65" t="e">
        <f t="shared" si="129"/>
        <v>#VALUE!</v>
      </c>
      <c r="BT75" s="65" t="e">
        <f t="shared" si="129"/>
        <v>#VALUE!</v>
      </c>
      <c r="BU75" s="65" t="e">
        <f t="shared" si="130"/>
        <v>#VALUE!</v>
      </c>
      <c r="BV75" s="65" t="e">
        <f t="shared" si="130"/>
        <v>#VALUE!</v>
      </c>
      <c r="BW75" s="65" t="e">
        <f t="shared" si="130"/>
        <v>#VALUE!</v>
      </c>
      <c r="BX75" s="65" t="e">
        <f t="shared" si="130"/>
        <v>#VALUE!</v>
      </c>
      <c r="BY75" s="65" t="e">
        <f t="shared" si="130"/>
        <v>#VALUE!</v>
      </c>
      <c r="BZ75" s="65" t="e">
        <f t="shared" si="130"/>
        <v>#VALUE!</v>
      </c>
      <c r="CA75" s="65" t="e">
        <f t="shared" si="130"/>
        <v>#VALUE!</v>
      </c>
      <c r="CB75" s="65" t="e">
        <f t="shared" si="130"/>
        <v>#VALUE!</v>
      </c>
      <c r="CC75" s="65" t="e">
        <f t="shared" si="130"/>
        <v>#VALUE!</v>
      </c>
      <c r="CD75" s="65" t="e">
        <f t="shared" si="130"/>
        <v>#VALUE!</v>
      </c>
      <c r="CE75" s="65" t="e">
        <f t="shared" si="131"/>
        <v>#VALUE!</v>
      </c>
      <c r="CF75" s="65" t="e">
        <f t="shared" si="131"/>
        <v>#VALUE!</v>
      </c>
      <c r="CG75" s="65" t="e">
        <f t="shared" si="131"/>
        <v>#VALUE!</v>
      </c>
      <c r="CH75" s="65" t="e">
        <f t="shared" si="131"/>
        <v>#VALUE!</v>
      </c>
      <c r="CI75" s="65" t="e">
        <f t="shared" si="131"/>
        <v>#VALUE!</v>
      </c>
      <c r="CJ75" s="65" t="e">
        <f t="shared" si="131"/>
        <v>#VALUE!</v>
      </c>
      <c r="CK75" s="65" t="e">
        <f t="shared" si="131"/>
        <v>#VALUE!</v>
      </c>
      <c r="CL75" s="65" t="e">
        <f t="shared" si="131"/>
        <v>#VALUE!</v>
      </c>
      <c r="CM75" s="65" t="e">
        <f t="shared" si="131"/>
        <v>#VALUE!</v>
      </c>
      <c r="CN75" s="65" t="e">
        <f t="shared" si="131"/>
        <v>#VALUE!</v>
      </c>
      <c r="CO75" s="65" t="e">
        <f t="shared" si="132"/>
        <v>#VALUE!</v>
      </c>
      <c r="CP75" s="65" t="e">
        <f t="shared" si="132"/>
        <v>#VALUE!</v>
      </c>
      <c r="CQ75" s="65" t="e">
        <f t="shared" si="132"/>
        <v>#VALUE!</v>
      </c>
      <c r="CR75" s="65" t="e">
        <f t="shared" si="132"/>
        <v>#VALUE!</v>
      </c>
      <c r="CS75" s="65" t="e">
        <f t="shared" si="132"/>
        <v>#VALUE!</v>
      </c>
      <c r="CT75" s="65" t="e">
        <f t="shared" si="132"/>
        <v>#VALUE!</v>
      </c>
      <c r="CU75" s="65" t="e">
        <f t="shared" si="132"/>
        <v>#VALUE!</v>
      </c>
      <c r="CV75" s="65" t="e">
        <f t="shared" si="132"/>
        <v>#VALUE!</v>
      </c>
      <c r="CW75" s="65" t="e">
        <f t="shared" si="132"/>
        <v>#VALUE!</v>
      </c>
    </row>
    <row r="76" spans="1:101">
      <c r="B76" s="109" t="s">
        <v>100</v>
      </c>
      <c r="C76" s="101">
        <v>1344</v>
      </c>
      <c r="D76" s="101">
        <v>0</v>
      </c>
      <c r="E76" s="258">
        <f>C76-D76</f>
        <v>1344</v>
      </c>
      <c r="F76" s="162" t="str">
        <f>F75</f>
        <v>03 Aug
17 Aug
02 Aug
04 Aug</v>
      </c>
      <c r="G76" s="162" t="e">
        <f>G75</f>
        <v>#VALUE!</v>
      </c>
      <c r="H76" s="65" t="e">
        <f>H75</f>
        <v>#VALUE!</v>
      </c>
      <c r="I76" s="101">
        <v>30</v>
      </c>
      <c r="J76" s="101">
        <v>6</v>
      </c>
      <c r="K76" s="102">
        <f>(E76*J76)/I76</f>
        <v>268.8</v>
      </c>
      <c r="L76" s="505"/>
      <c r="M76" s="65" t="e">
        <f t="shared" si="124"/>
        <v>#VALUE!</v>
      </c>
      <c r="N76" s="65" t="e">
        <f t="shared" si="124"/>
        <v>#VALUE!</v>
      </c>
      <c r="O76" s="65" t="e">
        <f t="shared" si="124"/>
        <v>#VALUE!</v>
      </c>
      <c r="P76" s="65" t="e">
        <f t="shared" si="124"/>
        <v>#VALUE!</v>
      </c>
      <c r="Q76" s="65" t="e">
        <f t="shared" si="124"/>
        <v>#VALUE!</v>
      </c>
      <c r="R76" s="65" t="e">
        <f t="shared" si="124"/>
        <v>#VALUE!</v>
      </c>
      <c r="S76" s="65" t="e">
        <f t="shared" si="124"/>
        <v>#VALUE!</v>
      </c>
      <c r="T76" s="65" t="e">
        <f t="shared" si="124"/>
        <v>#VALUE!</v>
      </c>
      <c r="U76" s="65" t="e">
        <f t="shared" si="124"/>
        <v>#VALUE!</v>
      </c>
      <c r="V76" s="65" t="e">
        <f t="shared" si="124"/>
        <v>#VALUE!</v>
      </c>
      <c r="W76" s="65" t="e">
        <f t="shared" si="125"/>
        <v>#VALUE!</v>
      </c>
      <c r="X76" s="65" t="e">
        <f t="shared" si="125"/>
        <v>#VALUE!</v>
      </c>
      <c r="Y76" s="65" t="e">
        <f t="shared" si="125"/>
        <v>#VALUE!</v>
      </c>
      <c r="Z76" s="65" t="e">
        <f t="shared" si="125"/>
        <v>#VALUE!</v>
      </c>
      <c r="AA76" s="65" t="e">
        <f t="shared" si="125"/>
        <v>#VALUE!</v>
      </c>
      <c r="AB76" s="65" t="e">
        <f t="shared" si="125"/>
        <v>#VALUE!</v>
      </c>
      <c r="AC76" s="65" t="e">
        <f t="shared" si="125"/>
        <v>#VALUE!</v>
      </c>
      <c r="AD76" s="65" t="e">
        <f t="shared" si="125"/>
        <v>#VALUE!</v>
      </c>
      <c r="AE76" s="65" t="e">
        <f t="shared" si="125"/>
        <v>#VALUE!</v>
      </c>
      <c r="AF76" s="65" t="e">
        <f t="shared" si="125"/>
        <v>#VALUE!</v>
      </c>
      <c r="AG76" s="65" t="e">
        <f t="shared" si="126"/>
        <v>#VALUE!</v>
      </c>
      <c r="AH76" s="65" t="e">
        <f t="shared" si="126"/>
        <v>#VALUE!</v>
      </c>
      <c r="AI76" s="65" t="e">
        <f t="shared" si="126"/>
        <v>#VALUE!</v>
      </c>
      <c r="AJ76" s="65" t="e">
        <f t="shared" si="126"/>
        <v>#VALUE!</v>
      </c>
      <c r="AK76" s="65" t="e">
        <f t="shared" si="126"/>
        <v>#VALUE!</v>
      </c>
      <c r="AL76" s="65" t="e">
        <f t="shared" si="126"/>
        <v>#VALUE!</v>
      </c>
      <c r="AM76" s="65" t="e">
        <f t="shared" si="126"/>
        <v>#VALUE!</v>
      </c>
      <c r="AN76" s="65" t="e">
        <f t="shared" si="126"/>
        <v>#VALUE!</v>
      </c>
      <c r="AO76" s="65" t="e">
        <f t="shared" si="126"/>
        <v>#VALUE!</v>
      </c>
      <c r="AP76" s="65" t="e">
        <f t="shared" si="126"/>
        <v>#VALUE!</v>
      </c>
      <c r="AQ76" s="65" t="e">
        <f t="shared" si="127"/>
        <v>#VALUE!</v>
      </c>
      <c r="AR76" s="65" t="e">
        <f t="shared" si="127"/>
        <v>#VALUE!</v>
      </c>
      <c r="AS76" s="65" t="e">
        <f t="shared" si="127"/>
        <v>#VALUE!</v>
      </c>
      <c r="AT76" s="65" t="e">
        <f t="shared" si="127"/>
        <v>#VALUE!</v>
      </c>
      <c r="AU76" s="65" t="e">
        <f t="shared" si="127"/>
        <v>#VALUE!</v>
      </c>
      <c r="AV76" s="65" t="e">
        <f t="shared" si="127"/>
        <v>#VALUE!</v>
      </c>
      <c r="AW76" s="65" t="e">
        <f t="shared" si="127"/>
        <v>#VALUE!</v>
      </c>
      <c r="AX76" s="65" t="e">
        <f t="shared" si="127"/>
        <v>#VALUE!</v>
      </c>
      <c r="AY76" s="65" t="e">
        <f t="shared" si="127"/>
        <v>#VALUE!</v>
      </c>
      <c r="AZ76" s="65" t="e">
        <f t="shared" si="127"/>
        <v>#VALUE!</v>
      </c>
      <c r="BA76" s="65" t="e">
        <f t="shared" si="128"/>
        <v>#VALUE!</v>
      </c>
      <c r="BB76" s="65" t="e">
        <f t="shared" si="128"/>
        <v>#VALUE!</v>
      </c>
      <c r="BC76" s="65" t="e">
        <f t="shared" si="128"/>
        <v>#VALUE!</v>
      </c>
      <c r="BD76" s="65" t="e">
        <f t="shared" si="128"/>
        <v>#VALUE!</v>
      </c>
      <c r="BE76" s="65" t="e">
        <f t="shared" si="128"/>
        <v>#VALUE!</v>
      </c>
      <c r="BF76" s="65" t="e">
        <f t="shared" si="128"/>
        <v>#VALUE!</v>
      </c>
      <c r="BG76" s="65" t="e">
        <f t="shared" si="128"/>
        <v>#VALUE!</v>
      </c>
      <c r="BH76" s="65" t="e">
        <f t="shared" si="128"/>
        <v>#VALUE!</v>
      </c>
      <c r="BI76" s="65" t="e">
        <f t="shared" si="128"/>
        <v>#VALUE!</v>
      </c>
      <c r="BJ76" s="65" t="e">
        <f t="shared" si="128"/>
        <v>#VALUE!</v>
      </c>
      <c r="BK76" s="65" t="e">
        <f t="shared" si="129"/>
        <v>#VALUE!</v>
      </c>
      <c r="BL76" s="65" t="e">
        <f t="shared" si="129"/>
        <v>#VALUE!</v>
      </c>
      <c r="BM76" s="65" t="e">
        <f t="shared" si="129"/>
        <v>#VALUE!</v>
      </c>
      <c r="BN76" s="65" t="e">
        <f t="shared" si="129"/>
        <v>#VALUE!</v>
      </c>
      <c r="BO76" s="65" t="e">
        <f t="shared" si="129"/>
        <v>#VALUE!</v>
      </c>
      <c r="BP76" s="65" t="e">
        <f t="shared" si="129"/>
        <v>#VALUE!</v>
      </c>
      <c r="BQ76" s="65" t="e">
        <f t="shared" si="129"/>
        <v>#VALUE!</v>
      </c>
      <c r="BR76" s="65" t="e">
        <f t="shared" si="129"/>
        <v>#VALUE!</v>
      </c>
      <c r="BS76" s="65" t="e">
        <f t="shared" si="129"/>
        <v>#VALUE!</v>
      </c>
      <c r="BT76" s="65" t="e">
        <f t="shared" si="129"/>
        <v>#VALUE!</v>
      </c>
      <c r="BU76" s="65" t="e">
        <f t="shared" si="130"/>
        <v>#VALUE!</v>
      </c>
      <c r="BV76" s="65" t="e">
        <f t="shared" si="130"/>
        <v>#VALUE!</v>
      </c>
      <c r="BW76" s="65" t="e">
        <f t="shared" si="130"/>
        <v>#VALUE!</v>
      </c>
      <c r="BX76" s="65" t="e">
        <f t="shared" si="130"/>
        <v>#VALUE!</v>
      </c>
      <c r="BY76" s="65" t="e">
        <f t="shared" si="130"/>
        <v>#VALUE!</v>
      </c>
      <c r="BZ76" s="65" t="e">
        <f t="shared" si="130"/>
        <v>#VALUE!</v>
      </c>
      <c r="CA76" s="65" t="e">
        <f t="shared" si="130"/>
        <v>#VALUE!</v>
      </c>
      <c r="CB76" s="65" t="e">
        <f t="shared" si="130"/>
        <v>#VALUE!</v>
      </c>
      <c r="CC76" s="65" t="e">
        <f t="shared" si="130"/>
        <v>#VALUE!</v>
      </c>
      <c r="CD76" s="65" t="e">
        <f t="shared" si="130"/>
        <v>#VALUE!</v>
      </c>
      <c r="CE76" s="65" t="e">
        <f t="shared" si="131"/>
        <v>#VALUE!</v>
      </c>
      <c r="CF76" s="65" t="e">
        <f t="shared" si="131"/>
        <v>#VALUE!</v>
      </c>
      <c r="CG76" s="65" t="e">
        <f t="shared" si="131"/>
        <v>#VALUE!</v>
      </c>
      <c r="CH76" s="65" t="e">
        <f t="shared" si="131"/>
        <v>#VALUE!</v>
      </c>
      <c r="CI76" s="65" t="e">
        <f t="shared" si="131"/>
        <v>#VALUE!</v>
      </c>
      <c r="CJ76" s="65" t="e">
        <f t="shared" si="131"/>
        <v>#VALUE!</v>
      </c>
      <c r="CK76" s="65" t="e">
        <f t="shared" si="131"/>
        <v>#VALUE!</v>
      </c>
      <c r="CL76" s="65" t="e">
        <f t="shared" si="131"/>
        <v>#VALUE!</v>
      </c>
      <c r="CM76" s="65" t="e">
        <f t="shared" si="131"/>
        <v>#VALUE!</v>
      </c>
      <c r="CN76" s="65" t="e">
        <f t="shared" si="131"/>
        <v>#VALUE!</v>
      </c>
      <c r="CO76" s="65" t="e">
        <f t="shared" si="132"/>
        <v>#VALUE!</v>
      </c>
      <c r="CP76" s="65" t="e">
        <f t="shared" si="132"/>
        <v>#VALUE!</v>
      </c>
      <c r="CQ76" s="65" t="e">
        <f t="shared" si="132"/>
        <v>#VALUE!</v>
      </c>
      <c r="CR76" s="65" t="e">
        <f t="shared" si="132"/>
        <v>#VALUE!</v>
      </c>
      <c r="CS76" s="65" t="e">
        <f t="shared" si="132"/>
        <v>#VALUE!</v>
      </c>
      <c r="CT76" s="65" t="e">
        <f t="shared" si="132"/>
        <v>#VALUE!</v>
      </c>
      <c r="CU76" s="65" t="e">
        <f t="shared" si="132"/>
        <v>#VALUE!</v>
      </c>
      <c r="CV76" s="65" t="e">
        <f t="shared" si="132"/>
        <v>#VALUE!</v>
      </c>
      <c r="CW76" s="65" t="e">
        <f t="shared" si="132"/>
        <v>#VALUE!</v>
      </c>
    </row>
    <row r="78" spans="1:101">
      <c r="B78" s="109" t="s">
        <v>91</v>
      </c>
      <c r="C78" s="109" t="s">
        <v>92</v>
      </c>
      <c r="D78" s="109" t="s">
        <v>93</v>
      </c>
      <c r="E78" s="109" t="s">
        <v>94</v>
      </c>
      <c r="F78" s="109" t="s">
        <v>78</v>
      </c>
      <c r="G78" s="109" t="s">
        <v>79</v>
      </c>
      <c r="H78" s="109" t="s">
        <v>59</v>
      </c>
      <c r="I78" s="109" t="s">
        <v>95</v>
      </c>
      <c r="J78" s="109" t="s">
        <v>96</v>
      </c>
      <c r="K78" s="109" t="s">
        <v>97</v>
      </c>
      <c r="L78" s="109" t="s">
        <v>80</v>
      </c>
      <c r="M78" s="260">
        <v>46201</v>
      </c>
      <c r="N78" s="260">
        <v>46202</v>
      </c>
      <c r="O78" s="260">
        <v>46203</v>
      </c>
      <c r="P78" s="260">
        <v>46204</v>
      </c>
      <c r="Q78" s="260">
        <v>46205</v>
      </c>
      <c r="R78" s="260">
        <v>46206</v>
      </c>
      <c r="S78" s="260">
        <v>46207</v>
      </c>
      <c r="T78" s="260">
        <v>46208</v>
      </c>
      <c r="U78" s="260">
        <v>46209</v>
      </c>
      <c r="V78" s="260">
        <v>46210</v>
      </c>
      <c r="W78" s="260">
        <v>46211</v>
      </c>
      <c r="X78" s="260">
        <v>46212</v>
      </c>
      <c r="Y78" s="260">
        <v>46213</v>
      </c>
      <c r="Z78" s="260">
        <v>46214</v>
      </c>
      <c r="AA78" s="260">
        <v>46215</v>
      </c>
      <c r="AB78" s="260">
        <v>46216</v>
      </c>
      <c r="AC78" s="260">
        <v>46217</v>
      </c>
      <c r="AD78" s="260">
        <v>46218</v>
      </c>
      <c r="AE78" s="260">
        <v>46219</v>
      </c>
      <c r="AF78" s="260">
        <v>46220</v>
      </c>
      <c r="AG78" s="260">
        <v>46221</v>
      </c>
      <c r="AH78" s="260">
        <v>46222</v>
      </c>
      <c r="AI78" s="260">
        <v>46223</v>
      </c>
      <c r="AJ78" s="260">
        <v>46224</v>
      </c>
      <c r="AK78" s="260">
        <v>46225</v>
      </c>
      <c r="AL78" s="260">
        <v>46226</v>
      </c>
      <c r="AM78" s="260">
        <v>46227</v>
      </c>
      <c r="AN78" s="260">
        <v>46228</v>
      </c>
      <c r="AO78" s="260">
        <v>46229</v>
      </c>
      <c r="AP78" s="260">
        <v>46230</v>
      </c>
      <c r="AQ78" s="260">
        <v>46231</v>
      </c>
      <c r="AR78" s="260">
        <v>46232</v>
      </c>
      <c r="AS78" s="260">
        <v>46233</v>
      </c>
      <c r="AT78" s="260">
        <v>46234</v>
      </c>
      <c r="AU78" s="260">
        <v>46235</v>
      </c>
      <c r="AV78" s="260">
        <v>46236</v>
      </c>
      <c r="AW78" s="260">
        <v>46237</v>
      </c>
      <c r="AX78" s="260">
        <v>46238</v>
      </c>
      <c r="AY78" s="260">
        <v>46239</v>
      </c>
      <c r="AZ78" s="260">
        <v>46240</v>
      </c>
      <c r="BA78" s="260">
        <v>46241</v>
      </c>
      <c r="BB78" s="260">
        <v>46242</v>
      </c>
      <c r="BC78" s="260">
        <v>46243</v>
      </c>
      <c r="BD78" s="260">
        <v>46244</v>
      </c>
      <c r="BE78" s="260">
        <v>46245</v>
      </c>
      <c r="BF78" s="260">
        <v>46246</v>
      </c>
      <c r="BG78" s="260">
        <v>46247</v>
      </c>
      <c r="BH78" s="260">
        <v>46248</v>
      </c>
      <c r="BI78" s="260">
        <v>46249</v>
      </c>
      <c r="BJ78" s="260">
        <v>46250</v>
      </c>
      <c r="BK78" s="260">
        <v>46251</v>
      </c>
      <c r="BL78" s="260">
        <v>46252</v>
      </c>
      <c r="BM78" s="260">
        <v>46253</v>
      </c>
      <c r="BN78" s="260">
        <v>46254</v>
      </c>
      <c r="BO78" s="260">
        <v>46255</v>
      </c>
      <c r="BP78" s="260">
        <v>46256</v>
      </c>
      <c r="BQ78" s="260">
        <v>46257</v>
      </c>
      <c r="BR78" s="260">
        <v>46258</v>
      </c>
      <c r="BS78" s="260">
        <v>46259</v>
      </c>
      <c r="BT78" s="260">
        <v>46260</v>
      </c>
      <c r="BU78" s="260">
        <v>46261</v>
      </c>
      <c r="BV78" s="260">
        <v>46262</v>
      </c>
      <c r="BW78" s="260">
        <v>46263</v>
      </c>
      <c r="BX78" s="260">
        <v>46264</v>
      </c>
      <c r="BY78" s="260">
        <v>46265</v>
      </c>
      <c r="BZ78" s="260">
        <v>46266</v>
      </c>
      <c r="CA78" s="260">
        <v>46267</v>
      </c>
      <c r="CB78" s="260">
        <v>46268</v>
      </c>
      <c r="CC78" s="260">
        <v>46269</v>
      </c>
      <c r="CD78" s="260">
        <v>46270</v>
      </c>
      <c r="CE78" s="260">
        <v>46271</v>
      </c>
      <c r="CF78" s="260">
        <v>46272</v>
      </c>
      <c r="CG78" s="260">
        <v>46273</v>
      </c>
      <c r="CH78" s="260">
        <v>46274</v>
      </c>
      <c r="CI78" s="260">
        <v>46275</v>
      </c>
      <c r="CJ78" s="260">
        <v>46276</v>
      </c>
      <c r="CK78" s="260">
        <v>46277</v>
      </c>
      <c r="CL78" s="260">
        <v>46278</v>
      </c>
      <c r="CM78" s="260">
        <v>46279</v>
      </c>
      <c r="CN78" s="260">
        <v>46280</v>
      </c>
      <c r="CO78" s="260">
        <v>46281</v>
      </c>
      <c r="CP78" s="260">
        <v>46282</v>
      </c>
      <c r="CQ78" s="260">
        <v>46283</v>
      </c>
      <c r="CR78" s="260">
        <v>46284</v>
      </c>
      <c r="CS78" s="260">
        <v>46285</v>
      </c>
      <c r="CT78" s="260">
        <v>46286</v>
      </c>
      <c r="CU78" s="260">
        <v>46287</v>
      </c>
      <c r="CV78" s="260">
        <v>46288</v>
      </c>
      <c r="CW78" s="260">
        <v>46289</v>
      </c>
    </row>
    <row r="79" spans="1:101">
      <c r="A79" t="s">
        <v>106</v>
      </c>
      <c r="B79" s="138" t="s">
        <v>21</v>
      </c>
      <c r="C79" s="101">
        <v>48</v>
      </c>
      <c r="D79" s="102">
        <v>0</v>
      </c>
      <c r="E79" s="258">
        <f>C79-D79</f>
        <v>48</v>
      </c>
      <c r="F79" s="165" t="str">
        <f>'BESS 12'!D276</f>
        <v>07 Aug
19 Aug
27 Aug
29 Aug</v>
      </c>
      <c r="G79" s="165" t="e">
        <f>F79+4</f>
        <v>#VALUE!</v>
      </c>
      <c r="H79" s="65" t="e">
        <f>G79-F79</f>
        <v>#VALUE!</v>
      </c>
      <c r="I79" s="96">
        <v>10</v>
      </c>
      <c r="J79" s="93">
        <v>1</v>
      </c>
      <c r="K79" s="94">
        <f>(E79*J79)/I79</f>
        <v>4.8</v>
      </c>
      <c r="L79" s="505" t="e">
        <f>AVERAGEIF(M79:CW81,"&gt;0")</f>
        <v>#DIV/0!</v>
      </c>
      <c r="M79" s="65" t="e">
        <f t="shared" ref="M79:V81" si="133">IF(AND(M$2&gt;=$F79,M$2&lt;($F79+$H79)),ROUND($K79/$H79,0),"-")</f>
        <v>#VALUE!</v>
      </c>
      <c r="N79" s="65" t="e">
        <f t="shared" si="133"/>
        <v>#VALUE!</v>
      </c>
      <c r="O79" s="65" t="e">
        <f t="shared" si="133"/>
        <v>#VALUE!</v>
      </c>
      <c r="P79" s="65" t="e">
        <f t="shared" si="133"/>
        <v>#VALUE!</v>
      </c>
      <c r="Q79" s="65" t="e">
        <f t="shared" si="133"/>
        <v>#VALUE!</v>
      </c>
      <c r="R79" s="65" t="e">
        <f t="shared" si="133"/>
        <v>#VALUE!</v>
      </c>
      <c r="S79" s="65" t="e">
        <f t="shared" si="133"/>
        <v>#VALUE!</v>
      </c>
      <c r="T79" s="65" t="e">
        <f t="shared" si="133"/>
        <v>#VALUE!</v>
      </c>
      <c r="U79" s="65" t="e">
        <f t="shared" si="133"/>
        <v>#VALUE!</v>
      </c>
      <c r="V79" s="65" t="e">
        <f t="shared" si="133"/>
        <v>#VALUE!</v>
      </c>
      <c r="W79" s="65" t="e">
        <f t="shared" ref="W79:AF81" si="134">IF(AND(W$2&gt;=$F79,W$2&lt;($F79+$H79)),ROUND($K79/$H79,0),"-")</f>
        <v>#VALUE!</v>
      </c>
      <c r="X79" s="65" t="e">
        <f t="shared" si="134"/>
        <v>#VALUE!</v>
      </c>
      <c r="Y79" s="65" t="e">
        <f t="shared" si="134"/>
        <v>#VALUE!</v>
      </c>
      <c r="Z79" s="65" t="e">
        <f t="shared" si="134"/>
        <v>#VALUE!</v>
      </c>
      <c r="AA79" s="65" t="e">
        <f t="shared" si="134"/>
        <v>#VALUE!</v>
      </c>
      <c r="AB79" s="65" t="e">
        <f t="shared" si="134"/>
        <v>#VALUE!</v>
      </c>
      <c r="AC79" s="65" t="e">
        <f t="shared" si="134"/>
        <v>#VALUE!</v>
      </c>
      <c r="AD79" s="65" t="e">
        <f t="shared" si="134"/>
        <v>#VALUE!</v>
      </c>
      <c r="AE79" s="65" t="e">
        <f t="shared" si="134"/>
        <v>#VALUE!</v>
      </c>
      <c r="AF79" s="65" t="e">
        <f t="shared" si="134"/>
        <v>#VALUE!</v>
      </c>
      <c r="AG79" s="65" t="e">
        <f t="shared" ref="AG79:AP81" si="135">IF(AND(AG$2&gt;=$F79,AG$2&lt;($F79+$H79)),ROUND($K79/$H79,0),"-")</f>
        <v>#VALUE!</v>
      </c>
      <c r="AH79" s="65" t="e">
        <f t="shared" si="135"/>
        <v>#VALUE!</v>
      </c>
      <c r="AI79" s="65" t="e">
        <f t="shared" si="135"/>
        <v>#VALUE!</v>
      </c>
      <c r="AJ79" s="65" t="e">
        <f t="shared" si="135"/>
        <v>#VALUE!</v>
      </c>
      <c r="AK79" s="65" t="e">
        <f t="shared" si="135"/>
        <v>#VALUE!</v>
      </c>
      <c r="AL79" s="65" t="e">
        <f t="shared" si="135"/>
        <v>#VALUE!</v>
      </c>
      <c r="AM79" s="65" t="e">
        <f t="shared" si="135"/>
        <v>#VALUE!</v>
      </c>
      <c r="AN79" s="65" t="e">
        <f t="shared" si="135"/>
        <v>#VALUE!</v>
      </c>
      <c r="AO79" s="65" t="e">
        <f t="shared" si="135"/>
        <v>#VALUE!</v>
      </c>
      <c r="AP79" s="65" t="e">
        <f t="shared" si="135"/>
        <v>#VALUE!</v>
      </c>
      <c r="AQ79" s="65" t="e">
        <f t="shared" ref="AQ79:AZ81" si="136">IF(AND(AQ$2&gt;=$F79,AQ$2&lt;($F79+$H79)),ROUND($K79/$H79,0),"-")</f>
        <v>#VALUE!</v>
      </c>
      <c r="AR79" s="65" t="e">
        <f t="shared" si="136"/>
        <v>#VALUE!</v>
      </c>
      <c r="AS79" s="65" t="e">
        <f t="shared" si="136"/>
        <v>#VALUE!</v>
      </c>
      <c r="AT79" s="65" t="e">
        <f t="shared" si="136"/>
        <v>#VALUE!</v>
      </c>
      <c r="AU79" s="65" t="e">
        <f t="shared" si="136"/>
        <v>#VALUE!</v>
      </c>
      <c r="AV79" s="65" t="e">
        <f t="shared" si="136"/>
        <v>#VALUE!</v>
      </c>
      <c r="AW79" s="65" t="e">
        <f t="shared" si="136"/>
        <v>#VALUE!</v>
      </c>
      <c r="AX79" s="65" t="e">
        <f t="shared" si="136"/>
        <v>#VALUE!</v>
      </c>
      <c r="AY79" s="65" t="e">
        <f t="shared" si="136"/>
        <v>#VALUE!</v>
      </c>
      <c r="AZ79" s="65" t="e">
        <f t="shared" si="136"/>
        <v>#VALUE!</v>
      </c>
      <c r="BA79" s="65" t="e">
        <f t="shared" ref="BA79:BJ81" si="137">IF(AND(BA$2&gt;=$F79,BA$2&lt;($F79+$H79)),ROUND($K79/$H79,0),"-")</f>
        <v>#VALUE!</v>
      </c>
      <c r="BB79" s="65" t="e">
        <f t="shared" si="137"/>
        <v>#VALUE!</v>
      </c>
      <c r="BC79" s="65" t="e">
        <f t="shared" si="137"/>
        <v>#VALUE!</v>
      </c>
      <c r="BD79" s="65" t="e">
        <f t="shared" si="137"/>
        <v>#VALUE!</v>
      </c>
      <c r="BE79" s="65" t="e">
        <f t="shared" si="137"/>
        <v>#VALUE!</v>
      </c>
      <c r="BF79" s="65" t="e">
        <f t="shared" si="137"/>
        <v>#VALUE!</v>
      </c>
      <c r="BG79" s="65" t="e">
        <f t="shared" si="137"/>
        <v>#VALUE!</v>
      </c>
      <c r="BH79" s="65" t="e">
        <f t="shared" si="137"/>
        <v>#VALUE!</v>
      </c>
      <c r="BI79" s="65" t="e">
        <f t="shared" si="137"/>
        <v>#VALUE!</v>
      </c>
      <c r="BJ79" s="65" t="e">
        <f t="shared" si="137"/>
        <v>#VALUE!</v>
      </c>
      <c r="BK79" s="65" t="e">
        <f t="shared" ref="BK79:BT81" si="138">IF(AND(BK$2&gt;=$F79,BK$2&lt;($F79+$H79)),ROUND($K79/$H79,0),"-")</f>
        <v>#VALUE!</v>
      </c>
      <c r="BL79" s="65" t="e">
        <f t="shared" si="138"/>
        <v>#VALUE!</v>
      </c>
      <c r="BM79" s="65" t="e">
        <f t="shared" si="138"/>
        <v>#VALUE!</v>
      </c>
      <c r="BN79" s="65" t="e">
        <f t="shared" si="138"/>
        <v>#VALUE!</v>
      </c>
      <c r="BO79" s="65" t="e">
        <f t="shared" si="138"/>
        <v>#VALUE!</v>
      </c>
      <c r="BP79" s="65" t="e">
        <f t="shared" si="138"/>
        <v>#VALUE!</v>
      </c>
      <c r="BQ79" s="65" t="e">
        <f t="shared" si="138"/>
        <v>#VALUE!</v>
      </c>
      <c r="BR79" s="65" t="e">
        <f t="shared" si="138"/>
        <v>#VALUE!</v>
      </c>
      <c r="BS79" s="65" t="e">
        <f t="shared" si="138"/>
        <v>#VALUE!</v>
      </c>
      <c r="BT79" s="65" t="e">
        <f t="shared" si="138"/>
        <v>#VALUE!</v>
      </c>
      <c r="BU79" s="65" t="e">
        <f t="shared" ref="BU79:CD81" si="139">IF(AND(BU$2&gt;=$F79,BU$2&lt;($F79+$H79)),ROUND($K79/$H79,0),"-")</f>
        <v>#VALUE!</v>
      </c>
      <c r="BV79" s="65" t="e">
        <f t="shared" si="139"/>
        <v>#VALUE!</v>
      </c>
      <c r="BW79" s="65" t="e">
        <f t="shared" si="139"/>
        <v>#VALUE!</v>
      </c>
      <c r="BX79" s="65" t="e">
        <f t="shared" si="139"/>
        <v>#VALUE!</v>
      </c>
      <c r="BY79" s="65" t="e">
        <f t="shared" si="139"/>
        <v>#VALUE!</v>
      </c>
      <c r="BZ79" s="65" t="e">
        <f t="shared" si="139"/>
        <v>#VALUE!</v>
      </c>
      <c r="CA79" s="65" t="e">
        <f t="shared" si="139"/>
        <v>#VALUE!</v>
      </c>
      <c r="CB79" s="65" t="e">
        <f t="shared" si="139"/>
        <v>#VALUE!</v>
      </c>
      <c r="CC79" s="65" t="e">
        <f t="shared" si="139"/>
        <v>#VALUE!</v>
      </c>
      <c r="CD79" s="65" t="e">
        <f t="shared" si="139"/>
        <v>#VALUE!</v>
      </c>
      <c r="CE79" s="65" t="e">
        <f t="shared" ref="CE79:CN81" si="140">IF(AND(CE$2&gt;=$F79,CE$2&lt;($F79+$H79)),ROUND($K79/$H79,0),"-")</f>
        <v>#VALUE!</v>
      </c>
      <c r="CF79" s="65" t="e">
        <f t="shared" si="140"/>
        <v>#VALUE!</v>
      </c>
      <c r="CG79" s="65" t="e">
        <f t="shared" si="140"/>
        <v>#VALUE!</v>
      </c>
      <c r="CH79" s="65" t="e">
        <f t="shared" si="140"/>
        <v>#VALUE!</v>
      </c>
      <c r="CI79" s="65" t="e">
        <f t="shared" si="140"/>
        <v>#VALUE!</v>
      </c>
      <c r="CJ79" s="65" t="e">
        <f t="shared" si="140"/>
        <v>#VALUE!</v>
      </c>
      <c r="CK79" s="65" t="e">
        <f t="shared" si="140"/>
        <v>#VALUE!</v>
      </c>
      <c r="CL79" s="65" t="e">
        <f t="shared" si="140"/>
        <v>#VALUE!</v>
      </c>
      <c r="CM79" s="65" t="e">
        <f t="shared" si="140"/>
        <v>#VALUE!</v>
      </c>
      <c r="CN79" s="65" t="e">
        <f t="shared" si="140"/>
        <v>#VALUE!</v>
      </c>
      <c r="CO79" s="65" t="e">
        <f t="shared" ref="CO79:CW81" si="141">IF(AND(CO$2&gt;=$F79,CO$2&lt;($F79+$H79)),ROUND($K79/$H79,0),"-")</f>
        <v>#VALUE!</v>
      </c>
      <c r="CP79" s="65" t="e">
        <f t="shared" si="141"/>
        <v>#VALUE!</v>
      </c>
      <c r="CQ79" s="65" t="e">
        <f t="shared" si="141"/>
        <v>#VALUE!</v>
      </c>
      <c r="CR79" s="65" t="e">
        <f t="shared" si="141"/>
        <v>#VALUE!</v>
      </c>
      <c r="CS79" s="65" t="e">
        <f t="shared" si="141"/>
        <v>#VALUE!</v>
      </c>
      <c r="CT79" s="65" t="e">
        <f t="shared" si="141"/>
        <v>#VALUE!</v>
      </c>
      <c r="CU79" s="65" t="e">
        <f t="shared" si="141"/>
        <v>#VALUE!</v>
      </c>
      <c r="CV79" s="65" t="e">
        <f t="shared" si="141"/>
        <v>#VALUE!</v>
      </c>
      <c r="CW79" s="65" t="e">
        <f t="shared" si="141"/>
        <v>#VALUE!</v>
      </c>
    </row>
    <row r="80" spans="1:101">
      <c r="B80" s="109" t="s">
        <v>99</v>
      </c>
      <c r="C80" s="101">
        <v>768</v>
      </c>
      <c r="D80" s="258">
        <f>SUM('[1]Electrical Work'!$G$446:$G$451)</f>
        <v>810</v>
      </c>
      <c r="E80" s="258">
        <f>C80-D80</f>
        <v>-42</v>
      </c>
      <c r="F80" s="162" t="str">
        <f>F79</f>
        <v>07 Aug
19 Aug
27 Aug
29 Aug</v>
      </c>
      <c r="G80" s="162" t="e">
        <f>G79</f>
        <v>#VALUE!</v>
      </c>
      <c r="H80" s="65" t="e">
        <f>G80-F80</f>
        <v>#VALUE!</v>
      </c>
      <c r="I80" s="259">
        <v>30</v>
      </c>
      <c r="J80" s="259">
        <v>18</v>
      </c>
      <c r="K80" s="102">
        <f>(E80*J80)/I80</f>
        <v>-25.2</v>
      </c>
      <c r="L80" s="505"/>
      <c r="M80" s="65" t="e">
        <f t="shared" si="133"/>
        <v>#VALUE!</v>
      </c>
      <c r="N80" s="65" t="e">
        <f t="shared" si="133"/>
        <v>#VALUE!</v>
      </c>
      <c r="O80" s="65" t="e">
        <f t="shared" si="133"/>
        <v>#VALUE!</v>
      </c>
      <c r="P80" s="65" t="e">
        <f t="shared" si="133"/>
        <v>#VALUE!</v>
      </c>
      <c r="Q80" s="65" t="e">
        <f t="shared" si="133"/>
        <v>#VALUE!</v>
      </c>
      <c r="R80" s="65" t="e">
        <f t="shared" si="133"/>
        <v>#VALUE!</v>
      </c>
      <c r="S80" s="65" t="e">
        <f t="shared" si="133"/>
        <v>#VALUE!</v>
      </c>
      <c r="T80" s="65" t="e">
        <f t="shared" si="133"/>
        <v>#VALUE!</v>
      </c>
      <c r="U80" s="65" t="e">
        <f t="shared" si="133"/>
        <v>#VALUE!</v>
      </c>
      <c r="V80" s="65" t="e">
        <f t="shared" si="133"/>
        <v>#VALUE!</v>
      </c>
      <c r="W80" s="65" t="e">
        <f t="shared" si="134"/>
        <v>#VALUE!</v>
      </c>
      <c r="X80" s="65" t="e">
        <f t="shared" si="134"/>
        <v>#VALUE!</v>
      </c>
      <c r="Y80" s="65" t="e">
        <f t="shared" si="134"/>
        <v>#VALUE!</v>
      </c>
      <c r="Z80" s="65" t="e">
        <f t="shared" si="134"/>
        <v>#VALUE!</v>
      </c>
      <c r="AA80" s="65" t="e">
        <f t="shared" si="134"/>
        <v>#VALUE!</v>
      </c>
      <c r="AB80" s="65" t="e">
        <f t="shared" si="134"/>
        <v>#VALUE!</v>
      </c>
      <c r="AC80" s="65" t="e">
        <f t="shared" si="134"/>
        <v>#VALUE!</v>
      </c>
      <c r="AD80" s="65" t="e">
        <f t="shared" si="134"/>
        <v>#VALUE!</v>
      </c>
      <c r="AE80" s="65" t="e">
        <f t="shared" si="134"/>
        <v>#VALUE!</v>
      </c>
      <c r="AF80" s="65" t="e">
        <f t="shared" si="134"/>
        <v>#VALUE!</v>
      </c>
      <c r="AG80" s="65" t="e">
        <f t="shared" si="135"/>
        <v>#VALUE!</v>
      </c>
      <c r="AH80" s="65" t="e">
        <f t="shared" si="135"/>
        <v>#VALUE!</v>
      </c>
      <c r="AI80" s="65" t="e">
        <f t="shared" si="135"/>
        <v>#VALUE!</v>
      </c>
      <c r="AJ80" s="65" t="e">
        <f t="shared" si="135"/>
        <v>#VALUE!</v>
      </c>
      <c r="AK80" s="65" t="e">
        <f t="shared" si="135"/>
        <v>#VALUE!</v>
      </c>
      <c r="AL80" s="65" t="e">
        <f t="shared" si="135"/>
        <v>#VALUE!</v>
      </c>
      <c r="AM80" s="65" t="e">
        <f t="shared" si="135"/>
        <v>#VALUE!</v>
      </c>
      <c r="AN80" s="65" t="e">
        <f t="shared" si="135"/>
        <v>#VALUE!</v>
      </c>
      <c r="AO80" s="65" t="e">
        <f t="shared" si="135"/>
        <v>#VALUE!</v>
      </c>
      <c r="AP80" s="65" t="e">
        <f t="shared" si="135"/>
        <v>#VALUE!</v>
      </c>
      <c r="AQ80" s="65" t="e">
        <f t="shared" si="136"/>
        <v>#VALUE!</v>
      </c>
      <c r="AR80" s="65" t="e">
        <f t="shared" si="136"/>
        <v>#VALUE!</v>
      </c>
      <c r="AS80" s="65" t="e">
        <f t="shared" si="136"/>
        <v>#VALUE!</v>
      </c>
      <c r="AT80" s="65" t="e">
        <f t="shared" si="136"/>
        <v>#VALUE!</v>
      </c>
      <c r="AU80" s="65" t="e">
        <f t="shared" si="136"/>
        <v>#VALUE!</v>
      </c>
      <c r="AV80" s="65" t="e">
        <f t="shared" si="136"/>
        <v>#VALUE!</v>
      </c>
      <c r="AW80" s="65" t="e">
        <f t="shared" si="136"/>
        <v>#VALUE!</v>
      </c>
      <c r="AX80" s="65" t="e">
        <f t="shared" si="136"/>
        <v>#VALUE!</v>
      </c>
      <c r="AY80" s="65" t="e">
        <f t="shared" si="136"/>
        <v>#VALUE!</v>
      </c>
      <c r="AZ80" s="65" t="e">
        <f t="shared" si="136"/>
        <v>#VALUE!</v>
      </c>
      <c r="BA80" s="65" t="e">
        <f t="shared" si="137"/>
        <v>#VALUE!</v>
      </c>
      <c r="BB80" s="65" t="e">
        <f t="shared" si="137"/>
        <v>#VALUE!</v>
      </c>
      <c r="BC80" s="65" t="e">
        <f t="shared" si="137"/>
        <v>#VALUE!</v>
      </c>
      <c r="BD80" s="65" t="e">
        <f t="shared" si="137"/>
        <v>#VALUE!</v>
      </c>
      <c r="BE80" s="65" t="e">
        <f t="shared" si="137"/>
        <v>#VALUE!</v>
      </c>
      <c r="BF80" s="65" t="e">
        <f t="shared" si="137"/>
        <v>#VALUE!</v>
      </c>
      <c r="BG80" s="65" t="e">
        <f t="shared" si="137"/>
        <v>#VALUE!</v>
      </c>
      <c r="BH80" s="65" t="e">
        <f t="shared" si="137"/>
        <v>#VALUE!</v>
      </c>
      <c r="BI80" s="65" t="e">
        <f t="shared" si="137"/>
        <v>#VALUE!</v>
      </c>
      <c r="BJ80" s="65" t="e">
        <f t="shared" si="137"/>
        <v>#VALUE!</v>
      </c>
      <c r="BK80" s="65" t="e">
        <f t="shared" si="138"/>
        <v>#VALUE!</v>
      </c>
      <c r="BL80" s="65" t="e">
        <f t="shared" si="138"/>
        <v>#VALUE!</v>
      </c>
      <c r="BM80" s="65" t="e">
        <f t="shared" si="138"/>
        <v>#VALUE!</v>
      </c>
      <c r="BN80" s="65" t="e">
        <f t="shared" si="138"/>
        <v>#VALUE!</v>
      </c>
      <c r="BO80" s="65" t="e">
        <f t="shared" si="138"/>
        <v>#VALUE!</v>
      </c>
      <c r="BP80" s="65" t="e">
        <f t="shared" si="138"/>
        <v>#VALUE!</v>
      </c>
      <c r="BQ80" s="65" t="e">
        <f t="shared" si="138"/>
        <v>#VALUE!</v>
      </c>
      <c r="BR80" s="65" t="e">
        <f t="shared" si="138"/>
        <v>#VALUE!</v>
      </c>
      <c r="BS80" s="65" t="e">
        <f t="shared" si="138"/>
        <v>#VALUE!</v>
      </c>
      <c r="BT80" s="65" t="e">
        <f t="shared" si="138"/>
        <v>#VALUE!</v>
      </c>
      <c r="BU80" s="65" t="e">
        <f t="shared" si="139"/>
        <v>#VALUE!</v>
      </c>
      <c r="BV80" s="65" t="e">
        <f t="shared" si="139"/>
        <v>#VALUE!</v>
      </c>
      <c r="BW80" s="65" t="e">
        <f t="shared" si="139"/>
        <v>#VALUE!</v>
      </c>
      <c r="BX80" s="65" t="e">
        <f t="shared" si="139"/>
        <v>#VALUE!</v>
      </c>
      <c r="BY80" s="65" t="e">
        <f t="shared" si="139"/>
        <v>#VALUE!</v>
      </c>
      <c r="BZ80" s="65" t="e">
        <f t="shared" si="139"/>
        <v>#VALUE!</v>
      </c>
      <c r="CA80" s="65" t="e">
        <f t="shared" si="139"/>
        <v>#VALUE!</v>
      </c>
      <c r="CB80" s="65" t="e">
        <f t="shared" si="139"/>
        <v>#VALUE!</v>
      </c>
      <c r="CC80" s="65" t="e">
        <f t="shared" si="139"/>
        <v>#VALUE!</v>
      </c>
      <c r="CD80" s="65" t="e">
        <f t="shared" si="139"/>
        <v>#VALUE!</v>
      </c>
      <c r="CE80" s="65" t="e">
        <f t="shared" si="140"/>
        <v>#VALUE!</v>
      </c>
      <c r="CF80" s="65" t="e">
        <f t="shared" si="140"/>
        <v>#VALUE!</v>
      </c>
      <c r="CG80" s="65" t="e">
        <f t="shared" si="140"/>
        <v>#VALUE!</v>
      </c>
      <c r="CH80" s="65" t="e">
        <f t="shared" si="140"/>
        <v>#VALUE!</v>
      </c>
      <c r="CI80" s="65" t="e">
        <f t="shared" si="140"/>
        <v>#VALUE!</v>
      </c>
      <c r="CJ80" s="65" t="e">
        <f t="shared" si="140"/>
        <v>#VALUE!</v>
      </c>
      <c r="CK80" s="65" t="e">
        <f t="shared" si="140"/>
        <v>#VALUE!</v>
      </c>
      <c r="CL80" s="65" t="e">
        <f t="shared" si="140"/>
        <v>#VALUE!</v>
      </c>
      <c r="CM80" s="65" t="e">
        <f t="shared" si="140"/>
        <v>#VALUE!</v>
      </c>
      <c r="CN80" s="65" t="e">
        <f t="shared" si="140"/>
        <v>#VALUE!</v>
      </c>
      <c r="CO80" s="65" t="e">
        <f t="shared" si="141"/>
        <v>#VALUE!</v>
      </c>
      <c r="CP80" s="65" t="e">
        <f t="shared" si="141"/>
        <v>#VALUE!</v>
      </c>
      <c r="CQ80" s="65" t="e">
        <f t="shared" si="141"/>
        <v>#VALUE!</v>
      </c>
      <c r="CR80" s="65" t="e">
        <f t="shared" si="141"/>
        <v>#VALUE!</v>
      </c>
      <c r="CS80" s="65" t="e">
        <f t="shared" si="141"/>
        <v>#VALUE!</v>
      </c>
      <c r="CT80" s="65" t="e">
        <f t="shared" si="141"/>
        <v>#VALUE!</v>
      </c>
      <c r="CU80" s="65" t="e">
        <f t="shared" si="141"/>
        <v>#VALUE!</v>
      </c>
      <c r="CV80" s="65" t="e">
        <f t="shared" si="141"/>
        <v>#VALUE!</v>
      </c>
      <c r="CW80" s="65" t="e">
        <f t="shared" si="141"/>
        <v>#VALUE!</v>
      </c>
    </row>
    <row r="81" spans="1:101">
      <c r="B81" s="109" t="s">
        <v>100</v>
      </c>
      <c r="C81" s="101">
        <v>1344</v>
      </c>
      <c r="D81" s="101">
        <v>0</v>
      </c>
      <c r="E81" s="258">
        <f>C81-D81</f>
        <v>1344</v>
      </c>
      <c r="F81" s="162" t="str">
        <f>F80</f>
        <v>07 Aug
19 Aug
27 Aug
29 Aug</v>
      </c>
      <c r="G81" s="162" t="e">
        <f>G80</f>
        <v>#VALUE!</v>
      </c>
      <c r="H81" s="65" t="e">
        <f>H80</f>
        <v>#VALUE!</v>
      </c>
      <c r="I81" s="101">
        <v>30</v>
      </c>
      <c r="J81" s="101">
        <v>6</v>
      </c>
      <c r="K81" s="102">
        <f>(E81*J81)/I81</f>
        <v>268.8</v>
      </c>
      <c r="L81" s="505"/>
      <c r="M81" s="65" t="e">
        <f t="shared" si="133"/>
        <v>#VALUE!</v>
      </c>
      <c r="N81" s="65" t="e">
        <f t="shared" si="133"/>
        <v>#VALUE!</v>
      </c>
      <c r="O81" s="65" t="e">
        <f t="shared" si="133"/>
        <v>#VALUE!</v>
      </c>
      <c r="P81" s="65" t="e">
        <f t="shared" si="133"/>
        <v>#VALUE!</v>
      </c>
      <c r="Q81" s="65" t="e">
        <f t="shared" si="133"/>
        <v>#VALUE!</v>
      </c>
      <c r="R81" s="65" t="e">
        <f t="shared" si="133"/>
        <v>#VALUE!</v>
      </c>
      <c r="S81" s="65" t="e">
        <f t="shared" si="133"/>
        <v>#VALUE!</v>
      </c>
      <c r="T81" s="65" t="e">
        <f t="shared" si="133"/>
        <v>#VALUE!</v>
      </c>
      <c r="U81" s="65" t="e">
        <f t="shared" si="133"/>
        <v>#VALUE!</v>
      </c>
      <c r="V81" s="65" t="e">
        <f t="shared" si="133"/>
        <v>#VALUE!</v>
      </c>
      <c r="W81" s="65" t="e">
        <f t="shared" si="134"/>
        <v>#VALUE!</v>
      </c>
      <c r="X81" s="65" t="e">
        <f t="shared" si="134"/>
        <v>#VALUE!</v>
      </c>
      <c r="Y81" s="65" t="e">
        <f t="shared" si="134"/>
        <v>#VALUE!</v>
      </c>
      <c r="Z81" s="65" t="e">
        <f t="shared" si="134"/>
        <v>#VALUE!</v>
      </c>
      <c r="AA81" s="65" t="e">
        <f t="shared" si="134"/>
        <v>#VALUE!</v>
      </c>
      <c r="AB81" s="65" t="e">
        <f t="shared" si="134"/>
        <v>#VALUE!</v>
      </c>
      <c r="AC81" s="65" t="e">
        <f t="shared" si="134"/>
        <v>#VALUE!</v>
      </c>
      <c r="AD81" s="65" t="e">
        <f t="shared" si="134"/>
        <v>#VALUE!</v>
      </c>
      <c r="AE81" s="65" t="e">
        <f t="shared" si="134"/>
        <v>#VALUE!</v>
      </c>
      <c r="AF81" s="65" t="e">
        <f t="shared" si="134"/>
        <v>#VALUE!</v>
      </c>
      <c r="AG81" s="65" t="e">
        <f t="shared" si="135"/>
        <v>#VALUE!</v>
      </c>
      <c r="AH81" s="65" t="e">
        <f t="shared" si="135"/>
        <v>#VALUE!</v>
      </c>
      <c r="AI81" s="65" t="e">
        <f t="shared" si="135"/>
        <v>#VALUE!</v>
      </c>
      <c r="AJ81" s="65" t="e">
        <f t="shared" si="135"/>
        <v>#VALUE!</v>
      </c>
      <c r="AK81" s="65" t="e">
        <f t="shared" si="135"/>
        <v>#VALUE!</v>
      </c>
      <c r="AL81" s="65" t="e">
        <f t="shared" si="135"/>
        <v>#VALUE!</v>
      </c>
      <c r="AM81" s="65" t="e">
        <f t="shared" si="135"/>
        <v>#VALUE!</v>
      </c>
      <c r="AN81" s="65" t="e">
        <f t="shared" si="135"/>
        <v>#VALUE!</v>
      </c>
      <c r="AO81" s="65" t="e">
        <f t="shared" si="135"/>
        <v>#VALUE!</v>
      </c>
      <c r="AP81" s="65" t="e">
        <f t="shared" si="135"/>
        <v>#VALUE!</v>
      </c>
      <c r="AQ81" s="65" t="e">
        <f t="shared" si="136"/>
        <v>#VALUE!</v>
      </c>
      <c r="AR81" s="65" t="e">
        <f t="shared" si="136"/>
        <v>#VALUE!</v>
      </c>
      <c r="AS81" s="65" t="e">
        <f t="shared" si="136"/>
        <v>#VALUE!</v>
      </c>
      <c r="AT81" s="65" t="e">
        <f t="shared" si="136"/>
        <v>#VALUE!</v>
      </c>
      <c r="AU81" s="65" t="e">
        <f t="shared" si="136"/>
        <v>#VALUE!</v>
      </c>
      <c r="AV81" s="65" t="e">
        <f t="shared" si="136"/>
        <v>#VALUE!</v>
      </c>
      <c r="AW81" s="65" t="e">
        <f t="shared" si="136"/>
        <v>#VALUE!</v>
      </c>
      <c r="AX81" s="65" t="e">
        <f t="shared" si="136"/>
        <v>#VALUE!</v>
      </c>
      <c r="AY81" s="65" t="e">
        <f t="shared" si="136"/>
        <v>#VALUE!</v>
      </c>
      <c r="AZ81" s="65" t="e">
        <f t="shared" si="136"/>
        <v>#VALUE!</v>
      </c>
      <c r="BA81" s="65" t="e">
        <f t="shared" si="137"/>
        <v>#VALUE!</v>
      </c>
      <c r="BB81" s="65" t="e">
        <f t="shared" si="137"/>
        <v>#VALUE!</v>
      </c>
      <c r="BC81" s="65" t="e">
        <f t="shared" si="137"/>
        <v>#VALUE!</v>
      </c>
      <c r="BD81" s="65" t="e">
        <f t="shared" si="137"/>
        <v>#VALUE!</v>
      </c>
      <c r="BE81" s="65" t="e">
        <f t="shared" si="137"/>
        <v>#VALUE!</v>
      </c>
      <c r="BF81" s="65" t="e">
        <f t="shared" si="137"/>
        <v>#VALUE!</v>
      </c>
      <c r="BG81" s="65" t="e">
        <f t="shared" si="137"/>
        <v>#VALUE!</v>
      </c>
      <c r="BH81" s="65" t="e">
        <f t="shared" si="137"/>
        <v>#VALUE!</v>
      </c>
      <c r="BI81" s="65" t="e">
        <f t="shared" si="137"/>
        <v>#VALUE!</v>
      </c>
      <c r="BJ81" s="65" t="e">
        <f t="shared" si="137"/>
        <v>#VALUE!</v>
      </c>
      <c r="BK81" s="65" t="e">
        <f t="shared" si="138"/>
        <v>#VALUE!</v>
      </c>
      <c r="BL81" s="65" t="e">
        <f t="shared" si="138"/>
        <v>#VALUE!</v>
      </c>
      <c r="BM81" s="65" t="e">
        <f t="shared" si="138"/>
        <v>#VALUE!</v>
      </c>
      <c r="BN81" s="65" t="e">
        <f t="shared" si="138"/>
        <v>#VALUE!</v>
      </c>
      <c r="BO81" s="65" t="e">
        <f t="shared" si="138"/>
        <v>#VALUE!</v>
      </c>
      <c r="BP81" s="65" t="e">
        <f t="shared" si="138"/>
        <v>#VALUE!</v>
      </c>
      <c r="BQ81" s="65" t="e">
        <f t="shared" si="138"/>
        <v>#VALUE!</v>
      </c>
      <c r="BR81" s="65" t="e">
        <f t="shared" si="138"/>
        <v>#VALUE!</v>
      </c>
      <c r="BS81" s="65" t="e">
        <f t="shared" si="138"/>
        <v>#VALUE!</v>
      </c>
      <c r="BT81" s="65" t="e">
        <f t="shared" si="138"/>
        <v>#VALUE!</v>
      </c>
      <c r="BU81" s="65" t="e">
        <f t="shared" si="139"/>
        <v>#VALUE!</v>
      </c>
      <c r="BV81" s="65" t="e">
        <f t="shared" si="139"/>
        <v>#VALUE!</v>
      </c>
      <c r="BW81" s="65" t="e">
        <f t="shared" si="139"/>
        <v>#VALUE!</v>
      </c>
      <c r="BX81" s="65" t="e">
        <f t="shared" si="139"/>
        <v>#VALUE!</v>
      </c>
      <c r="BY81" s="65" t="e">
        <f t="shared" si="139"/>
        <v>#VALUE!</v>
      </c>
      <c r="BZ81" s="65" t="e">
        <f t="shared" si="139"/>
        <v>#VALUE!</v>
      </c>
      <c r="CA81" s="65" t="e">
        <f t="shared" si="139"/>
        <v>#VALUE!</v>
      </c>
      <c r="CB81" s="65" t="e">
        <f t="shared" si="139"/>
        <v>#VALUE!</v>
      </c>
      <c r="CC81" s="65" t="e">
        <f t="shared" si="139"/>
        <v>#VALUE!</v>
      </c>
      <c r="CD81" s="65" t="e">
        <f t="shared" si="139"/>
        <v>#VALUE!</v>
      </c>
      <c r="CE81" s="65" t="e">
        <f t="shared" si="140"/>
        <v>#VALUE!</v>
      </c>
      <c r="CF81" s="65" t="e">
        <f t="shared" si="140"/>
        <v>#VALUE!</v>
      </c>
      <c r="CG81" s="65" t="e">
        <f t="shared" si="140"/>
        <v>#VALUE!</v>
      </c>
      <c r="CH81" s="65" t="e">
        <f t="shared" si="140"/>
        <v>#VALUE!</v>
      </c>
      <c r="CI81" s="65" t="e">
        <f t="shared" si="140"/>
        <v>#VALUE!</v>
      </c>
      <c r="CJ81" s="65" t="e">
        <f t="shared" si="140"/>
        <v>#VALUE!</v>
      </c>
      <c r="CK81" s="65" t="e">
        <f t="shared" si="140"/>
        <v>#VALUE!</v>
      </c>
      <c r="CL81" s="65" t="e">
        <f t="shared" si="140"/>
        <v>#VALUE!</v>
      </c>
      <c r="CM81" s="65" t="e">
        <f t="shared" si="140"/>
        <v>#VALUE!</v>
      </c>
      <c r="CN81" s="65" t="e">
        <f t="shared" si="140"/>
        <v>#VALUE!</v>
      </c>
      <c r="CO81" s="65" t="e">
        <f t="shared" si="141"/>
        <v>#VALUE!</v>
      </c>
      <c r="CP81" s="65" t="e">
        <f t="shared" si="141"/>
        <v>#VALUE!</v>
      </c>
      <c r="CQ81" s="65" t="e">
        <f t="shared" si="141"/>
        <v>#VALUE!</v>
      </c>
      <c r="CR81" s="65" t="e">
        <f t="shared" si="141"/>
        <v>#VALUE!</v>
      </c>
      <c r="CS81" s="65" t="e">
        <f t="shared" si="141"/>
        <v>#VALUE!</v>
      </c>
      <c r="CT81" s="65" t="e">
        <f t="shared" si="141"/>
        <v>#VALUE!</v>
      </c>
      <c r="CU81" s="65" t="e">
        <f t="shared" si="141"/>
        <v>#VALUE!</v>
      </c>
      <c r="CV81" s="65" t="e">
        <f t="shared" si="141"/>
        <v>#VALUE!</v>
      </c>
      <c r="CW81" s="65" t="e">
        <f t="shared" si="141"/>
        <v>#VALUE!</v>
      </c>
    </row>
    <row r="83" spans="1:101">
      <c r="B83" s="109" t="s">
        <v>91</v>
      </c>
      <c r="C83" s="109" t="s">
        <v>92</v>
      </c>
      <c r="D83" s="109" t="s">
        <v>93</v>
      </c>
      <c r="E83" s="109" t="s">
        <v>94</v>
      </c>
      <c r="F83" s="109" t="s">
        <v>78</v>
      </c>
      <c r="G83" s="109" t="s">
        <v>79</v>
      </c>
      <c r="H83" s="109" t="s">
        <v>59</v>
      </c>
      <c r="I83" s="109" t="s">
        <v>95</v>
      </c>
      <c r="J83" s="109" t="s">
        <v>96</v>
      </c>
      <c r="K83" s="109" t="s">
        <v>97</v>
      </c>
      <c r="L83" s="109" t="s">
        <v>80</v>
      </c>
      <c r="M83" s="260">
        <v>46201</v>
      </c>
      <c r="N83" s="260">
        <v>46202</v>
      </c>
      <c r="O83" s="260">
        <v>46203</v>
      </c>
      <c r="P83" s="260">
        <v>46204</v>
      </c>
      <c r="Q83" s="260">
        <v>46205</v>
      </c>
      <c r="R83" s="260">
        <v>46206</v>
      </c>
      <c r="S83" s="260">
        <v>46207</v>
      </c>
      <c r="T83" s="260">
        <v>46208</v>
      </c>
      <c r="U83" s="260">
        <v>46209</v>
      </c>
      <c r="V83" s="260">
        <v>46210</v>
      </c>
      <c r="W83" s="260">
        <v>46211</v>
      </c>
      <c r="X83" s="260">
        <v>46212</v>
      </c>
      <c r="Y83" s="260">
        <v>46213</v>
      </c>
      <c r="Z83" s="260">
        <v>46214</v>
      </c>
      <c r="AA83" s="260">
        <v>46215</v>
      </c>
      <c r="AB83" s="260">
        <v>46216</v>
      </c>
      <c r="AC83" s="260">
        <v>46217</v>
      </c>
      <c r="AD83" s="260">
        <v>46218</v>
      </c>
      <c r="AE83" s="260">
        <v>46219</v>
      </c>
      <c r="AF83" s="260">
        <v>46220</v>
      </c>
      <c r="AG83" s="260">
        <v>46221</v>
      </c>
      <c r="AH83" s="260">
        <v>46222</v>
      </c>
      <c r="AI83" s="260">
        <v>46223</v>
      </c>
      <c r="AJ83" s="260">
        <v>46224</v>
      </c>
      <c r="AK83" s="260">
        <v>46225</v>
      </c>
      <c r="AL83" s="260">
        <v>46226</v>
      </c>
      <c r="AM83" s="260">
        <v>46227</v>
      </c>
      <c r="AN83" s="260">
        <v>46228</v>
      </c>
      <c r="AO83" s="260">
        <v>46229</v>
      </c>
      <c r="AP83" s="260">
        <v>46230</v>
      </c>
      <c r="AQ83" s="260">
        <v>46231</v>
      </c>
      <c r="AR83" s="260">
        <v>46232</v>
      </c>
      <c r="AS83" s="260">
        <v>46233</v>
      </c>
      <c r="AT83" s="260">
        <v>46234</v>
      </c>
      <c r="AU83" s="260">
        <v>46235</v>
      </c>
      <c r="AV83" s="260">
        <v>46236</v>
      </c>
      <c r="AW83" s="260">
        <v>46237</v>
      </c>
      <c r="AX83" s="260">
        <v>46238</v>
      </c>
      <c r="AY83" s="260">
        <v>46239</v>
      </c>
      <c r="AZ83" s="260">
        <v>46240</v>
      </c>
      <c r="BA83" s="260">
        <v>46241</v>
      </c>
      <c r="BB83" s="260">
        <v>46242</v>
      </c>
      <c r="BC83" s="260">
        <v>46243</v>
      </c>
      <c r="BD83" s="260">
        <v>46244</v>
      </c>
      <c r="BE83" s="260">
        <v>46245</v>
      </c>
      <c r="BF83" s="260">
        <v>46246</v>
      </c>
      <c r="BG83" s="260">
        <v>46247</v>
      </c>
      <c r="BH83" s="260">
        <v>46248</v>
      </c>
      <c r="BI83" s="260">
        <v>46249</v>
      </c>
      <c r="BJ83" s="260">
        <v>46250</v>
      </c>
      <c r="BK83" s="260">
        <v>46251</v>
      </c>
      <c r="BL83" s="260">
        <v>46252</v>
      </c>
      <c r="BM83" s="260">
        <v>46253</v>
      </c>
      <c r="BN83" s="260">
        <v>46254</v>
      </c>
      <c r="BO83" s="260">
        <v>46255</v>
      </c>
      <c r="BP83" s="260">
        <v>46256</v>
      </c>
      <c r="BQ83" s="260">
        <v>46257</v>
      </c>
      <c r="BR83" s="260">
        <v>46258</v>
      </c>
      <c r="BS83" s="260">
        <v>46259</v>
      </c>
      <c r="BT83" s="260">
        <v>46260</v>
      </c>
      <c r="BU83" s="260">
        <v>46261</v>
      </c>
      <c r="BV83" s="260">
        <v>46262</v>
      </c>
      <c r="BW83" s="260">
        <v>46263</v>
      </c>
      <c r="BX83" s="260">
        <v>46264</v>
      </c>
      <c r="BY83" s="260">
        <v>46265</v>
      </c>
      <c r="BZ83" s="260">
        <v>46266</v>
      </c>
      <c r="CA83" s="260">
        <v>46267</v>
      </c>
      <c r="CB83" s="260">
        <v>46268</v>
      </c>
      <c r="CC83" s="260">
        <v>46269</v>
      </c>
      <c r="CD83" s="260">
        <v>46270</v>
      </c>
      <c r="CE83" s="260">
        <v>46271</v>
      </c>
      <c r="CF83" s="260">
        <v>46272</v>
      </c>
      <c r="CG83" s="260">
        <v>46273</v>
      </c>
      <c r="CH83" s="260">
        <v>46274</v>
      </c>
      <c r="CI83" s="260">
        <v>46275</v>
      </c>
      <c r="CJ83" s="260">
        <v>46276</v>
      </c>
      <c r="CK83" s="260">
        <v>46277</v>
      </c>
      <c r="CL83" s="260">
        <v>46278</v>
      </c>
      <c r="CM83" s="260">
        <v>46279</v>
      </c>
      <c r="CN83" s="260">
        <v>46280</v>
      </c>
      <c r="CO83" s="260">
        <v>46281</v>
      </c>
      <c r="CP83" s="260">
        <v>46282</v>
      </c>
      <c r="CQ83" s="260">
        <v>46283</v>
      </c>
      <c r="CR83" s="260">
        <v>46284</v>
      </c>
      <c r="CS83" s="260">
        <v>46285</v>
      </c>
      <c r="CT83" s="260">
        <v>46286</v>
      </c>
      <c r="CU83" s="260">
        <v>46287</v>
      </c>
      <c r="CV83" s="260">
        <v>46288</v>
      </c>
      <c r="CW83" s="260">
        <v>46289</v>
      </c>
    </row>
    <row r="84" spans="1:101">
      <c r="A84" t="s">
        <v>107</v>
      </c>
      <c r="B84" s="138" t="s">
        <v>21</v>
      </c>
      <c r="C84" s="101">
        <v>48</v>
      </c>
      <c r="D84" s="102">
        <v>0</v>
      </c>
      <c r="E84" s="258">
        <f>C84-D84</f>
        <v>48</v>
      </c>
      <c r="F84" s="165" t="str">
        <f>'BESS 12'!D321</f>
        <v>18 Aug
23 Aug
27 Aug
29 Aug</v>
      </c>
      <c r="G84" s="165" t="e">
        <f>F84+4</f>
        <v>#VALUE!</v>
      </c>
      <c r="H84" s="65" t="e">
        <f>G84-F84</f>
        <v>#VALUE!</v>
      </c>
      <c r="I84" s="96">
        <v>10</v>
      </c>
      <c r="J84" s="93">
        <v>1</v>
      </c>
      <c r="K84" s="94">
        <f>(E84*J84)/I84</f>
        <v>4.8</v>
      </c>
      <c r="L84" s="505" t="e">
        <f>AVERAGEIF(M84:CW86,"&gt;0")</f>
        <v>#DIV/0!</v>
      </c>
      <c r="M84" s="65" t="e">
        <f t="shared" ref="M84:V86" si="142">IF(AND(M$2&gt;=$F84,M$2&lt;($F84+$H84)),ROUND($K84/$H84,0),"-")</f>
        <v>#VALUE!</v>
      </c>
      <c r="N84" s="65" t="e">
        <f t="shared" si="142"/>
        <v>#VALUE!</v>
      </c>
      <c r="O84" s="65" t="e">
        <f t="shared" si="142"/>
        <v>#VALUE!</v>
      </c>
      <c r="P84" s="65" t="e">
        <f t="shared" si="142"/>
        <v>#VALUE!</v>
      </c>
      <c r="Q84" s="65" t="e">
        <f t="shared" si="142"/>
        <v>#VALUE!</v>
      </c>
      <c r="R84" s="65" t="e">
        <f t="shared" si="142"/>
        <v>#VALUE!</v>
      </c>
      <c r="S84" s="65" t="e">
        <f t="shared" si="142"/>
        <v>#VALUE!</v>
      </c>
      <c r="T84" s="65" t="e">
        <f t="shared" si="142"/>
        <v>#VALUE!</v>
      </c>
      <c r="U84" s="65" t="e">
        <f t="shared" si="142"/>
        <v>#VALUE!</v>
      </c>
      <c r="V84" s="65" t="e">
        <f t="shared" si="142"/>
        <v>#VALUE!</v>
      </c>
      <c r="W84" s="65" t="e">
        <f t="shared" ref="W84:AF86" si="143">IF(AND(W$2&gt;=$F84,W$2&lt;($F84+$H84)),ROUND($K84/$H84,0),"-")</f>
        <v>#VALUE!</v>
      </c>
      <c r="X84" s="65" t="e">
        <f t="shared" si="143"/>
        <v>#VALUE!</v>
      </c>
      <c r="Y84" s="65" t="e">
        <f t="shared" si="143"/>
        <v>#VALUE!</v>
      </c>
      <c r="Z84" s="65" t="e">
        <f t="shared" si="143"/>
        <v>#VALUE!</v>
      </c>
      <c r="AA84" s="65" t="e">
        <f t="shared" si="143"/>
        <v>#VALUE!</v>
      </c>
      <c r="AB84" s="65" t="e">
        <f t="shared" si="143"/>
        <v>#VALUE!</v>
      </c>
      <c r="AC84" s="65" t="e">
        <f t="shared" si="143"/>
        <v>#VALUE!</v>
      </c>
      <c r="AD84" s="65" t="e">
        <f t="shared" si="143"/>
        <v>#VALUE!</v>
      </c>
      <c r="AE84" s="65" t="e">
        <f t="shared" si="143"/>
        <v>#VALUE!</v>
      </c>
      <c r="AF84" s="65" t="e">
        <f t="shared" si="143"/>
        <v>#VALUE!</v>
      </c>
      <c r="AG84" s="65" t="e">
        <f t="shared" ref="AG84:AP86" si="144">IF(AND(AG$2&gt;=$F84,AG$2&lt;($F84+$H84)),ROUND($K84/$H84,0),"-")</f>
        <v>#VALUE!</v>
      </c>
      <c r="AH84" s="65" t="e">
        <f t="shared" si="144"/>
        <v>#VALUE!</v>
      </c>
      <c r="AI84" s="65" t="e">
        <f t="shared" si="144"/>
        <v>#VALUE!</v>
      </c>
      <c r="AJ84" s="65" t="e">
        <f t="shared" si="144"/>
        <v>#VALUE!</v>
      </c>
      <c r="AK84" s="65" t="e">
        <f t="shared" si="144"/>
        <v>#VALUE!</v>
      </c>
      <c r="AL84" s="65" t="e">
        <f t="shared" si="144"/>
        <v>#VALUE!</v>
      </c>
      <c r="AM84" s="65" t="e">
        <f t="shared" si="144"/>
        <v>#VALUE!</v>
      </c>
      <c r="AN84" s="65" t="e">
        <f t="shared" si="144"/>
        <v>#VALUE!</v>
      </c>
      <c r="AO84" s="65" t="e">
        <f t="shared" si="144"/>
        <v>#VALUE!</v>
      </c>
      <c r="AP84" s="65" t="e">
        <f t="shared" si="144"/>
        <v>#VALUE!</v>
      </c>
      <c r="AQ84" s="65" t="e">
        <f t="shared" ref="AQ84:AZ86" si="145">IF(AND(AQ$2&gt;=$F84,AQ$2&lt;($F84+$H84)),ROUND($K84/$H84,0),"-")</f>
        <v>#VALUE!</v>
      </c>
      <c r="AR84" s="65" t="e">
        <f t="shared" si="145"/>
        <v>#VALUE!</v>
      </c>
      <c r="AS84" s="65" t="e">
        <f t="shared" si="145"/>
        <v>#VALUE!</v>
      </c>
      <c r="AT84" s="65" t="e">
        <f t="shared" si="145"/>
        <v>#VALUE!</v>
      </c>
      <c r="AU84" s="65" t="e">
        <f t="shared" si="145"/>
        <v>#VALUE!</v>
      </c>
      <c r="AV84" s="65" t="e">
        <f t="shared" si="145"/>
        <v>#VALUE!</v>
      </c>
      <c r="AW84" s="65" t="e">
        <f t="shared" si="145"/>
        <v>#VALUE!</v>
      </c>
      <c r="AX84" s="65" t="e">
        <f t="shared" si="145"/>
        <v>#VALUE!</v>
      </c>
      <c r="AY84" s="65" t="e">
        <f t="shared" si="145"/>
        <v>#VALUE!</v>
      </c>
      <c r="AZ84" s="65" t="e">
        <f t="shared" si="145"/>
        <v>#VALUE!</v>
      </c>
      <c r="BA84" s="65" t="e">
        <f t="shared" ref="BA84:BJ86" si="146">IF(AND(BA$2&gt;=$F84,BA$2&lt;($F84+$H84)),ROUND($K84/$H84,0),"-")</f>
        <v>#VALUE!</v>
      </c>
      <c r="BB84" s="65" t="e">
        <f t="shared" si="146"/>
        <v>#VALUE!</v>
      </c>
      <c r="BC84" s="65" t="e">
        <f t="shared" si="146"/>
        <v>#VALUE!</v>
      </c>
      <c r="BD84" s="65" t="e">
        <f t="shared" si="146"/>
        <v>#VALUE!</v>
      </c>
      <c r="BE84" s="65" t="e">
        <f t="shared" si="146"/>
        <v>#VALUE!</v>
      </c>
      <c r="BF84" s="65" t="e">
        <f t="shared" si="146"/>
        <v>#VALUE!</v>
      </c>
      <c r="BG84" s="65" t="e">
        <f t="shared" si="146"/>
        <v>#VALUE!</v>
      </c>
      <c r="BH84" s="65" t="e">
        <f t="shared" si="146"/>
        <v>#VALUE!</v>
      </c>
      <c r="BI84" s="65" t="e">
        <f t="shared" si="146"/>
        <v>#VALUE!</v>
      </c>
      <c r="BJ84" s="65" t="e">
        <f t="shared" si="146"/>
        <v>#VALUE!</v>
      </c>
      <c r="BK84" s="65" t="e">
        <f t="shared" ref="BK84:BT86" si="147">IF(AND(BK$2&gt;=$F84,BK$2&lt;($F84+$H84)),ROUND($K84/$H84,0),"-")</f>
        <v>#VALUE!</v>
      </c>
      <c r="BL84" s="65" t="e">
        <f t="shared" si="147"/>
        <v>#VALUE!</v>
      </c>
      <c r="BM84" s="65" t="e">
        <f t="shared" si="147"/>
        <v>#VALUE!</v>
      </c>
      <c r="BN84" s="65" t="e">
        <f t="shared" si="147"/>
        <v>#VALUE!</v>
      </c>
      <c r="BO84" s="65" t="e">
        <f t="shared" si="147"/>
        <v>#VALUE!</v>
      </c>
      <c r="BP84" s="65" t="e">
        <f t="shared" si="147"/>
        <v>#VALUE!</v>
      </c>
      <c r="BQ84" s="65" t="e">
        <f t="shared" si="147"/>
        <v>#VALUE!</v>
      </c>
      <c r="BR84" s="65" t="e">
        <f t="shared" si="147"/>
        <v>#VALUE!</v>
      </c>
      <c r="BS84" s="65" t="e">
        <f t="shared" si="147"/>
        <v>#VALUE!</v>
      </c>
      <c r="BT84" s="65" t="e">
        <f t="shared" si="147"/>
        <v>#VALUE!</v>
      </c>
      <c r="BU84" s="65" t="e">
        <f t="shared" ref="BU84:CD86" si="148">IF(AND(BU$2&gt;=$F84,BU$2&lt;($F84+$H84)),ROUND($K84/$H84,0),"-")</f>
        <v>#VALUE!</v>
      </c>
      <c r="BV84" s="65" t="e">
        <f t="shared" si="148"/>
        <v>#VALUE!</v>
      </c>
      <c r="BW84" s="65" t="e">
        <f t="shared" si="148"/>
        <v>#VALUE!</v>
      </c>
      <c r="BX84" s="65" t="e">
        <f t="shared" si="148"/>
        <v>#VALUE!</v>
      </c>
      <c r="BY84" s="65" t="e">
        <f t="shared" si="148"/>
        <v>#VALUE!</v>
      </c>
      <c r="BZ84" s="65" t="e">
        <f t="shared" si="148"/>
        <v>#VALUE!</v>
      </c>
      <c r="CA84" s="65" t="e">
        <f t="shared" si="148"/>
        <v>#VALUE!</v>
      </c>
      <c r="CB84" s="65" t="e">
        <f t="shared" si="148"/>
        <v>#VALUE!</v>
      </c>
      <c r="CC84" s="65" t="e">
        <f t="shared" si="148"/>
        <v>#VALUE!</v>
      </c>
      <c r="CD84" s="65" t="e">
        <f t="shared" si="148"/>
        <v>#VALUE!</v>
      </c>
      <c r="CE84" s="65" t="e">
        <f t="shared" ref="CE84:CN86" si="149">IF(AND(CE$2&gt;=$F84,CE$2&lt;($F84+$H84)),ROUND($K84/$H84,0),"-")</f>
        <v>#VALUE!</v>
      </c>
      <c r="CF84" s="65" t="e">
        <f t="shared" si="149"/>
        <v>#VALUE!</v>
      </c>
      <c r="CG84" s="65" t="e">
        <f t="shared" si="149"/>
        <v>#VALUE!</v>
      </c>
      <c r="CH84" s="65" t="e">
        <f t="shared" si="149"/>
        <v>#VALUE!</v>
      </c>
      <c r="CI84" s="65" t="e">
        <f t="shared" si="149"/>
        <v>#VALUE!</v>
      </c>
      <c r="CJ84" s="65" t="e">
        <f t="shared" si="149"/>
        <v>#VALUE!</v>
      </c>
      <c r="CK84" s="65" t="e">
        <f t="shared" si="149"/>
        <v>#VALUE!</v>
      </c>
      <c r="CL84" s="65" t="e">
        <f t="shared" si="149"/>
        <v>#VALUE!</v>
      </c>
      <c r="CM84" s="65" t="e">
        <f t="shared" si="149"/>
        <v>#VALUE!</v>
      </c>
      <c r="CN84" s="65" t="e">
        <f t="shared" si="149"/>
        <v>#VALUE!</v>
      </c>
      <c r="CO84" s="65" t="e">
        <f t="shared" ref="CO84:CW86" si="150">IF(AND(CO$2&gt;=$F84,CO$2&lt;($F84+$H84)),ROUND($K84/$H84,0),"-")</f>
        <v>#VALUE!</v>
      </c>
      <c r="CP84" s="65" t="e">
        <f t="shared" si="150"/>
        <v>#VALUE!</v>
      </c>
      <c r="CQ84" s="65" t="e">
        <f t="shared" si="150"/>
        <v>#VALUE!</v>
      </c>
      <c r="CR84" s="65" t="e">
        <f t="shared" si="150"/>
        <v>#VALUE!</v>
      </c>
      <c r="CS84" s="65" t="e">
        <f t="shared" si="150"/>
        <v>#VALUE!</v>
      </c>
      <c r="CT84" s="65" t="e">
        <f t="shared" si="150"/>
        <v>#VALUE!</v>
      </c>
      <c r="CU84" s="65" t="e">
        <f t="shared" si="150"/>
        <v>#VALUE!</v>
      </c>
      <c r="CV84" s="65" t="e">
        <f t="shared" si="150"/>
        <v>#VALUE!</v>
      </c>
      <c r="CW84" s="65" t="e">
        <f t="shared" si="150"/>
        <v>#VALUE!</v>
      </c>
    </row>
    <row r="85" spans="1:101">
      <c r="B85" s="109" t="s">
        <v>99</v>
      </c>
      <c r="C85" s="101">
        <v>768</v>
      </c>
      <c r="D85" s="258">
        <f>SUM('[1]Electrical Work'!$G$446:$G$451)</f>
        <v>810</v>
      </c>
      <c r="E85" s="258">
        <f>C85-D85</f>
        <v>-42</v>
      </c>
      <c r="F85" s="162" t="str">
        <f>F84</f>
        <v>18 Aug
23 Aug
27 Aug
29 Aug</v>
      </c>
      <c r="G85" s="162" t="e">
        <f>G84</f>
        <v>#VALUE!</v>
      </c>
      <c r="H85" s="65" t="e">
        <f>G85-F85</f>
        <v>#VALUE!</v>
      </c>
      <c r="I85" s="259">
        <v>30</v>
      </c>
      <c r="J85" s="259">
        <v>18</v>
      </c>
      <c r="K85" s="102">
        <f>(E85*J85)/I85</f>
        <v>-25.2</v>
      </c>
      <c r="L85" s="505"/>
      <c r="M85" s="65" t="e">
        <f t="shared" si="142"/>
        <v>#VALUE!</v>
      </c>
      <c r="N85" s="65" t="e">
        <f t="shared" si="142"/>
        <v>#VALUE!</v>
      </c>
      <c r="O85" s="65" t="e">
        <f t="shared" si="142"/>
        <v>#VALUE!</v>
      </c>
      <c r="P85" s="65" t="e">
        <f t="shared" si="142"/>
        <v>#VALUE!</v>
      </c>
      <c r="Q85" s="65" t="e">
        <f t="shared" si="142"/>
        <v>#VALUE!</v>
      </c>
      <c r="R85" s="65" t="e">
        <f t="shared" si="142"/>
        <v>#VALUE!</v>
      </c>
      <c r="S85" s="65" t="e">
        <f t="shared" si="142"/>
        <v>#VALUE!</v>
      </c>
      <c r="T85" s="65" t="e">
        <f t="shared" si="142"/>
        <v>#VALUE!</v>
      </c>
      <c r="U85" s="65" t="e">
        <f t="shared" si="142"/>
        <v>#VALUE!</v>
      </c>
      <c r="V85" s="65" t="e">
        <f t="shared" si="142"/>
        <v>#VALUE!</v>
      </c>
      <c r="W85" s="65" t="e">
        <f t="shared" si="143"/>
        <v>#VALUE!</v>
      </c>
      <c r="X85" s="65" t="e">
        <f t="shared" si="143"/>
        <v>#VALUE!</v>
      </c>
      <c r="Y85" s="65" t="e">
        <f t="shared" si="143"/>
        <v>#VALUE!</v>
      </c>
      <c r="Z85" s="65" t="e">
        <f t="shared" si="143"/>
        <v>#VALUE!</v>
      </c>
      <c r="AA85" s="65" t="e">
        <f t="shared" si="143"/>
        <v>#VALUE!</v>
      </c>
      <c r="AB85" s="65" t="e">
        <f t="shared" si="143"/>
        <v>#VALUE!</v>
      </c>
      <c r="AC85" s="65" t="e">
        <f t="shared" si="143"/>
        <v>#VALUE!</v>
      </c>
      <c r="AD85" s="65" t="e">
        <f t="shared" si="143"/>
        <v>#VALUE!</v>
      </c>
      <c r="AE85" s="65" t="e">
        <f t="shared" si="143"/>
        <v>#VALUE!</v>
      </c>
      <c r="AF85" s="65" t="e">
        <f t="shared" si="143"/>
        <v>#VALUE!</v>
      </c>
      <c r="AG85" s="65" t="e">
        <f t="shared" si="144"/>
        <v>#VALUE!</v>
      </c>
      <c r="AH85" s="65" t="e">
        <f t="shared" si="144"/>
        <v>#VALUE!</v>
      </c>
      <c r="AI85" s="65" t="e">
        <f t="shared" si="144"/>
        <v>#VALUE!</v>
      </c>
      <c r="AJ85" s="65" t="e">
        <f t="shared" si="144"/>
        <v>#VALUE!</v>
      </c>
      <c r="AK85" s="65" t="e">
        <f t="shared" si="144"/>
        <v>#VALUE!</v>
      </c>
      <c r="AL85" s="65" t="e">
        <f t="shared" si="144"/>
        <v>#VALUE!</v>
      </c>
      <c r="AM85" s="65" t="e">
        <f t="shared" si="144"/>
        <v>#VALUE!</v>
      </c>
      <c r="AN85" s="65" t="e">
        <f t="shared" si="144"/>
        <v>#VALUE!</v>
      </c>
      <c r="AO85" s="65" t="e">
        <f t="shared" si="144"/>
        <v>#VALUE!</v>
      </c>
      <c r="AP85" s="65" t="e">
        <f t="shared" si="144"/>
        <v>#VALUE!</v>
      </c>
      <c r="AQ85" s="65" t="e">
        <f t="shared" si="145"/>
        <v>#VALUE!</v>
      </c>
      <c r="AR85" s="65" t="e">
        <f t="shared" si="145"/>
        <v>#VALUE!</v>
      </c>
      <c r="AS85" s="65" t="e">
        <f t="shared" si="145"/>
        <v>#VALUE!</v>
      </c>
      <c r="AT85" s="65" t="e">
        <f t="shared" si="145"/>
        <v>#VALUE!</v>
      </c>
      <c r="AU85" s="65" t="e">
        <f t="shared" si="145"/>
        <v>#VALUE!</v>
      </c>
      <c r="AV85" s="65" t="e">
        <f t="shared" si="145"/>
        <v>#VALUE!</v>
      </c>
      <c r="AW85" s="65" t="e">
        <f t="shared" si="145"/>
        <v>#VALUE!</v>
      </c>
      <c r="AX85" s="65" t="e">
        <f t="shared" si="145"/>
        <v>#VALUE!</v>
      </c>
      <c r="AY85" s="65" t="e">
        <f t="shared" si="145"/>
        <v>#VALUE!</v>
      </c>
      <c r="AZ85" s="65" t="e">
        <f t="shared" si="145"/>
        <v>#VALUE!</v>
      </c>
      <c r="BA85" s="65" t="e">
        <f t="shared" si="146"/>
        <v>#VALUE!</v>
      </c>
      <c r="BB85" s="65" t="e">
        <f t="shared" si="146"/>
        <v>#VALUE!</v>
      </c>
      <c r="BC85" s="65" t="e">
        <f t="shared" si="146"/>
        <v>#VALUE!</v>
      </c>
      <c r="BD85" s="65" t="e">
        <f t="shared" si="146"/>
        <v>#VALUE!</v>
      </c>
      <c r="BE85" s="65" t="e">
        <f t="shared" si="146"/>
        <v>#VALUE!</v>
      </c>
      <c r="BF85" s="65" t="e">
        <f t="shared" si="146"/>
        <v>#VALUE!</v>
      </c>
      <c r="BG85" s="65" t="e">
        <f t="shared" si="146"/>
        <v>#VALUE!</v>
      </c>
      <c r="BH85" s="65" t="e">
        <f t="shared" si="146"/>
        <v>#VALUE!</v>
      </c>
      <c r="BI85" s="65" t="e">
        <f t="shared" si="146"/>
        <v>#VALUE!</v>
      </c>
      <c r="BJ85" s="65" t="e">
        <f t="shared" si="146"/>
        <v>#VALUE!</v>
      </c>
      <c r="BK85" s="65" t="e">
        <f t="shared" si="147"/>
        <v>#VALUE!</v>
      </c>
      <c r="BL85" s="65" t="e">
        <f t="shared" si="147"/>
        <v>#VALUE!</v>
      </c>
      <c r="BM85" s="65" t="e">
        <f t="shared" si="147"/>
        <v>#VALUE!</v>
      </c>
      <c r="BN85" s="65" t="e">
        <f t="shared" si="147"/>
        <v>#VALUE!</v>
      </c>
      <c r="BO85" s="65" t="e">
        <f t="shared" si="147"/>
        <v>#VALUE!</v>
      </c>
      <c r="BP85" s="65" t="e">
        <f t="shared" si="147"/>
        <v>#VALUE!</v>
      </c>
      <c r="BQ85" s="65" t="e">
        <f t="shared" si="147"/>
        <v>#VALUE!</v>
      </c>
      <c r="BR85" s="65" t="e">
        <f t="shared" si="147"/>
        <v>#VALUE!</v>
      </c>
      <c r="BS85" s="65" t="e">
        <f t="shared" si="147"/>
        <v>#VALUE!</v>
      </c>
      <c r="BT85" s="65" t="e">
        <f t="shared" si="147"/>
        <v>#VALUE!</v>
      </c>
      <c r="BU85" s="65" t="e">
        <f t="shared" si="148"/>
        <v>#VALUE!</v>
      </c>
      <c r="BV85" s="65" t="e">
        <f t="shared" si="148"/>
        <v>#VALUE!</v>
      </c>
      <c r="BW85" s="65" t="e">
        <f t="shared" si="148"/>
        <v>#VALUE!</v>
      </c>
      <c r="BX85" s="65" t="e">
        <f t="shared" si="148"/>
        <v>#VALUE!</v>
      </c>
      <c r="BY85" s="65" t="e">
        <f t="shared" si="148"/>
        <v>#VALUE!</v>
      </c>
      <c r="BZ85" s="65" t="e">
        <f t="shared" si="148"/>
        <v>#VALUE!</v>
      </c>
      <c r="CA85" s="65" t="e">
        <f t="shared" si="148"/>
        <v>#VALUE!</v>
      </c>
      <c r="CB85" s="65" t="e">
        <f t="shared" si="148"/>
        <v>#VALUE!</v>
      </c>
      <c r="CC85" s="65" t="e">
        <f t="shared" si="148"/>
        <v>#VALUE!</v>
      </c>
      <c r="CD85" s="65" t="e">
        <f t="shared" si="148"/>
        <v>#VALUE!</v>
      </c>
      <c r="CE85" s="65" t="e">
        <f t="shared" si="149"/>
        <v>#VALUE!</v>
      </c>
      <c r="CF85" s="65" t="e">
        <f t="shared" si="149"/>
        <v>#VALUE!</v>
      </c>
      <c r="CG85" s="65" t="e">
        <f t="shared" si="149"/>
        <v>#VALUE!</v>
      </c>
      <c r="CH85" s="65" t="e">
        <f t="shared" si="149"/>
        <v>#VALUE!</v>
      </c>
      <c r="CI85" s="65" t="e">
        <f t="shared" si="149"/>
        <v>#VALUE!</v>
      </c>
      <c r="CJ85" s="65" t="e">
        <f t="shared" si="149"/>
        <v>#VALUE!</v>
      </c>
      <c r="CK85" s="65" t="e">
        <f t="shared" si="149"/>
        <v>#VALUE!</v>
      </c>
      <c r="CL85" s="65" t="e">
        <f t="shared" si="149"/>
        <v>#VALUE!</v>
      </c>
      <c r="CM85" s="65" t="e">
        <f t="shared" si="149"/>
        <v>#VALUE!</v>
      </c>
      <c r="CN85" s="65" t="e">
        <f t="shared" si="149"/>
        <v>#VALUE!</v>
      </c>
      <c r="CO85" s="65" t="e">
        <f t="shared" si="150"/>
        <v>#VALUE!</v>
      </c>
      <c r="CP85" s="65" t="e">
        <f t="shared" si="150"/>
        <v>#VALUE!</v>
      </c>
      <c r="CQ85" s="65" t="e">
        <f t="shared" si="150"/>
        <v>#VALUE!</v>
      </c>
      <c r="CR85" s="65" t="e">
        <f t="shared" si="150"/>
        <v>#VALUE!</v>
      </c>
      <c r="CS85" s="65" t="e">
        <f t="shared" si="150"/>
        <v>#VALUE!</v>
      </c>
      <c r="CT85" s="65" t="e">
        <f t="shared" si="150"/>
        <v>#VALUE!</v>
      </c>
      <c r="CU85" s="65" t="e">
        <f t="shared" si="150"/>
        <v>#VALUE!</v>
      </c>
      <c r="CV85" s="65" t="e">
        <f t="shared" si="150"/>
        <v>#VALUE!</v>
      </c>
      <c r="CW85" s="65" t="e">
        <f t="shared" si="150"/>
        <v>#VALUE!</v>
      </c>
    </row>
    <row r="86" spans="1:101">
      <c r="B86" s="109" t="s">
        <v>100</v>
      </c>
      <c r="C86" s="101">
        <v>1344</v>
      </c>
      <c r="D86" s="101">
        <v>0</v>
      </c>
      <c r="E86" s="258">
        <f>C86-D86</f>
        <v>1344</v>
      </c>
      <c r="F86" s="162" t="str">
        <f>F85</f>
        <v>18 Aug
23 Aug
27 Aug
29 Aug</v>
      </c>
      <c r="G86" s="162" t="e">
        <f>G85</f>
        <v>#VALUE!</v>
      </c>
      <c r="H86" s="65" t="e">
        <f>H85</f>
        <v>#VALUE!</v>
      </c>
      <c r="I86" s="101">
        <v>30</v>
      </c>
      <c r="J86" s="101">
        <v>6</v>
      </c>
      <c r="K86" s="102">
        <f>(E86*J86)/I86</f>
        <v>268.8</v>
      </c>
      <c r="L86" s="505"/>
      <c r="M86" s="65" t="e">
        <f t="shared" si="142"/>
        <v>#VALUE!</v>
      </c>
      <c r="N86" s="65" t="e">
        <f t="shared" si="142"/>
        <v>#VALUE!</v>
      </c>
      <c r="O86" s="65" t="e">
        <f t="shared" si="142"/>
        <v>#VALUE!</v>
      </c>
      <c r="P86" s="65" t="e">
        <f t="shared" si="142"/>
        <v>#VALUE!</v>
      </c>
      <c r="Q86" s="65" t="e">
        <f t="shared" si="142"/>
        <v>#VALUE!</v>
      </c>
      <c r="R86" s="65" t="e">
        <f t="shared" si="142"/>
        <v>#VALUE!</v>
      </c>
      <c r="S86" s="65" t="e">
        <f t="shared" si="142"/>
        <v>#VALUE!</v>
      </c>
      <c r="T86" s="65" t="e">
        <f t="shared" si="142"/>
        <v>#VALUE!</v>
      </c>
      <c r="U86" s="65" t="e">
        <f t="shared" si="142"/>
        <v>#VALUE!</v>
      </c>
      <c r="V86" s="65" t="e">
        <f t="shared" si="142"/>
        <v>#VALUE!</v>
      </c>
      <c r="W86" s="65" t="e">
        <f t="shared" si="143"/>
        <v>#VALUE!</v>
      </c>
      <c r="X86" s="65" t="e">
        <f t="shared" si="143"/>
        <v>#VALUE!</v>
      </c>
      <c r="Y86" s="65" t="e">
        <f t="shared" si="143"/>
        <v>#VALUE!</v>
      </c>
      <c r="Z86" s="65" t="e">
        <f t="shared" si="143"/>
        <v>#VALUE!</v>
      </c>
      <c r="AA86" s="65" t="e">
        <f t="shared" si="143"/>
        <v>#VALUE!</v>
      </c>
      <c r="AB86" s="65" t="e">
        <f t="shared" si="143"/>
        <v>#VALUE!</v>
      </c>
      <c r="AC86" s="65" t="e">
        <f t="shared" si="143"/>
        <v>#VALUE!</v>
      </c>
      <c r="AD86" s="65" t="e">
        <f t="shared" si="143"/>
        <v>#VALUE!</v>
      </c>
      <c r="AE86" s="65" t="e">
        <f t="shared" si="143"/>
        <v>#VALUE!</v>
      </c>
      <c r="AF86" s="65" t="e">
        <f t="shared" si="143"/>
        <v>#VALUE!</v>
      </c>
      <c r="AG86" s="65" t="e">
        <f t="shared" si="144"/>
        <v>#VALUE!</v>
      </c>
      <c r="AH86" s="65" t="e">
        <f t="shared" si="144"/>
        <v>#VALUE!</v>
      </c>
      <c r="AI86" s="65" t="e">
        <f t="shared" si="144"/>
        <v>#VALUE!</v>
      </c>
      <c r="AJ86" s="65" t="e">
        <f t="shared" si="144"/>
        <v>#VALUE!</v>
      </c>
      <c r="AK86" s="65" t="e">
        <f t="shared" si="144"/>
        <v>#VALUE!</v>
      </c>
      <c r="AL86" s="65" t="e">
        <f t="shared" si="144"/>
        <v>#VALUE!</v>
      </c>
      <c r="AM86" s="65" t="e">
        <f t="shared" si="144"/>
        <v>#VALUE!</v>
      </c>
      <c r="AN86" s="65" t="e">
        <f t="shared" si="144"/>
        <v>#VALUE!</v>
      </c>
      <c r="AO86" s="65" t="e">
        <f t="shared" si="144"/>
        <v>#VALUE!</v>
      </c>
      <c r="AP86" s="65" t="e">
        <f t="shared" si="144"/>
        <v>#VALUE!</v>
      </c>
      <c r="AQ86" s="65" t="e">
        <f t="shared" si="145"/>
        <v>#VALUE!</v>
      </c>
      <c r="AR86" s="65" t="e">
        <f t="shared" si="145"/>
        <v>#VALUE!</v>
      </c>
      <c r="AS86" s="65" t="e">
        <f t="shared" si="145"/>
        <v>#VALUE!</v>
      </c>
      <c r="AT86" s="65" t="e">
        <f t="shared" si="145"/>
        <v>#VALUE!</v>
      </c>
      <c r="AU86" s="65" t="e">
        <f t="shared" si="145"/>
        <v>#VALUE!</v>
      </c>
      <c r="AV86" s="65" t="e">
        <f t="shared" si="145"/>
        <v>#VALUE!</v>
      </c>
      <c r="AW86" s="65" t="e">
        <f t="shared" si="145"/>
        <v>#VALUE!</v>
      </c>
      <c r="AX86" s="65" t="e">
        <f t="shared" si="145"/>
        <v>#VALUE!</v>
      </c>
      <c r="AY86" s="65" t="e">
        <f t="shared" si="145"/>
        <v>#VALUE!</v>
      </c>
      <c r="AZ86" s="65" t="e">
        <f t="shared" si="145"/>
        <v>#VALUE!</v>
      </c>
      <c r="BA86" s="65" t="e">
        <f t="shared" si="146"/>
        <v>#VALUE!</v>
      </c>
      <c r="BB86" s="65" t="e">
        <f t="shared" si="146"/>
        <v>#VALUE!</v>
      </c>
      <c r="BC86" s="65" t="e">
        <f t="shared" si="146"/>
        <v>#VALUE!</v>
      </c>
      <c r="BD86" s="65" t="e">
        <f t="shared" si="146"/>
        <v>#VALUE!</v>
      </c>
      <c r="BE86" s="65" t="e">
        <f t="shared" si="146"/>
        <v>#VALUE!</v>
      </c>
      <c r="BF86" s="65" t="e">
        <f t="shared" si="146"/>
        <v>#VALUE!</v>
      </c>
      <c r="BG86" s="65" t="e">
        <f t="shared" si="146"/>
        <v>#VALUE!</v>
      </c>
      <c r="BH86" s="65" t="e">
        <f t="shared" si="146"/>
        <v>#VALUE!</v>
      </c>
      <c r="BI86" s="65" t="e">
        <f t="shared" si="146"/>
        <v>#VALUE!</v>
      </c>
      <c r="BJ86" s="65" t="e">
        <f t="shared" si="146"/>
        <v>#VALUE!</v>
      </c>
      <c r="BK86" s="65" t="e">
        <f t="shared" si="147"/>
        <v>#VALUE!</v>
      </c>
      <c r="BL86" s="65" t="e">
        <f t="shared" si="147"/>
        <v>#VALUE!</v>
      </c>
      <c r="BM86" s="65" t="e">
        <f t="shared" si="147"/>
        <v>#VALUE!</v>
      </c>
      <c r="BN86" s="65" t="e">
        <f t="shared" si="147"/>
        <v>#VALUE!</v>
      </c>
      <c r="BO86" s="65" t="e">
        <f t="shared" si="147"/>
        <v>#VALUE!</v>
      </c>
      <c r="BP86" s="65" t="e">
        <f t="shared" si="147"/>
        <v>#VALUE!</v>
      </c>
      <c r="BQ86" s="65" t="e">
        <f t="shared" si="147"/>
        <v>#VALUE!</v>
      </c>
      <c r="BR86" s="65" t="e">
        <f t="shared" si="147"/>
        <v>#VALUE!</v>
      </c>
      <c r="BS86" s="65" t="e">
        <f t="shared" si="147"/>
        <v>#VALUE!</v>
      </c>
      <c r="BT86" s="65" t="e">
        <f t="shared" si="147"/>
        <v>#VALUE!</v>
      </c>
      <c r="BU86" s="65" t="e">
        <f t="shared" si="148"/>
        <v>#VALUE!</v>
      </c>
      <c r="BV86" s="65" t="e">
        <f t="shared" si="148"/>
        <v>#VALUE!</v>
      </c>
      <c r="BW86" s="65" t="e">
        <f t="shared" si="148"/>
        <v>#VALUE!</v>
      </c>
      <c r="BX86" s="65" t="e">
        <f t="shared" si="148"/>
        <v>#VALUE!</v>
      </c>
      <c r="BY86" s="65" t="e">
        <f t="shared" si="148"/>
        <v>#VALUE!</v>
      </c>
      <c r="BZ86" s="65" t="e">
        <f t="shared" si="148"/>
        <v>#VALUE!</v>
      </c>
      <c r="CA86" s="65" t="e">
        <f t="shared" si="148"/>
        <v>#VALUE!</v>
      </c>
      <c r="CB86" s="65" t="e">
        <f t="shared" si="148"/>
        <v>#VALUE!</v>
      </c>
      <c r="CC86" s="65" t="e">
        <f t="shared" si="148"/>
        <v>#VALUE!</v>
      </c>
      <c r="CD86" s="65" t="e">
        <f t="shared" si="148"/>
        <v>#VALUE!</v>
      </c>
      <c r="CE86" s="65" t="e">
        <f t="shared" si="149"/>
        <v>#VALUE!</v>
      </c>
      <c r="CF86" s="65" t="e">
        <f t="shared" si="149"/>
        <v>#VALUE!</v>
      </c>
      <c r="CG86" s="65" t="e">
        <f t="shared" si="149"/>
        <v>#VALUE!</v>
      </c>
      <c r="CH86" s="65" t="e">
        <f t="shared" si="149"/>
        <v>#VALUE!</v>
      </c>
      <c r="CI86" s="65" t="e">
        <f t="shared" si="149"/>
        <v>#VALUE!</v>
      </c>
      <c r="CJ86" s="65" t="e">
        <f t="shared" si="149"/>
        <v>#VALUE!</v>
      </c>
      <c r="CK86" s="65" t="e">
        <f t="shared" si="149"/>
        <v>#VALUE!</v>
      </c>
      <c r="CL86" s="65" t="e">
        <f t="shared" si="149"/>
        <v>#VALUE!</v>
      </c>
      <c r="CM86" s="65" t="e">
        <f t="shared" si="149"/>
        <v>#VALUE!</v>
      </c>
      <c r="CN86" s="65" t="e">
        <f t="shared" si="149"/>
        <v>#VALUE!</v>
      </c>
      <c r="CO86" s="65" t="e">
        <f t="shared" si="150"/>
        <v>#VALUE!</v>
      </c>
      <c r="CP86" s="65" t="e">
        <f t="shared" si="150"/>
        <v>#VALUE!</v>
      </c>
      <c r="CQ86" s="65" t="e">
        <f t="shared" si="150"/>
        <v>#VALUE!</v>
      </c>
      <c r="CR86" s="65" t="e">
        <f t="shared" si="150"/>
        <v>#VALUE!</v>
      </c>
      <c r="CS86" s="65" t="e">
        <f t="shared" si="150"/>
        <v>#VALUE!</v>
      </c>
      <c r="CT86" s="65" t="e">
        <f t="shared" si="150"/>
        <v>#VALUE!</v>
      </c>
      <c r="CU86" s="65" t="e">
        <f t="shared" si="150"/>
        <v>#VALUE!</v>
      </c>
      <c r="CV86" s="65" t="e">
        <f t="shared" si="150"/>
        <v>#VALUE!</v>
      </c>
      <c r="CW86" s="65" t="e">
        <f t="shared" si="150"/>
        <v>#VALUE!</v>
      </c>
    </row>
  </sheetData>
  <mergeCells count="17">
    <mergeCell ref="L74:L76"/>
    <mergeCell ref="L79:L81"/>
    <mergeCell ref="L84:L86"/>
    <mergeCell ref="L49:L51"/>
    <mergeCell ref="L54:L56"/>
    <mergeCell ref="L59:L61"/>
    <mergeCell ref="L64:L66"/>
    <mergeCell ref="L69:L71"/>
    <mergeCell ref="L28:L30"/>
    <mergeCell ref="L33:L35"/>
    <mergeCell ref="L38:L40"/>
    <mergeCell ref="L43:L45"/>
    <mergeCell ref="L3:L5"/>
    <mergeCell ref="L8:L10"/>
    <mergeCell ref="L13:L15"/>
    <mergeCell ref="L18:L20"/>
    <mergeCell ref="L23:L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6479-50A6-4477-812A-74B01B51F9BF}">
  <sheetPr>
    <pageSetUpPr fitToPage="1"/>
  </sheetPr>
  <dimension ref="A1:GV7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4" sqref="E4"/>
    </sheetView>
  </sheetViews>
  <sheetFormatPr defaultRowHeight="13.5"/>
  <cols>
    <col min="2" max="2" width="15.88671875" bestFit="1" customWidth="1"/>
    <col min="3" max="3" width="15.109375" bestFit="1" customWidth="1"/>
    <col min="4" max="4" width="8.5546875" customWidth="1"/>
    <col min="5" max="5" width="14.33203125" customWidth="1"/>
    <col min="8" max="8" width="0" hidden="1" customWidth="1"/>
    <col min="9" max="9" width="10.109375" bestFit="1" customWidth="1"/>
    <col min="10" max="11" width="10.109375" customWidth="1"/>
    <col min="12" max="13" width="8.88671875" bestFit="1" customWidth="1"/>
    <col min="29" max="51" width="8.5546875" bestFit="1" customWidth="1"/>
    <col min="52" max="98" width="9.33203125" bestFit="1" customWidth="1"/>
    <col min="143" max="143" width="14.5546875" bestFit="1" customWidth="1"/>
    <col min="144" max="144" width="12.33203125" bestFit="1" customWidth="1"/>
    <col min="204" max="204" width="10.109375" customWidth="1"/>
  </cols>
  <sheetData>
    <row r="1" spans="1:204" ht="40.5" customHeight="1">
      <c r="B1" s="124" t="s">
        <v>57</v>
      </c>
      <c r="C1" s="114" t="str">
        <f>'BESS 11'!$G$2</f>
        <v>Trial-Run End Date</v>
      </c>
      <c r="D1" s="114" t="str">
        <f>'BESS 11'!$H$2</f>
        <v>COD</v>
      </c>
      <c r="E1" s="114" t="s">
        <v>10</v>
      </c>
      <c r="F1" s="115" t="s">
        <v>58</v>
      </c>
      <c r="G1" s="115" t="s">
        <v>59</v>
      </c>
      <c r="H1" s="115"/>
      <c r="I1" s="115" t="s">
        <v>60</v>
      </c>
      <c r="J1" s="116">
        <v>46195</v>
      </c>
      <c r="K1" s="116">
        <v>46196</v>
      </c>
      <c r="L1" s="116">
        <v>46197</v>
      </c>
      <c r="M1" s="116">
        <v>46198</v>
      </c>
      <c r="N1" s="116">
        <v>46199</v>
      </c>
      <c r="O1" s="116">
        <v>46200</v>
      </c>
      <c r="P1" s="116">
        <v>46201</v>
      </c>
      <c r="Q1" s="116">
        <v>46202</v>
      </c>
      <c r="R1" s="116">
        <v>46203</v>
      </c>
      <c r="S1" s="116">
        <v>46204</v>
      </c>
      <c r="T1" s="116">
        <v>46205</v>
      </c>
      <c r="U1" s="116">
        <v>46206</v>
      </c>
      <c r="V1" s="116">
        <v>46207</v>
      </c>
      <c r="W1" s="116">
        <f t="shared" ref="W1:BB1" si="0">V1+1</f>
        <v>46208</v>
      </c>
      <c r="X1" s="116">
        <f t="shared" si="0"/>
        <v>46209</v>
      </c>
      <c r="Y1" s="116">
        <f t="shared" si="0"/>
        <v>46210</v>
      </c>
      <c r="Z1" s="116">
        <f t="shared" si="0"/>
        <v>46211</v>
      </c>
      <c r="AA1" s="116">
        <f t="shared" si="0"/>
        <v>46212</v>
      </c>
      <c r="AB1" s="116">
        <f t="shared" si="0"/>
        <v>46213</v>
      </c>
      <c r="AC1" s="116">
        <f t="shared" si="0"/>
        <v>46214</v>
      </c>
      <c r="AD1" s="116">
        <f t="shared" si="0"/>
        <v>46215</v>
      </c>
      <c r="AE1" s="116">
        <f t="shared" si="0"/>
        <v>46216</v>
      </c>
      <c r="AF1" s="116">
        <f t="shared" si="0"/>
        <v>46217</v>
      </c>
      <c r="AG1" s="116">
        <f t="shared" si="0"/>
        <v>46218</v>
      </c>
      <c r="AH1" s="116">
        <f t="shared" si="0"/>
        <v>46219</v>
      </c>
      <c r="AI1" s="116">
        <f t="shared" si="0"/>
        <v>46220</v>
      </c>
      <c r="AJ1" s="116">
        <f t="shared" si="0"/>
        <v>46221</v>
      </c>
      <c r="AK1" s="116">
        <f t="shared" si="0"/>
        <v>46222</v>
      </c>
      <c r="AL1" s="116">
        <f t="shared" si="0"/>
        <v>46223</v>
      </c>
      <c r="AM1" s="116">
        <f t="shared" si="0"/>
        <v>46224</v>
      </c>
      <c r="AN1" s="116">
        <f t="shared" si="0"/>
        <v>46225</v>
      </c>
      <c r="AO1" s="116">
        <f t="shared" si="0"/>
        <v>46226</v>
      </c>
      <c r="AP1" s="116">
        <f t="shared" si="0"/>
        <v>46227</v>
      </c>
      <c r="AQ1" s="116">
        <f t="shared" si="0"/>
        <v>46228</v>
      </c>
      <c r="AR1" s="116">
        <f t="shared" si="0"/>
        <v>46229</v>
      </c>
      <c r="AS1" s="116">
        <f t="shared" si="0"/>
        <v>46230</v>
      </c>
      <c r="AT1" s="116">
        <f t="shared" si="0"/>
        <v>46231</v>
      </c>
      <c r="AU1" s="116">
        <f t="shared" si="0"/>
        <v>46232</v>
      </c>
      <c r="AV1" s="116">
        <f t="shared" si="0"/>
        <v>46233</v>
      </c>
      <c r="AW1" s="116">
        <f t="shared" si="0"/>
        <v>46234</v>
      </c>
      <c r="AX1" s="116">
        <f t="shared" si="0"/>
        <v>46235</v>
      </c>
      <c r="AY1" s="116">
        <f t="shared" si="0"/>
        <v>46236</v>
      </c>
      <c r="AZ1" s="116">
        <f t="shared" si="0"/>
        <v>46237</v>
      </c>
      <c r="BA1" s="116">
        <f t="shared" si="0"/>
        <v>46238</v>
      </c>
      <c r="BB1" s="116">
        <f t="shared" si="0"/>
        <v>46239</v>
      </c>
      <c r="BC1" s="116">
        <f t="shared" ref="BC1:CH1" si="1">BB1+1</f>
        <v>46240</v>
      </c>
      <c r="BD1" s="116">
        <f t="shared" si="1"/>
        <v>46241</v>
      </c>
      <c r="BE1" s="116">
        <f t="shared" si="1"/>
        <v>46242</v>
      </c>
      <c r="BF1" s="116">
        <f t="shared" si="1"/>
        <v>46243</v>
      </c>
      <c r="BG1" s="116">
        <f t="shared" si="1"/>
        <v>46244</v>
      </c>
      <c r="BH1" s="116">
        <f t="shared" si="1"/>
        <v>46245</v>
      </c>
      <c r="BI1" s="116">
        <f t="shared" si="1"/>
        <v>46246</v>
      </c>
      <c r="BJ1" s="116">
        <f t="shared" si="1"/>
        <v>46247</v>
      </c>
      <c r="BK1" s="116">
        <f t="shared" si="1"/>
        <v>46248</v>
      </c>
      <c r="BL1" s="116">
        <f t="shared" si="1"/>
        <v>46249</v>
      </c>
      <c r="BM1" s="116">
        <f t="shared" si="1"/>
        <v>46250</v>
      </c>
      <c r="BN1" s="116">
        <f t="shared" si="1"/>
        <v>46251</v>
      </c>
      <c r="BO1" s="116">
        <f t="shared" si="1"/>
        <v>46252</v>
      </c>
      <c r="BP1" s="116">
        <f t="shared" si="1"/>
        <v>46253</v>
      </c>
      <c r="BQ1" s="116">
        <f t="shared" si="1"/>
        <v>46254</v>
      </c>
      <c r="BR1" s="116">
        <f t="shared" si="1"/>
        <v>46255</v>
      </c>
      <c r="BS1" s="116">
        <f t="shared" si="1"/>
        <v>46256</v>
      </c>
      <c r="BT1" s="116">
        <f t="shared" si="1"/>
        <v>46257</v>
      </c>
      <c r="BU1" s="116">
        <f t="shared" si="1"/>
        <v>46258</v>
      </c>
      <c r="BV1" s="116">
        <f t="shared" si="1"/>
        <v>46259</v>
      </c>
      <c r="BW1" s="116">
        <f t="shared" si="1"/>
        <v>46260</v>
      </c>
      <c r="BX1" s="116">
        <f t="shared" si="1"/>
        <v>46261</v>
      </c>
      <c r="BY1" s="116">
        <f t="shared" si="1"/>
        <v>46262</v>
      </c>
      <c r="BZ1" s="116">
        <f t="shared" si="1"/>
        <v>46263</v>
      </c>
      <c r="CA1" s="116">
        <f t="shared" si="1"/>
        <v>46264</v>
      </c>
      <c r="CB1" s="116">
        <f t="shared" si="1"/>
        <v>46265</v>
      </c>
      <c r="CC1" s="116">
        <f t="shared" si="1"/>
        <v>46266</v>
      </c>
      <c r="CD1" s="116">
        <f t="shared" si="1"/>
        <v>46267</v>
      </c>
      <c r="CE1" s="116">
        <f t="shared" si="1"/>
        <v>46268</v>
      </c>
      <c r="CF1" s="116">
        <f t="shared" si="1"/>
        <v>46269</v>
      </c>
      <c r="CG1" s="116">
        <f t="shared" si="1"/>
        <v>46270</v>
      </c>
      <c r="CH1" s="116">
        <f t="shared" si="1"/>
        <v>46271</v>
      </c>
      <c r="CI1" s="116">
        <f t="shared" ref="CI1:DN1" si="2">CH1+1</f>
        <v>46272</v>
      </c>
      <c r="CJ1" s="116">
        <f t="shared" si="2"/>
        <v>46273</v>
      </c>
      <c r="CK1" s="116">
        <f t="shared" si="2"/>
        <v>46274</v>
      </c>
      <c r="CL1" s="116">
        <f t="shared" si="2"/>
        <v>46275</v>
      </c>
      <c r="CM1" s="116">
        <f t="shared" si="2"/>
        <v>46276</v>
      </c>
      <c r="CN1" s="116">
        <f t="shared" si="2"/>
        <v>46277</v>
      </c>
      <c r="CO1" s="116">
        <f t="shared" si="2"/>
        <v>46278</v>
      </c>
      <c r="CP1" s="116">
        <f t="shared" si="2"/>
        <v>46279</v>
      </c>
      <c r="CQ1" s="116">
        <f t="shared" si="2"/>
        <v>46280</v>
      </c>
      <c r="CR1" s="116">
        <f t="shared" si="2"/>
        <v>46281</v>
      </c>
      <c r="CS1" s="116">
        <f t="shared" si="2"/>
        <v>46282</v>
      </c>
      <c r="CT1" s="116">
        <f t="shared" si="2"/>
        <v>46283</v>
      </c>
      <c r="CU1" s="116">
        <f t="shared" si="2"/>
        <v>46284</v>
      </c>
      <c r="CV1" s="116">
        <f t="shared" si="2"/>
        <v>46285</v>
      </c>
      <c r="CW1" s="116">
        <f t="shared" si="2"/>
        <v>46286</v>
      </c>
      <c r="CX1" s="116">
        <f t="shared" si="2"/>
        <v>46287</v>
      </c>
      <c r="CY1" s="116">
        <f t="shared" si="2"/>
        <v>46288</v>
      </c>
      <c r="CZ1" s="116">
        <f t="shared" si="2"/>
        <v>46289</v>
      </c>
      <c r="DA1" s="116">
        <f t="shared" si="2"/>
        <v>46290</v>
      </c>
      <c r="DB1" s="116">
        <f t="shared" si="2"/>
        <v>46291</v>
      </c>
      <c r="DC1" s="116">
        <f t="shared" si="2"/>
        <v>46292</v>
      </c>
      <c r="DD1" s="116">
        <f t="shared" si="2"/>
        <v>46293</v>
      </c>
      <c r="DE1" s="116">
        <f t="shared" si="2"/>
        <v>46294</v>
      </c>
      <c r="DF1" s="116">
        <f t="shared" si="2"/>
        <v>46295</v>
      </c>
      <c r="DG1" s="116">
        <f t="shared" si="2"/>
        <v>46296</v>
      </c>
      <c r="DH1" s="116">
        <f t="shared" si="2"/>
        <v>46297</v>
      </c>
      <c r="DI1" s="116">
        <f t="shared" si="2"/>
        <v>46298</v>
      </c>
      <c r="DJ1" s="116">
        <f t="shared" si="2"/>
        <v>46299</v>
      </c>
      <c r="DK1" s="116">
        <f t="shared" si="2"/>
        <v>46300</v>
      </c>
      <c r="DL1" s="116">
        <f t="shared" si="2"/>
        <v>46301</v>
      </c>
      <c r="DM1" s="116">
        <f t="shared" si="2"/>
        <v>46302</v>
      </c>
      <c r="DN1" s="116">
        <f t="shared" si="2"/>
        <v>46303</v>
      </c>
      <c r="DO1" s="116">
        <f t="shared" ref="DO1:EL1" si="3">DN1+1</f>
        <v>46304</v>
      </c>
      <c r="DP1" s="116">
        <f t="shared" si="3"/>
        <v>46305</v>
      </c>
      <c r="DQ1" s="116">
        <f t="shared" si="3"/>
        <v>46306</v>
      </c>
      <c r="DR1" s="116">
        <f t="shared" si="3"/>
        <v>46307</v>
      </c>
      <c r="DS1" s="116">
        <f t="shared" si="3"/>
        <v>46308</v>
      </c>
      <c r="DT1" s="116">
        <f t="shared" si="3"/>
        <v>46309</v>
      </c>
      <c r="DU1" s="116">
        <f t="shared" si="3"/>
        <v>46310</v>
      </c>
      <c r="DV1" s="116">
        <f t="shared" si="3"/>
        <v>46311</v>
      </c>
      <c r="DW1" s="116">
        <f t="shared" si="3"/>
        <v>46312</v>
      </c>
      <c r="DX1" s="116">
        <f t="shared" si="3"/>
        <v>46313</v>
      </c>
      <c r="DY1" s="116">
        <f t="shared" si="3"/>
        <v>46314</v>
      </c>
      <c r="DZ1" s="116">
        <f t="shared" si="3"/>
        <v>46315</v>
      </c>
      <c r="EA1" s="116">
        <f t="shared" si="3"/>
        <v>46316</v>
      </c>
      <c r="EB1" s="116">
        <f t="shared" si="3"/>
        <v>46317</v>
      </c>
      <c r="EC1" s="116">
        <f t="shared" si="3"/>
        <v>46318</v>
      </c>
      <c r="ED1" s="116">
        <f t="shared" si="3"/>
        <v>46319</v>
      </c>
      <c r="EE1" s="116">
        <f t="shared" si="3"/>
        <v>46320</v>
      </c>
      <c r="EF1" s="116">
        <f t="shared" si="3"/>
        <v>46321</v>
      </c>
      <c r="EG1" s="116">
        <f t="shared" si="3"/>
        <v>46322</v>
      </c>
      <c r="EH1" s="116">
        <f t="shared" si="3"/>
        <v>46323</v>
      </c>
      <c r="EI1" s="116">
        <f t="shared" si="3"/>
        <v>46324</v>
      </c>
      <c r="EJ1" s="116">
        <f t="shared" si="3"/>
        <v>46325</v>
      </c>
      <c r="EK1" s="116">
        <f t="shared" si="3"/>
        <v>46326</v>
      </c>
      <c r="EL1" s="116">
        <f t="shared" si="3"/>
        <v>46327</v>
      </c>
      <c r="EM1" s="118" t="s">
        <v>61</v>
      </c>
      <c r="EN1" s="118" t="s">
        <v>62</v>
      </c>
      <c r="EO1" s="118"/>
      <c r="EP1" s="118"/>
      <c r="EQ1" s="118"/>
      <c r="ER1" s="118"/>
      <c r="ES1" s="118"/>
      <c r="ET1" s="118"/>
      <c r="EU1" s="118"/>
      <c r="EV1" s="118"/>
      <c r="EW1" s="118"/>
      <c r="EX1" s="118"/>
      <c r="EY1" s="118"/>
      <c r="EZ1" s="118"/>
      <c r="FA1" s="118"/>
      <c r="FB1" s="118"/>
      <c r="FC1" s="118"/>
      <c r="FD1" s="118"/>
      <c r="FE1" s="118"/>
      <c r="FF1" s="118"/>
      <c r="FG1" s="118"/>
      <c r="FH1" s="118"/>
      <c r="FI1" s="118"/>
      <c r="FJ1" s="118"/>
      <c r="FK1" s="118"/>
      <c r="FL1" s="118"/>
      <c r="FM1" s="118"/>
      <c r="FN1" s="118"/>
      <c r="FO1" s="118"/>
      <c r="FP1" s="118"/>
      <c r="FQ1" s="118"/>
      <c r="FR1" s="118"/>
      <c r="FS1" s="118"/>
      <c r="FT1" s="118"/>
      <c r="FU1" s="118"/>
      <c r="FV1" s="118"/>
      <c r="FW1" s="118"/>
      <c r="FX1" s="118"/>
      <c r="FY1" s="118"/>
      <c r="FZ1" s="118"/>
      <c r="GA1" s="118"/>
      <c r="GB1" s="118"/>
      <c r="GC1" s="118"/>
      <c r="GD1" s="118"/>
      <c r="GE1" s="118"/>
      <c r="GF1" s="118"/>
      <c r="GG1" s="118"/>
      <c r="GH1" s="118"/>
      <c r="GI1" s="118"/>
      <c r="GJ1" s="118"/>
      <c r="GK1" s="118"/>
      <c r="GL1" s="118"/>
      <c r="GM1" s="118"/>
      <c r="GN1" s="118"/>
      <c r="GO1" s="118"/>
      <c r="GP1" s="118"/>
      <c r="GQ1" s="118">
        <v>46382</v>
      </c>
      <c r="GR1" s="118">
        <v>46383</v>
      </c>
      <c r="GS1" s="118">
        <v>46384</v>
      </c>
      <c r="GT1" s="118">
        <v>46385</v>
      </c>
      <c r="GU1" s="118">
        <v>46386</v>
      </c>
      <c r="GV1" s="118">
        <v>46387</v>
      </c>
    </row>
    <row r="2" spans="1:204">
      <c r="A2" s="466" t="s">
        <v>71</v>
      </c>
      <c r="B2" s="465" t="str">
        <f>'BESS 11'!F5</f>
        <v>22 Jul
28 Jul</v>
      </c>
      <c r="C2" s="467" t="str">
        <f>'BESS 11'!G5</f>
        <v>27 Jul
02 Aug</v>
      </c>
      <c r="D2" s="467" t="str">
        <f>'BESS 11'!H5</f>
        <v>30 Jul
05 Aug</v>
      </c>
      <c r="E2" s="109" t="s">
        <v>64</v>
      </c>
      <c r="F2" s="102">
        <f>SUM('BESS 11'!S18:S25,'BESS 11'!S27)</f>
        <v>0</v>
      </c>
      <c r="G2" s="101">
        <f>MAX('BESS 11'!O18:O25,'BESS 11'!O27)-MIN('BESS 11'!O19:O25,'BESS 11'!O27)+1</f>
        <v>1</v>
      </c>
      <c r="H2" s="110">
        <f>MAX('BESS 11'!O18:O25,'BESS 11'!O27)</f>
        <v>0</v>
      </c>
      <c r="I2" s="110">
        <f>MIN('BESS 11'!O19:O25,'BESS 11'!O27)</f>
        <v>0</v>
      </c>
      <c r="J2" s="101" t="str">
        <f t="shared" ref="J2:S5" si="4">IF(AND(J$1&gt;=$I2,J$1&lt;($I2+$G2)),ROUND($F2/$G2,0),"-")</f>
        <v>-</v>
      </c>
      <c r="K2" s="101" t="str">
        <f t="shared" si="4"/>
        <v>-</v>
      </c>
      <c r="L2" s="101" t="str">
        <f t="shared" si="4"/>
        <v>-</v>
      </c>
      <c r="M2" s="101" t="str">
        <f t="shared" si="4"/>
        <v>-</v>
      </c>
      <c r="N2" s="101" t="str">
        <f t="shared" si="4"/>
        <v>-</v>
      </c>
      <c r="O2" s="101" t="str">
        <f t="shared" si="4"/>
        <v>-</v>
      </c>
      <c r="P2" s="101" t="str">
        <f t="shared" si="4"/>
        <v>-</v>
      </c>
      <c r="Q2" s="101" t="str">
        <f t="shared" si="4"/>
        <v>-</v>
      </c>
      <c r="R2" s="101" t="str">
        <f t="shared" si="4"/>
        <v>-</v>
      </c>
      <c r="S2" s="101" t="str">
        <f t="shared" si="4"/>
        <v>-</v>
      </c>
      <c r="T2" s="101" t="str">
        <f t="shared" ref="T2:AC5" si="5">IF(AND(T$1&gt;=$I2,T$1&lt;($I2+$G2)),ROUND($F2/$G2,0),"-")</f>
        <v>-</v>
      </c>
      <c r="U2" s="101" t="str">
        <f t="shared" si="5"/>
        <v>-</v>
      </c>
      <c r="V2" s="101" t="str">
        <f t="shared" si="5"/>
        <v>-</v>
      </c>
      <c r="W2" s="101" t="str">
        <f t="shared" si="5"/>
        <v>-</v>
      </c>
      <c r="X2" s="101" t="str">
        <f t="shared" si="5"/>
        <v>-</v>
      </c>
      <c r="Y2" s="101" t="str">
        <f t="shared" si="5"/>
        <v>-</v>
      </c>
      <c r="Z2" s="101" t="str">
        <f t="shared" si="5"/>
        <v>-</v>
      </c>
      <c r="AA2" s="101" t="str">
        <f t="shared" si="5"/>
        <v>-</v>
      </c>
      <c r="AB2" s="101" t="str">
        <f t="shared" si="5"/>
        <v>-</v>
      </c>
      <c r="AC2" s="101" t="str">
        <f t="shared" si="5"/>
        <v>-</v>
      </c>
      <c r="AD2" s="101" t="str">
        <f t="shared" ref="AD2:AM5" si="6">IF(AND(AD$1&gt;=$I2,AD$1&lt;($I2+$G2)),ROUND($F2/$G2,0),"-")</f>
        <v>-</v>
      </c>
      <c r="AE2" s="101" t="str">
        <f t="shared" si="6"/>
        <v>-</v>
      </c>
      <c r="AF2" s="101" t="str">
        <f t="shared" si="6"/>
        <v>-</v>
      </c>
      <c r="AG2" s="101" t="str">
        <f t="shared" si="6"/>
        <v>-</v>
      </c>
      <c r="AH2" s="101" t="str">
        <f t="shared" si="6"/>
        <v>-</v>
      </c>
      <c r="AI2" s="101" t="str">
        <f t="shared" si="6"/>
        <v>-</v>
      </c>
      <c r="AJ2" s="101" t="str">
        <f t="shared" si="6"/>
        <v>-</v>
      </c>
      <c r="AK2" s="101" t="str">
        <f t="shared" si="6"/>
        <v>-</v>
      </c>
      <c r="AL2" s="101" t="str">
        <f t="shared" si="6"/>
        <v>-</v>
      </c>
      <c r="AM2" s="101" t="str">
        <f t="shared" si="6"/>
        <v>-</v>
      </c>
      <c r="AN2" s="101" t="str">
        <f t="shared" ref="AN2:AW5" si="7">IF(AND(AN$1&gt;=$I2,AN$1&lt;($I2+$G2)),ROUND($F2/$G2,0),"-")</f>
        <v>-</v>
      </c>
      <c r="AO2" s="101" t="str">
        <f t="shared" si="7"/>
        <v>-</v>
      </c>
      <c r="AP2" s="101" t="str">
        <f t="shared" si="7"/>
        <v>-</v>
      </c>
      <c r="AQ2" s="101" t="str">
        <f t="shared" si="7"/>
        <v>-</v>
      </c>
      <c r="AR2" s="101" t="str">
        <f t="shared" si="7"/>
        <v>-</v>
      </c>
      <c r="AS2" s="101" t="str">
        <f t="shared" si="7"/>
        <v>-</v>
      </c>
      <c r="AT2" s="101" t="str">
        <f t="shared" si="7"/>
        <v>-</v>
      </c>
      <c r="AU2" s="101" t="str">
        <f t="shared" si="7"/>
        <v>-</v>
      </c>
      <c r="AV2" s="101" t="str">
        <f t="shared" si="7"/>
        <v>-</v>
      </c>
      <c r="AW2" s="101" t="str">
        <f t="shared" si="7"/>
        <v>-</v>
      </c>
      <c r="AX2" s="101" t="str">
        <f t="shared" ref="AX2:BG5" si="8">IF(AND(AX$1&gt;=$I2,AX$1&lt;($I2+$G2)),ROUND($F2/$G2,0),"-")</f>
        <v>-</v>
      </c>
      <c r="AY2" s="101" t="str">
        <f t="shared" si="8"/>
        <v>-</v>
      </c>
      <c r="AZ2" s="101" t="str">
        <f t="shared" si="8"/>
        <v>-</v>
      </c>
      <c r="BA2" s="101" t="str">
        <f t="shared" si="8"/>
        <v>-</v>
      </c>
      <c r="BB2" s="101" t="str">
        <f t="shared" si="8"/>
        <v>-</v>
      </c>
      <c r="BC2" s="101" t="str">
        <f t="shared" si="8"/>
        <v>-</v>
      </c>
      <c r="BD2" s="101" t="str">
        <f t="shared" si="8"/>
        <v>-</v>
      </c>
      <c r="BE2" s="101" t="str">
        <f t="shared" si="8"/>
        <v>-</v>
      </c>
      <c r="BF2" s="101" t="str">
        <f t="shared" si="8"/>
        <v>-</v>
      </c>
      <c r="BG2" s="101" t="str">
        <f t="shared" si="8"/>
        <v>-</v>
      </c>
      <c r="BH2" s="101" t="str">
        <f t="shared" ref="BH2:BQ5" si="9">IF(AND(BH$1&gt;=$I2,BH$1&lt;($I2+$G2)),ROUND($F2/$G2,0),"-")</f>
        <v>-</v>
      </c>
      <c r="BI2" s="101" t="str">
        <f t="shared" si="9"/>
        <v>-</v>
      </c>
      <c r="BJ2" s="101" t="str">
        <f t="shared" si="9"/>
        <v>-</v>
      </c>
      <c r="BK2" s="101" t="str">
        <f t="shared" si="9"/>
        <v>-</v>
      </c>
      <c r="BL2" s="101" t="str">
        <f t="shared" si="9"/>
        <v>-</v>
      </c>
      <c r="BM2" s="101" t="str">
        <f t="shared" si="9"/>
        <v>-</v>
      </c>
      <c r="BN2" s="101" t="str">
        <f t="shared" si="9"/>
        <v>-</v>
      </c>
      <c r="BO2" s="101" t="str">
        <f t="shared" si="9"/>
        <v>-</v>
      </c>
      <c r="BP2" s="101" t="str">
        <f t="shared" si="9"/>
        <v>-</v>
      </c>
      <c r="BQ2" s="101" t="str">
        <f t="shared" si="9"/>
        <v>-</v>
      </c>
      <c r="BR2" s="101" t="str">
        <f t="shared" ref="BR2:CA5" si="10">IF(AND(BR$1&gt;=$I2,BR$1&lt;($I2+$G2)),ROUND($F2/$G2,0),"-")</f>
        <v>-</v>
      </c>
      <c r="BS2" s="101" t="str">
        <f t="shared" si="10"/>
        <v>-</v>
      </c>
      <c r="BT2" s="101" t="str">
        <f t="shared" si="10"/>
        <v>-</v>
      </c>
      <c r="BU2" s="101" t="str">
        <f t="shared" si="10"/>
        <v>-</v>
      </c>
      <c r="BV2" s="101" t="str">
        <f t="shared" si="10"/>
        <v>-</v>
      </c>
      <c r="BW2" s="101" t="str">
        <f t="shared" si="10"/>
        <v>-</v>
      </c>
      <c r="BX2" s="101" t="str">
        <f t="shared" si="10"/>
        <v>-</v>
      </c>
      <c r="BY2" s="101" t="str">
        <f t="shared" si="10"/>
        <v>-</v>
      </c>
      <c r="BZ2" s="101" t="str">
        <f t="shared" si="10"/>
        <v>-</v>
      </c>
      <c r="CA2" s="101" t="str">
        <f t="shared" si="10"/>
        <v>-</v>
      </c>
      <c r="CB2" s="101" t="str">
        <f t="shared" ref="CB2:CK5" si="11">IF(AND(CB$1&gt;=$I2,CB$1&lt;($I2+$G2)),ROUND($F2/$G2,0),"-")</f>
        <v>-</v>
      </c>
      <c r="CC2" s="101" t="str">
        <f t="shared" si="11"/>
        <v>-</v>
      </c>
      <c r="CD2" s="101" t="str">
        <f t="shared" si="11"/>
        <v>-</v>
      </c>
      <c r="CE2" s="101" t="str">
        <f t="shared" si="11"/>
        <v>-</v>
      </c>
      <c r="CF2" s="101" t="str">
        <f t="shared" si="11"/>
        <v>-</v>
      </c>
      <c r="CG2" s="101" t="str">
        <f t="shared" si="11"/>
        <v>-</v>
      </c>
      <c r="CH2" s="101" t="str">
        <f t="shared" si="11"/>
        <v>-</v>
      </c>
      <c r="CI2" s="101" t="str">
        <f t="shared" si="11"/>
        <v>-</v>
      </c>
      <c r="CJ2" s="101" t="str">
        <f t="shared" si="11"/>
        <v>-</v>
      </c>
      <c r="CK2" s="101" t="str">
        <f t="shared" si="11"/>
        <v>-</v>
      </c>
      <c r="CL2" s="101" t="str">
        <f t="shared" ref="CL2:CU5" si="12">IF(AND(CL$1&gt;=$I2,CL$1&lt;($I2+$G2)),ROUND($F2/$G2,0),"-")</f>
        <v>-</v>
      </c>
      <c r="CM2" s="101" t="str">
        <f t="shared" si="12"/>
        <v>-</v>
      </c>
      <c r="CN2" s="101" t="str">
        <f t="shared" si="12"/>
        <v>-</v>
      </c>
      <c r="CO2" s="101" t="str">
        <f t="shared" si="12"/>
        <v>-</v>
      </c>
      <c r="CP2" s="101" t="str">
        <f t="shared" si="12"/>
        <v>-</v>
      </c>
      <c r="CQ2" s="101" t="str">
        <f t="shared" si="12"/>
        <v>-</v>
      </c>
      <c r="CR2" s="101" t="str">
        <f t="shared" si="12"/>
        <v>-</v>
      </c>
      <c r="CS2" s="101" t="str">
        <f t="shared" si="12"/>
        <v>-</v>
      </c>
      <c r="CT2" s="101" t="str">
        <f t="shared" si="12"/>
        <v>-</v>
      </c>
      <c r="CU2" s="101" t="str">
        <f t="shared" si="12"/>
        <v>-</v>
      </c>
      <c r="CV2" s="101" t="str">
        <f t="shared" ref="CV2:DE5" si="13">IF(AND(CV$1&gt;=$I2,CV$1&lt;($I2+$G2)),ROUND($F2/$G2,0),"-")</f>
        <v>-</v>
      </c>
      <c r="CW2" s="101" t="str">
        <f t="shared" si="13"/>
        <v>-</v>
      </c>
      <c r="CX2" s="101" t="str">
        <f t="shared" si="13"/>
        <v>-</v>
      </c>
      <c r="CY2" s="101" t="str">
        <f t="shared" si="13"/>
        <v>-</v>
      </c>
      <c r="CZ2" s="101" t="str">
        <f t="shared" si="13"/>
        <v>-</v>
      </c>
      <c r="DA2" s="101" t="str">
        <f t="shared" si="13"/>
        <v>-</v>
      </c>
      <c r="DB2" s="101" t="str">
        <f t="shared" si="13"/>
        <v>-</v>
      </c>
      <c r="DC2" s="101" t="str">
        <f t="shared" si="13"/>
        <v>-</v>
      </c>
      <c r="DD2" s="101" t="str">
        <f t="shared" si="13"/>
        <v>-</v>
      </c>
      <c r="DE2" s="101" t="str">
        <f t="shared" si="13"/>
        <v>-</v>
      </c>
      <c r="DF2" s="101" t="str">
        <f t="shared" ref="DF2:DO5" si="14">IF(AND(DF$1&gt;=$I2,DF$1&lt;($I2+$G2)),ROUND($F2/$G2,0),"-")</f>
        <v>-</v>
      </c>
      <c r="DG2" s="101" t="str">
        <f t="shared" si="14"/>
        <v>-</v>
      </c>
      <c r="DH2" s="101" t="str">
        <f t="shared" si="14"/>
        <v>-</v>
      </c>
      <c r="DI2" s="101" t="str">
        <f t="shared" si="14"/>
        <v>-</v>
      </c>
      <c r="DJ2" s="101" t="str">
        <f t="shared" si="14"/>
        <v>-</v>
      </c>
      <c r="DK2" s="101" t="str">
        <f t="shared" si="14"/>
        <v>-</v>
      </c>
      <c r="DL2" s="101" t="str">
        <f t="shared" si="14"/>
        <v>-</v>
      </c>
      <c r="DM2" s="101" t="str">
        <f t="shared" si="14"/>
        <v>-</v>
      </c>
      <c r="DN2" s="101" t="str">
        <f t="shared" si="14"/>
        <v>-</v>
      </c>
      <c r="DO2" s="101" t="str">
        <f t="shared" si="14"/>
        <v>-</v>
      </c>
      <c r="DP2" s="101" t="str">
        <f t="shared" ref="DP2:DY5" si="15">IF(AND(DP$1&gt;=$I2,DP$1&lt;($I2+$G2)),ROUND($F2/$G2,0),"-")</f>
        <v>-</v>
      </c>
      <c r="DQ2" s="101" t="str">
        <f t="shared" si="15"/>
        <v>-</v>
      </c>
      <c r="DR2" s="101" t="str">
        <f t="shared" si="15"/>
        <v>-</v>
      </c>
      <c r="DS2" s="101" t="str">
        <f t="shared" si="15"/>
        <v>-</v>
      </c>
      <c r="DT2" s="101" t="str">
        <f t="shared" si="15"/>
        <v>-</v>
      </c>
      <c r="DU2" s="101" t="str">
        <f t="shared" si="15"/>
        <v>-</v>
      </c>
      <c r="DV2" s="101" t="str">
        <f t="shared" si="15"/>
        <v>-</v>
      </c>
      <c r="DW2" s="101" t="str">
        <f t="shared" si="15"/>
        <v>-</v>
      </c>
      <c r="DX2" s="101" t="str">
        <f t="shared" si="15"/>
        <v>-</v>
      </c>
      <c r="DY2" s="101" t="str">
        <f t="shared" si="15"/>
        <v>-</v>
      </c>
      <c r="DZ2" s="101" t="str">
        <f t="shared" ref="DZ2:EL5" si="16">IF(AND(DZ$1&gt;=$I2,DZ$1&lt;($I2+$G2)),ROUND($F2/$G2,0),"-")</f>
        <v>-</v>
      </c>
      <c r="EA2" s="101" t="str">
        <f t="shared" si="16"/>
        <v>-</v>
      </c>
      <c r="EB2" s="101" t="str">
        <f t="shared" si="16"/>
        <v>-</v>
      </c>
      <c r="EC2" s="101" t="str">
        <f t="shared" si="16"/>
        <v>-</v>
      </c>
      <c r="ED2" s="101" t="str">
        <f t="shared" si="16"/>
        <v>-</v>
      </c>
      <c r="EE2" s="101" t="str">
        <f t="shared" si="16"/>
        <v>-</v>
      </c>
      <c r="EF2" s="101" t="str">
        <f t="shared" si="16"/>
        <v>-</v>
      </c>
      <c r="EG2" s="101" t="str">
        <f t="shared" si="16"/>
        <v>-</v>
      </c>
      <c r="EH2" s="101" t="str">
        <f t="shared" si="16"/>
        <v>-</v>
      </c>
      <c r="EI2" s="101" t="str">
        <f t="shared" si="16"/>
        <v>-</v>
      </c>
      <c r="EJ2" s="101" t="str">
        <f t="shared" si="16"/>
        <v>-</v>
      </c>
      <c r="EK2" s="101" t="str">
        <f t="shared" si="16"/>
        <v>-</v>
      </c>
      <c r="EL2" s="101" t="str">
        <f t="shared" si="16"/>
        <v>-</v>
      </c>
    </row>
    <row r="3" spans="1:204">
      <c r="A3" s="466"/>
      <c r="B3" s="466"/>
      <c r="C3" s="466"/>
      <c r="D3" s="466"/>
      <c r="E3" s="109" t="s">
        <v>65</v>
      </c>
      <c r="F3" s="102">
        <f>'BESS 11'!S28+'BESS 11'!S30+'BESS 11'!S31+'BESS 11'!S34+'BESS 11'!S35+'BESS 11'!S36</f>
        <v>0</v>
      </c>
      <c r="G3" s="101">
        <f>MAX('BESS 11'!O28,'BESS 11'!O30,'BESS 11'!O31,'BESS 11'!O34,'BESS 11'!O35,'BESS 11'!O36)-MIN('BESS 11'!O28,'BESS 11'!O30,'BESS 11'!O31,'BESS 11'!O34,'BESS 11'!O35,'BESS 11'!O36)+1</f>
        <v>1</v>
      </c>
      <c r="H3" s="110">
        <f>MAX('BESS 11'!O28,'BESS 11'!O30,'BESS 11'!O31,'BESS 11'!O34,'BESS 11'!O35,'BESS 11'!O36)</f>
        <v>0</v>
      </c>
      <c r="I3" s="110">
        <f>MIN('BESS 11'!O28,'BESS 11'!O30,'BESS 11'!O31,'BESS 11'!O34,'BESS 11'!O35,'BESS 11'!O36)</f>
        <v>0</v>
      </c>
      <c r="J3" s="101" t="str">
        <f t="shared" si="4"/>
        <v>-</v>
      </c>
      <c r="K3" s="101" t="str">
        <f t="shared" si="4"/>
        <v>-</v>
      </c>
      <c r="L3" s="101" t="str">
        <f t="shared" si="4"/>
        <v>-</v>
      </c>
      <c r="M3" s="101" t="str">
        <f t="shared" si="4"/>
        <v>-</v>
      </c>
      <c r="N3" s="101" t="str">
        <f t="shared" si="4"/>
        <v>-</v>
      </c>
      <c r="O3" s="101" t="str">
        <f t="shared" si="4"/>
        <v>-</v>
      </c>
      <c r="P3" s="101" t="str">
        <f t="shared" si="4"/>
        <v>-</v>
      </c>
      <c r="Q3" s="101" t="str">
        <f t="shared" si="4"/>
        <v>-</v>
      </c>
      <c r="R3" s="101" t="str">
        <f t="shared" si="4"/>
        <v>-</v>
      </c>
      <c r="S3" s="101" t="str">
        <f t="shared" si="4"/>
        <v>-</v>
      </c>
      <c r="T3" s="101" t="str">
        <f t="shared" si="5"/>
        <v>-</v>
      </c>
      <c r="U3" s="101" t="str">
        <f t="shared" si="5"/>
        <v>-</v>
      </c>
      <c r="V3" s="101" t="str">
        <f t="shared" si="5"/>
        <v>-</v>
      </c>
      <c r="W3" s="101" t="str">
        <f t="shared" si="5"/>
        <v>-</v>
      </c>
      <c r="X3" s="101" t="str">
        <f t="shared" si="5"/>
        <v>-</v>
      </c>
      <c r="Y3" s="101" t="str">
        <f t="shared" si="5"/>
        <v>-</v>
      </c>
      <c r="Z3" s="101" t="str">
        <f t="shared" si="5"/>
        <v>-</v>
      </c>
      <c r="AA3" s="101" t="str">
        <f t="shared" si="5"/>
        <v>-</v>
      </c>
      <c r="AB3" s="101" t="str">
        <f t="shared" si="5"/>
        <v>-</v>
      </c>
      <c r="AC3" s="101" t="str">
        <f t="shared" si="5"/>
        <v>-</v>
      </c>
      <c r="AD3" s="101" t="str">
        <f t="shared" si="6"/>
        <v>-</v>
      </c>
      <c r="AE3" s="101" t="str">
        <f t="shared" si="6"/>
        <v>-</v>
      </c>
      <c r="AF3" s="101" t="str">
        <f t="shared" si="6"/>
        <v>-</v>
      </c>
      <c r="AG3" s="101" t="str">
        <f t="shared" si="6"/>
        <v>-</v>
      </c>
      <c r="AH3" s="101" t="str">
        <f t="shared" si="6"/>
        <v>-</v>
      </c>
      <c r="AI3" s="101" t="str">
        <f t="shared" si="6"/>
        <v>-</v>
      </c>
      <c r="AJ3" s="101" t="str">
        <f t="shared" si="6"/>
        <v>-</v>
      </c>
      <c r="AK3" s="101" t="str">
        <f t="shared" si="6"/>
        <v>-</v>
      </c>
      <c r="AL3" s="101" t="str">
        <f t="shared" si="6"/>
        <v>-</v>
      </c>
      <c r="AM3" s="101" t="str">
        <f t="shared" si="6"/>
        <v>-</v>
      </c>
      <c r="AN3" s="101" t="str">
        <f t="shared" si="7"/>
        <v>-</v>
      </c>
      <c r="AO3" s="101" t="str">
        <f t="shared" si="7"/>
        <v>-</v>
      </c>
      <c r="AP3" s="101" t="str">
        <f t="shared" si="7"/>
        <v>-</v>
      </c>
      <c r="AQ3" s="101" t="str">
        <f t="shared" si="7"/>
        <v>-</v>
      </c>
      <c r="AR3" s="101" t="str">
        <f t="shared" si="7"/>
        <v>-</v>
      </c>
      <c r="AS3" s="101" t="str">
        <f t="shared" si="7"/>
        <v>-</v>
      </c>
      <c r="AT3" s="101" t="str">
        <f t="shared" si="7"/>
        <v>-</v>
      </c>
      <c r="AU3" s="101" t="str">
        <f t="shared" si="7"/>
        <v>-</v>
      </c>
      <c r="AV3" s="101" t="str">
        <f t="shared" si="7"/>
        <v>-</v>
      </c>
      <c r="AW3" s="101" t="str">
        <f t="shared" si="7"/>
        <v>-</v>
      </c>
      <c r="AX3" s="101" t="str">
        <f t="shared" si="8"/>
        <v>-</v>
      </c>
      <c r="AY3" s="101" t="str">
        <f t="shared" si="8"/>
        <v>-</v>
      </c>
      <c r="AZ3" s="101" t="str">
        <f t="shared" si="8"/>
        <v>-</v>
      </c>
      <c r="BA3" s="101" t="str">
        <f t="shared" si="8"/>
        <v>-</v>
      </c>
      <c r="BB3" s="101" t="str">
        <f t="shared" si="8"/>
        <v>-</v>
      </c>
      <c r="BC3" s="101" t="str">
        <f t="shared" si="8"/>
        <v>-</v>
      </c>
      <c r="BD3" s="101" t="str">
        <f t="shared" si="8"/>
        <v>-</v>
      </c>
      <c r="BE3" s="101" t="str">
        <f t="shared" si="8"/>
        <v>-</v>
      </c>
      <c r="BF3" s="101" t="str">
        <f t="shared" si="8"/>
        <v>-</v>
      </c>
      <c r="BG3" s="101" t="str">
        <f t="shared" si="8"/>
        <v>-</v>
      </c>
      <c r="BH3" s="101" t="str">
        <f t="shared" si="9"/>
        <v>-</v>
      </c>
      <c r="BI3" s="101" t="str">
        <f t="shared" si="9"/>
        <v>-</v>
      </c>
      <c r="BJ3" s="101" t="str">
        <f t="shared" si="9"/>
        <v>-</v>
      </c>
      <c r="BK3" s="101" t="str">
        <f t="shared" si="9"/>
        <v>-</v>
      </c>
      <c r="BL3" s="101" t="str">
        <f t="shared" si="9"/>
        <v>-</v>
      </c>
      <c r="BM3" s="101" t="str">
        <f t="shared" si="9"/>
        <v>-</v>
      </c>
      <c r="BN3" s="101" t="str">
        <f t="shared" si="9"/>
        <v>-</v>
      </c>
      <c r="BO3" s="101" t="str">
        <f t="shared" si="9"/>
        <v>-</v>
      </c>
      <c r="BP3" s="101" t="str">
        <f t="shared" si="9"/>
        <v>-</v>
      </c>
      <c r="BQ3" s="101" t="str">
        <f t="shared" si="9"/>
        <v>-</v>
      </c>
      <c r="BR3" s="101" t="str">
        <f t="shared" si="10"/>
        <v>-</v>
      </c>
      <c r="BS3" s="101" t="str">
        <f t="shared" si="10"/>
        <v>-</v>
      </c>
      <c r="BT3" s="101" t="str">
        <f t="shared" si="10"/>
        <v>-</v>
      </c>
      <c r="BU3" s="101" t="str">
        <f t="shared" si="10"/>
        <v>-</v>
      </c>
      <c r="BV3" s="101" t="str">
        <f t="shared" si="10"/>
        <v>-</v>
      </c>
      <c r="BW3" s="101" t="str">
        <f t="shared" si="10"/>
        <v>-</v>
      </c>
      <c r="BX3" s="101" t="str">
        <f t="shared" si="10"/>
        <v>-</v>
      </c>
      <c r="BY3" s="101" t="str">
        <f t="shared" si="10"/>
        <v>-</v>
      </c>
      <c r="BZ3" s="101" t="str">
        <f t="shared" si="10"/>
        <v>-</v>
      </c>
      <c r="CA3" s="101" t="str">
        <f t="shared" si="10"/>
        <v>-</v>
      </c>
      <c r="CB3" s="101" t="str">
        <f t="shared" si="11"/>
        <v>-</v>
      </c>
      <c r="CC3" s="101" t="str">
        <f t="shared" si="11"/>
        <v>-</v>
      </c>
      <c r="CD3" s="101" t="str">
        <f t="shared" si="11"/>
        <v>-</v>
      </c>
      <c r="CE3" s="101" t="str">
        <f t="shared" si="11"/>
        <v>-</v>
      </c>
      <c r="CF3" s="101" t="str">
        <f t="shared" si="11"/>
        <v>-</v>
      </c>
      <c r="CG3" s="101" t="str">
        <f t="shared" si="11"/>
        <v>-</v>
      </c>
      <c r="CH3" s="101" t="str">
        <f t="shared" si="11"/>
        <v>-</v>
      </c>
      <c r="CI3" s="101" t="str">
        <f t="shared" si="11"/>
        <v>-</v>
      </c>
      <c r="CJ3" s="101" t="str">
        <f t="shared" si="11"/>
        <v>-</v>
      </c>
      <c r="CK3" s="101" t="str">
        <f t="shared" si="11"/>
        <v>-</v>
      </c>
      <c r="CL3" s="101" t="str">
        <f t="shared" si="12"/>
        <v>-</v>
      </c>
      <c r="CM3" s="101" t="str">
        <f t="shared" si="12"/>
        <v>-</v>
      </c>
      <c r="CN3" s="101" t="str">
        <f t="shared" si="12"/>
        <v>-</v>
      </c>
      <c r="CO3" s="101" t="str">
        <f t="shared" si="12"/>
        <v>-</v>
      </c>
      <c r="CP3" s="101" t="str">
        <f t="shared" si="12"/>
        <v>-</v>
      </c>
      <c r="CQ3" s="101" t="str">
        <f t="shared" si="12"/>
        <v>-</v>
      </c>
      <c r="CR3" s="101" t="str">
        <f t="shared" si="12"/>
        <v>-</v>
      </c>
      <c r="CS3" s="101" t="str">
        <f t="shared" si="12"/>
        <v>-</v>
      </c>
      <c r="CT3" s="101" t="str">
        <f t="shared" si="12"/>
        <v>-</v>
      </c>
      <c r="CU3" s="101" t="str">
        <f t="shared" si="12"/>
        <v>-</v>
      </c>
      <c r="CV3" s="101" t="str">
        <f t="shared" si="13"/>
        <v>-</v>
      </c>
      <c r="CW3" s="101" t="str">
        <f t="shared" si="13"/>
        <v>-</v>
      </c>
      <c r="CX3" s="101" t="str">
        <f t="shared" si="13"/>
        <v>-</v>
      </c>
      <c r="CY3" s="101" t="str">
        <f t="shared" si="13"/>
        <v>-</v>
      </c>
      <c r="CZ3" s="101" t="str">
        <f t="shared" si="13"/>
        <v>-</v>
      </c>
      <c r="DA3" s="101" t="str">
        <f t="shared" si="13"/>
        <v>-</v>
      </c>
      <c r="DB3" s="101" t="str">
        <f t="shared" si="13"/>
        <v>-</v>
      </c>
      <c r="DC3" s="101" t="str">
        <f t="shared" si="13"/>
        <v>-</v>
      </c>
      <c r="DD3" s="101" t="str">
        <f t="shared" si="13"/>
        <v>-</v>
      </c>
      <c r="DE3" s="101" t="str">
        <f t="shared" si="13"/>
        <v>-</v>
      </c>
      <c r="DF3" s="101" t="str">
        <f t="shared" si="14"/>
        <v>-</v>
      </c>
      <c r="DG3" s="101" t="str">
        <f t="shared" si="14"/>
        <v>-</v>
      </c>
      <c r="DH3" s="101" t="str">
        <f t="shared" si="14"/>
        <v>-</v>
      </c>
      <c r="DI3" s="101" t="str">
        <f t="shared" si="14"/>
        <v>-</v>
      </c>
      <c r="DJ3" s="101" t="str">
        <f t="shared" si="14"/>
        <v>-</v>
      </c>
      <c r="DK3" s="101" t="str">
        <f t="shared" si="14"/>
        <v>-</v>
      </c>
      <c r="DL3" s="101" t="str">
        <f t="shared" si="14"/>
        <v>-</v>
      </c>
      <c r="DM3" s="101" t="str">
        <f t="shared" si="14"/>
        <v>-</v>
      </c>
      <c r="DN3" s="101" t="str">
        <f t="shared" si="14"/>
        <v>-</v>
      </c>
      <c r="DO3" s="101" t="str">
        <f t="shared" si="14"/>
        <v>-</v>
      </c>
      <c r="DP3" s="101" t="str">
        <f t="shared" si="15"/>
        <v>-</v>
      </c>
      <c r="DQ3" s="101" t="str">
        <f t="shared" si="15"/>
        <v>-</v>
      </c>
      <c r="DR3" s="101" t="str">
        <f t="shared" si="15"/>
        <v>-</v>
      </c>
      <c r="DS3" s="101" t="str">
        <f t="shared" si="15"/>
        <v>-</v>
      </c>
      <c r="DT3" s="101" t="str">
        <f t="shared" si="15"/>
        <v>-</v>
      </c>
      <c r="DU3" s="101" t="str">
        <f t="shared" si="15"/>
        <v>-</v>
      </c>
      <c r="DV3" s="101" t="str">
        <f t="shared" si="15"/>
        <v>-</v>
      </c>
      <c r="DW3" s="101" t="str">
        <f t="shared" si="15"/>
        <v>-</v>
      </c>
      <c r="DX3" s="101" t="str">
        <f t="shared" si="15"/>
        <v>-</v>
      </c>
      <c r="DY3" s="101" t="str">
        <f t="shared" si="15"/>
        <v>-</v>
      </c>
      <c r="DZ3" s="101" t="str">
        <f t="shared" si="16"/>
        <v>-</v>
      </c>
      <c r="EA3" s="101" t="str">
        <f t="shared" si="16"/>
        <v>-</v>
      </c>
      <c r="EB3" s="101" t="str">
        <f t="shared" si="16"/>
        <v>-</v>
      </c>
      <c r="EC3" s="101" t="str">
        <f t="shared" si="16"/>
        <v>-</v>
      </c>
      <c r="ED3" s="101" t="str">
        <f t="shared" si="16"/>
        <v>-</v>
      </c>
      <c r="EE3" s="101" t="str">
        <f t="shared" si="16"/>
        <v>-</v>
      </c>
      <c r="EF3" s="101" t="str">
        <f t="shared" si="16"/>
        <v>-</v>
      </c>
      <c r="EG3" s="101" t="str">
        <f t="shared" si="16"/>
        <v>-</v>
      </c>
      <c r="EH3" s="101" t="str">
        <f t="shared" si="16"/>
        <v>-</v>
      </c>
      <c r="EI3" s="101" t="str">
        <f t="shared" si="16"/>
        <v>-</v>
      </c>
      <c r="EJ3" s="101" t="str">
        <f t="shared" si="16"/>
        <v>-</v>
      </c>
      <c r="EK3" s="101" t="str">
        <f t="shared" si="16"/>
        <v>-</v>
      </c>
      <c r="EL3" s="101" t="str">
        <f t="shared" si="16"/>
        <v>-</v>
      </c>
    </row>
    <row r="4" spans="1:204">
      <c r="A4" s="466"/>
      <c r="B4" s="466"/>
      <c r="C4" s="466"/>
      <c r="D4" s="466"/>
      <c r="E4" s="109" t="s">
        <v>66</v>
      </c>
      <c r="F4" s="102">
        <f>'BESS 11'!S29+'BESS 11'!S32+'BESS 11'!S33+'BESS 11'!S38+'BESS 11'!S37</f>
        <v>0</v>
      </c>
      <c r="G4" s="101">
        <f>MAX('BESS 11'!O29,'BESS 11'!O32,'BESS 11'!O33,'BESS 11'!O37,'BESS 11'!O38,'BESS 11'!O39)-MIN('BESS 11'!O29,'BESS 11'!O32,'BESS 11'!O33,'BESS 11'!O37,'BESS 11'!O38,'BESS 11'!O39)+1</f>
        <v>1</v>
      </c>
      <c r="H4" s="110">
        <f>MAX('BESS 11'!O29,'BESS 11'!O32,'BESS 11'!O33,'BESS 11'!O37,'BESS 11'!O38,'BESS 11'!O39)</f>
        <v>0</v>
      </c>
      <c r="I4" s="110">
        <f>MIN('BESS 11'!O29,'BESS 11'!O32,'BESS 11'!O33,'BESS 11'!O37,'BESS 11'!O38,'BESS 11'!O39)</f>
        <v>0</v>
      </c>
      <c r="J4" s="101" t="str">
        <f t="shared" si="4"/>
        <v>-</v>
      </c>
      <c r="K4" s="101" t="str">
        <f t="shared" si="4"/>
        <v>-</v>
      </c>
      <c r="L4" s="101" t="str">
        <f t="shared" si="4"/>
        <v>-</v>
      </c>
      <c r="M4" s="101" t="str">
        <f t="shared" si="4"/>
        <v>-</v>
      </c>
      <c r="N4" s="101" t="str">
        <f t="shared" si="4"/>
        <v>-</v>
      </c>
      <c r="O4" s="101" t="str">
        <f t="shared" si="4"/>
        <v>-</v>
      </c>
      <c r="P4" s="101" t="str">
        <f t="shared" si="4"/>
        <v>-</v>
      </c>
      <c r="Q4" s="101" t="str">
        <f t="shared" si="4"/>
        <v>-</v>
      </c>
      <c r="R4" s="101" t="str">
        <f t="shared" si="4"/>
        <v>-</v>
      </c>
      <c r="S4" s="101" t="str">
        <f t="shared" si="4"/>
        <v>-</v>
      </c>
      <c r="T4" s="101" t="str">
        <f t="shared" si="5"/>
        <v>-</v>
      </c>
      <c r="U4" s="101" t="str">
        <f t="shared" si="5"/>
        <v>-</v>
      </c>
      <c r="V4" s="101" t="str">
        <f t="shared" si="5"/>
        <v>-</v>
      </c>
      <c r="W4" s="101" t="str">
        <f t="shared" si="5"/>
        <v>-</v>
      </c>
      <c r="X4" s="101" t="str">
        <f t="shared" si="5"/>
        <v>-</v>
      </c>
      <c r="Y4" s="101" t="str">
        <f t="shared" si="5"/>
        <v>-</v>
      </c>
      <c r="Z4" s="101" t="str">
        <f t="shared" si="5"/>
        <v>-</v>
      </c>
      <c r="AA4" s="101" t="str">
        <f t="shared" si="5"/>
        <v>-</v>
      </c>
      <c r="AB4" s="101" t="str">
        <f t="shared" si="5"/>
        <v>-</v>
      </c>
      <c r="AC4" s="101" t="str">
        <f t="shared" si="5"/>
        <v>-</v>
      </c>
      <c r="AD4" s="101" t="str">
        <f t="shared" si="6"/>
        <v>-</v>
      </c>
      <c r="AE4" s="101" t="str">
        <f t="shared" si="6"/>
        <v>-</v>
      </c>
      <c r="AF4" s="101" t="str">
        <f t="shared" si="6"/>
        <v>-</v>
      </c>
      <c r="AG4" s="101" t="str">
        <f t="shared" si="6"/>
        <v>-</v>
      </c>
      <c r="AH4" s="101" t="str">
        <f t="shared" si="6"/>
        <v>-</v>
      </c>
      <c r="AI4" s="101" t="str">
        <f t="shared" si="6"/>
        <v>-</v>
      </c>
      <c r="AJ4" s="101" t="str">
        <f t="shared" si="6"/>
        <v>-</v>
      </c>
      <c r="AK4" s="101" t="str">
        <f t="shared" si="6"/>
        <v>-</v>
      </c>
      <c r="AL4" s="101" t="str">
        <f t="shared" si="6"/>
        <v>-</v>
      </c>
      <c r="AM4" s="101" t="str">
        <f t="shared" si="6"/>
        <v>-</v>
      </c>
      <c r="AN4" s="101" t="str">
        <f t="shared" si="7"/>
        <v>-</v>
      </c>
      <c r="AO4" s="101" t="str">
        <f t="shared" si="7"/>
        <v>-</v>
      </c>
      <c r="AP4" s="101" t="str">
        <f t="shared" si="7"/>
        <v>-</v>
      </c>
      <c r="AQ4" s="101" t="str">
        <f t="shared" si="7"/>
        <v>-</v>
      </c>
      <c r="AR4" s="101" t="str">
        <f t="shared" si="7"/>
        <v>-</v>
      </c>
      <c r="AS4" s="101" t="str">
        <f t="shared" si="7"/>
        <v>-</v>
      </c>
      <c r="AT4" s="101" t="str">
        <f t="shared" si="7"/>
        <v>-</v>
      </c>
      <c r="AU4" s="101" t="str">
        <f t="shared" si="7"/>
        <v>-</v>
      </c>
      <c r="AV4" s="101" t="str">
        <f t="shared" si="7"/>
        <v>-</v>
      </c>
      <c r="AW4" s="101" t="str">
        <f t="shared" si="7"/>
        <v>-</v>
      </c>
      <c r="AX4" s="101" t="str">
        <f t="shared" si="8"/>
        <v>-</v>
      </c>
      <c r="AY4" s="101" t="str">
        <f t="shared" si="8"/>
        <v>-</v>
      </c>
      <c r="AZ4" s="101" t="str">
        <f t="shared" si="8"/>
        <v>-</v>
      </c>
      <c r="BA4" s="101" t="str">
        <f t="shared" si="8"/>
        <v>-</v>
      </c>
      <c r="BB4" s="101" t="str">
        <f t="shared" si="8"/>
        <v>-</v>
      </c>
      <c r="BC4" s="101" t="str">
        <f t="shared" si="8"/>
        <v>-</v>
      </c>
      <c r="BD4" s="101" t="str">
        <f t="shared" si="8"/>
        <v>-</v>
      </c>
      <c r="BE4" s="101" t="str">
        <f t="shared" si="8"/>
        <v>-</v>
      </c>
      <c r="BF4" s="101" t="str">
        <f t="shared" si="8"/>
        <v>-</v>
      </c>
      <c r="BG4" s="101" t="str">
        <f t="shared" si="8"/>
        <v>-</v>
      </c>
      <c r="BH4" s="101" t="str">
        <f t="shared" si="9"/>
        <v>-</v>
      </c>
      <c r="BI4" s="101" t="str">
        <f t="shared" si="9"/>
        <v>-</v>
      </c>
      <c r="BJ4" s="101" t="str">
        <f t="shared" si="9"/>
        <v>-</v>
      </c>
      <c r="BK4" s="101" t="str">
        <f t="shared" si="9"/>
        <v>-</v>
      </c>
      <c r="BL4" s="101" t="str">
        <f t="shared" si="9"/>
        <v>-</v>
      </c>
      <c r="BM4" s="101" t="str">
        <f t="shared" si="9"/>
        <v>-</v>
      </c>
      <c r="BN4" s="101" t="str">
        <f t="shared" si="9"/>
        <v>-</v>
      </c>
      <c r="BO4" s="101" t="str">
        <f t="shared" si="9"/>
        <v>-</v>
      </c>
      <c r="BP4" s="101" t="str">
        <f t="shared" si="9"/>
        <v>-</v>
      </c>
      <c r="BQ4" s="101" t="str">
        <f t="shared" si="9"/>
        <v>-</v>
      </c>
      <c r="BR4" s="101" t="str">
        <f t="shared" si="10"/>
        <v>-</v>
      </c>
      <c r="BS4" s="101" t="str">
        <f t="shared" si="10"/>
        <v>-</v>
      </c>
      <c r="BT4" s="101" t="str">
        <f t="shared" si="10"/>
        <v>-</v>
      </c>
      <c r="BU4" s="101" t="str">
        <f t="shared" si="10"/>
        <v>-</v>
      </c>
      <c r="BV4" s="101" t="str">
        <f t="shared" si="10"/>
        <v>-</v>
      </c>
      <c r="BW4" s="101" t="str">
        <f t="shared" si="10"/>
        <v>-</v>
      </c>
      <c r="BX4" s="101" t="str">
        <f t="shared" si="10"/>
        <v>-</v>
      </c>
      <c r="BY4" s="101" t="str">
        <f t="shared" si="10"/>
        <v>-</v>
      </c>
      <c r="BZ4" s="101" t="str">
        <f t="shared" si="10"/>
        <v>-</v>
      </c>
      <c r="CA4" s="101" t="str">
        <f t="shared" si="10"/>
        <v>-</v>
      </c>
      <c r="CB4" s="101" t="str">
        <f t="shared" si="11"/>
        <v>-</v>
      </c>
      <c r="CC4" s="101" t="str">
        <f t="shared" si="11"/>
        <v>-</v>
      </c>
      <c r="CD4" s="101" t="str">
        <f t="shared" si="11"/>
        <v>-</v>
      </c>
      <c r="CE4" s="101" t="str">
        <f t="shared" si="11"/>
        <v>-</v>
      </c>
      <c r="CF4" s="101" t="str">
        <f t="shared" si="11"/>
        <v>-</v>
      </c>
      <c r="CG4" s="101" t="str">
        <f t="shared" si="11"/>
        <v>-</v>
      </c>
      <c r="CH4" s="101" t="str">
        <f t="shared" si="11"/>
        <v>-</v>
      </c>
      <c r="CI4" s="101" t="str">
        <f t="shared" si="11"/>
        <v>-</v>
      </c>
      <c r="CJ4" s="101" t="str">
        <f t="shared" si="11"/>
        <v>-</v>
      </c>
      <c r="CK4" s="101" t="str">
        <f t="shared" si="11"/>
        <v>-</v>
      </c>
      <c r="CL4" s="101" t="str">
        <f t="shared" si="12"/>
        <v>-</v>
      </c>
      <c r="CM4" s="101" t="str">
        <f t="shared" si="12"/>
        <v>-</v>
      </c>
      <c r="CN4" s="101" t="str">
        <f t="shared" si="12"/>
        <v>-</v>
      </c>
      <c r="CO4" s="101" t="str">
        <f t="shared" si="12"/>
        <v>-</v>
      </c>
      <c r="CP4" s="101" t="str">
        <f t="shared" si="12"/>
        <v>-</v>
      </c>
      <c r="CQ4" s="101" t="str">
        <f t="shared" si="12"/>
        <v>-</v>
      </c>
      <c r="CR4" s="101" t="str">
        <f t="shared" si="12"/>
        <v>-</v>
      </c>
      <c r="CS4" s="101" t="str">
        <f t="shared" si="12"/>
        <v>-</v>
      </c>
      <c r="CT4" s="101" t="str">
        <f t="shared" si="12"/>
        <v>-</v>
      </c>
      <c r="CU4" s="101" t="str">
        <f t="shared" si="12"/>
        <v>-</v>
      </c>
      <c r="CV4" s="101" t="str">
        <f t="shared" si="13"/>
        <v>-</v>
      </c>
      <c r="CW4" s="101" t="str">
        <f t="shared" si="13"/>
        <v>-</v>
      </c>
      <c r="CX4" s="101" t="str">
        <f t="shared" si="13"/>
        <v>-</v>
      </c>
      <c r="CY4" s="101" t="str">
        <f t="shared" si="13"/>
        <v>-</v>
      </c>
      <c r="CZ4" s="101" t="str">
        <f t="shared" si="13"/>
        <v>-</v>
      </c>
      <c r="DA4" s="101" t="str">
        <f t="shared" si="13"/>
        <v>-</v>
      </c>
      <c r="DB4" s="101" t="str">
        <f t="shared" si="13"/>
        <v>-</v>
      </c>
      <c r="DC4" s="101" t="str">
        <f t="shared" si="13"/>
        <v>-</v>
      </c>
      <c r="DD4" s="101" t="str">
        <f t="shared" si="13"/>
        <v>-</v>
      </c>
      <c r="DE4" s="101" t="str">
        <f t="shared" si="13"/>
        <v>-</v>
      </c>
      <c r="DF4" s="101" t="str">
        <f t="shared" si="14"/>
        <v>-</v>
      </c>
      <c r="DG4" s="101" t="str">
        <f t="shared" si="14"/>
        <v>-</v>
      </c>
      <c r="DH4" s="101" t="str">
        <f t="shared" si="14"/>
        <v>-</v>
      </c>
      <c r="DI4" s="101" t="str">
        <f t="shared" si="14"/>
        <v>-</v>
      </c>
      <c r="DJ4" s="101" t="str">
        <f t="shared" si="14"/>
        <v>-</v>
      </c>
      <c r="DK4" s="101" t="str">
        <f t="shared" si="14"/>
        <v>-</v>
      </c>
      <c r="DL4" s="101" t="str">
        <f t="shared" si="14"/>
        <v>-</v>
      </c>
      <c r="DM4" s="101" t="str">
        <f t="shared" si="14"/>
        <v>-</v>
      </c>
      <c r="DN4" s="101" t="str">
        <f t="shared" si="14"/>
        <v>-</v>
      </c>
      <c r="DO4" s="101" t="str">
        <f t="shared" si="14"/>
        <v>-</v>
      </c>
      <c r="DP4" s="101" t="str">
        <f t="shared" si="15"/>
        <v>-</v>
      </c>
      <c r="DQ4" s="101" t="str">
        <f t="shared" si="15"/>
        <v>-</v>
      </c>
      <c r="DR4" s="101" t="str">
        <f t="shared" si="15"/>
        <v>-</v>
      </c>
      <c r="DS4" s="101" t="str">
        <f t="shared" si="15"/>
        <v>-</v>
      </c>
      <c r="DT4" s="101" t="str">
        <f t="shared" si="15"/>
        <v>-</v>
      </c>
      <c r="DU4" s="101" t="str">
        <f t="shared" si="15"/>
        <v>-</v>
      </c>
      <c r="DV4" s="101" t="str">
        <f t="shared" si="15"/>
        <v>-</v>
      </c>
      <c r="DW4" s="101" t="str">
        <f t="shared" si="15"/>
        <v>-</v>
      </c>
      <c r="DX4" s="101" t="str">
        <f t="shared" si="15"/>
        <v>-</v>
      </c>
      <c r="DY4" s="101" t="str">
        <f t="shared" si="15"/>
        <v>-</v>
      </c>
      <c r="DZ4" s="101" t="str">
        <f t="shared" si="16"/>
        <v>-</v>
      </c>
      <c r="EA4" s="101" t="str">
        <f t="shared" si="16"/>
        <v>-</v>
      </c>
      <c r="EB4" s="101" t="str">
        <f t="shared" si="16"/>
        <v>-</v>
      </c>
      <c r="EC4" s="101" t="str">
        <f t="shared" si="16"/>
        <v>-</v>
      </c>
      <c r="ED4" s="101" t="str">
        <f t="shared" si="16"/>
        <v>-</v>
      </c>
      <c r="EE4" s="101" t="str">
        <f t="shared" si="16"/>
        <v>-</v>
      </c>
      <c r="EF4" s="101" t="str">
        <f t="shared" si="16"/>
        <v>-</v>
      </c>
      <c r="EG4" s="101" t="str">
        <f t="shared" si="16"/>
        <v>-</v>
      </c>
      <c r="EH4" s="101" t="str">
        <f t="shared" si="16"/>
        <v>-</v>
      </c>
      <c r="EI4" s="101" t="str">
        <f t="shared" si="16"/>
        <v>-</v>
      </c>
      <c r="EJ4" s="101" t="str">
        <f t="shared" si="16"/>
        <v>-</v>
      </c>
      <c r="EK4" s="101" t="str">
        <f t="shared" si="16"/>
        <v>-</v>
      </c>
      <c r="EL4" s="101" t="str">
        <f t="shared" si="16"/>
        <v>-</v>
      </c>
    </row>
    <row r="5" spans="1:204">
      <c r="A5" s="466"/>
      <c r="B5" s="466"/>
      <c r="C5" s="466"/>
      <c r="D5" s="466"/>
      <c r="E5" s="109" t="s">
        <v>67</v>
      </c>
      <c r="F5" s="102">
        <f>SUM('BESS 11'!S40:S49)</f>
        <v>4.0000000000145518E-3</v>
      </c>
      <c r="G5" s="101">
        <f>MAX('BESS 11'!O40:O49)-MIN('BESS 11'!O40:O49)+1</f>
        <v>1</v>
      </c>
      <c r="H5" s="101"/>
      <c r="I5" s="110">
        <f>MIN('BESS 11'!O40:O49)</f>
        <v>0</v>
      </c>
      <c r="J5" s="101" t="str">
        <f t="shared" si="4"/>
        <v>-</v>
      </c>
      <c r="K5" s="101" t="str">
        <f t="shared" si="4"/>
        <v>-</v>
      </c>
      <c r="L5" s="101" t="str">
        <f t="shared" si="4"/>
        <v>-</v>
      </c>
      <c r="M5" s="101" t="str">
        <f t="shared" si="4"/>
        <v>-</v>
      </c>
      <c r="N5" s="101" t="str">
        <f t="shared" si="4"/>
        <v>-</v>
      </c>
      <c r="O5" s="101" t="str">
        <f t="shared" si="4"/>
        <v>-</v>
      </c>
      <c r="P5" s="101" t="str">
        <f t="shared" si="4"/>
        <v>-</v>
      </c>
      <c r="Q5" s="101" t="str">
        <f t="shared" si="4"/>
        <v>-</v>
      </c>
      <c r="R5" s="101" t="str">
        <f t="shared" si="4"/>
        <v>-</v>
      </c>
      <c r="S5" s="101" t="str">
        <f t="shared" si="4"/>
        <v>-</v>
      </c>
      <c r="T5" s="101" t="str">
        <f t="shared" si="5"/>
        <v>-</v>
      </c>
      <c r="U5" s="101" t="str">
        <f t="shared" si="5"/>
        <v>-</v>
      </c>
      <c r="V5" s="101" t="str">
        <f t="shared" si="5"/>
        <v>-</v>
      </c>
      <c r="W5" s="101" t="str">
        <f t="shared" si="5"/>
        <v>-</v>
      </c>
      <c r="X5" s="101" t="str">
        <f t="shared" si="5"/>
        <v>-</v>
      </c>
      <c r="Y5" s="101" t="str">
        <f t="shared" si="5"/>
        <v>-</v>
      </c>
      <c r="Z5" s="101" t="str">
        <f t="shared" si="5"/>
        <v>-</v>
      </c>
      <c r="AA5" s="101" t="str">
        <f t="shared" si="5"/>
        <v>-</v>
      </c>
      <c r="AB5" s="101" t="str">
        <f t="shared" si="5"/>
        <v>-</v>
      </c>
      <c r="AC5" s="101" t="str">
        <f t="shared" si="5"/>
        <v>-</v>
      </c>
      <c r="AD5" s="101" t="str">
        <f t="shared" si="6"/>
        <v>-</v>
      </c>
      <c r="AE5" s="101" t="str">
        <f t="shared" si="6"/>
        <v>-</v>
      </c>
      <c r="AF5" s="101" t="str">
        <f t="shared" si="6"/>
        <v>-</v>
      </c>
      <c r="AG5" s="101" t="str">
        <f t="shared" si="6"/>
        <v>-</v>
      </c>
      <c r="AH5" s="101" t="str">
        <f t="shared" si="6"/>
        <v>-</v>
      </c>
      <c r="AI5" s="101" t="str">
        <f t="shared" si="6"/>
        <v>-</v>
      </c>
      <c r="AJ5" s="101" t="str">
        <f t="shared" si="6"/>
        <v>-</v>
      </c>
      <c r="AK5" s="101" t="str">
        <f t="shared" si="6"/>
        <v>-</v>
      </c>
      <c r="AL5" s="101" t="str">
        <f t="shared" si="6"/>
        <v>-</v>
      </c>
      <c r="AM5" s="101" t="str">
        <f t="shared" si="6"/>
        <v>-</v>
      </c>
      <c r="AN5" s="101" t="str">
        <f t="shared" si="7"/>
        <v>-</v>
      </c>
      <c r="AO5" s="101" t="str">
        <f t="shared" si="7"/>
        <v>-</v>
      </c>
      <c r="AP5" s="101" t="str">
        <f t="shared" si="7"/>
        <v>-</v>
      </c>
      <c r="AQ5" s="101" t="str">
        <f t="shared" si="7"/>
        <v>-</v>
      </c>
      <c r="AR5" s="101" t="str">
        <f t="shared" si="7"/>
        <v>-</v>
      </c>
      <c r="AS5" s="101" t="str">
        <f t="shared" si="7"/>
        <v>-</v>
      </c>
      <c r="AT5" s="101" t="str">
        <f t="shared" si="7"/>
        <v>-</v>
      </c>
      <c r="AU5" s="101" t="str">
        <f t="shared" si="7"/>
        <v>-</v>
      </c>
      <c r="AV5" s="101" t="str">
        <f t="shared" si="7"/>
        <v>-</v>
      </c>
      <c r="AW5" s="101" t="str">
        <f t="shared" si="7"/>
        <v>-</v>
      </c>
      <c r="AX5" s="101" t="str">
        <f t="shared" si="8"/>
        <v>-</v>
      </c>
      <c r="AY5" s="101" t="str">
        <f t="shared" si="8"/>
        <v>-</v>
      </c>
      <c r="AZ5" s="101" t="str">
        <f t="shared" si="8"/>
        <v>-</v>
      </c>
      <c r="BA5" s="101" t="str">
        <f t="shared" si="8"/>
        <v>-</v>
      </c>
      <c r="BB5" s="101" t="str">
        <f t="shared" si="8"/>
        <v>-</v>
      </c>
      <c r="BC5" s="101" t="str">
        <f t="shared" si="8"/>
        <v>-</v>
      </c>
      <c r="BD5" s="101" t="str">
        <f t="shared" si="8"/>
        <v>-</v>
      </c>
      <c r="BE5" s="101" t="str">
        <f t="shared" si="8"/>
        <v>-</v>
      </c>
      <c r="BF5" s="101" t="str">
        <f t="shared" si="8"/>
        <v>-</v>
      </c>
      <c r="BG5" s="101" t="str">
        <f t="shared" si="8"/>
        <v>-</v>
      </c>
      <c r="BH5" s="101" t="str">
        <f t="shared" si="9"/>
        <v>-</v>
      </c>
      <c r="BI5" s="101" t="str">
        <f t="shared" si="9"/>
        <v>-</v>
      </c>
      <c r="BJ5" s="101" t="str">
        <f t="shared" si="9"/>
        <v>-</v>
      </c>
      <c r="BK5" s="101" t="str">
        <f t="shared" si="9"/>
        <v>-</v>
      </c>
      <c r="BL5" s="101" t="str">
        <f t="shared" si="9"/>
        <v>-</v>
      </c>
      <c r="BM5" s="101" t="str">
        <f t="shared" si="9"/>
        <v>-</v>
      </c>
      <c r="BN5" s="101" t="str">
        <f t="shared" si="9"/>
        <v>-</v>
      </c>
      <c r="BO5" s="101" t="str">
        <f t="shared" si="9"/>
        <v>-</v>
      </c>
      <c r="BP5" s="101" t="str">
        <f t="shared" si="9"/>
        <v>-</v>
      </c>
      <c r="BQ5" s="101" t="str">
        <f t="shared" si="9"/>
        <v>-</v>
      </c>
      <c r="BR5" s="101" t="str">
        <f t="shared" si="10"/>
        <v>-</v>
      </c>
      <c r="BS5" s="101" t="str">
        <f t="shared" si="10"/>
        <v>-</v>
      </c>
      <c r="BT5" s="101" t="str">
        <f t="shared" si="10"/>
        <v>-</v>
      </c>
      <c r="BU5" s="101" t="str">
        <f t="shared" si="10"/>
        <v>-</v>
      </c>
      <c r="BV5" s="101" t="str">
        <f t="shared" si="10"/>
        <v>-</v>
      </c>
      <c r="BW5" s="101" t="str">
        <f t="shared" si="10"/>
        <v>-</v>
      </c>
      <c r="BX5" s="101" t="str">
        <f t="shared" si="10"/>
        <v>-</v>
      </c>
      <c r="BY5" s="101" t="str">
        <f t="shared" si="10"/>
        <v>-</v>
      </c>
      <c r="BZ5" s="101" t="str">
        <f t="shared" si="10"/>
        <v>-</v>
      </c>
      <c r="CA5" s="101" t="str">
        <f t="shared" si="10"/>
        <v>-</v>
      </c>
      <c r="CB5" s="101" t="str">
        <f t="shared" si="11"/>
        <v>-</v>
      </c>
      <c r="CC5" s="101" t="str">
        <f t="shared" si="11"/>
        <v>-</v>
      </c>
      <c r="CD5" s="101" t="str">
        <f t="shared" si="11"/>
        <v>-</v>
      </c>
      <c r="CE5" s="101" t="str">
        <f t="shared" si="11"/>
        <v>-</v>
      </c>
      <c r="CF5" s="101" t="str">
        <f t="shared" si="11"/>
        <v>-</v>
      </c>
      <c r="CG5" s="101" t="str">
        <f t="shared" si="11"/>
        <v>-</v>
      </c>
      <c r="CH5" s="101" t="str">
        <f t="shared" si="11"/>
        <v>-</v>
      </c>
      <c r="CI5" s="101" t="str">
        <f t="shared" si="11"/>
        <v>-</v>
      </c>
      <c r="CJ5" s="101" t="str">
        <f t="shared" si="11"/>
        <v>-</v>
      </c>
      <c r="CK5" s="101" t="str">
        <f t="shared" si="11"/>
        <v>-</v>
      </c>
      <c r="CL5" s="101" t="str">
        <f t="shared" si="12"/>
        <v>-</v>
      </c>
      <c r="CM5" s="101" t="str">
        <f t="shared" si="12"/>
        <v>-</v>
      </c>
      <c r="CN5" s="101" t="str">
        <f t="shared" si="12"/>
        <v>-</v>
      </c>
      <c r="CO5" s="101" t="str">
        <f t="shared" si="12"/>
        <v>-</v>
      </c>
      <c r="CP5" s="101" t="str">
        <f t="shared" si="12"/>
        <v>-</v>
      </c>
      <c r="CQ5" s="101" t="str">
        <f t="shared" si="12"/>
        <v>-</v>
      </c>
      <c r="CR5" s="101" t="str">
        <f t="shared" si="12"/>
        <v>-</v>
      </c>
      <c r="CS5" s="101" t="str">
        <f t="shared" si="12"/>
        <v>-</v>
      </c>
      <c r="CT5" s="101" t="str">
        <f t="shared" si="12"/>
        <v>-</v>
      </c>
      <c r="CU5" s="101" t="str">
        <f t="shared" si="12"/>
        <v>-</v>
      </c>
      <c r="CV5" s="101" t="str">
        <f t="shared" si="13"/>
        <v>-</v>
      </c>
      <c r="CW5" s="101" t="str">
        <f t="shared" si="13"/>
        <v>-</v>
      </c>
      <c r="CX5" s="101" t="str">
        <f t="shared" si="13"/>
        <v>-</v>
      </c>
      <c r="CY5" s="101" t="str">
        <f t="shared" si="13"/>
        <v>-</v>
      </c>
      <c r="CZ5" s="101" t="str">
        <f t="shared" si="13"/>
        <v>-</v>
      </c>
      <c r="DA5" s="101" t="str">
        <f t="shared" si="13"/>
        <v>-</v>
      </c>
      <c r="DB5" s="101" t="str">
        <f t="shared" si="13"/>
        <v>-</v>
      </c>
      <c r="DC5" s="101" t="str">
        <f t="shared" si="13"/>
        <v>-</v>
      </c>
      <c r="DD5" s="101" t="str">
        <f t="shared" si="13"/>
        <v>-</v>
      </c>
      <c r="DE5" s="101" t="str">
        <f t="shared" si="13"/>
        <v>-</v>
      </c>
      <c r="DF5" s="101" t="str">
        <f t="shared" si="14"/>
        <v>-</v>
      </c>
      <c r="DG5" s="101" t="str">
        <f t="shared" si="14"/>
        <v>-</v>
      </c>
      <c r="DH5" s="101" t="str">
        <f t="shared" si="14"/>
        <v>-</v>
      </c>
      <c r="DI5" s="101" t="str">
        <f t="shared" si="14"/>
        <v>-</v>
      </c>
      <c r="DJ5" s="101" t="str">
        <f t="shared" si="14"/>
        <v>-</v>
      </c>
      <c r="DK5" s="101" t="str">
        <f t="shared" si="14"/>
        <v>-</v>
      </c>
      <c r="DL5" s="101" t="str">
        <f t="shared" si="14"/>
        <v>-</v>
      </c>
      <c r="DM5" s="101" t="str">
        <f t="shared" si="14"/>
        <v>-</v>
      </c>
      <c r="DN5" s="101" t="str">
        <f t="shared" si="14"/>
        <v>-</v>
      </c>
      <c r="DO5" s="101" t="str">
        <f t="shared" si="14"/>
        <v>-</v>
      </c>
      <c r="DP5" s="101" t="str">
        <f t="shared" si="15"/>
        <v>-</v>
      </c>
      <c r="DQ5" s="101" t="str">
        <f t="shared" si="15"/>
        <v>-</v>
      </c>
      <c r="DR5" s="101" t="str">
        <f t="shared" si="15"/>
        <v>-</v>
      </c>
      <c r="DS5" s="101" t="str">
        <f t="shared" si="15"/>
        <v>-</v>
      </c>
      <c r="DT5" s="101" t="str">
        <f t="shared" si="15"/>
        <v>-</v>
      </c>
      <c r="DU5" s="101" t="str">
        <f t="shared" si="15"/>
        <v>-</v>
      </c>
      <c r="DV5" s="101" t="str">
        <f t="shared" si="15"/>
        <v>-</v>
      </c>
      <c r="DW5" s="101" t="str">
        <f t="shared" si="15"/>
        <v>-</v>
      </c>
      <c r="DX5" s="101" t="str">
        <f t="shared" si="15"/>
        <v>-</v>
      </c>
      <c r="DY5" s="101" t="str">
        <f t="shared" si="15"/>
        <v>-</v>
      </c>
      <c r="DZ5" s="101" t="str">
        <f t="shared" si="16"/>
        <v>-</v>
      </c>
      <c r="EA5" s="101" t="str">
        <f t="shared" si="16"/>
        <v>-</v>
      </c>
      <c r="EB5" s="101" t="str">
        <f t="shared" si="16"/>
        <v>-</v>
      </c>
      <c r="EC5" s="101" t="str">
        <f t="shared" si="16"/>
        <v>-</v>
      </c>
      <c r="ED5" s="101" t="str">
        <f t="shared" si="16"/>
        <v>-</v>
      </c>
      <c r="EE5" s="101" t="str">
        <f t="shared" si="16"/>
        <v>-</v>
      </c>
      <c r="EF5" s="101" t="str">
        <f t="shared" si="16"/>
        <v>-</v>
      </c>
      <c r="EG5" s="101" t="str">
        <f t="shared" si="16"/>
        <v>-</v>
      </c>
      <c r="EH5" s="101" t="str">
        <f t="shared" si="16"/>
        <v>-</v>
      </c>
      <c r="EI5" s="101" t="str">
        <f t="shared" si="16"/>
        <v>-</v>
      </c>
      <c r="EJ5" s="101" t="str">
        <f t="shared" si="16"/>
        <v>-</v>
      </c>
      <c r="EK5" s="101" t="str">
        <f t="shared" si="16"/>
        <v>-</v>
      </c>
      <c r="EL5" s="101" t="str">
        <f t="shared" si="16"/>
        <v>-</v>
      </c>
    </row>
    <row r="6" spans="1:204">
      <c r="A6" s="466"/>
      <c r="B6" s="466"/>
      <c r="C6" s="466"/>
      <c r="D6" s="466"/>
      <c r="E6" s="109" t="s">
        <v>68</v>
      </c>
      <c r="F6" s="101">
        <f>SUM(L6:AX6)</f>
        <v>250</v>
      </c>
      <c r="G6" s="101">
        <v>30</v>
      </c>
      <c r="H6" s="101"/>
      <c r="I6" s="110" t="e">
        <f>B2-3</f>
        <v>#VALUE!</v>
      </c>
      <c r="J6" s="110"/>
      <c r="K6" s="110"/>
      <c r="L6" s="101"/>
      <c r="M6" s="102"/>
      <c r="N6" s="102"/>
      <c r="O6" s="102"/>
      <c r="P6" s="102">
        <v>5</v>
      </c>
      <c r="Q6" s="102">
        <v>5</v>
      </c>
      <c r="R6" s="102">
        <v>5</v>
      </c>
      <c r="S6" s="102">
        <v>5</v>
      </c>
      <c r="T6" s="102">
        <v>5</v>
      </c>
      <c r="U6" s="102">
        <v>5</v>
      </c>
      <c r="V6" s="102">
        <v>5</v>
      </c>
      <c r="W6" s="102">
        <v>5</v>
      </c>
      <c r="X6" s="102">
        <v>5</v>
      </c>
      <c r="Y6" s="102">
        <v>5</v>
      </c>
      <c r="Z6" s="102">
        <v>5</v>
      </c>
      <c r="AA6" s="102">
        <v>5</v>
      </c>
      <c r="AB6" s="102">
        <v>5</v>
      </c>
      <c r="AC6" s="102">
        <v>5</v>
      </c>
      <c r="AD6" s="102">
        <v>5</v>
      </c>
      <c r="AE6" s="102">
        <v>5</v>
      </c>
      <c r="AF6" s="102">
        <v>5</v>
      </c>
      <c r="AG6" s="102">
        <v>5</v>
      </c>
      <c r="AH6" s="102">
        <v>5</v>
      </c>
      <c r="AI6" s="102">
        <v>5</v>
      </c>
      <c r="AJ6" s="102">
        <v>5</v>
      </c>
      <c r="AK6" s="102">
        <v>5</v>
      </c>
      <c r="AL6" s="102">
        <v>5</v>
      </c>
      <c r="AM6" s="102">
        <v>5</v>
      </c>
      <c r="AN6" s="102">
        <v>30</v>
      </c>
      <c r="AO6" s="102">
        <v>30</v>
      </c>
      <c r="AP6" s="102">
        <v>30</v>
      </c>
      <c r="AQ6" s="102">
        <v>30</v>
      </c>
      <c r="AR6" s="102">
        <v>5</v>
      </c>
      <c r="AS6" s="102">
        <v>5</v>
      </c>
      <c r="AT6" s="102"/>
      <c r="AU6" s="102"/>
      <c r="AV6" s="102"/>
      <c r="AW6" s="102"/>
      <c r="AX6" s="102"/>
      <c r="AY6" s="111"/>
      <c r="AZ6" s="111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9"/>
      <c r="DY6" s="109"/>
      <c r="DZ6" s="109"/>
      <c r="EA6" s="109"/>
      <c r="EB6" s="109"/>
      <c r="EC6" s="109"/>
      <c r="ED6" s="109"/>
      <c r="EE6" s="109"/>
      <c r="EF6" s="109"/>
      <c r="EG6" s="109"/>
      <c r="EH6" s="109"/>
      <c r="EI6" s="109"/>
      <c r="EJ6" s="109"/>
      <c r="EK6" s="109"/>
      <c r="EL6" s="109"/>
    </row>
    <row r="7" spans="1:204" s="122" customFormat="1">
      <c r="A7" s="150"/>
      <c r="B7" s="151"/>
      <c r="C7" s="151"/>
      <c r="D7" s="150"/>
      <c r="E7" s="150"/>
      <c r="F7" s="150"/>
      <c r="G7" s="152"/>
      <c r="H7" s="152"/>
      <c r="I7" s="153" t="s">
        <v>69</v>
      </c>
      <c r="J7" s="153"/>
      <c r="K7" s="153"/>
      <c r="L7" s="154">
        <f t="shared" ref="L7:AQ7" si="17">SUM(L2:L6)</f>
        <v>0</v>
      </c>
      <c r="M7" s="154">
        <f t="shared" si="17"/>
        <v>0</v>
      </c>
      <c r="N7" s="154">
        <f t="shared" si="17"/>
        <v>0</v>
      </c>
      <c r="O7" s="154">
        <f t="shared" si="17"/>
        <v>0</v>
      </c>
      <c r="P7" s="154">
        <f t="shared" si="17"/>
        <v>5</v>
      </c>
      <c r="Q7" s="154">
        <f t="shared" si="17"/>
        <v>5</v>
      </c>
      <c r="R7" s="154">
        <f t="shared" si="17"/>
        <v>5</v>
      </c>
      <c r="S7" s="154">
        <f t="shared" si="17"/>
        <v>5</v>
      </c>
      <c r="T7" s="154">
        <f t="shared" si="17"/>
        <v>5</v>
      </c>
      <c r="U7" s="154">
        <f t="shared" si="17"/>
        <v>5</v>
      </c>
      <c r="V7" s="154">
        <f t="shared" si="17"/>
        <v>5</v>
      </c>
      <c r="W7" s="154">
        <f t="shared" si="17"/>
        <v>5</v>
      </c>
      <c r="X7" s="154">
        <f t="shared" si="17"/>
        <v>5</v>
      </c>
      <c r="Y7" s="154">
        <f t="shared" si="17"/>
        <v>5</v>
      </c>
      <c r="Z7" s="154">
        <f t="shared" si="17"/>
        <v>5</v>
      </c>
      <c r="AA7" s="154">
        <f t="shared" si="17"/>
        <v>5</v>
      </c>
      <c r="AB7" s="154">
        <f t="shared" si="17"/>
        <v>5</v>
      </c>
      <c r="AC7" s="154">
        <f t="shared" si="17"/>
        <v>5</v>
      </c>
      <c r="AD7" s="154">
        <f t="shared" si="17"/>
        <v>5</v>
      </c>
      <c r="AE7" s="154">
        <f t="shared" si="17"/>
        <v>5</v>
      </c>
      <c r="AF7" s="154">
        <f t="shared" si="17"/>
        <v>5</v>
      </c>
      <c r="AG7" s="154">
        <f t="shared" si="17"/>
        <v>5</v>
      </c>
      <c r="AH7" s="154">
        <f t="shared" si="17"/>
        <v>5</v>
      </c>
      <c r="AI7" s="154">
        <f t="shared" si="17"/>
        <v>5</v>
      </c>
      <c r="AJ7" s="154">
        <f t="shared" si="17"/>
        <v>5</v>
      </c>
      <c r="AK7" s="154">
        <f t="shared" si="17"/>
        <v>5</v>
      </c>
      <c r="AL7" s="154">
        <f t="shared" si="17"/>
        <v>5</v>
      </c>
      <c r="AM7" s="154">
        <f t="shared" si="17"/>
        <v>5</v>
      </c>
      <c r="AN7" s="154">
        <f t="shared" si="17"/>
        <v>30</v>
      </c>
      <c r="AO7" s="154">
        <f t="shared" si="17"/>
        <v>30</v>
      </c>
      <c r="AP7" s="154">
        <f t="shared" si="17"/>
        <v>30</v>
      </c>
      <c r="AQ7" s="154">
        <f t="shared" si="17"/>
        <v>30</v>
      </c>
      <c r="AR7" s="154">
        <f t="shared" ref="AR7:BW7" si="18">SUM(AR2:AR6)</f>
        <v>5</v>
      </c>
      <c r="AS7" s="154">
        <f t="shared" si="18"/>
        <v>5</v>
      </c>
      <c r="AT7" s="154">
        <f t="shared" si="18"/>
        <v>0</v>
      </c>
      <c r="AU7" s="154">
        <f t="shared" si="18"/>
        <v>0</v>
      </c>
      <c r="AV7" s="154">
        <f t="shared" si="18"/>
        <v>0</v>
      </c>
      <c r="AW7" s="154">
        <f t="shared" si="18"/>
        <v>0</v>
      </c>
      <c r="AX7" s="154">
        <f t="shared" si="18"/>
        <v>0</v>
      </c>
      <c r="AY7" s="154">
        <f t="shared" si="18"/>
        <v>0</v>
      </c>
      <c r="AZ7" s="154">
        <f t="shared" si="18"/>
        <v>0</v>
      </c>
      <c r="BA7" s="154">
        <f t="shared" si="18"/>
        <v>0</v>
      </c>
      <c r="BB7" s="154">
        <f t="shared" si="18"/>
        <v>0</v>
      </c>
      <c r="BC7" s="154">
        <f t="shared" si="18"/>
        <v>0</v>
      </c>
      <c r="BD7" s="154">
        <f t="shared" si="18"/>
        <v>0</v>
      </c>
      <c r="BE7" s="154">
        <f t="shared" si="18"/>
        <v>0</v>
      </c>
      <c r="BF7" s="154">
        <f t="shared" si="18"/>
        <v>0</v>
      </c>
      <c r="BG7" s="154">
        <f t="shared" si="18"/>
        <v>0</v>
      </c>
      <c r="BH7" s="154">
        <f t="shared" si="18"/>
        <v>0</v>
      </c>
      <c r="BI7" s="154">
        <f t="shared" si="18"/>
        <v>0</v>
      </c>
      <c r="BJ7" s="154">
        <f t="shared" si="18"/>
        <v>0</v>
      </c>
      <c r="BK7" s="154">
        <f t="shared" si="18"/>
        <v>0</v>
      </c>
      <c r="BL7" s="154">
        <f t="shared" si="18"/>
        <v>0</v>
      </c>
      <c r="BM7" s="154">
        <f t="shared" si="18"/>
        <v>0</v>
      </c>
      <c r="BN7" s="154">
        <f t="shared" si="18"/>
        <v>0</v>
      </c>
      <c r="BO7" s="154">
        <f t="shared" si="18"/>
        <v>0</v>
      </c>
      <c r="BP7" s="154">
        <f t="shared" si="18"/>
        <v>0</v>
      </c>
      <c r="BQ7" s="154">
        <f t="shared" si="18"/>
        <v>0</v>
      </c>
      <c r="BR7" s="154">
        <f t="shared" si="18"/>
        <v>0</v>
      </c>
      <c r="BS7" s="154">
        <f t="shared" si="18"/>
        <v>0</v>
      </c>
      <c r="BT7" s="154">
        <f t="shared" si="18"/>
        <v>0</v>
      </c>
      <c r="BU7" s="154">
        <f t="shared" si="18"/>
        <v>0</v>
      </c>
      <c r="BV7" s="154">
        <f t="shared" si="18"/>
        <v>0</v>
      </c>
      <c r="BW7" s="154">
        <f t="shared" si="18"/>
        <v>0</v>
      </c>
      <c r="BX7" s="154">
        <f t="shared" ref="BX7:DC7" si="19">SUM(BX2:BX6)</f>
        <v>0</v>
      </c>
      <c r="BY7" s="154">
        <f t="shared" si="19"/>
        <v>0</v>
      </c>
      <c r="BZ7" s="154">
        <f t="shared" si="19"/>
        <v>0</v>
      </c>
      <c r="CA7" s="154">
        <f t="shared" si="19"/>
        <v>0</v>
      </c>
      <c r="CB7" s="154">
        <f t="shared" si="19"/>
        <v>0</v>
      </c>
      <c r="CC7" s="154">
        <f t="shared" si="19"/>
        <v>0</v>
      </c>
      <c r="CD7" s="154">
        <f t="shared" si="19"/>
        <v>0</v>
      </c>
      <c r="CE7" s="154">
        <f t="shared" si="19"/>
        <v>0</v>
      </c>
      <c r="CF7" s="154">
        <f t="shared" si="19"/>
        <v>0</v>
      </c>
      <c r="CG7" s="154">
        <f t="shared" si="19"/>
        <v>0</v>
      </c>
      <c r="CH7" s="154">
        <f t="shared" si="19"/>
        <v>0</v>
      </c>
      <c r="CI7" s="154">
        <f t="shared" si="19"/>
        <v>0</v>
      </c>
      <c r="CJ7" s="154">
        <f t="shared" si="19"/>
        <v>0</v>
      </c>
      <c r="CK7" s="154">
        <f t="shared" si="19"/>
        <v>0</v>
      </c>
      <c r="CL7" s="154">
        <f t="shared" si="19"/>
        <v>0</v>
      </c>
      <c r="CM7" s="154">
        <f t="shared" si="19"/>
        <v>0</v>
      </c>
      <c r="CN7" s="154">
        <f t="shared" si="19"/>
        <v>0</v>
      </c>
      <c r="CO7" s="154">
        <f t="shared" si="19"/>
        <v>0</v>
      </c>
      <c r="CP7" s="154">
        <f t="shared" si="19"/>
        <v>0</v>
      </c>
      <c r="CQ7" s="154">
        <f t="shared" si="19"/>
        <v>0</v>
      </c>
      <c r="CR7" s="154">
        <f t="shared" si="19"/>
        <v>0</v>
      </c>
      <c r="CS7" s="154">
        <f t="shared" si="19"/>
        <v>0</v>
      </c>
      <c r="CT7" s="154">
        <f t="shared" si="19"/>
        <v>0</v>
      </c>
      <c r="CU7" s="154">
        <f t="shared" si="19"/>
        <v>0</v>
      </c>
      <c r="CV7" s="154">
        <f t="shared" si="19"/>
        <v>0</v>
      </c>
      <c r="CW7" s="154">
        <f t="shared" si="19"/>
        <v>0</v>
      </c>
      <c r="CX7" s="154">
        <f t="shared" si="19"/>
        <v>0</v>
      </c>
      <c r="CY7" s="154">
        <f t="shared" si="19"/>
        <v>0</v>
      </c>
      <c r="CZ7" s="154">
        <f t="shared" si="19"/>
        <v>0</v>
      </c>
      <c r="DA7" s="154">
        <f t="shared" si="19"/>
        <v>0</v>
      </c>
      <c r="DB7" s="154">
        <f t="shared" si="19"/>
        <v>0</v>
      </c>
      <c r="DC7" s="154">
        <f t="shared" si="19"/>
        <v>0</v>
      </c>
      <c r="DD7" s="154">
        <f t="shared" ref="DD7:EI7" si="20">SUM(DD2:DD6)</f>
        <v>0</v>
      </c>
      <c r="DE7" s="154">
        <f t="shared" si="20"/>
        <v>0</v>
      </c>
      <c r="DF7" s="154">
        <f t="shared" si="20"/>
        <v>0</v>
      </c>
      <c r="DG7" s="154">
        <f t="shared" si="20"/>
        <v>0</v>
      </c>
      <c r="DH7" s="154">
        <f t="shared" si="20"/>
        <v>0</v>
      </c>
      <c r="DI7" s="154">
        <f t="shared" si="20"/>
        <v>0</v>
      </c>
      <c r="DJ7" s="154">
        <f t="shared" si="20"/>
        <v>0</v>
      </c>
      <c r="DK7" s="154">
        <f t="shared" si="20"/>
        <v>0</v>
      </c>
      <c r="DL7" s="154">
        <f t="shared" si="20"/>
        <v>0</v>
      </c>
      <c r="DM7" s="154">
        <f t="shared" si="20"/>
        <v>0</v>
      </c>
      <c r="DN7" s="154">
        <f t="shared" si="20"/>
        <v>0</v>
      </c>
      <c r="DO7" s="154">
        <f t="shared" si="20"/>
        <v>0</v>
      </c>
      <c r="DP7" s="154">
        <f t="shared" si="20"/>
        <v>0</v>
      </c>
      <c r="DQ7" s="154">
        <f t="shared" si="20"/>
        <v>0</v>
      </c>
      <c r="DR7" s="154">
        <f t="shared" si="20"/>
        <v>0</v>
      </c>
      <c r="DS7" s="154">
        <f t="shared" si="20"/>
        <v>0</v>
      </c>
      <c r="DT7" s="154">
        <f t="shared" si="20"/>
        <v>0</v>
      </c>
      <c r="DU7" s="154">
        <f t="shared" si="20"/>
        <v>0</v>
      </c>
      <c r="DV7" s="154">
        <f t="shared" si="20"/>
        <v>0</v>
      </c>
      <c r="DW7" s="154">
        <f t="shared" si="20"/>
        <v>0</v>
      </c>
      <c r="DX7" s="154">
        <f t="shared" si="20"/>
        <v>0</v>
      </c>
      <c r="DY7" s="154">
        <f t="shared" si="20"/>
        <v>0</v>
      </c>
      <c r="DZ7" s="154">
        <f t="shared" si="20"/>
        <v>0</v>
      </c>
      <c r="EA7" s="154">
        <f t="shared" si="20"/>
        <v>0</v>
      </c>
      <c r="EB7" s="154">
        <f t="shared" si="20"/>
        <v>0</v>
      </c>
      <c r="EC7" s="154">
        <f t="shared" si="20"/>
        <v>0</v>
      </c>
      <c r="ED7" s="154">
        <f t="shared" si="20"/>
        <v>0</v>
      </c>
      <c r="EE7" s="154">
        <f t="shared" si="20"/>
        <v>0</v>
      </c>
      <c r="EF7" s="154">
        <f t="shared" si="20"/>
        <v>0</v>
      </c>
      <c r="EG7" s="154">
        <f t="shared" si="20"/>
        <v>0</v>
      </c>
      <c r="EH7" s="154">
        <f t="shared" si="20"/>
        <v>0</v>
      </c>
      <c r="EI7" s="154">
        <f t="shared" si="20"/>
        <v>0</v>
      </c>
      <c r="EJ7" s="154">
        <f t="shared" ref="EJ7:EL7" si="21">SUM(EJ2:EJ6)</f>
        <v>0</v>
      </c>
      <c r="EK7" s="154">
        <f t="shared" si="21"/>
        <v>0</v>
      </c>
      <c r="EL7" s="154">
        <f t="shared" si="21"/>
        <v>0</v>
      </c>
      <c r="EM7" s="160">
        <f>AVERAGE(L7:AU7)</f>
        <v>6.9444444444444446</v>
      </c>
      <c r="EN7" s="160">
        <f>MAX(L7:AU7)</f>
        <v>30</v>
      </c>
    </row>
    <row r="8" spans="1:204">
      <c r="F8" s="99"/>
      <c r="G8" s="99"/>
      <c r="H8" s="99"/>
      <c r="I8" s="99"/>
      <c r="J8" s="99"/>
      <c r="K8" s="99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</row>
    <row r="9" spans="1:204">
      <c r="A9" s="503" t="s">
        <v>72</v>
      </c>
      <c r="B9" s="458" t="str">
        <f>'BESS 11'!F50</f>
        <v>28 Jul
06 Aug</v>
      </c>
      <c r="C9" s="499" t="str">
        <f>'BESS 11'!G50</f>
        <v>02 Aug
10 Aug</v>
      </c>
      <c r="D9" s="114"/>
      <c r="E9" s="114" t="s">
        <v>10</v>
      </c>
      <c r="F9" s="115" t="s">
        <v>58</v>
      </c>
      <c r="G9" s="115" t="s">
        <v>59</v>
      </c>
      <c r="H9" s="115"/>
      <c r="I9" s="115" t="s">
        <v>60</v>
      </c>
      <c r="J9" s="116">
        <v>46195</v>
      </c>
      <c r="K9" s="116">
        <v>46196</v>
      </c>
      <c r="L9" s="116">
        <f>MIN('BESS 11'!O26:O33,'BESS 11'!O35)</f>
        <v>0</v>
      </c>
      <c r="M9" s="116">
        <f t="shared" ref="M9:AR9" si="22">L9+1</f>
        <v>1</v>
      </c>
      <c r="N9" s="116">
        <f t="shared" si="22"/>
        <v>2</v>
      </c>
      <c r="O9" s="116">
        <f t="shared" si="22"/>
        <v>3</v>
      </c>
      <c r="P9" s="116">
        <f t="shared" si="22"/>
        <v>4</v>
      </c>
      <c r="Q9" s="116">
        <f t="shared" si="22"/>
        <v>5</v>
      </c>
      <c r="R9" s="116">
        <f t="shared" si="22"/>
        <v>6</v>
      </c>
      <c r="S9" s="116">
        <f t="shared" si="22"/>
        <v>7</v>
      </c>
      <c r="T9" s="116">
        <f t="shared" si="22"/>
        <v>8</v>
      </c>
      <c r="U9" s="116">
        <f t="shared" si="22"/>
        <v>9</v>
      </c>
      <c r="V9" s="116">
        <f t="shared" si="22"/>
        <v>10</v>
      </c>
      <c r="W9" s="116">
        <f t="shared" si="22"/>
        <v>11</v>
      </c>
      <c r="X9" s="116">
        <f t="shared" si="22"/>
        <v>12</v>
      </c>
      <c r="Y9" s="116">
        <f t="shared" si="22"/>
        <v>13</v>
      </c>
      <c r="Z9" s="116">
        <f t="shared" si="22"/>
        <v>14</v>
      </c>
      <c r="AA9" s="116">
        <f t="shared" si="22"/>
        <v>15</v>
      </c>
      <c r="AB9" s="116">
        <f t="shared" si="22"/>
        <v>16</v>
      </c>
      <c r="AC9" s="116">
        <f t="shared" si="22"/>
        <v>17</v>
      </c>
      <c r="AD9" s="116">
        <f t="shared" si="22"/>
        <v>18</v>
      </c>
      <c r="AE9" s="116">
        <f t="shared" si="22"/>
        <v>19</v>
      </c>
      <c r="AF9" s="116">
        <f t="shared" si="22"/>
        <v>20</v>
      </c>
      <c r="AG9" s="116">
        <f t="shared" si="22"/>
        <v>21</v>
      </c>
      <c r="AH9" s="116">
        <f t="shared" si="22"/>
        <v>22</v>
      </c>
      <c r="AI9" s="116">
        <f t="shared" si="22"/>
        <v>23</v>
      </c>
      <c r="AJ9" s="116">
        <f t="shared" si="22"/>
        <v>24</v>
      </c>
      <c r="AK9" s="116">
        <f t="shared" si="22"/>
        <v>25</v>
      </c>
      <c r="AL9" s="116">
        <f t="shared" si="22"/>
        <v>26</v>
      </c>
      <c r="AM9" s="116">
        <f t="shared" si="22"/>
        <v>27</v>
      </c>
      <c r="AN9" s="116">
        <f t="shared" si="22"/>
        <v>28</v>
      </c>
      <c r="AO9" s="116">
        <f t="shared" si="22"/>
        <v>29</v>
      </c>
      <c r="AP9" s="116">
        <f t="shared" si="22"/>
        <v>30</v>
      </c>
      <c r="AQ9" s="116">
        <f t="shared" si="22"/>
        <v>31</v>
      </c>
      <c r="AR9" s="116">
        <f t="shared" si="22"/>
        <v>32</v>
      </c>
      <c r="AS9" s="116">
        <f t="shared" ref="AS9:BX9" si="23">AR9+1</f>
        <v>33</v>
      </c>
      <c r="AT9" s="116">
        <f t="shared" si="23"/>
        <v>34</v>
      </c>
      <c r="AU9" s="116">
        <f t="shared" si="23"/>
        <v>35</v>
      </c>
      <c r="AV9" s="116">
        <f t="shared" si="23"/>
        <v>36</v>
      </c>
      <c r="AW9" s="116">
        <f t="shared" si="23"/>
        <v>37</v>
      </c>
      <c r="AX9" s="116">
        <f t="shared" si="23"/>
        <v>38</v>
      </c>
      <c r="AY9" s="116">
        <f t="shared" si="23"/>
        <v>39</v>
      </c>
      <c r="AZ9" s="116">
        <f t="shared" si="23"/>
        <v>40</v>
      </c>
      <c r="BA9" s="116">
        <f t="shared" si="23"/>
        <v>41</v>
      </c>
      <c r="BB9" s="116">
        <f t="shared" si="23"/>
        <v>42</v>
      </c>
      <c r="BC9" s="116">
        <f t="shared" si="23"/>
        <v>43</v>
      </c>
      <c r="BD9" s="116">
        <f t="shared" si="23"/>
        <v>44</v>
      </c>
      <c r="BE9" s="116">
        <f t="shared" si="23"/>
        <v>45</v>
      </c>
      <c r="BF9" s="116">
        <f t="shared" si="23"/>
        <v>46</v>
      </c>
      <c r="BG9" s="116">
        <f t="shared" si="23"/>
        <v>47</v>
      </c>
      <c r="BH9" s="116">
        <f t="shared" si="23"/>
        <v>48</v>
      </c>
      <c r="BI9" s="116">
        <f t="shared" si="23"/>
        <v>49</v>
      </c>
      <c r="BJ9" s="116">
        <f t="shared" si="23"/>
        <v>50</v>
      </c>
      <c r="BK9" s="116">
        <f t="shared" si="23"/>
        <v>51</v>
      </c>
      <c r="BL9" s="116">
        <f t="shared" si="23"/>
        <v>52</v>
      </c>
      <c r="BM9" s="116">
        <f t="shared" si="23"/>
        <v>53</v>
      </c>
      <c r="BN9" s="116">
        <f t="shared" si="23"/>
        <v>54</v>
      </c>
      <c r="BO9" s="116">
        <f t="shared" si="23"/>
        <v>55</v>
      </c>
      <c r="BP9" s="116">
        <f t="shared" si="23"/>
        <v>56</v>
      </c>
      <c r="BQ9" s="116">
        <f t="shared" si="23"/>
        <v>57</v>
      </c>
      <c r="BR9" s="116">
        <f t="shared" si="23"/>
        <v>58</v>
      </c>
      <c r="BS9" s="116">
        <f t="shared" si="23"/>
        <v>59</v>
      </c>
      <c r="BT9" s="116">
        <f t="shared" si="23"/>
        <v>60</v>
      </c>
      <c r="BU9" s="116">
        <f t="shared" si="23"/>
        <v>61</v>
      </c>
      <c r="BV9" s="116">
        <f t="shared" si="23"/>
        <v>62</v>
      </c>
      <c r="BW9" s="116">
        <f t="shared" si="23"/>
        <v>63</v>
      </c>
      <c r="BX9" s="116">
        <f t="shared" si="23"/>
        <v>64</v>
      </c>
      <c r="BY9" s="116">
        <f t="shared" ref="BY9:DD9" si="24">BX9+1</f>
        <v>65</v>
      </c>
      <c r="BZ9" s="116">
        <f t="shared" si="24"/>
        <v>66</v>
      </c>
      <c r="CA9" s="116">
        <f t="shared" si="24"/>
        <v>67</v>
      </c>
      <c r="CB9" s="116">
        <f t="shared" si="24"/>
        <v>68</v>
      </c>
      <c r="CC9" s="116">
        <f t="shared" si="24"/>
        <v>69</v>
      </c>
      <c r="CD9" s="116">
        <f t="shared" si="24"/>
        <v>70</v>
      </c>
      <c r="CE9" s="116">
        <f t="shared" si="24"/>
        <v>71</v>
      </c>
      <c r="CF9" s="116">
        <f t="shared" si="24"/>
        <v>72</v>
      </c>
      <c r="CG9" s="116">
        <f t="shared" si="24"/>
        <v>73</v>
      </c>
      <c r="CH9" s="116">
        <f t="shared" si="24"/>
        <v>74</v>
      </c>
      <c r="CI9" s="116">
        <f t="shared" si="24"/>
        <v>75</v>
      </c>
      <c r="CJ9" s="116">
        <f t="shared" si="24"/>
        <v>76</v>
      </c>
      <c r="CK9" s="116">
        <f t="shared" si="24"/>
        <v>77</v>
      </c>
      <c r="CL9" s="116">
        <f t="shared" si="24"/>
        <v>78</v>
      </c>
      <c r="CM9" s="116">
        <f t="shared" si="24"/>
        <v>79</v>
      </c>
      <c r="CN9" s="116">
        <f t="shared" si="24"/>
        <v>80</v>
      </c>
      <c r="CO9" s="116">
        <f t="shared" si="24"/>
        <v>81</v>
      </c>
      <c r="CP9" s="116">
        <f t="shared" si="24"/>
        <v>82</v>
      </c>
      <c r="CQ9" s="116">
        <f t="shared" si="24"/>
        <v>83</v>
      </c>
      <c r="CR9" s="116">
        <f t="shared" si="24"/>
        <v>84</v>
      </c>
      <c r="CS9" s="116">
        <f t="shared" si="24"/>
        <v>85</v>
      </c>
      <c r="CT9" s="116">
        <f t="shared" si="24"/>
        <v>86</v>
      </c>
      <c r="CU9" s="116">
        <f t="shared" si="24"/>
        <v>87</v>
      </c>
      <c r="CV9" s="116">
        <f t="shared" si="24"/>
        <v>88</v>
      </c>
      <c r="CW9" s="116">
        <f t="shared" si="24"/>
        <v>89</v>
      </c>
      <c r="CX9" s="116">
        <f t="shared" si="24"/>
        <v>90</v>
      </c>
      <c r="CY9" s="116">
        <f t="shared" si="24"/>
        <v>91</v>
      </c>
      <c r="CZ9" s="116">
        <f t="shared" si="24"/>
        <v>92</v>
      </c>
      <c r="DA9" s="116">
        <f t="shared" si="24"/>
        <v>93</v>
      </c>
      <c r="DB9" s="116">
        <f t="shared" si="24"/>
        <v>94</v>
      </c>
      <c r="DC9" s="116">
        <f t="shared" si="24"/>
        <v>95</v>
      </c>
      <c r="DD9" s="116">
        <f t="shared" si="24"/>
        <v>96</v>
      </c>
      <c r="DE9" s="116">
        <f t="shared" ref="DE9:EL9" si="25">DD9+1</f>
        <v>97</v>
      </c>
      <c r="DF9" s="116">
        <f t="shared" si="25"/>
        <v>98</v>
      </c>
      <c r="DG9" s="116">
        <f t="shared" si="25"/>
        <v>99</v>
      </c>
      <c r="DH9" s="116">
        <f t="shared" si="25"/>
        <v>100</v>
      </c>
      <c r="DI9" s="116">
        <f t="shared" si="25"/>
        <v>101</v>
      </c>
      <c r="DJ9" s="116">
        <f t="shared" si="25"/>
        <v>102</v>
      </c>
      <c r="DK9" s="116">
        <f t="shared" si="25"/>
        <v>103</v>
      </c>
      <c r="DL9" s="116">
        <f t="shared" si="25"/>
        <v>104</v>
      </c>
      <c r="DM9" s="116">
        <f t="shared" si="25"/>
        <v>105</v>
      </c>
      <c r="DN9" s="116">
        <f t="shared" si="25"/>
        <v>106</v>
      </c>
      <c r="DO9" s="116">
        <f t="shared" si="25"/>
        <v>107</v>
      </c>
      <c r="DP9" s="116">
        <f t="shared" si="25"/>
        <v>108</v>
      </c>
      <c r="DQ9" s="116">
        <f t="shared" si="25"/>
        <v>109</v>
      </c>
      <c r="DR9" s="116">
        <f t="shared" si="25"/>
        <v>110</v>
      </c>
      <c r="DS9" s="116">
        <f t="shared" si="25"/>
        <v>111</v>
      </c>
      <c r="DT9" s="116">
        <f t="shared" si="25"/>
        <v>112</v>
      </c>
      <c r="DU9" s="116">
        <f t="shared" si="25"/>
        <v>113</v>
      </c>
      <c r="DV9" s="116">
        <f t="shared" si="25"/>
        <v>114</v>
      </c>
      <c r="DW9" s="116">
        <f t="shared" si="25"/>
        <v>115</v>
      </c>
      <c r="DX9" s="116">
        <f t="shared" si="25"/>
        <v>116</v>
      </c>
      <c r="DY9" s="116">
        <f t="shared" si="25"/>
        <v>117</v>
      </c>
      <c r="DZ9" s="116">
        <f t="shared" si="25"/>
        <v>118</v>
      </c>
      <c r="EA9" s="116">
        <f t="shared" si="25"/>
        <v>119</v>
      </c>
      <c r="EB9" s="116">
        <f t="shared" si="25"/>
        <v>120</v>
      </c>
      <c r="EC9" s="116">
        <f t="shared" si="25"/>
        <v>121</v>
      </c>
      <c r="ED9" s="116">
        <f t="shared" si="25"/>
        <v>122</v>
      </c>
      <c r="EE9" s="116">
        <f t="shared" si="25"/>
        <v>123</v>
      </c>
      <c r="EF9" s="116">
        <f t="shared" si="25"/>
        <v>124</v>
      </c>
      <c r="EG9" s="116">
        <f t="shared" si="25"/>
        <v>125</v>
      </c>
      <c r="EH9" s="116">
        <f t="shared" si="25"/>
        <v>126</v>
      </c>
      <c r="EI9" s="116">
        <f t="shared" si="25"/>
        <v>127</v>
      </c>
      <c r="EJ9" s="116">
        <f t="shared" si="25"/>
        <v>128</v>
      </c>
      <c r="EK9" s="116">
        <f t="shared" si="25"/>
        <v>129</v>
      </c>
      <c r="EL9" s="116">
        <f t="shared" si="25"/>
        <v>130</v>
      </c>
    </row>
    <row r="10" spans="1:204">
      <c r="A10" s="476"/>
      <c r="B10" s="459"/>
      <c r="C10" s="500"/>
      <c r="D10" s="467" t="str">
        <f>'BESS 11'!H50</f>
        <v>05 Aug
13 Aug</v>
      </c>
      <c r="E10" s="109" t="s">
        <v>64</v>
      </c>
      <c r="F10" s="102">
        <f>SUM('BESS 11'!S64:S71,'BESS 11'!S73)</f>
        <v>4</v>
      </c>
      <c r="G10" s="101">
        <f>MAX('BESS 11'!O64:O71,'BESS 11'!O73)-MIN('BESS 11'!O64:O71,'BESS 11'!O73)+1</f>
        <v>1</v>
      </c>
      <c r="H10" s="101"/>
      <c r="I10" s="110">
        <f>MIN('BESS 11'!O64:O71,'BESS 11'!O73)</f>
        <v>46233</v>
      </c>
      <c r="J10" s="101" t="str">
        <f t="shared" ref="J10:S13" si="26">IF(AND(J$1&gt;=$I10,J$1&lt;($I10+$G10)),ROUND($F10/$G10,0),"-")</f>
        <v>-</v>
      </c>
      <c r="K10" s="101" t="str">
        <f t="shared" si="26"/>
        <v>-</v>
      </c>
      <c r="L10" s="101" t="str">
        <f t="shared" si="26"/>
        <v>-</v>
      </c>
      <c r="M10" s="101" t="str">
        <f t="shared" si="26"/>
        <v>-</v>
      </c>
      <c r="N10" s="101" t="str">
        <f t="shared" si="26"/>
        <v>-</v>
      </c>
      <c r="O10" s="101" t="str">
        <f t="shared" si="26"/>
        <v>-</v>
      </c>
      <c r="P10" s="101" t="str">
        <f t="shared" si="26"/>
        <v>-</v>
      </c>
      <c r="Q10" s="101" t="str">
        <f t="shared" si="26"/>
        <v>-</v>
      </c>
      <c r="R10" s="101" t="str">
        <f t="shared" si="26"/>
        <v>-</v>
      </c>
      <c r="S10" s="101" t="str">
        <f t="shared" si="26"/>
        <v>-</v>
      </c>
      <c r="T10" s="101" t="str">
        <f t="shared" ref="T10:AC13" si="27">IF(AND(T$1&gt;=$I10,T$1&lt;($I10+$G10)),ROUND($F10/$G10,0),"-")</f>
        <v>-</v>
      </c>
      <c r="U10" s="101" t="str">
        <f t="shared" si="27"/>
        <v>-</v>
      </c>
      <c r="V10" s="101" t="str">
        <f t="shared" si="27"/>
        <v>-</v>
      </c>
      <c r="W10" s="101" t="str">
        <f t="shared" si="27"/>
        <v>-</v>
      </c>
      <c r="X10" s="101" t="str">
        <f t="shared" si="27"/>
        <v>-</v>
      </c>
      <c r="Y10" s="101" t="str">
        <f t="shared" si="27"/>
        <v>-</v>
      </c>
      <c r="Z10" s="101" t="str">
        <f t="shared" si="27"/>
        <v>-</v>
      </c>
      <c r="AA10" s="101" t="str">
        <f t="shared" si="27"/>
        <v>-</v>
      </c>
      <c r="AB10" s="101" t="str">
        <f t="shared" si="27"/>
        <v>-</v>
      </c>
      <c r="AC10" s="101" t="str">
        <f t="shared" si="27"/>
        <v>-</v>
      </c>
      <c r="AD10" s="101" t="str">
        <f t="shared" ref="AD10:AM13" si="28">IF(AND(AD$1&gt;=$I10,AD$1&lt;($I10+$G10)),ROUND($F10/$G10,0),"-")</f>
        <v>-</v>
      </c>
      <c r="AE10" s="101" t="str">
        <f t="shared" si="28"/>
        <v>-</v>
      </c>
      <c r="AF10" s="101" t="str">
        <f t="shared" si="28"/>
        <v>-</v>
      </c>
      <c r="AG10" s="101" t="str">
        <f t="shared" si="28"/>
        <v>-</v>
      </c>
      <c r="AH10" s="101" t="str">
        <f t="shared" si="28"/>
        <v>-</v>
      </c>
      <c r="AI10" s="101" t="str">
        <f t="shared" si="28"/>
        <v>-</v>
      </c>
      <c r="AJ10" s="101" t="str">
        <f t="shared" si="28"/>
        <v>-</v>
      </c>
      <c r="AK10" s="101" t="str">
        <f t="shared" si="28"/>
        <v>-</v>
      </c>
      <c r="AL10" s="101" t="str">
        <f t="shared" si="28"/>
        <v>-</v>
      </c>
      <c r="AM10" s="101" t="str">
        <f t="shared" si="28"/>
        <v>-</v>
      </c>
      <c r="AN10" s="101" t="str">
        <f t="shared" ref="AN10:AW13" si="29">IF(AND(AN$1&gt;=$I10,AN$1&lt;($I10+$G10)),ROUND($F10/$G10,0),"-")</f>
        <v>-</v>
      </c>
      <c r="AO10" s="101" t="str">
        <f t="shared" si="29"/>
        <v>-</v>
      </c>
      <c r="AP10" s="101" t="str">
        <f t="shared" si="29"/>
        <v>-</v>
      </c>
      <c r="AQ10" s="101" t="str">
        <f t="shared" si="29"/>
        <v>-</v>
      </c>
      <c r="AR10" s="101" t="str">
        <f t="shared" si="29"/>
        <v>-</v>
      </c>
      <c r="AS10" s="101" t="str">
        <f t="shared" si="29"/>
        <v>-</v>
      </c>
      <c r="AT10" s="101" t="str">
        <f t="shared" si="29"/>
        <v>-</v>
      </c>
      <c r="AU10" s="101" t="str">
        <f t="shared" si="29"/>
        <v>-</v>
      </c>
      <c r="AV10" s="101">
        <f t="shared" si="29"/>
        <v>4</v>
      </c>
      <c r="AW10" s="101" t="str">
        <f t="shared" si="29"/>
        <v>-</v>
      </c>
      <c r="AX10" s="101" t="str">
        <f t="shared" ref="AX10:BG13" si="30">IF(AND(AX$1&gt;=$I10,AX$1&lt;($I10+$G10)),ROUND($F10/$G10,0),"-")</f>
        <v>-</v>
      </c>
      <c r="AY10" s="101" t="str">
        <f t="shared" si="30"/>
        <v>-</v>
      </c>
      <c r="AZ10" s="101" t="str">
        <f t="shared" si="30"/>
        <v>-</v>
      </c>
      <c r="BA10" s="101" t="str">
        <f t="shared" si="30"/>
        <v>-</v>
      </c>
      <c r="BB10" s="101" t="str">
        <f t="shared" si="30"/>
        <v>-</v>
      </c>
      <c r="BC10" s="101" t="str">
        <f t="shared" si="30"/>
        <v>-</v>
      </c>
      <c r="BD10" s="101" t="str">
        <f t="shared" si="30"/>
        <v>-</v>
      </c>
      <c r="BE10" s="101" t="str">
        <f t="shared" si="30"/>
        <v>-</v>
      </c>
      <c r="BF10" s="101" t="str">
        <f t="shared" si="30"/>
        <v>-</v>
      </c>
      <c r="BG10" s="101" t="str">
        <f t="shared" si="30"/>
        <v>-</v>
      </c>
      <c r="BH10" s="101" t="str">
        <f t="shared" ref="BH10:BQ13" si="31">IF(AND(BH$1&gt;=$I10,BH$1&lt;($I10+$G10)),ROUND($F10/$G10,0),"-")</f>
        <v>-</v>
      </c>
      <c r="BI10" s="101" t="str">
        <f t="shared" si="31"/>
        <v>-</v>
      </c>
      <c r="BJ10" s="101" t="str">
        <f t="shared" si="31"/>
        <v>-</v>
      </c>
      <c r="BK10" s="101" t="str">
        <f t="shared" si="31"/>
        <v>-</v>
      </c>
      <c r="BL10" s="101" t="str">
        <f t="shared" si="31"/>
        <v>-</v>
      </c>
      <c r="BM10" s="101" t="str">
        <f t="shared" si="31"/>
        <v>-</v>
      </c>
      <c r="BN10" s="101" t="str">
        <f t="shared" si="31"/>
        <v>-</v>
      </c>
      <c r="BO10" s="101" t="str">
        <f t="shared" si="31"/>
        <v>-</v>
      </c>
      <c r="BP10" s="101" t="str">
        <f t="shared" si="31"/>
        <v>-</v>
      </c>
      <c r="BQ10" s="101" t="str">
        <f t="shared" si="31"/>
        <v>-</v>
      </c>
      <c r="BR10" s="101" t="str">
        <f t="shared" ref="BR10:CA13" si="32">IF(AND(BR$1&gt;=$I10,BR$1&lt;($I10+$G10)),ROUND($F10/$G10,0),"-")</f>
        <v>-</v>
      </c>
      <c r="BS10" s="101" t="str">
        <f t="shared" si="32"/>
        <v>-</v>
      </c>
      <c r="BT10" s="101" t="str">
        <f t="shared" si="32"/>
        <v>-</v>
      </c>
      <c r="BU10" s="101" t="str">
        <f t="shared" si="32"/>
        <v>-</v>
      </c>
      <c r="BV10" s="101" t="str">
        <f t="shared" si="32"/>
        <v>-</v>
      </c>
      <c r="BW10" s="101" t="str">
        <f t="shared" si="32"/>
        <v>-</v>
      </c>
      <c r="BX10" s="101" t="str">
        <f t="shared" si="32"/>
        <v>-</v>
      </c>
      <c r="BY10" s="101" t="str">
        <f t="shared" si="32"/>
        <v>-</v>
      </c>
      <c r="BZ10" s="101" t="str">
        <f t="shared" si="32"/>
        <v>-</v>
      </c>
      <c r="CA10" s="101" t="str">
        <f t="shared" si="32"/>
        <v>-</v>
      </c>
      <c r="CB10" s="101" t="str">
        <f t="shared" ref="CB10:CK13" si="33">IF(AND(CB$1&gt;=$I10,CB$1&lt;($I10+$G10)),ROUND($F10/$G10,0),"-")</f>
        <v>-</v>
      </c>
      <c r="CC10" s="101" t="str">
        <f t="shared" si="33"/>
        <v>-</v>
      </c>
      <c r="CD10" s="101" t="str">
        <f t="shared" si="33"/>
        <v>-</v>
      </c>
      <c r="CE10" s="101" t="str">
        <f t="shared" si="33"/>
        <v>-</v>
      </c>
      <c r="CF10" s="101" t="str">
        <f t="shared" si="33"/>
        <v>-</v>
      </c>
      <c r="CG10" s="101" t="str">
        <f t="shared" si="33"/>
        <v>-</v>
      </c>
      <c r="CH10" s="101" t="str">
        <f t="shared" si="33"/>
        <v>-</v>
      </c>
      <c r="CI10" s="101" t="str">
        <f t="shared" si="33"/>
        <v>-</v>
      </c>
      <c r="CJ10" s="101" t="str">
        <f t="shared" si="33"/>
        <v>-</v>
      </c>
      <c r="CK10" s="101" t="str">
        <f t="shared" si="33"/>
        <v>-</v>
      </c>
      <c r="CL10" s="101" t="str">
        <f t="shared" ref="CL10:CU13" si="34">IF(AND(CL$1&gt;=$I10,CL$1&lt;($I10+$G10)),ROUND($F10/$G10,0),"-")</f>
        <v>-</v>
      </c>
      <c r="CM10" s="101" t="str">
        <f t="shared" si="34"/>
        <v>-</v>
      </c>
      <c r="CN10" s="101" t="str">
        <f t="shared" si="34"/>
        <v>-</v>
      </c>
      <c r="CO10" s="101" t="str">
        <f t="shared" si="34"/>
        <v>-</v>
      </c>
      <c r="CP10" s="101" t="str">
        <f t="shared" si="34"/>
        <v>-</v>
      </c>
      <c r="CQ10" s="101" t="str">
        <f t="shared" si="34"/>
        <v>-</v>
      </c>
      <c r="CR10" s="101" t="str">
        <f t="shared" si="34"/>
        <v>-</v>
      </c>
      <c r="CS10" s="101" t="str">
        <f t="shared" si="34"/>
        <v>-</v>
      </c>
      <c r="CT10" s="101" t="str">
        <f t="shared" si="34"/>
        <v>-</v>
      </c>
      <c r="CU10" s="101" t="str">
        <f t="shared" si="34"/>
        <v>-</v>
      </c>
      <c r="CV10" s="101" t="str">
        <f t="shared" ref="CV10:DE13" si="35">IF(AND(CV$1&gt;=$I10,CV$1&lt;($I10+$G10)),ROUND($F10/$G10,0),"-")</f>
        <v>-</v>
      </c>
      <c r="CW10" s="101" t="str">
        <f t="shared" si="35"/>
        <v>-</v>
      </c>
      <c r="CX10" s="101" t="str">
        <f t="shared" si="35"/>
        <v>-</v>
      </c>
      <c r="CY10" s="101" t="str">
        <f t="shared" si="35"/>
        <v>-</v>
      </c>
      <c r="CZ10" s="101" t="str">
        <f t="shared" si="35"/>
        <v>-</v>
      </c>
      <c r="DA10" s="101" t="str">
        <f t="shared" si="35"/>
        <v>-</v>
      </c>
      <c r="DB10" s="101" t="str">
        <f t="shared" si="35"/>
        <v>-</v>
      </c>
      <c r="DC10" s="101" t="str">
        <f t="shared" si="35"/>
        <v>-</v>
      </c>
      <c r="DD10" s="101" t="str">
        <f t="shared" si="35"/>
        <v>-</v>
      </c>
      <c r="DE10" s="101" t="str">
        <f t="shared" si="35"/>
        <v>-</v>
      </c>
      <c r="DF10" s="101" t="str">
        <f t="shared" ref="DF10:DO13" si="36">IF(AND(DF$1&gt;=$I10,DF$1&lt;($I10+$G10)),ROUND($F10/$G10,0),"-")</f>
        <v>-</v>
      </c>
      <c r="DG10" s="101" t="str">
        <f t="shared" si="36"/>
        <v>-</v>
      </c>
      <c r="DH10" s="101" t="str">
        <f t="shared" si="36"/>
        <v>-</v>
      </c>
      <c r="DI10" s="101" t="str">
        <f t="shared" si="36"/>
        <v>-</v>
      </c>
      <c r="DJ10" s="101" t="str">
        <f t="shared" si="36"/>
        <v>-</v>
      </c>
      <c r="DK10" s="101" t="str">
        <f t="shared" si="36"/>
        <v>-</v>
      </c>
      <c r="DL10" s="101" t="str">
        <f t="shared" si="36"/>
        <v>-</v>
      </c>
      <c r="DM10" s="101" t="str">
        <f t="shared" si="36"/>
        <v>-</v>
      </c>
      <c r="DN10" s="101" t="str">
        <f t="shared" si="36"/>
        <v>-</v>
      </c>
      <c r="DO10" s="101" t="str">
        <f t="shared" si="36"/>
        <v>-</v>
      </c>
      <c r="DP10" s="101" t="str">
        <f t="shared" ref="DP10:DY13" si="37">IF(AND(DP$1&gt;=$I10,DP$1&lt;($I10+$G10)),ROUND($F10/$G10,0),"-")</f>
        <v>-</v>
      </c>
      <c r="DQ10" s="101" t="str">
        <f t="shared" si="37"/>
        <v>-</v>
      </c>
      <c r="DR10" s="101" t="str">
        <f t="shared" si="37"/>
        <v>-</v>
      </c>
      <c r="DS10" s="101" t="str">
        <f t="shared" si="37"/>
        <v>-</v>
      </c>
      <c r="DT10" s="101" t="str">
        <f t="shared" si="37"/>
        <v>-</v>
      </c>
      <c r="DU10" s="101" t="str">
        <f t="shared" si="37"/>
        <v>-</v>
      </c>
      <c r="DV10" s="101" t="str">
        <f t="shared" si="37"/>
        <v>-</v>
      </c>
      <c r="DW10" s="101" t="str">
        <f t="shared" si="37"/>
        <v>-</v>
      </c>
      <c r="DX10" s="101" t="str">
        <f t="shared" si="37"/>
        <v>-</v>
      </c>
      <c r="DY10" s="101" t="str">
        <f t="shared" si="37"/>
        <v>-</v>
      </c>
      <c r="DZ10" s="101" t="str">
        <f t="shared" ref="DZ10:EL13" si="38">IF(AND(DZ$1&gt;=$I10,DZ$1&lt;($I10+$G10)),ROUND($F10/$G10,0),"-")</f>
        <v>-</v>
      </c>
      <c r="EA10" s="101" t="str">
        <f t="shared" si="38"/>
        <v>-</v>
      </c>
      <c r="EB10" s="101" t="str">
        <f t="shared" si="38"/>
        <v>-</v>
      </c>
      <c r="EC10" s="101" t="str">
        <f t="shared" si="38"/>
        <v>-</v>
      </c>
      <c r="ED10" s="101" t="str">
        <f t="shared" si="38"/>
        <v>-</v>
      </c>
      <c r="EE10" s="101" t="str">
        <f t="shared" si="38"/>
        <v>-</v>
      </c>
      <c r="EF10" s="101" t="str">
        <f t="shared" si="38"/>
        <v>-</v>
      </c>
      <c r="EG10" s="101" t="str">
        <f t="shared" si="38"/>
        <v>-</v>
      </c>
      <c r="EH10" s="101" t="str">
        <f t="shared" si="38"/>
        <v>-</v>
      </c>
      <c r="EI10" s="101" t="str">
        <f t="shared" si="38"/>
        <v>-</v>
      </c>
      <c r="EJ10" s="101" t="str">
        <f t="shared" si="38"/>
        <v>-</v>
      </c>
      <c r="EK10" s="101" t="str">
        <f t="shared" si="38"/>
        <v>-</v>
      </c>
      <c r="EL10" s="101" t="str">
        <f t="shared" si="38"/>
        <v>-</v>
      </c>
    </row>
    <row r="11" spans="1:204">
      <c r="A11" s="476"/>
      <c r="B11" s="459"/>
      <c r="C11" s="500"/>
      <c r="D11" s="466"/>
      <c r="E11" s="109" t="s">
        <v>65</v>
      </c>
      <c r="F11" s="102">
        <f>SUM('BESS 11'!S74,'BESS 11'!S76,'BESS 11'!S77,'BESS 11'!S80:S82)</f>
        <v>155.21</v>
      </c>
      <c r="G11" s="101">
        <f>MAX('BESS 11'!O74,'BESS 11'!O76,'BESS 11'!O77,'BESS 11'!O80:O82)-MIN('BESS 11'!O74,'BESS 11'!O76,'BESS 11'!O77,'BESS 11'!O80:O82)+1</f>
        <v>1</v>
      </c>
      <c r="H11" s="101"/>
      <c r="I11" s="110">
        <f>MIN('BESS 11'!O74,'BESS 11'!O76,'BESS 11'!O77,'BESS 11'!O80:O82)</f>
        <v>46233</v>
      </c>
      <c r="J11" s="101" t="str">
        <f t="shared" si="26"/>
        <v>-</v>
      </c>
      <c r="K11" s="101" t="str">
        <f t="shared" si="26"/>
        <v>-</v>
      </c>
      <c r="L11" s="101" t="str">
        <f t="shared" si="26"/>
        <v>-</v>
      </c>
      <c r="M11" s="101" t="str">
        <f t="shared" si="26"/>
        <v>-</v>
      </c>
      <c r="N11" s="101" t="str">
        <f t="shared" si="26"/>
        <v>-</v>
      </c>
      <c r="O11" s="101" t="str">
        <f t="shared" si="26"/>
        <v>-</v>
      </c>
      <c r="P11" s="101" t="str">
        <f t="shared" si="26"/>
        <v>-</v>
      </c>
      <c r="Q11" s="101" t="str">
        <f t="shared" si="26"/>
        <v>-</v>
      </c>
      <c r="R11" s="101" t="str">
        <f t="shared" si="26"/>
        <v>-</v>
      </c>
      <c r="S11" s="101" t="str">
        <f t="shared" si="26"/>
        <v>-</v>
      </c>
      <c r="T11" s="101" t="str">
        <f t="shared" si="27"/>
        <v>-</v>
      </c>
      <c r="U11" s="101" t="str">
        <f t="shared" si="27"/>
        <v>-</v>
      </c>
      <c r="V11" s="101" t="str">
        <f t="shared" si="27"/>
        <v>-</v>
      </c>
      <c r="W11" s="101" t="str">
        <f t="shared" si="27"/>
        <v>-</v>
      </c>
      <c r="X11" s="101" t="str">
        <f t="shared" si="27"/>
        <v>-</v>
      </c>
      <c r="Y11" s="101" t="str">
        <f t="shared" si="27"/>
        <v>-</v>
      </c>
      <c r="Z11" s="101" t="str">
        <f t="shared" si="27"/>
        <v>-</v>
      </c>
      <c r="AA11" s="101" t="str">
        <f t="shared" si="27"/>
        <v>-</v>
      </c>
      <c r="AB11" s="101" t="str">
        <f t="shared" si="27"/>
        <v>-</v>
      </c>
      <c r="AC11" s="101" t="str">
        <f t="shared" si="27"/>
        <v>-</v>
      </c>
      <c r="AD11" s="101" t="str">
        <f t="shared" si="28"/>
        <v>-</v>
      </c>
      <c r="AE11" s="101" t="str">
        <f t="shared" si="28"/>
        <v>-</v>
      </c>
      <c r="AF11" s="101" t="str">
        <f t="shared" si="28"/>
        <v>-</v>
      </c>
      <c r="AG11" s="101" t="str">
        <f t="shared" si="28"/>
        <v>-</v>
      </c>
      <c r="AH11" s="101" t="str">
        <f t="shared" si="28"/>
        <v>-</v>
      </c>
      <c r="AI11" s="101" t="str">
        <f t="shared" si="28"/>
        <v>-</v>
      </c>
      <c r="AJ11" s="101" t="str">
        <f t="shared" si="28"/>
        <v>-</v>
      </c>
      <c r="AK11" s="101" t="str">
        <f t="shared" si="28"/>
        <v>-</v>
      </c>
      <c r="AL11" s="101" t="str">
        <f t="shared" si="28"/>
        <v>-</v>
      </c>
      <c r="AM11" s="101" t="str">
        <f t="shared" si="28"/>
        <v>-</v>
      </c>
      <c r="AN11" s="101" t="str">
        <f t="shared" si="29"/>
        <v>-</v>
      </c>
      <c r="AO11" s="101" t="str">
        <f t="shared" si="29"/>
        <v>-</v>
      </c>
      <c r="AP11" s="101" t="str">
        <f t="shared" si="29"/>
        <v>-</v>
      </c>
      <c r="AQ11" s="101" t="str">
        <f t="shared" si="29"/>
        <v>-</v>
      </c>
      <c r="AR11" s="101" t="str">
        <f t="shared" si="29"/>
        <v>-</v>
      </c>
      <c r="AS11" s="101" t="str">
        <f t="shared" si="29"/>
        <v>-</v>
      </c>
      <c r="AT11" s="101" t="str">
        <f t="shared" si="29"/>
        <v>-</v>
      </c>
      <c r="AU11" s="101" t="str">
        <f t="shared" si="29"/>
        <v>-</v>
      </c>
      <c r="AV11" s="101">
        <f t="shared" si="29"/>
        <v>155</v>
      </c>
      <c r="AW11" s="101" t="str">
        <f t="shared" si="29"/>
        <v>-</v>
      </c>
      <c r="AX11" s="101" t="str">
        <f t="shared" si="30"/>
        <v>-</v>
      </c>
      <c r="AY11" s="101" t="str">
        <f t="shared" si="30"/>
        <v>-</v>
      </c>
      <c r="AZ11" s="101" t="str">
        <f t="shared" si="30"/>
        <v>-</v>
      </c>
      <c r="BA11" s="101" t="str">
        <f t="shared" si="30"/>
        <v>-</v>
      </c>
      <c r="BB11" s="101" t="str">
        <f t="shared" si="30"/>
        <v>-</v>
      </c>
      <c r="BC11" s="101" t="str">
        <f t="shared" si="30"/>
        <v>-</v>
      </c>
      <c r="BD11" s="101" t="str">
        <f t="shared" si="30"/>
        <v>-</v>
      </c>
      <c r="BE11" s="101" t="str">
        <f t="shared" si="30"/>
        <v>-</v>
      </c>
      <c r="BF11" s="101" t="str">
        <f t="shared" si="30"/>
        <v>-</v>
      </c>
      <c r="BG11" s="101" t="str">
        <f t="shared" si="30"/>
        <v>-</v>
      </c>
      <c r="BH11" s="101" t="str">
        <f t="shared" si="31"/>
        <v>-</v>
      </c>
      <c r="BI11" s="101" t="str">
        <f t="shared" si="31"/>
        <v>-</v>
      </c>
      <c r="BJ11" s="101" t="str">
        <f t="shared" si="31"/>
        <v>-</v>
      </c>
      <c r="BK11" s="101" t="str">
        <f t="shared" si="31"/>
        <v>-</v>
      </c>
      <c r="BL11" s="101" t="str">
        <f t="shared" si="31"/>
        <v>-</v>
      </c>
      <c r="BM11" s="101" t="str">
        <f t="shared" si="31"/>
        <v>-</v>
      </c>
      <c r="BN11" s="101" t="str">
        <f t="shared" si="31"/>
        <v>-</v>
      </c>
      <c r="BO11" s="101" t="str">
        <f t="shared" si="31"/>
        <v>-</v>
      </c>
      <c r="BP11" s="101" t="str">
        <f t="shared" si="31"/>
        <v>-</v>
      </c>
      <c r="BQ11" s="101" t="str">
        <f t="shared" si="31"/>
        <v>-</v>
      </c>
      <c r="BR11" s="101" t="str">
        <f t="shared" si="32"/>
        <v>-</v>
      </c>
      <c r="BS11" s="101" t="str">
        <f t="shared" si="32"/>
        <v>-</v>
      </c>
      <c r="BT11" s="101" t="str">
        <f t="shared" si="32"/>
        <v>-</v>
      </c>
      <c r="BU11" s="101" t="str">
        <f t="shared" si="32"/>
        <v>-</v>
      </c>
      <c r="BV11" s="101" t="str">
        <f t="shared" si="32"/>
        <v>-</v>
      </c>
      <c r="BW11" s="101" t="str">
        <f t="shared" si="32"/>
        <v>-</v>
      </c>
      <c r="BX11" s="101" t="str">
        <f t="shared" si="32"/>
        <v>-</v>
      </c>
      <c r="BY11" s="101" t="str">
        <f t="shared" si="32"/>
        <v>-</v>
      </c>
      <c r="BZ11" s="101" t="str">
        <f t="shared" si="32"/>
        <v>-</v>
      </c>
      <c r="CA11" s="101" t="str">
        <f t="shared" si="32"/>
        <v>-</v>
      </c>
      <c r="CB11" s="101" t="str">
        <f t="shared" si="33"/>
        <v>-</v>
      </c>
      <c r="CC11" s="101" t="str">
        <f t="shared" si="33"/>
        <v>-</v>
      </c>
      <c r="CD11" s="101" t="str">
        <f t="shared" si="33"/>
        <v>-</v>
      </c>
      <c r="CE11" s="101" t="str">
        <f t="shared" si="33"/>
        <v>-</v>
      </c>
      <c r="CF11" s="101" t="str">
        <f t="shared" si="33"/>
        <v>-</v>
      </c>
      <c r="CG11" s="101" t="str">
        <f t="shared" si="33"/>
        <v>-</v>
      </c>
      <c r="CH11" s="101" t="str">
        <f t="shared" si="33"/>
        <v>-</v>
      </c>
      <c r="CI11" s="101" t="str">
        <f t="shared" si="33"/>
        <v>-</v>
      </c>
      <c r="CJ11" s="101" t="str">
        <f t="shared" si="33"/>
        <v>-</v>
      </c>
      <c r="CK11" s="101" t="str">
        <f t="shared" si="33"/>
        <v>-</v>
      </c>
      <c r="CL11" s="101" t="str">
        <f t="shared" si="34"/>
        <v>-</v>
      </c>
      <c r="CM11" s="101" t="str">
        <f t="shared" si="34"/>
        <v>-</v>
      </c>
      <c r="CN11" s="101" t="str">
        <f t="shared" si="34"/>
        <v>-</v>
      </c>
      <c r="CO11" s="101" t="str">
        <f t="shared" si="34"/>
        <v>-</v>
      </c>
      <c r="CP11" s="101" t="str">
        <f t="shared" si="34"/>
        <v>-</v>
      </c>
      <c r="CQ11" s="101" t="str">
        <f t="shared" si="34"/>
        <v>-</v>
      </c>
      <c r="CR11" s="101" t="str">
        <f t="shared" si="34"/>
        <v>-</v>
      </c>
      <c r="CS11" s="101" t="str">
        <f t="shared" si="34"/>
        <v>-</v>
      </c>
      <c r="CT11" s="101" t="str">
        <f t="shared" si="34"/>
        <v>-</v>
      </c>
      <c r="CU11" s="101" t="str">
        <f t="shared" si="34"/>
        <v>-</v>
      </c>
      <c r="CV11" s="101" t="str">
        <f t="shared" si="35"/>
        <v>-</v>
      </c>
      <c r="CW11" s="101" t="str">
        <f t="shared" si="35"/>
        <v>-</v>
      </c>
      <c r="CX11" s="101" t="str">
        <f t="shared" si="35"/>
        <v>-</v>
      </c>
      <c r="CY11" s="101" t="str">
        <f t="shared" si="35"/>
        <v>-</v>
      </c>
      <c r="CZ11" s="101" t="str">
        <f t="shared" si="35"/>
        <v>-</v>
      </c>
      <c r="DA11" s="101" t="str">
        <f t="shared" si="35"/>
        <v>-</v>
      </c>
      <c r="DB11" s="101" t="str">
        <f t="shared" si="35"/>
        <v>-</v>
      </c>
      <c r="DC11" s="101" t="str">
        <f t="shared" si="35"/>
        <v>-</v>
      </c>
      <c r="DD11" s="101" t="str">
        <f t="shared" si="35"/>
        <v>-</v>
      </c>
      <c r="DE11" s="101" t="str">
        <f t="shared" si="35"/>
        <v>-</v>
      </c>
      <c r="DF11" s="101" t="str">
        <f t="shared" si="36"/>
        <v>-</v>
      </c>
      <c r="DG11" s="101" t="str">
        <f t="shared" si="36"/>
        <v>-</v>
      </c>
      <c r="DH11" s="101" t="str">
        <f t="shared" si="36"/>
        <v>-</v>
      </c>
      <c r="DI11" s="101" t="str">
        <f t="shared" si="36"/>
        <v>-</v>
      </c>
      <c r="DJ11" s="101" t="str">
        <f t="shared" si="36"/>
        <v>-</v>
      </c>
      <c r="DK11" s="101" t="str">
        <f t="shared" si="36"/>
        <v>-</v>
      </c>
      <c r="DL11" s="101" t="str">
        <f t="shared" si="36"/>
        <v>-</v>
      </c>
      <c r="DM11" s="101" t="str">
        <f t="shared" si="36"/>
        <v>-</v>
      </c>
      <c r="DN11" s="101" t="str">
        <f t="shared" si="36"/>
        <v>-</v>
      </c>
      <c r="DO11" s="101" t="str">
        <f t="shared" si="36"/>
        <v>-</v>
      </c>
      <c r="DP11" s="101" t="str">
        <f t="shared" si="37"/>
        <v>-</v>
      </c>
      <c r="DQ11" s="101" t="str">
        <f t="shared" si="37"/>
        <v>-</v>
      </c>
      <c r="DR11" s="101" t="str">
        <f t="shared" si="37"/>
        <v>-</v>
      </c>
      <c r="DS11" s="101" t="str">
        <f t="shared" si="37"/>
        <v>-</v>
      </c>
      <c r="DT11" s="101" t="str">
        <f t="shared" si="37"/>
        <v>-</v>
      </c>
      <c r="DU11" s="101" t="str">
        <f t="shared" si="37"/>
        <v>-</v>
      </c>
      <c r="DV11" s="101" t="str">
        <f t="shared" si="37"/>
        <v>-</v>
      </c>
      <c r="DW11" s="101" t="str">
        <f t="shared" si="37"/>
        <v>-</v>
      </c>
      <c r="DX11" s="101" t="str">
        <f t="shared" si="37"/>
        <v>-</v>
      </c>
      <c r="DY11" s="101" t="str">
        <f t="shared" si="37"/>
        <v>-</v>
      </c>
      <c r="DZ11" s="101" t="str">
        <f t="shared" si="38"/>
        <v>-</v>
      </c>
      <c r="EA11" s="101" t="str">
        <f t="shared" si="38"/>
        <v>-</v>
      </c>
      <c r="EB11" s="101" t="str">
        <f t="shared" si="38"/>
        <v>-</v>
      </c>
      <c r="EC11" s="101" t="str">
        <f t="shared" si="38"/>
        <v>-</v>
      </c>
      <c r="ED11" s="101" t="str">
        <f t="shared" si="38"/>
        <v>-</v>
      </c>
      <c r="EE11" s="101" t="str">
        <f t="shared" si="38"/>
        <v>-</v>
      </c>
      <c r="EF11" s="101" t="str">
        <f t="shared" si="38"/>
        <v>-</v>
      </c>
      <c r="EG11" s="101" t="str">
        <f t="shared" si="38"/>
        <v>-</v>
      </c>
      <c r="EH11" s="101" t="str">
        <f t="shared" si="38"/>
        <v>-</v>
      </c>
      <c r="EI11" s="101" t="str">
        <f t="shared" si="38"/>
        <v>-</v>
      </c>
      <c r="EJ11" s="101" t="str">
        <f t="shared" si="38"/>
        <v>-</v>
      </c>
      <c r="EK11" s="101" t="str">
        <f t="shared" si="38"/>
        <v>-</v>
      </c>
      <c r="EL11" s="101" t="str">
        <f t="shared" si="38"/>
        <v>-</v>
      </c>
    </row>
    <row r="12" spans="1:204">
      <c r="A12" s="476"/>
      <c r="B12" s="459"/>
      <c r="C12" s="500"/>
      <c r="D12" s="466"/>
      <c r="E12" s="109" t="s">
        <v>66</v>
      </c>
      <c r="F12" s="102">
        <f>SUM('BESS 11'!S75,'BESS 11'!S78:S79,'BESS 11'!S83:S84)</f>
        <v>127.06666666666666</v>
      </c>
      <c r="G12" s="101">
        <f>MAX('BESS 11'!O75,'BESS 11'!O78:O79,'BESS 11'!O83:O84)-MIN('BESS 11'!O75,'BESS 11'!O78:O79,'BESS 11'!O83:O84)+1</f>
        <v>4</v>
      </c>
      <c r="H12" s="101"/>
      <c r="I12" s="110">
        <f>MIN('BESS 11'!O75,'BESS 11'!O78:O79,'BESS 11'!O83:O84)</f>
        <v>46235</v>
      </c>
      <c r="J12" s="101" t="str">
        <f t="shared" si="26"/>
        <v>-</v>
      </c>
      <c r="K12" s="101" t="str">
        <f t="shared" si="26"/>
        <v>-</v>
      </c>
      <c r="L12" s="101" t="str">
        <f t="shared" si="26"/>
        <v>-</v>
      </c>
      <c r="M12" s="101" t="str">
        <f t="shared" si="26"/>
        <v>-</v>
      </c>
      <c r="N12" s="101" t="str">
        <f t="shared" si="26"/>
        <v>-</v>
      </c>
      <c r="O12" s="101" t="str">
        <f t="shared" si="26"/>
        <v>-</v>
      </c>
      <c r="P12" s="101" t="str">
        <f t="shared" si="26"/>
        <v>-</v>
      </c>
      <c r="Q12" s="101" t="str">
        <f t="shared" si="26"/>
        <v>-</v>
      </c>
      <c r="R12" s="101" t="str">
        <f t="shared" si="26"/>
        <v>-</v>
      </c>
      <c r="S12" s="101" t="str">
        <f t="shared" si="26"/>
        <v>-</v>
      </c>
      <c r="T12" s="101" t="str">
        <f t="shared" si="27"/>
        <v>-</v>
      </c>
      <c r="U12" s="101" t="str">
        <f t="shared" si="27"/>
        <v>-</v>
      </c>
      <c r="V12" s="101" t="str">
        <f t="shared" si="27"/>
        <v>-</v>
      </c>
      <c r="W12" s="101" t="str">
        <f t="shared" si="27"/>
        <v>-</v>
      </c>
      <c r="X12" s="101" t="str">
        <f t="shared" si="27"/>
        <v>-</v>
      </c>
      <c r="Y12" s="101" t="str">
        <f t="shared" si="27"/>
        <v>-</v>
      </c>
      <c r="Z12" s="101" t="str">
        <f t="shared" si="27"/>
        <v>-</v>
      </c>
      <c r="AA12" s="101" t="str">
        <f t="shared" si="27"/>
        <v>-</v>
      </c>
      <c r="AB12" s="101" t="str">
        <f t="shared" si="27"/>
        <v>-</v>
      </c>
      <c r="AC12" s="101" t="str">
        <f t="shared" si="27"/>
        <v>-</v>
      </c>
      <c r="AD12" s="101" t="str">
        <f t="shared" si="28"/>
        <v>-</v>
      </c>
      <c r="AE12" s="101" t="str">
        <f t="shared" si="28"/>
        <v>-</v>
      </c>
      <c r="AF12" s="101" t="str">
        <f t="shared" si="28"/>
        <v>-</v>
      </c>
      <c r="AG12" s="101" t="str">
        <f t="shared" si="28"/>
        <v>-</v>
      </c>
      <c r="AH12" s="101" t="str">
        <f t="shared" si="28"/>
        <v>-</v>
      </c>
      <c r="AI12" s="101" t="str">
        <f t="shared" si="28"/>
        <v>-</v>
      </c>
      <c r="AJ12" s="101" t="str">
        <f t="shared" si="28"/>
        <v>-</v>
      </c>
      <c r="AK12" s="101" t="str">
        <f t="shared" si="28"/>
        <v>-</v>
      </c>
      <c r="AL12" s="101" t="str">
        <f t="shared" si="28"/>
        <v>-</v>
      </c>
      <c r="AM12" s="101" t="str">
        <f t="shared" si="28"/>
        <v>-</v>
      </c>
      <c r="AN12" s="101" t="str">
        <f t="shared" si="29"/>
        <v>-</v>
      </c>
      <c r="AO12" s="101" t="str">
        <f t="shared" si="29"/>
        <v>-</v>
      </c>
      <c r="AP12" s="101" t="str">
        <f t="shared" si="29"/>
        <v>-</v>
      </c>
      <c r="AQ12" s="101" t="str">
        <f t="shared" si="29"/>
        <v>-</v>
      </c>
      <c r="AR12" s="101" t="str">
        <f t="shared" si="29"/>
        <v>-</v>
      </c>
      <c r="AS12" s="101" t="str">
        <f t="shared" si="29"/>
        <v>-</v>
      </c>
      <c r="AT12" s="101" t="str">
        <f t="shared" si="29"/>
        <v>-</v>
      </c>
      <c r="AU12" s="101" t="str">
        <f t="shared" si="29"/>
        <v>-</v>
      </c>
      <c r="AV12" s="101" t="str">
        <f t="shared" si="29"/>
        <v>-</v>
      </c>
      <c r="AW12" s="101" t="str">
        <f t="shared" si="29"/>
        <v>-</v>
      </c>
      <c r="AX12" s="101">
        <f t="shared" si="30"/>
        <v>32</v>
      </c>
      <c r="AY12" s="101">
        <f t="shared" si="30"/>
        <v>32</v>
      </c>
      <c r="AZ12" s="101">
        <f t="shared" si="30"/>
        <v>32</v>
      </c>
      <c r="BA12" s="101">
        <f t="shared" si="30"/>
        <v>32</v>
      </c>
      <c r="BB12" s="101" t="str">
        <f t="shared" si="30"/>
        <v>-</v>
      </c>
      <c r="BC12" s="101" t="str">
        <f t="shared" si="30"/>
        <v>-</v>
      </c>
      <c r="BD12" s="101" t="str">
        <f t="shared" si="30"/>
        <v>-</v>
      </c>
      <c r="BE12" s="101" t="str">
        <f t="shared" si="30"/>
        <v>-</v>
      </c>
      <c r="BF12" s="101" t="str">
        <f t="shared" si="30"/>
        <v>-</v>
      </c>
      <c r="BG12" s="101" t="str">
        <f t="shared" si="30"/>
        <v>-</v>
      </c>
      <c r="BH12" s="101" t="str">
        <f t="shared" si="31"/>
        <v>-</v>
      </c>
      <c r="BI12" s="101" t="str">
        <f t="shared" si="31"/>
        <v>-</v>
      </c>
      <c r="BJ12" s="101" t="str">
        <f t="shared" si="31"/>
        <v>-</v>
      </c>
      <c r="BK12" s="101" t="str">
        <f t="shared" si="31"/>
        <v>-</v>
      </c>
      <c r="BL12" s="101" t="str">
        <f t="shared" si="31"/>
        <v>-</v>
      </c>
      <c r="BM12" s="101" t="str">
        <f t="shared" si="31"/>
        <v>-</v>
      </c>
      <c r="BN12" s="101" t="str">
        <f t="shared" si="31"/>
        <v>-</v>
      </c>
      <c r="BO12" s="101" t="str">
        <f t="shared" si="31"/>
        <v>-</v>
      </c>
      <c r="BP12" s="101" t="str">
        <f t="shared" si="31"/>
        <v>-</v>
      </c>
      <c r="BQ12" s="101" t="str">
        <f t="shared" si="31"/>
        <v>-</v>
      </c>
      <c r="BR12" s="101" t="str">
        <f t="shared" si="32"/>
        <v>-</v>
      </c>
      <c r="BS12" s="101" t="str">
        <f t="shared" si="32"/>
        <v>-</v>
      </c>
      <c r="BT12" s="101" t="str">
        <f t="shared" si="32"/>
        <v>-</v>
      </c>
      <c r="BU12" s="101" t="str">
        <f t="shared" si="32"/>
        <v>-</v>
      </c>
      <c r="BV12" s="101" t="str">
        <f t="shared" si="32"/>
        <v>-</v>
      </c>
      <c r="BW12" s="101" t="str">
        <f t="shared" si="32"/>
        <v>-</v>
      </c>
      <c r="BX12" s="101" t="str">
        <f t="shared" si="32"/>
        <v>-</v>
      </c>
      <c r="BY12" s="101" t="str">
        <f t="shared" si="32"/>
        <v>-</v>
      </c>
      <c r="BZ12" s="101" t="str">
        <f t="shared" si="32"/>
        <v>-</v>
      </c>
      <c r="CA12" s="101" t="str">
        <f t="shared" si="32"/>
        <v>-</v>
      </c>
      <c r="CB12" s="101" t="str">
        <f t="shared" si="33"/>
        <v>-</v>
      </c>
      <c r="CC12" s="101" t="str">
        <f t="shared" si="33"/>
        <v>-</v>
      </c>
      <c r="CD12" s="101" t="str">
        <f t="shared" si="33"/>
        <v>-</v>
      </c>
      <c r="CE12" s="101" t="str">
        <f t="shared" si="33"/>
        <v>-</v>
      </c>
      <c r="CF12" s="101" t="str">
        <f t="shared" si="33"/>
        <v>-</v>
      </c>
      <c r="CG12" s="101" t="str">
        <f t="shared" si="33"/>
        <v>-</v>
      </c>
      <c r="CH12" s="101" t="str">
        <f t="shared" si="33"/>
        <v>-</v>
      </c>
      <c r="CI12" s="101" t="str">
        <f t="shared" si="33"/>
        <v>-</v>
      </c>
      <c r="CJ12" s="101" t="str">
        <f t="shared" si="33"/>
        <v>-</v>
      </c>
      <c r="CK12" s="101" t="str">
        <f t="shared" si="33"/>
        <v>-</v>
      </c>
      <c r="CL12" s="101" t="str">
        <f t="shared" si="34"/>
        <v>-</v>
      </c>
      <c r="CM12" s="101" t="str">
        <f t="shared" si="34"/>
        <v>-</v>
      </c>
      <c r="CN12" s="101" t="str">
        <f t="shared" si="34"/>
        <v>-</v>
      </c>
      <c r="CO12" s="101" t="str">
        <f t="shared" si="34"/>
        <v>-</v>
      </c>
      <c r="CP12" s="101" t="str">
        <f t="shared" si="34"/>
        <v>-</v>
      </c>
      <c r="CQ12" s="101" t="str">
        <f t="shared" si="34"/>
        <v>-</v>
      </c>
      <c r="CR12" s="101" t="str">
        <f t="shared" si="34"/>
        <v>-</v>
      </c>
      <c r="CS12" s="101" t="str">
        <f t="shared" si="34"/>
        <v>-</v>
      </c>
      <c r="CT12" s="101" t="str">
        <f t="shared" si="34"/>
        <v>-</v>
      </c>
      <c r="CU12" s="101" t="str">
        <f t="shared" si="34"/>
        <v>-</v>
      </c>
      <c r="CV12" s="101" t="str">
        <f t="shared" si="35"/>
        <v>-</v>
      </c>
      <c r="CW12" s="101" t="str">
        <f t="shared" si="35"/>
        <v>-</v>
      </c>
      <c r="CX12" s="101" t="str">
        <f t="shared" si="35"/>
        <v>-</v>
      </c>
      <c r="CY12" s="101" t="str">
        <f t="shared" si="35"/>
        <v>-</v>
      </c>
      <c r="CZ12" s="101" t="str">
        <f t="shared" si="35"/>
        <v>-</v>
      </c>
      <c r="DA12" s="101" t="str">
        <f t="shared" si="35"/>
        <v>-</v>
      </c>
      <c r="DB12" s="101" t="str">
        <f t="shared" si="35"/>
        <v>-</v>
      </c>
      <c r="DC12" s="101" t="str">
        <f t="shared" si="35"/>
        <v>-</v>
      </c>
      <c r="DD12" s="101" t="str">
        <f t="shared" si="35"/>
        <v>-</v>
      </c>
      <c r="DE12" s="101" t="str">
        <f t="shared" si="35"/>
        <v>-</v>
      </c>
      <c r="DF12" s="101" t="str">
        <f t="shared" si="36"/>
        <v>-</v>
      </c>
      <c r="DG12" s="101" t="str">
        <f t="shared" si="36"/>
        <v>-</v>
      </c>
      <c r="DH12" s="101" t="str">
        <f t="shared" si="36"/>
        <v>-</v>
      </c>
      <c r="DI12" s="101" t="str">
        <f t="shared" si="36"/>
        <v>-</v>
      </c>
      <c r="DJ12" s="101" t="str">
        <f t="shared" si="36"/>
        <v>-</v>
      </c>
      <c r="DK12" s="101" t="str">
        <f t="shared" si="36"/>
        <v>-</v>
      </c>
      <c r="DL12" s="101" t="str">
        <f t="shared" si="36"/>
        <v>-</v>
      </c>
      <c r="DM12" s="101" t="str">
        <f t="shared" si="36"/>
        <v>-</v>
      </c>
      <c r="DN12" s="101" t="str">
        <f t="shared" si="36"/>
        <v>-</v>
      </c>
      <c r="DO12" s="101" t="str">
        <f t="shared" si="36"/>
        <v>-</v>
      </c>
      <c r="DP12" s="101" t="str">
        <f t="shared" si="37"/>
        <v>-</v>
      </c>
      <c r="DQ12" s="101" t="str">
        <f t="shared" si="37"/>
        <v>-</v>
      </c>
      <c r="DR12" s="101" t="str">
        <f t="shared" si="37"/>
        <v>-</v>
      </c>
      <c r="DS12" s="101" t="str">
        <f t="shared" si="37"/>
        <v>-</v>
      </c>
      <c r="DT12" s="101" t="str">
        <f t="shared" si="37"/>
        <v>-</v>
      </c>
      <c r="DU12" s="101" t="str">
        <f t="shared" si="37"/>
        <v>-</v>
      </c>
      <c r="DV12" s="101" t="str">
        <f t="shared" si="37"/>
        <v>-</v>
      </c>
      <c r="DW12" s="101" t="str">
        <f t="shared" si="37"/>
        <v>-</v>
      </c>
      <c r="DX12" s="101" t="str">
        <f t="shared" si="37"/>
        <v>-</v>
      </c>
      <c r="DY12" s="101" t="str">
        <f t="shared" si="37"/>
        <v>-</v>
      </c>
      <c r="DZ12" s="101" t="str">
        <f t="shared" si="38"/>
        <v>-</v>
      </c>
      <c r="EA12" s="101" t="str">
        <f t="shared" si="38"/>
        <v>-</v>
      </c>
      <c r="EB12" s="101" t="str">
        <f t="shared" si="38"/>
        <v>-</v>
      </c>
      <c r="EC12" s="101" t="str">
        <f t="shared" si="38"/>
        <v>-</v>
      </c>
      <c r="ED12" s="101" t="str">
        <f t="shared" si="38"/>
        <v>-</v>
      </c>
      <c r="EE12" s="101" t="str">
        <f t="shared" si="38"/>
        <v>-</v>
      </c>
      <c r="EF12" s="101" t="str">
        <f t="shared" si="38"/>
        <v>-</v>
      </c>
      <c r="EG12" s="101" t="str">
        <f t="shared" si="38"/>
        <v>-</v>
      </c>
      <c r="EH12" s="101" t="str">
        <f t="shared" si="38"/>
        <v>-</v>
      </c>
      <c r="EI12" s="101" t="str">
        <f t="shared" si="38"/>
        <v>-</v>
      </c>
      <c r="EJ12" s="101" t="str">
        <f t="shared" si="38"/>
        <v>-</v>
      </c>
      <c r="EK12" s="101" t="str">
        <f t="shared" si="38"/>
        <v>-</v>
      </c>
      <c r="EL12" s="101" t="str">
        <f t="shared" si="38"/>
        <v>-</v>
      </c>
    </row>
    <row r="13" spans="1:204">
      <c r="A13" s="476"/>
      <c r="B13" s="459"/>
      <c r="C13" s="500"/>
      <c r="D13" s="466"/>
      <c r="E13" s="109" t="s">
        <v>67</v>
      </c>
      <c r="F13" s="102">
        <f>SUM('BESS 11'!S87:S95)</f>
        <v>221.66666666666666</v>
      </c>
      <c r="G13" s="101">
        <f>MAX('BESS 11'!O87:O95)-MIN('BESS 11'!O87:O95)+1</f>
        <v>5</v>
      </c>
      <c r="H13" s="101"/>
      <c r="I13" s="110">
        <f>MIN('BESS 11'!O87:O95)</f>
        <v>46234</v>
      </c>
      <c r="J13" s="101" t="str">
        <f t="shared" si="26"/>
        <v>-</v>
      </c>
      <c r="K13" s="101" t="str">
        <f t="shared" si="26"/>
        <v>-</v>
      </c>
      <c r="L13" s="101" t="str">
        <f t="shared" si="26"/>
        <v>-</v>
      </c>
      <c r="M13" s="101" t="str">
        <f t="shared" si="26"/>
        <v>-</v>
      </c>
      <c r="N13" s="101" t="str">
        <f t="shared" si="26"/>
        <v>-</v>
      </c>
      <c r="O13" s="101" t="str">
        <f t="shared" si="26"/>
        <v>-</v>
      </c>
      <c r="P13" s="101" t="str">
        <f t="shared" si="26"/>
        <v>-</v>
      </c>
      <c r="Q13" s="101" t="str">
        <f t="shared" si="26"/>
        <v>-</v>
      </c>
      <c r="R13" s="101" t="str">
        <f t="shared" si="26"/>
        <v>-</v>
      </c>
      <c r="S13" s="101" t="str">
        <f t="shared" si="26"/>
        <v>-</v>
      </c>
      <c r="T13" s="101" t="str">
        <f t="shared" si="27"/>
        <v>-</v>
      </c>
      <c r="U13" s="101" t="str">
        <f t="shared" si="27"/>
        <v>-</v>
      </c>
      <c r="V13" s="101" t="str">
        <f t="shared" si="27"/>
        <v>-</v>
      </c>
      <c r="W13" s="101" t="str">
        <f t="shared" si="27"/>
        <v>-</v>
      </c>
      <c r="X13" s="101" t="str">
        <f t="shared" si="27"/>
        <v>-</v>
      </c>
      <c r="Y13" s="101" t="str">
        <f t="shared" si="27"/>
        <v>-</v>
      </c>
      <c r="Z13" s="101" t="str">
        <f t="shared" si="27"/>
        <v>-</v>
      </c>
      <c r="AA13" s="101" t="str">
        <f t="shared" si="27"/>
        <v>-</v>
      </c>
      <c r="AB13" s="101" t="str">
        <f t="shared" si="27"/>
        <v>-</v>
      </c>
      <c r="AC13" s="101" t="str">
        <f t="shared" si="27"/>
        <v>-</v>
      </c>
      <c r="AD13" s="101" t="str">
        <f t="shared" si="28"/>
        <v>-</v>
      </c>
      <c r="AE13" s="101" t="str">
        <f t="shared" si="28"/>
        <v>-</v>
      </c>
      <c r="AF13" s="101" t="str">
        <f t="shared" si="28"/>
        <v>-</v>
      </c>
      <c r="AG13" s="101" t="str">
        <f t="shared" si="28"/>
        <v>-</v>
      </c>
      <c r="AH13" s="101" t="str">
        <f t="shared" si="28"/>
        <v>-</v>
      </c>
      <c r="AI13" s="101" t="str">
        <f t="shared" si="28"/>
        <v>-</v>
      </c>
      <c r="AJ13" s="101" t="str">
        <f t="shared" si="28"/>
        <v>-</v>
      </c>
      <c r="AK13" s="101" t="str">
        <f t="shared" si="28"/>
        <v>-</v>
      </c>
      <c r="AL13" s="101" t="str">
        <f t="shared" si="28"/>
        <v>-</v>
      </c>
      <c r="AM13" s="101" t="str">
        <f t="shared" si="28"/>
        <v>-</v>
      </c>
      <c r="AN13" s="101" t="str">
        <f t="shared" si="29"/>
        <v>-</v>
      </c>
      <c r="AO13" s="101" t="str">
        <f t="shared" si="29"/>
        <v>-</v>
      </c>
      <c r="AP13" s="101" t="str">
        <f t="shared" si="29"/>
        <v>-</v>
      </c>
      <c r="AQ13" s="101" t="str">
        <f t="shared" si="29"/>
        <v>-</v>
      </c>
      <c r="AR13" s="101" t="str">
        <f t="shared" si="29"/>
        <v>-</v>
      </c>
      <c r="AS13" s="101" t="str">
        <f t="shared" si="29"/>
        <v>-</v>
      </c>
      <c r="AT13" s="101" t="str">
        <f t="shared" si="29"/>
        <v>-</v>
      </c>
      <c r="AU13" s="101" t="str">
        <f t="shared" si="29"/>
        <v>-</v>
      </c>
      <c r="AV13" s="101" t="str">
        <f t="shared" si="29"/>
        <v>-</v>
      </c>
      <c r="AW13" s="101">
        <f t="shared" si="29"/>
        <v>44</v>
      </c>
      <c r="AX13" s="101">
        <f t="shared" si="30"/>
        <v>44</v>
      </c>
      <c r="AY13" s="101">
        <f t="shared" si="30"/>
        <v>44</v>
      </c>
      <c r="AZ13" s="101">
        <f t="shared" si="30"/>
        <v>44</v>
      </c>
      <c r="BA13" s="101">
        <f t="shared" si="30"/>
        <v>44</v>
      </c>
      <c r="BB13" s="101" t="str">
        <f t="shared" si="30"/>
        <v>-</v>
      </c>
      <c r="BC13" s="101" t="str">
        <f t="shared" si="30"/>
        <v>-</v>
      </c>
      <c r="BD13" s="101" t="str">
        <f t="shared" si="30"/>
        <v>-</v>
      </c>
      <c r="BE13" s="101" t="str">
        <f t="shared" si="30"/>
        <v>-</v>
      </c>
      <c r="BF13" s="101" t="str">
        <f t="shared" si="30"/>
        <v>-</v>
      </c>
      <c r="BG13" s="101" t="str">
        <f t="shared" si="30"/>
        <v>-</v>
      </c>
      <c r="BH13" s="101" t="str">
        <f t="shared" si="31"/>
        <v>-</v>
      </c>
      <c r="BI13" s="101" t="str">
        <f t="shared" si="31"/>
        <v>-</v>
      </c>
      <c r="BJ13" s="101" t="str">
        <f t="shared" si="31"/>
        <v>-</v>
      </c>
      <c r="BK13" s="101" t="str">
        <f t="shared" si="31"/>
        <v>-</v>
      </c>
      <c r="BL13" s="101" t="str">
        <f t="shared" si="31"/>
        <v>-</v>
      </c>
      <c r="BM13" s="101" t="str">
        <f t="shared" si="31"/>
        <v>-</v>
      </c>
      <c r="BN13" s="101" t="str">
        <f t="shared" si="31"/>
        <v>-</v>
      </c>
      <c r="BO13" s="101" t="str">
        <f t="shared" si="31"/>
        <v>-</v>
      </c>
      <c r="BP13" s="101" t="str">
        <f t="shared" si="31"/>
        <v>-</v>
      </c>
      <c r="BQ13" s="101" t="str">
        <f t="shared" si="31"/>
        <v>-</v>
      </c>
      <c r="BR13" s="101" t="str">
        <f t="shared" si="32"/>
        <v>-</v>
      </c>
      <c r="BS13" s="101" t="str">
        <f t="shared" si="32"/>
        <v>-</v>
      </c>
      <c r="BT13" s="101" t="str">
        <f t="shared" si="32"/>
        <v>-</v>
      </c>
      <c r="BU13" s="101" t="str">
        <f t="shared" si="32"/>
        <v>-</v>
      </c>
      <c r="BV13" s="101" t="str">
        <f t="shared" si="32"/>
        <v>-</v>
      </c>
      <c r="BW13" s="101" t="str">
        <f t="shared" si="32"/>
        <v>-</v>
      </c>
      <c r="BX13" s="101" t="str">
        <f t="shared" si="32"/>
        <v>-</v>
      </c>
      <c r="BY13" s="101" t="str">
        <f t="shared" si="32"/>
        <v>-</v>
      </c>
      <c r="BZ13" s="101" t="str">
        <f t="shared" si="32"/>
        <v>-</v>
      </c>
      <c r="CA13" s="101" t="str">
        <f t="shared" si="32"/>
        <v>-</v>
      </c>
      <c r="CB13" s="101" t="str">
        <f t="shared" si="33"/>
        <v>-</v>
      </c>
      <c r="CC13" s="101" t="str">
        <f t="shared" si="33"/>
        <v>-</v>
      </c>
      <c r="CD13" s="101" t="str">
        <f t="shared" si="33"/>
        <v>-</v>
      </c>
      <c r="CE13" s="101" t="str">
        <f t="shared" si="33"/>
        <v>-</v>
      </c>
      <c r="CF13" s="101" t="str">
        <f t="shared" si="33"/>
        <v>-</v>
      </c>
      <c r="CG13" s="101" t="str">
        <f t="shared" si="33"/>
        <v>-</v>
      </c>
      <c r="CH13" s="101" t="str">
        <f t="shared" si="33"/>
        <v>-</v>
      </c>
      <c r="CI13" s="101" t="str">
        <f t="shared" si="33"/>
        <v>-</v>
      </c>
      <c r="CJ13" s="101" t="str">
        <f t="shared" si="33"/>
        <v>-</v>
      </c>
      <c r="CK13" s="101" t="str">
        <f t="shared" si="33"/>
        <v>-</v>
      </c>
      <c r="CL13" s="101" t="str">
        <f t="shared" si="34"/>
        <v>-</v>
      </c>
      <c r="CM13" s="101" t="str">
        <f t="shared" si="34"/>
        <v>-</v>
      </c>
      <c r="CN13" s="101" t="str">
        <f t="shared" si="34"/>
        <v>-</v>
      </c>
      <c r="CO13" s="101" t="str">
        <f t="shared" si="34"/>
        <v>-</v>
      </c>
      <c r="CP13" s="101" t="str">
        <f t="shared" si="34"/>
        <v>-</v>
      </c>
      <c r="CQ13" s="101" t="str">
        <f t="shared" si="34"/>
        <v>-</v>
      </c>
      <c r="CR13" s="101" t="str">
        <f t="shared" si="34"/>
        <v>-</v>
      </c>
      <c r="CS13" s="101" t="str">
        <f t="shared" si="34"/>
        <v>-</v>
      </c>
      <c r="CT13" s="101" t="str">
        <f t="shared" si="34"/>
        <v>-</v>
      </c>
      <c r="CU13" s="101" t="str">
        <f t="shared" si="34"/>
        <v>-</v>
      </c>
      <c r="CV13" s="101" t="str">
        <f t="shared" si="35"/>
        <v>-</v>
      </c>
      <c r="CW13" s="101" t="str">
        <f t="shared" si="35"/>
        <v>-</v>
      </c>
      <c r="CX13" s="101" t="str">
        <f t="shared" si="35"/>
        <v>-</v>
      </c>
      <c r="CY13" s="101" t="str">
        <f t="shared" si="35"/>
        <v>-</v>
      </c>
      <c r="CZ13" s="101" t="str">
        <f t="shared" si="35"/>
        <v>-</v>
      </c>
      <c r="DA13" s="101" t="str">
        <f t="shared" si="35"/>
        <v>-</v>
      </c>
      <c r="DB13" s="101" t="str">
        <f t="shared" si="35"/>
        <v>-</v>
      </c>
      <c r="DC13" s="101" t="str">
        <f t="shared" si="35"/>
        <v>-</v>
      </c>
      <c r="DD13" s="101" t="str">
        <f t="shared" si="35"/>
        <v>-</v>
      </c>
      <c r="DE13" s="101" t="str">
        <f t="shared" si="35"/>
        <v>-</v>
      </c>
      <c r="DF13" s="101" t="str">
        <f t="shared" si="36"/>
        <v>-</v>
      </c>
      <c r="DG13" s="101" t="str">
        <f t="shared" si="36"/>
        <v>-</v>
      </c>
      <c r="DH13" s="101" t="str">
        <f t="shared" si="36"/>
        <v>-</v>
      </c>
      <c r="DI13" s="101" t="str">
        <f t="shared" si="36"/>
        <v>-</v>
      </c>
      <c r="DJ13" s="101" t="str">
        <f t="shared" si="36"/>
        <v>-</v>
      </c>
      <c r="DK13" s="101" t="str">
        <f t="shared" si="36"/>
        <v>-</v>
      </c>
      <c r="DL13" s="101" t="str">
        <f t="shared" si="36"/>
        <v>-</v>
      </c>
      <c r="DM13" s="101" t="str">
        <f t="shared" si="36"/>
        <v>-</v>
      </c>
      <c r="DN13" s="101" t="str">
        <f t="shared" si="36"/>
        <v>-</v>
      </c>
      <c r="DO13" s="101" t="str">
        <f t="shared" si="36"/>
        <v>-</v>
      </c>
      <c r="DP13" s="101" t="str">
        <f t="shared" si="37"/>
        <v>-</v>
      </c>
      <c r="DQ13" s="101" t="str">
        <f t="shared" si="37"/>
        <v>-</v>
      </c>
      <c r="DR13" s="101" t="str">
        <f t="shared" si="37"/>
        <v>-</v>
      </c>
      <c r="DS13" s="101" t="str">
        <f t="shared" si="37"/>
        <v>-</v>
      </c>
      <c r="DT13" s="101" t="str">
        <f t="shared" si="37"/>
        <v>-</v>
      </c>
      <c r="DU13" s="101" t="str">
        <f t="shared" si="37"/>
        <v>-</v>
      </c>
      <c r="DV13" s="101" t="str">
        <f t="shared" si="37"/>
        <v>-</v>
      </c>
      <c r="DW13" s="101" t="str">
        <f t="shared" si="37"/>
        <v>-</v>
      </c>
      <c r="DX13" s="101" t="str">
        <f t="shared" si="37"/>
        <v>-</v>
      </c>
      <c r="DY13" s="101" t="str">
        <f t="shared" si="37"/>
        <v>-</v>
      </c>
      <c r="DZ13" s="101" t="str">
        <f t="shared" si="38"/>
        <v>-</v>
      </c>
      <c r="EA13" s="101" t="str">
        <f t="shared" si="38"/>
        <v>-</v>
      </c>
      <c r="EB13" s="101" t="str">
        <f t="shared" si="38"/>
        <v>-</v>
      </c>
      <c r="EC13" s="101" t="str">
        <f t="shared" si="38"/>
        <v>-</v>
      </c>
      <c r="ED13" s="101" t="str">
        <f t="shared" si="38"/>
        <v>-</v>
      </c>
      <c r="EE13" s="101" t="str">
        <f t="shared" si="38"/>
        <v>-</v>
      </c>
      <c r="EF13" s="101" t="str">
        <f t="shared" si="38"/>
        <v>-</v>
      </c>
      <c r="EG13" s="101" t="str">
        <f t="shared" si="38"/>
        <v>-</v>
      </c>
      <c r="EH13" s="101" t="str">
        <f t="shared" si="38"/>
        <v>-</v>
      </c>
      <c r="EI13" s="101" t="str">
        <f t="shared" si="38"/>
        <v>-</v>
      </c>
      <c r="EJ13" s="101" t="str">
        <f t="shared" si="38"/>
        <v>-</v>
      </c>
      <c r="EK13" s="101" t="str">
        <f t="shared" si="38"/>
        <v>-</v>
      </c>
      <c r="EL13" s="101" t="str">
        <f t="shared" si="38"/>
        <v>-</v>
      </c>
    </row>
    <row r="14" spans="1:204">
      <c r="A14" s="504"/>
      <c r="B14" s="460"/>
      <c r="C14" s="501"/>
      <c r="D14" s="466"/>
      <c r="E14" s="109" t="s">
        <v>68</v>
      </c>
      <c r="F14" s="101">
        <f>SUM(L14:AX14)</f>
        <v>250</v>
      </c>
      <c r="G14" s="101">
        <v>30</v>
      </c>
      <c r="H14" s="101"/>
      <c r="I14" s="110" t="e">
        <f>B9-3</f>
        <v>#VALUE!</v>
      </c>
      <c r="J14" s="110"/>
      <c r="K14" s="110"/>
      <c r="L14" s="101"/>
      <c r="M14" s="102"/>
      <c r="N14" s="102"/>
      <c r="O14" s="102"/>
      <c r="P14" s="102"/>
      <c r="Q14" s="102"/>
      <c r="R14" s="102">
        <v>5</v>
      </c>
      <c r="S14" s="102">
        <v>5</v>
      </c>
      <c r="T14" s="102">
        <v>5</v>
      </c>
      <c r="U14" s="102">
        <v>5</v>
      </c>
      <c r="V14" s="102">
        <v>5</v>
      </c>
      <c r="W14" s="102">
        <v>5</v>
      </c>
      <c r="X14" s="102">
        <v>5</v>
      </c>
      <c r="Y14" s="102">
        <v>5</v>
      </c>
      <c r="Z14" s="102">
        <v>5</v>
      </c>
      <c r="AA14" s="102">
        <v>5</v>
      </c>
      <c r="AB14" s="102">
        <v>5</v>
      </c>
      <c r="AC14" s="102">
        <v>5</v>
      </c>
      <c r="AD14" s="102">
        <v>5</v>
      </c>
      <c r="AE14" s="102">
        <v>5</v>
      </c>
      <c r="AF14" s="102">
        <v>5</v>
      </c>
      <c r="AG14" s="102">
        <v>5</v>
      </c>
      <c r="AH14" s="102">
        <v>5</v>
      </c>
      <c r="AI14" s="102">
        <v>5</v>
      </c>
      <c r="AJ14" s="102">
        <v>5</v>
      </c>
      <c r="AK14" s="102">
        <v>5</v>
      </c>
      <c r="AL14" s="102">
        <v>5</v>
      </c>
      <c r="AM14" s="102">
        <v>5</v>
      </c>
      <c r="AN14" s="102">
        <v>5</v>
      </c>
      <c r="AO14" s="102">
        <v>5</v>
      </c>
      <c r="AP14" s="102">
        <v>30</v>
      </c>
      <c r="AQ14" s="102">
        <v>30</v>
      </c>
      <c r="AR14" s="102">
        <v>30</v>
      </c>
      <c r="AS14" s="102">
        <v>30</v>
      </c>
      <c r="AT14" s="102">
        <v>5</v>
      </c>
      <c r="AU14" s="102">
        <v>5</v>
      </c>
      <c r="AV14" s="102"/>
      <c r="AW14" s="102"/>
      <c r="AX14" s="102"/>
      <c r="AY14" s="101"/>
      <c r="AZ14" s="101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109"/>
      <c r="DQ14" s="109"/>
      <c r="DR14" s="109"/>
      <c r="DS14" s="109"/>
      <c r="DT14" s="109"/>
      <c r="DU14" s="109"/>
      <c r="DV14" s="109"/>
      <c r="DW14" s="109"/>
      <c r="DX14" s="109"/>
      <c r="DY14" s="109"/>
      <c r="DZ14" s="109"/>
      <c r="EA14" s="109"/>
      <c r="EB14" s="109"/>
      <c r="EC14" s="109"/>
      <c r="ED14" s="109"/>
      <c r="EE14" s="109"/>
      <c r="EF14" s="109"/>
      <c r="EG14" s="109"/>
      <c r="EH14" s="109"/>
      <c r="EI14" s="109"/>
      <c r="EJ14" s="109"/>
      <c r="EK14" s="109"/>
      <c r="EL14" s="109"/>
    </row>
    <row r="15" spans="1:204" s="122" customFormat="1">
      <c r="B15" s="155"/>
      <c r="E15" s="150"/>
      <c r="F15" s="150"/>
      <c r="G15" s="152"/>
      <c r="H15" s="152"/>
      <c r="I15" s="153" t="s">
        <v>69</v>
      </c>
      <c r="J15" s="153"/>
      <c r="K15" s="153"/>
      <c r="L15" s="154">
        <f t="shared" ref="L15:AQ15" si="39">SUM(L10:L14)</f>
        <v>0</v>
      </c>
      <c r="M15" s="154">
        <f t="shared" si="39"/>
        <v>0</v>
      </c>
      <c r="N15" s="154">
        <f t="shared" si="39"/>
        <v>0</v>
      </c>
      <c r="O15" s="154">
        <f t="shared" si="39"/>
        <v>0</v>
      </c>
      <c r="P15" s="154">
        <f t="shared" si="39"/>
        <v>0</v>
      </c>
      <c r="Q15" s="154">
        <f t="shared" si="39"/>
        <v>0</v>
      </c>
      <c r="R15" s="154">
        <f t="shared" si="39"/>
        <v>5</v>
      </c>
      <c r="S15" s="154">
        <f t="shared" si="39"/>
        <v>5</v>
      </c>
      <c r="T15" s="154">
        <f t="shared" si="39"/>
        <v>5</v>
      </c>
      <c r="U15" s="154">
        <f t="shared" si="39"/>
        <v>5</v>
      </c>
      <c r="V15" s="154">
        <f t="shared" si="39"/>
        <v>5</v>
      </c>
      <c r="W15" s="154">
        <f t="shared" si="39"/>
        <v>5</v>
      </c>
      <c r="X15" s="154">
        <f t="shared" si="39"/>
        <v>5</v>
      </c>
      <c r="Y15" s="154">
        <f t="shared" si="39"/>
        <v>5</v>
      </c>
      <c r="Z15" s="154">
        <f t="shared" si="39"/>
        <v>5</v>
      </c>
      <c r="AA15" s="154">
        <f t="shared" si="39"/>
        <v>5</v>
      </c>
      <c r="AB15" s="154">
        <f t="shared" si="39"/>
        <v>5</v>
      </c>
      <c r="AC15" s="154">
        <f t="shared" si="39"/>
        <v>5</v>
      </c>
      <c r="AD15" s="154">
        <f t="shared" si="39"/>
        <v>5</v>
      </c>
      <c r="AE15" s="154">
        <f t="shared" si="39"/>
        <v>5</v>
      </c>
      <c r="AF15" s="154">
        <f t="shared" si="39"/>
        <v>5</v>
      </c>
      <c r="AG15" s="154">
        <f t="shared" si="39"/>
        <v>5</v>
      </c>
      <c r="AH15" s="154">
        <f t="shared" si="39"/>
        <v>5</v>
      </c>
      <c r="AI15" s="154">
        <f t="shared" si="39"/>
        <v>5</v>
      </c>
      <c r="AJ15" s="154">
        <f t="shared" si="39"/>
        <v>5</v>
      </c>
      <c r="AK15" s="154">
        <f t="shared" si="39"/>
        <v>5</v>
      </c>
      <c r="AL15" s="154">
        <f t="shared" si="39"/>
        <v>5</v>
      </c>
      <c r="AM15" s="154">
        <f t="shared" si="39"/>
        <v>5</v>
      </c>
      <c r="AN15" s="154">
        <f t="shared" si="39"/>
        <v>5</v>
      </c>
      <c r="AO15" s="154">
        <f t="shared" si="39"/>
        <v>5</v>
      </c>
      <c r="AP15" s="154">
        <f t="shared" si="39"/>
        <v>30</v>
      </c>
      <c r="AQ15" s="154">
        <f t="shared" si="39"/>
        <v>30</v>
      </c>
      <c r="AR15" s="154">
        <f t="shared" ref="AR15:BW15" si="40">SUM(AR10:AR14)</f>
        <v>30</v>
      </c>
      <c r="AS15" s="154">
        <f t="shared" si="40"/>
        <v>30</v>
      </c>
      <c r="AT15" s="154">
        <f t="shared" si="40"/>
        <v>5</v>
      </c>
      <c r="AU15" s="154">
        <f t="shared" si="40"/>
        <v>5</v>
      </c>
      <c r="AV15" s="154">
        <f t="shared" si="40"/>
        <v>159</v>
      </c>
      <c r="AW15" s="154">
        <f t="shared" si="40"/>
        <v>44</v>
      </c>
      <c r="AX15" s="154">
        <f t="shared" si="40"/>
        <v>76</v>
      </c>
      <c r="AY15" s="154">
        <f t="shared" si="40"/>
        <v>76</v>
      </c>
      <c r="AZ15" s="154">
        <f t="shared" si="40"/>
        <v>76</v>
      </c>
      <c r="BA15" s="154">
        <f t="shared" si="40"/>
        <v>76</v>
      </c>
      <c r="BB15" s="154">
        <f t="shared" si="40"/>
        <v>0</v>
      </c>
      <c r="BC15" s="154">
        <f t="shared" si="40"/>
        <v>0</v>
      </c>
      <c r="BD15" s="154">
        <f t="shared" si="40"/>
        <v>0</v>
      </c>
      <c r="BE15" s="154">
        <f t="shared" si="40"/>
        <v>0</v>
      </c>
      <c r="BF15" s="154">
        <f t="shared" si="40"/>
        <v>0</v>
      </c>
      <c r="BG15" s="154">
        <f t="shared" si="40"/>
        <v>0</v>
      </c>
      <c r="BH15" s="154">
        <f t="shared" si="40"/>
        <v>0</v>
      </c>
      <c r="BI15" s="154">
        <f t="shared" si="40"/>
        <v>0</v>
      </c>
      <c r="BJ15" s="154">
        <f t="shared" si="40"/>
        <v>0</v>
      </c>
      <c r="BK15" s="154">
        <f t="shared" si="40"/>
        <v>0</v>
      </c>
      <c r="BL15" s="154">
        <f t="shared" si="40"/>
        <v>0</v>
      </c>
      <c r="BM15" s="154">
        <f t="shared" si="40"/>
        <v>0</v>
      </c>
      <c r="BN15" s="154">
        <f t="shared" si="40"/>
        <v>0</v>
      </c>
      <c r="BO15" s="154">
        <f t="shared" si="40"/>
        <v>0</v>
      </c>
      <c r="BP15" s="154">
        <f t="shared" si="40"/>
        <v>0</v>
      </c>
      <c r="BQ15" s="154">
        <f t="shared" si="40"/>
        <v>0</v>
      </c>
      <c r="BR15" s="154">
        <f t="shared" si="40"/>
        <v>0</v>
      </c>
      <c r="BS15" s="154">
        <f t="shared" si="40"/>
        <v>0</v>
      </c>
      <c r="BT15" s="154">
        <f t="shared" si="40"/>
        <v>0</v>
      </c>
      <c r="BU15" s="154">
        <f t="shared" si="40"/>
        <v>0</v>
      </c>
      <c r="BV15" s="154">
        <f t="shared" si="40"/>
        <v>0</v>
      </c>
      <c r="BW15" s="154">
        <f t="shared" si="40"/>
        <v>0</v>
      </c>
      <c r="BX15" s="154">
        <f t="shared" ref="BX15:DC15" si="41">SUM(BX10:BX14)</f>
        <v>0</v>
      </c>
      <c r="BY15" s="154">
        <f t="shared" si="41"/>
        <v>0</v>
      </c>
      <c r="BZ15" s="154">
        <f t="shared" si="41"/>
        <v>0</v>
      </c>
      <c r="CA15" s="154">
        <f t="shared" si="41"/>
        <v>0</v>
      </c>
      <c r="CB15" s="154">
        <f t="shared" si="41"/>
        <v>0</v>
      </c>
      <c r="CC15" s="154">
        <f t="shared" si="41"/>
        <v>0</v>
      </c>
      <c r="CD15" s="154">
        <f t="shared" si="41"/>
        <v>0</v>
      </c>
      <c r="CE15" s="154">
        <f t="shared" si="41"/>
        <v>0</v>
      </c>
      <c r="CF15" s="154">
        <f t="shared" si="41"/>
        <v>0</v>
      </c>
      <c r="CG15" s="154">
        <f t="shared" si="41"/>
        <v>0</v>
      </c>
      <c r="CH15" s="154">
        <f t="shared" si="41"/>
        <v>0</v>
      </c>
      <c r="CI15" s="154">
        <f t="shared" si="41"/>
        <v>0</v>
      </c>
      <c r="CJ15" s="154">
        <f t="shared" si="41"/>
        <v>0</v>
      </c>
      <c r="CK15" s="154">
        <f t="shared" si="41"/>
        <v>0</v>
      </c>
      <c r="CL15" s="154">
        <f t="shared" si="41"/>
        <v>0</v>
      </c>
      <c r="CM15" s="154">
        <f t="shared" si="41"/>
        <v>0</v>
      </c>
      <c r="CN15" s="154">
        <f t="shared" si="41"/>
        <v>0</v>
      </c>
      <c r="CO15" s="154">
        <f t="shared" si="41"/>
        <v>0</v>
      </c>
      <c r="CP15" s="154">
        <f t="shared" si="41"/>
        <v>0</v>
      </c>
      <c r="CQ15" s="154">
        <f t="shared" si="41"/>
        <v>0</v>
      </c>
      <c r="CR15" s="154">
        <f t="shared" si="41"/>
        <v>0</v>
      </c>
      <c r="CS15" s="154">
        <f t="shared" si="41"/>
        <v>0</v>
      </c>
      <c r="CT15" s="154">
        <f t="shared" si="41"/>
        <v>0</v>
      </c>
      <c r="CU15" s="154">
        <f t="shared" si="41"/>
        <v>0</v>
      </c>
      <c r="CV15" s="154">
        <f t="shared" si="41"/>
        <v>0</v>
      </c>
      <c r="CW15" s="154">
        <f t="shared" si="41"/>
        <v>0</v>
      </c>
      <c r="CX15" s="154">
        <f t="shared" si="41"/>
        <v>0</v>
      </c>
      <c r="CY15" s="154">
        <f t="shared" si="41"/>
        <v>0</v>
      </c>
      <c r="CZ15" s="154">
        <f t="shared" si="41"/>
        <v>0</v>
      </c>
      <c r="DA15" s="154">
        <f t="shared" si="41"/>
        <v>0</v>
      </c>
      <c r="DB15" s="154">
        <f t="shared" si="41"/>
        <v>0</v>
      </c>
      <c r="DC15" s="154">
        <f t="shared" si="41"/>
        <v>0</v>
      </c>
      <c r="DD15" s="154">
        <f t="shared" ref="DD15:EI15" si="42">SUM(DD10:DD14)</f>
        <v>0</v>
      </c>
      <c r="DE15" s="154">
        <f t="shared" si="42"/>
        <v>0</v>
      </c>
      <c r="DF15" s="154">
        <f t="shared" si="42"/>
        <v>0</v>
      </c>
      <c r="DG15" s="154">
        <f t="shared" si="42"/>
        <v>0</v>
      </c>
      <c r="DH15" s="154">
        <f t="shared" si="42"/>
        <v>0</v>
      </c>
      <c r="DI15" s="154">
        <f t="shared" si="42"/>
        <v>0</v>
      </c>
      <c r="DJ15" s="154">
        <f t="shared" si="42"/>
        <v>0</v>
      </c>
      <c r="DK15" s="154">
        <f t="shared" si="42"/>
        <v>0</v>
      </c>
      <c r="DL15" s="154">
        <f t="shared" si="42"/>
        <v>0</v>
      </c>
      <c r="DM15" s="154">
        <f t="shared" si="42"/>
        <v>0</v>
      </c>
      <c r="DN15" s="154">
        <f t="shared" si="42"/>
        <v>0</v>
      </c>
      <c r="DO15" s="154">
        <f t="shared" si="42"/>
        <v>0</v>
      </c>
      <c r="DP15" s="154">
        <f t="shared" si="42"/>
        <v>0</v>
      </c>
      <c r="DQ15" s="154">
        <f t="shared" si="42"/>
        <v>0</v>
      </c>
      <c r="DR15" s="154">
        <f t="shared" si="42"/>
        <v>0</v>
      </c>
      <c r="DS15" s="154">
        <f t="shared" si="42"/>
        <v>0</v>
      </c>
      <c r="DT15" s="154">
        <f t="shared" si="42"/>
        <v>0</v>
      </c>
      <c r="DU15" s="154">
        <f t="shared" si="42"/>
        <v>0</v>
      </c>
      <c r="DV15" s="154">
        <f t="shared" si="42"/>
        <v>0</v>
      </c>
      <c r="DW15" s="154">
        <f t="shared" si="42"/>
        <v>0</v>
      </c>
      <c r="DX15" s="154">
        <f t="shared" si="42"/>
        <v>0</v>
      </c>
      <c r="DY15" s="154">
        <f t="shared" si="42"/>
        <v>0</v>
      </c>
      <c r="DZ15" s="154">
        <f t="shared" si="42"/>
        <v>0</v>
      </c>
      <c r="EA15" s="154">
        <f t="shared" si="42"/>
        <v>0</v>
      </c>
      <c r="EB15" s="154">
        <f t="shared" si="42"/>
        <v>0</v>
      </c>
      <c r="EC15" s="154">
        <f t="shared" si="42"/>
        <v>0</v>
      </c>
      <c r="ED15" s="154">
        <f t="shared" si="42"/>
        <v>0</v>
      </c>
      <c r="EE15" s="154">
        <f t="shared" si="42"/>
        <v>0</v>
      </c>
      <c r="EF15" s="154">
        <f t="shared" si="42"/>
        <v>0</v>
      </c>
      <c r="EG15" s="154">
        <f t="shared" si="42"/>
        <v>0</v>
      </c>
      <c r="EH15" s="154">
        <f t="shared" si="42"/>
        <v>0</v>
      </c>
      <c r="EI15" s="154">
        <f t="shared" si="42"/>
        <v>0</v>
      </c>
      <c r="EJ15" s="154">
        <f t="shared" ref="EJ15:EL15" si="43">SUM(EJ10:EJ14)</f>
        <v>0</v>
      </c>
      <c r="EK15" s="154">
        <f t="shared" si="43"/>
        <v>0</v>
      </c>
      <c r="EL15" s="154">
        <f t="shared" si="43"/>
        <v>0</v>
      </c>
      <c r="EM15" s="160">
        <f>AVERAGE(L15:AW15)</f>
        <v>11.921052631578947</v>
      </c>
      <c r="EN15" s="159">
        <f>MAX(L15:AW15)</f>
        <v>159</v>
      </c>
    </row>
    <row r="16" spans="1:204">
      <c r="E16" s="103"/>
      <c r="F16" s="104"/>
      <c r="G16" s="104"/>
      <c r="H16" s="104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7"/>
    </row>
    <row r="17" spans="1:144">
      <c r="A17" s="503" t="s">
        <v>70</v>
      </c>
      <c r="B17" s="499">
        <f>'BESS 11'!F96</f>
        <v>46240</v>
      </c>
      <c r="C17" s="499">
        <f>'BESS 11'!G96</f>
        <v>46245</v>
      </c>
      <c r="D17" s="114"/>
      <c r="E17" s="114" t="s">
        <v>10</v>
      </c>
      <c r="F17" s="115" t="s">
        <v>58</v>
      </c>
      <c r="G17" s="115" t="s">
        <v>59</v>
      </c>
      <c r="H17" s="115"/>
      <c r="I17" s="115" t="s">
        <v>60</v>
      </c>
      <c r="J17" s="116">
        <v>46195</v>
      </c>
      <c r="K17" s="116">
        <v>46196</v>
      </c>
      <c r="L17" s="116">
        <v>46197</v>
      </c>
      <c r="M17" s="116">
        <f t="shared" ref="M17:AR17" si="44">L17+1</f>
        <v>46198</v>
      </c>
      <c r="N17" s="116">
        <f t="shared" si="44"/>
        <v>46199</v>
      </c>
      <c r="O17" s="116">
        <f t="shared" si="44"/>
        <v>46200</v>
      </c>
      <c r="P17" s="116">
        <f t="shared" si="44"/>
        <v>46201</v>
      </c>
      <c r="Q17" s="116">
        <f t="shared" si="44"/>
        <v>46202</v>
      </c>
      <c r="R17" s="116">
        <f t="shared" si="44"/>
        <v>46203</v>
      </c>
      <c r="S17" s="116">
        <f t="shared" si="44"/>
        <v>46204</v>
      </c>
      <c r="T17" s="116">
        <f t="shared" si="44"/>
        <v>46205</v>
      </c>
      <c r="U17" s="116">
        <f t="shared" si="44"/>
        <v>46206</v>
      </c>
      <c r="V17" s="116">
        <f t="shared" si="44"/>
        <v>46207</v>
      </c>
      <c r="W17" s="116">
        <f t="shared" si="44"/>
        <v>46208</v>
      </c>
      <c r="X17" s="116">
        <f t="shared" si="44"/>
        <v>46209</v>
      </c>
      <c r="Y17" s="116">
        <f t="shared" si="44"/>
        <v>46210</v>
      </c>
      <c r="Z17" s="116">
        <f t="shared" si="44"/>
        <v>46211</v>
      </c>
      <c r="AA17" s="116">
        <f t="shared" si="44"/>
        <v>46212</v>
      </c>
      <c r="AB17" s="116">
        <f t="shared" si="44"/>
        <v>46213</v>
      </c>
      <c r="AC17" s="116">
        <f t="shared" si="44"/>
        <v>46214</v>
      </c>
      <c r="AD17" s="116">
        <f t="shared" si="44"/>
        <v>46215</v>
      </c>
      <c r="AE17" s="116">
        <f t="shared" si="44"/>
        <v>46216</v>
      </c>
      <c r="AF17" s="116">
        <f t="shared" si="44"/>
        <v>46217</v>
      </c>
      <c r="AG17" s="116">
        <f t="shared" si="44"/>
        <v>46218</v>
      </c>
      <c r="AH17" s="116">
        <f t="shared" si="44"/>
        <v>46219</v>
      </c>
      <c r="AI17" s="116">
        <f t="shared" si="44"/>
        <v>46220</v>
      </c>
      <c r="AJ17" s="116">
        <f t="shared" si="44"/>
        <v>46221</v>
      </c>
      <c r="AK17" s="116">
        <f t="shared" si="44"/>
        <v>46222</v>
      </c>
      <c r="AL17" s="116">
        <f t="shared" si="44"/>
        <v>46223</v>
      </c>
      <c r="AM17" s="116">
        <f t="shared" si="44"/>
        <v>46224</v>
      </c>
      <c r="AN17" s="116">
        <f t="shared" si="44"/>
        <v>46225</v>
      </c>
      <c r="AO17" s="116">
        <f t="shared" si="44"/>
        <v>46226</v>
      </c>
      <c r="AP17" s="116">
        <f t="shared" si="44"/>
        <v>46227</v>
      </c>
      <c r="AQ17" s="116">
        <f t="shared" si="44"/>
        <v>46228</v>
      </c>
      <c r="AR17" s="116">
        <f t="shared" si="44"/>
        <v>46229</v>
      </c>
      <c r="AS17" s="116">
        <f t="shared" ref="AS17:BX17" si="45">AR17+1</f>
        <v>46230</v>
      </c>
      <c r="AT17" s="116">
        <f t="shared" si="45"/>
        <v>46231</v>
      </c>
      <c r="AU17" s="116">
        <f t="shared" si="45"/>
        <v>46232</v>
      </c>
      <c r="AV17" s="116">
        <f t="shared" si="45"/>
        <v>46233</v>
      </c>
      <c r="AW17" s="116">
        <f t="shared" si="45"/>
        <v>46234</v>
      </c>
      <c r="AX17" s="116">
        <f t="shared" si="45"/>
        <v>46235</v>
      </c>
      <c r="AY17" s="116">
        <f t="shared" si="45"/>
        <v>46236</v>
      </c>
      <c r="AZ17" s="116">
        <f t="shared" si="45"/>
        <v>46237</v>
      </c>
      <c r="BA17" s="116">
        <f t="shared" si="45"/>
        <v>46238</v>
      </c>
      <c r="BB17" s="116">
        <f t="shared" si="45"/>
        <v>46239</v>
      </c>
      <c r="BC17" s="116">
        <f t="shared" si="45"/>
        <v>46240</v>
      </c>
      <c r="BD17" s="116">
        <f t="shared" si="45"/>
        <v>46241</v>
      </c>
      <c r="BE17" s="116">
        <f t="shared" si="45"/>
        <v>46242</v>
      </c>
      <c r="BF17" s="116">
        <f t="shared" si="45"/>
        <v>46243</v>
      </c>
      <c r="BG17" s="116">
        <f t="shared" si="45"/>
        <v>46244</v>
      </c>
      <c r="BH17" s="116">
        <f t="shared" si="45"/>
        <v>46245</v>
      </c>
      <c r="BI17" s="116">
        <f t="shared" si="45"/>
        <v>46246</v>
      </c>
      <c r="BJ17" s="116">
        <f t="shared" si="45"/>
        <v>46247</v>
      </c>
      <c r="BK17" s="116">
        <f t="shared" si="45"/>
        <v>46248</v>
      </c>
      <c r="BL17" s="116">
        <f t="shared" si="45"/>
        <v>46249</v>
      </c>
      <c r="BM17" s="116">
        <f t="shared" si="45"/>
        <v>46250</v>
      </c>
      <c r="BN17" s="116">
        <f t="shared" si="45"/>
        <v>46251</v>
      </c>
      <c r="BO17" s="116">
        <f t="shared" si="45"/>
        <v>46252</v>
      </c>
      <c r="BP17" s="116">
        <f t="shared" si="45"/>
        <v>46253</v>
      </c>
      <c r="BQ17" s="116">
        <f t="shared" si="45"/>
        <v>46254</v>
      </c>
      <c r="BR17" s="116">
        <f t="shared" si="45"/>
        <v>46255</v>
      </c>
      <c r="BS17" s="116">
        <f t="shared" si="45"/>
        <v>46256</v>
      </c>
      <c r="BT17" s="116">
        <f t="shared" si="45"/>
        <v>46257</v>
      </c>
      <c r="BU17" s="116">
        <f t="shared" si="45"/>
        <v>46258</v>
      </c>
      <c r="BV17" s="116">
        <f t="shared" si="45"/>
        <v>46259</v>
      </c>
      <c r="BW17" s="116">
        <f t="shared" si="45"/>
        <v>46260</v>
      </c>
      <c r="BX17" s="116">
        <f t="shared" si="45"/>
        <v>46261</v>
      </c>
      <c r="BY17" s="116">
        <f t="shared" ref="BY17:DD17" si="46">BX17+1</f>
        <v>46262</v>
      </c>
      <c r="BZ17" s="116">
        <f t="shared" si="46"/>
        <v>46263</v>
      </c>
      <c r="CA17" s="116">
        <f t="shared" si="46"/>
        <v>46264</v>
      </c>
      <c r="CB17" s="116">
        <f t="shared" si="46"/>
        <v>46265</v>
      </c>
      <c r="CC17" s="116">
        <f t="shared" si="46"/>
        <v>46266</v>
      </c>
      <c r="CD17" s="116">
        <f t="shared" si="46"/>
        <v>46267</v>
      </c>
      <c r="CE17" s="116">
        <f t="shared" si="46"/>
        <v>46268</v>
      </c>
      <c r="CF17" s="116">
        <f t="shared" si="46"/>
        <v>46269</v>
      </c>
      <c r="CG17" s="116">
        <f t="shared" si="46"/>
        <v>46270</v>
      </c>
      <c r="CH17" s="116">
        <f t="shared" si="46"/>
        <v>46271</v>
      </c>
      <c r="CI17" s="116">
        <f t="shared" si="46"/>
        <v>46272</v>
      </c>
      <c r="CJ17" s="116">
        <f t="shared" si="46"/>
        <v>46273</v>
      </c>
      <c r="CK17" s="116">
        <f t="shared" si="46"/>
        <v>46274</v>
      </c>
      <c r="CL17" s="116">
        <f t="shared" si="46"/>
        <v>46275</v>
      </c>
      <c r="CM17" s="116">
        <f t="shared" si="46"/>
        <v>46276</v>
      </c>
      <c r="CN17" s="116">
        <f t="shared" si="46"/>
        <v>46277</v>
      </c>
      <c r="CO17" s="116">
        <f t="shared" si="46"/>
        <v>46278</v>
      </c>
      <c r="CP17" s="116">
        <f t="shared" si="46"/>
        <v>46279</v>
      </c>
      <c r="CQ17" s="116">
        <f t="shared" si="46"/>
        <v>46280</v>
      </c>
      <c r="CR17" s="116">
        <f t="shared" si="46"/>
        <v>46281</v>
      </c>
      <c r="CS17" s="116">
        <f t="shared" si="46"/>
        <v>46282</v>
      </c>
      <c r="CT17" s="116">
        <f t="shared" si="46"/>
        <v>46283</v>
      </c>
      <c r="CU17" s="116">
        <f t="shared" si="46"/>
        <v>46284</v>
      </c>
      <c r="CV17" s="116">
        <f t="shared" si="46"/>
        <v>46285</v>
      </c>
      <c r="CW17" s="116">
        <f t="shared" si="46"/>
        <v>46286</v>
      </c>
      <c r="CX17" s="116">
        <f t="shared" si="46"/>
        <v>46287</v>
      </c>
      <c r="CY17" s="116">
        <f t="shared" si="46"/>
        <v>46288</v>
      </c>
      <c r="CZ17" s="116">
        <f t="shared" si="46"/>
        <v>46289</v>
      </c>
      <c r="DA17" s="116">
        <f t="shared" si="46"/>
        <v>46290</v>
      </c>
      <c r="DB17" s="116">
        <f t="shared" si="46"/>
        <v>46291</v>
      </c>
      <c r="DC17" s="116">
        <f t="shared" si="46"/>
        <v>46292</v>
      </c>
      <c r="DD17" s="116">
        <f t="shared" si="46"/>
        <v>46293</v>
      </c>
      <c r="DE17" s="116">
        <f t="shared" ref="DE17:EL17" si="47">DD17+1</f>
        <v>46294</v>
      </c>
      <c r="DF17" s="116">
        <f t="shared" si="47"/>
        <v>46295</v>
      </c>
      <c r="DG17" s="116">
        <f t="shared" si="47"/>
        <v>46296</v>
      </c>
      <c r="DH17" s="116">
        <f t="shared" si="47"/>
        <v>46297</v>
      </c>
      <c r="DI17" s="116">
        <f t="shared" si="47"/>
        <v>46298</v>
      </c>
      <c r="DJ17" s="116">
        <f t="shared" si="47"/>
        <v>46299</v>
      </c>
      <c r="DK17" s="116">
        <f t="shared" si="47"/>
        <v>46300</v>
      </c>
      <c r="DL17" s="116">
        <f t="shared" si="47"/>
        <v>46301</v>
      </c>
      <c r="DM17" s="116">
        <f t="shared" si="47"/>
        <v>46302</v>
      </c>
      <c r="DN17" s="116">
        <f t="shared" si="47"/>
        <v>46303</v>
      </c>
      <c r="DO17" s="116">
        <f t="shared" si="47"/>
        <v>46304</v>
      </c>
      <c r="DP17" s="116">
        <f t="shared" si="47"/>
        <v>46305</v>
      </c>
      <c r="DQ17" s="116">
        <f t="shared" si="47"/>
        <v>46306</v>
      </c>
      <c r="DR17" s="116">
        <f t="shared" si="47"/>
        <v>46307</v>
      </c>
      <c r="DS17" s="116">
        <f t="shared" si="47"/>
        <v>46308</v>
      </c>
      <c r="DT17" s="116">
        <f t="shared" si="47"/>
        <v>46309</v>
      </c>
      <c r="DU17" s="116">
        <f t="shared" si="47"/>
        <v>46310</v>
      </c>
      <c r="DV17" s="116">
        <f t="shared" si="47"/>
        <v>46311</v>
      </c>
      <c r="DW17" s="116">
        <f t="shared" si="47"/>
        <v>46312</v>
      </c>
      <c r="DX17" s="116">
        <f t="shared" si="47"/>
        <v>46313</v>
      </c>
      <c r="DY17" s="116">
        <f t="shared" si="47"/>
        <v>46314</v>
      </c>
      <c r="DZ17" s="116">
        <f t="shared" si="47"/>
        <v>46315</v>
      </c>
      <c r="EA17" s="116">
        <f t="shared" si="47"/>
        <v>46316</v>
      </c>
      <c r="EB17" s="116">
        <f t="shared" si="47"/>
        <v>46317</v>
      </c>
      <c r="EC17" s="116">
        <f t="shared" si="47"/>
        <v>46318</v>
      </c>
      <c r="ED17" s="116">
        <f t="shared" si="47"/>
        <v>46319</v>
      </c>
      <c r="EE17" s="116">
        <f t="shared" si="47"/>
        <v>46320</v>
      </c>
      <c r="EF17" s="116">
        <f t="shared" si="47"/>
        <v>46321</v>
      </c>
      <c r="EG17" s="116">
        <f t="shared" si="47"/>
        <v>46322</v>
      </c>
      <c r="EH17" s="116">
        <f t="shared" si="47"/>
        <v>46323</v>
      </c>
      <c r="EI17" s="116">
        <f t="shared" si="47"/>
        <v>46324</v>
      </c>
      <c r="EJ17" s="116">
        <f t="shared" si="47"/>
        <v>46325</v>
      </c>
      <c r="EK17" s="116">
        <f t="shared" si="47"/>
        <v>46326</v>
      </c>
      <c r="EL17" s="116">
        <f t="shared" si="47"/>
        <v>46327</v>
      </c>
    </row>
    <row r="18" spans="1:144">
      <c r="A18" s="476"/>
      <c r="B18" s="500"/>
      <c r="C18" s="500"/>
      <c r="D18" s="467">
        <f>'BESS 11'!H96</f>
        <v>46248</v>
      </c>
      <c r="E18" s="109" t="s">
        <v>64</v>
      </c>
      <c r="F18" s="102">
        <f>SUM('BESS 11'!S110:S117,'BESS 11'!S119)</f>
        <v>4</v>
      </c>
      <c r="G18" s="101">
        <f>MAX('BESS 11'!O110:O117,'BESS 11'!O119)-MIN('BESS 11'!O110:O117,'BESS 11'!O119)+1</f>
        <v>9</v>
      </c>
      <c r="H18" s="101"/>
      <c r="I18" s="110">
        <f>MIN('BESS 11'!O110:O117,'BESS 11'!O119)</f>
        <v>46223</v>
      </c>
      <c r="J18" s="101" t="str">
        <f t="shared" ref="J18:S21" si="48">IF(AND(J$1&gt;=$I18,J$1&lt;($I18+$G18)),ROUND($F18/$G18,0),"-")</f>
        <v>-</v>
      </c>
      <c r="K18" s="101" t="str">
        <f t="shared" si="48"/>
        <v>-</v>
      </c>
      <c r="L18" s="101" t="str">
        <f t="shared" si="48"/>
        <v>-</v>
      </c>
      <c r="M18" s="101" t="str">
        <f t="shared" si="48"/>
        <v>-</v>
      </c>
      <c r="N18" s="101" t="str">
        <f t="shared" si="48"/>
        <v>-</v>
      </c>
      <c r="O18" s="101" t="str">
        <f t="shared" si="48"/>
        <v>-</v>
      </c>
      <c r="P18" s="101" t="str">
        <f t="shared" si="48"/>
        <v>-</v>
      </c>
      <c r="Q18" s="101" t="str">
        <f t="shared" si="48"/>
        <v>-</v>
      </c>
      <c r="R18" s="101" t="str">
        <f t="shared" si="48"/>
        <v>-</v>
      </c>
      <c r="S18" s="101" t="str">
        <f t="shared" si="48"/>
        <v>-</v>
      </c>
      <c r="T18" s="101" t="str">
        <f t="shared" ref="T18:AC21" si="49">IF(AND(T$1&gt;=$I18,T$1&lt;($I18+$G18)),ROUND($F18/$G18,0),"-")</f>
        <v>-</v>
      </c>
      <c r="U18" s="101" t="str">
        <f t="shared" si="49"/>
        <v>-</v>
      </c>
      <c r="V18" s="101" t="str">
        <f t="shared" si="49"/>
        <v>-</v>
      </c>
      <c r="W18" s="101" t="str">
        <f t="shared" si="49"/>
        <v>-</v>
      </c>
      <c r="X18" s="101" t="str">
        <f t="shared" si="49"/>
        <v>-</v>
      </c>
      <c r="Y18" s="101" t="str">
        <f t="shared" si="49"/>
        <v>-</v>
      </c>
      <c r="Z18" s="101" t="str">
        <f t="shared" si="49"/>
        <v>-</v>
      </c>
      <c r="AA18" s="101" t="str">
        <f t="shared" si="49"/>
        <v>-</v>
      </c>
      <c r="AB18" s="101" t="str">
        <f t="shared" si="49"/>
        <v>-</v>
      </c>
      <c r="AC18" s="101" t="str">
        <f t="shared" si="49"/>
        <v>-</v>
      </c>
      <c r="AD18" s="101" t="str">
        <f t="shared" ref="AD18:AM21" si="50">IF(AND(AD$1&gt;=$I18,AD$1&lt;($I18+$G18)),ROUND($F18/$G18,0),"-")</f>
        <v>-</v>
      </c>
      <c r="AE18" s="101" t="str">
        <f t="shared" si="50"/>
        <v>-</v>
      </c>
      <c r="AF18" s="101" t="str">
        <f t="shared" si="50"/>
        <v>-</v>
      </c>
      <c r="AG18" s="101" t="str">
        <f t="shared" si="50"/>
        <v>-</v>
      </c>
      <c r="AH18" s="101" t="str">
        <f t="shared" si="50"/>
        <v>-</v>
      </c>
      <c r="AI18" s="101" t="str">
        <f t="shared" si="50"/>
        <v>-</v>
      </c>
      <c r="AJ18" s="101" t="str">
        <f t="shared" si="50"/>
        <v>-</v>
      </c>
      <c r="AK18" s="101" t="str">
        <f t="shared" si="50"/>
        <v>-</v>
      </c>
      <c r="AL18" s="101">
        <f t="shared" si="50"/>
        <v>0</v>
      </c>
      <c r="AM18" s="101">
        <f t="shared" si="50"/>
        <v>0</v>
      </c>
      <c r="AN18" s="101">
        <f t="shared" ref="AN18:AW21" si="51">IF(AND(AN$1&gt;=$I18,AN$1&lt;($I18+$G18)),ROUND($F18/$G18,0),"-")</f>
        <v>0</v>
      </c>
      <c r="AO18" s="101">
        <f t="shared" si="51"/>
        <v>0</v>
      </c>
      <c r="AP18" s="101">
        <f t="shared" si="51"/>
        <v>0</v>
      </c>
      <c r="AQ18" s="101">
        <f t="shared" si="51"/>
        <v>0</v>
      </c>
      <c r="AR18" s="101">
        <f t="shared" si="51"/>
        <v>0</v>
      </c>
      <c r="AS18" s="101">
        <f t="shared" si="51"/>
        <v>0</v>
      </c>
      <c r="AT18" s="101">
        <f t="shared" si="51"/>
        <v>0</v>
      </c>
      <c r="AU18" s="101" t="str">
        <f t="shared" si="51"/>
        <v>-</v>
      </c>
      <c r="AV18" s="101" t="str">
        <f t="shared" si="51"/>
        <v>-</v>
      </c>
      <c r="AW18" s="101" t="str">
        <f t="shared" si="51"/>
        <v>-</v>
      </c>
      <c r="AX18" s="101" t="str">
        <f t="shared" ref="AX18:BG21" si="52">IF(AND(AX$1&gt;=$I18,AX$1&lt;($I18+$G18)),ROUND($F18/$G18,0),"-")</f>
        <v>-</v>
      </c>
      <c r="AY18" s="101" t="str">
        <f t="shared" si="52"/>
        <v>-</v>
      </c>
      <c r="AZ18" s="101" t="str">
        <f t="shared" si="52"/>
        <v>-</v>
      </c>
      <c r="BA18" s="101" t="str">
        <f t="shared" si="52"/>
        <v>-</v>
      </c>
      <c r="BB18" s="101" t="str">
        <f t="shared" si="52"/>
        <v>-</v>
      </c>
      <c r="BC18" s="101" t="str">
        <f t="shared" si="52"/>
        <v>-</v>
      </c>
      <c r="BD18" s="101" t="str">
        <f t="shared" si="52"/>
        <v>-</v>
      </c>
      <c r="BE18" s="101" t="str">
        <f t="shared" si="52"/>
        <v>-</v>
      </c>
      <c r="BF18" s="101" t="str">
        <f t="shared" si="52"/>
        <v>-</v>
      </c>
      <c r="BG18" s="101" t="str">
        <f t="shared" si="52"/>
        <v>-</v>
      </c>
      <c r="BH18" s="101" t="str">
        <f t="shared" ref="BH18:BQ21" si="53">IF(AND(BH$1&gt;=$I18,BH$1&lt;($I18+$G18)),ROUND($F18/$G18,0),"-")</f>
        <v>-</v>
      </c>
      <c r="BI18" s="101" t="str">
        <f t="shared" si="53"/>
        <v>-</v>
      </c>
      <c r="BJ18" s="101" t="str">
        <f t="shared" si="53"/>
        <v>-</v>
      </c>
      <c r="BK18" s="101" t="str">
        <f t="shared" si="53"/>
        <v>-</v>
      </c>
      <c r="BL18" s="101" t="str">
        <f t="shared" si="53"/>
        <v>-</v>
      </c>
      <c r="BM18" s="101" t="str">
        <f t="shared" si="53"/>
        <v>-</v>
      </c>
      <c r="BN18" s="101" t="str">
        <f t="shared" si="53"/>
        <v>-</v>
      </c>
      <c r="BO18" s="101" t="str">
        <f t="shared" si="53"/>
        <v>-</v>
      </c>
      <c r="BP18" s="101" t="str">
        <f t="shared" si="53"/>
        <v>-</v>
      </c>
      <c r="BQ18" s="101" t="str">
        <f t="shared" si="53"/>
        <v>-</v>
      </c>
      <c r="BR18" s="101" t="str">
        <f t="shared" ref="BR18:CA21" si="54">IF(AND(BR$1&gt;=$I18,BR$1&lt;($I18+$G18)),ROUND($F18/$G18,0),"-")</f>
        <v>-</v>
      </c>
      <c r="BS18" s="101" t="str">
        <f t="shared" si="54"/>
        <v>-</v>
      </c>
      <c r="BT18" s="101" t="str">
        <f t="shared" si="54"/>
        <v>-</v>
      </c>
      <c r="BU18" s="101" t="str">
        <f t="shared" si="54"/>
        <v>-</v>
      </c>
      <c r="BV18" s="101" t="str">
        <f t="shared" si="54"/>
        <v>-</v>
      </c>
      <c r="BW18" s="101" t="str">
        <f t="shared" si="54"/>
        <v>-</v>
      </c>
      <c r="BX18" s="101" t="str">
        <f t="shared" si="54"/>
        <v>-</v>
      </c>
      <c r="BY18" s="101" t="str">
        <f t="shared" si="54"/>
        <v>-</v>
      </c>
      <c r="BZ18" s="101" t="str">
        <f t="shared" si="54"/>
        <v>-</v>
      </c>
      <c r="CA18" s="101" t="str">
        <f t="shared" si="54"/>
        <v>-</v>
      </c>
      <c r="CB18" s="101" t="str">
        <f t="shared" ref="CB18:CK21" si="55">IF(AND(CB$1&gt;=$I18,CB$1&lt;($I18+$G18)),ROUND($F18/$G18,0),"-")</f>
        <v>-</v>
      </c>
      <c r="CC18" s="101" t="str">
        <f t="shared" si="55"/>
        <v>-</v>
      </c>
      <c r="CD18" s="101" t="str">
        <f t="shared" si="55"/>
        <v>-</v>
      </c>
      <c r="CE18" s="101" t="str">
        <f t="shared" si="55"/>
        <v>-</v>
      </c>
      <c r="CF18" s="101" t="str">
        <f t="shared" si="55"/>
        <v>-</v>
      </c>
      <c r="CG18" s="101" t="str">
        <f t="shared" si="55"/>
        <v>-</v>
      </c>
      <c r="CH18" s="101" t="str">
        <f t="shared" si="55"/>
        <v>-</v>
      </c>
      <c r="CI18" s="101" t="str">
        <f t="shared" si="55"/>
        <v>-</v>
      </c>
      <c r="CJ18" s="101" t="str">
        <f t="shared" si="55"/>
        <v>-</v>
      </c>
      <c r="CK18" s="101" t="str">
        <f t="shared" si="55"/>
        <v>-</v>
      </c>
      <c r="CL18" s="101" t="str">
        <f t="shared" ref="CL18:CU21" si="56">IF(AND(CL$1&gt;=$I18,CL$1&lt;($I18+$G18)),ROUND($F18/$G18,0),"-")</f>
        <v>-</v>
      </c>
      <c r="CM18" s="101" t="str">
        <f t="shared" si="56"/>
        <v>-</v>
      </c>
      <c r="CN18" s="101" t="str">
        <f t="shared" si="56"/>
        <v>-</v>
      </c>
      <c r="CO18" s="101" t="str">
        <f t="shared" si="56"/>
        <v>-</v>
      </c>
      <c r="CP18" s="101" t="str">
        <f t="shared" si="56"/>
        <v>-</v>
      </c>
      <c r="CQ18" s="101" t="str">
        <f t="shared" si="56"/>
        <v>-</v>
      </c>
      <c r="CR18" s="101" t="str">
        <f t="shared" si="56"/>
        <v>-</v>
      </c>
      <c r="CS18" s="101" t="str">
        <f t="shared" si="56"/>
        <v>-</v>
      </c>
      <c r="CT18" s="101" t="str">
        <f t="shared" si="56"/>
        <v>-</v>
      </c>
      <c r="CU18" s="101" t="str">
        <f t="shared" si="56"/>
        <v>-</v>
      </c>
      <c r="CV18" s="101" t="str">
        <f t="shared" ref="CV18:DE21" si="57">IF(AND(CV$1&gt;=$I18,CV$1&lt;($I18+$G18)),ROUND($F18/$G18,0),"-")</f>
        <v>-</v>
      </c>
      <c r="CW18" s="101" t="str">
        <f t="shared" si="57"/>
        <v>-</v>
      </c>
      <c r="CX18" s="101" t="str">
        <f t="shared" si="57"/>
        <v>-</v>
      </c>
      <c r="CY18" s="101" t="str">
        <f t="shared" si="57"/>
        <v>-</v>
      </c>
      <c r="CZ18" s="101" t="str">
        <f t="shared" si="57"/>
        <v>-</v>
      </c>
      <c r="DA18" s="101" t="str">
        <f t="shared" si="57"/>
        <v>-</v>
      </c>
      <c r="DB18" s="101" t="str">
        <f t="shared" si="57"/>
        <v>-</v>
      </c>
      <c r="DC18" s="101" t="str">
        <f t="shared" si="57"/>
        <v>-</v>
      </c>
      <c r="DD18" s="101" t="str">
        <f t="shared" si="57"/>
        <v>-</v>
      </c>
      <c r="DE18" s="101" t="str">
        <f t="shared" si="57"/>
        <v>-</v>
      </c>
      <c r="DF18" s="101" t="str">
        <f t="shared" ref="DF18:DO21" si="58">IF(AND(DF$1&gt;=$I18,DF$1&lt;($I18+$G18)),ROUND($F18/$G18,0),"-")</f>
        <v>-</v>
      </c>
      <c r="DG18" s="101" t="str">
        <f t="shared" si="58"/>
        <v>-</v>
      </c>
      <c r="DH18" s="101" t="str">
        <f t="shared" si="58"/>
        <v>-</v>
      </c>
      <c r="DI18" s="101" t="str">
        <f t="shared" si="58"/>
        <v>-</v>
      </c>
      <c r="DJ18" s="101" t="str">
        <f t="shared" si="58"/>
        <v>-</v>
      </c>
      <c r="DK18" s="101" t="str">
        <f t="shared" si="58"/>
        <v>-</v>
      </c>
      <c r="DL18" s="101" t="str">
        <f t="shared" si="58"/>
        <v>-</v>
      </c>
      <c r="DM18" s="101" t="str">
        <f t="shared" si="58"/>
        <v>-</v>
      </c>
      <c r="DN18" s="101" t="str">
        <f t="shared" si="58"/>
        <v>-</v>
      </c>
      <c r="DO18" s="101" t="str">
        <f t="shared" si="58"/>
        <v>-</v>
      </c>
      <c r="DP18" s="101" t="str">
        <f t="shared" ref="DP18:DY21" si="59">IF(AND(DP$1&gt;=$I18,DP$1&lt;($I18+$G18)),ROUND($F18/$G18,0),"-")</f>
        <v>-</v>
      </c>
      <c r="DQ18" s="101" t="str">
        <f t="shared" si="59"/>
        <v>-</v>
      </c>
      <c r="DR18" s="101" t="str">
        <f t="shared" si="59"/>
        <v>-</v>
      </c>
      <c r="DS18" s="101" t="str">
        <f t="shared" si="59"/>
        <v>-</v>
      </c>
      <c r="DT18" s="101" t="str">
        <f t="shared" si="59"/>
        <v>-</v>
      </c>
      <c r="DU18" s="101" t="str">
        <f t="shared" si="59"/>
        <v>-</v>
      </c>
      <c r="DV18" s="101" t="str">
        <f t="shared" si="59"/>
        <v>-</v>
      </c>
      <c r="DW18" s="101" t="str">
        <f t="shared" si="59"/>
        <v>-</v>
      </c>
      <c r="DX18" s="101" t="str">
        <f t="shared" si="59"/>
        <v>-</v>
      </c>
      <c r="DY18" s="101" t="str">
        <f t="shared" si="59"/>
        <v>-</v>
      </c>
      <c r="DZ18" s="101" t="str">
        <f t="shared" ref="DZ18:EL21" si="60">IF(AND(DZ$1&gt;=$I18,DZ$1&lt;($I18+$G18)),ROUND($F18/$G18,0),"-")</f>
        <v>-</v>
      </c>
      <c r="EA18" s="101" t="str">
        <f t="shared" si="60"/>
        <v>-</v>
      </c>
      <c r="EB18" s="101" t="str">
        <f t="shared" si="60"/>
        <v>-</v>
      </c>
      <c r="EC18" s="101" t="str">
        <f t="shared" si="60"/>
        <v>-</v>
      </c>
      <c r="ED18" s="101" t="str">
        <f t="shared" si="60"/>
        <v>-</v>
      </c>
      <c r="EE18" s="101" t="str">
        <f t="shared" si="60"/>
        <v>-</v>
      </c>
      <c r="EF18" s="101" t="str">
        <f t="shared" si="60"/>
        <v>-</v>
      </c>
      <c r="EG18" s="101" t="str">
        <f t="shared" si="60"/>
        <v>-</v>
      </c>
      <c r="EH18" s="101" t="str">
        <f t="shared" si="60"/>
        <v>-</v>
      </c>
      <c r="EI18" s="101" t="str">
        <f t="shared" si="60"/>
        <v>-</v>
      </c>
      <c r="EJ18" s="101" t="str">
        <f t="shared" si="60"/>
        <v>-</v>
      </c>
      <c r="EK18" s="101" t="str">
        <f t="shared" si="60"/>
        <v>-</v>
      </c>
      <c r="EL18" s="101" t="str">
        <f t="shared" si="60"/>
        <v>-</v>
      </c>
    </row>
    <row r="19" spans="1:144">
      <c r="A19" s="476"/>
      <c r="B19" s="500"/>
      <c r="C19" s="500"/>
      <c r="D19" s="466"/>
      <c r="E19" s="109" t="s">
        <v>65</v>
      </c>
      <c r="F19" s="102">
        <f>SUM('BESS 11'!S120,'BESS 11'!S122:S123,'BESS 11'!S126:S128)</f>
        <v>251.29999999999998</v>
      </c>
      <c r="G19" s="101">
        <f>MAX('BESS 11'!O120,'BESS 11'!O122:O123,'BESS 11'!O126:O128)-MIN('BESS 11'!O120,'BESS 11'!O122:O123,'BESS 11'!O126:O128)+1</f>
        <v>1</v>
      </c>
      <c r="H19" s="101"/>
      <c r="I19" s="110">
        <f>MIN('BESS 11'!O120,'BESS 11'!O122:O123,'BESS 11'!O126:O128)</f>
        <v>46233</v>
      </c>
      <c r="J19" s="101" t="str">
        <f t="shared" si="48"/>
        <v>-</v>
      </c>
      <c r="K19" s="101" t="str">
        <f t="shared" si="48"/>
        <v>-</v>
      </c>
      <c r="L19" s="101" t="str">
        <f t="shared" si="48"/>
        <v>-</v>
      </c>
      <c r="M19" s="101" t="str">
        <f t="shared" si="48"/>
        <v>-</v>
      </c>
      <c r="N19" s="101" t="str">
        <f t="shared" si="48"/>
        <v>-</v>
      </c>
      <c r="O19" s="101" t="str">
        <f t="shared" si="48"/>
        <v>-</v>
      </c>
      <c r="P19" s="101" t="str">
        <f t="shared" si="48"/>
        <v>-</v>
      </c>
      <c r="Q19" s="101" t="str">
        <f t="shared" si="48"/>
        <v>-</v>
      </c>
      <c r="R19" s="101" t="str">
        <f t="shared" si="48"/>
        <v>-</v>
      </c>
      <c r="S19" s="101" t="str">
        <f t="shared" si="48"/>
        <v>-</v>
      </c>
      <c r="T19" s="101" t="str">
        <f t="shared" si="49"/>
        <v>-</v>
      </c>
      <c r="U19" s="101" t="str">
        <f t="shared" si="49"/>
        <v>-</v>
      </c>
      <c r="V19" s="101" t="str">
        <f t="shared" si="49"/>
        <v>-</v>
      </c>
      <c r="W19" s="101" t="str">
        <f t="shared" si="49"/>
        <v>-</v>
      </c>
      <c r="X19" s="101" t="str">
        <f t="shared" si="49"/>
        <v>-</v>
      </c>
      <c r="Y19" s="101" t="str">
        <f t="shared" si="49"/>
        <v>-</v>
      </c>
      <c r="Z19" s="101" t="str">
        <f t="shared" si="49"/>
        <v>-</v>
      </c>
      <c r="AA19" s="101" t="str">
        <f t="shared" si="49"/>
        <v>-</v>
      </c>
      <c r="AB19" s="101" t="str">
        <f t="shared" si="49"/>
        <v>-</v>
      </c>
      <c r="AC19" s="101" t="str">
        <f t="shared" si="49"/>
        <v>-</v>
      </c>
      <c r="AD19" s="101" t="str">
        <f t="shared" si="50"/>
        <v>-</v>
      </c>
      <c r="AE19" s="101" t="str">
        <f t="shared" si="50"/>
        <v>-</v>
      </c>
      <c r="AF19" s="101" t="str">
        <f t="shared" si="50"/>
        <v>-</v>
      </c>
      <c r="AG19" s="101" t="str">
        <f t="shared" si="50"/>
        <v>-</v>
      </c>
      <c r="AH19" s="101" t="str">
        <f t="shared" si="50"/>
        <v>-</v>
      </c>
      <c r="AI19" s="101" t="str">
        <f t="shared" si="50"/>
        <v>-</v>
      </c>
      <c r="AJ19" s="101" t="str">
        <f t="shared" si="50"/>
        <v>-</v>
      </c>
      <c r="AK19" s="101" t="str">
        <f t="shared" si="50"/>
        <v>-</v>
      </c>
      <c r="AL19" s="101" t="str">
        <f t="shared" si="50"/>
        <v>-</v>
      </c>
      <c r="AM19" s="101" t="str">
        <f t="shared" si="50"/>
        <v>-</v>
      </c>
      <c r="AN19" s="101" t="str">
        <f t="shared" si="51"/>
        <v>-</v>
      </c>
      <c r="AO19" s="101" t="str">
        <f t="shared" si="51"/>
        <v>-</v>
      </c>
      <c r="AP19" s="101" t="str">
        <f t="shared" si="51"/>
        <v>-</v>
      </c>
      <c r="AQ19" s="101" t="str">
        <f t="shared" si="51"/>
        <v>-</v>
      </c>
      <c r="AR19" s="101" t="str">
        <f t="shared" si="51"/>
        <v>-</v>
      </c>
      <c r="AS19" s="101" t="str">
        <f t="shared" si="51"/>
        <v>-</v>
      </c>
      <c r="AT19" s="101" t="str">
        <f t="shared" si="51"/>
        <v>-</v>
      </c>
      <c r="AU19" s="101" t="str">
        <f t="shared" si="51"/>
        <v>-</v>
      </c>
      <c r="AV19" s="101">
        <f t="shared" si="51"/>
        <v>251</v>
      </c>
      <c r="AW19" s="101" t="str">
        <f t="shared" si="51"/>
        <v>-</v>
      </c>
      <c r="AX19" s="101" t="str">
        <f t="shared" si="52"/>
        <v>-</v>
      </c>
      <c r="AY19" s="101" t="str">
        <f t="shared" si="52"/>
        <v>-</v>
      </c>
      <c r="AZ19" s="101" t="str">
        <f t="shared" si="52"/>
        <v>-</v>
      </c>
      <c r="BA19" s="101" t="str">
        <f t="shared" si="52"/>
        <v>-</v>
      </c>
      <c r="BB19" s="101" t="str">
        <f t="shared" si="52"/>
        <v>-</v>
      </c>
      <c r="BC19" s="101" t="str">
        <f t="shared" si="52"/>
        <v>-</v>
      </c>
      <c r="BD19" s="101" t="str">
        <f t="shared" si="52"/>
        <v>-</v>
      </c>
      <c r="BE19" s="101" t="str">
        <f t="shared" si="52"/>
        <v>-</v>
      </c>
      <c r="BF19" s="101" t="str">
        <f t="shared" si="52"/>
        <v>-</v>
      </c>
      <c r="BG19" s="101" t="str">
        <f t="shared" si="52"/>
        <v>-</v>
      </c>
      <c r="BH19" s="101" t="str">
        <f t="shared" si="53"/>
        <v>-</v>
      </c>
      <c r="BI19" s="101" t="str">
        <f t="shared" si="53"/>
        <v>-</v>
      </c>
      <c r="BJ19" s="101" t="str">
        <f t="shared" si="53"/>
        <v>-</v>
      </c>
      <c r="BK19" s="101" t="str">
        <f t="shared" si="53"/>
        <v>-</v>
      </c>
      <c r="BL19" s="101" t="str">
        <f t="shared" si="53"/>
        <v>-</v>
      </c>
      <c r="BM19" s="101" t="str">
        <f t="shared" si="53"/>
        <v>-</v>
      </c>
      <c r="BN19" s="101" t="str">
        <f t="shared" si="53"/>
        <v>-</v>
      </c>
      <c r="BO19" s="101" t="str">
        <f t="shared" si="53"/>
        <v>-</v>
      </c>
      <c r="BP19" s="101" t="str">
        <f t="shared" si="53"/>
        <v>-</v>
      </c>
      <c r="BQ19" s="101" t="str">
        <f t="shared" si="53"/>
        <v>-</v>
      </c>
      <c r="BR19" s="101" t="str">
        <f t="shared" si="54"/>
        <v>-</v>
      </c>
      <c r="BS19" s="101" t="str">
        <f t="shared" si="54"/>
        <v>-</v>
      </c>
      <c r="BT19" s="101" t="str">
        <f t="shared" si="54"/>
        <v>-</v>
      </c>
      <c r="BU19" s="101" t="str">
        <f t="shared" si="54"/>
        <v>-</v>
      </c>
      <c r="BV19" s="101" t="str">
        <f t="shared" si="54"/>
        <v>-</v>
      </c>
      <c r="BW19" s="101" t="str">
        <f t="shared" si="54"/>
        <v>-</v>
      </c>
      <c r="BX19" s="101" t="str">
        <f t="shared" si="54"/>
        <v>-</v>
      </c>
      <c r="BY19" s="101" t="str">
        <f t="shared" si="54"/>
        <v>-</v>
      </c>
      <c r="BZ19" s="101" t="str">
        <f t="shared" si="54"/>
        <v>-</v>
      </c>
      <c r="CA19" s="101" t="str">
        <f t="shared" si="54"/>
        <v>-</v>
      </c>
      <c r="CB19" s="101" t="str">
        <f t="shared" si="55"/>
        <v>-</v>
      </c>
      <c r="CC19" s="101" t="str">
        <f t="shared" si="55"/>
        <v>-</v>
      </c>
      <c r="CD19" s="101" t="str">
        <f t="shared" si="55"/>
        <v>-</v>
      </c>
      <c r="CE19" s="101" t="str">
        <f t="shared" si="55"/>
        <v>-</v>
      </c>
      <c r="CF19" s="101" t="str">
        <f t="shared" si="55"/>
        <v>-</v>
      </c>
      <c r="CG19" s="101" t="str">
        <f t="shared" si="55"/>
        <v>-</v>
      </c>
      <c r="CH19" s="101" t="str">
        <f t="shared" si="55"/>
        <v>-</v>
      </c>
      <c r="CI19" s="101" t="str">
        <f t="shared" si="55"/>
        <v>-</v>
      </c>
      <c r="CJ19" s="101" t="str">
        <f t="shared" si="55"/>
        <v>-</v>
      </c>
      <c r="CK19" s="101" t="str">
        <f t="shared" si="55"/>
        <v>-</v>
      </c>
      <c r="CL19" s="101" t="str">
        <f t="shared" si="56"/>
        <v>-</v>
      </c>
      <c r="CM19" s="101" t="str">
        <f t="shared" si="56"/>
        <v>-</v>
      </c>
      <c r="CN19" s="101" t="str">
        <f t="shared" si="56"/>
        <v>-</v>
      </c>
      <c r="CO19" s="101" t="str">
        <f t="shared" si="56"/>
        <v>-</v>
      </c>
      <c r="CP19" s="101" t="str">
        <f t="shared" si="56"/>
        <v>-</v>
      </c>
      <c r="CQ19" s="101" t="str">
        <f t="shared" si="56"/>
        <v>-</v>
      </c>
      <c r="CR19" s="101" t="str">
        <f t="shared" si="56"/>
        <v>-</v>
      </c>
      <c r="CS19" s="101" t="str">
        <f t="shared" si="56"/>
        <v>-</v>
      </c>
      <c r="CT19" s="101" t="str">
        <f t="shared" si="56"/>
        <v>-</v>
      </c>
      <c r="CU19" s="101" t="str">
        <f t="shared" si="56"/>
        <v>-</v>
      </c>
      <c r="CV19" s="101" t="str">
        <f t="shared" si="57"/>
        <v>-</v>
      </c>
      <c r="CW19" s="101" t="str">
        <f t="shared" si="57"/>
        <v>-</v>
      </c>
      <c r="CX19" s="101" t="str">
        <f t="shared" si="57"/>
        <v>-</v>
      </c>
      <c r="CY19" s="101" t="str">
        <f t="shared" si="57"/>
        <v>-</v>
      </c>
      <c r="CZ19" s="101" t="str">
        <f t="shared" si="57"/>
        <v>-</v>
      </c>
      <c r="DA19" s="101" t="str">
        <f t="shared" si="57"/>
        <v>-</v>
      </c>
      <c r="DB19" s="101" t="str">
        <f t="shared" si="57"/>
        <v>-</v>
      </c>
      <c r="DC19" s="101" t="str">
        <f t="shared" si="57"/>
        <v>-</v>
      </c>
      <c r="DD19" s="101" t="str">
        <f t="shared" si="57"/>
        <v>-</v>
      </c>
      <c r="DE19" s="101" t="str">
        <f t="shared" si="57"/>
        <v>-</v>
      </c>
      <c r="DF19" s="101" t="str">
        <f t="shared" si="58"/>
        <v>-</v>
      </c>
      <c r="DG19" s="101" t="str">
        <f t="shared" si="58"/>
        <v>-</v>
      </c>
      <c r="DH19" s="101" t="str">
        <f t="shared" si="58"/>
        <v>-</v>
      </c>
      <c r="DI19" s="101" t="str">
        <f t="shared" si="58"/>
        <v>-</v>
      </c>
      <c r="DJ19" s="101" t="str">
        <f t="shared" si="58"/>
        <v>-</v>
      </c>
      <c r="DK19" s="101" t="str">
        <f t="shared" si="58"/>
        <v>-</v>
      </c>
      <c r="DL19" s="101" t="str">
        <f t="shared" si="58"/>
        <v>-</v>
      </c>
      <c r="DM19" s="101" t="str">
        <f t="shared" si="58"/>
        <v>-</v>
      </c>
      <c r="DN19" s="101" t="str">
        <f t="shared" si="58"/>
        <v>-</v>
      </c>
      <c r="DO19" s="101" t="str">
        <f t="shared" si="58"/>
        <v>-</v>
      </c>
      <c r="DP19" s="101" t="str">
        <f t="shared" si="59"/>
        <v>-</v>
      </c>
      <c r="DQ19" s="101" t="str">
        <f t="shared" si="59"/>
        <v>-</v>
      </c>
      <c r="DR19" s="101" t="str">
        <f t="shared" si="59"/>
        <v>-</v>
      </c>
      <c r="DS19" s="101" t="str">
        <f t="shared" si="59"/>
        <v>-</v>
      </c>
      <c r="DT19" s="101" t="str">
        <f t="shared" si="59"/>
        <v>-</v>
      </c>
      <c r="DU19" s="101" t="str">
        <f t="shared" si="59"/>
        <v>-</v>
      </c>
      <c r="DV19" s="101" t="str">
        <f t="shared" si="59"/>
        <v>-</v>
      </c>
      <c r="DW19" s="101" t="str">
        <f t="shared" si="59"/>
        <v>-</v>
      </c>
      <c r="DX19" s="101" t="str">
        <f t="shared" si="59"/>
        <v>-</v>
      </c>
      <c r="DY19" s="101" t="str">
        <f t="shared" si="59"/>
        <v>-</v>
      </c>
      <c r="DZ19" s="101" t="str">
        <f t="shared" si="60"/>
        <v>-</v>
      </c>
      <c r="EA19" s="101" t="str">
        <f t="shared" si="60"/>
        <v>-</v>
      </c>
      <c r="EB19" s="101" t="str">
        <f t="shared" si="60"/>
        <v>-</v>
      </c>
      <c r="EC19" s="101" t="str">
        <f t="shared" si="60"/>
        <v>-</v>
      </c>
      <c r="ED19" s="101" t="str">
        <f t="shared" si="60"/>
        <v>-</v>
      </c>
      <c r="EE19" s="101" t="str">
        <f t="shared" si="60"/>
        <v>-</v>
      </c>
      <c r="EF19" s="101" t="str">
        <f t="shared" si="60"/>
        <v>-</v>
      </c>
      <c r="EG19" s="101" t="str">
        <f t="shared" si="60"/>
        <v>-</v>
      </c>
      <c r="EH19" s="101" t="str">
        <f t="shared" si="60"/>
        <v>-</v>
      </c>
      <c r="EI19" s="101" t="str">
        <f t="shared" si="60"/>
        <v>-</v>
      </c>
      <c r="EJ19" s="101" t="str">
        <f t="shared" si="60"/>
        <v>-</v>
      </c>
      <c r="EK19" s="101" t="str">
        <f t="shared" si="60"/>
        <v>-</v>
      </c>
      <c r="EL19" s="101" t="str">
        <f t="shared" si="60"/>
        <v>-</v>
      </c>
    </row>
    <row r="20" spans="1:144">
      <c r="A20" s="476"/>
      <c r="B20" s="500"/>
      <c r="C20" s="500"/>
      <c r="D20" s="466"/>
      <c r="E20" s="109" t="s">
        <v>66</v>
      </c>
      <c r="F20" s="102">
        <f>SUM('BESS 11'!S121,'BESS 11'!S124,'BESS 11'!S125,'BESS 11'!S129,'BESS 11'!S130)</f>
        <v>2431.0666666666666</v>
      </c>
      <c r="G20" s="101">
        <f>MAX('BESS 11'!O121,'BESS 11'!O124,'BESS 11'!O125,'BESS 11'!O129,'BESS 11'!O130)-MIN('BESS 11'!O121,'BESS 11'!O124,'BESS 11'!O125,'BESS 11'!O129,'BESS 11'!O130)+1</f>
        <v>4</v>
      </c>
      <c r="H20" s="101"/>
      <c r="I20" s="110">
        <f>MIN('BESS 11'!O121,'BESS 11'!O124,'BESS 11'!O125,'BESS 11'!O129,'BESS 11'!O130)</f>
        <v>46234</v>
      </c>
      <c r="J20" s="101" t="str">
        <f t="shared" si="48"/>
        <v>-</v>
      </c>
      <c r="K20" s="101" t="str">
        <f t="shared" si="48"/>
        <v>-</v>
      </c>
      <c r="L20" s="101" t="str">
        <f t="shared" si="48"/>
        <v>-</v>
      </c>
      <c r="M20" s="101" t="str">
        <f t="shared" si="48"/>
        <v>-</v>
      </c>
      <c r="N20" s="101" t="str">
        <f t="shared" si="48"/>
        <v>-</v>
      </c>
      <c r="O20" s="101" t="str">
        <f t="shared" si="48"/>
        <v>-</v>
      </c>
      <c r="P20" s="101" t="str">
        <f t="shared" si="48"/>
        <v>-</v>
      </c>
      <c r="Q20" s="101" t="str">
        <f t="shared" si="48"/>
        <v>-</v>
      </c>
      <c r="R20" s="101" t="str">
        <f t="shared" si="48"/>
        <v>-</v>
      </c>
      <c r="S20" s="101" t="str">
        <f t="shared" si="48"/>
        <v>-</v>
      </c>
      <c r="T20" s="101" t="str">
        <f t="shared" si="49"/>
        <v>-</v>
      </c>
      <c r="U20" s="101" t="str">
        <f t="shared" si="49"/>
        <v>-</v>
      </c>
      <c r="V20" s="101" t="str">
        <f t="shared" si="49"/>
        <v>-</v>
      </c>
      <c r="W20" s="101" t="str">
        <f t="shared" si="49"/>
        <v>-</v>
      </c>
      <c r="X20" s="101" t="str">
        <f t="shared" si="49"/>
        <v>-</v>
      </c>
      <c r="Y20" s="101" t="str">
        <f t="shared" si="49"/>
        <v>-</v>
      </c>
      <c r="Z20" s="101" t="str">
        <f t="shared" si="49"/>
        <v>-</v>
      </c>
      <c r="AA20" s="101" t="str">
        <f t="shared" si="49"/>
        <v>-</v>
      </c>
      <c r="AB20" s="101" t="str">
        <f t="shared" si="49"/>
        <v>-</v>
      </c>
      <c r="AC20" s="101" t="str">
        <f t="shared" si="49"/>
        <v>-</v>
      </c>
      <c r="AD20" s="101" t="str">
        <f t="shared" si="50"/>
        <v>-</v>
      </c>
      <c r="AE20" s="101" t="str">
        <f t="shared" si="50"/>
        <v>-</v>
      </c>
      <c r="AF20" s="101" t="str">
        <f t="shared" si="50"/>
        <v>-</v>
      </c>
      <c r="AG20" s="101" t="str">
        <f t="shared" si="50"/>
        <v>-</v>
      </c>
      <c r="AH20" s="101" t="str">
        <f t="shared" si="50"/>
        <v>-</v>
      </c>
      <c r="AI20" s="101" t="str">
        <f t="shared" si="50"/>
        <v>-</v>
      </c>
      <c r="AJ20" s="101" t="str">
        <f t="shared" si="50"/>
        <v>-</v>
      </c>
      <c r="AK20" s="101" t="str">
        <f t="shared" si="50"/>
        <v>-</v>
      </c>
      <c r="AL20" s="101" t="str">
        <f t="shared" si="50"/>
        <v>-</v>
      </c>
      <c r="AM20" s="101" t="str">
        <f t="shared" si="50"/>
        <v>-</v>
      </c>
      <c r="AN20" s="101" t="str">
        <f t="shared" si="51"/>
        <v>-</v>
      </c>
      <c r="AO20" s="101" t="str">
        <f t="shared" si="51"/>
        <v>-</v>
      </c>
      <c r="AP20" s="101" t="str">
        <f t="shared" si="51"/>
        <v>-</v>
      </c>
      <c r="AQ20" s="101" t="str">
        <f t="shared" si="51"/>
        <v>-</v>
      </c>
      <c r="AR20" s="101" t="str">
        <f t="shared" si="51"/>
        <v>-</v>
      </c>
      <c r="AS20" s="101" t="str">
        <f t="shared" si="51"/>
        <v>-</v>
      </c>
      <c r="AT20" s="101" t="str">
        <f t="shared" si="51"/>
        <v>-</v>
      </c>
      <c r="AU20" s="101" t="str">
        <f t="shared" si="51"/>
        <v>-</v>
      </c>
      <c r="AV20" s="101" t="str">
        <f t="shared" si="51"/>
        <v>-</v>
      </c>
      <c r="AW20" s="101">
        <f t="shared" si="51"/>
        <v>608</v>
      </c>
      <c r="AX20" s="101">
        <f t="shared" si="52"/>
        <v>608</v>
      </c>
      <c r="AY20" s="101">
        <f t="shared" si="52"/>
        <v>608</v>
      </c>
      <c r="AZ20" s="101">
        <f t="shared" si="52"/>
        <v>608</v>
      </c>
      <c r="BA20" s="101" t="str">
        <f t="shared" si="52"/>
        <v>-</v>
      </c>
      <c r="BB20" s="101" t="str">
        <f t="shared" si="52"/>
        <v>-</v>
      </c>
      <c r="BC20" s="101" t="str">
        <f t="shared" si="52"/>
        <v>-</v>
      </c>
      <c r="BD20" s="101" t="str">
        <f t="shared" si="52"/>
        <v>-</v>
      </c>
      <c r="BE20" s="101" t="str">
        <f t="shared" si="52"/>
        <v>-</v>
      </c>
      <c r="BF20" s="101" t="str">
        <f t="shared" si="52"/>
        <v>-</v>
      </c>
      <c r="BG20" s="101" t="str">
        <f t="shared" si="52"/>
        <v>-</v>
      </c>
      <c r="BH20" s="101" t="str">
        <f t="shared" si="53"/>
        <v>-</v>
      </c>
      <c r="BI20" s="101" t="str">
        <f t="shared" si="53"/>
        <v>-</v>
      </c>
      <c r="BJ20" s="101" t="str">
        <f t="shared" si="53"/>
        <v>-</v>
      </c>
      <c r="BK20" s="101" t="str">
        <f t="shared" si="53"/>
        <v>-</v>
      </c>
      <c r="BL20" s="101" t="str">
        <f t="shared" si="53"/>
        <v>-</v>
      </c>
      <c r="BM20" s="101" t="str">
        <f t="shared" si="53"/>
        <v>-</v>
      </c>
      <c r="BN20" s="101" t="str">
        <f t="shared" si="53"/>
        <v>-</v>
      </c>
      <c r="BO20" s="101" t="str">
        <f t="shared" si="53"/>
        <v>-</v>
      </c>
      <c r="BP20" s="101" t="str">
        <f t="shared" si="53"/>
        <v>-</v>
      </c>
      <c r="BQ20" s="101" t="str">
        <f t="shared" si="53"/>
        <v>-</v>
      </c>
      <c r="BR20" s="101" t="str">
        <f t="shared" si="54"/>
        <v>-</v>
      </c>
      <c r="BS20" s="101" t="str">
        <f t="shared" si="54"/>
        <v>-</v>
      </c>
      <c r="BT20" s="101" t="str">
        <f t="shared" si="54"/>
        <v>-</v>
      </c>
      <c r="BU20" s="101" t="str">
        <f t="shared" si="54"/>
        <v>-</v>
      </c>
      <c r="BV20" s="101" t="str">
        <f t="shared" si="54"/>
        <v>-</v>
      </c>
      <c r="BW20" s="101" t="str">
        <f t="shared" si="54"/>
        <v>-</v>
      </c>
      <c r="BX20" s="101" t="str">
        <f t="shared" si="54"/>
        <v>-</v>
      </c>
      <c r="BY20" s="101" t="str">
        <f t="shared" si="54"/>
        <v>-</v>
      </c>
      <c r="BZ20" s="101" t="str">
        <f t="shared" si="54"/>
        <v>-</v>
      </c>
      <c r="CA20" s="101" t="str">
        <f t="shared" si="54"/>
        <v>-</v>
      </c>
      <c r="CB20" s="101" t="str">
        <f t="shared" si="55"/>
        <v>-</v>
      </c>
      <c r="CC20" s="101" t="str">
        <f t="shared" si="55"/>
        <v>-</v>
      </c>
      <c r="CD20" s="101" t="str">
        <f t="shared" si="55"/>
        <v>-</v>
      </c>
      <c r="CE20" s="101" t="str">
        <f t="shared" si="55"/>
        <v>-</v>
      </c>
      <c r="CF20" s="101" t="str">
        <f t="shared" si="55"/>
        <v>-</v>
      </c>
      <c r="CG20" s="101" t="str">
        <f t="shared" si="55"/>
        <v>-</v>
      </c>
      <c r="CH20" s="101" t="str">
        <f t="shared" si="55"/>
        <v>-</v>
      </c>
      <c r="CI20" s="101" t="str">
        <f t="shared" si="55"/>
        <v>-</v>
      </c>
      <c r="CJ20" s="101" t="str">
        <f t="shared" si="55"/>
        <v>-</v>
      </c>
      <c r="CK20" s="101" t="str">
        <f t="shared" si="55"/>
        <v>-</v>
      </c>
      <c r="CL20" s="101" t="str">
        <f t="shared" si="56"/>
        <v>-</v>
      </c>
      <c r="CM20" s="101" t="str">
        <f t="shared" si="56"/>
        <v>-</v>
      </c>
      <c r="CN20" s="101" t="str">
        <f t="shared" si="56"/>
        <v>-</v>
      </c>
      <c r="CO20" s="101" t="str">
        <f t="shared" si="56"/>
        <v>-</v>
      </c>
      <c r="CP20" s="101" t="str">
        <f t="shared" si="56"/>
        <v>-</v>
      </c>
      <c r="CQ20" s="101" t="str">
        <f t="shared" si="56"/>
        <v>-</v>
      </c>
      <c r="CR20" s="101" t="str">
        <f t="shared" si="56"/>
        <v>-</v>
      </c>
      <c r="CS20" s="101" t="str">
        <f t="shared" si="56"/>
        <v>-</v>
      </c>
      <c r="CT20" s="101" t="str">
        <f t="shared" si="56"/>
        <v>-</v>
      </c>
      <c r="CU20" s="101" t="str">
        <f t="shared" si="56"/>
        <v>-</v>
      </c>
      <c r="CV20" s="101" t="str">
        <f t="shared" si="57"/>
        <v>-</v>
      </c>
      <c r="CW20" s="101" t="str">
        <f t="shared" si="57"/>
        <v>-</v>
      </c>
      <c r="CX20" s="101" t="str">
        <f t="shared" si="57"/>
        <v>-</v>
      </c>
      <c r="CY20" s="101" t="str">
        <f t="shared" si="57"/>
        <v>-</v>
      </c>
      <c r="CZ20" s="101" t="str">
        <f t="shared" si="57"/>
        <v>-</v>
      </c>
      <c r="DA20" s="101" t="str">
        <f t="shared" si="57"/>
        <v>-</v>
      </c>
      <c r="DB20" s="101" t="str">
        <f t="shared" si="57"/>
        <v>-</v>
      </c>
      <c r="DC20" s="101" t="str">
        <f t="shared" si="57"/>
        <v>-</v>
      </c>
      <c r="DD20" s="101" t="str">
        <f t="shared" si="57"/>
        <v>-</v>
      </c>
      <c r="DE20" s="101" t="str">
        <f t="shared" si="57"/>
        <v>-</v>
      </c>
      <c r="DF20" s="101" t="str">
        <f t="shared" si="58"/>
        <v>-</v>
      </c>
      <c r="DG20" s="101" t="str">
        <f t="shared" si="58"/>
        <v>-</v>
      </c>
      <c r="DH20" s="101" t="str">
        <f t="shared" si="58"/>
        <v>-</v>
      </c>
      <c r="DI20" s="101" t="str">
        <f t="shared" si="58"/>
        <v>-</v>
      </c>
      <c r="DJ20" s="101" t="str">
        <f t="shared" si="58"/>
        <v>-</v>
      </c>
      <c r="DK20" s="101" t="str">
        <f t="shared" si="58"/>
        <v>-</v>
      </c>
      <c r="DL20" s="101" t="str">
        <f t="shared" si="58"/>
        <v>-</v>
      </c>
      <c r="DM20" s="101" t="str">
        <f t="shared" si="58"/>
        <v>-</v>
      </c>
      <c r="DN20" s="101" t="str">
        <f t="shared" si="58"/>
        <v>-</v>
      </c>
      <c r="DO20" s="101" t="str">
        <f t="shared" si="58"/>
        <v>-</v>
      </c>
      <c r="DP20" s="101" t="str">
        <f t="shared" si="59"/>
        <v>-</v>
      </c>
      <c r="DQ20" s="101" t="str">
        <f t="shared" si="59"/>
        <v>-</v>
      </c>
      <c r="DR20" s="101" t="str">
        <f t="shared" si="59"/>
        <v>-</v>
      </c>
      <c r="DS20" s="101" t="str">
        <f t="shared" si="59"/>
        <v>-</v>
      </c>
      <c r="DT20" s="101" t="str">
        <f t="shared" si="59"/>
        <v>-</v>
      </c>
      <c r="DU20" s="101" t="str">
        <f t="shared" si="59"/>
        <v>-</v>
      </c>
      <c r="DV20" s="101" t="str">
        <f t="shared" si="59"/>
        <v>-</v>
      </c>
      <c r="DW20" s="101" t="str">
        <f t="shared" si="59"/>
        <v>-</v>
      </c>
      <c r="DX20" s="101" t="str">
        <f t="shared" si="59"/>
        <v>-</v>
      </c>
      <c r="DY20" s="101" t="str">
        <f t="shared" si="59"/>
        <v>-</v>
      </c>
      <c r="DZ20" s="101" t="str">
        <f t="shared" si="60"/>
        <v>-</v>
      </c>
      <c r="EA20" s="101" t="str">
        <f t="shared" si="60"/>
        <v>-</v>
      </c>
      <c r="EB20" s="101" t="str">
        <f t="shared" si="60"/>
        <v>-</v>
      </c>
      <c r="EC20" s="101" t="str">
        <f t="shared" si="60"/>
        <v>-</v>
      </c>
      <c r="ED20" s="101" t="str">
        <f t="shared" si="60"/>
        <v>-</v>
      </c>
      <c r="EE20" s="101" t="str">
        <f t="shared" si="60"/>
        <v>-</v>
      </c>
      <c r="EF20" s="101" t="str">
        <f t="shared" si="60"/>
        <v>-</v>
      </c>
      <c r="EG20" s="101" t="str">
        <f t="shared" si="60"/>
        <v>-</v>
      </c>
      <c r="EH20" s="101" t="str">
        <f t="shared" si="60"/>
        <v>-</v>
      </c>
      <c r="EI20" s="101" t="str">
        <f t="shared" si="60"/>
        <v>-</v>
      </c>
      <c r="EJ20" s="101" t="str">
        <f t="shared" si="60"/>
        <v>-</v>
      </c>
      <c r="EK20" s="101" t="str">
        <f t="shared" si="60"/>
        <v>-</v>
      </c>
      <c r="EL20" s="101" t="str">
        <f t="shared" si="60"/>
        <v>-</v>
      </c>
    </row>
    <row r="21" spans="1:144">
      <c r="A21" s="476"/>
      <c r="B21" s="500"/>
      <c r="C21" s="500"/>
      <c r="D21" s="466"/>
      <c r="E21" s="109" t="s">
        <v>67</v>
      </c>
      <c r="F21" s="102">
        <f>SUM('BESS 11'!S132:S141)</f>
        <v>317.81333333333328</v>
      </c>
      <c r="G21" s="101">
        <f>MAX('BESS 11'!O132:O141)-MIN('BESS 11'!O132:O141)+1</f>
        <v>13</v>
      </c>
      <c r="H21" s="101"/>
      <c r="I21" s="110">
        <f>MIN('BESS 11'!O132:O141)</f>
        <v>46228</v>
      </c>
      <c r="J21" s="101" t="str">
        <f t="shared" si="48"/>
        <v>-</v>
      </c>
      <c r="K21" s="101" t="str">
        <f t="shared" si="48"/>
        <v>-</v>
      </c>
      <c r="L21" s="101" t="str">
        <f t="shared" si="48"/>
        <v>-</v>
      </c>
      <c r="M21" s="101" t="str">
        <f t="shared" si="48"/>
        <v>-</v>
      </c>
      <c r="N21" s="101" t="str">
        <f t="shared" si="48"/>
        <v>-</v>
      </c>
      <c r="O21" s="101" t="str">
        <f t="shared" si="48"/>
        <v>-</v>
      </c>
      <c r="P21" s="101" t="str">
        <f t="shared" si="48"/>
        <v>-</v>
      </c>
      <c r="Q21" s="101" t="str">
        <f t="shared" si="48"/>
        <v>-</v>
      </c>
      <c r="R21" s="101" t="str">
        <f t="shared" si="48"/>
        <v>-</v>
      </c>
      <c r="S21" s="101" t="str">
        <f t="shared" si="48"/>
        <v>-</v>
      </c>
      <c r="T21" s="101" t="str">
        <f t="shared" si="49"/>
        <v>-</v>
      </c>
      <c r="U21" s="101" t="str">
        <f t="shared" si="49"/>
        <v>-</v>
      </c>
      <c r="V21" s="101" t="str">
        <f t="shared" si="49"/>
        <v>-</v>
      </c>
      <c r="W21" s="101" t="str">
        <f t="shared" si="49"/>
        <v>-</v>
      </c>
      <c r="X21" s="101" t="str">
        <f t="shared" si="49"/>
        <v>-</v>
      </c>
      <c r="Y21" s="101" t="str">
        <f t="shared" si="49"/>
        <v>-</v>
      </c>
      <c r="Z21" s="101" t="str">
        <f t="shared" si="49"/>
        <v>-</v>
      </c>
      <c r="AA21" s="101" t="str">
        <f t="shared" si="49"/>
        <v>-</v>
      </c>
      <c r="AB21" s="101" t="str">
        <f t="shared" si="49"/>
        <v>-</v>
      </c>
      <c r="AC21" s="101" t="str">
        <f t="shared" si="49"/>
        <v>-</v>
      </c>
      <c r="AD21" s="101" t="str">
        <f t="shared" si="50"/>
        <v>-</v>
      </c>
      <c r="AE21" s="101" t="str">
        <f t="shared" si="50"/>
        <v>-</v>
      </c>
      <c r="AF21" s="101" t="str">
        <f t="shared" si="50"/>
        <v>-</v>
      </c>
      <c r="AG21" s="101" t="str">
        <f t="shared" si="50"/>
        <v>-</v>
      </c>
      <c r="AH21" s="101" t="str">
        <f t="shared" si="50"/>
        <v>-</v>
      </c>
      <c r="AI21" s="101" t="str">
        <f t="shared" si="50"/>
        <v>-</v>
      </c>
      <c r="AJ21" s="101" t="str">
        <f t="shared" si="50"/>
        <v>-</v>
      </c>
      <c r="AK21" s="101" t="str">
        <f t="shared" si="50"/>
        <v>-</v>
      </c>
      <c r="AL21" s="101" t="str">
        <f t="shared" si="50"/>
        <v>-</v>
      </c>
      <c r="AM21" s="101" t="str">
        <f t="shared" si="50"/>
        <v>-</v>
      </c>
      <c r="AN21" s="101" t="str">
        <f t="shared" si="51"/>
        <v>-</v>
      </c>
      <c r="AO21" s="101" t="str">
        <f t="shared" si="51"/>
        <v>-</v>
      </c>
      <c r="AP21" s="101" t="str">
        <f t="shared" si="51"/>
        <v>-</v>
      </c>
      <c r="AQ21" s="101">
        <f t="shared" si="51"/>
        <v>24</v>
      </c>
      <c r="AR21" s="101">
        <f t="shared" si="51"/>
        <v>24</v>
      </c>
      <c r="AS21" s="101">
        <f t="shared" si="51"/>
        <v>24</v>
      </c>
      <c r="AT21" s="101">
        <f t="shared" si="51"/>
        <v>24</v>
      </c>
      <c r="AU21" s="101">
        <f t="shared" si="51"/>
        <v>24</v>
      </c>
      <c r="AV21" s="101">
        <f t="shared" si="51"/>
        <v>24</v>
      </c>
      <c r="AW21" s="101">
        <f t="shared" si="51"/>
        <v>24</v>
      </c>
      <c r="AX21" s="101">
        <f t="shared" si="52"/>
        <v>24</v>
      </c>
      <c r="AY21" s="101">
        <f t="shared" si="52"/>
        <v>24</v>
      </c>
      <c r="AZ21" s="101">
        <f t="shared" si="52"/>
        <v>24</v>
      </c>
      <c r="BA21" s="101">
        <f t="shared" si="52"/>
        <v>24</v>
      </c>
      <c r="BB21" s="101">
        <f t="shared" si="52"/>
        <v>24</v>
      </c>
      <c r="BC21" s="101">
        <f t="shared" si="52"/>
        <v>24</v>
      </c>
      <c r="BD21" s="101" t="str">
        <f t="shared" si="52"/>
        <v>-</v>
      </c>
      <c r="BE21" s="101" t="str">
        <f t="shared" si="52"/>
        <v>-</v>
      </c>
      <c r="BF21" s="101" t="str">
        <f t="shared" si="52"/>
        <v>-</v>
      </c>
      <c r="BG21" s="101" t="str">
        <f t="shared" si="52"/>
        <v>-</v>
      </c>
      <c r="BH21" s="101" t="str">
        <f t="shared" si="53"/>
        <v>-</v>
      </c>
      <c r="BI21" s="101" t="str">
        <f t="shared" si="53"/>
        <v>-</v>
      </c>
      <c r="BJ21" s="101" t="str">
        <f t="shared" si="53"/>
        <v>-</v>
      </c>
      <c r="BK21" s="101" t="str">
        <f t="shared" si="53"/>
        <v>-</v>
      </c>
      <c r="BL21" s="101" t="str">
        <f t="shared" si="53"/>
        <v>-</v>
      </c>
      <c r="BM21" s="101" t="str">
        <f t="shared" si="53"/>
        <v>-</v>
      </c>
      <c r="BN21" s="101" t="str">
        <f t="shared" si="53"/>
        <v>-</v>
      </c>
      <c r="BO21" s="101" t="str">
        <f t="shared" si="53"/>
        <v>-</v>
      </c>
      <c r="BP21" s="101" t="str">
        <f t="shared" si="53"/>
        <v>-</v>
      </c>
      <c r="BQ21" s="101" t="str">
        <f t="shared" si="53"/>
        <v>-</v>
      </c>
      <c r="BR21" s="101" t="str">
        <f t="shared" si="54"/>
        <v>-</v>
      </c>
      <c r="BS21" s="101" t="str">
        <f t="shared" si="54"/>
        <v>-</v>
      </c>
      <c r="BT21" s="101" t="str">
        <f t="shared" si="54"/>
        <v>-</v>
      </c>
      <c r="BU21" s="101" t="str">
        <f t="shared" si="54"/>
        <v>-</v>
      </c>
      <c r="BV21" s="101" t="str">
        <f t="shared" si="54"/>
        <v>-</v>
      </c>
      <c r="BW21" s="101" t="str">
        <f t="shared" si="54"/>
        <v>-</v>
      </c>
      <c r="BX21" s="101" t="str">
        <f t="shared" si="54"/>
        <v>-</v>
      </c>
      <c r="BY21" s="101" t="str">
        <f t="shared" si="54"/>
        <v>-</v>
      </c>
      <c r="BZ21" s="101" t="str">
        <f t="shared" si="54"/>
        <v>-</v>
      </c>
      <c r="CA21" s="101" t="str">
        <f t="shared" si="54"/>
        <v>-</v>
      </c>
      <c r="CB21" s="101" t="str">
        <f t="shared" si="55"/>
        <v>-</v>
      </c>
      <c r="CC21" s="101" t="str">
        <f t="shared" si="55"/>
        <v>-</v>
      </c>
      <c r="CD21" s="101" t="str">
        <f t="shared" si="55"/>
        <v>-</v>
      </c>
      <c r="CE21" s="101" t="str">
        <f t="shared" si="55"/>
        <v>-</v>
      </c>
      <c r="CF21" s="101" t="str">
        <f t="shared" si="55"/>
        <v>-</v>
      </c>
      <c r="CG21" s="101" t="str">
        <f t="shared" si="55"/>
        <v>-</v>
      </c>
      <c r="CH21" s="101" t="str">
        <f t="shared" si="55"/>
        <v>-</v>
      </c>
      <c r="CI21" s="101" t="str">
        <f t="shared" si="55"/>
        <v>-</v>
      </c>
      <c r="CJ21" s="101" t="str">
        <f t="shared" si="55"/>
        <v>-</v>
      </c>
      <c r="CK21" s="101" t="str">
        <f t="shared" si="55"/>
        <v>-</v>
      </c>
      <c r="CL21" s="101" t="str">
        <f t="shared" si="56"/>
        <v>-</v>
      </c>
      <c r="CM21" s="101" t="str">
        <f t="shared" si="56"/>
        <v>-</v>
      </c>
      <c r="CN21" s="101" t="str">
        <f t="shared" si="56"/>
        <v>-</v>
      </c>
      <c r="CO21" s="101" t="str">
        <f t="shared" si="56"/>
        <v>-</v>
      </c>
      <c r="CP21" s="101" t="str">
        <f t="shared" si="56"/>
        <v>-</v>
      </c>
      <c r="CQ21" s="101" t="str">
        <f t="shared" si="56"/>
        <v>-</v>
      </c>
      <c r="CR21" s="101" t="str">
        <f t="shared" si="56"/>
        <v>-</v>
      </c>
      <c r="CS21" s="101" t="str">
        <f t="shared" si="56"/>
        <v>-</v>
      </c>
      <c r="CT21" s="101" t="str">
        <f t="shared" si="56"/>
        <v>-</v>
      </c>
      <c r="CU21" s="101" t="str">
        <f t="shared" si="56"/>
        <v>-</v>
      </c>
      <c r="CV21" s="101" t="str">
        <f t="shared" si="57"/>
        <v>-</v>
      </c>
      <c r="CW21" s="101" t="str">
        <f t="shared" si="57"/>
        <v>-</v>
      </c>
      <c r="CX21" s="101" t="str">
        <f t="shared" si="57"/>
        <v>-</v>
      </c>
      <c r="CY21" s="101" t="str">
        <f t="shared" si="57"/>
        <v>-</v>
      </c>
      <c r="CZ21" s="101" t="str">
        <f t="shared" si="57"/>
        <v>-</v>
      </c>
      <c r="DA21" s="101" t="str">
        <f t="shared" si="57"/>
        <v>-</v>
      </c>
      <c r="DB21" s="101" t="str">
        <f t="shared" si="57"/>
        <v>-</v>
      </c>
      <c r="DC21" s="101" t="str">
        <f t="shared" si="57"/>
        <v>-</v>
      </c>
      <c r="DD21" s="101" t="str">
        <f t="shared" si="57"/>
        <v>-</v>
      </c>
      <c r="DE21" s="101" t="str">
        <f t="shared" si="57"/>
        <v>-</v>
      </c>
      <c r="DF21" s="101" t="str">
        <f t="shared" si="58"/>
        <v>-</v>
      </c>
      <c r="DG21" s="101" t="str">
        <f t="shared" si="58"/>
        <v>-</v>
      </c>
      <c r="DH21" s="101" t="str">
        <f t="shared" si="58"/>
        <v>-</v>
      </c>
      <c r="DI21" s="101" t="str">
        <f t="shared" si="58"/>
        <v>-</v>
      </c>
      <c r="DJ21" s="101" t="str">
        <f t="shared" si="58"/>
        <v>-</v>
      </c>
      <c r="DK21" s="101" t="str">
        <f t="shared" si="58"/>
        <v>-</v>
      </c>
      <c r="DL21" s="101" t="str">
        <f t="shared" si="58"/>
        <v>-</v>
      </c>
      <c r="DM21" s="101" t="str">
        <f t="shared" si="58"/>
        <v>-</v>
      </c>
      <c r="DN21" s="101" t="str">
        <f t="shared" si="58"/>
        <v>-</v>
      </c>
      <c r="DO21" s="101" t="str">
        <f t="shared" si="58"/>
        <v>-</v>
      </c>
      <c r="DP21" s="101" t="str">
        <f t="shared" si="59"/>
        <v>-</v>
      </c>
      <c r="DQ21" s="101" t="str">
        <f t="shared" si="59"/>
        <v>-</v>
      </c>
      <c r="DR21" s="101" t="str">
        <f t="shared" si="59"/>
        <v>-</v>
      </c>
      <c r="DS21" s="101" t="str">
        <f t="shared" si="59"/>
        <v>-</v>
      </c>
      <c r="DT21" s="101" t="str">
        <f t="shared" si="59"/>
        <v>-</v>
      </c>
      <c r="DU21" s="101" t="str">
        <f t="shared" si="59"/>
        <v>-</v>
      </c>
      <c r="DV21" s="101" t="str">
        <f t="shared" si="59"/>
        <v>-</v>
      </c>
      <c r="DW21" s="101" t="str">
        <f t="shared" si="59"/>
        <v>-</v>
      </c>
      <c r="DX21" s="101" t="str">
        <f t="shared" si="59"/>
        <v>-</v>
      </c>
      <c r="DY21" s="101" t="str">
        <f t="shared" si="59"/>
        <v>-</v>
      </c>
      <c r="DZ21" s="101" t="str">
        <f t="shared" si="60"/>
        <v>-</v>
      </c>
      <c r="EA21" s="101" t="str">
        <f t="shared" si="60"/>
        <v>-</v>
      </c>
      <c r="EB21" s="101" t="str">
        <f t="shared" si="60"/>
        <v>-</v>
      </c>
      <c r="EC21" s="101" t="str">
        <f t="shared" si="60"/>
        <v>-</v>
      </c>
      <c r="ED21" s="101" t="str">
        <f t="shared" si="60"/>
        <v>-</v>
      </c>
      <c r="EE21" s="101" t="str">
        <f t="shared" si="60"/>
        <v>-</v>
      </c>
      <c r="EF21" s="101" t="str">
        <f t="shared" si="60"/>
        <v>-</v>
      </c>
      <c r="EG21" s="101" t="str">
        <f t="shared" si="60"/>
        <v>-</v>
      </c>
      <c r="EH21" s="101" t="str">
        <f t="shared" si="60"/>
        <v>-</v>
      </c>
      <c r="EI21" s="101" t="str">
        <f t="shared" si="60"/>
        <v>-</v>
      </c>
      <c r="EJ21" s="101" t="str">
        <f t="shared" si="60"/>
        <v>-</v>
      </c>
      <c r="EK21" s="101" t="str">
        <f t="shared" si="60"/>
        <v>-</v>
      </c>
      <c r="EL21" s="101" t="str">
        <f t="shared" si="60"/>
        <v>-</v>
      </c>
    </row>
    <row r="22" spans="1:144">
      <c r="A22" s="504"/>
      <c r="B22" s="501"/>
      <c r="C22" s="501"/>
      <c r="D22" s="466"/>
      <c r="E22" s="109" t="s">
        <v>68</v>
      </c>
      <c r="F22" s="101">
        <f>SUM(L22:BT22)</f>
        <v>250</v>
      </c>
      <c r="G22" s="101">
        <v>30</v>
      </c>
      <c r="H22" s="101"/>
      <c r="I22" s="110">
        <f>B17-3</f>
        <v>46237</v>
      </c>
      <c r="J22" s="110"/>
      <c r="K22" s="110"/>
      <c r="L22" s="101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>
        <v>5</v>
      </c>
      <c r="AI22" s="102">
        <v>5</v>
      </c>
      <c r="AJ22" s="102">
        <v>5</v>
      </c>
      <c r="AK22" s="102">
        <v>5</v>
      </c>
      <c r="AL22" s="102">
        <v>5</v>
      </c>
      <c r="AM22" s="102">
        <v>5</v>
      </c>
      <c r="AN22" s="102">
        <v>5</v>
      </c>
      <c r="AO22" s="102">
        <v>5</v>
      </c>
      <c r="AP22" s="102">
        <v>5</v>
      </c>
      <c r="AQ22" s="102">
        <v>5</v>
      </c>
      <c r="AR22" s="102">
        <v>5</v>
      </c>
      <c r="AS22" s="102">
        <v>5</v>
      </c>
      <c r="AT22" s="102">
        <v>5</v>
      </c>
      <c r="AU22" s="102">
        <v>5</v>
      </c>
      <c r="AV22" s="102">
        <v>5</v>
      </c>
      <c r="AW22" s="102">
        <v>5</v>
      </c>
      <c r="AX22" s="102">
        <v>5</v>
      </c>
      <c r="AY22" s="102">
        <v>5</v>
      </c>
      <c r="AZ22" s="102">
        <v>5</v>
      </c>
      <c r="BA22" s="102">
        <v>5</v>
      </c>
      <c r="BB22" s="102">
        <v>5</v>
      </c>
      <c r="BC22" s="102">
        <v>5</v>
      </c>
      <c r="BD22" s="102">
        <v>5</v>
      </c>
      <c r="BE22" s="102">
        <v>5</v>
      </c>
      <c r="BF22" s="101">
        <v>30</v>
      </c>
      <c r="BG22" s="101">
        <v>30</v>
      </c>
      <c r="BH22" s="101">
        <v>30</v>
      </c>
      <c r="BI22" s="101">
        <v>30</v>
      </c>
      <c r="BJ22" s="101">
        <v>5</v>
      </c>
      <c r="BK22" s="101">
        <v>5</v>
      </c>
      <c r="BL22" s="101"/>
      <c r="BM22" s="101"/>
      <c r="BN22" s="101"/>
      <c r="BO22" s="101"/>
      <c r="BP22" s="101"/>
      <c r="BQ22" s="109"/>
      <c r="BR22" s="109"/>
      <c r="BS22" s="109"/>
      <c r="BT22" s="109"/>
      <c r="BU22" s="109"/>
      <c r="BV22" s="109"/>
      <c r="BW22" s="109"/>
      <c r="BX22" s="109"/>
      <c r="BY22" s="109"/>
      <c r="BZ22" s="109"/>
      <c r="CA22" s="109"/>
      <c r="CB22" s="109"/>
      <c r="CC22" s="109"/>
      <c r="CD22" s="109"/>
      <c r="CE22" s="109"/>
      <c r="CF22" s="109"/>
      <c r="CG22" s="109"/>
      <c r="CH22" s="109"/>
      <c r="CI22" s="109"/>
      <c r="CJ22" s="109"/>
      <c r="CK22" s="109"/>
      <c r="CL22" s="109"/>
      <c r="CM22" s="109"/>
      <c r="CN22" s="109"/>
      <c r="CO22" s="109"/>
      <c r="CP22" s="109"/>
      <c r="CQ22" s="109"/>
      <c r="CR22" s="109"/>
      <c r="CS22" s="109"/>
      <c r="CT22" s="109"/>
      <c r="CU22" s="109"/>
      <c r="CV22" s="109"/>
      <c r="CW22" s="109"/>
      <c r="CX22" s="109"/>
      <c r="CY22" s="109"/>
      <c r="CZ22" s="109"/>
      <c r="DA22" s="109"/>
      <c r="DB22" s="109"/>
      <c r="DC22" s="109"/>
      <c r="DD22" s="109"/>
      <c r="DE22" s="109"/>
      <c r="DF22" s="109"/>
      <c r="DG22" s="109"/>
      <c r="DH22" s="109"/>
      <c r="DI22" s="109"/>
      <c r="DJ22" s="109"/>
      <c r="DK22" s="109"/>
      <c r="DL22" s="109"/>
      <c r="DM22" s="109"/>
      <c r="DN22" s="109"/>
      <c r="DO22" s="109"/>
      <c r="DP22" s="109"/>
      <c r="DQ22" s="109"/>
      <c r="DR22" s="109"/>
      <c r="DS22" s="109"/>
      <c r="DT22" s="109"/>
      <c r="DU22" s="109"/>
      <c r="DV22" s="109"/>
      <c r="DW22" s="109"/>
      <c r="DX22" s="109"/>
      <c r="DY22" s="109"/>
      <c r="DZ22" s="109"/>
      <c r="EA22" s="109"/>
      <c r="EB22" s="109"/>
      <c r="EC22" s="109"/>
      <c r="ED22" s="109"/>
      <c r="EE22" s="109"/>
      <c r="EF22" s="109"/>
      <c r="EG22" s="109"/>
      <c r="EH22" s="109"/>
      <c r="EI22" s="109"/>
      <c r="EJ22" s="109"/>
      <c r="EK22" s="109"/>
      <c r="EL22" s="109"/>
    </row>
    <row r="23" spans="1:144" s="122" customFormat="1">
      <c r="E23" s="150"/>
      <c r="F23" s="150"/>
      <c r="G23" s="152"/>
      <c r="H23" s="152"/>
      <c r="I23" s="153" t="s">
        <v>69</v>
      </c>
      <c r="J23" s="153"/>
      <c r="K23" s="153"/>
      <c r="L23" s="154">
        <f t="shared" ref="L23:AQ23" si="61">SUM(L18:L22)</f>
        <v>0</v>
      </c>
      <c r="M23" s="154">
        <f t="shared" si="61"/>
        <v>0</v>
      </c>
      <c r="N23" s="154">
        <f t="shared" si="61"/>
        <v>0</v>
      </c>
      <c r="O23" s="154">
        <f t="shared" si="61"/>
        <v>0</v>
      </c>
      <c r="P23" s="154">
        <f t="shared" si="61"/>
        <v>0</v>
      </c>
      <c r="Q23" s="154">
        <f t="shared" si="61"/>
        <v>0</v>
      </c>
      <c r="R23" s="154">
        <f t="shared" si="61"/>
        <v>0</v>
      </c>
      <c r="S23" s="154">
        <f t="shared" si="61"/>
        <v>0</v>
      </c>
      <c r="T23" s="154">
        <f t="shared" si="61"/>
        <v>0</v>
      </c>
      <c r="U23" s="154">
        <f t="shared" si="61"/>
        <v>0</v>
      </c>
      <c r="V23" s="154">
        <f t="shared" si="61"/>
        <v>0</v>
      </c>
      <c r="W23" s="154">
        <f t="shared" si="61"/>
        <v>0</v>
      </c>
      <c r="X23" s="154">
        <f t="shared" si="61"/>
        <v>0</v>
      </c>
      <c r="Y23" s="154">
        <f t="shared" si="61"/>
        <v>0</v>
      </c>
      <c r="Z23" s="154">
        <f t="shared" si="61"/>
        <v>0</v>
      </c>
      <c r="AA23" s="154">
        <f t="shared" si="61"/>
        <v>0</v>
      </c>
      <c r="AB23" s="154">
        <f t="shared" si="61"/>
        <v>0</v>
      </c>
      <c r="AC23" s="154">
        <f t="shared" si="61"/>
        <v>0</v>
      </c>
      <c r="AD23" s="154">
        <f t="shared" si="61"/>
        <v>0</v>
      </c>
      <c r="AE23" s="154">
        <f t="shared" si="61"/>
        <v>0</v>
      </c>
      <c r="AF23" s="154">
        <f t="shared" si="61"/>
        <v>0</v>
      </c>
      <c r="AG23" s="154">
        <f t="shared" si="61"/>
        <v>0</v>
      </c>
      <c r="AH23" s="154">
        <f t="shared" si="61"/>
        <v>5</v>
      </c>
      <c r="AI23" s="154">
        <f t="shared" si="61"/>
        <v>5</v>
      </c>
      <c r="AJ23" s="154">
        <f t="shared" si="61"/>
        <v>5</v>
      </c>
      <c r="AK23" s="154">
        <f t="shared" si="61"/>
        <v>5</v>
      </c>
      <c r="AL23" s="154">
        <f t="shared" si="61"/>
        <v>5</v>
      </c>
      <c r="AM23" s="154">
        <f t="shared" si="61"/>
        <v>5</v>
      </c>
      <c r="AN23" s="154">
        <f t="shared" si="61"/>
        <v>5</v>
      </c>
      <c r="AO23" s="154">
        <f t="shared" si="61"/>
        <v>5</v>
      </c>
      <c r="AP23" s="154">
        <f t="shared" si="61"/>
        <v>5</v>
      </c>
      <c r="AQ23" s="154">
        <f t="shared" si="61"/>
        <v>29</v>
      </c>
      <c r="AR23" s="154">
        <f t="shared" ref="AR23:BW23" si="62">SUM(AR18:AR22)</f>
        <v>29</v>
      </c>
      <c r="AS23" s="154">
        <f t="shared" si="62"/>
        <v>29</v>
      </c>
      <c r="AT23" s="154">
        <f t="shared" si="62"/>
        <v>29</v>
      </c>
      <c r="AU23" s="154">
        <f t="shared" si="62"/>
        <v>29</v>
      </c>
      <c r="AV23" s="154">
        <f t="shared" si="62"/>
        <v>280</v>
      </c>
      <c r="AW23" s="154">
        <f t="shared" si="62"/>
        <v>637</v>
      </c>
      <c r="AX23" s="154">
        <f t="shared" si="62"/>
        <v>637</v>
      </c>
      <c r="AY23" s="154">
        <f t="shared" si="62"/>
        <v>637</v>
      </c>
      <c r="AZ23" s="154">
        <f t="shared" si="62"/>
        <v>637</v>
      </c>
      <c r="BA23" s="154">
        <f t="shared" si="62"/>
        <v>29</v>
      </c>
      <c r="BB23" s="154">
        <f t="shared" si="62"/>
        <v>29</v>
      </c>
      <c r="BC23" s="154">
        <f t="shared" si="62"/>
        <v>29</v>
      </c>
      <c r="BD23" s="154">
        <f t="shared" si="62"/>
        <v>5</v>
      </c>
      <c r="BE23" s="154">
        <f t="shared" si="62"/>
        <v>5</v>
      </c>
      <c r="BF23" s="154">
        <f t="shared" si="62"/>
        <v>30</v>
      </c>
      <c r="BG23" s="154">
        <f t="shared" si="62"/>
        <v>30</v>
      </c>
      <c r="BH23" s="154">
        <f t="shared" si="62"/>
        <v>30</v>
      </c>
      <c r="BI23" s="154">
        <f t="shared" si="62"/>
        <v>30</v>
      </c>
      <c r="BJ23" s="154">
        <f t="shared" si="62"/>
        <v>5</v>
      </c>
      <c r="BK23" s="154">
        <f t="shared" si="62"/>
        <v>5</v>
      </c>
      <c r="BL23" s="154">
        <f t="shared" si="62"/>
        <v>0</v>
      </c>
      <c r="BM23" s="154">
        <f t="shared" si="62"/>
        <v>0</v>
      </c>
      <c r="BN23" s="154">
        <f t="shared" si="62"/>
        <v>0</v>
      </c>
      <c r="BO23" s="154">
        <f t="shared" si="62"/>
        <v>0</v>
      </c>
      <c r="BP23" s="154">
        <f t="shared" si="62"/>
        <v>0</v>
      </c>
      <c r="BQ23" s="154">
        <f t="shared" si="62"/>
        <v>0</v>
      </c>
      <c r="BR23" s="154">
        <f t="shared" si="62"/>
        <v>0</v>
      </c>
      <c r="BS23" s="154">
        <f t="shared" si="62"/>
        <v>0</v>
      </c>
      <c r="BT23" s="154">
        <f t="shared" si="62"/>
        <v>0</v>
      </c>
      <c r="BU23" s="154">
        <f t="shared" si="62"/>
        <v>0</v>
      </c>
      <c r="BV23" s="154">
        <f t="shared" si="62"/>
        <v>0</v>
      </c>
      <c r="BW23" s="154">
        <f t="shared" si="62"/>
        <v>0</v>
      </c>
      <c r="BX23" s="154">
        <f t="shared" ref="BX23:DC23" si="63">SUM(BX18:BX22)</f>
        <v>0</v>
      </c>
      <c r="BY23" s="154">
        <f t="shared" si="63"/>
        <v>0</v>
      </c>
      <c r="BZ23" s="154">
        <f t="shared" si="63"/>
        <v>0</v>
      </c>
      <c r="CA23" s="154">
        <f t="shared" si="63"/>
        <v>0</v>
      </c>
      <c r="CB23" s="154">
        <f t="shared" si="63"/>
        <v>0</v>
      </c>
      <c r="CC23" s="154">
        <f t="shared" si="63"/>
        <v>0</v>
      </c>
      <c r="CD23" s="154">
        <f t="shared" si="63"/>
        <v>0</v>
      </c>
      <c r="CE23" s="154">
        <f t="shared" si="63"/>
        <v>0</v>
      </c>
      <c r="CF23" s="154">
        <f t="shared" si="63"/>
        <v>0</v>
      </c>
      <c r="CG23" s="154">
        <f t="shared" si="63"/>
        <v>0</v>
      </c>
      <c r="CH23" s="154">
        <f t="shared" si="63"/>
        <v>0</v>
      </c>
      <c r="CI23" s="154">
        <f t="shared" si="63"/>
        <v>0</v>
      </c>
      <c r="CJ23" s="154">
        <f t="shared" si="63"/>
        <v>0</v>
      </c>
      <c r="CK23" s="154">
        <f t="shared" si="63"/>
        <v>0</v>
      </c>
      <c r="CL23" s="154">
        <f t="shared" si="63"/>
        <v>0</v>
      </c>
      <c r="CM23" s="154">
        <f t="shared" si="63"/>
        <v>0</v>
      </c>
      <c r="CN23" s="154">
        <f t="shared" si="63"/>
        <v>0</v>
      </c>
      <c r="CO23" s="154">
        <f t="shared" si="63"/>
        <v>0</v>
      </c>
      <c r="CP23" s="154">
        <f t="shared" si="63"/>
        <v>0</v>
      </c>
      <c r="CQ23" s="154">
        <f t="shared" si="63"/>
        <v>0</v>
      </c>
      <c r="CR23" s="154">
        <f t="shared" si="63"/>
        <v>0</v>
      </c>
      <c r="CS23" s="154">
        <f t="shared" si="63"/>
        <v>0</v>
      </c>
      <c r="CT23" s="154">
        <f t="shared" si="63"/>
        <v>0</v>
      </c>
      <c r="CU23" s="154">
        <f t="shared" si="63"/>
        <v>0</v>
      </c>
      <c r="CV23" s="154">
        <f t="shared" si="63"/>
        <v>0</v>
      </c>
      <c r="CW23" s="154">
        <f t="shared" si="63"/>
        <v>0</v>
      </c>
      <c r="CX23" s="154">
        <f t="shared" si="63"/>
        <v>0</v>
      </c>
      <c r="CY23" s="154">
        <f t="shared" si="63"/>
        <v>0</v>
      </c>
      <c r="CZ23" s="154">
        <f t="shared" si="63"/>
        <v>0</v>
      </c>
      <c r="DA23" s="154">
        <f t="shared" si="63"/>
        <v>0</v>
      </c>
      <c r="DB23" s="154">
        <f t="shared" si="63"/>
        <v>0</v>
      </c>
      <c r="DC23" s="154">
        <f t="shared" si="63"/>
        <v>0</v>
      </c>
      <c r="DD23" s="154">
        <f t="shared" ref="DD23:EI23" si="64">SUM(DD18:DD22)</f>
        <v>0</v>
      </c>
      <c r="DE23" s="154">
        <f t="shared" si="64"/>
        <v>0</v>
      </c>
      <c r="DF23" s="154">
        <f t="shared" si="64"/>
        <v>0</v>
      </c>
      <c r="DG23" s="154">
        <f t="shared" si="64"/>
        <v>0</v>
      </c>
      <c r="DH23" s="154">
        <f t="shared" si="64"/>
        <v>0</v>
      </c>
      <c r="DI23" s="154">
        <f t="shared" si="64"/>
        <v>0</v>
      </c>
      <c r="DJ23" s="154">
        <f t="shared" si="64"/>
        <v>0</v>
      </c>
      <c r="DK23" s="154">
        <f t="shared" si="64"/>
        <v>0</v>
      </c>
      <c r="DL23" s="154">
        <f t="shared" si="64"/>
        <v>0</v>
      </c>
      <c r="DM23" s="154">
        <f t="shared" si="64"/>
        <v>0</v>
      </c>
      <c r="DN23" s="154">
        <f t="shared" si="64"/>
        <v>0</v>
      </c>
      <c r="DO23" s="154">
        <f t="shared" si="64"/>
        <v>0</v>
      </c>
      <c r="DP23" s="154">
        <f t="shared" si="64"/>
        <v>0</v>
      </c>
      <c r="DQ23" s="154">
        <f t="shared" si="64"/>
        <v>0</v>
      </c>
      <c r="DR23" s="154">
        <f t="shared" si="64"/>
        <v>0</v>
      </c>
      <c r="DS23" s="154">
        <f t="shared" si="64"/>
        <v>0</v>
      </c>
      <c r="DT23" s="154">
        <f t="shared" si="64"/>
        <v>0</v>
      </c>
      <c r="DU23" s="154">
        <f t="shared" si="64"/>
        <v>0</v>
      </c>
      <c r="DV23" s="154">
        <f t="shared" si="64"/>
        <v>0</v>
      </c>
      <c r="DW23" s="154">
        <f t="shared" si="64"/>
        <v>0</v>
      </c>
      <c r="DX23" s="154">
        <f t="shared" si="64"/>
        <v>0</v>
      </c>
      <c r="DY23" s="154">
        <f t="shared" si="64"/>
        <v>0</v>
      </c>
      <c r="DZ23" s="154">
        <f t="shared" si="64"/>
        <v>0</v>
      </c>
      <c r="EA23" s="154">
        <f t="shared" si="64"/>
        <v>0</v>
      </c>
      <c r="EB23" s="154">
        <f t="shared" si="64"/>
        <v>0</v>
      </c>
      <c r="EC23" s="154">
        <f t="shared" si="64"/>
        <v>0</v>
      </c>
      <c r="ED23" s="154">
        <f t="shared" si="64"/>
        <v>0</v>
      </c>
      <c r="EE23" s="154">
        <f t="shared" si="64"/>
        <v>0</v>
      </c>
      <c r="EF23" s="154">
        <f t="shared" si="64"/>
        <v>0</v>
      </c>
      <c r="EG23" s="154">
        <f t="shared" si="64"/>
        <v>0</v>
      </c>
      <c r="EH23" s="154">
        <f t="shared" si="64"/>
        <v>0</v>
      </c>
      <c r="EI23" s="154">
        <f t="shared" si="64"/>
        <v>0</v>
      </c>
      <c r="EJ23" s="154">
        <f t="shared" ref="EJ23:EL23" si="65">SUM(EJ18:EJ22)</f>
        <v>0</v>
      </c>
      <c r="EK23" s="154">
        <f t="shared" si="65"/>
        <v>0</v>
      </c>
      <c r="EL23" s="154">
        <f t="shared" si="65"/>
        <v>0</v>
      </c>
      <c r="EM23" s="160">
        <f>AVERAGE(L23:BM23)</f>
        <v>60.092592592592595</v>
      </c>
      <c r="EN23" s="159">
        <f>MAX(L23:BM23)</f>
        <v>637</v>
      </c>
    </row>
    <row r="24" spans="1:144">
      <c r="B24" s="126"/>
      <c r="E24" s="103"/>
      <c r="F24" s="104"/>
      <c r="G24" s="104"/>
      <c r="H24" s="104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3"/>
      <c r="BI24" s="103"/>
      <c r="BJ24" s="103"/>
      <c r="BK24" s="103"/>
      <c r="BL24" s="103"/>
      <c r="BM24" s="103"/>
      <c r="BN24" s="103"/>
      <c r="BO24" s="103"/>
      <c r="BP24" s="103"/>
      <c r="BQ24" s="107"/>
    </row>
    <row r="25" spans="1:144">
      <c r="A25" s="466" t="s">
        <v>63</v>
      </c>
      <c r="B25" s="502">
        <f>'BESS 11'!F142</f>
        <v>46243</v>
      </c>
      <c r="C25" s="502">
        <f>'BESS 11'!G142</f>
        <v>46248</v>
      </c>
      <c r="D25" s="114"/>
      <c r="E25" s="114" t="s">
        <v>10</v>
      </c>
      <c r="F25" s="115" t="s">
        <v>58</v>
      </c>
      <c r="G25" s="115" t="s">
        <v>59</v>
      </c>
      <c r="H25" s="115"/>
      <c r="I25" s="115" t="s">
        <v>60</v>
      </c>
      <c r="J25" s="116">
        <v>46195</v>
      </c>
      <c r="K25" s="116">
        <v>46196</v>
      </c>
      <c r="L25" s="116">
        <v>46197</v>
      </c>
      <c r="M25" s="116">
        <f t="shared" ref="M25:AR25" si="66">L25+1</f>
        <v>46198</v>
      </c>
      <c r="N25" s="116">
        <f t="shared" si="66"/>
        <v>46199</v>
      </c>
      <c r="O25" s="116">
        <f t="shared" si="66"/>
        <v>46200</v>
      </c>
      <c r="P25" s="116">
        <f t="shared" si="66"/>
        <v>46201</v>
      </c>
      <c r="Q25" s="116">
        <f t="shared" si="66"/>
        <v>46202</v>
      </c>
      <c r="R25" s="116">
        <f t="shared" si="66"/>
        <v>46203</v>
      </c>
      <c r="S25" s="116">
        <f t="shared" si="66"/>
        <v>46204</v>
      </c>
      <c r="T25" s="116">
        <f t="shared" si="66"/>
        <v>46205</v>
      </c>
      <c r="U25" s="116">
        <f t="shared" si="66"/>
        <v>46206</v>
      </c>
      <c r="V25" s="116">
        <f t="shared" si="66"/>
        <v>46207</v>
      </c>
      <c r="W25" s="116">
        <f t="shared" si="66"/>
        <v>46208</v>
      </c>
      <c r="X25" s="116">
        <f t="shared" si="66"/>
        <v>46209</v>
      </c>
      <c r="Y25" s="116">
        <f t="shared" si="66"/>
        <v>46210</v>
      </c>
      <c r="Z25" s="116">
        <f t="shared" si="66"/>
        <v>46211</v>
      </c>
      <c r="AA25" s="116">
        <f t="shared" si="66"/>
        <v>46212</v>
      </c>
      <c r="AB25" s="116">
        <f t="shared" si="66"/>
        <v>46213</v>
      </c>
      <c r="AC25" s="116">
        <f t="shared" si="66"/>
        <v>46214</v>
      </c>
      <c r="AD25" s="116">
        <f t="shared" si="66"/>
        <v>46215</v>
      </c>
      <c r="AE25" s="116">
        <f t="shared" si="66"/>
        <v>46216</v>
      </c>
      <c r="AF25" s="116">
        <f t="shared" si="66"/>
        <v>46217</v>
      </c>
      <c r="AG25" s="116">
        <f t="shared" si="66"/>
        <v>46218</v>
      </c>
      <c r="AH25" s="116">
        <f t="shared" si="66"/>
        <v>46219</v>
      </c>
      <c r="AI25" s="116">
        <f t="shared" si="66"/>
        <v>46220</v>
      </c>
      <c r="AJ25" s="116">
        <f t="shared" si="66"/>
        <v>46221</v>
      </c>
      <c r="AK25" s="116">
        <f t="shared" si="66"/>
        <v>46222</v>
      </c>
      <c r="AL25" s="116">
        <f t="shared" si="66"/>
        <v>46223</v>
      </c>
      <c r="AM25" s="116">
        <f t="shared" si="66"/>
        <v>46224</v>
      </c>
      <c r="AN25" s="116">
        <f t="shared" si="66"/>
        <v>46225</v>
      </c>
      <c r="AO25" s="116">
        <f t="shared" si="66"/>
        <v>46226</v>
      </c>
      <c r="AP25" s="116">
        <f t="shared" si="66"/>
        <v>46227</v>
      </c>
      <c r="AQ25" s="116">
        <f t="shared" si="66"/>
        <v>46228</v>
      </c>
      <c r="AR25" s="116">
        <f t="shared" si="66"/>
        <v>46229</v>
      </c>
      <c r="AS25" s="116">
        <f t="shared" ref="AS25:BX25" si="67">AR25+1</f>
        <v>46230</v>
      </c>
      <c r="AT25" s="116">
        <f t="shared" si="67"/>
        <v>46231</v>
      </c>
      <c r="AU25" s="116">
        <f t="shared" si="67"/>
        <v>46232</v>
      </c>
      <c r="AV25" s="116">
        <f t="shared" si="67"/>
        <v>46233</v>
      </c>
      <c r="AW25" s="116">
        <f t="shared" si="67"/>
        <v>46234</v>
      </c>
      <c r="AX25" s="116">
        <f t="shared" si="67"/>
        <v>46235</v>
      </c>
      <c r="AY25" s="116">
        <f t="shared" si="67"/>
        <v>46236</v>
      </c>
      <c r="AZ25" s="116">
        <f t="shared" si="67"/>
        <v>46237</v>
      </c>
      <c r="BA25" s="116">
        <f t="shared" si="67"/>
        <v>46238</v>
      </c>
      <c r="BB25" s="116">
        <f t="shared" si="67"/>
        <v>46239</v>
      </c>
      <c r="BC25" s="116">
        <f t="shared" si="67"/>
        <v>46240</v>
      </c>
      <c r="BD25" s="116">
        <f t="shared" si="67"/>
        <v>46241</v>
      </c>
      <c r="BE25" s="116">
        <f t="shared" si="67"/>
        <v>46242</v>
      </c>
      <c r="BF25" s="116">
        <f t="shared" si="67"/>
        <v>46243</v>
      </c>
      <c r="BG25" s="116">
        <f t="shared" si="67"/>
        <v>46244</v>
      </c>
      <c r="BH25" s="116">
        <f t="shared" si="67"/>
        <v>46245</v>
      </c>
      <c r="BI25" s="116">
        <f t="shared" si="67"/>
        <v>46246</v>
      </c>
      <c r="BJ25" s="116">
        <f t="shared" si="67"/>
        <v>46247</v>
      </c>
      <c r="BK25" s="116">
        <f t="shared" si="67"/>
        <v>46248</v>
      </c>
      <c r="BL25" s="116">
        <f t="shared" si="67"/>
        <v>46249</v>
      </c>
      <c r="BM25" s="116">
        <f t="shared" si="67"/>
        <v>46250</v>
      </c>
      <c r="BN25" s="116">
        <f t="shared" si="67"/>
        <v>46251</v>
      </c>
      <c r="BO25" s="116">
        <f t="shared" si="67"/>
        <v>46252</v>
      </c>
      <c r="BP25" s="116">
        <f t="shared" si="67"/>
        <v>46253</v>
      </c>
      <c r="BQ25" s="116">
        <f t="shared" si="67"/>
        <v>46254</v>
      </c>
      <c r="BR25" s="116">
        <f t="shared" si="67"/>
        <v>46255</v>
      </c>
      <c r="BS25" s="116">
        <f t="shared" si="67"/>
        <v>46256</v>
      </c>
      <c r="BT25" s="116">
        <f t="shared" si="67"/>
        <v>46257</v>
      </c>
      <c r="BU25" s="116">
        <f t="shared" si="67"/>
        <v>46258</v>
      </c>
      <c r="BV25" s="116">
        <f t="shared" si="67"/>
        <v>46259</v>
      </c>
      <c r="BW25" s="116">
        <f t="shared" si="67"/>
        <v>46260</v>
      </c>
      <c r="BX25" s="116">
        <f t="shared" si="67"/>
        <v>46261</v>
      </c>
      <c r="BY25" s="116">
        <f t="shared" ref="BY25:DD25" si="68">BX25+1</f>
        <v>46262</v>
      </c>
      <c r="BZ25" s="116">
        <f t="shared" si="68"/>
        <v>46263</v>
      </c>
      <c r="CA25" s="116">
        <f t="shared" si="68"/>
        <v>46264</v>
      </c>
      <c r="CB25" s="116">
        <f t="shared" si="68"/>
        <v>46265</v>
      </c>
      <c r="CC25" s="116">
        <f t="shared" si="68"/>
        <v>46266</v>
      </c>
      <c r="CD25" s="116">
        <f t="shared" si="68"/>
        <v>46267</v>
      </c>
      <c r="CE25" s="116">
        <f t="shared" si="68"/>
        <v>46268</v>
      </c>
      <c r="CF25" s="116">
        <f t="shared" si="68"/>
        <v>46269</v>
      </c>
      <c r="CG25" s="116">
        <f t="shared" si="68"/>
        <v>46270</v>
      </c>
      <c r="CH25" s="116">
        <f t="shared" si="68"/>
        <v>46271</v>
      </c>
      <c r="CI25" s="116">
        <f t="shared" si="68"/>
        <v>46272</v>
      </c>
      <c r="CJ25" s="116">
        <f t="shared" si="68"/>
        <v>46273</v>
      </c>
      <c r="CK25" s="116">
        <f t="shared" si="68"/>
        <v>46274</v>
      </c>
      <c r="CL25" s="116">
        <f t="shared" si="68"/>
        <v>46275</v>
      </c>
      <c r="CM25" s="116">
        <f t="shared" si="68"/>
        <v>46276</v>
      </c>
      <c r="CN25" s="116">
        <f t="shared" si="68"/>
        <v>46277</v>
      </c>
      <c r="CO25" s="116">
        <f t="shared" si="68"/>
        <v>46278</v>
      </c>
      <c r="CP25" s="116">
        <f t="shared" si="68"/>
        <v>46279</v>
      </c>
      <c r="CQ25" s="116">
        <f t="shared" si="68"/>
        <v>46280</v>
      </c>
      <c r="CR25" s="116">
        <f t="shared" si="68"/>
        <v>46281</v>
      </c>
      <c r="CS25" s="116">
        <f t="shared" si="68"/>
        <v>46282</v>
      </c>
      <c r="CT25" s="116">
        <f t="shared" si="68"/>
        <v>46283</v>
      </c>
      <c r="CU25" s="116">
        <f t="shared" si="68"/>
        <v>46284</v>
      </c>
      <c r="CV25" s="116">
        <f t="shared" si="68"/>
        <v>46285</v>
      </c>
      <c r="CW25" s="116">
        <f t="shared" si="68"/>
        <v>46286</v>
      </c>
      <c r="CX25" s="116">
        <f t="shared" si="68"/>
        <v>46287</v>
      </c>
      <c r="CY25" s="116">
        <f t="shared" si="68"/>
        <v>46288</v>
      </c>
      <c r="CZ25" s="116">
        <f t="shared" si="68"/>
        <v>46289</v>
      </c>
      <c r="DA25" s="116">
        <f t="shared" si="68"/>
        <v>46290</v>
      </c>
      <c r="DB25" s="116">
        <f t="shared" si="68"/>
        <v>46291</v>
      </c>
      <c r="DC25" s="116">
        <f t="shared" si="68"/>
        <v>46292</v>
      </c>
      <c r="DD25" s="116">
        <f t="shared" si="68"/>
        <v>46293</v>
      </c>
      <c r="DE25" s="116">
        <f t="shared" ref="DE25:EL25" si="69">DD25+1</f>
        <v>46294</v>
      </c>
      <c r="DF25" s="116">
        <f t="shared" si="69"/>
        <v>46295</v>
      </c>
      <c r="DG25" s="116">
        <f t="shared" si="69"/>
        <v>46296</v>
      </c>
      <c r="DH25" s="116">
        <f t="shared" si="69"/>
        <v>46297</v>
      </c>
      <c r="DI25" s="116">
        <f t="shared" si="69"/>
        <v>46298</v>
      </c>
      <c r="DJ25" s="116">
        <f t="shared" si="69"/>
        <v>46299</v>
      </c>
      <c r="DK25" s="116">
        <f t="shared" si="69"/>
        <v>46300</v>
      </c>
      <c r="DL25" s="116">
        <f t="shared" si="69"/>
        <v>46301</v>
      </c>
      <c r="DM25" s="116">
        <f t="shared" si="69"/>
        <v>46302</v>
      </c>
      <c r="DN25" s="116">
        <f t="shared" si="69"/>
        <v>46303</v>
      </c>
      <c r="DO25" s="116">
        <f t="shared" si="69"/>
        <v>46304</v>
      </c>
      <c r="DP25" s="116">
        <f t="shared" si="69"/>
        <v>46305</v>
      </c>
      <c r="DQ25" s="116">
        <f t="shared" si="69"/>
        <v>46306</v>
      </c>
      <c r="DR25" s="116">
        <f t="shared" si="69"/>
        <v>46307</v>
      </c>
      <c r="DS25" s="116">
        <f t="shared" si="69"/>
        <v>46308</v>
      </c>
      <c r="DT25" s="116">
        <f t="shared" si="69"/>
        <v>46309</v>
      </c>
      <c r="DU25" s="116">
        <f t="shared" si="69"/>
        <v>46310</v>
      </c>
      <c r="DV25" s="116">
        <f t="shared" si="69"/>
        <v>46311</v>
      </c>
      <c r="DW25" s="116">
        <f t="shared" si="69"/>
        <v>46312</v>
      </c>
      <c r="DX25" s="116">
        <f t="shared" si="69"/>
        <v>46313</v>
      </c>
      <c r="DY25" s="116">
        <f t="shared" si="69"/>
        <v>46314</v>
      </c>
      <c r="DZ25" s="116">
        <f t="shared" si="69"/>
        <v>46315</v>
      </c>
      <c r="EA25" s="116">
        <f t="shared" si="69"/>
        <v>46316</v>
      </c>
      <c r="EB25" s="116">
        <f t="shared" si="69"/>
        <v>46317</v>
      </c>
      <c r="EC25" s="116">
        <f t="shared" si="69"/>
        <v>46318</v>
      </c>
      <c r="ED25" s="116">
        <f t="shared" si="69"/>
        <v>46319</v>
      </c>
      <c r="EE25" s="116">
        <f t="shared" si="69"/>
        <v>46320</v>
      </c>
      <c r="EF25" s="116">
        <f t="shared" si="69"/>
        <v>46321</v>
      </c>
      <c r="EG25" s="116">
        <f t="shared" si="69"/>
        <v>46322</v>
      </c>
      <c r="EH25" s="116">
        <f t="shared" si="69"/>
        <v>46323</v>
      </c>
      <c r="EI25" s="116">
        <f t="shared" si="69"/>
        <v>46324</v>
      </c>
      <c r="EJ25" s="116">
        <f t="shared" si="69"/>
        <v>46325</v>
      </c>
      <c r="EK25" s="116">
        <f t="shared" si="69"/>
        <v>46326</v>
      </c>
      <c r="EL25" s="116">
        <f t="shared" si="69"/>
        <v>46327</v>
      </c>
    </row>
    <row r="26" spans="1:144">
      <c r="A26" s="466"/>
      <c r="B26" s="502"/>
      <c r="C26" s="502"/>
      <c r="D26" s="467">
        <f>'BESS 11'!H142</f>
        <v>46251</v>
      </c>
      <c r="E26" s="109" t="s">
        <v>64</v>
      </c>
      <c r="F26" s="102">
        <f>SUM('BESS 11'!S155:S162,'BESS 11'!S164)</f>
        <v>4</v>
      </c>
      <c r="G26" s="101">
        <f>MAX('BESS 11'!O155:O162,'BESS 11'!O164)-MIN('BESS 11'!O155:O162,'BESS 11'!O164)+1</f>
        <v>10</v>
      </c>
      <c r="H26" s="101"/>
      <c r="I26" s="110">
        <f>MIN('BESS 11'!O155:O162,'BESS 11'!O164)</f>
        <v>46225</v>
      </c>
      <c r="J26" s="101" t="str">
        <f t="shared" ref="J26:S29" si="70">IF(AND(J$1&gt;=$I26,J$1&lt;($I26+$G26)),ROUND($F26/$G26,0),"-")</f>
        <v>-</v>
      </c>
      <c r="K26" s="101" t="str">
        <f t="shared" si="70"/>
        <v>-</v>
      </c>
      <c r="L26" s="101" t="str">
        <f t="shared" si="70"/>
        <v>-</v>
      </c>
      <c r="M26" s="101" t="str">
        <f t="shared" si="70"/>
        <v>-</v>
      </c>
      <c r="N26" s="101" t="str">
        <f t="shared" si="70"/>
        <v>-</v>
      </c>
      <c r="O26" s="101" t="str">
        <f t="shared" si="70"/>
        <v>-</v>
      </c>
      <c r="P26" s="101" t="str">
        <f t="shared" si="70"/>
        <v>-</v>
      </c>
      <c r="Q26" s="101" t="str">
        <f t="shared" si="70"/>
        <v>-</v>
      </c>
      <c r="R26" s="101" t="str">
        <f t="shared" si="70"/>
        <v>-</v>
      </c>
      <c r="S26" s="101" t="str">
        <f t="shared" si="70"/>
        <v>-</v>
      </c>
      <c r="T26" s="101" t="str">
        <f t="shared" ref="T26:AC29" si="71">IF(AND(T$1&gt;=$I26,T$1&lt;($I26+$G26)),ROUND($F26/$G26,0),"-")</f>
        <v>-</v>
      </c>
      <c r="U26" s="101" t="str">
        <f t="shared" si="71"/>
        <v>-</v>
      </c>
      <c r="V26" s="101" t="str">
        <f t="shared" si="71"/>
        <v>-</v>
      </c>
      <c r="W26" s="101" t="str">
        <f t="shared" si="71"/>
        <v>-</v>
      </c>
      <c r="X26" s="101" t="str">
        <f t="shared" si="71"/>
        <v>-</v>
      </c>
      <c r="Y26" s="101" t="str">
        <f t="shared" si="71"/>
        <v>-</v>
      </c>
      <c r="Z26" s="101" t="str">
        <f t="shared" si="71"/>
        <v>-</v>
      </c>
      <c r="AA26" s="101" t="str">
        <f t="shared" si="71"/>
        <v>-</v>
      </c>
      <c r="AB26" s="101" t="str">
        <f t="shared" si="71"/>
        <v>-</v>
      </c>
      <c r="AC26" s="101" t="str">
        <f t="shared" si="71"/>
        <v>-</v>
      </c>
      <c r="AD26" s="101" t="str">
        <f t="shared" ref="AD26:AM29" si="72">IF(AND(AD$1&gt;=$I26,AD$1&lt;($I26+$G26)),ROUND($F26/$G26,0),"-")</f>
        <v>-</v>
      </c>
      <c r="AE26" s="101" t="str">
        <f t="shared" si="72"/>
        <v>-</v>
      </c>
      <c r="AF26" s="101" t="str">
        <f t="shared" si="72"/>
        <v>-</v>
      </c>
      <c r="AG26" s="101" t="str">
        <f t="shared" si="72"/>
        <v>-</v>
      </c>
      <c r="AH26" s="101" t="str">
        <f t="shared" si="72"/>
        <v>-</v>
      </c>
      <c r="AI26" s="101" t="str">
        <f t="shared" si="72"/>
        <v>-</v>
      </c>
      <c r="AJ26" s="101" t="str">
        <f t="shared" si="72"/>
        <v>-</v>
      </c>
      <c r="AK26" s="101" t="str">
        <f t="shared" si="72"/>
        <v>-</v>
      </c>
      <c r="AL26" s="101" t="str">
        <f t="shared" si="72"/>
        <v>-</v>
      </c>
      <c r="AM26" s="101" t="str">
        <f t="shared" si="72"/>
        <v>-</v>
      </c>
      <c r="AN26" s="101">
        <f t="shared" ref="AN26:AW29" si="73">IF(AND(AN$1&gt;=$I26,AN$1&lt;($I26+$G26)),ROUND($F26/$G26,0),"-")</f>
        <v>0</v>
      </c>
      <c r="AO26" s="101">
        <f t="shared" si="73"/>
        <v>0</v>
      </c>
      <c r="AP26" s="101">
        <f t="shared" si="73"/>
        <v>0</v>
      </c>
      <c r="AQ26" s="101">
        <f t="shared" si="73"/>
        <v>0</v>
      </c>
      <c r="AR26" s="101">
        <f t="shared" si="73"/>
        <v>0</v>
      </c>
      <c r="AS26" s="101">
        <f t="shared" si="73"/>
        <v>0</v>
      </c>
      <c r="AT26" s="101">
        <f t="shared" si="73"/>
        <v>0</v>
      </c>
      <c r="AU26" s="101">
        <f t="shared" si="73"/>
        <v>0</v>
      </c>
      <c r="AV26" s="101">
        <f t="shared" si="73"/>
        <v>0</v>
      </c>
      <c r="AW26" s="101">
        <f t="shared" si="73"/>
        <v>0</v>
      </c>
      <c r="AX26" s="101" t="str">
        <f t="shared" ref="AX26:BG29" si="74">IF(AND(AX$1&gt;=$I26,AX$1&lt;($I26+$G26)),ROUND($F26/$G26,0),"-")</f>
        <v>-</v>
      </c>
      <c r="AY26" s="101" t="str">
        <f t="shared" si="74"/>
        <v>-</v>
      </c>
      <c r="AZ26" s="101" t="str">
        <f t="shared" si="74"/>
        <v>-</v>
      </c>
      <c r="BA26" s="101" t="str">
        <f t="shared" si="74"/>
        <v>-</v>
      </c>
      <c r="BB26" s="101" t="str">
        <f t="shared" si="74"/>
        <v>-</v>
      </c>
      <c r="BC26" s="101" t="str">
        <f t="shared" si="74"/>
        <v>-</v>
      </c>
      <c r="BD26" s="101" t="str">
        <f t="shared" si="74"/>
        <v>-</v>
      </c>
      <c r="BE26" s="101" t="str">
        <f t="shared" si="74"/>
        <v>-</v>
      </c>
      <c r="BF26" s="101" t="str">
        <f t="shared" si="74"/>
        <v>-</v>
      </c>
      <c r="BG26" s="101" t="str">
        <f t="shared" si="74"/>
        <v>-</v>
      </c>
      <c r="BH26" s="101" t="str">
        <f t="shared" ref="BH26:BQ29" si="75">IF(AND(BH$1&gt;=$I26,BH$1&lt;($I26+$G26)),ROUND($F26/$G26,0),"-")</f>
        <v>-</v>
      </c>
      <c r="BI26" s="101" t="str">
        <f t="shared" si="75"/>
        <v>-</v>
      </c>
      <c r="BJ26" s="101" t="str">
        <f t="shared" si="75"/>
        <v>-</v>
      </c>
      <c r="BK26" s="101" t="str">
        <f t="shared" si="75"/>
        <v>-</v>
      </c>
      <c r="BL26" s="101" t="str">
        <f t="shared" si="75"/>
        <v>-</v>
      </c>
      <c r="BM26" s="101" t="str">
        <f t="shared" si="75"/>
        <v>-</v>
      </c>
      <c r="BN26" s="101" t="str">
        <f t="shared" si="75"/>
        <v>-</v>
      </c>
      <c r="BO26" s="101" t="str">
        <f t="shared" si="75"/>
        <v>-</v>
      </c>
      <c r="BP26" s="101" t="str">
        <f t="shared" si="75"/>
        <v>-</v>
      </c>
      <c r="BQ26" s="101" t="str">
        <f t="shared" si="75"/>
        <v>-</v>
      </c>
      <c r="BR26" s="101" t="str">
        <f t="shared" ref="BR26:CA29" si="76">IF(AND(BR$1&gt;=$I26,BR$1&lt;($I26+$G26)),ROUND($F26/$G26,0),"-")</f>
        <v>-</v>
      </c>
      <c r="BS26" s="101" t="str">
        <f t="shared" si="76"/>
        <v>-</v>
      </c>
      <c r="BT26" s="101" t="str">
        <f t="shared" si="76"/>
        <v>-</v>
      </c>
      <c r="BU26" s="101" t="str">
        <f t="shared" si="76"/>
        <v>-</v>
      </c>
      <c r="BV26" s="101" t="str">
        <f t="shared" si="76"/>
        <v>-</v>
      </c>
      <c r="BW26" s="101" t="str">
        <f t="shared" si="76"/>
        <v>-</v>
      </c>
      <c r="BX26" s="101" t="str">
        <f t="shared" si="76"/>
        <v>-</v>
      </c>
      <c r="BY26" s="101" t="str">
        <f t="shared" si="76"/>
        <v>-</v>
      </c>
      <c r="BZ26" s="101" t="str">
        <f t="shared" si="76"/>
        <v>-</v>
      </c>
      <c r="CA26" s="101" t="str">
        <f t="shared" si="76"/>
        <v>-</v>
      </c>
      <c r="CB26" s="101" t="str">
        <f t="shared" ref="CB26:CK29" si="77">IF(AND(CB$1&gt;=$I26,CB$1&lt;($I26+$G26)),ROUND($F26/$G26,0),"-")</f>
        <v>-</v>
      </c>
      <c r="CC26" s="101" t="str">
        <f t="shared" si="77"/>
        <v>-</v>
      </c>
      <c r="CD26" s="101" t="str">
        <f t="shared" si="77"/>
        <v>-</v>
      </c>
      <c r="CE26" s="101" t="str">
        <f t="shared" si="77"/>
        <v>-</v>
      </c>
      <c r="CF26" s="101" t="str">
        <f t="shared" si="77"/>
        <v>-</v>
      </c>
      <c r="CG26" s="101" t="str">
        <f t="shared" si="77"/>
        <v>-</v>
      </c>
      <c r="CH26" s="101" t="str">
        <f t="shared" si="77"/>
        <v>-</v>
      </c>
      <c r="CI26" s="101" t="str">
        <f t="shared" si="77"/>
        <v>-</v>
      </c>
      <c r="CJ26" s="101" t="str">
        <f t="shared" si="77"/>
        <v>-</v>
      </c>
      <c r="CK26" s="101" t="str">
        <f t="shared" si="77"/>
        <v>-</v>
      </c>
      <c r="CL26" s="101" t="str">
        <f t="shared" ref="CL26:CU29" si="78">IF(AND(CL$1&gt;=$I26,CL$1&lt;($I26+$G26)),ROUND($F26/$G26,0),"-")</f>
        <v>-</v>
      </c>
      <c r="CM26" s="101" t="str">
        <f t="shared" si="78"/>
        <v>-</v>
      </c>
      <c r="CN26" s="101" t="str">
        <f t="shared" si="78"/>
        <v>-</v>
      </c>
      <c r="CO26" s="101" t="str">
        <f t="shared" si="78"/>
        <v>-</v>
      </c>
      <c r="CP26" s="101" t="str">
        <f t="shared" si="78"/>
        <v>-</v>
      </c>
      <c r="CQ26" s="101" t="str">
        <f t="shared" si="78"/>
        <v>-</v>
      </c>
      <c r="CR26" s="101" t="str">
        <f t="shared" si="78"/>
        <v>-</v>
      </c>
      <c r="CS26" s="101" t="str">
        <f t="shared" si="78"/>
        <v>-</v>
      </c>
      <c r="CT26" s="101" t="str">
        <f t="shared" si="78"/>
        <v>-</v>
      </c>
      <c r="CU26" s="101" t="str">
        <f t="shared" si="78"/>
        <v>-</v>
      </c>
      <c r="CV26" s="101" t="str">
        <f t="shared" ref="CV26:DE29" si="79">IF(AND(CV$1&gt;=$I26,CV$1&lt;($I26+$G26)),ROUND($F26/$G26,0),"-")</f>
        <v>-</v>
      </c>
      <c r="CW26" s="101" t="str">
        <f t="shared" si="79"/>
        <v>-</v>
      </c>
      <c r="CX26" s="101" t="str">
        <f t="shared" si="79"/>
        <v>-</v>
      </c>
      <c r="CY26" s="101" t="str">
        <f t="shared" si="79"/>
        <v>-</v>
      </c>
      <c r="CZ26" s="101" t="str">
        <f t="shared" si="79"/>
        <v>-</v>
      </c>
      <c r="DA26" s="101" t="str">
        <f t="shared" si="79"/>
        <v>-</v>
      </c>
      <c r="DB26" s="101" t="str">
        <f t="shared" si="79"/>
        <v>-</v>
      </c>
      <c r="DC26" s="101" t="str">
        <f t="shared" si="79"/>
        <v>-</v>
      </c>
      <c r="DD26" s="101" t="str">
        <f t="shared" si="79"/>
        <v>-</v>
      </c>
      <c r="DE26" s="101" t="str">
        <f t="shared" si="79"/>
        <v>-</v>
      </c>
      <c r="DF26" s="101" t="str">
        <f t="shared" ref="DF26:DO29" si="80">IF(AND(DF$1&gt;=$I26,DF$1&lt;($I26+$G26)),ROUND($F26/$G26,0),"-")</f>
        <v>-</v>
      </c>
      <c r="DG26" s="101" t="str">
        <f t="shared" si="80"/>
        <v>-</v>
      </c>
      <c r="DH26" s="101" t="str">
        <f t="shared" si="80"/>
        <v>-</v>
      </c>
      <c r="DI26" s="101" t="str">
        <f t="shared" si="80"/>
        <v>-</v>
      </c>
      <c r="DJ26" s="101" t="str">
        <f t="shared" si="80"/>
        <v>-</v>
      </c>
      <c r="DK26" s="101" t="str">
        <f t="shared" si="80"/>
        <v>-</v>
      </c>
      <c r="DL26" s="101" t="str">
        <f t="shared" si="80"/>
        <v>-</v>
      </c>
      <c r="DM26" s="101" t="str">
        <f t="shared" si="80"/>
        <v>-</v>
      </c>
      <c r="DN26" s="101" t="str">
        <f t="shared" si="80"/>
        <v>-</v>
      </c>
      <c r="DO26" s="101" t="str">
        <f t="shared" si="80"/>
        <v>-</v>
      </c>
      <c r="DP26" s="101" t="str">
        <f t="shared" ref="DP26:DY29" si="81">IF(AND(DP$1&gt;=$I26,DP$1&lt;($I26+$G26)),ROUND($F26/$G26,0),"-")</f>
        <v>-</v>
      </c>
      <c r="DQ26" s="101" t="str">
        <f t="shared" si="81"/>
        <v>-</v>
      </c>
      <c r="DR26" s="101" t="str">
        <f t="shared" si="81"/>
        <v>-</v>
      </c>
      <c r="DS26" s="101" t="str">
        <f t="shared" si="81"/>
        <v>-</v>
      </c>
      <c r="DT26" s="101" t="str">
        <f t="shared" si="81"/>
        <v>-</v>
      </c>
      <c r="DU26" s="101" t="str">
        <f t="shared" si="81"/>
        <v>-</v>
      </c>
      <c r="DV26" s="101" t="str">
        <f t="shared" si="81"/>
        <v>-</v>
      </c>
      <c r="DW26" s="101" t="str">
        <f t="shared" si="81"/>
        <v>-</v>
      </c>
      <c r="DX26" s="101" t="str">
        <f t="shared" si="81"/>
        <v>-</v>
      </c>
      <c r="DY26" s="101" t="str">
        <f t="shared" si="81"/>
        <v>-</v>
      </c>
      <c r="DZ26" s="101" t="str">
        <f t="shared" ref="DZ26:EL29" si="82">IF(AND(DZ$1&gt;=$I26,DZ$1&lt;($I26+$G26)),ROUND($F26/$G26,0),"-")</f>
        <v>-</v>
      </c>
      <c r="EA26" s="101" t="str">
        <f t="shared" si="82"/>
        <v>-</v>
      </c>
      <c r="EB26" s="101" t="str">
        <f t="shared" si="82"/>
        <v>-</v>
      </c>
      <c r="EC26" s="101" t="str">
        <f t="shared" si="82"/>
        <v>-</v>
      </c>
      <c r="ED26" s="101" t="str">
        <f t="shared" si="82"/>
        <v>-</v>
      </c>
      <c r="EE26" s="101" t="str">
        <f t="shared" si="82"/>
        <v>-</v>
      </c>
      <c r="EF26" s="101" t="str">
        <f t="shared" si="82"/>
        <v>-</v>
      </c>
      <c r="EG26" s="101" t="str">
        <f t="shared" si="82"/>
        <v>-</v>
      </c>
      <c r="EH26" s="101" t="str">
        <f t="shared" si="82"/>
        <v>-</v>
      </c>
      <c r="EI26" s="101" t="str">
        <f t="shared" si="82"/>
        <v>-</v>
      </c>
      <c r="EJ26" s="101" t="str">
        <f t="shared" si="82"/>
        <v>-</v>
      </c>
      <c r="EK26" s="101" t="str">
        <f t="shared" si="82"/>
        <v>-</v>
      </c>
      <c r="EL26" s="101" t="str">
        <f t="shared" si="82"/>
        <v>-</v>
      </c>
    </row>
    <row r="27" spans="1:144">
      <c r="A27" s="466"/>
      <c r="B27" s="502"/>
      <c r="C27" s="502"/>
      <c r="D27" s="466"/>
      <c r="E27" s="109" t="s">
        <v>65</v>
      </c>
      <c r="F27" s="102">
        <f>SUM('BESS 11'!S165,'BESS 11'!S167:S168,'BESS 11'!S171:S173)</f>
        <v>277.83000000000004</v>
      </c>
      <c r="G27" s="101">
        <f>MAX('BESS 11'!O165,'BESS 11'!O167:O168,'BESS 11'!O171:O173)-MIN('BESS 11'!O165,'BESS 11'!O167:O168,'BESS 11'!O171:O173)+1</f>
        <v>1</v>
      </c>
      <c r="H27" s="101"/>
      <c r="I27" s="110">
        <f>MIN('BESS 11'!O165,'BESS 11'!O167:O168,'BESS 11'!O171:O173)</f>
        <v>46237</v>
      </c>
      <c r="J27" s="101" t="str">
        <f t="shared" si="70"/>
        <v>-</v>
      </c>
      <c r="K27" s="101" t="str">
        <f t="shared" si="70"/>
        <v>-</v>
      </c>
      <c r="L27" s="101" t="str">
        <f t="shared" si="70"/>
        <v>-</v>
      </c>
      <c r="M27" s="101" t="str">
        <f t="shared" si="70"/>
        <v>-</v>
      </c>
      <c r="N27" s="101" t="str">
        <f t="shared" si="70"/>
        <v>-</v>
      </c>
      <c r="O27" s="101" t="str">
        <f t="shared" si="70"/>
        <v>-</v>
      </c>
      <c r="P27" s="101" t="str">
        <f t="shared" si="70"/>
        <v>-</v>
      </c>
      <c r="Q27" s="101" t="str">
        <f t="shared" si="70"/>
        <v>-</v>
      </c>
      <c r="R27" s="101" t="str">
        <f t="shared" si="70"/>
        <v>-</v>
      </c>
      <c r="S27" s="101" t="str">
        <f t="shared" si="70"/>
        <v>-</v>
      </c>
      <c r="T27" s="101" t="str">
        <f t="shared" si="71"/>
        <v>-</v>
      </c>
      <c r="U27" s="101" t="str">
        <f t="shared" si="71"/>
        <v>-</v>
      </c>
      <c r="V27" s="101" t="str">
        <f t="shared" si="71"/>
        <v>-</v>
      </c>
      <c r="W27" s="101" t="str">
        <f t="shared" si="71"/>
        <v>-</v>
      </c>
      <c r="X27" s="101" t="str">
        <f t="shared" si="71"/>
        <v>-</v>
      </c>
      <c r="Y27" s="101" t="str">
        <f t="shared" si="71"/>
        <v>-</v>
      </c>
      <c r="Z27" s="101" t="str">
        <f t="shared" si="71"/>
        <v>-</v>
      </c>
      <c r="AA27" s="101" t="str">
        <f t="shared" si="71"/>
        <v>-</v>
      </c>
      <c r="AB27" s="101" t="str">
        <f t="shared" si="71"/>
        <v>-</v>
      </c>
      <c r="AC27" s="101" t="str">
        <f t="shared" si="71"/>
        <v>-</v>
      </c>
      <c r="AD27" s="101" t="str">
        <f t="shared" si="72"/>
        <v>-</v>
      </c>
      <c r="AE27" s="101" t="str">
        <f t="shared" si="72"/>
        <v>-</v>
      </c>
      <c r="AF27" s="101" t="str">
        <f t="shared" si="72"/>
        <v>-</v>
      </c>
      <c r="AG27" s="101" t="str">
        <f t="shared" si="72"/>
        <v>-</v>
      </c>
      <c r="AH27" s="101" t="str">
        <f t="shared" si="72"/>
        <v>-</v>
      </c>
      <c r="AI27" s="101" t="str">
        <f t="shared" si="72"/>
        <v>-</v>
      </c>
      <c r="AJ27" s="101" t="str">
        <f t="shared" si="72"/>
        <v>-</v>
      </c>
      <c r="AK27" s="101" t="str">
        <f t="shared" si="72"/>
        <v>-</v>
      </c>
      <c r="AL27" s="101" t="str">
        <f t="shared" si="72"/>
        <v>-</v>
      </c>
      <c r="AM27" s="101" t="str">
        <f t="shared" si="72"/>
        <v>-</v>
      </c>
      <c r="AN27" s="101" t="str">
        <f t="shared" si="73"/>
        <v>-</v>
      </c>
      <c r="AO27" s="101" t="str">
        <f t="shared" si="73"/>
        <v>-</v>
      </c>
      <c r="AP27" s="101" t="str">
        <f t="shared" si="73"/>
        <v>-</v>
      </c>
      <c r="AQ27" s="101" t="str">
        <f t="shared" si="73"/>
        <v>-</v>
      </c>
      <c r="AR27" s="101" t="str">
        <f t="shared" si="73"/>
        <v>-</v>
      </c>
      <c r="AS27" s="101" t="str">
        <f t="shared" si="73"/>
        <v>-</v>
      </c>
      <c r="AT27" s="101" t="str">
        <f t="shared" si="73"/>
        <v>-</v>
      </c>
      <c r="AU27" s="101" t="str">
        <f t="shared" si="73"/>
        <v>-</v>
      </c>
      <c r="AV27" s="101" t="str">
        <f t="shared" si="73"/>
        <v>-</v>
      </c>
      <c r="AW27" s="101" t="str">
        <f t="shared" si="73"/>
        <v>-</v>
      </c>
      <c r="AX27" s="101" t="str">
        <f t="shared" si="74"/>
        <v>-</v>
      </c>
      <c r="AY27" s="101" t="str">
        <f t="shared" si="74"/>
        <v>-</v>
      </c>
      <c r="AZ27" s="101">
        <f t="shared" si="74"/>
        <v>278</v>
      </c>
      <c r="BA27" s="101" t="str">
        <f t="shared" si="74"/>
        <v>-</v>
      </c>
      <c r="BB27" s="101" t="str">
        <f t="shared" si="74"/>
        <v>-</v>
      </c>
      <c r="BC27" s="101" t="str">
        <f t="shared" si="74"/>
        <v>-</v>
      </c>
      <c r="BD27" s="101" t="str">
        <f t="shared" si="74"/>
        <v>-</v>
      </c>
      <c r="BE27" s="101" t="str">
        <f t="shared" si="74"/>
        <v>-</v>
      </c>
      <c r="BF27" s="101" t="str">
        <f t="shared" si="74"/>
        <v>-</v>
      </c>
      <c r="BG27" s="101" t="str">
        <f t="shared" si="74"/>
        <v>-</v>
      </c>
      <c r="BH27" s="101" t="str">
        <f t="shared" si="75"/>
        <v>-</v>
      </c>
      <c r="BI27" s="101" t="str">
        <f t="shared" si="75"/>
        <v>-</v>
      </c>
      <c r="BJ27" s="101" t="str">
        <f t="shared" si="75"/>
        <v>-</v>
      </c>
      <c r="BK27" s="101" t="str">
        <f t="shared" si="75"/>
        <v>-</v>
      </c>
      <c r="BL27" s="101" t="str">
        <f t="shared" si="75"/>
        <v>-</v>
      </c>
      <c r="BM27" s="101" t="str">
        <f t="shared" si="75"/>
        <v>-</v>
      </c>
      <c r="BN27" s="101" t="str">
        <f t="shared" si="75"/>
        <v>-</v>
      </c>
      <c r="BO27" s="101" t="str">
        <f t="shared" si="75"/>
        <v>-</v>
      </c>
      <c r="BP27" s="101" t="str">
        <f t="shared" si="75"/>
        <v>-</v>
      </c>
      <c r="BQ27" s="101" t="str">
        <f t="shared" si="75"/>
        <v>-</v>
      </c>
      <c r="BR27" s="101" t="str">
        <f t="shared" si="76"/>
        <v>-</v>
      </c>
      <c r="BS27" s="101" t="str">
        <f t="shared" si="76"/>
        <v>-</v>
      </c>
      <c r="BT27" s="101" t="str">
        <f t="shared" si="76"/>
        <v>-</v>
      </c>
      <c r="BU27" s="101" t="str">
        <f t="shared" si="76"/>
        <v>-</v>
      </c>
      <c r="BV27" s="101" t="str">
        <f t="shared" si="76"/>
        <v>-</v>
      </c>
      <c r="BW27" s="101" t="str">
        <f t="shared" si="76"/>
        <v>-</v>
      </c>
      <c r="BX27" s="101" t="str">
        <f t="shared" si="76"/>
        <v>-</v>
      </c>
      <c r="BY27" s="101" t="str">
        <f t="shared" si="76"/>
        <v>-</v>
      </c>
      <c r="BZ27" s="101" t="str">
        <f t="shared" si="76"/>
        <v>-</v>
      </c>
      <c r="CA27" s="101" t="str">
        <f t="shared" si="76"/>
        <v>-</v>
      </c>
      <c r="CB27" s="101" t="str">
        <f t="shared" si="77"/>
        <v>-</v>
      </c>
      <c r="CC27" s="101" t="str">
        <f t="shared" si="77"/>
        <v>-</v>
      </c>
      <c r="CD27" s="101" t="str">
        <f t="shared" si="77"/>
        <v>-</v>
      </c>
      <c r="CE27" s="101" t="str">
        <f t="shared" si="77"/>
        <v>-</v>
      </c>
      <c r="CF27" s="101" t="str">
        <f t="shared" si="77"/>
        <v>-</v>
      </c>
      <c r="CG27" s="101" t="str">
        <f t="shared" si="77"/>
        <v>-</v>
      </c>
      <c r="CH27" s="101" t="str">
        <f t="shared" si="77"/>
        <v>-</v>
      </c>
      <c r="CI27" s="101" t="str">
        <f t="shared" si="77"/>
        <v>-</v>
      </c>
      <c r="CJ27" s="101" t="str">
        <f t="shared" si="77"/>
        <v>-</v>
      </c>
      <c r="CK27" s="101" t="str">
        <f t="shared" si="77"/>
        <v>-</v>
      </c>
      <c r="CL27" s="101" t="str">
        <f t="shared" si="78"/>
        <v>-</v>
      </c>
      <c r="CM27" s="101" t="str">
        <f t="shared" si="78"/>
        <v>-</v>
      </c>
      <c r="CN27" s="101" t="str">
        <f t="shared" si="78"/>
        <v>-</v>
      </c>
      <c r="CO27" s="101" t="str">
        <f t="shared" si="78"/>
        <v>-</v>
      </c>
      <c r="CP27" s="101" t="str">
        <f t="shared" si="78"/>
        <v>-</v>
      </c>
      <c r="CQ27" s="101" t="str">
        <f t="shared" si="78"/>
        <v>-</v>
      </c>
      <c r="CR27" s="101" t="str">
        <f t="shared" si="78"/>
        <v>-</v>
      </c>
      <c r="CS27" s="101" t="str">
        <f t="shared" si="78"/>
        <v>-</v>
      </c>
      <c r="CT27" s="101" t="str">
        <f t="shared" si="78"/>
        <v>-</v>
      </c>
      <c r="CU27" s="101" t="str">
        <f t="shared" si="78"/>
        <v>-</v>
      </c>
      <c r="CV27" s="101" t="str">
        <f t="shared" si="79"/>
        <v>-</v>
      </c>
      <c r="CW27" s="101" t="str">
        <f t="shared" si="79"/>
        <v>-</v>
      </c>
      <c r="CX27" s="101" t="str">
        <f t="shared" si="79"/>
        <v>-</v>
      </c>
      <c r="CY27" s="101" t="str">
        <f t="shared" si="79"/>
        <v>-</v>
      </c>
      <c r="CZ27" s="101" t="str">
        <f t="shared" si="79"/>
        <v>-</v>
      </c>
      <c r="DA27" s="101" t="str">
        <f t="shared" si="79"/>
        <v>-</v>
      </c>
      <c r="DB27" s="101" t="str">
        <f t="shared" si="79"/>
        <v>-</v>
      </c>
      <c r="DC27" s="101" t="str">
        <f t="shared" si="79"/>
        <v>-</v>
      </c>
      <c r="DD27" s="101" t="str">
        <f t="shared" si="79"/>
        <v>-</v>
      </c>
      <c r="DE27" s="101" t="str">
        <f t="shared" si="79"/>
        <v>-</v>
      </c>
      <c r="DF27" s="101" t="str">
        <f t="shared" si="80"/>
        <v>-</v>
      </c>
      <c r="DG27" s="101" t="str">
        <f t="shared" si="80"/>
        <v>-</v>
      </c>
      <c r="DH27" s="101" t="str">
        <f t="shared" si="80"/>
        <v>-</v>
      </c>
      <c r="DI27" s="101" t="str">
        <f t="shared" si="80"/>
        <v>-</v>
      </c>
      <c r="DJ27" s="101" t="str">
        <f t="shared" si="80"/>
        <v>-</v>
      </c>
      <c r="DK27" s="101" t="str">
        <f t="shared" si="80"/>
        <v>-</v>
      </c>
      <c r="DL27" s="101" t="str">
        <f t="shared" si="80"/>
        <v>-</v>
      </c>
      <c r="DM27" s="101" t="str">
        <f t="shared" si="80"/>
        <v>-</v>
      </c>
      <c r="DN27" s="101" t="str">
        <f t="shared" si="80"/>
        <v>-</v>
      </c>
      <c r="DO27" s="101" t="str">
        <f t="shared" si="80"/>
        <v>-</v>
      </c>
      <c r="DP27" s="101" t="str">
        <f t="shared" si="81"/>
        <v>-</v>
      </c>
      <c r="DQ27" s="101" t="str">
        <f t="shared" si="81"/>
        <v>-</v>
      </c>
      <c r="DR27" s="101" t="str">
        <f t="shared" si="81"/>
        <v>-</v>
      </c>
      <c r="DS27" s="101" t="str">
        <f t="shared" si="81"/>
        <v>-</v>
      </c>
      <c r="DT27" s="101" t="str">
        <f t="shared" si="81"/>
        <v>-</v>
      </c>
      <c r="DU27" s="101" t="str">
        <f t="shared" si="81"/>
        <v>-</v>
      </c>
      <c r="DV27" s="101" t="str">
        <f t="shared" si="81"/>
        <v>-</v>
      </c>
      <c r="DW27" s="101" t="str">
        <f t="shared" si="81"/>
        <v>-</v>
      </c>
      <c r="DX27" s="101" t="str">
        <f t="shared" si="81"/>
        <v>-</v>
      </c>
      <c r="DY27" s="101" t="str">
        <f t="shared" si="81"/>
        <v>-</v>
      </c>
      <c r="DZ27" s="101" t="str">
        <f t="shared" si="82"/>
        <v>-</v>
      </c>
      <c r="EA27" s="101" t="str">
        <f t="shared" si="82"/>
        <v>-</v>
      </c>
      <c r="EB27" s="101" t="str">
        <f t="shared" si="82"/>
        <v>-</v>
      </c>
      <c r="EC27" s="101" t="str">
        <f t="shared" si="82"/>
        <v>-</v>
      </c>
      <c r="ED27" s="101" t="str">
        <f t="shared" si="82"/>
        <v>-</v>
      </c>
      <c r="EE27" s="101" t="str">
        <f t="shared" si="82"/>
        <v>-</v>
      </c>
      <c r="EF27" s="101" t="str">
        <f t="shared" si="82"/>
        <v>-</v>
      </c>
      <c r="EG27" s="101" t="str">
        <f t="shared" si="82"/>
        <v>-</v>
      </c>
      <c r="EH27" s="101" t="str">
        <f t="shared" si="82"/>
        <v>-</v>
      </c>
      <c r="EI27" s="101" t="str">
        <f t="shared" si="82"/>
        <v>-</v>
      </c>
      <c r="EJ27" s="101" t="str">
        <f t="shared" si="82"/>
        <v>-</v>
      </c>
      <c r="EK27" s="101" t="str">
        <f t="shared" si="82"/>
        <v>-</v>
      </c>
      <c r="EL27" s="101" t="str">
        <f t="shared" si="82"/>
        <v>-</v>
      </c>
    </row>
    <row r="28" spans="1:144">
      <c r="A28" s="466"/>
      <c r="B28" s="502"/>
      <c r="C28" s="502"/>
      <c r="D28" s="466"/>
      <c r="E28" s="109" t="s">
        <v>66</v>
      </c>
      <c r="F28" s="102">
        <f>SUM('BESS 11'!S166,'BESS 11'!S169:S170,'BESS 11'!S174:S175)</f>
        <v>2432.6666666666665</v>
      </c>
      <c r="G28" s="102">
        <f>MAX('BESS 11'!O166,'BESS 11'!O169:O170,'BESS 11'!O174:O175)-MIN('BESS 11'!O166,'BESS 11'!O169:O170,'BESS 11'!O174:O175)+1</f>
        <v>1</v>
      </c>
      <c r="H28" s="102"/>
      <c r="I28" s="110">
        <f>MIN('BESS 11'!O166,'BESS 11'!O169:O170,'BESS 11'!O174:O175)</f>
        <v>46239</v>
      </c>
      <c r="J28" s="101" t="str">
        <f t="shared" si="70"/>
        <v>-</v>
      </c>
      <c r="K28" s="101" t="str">
        <f t="shared" si="70"/>
        <v>-</v>
      </c>
      <c r="L28" s="101" t="str">
        <f t="shared" si="70"/>
        <v>-</v>
      </c>
      <c r="M28" s="101" t="str">
        <f t="shared" si="70"/>
        <v>-</v>
      </c>
      <c r="N28" s="101" t="str">
        <f t="shared" si="70"/>
        <v>-</v>
      </c>
      <c r="O28" s="101" t="str">
        <f t="shared" si="70"/>
        <v>-</v>
      </c>
      <c r="P28" s="101" t="str">
        <f t="shared" si="70"/>
        <v>-</v>
      </c>
      <c r="Q28" s="101" t="str">
        <f t="shared" si="70"/>
        <v>-</v>
      </c>
      <c r="R28" s="101" t="str">
        <f t="shared" si="70"/>
        <v>-</v>
      </c>
      <c r="S28" s="101" t="str">
        <f t="shared" si="70"/>
        <v>-</v>
      </c>
      <c r="T28" s="101" t="str">
        <f t="shared" si="71"/>
        <v>-</v>
      </c>
      <c r="U28" s="101" t="str">
        <f t="shared" si="71"/>
        <v>-</v>
      </c>
      <c r="V28" s="101" t="str">
        <f t="shared" si="71"/>
        <v>-</v>
      </c>
      <c r="W28" s="101" t="str">
        <f t="shared" si="71"/>
        <v>-</v>
      </c>
      <c r="X28" s="101" t="str">
        <f t="shared" si="71"/>
        <v>-</v>
      </c>
      <c r="Y28" s="101" t="str">
        <f t="shared" si="71"/>
        <v>-</v>
      </c>
      <c r="Z28" s="101" t="str">
        <f t="shared" si="71"/>
        <v>-</v>
      </c>
      <c r="AA28" s="101" t="str">
        <f t="shared" si="71"/>
        <v>-</v>
      </c>
      <c r="AB28" s="101" t="str">
        <f t="shared" si="71"/>
        <v>-</v>
      </c>
      <c r="AC28" s="101" t="str">
        <f t="shared" si="71"/>
        <v>-</v>
      </c>
      <c r="AD28" s="101" t="str">
        <f t="shared" si="72"/>
        <v>-</v>
      </c>
      <c r="AE28" s="101" t="str">
        <f t="shared" si="72"/>
        <v>-</v>
      </c>
      <c r="AF28" s="101" t="str">
        <f t="shared" si="72"/>
        <v>-</v>
      </c>
      <c r="AG28" s="101" t="str">
        <f t="shared" si="72"/>
        <v>-</v>
      </c>
      <c r="AH28" s="101" t="str">
        <f t="shared" si="72"/>
        <v>-</v>
      </c>
      <c r="AI28" s="101" t="str">
        <f t="shared" si="72"/>
        <v>-</v>
      </c>
      <c r="AJ28" s="101" t="str">
        <f t="shared" si="72"/>
        <v>-</v>
      </c>
      <c r="AK28" s="101" t="str">
        <f t="shared" si="72"/>
        <v>-</v>
      </c>
      <c r="AL28" s="101" t="str">
        <f t="shared" si="72"/>
        <v>-</v>
      </c>
      <c r="AM28" s="101" t="str">
        <f t="shared" si="72"/>
        <v>-</v>
      </c>
      <c r="AN28" s="101" t="str">
        <f t="shared" si="73"/>
        <v>-</v>
      </c>
      <c r="AO28" s="101" t="str">
        <f t="shared" si="73"/>
        <v>-</v>
      </c>
      <c r="AP28" s="101" t="str">
        <f t="shared" si="73"/>
        <v>-</v>
      </c>
      <c r="AQ28" s="101" t="str">
        <f t="shared" si="73"/>
        <v>-</v>
      </c>
      <c r="AR28" s="101" t="str">
        <f t="shared" si="73"/>
        <v>-</v>
      </c>
      <c r="AS28" s="101" t="str">
        <f t="shared" si="73"/>
        <v>-</v>
      </c>
      <c r="AT28" s="101" t="str">
        <f t="shared" si="73"/>
        <v>-</v>
      </c>
      <c r="AU28" s="101" t="str">
        <f t="shared" si="73"/>
        <v>-</v>
      </c>
      <c r="AV28" s="101" t="str">
        <f t="shared" si="73"/>
        <v>-</v>
      </c>
      <c r="AW28" s="101" t="str">
        <f t="shared" si="73"/>
        <v>-</v>
      </c>
      <c r="AX28" s="101" t="str">
        <f t="shared" si="74"/>
        <v>-</v>
      </c>
      <c r="AY28" s="101" t="str">
        <f t="shared" si="74"/>
        <v>-</v>
      </c>
      <c r="AZ28" s="101" t="str">
        <f t="shared" si="74"/>
        <v>-</v>
      </c>
      <c r="BA28" s="101" t="str">
        <f t="shared" si="74"/>
        <v>-</v>
      </c>
      <c r="BB28" s="101">
        <f t="shared" si="74"/>
        <v>2433</v>
      </c>
      <c r="BC28" s="101" t="str">
        <f t="shared" si="74"/>
        <v>-</v>
      </c>
      <c r="BD28" s="101" t="str">
        <f t="shared" si="74"/>
        <v>-</v>
      </c>
      <c r="BE28" s="101" t="str">
        <f t="shared" si="74"/>
        <v>-</v>
      </c>
      <c r="BF28" s="101" t="str">
        <f t="shared" si="74"/>
        <v>-</v>
      </c>
      <c r="BG28" s="101" t="str">
        <f t="shared" si="74"/>
        <v>-</v>
      </c>
      <c r="BH28" s="101" t="str">
        <f t="shared" si="75"/>
        <v>-</v>
      </c>
      <c r="BI28" s="101" t="str">
        <f t="shared" si="75"/>
        <v>-</v>
      </c>
      <c r="BJ28" s="101" t="str">
        <f t="shared" si="75"/>
        <v>-</v>
      </c>
      <c r="BK28" s="101" t="str">
        <f t="shared" si="75"/>
        <v>-</v>
      </c>
      <c r="BL28" s="101" t="str">
        <f t="shared" si="75"/>
        <v>-</v>
      </c>
      <c r="BM28" s="101" t="str">
        <f t="shared" si="75"/>
        <v>-</v>
      </c>
      <c r="BN28" s="101" t="str">
        <f t="shared" si="75"/>
        <v>-</v>
      </c>
      <c r="BO28" s="101" t="str">
        <f t="shared" si="75"/>
        <v>-</v>
      </c>
      <c r="BP28" s="101" t="str">
        <f t="shared" si="75"/>
        <v>-</v>
      </c>
      <c r="BQ28" s="101" t="str">
        <f t="shared" si="75"/>
        <v>-</v>
      </c>
      <c r="BR28" s="101" t="str">
        <f t="shared" si="76"/>
        <v>-</v>
      </c>
      <c r="BS28" s="101" t="str">
        <f t="shared" si="76"/>
        <v>-</v>
      </c>
      <c r="BT28" s="101" t="str">
        <f t="shared" si="76"/>
        <v>-</v>
      </c>
      <c r="BU28" s="101" t="str">
        <f t="shared" si="76"/>
        <v>-</v>
      </c>
      <c r="BV28" s="101" t="str">
        <f t="shared" si="76"/>
        <v>-</v>
      </c>
      <c r="BW28" s="101" t="str">
        <f t="shared" si="76"/>
        <v>-</v>
      </c>
      <c r="BX28" s="101" t="str">
        <f t="shared" si="76"/>
        <v>-</v>
      </c>
      <c r="BY28" s="101" t="str">
        <f t="shared" si="76"/>
        <v>-</v>
      </c>
      <c r="BZ28" s="101" t="str">
        <f t="shared" si="76"/>
        <v>-</v>
      </c>
      <c r="CA28" s="101" t="str">
        <f t="shared" si="76"/>
        <v>-</v>
      </c>
      <c r="CB28" s="101" t="str">
        <f t="shared" si="77"/>
        <v>-</v>
      </c>
      <c r="CC28" s="101" t="str">
        <f t="shared" si="77"/>
        <v>-</v>
      </c>
      <c r="CD28" s="101" t="str">
        <f t="shared" si="77"/>
        <v>-</v>
      </c>
      <c r="CE28" s="101" t="str">
        <f t="shared" si="77"/>
        <v>-</v>
      </c>
      <c r="CF28" s="101" t="str">
        <f t="shared" si="77"/>
        <v>-</v>
      </c>
      <c r="CG28" s="101" t="str">
        <f t="shared" si="77"/>
        <v>-</v>
      </c>
      <c r="CH28" s="101" t="str">
        <f t="shared" si="77"/>
        <v>-</v>
      </c>
      <c r="CI28" s="101" t="str">
        <f t="shared" si="77"/>
        <v>-</v>
      </c>
      <c r="CJ28" s="101" t="str">
        <f t="shared" si="77"/>
        <v>-</v>
      </c>
      <c r="CK28" s="101" t="str">
        <f t="shared" si="77"/>
        <v>-</v>
      </c>
      <c r="CL28" s="101" t="str">
        <f t="shared" si="78"/>
        <v>-</v>
      </c>
      <c r="CM28" s="101" t="str">
        <f t="shared" si="78"/>
        <v>-</v>
      </c>
      <c r="CN28" s="101" t="str">
        <f t="shared" si="78"/>
        <v>-</v>
      </c>
      <c r="CO28" s="101" t="str">
        <f t="shared" si="78"/>
        <v>-</v>
      </c>
      <c r="CP28" s="101" t="str">
        <f t="shared" si="78"/>
        <v>-</v>
      </c>
      <c r="CQ28" s="101" t="str">
        <f t="shared" si="78"/>
        <v>-</v>
      </c>
      <c r="CR28" s="101" t="str">
        <f t="shared" si="78"/>
        <v>-</v>
      </c>
      <c r="CS28" s="101" t="str">
        <f t="shared" si="78"/>
        <v>-</v>
      </c>
      <c r="CT28" s="101" t="str">
        <f t="shared" si="78"/>
        <v>-</v>
      </c>
      <c r="CU28" s="101" t="str">
        <f t="shared" si="78"/>
        <v>-</v>
      </c>
      <c r="CV28" s="101" t="str">
        <f t="shared" si="79"/>
        <v>-</v>
      </c>
      <c r="CW28" s="101" t="str">
        <f t="shared" si="79"/>
        <v>-</v>
      </c>
      <c r="CX28" s="101" t="str">
        <f t="shared" si="79"/>
        <v>-</v>
      </c>
      <c r="CY28" s="101" t="str">
        <f t="shared" si="79"/>
        <v>-</v>
      </c>
      <c r="CZ28" s="101" t="str">
        <f t="shared" si="79"/>
        <v>-</v>
      </c>
      <c r="DA28" s="101" t="str">
        <f t="shared" si="79"/>
        <v>-</v>
      </c>
      <c r="DB28" s="101" t="str">
        <f t="shared" si="79"/>
        <v>-</v>
      </c>
      <c r="DC28" s="101" t="str">
        <f t="shared" si="79"/>
        <v>-</v>
      </c>
      <c r="DD28" s="101" t="str">
        <f t="shared" si="79"/>
        <v>-</v>
      </c>
      <c r="DE28" s="101" t="str">
        <f t="shared" si="79"/>
        <v>-</v>
      </c>
      <c r="DF28" s="101" t="str">
        <f t="shared" si="80"/>
        <v>-</v>
      </c>
      <c r="DG28" s="101" t="str">
        <f t="shared" si="80"/>
        <v>-</v>
      </c>
      <c r="DH28" s="101" t="str">
        <f t="shared" si="80"/>
        <v>-</v>
      </c>
      <c r="DI28" s="101" t="str">
        <f t="shared" si="80"/>
        <v>-</v>
      </c>
      <c r="DJ28" s="101" t="str">
        <f t="shared" si="80"/>
        <v>-</v>
      </c>
      <c r="DK28" s="101" t="str">
        <f t="shared" si="80"/>
        <v>-</v>
      </c>
      <c r="DL28" s="101" t="str">
        <f t="shared" si="80"/>
        <v>-</v>
      </c>
      <c r="DM28" s="101" t="str">
        <f t="shared" si="80"/>
        <v>-</v>
      </c>
      <c r="DN28" s="101" t="str">
        <f t="shared" si="80"/>
        <v>-</v>
      </c>
      <c r="DO28" s="101" t="str">
        <f t="shared" si="80"/>
        <v>-</v>
      </c>
      <c r="DP28" s="101" t="str">
        <f t="shared" si="81"/>
        <v>-</v>
      </c>
      <c r="DQ28" s="101" t="str">
        <f t="shared" si="81"/>
        <v>-</v>
      </c>
      <c r="DR28" s="101" t="str">
        <f t="shared" si="81"/>
        <v>-</v>
      </c>
      <c r="DS28" s="101" t="str">
        <f t="shared" si="81"/>
        <v>-</v>
      </c>
      <c r="DT28" s="101" t="str">
        <f t="shared" si="81"/>
        <v>-</v>
      </c>
      <c r="DU28" s="101" t="str">
        <f t="shared" si="81"/>
        <v>-</v>
      </c>
      <c r="DV28" s="101" t="str">
        <f t="shared" si="81"/>
        <v>-</v>
      </c>
      <c r="DW28" s="101" t="str">
        <f t="shared" si="81"/>
        <v>-</v>
      </c>
      <c r="DX28" s="101" t="str">
        <f t="shared" si="81"/>
        <v>-</v>
      </c>
      <c r="DY28" s="101" t="str">
        <f t="shared" si="81"/>
        <v>-</v>
      </c>
      <c r="DZ28" s="101" t="str">
        <f t="shared" si="82"/>
        <v>-</v>
      </c>
      <c r="EA28" s="101" t="str">
        <f t="shared" si="82"/>
        <v>-</v>
      </c>
      <c r="EB28" s="101" t="str">
        <f t="shared" si="82"/>
        <v>-</v>
      </c>
      <c r="EC28" s="101" t="str">
        <f t="shared" si="82"/>
        <v>-</v>
      </c>
      <c r="ED28" s="101" t="str">
        <f t="shared" si="82"/>
        <v>-</v>
      </c>
      <c r="EE28" s="101" t="str">
        <f t="shared" si="82"/>
        <v>-</v>
      </c>
      <c r="EF28" s="101" t="str">
        <f t="shared" si="82"/>
        <v>-</v>
      </c>
      <c r="EG28" s="101" t="str">
        <f t="shared" si="82"/>
        <v>-</v>
      </c>
      <c r="EH28" s="101" t="str">
        <f t="shared" si="82"/>
        <v>-</v>
      </c>
      <c r="EI28" s="101" t="str">
        <f t="shared" si="82"/>
        <v>-</v>
      </c>
      <c r="EJ28" s="101" t="str">
        <f t="shared" si="82"/>
        <v>-</v>
      </c>
      <c r="EK28" s="101" t="str">
        <f t="shared" si="82"/>
        <v>-</v>
      </c>
      <c r="EL28" s="101" t="str">
        <f t="shared" si="82"/>
        <v>-</v>
      </c>
    </row>
    <row r="29" spans="1:144" ht="14.25" thickBot="1">
      <c r="A29" s="466"/>
      <c r="B29" s="502"/>
      <c r="C29" s="502"/>
      <c r="D29" s="466"/>
      <c r="E29" s="109" t="s">
        <v>67</v>
      </c>
      <c r="F29" s="102">
        <f>SUM('BESS 11'!S178:S186)</f>
        <v>323.4133333333333</v>
      </c>
      <c r="G29" s="101">
        <f>MAX('BESS 11'!O178:O186)-MIN('BESS 11'!O178:O186)+1</f>
        <v>11</v>
      </c>
      <c r="H29" s="101"/>
      <c r="I29" s="110">
        <f>MIN('BESS 11'!O178:O186)</f>
        <v>46233</v>
      </c>
      <c r="J29" s="101" t="str">
        <f t="shared" si="70"/>
        <v>-</v>
      </c>
      <c r="K29" s="101" t="str">
        <f t="shared" si="70"/>
        <v>-</v>
      </c>
      <c r="L29" s="101" t="str">
        <f t="shared" si="70"/>
        <v>-</v>
      </c>
      <c r="M29" s="101" t="str">
        <f t="shared" si="70"/>
        <v>-</v>
      </c>
      <c r="N29" s="101" t="str">
        <f t="shared" si="70"/>
        <v>-</v>
      </c>
      <c r="O29" s="101" t="str">
        <f t="shared" si="70"/>
        <v>-</v>
      </c>
      <c r="P29" s="101" t="str">
        <f t="shared" si="70"/>
        <v>-</v>
      </c>
      <c r="Q29" s="101" t="str">
        <f t="shared" si="70"/>
        <v>-</v>
      </c>
      <c r="R29" s="101" t="str">
        <f t="shared" si="70"/>
        <v>-</v>
      </c>
      <c r="S29" s="101" t="str">
        <f t="shared" si="70"/>
        <v>-</v>
      </c>
      <c r="T29" s="101" t="str">
        <f t="shared" si="71"/>
        <v>-</v>
      </c>
      <c r="U29" s="101" t="str">
        <f t="shared" si="71"/>
        <v>-</v>
      </c>
      <c r="V29" s="101" t="str">
        <f t="shared" si="71"/>
        <v>-</v>
      </c>
      <c r="W29" s="101" t="str">
        <f t="shared" si="71"/>
        <v>-</v>
      </c>
      <c r="X29" s="101" t="str">
        <f t="shared" si="71"/>
        <v>-</v>
      </c>
      <c r="Y29" s="101" t="str">
        <f t="shared" si="71"/>
        <v>-</v>
      </c>
      <c r="Z29" s="101" t="str">
        <f t="shared" si="71"/>
        <v>-</v>
      </c>
      <c r="AA29" s="101" t="str">
        <f t="shared" si="71"/>
        <v>-</v>
      </c>
      <c r="AB29" s="101" t="str">
        <f t="shared" si="71"/>
        <v>-</v>
      </c>
      <c r="AC29" s="101" t="str">
        <f t="shared" si="71"/>
        <v>-</v>
      </c>
      <c r="AD29" s="101" t="str">
        <f t="shared" si="72"/>
        <v>-</v>
      </c>
      <c r="AE29" s="101" t="str">
        <f t="shared" si="72"/>
        <v>-</v>
      </c>
      <c r="AF29" s="101" t="str">
        <f t="shared" si="72"/>
        <v>-</v>
      </c>
      <c r="AG29" s="101" t="str">
        <f t="shared" si="72"/>
        <v>-</v>
      </c>
      <c r="AH29" s="101" t="str">
        <f t="shared" si="72"/>
        <v>-</v>
      </c>
      <c r="AI29" s="101" t="str">
        <f t="shared" si="72"/>
        <v>-</v>
      </c>
      <c r="AJ29" s="101" t="str">
        <f t="shared" si="72"/>
        <v>-</v>
      </c>
      <c r="AK29" s="101" t="str">
        <f t="shared" si="72"/>
        <v>-</v>
      </c>
      <c r="AL29" s="101" t="str">
        <f t="shared" si="72"/>
        <v>-</v>
      </c>
      <c r="AM29" s="101" t="str">
        <f t="shared" si="72"/>
        <v>-</v>
      </c>
      <c r="AN29" s="101" t="str">
        <f t="shared" si="73"/>
        <v>-</v>
      </c>
      <c r="AO29" s="101" t="str">
        <f t="shared" si="73"/>
        <v>-</v>
      </c>
      <c r="AP29" s="101" t="str">
        <f t="shared" si="73"/>
        <v>-</v>
      </c>
      <c r="AQ29" s="101" t="str">
        <f t="shared" si="73"/>
        <v>-</v>
      </c>
      <c r="AR29" s="101" t="str">
        <f t="shared" si="73"/>
        <v>-</v>
      </c>
      <c r="AS29" s="101" t="str">
        <f t="shared" si="73"/>
        <v>-</v>
      </c>
      <c r="AT29" s="101" t="str">
        <f t="shared" si="73"/>
        <v>-</v>
      </c>
      <c r="AU29" s="101" t="str">
        <f t="shared" si="73"/>
        <v>-</v>
      </c>
      <c r="AV29" s="101">
        <f t="shared" si="73"/>
        <v>29</v>
      </c>
      <c r="AW29" s="101">
        <f t="shared" si="73"/>
        <v>29</v>
      </c>
      <c r="AX29" s="101">
        <f t="shared" si="74"/>
        <v>29</v>
      </c>
      <c r="AY29" s="101">
        <f t="shared" si="74"/>
        <v>29</v>
      </c>
      <c r="AZ29" s="101">
        <f t="shared" si="74"/>
        <v>29</v>
      </c>
      <c r="BA29" s="101">
        <f t="shared" si="74"/>
        <v>29</v>
      </c>
      <c r="BB29" s="101">
        <f t="shared" si="74"/>
        <v>29</v>
      </c>
      <c r="BC29" s="101">
        <f t="shared" si="74"/>
        <v>29</v>
      </c>
      <c r="BD29" s="101">
        <f t="shared" si="74"/>
        <v>29</v>
      </c>
      <c r="BE29" s="101">
        <f t="shared" si="74"/>
        <v>29</v>
      </c>
      <c r="BF29" s="101">
        <f t="shared" si="74"/>
        <v>29</v>
      </c>
      <c r="BG29" s="101" t="str">
        <f t="shared" si="74"/>
        <v>-</v>
      </c>
      <c r="BH29" s="101" t="str">
        <f t="shared" si="75"/>
        <v>-</v>
      </c>
      <c r="BI29" s="101" t="str">
        <f t="shared" si="75"/>
        <v>-</v>
      </c>
      <c r="BJ29" s="101" t="str">
        <f t="shared" si="75"/>
        <v>-</v>
      </c>
      <c r="BK29" s="101" t="str">
        <f t="shared" si="75"/>
        <v>-</v>
      </c>
      <c r="BL29" s="101" t="str">
        <f t="shared" si="75"/>
        <v>-</v>
      </c>
      <c r="BM29" s="101" t="str">
        <f t="shared" si="75"/>
        <v>-</v>
      </c>
      <c r="BN29" s="101" t="str">
        <f t="shared" si="75"/>
        <v>-</v>
      </c>
      <c r="BO29" s="101" t="str">
        <f t="shared" si="75"/>
        <v>-</v>
      </c>
      <c r="BP29" s="101" t="str">
        <f t="shared" si="75"/>
        <v>-</v>
      </c>
      <c r="BQ29" s="101" t="str">
        <f t="shared" si="75"/>
        <v>-</v>
      </c>
      <c r="BR29" s="101" t="str">
        <f t="shared" si="76"/>
        <v>-</v>
      </c>
      <c r="BS29" s="101" t="str">
        <f t="shared" si="76"/>
        <v>-</v>
      </c>
      <c r="BT29" s="101" t="str">
        <f t="shared" si="76"/>
        <v>-</v>
      </c>
      <c r="BU29" s="101" t="str">
        <f t="shared" si="76"/>
        <v>-</v>
      </c>
      <c r="BV29" s="101" t="str">
        <f t="shared" si="76"/>
        <v>-</v>
      </c>
      <c r="BW29" s="101" t="str">
        <f t="shared" si="76"/>
        <v>-</v>
      </c>
      <c r="BX29" s="101" t="str">
        <f t="shared" si="76"/>
        <v>-</v>
      </c>
      <c r="BY29" s="101" t="str">
        <f t="shared" si="76"/>
        <v>-</v>
      </c>
      <c r="BZ29" s="101" t="str">
        <f t="shared" si="76"/>
        <v>-</v>
      </c>
      <c r="CA29" s="101" t="str">
        <f t="shared" si="76"/>
        <v>-</v>
      </c>
      <c r="CB29" s="101" t="str">
        <f t="shared" si="77"/>
        <v>-</v>
      </c>
      <c r="CC29" s="101" t="str">
        <f t="shared" si="77"/>
        <v>-</v>
      </c>
      <c r="CD29" s="101" t="str">
        <f t="shared" si="77"/>
        <v>-</v>
      </c>
      <c r="CE29" s="101" t="str">
        <f t="shared" si="77"/>
        <v>-</v>
      </c>
      <c r="CF29" s="101" t="str">
        <f t="shared" si="77"/>
        <v>-</v>
      </c>
      <c r="CG29" s="101" t="str">
        <f t="shared" si="77"/>
        <v>-</v>
      </c>
      <c r="CH29" s="101" t="str">
        <f t="shared" si="77"/>
        <v>-</v>
      </c>
      <c r="CI29" s="101" t="str">
        <f t="shared" si="77"/>
        <v>-</v>
      </c>
      <c r="CJ29" s="101" t="str">
        <f t="shared" si="77"/>
        <v>-</v>
      </c>
      <c r="CK29" s="101" t="str">
        <f t="shared" si="77"/>
        <v>-</v>
      </c>
      <c r="CL29" s="101" t="str">
        <f t="shared" si="78"/>
        <v>-</v>
      </c>
      <c r="CM29" s="101" t="str">
        <f t="shared" si="78"/>
        <v>-</v>
      </c>
      <c r="CN29" s="101" t="str">
        <f t="shared" si="78"/>
        <v>-</v>
      </c>
      <c r="CO29" s="101" t="str">
        <f t="shared" si="78"/>
        <v>-</v>
      </c>
      <c r="CP29" s="101" t="str">
        <f t="shared" si="78"/>
        <v>-</v>
      </c>
      <c r="CQ29" s="101" t="str">
        <f t="shared" si="78"/>
        <v>-</v>
      </c>
      <c r="CR29" s="101" t="str">
        <f t="shared" si="78"/>
        <v>-</v>
      </c>
      <c r="CS29" s="101" t="str">
        <f t="shared" si="78"/>
        <v>-</v>
      </c>
      <c r="CT29" s="101" t="str">
        <f t="shared" si="78"/>
        <v>-</v>
      </c>
      <c r="CU29" s="101" t="str">
        <f t="shared" si="78"/>
        <v>-</v>
      </c>
      <c r="CV29" s="101" t="str">
        <f t="shared" si="79"/>
        <v>-</v>
      </c>
      <c r="CW29" s="101" t="str">
        <f t="shared" si="79"/>
        <v>-</v>
      </c>
      <c r="CX29" s="101" t="str">
        <f t="shared" si="79"/>
        <v>-</v>
      </c>
      <c r="CY29" s="101" t="str">
        <f t="shared" si="79"/>
        <v>-</v>
      </c>
      <c r="CZ29" s="101" t="str">
        <f t="shared" si="79"/>
        <v>-</v>
      </c>
      <c r="DA29" s="101" t="str">
        <f t="shared" si="79"/>
        <v>-</v>
      </c>
      <c r="DB29" s="101" t="str">
        <f t="shared" si="79"/>
        <v>-</v>
      </c>
      <c r="DC29" s="101" t="str">
        <f t="shared" si="79"/>
        <v>-</v>
      </c>
      <c r="DD29" s="101" t="str">
        <f t="shared" si="79"/>
        <v>-</v>
      </c>
      <c r="DE29" s="101" t="str">
        <f t="shared" si="79"/>
        <v>-</v>
      </c>
      <c r="DF29" s="101" t="str">
        <f t="shared" si="80"/>
        <v>-</v>
      </c>
      <c r="DG29" s="101" t="str">
        <f t="shared" si="80"/>
        <v>-</v>
      </c>
      <c r="DH29" s="101" t="str">
        <f t="shared" si="80"/>
        <v>-</v>
      </c>
      <c r="DI29" s="101" t="str">
        <f t="shared" si="80"/>
        <v>-</v>
      </c>
      <c r="DJ29" s="101" t="str">
        <f t="shared" si="80"/>
        <v>-</v>
      </c>
      <c r="DK29" s="101" t="str">
        <f t="shared" si="80"/>
        <v>-</v>
      </c>
      <c r="DL29" s="101" t="str">
        <f t="shared" si="80"/>
        <v>-</v>
      </c>
      <c r="DM29" s="101" t="str">
        <f t="shared" si="80"/>
        <v>-</v>
      </c>
      <c r="DN29" s="101" t="str">
        <f t="shared" si="80"/>
        <v>-</v>
      </c>
      <c r="DO29" s="101" t="str">
        <f t="shared" si="80"/>
        <v>-</v>
      </c>
      <c r="DP29" s="101" t="str">
        <f t="shared" si="81"/>
        <v>-</v>
      </c>
      <c r="DQ29" s="101" t="str">
        <f t="shared" si="81"/>
        <v>-</v>
      </c>
      <c r="DR29" s="101" t="str">
        <f t="shared" si="81"/>
        <v>-</v>
      </c>
      <c r="DS29" s="101" t="str">
        <f t="shared" si="81"/>
        <v>-</v>
      </c>
      <c r="DT29" s="101" t="str">
        <f t="shared" si="81"/>
        <v>-</v>
      </c>
      <c r="DU29" s="101" t="str">
        <f t="shared" si="81"/>
        <v>-</v>
      </c>
      <c r="DV29" s="101" t="str">
        <f t="shared" si="81"/>
        <v>-</v>
      </c>
      <c r="DW29" s="101" t="str">
        <f t="shared" si="81"/>
        <v>-</v>
      </c>
      <c r="DX29" s="101" t="str">
        <f t="shared" si="81"/>
        <v>-</v>
      </c>
      <c r="DY29" s="101" t="str">
        <f t="shared" si="81"/>
        <v>-</v>
      </c>
      <c r="DZ29" s="101" t="str">
        <f t="shared" si="82"/>
        <v>-</v>
      </c>
      <c r="EA29" s="101" t="str">
        <f t="shared" si="82"/>
        <v>-</v>
      </c>
      <c r="EB29" s="101" t="str">
        <f t="shared" si="82"/>
        <v>-</v>
      </c>
      <c r="EC29" s="101" t="str">
        <f t="shared" si="82"/>
        <v>-</v>
      </c>
      <c r="ED29" s="101" t="str">
        <f t="shared" si="82"/>
        <v>-</v>
      </c>
      <c r="EE29" s="101" t="str">
        <f t="shared" si="82"/>
        <v>-</v>
      </c>
      <c r="EF29" s="101" t="str">
        <f t="shared" si="82"/>
        <v>-</v>
      </c>
      <c r="EG29" s="101" t="str">
        <f t="shared" si="82"/>
        <v>-</v>
      </c>
      <c r="EH29" s="101" t="str">
        <f t="shared" si="82"/>
        <v>-</v>
      </c>
      <c r="EI29" s="101" t="str">
        <f t="shared" si="82"/>
        <v>-</v>
      </c>
      <c r="EJ29" s="101" t="str">
        <f t="shared" si="82"/>
        <v>-</v>
      </c>
      <c r="EK29" s="101" t="str">
        <f t="shared" si="82"/>
        <v>-</v>
      </c>
      <c r="EL29" s="101" t="str">
        <f t="shared" si="82"/>
        <v>-</v>
      </c>
    </row>
    <row r="30" spans="1:144" ht="14.25" thickBot="1">
      <c r="A30" s="127"/>
      <c r="B30" s="108"/>
      <c r="C30" s="108"/>
      <c r="D30" s="466"/>
      <c r="E30" s="109" t="s">
        <v>68</v>
      </c>
      <c r="F30" s="101">
        <f>SUM(L30:BT30)</f>
        <v>250</v>
      </c>
      <c r="G30" s="101">
        <v>30</v>
      </c>
      <c r="H30" s="101"/>
      <c r="I30" s="110">
        <f>B25-3</f>
        <v>46240</v>
      </c>
      <c r="J30" s="110"/>
      <c r="K30" s="110"/>
      <c r="L30" s="101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>
        <v>5</v>
      </c>
      <c r="AK30" s="102">
        <v>5</v>
      </c>
      <c r="AL30" s="102">
        <v>5</v>
      </c>
      <c r="AM30" s="102">
        <v>5</v>
      </c>
      <c r="AN30" s="102">
        <v>5</v>
      </c>
      <c r="AO30" s="102">
        <v>5</v>
      </c>
      <c r="AP30" s="102">
        <v>5</v>
      </c>
      <c r="AQ30" s="102">
        <v>5</v>
      </c>
      <c r="AR30" s="102">
        <v>5</v>
      </c>
      <c r="AS30" s="102">
        <v>5</v>
      </c>
      <c r="AT30" s="102">
        <v>5</v>
      </c>
      <c r="AU30" s="102">
        <v>5</v>
      </c>
      <c r="AV30" s="102">
        <v>5</v>
      </c>
      <c r="AW30" s="102">
        <v>5</v>
      </c>
      <c r="AX30" s="102">
        <v>5</v>
      </c>
      <c r="AY30" s="102">
        <v>5</v>
      </c>
      <c r="AZ30" s="102">
        <v>5</v>
      </c>
      <c r="BA30" s="102">
        <v>5</v>
      </c>
      <c r="BB30" s="102">
        <v>5</v>
      </c>
      <c r="BC30" s="102">
        <v>5</v>
      </c>
      <c r="BD30" s="102">
        <v>5</v>
      </c>
      <c r="BE30" s="102">
        <v>5</v>
      </c>
      <c r="BF30" s="102">
        <v>5</v>
      </c>
      <c r="BG30" s="102">
        <v>5</v>
      </c>
      <c r="BH30" s="101">
        <v>30</v>
      </c>
      <c r="BI30" s="101">
        <v>30</v>
      </c>
      <c r="BJ30" s="101">
        <v>30</v>
      </c>
      <c r="BK30" s="101">
        <v>30</v>
      </c>
      <c r="BL30" s="101">
        <v>5</v>
      </c>
      <c r="BM30" s="101">
        <v>5</v>
      </c>
      <c r="BN30" s="101"/>
      <c r="BO30" s="101"/>
      <c r="BP30" s="101"/>
      <c r="BQ30" s="101"/>
      <c r="BR30" s="101"/>
      <c r="BS30" s="109"/>
      <c r="BT30" s="109"/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  <c r="CG30" s="109"/>
      <c r="CH30" s="109"/>
      <c r="CI30" s="109"/>
      <c r="CJ30" s="109"/>
      <c r="CK30" s="109"/>
      <c r="CL30" s="109"/>
      <c r="CM30" s="109"/>
      <c r="CN30" s="109"/>
      <c r="CO30" s="109"/>
      <c r="CP30" s="109"/>
      <c r="CQ30" s="109"/>
      <c r="CR30" s="109"/>
      <c r="CS30" s="109"/>
      <c r="CT30" s="109"/>
      <c r="CU30" s="109"/>
      <c r="CV30" s="109"/>
      <c r="CW30" s="109"/>
      <c r="CX30" s="109"/>
      <c r="CY30" s="109"/>
      <c r="CZ30" s="109"/>
      <c r="DA30" s="109"/>
      <c r="DB30" s="109"/>
      <c r="DC30" s="109"/>
      <c r="DD30" s="109"/>
      <c r="DE30" s="109"/>
      <c r="DF30" s="109"/>
      <c r="DG30" s="109"/>
      <c r="DH30" s="109"/>
      <c r="DI30" s="109"/>
      <c r="DJ30" s="109"/>
      <c r="DK30" s="109"/>
      <c r="DL30" s="109"/>
      <c r="DM30" s="109"/>
      <c r="DN30" s="109"/>
      <c r="DO30" s="109"/>
      <c r="DP30" s="109"/>
      <c r="DQ30" s="109"/>
      <c r="DR30" s="109"/>
      <c r="DS30" s="109"/>
      <c r="DT30" s="109"/>
      <c r="DU30" s="109"/>
      <c r="DV30" s="109"/>
      <c r="DW30" s="109"/>
      <c r="DX30" s="109"/>
      <c r="DY30" s="109"/>
      <c r="DZ30" s="109"/>
      <c r="EA30" s="109"/>
      <c r="EB30" s="109"/>
      <c r="EC30" s="109"/>
      <c r="ED30" s="109"/>
      <c r="EE30" s="109"/>
      <c r="EF30" s="109"/>
      <c r="EG30" s="109"/>
      <c r="EH30" s="109"/>
      <c r="EI30" s="109"/>
      <c r="EJ30" s="109"/>
      <c r="EK30" s="109"/>
      <c r="EL30" s="109"/>
    </row>
    <row r="31" spans="1:144" s="122" customFormat="1">
      <c r="B31" s="156"/>
      <c r="E31" s="150"/>
      <c r="F31" s="150"/>
      <c r="G31" s="152"/>
      <c r="H31" s="152"/>
      <c r="I31" s="153" t="s">
        <v>69</v>
      </c>
      <c r="J31" s="153"/>
      <c r="K31" s="153"/>
      <c r="L31" s="154">
        <f t="shared" ref="L31:AQ31" si="83">SUM(L26:L30)</f>
        <v>0</v>
      </c>
      <c r="M31" s="154">
        <f t="shared" si="83"/>
        <v>0</v>
      </c>
      <c r="N31" s="154">
        <f t="shared" si="83"/>
        <v>0</v>
      </c>
      <c r="O31" s="154">
        <f t="shared" si="83"/>
        <v>0</v>
      </c>
      <c r="P31" s="154">
        <f t="shared" si="83"/>
        <v>0</v>
      </c>
      <c r="Q31" s="154">
        <f t="shared" si="83"/>
        <v>0</v>
      </c>
      <c r="R31" s="154">
        <f t="shared" si="83"/>
        <v>0</v>
      </c>
      <c r="S31" s="154">
        <f t="shared" si="83"/>
        <v>0</v>
      </c>
      <c r="T31" s="154">
        <f t="shared" si="83"/>
        <v>0</v>
      </c>
      <c r="U31" s="154">
        <f t="shared" si="83"/>
        <v>0</v>
      </c>
      <c r="V31" s="154">
        <f t="shared" si="83"/>
        <v>0</v>
      </c>
      <c r="W31" s="154">
        <f t="shared" si="83"/>
        <v>0</v>
      </c>
      <c r="X31" s="154">
        <f t="shared" si="83"/>
        <v>0</v>
      </c>
      <c r="Y31" s="154">
        <f t="shared" si="83"/>
        <v>0</v>
      </c>
      <c r="Z31" s="154">
        <f t="shared" si="83"/>
        <v>0</v>
      </c>
      <c r="AA31" s="154">
        <f t="shared" si="83"/>
        <v>0</v>
      </c>
      <c r="AB31" s="154">
        <f t="shared" si="83"/>
        <v>0</v>
      </c>
      <c r="AC31" s="154">
        <f t="shared" si="83"/>
        <v>0</v>
      </c>
      <c r="AD31" s="154">
        <f t="shared" si="83"/>
        <v>0</v>
      </c>
      <c r="AE31" s="154">
        <f t="shared" si="83"/>
        <v>0</v>
      </c>
      <c r="AF31" s="154">
        <f t="shared" si="83"/>
        <v>0</v>
      </c>
      <c r="AG31" s="154">
        <f t="shared" si="83"/>
        <v>0</v>
      </c>
      <c r="AH31" s="154">
        <f t="shared" si="83"/>
        <v>0</v>
      </c>
      <c r="AI31" s="154">
        <f t="shared" si="83"/>
        <v>0</v>
      </c>
      <c r="AJ31" s="154">
        <f t="shared" si="83"/>
        <v>5</v>
      </c>
      <c r="AK31" s="154">
        <f t="shared" si="83"/>
        <v>5</v>
      </c>
      <c r="AL31" s="154">
        <f t="shared" si="83"/>
        <v>5</v>
      </c>
      <c r="AM31" s="154">
        <f t="shared" si="83"/>
        <v>5</v>
      </c>
      <c r="AN31" s="154">
        <f t="shared" si="83"/>
        <v>5</v>
      </c>
      <c r="AO31" s="154">
        <f t="shared" si="83"/>
        <v>5</v>
      </c>
      <c r="AP31" s="154">
        <f t="shared" si="83"/>
        <v>5</v>
      </c>
      <c r="AQ31" s="154">
        <f t="shared" si="83"/>
        <v>5</v>
      </c>
      <c r="AR31" s="154">
        <f t="shared" ref="AR31:BW31" si="84">SUM(AR26:AR30)</f>
        <v>5</v>
      </c>
      <c r="AS31" s="154">
        <f t="shared" si="84"/>
        <v>5</v>
      </c>
      <c r="AT31" s="154">
        <f t="shared" si="84"/>
        <v>5</v>
      </c>
      <c r="AU31" s="154">
        <f t="shared" si="84"/>
        <v>5</v>
      </c>
      <c r="AV31" s="154">
        <f t="shared" si="84"/>
        <v>34</v>
      </c>
      <c r="AW31" s="154">
        <f t="shared" si="84"/>
        <v>34</v>
      </c>
      <c r="AX31" s="154">
        <f t="shared" si="84"/>
        <v>34</v>
      </c>
      <c r="AY31" s="154">
        <f t="shared" si="84"/>
        <v>34</v>
      </c>
      <c r="AZ31" s="154">
        <f t="shared" si="84"/>
        <v>312</v>
      </c>
      <c r="BA31" s="154">
        <f t="shared" si="84"/>
        <v>34</v>
      </c>
      <c r="BB31" s="154">
        <f t="shared" si="84"/>
        <v>2467</v>
      </c>
      <c r="BC31" s="154">
        <f t="shared" si="84"/>
        <v>34</v>
      </c>
      <c r="BD31" s="154">
        <f t="shared" si="84"/>
        <v>34</v>
      </c>
      <c r="BE31" s="154">
        <f t="shared" si="84"/>
        <v>34</v>
      </c>
      <c r="BF31" s="154">
        <f t="shared" si="84"/>
        <v>34</v>
      </c>
      <c r="BG31" s="154">
        <f t="shared" si="84"/>
        <v>5</v>
      </c>
      <c r="BH31" s="154">
        <f t="shared" si="84"/>
        <v>30</v>
      </c>
      <c r="BI31" s="154">
        <f t="shared" si="84"/>
        <v>30</v>
      </c>
      <c r="BJ31" s="154">
        <f t="shared" si="84"/>
        <v>30</v>
      </c>
      <c r="BK31" s="154">
        <f t="shared" si="84"/>
        <v>30</v>
      </c>
      <c r="BL31" s="154">
        <f t="shared" si="84"/>
        <v>5</v>
      </c>
      <c r="BM31" s="154">
        <f t="shared" si="84"/>
        <v>5</v>
      </c>
      <c r="BN31" s="154">
        <f t="shared" si="84"/>
        <v>0</v>
      </c>
      <c r="BO31" s="154">
        <f t="shared" si="84"/>
        <v>0</v>
      </c>
      <c r="BP31" s="154">
        <f t="shared" si="84"/>
        <v>0</v>
      </c>
      <c r="BQ31" s="154">
        <f t="shared" si="84"/>
        <v>0</v>
      </c>
      <c r="BR31" s="154">
        <f t="shared" si="84"/>
        <v>0</v>
      </c>
      <c r="BS31" s="154">
        <f t="shared" si="84"/>
        <v>0</v>
      </c>
      <c r="BT31" s="154">
        <f t="shared" si="84"/>
        <v>0</v>
      </c>
      <c r="BU31" s="154">
        <f t="shared" si="84"/>
        <v>0</v>
      </c>
      <c r="BV31" s="154">
        <f t="shared" si="84"/>
        <v>0</v>
      </c>
      <c r="BW31" s="154">
        <f t="shared" si="84"/>
        <v>0</v>
      </c>
      <c r="BX31" s="154">
        <f t="shared" ref="BX31:DC31" si="85">SUM(BX26:BX30)</f>
        <v>0</v>
      </c>
      <c r="BY31" s="154">
        <f t="shared" si="85"/>
        <v>0</v>
      </c>
      <c r="BZ31" s="154">
        <f t="shared" si="85"/>
        <v>0</v>
      </c>
      <c r="CA31" s="154">
        <f t="shared" si="85"/>
        <v>0</v>
      </c>
      <c r="CB31" s="154">
        <f t="shared" si="85"/>
        <v>0</v>
      </c>
      <c r="CC31" s="154">
        <f t="shared" si="85"/>
        <v>0</v>
      </c>
      <c r="CD31" s="154">
        <f t="shared" si="85"/>
        <v>0</v>
      </c>
      <c r="CE31" s="154">
        <f t="shared" si="85"/>
        <v>0</v>
      </c>
      <c r="CF31" s="154">
        <f t="shared" si="85"/>
        <v>0</v>
      </c>
      <c r="CG31" s="154">
        <f t="shared" si="85"/>
        <v>0</v>
      </c>
      <c r="CH31" s="154">
        <f t="shared" si="85"/>
        <v>0</v>
      </c>
      <c r="CI31" s="154">
        <f t="shared" si="85"/>
        <v>0</v>
      </c>
      <c r="CJ31" s="154">
        <f t="shared" si="85"/>
        <v>0</v>
      </c>
      <c r="CK31" s="154">
        <f t="shared" si="85"/>
        <v>0</v>
      </c>
      <c r="CL31" s="154">
        <f t="shared" si="85"/>
        <v>0</v>
      </c>
      <c r="CM31" s="154">
        <f t="shared" si="85"/>
        <v>0</v>
      </c>
      <c r="CN31" s="154">
        <f t="shared" si="85"/>
        <v>0</v>
      </c>
      <c r="CO31" s="154">
        <f t="shared" si="85"/>
        <v>0</v>
      </c>
      <c r="CP31" s="154">
        <f t="shared" si="85"/>
        <v>0</v>
      </c>
      <c r="CQ31" s="154">
        <f t="shared" si="85"/>
        <v>0</v>
      </c>
      <c r="CR31" s="154">
        <f t="shared" si="85"/>
        <v>0</v>
      </c>
      <c r="CS31" s="154">
        <f t="shared" si="85"/>
        <v>0</v>
      </c>
      <c r="CT31" s="154">
        <f t="shared" si="85"/>
        <v>0</v>
      </c>
      <c r="CU31" s="154">
        <f t="shared" si="85"/>
        <v>0</v>
      </c>
      <c r="CV31" s="154">
        <f t="shared" si="85"/>
        <v>0</v>
      </c>
      <c r="CW31" s="154">
        <f t="shared" si="85"/>
        <v>0</v>
      </c>
      <c r="CX31" s="154">
        <f t="shared" si="85"/>
        <v>0</v>
      </c>
      <c r="CY31" s="154">
        <f t="shared" si="85"/>
        <v>0</v>
      </c>
      <c r="CZ31" s="154">
        <f t="shared" si="85"/>
        <v>0</v>
      </c>
      <c r="DA31" s="154">
        <f t="shared" si="85"/>
        <v>0</v>
      </c>
      <c r="DB31" s="154">
        <f t="shared" si="85"/>
        <v>0</v>
      </c>
      <c r="DC31" s="154">
        <f t="shared" si="85"/>
        <v>0</v>
      </c>
      <c r="DD31" s="154">
        <f t="shared" ref="DD31:EI31" si="86">SUM(DD26:DD30)</f>
        <v>0</v>
      </c>
      <c r="DE31" s="154">
        <f t="shared" si="86"/>
        <v>0</v>
      </c>
      <c r="DF31" s="154">
        <f t="shared" si="86"/>
        <v>0</v>
      </c>
      <c r="DG31" s="154">
        <f t="shared" si="86"/>
        <v>0</v>
      </c>
      <c r="DH31" s="154">
        <f t="shared" si="86"/>
        <v>0</v>
      </c>
      <c r="DI31" s="154">
        <f t="shared" si="86"/>
        <v>0</v>
      </c>
      <c r="DJ31" s="154">
        <f t="shared" si="86"/>
        <v>0</v>
      </c>
      <c r="DK31" s="154">
        <f t="shared" si="86"/>
        <v>0</v>
      </c>
      <c r="DL31" s="154">
        <f t="shared" si="86"/>
        <v>0</v>
      </c>
      <c r="DM31" s="154">
        <f t="shared" si="86"/>
        <v>0</v>
      </c>
      <c r="DN31" s="154">
        <f t="shared" si="86"/>
        <v>0</v>
      </c>
      <c r="DO31" s="154">
        <f t="shared" si="86"/>
        <v>0</v>
      </c>
      <c r="DP31" s="154">
        <f t="shared" si="86"/>
        <v>0</v>
      </c>
      <c r="DQ31" s="154">
        <f t="shared" si="86"/>
        <v>0</v>
      </c>
      <c r="DR31" s="154">
        <f t="shared" si="86"/>
        <v>0</v>
      </c>
      <c r="DS31" s="154">
        <f t="shared" si="86"/>
        <v>0</v>
      </c>
      <c r="DT31" s="154">
        <f t="shared" si="86"/>
        <v>0</v>
      </c>
      <c r="DU31" s="154">
        <f t="shared" si="86"/>
        <v>0</v>
      </c>
      <c r="DV31" s="154">
        <f t="shared" si="86"/>
        <v>0</v>
      </c>
      <c r="DW31" s="154">
        <f t="shared" si="86"/>
        <v>0</v>
      </c>
      <c r="DX31" s="154">
        <f t="shared" si="86"/>
        <v>0</v>
      </c>
      <c r="DY31" s="154">
        <f t="shared" si="86"/>
        <v>0</v>
      </c>
      <c r="DZ31" s="154">
        <f t="shared" si="86"/>
        <v>0</v>
      </c>
      <c r="EA31" s="154">
        <f t="shared" si="86"/>
        <v>0</v>
      </c>
      <c r="EB31" s="154">
        <f t="shared" si="86"/>
        <v>0</v>
      </c>
      <c r="EC31" s="154">
        <f t="shared" si="86"/>
        <v>0</v>
      </c>
      <c r="ED31" s="154">
        <f t="shared" si="86"/>
        <v>0</v>
      </c>
      <c r="EE31" s="154">
        <f t="shared" si="86"/>
        <v>0</v>
      </c>
      <c r="EF31" s="154">
        <f t="shared" si="86"/>
        <v>0</v>
      </c>
      <c r="EG31" s="154">
        <f t="shared" si="86"/>
        <v>0</v>
      </c>
      <c r="EH31" s="154">
        <f t="shared" si="86"/>
        <v>0</v>
      </c>
      <c r="EI31" s="154">
        <f t="shared" si="86"/>
        <v>0</v>
      </c>
      <c r="EJ31" s="154">
        <f t="shared" ref="EJ31:EL31" si="87">SUM(EJ26:EJ30)</f>
        <v>0</v>
      </c>
      <c r="EK31" s="154">
        <f t="shared" si="87"/>
        <v>0</v>
      </c>
      <c r="EL31" s="154">
        <f t="shared" si="87"/>
        <v>0</v>
      </c>
      <c r="EM31" s="160">
        <f>AVERAGE(L31:BO31)</f>
        <v>58.571428571428569</v>
      </c>
      <c r="EN31" s="159">
        <f>MAX(L31:BO31)</f>
        <v>2467</v>
      </c>
    </row>
    <row r="33" spans="1:144">
      <c r="A33" s="466" t="s">
        <v>73</v>
      </c>
      <c r="B33" s="502" t="str">
        <f>'BESS 11'!F187</f>
        <v>28 Aug
14 Sep</v>
      </c>
      <c r="C33" s="502" t="str">
        <f>'BESS 11'!G187</f>
        <v>02 Sep
19 Sep</v>
      </c>
      <c r="D33" s="114"/>
      <c r="E33" s="114" t="s">
        <v>10</v>
      </c>
      <c r="F33" s="115" t="s">
        <v>58</v>
      </c>
      <c r="G33" s="115" t="s">
        <v>59</v>
      </c>
      <c r="H33" s="115"/>
      <c r="I33" s="115" t="s">
        <v>60</v>
      </c>
      <c r="J33" s="116">
        <v>46195</v>
      </c>
      <c r="K33" s="116">
        <v>46196</v>
      </c>
      <c r="L33" s="116">
        <v>46197</v>
      </c>
      <c r="M33" s="116">
        <f t="shared" ref="M33:AR33" si="88">L33+1</f>
        <v>46198</v>
      </c>
      <c r="N33" s="116">
        <f t="shared" si="88"/>
        <v>46199</v>
      </c>
      <c r="O33" s="116">
        <f t="shared" si="88"/>
        <v>46200</v>
      </c>
      <c r="P33" s="116">
        <f t="shared" si="88"/>
        <v>46201</v>
      </c>
      <c r="Q33" s="116">
        <f t="shared" si="88"/>
        <v>46202</v>
      </c>
      <c r="R33" s="116">
        <f t="shared" si="88"/>
        <v>46203</v>
      </c>
      <c r="S33" s="116">
        <f t="shared" si="88"/>
        <v>46204</v>
      </c>
      <c r="T33" s="116">
        <f t="shared" si="88"/>
        <v>46205</v>
      </c>
      <c r="U33" s="116">
        <f t="shared" si="88"/>
        <v>46206</v>
      </c>
      <c r="V33" s="116">
        <f t="shared" si="88"/>
        <v>46207</v>
      </c>
      <c r="W33" s="116">
        <f t="shared" si="88"/>
        <v>46208</v>
      </c>
      <c r="X33" s="116">
        <f t="shared" si="88"/>
        <v>46209</v>
      </c>
      <c r="Y33" s="116">
        <f t="shared" si="88"/>
        <v>46210</v>
      </c>
      <c r="Z33" s="116">
        <f t="shared" si="88"/>
        <v>46211</v>
      </c>
      <c r="AA33" s="116">
        <f t="shared" si="88"/>
        <v>46212</v>
      </c>
      <c r="AB33" s="116">
        <f t="shared" si="88"/>
        <v>46213</v>
      </c>
      <c r="AC33" s="116">
        <f t="shared" si="88"/>
        <v>46214</v>
      </c>
      <c r="AD33" s="116">
        <f t="shared" si="88"/>
        <v>46215</v>
      </c>
      <c r="AE33" s="116">
        <f t="shared" si="88"/>
        <v>46216</v>
      </c>
      <c r="AF33" s="116">
        <f t="shared" si="88"/>
        <v>46217</v>
      </c>
      <c r="AG33" s="116">
        <f t="shared" si="88"/>
        <v>46218</v>
      </c>
      <c r="AH33" s="116">
        <f t="shared" si="88"/>
        <v>46219</v>
      </c>
      <c r="AI33" s="116">
        <f t="shared" si="88"/>
        <v>46220</v>
      </c>
      <c r="AJ33" s="116">
        <f t="shared" si="88"/>
        <v>46221</v>
      </c>
      <c r="AK33" s="116">
        <f t="shared" si="88"/>
        <v>46222</v>
      </c>
      <c r="AL33" s="116">
        <f t="shared" si="88"/>
        <v>46223</v>
      </c>
      <c r="AM33" s="116">
        <f t="shared" si="88"/>
        <v>46224</v>
      </c>
      <c r="AN33" s="116">
        <f t="shared" si="88"/>
        <v>46225</v>
      </c>
      <c r="AO33" s="116">
        <f t="shared" si="88"/>
        <v>46226</v>
      </c>
      <c r="AP33" s="116">
        <f t="shared" si="88"/>
        <v>46227</v>
      </c>
      <c r="AQ33" s="116">
        <f t="shared" si="88"/>
        <v>46228</v>
      </c>
      <c r="AR33" s="116">
        <f t="shared" si="88"/>
        <v>46229</v>
      </c>
      <c r="AS33" s="116">
        <f t="shared" ref="AS33:BX33" si="89">AR33+1</f>
        <v>46230</v>
      </c>
      <c r="AT33" s="116">
        <f t="shared" si="89"/>
        <v>46231</v>
      </c>
      <c r="AU33" s="116">
        <f t="shared" si="89"/>
        <v>46232</v>
      </c>
      <c r="AV33" s="116">
        <f t="shared" si="89"/>
        <v>46233</v>
      </c>
      <c r="AW33" s="116">
        <f t="shared" si="89"/>
        <v>46234</v>
      </c>
      <c r="AX33" s="116">
        <f t="shared" si="89"/>
        <v>46235</v>
      </c>
      <c r="AY33" s="116">
        <f t="shared" si="89"/>
        <v>46236</v>
      </c>
      <c r="AZ33" s="116">
        <f t="shared" si="89"/>
        <v>46237</v>
      </c>
      <c r="BA33" s="116">
        <f t="shared" si="89"/>
        <v>46238</v>
      </c>
      <c r="BB33" s="116">
        <f t="shared" si="89"/>
        <v>46239</v>
      </c>
      <c r="BC33" s="116">
        <f t="shared" si="89"/>
        <v>46240</v>
      </c>
      <c r="BD33" s="116">
        <f t="shared" si="89"/>
        <v>46241</v>
      </c>
      <c r="BE33" s="116">
        <f t="shared" si="89"/>
        <v>46242</v>
      </c>
      <c r="BF33" s="116">
        <f t="shared" si="89"/>
        <v>46243</v>
      </c>
      <c r="BG33" s="116">
        <f t="shared" si="89"/>
        <v>46244</v>
      </c>
      <c r="BH33" s="116">
        <f t="shared" si="89"/>
        <v>46245</v>
      </c>
      <c r="BI33" s="116">
        <f t="shared" si="89"/>
        <v>46246</v>
      </c>
      <c r="BJ33" s="116">
        <f t="shared" si="89"/>
        <v>46247</v>
      </c>
      <c r="BK33" s="116">
        <f t="shared" si="89"/>
        <v>46248</v>
      </c>
      <c r="BL33" s="116">
        <f t="shared" si="89"/>
        <v>46249</v>
      </c>
      <c r="BM33" s="116">
        <f t="shared" si="89"/>
        <v>46250</v>
      </c>
      <c r="BN33" s="116">
        <f t="shared" si="89"/>
        <v>46251</v>
      </c>
      <c r="BO33" s="116">
        <f t="shared" si="89"/>
        <v>46252</v>
      </c>
      <c r="BP33" s="116">
        <f t="shared" si="89"/>
        <v>46253</v>
      </c>
      <c r="BQ33" s="116">
        <f t="shared" si="89"/>
        <v>46254</v>
      </c>
      <c r="BR33" s="116">
        <f t="shared" si="89"/>
        <v>46255</v>
      </c>
      <c r="BS33" s="116">
        <f t="shared" si="89"/>
        <v>46256</v>
      </c>
      <c r="BT33" s="116">
        <f t="shared" si="89"/>
        <v>46257</v>
      </c>
      <c r="BU33" s="116">
        <f t="shared" si="89"/>
        <v>46258</v>
      </c>
      <c r="BV33" s="116">
        <f t="shared" si="89"/>
        <v>46259</v>
      </c>
      <c r="BW33" s="116">
        <f t="shared" si="89"/>
        <v>46260</v>
      </c>
      <c r="BX33" s="116">
        <f t="shared" si="89"/>
        <v>46261</v>
      </c>
      <c r="BY33" s="116">
        <f t="shared" ref="BY33:DD33" si="90">BX33+1</f>
        <v>46262</v>
      </c>
      <c r="BZ33" s="116">
        <f t="shared" si="90"/>
        <v>46263</v>
      </c>
      <c r="CA33" s="116">
        <f t="shared" si="90"/>
        <v>46264</v>
      </c>
      <c r="CB33" s="116">
        <f t="shared" si="90"/>
        <v>46265</v>
      </c>
      <c r="CC33" s="116">
        <f t="shared" si="90"/>
        <v>46266</v>
      </c>
      <c r="CD33" s="116">
        <f t="shared" si="90"/>
        <v>46267</v>
      </c>
      <c r="CE33" s="116">
        <f t="shared" si="90"/>
        <v>46268</v>
      </c>
      <c r="CF33" s="116">
        <f t="shared" si="90"/>
        <v>46269</v>
      </c>
      <c r="CG33" s="116">
        <f t="shared" si="90"/>
        <v>46270</v>
      </c>
      <c r="CH33" s="116">
        <f t="shared" si="90"/>
        <v>46271</v>
      </c>
      <c r="CI33" s="116">
        <f t="shared" si="90"/>
        <v>46272</v>
      </c>
      <c r="CJ33" s="116">
        <f t="shared" si="90"/>
        <v>46273</v>
      </c>
      <c r="CK33" s="116">
        <f t="shared" si="90"/>
        <v>46274</v>
      </c>
      <c r="CL33" s="116">
        <f t="shared" si="90"/>
        <v>46275</v>
      </c>
      <c r="CM33" s="116">
        <f t="shared" si="90"/>
        <v>46276</v>
      </c>
      <c r="CN33" s="116">
        <f t="shared" si="90"/>
        <v>46277</v>
      </c>
      <c r="CO33" s="116">
        <f t="shared" si="90"/>
        <v>46278</v>
      </c>
      <c r="CP33" s="116">
        <f t="shared" si="90"/>
        <v>46279</v>
      </c>
      <c r="CQ33" s="116">
        <f t="shared" si="90"/>
        <v>46280</v>
      </c>
      <c r="CR33" s="116">
        <f t="shared" si="90"/>
        <v>46281</v>
      </c>
      <c r="CS33" s="116">
        <f t="shared" si="90"/>
        <v>46282</v>
      </c>
      <c r="CT33" s="116">
        <f t="shared" si="90"/>
        <v>46283</v>
      </c>
      <c r="CU33" s="116">
        <f t="shared" si="90"/>
        <v>46284</v>
      </c>
      <c r="CV33" s="116">
        <f t="shared" si="90"/>
        <v>46285</v>
      </c>
      <c r="CW33" s="116">
        <f t="shared" si="90"/>
        <v>46286</v>
      </c>
      <c r="CX33" s="116">
        <f t="shared" si="90"/>
        <v>46287</v>
      </c>
      <c r="CY33" s="116">
        <f t="shared" si="90"/>
        <v>46288</v>
      </c>
      <c r="CZ33" s="116">
        <f t="shared" si="90"/>
        <v>46289</v>
      </c>
      <c r="DA33" s="116">
        <f t="shared" si="90"/>
        <v>46290</v>
      </c>
      <c r="DB33" s="116">
        <f t="shared" si="90"/>
        <v>46291</v>
      </c>
      <c r="DC33" s="116">
        <f t="shared" si="90"/>
        <v>46292</v>
      </c>
      <c r="DD33" s="116">
        <f t="shared" si="90"/>
        <v>46293</v>
      </c>
      <c r="DE33" s="116">
        <f t="shared" ref="DE33:EL33" si="91">DD33+1</f>
        <v>46294</v>
      </c>
      <c r="DF33" s="116">
        <f t="shared" si="91"/>
        <v>46295</v>
      </c>
      <c r="DG33" s="116">
        <f t="shared" si="91"/>
        <v>46296</v>
      </c>
      <c r="DH33" s="116">
        <f t="shared" si="91"/>
        <v>46297</v>
      </c>
      <c r="DI33" s="116">
        <f t="shared" si="91"/>
        <v>46298</v>
      </c>
      <c r="DJ33" s="116">
        <f t="shared" si="91"/>
        <v>46299</v>
      </c>
      <c r="DK33" s="116">
        <f t="shared" si="91"/>
        <v>46300</v>
      </c>
      <c r="DL33" s="116">
        <f t="shared" si="91"/>
        <v>46301</v>
      </c>
      <c r="DM33" s="116">
        <f t="shared" si="91"/>
        <v>46302</v>
      </c>
      <c r="DN33" s="116">
        <f t="shared" si="91"/>
        <v>46303</v>
      </c>
      <c r="DO33" s="116">
        <f t="shared" si="91"/>
        <v>46304</v>
      </c>
      <c r="DP33" s="116">
        <f t="shared" si="91"/>
        <v>46305</v>
      </c>
      <c r="DQ33" s="116">
        <f t="shared" si="91"/>
        <v>46306</v>
      </c>
      <c r="DR33" s="116">
        <f t="shared" si="91"/>
        <v>46307</v>
      </c>
      <c r="DS33" s="116">
        <f t="shared" si="91"/>
        <v>46308</v>
      </c>
      <c r="DT33" s="116">
        <f t="shared" si="91"/>
        <v>46309</v>
      </c>
      <c r="DU33" s="116">
        <f t="shared" si="91"/>
        <v>46310</v>
      </c>
      <c r="DV33" s="116">
        <f t="shared" si="91"/>
        <v>46311</v>
      </c>
      <c r="DW33" s="116">
        <f t="shared" si="91"/>
        <v>46312</v>
      </c>
      <c r="DX33" s="116">
        <f t="shared" si="91"/>
        <v>46313</v>
      </c>
      <c r="DY33" s="116">
        <f t="shared" si="91"/>
        <v>46314</v>
      </c>
      <c r="DZ33" s="116">
        <f t="shared" si="91"/>
        <v>46315</v>
      </c>
      <c r="EA33" s="116">
        <f t="shared" si="91"/>
        <v>46316</v>
      </c>
      <c r="EB33" s="116">
        <f t="shared" si="91"/>
        <v>46317</v>
      </c>
      <c r="EC33" s="116">
        <f t="shared" si="91"/>
        <v>46318</v>
      </c>
      <c r="ED33" s="116">
        <f t="shared" si="91"/>
        <v>46319</v>
      </c>
      <c r="EE33" s="116">
        <f t="shared" si="91"/>
        <v>46320</v>
      </c>
      <c r="EF33" s="116">
        <f t="shared" si="91"/>
        <v>46321</v>
      </c>
      <c r="EG33" s="116">
        <f t="shared" si="91"/>
        <v>46322</v>
      </c>
      <c r="EH33" s="116">
        <f t="shared" si="91"/>
        <v>46323</v>
      </c>
      <c r="EI33" s="116">
        <f t="shared" si="91"/>
        <v>46324</v>
      </c>
      <c r="EJ33" s="116">
        <f t="shared" si="91"/>
        <v>46325</v>
      </c>
      <c r="EK33" s="116">
        <f t="shared" si="91"/>
        <v>46326</v>
      </c>
      <c r="EL33" s="116">
        <f t="shared" si="91"/>
        <v>46327</v>
      </c>
    </row>
    <row r="34" spans="1:144">
      <c r="A34" s="466"/>
      <c r="B34" s="502"/>
      <c r="C34" s="502"/>
      <c r="D34" s="467" t="str">
        <f>'BESS 11'!H187</f>
        <v>05 Sep
22 Sep</v>
      </c>
      <c r="E34" s="109" t="s">
        <v>64</v>
      </c>
      <c r="F34" s="102">
        <f>SUM('BESS 11'!S200:S207,'BESS 11'!S209)</f>
        <v>47.2</v>
      </c>
      <c r="G34" s="101">
        <f>MAX('BESS 11'!O200:O207,'BESS 11'!O209)-MIN('BESS 11'!O200:O207,'BESS 11'!O209)+1</f>
        <v>36</v>
      </c>
      <c r="H34" s="101"/>
      <c r="I34" s="110">
        <f>MIN('BESS 11'!O200:O207,'BESS 11'!O209)</f>
        <v>46228</v>
      </c>
      <c r="J34" s="101" t="str">
        <f t="shared" ref="J34:S37" si="92">IF(AND(J$1&gt;=$I34,J$1&lt;($I34+$G34)),ROUND($F34/$G34,0),"-")</f>
        <v>-</v>
      </c>
      <c r="K34" s="101" t="str">
        <f t="shared" si="92"/>
        <v>-</v>
      </c>
      <c r="L34" s="101" t="str">
        <f t="shared" si="92"/>
        <v>-</v>
      </c>
      <c r="M34" s="101" t="str">
        <f t="shared" si="92"/>
        <v>-</v>
      </c>
      <c r="N34" s="101" t="str">
        <f t="shared" si="92"/>
        <v>-</v>
      </c>
      <c r="O34" s="101" t="str">
        <f t="shared" si="92"/>
        <v>-</v>
      </c>
      <c r="P34" s="101" t="str">
        <f t="shared" si="92"/>
        <v>-</v>
      </c>
      <c r="Q34" s="101" t="str">
        <f t="shared" si="92"/>
        <v>-</v>
      </c>
      <c r="R34" s="101" t="str">
        <f t="shared" si="92"/>
        <v>-</v>
      </c>
      <c r="S34" s="101" t="str">
        <f t="shared" si="92"/>
        <v>-</v>
      </c>
      <c r="T34" s="101" t="str">
        <f t="shared" ref="T34:AC37" si="93">IF(AND(T$1&gt;=$I34,T$1&lt;($I34+$G34)),ROUND($F34/$G34,0),"-")</f>
        <v>-</v>
      </c>
      <c r="U34" s="101" t="str">
        <f t="shared" si="93"/>
        <v>-</v>
      </c>
      <c r="V34" s="101" t="str">
        <f t="shared" si="93"/>
        <v>-</v>
      </c>
      <c r="W34" s="101" t="str">
        <f t="shared" si="93"/>
        <v>-</v>
      </c>
      <c r="X34" s="101" t="str">
        <f t="shared" si="93"/>
        <v>-</v>
      </c>
      <c r="Y34" s="101" t="str">
        <f t="shared" si="93"/>
        <v>-</v>
      </c>
      <c r="Z34" s="101" t="str">
        <f t="shared" si="93"/>
        <v>-</v>
      </c>
      <c r="AA34" s="101" t="str">
        <f t="shared" si="93"/>
        <v>-</v>
      </c>
      <c r="AB34" s="101" t="str">
        <f t="shared" si="93"/>
        <v>-</v>
      </c>
      <c r="AC34" s="101" t="str">
        <f t="shared" si="93"/>
        <v>-</v>
      </c>
      <c r="AD34" s="101" t="str">
        <f t="shared" ref="AD34:AM37" si="94">IF(AND(AD$1&gt;=$I34,AD$1&lt;($I34+$G34)),ROUND($F34/$G34,0),"-")</f>
        <v>-</v>
      </c>
      <c r="AE34" s="101" t="str">
        <f t="shared" si="94"/>
        <v>-</v>
      </c>
      <c r="AF34" s="101" t="str">
        <f t="shared" si="94"/>
        <v>-</v>
      </c>
      <c r="AG34" s="101" t="str">
        <f t="shared" si="94"/>
        <v>-</v>
      </c>
      <c r="AH34" s="101" t="str">
        <f t="shared" si="94"/>
        <v>-</v>
      </c>
      <c r="AI34" s="101" t="str">
        <f t="shared" si="94"/>
        <v>-</v>
      </c>
      <c r="AJ34" s="101" t="str">
        <f t="shared" si="94"/>
        <v>-</v>
      </c>
      <c r="AK34" s="101" t="str">
        <f t="shared" si="94"/>
        <v>-</v>
      </c>
      <c r="AL34" s="101" t="str">
        <f t="shared" si="94"/>
        <v>-</v>
      </c>
      <c r="AM34" s="101" t="str">
        <f t="shared" si="94"/>
        <v>-</v>
      </c>
      <c r="AN34" s="101" t="str">
        <f t="shared" ref="AN34:AW37" si="95">IF(AND(AN$1&gt;=$I34,AN$1&lt;($I34+$G34)),ROUND($F34/$G34,0),"-")</f>
        <v>-</v>
      </c>
      <c r="AO34" s="101" t="str">
        <f t="shared" si="95"/>
        <v>-</v>
      </c>
      <c r="AP34" s="101" t="str">
        <f t="shared" si="95"/>
        <v>-</v>
      </c>
      <c r="AQ34" s="101">
        <f t="shared" si="95"/>
        <v>1</v>
      </c>
      <c r="AR34" s="101">
        <f t="shared" si="95"/>
        <v>1</v>
      </c>
      <c r="AS34" s="101">
        <f t="shared" si="95"/>
        <v>1</v>
      </c>
      <c r="AT34" s="101">
        <f t="shared" si="95"/>
        <v>1</v>
      </c>
      <c r="AU34" s="101">
        <f t="shared" si="95"/>
        <v>1</v>
      </c>
      <c r="AV34" s="101">
        <f t="shared" si="95"/>
        <v>1</v>
      </c>
      <c r="AW34" s="101">
        <f t="shared" si="95"/>
        <v>1</v>
      </c>
      <c r="AX34" s="101">
        <f t="shared" ref="AX34:BG37" si="96">IF(AND(AX$1&gt;=$I34,AX$1&lt;($I34+$G34)),ROUND($F34/$G34,0),"-")</f>
        <v>1</v>
      </c>
      <c r="AY34" s="101">
        <f t="shared" si="96"/>
        <v>1</v>
      </c>
      <c r="AZ34" s="101">
        <f t="shared" si="96"/>
        <v>1</v>
      </c>
      <c r="BA34" s="101">
        <f t="shared" si="96"/>
        <v>1</v>
      </c>
      <c r="BB34" s="101">
        <f t="shared" si="96"/>
        <v>1</v>
      </c>
      <c r="BC34" s="101">
        <f t="shared" si="96"/>
        <v>1</v>
      </c>
      <c r="BD34" s="101">
        <f t="shared" si="96"/>
        <v>1</v>
      </c>
      <c r="BE34" s="101">
        <f t="shared" si="96"/>
        <v>1</v>
      </c>
      <c r="BF34" s="101">
        <f t="shared" si="96"/>
        <v>1</v>
      </c>
      <c r="BG34" s="101">
        <f t="shared" si="96"/>
        <v>1</v>
      </c>
      <c r="BH34" s="101">
        <f t="shared" ref="BH34:BQ37" si="97">IF(AND(BH$1&gt;=$I34,BH$1&lt;($I34+$G34)),ROUND($F34/$G34,0),"-")</f>
        <v>1</v>
      </c>
      <c r="BI34" s="101">
        <f t="shared" si="97"/>
        <v>1</v>
      </c>
      <c r="BJ34" s="101">
        <f t="shared" si="97"/>
        <v>1</v>
      </c>
      <c r="BK34" s="101">
        <f t="shared" si="97"/>
        <v>1</v>
      </c>
      <c r="BL34" s="101">
        <f t="shared" si="97"/>
        <v>1</v>
      </c>
      <c r="BM34" s="101">
        <f t="shared" si="97"/>
        <v>1</v>
      </c>
      <c r="BN34" s="101">
        <f t="shared" si="97"/>
        <v>1</v>
      </c>
      <c r="BO34" s="101">
        <f t="shared" si="97"/>
        <v>1</v>
      </c>
      <c r="BP34" s="101">
        <f t="shared" si="97"/>
        <v>1</v>
      </c>
      <c r="BQ34" s="101">
        <f t="shared" si="97"/>
        <v>1</v>
      </c>
      <c r="BR34" s="101">
        <f t="shared" ref="BR34:CA37" si="98">IF(AND(BR$1&gt;=$I34,BR$1&lt;($I34+$G34)),ROUND($F34/$G34,0),"-")</f>
        <v>1</v>
      </c>
      <c r="BS34" s="101">
        <f t="shared" si="98"/>
        <v>1</v>
      </c>
      <c r="BT34" s="101">
        <f t="shared" si="98"/>
        <v>1</v>
      </c>
      <c r="BU34" s="101">
        <f t="shared" si="98"/>
        <v>1</v>
      </c>
      <c r="BV34" s="101">
        <f t="shared" si="98"/>
        <v>1</v>
      </c>
      <c r="BW34" s="101">
        <f t="shared" si="98"/>
        <v>1</v>
      </c>
      <c r="BX34" s="101">
        <f t="shared" si="98"/>
        <v>1</v>
      </c>
      <c r="BY34" s="101">
        <f t="shared" si="98"/>
        <v>1</v>
      </c>
      <c r="BZ34" s="101">
        <f t="shared" si="98"/>
        <v>1</v>
      </c>
      <c r="CA34" s="101" t="str">
        <f t="shared" si="98"/>
        <v>-</v>
      </c>
      <c r="CB34" s="101" t="str">
        <f t="shared" ref="CB34:CK37" si="99">IF(AND(CB$1&gt;=$I34,CB$1&lt;($I34+$G34)),ROUND($F34/$G34,0),"-")</f>
        <v>-</v>
      </c>
      <c r="CC34" s="101" t="str">
        <f t="shared" si="99"/>
        <v>-</v>
      </c>
      <c r="CD34" s="101" t="str">
        <f t="shared" si="99"/>
        <v>-</v>
      </c>
      <c r="CE34" s="101" t="str">
        <f t="shared" si="99"/>
        <v>-</v>
      </c>
      <c r="CF34" s="101" t="str">
        <f t="shared" si="99"/>
        <v>-</v>
      </c>
      <c r="CG34" s="101" t="str">
        <f t="shared" si="99"/>
        <v>-</v>
      </c>
      <c r="CH34" s="101" t="str">
        <f t="shared" si="99"/>
        <v>-</v>
      </c>
      <c r="CI34" s="101" t="str">
        <f t="shared" si="99"/>
        <v>-</v>
      </c>
      <c r="CJ34" s="101" t="str">
        <f t="shared" si="99"/>
        <v>-</v>
      </c>
      <c r="CK34" s="101" t="str">
        <f t="shared" si="99"/>
        <v>-</v>
      </c>
      <c r="CL34" s="101" t="str">
        <f t="shared" ref="CL34:CU37" si="100">IF(AND(CL$1&gt;=$I34,CL$1&lt;($I34+$G34)),ROUND($F34/$G34,0),"-")</f>
        <v>-</v>
      </c>
      <c r="CM34" s="101" t="str">
        <f t="shared" si="100"/>
        <v>-</v>
      </c>
      <c r="CN34" s="101" t="str">
        <f t="shared" si="100"/>
        <v>-</v>
      </c>
      <c r="CO34" s="101" t="str">
        <f t="shared" si="100"/>
        <v>-</v>
      </c>
      <c r="CP34" s="101" t="str">
        <f t="shared" si="100"/>
        <v>-</v>
      </c>
      <c r="CQ34" s="101" t="str">
        <f t="shared" si="100"/>
        <v>-</v>
      </c>
      <c r="CR34" s="101" t="str">
        <f t="shared" si="100"/>
        <v>-</v>
      </c>
      <c r="CS34" s="101" t="str">
        <f t="shared" si="100"/>
        <v>-</v>
      </c>
      <c r="CT34" s="101" t="str">
        <f t="shared" si="100"/>
        <v>-</v>
      </c>
      <c r="CU34" s="101" t="str">
        <f t="shared" si="100"/>
        <v>-</v>
      </c>
      <c r="CV34" s="101" t="str">
        <f t="shared" ref="CV34:DE37" si="101">IF(AND(CV$1&gt;=$I34,CV$1&lt;($I34+$G34)),ROUND($F34/$G34,0),"-")</f>
        <v>-</v>
      </c>
      <c r="CW34" s="101" t="str">
        <f t="shared" si="101"/>
        <v>-</v>
      </c>
      <c r="CX34" s="101" t="str">
        <f t="shared" si="101"/>
        <v>-</v>
      </c>
      <c r="CY34" s="101" t="str">
        <f t="shared" si="101"/>
        <v>-</v>
      </c>
      <c r="CZ34" s="101" t="str">
        <f t="shared" si="101"/>
        <v>-</v>
      </c>
      <c r="DA34" s="101" t="str">
        <f t="shared" si="101"/>
        <v>-</v>
      </c>
      <c r="DB34" s="101" t="str">
        <f t="shared" si="101"/>
        <v>-</v>
      </c>
      <c r="DC34" s="101" t="str">
        <f t="shared" si="101"/>
        <v>-</v>
      </c>
      <c r="DD34" s="101" t="str">
        <f t="shared" si="101"/>
        <v>-</v>
      </c>
      <c r="DE34" s="101" t="str">
        <f t="shared" si="101"/>
        <v>-</v>
      </c>
      <c r="DF34" s="101" t="str">
        <f t="shared" ref="DF34:DO37" si="102">IF(AND(DF$1&gt;=$I34,DF$1&lt;($I34+$G34)),ROUND($F34/$G34,0),"-")</f>
        <v>-</v>
      </c>
      <c r="DG34" s="101" t="str">
        <f t="shared" si="102"/>
        <v>-</v>
      </c>
      <c r="DH34" s="101" t="str">
        <f t="shared" si="102"/>
        <v>-</v>
      </c>
      <c r="DI34" s="101" t="str">
        <f t="shared" si="102"/>
        <v>-</v>
      </c>
      <c r="DJ34" s="101" t="str">
        <f t="shared" si="102"/>
        <v>-</v>
      </c>
      <c r="DK34" s="101" t="str">
        <f t="shared" si="102"/>
        <v>-</v>
      </c>
      <c r="DL34" s="101" t="str">
        <f t="shared" si="102"/>
        <v>-</v>
      </c>
      <c r="DM34" s="101" t="str">
        <f t="shared" si="102"/>
        <v>-</v>
      </c>
      <c r="DN34" s="101" t="str">
        <f t="shared" si="102"/>
        <v>-</v>
      </c>
      <c r="DO34" s="101" t="str">
        <f t="shared" si="102"/>
        <v>-</v>
      </c>
      <c r="DP34" s="101" t="str">
        <f t="shared" ref="DP34:DY37" si="103">IF(AND(DP$1&gt;=$I34,DP$1&lt;($I34+$G34)),ROUND($F34/$G34,0),"-")</f>
        <v>-</v>
      </c>
      <c r="DQ34" s="101" t="str">
        <f t="shared" si="103"/>
        <v>-</v>
      </c>
      <c r="DR34" s="101" t="str">
        <f t="shared" si="103"/>
        <v>-</v>
      </c>
      <c r="DS34" s="101" t="str">
        <f t="shared" si="103"/>
        <v>-</v>
      </c>
      <c r="DT34" s="101" t="str">
        <f t="shared" si="103"/>
        <v>-</v>
      </c>
      <c r="DU34" s="101" t="str">
        <f t="shared" si="103"/>
        <v>-</v>
      </c>
      <c r="DV34" s="101" t="str">
        <f t="shared" si="103"/>
        <v>-</v>
      </c>
      <c r="DW34" s="101" t="str">
        <f t="shared" si="103"/>
        <v>-</v>
      </c>
      <c r="DX34" s="101" t="str">
        <f t="shared" si="103"/>
        <v>-</v>
      </c>
      <c r="DY34" s="101" t="str">
        <f t="shared" si="103"/>
        <v>-</v>
      </c>
      <c r="DZ34" s="101" t="str">
        <f t="shared" ref="DZ34:EL37" si="104">IF(AND(DZ$1&gt;=$I34,DZ$1&lt;($I34+$G34)),ROUND($F34/$G34,0),"-")</f>
        <v>-</v>
      </c>
      <c r="EA34" s="101" t="str">
        <f t="shared" si="104"/>
        <v>-</v>
      </c>
      <c r="EB34" s="101" t="str">
        <f t="shared" si="104"/>
        <v>-</v>
      </c>
      <c r="EC34" s="101" t="str">
        <f t="shared" si="104"/>
        <v>-</v>
      </c>
      <c r="ED34" s="101" t="str">
        <f t="shared" si="104"/>
        <v>-</v>
      </c>
      <c r="EE34" s="101" t="str">
        <f t="shared" si="104"/>
        <v>-</v>
      </c>
      <c r="EF34" s="101" t="str">
        <f t="shared" si="104"/>
        <v>-</v>
      </c>
      <c r="EG34" s="101" t="str">
        <f t="shared" si="104"/>
        <v>-</v>
      </c>
      <c r="EH34" s="101" t="str">
        <f t="shared" si="104"/>
        <v>-</v>
      </c>
      <c r="EI34" s="101" t="str">
        <f t="shared" si="104"/>
        <v>-</v>
      </c>
      <c r="EJ34" s="101" t="str">
        <f t="shared" si="104"/>
        <v>-</v>
      </c>
      <c r="EK34" s="101" t="str">
        <f t="shared" si="104"/>
        <v>-</v>
      </c>
      <c r="EL34" s="101" t="str">
        <f t="shared" si="104"/>
        <v>-</v>
      </c>
    </row>
    <row r="35" spans="1:144">
      <c r="A35" s="466"/>
      <c r="B35" s="502"/>
      <c r="C35" s="502"/>
      <c r="D35" s="466"/>
      <c r="E35" s="109" t="s">
        <v>65</v>
      </c>
      <c r="F35" s="102">
        <f>SUM('BESS 11'!S210,'BESS 11'!S212:S213,'BESS 11'!S216:S218)</f>
        <v>1513.2779999999998</v>
      </c>
      <c r="G35" s="101">
        <f>MAX('BESS 11'!O210,'BESS 11'!O212:O213,'BESS 11'!O216:O218)-MIN('BESS 11'!O210,'BESS 11'!O212:O213,'BESS 11'!O216:O218)+1</f>
        <v>10</v>
      </c>
      <c r="H35" s="101"/>
      <c r="I35" s="110">
        <f>MIN('BESS 11'!O210,'BESS 11'!O212:O213,'BESS 11'!O216:O218)</f>
        <v>46235</v>
      </c>
      <c r="J35" s="101" t="str">
        <f t="shared" si="92"/>
        <v>-</v>
      </c>
      <c r="K35" s="101" t="str">
        <f t="shared" si="92"/>
        <v>-</v>
      </c>
      <c r="L35" s="101" t="str">
        <f t="shared" si="92"/>
        <v>-</v>
      </c>
      <c r="M35" s="101" t="str">
        <f t="shared" si="92"/>
        <v>-</v>
      </c>
      <c r="N35" s="101" t="str">
        <f t="shared" si="92"/>
        <v>-</v>
      </c>
      <c r="O35" s="101" t="str">
        <f t="shared" si="92"/>
        <v>-</v>
      </c>
      <c r="P35" s="101" t="str">
        <f t="shared" si="92"/>
        <v>-</v>
      </c>
      <c r="Q35" s="101" t="str">
        <f t="shared" si="92"/>
        <v>-</v>
      </c>
      <c r="R35" s="101" t="str">
        <f t="shared" si="92"/>
        <v>-</v>
      </c>
      <c r="S35" s="101" t="str">
        <f t="shared" si="92"/>
        <v>-</v>
      </c>
      <c r="T35" s="101" t="str">
        <f t="shared" si="93"/>
        <v>-</v>
      </c>
      <c r="U35" s="101" t="str">
        <f t="shared" si="93"/>
        <v>-</v>
      </c>
      <c r="V35" s="101" t="str">
        <f t="shared" si="93"/>
        <v>-</v>
      </c>
      <c r="W35" s="101" t="str">
        <f t="shared" si="93"/>
        <v>-</v>
      </c>
      <c r="X35" s="101" t="str">
        <f t="shared" si="93"/>
        <v>-</v>
      </c>
      <c r="Y35" s="101" t="str">
        <f t="shared" si="93"/>
        <v>-</v>
      </c>
      <c r="Z35" s="101" t="str">
        <f t="shared" si="93"/>
        <v>-</v>
      </c>
      <c r="AA35" s="101" t="str">
        <f t="shared" si="93"/>
        <v>-</v>
      </c>
      <c r="AB35" s="101" t="str">
        <f t="shared" si="93"/>
        <v>-</v>
      </c>
      <c r="AC35" s="101" t="str">
        <f t="shared" si="93"/>
        <v>-</v>
      </c>
      <c r="AD35" s="101" t="str">
        <f t="shared" si="94"/>
        <v>-</v>
      </c>
      <c r="AE35" s="101" t="str">
        <f t="shared" si="94"/>
        <v>-</v>
      </c>
      <c r="AF35" s="101" t="str">
        <f t="shared" si="94"/>
        <v>-</v>
      </c>
      <c r="AG35" s="101" t="str">
        <f t="shared" si="94"/>
        <v>-</v>
      </c>
      <c r="AH35" s="101" t="str">
        <f t="shared" si="94"/>
        <v>-</v>
      </c>
      <c r="AI35" s="101" t="str">
        <f t="shared" si="94"/>
        <v>-</v>
      </c>
      <c r="AJ35" s="101" t="str">
        <f t="shared" si="94"/>
        <v>-</v>
      </c>
      <c r="AK35" s="101" t="str">
        <f t="shared" si="94"/>
        <v>-</v>
      </c>
      <c r="AL35" s="101" t="str">
        <f t="shared" si="94"/>
        <v>-</v>
      </c>
      <c r="AM35" s="101" t="str">
        <f t="shared" si="94"/>
        <v>-</v>
      </c>
      <c r="AN35" s="101" t="str">
        <f t="shared" si="95"/>
        <v>-</v>
      </c>
      <c r="AO35" s="101" t="str">
        <f t="shared" si="95"/>
        <v>-</v>
      </c>
      <c r="AP35" s="101" t="str">
        <f t="shared" si="95"/>
        <v>-</v>
      </c>
      <c r="AQ35" s="101" t="str">
        <f t="shared" si="95"/>
        <v>-</v>
      </c>
      <c r="AR35" s="101" t="str">
        <f t="shared" si="95"/>
        <v>-</v>
      </c>
      <c r="AS35" s="101" t="str">
        <f t="shared" si="95"/>
        <v>-</v>
      </c>
      <c r="AT35" s="101" t="str">
        <f t="shared" si="95"/>
        <v>-</v>
      </c>
      <c r="AU35" s="101" t="str">
        <f t="shared" si="95"/>
        <v>-</v>
      </c>
      <c r="AV35" s="101" t="str">
        <f t="shared" si="95"/>
        <v>-</v>
      </c>
      <c r="AW35" s="101" t="str">
        <f t="shared" si="95"/>
        <v>-</v>
      </c>
      <c r="AX35" s="101">
        <f t="shared" si="96"/>
        <v>151</v>
      </c>
      <c r="AY35" s="101">
        <f t="shared" si="96"/>
        <v>151</v>
      </c>
      <c r="AZ35" s="101">
        <f t="shared" si="96"/>
        <v>151</v>
      </c>
      <c r="BA35" s="101">
        <f t="shared" si="96"/>
        <v>151</v>
      </c>
      <c r="BB35" s="101">
        <f t="shared" si="96"/>
        <v>151</v>
      </c>
      <c r="BC35" s="101">
        <f t="shared" si="96"/>
        <v>151</v>
      </c>
      <c r="BD35" s="101">
        <f t="shared" si="96"/>
        <v>151</v>
      </c>
      <c r="BE35" s="101">
        <f t="shared" si="96"/>
        <v>151</v>
      </c>
      <c r="BF35" s="101">
        <f t="shared" si="96"/>
        <v>151</v>
      </c>
      <c r="BG35" s="101">
        <f t="shared" si="96"/>
        <v>151</v>
      </c>
      <c r="BH35" s="101" t="str">
        <f t="shared" si="97"/>
        <v>-</v>
      </c>
      <c r="BI35" s="101" t="str">
        <f t="shared" si="97"/>
        <v>-</v>
      </c>
      <c r="BJ35" s="101" t="str">
        <f t="shared" si="97"/>
        <v>-</v>
      </c>
      <c r="BK35" s="101" t="str">
        <f t="shared" si="97"/>
        <v>-</v>
      </c>
      <c r="BL35" s="101" t="str">
        <f t="shared" si="97"/>
        <v>-</v>
      </c>
      <c r="BM35" s="101" t="str">
        <f t="shared" si="97"/>
        <v>-</v>
      </c>
      <c r="BN35" s="101" t="str">
        <f t="shared" si="97"/>
        <v>-</v>
      </c>
      <c r="BO35" s="101" t="str">
        <f t="shared" si="97"/>
        <v>-</v>
      </c>
      <c r="BP35" s="101" t="str">
        <f t="shared" si="97"/>
        <v>-</v>
      </c>
      <c r="BQ35" s="101" t="str">
        <f t="shared" si="97"/>
        <v>-</v>
      </c>
      <c r="BR35" s="101" t="str">
        <f t="shared" si="98"/>
        <v>-</v>
      </c>
      <c r="BS35" s="101" t="str">
        <f t="shared" si="98"/>
        <v>-</v>
      </c>
      <c r="BT35" s="101" t="str">
        <f t="shared" si="98"/>
        <v>-</v>
      </c>
      <c r="BU35" s="101" t="str">
        <f t="shared" si="98"/>
        <v>-</v>
      </c>
      <c r="BV35" s="101" t="str">
        <f t="shared" si="98"/>
        <v>-</v>
      </c>
      <c r="BW35" s="101" t="str">
        <f t="shared" si="98"/>
        <v>-</v>
      </c>
      <c r="BX35" s="101" t="str">
        <f t="shared" si="98"/>
        <v>-</v>
      </c>
      <c r="BY35" s="101" t="str">
        <f t="shared" si="98"/>
        <v>-</v>
      </c>
      <c r="BZ35" s="101" t="str">
        <f t="shared" si="98"/>
        <v>-</v>
      </c>
      <c r="CA35" s="101" t="str">
        <f t="shared" si="98"/>
        <v>-</v>
      </c>
      <c r="CB35" s="101" t="str">
        <f t="shared" si="99"/>
        <v>-</v>
      </c>
      <c r="CC35" s="101" t="str">
        <f t="shared" si="99"/>
        <v>-</v>
      </c>
      <c r="CD35" s="101" t="str">
        <f t="shared" si="99"/>
        <v>-</v>
      </c>
      <c r="CE35" s="101" t="str">
        <f t="shared" si="99"/>
        <v>-</v>
      </c>
      <c r="CF35" s="101" t="str">
        <f t="shared" si="99"/>
        <v>-</v>
      </c>
      <c r="CG35" s="101" t="str">
        <f t="shared" si="99"/>
        <v>-</v>
      </c>
      <c r="CH35" s="101" t="str">
        <f t="shared" si="99"/>
        <v>-</v>
      </c>
      <c r="CI35" s="101" t="str">
        <f t="shared" si="99"/>
        <v>-</v>
      </c>
      <c r="CJ35" s="101" t="str">
        <f t="shared" si="99"/>
        <v>-</v>
      </c>
      <c r="CK35" s="101" t="str">
        <f t="shared" si="99"/>
        <v>-</v>
      </c>
      <c r="CL35" s="101" t="str">
        <f t="shared" si="100"/>
        <v>-</v>
      </c>
      <c r="CM35" s="101" t="str">
        <f t="shared" si="100"/>
        <v>-</v>
      </c>
      <c r="CN35" s="101" t="str">
        <f t="shared" si="100"/>
        <v>-</v>
      </c>
      <c r="CO35" s="101" t="str">
        <f t="shared" si="100"/>
        <v>-</v>
      </c>
      <c r="CP35" s="101" t="str">
        <f t="shared" si="100"/>
        <v>-</v>
      </c>
      <c r="CQ35" s="101" t="str">
        <f t="shared" si="100"/>
        <v>-</v>
      </c>
      <c r="CR35" s="101" t="str">
        <f t="shared" si="100"/>
        <v>-</v>
      </c>
      <c r="CS35" s="101" t="str">
        <f t="shared" si="100"/>
        <v>-</v>
      </c>
      <c r="CT35" s="101" t="str">
        <f t="shared" si="100"/>
        <v>-</v>
      </c>
      <c r="CU35" s="101" t="str">
        <f t="shared" si="100"/>
        <v>-</v>
      </c>
      <c r="CV35" s="101" t="str">
        <f t="shared" si="101"/>
        <v>-</v>
      </c>
      <c r="CW35" s="101" t="str">
        <f t="shared" si="101"/>
        <v>-</v>
      </c>
      <c r="CX35" s="101" t="str">
        <f t="shared" si="101"/>
        <v>-</v>
      </c>
      <c r="CY35" s="101" t="str">
        <f t="shared" si="101"/>
        <v>-</v>
      </c>
      <c r="CZ35" s="101" t="str">
        <f t="shared" si="101"/>
        <v>-</v>
      </c>
      <c r="DA35" s="101" t="str">
        <f t="shared" si="101"/>
        <v>-</v>
      </c>
      <c r="DB35" s="101" t="str">
        <f t="shared" si="101"/>
        <v>-</v>
      </c>
      <c r="DC35" s="101" t="str">
        <f t="shared" si="101"/>
        <v>-</v>
      </c>
      <c r="DD35" s="101" t="str">
        <f t="shared" si="101"/>
        <v>-</v>
      </c>
      <c r="DE35" s="101" t="str">
        <f t="shared" si="101"/>
        <v>-</v>
      </c>
      <c r="DF35" s="101" t="str">
        <f t="shared" si="102"/>
        <v>-</v>
      </c>
      <c r="DG35" s="101" t="str">
        <f t="shared" si="102"/>
        <v>-</v>
      </c>
      <c r="DH35" s="101" t="str">
        <f t="shared" si="102"/>
        <v>-</v>
      </c>
      <c r="DI35" s="101" t="str">
        <f t="shared" si="102"/>
        <v>-</v>
      </c>
      <c r="DJ35" s="101" t="str">
        <f t="shared" si="102"/>
        <v>-</v>
      </c>
      <c r="DK35" s="101" t="str">
        <f t="shared" si="102"/>
        <v>-</v>
      </c>
      <c r="DL35" s="101" t="str">
        <f t="shared" si="102"/>
        <v>-</v>
      </c>
      <c r="DM35" s="101" t="str">
        <f t="shared" si="102"/>
        <v>-</v>
      </c>
      <c r="DN35" s="101" t="str">
        <f t="shared" si="102"/>
        <v>-</v>
      </c>
      <c r="DO35" s="101" t="str">
        <f t="shared" si="102"/>
        <v>-</v>
      </c>
      <c r="DP35" s="101" t="str">
        <f t="shared" si="103"/>
        <v>-</v>
      </c>
      <c r="DQ35" s="101" t="str">
        <f t="shared" si="103"/>
        <v>-</v>
      </c>
      <c r="DR35" s="101" t="str">
        <f t="shared" si="103"/>
        <v>-</v>
      </c>
      <c r="DS35" s="101" t="str">
        <f t="shared" si="103"/>
        <v>-</v>
      </c>
      <c r="DT35" s="101" t="str">
        <f t="shared" si="103"/>
        <v>-</v>
      </c>
      <c r="DU35" s="101" t="str">
        <f t="shared" si="103"/>
        <v>-</v>
      </c>
      <c r="DV35" s="101" t="str">
        <f t="shared" si="103"/>
        <v>-</v>
      </c>
      <c r="DW35" s="101" t="str">
        <f t="shared" si="103"/>
        <v>-</v>
      </c>
      <c r="DX35" s="101" t="str">
        <f t="shared" si="103"/>
        <v>-</v>
      </c>
      <c r="DY35" s="101" t="str">
        <f t="shared" si="103"/>
        <v>-</v>
      </c>
      <c r="DZ35" s="101" t="str">
        <f t="shared" si="104"/>
        <v>-</v>
      </c>
      <c r="EA35" s="101" t="str">
        <f t="shared" si="104"/>
        <v>-</v>
      </c>
      <c r="EB35" s="101" t="str">
        <f t="shared" si="104"/>
        <v>-</v>
      </c>
      <c r="EC35" s="101" t="str">
        <f t="shared" si="104"/>
        <v>-</v>
      </c>
      <c r="ED35" s="101" t="str">
        <f t="shared" si="104"/>
        <v>-</v>
      </c>
      <c r="EE35" s="101" t="str">
        <f t="shared" si="104"/>
        <v>-</v>
      </c>
      <c r="EF35" s="101" t="str">
        <f t="shared" si="104"/>
        <v>-</v>
      </c>
      <c r="EG35" s="101" t="str">
        <f t="shared" si="104"/>
        <v>-</v>
      </c>
      <c r="EH35" s="101" t="str">
        <f t="shared" si="104"/>
        <v>-</v>
      </c>
      <c r="EI35" s="101" t="str">
        <f t="shared" si="104"/>
        <v>-</v>
      </c>
      <c r="EJ35" s="101" t="str">
        <f t="shared" si="104"/>
        <v>-</v>
      </c>
      <c r="EK35" s="101" t="str">
        <f t="shared" si="104"/>
        <v>-</v>
      </c>
      <c r="EL35" s="101" t="str">
        <f t="shared" si="104"/>
        <v>-</v>
      </c>
    </row>
    <row r="36" spans="1:144">
      <c r="A36" s="466"/>
      <c r="B36" s="502"/>
      <c r="C36" s="502"/>
      <c r="D36" s="466"/>
      <c r="E36" s="109" t="s">
        <v>66</v>
      </c>
      <c r="F36" s="102">
        <f>SUM('BESS 11'!S211,'BESS 11'!S214:S215,'BESS 11'!S219:S220)</f>
        <v>2453.6666666666665</v>
      </c>
      <c r="G36" s="102">
        <f>MAX('BESS 11'!O211,'BESS 11'!O214:O215,'BESS 11'!O219:O220)-MIN('BESS 11'!O211,'BESS 11'!O214:O215,'BESS 11'!O219:O220)+1</f>
        <v>27</v>
      </c>
      <c r="H36" s="102"/>
      <c r="I36" s="110">
        <f>MIN('BESS 11'!O211,'BESS 11'!O214:O215,'BESS 11'!O219:O220)</f>
        <v>46245</v>
      </c>
      <c r="J36" s="101" t="str">
        <f t="shared" si="92"/>
        <v>-</v>
      </c>
      <c r="K36" s="101" t="str">
        <f t="shared" si="92"/>
        <v>-</v>
      </c>
      <c r="L36" s="101" t="str">
        <f t="shared" si="92"/>
        <v>-</v>
      </c>
      <c r="M36" s="101" t="str">
        <f t="shared" si="92"/>
        <v>-</v>
      </c>
      <c r="N36" s="101" t="str">
        <f t="shared" si="92"/>
        <v>-</v>
      </c>
      <c r="O36" s="101" t="str">
        <f t="shared" si="92"/>
        <v>-</v>
      </c>
      <c r="P36" s="101" t="str">
        <f t="shared" si="92"/>
        <v>-</v>
      </c>
      <c r="Q36" s="101" t="str">
        <f t="shared" si="92"/>
        <v>-</v>
      </c>
      <c r="R36" s="101" t="str">
        <f t="shared" si="92"/>
        <v>-</v>
      </c>
      <c r="S36" s="101" t="str">
        <f t="shared" si="92"/>
        <v>-</v>
      </c>
      <c r="T36" s="101" t="str">
        <f t="shared" si="93"/>
        <v>-</v>
      </c>
      <c r="U36" s="101" t="str">
        <f t="shared" si="93"/>
        <v>-</v>
      </c>
      <c r="V36" s="101" t="str">
        <f t="shared" si="93"/>
        <v>-</v>
      </c>
      <c r="W36" s="101" t="str">
        <f t="shared" si="93"/>
        <v>-</v>
      </c>
      <c r="X36" s="101" t="str">
        <f t="shared" si="93"/>
        <v>-</v>
      </c>
      <c r="Y36" s="101" t="str">
        <f t="shared" si="93"/>
        <v>-</v>
      </c>
      <c r="Z36" s="101" t="str">
        <f t="shared" si="93"/>
        <v>-</v>
      </c>
      <c r="AA36" s="101" t="str">
        <f t="shared" si="93"/>
        <v>-</v>
      </c>
      <c r="AB36" s="101" t="str">
        <f t="shared" si="93"/>
        <v>-</v>
      </c>
      <c r="AC36" s="101" t="str">
        <f t="shared" si="93"/>
        <v>-</v>
      </c>
      <c r="AD36" s="101" t="str">
        <f t="shared" si="94"/>
        <v>-</v>
      </c>
      <c r="AE36" s="101" t="str">
        <f t="shared" si="94"/>
        <v>-</v>
      </c>
      <c r="AF36" s="101" t="str">
        <f t="shared" si="94"/>
        <v>-</v>
      </c>
      <c r="AG36" s="101" t="str">
        <f t="shared" si="94"/>
        <v>-</v>
      </c>
      <c r="AH36" s="101" t="str">
        <f t="shared" si="94"/>
        <v>-</v>
      </c>
      <c r="AI36" s="101" t="str">
        <f t="shared" si="94"/>
        <v>-</v>
      </c>
      <c r="AJ36" s="101" t="str">
        <f t="shared" si="94"/>
        <v>-</v>
      </c>
      <c r="AK36" s="101" t="str">
        <f t="shared" si="94"/>
        <v>-</v>
      </c>
      <c r="AL36" s="101" t="str">
        <f t="shared" si="94"/>
        <v>-</v>
      </c>
      <c r="AM36" s="101" t="str">
        <f t="shared" si="94"/>
        <v>-</v>
      </c>
      <c r="AN36" s="101" t="str">
        <f t="shared" si="95"/>
        <v>-</v>
      </c>
      <c r="AO36" s="101" t="str">
        <f t="shared" si="95"/>
        <v>-</v>
      </c>
      <c r="AP36" s="101" t="str">
        <f t="shared" si="95"/>
        <v>-</v>
      </c>
      <c r="AQ36" s="101" t="str">
        <f t="shared" si="95"/>
        <v>-</v>
      </c>
      <c r="AR36" s="101" t="str">
        <f t="shared" si="95"/>
        <v>-</v>
      </c>
      <c r="AS36" s="101" t="str">
        <f t="shared" si="95"/>
        <v>-</v>
      </c>
      <c r="AT36" s="101" t="str">
        <f t="shared" si="95"/>
        <v>-</v>
      </c>
      <c r="AU36" s="101" t="str">
        <f t="shared" si="95"/>
        <v>-</v>
      </c>
      <c r="AV36" s="101" t="str">
        <f t="shared" si="95"/>
        <v>-</v>
      </c>
      <c r="AW36" s="101" t="str">
        <f t="shared" si="95"/>
        <v>-</v>
      </c>
      <c r="AX36" s="101" t="str">
        <f t="shared" si="96"/>
        <v>-</v>
      </c>
      <c r="AY36" s="101" t="str">
        <f t="shared" si="96"/>
        <v>-</v>
      </c>
      <c r="AZ36" s="101" t="str">
        <f t="shared" si="96"/>
        <v>-</v>
      </c>
      <c r="BA36" s="101" t="str">
        <f t="shared" si="96"/>
        <v>-</v>
      </c>
      <c r="BB36" s="101" t="str">
        <f t="shared" si="96"/>
        <v>-</v>
      </c>
      <c r="BC36" s="101" t="str">
        <f t="shared" si="96"/>
        <v>-</v>
      </c>
      <c r="BD36" s="101" t="str">
        <f t="shared" si="96"/>
        <v>-</v>
      </c>
      <c r="BE36" s="101" t="str">
        <f t="shared" si="96"/>
        <v>-</v>
      </c>
      <c r="BF36" s="101" t="str">
        <f t="shared" si="96"/>
        <v>-</v>
      </c>
      <c r="BG36" s="101" t="str">
        <f t="shared" si="96"/>
        <v>-</v>
      </c>
      <c r="BH36" s="101">
        <f t="shared" si="97"/>
        <v>91</v>
      </c>
      <c r="BI36" s="101">
        <f t="shared" si="97"/>
        <v>91</v>
      </c>
      <c r="BJ36" s="101">
        <f t="shared" si="97"/>
        <v>91</v>
      </c>
      <c r="BK36" s="101">
        <f t="shared" si="97"/>
        <v>91</v>
      </c>
      <c r="BL36" s="101">
        <f t="shared" si="97"/>
        <v>91</v>
      </c>
      <c r="BM36" s="101">
        <f t="shared" si="97"/>
        <v>91</v>
      </c>
      <c r="BN36" s="101">
        <f t="shared" si="97"/>
        <v>91</v>
      </c>
      <c r="BO36" s="101">
        <f t="shared" si="97"/>
        <v>91</v>
      </c>
      <c r="BP36" s="101">
        <f t="shared" si="97"/>
        <v>91</v>
      </c>
      <c r="BQ36" s="101">
        <f t="shared" si="97"/>
        <v>91</v>
      </c>
      <c r="BR36" s="101">
        <f t="shared" si="98"/>
        <v>91</v>
      </c>
      <c r="BS36" s="101">
        <f t="shared" si="98"/>
        <v>91</v>
      </c>
      <c r="BT36" s="101">
        <f t="shared" si="98"/>
        <v>91</v>
      </c>
      <c r="BU36" s="101">
        <f t="shared" si="98"/>
        <v>91</v>
      </c>
      <c r="BV36" s="101">
        <f t="shared" si="98"/>
        <v>91</v>
      </c>
      <c r="BW36" s="101">
        <f t="shared" si="98"/>
        <v>91</v>
      </c>
      <c r="BX36" s="101">
        <f t="shared" si="98"/>
        <v>91</v>
      </c>
      <c r="BY36" s="101">
        <f t="shared" si="98"/>
        <v>91</v>
      </c>
      <c r="BZ36" s="101">
        <f t="shared" si="98"/>
        <v>91</v>
      </c>
      <c r="CA36" s="101">
        <f t="shared" si="98"/>
        <v>91</v>
      </c>
      <c r="CB36" s="101">
        <f t="shared" si="99"/>
        <v>91</v>
      </c>
      <c r="CC36" s="101">
        <f t="shared" si="99"/>
        <v>91</v>
      </c>
      <c r="CD36" s="101">
        <f t="shared" si="99"/>
        <v>91</v>
      </c>
      <c r="CE36" s="101">
        <f t="shared" si="99"/>
        <v>91</v>
      </c>
      <c r="CF36" s="101">
        <f t="shared" si="99"/>
        <v>91</v>
      </c>
      <c r="CG36" s="101">
        <f t="shared" si="99"/>
        <v>91</v>
      </c>
      <c r="CH36" s="101">
        <f t="shared" si="99"/>
        <v>91</v>
      </c>
      <c r="CI36" s="101" t="str">
        <f t="shared" si="99"/>
        <v>-</v>
      </c>
      <c r="CJ36" s="101" t="str">
        <f t="shared" si="99"/>
        <v>-</v>
      </c>
      <c r="CK36" s="101" t="str">
        <f t="shared" si="99"/>
        <v>-</v>
      </c>
      <c r="CL36" s="101" t="str">
        <f t="shared" si="100"/>
        <v>-</v>
      </c>
      <c r="CM36" s="101" t="str">
        <f t="shared" si="100"/>
        <v>-</v>
      </c>
      <c r="CN36" s="101" t="str">
        <f t="shared" si="100"/>
        <v>-</v>
      </c>
      <c r="CO36" s="101" t="str">
        <f t="shared" si="100"/>
        <v>-</v>
      </c>
      <c r="CP36" s="101" t="str">
        <f t="shared" si="100"/>
        <v>-</v>
      </c>
      <c r="CQ36" s="101" t="str">
        <f t="shared" si="100"/>
        <v>-</v>
      </c>
      <c r="CR36" s="101" t="str">
        <f t="shared" si="100"/>
        <v>-</v>
      </c>
      <c r="CS36" s="101" t="str">
        <f t="shared" si="100"/>
        <v>-</v>
      </c>
      <c r="CT36" s="101" t="str">
        <f t="shared" si="100"/>
        <v>-</v>
      </c>
      <c r="CU36" s="101" t="str">
        <f t="shared" si="100"/>
        <v>-</v>
      </c>
      <c r="CV36" s="101" t="str">
        <f t="shared" si="101"/>
        <v>-</v>
      </c>
      <c r="CW36" s="101" t="str">
        <f t="shared" si="101"/>
        <v>-</v>
      </c>
      <c r="CX36" s="101" t="str">
        <f t="shared" si="101"/>
        <v>-</v>
      </c>
      <c r="CY36" s="101" t="str">
        <f t="shared" si="101"/>
        <v>-</v>
      </c>
      <c r="CZ36" s="101" t="str">
        <f t="shared" si="101"/>
        <v>-</v>
      </c>
      <c r="DA36" s="101" t="str">
        <f t="shared" si="101"/>
        <v>-</v>
      </c>
      <c r="DB36" s="101" t="str">
        <f t="shared" si="101"/>
        <v>-</v>
      </c>
      <c r="DC36" s="101" t="str">
        <f t="shared" si="101"/>
        <v>-</v>
      </c>
      <c r="DD36" s="101" t="str">
        <f t="shared" si="101"/>
        <v>-</v>
      </c>
      <c r="DE36" s="101" t="str">
        <f t="shared" si="101"/>
        <v>-</v>
      </c>
      <c r="DF36" s="101" t="str">
        <f t="shared" si="102"/>
        <v>-</v>
      </c>
      <c r="DG36" s="101" t="str">
        <f t="shared" si="102"/>
        <v>-</v>
      </c>
      <c r="DH36" s="101" t="str">
        <f t="shared" si="102"/>
        <v>-</v>
      </c>
      <c r="DI36" s="101" t="str">
        <f t="shared" si="102"/>
        <v>-</v>
      </c>
      <c r="DJ36" s="101" t="str">
        <f t="shared" si="102"/>
        <v>-</v>
      </c>
      <c r="DK36" s="101" t="str">
        <f t="shared" si="102"/>
        <v>-</v>
      </c>
      <c r="DL36" s="101" t="str">
        <f t="shared" si="102"/>
        <v>-</v>
      </c>
      <c r="DM36" s="101" t="str">
        <f t="shared" si="102"/>
        <v>-</v>
      </c>
      <c r="DN36" s="101" t="str">
        <f t="shared" si="102"/>
        <v>-</v>
      </c>
      <c r="DO36" s="101" t="str">
        <f t="shared" si="102"/>
        <v>-</v>
      </c>
      <c r="DP36" s="101" t="str">
        <f t="shared" si="103"/>
        <v>-</v>
      </c>
      <c r="DQ36" s="101" t="str">
        <f t="shared" si="103"/>
        <v>-</v>
      </c>
      <c r="DR36" s="101" t="str">
        <f t="shared" si="103"/>
        <v>-</v>
      </c>
      <c r="DS36" s="101" t="str">
        <f t="shared" si="103"/>
        <v>-</v>
      </c>
      <c r="DT36" s="101" t="str">
        <f t="shared" si="103"/>
        <v>-</v>
      </c>
      <c r="DU36" s="101" t="str">
        <f t="shared" si="103"/>
        <v>-</v>
      </c>
      <c r="DV36" s="101" t="str">
        <f t="shared" si="103"/>
        <v>-</v>
      </c>
      <c r="DW36" s="101" t="str">
        <f t="shared" si="103"/>
        <v>-</v>
      </c>
      <c r="DX36" s="101" t="str">
        <f t="shared" si="103"/>
        <v>-</v>
      </c>
      <c r="DY36" s="101" t="str">
        <f t="shared" si="103"/>
        <v>-</v>
      </c>
      <c r="DZ36" s="101" t="str">
        <f t="shared" si="104"/>
        <v>-</v>
      </c>
      <c r="EA36" s="101" t="str">
        <f t="shared" si="104"/>
        <v>-</v>
      </c>
      <c r="EB36" s="101" t="str">
        <f t="shared" si="104"/>
        <v>-</v>
      </c>
      <c r="EC36" s="101" t="str">
        <f t="shared" si="104"/>
        <v>-</v>
      </c>
      <c r="ED36" s="101" t="str">
        <f t="shared" si="104"/>
        <v>-</v>
      </c>
      <c r="EE36" s="101" t="str">
        <f t="shared" si="104"/>
        <v>-</v>
      </c>
      <c r="EF36" s="101" t="str">
        <f t="shared" si="104"/>
        <v>-</v>
      </c>
      <c r="EG36" s="101" t="str">
        <f t="shared" si="104"/>
        <v>-</v>
      </c>
      <c r="EH36" s="101" t="str">
        <f t="shared" si="104"/>
        <v>-</v>
      </c>
      <c r="EI36" s="101" t="str">
        <f t="shared" si="104"/>
        <v>-</v>
      </c>
      <c r="EJ36" s="101" t="str">
        <f t="shared" si="104"/>
        <v>-</v>
      </c>
      <c r="EK36" s="101" t="str">
        <f t="shared" si="104"/>
        <v>-</v>
      </c>
      <c r="EL36" s="101" t="str">
        <f t="shared" si="104"/>
        <v>-</v>
      </c>
    </row>
    <row r="37" spans="1:144">
      <c r="A37" s="466"/>
      <c r="B37" s="502"/>
      <c r="C37" s="502"/>
      <c r="D37" s="466"/>
      <c r="E37" s="109" t="s">
        <v>67</v>
      </c>
      <c r="F37" s="102">
        <f>SUM('BESS 11'!S222:S231)</f>
        <v>340.69333333333333</v>
      </c>
      <c r="G37" s="101">
        <f>MAX('BESS 11'!O222:O231)-MIN('BESS 11'!O222:O231)+1</f>
        <v>38</v>
      </c>
      <c r="H37" s="101"/>
      <c r="I37" s="110">
        <f>MIN('BESS 11'!O222:O231)</f>
        <v>46239</v>
      </c>
      <c r="J37" s="101" t="str">
        <f t="shared" si="92"/>
        <v>-</v>
      </c>
      <c r="K37" s="101" t="str">
        <f t="shared" si="92"/>
        <v>-</v>
      </c>
      <c r="L37" s="101" t="str">
        <f t="shared" si="92"/>
        <v>-</v>
      </c>
      <c r="M37" s="101" t="str">
        <f t="shared" si="92"/>
        <v>-</v>
      </c>
      <c r="N37" s="101" t="str">
        <f t="shared" si="92"/>
        <v>-</v>
      </c>
      <c r="O37" s="101" t="str">
        <f t="shared" si="92"/>
        <v>-</v>
      </c>
      <c r="P37" s="101" t="str">
        <f t="shared" si="92"/>
        <v>-</v>
      </c>
      <c r="Q37" s="101" t="str">
        <f t="shared" si="92"/>
        <v>-</v>
      </c>
      <c r="R37" s="101" t="str">
        <f t="shared" si="92"/>
        <v>-</v>
      </c>
      <c r="S37" s="101" t="str">
        <f t="shared" si="92"/>
        <v>-</v>
      </c>
      <c r="T37" s="101" t="str">
        <f t="shared" si="93"/>
        <v>-</v>
      </c>
      <c r="U37" s="101" t="str">
        <f t="shared" si="93"/>
        <v>-</v>
      </c>
      <c r="V37" s="101" t="str">
        <f t="shared" si="93"/>
        <v>-</v>
      </c>
      <c r="W37" s="101" t="str">
        <f t="shared" si="93"/>
        <v>-</v>
      </c>
      <c r="X37" s="101" t="str">
        <f t="shared" si="93"/>
        <v>-</v>
      </c>
      <c r="Y37" s="101" t="str">
        <f t="shared" si="93"/>
        <v>-</v>
      </c>
      <c r="Z37" s="101" t="str">
        <f t="shared" si="93"/>
        <v>-</v>
      </c>
      <c r="AA37" s="101" t="str">
        <f t="shared" si="93"/>
        <v>-</v>
      </c>
      <c r="AB37" s="101" t="str">
        <f t="shared" si="93"/>
        <v>-</v>
      </c>
      <c r="AC37" s="101" t="str">
        <f t="shared" si="93"/>
        <v>-</v>
      </c>
      <c r="AD37" s="101" t="str">
        <f t="shared" si="94"/>
        <v>-</v>
      </c>
      <c r="AE37" s="101" t="str">
        <f t="shared" si="94"/>
        <v>-</v>
      </c>
      <c r="AF37" s="101" t="str">
        <f t="shared" si="94"/>
        <v>-</v>
      </c>
      <c r="AG37" s="101" t="str">
        <f t="shared" si="94"/>
        <v>-</v>
      </c>
      <c r="AH37" s="101" t="str">
        <f t="shared" si="94"/>
        <v>-</v>
      </c>
      <c r="AI37" s="101" t="str">
        <f t="shared" si="94"/>
        <v>-</v>
      </c>
      <c r="AJ37" s="101" t="str">
        <f t="shared" si="94"/>
        <v>-</v>
      </c>
      <c r="AK37" s="101" t="str">
        <f t="shared" si="94"/>
        <v>-</v>
      </c>
      <c r="AL37" s="101" t="str">
        <f t="shared" si="94"/>
        <v>-</v>
      </c>
      <c r="AM37" s="101" t="str">
        <f t="shared" si="94"/>
        <v>-</v>
      </c>
      <c r="AN37" s="101" t="str">
        <f t="shared" si="95"/>
        <v>-</v>
      </c>
      <c r="AO37" s="101" t="str">
        <f t="shared" si="95"/>
        <v>-</v>
      </c>
      <c r="AP37" s="101" t="str">
        <f t="shared" si="95"/>
        <v>-</v>
      </c>
      <c r="AQ37" s="101" t="str">
        <f t="shared" si="95"/>
        <v>-</v>
      </c>
      <c r="AR37" s="101" t="str">
        <f t="shared" si="95"/>
        <v>-</v>
      </c>
      <c r="AS37" s="101" t="str">
        <f t="shared" si="95"/>
        <v>-</v>
      </c>
      <c r="AT37" s="101" t="str">
        <f t="shared" si="95"/>
        <v>-</v>
      </c>
      <c r="AU37" s="101" t="str">
        <f t="shared" si="95"/>
        <v>-</v>
      </c>
      <c r="AV37" s="101" t="str">
        <f t="shared" si="95"/>
        <v>-</v>
      </c>
      <c r="AW37" s="101" t="str">
        <f t="shared" si="95"/>
        <v>-</v>
      </c>
      <c r="AX37" s="101" t="str">
        <f t="shared" si="96"/>
        <v>-</v>
      </c>
      <c r="AY37" s="101" t="str">
        <f t="shared" si="96"/>
        <v>-</v>
      </c>
      <c r="AZ37" s="101" t="str">
        <f t="shared" si="96"/>
        <v>-</v>
      </c>
      <c r="BA37" s="101" t="str">
        <f t="shared" si="96"/>
        <v>-</v>
      </c>
      <c r="BB37" s="101">
        <f t="shared" si="96"/>
        <v>9</v>
      </c>
      <c r="BC37" s="101">
        <f t="shared" si="96"/>
        <v>9</v>
      </c>
      <c r="BD37" s="101">
        <f t="shared" si="96"/>
        <v>9</v>
      </c>
      <c r="BE37" s="101">
        <f t="shared" si="96"/>
        <v>9</v>
      </c>
      <c r="BF37" s="101">
        <f t="shared" si="96"/>
        <v>9</v>
      </c>
      <c r="BG37" s="101">
        <f t="shared" si="96"/>
        <v>9</v>
      </c>
      <c r="BH37" s="101">
        <f t="shared" si="97"/>
        <v>9</v>
      </c>
      <c r="BI37" s="101">
        <f t="shared" si="97"/>
        <v>9</v>
      </c>
      <c r="BJ37" s="101">
        <f t="shared" si="97"/>
        <v>9</v>
      </c>
      <c r="BK37" s="101">
        <f t="shared" si="97"/>
        <v>9</v>
      </c>
      <c r="BL37" s="101">
        <f t="shared" si="97"/>
        <v>9</v>
      </c>
      <c r="BM37" s="101">
        <f t="shared" si="97"/>
        <v>9</v>
      </c>
      <c r="BN37" s="101">
        <f t="shared" si="97"/>
        <v>9</v>
      </c>
      <c r="BO37" s="101">
        <f t="shared" si="97"/>
        <v>9</v>
      </c>
      <c r="BP37" s="101">
        <f t="shared" si="97"/>
        <v>9</v>
      </c>
      <c r="BQ37" s="101">
        <f t="shared" si="97"/>
        <v>9</v>
      </c>
      <c r="BR37" s="101">
        <f t="shared" si="98"/>
        <v>9</v>
      </c>
      <c r="BS37" s="101">
        <f t="shared" si="98"/>
        <v>9</v>
      </c>
      <c r="BT37" s="101">
        <f t="shared" si="98"/>
        <v>9</v>
      </c>
      <c r="BU37" s="101">
        <f t="shared" si="98"/>
        <v>9</v>
      </c>
      <c r="BV37" s="101">
        <f t="shared" si="98"/>
        <v>9</v>
      </c>
      <c r="BW37" s="101">
        <f t="shared" si="98"/>
        <v>9</v>
      </c>
      <c r="BX37" s="101">
        <f t="shared" si="98"/>
        <v>9</v>
      </c>
      <c r="BY37" s="101">
        <f t="shared" si="98"/>
        <v>9</v>
      </c>
      <c r="BZ37" s="101">
        <f t="shared" si="98"/>
        <v>9</v>
      </c>
      <c r="CA37" s="101">
        <f t="shared" si="98"/>
        <v>9</v>
      </c>
      <c r="CB37" s="101">
        <f t="shared" si="99"/>
        <v>9</v>
      </c>
      <c r="CC37" s="101">
        <f t="shared" si="99"/>
        <v>9</v>
      </c>
      <c r="CD37" s="101">
        <f t="shared" si="99"/>
        <v>9</v>
      </c>
      <c r="CE37" s="101">
        <f t="shared" si="99"/>
        <v>9</v>
      </c>
      <c r="CF37" s="101">
        <f t="shared" si="99"/>
        <v>9</v>
      </c>
      <c r="CG37" s="101">
        <f t="shared" si="99"/>
        <v>9</v>
      </c>
      <c r="CH37" s="101">
        <f t="shared" si="99"/>
        <v>9</v>
      </c>
      <c r="CI37" s="101">
        <f t="shared" si="99"/>
        <v>9</v>
      </c>
      <c r="CJ37" s="101">
        <f t="shared" si="99"/>
        <v>9</v>
      </c>
      <c r="CK37" s="101">
        <f t="shared" si="99"/>
        <v>9</v>
      </c>
      <c r="CL37" s="101">
        <f t="shared" si="100"/>
        <v>9</v>
      </c>
      <c r="CM37" s="101">
        <f t="shared" si="100"/>
        <v>9</v>
      </c>
      <c r="CN37" s="101" t="str">
        <f t="shared" si="100"/>
        <v>-</v>
      </c>
      <c r="CO37" s="101" t="str">
        <f t="shared" si="100"/>
        <v>-</v>
      </c>
      <c r="CP37" s="101" t="str">
        <f t="shared" si="100"/>
        <v>-</v>
      </c>
      <c r="CQ37" s="101" t="str">
        <f t="shared" si="100"/>
        <v>-</v>
      </c>
      <c r="CR37" s="101" t="str">
        <f t="shared" si="100"/>
        <v>-</v>
      </c>
      <c r="CS37" s="101" t="str">
        <f t="shared" si="100"/>
        <v>-</v>
      </c>
      <c r="CT37" s="101" t="str">
        <f t="shared" si="100"/>
        <v>-</v>
      </c>
      <c r="CU37" s="101" t="str">
        <f t="shared" si="100"/>
        <v>-</v>
      </c>
      <c r="CV37" s="101" t="str">
        <f t="shared" si="101"/>
        <v>-</v>
      </c>
      <c r="CW37" s="101" t="str">
        <f t="shared" si="101"/>
        <v>-</v>
      </c>
      <c r="CX37" s="101" t="str">
        <f t="shared" si="101"/>
        <v>-</v>
      </c>
      <c r="CY37" s="101" t="str">
        <f t="shared" si="101"/>
        <v>-</v>
      </c>
      <c r="CZ37" s="101" t="str">
        <f t="shared" si="101"/>
        <v>-</v>
      </c>
      <c r="DA37" s="101" t="str">
        <f t="shared" si="101"/>
        <v>-</v>
      </c>
      <c r="DB37" s="101" t="str">
        <f t="shared" si="101"/>
        <v>-</v>
      </c>
      <c r="DC37" s="101" t="str">
        <f t="shared" si="101"/>
        <v>-</v>
      </c>
      <c r="DD37" s="101" t="str">
        <f t="shared" si="101"/>
        <v>-</v>
      </c>
      <c r="DE37" s="101" t="str">
        <f t="shared" si="101"/>
        <v>-</v>
      </c>
      <c r="DF37" s="101" t="str">
        <f t="shared" si="102"/>
        <v>-</v>
      </c>
      <c r="DG37" s="101" t="str">
        <f t="shared" si="102"/>
        <v>-</v>
      </c>
      <c r="DH37" s="101" t="str">
        <f t="shared" si="102"/>
        <v>-</v>
      </c>
      <c r="DI37" s="101" t="str">
        <f t="shared" si="102"/>
        <v>-</v>
      </c>
      <c r="DJ37" s="101" t="str">
        <f t="shared" si="102"/>
        <v>-</v>
      </c>
      <c r="DK37" s="101" t="str">
        <f t="shared" si="102"/>
        <v>-</v>
      </c>
      <c r="DL37" s="101" t="str">
        <f t="shared" si="102"/>
        <v>-</v>
      </c>
      <c r="DM37" s="101" t="str">
        <f t="shared" si="102"/>
        <v>-</v>
      </c>
      <c r="DN37" s="101" t="str">
        <f t="shared" si="102"/>
        <v>-</v>
      </c>
      <c r="DO37" s="101" t="str">
        <f t="shared" si="102"/>
        <v>-</v>
      </c>
      <c r="DP37" s="101" t="str">
        <f t="shared" si="103"/>
        <v>-</v>
      </c>
      <c r="DQ37" s="101" t="str">
        <f t="shared" si="103"/>
        <v>-</v>
      </c>
      <c r="DR37" s="101" t="str">
        <f t="shared" si="103"/>
        <v>-</v>
      </c>
      <c r="DS37" s="101" t="str">
        <f t="shared" si="103"/>
        <v>-</v>
      </c>
      <c r="DT37" s="101" t="str">
        <f t="shared" si="103"/>
        <v>-</v>
      </c>
      <c r="DU37" s="101" t="str">
        <f t="shared" si="103"/>
        <v>-</v>
      </c>
      <c r="DV37" s="101" t="str">
        <f t="shared" si="103"/>
        <v>-</v>
      </c>
      <c r="DW37" s="101" t="str">
        <f t="shared" si="103"/>
        <v>-</v>
      </c>
      <c r="DX37" s="101" t="str">
        <f t="shared" si="103"/>
        <v>-</v>
      </c>
      <c r="DY37" s="101" t="str">
        <f t="shared" si="103"/>
        <v>-</v>
      </c>
      <c r="DZ37" s="101" t="str">
        <f t="shared" si="104"/>
        <v>-</v>
      </c>
      <c r="EA37" s="101" t="str">
        <f t="shared" si="104"/>
        <v>-</v>
      </c>
      <c r="EB37" s="101" t="str">
        <f t="shared" si="104"/>
        <v>-</v>
      </c>
      <c r="EC37" s="101" t="str">
        <f t="shared" si="104"/>
        <v>-</v>
      </c>
      <c r="ED37" s="101" t="str">
        <f t="shared" si="104"/>
        <v>-</v>
      </c>
      <c r="EE37" s="101" t="str">
        <f t="shared" si="104"/>
        <v>-</v>
      </c>
      <c r="EF37" s="101" t="str">
        <f t="shared" si="104"/>
        <v>-</v>
      </c>
      <c r="EG37" s="101" t="str">
        <f t="shared" si="104"/>
        <v>-</v>
      </c>
      <c r="EH37" s="101" t="str">
        <f t="shared" si="104"/>
        <v>-</v>
      </c>
      <c r="EI37" s="101" t="str">
        <f t="shared" si="104"/>
        <v>-</v>
      </c>
      <c r="EJ37" s="101" t="str">
        <f t="shared" si="104"/>
        <v>-</v>
      </c>
      <c r="EK37" s="101" t="str">
        <f t="shared" si="104"/>
        <v>-</v>
      </c>
      <c r="EL37" s="101" t="str">
        <f t="shared" si="104"/>
        <v>-</v>
      </c>
    </row>
    <row r="38" spans="1:144">
      <c r="A38" s="65"/>
      <c r="B38" s="123"/>
      <c r="C38" s="123"/>
      <c r="D38" s="466"/>
      <c r="E38" s="109" t="s">
        <v>68</v>
      </c>
      <c r="F38" s="101">
        <f>SUM(BD38:CL38)</f>
        <v>250</v>
      </c>
      <c r="G38" s="101">
        <v>30</v>
      </c>
      <c r="H38" s="101"/>
      <c r="I38" s="110" t="e">
        <f>B33-3</f>
        <v>#VALUE!</v>
      </c>
      <c r="J38" s="110"/>
      <c r="K38" s="110"/>
      <c r="L38" s="101"/>
      <c r="M38" s="102"/>
      <c r="N38" s="102"/>
      <c r="O38" s="102"/>
      <c r="P38" s="102"/>
      <c r="Q38" s="102"/>
      <c r="R38" s="102"/>
      <c r="S38" s="102"/>
      <c r="T38" s="102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>
        <v>5</v>
      </c>
      <c r="BJ38" s="109">
        <v>5</v>
      </c>
      <c r="BK38" s="109">
        <v>5</v>
      </c>
      <c r="BL38" s="109">
        <v>5</v>
      </c>
      <c r="BM38" s="109">
        <v>5</v>
      </c>
      <c r="BN38" s="109">
        <v>5</v>
      </c>
      <c r="BO38" s="109">
        <v>5</v>
      </c>
      <c r="BP38" s="109">
        <v>5</v>
      </c>
      <c r="BQ38" s="109">
        <v>5</v>
      </c>
      <c r="BR38" s="109">
        <v>5</v>
      </c>
      <c r="BS38" s="109">
        <v>5</v>
      </c>
      <c r="BT38" s="109">
        <v>5</v>
      </c>
      <c r="BU38" s="109">
        <v>5</v>
      </c>
      <c r="BV38" s="109">
        <v>5</v>
      </c>
      <c r="BW38" s="109">
        <v>5</v>
      </c>
      <c r="BX38" s="109">
        <v>5</v>
      </c>
      <c r="BY38" s="109">
        <v>5</v>
      </c>
      <c r="BZ38" s="109">
        <v>5</v>
      </c>
      <c r="CA38" s="109">
        <v>5</v>
      </c>
      <c r="CB38" s="109">
        <v>5</v>
      </c>
      <c r="CC38" s="109">
        <v>5</v>
      </c>
      <c r="CD38" s="109">
        <v>5</v>
      </c>
      <c r="CE38" s="109">
        <v>5</v>
      </c>
      <c r="CF38" s="109">
        <v>5</v>
      </c>
      <c r="CG38" s="109">
        <v>30</v>
      </c>
      <c r="CH38" s="109">
        <v>30</v>
      </c>
      <c r="CI38" s="109">
        <v>30</v>
      </c>
      <c r="CJ38" s="109">
        <v>30</v>
      </c>
      <c r="CK38" s="109">
        <v>5</v>
      </c>
      <c r="CL38" s="109">
        <v>5</v>
      </c>
      <c r="CM38" s="109"/>
      <c r="CN38" s="109"/>
      <c r="CO38" s="109"/>
      <c r="CP38" s="109"/>
      <c r="CQ38" s="109"/>
      <c r="CR38" s="109"/>
      <c r="CS38" s="109"/>
      <c r="CT38" s="109"/>
      <c r="CU38" s="109"/>
      <c r="CV38" s="109"/>
      <c r="CW38" s="109"/>
      <c r="CX38" s="109"/>
      <c r="CY38" s="109"/>
      <c r="CZ38" s="109"/>
      <c r="DA38" s="109"/>
      <c r="DB38" s="109"/>
      <c r="DC38" s="109"/>
      <c r="DD38" s="109"/>
      <c r="DE38" s="109"/>
      <c r="DF38" s="109"/>
      <c r="DG38" s="109"/>
      <c r="DH38" s="109"/>
      <c r="DI38" s="109"/>
      <c r="DJ38" s="109"/>
      <c r="DK38" s="109"/>
      <c r="DL38" s="109"/>
      <c r="DM38" s="109"/>
      <c r="DN38" s="109"/>
      <c r="DO38" s="109"/>
      <c r="DP38" s="109"/>
      <c r="DQ38" s="109"/>
      <c r="DR38" s="109"/>
      <c r="DS38" s="109"/>
      <c r="DT38" s="109"/>
      <c r="DU38" s="109"/>
      <c r="DV38" s="109"/>
      <c r="DW38" s="109"/>
      <c r="DX38" s="109"/>
      <c r="DY38" s="109"/>
      <c r="DZ38" s="109"/>
      <c r="EA38" s="109"/>
      <c r="EB38" s="109"/>
      <c r="EC38" s="109"/>
      <c r="ED38" s="109"/>
      <c r="EE38" s="109"/>
      <c r="EF38" s="109"/>
      <c r="EG38" s="109"/>
      <c r="EH38" s="109"/>
      <c r="EI38" s="109"/>
      <c r="EJ38" s="109"/>
      <c r="EK38" s="109"/>
      <c r="EL38" s="109"/>
    </row>
    <row r="39" spans="1:144" s="122" customFormat="1">
      <c r="B39" s="156"/>
      <c r="E39" s="150"/>
      <c r="F39" s="150"/>
      <c r="G39" s="152"/>
      <c r="H39" s="152"/>
      <c r="I39" s="153" t="s">
        <v>69</v>
      </c>
      <c r="J39" s="153"/>
      <c r="K39" s="153"/>
      <c r="L39" s="154">
        <f t="shared" ref="L39:AQ39" si="105">SUM(L34:L38)</f>
        <v>0</v>
      </c>
      <c r="M39" s="154">
        <f t="shared" si="105"/>
        <v>0</v>
      </c>
      <c r="N39" s="154">
        <f t="shared" si="105"/>
        <v>0</v>
      </c>
      <c r="O39" s="154">
        <f t="shared" si="105"/>
        <v>0</v>
      </c>
      <c r="P39" s="154">
        <f t="shared" si="105"/>
        <v>0</v>
      </c>
      <c r="Q39" s="154">
        <f t="shared" si="105"/>
        <v>0</v>
      </c>
      <c r="R39" s="154">
        <f t="shared" si="105"/>
        <v>0</v>
      </c>
      <c r="S39" s="154">
        <f t="shared" si="105"/>
        <v>0</v>
      </c>
      <c r="T39" s="154">
        <f t="shared" si="105"/>
        <v>0</v>
      </c>
      <c r="U39" s="154">
        <f t="shared" si="105"/>
        <v>0</v>
      </c>
      <c r="V39" s="154">
        <f t="shared" si="105"/>
        <v>0</v>
      </c>
      <c r="W39" s="154">
        <f t="shared" si="105"/>
        <v>0</v>
      </c>
      <c r="X39" s="154">
        <f t="shared" si="105"/>
        <v>0</v>
      </c>
      <c r="Y39" s="154">
        <f t="shared" si="105"/>
        <v>0</v>
      </c>
      <c r="Z39" s="154">
        <f t="shared" si="105"/>
        <v>0</v>
      </c>
      <c r="AA39" s="154">
        <f t="shared" si="105"/>
        <v>0</v>
      </c>
      <c r="AB39" s="154">
        <f t="shared" si="105"/>
        <v>0</v>
      </c>
      <c r="AC39" s="154">
        <f t="shared" si="105"/>
        <v>0</v>
      </c>
      <c r="AD39" s="154">
        <f t="shared" si="105"/>
        <v>0</v>
      </c>
      <c r="AE39" s="154">
        <f t="shared" si="105"/>
        <v>0</v>
      </c>
      <c r="AF39" s="154">
        <f t="shared" si="105"/>
        <v>0</v>
      </c>
      <c r="AG39" s="154">
        <f t="shared" si="105"/>
        <v>0</v>
      </c>
      <c r="AH39" s="154">
        <f t="shared" si="105"/>
        <v>0</v>
      </c>
      <c r="AI39" s="154">
        <f t="shared" si="105"/>
        <v>0</v>
      </c>
      <c r="AJ39" s="154">
        <f t="shared" si="105"/>
        <v>0</v>
      </c>
      <c r="AK39" s="154">
        <f t="shared" si="105"/>
        <v>0</v>
      </c>
      <c r="AL39" s="154">
        <f t="shared" si="105"/>
        <v>0</v>
      </c>
      <c r="AM39" s="154">
        <f t="shared" si="105"/>
        <v>0</v>
      </c>
      <c r="AN39" s="154">
        <f t="shared" si="105"/>
        <v>0</v>
      </c>
      <c r="AO39" s="154">
        <f t="shared" si="105"/>
        <v>0</v>
      </c>
      <c r="AP39" s="154">
        <f t="shared" si="105"/>
        <v>0</v>
      </c>
      <c r="AQ39" s="154">
        <f t="shared" si="105"/>
        <v>1</v>
      </c>
      <c r="AR39" s="154">
        <f t="shared" ref="AR39:BW39" si="106">SUM(AR34:AR38)</f>
        <v>1</v>
      </c>
      <c r="AS39" s="154">
        <f t="shared" si="106"/>
        <v>1</v>
      </c>
      <c r="AT39" s="154">
        <f t="shared" si="106"/>
        <v>1</v>
      </c>
      <c r="AU39" s="154">
        <f t="shared" si="106"/>
        <v>1</v>
      </c>
      <c r="AV39" s="154">
        <f t="shared" si="106"/>
        <v>1</v>
      </c>
      <c r="AW39" s="154">
        <f t="shared" si="106"/>
        <v>1</v>
      </c>
      <c r="AX39" s="154">
        <f t="shared" si="106"/>
        <v>152</v>
      </c>
      <c r="AY39" s="154">
        <f t="shared" si="106"/>
        <v>152</v>
      </c>
      <c r="AZ39" s="154">
        <f t="shared" si="106"/>
        <v>152</v>
      </c>
      <c r="BA39" s="154">
        <f t="shared" si="106"/>
        <v>152</v>
      </c>
      <c r="BB39" s="154">
        <f t="shared" si="106"/>
        <v>161</v>
      </c>
      <c r="BC39" s="154">
        <f t="shared" si="106"/>
        <v>161</v>
      </c>
      <c r="BD39" s="154">
        <f t="shared" si="106"/>
        <v>161</v>
      </c>
      <c r="BE39" s="154">
        <f t="shared" si="106"/>
        <v>161</v>
      </c>
      <c r="BF39" s="154">
        <f t="shared" si="106"/>
        <v>161</v>
      </c>
      <c r="BG39" s="154">
        <f t="shared" si="106"/>
        <v>161</v>
      </c>
      <c r="BH39" s="154">
        <f t="shared" si="106"/>
        <v>101</v>
      </c>
      <c r="BI39" s="154">
        <f t="shared" si="106"/>
        <v>106</v>
      </c>
      <c r="BJ39" s="154">
        <f t="shared" si="106"/>
        <v>106</v>
      </c>
      <c r="BK39" s="154">
        <f t="shared" si="106"/>
        <v>106</v>
      </c>
      <c r="BL39" s="154">
        <f t="shared" si="106"/>
        <v>106</v>
      </c>
      <c r="BM39" s="154">
        <f t="shared" si="106"/>
        <v>106</v>
      </c>
      <c r="BN39" s="154">
        <f t="shared" si="106"/>
        <v>106</v>
      </c>
      <c r="BO39" s="154">
        <f t="shared" si="106"/>
        <v>106</v>
      </c>
      <c r="BP39" s="154">
        <f t="shared" si="106"/>
        <v>106</v>
      </c>
      <c r="BQ39" s="154">
        <f t="shared" si="106"/>
        <v>106</v>
      </c>
      <c r="BR39" s="154">
        <f t="shared" si="106"/>
        <v>106</v>
      </c>
      <c r="BS39" s="154">
        <f t="shared" si="106"/>
        <v>106</v>
      </c>
      <c r="BT39" s="154">
        <f t="shared" si="106"/>
        <v>106</v>
      </c>
      <c r="BU39" s="154">
        <f t="shared" si="106"/>
        <v>106</v>
      </c>
      <c r="BV39" s="154">
        <f t="shared" si="106"/>
        <v>106</v>
      </c>
      <c r="BW39" s="154">
        <f t="shared" si="106"/>
        <v>106</v>
      </c>
      <c r="BX39" s="154">
        <f t="shared" ref="BX39:DC39" si="107">SUM(BX34:BX38)</f>
        <v>106</v>
      </c>
      <c r="BY39" s="154">
        <f t="shared" si="107"/>
        <v>106</v>
      </c>
      <c r="BZ39" s="154">
        <f t="shared" si="107"/>
        <v>106</v>
      </c>
      <c r="CA39" s="154">
        <f t="shared" si="107"/>
        <v>105</v>
      </c>
      <c r="CB39" s="154">
        <f t="shared" si="107"/>
        <v>105</v>
      </c>
      <c r="CC39" s="154">
        <f t="shared" si="107"/>
        <v>105</v>
      </c>
      <c r="CD39" s="154">
        <f t="shared" si="107"/>
        <v>105</v>
      </c>
      <c r="CE39" s="154">
        <f t="shared" si="107"/>
        <v>105</v>
      </c>
      <c r="CF39" s="154">
        <f t="shared" si="107"/>
        <v>105</v>
      </c>
      <c r="CG39" s="154">
        <f t="shared" si="107"/>
        <v>130</v>
      </c>
      <c r="CH39" s="154">
        <f t="shared" si="107"/>
        <v>130</v>
      </c>
      <c r="CI39" s="154">
        <f t="shared" si="107"/>
        <v>39</v>
      </c>
      <c r="CJ39" s="154">
        <f t="shared" si="107"/>
        <v>39</v>
      </c>
      <c r="CK39" s="154">
        <f t="shared" si="107"/>
        <v>14</v>
      </c>
      <c r="CL39" s="154">
        <f t="shared" si="107"/>
        <v>14</v>
      </c>
      <c r="CM39" s="154">
        <f t="shared" si="107"/>
        <v>9</v>
      </c>
      <c r="CN39" s="154">
        <f t="shared" si="107"/>
        <v>0</v>
      </c>
      <c r="CO39" s="154">
        <f t="shared" si="107"/>
        <v>0</v>
      </c>
      <c r="CP39" s="154">
        <f t="shared" si="107"/>
        <v>0</v>
      </c>
      <c r="CQ39" s="154">
        <f t="shared" si="107"/>
        <v>0</v>
      </c>
      <c r="CR39" s="154">
        <f t="shared" si="107"/>
        <v>0</v>
      </c>
      <c r="CS39" s="154">
        <f t="shared" si="107"/>
        <v>0</v>
      </c>
      <c r="CT39" s="154">
        <f t="shared" si="107"/>
        <v>0</v>
      </c>
      <c r="CU39" s="154">
        <f t="shared" si="107"/>
        <v>0</v>
      </c>
      <c r="CV39" s="154">
        <f t="shared" si="107"/>
        <v>0</v>
      </c>
      <c r="CW39" s="154">
        <f t="shared" si="107"/>
        <v>0</v>
      </c>
      <c r="CX39" s="154">
        <f t="shared" si="107"/>
        <v>0</v>
      </c>
      <c r="CY39" s="154">
        <f t="shared" si="107"/>
        <v>0</v>
      </c>
      <c r="CZ39" s="154">
        <f t="shared" si="107"/>
        <v>0</v>
      </c>
      <c r="DA39" s="154">
        <f t="shared" si="107"/>
        <v>0</v>
      </c>
      <c r="DB39" s="154">
        <f t="shared" si="107"/>
        <v>0</v>
      </c>
      <c r="DC39" s="154">
        <f t="shared" si="107"/>
        <v>0</v>
      </c>
      <c r="DD39" s="154">
        <f t="shared" ref="DD39:EI39" si="108">SUM(DD34:DD38)</f>
        <v>0</v>
      </c>
      <c r="DE39" s="154">
        <f t="shared" si="108"/>
        <v>0</v>
      </c>
      <c r="DF39" s="154">
        <f t="shared" si="108"/>
        <v>0</v>
      </c>
      <c r="DG39" s="154">
        <f t="shared" si="108"/>
        <v>0</v>
      </c>
      <c r="DH39" s="154">
        <f t="shared" si="108"/>
        <v>0</v>
      </c>
      <c r="DI39" s="154">
        <f t="shared" si="108"/>
        <v>0</v>
      </c>
      <c r="DJ39" s="154">
        <f t="shared" si="108"/>
        <v>0</v>
      </c>
      <c r="DK39" s="154">
        <f t="shared" si="108"/>
        <v>0</v>
      </c>
      <c r="DL39" s="154">
        <f t="shared" si="108"/>
        <v>0</v>
      </c>
      <c r="DM39" s="154">
        <f t="shared" si="108"/>
        <v>0</v>
      </c>
      <c r="DN39" s="154">
        <f t="shared" si="108"/>
        <v>0</v>
      </c>
      <c r="DO39" s="154">
        <f t="shared" si="108"/>
        <v>0</v>
      </c>
      <c r="DP39" s="154">
        <f t="shared" si="108"/>
        <v>0</v>
      </c>
      <c r="DQ39" s="154">
        <f t="shared" si="108"/>
        <v>0</v>
      </c>
      <c r="DR39" s="154">
        <f t="shared" si="108"/>
        <v>0</v>
      </c>
      <c r="DS39" s="154">
        <f t="shared" si="108"/>
        <v>0</v>
      </c>
      <c r="DT39" s="154">
        <f t="shared" si="108"/>
        <v>0</v>
      </c>
      <c r="DU39" s="154">
        <f t="shared" si="108"/>
        <v>0</v>
      </c>
      <c r="DV39" s="154">
        <f t="shared" si="108"/>
        <v>0</v>
      </c>
      <c r="DW39" s="154">
        <f t="shared" si="108"/>
        <v>0</v>
      </c>
      <c r="DX39" s="154">
        <f t="shared" si="108"/>
        <v>0</v>
      </c>
      <c r="DY39" s="154">
        <f t="shared" si="108"/>
        <v>0</v>
      </c>
      <c r="DZ39" s="154">
        <f t="shared" si="108"/>
        <v>0</v>
      </c>
      <c r="EA39" s="154">
        <f t="shared" si="108"/>
        <v>0</v>
      </c>
      <c r="EB39" s="154">
        <f t="shared" si="108"/>
        <v>0</v>
      </c>
      <c r="EC39" s="154">
        <f t="shared" si="108"/>
        <v>0</v>
      </c>
      <c r="ED39" s="154">
        <f t="shared" si="108"/>
        <v>0</v>
      </c>
      <c r="EE39" s="154">
        <f t="shared" si="108"/>
        <v>0</v>
      </c>
      <c r="EF39" s="154">
        <f t="shared" si="108"/>
        <v>0</v>
      </c>
      <c r="EG39" s="154">
        <f t="shared" si="108"/>
        <v>0</v>
      </c>
      <c r="EH39" s="154">
        <f t="shared" si="108"/>
        <v>0</v>
      </c>
      <c r="EI39" s="154">
        <f t="shared" si="108"/>
        <v>0</v>
      </c>
      <c r="EJ39" s="154">
        <f t="shared" ref="EJ39:EL39" si="109">SUM(EJ34:EJ38)</f>
        <v>0</v>
      </c>
      <c r="EK39" s="154">
        <f t="shared" si="109"/>
        <v>0</v>
      </c>
      <c r="EL39" s="154">
        <f t="shared" si="109"/>
        <v>0</v>
      </c>
      <c r="EM39" s="160">
        <f>AVERAGE(L39:CI39)</f>
        <v>59.460526315789473</v>
      </c>
      <c r="EN39" s="159">
        <f>MAX(L39:CI39)</f>
        <v>161</v>
      </c>
    </row>
    <row r="41" spans="1:144">
      <c r="A41" s="466" t="s">
        <v>74</v>
      </c>
      <c r="B41" s="502" t="str">
        <f>'BESS 11'!F232</f>
        <v>02 Sep
23 Sep</v>
      </c>
      <c r="C41" s="502" t="str">
        <f>'BESS 11'!G232</f>
        <v>07 Sep
27 Sep</v>
      </c>
      <c r="D41" s="114"/>
      <c r="E41" s="114" t="s">
        <v>10</v>
      </c>
      <c r="F41" s="115" t="s">
        <v>58</v>
      </c>
      <c r="G41" s="115" t="s">
        <v>59</v>
      </c>
      <c r="H41" s="115"/>
      <c r="I41" s="115" t="s">
        <v>60</v>
      </c>
      <c r="J41" s="116">
        <v>46195</v>
      </c>
      <c r="K41" s="116">
        <v>46196</v>
      </c>
      <c r="L41" s="116">
        <v>46197</v>
      </c>
      <c r="M41" s="116">
        <f t="shared" ref="M41:AR41" si="110">L41+1</f>
        <v>46198</v>
      </c>
      <c r="N41" s="116">
        <f t="shared" si="110"/>
        <v>46199</v>
      </c>
      <c r="O41" s="116">
        <f t="shared" si="110"/>
        <v>46200</v>
      </c>
      <c r="P41" s="116">
        <f t="shared" si="110"/>
        <v>46201</v>
      </c>
      <c r="Q41" s="116">
        <f t="shared" si="110"/>
        <v>46202</v>
      </c>
      <c r="R41" s="116">
        <f t="shared" si="110"/>
        <v>46203</v>
      </c>
      <c r="S41" s="116">
        <f t="shared" si="110"/>
        <v>46204</v>
      </c>
      <c r="T41" s="116">
        <f t="shared" si="110"/>
        <v>46205</v>
      </c>
      <c r="U41" s="116">
        <f t="shared" si="110"/>
        <v>46206</v>
      </c>
      <c r="V41" s="116">
        <f t="shared" si="110"/>
        <v>46207</v>
      </c>
      <c r="W41" s="116">
        <f t="shared" si="110"/>
        <v>46208</v>
      </c>
      <c r="X41" s="116">
        <f t="shared" si="110"/>
        <v>46209</v>
      </c>
      <c r="Y41" s="116">
        <f t="shared" si="110"/>
        <v>46210</v>
      </c>
      <c r="Z41" s="116">
        <f t="shared" si="110"/>
        <v>46211</v>
      </c>
      <c r="AA41" s="116">
        <f t="shared" si="110"/>
        <v>46212</v>
      </c>
      <c r="AB41" s="116">
        <f t="shared" si="110"/>
        <v>46213</v>
      </c>
      <c r="AC41" s="116">
        <f t="shared" si="110"/>
        <v>46214</v>
      </c>
      <c r="AD41" s="116">
        <f t="shared" si="110"/>
        <v>46215</v>
      </c>
      <c r="AE41" s="116">
        <f t="shared" si="110"/>
        <v>46216</v>
      </c>
      <c r="AF41" s="116">
        <f t="shared" si="110"/>
        <v>46217</v>
      </c>
      <c r="AG41" s="116">
        <f t="shared" si="110"/>
        <v>46218</v>
      </c>
      <c r="AH41" s="116">
        <f t="shared" si="110"/>
        <v>46219</v>
      </c>
      <c r="AI41" s="116">
        <f t="shared" si="110"/>
        <v>46220</v>
      </c>
      <c r="AJ41" s="116">
        <f t="shared" si="110"/>
        <v>46221</v>
      </c>
      <c r="AK41" s="116">
        <f t="shared" si="110"/>
        <v>46222</v>
      </c>
      <c r="AL41" s="116">
        <f t="shared" si="110"/>
        <v>46223</v>
      </c>
      <c r="AM41" s="116">
        <f t="shared" si="110"/>
        <v>46224</v>
      </c>
      <c r="AN41" s="116">
        <f t="shared" si="110"/>
        <v>46225</v>
      </c>
      <c r="AO41" s="116">
        <f t="shared" si="110"/>
        <v>46226</v>
      </c>
      <c r="AP41" s="116">
        <f t="shared" si="110"/>
        <v>46227</v>
      </c>
      <c r="AQ41" s="116">
        <f t="shared" si="110"/>
        <v>46228</v>
      </c>
      <c r="AR41" s="116">
        <f t="shared" si="110"/>
        <v>46229</v>
      </c>
      <c r="AS41" s="116">
        <f t="shared" ref="AS41:BX41" si="111">AR41+1</f>
        <v>46230</v>
      </c>
      <c r="AT41" s="116">
        <f t="shared" si="111"/>
        <v>46231</v>
      </c>
      <c r="AU41" s="116">
        <f t="shared" si="111"/>
        <v>46232</v>
      </c>
      <c r="AV41" s="116">
        <f t="shared" si="111"/>
        <v>46233</v>
      </c>
      <c r="AW41" s="116">
        <f t="shared" si="111"/>
        <v>46234</v>
      </c>
      <c r="AX41" s="116">
        <f t="shared" si="111"/>
        <v>46235</v>
      </c>
      <c r="AY41" s="116">
        <f t="shared" si="111"/>
        <v>46236</v>
      </c>
      <c r="AZ41" s="116">
        <f t="shared" si="111"/>
        <v>46237</v>
      </c>
      <c r="BA41" s="116">
        <f t="shared" si="111"/>
        <v>46238</v>
      </c>
      <c r="BB41" s="116">
        <f t="shared" si="111"/>
        <v>46239</v>
      </c>
      <c r="BC41" s="116">
        <f t="shared" si="111"/>
        <v>46240</v>
      </c>
      <c r="BD41" s="116">
        <f t="shared" si="111"/>
        <v>46241</v>
      </c>
      <c r="BE41" s="116">
        <f t="shared" si="111"/>
        <v>46242</v>
      </c>
      <c r="BF41" s="116">
        <f t="shared" si="111"/>
        <v>46243</v>
      </c>
      <c r="BG41" s="116">
        <f t="shared" si="111"/>
        <v>46244</v>
      </c>
      <c r="BH41" s="116">
        <f t="shared" si="111"/>
        <v>46245</v>
      </c>
      <c r="BI41" s="116">
        <f t="shared" si="111"/>
        <v>46246</v>
      </c>
      <c r="BJ41" s="116">
        <f t="shared" si="111"/>
        <v>46247</v>
      </c>
      <c r="BK41" s="116">
        <f t="shared" si="111"/>
        <v>46248</v>
      </c>
      <c r="BL41" s="116">
        <f t="shared" si="111"/>
        <v>46249</v>
      </c>
      <c r="BM41" s="116">
        <f t="shared" si="111"/>
        <v>46250</v>
      </c>
      <c r="BN41" s="116">
        <f t="shared" si="111"/>
        <v>46251</v>
      </c>
      <c r="BO41" s="116">
        <f t="shared" si="111"/>
        <v>46252</v>
      </c>
      <c r="BP41" s="116">
        <f t="shared" si="111"/>
        <v>46253</v>
      </c>
      <c r="BQ41" s="116">
        <f t="shared" si="111"/>
        <v>46254</v>
      </c>
      <c r="BR41" s="116">
        <f t="shared" si="111"/>
        <v>46255</v>
      </c>
      <c r="BS41" s="116">
        <f t="shared" si="111"/>
        <v>46256</v>
      </c>
      <c r="BT41" s="116">
        <f t="shared" si="111"/>
        <v>46257</v>
      </c>
      <c r="BU41" s="116">
        <f t="shared" si="111"/>
        <v>46258</v>
      </c>
      <c r="BV41" s="116">
        <f t="shared" si="111"/>
        <v>46259</v>
      </c>
      <c r="BW41" s="116">
        <f t="shared" si="111"/>
        <v>46260</v>
      </c>
      <c r="BX41" s="116">
        <f t="shared" si="111"/>
        <v>46261</v>
      </c>
      <c r="BY41" s="116">
        <f t="shared" ref="BY41:DD41" si="112">BX41+1</f>
        <v>46262</v>
      </c>
      <c r="BZ41" s="116">
        <f t="shared" si="112"/>
        <v>46263</v>
      </c>
      <c r="CA41" s="116">
        <f t="shared" si="112"/>
        <v>46264</v>
      </c>
      <c r="CB41" s="116">
        <f t="shared" si="112"/>
        <v>46265</v>
      </c>
      <c r="CC41" s="116">
        <f t="shared" si="112"/>
        <v>46266</v>
      </c>
      <c r="CD41" s="116">
        <f t="shared" si="112"/>
        <v>46267</v>
      </c>
      <c r="CE41" s="116">
        <f t="shared" si="112"/>
        <v>46268</v>
      </c>
      <c r="CF41" s="116">
        <f t="shared" si="112"/>
        <v>46269</v>
      </c>
      <c r="CG41" s="116">
        <f t="shared" si="112"/>
        <v>46270</v>
      </c>
      <c r="CH41" s="116">
        <f t="shared" si="112"/>
        <v>46271</v>
      </c>
      <c r="CI41" s="116">
        <f t="shared" si="112"/>
        <v>46272</v>
      </c>
      <c r="CJ41" s="116">
        <f t="shared" si="112"/>
        <v>46273</v>
      </c>
      <c r="CK41" s="116">
        <f t="shared" si="112"/>
        <v>46274</v>
      </c>
      <c r="CL41" s="116">
        <f t="shared" si="112"/>
        <v>46275</v>
      </c>
      <c r="CM41" s="116">
        <f t="shared" si="112"/>
        <v>46276</v>
      </c>
      <c r="CN41" s="116">
        <f t="shared" si="112"/>
        <v>46277</v>
      </c>
      <c r="CO41" s="116">
        <f t="shared" si="112"/>
        <v>46278</v>
      </c>
      <c r="CP41" s="116">
        <f t="shared" si="112"/>
        <v>46279</v>
      </c>
      <c r="CQ41" s="116">
        <f t="shared" si="112"/>
        <v>46280</v>
      </c>
      <c r="CR41" s="116">
        <f t="shared" si="112"/>
        <v>46281</v>
      </c>
      <c r="CS41" s="116">
        <f t="shared" si="112"/>
        <v>46282</v>
      </c>
      <c r="CT41" s="116">
        <f t="shared" si="112"/>
        <v>46283</v>
      </c>
      <c r="CU41" s="116">
        <f t="shared" si="112"/>
        <v>46284</v>
      </c>
      <c r="CV41" s="116">
        <f t="shared" si="112"/>
        <v>46285</v>
      </c>
      <c r="CW41" s="116">
        <f t="shared" si="112"/>
        <v>46286</v>
      </c>
      <c r="CX41" s="116">
        <f t="shared" si="112"/>
        <v>46287</v>
      </c>
      <c r="CY41" s="116">
        <f t="shared" si="112"/>
        <v>46288</v>
      </c>
      <c r="CZ41" s="116">
        <f t="shared" si="112"/>
        <v>46289</v>
      </c>
      <c r="DA41" s="116">
        <f t="shared" si="112"/>
        <v>46290</v>
      </c>
      <c r="DB41" s="116">
        <f t="shared" si="112"/>
        <v>46291</v>
      </c>
      <c r="DC41" s="116">
        <f t="shared" si="112"/>
        <v>46292</v>
      </c>
      <c r="DD41" s="116">
        <f t="shared" si="112"/>
        <v>46293</v>
      </c>
      <c r="DE41" s="116">
        <f t="shared" ref="DE41:EL41" si="113">DD41+1</f>
        <v>46294</v>
      </c>
      <c r="DF41" s="116">
        <f t="shared" si="113"/>
        <v>46295</v>
      </c>
      <c r="DG41" s="116">
        <f t="shared" si="113"/>
        <v>46296</v>
      </c>
      <c r="DH41" s="116">
        <f t="shared" si="113"/>
        <v>46297</v>
      </c>
      <c r="DI41" s="116">
        <f t="shared" si="113"/>
        <v>46298</v>
      </c>
      <c r="DJ41" s="116">
        <f t="shared" si="113"/>
        <v>46299</v>
      </c>
      <c r="DK41" s="116">
        <f t="shared" si="113"/>
        <v>46300</v>
      </c>
      <c r="DL41" s="116">
        <f t="shared" si="113"/>
        <v>46301</v>
      </c>
      <c r="DM41" s="116">
        <f t="shared" si="113"/>
        <v>46302</v>
      </c>
      <c r="DN41" s="116">
        <f t="shared" si="113"/>
        <v>46303</v>
      </c>
      <c r="DO41" s="116">
        <f t="shared" si="113"/>
        <v>46304</v>
      </c>
      <c r="DP41" s="116">
        <f t="shared" si="113"/>
        <v>46305</v>
      </c>
      <c r="DQ41" s="116">
        <f t="shared" si="113"/>
        <v>46306</v>
      </c>
      <c r="DR41" s="116">
        <f t="shared" si="113"/>
        <v>46307</v>
      </c>
      <c r="DS41" s="116">
        <f t="shared" si="113"/>
        <v>46308</v>
      </c>
      <c r="DT41" s="116">
        <f t="shared" si="113"/>
        <v>46309</v>
      </c>
      <c r="DU41" s="116">
        <f t="shared" si="113"/>
        <v>46310</v>
      </c>
      <c r="DV41" s="116">
        <f t="shared" si="113"/>
        <v>46311</v>
      </c>
      <c r="DW41" s="116">
        <f t="shared" si="113"/>
        <v>46312</v>
      </c>
      <c r="DX41" s="116">
        <f t="shared" si="113"/>
        <v>46313</v>
      </c>
      <c r="DY41" s="116">
        <f t="shared" si="113"/>
        <v>46314</v>
      </c>
      <c r="DZ41" s="116">
        <f t="shared" si="113"/>
        <v>46315</v>
      </c>
      <c r="EA41" s="116">
        <f t="shared" si="113"/>
        <v>46316</v>
      </c>
      <c r="EB41" s="116">
        <f t="shared" si="113"/>
        <v>46317</v>
      </c>
      <c r="EC41" s="116">
        <f t="shared" si="113"/>
        <v>46318</v>
      </c>
      <c r="ED41" s="116">
        <f t="shared" si="113"/>
        <v>46319</v>
      </c>
      <c r="EE41" s="116">
        <f t="shared" si="113"/>
        <v>46320</v>
      </c>
      <c r="EF41" s="116">
        <f t="shared" si="113"/>
        <v>46321</v>
      </c>
      <c r="EG41" s="116">
        <f t="shared" si="113"/>
        <v>46322</v>
      </c>
      <c r="EH41" s="116">
        <f t="shared" si="113"/>
        <v>46323</v>
      </c>
      <c r="EI41" s="116">
        <f t="shared" si="113"/>
        <v>46324</v>
      </c>
      <c r="EJ41" s="116">
        <f t="shared" si="113"/>
        <v>46325</v>
      </c>
      <c r="EK41" s="116">
        <f t="shared" si="113"/>
        <v>46326</v>
      </c>
      <c r="EL41" s="116">
        <f t="shared" si="113"/>
        <v>46327</v>
      </c>
    </row>
    <row r="42" spans="1:144">
      <c r="A42" s="466"/>
      <c r="B42" s="502"/>
      <c r="C42" s="502"/>
      <c r="D42" s="467" t="str">
        <f>'BESS 11'!H232</f>
        <v>10 Sep
30 Sep</v>
      </c>
      <c r="E42" s="109" t="s">
        <v>64</v>
      </c>
      <c r="F42" s="102">
        <f>SUM('BESS 11'!S245:S252,'BESS 11'!S254)</f>
        <v>47.2</v>
      </c>
      <c r="G42" s="101">
        <f>MAX('BESS 11'!O245:O252,'BESS 11'!O254)-MIN('BESS 11'!O245:O252,'BESS 11'!O254)+1</f>
        <v>43</v>
      </c>
      <c r="H42" s="101"/>
      <c r="I42" s="110">
        <f>MIN('BESS 11'!O245:O252,'BESS 11'!O254)</f>
        <v>46233</v>
      </c>
      <c r="J42" s="101" t="str">
        <f t="shared" ref="J42:S45" si="114">IF(AND(J$1&gt;=$I42,J$1&lt;($I42+$G42)),ROUND($F42/$G42,0),"-")</f>
        <v>-</v>
      </c>
      <c r="K42" s="101" t="str">
        <f t="shared" si="114"/>
        <v>-</v>
      </c>
      <c r="L42" s="101" t="str">
        <f t="shared" si="114"/>
        <v>-</v>
      </c>
      <c r="M42" s="101" t="str">
        <f t="shared" si="114"/>
        <v>-</v>
      </c>
      <c r="N42" s="101" t="str">
        <f t="shared" si="114"/>
        <v>-</v>
      </c>
      <c r="O42" s="101" t="str">
        <f t="shared" si="114"/>
        <v>-</v>
      </c>
      <c r="P42" s="101" t="str">
        <f t="shared" si="114"/>
        <v>-</v>
      </c>
      <c r="Q42" s="101" t="str">
        <f t="shared" si="114"/>
        <v>-</v>
      </c>
      <c r="R42" s="101" t="str">
        <f t="shared" si="114"/>
        <v>-</v>
      </c>
      <c r="S42" s="101" t="str">
        <f t="shared" si="114"/>
        <v>-</v>
      </c>
      <c r="T42" s="101" t="str">
        <f t="shared" ref="T42:AC45" si="115">IF(AND(T$1&gt;=$I42,T$1&lt;($I42+$G42)),ROUND($F42/$G42,0),"-")</f>
        <v>-</v>
      </c>
      <c r="U42" s="101" t="str">
        <f t="shared" si="115"/>
        <v>-</v>
      </c>
      <c r="V42" s="101" t="str">
        <f t="shared" si="115"/>
        <v>-</v>
      </c>
      <c r="W42" s="101" t="str">
        <f t="shared" si="115"/>
        <v>-</v>
      </c>
      <c r="X42" s="101" t="str">
        <f t="shared" si="115"/>
        <v>-</v>
      </c>
      <c r="Y42" s="101" t="str">
        <f t="shared" si="115"/>
        <v>-</v>
      </c>
      <c r="Z42" s="101" t="str">
        <f t="shared" si="115"/>
        <v>-</v>
      </c>
      <c r="AA42" s="101" t="str">
        <f t="shared" si="115"/>
        <v>-</v>
      </c>
      <c r="AB42" s="101" t="str">
        <f t="shared" si="115"/>
        <v>-</v>
      </c>
      <c r="AC42" s="101" t="str">
        <f t="shared" si="115"/>
        <v>-</v>
      </c>
      <c r="AD42" s="101" t="str">
        <f t="shared" ref="AD42:AM45" si="116">IF(AND(AD$1&gt;=$I42,AD$1&lt;($I42+$G42)),ROUND($F42/$G42,0),"-")</f>
        <v>-</v>
      </c>
      <c r="AE42" s="101" t="str">
        <f t="shared" si="116"/>
        <v>-</v>
      </c>
      <c r="AF42" s="101" t="str">
        <f t="shared" si="116"/>
        <v>-</v>
      </c>
      <c r="AG42" s="101" t="str">
        <f t="shared" si="116"/>
        <v>-</v>
      </c>
      <c r="AH42" s="101" t="str">
        <f t="shared" si="116"/>
        <v>-</v>
      </c>
      <c r="AI42" s="101" t="str">
        <f t="shared" si="116"/>
        <v>-</v>
      </c>
      <c r="AJ42" s="101" t="str">
        <f t="shared" si="116"/>
        <v>-</v>
      </c>
      <c r="AK42" s="101" t="str">
        <f t="shared" si="116"/>
        <v>-</v>
      </c>
      <c r="AL42" s="101" t="str">
        <f t="shared" si="116"/>
        <v>-</v>
      </c>
      <c r="AM42" s="101" t="str">
        <f t="shared" si="116"/>
        <v>-</v>
      </c>
      <c r="AN42" s="101" t="str">
        <f t="shared" ref="AN42:AW45" si="117">IF(AND(AN$1&gt;=$I42,AN$1&lt;($I42+$G42)),ROUND($F42/$G42,0),"-")</f>
        <v>-</v>
      </c>
      <c r="AO42" s="101" t="str">
        <f t="shared" si="117"/>
        <v>-</v>
      </c>
      <c r="AP42" s="101" t="str">
        <f t="shared" si="117"/>
        <v>-</v>
      </c>
      <c r="AQ42" s="101" t="str">
        <f t="shared" si="117"/>
        <v>-</v>
      </c>
      <c r="AR42" s="101" t="str">
        <f t="shared" si="117"/>
        <v>-</v>
      </c>
      <c r="AS42" s="101" t="str">
        <f t="shared" si="117"/>
        <v>-</v>
      </c>
      <c r="AT42" s="101" t="str">
        <f t="shared" si="117"/>
        <v>-</v>
      </c>
      <c r="AU42" s="101" t="str">
        <f t="shared" si="117"/>
        <v>-</v>
      </c>
      <c r="AV42" s="101">
        <f t="shared" si="117"/>
        <v>1</v>
      </c>
      <c r="AW42" s="101">
        <f t="shared" si="117"/>
        <v>1</v>
      </c>
      <c r="AX42" s="101">
        <f t="shared" ref="AX42:BG45" si="118">IF(AND(AX$1&gt;=$I42,AX$1&lt;($I42+$G42)),ROUND($F42/$G42,0),"-")</f>
        <v>1</v>
      </c>
      <c r="AY42" s="101">
        <f t="shared" si="118"/>
        <v>1</v>
      </c>
      <c r="AZ42" s="101">
        <f t="shared" si="118"/>
        <v>1</v>
      </c>
      <c r="BA42" s="101">
        <f t="shared" si="118"/>
        <v>1</v>
      </c>
      <c r="BB42" s="101">
        <f t="shared" si="118"/>
        <v>1</v>
      </c>
      <c r="BC42" s="101">
        <f t="shared" si="118"/>
        <v>1</v>
      </c>
      <c r="BD42" s="101">
        <f t="shared" si="118"/>
        <v>1</v>
      </c>
      <c r="BE42" s="101">
        <f t="shared" si="118"/>
        <v>1</v>
      </c>
      <c r="BF42" s="101">
        <f t="shared" si="118"/>
        <v>1</v>
      </c>
      <c r="BG42" s="101">
        <f t="shared" si="118"/>
        <v>1</v>
      </c>
      <c r="BH42" s="101">
        <f t="shared" ref="BH42:BQ45" si="119">IF(AND(BH$1&gt;=$I42,BH$1&lt;($I42+$G42)),ROUND($F42/$G42,0),"-")</f>
        <v>1</v>
      </c>
      <c r="BI42" s="101">
        <f t="shared" si="119"/>
        <v>1</v>
      </c>
      <c r="BJ42" s="101">
        <f t="shared" si="119"/>
        <v>1</v>
      </c>
      <c r="BK42" s="101">
        <f t="shared" si="119"/>
        <v>1</v>
      </c>
      <c r="BL42" s="101">
        <f t="shared" si="119"/>
        <v>1</v>
      </c>
      <c r="BM42" s="101">
        <f t="shared" si="119"/>
        <v>1</v>
      </c>
      <c r="BN42" s="101">
        <f t="shared" si="119"/>
        <v>1</v>
      </c>
      <c r="BO42" s="101">
        <f t="shared" si="119"/>
        <v>1</v>
      </c>
      <c r="BP42" s="101">
        <f t="shared" si="119"/>
        <v>1</v>
      </c>
      <c r="BQ42" s="101">
        <f t="shared" si="119"/>
        <v>1</v>
      </c>
      <c r="BR42" s="101">
        <f t="shared" ref="BR42:CA45" si="120">IF(AND(BR$1&gt;=$I42,BR$1&lt;($I42+$G42)),ROUND($F42/$G42,0),"-")</f>
        <v>1</v>
      </c>
      <c r="BS42" s="101">
        <f t="shared" si="120"/>
        <v>1</v>
      </c>
      <c r="BT42" s="101">
        <f t="shared" si="120"/>
        <v>1</v>
      </c>
      <c r="BU42" s="101">
        <f t="shared" si="120"/>
        <v>1</v>
      </c>
      <c r="BV42" s="101">
        <f t="shared" si="120"/>
        <v>1</v>
      </c>
      <c r="BW42" s="101">
        <f t="shared" si="120"/>
        <v>1</v>
      </c>
      <c r="BX42" s="101">
        <f t="shared" si="120"/>
        <v>1</v>
      </c>
      <c r="BY42" s="101">
        <f t="shared" si="120"/>
        <v>1</v>
      </c>
      <c r="BZ42" s="101">
        <f t="shared" si="120"/>
        <v>1</v>
      </c>
      <c r="CA42" s="101">
        <f t="shared" si="120"/>
        <v>1</v>
      </c>
      <c r="CB42" s="101">
        <f t="shared" ref="CB42:CK45" si="121">IF(AND(CB$1&gt;=$I42,CB$1&lt;($I42+$G42)),ROUND($F42/$G42,0),"-")</f>
        <v>1</v>
      </c>
      <c r="CC42" s="101">
        <f t="shared" si="121"/>
        <v>1</v>
      </c>
      <c r="CD42" s="101">
        <f t="shared" si="121"/>
        <v>1</v>
      </c>
      <c r="CE42" s="101">
        <f t="shared" si="121"/>
        <v>1</v>
      </c>
      <c r="CF42" s="101">
        <f t="shared" si="121"/>
        <v>1</v>
      </c>
      <c r="CG42" s="101">
        <f t="shared" si="121"/>
        <v>1</v>
      </c>
      <c r="CH42" s="101">
        <f t="shared" si="121"/>
        <v>1</v>
      </c>
      <c r="CI42" s="101">
        <f t="shared" si="121"/>
        <v>1</v>
      </c>
      <c r="CJ42" s="101">
        <f t="shared" si="121"/>
        <v>1</v>
      </c>
      <c r="CK42" s="101">
        <f t="shared" si="121"/>
        <v>1</v>
      </c>
      <c r="CL42" s="101">
        <f t="shared" ref="CL42:CU45" si="122">IF(AND(CL$1&gt;=$I42,CL$1&lt;($I42+$G42)),ROUND($F42/$G42,0),"-")</f>
        <v>1</v>
      </c>
      <c r="CM42" s="101" t="str">
        <f t="shared" si="122"/>
        <v>-</v>
      </c>
      <c r="CN42" s="101" t="str">
        <f t="shared" si="122"/>
        <v>-</v>
      </c>
      <c r="CO42" s="101" t="str">
        <f t="shared" si="122"/>
        <v>-</v>
      </c>
      <c r="CP42" s="101" t="str">
        <f t="shared" si="122"/>
        <v>-</v>
      </c>
      <c r="CQ42" s="101" t="str">
        <f t="shared" si="122"/>
        <v>-</v>
      </c>
      <c r="CR42" s="101" t="str">
        <f t="shared" si="122"/>
        <v>-</v>
      </c>
      <c r="CS42" s="101" t="str">
        <f t="shared" si="122"/>
        <v>-</v>
      </c>
      <c r="CT42" s="101" t="str">
        <f t="shared" si="122"/>
        <v>-</v>
      </c>
      <c r="CU42" s="101" t="str">
        <f t="shared" si="122"/>
        <v>-</v>
      </c>
      <c r="CV42" s="101" t="str">
        <f t="shared" ref="CV42:DE45" si="123">IF(AND(CV$1&gt;=$I42,CV$1&lt;($I42+$G42)),ROUND($F42/$G42,0),"-")</f>
        <v>-</v>
      </c>
      <c r="CW42" s="101" t="str">
        <f t="shared" si="123"/>
        <v>-</v>
      </c>
      <c r="CX42" s="101" t="str">
        <f t="shared" si="123"/>
        <v>-</v>
      </c>
      <c r="CY42" s="101" t="str">
        <f t="shared" si="123"/>
        <v>-</v>
      </c>
      <c r="CZ42" s="101" t="str">
        <f t="shared" si="123"/>
        <v>-</v>
      </c>
      <c r="DA42" s="101" t="str">
        <f t="shared" si="123"/>
        <v>-</v>
      </c>
      <c r="DB42" s="101" t="str">
        <f t="shared" si="123"/>
        <v>-</v>
      </c>
      <c r="DC42" s="101" t="str">
        <f t="shared" si="123"/>
        <v>-</v>
      </c>
      <c r="DD42" s="101" t="str">
        <f t="shared" si="123"/>
        <v>-</v>
      </c>
      <c r="DE42" s="101" t="str">
        <f t="shared" si="123"/>
        <v>-</v>
      </c>
      <c r="DF42" s="101" t="str">
        <f t="shared" ref="DF42:DO45" si="124">IF(AND(DF$1&gt;=$I42,DF$1&lt;($I42+$G42)),ROUND($F42/$G42,0),"-")</f>
        <v>-</v>
      </c>
      <c r="DG42" s="101" t="str">
        <f t="shared" si="124"/>
        <v>-</v>
      </c>
      <c r="DH42" s="101" t="str">
        <f t="shared" si="124"/>
        <v>-</v>
      </c>
      <c r="DI42" s="101" t="str">
        <f t="shared" si="124"/>
        <v>-</v>
      </c>
      <c r="DJ42" s="101" t="str">
        <f t="shared" si="124"/>
        <v>-</v>
      </c>
      <c r="DK42" s="101" t="str">
        <f t="shared" si="124"/>
        <v>-</v>
      </c>
      <c r="DL42" s="101" t="str">
        <f t="shared" si="124"/>
        <v>-</v>
      </c>
      <c r="DM42" s="101" t="str">
        <f t="shared" si="124"/>
        <v>-</v>
      </c>
      <c r="DN42" s="101" t="str">
        <f t="shared" si="124"/>
        <v>-</v>
      </c>
      <c r="DO42" s="101" t="str">
        <f t="shared" si="124"/>
        <v>-</v>
      </c>
      <c r="DP42" s="101" t="str">
        <f t="shared" ref="DP42:DY45" si="125">IF(AND(DP$1&gt;=$I42,DP$1&lt;($I42+$G42)),ROUND($F42/$G42,0),"-")</f>
        <v>-</v>
      </c>
      <c r="DQ42" s="101" t="str">
        <f t="shared" si="125"/>
        <v>-</v>
      </c>
      <c r="DR42" s="101" t="str">
        <f t="shared" si="125"/>
        <v>-</v>
      </c>
      <c r="DS42" s="101" t="str">
        <f t="shared" si="125"/>
        <v>-</v>
      </c>
      <c r="DT42" s="101" t="str">
        <f t="shared" si="125"/>
        <v>-</v>
      </c>
      <c r="DU42" s="101" t="str">
        <f t="shared" si="125"/>
        <v>-</v>
      </c>
      <c r="DV42" s="101" t="str">
        <f t="shared" si="125"/>
        <v>-</v>
      </c>
      <c r="DW42" s="101" t="str">
        <f t="shared" si="125"/>
        <v>-</v>
      </c>
      <c r="DX42" s="101" t="str">
        <f t="shared" si="125"/>
        <v>-</v>
      </c>
      <c r="DY42" s="101" t="str">
        <f t="shared" si="125"/>
        <v>-</v>
      </c>
      <c r="DZ42" s="101" t="str">
        <f t="shared" ref="DZ42:EL45" si="126">IF(AND(DZ$1&gt;=$I42,DZ$1&lt;($I42+$G42)),ROUND($F42/$G42,0),"-")</f>
        <v>-</v>
      </c>
      <c r="EA42" s="101" t="str">
        <f t="shared" si="126"/>
        <v>-</v>
      </c>
      <c r="EB42" s="101" t="str">
        <f t="shared" si="126"/>
        <v>-</v>
      </c>
      <c r="EC42" s="101" t="str">
        <f t="shared" si="126"/>
        <v>-</v>
      </c>
      <c r="ED42" s="101" t="str">
        <f t="shared" si="126"/>
        <v>-</v>
      </c>
      <c r="EE42" s="101" t="str">
        <f t="shared" si="126"/>
        <v>-</v>
      </c>
      <c r="EF42" s="101" t="str">
        <f t="shared" si="126"/>
        <v>-</v>
      </c>
      <c r="EG42" s="101" t="str">
        <f t="shared" si="126"/>
        <v>-</v>
      </c>
      <c r="EH42" s="101" t="str">
        <f t="shared" si="126"/>
        <v>-</v>
      </c>
      <c r="EI42" s="101" t="str">
        <f t="shared" si="126"/>
        <v>-</v>
      </c>
      <c r="EJ42" s="101" t="str">
        <f t="shared" si="126"/>
        <v>-</v>
      </c>
      <c r="EK42" s="101" t="str">
        <f t="shared" si="126"/>
        <v>-</v>
      </c>
      <c r="EL42" s="101" t="str">
        <f t="shared" si="126"/>
        <v>-</v>
      </c>
    </row>
    <row r="43" spans="1:144">
      <c r="A43" s="466"/>
      <c r="B43" s="502"/>
      <c r="C43" s="502"/>
      <c r="D43" s="466"/>
      <c r="E43" s="109" t="s">
        <v>65</v>
      </c>
      <c r="F43" s="102">
        <f>SUM('BESS 11'!S255,'BESS 11'!S257:S258,'BESS 11'!S261:S263)</f>
        <v>1506.8875466666666</v>
      </c>
      <c r="G43" s="101">
        <f>MAX('BESS 11'!O255,'BESS 11'!O257:O258,'BESS 11'!O261:O263)-MIN('BESS 11'!O255,'BESS 11'!O257:O258,'BESS 11'!O261:O263)+1</f>
        <v>10</v>
      </c>
      <c r="H43" s="101"/>
      <c r="I43" s="110">
        <f>MIN('BESS 11'!O255,'BESS 11'!O257:O258,'BESS 11'!O261:O263)</f>
        <v>46239</v>
      </c>
      <c r="J43" s="101" t="str">
        <f t="shared" si="114"/>
        <v>-</v>
      </c>
      <c r="K43" s="101" t="str">
        <f t="shared" si="114"/>
        <v>-</v>
      </c>
      <c r="L43" s="101" t="str">
        <f t="shared" si="114"/>
        <v>-</v>
      </c>
      <c r="M43" s="101" t="str">
        <f t="shared" si="114"/>
        <v>-</v>
      </c>
      <c r="N43" s="101" t="str">
        <f t="shared" si="114"/>
        <v>-</v>
      </c>
      <c r="O43" s="101" t="str">
        <f t="shared" si="114"/>
        <v>-</v>
      </c>
      <c r="P43" s="101" t="str">
        <f t="shared" si="114"/>
        <v>-</v>
      </c>
      <c r="Q43" s="101" t="str">
        <f t="shared" si="114"/>
        <v>-</v>
      </c>
      <c r="R43" s="101" t="str">
        <f t="shared" si="114"/>
        <v>-</v>
      </c>
      <c r="S43" s="101" t="str">
        <f t="shared" si="114"/>
        <v>-</v>
      </c>
      <c r="T43" s="101" t="str">
        <f t="shared" si="115"/>
        <v>-</v>
      </c>
      <c r="U43" s="101" t="str">
        <f t="shared" si="115"/>
        <v>-</v>
      </c>
      <c r="V43" s="101" t="str">
        <f t="shared" si="115"/>
        <v>-</v>
      </c>
      <c r="W43" s="101" t="str">
        <f t="shared" si="115"/>
        <v>-</v>
      </c>
      <c r="X43" s="101" t="str">
        <f t="shared" si="115"/>
        <v>-</v>
      </c>
      <c r="Y43" s="101" t="str">
        <f t="shared" si="115"/>
        <v>-</v>
      </c>
      <c r="Z43" s="101" t="str">
        <f t="shared" si="115"/>
        <v>-</v>
      </c>
      <c r="AA43" s="101" t="str">
        <f t="shared" si="115"/>
        <v>-</v>
      </c>
      <c r="AB43" s="101" t="str">
        <f t="shared" si="115"/>
        <v>-</v>
      </c>
      <c r="AC43" s="101" t="str">
        <f t="shared" si="115"/>
        <v>-</v>
      </c>
      <c r="AD43" s="101" t="str">
        <f t="shared" si="116"/>
        <v>-</v>
      </c>
      <c r="AE43" s="101" t="str">
        <f t="shared" si="116"/>
        <v>-</v>
      </c>
      <c r="AF43" s="101" t="str">
        <f t="shared" si="116"/>
        <v>-</v>
      </c>
      <c r="AG43" s="101" t="str">
        <f t="shared" si="116"/>
        <v>-</v>
      </c>
      <c r="AH43" s="101" t="str">
        <f t="shared" si="116"/>
        <v>-</v>
      </c>
      <c r="AI43" s="101" t="str">
        <f t="shared" si="116"/>
        <v>-</v>
      </c>
      <c r="AJ43" s="101" t="str">
        <f t="shared" si="116"/>
        <v>-</v>
      </c>
      <c r="AK43" s="101" t="str">
        <f t="shared" si="116"/>
        <v>-</v>
      </c>
      <c r="AL43" s="101" t="str">
        <f t="shared" si="116"/>
        <v>-</v>
      </c>
      <c r="AM43" s="101" t="str">
        <f t="shared" si="116"/>
        <v>-</v>
      </c>
      <c r="AN43" s="101" t="str">
        <f t="shared" si="117"/>
        <v>-</v>
      </c>
      <c r="AO43" s="101" t="str">
        <f t="shared" si="117"/>
        <v>-</v>
      </c>
      <c r="AP43" s="101" t="str">
        <f t="shared" si="117"/>
        <v>-</v>
      </c>
      <c r="AQ43" s="101" t="str">
        <f t="shared" si="117"/>
        <v>-</v>
      </c>
      <c r="AR43" s="101" t="str">
        <f t="shared" si="117"/>
        <v>-</v>
      </c>
      <c r="AS43" s="101" t="str">
        <f t="shared" si="117"/>
        <v>-</v>
      </c>
      <c r="AT43" s="101" t="str">
        <f t="shared" si="117"/>
        <v>-</v>
      </c>
      <c r="AU43" s="101" t="str">
        <f t="shared" si="117"/>
        <v>-</v>
      </c>
      <c r="AV43" s="101" t="str">
        <f t="shared" si="117"/>
        <v>-</v>
      </c>
      <c r="AW43" s="101" t="str">
        <f t="shared" si="117"/>
        <v>-</v>
      </c>
      <c r="AX43" s="101" t="str">
        <f t="shared" si="118"/>
        <v>-</v>
      </c>
      <c r="AY43" s="101" t="str">
        <f t="shared" si="118"/>
        <v>-</v>
      </c>
      <c r="AZ43" s="101" t="str">
        <f t="shared" si="118"/>
        <v>-</v>
      </c>
      <c r="BA43" s="101" t="str">
        <f t="shared" si="118"/>
        <v>-</v>
      </c>
      <c r="BB43" s="101">
        <f t="shared" si="118"/>
        <v>151</v>
      </c>
      <c r="BC43" s="101">
        <f t="shared" si="118"/>
        <v>151</v>
      </c>
      <c r="BD43" s="101">
        <f t="shared" si="118"/>
        <v>151</v>
      </c>
      <c r="BE43" s="101">
        <f t="shared" si="118"/>
        <v>151</v>
      </c>
      <c r="BF43" s="101">
        <f t="shared" si="118"/>
        <v>151</v>
      </c>
      <c r="BG43" s="101">
        <f t="shared" si="118"/>
        <v>151</v>
      </c>
      <c r="BH43" s="101">
        <f t="shared" si="119"/>
        <v>151</v>
      </c>
      <c r="BI43" s="101">
        <f t="shared" si="119"/>
        <v>151</v>
      </c>
      <c r="BJ43" s="101">
        <f t="shared" si="119"/>
        <v>151</v>
      </c>
      <c r="BK43" s="101">
        <f t="shared" si="119"/>
        <v>151</v>
      </c>
      <c r="BL43" s="101" t="str">
        <f t="shared" si="119"/>
        <v>-</v>
      </c>
      <c r="BM43" s="101" t="str">
        <f t="shared" si="119"/>
        <v>-</v>
      </c>
      <c r="BN43" s="101" t="str">
        <f t="shared" si="119"/>
        <v>-</v>
      </c>
      <c r="BO43" s="101" t="str">
        <f t="shared" si="119"/>
        <v>-</v>
      </c>
      <c r="BP43" s="101" t="str">
        <f t="shared" si="119"/>
        <v>-</v>
      </c>
      <c r="BQ43" s="101" t="str">
        <f t="shared" si="119"/>
        <v>-</v>
      </c>
      <c r="BR43" s="101" t="str">
        <f t="shared" si="120"/>
        <v>-</v>
      </c>
      <c r="BS43" s="101" t="str">
        <f t="shared" si="120"/>
        <v>-</v>
      </c>
      <c r="BT43" s="101" t="str">
        <f t="shared" si="120"/>
        <v>-</v>
      </c>
      <c r="BU43" s="101" t="str">
        <f t="shared" si="120"/>
        <v>-</v>
      </c>
      <c r="BV43" s="101" t="str">
        <f t="shared" si="120"/>
        <v>-</v>
      </c>
      <c r="BW43" s="101" t="str">
        <f t="shared" si="120"/>
        <v>-</v>
      </c>
      <c r="BX43" s="101" t="str">
        <f t="shared" si="120"/>
        <v>-</v>
      </c>
      <c r="BY43" s="101" t="str">
        <f t="shared" si="120"/>
        <v>-</v>
      </c>
      <c r="BZ43" s="101" t="str">
        <f t="shared" si="120"/>
        <v>-</v>
      </c>
      <c r="CA43" s="101" t="str">
        <f t="shared" si="120"/>
        <v>-</v>
      </c>
      <c r="CB43" s="101" t="str">
        <f t="shared" si="121"/>
        <v>-</v>
      </c>
      <c r="CC43" s="101" t="str">
        <f t="shared" si="121"/>
        <v>-</v>
      </c>
      <c r="CD43" s="101" t="str">
        <f t="shared" si="121"/>
        <v>-</v>
      </c>
      <c r="CE43" s="101" t="str">
        <f t="shared" si="121"/>
        <v>-</v>
      </c>
      <c r="CF43" s="101" t="str">
        <f t="shared" si="121"/>
        <v>-</v>
      </c>
      <c r="CG43" s="101" t="str">
        <f t="shared" si="121"/>
        <v>-</v>
      </c>
      <c r="CH43" s="101" t="str">
        <f t="shared" si="121"/>
        <v>-</v>
      </c>
      <c r="CI43" s="101" t="str">
        <f t="shared" si="121"/>
        <v>-</v>
      </c>
      <c r="CJ43" s="101" t="str">
        <f t="shared" si="121"/>
        <v>-</v>
      </c>
      <c r="CK43" s="101" t="str">
        <f t="shared" si="121"/>
        <v>-</v>
      </c>
      <c r="CL43" s="101" t="str">
        <f t="shared" si="122"/>
        <v>-</v>
      </c>
      <c r="CM43" s="101" t="str">
        <f t="shared" si="122"/>
        <v>-</v>
      </c>
      <c r="CN43" s="101" t="str">
        <f t="shared" si="122"/>
        <v>-</v>
      </c>
      <c r="CO43" s="101" t="str">
        <f t="shared" si="122"/>
        <v>-</v>
      </c>
      <c r="CP43" s="101" t="str">
        <f t="shared" si="122"/>
        <v>-</v>
      </c>
      <c r="CQ43" s="101" t="str">
        <f t="shared" si="122"/>
        <v>-</v>
      </c>
      <c r="CR43" s="101" t="str">
        <f t="shared" si="122"/>
        <v>-</v>
      </c>
      <c r="CS43" s="101" t="str">
        <f t="shared" si="122"/>
        <v>-</v>
      </c>
      <c r="CT43" s="101" t="str">
        <f t="shared" si="122"/>
        <v>-</v>
      </c>
      <c r="CU43" s="101" t="str">
        <f t="shared" si="122"/>
        <v>-</v>
      </c>
      <c r="CV43" s="101" t="str">
        <f t="shared" si="123"/>
        <v>-</v>
      </c>
      <c r="CW43" s="101" t="str">
        <f t="shared" si="123"/>
        <v>-</v>
      </c>
      <c r="CX43" s="101" t="str">
        <f t="shared" si="123"/>
        <v>-</v>
      </c>
      <c r="CY43" s="101" t="str">
        <f t="shared" si="123"/>
        <v>-</v>
      </c>
      <c r="CZ43" s="101" t="str">
        <f t="shared" si="123"/>
        <v>-</v>
      </c>
      <c r="DA43" s="101" t="str">
        <f t="shared" si="123"/>
        <v>-</v>
      </c>
      <c r="DB43" s="101" t="str">
        <f t="shared" si="123"/>
        <v>-</v>
      </c>
      <c r="DC43" s="101" t="str">
        <f t="shared" si="123"/>
        <v>-</v>
      </c>
      <c r="DD43" s="101" t="str">
        <f t="shared" si="123"/>
        <v>-</v>
      </c>
      <c r="DE43" s="101" t="str">
        <f t="shared" si="123"/>
        <v>-</v>
      </c>
      <c r="DF43" s="101" t="str">
        <f t="shared" si="124"/>
        <v>-</v>
      </c>
      <c r="DG43" s="101" t="str">
        <f t="shared" si="124"/>
        <v>-</v>
      </c>
      <c r="DH43" s="101" t="str">
        <f t="shared" si="124"/>
        <v>-</v>
      </c>
      <c r="DI43" s="101" t="str">
        <f t="shared" si="124"/>
        <v>-</v>
      </c>
      <c r="DJ43" s="101" t="str">
        <f t="shared" si="124"/>
        <v>-</v>
      </c>
      <c r="DK43" s="101" t="str">
        <f t="shared" si="124"/>
        <v>-</v>
      </c>
      <c r="DL43" s="101" t="str">
        <f t="shared" si="124"/>
        <v>-</v>
      </c>
      <c r="DM43" s="101" t="str">
        <f t="shared" si="124"/>
        <v>-</v>
      </c>
      <c r="DN43" s="101" t="str">
        <f t="shared" si="124"/>
        <v>-</v>
      </c>
      <c r="DO43" s="101" t="str">
        <f t="shared" si="124"/>
        <v>-</v>
      </c>
      <c r="DP43" s="101" t="str">
        <f t="shared" si="125"/>
        <v>-</v>
      </c>
      <c r="DQ43" s="101" t="str">
        <f t="shared" si="125"/>
        <v>-</v>
      </c>
      <c r="DR43" s="101" t="str">
        <f t="shared" si="125"/>
        <v>-</v>
      </c>
      <c r="DS43" s="101" t="str">
        <f t="shared" si="125"/>
        <v>-</v>
      </c>
      <c r="DT43" s="101" t="str">
        <f t="shared" si="125"/>
        <v>-</v>
      </c>
      <c r="DU43" s="101" t="str">
        <f t="shared" si="125"/>
        <v>-</v>
      </c>
      <c r="DV43" s="101" t="str">
        <f t="shared" si="125"/>
        <v>-</v>
      </c>
      <c r="DW43" s="101" t="str">
        <f t="shared" si="125"/>
        <v>-</v>
      </c>
      <c r="DX43" s="101" t="str">
        <f t="shared" si="125"/>
        <v>-</v>
      </c>
      <c r="DY43" s="101" t="str">
        <f t="shared" si="125"/>
        <v>-</v>
      </c>
      <c r="DZ43" s="101" t="str">
        <f t="shared" si="126"/>
        <v>-</v>
      </c>
      <c r="EA43" s="101" t="str">
        <f t="shared" si="126"/>
        <v>-</v>
      </c>
      <c r="EB43" s="101" t="str">
        <f t="shared" si="126"/>
        <v>-</v>
      </c>
      <c r="EC43" s="101" t="str">
        <f t="shared" si="126"/>
        <v>-</v>
      </c>
      <c r="ED43" s="101" t="str">
        <f t="shared" si="126"/>
        <v>-</v>
      </c>
      <c r="EE43" s="101" t="str">
        <f t="shared" si="126"/>
        <v>-</v>
      </c>
      <c r="EF43" s="101" t="str">
        <f t="shared" si="126"/>
        <v>-</v>
      </c>
      <c r="EG43" s="101" t="str">
        <f t="shared" si="126"/>
        <v>-</v>
      </c>
      <c r="EH43" s="101" t="str">
        <f t="shared" si="126"/>
        <v>-</v>
      </c>
      <c r="EI43" s="101" t="str">
        <f t="shared" si="126"/>
        <v>-</v>
      </c>
      <c r="EJ43" s="101" t="str">
        <f t="shared" si="126"/>
        <v>-</v>
      </c>
      <c r="EK43" s="101" t="str">
        <f t="shared" si="126"/>
        <v>-</v>
      </c>
      <c r="EL43" s="101" t="str">
        <f t="shared" si="126"/>
        <v>-</v>
      </c>
    </row>
    <row r="44" spans="1:144">
      <c r="A44" s="466"/>
      <c r="B44" s="502"/>
      <c r="C44" s="502"/>
      <c r="D44" s="466"/>
      <c r="E44" s="109" t="s">
        <v>66</v>
      </c>
      <c r="F44" s="102">
        <f>SUM('BESS 11'!S256,'BESS 11'!S259:S260,'BESS 11'!S264:S265)</f>
        <v>2453.6666666666665</v>
      </c>
      <c r="G44" s="102">
        <f>MAX('BESS 11'!O256,'BESS 11'!O259:O260,'BESS 11'!O264:O265)-MIN('BESS 11'!O256,'BESS 11'!O259:O260,'BESS 11'!O264:O265)+1</f>
        <v>28</v>
      </c>
      <c r="H44" s="102"/>
      <c r="I44" s="110">
        <f>MIN('BESS 11'!O256,'BESS 11'!O259:O260,'BESS 11'!O264:O265)</f>
        <v>46250</v>
      </c>
      <c r="J44" s="101" t="str">
        <f t="shared" si="114"/>
        <v>-</v>
      </c>
      <c r="K44" s="101" t="str">
        <f t="shared" si="114"/>
        <v>-</v>
      </c>
      <c r="L44" s="101" t="str">
        <f t="shared" si="114"/>
        <v>-</v>
      </c>
      <c r="M44" s="101" t="str">
        <f t="shared" si="114"/>
        <v>-</v>
      </c>
      <c r="N44" s="101" t="str">
        <f t="shared" si="114"/>
        <v>-</v>
      </c>
      <c r="O44" s="101" t="str">
        <f t="shared" si="114"/>
        <v>-</v>
      </c>
      <c r="P44" s="101" t="str">
        <f t="shared" si="114"/>
        <v>-</v>
      </c>
      <c r="Q44" s="101" t="str">
        <f t="shared" si="114"/>
        <v>-</v>
      </c>
      <c r="R44" s="101" t="str">
        <f t="shared" si="114"/>
        <v>-</v>
      </c>
      <c r="S44" s="101" t="str">
        <f t="shared" si="114"/>
        <v>-</v>
      </c>
      <c r="T44" s="101" t="str">
        <f t="shared" si="115"/>
        <v>-</v>
      </c>
      <c r="U44" s="101" t="str">
        <f t="shared" si="115"/>
        <v>-</v>
      </c>
      <c r="V44" s="101" t="str">
        <f t="shared" si="115"/>
        <v>-</v>
      </c>
      <c r="W44" s="101" t="str">
        <f t="shared" si="115"/>
        <v>-</v>
      </c>
      <c r="X44" s="101" t="str">
        <f t="shared" si="115"/>
        <v>-</v>
      </c>
      <c r="Y44" s="101" t="str">
        <f t="shared" si="115"/>
        <v>-</v>
      </c>
      <c r="Z44" s="101" t="str">
        <f t="shared" si="115"/>
        <v>-</v>
      </c>
      <c r="AA44" s="101" t="str">
        <f t="shared" si="115"/>
        <v>-</v>
      </c>
      <c r="AB44" s="101" t="str">
        <f t="shared" si="115"/>
        <v>-</v>
      </c>
      <c r="AC44" s="101" t="str">
        <f t="shared" si="115"/>
        <v>-</v>
      </c>
      <c r="AD44" s="101" t="str">
        <f t="shared" si="116"/>
        <v>-</v>
      </c>
      <c r="AE44" s="101" t="str">
        <f t="shared" si="116"/>
        <v>-</v>
      </c>
      <c r="AF44" s="101" t="str">
        <f t="shared" si="116"/>
        <v>-</v>
      </c>
      <c r="AG44" s="101" t="str">
        <f t="shared" si="116"/>
        <v>-</v>
      </c>
      <c r="AH44" s="101" t="str">
        <f t="shared" si="116"/>
        <v>-</v>
      </c>
      <c r="AI44" s="101" t="str">
        <f t="shared" si="116"/>
        <v>-</v>
      </c>
      <c r="AJ44" s="101" t="str">
        <f t="shared" si="116"/>
        <v>-</v>
      </c>
      <c r="AK44" s="101" t="str">
        <f t="shared" si="116"/>
        <v>-</v>
      </c>
      <c r="AL44" s="101" t="str">
        <f t="shared" si="116"/>
        <v>-</v>
      </c>
      <c r="AM44" s="101" t="str">
        <f t="shared" si="116"/>
        <v>-</v>
      </c>
      <c r="AN44" s="101" t="str">
        <f t="shared" si="117"/>
        <v>-</v>
      </c>
      <c r="AO44" s="101" t="str">
        <f t="shared" si="117"/>
        <v>-</v>
      </c>
      <c r="AP44" s="101" t="str">
        <f t="shared" si="117"/>
        <v>-</v>
      </c>
      <c r="AQ44" s="101" t="str">
        <f t="shared" si="117"/>
        <v>-</v>
      </c>
      <c r="AR44" s="101" t="str">
        <f t="shared" si="117"/>
        <v>-</v>
      </c>
      <c r="AS44" s="101" t="str">
        <f t="shared" si="117"/>
        <v>-</v>
      </c>
      <c r="AT44" s="101" t="str">
        <f t="shared" si="117"/>
        <v>-</v>
      </c>
      <c r="AU44" s="101" t="str">
        <f t="shared" si="117"/>
        <v>-</v>
      </c>
      <c r="AV44" s="101" t="str">
        <f t="shared" si="117"/>
        <v>-</v>
      </c>
      <c r="AW44" s="101" t="str">
        <f t="shared" si="117"/>
        <v>-</v>
      </c>
      <c r="AX44" s="101" t="str">
        <f t="shared" si="118"/>
        <v>-</v>
      </c>
      <c r="AY44" s="101" t="str">
        <f t="shared" si="118"/>
        <v>-</v>
      </c>
      <c r="AZ44" s="101" t="str">
        <f t="shared" si="118"/>
        <v>-</v>
      </c>
      <c r="BA44" s="101" t="str">
        <f t="shared" si="118"/>
        <v>-</v>
      </c>
      <c r="BB44" s="101" t="str">
        <f t="shared" si="118"/>
        <v>-</v>
      </c>
      <c r="BC44" s="101" t="str">
        <f t="shared" si="118"/>
        <v>-</v>
      </c>
      <c r="BD44" s="101" t="str">
        <f t="shared" si="118"/>
        <v>-</v>
      </c>
      <c r="BE44" s="101" t="str">
        <f t="shared" si="118"/>
        <v>-</v>
      </c>
      <c r="BF44" s="101" t="str">
        <f t="shared" si="118"/>
        <v>-</v>
      </c>
      <c r="BG44" s="101" t="str">
        <f t="shared" si="118"/>
        <v>-</v>
      </c>
      <c r="BH44" s="101" t="str">
        <f t="shared" si="119"/>
        <v>-</v>
      </c>
      <c r="BI44" s="101" t="str">
        <f t="shared" si="119"/>
        <v>-</v>
      </c>
      <c r="BJ44" s="101" t="str">
        <f t="shared" si="119"/>
        <v>-</v>
      </c>
      <c r="BK44" s="101" t="str">
        <f t="shared" si="119"/>
        <v>-</v>
      </c>
      <c r="BL44" s="101" t="str">
        <f t="shared" si="119"/>
        <v>-</v>
      </c>
      <c r="BM44" s="101">
        <f t="shared" si="119"/>
        <v>88</v>
      </c>
      <c r="BN44" s="101">
        <f t="shared" si="119"/>
        <v>88</v>
      </c>
      <c r="BO44" s="101">
        <f t="shared" si="119"/>
        <v>88</v>
      </c>
      <c r="BP44" s="101">
        <f t="shared" si="119"/>
        <v>88</v>
      </c>
      <c r="BQ44" s="101">
        <f t="shared" si="119"/>
        <v>88</v>
      </c>
      <c r="BR44" s="101">
        <f t="shared" si="120"/>
        <v>88</v>
      </c>
      <c r="BS44" s="101">
        <f t="shared" si="120"/>
        <v>88</v>
      </c>
      <c r="BT44" s="101">
        <f t="shared" si="120"/>
        <v>88</v>
      </c>
      <c r="BU44" s="101">
        <f t="shared" si="120"/>
        <v>88</v>
      </c>
      <c r="BV44" s="101">
        <f t="shared" si="120"/>
        <v>88</v>
      </c>
      <c r="BW44" s="101">
        <f t="shared" si="120"/>
        <v>88</v>
      </c>
      <c r="BX44" s="101">
        <f t="shared" si="120"/>
        <v>88</v>
      </c>
      <c r="BY44" s="101">
        <f t="shared" si="120"/>
        <v>88</v>
      </c>
      <c r="BZ44" s="101">
        <f t="shared" si="120"/>
        <v>88</v>
      </c>
      <c r="CA44" s="101">
        <f t="shared" si="120"/>
        <v>88</v>
      </c>
      <c r="CB44" s="101">
        <f t="shared" si="121"/>
        <v>88</v>
      </c>
      <c r="CC44" s="101">
        <f t="shared" si="121"/>
        <v>88</v>
      </c>
      <c r="CD44" s="101">
        <f t="shared" si="121"/>
        <v>88</v>
      </c>
      <c r="CE44" s="101">
        <f t="shared" si="121"/>
        <v>88</v>
      </c>
      <c r="CF44" s="101">
        <f t="shared" si="121"/>
        <v>88</v>
      </c>
      <c r="CG44" s="101">
        <f t="shared" si="121"/>
        <v>88</v>
      </c>
      <c r="CH44" s="101">
        <f t="shared" si="121"/>
        <v>88</v>
      </c>
      <c r="CI44" s="101">
        <f t="shared" si="121"/>
        <v>88</v>
      </c>
      <c r="CJ44" s="101">
        <f t="shared" si="121"/>
        <v>88</v>
      </c>
      <c r="CK44" s="101">
        <f t="shared" si="121"/>
        <v>88</v>
      </c>
      <c r="CL44" s="101">
        <f t="shared" si="122"/>
        <v>88</v>
      </c>
      <c r="CM44" s="101">
        <f t="shared" si="122"/>
        <v>88</v>
      </c>
      <c r="CN44" s="101">
        <f t="shared" si="122"/>
        <v>88</v>
      </c>
      <c r="CO44" s="101" t="str">
        <f t="shared" si="122"/>
        <v>-</v>
      </c>
      <c r="CP44" s="101" t="str">
        <f t="shared" si="122"/>
        <v>-</v>
      </c>
      <c r="CQ44" s="101" t="str">
        <f t="shared" si="122"/>
        <v>-</v>
      </c>
      <c r="CR44" s="101" t="str">
        <f t="shared" si="122"/>
        <v>-</v>
      </c>
      <c r="CS44" s="101" t="str">
        <f t="shared" si="122"/>
        <v>-</v>
      </c>
      <c r="CT44" s="101" t="str">
        <f t="shared" si="122"/>
        <v>-</v>
      </c>
      <c r="CU44" s="101" t="str">
        <f t="shared" si="122"/>
        <v>-</v>
      </c>
      <c r="CV44" s="101" t="str">
        <f t="shared" si="123"/>
        <v>-</v>
      </c>
      <c r="CW44" s="101" t="str">
        <f t="shared" si="123"/>
        <v>-</v>
      </c>
      <c r="CX44" s="101" t="str">
        <f t="shared" si="123"/>
        <v>-</v>
      </c>
      <c r="CY44" s="101" t="str">
        <f t="shared" si="123"/>
        <v>-</v>
      </c>
      <c r="CZ44" s="101" t="str">
        <f t="shared" si="123"/>
        <v>-</v>
      </c>
      <c r="DA44" s="101" t="str">
        <f t="shared" si="123"/>
        <v>-</v>
      </c>
      <c r="DB44" s="101" t="str">
        <f t="shared" si="123"/>
        <v>-</v>
      </c>
      <c r="DC44" s="101" t="str">
        <f t="shared" si="123"/>
        <v>-</v>
      </c>
      <c r="DD44" s="101" t="str">
        <f t="shared" si="123"/>
        <v>-</v>
      </c>
      <c r="DE44" s="101" t="str">
        <f t="shared" si="123"/>
        <v>-</v>
      </c>
      <c r="DF44" s="101" t="str">
        <f t="shared" si="124"/>
        <v>-</v>
      </c>
      <c r="DG44" s="101" t="str">
        <f t="shared" si="124"/>
        <v>-</v>
      </c>
      <c r="DH44" s="101" t="str">
        <f t="shared" si="124"/>
        <v>-</v>
      </c>
      <c r="DI44" s="101" t="str">
        <f t="shared" si="124"/>
        <v>-</v>
      </c>
      <c r="DJ44" s="101" t="str">
        <f t="shared" si="124"/>
        <v>-</v>
      </c>
      <c r="DK44" s="101" t="str">
        <f t="shared" si="124"/>
        <v>-</v>
      </c>
      <c r="DL44" s="101" t="str">
        <f t="shared" si="124"/>
        <v>-</v>
      </c>
      <c r="DM44" s="101" t="str">
        <f t="shared" si="124"/>
        <v>-</v>
      </c>
      <c r="DN44" s="101" t="str">
        <f t="shared" si="124"/>
        <v>-</v>
      </c>
      <c r="DO44" s="101" t="str">
        <f t="shared" si="124"/>
        <v>-</v>
      </c>
      <c r="DP44" s="101" t="str">
        <f t="shared" si="125"/>
        <v>-</v>
      </c>
      <c r="DQ44" s="101" t="str">
        <f t="shared" si="125"/>
        <v>-</v>
      </c>
      <c r="DR44" s="101" t="str">
        <f t="shared" si="125"/>
        <v>-</v>
      </c>
      <c r="DS44" s="101" t="str">
        <f t="shared" si="125"/>
        <v>-</v>
      </c>
      <c r="DT44" s="101" t="str">
        <f t="shared" si="125"/>
        <v>-</v>
      </c>
      <c r="DU44" s="101" t="str">
        <f t="shared" si="125"/>
        <v>-</v>
      </c>
      <c r="DV44" s="101" t="str">
        <f t="shared" si="125"/>
        <v>-</v>
      </c>
      <c r="DW44" s="101" t="str">
        <f t="shared" si="125"/>
        <v>-</v>
      </c>
      <c r="DX44" s="101" t="str">
        <f t="shared" si="125"/>
        <v>-</v>
      </c>
      <c r="DY44" s="101" t="str">
        <f t="shared" si="125"/>
        <v>-</v>
      </c>
      <c r="DZ44" s="101" t="str">
        <f t="shared" si="126"/>
        <v>-</v>
      </c>
      <c r="EA44" s="101" t="str">
        <f t="shared" si="126"/>
        <v>-</v>
      </c>
      <c r="EB44" s="101" t="str">
        <f t="shared" si="126"/>
        <v>-</v>
      </c>
      <c r="EC44" s="101" t="str">
        <f t="shared" si="126"/>
        <v>-</v>
      </c>
      <c r="ED44" s="101" t="str">
        <f t="shared" si="126"/>
        <v>-</v>
      </c>
      <c r="EE44" s="101" t="str">
        <f t="shared" si="126"/>
        <v>-</v>
      </c>
      <c r="EF44" s="101" t="str">
        <f t="shared" si="126"/>
        <v>-</v>
      </c>
      <c r="EG44" s="101" t="str">
        <f t="shared" si="126"/>
        <v>-</v>
      </c>
      <c r="EH44" s="101" t="str">
        <f t="shared" si="126"/>
        <v>-</v>
      </c>
      <c r="EI44" s="101" t="str">
        <f t="shared" si="126"/>
        <v>-</v>
      </c>
      <c r="EJ44" s="101" t="str">
        <f t="shared" si="126"/>
        <v>-</v>
      </c>
      <c r="EK44" s="101" t="str">
        <f t="shared" si="126"/>
        <v>-</v>
      </c>
      <c r="EL44" s="101" t="str">
        <f t="shared" si="126"/>
        <v>-</v>
      </c>
    </row>
    <row r="45" spans="1:144">
      <c r="A45" s="466"/>
      <c r="B45" s="502"/>
      <c r="C45" s="502"/>
      <c r="D45" s="466"/>
      <c r="E45" s="109" t="s">
        <v>67</v>
      </c>
      <c r="F45" s="102">
        <f>SUM('BESS 11'!S268:S276)</f>
        <v>340.69333333333333</v>
      </c>
      <c r="G45" s="101">
        <f>MAX('BESS 11'!O268:O276)-MIN('BESS 11'!O268:O276)+1</f>
        <v>44</v>
      </c>
      <c r="H45" s="101"/>
      <c r="I45" s="110">
        <f>MIN('BESS 11'!O268:O276)</f>
        <v>46243</v>
      </c>
      <c r="J45" s="101" t="str">
        <f t="shared" si="114"/>
        <v>-</v>
      </c>
      <c r="K45" s="101" t="str">
        <f t="shared" si="114"/>
        <v>-</v>
      </c>
      <c r="L45" s="101" t="str">
        <f t="shared" si="114"/>
        <v>-</v>
      </c>
      <c r="M45" s="101" t="str">
        <f t="shared" si="114"/>
        <v>-</v>
      </c>
      <c r="N45" s="101" t="str">
        <f t="shared" si="114"/>
        <v>-</v>
      </c>
      <c r="O45" s="101" t="str">
        <f t="shared" si="114"/>
        <v>-</v>
      </c>
      <c r="P45" s="101" t="str">
        <f t="shared" si="114"/>
        <v>-</v>
      </c>
      <c r="Q45" s="101" t="str">
        <f t="shared" si="114"/>
        <v>-</v>
      </c>
      <c r="R45" s="101" t="str">
        <f t="shared" si="114"/>
        <v>-</v>
      </c>
      <c r="S45" s="101" t="str">
        <f t="shared" si="114"/>
        <v>-</v>
      </c>
      <c r="T45" s="101" t="str">
        <f t="shared" si="115"/>
        <v>-</v>
      </c>
      <c r="U45" s="101" t="str">
        <f t="shared" si="115"/>
        <v>-</v>
      </c>
      <c r="V45" s="101" t="str">
        <f t="shared" si="115"/>
        <v>-</v>
      </c>
      <c r="W45" s="101" t="str">
        <f t="shared" si="115"/>
        <v>-</v>
      </c>
      <c r="X45" s="101" t="str">
        <f t="shared" si="115"/>
        <v>-</v>
      </c>
      <c r="Y45" s="101" t="str">
        <f t="shared" si="115"/>
        <v>-</v>
      </c>
      <c r="Z45" s="101" t="str">
        <f t="shared" si="115"/>
        <v>-</v>
      </c>
      <c r="AA45" s="101" t="str">
        <f t="shared" si="115"/>
        <v>-</v>
      </c>
      <c r="AB45" s="101" t="str">
        <f t="shared" si="115"/>
        <v>-</v>
      </c>
      <c r="AC45" s="101" t="str">
        <f t="shared" si="115"/>
        <v>-</v>
      </c>
      <c r="AD45" s="101" t="str">
        <f t="shared" si="116"/>
        <v>-</v>
      </c>
      <c r="AE45" s="101" t="str">
        <f t="shared" si="116"/>
        <v>-</v>
      </c>
      <c r="AF45" s="101" t="str">
        <f t="shared" si="116"/>
        <v>-</v>
      </c>
      <c r="AG45" s="101" t="str">
        <f t="shared" si="116"/>
        <v>-</v>
      </c>
      <c r="AH45" s="101" t="str">
        <f t="shared" si="116"/>
        <v>-</v>
      </c>
      <c r="AI45" s="101" t="str">
        <f t="shared" si="116"/>
        <v>-</v>
      </c>
      <c r="AJ45" s="101" t="str">
        <f t="shared" si="116"/>
        <v>-</v>
      </c>
      <c r="AK45" s="101" t="str">
        <f t="shared" si="116"/>
        <v>-</v>
      </c>
      <c r="AL45" s="101" t="str">
        <f t="shared" si="116"/>
        <v>-</v>
      </c>
      <c r="AM45" s="101" t="str">
        <f t="shared" si="116"/>
        <v>-</v>
      </c>
      <c r="AN45" s="101" t="str">
        <f t="shared" si="117"/>
        <v>-</v>
      </c>
      <c r="AO45" s="101" t="str">
        <f t="shared" si="117"/>
        <v>-</v>
      </c>
      <c r="AP45" s="101" t="str">
        <f t="shared" si="117"/>
        <v>-</v>
      </c>
      <c r="AQ45" s="101" t="str">
        <f t="shared" si="117"/>
        <v>-</v>
      </c>
      <c r="AR45" s="101" t="str">
        <f t="shared" si="117"/>
        <v>-</v>
      </c>
      <c r="AS45" s="101" t="str">
        <f t="shared" si="117"/>
        <v>-</v>
      </c>
      <c r="AT45" s="101" t="str">
        <f t="shared" si="117"/>
        <v>-</v>
      </c>
      <c r="AU45" s="101" t="str">
        <f t="shared" si="117"/>
        <v>-</v>
      </c>
      <c r="AV45" s="101" t="str">
        <f t="shared" si="117"/>
        <v>-</v>
      </c>
      <c r="AW45" s="101" t="str">
        <f t="shared" si="117"/>
        <v>-</v>
      </c>
      <c r="AX45" s="101" t="str">
        <f t="shared" si="118"/>
        <v>-</v>
      </c>
      <c r="AY45" s="101" t="str">
        <f t="shared" si="118"/>
        <v>-</v>
      </c>
      <c r="AZ45" s="101" t="str">
        <f t="shared" si="118"/>
        <v>-</v>
      </c>
      <c r="BA45" s="101" t="str">
        <f t="shared" si="118"/>
        <v>-</v>
      </c>
      <c r="BB45" s="101" t="str">
        <f t="shared" si="118"/>
        <v>-</v>
      </c>
      <c r="BC45" s="101" t="str">
        <f t="shared" si="118"/>
        <v>-</v>
      </c>
      <c r="BD45" s="101" t="str">
        <f t="shared" si="118"/>
        <v>-</v>
      </c>
      <c r="BE45" s="101" t="str">
        <f t="shared" si="118"/>
        <v>-</v>
      </c>
      <c r="BF45" s="101">
        <f t="shared" si="118"/>
        <v>8</v>
      </c>
      <c r="BG45" s="101">
        <f t="shared" si="118"/>
        <v>8</v>
      </c>
      <c r="BH45" s="101">
        <f t="shared" si="119"/>
        <v>8</v>
      </c>
      <c r="BI45" s="101">
        <f t="shared" si="119"/>
        <v>8</v>
      </c>
      <c r="BJ45" s="101">
        <f t="shared" si="119"/>
        <v>8</v>
      </c>
      <c r="BK45" s="101">
        <f t="shared" si="119"/>
        <v>8</v>
      </c>
      <c r="BL45" s="101">
        <f t="shared" si="119"/>
        <v>8</v>
      </c>
      <c r="BM45" s="101">
        <f t="shared" si="119"/>
        <v>8</v>
      </c>
      <c r="BN45" s="101">
        <f t="shared" si="119"/>
        <v>8</v>
      </c>
      <c r="BO45" s="101">
        <f t="shared" si="119"/>
        <v>8</v>
      </c>
      <c r="BP45" s="101">
        <f t="shared" si="119"/>
        <v>8</v>
      </c>
      <c r="BQ45" s="101">
        <f t="shared" si="119"/>
        <v>8</v>
      </c>
      <c r="BR45" s="101">
        <f t="shared" si="120"/>
        <v>8</v>
      </c>
      <c r="BS45" s="101">
        <f t="shared" si="120"/>
        <v>8</v>
      </c>
      <c r="BT45" s="101">
        <f t="shared" si="120"/>
        <v>8</v>
      </c>
      <c r="BU45" s="101">
        <f t="shared" si="120"/>
        <v>8</v>
      </c>
      <c r="BV45" s="101">
        <f t="shared" si="120"/>
        <v>8</v>
      </c>
      <c r="BW45" s="101">
        <f t="shared" si="120"/>
        <v>8</v>
      </c>
      <c r="BX45" s="101">
        <f t="shared" si="120"/>
        <v>8</v>
      </c>
      <c r="BY45" s="101">
        <f t="shared" si="120"/>
        <v>8</v>
      </c>
      <c r="BZ45" s="101">
        <f t="shared" si="120"/>
        <v>8</v>
      </c>
      <c r="CA45" s="101">
        <f t="shared" si="120"/>
        <v>8</v>
      </c>
      <c r="CB45" s="101">
        <f t="shared" si="121"/>
        <v>8</v>
      </c>
      <c r="CC45" s="101">
        <f t="shared" si="121"/>
        <v>8</v>
      </c>
      <c r="CD45" s="132">
        <f t="shared" si="121"/>
        <v>8</v>
      </c>
      <c r="CE45" s="132">
        <f t="shared" si="121"/>
        <v>8</v>
      </c>
      <c r="CF45" s="132">
        <f t="shared" si="121"/>
        <v>8</v>
      </c>
      <c r="CG45" s="132">
        <f t="shared" si="121"/>
        <v>8</v>
      </c>
      <c r="CH45" s="132">
        <f t="shared" si="121"/>
        <v>8</v>
      </c>
      <c r="CI45" s="132">
        <f t="shared" si="121"/>
        <v>8</v>
      </c>
      <c r="CJ45" s="132">
        <f t="shared" si="121"/>
        <v>8</v>
      </c>
      <c r="CK45" s="132">
        <f t="shared" si="121"/>
        <v>8</v>
      </c>
      <c r="CL45" s="132">
        <f t="shared" si="122"/>
        <v>8</v>
      </c>
      <c r="CM45" s="132">
        <f t="shared" si="122"/>
        <v>8</v>
      </c>
      <c r="CN45" s="132">
        <f t="shared" si="122"/>
        <v>8</v>
      </c>
      <c r="CO45" s="132">
        <f t="shared" si="122"/>
        <v>8</v>
      </c>
      <c r="CP45" s="132">
        <f t="shared" si="122"/>
        <v>8</v>
      </c>
      <c r="CQ45" s="132">
        <f t="shared" si="122"/>
        <v>8</v>
      </c>
      <c r="CR45" s="132">
        <f t="shared" si="122"/>
        <v>8</v>
      </c>
      <c r="CS45" s="132">
        <f t="shared" si="122"/>
        <v>8</v>
      </c>
      <c r="CT45" s="132">
        <f t="shared" si="122"/>
        <v>8</v>
      </c>
      <c r="CU45" s="132">
        <f t="shared" si="122"/>
        <v>8</v>
      </c>
      <c r="CV45" s="132">
        <f t="shared" si="123"/>
        <v>8</v>
      </c>
      <c r="CW45" s="132">
        <f t="shared" si="123"/>
        <v>8</v>
      </c>
      <c r="CX45" s="132" t="str">
        <f t="shared" si="123"/>
        <v>-</v>
      </c>
      <c r="CY45" s="132" t="str">
        <f t="shared" si="123"/>
        <v>-</v>
      </c>
      <c r="CZ45" s="132" t="str">
        <f t="shared" si="123"/>
        <v>-</v>
      </c>
      <c r="DA45" s="132" t="str">
        <f t="shared" si="123"/>
        <v>-</v>
      </c>
      <c r="DB45" s="132" t="str">
        <f t="shared" si="123"/>
        <v>-</v>
      </c>
      <c r="DC45" s="132" t="str">
        <f t="shared" si="123"/>
        <v>-</v>
      </c>
      <c r="DD45" s="132" t="str">
        <f t="shared" si="123"/>
        <v>-</v>
      </c>
      <c r="DE45" s="132" t="str">
        <f t="shared" si="123"/>
        <v>-</v>
      </c>
      <c r="DF45" s="132" t="str">
        <f t="shared" si="124"/>
        <v>-</v>
      </c>
      <c r="DG45" s="132" t="str">
        <f t="shared" si="124"/>
        <v>-</v>
      </c>
      <c r="DH45" s="132" t="str">
        <f t="shared" si="124"/>
        <v>-</v>
      </c>
      <c r="DI45" s="132" t="str">
        <f t="shared" si="124"/>
        <v>-</v>
      </c>
      <c r="DJ45" s="132" t="str">
        <f t="shared" si="124"/>
        <v>-</v>
      </c>
      <c r="DK45" s="132" t="str">
        <f t="shared" si="124"/>
        <v>-</v>
      </c>
      <c r="DL45" s="132" t="str">
        <f t="shared" si="124"/>
        <v>-</v>
      </c>
      <c r="DM45" s="132" t="str">
        <f t="shared" si="124"/>
        <v>-</v>
      </c>
      <c r="DN45" s="132" t="str">
        <f t="shared" si="124"/>
        <v>-</v>
      </c>
      <c r="DO45" s="132" t="str">
        <f t="shared" si="124"/>
        <v>-</v>
      </c>
      <c r="DP45" s="132" t="str">
        <f t="shared" si="125"/>
        <v>-</v>
      </c>
      <c r="DQ45" s="132" t="str">
        <f t="shared" si="125"/>
        <v>-</v>
      </c>
      <c r="DR45" s="132" t="str">
        <f t="shared" si="125"/>
        <v>-</v>
      </c>
      <c r="DS45" s="132" t="str">
        <f t="shared" si="125"/>
        <v>-</v>
      </c>
      <c r="DT45" s="132" t="str">
        <f t="shared" si="125"/>
        <v>-</v>
      </c>
      <c r="DU45" s="132" t="str">
        <f t="shared" si="125"/>
        <v>-</v>
      </c>
      <c r="DV45" s="132" t="str">
        <f t="shared" si="125"/>
        <v>-</v>
      </c>
      <c r="DW45" s="132" t="str">
        <f t="shared" si="125"/>
        <v>-</v>
      </c>
      <c r="DX45" s="132" t="str">
        <f t="shared" si="125"/>
        <v>-</v>
      </c>
      <c r="DY45" s="132" t="str">
        <f t="shared" si="125"/>
        <v>-</v>
      </c>
      <c r="DZ45" s="132" t="str">
        <f t="shared" si="126"/>
        <v>-</v>
      </c>
      <c r="EA45" s="132" t="str">
        <f t="shared" si="126"/>
        <v>-</v>
      </c>
      <c r="EB45" s="132" t="str">
        <f t="shared" si="126"/>
        <v>-</v>
      </c>
      <c r="EC45" s="132" t="str">
        <f t="shared" si="126"/>
        <v>-</v>
      </c>
      <c r="ED45" s="132" t="str">
        <f t="shared" si="126"/>
        <v>-</v>
      </c>
      <c r="EE45" s="132" t="str">
        <f t="shared" si="126"/>
        <v>-</v>
      </c>
      <c r="EF45" s="132" t="str">
        <f t="shared" si="126"/>
        <v>-</v>
      </c>
      <c r="EG45" s="132" t="str">
        <f t="shared" si="126"/>
        <v>-</v>
      </c>
      <c r="EH45" s="132" t="str">
        <f t="shared" si="126"/>
        <v>-</v>
      </c>
      <c r="EI45" s="132" t="str">
        <f t="shared" si="126"/>
        <v>-</v>
      </c>
      <c r="EJ45" s="132" t="str">
        <f t="shared" si="126"/>
        <v>-</v>
      </c>
      <c r="EK45" s="132" t="str">
        <f t="shared" si="126"/>
        <v>-</v>
      </c>
      <c r="EL45" s="132" t="str">
        <f t="shared" si="126"/>
        <v>-</v>
      </c>
    </row>
    <row r="46" spans="1:144">
      <c r="A46" s="65"/>
      <c r="B46" s="123"/>
      <c r="C46" s="123"/>
      <c r="D46" s="466"/>
      <c r="E46" s="109" t="s">
        <v>68</v>
      </c>
      <c r="F46" s="101">
        <f>SUM(CH46:DK46)</f>
        <v>250</v>
      </c>
      <c r="G46" s="101">
        <v>30</v>
      </c>
      <c r="H46" s="101"/>
      <c r="I46" s="110" t="e">
        <f>B41-3</f>
        <v>#VALUE!</v>
      </c>
      <c r="J46" s="110"/>
      <c r="K46" s="110"/>
      <c r="L46" s="101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CD46" s="101">
        <v>5</v>
      </c>
      <c r="CE46" s="101">
        <v>5</v>
      </c>
      <c r="CF46" s="101">
        <v>5</v>
      </c>
      <c r="CG46" s="101">
        <v>5</v>
      </c>
      <c r="CH46" s="101">
        <v>5</v>
      </c>
      <c r="CI46" s="101">
        <v>5</v>
      </c>
      <c r="CJ46" s="101">
        <v>5</v>
      </c>
      <c r="CK46" s="101">
        <v>5</v>
      </c>
      <c r="CL46" s="101">
        <v>5</v>
      </c>
      <c r="CM46" s="101">
        <v>5</v>
      </c>
      <c r="CN46" s="101">
        <v>5</v>
      </c>
      <c r="CO46" s="101">
        <v>5</v>
      </c>
      <c r="CP46" s="101">
        <v>5</v>
      </c>
      <c r="CQ46" s="101">
        <v>5</v>
      </c>
      <c r="CR46" s="101">
        <v>5</v>
      </c>
      <c r="CS46" s="101">
        <v>5</v>
      </c>
      <c r="CT46" s="101">
        <v>5</v>
      </c>
      <c r="CU46" s="101">
        <v>5</v>
      </c>
      <c r="CV46" s="101">
        <v>5</v>
      </c>
      <c r="CW46" s="101">
        <v>5</v>
      </c>
      <c r="CX46" s="101">
        <v>5</v>
      </c>
      <c r="CY46" s="101">
        <v>5</v>
      </c>
      <c r="CZ46" s="101">
        <v>5</v>
      </c>
      <c r="DA46" s="101">
        <v>5</v>
      </c>
      <c r="DB46" s="101">
        <v>5</v>
      </c>
      <c r="DC46" s="101">
        <v>5</v>
      </c>
      <c r="DD46" s="101">
        <v>5</v>
      </c>
      <c r="DE46" s="101">
        <v>5</v>
      </c>
      <c r="DF46" s="101">
        <v>30</v>
      </c>
      <c r="DG46" s="101">
        <v>30</v>
      </c>
      <c r="DH46" s="101">
        <v>30</v>
      </c>
      <c r="DI46" s="101">
        <v>30</v>
      </c>
      <c r="DJ46" s="101">
        <v>5</v>
      </c>
      <c r="DK46" s="101">
        <v>5</v>
      </c>
      <c r="DL46" s="101"/>
      <c r="DM46" s="101"/>
      <c r="DN46" s="101"/>
      <c r="DO46" s="101"/>
      <c r="DP46" s="101"/>
      <c r="DQ46" s="109"/>
      <c r="DR46" s="109"/>
      <c r="DS46" s="109"/>
      <c r="DT46" s="109"/>
      <c r="DU46" s="109"/>
      <c r="DV46" s="109"/>
      <c r="DW46" s="109"/>
      <c r="DX46" s="109"/>
      <c r="DY46" s="109"/>
      <c r="DZ46" s="109"/>
      <c r="EA46" s="109"/>
      <c r="EB46" s="109"/>
      <c r="EC46" s="109"/>
      <c r="ED46" s="109"/>
      <c r="EE46" s="109"/>
      <c r="EF46" s="109"/>
      <c r="EG46" s="109"/>
      <c r="EH46" s="109"/>
      <c r="EI46" s="109"/>
      <c r="EJ46" s="109"/>
      <c r="EK46" s="109"/>
      <c r="EL46" s="109"/>
    </row>
    <row r="47" spans="1:144" s="122" customFormat="1">
      <c r="B47" s="156"/>
      <c r="E47" s="150"/>
      <c r="F47" s="150"/>
      <c r="G47" s="152"/>
      <c r="H47" s="152"/>
      <c r="I47" s="153" t="s">
        <v>69</v>
      </c>
      <c r="J47" s="153"/>
      <c r="K47" s="153"/>
      <c r="L47" s="154">
        <f t="shared" ref="L47:AQ47" si="127">SUM(L42:L46)</f>
        <v>0</v>
      </c>
      <c r="M47" s="154">
        <f t="shared" si="127"/>
        <v>0</v>
      </c>
      <c r="N47" s="154">
        <f t="shared" si="127"/>
        <v>0</v>
      </c>
      <c r="O47" s="154">
        <f t="shared" si="127"/>
        <v>0</v>
      </c>
      <c r="P47" s="154">
        <f t="shared" si="127"/>
        <v>0</v>
      </c>
      <c r="Q47" s="154">
        <f t="shared" si="127"/>
        <v>0</v>
      </c>
      <c r="R47" s="154">
        <f t="shared" si="127"/>
        <v>0</v>
      </c>
      <c r="S47" s="154">
        <f t="shared" si="127"/>
        <v>0</v>
      </c>
      <c r="T47" s="154">
        <f t="shared" si="127"/>
        <v>0</v>
      </c>
      <c r="U47" s="154">
        <f t="shared" si="127"/>
        <v>0</v>
      </c>
      <c r="V47" s="154">
        <f t="shared" si="127"/>
        <v>0</v>
      </c>
      <c r="W47" s="154">
        <f t="shared" si="127"/>
        <v>0</v>
      </c>
      <c r="X47" s="154">
        <f t="shared" si="127"/>
        <v>0</v>
      </c>
      <c r="Y47" s="154">
        <f t="shared" si="127"/>
        <v>0</v>
      </c>
      <c r="Z47" s="154">
        <f t="shared" si="127"/>
        <v>0</v>
      </c>
      <c r="AA47" s="154">
        <f t="shared" si="127"/>
        <v>0</v>
      </c>
      <c r="AB47" s="154">
        <f t="shared" si="127"/>
        <v>0</v>
      </c>
      <c r="AC47" s="154">
        <f t="shared" si="127"/>
        <v>0</v>
      </c>
      <c r="AD47" s="154">
        <f t="shared" si="127"/>
        <v>0</v>
      </c>
      <c r="AE47" s="154">
        <f t="shared" si="127"/>
        <v>0</v>
      </c>
      <c r="AF47" s="154">
        <f t="shared" si="127"/>
        <v>0</v>
      </c>
      <c r="AG47" s="154">
        <f t="shared" si="127"/>
        <v>0</v>
      </c>
      <c r="AH47" s="154">
        <f t="shared" si="127"/>
        <v>0</v>
      </c>
      <c r="AI47" s="154">
        <f t="shared" si="127"/>
        <v>0</v>
      </c>
      <c r="AJ47" s="154">
        <f t="shared" si="127"/>
        <v>0</v>
      </c>
      <c r="AK47" s="154">
        <f t="shared" si="127"/>
        <v>0</v>
      </c>
      <c r="AL47" s="154">
        <f t="shared" si="127"/>
        <v>0</v>
      </c>
      <c r="AM47" s="154">
        <f t="shared" si="127"/>
        <v>0</v>
      </c>
      <c r="AN47" s="154">
        <f t="shared" si="127"/>
        <v>0</v>
      </c>
      <c r="AO47" s="154">
        <f t="shared" si="127"/>
        <v>0</v>
      </c>
      <c r="AP47" s="154">
        <f t="shared" si="127"/>
        <v>0</v>
      </c>
      <c r="AQ47" s="154">
        <f t="shared" si="127"/>
        <v>0</v>
      </c>
      <c r="AR47" s="154">
        <f t="shared" ref="AR47:BW47" si="128">SUM(AR42:AR46)</f>
        <v>0</v>
      </c>
      <c r="AS47" s="154">
        <f t="shared" si="128"/>
        <v>0</v>
      </c>
      <c r="AT47" s="154">
        <f t="shared" si="128"/>
        <v>0</v>
      </c>
      <c r="AU47" s="154">
        <f t="shared" si="128"/>
        <v>0</v>
      </c>
      <c r="AV47" s="154">
        <f t="shared" si="128"/>
        <v>1</v>
      </c>
      <c r="AW47" s="154">
        <f t="shared" si="128"/>
        <v>1</v>
      </c>
      <c r="AX47" s="154">
        <f t="shared" si="128"/>
        <v>1</v>
      </c>
      <c r="AY47" s="154">
        <f t="shared" si="128"/>
        <v>1</v>
      </c>
      <c r="AZ47" s="154">
        <f t="shared" si="128"/>
        <v>1</v>
      </c>
      <c r="BA47" s="154">
        <f t="shared" si="128"/>
        <v>1</v>
      </c>
      <c r="BB47" s="154">
        <f t="shared" si="128"/>
        <v>152</v>
      </c>
      <c r="BC47" s="154">
        <f t="shared" si="128"/>
        <v>152</v>
      </c>
      <c r="BD47" s="154">
        <f t="shared" si="128"/>
        <v>152</v>
      </c>
      <c r="BE47" s="154">
        <f t="shared" si="128"/>
        <v>152</v>
      </c>
      <c r="BF47" s="154">
        <f t="shared" si="128"/>
        <v>160</v>
      </c>
      <c r="BG47" s="154">
        <f t="shared" si="128"/>
        <v>160</v>
      </c>
      <c r="BH47" s="154">
        <f t="shared" si="128"/>
        <v>160</v>
      </c>
      <c r="BI47" s="154">
        <f t="shared" si="128"/>
        <v>160</v>
      </c>
      <c r="BJ47" s="154">
        <f t="shared" si="128"/>
        <v>160</v>
      </c>
      <c r="BK47" s="154">
        <f t="shared" si="128"/>
        <v>160</v>
      </c>
      <c r="BL47" s="154">
        <f t="shared" si="128"/>
        <v>9</v>
      </c>
      <c r="BM47" s="154">
        <f t="shared" si="128"/>
        <v>97</v>
      </c>
      <c r="BN47" s="154">
        <f t="shared" si="128"/>
        <v>97</v>
      </c>
      <c r="BO47" s="154">
        <f t="shared" si="128"/>
        <v>97</v>
      </c>
      <c r="BP47" s="154">
        <f t="shared" si="128"/>
        <v>97</v>
      </c>
      <c r="BQ47" s="154">
        <f t="shared" si="128"/>
        <v>97</v>
      </c>
      <c r="BR47" s="154">
        <f t="shared" si="128"/>
        <v>97</v>
      </c>
      <c r="BS47" s="154">
        <f t="shared" si="128"/>
        <v>97</v>
      </c>
      <c r="BT47" s="154">
        <f t="shared" si="128"/>
        <v>97</v>
      </c>
      <c r="BU47" s="154">
        <f t="shared" si="128"/>
        <v>97</v>
      </c>
      <c r="BV47" s="154">
        <f t="shared" si="128"/>
        <v>97</v>
      </c>
      <c r="BW47" s="154">
        <f t="shared" si="128"/>
        <v>97</v>
      </c>
      <c r="BX47" s="154">
        <f t="shared" ref="BX47:DC47" si="129">SUM(BX42:BX46)</f>
        <v>97</v>
      </c>
      <c r="BY47" s="154">
        <f t="shared" si="129"/>
        <v>97</v>
      </c>
      <c r="BZ47" s="154">
        <f t="shared" si="129"/>
        <v>97</v>
      </c>
      <c r="CA47" s="154">
        <f t="shared" si="129"/>
        <v>97</v>
      </c>
      <c r="CB47" s="154">
        <f t="shared" si="129"/>
        <v>97</v>
      </c>
      <c r="CC47" s="154">
        <f t="shared" si="129"/>
        <v>97</v>
      </c>
      <c r="CD47" s="154">
        <f t="shared" si="129"/>
        <v>102</v>
      </c>
      <c r="CE47" s="154">
        <f t="shared" si="129"/>
        <v>102</v>
      </c>
      <c r="CF47" s="154">
        <f t="shared" si="129"/>
        <v>102</v>
      </c>
      <c r="CG47" s="154">
        <f t="shared" si="129"/>
        <v>102</v>
      </c>
      <c r="CH47" s="154">
        <f t="shared" si="129"/>
        <v>102</v>
      </c>
      <c r="CI47" s="154">
        <f t="shared" si="129"/>
        <v>102</v>
      </c>
      <c r="CJ47" s="154">
        <f t="shared" si="129"/>
        <v>102</v>
      </c>
      <c r="CK47" s="154">
        <f t="shared" si="129"/>
        <v>102</v>
      </c>
      <c r="CL47" s="154">
        <f t="shared" si="129"/>
        <v>102</v>
      </c>
      <c r="CM47" s="154">
        <f t="shared" si="129"/>
        <v>101</v>
      </c>
      <c r="CN47" s="154">
        <f t="shared" si="129"/>
        <v>101</v>
      </c>
      <c r="CO47" s="154">
        <f t="shared" si="129"/>
        <v>13</v>
      </c>
      <c r="CP47" s="154">
        <f t="shared" si="129"/>
        <v>13</v>
      </c>
      <c r="CQ47" s="154">
        <f t="shared" si="129"/>
        <v>13</v>
      </c>
      <c r="CR47" s="154">
        <f t="shared" si="129"/>
        <v>13</v>
      </c>
      <c r="CS47" s="154">
        <f t="shared" si="129"/>
        <v>13</v>
      </c>
      <c r="CT47" s="154">
        <f t="shared" si="129"/>
        <v>13</v>
      </c>
      <c r="CU47" s="154">
        <f t="shared" si="129"/>
        <v>13</v>
      </c>
      <c r="CV47" s="154">
        <f t="shared" si="129"/>
        <v>13</v>
      </c>
      <c r="CW47" s="154">
        <f t="shared" si="129"/>
        <v>13</v>
      </c>
      <c r="CX47" s="154">
        <f t="shared" si="129"/>
        <v>5</v>
      </c>
      <c r="CY47" s="154">
        <f t="shared" si="129"/>
        <v>5</v>
      </c>
      <c r="CZ47" s="154">
        <f t="shared" si="129"/>
        <v>5</v>
      </c>
      <c r="DA47" s="154">
        <f t="shared" si="129"/>
        <v>5</v>
      </c>
      <c r="DB47" s="154">
        <f t="shared" si="129"/>
        <v>5</v>
      </c>
      <c r="DC47" s="154">
        <f t="shared" si="129"/>
        <v>5</v>
      </c>
      <c r="DD47" s="154">
        <f t="shared" ref="DD47:EI47" si="130">SUM(DD42:DD46)</f>
        <v>5</v>
      </c>
      <c r="DE47" s="154">
        <f t="shared" si="130"/>
        <v>5</v>
      </c>
      <c r="DF47" s="154">
        <f t="shared" si="130"/>
        <v>30</v>
      </c>
      <c r="DG47" s="154">
        <f t="shared" si="130"/>
        <v>30</v>
      </c>
      <c r="DH47" s="154">
        <f t="shared" si="130"/>
        <v>30</v>
      </c>
      <c r="DI47" s="154">
        <f t="shared" si="130"/>
        <v>30</v>
      </c>
      <c r="DJ47" s="154">
        <f t="shared" si="130"/>
        <v>5</v>
      </c>
      <c r="DK47" s="154">
        <f t="shared" si="130"/>
        <v>5</v>
      </c>
      <c r="DL47" s="154">
        <f t="shared" si="130"/>
        <v>0</v>
      </c>
      <c r="DM47" s="154">
        <f t="shared" si="130"/>
        <v>0</v>
      </c>
      <c r="DN47" s="154">
        <f t="shared" si="130"/>
        <v>0</v>
      </c>
      <c r="DO47" s="154">
        <f t="shared" si="130"/>
        <v>0</v>
      </c>
      <c r="DP47" s="154">
        <f t="shared" si="130"/>
        <v>0</v>
      </c>
      <c r="DQ47" s="154">
        <f t="shared" si="130"/>
        <v>0</v>
      </c>
      <c r="DR47" s="154">
        <f t="shared" si="130"/>
        <v>0</v>
      </c>
      <c r="DS47" s="154">
        <f t="shared" si="130"/>
        <v>0</v>
      </c>
      <c r="DT47" s="154">
        <f t="shared" si="130"/>
        <v>0</v>
      </c>
      <c r="DU47" s="154">
        <f t="shared" si="130"/>
        <v>0</v>
      </c>
      <c r="DV47" s="154">
        <f t="shared" si="130"/>
        <v>0</v>
      </c>
      <c r="DW47" s="154">
        <f t="shared" si="130"/>
        <v>0</v>
      </c>
      <c r="DX47" s="154">
        <f t="shared" si="130"/>
        <v>0</v>
      </c>
      <c r="DY47" s="154">
        <f t="shared" si="130"/>
        <v>0</v>
      </c>
      <c r="DZ47" s="154">
        <f t="shared" si="130"/>
        <v>0</v>
      </c>
      <c r="EA47" s="154">
        <f t="shared" si="130"/>
        <v>0</v>
      </c>
      <c r="EB47" s="154">
        <f t="shared" si="130"/>
        <v>0</v>
      </c>
      <c r="EC47" s="154">
        <f t="shared" si="130"/>
        <v>0</v>
      </c>
      <c r="ED47" s="154">
        <f t="shared" si="130"/>
        <v>0</v>
      </c>
      <c r="EE47" s="154">
        <f t="shared" si="130"/>
        <v>0</v>
      </c>
      <c r="EF47" s="154">
        <f t="shared" si="130"/>
        <v>0</v>
      </c>
      <c r="EG47" s="154">
        <f t="shared" si="130"/>
        <v>0</v>
      </c>
      <c r="EH47" s="154">
        <f t="shared" si="130"/>
        <v>0</v>
      </c>
      <c r="EI47" s="154">
        <f t="shared" si="130"/>
        <v>0</v>
      </c>
      <c r="EJ47" s="154">
        <f t="shared" ref="EJ47:EL47" si="131">SUM(EJ42:EJ46)</f>
        <v>0</v>
      </c>
      <c r="EK47" s="154">
        <f t="shared" si="131"/>
        <v>0</v>
      </c>
      <c r="EL47" s="154">
        <f t="shared" si="131"/>
        <v>0</v>
      </c>
      <c r="EM47" s="160">
        <f>AVERAGE(L47:DF47)</f>
        <v>45.848484848484851</v>
      </c>
      <c r="EN47" s="159">
        <f>MAX(L47:DF47)</f>
        <v>160</v>
      </c>
    </row>
    <row r="49" spans="1:144">
      <c r="A49" s="466" t="s">
        <v>75</v>
      </c>
      <c r="B49" s="502" t="str">
        <f>'BESS 11'!F277</f>
        <v>12 Sep
23 Sep</v>
      </c>
      <c r="C49" s="502" t="str">
        <f>'BESS 11'!G277</f>
        <v>17 Sep
27 Sep</v>
      </c>
      <c r="D49" s="114"/>
      <c r="E49" s="114" t="s">
        <v>10</v>
      </c>
      <c r="F49" s="115" t="s">
        <v>58</v>
      </c>
      <c r="G49" s="115" t="s">
        <v>59</v>
      </c>
      <c r="H49" s="115"/>
      <c r="I49" s="115" t="s">
        <v>60</v>
      </c>
      <c r="J49" s="116">
        <v>46195</v>
      </c>
      <c r="K49" s="116">
        <v>46196</v>
      </c>
      <c r="L49" s="116">
        <v>46197</v>
      </c>
      <c r="M49" s="116">
        <f t="shared" ref="M49:AR49" si="132">L49+1</f>
        <v>46198</v>
      </c>
      <c r="N49" s="116">
        <f t="shared" si="132"/>
        <v>46199</v>
      </c>
      <c r="O49" s="116">
        <f t="shared" si="132"/>
        <v>46200</v>
      </c>
      <c r="P49" s="116">
        <f t="shared" si="132"/>
        <v>46201</v>
      </c>
      <c r="Q49" s="116">
        <f t="shared" si="132"/>
        <v>46202</v>
      </c>
      <c r="R49" s="116">
        <f t="shared" si="132"/>
        <v>46203</v>
      </c>
      <c r="S49" s="116">
        <f t="shared" si="132"/>
        <v>46204</v>
      </c>
      <c r="T49" s="116">
        <f t="shared" si="132"/>
        <v>46205</v>
      </c>
      <c r="U49" s="116">
        <f t="shared" si="132"/>
        <v>46206</v>
      </c>
      <c r="V49" s="116">
        <f t="shared" si="132"/>
        <v>46207</v>
      </c>
      <c r="W49" s="116">
        <f t="shared" si="132"/>
        <v>46208</v>
      </c>
      <c r="X49" s="116">
        <f t="shared" si="132"/>
        <v>46209</v>
      </c>
      <c r="Y49" s="116">
        <f t="shared" si="132"/>
        <v>46210</v>
      </c>
      <c r="Z49" s="116">
        <f t="shared" si="132"/>
        <v>46211</v>
      </c>
      <c r="AA49" s="116">
        <f t="shared" si="132"/>
        <v>46212</v>
      </c>
      <c r="AB49" s="116">
        <f t="shared" si="132"/>
        <v>46213</v>
      </c>
      <c r="AC49" s="116">
        <f t="shared" si="132"/>
        <v>46214</v>
      </c>
      <c r="AD49" s="116">
        <f t="shared" si="132"/>
        <v>46215</v>
      </c>
      <c r="AE49" s="116">
        <f t="shared" si="132"/>
        <v>46216</v>
      </c>
      <c r="AF49" s="116">
        <f t="shared" si="132"/>
        <v>46217</v>
      </c>
      <c r="AG49" s="116">
        <f t="shared" si="132"/>
        <v>46218</v>
      </c>
      <c r="AH49" s="116">
        <f t="shared" si="132"/>
        <v>46219</v>
      </c>
      <c r="AI49" s="116">
        <f t="shared" si="132"/>
        <v>46220</v>
      </c>
      <c r="AJ49" s="116">
        <f t="shared" si="132"/>
        <v>46221</v>
      </c>
      <c r="AK49" s="116">
        <f t="shared" si="132"/>
        <v>46222</v>
      </c>
      <c r="AL49" s="116">
        <f t="shared" si="132"/>
        <v>46223</v>
      </c>
      <c r="AM49" s="116">
        <f t="shared" si="132"/>
        <v>46224</v>
      </c>
      <c r="AN49" s="116">
        <f t="shared" si="132"/>
        <v>46225</v>
      </c>
      <c r="AO49" s="116">
        <f t="shared" si="132"/>
        <v>46226</v>
      </c>
      <c r="AP49" s="116">
        <f t="shared" si="132"/>
        <v>46227</v>
      </c>
      <c r="AQ49" s="116">
        <f t="shared" si="132"/>
        <v>46228</v>
      </c>
      <c r="AR49" s="116">
        <f t="shared" si="132"/>
        <v>46229</v>
      </c>
      <c r="AS49" s="116">
        <f t="shared" ref="AS49:BX49" si="133">AR49+1</f>
        <v>46230</v>
      </c>
      <c r="AT49" s="116">
        <f t="shared" si="133"/>
        <v>46231</v>
      </c>
      <c r="AU49" s="116">
        <f t="shared" si="133"/>
        <v>46232</v>
      </c>
      <c r="AV49" s="116">
        <f t="shared" si="133"/>
        <v>46233</v>
      </c>
      <c r="AW49" s="116">
        <f t="shared" si="133"/>
        <v>46234</v>
      </c>
      <c r="AX49" s="116">
        <f t="shared" si="133"/>
        <v>46235</v>
      </c>
      <c r="AY49" s="116">
        <f t="shared" si="133"/>
        <v>46236</v>
      </c>
      <c r="AZ49" s="116">
        <f t="shared" si="133"/>
        <v>46237</v>
      </c>
      <c r="BA49" s="116">
        <f t="shared" si="133"/>
        <v>46238</v>
      </c>
      <c r="BB49" s="116">
        <f t="shared" si="133"/>
        <v>46239</v>
      </c>
      <c r="BC49" s="116">
        <f t="shared" si="133"/>
        <v>46240</v>
      </c>
      <c r="BD49" s="116">
        <f t="shared" si="133"/>
        <v>46241</v>
      </c>
      <c r="BE49" s="116">
        <f t="shared" si="133"/>
        <v>46242</v>
      </c>
      <c r="BF49" s="116">
        <f t="shared" si="133"/>
        <v>46243</v>
      </c>
      <c r="BG49" s="116">
        <f t="shared" si="133"/>
        <v>46244</v>
      </c>
      <c r="BH49" s="116">
        <f t="shared" si="133"/>
        <v>46245</v>
      </c>
      <c r="BI49" s="116">
        <f t="shared" si="133"/>
        <v>46246</v>
      </c>
      <c r="BJ49" s="116">
        <f t="shared" si="133"/>
        <v>46247</v>
      </c>
      <c r="BK49" s="116">
        <f t="shared" si="133"/>
        <v>46248</v>
      </c>
      <c r="BL49" s="116">
        <f t="shared" si="133"/>
        <v>46249</v>
      </c>
      <c r="BM49" s="116">
        <f t="shared" si="133"/>
        <v>46250</v>
      </c>
      <c r="BN49" s="116">
        <f t="shared" si="133"/>
        <v>46251</v>
      </c>
      <c r="BO49" s="116">
        <f t="shared" si="133"/>
        <v>46252</v>
      </c>
      <c r="BP49" s="116">
        <f t="shared" si="133"/>
        <v>46253</v>
      </c>
      <c r="BQ49" s="116">
        <f t="shared" si="133"/>
        <v>46254</v>
      </c>
      <c r="BR49" s="116">
        <f t="shared" si="133"/>
        <v>46255</v>
      </c>
      <c r="BS49" s="116">
        <f t="shared" si="133"/>
        <v>46256</v>
      </c>
      <c r="BT49" s="116">
        <f t="shared" si="133"/>
        <v>46257</v>
      </c>
      <c r="BU49" s="116">
        <f t="shared" si="133"/>
        <v>46258</v>
      </c>
      <c r="BV49" s="116">
        <f t="shared" si="133"/>
        <v>46259</v>
      </c>
      <c r="BW49" s="116">
        <f t="shared" si="133"/>
        <v>46260</v>
      </c>
      <c r="BX49" s="116">
        <f t="shared" si="133"/>
        <v>46261</v>
      </c>
      <c r="BY49" s="116">
        <f t="shared" ref="BY49:DD49" si="134">BX49+1</f>
        <v>46262</v>
      </c>
      <c r="BZ49" s="116">
        <f t="shared" si="134"/>
        <v>46263</v>
      </c>
      <c r="CA49" s="116">
        <f t="shared" si="134"/>
        <v>46264</v>
      </c>
      <c r="CB49" s="116">
        <f t="shared" si="134"/>
        <v>46265</v>
      </c>
      <c r="CC49" s="116">
        <f t="shared" si="134"/>
        <v>46266</v>
      </c>
      <c r="CD49" s="116">
        <f t="shared" si="134"/>
        <v>46267</v>
      </c>
      <c r="CE49" s="116">
        <f t="shared" si="134"/>
        <v>46268</v>
      </c>
      <c r="CF49" s="116">
        <f t="shared" si="134"/>
        <v>46269</v>
      </c>
      <c r="CG49" s="116">
        <f t="shared" si="134"/>
        <v>46270</v>
      </c>
      <c r="CH49" s="116">
        <f t="shared" si="134"/>
        <v>46271</v>
      </c>
      <c r="CI49" s="116">
        <f t="shared" si="134"/>
        <v>46272</v>
      </c>
      <c r="CJ49" s="116">
        <f t="shared" si="134"/>
        <v>46273</v>
      </c>
      <c r="CK49" s="116">
        <f t="shared" si="134"/>
        <v>46274</v>
      </c>
      <c r="CL49" s="116">
        <f t="shared" si="134"/>
        <v>46275</v>
      </c>
      <c r="CM49" s="116">
        <f t="shared" si="134"/>
        <v>46276</v>
      </c>
      <c r="CN49" s="116">
        <f t="shared" si="134"/>
        <v>46277</v>
      </c>
      <c r="CO49" s="116">
        <f t="shared" si="134"/>
        <v>46278</v>
      </c>
      <c r="CP49" s="116">
        <f t="shared" si="134"/>
        <v>46279</v>
      </c>
      <c r="CQ49" s="116">
        <f t="shared" si="134"/>
        <v>46280</v>
      </c>
      <c r="CR49" s="116">
        <f t="shared" si="134"/>
        <v>46281</v>
      </c>
      <c r="CS49" s="116">
        <f t="shared" si="134"/>
        <v>46282</v>
      </c>
      <c r="CT49" s="116">
        <f t="shared" si="134"/>
        <v>46283</v>
      </c>
      <c r="CU49" s="116">
        <f t="shared" si="134"/>
        <v>46284</v>
      </c>
      <c r="CV49" s="116">
        <f t="shared" si="134"/>
        <v>46285</v>
      </c>
      <c r="CW49" s="116">
        <f t="shared" si="134"/>
        <v>46286</v>
      </c>
      <c r="CX49" s="116">
        <f t="shared" si="134"/>
        <v>46287</v>
      </c>
      <c r="CY49" s="116">
        <f t="shared" si="134"/>
        <v>46288</v>
      </c>
      <c r="CZ49" s="116">
        <f t="shared" si="134"/>
        <v>46289</v>
      </c>
      <c r="DA49" s="116">
        <f t="shared" si="134"/>
        <v>46290</v>
      </c>
      <c r="DB49" s="116">
        <f t="shared" si="134"/>
        <v>46291</v>
      </c>
      <c r="DC49" s="116">
        <f t="shared" si="134"/>
        <v>46292</v>
      </c>
      <c r="DD49" s="116">
        <f t="shared" si="134"/>
        <v>46293</v>
      </c>
      <c r="DE49" s="116">
        <f t="shared" ref="DE49:EL49" si="135">DD49+1</f>
        <v>46294</v>
      </c>
      <c r="DF49" s="116">
        <f t="shared" si="135"/>
        <v>46295</v>
      </c>
      <c r="DG49" s="116">
        <f t="shared" si="135"/>
        <v>46296</v>
      </c>
      <c r="DH49" s="116">
        <f t="shared" si="135"/>
        <v>46297</v>
      </c>
      <c r="DI49" s="116">
        <f t="shared" si="135"/>
        <v>46298</v>
      </c>
      <c r="DJ49" s="116">
        <f t="shared" si="135"/>
        <v>46299</v>
      </c>
      <c r="DK49" s="116">
        <f t="shared" si="135"/>
        <v>46300</v>
      </c>
      <c r="DL49" s="116">
        <f t="shared" si="135"/>
        <v>46301</v>
      </c>
      <c r="DM49" s="116">
        <f t="shared" si="135"/>
        <v>46302</v>
      </c>
      <c r="DN49" s="116">
        <f t="shared" si="135"/>
        <v>46303</v>
      </c>
      <c r="DO49" s="116">
        <f t="shared" si="135"/>
        <v>46304</v>
      </c>
      <c r="DP49" s="116">
        <f t="shared" si="135"/>
        <v>46305</v>
      </c>
      <c r="DQ49" s="116">
        <f t="shared" si="135"/>
        <v>46306</v>
      </c>
      <c r="DR49" s="116">
        <f t="shared" si="135"/>
        <v>46307</v>
      </c>
      <c r="DS49" s="116">
        <f t="shared" si="135"/>
        <v>46308</v>
      </c>
      <c r="DT49" s="116">
        <f t="shared" si="135"/>
        <v>46309</v>
      </c>
      <c r="DU49" s="116">
        <f t="shared" si="135"/>
        <v>46310</v>
      </c>
      <c r="DV49" s="116">
        <f t="shared" si="135"/>
        <v>46311</v>
      </c>
      <c r="DW49" s="116">
        <f t="shared" si="135"/>
        <v>46312</v>
      </c>
      <c r="DX49" s="116">
        <f t="shared" si="135"/>
        <v>46313</v>
      </c>
      <c r="DY49" s="116">
        <f t="shared" si="135"/>
        <v>46314</v>
      </c>
      <c r="DZ49" s="116">
        <f t="shared" si="135"/>
        <v>46315</v>
      </c>
      <c r="EA49" s="116">
        <f t="shared" si="135"/>
        <v>46316</v>
      </c>
      <c r="EB49" s="116">
        <f t="shared" si="135"/>
        <v>46317</v>
      </c>
      <c r="EC49" s="116">
        <f t="shared" si="135"/>
        <v>46318</v>
      </c>
      <c r="ED49" s="116">
        <f t="shared" si="135"/>
        <v>46319</v>
      </c>
      <c r="EE49" s="116">
        <f t="shared" si="135"/>
        <v>46320</v>
      </c>
      <c r="EF49" s="116">
        <f t="shared" si="135"/>
        <v>46321</v>
      </c>
      <c r="EG49" s="116">
        <f t="shared" si="135"/>
        <v>46322</v>
      </c>
      <c r="EH49" s="116">
        <f t="shared" si="135"/>
        <v>46323</v>
      </c>
      <c r="EI49" s="116">
        <f t="shared" si="135"/>
        <v>46324</v>
      </c>
      <c r="EJ49" s="116">
        <f t="shared" si="135"/>
        <v>46325</v>
      </c>
      <c r="EK49" s="116">
        <f t="shared" si="135"/>
        <v>46326</v>
      </c>
      <c r="EL49" s="116">
        <f t="shared" si="135"/>
        <v>46327</v>
      </c>
    </row>
    <row r="50" spans="1:144">
      <c r="A50" s="466"/>
      <c r="B50" s="502"/>
      <c r="C50" s="502"/>
      <c r="D50" s="467" t="str">
        <f>'BESS 11'!H277</f>
        <v>20 Sep
30 Sep</v>
      </c>
      <c r="E50" s="109" t="s">
        <v>64</v>
      </c>
      <c r="F50" s="102">
        <f>SUM('BESS 11'!S290:S297,'BESS 11'!S299)</f>
        <v>59.2</v>
      </c>
      <c r="G50" s="101">
        <f>MAX('BESS 11'!O290:O297,'BESS 11'!O299)-MIN('BESS 11'!O290:O297,'BESS 11'!O299)+1</f>
        <v>40</v>
      </c>
      <c r="H50" s="101"/>
      <c r="I50" s="110">
        <f>MIN('BESS 11'!O290:O297,'BESS 11'!O299)</f>
        <v>46236</v>
      </c>
      <c r="J50" s="101" t="str">
        <f t="shared" ref="J50:S53" si="136">IF(AND(J$1&gt;=$I50,J$1&lt;($I50+$G50)),ROUND($F50/$G50,0),"-")</f>
        <v>-</v>
      </c>
      <c r="K50" s="101" t="str">
        <f t="shared" si="136"/>
        <v>-</v>
      </c>
      <c r="L50" s="101" t="str">
        <f t="shared" si="136"/>
        <v>-</v>
      </c>
      <c r="M50" s="101" t="str">
        <f t="shared" si="136"/>
        <v>-</v>
      </c>
      <c r="N50" s="101" t="str">
        <f t="shared" si="136"/>
        <v>-</v>
      </c>
      <c r="O50" s="101" t="str">
        <f t="shared" si="136"/>
        <v>-</v>
      </c>
      <c r="P50" s="101" t="str">
        <f t="shared" si="136"/>
        <v>-</v>
      </c>
      <c r="Q50" s="101" t="str">
        <f t="shared" si="136"/>
        <v>-</v>
      </c>
      <c r="R50" s="101" t="str">
        <f t="shared" si="136"/>
        <v>-</v>
      </c>
      <c r="S50" s="101" t="str">
        <f t="shared" si="136"/>
        <v>-</v>
      </c>
      <c r="T50" s="101" t="str">
        <f t="shared" ref="T50:AC53" si="137">IF(AND(T$1&gt;=$I50,T$1&lt;($I50+$G50)),ROUND($F50/$G50,0),"-")</f>
        <v>-</v>
      </c>
      <c r="U50" s="101" t="str">
        <f t="shared" si="137"/>
        <v>-</v>
      </c>
      <c r="V50" s="101" t="str">
        <f t="shared" si="137"/>
        <v>-</v>
      </c>
      <c r="W50" s="101" t="str">
        <f t="shared" si="137"/>
        <v>-</v>
      </c>
      <c r="X50" s="101" t="str">
        <f t="shared" si="137"/>
        <v>-</v>
      </c>
      <c r="Y50" s="101" t="str">
        <f t="shared" si="137"/>
        <v>-</v>
      </c>
      <c r="Z50" s="101" t="str">
        <f t="shared" si="137"/>
        <v>-</v>
      </c>
      <c r="AA50" s="101" t="str">
        <f t="shared" si="137"/>
        <v>-</v>
      </c>
      <c r="AB50" s="101" t="str">
        <f t="shared" si="137"/>
        <v>-</v>
      </c>
      <c r="AC50" s="101" t="str">
        <f t="shared" si="137"/>
        <v>-</v>
      </c>
      <c r="AD50" s="101" t="str">
        <f t="shared" ref="AD50:AM53" si="138">IF(AND(AD$1&gt;=$I50,AD$1&lt;($I50+$G50)),ROUND($F50/$G50,0),"-")</f>
        <v>-</v>
      </c>
      <c r="AE50" s="101" t="str">
        <f t="shared" si="138"/>
        <v>-</v>
      </c>
      <c r="AF50" s="101" t="str">
        <f t="shared" si="138"/>
        <v>-</v>
      </c>
      <c r="AG50" s="101" t="str">
        <f t="shared" si="138"/>
        <v>-</v>
      </c>
      <c r="AH50" s="101" t="str">
        <f t="shared" si="138"/>
        <v>-</v>
      </c>
      <c r="AI50" s="101" t="str">
        <f t="shared" si="138"/>
        <v>-</v>
      </c>
      <c r="AJ50" s="101" t="str">
        <f t="shared" si="138"/>
        <v>-</v>
      </c>
      <c r="AK50" s="101" t="str">
        <f t="shared" si="138"/>
        <v>-</v>
      </c>
      <c r="AL50" s="101" t="str">
        <f t="shared" si="138"/>
        <v>-</v>
      </c>
      <c r="AM50" s="101" t="str">
        <f t="shared" si="138"/>
        <v>-</v>
      </c>
      <c r="AN50" s="101" t="str">
        <f t="shared" ref="AN50:AW53" si="139">IF(AND(AN$1&gt;=$I50,AN$1&lt;($I50+$G50)),ROUND($F50/$G50,0),"-")</f>
        <v>-</v>
      </c>
      <c r="AO50" s="101" t="str">
        <f t="shared" si="139"/>
        <v>-</v>
      </c>
      <c r="AP50" s="101" t="str">
        <f t="shared" si="139"/>
        <v>-</v>
      </c>
      <c r="AQ50" s="101" t="str">
        <f t="shared" si="139"/>
        <v>-</v>
      </c>
      <c r="AR50" s="101" t="str">
        <f t="shared" si="139"/>
        <v>-</v>
      </c>
      <c r="AS50" s="101" t="str">
        <f t="shared" si="139"/>
        <v>-</v>
      </c>
      <c r="AT50" s="101" t="str">
        <f t="shared" si="139"/>
        <v>-</v>
      </c>
      <c r="AU50" s="101" t="str">
        <f t="shared" si="139"/>
        <v>-</v>
      </c>
      <c r="AV50" s="101" t="str">
        <f t="shared" si="139"/>
        <v>-</v>
      </c>
      <c r="AW50" s="101" t="str">
        <f t="shared" si="139"/>
        <v>-</v>
      </c>
      <c r="AX50" s="101" t="str">
        <f t="shared" ref="AX50:BG53" si="140">IF(AND(AX$1&gt;=$I50,AX$1&lt;($I50+$G50)),ROUND($F50/$G50,0),"-")</f>
        <v>-</v>
      </c>
      <c r="AY50" s="101">
        <f t="shared" si="140"/>
        <v>1</v>
      </c>
      <c r="AZ50" s="101">
        <f t="shared" si="140"/>
        <v>1</v>
      </c>
      <c r="BA50" s="101">
        <f t="shared" si="140"/>
        <v>1</v>
      </c>
      <c r="BB50" s="101">
        <f t="shared" si="140"/>
        <v>1</v>
      </c>
      <c r="BC50" s="101">
        <f t="shared" si="140"/>
        <v>1</v>
      </c>
      <c r="BD50" s="101">
        <f t="shared" si="140"/>
        <v>1</v>
      </c>
      <c r="BE50" s="101">
        <f t="shared" si="140"/>
        <v>1</v>
      </c>
      <c r="BF50" s="101">
        <f t="shared" si="140"/>
        <v>1</v>
      </c>
      <c r="BG50" s="101">
        <f t="shared" si="140"/>
        <v>1</v>
      </c>
      <c r="BH50" s="101">
        <f t="shared" ref="BH50:BQ53" si="141">IF(AND(BH$1&gt;=$I50,BH$1&lt;($I50+$G50)),ROUND($F50/$G50,0),"-")</f>
        <v>1</v>
      </c>
      <c r="BI50" s="101">
        <f t="shared" si="141"/>
        <v>1</v>
      </c>
      <c r="BJ50" s="101">
        <f t="shared" si="141"/>
        <v>1</v>
      </c>
      <c r="BK50" s="101">
        <f t="shared" si="141"/>
        <v>1</v>
      </c>
      <c r="BL50" s="101">
        <f t="shared" si="141"/>
        <v>1</v>
      </c>
      <c r="BM50" s="101">
        <f t="shared" si="141"/>
        <v>1</v>
      </c>
      <c r="BN50" s="101">
        <f t="shared" si="141"/>
        <v>1</v>
      </c>
      <c r="BO50" s="101">
        <f t="shared" si="141"/>
        <v>1</v>
      </c>
      <c r="BP50" s="101">
        <f t="shared" si="141"/>
        <v>1</v>
      </c>
      <c r="BQ50" s="101">
        <f t="shared" si="141"/>
        <v>1</v>
      </c>
      <c r="BR50" s="101">
        <f t="shared" ref="BR50:CA53" si="142">IF(AND(BR$1&gt;=$I50,BR$1&lt;($I50+$G50)),ROUND($F50/$G50,0),"-")</f>
        <v>1</v>
      </c>
      <c r="BS50" s="101">
        <f t="shared" si="142"/>
        <v>1</v>
      </c>
      <c r="BT50" s="101">
        <f t="shared" si="142"/>
        <v>1</v>
      </c>
      <c r="BU50" s="101">
        <f t="shared" si="142"/>
        <v>1</v>
      </c>
      <c r="BV50" s="101">
        <f t="shared" si="142"/>
        <v>1</v>
      </c>
      <c r="BW50" s="101">
        <f t="shared" si="142"/>
        <v>1</v>
      </c>
      <c r="BX50" s="101">
        <f t="shared" si="142"/>
        <v>1</v>
      </c>
      <c r="BY50" s="101">
        <f t="shared" si="142"/>
        <v>1</v>
      </c>
      <c r="BZ50" s="101">
        <f t="shared" si="142"/>
        <v>1</v>
      </c>
      <c r="CA50" s="101">
        <f t="shared" si="142"/>
        <v>1</v>
      </c>
      <c r="CB50" s="101">
        <f t="shared" ref="CB50:CK53" si="143">IF(AND(CB$1&gt;=$I50,CB$1&lt;($I50+$G50)),ROUND($F50/$G50,0),"-")</f>
        <v>1</v>
      </c>
      <c r="CC50" s="101">
        <f t="shared" si="143"/>
        <v>1</v>
      </c>
      <c r="CD50" s="101">
        <f t="shared" si="143"/>
        <v>1</v>
      </c>
      <c r="CE50" s="101">
        <f t="shared" si="143"/>
        <v>1</v>
      </c>
      <c r="CF50" s="101">
        <f t="shared" si="143"/>
        <v>1</v>
      </c>
      <c r="CG50" s="101">
        <f t="shared" si="143"/>
        <v>1</v>
      </c>
      <c r="CH50" s="101">
        <f t="shared" si="143"/>
        <v>1</v>
      </c>
      <c r="CI50" s="101">
        <f t="shared" si="143"/>
        <v>1</v>
      </c>
      <c r="CJ50" s="101">
        <f t="shared" si="143"/>
        <v>1</v>
      </c>
      <c r="CK50" s="101">
        <f t="shared" si="143"/>
        <v>1</v>
      </c>
      <c r="CL50" s="101">
        <f t="shared" ref="CL50:CU53" si="144">IF(AND(CL$1&gt;=$I50,CL$1&lt;($I50+$G50)),ROUND($F50/$G50,0),"-")</f>
        <v>1</v>
      </c>
      <c r="CM50" s="101" t="str">
        <f t="shared" si="144"/>
        <v>-</v>
      </c>
      <c r="CN50" s="101" t="str">
        <f t="shared" si="144"/>
        <v>-</v>
      </c>
      <c r="CO50" s="101" t="str">
        <f t="shared" si="144"/>
        <v>-</v>
      </c>
      <c r="CP50" s="101" t="str">
        <f t="shared" si="144"/>
        <v>-</v>
      </c>
      <c r="CQ50" s="101" t="str">
        <f t="shared" si="144"/>
        <v>-</v>
      </c>
      <c r="CR50" s="101" t="str">
        <f t="shared" si="144"/>
        <v>-</v>
      </c>
      <c r="CS50" s="101" t="str">
        <f t="shared" si="144"/>
        <v>-</v>
      </c>
      <c r="CT50" s="101" t="str">
        <f t="shared" si="144"/>
        <v>-</v>
      </c>
      <c r="CU50" s="101" t="str">
        <f t="shared" si="144"/>
        <v>-</v>
      </c>
      <c r="CV50" s="101" t="str">
        <f t="shared" ref="CV50:DE53" si="145">IF(AND(CV$1&gt;=$I50,CV$1&lt;($I50+$G50)),ROUND($F50/$G50,0),"-")</f>
        <v>-</v>
      </c>
      <c r="CW50" s="101" t="str">
        <f t="shared" si="145"/>
        <v>-</v>
      </c>
      <c r="CX50" s="101" t="str">
        <f t="shared" si="145"/>
        <v>-</v>
      </c>
      <c r="CY50" s="101" t="str">
        <f t="shared" si="145"/>
        <v>-</v>
      </c>
      <c r="CZ50" s="101" t="str">
        <f t="shared" si="145"/>
        <v>-</v>
      </c>
      <c r="DA50" s="101" t="str">
        <f t="shared" si="145"/>
        <v>-</v>
      </c>
      <c r="DB50" s="101" t="str">
        <f t="shared" si="145"/>
        <v>-</v>
      </c>
      <c r="DC50" s="101" t="str">
        <f t="shared" si="145"/>
        <v>-</v>
      </c>
      <c r="DD50" s="101" t="str">
        <f t="shared" si="145"/>
        <v>-</v>
      </c>
      <c r="DE50" s="101" t="str">
        <f t="shared" si="145"/>
        <v>-</v>
      </c>
      <c r="DF50" s="101" t="str">
        <f t="shared" ref="DF50:DO53" si="146">IF(AND(DF$1&gt;=$I50,DF$1&lt;($I50+$G50)),ROUND($F50/$G50,0),"-")</f>
        <v>-</v>
      </c>
      <c r="DG50" s="101" t="str">
        <f t="shared" si="146"/>
        <v>-</v>
      </c>
      <c r="DH50" s="101" t="str">
        <f t="shared" si="146"/>
        <v>-</v>
      </c>
      <c r="DI50" s="101" t="str">
        <f t="shared" si="146"/>
        <v>-</v>
      </c>
      <c r="DJ50" s="101" t="str">
        <f t="shared" si="146"/>
        <v>-</v>
      </c>
      <c r="DK50" s="101" t="str">
        <f t="shared" si="146"/>
        <v>-</v>
      </c>
      <c r="DL50" s="101" t="str">
        <f t="shared" si="146"/>
        <v>-</v>
      </c>
      <c r="DM50" s="101" t="str">
        <f t="shared" si="146"/>
        <v>-</v>
      </c>
      <c r="DN50" s="101" t="str">
        <f t="shared" si="146"/>
        <v>-</v>
      </c>
      <c r="DO50" s="101" t="str">
        <f t="shared" si="146"/>
        <v>-</v>
      </c>
      <c r="DP50" s="101" t="str">
        <f t="shared" ref="DP50:DY53" si="147">IF(AND(DP$1&gt;=$I50,DP$1&lt;($I50+$G50)),ROUND($F50/$G50,0),"-")</f>
        <v>-</v>
      </c>
      <c r="DQ50" s="101" t="str">
        <f t="shared" si="147"/>
        <v>-</v>
      </c>
      <c r="DR50" s="101" t="str">
        <f t="shared" si="147"/>
        <v>-</v>
      </c>
      <c r="DS50" s="101" t="str">
        <f t="shared" si="147"/>
        <v>-</v>
      </c>
      <c r="DT50" s="101" t="str">
        <f t="shared" si="147"/>
        <v>-</v>
      </c>
      <c r="DU50" s="101" t="str">
        <f t="shared" si="147"/>
        <v>-</v>
      </c>
      <c r="DV50" s="101" t="str">
        <f t="shared" si="147"/>
        <v>-</v>
      </c>
      <c r="DW50" s="101" t="str">
        <f t="shared" si="147"/>
        <v>-</v>
      </c>
      <c r="DX50" s="101" t="str">
        <f t="shared" si="147"/>
        <v>-</v>
      </c>
      <c r="DY50" s="101" t="str">
        <f t="shared" si="147"/>
        <v>-</v>
      </c>
      <c r="DZ50" s="101" t="str">
        <f t="shared" ref="DZ50:EL53" si="148">IF(AND(DZ$1&gt;=$I50,DZ$1&lt;($I50+$G50)),ROUND($F50/$G50,0),"-")</f>
        <v>-</v>
      </c>
      <c r="EA50" s="101" t="str">
        <f t="shared" si="148"/>
        <v>-</v>
      </c>
      <c r="EB50" s="101" t="str">
        <f t="shared" si="148"/>
        <v>-</v>
      </c>
      <c r="EC50" s="101" t="str">
        <f t="shared" si="148"/>
        <v>-</v>
      </c>
      <c r="ED50" s="101" t="str">
        <f t="shared" si="148"/>
        <v>-</v>
      </c>
      <c r="EE50" s="101" t="str">
        <f t="shared" si="148"/>
        <v>-</v>
      </c>
      <c r="EF50" s="101" t="str">
        <f t="shared" si="148"/>
        <v>-</v>
      </c>
      <c r="EG50" s="101" t="str">
        <f t="shared" si="148"/>
        <v>-</v>
      </c>
      <c r="EH50" s="101" t="str">
        <f t="shared" si="148"/>
        <v>-</v>
      </c>
      <c r="EI50" s="101" t="str">
        <f t="shared" si="148"/>
        <v>-</v>
      </c>
      <c r="EJ50" s="101" t="str">
        <f t="shared" si="148"/>
        <v>-</v>
      </c>
      <c r="EK50" s="101" t="str">
        <f t="shared" si="148"/>
        <v>-</v>
      </c>
      <c r="EL50" s="101" t="str">
        <f t="shared" si="148"/>
        <v>-</v>
      </c>
    </row>
    <row r="51" spans="1:144">
      <c r="A51" s="466"/>
      <c r="B51" s="502"/>
      <c r="C51" s="502"/>
      <c r="D51" s="466"/>
      <c r="E51" s="109" t="s">
        <v>65</v>
      </c>
      <c r="F51" s="102">
        <f>SUM('BESS 11'!S300,'BESS 11'!S302:S303,'BESS 11'!S306:S308)</f>
        <v>1492.9995466666664</v>
      </c>
      <c r="G51" s="101">
        <f>MAX('BESS 11'!O300,'BESS 11'!O302:O303,'BESS 11'!O306:O308)-MIN('BESS 11'!O300,'BESS 11'!O302:O303,'BESS 11'!O306:O308)+1</f>
        <v>7</v>
      </c>
      <c r="H51" s="101"/>
      <c r="I51" s="110">
        <f>MIN('BESS 11'!O300,'BESS 11'!O302:O303,'BESS 11'!O306:O308)</f>
        <v>46248</v>
      </c>
      <c r="J51" s="101" t="str">
        <f t="shared" si="136"/>
        <v>-</v>
      </c>
      <c r="K51" s="101" t="str">
        <f t="shared" si="136"/>
        <v>-</v>
      </c>
      <c r="L51" s="101" t="str">
        <f t="shared" si="136"/>
        <v>-</v>
      </c>
      <c r="M51" s="101" t="str">
        <f t="shared" si="136"/>
        <v>-</v>
      </c>
      <c r="N51" s="101" t="str">
        <f t="shared" si="136"/>
        <v>-</v>
      </c>
      <c r="O51" s="101" t="str">
        <f t="shared" si="136"/>
        <v>-</v>
      </c>
      <c r="P51" s="101" t="str">
        <f t="shared" si="136"/>
        <v>-</v>
      </c>
      <c r="Q51" s="101" t="str">
        <f t="shared" si="136"/>
        <v>-</v>
      </c>
      <c r="R51" s="101" t="str">
        <f t="shared" si="136"/>
        <v>-</v>
      </c>
      <c r="S51" s="101" t="str">
        <f t="shared" si="136"/>
        <v>-</v>
      </c>
      <c r="T51" s="101" t="str">
        <f t="shared" si="137"/>
        <v>-</v>
      </c>
      <c r="U51" s="101" t="str">
        <f t="shared" si="137"/>
        <v>-</v>
      </c>
      <c r="V51" s="101" t="str">
        <f t="shared" si="137"/>
        <v>-</v>
      </c>
      <c r="W51" s="101" t="str">
        <f t="shared" si="137"/>
        <v>-</v>
      </c>
      <c r="X51" s="101" t="str">
        <f t="shared" si="137"/>
        <v>-</v>
      </c>
      <c r="Y51" s="101" t="str">
        <f t="shared" si="137"/>
        <v>-</v>
      </c>
      <c r="Z51" s="101" t="str">
        <f t="shared" si="137"/>
        <v>-</v>
      </c>
      <c r="AA51" s="101" t="str">
        <f t="shared" si="137"/>
        <v>-</v>
      </c>
      <c r="AB51" s="101" t="str">
        <f t="shared" si="137"/>
        <v>-</v>
      </c>
      <c r="AC51" s="101" t="str">
        <f t="shared" si="137"/>
        <v>-</v>
      </c>
      <c r="AD51" s="101" t="str">
        <f t="shared" si="138"/>
        <v>-</v>
      </c>
      <c r="AE51" s="101" t="str">
        <f t="shared" si="138"/>
        <v>-</v>
      </c>
      <c r="AF51" s="101" t="str">
        <f t="shared" si="138"/>
        <v>-</v>
      </c>
      <c r="AG51" s="101" t="str">
        <f t="shared" si="138"/>
        <v>-</v>
      </c>
      <c r="AH51" s="101" t="str">
        <f t="shared" si="138"/>
        <v>-</v>
      </c>
      <c r="AI51" s="101" t="str">
        <f t="shared" si="138"/>
        <v>-</v>
      </c>
      <c r="AJ51" s="101" t="str">
        <f t="shared" si="138"/>
        <v>-</v>
      </c>
      <c r="AK51" s="101" t="str">
        <f t="shared" si="138"/>
        <v>-</v>
      </c>
      <c r="AL51" s="101" t="str">
        <f t="shared" si="138"/>
        <v>-</v>
      </c>
      <c r="AM51" s="101" t="str">
        <f t="shared" si="138"/>
        <v>-</v>
      </c>
      <c r="AN51" s="101" t="str">
        <f t="shared" si="139"/>
        <v>-</v>
      </c>
      <c r="AO51" s="101" t="str">
        <f t="shared" si="139"/>
        <v>-</v>
      </c>
      <c r="AP51" s="101" t="str">
        <f t="shared" si="139"/>
        <v>-</v>
      </c>
      <c r="AQ51" s="101" t="str">
        <f t="shared" si="139"/>
        <v>-</v>
      </c>
      <c r="AR51" s="101" t="str">
        <f t="shared" si="139"/>
        <v>-</v>
      </c>
      <c r="AS51" s="101" t="str">
        <f t="shared" si="139"/>
        <v>-</v>
      </c>
      <c r="AT51" s="101" t="str">
        <f t="shared" si="139"/>
        <v>-</v>
      </c>
      <c r="AU51" s="101" t="str">
        <f t="shared" si="139"/>
        <v>-</v>
      </c>
      <c r="AV51" s="101" t="str">
        <f t="shared" si="139"/>
        <v>-</v>
      </c>
      <c r="AW51" s="101" t="str">
        <f t="shared" si="139"/>
        <v>-</v>
      </c>
      <c r="AX51" s="101" t="str">
        <f t="shared" si="140"/>
        <v>-</v>
      </c>
      <c r="AY51" s="101" t="str">
        <f t="shared" si="140"/>
        <v>-</v>
      </c>
      <c r="AZ51" s="101" t="str">
        <f t="shared" si="140"/>
        <v>-</v>
      </c>
      <c r="BA51" s="101" t="str">
        <f t="shared" si="140"/>
        <v>-</v>
      </c>
      <c r="BB51" s="101" t="str">
        <f t="shared" si="140"/>
        <v>-</v>
      </c>
      <c r="BC51" s="101" t="str">
        <f t="shared" si="140"/>
        <v>-</v>
      </c>
      <c r="BD51" s="101" t="str">
        <f t="shared" si="140"/>
        <v>-</v>
      </c>
      <c r="BE51" s="101" t="str">
        <f t="shared" si="140"/>
        <v>-</v>
      </c>
      <c r="BF51" s="101" t="str">
        <f t="shared" si="140"/>
        <v>-</v>
      </c>
      <c r="BG51" s="101" t="str">
        <f t="shared" si="140"/>
        <v>-</v>
      </c>
      <c r="BH51" s="101" t="str">
        <f t="shared" si="141"/>
        <v>-</v>
      </c>
      <c r="BI51" s="101" t="str">
        <f t="shared" si="141"/>
        <v>-</v>
      </c>
      <c r="BJ51" s="101" t="str">
        <f t="shared" si="141"/>
        <v>-</v>
      </c>
      <c r="BK51" s="101">
        <f t="shared" si="141"/>
        <v>213</v>
      </c>
      <c r="BL51" s="101">
        <f t="shared" si="141"/>
        <v>213</v>
      </c>
      <c r="BM51" s="101">
        <f t="shared" si="141"/>
        <v>213</v>
      </c>
      <c r="BN51" s="101">
        <f t="shared" si="141"/>
        <v>213</v>
      </c>
      <c r="BO51" s="101">
        <f t="shared" si="141"/>
        <v>213</v>
      </c>
      <c r="BP51" s="101">
        <f t="shared" si="141"/>
        <v>213</v>
      </c>
      <c r="BQ51" s="101">
        <f t="shared" si="141"/>
        <v>213</v>
      </c>
      <c r="BR51" s="101" t="str">
        <f t="shared" si="142"/>
        <v>-</v>
      </c>
      <c r="BS51" s="101" t="str">
        <f t="shared" si="142"/>
        <v>-</v>
      </c>
      <c r="BT51" s="101" t="str">
        <f t="shared" si="142"/>
        <v>-</v>
      </c>
      <c r="BU51" s="101" t="str">
        <f t="shared" si="142"/>
        <v>-</v>
      </c>
      <c r="BV51" s="101" t="str">
        <f t="shared" si="142"/>
        <v>-</v>
      </c>
      <c r="BW51" s="101" t="str">
        <f t="shared" si="142"/>
        <v>-</v>
      </c>
      <c r="BX51" s="101" t="str">
        <f t="shared" si="142"/>
        <v>-</v>
      </c>
      <c r="BY51" s="101" t="str">
        <f t="shared" si="142"/>
        <v>-</v>
      </c>
      <c r="BZ51" s="101" t="str">
        <f t="shared" si="142"/>
        <v>-</v>
      </c>
      <c r="CA51" s="101" t="str">
        <f t="shared" si="142"/>
        <v>-</v>
      </c>
      <c r="CB51" s="101" t="str">
        <f t="shared" si="143"/>
        <v>-</v>
      </c>
      <c r="CC51" s="101" t="str">
        <f t="shared" si="143"/>
        <v>-</v>
      </c>
      <c r="CD51" s="101" t="str">
        <f t="shared" si="143"/>
        <v>-</v>
      </c>
      <c r="CE51" s="101" t="str">
        <f t="shared" si="143"/>
        <v>-</v>
      </c>
      <c r="CF51" s="101" t="str">
        <f t="shared" si="143"/>
        <v>-</v>
      </c>
      <c r="CG51" s="101" t="str">
        <f t="shared" si="143"/>
        <v>-</v>
      </c>
      <c r="CH51" s="101" t="str">
        <f t="shared" si="143"/>
        <v>-</v>
      </c>
      <c r="CI51" s="101" t="str">
        <f t="shared" si="143"/>
        <v>-</v>
      </c>
      <c r="CJ51" s="101" t="str">
        <f t="shared" si="143"/>
        <v>-</v>
      </c>
      <c r="CK51" s="101" t="str">
        <f t="shared" si="143"/>
        <v>-</v>
      </c>
      <c r="CL51" s="101" t="str">
        <f t="shared" si="144"/>
        <v>-</v>
      </c>
      <c r="CM51" s="101" t="str">
        <f t="shared" si="144"/>
        <v>-</v>
      </c>
      <c r="CN51" s="101" t="str">
        <f t="shared" si="144"/>
        <v>-</v>
      </c>
      <c r="CO51" s="101" t="str">
        <f t="shared" si="144"/>
        <v>-</v>
      </c>
      <c r="CP51" s="101" t="str">
        <f t="shared" si="144"/>
        <v>-</v>
      </c>
      <c r="CQ51" s="101" t="str">
        <f t="shared" si="144"/>
        <v>-</v>
      </c>
      <c r="CR51" s="101" t="str">
        <f t="shared" si="144"/>
        <v>-</v>
      </c>
      <c r="CS51" s="101" t="str">
        <f t="shared" si="144"/>
        <v>-</v>
      </c>
      <c r="CT51" s="101" t="str">
        <f t="shared" si="144"/>
        <v>-</v>
      </c>
      <c r="CU51" s="101" t="str">
        <f t="shared" si="144"/>
        <v>-</v>
      </c>
      <c r="CV51" s="101" t="str">
        <f t="shared" si="145"/>
        <v>-</v>
      </c>
      <c r="CW51" s="101" t="str">
        <f t="shared" si="145"/>
        <v>-</v>
      </c>
      <c r="CX51" s="101" t="str">
        <f t="shared" si="145"/>
        <v>-</v>
      </c>
      <c r="CY51" s="101" t="str">
        <f t="shared" si="145"/>
        <v>-</v>
      </c>
      <c r="CZ51" s="101" t="str">
        <f t="shared" si="145"/>
        <v>-</v>
      </c>
      <c r="DA51" s="101" t="str">
        <f t="shared" si="145"/>
        <v>-</v>
      </c>
      <c r="DB51" s="101" t="str">
        <f t="shared" si="145"/>
        <v>-</v>
      </c>
      <c r="DC51" s="101" t="str">
        <f t="shared" si="145"/>
        <v>-</v>
      </c>
      <c r="DD51" s="101" t="str">
        <f t="shared" si="145"/>
        <v>-</v>
      </c>
      <c r="DE51" s="101" t="str">
        <f t="shared" si="145"/>
        <v>-</v>
      </c>
      <c r="DF51" s="101" t="str">
        <f t="shared" si="146"/>
        <v>-</v>
      </c>
      <c r="DG51" s="101" t="str">
        <f t="shared" si="146"/>
        <v>-</v>
      </c>
      <c r="DH51" s="101" t="str">
        <f t="shared" si="146"/>
        <v>-</v>
      </c>
      <c r="DI51" s="101" t="str">
        <f t="shared" si="146"/>
        <v>-</v>
      </c>
      <c r="DJ51" s="101" t="str">
        <f t="shared" si="146"/>
        <v>-</v>
      </c>
      <c r="DK51" s="101" t="str">
        <f t="shared" si="146"/>
        <v>-</v>
      </c>
      <c r="DL51" s="101" t="str">
        <f t="shared" si="146"/>
        <v>-</v>
      </c>
      <c r="DM51" s="101" t="str">
        <f t="shared" si="146"/>
        <v>-</v>
      </c>
      <c r="DN51" s="101" t="str">
        <f t="shared" si="146"/>
        <v>-</v>
      </c>
      <c r="DO51" s="101" t="str">
        <f t="shared" si="146"/>
        <v>-</v>
      </c>
      <c r="DP51" s="101" t="str">
        <f t="shared" si="147"/>
        <v>-</v>
      </c>
      <c r="DQ51" s="101" t="str">
        <f t="shared" si="147"/>
        <v>-</v>
      </c>
      <c r="DR51" s="101" t="str">
        <f t="shared" si="147"/>
        <v>-</v>
      </c>
      <c r="DS51" s="101" t="str">
        <f t="shared" si="147"/>
        <v>-</v>
      </c>
      <c r="DT51" s="101" t="str">
        <f t="shared" si="147"/>
        <v>-</v>
      </c>
      <c r="DU51" s="101" t="str">
        <f t="shared" si="147"/>
        <v>-</v>
      </c>
      <c r="DV51" s="101" t="str">
        <f t="shared" si="147"/>
        <v>-</v>
      </c>
      <c r="DW51" s="101" t="str">
        <f t="shared" si="147"/>
        <v>-</v>
      </c>
      <c r="DX51" s="101" t="str">
        <f t="shared" si="147"/>
        <v>-</v>
      </c>
      <c r="DY51" s="101" t="str">
        <f t="shared" si="147"/>
        <v>-</v>
      </c>
      <c r="DZ51" s="101" t="str">
        <f t="shared" si="148"/>
        <v>-</v>
      </c>
      <c r="EA51" s="101" t="str">
        <f t="shared" si="148"/>
        <v>-</v>
      </c>
      <c r="EB51" s="101" t="str">
        <f t="shared" si="148"/>
        <v>-</v>
      </c>
      <c r="EC51" s="101" t="str">
        <f t="shared" si="148"/>
        <v>-</v>
      </c>
      <c r="ED51" s="101" t="str">
        <f t="shared" si="148"/>
        <v>-</v>
      </c>
      <c r="EE51" s="101" t="str">
        <f t="shared" si="148"/>
        <v>-</v>
      </c>
      <c r="EF51" s="101" t="str">
        <f t="shared" si="148"/>
        <v>-</v>
      </c>
      <c r="EG51" s="101" t="str">
        <f t="shared" si="148"/>
        <v>-</v>
      </c>
      <c r="EH51" s="101" t="str">
        <f t="shared" si="148"/>
        <v>-</v>
      </c>
      <c r="EI51" s="101" t="str">
        <f t="shared" si="148"/>
        <v>-</v>
      </c>
      <c r="EJ51" s="101" t="str">
        <f t="shared" si="148"/>
        <v>-</v>
      </c>
      <c r="EK51" s="101" t="str">
        <f t="shared" si="148"/>
        <v>-</v>
      </c>
      <c r="EL51" s="101" t="str">
        <f t="shared" si="148"/>
        <v>-</v>
      </c>
    </row>
    <row r="52" spans="1:144">
      <c r="A52" s="466"/>
      <c r="B52" s="502"/>
      <c r="C52" s="502"/>
      <c r="D52" s="466"/>
      <c r="E52" s="109" t="s">
        <v>66</v>
      </c>
      <c r="F52" s="102">
        <f>SUM('BESS 11'!S301,'BESS 11'!S304:S305,'BESS 11'!S309:S310)</f>
        <v>2453.6666666666665</v>
      </c>
      <c r="G52" s="101">
        <f>MAX('BESS 11'!O301,'BESS 11'!O304:O305,'BESS 11'!O309:O310)-MIN('BESS 11'!O301,'BESS 11'!O304:O305,'BESS 11'!O309:O310)+1</f>
        <v>20</v>
      </c>
      <c r="H52" s="101"/>
      <c r="I52" s="110">
        <f>MIN('BESS 11'!O301,'BESS 11'!O304:O305,'BESS 11'!O309:O310)</f>
        <v>46260</v>
      </c>
      <c r="J52" s="101" t="str">
        <f t="shared" si="136"/>
        <v>-</v>
      </c>
      <c r="K52" s="101" t="str">
        <f t="shared" si="136"/>
        <v>-</v>
      </c>
      <c r="L52" s="101" t="str">
        <f t="shared" si="136"/>
        <v>-</v>
      </c>
      <c r="M52" s="101" t="str">
        <f t="shared" si="136"/>
        <v>-</v>
      </c>
      <c r="N52" s="101" t="str">
        <f t="shared" si="136"/>
        <v>-</v>
      </c>
      <c r="O52" s="101" t="str">
        <f t="shared" si="136"/>
        <v>-</v>
      </c>
      <c r="P52" s="101" t="str">
        <f t="shared" si="136"/>
        <v>-</v>
      </c>
      <c r="Q52" s="101" t="str">
        <f t="shared" si="136"/>
        <v>-</v>
      </c>
      <c r="R52" s="101" t="str">
        <f t="shared" si="136"/>
        <v>-</v>
      </c>
      <c r="S52" s="101" t="str">
        <f t="shared" si="136"/>
        <v>-</v>
      </c>
      <c r="T52" s="101" t="str">
        <f t="shared" si="137"/>
        <v>-</v>
      </c>
      <c r="U52" s="101" t="str">
        <f t="shared" si="137"/>
        <v>-</v>
      </c>
      <c r="V52" s="101" t="str">
        <f t="shared" si="137"/>
        <v>-</v>
      </c>
      <c r="W52" s="101" t="str">
        <f t="shared" si="137"/>
        <v>-</v>
      </c>
      <c r="X52" s="101" t="str">
        <f t="shared" si="137"/>
        <v>-</v>
      </c>
      <c r="Y52" s="101" t="str">
        <f t="shared" si="137"/>
        <v>-</v>
      </c>
      <c r="Z52" s="101" t="str">
        <f t="shared" si="137"/>
        <v>-</v>
      </c>
      <c r="AA52" s="101" t="str">
        <f t="shared" si="137"/>
        <v>-</v>
      </c>
      <c r="AB52" s="101" t="str">
        <f t="shared" si="137"/>
        <v>-</v>
      </c>
      <c r="AC52" s="101" t="str">
        <f t="shared" si="137"/>
        <v>-</v>
      </c>
      <c r="AD52" s="101" t="str">
        <f t="shared" si="138"/>
        <v>-</v>
      </c>
      <c r="AE52" s="101" t="str">
        <f t="shared" si="138"/>
        <v>-</v>
      </c>
      <c r="AF52" s="101" t="str">
        <f t="shared" si="138"/>
        <v>-</v>
      </c>
      <c r="AG52" s="101" t="str">
        <f t="shared" si="138"/>
        <v>-</v>
      </c>
      <c r="AH52" s="101" t="str">
        <f t="shared" si="138"/>
        <v>-</v>
      </c>
      <c r="AI52" s="101" t="str">
        <f t="shared" si="138"/>
        <v>-</v>
      </c>
      <c r="AJ52" s="101" t="str">
        <f t="shared" si="138"/>
        <v>-</v>
      </c>
      <c r="AK52" s="101" t="str">
        <f t="shared" si="138"/>
        <v>-</v>
      </c>
      <c r="AL52" s="101" t="str">
        <f t="shared" si="138"/>
        <v>-</v>
      </c>
      <c r="AM52" s="101" t="str">
        <f t="shared" si="138"/>
        <v>-</v>
      </c>
      <c r="AN52" s="101" t="str">
        <f t="shared" si="139"/>
        <v>-</v>
      </c>
      <c r="AO52" s="101" t="str">
        <f t="shared" si="139"/>
        <v>-</v>
      </c>
      <c r="AP52" s="101" t="str">
        <f t="shared" si="139"/>
        <v>-</v>
      </c>
      <c r="AQ52" s="101" t="str">
        <f t="shared" si="139"/>
        <v>-</v>
      </c>
      <c r="AR52" s="101" t="str">
        <f t="shared" si="139"/>
        <v>-</v>
      </c>
      <c r="AS52" s="101" t="str">
        <f t="shared" si="139"/>
        <v>-</v>
      </c>
      <c r="AT52" s="101" t="str">
        <f t="shared" si="139"/>
        <v>-</v>
      </c>
      <c r="AU52" s="101" t="str">
        <f t="shared" si="139"/>
        <v>-</v>
      </c>
      <c r="AV52" s="101" t="str">
        <f t="shared" si="139"/>
        <v>-</v>
      </c>
      <c r="AW52" s="101" t="str">
        <f t="shared" si="139"/>
        <v>-</v>
      </c>
      <c r="AX52" s="101" t="str">
        <f t="shared" si="140"/>
        <v>-</v>
      </c>
      <c r="AY52" s="101" t="str">
        <f t="shared" si="140"/>
        <v>-</v>
      </c>
      <c r="AZ52" s="101" t="str">
        <f t="shared" si="140"/>
        <v>-</v>
      </c>
      <c r="BA52" s="101" t="str">
        <f t="shared" si="140"/>
        <v>-</v>
      </c>
      <c r="BB52" s="101" t="str">
        <f t="shared" si="140"/>
        <v>-</v>
      </c>
      <c r="BC52" s="101" t="str">
        <f t="shared" si="140"/>
        <v>-</v>
      </c>
      <c r="BD52" s="101" t="str">
        <f t="shared" si="140"/>
        <v>-</v>
      </c>
      <c r="BE52" s="101" t="str">
        <f t="shared" si="140"/>
        <v>-</v>
      </c>
      <c r="BF52" s="101" t="str">
        <f t="shared" si="140"/>
        <v>-</v>
      </c>
      <c r="BG52" s="101" t="str">
        <f t="shared" si="140"/>
        <v>-</v>
      </c>
      <c r="BH52" s="101" t="str">
        <f t="shared" si="141"/>
        <v>-</v>
      </c>
      <c r="BI52" s="101" t="str">
        <f t="shared" si="141"/>
        <v>-</v>
      </c>
      <c r="BJ52" s="101" t="str">
        <f t="shared" si="141"/>
        <v>-</v>
      </c>
      <c r="BK52" s="101" t="str">
        <f t="shared" si="141"/>
        <v>-</v>
      </c>
      <c r="BL52" s="101" t="str">
        <f t="shared" si="141"/>
        <v>-</v>
      </c>
      <c r="BM52" s="101" t="str">
        <f t="shared" si="141"/>
        <v>-</v>
      </c>
      <c r="BN52" s="101" t="str">
        <f t="shared" si="141"/>
        <v>-</v>
      </c>
      <c r="BO52" s="101" t="str">
        <f t="shared" si="141"/>
        <v>-</v>
      </c>
      <c r="BP52" s="101" t="str">
        <f t="shared" si="141"/>
        <v>-</v>
      </c>
      <c r="BQ52" s="101" t="str">
        <f t="shared" si="141"/>
        <v>-</v>
      </c>
      <c r="BR52" s="101" t="str">
        <f t="shared" si="142"/>
        <v>-</v>
      </c>
      <c r="BS52" s="101" t="str">
        <f t="shared" si="142"/>
        <v>-</v>
      </c>
      <c r="BT52" s="101" t="str">
        <f t="shared" si="142"/>
        <v>-</v>
      </c>
      <c r="BU52" s="101" t="str">
        <f t="shared" si="142"/>
        <v>-</v>
      </c>
      <c r="BV52" s="101" t="str">
        <f t="shared" si="142"/>
        <v>-</v>
      </c>
      <c r="BW52" s="101">
        <f t="shared" si="142"/>
        <v>123</v>
      </c>
      <c r="BX52" s="101">
        <f t="shared" si="142"/>
        <v>123</v>
      </c>
      <c r="BY52" s="101">
        <f t="shared" si="142"/>
        <v>123</v>
      </c>
      <c r="BZ52" s="101">
        <f t="shared" si="142"/>
        <v>123</v>
      </c>
      <c r="CA52" s="101">
        <f t="shared" si="142"/>
        <v>123</v>
      </c>
      <c r="CB52" s="101">
        <f t="shared" si="143"/>
        <v>123</v>
      </c>
      <c r="CC52" s="101">
        <f t="shared" si="143"/>
        <v>123</v>
      </c>
      <c r="CD52" s="101">
        <f t="shared" si="143"/>
        <v>123</v>
      </c>
      <c r="CE52" s="101">
        <f t="shared" si="143"/>
        <v>123</v>
      </c>
      <c r="CF52" s="101">
        <f t="shared" si="143"/>
        <v>123</v>
      </c>
      <c r="CG52" s="101">
        <f t="shared" si="143"/>
        <v>123</v>
      </c>
      <c r="CH52" s="101">
        <f t="shared" si="143"/>
        <v>123</v>
      </c>
      <c r="CI52" s="101">
        <f t="shared" si="143"/>
        <v>123</v>
      </c>
      <c r="CJ52" s="101">
        <f t="shared" si="143"/>
        <v>123</v>
      </c>
      <c r="CK52" s="101">
        <f t="shared" si="143"/>
        <v>123</v>
      </c>
      <c r="CL52" s="101">
        <f t="shared" si="144"/>
        <v>123</v>
      </c>
      <c r="CM52" s="101">
        <f t="shared" si="144"/>
        <v>123</v>
      </c>
      <c r="CN52" s="101">
        <f t="shared" si="144"/>
        <v>123</v>
      </c>
      <c r="CO52" s="101">
        <f t="shared" si="144"/>
        <v>123</v>
      </c>
      <c r="CP52" s="101">
        <f t="shared" si="144"/>
        <v>123</v>
      </c>
      <c r="CQ52" s="101" t="str">
        <f t="shared" si="144"/>
        <v>-</v>
      </c>
      <c r="CR52" s="101" t="str">
        <f t="shared" si="144"/>
        <v>-</v>
      </c>
      <c r="CS52" s="101" t="str">
        <f t="shared" si="144"/>
        <v>-</v>
      </c>
      <c r="CT52" s="101" t="str">
        <f t="shared" si="144"/>
        <v>-</v>
      </c>
      <c r="CU52" s="101" t="str">
        <f t="shared" si="144"/>
        <v>-</v>
      </c>
      <c r="CV52" s="101" t="str">
        <f t="shared" si="145"/>
        <v>-</v>
      </c>
      <c r="CW52" s="101" t="str">
        <f t="shared" si="145"/>
        <v>-</v>
      </c>
      <c r="CX52" s="101" t="str">
        <f t="shared" si="145"/>
        <v>-</v>
      </c>
      <c r="CY52" s="101" t="str">
        <f t="shared" si="145"/>
        <v>-</v>
      </c>
      <c r="CZ52" s="101" t="str">
        <f t="shared" si="145"/>
        <v>-</v>
      </c>
      <c r="DA52" s="101" t="str">
        <f t="shared" si="145"/>
        <v>-</v>
      </c>
      <c r="DB52" s="101" t="str">
        <f t="shared" si="145"/>
        <v>-</v>
      </c>
      <c r="DC52" s="101" t="str">
        <f t="shared" si="145"/>
        <v>-</v>
      </c>
      <c r="DD52" s="101" t="str">
        <f t="shared" si="145"/>
        <v>-</v>
      </c>
      <c r="DE52" s="101" t="str">
        <f t="shared" si="145"/>
        <v>-</v>
      </c>
      <c r="DF52" s="101" t="str">
        <f t="shared" si="146"/>
        <v>-</v>
      </c>
      <c r="DG52" s="101" t="str">
        <f t="shared" si="146"/>
        <v>-</v>
      </c>
      <c r="DH52" s="101" t="str">
        <f t="shared" si="146"/>
        <v>-</v>
      </c>
      <c r="DI52" s="101" t="str">
        <f t="shared" si="146"/>
        <v>-</v>
      </c>
      <c r="DJ52" s="101" t="str">
        <f t="shared" si="146"/>
        <v>-</v>
      </c>
      <c r="DK52" s="101" t="str">
        <f t="shared" si="146"/>
        <v>-</v>
      </c>
      <c r="DL52" s="101" t="str">
        <f t="shared" si="146"/>
        <v>-</v>
      </c>
      <c r="DM52" s="101" t="str">
        <f t="shared" si="146"/>
        <v>-</v>
      </c>
      <c r="DN52" s="101" t="str">
        <f t="shared" si="146"/>
        <v>-</v>
      </c>
      <c r="DO52" s="101" t="str">
        <f t="shared" si="146"/>
        <v>-</v>
      </c>
      <c r="DP52" s="101" t="str">
        <f t="shared" si="147"/>
        <v>-</v>
      </c>
      <c r="DQ52" s="101" t="str">
        <f t="shared" si="147"/>
        <v>-</v>
      </c>
      <c r="DR52" s="101" t="str">
        <f t="shared" si="147"/>
        <v>-</v>
      </c>
      <c r="DS52" s="101" t="str">
        <f t="shared" si="147"/>
        <v>-</v>
      </c>
      <c r="DT52" s="101" t="str">
        <f t="shared" si="147"/>
        <v>-</v>
      </c>
      <c r="DU52" s="101" t="str">
        <f t="shared" si="147"/>
        <v>-</v>
      </c>
      <c r="DV52" s="101" t="str">
        <f t="shared" si="147"/>
        <v>-</v>
      </c>
      <c r="DW52" s="101" t="str">
        <f t="shared" si="147"/>
        <v>-</v>
      </c>
      <c r="DX52" s="101" t="str">
        <f t="shared" si="147"/>
        <v>-</v>
      </c>
      <c r="DY52" s="101" t="str">
        <f t="shared" si="147"/>
        <v>-</v>
      </c>
      <c r="DZ52" s="101" t="str">
        <f t="shared" si="148"/>
        <v>-</v>
      </c>
      <c r="EA52" s="101" t="str">
        <f t="shared" si="148"/>
        <v>-</v>
      </c>
      <c r="EB52" s="101" t="str">
        <f t="shared" si="148"/>
        <v>-</v>
      </c>
      <c r="EC52" s="101" t="str">
        <f t="shared" si="148"/>
        <v>-</v>
      </c>
      <c r="ED52" s="101" t="str">
        <f t="shared" si="148"/>
        <v>-</v>
      </c>
      <c r="EE52" s="101" t="str">
        <f t="shared" si="148"/>
        <v>-</v>
      </c>
      <c r="EF52" s="101" t="str">
        <f t="shared" si="148"/>
        <v>-</v>
      </c>
      <c r="EG52" s="101" t="str">
        <f t="shared" si="148"/>
        <v>-</v>
      </c>
      <c r="EH52" s="101" t="str">
        <f t="shared" si="148"/>
        <v>-</v>
      </c>
      <c r="EI52" s="101" t="str">
        <f t="shared" si="148"/>
        <v>-</v>
      </c>
      <c r="EJ52" s="101" t="str">
        <f t="shared" si="148"/>
        <v>-</v>
      </c>
      <c r="EK52" s="101" t="str">
        <f t="shared" si="148"/>
        <v>-</v>
      </c>
      <c r="EL52" s="101" t="str">
        <f t="shared" si="148"/>
        <v>-</v>
      </c>
    </row>
    <row r="53" spans="1:144">
      <c r="A53" s="466"/>
      <c r="B53" s="502"/>
      <c r="C53" s="502"/>
      <c r="D53" s="466"/>
      <c r="E53" s="109" t="s">
        <v>67</v>
      </c>
      <c r="F53" s="102">
        <f>SUM('BESS 11'!S313:S321)</f>
        <v>340.69333333333333</v>
      </c>
      <c r="G53" s="101">
        <f>MAX('BESS 11'!O313:O321)-MIN('BESS 11'!O313:O321)+1</f>
        <v>34</v>
      </c>
      <c r="H53" s="101"/>
      <c r="I53" s="110">
        <f>MIN('BESS 11'!O313:O321)</f>
        <v>46253</v>
      </c>
      <c r="J53" s="101" t="str">
        <f t="shared" si="136"/>
        <v>-</v>
      </c>
      <c r="K53" s="101" t="str">
        <f t="shared" si="136"/>
        <v>-</v>
      </c>
      <c r="L53" s="101" t="str">
        <f t="shared" si="136"/>
        <v>-</v>
      </c>
      <c r="M53" s="101" t="str">
        <f t="shared" si="136"/>
        <v>-</v>
      </c>
      <c r="N53" s="101" t="str">
        <f t="shared" si="136"/>
        <v>-</v>
      </c>
      <c r="O53" s="101" t="str">
        <f t="shared" si="136"/>
        <v>-</v>
      </c>
      <c r="P53" s="101" t="str">
        <f t="shared" si="136"/>
        <v>-</v>
      </c>
      <c r="Q53" s="101" t="str">
        <f t="shared" si="136"/>
        <v>-</v>
      </c>
      <c r="R53" s="101" t="str">
        <f t="shared" si="136"/>
        <v>-</v>
      </c>
      <c r="S53" s="101" t="str">
        <f t="shared" si="136"/>
        <v>-</v>
      </c>
      <c r="T53" s="101" t="str">
        <f t="shared" si="137"/>
        <v>-</v>
      </c>
      <c r="U53" s="101" t="str">
        <f t="shared" si="137"/>
        <v>-</v>
      </c>
      <c r="V53" s="101" t="str">
        <f t="shared" si="137"/>
        <v>-</v>
      </c>
      <c r="W53" s="101" t="str">
        <f t="shared" si="137"/>
        <v>-</v>
      </c>
      <c r="X53" s="101" t="str">
        <f t="shared" si="137"/>
        <v>-</v>
      </c>
      <c r="Y53" s="101" t="str">
        <f t="shared" si="137"/>
        <v>-</v>
      </c>
      <c r="Z53" s="101" t="str">
        <f t="shared" si="137"/>
        <v>-</v>
      </c>
      <c r="AA53" s="101" t="str">
        <f t="shared" si="137"/>
        <v>-</v>
      </c>
      <c r="AB53" s="101" t="str">
        <f t="shared" si="137"/>
        <v>-</v>
      </c>
      <c r="AC53" s="101" t="str">
        <f t="shared" si="137"/>
        <v>-</v>
      </c>
      <c r="AD53" s="101" t="str">
        <f t="shared" si="138"/>
        <v>-</v>
      </c>
      <c r="AE53" s="101" t="str">
        <f t="shared" si="138"/>
        <v>-</v>
      </c>
      <c r="AF53" s="101" t="str">
        <f t="shared" si="138"/>
        <v>-</v>
      </c>
      <c r="AG53" s="101" t="str">
        <f t="shared" si="138"/>
        <v>-</v>
      </c>
      <c r="AH53" s="101" t="str">
        <f t="shared" si="138"/>
        <v>-</v>
      </c>
      <c r="AI53" s="101" t="str">
        <f t="shared" si="138"/>
        <v>-</v>
      </c>
      <c r="AJ53" s="101" t="str">
        <f t="shared" si="138"/>
        <v>-</v>
      </c>
      <c r="AK53" s="101" t="str">
        <f t="shared" si="138"/>
        <v>-</v>
      </c>
      <c r="AL53" s="101" t="str">
        <f t="shared" si="138"/>
        <v>-</v>
      </c>
      <c r="AM53" s="101" t="str">
        <f t="shared" si="138"/>
        <v>-</v>
      </c>
      <c r="AN53" s="101" t="str">
        <f t="shared" si="139"/>
        <v>-</v>
      </c>
      <c r="AO53" s="101" t="str">
        <f t="shared" si="139"/>
        <v>-</v>
      </c>
      <c r="AP53" s="101" t="str">
        <f t="shared" si="139"/>
        <v>-</v>
      </c>
      <c r="AQ53" s="101" t="str">
        <f t="shared" si="139"/>
        <v>-</v>
      </c>
      <c r="AR53" s="101" t="str">
        <f t="shared" si="139"/>
        <v>-</v>
      </c>
      <c r="AS53" s="101" t="str">
        <f t="shared" si="139"/>
        <v>-</v>
      </c>
      <c r="AT53" s="101" t="str">
        <f t="shared" si="139"/>
        <v>-</v>
      </c>
      <c r="AU53" s="101" t="str">
        <f t="shared" si="139"/>
        <v>-</v>
      </c>
      <c r="AV53" s="101" t="str">
        <f t="shared" si="139"/>
        <v>-</v>
      </c>
      <c r="AW53" s="101" t="str">
        <f t="shared" si="139"/>
        <v>-</v>
      </c>
      <c r="AX53" s="101" t="str">
        <f t="shared" si="140"/>
        <v>-</v>
      </c>
      <c r="AY53" s="101" t="str">
        <f t="shared" si="140"/>
        <v>-</v>
      </c>
      <c r="AZ53" s="101" t="str">
        <f t="shared" si="140"/>
        <v>-</v>
      </c>
      <c r="BA53" s="101" t="str">
        <f t="shared" si="140"/>
        <v>-</v>
      </c>
      <c r="BB53" s="101" t="str">
        <f t="shared" si="140"/>
        <v>-</v>
      </c>
      <c r="BC53" s="101" t="str">
        <f t="shared" si="140"/>
        <v>-</v>
      </c>
      <c r="BD53" s="101" t="str">
        <f t="shared" si="140"/>
        <v>-</v>
      </c>
      <c r="BE53" s="101" t="str">
        <f t="shared" si="140"/>
        <v>-</v>
      </c>
      <c r="BF53" s="101" t="str">
        <f t="shared" si="140"/>
        <v>-</v>
      </c>
      <c r="BG53" s="101" t="str">
        <f t="shared" si="140"/>
        <v>-</v>
      </c>
      <c r="BH53" s="101" t="str">
        <f t="shared" si="141"/>
        <v>-</v>
      </c>
      <c r="BI53" s="101" t="str">
        <f t="shared" si="141"/>
        <v>-</v>
      </c>
      <c r="BJ53" s="101" t="str">
        <f t="shared" si="141"/>
        <v>-</v>
      </c>
      <c r="BK53" s="101" t="str">
        <f t="shared" si="141"/>
        <v>-</v>
      </c>
      <c r="BL53" s="101" t="str">
        <f t="shared" si="141"/>
        <v>-</v>
      </c>
      <c r="BM53" s="101" t="str">
        <f t="shared" si="141"/>
        <v>-</v>
      </c>
      <c r="BN53" s="101" t="str">
        <f t="shared" si="141"/>
        <v>-</v>
      </c>
      <c r="BO53" s="101" t="str">
        <f t="shared" si="141"/>
        <v>-</v>
      </c>
      <c r="BP53" s="101">
        <f t="shared" si="141"/>
        <v>10</v>
      </c>
      <c r="BQ53" s="101">
        <f t="shared" si="141"/>
        <v>10</v>
      </c>
      <c r="BR53" s="101">
        <f t="shared" si="142"/>
        <v>10</v>
      </c>
      <c r="BS53" s="101">
        <f t="shared" si="142"/>
        <v>10</v>
      </c>
      <c r="BT53" s="101">
        <f t="shared" si="142"/>
        <v>10</v>
      </c>
      <c r="BU53" s="101">
        <f t="shared" si="142"/>
        <v>10</v>
      </c>
      <c r="BV53" s="101">
        <f t="shared" si="142"/>
        <v>10</v>
      </c>
      <c r="BW53" s="101">
        <f t="shared" si="142"/>
        <v>10</v>
      </c>
      <c r="BX53" s="101">
        <f t="shared" si="142"/>
        <v>10</v>
      </c>
      <c r="BY53" s="101">
        <f t="shared" si="142"/>
        <v>10</v>
      </c>
      <c r="BZ53" s="101">
        <f t="shared" si="142"/>
        <v>10</v>
      </c>
      <c r="CA53" s="101">
        <f t="shared" si="142"/>
        <v>10</v>
      </c>
      <c r="CB53" s="101">
        <f t="shared" si="143"/>
        <v>10</v>
      </c>
      <c r="CC53" s="101">
        <f t="shared" si="143"/>
        <v>10</v>
      </c>
      <c r="CD53" s="101">
        <f t="shared" si="143"/>
        <v>10</v>
      </c>
      <c r="CE53" s="101">
        <f t="shared" si="143"/>
        <v>10</v>
      </c>
      <c r="CF53" s="101">
        <f t="shared" si="143"/>
        <v>10</v>
      </c>
      <c r="CG53" s="132">
        <f t="shared" si="143"/>
        <v>10</v>
      </c>
      <c r="CH53" s="132">
        <f t="shared" si="143"/>
        <v>10</v>
      </c>
      <c r="CI53" s="132">
        <f t="shared" si="143"/>
        <v>10</v>
      </c>
      <c r="CJ53" s="132">
        <f t="shared" si="143"/>
        <v>10</v>
      </c>
      <c r="CK53" s="132">
        <f t="shared" si="143"/>
        <v>10</v>
      </c>
      <c r="CL53" s="132">
        <f t="shared" si="144"/>
        <v>10</v>
      </c>
      <c r="CM53" s="132">
        <f t="shared" si="144"/>
        <v>10</v>
      </c>
      <c r="CN53" s="132">
        <f t="shared" si="144"/>
        <v>10</v>
      </c>
      <c r="CO53" s="132">
        <f t="shared" si="144"/>
        <v>10</v>
      </c>
      <c r="CP53" s="132">
        <f t="shared" si="144"/>
        <v>10</v>
      </c>
      <c r="CQ53" s="132">
        <f t="shared" si="144"/>
        <v>10</v>
      </c>
      <c r="CR53" s="132">
        <f t="shared" si="144"/>
        <v>10</v>
      </c>
      <c r="CS53" s="132">
        <f t="shared" si="144"/>
        <v>10</v>
      </c>
      <c r="CT53" s="132">
        <f t="shared" si="144"/>
        <v>10</v>
      </c>
      <c r="CU53" s="132">
        <f t="shared" si="144"/>
        <v>10</v>
      </c>
      <c r="CV53" s="132">
        <f t="shared" si="145"/>
        <v>10</v>
      </c>
      <c r="CW53" s="132">
        <f t="shared" si="145"/>
        <v>10</v>
      </c>
      <c r="CX53" s="132" t="str">
        <f t="shared" si="145"/>
        <v>-</v>
      </c>
      <c r="CY53" s="132" t="str">
        <f t="shared" si="145"/>
        <v>-</v>
      </c>
      <c r="CZ53" s="132" t="str">
        <f t="shared" si="145"/>
        <v>-</v>
      </c>
      <c r="DA53" s="132" t="str">
        <f t="shared" si="145"/>
        <v>-</v>
      </c>
      <c r="DB53" s="132" t="str">
        <f t="shared" si="145"/>
        <v>-</v>
      </c>
      <c r="DC53" s="132" t="str">
        <f t="shared" si="145"/>
        <v>-</v>
      </c>
      <c r="DD53" s="132" t="str">
        <f t="shared" si="145"/>
        <v>-</v>
      </c>
      <c r="DE53" s="132" t="str">
        <f t="shared" si="145"/>
        <v>-</v>
      </c>
      <c r="DF53" s="132" t="str">
        <f t="shared" si="146"/>
        <v>-</v>
      </c>
      <c r="DG53" s="132" t="str">
        <f t="shared" si="146"/>
        <v>-</v>
      </c>
      <c r="DH53" s="132" t="str">
        <f t="shared" si="146"/>
        <v>-</v>
      </c>
      <c r="DI53" s="132" t="str">
        <f t="shared" si="146"/>
        <v>-</v>
      </c>
      <c r="DJ53" s="132" t="str">
        <f t="shared" si="146"/>
        <v>-</v>
      </c>
      <c r="DK53" s="132" t="str">
        <f t="shared" si="146"/>
        <v>-</v>
      </c>
      <c r="DL53" s="132" t="str">
        <f t="shared" si="146"/>
        <v>-</v>
      </c>
      <c r="DM53" s="132" t="str">
        <f t="shared" si="146"/>
        <v>-</v>
      </c>
      <c r="DN53" s="132" t="str">
        <f t="shared" si="146"/>
        <v>-</v>
      </c>
      <c r="DO53" s="132" t="str">
        <f t="shared" si="146"/>
        <v>-</v>
      </c>
      <c r="DP53" s="132" t="str">
        <f t="shared" si="147"/>
        <v>-</v>
      </c>
      <c r="DQ53" s="132" t="str">
        <f t="shared" si="147"/>
        <v>-</v>
      </c>
      <c r="DR53" s="132" t="str">
        <f t="shared" si="147"/>
        <v>-</v>
      </c>
      <c r="DS53" s="132" t="str">
        <f t="shared" si="147"/>
        <v>-</v>
      </c>
      <c r="DT53" s="132" t="str">
        <f t="shared" si="147"/>
        <v>-</v>
      </c>
      <c r="DU53" s="132" t="str">
        <f t="shared" si="147"/>
        <v>-</v>
      </c>
      <c r="DV53" s="132" t="str">
        <f t="shared" si="147"/>
        <v>-</v>
      </c>
      <c r="DW53" s="132" t="str">
        <f t="shared" si="147"/>
        <v>-</v>
      </c>
      <c r="DX53" s="132" t="str">
        <f t="shared" si="147"/>
        <v>-</v>
      </c>
      <c r="DY53" s="132" t="str">
        <f t="shared" si="147"/>
        <v>-</v>
      </c>
      <c r="DZ53" s="132" t="str">
        <f t="shared" si="148"/>
        <v>-</v>
      </c>
      <c r="EA53" s="132" t="str">
        <f t="shared" si="148"/>
        <v>-</v>
      </c>
      <c r="EB53" s="132" t="str">
        <f t="shared" si="148"/>
        <v>-</v>
      </c>
      <c r="EC53" s="132" t="str">
        <f t="shared" si="148"/>
        <v>-</v>
      </c>
      <c r="ED53" s="132" t="str">
        <f t="shared" si="148"/>
        <v>-</v>
      </c>
      <c r="EE53" s="132" t="str">
        <f t="shared" si="148"/>
        <v>-</v>
      </c>
      <c r="EF53" s="132" t="str">
        <f t="shared" si="148"/>
        <v>-</v>
      </c>
      <c r="EG53" s="132" t="str">
        <f t="shared" si="148"/>
        <v>-</v>
      </c>
      <c r="EH53" s="132" t="str">
        <f t="shared" si="148"/>
        <v>-</v>
      </c>
      <c r="EI53" s="132" t="str">
        <f t="shared" si="148"/>
        <v>-</v>
      </c>
      <c r="EJ53" s="132" t="str">
        <f t="shared" si="148"/>
        <v>-</v>
      </c>
      <c r="EK53" s="132" t="str">
        <f t="shared" si="148"/>
        <v>-</v>
      </c>
      <c r="EL53" s="132" t="str">
        <f t="shared" si="148"/>
        <v>-</v>
      </c>
    </row>
    <row r="54" spans="1:144">
      <c r="A54" s="65"/>
      <c r="B54" s="123"/>
      <c r="C54" s="123"/>
      <c r="D54" s="466"/>
      <c r="E54" s="109" t="s">
        <v>68</v>
      </c>
      <c r="F54" s="101">
        <f>SUM(CK54:DN54)</f>
        <v>250</v>
      </c>
      <c r="G54" s="101">
        <v>30</v>
      </c>
      <c r="H54" s="101"/>
      <c r="I54" s="110" t="e">
        <f>B49-3</f>
        <v>#VALUE!</v>
      </c>
      <c r="J54" s="110"/>
      <c r="K54" s="110"/>
      <c r="L54" s="101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CG54" s="101">
        <v>5</v>
      </c>
      <c r="CH54" s="101">
        <v>5</v>
      </c>
      <c r="CI54" s="101">
        <v>5</v>
      </c>
      <c r="CJ54" s="101">
        <v>5</v>
      </c>
      <c r="CK54" s="101">
        <v>5</v>
      </c>
      <c r="CL54" s="101">
        <v>5</v>
      </c>
      <c r="CM54" s="101">
        <v>5</v>
      </c>
      <c r="CN54" s="101">
        <v>5</v>
      </c>
      <c r="CO54" s="101">
        <v>5</v>
      </c>
      <c r="CP54" s="101">
        <v>5</v>
      </c>
      <c r="CQ54" s="101">
        <v>5</v>
      </c>
      <c r="CR54" s="101">
        <v>5</v>
      </c>
      <c r="CS54" s="101">
        <v>5</v>
      </c>
      <c r="CT54" s="101">
        <v>5</v>
      </c>
      <c r="CU54" s="101">
        <v>5</v>
      </c>
      <c r="CV54" s="101">
        <v>5</v>
      </c>
      <c r="CW54" s="101">
        <v>5</v>
      </c>
      <c r="CX54" s="101">
        <v>5</v>
      </c>
      <c r="CY54" s="101">
        <v>5</v>
      </c>
      <c r="CZ54" s="101">
        <v>5</v>
      </c>
      <c r="DA54" s="101">
        <v>5</v>
      </c>
      <c r="DB54" s="101">
        <v>5</v>
      </c>
      <c r="DC54" s="101">
        <v>5</v>
      </c>
      <c r="DD54" s="101">
        <v>5</v>
      </c>
      <c r="DE54" s="101">
        <v>5</v>
      </c>
      <c r="DF54" s="101">
        <v>5</v>
      </c>
      <c r="DG54" s="101">
        <v>5</v>
      </c>
      <c r="DH54" s="101">
        <v>5</v>
      </c>
      <c r="DI54" s="101">
        <v>30</v>
      </c>
      <c r="DJ54" s="101">
        <v>30</v>
      </c>
      <c r="DK54" s="101">
        <v>30</v>
      </c>
      <c r="DL54" s="101">
        <v>30</v>
      </c>
      <c r="DM54" s="101">
        <v>5</v>
      </c>
      <c r="DN54" s="101">
        <v>5</v>
      </c>
      <c r="DO54" s="101"/>
      <c r="DP54" s="101"/>
      <c r="DQ54" s="101"/>
      <c r="DR54" s="101"/>
      <c r="DS54" s="101"/>
      <c r="DT54" s="109"/>
      <c r="DU54" s="109"/>
      <c r="DV54" s="109"/>
      <c r="DW54" s="109"/>
      <c r="DX54" s="109"/>
      <c r="DY54" s="109"/>
      <c r="DZ54" s="109"/>
      <c r="EA54" s="109"/>
      <c r="EB54" s="109"/>
      <c r="EC54" s="109"/>
      <c r="ED54" s="109"/>
      <c r="EE54" s="109"/>
      <c r="EF54" s="109"/>
      <c r="EG54" s="109"/>
      <c r="EH54" s="109"/>
      <c r="EI54" s="109"/>
      <c r="EJ54" s="109"/>
      <c r="EK54" s="109"/>
      <c r="EL54" s="109"/>
    </row>
    <row r="55" spans="1:144" s="122" customFormat="1">
      <c r="B55" s="156"/>
      <c r="E55" s="150"/>
      <c r="F55" s="150"/>
      <c r="G55" s="152"/>
      <c r="H55" s="152"/>
      <c r="I55" s="153" t="s">
        <v>69</v>
      </c>
      <c r="J55" s="153"/>
      <c r="K55" s="153"/>
      <c r="L55" s="154">
        <f t="shared" ref="L55:AQ55" si="149">SUM(L50:L54)</f>
        <v>0</v>
      </c>
      <c r="M55" s="154">
        <f t="shared" si="149"/>
        <v>0</v>
      </c>
      <c r="N55" s="154">
        <f t="shared" si="149"/>
        <v>0</v>
      </c>
      <c r="O55" s="154">
        <f t="shared" si="149"/>
        <v>0</v>
      </c>
      <c r="P55" s="154">
        <f t="shared" si="149"/>
        <v>0</v>
      </c>
      <c r="Q55" s="154">
        <f t="shared" si="149"/>
        <v>0</v>
      </c>
      <c r="R55" s="154">
        <f t="shared" si="149"/>
        <v>0</v>
      </c>
      <c r="S55" s="154">
        <f t="shared" si="149"/>
        <v>0</v>
      </c>
      <c r="T55" s="154">
        <f t="shared" si="149"/>
        <v>0</v>
      </c>
      <c r="U55" s="154">
        <f t="shared" si="149"/>
        <v>0</v>
      </c>
      <c r="V55" s="154">
        <f t="shared" si="149"/>
        <v>0</v>
      </c>
      <c r="W55" s="154">
        <f t="shared" si="149"/>
        <v>0</v>
      </c>
      <c r="X55" s="154">
        <f t="shared" si="149"/>
        <v>0</v>
      </c>
      <c r="Y55" s="154">
        <f t="shared" si="149"/>
        <v>0</v>
      </c>
      <c r="Z55" s="154">
        <f t="shared" si="149"/>
        <v>0</v>
      </c>
      <c r="AA55" s="154">
        <f t="shared" si="149"/>
        <v>0</v>
      </c>
      <c r="AB55" s="154">
        <f t="shared" si="149"/>
        <v>0</v>
      </c>
      <c r="AC55" s="154">
        <f t="shared" si="149"/>
        <v>0</v>
      </c>
      <c r="AD55" s="154">
        <f t="shared" si="149"/>
        <v>0</v>
      </c>
      <c r="AE55" s="154">
        <f t="shared" si="149"/>
        <v>0</v>
      </c>
      <c r="AF55" s="154">
        <f t="shared" si="149"/>
        <v>0</v>
      </c>
      <c r="AG55" s="154">
        <f t="shared" si="149"/>
        <v>0</v>
      </c>
      <c r="AH55" s="154">
        <f t="shared" si="149"/>
        <v>0</v>
      </c>
      <c r="AI55" s="154">
        <f t="shared" si="149"/>
        <v>0</v>
      </c>
      <c r="AJ55" s="154">
        <f t="shared" si="149"/>
        <v>0</v>
      </c>
      <c r="AK55" s="154">
        <f t="shared" si="149"/>
        <v>0</v>
      </c>
      <c r="AL55" s="154">
        <f t="shared" si="149"/>
        <v>0</v>
      </c>
      <c r="AM55" s="154">
        <f t="shared" si="149"/>
        <v>0</v>
      </c>
      <c r="AN55" s="154">
        <f t="shared" si="149"/>
        <v>0</v>
      </c>
      <c r="AO55" s="154">
        <f t="shared" si="149"/>
        <v>0</v>
      </c>
      <c r="AP55" s="154">
        <f t="shared" si="149"/>
        <v>0</v>
      </c>
      <c r="AQ55" s="154">
        <f t="shared" si="149"/>
        <v>0</v>
      </c>
      <c r="AR55" s="154">
        <f t="shared" ref="AR55:BW55" si="150">SUM(AR50:AR54)</f>
        <v>0</v>
      </c>
      <c r="AS55" s="154">
        <f t="shared" si="150"/>
        <v>0</v>
      </c>
      <c r="AT55" s="154">
        <f t="shared" si="150"/>
        <v>0</v>
      </c>
      <c r="AU55" s="154">
        <f t="shared" si="150"/>
        <v>0</v>
      </c>
      <c r="AV55" s="154">
        <f t="shared" si="150"/>
        <v>0</v>
      </c>
      <c r="AW55" s="154">
        <f t="shared" si="150"/>
        <v>0</v>
      </c>
      <c r="AX55" s="154">
        <f t="shared" si="150"/>
        <v>0</v>
      </c>
      <c r="AY55" s="154">
        <f t="shared" si="150"/>
        <v>1</v>
      </c>
      <c r="AZ55" s="154">
        <f t="shared" si="150"/>
        <v>1</v>
      </c>
      <c r="BA55" s="154">
        <f t="shared" si="150"/>
        <v>1</v>
      </c>
      <c r="BB55" s="154">
        <f t="shared" si="150"/>
        <v>1</v>
      </c>
      <c r="BC55" s="154">
        <f t="shared" si="150"/>
        <v>1</v>
      </c>
      <c r="BD55" s="154">
        <f t="shared" si="150"/>
        <v>1</v>
      </c>
      <c r="BE55" s="154">
        <f t="shared" si="150"/>
        <v>1</v>
      </c>
      <c r="BF55" s="154">
        <f t="shared" si="150"/>
        <v>1</v>
      </c>
      <c r="BG55" s="154">
        <f t="shared" si="150"/>
        <v>1</v>
      </c>
      <c r="BH55" s="154">
        <f t="shared" si="150"/>
        <v>1</v>
      </c>
      <c r="BI55" s="154">
        <f t="shared" si="150"/>
        <v>1</v>
      </c>
      <c r="BJ55" s="154">
        <f t="shared" si="150"/>
        <v>1</v>
      </c>
      <c r="BK55" s="154">
        <f t="shared" si="150"/>
        <v>214</v>
      </c>
      <c r="BL55" s="154">
        <f t="shared" si="150"/>
        <v>214</v>
      </c>
      <c r="BM55" s="154">
        <f t="shared" si="150"/>
        <v>214</v>
      </c>
      <c r="BN55" s="154">
        <f t="shared" si="150"/>
        <v>214</v>
      </c>
      <c r="BO55" s="154">
        <f t="shared" si="150"/>
        <v>214</v>
      </c>
      <c r="BP55" s="154">
        <f t="shared" si="150"/>
        <v>224</v>
      </c>
      <c r="BQ55" s="154">
        <f t="shared" si="150"/>
        <v>224</v>
      </c>
      <c r="BR55" s="154">
        <f t="shared" si="150"/>
        <v>11</v>
      </c>
      <c r="BS55" s="154">
        <f t="shared" si="150"/>
        <v>11</v>
      </c>
      <c r="BT55" s="154">
        <f t="shared" si="150"/>
        <v>11</v>
      </c>
      <c r="BU55" s="154">
        <f t="shared" si="150"/>
        <v>11</v>
      </c>
      <c r="BV55" s="154">
        <f t="shared" si="150"/>
        <v>11</v>
      </c>
      <c r="BW55" s="154">
        <f t="shared" si="150"/>
        <v>134</v>
      </c>
      <c r="BX55" s="154">
        <f t="shared" ref="BX55:DC55" si="151">SUM(BX50:BX54)</f>
        <v>134</v>
      </c>
      <c r="BY55" s="154">
        <f t="shared" si="151"/>
        <v>134</v>
      </c>
      <c r="BZ55" s="154">
        <f t="shared" si="151"/>
        <v>134</v>
      </c>
      <c r="CA55" s="154">
        <f t="shared" si="151"/>
        <v>134</v>
      </c>
      <c r="CB55" s="154">
        <f t="shared" si="151"/>
        <v>134</v>
      </c>
      <c r="CC55" s="154">
        <f t="shared" si="151"/>
        <v>134</v>
      </c>
      <c r="CD55" s="154">
        <f t="shared" si="151"/>
        <v>134</v>
      </c>
      <c r="CE55" s="154">
        <f t="shared" si="151"/>
        <v>134</v>
      </c>
      <c r="CF55" s="154">
        <f t="shared" si="151"/>
        <v>134</v>
      </c>
      <c r="CG55" s="154">
        <f t="shared" si="151"/>
        <v>139</v>
      </c>
      <c r="CH55" s="154">
        <f t="shared" si="151"/>
        <v>139</v>
      </c>
      <c r="CI55" s="154">
        <f t="shared" si="151"/>
        <v>139</v>
      </c>
      <c r="CJ55" s="154">
        <f t="shared" si="151"/>
        <v>139</v>
      </c>
      <c r="CK55" s="154">
        <f t="shared" si="151"/>
        <v>139</v>
      </c>
      <c r="CL55" s="154">
        <f t="shared" si="151"/>
        <v>139</v>
      </c>
      <c r="CM55" s="154">
        <f t="shared" si="151"/>
        <v>138</v>
      </c>
      <c r="CN55" s="154">
        <f t="shared" si="151"/>
        <v>138</v>
      </c>
      <c r="CO55" s="154">
        <f t="shared" si="151"/>
        <v>138</v>
      </c>
      <c r="CP55" s="154">
        <f t="shared" si="151"/>
        <v>138</v>
      </c>
      <c r="CQ55" s="154">
        <f t="shared" si="151"/>
        <v>15</v>
      </c>
      <c r="CR55" s="154">
        <f t="shared" si="151"/>
        <v>15</v>
      </c>
      <c r="CS55" s="154">
        <f t="shared" si="151"/>
        <v>15</v>
      </c>
      <c r="CT55" s="154">
        <f t="shared" si="151"/>
        <v>15</v>
      </c>
      <c r="CU55" s="154">
        <f t="shared" si="151"/>
        <v>15</v>
      </c>
      <c r="CV55" s="154">
        <f t="shared" si="151"/>
        <v>15</v>
      </c>
      <c r="CW55" s="154">
        <f t="shared" si="151"/>
        <v>15</v>
      </c>
      <c r="CX55" s="154">
        <f t="shared" si="151"/>
        <v>5</v>
      </c>
      <c r="CY55" s="154">
        <f t="shared" si="151"/>
        <v>5</v>
      </c>
      <c r="CZ55" s="154">
        <f t="shared" si="151"/>
        <v>5</v>
      </c>
      <c r="DA55" s="154">
        <f t="shared" si="151"/>
        <v>5</v>
      </c>
      <c r="DB55" s="154">
        <f t="shared" si="151"/>
        <v>5</v>
      </c>
      <c r="DC55" s="154">
        <f t="shared" si="151"/>
        <v>5</v>
      </c>
      <c r="DD55" s="154">
        <f t="shared" ref="DD55:EI55" si="152">SUM(DD50:DD54)</f>
        <v>5</v>
      </c>
      <c r="DE55" s="154">
        <f t="shared" si="152"/>
        <v>5</v>
      </c>
      <c r="DF55" s="154">
        <f t="shared" si="152"/>
        <v>5</v>
      </c>
      <c r="DG55" s="154">
        <f t="shared" si="152"/>
        <v>5</v>
      </c>
      <c r="DH55" s="154">
        <f t="shared" si="152"/>
        <v>5</v>
      </c>
      <c r="DI55" s="154">
        <f t="shared" si="152"/>
        <v>30</v>
      </c>
      <c r="DJ55" s="154">
        <f t="shared" si="152"/>
        <v>30</v>
      </c>
      <c r="DK55" s="154">
        <f t="shared" si="152"/>
        <v>30</v>
      </c>
      <c r="DL55" s="154">
        <f t="shared" si="152"/>
        <v>30</v>
      </c>
      <c r="DM55" s="154">
        <f t="shared" si="152"/>
        <v>5</v>
      </c>
      <c r="DN55" s="154">
        <f t="shared" si="152"/>
        <v>5</v>
      </c>
      <c r="DO55" s="154">
        <f t="shared" si="152"/>
        <v>0</v>
      </c>
      <c r="DP55" s="154">
        <f t="shared" si="152"/>
        <v>0</v>
      </c>
      <c r="DQ55" s="154">
        <f t="shared" si="152"/>
        <v>0</v>
      </c>
      <c r="DR55" s="154">
        <f t="shared" si="152"/>
        <v>0</v>
      </c>
      <c r="DS55" s="154">
        <f t="shared" si="152"/>
        <v>0</v>
      </c>
      <c r="DT55" s="154">
        <f t="shared" si="152"/>
        <v>0</v>
      </c>
      <c r="DU55" s="154">
        <f t="shared" si="152"/>
        <v>0</v>
      </c>
      <c r="DV55" s="154">
        <f t="shared" si="152"/>
        <v>0</v>
      </c>
      <c r="DW55" s="154">
        <f t="shared" si="152"/>
        <v>0</v>
      </c>
      <c r="DX55" s="154">
        <f t="shared" si="152"/>
        <v>0</v>
      </c>
      <c r="DY55" s="154">
        <f t="shared" si="152"/>
        <v>0</v>
      </c>
      <c r="DZ55" s="154">
        <f t="shared" si="152"/>
        <v>0</v>
      </c>
      <c r="EA55" s="154">
        <f t="shared" si="152"/>
        <v>0</v>
      </c>
      <c r="EB55" s="154">
        <f t="shared" si="152"/>
        <v>0</v>
      </c>
      <c r="EC55" s="154">
        <f t="shared" si="152"/>
        <v>0</v>
      </c>
      <c r="ED55" s="154">
        <f t="shared" si="152"/>
        <v>0</v>
      </c>
      <c r="EE55" s="154">
        <f t="shared" si="152"/>
        <v>0</v>
      </c>
      <c r="EF55" s="154">
        <f t="shared" si="152"/>
        <v>0</v>
      </c>
      <c r="EG55" s="154">
        <f t="shared" si="152"/>
        <v>0</v>
      </c>
      <c r="EH55" s="154">
        <f t="shared" si="152"/>
        <v>0</v>
      </c>
      <c r="EI55" s="154">
        <f t="shared" si="152"/>
        <v>0</v>
      </c>
      <c r="EJ55" s="154">
        <f t="shared" ref="EJ55:EL55" si="153">SUM(EJ50:EJ54)</f>
        <v>0</v>
      </c>
      <c r="EK55" s="154">
        <f t="shared" si="153"/>
        <v>0</v>
      </c>
      <c r="EL55" s="154">
        <f t="shared" si="153"/>
        <v>0</v>
      </c>
      <c r="EM55" s="160">
        <f>AVERAGE(L55:DI55)</f>
        <v>44.127450980392155</v>
      </c>
      <c r="EN55" s="159">
        <f>MAX(L55:DI55)</f>
        <v>224</v>
      </c>
    </row>
    <row r="57" spans="1:144">
      <c r="A57" s="466" t="s">
        <v>76</v>
      </c>
      <c r="B57" s="502" t="str">
        <f>'BESS 11'!F322</f>
        <v>14 Sep
23 Sep</v>
      </c>
      <c r="C57" s="502" t="str">
        <f>'BESS 11'!G322</f>
        <v>19 Sep
27 Sep</v>
      </c>
      <c r="D57" s="114"/>
      <c r="E57" s="114" t="s">
        <v>10</v>
      </c>
      <c r="F57" s="115" t="s">
        <v>58</v>
      </c>
      <c r="G57" s="115" t="s">
        <v>59</v>
      </c>
      <c r="H57" s="115"/>
      <c r="I57" s="115" t="s">
        <v>60</v>
      </c>
      <c r="J57" s="116">
        <v>46195</v>
      </c>
      <c r="K57" s="116">
        <v>46196</v>
      </c>
      <c r="L57" s="116">
        <v>46197</v>
      </c>
      <c r="M57" s="116">
        <f t="shared" ref="M57:AR57" si="154">L57+1</f>
        <v>46198</v>
      </c>
      <c r="N57" s="116">
        <f t="shared" si="154"/>
        <v>46199</v>
      </c>
      <c r="O57" s="116">
        <f t="shared" si="154"/>
        <v>46200</v>
      </c>
      <c r="P57" s="116">
        <f t="shared" si="154"/>
        <v>46201</v>
      </c>
      <c r="Q57" s="116">
        <f t="shared" si="154"/>
        <v>46202</v>
      </c>
      <c r="R57" s="116">
        <f t="shared" si="154"/>
        <v>46203</v>
      </c>
      <c r="S57" s="116">
        <f t="shared" si="154"/>
        <v>46204</v>
      </c>
      <c r="T57" s="116">
        <f t="shared" si="154"/>
        <v>46205</v>
      </c>
      <c r="U57" s="116">
        <f t="shared" si="154"/>
        <v>46206</v>
      </c>
      <c r="V57" s="116">
        <f t="shared" si="154"/>
        <v>46207</v>
      </c>
      <c r="W57" s="116">
        <f t="shared" si="154"/>
        <v>46208</v>
      </c>
      <c r="X57" s="116">
        <f t="shared" si="154"/>
        <v>46209</v>
      </c>
      <c r="Y57" s="116">
        <f t="shared" si="154"/>
        <v>46210</v>
      </c>
      <c r="Z57" s="116">
        <f t="shared" si="154"/>
        <v>46211</v>
      </c>
      <c r="AA57" s="116">
        <f t="shared" si="154"/>
        <v>46212</v>
      </c>
      <c r="AB57" s="116">
        <f t="shared" si="154"/>
        <v>46213</v>
      </c>
      <c r="AC57" s="116">
        <f t="shared" si="154"/>
        <v>46214</v>
      </c>
      <c r="AD57" s="116">
        <f t="shared" si="154"/>
        <v>46215</v>
      </c>
      <c r="AE57" s="116">
        <f t="shared" si="154"/>
        <v>46216</v>
      </c>
      <c r="AF57" s="116">
        <f t="shared" si="154"/>
        <v>46217</v>
      </c>
      <c r="AG57" s="116">
        <f t="shared" si="154"/>
        <v>46218</v>
      </c>
      <c r="AH57" s="116">
        <f t="shared" si="154"/>
        <v>46219</v>
      </c>
      <c r="AI57" s="116">
        <f t="shared" si="154"/>
        <v>46220</v>
      </c>
      <c r="AJ57" s="116">
        <f t="shared" si="154"/>
        <v>46221</v>
      </c>
      <c r="AK57" s="116">
        <f t="shared" si="154"/>
        <v>46222</v>
      </c>
      <c r="AL57" s="116">
        <f t="shared" si="154"/>
        <v>46223</v>
      </c>
      <c r="AM57" s="116">
        <f t="shared" si="154"/>
        <v>46224</v>
      </c>
      <c r="AN57" s="116">
        <f t="shared" si="154"/>
        <v>46225</v>
      </c>
      <c r="AO57" s="116">
        <f t="shared" si="154"/>
        <v>46226</v>
      </c>
      <c r="AP57" s="116">
        <f t="shared" si="154"/>
        <v>46227</v>
      </c>
      <c r="AQ57" s="116">
        <f t="shared" si="154"/>
        <v>46228</v>
      </c>
      <c r="AR57" s="116">
        <f t="shared" si="154"/>
        <v>46229</v>
      </c>
      <c r="AS57" s="116">
        <f t="shared" ref="AS57:BX57" si="155">AR57+1</f>
        <v>46230</v>
      </c>
      <c r="AT57" s="116">
        <f t="shared" si="155"/>
        <v>46231</v>
      </c>
      <c r="AU57" s="116">
        <f t="shared" si="155"/>
        <v>46232</v>
      </c>
      <c r="AV57" s="116">
        <f t="shared" si="155"/>
        <v>46233</v>
      </c>
      <c r="AW57" s="116">
        <f t="shared" si="155"/>
        <v>46234</v>
      </c>
      <c r="AX57" s="116">
        <f t="shared" si="155"/>
        <v>46235</v>
      </c>
      <c r="AY57" s="116">
        <f t="shared" si="155"/>
        <v>46236</v>
      </c>
      <c r="AZ57" s="116">
        <f t="shared" si="155"/>
        <v>46237</v>
      </c>
      <c r="BA57" s="116">
        <f t="shared" si="155"/>
        <v>46238</v>
      </c>
      <c r="BB57" s="116">
        <f t="shared" si="155"/>
        <v>46239</v>
      </c>
      <c r="BC57" s="116">
        <f t="shared" si="155"/>
        <v>46240</v>
      </c>
      <c r="BD57" s="116">
        <f t="shared" si="155"/>
        <v>46241</v>
      </c>
      <c r="BE57" s="116">
        <f t="shared" si="155"/>
        <v>46242</v>
      </c>
      <c r="BF57" s="116">
        <f t="shared" si="155"/>
        <v>46243</v>
      </c>
      <c r="BG57" s="116">
        <f t="shared" si="155"/>
        <v>46244</v>
      </c>
      <c r="BH57" s="116">
        <f t="shared" si="155"/>
        <v>46245</v>
      </c>
      <c r="BI57" s="116">
        <f t="shared" si="155"/>
        <v>46246</v>
      </c>
      <c r="BJ57" s="116">
        <f t="shared" si="155"/>
        <v>46247</v>
      </c>
      <c r="BK57" s="116">
        <f t="shared" si="155"/>
        <v>46248</v>
      </c>
      <c r="BL57" s="116">
        <f t="shared" si="155"/>
        <v>46249</v>
      </c>
      <c r="BM57" s="116">
        <f t="shared" si="155"/>
        <v>46250</v>
      </c>
      <c r="BN57" s="116">
        <f t="shared" si="155"/>
        <v>46251</v>
      </c>
      <c r="BO57" s="116">
        <f t="shared" si="155"/>
        <v>46252</v>
      </c>
      <c r="BP57" s="116">
        <f t="shared" si="155"/>
        <v>46253</v>
      </c>
      <c r="BQ57" s="116">
        <f t="shared" si="155"/>
        <v>46254</v>
      </c>
      <c r="BR57" s="116">
        <f t="shared" si="155"/>
        <v>46255</v>
      </c>
      <c r="BS57" s="116">
        <f t="shared" si="155"/>
        <v>46256</v>
      </c>
      <c r="BT57" s="116">
        <f t="shared" si="155"/>
        <v>46257</v>
      </c>
      <c r="BU57" s="116">
        <f t="shared" si="155"/>
        <v>46258</v>
      </c>
      <c r="BV57" s="116">
        <f t="shared" si="155"/>
        <v>46259</v>
      </c>
      <c r="BW57" s="116">
        <f t="shared" si="155"/>
        <v>46260</v>
      </c>
      <c r="BX57" s="116">
        <f t="shared" si="155"/>
        <v>46261</v>
      </c>
      <c r="BY57" s="116">
        <f t="shared" ref="BY57:DD57" si="156">BX57+1</f>
        <v>46262</v>
      </c>
      <c r="BZ57" s="116">
        <f t="shared" si="156"/>
        <v>46263</v>
      </c>
      <c r="CA57" s="116">
        <f t="shared" si="156"/>
        <v>46264</v>
      </c>
      <c r="CB57" s="116">
        <f t="shared" si="156"/>
        <v>46265</v>
      </c>
      <c r="CC57" s="116">
        <f t="shared" si="156"/>
        <v>46266</v>
      </c>
      <c r="CD57" s="116">
        <f t="shared" si="156"/>
        <v>46267</v>
      </c>
      <c r="CE57" s="116">
        <f t="shared" si="156"/>
        <v>46268</v>
      </c>
      <c r="CF57" s="116">
        <f t="shared" si="156"/>
        <v>46269</v>
      </c>
      <c r="CG57" s="116">
        <f t="shared" si="156"/>
        <v>46270</v>
      </c>
      <c r="CH57" s="116">
        <f t="shared" si="156"/>
        <v>46271</v>
      </c>
      <c r="CI57" s="116">
        <f t="shared" si="156"/>
        <v>46272</v>
      </c>
      <c r="CJ57" s="116">
        <f t="shared" si="156"/>
        <v>46273</v>
      </c>
      <c r="CK57" s="116">
        <f t="shared" si="156"/>
        <v>46274</v>
      </c>
      <c r="CL57" s="116">
        <f t="shared" si="156"/>
        <v>46275</v>
      </c>
      <c r="CM57" s="116">
        <f t="shared" si="156"/>
        <v>46276</v>
      </c>
      <c r="CN57" s="116">
        <f t="shared" si="156"/>
        <v>46277</v>
      </c>
      <c r="CO57" s="116">
        <f t="shared" si="156"/>
        <v>46278</v>
      </c>
      <c r="CP57" s="116">
        <f t="shared" si="156"/>
        <v>46279</v>
      </c>
      <c r="CQ57" s="116">
        <f t="shared" si="156"/>
        <v>46280</v>
      </c>
      <c r="CR57" s="116">
        <f t="shared" si="156"/>
        <v>46281</v>
      </c>
      <c r="CS57" s="116">
        <f t="shared" si="156"/>
        <v>46282</v>
      </c>
      <c r="CT57" s="116">
        <f t="shared" si="156"/>
        <v>46283</v>
      </c>
      <c r="CU57" s="116">
        <f t="shared" si="156"/>
        <v>46284</v>
      </c>
      <c r="CV57" s="116">
        <f t="shared" si="156"/>
        <v>46285</v>
      </c>
      <c r="CW57" s="116">
        <f t="shared" si="156"/>
        <v>46286</v>
      </c>
      <c r="CX57" s="116">
        <f t="shared" si="156"/>
        <v>46287</v>
      </c>
      <c r="CY57" s="116">
        <f t="shared" si="156"/>
        <v>46288</v>
      </c>
      <c r="CZ57" s="116">
        <f t="shared" si="156"/>
        <v>46289</v>
      </c>
      <c r="DA57" s="116">
        <f t="shared" si="156"/>
        <v>46290</v>
      </c>
      <c r="DB57" s="116">
        <f t="shared" si="156"/>
        <v>46291</v>
      </c>
      <c r="DC57" s="116">
        <f t="shared" si="156"/>
        <v>46292</v>
      </c>
      <c r="DD57" s="116">
        <f t="shared" si="156"/>
        <v>46293</v>
      </c>
      <c r="DE57" s="116">
        <f t="shared" ref="DE57:EL57" si="157">DD57+1</f>
        <v>46294</v>
      </c>
      <c r="DF57" s="116">
        <f t="shared" si="157"/>
        <v>46295</v>
      </c>
      <c r="DG57" s="116">
        <f t="shared" si="157"/>
        <v>46296</v>
      </c>
      <c r="DH57" s="116">
        <f t="shared" si="157"/>
        <v>46297</v>
      </c>
      <c r="DI57" s="116">
        <f t="shared" si="157"/>
        <v>46298</v>
      </c>
      <c r="DJ57" s="116">
        <f t="shared" si="157"/>
        <v>46299</v>
      </c>
      <c r="DK57" s="116">
        <f t="shared" si="157"/>
        <v>46300</v>
      </c>
      <c r="DL57" s="116">
        <f t="shared" si="157"/>
        <v>46301</v>
      </c>
      <c r="DM57" s="116">
        <f t="shared" si="157"/>
        <v>46302</v>
      </c>
      <c r="DN57" s="116">
        <f t="shared" si="157"/>
        <v>46303</v>
      </c>
      <c r="DO57" s="116">
        <f t="shared" si="157"/>
        <v>46304</v>
      </c>
      <c r="DP57" s="116">
        <f t="shared" si="157"/>
        <v>46305</v>
      </c>
      <c r="DQ57" s="116">
        <f t="shared" si="157"/>
        <v>46306</v>
      </c>
      <c r="DR57" s="116">
        <f t="shared" si="157"/>
        <v>46307</v>
      </c>
      <c r="DS57" s="116">
        <f t="shared" si="157"/>
        <v>46308</v>
      </c>
      <c r="DT57" s="116">
        <f t="shared" si="157"/>
        <v>46309</v>
      </c>
      <c r="DU57" s="116">
        <f t="shared" si="157"/>
        <v>46310</v>
      </c>
      <c r="DV57" s="116">
        <f t="shared" si="157"/>
        <v>46311</v>
      </c>
      <c r="DW57" s="116">
        <f t="shared" si="157"/>
        <v>46312</v>
      </c>
      <c r="DX57" s="116">
        <f t="shared" si="157"/>
        <v>46313</v>
      </c>
      <c r="DY57" s="116">
        <f t="shared" si="157"/>
        <v>46314</v>
      </c>
      <c r="DZ57" s="116">
        <f t="shared" si="157"/>
        <v>46315</v>
      </c>
      <c r="EA57" s="116">
        <f t="shared" si="157"/>
        <v>46316</v>
      </c>
      <c r="EB57" s="116">
        <f t="shared" si="157"/>
        <v>46317</v>
      </c>
      <c r="EC57" s="116">
        <f t="shared" si="157"/>
        <v>46318</v>
      </c>
      <c r="ED57" s="116">
        <f t="shared" si="157"/>
        <v>46319</v>
      </c>
      <c r="EE57" s="116">
        <f t="shared" si="157"/>
        <v>46320</v>
      </c>
      <c r="EF57" s="116">
        <f t="shared" si="157"/>
        <v>46321</v>
      </c>
      <c r="EG57" s="116">
        <f t="shared" si="157"/>
        <v>46322</v>
      </c>
      <c r="EH57" s="116">
        <f t="shared" si="157"/>
        <v>46323</v>
      </c>
      <c r="EI57" s="116">
        <f t="shared" si="157"/>
        <v>46324</v>
      </c>
      <c r="EJ57" s="116">
        <f t="shared" si="157"/>
        <v>46325</v>
      </c>
      <c r="EK57" s="116">
        <f t="shared" si="157"/>
        <v>46326</v>
      </c>
      <c r="EL57" s="116">
        <f t="shared" si="157"/>
        <v>46327</v>
      </c>
    </row>
    <row r="58" spans="1:144">
      <c r="A58" s="466"/>
      <c r="B58" s="502"/>
      <c r="C58" s="502"/>
      <c r="D58" s="467" t="str">
        <f>'BESS 11'!H322</f>
        <v>22 Sep
30 Sep</v>
      </c>
      <c r="E58" s="109" t="s">
        <v>64</v>
      </c>
      <c r="F58" s="102">
        <f>SUM('BESS 11'!S335:S342,'BESS 11'!S344)</f>
        <v>59.2</v>
      </c>
      <c r="G58" s="101">
        <f>MAX('BESS 11'!O335:O342,'BESS 11'!O344)-MIN('BESS 11'!O335:O342,'BESS 11'!O344)+1</f>
        <v>37</v>
      </c>
      <c r="H58" s="101"/>
      <c r="I58" s="110">
        <f>MIN('BESS 11'!O335:O342,'BESS 11'!O344)</f>
        <v>46239</v>
      </c>
      <c r="J58" s="101" t="str">
        <f t="shared" ref="J58:S61" si="158">IF(AND(J$1&gt;=$I58,J$1&lt;($I58+$G58)),ROUND($F58/$G58,0),"-")</f>
        <v>-</v>
      </c>
      <c r="K58" s="101" t="str">
        <f t="shared" si="158"/>
        <v>-</v>
      </c>
      <c r="L58" s="101" t="str">
        <f t="shared" si="158"/>
        <v>-</v>
      </c>
      <c r="M58" s="101" t="str">
        <f t="shared" si="158"/>
        <v>-</v>
      </c>
      <c r="N58" s="101" t="str">
        <f t="shared" si="158"/>
        <v>-</v>
      </c>
      <c r="O58" s="101" t="str">
        <f t="shared" si="158"/>
        <v>-</v>
      </c>
      <c r="P58" s="101" t="str">
        <f t="shared" si="158"/>
        <v>-</v>
      </c>
      <c r="Q58" s="101" t="str">
        <f t="shared" si="158"/>
        <v>-</v>
      </c>
      <c r="R58" s="101" t="str">
        <f t="shared" si="158"/>
        <v>-</v>
      </c>
      <c r="S58" s="101" t="str">
        <f t="shared" si="158"/>
        <v>-</v>
      </c>
      <c r="T58" s="101" t="str">
        <f t="shared" ref="T58:AC61" si="159">IF(AND(T$1&gt;=$I58,T$1&lt;($I58+$G58)),ROUND($F58/$G58,0),"-")</f>
        <v>-</v>
      </c>
      <c r="U58" s="101" t="str">
        <f t="shared" si="159"/>
        <v>-</v>
      </c>
      <c r="V58" s="101" t="str">
        <f t="shared" si="159"/>
        <v>-</v>
      </c>
      <c r="W58" s="101" t="str">
        <f t="shared" si="159"/>
        <v>-</v>
      </c>
      <c r="X58" s="101" t="str">
        <f t="shared" si="159"/>
        <v>-</v>
      </c>
      <c r="Y58" s="101" t="str">
        <f t="shared" si="159"/>
        <v>-</v>
      </c>
      <c r="Z58" s="101" t="str">
        <f t="shared" si="159"/>
        <v>-</v>
      </c>
      <c r="AA58" s="101" t="str">
        <f t="shared" si="159"/>
        <v>-</v>
      </c>
      <c r="AB58" s="101" t="str">
        <f t="shared" si="159"/>
        <v>-</v>
      </c>
      <c r="AC58" s="101" t="str">
        <f t="shared" si="159"/>
        <v>-</v>
      </c>
      <c r="AD58" s="101" t="str">
        <f t="shared" ref="AD58:AM61" si="160">IF(AND(AD$1&gt;=$I58,AD$1&lt;($I58+$G58)),ROUND($F58/$G58,0),"-")</f>
        <v>-</v>
      </c>
      <c r="AE58" s="101" t="str">
        <f t="shared" si="160"/>
        <v>-</v>
      </c>
      <c r="AF58" s="101" t="str">
        <f t="shared" si="160"/>
        <v>-</v>
      </c>
      <c r="AG58" s="101" t="str">
        <f t="shared" si="160"/>
        <v>-</v>
      </c>
      <c r="AH58" s="101" t="str">
        <f t="shared" si="160"/>
        <v>-</v>
      </c>
      <c r="AI58" s="101" t="str">
        <f t="shared" si="160"/>
        <v>-</v>
      </c>
      <c r="AJ58" s="101" t="str">
        <f t="shared" si="160"/>
        <v>-</v>
      </c>
      <c r="AK58" s="101" t="str">
        <f t="shared" si="160"/>
        <v>-</v>
      </c>
      <c r="AL58" s="101" t="str">
        <f t="shared" si="160"/>
        <v>-</v>
      </c>
      <c r="AM58" s="101" t="str">
        <f t="shared" si="160"/>
        <v>-</v>
      </c>
      <c r="AN58" s="101" t="str">
        <f t="shared" ref="AN58:AW61" si="161">IF(AND(AN$1&gt;=$I58,AN$1&lt;($I58+$G58)),ROUND($F58/$G58,0),"-")</f>
        <v>-</v>
      </c>
      <c r="AO58" s="101" t="str">
        <f t="shared" si="161"/>
        <v>-</v>
      </c>
      <c r="AP58" s="101" t="str">
        <f t="shared" si="161"/>
        <v>-</v>
      </c>
      <c r="AQ58" s="101" t="str">
        <f t="shared" si="161"/>
        <v>-</v>
      </c>
      <c r="AR58" s="101" t="str">
        <f t="shared" si="161"/>
        <v>-</v>
      </c>
      <c r="AS58" s="101" t="str">
        <f t="shared" si="161"/>
        <v>-</v>
      </c>
      <c r="AT58" s="101" t="str">
        <f t="shared" si="161"/>
        <v>-</v>
      </c>
      <c r="AU58" s="101" t="str">
        <f t="shared" si="161"/>
        <v>-</v>
      </c>
      <c r="AV58" s="101" t="str">
        <f t="shared" si="161"/>
        <v>-</v>
      </c>
      <c r="AW58" s="101" t="str">
        <f t="shared" si="161"/>
        <v>-</v>
      </c>
      <c r="AX58" s="101" t="str">
        <f t="shared" ref="AX58:BG61" si="162">IF(AND(AX$1&gt;=$I58,AX$1&lt;($I58+$G58)),ROUND($F58/$G58,0),"-")</f>
        <v>-</v>
      </c>
      <c r="AY58" s="101" t="str">
        <f t="shared" si="162"/>
        <v>-</v>
      </c>
      <c r="AZ58" s="101" t="str">
        <f t="shared" si="162"/>
        <v>-</v>
      </c>
      <c r="BA58" s="101" t="str">
        <f t="shared" si="162"/>
        <v>-</v>
      </c>
      <c r="BB58" s="101">
        <f t="shared" si="162"/>
        <v>2</v>
      </c>
      <c r="BC58" s="101">
        <f t="shared" si="162"/>
        <v>2</v>
      </c>
      <c r="BD58" s="101">
        <f t="shared" si="162"/>
        <v>2</v>
      </c>
      <c r="BE58" s="101">
        <f t="shared" si="162"/>
        <v>2</v>
      </c>
      <c r="BF58" s="101">
        <f t="shared" si="162"/>
        <v>2</v>
      </c>
      <c r="BG58" s="101">
        <f t="shared" si="162"/>
        <v>2</v>
      </c>
      <c r="BH58" s="101">
        <f t="shared" ref="BH58:BQ61" si="163">IF(AND(BH$1&gt;=$I58,BH$1&lt;($I58+$G58)),ROUND($F58/$G58,0),"-")</f>
        <v>2</v>
      </c>
      <c r="BI58" s="101">
        <f t="shared" si="163"/>
        <v>2</v>
      </c>
      <c r="BJ58" s="101">
        <f t="shared" si="163"/>
        <v>2</v>
      </c>
      <c r="BK58" s="101">
        <f t="shared" si="163"/>
        <v>2</v>
      </c>
      <c r="BL58" s="101">
        <f t="shared" si="163"/>
        <v>2</v>
      </c>
      <c r="BM58" s="101">
        <f t="shared" si="163"/>
        <v>2</v>
      </c>
      <c r="BN58" s="101">
        <f t="shared" si="163"/>
        <v>2</v>
      </c>
      <c r="BO58" s="101">
        <f t="shared" si="163"/>
        <v>2</v>
      </c>
      <c r="BP58" s="101">
        <f t="shared" si="163"/>
        <v>2</v>
      </c>
      <c r="BQ58" s="101">
        <f t="shared" si="163"/>
        <v>2</v>
      </c>
      <c r="BR58" s="101">
        <f t="shared" ref="BR58:CA61" si="164">IF(AND(BR$1&gt;=$I58,BR$1&lt;($I58+$G58)),ROUND($F58/$G58,0),"-")</f>
        <v>2</v>
      </c>
      <c r="BS58" s="101">
        <f t="shared" si="164"/>
        <v>2</v>
      </c>
      <c r="BT58" s="101">
        <f t="shared" si="164"/>
        <v>2</v>
      </c>
      <c r="BU58" s="101">
        <f t="shared" si="164"/>
        <v>2</v>
      </c>
      <c r="BV58" s="101">
        <f t="shared" si="164"/>
        <v>2</v>
      </c>
      <c r="BW58" s="101">
        <f t="shared" si="164"/>
        <v>2</v>
      </c>
      <c r="BX58" s="101">
        <f t="shared" si="164"/>
        <v>2</v>
      </c>
      <c r="BY58" s="101">
        <f t="shared" si="164"/>
        <v>2</v>
      </c>
      <c r="BZ58" s="101">
        <f t="shared" si="164"/>
        <v>2</v>
      </c>
      <c r="CA58" s="101">
        <f t="shared" si="164"/>
        <v>2</v>
      </c>
      <c r="CB58" s="101">
        <f t="shared" ref="CB58:CK61" si="165">IF(AND(CB$1&gt;=$I58,CB$1&lt;($I58+$G58)),ROUND($F58/$G58,0),"-")</f>
        <v>2</v>
      </c>
      <c r="CC58" s="101">
        <f t="shared" si="165"/>
        <v>2</v>
      </c>
      <c r="CD58" s="101">
        <f t="shared" si="165"/>
        <v>2</v>
      </c>
      <c r="CE58" s="101">
        <f t="shared" si="165"/>
        <v>2</v>
      </c>
      <c r="CF58" s="101">
        <f t="shared" si="165"/>
        <v>2</v>
      </c>
      <c r="CG58" s="101">
        <f t="shared" si="165"/>
        <v>2</v>
      </c>
      <c r="CH58" s="101">
        <f t="shared" si="165"/>
        <v>2</v>
      </c>
      <c r="CI58" s="101">
        <f t="shared" si="165"/>
        <v>2</v>
      </c>
      <c r="CJ58" s="101">
        <f t="shared" si="165"/>
        <v>2</v>
      </c>
      <c r="CK58" s="101">
        <f t="shared" si="165"/>
        <v>2</v>
      </c>
      <c r="CL58" s="101">
        <f t="shared" ref="CL58:CU61" si="166">IF(AND(CL$1&gt;=$I58,CL$1&lt;($I58+$G58)),ROUND($F58/$G58,0),"-")</f>
        <v>2</v>
      </c>
      <c r="CM58" s="101" t="str">
        <f t="shared" si="166"/>
        <v>-</v>
      </c>
      <c r="CN58" s="101" t="str">
        <f t="shared" si="166"/>
        <v>-</v>
      </c>
      <c r="CO58" s="101" t="str">
        <f t="shared" si="166"/>
        <v>-</v>
      </c>
      <c r="CP58" s="101" t="str">
        <f t="shared" si="166"/>
        <v>-</v>
      </c>
      <c r="CQ58" s="101" t="str">
        <f t="shared" si="166"/>
        <v>-</v>
      </c>
      <c r="CR58" s="101" t="str">
        <f t="shared" si="166"/>
        <v>-</v>
      </c>
      <c r="CS58" s="101" t="str">
        <f t="shared" si="166"/>
        <v>-</v>
      </c>
      <c r="CT58" s="101" t="str">
        <f t="shared" si="166"/>
        <v>-</v>
      </c>
      <c r="CU58" s="101" t="str">
        <f t="shared" si="166"/>
        <v>-</v>
      </c>
      <c r="CV58" s="101" t="str">
        <f t="shared" ref="CV58:DE61" si="167">IF(AND(CV$1&gt;=$I58,CV$1&lt;($I58+$G58)),ROUND($F58/$G58,0),"-")</f>
        <v>-</v>
      </c>
      <c r="CW58" s="101" t="str">
        <f t="shared" si="167"/>
        <v>-</v>
      </c>
      <c r="CX58" s="101" t="str">
        <f t="shared" si="167"/>
        <v>-</v>
      </c>
      <c r="CY58" s="101" t="str">
        <f t="shared" si="167"/>
        <v>-</v>
      </c>
      <c r="CZ58" s="101" t="str">
        <f t="shared" si="167"/>
        <v>-</v>
      </c>
      <c r="DA58" s="101" t="str">
        <f t="shared" si="167"/>
        <v>-</v>
      </c>
      <c r="DB58" s="101" t="str">
        <f t="shared" si="167"/>
        <v>-</v>
      </c>
      <c r="DC58" s="101" t="str">
        <f t="shared" si="167"/>
        <v>-</v>
      </c>
      <c r="DD58" s="101" t="str">
        <f t="shared" si="167"/>
        <v>-</v>
      </c>
      <c r="DE58" s="101" t="str">
        <f t="shared" si="167"/>
        <v>-</v>
      </c>
      <c r="DF58" s="101" t="str">
        <f t="shared" ref="DF58:DO61" si="168">IF(AND(DF$1&gt;=$I58,DF$1&lt;($I58+$G58)),ROUND($F58/$G58,0),"-")</f>
        <v>-</v>
      </c>
      <c r="DG58" s="101" t="str">
        <f t="shared" si="168"/>
        <v>-</v>
      </c>
      <c r="DH58" s="101" t="str">
        <f t="shared" si="168"/>
        <v>-</v>
      </c>
      <c r="DI58" s="101" t="str">
        <f t="shared" si="168"/>
        <v>-</v>
      </c>
      <c r="DJ58" s="101" t="str">
        <f t="shared" si="168"/>
        <v>-</v>
      </c>
      <c r="DK58" s="101" t="str">
        <f t="shared" si="168"/>
        <v>-</v>
      </c>
      <c r="DL58" s="101" t="str">
        <f t="shared" si="168"/>
        <v>-</v>
      </c>
      <c r="DM58" s="101" t="str">
        <f t="shared" si="168"/>
        <v>-</v>
      </c>
      <c r="DN58" s="101" t="str">
        <f t="shared" si="168"/>
        <v>-</v>
      </c>
      <c r="DO58" s="101" t="str">
        <f t="shared" si="168"/>
        <v>-</v>
      </c>
      <c r="DP58" s="101" t="str">
        <f t="shared" ref="DP58:DY61" si="169">IF(AND(DP$1&gt;=$I58,DP$1&lt;($I58+$G58)),ROUND($F58/$G58,0),"-")</f>
        <v>-</v>
      </c>
      <c r="DQ58" s="101" t="str">
        <f t="shared" si="169"/>
        <v>-</v>
      </c>
      <c r="DR58" s="101" t="str">
        <f t="shared" si="169"/>
        <v>-</v>
      </c>
      <c r="DS58" s="101" t="str">
        <f t="shared" si="169"/>
        <v>-</v>
      </c>
      <c r="DT58" s="101" t="str">
        <f t="shared" si="169"/>
        <v>-</v>
      </c>
      <c r="DU58" s="101" t="str">
        <f t="shared" si="169"/>
        <v>-</v>
      </c>
      <c r="DV58" s="101" t="str">
        <f t="shared" si="169"/>
        <v>-</v>
      </c>
      <c r="DW58" s="101" t="str">
        <f t="shared" si="169"/>
        <v>-</v>
      </c>
      <c r="DX58" s="101" t="str">
        <f t="shared" si="169"/>
        <v>-</v>
      </c>
      <c r="DY58" s="101" t="str">
        <f t="shared" si="169"/>
        <v>-</v>
      </c>
      <c r="DZ58" s="101" t="str">
        <f t="shared" ref="DZ58:EL61" si="170">IF(AND(DZ$1&gt;=$I58,DZ$1&lt;($I58+$G58)),ROUND($F58/$G58,0),"-")</f>
        <v>-</v>
      </c>
      <c r="EA58" s="101" t="str">
        <f t="shared" si="170"/>
        <v>-</v>
      </c>
      <c r="EB58" s="101" t="str">
        <f t="shared" si="170"/>
        <v>-</v>
      </c>
      <c r="EC58" s="101" t="str">
        <f t="shared" si="170"/>
        <v>-</v>
      </c>
      <c r="ED58" s="101" t="str">
        <f t="shared" si="170"/>
        <v>-</v>
      </c>
      <c r="EE58" s="101" t="str">
        <f t="shared" si="170"/>
        <v>-</v>
      </c>
      <c r="EF58" s="101" t="str">
        <f t="shared" si="170"/>
        <v>-</v>
      </c>
      <c r="EG58" s="101" t="str">
        <f t="shared" si="170"/>
        <v>-</v>
      </c>
      <c r="EH58" s="101" t="str">
        <f t="shared" si="170"/>
        <v>-</v>
      </c>
      <c r="EI58" s="101" t="str">
        <f t="shared" si="170"/>
        <v>-</v>
      </c>
      <c r="EJ58" s="101" t="str">
        <f t="shared" si="170"/>
        <v>-</v>
      </c>
      <c r="EK58" s="101" t="str">
        <f t="shared" si="170"/>
        <v>-</v>
      </c>
      <c r="EL58" s="101" t="str">
        <f t="shared" si="170"/>
        <v>-</v>
      </c>
    </row>
    <row r="59" spans="1:144">
      <c r="A59" s="466"/>
      <c r="B59" s="502"/>
      <c r="C59" s="502"/>
      <c r="D59" s="466"/>
      <c r="E59" s="109" t="s">
        <v>65</v>
      </c>
      <c r="F59" s="102">
        <f>SUM('BESS 11'!S345,'BESS 11'!S347:S348,'BESS 11'!S351:S353)</f>
        <v>1464.3285066666665</v>
      </c>
      <c r="G59" s="101">
        <f>MAX('BESS 11'!O345,'BESS 11'!O347:O348,'BESS 11'!O351:O353)-MIN('BESS 11'!O345,'BESS 11'!O347:O348,'BESS 11'!O351:O353)+1</f>
        <v>11</v>
      </c>
      <c r="H59" s="101"/>
      <c r="I59" s="110">
        <f>MIN('BESS 11'!O345,'BESS 11'!O347:O348,'BESS 11'!O351:O353)</f>
        <v>46246</v>
      </c>
      <c r="J59" s="101" t="str">
        <f t="shared" si="158"/>
        <v>-</v>
      </c>
      <c r="K59" s="101" t="str">
        <f t="shared" si="158"/>
        <v>-</v>
      </c>
      <c r="L59" s="101" t="str">
        <f t="shared" si="158"/>
        <v>-</v>
      </c>
      <c r="M59" s="101" t="str">
        <f t="shared" si="158"/>
        <v>-</v>
      </c>
      <c r="N59" s="101" t="str">
        <f t="shared" si="158"/>
        <v>-</v>
      </c>
      <c r="O59" s="101" t="str">
        <f t="shared" si="158"/>
        <v>-</v>
      </c>
      <c r="P59" s="101" t="str">
        <f t="shared" si="158"/>
        <v>-</v>
      </c>
      <c r="Q59" s="101" t="str">
        <f t="shared" si="158"/>
        <v>-</v>
      </c>
      <c r="R59" s="101" t="str">
        <f t="shared" si="158"/>
        <v>-</v>
      </c>
      <c r="S59" s="101" t="str">
        <f t="shared" si="158"/>
        <v>-</v>
      </c>
      <c r="T59" s="101" t="str">
        <f t="shared" si="159"/>
        <v>-</v>
      </c>
      <c r="U59" s="101" t="str">
        <f t="shared" si="159"/>
        <v>-</v>
      </c>
      <c r="V59" s="101" t="str">
        <f t="shared" si="159"/>
        <v>-</v>
      </c>
      <c r="W59" s="101" t="str">
        <f t="shared" si="159"/>
        <v>-</v>
      </c>
      <c r="X59" s="101" t="str">
        <f t="shared" si="159"/>
        <v>-</v>
      </c>
      <c r="Y59" s="101" t="str">
        <f t="shared" si="159"/>
        <v>-</v>
      </c>
      <c r="Z59" s="101" t="str">
        <f t="shared" si="159"/>
        <v>-</v>
      </c>
      <c r="AA59" s="101" t="str">
        <f t="shared" si="159"/>
        <v>-</v>
      </c>
      <c r="AB59" s="101" t="str">
        <f t="shared" si="159"/>
        <v>-</v>
      </c>
      <c r="AC59" s="101" t="str">
        <f t="shared" si="159"/>
        <v>-</v>
      </c>
      <c r="AD59" s="101" t="str">
        <f t="shared" si="160"/>
        <v>-</v>
      </c>
      <c r="AE59" s="101" t="str">
        <f t="shared" si="160"/>
        <v>-</v>
      </c>
      <c r="AF59" s="101" t="str">
        <f t="shared" si="160"/>
        <v>-</v>
      </c>
      <c r="AG59" s="101" t="str">
        <f t="shared" si="160"/>
        <v>-</v>
      </c>
      <c r="AH59" s="101" t="str">
        <f t="shared" si="160"/>
        <v>-</v>
      </c>
      <c r="AI59" s="101" t="str">
        <f t="shared" si="160"/>
        <v>-</v>
      </c>
      <c r="AJ59" s="101" t="str">
        <f t="shared" si="160"/>
        <v>-</v>
      </c>
      <c r="AK59" s="101" t="str">
        <f t="shared" si="160"/>
        <v>-</v>
      </c>
      <c r="AL59" s="101" t="str">
        <f t="shared" si="160"/>
        <v>-</v>
      </c>
      <c r="AM59" s="101" t="str">
        <f t="shared" si="160"/>
        <v>-</v>
      </c>
      <c r="AN59" s="101" t="str">
        <f t="shared" si="161"/>
        <v>-</v>
      </c>
      <c r="AO59" s="101" t="str">
        <f t="shared" si="161"/>
        <v>-</v>
      </c>
      <c r="AP59" s="101" t="str">
        <f t="shared" si="161"/>
        <v>-</v>
      </c>
      <c r="AQ59" s="101" t="str">
        <f t="shared" si="161"/>
        <v>-</v>
      </c>
      <c r="AR59" s="101" t="str">
        <f t="shared" si="161"/>
        <v>-</v>
      </c>
      <c r="AS59" s="101" t="str">
        <f t="shared" si="161"/>
        <v>-</v>
      </c>
      <c r="AT59" s="101" t="str">
        <f t="shared" si="161"/>
        <v>-</v>
      </c>
      <c r="AU59" s="101" t="str">
        <f t="shared" si="161"/>
        <v>-</v>
      </c>
      <c r="AV59" s="101" t="str">
        <f t="shared" si="161"/>
        <v>-</v>
      </c>
      <c r="AW59" s="101" t="str">
        <f t="shared" si="161"/>
        <v>-</v>
      </c>
      <c r="AX59" s="101" t="str">
        <f t="shared" si="162"/>
        <v>-</v>
      </c>
      <c r="AY59" s="101" t="str">
        <f t="shared" si="162"/>
        <v>-</v>
      </c>
      <c r="AZ59" s="101" t="str">
        <f t="shared" si="162"/>
        <v>-</v>
      </c>
      <c r="BA59" s="101" t="str">
        <f t="shared" si="162"/>
        <v>-</v>
      </c>
      <c r="BB59" s="101" t="str">
        <f t="shared" si="162"/>
        <v>-</v>
      </c>
      <c r="BC59" s="101" t="str">
        <f t="shared" si="162"/>
        <v>-</v>
      </c>
      <c r="BD59" s="101" t="str">
        <f t="shared" si="162"/>
        <v>-</v>
      </c>
      <c r="BE59" s="101" t="str">
        <f t="shared" si="162"/>
        <v>-</v>
      </c>
      <c r="BF59" s="101" t="str">
        <f t="shared" si="162"/>
        <v>-</v>
      </c>
      <c r="BG59" s="101" t="str">
        <f t="shared" si="162"/>
        <v>-</v>
      </c>
      <c r="BH59" s="101" t="str">
        <f t="shared" si="163"/>
        <v>-</v>
      </c>
      <c r="BI59" s="101">
        <f t="shared" si="163"/>
        <v>133</v>
      </c>
      <c r="BJ59" s="101">
        <f t="shared" si="163"/>
        <v>133</v>
      </c>
      <c r="BK59" s="101">
        <f t="shared" si="163"/>
        <v>133</v>
      </c>
      <c r="BL59" s="101">
        <f t="shared" si="163"/>
        <v>133</v>
      </c>
      <c r="BM59" s="101">
        <f t="shared" si="163"/>
        <v>133</v>
      </c>
      <c r="BN59" s="101">
        <f t="shared" si="163"/>
        <v>133</v>
      </c>
      <c r="BO59" s="101">
        <f t="shared" si="163"/>
        <v>133</v>
      </c>
      <c r="BP59" s="101">
        <f t="shared" si="163"/>
        <v>133</v>
      </c>
      <c r="BQ59" s="101">
        <f t="shared" si="163"/>
        <v>133</v>
      </c>
      <c r="BR59" s="101">
        <f t="shared" si="164"/>
        <v>133</v>
      </c>
      <c r="BS59" s="101">
        <f t="shared" si="164"/>
        <v>133</v>
      </c>
      <c r="BT59" s="101" t="str">
        <f t="shared" si="164"/>
        <v>-</v>
      </c>
      <c r="BU59" s="101" t="str">
        <f t="shared" si="164"/>
        <v>-</v>
      </c>
      <c r="BV59" s="101" t="str">
        <f t="shared" si="164"/>
        <v>-</v>
      </c>
      <c r="BW59" s="101" t="str">
        <f t="shared" si="164"/>
        <v>-</v>
      </c>
      <c r="BX59" s="101" t="str">
        <f t="shared" si="164"/>
        <v>-</v>
      </c>
      <c r="BY59" s="101" t="str">
        <f t="shared" si="164"/>
        <v>-</v>
      </c>
      <c r="BZ59" s="101" t="str">
        <f t="shared" si="164"/>
        <v>-</v>
      </c>
      <c r="CA59" s="101" t="str">
        <f t="shared" si="164"/>
        <v>-</v>
      </c>
      <c r="CB59" s="101" t="str">
        <f t="shared" si="165"/>
        <v>-</v>
      </c>
      <c r="CC59" s="101" t="str">
        <f t="shared" si="165"/>
        <v>-</v>
      </c>
      <c r="CD59" s="101" t="str">
        <f t="shared" si="165"/>
        <v>-</v>
      </c>
      <c r="CE59" s="101" t="str">
        <f t="shared" si="165"/>
        <v>-</v>
      </c>
      <c r="CF59" s="101" t="str">
        <f t="shared" si="165"/>
        <v>-</v>
      </c>
      <c r="CG59" s="101" t="str">
        <f t="shared" si="165"/>
        <v>-</v>
      </c>
      <c r="CH59" s="101" t="str">
        <f t="shared" si="165"/>
        <v>-</v>
      </c>
      <c r="CI59" s="101" t="str">
        <f t="shared" si="165"/>
        <v>-</v>
      </c>
      <c r="CJ59" s="101" t="str">
        <f t="shared" si="165"/>
        <v>-</v>
      </c>
      <c r="CK59" s="101" t="str">
        <f t="shared" si="165"/>
        <v>-</v>
      </c>
      <c r="CL59" s="101" t="str">
        <f t="shared" si="166"/>
        <v>-</v>
      </c>
      <c r="CM59" s="101" t="str">
        <f t="shared" si="166"/>
        <v>-</v>
      </c>
      <c r="CN59" s="101" t="str">
        <f t="shared" si="166"/>
        <v>-</v>
      </c>
      <c r="CO59" s="101" t="str">
        <f t="shared" si="166"/>
        <v>-</v>
      </c>
      <c r="CP59" s="101" t="str">
        <f t="shared" si="166"/>
        <v>-</v>
      </c>
      <c r="CQ59" s="101" t="str">
        <f t="shared" si="166"/>
        <v>-</v>
      </c>
      <c r="CR59" s="101" t="str">
        <f t="shared" si="166"/>
        <v>-</v>
      </c>
      <c r="CS59" s="101" t="str">
        <f t="shared" si="166"/>
        <v>-</v>
      </c>
      <c r="CT59" s="101" t="str">
        <f t="shared" si="166"/>
        <v>-</v>
      </c>
      <c r="CU59" s="101" t="str">
        <f t="shared" si="166"/>
        <v>-</v>
      </c>
      <c r="CV59" s="101" t="str">
        <f t="shared" si="167"/>
        <v>-</v>
      </c>
      <c r="CW59" s="101" t="str">
        <f t="shared" si="167"/>
        <v>-</v>
      </c>
      <c r="CX59" s="101" t="str">
        <f t="shared" si="167"/>
        <v>-</v>
      </c>
      <c r="CY59" s="101" t="str">
        <f t="shared" si="167"/>
        <v>-</v>
      </c>
      <c r="CZ59" s="101" t="str">
        <f t="shared" si="167"/>
        <v>-</v>
      </c>
      <c r="DA59" s="101" t="str">
        <f t="shared" si="167"/>
        <v>-</v>
      </c>
      <c r="DB59" s="101" t="str">
        <f t="shared" si="167"/>
        <v>-</v>
      </c>
      <c r="DC59" s="101" t="str">
        <f t="shared" si="167"/>
        <v>-</v>
      </c>
      <c r="DD59" s="101" t="str">
        <f t="shared" si="167"/>
        <v>-</v>
      </c>
      <c r="DE59" s="101" t="str">
        <f t="shared" si="167"/>
        <v>-</v>
      </c>
      <c r="DF59" s="101" t="str">
        <f t="shared" si="168"/>
        <v>-</v>
      </c>
      <c r="DG59" s="101" t="str">
        <f t="shared" si="168"/>
        <v>-</v>
      </c>
      <c r="DH59" s="101" t="str">
        <f t="shared" si="168"/>
        <v>-</v>
      </c>
      <c r="DI59" s="101" t="str">
        <f t="shared" si="168"/>
        <v>-</v>
      </c>
      <c r="DJ59" s="101" t="str">
        <f t="shared" si="168"/>
        <v>-</v>
      </c>
      <c r="DK59" s="101" t="str">
        <f t="shared" si="168"/>
        <v>-</v>
      </c>
      <c r="DL59" s="101" t="str">
        <f t="shared" si="168"/>
        <v>-</v>
      </c>
      <c r="DM59" s="101" t="str">
        <f t="shared" si="168"/>
        <v>-</v>
      </c>
      <c r="DN59" s="101" t="str">
        <f t="shared" si="168"/>
        <v>-</v>
      </c>
      <c r="DO59" s="101" t="str">
        <f t="shared" si="168"/>
        <v>-</v>
      </c>
      <c r="DP59" s="101" t="str">
        <f t="shared" si="169"/>
        <v>-</v>
      </c>
      <c r="DQ59" s="101" t="str">
        <f t="shared" si="169"/>
        <v>-</v>
      </c>
      <c r="DR59" s="101" t="str">
        <f t="shared" si="169"/>
        <v>-</v>
      </c>
      <c r="DS59" s="101" t="str">
        <f t="shared" si="169"/>
        <v>-</v>
      </c>
      <c r="DT59" s="101" t="str">
        <f t="shared" si="169"/>
        <v>-</v>
      </c>
      <c r="DU59" s="101" t="str">
        <f t="shared" si="169"/>
        <v>-</v>
      </c>
      <c r="DV59" s="101" t="str">
        <f t="shared" si="169"/>
        <v>-</v>
      </c>
      <c r="DW59" s="101" t="str">
        <f t="shared" si="169"/>
        <v>-</v>
      </c>
      <c r="DX59" s="101" t="str">
        <f t="shared" si="169"/>
        <v>-</v>
      </c>
      <c r="DY59" s="101" t="str">
        <f t="shared" si="169"/>
        <v>-</v>
      </c>
      <c r="DZ59" s="101" t="str">
        <f t="shared" si="170"/>
        <v>-</v>
      </c>
      <c r="EA59" s="101" t="str">
        <f t="shared" si="170"/>
        <v>-</v>
      </c>
      <c r="EB59" s="101" t="str">
        <f t="shared" si="170"/>
        <v>-</v>
      </c>
      <c r="EC59" s="101" t="str">
        <f t="shared" si="170"/>
        <v>-</v>
      </c>
      <c r="ED59" s="101" t="str">
        <f t="shared" si="170"/>
        <v>-</v>
      </c>
      <c r="EE59" s="101" t="str">
        <f t="shared" si="170"/>
        <v>-</v>
      </c>
      <c r="EF59" s="101" t="str">
        <f t="shared" si="170"/>
        <v>-</v>
      </c>
      <c r="EG59" s="101" t="str">
        <f t="shared" si="170"/>
        <v>-</v>
      </c>
      <c r="EH59" s="101" t="str">
        <f t="shared" si="170"/>
        <v>-</v>
      </c>
      <c r="EI59" s="101" t="str">
        <f t="shared" si="170"/>
        <v>-</v>
      </c>
      <c r="EJ59" s="101" t="str">
        <f t="shared" si="170"/>
        <v>-</v>
      </c>
      <c r="EK59" s="101" t="str">
        <f t="shared" si="170"/>
        <v>-</v>
      </c>
      <c r="EL59" s="101" t="str">
        <f t="shared" si="170"/>
        <v>-</v>
      </c>
    </row>
    <row r="60" spans="1:144">
      <c r="A60" s="466"/>
      <c r="B60" s="502"/>
      <c r="C60" s="502"/>
      <c r="D60" s="466"/>
      <c r="E60" s="109" t="s">
        <v>66</v>
      </c>
      <c r="F60" s="102">
        <f>SUM('BESS 11'!S346,'BESS 11'!S349:S350,'BESS 11'!S354:S355)</f>
        <v>2453.6666666666665</v>
      </c>
      <c r="G60" s="102">
        <f>MAX('BESS 11'!O346,'BESS 11'!O349:O350,'BESS 11'!O354:O355)-MIN('BESS 11'!O346,'BESS 11'!O349:O350,'BESS 11'!O354:O355)+1</f>
        <v>18</v>
      </c>
      <c r="H60" s="102"/>
      <c r="I60" s="110">
        <f>MIN('BESS 11'!O346,'BESS 11'!O349:O350,'BESS 11'!O354:O355)</f>
        <v>46262</v>
      </c>
      <c r="J60" s="101" t="str">
        <f t="shared" si="158"/>
        <v>-</v>
      </c>
      <c r="K60" s="101" t="str">
        <f t="shared" si="158"/>
        <v>-</v>
      </c>
      <c r="L60" s="101" t="str">
        <f t="shared" si="158"/>
        <v>-</v>
      </c>
      <c r="M60" s="101" t="str">
        <f t="shared" si="158"/>
        <v>-</v>
      </c>
      <c r="N60" s="101" t="str">
        <f t="shared" si="158"/>
        <v>-</v>
      </c>
      <c r="O60" s="101" t="str">
        <f t="shared" si="158"/>
        <v>-</v>
      </c>
      <c r="P60" s="101" t="str">
        <f t="shared" si="158"/>
        <v>-</v>
      </c>
      <c r="Q60" s="101" t="str">
        <f t="shared" si="158"/>
        <v>-</v>
      </c>
      <c r="R60" s="101" t="str">
        <f t="shared" si="158"/>
        <v>-</v>
      </c>
      <c r="S60" s="101" t="str">
        <f t="shared" si="158"/>
        <v>-</v>
      </c>
      <c r="T60" s="101" t="str">
        <f t="shared" si="159"/>
        <v>-</v>
      </c>
      <c r="U60" s="101" t="str">
        <f t="shared" si="159"/>
        <v>-</v>
      </c>
      <c r="V60" s="101" t="str">
        <f t="shared" si="159"/>
        <v>-</v>
      </c>
      <c r="W60" s="101" t="str">
        <f t="shared" si="159"/>
        <v>-</v>
      </c>
      <c r="X60" s="101" t="str">
        <f t="shared" si="159"/>
        <v>-</v>
      </c>
      <c r="Y60" s="101" t="str">
        <f t="shared" si="159"/>
        <v>-</v>
      </c>
      <c r="Z60" s="101" t="str">
        <f t="shared" si="159"/>
        <v>-</v>
      </c>
      <c r="AA60" s="101" t="str">
        <f t="shared" si="159"/>
        <v>-</v>
      </c>
      <c r="AB60" s="101" t="str">
        <f t="shared" si="159"/>
        <v>-</v>
      </c>
      <c r="AC60" s="101" t="str">
        <f t="shared" si="159"/>
        <v>-</v>
      </c>
      <c r="AD60" s="101" t="str">
        <f t="shared" si="160"/>
        <v>-</v>
      </c>
      <c r="AE60" s="101" t="str">
        <f t="shared" si="160"/>
        <v>-</v>
      </c>
      <c r="AF60" s="101" t="str">
        <f t="shared" si="160"/>
        <v>-</v>
      </c>
      <c r="AG60" s="101" t="str">
        <f t="shared" si="160"/>
        <v>-</v>
      </c>
      <c r="AH60" s="101" t="str">
        <f t="shared" si="160"/>
        <v>-</v>
      </c>
      <c r="AI60" s="101" t="str">
        <f t="shared" si="160"/>
        <v>-</v>
      </c>
      <c r="AJ60" s="101" t="str">
        <f t="shared" si="160"/>
        <v>-</v>
      </c>
      <c r="AK60" s="101" t="str">
        <f t="shared" si="160"/>
        <v>-</v>
      </c>
      <c r="AL60" s="101" t="str">
        <f t="shared" si="160"/>
        <v>-</v>
      </c>
      <c r="AM60" s="101" t="str">
        <f t="shared" si="160"/>
        <v>-</v>
      </c>
      <c r="AN60" s="101" t="str">
        <f t="shared" si="161"/>
        <v>-</v>
      </c>
      <c r="AO60" s="101" t="str">
        <f t="shared" si="161"/>
        <v>-</v>
      </c>
      <c r="AP60" s="101" t="str">
        <f t="shared" si="161"/>
        <v>-</v>
      </c>
      <c r="AQ60" s="101" t="str">
        <f t="shared" si="161"/>
        <v>-</v>
      </c>
      <c r="AR60" s="101" t="str">
        <f t="shared" si="161"/>
        <v>-</v>
      </c>
      <c r="AS60" s="101" t="str">
        <f t="shared" si="161"/>
        <v>-</v>
      </c>
      <c r="AT60" s="101" t="str">
        <f t="shared" si="161"/>
        <v>-</v>
      </c>
      <c r="AU60" s="101" t="str">
        <f t="shared" si="161"/>
        <v>-</v>
      </c>
      <c r="AV60" s="101" t="str">
        <f t="shared" si="161"/>
        <v>-</v>
      </c>
      <c r="AW60" s="101" t="str">
        <f t="shared" si="161"/>
        <v>-</v>
      </c>
      <c r="AX60" s="101" t="str">
        <f t="shared" si="162"/>
        <v>-</v>
      </c>
      <c r="AY60" s="101" t="str">
        <f t="shared" si="162"/>
        <v>-</v>
      </c>
      <c r="AZ60" s="101" t="str">
        <f t="shared" si="162"/>
        <v>-</v>
      </c>
      <c r="BA60" s="101" t="str">
        <f t="shared" si="162"/>
        <v>-</v>
      </c>
      <c r="BB60" s="101" t="str">
        <f t="shared" si="162"/>
        <v>-</v>
      </c>
      <c r="BC60" s="101" t="str">
        <f t="shared" si="162"/>
        <v>-</v>
      </c>
      <c r="BD60" s="101" t="str">
        <f t="shared" si="162"/>
        <v>-</v>
      </c>
      <c r="BE60" s="101" t="str">
        <f t="shared" si="162"/>
        <v>-</v>
      </c>
      <c r="BF60" s="101" t="str">
        <f t="shared" si="162"/>
        <v>-</v>
      </c>
      <c r="BG60" s="101" t="str">
        <f t="shared" si="162"/>
        <v>-</v>
      </c>
      <c r="BH60" s="101" t="str">
        <f t="shared" si="163"/>
        <v>-</v>
      </c>
      <c r="BI60" s="101" t="str">
        <f t="shared" si="163"/>
        <v>-</v>
      </c>
      <c r="BJ60" s="101" t="str">
        <f t="shared" si="163"/>
        <v>-</v>
      </c>
      <c r="BK60" s="101" t="str">
        <f t="shared" si="163"/>
        <v>-</v>
      </c>
      <c r="BL60" s="101" t="str">
        <f t="shared" si="163"/>
        <v>-</v>
      </c>
      <c r="BM60" s="101" t="str">
        <f t="shared" si="163"/>
        <v>-</v>
      </c>
      <c r="BN60" s="101" t="str">
        <f t="shared" si="163"/>
        <v>-</v>
      </c>
      <c r="BO60" s="101" t="str">
        <f t="shared" si="163"/>
        <v>-</v>
      </c>
      <c r="BP60" s="101" t="str">
        <f t="shared" si="163"/>
        <v>-</v>
      </c>
      <c r="BQ60" s="101" t="str">
        <f t="shared" si="163"/>
        <v>-</v>
      </c>
      <c r="BR60" s="101" t="str">
        <f t="shared" si="164"/>
        <v>-</v>
      </c>
      <c r="BS60" s="101" t="str">
        <f t="shared" si="164"/>
        <v>-</v>
      </c>
      <c r="BT60" s="101" t="str">
        <f t="shared" si="164"/>
        <v>-</v>
      </c>
      <c r="BU60" s="101" t="str">
        <f t="shared" si="164"/>
        <v>-</v>
      </c>
      <c r="BV60" s="101" t="str">
        <f t="shared" si="164"/>
        <v>-</v>
      </c>
      <c r="BW60" s="101" t="str">
        <f t="shared" si="164"/>
        <v>-</v>
      </c>
      <c r="BX60" s="101" t="str">
        <f t="shared" si="164"/>
        <v>-</v>
      </c>
      <c r="BY60" s="101">
        <f t="shared" si="164"/>
        <v>136</v>
      </c>
      <c r="BZ60" s="101">
        <f t="shared" si="164"/>
        <v>136</v>
      </c>
      <c r="CA60" s="101">
        <f t="shared" si="164"/>
        <v>136</v>
      </c>
      <c r="CB60" s="101">
        <f t="shared" si="165"/>
        <v>136</v>
      </c>
      <c r="CC60" s="101">
        <f t="shared" si="165"/>
        <v>136</v>
      </c>
      <c r="CD60" s="101">
        <f t="shared" si="165"/>
        <v>136</v>
      </c>
      <c r="CE60" s="101">
        <f t="shared" si="165"/>
        <v>136</v>
      </c>
      <c r="CF60" s="101">
        <f t="shared" si="165"/>
        <v>136</v>
      </c>
      <c r="CG60" s="101">
        <f t="shared" si="165"/>
        <v>136</v>
      </c>
      <c r="CH60" s="101">
        <f t="shared" si="165"/>
        <v>136</v>
      </c>
      <c r="CI60" s="101">
        <f t="shared" si="165"/>
        <v>136</v>
      </c>
      <c r="CJ60" s="101">
        <f t="shared" si="165"/>
        <v>136</v>
      </c>
      <c r="CK60" s="101">
        <f t="shared" si="165"/>
        <v>136</v>
      </c>
      <c r="CL60" s="101">
        <f t="shared" si="166"/>
        <v>136</v>
      </c>
      <c r="CM60" s="101">
        <f t="shared" si="166"/>
        <v>136</v>
      </c>
      <c r="CN60" s="101">
        <f t="shared" si="166"/>
        <v>136</v>
      </c>
      <c r="CO60" s="101">
        <f t="shared" si="166"/>
        <v>136</v>
      </c>
      <c r="CP60" s="101">
        <f t="shared" si="166"/>
        <v>136</v>
      </c>
      <c r="CQ60" s="101" t="str">
        <f t="shared" si="166"/>
        <v>-</v>
      </c>
      <c r="CR60" s="101" t="str">
        <f t="shared" si="166"/>
        <v>-</v>
      </c>
      <c r="CS60" s="101" t="str">
        <f t="shared" si="166"/>
        <v>-</v>
      </c>
      <c r="CT60" s="101" t="str">
        <f t="shared" si="166"/>
        <v>-</v>
      </c>
      <c r="CU60" s="101" t="str">
        <f t="shared" si="166"/>
        <v>-</v>
      </c>
      <c r="CV60" s="101" t="str">
        <f t="shared" si="167"/>
        <v>-</v>
      </c>
      <c r="CW60" s="101" t="str">
        <f t="shared" si="167"/>
        <v>-</v>
      </c>
      <c r="CX60" s="101" t="str">
        <f t="shared" si="167"/>
        <v>-</v>
      </c>
      <c r="CY60" s="101" t="str">
        <f t="shared" si="167"/>
        <v>-</v>
      </c>
      <c r="CZ60" s="101" t="str">
        <f t="shared" si="167"/>
        <v>-</v>
      </c>
      <c r="DA60" s="101" t="str">
        <f t="shared" si="167"/>
        <v>-</v>
      </c>
      <c r="DB60" s="101" t="str">
        <f t="shared" si="167"/>
        <v>-</v>
      </c>
      <c r="DC60" s="101" t="str">
        <f t="shared" si="167"/>
        <v>-</v>
      </c>
      <c r="DD60" s="101" t="str">
        <f t="shared" si="167"/>
        <v>-</v>
      </c>
      <c r="DE60" s="101" t="str">
        <f t="shared" si="167"/>
        <v>-</v>
      </c>
      <c r="DF60" s="101" t="str">
        <f t="shared" si="168"/>
        <v>-</v>
      </c>
      <c r="DG60" s="101" t="str">
        <f t="shared" si="168"/>
        <v>-</v>
      </c>
      <c r="DH60" s="101" t="str">
        <f t="shared" si="168"/>
        <v>-</v>
      </c>
      <c r="DI60" s="101" t="str">
        <f t="shared" si="168"/>
        <v>-</v>
      </c>
      <c r="DJ60" s="101" t="str">
        <f t="shared" si="168"/>
        <v>-</v>
      </c>
      <c r="DK60" s="101" t="str">
        <f t="shared" si="168"/>
        <v>-</v>
      </c>
      <c r="DL60" s="101" t="str">
        <f t="shared" si="168"/>
        <v>-</v>
      </c>
      <c r="DM60" s="101" t="str">
        <f t="shared" si="168"/>
        <v>-</v>
      </c>
      <c r="DN60" s="101" t="str">
        <f t="shared" si="168"/>
        <v>-</v>
      </c>
      <c r="DO60" s="101" t="str">
        <f t="shared" si="168"/>
        <v>-</v>
      </c>
      <c r="DP60" s="101" t="str">
        <f t="shared" si="169"/>
        <v>-</v>
      </c>
      <c r="DQ60" s="101" t="str">
        <f t="shared" si="169"/>
        <v>-</v>
      </c>
      <c r="DR60" s="101" t="str">
        <f t="shared" si="169"/>
        <v>-</v>
      </c>
      <c r="DS60" s="101" t="str">
        <f t="shared" si="169"/>
        <v>-</v>
      </c>
      <c r="DT60" s="101" t="str">
        <f t="shared" si="169"/>
        <v>-</v>
      </c>
      <c r="DU60" s="101" t="str">
        <f t="shared" si="169"/>
        <v>-</v>
      </c>
      <c r="DV60" s="101" t="str">
        <f t="shared" si="169"/>
        <v>-</v>
      </c>
      <c r="DW60" s="101" t="str">
        <f t="shared" si="169"/>
        <v>-</v>
      </c>
      <c r="DX60" s="101" t="str">
        <f t="shared" si="169"/>
        <v>-</v>
      </c>
      <c r="DY60" s="101" t="str">
        <f t="shared" si="169"/>
        <v>-</v>
      </c>
      <c r="DZ60" s="101" t="str">
        <f t="shared" si="170"/>
        <v>-</v>
      </c>
      <c r="EA60" s="101" t="str">
        <f t="shared" si="170"/>
        <v>-</v>
      </c>
      <c r="EB60" s="101" t="str">
        <f t="shared" si="170"/>
        <v>-</v>
      </c>
      <c r="EC60" s="101" t="str">
        <f t="shared" si="170"/>
        <v>-</v>
      </c>
      <c r="ED60" s="101" t="str">
        <f t="shared" si="170"/>
        <v>-</v>
      </c>
      <c r="EE60" s="101" t="str">
        <f t="shared" si="170"/>
        <v>-</v>
      </c>
      <c r="EF60" s="101" t="str">
        <f t="shared" si="170"/>
        <v>-</v>
      </c>
      <c r="EG60" s="101" t="str">
        <f t="shared" si="170"/>
        <v>-</v>
      </c>
      <c r="EH60" s="101" t="str">
        <f t="shared" si="170"/>
        <v>-</v>
      </c>
      <c r="EI60" s="101" t="str">
        <f t="shared" si="170"/>
        <v>-</v>
      </c>
      <c r="EJ60" s="101" t="str">
        <f t="shared" si="170"/>
        <v>-</v>
      </c>
      <c r="EK60" s="101" t="str">
        <f t="shared" si="170"/>
        <v>-</v>
      </c>
      <c r="EL60" s="101" t="str">
        <f t="shared" si="170"/>
        <v>-</v>
      </c>
    </row>
    <row r="61" spans="1:144">
      <c r="A61" s="466"/>
      <c r="B61" s="502"/>
      <c r="C61" s="502"/>
      <c r="D61" s="466"/>
      <c r="E61" s="109" t="s">
        <v>67</v>
      </c>
      <c r="F61" s="102">
        <f>SUM('BESS 11'!S358:S366)</f>
        <v>340.69333333333333</v>
      </c>
      <c r="G61" s="101">
        <f>MAX('BESS 11'!O358:O366)-MIN('BESS 11'!O358:O366)+1</f>
        <v>32</v>
      </c>
      <c r="H61" s="101"/>
      <c r="I61" s="110">
        <f>MIN('BESS 11'!O358:O366)</f>
        <v>46255</v>
      </c>
      <c r="J61" s="101" t="str">
        <f t="shared" si="158"/>
        <v>-</v>
      </c>
      <c r="K61" s="101" t="str">
        <f t="shared" si="158"/>
        <v>-</v>
      </c>
      <c r="L61" s="101" t="str">
        <f t="shared" si="158"/>
        <v>-</v>
      </c>
      <c r="M61" s="101" t="str">
        <f t="shared" si="158"/>
        <v>-</v>
      </c>
      <c r="N61" s="101" t="str">
        <f t="shared" si="158"/>
        <v>-</v>
      </c>
      <c r="O61" s="101" t="str">
        <f t="shared" si="158"/>
        <v>-</v>
      </c>
      <c r="P61" s="101" t="str">
        <f t="shared" si="158"/>
        <v>-</v>
      </c>
      <c r="Q61" s="101" t="str">
        <f t="shared" si="158"/>
        <v>-</v>
      </c>
      <c r="R61" s="101" t="str">
        <f t="shared" si="158"/>
        <v>-</v>
      </c>
      <c r="S61" s="101" t="str">
        <f t="shared" si="158"/>
        <v>-</v>
      </c>
      <c r="T61" s="101" t="str">
        <f t="shared" si="159"/>
        <v>-</v>
      </c>
      <c r="U61" s="101" t="str">
        <f t="shared" si="159"/>
        <v>-</v>
      </c>
      <c r="V61" s="101" t="str">
        <f t="shared" si="159"/>
        <v>-</v>
      </c>
      <c r="W61" s="101" t="str">
        <f t="shared" si="159"/>
        <v>-</v>
      </c>
      <c r="X61" s="101" t="str">
        <f t="shared" si="159"/>
        <v>-</v>
      </c>
      <c r="Y61" s="101" t="str">
        <f t="shared" si="159"/>
        <v>-</v>
      </c>
      <c r="Z61" s="101" t="str">
        <f t="shared" si="159"/>
        <v>-</v>
      </c>
      <c r="AA61" s="101" t="str">
        <f t="shared" si="159"/>
        <v>-</v>
      </c>
      <c r="AB61" s="101" t="str">
        <f t="shared" si="159"/>
        <v>-</v>
      </c>
      <c r="AC61" s="101" t="str">
        <f t="shared" si="159"/>
        <v>-</v>
      </c>
      <c r="AD61" s="101" t="str">
        <f t="shared" si="160"/>
        <v>-</v>
      </c>
      <c r="AE61" s="101" t="str">
        <f t="shared" si="160"/>
        <v>-</v>
      </c>
      <c r="AF61" s="101" t="str">
        <f t="shared" si="160"/>
        <v>-</v>
      </c>
      <c r="AG61" s="101" t="str">
        <f t="shared" si="160"/>
        <v>-</v>
      </c>
      <c r="AH61" s="101" t="str">
        <f t="shared" si="160"/>
        <v>-</v>
      </c>
      <c r="AI61" s="101" t="str">
        <f t="shared" si="160"/>
        <v>-</v>
      </c>
      <c r="AJ61" s="101" t="str">
        <f t="shared" si="160"/>
        <v>-</v>
      </c>
      <c r="AK61" s="101" t="str">
        <f t="shared" si="160"/>
        <v>-</v>
      </c>
      <c r="AL61" s="101" t="str">
        <f t="shared" si="160"/>
        <v>-</v>
      </c>
      <c r="AM61" s="101" t="str">
        <f t="shared" si="160"/>
        <v>-</v>
      </c>
      <c r="AN61" s="101" t="str">
        <f t="shared" si="161"/>
        <v>-</v>
      </c>
      <c r="AO61" s="101" t="str">
        <f t="shared" si="161"/>
        <v>-</v>
      </c>
      <c r="AP61" s="101" t="str">
        <f t="shared" si="161"/>
        <v>-</v>
      </c>
      <c r="AQ61" s="101" t="str">
        <f t="shared" si="161"/>
        <v>-</v>
      </c>
      <c r="AR61" s="101" t="str">
        <f t="shared" si="161"/>
        <v>-</v>
      </c>
      <c r="AS61" s="101" t="str">
        <f t="shared" si="161"/>
        <v>-</v>
      </c>
      <c r="AT61" s="101" t="str">
        <f t="shared" si="161"/>
        <v>-</v>
      </c>
      <c r="AU61" s="101" t="str">
        <f t="shared" si="161"/>
        <v>-</v>
      </c>
      <c r="AV61" s="101" t="str">
        <f t="shared" si="161"/>
        <v>-</v>
      </c>
      <c r="AW61" s="101" t="str">
        <f t="shared" si="161"/>
        <v>-</v>
      </c>
      <c r="AX61" s="101" t="str">
        <f t="shared" si="162"/>
        <v>-</v>
      </c>
      <c r="AY61" s="101" t="str">
        <f t="shared" si="162"/>
        <v>-</v>
      </c>
      <c r="AZ61" s="101" t="str">
        <f t="shared" si="162"/>
        <v>-</v>
      </c>
      <c r="BA61" s="101" t="str">
        <f t="shared" si="162"/>
        <v>-</v>
      </c>
      <c r="BB61" s="101" t="str">
        <f t="shared" si="162"/>
        <v>-</v>
      </c>
      <c r="BC61" s="101" t="str">
        <f t="shared" si="162"/>
        <v>-</v>
      </c>
      <c r="BD61" s="101" t="str">
        <f t="shared" si="162"/>
        <v>-</v>
      </c>
      <c r="BE61" s="101" t="str">
        <f t="shared" si="162"/>
        <v>-</v>
      </c>
      <c r="BF61" s="101" t="str">
        <f t="shared" si="162"/>
        <v>-</v>
      </c>
      <c r="BG61" s="101" t="str">
        <f t="shared" si="162"/>
        <v>-</v>
      </c>
      <c r="BH61" s="101" t="str">
        <f t="shared" si="163"/>
        <v>-</v>
      </c>
      <c r="BI61" s="101" t="str">
        <f t="shared" si="163"/>
        <v>-</v>
      </c>
      <c r="BJ61" s="101" t="str">
        <f t="shared" si="163"/>
        <v>-</v>
      </c>
      <c r="BK61" s="101" t="str">
        <f t="shared" si="163"/>
        <v>-</v>
      </c>
      <c r="BL61" s="101" t="str">
        <f t="shared" si="163"/>
        <v>-</v>
      </c>
      <c r="BM61" s="101" t="str">
        <f t="shared" si="163"/>
        <v>-</v>
      </c>
      <c r="BN61" s="101" t="str">
        <f t="shared" si="163"/>
        <v>-</v>
      </c>
      <c r="BO61" s="101" t="str">
        <f t="shared" si="163"/>
        <v>-</v>
      </c>
      <c r="BP61" s="101" t="str">
        <f t="shared" si="163"/>
        <v>-</v>
      </c>
      <c r="BQ61" s="101" t="str">
        <f t="shared" si="163"/>
        <v>-</v>
      </c>
      <c r="BR61" s="101">
        <f t="shared" si="164"/>
        <v>11</v>
      </c>
      <c r="BS61" s="101">
        <f t="shared" si="164"/>
        <v>11</v>
      </c>
      <c r="BT61" s="101">
        <f t="shared" si="164"/>
        <v>11</v>
      </c>
      <c r="BU61" s="101">
        <f t="shared" si="164"/>
        <v>11</v>
      </c>
      <c r="BV61" s="101">
        <f t="shared" si="164"/>
        <v>11</v>
      </c>
      <c r="BW61" s="101">
        <f t="shared" si="164"/>
        <v>11</v>
      </c>
      <c r="BX61" s="101">
        <f t="shared" si="164"/>
        <v>11</v>
      </c>
      <c r="BY61" s="101">
        <f t="shared" si="164"/>
        <v>11</v>
      </c>
      <c r="BZ61" s="101">
        <f t="shared" si="164"/>
        <v>11</v>
      </c>
      <c r="CA61" s="101">
        <f t="shared" si="164"/>
        <v>11</v>
      </c>
      <c r="CB61" s="101">
        <f t="shared" si="165"/>
        <v>11</v>
      </c>
      <c r="CC61" s="101">
        <f t="shared" si="165"/>
        <v>11</v>
      </c>
      <c r="CD61" s="101">
        <f t="shared" si="165"/>
        <v>11</v>
      </c>
      <c r="CE61" s="101">
        <f t="shared" si="165"/>
        <v>11</v>
      </c>
      <c r="CF61" s="101">
        <f t="shared" si="165"/>
        <v>11</v>
      </c>
      <c r="CG61" s="101">
        <f t="shared" si="165"/>
        <v>11</v>
      </c>
      <c r="CH61" s="132">
        <f t="shared" si="165"/>
        <v>11</v>
      </c>
      <c r="CI61" s="132">
        <f t="shared" si="165"/>
        <v>11</v>
      </c>
      <c r="CJ61" s="132">
        <f t="shared" si="165"/>
        <v>11</v>
      </c>
      <c r="CK61" s="132">
        <f t="shared" si="165"/>
        <v>11</v>
      </c>
      <c r="CL61" s="132">
        <f t="shared" si="166"/>
        <v>11</v>
      </c>
      <c r="CM61" s="132">
        <f t="shared" si="166"/>
        <v>11</v>
      </c>
      <c r="CN61" s="132">
        <f t="shared" si="166"/>
        <v>11</v>
      </c>
      <c r="CO61" s="132">
        <f t="shared" si="166"/>
        <v>11</v>
      </c>
      <c r="CP61" s="132">
        <f t="shared" si="166"/>
        <v>11</v>
      </c>
      <c r="CQ61" s="132">
        <f t="shared" si="166"/>
        <v>11</v>
      </c>
      <c r="CR61" s="132">
        <f t="shared" si="166"/>
        <v>11</v>
      </c>
      <c r="CS61" s="132">
        <f t="shared" si="166"/>
        <v>11</v>
      </c>
      <c r="CT61" s="132">
        <f t="shared" si="166"/>
        <v>11</v>
      </c>
      <c r="CU61" s="132">
        <f t="shared" si="166"/>
        <v>11</v>
      </c>
      <c r="CV61" s="132">
        <f t="shared" si="167"/>
        <v>11</v>
      </c>
      <c r="CW61" s="132">
        <f t="shared" si="167"/>
        <v>11</v>
      </c>
      <c r="CX61" s="132" t="str">
        <f t="shared" si="167"/>
        <v>-</v>
      </c>
      <c r="CY61" s="132" t="str">
        <f t="shared" si="167"/>
        <v>-</v>
      </c>
      <c r="CZ61" s="132" t="str">
        <f t="shared" si="167"/>
        <v>-</v>
      </c>
      <c r="DA61" s="132" t="str">
        <f t="shared" si="167"/>
        <v>-</v>
      </c>
      <c r="DB61" s="132" t="str">
        <f t="shared" si="167"/>
        <v>-</v>
      </c>
      <c r="DC61" s="132" t="str">
        <f t="shared" si="167"/>
        <v>-</v>
      </c>
      <c r="DD61" s="132" t="str">
        <f t="shared" si="167"/>
        <v>-</v>
      </c>
      <c r="DE61" s="132" t="str">
        <f t="shared" si="167"/>
        <v>-</v>
      </c>
      <c r="DF61" s="132" t="str">
        <f t="shared" si="168"/>
        <v>-</v>
      </c>
      <c r="DG61" s="132" t="str">
        <f t="shared" si="168"/>
        <v>-</v>
      </c>
      <c r="DH61" s="132" t="str">
        <f t="shared" si="168"/>
        <v>-</v>
      </c>
      <c r="DI61" s="132" t="str">
        <f t="shared" si="168"/>
        <v>-</v>
      </c>
      <c r="DJ61" s="132" t="str">
        <f t="shared" si="168"/>
        <v>-</v>
      </c>
      <c r="DK61" s="132" t="str">
        <f t="shared" si="168"/>
        <v>-</v>
      </c>
      <c r="DL61" s="132" t="str">
        <f t="shared" si="168"/>
        <v>-</v>
      </c>
      <c r="DM61" s="132" t="str">
        <f t="shared" si="168"/>
        <v>-</v>
      </c>
      <c r="DN61" s="132" t="str">
        <f t="shared" si="168"/>
        <v>-</v>
      </c>
      <c r="DO61" s="132" t="str">
        <f t="shared" si="168"/>
        <v>-</v>
      </c>
      <c r="DP61" s="132" t="str">
        <f t="shared" si="169"/>
        <v>-</v>
      </c>
      <c r="DQ61" s="132" t="str">
        <f t="shared" si="169"/>
        <v>-</v>
      </c>
      <c r="DR61" s="132" t="str">
        <f t="shared" si="169"/>
        <v>-</v>
      </c>
      <c r="DS61" s="132" t="str">
        <f t="shared" si="169"/>
        <v>-</v>
      </c>
      <c r="DT61" s="132" t="str">
        <f t="shared" si="169"/>
        <v>-</v>
      </c>
      <c r="DU61" s="132" t="str">
        <f t="shared" si="169"/>
        <v>-</v>
      </c>
      <c r="DV61" s="132" t="str">
        <f t="shared" si="169"/>
        <v>-</v>
      </c>
      <c r="DW61" s="132" t="str">
        <f t="shared" si="169"/>
        <v>-</v>
      </c>
      <c r="DX61" s="132" t="str">
        <f t="shared" si="169"/>
        <v>-</v>
      </c>
      <c r="DY61" s="132" t="str">
        <f t="shared" si="169"/>
        <v>-</v>
      </c>
      <c r="DZ61" s="132" t="str">
        <f t="shared" si="170"/>
        <v>-</v>
      </c>
      <c r="EA61" s="132" t="str">
        <f t="shared" si="170"/>
        <v>-</v>
      </c>
      <c r="EB61" s="132" t="str">
        <f t="shared" si="170"/>
        <v>-</v>
      </c>
      <c r="EC61" s="132" t="str">
        <f t="shared" si="170"/>
        <v>-</v>
      </c>
      <c r="ED61" s="132" t="str">
        <f t="shared" si="170"/>
        <v>-</v>
      </c>
      <c r="EE61" s="132" t="str">
        <f t="shared" si="170"/>
        <v>-</v>
      </c>
      <c r="EF61" s="132" t="str">
        <f t="shared" si="170"/>
        <v>-</v>
      </c>
      <c r="EG61" s="132" t="str">
        <f t="shared" si="170"/>
        <v>-</v>
      </c>
      <c r="EH61" s="132" t="str">
        <f t="shared" si="170"/>
        <v>-</v>
      </c>
      <c r="EI61" s="132" t="str">
        <f t="shared" si="170"/>
        <v>-</v>
      </c>
      <c r="EJ61" s="132" t="str">
        <f t="shared" si="170"/>
        <v>-</v>
      </c>
      <c r="EK61" s="132" t="str">
        <f t="shared" si="170"/>
        <v>-</v>
      </c>
      <c r="EL61" s="132" t="str">
        <f t="shared" si="170"/>
        <v>-</v>
      </c>
    </row>
    <row r="62" spans="1:144">
      <c r="A62" s="65"/>
      <c r="B62" s="123"/>
      <c r="C62" s="123"/>
      <c r="D62" s="466"/>
      <c r="E62" s="109" t="s">
        <v>68</v>
      </c>
      <c r="F62" s="101">
        <f>SUM(CK62:DN62)</f>
        <v>250</v>
      </c>
      <c r="G62" s="101">
        <v>30</v>
      </c>
      <c r="H62" s="101"/>
      <c r="I62" s="110" t="e">
        <f>B57-3</f>
        <v>#VALUE!</v>
      </c>
      <c r="J62" s="110"/>
      <c r="K62" s="110"/>
      <c r="L62" s="101"/>
      <c r="M62" s="102"/>
      <c r="N62" s="102"/>
      <c r="O62" s="102"/>
      <c r="P62" s="102"/>
      <c r="Q62" s="102"/>
      <c r="R62" s="102"/>
      <c r="S62" s="102"/>
      <c r="T62" s="102"/>
      <c r="U62" s="102"/>
      <c r="CH62" s="101"/>
      <c r="CI62" s="101"/>
      <c r="CJ62" s="101">
        <v>5</v>
      </c>
      <c r="CK62" s="101">
        <v>5</v>
      </c>
      <c r="CL62" s="101">
        <v>5</v>
      </c>
      <c r="CM62" s="101">
        <v>5</v>
      </c>
      <c r="CN62" s="101">
        <v>5</v>
      </c>
      <c r="CO62" s="101">
        <v>5</v>
      </c>
      <c r="CP62" s="101">
        <v>5</v>
      </c>
      <c r="CQ62" s="101">
        <v>5</v>
      </c>
      <c r="CR62" s="101">
        <v>5</v>
      </c>
      <c r="CS62" s="101">
        <v>5</v>
      </c>
      <c r="CT62" s="101">
        <v>5</v>
      </c>
      <c r="CU62" s="101">
        <v>5</v>
      </c>
      <c r="CV62" s="101">
        <v>5</v>
      </c>
      <c r="CW62" s="101">
        <v>5</v>
      </c>
      <c r="CX62" s="101">
        <v>5</v>
      </c>
      <c r="CY62" s="101">
        <v>5</v>
      </c>
      <c r="CZ62" s="101">
        <v>5</v>
      </c>
      <c r="DA62" s="101">
        <v>5</v>
      </c>
      <c r="DB62" s="101">
        <v>5</v>
      </c>
      <c r="DC62" s="101">
        <v>5</v>
      </c>
      <c r="DD62" s="101">
        <v>5</v>
      </c>
      <c r="DE62" s="101">
        <v>5</v>
      </c>
      <c r="DF62" s="101">
        <v>5</v>
      </c>
      <c r="DG62" s="101">
        <v>5</v>
      </c>
      <c r="DH62" s="101">
        <v>5</v>
      </c>
      <c r="DI62" s="101">
        <v>30</v>
      </c>
      <c r="DJ62" s="101">
        <v>30</v>
      </c>
      <c r="DK62" s="101">
        <v>30</v>
      </c>
      <c r="DL62" s="101">
        <v>30</v>
      </c>
      <c r="DM62" s="101">
        <v>5</v>
      </c>
      <c r="DN62" s="101">
        <v>5</v>
      </c>
      <c r="DO62" s="101"/>
      <c r="DP62" s="101"/>
      <c r="DQ62" s="101"/>
      <c r="DR62" s="101"/>
      <c r="DS62" s="101"/>
      <c r="DT62" s="101"/>
      <c r="DU62" s="101"/>
      <c r="DV62" s="109"/>
      <c r="DW62" s="109"/>
      <c r="DX62" s="109"/>
      <c r="DY62" s="101"/>
      <c r="DZ62" s="101"/>
      <c r="EA62" s="101"/>
      <c r="EB62" s="101"/>
      <c r="EC62" s="101"/>
      <c r="ED62" s="101"/>
      <c r="EE62" s="101"/>
      <c r="EF62" s="101"/>
      <c r="EG62" s="101"/>
      <c r="EH62" s="101"/>
      <c r="EI62" s="101"/>
      <c r="EJ62" s="101"/>
      <c r="EK62" s="101"/>
      <c r="EL62" s="101"/>
    </row>
    <row r="63" spans="1:144" s="122" customFormat="1">
      <c r="B63" s="156"/>
      <c r="E63" s="150"/>
      <c r="F63" s="150"/>
      <c r="G63" s="152"/>
      <c r="H63" s="152"/>
      <c r="I63" s="153" t="s">
        <v>69</v>
      </c>
      <c r="J63" s="153"/>
      <c r="K63" s="153"/>
      <c r="L63" s="154">
        <f t="shared" ref="L63:AQ63" si="171">SUM(L58:L62)</f>
        <v>0</v>
      </c>
      <c r="M63" s="154">
        <f t="shared" si="171"/>
        <v>0</v>
      </c>
      <c r="N63" s="154">
        <f t="shared" si="171"/>
        <v>0</v>
      </c>
      <c r="O63" s="154">
        <f t="shared" si="171"/>
        <v>0</v>
      </c>
      <c r="P63" s="154">
        <f t="shared" si="171"/>
        <v>0</v>
      </c>
      <c r="Q63" s="154">
        <f t="shared" si="171"/>
        <v>0</v>
      </c>
      <c r="R63" s="154">
        <f t="shared" si="171"/>
        <v>0</v>
      </c>
      <c r="S63" s="154">
        <f t="shared" si="171"/>
        <v>0</v>
      </c>
      <c r="T63" s="154">
        <f t="shared" si="171"/>
        <v>0</v>
      </c>
      <c r="U63" s="154">
        <f t="shared" si="171"/>
        <v>0</v>
      </c>
      <c r="V63" s="154">
        <f t="shared" si="171"/>
        <v>0</v>
      </c>
      <c r="W63" s="154">
        <f t="shared" si="171"/>
        <v>0</v>
      </c>
      <c r="X63" s="154">
        <f t="shared" si="171"/>
        <v>0</v>
      </c>
      <c r="Y63" s="154">
        <f t="shared" si="171"/>
        <v>0</v>
      </c>
      <c r="Z63" s="154">
        <f t="shared" si="171"/>
        <v>0</v>
      </c>
      <c r="AA63" s="154">
        <f t="shared" si="171"/>
        <v>0</v>
      </c>
      <c r="AB63" s="154">
        <f t="shared" si="171"/>
        <v>0</v>
      </c>
      <c r="AC63" s="154">
        <f t="shared" si="171"/>
        <v>0</v>
      </c>
      <c r="AD63" s="154">
        <f t="shared" si="171"/>
        <v>0</v>
      </c>
      <c r="AE63" s="154">
        <f t="shared" si="171"/>
        <v>0</v>
      </c>
      <c r="AF63" s="154">
        <f t="shared" si="171"/>
        <v>0</v>
      </c>
      <c r="AG63" s="154">
        <f t="shared" si="171"/>
        <v>0</v>
      </c>
      <c r="AH63" s="154">
        <f t="shared" si="171"/>
        <v>0</v>
      </c>
      <c r="AI63" s="154">
        <f t="shared" si="171"/>
        <v>0</v>
      </c>
      <c r="AJ63" s="154">
        <f t="shared" si="171"/>
        <v>0</v>
      </c>
      <c r="AK63" s="154">
        <f t="shared" si="171"/>
        <v>0</v>
      </c>
      <c r="AL63" s="154">
        <f t="shared" si="171"/>
        <v>0</v>
      </c>
      <c r="AM63" s="154">
        <f t="shared" si="171"/>
        <v>0</v>
      </c>
      <c r="AN63" s="154">
        <f t="shared" si="171"/>
        <v>0</v>
      </c>
      <c r="AO63" s="154">
        <f t="shared" si="171"/>
        <v>0</v>
      </c>
      <c r="AP63" s="154">
        <f t="shared" si="171"/>
        <v>0</v>
      </c>
      <c r="AQ63" s="154">
        <f t="shared" si="171"/>
        <v>0</v>
      </c>
      <c r="AR63" s="154">
        <f t="shared" ref="AR63:BW63" si="172">SUM(AR58:AR62)</f>
        <v>0</v>
      </c>
      <c r="AS63" s="154">
        <f t="shared" si="172"/>
        <v>0</v>
      </c>
      <c r="AT63" s="154">
        <f t="shared" si="172"/>
        <v>0</v>
      </c>
      <c r="AU63" s="154">
        <f t="shared" si="172"/>
        <v>0</v>
      </c>
      <c r="AV63" s="154">
        <f t="shared" si="172"/>
        <v>0</v>
      </c>
      <c r="AW63" s="154">
        <f t="shared" si="172"/>
        <v>0</v>
      </c>
      <c r="AX63" s="154">
        <f t="shared" si="172"/>
        <v>0</v>
      </c>
      <c r="AY63" s="154">
        <f t="shared" si="172"/>
        <v>0</v>
      </c>
      <c r="AZ63" s="154">
        <f t="shared" si="172"/>
        <v>0</v>
      </c>
      <c r="BA63" s="154">
        <f t="shared" si="172"/>
        <v>0</v>
      </c>
      <c r="BB63" s="154">
        <f t="shared" si="172"/>
        <v>2</v>
      </c>
      <c r="BC63" s="154">
        <f t="shared" si="172"/>
        <v>2</v>
      </c>
      <c r="BD63" s="154">
        <f t="shared" si="172"/>
        <v>2</v>
      </c>
      <c r="BE63" s="154">
        <f t="shared" si="172"/>
        <v>2</v>
      </c>
      <c r="BF63" s="154">
        <f t="shared" si="172"/>
        <v>2</v>
      </c>
      <c r="BG63" s="154">
        <f t="shared" si="172"/>
        <v>2</v>
      </c>
      <c r="BH63" s="154">
        <f t="shared" si="172"/>
        <v>2</v>
      </c>
      <c r="BI63" s="154">
        <f t="shared" si="172"/>
        <v>135</v>
      </c>
      <c r="BJ63" s="154">
        <f t="shared" si="172"/>
        <v>135</v>
      </c>
      <c r="BK63" s="154">
        <f t="shared" si="172"/>
        <v>135</v>
      </c>
      <c r="BL63" s="154">
        <f t="shared" si="172"/>
        <v>135</v>
      </c>
      <c r="BM63" s="154">
        <f t="shared" si="172"/>
        <v>135</v>
      </c>
      <c r="BN63" s="154">
        <f t="shared" si="172"/>
        <v>135</v>
      </c>
      <c r="BO63" s="154">
        <f t="shared" si="172"/>
        <v>135</v>
      </c>
      <c r="BP63" s="154">
        <f t="shared" si="172"/>
        <v>135</v>
      </c>
      <c r="BQ63" s="154">
        <f t="shared" si="172"/>
        <v>135</v>
      </c>
      <c r="BR63" s="154">
        <f t="shared" si="172"/>
        <v>146</v>
      </c>
      <c r="BS63" s="154">
        <f t="shared" si="172"/>
        <v>146</v>
      </c>
      <c r="BT63" s="154">
        <f t="shared" si="172"/>
        <v>13</v>
      </c>
      <c r="BU63" s="154">
        <f t="shared" si="172"/>
        <v>13</v>
      </c>
      <c r="BV63" s="154">
        <f t="shared" si="172"/>
        <v>13</v>
      </c>
      <c r="BW63" s="154">
        <f t="shared" si="172"/>
        <v>13</v>
      </c>
      <c r="BX63" s="154">
        <f t="shared" ref="BX63:DC63" si="173">SUM(BX58:BX62)</f>
        <v>13</v>
      </c>
      <c r="BY63" s="154">
        <f t="shared" si="173"/>
        <v>149</v>
      </c>
      <c r="BZ63" s="154">
        <f t="shared" si="173"/>
        <v>149</v>
      </c>
      <c r="CA63" s="154">
        <f t="shared" si="173"/>
        <v>149</v>
      </c>
      <c r="CB63" s="154">
        <f t="shared" si="173"/>
        <v>149</v>
      </c>
      <c r="CC63" s="154">
        <f t="shared" si="173"/>
        <v>149</v>
      </c>
      <c r="CD63" s="154">
        <f t="shared" si="173"/>
        <v>149</v>
      </c>
      <c r="CE63" s="154">
        <f t="shared" si="173"/>
        <v>149</v>
      </c>
      <c r="CF63" s="154">
        <f t="shared" si="173"/>
        <v>149</v>
      </c>
      <c r="CG63" s="154">
        <f t="shared" si="173"/>
        <v>149</v>
      </c>
      <c r="CH63" s="154">
        <f t="shared" si="173"/>
        <v>149</v>
      </c>
      <c r="CI63" s="154">
        <f t="shared" si="173"/>
        <v>149</v>
      </c>
      <c r="CJ63" s="154">
        <f t="shared" si="173"/>
        <v>154</v>
      </c>
      <c r="CK63" s="154">
        <f t="shared" si="173"/>
        <v>154</v>
      </c>
      <c r="CL63" s="154">
        <f t="shared" si="173"/>
        <v>154</v>
      </c>
      <c r="CM63" s="154">
        <f t="shared" si="173"/>
        <v>152</v>
      </c>
      <c r="CN63" s="154">
        <f t="shared" si="173"/>
        <v>152</v>
      </c>
      <c r="CO63" s="154">
        <f t="shared" si="173"/>
        <v>152</v>
      </c>
      <c r="CP63" s="154">
        <f t="shared" si="173"/>
        <v>152</v>
      </c>
      <c r="CQ63" s="154">
        <f t="shared" si="173"/>
        <v>16</v>
      </c>
      <c r="CR63" s="154">
        <f t="shared" si="173"/>
        <v>16</v>
      </c>
      <c r="CS63" s="154">
        <f t="shared" si="173"/>
        <v>16</v>
      </c>
      <c r="CT63" s="154">
        <f t="shared" si="173"/>
        <v>16</v>
      </c>
      <c r="CU63" s="154">
        <f t="shared" si="173"/>
        <v>16</v>
      </c>
      <c r="CV63" s="154">
        <f t="shared" si="173"/>
        <v>16</v>
      </c>
      <c r="CW63" s="154">
        <f t="shared" si="173"/>
        <v>16</v>
      </c>
      <c r="CX63" s="154">
        <f t="shared" si="173"/>
        <v>5</v>
      </c>
      <c r="CY63" s="154">
        <f t="shared" si="173"/>
        <v>5</v>
      </c>
      <c r="CZ63" s="154">
        <f t="shared" si="173"/>
        <v>5</v>
      </c>
      <c r="DA63" s="154">
        <f t="shared" si="173"/>
        <v>5</v>
      </c>
      <c r="DB63" s="154">
        <f t="shared" si="173"/>
        <v>5</v>
      </c>
      <c r="DC63" s="154">
        <f t="shared" si="173"/>
        <v>5</v>
      </c>
      <c r="DD63" s="154">
        <f t="shared" ref="DD63:EI63" si="174">SUM(DD58:DD62)</f>
        <v>5</v>
      </c>
      <c r="DE63" s="154">
        <f t="shared" si="174"/>
        <v>5</v>
      </c>
      <c r="DF63" s="154">
        <f t="shared" si="174"/>
        <v>5</v>
      </c>
      <c r="DG63" s="154">
        <f t="shared" si="174"/>
        <v>5</v>
      </c>
      <c r="DH63" s="154">
        <f t="shared" si="174"/>
        <v>5</v>
      </c>
      <c r="DI63" s="154">
        <f t="shared" si="174"/>
        <v>30</v>
      </c>
      <c r="DJ63" s="154">
        <f t="shared" si="174"/>
        <v>30</v>
      </c>
      <c r="DK63" s="154">
        <f t="shared" si="174"/>
        <v>30</v>
      </c>
      <c r="DL63" s="154">
        <f t="shared" si="174"/>
        <v>30</v>
      </c>
      <c r="DM63" s="154">
        <f t="shared" si="174"/>
        <v>5</v>
      </c>
      <c r="DN63" s="154">
        <f t="shared" si="174"/>
        <v>5</v>
      </c>
      <c r="DO63" s="154">
        <f t="shared" si="174"/>
        <v>0</v>
      </c>
      <c r="DP63" s="154">
        <f t="shared" si="174"/>
        <v>0</v>
      </c>
      <c r="DQ63" s="154">
        <f t="shared" si="174"/>
        <v>0</v>
      </c>
      <c r="DR63" s="154">
        <f t="shared" si="174"/>
        <v>0</v>
      </c>
      <c r="DS63" s="154">
        <f t="shared" si="174"/>
        <v>0</v>
      </c>
      <c r="DT63" s="154">
        <f t="shared" si="174"/>
        <v>0</v>
      </c>
      <c r="DU63" s="154">
        <f t="shared" si="174"/>
        <v>0</v>
      </c>
      <c r="DV63" s="154">
        <f t="shared" si="174"/>
        <v>0</v>
      </c>
      <c r="DW63" s="154">
        <f t="shared" si="174"/>
        <v>0</v>
      </c>
      <c r="DX63" s="154">
        <f t="shared" si="174"/>
        <v>0</v>
      </c>
      <c r="DY63" s="157">
        <f t="shared" si="174"/>
        <v>0</v>
      </c>
      <c r="DZ63" s="157">
        <f t="shared" si="174"/>
        <v>0</v>
      </c>
      <c r="EA63" s="157">
        <f t="shared" si="174"/>
        <v>0</v>
      </c>
      <c r="EB63" s="157">
        <f t="shared" si="174"/>
        <v>0</v>
      </c>
      <c r="EC63" s="157">
        <f t="shared" si="174"/>
        <v>0</v>
      </c>
      <c r="ED63" s="157">
        <f t="shared" si="174"/>
        <v>0</v>
      </c>
      <c r="EE63" s="157">
        <f t="shared" si="174"/>
        <v>0</v>
      </c>
      <c r="EF63" s="157">
        <f t="shared" si="174"/>
        <v>0</v>
      </c>
      <c r="EG63" s="157">
        <f t="shared" si="174"/>
        <v>0</v>
      </c>
      <c r="EH63" s="157">
        <f t="shared" si="174"/>
        <v>0</v>
      </c>
      <c r="EI63" s="157">
        <f t="shared" si="174"/>
        <v>0</v>
      </c>
      <c r="EJ63" s="157">
        <f t="shared" ref="EJ63:EL63" si="175">SUM(EJ58:EJ62)</f>
        <v>0</v>
      </c>
      <c r="EK63" s="157">
        <f t="shared" si="175"/>
        <v>0</v>
      </c>
      <c r="EL63" s="157">
        <f t="shared" si="175"/>
        <v>0</v>
      </c>
      <c r="EM63" s="160">
        <f>AVERAGE(L63:DK63)</f>
        <v>43.769230769230766</v>
      </c>
      <c r="EN63" s="159">
        <f>MAX(L63:DK63)</f>
        <v>154</v>
      </c>
    </row>
    <row r="65" spans="1:144">
      <c r="A65" s="466" t="s">
        <v>81</v>
      </c>
      <c r="B65" s="502" t="str">
        <f>'BESS 11'!F367</f>
        <v>15 Sep
23 Sep</v>
      </c>
      <c r="C65" s="502" t="str">
        <f>'BESS 11'!G367</f>
        <v>20 Sep
27 Sep</v>
      </c>
      <c r="D65" s="114"/>
      <c r="E65" s="114" t="s">
        <v>10</v>
      </c>
      <c r="F65" s="115" t="s">
        <v>58</v>
      </c>
      <c r="G65" s="115" t="s">
        <v>59</v>
      </c>
      <c r="H65" s="115"/>
      <c r="I65" s="115" t="s">
        <v>60</v>
      </c>
      <c r="J65" s="116">
        <v>46195</v>
      </c>
      <c r="K65" s="116">
        <v>46196</v>
      </c>
      <c r="L65" s="116">
        <v>46197</v>
      </c>
      <c r="M65" s="116">
        <f t="shared" ref="M65:AR65" si="176">L65+1</f>
        <v>46198</v>
      </c>
      <c r="N65" s="116">
        <f t="shared" si="176"/>
        <v>46199</v>
      </c>
      <c r="O65" s="116">
        <f t="shared" si="176"/>
        <v>46200</v>
      </c>
      <c r="P65" s="116">
        <f t="shared" si="176"/>
        <v>46201</v>
      </c>
      <c r="Q65" s="116">
        <f t="shared" si="176"/>
        <v>46202</v>
      </c>
      <c r="R65" s="116">
        <f t="shared" si="176"/>
        <v>46203</v>
      </c>
      <c r="S65" s="116">
        <f t="shared" si="176"/>
        <v>46204</v>
      </c>
      <c r="T65" s="116">
        <f t="shared" si="176"/>
        <v>46205</v>
      </c>
      <c r="U65" s="116">
        <f t="shared" si="176"/>
        <v>46206</v>
      </c>
      <c r="V65" s="116">
        <f t="shared" si="176"/>
        <v>46207</v>
      </c>
      <c r="W65" s="116">
        <f t="shared" si="176"/>
        <v>46208</v>
      </c>
      <c r="X65" s="116">
        <f t="shared" si="176"/>
        <v>46209</v>
      </c>
      <c r="Y65" s="116">
        <f t="shared" si="176"/>
        <v>46210</v>
      </c>
      <c r="Z65" s="116">
        <f t="shared" si="176"/>
        <v>46211</v>
      </c>
      <c r="AA65" s="116">
        <f t="shared" si="176"/>
        <v>46212</v>
      </c>
      <c r="AB65" s="116">
        <f t="shared" si="176"/>
        <v>46213</v>
      </c>
      <c r="AC65" s="116">
        <f t="shared" si="176"/>
        <v>46214</v>
      </c>
      <c r="AD65" s="116">
        <f t="shared" si="176"/>
        <v>46215</v>
      </c>
      <c r="AE65" s="116">
        <f t="shared" si="176"/>
        <v>46216</v>
      </c>
      <c r="AF65" s="116">
        <f t="shared" si="176"/>
        <v>46217</v>
      </c>
      <c r="AG65" s="116">
        <f t="shared" si="176"/>
        <v>46218</v>
      </c>
      <c r="AH65" s="116">
        <f t="shared" si="176"/>
        <v>46219</v>
      </c>
      <c r="AI65" s="116">
        <f t="shared" si="176"/>
        <v>46220</v>
      </c>
      <c r="AJ65" s="116">
        <f t="shared" si="176"/>
        <v>46221</v>
      </c>
      <c r="AK65" s="116">
        <f t="shared" si="176"/>
        <v>46222</v>
      </c>
      <c r="AL65" s="116">
        <f t="shared" si="176"/>
        <v>46223</v>
      </c>
      <c r="AM65" s="116">
        <f t="shared" si="176"/>
        <v>46224</v>
      </c>
      <c r="AN65" s="116">
        <f t="shared" si="176"/>
        <v>46225</v>
      </c>
      <c r="AO65" s="116">
        <f t="shared" si="176"/>
        <v>46226</v>
      </c>
      <c r="AP65" s="116">
        <f t="shared" si="176"/>
        <v>46227</v>
      </c>
      <c r="AQ65" s="116">
        <f t="shared" si="176"/>
        <v>46228</v>
      </c>
      <c r="AR65" s="116">
        <f t="shared" si="176"/>
        <v>46229</v>
      </c>
      <c r="AS65" s="116">
        <f t="shared" ref="AS65:BX65" si="177">AR65+1</f>
        <v>46230</v>
      </c>
      <c r="AT65" s="116">
        <f t="shared" si="177"/>
        <v>46231</v>
      </c>
      <c r="AU65" s="116">
        <f t="shared" si="177"/>
        <v>46232</v>
      </c>
      <c r="AV65" s="116">
        <f t="shared" si="177"/>
        <v>46233</v>
      </c>
      <c r="AW65" s="116">
        <f t="shared" si="177"/>
        <v>46234</v>
      </c>
      <c r="AX65" s="116">
        <f t="shared" si="177"/>
        <v>46235</v>
      </c>
      <c r="AY65" s="116">
        <f t="shared" si="177"/>
        <v>46236</v>
      </c>
      <c r="AZ65" s="116">
        <f t="shared" si="177"/>
        <v>46237</v>
      </c>
      <c r="BA65" s="116">
        <f t="shared" si="177"/>
        <v>46238</v>
      </c>
      <c r="BB65" s="116">
        <f t="shared" si="177"/>
        <v>46239</v>
      </c>
      <c r="BC65" s="116">
        <f t="shared" si="177"/>
        <v>46240</v>
      </c>
      <c r="BD65" s="116">
        <f t="shared" si="177"/>
        <v>46241</v>
      </c>
      <c r="BE65" s="116">
        <f t="shared" si="177"/>
        <v>46242</v>
      </c>
      <c r="BF65" s="116">
        <f t="shared" si="177"/>
        <v>46243</v>
      </c>
      <c r="BG65" s="116">
        <f t="shared" si="177"/>
        <v>46244</v>
      </c>
      <c r="BH65" s="116">
        <f t="shared" si="177"/>
        <v>46245</v>
      </c>
      <c r="BI65" s="116">
        <f t="shared" si="177"/>
        <v>46246</v>
      </c>
      <c r="BJ65" s="116">
        <f t="shared" si="177"/>
        <v>46247</v>
      </c>
      <c r="BK65" s="116">
        <f t="shared" si="177"/>
        <v>46248</v>
      </c>
      <c r="BL65" s="116">
        <f t="shared" si="177"/>
        <v>46249</v>
      </c>
      <c r="BM65" s="116">
        <f t="shared" si="177"/>
        <v>46250</v>
      </c>
      <c r="BN65" s="116">
        <f t="shared" si="177"/>
        <v>46251</v>
      </c>
      <c r="BO65" s="116">
        <f t="shared" si="177"/>
        <v>46252</v>
      </c>
      <c r="BP65" s="116">
        <f t="shared" si="177"/>
        <v>46253</v>
      </c>
      <c r="BQ65" s="116">
        <f t="shared" si="177"/>
        <v>46254</v>
      </c>
      <c r="BR65" s="116">
        <f t="shared" si="177"/>
        <v>46255</v>
      </c>
      <c r="BS65" s="116">
        <f t="shared" si="177"/>
        <v>46256</v>
      </c>
      <c r="BT65" s="116">
        <f t="shared" si="177"/>
        <v>46257</v>
      </c>
      <c r="BU65" s="116">
        <f t="shared" si="177"/>
        <v>46258</v>
      </c>
      <c r="BV65" s="116">
        <f t="shared" si="177"/>
        <v>46259</v>
      </c>
      <c r="BW65" s="116">
        <f t="shared" si="177"/>
        <v>46260</v>
      </c>
      <c r="BX65" s="116">
        <f t="shared" si="177"/>
        <v>46261</v>
      </c>
      <c r="BY65" s="116">
        <f t="shared" ref="BY65:DD65" si="178">BX65+1</f>
        <v>46262</v>
      </c>
      <c r="BZ65" s="116">
        <f t="shared" si="178"/>
        <v>46263</v>
      </c>
      <c r="CA65" s="116">
        <f t="shared" si="178"/>
        <v>46264</v>
      </c>
      <c r="CB65" s="116">
        <f t="shared" si="178"/>
        <v>46265</v>
      </c>
      <c r="CC65" s="116">
        <f t="shared" si="178"/>
        <v>46266</v>
      </c>
      <c r="CD65" s="116">
        <f t="shared" si="178"/>
        <v>46267</v>
      </c>
      <c r="CE65" s="116">
        <f t="shared" si="178"/>
        <v>46268</v>
      </c>
      <c r="CF65" s="116">
        <f t="shared" si="178"/>
        <v>46269</v>
      </c>
      <c r="CG65" s="116">
        <f t="shared" si="178"/>
        <v>46270</v>
      </c>
      <c r="CH65" s="116">
        <f t="shared" si="178"/>
        <v>46271</v>
      </c>
      <c r="CI65" s="116">
        <f t="shared" si="178"/>
        <v>46272</v>
      </c>
      <c r="CJ65" s="116">
        <f t="shared" si="178"/>
        <v>46273</v>
      </c>
      <c r="CK65" s="116">
        <f t="shared" si="178"/>
        <v>46274</v>
      </c>
      <c r="CL65" s="116">
        <f t="shared" si="178"/>
        <v>46275</v>
      </c>
      <c r="CM65" s="116">
        <f t="shared" si="178"/>
        <v>46276</v>
      </c>
      <c r="CN65" s="116">
        <f t="shared" si="178"/>
        <v>46277</v>
      </c>
      <c r="CO65" s="116">
        <f t="shared" si="178"/>
        <v>46278</v>
      </c>
      <c r="CP65" s="116">
        <f t="shared" si="178"/>
        <v>46279</v>
      </c>
      <c r="CQ65" s="116">
        <f t="shared" si="178"/>
        <v>46280</v>
      </c>
      <c r="CR65" s="116">
        <f t="shared" si="178"/>
        <v>46281</v>
      </c>
      <c r="CS65" s="116">
        <f t="shared" si="178"/>
        <v>46282</v>
      </c>
      <c r="CT65" s="116">
        <f t="shared" si="178"/>
        <v>46283</v>
      </c>
      <c r="CU65" s="116">
        <f t="shared" si="178"/>
        <v>46284</v>
      </c>
      <c r="CV65" s="116">
        <f t="shared" si="178"/>
        <v>46285</v>
      </c>
      <c r="CW65" s="116">
        <f t="shared" si="178"/>
        <v>46286</v>
      </c>
      <c r="CX65" s="116">
        <f t="shared" si="178"/>
        <v>46287</v>
      </c>
      <c r="CY65" s="116">
        <f t="shared" si="178"/>
        <v>46288</v>
      </c>
      <c r="CZ65" s="116">
        <f t="shared" si="178"/>
        <v>46289</v>
      </c>
      <c r="DA65" s="116">
        <f t="shared" si="178"/>
        <v>46290</v>
      </c>
      <c r="DB65" s="116">
        <f t="shared" si="178"/>
        <v>46291</v>
      </c>
      <c r="DC65" s="116">
        <f t="shared" si="178"/>
        <v>46292</v>
      </c>
      <c r="DD65" s="116">
        <f t="shared" si="178"/>
        <v>46293</v>
      </c>
      <c r="DE65" s="116">
        <f t="shared" ref="DE65:EL65" si="179">DD65+1</f>
        <v>46294</v>
      </c>
      <c r="DF65" s="116">
        <f t="shared" si="179"/>
        <v>46295</v>
      </c>
      <c r="DG65" s="116">
        <f t="shared" si="179"/>
        <v>46296</v>
      </c>
      <c r="DH65" s="116">
        <f t="shared" si="179"/>
        <v>46297</v>
      </c>
      <c r="DI65" s="116">
        <f t="shared" si="179"/>
        <v>46298</v>
      </c>
      <c r="DJ65" s="116">
        <f t="shared" si="179"/>
        <v>46299</v>
      </c>
      <c r="DK65" s="116">
        <f t="shared" si="179"/>
        <v>46300</v>
      </c>
      <c r="DL65" s="116">
        <f t="shared" si="179"/>
        <v>46301</v>
      </c>
      <c r="DM65" s="116">
        <f t="shared" si="179"/>
        <v>46302</v>
      </c>
      <c r="DN65" s="116">
        <f t="shared" si="179"/>
        <v>46303</v>
      </c>
      <c r="DO65" s="116">
        <f t="shared" si="179"/>
        <v>46304</v>
      </c>
      <c r="DP65" s="116">
        <f t="shared" si="179"/>
        <v>46305</v>
      </c>
      <c r="DQ65" s="116">
        <f t="shared" si="179"/>
        <v>46306</v>
      </c>
      <c r="DR65" s="116">
        <f t="shared" si="179"/>
        <v>46307</v>
      </c>
      <c r="DS65" s="116">
        <f t="shared" si="179"/>
        <v>46308</v>
      </c>
      <c r="DT65" s="116">
        <f t="shared" si="179"/>
        <v>46309</v>
      </c>
      <c r="DU65" s="116">
        <f t="shared" si="179"/>
        <v>46310</v>
      </c>
      <c r="DV65" s="116">
        <f t="shared" si="179"/>
        <v>46311</v>
      </c>
      <c r="DW65" s="116">
        <f t="shared" si="179"/>
        <v>46312</v>
      </c>
      <c r="DX65" s="116">
        <f t="shared" si="179"/>
        <v>46313</v>
      </c>
      <c r="DY65" s="116">
        <f t="shared" si="179"/>
        <v>46314</v>
      </c>
      <c r="DZ65" s="116">
        <f t="shared" si="179"/>
        <v>46315</v>
      </c>
      <c r="EA65" s="116">
        <f t="shared" si="179"/>
        <v>46316</v>
      </c>
      <c r="EB65" s="116">
        <f t="shared" si="179"/>
        <v>46317</v>
      </c>
      <c r="EC65" s="116">
        <f t="shared" si="179"/>
        <v>46318</v>
      </c>
      <c r="ED65" s="116">
        <f t="shared" si="179"/>
        <v>46319</v>
      </c>
      <c r="EE65" s="116">
        <f t="shared" si="179"/>
        <v>46320</v>
      </c>
      <c r="EF65" s="116">
        <f t="shared" si="179"/>
        <v>46321</v>
      </c>
      <c r="EG65" s="116">
        <f t="shared" si="179"/>
        <v>46322</v>
      </c>
      <c r="EH65" s="116">
        <f t="shared" si="179"/>
        <v>46323</v>
      </c>
      <c r="EI65" s="116">
        <f t="shared" si="179"/>
        <v>46324</v>
      </c>
      <c r="EJ65" s="116">
        <f t="shared" si="179"/>
        <v>46325</v>
      </c>
      <c r="EK65" s="116">
        <f t="shared" si="179"/>
        <v>46326</v>
      </c>
      <c r="EL65" s="116">
        <f t="shared" si="179"/>
        <v>46327</v>
      </c>
    </row>
    <row r="66" spans="1:144">
      <c r="A66" s="466"/>
      <c r="B66" s="502"/>
      <c r="C66" s="502"/>
      <c r="D66" s="467" t="str">
        <f>'BESS 11'!H367</f>
        <v>23 Sep
30 Sep</v>
      </c>
      <c r="E66" s="109" t="s">
        <v>64</v>
      </c>
      <c r="F66" s="102">
        <f>SUM('BESS 11'!S380:S387,'BESS 11'!S389)</f>
        <v>90.4</v>
      </c>
      <c r="G66" s="101">
        <f>MAX('BESS 11'!O380:O387,'BESS 11'!O389)-MIN('BESS 11'!O380:O387,'BESS 11'!O389)+1</f>
        <v>27</v>
      </c>
      <c r="H66" s="101"/>
      <c r="I66" s="110">
        <f>MIN('BESS 11'!O380:O387,'BESS 11'!O389)</f>
        <v>46249</v>
      </c>
      <c r="J66" s="101" t="str">
        <f t="shared" ref="J66:S69" si="180">IF(AND(J$1&gt;=$I66,J$1&lt;($I66+$G66)),ROUND($F66/$G66,0),"-")</f>
        <v>-</v>
      </c>
      <c r="K66" s="101" t="str">
        <f t="shared" si="180"/>
        <v>-</v>
      </c>
      <c r="L66" s="101" t="str">
        <f t="shared" si="180"/>
        <v>-</v>
      </c>
      <c r="M66" s="101" t="str">
        <f t="shared" si="180"/>
        <v>-</v>
      </c>
      <c r="N66" s="101" t="str">
        <f t="shared" si="180"/>
        <v>-</v>
      </c>
      <c r="O66" s="101" t="str">
        <f t="shared" si="180"/>
        <v>-</v>
      </c>
      <c r="P66" s="101" t="str">
        <f t="shared" si="180"/>
        <v>-</v>
      </c>
      <c r="Q66" s="101" t="str">
        <f t="shared" si="180"/>
        <v>-</v>
      </c>
      <c r="R66" s="101" t="str">
        <f t="shared" si="180"/>
        <v>-</v>
      </c>
      <c r="S66" s="101" t="str">
        <f t="shared" si="180"/>
        <v>-</v>
      </c>
      <c r="T66" s="101" t="str">
        <f t="shared" ref="T66:AC69" si="181">IF(AND(T$1&gt;=$I66,T$1&lt;($I66+$G66)),ROUND($F66/$G66,0),"-")</f>
        <v>-</v>
      </c>
      <c r="U66" s="101" t="str">
        <f t="shared" si="181"/>
        <v>-</v>
      </c>
      <c r="V66" s="101" t="str">
        <f t="shared" si="181"/>
        <v>-</v>
      </c>
      <c r="W66" s="101" t="str">
        <f t="shared" si="181"/>
        <v>-</v>
      </c>
      <c r="X66" s="101" t="str">
        <f t="shared" si="181"/>
        <v>-</v>
      </c>
      <c r="Y66" s="101" t="str">
        <f t="shared" si="181"/>
        <v>-</v>
      </c>
      <c r="Z66" s="101" t="str">
        <f t="shared" si="181"/>
        <v>-</v>
      </c>
      <c r="AA66" s="101" t="str">
        <f t="shared" si="181"/>
        <v>-</v>
      </c>
      <c r="AB66" s="101" t="str">
        <f t="shared" si="181"/>
        <v>-</v>
      </c>
      <c r="AC66" s="101" t="str">
        <f t="shared" si="181"/>
        <v>-</v>
      </c>
      <c r="AD66" s="101" t="str">
        <f t="shared" ref="AD66:AM69" si="182">IF(AND(AD$1&gt;=$I66,AD$1&lt;($I66+$G66)),ROUND($F66/$G66,0),"-")</f>
        <v>-</v>
      </c>
      <c r="AE66" s="101" t="str">
        <f t="shared" si="182"/>
        <v>-</v>
      </c>
      <c r="AF66" s="101" t="str">
        <f t="shared" si="182"/>
        <v>-</v>
      </c>
      <c r="AG66" s="101" t="str">
        <f t="shared" si="182"/>
        <v>-</v>
      </c>
      <c r="AH66" s="101" t="str">
        <f t="shared" si="182"/>
        <v>-</v>
      </c>
      <c r="AI66" s="101" t="str">
        <f t="shared" si="182"/>
        <v>-</v>
      </c>
      <c r="AJ66" s="101" t="str">
        <f t="shared" si="182"/>
        <v>-</v>
      </c>
      <c r="AK66" s="101" t="str">
        <f t="shared" si="182"/>
        <v>-</v>
      </c>
      <c r="AL66" s="101" t="str">
        <f t="shared" si="182"/>
        <v>-</v>
      </c>
      <c r="AM66" s="101" t="str">
        <f t="shared" si="182"/>
        <v>-</v>
      </c>
      <c r="AN66" s="101" t="str">
        <f t="shared" ref="AN66:AW69" si="183">IF(AND(AN$1&gt;=$I66,AN$1&lt;($I66+$G66)),ROUND($F66/$G66,0),"-")</f>
        <v>-</v>
      </c>
      <c r="AO66" s="101" t="str">
        <f t="shared" si="183"/>
        <v>-</v>
      </c>
      <c r="AP66" s="101" t="str">
        <f t="shared" si="183"/>
        <v>-</v>
      </c>
      <c r="AQ66" s="101" t="str">
        <f t="shared" si="183"/>
        <v>-</v>
      </c>
      <c r="AR66" s="101" t="str">
        <f t="shared" si="183"/>
        <v>-</v>
      </c>
      <c r="AS66" s="101" t="str">
        <f t="shared" si="183"/>
        <v>-</v>
      </c>
      <c r="AT66" s="101" t="str">
        <f t="shared" si="183"/>
        <v>-</v>
      </c>
      <c r="AU66" s="101" t="str">
        <f t="shared" si="183"/>
        <v>-</v>
      </c>
      <c r="AV66" s="101" t="str">
        <f t="shared" si="183"/>
        <v>-</v>
      </c>
      <c r="AW66" s="101" t="str">
        <f t="shared" si="183"/>
        <v>-</v>
      </c>
      <c r="AX66" s="101" t="str">
        <f t="shared" ref="AX66:BG69" si="184">IF(AND(AX$1&gt;=$I66,AX$1&lt;($I66+$G66)),ROUND($F66/$G66,0),"-")</f>
        <v>-</v>
      </c>
      <c r="AY66" s="101" t="str">
        <f t="shared" si="184"/>
        <v>-</v>
      </c>
      <c r="AZ66" s="101" t="str">
        <f t="shared" si="184"/>
        <v>-</v>
      </c>
      <c r="BA66" s="101" t="str">
        <f t="shared" si="184"/>
        <v>-</v>
      </c>
      <c r="BB66" s="101" t="str">
        <f t="shared" si="184"/>
        <v>-</v>
      </c>
      <c r="BC66" s="101" t="str">
        <f t="shared" si="184"/>
        <v>-</v>
      </c>
      <c r="BD66" s="101" t="str">
        <f t="shared" si="184"/>
        <v>-</v>
      </c>
      <c r="BE66" s="101" t="str">
        <f t="shared" si="184"/>
        <v>-</v>
      </c>
      <c r="BF66" s="101" t="str">
        <f t="shared" si="184"/>
        <v>-</v>
      </c>
      <c r="BG66" s="101" t="str">
        <f t="shared" si="184"/>
        <v>-</v>
      </c>
      <c r="BH66" s="101" t="str">
        <f t="shared" ref="BH66:BQ69" si="185">IF(AND(BH$1&gt;=$I66,BH$1&lt;($I66+$G66)),ROUND($F66/$G66,0),"-")</f>
        <v>-</v>
      </c>
      <c r="BI66" s="101" t="str">
        <f t="shared" si="185"/>
        <v>-</v>
      </c>
      <c r="BJ66" s="101" t="str">
        <f t="shared" si="185"/>
        <v>-</v>
      </c>
      <c r="BK66" s="101" t="str">
        <f t="shared" si="185"/>
        <v>-</v>
      </c>
      <c r="BL66" s="101">
        <f t="shared" si="185"/>
        <v>3</v>
      </c>
      <c r="BM66" s="101">
        <f t="shared" si="185"/>
        <v>3</v>
      </c>
      <c r="BN66" s="101">
        <f t="shared" si="185"/>
        <v>3</v>
      </c>
      <c r="BO66" s="101">
        <f t="shared" si="185"/>
        <v>3</v>
      </c>
      <c r="BP66" s="101">
        <f t="shared" si="185"/>
        <v>3</v>
      </c>
      <c r="BQ66" s="101">
        <f t="shared" si="185"/>
        <v>3</v>
      </c>
      <c r="BR66" s="101">
        <f t="shared" ref="BR66:CA69" si="186">IF(AND(BR$1&gt;=$I66,BR$1&lt;($I66+$G66)),ROUND($F66/$G66,0),"-")</f>
        <v>3</v>
      </c>
      <c r="BS66" s="101">
        <f t="shared" si="186"/>
        <v>3</v>
      </c>
      <c r="BT66" s="101">
        <f t="shared" si="186"/>
        <v>3</v>
      </c>
      <c r="BU66" s="101">
        <f t="shared" si="186"/>
        <v>3</v>
      </c>
      <c r="BV66" s="101">
        <f t="shared" si="186"/>
        <v>3</v>
      </c>
      <c r="BW66" s="101">
        <f t="shared" si="186"/>
        <v>3</v>
      </c>
      <c r="BX66" s="101">
        <f t="shared" si="186"/>
        <v>3</v>
      </c>
      <c r="BY66" s="101">
        <f t="shared" si="186"/>
        <v>3</v>
      </c>
      <c r="BZ66" s="101">
        <f t="shared" si="186"/>
        <v>3</v>
      </c>
      <c r="CA66" s="101">
        <f t="shared" si="186"/>
        <v>3</v>
      </c>
      <c r="CB66" s="101">
        <f t="shared" ref="CB66:CK69" si="187">IF(AND(CB$1&gt;=$I66,CB$1&lt;($I66+$G66)),ROUND($F66/$G66,0),"-")</f>
        <v>3</v>
      </c>
      <c r="CC66" s="101">
        <f t="shared" si="187"/>
        <v>3</v>
      </c>
      <c r="CD66" s="101">
        <f t="shared" si="187"/>
        <v>3</v>
      </c>
      <c r="CE66" s="101">
        <f t="shared" si="187"/>
        <v>3</v>
      </c>
      <c r="CF66" s="101">
        <f t="shared" si="187"/>
        <v>3</v>
      </c>
      <c r="CG66" s="101">
        <f t="shared" si="187"/>
        <v>3</v>
      </c>
      <c r="CH66" s="101">
        <f t="shared" si="187"/>
        <v>3</v>
      </c>
      <c r="CI66" s="101">
        <f t="shared" si="187"/>
        <v>3</v>
      </c>
      <c r="CJ66" s="101">
        <f t="shared" si="187"/>
        <v>3</v>
      </c>
      <c r="CK66" s="101">
        <f t="shared" si="187"/>
        <v>3</v>
      </c>
      <c r="CL66" s="101">
        <f t="shared" ref="CL66:CU69" si="188">IF(AND(CL$1&gt;=$I66,CL$1&lt;($I66+$G66)),ROUND($F66/$G66,0),"-")</f>
        <v>3</v>
      </c>
      <c r="CM66" s="101" t="str">
        <f t="shared" si="188"/>
        <v>-</v>
      </c>
      <c r="CN66" s="101" t="str">
        <f t="shared" si="188"/>
        <v>-</v>
      </c>
      <c r="CO66" s="101" t="str">
        <f t="shared" si="188"/>
        <v>-</v>
      </c>
      <c r="CP66" s="101" t="str">
        <f t="shared" si="188"/>
        <v>-</v>
      </c>
      <c r="CQ66" s="101" t="str">
        <f t="shared" si="188"/>
        <v>-</v>
      </c>
      <c r="CR66" s="101" t="str">
        <f t="shared" si="188"/>
        <v>-</v>
      </c>
      <c r="CS66" s="101" t="str">
        <f t="shared" si="188"/>
        <v>-</v>
      </c>
      <c r="CT66" s="101" t="str">
        <f t="shared" si="188"/>
        <v>-</v>
      </c>
      <c r="CU66" s="101" t="str">
        <f t="shared" si="188"/>
        <v>-</v>
      </c>
      <c r="CV66" s="101" t="str">
        <f t="shared" ref="CV66:DE69" si="189">IF(AND(CV$1&gt;=$I66,CV$1&lt;($I66+$G66)),ROUND($F66/$G66,0),"-")</f>
        <v>-</v>
      </c>
      <c r="CW66" s="101" t="str">
        <f t="shared" si="189"/>
        <v>-</v>
      </c>
      <c r="CX66" s="101" t="str">
        <f t="shared" si="189"/>
        <v>-</v>
      </c>
      <c r="CY66" s="101" t="str">
        <f t="shared" si="189"/>
        <v>-</v>
      </c>
      <c r="CZ66" s="101" t="str">
        <f t="shared" si="189"/>
        <v>-</v>
      </c>
      <c r="DA66" s="101" t="str">
        <f t="shared" si="189"/>
        <v>-</v>
      </c>
      <c r="DB66" s="101" t="str">
        <f t="shared" si="189"/>
        <v>-</v>
      </c>
      <c r="DC66" s="101" t="str">
        <f t="shared" si="189"/>
        <v>-</v>
      </c>
      <c r="DD66" s="101" t="str">
        <f t="shared" si="189"/>
        <v>-</v>
      </c>
      <c r="DE66" s="101" t="str">
        <f t="shared" si="189"/>
        <v>-</v>
      </c>
      <c r="DF66" s="101" t="str">
        <f t="shared" ref="DF66:DO69" si="190">IF(AND(DF$1&gt;=$I66,DF$1&lt;($I66+$G66)),ROUND($F66/$G66,0),"-")</f>
        <v>-</v>
      </c>
      <c r="DG66" s="101" t="str">
        <f t="shared" si="190"/>
        <v>-</v>
      </c>
      <c r="DH66" s="101" t="str">
        <f t="shared" si="190"/>
        <v>-</v>
      </c>
      <c r="DI66" s="101" t="str">
        <f t="shared" si="190"/>
        <v>-</v>
      </c>
      <c r="DJ66" s="101" t="str">
        <f t="shared" si="190"/>
        <v>-</v>
      </c>
      <c r="DK66" s="101" t="str">
        <f t="shared" si="190"/>
        <v>-</v>
      </c>
      <c r="DL66" s="101" t="str">
        <f t="shared" si="190"/>
        <v>-</v>
      </c>
      <c r="DM66" s="101" t="str">
        <f t="shared" si="190"/>
        <v>-</v>
      </c>
      <c r="DN66" s="101" t="str">
        <f t="shared" si="190"/>
        <v>-</v>
      </c>
      <c r="DO66" s="101" t="str">
        <f t="shared" si="190"/>
        <v>-</v>
      </c>
      <c r="DP66" s="101" t="str">
        <f t="shared" ref="DP66:DY69" si="191">IF(AND(DP$1&gt;=$I66,DP$1&lt;($I66+$G66)),ROUND($F66/$G66,0),"-")</f>
        <v>-</v>
      </c>
      <c r="DQ66" s="101" t="str">
        <f t="shared" si="191"/>
        <v>-</v>
      </c>
      <c r="DR66" s="101" t="str">
        <f t="shared" si="191"/>
        <v>-</v>
      </c>
      <c r="DS66" s="101" t="str">
        <f t="shared" si="191"/>
        <v>-</v>
      </c>
      <c r="DT66" s="101" t="str">
        <f t="shared" si="191"/>
        <v>-</v>
      </c>
      <c r="DU66" s="101" t="str">
        <f t="shared" si="191"/>
        <v>-</v>
      </c>
      <c r="DV66" s="101" t="str">
        <f t="shared" si="191"/>
        <v>-</v>
      </c>
      <c r="DW66" s="101" t="str">
        <f t="shared" si="191"/>
        <v>-</v>
      </c>
      <c r="DX66" s="101" t="str">
        <f t="shared" si="191"/>
        <v>-</v>
      </c>
      <c r="DY66" s="101" t="str">
        <f t="shared" si="191"/>
        <v>-</v>
      </c>
      <c r="DZ66" s="101" t="str">
        <f t="shared" ref="DZ66:EL69" si="192">IF(AND(DZ$1&gt;=$I66,DZ$1&lt;($I66+$G66)),ROUND($F66/$G66,0),"-")</f>
        <v>-</v>
      </c>
      <c r="EA66" s="101" t="str">
        <f t="shared" si="192"/>
        <v>-</v>
      </c>
      <c r="EB66" s="101" t="str">
        <f t="shared" si="192"/>
        <v>-</v>
      </c>
      <c r="EC66" s="101" t="str">
        <f t="shared" si="192"/>
        <v>-</v>
      </c>
      <c r="ED66" s="101" t="str">
        <f t="shared" si="192"/>
        <v>-</v>
      </c>
      <c r="EE66" s="101" t="str">
        <f t="shared" si="192"/>
        <v>-</v>
      </c>
      <c r="EF66" s="101" t="str">
        <f t="shared" si="192"/>
        <v>-</v>
      </c>
      <c r="EG66" s="101" t="str">
        <f t="shared" si="192"/>
        <v>-</v>
      </c>
      <c r="EH66" s="101" t="str">
        <f t="shared" si="192"/>
        <v>-</v>
      </c>
      <c r="EI66" s="101" t="str">
        <f t="shared" si="192"/>
        <v>-</v>
      </c>
      <c r="EJ66" s="101" t="str">
        <f t="shared" si="192"/>
        <v>-</v>
      </c>
      <c r="EK66" s="101" t="str">
        <f t="shared" si="192"/>
        <v>-</v>
      </c>
      <c r="EL66" s="101" t="str">
        <f t="shared" si="192"/>
        <v>-</v>
      </c>
    </row>
    <row r="67" spans="1:144">
      <c r="A67" s="466"/>
      <c r="B67" s="502"/>
      <c r="C67" s="502"/>
      <c r="D67" s="466"/>
      <c r="E67" s="109" t="s">
        <v>65</v>
      </c>
      <c r="F67" s="102">
        <f>SUM('BESS 11'!S390,'BESS 11'!S392:S393,'BESS 11'!S396:S398)</f>
        <v>1517.4780266666667</v>
      </c>
      <c r="G67" s="101">
        <f>MAX('BESS 11'!O390,'BESS 11'!O392:O393,'BESS 11'!O396:O398)-MIN('BESS 11'!O390,'BESS 11'!O392:O393,'BESS 11'!O396:O398)+1</f>
        <v>11</v>
      </c>
      <c r="H67" s="101"/>
      <c r="I67" s="110">
        <f>MIN('BESS 11'!O390,'BESS 11'!O392:O393,'BESS 11'!O396:O398)</f>
        <v>46247</v>
      </c>
      <c r="J67" s="101" t="str">
        <f t="shared" si="180"/>
        <v>-</v>
      </c>
      <c r="K67" s="101" t="str">
        <f t="shared" si="180"/>
        <v>-</v>
      </c>
      <c r="L67" s="101" t="str">
        <f t="shared" si="180"/>
        <v>-</v>
      </c>
      <c r="M67" s="101" t="str">
        <f t="shared" si="180"/>
        <v>-</v>
      </c>
      <c r="N67" s="101" t="str">
        <f t="shared" si="180"/>
        <v>-</v>
      </c>
      <c r="O67" s="101" t="str">
        <f t="shared" si="180"/>
        <v>-</v>
      </c>
      <c r="P67" s="101" t="str">
        <f t="shared" si="180"/>
        <v>-</v>
      </c>
      <c r="Q67" s="101" t="str">
        <f t="shared" si="180"/>
        <v>-</v>
      </c>
      <c r="R67" s="101" t="str">
        <f t="shared" si="180"/>
        <v>-</v>
      </c>
      <c r="S67" s="101" t="str">
        <f t="shared" si="180"/>
        <v>-</v>
      </c>
      <c r="T67" s="101" t="str">
        <f t="shared" si="181"/>
        <v>-</v>
      </c>
      <c r="U67" s="101" t="str">
        <f t="shared" si="181"/>
        <v>-</v>
      </c>
      <c r="V67" s="101" t="str">
        <f t="shared" si="181"/>
        <v>-</v>
      </c>
      <c r="W67" s="101" t="str">
        <f t="shared" si="181"/>
        <v>-</v>
      </c>
      <c r="X67" s="101" t="str">
        <f t="shared" si="181"/>
        <v>-</v>
      </c>
      <c r="Y67" s="101" t="str">
        <f t="shared" si="181"/>
        <v>-</v>
      </c>
      <c r="Z67" s="101" t="str">
        <f t="shared" si="181"/>
        <v>-</v>
      </c>
      <c r="AA67" s="101" t="str">
        <f t="shared" si="181"/>
        <v>-</v>
      </c>
      <c r="AB67" s="101" t="str">
        <f t="shared" si="181"/>
        <v>-</v>
      </c>
      <c r="AC67" s="101" t="str">
        <f t="shared" si="181"/>
        <v>-</v>
      </c>
      <c r="AD67" s="101" t="str">
        <f t="shared" si="182"/>
        <v>-</v>
      </c>
      <c r="AE67" s="101" t="str">
        <f t="shared" si="182"/>
        <v>-</v>
      </c>
      <c r="AF67" s="101" t="str">
        <f t="shared" si="182"/>
        <v>-</v>
      </c>
      <c r="AG67" s="101" t="str">
        <f t="shared" si="182"/>
        <v>-</v>
      </c>
      <c r="AH67" s="101" t="str">
        <f t="shared" si="182"/>
        <v>-</v>
      </c>
      <c r="AI67" s="101" t="str">
        <f t="shared" si="182"/>
        <v>-</v>
      </c>
      <c r="AJ67" s="101" t="str">
        <f t="shared" si="182"/>
        <v>-</v>
      </c>
      <c r="AK67" s="101" t="str">
        <f t="shared" si="182"/>
        <v>-</v>
      </c>
      <c r="AL67" s="101" t="str">
        <f t="shared" si="182"/>
        <v>-</v>
      </c>
      <c r="AM67" s="101" t="str">
        <f t="shared" si="182"/>
        <v>-</v>
      </c>
      <c r="AN67" s="101" t="str">
        <f t="shared" si="183"/>
        <v>-</v>
      </c>
      <c r="AO67" s="101" t="str">
        <f t="shared" si="183"/>
        <v>-</v>
      </c>
      <c r="AP67" s="101" t="str">
        <f t="shared" si="183"/>
        <v>-</v>
      </c>
      <c r="AQ67" s="101" t="str">
        <f t="shared" si="183"/>
        <v>-</v>
      </c>
      <c r="AR67" s="101" t="str">
        <f t="shared" si="183"/>
        <v>-</v>
      </c>
      <c r="AS67" s="101" t="str">
        <f t="shared" si="183"/>
        <v>-</v>
      </c>
      <c r="AT67" s="101" t="str">
        <f t="shared" si="183"/>
        <v>-</v>
      </c>
      <c r="AU67" s="101" t="str">
        <f t="shared" si="183"/>
        <v>-</v>
      </c>
      <c r="AV67" s="101" t="str">
        <f t="shared" si="183"/>
        <v>-</v>
      </c>
      <c r="AW67" s="101" t="str">
        <f t="shared" si="183"/>
        <v>-</v>
      </c>
      <c r="AX67" s="101" t="str">
        <f t="shared" si="184"/>
        <v>-</v>
      </c>
      <c r="AY67" s="101" t="str">
        <f t="shared" si="184"/>
        <v>-</v>
      </c>
      <c r="AZ67" s="101" t="str">
        <f t="shared" si="184"/>
        <v>-</v>
      </c>
      <c r="BA67" s="101" t="str">
        <f t="shared" si="184"/>
        <v>-</v>
      </c>
      <c r="BB67" s="101" t="str">
        <f t="shared" si="184"/>
        <v>-</v>
      </c>
      <c r="BC67" s="101" t="str">
        <f t="shared" si="184"/>
        <v>-</v>
      </c>
      <c r="BD67" s="101" t="str">
        <f t="shared" si="184"/>
        <v>-</v>
      </c>
      <c r="BE67" s="101" t="str">
        <f t="shared" si="184"/>
        <v>-</v>
      </c>
      <c r="BF67" s="101" t="str">
        <f t="shared" si="184"/>
        <v>-</v>
      </c>
      <c r="BG67" s="101" t="str">
        <f t="shared" si="184"/>
        <v>-</v>
      </c>
      <c r="BH67" s="101" t="str">
        <f t="shared" si="185"/>
        <v>-</v>
      </c>
      <c r="BI67" s="101" t="str">
        <f t="shared" si="185"/>
        <v>-</v>
      </c>
      <c r="BJ67" s="101">
        <f t="shared" si="185"/>
        <v>138</v>
      </c>
      <c r="BK67" s="101">
        <f t="shared" si="185"/>
        <v>138</v>
      </c>
      <c r="BL67" s="101">
        <f t="shared" si="185"/>
        <v>138</v>
      </c>
      <c r="BM67" s="101">
        <f t="shared" si="185"/>
        <v>138</v>
      </c>
      <c r="BN67" s="101">
        <f t="shared" si="185"/>
        <v>138</v>
      </c>
      <c r="BO67" s="101">
        <f t="shared" si="185"/>
        <v>138</v>
      </c>
      <c r="BP67" s="101">
        <f t="shared" si="185"/>
        <v>138</v>
      </c>
      <c r="BQ67" s="101">
        <f t="shared" si="185"/>
        <v>138</v>
      </c>
      <c r="BR67" s="101">
        <f t="shared" si="186"/>
        <v>138</v>
      </c>
      <c r="BS67" s="101">
        <f t="shared" si="186"/>
        <v>138</v>
      </c>
      <c r="BT67" s="101">
        <f t="shared" si="186"/>
        <v>138</v>
      </c>
      <c r="BU67" s="101" t="str">
        <f t="shared" si="186"/>
        <v>-</v>
      </c>
      <c r="BV67" s="101" t="str">
        <f t="shared" si="186"/>
        <v>-</v>
      </c>
      <c r="BW67" s="101" t="str">
        <f t="shared" si="186"/>
        <v>-</v>
      </c>
      <c r="BX67" s="101" t="str">
        <f t="shared" si="186"/>
        <v>-</v>
      </c>
      <c r="BY67" s="101" t="str">
        <f t="shared" si="186"/>
        <v>-</v>
      </c>
      <c r="BZ67" s="101" t="str">
        <f t="shared" si="186"/>
        <v>-</v>
      </c>
      <c r="CA67" s="101" t="str">
        <f t="shared" si="186"/>
        <v>-</v>
      </c>
      <c r="CB67" s="101" t="str">
        <f t="shared" si="187"/>
        <v>-</v>
      </c>
      <c r="CC67" s="101" t="str">
        <f t="shared" si="187"/>
        <v>-</v>
      </c>
      <c r="CD67" s="101" t="str">
        <f t="shared" si="187"/>
        <v>-</v>
      </c>
      <c r="CE67" s="101" t="str">
        <f t="shared" si="187"/>
        <v>-</v>
      </c>
      <c r="CF67" s="101" t="str">
        <f t="shared" si="187"/>
        <v>-</v>
      </c>
      <c r="CG67" s="101" t="str">
        <f t="shared" si="187"/>
        <v>-</v>
      </c>
      <c r="CH67" s="101" t="str">
        <f t="shared" si="187"/>
        <v>-</v>
      </c>
      <c r="CI67" s="101" t="str">
        <f t="shared" si="187"/>
        <v>-</v>
      </c>
      <c r="CJ67" s="101" t="str">
        <f t="shared" si="187"/>
        <v>-</v>
      </c>
      <c r="CK67" s="101" t="str">
        <f t="shared" si="187"/>
        <v>-</v>
      </c>
      <c r="CL67" s="101" t="str">
        <f t="shared" si="188"/>
        <v>-</v>
      </c>
      <c r="CM67" s="101" t="str">
        <f t="shared" si="188"/>
        <v>-</v>
      </c>
      <c r="CN67" s="101" t="str">
        <f t="shared" si="188"/>
        <v>-</v>
      </c>
      <c r="CO67" s="101" t="str">
        <f t="shared" si="188"/>
        <v>-</v>
      </c>
      <c r="CP67" s="101" t="str">
        <f t="shared" si="188"/>
        <v>-</v>
      </c>
      <c r="CQ67" s="101" t="str">
        <f t="shared" si="188"/>
        <v>-</v>
      </c>
      <c r="CR67" s="101" t="str">
        <f t="shared" si="188"/>
        <v>-</v>
      </c>
      <c r="CS67" s="101" t="str">
        <f t="shared" si="188"/>
        <v>-</v>
      </c>
      <c r="CT67" s="101" t="str">
        <f t="shared" si="188"/>
        <v>-</v>
      </c>
      <c r="CU67" s="101" t="str">
        <f t="shared" si="188"/>
        <v>-</v>
      </c>
      <c r="CV67" s="101" t="str">
        <f t="shared" si="189"/>
        <v>-</v>
      </c>
      <c r="CW67" s="101" t="str">
        <f t="shared" si="189"/>
        <v>-</v>
      </c>
      <c r="CX67" s="101" t="str">
        <f t="shared" si="189"/>
        <v>-</v>
      </c>
      <c r="CY67" s="101" t="str">
        <f t="shared" si="189"/>
        <v>-</v>
      </c>
      <c r="CZ67" s="101" t="str">
        <f t="shared" si="189"/>
        <v>-</v>
      </c>
      <c r="DA67" s="101" t="str">
        <f t="shared" si="189"/>
        <v>-</v>
      </c>
      <c r="DB67" s="101" t="str">
        <f t="shared" si="189"/>
        <v>-</v>
      </c>
      <c r="DC67" s="101" t="str">
        <f t="shared" si="189"/>
        <v>-</v>
      </c>
      <c r="DD67" s="101" t="str">
        <f t="shared" si="189"/>
        <v>-</v>
      </c>
      <c r="DE67" s="101" t="str">
        <f t="shared" si="189"/>
        <v>-</v>
      </c>
      <c r="DF67" s="101" t="str">
        <f t="shared" si="190"/>
        <v>-</v>
      </c>
      <c r="DG67" s="101" t="str">
        <f t="shared" si="190"/>
        <v>-</v>
      </c>
      <c r="DH67" s="101" t="str">
        <f t="shared" si="190"/>
        <v>-</v>
      </c>
      <c r="DI67" s="101" t="str">
        <f t="shared" si="190"/>
        <v>-</v>
      </c>
      <c r="DJ67" s="101" t="str">
        <f t="shared" si="190"/>
        <v>-</v>
      </c>
      <c r="DK67" s="101" t="str">
        <f t="shared" si="190"/>
        <v>-</v>
      </c>
      <c r="DL67" s="101" t="str">
        <f t="shared" si="190"/>
        <v>-</v>
      </c>
      <c r="DM67" s="101" t="str">
        <f t="shared" si="190"/>
        <v>-</v>
      </c>
      <c r="DN67" s="101" t="str">
        <f t="shared" si="190"/>
        <v>-</v>
      </c>
      <c r="DO67" s="101" t="str">
        <f t="shared" si="190"/>
        <v>-</v>
      </c>
      <c r="DP67" s="101" t="str">
        <f t="shared" si="191"/>
        <v>-</v>
      </c>
      <c r="DQ67" s="101" t="str">
        <f t="shared" si="191"/>
        <v>-</v>
      </c>
      <c r="DR67" s="101" t="str">
        <f t="shared" si="191"/>
        <v>-</v>
      </c>
      <c r="DS67" s="101" t="str">
        <f t="shared" si="191"/>
        <v>-</v>
      </c>
      <c r="DT67" s="101" t="str">
        <f t="shared" si="191"/>
        <v>-</v>
      </c>
      <c r="DU67" s="101" t="str">
        <f t="shared" si="191"/>
        <v>-</v>
      </c>
      <c r="DV67" s="101" t="str">
        <f t="shared" si="191"/>
        <v>-</v>
      </c>
      <c r="DW67" s="101" t="str">
        <f t="shared" si="191"/>
        <v>-</v>
      </c>
      <c r="DX67" s="101" t="str">
        <f t="shared" si="191"/>
        <v>-</v>
      </c>
      <c r="DY67" s="101" t="str">
        <f t="shared" si="191"/>
        <v>-</v>
      </c>
      <c r="DZ67" s="101" t="str">
        <f t="shared" si="192"/>
        <v>-</v>
      </c>
      <c r="EA67" s="101" t="str">
        <f t="shared" si="192"/>
        <v>-</v>
      </c>
      <c r="EB67" s="101" t="str">
        <f t="shared" si="192"/>
        <v>-</v>
      </c>
      <c r="EC67" s="101" t="str">
        <f t="shared" si="192"/>
        <v>-</v>
      </c>
      <c r="ED67" s="101" t="str">
        <f t="shared" si="192"/>
        <v>-</v>
      </c>
      <c r="EE67" s="101" t="str">
        <f t="shared" si="192"/>
        <v>-</v>
      </c>
      <c r="EF67" s="101" t="str">
        <f t="shared" si="192"/>
        <v>-</v>
      </c>
      <c r="EG67" s="101" t="str">
        <f t="shared" si="192"/>
        <v>-</v>
      </c>
      <c r="EH67" s="101" t="str">
        <f t="shared" si="192"/>
        <v>-</v>
      </c>
      <c r="EI67" s="101" t="str">
        <f t="shared" si="192"/>
        <v>-</v>
      </c>
      <c r="EJ67" s="101" t="str">
        <f t="shared" si="192"/>
        <v>-</v>
      </c>
      <c r="EK67" s="101" t="str">
        <f t="shared" si="192"/>
        <v>-</v>
      </c>
      <c r="EL67" s="101" t="str">
        <f t="shared" si="192"/>
        <v>-</v>
      </c>
    </row>
    <row r="68" spans="1:144">
      <c r="A68" s="466"/>
      <c r="B68" s="502"/>
      <c r="C68" s="502"/>
      <c r="D68" s="466"/>
      <c r="E68" s="109" t="s">
        <v>66</v>
      </c>
      <c r="F68" s="102">
        <f>SUM('BESS 11'!S391,'BESS 11'!S394:S395,'BESS 11'!S399:S400)</f>
        <v>2453.6666666666665</v>
      </c>
      <c r="G68" s="101">
        <f>MAX('BESS 11'!O391,'BESS 11'!O394:O395,'BESS 11'!O399:O400)-MIN('BESS 11'!O391,'BESS 11'!O394:O395,'BESS 11'!O399:O400)+1</f>
        <v>17</v>
      </c>
      <c r="H68" s="101"/>
      <c r="I68" s="110">
        <f>MIN('BESS 11'!O391,'BESS 11'!O394:O395,'BESS 11'!O399:O400)</f>
        <v>46263</v>
      </c>
      <c r="J68" s="101" t="str">
        <f t="shared" si="180"/>
        <v>-</v>
      </c>
      <c r="K68" s="101" t="str">
        <f t="shared" si="180"/>
        <v>-</v>
      </c>
      <c r="L68" s="101" t="str">
        <f t="shared" si="180"/>
        <v>-</v>
      </c>
      <c r="M68" s="101" t="str">
        <f t="shared" si="180"/>
        <v>-</v>
      </c>
      <c r="N68" s="101" t="str">
        <f t="shared" si="180"/>
        <v>-</v>
      </c>
      <c r="O68" s="101" t="str">
        <f t="shared" si="180"/>
        <v>-</v>
      </c>
      <c r="P68" s="101" t="str">
        <f t="shared" si="180"/>
        <v>-</v>
      </c>
      <c r="Q68" s="101" t="str">
        <f t="shared" si="180"/>
        <v>-</v>
      </c>
      <c r="R68" s="101" t="str">
        <f t="shared" si="180"/>
        <v>-</v>
      </c>
      <c r="S68" s="101" t="str">
        <f t="shared" si="180"/>
        <v>-</v>
      </c>
      <c r="T68" s="101" t="str">
        <f t="shared" si="181"/>
        <v>-</v>
      </c>
      <c r="U68" s="101" t="str">
        <f t="shared" si="181"/>
        <v>-</v>
      </c>
      <c r="V68" s="101" t="str">
        <f t="shared" si="181"/>
        <v>-</v>
      </c>
      <c r="W68" s="101" t="str">
        <f t="shared" si="181"/>
        <v>-</v>
      </c>
      <c r="X68" s="101" t="str">
        <f t="shared" si="181"/>
        <v>-</v>
      </c>
      <c r="Y68" s="101" t="str">
        <f t="shared" si="181"/>
        <v>-</v>
      </c>
      <c r="Z68" s="101" t="str">
        <f t="shared" si="181"/>
        <v>-</v>
      </c>
      <c r="AA68" s="101" t="str">
        <f t="shared" si="181"/>
        <v>-</v>
      </c>
      <c r="AB68" s="101" t="str">
        <f t="shared" si="181"/>
        <v>-</v>
      </c>
      <c r="AC68" s="101" t="str">
        <f t="shared" si="181"/>
        <v>-</v>
      </c>
      <c r="AD68" s="101" t="str">
        <f t="shared" si="182"/>
        <v>-</v>
      </c>
      <c r="AE68" s="101" t="str">
        <f t="shared" si="182"/>
        <v>-</v>
      </c>
      <c r="AF68" s="101" t="str">
        <f t="shared" si="182"/>
        <v>-</v>
      </c>
      <c r="AG68" s="101" t="str">
        <f t="shared" si="182"/>
        <v>-</v>
      </c>
      <c r="AH68" s="101" t="str">
        <f t="shared" si="182"/>
        <v>-</v>
      </c>
      <c r="AI68" s="101" t="str">
        <f t="shared" si="182"/>
        <v>-</v>
      </c>
      <c r="AJ68" s="101" t="str">
        <f t="shared" si="182"/>
        <v>-</v>
      </c>
      <c r="AK68" s="101" t="str">
        <f t="shared" si="182"/>
        <v>-</v>
      </c>
      <c r="AL68" s="101" t="str">
        <f t="shared" si="182"/>
        <v>-</v>
      </c>
      <c r="AM68" s="101" t="str">
        <f t="shared" si="182"/>
        <v>-</v>
      </c>
      <c r="AN68" s="101" t="str">
        <f t="shared" si="183"/>
        <v>-</v>
      </c>
      <c r="AO68" s="101" t="str">
        <f t="shared" si="183"/>
        <v>-</v>
      </c>
      <c r="AP68" s="101" t="str">
        <f t="shared" si="183"/>
        <v>-</v>
      </c>
      <c r="AQ68" s="101" t="str">
        <f t="shared" si="183"/>
        <v>-</v>
      </c>
      <c r="AR68" s="101" t="str">
        <f t="shared" si="183"/>
        <v>-</v>
      </c>
      <c r="AS68" s="101" t="str">
        <f t="shared" si="183"/>
        <v>-</v>
      </c>
      <c r="AT68" s="101" t="str">
        <f t="shared" si="183"/>
        <v>-</v>
      </c>
      <c r="AU68" s="101" t="str">
        <f t="shared" si="183"/>
        <v>-</v>
      </c>
      <c r="AV68" s="101" t="str">
        <f t="shared" si="183"/>
        <v>-</v>
      </c>
      <c r="AW68" s="101" t="str">
        <f t="shared" si="183"/>
        <v>-</v>
      </c>
      <c r="AX68" s="101" t="str">
        <f t="shared" si="184"/>
        <v>-</v>
      </c>
      <c r="AY68" s="101" t="str">
        <f t="shared" si="184"/>
        <v>-</v>
      </c>
      <c r="AZ68" s="101" t="str">
        <f t="shared" si="184"/>
        <v>-</v>
      </c>
      <c r="BA68" s="101" t="str">
        <f t="shared" si="184"/>
        <v>-</v>
      </c>
      <c r="BB68" s="101" t="str">
        <f t="shared" si="184"/>
        <v>-</v>
      </c>
      <c r="BC68" s="101" t="str">
        <f t="shared" si="184"/>
        <v>-</v>
      </c>
      <c r="BD68" s="101" t="str">
        <f t="shared" si="184"/>
        <v>-</v>
      </c>
      <c r="BE68" s="101" t="str">
        <f t="shared" si="184"/>
        <v>-</v>
      </c>
      <c r="BF68" s="101" t="str">
        <f t="shared" si="184"/>
        <v>-</v>
      </c>
      <c r="BG68" s="101" t="str">
        <f t="shared" si="184"/>
        <v>-</v>
      </c>
      <c r="BH68" s="101" t="str">
        <f t="shared" si="185"/>
        <v>-</v>
      </c>
      <c r="BI68" s="101" t="str">
        <f t="shared" si="185"/>
        <v>-</v>
      </c>
      <c r="BJ68" s="101" t="str">
        <f t="shared" si="185"/>
        <v>-</v>
      </c>
      <c r="BK68" s="101" t="str">
        <f t="shared" si="185"/>
        <v>-</v>
      </c>
      <c r="BL68" s="101" t="str">
        <f t="shared" si="185"/>
        <v>-</v>
      </c>
      <c r="BM68" s="101" t="str">
        <f t="shared" si="185"/>
        <v>-</v>
      </c>
      <c r="BN68" s="101" t="str">
        <f t="shared" si="185"/>
        <v>-</v>
      </c>
      <c r="BO68" s="101" t="str">
        <f t="shared" si="185"/>
        <v>-</v>
      </c>
      <c r="BP68" s="101" t="str">
        <f t="shared" si="185"/>
        <v>-</v>
      </c>
      <c r="BQ68" s="101" t="str">
        <f t="shared" si="185"/>
        <v>-</v>
      </c>
      <c r="BR68" s="101" t="str">
        <f t="shared" si="186"/>
        <v>-</v>
      </c>
      <c r="BS68" s="101" t="str">
        <f t="shared" si="186"/>
        <v>-</v>
      </c>
      <c r="BT68" s="101" t="str">
        <f t="shared" si="186"/>
        <v>-</v>
      </c>
      <c r="BU68" s="101" t="str">
        <f t="shared" si="186"/>
        <v>-</v>
      </c>
      <c r="BV68" s="101" t="str">
        <f t="shared" si="186"/>
        <v>-</v>
      </c>
      <c r="BW68" s="101" t="str">
        <f t="shared" si="186"/>
        <v>-</v>
      </c>
      <c r="BX68" s="101" t="str">
        <f t="shared" si="186"/>
        <v>-</v>
      </c>
      <c r="BY68" s="101" t="str">
        <f t="shared" si="186"/>
        <v>-</v>
      </c>
      <c r="BZ68" s="101">
        <f t="shared" si="186"/>
        <v>144</v>
      </c>
      <c r="CA68" s="101">
        <f t="shared" si="186"/>
        <v>144</v>
      </c>
      <c r="CB68" s="101">
        <f t="shared" si="187"/>
        <v>144</v>
      </c>
      <c r="CC68" s="101">
        <f t="shared" si="187"/>
        <v>144</v>
      </c>
      <c r="CD68" s="101">
        <f t="shared" si="187"/>
        <v>144</v>
      </c>
      <c r="CE68" s="101">
        <f t="shared" si="187"/>
        <v>144</v>
      </c>
      <c r="CF68" s="101">
        <f t="shared" si="187"/>
        <v>144</v>
      </c>
      <c r="CG68" s="101">
        <f t="shared" si="187"/>
        <v>144</v>
      </c>
      <c r="CH68" s="101">
        <f t="shared" si="187"/>
        <v>144</v>
      </c>
      <c r="CI68" s="101">
        <f t="shared" si="187"/>
        <v>144</v>
      </c>
      <c r="CJ68" s="101">
        <f t="shared" si="187"/>
        <v>144</v>
      </c>
      <c r="CK68" s="101">
        <f t="shared" si="187"/>
        <v>144</v>
      </c>
      <c r="CL68" s="101">
        <f t="shared" si="188"/>
        <v>144</v>
      </c>
      <c r="CM68" s="101">
        <f t="shared" si="188"/>
        <v>144</v>
      </c>
      <c r="CN68" s="101">
        <f t="shared" si="188"/>
        <v>144</v>
      </c>
      <c r="CO68" s="101">
        <f t="shared" si="188"/>
        <v>144</v>
      </c>
      <c r="CP68" s="101">
        <f t="shared" si="188"/>
        <v>144</v>
      </c>
      <c r="CQ68" s="101" t="str">
        <f t="shared" si="188"/>
        <v>-</v>
      </c>
      <c r="CR68" s="101" t="str">
        <f t="shared" si="188"/>
        <v>-</v>
      </c>
      <c r="CS68" s="101" t="str">
        <f t="shared" si="188"/>
        <v>-</v>
      </c>
      <c r="CT68" s="101" t="str">
        <f t="shared" si="188"/>
        <v>-</v>
      </c>
      <c r="CU68" s="101" t="str">
        <f t="shared" si="188"/>
        <v>-</v>
      </c>
      <c r="CV68" s="101" t="str">
        <f t="shared" si="189"/>
        <v>-</v>
      </c>
      <c r="CW68" s="101" t="str">
        <f t="shared" si="189"/>
        <v>-</v>
      </c>
      <c r="CX68" s="101" t="str">
        <f t="shared" si="189"/>
        <v>-</v>
      </c>
      <c r="CY68" s="101" t="str">
        <f t="shared" si="189"/>
        <v>-</v>
      </c>
      <c r="CZ68" s="101" t="str">
        <f t="shared" si="189"/>
        <v>-</v>
      </c>
      <c r="DA68" s="101" t="str">
        <f t="shared" si="189"/>
        <v>-</v>
      </c>
      <c r="DB68" s="101" t="str">
        <f t="shared" si="189"/>
        <v>-</v>
      </c>
      <c r="DC68" s="101" t="str">
        <f t="shared" si="189"/>
        <v>-</v>
      </c>
      <c r="DD68" s="101" t="str">
        <f t="shared" si="189"/>
        <v>-</v>
      </c>
      <c r="DE68" s="101" t="str">
        <f t="shared" si="189"/>
        <v>-</v>
      </c>
      <c r="DF68" s="101" t="str">
        <f t="shared" si="190"/>
        <v>-</v>
      </c>
      <c r="DG68" s="101" t="str">
        <f t="shared" si="190"/>
        <v>-</v>
      </c>
      <c r="DH68" s="101" t="str">
        <f t="shared" si="190"/>
        <v>-</v>
      </c>
      <c r="DI68" s="101" t="str">
        <f t="shared" si="190"/>
        <v>-</v>
      </c>
      <c r="DJ68" s="101" t="str">
        <f t="shared" si="190"/>
        <v>-</v>
      </c>
      <c r="DK68" s="101" t="str">
        <f t="shared" si="190"/>
        <v>-</v>
      </c>
      <c r="DL68" s="101" t="str">
        <f t="shared" si="190"/>
        <v>-</v>
      </c>
      <c r="DM68" s="101" t="str">
        <f t="shared" si="190"/>
        <v>-</v>
      </c>
      <c r="DN68" s="101" t="str">
        <f t="shared" si="190"/>
        <v>-</v>
      </c>
      <c r="DO68" s="101" t="str">
        <f t="shared" si="190"/>
        <v>-</v>
      </c>
      <c r="DP68" s="101" t="str">
        <f t="shared" si="191"/>
        <v>-</v>
      </c>
      <c r="DQ68" s="101" t="str">
        <f t="shared" si="191"/>
        <v>-</v>
      </c>
      <c r="DR68" s="101" t="str">
        <f t="shared" si="191"/>
        <v>-</v>
      </c>
      <c r="DS68" s="101" t="str">
        <f t="shared" si="191"/>
        <v>-</v>
      </c>
      <c r="DT68" s="101" t="str">
        <f t="shared" si="191"/>
        <v>-</v>
      </c>
      <c r="DU68" s="101" t="str">
        <f t="shared" si="191"/>
        <v>-</v>
      </c>
      <c r="DV68" s="101" t="str">
        <f t="shared" si="191"/>
        <v>-</v>
      </c>
      <c r="DW68" s="101" t="str">
        <f t="shared" si="191"/>
        <v>-</v>
      </c>
      <c r="DX68" s="101" t="str">
        <f t="shared" si="191"/>
        <v>-</v>
      </c>
      <c r="DY68" s="101" t="str">
        <f t="shared" si="191"/>
        <v>-</v>
      </c>
      <c r="DZ68" s="101" t="str">
        <f t="shared" si="192"/>
        <v>-</v>
      </c>
      <c r="EA68" s="101" t="str">
        <f t="shared" si="192"/>
        <v>-</v>
      </c>
      <c r="EB68" s="101" t="str">
        <f t="shared" si="192"/>
        <v>-</v>
      </c>
      <c r="EC68" s="101" t="str">
        <f t="shared" si="192"/>
        <v>-</v>
      </c>
      <c r="ED68" s="101" t="str">
        <f t="shared" si="192"/>
        <v>-</v>
      </c>
      <c r="EE68" s="101" t="str">
        <f t="shared" si="192"/>
        <v>-</v>
      </c>
      <c r="EF68" s="101" t="str">
        <f t="shared" si="192"/>
        <v>-</v>
      </c>
      <c r="EG68" s="101" t="str">
        <f t="shared" si="192"/>
        <v>-</v>
      </c>
      <c r="EH68" s="101" t="str">
        <f t="shared" si="192"/>
        <v>-</v>
      </c>
      <c r="EI68" s="101" t="str">
        <f t="shared" si="192"/>
        <v>-</v>
      </c>
      <c r="EJ68" s="101" t="str">
        <f t="shared" si="192"/>
        <v>-</v>
      </c>
      <c r="EK68" s="101" t="str">
        <f t="shared" si="192"/>
        <v>-</v>
      </c>
      <c r="EL68" s="101" t="str">
        <f t="shared" si="192"/>
        <v>-</v>
      </c>
    </row>
    <row r="69" spans="1:144">
      <c r="A69" s="466"/>
      <c r="B69" s="502"/>
      <c r="C69" s="502"/>
      <c r="D69" s="466"/>
      <c r="E69" s="109" t="s">
        <v>67</v>
      </c>
      <c r="F69" s="102">
        <f>SUM('BESS 11'!S402:S411)</f>
        <v>340.69333333333333</v>
      </c>
      <c r="G69" s="101">
        <f>MAX('BESS 11'!O402:O411)-MIN('BESS 11'!O402:O411)+1</f>
        <v>35</v>
      </c>
      <c r="H69" s="101"/>
      <c r="I69" s="110">
        <f>MIN('BESS 11'!O402:O411)</f>
        <v>46252</v>
      </c>
      <c r="J69" s="101" t="str">
        <f t="shared" si="180"/>
        <v>-</v>
      </c>
      <c r="K69" s="132" t="str">
        <f t="shared" si="180"/>
        <v>-</v>
      </c>
      <c r="L69" s="132" t="str">
        <f t="shared" si="180"/>
        <v>-</v>
      </c>
      <c r="M69" s="132" t="str">
        <f t="shared" si="180"/>
        <v>-</v>
      </c>
      <c r="N69" s="132" t="str">
        <f t="shared" si="180"/>
        <v>-</v>
      </c>
      <c r="O69" s="132" t="str">
        <f t="shared" si="180"/>
        <v>-</v>
      </c>
      <c r="P69" s="132" t="str">
        <f t="shared" si="180"/>
        <v>-</v>
      </c>
      <c r="Q69" s="132" t="str">
        <f t="shared" si="180"/>
        <v>-</v>
      </c>
      <c r="R69" s="132" t="str">
        <f t="shared" si="180"/>
        <v>-</v>
      </c>
      <c r="S69" s="132" t="str">
        <f t="shared" si="180"/>
        <v>-</v>
      </c>
      <c r="T69" s="132" t="str">
        <f t="shared" si="181"/>
        <v>-</v>
      </c>
      <c r="U69" s="132" t="str">
        <f t="shared" si="181"/>
        <v>-</v>
      </c>
      <c r="V69" s="132" t="str">
        <f t="shared" si="181"/>
        <v>-</v>
      </c>
      <c r="W69" s="132" t="str">
        <f t="shared" si="181"/>
        <v>-</v>
      </c>
      <c r="X69" s="132" t="str">
        <f t="shared" si="181"/>
        <v>-</v>
      </c>
      <c r="Y69" s="132" t="str">
        <f t="shared" si="181"/>
        <v>-</v>
      </c>
      <c r="Z69" s="132" t="str">
        <f t="shared" si="181"/>
        <v>-</v>
      </c>
      <c r="AA69" s="132" t="str">
        <f t="shared" si="181"/>
        <v>-</v>
      </c>
      <c r="AB69" s="132" t="str">
        <f t="shared" si="181"/>
        <v>-</v>
      </c>
      <c r="AC69" s="132" t="str">
        <f t="shared" si="181"/>
        <v>-</v>
      </c>
      <c r="AD69" s="132" t="str">
        <f t="shared" si="182"/>
        <v>-</v>
      </c>
      <c r="AE69" s="132" t="str">
        <f t="shared" si="182"/>
        <v>-</v>
      </c>
      <c r="AF69" s="132" t="str">
        <f t="shared" si="182"/>
        <v>-</v>
      </c>
      <c r="AG69" s="132" t="str">
        <f t="shared" si="182"/>
        <v>-</v>
      </c>
      <c r="AH69" s="132" t="str">
        <f t="shared" si="182"/>
        <v>-</v>
      </c>
      <c r="AI69" s="132" t="str">
        <f t="shared" si="182"/>
        <v>-</v>
      </c>
      <c r="AJ69" s="132" t="str">
        <f t="shared" si="182"/>
        <v>-</v>
      </c>
      <c r="AK69" s="132" t="str">
        <f t="shared" si="182"/>
        <v>-</v>
      </c>
      <c r="AL69" s="132" t="str">
        <f t="shared" si="182"/>
        <v>-</v>
      </c>
      <c r="AM69" s="132" t="str">
        <f t="shared" si="182"/>
        <v>-</v>
      </c>
      <c r="AN69" s="132" t="str">
        <f t="shared" si="183"/>
        <v>-</v>
      </c>
      <c r="AO69" s="132" t="str">
        <f t="shared" si="183"/>
        <v>-</v>
      </c>
      <c r="AP69" s="132" t="str">
        <f t="shared" si="183"/>
        <v>-</v>
      </c>
      <c r="AQ69" s="132" t="str">
        <f t="shared" si="183"/>
        <v>-</v>
      </c>
      <c r="AR69" s="132" t="str">
        <f t="shared" si="183"/>
        <v>-</v>
      </c>
      <c r="AS69" s="132" t="str">
        <f t="shared" si="183"/>
        <v>-</v>
      </c>
      <c r="AT69" s="132" t="str">
        <f t="shared" si="183"/>
        <v>-</v>
      </c>
      <c r="AU69" s="132" t="str">
        <f t="shared" si="183"/>
        <v>-</v>
      </c>
      <c r="AV69" s="132" t="str">
        <f t="shared" si="183"/>
        <v>-</v>
      </c>
      <c r="AW69" s="132" t="str">
        <f t="shared" si="183"/>
        <v>-</v>
      </c>
      <c r="AX69" s="132" t="str">
        <f t="shared" si="184"/>
        <v>-</v>
      </c>
      <c r="AY69" s="132" t="str">
        <f t="shared" si="184"/>
        <v>-</v>
      </c>
      <c r="AZ69" s="132" t="str">
        <f t="shared" si="184"/>
        <v>-</v>
      </c>
      <c r="BA69" s="132" t="str">
        <f t="shared" si="184"/>
        <v>-</v>
      </c>
      <c r="BB69" s="132" t="str">
        <f t="shared" si="184"/>
        <v>-</v>
      </c>
      <c r="BC69" s="132" t="str">
        <f t="shared" si="184"/>
        <v>-</v>
      </c>
      <c r="BD69" s="132" t="str">
        <f t="shared" si="184"/>
        <v>-</v>
      </c>
      <c r="BE69" s="132" t="str">
        <f t="shared" si="184"/>
        <v>-</v>
      </c>
      <c r="BF69" s="132" t="str">
        <f t="shared" si="184"/>
        <v>-</v>
      </c>
      <c r="BG69" s="132" t="str">
        <f t="shared" si="184"/>
        <v>-</v>
      </c>
      <c r="BH69" s="132" t="str">
        <f t="shared" si="185"/>
        <v>-</v>
      </c>
      <c r="BI69" s="132" t="str">
        <f t="shared" si="185"/>
        <v>-</v>
      </c>
      <c r="BJ69" s="132" t="str">
        <f t="shared" si="185"/>
        <v>-</v>
      </c>
      <c r="BK69" s="132" t="str">
        <f t="shared" si="185"/>
        <v>-</v>
      </c>
      <c r="BL69" s="132" t="str">
        <f t="shared" si="185"/>
        <v>-</v>
      </c>
      <c r="BM69" s="132" t="str">
        <f t="shared" si="185"/>
        <v>-</v>
      </c>
      <c r="BN69" s="132" t="str">
        <f t="shared" si="185"/>
        <v>-</v>
      </c>
      <c r="BO69" s="132">
        <f t="shared" si="185"/>
        <v>10</v>
      </c>
      <c r="BP69" s="132">
        <f t="shared" si="185"/>
        <v>10</v>
      </c>
      <c r="BQ69" s="132">
        <f t="shared" si="185"/>
        <v>10</v>
      </c>
      <c r="BR69" s="132">
        <f t="shared" si="186"/>
        <v>10</v>
      </c>
      <c r="BS69" s="132">
        <f t="shared" si="186"/>
        <v>10</v>
      </c>
      <c r="BT69" s="132">
        <f t="shared" si="186"/>
        <v>10</v>
      </c>
      <c r="BU69" s="132">
        <f t="shared" si="186"/>
        <v>10</v>
      </c>
      <c r="BV69" s="132">
        <f t="shared" si="186"/>
        <v>10</v>
      </c>
      <c r="BW69" s="132">
        <f t="shared" si="186"/>
        <v>10</v>
      </c>
      <c r="BX69" s="132">
        <f t="shared" si="186"/>
        <v>10</v>
      </c>
      <c r="BY69" s="132">
        <f t="shared" si="186"/>
        <v>10</v>
      </c>
      <c r="BZ69" s="132">
        <f t="shared" si="186"/>
        <v>10</v>
      </c>
      <c r="CA69" s="132">
        <f t="shared" si="186"/>
        <v>10</v>
      </c>
      <c r="CB69" s="132">
        <f t="shared" si="187"/>
        <v>10</v>
      </c>
      <c r="CC69" s="132">
        <f t="shared" si="187"/>
        <v>10</v>
      </c>
      <c r="CD69" s="132">
        <f t="shared" si="187"/>
        <v>10</v>
      </c>
      <c r="CE69" s="132">
        <f t="shared" si="187"/>
        <v>10</v>
      </c>
      <c r="CF69" s="132">
        <f t="shared" si="187"/>
        <v>10</v>
      </c>
      <c r="CG69" s="132">
        <f t="shared" si="187"/>
        <v>10</v>
      </c>
      <c r="CH69" s="132">
        <f t="shared" si="187"/>
        <v>10</v>
      </c>
      <c r="CI69" s="132">
        <f t="shared" si="187"/>
        <v>10</v>
      </c>
      <c r="CJ69" s="132">
        <f t="shared" si="187"/>
        <v>10</v>
      </c>
      <c r="CK69" s="132">
        <f t="shared" si="187"/>
        <v>10</v>
      </c>
      <c r="CL69" s="132">
        <f t="shared" si="188"/>
        <v>10</v>
      </c>
      <c r="CM69" s="132">
        <f t="shared" si="188"/>
        <v>10</v>
      </c>
      <c r="CN69" s="132">
        <f t="shared" si="188"/>
        <v>10</v>
      </c>
      <c r="CO69" s="132">
        <f t="shared" si="188"/>
        <v>10</v>
      </c>
      <c r="CP69" s="132">
        <f t="shared" si="188"/>
        <v>10</v>
      </c>
      <c r="CQ69" s="132">
        <f t="shared" si="188"/>
        <v>10</v>
      </c>
      <c r="CR69" s="132">
        <f t="shared" si="188"/>
        <v>10</v>
      </c>
      <c r="CS69" s="132">
        <f t="shared" si="188"/>
        <v>10</v>
      </c>
      <c r="CT69" s="132">
        <f t="shared" si="188"/>
        <v>10</v>
      </c>
      <c r="CU69" s="132">
        <f t="shared" si="188"/>
        <v>10</v>
      </c>
      <c r="CV69" s="132">
        <f t="shared" si="189"/>
        <v>10</v>
      </c>
      <c r="CW69" s="132">
        <f t="shared" si="189"/>
        <v>10</v>
      </c>
      <c r="CX69" s="132" t="str">
        <f t="shared" si="189"/>
        <v>-</v>
      </c>
      <c r="CY69" s="132" t="str">
        <f t="shared" si="189"/>
        <v>-</v>
      </c>
      <c r="CZ69" s="132" t="str">
        <f t="shared" si="189"/>
        <v>-</v>
      </c>
      <c r="DA69" s="132" t="str">
        <f t="shared" si="189"/>
        <v>-</v>
      </c>
      <c r="DB69" s="132" t="str">
        <f t="shared" si="189"/>
        <v>-</v>
      </c>
      <c r="DC69" s="132" t="str">
        <f t="shared" si="189"/>
        <v>-</v>
      </c>
      <c r="DD69" s="132" t="str">
        <f t="shared" si="189"/>
        <v>-</v>
      </c>
      <c r="DE69" s="132" t="str">
        <f t="shared" si="189"/>
        <v>-</v>
      </c>
      <c r="DF69" s="132" t="str">
        <f t="shared" si="190"/>
        <v>-</v>
      </c>
      <c r="DG69" s="132" t="str">
        <f t="shared" si="190"/>
        <v>-</v>
      </c>
      <c r="DH69" s="132" t="str">
        <f t="shared" si="190"/>
        <v>-</v>
      </c>
      <c r="DI69" s="132" t="str">
        <f t="shared" si="190"/>
        <v>-</v>
      </c>
      <c r="DJ69" s="132" t="str">
        <f t="shared" si="190"/>
        <v>-</v>
      </c>
      <c r="DK69" s="132" t="str">
        <f t="shared" si="190"/>
        <v>-</v>
      </c>
      <c r="DL69" s="132" t="str">
        <f t="shared" si="190"/>
        <v>-</v>
      </c>
      <c r="DM69" s="132" t="str">
        <f t="shared" si="190"/>
        <v>-</v>
      </c>
      <c r="DN69" s="132" t="str">
        <f t="shared" si="190"/>
        <v>-</v>
      </c>
      <c r="DO69" s="132" t="str">
        <f t="shared" si="190"/>
        <v>-</v>
      </c>
      <c r="DP69" s="132" t="str">
        <f t="shared" si="191"/>
        <v>-</v>
      </c>
      <c r="DQ69" s="132" t="str">
        <f t="shared" si="191"/>
        <v>-</v>
      </c>
      <c r="DR69" s="132" t="str">
        <f t="shared" si="191"/>
        <v>-</v>
      </c>
      <c r="DS69" s="132" t="str">
        <f t="shared" si="191"/>
        <v>-</v>
      </c>
      <c r="DT69" s="132" t="str">
        <f t="shared" si="191"/>
        <v>-</v>
      </c>
      <c r="DU69" s="132" t="str">
        <f t="shared" si="191"/>
        <v>-</v>
      </c>
      <c r="DV69" s="132" t="str">
        <f t="shared" si="191"/>
        <v>-</v>
      </c>
      <c r="DW69" s="132" t="str">
        <f t="shared" si="191"/>
        <v>-</v>
      </c>
      <c r="DX69" s="132" t="str">
        <f t="shared" si="191"/>
        <v>-</v>
      </c>
      <c r="DY69" s="132" t="str">
        <f t="shared" si="191"/>
        <v>-</v>
      </c>
      <c r="DZ69" s="132" t="str">
        <f t="shared" si="192"/>
        <v>-</v>
      </c>
      <c r="EA69" s="132" t="str">
        <f t="shared" si="192"/>
        <v>-</v>
      </c>
      <c r="EB69" s="132" t="str">
        <f t="shared" si="192"/>
        <v>-</v>
      </c>
      <c r="EC69" s="132" t="str">
        <f t="shared" si="192"/>
        <v>-</v>
      </c>
      <c r="ED69" s="132" t="str">
        <f t="shared" si="192"/>
        <v>-</v>
      </c>
      <c r="EE69" s="132" t="str">
        <f t="shared" si="192"/>
        <v>-</v>
      </c>
      <c r="EF69" s="132" t="str">
        <f t="shared" si="192"/>
        <v>-</v>
      </c>
      <c r="EG69" s="132" t="str">
        <f t="shared" si="192"/>
        <v>-</v>
      </c>
      <c r="EH69" s="132" t="str">
        <f t="shared" si="192"/>
        <v>-</v>
      </c>
      <c r="EI69" s="132" t="str">
        <f t="shared" si="192"/>
        <v>-</v>
      </c>
      <c r="EJ69" s="132" t="str">
        <f t="shared" si="192"/>
        <v>-</v>
      </c>
      <c r="EK69" s="132" t="str">
        <f t="shared" si="192"/>
        <v>-</v>
      </c>
      <c r="EL69" s="132" t="str">
        <f t="shared" si="192"/>
        <v>-</v>
      </c>
    </row>
    <row r="70" spans="1:144">
      <c r="A70" s="65"/>
      <c r="B70" s="123"/>
      <c r="C70" s="123"/>
      <c r="D70" s="466"/>
      <c r="E70" s="109" t="s">
        <v>68</v>
      </c>
      <c r="F70" s="101">
        <f>SUM(CK70:DQ70)</f>
        <v>250</v>
      </c>
      <c r="G70" s="101">
        <v>39</v>
      </c>
      <c r="H70" s="101"/>
      <c r="I70" s="110" t="e">
        <f>B65-3</f>
        <v>#VALUE!</v>
      </c>
      <c r="J70" s="110"/>
      <c r="K70" s="110"/>
      <c r="L70" s="101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>
        <v>5</v>
      </c>
      <c r="CO70" s="101">
        <v>5</v>
      </c>
      <c r="CP70" s="101">
        <v>5</v>
      </c>
      <c r="CQ70" s="101">
        <v>5</v>
      </c>
      <c r="CR70" s="101">
        <v>5</v>
      </c>
      <c r="CS70" s="101">
        <v>5</v>
      </c>
      <c r="CT70" s="101">
        <v>5</v>
      </c>
      <c r="CU70" s="101">
        <v>5</v>
      </c>
      <c r="CV70" s="101">
        <v>5</v>
      </c>
      <c r="CW70" s="101">
        <v>5</v>
      </c>
      <c r="CX70" s="101">
        <v>5</v>
      </c>
      <c r="CY70" s="101">
        <v>5</v>
      </c>
      <c r="CZ70" s="101">
        <v>5</v>
      </c>
      <c r="DA70" s="101">
        <v>5</v>
      </c>
      <c r="DB70" s="101">
        <v>5</v>
      </c>
      <c r="DC70" s="101">
        <v>5</v>
      </c>
      <c r="DD70" s="101">
        <v>5</v>
      </c>
      <c r="DE70" s="101">
        <v>5</v>
      </c>
      <c r="DF70" s="101">
        <v>5</v>
      </c>
      <c r="DG70" s="101">
        <v>5</v>
      </c>
      <c r="DH70" s="101">
        <v>5</v>
      </c>
      <c r="DI70" s="101">
        <v>5</v>
      </c>
      <c r="DJ70" s="101">
        <v>5</v>
      </c>
      <c r="DK70" s="101">
        <v>5</v>
      </c>
      <c r="DL70" s="101">
        <v>30</v>
      </c>
      <c r="DM70" s="101">
        <v>30</v>
      </c>
      <c r="DN70" s="101">
        <v>30</v>
      </c>
      <c r="DO70" s="101">
        <v>30</v>
      </c>
      <c r="DP70" s="101">
        <v>5</v>
      </c>
      <c r="DQ70" s="101">
        <v>5</v>
      </c>
      <c r="DR70" s="101"/>
      <c r="DS70" s="101"/>
      <c r="DT70" s="101"/>
      <c r="DU70" s="101"/>
      <c r="DV70" s="101"/>
      <c r="DW70" s="101"/>
      <c r="DX70" s="101"/>
      <c r="DY70" s="101"/>
      <c r="DZ70" s="101"/>
      <c r="EA70" s="101"/>
      <c r="EB70" s="101"/>
      <c r="EC70" s="101"/>
      <c r="ED70" s="101"/>
      <c r="EE70" s="101"/>
      <c r="EF70" s="101"/>
      <c r="EG70" s="101"/>
      <c r="EH70" s="101"/>
      <c r="EI70" s="101"/>
      <c r="EJ70" s="101"/>
      <c r="EK70" s="101"/>
      <c r="EL70" s="101"/>
    </row>
    <row r="71" spans="1:144" s="122" customFormat="1">
      <c r="B71" s="156"/>
      <c r="E71" s="150"/>
      <c r="F71" s="150"/>
      <c r="G71" s="152"/>
      <c r="H71" s="152"/>
      <c r="I71" s="153" t="s">
        <v>69</v>
      </c>
      <c r="J71" s="153"/>
      <c r="K71" s="158"/>
      <c r="L71" s="157">
        <f t="shared" ref="L71:AQ71" si="193">SUM(L66:L70)</f>
        <v>0</v>
      </c>
      <c r="M71" s="157">
        <f t="shared" si="193"/>
        <v>0</v>
      </c>
      <c r="N71" s="157">
        <f t="shared" si="193"/>
        <v>0</v>
      </c>
      <c r="O71" s="157">
        <f t="shared" si="193"/>
        <v>0</v>
      </c>
      <c r="P71" s="157">
        <f t="shared" si="193"/>
        <v>0</v>
      </c>
      <c r="Q71" s="157">
        <f t="shared" si="193"/>
        <v>0</v>
      </c>
      <c r="R71" s="157">
        <f t="shared" si="193"/>
        <v>0</v>
      </c>
      <c r="S71" s="157">
        <f t="shared" si="193"/>
        <v>0</v>
      </c>
      <c r="T71" s="157">
        <f t="shared" si="193"/>
        <v>0</v>
      </c>
      <c r="U71" s="157">
        <f t="shared" si="193"/>
        <v>0</v>
      </c>
      <c r="V71" s="157">
        <f t="shared" si="193"/>
        <v>0</v>
      </c>
      <c r="W71" s="157">
        <f t="shared" si="193"/>
        <v>0</v>
      </c>
      <c r="X71" s="157">
        <f t="shared" si="193"/>
        <v>0</v>
      </c>
      <c r="Y71" s="157">
        <f t="shared" si="193"/>
        <v>0</v>
      </c>
      <c r="Z71" s="157">
        <f t="shared" si="193"/>
        <v>0</v>
      </c>
      <c r="AA71" s="157">
        <f t="shared" si="193"/>
        <v>0</v>
      </c>
      <c r="AB71" s="157">
        <f t="shared" si="193"/>
        <v>0</v>
      </c>
      <c r="AC71" s="157">
        <f t="shared" si="193"/>
        <v>0</v>
      </c>
      <c r="AD71" s="157">
        <f t="shared" si="193"/>
        <v>0</v>
      </c>
      <c r="AE71" s="157">
        <f t="shared" si="193"/>
        <v>0</v>
      </c>
      <c r="AF71" s="157">
        <f t="shared" si="193"/>
        <v>0</v>
      </c>
      <c r="AG71" s="157">
        <f t="shared" si="193"/>
        <v>0</v>
      </c>
      <c r="AH71" s="157">
        <f t="shared" si="193"/>
        <v>0</v>
      </c>
      <c r="AI71" s="157">
        <f t="shared" si="193"/>
        <v>0</v>
      </c>
      <c r="AJ71" s="157">
        <f t="shared" si="193"/>
        <v>0</v>
      </c>
      <c r="AK71" s="157">
        <f t="shared" si="193"/>
        <v>0</v>
      </c>
      <c r="AL71" s="157">
        <f t="shared" si="193"/>
        <v>0</v>
      </c>
      <c r="AM71" s="157">
        <f t="shared" si="193"/>
        <v>0</v>
      </c>
      <c r="AN71" s="157">
        <f t="shared" si="193"/>
        <v>0</v>
      </c>
      <c r="AO71" s="157">
        <f t="shared" si="193"/>
        <v>0</v>
      </c>
      <c r="AP71" s="157">
        <f t="shared" si="193"/>
        <v>0</v>
      </c>
      <c r="AQ71" s="157">
        <f t="shared" si="193"/>
        <v>0</v>
      </c>
      <c r="AR71" s="157">
        <f t="shared" ref="AR71:BW71" si="194">SUM(AR66:AR70)</f>
        <v>0</v>
      </c>
      <c r="AS71" s="157">
        <f t="shared" si="194"/>
        <v>0</v>
      </c>
      <c r="AT71" s="157">
        <f t="shared" si="194"/>
        <v>0</v>
      </c>
      <c r="AU71" s="157">
        <f t="shared" si="194"/>
        <v>0</v>
      </c>
      <c r="AV71" s="157">
        <f t="shared" si="194"/>
        <v>0</v>
      </c>
      <c r="AW71" s="157">
        <f t="shared" si="194"/>
        <v>0</v>
      </c>
      <c r="AX71" s="157">
        <f t="shared" si="194"/>
        <v>0</v>
      </c>
      <c r="AY71" s="157">
        <f t="shared" si="194"/>
        <v>0</v>
      </c>
      <c r="AZ71" s="157">
        <f t="shared" si="194"/>
        <v>0</v>
      </c>
      <c r="BA71" s="157">
        <f t="shared" si="194"/>
        <v>0</v>
      </c>
      <c r="BB71" s="157">
        <f t="shared" si="194"/>
        <v>0</v>
      </c>
      <c r="BC71" s="157">
        <f t="shared" si="194"/>
        <v>0</v>
      </c>
      <c r="BD71" s="157">
        <f t="shared" si="194"/>
        <v>0</v>
      </c>
      <c r="BE71" s="157">
        <f t="shared" si="194"/>
        <v>0</v>
      </c>
      <c r="BF71" s="157">
        <f t="shared" si="194"/>
        <v>0</v>
      </c>
      <c r="BG71" s="157">
        <f t="shared" si="194"/>
        <v>0</v>
      </c>
      <c r="BH71" s="157">
        <f t="shared" si="194"/>
        <v>0</v>
      </c>
      <c r="BI71" s="157">
        <f t="shared" si="194"/>
        <v>0</v>
      </c>
      <c r="BJ71" s="157">
        <f t="shared" si="194"/>
        <v>138</v>
      </c>
      <c r="BK71" s="157">
        <f t="shared" si="194"/>
        <v>138</v>
      </c>
      <c r="BL71" s="157">
        <f t="shared" si="194"/>
        <v>141</v>
      </c>
      <c r="BM71" s="157">
        <f t="shared" si="194"/>
        <v>141</v>
      </c>
      <c r="BN71" s="157">
        <f t="shared" si="194"/>
        <v>141</v>
      </c>
      <c r="BO71" s="157">
        <f t="shared" si="194"/>
        <v>151</v>
      </c>
      <c r="BP71" s="157">
        <f t="shared" si="194"/>
        <v>151</v>
      </c>
      <c r="BQ71" s="157">
        <f t="shared" si="194"/>
        <v>151</v>
      </c>
      <c r="BR71" s="157">
        <f t="shared" si="194"/>
        <v>151</v>
      </c>
      <c r="BS71" s="157">
        <f t="shared" si="194"/>
        <v>151</v>
      </c>
      <c r="BT71" s="157">
        <f t="shared" si="194"/>
        <v>151</v>
      </c>
      <c r="BU71" s="157">
        <f t="shared" si="194"/>
        <v>13</v>
      </c>
      <c r="BV71" s="157">
        <f t="shared" si="194"/>
        <v>13</v>
      </c>
      <c r="BW71" s="157">
        <f t="shared" si="194"/>
        <v>13</v>
      </c>
      <c r="BX71" s="157">
        <f t="shared" ref="BX71:DC71" si="195">SUM(BX66:BX70)</f>
        <v>13</v>
      </c>
      <c r="BY71" s="157">
        <f t="shared" si="195"/>
        <v>13</v>
      </c>
      <c r="BZ71" s="157">
        <f t="shared" si="195"/>
        <v>157</v>
      </c>
      <c r="CA71" s="157">
        <f t="shared" si="195"/>
        <v>157</v>
      </c>
      <c r="CB71" s="157">
        <f t="shared" si="195"/>
        <v>157</v>
      </c>
      <c r="CC71" s="157">
        <f t="shared" si="195"/>
        <v>157</v>
      </c>
      <c r="CD71" s="157">
        <f t="shared" si="195"/>
        <v>157</v>
      </c>
      <c r="CE71" s="157">
        <f t="shared" si="195"/>
        <v>157</v>
      </c>
      <c r="CF71" s="157">
        <f t="shared" si="195"/>
        <v>157</v>
      </c>
      <c r="CG71" s="157">
        <f t="shared" si="195"/>
        <v>157</v>
      </c>
      <c r="CH71" s="157">
        <f t="shared" si="195"/>
        <v>157</v>
      </c>
      <c r="CI71" s="157">
        <f t="shared" si="195"/>
        <v>157</v>
      </c>
      <c r="CJ71" s="157">
        <f t="shared" si="195"/>
        <v>157</v>
      </c>
      <c r="CK71" s="157">
        <f t="shared" si="195"/>
        <v>157</v>
      </c>
      <c r="CL71" s="157">
        <f t="shared" si="195"/>
        <v>157</v>
      </c>
      <c r="CM71" s="157">
        <f t="shared" si="195"/>
        <v>154</v>
      </c>
      <c r="CN71" s="157">
        <f t="shared" si="195"/>
        <v>159</v>
      </c>
      <c r="CO71" s="157">
        <f t="shared" si="195"/>
        <v>159</v>
      </c>
      <c r="CP71" s="157">
        <f t="shared" si="195"/>
        <v>159</v>
      </c>
      <c r="CQ71" s="157">
        <f t="shared" si="195"/>
        <v>15</v>
      </c>
      <c r="CR71" s="157">
        <f t="shared" si="195"/>
        <v>15</v>
      </c>
      <c r="CS71" s="157">
        <f t="shared" si="195"/>
        <v>15</v>
      </c>
      <c r="CT71" s="157">
        <f t="shared" si="195"/>
        <v>15</v>
      </c>
      <c r="CU71" s="157">
        <f t="shared" si="195"/>
        <v>15</v>
      </c>
      <c r="CV71" s="157">
        <f t="shared" si="195"/>
        <v>15</v>
      </c>
      <c r="CW71" s="157">
        <f t="shared" si="195"/>
        <v>15</v>
      </c>
      <c r="CX71" s="157">
        <f t="shared" si="195"/>
        <v>5</v>
      </c>
      <c r="CY71" s="157">
        <f t="shared" si="195"/>
        <v>5</v>
      </c>
      <c r="CZ71" s="157">
        <f t="shared" si="195"/>
        <v>5</v>
      </c>
      <c r="DA71" s="157">
        <f t="shared" si="195"/>
        <v>5</v>
      </c>
      <c r="DB71" s="157">
        <f t="shared" si="195"/>
        <v>5</v>
      </c>
      <c r="DC71" s="157">
        <f t="shared" si="195"/>
        <v>5</v>
      </c>
      <c r="DD71" s="157">
        <f t="shared" ref="DD71:EI71" si="196">SUM(DD66:DD70)</f>
        <v>5</v>
      </c>
      <c r="DE71" s="157">
        <f t="shared" si="196"/>
        <v>5</v>
      </c>
      <c r="DF71" s="157">
        <f t="shared" si="196"/>
        <v>5</v>
      </c>
      <c r="DG71" s="157">
        <f t="shared" si="196"/>
        <v>5</v>
      </c>
      <c r="DH71" s="157">
        <f t="shared" si="196"/>
        <v>5</v>
      </c>
      <c r="DI71" s="157">
        <f t="shared" si="196"/>
        <v>5</v>
      </c>
      <c r="DJ71" s="157">
        <f t="shared" si="196"/>
        <v>5</v>
      </c>
      <c r="DK71" s="157">
        <f t="shared" si="196"/>
        <v>5</v>
      </c>
      <c r="DL71" s="157">
        <f t="shared" si="196"/>
        <v>30</v>
      </c>
      <c r="DM71" s="157">
        <f t="shared" si="196"/>
        <v>30</v>
      </c>
      <c r="DN71" s="157">
        <f t="shared" si="196"/>
        <v>30</v>
      </c>
      <c r="DO71" s="157">
        <f t="shared" si="196"/>
        <v>30</v>
      </c>
      <c r="DP71" s="157">
        <f t="shared" si="196"/>
        <v>5</v>
      </c>
      <c r="DQ71" s="157">
        <f t="shared" si="196"/>
        <v>5</v>
      </c>
      <c r="DR71" s="157">
        <f t="shared" si="196"/>
        <v>0</v>
      </c>
      <c r="DS71" s="157">
        <f t="shared" si="196"/>
        <v>0</v>
      </c>
      <c r="DT71" s="157">
        <f t="shared" si="196"/>
        <v>0</v>
      </c>
      <c r="DU71" s="157">
        <f t="shared" si="196"/>
        <v>0</v>
      </c>
      <c r="DV71" s="157">
        <f t="shared" si="196"/>
        <v>0</v>
      </c>
      <c r="DW71" s="157">
        <f t="shared" si="196"/>
        <v>0</v>
      </c>
      <c r="DX71" s="157">
        <f t="shared" si="196"/>
        <v>0</v>
      </c>
      <c r="DY71" s="157">
        <f t="shared" si="196"/>
        <v>0</v>
      </c>
      <c r="DZ71" s="157">
        <f t="shared" si="196"/>
        <v>0</v>
      </c>
      <c r="EA71" s="157">
        <f t="shared" si="196"/>
        <v>0</v>
      </c>
      <c r="EB71" s="157">
        <f t="shared" si="196"/>
        <v>0</v>
      </c>
      <c r="EC71" s="157">
        <f t="shared" si="196"/>
        <v>0</v>
      </c>
      <c r="ED71" s="157">
        <f t="shared" si="196"/>
        <v>0</v>
      </c>
      <c r="EE71" s="157">
        <f t="shared" si="196"/>
        <v>0</v>
      </c>
      <c r="EF71" s="157">
        <f t="shared" si="196"/>
        <v>0</v>
      </c>
      <c r="EG71" s="157">
        <f t="shared" si="196"/>
        <v>0</v>
      </c>
      <c r="EH71" s="157">
        <f t="shared" si="196"/>
        <v>0</v>
      </c>
      <c r="EI71" s="157">
        <f t="shared" si="196"/>
        <v>0</v>
      </c>
      <c r="EJ71" s="157">
        <f t="shared" ref="EJ71:EL71" si="197">SUM(EJ66:EJ70)</f>
        <v>0</v>
      </c>
      <c r="EK71" s="157">
        <f t="shared" si="197"/>
        <v>0</v>
      </c>
      <c r="EL71" s="157">
        <f t="shared" si="197"/>
        <v>0</v>
      </c>
      <c r="EM71" s="160">
        <f>AVERAGE(L71:DN71)</f>
        <v>43.056074766355138</v>
      </c>
      <c r="EN71" s="159">
        <f>MAX(L71:DN71)</f>
        <v>159</v>
      </c>
    </row>
  </sheetData>
  <mergeCells count="36">
    <mergeCell ref="A65:A69"/>
    <mergeCell ref="B65:B69"/>
    <mergeCell ref="C65:C69"/>
    <mergeCell ref="D66:D70"/>
    <mergeCell ref="A49:A53"/>
    <mergeCell ref="B49:B53"/>
    <mergeCell ref="C49:C53"/>
    <mergeCell ref="D50:D54"/>
    <mergeCell ref="A57:A61"/>
    <mergeCell ref="B57:B61"/>
    <mergeCell ref="C57:C61"/>
    <mergeCell ref="D58:D62"/>
    <mergeCell ref="A33:A37"/>
    <mergeCell ref="B33:B37"/>
    <mergeCell ref="C33:C37"/>
    <mergeCell ref="D34:D38"/>
    <mergeCell ref="A41:A45"/>
    <mergeCell ref="B41:B45"/>
    <mergeCell ref="C41:C45"/>
    <mergeCell ref="D42:D46"/>
    <mergeCell ref="A17:A22"/>
    <mergeCell ref="B17:B22"/>
    <mergeCell ref="C17:C22"/>
    <mergeCell ref="D18:D22"/>
    <mergeCell ref="A25:A29"/>
    <mergeCell ref="B25:B29"/>
    <mergeCell ref="C25:C29"/>
    <mergeCell ref="D26:D30"/>
    <mergeCell ref="A2:A6"/>
    <mergeCell ref="B2:B6"/>
    <mergeCell ref="C2:C6"/>
    <mergeCell ref="D2:D6"/>
    <mergeCell ref="A9:A14"/>
    <mergeCell ref="B9:B14"/>
    <mergeCell ref="C9:C14"/>
    <mergeCell ref="D10:D14"/>
  </mergeCells>
  <pageMargins left="0.7" right="0.7" top="0.75" bottom="0.75" header="0.3" footer="0.3"/>
  <pageSetup paperSize="8" scale="1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5DF8-46D6-4BC2-84CB-4E2A3EB0E130}">
  <sheetPr>
    <pageSetUpPr fitToPage="1"/>
  </sheetPr>
  <dimension ref="A1:GZ70"/>
  <sheetViews>
    <sheetView zoomScaleNormal="100" workbookViewId="0">
      <pane xSplit="4" ySplit="1" topLeftCell="E28" activePane="bottomRight" state="frozen"/>
      <selection pane="topRight" activeCell="E1" sqref="E1"/>
      <selection pane="bottomLeft" activeCell="A2" sqref="A2"/>
      <selection pane="bottomRight" activeCell="G57" sqref="G57"/>
    </sheetView>
  </sheetViews>
  <sheetFormatPr defaultRowHeight="13.5"/>
  <cols>
    <col min="2" max="2" width="15.88671875" bestFit="1" customWidth="1"/>
    <col min="3" max="3" width="15.109375" bestFit="1" customWidth="1"/>
    <col min="4" max="4" width="8.5546875" customWidth="1"/>
    <col min="5" max="5" width="14.33203125" customWidth="1"/>
    <col min="6" max="6" width="9.44140625" customWidth="1"/>
    <col min="7" max="7" width="14.33203125" customWidth="1"/>
    <col min="8" max="8" width="10.109375" bestFit="1" customWidth="1"/>
    <col min="9" max="9" width="9.5546875" bestFit="1" customWidth="1"/>
    <col min="10" max="10" width="11.44140625" bestFit="1" customWidth="1"/>
    <col min="11" max="11" width="12" bestFit="1" customWidth="1"/>
    <col min="12" max="13" width="10.109375" customWidth="1"/>
    <col min="14" max="30" width="8.88671875" customWidth="1"/>
    <col min="31" max="53" width="8.5546875" customWidth="1"/>
    <col min="54" max="97" width="9.33203125" customWidth="1"/>
    <col min="98" max="98" width="14.5546875" customWidth="1"/>
    <col min="99" max="99" width="12.33203125" customWidth="1"/>
    <col min="100" max="100" width="9.33203125" customWidth="1"/>
    <col min="101" max="205" width="8.88671875" customWidth="1"/>
    <col min="206" max="206" width="10.109375" customWidth="1"/>
  </cols>
  <sheetData>
    <row r="1" spans="1:208" s="53" customFormat="1" ht="40.5" customHeight="1">
      <c r="A1" s="173" t="s">
        <v>85</v>
      </c>
      <c r="B1" s="128" t="s">
        <v>57</v>
      </c>
      <c r="C1" s="129" t="str">
        <f>'BESS 11'!$G$2</f>
        <v>Trial-Run End Date</v>
      </c>
      <c r="D1" s="129" t="str">
        <f>'BESS 11'!$H$2</f>
        <v>COD</v>
      </c>
      <c r="E1" s="129" t="s">
        <v>10</v>
      </c>
      <c r="F1" s="129" t="s">
        <v>58</v>
      </c>
      <c r="G1" s="129" t="s">
        <v>87</v>
      </c>
      <c r="H1" s="129" t="s">
        <v>78</v>
      </c>
      <c r="I1" s="129" t="s">
        <v>59</v>
      </c>
      <c r="J1" s="129" t="s">
        <v>80</v>
      </c>
      <c r="K1" s="129" t="s">
        <v>62</v>
      </c>
      <c r="L1" s="130">
        <v>46195</v>
      </c>
      <c r="M1" s="130">
        <v>46196</v>
      </c>
      <c r="N1" s="130">
        <f>MIN('BESS 11'!O18:O25,'BESS 11'!O27)</f>
        <v>0</v>
      </c>
      <c r="O1" s="130">
        <f t="shared" ref="O1:AT1" si="0">N1+1</f>
        <v>1</v>
      </c>
      <c r="P1" s="130">
        <f t="shared" si="0"/>
        <v>2</v>
      </c>
      <c r="Q1" s="130">
        <f t="shared" si="0"/>
        <v>3</v>
      </c>
      <c r="R1" s="130">
        <f t="shared" si="0"/>
        <v>4</v>
      </c>
      <c r="S1" s="130">
        <f t="shared" si="0"/>
        <v>5</v>
      </c>
      <c r="T1" s="130">
        <f t="shared" si="0"/>
        <v>6</v>
      </c>
      <c r="U1" s="130">
        <f t="shared" si="0"/>
        <v>7</v>
      </c>
      <c r="V1" s="130">
        <f t="shared" si="0"/>
        <v>8</v>
      </c>
      <c r="W1" s="130">
        <f t="shared" si="0"/>
        <v>9</v>
      </c>
      <c r="X1" s="130">
        <f t="shared" si="0"/>
        <v>10</v>
      </c>
      <c r="Y1" s="130">
        <f t="shared" si="0"/>
        <v>11</v>
      </c>
      <c r="Z1" s="130">
        <f t="shared" si="0"/>
        <v>12</v>
      </c>
      <c r="AA1" s="130">
        <f t="shared" si="0"/>
        <v>13</v>
      </c>
      <c r="AB1" s="130">
        <f t="shared" si="0"/>
        <v>14</v>
      </c>
      <c r="AC1" s="130">
        <f t="shared" si="0"/>
        <v>15</v>
      </c>
      <c r="AD1" s="130">
        <f t="shared" si="0"/>
        <v>16</v>
      </c>
      <c r="AE1" s="130">
        <f t="shared" si="0"/>
        <v>17</v>
      </c>
      <c r="AF1" s="130">
        <f t="shared" si="0"/>
        <v>18</v>
      </c>
      <c r="AG1" s="130">
        <f t="shared" si="0"/>
        <v>19</v>
      </c>
      <c r="AH1" s="130">
        <f t="shared" si="0"/>
        <v>20</v>
      </c>
      <c r="AI1" s="130">
        <f t="shared" si="0"/>
        <v>21</v>
      </c>
      <c r="AJ1" s="130">
        <f t="shared" si="0"/>
        <v>22</v>
      </c>
      <c r="AK1" s="130">
        <f t="shared" si="0"/>
        <v>23</v>
      </c>
      <c r="AL1" s="130">
        <f t="shared" si="0"/>
        <v>24</v>
      </c>
      <c r="AM1" s="130">
        <f t="shared" si="0"/>
        <v>25</v>
      </c>
      <c r="AN1" s="130">
        <f t="shared" si="0"/>
        <v>26</v>
      </c>
      <c r="AO1" s="130">
        <f t="shared" si="0"/>
        <v>27</v>
      </c>
      <c r="AP1" s="130">
        <f t="shared" si="0"/>
        <v>28</v>
      </c>
      <c r="AQ1" s="130">
        <f t="shared" si="0"/>
        <v>29</v>
      </c>
      <c r="AR1" s="130">
        <f t="shared" si="0"/>
        <v>30</v>
      </c>
      <c r="AS1" s="130">
        <f t="shared" si="0"/>
        <v>31</v>
      </c>
      <c r="AT1" s="130">
        <f t="shared" si="0"/>
        <v>32</v>
      </c>
      <c r="AU1" s="130">
        <f t="shared" ref="AU1:BZ1" si="1">AT1+1</f>
        <v>33</v>
      </c>
      <c r="AV1" s="130">
        <f t="shared" si="1"/>
        <v>34</v>
      </c>
      <c r="AW1" s="130">
        <f t="shared" si="1"/>
        <v>35</v>
      </c>
      <c r="AX1" s="130">
        <f t="shared" si="1"/>
        <v>36</v>
      </c>
      <c r="AY1" s="130">
        <f t="shared" si="1"/>
        <v>37</v>
      </c>
      <c r="AZ1" s="130">
        <f t="shared" si="1"/>
        <v>38</v>
      </c>
      <c r="BA1" s="130">
        <f t="shared" si="1"/>
        <v>39</v>
      </c>
      <c r="BB1" s="130">
        <f t="shared" si="1"/>
        <v>40</v>
      </c>
      <c r="BC1" s="130">
        <f t="shared" si="1"/>
        <v>41</v>
      </c>
      <c r="BD1" s="130">
        <f t="shared" si="1"/>
        <v>42</v>
      </c>
      <c r="BE1" s="130">
        <f t="shared" si="1"/>
        <v>43</v>
      </c>
      <c r="BF1" s="130">
        <f t="shared" si="1"/>
        <v>44</v>
      </c>
      <c r="BG1" s="130">
        <f t="shared" si="1"/>
        <v>45</v>
      </c>
      <c r="BH1" s="130">
        <f t="shared" si="1"/>
        <v>46</v>
      </c>
      <c r="BI1" s="130">
        <f t="shared" si="1"/>
        <v>47</v>
      </c>
      <c r="BJ1" s="130">
        <f t="shared" si="1"/>
        <v>48</v>
      </c>
      <c r="BK1" s="130">
        <f t="shared" si="1"/>
        <v>49</v>
      </c>
      <c r="BL1" s="130">
        <f t="shared" si="1"/>
        <v>50</v>
      </c>
      <c r="BM1" s="130">
        <f t="shared" si="1"/>
        <v>51</v>
      </c>
      <c r="BN1" s="130">
        <f t="shared" si="1"/>
        <v>52</v>
      </c>
      <c r="BO1" s="130">
        <f t="shared" si="1"/>
        <v>53</v>
      </c>
      <c r="BP1" s="130">
        <f t="shared" si="1"/>
        <v>54</v>
      </c>
      <c r="BQ1" s="130">
        <f t="shared" si="1"/>
        <v>55</v>
      </c>
      <c r="BR1" s="130">
        <f t="shared" si="1"/>
        <v>56</v>
      </c>
      <c r="BS1" s="130">
        <f t="shared" si="1"/>
        <v>57</v>
      </c>
      <c r="BT1" s="130">
        <f t="shared" si="1"/>
        <v>58</v>
      </c>
      <c r="BU1" s="130">
        <f t="shared" si="1"/>
        <v>59</v>
      </c>
      <c r="BV1" s="130">
        <f t="shared" si="1"/>
        <v>60</v>
      </c>
      <c r="BW1" s="130">
        <f t="shared" si="1"/>
        <v>61</v>
      </c>
      <c r="BX1" s="130">
        <f t="shared" si="1"/>
        <v>62</v>
      </c>
      <c r="BY1" s="130">
        <f t="shared" si="1"/>
        <v>63</v>
      </c>
      <c r="BZ1" s="130">
        <f t="shared" si="1"/>
        <v>64</v>
      </c>
      <c r="CA1" s="130">
        <f t="shared" ref="CA1:CS1" si="2">BZ1+1</f>
        <v>65</v>
      </c>
      <c r="CB1" s="130">
        <f t="shared" si="2"/>
        <v>66</v>
      </c>
      <c r="CC1" s="130">
        <f t="shared" si="2"/>
        <v>67</v>
      </c>
      <c r="CD1" s="130">
        <f t="shared" si="2"/>
        <v>68</v>
      </c>
      <c r="CE1" s="130">
        <f t="shared" si="2"/>
        <v>69</v>
      </c>
      <c r="CF1" s="130">
        <f t="shared" si="2"/>
        <v>70</v>
      </c>
      <c r="CG1" s="130">
        <f t="shared" si="2"/>
        <v>71</v>
      </c>
      <c r="CH1" s="130">
        <f t="shared" si="2"/>
        <v>72</v>
      </c>
      <c r="CI1" s="130">
        <f t="shared" si="2"/>
        <v>73</v>
      </c>
      <c r="CJ1" s="130">
        <f t="shared" si="2"/>
        <v>74</v>
      </c>
      <c r="CK1" s="130">
        <f t="shared" si="2"/>
        <v>75</v>
      </c>
      <c r="CL1" s="130">
        <f t="shared" si="2"/>
        <v>76</v>
      </c>
      <c r="CM1" s="130">
        <f t="shared" si="2"/>
        <v>77</v>
      </c>
      <c r="CN1" s="130">
        <f t="shared" si="2"/>
        <v>78</v>
      </c>
      <c r="CO1" s="130">
        <f t="shared" si="2"/>
        <v>79</v>
      </c>
      <c r="CP1" s="130">
        <f t="shared" si="2"/>
        <v>80</v>
      </c>
      <c r="CQ1" s="130">
        <f t="shared" si="2"/>
        <v>81</v>
      </c>
      <c r="CR1" s="130">
        <f t="shared" si="2"/>
        <v>82</v>
      </c>
      <c r="CS1" s="130">
        <f t="shared" si="2"/>
        <v>83</v>
      </c>
      <c r="CT1" s="131" t="s">
        <v>61</v>
      </c>
      <c r="CU1" s="131" t="s">
        <v>62</v>
      </c>
      <c r="CV1" s="131" t="e">
        <f>CU1+1</f>
        <v>#VALUE!</v>
      </c>
      <c r="CW1" s="131">
        <v>46282</v>
      </c>
      <c r="CX1" s="131">
        <v>46283</v>
      </c>
      <c r="CY1" s="131">
        <v>46284</v>
      </c>
      <c r="CZ1" s="131">
        <v>46285</v>
      </c>
      <c r="DA1" s="131">
        <v>46286</v>
      </c>
      <c r="DB1" s="131">
        <v>46287</v>
      </c>
      <c r="DC1" s="131">
        <v>46288</v>
      </c>
      <c r="DD1" s="131">
        <v>46289</v>
      </c>
      <c r="DE1" s="131">
        <v>46290</v>
      </c>
      <c r="DF1" s="131">
        <v>46291</v>
      </c>
      <c r="DG1" s="131">
        <v>46292</v>
      </c>
      <c r="DH1" s="131">
        <v>46293</v>
      </c>
      <c r="DI1" s="131">
        <v>46294</v>
      </c>
      <c r="DJ1" s="131">
        <v>46295</v>
      </c>
      <c r="DK1" s="131">
        <v>46296</v>
      </c>
      <c r="DL1" s="131">
        <v>46297</v>
      </c>
      <c r="DM1" s="131">
        <v>46298</v>
      </c>
      <c r="DN1" s="131">
        <v>46299</v>
      </c>
      <c r="DO1" s="131">
        <v>46300</v>
      </c>
      <c r="DP1" s="131">
        <v>46301</v>
      </c>
      <c r="DQ1" s="131">
        <v>46302</v>
      </c>
      <c r="DR1" s="131">
        <v>46303</v>
      </c>
      <c r="DS1" s="131">
        <v>46304</v>
      </c>
      <c r="DT1" s="131">
        <v>46305</v>
      </c>
      <c r="DU1" s="131">
        <v>46306</v>
      </c>
      <c r="DV1" s="131">
        <v>46307</v>
      </c>
      <c r="DW1" s="131">
        <v>46308</v>
      </c>
      <c r="DX1" s="131">
        <v>46309</v>
      </c>
      <c r="DY1" s="131">
        <v>46310</v>
      </c>
      <c r="DZ1" s="131">
        <v>46311</v>
      </c>
      <c r="EA1" s="131">
        <v>46312</v>
      </c>
      <c r="EB1" s="131">
        <v>46313</v>
      </c>
      <c r="EC1" s="131">
        <v>46314</v>
      </c>
      <c r="ED1" s="131">
        <v>46315</v>
      </c>
      <c r="EE1" s="131">
        <v>46316</v>
      </c>
      <c r="EF1" s="131">
        <v>46317</v>
      </c>
      <c r="EG1" s="131">
        <v>46318</v>
      </c>
      <c r="EH1" s="131">
        <v>46319</v>
      </c>
      <c r="EI1" s="131">
        <v>46320</v>
      </c>
      <c r="EJ1" s="131">
        <v>46321</v>
      </c>
      <c r="EK1" s="131">
        <v>46322</v>
      </c>
      <c r="EL1" s="131">
        <v>46323</v>
      </c>
      <c r="EM1" s="131">
        <v>46324</v>
      </c>
      <c r="EN1" s="131">
        <v>46325</v>
      </c>
      <c r="EO1" s="131">
        <v>46326</v>
      </c>
      <c r="EP1" s="131">
        <v>46327</v>
      </c>
      <c r="EQ1" s="131">
        <v>46328</v>
      </c>
      <c r="ER1" s="131">
        <v>46329</v>
      </c>
      <c r="ES1" s="131">
        <v>46330</v>
      </c>
      <c r="ET1" s="131">
        <v>46331</v>
      </c>
      <c r="EU1" s="131">
        <v>46332</v>
      </c>
      <c r="EV1" s="131">
        <v>46333</v>
      </c>
      <c r="EW1" s="131">
        <v>46334</v>
      </c>
      <c r="EX1" s="131">
        <v>46335</v>
      </c>
      <c r="EY1" s="131">
        <v>46336</v>
      </c>
      <c r="EZ1" s="131">
        <v>46337</v>
      </c>
      <c r="FA1" s="131">
        <v>46338</v>
      </c>
      <c r="FB1" s="131">
        <v>46339</v>
      </c>
      <c r="FC1" s="131">
        <v>46340</v>
      </c>
      <c r="FD1" s="131">
        <v>46341</v>
      </c>
      <c r="FE1" s="131">
        <v>46342</v>
      </c>
      <c r="FF1" s="131">
        <v>46343</v>
      </c>
      <c r="FG1" s="131">
        <v>46344</v>
      </c>
      <c r="FH1" s="131">
        <v>46345</v>
      </c>
      <c r="FI1" s="131">
        <v>46346</v>
      </c>
      <c r="FJ1" s="131">
        <v>46347</v>
      </c>
      <c r="FK1" s="131">
        <v>46348</v>
      </c>
      <c r="FL1" s="131">
        <v>46349</v>
      </c>
      <c r="FM1" s="131">
        <v>46350</v>
      </c>
      <c r="FN1" s="131">
        <v>46351</v>
      </c>
      <c r="FO1" s="131">
        <v>46352</v>
      </c>
      <c r="FP1" s="131">
        <v>46353</v>
      </c>
      <c r="FQ1" s="131">
        <v>46354</v>
      </c>
      <c r="FR1" s="131">
        <v>46355</v>
      </c>
      <c r="FS1" s="131">
        <v>46356</v>
      </c>
      <c r="FT1" s="131">
        <v>46357</v>
      </c>
      <c r="FU1" s="131">
        <v>46358</v>
      </c>
      <c r="FV1" s="131">
        <v>46359</v>
      </c>
      <c r="FW1" s="131">
        <v>46360</v>
      </c>
      <c r="FX1" s="131">
        <v>46361</v>
      </c>
      <c r="FY1" s="131">
        <v>46362</v>
      </c>
      <c r="FZ1" s="131">
        <v>46363</v>
      </c>
      <c r="GA1" s="131">
        <v>46364</v>
      </c>
      <c r="GB1" s="131">
        <v>46365</v>
      </c>
      <c r="GC1" s="131">
        <v>46366</v>
      </c>
      <c r="GD1" s="131">
        <v>46367</v>
      </c>
      <c r="GE1" s="131">
        <v>46368</v>
      </c>
      <c r="GF1" s="131">
        <v>46369</v>
      </c>
      <c r="GG1" s="131">
        <v>46370</v>
      </c>
      <c r="GH1" s="131">
        <v>46371</v>
      </c>
      <c r="GI1" s="131">
        <v>46372</v>
      </c>
      <c r="GJ1" s="131">
        <v>46373</v>
      </c>
      <c r="GK1" s="131">
        <v>46374</v>
      </c>
      <c r="GL1" s="131">
        <v>46375</v>
      </c>
      <c r="GM1" s="131">
        <v>46376</v>
      </c>
      <c r="GN1" s="131">
        <v>46377</v>
      </c>
      <c r="GO1" s="131">
        <v>46378</v>
      </c>
      <c r="GP1" s="131">
        <v>46379</v>
      </c>
      <c r="GQ1" s="131">
        <v>46380</v>
      </c>
      <c r="GR1" s="131">
        <v>46381</v>
      </c>
      <c r="GS1" s="131">
        <v>46382</v>
      </c>
      <c r="GT1" s="131">
        <v>46383</v>
      </c>
      <c r="GU1" s="131">
        <v>46384</v>
      </c>
      <c r="GV1" s="131">
        <v>46385</v>
      </c>
      <c r="GW1" s="131">
        <v>46386</v>
      </c>
      <c r="GX1" s="131">
        <v>46387</v>
      </c>
      <c r="GZ1" s="167"/>
    </row>
    <row r="2" spans="1:208">
      <c r="A2" s="466" t="s">
        <v>63</v>
      </c>
      <c r="B2" s="465">
        <f>'BESS 12'!F51</f>
        <v>46231</v>
      </c>
      <c r="C2" s="465">
        <f>'BESS 12'!G51</f>
        <v>46236</v>
      </c>
      <c r="D2" s="467">
        <f>'BESS 12'!H51</f>
        <v>46239</v>
      </c>
      <c r="E2" s="109" t="s">
        <v>64</v>
      </c>
      <c r="F2" s="102" t="e">
        <f>SUM('BESS 12'!S64:S71,'BESS 12'!S73)</f>
        <v>#VALUE!</v>
      </c>
      <c r="G2" s="165">
        <f>MAX('BESS 12'!O64:O71)</f>
        <v>0</v>
      </c>
      <c r="H2" s="110">
        <f ca="1">TODAY()</f>
        <v>46233</v>
      </c>
      <c r="I2" s="102">
        <f ca="1">G2-H2</f>
        <v>-46233</v>
      </c>
      <c r="J2" s="506">
        <f ca="1">AVERAGEIF(L7:CP7,"&gt;0")</f>
        <v>8.3333333333333339</v>
      </c>
      <c r="K2" s="506">
        <f ca="1">MAX(L7:CS7)</f>
        <v>30</v>
      </c>
      <c r="L2" s="101" t="str">
        <f t="shared" ref="L2:U5" ca="1" si="3">IF(AND(L$1&gt;=$H2,L$1&lt;($H2+$I2)),ROUND($F2/$I2,0),"-")</f>
        <v>-</v>
      </c>
      <c r="M2" s="101" t="str">
        <f t="shared" ca="1" si="3"/>
        <v>-</v>
      </c>
      <c r="N2" s="101" t="str">
        <f t="shared" ca="1" si="3"/>
        <v>-</v>
      </c>
      <c r="O2" s="101" t="str">
        <f t="shared" ca="1" si="3"/>
        <v>-</v>
      </c>
      <c r="P2" s="101" t="str">
        <f t="shared" ca="1" si="3"/>
        <v>-</v>
      </c>
      <c r="Q2" s="101" t="str">
        <f t="shared" ca="1" si="3"/>
        <v>-</v>
      </c>
      <c r="R2" s="101" t="str">
        <f t="shared" ca="1" si="3"/>
        <v>-</v>
      </c>
      <c r="S2" s="101" t="str">
        <f t="shared" ca="1" si="3"/>
        <v>-</v>
      </c>
      <c r="T2" s="101" t="str">
        <f t="shared" ca="1" si="3"/>
        <v>-</v>
      </c>
      <c r="U2" s="101" t="str">
        <f t="shared" ca="1" si="3"/>
        <v>-</v>
      </c>
      <c r="V2" s="101" t="str">
        <f t="shared" ref="V2:AE5" ca="1" si="4">IF(AND(V$1&gt;=$H2,V$1&lt;($H2+$I2)),ROUND($F2/$I2,0),"-")</f>
        <v>-</v>
      </c>
      <c r="W2" s="101" t="str">
        <f t="shared" ca="1" si="4"/>
        <v>-</v>
      </c>
      <c r="X2" s="101" t="str">
        <f t="shared" ca="1" si="4"/>
        <v>-</v>
      </c>
      <c r="Y2" s="101" t="str">
        <f t="shared" ca="1" si="4"/>
        <v>-</v>
      </c>
      <c r="Z2" s="101" t="str">
        <f t="shared" ca="1" si="4"/>
        <v>-</v>
      </c>
      <c r="AA2" s="101" t="str">
        <f t="shared" ca="1" si="4"/>
        <v>-</v>
      </c>
      <c r="AB2" s="101" t="str">
        <f t="shared" ca="1" si="4"/>
        <v>-</v>
      </c>
      <c r="AC2" s="101" t="str">
        <f t="shared" ca="1" si="4"/>
        <v>-</v>
      </c>
      <c r="AD2" s="101" t="str">
        <f t="shared" ca="1" si="4"/>
        <v>-</v>
      </c>
      <c r="AE2" s="101" t="str">
        <f t="shared" ca="1" si="4"/>
        <v>-</v>
      </c>
      <c r="AF2" s="101" t="str">
        <f t="shared" ref="AF2:AO5" ca="1" si="5">IF(AND(AF$1&gt;=$H2,AF$1&lt;($H2+$I2)),ROUND($F2/$I2,0),"-")</f>
        <v>-</v>
      </c>
      <c r="AG2" s="101" t="str">
        <f t="shared" ca="1" si="5"/>
        <v>-</v>
      </c>
      <c r="AH2" s="101" t="str">
        <f t="shared" ca="1" si="5"/>
        <v>-</v>
      </c>
      <c r="AI2" s="101" t="str">
        <f t="shared" ca="1" si="5"/>
        <v>-</v>
      </c>
      <c r="AJ2" s="101" t="str">
        <f t="shared" ca="1" si="5"/>
        <v>-</v>
      </c>
      <c r="AK2" s="101" t="str">
        <f t="shared" ca="1" si="5"/>
        <v>-</v>
      </c>
      <c r="AL2" s="101" t="str">
        <f t="shared" ca="1" si="5"/>
        <v>-</v>
      </c>
      <c r="AM2" s="101" t="str">
        <f t="shared" ca="1" si="5"/>
        <v>-</v>
      </c>
      <c r="AN2" s="101" t="str">
        <f t="shared" ca="1" si="5"/>
        <v>-</v>
      </c>
      <c r="AO2" s="101" t="str">
        <f t="shared" ca="1" si="5"/>
        <v>-</v>
      </c>
      <c r="AP2" s="101" t="str">
        <f t="shared" ref="AP2:AY5" ca="1" si="6">IF(AND(AP$1&gt;=$H2,AP$1&lt;($H2+$I2)),ROUND($F2/$I2,0),"-")</f>
        <v>-</v>
      </c>
      <c r="AQ2" s="101" t="str">
        <f t="shared" ca="1" si="6"/>
        <v>-</v>
      </c>
      <c r="AR2" s="101" t="str">
        <f t="shared" ca="1" si="6"/>
        <v>-</v>
      </c>
      <c r="AS2" s="101" t="str">
        <f t="shared" ca="1" si="6"/>
        <v>-</v>
      </c>
      <c r="AT2" s="101" t="str">
        <f t="shared" ca="1" si="6"/>
        <v>-</v>
      </c>
      <c r="AU2" s="101" t="str">
        <f t="shared" ca="1" si="6"/>
        <v>-</v>
      </c>
      <c r="AV2" s="101" t="str">
        <f t="shared" ca="1" si="6"/>
        <v>-</v>
      </c>
      <c r="AW2" s="101" t="str">
        <f t="shared" ca="1" si="6"/>
        <v>-</v>
      </c>
      <c r="AX2" s="101" t="str">
        <f t="shared" ca="1" si="6"/>
        <v>-</v>
      </c>
      <c r="AY2" s="101" t="str">
        <f t="shared" ca="1" si="6"/>
        <v>-</v>
      </c>
      <c r="AZ2" s="101" t="str">
        <f t="shared" ref="AZ2:BI5" ca="1" si="7">IF(AND(AZ$1&gt;=$H2,AZ$1&lt;($H2+$I2)),ROUND($F2/$I2,0),"-")</f>
        <v>-</v>
      </c>
      <c r="BA2" s="101" t="str">
        <f t="shared" ca="1" si="7"/>
        <v>-</v>
      </c>
      <c r="BB2" s="101" t="str">
        <f t="shared" ca="1" si="7"/>
        <v>-</v>
      </c>
      <c r="BC2" s="101" t="str">
        <f t="shared" ca="1" si="7"/>
        <v>-</v>
      </c>
      <c r="BD2" s="101" t="str">
        <f t="shared" ca="1" si="7"/>
        <v>-</v>
      </c>
      <c r="BE2" s="101" t="str">
        <f t="shared" ca="1" si="7"/>
        <v>-</v>
      </c>
      <c r="BF2" s="101" t="str">
        <f t="shared" ca="1" si="7"/>
        <v>-</v>
      </c>
      <c r="BG2" s="101" t="str">
        <f t="shared" ca="1" si="7"/>
        <v>-</v>
      </c>
      <c r="BH2" s="101" t="str">
        <f t="shared" ca="1" si="7"/>
        <v>-</v>
      </c>
      <c r="BI2" s="101" t="str">
        <f t="shared" ca="1" si="7"/>
        <v>-</v>
      </c>
      <c r="BJ2" s="101" t="str">
        <f t="shared" ref="BJ2:BS5" ca="1" si="8">IF(AND(BJ$1&gt;=$H2,BJ$1&lt;($H2+$I2)),ROUND($F2/$I2,0),"-")</f>
        <v>-</v>
      </c>
      <c r="BK2" s="101" t="str">
        <f t="shared" ca="1" si="8"/>
        <v>-</v>
      </c>
      <c r="BL2" s="101" t="str">
        <f t="shared" ca="1" si="8"/>
        <v>-</v>
      </c>
      <c r="BM2" s="101" t="str">
        <f t="shared" ca="1" si="8"/>
        <v>-</v>
      </c>
      <c r="BN2" s="101" t="str">
        <f t="shared" ca="1" si="8"/>
        <v>-</v>
      </c>
      <c r="BO2" s="101" t="str">
        <f t="shared" ca="1" si="8"/>
        <v>-</v>
      </c>
      <c r="BP2" s="101" t="str">
        <f t="shared" ca="1" si="8"/>
        <v>-</v>
      </c>
      <c r="BQ2" s="101" t="str">
        <f t="shared" ca="1" si="8"/>
        <v>-</v>
      </c>
      <c r="BR2" s="101" t="str">
        <f t="shared" ca="1" si="8"/>
        <v>-</v>
      </c>
      <c r="BS2" s="101" t="str">
        <f t="shared" ca="1" si="8"/>
        <v>-</v>
      </c>
      <c r="BT2" s="101" t="str">
        <f t="shared" ref="BT2:CC5" ca="1" si="9">IF(AND(BT$1&gt;=$H2,BT$1&lt;($H2+$I2)),ROUND($F2/$I2,0),"-")</f>
        <v>-</v>
      </c>
      <c r="BU2" s="101" t="str">
        <f t="shared" ca="1" si="9"/>
        <v>-</v>
      </c>
      <c r="BV2" s="101" t="str">
        <f t="shared" ca="1" si="9"/>
        <v>-</v>
      </c>
      <c r="BW2" s="101" t="str">
        <f t="shared" ca="1" si="9"/>
        <v>-</v>
      </c>
      <c r="BX2" s="101" t="str">
        <f t="shared" ca="1" si="9"/>
        <v>-</v>
      </c>
      <c r="BY2" s="101" t="str">
        <f t="shared" ca="1" si="9"/>
        <v>-</v>
      </c>
      <c r="BZ2" s="101" t="str">
        <f t="shared" ca="1" si="9"/>
        <v>-</v>
      </c>
      <c r="CA2" s="101" t="str">
        <f t="shared" ca="1" si="9"/>
        <v>-</v>
      </c>
      <c r="CB2" s="101" t="str">
        <f t="shared" ca="1" si="9"/>
        <v>-</v>
      </c>
      <c r="CC2" s="101" t="str">
        <f t="shared" ca="1" si="9"/>
        <v>-</v>
      </c>
      <c r="CD2" s="101" t="str">
        <f t="shared" ref="CD2:CM5" ca="1" si="10">IF(AND(CD$1&gt;=$H2,CD$1&lt;($H2+$I2)),ROUND($F2/$I2,0),"-")</f>
        <v>-</v>
      </c>
      <c r="CE2" s="101" t="str">
        <f t="shared" ca="1" si="10"/>
        <v>-</v>
      </c>
      <c r="CF2" s="101" t="str">
        <f t="shared" ca="1" si="10"/>
        <v>-</v>
      </c>
      <c r="CG2" s="101" t="str">
        <f t="shared" ca="1" si="10"/>
        <v>-</v>
      </c>
      <c r="CH2" s="101" t="str">
        <f t="shared" ca="1" si="10"/>
        <v>-</v>
      </c>
      <c r="CI2" s="101" t="str">
        <f t="shared" ca="1" si="10"/>
        <v>-</v>
      </c>
      <c r="CJ2" s="101" t="str">
        <f t="shared" ca="1" si="10"/>
        <v>-</v>
      </c>
      <c r="CK2" s="101" t="str">
        <f t="shared" ca="1" si="10"/>
        <v>-</v>
      </c>
      <c r="CL2" s="101" t="str">
        <f t="shared" ca="1" si="10"/>
        <v>-</v>
      </c>
      <c r="CM2" s="101" t="str">
        <f t="shared" ca="1" si="10"/>
        <v>-</v>
      </c>
      <c r="CN2" s="101" t="str">
        <f t="shared" ref="CN2:CS5" ca="1" si="11">IF(AND(CN$1&gt;=$H2,CN$1&lt;($H2+$I2)),ROUND($F2/$I2,0),"-")</f>
        <v>-</v>
      </c>
      <c r="CO2" s="101" t="str">
        <f t="shared" ca="1" si="11"/>
        <v>-</v>
      </c>
      <c r="CP2" s="101" t="str">
        <f t="shared" ca="1" si="11"/>
        <v>-</v>
      </c>
      <c r="CQ2" s="101" t="str">
        <f t="shared" ca="1" si="11"/>
        <v>-</v>
      </c>
      <c r="CR2" s="101" t="str">
        <f t="shared" ca="1" si="11"/>
        <v>-</v>
      </c>
      <c r="CS2" s="101" t="str">
        <f t="shared" ca="1" si="11"/>
        <v>-</v>
      </c>
      <c r="GZ2" s="67"/>
    </row>
    <row r="3" spans="1:208">
      <c r="A3" s="466"/>
      <c r="B3" s="466"/>
      <c r="C3" s="466"/>
      <c r="D3" s="466"/>
      <c r="E3" s="109" t="s">
        <v>65</v>
      </c>
      <c r="F3" s="102" t="e">
        <f>SUM('BESS 12'!S74,'BESS 12'!S76:S77,'BESS 12'!S80:S82)</f>
        <v>#VALUE!</v>
      </c>
      <c r="G3" s="165">
        <f>MAX('BESS 12'!O74,'BESS 12'!O76:O77,'BESS 12'!O80:O82)</f>
        <v>0</v>
      </c>
      <c r="H3" s="110">
        <f ca="1">TODAY()</f>
        <v>46233</v>
      </c>
      <c r="I3" s="102">
        <f ca="1">G3-H3</f>
        <v>-46233</v>
      </c>
      <c r="J3" s="507"/>
      <c r="K3" s="476"/>
      <c r="L3" s="101" t="str">
        <f t="shared" ca="1" si="3"/>
        <v>-</v>
      </c>
      <c r="M3" s="101" t="str">
        <f t="shared" ca="1" si="3"/>
        <v>-</v>
      </c>
      <c r="N3" s="101" t="str">
        <f t="shared" ca="1" si="3"/>
        <v>-</v>
      </c>
      <c r="O3" s="101" t="str">
        <f t="shared" ca="1" si="3"/>
        <v>-</v>
      </c>
      <c r="P3" s="101" t="str">
        <f t="shared" ca="1" si="3"/>
        <v>-</v>
      </c>
      <c r="Q3" s="101" t="str">
        <f t="shared" ca="1" si="3"/>
        <v>-</v>
      </c>
      <c r="R3" s="101" t="str">
        <f t="shared" ca="1" si="3"/>
        <v>-</v>
      </c>
      <c r="S3" s="101" t="str">
        <f t="shared" ca="1" si="3"/>
        <v>-</v>
      </c>
      <c r="T3" s="101" t="str">
        <f t="shared" ca="1" si="3"/>
        <v>-</v>
      </c>
      <c r="U3" s="101" t="str">
        <f t="shared" ca="1" si="3"/>
        <v>-</v>
      </c>
      <c r="V3" s="101" t="str">
        <f t="shared" ca="1" si="4"/>
        <v>-</v>
      </c>
      <c r="W3" s="101" t="str">
        <f t="shared" ca="1" si="4"/>
        <v>-</v>
      </c>
      <c r="X3" s="101" t="str">
        <f t="shared" ca="1" si="4"/>
        <v>-</v>
      </c>
      <c r="Y3" s="101" t="str">
        <f t="shared" ca="1" si="4"/>
        <v>-</v>
      </c>
      <c r="Z3" s="101" t="str">
        <f t="shared" ca="1" si="4"/>
        <v>-</v>
      </c>
      <c r="AA3" s="101" t="str">
        <f t="shared" ca="1" si="4"/>
        <v>-</v>
      </c>
      <c r="AB3" s="101" t="str">
        <f t="shared" ca="1" si="4"/>
        <v>-</v>
      </c>
      <c r="AC3" s="101" t="str">
        <f t="shared" ca="1" si="4"/>
        <v>-</v>
      </c>
      <c r="AD3" s="101" t="str">
        <f t="shared" ca="1" si="4"/>
        <v>-</v>
      </c>
      <c r="AE3" s="101" t="str">
        <f t="shared" ca="1" si="4"/>
        <v>-</v>
      </c>
      <c r="AF3" s="101" t="str">
        <f t="shared" ca="1" si="5"/>
        <v>-</v>
      </c>
      <c r="AG3" s="101" t="str">
        <f t="shared" ca="1" si="5"/>
        <v>-</v>
      </c>
      <c r="AH3" s="101" t="str">
        <f t="shared" ca="1" si="5"/>
        <v>-</v>
      </c>
      <c r="AI3" s="101" t="str">
        <f t="shared" ca="1" si="5"/>
        <v>-</v>
      </c>
      <c r="AJ3" s="101" t="str">
        <f t="shared" ca="1" si="5"/>
        <v>-</v>
      </c>
      <c r="AK3" s="101" t="str">
        <f t="shared" ca="1" si="5"/>
        <v>-</v>
      </c>
      <c r="AL3" s="101" t="str">
        <f t="shared" ca="1" si="5"/>
        <v>-</v>
      </c>
      <c r="AM3" s="101" t="str">
        <f t="shared" ca="1" si="5"/>
        <v>-</v>
      </c>
      <c r="AN3" s="101" t="str">
        <f t="shared" ca="1" si="5"/>
        <v>-</v>
      </c>
      <c r="AO3" s="101" t="str">
        <f t="shared" ca="1" si="5"/>
        <v>-</v>
      </c>
      <c r="AP3" s="101" t="str">
        <f t="shared" ca="1" si="6"/>
        <v>-</v>
      </c>
      <c r="AQ3" s="101" t="str">
        <f t="shared" ca="1" si="6"/>
        <v>-</v>
      </c>
      <c r="AR3" s="101" t="str">
        <f t="shared" ca="1" si="6"/>
        <v>-</v>
      </c>
      <c r="AS3" s="101" t="str">
        <f t="shared" ca="1" si="6"/>
        <v>-</v>
      </c>
      <c r="AT3" s="101" t="str">
        <f t="shared" ca="1" si="6"/>
        <v>-</v>
      </c>
      <c r="AU3" s="101" t="str">
        <f t="shared" ca="1" si="6"/>
        <v>-</v>
      </c>
      <c r="AV3" s="101" t="str">
        <f t="shared" ca="1" si="6"/>
        <v>-</v>
      </c>
      <c r="AW3" s="101" t="str">
        <f t="shared" ca="1" si="6"/>
        <v>-</v>
      </c>
      <c r="AX3" s="101" t="str">
        <f t="shared" ca="1" si="6"/>
        <v>-</v>
      </c>
      <c r="AY3" s="101" t="str">
        <f t="shared" ca="1" si="6"/>
        <v>-</v>
      </c>
      <c r="AZ3" s="101" t="str">
        <f t="shared" ca="1" si="7"/>
        <v>-</v>
      </c>
      <c r="BA3" s="101" t="str">
        <f t="shared" ca="1" si="7"/>
        <v>-</v>
      </c>
      <c r="BB3" s="101" t="str">
        <f t="shared" ca="1" si="7"/>
        <v>-</v>
      </c>
      <c r="BC3" s="101" t="str">
        <f t="shared" ca="1" si="7"/>
        <v>-</v>
      </c>
      <c r="BD3" s="101" t="str">
        <f t="shared" ca="1" si="7"/>
        <v>-</v>
      </c>
      <c r="BE3" s="101" t="str">
        <f t="shared" ca="1" si="7"/>
        <v>-</v>
      </c>
      <c r="BF3" s="101" t="str">
        <f t="shared" ca="1" si="7"/>
        <v>-</v>
      </c>
      <c r="BG3" s="101" t="str">
        <f t="shared" ca="1" si="7"/>
        <v>-</v>
      </c>
      <c r="BH3" s="101" t="str">
        <f t="shared" ca="1" si="7"/>
        <v>-</v>
      </c>
      <c r="BI3" s="101" t="str">
        <f t="shared" ca="1" si="7"/>
        <v>-</v>
      </c>
      <c r="BJ3" s="101" t="str">
        <f t="shared" ca="1" si="8"/>
        <v>-</v>
      </c>
      <c r="BK3" s="101" t="str">
        <f t="shared" ca="1" si="8"/>
        <v>-</v>
      </c>
      <c r="BL3" s="101" t="str">
        <f t="shared" ca="1" si="8"/>
        <v>-</v>
      </c>
      <c r="BM3" s="101" t="str">
        <f t="shared" ca="1" si="8"/>
        <v>-</v>
      </c>
      <c r="BN3" s="101" t="str">
        <f t="shared" ca="1" si="8"/>
        <v>-</v>
      </c>
      <c r="BO3" s="101" t="str">
        <f t="shared" ca="1" si="8"/>
        <v>-</v>
      </c>
      <c r="BP3" s="101" t="str">
        <f t="shared" ca="1" si="8"/>
        <v>-</v>
      </c>
      <c r="BQ3" s="101" t="str">
        <f t="shared" ca="1" si="8"/>
        <v>-</v>
      </c>
      <c r="BR3" s="101" t="str">
        <f t="shared" ca="1" si="8"/>
        <v>-</v>
      </c>
      <c r="BS3" s="101" t="str">
        <f t="shared" ca="1" si="8"/>
        <v>-</v>
      </c>
      <c r="BT3" s="101" t="str">
        <f t="shared" ca="1" si="9"/>
        <v>-</v>
      </c>
      <c r="BU3" s="101" t="str">
        <f t="shared" ca="1" si="9"/>
        <v>-</v>
      </c>
      <c r="BV3" s="101" t="str">
        <f t="shared" ca="1" si="9"/>
        <v>-</v>
      </c>
      <c r="BW3" s="101" t="str">
        <f t="shared" ca="1" si="9"/>
        <v>-</v>
      </c>
      <c r="BX3" s="101" t="str">
        <f t="shared" ca="1" si="9"/>
        <v>-</v>
      </c>
      <c r="BY3" s="101" t="str">
        <f t="shared" ca="1" si="9"/>
        <v>-</v>
      </c>
      <c r="BZ3" s="101" t="str">
        <f t="shared" ca="1" si="9"/>
        <v>-</v>
      </c>
      <c r="CA3" s="101" t="str">
        <f t="shared" ca="1" si="9"/>
        <v>-</v>
      </c>
      <c r="CB3" s="101" t="str">
        <f t="shared" ca="1" si="9"/>
        <v>-</v>
      </c>
      <c r="CC3" s="101" t="str">
        <f t="shared" ca="1" si="9"/>
        <v>-</v>
      </c>
      <c r="CD3" s="101" t="str">
        <f t="shared" ca="1" si="10"/>
        <v>-</v>
      </c>
      <c r="CE3" s="101" t="str">
        <f t="shared" ca="1" si="10"/>
        <v>-</v>
      </c>
      <c r="CF3" s="101" t="str">
        <f t="shared" ca="1" si="10"/>
        <v>-</v>
      </c>
      <c r="CG3" s="101" t="str">
        <f t="shared" ca="1" si="10"/>
        <v>-</v>
      </c>
      <c r="CH3" s="101" t="str">
        <f t="shared" ca="1" si="10"/>
        <v>-</v>
      </c>
      <c r="CI3" s="101" t="str">
        <f t="shared" ca="1" si="10"/>
        <v>-</v>
      </c>
      <c r="CJ3" s="101" t="str">
        <f t="shared" ca="1" si="10"/>
        <v>-</v>
      </c>
      <c r="CK3" s="101" t="str">
        <f t="shared" ca="1" si="10"/>
        <v>-</v>
      </c>
      <c r="CL3" s="101" t="str">
        <f t="shared" ca="1" si="10"/>
        <v>-</v>
      </c>
      <c r="CM3" s="101" t="str">
        <f t="shared" ca="1" si="10"/>
        <v>-</v>
      </c>
      <c r="CN3" s="101" t="str">
        <f t="shared" ca="1" si="11"/>
        <v>-</v>
      </c>
      <c r="CO3" s="101" t="str">
        <f t="shared" ca="1" si="11"/>
        <v>-</v>
      </c>
      <c r="CP3" s="101" t="str">
        <f t="shared" ca="1" si="11"/>
        <v>-</v>
      </c>
      <c r="CQ3" s="101" t="str">
        <f t="shared" ca="1" si="11"/>
        <v>-</v>
      </c>
      <c r="CR3" s="101" t="str">
        <f t="shared" ca="1" si="11"/>
        <v>-</v>
      </c>
      <c r="CS3" s="101" t="str">
        <f t="shared" ca="1" si="11"/>
        <v>-</v>
      </c>
    </row>
    <row r="4" spans="1:208">
      <c r="A4" s="466"/>
      <c r="B4" s="466"/>
      <c r="C4" s="466"/>
      <c r="D4" s="466"/>
      <c r="E4" s="109" t="s">
        <v>66</v>
      </c>
      <c r="F4" s="102" t="e">
        <f>SUM('BESS 12'!S75,'BESS 12'!S78:S79,'BESS 12'!S83:S84)</f>
        <v>#VALUE!</v>
      </c>
      <c r="G4" s="165">
        <f>MAX('BESS 12'!O75,'BESS 12'!O78:O79,'BESS 12'!O83:O84)</f>
        <v>46233</v>
      </c>
      <c r="H4" s="110">
        <f ca="1">H3+7</f>
        <v>46240</v>
      </c>
      <c r="I4" s="102">
        <f ca="1">G4-H4</f>
        <v>-7</v>
      </c>
      <c r="J4" s="507"/>
      <c r="K4" s="476"/>
      <c r="L4" s="101" t="str">
        <f t="shared" ca="1" si="3"/>
        <v>-</v>
      </c>
      <c r="M4" s="101" t="str">
        <f t="shared" ca="1" si="3"/>
        <v>-</v>
      </c>
      <c r="N4" s="101" t="str">
        <f t="shared" ca="1" si="3"/>
        <v>-</v>
      </c>
      <c r="O4" s="101" t="str">
        <f t="shared" ca="1" si="3"/>
        <v>-</v>
      </c>
      <c r="P4" s="101" t="str">
        <f t="shared" ca="1" si="3"/>
        <v>-</v>
      </c>
      <c r="Q4" s="101" t="str">
        <f t="shared" ca="1" si="3"/>
        <v>-</v>
      </c>
      <c r="R4" s="101" t="str">
        <f t="shared" ca="1" si="3"/>
        <v>-</v>
      </c>
      <c r="S4" s="101" t="str">
        <f t="shared" ca="1" si="3"/>
        <v>-</v>
      </c>
      <c r="T4" s="101" t="str">
        <f t="shared" ca="1" si="3"/>
        <v>-</v>
      </c>
      <c r="U4" s="101" t="str">
        <f t="shared" ca="1" si="3"/>
        <v>-</v>
      </c>
      <c r="V4" s="101" t="str">
        <f t="shared" ca="1" si="4"/>
        <v>-</v>
      </c>
      <c r="W4" s="101" t="str">
        <f t="shared" ca="1" si="4"/>
        <v>-</v>
      </c>
      <c r="X4" s="101" t="str">
        <f t="shared" ca="1" si="4"/>
        <v>-</v>
      </c>
      <c r="Y4" s="101" t="str">
        <f t="shared" ca="1" si="4"/>
        <v>-</v>
      </c>
      <c r="Z4" s="101" t="str">
        <f t="shared" ca="1" si="4"/>
        <v>-</v>
      </c>
      <c r="AA4" s="101" t="str">
        <f t="shared" ca="1" si="4"/>
        <v>-</v>
      </c>
      <c r="AB4" s="101" t="str">
        <f t="shared" ca="1" si="4"/>
        <v>-</v>
      </c>
      <c r="AC4" s="101" t="str">
        <f t="shared" ca="1" si="4"/>
        <v>-</v>
      </c>
      <c r="AD4" s="101" t="str">
        <f t="shared" ca="1" si="4"/>
        <v>-</v>
      </c>
      <c r="AE4" s="101" t="str">
        <f t="shared" ca="1" si="4"/>
        <v>-</v>
      </c>
      <c r="AF4" s="101" t="str">
        <f t="shared" ca="1" si="5"/>
        <v>-</v>
      </c>
      <c r="AG4" s="101" t="str">
        <f t="shared" ca="1" si="5"/>
        <v>-</v>
      </c>
      <c r="AH4" s="101" t="str">
        <f t="shared" ca="1" si="5"/>
        <v>-</v>
      </c>
      <c r="AI4" s="101" t="str">
        <f t="shared" ca="1" si="5"/>
        <v>-</v>
      </c>
      <c r="AJ4" s="101" t="str">
        <f t="shared" ca="1" si="5"/>
        <v>-</v>
      </c>
      <c r="AK4" s="101" t="str">
        <f t="shared" ca="1" si="5"/>
        <v>-</v>
      </c>
      <c r="AL4" s="101" t="str">
        <f t="shared" ca="1" si="5"/>
        <v>-</v>
      </c>
      <c r="AM4" s="101" t="str">
        <f t="shared" ca="1" si="5"/>
        <v>-</v>
      </c>
      <c r="AN4" s="101" t="str">
        <f t="shared" ca="1" si="5"/>
        <v>-</v>
      </c>
      <c r="AO4" s="101" t="str">
        <f t="shared" ca="1" si="5"/>
        <v>-</v>
      </c>
      <c r="AP4" s="101" t="str">
        <f t="shared" ca="1" si="6"/>
        <v>-</v>
      </c>
      <c r="AQ4" s="101" t="str">
        <f t="shared" ca="1" si="6"/>
        <v>-</v>
      </c>
      <c r="AR4" s="101" t="str">
        <f t="shared" ca="1" si="6"/>
        <v>-</v>
      </c>
      <c r="AS4" s="101" t="str">
        <f t="shared" ca="1" si="6"/>
        <v>-</v>
      </c>
      <c r="AT4" s="101" t="str">
        <f t="shared" ca="1" si="6"/>
        <v>-</v>
      </c>
      <c r="AU4" s="101" t="str">
        <f t="shared" ca="1" si="6"/>
        <v>-</v>
      </c>
      <c r="AV4" s="101" t="str">
        <f t="shared" ca="1" si="6"/>
        <v>-</v>
      </c>
      <c r="AW4" s="101" t="str">
        <f t="shared" ca="1" si="6"/>
        <v>-</v>
      </c>
      <c r="AX4" s="101" t="str">
        <f t="shared" ca="1" si="6"/>
        <v>-</v>
      </c>
      <c r="AY4" s="101" t="str">
        <f t="shared" ca="1" si="6"/>
        <v>-</v>
      </c>
      <c r="AZ4" s="101" t="str">
        <f t="shared" ca="1" si="7"/>
        <v>-</v>
      </c>
      <c r="BA4" s="101" t="str">
        <f t="shared" ca="1" si="7"/>
        <v>-</v>
      </c>
      <c r="BB4" s="101" t="str">
        <f t="shared" ca="1" si="7"/>
        <v>-</v>
      </c>
      <c r="BC4" s="101" t="str">
        <f t="shared" ca="1" si="7"/>
        <v>-</v>
      </c>
      <c r="BD4" s="101" t="str">
        <f t="shared" ca="1" si="7"/>
        <v>-</v>
      </c>
      <c r="BE4" s="101" t="str">
        <f t="shared" ca="1" si="7"/>
        <v>-</v>
      </c>
      <c r="BF4" s="101" t="str">
        <f t="shared" ca="1" si="7"/>
        <v>-</v>
      </c>
      <c r="BG4" s="101" t="str">
        <f t="shared" ca="1" si="7"/>
        <v>-</v>
      </c>
      <c r="BH4" s="101" t="str">
        <f t="shared" ca="1" si="7"/>
        <v>-</v>
      </c>
      <c r="BI4" s="101" t="str">
        <f t="shared" ca="1" si="7"/>
        <v>-</v>
      </c>
      <c r="BJ4" s="101" t="str">
        <f t="shared" ca="1" si="8"/>
        <v>-</v>
      </c>
      <c r="BK4" s="101" t="str">
        <f t="shared" ca="1" si="8"/>
        <v>-</v>
      </c>
      <c r="BL4" s="101" t="str">
        <f t="shared" ca="1" si="8"/>
        <v>-</v>
      </c>
      <c r="BM4" s="101" t="str">
        <f t="shared" ca="1" si="8"/>
        <v>-</v>
      </c>
      <c r="BN4" s="101" t="str">
        <f t="shared" ca="1" si="8"/>
        <v>-</v>
      </c>
      <c r="BO4" s="101" t="str">
        <f t="shared" ca="1" si="8"/>
        <v>-</v>
      </c>
      <c r="BP4" s="101" t="str">
        <f t="shared" ca="1" si="8"/>
        <v>-</v>
      </c>
      <c r="BQ4" s="101" t="str">
        <f t="shared" ca="1" si="8"/>
        <v>-</v>
      </c>
      <c r="BR4" s="101" t="str">
        <f t="shared" ca="1" si="8"/>
        <v>-</v>
      </c>
      <c r="BS4" s="101" t="str">
        <f t="shared" ca="1" si="8"/>
        <v>-</v>
      </c>
      <c r="BT4" s="101" t="str">
        <f t="shared" ca="1" si="9"/>
        <v>-</v>
      </c>
      <c r="BU4" s="101" t="str">
        <f t="shared" ca="1" si="9"/>
        <v>-</v>
      </c>
      <c r="BV4" s="101" t="str">
        <f t="shared" ca="1" si="9"/>
        <v>-</v>
      </c>
      <c r="BW4" s="101" t="str">
        <f t="shared" ca="1" si="9"/>
        <v>-</v>
      </c>
      <c r="BX4" s="101" t="str">
        <f t="shared" ca="1" si="9"/>
        <v>-</v>
      </c>
      <c r="BY4" s="101" t="str">
        <f t="shared" ca="1" si="9"/>
        <v>-</v>
      </c>
      <c r="BZ4" s="101" t="str">
        <f t="shared" ca="1" si="9"/>
        <v>-</v>
      </c>
      <c r="CA4" s="101" t="str">
        <f t="shared" ca="1" si="9"/>
        <v>-</v>
      </c>
      <c r="CB4" s="101" t="str">
        <f t="shared" ca="1" si="9"/>
        <v>-</v>
      </c>
      <c r="CC4" s="101" t="str">
        <f t="shared" ca="1" si="9"/>
        <v>-</v>
      </c>
      <c r="CD4" s="101" t="str">
        <f t="shared" ca="1" si="10"/>
        <v>-</v>
      </c>
      <c r="CE4" s="101" t="str">
        <f t="shared" ca="1" si="10"/>
        <v>-</v>
      </c>
      <c r="CF4" s="101" t="str">
        <f t="shared" ca="1" si="10"/>
        <v>-</v>
      </c>
      <c r="CG4" s="101" t="str">
        <f t="shared" ca="1" si="10"/>
        <v>-</v>
      </c>
      <c r="CH4" s="101" t="str">
        <f t="shared" ca="1" si="10"/>
        <v>-</v>
      </c>
      <c r="CI4" s="101" t="str">
        <f t="shared" ca="1" si="10"/>
        <v>-</v>
      </c>
      <c r="CJ4" s="101" t="str">
        <f t="shared" ca="1" si="10"/>
        <v>-</v>
      </c>
      <c r="CK4" s="101" t="str">
        <f t="shared" ca="1" si="10"/>
        <v>-</v>
      </c>
      <c r="CL4" s="101" t="str">
        <f t="shared" ca="1" si="10"/>
        <v>-</v>
      </c>
      <c r="CM4" s="101" t="str">
        <f t="shared" ca="1" si="10"/>
        <v>-</v>
      </c>
      <c r="CN4" s="101" t="str">
        <f t="shared" ca="1" si="11"/>
        <v>-</v>
      </c>
      <c r="CO4" s="101" t="str">
        <f t="shared" ca="1" si="11"/>
        <v>-</v>
      </c>
      <c r="CP4" s="101" t="str">
        <f t="shared" ca="1" si="11"/>
        <v>-</v>
      </c>
      <c r="CQ4" s="101" t="str">
        <f t="shared" ca="1" si="11"/>
        <v>-</v>
      </c>
      <c r="CR4" s="101" t="str">
        <f t="shared" ca="1" si="11"/>
        <v>-</v>
      </c>
      <c r="CS4" s="101" t="str">
        <f t="shared" ca="1" si="11"/>
        <v>-</v>
      </c>
    </row>
    <row r="5" spans="1:208">
      <c r="A5" s="466"/>
      <c r="B5" s="466"/>
      <c r="C5" s="466"/>
      <c r="D5" s="466"/>
      <c r="E5" s="109" t="s">
        <v>67</v>
      </c>
      <c r="F5" s="102" t="e">
        <f>SUM('BESS 12'!S88:S95)</f>
        <v>#VALUE!</v>
      </c>
      <c r="G5" s="165">
        <f>MAX('BESS 12'!O86:O95)</f>
        <v>46233</v>
      </c>
      <c r="H5" s="110">
        <f>G5-14</f>
        <v>46219</v>
      </c>
      <c r="I5" s="102">
        <f>G5-H5</f>
        <v>14</v>
      </c>
      <c r="J5" s="507"/>
      <c r="K5" s="476"/>
      <c r="L5" s="101" t="str">
        <f t="shared" si="3"/>
        <v>-</v>
      </c>
      <c r="M5" s="101" t="str">
        <f t="shared" si="3"/>
        <v>-</v>
      </c>
      <c r="N5" s="101" t="str">
        <f t="shared" si="3"/>
        <v>-</v>
      </c>
      <c r="O5" s="101" t="str">
        <f t="shared" si="3"/>
        <v>-</v>
      </c>
      <c r="P5" s="101" t="str">
        <f t="shared" si="3"/>
        <v>-</v>
      </c>
      <c r="Q5" s="101" t="str">
        <f t="shared" si="3"/>
        <v>-</v>
      </c>
      <c r="R5" s="101" t="str">
        <f t="shared" si="3"/>
        <v>-</v>
      </c>
      <c r="S5" s="101" t="str">
        <f t="shared" si="3"/>
        <v>-</v>
      </c>
      <c r="T5" s="101" t="str">
        <f t="shared" si="3"/>
        <v>-</v>
      </c>
      <c r="U5" s="101" t="str">
        <f t="shared" si="3"/>
        <v>-</v>
      </c>
      <c r="V5" s="101" t="str">
        <f t="shared" si="4"/>
        <v>-</v>
      </c>
      <c r="W5" s="101" t="str">
        <f t="shared" si="4"/>
        <v>-</v>
      </c>
      <c r="X5" s="101" t="str">
        <f t="shared" si="4"/>
        <v>-</v>
      </c>
      <c r="Y5" s="101" t="str">
        <f t="shared" si="4"/>
        <v>-</v>
      </c>
      <c r="Z5" s="101" t="str">
        <f t="shared" si="4"/>
        <v>-</v>
      </c>
      <c r="AA5" s="101" t="str">
        <f t="shared" si="4"/>
        <v>-</v>
      </c>
      <c r="AB5" s="101" t="str">
        <f t="shared" si="4"/>
        <v>-</v>
      </c>
      <c r="AC5" s="101" t="str">
        <f t="shared" si="4"/>
        <v>-</v>
      </c>
      <c r="AD5" s="101" t="str">
        <f t="shared" si="4"/>
        <v>-</v>
      </c>
      <c r="AE5" s="101" t="str">
        <f t="shared" si="4"/>
        <v>-</v>
      </c>
      <c r="AF5" s="101" t="str">
        <f t="shared" si="5"/>
        <v>-</v>
      </c>
      <c r="AG5" s="101" t="str">
        <f t="shared" si="5"/>
        <v>-</v>
      </c>
      <c r="AH5" s="101" t="str">
        <f t="shared" si="5"/>
        <v>-</v>
      </c>
      <c r="AI5" s="101" t="str">
        <f t="shared" si="5"/>
        <v>-</v>
      </c>
      <c r="AJ5" s="101" t="str">
        <f t="shared" si="5"/>
        <v>-</v>
      </c>
      <c r="AK5" s="101" t="str">
        <f t="shared" si="5"/>
        <v>-</v>
      </c>
      <c r="AL5" s="101" t="str">
        <f t="shared" si="5"/>
        <v>-</v>
      </c>
      <c r="AM5" s="101" t="str">
        <f t="shared" si="5"/>
        <v>-</v>
      </c>
      <c r="AN5" s="101" t="str">
        <f t="shared" si="5"/>
        <v>-</v>
      </c>
      <c r="AO5" s="101" t="str">
        <f t="shared" si="5"/>
        <v>-</v>
      </c>
      <c r="AP5" s="101" t="str">
        <f t="shared" si="6"/>
        <v>-</v>
      </c>
      <c r="AQ5" s="101" t="str">
        <f t="shared" si="6"/>
        <v>-</v>
      </c>
      <c r="AR5" s="101" t="str">
        <f t="shared" si="6"/>
        <v>-</v>
      </c>
      <c r="AS5" s="101" t="str">
        <f t="shared" si="6"/>
        <v>-</v>
      </c>
      <c r="AT5" s="101" t="str">
        <f t="shared" si="6"/>
        <v>-</v>
      </c>
      <c r="AU5" s="101" t="str">
        <f t="shared" si="6"/>
        <v>-</v>
      </c>
      <c r="AV5" s="101" t="str">
        <f t="shared" si="6"/>
        <v>-</v>
      </c>
      <c r="AW5" s="101" t="str">
        <f t="shared" si="6"/>
        <v>-</v>
      </c>
      <c r="AX5" s="101" t="str">
        <f t="shared" si="6"/>
        <v>-</v>
      </c>
      <c r="AY5" s="101" t="str">
        <f t="shared" si="6"/>
        <v>-</v>
      </c>
      <c r="AZ5" s="101" t="str">
        <f t="shared" si="7"/>
        <v>-</v>
      </c>
      <c r="BA5" s="101" t="str">
        <f t="shared" si="7"/>
        <v>-</v>
      </c>
      <c r="BB5" s="101" t="str">
        <f t="shared" si="7"/>
        <v>-</v>
      </c>
      <c r="BC5" s="101" t="str">
        <f t="shared" si="7"/>
        <v>-</v>
      </c>
      <c r="BD5" s="101" t="str">
        <f t="shared" si="7"/>
        <v>-</v>
      </c>
      <c r="BE5" s="101" t="str">
        <f t="shared" si="7"/>
        <v>-</v>
      </c>
      <c r="BF5" s="101" t="str">
        <f t="shared" si="7"/>
        <v>-</v>
      </c>
      <c r="BG5" s="101" t="str">
        <f t="shared" si="7"/>
        <v>-</v>
      </c>
      <c r="BH5" s="101" t="str">
        <f t="shared" si="7"/>
        <v>-</v>
      </c>
      <c r="BI5" s="101" t="str">
        <f t="shared" si="7"/>
        <v>-</v>
      </c>
      <c r="BJ5" s="101" t="str">
        <f t="shared" si="8"/>
        <v>-</v>
      </c>
      <c r="BK5" s="101" t="str">
        <f t="shared" si="8"/>
        <v>-</v>
      </c>
      <c r="BL5" s="101" t="str">
        <f t="shared" si="8"/>
        <v>-</v>
      </c>
      <c r="BM5" s="101" t="str">
        <f t="shared" si="8"/>
        <v>-</v>
      </c>
      <c r="BN5" s="101" t="str">
        <f t="shared" si="8"/>
        <v>-</v>
      </c>
      <c r="BO5" s="101" t="str">
        <f t="shared" si="8"/>
        <v>-</v>
      </c>
      <c r="BP5" s="101" t="str">
        <f t="shared" si="8"/>
        <v>-</v>
      </c>
      <c r="BQ5" s="101" t="str">
        <f t="shared" si="8"/>
        <v>-</v>
      </c>
      <c r="BR5" s="101" t="str">
        <f t="shared" si="8"/>
        <v>-</v>
      </c>
      <c r="BS5" s="101" t="str">
        <f t="shared" si="8"/>
        <v>-</v>
      </c>
      <c r="BT5" s="101" t="str">
        <f t="shared" si="9"/>
        <v>-</v>
      </c>
      <c r="BU5" s="101" t="str">
        <f t="shared" si="9"/>
        <v>-</v>
      </c>
      <c r="BV5" s="101" t="str">
        <f t="shared" si="9"/>
        <v>-</v>
      </c>
      <c r="BW5" s="101" t="str">
        <f t="shared" si="9"/>
        <v>-</v>
      </c>
      <c r="BX5" s="101" t="str">
        <f t="shared" si="9"/>
        <v>-</v>
      </c>
      <c r="BY5" s="101" t="str">
        <f t="shared" si="9"/>
        <v>-</v>
      </c>
      <c r="BZ5" s="101" t="str">
        <f t="shared" si="9"/>
        <v>-</v>
      </c>
      <c r="CA5" s="101" t="str">
        <f t="shared" si="9"/>
        <v>-</v>
      </c>
      <c r="CB5" s="101" t="str">
        <f t="shared" si="9"/>
        <v>-</v>
      </c>
      <c r="CC5" s="101" t="str">
        <f t="shared" si="9"/>
        <v>-</v>
      </c>
      <c r="CD5" s="101" t="str">
        <f t="shared" si="10"/>
        <v>-</v>
      </c>
      <c r="CE5" s="101" t="str">
        <f t="shared" si="10"/>
        <v>-</v>
      </c>
      <c r="CF5" s="101" t="str">
        <f t="shared" si="10"/>
        <v>-</v>
      </c>
      <c r="CG5" s="101" t="str">
        <f t="shared" si="10"/>
        <v>-</v>
      </c>
      <c r="CH5" s="101" t="str">
        <f t="shared" si="10"/>
        <v>-</v>
      </c>
      <c r="CI5" s="101" t="str">
        <f t="shared" si="10"/>
        <v>-</v>
      </c>
      <c r="CJ5" s="101" t="str">
        <f t="shared" si="10"/>
        <v>-</v>
      </c>
      <c r="CK5" s="101" t="str">
        <f t="shared" si="10"/>
        <v>-</v>
      </c>
      <c r="CL5" s="101" t="str">
        <f t="shared" si="10"/>
        <v>-</v>
      </c>
      <c r="CM5" s="101" t="str">
        <f t="shared" si="10"/>
        <v>-</v>
      </c>
      <c r="CN5" s="101" t="str">
        <f t="shared" si="11"/>
        <v>-</v>
      </c>
      <c r="CO5" s="101" t="str">
        <f t="shared" si="11"/>
        <v>-</v>
      </c>
      <c r="CP5" s="101" t="str">
        <f t="shared" si="11"/>
        <v>-</v>
      </c>
      <c r="CQ5" s="101" t="str">
        <f t="shared" si="11"/>
        <v>-</v>
      </c>
      <c r="CR5" s="101" t="str">
        <f t="shared" si="11"/>
        <v>-</v>
      </c>
      <c r="CS5" s="101" t="str">
        <f t="shared" si="11"/>
        <v>-</v>
      </c>
    </row>
    <row r="6" spans="1:208">
      <c r="A6" s="466"/>
      <c r="B6" s="466"/>
      <c r="C6" s="466"/>
      <c r="D6" s="466"/>
      <c r="E6" s="109" t="s">
        <v>68</v>
      </c>
      <c r="F6" s="101">
        <v>250</v>
      </c>
      <c r="G6" s="165">
        <f>B2-3</f>
        <v>46228</v>
      </c>
      <c r="H6" s="110"/>
      <c r="I6" s="101">
        <v>30</v>
      </c>
      <c r="J6" s="508"/>
      <c r="K6" s="504"/>
      <c r="L6" s="110"/>
      <c r="M6" s="110"/>
      <c r="N6" s="101"/>
      <c r="O6" s="102"/>
      <c r="P6" s="102"/>
      <c r="Q6" s="102"/>
      <c r="R6" s="102"/>
      <c r="S6" s="102"/>
      <c r="T6" s="102"/>
      <c r="U6" s="102"/>
      <c r="V6" s="102"/>
      <c r="W6" s="102">
        <v>5</v>
      </c>
      <c r="X6" s="102">
        <v>5</v>
      </c>
      <c r="Y6" s="102">
        <v>5</v>
      </c>
      <c r="Z6" s="102">
        <v>5</v>
      </c>
      <c r="AA6" s="102">
        <v>5</v>
      </c>
      <c r="AB6" s="102">
        <v>5</v>
      </c>
      <c r="AC6" s="102">
        <v>5</v>
      </c>
      <c r="AD6" s="102">
        <v>5</v>
      </c>
      <c r="AE6" s="102">
        <v>5</v>
      </c>
      <c r="AF6" s="102">
        <v>5</v>
      </c>
      <c r="AG6" s="102">
        <v>5</v>
      </c>
      <c r="AH6" s="102">
        <v>5</v>
      </c>
      <c r="AI6" s="102">
        <v>5</v>
      </c>
      <c r="AJ6" s="102">
        <v>5</v>
      </c>
      <c r="AK6" s="102">
        <v>5</v>
      </c>
      <c r="AL6" s="102">
        <v>5</v>
      </c>
      <c r="AM6" s="102">
        <v>5</v>
      </c>
      <c r="AN6" s="102">
        <v>5</v>
      </c>
      <c r="AO6" s="102">
        <v>5</v>
      </c>
      <c r="AP6" s="102">
        <v>5</v>
      </c>
      <c r="AQ6" s="102">
        <v>5</v>
      </c>
      <c r="AR6" s="102">
        <v>5</v>
      </c>
      <c r="AS6" s="102">
        <v>5</v>
      </c>
      <c r="AT6" s="102">
        <v>5</v>
      </c>
      <c r="AU6" s="102">
        <v>30</v>
      </c>
      <c r="AV6" s="102">
        <v>30</v>
      </c>
      <c r="AW6" s="102">
        <v>30</v>
      </c>
      <c r="AX6" s="102">
        <v>30</v>
      </c>
      <c r="AY6" s="102">
        <v>5</v>
      </c>
      <c r="AZ6" s="102">
        <v>5</v>
      </c>
      <c r="BA6" s="102"/>
      <c r="BB6" s="102"/>
      <c r="BC6" s="102"/>
      <c r="BD6" s="102"/>
      <c r="BE6" s="102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M6" s="109"/>
      <c r="CN6" s="109"/>
      <c r="CO6" s="109"/>
      <c r="CP6" s="109"/>
      <c r="CQ6" s="109"/>
      <c r="CR6" s="109"/>
      <c r="CS6" s="109"/>
    </row>
    <row r="7" spans="1:208">
      <c r="A7" s="120"/>
      <c r="B7" s="125"/>
      <c r="C7" s="125"/>
      <c r="D7" s="120"/>
      <c r="E7" s="120"/>
      <c r="F7" s="170"/>
      <c r="G7" s="120"/>
      <c r="H7" s="112" t="s">
        <v>69</v>
      </c>
      <c r="I7" s="121"/>
      <c r="J7" s="120"/>
      <c r="K7" s="120"/>
      <c r="L7" s="113">
        <f t="shared" ref="L7:AZ7" ca="1" si="12">SUM(L2:L6)</f>
        <v>0</v>
      </c>
      <c r="M7" s="113">
        <f t="shared" ca="1" si="12"/>
        <v>0</v>
      </c>
      <c r="N7" s="113">
        <f t="shared" ca="1" si="12"/>
        <v>0</v>
      </c>
      <c r="O7" s="113">
        <f t="shared" ca="1" si="12"/>
        <v>0</v>
      </c>
      <c r="P7" s="113">
        <f t="shared" ca="1" si="12"/>
        <v>0</v>
      </c>
      <c r="Q7" s="113">
        <f t="shared" ca="1" si="12"/>
        <v>0</v>
      </c>
      <c r="R7" s="113">
        <f t="shared" ca="1" si="12"/>
        <v>0</v>
      </c>
      <c r="S7" s="113">
        <f t="shared" ca="1" si="12"/>
        <v>0</v>
      </c>
      <c r="T7" s="113">
        <f t="shared" ca="1" si="12"/>
        <v>0</v>
      </c>
      <c r="U7" s="113">
        <f t="shared" ca="1" si="12"/>
        <v>0</v>
      </c>
      <c r="V7" s="113">
        <f t="shared" ca="1" si="12"/>
        <v>0</v>
      </c>
      <c r="W7" s="113">
        <f t="shared" ca="1" si="12"/>
        <v>5</v>
      </c>
      <c r="X7" s="113">
        <f t="shared" ca="1" si="12"/>
        <v>5</v>
      </c>
      <c r="Y7" s="113">
        <f t="shared" ca="1" si="12"/>
        <v>5</v>
      </c>
      <c r="Z7" s="113">
        <f t="shared" ca="1" si="12"/>
        <v>5</v>
      </c>
      <c r="AA7" s="113">
        <f t="shared" ca="1" si="12"/>
        <v>5</v>
      </c>
      <c r="AB7" s="113">
        <f t="shared" ca="1" si="12"/>
        <v>5</v>
      </c>
      <c r="AC7" s="113">
        <f t="shared" ca="1" si="12"/>
        <v>5</v>
      </c>
      <c r="AD7" s="113">
        <f t="shared" ca="1" si="12"/>
        <v>5</v>
      </c>
      <c r="AE7" s="113">
        <f t="shared" ca="1" si="12"/>
        <v>5</v>
      </c>
      <c r="AF7" s="113">
        <f t="shared" ca="1" si="12"/>
        <v>5</v>
      </c>
      <c r="AG7" s="113">
        <f t="shared" ca="1" si="12"/>
        <v>5</v>
      </c>
      <c r="AH7" s="113">
        <f t="shared" ca="1" si="12"/>
        <v>5</v>
      </c>
      <c r="AI7" s="113">
        <f t="shared" ca="1" si="12"/>
        <v>5</v>
      </c>
      <c r="AJ7" s="113">
        <f t="shared" ca="1" si="12"/>
        <v>5</v>
      </c>
      <c r="AK7" s="113">
        <f t="shared" ca="1" si="12"/>
        <v>5</v>
      </c>
      <c r="AL7" s="113">
        <f t="shared" ca="1" si="12"/>
        <v>5</v>
      </c>
      <c r="AM7" s="113">
        <f t="shared" ca="1" si="12"/>
        <v>5</v>
      </c>
      <c r="AN7" s="113">
        <f t="shared" ca="1" si="12"/>
        <v>5</v>
      </c>
      <c r="AO7" s="113">
        <f t="shared" ca="1" si="12"/>
        <v>5</v>
      </c>
      <c r="AP7" s="113">
        <f t="shared" ca="1" si="12"/>
        <v>5</v>
      </c>
      <c r="AQ7" s="113">
        <f t="shared" ca="1" si="12"/>
        <v>5</v>
      </c>
      <c r="AR7" s="113">
        <f t="shared" ca="1" si="12"/>
        <v>5</v>
      </c>
      <c r="AS7" s="113">
        <f t="shared" ca="1" si="12"/>
        <v>5</v>
      </c>
      <c r="AT7" s="113">
        <f t="shared" ca="1" si="12"/>
        <v>5</v>
      </c>
      <c r="AU7" s="113">
        <f t="shared" ca="1" si="12"/>
        <v>30</v>
      </c>
      <c r="AV7" s="113">
        <f t="shared" ca="1" si="12"/>
        <v>30</v>
      </c>
      <c r="AW7" s="113">
        <f t="shared" ca="1" si="12"/>
        <v>30</v>
      </c>
      <c r="AX7" s="113">
        <f t="shared" ca="1" si="12"/>
        <v>30</v>
      </c>
      <c r="AY7" s="113">
        <f t="shared" ca="1" si="12"/>
        <v>5</v>
      </c>
      <c r="AZ7" s="113">
        <f t="shared" ca="1" si="12"/>
        <v>5</v>
      </c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72">
        <f ca="1">AVERAGE(L7:BB7)</f>
        <v>6.0975609756097562</v>
      </c>
      <c r="CU7" s="160">
        <f ca="1">MAX(L7:BB7)</f>
        <v>30</v>
      </c>
    </row>
    <row r="8" spans="1:208">
      <c r="A8" s="503" t="s">
        <v>70</v>
      </c>
      <c r="B8" s="458" t="str">
        <f>'BESS 12'!F96</f>
        <v>31 Jul
02 Aug</v>
      </c>
      <c r="C8" s="458" t="str">
        <f>'BESS 12'!G96</f>
        <v>05 Aug
07 Aug</v>
      </c>
      <c r="D8" s="114"/>
      <c r="E8" s="114" t="s">
        <v>10</v>
      </c>
      <c r="F8" s="115" t="s">
        <v>58</v>
      </c>
      <c r="G8" s="129" t="s">
        <v>87</v>
      </c>
      <c r="H8" s="129" t="s">
        <v>78</v>
      </c>
      <c r="I8" s="115" t="s">
        <v>59</v>
      </c>
      <c r="J8" s="115"/>
      <c r="K8" s="115"/>
      <c r="L8" s="116">
        <v>46195</v>
      </c>
      <c r="M8" s="116">
        <v>46196</v>
      </c>
      <c r="N8" s="116">
        <f>MIN('BESS 11'!O26:O33,'BESS 11'!O35)</f>
        <v>0</v>
      </c>
      <c r="O8" s="116">
        <f t="shared" ref="O8:AT8" si="13">N8+1</f>
        <v>1</v>
      </c>
      <c r="P8" s="116">
        <f t="shared" si="13"/>
        <v>2</v>
      </c>
      <c r="Q8" s="116">
        <f t="shared" si="13"/>
        <v>3</v>
      </c>
      <c r="R8" s="116">
        <f t="shared" si="13"/>
        <v>4</v>
      </c>
      <c r="S8" s="116">
        <f t="shared" si="13"/>
        <v>5</v>
      </c>
      <c r="T8" s="116">
        <f t="shared" si="13"/>
        <v>6</v>
      </c>
      <c r="U8" s="116">
        <f t="shared" si="13"/>
        <v>7</v>
      </c>
      <c r="V8" s="116">
        <f t="shared" si="13"/>
        <v>8</v>
      </c>
      <c r="W8" s="116">
        <f t="shared" si="13"/>
        <v>9</v>
      </c>
      <c r="X8" s="116">
        <f t="shared" si="13"/>
        <v>10</v>
      </c>
      <c r="Y8" s="116">
        <f t="shared" si="13"/>
        <v>11</v>
      </c>
      <c r="Z8" s="116">
        <f t="shared" si="13"/>
        <v>12</v>
      </c>
      <c r="AA8" s="116">
        <f t="shared" si="13"/>
        <v>13</v>
      </c>
      <c r="AB8" s="116">
        <f t="shared" si="13"/>
        <v>14</v>
      </c>
      <c r="AC8" s="116">
        <f t="shared" si="13"/>
        <v>15</v>
      </c>
      <c r="AD8" s="116">
        <f t="shared" si="13"/>
        <v>16</v>
      </c>
      <c r="AE8" s="116">
        <f t="shared" si="13"/>
        <v>17</v>
      </c>
      <c r="AF8" s="116">
        <f t="shared" si="13"/>
        <v>18</v>
      </c>
      <c r="AG8" s="116">
        <f t="shared" si="13"/>
        <v>19</v>
      </c>
      <c r="AH8" s="116">
        <f t="shared" si="13"/>
        <v>20</v>
      </c>
      <c r="AI8" s="116">
        <f t="shared" si="13"/>
        <v>21</v>
      </c>
      <c r="AJ8" s="116">
        <f t="shared" si="13"/>
        <v>22</v>
      </c>
      <c r="AK8" s="116">
        <f t="shared" si="13"/>
        <v>23</v>
      </c>
      <c r="AL8" s="116">
        <f t="shared" si="13"/>
        <v>24</v>
      </c>
      <c r="AM8" s="116">
        <f t="shared" si="13"/>
        <v>25</v>
      </c>
      <c r="AN8" s="116">
        <f t="shared" si="13"/>
        <v>26</v>
      </c>
      <c r="AO8" s="116">
        <f t="shared" si="13"/>
        <v>27</v>
      </c>
      <c r="AP8" s="116">
        <f t="shared" si="13"/>
        <v>28</v>
      </c>
      <c r="AQ8" s="116">
        <f t="shared" si="13"/>
        <v>29</v>
      </c>
      <c r="AR8" s="116">
        <f t="shared" si="13"/>
        <v>30</v>
      </c>
      <c r="AS8" s="116">
        <f t="shared" si="13"/>
        <v>31</v>
      </c>
      <c r="AT8" s="116">
        <f t="shared" si="13"/>
        <v>32</v>
      </c>
      <c r="AU8" s="116">
        <f t="shared" ref="AU8:BZ8" si="14">AT8+1</f>
        <v>33</v>
      </c>
      <c r="AV8" s="116">
        <f t="shared" si="14"/>
        <v>34</v>
      </c>
      <c r="AW8" s="116">
        <f t="shared" si="14"/>
        <v>35</v>
      </c>
      <c r="AX8" s="116">
        <f t="shared" si="14"/>
        <v>36</v>
      </c>
      <c r="AY8" s="116">
        <f t="shared" si="14"/>
        <v>37</v>
      </c>
      <c r="AZ8" s="116">
        <f t="shared" si="14"/>
        <v>38</v>
      </c>
      <c r="BA8" s="116">
        <f t="shared" si="14"/>
        <v>39</v>
      </c>
      <c r="BB8" s="116">
        <f t="shared" si="14"/>
        <v>40</v>
      </c>
      <c r="BC8" s="116">
        <f t="shared" si="14"/>
        <v>41</v>
      </c>
      <c r="BD8" s="116">
        <f t="shared" si="14"/>
        <v>42</v>
      </c>
      <c r="BE8" s="116">
        <f t="shared" si="14"/>
        <v>43</v>
      </c>
      <c r="BF8" s="116">
        <f t="shared" si="14"/>
        <v>44</v>
      </c>
      <c r="BG8" s="116">
        <f t="shared" si="14"/>
        <v>45</v>
      </c>
      <c r="BH8" s="116">
        <f t="shared" si="14"/>
        <v>46</v>
      </c>
      <c r="BI8" s="116">
        <f t="shared" si="14"/>
        <v>47</v>
      </c>
      <c r="BJ8" s="116">
        <f t="shared" si="14"/>
        <v>48</v>
      </c>
      <c r="BK8" s="116">
        <f t="shared" si="14"/>
        <v>49</v>
      </c>
      <c r="BL8" s="116">
        <f t="shared" si="14"/>
        <v>50</v>
      </c>
      <c r="BM8" s="116">
        <f t="shared" si="14"/>
        <v>51</v>
      </c>
      <c r="BN8" s="116">
        <f t="shared" si="14"/>
        <v>52</v>
      </c>
      <c r="BO8" s="116">
        <f t="shared" si="14"/>
        <v>53</v>
      </c>
      <c r="BP8" s="116">
        <f t="shared" si="14"/>
        <v>54</v>
      </c>
      <c r="BQ8" s="116">
        <f t="shared" si="14"/>
        <v>55</v>
      </c>
      <c r="BR8" s="116">
        <f t="shared" si="14"/>
        <v>56</v>
      </c>
      <c r="BS8" s="116">
        <f t="shared" si="14"/>
        <v>57</v>
      </c>
      <c r="BT8" s="116">
        <f t="shared" si="14"/>
        <v>58</v>
      </c>
      <c r="BU8" s="116">
        <f t="shared" si="14"/>
        <v>59</v>
      </c>
      <c r="BV8" s="116">
        <f t="shared" si="14"/>
        <v>60</v>
      </c>
      <c r="BW8" s="116">
        <f t="shared" si="14"/>
        <v>61</v>
      </c>
      <c r="BX8" s="116">
        <f t="shared" si="14"/>
        <v>62</v>
      </c>
      <c r="BY8" s="116">
        <f t="shared" si="14"/>
        <v>63</v>
      </c>
      <c r="BZ8" s="116">
        <f t="shared" si="14"/>
        <v>64</v>
      </c>
      <c r="CA8" s="116">
        <f t="shared" ref="CA8:CS8" si="15">BZ8+1</f>
        <v>65</v>
      </c>
      <c r="CB8" s="116">
        <f t="shared" si="15"/>
        <v>66</v>
      </c>
      <c r="CC8" s="116">
        <f t="shared" si="15"/>
        <v>67</v>
      </c>
      <c r="CD8" s="116">
        <f t="shared" si="15"/>
        <v>68</v>
      </c>
      <c r="CE8" s="116">
        <f t="shared" si="15"/>
        <v>69</v>
      </c>
      <c r="CF8" s="116">
        <f t="shared" si="15"/>
        <v>70</v>
      </c>
      <c r="CG8" s="116">
        <f t="shared" si="15"/>
        <v>71</v>
      </c>
      <c r="CH8" s="116">
        <f t="shared" si="15"/>
        <v>72</v>
      </c>
      <c r="CI8" s="116">
        <f t="shared" si="15"/>
        <v>73</v>
      </c>
      <c r="CJ8" s="116">
        <f t="shared" si="15"/>
        <v>74</v>
      </c>
      <c r="CK8" s="116">
        <f t="shared" si="15"/>
        <v>75</v>
      </c>
      <c r="CL8" s="116">
        <f t="shared" si="15"/>
        <v>76</v>
      </c>
      <c r="CM8" s="116">
        <f t="shared" si="15"/>
        <v>77</v>
      </c>
      <c r="CN8" s="116">
        <f t="shared" si="15"/>
        <v>78</v>
      </c>
      <c r="CO8" s="116">
        <f t="shared" si="15"/>
        <v>79</v>
      </c>
      <c r="CP8" s="116">
        <f t="shared" si="15"/>
        <v>80</v>
      </c>
      <c r="CQ8" s="116">
        <f t="shared" si="15"/>
        <v>81</v>
      </c>
      <c r="CR8" s="116">
        <f t="shared" si="15"/>
        <v>82</v>
      </c>
      <c r="CS8" s="116">
        <f t="shared" si="15"/>
        <v>83</v>
      </c>
    </row>
    <row r="9" spans="1:208">
      <c r="A9" s="476"/>
      <c r="B9" s="459"/>
      <c r="C9" s="459"/>
      <c r="D9" s="467" t="str">
        <f>'BESS 12'!H96</f>
        <v>08 Aug
10 Aug</v>
      </c>
      <c r="E9" s="109" t="s">
        <v>64</v>
      </c>
      <c r="F9" s="102" t="e">
        <f>SUM('BESS 12'!S109:S116,'BESS 12'!S118)</f>
        <v>#VALUE!</v>
      </c>
      <c r="G9" s="165">
        <f>MAX('BESS 11'!O64:O71,'BESS 11'!O73)</f>
        <v>46233</v>
      </c>
      <c r="H9" s="110">
        <f t="shared" ref="H9:H10" ca="1" si="16">TODAY()</f>
        <v>46233</v>
      </c>
      <c r="I9" s="102">
        <f ca="1">G9-H9</f>
        <v>0</v>
      </c>
      <c r="J9" s="506">
        <f ca="1">AVERAGEIF(L14:CP14,"&gt;0")</f>
        <v>8.3333333333333339</v>
      </c>
      <c r="K9" s="506">
        <f ca="1">MAX(L14:CS14)</f>
        <v>30</v>
      </c>
      <c r="L9" s="101" t="str">
        <f t="shared" ref="L9:U12" ca="1" si="17">IF(AND(L$1&gt;=$H9,L$1&lt;($H9+$I9)),ROUND($F9/$I9,0),"-")</f>
        <v>-</v>
      </c>
      <c r="M9" s="101" t="str">
        <f t="shared" ca="1" si="17"/>
        <v>-</v>
      </c>
      <c r="N9" s="101" t="str">
        <f t="shared" ca="1" si="17"/>
        <v>-</v>
      </c>
      <c r="O9" s="101" t="str">
        <f t="shared" ca="1" si="17"/>
        <v>-</v>
      </c>
      <c r="P9" s="101" t="str">
        <f t="shared" ca="1" si="17"/>
        <v>-</v>
      </c>
      <c r="Q9" s="101" t="str">
        <f t="shared" ca="1" si="17"/>
        <v>-</v>
      </c>
      <c r="R9" s="101" t="str">
        <f t="shared" ca="1" si="17"/>
        <v>-</v>
      </c>
      <c r="S9" s="101" t="str">
        <f t="shared" ca="1" si="17"/>
        <v>-</v>
      </c>
      <c r="T9" s="101" t="str">
        <f t="shared" ca="1" si="17"/>
        <v>-</v>
      </c>
      <c r="U9" s="101" t="str">
        <f t="shared" ca="1" si="17"/>
        <v>-</v>
      </c>
      <c r="V9" s="101" t="str">
        <f t="shared" ref="V9:AE12" ca="1" si="18">IF(AND(V$1&gt;=$H9,V$1&lt;($H9+$I9)),ROUND($F9/$I9,0),"-")</f>
        <v>-</v>
      </c>
      <c r="W9" s="101" t="str">
        <f t="shared" ca="1" si="18"/>
        <v>-</v>
      </c>
      <c r="X9" s="101" t="str">
        <f t="shared" ca="1" si="18"/>
        <v>-</v>
      </c>
      <c r="Y9" s="101" t="str">
        <f t="shared" ca="1" si="18"/>
        <v>-</v>
      </c>
      <c r="Z9" s="101" t="str">
        <f t="shared" ca="1" si="18"/>
        <v>-</v>
      </c>
      <c r="AA9" s="101" t="str">
        <f t="shared" ca="1" si="18"/>
        <v>-</v>
      </c>
      <c r="AB9" s="101" t="str">
        <f t="shared" ca="1" si="18"/>
        <v>-</v>
      </c>
      <c r="AC9" s="101" t="str">
        <f t="shared" ca="1" si="18"/>
        <v>-</v>
      </c>
      <c r="AD9" s="101" t="str">
        <f t="shared" ca="1" si="18"/>
        <v>-</v>
      </c>
      <c r="AE9" s="101" t="str">
        <f t="shared" ca="1" si="18"/>
        <v>-</v>
      </c>
      <c r="AF9" s="101" t="str">
        <f t="shared" ref="AF9:AO12" ca="1" si="19">IF(AND(AF$1&gt;=$H9,AF$1&lt;($H9+$I9)),ROUND($F9/$I9,0),"-")</f>
        <v>-</v>
      </c>
      <c r="AG9" s="101" t="str">
        <f t="shared" ca="1" si="19"/>
        <v>-</v>
      </c>
      <c r="AH9" s="101" t="str">
        <f t="shared" ca="1" si="19"/>
        <v>-</v>
      </c>
      <c r="AI9" s="101" t="str">
        <f t="shared" ca="1" si="19"/>
        <v>-</v>
      </c>
      <c r="AJ9" s="101" t="str">
        <f t="shared" ca="1" si="19"/>
        <v>-</v>
      </c>
      <c r="AK9" s="101" t="str">
        <f t="shared" ca="1" si="19"/>
        <v>-</v>
      </c>
      <c r="AL9" s="101" t="str">
        <f t="shared" ca="1" si="19"/>
        <v>-</v>
      </c>
      <c r="AM9" s="101" t="str">
        <f t="shared" ca="1" si="19"/>
        <v>-</v>
      </c>
      <c r="AN9" s="101" t="str">
        <f t="shared" ca="1" si="19"/>
        <v>-</v>
      </c>
      <c r="AO9" s="101" t="str">
        <f t="shared" ca="1" si="19"/>
        <v>-</v>
      </c>
      <c r="AP9" s="101" t="str">
        <f t="shared" ref="AP9:AY12" ca="1" si="20">IF(AND(AP$1&gt;=$H9,AP$1&lt;($H9+$I9)),ROUND($F9/$I9,0),"-")</f>
        <v>-</v>
      </c>
      <c r="AQ9" s="101" t="str">
        <f t="shared" ca="1" si="20"/>
        <v>-</v>
      </c>
      <c r="AR9" s="101" t="str">
        <f t="shared" ca="1" si="20"/>
        <v>-</v>
      </c>
      <c r="AS9" s="101" t="str">
        <f t="shared" ca="1" si="20"/>
        <v>-</v>
      </c>
      <c r="AT9" s="101" t="str">
        <f t="shared" ca="1" si="20"/>
        <v>-</v>
      </c>
      <c r="AU9" s="101" t="str">
        <f t="shared" ca="1" si="20"/>
        <v>-</v>
      </c>
      <c r="AV9" s="101" t="str">
        <f t="shared" ca="1" si="20"/>
        <v>-</v>
      </c>
      <c r="AW9" s="101" t="str">
        <f t="shared" ca="1" si="20"/>
        <v>-</v>
      </c>
      <c r="AX9" s="101" t="str">
        <f t="shared" ca="1" si="20"/>
        <v>-</v>
      </c>
      <c r="AY9" s="101" t="str">
        <f t="shared" ca="1" si="20"/>
        <v>-</v>
      </c>
      <c r="AZ9" s="101" t="str">
        <f t="shared" ref="AZ9:BI12" ca="1" si="21">IF(AND(AZ$1&gt;=$H9,AZ$1&lt;($H9+$I9)),ROUND($F9/$I9,0),"-")</f>
        <v>-</v>
      </c>
      <c r="BA9" s="101" t="str">
        <f t="shared" ca="1" si="21"/>
        <v>-</v>
      </c>
      <c r="BB9" s="101" t="str">
        <f t="shared" ca="1" si="21"/>
        <v>-</v>
      </c>
      <c r="BC9" s="101" t="str">
        <f t="shared" ca="1" si="21"/>
        <v>-</v>
      </c>
      <c r="BD9" s="101" t="str">
        <f t="shared" ca="1" si="21"/>
        <v>-</v>
      </c>
      <c r="BE9" s="101" t="str">
        <f t="shared" ca="1" si="21"/>
        <v>-</v>
      </c>
      <c r="BF9" s="101" t="str">
        <f t="shared" ca="1" si="21"/>
        <v>-</v>
      </c>
      <c r="BG9" s="101" t="str">
        <f t="shared" ca="1" si="21"/>
        <v>-</v>
      </c>
      <c r="BH9" s="101" t="str">
        <f t="shared" ca="1" si="21"/>
        <v>-</v>
      </c>
      <c r="BI9" s="101" t="str">
        <f t="shared" ca="1" si="21"/>
        <v>-</v>
      </c>
      <c r="BJ9" s="101" t="str">
        <f t="shared" ref="BJ9:BS12" ca="1" si="22">IF(AND(BJ$1&gt;=$H9,BJ$1&lt;($H9+$I9)),ROUND($F9/$I9,0),"-")</f>
        <v>-</v>
      </c>
      <c r="BK9" s="101" t="str">
        <f t="shared" ca="1" si="22"/>
        <v>-</v>
      </c>
      <c r="BL9" s="101" t="str">
        <f t="shared" ca="1" si="22"/>
        <v>-</v>
      </c>
      <c r="BM9" s="101" t="str">
        <f t="shared" ca="1" si="22"/>
        <v>-</v>
      </c>
      <c r="BN9" s="101" t="str">
        <f t="shared" ca="1" si="22"/>
        <v>-</v>
      </c>
      <c r="BO9" s="101" t="str">
        <f t="shared" ca="1" si="22"/>
        <v>-</v>
      </c>
      <c r="BP9" s="101" t="str">
        <f t="shared" ca="1" si="22"/>
        <v>-</v>
      </c>
      <c r="BQ9" s="101" t="str">
        <f t="shared" ca="1" si="22"/>
        <v>-</v>
      </c>
      <c r="BR9" s="101" t="str">
        <f t="shared" ca="1" si="22"/>
        <v>-</v>
      </c>
      <c r="BS9" s="101" t="str">
        <f t="shared" ca="1" si="22"/>
        <v>-</v>
      </c>
      <c r="BT9" s="101" t="str">
        <f t="shared" ref="BT9:CC12" ca="1" si="23">IF(AND(BT$1&gt;=$H9,BT$1&lt;($H9+$I9)),ROUND($F9/$I9,0),"-")</f>
        <v>-</v>
      </c>
      <c r="BU9" s="101" t="str">
        <f t="shared" ca="1" si="23"/>
        <v>-</v>
      </c>
      <c r="BV9" s="101" t="str">
        <f t="shared" ca="1" si="23"/>
        <v>-</v>
      </c>
      <c r="BW9" s="101" t="str">
        <f t="shared" ca="1" si="23"/>
        <v>-</v>
      </c>
      <c r="BX9" s="101" t="str">
        <f t="shared" ca="1" si="23"/>
        <v>-</v>
      </c>
      <c r="BY9" s="101" t="str">
        <f t="shared" ca="1" si="23"/>
        <v>-</v>
      </c>
      <c r="BZ9" s="101" t="str">
        <f t="shared" ca="1" si="23"/>
        <v>-</v>
      </c>
      <c r="CA9" s="101" t="str">
        <f t="shared" ca="1" si="23"/>
        <v>-</v>
      </c>
      <c r="CB9" s="101" t="str">
        <f t="shared" ca="1" si="23"/>
        <v>-</v>
      </c>
      <c r="CC9" s="101" t="str">
        <f t="shared" ca="1" si="23"/>
        <v>-</v>
      </c>
      <c r="CD9" s="101" t="str">
        <f t="shared" ref="CD9:CM12" ca="1" si="24">IF(AND(CD$1&gt;=$H9,CD$1&lt;($H9+$I9)),ROUND($F9/$I9,0),"-")</f>
        <v>-</v>
      </c>
      <c r="CE9" s="101" t="str">
        <f t="shared" ca="1" si="24"/>
        <v>-</v>
      </c>
      <c r="CF9" s="101" t="str">
        <f t="shared" ca="1" si="24"/>
        <v>-</v>
      </c>
      <c r="CG9" s="101" t="str">
        <f t="shared" ca="1" si="24"/>
        <v>-</v>
      </c>
      <c r="CH9" s="101" t="str">
        <f t="shared" ca="1" si="24"/>
        <v>-</v>
      </c>
      <c r="CI9" s="101" t="str">
        <f t="shared" ca="1" si="24"/>
        <v>-</v>
      </c>
      <c r="CJ9" s="101" t="str">
        <f t="shared" ca="1" si="24"/>
        <v>-</v>
      </c>
      <c r="CK9" s="101" t="str">
        <f t="shared" ca="1" si="24"/>
        <v>-</v>
      </c>
      <c r="CL9" s="101" t="str">
        <f t="shared" ca="1" si="24"/>
        <v>-</v>
      </c>
      <c r="CM9" s="101" t="str">
        <f t="shared" ca="1" si="24"/>
        <v>-</v>
      </c>
      <c r="CN9" s="101" t="str">
        <f t="shared" ref="CN9:CS12" ca="1" si="25">IF(AND(CN$1&gt;=$H9,CN$1&lt;($H9+$I9)),ROUND($F9/$I9,0),"-")</f>
        <v>-</v>
      </c>
      <c r="CO9" s="101" t="str">
        <f t="shared" ca="1" si="25"/>
        <v>-</v>
      </c>
      <c r="CP9" s="101" t="str">
        <f t="shared" ca="1" si="25"/>
        <v>-</v>
      </c>
      <c r="CQ9" s="101" t="str">
        <f t="shared" ca="1" si="25"/>
        <v>-</v>
      </c>
      <c r="CR9" s="101" t="str">
        <f t="shared" ca="1" si="25"/>
        <v>-</v>
      </c>
      <c r="CS9" s="101" t="str">
        <f t="shared" ca="1" si="25"/>
        <v>-</v>
      </c>
    </row>
    <row r="10" spans="1:208">
      <c r="A10" s="476"/>
      <c r="B10" s="459"/>
      <c r="C10" s="459"/>
      <c r="D10" s="466"/>
      <c r="E10" s="109" t="s">
        <v>65</v>
      </c>
      <c r="F10" s="102" t="e">
        <f>SUM('BESS 12'!S119,'BESS 12'!S121:S122,'BESS 12'!S125:S127)</f>
        <v>#VALUE!</v>
      </c>
      <c r="G10" s="165">
        <f>MAX('BESS 12'!O119,'BESS 12'!O121:O122,'BESS 12'!O125:O127)</f>
        <v>46233</v>
      </c>
      <c r="H10" s="110">
        <f t="shared" ca="1" si="16"/>
        <v>46233</v>
      </c>
      <c r="I10" s="102">
        <f ca="1">G10-H10</f>
        <v>0</v>
      </c>
      <c r="J10" s="507"/>
      <c r="K10" s="476"/>
      <c r="L10" s="101" t="str">
        <f t="shared" ca="1" si="17"/>
        <v>-</v>
      </c>
      <c r="M10" s="101" t="str">
        <f t="shared" ca="1" si="17"/>
        <v>-</v>
      </c>
      <c r="N10" s="101" t="str">
        <f t="shared" ca="1" si="17"/>
        <v>-</v>
      </c>
      <c r="O10" s="101" t="str">
        <f t="shared" ca="1" si="17"/>
        <v>-</v>
      </c>
      <c r="P10" s="101" t="str">
        <f t="shared" ca="1" si="17"/>
        <v>-</v>
      </c>
      <c r="Q10" s="101" t="str">
        <f t="shared" ca="1" si="17"/>
        <v>-</v>
      </c>
      <c r="R10" s="101" t="str">
        <f t="shared" ca="1" si="17"/>
        <v>-</v>
      </c>
      <c r="S10" s="101" t="str">
        <f t="shared" ca="1" si="17"/>
        <v>-</v>
      </c>
      <c r="T10" s="101" t="str">
        <f t="shared" ca="1" si="17"/>
        <v>-</v>
      </c>
      <c r="U10" s="101" t="str">
        <f t="shared" ca="1" si="17"/>
        <v>-</v>
      </c>
      <c r="V10" s="101" t="str">
        <f t="shared" ca="1" si="18"/>
        <v>-</v>
      </c>
      <c r="W10" s="101" t="str">
        <f t="shared" ca="1" si="18"/>
        <v>-</v>
      </c>
      <c r="X10" s="101" t="str">
        <f t="shared" ca="1" si="18"/>
        <v>-</v>
      </c>
      <c r="Y10" s="101" t="str">
        <f t="shared" ca="1" si="18"/>
        <v>-</v>
      </c>
      <c r="Z10" s="101" t="str">
        <f t="shared" ca="1" si="18"/>
        <v>-</v>
      </c>
      <c r="AA10" s="101" t="str">
        <f t="shared" ca="1" si="18"/>
        <v>-</v>
      </c>
      <c r="AB10" s="101" t="str">
        <f t="shared" ca="1" si="18"/>
        <v>-</v>
      </c>
      <c r="AC10" s="101" t="str">
        <f t="shared" ca="1" si="18"/>
        <v>-</v>
      </c>
      <c r="AD10" s="101" t="str">
        <f t="shared" ca="1" si="18"/>
        <v>-</v>
      </c>
      <c r="AE10" s="101" t="str">
        <f t="shared" ca="1" si="18"/>
        <v>-</v>
      </c>
      <c r="AF10" s="101" t="str">
        <f t="shared" ca="1" si="19"/>
        <v>-</v>
      </c>
      <c r="AG10" s="101" t="str">
        <f t="shared" ca="1" si="19"/>
        <v>-</v>
      </c>
      <c r="AH10" s="101" t="str">
        <f t="shared" ca="1" si="19"/>
        <v>-</v>
      </c>
      <c r="AI10" s="101" t="str">
        <f t="shared" ca="1" si="19"/>
        <v>-</v>
      </c>
      <c r="AJ10" s="101" t="str">
        <f t="shared" ca="1" si="19"/>
        <v>-</v>
      </c>
      <c r="AK10" s="101" t="str">
        <f t="shared" ca="1" si="19"/>
        <v>-</v>
      </c>
      <c r="AL10" s="101" t="str">
        <f t="shared" ca="1" si="19"/>
        <v>-</v>
      </c>
      <c r="AM10" s="101" t="str">
        <f t="shared" ca="1" si="19"/>
        <v>-</v>
      </c>
      <c r="AN10" s="101" t="str">
        <f t="shared" ca="1" si="19"/>
        <v>-</v>
      </c>
      <c r="AO10" s="101" t="str">
        <f t="shared" ca="1" si="19"/>
        <v>-</v>
      </c>
      <c r="AP10" s="101" t="str">
        <f t="shared" ca="1" si="20"/>
        <v>-</v>
      </c>
      <c r="AQ10" s="101" t="str">
        <f t="shared" ca="1" si="20"/>
        <v>-</v>
      </c>
      <c r="AR10" s="101" t="str">
        <f t="shared" ca="1" si="20"/>
        <v>-</v>
      </c>
      <c r="AS10" s="101" t="str">
        <f t="shared" ca="1" si="20"/>
        <v>-</v>
      </c>
      <c r="AT10" s="101" t="str">
        <f t="shared" ca="1" si="20"/>
        <v>-</v>
      </c>
      <c r="AU10" s="101" t="str">
        <f t="shared" ca="1" si="20"/>
        <v>-</v>
      </c>
      <c r="AV10" s="101" t="str">
        <f t="shared" ca="1" si="20"/>
        <v>-</v>
      </c>
      <c r="AW10" s="101" t="str">
        <f t="shared" ca="1" si="20"/>
        <v>-</v>
      </c>
      <c r="AX10" s="101" t="str">
        <f t="shared" ca="1" si="20"/>
        <v>-</v>
      </c>
      <c r="AY10" s="101" t="str">
        <f t="shared" ca="1" si="20"/>
        <v>-</v>
      </c>
      <c r="AZ10" s="101" t="str">
        <f t="shared" ca="1" si="21"/>
        <v>-</v>
      </c>
      <c r="BA10" s="101" t="str">
        <f t="shared" ca="1" si="21"/>
        <v>-</v>
      </c>
      <c r="BB10" s="101" t="str">
        <f t="shared" ca="1" si="21"/>
        <v>-</v>
      </c>
      <c r="BC10" s="101" t="str">
        <f t="shared" ca="1" si="21"/>
        <v>-</v>
      </c>
      <c r="BD10" s="101" t="str">
        <f t="shared" ca="1" si="21"/>
        <v>-</v>
      </c>
      <c r="BE10" s="101" t="str">
        <f t="shared" ca="1" si="21"/>
        <v>-</v>
      </c>
      <c r="BF10" s="101" t="str">
        <f t="shared" ca="1" si="21"/>
        <v>-</v>
      </c>
      <c r="BG10" s="101" t="str">
        <f t="shared" ca="1" si="21"/>
        <v>-</v>
      </c>
      <c r="BH10" s="101" t="str">
        <f t="shared" ca="1" si="21"/>
        <v>-</v>
      </c>
      <c r="BI10" s="101" t="str">
        <f t="shared" ca="1" si="21"/>
        <v>-</v>
      </c>
      <c r="BJ10" s="101" t="str">
        <f t="shared" ca="1" si="22"/>
        <v>-</v>
      </c>
      <c r="BK10" s="101" t="str">
        <f t="shared" ca="1" si="22"/>
        <v>-</v>
      </c>
      <c r="BL10" s="101" t="str">
        <f t="shared" ca="1" si="22"/>
        <v>-</v>
      </c>
      <c r="BM10" s="101" t="str">
        <f t="shared" ca="1" si="22"/>
        <v>-</v>
      </c>
      <c r="BN10" s="101" t="str">
        <f t="shared" ca="1" si="22"/>
        <v>-</v>
      </c>
      <c r="BO10" s="101" t="str">
        <f t="shared" ca="1" si="22"/>
        <v>-</v>
      </c>
      <c r="BP10" s="101" t="str">
        <f t="shared" ca="1" si="22"/>
        <v>-</v>
      </c>
      <c r="BQ10" s="101" t="str">
        <f t="shared" ca="1" si="22"/>
        <v>-</v>
      </c>
      <c r="BR10" s="101" t="str">
        <f t="shared" ca="1" si="22"/>
        <v>-</v>
      </c>
      <c r="BS10" s="101" t="str">
        <f t="shared" ca="1" si="22"/>
        <v>-</v>
      </c>
      <c r="BT10" s="101" t="str">
        <f t="shared" ca="1" si="23"/>
        <v>-</v>
      </c>
      <c r="BU10" s="101" t="str">
        <f t="shared" ca="1" si="23"/>
        <v>-</v>
      </c>
      <c r="BV10" s="101" t="str">
        <f t="shared" ca="1" si="23"/>
        <v>-</v>
      </c>
      <c r="BW10" s="101" t="str">
        <f t="shared" ca="1" si="23"/>
        <v>-</v>
      </c>
      <c r="BX10" s="101" t="str">
        <f t="shared" ca="1" si="23"/>
        <v>-</v>
      </c>
      <c r="BY10" s="101" t="str">
        <f t="shared" ca="1" si="23"/>
        <v>-</v>
      </c>
      <c r="BZ10" s="101" t="str">
        <f t="shared" ca="1" si="23"/>
        <v>-</v>
      </c>
      <c r="CA10" s="101" t="str">
        <f t="shared" ca="1" si="23"/>
        <v>-</v>
      </c>
      <c r="CB10" s="101" t="str">
        <f t="shared" ca="1" si="23"/>
        <v>-</v>
      </c>
      <c r="CC10" s="101" t="str">
        <f t="shared" ca="1" si="23"/>
        <v>-</v>
      </c>
      <c r="CD10" s="101" t="str">
        <f t="shared" ca="1" si="24"/>
        <v>-</v>
      </c>
      <c r="CE10" s="101" t="str">
        <f t="shared" ca="1" si="24"/>
        <v>-</v>
      </c>
      <c r="CF10" s="101" t="str">
        <f t="shared" ca="1" si="24"/>
        <v>-</v>
      </c>
      <c r="CG10" s="101" t="str">
        <f t="shared" ca="1" si="24"/>
        <v>-</v>
      </c>
      <c r="CH10" s="101" t="str">
        <f t="shared" ca="1" si="24"/>
        <v>-</v>
      </c>
      <c r="CI10" s="101" t="str">
        <f t="shared" ca="1" si="24"/>
        <v>-</v>
      </c>
      <c r="CJ10" s="101" t="str">
        <f t="shared" ca="1" si="24"/>
        <v>-</v>
      </c>
      <c r="CK10" s="101" t="str">
        <f t="shared" ca="1" si="24"/>
        <v>-</v>
      </c>
      <c r="CL10" s="101" t="str">
        <f t="shared" ca="1" si="24"/>
        <v>-</v>
      </c>
      <c r="CM10" s="101" t="str">
        <f t="shared" ca="1" si="24"/>
        <v>-</v>
      </c>
      <c r="CN10" s="101" t="str">
        <f t="shared" ca="1" si="25"/>
        <v>-</v>
      </c>
      <c r="CO10" s="101" t="str">
        <f t="shared" ca="1" si="25"/>
        <v>-</v>
      </c>
      <c r="CP10" s="101" t="str">
        <f t="shared" ca="1" si="25"/>
        <v>-</v>
      </c>
      <c r="CQ10" s="101" t="str">
        <f t="shared" ca="1" si="25"/>
        <v>-</v>
      </c>
      <c r="CR10" s="101" t="str">
        <f t="shared" ca="1" si="25"/>
        <v>-</v>
      </c>
      <c r="CS10" s="101" t="str">
        <f t="shared" ca="1" si="25"/>
        <v>-</v>
      </c>
    </row>
    <row r="11" spans="1:208">
      <c r="A11" s="476"/>
      <c r="B11" s="459"/>
      <c r="C11" s="459"/>
      <c r="D11" s="466"/>
      <c r="E11" s="109" t="s">
        <v>66</v>
      </c>
      <c r="F11" s="102" t="e">
        <f>SUM('BESS 12'!S120,'BESS 12'!S123:S124,'BESS 12'!S128:S129)</f>
        <v>#VALUE!</v>
      </c>
      <c r="G11" s="165">
        <f>MAX('BESS 12'!O120,'BESS 12'!O123:O124,'BESS 12'!O128:O129)</f>
        <v>46265</v>
      </c>
      <c r="H11" s="110">
        <f ca="1">H10+7</f>
        <v>46240</v>
      </c>
      <c r="I11" s="102">
        <f ca="1">G11-H11</f>
        <v>25</v>
      </c>
      <c r="J11" s="507"/>
      <c r="K11" s="476"/>
      <c r="L11" s="101" t="str">
        <f t="shared" ca="1" si="17"/>
        <v>-</v>
      </c>
      <c r="M11" s="101" t="str">
        <f t="shared" ca="1" si="17"/>
        <v>-</v>
      </c>
      <c r="N11" s="101" t="str">
        <f t="shared" ca="1" si="17"/>
        <v>-</v>
      </c>
      <c r="O11" s="101" t="str">
        <f t="shared" ca="1" si="17"/>
        <v>-</v>
      </c>
      <c r="P11" s="101" t="str">
        <f t="shared" ca="1" si="17"/>
        <v>-</v>
      </c>
      <c r="Q11" s="101" t="str">
        <f t="shared" ca="1" si="17"/>
        <v>-</v>
      </c>
      <c r="R11" s="101" t="str">
        <f t="shared" ca="1" si="17"/>
        <v>-</v>
      </c>
      <c r="S11" s="101" t="str">
        <f t="shared" ca="1" si="17"/>
        <v>-</v>
      </c>
      <c r="T11" s="101" t="str">
        <f t="shared" ca="1" si="17"/>
        <v>-</v>
      </c>
      <c r="U11" s="101" t="str">
        <f t="shared" ca="1" si="17"/>
        <v>-</v>
      </c>
      <c r="V11" s="101" t="str">
        <f t="shared" ca="1" si="18"/>
        <v>-</v>
      </c>
      <c r="W11" s="101" t="str">
        <f t="shared" ca="1" si="18"/>
        <v>-</v>
      </c>
      <c r="X11" s="101" t="str">
        <f t="shared" ca="1" si="18"/>
        <v>-</v>
      </c>
      <c r="Y11" s="101" t="str">
        <f t="shared" ca="1" si="18"/>
        <v>-</v>
      </c>
      <c r="Z11" s="101" t="str">
        <f t="shared" ca="1" si="18"/>
        <v>-</v>
      </c>
      <c r="AA11" s="101" t="str">
        <f t="shared" ca="1" si="18"/>
        <v>-</v>
      </c>
      <c r="AB11" s="101" t="str">
        <f t="shared" ca="1" si="18"/>
        <v>-</v>
      </c>
      <c r="AC11" s="101" t="str">
        <f t="shared" ca="1" si="18"/>
        <v>-</v>
      </c>
      <c r="AD11" s="101" t="str">
        <f t="shared" ca="1" si="18"/>
        <v>-</v>
      </c>
      <c r="AE11" s="101" t="str">
        <f t="shared" ca="1" si="18"/>
        <v>-</v>
      </c>
      <c r="AF11" s="101" t="str">
        <f t="shared" ca="1" si="19"/>
        <v>-</v>
      </c>
      <c r="AG11" s="101" t="str">
        <f t="shared" ca="1" si="19"/>
        <v>-</v>
      </c>
      <c r="AH11" s="101" t="str">
        <f t="shared" ca="1" si="19"/>
        <v>-</v>
      </c>
      <c r="AI11" s="101" t="str">
        <f t="shared" ca="1" si="19"/>
        <v>-</v>
      </c>
      <c r="AJ11" s="101" t="str">
        <f t="shared" ca="1" si="19"/>
        <v>-</v>
      </c>
      <c r="AK11" s="101" t="str">
        <f t="shared" ca="1" si="19"/>
        <v>-</v>
      </c>
      <c r="AL11" s="101" t="str">
        <f t="shared" ca="1" si="19"/>
        <v>-</v>
      </c>
      <c r="AM11" s="101" t="str">
        <f t="shared" ca="1" si="19"/>
        <v>-</v>
      </c>
      <c r="AN11" s="101" t="str">
        <f t="shared" ca="1" si="19"/>
        <v>-</v>
      </c>
      <c r="AO11" s="101" t="str">
        <f t="shared" ca="1" si="19"/>
        <v>-</v>
      </c>
      <c r="AP11" s="101" t="str">
        <f t="shared" ca="1" si="20"/>
        <v>-</v>
      </c>
      <c r="AQ11" s="101" t="str">
        <f t="shared" ca="1" si="20"/>
        <v>-</v>
      </c>
      <c r="AR11" s="101" t="str">
        <f t="shared" ca="1" si="20"/>
        <v>-</v>
      </c>
      <c r="AS11" s="101" t="str">
        <f t="shared" ca="1" si="20"/>
        <v>-</v>
      </c>
      <c r="AT11" s="101" t="str">
        <f t="shared" ca="1" si="20"/>
        <v>-</v>
      </c>
      <c r="AU11" s="101" t="str">
        <f t="shared" ca="1" si="20"/>
        <v>-</v>
      </c>
      <c r="AV11" s="101" t="str">
        <f t="shared" ca="1" si="20"/>
        <v>-</v>
      </c>
      <c r="AW11" s="101" t="str">
        <f t="shared" ca="1" si="20"/>
        <v>-</v>
      </c>
      <c r="AX11" s="101" t="str">
        <f t="shared" ca="1" si="20"/>
        <v>-</v>
      </c>
      <c r="AY11" s="101" t="str">
        <f t="shared" ca="1" si="20"/>
        <v>-</v>
      </c>
      <c r="AZ11" s="101" t="str">
        <f t="shared" ca="1" si="21"/>
        <v>-</v>
      </c>
      <c r="BA11" s="101" t="str">
        <f t="shared" ca="1" si="21"/>
        <v>-</v>
      </c>
      <c r="BB11" s="101" t="str">
        <f t="shared" ca="1" si="21"/>
        <v>-</v>
      </c>
      <c r="BC11" s="101" t="str">
        <f t="shared" ca="1" si="21"/>
        <v>-</v>
      </c>
      <c r="BD11" s="101" t="str">
        <f t="shared" ca="1" si="21"/>
        <v>-</v>
      </c>
      <c r="BE11" s="101" t="str">
        <f t="shared" ca="1" si="21"/>
        <v>-</v>
      </c>
      <c r="BF11" s="101" t="str">
        <f t="shared" ca="1" si="21"/>
        <v>-</v>
      </c>
      <c r="BG11" s="101" t="str">
        <f t="shared" ca="1" si="21"/>
        <v>-</v>
      </c>
      <c r="BH11" s="101" t="str">
        <f t="shared" ca="1" si="21"/>
        <v>-</v>
      </c>
      <c r="BI11" s="101" t="str">
        <f t="shared" ca="1" si="21"/>
        <v>-</v>
      </c>
      <c r="BJ11" s="101" t="str">
        <f t="shared" ca="1" si="22"/>
        <v>-</v>
      </c>
      <c r="BK11" s="101" t="str">
        <f t="shared" ca="1" si="22"/>
        <v>-</v>
      </c>
      <c r="BL11" s="101" t="str">
        <f t="shared" ca="1" si="22"/>
        <v>-</v>
      </c>
      <c r="BM11" s="101" t="str">
        <f t="shared" ca="1" si="22"/>
        <v>-</v>
      </c>
      <c r="BN11" s="101" t="str">
        <f t="shared" ca="1" si="22"/>
        <v>-</v>
      </c>
      <c r="BO11" s="101" t="str">
        <f t="shared" ca="1" si="22"/>
        <v>-</v>
      </c>
      <c r="BP11" s="101" t="str">
        <f t="shared" ca="1" si="22"/>
        <v>-</v>
      </c>
      <c r="BQ11" s="101" t="str">
        <f t="shared" ca="1" si="22"/>
        <v>-</v>
      </c>
      <c r="BR11" s="101" t="str">
        <f t="shared" ca="1" si="22"/>
        <v>-</v>
      </c>
      <c r="BS11" s="101" t="str">
        <f t="shared" ca="1" si="22"/>
        <v>-</v>
      </c>
      <c r="BT11" s="101" t="str">
        <f t="shared" ca="1" si="23"/>
        <v>-</v>
      </c>
      <c r="BU11" s="101" t="str">
        <f t="shared" ca="1" si="23"/>
        <v>-</v>
      </c>
      <c r="BV11" s="101" t="str">
        <f t="shared" ca="1" si="23"/>
        <v>-</v>
      </c>
      <c r="BW11" s="101" t="str">
        <f t="shared" ca="1" si="23"/>
        <v>-</v>
      </c>
      <c r="BX11" s="101" t="str">
        <f t="shared" ca="1" si="23"/>
        <v>-</v>
      </c>
      <c r="BY11" s="101" t="str">
        <f t="shared" ca="1" si="23"/>
        <v>-</v>
      </c>
      <c r="BZ11" s="101" t="str">
        <f t="shared" ca="1" si="23"/>
        <v>-</v>
      </c>
      <c r="CA11" s="101" t="str">
        <f t="shared" ca="1" si="23"/>
        <v>-</v>
      </c>
      <c r="CB11" s="101" t="str">
        <f t="shared" ca="1" si="23"/>
        <v>-</v>
      </c>
      <c r="CC11" s="101" t="str">
        <f t="shared" ca="1" si="23"/>
        <v>-</v>
      </c>
      <c r="CD11" s="101" t="str">
        <f t="shared" ca="1" si="24"/>
        <v>-</v>
      </c>
      <c r="CE11" s="101" t="str">
        <f t="shared" ca="1" si="24"/>
        <v>-</v>
      </c>
      <c r="CF11" s="101" t="str">
        <f t="shared" ca="1" si="24"/>
        <v>-</v>
      </c>
      <c r="CG11" s="101" t="str">
        <f t="shared" ca="1" si="24"/>
        <v>-</v>
      </c>
      <c r="CH11" s="101" t="str">
        <f t="shared" ca="1" si="24"/>
        <v>-</v>
      </c>
      <c r="CI11" s="101" t="str">
        <f t="shared" ca="1" si="24"/>
        <v>-</v>
      </c>
      <c r="CJ11" s="101" t="str">
        <f t="shared" ca="1" si="24"/>
        <v>-</v>
      </c>
      <c r="CK11" s="101" t="str">
        <f t="shared" ca="1" si="24"/>
        <v>-</v>
      </c>
      <c r="CL11" s="101" t="str">
        <f t="shared" ca="1" si="24"/>
        <v>-</v>
      </c>
      <c r="CM11" s="101" t="str">
        <f t="shared" ca="1" si="24"/>
        <v>-</v>
      </c>
      <c r="CN11" s="101" t="str">
        <f t="shared" ca="1" si="25"/>
        <v>-</v>
      </c>
      <c r="CO11" s="101" t="str">
        <f t="shared" ca="1" si="25"/>
        <v>-</v>
      </c>
      <c r="CP11" s="101" t="str">
        <f t="shared" ca="1" si="25"/>
        <v>-</v>
      </c>
      <c r="CQ11" s="101" t="str">
        <f t="shared" ca="1" si="25"/>
        <v>-</v>
      </c>
      <c r="CR11" s="101" t="str">
        <f t="shared" ca="1" si="25"/>
        <v>-</v>
      </c>
      <c r="CS11" s="101" t="str">
        <f t="shared" ca="1" si="25"/>
        <v>-</v>
      </c>
    </row>
    <row r="12" spans="1:208">
      <c r="A12" s="476"/>
      <c r="B12" s="459"/>
      <c r="C12" s="459"/>
      <c r="D12" s="466"/>
      <c r="E12" s="109" t="s">
        <v>67</v>
      </c>
      <c r="F12" s="102" t="e">
        <f>SUM('BESS 12'!S133:S140)</f>
        <v>#VALUE!</v>
      </c>
      <c r="G12" s="165">
        <f>MAX('BESS 11'!O87:O95)</f>
        <v>46238</v>
      </c>
      <c r="H12" s="110">
        <f>G12-14</f>
        <v>46224</v>
      </c>
      <c r="I12" s="102">
        <f>G12-H12</f>
        <v>14</v>
      </c>
      <c r="J12" s="507"/>
      <c r="K12" s="476"/>
      <c r="L12" s="101" t="str">
        <f t="shared" si="17"/>
        <v>-</v>
      </c>
      <c r="M12" s="101" t="str">
        <f t="shared" si="17"/>
        <v>-</v>
      </c>
      <c r="N12" s="101" t="str">
        <f t="shared" si="17"/>
        <v>-</v>
      </c>
      <c r="O12" s="101" t="str">
        <f t="shared" si="17"/>
        <v>-</v>
      </c>
      <c r="P12" s="101" t="str">
        <f t="shared" si="17"/>
        <v>-</v>
      </c>
      <c r="Q12" s="101" t="str">
        <f t="shared" si="17"/>
        <v>-</v>
      </c>
      <c r="R12" s="101" t="str">
        <f t="shared" si="17"/>
        <v>-</v>
      </c>
      <c r="S12" s="101" t="str">
        <f t="shared" si="17"/>
        <v>-</v>
      </c>
      <c r="T12" s="101" t="str">
        <f t="shared" si="17"/>
        <v>-</v>
      </c>
      <c r="U12" s="101" t="str">
        <f t="shared" si="17"/>
        <v>-</v>
      </c>
      <c r="V12" s="101" t="str">
        <f t="shared" si="18"/>
        <v>-</v>
      </c>
      <c r="W12" s="101" t="str">
        <f t="shared" si="18"/>
        <v>-</v>
      </c>
      <c r="X12" s="101" t="str">
        <f t="shared" si="18"/>
        <v>-</v>
      </c>
      <c r="Y12" s="101" t="str">
        <f t="shared" si="18"/>
        <v>-</v>
      </c>
      <c r="Z12" s="101" t="str">
        <f t="shared" si="18"/>
        <v>-</v>
      </c>
      <c r="AA12" s="101" t="str">
        <f t="shared" si="18"/>
        <v>-</v>
      </c>
      <c r="AB12" s="101" t="str">
        <f t="shared" si="18"/>
        <v>-</v>
      </c>
      <c r="AC12" s="101" t="str">
        <f t="shared" si="18"/>
        <v>-</v>
      </c>
      <c r="AD12" s="101" t="str">
        <f t="shared" si="18"/>
        <v>-</v>
      </c>
      <c r="AE12" s="101" t="str">
        <f t="shared" si="18"/>
        <v>-</v>
      </c>
      <c r="AF12" s="101" t="str">
        <f t="shared" si="19"/>
        <v>-</v>
      </c>
      <c r="AG12" s="101" t="str">
        <f t="shared" si="19"/>
        <v>-</v>
      </c>
      <c r="AH12" s="101" t="str">
        <f t="shared" si="19"/>
        <v>-</v>
      </c>
      <c r="AI12" s="101" t="str">
        <f t="shared" si="19"/>
        <v>-</v>
      </c>
      <c r="AJ12" s="101" t="str">
        <f t="shared" si="19"/>
        <v>-</v>
      </c>
      <c r="AK12" s="101" t="str">
        <f t="shared" si="19"/>
        <v>-</v>
      </c>
      <c r="AL12" s="101" t="str">
        <f t="shared" si="19"/>
        <v>-</v>
      </c>
      <c r="AM12" s="101" t="str">
        <f t="shared" si="19"/>
        <v>-</v>
      </c>
      <c r="AN12" s="101" t="str">
        <f t="shared" si="19"/>
        <v>-</v>
      </c>
      <c r="AO12" s="101" t="str">
        <f t="shared" si="19"/>
        <v>-</v>
      </c>
      <c r="AP12" s="101" t="str">
        <f t="shared" si="20"/>
        <v>-</v>
      </c>
      <c r="AQ12" s="101" t="str">
        <f t="shared" si="20"/>
        <v>-</v>
      </c>
      <c r="AR12" s="101" t="str">
        <f t="shared" si="20"/>
        <v>-</v>
      </c>
      <c r="AS12" s="101" t="str">
        <f t="shared" si="20"/>
        <v>-</v>
      </c>
      <c r="AT12" s="101" t="str">
        <f t="shared" si="20"/>
        <v>-</v>
      </c>
      <c r="AU12" s="101" t="str">
        <f t="shared" si="20"/>
        <v>-</v>
      </c>
      <c r="AV12" s="101" t="str">
        <f t="shared" si="20"/>
        <v>-</v>
      </c>
      <c r="AW12" s="101" t="str">
        <f t="shared" si="20"/>
        <v>-</v>
      </c>
      <c r="AX12" s="101" t="str">
        <f t="shared" si="20"/>
        <v>-</v>
      </c>
      <c r="AY12" s="101" t="str">
        <f t="shared" si="20"/>
        <v>-</v>
      </c>
      <c r="AZ12" s="101" t="str">
        <f t="shared" si="21"/>
        <v>-</v>
      </c>
      <c r="BA12" s="101" t="str">
        <f t="shared" si="21"/>
        <v>-</v>
      </c>
      <c r="BB12" s="101" t="str">
        <f t="shared" si="21"/>
        <v>-</v>
      </c>
      <c r="BC12" s="101" t="str">
        <f t="shared" si="21"/>
        <v>-</v>
      </c>
      <c r="BD12" s="101" t="str">
        <f t="shared" si="21"/>
        <v>-</v>
      </c>
      <c r="BE12" s="101" t="str">
        <f t="shared" si="21"/>
        <v>-</v>
      </c>
      <c r="BF12" s="101" t="str">
        <f t="shared" si="21"/>
        <v>-</v>
      </c>
      <c r="BG12" s="101" t="str">
        <f t="shared" si="21"/>
        <v>-</v>
      </c>
      <c r="BH12" s="101" t="str">
        <f t="shared" si="21"/>
        <v>-</v>
      </c>
      <c r="BI12" s="101" t="str">
        <f t="shared" si="21"/>
        <v>-</v>
      </c>
      <c r="BJ12" s="101" t="str">
        <f t="shared" si="22"/>
        <v>-</v>
      </c>
      <c r="BK12" s="101" t="str">
        <f t="shared" si="22"/>
        <v>-</v>
      </c>
      <c r="BL12" s="101" t="str">
        <f t="shared" si="22"/>
        <v>-</v>
      </c>
      <c r="BM12" s="101" t="str">
        <f t="shared" si="22"/>
        <v>-</v>
      </c>
      <c r="BN12" s="101" t="str">
        <f t="shared" si="22"/>
        <v>-</v>
      </c>
      <c r="BO12" s="101" t="str">
        <f t="shared" si="22"/>
        <v>-</v>
      </c>
      <c r="BP12" s="101" t="str">
        <f t="shared" si="22"/>
        <v>-</v>
      </c>
      <c r="BQ12" s="101" t="str">
        <f t="shared" si="22"/>
        <v>-</v>
      </c>
      <c r="BR12" s="101" t="str">
        <f t="shared" si="22"/>
        <v>-</v>
      </c>
      <c r="BS12" s="101" t="str">
        <f t="shared" si="22"/>
        <v>-</v>
      </c>
      <c r="BT12" s="101" t="str">
        <f t="shared" si="23"/>
        <v>-</v>
      </c>
      <c r="BU12" s="101" t="str">
        <f t="shared" si="23"/>
        <v>-</v>
      </c>
      <c r="BV12" s="101" t="str">
        <f t="shared" si="23"/>
        <v>-</v>
      </c>
      <c r="BW12" s="101" t="str">
        <f t="shared" si="23"/>
        <v>-</v>
      </c>
      <c r="BX12" s="101" t="str">
        <f t="shared" si="23"/>
        <v>-</v>
      </c>
      <c r="BY12" s="101" t="str">
        <f t="shared" si="23"/>
        <v>-</v>
      </c>
      <c r="BZ12" s="101" t="str">
        <f t="shared" si="23"/>
        <v>-</v>
      </c>
      <c r="CA12" s="101" t="str">
        <f t="shared" si="23"/>
        <v>-</v>
      </c>
      <c r="CB12" s="101" t="str">
        <f t="shared" si="23"/>
        <v>-</v>
      </c>
      <c r="CC12" s="101" t="str">
        <f t="shared" si="23"/>
        <v>-</v>
      </c>
      <c r="CD12" s="101" t="str">
        <f t="shared" si="24"/>
        <v>-</v>
      </c>
      <c r="CE12" s="101" t="str">
        <f t="shared" si="24"/>
        <v>-</v>
      </c>
      <c r="CF12" s="101" t="str">
        <f t="shared" si="24"/>
        <v>-</v>
      </c>
      <c r="CG12" s="101" t="str">
        <f t="shared" si="24"/>
        <v>-</v>
      </c>
      <c r="CH12" s="101" t="str">
        <f t="shared" si="24"/>
        <v>-</v>
      </c>
      <c r="CI12" s="101" t="str">
        <f t="shared" si="24"/>
        <v>-</v>
      </c>
      <c r="CJ12" s="101" t="str">
        <f t="shared" si="24"/>
        <v>-</v>
      </c>
      <c r="CK12" s="101" t="str">
        <f t="shared" si="24"/>
        <v>-</v>
      </c>
      <c r="CL12" s="101" t="str">
        <f t="shared" si="24"/>
        <v>-</v>
      </c>
      <c r="CM12" s="101" t="str">
        <f t="shared" si="24"/>
        <v>-</v>
      </c>
      <c r="CN12" s="101" t="str">
        <f t="shared" si="25"/>
        <v>-</v>
      </c>
      <c r="CO12" s="101" t="str">
        <f t="shared" si="25"/>
        <v>-</v>
      </c>
      <c r="CP12" s="101" t="str">
        <f t="shared" si="25"/>
        <v>-</v>
      </c>
      <c r="CQ12" s="101" t="str">
        <f t="shared" si="25"/>
        <v>-</v>
      </c>
      <c r="CR12" s="101" t="str">
        <f t="shared" si="25"/>
        <v>-</v>
      </c>
      <c r="CS12" s="101" t="str">
        <f t="shared" si="25"/>
        <v>-</v>
      </c>
    </row>
    <row r="13" spans="1:208">
      <c r="A13" s="504"/>
      <c r="B13" s="460"/>
      <c r="C13" s="460"/>
      <c r="D13" s="466"/>
      <c r="E13" s="109" t="s">
        <v>68</v>
      </c>
      <c r="F13" s="101">
        <v>250</v>
      </c>
      <c r="G13" s="165" t="e">
        <f>B8-3</f>
        <v>#VALUE!</v>
      </c>
      <c r="H13" s="110"/>
      <c r="I13" s="101">
        <v>30</v>
      </c>
      <c r="J13" s="508"/>
      <c r="K13" s="504"/>
      <c r="L13" s="110"/>
      <c r="M13" s="110"/>
      <c r="N13" s="101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>
        <v>5</v>
      </c>
      <c r="Z13" s="102">
        <v>5</v>
      </c>
      <c r="AA13" s="102">
        <v>5</v>
      </c>
      <c r="AB13" s="102">
        <v>5</v>
      </c>
      <c r="AC13" s="102">
        <v>5</v>
      </c>
      <c r="AD13" s="102">
        <v>5</v>
      </c>
      <c r="AE13" s="102">
        <v>5</v>
      </c>
      <c r="AF13" s="102">
        <v>5</v>
      </c>
      <c r="AG13" s="102">
        <v>5</v>
      </c>
      <c r="AH13" s="102">
        <v>5</v>
      </c>
      <c r="AI13" s="102">
        <v>5</v>
      </c>
      <c r="AJ13" s="102">
        <v>5</v>
      </c>
      <c r="AK13" s="102">
        <v>5</v>
      </c>
      <c r="AL13" s="102">
        <v>5</v>
      </c>
      <c r="AM13" s="102">
        <v>5</v>
      </c>
      <c r="AN13" s="102">
        <v>5</v>
      </c>
      <c r="AO13" s="102">
        <v>5</v>
      </c>
      <c r="AP13" s="102">
        <v>5</v>
      </c>
      <c r="AQ13" s="102">
        <v>5</v>
      </c>
      <c r="AR13" s="102">
        <v>5</v>
      </c>
      <c r="AS13" s="102">
        <v>5</v>
      </c>
      <c r="AT13" s="102">
        <v>5</v>
      </c>
      <c r="AU13" s="102">
        <v>5</v>
      </c>
      <c r="AV13" s="102">
        <v>5</v>
      </c>
      <c r="AW13" s="102">
        <v>30</v>
      </c>
      <c r="AX13" s="102">
        <v>30</v>
      </c>
      <c r="AY13" s="102">
        <v>30</v>
      </c>
      <c r="AZ13" s="102">
        <v>30</v>
      </c>
      <c r="BA13" s="102">
        <v>5</v>
      </c>
      <c r="BB13" s="102">
        <v>5</v>
      </c>
      <c r="BC13" s="102"/>
      <c r="BD13" s="102"/>
      <c r="BE13" s="102"/>
      <c r="BF13" s="102"/>
      <c r="BG13" s="102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09"/>
      <c r="CM13" s="109"/>
      <c r="CN13" s="109"/>
      <c r="CO13" s="109"/>
      <c r="CP13" s="109"/>
      <c r="CQ13" s="109"/>
      <c r="CR13" s="109"/>
      <c r="CS13" s="109"/>
    </row>
    <row r="14" spans="1:208">
      <c r="B14" s="67"/>
      <c r="E14" s="120"/>
      <c r="F14" s="120"/>
      <c r="G14" s="120"/>
      <c r="H14" s="112" t="s">
        <v>69</v>
      </c>
      <c r="I14" s="121"/>
      <c r="J14" s="120"/>
      <c r="K14" s="120"/>
      <c r="L14" s="113">
        <f t="shared" ref="L14:BB14" ca="1" si="26">SUM(L9:L13)</f>
        <v>0</v>
      </c>
      <c r="M14" s="113">
        <f t="shared" ca="1" si="26"/>
        <v>0</v>
      </c>
      <c r="N14" s="113">
        <f t="shared" ca="1" si="26"/>
        <v>0</v>
      </c>
      <c r="O14" s="113">
        <f t="shared" ca="1" si="26"/>
        <v>0</v>
      </c>
      <c r="P14" s="113">
        <f t="shared" ca="1" si="26"/>
        <v>0</v>
      </c>
      <c r="Q14" s="113">
        <f t="shared" ca="1" si="26"/>
        <v>0</v>
      </c>
      <c r="R14" s="113">
        <f t="shared" ca="1" si="26"/>
        <v>0</v>
      </c>
      <c r="S14" s="113">
        <f t="shared" ca="1" si="26"/>
        <v>0</v>
      </c>
      <c r="T14" s="113">
        <f t="shared" ca="1" si="26"/>
        <v>0</v>
      </c>
      <c r="U14" s="113">
        <f t="shared" ca="1" si="26"/>
        <v>0</v>
      </c>
      <c r="V14" s="113">
        <f t="shared" ca="1" si="26"/>
        <v>0</v>
      </c>
      <c r="W14" s="113">
        <f t="shared" ca="1" si="26"/>
        <v>0</v>
      </c>
      <c r="X14" s="113">
        <f t="shared" ca="1" si="26"/>
        <v>0</v>
      </c>
      <c r="Y14" s="113">
        <f t="shared" ca="1" si="26"/>
        <v>5</v>
      </c>
      <c r="Z14" s="113">
        <f t="shared" ca="1" si="26"/>
        <v>5</v>
      </c>
      <c r="AA14" s="113">
        <f t="shared" ca="1" si="26"/>
        <v>5</v>
      </c>
      <c r="AB14" s="113">
        <f t="shared" ca="1" si="26"/>
        <v>5</v>
      </c>
      <c r="AC14" s="113">
        <f t="shared" ca="1" si="26"/>
        <v>5</v>
      </c>
      <c r="AD14" s="113">
        <f t="shared" ca="1" si="26"/>
        <v>5</v>
      </c>
      <c r="AE14" s="113">
        <f t="shared" ca="1" si="26"/>
        <v>5</v>
      </c>
      <c r="AF14" s="113">
        <f t="shared" ca="1" si="26"/>
        <v>5</v>
      </c>
      <c r="AG14" s="113">
        <f t="shared" ca="1" si="26"/>
        <v>5</v>
      </c>
      <c r="AH14" s="113">
        <f t="shared" ca="1" si="26"/>
        <v>5</v>
      </c>
      <c r="AI14" s="113">
        <f t="shared" ca="1" si="26"/>
        <v>5</v>
      </c>
      <c r="AJ14" s="113">
        <f t="shared" ca="1" si="26"/>
        <v>5</v>
      </c>
      <c r="AK14" s="113">
        <f t="shared" ca="1" si="26"/>
        <v>5</v>
      </c>
      <c r="AL14" s="113">
        <f t="shared" ca="1" si="26"/>
        <v>5</v>
      </c>
      <c r="AM14" s="113">
        <f t="shared" ca="1" si="26"/>
        <v>5</v>
      </c>
      <c r="AN14" s="113">
        <f t="shared" ca="1" si="26"/>
        <v>5</v>
      </c>
      <c r="AO14" s="113">
        <f t="shared" ca="1" si="26"/>
        <v>5</v>
      </c>
      <c r="AP14" s="113">
        <f t="shared" ca="1" si="26"/>
        <v>5</v>
      </c>
      <c r="AQ14" s="113">
        <f t="shared" ca="1" si="26"/>
        <v>5</v>
      </c>
      <c r="AR14" s="113">
        <f t="shared" ca="1" si="26"/>
        <v>5</v>
      </c>
      <c r="AS14" s="113">
        <f t="shared" ca="1" si="26"/>
        <v>5</v>
      </c>
      <c r="AT14" s="113">
        <f t="shared" ca="1" si="26"/>
        <v>5</v>
      </c>
      <c r="AU14" s="113">
        <f t="shared" ca="1" si="26"/>
        <v>5</v>
      </c>
      <c r="AV14" s="113">
        <f t="shared" ca="1" si="26"/>
        <v>5</v>
      </c>
      <c r="AW14" s="113">
        <f t="shared" ca="1" si="26"/>
        <v>30</v>
      </c>
      <c r="AX14" s="113">
        <f t="shared" ca="1" si="26"/>
        <v>30</v>
      </c>
      <c r="AY14" s="113">
        <f t="shared" ca="1" si="26"/>
        <v>30</v>
      </c>
      <c r="AZ14" s="113">
        <f t="shared" ca="1" si="26"/>
        <v>30</v>
      </c>
      <c r="BA14" s="113">
        <f t="shared" ca="1" si="26"/>
        <v>5</v>
      </c>
      <c r="BB14" s="113">
        <f t="shared" ca="1" si="26"/>
        <v>5</v>
      </c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72">
        <f ca="1">AVERAGE(L14:BD14)</f>
        <v>5.8139534883720927</v>
      </c>
      <c r="CU14" s="160">
        <f ca="1">MAX(L14:BD14)</f>
        <v>30</v>
      </c>
    </row>
    <row r="15" spans="1:208">
      <c r="F15" s="99"/>
      <c r="H15" s="100"/>
      <c r="I15" s="99"/>
      <c r="J15" s="99"/>
      <c r="K15" s="99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Q15" s="19"/>
    </row>
    <row r="16" spans="1:208">
      <c r="A16" s="503" t="s">
        <v>71</v>
      </c>
      <c r="B16" s="450" t="str">
        <f>'BESS 12'!F5</f>
        <v>24 Jul
28 Jul</v>
      </c>
      <c r="C16" s="450" t="str">
        <f>'BESS 12'!G5</f>
        <v>29 Jul
02 Aug</v>
      </c>
      <c r="D16" s="114"/>
      <c r="E16" s="114" t="s">
        <v>10</v>
      </c>
      <c r="F16" s="115" t="s">
        <v>58</v>
      </c>
      <c r="G16" s="129" t="s">
        <v>87</v>
      </c>
      <c r="H16" s="129" t="s">
        <v>78</v>
      </c>
      <c r="I16" s="115" t="s">
        <v>59</v>
      </c>
      <c r="J16" s="115"/>
      <c r="K16" s="115"/>
      <c r="L16" s="116">
        <v>46195</v>
      </c>
      <c r="M16" s="116">
        <v>46196</v>
      </c>
      <c r="N16" s="116">
        <v>46197</v>
      </c>
      <c r="O16" s="116">
        <f t="shared" ref="O16:AT16" si="27">N16+1</f>
        <v>46198</v>
      </c>
      <c r="P16" s="116">
        <f t="shared" si="27"/>
        <v>46199</v>
      </c>
      <c r="Q16" s="116">
        <f t="shared" si="27"/>
        <v>46200</v>
      </c>
      <c r="R16" s="116">
        <f t="shared" si="27"/>
        <v>46201</v>
      </c>
      <c r="S16" s="116">
        <f t="shared" si="27"/>
        <v>46202</v>
      </c>
      <c r="T16" s="116">
        <f t="shared" si="27"/>
        <v>46203</v>
      </c>
      <c r="U16" s="116">
        <f t="shared" si="27"/>
        <v>46204</v>
      </c>
      <c r="V16" s="116">
        <f t="shared" si="27"/>
        <v>46205</v>
      </c>
      <c r="W16" s="116">
        <f t="shared" si="27"/>
        <v>46206</v>
      </c>
      <c r="X16" s="116">
        <f t="shared" si="27"/>
        <v>46207</v>
      </c>
      <c r="Y16" s="116">
        <f t="shared" si="27"/>
        <v>46208</v>
      </c>
      <c r="Z16" s="116">
        <f t="shared" si="27"/>
        <v>46209</v>
      </c>
      <c r="AA16" s="116">
        <f t="shared" si="27"/>
        <v>46210</v>
      </c>
      <c r="AB16" s="116">
        <f t="shared" si="27"/>
        <v>46211</v>
      </c>
      <c r="AC16" s="116">
        <f t="shared" si="27"/>
        <v>46212</v>
      </c>
      <c r="AD16" s="116">
        <f t="shared" si="27"/>
        <v>46213</v>
      </c>
      <c r="AE16" s="116">
        <f t="shared" si="27"/>
        <v>46214</v>
      </c>
      <c r="AF16" s="116">
        <f t="shared" si="27"/>
        <v>46215</v>
      </c>
      <c r="AG16" s="116">
        <f t="shared" si="27"/>
        <v>46216</v>
      </c>
      <c r="AH16" s="116">
        <f t="shared" si="27"/>
        <v>46217</v>
      </c>
      <c r="AI16" s="116">
        <f t="shared" si="27"/>
        <v>46218</v>
      </c>
      <c r="AJ16" s="116">
        <f t="shared" si="27"/>
        <v>46219</v>
      </c>
      <c r="AK16" s="116">
        <f t="shared" si="27"/>
        <v>46220</v>
      </c>
      <c r="AL16" s="116">
        <f t="shared" si="27"/>
        <v>46221</v>
      </c>
      <c r="AM16" s="116">
        <f t="shared" si="27"/>
        <v>46222</v>
      </c>
      <c r="AN16" s="116">
        <f t="shared" si="27"/>
        <v>46223</v>
      </c>
      <c r="AO16" s="116">
        <f t="shared" si="27"/>
        <v>46224</v>
      </c>
      <c r="AP16" s="116">
        <f t="shared" si="27"/>
        <v>46225</v>
      </c>
      <c r="AQ16" s="116">
        <f t="shared" si="27"/>
        <v>46226</v>
      </c>
      <c r="AR16" s="116">
        <f t="shared" si="27"/>
        <v>46227</v>
      </c>
      <c r="AS16" s="116">
        <f t="shared" si="27"/>
        <v>46228</v>
      </c>
      <c r="AT16" s="116">
        <f t="shared" si="27"/>
        <v>46229</v>
      </c>
      <c r="AU16" s="116">
        <f t="shared" ref="AU16:BZ16" si="28">AT16+1</f>
        <v>46230</v>
      </c>
      <c r="AV16" s="116">
        <f t="shared" si="28"/>
        <v>46231</v>
      </c>
      <c r="AW16" s="116">
        <f t="shared" si="28"/>
        <v>46232</v>
      </c>
      <c r="AX16" s="116">
        <f t="shared" si="28"/>
        <v>46233</v>
      </c>
      <c r="AY16" s="116">
        <f t="shared" si="28"/>
        <v>46234</v>
      </c>
      <c r="AZ16" s="116">
        <f t="shared" si="28"/>
        <v>46235</v>
      </c>
      <c r="BA16" s="116">
        <f t="shared" si="28"/>
        <v>46236</v>
      </c>
      <c r="BB16" s="116">
        <f t="shared" si="28"/>
        <v>46237</v>
      </c>
      <c r="BC16" s="116">
        <f t="shared" si="28"/>
        <v>46238</v>
      </c>
      <c r="BD16" s="116">
        <f t="shared" si="28"/>
        <v>46239</v>
      </c>
      <c r="BE16" s="116">
        <f t="shared" si="28"/>
        <v>46240</v>
      </c>
      <c r="BF16" s="116">
        <f t="shared" si="28"/>
        <v>46241</v>
      </c>
      <c r="BG16" s="116">
        <f t="shared" si="28"/>
        <v>46242</v>
      </c>
      <c r="BH16" s="116">
        <f t="shared" si="28"/>
        <v>46243</v>
      </c>
      <c r="BI16" s="116">
        <f t="shared" si="28"/>
        <v>46244</v>
      </c>
      <c r="BJ16" s="116">
        <f t="shared" si="28"/>
        <v>46245</v>
      </c>
      <c r="BK16" s="116">
        <f t="shared" si="28"/>
        <v>46246</v>
      </c>
      <c r="BL16" s="116">
        <f t="shared" si="28"/>
        <v>46247</v>
      </c>
      <c r="BM16" s="116">
        <f t="shared" si="28"/>
        <v>46248</v>
      </c>
      <c r="BN16" s="116">
        <f t="shared" si="28"/>
        <v>46249</v>
      </c>
      <c r="BO16" s="116">
        <f t="shared" si="28"/>
        <v>46250</v>
      </c>
      <c r="BP16" s="116">
        <f t="shared" si="28"/>
        <v>46251</v>
      </c>
      <c r="BQ16" s="116">
        <f t="shared" si="28"/>
        <v>46252</v>
      </c>
      <c r="BR16" s="116">
        <f t="shared" si="28"/>
        <v>46253</v>
      </c>
      <c r="BS16" s="116">
        <f t="shared" si="28"/>
        <v>46254</v>
      </c>
      <c r="BT16" s="116">
        <f t="shared" si="28"/>
        <v>46255</v>
      </c>
      <c r="BU16" s="116">
        <f t="shared" si="28"/>
        <v>46256</v>
      </c>
      <c r="BV16" s="116">
        <f t="shared" si="28"/>
        <v>46257</v>
      </c>
      <c r="BW16" s="116">
        <f t="shared" si="28"/>
        <v>46258</v>
      </c>
      <c r="BX16" s="116">
        <f t="shared" si="28"/>
        <v>46259</v>
      </c>
      <c r="BY16" s="116">
        <f t="shared" si="28"/>
        <v>46260</v>
      </c>
      <c r="BZ16" s="116">
        <f t="shared" si="28"/>
        <v>46261</v>
      </c>
      <c r="CA16" s="116">
        <f t="shared" ref="CA16:CS16" si="29">BZ16+1</f>
        <v>46262</v>
      </c>
      <c r="CB16" s="116">
        <f t="shared" si="29"/>
        <v>46263</v>
      </c>
      <c r="CC16" s="116">
        <f t="shared" si="29"/>
        <v>46264</v>
      </c>
      <c r="CD16" s="116">
        <f t="shared" si="29"/>
        <v>46265</v>
      </c>
      <c r="CE16" s="116">
        <f t="shared" si="29"/>
        <v>46266</v>
      </c>
      <c r="CF16" s="116">
        <f t="shared" si="29"/>
        <v>46267</v>
      </c>
      <c r="CG16" s="116">
        <f t="shared" si="29"/>
        <v>46268</v>
      </c>
      <c r="CH16" s="116">
        <f t="shared" si="29"/>
        <v>46269</v>
      </c>
      <c r="CI16" s="116">
        <f t="shared" si="29"/>
        <v>46270</v>
      </c>
      <c r="CJ16" s="116">
        <f t="shared" si="29"/>
        <v>46271</v>
      </c>
      <c r="CK16" s="116">
        <f t="shared" si="29"/>
        <v>46272</v>
      </c>
      <c r="CL16" s="116">
        <f t="shared" si="29"/>
        <v>46273</v>
      </c>
      <c r="CM16" s="116">
        <f t="shared" si="29"/>
        <v>46274</v>
      </c>
      <c r="CN16" s="116">
        <f t="shared" si="29"/>
        <v>46275</v>
      </c>
      <c r="CO16" s="116">
        <f t="shared" si="29"/>
        <v>46276</v>
      </c>
      <c r="CP16" s="116">
        <f t="shared" si="29"/>
        <v>46277</v>
      </c>
      <c r="CQ16" s="116">
        <f t="shared" si="29"/>
        <v>46278</v>
      </c>
      <c r="CR16" s="116">
        <f t="shared" si="29"/>
        <v>46279</v>
      </c>
      <c r="CS16" s="116">
        <f t="shared" si="29"/>
        <v>46280</v>
      </c>
    </row>
    <row r="17" spans="1:122">
      <c r="A17" s="476"/>
      <c r="B17" s="451"/>
      <c r="C17" s="451"/>
      <c r="D17" s="467" t="str">
        <f>'BESS 12'!H5</f>
        <v>01 Aug
05 Aug</v>
      </c>
      <c r="E17" s="109" t="s">
        <v>64</v>
      </c>
      <c r="F17" s="102" t="e">
        <f>SUM('BESS 12'!S19:S26,'BESS 12'!S28)</f>
        <v>#VALUE!</v>
      </c>
      <c r="G17" s="165">
        <f>MAX('BESS 12'!O19:O26,'BESS 12'!O28)</f>
        <v>0</v>
      </c>
      <c r="H17" s="110">
        <f t="shared" ref="H17:H18" ca="1" si="30">TODAY()</f>
        <v>46233</v>
      </c>
      <c r="I17" s="102">
        <f ca="1">G17-H17</f>
        <v>-46233</v>
      </c>
      <c r="J17" s="506">
        <f ca="1">AVERAGEIF(L22:CP22,"&gt;0")</f>
        <v>8.3333333333333339</v>
      </c>
      <c r="K17" s="506">
        <f ca="1">MAX(L22:CS22)</f>
        <v>30</v>
      </c>
      <c r="L17" s="101" t="str">
        <f t="shared" ref="L17:U20" ca="1" si="31">IF(AND(L$1&gt;=$H17,L$1&lt;($H17+$I17)),ROUND($F17/$I17,0),"-")</f>
        <v>-</v>
      </c>
      <c r="M17" s="101" t="str">
        <f t="shared" ca="1" si="31"/>
        <v>-</v>
      </c>
      <c r="N17" s="101" t="str">
        <f t="shared" ca="1" si="31"/>
        <v>-</v>
      </c>
      <c r="O17" s="101" t="str">
        <f t="shared" ca="1" si="31"/>
        <v>-</v>
      </c>
      <c r="P17" s="101" t="str">
        <f t="shared" ca="1" si="31"/>
        <v>-</v>
      </c>
      <c r="Q17" s="101" t="str">
        <f t="shared" ca="1" si="31"/>
        <v>-</v>
      </c>
      <c r="R17" s="101" t="str">
        <f t="shared" ca="1" si="31"/>
        <v>-</v>
      </c>
      <c r="S17" s="101" t="str">
        <f t="shared" ca="1" si="31"/>
        <v>-</v>
      </c>
      <c r="T17" s="101" t="str">
        <f t="shared" ca="1" si="31"/>
        <v>-</v>
      </c>
      <c r="U17" s="101" t="str">
        <f t="shared" ca="1" si="31"/>
        <v>-</v>
      </c>
      <c r="V17" s="101" t="str">
        <f t="shared" ref="V17:AE20" ca="1" si="32">IF(AND(V$1&gt;=$H17,V$1&lt;($H17+$I17)),ROUND($F17/$I17,0),"-")</f>
        <v>-</v>
      </c>
      <c r="W17" s="101" t="str">
        <f t="shared" ca="1" si="32"/>
        <v>-</v>
      </c>
      <c r="X17" s="101" t="str">
        <f t="shared" ca="1" si="32"/>
        <v>-</v>
      </c>
      <c r="Y17" s="101" t="str">
        <f t="shared" ca="1" si="32"/>
        <v>-</v>
      </c>
      <c r="Z17" s="101" t="str">
        <f t="shared" ca="1" si="32"/>
        <v>-</v>
      </c>
      <c r="AA17" s="101" t="str">
        <f t="shared" ca="1" si="32"/>
        <v>-</v>
      </c>
      <c r="AB17" s="101" t="str">
        <f t="shared" ca="1" si="32"/>
        <v>-</v>
      </c>
      <c r="AC17" s="101" t="str">
        <f t="shared" ca="1" si="32"/>
        <v>-</v>
      </c>
      <c r="AD17" s="101" t="str">
        <f t="shared" ca="1" si="32"/>
        <v>-</v>
      </c>
      <c r="AE17" s="101" t="str">
        <f t="shared" ca="1" si="32"/>
        <v>-</v>
      </c>
      <c r="AF17" s="101" t="str">
        <f t="shared" ref="AF17:AO20" ca="1" si="33">IF(AND(AF$1&gt;=$H17,AF$1&lt;($H17+$I17)),ROUND($F17/$I17,0),"-")</f>
        <v>-</v>
      </c>
      <c r="AG17" s="101" t="str">
        <f t="shared" ca="1" si="33"/>
        <v>-</v>
      </c>
      <c r="AH17" s="101" t="str">
        <f t="shared" ca="1" si="33"/>
        <v>-</v>
      </c>
      <c r="AI17" s="101" t="str">
        <f t="shared" ca="1" si="33"/>
        <v>-</v>
      </c>
      <c r="AJ17" s="101" t="str">
        <f t="shared" ca="1" si="33"/>
        <v>-</v>
      </c>
      <c r="AK17" s="101" t="str">
        <f t="shared" ca="1" si="33"/>
        <v>-</v>
      </c>
      <c r="AL17" s="101" t="str">
        <f t="shared" ca="1" si="33"/>
        <v>-</v>
      </c>
      <c r="AM17" s="101" t="str">
        <f t="shared" ca="1" si="33"/>
        <v>-</v>
      </c>
      <c r="AN17" s="101" t="str">
        <f t="shared" ca="1" si="33"/>
        <v>-</v>
      </c>
      <c r="AO17" s="101" t="str">
        <f t="shared" ca="1" si="33"/>
        <v>-</v>
      </c>
      <c r="AP17" s="101" t="str">
        <f t="shared" ref="AP17:AY20" ca="1" si="34">IF(AND(AP$1&gt;=$H17,AP$1&lt;($H17+$I17)),ROUND($F17/$I17,0),"-")</f>
        <v>-</v>
      </c>
      <c r="AQ17" s="101" t="str">
        <f t="shared" ca="1" si="34"/>
        <v>-</v>
      </c>
      <c r="AR17" s="101" t="str">
        <f t="shared" ca="1" si="34"/>
        <v>-</v>
      </c>
      <c r="AS17" s="101" t="str">
        <f t="shared" ca="1" si="34"/>
        <v>-</v>
      </c>
      <c r="AT17" s="101" t="str">
        <f t="shared" ca="1" si="34"/>
        <v>-</v>
      </c>
      <c r="AU17" s="101" t="str">
        <f t="shared" ca="1" si="34"/>
        <v>-</v>
      </c>
      <c r="AV17" s="101" t="str">
        <f t="shared" ca="1" si="34"/>
        <v>-</v>
      </c>
      <c r="AW17" s="101" t="str">
        <f t="shared" ca="1" si="34"/>
        <v>-</v>
      </c>
      <c r="AX17" s="101" t="str">
        <f t="shared" ca="1" si="34"/>
        <v>-</v>
      </c>
      <c r="AY17" s="101" t="str">
        <f t="shared" ca="1" si="34"/>
        <v>-</v>
      </c>
      <c r="AZ17" s="101" t="str">
        <f t="shared" ref="AZ17:BI20" ca="1" si="35">IF(AND(AZ$1&gt;=$H17,AZ$1&lt;($H17+$I17)),ROUND($F17/$I17,0),"-")</f>
        <v>-</v>
      </c>
      <c r="BA17" s="101" t="str">
        <f t="shared" ca="1" si="35"/>
        <v>-</v>
      </c>
      <c r="BB17" s="101" t="str">
        <f t="shared" ca="1" si="35"/>
        <v>-</v>
      </c>
      <c r="BC17" s="101" t="str">
        <f t="shared" ca="1" si="35"/>
        <v>-</v>
      </c>
      <c r="BD17" s="101" t="str">
        <f t="shared" ca="1" si="35"/>
        <v>-</v>
      </c>
      <c r="BE17" s="101" t="str">
        <f t="shared" ca="1" si="35"/>
        <v>-</v>
      </c>
      <c r="BF17" s="101" t="str">
        <f t="shared" ca="1" si="35"/>
        <v>-</v>
      </c>
      <c r="BG17" s="101" t="str">
        <f t="shared" ca="1" si="35"/>
        <v>-</v>
      </c>
      <c r="BH17" s="101" t="str">
        <f t="shared" ca="1" si="35"/>
        <v>-</v>
      </c>
      <c r="BI17" s="101" t="str">
        <f t="shared" ca="1" si="35"/>
        <v>-</v>
      </c>
      <c r="BJ17" s="101" t="str">
        <f t="shared" ref="BJ17:BS20" ca="1" si="36">IF(AND(BJ$1&gt;=$H17,BJ$1&lt;($H17+$I17)),ROUND($F17/$I17,0),"-")</f>
        <v>-</v>
      </c>
      <c r="BK17" s="101" t="str">
        <f t="shared" ca="1" si="36"/>
        <v>-</v>
      </c>
      <c r="BL17" s="101" t="str">
        <f t="shared" ca="1" si="36"/>
        <v>-</v>
      </c>
      <c r="BM17" s="101" t="str">
        <f t="shared" ca="1" si="36"/>
        <v>-</v>
      </c>
      <c r="BN17" s="101" t="str">
        <f t="shared" ca="1" si="36"/>
        <v>-</v>
      </c>
      <c r="BO17" s="101" t="str">
        <f t="shared" ca="1" si="36"/>
        <v>-</v>
      </c>
      <c r="BP17" s="101" t="str">
        <f t="shared" ca="1" si="36"/>
        <v>-</v>
      </c>
      <c r="BQ17" s="101" t="str">
        <f t="shared" ca="1" si="36"/>
        <v>-</v>
      </c>
      <c r="BR17" s="101" t="str">
        <f t="shared" ca="1" si="36"/>
        <v>-</v>
      </c>
      <c r="BS17" s="101" t="str">
        <f t="shared" ca="1" si="36"/>
        <v>-</v>
      </c>
      <c r="BT17" s="101" t="str">
        <f t="shared" ref="BT17:CC20" ca="1" si="37">IF(AND(BT$1&gt;=$H17,BT$1&lt;($H17+$I17)),ROUND($F17/$I17,0),"-")</f>
        <v>-</v>
      </c>
      <c r="BU17" s="101" t="str">
        <f t="shared" ca="1" si="37"/>
        <v>-</v>
      </c>
      <c r="BV17" s="101" t="str">
        <f t="shared" ca="1" si="37"/>
        <v>-</v>
      </c>
      <c r="BW17" s="101" t="str">
        <f t="shared" ca="1" si="37"/>
        <v>-</v>
      </c>
      <c r="BX17" s="101" t="str">
        <f t="shared" ca="1" si="37"/>
        <v>-</v>
      </c>
      <c r="BY17" s="101" t="str">
        <f t="shared" ca="1" si="37"/>
        <v>-</v>
      </c>
      <c r="BZ17" s="101" t="str">
        <f t="shared" ca="1" si="37"/>
        <v>-</v>
      </c>
      <c r="CA17" s="101" t="str">
        <f t="shared" ca="1" si="37"/>
        <v>-</v>
      </c>
      <c r="CB17" s="101" t="str">
        <f t="shared" ca="1" si="37"/>
        <v>-</v>
      </c>
      <c r="CC17" s="101" t="str">
        <f t="shared" ca="1" si="37"/>
        <v>-</v>
      </c>
      <c r="CD17" s="101" t="str">
        <f t="shared" ref="CD17:CM20" ca="1" si="38">IF(AND(CD$1&gt;=$H17,CD$1&lt;($H17+$I17)),ROUND($F17/$I17,0),"-")</f>
        <v>-</v>
      </c>
      <c r="CE17" s="101" t="str">
        <f t="shared" ca="1" si="38"/>
        <v>-</v>
      </c>
      <c r="CF17" s="101" t="str">
        <f t="shared" ca="1" si="38"/>
        <v>-</v>
      </c>
      <c r="CG17" s="101" t="str">
        <f t="shared" ca="1" si="38"/>
        <v>-</v>
      </c>
      <c r="CH17" s="101" t="str">
        <f t="shared" ca="1" si="38"/>
        <v>-</v>
      </c>
      <c r="CI17" s="101" t="str">
        <f t="shared" ca="1" si="38"/>
        <v>-</v>
      </c>
      <c r="CJ17" s="101" t="str">
        <f t="shared" ca="1" si="38"/>
        <v>-</v>
      </c>
      <c r="CK17" s="101" t="str">
        <f t="shared" ca="1" si="38"/>
        <v>-</v>
      </c>
      <c r="CL17" s="101" t="str">
        <f t="shared" ca="1" si="38"/>
        <v>-</v>
      </c>
      <c r="CM17" s="101" t="str">
        <f t="shared" ca="1" si="38"/>
        <v>-</v>
      </c>
      <c r="CN17" s="101" t="str">
        <f t="shared" ref="CN17:CS20" ca="1" si="39">IF(AND(CN$1&gt;=$H17,CN$1&lt;($H17+$I17)),ROUND($F17/$I17,0),"-")</f>
        <v>-</v>
      </c>
      <c r="CO17" s="101" t="str">
        <f t="shared" ca="1" si="39"/>
        <v>-</v>
      </c>
      <c r="CP17" s="101" t="str">
        <f t="shared" ca="1" si="39"/>
        <v>-</v>
      </c>
      <c r="CQ17" s="101" t="str">
        <f t="shared" ca="1" si="39"/>
        <v>-</v>
      </c>
      <c r="CR17" s="101" t="str">
        <f t="shared" ca="1" si="39"/>
        <v>-</v>
      </c>
      <c r="CS17" s="101" t="str">
        <f t="shared" ca="1" si="39"/>
        <v>-</v>
      </c>
    </row>
    <row r="18" spans="1:122">
      <c r="A18" s="476"/>
      <c r="B18" s="451"/>
      <c r="C18" s="451"/>
      <c r="D18" s="466"/>
      <c r="E18" s="109" t="s">
        <v>65</v>
      </c>
      <c r="F18" s="102" t="e">
        <f>SUM('BESS 12'!S29,'BESS 12'!S31,'BESS 12'!S32,'BESS 12'!S35:S37)</f>
        <v>#VALUE!</v>
      </c>
      <c r="G18" s="165">
        <f>MAX('BESS 12'!O29,'BESS 12'!O31,'BESS 12'!O32,'BESS 12'!O35:O37)</f>
        <v>0</v>
      </c>
      <c r="H18" s="110">
        <f t="shared" ca="1" si="30"/>
        <v>46233</v>
      </c>
      <c r="I18" s="102">
        <f ca="1">G18-H18</f>
        <v>-46233</v>
      </c>
      <c r="J18" s="507"/>
      <c r="K18" s="476"/>
      <c r="L18" s="101" t="str">
        <f t="shared" ca="1" si="31"/>
        <v>-</v>
      </c>
      <c r="M18" s="101" t="str">
        <f t="shared" ca="1" si="31"/>
        <v>-</v>
      </c>
      <c r="N18" s="101" t="str">
        <f t="shared" ca="1" si="31"/>
        <v>-</v>
      </c>
      <c r="O18" s="101" t="str">
        <f t="shared" ca="1" si="31"/>
        <v>-</v>
      </c>
      <c r="P18" s="101" t="str">
        <f t="shared" ca="1" si="31"/>
        <v>-</v>
      </c>
      <c r="Q18" s="101" t="str">
        <f t="shared" ca="1" si="31"/>
        <v>-</v>
      </c>
      <c r="R18" s="101" t="str">
        <f t="shared" ca="1" si="31"/>
        <v>-</v>
      </c>
      <c r="S18" s="101" t="str">
        <f t="shared" ca="1" si="31"/>
        <v>-</v>
      </c>
      <c r="T18" s="101" t="str">
        <f t="shared" ca="1" si="31"/>
        <v>-</v>
      </c>
      <c r="U18" s="101" t="str">
        <f t="shared" ca="1" si="31"/>
        <v>-</v>
      </c>
      <c r="V18" s="101" t="str">
        <f t="shared" ca="1" si="32"/>
        <v>-</v>
      </c>
      <c r="W18" s="101" t="str">
        <f t="shared" ca="1" si="32"/>
        <v>-</v>
      </c>
      <c r="X18" s="101" t="str">
        <f t="shared" ca="1" si="32"/>
        <v>-</v>
      </c>
      <c r="Y18" s="101" t="str">
        <f t="shared" ca="1" si="32"/>
        <v>-</v>
      </c>
      <c r="Z18" s="101" t="str">
        <f t="shared" ca="1" si="32"/>
        <v>-</v>
      </c>
      <c r="AA18" s="101" t="str">
        <f t="shared" ca="1" si="32"/>
        <v>-</v>
      </c>
      <c r="AB18" s="101" t="str">
        <f t="shared" ca="1" si="32"/>
        <v>-</v>
      </c>
      <c r="AC18" s="101" t="str">
        <f t="shared" ca="1" si="32"/>
        <v>-</v>
      </c>
      <c r="AD18" s="101" t="str">
        <f t="shared" ca="1" si="32"/>
        <v>-</v>
      </c>
      <c r="AE18" s="101" t="str">
        <f t="shared" ca="1" si="32"/>
        <v>-</v>
      </c>
      <c r="AF18" s="101" t="str">
        <f t="shared" ca="1" si="33"/>
        <v>-</v>
      </c>
      <c r="AG18" s="101" t="str">
        <f t="shared" ca="1" si="33"/>
        <v>-</v>
      </c>
      <c r="AH18" s="101" t="str">
        <f t="shared" ca="1" si="33"/>
        <v>-</v>
      </c>
      <c r="AI18" s="101" t="str">
        <f t="shared" ca="1" si="33"/>
        <v>-</v>
      </c>
      <c r="AJ18" s="101" t="str">
        <f t="shared" ca="1" si="33"/>
        <v>-</v>
      </c>
      <c r="AK18" s="101" t="str">
        <f t="shared" ca="1" si="33"/>
        <v>-</v>
      </c>
      <c r="AL18" s="101" t="str">
        <f t="shared" ca="1" si="33"/>
        <v>-</v>
      </c>
      <c r="AM18" s="101" t="str">
        <f t="shared" ca="1" si="33"/>
        <v>-</v>
      </c>
      <c r="AN18" s="101" t="str">
        <f t="shared" ca="1" si="33"/>
        <v>-</v>
      </c>
      <c r="AO18" s="101" t="str">
        <f t="shared" ca="1" si="33"/>
        <v>-</v>
      </c>
      <c r="AP18" s="101" t="str">
        <f t="shared" ca="1" si="34"/>
        <v>-</v>
      </c>
      <c r="AQ18" s="101" t="str">
        <f t="shared" ca="1" si="34"/>
        <v>-</v>
      </c>
      <c r="AR18" s="101" t="str">
        <f t="shared" ca="1" si="34"/>
        <v>-</v>
      </c>
      <c r="AS18" s="101" t="str">
        <f t="shared" ca="1" si="34"/>
        <v>-</v>
      </c>
      <c r="AT18" s="101" t="str">
        <f t="shared" ca="1" si="34"/>
        <v>-</v>
      </c>
      <c r="AU18" s="101" t="str">
        <f t="shared" ca="1" si="34"/>
        <v>-</v>
      </c>
      <c r="AV18" s="101" t="str">
        <f t="shared" ca="1" si="34"/>
        <v>-</v>
      </c>
      <c r="AW18" s="101" t="str">
        <f t="shared" ca="1" si="34"/>
        <v>-</v>
      </c>
      <c r="AX18" s="101" t="str">
        <f t="shared" ca="1" si="34"/>
        <v>-</v>
      </c>
      <c r="AY18" s="101" t="str">
        <f t="shared" ca="1" si="34"/>
        <v>-</v>
      </c>
      <c r="AZ18" s="101" t="str">
        <f t="shared" ca="1" si="35"/>
        <v>-</v>
      </c>
      <c r="BA18" s="101" t="str">
        <f t="shared" ca="1" si="35"/>
        <v>-</v>
      </c>
      <c r="BB18" s="101" t="str">
        <f t="shared" ca="1" si="35"/>
        <v>-</v>
      </c>
      <c r="BC18" s="101" t="str">
        <f t="shared" ca="1" si="35"/>
        <v>-</v>
      </c>
      <c r="BD18" s="101" t="str">
        <f t="shared" ca="1" si="35"/>
        <v>-</v>
      </c>
      <c r="BE18" s="101" t="str">
        <f t="shared" ca="1" si="35"/>
        <v>-</v>
      </c>
      <c r="BF18" s="101" t="str">
        <f t="shared" ca="1" si="35"/>
        <v>-</v>
      </c>
      <c r="BG18" s="101" t="str">
        <f t="shared" ca="1" si="35"/>
        <v>-</v>
      </c>
      <c r="BH18" s="101" t="str">
        <f t="shared" ca="1" si="35"/>
        <v>-</v>
      </c>
      <c r="BI18" s="101" t="str">
        <f t="shared" ca="1" si="35"/>
        <v>-</v>
      </c>
      <c r="BJ18" s="101" t="str">
        <f t="shared" ca="1" si="36"/>
        <v>-</v>
      </c>
      <c r="BK18" s="101" t="str">
        <f t="shared" ca="1" si="36"/>
        <v>-</v>
      </c>
      <c r="BL18" s="101" t="str">
        <f t="shared" ca="1" si="36"/>
        <v>-</v>
      </c>
      <c r="BM18" s="101" t="str">
        <f t="shared" ca="1" si="36"/>
        <v>-</v>
      </c>
      <c r="BN18" s="101" t="str">
        <f t="shared" ca="1" si="36"/>
        <v>-</v>
      </c>
      <c r="BO18" s="101" t="str">
        <f t="shared" ca="1" si="36"/>
        <v>-</v>
      </c>
      <c r="BP18" s="101" t="str">
        <f t="shared" ca="1" si="36"/>
        <v>-</v>
      </c>
      <c r="BQ18" s="101" t="str">
        <f t="shared" ca="1" si="36"/>
        <v>-</v>
      </c>
      <c r="BR18" s="101" t="str">
        <f t="shared" ca="1" si="36"/>
        <v>-</v>
      </c>
      <c r="BS18" s="101" t="str">
        <f t="shared" ca="1" si="36"/>
        <v>-</v>
      </c>
      <c r="BT18" s="101" t="str">
        <f t="shared" ca="1" si="37"/>
        <v>-</v>
      </c>
      <c r="BU18" s="101" t="str">
        <f t="shared" ca="1" si="37"/>
        <v>-</v>
      </c>
      <c r="BV18" s="101" t="str">
        <f t="shared" ca="1" si="37"/>
        <v>-</v>
      </c>
      <c r="BW18" s="101" t="str">
        <f t="shared" ca="1" si="37"/>
        <v>-</v>
      </c>
      <c r="BX18" s="101" t="str">
        <f t="shared" ca="1" si="37"/>
        <v>-</v>
      </c>
      <c r="BY18" s="101" t="str">
        <f t="shared" ca="1" si="37"/>
        <v>-</v>
      </c>
      <c r="BZ18" s="101" t="str">
        <f t="shared" ca="1" si="37"/>
        <v>-</v>
      </c>
      <c r="CA18" s="101" t="str">
        <f t="shared" ca="1" si="37"/>
        <v>-</v>
      </c>
      <c r="CB18" s="101" t="str">
        <f t="shared" ca="1" si="37"/>
        <v>-</v>
      </c>
      <c r="CC18" s="101" t="str">
        <f t="shared" ca="1" si="37"/>
        <v>-</v>
      </c>
      <c r="CD18" s="101" t="str">
        <f t="shared" ca="1" si="38"/>
        <v>-</v>
      </c>
      <c r="CE18" s="101" t="str">
        <f t="shared" ca="1" si="38"/>
        <v>-</v>
      </c>
      <c r="CF18" s="101" t="str">
        <f t="shared" ca="1" si="38"/>
        <v>-</v>
      </c>
      <c r="CG18" s="101" t="str">
        <f t="shared" ca="1" si="38"/>
        <v>-</v>
      </c>
      <c r="CH18" s="101" t="str">
        <f t="shared" ca="1" si="38"/>
        <v>-</v>
      </c>
      <c r="CI18" s="101" t="str">
        <f t="shared" ca="1" si="38"/>
        <v>-</v>
      </c>
      <c r="CJ18" s="101" t="str">
        <f t="shared" ca="1" si="38"/>
        <v>-</v>
      </c>
      <c r="CK18" s="101" t="str">
        <f t="shared" ca="1" si="38"/>
        <v>-</v>
      </c>
      <c r="CL18" s="101" t="str">
        <f t="shared" ca="1" si="38"/>
        <v>-</v>
      </c>
      <c r="CM18" s="101" t="str">
        <f t="shared" ca="1" si="38"/>
        <v>-</v>
      </c>
      <c r="CN18" s="101" t="str">
        <f t="shared" ca="1" si="39"/>
        <v>-</v>
      </c>
      <c r="CO18" s="101" t="str">
        <f t="shared" ca="1" si="39"/>
        <v>-</v>
      </c>
      <c r="CP18" s="101" t="str">
        <f t="shared" ca="1" si="39"/>
        <v>-</v>
      </c>
      <c r="CQ18" s="101" t="str">
        <f t="shared" ca="1" si="39"/>
        <v>-</v>
      </c>
      <c r="CR18" s="101" t="str">
        <f t="shared" ca="1" si="39"/>
        <v>-</v>
      </c>
      <c r="CS18" s="101" t="str">
        <f t="shared" ca="1" si="39"/>
        <v>-</v>
      </c>
    </row>
    <row r="19" spans="1:122">
      <c r="A19" s="476"/>
      <c r="B19" s="451"/>
      <c r="C19" s="451"/>
      <c r="D19" s="466"/>
      <c r="E19" s="109" t="s">
        <v>66</v>
      </c>
      <c r="F19" s="102" t="e">
        <f>SUM('BESS 12'!S30,'BESS 12'!S33:S34,'BESS 12'!S38:S39)</f>
        <v>#VALUE!</v>
      </c>
      <c r="G19" s="165">
        <f>MAX('BESS 12'!O30,'BESS 12'!O32,'BESS 12'!O33,'BESS 12'!O36:O38)</f>
        <v>0</v>
      </c>
      <c r="H19" s="110">
        <f ca="1">H18+7</f>
        <v>46240</v>
      </c>
      <c r="I19" s="102">
        <f ca="1">G19-H19</f>
        <v>-46240</v>
      </c>
      <c r="J19" s="507"/>
      <c r="K19" s="476"/>
      <c r="L19" s="101" t="str">
        <f t="shared" ca="1" si="31"/>
        <v>-</v>
      </c>
      <c r="M19" s="101" t="str">
        <f t="shared" ca="1" si="31"/>
        <v>-</v>
      </c>
      <c r="N19" s="101" t="str">
        <f t="shared" ca="1" si="31"/>
        <v>-</v>
      </c>
      <c r="O19" s="101" t="str">
        <f t="shared" ca="1" si="31"/>
        <v>-</v>
      </c>
      <c r="P19" s="101" t="str">
        <f t="shared" ca="1" si="31"/>
        <v>-</v>
      </c>
      <c r="Q19" s="101" t="str">
        <f t="shared" ca="1" si="31"/>
        <v>-</v>
      </c>
      <c r="R19" s="101" t="str">
        <f t="shared" ca="1" si="31"/>
        <v>-</v>
      </c>
      <c r="S19" s="101" t="str">
        <f t="shared" ca="1" si="31"/>
        <v>-</v>
      </c>
      <c r="T19" s="101" t="str">
        <f t="shared" ca="1" si="31"/>
        <v>-</v>
      </c>
      <c r="U19" s="101" t="str">
        <f t="shared" ca="1" si="31"/>
        <v>-</v>
      </c>
      <c r="V19" s="101" t="str">
        <f t="shared" ca="1" si="32"/>
        <v>-</v>
      </c>
      <c r="W19" s="101" t="str">
        <f t="shared" ca="1" si="32"/>
        <v>-</v>
      </c>
      <c r="X19" s="101" t="str">
        <f t="shared" ca="1" si="32"/>
        <v>-</v>
      </c>
      <c r="Y19" s="101" t="str">
        <f t="shared" ca="1" si="32"/>
        <v>-</v>
      </c>
      <c r="Z19" s="101" t="str">
        <f t="shared" ca="1" si="32"/>
        <v>-</v>
      </c>
      <c r="AA19" s="101" t="str">
        <f t="shared" ca="1" si="32"/>
        <v>-</v>
      </c>
      <c r="AB19" s="101" t="str">
        <f t="shared" ca="1" si="32"/>
        <v>-</v>
      </c>
      <c r="AC19" s="101" t="str">
        <f t="shared" ca="1" si="32"/>
        <v>-</v>
      </c>
      <c r="AD19" s="101" t="str">
        <f t="shared" ca="1" si="32"/>
        <v>-</v>
      </c>
      <c r="AE19" s="101" t="str">
        <f t="shared" ca="1" si="32"/>
        <v>-</v>
      </c>
      <c r="AF19" s="101" t="str">
        <f t="shared" ca="1" si="33"/>
        <v>-</v>
      </c>
      <c r="AG19" s="101" t="str">
        <f t="shared" ca="1" si="33"/>
        <v>-</v>
      </c>
      <c r="AH19" s="101" t="str">
        <f t="shared" ca="1" si="33"/>
        <v>-</v>
      </c>
      <c r="AI19" s="101" t="str">
        <f t="shared" ca="1" si="33"/>
        <v>-</v>
      </c>
      <c r="AJ19" s="101" t="str">
        <f t="shared" ca="1" si="33"/>
        <v>-</v>
      </c>
      <c r="AK19" s="101" t="str">
        <f t="shared" ca="1" si="33"/>
        <v>-</v>
      </c>
      <c r="AL19" s="101" t="str">
        <f t="shared" ca="1" si="33"/>
        <v>-</v>
      </c>
      <c r="AM19" s="101" t="str">
        <f t="shared" ca="1" si="33"/>
        <v>-</v>
      </c>
      <c r="AN19" s="101" t="str">
        <f t="shared" ca="1" si="33"/>
        <v>-</v>
      </c>
      <c r="AO19" s="101" t="str">
        <f t="shared" ca="1" si="33"/>
        <v>-</v>
      </c>
      <c r="AP19" s="101" t="str">
        <f t="shared" ca="1" si="34"/>
        <v>-</v>
      </c>
      <c r="AQ19" s="101" t="str">
        <f t="shared" ca="1" si="34"/>
        <v>-</v>
      </c>
      <c r="AR19" s="101" t="str">
        <f t="shared" ca="1" si="34"/>
        <v>-</v>
      </c>
      <c r="AS19" s="101" t="str">
        <f t="shared" ca="1" si="34"/>
        <v>-</v>
      </c>
      <c r="AT19" s="101" t="str">
        <f t="shared" ca="1" si="34"/>
        <v>-</v>
      </c>
      <c r="AU19" s="101" t="str">
        <f t="shared" ca="1" si="34"/>
        <v>-</v>
      </c>
      <c r="AV19" s="101" t="str">
        <f t="shared" ca="1" si="34"/>
        <v>-</v>
      </c>
      <c r="AW19" s="101" t="str">
        <f t="shared" ca="1" si="34"/>
        <v>-</v>
      </c>
      <c r="AX19" s="101" t="str">
        <f t="shared" ca="1" si="34"/>
        <v>-</v>
      </c>
      <c r="AY19" s="101" t="str">
        <f t="shared" ca="1" si="34"/>
        <v>-</v>
      </c>
      <c r="AZ19" s="101" t="str">
        <f t="shared" ca="1" si="35"/>
        <v>-</v>
      </c>
      <c r="BA19" s="101" t="str">
        <f t="shared" ca="1" si="35"/>
        <v>-</v>
      </c>
      <c r="BB19" s="101" t="str">
        <f t="shared" ca="1" si="35"/>
        <v>-</v>
      </c>
      <c r="BC19" s="101" t="str">
        <f t="shared" ca="1" si="35"/>
        <v>-</v>
      </c>
      <c r="BD19" s="101" t="str">
        <f t="shared" ca="1" si="35"/>
        <v>-</v>
      </c>
      <c r="BE19" s="101" t="str">
        <f t="shared" ca="1" si="35"/>
        <v>-</v>
      </c>
      <c r="BF19" s="101" t="str">
        <f t="shared" ca="1" si="35"/>
        <v>-</v>
      </c>
      <c r="BG19" s="101" t="str">
        <f t="shared" ca="1" si="35"/>
        <v>-</v>
      </c>
      <c r="BH19" s="101" t="str">
        <f t="shared" ca="1" si="35"/>
        <v>-</v>
      </c>
      <c r="BI19" s="101" t="str">
        <f t="shared" ca="1" si="35"/>
        <v>-</v>
      </c>
      <c r="BJ19" s="101" t="str">
        <f t="shared" ca="1" si="36"/>
        <v>-</v>
      </c>
      <c r="BK19" s="101" t="str">
        <f t="shared" ca="1" si="36"/>
        <v>-</v>
      </c>
      <c r="BL19" s="101" t="str">
        <f t="shared" ca="1" si="36"/>
        <v>-</v>
      </c>
      <c r="BM19" s="101" t="str">
        <f t="shared" ca="1" si="36"/>
        <v>-</v>
      </c>
      <c r="BN19" s="101" t="str">
        <f t="shared" ca="1" si="36"/>
        <v>-</v>
      </c>
      <c r="BO19" s="101" t="str">
        <f t="shared" ca="1" si="36"/>
        <v>-</v>
      </c>
      <c r="BP19" s="101" t="str">
        <f t="shared" ca="1" si="36"/>
        <v>-</v>
      </c>
      <c r="BQ19" s="101" t="str">
        <f t="shared" ca="1" si="36"/>
        <v>-</v>
      </c>
      <c r="BR19" s="101" t="str">
        <f t="shared" ca="1" si="36"/>
        <v>-</v>
      </c>
      <c r="BS19" s="101" t="str">
        <f t="shared" ca="1" si="36"/>
        <v>-</v>
      </c>
      <c r="BT19" s="101" t="str">
        <f t="shared" ca="1" si="37"/>
        <v>-</v>
      </c>
      <c r="BU19" s="101" t="str">
        <f t="shared" ca="1" si="37"/>
        <v>-</v>
      </c>
      <c r="BV19" s="101" t="str">
        <f t="shared" ca="1" si="37"/>
        <v>-</v>
      </c>
      <c r="BW19" s="101" t="str">
        <f t="shared" ca="1" si="37"/>
        <v>-</v>
      </c>
      <c r="BX19" s="101" t="str">
        <f t="shared" ca="1" si="37"/>
        <v>-</v>
      </c>
      <c r="BY19" s="101" t="str">
        <f t="shared" ca="1" si="37"/>
        <v>-</v>
      </c>
      <c r="BZ19" s="101" t="str">
        <f t="shared" ca="1" si="37"/>
        <v>-</v>
      </c>
      <c r="CA19" s="101" t="str">
        <f t="shared" ca="1" si="37"/>
        <v>-</v>
      </c>
      <c r="CB19" s="101" t="str">
        <f t="shared" ca="1" si="37"/>
        <v>-</v>
      </c>
      <c r="CC19" s="101" t="str">
        <f t="shared" ca="1" si="37"/>
        <v>-</v>
      </c>
      <c r="CD19" s="101" t="str">
        <f t="shared" ca="1" si="38"/>
        <v>-</v>
      </c>
      <c r="CE19" s="101" t="str">
        <f t="shared" ca="1" si="38"/>
        <v>-</v>
      </c>
      <c r="CF19" s="101" t="str">
        <f t="shared" ca="1" si="38"/>
        <v>-</v>
      </c>
      <c r="CG19" s="101" t="str">
        <f t="shared" ca="1" si="38"/>
        <v>-</v>
      </c>
      <c r="CH19" s="101" t="str">
        <f t="shared" ca="1" si="38"/>
        <v>-</v>
      </c>
      <c r="CI19" s="101" t="str">
        <f t="shared" ca="1" si="38"/>
        <v>-</v>
      </c>
      <c r="CJ19" s="101" t="str">
        <f t="shared" ca="1" si="38"/>
        <v>-</v>
      </c>
      <c r="CK19" s="101" t="str">
        <f t="shared" ca="1" si="38"/>
        <v>-</v>
      </c>
      <c r="CL19" s="101" t="str">
        <f t="shared" ca="1" si="38"/>
        <v>-</v>
      </c>
      <c r="CM19" s="101" t="str">
        <f t="shared" ca="1" si="38"/>
        <v>-</v>
      </c>
      <c r="CN19" s="101" t="str">
        <f t="shared" ca="1" si="39"/>
        <v>-</v>
      </c>
      <c r="CO19" s="101" t="str">
        <f t="shared" ca="1" si="39"/>
        <v>-</v>
      </c>
      <c r="CP19" s="101" t="str">
        <f t="shared" ca="1" si="39"/>
        <v>-</v>
      </c>
      <c r="CQ19" s="101" t="str">
        <f t="shared" ca="1" si="39"/>
        <v>-</v>
      </c>
      <c r="CR19" s="101" t="str">
        <f t="shared" ca="1" si="39"/>
        <v>-</v>
      </c>
      <c r="CS19" s="101" t="str">
        <f t="shared" ca="1" si="39"/>
        <v>-</v>
      </c>
    </row>
    <row r="20" spans="1:122">
      <c r="A20" s="476"/>
      <c r="B20" s="451"/>
      <c r="C20" s="451"/>
      <c r="D20" s="466"/>
      <c r="E20" s="109" t="s">
        <v>67</v>
      </c>
      <c r="F20" s="102" t="e">
        <f>SUM('BESS 12'!S43:S50)</f>
        <v>#VALUE!</v>
      </c>
      <c r="G20" s="165">
        <f>MAX('BESS 12'!O43:O50)</f>
        <v>0</v>
      </c>
      <c r="H20" s="110">
        <f>G20-14</f>
        <v>-14</v>
      </c>
      <c r="I20" s="102">
        <f>G20-H20</f>
        <v>14</v>
      </c>
      <c r="J20" s="507"/>
      <c r="K20" s="476"/>
      <c r="L20" s="101" t="str">
        <f t="shared" si="31"/>
        <v>-</v>
      </c>
      <c r="M20" s="101" t="str">
        <f t="shared" si="31"/>
        <v>-</v>
      </c>
      <c r="N20" s="101" t="str">
        <f t="shared" si="31"/>
        <v>-</v>
      </c>
      <c r="O20" s="101" t="str">
        <f t="shared" si="31"/>
        <v>-</v>
      </c>
      <c r="P20" s="101" t="str">
        <f t="shared" si="31"/>
        <v>-</v>
      </c>
      <c r="Q20" s="101" t="str">
        <f t="shared" si="31"/>
        <v>-</v>
      </c>
      <c r="R20" s="101" t="str">
        <f t="shared" si="31"/>
        <v>-</v>
      </c>
      <c r="S20" s="101" t="str">
        <f t="shared" si="31"/>
        <v>-</v>
      </c>
      <c r="T20" s="101" t="str">
        <f t="shared" si="31"/>
        <v>-</v>
      </c>
      <c r="U20" s="101" t="str">
        <f t="shared" si="31"/>
        <v>-</v>
      </c>
      <c r="V20" s="101" t="str">
        <f t="shared" si="32"/>
        <v>-</v>
      </c>
      <c r="W20" s="101" t="str">
        <f t="shared" si="32"/>
        <v>-</v>
      </c>
      <c r="X20" s="101" t="str">
        <f t="shared" si="32"/>
        <v>-</v>
      </c>
      <c r="Y20" s="101" t="str">
        <f t="shared" si="32"/>
        <v>-</v>
      </c>
      <c r="Z20" s="101" t="str">
        <f t="shared" si="32"/>
        <v>-</v>
      </c>
      <c r="AA20" s="101" t="str">
        <f t="shared" si="32"/>
        <v>-</v>
      </c>
      <c r="AB20" s="101" t="str">
        <f t="shared" si="32"/>
        <v>-</v>
      </c>
      <c r="AC20" s="101" t="str">
        <f t="shared" si="32"/>
        <v>-</v>
      </c>
      <c r="AD20" s="101" t="str">
        <f t="shared" si="32"/>
        <v>-</v>
      </c>
      <c r="AE20" s="101" t="str">
        <f t="shared" si="32"/>
        <v>-</v>
      </c>
      <c r="AF20" s="101" t="str">
        <f t="shared" si="33"/>
        <v>-</v>
      </c>
      <c r="AG20" s="101" t="str">
        <f t="shared" si="33"/>
        <v>-</v>
      </c>
      <c r="AH20" s="101" t="str">
        <f t="shared" si="33"/>
        <v>-</v>
      </c>
      <c r="AI20" s="101" t="str">
        <f t="shared" si="33"/>
        <v>-</v>
      </c>
      <c r="AJ20" s="101" t="str">
        <f t="shared" si="33"/>
        <v>-</v>
      </c>
      <c r="AK20" s="101" t="str">
        <f t="shared" si="33"/>
        <v>-</v>
      </c>
      <c r="AL20" s="101" t="str">
        <f t="shared" si="33"/>
        <v>-</v>
      </c>
      <c r="AM20" s="101" t="str">
        <f t="shared" si="33"/>
        <v>-</v>
      </c>
      <c r="AN20" s="101" t="str">
        <f t="shared" si="33"/>
        <v>-</v>
      </c>
      <c r="AO20" s="101" t="str">
        <f t="shared" si="33"/>
        <v>-</v>
      </c>
      <c r="AP20" s="101" t="str">
        <f t="shared" si="34"/>
        <v>-</v>
      </c>
      <c r="AQ20" s="101" t="str">
        <f t="shared" si="34"/>
        <v>-</v>
      </c>
      <c r="AR20" s="101" t="str">
        <f t="shared" si="34"/>
        <v>-</v>
      </c>
      <c r="AS20" s="101" t="str">
        <f t="shared" si="34"/>
        <v>-</v>
      </c>
      <c r="AT20" s="101" t="str">
        <f t="shared" si="34"/>
        <v>-</v>
      </c>
      <c r="AU20" s="101" t="str">
        <f t="shared" si="34"/>
        <v>-</v>
      </c>
      <c r="AV20" s="101" t="str">
        <f t="shared" si="34"/>
        <v>-</v>
      </c>
      <c r="AW20" s="101" t="str">
        <f t="shared" si="34"/>
        <v>-</v>
      </c>
      <c r="AX20" s="101" t="str">
        <f t="shared" si="34"/>
        <v>-</v>
      </c>
      <c r="AY20" s="101" t="str">
        <f t="shared" si="34"/>
        <v>-</v>
      </c>
      <c r="AZ20" s="101" t="str">
        <f t="shared" si="35"/>
        <v>-</v>
      </c>
      <c r="BA20" s="101" t="str">
        <f t="shared" si="35"/>
        <v>-</v>
      </c>
      <c r="BB20" s="101" t="str">
        <f t="shared" si="35"/>
        <v>-</v>
      </c>
      <c r="BC20" s="101" t="str">
        <f t="shared" si="35"/>
        <v>-</v>
      </c>
      <c r="BD20" s="101" t="str">
        <f t="shared" si="35"/>
        <v>-</v>
      </c>
      <c r="BE20" s="101" t="str">
        <f t="shared" si="35"/>
        <v>-</v>
      </c>
      <c r="BF20" s="101" t="str">
        <f t="shared" si="35"/>
        <v>-</v>
      </c>
      <c r="BG20" s="101" t="str">
        <f t="shared" si="35"/>
        <v>-</v>
      </c>
      <c r="BH20" s="101" t="str">
        <f t="shared" si="35"/>
        <v>-</v>
      </c>
      <c r="BI20" s="101" t="str">
        <f t="shared" si="35"/>
        <v>-</v>
      </c>
      <c r="BJ20" s="101" t="str">
        <f t="shared" si="36"/>
        <v>-</v>
      </c>
      <c r="BK20" s="101" t="str">
        <f t="shared" si="36"/>
        <v>-</v>
      </c>
      <c r="BL20" s="101" t="str">
        <f t="shared" si="36"/>
        <v>-</v>
      </c>
      <c r="BM20" s="101" t="str">
        <f t="shared" si="36"/>
        <v>-</v>
      </c>
      <c r="BN20" s="101" t="str">
        <f t="shared" si="36"/>
        <v>-</v>
      </c>
      <c r="BO20" s="101" t="str">
        <f t="shared" si="36"/>
        <v>-</v>
      </c>
      <c r="BP20" s="101" t="str">
        <f t="shared" si="36"/>
        <v>-</v>
      </c>
      <c r="BQ20" s="101" t="str">
        <f t="shared" si="36"/>
        <v>-</v>
      </c>
      <c r="BR20" s="101" t="str">
        <f t="shared" si="36"/>
        <v>-</v>
      </c>
      <c r="BS20" s="101" t="str">
        <f t="shared" si="36"/>
        <v>-</v>
      </c>
      <c r="BT20" s="101" t="str">
        <f t="shared" si="37"/>
        <v>-</v>
      </c>
      <c r="BU20" s="101" t="str">
        <f t="shared" si="37"/>
        <v>-</v>
      </c>
      <c r="BV20" s="101" t="str">
        <f t="shared" si="37"/>
        <v>-</v>
      </c>
      <c r="BW20" s="101" t="str">
        <f t="shared" si="37"/>
        <v>-</v>
      </c>
      <c r="BX20" s="101" t="str">
        <f t="shared" si="37"/>
        <v>-</v>
      </c>
      <c r="BY20" s="101" t="str">
        <f t="shared" si="37"/>
        <v>-</v>
      </c>
      <c r="BZ20" s="101" t="str">
        <f t="shared" si="37"/>
        <v>-</v>
      </c>
      <c r="CA20" s="101" t="str">
        <f t="shared" si="37"/>
        <v>-</v>
      </c>
      <c r="CB20" s="101" t="str">
        <f t="shared" si="37"/>
        <v>-</v>
      </c>
      <c r="CC20" s="101" t="str">
        <f t="shared" si="37"/>
        <v>-</v>
      </c>
      <c r="CD20" s="101" t="str">
        <f t="shared" si="38"/>
        <v>-</v>
      </c>
      <c r="CE20" s="101" t="str">
        <f t="shared" si="38"/>
        <v>-</v>
      </c>
      <c r="CF20" s="101" t="str">
        <f t="shared" si="38"/>
        <v>-</v>
      </c>
      <c r="CG20" s="101" t="str">
        <f t="shared" si="38"/>
        <v>-</v>
      </c>
      <c r="CH20" s="101" t="str">
        <f t="shared" si="38"/>
        <v>-</v>
      </c>
      <c r="CI20" s="101" t="str">
        <f t="shared" si="38"/>
        <v>-</v>
      </c>
      <c r="CJ20" s="101" t="str">
        <f t="shared" si="38"/>
        <v>-</v>
      </c>
      <c r="CK20" s="101" t="str">
        <f t="shared" si="38"/>
        <v>-</v>
      </c>
      <c r="CL20" s="101" t="str">
        <f t="shared" si="38"/>
        <v>-</v>
      </c>
      <c r="CM20" s="101" t="str">
        <f t="shared" si="38"/>
        <v>-</v>
      </c>
      <c r="CN20" s="101" t="str">
        <f t="shared" si="39"/>
        <v>-</v>
      </c>
      <c r="CO20" s="101" t="str">
        <f t="shared" si="39"/>
        <v>-</v>
      </c>
      <c r="CP20" s="101" t="str">
        <f t="shared" si="39"/>
        <v>-</v>
      </c>
      <c r="CQ20" s="101" t="str">
        <f t="shared" si="39"/>
        <v>-</v>
      </c>
      <c r="CR20" s="101" t="str">
        <f t="shared" si="39"/>
        <v>-</v>
      </c>
      <c r="CS20" s="101" t="str">
        <f t="shared" si="39"/>
        <v>-</v>
      </c>
    </row>
    <row r="21" spans="1:122">
      <c r="A21" s="504"/>
      <c r="B21" s="452"/>
      <c r="C21" s="452"/>
      <c r="D21" s="466"/>
      <c r="E21" s="109" t="s">
        <v>68</v>
      </c>
      <c r="F21" s="101">
        <v>250</v>
      </c>
      <c r="G21" s="165" t="e">
        <f>B16-3</f>
        <v>#VALUE!</v>
      </c>
      <c r="H21" s="110"/>
      <c r="I21" s="102">
        <v>30</v>
      </c>
      <c r="J21" s="508"/>
      <c r="K21" s="504"/>
      <c r="L21" s="110"/>
      <c r="M21" s="110"/>
      <c r="N21" s="101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>
        <v>5</v>
      </c>
      <c r="AC21" s="102">
        <v>5</v>
      </c>
      <c r="AD21" s="102">
        <v>5</v>
      </c>
      <c r="AE21" s="102">
        <v>5</v>
      </c>
      <c r="AF21" s="102">
        <v>5</v>
      </c>
      <c r="AG21" s="102">
        <v>5</v>
      </c>
      <c r="AH21" s="102">
        <v>5</v>
      </c>
      <c r="AI21" s="102">
        <v>5</v>
      </c>
      <c r="AJ21" s="102">
        <v>5</v>
      </c>
      <c r="AK21" s="102">
        <v>5</v>
      </c>
      <c r="AL21" s="102">
        <v>5</v>
      </c>
      <c r="AM21" s="102">
        <v>5</v>
      </c>
      <c r="AN21" s="102">
        <v>5</v>
      </c>
      <c r="AO21" s="102">
        <v>5</v>
      </c>
      <c r="AP21" s="102">
        <v>5</v>
      </c>
      <c r="AQ21" s="102">
        <v>5</v>
      </c>
      <c r="AR21" s="102">
        <v>5</v>
      </c>
      <c r="AS21" s="102">
        <v>5</v>
      </c>
      <c r="AT21" s="102">
        <v>5</v>
      </c>
      <c r="AU21" s="102">
        <v>5</v>
      </c>
      <c r="AV21" s="102">
        <v>5</v>
      </c>
      <c r="AW21" s="102">
        <v>5</v>
      </c>
      <c r="AX21" s="102">
        <v>5</v>
      </c>
      <c r="AY21" s="102">
        <v>5</v>
      </c>
      <c r="AZ21" s="102">
        <v>30</v>
      </c>
      <c r="BA21" s="102">
        <v>30</v>
      </c>
      <c r="BB21" s="102">
        <v>30</v>
      </c>
      <c r="BC21" s="102">
        <v>30</v>
      </c>
      <c r="BD21" s="102">
        <v>5</v>
      </c>
      <c r="BE21" s="102">
        <v>5</v>
      </c>
      <c r="BF21" s="102"/>
      <c r="BG21" s="102"/>
      <c r="BH21" s="102"/>
      <c r="BI21" s="102"/>
      <c r="BJ21" s="102"/>
      <c r="BK21" s="101"/>
      <c r="BL21" s="101"/>
      <c r="BM21" s="101"/>
      <c r="BN21" s="101"/>
      <c r="BO21" s="101"/>
      <c r="BP21" s="101"/>
      <c r="BQ21" s="101"/>
      <c r="BR21" s="101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</row>
    <row r="22" spans="1:122">
      <c r="B22" s="126"/>
      <c r="E22" s="120"/>
      <c r="F22" s="120"/>
      <c r="G22" s="120"/>
      <c r="H22" s="112" t="s">
        <v>69</v>
      </c>
      <c r="I22" s="121"/>
      <c r="J22" s="120"/>
      <c r="K22" s="120"/>
      <c r="L22" s="113">
        <f t="shared" ref="L22:AQ22" ca="1" si="40">SUM(L17:L21)</f>
        <v>0</v>
      </c>
      <c r="M22" s="113">
        <f t="shared" ca="1" si="40"/>
        <v>0</v>
      </c>
      <c r="N22" s="113">
        <f t="shared" ca="1" si="40"/>
        <v>0</v>
      </c>
      <c r="O22" s="113">
        <f t="shared" ca="1" si="40"/>
        <v>0</v>
      </c>
      <c r="P22" s="113">
        <f t="shared" ca="1" si="40"/>
        <v>0</v>
      </c>
      <c r="Q22" s="113">
        <f t="shared" ca="1" si="40"/>
        <v>0</v>
      </c>
      <c r="R22" s="113">
        <f t="shared" ca="1" si="40"/>
        <v>0</v>
      </c>
      <c r="S22" s="113">
        <f t="shared" ca="1" si="40"/>
        <v>0</v>
      </c>
      <c r="T22" s="113">
        <f t="shared" ca="1" si="40"/>
        <v>0</v>
      </c>
      <c r="U22" s="113">
        <f t="shared" ca="1" si="40"/>
        <v>0</v>
      </c>
      <c r="V22" s="113">
        <f t="shared" ca="1" si="40"/>
        <v>0</v>
      </c>
      <c r="W22" s="113">
        <f t="shared" ca="1" si="40"/>
        <v>0</v>
      </c>
      <c r="X22" s="113">
        <f t="shared" ca="1" si="40"/>
        <v>0</v>
      </c>
      <c r="Y22" s="113">
        <f t="shared" ca="1" si="40"/>
        <v>0</v>
      </c>
      <c r="Z22" s="113">
        <f t="shared" ca="1" si="40"/>
        <v>0</v>
      </c>
      <c r="AA22" s="113">
        <f t="shared" ca="1" si="40"/>
        <v>0</v>
      </c>
      <c r="AB22" s="113">
        <f t="shared" ca="1" si="40"/>
        <v>5</v>
      </c>
      <c r="AC22" s="113">
        <f t="shared" ca="1" si="40"/>
        <v>5</v>
      </c>
      <c r="AD22" s="113">
        <f t="shared" ca="1" si="40"/>
        <v>5</v>
      </c>
      <c r="AE22" s="113">
        <f t="shared" ca="1" si="40"/>
        <v>5</v>
      </c>
      <c r="AF22" s="113">
        <f t="shared" ca="1" si="40"/>
        <v>5</v>
      </c>
      <c r="AG22" s="113">
        <f t="shared" ca="1" si="40"/>
        <v>5</v>
      </c>
      <c r="AH22" s="113">
        <f t="shared" ca="1" si="40"/>
        <v>5</v>
      </c>
      <c r="AI22" s="113">
        <f t="shared" ca="1" si="40"/>
        <v>5</v>
      </c>
      <c r="AJ22" s="113">
        <f t="shared" ca="1" si="40"/>
        <v>5</v>
      </c>
      <c r="AK22" s="113">
        <f t="shared" ca="1" si="40"/>
        <v>5</v>
      </c>
      <c r="AL22" s="113">
        <f t="shared" ca="1" si="40"/>
        <v>5</v>
      </c>
      <c r="AM22" s="113">
        <f t="shared" ca="1" si="40"/>
        <v>5</v>
      </c>
      <c r="AN22" s="113">
        <f t="shared" ca="1" si="40"/>
        <v>5</v>
      </c>
      <c r="AO22" s="113">
        <f t="shared" ca="1" si="40"/>
        <v>5</v>
      </c>
      <c r="AP22" s="113">
        <f t="shared" ca="1" si="40"/>
        <v>5</v>
      </c>
      <c r="AQ22" s="113">
        <f t="shared" ca="1" si="40"/>
        <v>5</v>
      </c>
      <c r="AR22" s="113">
        <f t="shared" ref="AR22:BR22" ca="1" si="41">SUM(AR17:AR21)</f>
        <v>5</v>
      </c>
      <c r="AS22" s="113">
        <f t="shared" ca="1" si="41"/>
        <v>5</v>
      </c>
      <c r="AT22" s="113">
        <f t="shared" ca="1" si="41"/>
        <v>5</v>
      </c>
      <c r="AU22" s="113">
        <f t="shared" ca="1" si="41"/>
        <v>5</v>
      </c>
      <c r="AV22" s="113">
        <f t="shared" ca="1" si="41"/>
        <v>5</v>
      </c>
      <c r="AW22" s="113">
        <f t="shared" ca="1" si="41"/>
        <v>5</v>
      </c>
      <c r="AX22" s="113">
        <f t="shared" ca="1" si="41"/>
        <v>5</v>
      </c>
      <c r="AY22" s="113">
        <f t="shared" ca="1" si="41"/>
        <v>5</v>
      </c>
      <c r="AZ22" s="113">
        <f t="shared" ca="1" si="41"/>
        <v>30</v>
      </c>
      <c r="BA22" s="113">
        <f t="shared" ca="1" si="41"/>
        <v>30</v>
      </c>
      <c r="BB22" s="113">
        <f t="shared" ca="1" si="41"/>
        <v>30</v>
      </c>
      <c r="BC22" s="113">
        <f t="shared" ca="1" si="41"/>
        <v>30</v>
      </c>
      <c r="BD22" s="113">
        <f t="shared" ca="1" si="41"/>
        <v>5</v>
      </c>
      <c r="BE22" s="113">
        <f t="shared" ca="1" si="41"/>
        <v>5</v>
      </c>
      <c r="BF22" s="113">
        <f t="shared" ca="1" si="41"/>
        <v>0</v>
      </c>
      <c r="BG22" s="113">
        <f t="shared" ca="1" si="41"/>
        <v>0</v>
      </c>
      <c r="BH22" s="113">
        <f t="shared" ca="1" si="41"/>
        <v>0</v>
      </c>
      <c r="BI22" s="113">
        <f t="shared" ca="1" si="41"/>
        <v>0</v>
      </c>
      <c r="BJ22" s="113">
        <f t="shared" ca="1" si="41"/>
        <v>0</v>
      </c>
      <c r="BK22" s="113">
        <f t="shared" ca="1" si="41"/>
        <v>0</v>
      </c>
      <c r="BL22" s="113">
        <f t="shared" ca="1" si="41"/>
        <v>0</v>
      </c>
      <c r="BM22" s="113">
        <f t="shared" ca="1" si="41"/>
        <v>0</v>
      </c>
      <c r="BN22" s="113">
        <f t="shared" ca="1" si="41"/>
        <v>0</v>
      </c>
      <c r="BO22" s="113">
        <f t="shared" ca="1" si="41"/>
        <v>0</v>
      </c>
      <c r="BP22" s="113">
        <f t="shared" ca="1" si="41"/>
        <v>0</v>
      </c>
      <c r="BQ22" s="113">
        <f t="shared" ca="1" si="41"/>
        <v>0</v>
      </c>
      <c r="BR22" s="113">
        <f t="shared" ca="1" si="41"/>
        <v>0</v>
      </c>
      <c r="BS22" s="109"/>
      <c r="BT22" s="109"/>
      <c r="BU22" s="109"/>
      <c r="BV22" s="109"/>
      <c r="BW22" s="109"/>
      <c r="BX22" s="109"/>
      <c r="BY22" s="109"/>
      <c r="BZ22" s="109"/>
      <c r="CA22" s="109"/>
      <c r="CB22" s="109"/>
      <c r="CC22" s="109"/>
      <c r="CD22" s="109"/>
      <c r="CE22" s="109"/>
      <c r="CF22" s="109"/>
      <c r="CG22" s="109"/>
      <c r="CH22" s="109"/>
      <c r="CI22" s="109"/>
      <c r="CJ22" s="109"/>
      <c r="CK22" s="109"/>
      <c r="CL22" s="109"/>
      <c r="CM22" s="109"/>
      <c r="CN22" s="109"/>
      <c r="CO22" s="109"/>
      <c r="CP22" s="109"/>
      <c r="CQ22" s="109"/>
      <c r="CR22" s="109"/>
      <c r="CS22" s="109"/>
      <c r="CT22" s="172">
        <f ca="1">AVERAGE(L22:BG22)</f>
        <v>5.208333333333333</v>
      </c>
      <c r="CU22" s="160">
        <f ca="1">MAX(L22:BG22)</f>
        <v>30</v>
      </c>
    </row>
    <row r="23" spans="1:122">
      <c r="B23" s="126"/>
      <c r="F23" s="99"/>
      <c r="H23" s="100"/>
      <c r="I23" s="99"/>
      <c r="J23" s="99"/>
      <c r="K23" s="99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S23" s="19"/>
    </row>
    <row r="24" spans="1:122">
      <c r="A24" s="466" t="s">
        <v>72</v>
      </c>
      <c r="B24" s="450">
        <f>'BESS 12'!F141</f>
        <v>46240</v>
      </c>
      <c r="C24" s="509">
        <f>'BESS 12'!G141</f>
        <v>46245</v>
      </c>
      <c r="D24" s="114"/>
      <c r="E24" s="114" t="s">
        <v>10</v>
      </c>
      <c r="F24" s="115" t="s">
        <v>58</v>
      </c>
      <c r="G24" s="129" t="s">
        <v>87</v>
      </c>
      <c r="H24" s="129" t="s">
        <v>78</v>
      </c>
      <c r="I24" s="115" t="s">
        <v>59</v>
      </c>
      <c r="J24" s="115"/>
      <c r="K24" s="115"/>
      <c r="L24" s="116">
        <v>46195</v>
      </c>
      <c r="M24" s="116">
        <v>46196</v>
      </c>
      <c r="N24" s="116">
        <v>46197</v>
      </c>
      <c r="O24" s="116">
        <f t="shared" ref="O24:AT24" si="42">N24+1</f>
        <v>46198</v>
      </c>
      <c r="P24" s="116">
        <f t="shared" si="42"/>
        <v>46199</v>
      </c>
      <c r="Q24" s="116">
        <f t="shared" si="42"/>
        <v>46200</v>
      </c>
      <c r="R24" s="116">
        <f t="shared" si="42"/>
        <v>46201</v>
      </c>
      <c r="S24" s="116">
        <f t="shared" si="42"/>
        <v>46202</v>
      </c>
      <c r="T24" s="116">
        <f t="shared" si="42"/>
        <v>46203</v>
      </c>
      <c r="U24" s="116">
        <f t="shared" si="42"/>
        <v>46204</v>
      </c>
      <c r="V24" s="116">
        <f t="shared" si="42"/>
        <v>46205</v>
      </c>
      <c r="W24" s="116">
        <f t="shared" si="42"/>
        <v>46206</v>
      </c>
      <c r="X24" s="116">
        <f t="shared" si="42"/>
        <v>46207</v>
      </c>
      <c r="Y24" s="116">
        <f t="shared" si="42"/>
        <v>46208</v>
      </c>
      <c r="Z24" s="116">
        <f t="shared" si="42"/>
        <v>46209</v>
      </c>
      <c r="AA24" s="116">
        <f t="shared" si="42"/>
        <v>46210</v>
      </c>
      <c r="AB24" s="116">
        <f t="shared" si="42"/>
        <v>46211</v>
      </c>
      <c r="AC24" s="116">
        <f t="shared" si="42"/>
        <v>46212</v>
      </c>
      <c r="AD24" s="116">
        <f t="shared" si="42"/>
        <v>46213</v>
      </c>
      <c r="AE24" s="116">
        <f t="shared" si="42"/>
        <v>46214</v>
      </c>
      <c r="AF24" s="116">
        <f t="shared" si="42"/>
        <v>46215</v>
      </c>
      <c r="AG24" s="116">
        <f t="shared" si="42"/>
        <v>46216</v>
      </c>
      <c r="AH24" s="116">
        <f t="shared" si="42"/>
        <v>46217</v>
      </c>
      <c r="AI24" s="116">
        <f t="shared" si="42"/>
        <v>46218</v>
      </c>
      <c r="AJ24" s="116">
        <f t="shared" si="42"/>
        <v>46219</v>
      </c>
      <c r="AK24" s="116">
        <f t="shared" si="42"/>
        <v>46220</v>
      </c>
      <c r="AL24" s="116">
        <f t="shared" si="42"/>
        <v>46221</v>
      </c>
      <c r="AM24" s="116">
        <f t="shared" si="42"/>
        <v>46222</v>
      </c>
      <c r="AN24" s="116">
        <f t="shared" si="42"/>
        <v>46223</v>
      </c>
      <c r="AO24" s="116">
        <f t="shared" si="42"/>
        <v>46224</v>
      </c>
      <c r="AP24" s="116">
        <f t="shared" si="42"/>
        <v>46225</v>
      </c>
      <c r="AQ24" s="116">
        <f t="shared" si="42"/>
        <v>46226</v>
      </c>
      <c r="AR24" s="116">
        <f t="shared" si="42"/>
        <v>46227</v>
      </c>
      <c r="AS24" s="116">
        <f t="shared" si="42"/>
        <v>46228</v>
      </c>
      <c r="AT24" s="116">
        <f t="shared" si="42"/>
        <v>46229</v>
      </c>
      <c r="AU24" s="116">
        <f t="shared" ref="AU24:BZ24" si="43">AT24+1</f>
        <v>46230</v>
      </c>
      <c r="AV24" s="116">
        <f t="shared" si="43"/>
        <v>46231</v>
      </c>
      <c r="AW24" s="116">
        <f t="shared" si="43"/>
        <v>46232</v>
      </c>
      <c r="AX24" s="116">
        <f t="shared" si="43"/>
        <v>46233</v>
      </c>
      <c r="AY24" s="116">
        <f t="shared" si="43"/>
        <v>46234</v>
      </c>
      <c r="AZ24" s="116">
        <f t="shared" si="43"/>
        <v>46235</v>
      </c>
      <c r="BA24" s="116">
        <f t="shared" si="43"/>
        <v>46236</v>
      </c>
      <c r="BB24" s="116">
        <f t="shared" si="43"/>
        <v>46237</v>
      </c>
      <c r="BC24" s="116">
        <f t="shared" si="43"/>
        <v>46238</v>
      </c>
      <c r="BD24" s="116">
        <f t="shared" si="43"/>
        <v>46239</v>
      </c>
      <c r="BE24" s="116">
        <f t="shared" si="43"/>
        <v>46240</v>
      </c>
      <c r="BF24" s="116">
        <f t="shared" si="43"/>
        <v>46241</v>
      </c>
      <c r="BG24" s="116">
        <f t="shared" si="43"/>
        <v>46242</v>
      </c>
      <c r="BH24" s="116">
        <f t="shared" si="43"/>
        <v>46243</v>
      </c>
      <c r="BI24" s="116">
        <f t="shared" si="43"/>
        <v>46244</v>
      </c>
      <c r="BJ24" s="116">
        <f t="shared" si="43"/>
        <v>46245</v>
      </c>
      <c r="BK24" s="116">
        <f t="shared" si="43"/>
        <v>46246</v>
      </c>
      <c r="BL24" s="116">
        <f t="shared" si="43"/>
        <v>46247</v>
      </c>
      <c r="BM24" s="116">
        <f t="shared" si="43"/>
        <v>46248</v>
      </c>
      <c r="BN24" s="116">
        <f t="shared" si="43"/>
        <v>46249</v>
      </c>
      <c r="BO24" s="116">
        <f t="shared" si="43"/>
        <v>46250</v>
      </c>
      <c r="BP24" s="116">
        <f t="shared" si="43"/>
        <v>46251</v>
      </c>
      <c r="BQ24" s="116">
        <f t="shared" si="43"/>
        <v>46252</v>
      </c>
      <c r="BR24" s="116">
        <f t="shared" si="43"/>
        <v>46253</v>
      </c>
      <c r="BS24" s="116">
        <f t="shared" si="43"/>
        <v>46254</v>
      </c>
      <c r="BT24" s="116">
        <f t="shared" si="43"/>
        <v>46255</v>
      </c>
      <c r="BU24" s="116">
        <f t="shared" si="43"/>
        <v>46256</v>
      </c>
      <c r="BV24" s="116">
        <f t="shared" si="43"/>
        <v>46257</v>
      </c>
      <c r="BW24" s="116">
        <f t="shared" si="43"/>
        <v>46258</v>
      </c>
      <c r="BX24" s="116">
        <f t="shared" si="43"/>
        <v>46259</v>
      </c>
      <c r="BY24" s="116">
        <f t="shared" si="43"/>
        <v>46260</v>
      </c>
      <c r="BZ24" s="116">
        <f t="shared" si="43"/>
        <v>46261</v>
      </c>
      <c r="CA24" s="116">
        <f t="shared" ref="CA24:CS24" si="44">BZ24+1</f>
        <v>46262</v>
      </c>
      <c r="CB24" s="116">
        <f t="shared" si="44"/>
        <v>46263</v>
      </c>
      <c r="CC24" s="116">
        <f t="shared" si="44"/>
        <v>46264</v>
      </c>
      <c r="CD24" s="116">
        <f t="shared" si="44"/>
        <v>46265</v>
      </c>
      <c r="CE24" s="116">
        <f t="shared" si="44"/>
        <v>46266</v>
      </c>
      <c r="CF24" s="116">
        <f t="shared" si="44"/>
        <v>46267</v>
      </c>
      <c r="CG24" s="116">
        <f t="shared" si="44"/>
        <v>46268</v>
      </c>
      <c r="CH24" s="116">
        <f t="shared" si="44"/>
        <v>46269</v>
      </c>
      <c r="CI24" s="116">
        <f t="shared" si="44"/>
        <v>46270</v>
      </c>
      <c r="CJ24" s="116">
        <f t="shared" si="44"/>
        <v>46271</v>
      </c>
      <c r="CK24" s="116">
        <f t="shared" si="44"/>
        <v>46272</v>
      </c>
      <c r="CL24" s="116">
        <f t="shared" si="44"/>
        <v>46273</v>
      </c>
      <c r="CM24" s="116">
        <f t="shared" si="44"/>
        <v>46274</v>
      </c>
      <c r="CN24" s="116">
        <f t="shared" si="44"/>
        <v>46275</v>
      </c>
      <c r="CO24" s="116">
        <f t="shared" si="44"/>
        <v>46276</v>
      </c>
      <c r="CP24" s="116">
        <f t="shared" si="44"/>
        <v>46277</v>
      </c>
      <c r="CQ24" s="116">
        <f t="shared" si="44"/>
        <v>46278</v>
      </c>
      <c r="CR24" s="116">
        <f t="shared" si="44"/>
        <v>46279</v>
      </c>
      <c r="CS24" s="116">
        <f t="shared" si="44"/>
        <v>46280</v>
      </c>
    </row>
    <row r="25" spans="1:122">
      <c r="A25" s="466"/>
      <c r="B25" s="451"/>
      <c r="C25" s="509"/>
      <c r="D25" s="467">
        <f>'BESS 12'!H141</f>
        <v>46248</v>
      </c>
      <c r="E25" s="109" t="s">
        <v>64</v>
      </c>
      <c r="F25" s="102" t="e">
        <f>SUM('BESS 12'!S154:S161,'BESS 12'!S163)</f>
        <v>#VALUE!</v>
      </c>
      <c r="G25" s="165">
        <f>MAX('BESS 12'!O228:O235,'BESS 12'!O237)</f>
        <v>46238</v>
      </c>
      <c r="H25" s="110">
        <f>G25-10</f>
        <v>46228</v>
      </c>
      <c r="I25" s="102">
        <f>G25-H25</f>
        <v>10</v>
      </c>
      <c r="J25" s="506">
        <f ca="1">AVERAGEIF(L30:CP30,"&gt;0")</f>
        <v>8.3333333333333339</v>
      </c>
      <c r="K25" s="506">
        <f ca="1">MAX(L30:CS30)</f>
        <v>30</v>
      </c>
      <c r="L25" s="101" t="str">
        <f t="shared" ref="L25:U28" si="45">IF(AND(L$1&gt;=$H25,L$1&lt;($H25+$I25)),ROUND($F25/$I25,0),"-")</f>
        <v>-</v>
      </c>
      <c r="M25" s="101" t="str">
        <f t="shared" si="45"/>
        <v>-</v>
      </c>
      <c r="N25" s="101" t="str">
        <f t="shared" si="45"/>
        <v>-</v>
      </c>
      <c r="O25" s="101" t="str">
        <f t="shared" si="45"/>
        <v>-</v>
      </c>
      <c r="P25" s="101" t="str">
        <f t="shared" si="45"/>
        <v>-</v>
      </c>
      <c r="Q25" s="101" t="str">
        <f t="shared" si="45"/>
        <v>-</v>
      </c>
      <c r="R25" s="101" t="str">
        <f t="shared" si="45"/>
        <v>-</v>
      </c>
      <c r="S25" s="101" t="str">
        <f t="shared" si="45"/>
        <v>-</v>
      </c>
      <c r="T25" s="101" t="str">
        <f t="shared" si="45"/>
        <v>-</v>
      </c>
      <c r="U25" s="101" t="str">
        <f t="shared" si="45"/>
        <v>-</v>
      </c>
      <c r="V25" s="101" t="str">
        <f t="shared" ref="V25:AE28" si="46">IF(AND(V$1&gt;=$H25,V$1&lt;($H25+$I25)),ROUND($F25/$I25,0),"-")</f>
        <v>-</v>
      </c>
      <c r="W25" s="101" t="str">
        <f t="shared" si="46"/>
        <v>-</v>
      </c>
      <c r="X25" s="101" t="str">
        <f t="shared" si="46"/>
        <v>-</v>
      </c>
      <c r="Y25" s="101" t="str">
        <f t="shared" si="46"/>
        <v>-</v>
      </c>
      <c r="Z25" s="101" t="str">
        <f t="shared" si="46"/>
        <v>-</v>
      </c>
      <c r="AA25" s="101" t="str">
        <f t="shared" si="46"/>
        <v>-</v>
      </c>
      <c r="AB25" s="101" t="str">
        <f t="shared" si="46"/>
        <v>-</v>
      </c>
      <c r="AC25" s="101" t="str">
        <f t="shared" si="46"/>
        <v>-</v>
      </c>
      <c r="AD25" s="101" t="str">
        <f t="shared" si="46"/>
        <v>-</v>
      </c>
      <c r="AE25" s="101" t="str">
        <f t="shared" si="46"/>
        <v>-</v>
      </c>
      <c r="AF25" s="101" t="str">
        <f t="shared" ref="AF25:AO28" si="47">IF(AND(AF$1&gt;=$H25,AF$1&lt;($H25+$I25)),ROUND($F25/$I25,0),"-")</f>
        <v>-</v>
      </c>
      <c r="AG25" s="101" t="str">
        <f t="shared" si="47"/>
        <v>-</v>
      </c>
      <c r="AH25" s="101" t="str">
        <f t="shared" si="47"/>
        <v>-</v>
      </c>
      <c r="AI25" s="101" t="str">
        <f t="shared" si="47"/>
        <v>-</v>
      </c>
      <c r="AJ25" s="101" t="str">
        <f t="shared" si="47"/>
        <v>-</v>
      </c>
      <c r="AK25" s="101" t="str">
        <f t="shared" si="47"/>
        <v>-</v>
      </c>
      <c r="AL25" s="101" t="str">
        <f t="shared" si="47"/>
        <v>-</v>
      </c>
      <c r="AM25" s="101" t="str">
        <f t="shared" si="47"/>
        <v>-</v>
      </c>
      <c r="AN25" s="101" t="str">
        <f t="shared" si="47"/>
        <v>-</v>
      </c>
      <c r="AO25" s="101" t="str">
        <f t="shared" si="47"/>
        <v>-</v>
      </c>
      <c r="AP25" s="101" t="str">
        <f t="shared" ref="AP25:AY28" si="48">IF(AND(AP$1&gt;=$H25,AP$1&lt;($H25+$I25)),ROUND($F25/$I25,0),"-")</f>
        <v>-</v>
      </c>
      <c r="AQ25" s="101" t="str">
        <f t="shared" si="48"/>
        <v>-</v>
      </c>
      <c r="AR25" s="101" t="str">
        <f t="shared" si="48"/>
        <v>-</v>
      </c>
      <c r="AS25" s="101" t="str">
        <f t="shared" si="48"/>
        <v>-</v>
      </c>
      <c r="AT25" s="101" t="str">
        <f t="shared" si="48"/>
        <v>-</v>
      </c>
      <c r="AU25" s="101" t="str">
        <f t="shared" si="48"/>
        <v>-</v>
      </c>
      <c r="AV25" s="101" t="str">
        <f t="shared" si="48"/>
        <v>-</v>
      </c>
      <c r="AW25" s="101" t="str">
        <f t="shared" si="48"/>
        <v>-</v>
      </c>
      <c r="AX25" s="101" t="str">
        <f t="shared" si="48"/>
        <v>-</v>
      </c>
      <c r="AY25" s="101" t="str">
        <f t="shared" si="48"/>
        <v>-</v>
      </c>
      <c r="AZ25" s="101" t="str">
        <f t="shared" ref="AZ25:BI28" si="49">IF(AND(AZ$1&gt;=$H25,AZ$1&lt;($H25+$I25)),ROUND($F25/$I25,0),"-")</f>
        <v>-</v>
      </c>
      <c r="BA25" s="101" t="str">
        <f t="shared" si="49"/>
        <v>-</v>
      </c>
      <c r="BB25" s="101" t="str">
        <f t="shared" si="49"/>
        <v>-</v>
      </c>
      <c r="BC25" s="101" t="str">
        <f t="shared" si="49"/>
        <v>-</v>
      </c>
      <c r="BD25" s="101" t="str">
        <f t="shared" si="49"/>
        <v>-</v>
      </c>
      <c r="BE25" s="101" t="str">
        <f t="shared" si="49"/>
        <v>-</v>
      </c>
      <c r="BF25" s="101" t="str">
        <f t="shared" si="49"/>
        <v>-</v>
      </c>
      <c r="BG25" s="101" t="str">
        <f t="shared" si="49"/>
        <v>-</v>
      </c>
      <c r="BH25" s="101" t="str">
        <f t="shared" si="49"/>
        <v>-</v>
      </c>
      <c r="BI25" s="101" t="str">
        <f t="shared" si="49"/>
        <v>-</v>
      </c>
      <c r="BJ25" s="101" t="str">
        <f t="shared" ref="BJ25:BS28" si="50">IF(AND(BJ$1&gt;=$H25,BJ$1&lt;($H25+$I25)),ROUND($F25/$I25,0),"-")</f>
        <v>-</v>
      </c>
      <c r="BK25" s="101" t="str">
        <f t="shared" si="50"/>
        <v>-</v>
      </c>
      <c r="BL25" s="101" t="str">
        <f t="shared" si="50"/>
        <v>-</v>
      </c>
      <c r="BM25" s="101" t="str">
        <f t="shared" si="50"/>
        <v>-</v>
      </c>
      <c r="BN25" s="101" t="str">
        <f t="shared" si="50"/>
        <v>-</v>
      </c>
      <c r="BO25" s="101" t="str">
        <f t="shared" si="50"/>
        <v>-</v>
      </c>
      <c r="BP25" s="101" t="str">
        <f t="shared" si="50"/>
        <v>-</v>
      </c>
      <c r="BQ25" s="101" t="str">
        <f t="shared" si="50"/>
        <v>-</v>
      </c>
      <c r="BR25" s="101" t="str">
        <f t="shared" si="50"/>
        <v>-</v>
      </c>
      <c r="BS25" s="101" t="str">
        <f t="shared" si="50"/>
        <v>-</v>
      </c>
      <c r="BT25" s="101" t="str">
        <f t="shared" ref="BT25:CC28" si="51">IF(AND(BT$1&gt;=$H25,BT$1&lt;($H25+$I25)),ROUND($F25/$I25,0),"-")</f>
        <v>-</v>
      </c>
      <c r="BU25" s="101" t="str">
        <f t="shared" si="51"/>
        <v>-</v>
      </c>
      <c r="BV25" s="101" t="str">
        <f t="shared" si="51"/>
        <v>-</v>
      </c>
      <c r="BW25" s="101" t="str">
        <f t="shared" si="51"/>
        <v>-</v>
      </c>
      <c r="BX25" s="101" t="str">
        <f t="shared" si="51"/>
        <v>-</v>
      </c>
      <c r="BY25" s="101" t="str">
        <f t="shared" si="51"/>
        <v>-</v>
      </c>
      <c r="BZ25" s="101" t="str">
        <f t="shared" si="51"/>
        <v>-</v>
      </c>
      <c r="CA25" s="101" t="str">
        <f t="shared" si="51"/>
        <v>-</v>
      </c>
      <c r="CB25" s="101" t="str">
        <f t="shared" si="51"/>
        <v>-</v>
      </c>
      <c r="CC25" s="101" t="str">
        <f t="shared" si="51"/>
        <v>-</v>
      </c>
      <c r="CD25" s="101" t="str">
        <f t="shared" ref="CD25:CM28" si="52">IF(AND(CD$1&gt;=$H25,CD$1&lt;($H25+$I25)),ROUND($F25/$I25,0),"-")</f>
        <v>-</v>
      </c>
      <c r="CE25" s="101" t="str">
        <f t="shared" si="52"/>
        <v>-</v>
      </c>
      <c r="CF25" s="101" t="str">
        <f t="shared" si="52"/>
        <v>-</v>
      </c>
      <c r="CG25" s="101" t="str">
        <f t="shared" si="52"/>
        <v>-</v>
      </c>
      <c r="CH25" s="101" t="str">
        <f t="shared" si="52"/>
        <v>-</v>
      </c>
      <c r="CI25" s="101" t="str">
        <f t="shared" si="52"/>
        <v>-</v>
      </c>
      <c r="CJ25" s="101" t="str">
        <f t="shared" si="52"/>
        <v>-</v>
      </c>
      <c r="CK25" s="101" t="str">
        <f t="shared" si="52"/>
        <v>-</v>
      </c>
      <c r="CL25" s="101" t="str">
        <f t="shared" si="52"/>
        <v>-</v>
      </c>
      <c r="CM25" s="101" t="str">
        <f t="shared" si="52"/>
        <v>-</v>
      </c>
      <c r="CN25" s="101" t="str">
        <f t="shared" ref="CN25:CS28" si="53">IF(AND(CN$1&gt;=$H25,CN$1&lt;($H25+$I25)),ROUND($F25/$I25,0),"-")</f>
        <v>-</v>
      </c>
      <c r="CO25" s="101" t="str">
        <f t="shared" si="53"/>
        <v>-</v>
      </c>
      <c r="CP25" s="101" t="str">
        <f t="shared" si="53"/>
        <v>-</v>
      </c>
      <c r="CQ25" s="101" t="str">
        <f t="shared" si="53"/>
        <v>-</v>
      </c>
      <c r="CR25" s="101" t="str">
        <f t="shared" si="53"/>
        <v>-</v>
      </c>
      <c r="CS25" s="101" t="str">
        <f t="shared" si="53"/>
        <v>-</v>
      </c>
    </row>
    <row r="26" spans="1:122">
      <c r="A26" s="466"/>
      <c r="B26" s="451"/>
      <c r="C26" s="509"/>
      <c r="D26" s="466"/>
      <c r="E26" s="109" t="s">
        <v>65</v>
      </c>
      <c r="F26" s="102" t="e">
        <f>SUM('BESS 12'!S164,'BESS 12'!S166:S167,'BESS 12'!S170:S172)</f>
        <v>#VALUE!</v>
      </c>
      <c r="G26" s="165">
        <f>MAX('BESS 12'!O229:O236,'BESS 12'!O238)</f>
        <v>46238</v>
      </c>
      <c r="H26" s="110">
        <f t="shared" ref="H26" ca="1" si="54">TODAY()</f>
        <v>46233</v>
      </c>
      <c r="I26" s="102">
        <f ca="1">G26-H26</f>
        <v>5</v>
      </c>
      <c r="J26" s="507"/>
      <c r="K26" s="476"/>
      <c r="L26" s="101" t="str">
        <f t="shared" ca="1" si="45"/>
        <v>-</v>
      </c>
      <c r="M26" s="101" t="str">
        <f t="shared" ca="1" si="45"/>
        <v>-</v>
      </c>
      <c r="N26" s="101" t="str">
        <f t="shared" ca="1" si="45"/>
        <v>-</v>
      </c>
      <c r="O26" s="101" t="str">
        <f t="shared" ca="1" si="45"/>
        <v>-</v>
      </c>
      <c r="P26" s="101" t="str">
        <f t="shared" ca="1" si="45"/>
        <v>-</v>
      </c>
      <c r="Q26" s="101" t="str">
        <f t="shared" ca="1" si="45"/>
        <v>-</v>
      </c>
      <c r="R26" s="101" t="str">
        <f t="shared" ca="1" si="45"/>
        <v>-</v>
      </c>
      <c r="S26" s="101" t="str">
        <f t="shared" ca="1" si="45"/>
        <v>-</v>
      </c>
      <c r="T26" s="101" t="str">
        <f t="shared" ca="1" si="45"/>
        <v>-</v>
      </c>
      <c r="U26" s="101" t="str">
        <f t="shared" ca="1" si="45"/>
        <v>-</v>
      </c>
      <c r="V26" s="101" t="str">
        <f t="shared" ca="1" si="46"/>
        <v>-</v>
      </c>
      <c r="W26" s="101" t="str">
        <f t="shared" ca="1" si="46"/>
        <v>-</v>
      </c>
      <c r="X26" s="101" t="str">
        <f t="shared" ca="1" si="46"/>
        <v>-</v>
      </c>
      <c r="Y26" s="101" t="str">
        <f t="shared" ca="1" si="46"/>
        <v>-</v>
      </c>
      <c r="Z26" s="101" t="str">
        <f t="shared" ca="1" si="46"/>
        <v>-</v>
      </c>
      <c r="AA26" s="101" t="str">
        <f t="shared" ca="1" si="46"/>
        <v>-</v>
      </c>
      <c r="AB26" s="101" t="str">
        <f t="shared" ca="1" si="46"/>
        <v>-</v>
      </c>
      <c r="AC26" s="101" t="str">
        <f t="shared" ca="1" si="46"/>
        <v>-</v>
      </c>
      <c r="AD26" s="101" t="str">
        <f t="shared" ca="1" si="46"/>
        <v>-</v>
      </c>
      <c r="AE26" s="101" t="str">
        <f t="shared" ca="1" si="46"/>
        <v>-</v>
      </c>
      <c r="AF26" s="101" t="str">
        <f t="shared" ca="1" si="47"/>
        <v>-</v>
      </c>
      <c r="AG26" s="101" t="str">
        <f t="shared" ca="1" si="47"/>
        <v>-</v>
      </c>
      <c r="AH26" s="101" t="str">
        <f t="shared" ca="1" si="47"/>
        <v>-</v>
      </c>
      <c r="AI26" s="101" t="str">
        <f t="shared" ca="1" si="47"/>
        <v>-</v>
      </c>
      <c r="AJ26" s="101" t="str">
        <f t="shared" ca="1" si="47"/>
        <v>-</v>
      </c>
      <c r="AK26" s="101" t="str">
        <f t="shared" ca="1" si="47"/>
        <v>-</v>
      </c>
      <c r="AL26" s="101" t="str">
        <f t="shared" ca="1" si="47"/>
        <v>-</v>
      </c>
      <c r="AM26" s="101" t="str">
        <f t="shared" ca="1" si="47"/>
        <v>-</v>
      </c>
      <c r="AN26" s="101" t="str">
        <f t="shared" ca="1" si="47"/>
        <v>-</v>
      </c>
      <c r="AO26" s="101" t="str">
        <f t="shared" ca="1" si="47"/>
        <v>-</v>
      </c>
      <c r="AP26" s="101" t="str">
        <f t="shared" ca="1" si="48"/>
        <v>-</v>
      </c>
      <c r="AQ26" s="101" t="str">
        <f t="shared" ca="1" si="48"/>
        <v>-</v>
      </c>
      <c r="AR26" s="101" t="str">
        <f t="shared" ca="1" si="48"/>
        <v>-</v>
      </c>
      <c r="AS26" s="101" t="str">
        <f t="shared" ca="1" si="48"/>
        <v>-</v>
      </c>
      <c r="AT26" s="101" t="str">
        <f t="shared" ca="1" si="48"/>
        <v>-</v>
      </c>
      <c r="AU26" s="101" t="str">
        <f t="shared" ca="1" si="48"/>
        <v>-</v>
      </c>
      <c r="AV26" s="101" t="str">
        <f t="shared" ca="1" si="48"/>
        <v>-</v>
      </c>
      <c r="AW26" s="101" t="str">
        <f t="shared" ca="1" si="48"/>
        <v>-</v>
      </c>
      <c r="AX26" s="101" t="str">
        <f t="shared" ca="1" si="48"/>
        <v>-</v>
      </c>
      <c r="AY26" s="101" t="str">
        <f t="shared" ca="1" si="48"/>
        <v>-</v>
      </c>
      <c r="AZ26" s="101" t="str">
        <f t="shared" ca="1" si="49"/>
        <v>-</v>
      </c>
      <c r="BA26" s="101" t="str">
        <f t="shared" ca="1" si="49"/>
        <v>-</v>
      </c>
      <c r="BB26" s="101" t="str">
        <f t="shared" ca="1" si="49"/>
        <v>-</v>
      </c>
      <c r="BC26" s="101" t="str">
        <f t="shared" ca="1" si="49"/>
        <v>-</v>
      </c>
      <c r="BD26" s="101" t="str">
        <f t="shared" ca="1" si="49"/>
        <v>-</v>
      </c>
      <c r="BE26" s="101" t="str">
        <f t="shared" ca="1" si="49"/>
        <v>-</v>
      </c>
      <c r="BF26" s="101" t="str">
        <f t="shared" ca="1" si="49"/>
        <v>-</v>
      </c>
      <c r="BG26" s="101" t="str">
        <f t="shared" ca="1" si="49"/>
        <v>-</v>
      </c>
      <c r="BH26" s="101" t="str">
        <f t="shared" ca="1" si="49"/>
        <v>-</v>
      </c>
      <c r="BI26" s="101" t="str">
        <f t="shared" ca="1" si="49"/>
        <v>-</v>
      </c>
      <c r="BJ26" s="101" t="str">
        <f t="shared" ca="1" si="50"/>
        <v>-</v>
      </c>
      <c r="BK26" s="101" t="str">
        <f t="shared" ca="1" si="50"/>
        <v>-</v>
      </c>
      <c r="BL26" s="101" t="str">
        <f t="shared" ca="1" si="50"/>
        <v>-</v>
      </c>
      <c r="BM26" s="101" t="str">
        <f t="shared" ca="1" si="50"/>
        <v>-</v>
      </c>
      <c r="BN26" s="101" t="str">
        <f t="shared" ca="1" si="50"/>
        <v>-</v>
      </c>
      <c r="BO26" s="101" t="str">
        <f t="shared" ca="1" si="50"/>
        <v>-</v>
      </c>
      <c r="BP26" s="101" t="str">
        <f t="shared" ca="1" si="50"/>
        <v>-</v>
      </c>
      <c r="BQ26" s="101" t="str">
        <f t="shared" ca="1" si="50"/>
        <v>-</v>
      </c>
      <c r="BR26" s="101" t="str">
        <f t="shared" ca="1" si="50"/>
        <v>-</v>
      </c>
      <c r="BS26" s="101" t="str">
        <f t="shared" ca="1" si="50"/>
        <v>-</v>
      </c>
      <c r="BT26" s="101" t="str">
        <f t="shared" ca="1" si="51"/>
        <v>-</v>
      </c>
      <c r="BU26" s="101" t="str">
        <f t="shared" ca="1" si="51"/>
        <v>-</v>
      </c>
      <c r="BV26" s="101" t="str">
        <f t="shared" ca="1" si="51"/>
        <v>-</v>
      </c>
      <c r="BW26" s="101" t="str">
        <f t="shared" ca="1" si="51"/>
        <v>-</v>
      </c>
      <c r="BX26" s="101" t="str">
        <f t="shared" ca="1" si="51"/>
        <v>-</v>
      </c>
      <c r="BY26" s="101" t="str">
        <f t="shared" ca="1" si="51"/>
        <v>-</v>
      </c>
      <c r="BZ26" s="101" t="str">
        <f t="shared" ca="1" si="51"/>
        <v>-</v>
      </c>
      <c r="CA26" s="101" t="str">
        <f t="shared" ca="1" si="51"/>
        <v>-</v>
      </c>
      <c r="CB26" s="101" t="str">
        <f t="shared" ca="1" si="51"/>
        <v>-</v>
      </c>
      <c r="CC26" s="101" t="str">
        <f t="shared" ca="1" si="51"/>
        <v>-</v>
      </c>
      <c r="CD26" s="101" t="str">
        <f t="shared" ca="1" si="52"/>
        <v>-</v>
      </c>
      <c r="CE26" s="101" t="str">
        <f t="shared" ca="1" si="52"/>
        <v>-</v>
      </c>
      <c r="CF26" s="101" t="str">
        <f t="shared" ca="1" si="52"/>
        <v>-</v>
      </c>
      <c r="CG26" s="101" t="str">
        <f t="shared" ca="1" si="52"/>
        <v>-</v>
      </c>
      <c r="CH26" s="101" t="str">
        <f t="shared" ca="1" si="52"/>
        <v>-</v>
      </c>
      <c r="CI26" s="101" t="str">
        <f t="shared" ca="1" si="52"/>
        <v>-</v>
      </c>
      <c r="CJ26" s="101" t="str">
        <f t="shared" ca="1" si="52"/>
        <v>-</v>
      </c>
      <c r="CK26" s="101" t="str">
        <f t="shared" ca="1" si="52"/>
        <v>-</v>
      </c>
      <c r="CL26" s="101" t="str">
        <f t="shared" ca="1" si="52"/>
        <v>-</v>
      </c>
      <c r="CM26" s="101" t="str">
        <f t="shared" ca="1" si="52"/>
        <v>-</v>
      </c>
      <c r="CN26" s="101" t="str">
        <f t="shared" ca="1" si="53"/>
        <v>-</v>
      </c>
      <c r="CO26" s="101" t="str">
        <f t="shared" ca="1" si="53"/>
        <v>-</v>
      </c>
      <c r="CP26" s="101" t="str">
        <f t="shared" ca="1" si="53"/>
        <v>-</v>
      </c>
      <c r="CQ26" s="101" t="str">
        <f t="shared" ca="1" si="53"/>
        <v>-</v>
      </c>
      <c r="CR26" s="101" t="str">
        <f t="shared" ca="1" si="53"/>
        <v>-</v>
      </c>
      <c r="CS26" s="101" t="str">
        <f t="shared" ca="1" si="53"/>
        <v>-</v>
      </c>
    </row>
    <row r="27" spans="1:122">
      <c r="A27" s="466"/>
      <c r="B27" s="451"/>
      <c r="C27" s="509"/>
      <c r="D27" s="466"/>
      <c r="E27" s="109" t="s">
        <v>66</v>
      </c>
      <c r="F27" s="102" t="e">
        <f>SUM('BESS 12'!S165,'BESS 12'!S168:S169,'BESS 12'!S173:S174)</f>
        <v>#VALUE!</v>
      </c>
      <c r="G27" s="165">
        <f>MAX('BESS 12'!O230:O237,'BESS 12'!O239)</f>
        <v>46235</v>
      </c>
      <c r="H27" s="110">
        <f ca="1">H26+7</f>
        <v>46240</v>
      </c>
      <c r="I27" s="102">
        <f ca="1">G27-H27</f>
        <v>-5</v>
      </c>
      <c r="J27" s="507"/>
      <c r="K27" s="476"/>
      <c r="L27" s="101" t="str">
        <f t="shared" ca="1" si="45"/>
        <v>-</v>
      </c>
      <c r="M27" s="101" t="str">
        <f t="shared" ca="1" si="45"/>
        <v>-</v>
      </c>
      <c r="N27" s="101" t="str">
        <f t="shared" ca="1" si="45"/>
        <v>-</v>
      </c>
      <c r="O27" s="101" t="str">
        <f t="shared" ca="1" si="45"/>
        <v>-</v>
      </c>
      <c r="P27" s="101" t="str">
        <f t="shared" ca="1" si="45"/>
        <v>-</v>
      </c>
      <c r="Q27" s="101" t="str">
        <f t="shared" ca="1" si="45"/>
        <v>-</v>
      </c>
      <c r="R27" s="101" t="str">
        <f t="shared" ca="1" si="45"/>
        <v>-</v>
      </c>
      <c r="S27" s="101" t="str">
        <f t="shared" ca="1" si="45"/>
        <v>-</v>
      </c>
      <c r="T27" s="101" t="str">
        <f t="shared" ca="1" si="45"/>
        <v>-</v>
      </c>
      <c r="U27" s="101" t="str">
        <f t="shared" ca="1" si="45"/>
        <v>-</v>
      </c>
      <c r="V27" s="101" t="str">
        <f t="shared" ca="1" si="46"/>
        <v>-</v>
      </c>
      <c r="W27" s="101" t="str">
        <f t="shared" ca="1" si="46"/>
        <v>-</v>
      </c>
      <c r="X27" s="101" t="str">
        <f t="shared" ca="1" si="46"/>
        <v>-</v>
      </c>
      <c r="Y27" s="101" t="str">
        <f t="shared" ca="1" si="46"/>
        <v>-</v>
      </c>
      <c r="Z27" s="101" t="str">
        <f t="shared" ca="1" si="46"/>
        <v>-</v>
      </c>
      <c r="AA27" s="101" t="str">
        <f t="shared" ca="1" si="46"/>
        <v>-</v>
      </c>
      <c r="AB27" s="101" t="str">
        <f t="shared" ca="1" si="46"/>
        <v>-</v>
      </c>
      <c r="AC27" s="101" t="str">
        <f t="shared" ca="1" si="46"/>
        <v>-</v>
      </c>
      <c r="AD27" s="101" t="str">
        <f t="shared" ca="1" si="46"/>
        <v>-</v>
      </c>
      <c r="AE27" s="101" t="str">
        <f t="shared" ca="1" si="46"/>
        <v>-</v>
      </c>
      <c r="AF27" s="101" t="str">
        <f t="shared" ca="1" si="47"/>
        <v>-</v>
      </c>
      <c r="AG27" s="101" t="str">
        <f t="shared" ca="1" si="47"/>
        <v>-</v>
      </c>
      <c r="AH27" s="101" t="str">
        <f t="shared" ca="1" si="47"/>
        <v>-</v>
      </c>
      <c r="AI27" s="101" t="str">
        <f t="shared" ca="1" si="47"/>
        <v>-</v>
      </c>
      <c r="AJ27" s="101" t="str">
        <f t="shared" ca="1" si="47"/>
        <v>-</v>
      </c>
      <c r="AK27" s="101" t="str">
        <f t="shared" ca="1" si="47"/>
        <v>-</v>
      </c>
      <c r="AL27" s="101" t="str">
        <f t="shared" ca="1" si="47"/>
        <v>-</v>
      </c>
      <c r="AM27" s="101" t="str">
        <f t="shared" ca="1" si="47"/>
        <v>-</v>
      </c>
      <c r="AN27" s="101" t="str">
        <f t="shared" ca="1" si="47"/>
        <v>-</v>
      </c>
      <c r="AO27" s="101" t="str">
        <f t="shared" ca="1" si="47"/>
        <v>-</v>
      </c>
      <c r="AP27" s="101" t="str">
        <f t="shared" ca="1" si="48"/>
        <v>-</v>
      </c>
      <c r="AQ27" s="101" t="str">
        <f t="shared" ca="1" si="48"/>
        <v>-</v>
      </c>
      <c r="AR27" s="101" t="str">
        <f t="shared" ca="1" si="48"/>
        <v>-</v>
      </c>
      <c r="AS27" s="101" t="str">
        <f t="shared" ca="1" si="48"/>
        <v>-</v>
      </c>
      <c r="AT27" s="101" t="str">
        <f t="shared" ca="1" si="48"/>
        <v>-</v>
      </c>
      <c r="AU27" s="101" t="str">
        <f t="shared" ca="1" si="48"/>
        <v>-</v>
      </c>
      <c r="AV27" s="101" t="str">
        <f t="shared" ca="1" si="48"/>
        <v>-</v>
      </c>
      <c r="AW27" s="101" t="str">
        <f t="shared" ca="1" si="48"/>
        <v>-</v>
      </c>
      <c r="AX27" s="101" t="str">
        <f t="shared" ca="1" si="48"/>
        <v>-</v>
      </c>
      <c r="AY27" s="101" t="str">
        <f t="shared" ca="1" si="48"/>
        <v>-</v>
      </c>
      <c r="AZ27" s="101" t="str">
        <f t="shared" ca="1" si="49"/>
        <v>-</v>
      </c>
      <c r="BA27" s="101" t="str">
        <f t="shared" ca="1" si="49"/>
        <v>-</v>
      </c>
      <c r="BB27" s="101" t="str">
        <f t="shared" ca="1" si="49"/>
        <v>-</v>
      </c>
      <c r="BC27" s="101" t="str">
        <f t="shared" ca="1" si="49"/>
        <v>-</v>
      </c>
      <c r="BD27" s="101" t="str">
        <f t="shared" ca="1" si="49"/>
        <v>-</v>
      </c>
      <c r="BE27" s="101" t="str">
        <f t="shared" ca="1" si="49"/>
        <v>-</v>
      </c>
      <c r="BF27" s="101" t="str">
        <f t="shared" ca="1" si="49"/>
        <v>-</v>
      </c>
      <c r="BG27" s="101" t="str">
        <f t="shared" ca="1" si="49"/>
        <v>-</v>
      </c>
      <c r="BH27" s="101" t="str">
        <f t="shared" ca="1" si="49"/>
        <v>-</v>
      </c>
      <c r="BI27" s="101" t="str">
        <f t="shared" ca="1" si="49"/>
        <v>-</v>
      </c>
      <c r="BJ27" s="101" t="str">
        <f t="shared" ca="1" si="50"/>
        <v>-</v>
      </c>
      <c r="BK27" s="101" t="str">
        <f t="shared" ca="1" si="50"/>
        <v>-</v>
      </c>
      <c r="BL27" s="101" t="str">
        <f t="shared" ca="1" si="50"/>
        <v>-</v>
      </c>
      <c r="BM27" s="101" t="str">
        <f t="shared" ca="1" si="50"/>
        <v>-</v>
      </c>
      <c r="BN27" s="101" t="str">
        <f t="shared" ca="1" si="50"/>
        <v>-</v>
      </c>
      <c r="BO27" s="101" t="str">
        <f t="shared" ca="1" si="50"/>
        <v>-</v>
      </c>
      <c r="BP27" s="101" t="str">
        <f t="shared" ca="1" si="50"/>
        <v>-</v>
      </c>
      <c r="BQ27" s="101" t="str">
        <f t="shared" ca="1" si="50"/>
        <v>-</v>
      </c>
      <c r="BR27" s="101" t="str">
        <f t="shared" ca="1" si="50"/>
        <v>-</v>
      </c>
      <c r="BS27" s="101" t="str">
        <f t="shared" ca="1" si="50"/>
        <v>-</v>
      </c>
      <c r="BT27" s="101" t="str">
        <f t="shared" ca="1" si="51"/>
        <v>-</v>
      </c>
      <c r="BU27" s="101" t="str">
        <f t="shared" ca="1" si="51"/>
        <v>-</v>
      </c>
      <c r="BV27" s="101" t="str">
        <f t="shared" ca="1" si="51"/>
        <v>-</v>
      </c>
      <c r="BW27" s="101" t="str">
        <f t="shared" ca="1" si="51"/>
        <v>-</v>
      </c>
      <c r="BX27" s="101" t="str">
        <f t="shared" ca="1" si="51"/>
        <v>-</v>
      </c>
      <c r="BY27" s="101" t="str">
        <f t="shared" ca="1" si="51"/>
        <v>-</v>
      </c>
      <c r="BZ27" s="101" t="str">
        <f t="shared" ca="1" si="51"/>
        <v>-</v>
      </c>
      <c r="CA27" s="101" t="str">
        <f t="shared" ca="1" si="51"/>
        <v>-</v>
      </c>
      <c r="CB27" s="101" t="str">
        <f t="shared" ca="1" si="51"/>
        <v>-</v>
      </c>
      <c r="CC27" s="101" t="str">
        <f t="shared" ca="1" si="51"/>
        <v>-</v>
      </c>
      <c r="CD27" s="101" t="str">
        <f t="shared" ca="1" si="52"/>
        <v>-</v>
      </c>
      <c r="CE27" s="101" t="str">
        <f t="shared" ca="1" si="52"/>
        <v>-</v>
      </c>
      <c r="CF27" s="101" t="str">
        <f t="shared" ca="1" si="52"/>
        <v>-</v>
      </c>
      <c r="CG27" s="101" t="str">
        <f t="shared" ca="1" si="52"/>
        <v>-</v>
      </c>
      <c r="CH27" s="101" t="str">
        <f t="shared" ca="1" si="52"/>
        <v>-</v>
      </c>
      <c r="CI27" s="101" t="str">
        <f t="shared" ca="1" si="52"/>
        <v>-</v>
      </c>
      <c r="CJ27" s="101" t="str">
        <f t="shared" ca="1" si="52"/>
        <v>-</v>
      </c>
      <c r="CK27" s="101" t="str">
        <f t="shared" ca="1" si="52"/>
        <v>-</v>
      </c>
      <c r="CL27" s="101" t="str">
        <f t="shared" ca="1" si="52"/>
        <v>-</v>
      </c>
      <c r="CM27" s="101" t="str">
        <f t="shared" ca="1" si="52"/>
        <v>-</v>
      </c>
      <c r="CN27" s="101" t="str">
        <f t="shared" ca="1" si="53"/>
        <v>-</v>
      </c>
      <c r="CO27" s="101" t="str">
        <f t="shared" ca="1" si="53"/>
        <v>-</v>
      </c>
      <c r="CP27" s="101" t="str">
        <f t="shared" ca="1" si="53"/>
        <v>-</v>
      </c>
      <c r="CQ27" s="101" t="str">
        <f t="shared" ca="1" si="53"/>
        <v>-</v>
      </c>
      <c r="CR27" s="101" t="str">
        <f t="shared" ca="1" si="53"/>
        <v>-</v>
      </c>
      <c r="CS27" s="101" t="str">
        <f t="shared" ca="1" si="53"/>
        <v>-</v>
      </c>
    </row>
    <row r="28" spans="1:122" ht="14.25" thickBot="1">
      <c r="A28" s="466"/>
      <c r="B28" s="451"/>
      <c r="C28" s="509"/>
      <c r="D28" s="466"/>
      <c r="E28" s="109" t="s">
        <v>67</v>
      </c>
      <c r="F28" s="102" t="e">
        <f>SUM('BESS 12'!S176:S185)</f>
        <v>#VALUE!</v>
      </c>
      <c r="G28" s="165">
        <f>B24-3</f>
        <v>46237</v>
      </c>
      <c r="H28" s="110">
        <f>G28-14</f>
        <v>46223</v>
      </c>
      <c r="I28" s="102">
        <f>G28-H28</f>
        <v>14</v>
      </c>
      <c r="J28" s="507"/>
      <c r="K28" s="476"/>
      <c r="L28" s="101" t="str">
        <f t="shared" si="45"/>
        <v>-</v>
      </c>
      <c r="M28" s="101" t="str">
        <f t="shared" si="45"/>
        <v>-</v>
      </c>
      <c r="N28" s="101" t="str">
        <f t="shared" si="45"/>
        <v>-</v>
      </c>
      <c r="O28" s="101" t="str">
        <f t="shared" si="45"/>
        <v>-</v>
      </c>
      <c r="P28" s="101" t="str">
        <f t="shared" si="45"/>
        <v>-</v>
      </c>
      <c r="Q28" s="101" t="str">
        <f t="shared" si="45"/>
        <v>-</v>
      </c>
      <c r="R28" s="101" t="str">
        <f t="shared" si="45"/>
        <v>-</v>
      </c>
      <c r="S28" s="101" t="str">
        <f t="shared" si="45"/>
        <v>-</v>
      </c>
      <c r="T28" s="101" t="str">
        <f t="shared" si="45"/>
        <v>-</v>
      </c>
      <c r="U28" s="101" t="str">
        <f t="shared" si="45"/>
        <v>-</v>
      </c>
      <c r="V28" s="101" t="str">
        <f t="shared" si="46"/>
        <v>-</v>
      </c>
      <c r="W28" s="101" t="str">
        <f t="shared" si="46"/>
        <v>-</v>
      </c>
      <c r="X28" s="101" t="str">
        <f t="shared" si="46"/>
        <v>-</v>
      </c>
      <c r="Y28" s="101" t="str">
        <f t="shared" si="46"/>
        <v>-</v>
      </c>
      <c r="Z28" s="101" t="str">
        <f t="shared" si="46"/>
        <v>-</v>
      </c>
      <c r="AA28" s="101" t="str">
        <f t="shared" si="46"/>
        <v>-</v>
      </c>
      <c r="AB28" s="101" t="str">
        <f t="shared" si="46"/>
        <v>-</v>
      </c>
      <c r="AC28" s="101" t="str">
        <f t="shared" si="46"/>
        <v>-</v>
      </c>
      <c r="AD28" s="101" t="str">
        <f t="shared" si="46"/>
        <v>-</v>
      </c>
      <c r="AE28" s="101" t="str">
        <f t="shared" si="46"/>
        <v>-</v>
      </c>
      <c r="AF28" s="101" t="str">
        <f t="shared" si="47"/>
        <v>-</v>
      </c>
      <c r="AG28" s="101" t="str">
        <f t="shared" si="47"/>
        <v>-</v>
      </c>
      <c r="AH28" s="101" t="str">
        <f t="shared" si="47"/>
        <v>-</v>
      </c>
      <c r="AI28" s="101" t="str">
        <f t="shared" si="47"/>
        <v>-</v>
      </c>
      <c r="AJ28" s="101" t="str">
        <f t="shared" si="47"/>
        <v>-</v>
      </c>
      <c r="AK28" s="101" t="str">
        <f t="shared" si="47"/>
        <v>-</v>
      </c>
      <c r="AL28" s="101" t="str">
        <f t="shared" si="47"/>
        <v>-</v>
      </c>
      <c r="AM28" s="101" t="str">
        <f t="shared" si="47"/>
        <v>-</v>
      </c>
      <c r="AN28" s="101" t="str">
        <f t="shared" si="47"/>
        <v>-</v>
      </c>
      <c r="AO28" s="101" t="str">
        <f t="shared" si="47"/>
        <v>-</v>
      </c>
      <c r="AP28" s="101" t="str">
        <f t="shared" si="48"/>
        <v>-</v>
      </c>
      <c r="AQ28" s="101" t="str">
        <f t="shared" si="48"/>
        <v>-</v>
      </c>
      <c r="AR28" s="101" t="str">
        <f t="shared" si="48"/>
        <v>-</v>
      </c>
      <c r="AS28" s="101" t="str">
        <f t="shared" si="48"/>
        <v>-</v>
      </c>
      <c r="AT28" s="101" t="str">
        <f t="shared" si="48"/>
        <v>-</v>
      </c>
      <c r="AU28" s="101" t="str">
        <f t="shared" si="48"/>
        <v>-</v>
      </c>
      <c r="AV28" s="101" t="str">
        <f t="shared" si="48"/>
        <v>-</v>
      </c>
      <c r="AW28" s="101" t="str">
        <f t="shared" si="48"/>
        <v>-</v>
      </c>
      <c r="AX28" s="101" t="str">
        <f t="shared" si="48"/>
        <v>-</v>
      </c>
      <c r="AY28" s="101" t="str">
        <f t="shared" si="48"/>
        <v>-</v>
      </c>
      <c r="AZ28" s="101" t="str">
        <f t="shared" si="49"/>
        <v>-</v>
      </c>
      <c r="BA28" s="101" t="str">
        <f t="shared" si="49"/>
        <v>-</v>
      </c>
      <c r="BB28" s="101" t="str">
        <f t="shared" si="49"/>
        <v>-</v>
      </c>
      <c r="BC28" s="101" t="str">
        <f t="shared" si="49"/>
        <v>-</v>
      </c>
      <c r="BD28" s="101" t="str">
        <f t="shared" si="49"/>
        <v>-</v>
      </c>
      <c r="BE28" s="101" t="str">
        <f t="shared" si="49"/>
        <v>-</v>
      </c>
      <c r="BF28" s="101" t="str">
        <f t="shared" si="49"/>
        <v>-</v>
      </c>
      <c r="BG28" s="101" t="str">
        <f t="shared" si="49"/>
        <v>-</v>
      </c>
      <c r="BH28" s="101" t="str">
        <f t="shared" si="49"/>
        <v>-</v>
      </c>
      <c r="BI28" s="101" t="str">
        <f t="shared" si="49"/>
        <v>-</v>
      </c>
      <c r="BJ28" s="101" t="str">
        <f t="shared" si="50"/>
        <v>-</v>
      </c>
      <c r="BK28" s="101" t="str">
        <f t="shared" si="50"/>
        <v>-</v>
      </c>
      <c r="BL28" s="101" t="str">
        <f t="shared" si="50"/>
        <v>-</v>
      </c>
      <c r="BM28" s="101" t="str">
        <f t="shared" si="50"/>
        <v>-</v>
      </c>
      <c r="BN28" s="101" t="str">
        <f t="shared" si="50"/>
        <v>-</v>
      </c>
      <c r="BO28" s="101" t="str">
        <f t="shared" si="50"/>
        <v>-</v>
      </c>
      <c r="BP28" s="101" t="str">
        <f t="shared" si="50"/>
        <v>-</v>
      </c>
      <c r="BQ28" s="101" t="str">
        <f t="shared" si="50"/>
        <v>-</v>
      </c>
      <c r="BR28" s="101" t="str">
        <f t="shared" si="50"/>
        <v>-</v>
      </c>
      <c r="BS28" s="101" t="str">
        <f t="shared" si="50"/>
        <v>-</v>
      </c>
      <c r="BT28" s="101" t="str">
        <f t="shared" si="51"/>
        <v>-</v>
      </c>
      <c r="BU28" s="101" t="str">
        <f t="shared" si="51"/>
        <v>-</v>
      </c>
      <c r="BV28" s="101" t="str">
        <f t="shared" si="51"/>
        <v>-</v>
      </c>
      <c r="BW28" s="101" t="str">
        <f t="shared" si="51"/>
        <v>-</v>
      </c>
      <c r="BX28" s="101" t="str">
        <f t="shared" si="51"/>
        <v>-</v>
      </c>
      <c r="BY28" s="101" t="str">
        <f t="shared" si="51"/>
        <v>-</v>
      </c>
      <c r="BZ28" s="101" t="str">
        <f t="shared" si="51"/>
        <v>-</v>
      </c>
      <c r="CA28" s="101" t="str">
        <f t="shared" si="51"/>
        <v>-</v>
      </c>
      <c r="CB28" s="101" t="str">
        <f t="shared" si="51"/>
        <v>-</v>
      </c>
      <c r="CC28" s="101" t="str">
        <f t="shared" si="51"/>
        <v>-</v>
      </c>
      <c r="CD28" s="101" t="str">
        <f t="shared" si="52"/>
        <v>-</v>
      </c>
      <c r="CE28" s="101" t="str">
        <f t="shared" si="52"/>
        <v>-</v>
      </c>
      <c r="CF28" s="101" t="str">
        <f t="shared" si="52"/>
        <v>-</v>
      </c>
      <c r="CG28" s="101" t="str">
        <f t="shared" si="52"/>
        <v>-</v>
      </c>
      <c r="CH28" s="101" t="str">
        <f t="shared" si="52"/>
        <v>-</v>
      </c>
      <c r="CI28" s="101" t="str">
        <f t="shared" si="52"/>
        <v>-</v>
      </c>
      <c r="CJ28" s="101" t="str">
        <f t="shared" si="52"/>
        <v>-</v>
      </c>
      <c r="CK28" s="101" t="str">
        <f t="shared" si="52"/>
        <v>-</v>
      </c>
      <c r="CL28" s="101" t="str">
        <f t="shared" si="52"/>
        <v>-</v>
      </c>
      <c r="CM28" s="101" t="str">
        <f t="shared" si="52"/>
        <v>-</v>
      </c>
      <c r="CN28" s="101" t="str">
        <f t="shared" si="53"/>
        <v>-</v>
      </c>
      <c r="CO28" s="101" t="str">
        <f t="shared" si="53"/>
        <v>-</v>
      </c>
      <c r="CP28" s="101" t="str">
        <f t="shared" si="53"/>
        <v>-</v>
      </c>
      <c r="CQ28" s="101" t="str">
        <f t="shared" si="53"/>
        <v>-</v>
      </c>
      <c r="CR28" s="101" t="str">
        <f t="shared" si="53"/>
        <v>-</v>
      </c>
      <c r="CS28" s="101" t="str">
        <f t="shared" si="53"/>
        <v>-</v>
      </c>
    </row>
    <row r="29" spans="1:122" ht="14.25" thickBot="1">
      <c r="A29" s="127"/>
      <c r="B29" s="168"/>
      <c r="C29" s="168"/>
      <c r="D29" s="466"/>
      <c r="E29" s="109" t="s">
        <v>68</v>
      </c>
      <c r="F29" s="101">
        <v>250</v>
      </c>
      <c r="G29" s="165">
        <f>B24-3</f>
        <v>46237</v>
      </c>
      <c r="H29" s="110"/>
      <c r="I29" s="101">
        <v>30</v>
      </c>
      <c r="J29" s="508"/>
      <c r="K29" s="504"/>
      <c r="L29" s="110"/>
      <c r="M29" s="110"/>
      <c r="N29" s="101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>
        <v>5</v>
      </c>
      <c r="AN29" s="102">
        <v>5</v>
      </c>
      <c r="AO29" s="102">
        <v>5</v>
      </c>
      <c r="AP29" s="102">
        <v>5</v>
      </c>
      <c r="AQ29" s="102">
        <v>5</v>
      </c>
      <c r="AR29" s="102">
        <v>5</v>
      </c>
      <c r="AS29" s="102">
        <v>5</v>
      </c>
      <c r="AT29" s="102">
        <v>5</v>
      </c>
      <c r="AU29" s="102">
        <v>5</v>
      </c>
      <c r="AV29" s="102">
        <v>5</v>
      </c>
      <c r="AW29" s="102">
        <v>5</v>
      </c>
      <c r="AX29" s="102">
        <v>5</v>
      </c>
      <c r="AY29" s="102">
        <v>5</v>
      </c>
      <c r="AZ29" s="102">
        <v>5</v>
      </c>
      <c r="BA29" s="102">
        <v>5</v>
      </c>
      <c r="BB29" s="102">
        <v>5</v>
      </c>
      <c r="BC29" s="102">
        <v>5</v>
      </c>
      <c r="BD29" s="102">
        <v>5</v>
      </c>
      <c r="BE29" s="102">
        <v>5</v>
      </c>
      <c r="BF29" s="102">
        <v>5</v>
      </c>
      <c r="BG29" s="102">
        <v>5</v>
      </c>
      <c r="BH29" s="102">
        <v>5</v>
      </c>
      <c r="BI29" s="102">
        <v>5</v>
      </c>
      <c r="BJ29" s="101">
        <v>5</v>
      </c>
      <c r="BK29" s="102">
        <v>30</v>
      </c>
      <c r="BL29" s="102">
        <v>30</v>
      </c>
      <c r="BM29" s="102">
        <v>30</v>
      </c>
      <c r="BN29" s="102">
        <v>30</v>
      </c>
      <c r="BO29" s="102">
        <v>5</v>
      </c>
      <c r="BP29" s="102">
        <v>5</v>
      </c>
      <c r="BQ29" s="102"/>
      <c r="BR29" s="102"/>
      <c r="BS29" s="102"/>
      <c r="BT29" s="102"/>
      <c r="BU29" s="102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  <c r="CH29" s="109"/>
      <c r="CI29" s="109"/>
      <c r="CJ29" s="109"/>
      <c r="CK29" s="109"/>
      <c r="CL29" s="109"/>
      <c r="CM29" s="109"/>
      <c r="CN29" s="109"/>
      <c r="CO29" s="109"/>
      <c r="CP29" s="109"/>
      <c r="CQ29" s="109"/>
      <c r="CR29" s="109"/>
      <c r="CS29" s="109"/>
    </row>
    <row r="30" spans="1:122">
      <c r="B30" s="126"/>
      <c r="E30" s="120"/>
      <c r="F30" s="120"/>
      <c r="G30" s="120"/>
      <c r="H30" s="112" t="s">
        <v>69</v>
      </c>
      <c r="I30" s="121"/>
      <c r="J30" s="120"/>
      <c r="K30" s="120"/>
      <c r="L30" s="113">
        <f t="shared" ref="L30:AQ30" ca="1" si="55">SUM(L25:L29)</f>
        <v>0</v>
      </c>
      <c r="M30" s="113">
        <f t="shared" ca="1" si="55"/>
        <v>0</v>
      </c>
      <c r="N30" s="113">
        <f t="shared" ca="1" si="55"/>
        <v>0</v>
      </c>
      <c r="O30" s="113">
        <f t="shared" ca="1" si="55"/>
        <v>0</v>
      </c>
      <c r="P30" s="113">
        <f t="shared" ca="1" si="55"/>
        <v>0</v>
      </c>
      <c r="Q30" s="113">
        <f t="shared" ca="1" si="55"/>
        <v>0</v>
      </c>
      <c r="R30" s="113">
        <f t="shared" ca="1" si="55"/>
        <v>0</v>
      </c>
      <c r="S30" s="113">
        <f t="shared" ca="1" si="55"/>
        <v>0</v>
      </c>
      <c r="T30" s="113">
        <f t="shared" ca="1" si="55"/>
        <v>0</v>
      </c>
      <c r="U30" s="113">
        <f t="shared" ca="1" si="55"/>
        <v>0</v>
      </c>
      <c r="V30" s="113">
        <f t="shared" ca="1" si="55"/>
        <v>0</v>
      </c>
      <c r="W30" s="113">
        <f t="shared" ca="1" si="55"/>
        <v>0</v>
      </c>
      <c r="X30" s="113">
        <f t="shared" ca="1" si="55"/>
        <v>0</v>
      </c>
      <c r="Y30" s="113">
        <f t="shared" ca="1" si="55"/>
        <v>0</v>
      </c>
      <c r="Z30" s="113">
        <f t="shared" ca="1" si="55"/>
        <v>0</v>
      </c>
      <c r="AA30" s="113">
        <f t="shared" ca="1" si="55"/>
        <v>0</v>
      </c>
      <c r="AB30" s="113">
        <f t="shared" ca="1" si="55"/>
        <v>0</v>
      </c>
      <c r="AC30" s="113">
        <f t="shared" ca="1" si="55"/>
        <v>0</v>
      </c>
      <c r="AD30" s="113">
        <f t="shared" ca="1" si="55"/>
        <v>0</v>
      </c>
      <c r="AE30" s="113">
        <f t="shared" ca="1" si="55"/>
        <v>0</v>
      </c>
      <c r="AF30" s="113">
        <f t="shared" ca="1" si="55"/>
        <v>0</v>
      </c>
      <c r="AG30" s="113">
        <f t="shared" ca="1" si="55"/>
        <v>0</v>
      </c>
      <c r="AH30" s="113">
        <f t="shared" ca="1" si="55"/>
        <v>0</v>
      </c>
      <c r="AI30" s="113">
        <f t="shared" ca="1" si="55"/>
        <v>0</v>
      </c>
      <c r="AJ30" s="113">
        <f t="shared" ca="1" si="55"/>
        <v>0</v>
      </c>
      <c r="AK30" s="113">
        <f t="shared" ca="1" si="55"/>
        <v>0</v>
      </c>
      <c r="AL30" s="113">
        <f t="shared" ca="1" si="55"/>
        <v>0</v>
      </c>
      <c r="AM30" s="113">
        <f t="shared" ca="1" si="55"/>
        <v>5</v>
      </c>
      <c r="AN30" s="113">
        <f t="shared" ca="1" si="55"/>
        <v>5</v>
      </c>
      <c r="AO30" s="113">
        <f t="shared" ca="1" si="55"/>
        <v>5</v>
      </c>
      <c r="AP30" s="113">
        <f t="shared" ca="1" si="55"/>
        <v>5</v>
      </c>
      <c r="AQ30" s="113">
        <f t="shared" ca="1" si="55"/>
        <v>5</v>
      </c>
      <c r="AR30" s="113">
        <f t="shared" ref="AR30:BT30" ca="1" si="56">SUM(AR25:AR29)</f>
        <v>5</v>
      </c>
      <c r="AS30" s="113">
        <f t="shared" ca="1" si="56"/>
        <v>5</v>
      </c>
      <c r="AT30" s="113">
        <f t="shared" ca="1" si="56"/>
        <v>5</v>
      </c>
      <c r="AU30" s="113">
        <f t="shared" ca="1" si="56"/>
        <v>5</v>
      </c>
      <c r="AV30" s="113">
        <f t="shared" ca="1" si="56"/>
        <v>5</v>
      </c>
      <c r="AW30" s="113">
        <f t="shared" ca="1" si="56"/>
        <v>5</v>
      </c>
      <c r="AX30" s="113">
        <f t="shared" ca="1" si="56"/>
        <v>5</v>
      </c>
      <c r="AY30" s="113">
        <f t="shared" ca="1" si="56"/>
        <v>5</v>
      </c>
      <c r="AZ30" s="113">
        <f t="shared" ca="1" si="56"/>
        <v>5</v>
      </c>
      <c r="BA30" s="113">
        <f t="shared" ca="1" si="56"/>
        <v>5</v>
      </c>
      <c r="BB30" s="113">
        <f t="shared" ca="1" si="56"/>
        <v>5</v>
      </c>
      <c r="BC30" s="113">
        <f t="shared" ca="1" si="56"/>
        <v>5</v>
      </c>
      <c r="BD30" s="113">
        <f t="shared" ca="1" si="56"/>
        <v>5</v>
      </c>
      <c r="BE30" s="113">
        <f t="shared" ca="1" si="56"/>
        <v>5</v>
      </c>
      <c r="BF30" s="113">
        <f t="shared" ca="1" si="56"/>
        <v>5</v>
      </c>
      <c r="BG30" s="113">
        <f t="shared" ca="1" si="56"/>
        <v>5</v>
      </c>
      <c r="BH30" s="113">
        <f t="shared" ca="1" si="56"/>
        <v>5</v>
      </c>
      <c r="BI30" s="113">
        <f t="shared" ca="1" si="56"/>
        <v>5</v>
      </c>
      <c r="BJ30" s="113">
        <f t="shared" ca="1" si="56"/>
        <v>5</v>
      </c>
      <c r="BK30" s="113">
        <f t="shared" ca="1" si="56"/>
        <v>30</v>
      </c>
      <c r="BL30" s="113">
        <f t="shared" ca="1" si="56"/>
        <v>30</v>
      </c>
      <c r="BM30" s="113">
        <f t="shared" ca="1" si="56"/>
        <v>30</v>
      </c>
      <c r="BN30" s="113">
        <f t="shared" ca="1" si="56"/>
        <v>30</v>
      </c>
      <c r="BO30" s="113">
        <f t="shared" ca="1" si="56"/>
        <v>5</v>
      </c>
      <c r="BP30" s="113">
        <f t="shared" ca="1" si="56"/>
        <v>5</v>
      </c>
      <c r="BQ30" s="113">
        <f t="shared" ca="1" si="56"/>
        <v>0</v>
      </c>
      <c r="BR30" s="113">
        <f t="shared" ca="1" si="56"/>
        <v>0</v>
      </c>
      <c r="BS30" s="113">
        <f t="shared" ca="1" si="56"/>
        <v>0</v>
      </c>
      <c r="BT30" s="113">
        <f t="shared" ca="1" si="56"/>
        <v>0</v>
      </c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  <c r="CG30" s="109"/>
      <c r="CH30" s="109"/>
      <c r="CI30" s="109"/>
      <c r="CJ30" s="109"/>
      <c r="CK30" s="109"/>
      <c r="CL30" s="109"/>
      <c r="CM30" s="109"/>
      <c r="CN30" s="109"/>
      <c r="CO30" s="109"/>
      <c r="CP30" s="109"/>
      <c r="CQ30" s="109"/>
      <c r="CR30" s="109"/>
      <c r="CS30" s="109"/>
      <c r="CT30" s="172">
        <f ca="1">AVERAGE(S30:BT30)</f>
        <v>4.6296296296296298</v>
      </c>
      <c r="CU30" s="160">
        <f ca="1">MAX(L30:BG30)</f>
        <v>5</v>
      </c>
    </row>
    <row r="32" spans="1:122">
      <c r="A32" s="466" t="s">
        <v>73</v>
      </c>
      <c r="B32" s="509">
        <f>'BESS 12'!F186</f>
        <v>46241</v>
      </c>
      <c r="C32" s="509">
        <f>'BESS 12'!G186</f>
        <v>46246</v>
      </c>
      <c r="D32" s="114"/>
      <c r="E32" s="114" t="s">
        <v>10</v>
      </c>
      <c r="F32" s="115" t="s">
        <v>58</v>
      </c>
      <c r="G32" s="129" t="s">
        <v>87</v>
      </c>
      <c r="H32" s="129" t="s">
        <v>78</v>
      </c>
      <c r="I32" s="115" t="s">
        <v>59</v>
      </c>
      <c r="J32" s="115"/>
      <c r="K32" s="115"/>
      <c r="L32" s="116">
        <v>46195</v>
      </c>
      <c r="M32" s="116">
        <v>46196</v>
      </c>
      <c r="N32" s="116">
        <v>46197</v>
      </c>
      <c r="O32" s="116">
        <f t="shared" ref="O32:AT32" si="57">N32+1</f>
        <v>46198</v>
      </c>
      <c r="P32" s="116">
        <f t="shared" si="57"/>
        <v>46199</v>
      </c>
      <c r="Q32" s="116">
        <f t="shared" si="57"/>
        <v>46200</v>
      </c>
      <c r="R32" s="116">
        <f t="shared" si="57"/>
        <v>46201</v>
      </c>
      <c r="S32" s="116">
        <f t="shared" si="57"/>
        <v>46202</v>
      </c>
      <c r="T32" s="116">
        <f t="shared" si="57"/>
        <v>46203</v>
      </c>
      <c r="U32" s="116">
        <f t="shared" si="57"/>
        <v>46204</v>
      </c>
      <c r="V32" s="116">
        <f t="shared" si="57"/>
        <v>46205</v>
      </c>
      <c r="W32" s="116">
        <f t="shared" si="57"/>
        <v>46206</v>
      </c>
      <c r="X32" s="116">
        <f t="shared" si="57"/>
        <v>46207</v>
      </c>
      <c r="Y32" s="116">
        <f t="shared" si="57"/>
        <v>46208</v>
      </c>
      <c r="Z32" s="116">
        <f t="shared" si="57"/>
        <v>46209</v>
      </c>
      <c r="AA32" s="116">
        <f t="shared" si="57"/>
        <v>46210</v>
      </c>
      <c r="AB32" s="116">
        <f t="shared" si="57"/>
        <v>46211</v>
      </c>
      <c r="AC32" s="116">
        <f t="shared" si="57"/>
        <v>46212</v>
      </c>
      <c r="AD32" s="116">
        <f t="shared" si="57"/>
        <v>46213</v>
      </c>
      <c r="AE32" s="116">
        <f t="shared" si="57"/>
        <v>46214</v>
      </c>
      <c r="AF32" s="116">
        <f t="shared" si="57"/>
        <v>46215</v>
      </c>
      <c r="AG32" s="116">
        <f t="shared" si="57"/>
        <v>46216</v>
      </c>
      <c r="AH32" s="116">
        <f t="shared" si="57"/>
        <v>46217</v>
      </c>
      <c r="AI32" s="116">
        <f t="shared" si="57"/>
        <v>46218</v>
      </c>
      <c r="AJ32" s="116">
        <f t="shared" si="57"/>
        <v>46219</v>
      </c>
      <c r="AK32" s="116">
        <f t="shared" si="57"/>
        <v>46220</v>
      </c>
      <c r="AL32" s="116">
        <f t="shared" si="57"/>
        <v>46221</v>
      </c>
      <c r="AM32" s="116">
        <f t="shared" si="57"/>
        <v>46222</v>
      </c>
      <c r="AN32" s="116">
        <f t="shared" si="57"/>
        <v>46223</v>
      </c>
      <c r="AO32" s="116">
        <f t="shared" si="57"/>
        <v>46224</v>
      </c>
      <c r="AP32" s="116">
        <f t="shared" si="57"/>
        <v>46225</v>
      </c>
      <c r="AQ32" s="116">
        <f t="shared" si="57"/>
        <v>46226</v>
      </c>
      <c r="AR32" s="116">
        <f t="shared" si="57"/>
        <v>46227</v>
      </c>
      <c r="AS32" s="116">
        <f t="shared" si="57"/>
        <v>46228</v>
      </c>
      <c r="AT32" s="116">
        <f t="shared" si="57"/>
        <v>46229</v>
      </c>
      <c r="AU32" s="116">
        <f t="shared" ref="AU32:BZ32" si="58">AT32+1</f>
        <v>46230</v>
      </c>
      <c r="AV32" s="116">
        <f t="shared" si="58"/>
        <v>46231</v>
      </c>
      <c r="AW32" s="116">
        <f t="shared" si="58"/>
        <v>46232</v>
      </c>
      <c r="AX32" s="116">
        <f t="shared" si="58"/>
        <v>46233</v>
      </c>
      <c r="AY32" s="116">
        <f t="shared" si="58"/>
        <v>46234</v>
      </c>
      <c r="AZ32" s="116">
        <f t="shared" si="58"/>
        <v>46235</v>
      </c>
      <c r="BA32" s="116">
        <f t="shared" si="58"/>
        <v>46236</v>
      </c>
      <c r="BB32" s="116">
        <f t="shared" si="58"/>
        <v>46237</v>
      </c>
      <c r="BC32" s="116">
        <f t="shared" si="58"/>
        <v>46238</v>
      </c>
      <c r="BD32" s="116">
        <f t="shared" si="58"/>
        <v>46239</v>
      </c>
      <c r="BE32" s="116">
        <f t="shared" si="58"/>
        <v>46240</v>
      </c>
      <c r="BF32" s="116">
        <f t="shared" si="58"/>
        <v>46241</v>
      </c>
      <c r="BG32" s="116">
        <f t="shared" si="58"/>
        <v>46242</v>
      </c>
      <c r="BH32" s="116">
        <f t="shared" si="58"/>
        <v>46243</v>
      </c>
      <c r="BI32" s="116">
        <f t="shared" si="58"/>
        <v>46244</v>
      </c>
      <c r="BJ32" s="116">
        <f t="shared" si="58"/>
        <v>46245</v>
      </c>
      <c r="BK32" s="116">
        <f t="shared" si="58"/>
        <v>46246</v>
      </c>
      <c r="BL32" s="116">
        <f t="shared" si="58"/>
        <v>46247</v>
      </c>
      <c r="BM32" s="116">
        <f t="shared" si="58"/>
        <v>46248</v>
      </c>
      <c r="BN32" s="116">
        <f t="shared" si="58"/>
        <v>46249</v>
      </c>
      <c r="BO32" s="116">
        <f t="shared" si="58"/>
        <v>46250</v>
      </c>
      <c r="BP32" s="116">
        <f t="shared" si="58"/>
        <v>46251</v>
      </c>
      <c r="BQ32" s="116">
        <f t="shared" si="58"/>
        <v>46252</v>
      </c>
      <c r="BR32" s="116">
        <f t="shared" si="58"/>
        <v>46253</v>
      </c>
      <c r="BS32" s="116">
        <f t="shared" si="58"/>
        <v>46254</v>
      </c>
      <c r="BT32" s="116">
        <f t="shared" si="58"/>
        <v>46255</v>
      </c>
      <c r="BU32" s="116">
        <f t="shared" si="58"/>
        <v>46256</v>
      </c>
      <c r="BV32" s="116">
        <f t="shared" si="58"/>
        <v>46257</v>
      </c>
      <c r="BW32" s="116">
        <f t="shared" si="58"/>
        <v>46258</v>
      </c>
      <c r="BX32" s="116">
        <f t="shared" si="58"/>
        <v>46259</v>
      </c>
      <c r="BY32" s="116">
        <f t="shared" si="58"/>
        <v>46260</v>
      </c>
      <c r="BZ32" s="116">
        <f t="shared" si="58"/>
        <v>46261</v>
      </c>
      <c r="CA32" s="116">
        <f t="shared" ref="CA32:CS32" si="59">BZ32+1</f>
        <v>46262</v>
      </c>
      <c r="CB32" s="116">
        <f t="shared" si="59"/>
        <v>46263</v>
      </c>
      <c r="CC32" s="116">
        <f t="shared" si="59"/>
        <v>46264</v>
      </c>
      <c r="CD32" s="116">
        <f t="shared" si="59"/>
        <v>46265</v>
      </c>
      <c r="CE32" s="116">
        <f t="shared" si="59"/>
        <v>46266</v>
      </c>
      <c r="CF32" s="116">
        <f t="shared" si="59"/>
        <v>46267</v>
      </c>
      <c r="CG32" s="116">
        <f t="shared" si="59"/>
        <v>46268</v>
      </c>
      <c r="CH32" s="116">
        <f t="shared" si="59"/>
        <v>46269</v>
      </c>
      <c r="CI32" s="116">
        <f t="shared" si="59"/>
        <v>46270</v>
      </c>
      <c r="CJ32" s="116">
        <f t="shared" si="59"/>
        <v>46271</v>
      </c>
      <c r="CK32" s="116">
        <f t="shared" si="59"/>
        <v>46272</v>
      </c>
      <c r="CL32" s="116">
        <f t="shared" si="59"/>
        <v>46273</v>
      </c>
      <c r="CM32" s="116">
        <f t="shared" si="59"/>
        <v>46274</v>
      </c>
      <c r="CN32" s="116">
        <f t="shared" si="59"/>
        <v>46275</v>
      </c>
      <c r="CO32" s="116">
        <f t="shared" si="59"/>
        <v>46276</v>
      </c>
      <c r="CP32" s="116">
        <f t="shared" si="59"/>
        <v>46277</v>
      </c>
      <c r="CQ32" s="116">
        <f t="shared" si="59"/>
        <v>46278</v>
      </c>
      <c r="CR32" s="116">
        <f t="shared" si="59"/>
        <v>46279</v>
      </c>
      <c r="CS32" s="116">
        <f t="shared" si="59"/>
        <v>46280</v>
      </c>
      <c r="CV32" s="116">
        <f t="shared" ref="CV32:DR32" si="60">CU32+1</f>
        <v>1</v>
      </c>
      <c r="CW32" s="116">
        <f t="shared" si="60"/>
        <v>2</v>
      </c>
      <c r="CX32" s="116">
        <f t="shared" si="60"/>
        <v>3</v>
      </c>
      <c r="CY32" s="116">
        <f t="shared" si="60"/>
        <v>4</v>
      </c>
      <c r="CZ32" s="116">
        <f t="shared" si="60"/>
        <v>5</v>
      </c>
      <c r="DA32" s="116">
        <f t="shared" si="60"/>
        <v>6</v>
      </c>
      <c r="DB32" s="116">
        <f t="shared" si="60"/>
        <v>7</v>
      </c>
      <c r="DC32" s="116">
        <f t="shared" si="60"/>
        <v>8</v>
      </c>
      <c r="DD32" s="116">
        <f t="shared" si="60"/>
        <v>9</v>
      </c>
      <c r="DE32" s="116">
        <f t="shared" si="60"/>
        <v>10</v>
      </c>
      <c r="DF32" s="116">
        <f t="shared" si="60"/>
        <v>11</v>
      </c>
      <c r="DG32" s="116">
        <f t="shared" si="60"/>
        <v>12</v>
      </c>
      <c r="DH32" s="116">
        <f t="shared" si="60"/>
        <v>13</v>
      </c>
      <c r="DI32" s="116">
        <f t="shared" si="60"/>
        <v>14</v>
      </c>
      <c r="DJ32" s="116">
        <f t="shared" si="60"/>
        <v>15</v>
      </c>
      <c r="DK32" s="116">
        <f t="shared" si="60"/>
        <v>16</v>
      </c>
      <c r="DL32" s="116">
        <f t="shared" si="60"/>
        <v>17</v>
      </c>
      <c r="DM32" s="116">
        <f t="shared" si="60"/>
        <v>18</v>
      </c>
      <c r="DN32" s="116">
        <f t="shared" si="60"/>
        <v>19</v>
      </c>
      <c r="DO32" s="116">
        <f t="shared" si="60"/>
        <v>20</v>
      </c>
      <c r="DP32" s="116">
        <f t="shared" si="60"/>
        <v>21</v>
      </c>
      <c r="DQ32" s="116">
        <f t="shared" si="60"/>
        <v>22</v>
      </c>
      <c r="DR32" s="116">
        <f t="shared" si="60"/>
        <v>23</v>
      </c>
    </row>
    <row r="33" spans="1:125">
      <c r="A33" s="466"/>
      <c r="B33" s="509"/>
      <c r="C33" s="509"/>
      <c r="D33" s="467">
        <f>'BESS 12'!H186</f>
        <v>46249</v>
      </c>
      <c r="E33" s="109" t="s">
        <v>64</v>
      </c>
      <c r="F33" s="102" t="e">
        <f>SUM('BESS 12'!S199:S206,'BESS 12'!S208)</f>
        <v>#VALUE!</v>
      </c>
      <c r="G33" s="165">
        <f>MAX('BESS 12'!O236:O243,'BESS 12'!O245)</f>
        <v>46236</v>
      </c>
      <c r="H33" s="110">
        <f>G33-12</f>
        <v>46224</v>
      </c>
      <c r="I33" s="102">
        <f>G33-H33</f>
        <v>12</v>
      </c>
      <c r="J33" s="506">
        <f>AVERAGEIF(L38:CP38,"&gt;0")</f>
        <v>8.3333333333333339</v>
      </c>
      <c r="K33" s="506">
        <f>MAX(L38:CS38)</f>
        <v>30</v>
      </c>
      <c r="L33" s="101" t="str">
        <f t="shared" ref="L33:U36" si="61">IF(AND(L$1&gt;=$H33,L$1&lt;($H33+$I33)),ROUND($F33/$I33,0),"-")</f>
        <v>-</v>
      </c>
      <c r="M33" s="101" t="str">
        <f t="shared" si="61"/>
        <v>-</v>
      </c>
      <c r="N33" s="101" t="str">
        <f t="shared" si="61"/>
        <v>-</v>
      </c>
      <c r="O33" s="101" t="str">
        <f t="shared" si="61"/>
        <v>-</v>
      </c>
      <c r="P33" s="101" t="str">
        <f t="shared" si="61"/>
        <v>-</v>
      </c>
      <c r="Q33" s="101" t="str">
        <f t="shared" si="61"/>
        <v>-</v>
      </c>
      <c r="R33" s="101" t="str">
        <f t="shared" si="61"/>
        <v>-</v>
      </c>
      <c r="S33" s="101" t="str">
        <f t="shared" si="61"/>
        <v>-</v>
      </c>
      <c r="T33" s="101" t="str">
        <f t="shared" si="61"/>
        <v>-</v>
      </c>
      <c r="U33" s="101" t="str">
        <f t="shared" si="61"/>
        <v>-</v>
      </c>
      <c r="V33" s="101" t="str">
        <f t="shared" ref="V33:AE36" si="62">IF(AND(V$1&gt;=$H33,V$1&lt;($H33+$I33)),ROUND($F33/$I33,0),"-")</f>
        <v>-</v>
      </c>
      <c r="W33" s="101" t="str">
        <f t="shared" si="62"/>
        <v>-</v>
      </c>
      <c r="X33" s="101" t="str">
        <f t="shared" si="62"/>
        <v>-</v>
      </c>
      <c r="Y33" s="101" t="str">
        <f t="shared" si="62"/>
        <v>-</v>
      </c>
      <c r="Z33" s="101" t="str">
        <f t="shared" si="62"/>
        <v>-</v>
      </c>
      <c r="AA33" s="101" t="str">
        <f t="shared" si="62"/>
        <v>-</v>
      </c>
      <c r="AB33" s="101" t="str">
        <f t="shared" si="62"/>
        <v>-</v>
      </c>
      <c r="AC33" s="101" t="str">
        <f t="shared" si="62"/>
        <v>-</v>
      </c>
      <c r="AD33" s="101" t="str">
        <f t="shared" si="62"/>
        <v>-</v>
      </c>
      <c r="AE33" s="101" t="str">
        <f t="shared" si="62"/>
        <v>-</v>
      </c>
      <c r="AF33" s="101" t="str">
        <f t="shared" ref="AF33:AO36" si="63">IF(AND(AF$1&gt;=$H33,AF$1&lt;($H33+$I33)),ROUND($F33/$I33,0),"-")</f>
        <v>-</v>
      </c>
      <c r="AG33" s="101" t="str">
        <f t="shared" si="63"/>
        <v>-</v>
      </c>
      <c r="AH33" s="101" t="str">
        <f t="shared" si="63"/>
        <v>-</v>
      </c>
      <c r="AI33" s="101" t="str">
        <f t="shared" si="63"/>
        <v>-</v>
      </c>
      <c r="AJ33" s="101" t="str">
        <f t="shared" si="63"/>
        <v>-</v>
      </c>
      <c r="AK33" s="101" t="str">
        <f t="shared" si="63"/>
        <v>-</v>
      </c>
      <c r="AL33" s="101" t="str">
        <f t="shared" si="63"/>
        <v>-</v>
      </c>
      <c r="AM33" s="101" t="str">
        <f t="shared" si="63"/>
        <v>-</v>
      </c>
      <c r="AN33" s="101" t="str">
        <f t="shared" si="63"/>
        <v>-</v>
      </c>
      <c r="AO33" s="101" t="str">
        <f t="shared" si="63"/>
        <v>-</v>
      </c>
      <c r="AP33" s="101" t="str">
        <f t="shared" ref="AP33:AY36" si="64">IF(AND(AP$1&gt;=$H33,AP$1&lt;($H33+$I33)),ROUND($F33/$I33,0),"-")</f>
        <v>-</v>
      </c>
      <c r="AQ33" s="101" t="str">
        <f t="shared" si="64"/>
        <v>-</v>
      </c>
      <c r="AR33" s="101" t="str">
        <f t="shared" si="64"/>
        <v>-</v>
      </c>
      <c r="AS33" s="101" t="str">
        <f t="shared" si="64"/>
        <v>-</v>
      </c>
      <c r="AT33" s="101" t="str">
        <f t="shared" si="64"/>
        <v>-</v>
      </c>
      <c r="AU33" s="101" t="str">
        <f t="shared" si="64"/>
        <v>-</v>
      </c>
      <c r="AV33" s="101" t="str">
        <f t="shared" si="64"/>
        <v>-</v>
      </c>
      <c r="AW33" s="101" t="str">
        <f t="shared" si="64"/>
        <v>-</v>
      </c>
      <c r="AX33" s="101" t="str">
        <f t="shared" si="64"/>
        <v>-</v>
      </c>
      <c r="AY33" s="101" t="str">
        <f t="shared" si="64"/>
        <v>-</v>
      </c>
      <c r="AZ33" s="101" t="str">
        <f t="shared" ref="AZ33:BI36" si="65">IF(AND(AZ$1&gt;=$H33,AZ$1&lt;($H33+$I33)),ROUND($F33/$I33,0),"-")</f>
        <v>-</v>
      </c>
      <c r="BA33" s="101" t="str">
        <f t="shared" si="65"/>
        <v>-</v>
      </c>
      <c r="BB33" s="101" t="str">
        <f t="shared" si="65"/>
        <v>-</v>
      </c>
      <c r="BC33" s="101" t="str">
        <f t="shared" si="65"/>
        <v>-</v>
      </c>
      <c r="BD33" s="101" t="str">
        <f t="shared" si="65"/>
        <v>-</v>
      </c>
      <c r="BE33" s="101" t="str">
        <f t="shared" si="65"/>
        <v>-</v>
      </c>
      <c r="BF33" s="101" t="str">
        <f t="shared" si="65"/>
        <v>-</v>
      </c>
      <c r="BG33" s="101" t="str">
        <f t="shared" si="65"/>
        <v>-</v>
      </c>
      <c r="BH33" s="101" t="str">
        <f t="shared" si="65"/>
        <v>-</v>
      </c>
      <c r="BI33" s="101" t="str">
        <f t="shared" si="65"/>
        <v>-</v>
      </c>
      <c r="BJ33" s="101" t="str">
        <f t="shared" ref="BJ33:BS36" si="66">IF(AND(BJ$1&gt;=$H33,BJ$1&lt;($H33+$I33)),ROUND($F33/$I33,0),"-")</f>
        <v>-</v>
      </c>
      <c r="BK33" s="101" t="str">
        <f t="shared" si="66"/>
        <v>-</v>
      </c>
      <c r="BL33" s="101" t="str">
        <f t="shared" si="66"/>
        <v>-</v>
      </c>
      <c r="BM33" s="101" t="str">
        <f t="shared" si="66"/>
        <v>-</v>
      </c>
      <c r="BN33" s="101" t="str">
        <f t="shared" si="66"/>
        <v>-</v>
      </c>
      <c r="BO33" s="101" t="str">
        <f t="shared" si="66"/>
        <v>-</v>
      </c>
      <c r="BP33" s="101" t="str">
        <f t="shared" si="66"/>
        <v>-</v>
      </c>
      <c r="BQ33" s="101" t="str">
        <f t="shared" si="66"/>
        <v>-</v>
      </c>
      <c r="BR33" s="101" t="str">
        <f t="shared" si="66"/>
        <v>-</v>
      </c>
      <c r="BS33" s="101" t="str">
        <f t="shared" si="66"/>
        <v>-</v>
      </c>
      <c r="BT33" s="101" t="str">
        <f t="shared" ref="BT33:CC36" si="67">IF(AND(BT$1&gt;=$H33,BT$1&lt;($H33+$I33)),ROUND($F33/$I33,0),"-")</f>
        <v>-</v>
      </c>
      <c r="BU33" s="101" t="str">
        <f t="shared" si="67"/>
        <v>-</v>
      </c>
      <c r="BV33" s="101" t="str">
        <f t="shared" si="67"/>
        <v>-</v>
      </c>
      <c r="BW33" s="101" t="str">
        <f t="shared" si="67"/>
        <v>-</v>
      </c>
      <c r="BX33" s="101" t="str">
        <f t="shared" si="67"/>
        <v>-</v>
      </c>
      <c r="BY33" s="101" t="str">
        <f t="shared" si="67"/>
        <v>-</v>
      </c>
      <c r="BZ33" s="101" t="str">
        <f t="shared" si="67"/>
        <v>-</v>
      </c>
      <c r="CA33" s="101" t="str">
        <f t="shared" si="67"/>
        <v>-</v>
      </c>
      <c r="CB33" s="101" t="str">
        <f t="shared" si="67"/>
        <v>-</v>
      </c>
      <c r="CC33" s="101" t="str">
        <f t="shared" si="67"/>
        <v>-</v>
      </c>
      <c r="CD33" s="101" t="str">
        <f t="shared" ref="CD33:CM36" si="68">IF(AND(CD$1&gt;=$H33,CD$1&lt;($H33+$I33)),ROUND($F33/$I33,0),"-")</f>
        <v>-</v>
      </c>
      <c r="CE33" s="101" t="str">
        <f t="shared" si="68"/>
        <v>-</v>
      </c>
      <c r="CF33" s="101" t="str">
        <f t="shared" si="68"/>
        <v>-</v>
      </c>
      <c r="CG33" s="101" t="str">
        <f t="shared" si="68"/>
        <v>-</v>
      </c>
      <c r="CH33" s="101" t="str">
        <f t="shared" si="68"/>
        <v>-</v>
      </c>
      <c r="CI33" s="101" t="str">
        <f t="shared" si="68"/>
        <v>-</v>
      </c>
      <c r="CJ33" s="101" t="str">
        <f t="shared" si="68"/>
        <v>-</v>
      </c>
      <c r="CK33" s="101" t="str">
        <f t="shared" si="68"/>
        <v>-</v>
      </c>
      <c r="CL33" s="101" t="str">
        <f t="shared" si="68"/>
        <v>-</v>
      </c>
      <c r="CM33" s="101" t="str">
        <f t="shared" si="68"/>
        <v>-</v>
      </c>
      <c r="CN33" s="101" t="str">
        <f t="shared" ref="CN33:CS36" si="69">IF(AND(CN$1&gt;=$H33,CN$1&lt;($H33+$I33)),ROUND($F33/$I33,0),"-")</f>
        <v>-</v>
      </c>
      <c r="CO33" s="101" t="str">
        <f t="shared" si="69"/>
        <v>-</v>
      </c>
      <c r="CP33" s="101" t="str">
        <f t="shared" si="69"/>
        <v>-</v>
      </c>
      <c r="CQ33" s="101" t="str">
        <f t="shared" si="69"/>
        <v>-</v>
      </c>
      <c r="CR33" s="101" t="str">
        <f t="shared" si="69"/>
        <v>-</v>
      </c>
      <c r="CS33" s="101" t="str">
        <f t="shared" si="69"/>
        <v>-</v>
      </c>
      <c r="CV33" s="101" t="e">
        <f t="shared" ref="CV33:DE36" si="70">IF(AND(CV$1&gt;=$H33,CV$1&lt;($H33+$I33)),ROUND($F33/$I33,0),"-")</f>
        <v>#VALUE!</v>
      </c>
      <c r="CW33" s="101" t="str">
        <f t="shared" si="70"/>
        <v>-</v>
      </c>
      <c r="CX33" s="101" t="str">
        <f t="shared" si="70"/>
        <v>-</v>
      </c>
      <c r="CY33" s="101" t="str">
        <f t="shared" si="70"/>
        <v>-</v>
      </c>
      <c r="CZ33" s="101" t="str">
        <f t="shared" si="70"/>
        <v>-</v>
      </c>
      <c r="DA33" s="101" t="str">
        <f t="shared" si="70"/>
        <v>-</v>
      </c>
      <c r="DB33" s="101" t="str">
        <f t="shared" si="70"/>
        <v>-</v>
      </c>
      <c r="DC33" s="101" t="str">
        <f t="shared" si="70"/>
        <v>-</v>
      </c>
      <c r="DD33" s="101" t="str">
        <f t="shared" si="70"/>
        <v>-</v>
      </c>
      <c r="DE33" s="101" t="str">
        <f t="shared" si="70"/>
        <v>-</v>
      </c>
      <c r="DF33" s="101" t="str">
        <f t="shared" ref="DF33:DR36" si="71">IF(AND(DF$1&gt;=$H33,DF$1&lt;($H33+$I33)),ROUND($F33/$I33,0),"-")</f>
        <v>-</v>
      </c>
      <c r="DG33" s="101" t="str">
        <f t="shared" si="71"/>
        <v>-</v>
      </c>
      <c r="DH33" s="101" t="str">
        <f t="shared" si="71"/>
        <v>-</v>
      </c>
      <c r="DI33" s="101" t="str">
        <f t="shared" si="71"/>
        <v>-</v>
      </c>
      <c r="DJ33" s="101" t="str">
        <f t="shared" si="71"/>
        <v>-</v>
      </c>
      <c r="DK33" s="101" t="str">
        <f t="shared" si="71"/>
        <v>-</v>
      </c>
      <c r="DL33" s="101" t="str">
        <f t="shared" si="71"/>
        <v>-</v>
      </c>
      <c r="DM33" s="101" t="str">
        <f t="shared" si="71"/>
        <v>-</v>
      </c>
      <c r="DN33" s="101" t="str">
        <f t="shared" si="71"/>
        <v>-</v>
      </c>
      <c r="DO33" s="101" t="str">
        <f t="shared" si="71"/>
        <v>-</v>
      </c>
      <c r="DP33" s="101" t="str">
        <f t="shared" si="71"/>
        <v>-</v>
      </c>
      <c r="DQ33" s="101" t="str">
        <f t="shared" si="71"/>
        <v>-</v>
      </c>
      <c r="DR33" s="101" t="str">
        <f t="shared" si="71"/>
        <v>-</v>
      </c>
    </row>
    <row r="34" spans="1:125">
      <c r="A34" s="466"/>
      <c r="B34" s="509"/>
      <c r="C34" s="509"/>
      <c r="D34" s="466"/>
      <c r="E34" s="109" t="s">
        <v>65</v>
      </c>
      <c r="F34" s="102" t="e">
        <f>SUM('BESS 12'!S209,'BESS 12'!S211:S212,'BESS 12'!S215:S217)</f>
        <v>#VALUE!</v>
      </c>
      <c r="G34" s="165">
        <f>MAX('BESS 12'!O237:O244,'BESS 12'!O246)</f>
        <v>46241</v>
      </c>
      <c r="H34" s="110">
        <f>G34-20</f>
        <v>46221</v>
      </c>
      <c r="I34" s="102">
        <f>G34-H34</f>
        <v>20</v>
      </c>
      <c r="J34" s="507"/>
      <c r="K34" s="476"/>
      <c r="L34" s="101" t="str">
        <f t="shared" si="61"/>
        <v>-</v>
      </c>
      <c r="M34" s="101" t="str">
        <f t="shared" si="61"/>
        <v>-</v>
      </c>
      <c r="N34" s="101" t="str">
        <f t="shared" si="61"/>
        <v>-</v>
      </c>
      <c r="O34" s="101" t="str">
        <f t="shared" si="61"/>
        <v>-</v>
      </c>
      <c r="P34" s="101" t="str">
        <f t="shared" si="61"/>
        <v>-</v>
      </c>
      <c r="Q34" s="101" t="str">
        <f t="shared" si="61"/>
        <v>-</v>
      </c>
      <c r="R34" s="101" t="str">
        <f t="shared" si="61"/>
        <v>-</v>
      </c>
      <c r="S34" s="101" t="str">
        <f t="shared" si="61"/>
        <v>-</v>
      </c>
      <c r="T34" s="101" t="str">
        <f t="shared" si="61"/>
        <v>-</v>
      </c>
      <c r="U34" s="101" t="str">
        <f t="shared" si="61"/>
        <v>-</v>
      </c>
      <c r="V34" s="101" t="str">
        <f t="shared" si="62"/>
        <v>-</v>
      </c>
      <c r="W34" s="101" t="str">
        <f t="shared" si="62"/>
        <v>-</v>
      </c>
      <c r="X34" s="101" t="str">
        <f t="shared" si="62"/>
        <v>-</v>
      </c>
      <c r="Y34" s="101" t="str">
        <f t="shared" si="62"/>
        <v>-</v>
      </c>
      <c r="Z34" s="101" t="str">
        <f t="shared" si="62"/>
        <v>-</v>
      </c>
      <c r="AA34" s="101" t="str">
        <f t="shared" si="62"/>
        <v>-</v>
      </c>
      <c r="AB34" s="101" t="str">
        <f t="shared" si="62"/>
        <v>-</v>
      </c>
      <c r="AC34" s="101" t="str">
        <f t="shared" si="62"/>
        <v>-</v>
      </c>
      <c r="AD34" s="101" t="str">
        <f t="shared" si="62"/>
        <v>-</v>
      </c>
      <c r="AE34" s="101" t="str">
        <f t="shared" si="62"/>
        <v>-</v>
      </c>
      <c r="AF34" s="101" t="str">
        <f t="shared" si="63"/>
        <v>-</v>
      </c>
      <c r="AG34" s="101" t="str">
        <f t="shared" si="63"/>
        <v>-</v>
      </c>
      <c r="AH34" s="101" t="str">
        <f t="shared" si="63"/>
        <v>-</v>
      </c>
      <c r="AI34" s="101" t="str">
        <f t="shared" si="63"/>
        <v>-</v>
      </c>
      <c r="AJ34" s="101" t="str">
        <f t="shared" si="63"/>
        <v>-</v>
      </c>
      <c r="AK34" s="101" t="str">
        <f t="shared" si="63"/>
        <v>-</v>
      </c>
      <c r="AL34" s="101" t="str">
        <f t="shared" si="63"/>
        <v>-</v>
      </c>
      <c r="AM34" s="101" t="str">
        <f t="shared" si="63"/>
        <v>-</v>
      </c>
      <c r="AN34" s="101" t="str">
        <f t="shared" si="63"/>
        <v>-</v>
      </c>
      <c r="AO34" s="101" t="str">
        <f t="shared" si="63"/>
        <v>-</v>
      </c>
      <c r="AP34" s="101" t="str">
        <f t="shared" si="64"/>
        <v>-</v>
      </c>
      <c r="AQ34" s="101" t="str">
        <f t="shared" si="64"/>
        <v>-</v>
      </c>
      <c r="AR34" s="101" t="str">
        <f t="shared" si="64"/>
        <v>-</v>
      </c>
      <c r="AS34" s="101" t="str">
        <f t="shared" si="64"/>
        <v>-</v>
      </c>
      <c r="AT34" s="101" t="str">
        <f t="shared" si="64"/>
        <v>-</v>
      </c>
      <c r="AU34" s="101" t="str">
        <f t="shared" si="64"/>
        <v>-</v>
      </c>
      <c r="AV34" s="101" t="str">
        <f t="shared" si="64"/>
        <v>-</v>
      </c>
      <c r="AW34" s="101" t="str">
        <f t="shared" si="64"/>
        <v>-</v>
      </c>
      <c r="AX34" s="101" t="str">
        <f t="shared" si="64"/>
        <v>-</v>
      </c>
      <c r="AY34" s="101" t="str">
        <f t="shared" si="64"/>
        <v>-</v>
      </c>
      <c r="AZ34" s="101" t="str">
        <f t="shared" si="65"/>
        <v>-</v>
      </c>
      <c r="BA34" s="101" t="str">
        <f t="shared" si="65"/>
        <v>-</v>
      </c>
      <c r="BB34" s="101" t="str">
        <f t="shared" si="65"/>
        <v>-</v>
      </c>
      <c r="BC34" s="101" t="str">
        <f t="shared" si="65"/>
        <v>-</v>
      </c>
      <c r="BD34" s="101" t="str">
        <f t="shared" si="65"/>
        <v>-</v>
      </c>
      <c r="BE34" s="101" t="str">
        <f t="shared" si="65"/>
        <v>-</v>
      </c>
      <c r="BF34" s="101" t="str">
        <f t="shared" si="65"/>
        <v>-</v>
      </c>
      <c r="BG34" s="101" t="str">
        <f t="shared" si="65"/>
        <v>-</v>
      </c>
      <c r="BH34" s="101" t="str">
        <f t="shared" si="65"/>
        <v>-</v>
      </c>
      <c r="BI34" s="101" t="str">
        <f t="shared" si="65"/>
        <v>-</v>
      </c>
      <c r="BJ34" s="101" t="str">
        <f t="shared" si="66"/>
        <v>-</v>
      </c>
      <c r="BK34" s="101" t="str">
        <f t="shared" si="66"/>
        <v>-</v>
      </c>
      <c r="BL34" s="101" t="str">
        <f t="shared" si="66"/>
        <v>-</v>
      </c>
      <c r="BM34" s="101" t="str">
        <f t="shared" si="66"/>
        <v>-</v>
      </c>
      <c r="BN34" s="101" t="str">
        <f t="shared" si="66"/>
        <v>-</v>
      </c>
      <c r="BO34" s="101" t="str">
        <f t="shared" si="66"/>
        <v>-</v>
      </c>
      <c r="BP34" s="101" t="str">
        <f t="shared" si="66"/>
        <v>-</v>
      </c>
      <c r="BQ34" s="101" t="str">
        <f t="shared" si="66"/>
        <v>-</v>
      </c>
      <c r="BR34" s="101" t="str">
        <f t="shared" si="66"/>
        <v>-</v>
      </c>
      <c r="BS34" s="101" t="str">
        <f t="shared" si="66"/>
        <v>-</v>
      </c>
      <c r="BT34" s="101" t="str">
        <f t="shared" si="67"/>
        <v>-</v>
      </c>
      <c r="BU34" s="101" t="str">
        <f t="shared" si="67"/>
        <v>-</v>
      </c>
      <c r="BV34" s="101" t="str">
        <f t="shared" si="67"/>
        <v>-</v>
      </c>
      <c r="BW34" s="101" t="str">
        <f t="shared" si="67"/>
        <v>-</v>
      </c>
      <c r="BX34" s="101" t="str">
        <f t="shared" si="67"/>
        <v>-</v>
      </c>
      <c r="BY34" s="101" t="str">
        <f t="shared" si="67"/>
        <v>-</v>
      </c>
      <c r="BZ34" s="101" t="str">
        <f t="shared" si="67"/>
        <v>-</v>
      </c>
      <c r="CA34" s="101" t="str">
        <f t="shared" si="67"/>
        <v>-</v>
      </c>
      <c r="CB34" s="101" t="str">
        <f t="shared" si="67"/>
        <v>-</v>
      </c>
      <c r="CC34" s="101" t="str">
        <f t="shared" si="67"/>
        <v>-</v>
      </c>
      <c r="CD34" s="101" t="str">
        <f t="shared" si="68"/>
        <v>-</v>
      </c>
      <c r="CE34" s="101" t="str">
        <f t="shared" si="68"/>
        <v>-</v>
      </c>
      <c r="CF34" s="101" t="str">
        <f t="shared" si="68"/>
        <v>-</v>
      </c>
      <c r="CG34" s="101" t="str">
        <f t="shared" si="68"/>
        <v>-</v>
      </c>
      <c r="CH34" s="101" t="str">
        <f t="shared" si="68"/>
        <v>-</v>
      </c>
      <c r="CI34" s="101" t="str">
        <f t="shared" si="68"/>
        <v>-</v>
      </c>
      <c r="CJ34" s="101" t="str">
        <f t="shared" si="68"/>
        <v>-</v>
      </c>
      <c r="CK34" s="101" t="str">
        <f t="shared" si="68"/>
        <v>-</v>
      </c>
      <c r="CL34" s="101" t="str">
        <f t="shared" si="68"/>
        <v>-</v>
      </c>
      <c r="CM34" s="101" t="str">
        <f t="shared" si="68"/>
        <v>-</v>
      </c>
      <c r="CN34" s="101" t="str">
        <f t="shared" si="69"/>
        <v>-</v>
      </c>
      <c r="CO34" s="101" t="str">
        <f t="shared" si="69"/>
        <v>-</v>
      </c>
      <c r="CP34" s="101" t="str">
        <f t="shared" si="69"/>
        <v>-</v>
      </c>
      <c r="CQ34" s="101" t="str">
        <f t="shared" si="69"/>
        <v>-</v>
      </c>
      <c r="CR34" s="101" t="str">
        <f t="shared" si="69"/>
        <v>-</v>
      </c>
      <c r="CS34" s="101" t="str">
        <f t="shared" si="69"/>
        <v>-</v>
      </c>
      <c r="CV34" s="101" t="e">
        <f t="shared" si="70"/>
        <v>#VALUE!</v>
      </c>
      <c r="CW34" s="101" t="str">
        <f t="shared" si="70"/>
        <v>-</v>
      </c>
      <c r="CX34" s="101" t="str">
        <f t="shared" si="70"/>
        <v>-</v>
      </c>
      <c r="CY34" s="101" t="str">
        <f t="shared" si="70"/>
        <v>-</v>
      </c>
      <c r="CZ34" s="101" t="str">
        <f t="shared" si="70"/>
        <v>-</v>
      </c>
      <c r="DA34" s="101" t="str">
        <f t="shared" si="70"/>
        <v>-</v>
      </c>
      <c r="DB34" s="101" t="str">
        <f t="shared" si="70"/>
        <v>-</v>
      </c>
      <c r="DC34" s="101" t="str">
        <f t="shared" si="70"/>
        <v>-</v>
      </c>
      <c r="DD34" s="101" t="str">
        <f t="shared" si="70"/>
        <v>-</v>
      </c>
      <c r="DE34" s="101" t="str">
        <f t="shared" si="70"/>
        <v>-</v>
      </c>
      <c r="DF34" s="101" t="str">
        <f t="shared" si="71"/>
        <v>-</v>
      </c>
      <c r="DG34" s="101" t="str">
        <f t="shared" si="71"/>
        <v>-</v>
      </c>
      <c r="DH34" s="101" t="str">
        <f t="shared" si="71"/>
        <v>-</v>
      </c>
      <c r="DI34" s="101" t="str">
        <f t="shared" si="71"/>
        <v>-</v>
      </c>
      <c r="DJ34" s="101" t="str">
        <f t="shared" si="71"/>
        <v>-</v>
      </c>
      <c r="DK34" s="101" t="str">
        <f t="shared" si="71"/>
        <v>-</v>
      </c>
      <c r="DL34" s="101" t="str">
        <f t="shared" si="71"/>
        <v>-</v>
      </c>
      <c r="DM34" s="101" t="str">
        <f t="shared" si="71"/>
        <v>-</v>
      </c>
      <c r="DN34" s="101" t="str">
        <f t="shared" si="71"/>
        <v>-</v>
      </c>
      <c r="DO34" s="101" t="str">
        <f t="shared" si="71"/>
        <v>-</v>
      </c>
      <c r="DP34" s="101" t="str">
        <f t="shared" si="71"/>
        <v>-</v>
      </c>
      <c r="DQ34" s="101" t="str">
        <f t="shared" si="71"/>
        <v>-</v>
      </c>
      <c r="DR34" s="101" t="str">
        <f t="shared" si="71"/>
        <v>-</v>
      </c>
    </row>
    <row r="35" spans="1:125">
      <c r="A35" s="466"/>
      <c r="B35" s="509"/>
      <c r="C35" s="509"/>
      <c r="D35" s="466"/>
      <c r="E35" s="109" t="s">
        <v>66</v>
      </c>
      <c r="F35" s="102" t="e">
        <f>SUM('BESS 12'!S210,'BESS 12'!S213:S214,'BESS 12'!S218:S219)</f>
        <v>#VALUE!</v>
      </c>
      <c r="G35" s="165">
        <f>G34+7</f>
        <v>46248</v>
      </c>
      <c r="H35" s="110">
        <f>H34+7</f>
        <v>46228</v>
      </c>
      <c r="I35" s="102">
        <f>G35-H35</f>
        <v>20</v>
      </c>
      <c r="J35" s="507"/>
      <c r="K35" s="476"/>
      <c r="L35" s="101" t="str">
        <f t="shared" si="61"/>
        <v>-</v>
      </c>
      <c r="M35" s="101" t="str">
        <f t="shared" si="61"/>
        <v>-</v>
      </c>
      <c r="N35" s="101" t="str">
        <f t="shared" si="61"/>
        <v>-</v>
      </c>
      <c r="O35" s="101" t="str">
        <f t="shared" si="61"/>
        <v>-</v>
      </c>
      <c r="P35" s="101" t="str">
        <f t="shared" si="61"/>
        <v>-</v>
      </c>
      <c r="Q35" s="101" t="str">
        <f t="shared" si="61"/>
        <v>-</v>
      </c>
      <c r="R35" s="101" t="str">
        <f t="shared" si="61"/>
        <v>-</v>
      </c>
      <c r="S35" s="101" t="str">
        <f t="shared" si="61"/>
        <v>-</v>
      </c>
      <c r="T35" s="101" t="str">
        <f t="shared" si="61"/>
        <v>-</v>
      </c>
      <c r="U35" s="101" t="str">
        <f t="shared" si="61"/>
        <v>-</v>
      </c>
      <c r="V35" s="101" t="str">
        <f t="shared" si="62"/>
        <v>-</v>
      </c>
      <c r="W35" s="101" t="str">
        <f t="shared" si="62"/>
        <v>-</v>
      </c>
      <c r="X35" s="101" t="str">
        <f t="shared" si="62"/>
        <v>-</v>
      </c>
      <c r="Y35" s="101" t="str">
        <f t="shared" si="62"/>
        <v>-</v>
      </c>
      <c r="Z35" s="101" t="str">
        <f t="shared" si="62"/>
        <v>-</v>
      </c>
      <c r="AA35" s="101" t="str">
        <f t="shared" si="62"/>
        <v>-</v>
      </c>
      <c r="AB35" s="101" t="str">
        <f t="shared" si="62"/>
        <v>-</v>
      </c>
      <c r="AC35" s="101" t="str">
        <f t="shared" si="62"/>
        <v>-</v>
      </c>
      <c r="AD35" s="101" t="str">
        <f t="shared" si="62"/>
        <v>-</v>
      </c>
      <c r="AE35" s="101" t="str">
        <f t="shared" si="62"/>
        <v>-</v>
      </c>
      <c r="AF35" s="101" t="str">
        <f t="shared" si="63"/>
        <v>-</v>
      </c>
      <c r="AG35" s="101" t="str">
        <f t="shared" si="63"/>
        <v>-</v>
      </c>
      <c r="AH35" s="101" t="str">
        <f t="shared" si="63"/>
        <v>-</v>
      </c>
      <c r="AI35" s="101" t="str">
        <f t="shared" si="63"/>
        <v>-</v>
      </c>
      <c r="AJ35" s="101" t="str">
        <f t="shared" si="63"/>
        <v>-</v>
      </c>
      <c r="AK35" s="101" t="str">
        <f t="shared" si="63"/>
        <v>-</v>
      </c>
      <c r="AL35" s="101" t="str">
        <f t="shared" si="63"/>
        <v>-</v>
      </c>
      <c r="AM35" s="101" t="str">
        <f t="shared" si="63"/>
        <v>-</v>
      </c>
      <c r="AN35" s="101" t="str">
        <f t="shared" si="63"/>
        <v>-</v>
      </c>
      <c r="AO35" s="101" t="str">
        <f t="shared" si="63"/>
        <v>-</v>
      </c>
      <c r="AP35" s="101" t="str">
        <f t="shared" si="64"/>
        <v>-</v>
      </c>
      <c r="AQ35" s="101" t="str">
        <f t="shared" si="64"/>
        <v>-</v>
      </c>
      <c r="AR35" s="101" t="str">
        <f t="shared" si="64"/>
        <v>-</v>
      </c>
      <c r="AS35" s="101" t="str">
        <f t="shared" si="64"/>
        <v>-</v>
      </c>
      <c r="AT35" s="101" t="str">
        <f t="shared" si="64"/>
        <v>-</v>
      </c>
      <c r="AU35" s="101" t="str">
        <f t="shared" si="64"/>
        <v>-</v>
      </c>
      <c r="AV35" s="101" t="str">
        <f t="shared" si="64"/>
        <v>-</v>
      </c>
      <c r="AW35" s="101" t="str">
        <f t="shared" si="64"/>
        <v>-</v>
      </c>
      <c r="AX35" s="101" t="str">
        <f t="shared" si="64"/>
        <v>-</v>
      </c>
      <c r="AY35" s="101" t="str">
        <f t="shared" si="64"/>
        <v>-</v>
      </c>
      <c r="AZ35" s="101" t="str">
        <f t="shared" si="65"/>
        <v>-</v>
      </c>
      <c r="BA35" s="101" t="str">
        <f t="shared" si="65"/>
        <v>-</v>
      </c>
      <c r="BB35" s="101" t="str">
        <f t="shared" si="65"/>
        <v>-</v>
      </c>
      <c r="BC35" s="101" t="str">
        <f t="shared" si="65"/>
        <v>-</v>
      </c>
      <c r="BD35" s="101" t="str">
        <f t="shared" si="65"/>
        <v>-</v>
      </c>
      <c r="BE35" s="101" t="str">
        <f t="shared" si="65"/>
        <v>-</v>
      </c>
      <c r="BF35" s="101" t="str">
        <f t="shared" si="65"/>
        <v>-</v>
      </c>
      <c r="BG35" s="101" t="str">
        <f t="shared" si="65"/>
        <v>-</v>
      </c>
      <c r="BH35" s="101" t="str">
        <f t="shared" si="65"/>
        <v>-</v>
      </c>
      <c r="BI35" s="101" t="str">
        <f t="shared" si="65"/>
        <v>-</v>
      </c>
      <c r="BJ35" s="101" t="str">
        <f t="shared" si="66"/>
        <v>-</v>
      </c>
      <c r="BK35" s="101" t="str">
        <f t="shared" si="66"/>
        <v>-</v>
      </c>
      <c r="BL35" s="101" t="str">
        <f t="shared" si="66"/>
        <v>-</v>
      </c>
      <c r="BM35" s="101" t="str">
        <f t="shared" si="66"/>
        <v>-</v>
      </c>
      <c r="BN35" s="101" t="str">
        <f t="shared" si="66"/>
        <v>-</v>
      </c>
      <c r="BO35" s="101" t="str">
        <f t="shared" si="66"/>
        <v>-</v>
      </c>
      <c r="BP35" s="101" t="str">
        <f t="shared" si="66"/>
        <v>-</v>
      </c>
      <c r="BQ35" s="101" t="str">
        <f t="shared" si="66"/>
        <v>-</v>
      </c>
      <c r="BR35" s="101" t="str">
        <f t="shared" si="66"/>
        <v>-</v>
      </c>
      <c r="BS35" s="101" t="str">
        <f t="shared" si="66"/>
        <v>-</v>
      </c>
      <c r="BT35" s="101" t="str">
        <f t="shared" si="67"/>
        <v>-</v>
      </c>
      <c r="BU35" s="101" t="str">
        <f t="shared" si="67"/>
        <v>-</v>
      </c>
      <c r="BV35" s="101" t="str">
        <f t="shared" si="67"/>
        <v>-</v>
      </c>
      <c r="BW35" s="101" t="str">
        <f t="shared" si="67"/>
        <v>-</v>
      </c>
      <c r="BX35" s="101" t="str">
        <f t="shared" si="67"/>
        <v>-</v>
      </c>
      <c r="BY35" s="101" t="str">
        <f t="shared" si="67"/>
        <v>-</v>
      </c>
      <c r="BZ35" s="101" t="str">
        <f t="shared" si="67"/>
        <v>-</v>
      </c>
      <c r="CA35" s="101" t="str">
        <f t="shared" si="67"/>
        <v>-</v>
      </c>
      <c r="CB35" s="101" t="str">
        <f t="shared" si="67"/>
        <v>-</v>
      </c>
      <c r="CC35" s="101" t="str">
        <f t="shared" si="67"/>
        <v>-</v>
      </c>
      <c r="CD35" s="101" t="str">
        <f t="shared" si="68"/>
        <v>-</v>
      </c>
      <c r="CE35" s="101" t="str">
        <f t="shared" si="68"/>
        <v>-</v>
      </c>
      <c r="CF35" s="101" t="str">
        <f t="shared" si="68"/>
        <v>-</v>
      </c>
      <c r="CG35" s="101" t="str">
        <f t="shared" si="68"/>
        <v>-</v>
      </c>
      <c r="CH35" s="101" t="str">
        <f t="shared" si="68"/>
        <v>-</v>
      </c>
      <c r="CI35" s="101" t="str">
        <f t="shared" si="68"/>
        <v>-</v>
      </c>
      <c r="CJ35" s="101" t="str">
        <f t="shared" si="68"/>
        <v>-</v>
      </c>
      <c r="CK35" s="101" t="str">
        <f t="shared" si="68"/>
        <v>-</v>
      </c>
      <c r="CL35" s="101" t="str">
        <f t="shared" si="68"/>
        <v>-</v>
      </c>
      <c r="CM35" s="101" t="str">
        <f t="shared" si="68"/>
        <v>-</v>
      </c>
      <c r="CN35" s="101" t="str">
        <f t="shared" si="69"/>
        <v>-</v>
      </c>
      <c r="CO35" s="101" t="str">
        <f t="shared" si="69"/>
        <v>-</v>
      </c>
      <c r="CP35" s="101" t="str">
        <f t="shared" si="69"/>
        <v>-</v>
      </c>
      <c r="CQ35" s="101" t="str">
        <f t="shared" si="69"/>
        <v>-</v>
      </c>
      <c r="CR35" s="101" t="str">
        <f t="shared" si="69"/>
        <v>-</v>
      </c>
      <c r="CS35" s="101" t="str">
        <f t="shared" si="69"/>
        <v>-</v>
      </c>
      <c r="CV35" s="101" t="e">
        <f t="shared" si="70"/>
        <v>#VALUE!</v>
      </c>
      <c r="CW35" s="101" t="str">
        <f t="shared" si="70"/>
        <v>-</v>
      </c>
      <c r="CX35" s="101" t="str">
        <f t="shared" si="70"/>
        <v>-</v>
      </c>
      <c r="CY35" s="101" t="str">
        <f t="shared" si="70"/>
        <v>-</v>
      </c>
      <c r="CZ35" s="101" t="str">
        <f t="shared" si="70"/>
        <v>-</v>
      </c>
      <c r="DA35" s="101" t="str">
        <f t="shared" si="70"/>
        <v>-</v>
      </c>
      <c r="DB35" s="101" t="str">
        <f t="shared" si="70"/>
        <v>-</v>
      </c>
      <c r="DC35" s="101" t="str">
        <f t="shared" si="70"/>
        <v>-</v>
      </c>
      <c r="DD35" s="101" t="str">
        <f t="shared" si="70"/>
        <v>-</v>
      </c>
      <c r="DE35" s="101" t="str">
        <f t="shared" si="70"/>
        <v>-</v>
      </c>
      <c r="DF35" s="101" t="str">
        <f t="shared" si="71"/>
        <v>-</v>
      </c>
      <c r="DG35" s="101" t="str">
        <f t="shared" si="71"/>
        <v>-</v>
      </c>
      <c r="DH35" s="101" t="str">
        <f t="shared" si="71"/>
        <v>-</v>
      </c>
      <c r="DI35" s="101" t="str">
        <f t="shared" si="71"/>
        <v>-</v>
      </c>
      <c r="DJ35" s="101" t="str">
        <f t="shared" si="71"/>
        <v>-</v>
      </c>
      <c r="DK35" s="101" t="str">
        <f t="shared" si="71"/>
        <v>-</v>
      </c>
      <c r="DL35" s="101" t="str">
        <f t="shared" si="71"/>
        <v>-</v>
      </c>
      <c r="DM35" s="101" t="str">
        <f t="shared" si="71"/>
        <v>-</v>
      </c>
      <c r="DN35" s="101" t="str">
        <f t="shared" si="71"/>
        <v>-</v>
      </c>
      <c r="DO35" s="101" t="str">
        <f t="shared" si="71"/>
        <v>-</v>
      </c>
      <c r="DP35" s="101" t="str">
        <f t="shared" si="71"/>
        <v>-</v>
      </c>
      <c r="DQ35" s="101" t="str">
        <f t="shared" si="71"/>
        <v>-</v>
      </c>
      <c r="DR35" s="101" t="str">
        <f t="shared" si="71"/>
        <v>-</v>
      </c>
    </row>
    <row r="36" spans="1:125">
      <c r="A36" s="466"/>
      <c r="B36" s="509"/>
      <c r="C36" s="509"/>
      <c r="D36" s="466"/>
      <c r="E36" s="109" t="s">
        <v>67</v>
      </c>
      <c r="F36" s="102" t="e">
        <f>SUM('BESS 12'!S221:S230)</f>
        <v>#VALUE!</v>
      </c>
      <c r="G36" s="165">
        <f>B32-3</f>
        <v>46238</v>
      </c>
      <c r="H36" s="110">
        <f>G36-14</f>
        <v>46224</v>
      </c>
      <c r="I36" s="102">
        <f>G36-H36</f>
        <v>14</v>
      </c>
      <c r="J36" s="507"/>
      <c r="K36" s="476"/>
      <c r="L36" s="101" t="str">
        <f t="shared" si="61"/>
        <v>-</v>
      </c>
      <c r="M36" s="101" t="str">
        <f t="shared" si="61"/>
        <v>-</v>
      </c>
      <c r="N36" s="101" t="str">
        <f t="shared" si="61"/>
        <v>-</v>
      </c>
      <c r="O36" s="101" t="str">
        <f t="shared" si="61"/>
        <v>-</v>
      </c>
      <c r="P36" s="101" t="str">
        <f t="shared" si="61"/>
        <v>-</v>
      </c>
      <c r="Q36" s="101" t="str">
        <f t="shared" si="61"/>
        <v>-</v>
      </c>
      <c r="R36" s="101" t="str">
        <f t="shared" si="61"/>
        <v>-</v>
      </c>
      <c r="S36" s="101" t="str">
        <f t="shared" si="61"/>
        <v>-</v>
      </c>
      <c r="T36" s="101" t="str">
        <f t="shared" si="61"/>
        <v>-</v>
      </c>
      <c r="U36" s="101" t="str">
        <f t="shared" si="61"/>
        <v>-</v>
      </c>
      <c r="V36" s="101" t="str">
        <f t="shared" si="62"/>
        <v>-</v>
      </c>
      <c r="W36" s="101" t="str">
        <f t="shared" si="62"/>
        <v>-</v>
      </c>
      <c r="X36" s="101" t="str">
        <f t="shared" si="62"/>
        <v>-</v>
      </c>
      <c r="Y36" s="101" t="str">
        <f t="shared" si="62"/>
        <v>-</v>
      </c>
      <c r="Z36" s="101" t="str">
        <f t="shared" si="62"/>
        <v>-</v>
      </c>
      <c r="AA36" s="101" t="str">
        <f t="shared" si="62"/>
        <v>-</v>
      </c>
      <c r="AB36" s="101" t="str">
        <f t="shared" si="62"/>
        <v>-</v>
      </c>
      <c r="AC36" s="101" t="str">
        <f t="shared" si="62"/>
        <v>-</v>
      </c>
      <c r="AD36" s="101" t="str">
        <f t="shared" si="62"/>
        <v>-</v>
      </c>
      <c r="AE36" s="101" t="str">
        <f t="shared" si="62"/>
        <v>-</v>
      </c>
      <c r="AF36" s="101" t="str">
        <f t="shared" si="63"/>
        <v>-</v>
      </c>
      <c r="AG36" s="101" t="str">
        <f t="shared" si="63"/>
        <v>-</v>
      </c>
      <c r="AH36" s="101" t="str">
        <f t="shared" si="63"/>
        <v>-</v>
      </c>
      <c r="AI36" s="101" t="str">
        <f t="shared" si="63"/>
        <v>-</v>
      </c>
      <c r="AJ36" s="101" t="str">
        <f t="shared" si="63"/>
        <v>-</v>
      </c>
      <c r="AK36" s="101" t="str">
        <f t="shared" si="63"/>
        <v>-</v>
      </c>
      <c r="AL36" s="101" t="str">
        <f t="shared" si="63"/>
        <v>-</v>
      </c>
      <c r="AM36" s="101" t="str">
        <f t="shared" si="63"/>
        <v>-</v>
      </c>
      <c r="AN36" s="101" t="str">
        <f t="shared" si="63"/>
        <v>-</v>
      </c>
      <c r="AO36" s="101" t="str">
        <f t="shared" si="63"/>
        <v>-</v>
      </c>
      <c r="AP36" s="101" t="str">
        <f t="shared" si="64"/>
        <v>-</v>
      </c>
      <c r="AQ36" s="101" t="str">
        <f t="shared" si="64"/>
        <v>-</v>
      </c>
      <c r="AR36" s="101" t="str">
        <f t="shared" si="64"/>
        <v>-</v>
      </c>
      <c r="AS36" s="101" t="str">
        <f t="shared" si="64"/>
        <v>-</v>
      </c>
      <c r="AT36" s="101" t="str">
        <f t="shared" si="64"/>
        <v>-</v>
      </c>
      <c r="AU36" s="101" t="str">
        <f t="shared" si="64"/>
        <v>-</v>
      </c>
      <c r="AV36" s="101" t="str">
        <f t="shared" si="64"/>
        <v>-</v>
      </c>
      <c r="AW36" s="101" t="str">
        <f t="shared" si="64"/>
        <v>-</v>
      </c>
      <c r="AX36" s="101" t="str">
        <f t="shared" si="64"/>
        <v>-</v>
      </c>
      <c r="AY36" s="101" t="str">
        <f t="shared" si="64"/>
        <v>-</v>
      </c>
      <c r="AZ36" s="101" t="str">
        <f t="shared" si="65"/>
        <v>-</v>
      </c>
      <c r="BA36" s="101" t="str">
        <f t="shared" si="65"/>
        <v>-</v>
      </c>
      <c r="BB36" s="101" t="str">
        <f t="shared" si="65"/>
        <v>-</v>
      </c>
      <c r="BC36" s="101" t="str">
        <f t="shared" si="65"/>
        <v>-</v>
      </c>
      <c r="BD36" s="101" t="str">
        <f t="shared" si="65"/>
        <v>-</v>
      </c>
      <c r="BE36" s="101" t="str">
        <f t="shared" si="65"/>
        <v>-</v>
      </c>
      <c r="BF36" s="101" t="str">
        <f t="shared" si="65"/>
        <v>-</v>
      </c>
      <c r="BG36" s="101" t="str">
        <f t="shared" si="65"/>
        <v>-</v>
      </c>
      <c r="BH36" s="101" t="str">
        <f t="shared" si="65"/>
        <v>-</v>
      </c>
      <c r="BI36" s="101" t="str">
        <f t="shared" si="65"/>
        <v>-</v>
      </c>
      <c r="BJ36" s="101" t="str">
        <f t="shared" si="66"/>
        <v>-</v>
      </c>
      <c r="BK36" s="101" t="str">
        <f t="shared" si="66"/>
        <v>-</v>
      </c>
      <c r="BL36" s="101" t="str">
        <f t="shared" si="66"/>
        <v>-</v>
      </c>
      <c r="BM36" s="101" t="str">
        <f t="shared" si="66"/>
        <v>-</v>
      </c>
      <c r="BN36" s="101" t="str">
        <f t="shared" si="66"/>
        <v>-</v>
      </c>
      <c r="BO36" s="101" t="str">
        <f t="shared" si="66"/>
        <v>-</v>
      </c>
      <c r="BP36" s="101" t="str">
        <f t="shared" si="66"/>
        <v>-</v>
      </c>
      <c r="BQ36" s="101" t="str">
        <f t="shared" si="66"/>
        <v>-</v>
      </c>
      <c r="BR36" s="101" t="str">
        <f t="shared" si="66"/>
        <v>-</v>
      </c>
      <c r="BS36" s="101" t="str">
        <f t="shared" si="66"/>
        <v>-</v>
      </c>
      <c r="BT36" s="101" t="str">
        <f t="shared" si="67"/>
        <v>-</v>
      </c>
      <c r="BU36" s="101" t="str">
        <f t="shared" si="67"/>
        <v>-</v>
      </c>
      <c r="BV36" s="101" t="str">
        <f t="shared" si="67"/>
        <v>-</v>
      </c>
      <c r="BW36" s="101" t="str">
        <f t="shared" si="67"/>
        <v>-</v>
      </c>
      <c r="BX36" s="101" t="str">
        <f t="shared" si="67"/>
        <v>-</v>
      </c>
      <c r="BY36" s="101" t="str">
        <f t="shared" si="67"/>
        <v>-</v>
      </c>
      <c r="BZ36" s="101" t="str">
        <f t="shared" si="67"/>
        <v>-</v>
      </c>
      <c r="CA36" s="101" t="str">
        <f t="shared" si="67"/>
        <v>-</v>
      </c>
      <c r="CB36" s="101" t="str">
        <f t="shared" si="67"/>
        <v>-</v>
      </c>
      <c r="CC36" s="101" t="str">
        <f t="shared" si="67"/>
        <v>-</v>
      </c>
      <c r="CD36" s="101" t="str">
        <f t="shared" si="68"/>
        <v>-</v>
      </c>
      <c r="CE36" s="101" t="str">
        <f t="shared" si="68"/>
        <v>-</v>
      </c>
      <c r="CF36" s="101" t="str">
        <f t="shared" si="68"/>
        <v>-</v>
      </c>
      <c r="CG36" s="101" t="str">
        <f t="shared" si="68"/>
        <v>-</v>
      </c>
      <c r="CH36" s="101" t="str">
        <f t="shared" si="68"/>
        <v>-</v>
      </c>
      <c r="CI36" s="101" t="str">
        <f t="shared" si="68"/>
        <v>-</v>
      </c>
      <c r="CJ36" s="101" t="str">
        <f t="shared" si="68"/>
        <v>-</v>
      </c>
      <c r="CK36" s="101" t="str">
        <f t="shared" si="68"/>
        <v>-</v>
      </c>
      <c r="CL36" s="101" t="str">
        <f t="shared" si="68"/>
        <v>-</v>
      </c>
      <c r="CM36" s="101" t="str">
        <f t="shared" si="68"/>
        <v>-</v>
      </c>
      <c r="CN36" s="101" t="str">
        <f t="shared" si="69"/>
        <v>-</v>
      </c>
      <c r="CO36" s="101" t="str">
        <f t="shared" si="69"/>
        <v>-</v>
      </c>
      <c r="CP36" s="101" t="str">
        <f t="shared" si="69"/>
        <v>-</v>
      </c>
      <c r="CQ36" s="101" t="str">
        <f t="shared" si="69"/>
        <v>-</v>
      </c>
      <c r="CR36" s="101" t="str">
        <f t="shared" si="69"/>
        <v>-</v>
      </c>
      <c r="CS36" s="101" t="str">
        <f t="shared" si="69"/>
        <v>-</v>
      </c>
      <c r="CV36" s="101" t="e">
        <f t="shared" si="70"/>
        <v>#VALUE!</v>
      </c>
      <c r="CW36" s="101" t="str">
        <f t="shared" si="70"/>
        <v>-</v>
      </c>
      <c r="CX36" s="101" t="str">
        <f t="shared" si="70"/>
        <v>-</v>
      </c>
      <c r="CY36" s="101" t="str">
        <f t="shared" si="70"/>
        <v>-</v>
      </c>
      <c r="CZ36" s="101" t="str">
        <f t="shared" si="70"/>
        <v>-</v>
      </c>
      <c r="DA36" s="101" t="str">
        <f t="shared" si="70"/>
        <v>-</v>
      </c>
      <c r="DB36" s="101" t="str">
        <f t="shared" si="70"/>
        <v>-</v>
      </c>
      <c r="DC36" s="101" t="str">
        <f t="shared" si="70"/>
        <v>-</v>
      </c>
      <c r="DD36" s="101" t="str">
        <f t="shared" si="70"/>
        <v>-</v>
      </c>
      <c r="DE36" s="101" t="str">
        <f t="shared" si="70"/>
        <v>-</v>
      </c>
      <c r="DF36" s="101" t="str">
        <f t="shared" si="71"/>
        <v>-</v>
      </c>
      <c r="DG36" s="101" t="str">
        <f t="shared" si="71"/>
        <v>-</v>
      </c>
      <c r="DH36" s="101" t="str">
        <f t="shared" si="71"/>
        <v>-</v>
      </c>
      <c r="DI36" s="101" t="str">
        <f t="shared" si="71"/>
        <v>-</v>
      </c>
      <c r="DJ36" s="101" t="str">
        <f t="shared" si="71"/>
        <v>-</v>
      </c>
      <c r="DK36" s="101" t="str">
        <f t="shared" si="71"/>
        <v>-</v>
      </c>
      <c r="DL36" s="101" t="str">
        <f t="shared" si="71"/>
        <v>-</v>
      </c>
      <c r="DM36" s="101" t="str">
        <f t="shared" si="71"/>
        <v>-</v>
      </c>
      <c r="DN36" s="101" t="str">
        <f t="shared" si="71"/>
        <v>-</v>
      </c>
      <c r="DO36" s="101" t="str">
        <f t="shared" si="71"/>
        <v>-</v>
      </c>
      <c r="DP36" s="101" t="str">
        <f t="shared" si="71"/>
        <v>-</v>
      </c>
      <c r="DQ36" s="101" t="str">
        <f t="shared" si="71"/>
        <v>-</v>
      </c>
      <c r="DR36" s="101" t="str">
        <f t="shared" si="71"/>
        <v>-</v>
      </c>
    </row>
    <row r="37" spans="1:125">
      <c r="A37" s="65"/>
      <c r="B37" s="166"/>
      <c r="C37" s="166"/>
      <c r="D37" s="466"/>
      <c r="E37" s="109" t="s">
        <v>68</v>
      </c>
      <c r="F37" s="101">
        <v>250</v>
      </c>
      <c r="G37" s="165">
        <f>B32-3</f>
        <v>46238</v>
      </c>
      <c r="H37" s="110"/>
      <c r="I37" s="101">
        <v>30</v>
      </c>
      <c r="J37" s="508"/>
      <c r="K37" s="504"/>
      <c r="L37" s="110"/>
      <c r="M37" s="110"/>
      <c r="N37" s="101"/>
      <c r="O37" s="102"/>
      <c r="P37" s="102"/>
      <c r="Q37" s="102"/>
      <c r="R37" s="102"/>
      <c r="S37" s="102"/>
      <c r="T37" s="102"/>
      <c r="U37" s="102"/>
      <c r="V37" s="102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>
        <v>5</v>
      </c>
      <c r="AQ37" s="109">
        <v>5</v>
      </c>
      <c r="AR37" s="109">
        <v>5</v>
      </c>
      <c r="AS37" s="109">
        <v>5</v>
      </c>
      <c r="AT37" s="109">
        <v>5</v>
      </c>
      <c r="AU37" s="109">
        <v>5</v>
      </c>
      <c r="AV37" s="109">
        <v>5</v>
      </c>
      <c r="AW37" s="109">
        <v>5</v>
      </c>
      <c r="AX37" s="109">
        <v>5</v>
      </c>
      <c r="AY37" s="109">
        <v>5</v>
      </c>
      <c r="AZ37" s="109">
        <v>5</v>
      </c>
      <c r="BA37" s="109">
        <v>5</v>
      </c>
      <c r="BB37" s="109">
        <v>5</v>
      </c>
      <c r="BC37" s="109">
        <v>5</v>
      </c>
      <c r="BD37" s="109">
        <v>5</v>
      </c>
      <c r="BE37" s="109">
        <v>5</v>
      </c>
      <c r="BF37" s="109">
        <v>5</v>
      </c>
      <c r="BG37" s="109">
        <v>5</v>
      </c>
      <c r="BH37" s="109">
        <v>5</v>
      </c>
      <c r="BI37" s="109">
        <v>5</v>
      </c>
      <c r="BJ37" s="109">
        <v>5</v>
      </c>
      <c r="BK37" s="109">
        <v>5</v>
      </c>
      <c r="BL37" s="109">
        <v>5</v>
      </c>
      <c r="BM37" s="109">
        <v>5</v>
      </c>
      <c r="BN37" s="109">
        <v>30</v>
      </c>
      <c r="BO37" s="109">
        <v>30</v>
      </c>
      <c r="BP37" s="109">
        <v>30</v>
      </c>
      <c r="BQ37" s="109">
        <v>30</v>
      </c>
      <c r="BR37" s="109">
        <v>5</v>
      </c>
      <c r="BS37" s="109">
        <v>5</v>
      </c>
      <c r="BT37" s="109"/>
      <c r="BU37" s="109"/>
      <c r="BV37" s="109"/>
      <c r="BW37" s="109"/>
      <c r="BX37" s="109"/>
      <c r="BY37" s="109"/>
      <c r="BZ37" s="109"/>
      <c r="CA37" s="109"/>
      <c r="CB37" s="109"/>
      <c r="CC37" s="109"/>
      <c r="CD37" s="109"/>
      <c r="CE37" s="109"/>
      <c r="CF37" s="109"/>
      <c r="CG37" s="109"/>
      <c r="CH37" s="109"/>
      <c r="CI37" s="109"/>
      <c r="CJ37" s="109"/>
      <c r="CK37" s="109"/>
      <c r="CL37" s="109"/>
      <c r="CM37" s="109"/>
      <c r="CN37" s="109"/>
      <c r="CO37" s="109"/>
      <c r="CP37" s="109"/>
      <c r="CQ37" s="109"/>
      <c r="CR37" s="109"/>
      <c r="CS37" s="109"/>
      <c r="CV37" s="109"/>
      <c r="CW37" s="109"/>
      <c r="CX37" s="109"/>
      <c r="CY37" s="109"/>
      <c r="CZ37" s="109"/>
      <c r="DA37" s="109"/>
      <c r="DB37" s="109"/>
      <c r="DC37" s="109"/>
      <c r="DD37" s="109"/>
      <c r="DE37" s="109"/>
      <c r="DF37" s="109"/>
      <c r="DG37" s="109"/>
      <c r="DH37" s="109"/>
      <c r="DI37" s="109"/>
      <c r="DJ37" s="109"/>
      <c r="DK37" s="109"/>
      <c r="DL37" s="109"/>
      <c r="DM37" s="109"/>
      <c r="DN37" s="109"/>
      <c r="DO37" s="109"/>
      <c r="DP37" s="109"/>
      <c r="DQ37" s="109"/>
      <c r="DR37" s="109"/>
    </row>
    <row r="38" spans="1:125">
      <c r="B38" s="126"/>
      <c r="E38" s="120"/>
      <c r="F38" s="120"/>
      <c r="G38" s="120"/>
      <c r="H38" s="112" t="s">
        <v>69</v>
      </c>
      <c r="I38" s="121"/>
      <c r="J38" s="120"/>
      <c r="K38" s="120"/>
      <c r="L38" s="113">
        <f t="shared" ref="L38:AQ38" si="72">SUM(L33:L37)</f>
        <v>0</v>
      </c>
      <c r="M38" s="113">
        <f t="shared" si="72"/>
        <v>0</v>
      </c>
      <c r="N38" s="113">
        <f t="shared" si="72"/>
        <v>0</v>
      </c>
      <c r="O38" s="113">
        <f t="shared" si="72"/>
        <v>0</v>
      </c>
      <c r="P38" s="113">
        <f t="shared" si="72"/>
        <v>0</v>
      </c>
      <c r="Q38" s="113">
        <f t="shared" si="72"/>
        <v>0</v>
      </c>
      <c r="R38" s="113">
        <f t="shared" si="72"/>
        <v>0</v>
      </c>
      <c r="S38" s="113">
        <f t="shared" si="72"/>
        <v>0</v>
      </c>
      <c r="T38" s="113">
        <f t="shared" si="72"/>
        <v>0</v>
      </c>
      <c r="U38" s="113">
        <f t="shared" si="72"/>
        <v>0</v>
      </c>
      <c r="V38" s="113">
        <f t="shared" si="72"/>
        <v>0</v>
      </c>
      <c r="W38" s="113">
        <f>SUM(W33:W37)</f>
        <v>0</v>
      </c>
      <c r="X38" s="113">
        <f t="shared" si="72"/>
        <v>0</v>
      </c>
      <c r="Y38" s="113">
        <f t="shared" si="72"/>
        <v>0</v>
      </c>
      <c r="Z38" s="113">
        <f t="shared" si="72"/>
        <v>0</v>
      </c>
      <c r="AA38" s="113">
        <f t="shared" si="72"/>
        <v>0</v>
      </c>
      <c r="AB38" s="113">
        <f t="shared" si="72"/>
        <v>0</v>
      </c>
      <c r="AC38" s="113">
        <f t="shared" si="72"/>
        <v>0</v>
      </c>
      <c r="AD38" s="113">
        <f t="shared" si="72"/>
        <v>0</v>
      </c>
      <c r="AE38" s="113">
        <f t="shared" si="72"/>
        <v>0</v>
      </c>
      <c r="AF38" s="113">
        <f t="shared" si="72"/>
        <v>0</v>
      </c>
      <c r="AG38" s="113">
        <f t="shared" si="72"/>
        <v>0</v>
      </c>
      <c r="AH38" s="113">
        <f t="shared" si="72"/>
        <v>0</v>
      </c>
      <c r="AI38" s="113">
        <f t="shared" si="72"/>
        <v>0</v>
      </c>
      <c r="AJ38" s="113">
        <f t="shared" si="72"/>
        <v>0</v>
      </c>
      <c r="AK38" s="113">
        <f t="shared" si="72"/>
        <v>0</v>
      </c>
      <c r="AL38" s="113">
        <f t="shared" si="72"/>
        <v>0</v>
      </c>
      <c r="AM38" s="113">
        <f t="shared" si="72"/>
        <v>0</v>
      </c>
      <c r="AN38" s="113">
        <f t="shared" si="72"/>
        <v>0</v>
      </c>
      <c r="AO38" s="113">
        <f t="shared" si="72"/>
        <v>0</v>
      </c>
      <c r="AP38" s="113">
        <f t="shared" si="72"/>
        <v>5</v>
      </c>
      <c r="AQ38" s="113">
        <f t="shared" si="72"/>
        <v>5</v>
      </c>
      <c r="AR38" s="113">
        <f t="shared" ref="AR38:BW38" si="73">SUM(AR33:AR37)</f>
        <v>5</v>
      </c>
      <c r="AS38" s="113">
        <f t="shared" si="73"/>
        <v>5</v>
      </c>
      <c r="AT38" s="113">
        <f t="shared" si="73"/>
        <v>5</v>
      </c>
      <c r="AU38" s="113">
        <f t="shared" si="73"/>
        <v>5</v>
      </c>
      <c r="AV38" s="113">
        <f t="shared" si="73"/>
        <v>5</v>
      </c>
      <c r="AW38" s="113">
        <f t="shared" si="73"/>
        <v>5</v>
      </c>
      <c r="AX38" s="113">
        <f t="shared" si="73"/>
        <v>5</v>
      </c>
      <c r="AY38" s="113">
        <f t="shared" si="73"/>
        <v>5</v>
      </c>
      <c r="AZ38" s="113">
        <f t="shared" si="73"/>
        <v>5</v>
      </c>
      <c r="BA38" s="113">
        <f t="shared" si="73"/>
        <v>5</v>
      </c>
      <c r="BB38" s="113">
        <f t="shared" si="73"/>
        <v>5</v>
      </c>
      <c r="BC38" s="113">
        <f t="shared" si="73"/>
        <v>5</v>
      </c>
      <c r="BD38" s="113">
        <f t="shared" si="73"/>
        <v>5</v>
      </c>
      <c r="BE38" s="113">
        <f t="shared" si="73"/>
        <v>5</v>
      </c>
      <c r="BF38" s="113">
        <f t="shared" si="73"/>
        <v>5</v>
      </c>
      <c r="BG38" s="113">
        <f t="shared" si="73"/>
        <v>5</v>
      </c>
      <c r="BH38" s="113">
        <f t="shared" si="73"/>
        <v>5</v>
      </c>
      <c r="BI38" s="113">
        <f t="shared" si="73"/>
        <v>5</v>
      </c>
      <c r="BJ38" s="113">
        <f t="shared" si="73"/>
        <v>5</v>
      </c>
      <c r="BK38" s="113">
        <f t="shared" si="73"/>
        <v>5</v>
      </c>
      <c r="BL38" s="113">
        <f t="shared" si="73"/>
        <v>5</v>
      </c>
      <c r="BM38" s="113">
        <f t="shared" si="73"/>
        <v>5</v>
      </c>
      <c r="BN38" s="113">
        <f t="shared" si="73"/>
        <v>30</v>
      </c>
      <c r="BO38" s="113">
        <f t="shared" si="73"/>
        <v>30</v>
      </c>
      <c r="BP38" s="113">
        <f t="shared" si="73"/>
        <v>30</v>
      </c>
      <c r="BQ38" s="113">
        <f t="shared" si="73"/>
        <v>30</v>
      </c>
      <c r="BR38" s="113">
        <f t="shared" si="73"/>
        <v>5</v>
      </c>
      <c r="BS38" s="113">
        <f t="shared" si="73"/>
        <v>5</v>
      </c>
      <c r="BT38" s="113">
        <f t="shared" si="73"/>
        <v>0</v>
      </c>
      <c r="BU38" s="113">
        <f t="shared" si="73"/>
        <v>0</v>
      </c>
      <c r="BV38" s="113">
        <f t="shared" si="73"/>
        <v>0</v>
      </c>
      <c r="BW38" s="113">
        <f t="shared" si="73"/>
        <v>0</v>
      </c>
      <c r="BX38" s="113">
        <f t="shared" ref="BX38:CS38" si="74">SUM(BX33:BX37)</f>
        <v>0</v>
      </c>
      <c r="BY38" s="113">
        <f t="shared" si="74"/>
        <v>0</v>
      </c>
      <c r="BZ38" s="113">
        <f t="shared" si="74"/>
        <v>0</v>
      </c>
      <c r="CA38" s="113">
        <f t="shared" si="74"/>
        <v>0</v>
      </c>
      <c r="CB38" s="113">
        <f t="shared" si="74"/>
        <v>0</v>
      </c>
      <c r="CC38" s="113">
        <f t="shared" si="74"/>
        <v>0</v>
      </c>
      <c r="CD38" s="113">
        <f t="shared" si="74"/>
        <v>0</v>
      </c>
      <c r="CE38" s="113">
        <f t="shared" si="74"/>
        <v>0</v>
      </c>
      <c r="CF38" s="113">
        <f t="shared" si="74"/>
        <v>0</v>
      </c>
      <c r="CG38" s="113">
        <f t="shared" si="74"/>
        <v>0</v>
      </c>
      <c r="CH38" s="113">
        <f t="shared" si="74"/>
        <v>0</v>
      </c>
      <c r="CI38" s="113">
        <f t="shared" si="74"/>
        <v>0</v>
      </c>
      <c r="CJ38" s="113">
        <f t="shared" si="74"/>
        <v>0</v>
      </c>
      <c r="CK38" s="113">
        <f t="shared" si="74"/>
        <v>0</v>
      </c>
      <c r="CL38" s="113">
        <f t="shared" si="74"/>
        <v>0</v>
      </c>
      <c r="CM38" s="113">
        <f t="shared" si="74"/>
        <v>0</v>
      </c>
      <c r="CN38" s="113">
        <f t="shared" si="74"/>
        <v>0</v>
      </c>
      <c r="CO38" s="113">
        <f t="shared" si="74"/>
        <v>0</v>
      </c>
      <c r="CP38" s="113">
        <f t="shared" si="74"/>
        <v>0</v>
      </c>
      <c r="CQ38" s="113">
        <f t="shared" si="74"/>
        <v>0</v>
      </c>
      <c r="CR38" s="113">
        <f t="shared" si="74"/>
        <v>0</v>
      </c>
      <c r="CS38" s="113">
        <f t="shared" si="74"/>
        <v>0</v>
      </c>
      <c r="CT38" s="122"/>
      <c r="CU38" s="122"/>
      <c r="CV38" s="113" t="e">
        <f t="shared" ref="CV38:DR38" si="75">SUM(CV33:CV37)</f>
        <v>#VALUE!</v>
      </c>
      <c r="CW38" s="113">
        <f t="shared" si="75"/>
        <v>0</v>
      </c>
      <c r="CX38" s="113">
        <f t="shared" si="75"/>
        <v>0</v>
      </c>
      <c r="CY38" s="113">
        <f t="shared" si="75"/>
        <v>0</v>
      </c>
      <c r="CZ38" s="113">
        <f t="shared" si="75"/>
        <v>0</v>
      </c>
      <c r="DA38" s="113">
        <f t="shared" si="75"/>
        <v>0</v>
      </c>
      <c r="DB38" s="113">
        <f t="shared" si="75"/>
        <v>0</v>
      </c>
      <c r="DC38" s="113">
        <f t="shared" si="75"/>
        <v>0</v>
      </c>
      <c r="DD38" s="113">
        <f t="shared" si="75"/>
        <v>0</v>
      </c>
      <c r="DE38" s="113">
        <f t="shared" si="75"/>
        <v>0</v>
      </c>
      <c r="DF38" s="113">
        <f t="shared" si="75"/>
        <v>0</v>
      </c>
      <c r="DG38" s="113">
        <f t="shared" si="75"/>
        <v>0</v>
      </c>
      <c r="DH38" s="113">
        <f t="shared" si="75"/>
        <v>0</v>
      </c>
      <c r="DI38" s="113">
        <f t="shared" si="75"/>
        <v>0</v>
      </c>
      <c r="DJ38" s="113">
        <f t="shared" si="75"/>
        <v>0</v>
      </c>
      <c r="DK38" s="113">
        <f t="shared" si="75"/>
        <v>0</v>
      </c>
      <c r="DL38" s="113">
        <f t="shared" si="75"/>
        <v>0</v>
      </c>
      <c r="DM38" s="113">
        <f t="shared" si="75"/>
        <v>0</v>
      </c>
      <c r="DN38" s="113">
        <f t="shared" si="75"/>
        <v>0</v>
      </c>
      <c r="DO38" s="113">
        <f t="shared" si="75"/>
        <v>0</v>
      </c>
      <c r="DP38" s="113">
        <f t="shared" si="75"/>
        <v>0</v>
      </c>
      <c r="DQ38" s="113">
        <f t="shared" si="75"/>
        <v>0</v>
      </c>
      <c r="DR38" s="113">
        <f t="shared" si="75"/>
        <v>0</v>
      </c>
    </row>
    <row r="40" spans="1:125">
      <c r="A40" s="466" t="s">
        <v>74</v>
      </c>
      <c r="B40" s="509">
        <f>'BESS 12'!F231</f>
        <v>46258</v>
      </c>
      <c r="C40" s="509">
        <f>'BESS 12'!G231</f>
        <v>46262</v>
      </c>
      <c r="D40" s="114"/>
      <c r="E40" s="114" t="s">
        <v>10</v>
      </c>
      <c r="F40" s="115" t="s">
        <v>58</v>
      </c>
      <c r="G40" s="129" t="s">
        <v>87</v>
      </c>
      <c r="H40" s="129" t="s">
        <v>78</v>
      </c>
      <c r="I40" s="115" t="s">
        <v>59</v>
      </c>
      <c r="J40" s="115"/>
      <c r="K40" s="115"/>
      <c r="L40" s="116">
        <v>46195</v>
      </c>
      <c r="M40" s="116">
        <v>46196</v>
      </c>
      <c r="N40" s="116">
        <v>46197</v>
      </c>
      <c r="O40" s="116">
        <f t="shared" ref="O40:AT40" si="76">N40+1</f>
        <v>46198</v>
      </c>
      <c r="P40" s="116">
        <f t="shared" si="76"/>
        <v>46199</v>
      </c>
      <c r="Q40" s="116">
        <f t="shared" si="76"/>
        <v>46200</v>
      </c>
      <c r="R40" s="116">
        <f t="shared" si="76"/>
        <v>46201</v>
      </c>
      <c r="S40" s="116">
        <f t="shared" si="76"/>
        <v>46202</v>
      </c>
      <c r="T40" s="116">
        <f t="shared" si="76"/>
        <v>46203</v>
      </c>
      <c r="U40" s="116">
        <f t="shared" si="76"/>
        <v>46204</v>
      </c>
      <c r="V40" s="116">
        <f t="shared" si="76"/>
        <v>46205</v>
      </c>
      <c r="W40" s="116">
        <f t="shared" si="76"/>
        <v>46206</v>
      </c>
      <c r="X40" s="116">
        <f t="shared" si="76"/>
        <v>46207</v>
      </c>
      <c r="Y40" s="116">
        <f t="shared" si="76"/>
        <v>46208</v>
      </c>
      <c r="Z40" s="116">
        <f t="shared" si="76"/>
        <v>46209</v>
      </c>
      <c r="AA40" s="116">
        <f t="shared" si="76"/>
        <v>46210</v>
      </c>
      <c r="AB40" s="116">
        <f t="shared" si="76"/>
        <v>46211</v>
      </c>
      <c r="AC40" s="116">
        <f t="shared" si="76"/>
        <v>46212</v>
      </c>
      <c r="AD40" s="116">
        <f t="shared" si="76"/>
        <v>46213</v>
      </c>
      <c r="AE40" s="116">
        <f t="shared" si="76"/>
        <v>46214</v>
      </c>
      <c r="AF40" s="116">
        <f t="shared" si="76"/>
        <v>46215</v>
      </c>
      <c r="AG40" s="116">
        <f t="shared" si="76"/>
        <v>46216</v>
      </c>
      <c r="AH40" s="116">
        <f t="shared" si="76"/>
        <v>46217</v>
      </c>
      <c r="AI40" s="116">
        <f t="shared" si="76"/>
        <v>46218</v>
      </c>
      <c r="AJ40" s="116">
        <f t="shared" si="76"/>
        <v>46219</v>
      </c>
      <c r="AK40" s="116">
        <f t="shared" si="76"/>
        <v>46220</v>
      </c>
      <c r="AL40" s="116">
        <f t="shared" si="76"/>
        <v>46221</v>
      </c>
      <c r="AM40" s="116">
        <f t="shared" si="76"/>
        <v>46222</v>
      </c>
      <c r="AN40" s="116">
        <f t="shared" si="76"/>
        <v>46223</v>
      </c>
      <c r="AO40" s="116">
        <f t="shared" si="76"/>
        <v>46224</v>
      </c>
      <c r="AP40" s="116">
        <f t="shared" si="76"/>
        <v>46225</v>
      </c>
      <c r="AQ40" s="116">
        <f t="shared" si="76"/>
        <v>46226</v>
      </c>
      <c r="AR40" s="116">
        <f t="shared" si="76"/>
        <v>46227</v>
      </c>
      <c r="AS40" s="116">
        <f t="shared" si="76"/>
        <v>46228</v>
      </c>
      <c r="AT40" s="116">
        <f t="shared" si="76"/>
        <v>46229</v>
      </c>
      <c r="AU40" s="116">
        <f t="shared" ref="AU40:BZ40" si="77">AT40+1</f>
        <v>46230</v>
      </c>
      <c r="AV40" s="116">
        <f t="shared" si="77"/>
        <v>46231</v>
      </c>
      <c r="AW40" s="116">
        <f t="shared" si="77"/>
        <v>46232</v>
      </c>
      <c r="AX40" s="116">
        <f t="shared" si="77"/>
        <v>46233</v>
      </c>
      <c r="AY40" s="116">
        <f t="shared" si="77"/>
        <v>46234</v>
      </c>
      <c r="AZ40" s="116">
        <f t="shared" si="77"/>
        <v>46235</v>
      </c>
      <c r="BA40" s="116">
        <f t="shared" si="77"/>
        <v>46236</v>
      </c>
      <c r="BB40" s="116">
        <f t="shared" si="77"/>
        <v>46237</v>
      </c>
      <c r="BC40" s="116">
        <f t="shared" si="77"/>
        <v>46238</v>
      </c>
      <c r="BD40" s="116">
        <f t="shared" si="77"/>
        <v>46239</v>
      </c>
      <c r="BE40" s="116">
        <f t="shared" si="77"/>
        <v>46240</v>
      </c>
      <c r="BF40" s="116">
        <f t="shared" si="77"/>
        <v>46241</v>
      </c>
      <c r="BG40" s="116">
        <f t="shared" si="77"/>
        <v>46242</v>
      </c>
      <c r="BH40" s="116">
        <f t="shared" si="77"/>
        <v>46243</v>
      </c>
      <c r="BI40" s="116">
        <f t="shared" si="77"/>
        <v>46244</v>
      </c>
      <c r="BJ40" s="116">
        <f t="shared" si="77"/>
        <v>46245</v>
      </c>
      <c r="BK40" s="116">
        <f t="shared" si="77"/>
        <v>46246</v>
      </c>
      <c r="BL40" s="116">
        <f t="shared" si="77"/>
        <v>46247</v>
      </c>
      <c r="BM40" s="116">
        <f t="shared" si="77"/>
        <v>46248</v>
      </c>
      <c r="BN40" s="116">
        <f t="shared" si="77"/>
        <v>46249</v>
      </c>
      <c r="BO40" s="116">
        <f t="shared" si="77"/>
        <v>46250</v>
      </c>
      <c r="BP40" s="116">
        <f t="shared" si="77"/>
        <v>46251</v>
      </c>
      <c r="BQ40" s="116">
        <f t="shared" si="77"/>
        <v>46252</v>
      </c>
      <c r="BR40" s="116">
        <f t="shared" si="77"/>
        <v>46253</v>
      </c>
      <c r="BS40" s="116">
        <f t="shared" si="77"/>
        <v>46254</v>
      </c>
      <c r="BT40" s="116">
        <f t="shared" si="77"/>
        <v>46255</v>
      </c>
      <c r="BU40" s="116">
        <f t="shared" si="77"/>
        <v>46256</v>
      </c>
      <c r="BV40" s="116">
        <f t="shared" si="77"/>
        <v>46257</v>
      </c>
      <c r="BW40" s="116">
        <f t="shared" si="77"/>
        <v>46258</v>
      </c>
      <c r="BX40" s="116">
        <f t="shared" si="77"/>
        <v>46259</v>
      </c>
      <c r="BY40" s="116">
        <f t="shared" si="77"/>
        <v>46260</v>
      </c>
      <c r="BZ40" s="116">
        <f t="shared" si="77"/>
        <v>46261</v>
      </c>
      <c r="CA40" s="116">
        <f t="shared" ref="CA40:CS40" si="78">BZ40+1</f>
        <v>46262</v>
      </c>
      <c r="CB40" s="116">
        <f t="shared" si="78"/>
        <v>46263</v>
      </c>
      <c r="CC40" s="116">
        <f t="shared" si="78"/>
        <v>46264</v>
      </c>
      <c r="CD40" s="116">
        <f t="shared" si="78"/>
        <v>46265</v>
      </c>
      <c r="CE40" s="116">
        <f t="shared" si="78"/>
        <v>46266</v>
      </c>
      <c r="CF40" s="116">
        <f t="shared" si="78"/>
        <v>46267</v>
      </c>
      <c r="CG40" s="116">
        <f t="shared" si="78"/>
        <v>46268</v>
      </c>
      <c r="CH40" s="116">
        <f t="shared" si="78"/>
        <v>46269</v>
      </c>
      <c r="CI40" s="116">
        <f t="shared" si="78"/>
        <v>46270</v>
      </c>
      <c r="CJ40" s="116">
        <f t="shared" si="78"/>
        <v>46271</v>
      </c>
      <c r="CK40" s="116">
        <f t="shared" si="78"/>
        <v>46272</v>
      </c>
      <c r="CL40" s="116">
        <f t="shared" si="78"/>
        <v>46273</v>
      </c>
      <c r="CM40" s="116">
        <f t="shared" si="78"/>
        <v>46274</v>
      </c>
      <c r="CN40" s="116">
        <f t="shared" si="78"/>
        <v>46275</v>
      </c>
      <c r="CO40" s="116">
        <f t="shared" si="78"/>
        <v>46276</v>
      </c>
      <c r="CP40" s="116">
        <f t="shared" si="78"/>
        <v>46277</v>
      </c>
      <c r="CQ40" s="116">
        <f t="shared" si="78"/>
        <v>46278</v>
      </c>
      <c r="CR40" s="116">
        <f t="shared" si="78"/>
        <v>46279</v>
      </c>
      <c r="CS40" s="116">
        <f t="shared" si="78"/>
        <v>46280</v>
      </c>
      <c r="CV40" s="116">
        <f t="shared" ref="CV40:DR40" si="79">CU40+1</f>
        <v>1</v>
      </c>
      <c r="CW40" s="116">
        <f t="shared" si="79"/>
        <v>2</v>
      </c>
      <c r="CX40" s="116">
        <f t="shared" si="79"/>
        <v>3</v>
      </c>
      <c r="CY40" s="116">
        <f t="shared" si="79"/>
        <v>4</v>
      </c>
      <c r="CZ40" s="116">
        <f t="shared" si="79"/>
        <v>5</v>
      </c>
      <c r="DA40" s="116">
        <f t="shared" si="79"/>
        <v>6</v>
      </c>
      <c r="DB40" s="116">
        <f t="shared" si="79"/>
        <v>7</v>
      </c>
      <c r="DC40" s="116">
        <f t="shared" si="79"/>
        <v>8</v>
      </c>
      <c r="DD40" s="116">
        <f t="shared" si="79"/>
        <v>9</v>
      </c>
      <c r="DE40" s="116">
        <f t="shared" si="79"/>
        <v>10</v>
      </c>
      <c r="DF40" s="116">
        <f t="shared" si="79"/>
        <v>11</v>
      </c>
      <c r="DG40" s="116">
        <f t="shared" si="79"/>
        <v>12</v>
      </c>
      <c r="DH40" s="116">
        <f t="shared" si="79"/>
        <v>13</v>
      </c>
      <c r="DI40" s="116">
        <f t="shared" si="79"/>
        <v>14</v>
      </c>
      <c r="DJ40" s="116">
        <f t="shared" si="79"/>
        <v>15</v>
      </c>
      <c r="DK40" s="116">
        <f t="shared" si="79"/>
        <v>16</v>
      </c>
      <c r="DL40" s="116">
        <f t="shared" si="79"/>
        <v>17</v>
      </c>
      <c r="DM40" s="116">
        <f t="shared" si="79"/>
        <v>18</v>
      </c>
      <c r="DN40" s="116">
        <f t="shared" si="79"/>
        <v>19</v>
      </c>
      <c r="DO40" s="116">
        <f t="shared" si="79"/>
        <v>20</v>
      </c>
      <c r="DP40" s="116">
        <f t="shared" si="79"/>
        <v>21</v>
      </c>
      <c r="DQ40" s="116">
        <f t="shared" si="79"/>
        <v>22</v>
      </c>
      <c r="DR40" s="116">
        <f t="shared" si="79"/>
        <v>23</v>
      </c>
    </row>
    <row r="41" spans="1:125">
      <c r="A41" s="466"/>
      <c r="B41" s="509"/>
      <c r="C41" s="509"/>
      <c r="D41" s="467">
        <f>'BESS 12'!H231</f>
        <v>46265</v>
      </c>
      <c r="E41" s="109" t="s">
        <v>64</v>
      </c>
      <c r="F41" s="102" t="e">
        <f>SUM('BESS 12'!S244:S251,'BESS 12'!S253)</f>
        <v>#VALUE!</v>
      </c>
      <c r="G41" s="165">
        <f>H41+10</f>
        <v>46246</v>
      </c>
      <c r="H41" s="110">
        <f>$G$33</f>
        <v>46236</v>
      </c>
      <c r="I41" s="102">
        <f>G41-H41</f>
        <v>10</v>
      </c>
      <c r="J41" s="506">
        <f>AVERAGEIF(L46:CP46,"&gt;0")</f>
        <v>8.3333333333333339</v>
      </c>
      <c r="K41" s="506">
        <f>MAX(L46:CS46)</f>
        <v>30</v>
      </c>
      <c r="L41" s="101" t="str">
        <f t="shared" ref="L41:U44" si="80">IF(AND(L$1&gt;=$H41,L$1&lt;($H41+$I41)),ROUND($F41/$I41,0),"-")</f>
        <v>-</v>
      </c>
      <c r="M41" s="101" t="str">
        <f t="shared" si="80"/>
        <v>-</v>
      </c>
      <c r="N41" s="101" t="str">
        <f t="shared" si="80"/>
        <v>-</v>
      </c>
      <c r="O41" s="101" t="str">
        <f t="shared" si="80"/>
        <v>-</v>
      </c>
      <c r="P41" s="101" t="str">
        <f t="shared" si="80"/>
        <v>-</v>
      </c>
      <c r="Q41" s="101" t="str">
        <f t="shared" si="80"/>
        <v>-</v>
      </c>
      <c r="R41" s="101" t="str">
        <f t="shared" si="80"/>
        <v>-</v>
      </c>
      <c r="S41" s="101" t="str">
        <f t="shared" si="80"/>
        <v>-</v>
      </c>
      <c r="T41" s="101" t="str">
        <f t="shared" si="80"/>
        <v>-</v>
      </c>
      <c r="U41" s="101" t="str">
        <f t="shared" si="80"/>
        <v>-</v>
      </c>
      <c r="V41" s="101" t="str">
        <f t="shared" ref="V41:AE44" si="81">IF(AND(V$1&gt;=$H41,V$1&lt;($H41+$I41)),ROUND($F41/$I41,0),"-")</f>
        <v>-</v>
      </c>
      <c r="W41" s="101" t="str">
        <f t="shared" si="81"/>
        <v>-</v>
      </c>
      <c r="X41" s="101" t="str">
        <f t="shared" si="81"/>
        <v>-</v>
      </c>
      <c r="Y41" s="101" t="str">
        <f t="shared" si="81"/>
        <v>-</v>
      </c>
      <c r="Z41" s="101" t="str">
        <f t="shared" si="81"/>
        <v>-</v>
      </c>
      <c r="AA41" s="101" t="str">
        <f t="shared" si="81"/>
        <v>-</v>
      </c>
      <c r="AB41" s="101" t="str">
        <f t="shared" si="81"/>
        <v>-</v>
      </c>
      <c r="AC41" s="101" t="str">
        <f t="shared" si="81"/>
        <v>-</v>
      </c>
      <c r="AD41" s="101" t="str">
        <f t="shared" si="81"/>
        <v>-</v>
      </c>
      <c r="AE41" s="101" t="str">
        <f t="shared" si="81"/>
        <v>-</v>
      </c>
      <c r="AF41" s="101" t="str">
        <f t="shared" ref="AF41:AO44" si="82">IF(AND(AF$1&gt;=$H41,AF$1&lt;($H41+$I41)),ROUND($F41/$I41,0),"-")</f>
        <v>-</v>
      </c>
      <c r="AG41" s="101" t="str">
        <f t="shared" si="82"/>
        <v>-</v>
      </c>
      <c r="AH41" s="101" t="str">
        <f t="shared" si="82"/>
        <v>-</v>
      </c>
      <c r="AI41" s="101" t="str">
        <f t="shared" si="82"/>
        <v>-</v>
      </c>
      <c r="AJ41" s="101" t="str">
        <f t="shared" si="82"/>
        <v>-</v>
      </c>
      <c r="AK41" s="101" t="str">
        <f t="shared" si="82"/>
        <v>-</v>
      </c>
      <c r="AL41" s="101" t="str">
        <f t="shared" si="82"/>
        <v>-</v>
      </c>
      <c r="AM41" s="101" t="str">
        <f t="shared" si="82"/>
        <v>-</v>
      </c>
      <c r="AN41" s="101" t="str">
        <f t="shared" si="82"/>
        <v>-</v>
      </c>
      <c r="AO41" s="101" t="str">
        <f t="shared" si="82"/>
        <v>-</v>
      </c>
      <c r="AP41" s="101" t="str">
        <f t="shared" ref="AP41:AY44" si="83">IF(AND(AP$1&gt;=$H41,AP$1&lt;($H41+$I41)),ROUND($F41/$I41,0),"-")</f>
        <v>-</v>
      </c>
      <c r="AQ41" s="101" t="str">
        <f t="shared" si="83"/>
        <v>-</v>
      </c>
      <c r="AR41" s="101" t="str">
        <f t="shared" si="83"/>
        <v>-</v>
      </c>
      <c r="AS41" s="101" t="str">
        <f t="shared" si="83"/>
        <v>-</v>
      </c>
      <c r="AT41" s="101" t="str">
        <f t="shared" si="83"/>
        <v>-</v>
      </c>
      <c r="AU41" s="101" t="str">
        <f t="shared" si="83"/>
        <v>-</v>
      </c>
      <c r="AV41" s="101" t="str">
        <f t="shared" si="83"/>
        <v>-</v>
      </c>
      <c r="AW41" s="101" t="str">
        <f t="shared" si="83"/>
        <v>-</v>
      </c>
      <c r="AX41" s="101" t="str">
        <f t="shared" si="83"/>
        <v>-</v>
      </c>
      <c r="AY41" s="101" t="str">
        <f t="shared" si="83"/>
        <v>-</v>
      </c>
      <c r="AZ41" s="101" t="str">
        <f t="shared" ref="AZ41:BI44" si="84">IF(AND(AZ$1&gt;=$H41,AZ$1&lt;($H41+$I41)),ROUND($F41/$I41,0),"-")</f>
        <v>-</v>
      </c>
      <c r="BA41" s="101" t="str">
        <f t="shared" si="84"/>
        <v>-</v>
      </c>
      <c r="BB41" s="101" t="str">
        <f t="shared" si="84"/>
        <v>-</v>
      </c>
      <c r="BC41" s="101" t="str">
        <f t="shared" si="84"/>
        <v>-</v>
      </c>
      <c r="BD41" s="101" t="str">
        <f t="shared" si="84"/>
        <v>-</v>
      </c>
      <c r="BE41" s="101" t="str">
        <f t="shared" si="84"/>
        <v>-</v>
      </c>
      <c r="BF41" s="101" t="str">
        <f t="shared" si="84"/>
        <v>-</v>
      </c>
      <c r="BG41" s="101" t="str">
        <f t="shared" si="84"/>
        <v>-</v>
      </c>
      <c r="BH41" s="101" t="str">
        <f t="shared" si="84"/>
        <v>-</v>
      </c>
      <c r="BI41" s="101" t="str">
        <f t="shared" si="84"/>
        <v>-</v>
      </c>
      <c r="BJ41" s="101" t="str">
        <f t="shared" ref="BJ41:BS44" si="85">IF(AND(BJ$1&gt;=$H41,BJ$1&lt;($H41+$I41)),ROUND($F41/$I41,0),"-")</f>
        <v>-</v>
      </c>
      <c r="BK41" s="101" t="str">
        <f t="shared" si="85"/>
        <v>-</v>
      </c>
      <c r="BL41" s="101" t="str">
        <f t="shared" si="85"/>
        <v>-</v>
      </c>
      <c r="BM41" s="101" t="str">
        <f t="shared" si="85"/>
        <v>-</v>
      </c>
      <c r="BN41" s="101" t="str">
        <f t="shared" si="85"/>
        <v>-</v>
      </c>
      <c r="BO41" s="101" t="str">
        <f t="shared" si="85"/>
        <v>-</v>
      </c>
      <c r="BP41" s="101" t="str">
        <f t="shared" si="85"/>
        <v>-</v>
      </c>
      <c r="BQ41" s="101" t="str">
        <f t="shared" si="85"/>
        <v>-</v>
      </c>
      <c r="BR41" s="101" t="str">
        <f t="shared" si="85"/>
        <v>-</v>
      </c>
      <c r="BS41" s="101" t="str">
        <f t="shared" si="85"/>
        <v>-</v>
      </c>
      <c r="BT41" s="101" t="str">
        <f t="shared" ref="BT41:CC44" si="86">IF(AND(BT$1&gt;=$H41,BT$1&lt;($H41+$I41)),ROUND($F41/$I41,0),"-")</f>
        <v>-</v>
      </c>
      <c r="BU41" s="101" t="str">
        <f t="shared" si="86"/>
        <v>-</v>
      </c>
      <c r="BV41" s="101" t="str">
        <f t="shared" si="86"/>
        <v>-</v>
      </c>
      <c r="BW41" s="101" t="str">
        <f t="shared" si="86"/>
        <v>-</v>
      </c>
      <c r="BX41" s="101" t="str">
        <f t="shared" si="86"/>
        <v>-</v>
      </c>
      <c r="BY41" s="101" t="str">
        <f t="shared" si="86"/>
        <v>-</v>
      </c>
      <c r="BZ41" s="101" t="str">
        <f t="shared" si="86"/>
        <v>-</v>
      </c>
      <c r="CA41" s="101" t="str">
        <f t="shared" si="86"/>
        <v>-</v>
      </c>
      <c r="CB41" s="101" t="str">
        <f t="shared" si="86"/>
        <v>-</v>
      </c>
      <c r="CC41" s="101" t="str">
        <f t="shared" si="86"/>
        <v>-</v>
      </c>
      <c r="CD41" s="101" t="str">
        <f t="shared" ref="CD41:CM44" si="87">IF(AND(CD$1&gt;=$H41,CD$1&lt;($H41+$I41)),ROUND($F41/$I41,0),"-")</f>
        <v>-</v>
      </c>
      <c r="CE41" s="101" t="str">
        <f t="shared" si="87"/>
        <v>-</v>
      </c>
      <c r="CF41" s="101" t="str">
        <f t="shared" si="87"/>
        <v>-</v>
      </c>
      <c r="CG41" s="101" t="str">
        <f t="shared" si="87"/>
        <v>-</v>
      </c>
      <c r="CH41" s="101" t="str">
        <f t="shared" si="87"/>
        <v>-</v>
      </c>
      <c r="CI41" s="101" t="str">
        <f t="shared" si="87"/>
        <v>-</v>
      </c>
      <c r="CJ41" s="101" t="str">
        <f t="shared" si="87"/>
        <v>-</v>
      </c>
      <c r="CK41" s="101" t="str">
        <f t="shared" si="87"/>
        <v>-</v>
      </c>
      <c r="CL41" s="101" t="str">
        <f t="shared" si="87"/>
        <v>-</v>
      </c>
      <c r="CM41" s="101" t="str">
        <f t="shared" si="87"/>
        <v>-</v>
      </c>
      <c r="CN41" s="101" t="str">
        <f t="shared" ref="CN41:CS44" si="88">IF(AND(CN$1&gt;=$H41,CN$1&lt;($H41+$I41)),ROUND($F41/$I41,0),"-")</f>
        <v>-</v>
      </c>
      <c r="CO41" s="101" t="str">
        <f t="shared" si="88"/>
        <v>-</v>
      </c>
      <c r="CP41" s="101" t="str">
        <f t="shared" si="88"/>
        <v>-</v>
      </c>
      <c r="CQ41" s="101" t="str">
        <f t="shared" si="88"/>
        <v>-</v>
      </c>
      <c r="CR41" s="101" t="str">
        <f t="shared" si="88"/>
        <v>-</v>
      </c>
      <c r="CS41" s="101" t="str">
        <f t="shared" si="88"/>
        <v>-</v>
      </c>
      <c r="CV41" s="101" t="e">
        <f t="shared" ref="CV41:DE44" si="89">IF(AND(CV$1&gt;=$H41,CV$1&lt;($H41+$I41)),ROUND($F41/$I41,0),"-")</f>
        <v>#VALUE!</v>
      </c>
      <c r="CW41" s="101" t="str">
        <f t="shared" si="89"/>
        <v>-</v>
      </c>
      <c r="CX41" s="101" t="str">
        <f t="shared" si="89"/>
        <v>-</v>
      </c>
      <c r="CY41" s="101" t="str">
        <f t="shared" si="89"/>
        <v>-</v>
      </c>
      <c r="CZ41" s="101" t="str">
        <f t="shared" si="89"/>
        <v>-</v>
      </c>
      <c r="DA41" s="101" t="str">
        <f t="shared" si="89"/>
        <v>-</v>
      </c>
      <c r="DB41" s="101" t="str">
        <f t="shared" si="89"/>
        <v>-</v>
      </c>
      <c r="DC41" s="101" t="str">
        <f t="shared" si="89"/>
        <v>-</v>
      </c>
      <c r="DD41" s="101" t="str">
        <f t="shared" si="89"/>
        <v>-</v>
      </c>
      <c r="DE41" s="101" t="str">
        <f t="shared" si="89"/>
        <v>-</v>
      </c>
      <c r="DF41" s="101" t="str">
        <f t="shared" ref="DF41:DR44" si="90">IF(AND(DF$1&gt;=$H41,DF$1&lt;($H41+$I41)),ROUND($F41/$I41,0),"-")</f>
        <v>-</v>
      </c>
      <c r="DG41" s="101" t="str">
        <f t="shared" si="90"/>
        <v>-</v>
      </c>
      <c r="DH41" s="101" t="str">
        <f t="shared" si="90"/>
        <v>-</v>
      </c>
      <c r="DI41" s="101" t="str">
        <f t="shared" si="90"/>
        <v>-</v>
      </c>
      <c r="DJ41" s="101" t="str">
        <f t="shared" si="90"/>
        <v>-</v>
      </c>
      <c r="DK41" s="101" t="str">
        <f t="shared" si="90"/>
        <v>-</v>
      </c>
      <c r="DL41" s="101" t="str">
        <f t="shared" si="90"/>
        <v>-</v>
      </c>
      <c r="DM41" s="101" t="str">
        <f t="shared" si="90"/>
        <v>-</v>
      </c>
      <c r="DN41" s="101" t="str">
        <f t="shared" si="90"/>
        <v>-</v>
      </c>
      <c r="DO41" s="101" t="str">
        <f t="shared" si="90"/>
        <v>-</v>
      </c>
      <c r="DP41" s="101" t="str">
        <f t="shared" si="90"/>
        <v>-</v>
      </c>
      <c r="DQ41" s="101" t="str">
        <f t="shared" si="90"/>
        <v>-</v>
      </c>
      <c r="DR41" s="101" t="str">
        <f t="shared" si="90"/>
        <v>-</v>
      </c>
    </row>
    <row r="42" spans="1:125">
      <c r="A42" s="466"/>
      <c r="B42" s="509"/>
      <c r="C42" s="509"/>
      <c r="D42" s="466"/>
      <c r="E42" s="109" t="s">
        <v>65</v>
      </c>
      <c r="F42" s="102" t="e">
        <f>SUM('BESS 12'!S254,'BESS 12'!S256:S257,'BESS 12'!S260:S262)</f>
        <v>#VALUE!</v>
      </c>
      <c r="G42" s="165">
        <f>H42+20</f>
        <v>46256</v>
      </c>
      <c r="H42" s="110">
        <f>$G$34-5</f>
        <v>46236</v>
      </c>
      <c r="I42" s="102">
        <f>G42-H42</f>
        <v>20</v>
      </c>
      <c r="J42" s="507"/>
      <c r="K42" s="476"/>
      <c r="L42" s="101" t="str">
        <f t="shared" si="80"/>
        <v>-</v>
      </c>
      <c r="M42" s="101" t="str">
        <f t="shared" si="80"/>
        <v>-</v>
      </c>
      <c r="N42" s="101" t="str">
        <f t="shared" si="80"/>
        <v>-</v>
      </c>
      <c r="O42" s="101" t="str">
        <f t="shared" si="80"/>
        <v>-</v>
      </c>
      <c r="P42" s="101" t="str">
        <f t="shared" si="80"/>
        <v>-</v>
      </c>
      <c r="Q42" s="101" t="str">
        <f t="shared" si="80"/>
        <v>-</v>
      </c>
      <c r="R42" s="101" t="str">
        <f t="shared" si="80"/>
        <v>-</v>
      </c>
      <c r="S42" s="101" t="str">
        <f t="shared" si="80"/>
        <v>-</v>
      </c>
      <c r="T42" s="101" t="str">
        <f t="shared" si="80"/>
        <v>-</v>
      </c>
      <c r="U42" s="101" t="str">
        <f t="shared" si="80"/>
        <v>-</v>
      </c>
      <c r="V42" s="101" t="str">
        <f t="shared" si="81"/>
        <v>-</v>
      </c>
      <c r="W42" s="101" t="str">
        <f t="shared" si="81"/>
        <v>-</v>
      </c>
      <c r="X42" s="101" t="str">
        <f t="shared" si="81"/>
        <v>-</v>
      </c>
      <c r="Y42" s="101" t="str">
        <f t="shared" si="81"/>
        <v>-</v>
      </c>
      <c r="Z42" s="101" t="str">
        <f t="shared" si="81"/>
        <v>-</v>
      </c>
      <c r="AA42" s="101" t="str">
        <f t="shared" si="81"/>
        <v>-</v>
      </c>
      <c r="AB42" s="101" t="str">
        <f t="shared" si="81"/>
        <v>-</v>
      </c>
      <c r="AC42" s="101" t="str">
        <f t="shared" si="81"/>
        <v>-</v>
      </c>
      <c r="AD42" s="101" t="str">
        <f t="shared" si="81"/>
        <v>-</v>
      </c>
      <c r="AE42" s="101" t="str">
        <f t="shared" si="81"/>
        <v>-</v>
      </c>
      <c r="AF42" s="101" t="str">
        <f t="shared" si="82"/>
        <v>-</v>
      </c>
      <c r="AG42" s="101" t="str">
        <f t="shared" si="82"/>
        <v>-</v>
      </c>
      <c r="AH42" s="101" t="str">
        <f t="shared" si="82"/>
        <v>-</v>
      </c>
      <c r="AI42" s="101" t="str">
        <f t="shared" si="82"/>
        <v>-</v>
      </c>
      <c r="AJ42" s="101" t="str">
        <f t="shared" si="82"/>
        <v>-</v>
      </c>
      <c r="AK42" s="101" t="str">
        <f t="shared" si="82"/>
        <v>-</v>
      </c>
      <c r="AL42" s="101" t="str">
        <f t="shared" si="82"/>
        <v>-</v>
      </c>
      <c r="AM42" s="101" t="str">
        <f t="shared" si="82"/>
        <v>-</v>
      </c>
      <c r="AN42" s="101" t="str">
        <f t="shared" si="82"/>
        <v>-</v>
      </c>
      <c r="AO42" s="101" t="str">
        <f t="shared" si="82"/>
        <v>-</v>
      </c>
      <c r="AP42" s="101" t="str">
        <f t="shared" si="83"/>
        <v>-</v>
      </c>
      <c r="AQ42" s="101" t="str">
        <f t="shared" si="83"/>
        <v>-</v>
      </c>
      <c r="AR42" s="101" t="str">
        <f t="shared" si="83"/>
        <v>-</v>
      </c>
      <c r="AS42" s="101" t="str">
        <f t="shared" si="83"/>
        <v>-</v>
      </c>
      <c r="AT42" s="101" t="str">
        <f t="shared" si="83"/>
        <v>-</v>
      </c>
      <c r="AU42" s="101" t="str">
        <f t="shared" si="83"/>
        <v>-</v>
      </c>
      <c r="AV42" s="101" t="str">
        <f t="shared" si="83"/>
        <v>-</v>
      </c>
      <c r="AW42" s="101" t="str">
        <f t="shared" si="83"/>
        <v>-</v>
      </c>
      <c r="AX42" s="101" t="str">
        <f t="shared" si="83"/>
        <v>-</v>
      </c>
      <c r="AY42" s="101" t="str">
        <f t="shared" si="83"/>
        <v>-</v>
      </c>
      <c r="AZ42" s="101" t="str">
        <f t="shared" si="84"/>
        <v>-</v>
      </c>
      <c r="BA42" s="101" t="str">
        <f t="shared" si="84"/>
        <v>-</v>
      </c>
      <c r="BB42" s="101" t="str">
        <f t="shared" si="84"/>
        <v>-</v>
      </c>
      <c r="BC42" s="101" t="str">
        <f t="shared" si="84"/>
        <v>-</v>
      </c>
      <c r="BD42" s="101" t="str">
        <f t="shared" si="84"/>
        <v>-</v>
      </c>
      <c r="BE42" s="101" t="str">
        <f t="shared" si="84"/>
        <v>-</v>
      </c>
      <c r="BF42" s="101" t="str">
        <f t="shared" si="84"/>
        <v>-</v>
      </c>
      <c r="BG42" s="101" t="str">
        <f t="shared" si="84"/>
        <v>-</v>
      </c>
      <c r="BH42" s="101" t="str">
        <f t="shared" si="84"/>
        <v>-</v>
      </c>
      <c r="BI42" s="101" t="str">
        <f t="shared" si="84"/>
        <v>-</v>
      </c>
      <c r="BJ42" s="101" t="str">
        <f t="shared" si="85"/>
        <v>-</v>
      </c>
      <c r="BK42" s="101" t="str">
        <f t="shared" si="85"/>
        <v>-</v>
      </c>
      <c r="BL42" s="101" t="str">
        <f t="shared" si="85"/>
        <v>-</v>
      </c>
      <c r="BM42" s="101" t="str">
        <f t="shared" si="85"/>
        <v>-</v>
      </c>
      <c r="BN42" s="101" t="str">
        <f t="shared" si="85"/>
        <v>-</v>
      </c>
      <c r="BO42" s="101" t="str">
        <f t="shared" si="85"/>
        <v>-</v>
      </c>
      <c r="BP42" s="101" t="str">
        <f t="shared" si="85"/>
        <v>-</v>
      </c>
      <c r="BQ42" s="101" t="str">
        <f t="shared" si="85"/>
        <v>-</v>
      </c>
      <c r="BR42" s="101" t="str">
        <f t="shared" si="85"/>
        <v>-</v>
      </c>
      <c r="BS42" s="101" t="str">
        <f t="shared" si="85"/>
        <v>-</v>
      </c>
      <c r="BT42" s="101" t="str">
        <f t="shared" si="86"/>
        <v>-</v>
      </c>
      <c r="BU42" s="101" t="str">
        <f t="shared" si="86"/>
        <v>-</v>
      </c>
      <c r="BV42" s="101" t="str">
        <f t="shared" si="86"/>
        <v>-</v>
      </c>
      <c r="BW42" s="101" t="str">
        <f t="shared" si="86"/>
        <v>-</v>
      </c>
      <c r="BX42" s="101" t="str">
        <f t="shared" si="86"/>
        <v>-</v>
      </c>
      <c r="BY42" s="101" t="str">
        <f t="shared" si="86"/>
        <v>-</v>
      </c>
      <c r="BZ42" s="101" t="str">
        <f t="shared" si="86"/>
        <v>-</v>
      </c>
      <c r="CA42" s="101" t="str">
        <f t="shared" si="86"/>
        <v>-</v>
      </c>
      <c r="CB42" s="101" t="str">
        <f t="shared" si="86"/>
        <v>-</v>
      </c>
      <c r="CC42" s="101" t="str">
        <f t="shared" si="86"/>
        <v>-</v>
      </c>
      <c r="CD42" s="101" t="str">
        <f t="shared" si="87"/>
        <v>-</v>
      </c>
      <c r="CE42" s="101" t="str">
        <f t="shared" si="87"/>
        <v>-</v>
      </c>
      <c r="CF42" s="101" t="str">
        <f t="shared" si="87"/>
        <v>-</v>
      </c>
      <c r="CG42" s="101" t="str">
        <f t="shared" si="87"/>
        <v>-</v>
      </c>
      <c r="CH42" s="101" t="str">
        <f t="shared" si="87"/>
        <v>-</v>
      </c>
      <c r="CI42" s="101" t="str">
        <f t="shared" si="87"/>
        <v>-</v>
      </c>
      <c r="CJ42" s="101" t="str">
        <f t="shared" si="87"/>
        <v>-</v>
      </c>
      <c r="CK42" s="101" t="str">
        <f t="shared" si="87"/>
        <v>-</v>
      </c>
      <c r="CL42" s="101" t="str">
        <f t="shared" si="87"/>
        <v>-</v>
      </c>
      <c r="CM42" s="101" t="str">
        <f t="shared" si="87"/>
        <v>-</v>
      </c>
      <c r="CN42" s="101" t="str">
        <f t="shared" si="88"/>
        <v>-</v>
      </c>
      <c r="CO42" s="101" t="str">
        <f t="shared" si="88"/>
        <v>-</v>
      </c>
      <c r="CP42" s="101" t="str">
        <f t="shared" si="88"/>
        <v>-</v>
      </c>
      <c r="CQ42" s="101" t="str">
        <f t="shared" si="88"/>
        <v>-</v>
      </c>
      <c r="CR42" s="101" t="str">
        <f t="shared" si="88"/>
        <v>-</v>
      </c>
      <c r="CS42" s="101" t="str">
        <f t="shared" si="88"/>
        <v>-</v>
      </c>
      <c r="CV42" s="101" t="e">
        <f t="shared" si="89"/>
        <v>#VALUE!</v>
      </c>
      <c r="CW42" s="101" t="str">
        <f t="shared" si="89"/>
        <v>-</v>
      </c>
      <c r="CX42" s="101" t="str">
        <f t="shared" si="89"/>
        <v>-</v>
      </c>
      <c r="CY42" s="101" t="str">
        <f t="shared" si="89"/>
        <v>-</v>
      </c>
      <c r="CZ42" s="101" t="str">
        <f t="shared" si="89"/>
        <v>-</v>
      </c>
      <c r="DA42" s="101" t="str">
        <f t="shared" si="89"/>
        <v>-</v>
      </c>
      <c r="DB42" s="101" t="str">
        <f t="shared" si="89"/>
        <v>-</v>
      </c>
      <c r="DC42" s="101" t="str">
        <f t="shared" si="89"/>
        <v>-</v>
      </c>
      <c r="DD42" s="101" t="str">
        <f t="shared" si="89"/>
        <v>-</v>
      </c>
      <c r="DE42" s="101" t="str">
        <f t="shared" si="89"/>
        <v>-</v>
      </c>
      <c r="DF42" s="101" t="str">
        <f t="shared" si="90"/>
        <v>-</v>
      </c>
      <c r="DG42" s="101" t="str">
        <f t="shared" si="90"/>
        <v>-</v>
      </c>
      <c r="DH42" s="101" t="str">
        <f t="shared" si="90"/>
        <v>-</v>
      </c>
      <c r="DI42" s="101" t="str">
        <f t="shared" si="90"/>
        <v>-</v>
      </c>
      <c r="DJ42" s="101" t="str">
        <f t="shared" si="90"/>
        <v>-</v>
      </c>
      <c r="DK42" s="101" t="str">
        <f t="shared" si="90"/>
        <v>-</v>
      </c>
      <c r="DL42" s="101" t="str">
        <f t="shared" si="90"/>
        <v>-</v>
      </c>
      <c r="DM42" s="101" t="str">
        <f t="shared" si="90"/>
        <v>-</v>
      </c>
      <c r="DN42" s="101" t="str">
        <f t="shared" si="90"/>
        <v>-</v>
      </c>
      <c r="DO42" s="101" t="str">
        <f t="shared" si="90"/>
        <v>-</v>
      </c>
      <c r="DP42" s="101" t="str">
        <f t="shared" si="90"/>
        <v>-</v>
      </c>
      <c r="DQ42" s="101" t="str">
        <f t="shared" si="90"/>
        <v>-</v>
      </c>
      <c r="DR42" s="101" t="str">
        <f t="shared" si="90"/>
        <v>-</v>
      </c>
    </row>
    <row r="43" spans="1:125">
      <c r="A43" s="466"/>
      <c r="B43" s="509"/>
      <c r="C43" s="509"/>
      <c r="D43" s="466"/>
      <c r="E43" s="109" t="s">
        <v>66</v>
      </c>
      <c r="F43" s="102" t="e">
        <f>SUM('BESS 12'!S255,'BESS 12'!S258:S259,'BESS 12'!S263:S264)</f>
        <v>#VALUE!</v>
      </c>
      <c r="G43" s="165">
        <f>H43+20</f>
        <v>46263</v>
      </c>
      <c r="H43" s="110">
        <f>$G$35-5</f>
        <v>46243</v>
      </c>
      <c r="I43" s="102">
        <f>G43-H43</f>
        <v>20</v>
      </c>
      <c r="J43" s="507"/>
      <c r="K43" s="476"/>
      <c r="L43" s="101" t="str">
        <f t="shared" si="80"/>
        <v>-</v>
      </c>
      <c r="M43" s="101" t="str">
        <f t="shared" si="80"/>
        <v>-</v>
      </c>
      <c r="N43" s="101" t="str">
        <f t="shared" si="80"/>
        <v>-</v>
      </c>
      <c r="O43" s="101" t="str">
        <f t="shared" si="80"/>
        <v>-</v>
      </c>
      <c r="P43" s="101" t="str">
        <f t="shared" si="80"/>
        <v>-</v>
      </c>
      <c r="Q43" s="101" t="str">
        <f t="shared" si="80"/>
        <v>-</v>
      </c>
      <c r="R43" s="101" t="str">
        <f t="shared" si="80"/>
        <v>-</v>
      </c>
      <c r="S43" s="101" t="str">
        <f t="shared" si="80"/>
        <v>-</v>
      </c>
      <c r="T43" s="101" t="str">
        <f t="shared" si="80"/>
        <v>-</v>
      </c>
      <c r="U43" s="101" t="str">
        <f t="shared" si="80"/>
        <v>-</v>
      </c>
      <c r="V43" s="101" t="str">
        <f t="shared" si="81"/>
        <v>-</v>
      </c>
      <c r="W43" s="101" t="str">
        <f t="shared" si="81"/>
        <v>-</v>
      </c>
      <c r="X43" s="101" t="str">
        <f t="shared" si="81"/>
        <v>-</v>
      </c>
      <c r="Y43" s="101" t="str">
        <f t="shared" si="81"/>
        <v>-</v>
      </c>
      <c r="Z43" s="101" t="str">
        <f t="shared" si="81"/>
        <v>-</v>
      </c>
      <c r="AA43" s="101" t="str">
        <f t="shared" si="81"/>
        <v>-</v>
      </c>
      <c r="AB43" s="101" t="str">
        <f t="shared" si="81"/>
        <v>-</v>
      </c>
      <c r="AC43" s="101" t="str">
        <f t="shared" si="81"/>
        <v>-</v>
      </c>
      <c r="AD43" s="101" t="str">
        <f t="shared" si="81"/>
        <v>-</v>
      </c>
      <c r="AE43" s="101" t="str">
        <f t="shared" si="81"/>
        <v>-</v>
      </c>
      <c r="AF43" s="101" t="str">
        <f t="shared" si="82"/>
        <v>-</v>
      </c>
      <c r="AG43" s="101" t="str">
        <f t="shared" si="82"/>
        <v>-</v>
      </c>
      <c r="AH43" s="101" t="str">
        <f t="shared" si="82"/>
        <v>-</v>
      </c>
      <c r="AI43" s="101" t="str">
        <f t="shared" si="82"/>
        <v>-</v>
      </c>
      <c r="AJ43" s="101" t="str">
        <f t="shared" si="82"/>
        <v>-</v>
      </c>
      <c r="AK43" s="101" t="str">
        <f t="shared" si="82"/>
        <v>-</v>
      </c>
      <c r="AL43" s="101" t="str">
        <f t="shared" si="82"/>
        <v>-</v>
      </c>
      <c r="AM43" s="101" t="str">
        <f t="shared" si="82"/>
        <v>-</v>
      </c>
      <c r="AN43" s="101" t="str">
        <f t="shared" si="82"/>
        <v>-</v>
      </c>
      <c r="AO43" s="101" t="str">
        <f t="shared" si="82"/>
        <v>-</v>
      </c>
      <c r="AP43" s="101" t="str">
        <f t="shared" si="83"/>
        <v>-</v>
      </c>
      <c r="AQ43" s="101" t="str">
        <f t="shared" si="83"/>
        <v>-</v>
      </c>
      <c r="AR43" s="101" t="str">
        <f t="shared" si="83"/>
        <v>-</v>
      </c>
      <c r="AS43" s="101" t="str">
        <f t="shared" si="83"/>
        <v>-</v>
      </c>
      <c r="AT43" s="101" t="str">
        <f t="shared" si="83"/>
        <v>-</v>
      </c>
      <c r="AU43" s="101" t="str">
        <f t="shared" si="83"/>
        <v>-</v>
      </c>
      <c r="AV43" s="101" t="str">
        <f t="shared" si="83"/>
        <v>-</v>
      </c>
      <c r="AW43" s="101" t="str">
        <f t="shared" si="83"/>
        <v>-</v>
      </c>
      <c r="AX43" s="101" t="str">
        <f t="shared" si="83"/>
        <v>-</v>
      </c>
      <c r="AY43" s="101" t="str">
        <f t="shared" si="83"/>
        <v>-</v>
      </c>
      <c r="AZ43" s="101" t="str">
        <f t="shared" si="84"/>
        <v>-</v>
      </c>
      <c r="BA43" s="101" t="str">
        <f t="shared" si="84"/>
        <v>-</v>
      </c>
      <c r="BB43" s="101" t="str">
        <f t="shared" si="84"/>
        <v>-</v>
      </c>
      <c r="BC43" s="101" t="str">
        <f t="shared" si="84"/>
        <v>-</v>
      </c>
      <c r="BD43" s="101" t="str">
        <f t="shared" si="84"/>
        <v>-</v>
      </c>
      <c r="BE43" s="101" t="str">
        <f t="shared" si="84"/>
        <v>-</v>
      </c>
      <c r="BF43" s="101" t="str">
        <f t="shared" si="84"/>
        <v>-</v>
      </c>
      <c r="BG43" s="101" t="str">
        <f t="shared" si="84"/>
        <v>-</v>
      </c>
      <c r="BH43" s="101" t="str">
        <f t="shared" si="84"/>
        <v>-</v>
      </c>
      <c r="BI43" s="101" t="str">
        <f t="shared" si="84"/>
        <v>-</v>
      </c>
      <c r="BJ43" s="101" t="str">
        <f t="shared" si="85"/>
        <v>-</v>
      </c>
      <c r="BK43" s="101" t="str">
        <f t="shared" si="85"/>
        <v>-</v>
      </c>
      <c r="BL43" s="101" t="str">
        <f t="shared" si="85"/>
        <v>-</v>
      </c>
      <c r="BM43" s="101" t="str">
        <f t="shared" si="85"/>
        <v>-</v>
      </c>
      <c r="BN43" s="101" t="str">
        <f t="shared" si="85"/>
        <v>-</v>
      </c>
      <c r="BO43" s="101" t="str">
        <f t="shared" si="85"/>
        <v>-</v>
      </c>
      <c r="BP43" s="101" t="str">
        <f t="shared" si="85"/>
        <v>-</v>
      </c>
      <c r="BQ43" s="101" t="str">
        <f t="shared" si="85"/>
        <v>-</v>
      </c>
      <c r="BR43" s="101" t="str">
        <f t="shared" si="85"/>
        <v>-</v>
      </c>
      <c r="BS43" s="101" t="str">
        <f t="shared" si="85"/>
        <v>-</v>
      </c>
      <c r="BT43" s="101" t="str">
        <f t="shared" si="86"/>
        <v>-</v>
      </c>
      <c r="BU43" s="101" t="str">
        <f t="shared" si="86"/>
        <v>-</v>
      </c>
      <c r="BV43" s="101" t="str">
        <f t="shared" si="86"/>
        <v>-</v>
      </c>
      <c r="BW43" s="101" t="str">
        <f t="shared" si="86"/>
        <v>-</v>
      </c>
      <c r="BX43" s="101" t="str">
        <f t="shared" si="86"/>
        <v>-</v>
      </c>
      <c r="BY43" s="101" t="str">
        <f t="shared" si="86"/>
        <v>-</v>
      </c>
      <c r="BZ43" s="101" t="str">
        <f t="shared" si="86"/>
        <v>-</v>
      </c>
      <c r="CA43" s="101" t="str">
        <f t="shared" si="86"/>
        <v>-</v>
      </c>
      <c r="CB43" s="101" t="str">
        <f t="shared" si="86"/>
        <v>-</v>
      </c>
      <c r="CC43" s="101" t="str">
        <f t="shared" si="86"/>
        <v>-</v>
      </c>
      <c r="CD43" s="101" t="str">
        <f t="shared" si="87"/>
        <v>-</v>
      </c>
      <c r="CE43" s="101" t="str">
        <f t="shared" si="87"/>
        <v>-</v>
      </c>
      <c r="CF43" s="101" t="str">
        <f t="shared" si="87"/>
        <v>-</v>
      </c>
      <c r="CG43" s="101" t="str">
        <f t="shared" si="87"/>
        <v>-</v>
      </c>
      <c r="CH43" s="101" t="str">
        <f t="shared" si="87"/>
        <v>-</v>
      </c>
      <c r="CI43" s="101" t="str">
        <f t="shared" si="87"/>
        <v>-</v>
      </c>
      <c r="CJ43" s="101" t="str">
        <f t="shared" si="87"/>
        <v>-</v>
      </c>
      <c r="CK43" s="101" t="str">
        <f t="shared" si="87"/>
        <v>-</v>
      </c>
      <c r="CL43" s="101" t="str">
        <f t="shared" si="87"/>
        <v>-</v>
      </c>
      <c r="CM43" s="101" t="str">
        <f t="shared" si="87"/>
        <v>-</v>
      </c>
      <c r="CN43" s="101" t="str">
        <f t="shared" si="88"/>
        <v>-</v>
      </c>
      <c r="CO43" s="101" t="str">
        <f t="shared" si="88"/>
        <v>-</v>
      </c>
      <c r="CP43" s="101" t="str">
        <f t="shared" si="88"/>
        <v>-</v>
      </c>
      <c r="CQ43" s="101" t="str">
        <f t="shared" si="88"/>
        <v>-</v>
      </c>
      <c r="CR43" s="101" t="str">
        <f t="shared" si="88"/>
        <v>-</v>
      </c>
      <c r="CS43" s="101" t="str">
        <f t="shared" si="88"/>
        <v>-</v>
      </c>
      <c r="CV43" s="101" t="e">
        <f t="shared" si="89"/>
        <v>#VALUE!</v>
      </c>
      <c r="CW43" s="101" t="str">
        <f t="shared" si="89"/>
        <v>-</v>
      </c>
      <c r="CX43" s="101" t="str">
        <f t="shared" si="89"/>
        <v>-</v>
      </c>
      <c r="CY43" s="101" t="str">
        <f t="shared" si="89"/>
        <v>-</v>
      </c>
      <c r="CZ43" s="101" t="str">
        <f t="shared" si="89"/>
        <v>-</v>
      </c>
      <c r="DA43" s="101" t="str">
        <f t="shared" si="89"/>
        <v>-</v>
      </c>
      <c r="DB43" s="101" t="str">
        <f t="shared" si="89"/>
        <v>-</v>
      </c>
      <c r="DC43" s="101" t="str">
        <f t="shared" si="89"/>
        <v>-</v>
      </c>
      <c r="DD43" s="101" t="str">
        <f t="shared" si="89"/>
        <v>-</v>
      </c>
      <c r="DE43" s="101" t="str">
        <f t="shared" si="89"/>
        <v>-</v>
      </c>
      <c r="DF43" s="101" t="str">
        <f t="shared" si="90"/>
        <v>-</v>
      </c>
      <c r="DG43" s="101" t="str">
        <f t="shared" si="90"/>
        <v>-</v>
      </c>
      <c r="DH43" s="101" t="str">
        <f t="shared" si="90"/>
        <v>-</v>
      </c>
      <c r="DI43" s="101" t="str">
        <f t="shared" si="90"/>
        <v>-</v>
      </c>
      <c r="DJ43" s="101" t="str">
        <f t="shared" si="90"/>
        <v>-</v>
      </c>
      <c r="DK43" s="101" t="str">
        <f t="shared" si="90"/>
        <v>-</v>
      </c>
      <c r="DL43" s="101" t="str">
        <f t="shared" si="90"/>
        <v>-</v>
      </c>
      <c r="DM43" s="101" t="str">
        <f t="shared" si="90"/>
        <v>-</v>
      </c>
      <c r="DN43" s="101" t="str">
        <f t="shared" si="90"/>
        <v>-</v>
      </c>
      <c r="DO43" s="101" t="str">
        <f t="shared" si="90"/>
        <v>-</v>
      </c>
      <c r="DP43" s="101" t="str">
        <f t="shared" si="90"/>
        <v>-</v>
      </c>
      <c r="DQ43" s="101" t="str">
        <f t="shared" si="90"/>
        <v>-</v>
      </c>
      <c r="DR43" s="101" t="str">
        <f t="shared" si="90"/>
        <v>-</v>
      </c>
    </row>
    <row r="44" spans="1:125">
      <c r="A44" s="466"/>
      <c r="B44" s="509"/>
      <c r="C44" s="509"/>
      <c r="D44" s="466"/>
      <c r="E44" s="109" t="s">
        <v>67</v>
      </c>
      <c r="F44" s="102" t="e">
        <f>SUM('BESS 12'!S266:S275)</f>
        <v>#VALUE!</v>
      </c>
      <c r="G44" s="165">
        <f>B40-3</f>
        <v>46255</v>
      </c>
      <c r="H44" s="110">
        <f>G44-14</f>
        <v>46241</v>
      </c>
      <c r="I44" s="102">
        <f>G44-H44</f>
        <v>14</v>
      </c>
      <c r="J44" s="507"/>
      <c r="K44" s="476"/>
      <c r="L44" s="101" t="str">
        <f t="shared" si="80"/>
        <v>-</v>
      </c>
      <c r="M44" s="101" t="str">
        <f t="shared" si="80"/>
        <v>-</v>
      </c>
      <c r="N44" s="101" t="str">
        <f t="shared" si="80"/>
        <v>-</v>
      </c>
      <c r="O44" s="101" t="str">
        <f t="shared" si="80"/>
        <v>-</v>
      </c>
      <c r="P44" s="101" t="str">
        <f t="shared" si="80"/>
        <v>-</v>
      </c>
      <c r="Q44" s="101" t="str">
        <f t="shared" si="80"/>
        <v>-</v>
      </c>
      <c r="R44" s="101" t="str">
        <f t="shared" si="80"/>
        <v>-</v>
      </c>
      <c r="S44" s="101" t="str">
        <f t="shared" si="80"/>
        <v>-</v>
      </c>
      <c r="T44" s="101" t="str">
        <f t="shared" si="80"/>
        <v>-</v>
      </c>
      <c r="U44" s="101" t="str">
        <f t="shared" si="80"/>
        <v>-</v>
      </c>
      <c r="V44" s="101" t="str">
        <f t="shared" si="81"/>
        <v>-</v>
      </c>
      <c r="W44" s="101" t="str">
        <f t="shared" si="81"/>
        <v>-</v>
      </c>
      <c r="X44" s="101" t="str">
        <f t="shared" si="81"/>
        <v>-</v>
      </c>
      <c r="Y44" s="101" t="str">
        <f t="shared" si="81"/>
        <v>-</v>
      </c>
      <c r="Z44" s="101" t="str">
        <f t="shared" si="81"/>
        <v>-</v>
      </c>
      <c r="AA44" s="101" t="str">
        <f t="shared" si="81"/>
        <v>-</v>
      </c>
      <c r="AB44" s="101" t="str">
        <f t="shared" si="81"/>
        <v>-</v>
      </c>
      <c r="AC44" s="101" t="str">
        <f t="shared" si="81"/>
        <v>-</v>
      </c>
      <c r="AD44" s="101" t="str">
        <f t="shared" si="81"/>
        <v>-</v>
      </c>
      <c r="AE44" s="101" t="str">
        <f t="shared" si="81"/>
        <v>-</v>
      </c>
      <c r="AF44" s="101" t="str">
        <f t="shared" si="82"/>
        <v>-</v>
      </c>
      <c r="AG44" s="101" t="str">
        <f t="shared" si="82"/>
        <v>-</v>
      </c>
      <c r="AH44" s="101" t="str">
        <f t="shared" si="82"/>
        <v>-</v>
      </c>
      <c r="AI44" s="101" t="str">
        <f t="shared" si="82"/>
        <v>-</v>
      </c>
      <c r="AJ44" s="101" t="str">
        <f t="shared" si="82"/>
        <v>-</v>
      </c>
      <c r="AK44" s="101" t="str">
        <f t="shared" si="82"/>
        <v>-</v>
      </c>
      <c r="AL44" s="101" t="str">
        <f t="shared" si="82"/>
        <v>-</v>
      </c>
      <c r="AM44" s="101" t="str">
        <f t="shared" si="82"/>
        <v>-</v>
      </c>
      <c r="AN44" s="101" t="str">
        <f t="shared" si="82"/>
        <v>-</v>
      </c>
      <c r="AO44" s="101" t="str">
        <f t="shared" si="82"/>
        <v>-</v>
      </c>
      <c r="AP44" s="101" t="str">
        <f t="shared" si="83"/>
        <v>-</v>
      </c>
      <c r="AQ44" s="101" t="str">
        <f t="shared" si="83"/>
        <v>-</v>
      </c>
      <c r="AR44" s="101" t="str">
        <f t="shared" si="83"/>
        <v>-</v>
      </c>
      <c r="AS44" s="101" t="str">
        <f t="shared" si="83"/>
        <v>-</v>
      </c>
      <c r="AT44" s="101" t="str">
        <f t="shared" si="83"/>
        <v>-</v>
      </c>
      <c r="AU44" s="101" t="str">
        <f t="shared" si="83"/>
        <v>-</v>
      </c>
      <c r="AV44" s="101" t="str">
        <f t="shared" si="83"/>
        <v>-</v>
      </c>
      <c r="AW44" s="101" t="str">
        <f t="shared" si="83"/>
        <v>-</v>
      </c>
      <c r="AX44" s="101" t="str">
        <f t="shared" si="83"/>
        <v>-</v>
      </c>
      <c r="AY44" s="101" t="str">
        <f t="shared" si="83"/>
        <v>-</v>
      </c>
      <c r="AZ44" s="101" t="str">
        <f t="shared" si="84"/>
        <v>-</v>
      </c>
      <c r="BA44" s="101" t="str">
        <f t="shared" si="84"/>
        <v>-</v>
      </c>
      <c r="BB44" s="101" t="str">
        <f t="shared" si="84"/>
        <v>-</v>
      </c>
      <c r="BC44" s="101" t="str">
        <f t="shared" si="84"/>
        <v>-</v>
      </c>
      <c r="BD44" s="101" t="str">
        <f t="shared" si="84"/>
        <v>-</v>
      </c>
      <c r="BE44" s="101" t="str">
        <f t="shared" si="84"/>
        <v>-</v>
      </c>
      <c r="BF44" s="101" t="str">
        <f t="shared" si="84"/>
        <v>-</v>
      </c>
      <c r="BG44" s="101" t="str">
        <f t="shared" si="84"/>
        <v>-</v>
      </c>
      <c r="BH44" s="101" t="str">
        <f t="shared" si="84"/>
        <v>-</v>
      </c>
      <c r="BI44" s="101" t="str">
        <f t="shared" si="84"/>
        <v>-</v>
      </c>
      <c r="BJ44" s="101" t="str">
        <f t="shared" si="85"/>
        <v>-</v>
      </c>
      <c r="BK44" s="101" t="str">
        <f t="shared" si="85"/>
        <v>-</v>
      </c>
      <c r="BL44" s="101" t="str">
        <f t="shared" si="85"/>
        <v>-</v>
      </c>
      <c r="BM44" s="101" t="str">
        <f t="shared" si="85"/>
        <v>-</v>
      </c>
      <c r="BN44" s="101" t="str">
        <f t="shared" si="85"/>
        <v>-</v>
      </c>
      <c r="BO44" s="101" t="str">
        <f t="shared" si="85"/>
        <v>-</v>
      </c>
      <c r="BP44" s="101" t="str">
        <f t="shared" si="85"/>
        <v>-</v>
      </c>
      <c r="BQ44" s="101" t="str">
        <f t="shared" si="85"/>
        <v>-</v>
      </c>
      <c r="BR44" s="101" t="str">
        <f t="shared" si="85"/>
        <v>-</v>
      </c>
      <c r="BS44" s="101" t="str">
        <f t="shared" si="85"/>
        <v>-</v>
      </c>
      <c r="BT44" s="101" t="str">
        <f t="shared" si="86"/>
        <v>-</v>
      </c>
      <c r="BU44" s="101" t="str">
        <f t="shared" si="86"/>
        <v>-</v>
      </c>
      <c r="BV44" s="101" t="str">
        <f t="shared" si="86"/>
        <v>-</v>
      </c>
      <c r="BW44" s="101" t="str">
        <f t="shared" si="86"/>
        <v>-</v>
      </c>
      <c r="BX44" s="101" t="str">
        <f t="shared" si="86"/>
        <v>-</v>
      </c>
      <c r="BY44" s="101" t="str">
        <f t="shared" si="86"/>
        <v>-</v>
      </c>
      <c r="BZ44" s="101" t="str">
        <f t="shared" si="86"/>
        <v>-</v>
      </c>
      <c r="CA44" s="101" t="str">
        <f t="shared" si="86"/>
        <v>-</v>
      </c>
      <c r="CB44" s="101" t="str">
        <f t="shared" si="86"/>
        <v>-</v>
      </c>
      <c r="CC44" s="101" t="str">
        <f t="shared" si="86"/>
        <v>-</v>
      </c>
      <c r="CD44" s="101" t="str">
        <f t="shared" si="87"/>
        <v>-</v>
      </c>
      <c r="CE44" s="101" t="str">
        <f t="shared" si="87"/>
        <v>-</v>
      </c>
      <c r="CF44" s="132" t="str">
        <f t="shared" si="87"/>
        <v>-</v>
      </c>
      <c r="CG44" s="132" t="str">
        <f t="shared" si="87"/>
        <v>-</v>
      </c>
      <c r="CH44" s="132" t="str">
        <f t="shared" si="87"/>
        <v>-</v>
      </c>
      <c r="CI44" s="132" t="str">
        <f t="shared" si="87"/>
        <v>-</v>
      </c>
      <c r="CJ44" s="132" t="str">
        <f t="shared" si="87"/>
        <v>-</v>
      </c>
      <c r="CK44" s="132" t="str">
        <f t="shared" si="87"/>
        <v>-</v>
      </c>
      <c r="CL44" s="132" t="str">
        <f t="shared" si="87"/>
        <v>-</v>
      </c>
      <c r="CM44" s="132" t="str">
        <f t="shared" si="87"/>
        <v>-</v>
      </c>
      <c r="CN44" s="132" t="str">
        <f t="shared" si="88"/>
        <v>-</v>
      </c>
      <c r="CO44" s="132" t="str">
        <f t="shared" si="88"/>
        <v>-</v>
      </c>
      <c r="CP44" s="132" t="str">
        <f t="shared" si="88"/>
        <v>-</v>
      </c>
      <c r="CQ44" s="132" t="str">
        <f t="shared" si="88"/>
        <v>-</v>
      </c>
      <c r="CR44" s="132" t="str">
        <f t="shared" si="88"/>
        <v>-</v>
      </c>
      <c r="CS44" s="132" t="str">
        <f t="shared" si="88"/>
        <v>-</v>
      </c>
      <c r="CV44" s="132" t="e">
        <f t="shared" si="89"/>
        <v>#VALUE!</v>
      </c>
      <c r="CW44" s="132" t="str">
        <f t="shared" si="89"/>
        <v>-</v>
      </c>
      <c r="CX44" s="132" t="str">
        <f t="shared" si="89"/>
        <v>-</v>
      </c>
      <c r="CY44" s="132" t="str">
        <f t="shared" si="89"/>
        <v>-</v>
      </c>
      <c r="CZ44" s="132" t="str">
        <f t="shared" si="89"/>
        <v>-</v>
      </c>
      <c r="DA44" s="132" t="str">
        <f t="shared" si="89"/>
        <v>-</v>
      </c>
      <c r="DB44" s="132" t="str">
        <f t="shared" si="89"/>
        <v>-</v>
      </c>
      <c r="DC44" s="132" t="str">
        <f t="shared" si="89"/>
        <v>-</v>
      </c>
      <c r="DD44" s="132" t="str">
        <f t="shared" si="89"/>
        <v>-</v>
      </c>
      <c r="DE44" s="132" t="str">
        <f t="shared" si="89"/>
        <v>-</v>
      </c>
      <c r="DF44" s="132" t="str">
        <f t="shared" si="90"/>
        <v>-</v>
      </c>
      <c r="DG44" s="132" t="str">
        <f t="shared" si="90"/>
        <v>-</v>
      </c>
      <c r="DH44" s="132" t="str">
        <f t="shared" si="90"/>
        <v>-</v>
      </c>
      <c r="DI44" s="132" t="str">
        <f t="shared" si="90"/>
        <v>-</v>
      </c>
      <c r="DJ44" s="132" t="str">
        <f t="shared" si="90"/>
        <v>-</v>
      </c>
      <c r="DK44" s="132" t="str">
        <f t="shared" si="90"/>
        <v>-</v>
      </c>
      <c r="DL44" s="132" t="str">
        <f t="shared" si="90"/>
        <v>-</v>
      </c>
      <c r="DM44" s="132" t="str">
        <f t="shared" si="90"/>
        <v>-</v>
      </c>
      <c r="DN44" s="132" t="str">
        <f t="shared" si="90"/>
        <v>-</v>
      </c>
      <c r="DO44" s="132" t="str">
        <f t="shared" si="90"/>
        <v>-</v>
      </c>
      <c r="DP44" s="132" t="str">
        <f t="shared" si="90"/>
        <v>-</v>
      </c>
      <c r="DQ44" s="132" t="str">
        <f t="shared" si="90"/>
        <v>-</v>
      </c>
      <c r="DR44" s="132" t="str">
        <f t="shared" si="90"/>
        <v>-</v>
      </c>
    </row>
    <row r="45" spans="1:125">
      <c r="A45" s="65"/>
      <c r="B45" s="166"/>
      <c r="C45" s="166"/>
      <c r="D45" s="466"/>
      <c r="E45" s="109" t="s">
        <v>68</v>
      </c>
      <c r="F45" s="101">
        <v>250</v>
      </c>
      <c r="G45" s="165">
        <f>B40-3</f>
        <v>46255</v>
      </c>
      <c r="H45" s="110"/>
      <c r="I45" s="101">
        <v>30</v>
      </c>
      <c r="J45" s="508"/>
      <c r="K45" s="504"/>
      <c r="AY45" s="101"/>
      <c r="AZ45" s="101"/>
      <c r="BA45" s="101"/>
      <c r="BB45" s="101"/>
      <c r="BC45" s="101">
        <v>5</v>
      </c>
      <c r="BD45" s="101">
        <v>5</v>
      </c>
      <c r="BE45" s="101">
        <v>5</v>
      </c>
      <c r="BF45" s="101">
        <v>5</v>
      </c>
      <c r="BG45" s="101">
        <v>5</v>
      </c>
      <c r="BH45" s="101">
        <v>5</v>
      </c>
      <c r="BI45" s="101">
        <v>5</v>
      </c>
      <c r="BJ45" s="101">
        <v>5</v>
      </c>
      <c r="BK45" s="101">
        <v>5</v>
      </c>
      <c r="BL45" s="101">
        <v>5</v>
      </c>
      <c r="BM45" s="101">
        <v>5</v>
      </c>
      <c r="BN45" s="101">
        <v>5</v>
      </c>
      <c r="BO45" s="101">
        <v>5</v>
      </c>
      <c r="BP45" s="101">
        <v>5</v>
      </c>
      <c r="BQ45" s="101">
        <v>5</v>
      </c>
      <c r="BR45" s="101">
        <v>5</v>
      </c>
      <c r="BS45" s="101">
        <v>5</v>
      </c>
      <c r="BT45" s="101">
        <v>5</v>
      </c>
      <c r="BU45" s="101">
        <v>5</v>
      </c>
      <c r="BV45" s="101">
        <v>5</v>
      </c>
      <c r="BW45" s="101">
        <v>5</v>
      </c>
      <c r="BX45" s="101">
        <v>5</v>
      </c>
      <c r="BY45" s="101">
        <v>5</v>
      </c>
      <c r="BZ45" s="101">
        <v>5</v>
      </c>
      <c r="CA45" s="101">
        <v>30</v>
      </c>
      <c r="CB45" s="101">
        <v>30</v>
      </c>
      <c r="CC45" s="101">
        <v>30</v>
      </c>
      <c r="CD45" s="101">
        <v>30</v>
      </c>
      <c r="CE45" s="148">
        <v>5</v>
      </c>
      <c r="CF45" s="101">
        <v>5</v>
      </c>
      <c r="CG45" s="101"/>
      <c r="CH45" s="101"/>
      <c r="CI45" s="101"/>
      <c r="CJ45" s="101"/>
      <c r="CK45" s="101"/>
      <c r="CL45" s="101"/>
      <c r="CM45" s="101"/>
      <c r="CN45" s="101"/>
      <c r="CO45" s="101"/>
      <c r="CP45" s="101"/>
      <c r="CQ45" s="101"/>
      <c r="CR45" s="101"/>
      <c r="CS45" s="101"/>
      <c r="CV45" s="101"/>
      <c r="CW45" s="101"/>
      <c r="CX45" s="101"/>
      <c r="CY45" s="101"/>
      <c r="CZ45" s="101"/>
      <c r="DA45" s="101"/>
      <c r="DB45" s="101"/>
      <c r="DC45" s="101"/>
      <c r="DD45" s="101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1"/>
    </row>
    <row r="46" spans="1:125">
      <c r="B46" s="126"/>
      <c r="E46" s="120"/>
      <c r="F46" s="120"/>
      <c r="G46" s="120"/>
      <c r="H46" s="112" t="s">
        <v>69</v>
      </c>
      <c r="I46" s="121"/>
      <c r="J46" s="120"/>
      <c r="K46" s="120"/>
      <c r="L46" s="113">
        <f t="shared" ref="L46:AQ46" si="91">SUM(L41:L45)</f>
        <v>0</v>
      </c>
      <c r="M46" s="113">
        <f t="shared" si="91"/>
        <v>0</v>
      </c>
      <c r="N46" s="113">
        <f t="shared" si="91"/>
        <v>0</v>
      </c>
      <c r="O46" s="113">
        <f t="shared" si="91"/>
        <v>0</v>
      </c>
      <c r="P46" s="113">
        <f t="shared" si="91"/>
        <v>0</v>
      </c>
      <c r="Q46" s="113">
        <f t="shared" si="91"/>
        <v>0</v>
      </c>
      <c r="R46" s="113">
        <f t="shared" si="91"/>
        <v>0</v>
      </c>
      <c r="S46" s="113">
        <f t="shared" si="91"/>
        <v>0</v>
      </c>
      <c r="T46" s="113">
        <f t="shared" si="91"/>
        <v>0</v>
      </c>
      <c r="U46" s="113">
        <f t="shared" si="91"/>
        <v>0</v>
      </c>
      <c r="V46" s="113">
        <f t="shared" si="91"/>
        <v>0</v>
      </c>
      <c r="W46" s="113">
        <f t="shared" si="91"/>
        <v>0</v>
      </c>
      <c r="X46" s="113">
        <f t="shared" si="91"/>
        <v>0</v>
      </c>
      <c r="Y46" s="113">
        <f t="shared" si="91"/>
        <v>0</v>
      </c>
      <c r="Z46" s="113">
        <f t="shared" si="91"/>
        <v>0</v>
      </c>
      <c r="AA46" s="113">
        <f t="shared" si="91"/>
        <v>0</v>
      </c>
      <c r="AB46" s="113">
        <f t="shared" si="91"/>
        <v>0</v>
      </c>
      <c r="AC46" s="113">
        <f t="shared" si="91"/>
        <v>0</v>
      </c>
      <c r="AD46" s="113">
        <f t="shared" si="91"/>
        <v>0</v>
      </c>
      <c r="AE46" s="113">
        <f t="shared" si="91"/>
        <v>0</v>
      </c>
      <c r="AF46" s="113">
        <f t="shared" si="91"/>
        <v>0</v>
      </c>
      <c r="AG46" s="113">
        <f t="shared" si="91"/>
        <v>0</v>
      </c>
      <c r="AH46" s="113">
        <f t="shared" si="91"/>
        <v>0</v>
      </c>
      <c r="AI46" s="113">
        <f t="shared" si="91"/>
        <v>0</v>
      </c>
      <c r="AJ46" s="113">
        <f t="shared" si="91"/>
        <v>0</v>
      </c>
      <c r="AK46" s="113">
        <f t="shared" si="91"/>
        <v>0</v>
      </c>
      <c r="AL46" s="113">
        <f t="shared" si="91"/>
        <v>0</v>
      </c>
      <c r="AM46" s="113">
        <f t="shared" si="91"/>
        <v>0</v>
      </c>
      <c r="AN46" s="113">
        <f t="shared" si="91"/>
        <v>0</v>
      </c>
      <c r="AO46" s="113">
        <f t="shared" si="91"/>
        <v>0</v>
      </c>
      <c r="AP46" s="113">
        <f t="shared" si="91"/>
        <v>0</v>
      </c>
      <c r="AQ46" s="113">
        <f t="shared" si="91"/>
        <v>0</v>
      </c>
      <c r="AR46" s="113">
        <f t="shared" ref="AR46:BW46" si="92">SUM(AR41:AR45)</f>
        <v>0</v>
      </c>
      <c r="AS46" s="113">
        <f t="shared" si="92"/>
        <v>0</v>
      </c>
      <c r="AT46" s="113">
        <f t="shared" si="92"/>
        <v>0</v>
      </c>
      <c r="AU46" s="113">
        <f t="shared" si="92"/>
        <v>0</v>
      </c>
      <c r="AV46" s="113">
        <f t="shared" si="92"/>
        <v>0</v>
      </c>
      <c r="AW46" s="113">
        <f t="shared" si="92"/>
        <v>0</v>
      </c>
      <c r="AX46" s="113">
        <f t="shared" si="92"/>
        <v>0</v>
      </c>
      <c r="AY46" s="113">
        <f t="shared" si="92"/>
        <v>0</v>
      </c>
      <c r="AZ46" s="113">
        <f t="shared" si="92"/>
        <v>0</v>
      </c>
      <c r="BA46" s="113">
        <f t="shared" si="92"/>
        <v>0</v>
      </c>
      <c r="BB46" s="113">
        <f t="shared" si="92"/>
        <v>0</v>
      </c>
      <c r="BC46" s="113">
        <f t="shared" si="92"/>
        <v>5</v>
      </c>
      <c r="BD46" s="113">
        <f t="shared" si="92"/>
        <v>5</v>
      </c>
      <c r="BE46" s="113">
        <f t="shared" si="92"/>
        <v>5</v>
      </c>
      <c r="BF46" s="113">
        <f t="shared" si="92"/>
        <v>5</v>
      </c>
      <c r="BG46" s="113">
        <f t="shared" si="92"/>
        <v>5</v>
      </c>
      <c r="BH46" s="113">
        <f t="shared" si="92"/>
        <v>5</v>
      </c>
      <c r="BI46" s="113">
        <f t="shared" si="92"/>
        <v>5</v>
      </c>
      <c r="BJ46" s="113">
        <f t="shared" si="92"/>
        <v>5</v>
      </c>
      <c r="BK46" s="113">
        <f t="shared" si="92"/>
        <v>5</v>
      </c>
      <c r="BL46" s="113">
        <f t="shared" si="92"/>
        <v>5</v>
      </c>
      <c r="BM46" s="113">
        <f t="shared" si="92"/>
        <v>5</v>
      </c>
      <c r="BN46" s="113">
        <f t="shared" si="92"/>
        <v>5</v>
      </c>
      <c r="BO46" s="113">
        <f t="shared" si="92"/>
        <v>5</v>
      </c>
      <c r="BP46" s="113">
        <f t="shared" si="92"/>
        <v>5</v>
      </c>
      <c r="BQ46" s="113">
        <f t="shared" si="92"/>
        <v>5</v>
      </c>
      <c r="BR46" s="113">
        <f t="shared" si="92"/>
        <v>5</v>
      </c>
      <c r="BS46" s="113">
        <f t="shared" si="92"/>
        <v>5</v>
      </c>
      <c r="BT46" s="113">
        <f t="shared" si="92"/>
        <v>5</v>
      </c>
      <c r="BU46" s="113">
        <f t="shared" si="92"/>
        <v>5</v>
      </c>
      <c r="BV46" s="113">
        <f t="shared" si="92"/>
        <v>5</v>
      </c>
      <c r="BW46" s="113">
        <f t="shared" si="92"/>
        <v>5</v>
      </c>
      <c r="BX46" s="113">
        <f t="shared" ref="BX46:CS46" si="93">SUM(BX41:BX45)</f>
        <v>5</v>
      </c>
      <c r="BY46" s="113">
        <f t="shared" si="93"/>
        <v>5</v>
      </c>
      <c r="BZ46" s="113">
        <f t="shared" si="93"/>
        <v>5</v>
      </c>
      <c r="CA46" s="113">
        <f t="shared" si="93"/>
        <v>30</v>
      </c>
      <c r="CB46" s="113">
        <f t="shared" si="93"/>
        <v>30</v>
      </c>
      <c r="CC46" s="113">
        <f t="shared" si="93"/>
        <v>30</v>
      </c>
      <c r="CD46" s="113">
        <f t="shared" si="93"/>
        <v>30</v>
      </c>
      <c r="CE46" s="113">
        <f t="shared" si="93"/>
        <v>5</v>
      </c>
      <c r="CF46" s="113">
        <f t="shared" si="93"/>
        <v>5</v>
      </c>
      <c r="CG46" s="113">
        <f t="shared" si="93"/>
        <v>0</v>
      </c>
      <c r="CH46" s="113">
        <f t="shared" si="93"/>
        <v>0</v>
      </c>
      <c r="CI46" s="113">
        <f t="shared" si="93"/>
        <v>0</v>
      </c>
      <c r="CJ46" s="113">
        <f t="shared" si="93"/>
        <v>0</v>
      </c>
      <c r="CK46" s="113">
        <f t="shared" si="93"/>
        <v>0</v>
      </c>
      <c r="CL46" s="113">
        <f t="shared" si="93"/>
        <v>0</v>
      </c>
      <c r="CM46" s="113">
        <f t="shared" si="93"/>
        <v>0</v>
      </c>
      <c r="CN46" s="113">
        <f t="shared" si="93"/>
        <v>0</v>
      </c>
      <c r="CO46" s="113">
        <f t="shared" si="93"/>
        <v>0</v>
      </c>
      <c r="CP46" s="113">
        <f t="shared" si="93"/>
        <v>0</v>
      </c>
      <c r="CQ46" s="113">
        <f t="shared" si="93"/>
        <v>0</v>
      </c>
      <c r="CR46" s="113">
        <f t="shared" si="93"/>
        <v>0</v>
      </c>
      <c r="CS46" s="113">
        <f t="shared" si="93"/>
        <v>0</v>
      </c>
      <c r="CT46" s="122"/>
      <c r="CU46" s="122"/>
      <c r="CV46" s="113" t="e">
        <f t="shared" ref="CV46:DR46" si="94">SUM(CV41:CV45)</f>
        <v>#VALUE!</v>
      </c>
      <c r="CW46" s="113">
        <f t="shared" si="94"/>
        <v>0</v>
      </c>
      <c r="CX46" s="113">
        <f t="shared" si="94"/>
        <v>0</v>
      </c>
      <c r="CY46" s="113">
        <f t="shared" si="94"/>
        <v>0</v>
      </c>
      <c r="CZ46" s="113">
        <f t="shared" si="94"/>
        <v>0</v>
      </c>
      <c r="DA46" s="113">
        <f t="shared" si="94"/>
        <v>0</v>
      </c>
      <c r="DB46" s="113">
        <f t="shared" si="94"/>
        <v>0</v>
      </c>
      <c r="DC46" s="113">
        <f t="shared" si="94"/>
        <v>0</v>
      </c>
      <c r="DD46" s="113">
        <f t="shared" si="94"/>
        <v>0</v>
      </c>
      <c r="DE46" s="113">
        <f t="shared" si="94"/>
        <v>0</v>
      </c>
      <c r="DF46" s="113">
        <f t="shared" si="94"/>
        <v>0</v>
      </c>
      <c r="DG46" s="113">
        <f t="shared" si="94"/>
        <v>0</v>
      </c>
      <c r="DH46" s="113">
        <f t="shared" si="94"/>
        <v>0</v>
      </c>
      <c r="DI46" s="113">
        <f t="shared" si="94"/>
        <v>0</v>
      </c>
      <c r="DJ46" s="113">
        <f t="shared" si="94"/>
        <v>0</v>
      </c>
      <c r="DK46" s="113">
        <f t="shared" si="94"/>
        <v>0</v>
      </c>
      <c r="DL46" s="113">
        <f t="shared" si="94"/>
        <v>0</v>
      </c>
      <c r="DM46" s="113">
        <f t="shared" si="94"/>
        <v>0</v>
      </c>
      <c r="DN46" s="113">
        <f t="shared" si="94"/>
        <v>0</v>
      </c>
      <c r="DO46" s="113">
        <f t="shared" si="94"/>
        <v>0</v>
      </c>
      <c r="DP46" s="113">
        <f t="shared" si="94"/>
        <v>0</v>
      </c>
      <c r="DQ46" s="113">
        <f t="shared" si="94"/>
        <v>0</v>
      </c>
      <c r="DR46" s="113">
        <f t="shared" si="94"/>
        <v>0</v>
      </c>
    </row>
    <row r="48" spans="1:125">
      <c r="A48" s="510" t="s">
        <v>75</v>
      </c>
      <c r="B48" s="509" t="str">
        <f>'BESS 12'!F276</f>
        <v>31 Aug
17 Sep</v>
      </c>
      <c r="C48" s="509" t="str">
        <f>'BESS 12'!G276</f>
        <v>05 Sep
22 Sep</v>
      </c>
      <c r="D48" s="114"/>
      <c r="E48" s="114" t="s">
        <v>10</v>
      </c>
      <c r="F48" s="115" t="s">
        <v>58</v>
      </c>
      <c r="G48" s="129" t="s">
        <v>87</v>
      </c>
      <c r="H48" s="129" t="s">
        <v>78</v>
      </c>
      <c r="I48" s="115" t="s">
        <v>59</v>
      </c>
      <c r="J48" s="115"/>
      <c r="K48" s="115"/>
      <c r="L48" s="116">
        <v>46195</v>
      </c>
      <c r="M48" s="116">
        <v>46196</v>
      </c>
      <c r="N48" s="116">
        <v>46197</v>
      </c>
      <c r="O48" s="116">
        <f t="shared" ref="O48:AT48" si="95">N48+1</f>
        <v>46198</v>
      </c>
      <c r="P48" s="116">
        <f t="shared" si="95"/>
        <v>46199</v>
      </c>
      <c r="Q48" s="116">
        <f t="shared" si="95"/>
        <v>46200</v>
      </c>
      <c r="R48" s="116">
        <f t="shared" si="95"/>
        <v>46201</v>
      </c>
      <c r="S48" s="116">
        <f t="shared" si="95"/>
        <v>46202</v>
      </c>
      <c r="T48" s="116">
        <f t="shared" si="95"/>
        <v>46203</v>
      </c>
      <c r="U48" s="116">
        <f t="shared" si="95"/>
        <v>46204</v>
      </c>
      <c r="V48" s="116">
        <f t="shared" si="95"/>
        <v>46205</v>
      </c>
      <c r="W48" s="116">
        <f t="shared" si="95"/>
        <v>46206</v>
      </c>
      <c r="X48" s="116">
        <f t="shared" si="95"/>
        <v>46207</v>
      </c>
      <c r="Y48" s="116">
        <f t="shared" si="95"/>
        <v>46208</v>
      </c>
      <c r="Z48" s="116">
        <f t="shared" si="95"/>
        <v>46209</v>
      </c>
      <c r="AA48" s="116">
        <f t="shared" si="95"/>
        <v>46210</v>
      </c>
      <c r="AB48" s="116">
        <f t="shared" si="95"/>
        <v>46211</v>
      </c>
      <c r="AC48" s="116">
        <f t="shared" si="95"/>
        <v>46212</v>
      </c>
      <c r="AD48" s="116">
        <f t="shared" si="95"/>
        <v>46213</v>
      </c>
      <c r="AE48" s="116">
        <f t="shared" si="95"/>
        <v>46214</v>
      </c>
      <c r="AF48" s="116">
        <f t="shared" si="95"/>
        <v>46215</v>
      </c>
      <c r="AG48" s="116">
        <f t="shared" si="95"/>
        <v>46216</v>
      </c>
      <c r="AH48" s="116">
        <f t="shared" si="95"/>
        <v>46217</v>
      </c>
      <c r="AI48" s="116">
        <f t="shared" si="95"/>
        <v>46218</v>
      </c>
      <c r="AJ48" s="116">
        <f t="shared" si="95"/>
        <v>46219</v>
      </c>
      <c r="AK48" s="116">
        <f t="shared" si="95"/>
        <v>46220</v>
      </c>
      <c r="AL48" s="116">
        <f t="shared" si="95"/>
        <v>46221</v>
      </c>
      <c r="AM48" s="116">
        <f t="shared" si="95"/>
        <v>46222</v>
      </c>
      <c r="AN48" s="116">
        <f t="shared" si="95"/>
        <v>46223</v>
      </c>
      <c r="AO48" s="116">
        <f t="shared" si="95"/>
        <v>46224</v>
      </c>
      <c r="AP48" s="116">
        <f t="shared" si="95"/>
        <v>46225</v>
      </c>
      <c r="AQ48" s="116">
        <f t="shared" si="95"/>
        <v>46226</v>
      </c>
      <c r="AR48" s="116">
        <f t="shared" si="95"/>
        <v>46227</v>
      </c>
      <c r="AS48" s="116">
        <f t="shared" si="95"/>
        <v>46228</v>
      </c>
      <c r="AT48" s="116">
        <f t="shared" si="95"/>
        <v>46229</v>
      </c>
      <c r="AU48" s="116">
        <f t="shared" ref="AU48:BZ48" si="96">AT48+1</f>
        <v>46230</v>
      </c>
      <c r="AV48" s="116">
        <f t="shared" si="96"/>
        <v>46231</v>
      </c>
      <c r="AW48" s="116">
        <f t="shared" si="96"/>
        <v>46232</v>
      </c>
      <c r="AX48" s="116">
        <f t="shared" si="96"/>
        <v>46233</v>
      </c>
      <c r="AY48" s="116">
        <f t="shared" si="96"/>
        <v>46234</v>
      </c>
      <c r="AZ48" s="116">
        <f t="shared" si="96"/>
        <v>46235</v>
      </c>
      <c r="BA48" s="116">
        <f t="shared" si="96"/>
        <v>46236</v>
      </c>
      <c r="BB48" s="116">
        <f t="shared" si="96"/>
        <v>46237</v>
      </c>
      <c r="BC48" s="116">
        <f t="shared" si="96"/>
        <v>46238</v>
      </c>
      <c r="BD48" s="116">
        <f t="shared" si="96"/>
        <v>46239</v>
      </c>
      <c r="BE48" s="116">
        <f t="shared" si="96"/>
        <v>46240</v>
      </c>
      <c r="BF48" s="116">
        <f t="shared" si="96"/>
        <v>46241</v>
      </c>
      <c r="BG48" s="116">
        <f t="shared" si="96"/>
        <v>46242</v>
      </c>
      <c r="BH48" s="116">
        <f t="shared" si="96"/>
        <v>46243</v>
      </c>
      <c r="BI48" s="116">
        <f t="shared" si="96"/>
        <v>46244</v>
      </c>
      <c r="BJ48" s="116">
        <f t="shared" si="96"/>
        <v>46245</v>
      </c>
      <c r="BK48" s="116">
        <f t="shared" si="96"/>
        <v>46246</v>
      </c>
      <c r="BL48" s="116">
        <f t="shared" si="96"/>
        <v>46247</v>
      </c>
      <c r="BM48" s="116">
        <f t="shared" si="96"/>
        <v>46248</v>
      </c>
      <c r="BN48" s="116">
        <f t="shared" si="96"/>
        <v>46249</v>
      </c>
      <c r="BO48" s="116">
        <f t="shared" si="96"/>
        <v>46250</v>
      </c>
      <c r="BP48" s="116">
        <f t="shared" si="96"/>
        <v>46251</v>
      </c>
      <c r="BQ48" s="116">
        <f t="shared" si="96"/>
        <v>46252</v>
      </c>
      <c r="BR48" s="116">
        <f t="shared" si="96"/>
        <v>46253</v>
      </c>
      <c r="BS48" s="116">
        <f t="shared" si="96"/>
        <v>46254</v>
      </c>
      <c r="BT48" s="116">
        <f t="shared" si="96"/>
        <v>46255</v>
      </c>
      <c r="BU48" s="116">
        <f t="shared" si="96"/>
        <v>46256</v>
      </c>
      <c r="BV48" s="116">
        <f t="shared" si="96"/>
        <v>46257</v>
      </c>
      <c r="BW48" s="116">
        <f t="shared" si="96"/>
        <v>46258</v>
      </c>
      <c r="BX48" s="116">
        <f t="shared" si="96"/>
        <v>46259</v>
      </c>
      <c r="BY48" s="116">
        <f t="shared" si="96"/>
        <v>46260</v>
      </c>
      <c r="BZ48" s="116">
        <f t="shared" si="96"/>
        <v>46261</v>
      </c>
      <c r="CA48" s="116">
        <f t="shared" ref="CA48:CS48" si="97">BZ48+1</f>
        <v>46262</v>
      </c>
      <c r="CB48" s="116">
        <f t="shared" si="97"/>
        <v>46263</v>
      </c>
      <c r="CC48" s="116">
        <f t="shared" si="97"/>
        <v>46264</v>
      </c>
      <c r="CD48" s="116">
        <f t="shared" si="97"/>
        <v>46265</v>
      </c>
      <c r="CE48" s="116">
        <f t="shared" si="97"/>
        <v>46266</v>
      </c>
      <c r="CF48" s="116">
        <f t="shared" si="97"/>
        <v>46267</v>
      </c>
      <c r="CG48" s="116">
        <f t="shared" si="97"/>
        <v>46268</v>
      </c>
      <c r="CH48" s="116">
        <f t="shared" si="97"/>
        <v>46269</v>
      </c>
      <c r="CI48" s="116">
        <f t="shared" si="97"/>
        <v>46270</v>
      </c>
      <c r="CJ48" s="116">
        <f t="shared" si="97"/>
        <v>46271</v>
      </c>
      <c r="CK48" s="116">
        <f t="shared" si="97"/>
        <v>46272</v>
      </c>
      <c r="CL48" s="116">
        <f t="shared" si="97"/>
        <v>46273</v>
      </c>
      <c r="CM48" s="116">
        <f t="shared" si="97"/>
        <v>46274</v>
      </c>
      <c r="CN48" s="116">
        <f t="shared" si="97"/>
        <v>46275</v>
      </c>
      <c r="CO48" s="116">
        <f t="shared" si="97"/>
        <v>46276</v>
      </c>
      <c r="CP48" s="116">
        <f t="shared" si="97"/>
        <v>46277</v>
      </c>
      <c r="CQ48" s="116">
        <f t="shared" si="97"/>
        <v>46278</v>
      </c>
      <c r="CR48" s="116">
        <f t="shared" si="97"/>
        <v>46279</v>
      </c>
      <c r="CS48" s="116">
        <f t="shared" si="97"/>
        <v>46280</v>
      </c>
      <c r="CV48" s="116">
        <f t="shared" ref="CV48:DU48" si="98">CU48+1</f>
        <v>1</v>
      </c>
      <c r="CW48" s="116">
        <f t="shared" si="98"/>
        <v>2</v>
      </c>
      <c r="CX48" s="116">
        <f t="shared" si="98"/>
        <v>3</v>
      </c>
      <c r="CY48" s="116">
        <f t="shared" si="98"/>
        <v>4</v>
      </c>
      <c r="CZ48" s="116">
        <f t="shared" si="98"/>
        <v>5</v>
      </c>
      <c r="DA48" s="116">
        <f t="shared" si="98"/>
        <v>6</v>
      </c>
      <c r="DB48" s="116">
        <f t="shared" si="98"/>
        <v>7</v>
      </c>
      <c r="DC48" s="116">
        <f t="shared" si="98"/>
        <v>8</v>
      </c>
      <c r="DD48" s="116">
        <f t="shared" si="98"/>
        <v>9</v>
      </c>
      <c r="DE48" s="116">
        <f t="shared" si="98"/>
        <v>10</v>
      </c>
      <c r="DF48" s="116">
        <f t="shared" si="98"/>
        <v>11</v>
      </c>
      <c r="DG48" s="116">
        <f t="shared" si="98"/>
        <v>12</v>
      </c>
      <c r="DH48" s="116">
        <f t="shared" si="98"/>
        <v>13</v>
      </c>
      <c r="DI48" s="116">
        <f t="shared" si="98"/>
        <v>14</v>
      </c>
      <c r="DJ48" s="116">
        <f t="shared" si="98"/>
        <v>15</v>
      </c>
      <c r="DK48" s="116">
        <f t="shared" si="98"/>
        <v>16</v>
      </c>
      <c r="DL48" s="116">
        <f t="shared" si="98"/>
        <v>17</v>
      </c>
      <c r="DM48" s="116">
        <f t="shared" si="98"/>
        <v>18</v>
      </c>
      <c r="DN48" s="116">
        <f t="shared" si="98"/>
        <v>19</v>
      </c>
      <c r="DO48" s="116">
        <f t="shared" si="98"/>
        <v>20</v>
      </c>
      <c r="DP48" s="116">
        <f t="shared" si="98"/>
        <v>21</v>
      </c>
      <c r="DQ48" s="116">
        <f t="shared" si="98"/>
        <v>22</v>
      </c>
      <c r="DR48" s="116">
        <f t="shared" si="98"/>
        <v>23</v>
      </c>
      <c r="DS48" s="116">
        <f t="shared" si="98"/>
        <v>24</v>
      </c>
      <c r="DT48" s="116">
        <f t="shared" si="98"/>
        <v>25</v>
      </c>
      <c r="DU48" s="116">
        <f t="shared" si="98"/>
        <v>26</v>
      </c>
    </row>
    <row r="49" spans="1:127">
      <c r="A49" s="510"/>
      <c r="B49" s="509"/>
      <c r="C49" s="509"/>
      <c r="D49" s="467" t="str">
        <f>'BESS 12'!H276</f>
        <v>08 Sep
25 Sep</v>
      </c>
      <c r="E49" s="109" t="s">
        <v>64</v>
      </c>
      <c r="F49" s="102" t="e">
        <f>SUM('BESS 12'!S289:S296,'BESS 12'!S298)</f>
        <v>#VALUE!</v>
      </c>
      <c r="G49" s="165">
        <f>H49+10</f>
        <v>46246</v>
      </c>
      <c r="H49" s="110">
        <f>$G$33</f>
        <v>46236</v>
      </c>
      <c r="I49" s="102">
        <f>G49-H49</f>
        <v>10</v>
      </c>
      <c r="J49" s="506" t="e">
        <f>AVERAGEIF(L54:CP54,"&gt;0")</f>
        <v>#DIV/0!</v>
      </c>
      <c r="K49" s="506" t="e">
        <f>MAX(L54:CS54)</f>
        <v>#VALUE!</v>
      </c>
      <c r="L49" s="101" t="str">
        <f t="shared" ref="L49:U52" si="99">IF(AND(L$1&gt;=$H49,L$1&lt;($H49+$I49)),ROUND($F49/$I49,0),"-")</f>
        <v>-</v>
      </c>
      <c r="M49" s="101" t="str">
        <f t="shared" si="99"/>
        <v>-</v>
      </c>
      <c r="N49" s="101" t="str">
        <f t="shared" si="99"/>
        <v>-</v>
      </c>
      <c r="O49" s="101" t="str">
        <f t="shared" si="99"/>
        <v>-</v>
      </c>
      <c r="P49" s="101" t="str">
        <f t="shared" si="99"/>
        <v>-</v>
      </c>
      <c r="Q49" s="101" t="str">
        <f t="shared" si="99"/>
        <v>-</v>
      </c>
      <c r="R49" s="101" t="str">
        <f t="shared" si="99"/>
        <v>-</v>
      </c>
      <c r="S49" s="101" t="str">
        <f t="shared" si="99"/>
        <v>-</v>
      </c>
      <c r="T49" s="101" t="str">
        <f t="shared" si="99"/>
        <v>-</v>
      </c>
      <c r="U49" s="101" t="str">
        <f t="shared" si="99"/>
        <v>-</v>
      </c>
      <c r="V49" s="101" t="str">
        <f t="shared" ref="V49:AE52" si="100">IF(AND(V$1&gt;=$H49,V$1&lt;($H49+$I49)),ROUND($F49/$I49,0),"-")</f>
        <v>-</v>
      </c>
      <c r="W49" s="101" t="str">
        <f t="shared" si="100"/>
        <v>-</v>
      </c>
      <c r="X49" s="101" t="str">
        <f t="shared" si="100"/>
        <v>-</v>
      </c>
      <c r="Y49" s="101" t="str">
        <f t="shared" si="100"/>
        <v>-</v>
      </c>
      <c r="Z49" s="101" t="str">
        <f t="shared" si="100"/>
        <v>-</v>
      </c>
      <c r="AA49" s="101" t="str">
        <f t="shared" si="100"/>
        <v>-</v>
      </c>
      <c r="AB49" s="101" t="str">
        <f t="shared" si="100"/>
        <v>-</v>
      </c>
      <c r="AC49" s="101" t="str">
        <f t="shared" si="100"/>
        <v>-</v>
      </c>
      <c r="AD49" s="101" t="str">
        <f t="shared" si="100"/>
        <v>-</v>
      </c>
      <c r="AE49" s="101" t="str">
        <f t="shared" si="100"/>
        <v>-</v>
      </c>
      <c r="AF49" s="101" t="str">
        <f t="shared" ref="AF49:AO52" si="101">IF(AND(AF$1&gt;=$H49,AF$1&lt;($H49+$I49)),ROUND($F49/$I49,0),"-")</f>
        <v>-</v>
      </c>
      <c r="AG49" s="101" t="str">
        <f t="shared" si="101"/>
        <v>-</v>
      </c>
      <c r="AH49" s="101" t="str">
        <f t="shared" si="101"/>
        <v>-</v>
      </c>
      <c r="AI49" s="101" t="str">
        <f t="shared" si="101"/>
        <v>-</v>
      </c>
      <c r="AJ49" s="101" t="str">
        <f t="shared" si="101"/>
        <v>-</v>
      </c>
      <c r="AK49" s="101" t="str">
        <f t="shared" si="101"/>
        <v>-</v>
      </c>
      <c r="AL49" s="101" t="str">
        <f t="shared" si="101"/>
        <v>-</v>
      </c>
      <c r="AM49" s="101" t="str">
        <f t="shared" si="101"/>
        <v>-</v>
      </c>
      <c r="AN49" s="101" t="str">
        <f t="shared" si="101"/>
        <v>-</v>
      </c>
      <c r="AO49" s="101" t="str">
        <f t="shared" si="101"/>
        <v>-</v>
      </c>
      <c r="AP49" s="101" t="str">
        <f t="shared" ref="AP49:AY52" si="102">IF(AND(AP$1&gt;=$H49,AP$1&lt;($H49+$I49)),ROUND($F49/$I49,0),"-")</f>
        <v>-</v>
      </c>
      <c r="AQ49" s="101" t="str">
        <f t="shared" si="102"/>
        <v>-</v>
      </c>
      <c r="AR49" s="101" t="str">
        <f t="shared" si="102"/>
        <v>-</v>
      </c>
      <c r="AS49" s="101" t="str">
        <f t="shared" si="102"/>
        <v>-</v>
      </c>
      <c r="AT49" s="101" t="str">
        <f t="shared" si="102"/>
        <v>-</v>
      </c>
      <c r="AU49" s="101" t="str">
        <f t="shared" si="102"/>
        <v>-</v>
      </c>
      <c r="AV49" s="101" t="str">
        <f t="shared" si="102"/>
        <v>-</v>
      </c>
      <c r="AW49" s="101" t="str">
        <f t="shared" si="102"/>
        <v>-</v>
      </c>
      <c r="AX49" s="101" t="str">
        <f t="shared" si="102"/>
        <v>-</v>
      </c>
      <c r="AY49" s="101" t="str">
        <f t="shared" si="102"/>
        <v>-</v>
      </c>
      <c r="AZ49" s="101" t="str">
        <f t="shared" ref="AZ49:BI52" si="103">IF(AND(AZ$1&gt;=$H49,AZ$1&lt;($H49+$I49)),ROUND($F49/$I49,0),"-")</f>
        <v>-</v>
      </c>
      <c r="BA49" s="101" t="str">
        <f t="shared" si="103"/>
        <v>-</v>
      </c>
      <c r="BB49" s="101" t="str">
        <f t="shared" si="103"/>
        <v>-</v>
      </c>
      <c r="BC49" s="101" t="str">
        <f t="shared" si="103"/>
        <v>-</v>
      </c>
      <c r="BD49" s="101" t="str">
        <f t="shared" si="103"/>
        <v>-</v>
      </c>
      <c r="BE49" s="101" t="str">
        <f t="shared" si="103"/>
        <v>-</v>
      </c>
      <c r="BF49" s="101" t="str">
        <f t="shared" si="103"/>
        <v>-</v>
      </c>
      <c r="BG49" s="101" t="str">
        <f t="shared" si="103"/>
        <v>-</v>
      </c>
      <c r="BH49" s="101" t="str">
        <f t="shared" si="103"/>
        <v>-</v>
      </c>
      <c r="BI49" s="101" t="str">
        <f t="shared" si="103"/>
        <v>-</v>
      </c>
      <c r="BJ49" s="101" t="str">
        <f t="shared" ref="BJ49:BS52" si="104">IF(AND(BJ$1&gt;=$H49,BJ$1&lt;($H49+$I49)),ROUND($F49/$I49,0),"-")</f>
        <v>-</v>
      </c>
      <c r="BK49" s="101" t="str">
        <f t="shared" si="104"/>
        <v>-</v>
      </c>
      <c r="BL49" s="101" t="str">
        <f t="shared" si="104"/>
        <v>-</v>
      </c>
      <c r="BM49" s="101" t="str">
        <f t="shared" si="104"/>
        <v>-</v>
      </c>
      <c r="BN49" s="101" t="str">
        <f t="shared" si="104"/>
        <v>-</v>
      </c>
      <c r="BO49" s="101" t="str">
        <f t="shared" si="104"/>
        <v>-</v>
      </c>
      <c r="BP49" s="101" t="str">
        <f t="shared" si="104"/>
        <v>-</v>
      </c>
      <c r="BQ49" s="101" t="str">
        <f t="shared" si="104"/>
        <v>-</v>
      </c>
      <c r="BR49" s="101" t="str">
        <f t="shared" si="104"/>
        <v>-</v>
      </c>
      <c r="BS49" s="101" t="str">
        <f t="shared" si="104"/>
        <v>-</v>
      </c>
      <c r="BT49" s="101" t="str">
        <f t="shared" ref="BT49:CC52" si="105">IF(AND(BT$1&gt;=$H49,BT$1&lt;($H49+$I49)),ROUND($F49/$I49,0),"-")</f>
        <v>-</v>
      </c>
      <c r="BU49" s="101" t="str">
        <f t="shared" si="105"/>
        <v>-</v>
      </c>
      <c r="BV49" s="101" t="str">
        <f t="shared" si="105"/>
        <v>-</v>
      </c>
      <c r="BW49" s="101" t="str">
        <f t="shared" si="105"/>
        <v>-</v>
      </c>
      <c r="BX49" s="101" t="str">
        <f t="shared" si="105"/>
        <v>-</v>
      </c>
      <c r="BY49" s="101" t="str">
        <f t="shared" si="105"/>
        <v>-</v>
      </c>
      <c r="BZ49" s="101" t="str">
        <f t="shared" si="105"/>
        <v>-</v>
      </c>
      <c r="CA49" s="101" t="str">
        <f t="shared" si="105"/>
        <v>-</v>
      </c>
      <c r="CB49" s="101" t="str">
        <f t="shared" si="105"/>
        <v>-</v>
      </c>
      <c r="CC49" s="101" t="str">
        <f t="shared" si="105"/>
        <v>-</v>
      </c>
      <c r="CD49" s="101" t="str">
        <f t="shared" ref="CD49:CM52" si="106">IF(AND(CD$1&gt;=$H49,CD$1&lt;($H49+$I49)),ROUND($F49/$I49,0),"-")</f>
        <v>-</v>
      </c>
      <c r="CE49" s="101" t="str">
        <f t="shared" si="106"/>
        <v>-</v>
      </c>
      <c r="CF49" s="101" t="str">
        <f t="shared" si="106"/>
        <v>-</v>
      </c>
      <c r="CG49" s="101" t="str">
        <f t="shared" si="106"/>
        <v>-</v>
      </c>
      <c r="CH49" s="101" t="str">
        <f t="shared" si="106"/>
        <v>-</v>
      </c>
      <c r="CI49" s="101" t="str">
        <f t="shared" si="106"/>
        <v>-</v>
      </c>
      <c r="CJ49" s="101" t="str">
        <f t="shared" si="106"/>
        <v>-</v>
      </c>
      <c r="CK49" s="101" t="str">
        <f t="shared" si="106"/>
        <v>-</v>
      </c>
      <c r="CL49" s="101" t="str">
        <f t="shared" si="106"/>
        <v>-</v>
      </c>
      <c r="CM49" s="101" t="str">
        <f t="shared" si="106"/>
        <v>-</v>
      </c>
      <c r="CN49" s="101" t="str">
        <f t="shared" ref="CN49:CS52" si="107">IF(AND(CN$1&gt;=$H49,CN$1&lt;($H49+$I49)),ROUND($F49/$I49,0),"-")</f>
        <v>-</v>
      </c>
      <c r="CO49" s="101" t="str">
        <f t="shared" si="107"/>
        <v>-</v>
      </c>
      <c r="CP49" s="101" t="str">
        <f t="shared" si="107"/>
        <v>-</v>
      </c>
      <c r="CQ49" s="101" t="str">
        <f t="shared" si="107"/>
        <v>-</v>
      </c>
      <c r="CR49" s="101" t="str">
        <f t="shared" si="107"/>
        <v>-</v>
      </c>
      <c r="CS49" s="101" t="str">
        <f t="shared" si="107"/>
        <v>-</v>
      </c>
      <c r="CV49" s="101" t="e">
        <f t="shared" ref="CV49:DE52" si="108">IF(AND(CV$1&gt;=$H49,CV$1&lt;($H49+$I49)),ROUND($F49/$I49,0),"-")</f>
        <v>#VALUE!</v>
      </c>
      <c r="CW49" s="101" t="str">
        <f t="shared" si="108"/>
        <v>-</v>
      </c>
      <c r="CX49" s="101" t="str">
        <f t="shared" si="108"/>
        <v>-</v>
      </c>
      <c r="CY49" s="101" t="str">
        <f t="shared" si="108"/>
        <v>-</v>
      </c>
      <c r="CZ49" s="101" t="str">
        <f t="shared" si="108"/>
        <v>-</v>
      </c>
      <c r="DA49" s="101" t="str">
        <f t="shared" si="108"/>
        <v>-</v>
      </c>
      <c r="DB49" s="101" t="str">
        <f t="shared" si="108"/>
        <v>-</v>
      </c>
      <c r="DC49" s="101" t="str">
        <f t="shared" si="108"/>
        <v>-</v>
      </c>
      <c r="DD49" s="101" t="str">
        <f t="shared" si="108"/>
        <v>-</v>
      </c>
      <c r="DE49" s="101" t="str">
        <f t="shared" si="108"/>
        <v>-</v>
      </c>
      <c r="DF49" s="101" t="str">
        <f t="shared" ref="DF49:DO52" si="109">IF(AND(DF$1&gt;=$H49,DF$1&lt;($H49+$I49)),ROUND($F49/$I49,0),"-")</f>
        <v>-</v>
      </c>
      <c r="DG49" s="101" t="str">
        <f t="shared" si="109"/>
        <v>-</v>
      </c>
      <c r="DH49" s="101" t="str">
        <f t="shared" si="109"/>
        <v>-</v>
      </c>
      <c r="DI49" s="101" t="str">
        <f t="shared" si="109"/>
        <v>-</v>
      </c>
      <c r="DJ49" s="101" t="str">
        <f t="shared" si="109"/>
        <v>-</v>
      </c>
      <c r="DK49" s="101" t="str">
        <f t="shared" si="109"/>
        <v>-</v>
      </c>
      <c r="DL49" s="101" t="str">
        <f t="shared" si="109"/>
        <v>-</v>
      </c>
      <c r="DM49" s="101" t="str">
        <f t="shared" si="109"/>
        <v>-</v>
      </c>
      <c r="DN49" s="101" t="str">
        <f t="shared" si="109"/>
        <v>-</v>
      </c>
      <c r="DO49" s="101" t="str">
        <f t="shared" si="109"/>
        <v>-</v>
      </c>
      <c r="DP49" s="101" t="str">
        <f t="shared" ref="DP49:DU52" si="110">IF(AND(DP$1&gt;=$H49,DP$1&lt;($H49+$I49)),ROUND($F49/$I49,0),"-")</f>
        <v>-</v>
      </c>
      <c r="DQ49" s="101" t="str">
        <f t="shared" si="110"/>
        <v>-</v>
      </c>
      <c r="DR49" s="101" t="str">
        <f t="shared" si="110"/>
        <v>-</v>
      </c>
      <c r="DS49" s="101" t="str">
        <f t="shared" si="110"/>
        <v>-</v>
      </c>
      <c r="DT49" s="101" t="str">
        <f t="shared" si="110"/>
        <v>-</v>
      </c>
      <c r="DU49" s="101" t="str">
        <f t="shared" si="110"/>
        <v>-</v>
      </c>
    </row>
    <row r="50" spans="1:127">
      <c r="A50" s="510"/>
      <c r="B50" s="509"/>
      <c r="C50" s="509"/>
      <c r="D50" s="466"/>
      <c r="E50" s="109" t="s">
        <v>65</v>
      </c>
      <c r="F50" s="102" t="e">
        <f>SUM('BESS 12'!S299,'BESS 12'!S301:S302,'BESS 12'!S305:S307)</f>
        <v>#VALUE!</v>
      </c>
      <c r="G50" s="165">
        <f>H50+20</f>
        <v>46256</v>
      </c>
      <c r="H50" s="110">
        <f>$G$34-5</f>
        <v>46236</v>
      </c>
      <c r="I50" s="102">
        <f>G50-H50</f>
        <v>20</v>
      </c>
      <c r="J50" s="507"/>
      <c r="K50" s="476"/>
      <c r="L50" s="101" t="str">
        <f t="shared" si="99"/>
        <v>-</v>
      </c>
      <c r="M50" s="101" t="str">
        <f t="shared" si="99"/>
        <v>-</v>
      </c>
      <c r="N50" s="101" t="str">
        <f t="shared" si="99"/>
        <v>-</v>
      </c>
      <c r="O50" s="101" t="str">
        <f t="shared" si="99"/>
        <v>-</v>
      </c>
      <c r="P50" s="101" t="str">
        <f t="shared" si="99"/>
        <v>-</v>
      </c>
      <c r="Q50" s="101" t="str">
        <f t="shared" si="99"/>
        <v>-</v>
      </c>
      <c r="R50" s="101" t="str">
        <f t="shared" si="99"/>
        <v>-</v>
      </c>
      <c r="S50" s="101" t="str">
        <f t="shared" si="99"/>
        <v>-</v>
      </c>
      <c r="T50" s="101" t="str">
        <f t="shared" si="99"/>
        <v>-</v>
      </c>
      <c r="U50" s="101" t="str">
        <f t="shared" si="99"/>
        <v>-</v>
      </c>
      <c r="V50" s="101" t="str">
        <f t="shared" si="100"/>
        <v>-</v>
      </c>
      <c r="W50" s="101" t="str">
        <f t="shared" si="100"/>
        <v>-</v>
      </c>
      <c r="X50" s="101" t="str">
        <f t="shared" si="100"/>
        <v>-</v>
      </c>
      <c r="Y50" s="101" t="str">
        <f t="shared" si="100"/>
        <v>-</v>
      </c>
      <c r="Z50" s="101" t="str">
        <f t="shared" si="100"/>
        <v>-</v>
      </c>
      <c r="AA50" s="101" t="str">
        <f t="shared" si="100"/>
        <v>-</v>
      </c>
      <c r="AB50" s="101" t="str">
        <f t="shared" si="100"/>
        <v>-</v>
      </c>
      <c r="AC50" s="101" t="str">
        <f t="shared" si="100"/>
        <v>-</v>
      </c>
      <c r="AD50" s="101" t="str">
        <f t="shared" si="100"/>
        <v>-</v>
      </c>
      <c r="AE50" s="101" t="str">
        <f t="shared" si="100"/>
        <v>-</v>
      </c>
      <c r="AF50" s="101" t="str">
        <f t="shared" si="101"/>
        <v>-</v>
      </c>
      <c r="AG50" s="101" t="str">
        <f t="shared" si="101"/>
        <v>-</v>
      </c>
      <c r="AH50" s="101" t="str">
        <f t="shared" si="101"/>
        <v>-</v>
      </c>
      <c r="AI50" s="101" t="str">
        <f t="shared" si="101"/>
        <v>-</v>
      </c>
      <c r="AJ50" s="101" t="str">
        <f t="shared" si="101"/>
        <v>-</v>
      </c>
      <c r="AK50" s="101" t="str">
        <f t="shared" si="101"/>
        <v>-</v>
      </c>
      <c r="AL50" s="101" t="str">
        <f t="shared" si="101"/>
        <v>-</v>
      </c>
      <c r="AM50" s="101" t="str">
        <f t="shared" si="101"/>
        <v>-</v>
      </c>
      <c r="AN50" s="101" t="str">
        <f t="shared" si="101"/>
        <v>-</v>
      </c>
      <c r="AO50" s="101" t="str">
        <f t="shared" si="101"/>
        <v>-</v>
      </c>
      <c r="AP50" s="101" t="str">
        <f t="shared" si="102"/>
        <v>-</v>
      </c>
      <c r="AQ50" s="101" t="str">
        <f t="shared" si="102"/>
        <v>-</v>
      </c>
      <c r="AR50" s="101" t="str">
        <f t="shared" si="102"/>
        <v>-</v>
      </c>
      <c r="AS50" s="101" t="str">
        <f t="shared" si="102"/>
        <v>-</v>
      </c>
      <c r="AT50" s="101" t="str">
        <f t="shared" si="102"/>
        <v>-</v>
      </c>
      <c r="AU50" s="101" t="str">
        <f t="shared" si="102"/>
        <v>-</v>
      </c>
      <c r="AV50" s="101" t="str">
        <f t="shared" si="102"/>
        <v>-</v>
      </c>
      <c r="AW50" s="101" t="str">
        <f t="shared" si="102"/>
        <v>-</v>
      </c>
      <c r="AX50" s="101" t="str">
        <f t="shared" si="102"/>
        <v>-</v>
      </c>
      <c r="AY50" s="101" t="str">
        <f t="shared" si="102"/>
        <v>-</v>
      </c>
      <c r="AZ50" s="101" t="str">
        <f t="shared" si="103"/>
        <v>-</v>
      </c>
      <c r="BA50" s="101" t="str">
        <f t="shared" si="103"/>
        <v>-</v>
      </c>
      <c r="BB50" s="101" t="str">
        <f t="shared" si="103"/>
        <v>-</v>
      </c>
      <c r="BC50" s="101" t="str">
        <f t="shared" si="103"/>
        <v>-</v>
      </c>
      <c r="BD50" s="101" t="str">
        <f t="shared" si="103"/>
        <v>-</v>
      </c>
      <c r="BE50" s="101" t="str">
        <f t="shared" si="103"/>
        <v>-</v>
      </c>
      <c r="BF50" s="101" t="str">
        <f t="shared" si="103"/>
        <v>-</v>
      </c>
      <c r="BG50" s="101" t="str">
        <f t="shared" si="103"/>
        <v>-</v>
      </c>
      <c r="BH50" s="101" t="str">
        <f t="shared" si="103"/>
        <v>-</v>
      </c>
      <c r="BI50" s="101" t="str">
        <f t="shared" si="103"/>
        <v>-</v>
      </c>
      <c r="BJ50" s="101" t="str">
        <f t="shared" si="104"/>
        <v>-</v>
      </c>
      <c r="BK50" s="101" t="str">
        <f t="shared" si="104"/>
        <v>-</v>
      </c>
      <c r="BL50" s="101" t="str">
        <f t="shared" si="104"/>
        <v>-</v>
      </c>
      <c r="BM50" s="101" t="str">
        <f t="shared" si="104"/>
        <v>-</v>
      </c>
      <c r="BN50" s="101" t="str">
        <f t="shared" si="104"/>
        <v>-</v>
      </c>
      <c r="BO50" s="101" t="str">
        <f t="shared" si="104"/>
        <v>-</v>
      </c>
      <c r="BP50" s="101" t="str">
        <f t="shared" si="104"/>
        <v>-</v>
      </c>
      <c r="BQ50" s="101" t="str">
        <f t="shared" si="104"/>
        <v>-</v>
      </c>
      <c r="BR50" s="101" t="str">
        <f t="shared" si="104"/>
        <v>-</v>
      </c>
      <c r="BS50" s="101" t="str">
        <f t="shared" si="104"/>
        <v>-</v>
      </c>
      <c r="BT50" s="101" t="str">
        <f t="shared" si="105"/>
        <v>-</v>
      </c>
      <c r="BU50" s="101" t="str">
        <f t="shared" si="105"/>
        <v>-</v>
      </c>
      <c r="BV50" s="101" t="str">
        <f t="shared" si="105"/>
        <v>-</v>
      </c>
      <c r="BW50" s="101" t="str">
        <f t="shared" si="105"/>
        <v>-</v>
      </c>
      <c r="BX50" s="101" t="str">
        <f t="shared" si="105"/>
        <v>-</v>
      </c>
      <c r="BY50" s="101" t="str">
        <f t="shared" si="105"/>
        <v>-</v>
      </c>
      <c r="BZ50" s="101" t="str">
        <f t="shared" si="105"/>
        <v>-</v>
      </c>
      <c r="CA50" s="101" t="str">
        <f t="shared" si="105"/>
        <v>-</v>
      </c>
      <c r="CB50" s="101" t="str">
        <f t="shared" si="105"/>
        <v>-</v>
      </c>
      <c r="CC50" s="101" t="str">
        <f t="shared" si="105"/>
        <v>-</v>
      </c>
      <c r="CD50" s="101" t="str">
        <f t="shared" si="106"/>
        <v>-</v>
      </c>
      <c r="CE50" s="101" t="str">
        <f t="shared" si="106"/>
        <v>-</v>
      </c>
      <c r="CF50" s="101" t="str">
        <f t="shared" si="106"/>
        <v>-</v>
      </c>
      <c r="CG50" s="101" t="str">
        <f t="shared" si="106"/>
        <v>-</v>
      </c>
      <c r="CH50" s="101" t="str">
        <f t="shared" si="106"/>
        <v>-</v>
      </c>
      <c r="CI50" s="101" t="str">
        <f t="shared" si="106"/>
        <v>-</v>
      </c>
      <c r="CJ50" s="101" t="str">
        <f t="shared" si="106"/>
        <v>-</v>
      </c>
      <c r="CK50" s="101" t="str">
        <f t="shared" si="106"/>
        <v>-</v>
      </c>
      <c r="CL50" s="101" t="str">
        <f t="shared" si="106"/>
        <v>-</v>
      </c>
      <c r="CM50" s="101" t="str">
        <f t="shared" si="106"/>
        <v>-</v>
      </c>
      <c r="CN50" s="101" t="str">
        <f t="shared" si="107"/>
        <v>-</v>
      </c>
      <c r="CO50" s="101" t="str">
        <f t="shared" si="107"/>
        <v>-</v>
      </c>
      <c r="CP50" s="101" t="str">
        <f t="shared" si="107"/>
        <v>-</v>
      </c>
      <c r="CQ50" s="101" t="str">
        <f t="shared" si="107"/>
        <v>-</v>
      </c>
      <c r="CR50" s="101" t="str">
        <f t="shared" si="107"/>
        <v>-</v>
      </c>
      <c r="CS50" s="101" t="str">
        <f t="shared" si="107"/>
        <v>-</v>
      </c>
      <c r="CV50" s="101" t="e">
        <f t="shared" si="108"/>
        <v>#VALUE!</v>
      </c>
      <c r="CW50" s="101" t="str">
        <f t="shared" si="108"/>
        <v>-</v>
      </c>
      <c r="CX50" s="101" t="str">
        <f t="shared" si="108"/>
        <v>-</v>
      </c>
      <c r="CY50" s="101" t="str">
        <f t="shared" si="108"/>
        <v>-</v>
      </c>
      <c r="CZ50" s="101" t="str">
        <f t="shared" si="108"/>
        <v>-</v>
      </c>
      <c r="DA50" s="101" t="str">
        <f t="shared" si="108"/>
        <v>-</v>
      </c>
      <c r="DB50" s="101" t="str">
        <f t="shared" si="108"/>
        <v>-</v>
      </c>
      <c r="DC50" s="101" t="str">
        <f t="shared" si="108"/>
        <v>-</v>
      </c>
      <c r="DD50" s="101" t="str">
        <f t="shared" si="108"/>
        <v>-</v>
      </c>
      <c r="DE50" s="101" t="str">
        <f t="shared" si="108"/>
        <v>-</v>
      </c>
      <c r="DF50" s="101" t="str">
        <f t="shared" si="109"/>
        <v>-</v>
      </c>
      <c r="DG50" s="101" t="str">
        <f t="shared" si="109"/>
        <v>-</v>
      </c>
      <c r="DH50" s="101" t="str">
        <f t="shared" si="109"/>
        <v>-</v>
      </c>
      <c r="DI50" s="101" t="str">
        <f t="shared" si="109"/>
        <v>-</v>
      </c>
      <c r="DJ50" s="101" t="str">
        <f t="shared" si="109"/>
        <v>-</v>
      </c>
      <c r="DK50" s="101" t="str">
        <f t="shared" si="109"/>
        <v>-</v>
      </c>
      <c r="DL50" s="101" t="str">
        <f t="shared" si="109"/>
        <v>-</v>
      </c>
      <c r="DM50" s="101" t="str">
        <f t="shared" si="109"/>
        <v>-</v>
      </c>
      <c r="DN50" s="101" t="str">
        <f t="shared" si="109"/>
        <v>-</v>
      </c>
      <c r="DO50" s="101" t="str">
        <f t="shared" si="109"/>
        <v>-</v>
      </c>
      <c r="DP50" s="101" t="str">
        <f t="shared" si="110"/>
        <v>-</v>
      </c>
      <c r="DQ50" s="101" t="str">
        <f t="shared" si="110"/>
        <v>-</v>
      </c>
      <c r="DR50" s="101" t="str">
        <f t="shared" si="110"/>
        <v>-</v>
      </c>
      <c r="DS50" s="101" t="str">
        <f t="shared" si="110"/>
        <v>-</v>
      </c>
      <c r="DT50" s="101" t="str">
        <f t="shared" si="110"/>
        <v>-</v>
      </c>
      <c r="DU50" s="101" t="str">
        <f t="shared" si="110"/>
        <v>-</v>
      </c>
    </row>
    <row r="51" spans="1:127">
      <c r="A51" s="510"/>
      <c r="B51" s="509"/>
      <c r="C51" s="509"/>
      <c r="D51" s="466"/>
      <c r="E51" s="109" t="s">
        <v>66</v>
      </c>
      <c r="F51" s="102" t="e">
        <f>SUM('BESS 12'!S300,'BESS 12'!S303:S304,'BESS 12'!S308:S309)</f>
        <v>#VALUE!</v>
      </c>
      <c r="G51" s="165">
        <f>H51+20</f>
        <v>46263</v>
      </c>
      <c r="H51" s="110">
        <f>$G$35-5</f>
        <v>46243</v>
      </c>
      <c r="I51" s="102">
        <f>G51-H51</f>
        <v>20</v>
      </c>
      <c r="J51" s="507"/>
      <c r="K51" s="476"/>
      <c r="L51" s="101" t="str">
        <f t="shared" si="99"/>
        <v>-</v>
      </c>
      <c r="M51" s="101" t="str">
        <f t="shared" si="99"/>
        <v>-</v>
      </c>
      <c r="N51" s="101" t="str">
        <f t="shared" si="99"/>
        <v>-</v>
      </c>
      <c r="O51" s="101" t="str">
        <f t="shared" si="99"/>
        <v>-</v>
      </c>
      <c r="P51" s="101" t="str">
        <f t="shared" si="99"/>
        <v>-</v>
      </c>
      <c r="Q51" s="101" t="str">
        <f t="shared" si="99"/>
        <v>-</v>
      </c>
      <c r="R51" s="101" t="str">
        <f t="shared" si="99"/>
        <v>-</v>
      </c>
      <c r="S51" s="101" t="str">
        <f t="shared" si="99"/>
        <v>-</v>
      </c>
      <c r="T51" s="101" t="str">
        <f t="shared" si="99"/>
        <v>-</v>
      </c>
      <c r="U51" s="101" t="str">
        <f t="shared" si="99"/>
        <v>-</v>
      </c>
      <c r="V51" s="101" t="str">
        <f t="shared" si="100"/>
        <v>-</v>
      </c>
      <c r="W51" s="101" t="str">
        <f t="shared" si="100"/>
        <v>-</v>
      </c>
      <c r="X51" s="101" t="str">
        <f t="shared" si="100"/>
        <v>-</v>
      </c>
      <c r="Y51" s="101" t="str">
        <f t="shared" si="100"/>
        <v>-</v>
      </c>
      <c r="Z51" s="101" t="str">
        <f t="shared" si="100"/>
        <v>-</v>
      </c>
      <c r="AA51" s="101" t="str">
        <f t="shared" si="100"/>
        <v>-</v>
      </c>
      <c r="AB51" s="101" t="str">
        <f t="shared" si="100"/>
        <v>-</v>
      </c>
      <c r="AC51" s="101" t="str">
        <f t="shared" si="100"/>
        <v>-</v>
      </c>
      <c r="AD51" s="101" t="str">
        <f t="shared" si="100"/>
        <v>-</v>
      </c>
      <c r="AE51" s="101" t="str">
        <f t="shared" si="100"/>
        <v>-</v>
      </c>
      <c r="AF51" s="101" t="str">
        <f t="shared" si="101"/>
        <v>-</v>
      </c>
      <c r="AG51" s="101" t="str">
        <f t="shared" si="101"/>
        <v>-</v>
      </c>
      <c r="AH51" s="101" t="str">
        <f t="shared" si="101"/>
        <v>-</v>
      </c>
      <c r="AI51" s="101" t="str">
        <f t="shared" si="101"/>
        <v>-</v>
      </c>
      <c r="AJ51" s="101" t="str">
        <f t="shared" si="101"/>
        <v>-</v>
      </c>
      <c r="AK51" s="101" t="str">
        <f t="shared" si="101"/>
        <v>-</v>
      </c>
      <c r="AL51" s="101" t="str">
        <f t="shared" si="101"/>
        <v>-</v>
      </c>
      <c r="AM51" s="101" t="str">
        <f t="shared" si="101"/>
        <v>-</v>
      </c>
      <c r="AN51" s="101" t="str">
        <f t="shared" si="101"/>
        <v>-</v>
      </c>
      <c r="AO51" s="101" t="str">
        <f t="shared" si="101"/>
        <v>-</v>
      </c>
      <c r="AP51" s="101" t="str">
        <f t="shared" si="102"/>
        <v>-</v>
      </c>
      <c r="AQ51" s="101" t="str">
        <f t="shared" si="102"/>
        <v>-</v>
      </c>
      <c r="AR51" s="101" t="str">
        <f t="shared" si="102"/>
        <v>-</v>
      </c>
      <c r="AS51" s="101" t="str">
        <f t="shared" si="102"/>
        <v>-</v>
      </c>
      <c r="AT51" s="101" t="str">
        <f t="shared" si="102"/>
        <v>-</v>
      </c>
      <c r="AU51" s="101" t="str">
        <f t="shared" si="102"/>
        <v>-</v>
      </c>
      <c r="AV51" s="101" t="str">
        <f t="shared" si="102"/>
        <v>-</v>
      </c>
      <c r="AW51" s="101" t="str">
        <f t="shared" si="102"/>
        <v>-</v>
      </c>
      <c r="AX51" s="101" t="str">
        <f t="shared" si="102"/>
        <v>-</v>
      </c>
      <c r="AY51" s="101" t="str">
        <f t="shared" si="102"/>
        <v>-</v>
      </c>
      <c r="AZ51" s="101" t="str">
        <f t="shared" si="103"/>
        <v>-</v>
      </c>
      <c r="BA51" s="101" t="str">
        <f t="shared" si="103"/>
        <v>-</v>
      </c>
      <c r="BB51" s="101" t="str">
        <f t="shared" si="103"/>
        <v>-</v>
      </c>
      <c r="BC51" s="101" t="str">
        <f t="shared" si="103"/>
        <v>-</v>
      </c>
      <c r="BD51" s="101" t="str">
        <f t="shared" si="103"/>
        <v>-</v>
      </c>
      <c r="BE51" s="101" t="str">
        <f t="shared" si="103"/>
        <v>-</v>
      </c>
      <c r="BF51" s="101" t="str">
        <f t="shared" si="103"/>
        <v>-</v>
      </c>
      <c r="BG51" s="101" t="str">
        <f t="shared" si="103"/>
        <v>-</v>
      </c>
      <c r="BH51" s="101" t="str">
        <f t="shared" si="103"/>
        <v>-</v>
      </c>
      <c r="BI51" s="101" t="str">
        <f t="shared" si="103"/>
        <v>-</v>
      </c>
      <c r="BJ51" s="101" t="str">
        <f t="shared" si="104"/>
        <v>-</v>
      </c>
      <c r="BK51" s="101" t="str">
        <f t="shared" si="104"/>
        <v>-</v>
      </c>
      <c r="BL51" s="101" t="str">
        <f t="shared" si="104"/>
        <v>-</v>
      </c>
      <c r="BM51" s="101" t="str">
        <f t="shared" si="104"/>
        <v>-</v>
      </c>
      <c r="BN51" s="101" t="str">
        <f t="shared" si="104"/>
        <v>-</v>
      </c>
      <c r="BO51" s="101" t="str">
        <f t="shared" si="104"/>
        <v>-</v>
      </c>
      <c r="BP51" s="101" t="str">
        <f t="shared" si="104"/>
        <v>-</v>
      </c>
      <c r="BQ51" s="101" t="str">
        <f t="shared" si="104"/>
        <v>-</v>
      </c>
      <c r="BR51" s="101" t="str">
        <f t="shared" si="104"/>
        <v>-</v>
      </c>
      <c r="BS51" s="101" t="str">
        <f t="shared" si="104"/>
        <v>-</v>
      </c>
      <c r="BT51" s="101" t="str">
        <f t="shared" si="105"/>
        <v>-</v>
      </c>
      <c r="BU51" s="101" t="str">
        <f t="shared" si="105"/>
        <v>-</v>
      </c>
      <c r="BV51" s="101" t="str">
        <f t="shared" si="105"/>
        <v>-</v>
      </c>
      <c r="BW51" s="101" t="str">
        <f t="shared" si="105"/>
        <v>-</v>
      </c>
      <c r="BX51" s="101" t="str">
        <f t="shared" si="105"/>
        <v>-</v>
      </c>
      <c r="BY51" s="101" t="str">
        <f t="shared" si="105"/>
        <v>-</v>
      </c>
      <c r="BZ51" s="101" t="str">
        <f t="shared" si="105"/>
        <v>-</v>
      </c>
      <c r="CA51" s="101" t="str">
        <f t="shared" si="105"/>
        <v>-</v>
      </c>
      <c r="CB51" s="101" t="str">
        <f t="shared" si="105"/>
        <v>-</v>
      </c>
      <c r="CC51" s="101" t="str">
        <f t="shared" si="105"/>
        <v>-</v>
      </c>
      <c r="CD51" s="101" t="str">
        <f t="shared" si="106"/>
        <v>-</v>
      </c>
      <c r="CE51" s="101" t="str">
        <f t="shared" si="106"/>
        <v>-</v>
      </c>
      <c r="CF51" s="101" t="str">
        <f t="shared" si="106"/>
        <v>-</v>
      </c>
      <c r="CG51" s="101" t="str">
        <f t="shared" si="106"/>
        <v>-</v>
      </c>
      <c r="CH51" s="101" t="str">
        <f t="shared" si="106"/>
        <v>-</v>
      </c>
      <c r="CI51" s="101" t="str">
        <f t="shared" si="106"/>
        <v>-</v>
      </c>
      <c r="CJ51" s="101" t="str">
        <f t="shared" si="106"/>
        <v>-</v>
      </c>
      <c r="CK51" s="101" t="str">
        <f t="shared" si="106"/>
        <v>-</v>
      </c>
      <c r="CL51" s="101" t="str">
        <f t="shared" si="106"/>
        <v>-</v>
      </c>
      <c r="CM51" s="101" t="str">
        <f t="shared" si="106"/>
        <v>-</v>
      </c>
      <c r="CN51" s="101" t="str">
        <f t="shared" si="107"/>
        <v>-</v>
      </c>
      <c r="CO51" s="101" t="str">
        <f t="shared" si="107"/>
        <v>-</v>
      </c>
      <c r="CP51" s="101" t="str">
        <f t="shared" si="107"/>
        <v>-</v>
      </c>
      <c r="CQ51" s="101" t="str">
        <f t="shared" si="107"/>
        <v>-</v>
      </c>
      <c r="CR51" s="101" t="str">
        <f t="shared" si="107"/>
        <v>-</v>
      </c>
      <c r="CS51" s="101" t="str">
        <f t="shared" si="107"/>
        <v>-</v>
      </c>
      <c r="CV51" s="101" t="e">
        <f t="shared" si="108"/>
        <v>#VALUE!</v>
      </c>
      <c r="CW51" s="101" t="str">
        <f t="shared" si="108"/>
        <v>-</v>
      </c>
      <c r="CX51" s="101" t="str">
        <f t="shared" si="108"/>
        <v>-</v>
      </c>
      <c r="CY51" s="101" t="str">
        <f t="shared" si="108"/>
        <v>-</v>
      </c>
      <c r="CZ51" s="101" t="str">
        <f t="shared" si="108"/>
        <v>-</v>
      </c>
      <c r="DA51" s="101" t="str">
        <f t="shared" si="108"/>
        <v>-</v>
      </c>
      <c r="DB51" s="101" t="str">
        <f t="shared" si="108"/>
        <v>-</v>
      </c>
      <c r="DC51" s="101" t="str">
        <f t="shared" si="108"/>
        <v>-</v>
      </c>
      <c r="DD51" s="101" t="str">
        <f t="shared" si="108"/>
        <v>-</v>
      </c>
      <c r="DE51" s="101" t="str">
        <f t="shared" si="108"/>
        <v>-</v>
      </c>
      <c r="DF51" s="101" t="str">
        <f t="shared" si="109"/>
        <v>-</v>
      </c>
      <c r="DG51" s="101" t="str">
        <f t="shared" si="109"/>
        <v>-</v>
      </c>
      <c r="DH51" s="101" t="str">
        <f t="shared" si="109"/>
        <v>-</v>
      </c>
      <c r="DI51" s="101" t="str">
        <f t="shared" si="109"/>
        <v>-</v>
      </c>
      <c r="DJ51" s="101" t="str">
        <f t="shared" si="109"/>
        <v>-</v>
      </c>
      <c r="DK51" s="101" t="str">
        <f t="shared" si="109"/>
        <v>-</v>
      </c>
      <c r="DL51" s="101" t="str">
        <f t="shared" si="109"/>
        <v>-</v>
      </c>
      <c r="DM51" s="101" t="str">
        <f t="shared" si="109"/>
        <v>-</v>
      </c>
      <c r="DN51" s="101" t="str">
        <f t="shared" si="109"/>
        <v>-</v>
      </c>
      <c r="DO51" s="101" t="str">
        <f t="shared" si="109"/>
        <v>-</v>
      </c>
      <c r="DP51" s="101" t="str">
        <f t="shared" si="110"/>
        <v>-</v>
      </c>
      <c r="DQ51" s="101" t="str">
        <f t="shared" si="110"/>
        <v>-</v>
      </c>
      <c r="DR51" s="101" t="str">
        <f t="shared" si="110"/>
        <v>-</v>
      </c>
      <c r="DS51" s="101" t="str">
        <f t="shared" si="110"/>
        <v>-</v>
      </c>
      <c r="DT51" s="101" t="str">
        <f t="shared" si="110"/>
        <v>-</v>
      </c>
      <c r="DU51" s="101" t="str">
        <f t="shared" si="110"/>
        <v>-</v>
      </c>
    </row>
    <row r="52" spans="1:127">
      <c r="A52" s="510"/>
      <c r="B52" s="509"/>
      <c r="C52" s="509"/>
      <c r="D52" s="466"/>
      <c r="E52" s="109" t="s">
        <v>67</v>
      </c>
      <c r="F52" s="102" t="e">
        <f>SUM('BESS 12'!S311:S320)</f>
        <v>#VALUE!</v>
      </c>
      <c r="G52" s="165" t="e">
        <f>B48-3</f>
        <v>#VALUE!</v>
      </c>
      <c r="H52" s="110" t="e">
        <f>G52-14</f>
        <v>#VALUE!</v>
      </c>
      <c r="I52" s="102" t="e">
        <f>G52-H52</f>
        <v>#VALUE!</v>
      </c>
      <c r="J52" s="507"/>
      <c r="K52" s="476"/>
      <c r="L52" s="101" t="e">
        <f t="shared" si="99"/>
        <v>#VALUE!</v>
      </c>
      <c r="M52" s="101" t="e">
        <f t="shared" si="99"/>
        <v>#VALUE!</v>
      </c>
      <c r="N52" s="101" t="e">
        <f t="shared" si="99"/>
        <v>#VALUE!</v>
      </c>
      <c r="O52" s="101" t="e">
        <f t="shared" si="99"/>
        <v>#VALUE!</v>
      </c>
      <c r="P52" s="101" t="e">
        <f t="shared" si="99"/>
        <v>#VALUE!</v>
      </c>
      <c r="Q52" s="101" t="e">
        <f t="shared" si="99"/>
        <v>#VALUE!</v>
      </c>
      <c r="R52" s="101" t="e">
        <f t="shared" si="99"/>
        <v>#VALUE!</v>
      </c>
      <c r="S52" s="101" t="e">
        <f t="shared" si="99"/>
        <v>#VALUE!</v>
      </c>
      <c r="T52" s="101" t="e">
        <f t="shared" si="99"/>
        <v>#VALUE!</v>
      </c>
      <c r="U52" s="101" t="e">
        <f t="shared" si="99"/>
        <v>#VALUE!</v>
      </c>
      <c r="V52" s="101" t="e">
        <f t="shared" si="100"/>
        <v>#VALUE!</v>
      </c>
      <c r="W52" s="101" t="e">
        <f t="shared" si="100"/>
        <v>#VALUE!</v>
      </c>
      <c r="X52" s="101" t="e">
        <f t="shared" si="100"/>
        <v>#VALUE!</v>
      </c>
      <c r="Y52" s="101" t="e">
        <f t="shared" si="100"/>
        <v>#VALUE!</v>
      </c>
      <c r="Z52" s="101" t="e">
        <f t="shared" si="100"/>
        <v>#VALUE!</v>
      </c>
      <c r="AA52" s="101" t="e">
        <f t="shared" si="100"/>
        <v>#VALUE!</v>
      </c>
      <c r="AB52" s="101" t="e">
        <f t="shared" si="100"/>
        <v>#VALUE!</v>
      </c>
      <c r="AC52" s="101" t="e">
        <f t="shared" si="100"/>
        <v>#VALUE!</v>
      </c>
      <c r="AD52" s="101" t="e">
        <f t="shared" si="100"/>
        <v>#VALUE!</v>
      </c>
      <c r="AE52" s="132" t="e">
        <f t="shared" si="100"/>
        <v>#VALUE!</v>
      </c>
      <c r="AF52" s="132" t="e">
        <f t="shared" si="101"/>
        <v>#VALUE!</v>
      </c>
      <c r="AG52" s="132" t="e">
        <f t="shared" si="101"/>
        <v>#VALUE!</v>
      </c>
      <c r="AH52" s="132" t="e">
        <f t="shared" si="101"/>
        <v>#VALUE!</v>
      </c>
      <c r="AI52" s="132" t="e">
        <f t="shared" si="101"/>
        <v>#VALUE!</v>
      </c>
      <c r="AJ52" s="132" t="e">
        <f t="shared" si="101"/>
        <v>#VALUE!</v>
      </c>
      <c r="AK52" s="132" t="e">
        <f t="shared" si="101"/>
        <v>#VALUE!</v>
      </c>
      <c r="AL52" s="132" t="e">
        <f t="shared" si="101"/>
        <v>#VALUE!</v>
      </c>
      <c r="AM52" s="132" t="e">
        <f t="shared" si="101"/>
        <v>#VALUE!</v>
      </c>
      <c r="AN52" s="132" t="e">
        <f t="shared" si="101"/>
        <v>#VALUE!</v>
      </c>
      <c r="AO52" s="132" t="e">
        <f t="shared" si="101"/>
        <v>#VALUE!</v>
      </c>
      <c r="AP52" s="132" t="e">
        <f t="shared" si="102"/>
        <v>#VALUE!</v>
      </c>
      <c r="AQ52" s="132" t="e">
        <f t="shared" si="102"/>
        <v>#VALUE!</v>
      </c>
      <c r="AR52" s="132" t="e">
        <f t="shared" si="102"/>
        <v>#VALUE!</v>
      </c>
      <c r="AS52" s="132" t="e">
        <f t="shared" si="102"/>
        <v>#VALUE!</v>
      </c>
      <c r="AT52" s="132" t="e">
        <f t="shared" si="102"/>
        <v>#VALUE!</v>
      </c>
      <c r="AU52" s="132" t="e">
        <f t="shared" si="102"/>
        <v>#VALUE!</v>
      </c>
      <c r="AV52" s="132" t="e">
        <f t="shared" si="102"/>
        <v>#VALUE!</v>
      </c>
      <c r="AW52" s="132" t="e">
        <f t="shared" si="102"/>
        <v>#VALUE!</v>
      </c>
      <c r="AX52" s="132" t="e">
        <f t="shared" si="102"/>
        <v>#VALUE!</v>
      </c>
      <c r="AY52" s="132" t="e">
        <f t="shared" si="102"/>
        <v>#VALUE!</v>
      </c>
      <c r="AZ52" s="132" t="e">
        <f t="shared" si="103"/>
        <v>#VALUE!</v>
      </c>
      <c r="BA52" s="132" t="e">
        <f t="shared" si="103"/>
        <v>#VALUE!</v>
      </c>
      <c r="BB52" s="132" t="e">
        <f t="shared" si="103"/>
        <v>#VALUE!</v>
      </c>
      <c r="BC52" s="132" t="e">
        <f t="shared" si="103"/>
        <v>#VALUE!</v>
      </c>
      <c r="BD52" s="132" t="e">
        <f t="shared" si="103"/>
        <v>#VALUE!</v>
      </c>
      <c r="BE52" s="132" t="e">
        <f t="shared" si="103"/>
        <v>#VALUE!</v>
      </c>
      <c r="BF52" s="132" t="e">
        <f t="shared" si="103"/>
        <v>#VALUE!</v>
      </c>
      <c r="BG52" s="132" t="e">
        <f t="shared" si="103"/>
        <v>#VALUE!</v>
      </c>
      <c r="BH52" s="132" t="e">
        <f t="shared" si="103"/>
        <v>#VALUE!</v>
      </c>
      <c r="BI52" s="132" t="e">
        <f t="shared" si="103"/>
        <v>#VALUE!</v>
      </c>
      <c r="BJ52" s="132" t="e">
        <f t="shared" si="104"/>
        <v>#VALUE!</v>
      </c>
      <c r="BK52" s="132" t="e">
        <f t="shared" si="104"/>
        <v>#VALUE!</v>
      </c>
      <c r="BL52" s="132" t="e">
        <f t="shared" si="104"/>
        <v>#VALUE!</v>
      </c>
      <c r="BM52" s="132" t="e">
        <f t="shared" si="104"/>
        <v>#VALUE!</v>
      </c>
      <c r="BN52" s="132" t="e">
        <f t="shared" si="104"/>
        <v>#VALUE!</v>
      </c>
      <c r="BO52" s="132" t="e">
        <f t="shared" si="104"/>
        <v>#VALUE!</v>
      </c>
      <c r="BP52" s="132" t="e">
        <f t="shared" si="104"/>
        <v>#VALUE!</v>
      </c>
      <c r="BQ52" s="132" t="e">
        <f t="shared" si="104"/>
        <v>#VALUE!</v>
      </c>
      <c r="BR52" s="132" t="e">
        <f t="shared" si="104"/>
        <v>#VALUE!</v>
      </c>
      <c r="BS52" s="132" t="e">
        <f t="shared" si="104"/>
        <v>#VALUE!</v>
      </c>
      <c r="BT52" s="132" t="e">
        <f t="shared" si="105"/>
        <v>#VALUE!</v>
      </c>
      <c r="BU52" s="132" t="e">
        <f t="shared" si="105"/>
        <v>#VALUE!</v>
      </c>
      <c r="BV52" s="132" t="e">
        <f t="shared" si="105"/>
        <v>#VALUE!</v>
      </c>
      <c r="BW52" s="132" t="e">
        <f t="shared" si="105"/>
        <v>#VALUE!</v>
      </c>
      <c r="BX52" s="132" t="e">
        <f t="shared" si="105"/>
        <v>#VALUE!</v>
      </c>
      <c r="BY52" s="132" t="e">
        <f t="shared" si="105"/>
        <v>#VALUE!</v>
      </c>
      <c r="BZ52" s="132" t="e">
        <f t="shared" si="105"/>
        <v>#VALUE!</v>
      </c>
      <c r="CA52" s="132" t="e">
        <f t="shared" si="105"/>
        <v>#VALUE!</v>
      </c>
      <c r="CB52" s="132" t="e">
        <f t="shared" si="105"/>
        <v>#VALUE!</v>
      </c>
      <c r="CC52" s="132" t="e">
        <f t="shared" si="105"/>
        <v>#VALUE!</v>
      </c>
      <c r="CD52" s="132" t="e">
        <f t="shared" si="106"/>
        <v>#VALUE!</v>
      </c>
      <c r="CE52" s="132" t="e">
        <f t="shared" si="106"/>
        <v>#VALUE!</v>
      </c>
      <c r="CF52" s="132" t="e">
        <f t="shared" si="106"/>
        <v>#VALUE!</v>
      </c>
      <c r="CG52" s="132" t="e">
        <f t="shared" si="106"/>
        <v>#VALUE!</v>
      </c>
      <c r="CH52" s="132" t="e">
        <f t="shared" si="106"/>
        <v>#VALUE!</v>
      </c>
      <c r="CI52" s="132" t="e">
        <f t="shared" si="106"/>
        <v>#VALUE!</v>
      </c>
      <c r="CJ52" s="132" t="e">
        <f t="shared" si="106"/>
        <v>#VALUE!</v>
      </c>
      <c r="CK52" s="132" t="e">
        <f t="shared" si="106"/>
        <v>#VALUE!</v>
      </c>
      <c r="CL52" s="132" t="e">
        <f t="shared" si="106"/>
        <v>#VALUE!</v>
      </c>
      <c r="CM52" s="132" t="e">
        <f t="shared" si="106"/>
        <v>#VALUE!</v>
      </c>
      <c r="CN52" s="132" t="e">
        <f t="shared" si="107"/>
        <v>#VALUE!</v>
      </c>
      <c r="CO52" s="132" t="e">
        <f t="shared" si="107"/>
        <v>#VALUE!</v>
      </c>
      <c r="CP52" s="132" t="e">
        <f t="shared" si="107"/>
        <v>#VALUE!</v>
      </c>
      <c r="CQ52" s="132" t="e">
        <f t="shared" si="107"/>
        <v>#VALUE!</v>
      </c>
      <c r="CR52" s="132" t="e">
        <f t="shared" si="107"/>
        <v>#VALUE!</v>
      </c>
      <c r="CS52" s="132" t="e">
        <f t="shared" si="107"/>
        <v>#VALUE!</v>
      </c>
      <c r="CV52" s="132" t="e">
        <f t="shared" si="108"/>
        <v>#VALUE!</v>
      </c>
      <c r="CW52" s="132" t="e">
        <f t="shared" si="108"/>
        <v>#VALUE!</v>
      </c>
      <c r="CX52" s="132" t="e">
        <f t="shared" si="108"/>
        <v>#VALUE!</v>
      </c>
      <c r="CY52" s="132" t="e">
        <f t="shared" si="108"/>
        <v>#VALUE!</v>
      </c>
      <c r="CZ52" s="132" t="e">
        <f t="shared" si="108"/>
        <v>#VALUE!</v>
      </c>
      <c r="DA52" s="132" t="e">
        <f t="shared" si="108"/>
        <v>#VALUE!</v>
      </c>
      <c r="DB52" s="132" t="e">
        <f t="shared" si="108"/>
        <v>#VALUE!</v>
      </c>
      <c r="DC52" s="132" t="e">
        <f t="shared" si="108"/>
        <v>#VALUE!</v>
      </c>
      <c r="DD52" s="132" t="e">
        <f t="shared" si="108"/>
        <v>#VALUE!</v>
      </c>
      <c r="DE52" s="132" t="e">
        <f t="shared" si="108"/>
        <v>#VALUE!</v>
      </c>
      <c r="DF52" s="132" t="e">
        <f t="shared" si="109"/>
        <v>#VALUE!</v>
      </c>
      <c r="DG52" s="132" t="e">
        <f t="shared" si="109"/>
        <v>#VALUE!</v>
      </c>
      <c r="DH52" s="132" t="e">
        <f t="shared" si="109"/>
        <v>#VALUE!</v>
      </c>
      <c r="DI52" s="132" t="e">
        <f t="shared" si="109"/>
        <v>#VALUE!</v>
      </c>
      <c r="DJ52" s="132" t="e">
        <f t="shared" si="109"/>
        <v>#VALUE!</v>
      </c>
      <c r="DK52" s="132" t="e">
        <f t="shared" si="109"/>
        <v>#VALUE!</v>
      </c>
      <c r="DL52" s="132" t="e">
        <f t="shared" si="109"/>
        <v>#VALUE!</v>
      </c>
      <c r="DM52" s="132" t="e">
        <f t="shared" si="109"/>
        <v>#VALUE!</v>
      </c>
      <c r="DN52" s="132" t="e">
        <f t="shared" si="109"/>
        <v>#VALUE!</v>
      </c>
      <c r="DO52" s="132" t="e">
        <f t="shared" si="109"/>
        <v>#VALUE!</v>
      </c>
      <c r="DP52" s="132" t="e">
        <f t="shared" si="110"/>
        <v>#VALUE!</v>
      </c>
      <c r="DQ52" s="132" t="e">
        <f t="shared" si="110"/>
        <v>#VALUE!</v>
      </c>
      <c r="DR52" s="132" t="e">
        <f t="shared" si="110"/>
        <v>#VALUE!</v>
      </c>
      <c r="DS52" s="132" t="e">
        <f t="shared" si="110"/>
        <v>#VALUE!</v>
      </c>
      <c r="DT52" s="132" t="e">
        <f t="shared" si="110"/>
        <v>#VALUE!</v>
      </c>
      <c r="DU52" s="132" t="e">
        <f t="shared" si="110"/>
        <v>#VALUE!</v>
      </c>
    </row>
    <row r="53" spans="1:127">
      <c r="A53" s="65"/>
      <c r="B53" s="166"/>
      <c r="C53" s="166"/>
      <c r="D53" s="466"/>
      <c r="E53" s="109" t="s">
        <v>68</v>
      </c>
      <c r="F53" s="101">
        <v>250</v>
      </c>
      <c r="G53" s="165" t="e">
        <f>B48-3</f>
        <v>#VALUE!</v>
      </c>
      <c r="H53" s="110"/>
      <c r="I53" s="101">
        <v>30</v>
      </c>
      <c r="J53" s="508"/>
      <c r="K53" s="504"/>
      <c r="L53" s="110"/>
      <c r="M53" s="110"/>
      <c r="N53" s="101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49"/>
      <c r="AE53" s="102"/>
      <c r="AF53" s="102"/>
      <c r="AG53" s="102"/>
      <c r="AH53" s="102"/>
      <c r="AI53" s="102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>
        <v>5</v>
      </c>
      <c r="BG53" s="109">
        <v>5</v>
      </c>
      <c r="BH53" s="109">
        <v>5</v>
      </c>
      <c r="BI53" s="109">
        <v>5</v>
      </c>
      <c r="BJ53" s="109">
        <v>5</v>
      </c>
      <c r="BK53" s="109">
        <v>5</v>
      </c>
      <c r="BL53" s="109">
        <v>5</v>
      </c>
      <c r="BM53" s="109">
        <v>5</v>
      </c>
      <c r="BN53" s="109">
        <v>5</v>
      </c>
      <c r="BO53" s="109">
        <v>5</v>
      </c>
      <c r="BP53" s="109">
        <v>5</v>
      </c>
      <c r="BQ53" s="109">
        <v>5</v>
      </c>
      <c r="BR53" s="109">
        <v>5</v>
      </c>
      <c r="BS53" s="109">
        <v>5</v>
      </c>
      <c r="BT53" s="109">
        <v>5</v>
      </c>
      <c r="BU53" s="109">
        <v>5</v>
      </c>
      <c r="BV53" s="109">
        <v>5</v>
      </c>
      <c r="BW53" s="109">
        <v>5</v>
      </c>
      <c r="BX53" s="109">
        <v>5</v>
      </c>
      <c r="BY53" s="109">
        <v>5</v>
      </c>
      <c r="BZ53" s="109">
        <v>5</v>
      </c>
      <c r="CA53" s="109">
        <v>5</v>
      </c>
      <c r="CB53" s="109">
        <v>5</v>
      </c>
      <c r="CC53" s="109">
        <v>5</v>
      </c>
      <c r="CD53" s="109">
        <v>30</v>
      </c>
      <c r="CE53" s="109">
        <v>30</v>
      </c>
      <c r="CF53" s="109">
        <v>30</v>
      </c>
      <c r="CG53" s="109">
        <v>30</v>
      </c>
      <c r="CH53" s="101">
        <v>5</v>
      </c>
      <c r="CI53" s="101">
        <v>5</v>
      </c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V53" s="101"/>
      <c r="CW53" s="101"/>
      <c r="CX53" s="101"/>
      <c r="CY53" s="101"/>
      <c r="CZ53" s="147"/>
      <c r="DA53" s="101"/>
      <c r="DB53" s="101"/>
      <c r="DC53" s="101"/>
      <c r="DD53" s="101"/>
      <c r="DE53" s="101"/>
      <c r="DF53" s="101"/>
      <c r="DG53" s="101"/>
      <c r="DH53" s="101"/>
      <c r="DI53" s="101"/>
      <c r="DJ53" s="101"/>
      <c r="DK53" s="101"/>
      <c r="DL53" s="101"/>
      <c r="DM53" s="101"/>
      <c r="DN53" s="101"/>
      <c r="DO53" s="101"/>
      <c r="DP53" s="101"/>
      <c r="DQ53" s="101"/>
      <c r="DR53" s="101"/>
      <c r="DS53" s="101"/>
      <c r="DT53" s="101"/>
      <c r="DU53" s="101"/>
    </row>
    <row r="54" spans="1:127" s="141" customFormat="1">
      <c r="B54" s="142"/>
      <c r="E54" s="143"/>
      <c r="F54" s="143"/>
      <c r="G54" s="143"/>
      <c r="H54" s="112" t="s">
        <v>69</v>
      </c>
      <c r="I54" s="144"/>
      <c r="J54" s="143"/>
      <c r="K54" s="143"/>
      <c r="L54" s="113" t="e">
        <f t="shared" ref="L54:AQ54" si="111">SUM(L49:L53)</f>
        <v>#VALUE!</v>
      </c>
      <c r="M54" s="113" t="e">
        <f t="shared" si="111"/>
        <v>#VALUE!</v>
      </c>
      <c r="N54" s="113" t="e">
        <f t="shared" si="111"/>
        <v>#VALUE!</v>
      </c>
      <c r="O54" s="113" t="e">
        <f t="shared" si="111"/>
        <v>#VALUE!</v>
      </c>
      <c r="P54" s="113" t="e">
        <f t="shared" si="111"/>
        <v>#VALUE!</v>
      </c>
      <c r="Q54" s="113" t="e">
        <f t="shared" si="111"/>
        <v>#VALUE!</v>
      </c>
      <c r="R54" s="113" t="e">
        <f t="shared" si="111"/>
        <v>#VALUE!</v>
      </c>
      <c r="S54" s="113" t="e">
        <f t="shared" si="111"/>
        <v>#VALUE!</v>
      </c>
      <c r="T54" s="113" t="e">
        <f t="shared" si="111"/>
        <v>#VALUE!</v>
      </c>
      <c r="U54" s="113" t="e">
        <f t="shared" si="111"/>
        <v>#VALUE!</v>
      </c>
      <c r="V54" s="113" t="e">
        <f t="shared" si="111"/>
        <v>#VALUE!</v>
      </c>
      <c r="W54" s="113" t="e">
        <f t="shared" si="111"/>
        <v>#VALUE!</v>
      </c>
      <c r="X54" s="113" t="e">
        <f t="shared" si="111"/>
        <v>#VALUE!</v>
      </c>
      <c r="Y54" s="113" t="e">
        <f t="shared" si="111"/>
        <v>#VALUE!</v>
      </c>
      <c r="Z54" s="113" t="e">
        <f t="shared" si="111"/>
        <v>#VALUE!</v>
      </c>
      <c r="AA54" s="113" t="e">
        <f t="shared" si="111"/>
        <v>#VALUE!</v>
      </c>
      <c r="AB54" s="113" t="e">
        <f t="shared" si="111"/>
        <v>#VALUE!</v>
      </c>
      <c r="AC54" s="113" t="e">
        <f t="shared" si="111"/>
        <v>#VALUE!</v>
      </c>
      <c r="AD54" s="113" t="e">
        <f t="shared" si="111"/>
        <v>#VALUE!</v>
      </c>
      <c r="AE54" s="136" t="e">
        <f t="shared" si="111"/>
        <v>#VALUE!</v>
      </c>
      <c r="AF54" s="136" t="e">
        <f t="shared" si="111"/>
        <v>#VALUE!</v>
      </c>
      <c r="AG54" s="136" t="e">
        <f t="shared" si="111"/>
        <v>#VALUE!</v>
      </c>
      <c r="AH54" s="136" t="e">
        <f t="shared" si="111"/>
        <v>#VALUE!</v>
      </c>
      <c r="AI54" s="136" t="e">
        <f t="shared" si="111"/>
        <v>#VALUE!</v>
      </c>
      <c r="AJ54" s="136" t="e">
        <f t="shared" si="111"/>
        <v>#VALUE!</v>
      </c>
      <c r="AK54" s="136" t="e">
        <f t="shared" si="111"/>
        <v>#VALUE!</v>
      </c>
      <c r="AL54" s="136" t="e">
        <f t="shared" si="111"/>
        <v>#VALUE!</v>
      </c>
      <c r="AM54" s="136" t="e">
        <f t="shared" si="111"/>
        <v>#VALUE!</v>
      </c>
      <c r="AN54" s="136" t="e">
        <f t="shared" si="111"/>
        <v>#VALUE!</v>
      </c>
      <c r="AO54" s="136" t="e">
        <f t="shared" si="111"/>
        <v>#VALUE!</v>
      </c>
      <c r="AP54" s="136" t="e">
        <f t="shared" si="111"/>
        <v>#VALUE!</v>
      </c>
      <c r="AQ54" s="136" t="e">
        <f t="shared" si="111"/>
        <v>#VALUE!</v>
      </c>
      <c r="AR54" s="136" t="e">
        <f t="shared" ref="AR54:BW54" si="112">SUM(AR49:AR53)</f>
        <v>#VALUE!</v>
      </c>
      <c r="AS54" s="136" t="e">
        <f t="shared" si="112"/>
        <v>#VALUE!</v>
      </c>
      <c r="AT54" s="136" t="e">
        <f t="shared" si="112"/>
        <v>#VALUE!</v>
      </c>
      <c r="AU54" s="136" t="e">
        <f t="shared" si="112"/>
        <v>#VALUE!</v>
      </c>
      <c r="AV54" s="136" t="e">
        <f t="shared" si="112"/>
        <v>#VALUE!</v>
      </c>
      <c r="AW54" s="136" t="e">
        <f t="shared" si="112"/>
        <v>#VALUE!</v>
      </c>
      <c r="AX54" s="136" t="e">
        <f t="shared" si="112"/>
        <v>#VALUE!</v>
      </c>
      <c r="AY54" s="136" t="e">
        <f t="shared" si="112"/>
        <v>#VALUE!</v>
      </c>
      <c r="AZ54" s="136" t="e">
        <f t="shared" si="112"/>
        <v>#VALUE!</v>
      </c>
      <c r="BA54" s="136" t="e">
        <f t="shared" si="112"/>
        <v>#VALUE!</v>
      </c>
      <c r="BB54" s="136" t="e">
        <f t="shared" si="112"/>
        <v>#VALUE!</v>
      </c>
      <c r="BC54" s="136" t="e">
        <f t="shared" si="112"/>
        <v>#VALUE!</v>
      </c>
      <c r="BD54" s="136" t="e">
        <f t="shared" si="112"/>
        <v>#VALUE!</v>
      </c>
      <c r="BE54" s="136" t="e">
        <f t="shared" si="112"/>
        <v>#VALUE!</v>
      </c>
      <c r="BF54" s="136" t="e">
        <f t="shared" si="112"/>
        <v>#VALUE!</v>
      </c>
      <c r="BG54" s="136" t="e">
        <f t="shared" si="112"/>
        <v>#VALUE!</v>
      </c>
      <c r="BH54" s="136" t="e">
        <f t="shared" si="112"/>
        <v>#VALUE!</v>
      </c>
      <c r="BI54" s="136" t="e">
        <f t="shared" si="112"/>
        <v>#VALUE!</v>
      </c>
      <c r="BJ54" s="136" t="e">
        <f t="shared" si="112"/>
        <v>#VALUE!</v>
      </c>
      <c r="BK54" s="136" t="e">
        <f t="shared" si="112"/>
        <v>#VALUE!</v>
      </c>
      <c r="BL54" s="136" t="e">
        <f t="shared" si="112"/>
        <v>#VALUE!</v>
      </c>
      <c r="BM54" s="136" t="e">
        <f t="shared" si="112"/>
        <v>#VALUE!</v>
      </c>
      <c r="BN54" s="136" t="e">
        <f t="shared" si="112"/>
        <v>#VALUE!</v>
      </c>
      <c r="BO54" s="136" t="e">
        <f t="shared" si="112"/>
        <v>#VALUE!</v>
      </c>
      <c r="BP54" s="136" t="e">
        <f t="shared" si="112"/>
        <v>#VALUE!</v>
      </c>
      <c r="BQ54" s="136" t="e">
        <f t="shared" si="112"/>
        <v>#VALUE!</v>
      </c>
      <c r="BR54" s="136" t="e">
        <f t="shared" si="112"/>
        <v>#VALUE!</v>
      </c>
      <c r="BS54" s="136" t="e">
        <f t="shared" si="112"/>
        <v>#VALUE!</v>
      </c>
      <c r="BT54" s="136" t="e">
        <f t="shared" si="112"/>
        <v>#VALUE!</v>
      </c>
      <c r="BU54" s="136" t="e">
        <f t="shared" si="112"/>
        <v>#VALUE!</v>
      </c>
      <c r="BV54" s="136" t="e">
        <f t="shared" si="112"/>
        <v>#VALUE!</v>
      </c>
      <c r="BW54" s="136" t="e">
        <f t="shared" si="112"/>
        <v>#VALUE!</v>
      </c>
      <c r="BX54" s="136" t="e">
        <f t="shared" ref="BX54:CS54" si="113">SUM(BX49:BX53)</f>
        <v>#VALUE!</v>
      </c>
      <c r="BY54" s="136" t="e">
        <f t="shared" si="113"/>
        <v>#VALUE!</v>
      </c>
      <c r="BZ54" s="136" t="e">
        <f t="shared" si="113"/>
        <v>#VALUE!</v>
      </c>
      <c r="CA54" s="136" t="e">
        <f t="shared" si="113"/>
        <v>#VALUE!</v>
      </c>
      <c r="CB54" s="136" t="e">
        <f t="shared" si="113"/>
        <v>#VALUE!</v>
      </c>
      <c r="CC54" s="136" t="e">
        <f t="shared" si="113"/>
        <v>#VALUE!</v>
      </c>
      <c r="CD54" s="136" t="e">
        <f t="shared" si="113"/>
        <v>#VALUE!</v>
      </c>
      <c r="CE54" s="136" t="e">
        <f t="shared" si="113"/>
        <v>#VALUE!</v>
      </c>
      <c r="CF54" s="136" t="e">
        <f t="shared" si="113"/>
        <v>#VALUE!</v>
      </c>
      <c r="CG54" s="136" t="e">
        <f t="shared" si="113"/>
        <v>#VALUE!</v>
      </c>
      <c r="CH54" s="136" t="e">
        <f t="shared" si="113"/>
        <v>#VALUE!</v>
      </c>
      <c r="CI54" s="136" t="e">
        <f t="shared" si="113"/>
        <v>#VALUE!</v>
      </c>
      <c r="CJ54" s="136" t="e">
        <f t="shared" si="113"/>
        <v>#VALUE!</v>
      </c>
      <c r="CK54" s="136" t="e">
        <f t="shared" si="113"/>
        <v>#VALUE!</v>
      </c>
      <c r="CL54" s="136" t="e">
        <f t="shared" si="113"/>
        <v>#VALUE!</v>
      </c>
      <c r="CM54" s="136" t="e">
        <f t="shared" si="113"/>
        <v>#VALUE!</v>
      </c>
      <c r="CN54" s="136" t="e">
        <f t="shared" si="113"/>
        <v>#VALUE!</v>
      </c>
      <c r="CO54" s="136" t="e">
        <f t="shared" si="113"/>
        <v>#VALUE!</v>
      </c>
      <c r="CP54" s="136" t="e">
        <f t="shared" si="113"/>
        <v>#VALUE!</v>
      </c>
      <c r="CQ54" s="136" t="e">
        <f t="shared" si="113"/>
        <v>#VALUE!</v>
      </c>
      <c r="CR54" s="136" t="e">
        <f t="shared" si="113"/>
        <v>#VALUE!</v>
      </c>
      <c r="CS54" s="136" t="e">
        <f t="shared" si="113"/>
        <v>#VALUE!</v>
      </c>
      <c r="CT54" s="122"/>
      <c r="CU54" s="122"/>
      <c r="CV54" s="136" t="e">
        <f t="shared" ref="CV54:DU54" si="114">SUM(CV49:CV53)</f>
        <v>#VALUE!</v>
      </c>
      <c r="CW54" s="136" t="e">
        <f t="shared" si="114"/>
        <v>#VALUE!</v>
      </c>
      <c r="CX54" s="136" t="e">
        <f t="shared" si="114"/>
        <v>#VALUE!</v>
      </c>
      <c r="CY54" s="136" t="e">
        <f t="shared" si="114"/>
        <v>#VALUE!</v>
      </c>
      <c r="CZ54" s="113" t="e">
        <f t="shared" si="114"/>
        <v>#VALUE!</v>
      </c>
      <c r="DA54" s="113" t="e">
        <f t="shared" si="114"/>
        <v>#VALUE!</v>
      </c>
      <c r="DB54" s="113" t="e">
        <f t="shared" si="114"/>
        <v>#VALUE!</v>
      </c>
      <c r="DC54" s="113" t="e">
        <f t="shared" si="114"/>
        <v>#VALUE!</v>
      </c>
      <c r="DD54" s="113" t="e">
        <f t="shared" si="114"/>
        <v>#VALUE!</v>
      </c>
      <c r="DE54" s="113" t="e">
        <f t="shared" si="114"/>
        <v>#VALUE!</v>
      </c>
      <c r="DF54" s="113" t="e">
        <f t="shared" si="114"/>
        <v>#VALUE!</v>
      </c>
      <c r="DG54" s="113" t="e">
        <f t="shared" si="114"/>
        <v>#VALUE!</v>
      </c>
      <c r="DH54" s="113" t="e">
        <f t="shared" si="114"/>
        <v>#VALUE!</v>
      </c>
      <c r="DI54" s="113" t="e">
        <f t="shared" si="114"/>
        <v>#VALUE!</v>
      </c>
      <c r="DJ54" s="113" t="e">
        <f t="shared" si="114"/>
        <v>#VALUE!</v>
      </c>
      <c r="DK54" s="113" t="e">
        <f t="shared" si="114"/>
        <v>#VALUE!</v>
      </c>
      <c r="DL54" s="113" t="e">
        <f t="shared" si="114"/>
        <v>#VALUE!</v>
      </c>
      <c r="DM54" s="113" t="e">
        <f t="shared" si="114"/>
        <v>#VALUE!</v>
      </c>
      <c r="DN54" s="113" t="e">
        <f t="shared" si="114"/>
        <v>#VALUE!</v>
      </c>
      <c r="DO54" s="113" t="e">
        <f t="shared" si="114"/>
        <v>#VALUE!</v>
      </c>
      <c r="DP54" s="113" t="e">
        <f t="shared" si="114"/>
        <v>#VALUE!</v>
      </c>
      <c r="DQ54" s="113" t="e">
        <f t="shared" si="114"/>
        <v>#VALUE!</v>
      </c>
      <c r="DR54" s="113" t="e">
        <f t="shared" si="114"/>
        <v>#VALUE!</v>
      </c>
      <c r="DS54" s="113" t="e">
        <f t="shared" si="114"/>
        <v>#VALUE!</v>
      </c>
      <c r="DT54" s="113" t="e">
        <f t="shared" si="114"/>
        <v>#VALUE!</v>
      </c>
      <c r="DU54" s="113" t="e">
        <f t="shared" si="114"/>
        <v>#VALUE!</v>
      </c>
    </row>
    <row r="56" spans="1:127">
      <c r="A56" s="510" t="s">
        <v>76</v>
      </c>
      <c r="B56" s="509" t="str">
        <f>'BESS 12'!F321</f>
        <v>11 Sep
17 Sep</v>
      </c>
      <c r="C56" s="509" t="str">
        <f>'BESS 12'!G321</f>
        <v>16 Sep
22 Sep</v>
      </c>
      <c r="D56" s="114"/>
      <c r="E56" s="114" t="s">
        <v>10</v>
      </c>
      <c r="F56" s="115" t="s">
        <v>58</v>
      </c>
      <c r="G56" s="129" t="s">
        <v>87</v>
      </c>
      <c r="H56" s="129" t="s">
        <v>78</v>
      </c>
      <c r="I56" s="115" t="s">
        <v>59</v>
      </c>
      <c r="J56" s="115"/>
      <c r="K56" s="115"/>
      <c r="L56" s="116">
        <v>46195</v>
      </c>
      <c r="M56" s="116">
        <v>46196</v>
      </c>
      <c r="N56" s="116">
        <v>46197</v>
      </c>
      <c r="O56" s="116">
        <f t="shared" ref="O56:AT56" si="115">N56+1</f>
        <v>46198</v>
      </c>
      <c r="P56" s="116">
        <f t="shared" si="115"/>
        <v>46199</v>
      </c>
      <c r="Q56" s="116">
        <f t="shared" si="115"/>
        <v>46200</v>
      </c>
      <c r="R56" s="116">
        <f t="shared" si="115"/>
        <v>46201</v>
      </c>
      <c r="S56" s="116">
        <f t="shared" si="115"/>
        <v>46202</v>
      </c>
      <c r="T56" s="116">
        <f t="shared" si="115"/>
        <v>46203</v>
      </c>
      <c r="U56" s="116">
        <f t="shared" si="115"/>
        <v>46204</v>
      </c>
      <c r="V56" s="116">
        <f t="shared" si="115"/>
        <v>46205</v>
      </c>
      <c r="W56" s="116">
        <f t="shared" si="115"/>
        <v>46206</v>
      </c>
      <c r="X56" s="116">
        <f t="shared" si="115"/>
        <v>46207</v>
      </c>
      <c r="Y56" s="116">
        <f t="shared" si="115"/>
        <v>46208</v>
      </c>
      <c r="Z56" s="116">
        <f t="shared" si="115"/>
        <v>46209</v>
      </c>
      <c r="AA56" s="116">
        <f t="shared" si="115"/>
        <v>46210</v>
      </c>
      <c r="AB56" s="116">
        <f t="shared" si="115"/>
        <v>46211</v>
      </c>
      <c r="AC56" s="116">
        <f t="shared" si="115"/>
        <v>46212</v>
      </c>
      <c r="AD56" s="116">
        <f t="shared" si="115"/>
        <v>46213</v>
      </c>
      <c r="AE56" s="116">
        <f t="shared" si="115"/>
        <v>46214</v>
      </c>
      <c r="AF56" s="116">
        <f t="shared" si="115"/>
        <v>46215</v>
      </c>
      <c r="AG56" s="116">
        <f t="shared" si="115"/>
        <v>46216</v>
      </c>
      <c r="AH56" s="116">
        <f t="shared" si="115"/>
        <v>46217</v>
      </c>
      <c r="AI56" s="116">
        <f t="shared" si="115"/>
        <v>46218</v>
      </c>
      <c r="AJ56" s="116">
        <f t="shared" si="115"/>
        <v>46219</v>
      </c>
      <c r="AK56" s="116">
        <f t="shared" si="115"/>
        <v>46220</v>
      </c>
      <c r="AL56" s="116">
        <f t="shared" si="115"/>
        <v>46221</v>
      </c>
      <c r="AM56" s="116">
        <f t="shared" si="115"/>
        <v>46222</v>
      </c>
      <c r="AN56" s="116">
        <f t="shared" si="115"/>
        <v>46223</v>
      </c>
      <c r="AO56" s="116">
        <f t="shared" si="115"/>
        <v>46224</v>
      </c>
      <c r="AP56" s="116">
        <f t="shared" si="115"/>
        <v>46225</v>
      </c>
      <c r="AQ56" s="116">
        <f t="shared" si="115"/>
        <v>46226</v>
      </c>
      <c r="AR56" s="116">
        <f t="shared" si="115"/>
        <v>46227</v>
      </c>
      <c r="AS56" s="116">
        <f t="shared" si="115"/>
        <v>46228</v>
      </c>
      <c r="AT56" s="116">
        <f t="shared" si="115"/>
        <v>46229</v>
      </c>
      <c r="AU56" s="116">
        <f t="shared" ref="AU56:BZ56" si="116">AT56+1</f>
        <v>46230</v>
      </c>
      <c r="AV56" s="116">
        <f t="shared" si="116"/>
        <v>46231</v>
      </c>
      <c r="AW56" s="116">
        <f t="shared" si="116"/>
        <v>46232</v>
      </c>
      <c r="AX56" s="116">
        <f t="shared" si="116"/>
        <v>46233</v>
      </c>
      <c r="AY56" s="116">
        <f t="shared" si="116"/>
        <v>46234</v>
      </c>
      <c r="AZ56" s="116">
        <f t="shared" si="116"/>
        <v>46235</v>
      </c>
      <c r="BA56" s="116">
        <f t="shared" si="116"/>
        <v>46236</v>
      </c>
      <c r="BB56" s="116">
        <f t="shared" si="116"/>
        <v>46237</v>
      </c>
      <c r="BC56" s="116">
        <f t="shared" si="116"/>
        <v>46238</v>
      </c>
      <c r="BD56" s="116">
        <f t="shared" si="116"/>
        <v>46239</v>
      </c>
      <c r="BE56" s="116">
        <f t="shared" si="116"/>
        <v>46240</v>
      </c>
      <c r="BF56" s="116">
        <f t="shared" si="116"/>
        <v>46241</v>
      </c>
      <c r="BG56" s="116">
        <f t="shared" si="116"/>
        <v>46242</v>
      </c>
      <c r="BH56" s="116">
        <f t="shared" si="116"/>
        <v>46243</v>
      </c>
      <c r="BI56" s="116">
        <f t="shared" si="116"/>
        <v>46244</v>
      </c>
      <c r="BJ56" s="116">
        <f t="shared" si="116"/>
        <v>46245</v>
      </c>
      <c r="BK56" s="116">
        <f t="shared" si="116"/>
        <v>46246</v>
      </c>
      <c r="BL56" s="116">
        <f t="shared" si="116"/>
        <v>46247</v>
      </c>
      <c r="BM56" s="116">
        <f t="shared" si="116"/>
        <v>46248</v>
      </c>
      <c r="BN56" s="116">
        <f t="shared" si="116"/>
        <v>46249</v>
      </c>
      <c r="BO56" s="116">
        <f t="shared" si="116"/>
        <v>46250</v>
      </c>
      <c r="BP56" s="116">
        <f t="shared" si="116"/>
        <v>46251</v>
      </c>
      <c r="BQ56" s="116">
        <f t="shared" si="116"/>
        <v>46252</v>
      </c>
      <c r="BR56" s="116">
        <f t="shared" si="116"/>
        <v>46253</v>
      </c>
      <c r="BS56" s="116">
        <f t="shared" si="116"/>
        <v>46254</v>
      </c>
      <c r="BT56" s="116">
        <f t="shared" si="116"/>
        <v>46255</v>
      </c>
      <c r="BU56" s="116">
        <f t="shared" si="116"/>
        <v>46256</v>
      </c>
      <c r="BV56" s="116">
        <f t="shared" si="116"/>
        <v>46257</v>
      </c>
      <c r="BW56" s="116">
        <f t="shared" si="116"/>
        <v>46258</v>
      </c>
      <c r="BX56" s="116">
        <f t="shared" si="116"/>
        <v>46259</v>
      </c>
      <c r="BY56" s="116">
        <f t="shared" si="116"/>
        <v>46260</v>
      </c>
      <c r="BZ56" s="116">
        <f t="shared" si="116"/>
        <v>46261</v>
      </c>
      <c r="CA56" s="116">
        <f t="shared" ref="CA56:CS56" si="117">BZ56+1</f>
        <v>46262</v>
      </c>
      <c r="CB56" s="116">
        <f t="shared" si="117"/>
        <v>46263</v>
      </c>
      <c r="CC56" s="116">
        <f t="shared" si="117"/>
        <v>46264</v>
      </c>
      <c r="CD56" s="116">
        <f t="shared" si="117"/>
        <v>46265</v>
      </c>
      <c r="CE56" s="116">
        <f t="shared" si="117"/>
        <v>46266</v>
      </c>
      <c r="CF56" s="116">
        <f t="shared" si="117"/>
        <v>46267</v>
      </c>
      <c r="CG56" s="116">
        <f t="shared" si="117"/>
        <v>46268</v>
      </c>
      <c r="CH56" s="116">
        <f t="shared" si="117"/>
        <v>46269</v>
      </c>
      <c r="CI56" s="116">
        <f t="shared" si="117"/>
        <v>46270</v>
      </c>
      <c r="CJ56" s="116">
        <f t="shared" si="117"/>
        <v>46271</v>
      </c>
      <c r="CK56" s="116">
        <f t="shared" si="117"/>
        <v>46272</v>
      </c>
      <c r="CL56" s="116">
        <f t="shared" si="117"/>
        <v>46273</v>
      </c>
      <c r="CM56" s="116">
        <f t="shared" si="117"/>
        <v>46274</v>
      </c>
      <c r="CN56" s="116">
        <f t="shared" si="117"/>
        <v>46275</v>
      </c>
      <c r="CO56" s="116">
        <f t="shared" si="117"/>
        <v>46276</v>
      </c>
      <c r="CP56" s="116">
        <f t="shared" si="117"/>
        <v>46277</v>
      </c>
      <c r="CQ56" s="116">
        <f t="shared" si="117"/>
        <v>46278</v>
      </c>
      <c r="CR56" s="116">
        <f t="shared" si="117"/>
        <v>46279</v>
      </c>
      <c r="CS56" s="116">
        <f t="shared" si="117"/>
        <v>46280</v>
      </c>
      <c r="CV56" s="116">
        <f t="shared" ref="CV56:DW56" si="118">CU56+1</f>
        <v>1</v>
      </c>
      <c r="CW56" s="116">
        <f t="shared" si="118"/>
        <v>2</v>
      </c>
      <c r="CX56" s="116">
        <f t="shared" si="118"/>
        <v>3</v>
      </c>
      <c r="CY56" s="116">
        <f t="shared" si="118"/>
        <v>4</v>
      </c>
      <c r="CZ56" s="116">
        <f t="shared" si="118"/>
        <v>5</v>
      </c>
      <c r="DA56" s="116">
        <f t="shared" si="118"/>
        <v>6</v>
      </c>
      <c r="DB56" s="116">
        <f t="shared" si="118"/>
        <v>7</v>
      </c>
      <c r="DC56" s="116">
        <f t="shared" si="118"/>
        <v>8</v>
      </c>
      <c r="DD56" s="116">
        <f t="shared" si="118"/>
        <v>9</v>
      </c>
      <c r="DE56" s="116">
        <f t="shared" si="118"/>
        <v>10</v>
      </c>
      <c r="DF56" s="116">
        <f t="shared" si="118"/>
        <v>11</v>
      </c>
      <c r="DG56" s="116">
        <f t="shared" si="118"/>
        <v>12</v>
      </c>
      <c r="DH56" s="116">
        <f t="shared" si="118"/>
        <v>13</v>
      </c>
      <c r="DI56" s="116">
        <f t="shared" si="118"/>
        <v>14</v>
      </c>
      <c r="DJ56" s="116">
        <f t="shared" si="118"/>
        <v>15</v>
      </c>
      <c r="DK56" s="116">
        <f t="shared" si="118"/>
        <v>16</v>
      </c>
      <c r="DL56" s="116">
        <f t="shared" si="118"/>
        <v>17</v>
      </c>
      <c r="DM56" s="116">
        <f t="shared" si="118"/>
        <v>18</v>
      </c>
      <c r="DN56" s="116">
        <f t="shared" si="118"/>
        <v>19</v>
      </c>
      <c r="DO56" s="116">
        <f t="shared" si="118"/>
        <v>20</v>
      </c>
      <c r="DP56" s="116">
        <f t="shared" si="118"/>
        <v>21</v>
      </c>
      <c r="DQ56" s="116">
        <f t="shared" si="118"/>
        <v>22</v>
      </c>
      <c r="DR56" s="116">
        <f t="shared" si="118"/>
        <v>23</v>
      </c>
      <c r="DS56" s="116">
        <f t="shared" si="118"/>
        <v>24</v>
      </c>
      <c r="DT56" s="116">
        <f t="shared" si="118"/>
        <v>25</v>
      </c>
      <c r="DU56" s="116">
        <f t="shared" si="118"/>
        <v>26</v>
      </c>
      <c r="DV56" s="116">
        <f t="shared" si="118"/>
        <v>27</v>
      </c>
      <c r="DW56" s="116">
        <f t="shared" si="118"/>
        <v>28</v>
      </c>
    </row>
    <row r="57" spans="1:127">
      <c r="A57" s="510"/>
      <c r="B57" s="509"/>
      <c r="C57" s="509"/>
      <c r="D57" s="467" t="str">
        <f>'BESS 12'!H321</f>
        <v>19 Sep
25 Sep</v>
      </c>
      <c r="E57" s="109" t="s">
        <v>64</v>
      </c>
      <c r="F57" s="102" t="e">
        <f>SUM('BESS 12'!S334:S341,'BESS 12'!S343)</f>
        <v>#VALUE!</v>
      </c>
      <c r="G57" s="165">
        <f>H57+10</f>
        <v>46246</v>
      </c>
      <c r="H57" s="110">
        <f>$G$33</f>
        <v>46236</v>
      </c>
      <c r="I57" s="102">
        <f>G57-H57</f>
        <v>10</v>
      </c>
      <c r="J57" s="506" t="e">
        <f>AVERAGEIF(L62:CP62,"&gt;0")</f>
        <v>#DIV/0!</v>
      </c>
      <c r="K57" s="506" t="e">
        <f>MAX(L62:CS62)</f>
        <v>#VALUE!</v>
      </c>
      <c r="L57" s="101" t="str">
        <f t="shared" ref="L57:U60" si="119">IF(AND(L$1&gt;=$H57,L$1&lt;($H57+$I57)),ROUND($F57/$I57,0),"-")</f>
        <v>-</v>
      </c>
      <c r="M57" s="101" t="str">
        <f t="shared" si="119"/>
        <v>-</v>
      </c>
      <c r="N57" s="101" t="str">
        <f t="shared" si="119"/>
        <v>-</v>
      </c>
      <c r="O57" s="101" t="str">
        <f t="shared" si="119"/>
        <v>-</v>
      </c>
      <c r="P57" s="101" t="str">
        <f t="shared" si="119"/>
        <v>-</v>
      </c>
      <c r="Q57" s="101" t="str">
        <f t="shared" si="119"/>
        <v>-</v>
      </c>
      <c r="R57" s="101" t="str">
        <f t="shared" si="119"/>
        <v>-</v>
      </c>
      <c r="S57" s="101" t="str">
        <f t="shared" si="119"/>
        <v>-</v>
      </c>
      <c r="T57" s="101" t="str">
        <f t="shared" si="119"/>
        <v>-</v>
      </c>
      <c r="U57" s="101" t="str">
        <f t="shared" si="119"/>
        <v>-</v>
      </c>
      <c r="V57" s="101" t="str">
        <f t="shared" ref="V57:AE60" si="120">IF(AND(V$1&gt;=$H57,V$1&lt;($H57+$I57)),ROUND($F57/$I57,0),"-")</f>
        <v>-</v>
      </c>
      <c r="W57" s="101" t="str">
        <f t="shared" si="120"/>
        <v>-</v>
      </c>
      <c r="X57" s="101" t="str">
        <f t="shared" si="120"/>
        <v>-</v>
      </c>
      <c r="Y57" s="101" t="str">
        <f t="shared" si="120"/>
        <v>-</v>
      </c>
      <c r="Z57" s="101" t="str">
        <f t="shared" si="120"/>
        <v>-</v>
      </c>
      <c r="AA57" s="101" t="str">
        <f t="shared" si="120"/>
        <v>-</v>
      </c>
      <c r="AB57" s="101" t="str">
        <f t="shared" si="120"/>
        <v>-</v>
      </c>
      <c r="AC57" s="101" t="str">
        <f t="shared" si="120"/>
        <v>-</v>
      </c>
      <c r="AD57" s="101" t="str">
        <f t="shared" si="120"/>
        <v>-</v>
      </c>
      <c r="AE57" s="101" t="str">
        <f t="shared" si="120"/>
        <v>-</v>
      </c>
      <c r="AF57" s="101" t="str">
        <f t="shared" ref="AF57:AO60" si="121">IF(AND(AF$1&gt;=$H57,AF$1&lt;($H57+$I57)),ROUND($F57/$I57,0),"-")</f>
        <v>-</v>
      </c>
      <c r="AG57" s="101" t="str">
        <f t="shared" si="121"/>
        <v>-</v>
      </c>
      <c r="AH57" s="101" t="str">
        <f t="shared" si="121"/>
        <v>-</v>
      </c>
      <c r="AI57" s="101" t="str">
        <f t="shared" si="121"/>
        <v>-</v>
      </c>
      <c r="AJ57" s="101" t="str">
        <f t="shared" si="121"/>
        <v>-</v>
      </c>
      <c r="AK57" s="101" t="str">
        <f t="shared" si="121"/>
        <v>-</v>
      </c>
      <c r="AL57" s="101" t="str">
        <f t="shared" si="121"/>
        <v>-</v>
      </c>
      <c r="AM57" s="101" t="str">
        <f t="shared" si="121"/>
        <v>-</v>
      </c>
      <c r="AN57" s="101" t="str">
        <f t="shared" si="121"/>
        <v>-</v>
      </c>
      <c r="AO57" s="101" t="str">
        <f t="shared" si="121"/>
        <v>-</v>
      </c>
      <c r="AP57" s="101" t="str">
        <f t="shared" ref="AP57:AY60" si="122">IF(AND(AP$1&gt;=$H57,AP$1&lt;($H57+$I57)),ROUND($F57/$I57,0),"-")</f>
        <v>-</v>
      </c>
      <c r="AQ57" s="101" t="str">
        <f t="shared" si="122"/>
        <v>-</v>
      </c>
      <c r="AR57" s="101" t="str">
        <f t="shared" si="122"/>
        <v>-</v>
      </c>
      <c r="AS57" s="101" t="str">
        <f t="shared" si="122"/>
        <v>-</v>
      </c>
      <c r="AT57" s="101" t="str">
        <f t="shared" si="122"/>
        <v>-</v>
      </c>
      <c r="AU57" s="101" t="str">
        <f t="shared" si="122"/>
        <v>-</v>
      </c>
      <c r="AV57" s="101" t="str">
        <f t="shared" si="122"/>
        <v>-</v>
      </c>
      <c r="AW57" s="101" t="str">
        <f t="shared" si="122"/>
        <v>-</v>
      </c>
      <c r="AX57" s="101" t="str">
        <f t="shared" si="122"/>
        <v>-</v>
      </c>
      <c r="AY57" s="101" t="str">
        <f t="shared" si="122"/>
        <v>-</v>
      </c>
      <c r="AZ57" s="101" t="str">
        <f t="shared" ref="AZ57:BI60" si="123">IF(AND(AZ$1&gt;=$H57,AZ$1&lt;($H57+$I57)),ROUND($F57/$I57,0),"-")</f>
        <v>-</v>
      </c>
      <c r="BA57" s="101" t="str">
        <f t="shared" si="123"/>
        <v>-</v>
      </c>
      <c r="BB57" s="101" t="str">
        <f t="shared" si="123"/>
        <v>-</v>
      </c>
      <c r="BC57" s="101" t="str">
        <f t="shared" si="123"/>
        <v>-</v>
      </c>
      <c r="BD57" s="101" t="str">
        <f t="shared" si="123"/>
        <v>-</v>
      </c>
      <c r="BE57" s="101" t="str">
        <f t="shared" si="123"/>
        <v>-</v>
      </c>
      <c r="BF57" s="101" t="str">
        <f t="shared" si="123"/>
        <v>-</v>
      </c>
      <c r="BG57" s="101" t="str">
        <f t="shared" si="123"/>
        <v>-</v>
      </c>
      <c r="BH57" s="101" t="str">
        <f t="shared" si="123"/>
        <v>-</v>
      </c>
      <c r="BI57" s="101" t="str">
        <f t="shared" si="123"/>
        <v>-</v>
      </c>
      <c r="BJ57" s="101" t="str">
        <f t="shared" ref="BJ57:BS60" si="124">IF(AND(BJ$1&gt;=$H57,BJ$1&lt;($H57+$I57)),ROUND($F57/$I57,0),"-")</f>
        <v>-</v>
      </c>
      <c r="BK57" s="101" t="str">
        <f t="shared" si="124"/>
        <v>-</v>
      </c>
      <c r="BL57" s="101" t="str">
        <f t="shared" si="124"/>
        <v>-</v>
      </c>
      <c r="BM57" s="101" t="str">
        <f t="shared" si="124"/>
        <v>-</v>
      </c>
      <c r="BN57" s="101" t="str">
        <f t="shared" si="124"/>
        <v>-</v>
      </c>
      <c r="BO57" s="101" t="str">
        <f t="shared" si="124"/>
        <v>-</v>
      </c>
      <c r="BP57" s="101" t="str">
        <f t="shared" si="124"/>
        <v>-</v>
      </c>
      <c r="BQ57" s="101" t="str">
        <f t="shared" si="124"/>
        <v>-</v>
      </c>
      <c r="BR57" s="101" t="str">
        <f t="shared" si="124"/>
        <v>-</v>
      </c>
      <c r="BS57" s="101" t="str">
        <f t="shared" si="124"/>
        <v>-</v>
      </c>
      <c r="BT57" s="101" t="str">
        <f t="shared" ref="BT57:CC60" si="125">IF(AND(BT$1&gt;=$H57,BT$1&lt;($H57+$I57)),ROUND($F57/$I57,0),"-")</f>
        <v>-</v>
      </c>
      <c r="BU57" s="101" t="str">
        <f t="shared" si="125"/>
        <v>-</v>
      </c>
      <c r="BV57" s="101" t="str">
        <f t="shared" si="125"/>
        <v>-</v>
      </c>
      <c r="BW57" s="101" t="str">
        <f t="shared" si="125"/>
        <v>-</v>
      </c>
      <c r="BX57" s="101" t="str">
        <f t="shared" si="125"/>
        <v>-</v>
      </c>
      <c r="BY57" s="101" t="str">
        <f t="shared" si="125"/>
        <v>-</v>
      </c>
      <c r="BZ57" s="101" t="str">
        <f t="shared" si="125"/>
        <v>-</v>
      </c>
      <c r="CA57" s="101" t="str">
        <f t="shared" si="125"/>
        <v>-</v>
      </c>
      <c r="CB57" s="101" t="str">
        <f t="shared" si="125"/>
        <v>-</v>
      </c>
      <c r="CC57" s="101" t="str">
        <f t="shared" si="125"/>
        <v>-</v>
      </c>
      <c r="CD57" s="101" t="str">
        <f t="shared" ref="CD57:CM60" si="126">IF(AND(CD$1&gt;=$H57,CD$1&lt;($H57+$I57)),ROUND($F57/$I57,0),"-")</f>
        <v>-</v>
      </c>
      <c r="CE57" s="101" t="str">
        <f t="shared" si="126"/>
        <v>-</v>
      </c>
      <c r="CF57" s="101" t="str">
        <f t="shared" si="126"/>
        <v>-</v>
      </c>
      <c r="CG57" s="101" t="str">
        <f t="shared" si="126"/>
        <v>-</v>
      </c>
      <c r="CH57" s="101" t="str">
        <f t="shared" si="126"/>
        <v>-</v>
      </c>
      <c r="CI57" s="101" t="str">
        <f t="shared" si="126"/>
        <v>-</v>
      </c>
      <c r="CJ57" s="101" t="str">
        <f t="shared" si="126"/>
        <v>-</v>
      </c>
      <c r="CK57" s="101" t="str">
        <f t="shared" si="126"/>
        <v>-</v>
      </c>
      <c r="CL57" s="101" t="str">
        <f t="shared" si="126"/>
        <v>-</v>
      </c>
      <c r="CM57" s="101" t="str">
        <f t="shared" si="126"/>
        <v>-</v>
      </c>
      <c r="CN57" s="101" t="str">
        <f t="shared" ref="CN57:CS60" si="127">IF(AND(CN$1&gt;=$H57,CN$1&lt;($H57+$I57)),ROUND($F57/$I57,0),"-")</f>
        <v>-</v>
      </c>
      <c r="CO57" s="101" t="str">
        <f t="shared" si="127"/>
        <v>-</v>
      </c>
      <c r="CP57" s="101" t="str">
        <f t="shared" si="127"/>
        <v>-</v>
      </c>
      <c r="CQ57" s="101" t="str">
        <f t="shared" si="127"/>
        <v>-</v>
      </c>
      <c r="CR57" s="101" t="str">
        <f t="shared" si="127"/>
        <v>-</v>
      </c>
      <c r="CS57" s="101" t="str">
        <f t="shared" si="127"/>
        <v>-</v>
      </c>
      <c r="CV57" s="101" t="e">
        <f t="shared" ref="CV57:DE60" si="128">IF(AND(CV$1&gt;=$H57,CV$1&lt;($H57+$I57)),ROUND($F57/$I57,0),"-")</f>
        <v>#VALUE!</v>
      </c>
      <c r="CW57" s="101" t="str">
        <f t="shared" si="128"/>
        <v>-</v>
      </c>
      <c r="CX57" s="101" t="str">
        <f t="shared" si="128"/>
        <v>-</v>
      </c>
      <c r="CY57" s="101" t="str">
        <f t="shared" si="128"/>
        <v>-</v>
      </c>
      <c r="CZ57" s="101" t="str">
        <f t="shared" si="128"/>
        <v>-</v>
      </c>
      <c r="DA57" s="101" t="str">
        <f t="shared" si="128"/>
        <v>-</v>
      </c>
      <c r="DB57" s="101" t="str">
        <f t="shared" si="128"/>
        <v>-</v>
      </c>
      <c r="DC57" s="101" t="str">
        <f t="shared" si="128"/>
        <v>-</v>
      </c>
      <c r="DD57" s="101" t="str">
        <f t="shared" si="128"/>
        <v>-</v>
      </c>
      <c r="DE57" s="101" t="str">
        <f t="shared" si="128"/>
        <v>-</v>
      </c>
      <c r="DF57" s="101" t="str">
        <f t="shared" ref="DF57:DO60" si="129">IF(AND(DF$1&gt;=$H57,DF$1&lt;($H57+$I57)),ROUND($F57/$I57,0),"-")</f>
        <v>-</v>
      </c>
      <c r="DG57" s="101" t="str">
        <f t="shared" si="129"/>
        <v>-</v>
      </c>
      <c r="DH57" s="101" t="str">
        <f t="shared" si="129"/>
        <v>-</v>
      </c>
      <c r="DI57" s="101" t="str">
        <f t="shared" si="129"/>
        <v>-</v>
      </c>
      <c r="DJ57" s="101" t="str">
        <f t="shared" si="129"/>
        <v>-</v>
      </c>
      <c r="DK57" s="101" t="str">
        <f t="shared" si="129"/>
        <v>-</v>
      </c>
      <c r="DL57" s="101" t="str">
        <f t="shared" si="129"/>
        <v>-</v>
      </c>
      <c r="DM57" s="101" t="str">
        <f t="shared" si="129"/>
        <v>-</v>
      </c>
      <c r="DN57" s="101" t="str">
        <f t="shared" si="129"/>
        <v>-</v>
      </c>
      <c r="DO57" s="101" t="str">
        <f t="shared" si="129"/>
        <v>-</v>
      </c>
      <c r="DP57" s="101" t="str">
        <f t="shared" ref="DP57:DW60" si="130">IF(AND(DP$1&gt;=$H57,DP$1&lt;($H57+$I57)),ROUND($F57/$I57,0),"-")</f>
        <v>-</v>
      </c>
      <c r="DQ57" s="101" t="str">
        <f t="shared" si="130"/>
        <v>-</v>
      </c>
      <c r="DR57" s="101" t="str">
        <f t="shared" si="130"/>
        <v>-</v>
      </c>
      <c r="DS57" s="101" t="str">
        <f t="shared" si="130"/>
        <v>-</v>
      </c>
      <c r="DT57" s="101" t="str">
        <f t="shared" si="130"/>
        <v>-</v>
      </c>
      <c r="DU57" s="101" t="str">
        <f t="shared" si="130"/>
        <v>-</v>
      </c>
      <c r="DV57" s="101" t="str">
        <f t="shared" si="130"/>
        <v>-</v>
      </c>
      <c r="DW57" s="101" t="str">
        <f t="shared" si="130"/>
        <v>-</v>
      </c>
    </row>
    <row r="58" spans="1:127">
      <c r="A58" s="510"/>
      <c r="B58" s="509"/>
      <c r="C58" s="509"/>
      <c r="D58" s="466"/>
      <c r="E58" s="109" t="s">
        <v>65</v>
      </c>
      <c r="F58" s="102" t="e">
        <f>SUM('BESS 12'!S344,'BESS 12'!S346:S347,'BESS 12'!S350:S352)</f>
        <v>#VALUE!</v>
      </c>
      <c r="G58" s="165">
        <f>H58+20</f>
        <v>46256</v>
      </c>
      <c r="H58" s="110">
        <f>$G$34-5</f>
        <v>46236</v>
      </c>
      <c r="I58" s="102">
        <f>G58-H58</f>
        <v>20</v>
      </c>
      <c r="J58" s="507"/>
      <c r="K58" s="476"/>
      <c r="L58" s="101" t="str">
        <f t="shared" si="119"/>
        <v>-</v>
      </c>
      <c r="M58" s="101" t="str">
        <f t="shared" si="119"/>
        <v>-</v>
      </c>
      <c r="N58" s="101" t="str">
        <f t="shared" si="119"/>
        <v>-</v>
      </c>
      <c r="O58" s="101" t="str">
        <f t="shared" si="119"/>
        <v>-</v>
      </c>
      <c r="P58" s="101" t="str">
        <f t="shared" si="119"/>
        <v>-</v>
      </c>
      <c r="Q58" s="101" t="str">
        <f t="shared" si="119"/>
        <v>-</v>
      </c>
      <c r="R58" s="101" t="str">
        <f t="shared" si="119"/>
        <v>-</v>
      </c>
      <c r="S58" s="101" t="str">
        <f t="shared" si="119"/>
        <v>-</v>
      </c>
      <c r="T58" s="101" t="str">
        <f t="shared" si="119"/>
        <v>-</v>
      </c>
      <c r="U58" s="101" t="str">
        <f t="shared" si="119"/>
        <v>-</v>
      </c>
      <c r="V58" s="101" t="str">
        <f t="shared" si="120"/>
        <v>-</v>
      </c>
      <c r="W58" s="101" t="str">
        <f t="shared" si="120"/>
        <v>-</v>
      </c>
      <c r="X58" s="101" t="str">
        <f t="shared" si="120"/>
        <v>-</v>
      </c>
      <c r="Y58" s="101" t="str">
        <f t="shared" si="120"/>
        <v>-</v>
      </c>
      <c r="Z58" s="101" t="str">
        <f t="shared" si="120"/>
        <v>-</v>
      </c>
      <c r="AA58" s="101" t="str">
        <f t="shared" si="120"/>
        <v>-</v>
      </c>
      <c r="AB58" s="101" t="str">
        <f t="shared" si="120"/>
        <v>-</v>
      </c>
      <c r="AC58" s="101" t="str">
        <f t="shared" si="120"/>
        <v>-</v>
      </c>
      <c r="AD58" s="101" t="str">
        <f t="shared" si="120"/>
        <v>-</v>
      </c>
      <c r="AE58" s="101" t="str">
        <f t="shared" si="120"/>
        <v>-</v>
      </c>
      <c r="AF58" s="101" t="str">
        <f t="shared" si="121"/>
        <v>-</v>
      </c>
      <c r="AG58" s="101" t="str">
        <f t="shared" si="121"/>
        <v>-</v>
      </c>
      <c r="AH58" s="101" t="str">
        <f t="shared" si="121"/>
        <v>-</v>
      </c>
      <c r="AI58" s="101" t="str">
        <f t="shared" si="121"/>
        <v>-</v>
      </c>
      <c r="AJ58" s="101" t="str">
        <f t="shared" si="121"/>
        <v>-</v>
      </c>
      <c r="AK58" s="101" t="str">
        <f t="shared" si="121"/>
        <v>-</v>
      </c>
      <c r="AL58" s="101" t="str">
        <f t="shared" si="121"/>
        <v>-</v>
      </c>
      <c r="AM58" s="101" t="str">
        <f t="shared" si="121"/>
        <v>-</v>
      </c>
      <c r="AN58" s="101" t="str">
        <f t="shared" si="121"/>
        <v>-</v>
      </c>
      <c r="AO58" s="101" t="str">
        <f t="shared" si="121"/>
        <v>-</v>
      </c>
      <c r="AP58" s="101" t="str">
        <f t="shared" si="122"/>
        <v>-</v>
      </c>
      <c r="AQ58" s="101" t="str">
        <f t="shared" si="122"/>
        <v>-</v>
      </c>
      <c r="AR58" s="101" t="str">
        <f t="shared" si="122"/>
        <v>-</v>
      </c>
      <c r="AS58" s="101" t="str">
        <f t="shared" si="122"/>
        <v>-</v>
      </c>
      <c r="AT58" s="101" t="str">
        <f t="shared" si="122"/>
        <v>-</v>
      </c>
      <c r="AU58" s="101" t="str">
        <f t="shared" si="122"/>
        <v>-</v>
      </c>
      <c r="AV58" s="101" t="str">
        <f t="shared" si="122"/>
        <v>-</v>
      </c>
      <c r="AW58" s="101" t="str">
        <f t="shared" si="122"/>
        <v>-</v>
      </c>
      <c r="AX58" s="101" t="str">
        <f t="shared" si="122"/>
        <v>-</v>
      </c>
      <c r="AY58" s="101" t="str">
        <f t="shared" si="122"/>
        <v>-</v>
      </c>
      <c r="AZ58" s="101" t="str">
        <f t="shared" si="123"/>
        <v>-</v>
      </c>
      <c r="BA58" s="101" t="str">
        <f t="shared" si="123"/>
        <v>-</v>
      </c>
      <c r="BB58" s="101" t="str">
        <f t="shared" si="123"/>
        <v>-</v>
      </c>
      <c r="BC58" s="101" t="str">
        <f t="shared" si="123"/>
        <v>-</v>
      </c>
      <c r="BD58" s="101" t="str">
        <f t="shared" si="123"/>
        <v>-</v>
      </c>
      <c r="BE58" s="101" t="str">
        <f t="shared" si="123"/>
        <v>-</v>
      </c>
      <c r="BF58" s="101" t="str">
        <f t="shared" si="123"/>
        <v>-</v>
      </c>
      <c r="BG58" s="101" t="str">
        <f t="shared" si="123"/>
        <v>-</v>
      </c>
      <c r="BH58" s="101" t="str">
        <f t="shared" si="123"/>
        <v>-</v>
      </c>
      <c r="BI58" s="101" t="str">
        <f t="shared" si="123"/>
        <v>-</v>
      </c>
      <c r="BJ58" s="101" t="str">
        <f t="shared" si="124"/>
        <v>-</v>
      </c>
      <c r="BK58" s="101" t="str">
        <f t="shared" si="124"/>
        <v>-</v>
      </c>
      <c r="BL58" s="101" t="str">
        <f t="shared" si="124"/>
        <v>-</v>
      </c>
      <c r="BM58" s="101" t="str">
        <f t="shared" si="124"/>
        <v>-</v>
      </c>
      <c r="BN58" s="101" t="str">
        <f t="shared" si="124"/>
        <v>-</v>
      </c>
      <c r="BO58" s="101" t="str">
        <f t="shared" si="124"/>
        <v>-</v>
      </c>
      <c r="BP58" s="101" t="str">
        <f t="shared" si="124"/>
        <v>-</v>
      </c>
      <c r="BQ58" s="101" t="str">
        <f t="shared" si="124"/>
        <v>-</v>
      </c>
      <c r="BR58" s="101" t="str">
        <f t="shared" si="124"/>
        <v>-</v>
      </c>
      <c r="BS58" s="101" t="str">
        <f t="shared" si="124"/>
        <v>-</v>
      </c>
      <c r="BT58" s="101" t="str">
        <f t="shared" si="125"/>
        <v>-</v>
      </c>
      <c r="BU58" s="101" t="str">
        <f t="shared" si="125"/>
        <v>-</v>
      </c>
      <c r="BV58" s="101" t="str">
        <f t="shared" si="125"/>
        <v>-</v>
      </c>
      <c r="BW58" s="101" t="str">
        <f t="shared" si="125"/>
        <v>-</v>
      </c>
      <c r="BX58" s="101" t="str">
        <f t="shared" si="125"/>
        <v>-</v>
      </c>
      <c r="BY58" s="101" t="str">
        <f t="shared" si="125"/>
        <v>-</v>
      </c>
      <c r="BZ58" s="101" t="str">
        <f t="shared" si="125"/>
        <v>-</v>
      </c>
      <c r="CA58" s="101" t="str">
        <f t="shared" si="125"/>
        <v>-</v>
      </c>
      <c r="CB58" s="101" t="str">
        <f t="shared" si="125"/>
        <v>-</v>
      </c>
      <c r="CC58" s="101" t="str">
        <f t="shared" si="125"/>
        <v>-</v>
      </c>
      <c r="CD58" s="101" t="str">
        <f t="shared" si="126"/>
        <v>-</v>
      </c>
      <c r="CE58" s="101" t="str">
        <f t="shared" si="126"/>
        <v>-</v>
      </c>
      <c r="CF58" s="101" t="str">
        <f t="shared" si="126"/>
        <v>-</v>
      </c>
      <c r="CG58" s="101" t="str">
        <f t="shared" si="126"/>
        <v>-</v>
      </c>
      <c r="CH58" s="101" t="str">
        <f t="shared" si="126"/>
        <v>-</v>
      </c>
      <c r="CI58" s="101" t="str">
        <f t="shared" si="126"/>
        <v>-</v>
      </c>
      <c r="CJ58" s="101" t="str">
        <f t="shared" si="126"/>
        <v>-</v>
      </c>
      <c r="CK58" s="101" t="str">
        <f t="shared" si="126"/>
        <v>-</v>
      </c>
      <c r="CL58" s="101" t="str">
        <f t="shared" si="126"/>
        <v>-</v>
      </c>
      <c r="CM58" s="101" t="str">
        <f t="shared" si="126"/>
        <v>-</v>
      </c>
      <c r="CN58" s="101" t="str">
        <f t="shared" si="127"/>
        <v>-</v>
      </c>
      <c r="CO58" s="101" t="str">
        <f t="shared" si="127"/>
        <v>-</v>
      </c>
      <c r="CP58" s="101" t="str">
        <f t="shared" si="127"/>
        <v>-</v>
      </c>
      <c r="CQ58" s="101" t="str">
        <f t="shared" si="127"/>
        <v>-</v>
      </c>
      <c r="CR58" s="101" t="str">
        <f t="shared" si="127"/>
        <v>-</v>
      </c>
      <c r="CS58" s="101" t="str">
        <f t="shared" si="127"/>
        <v>-</v>
      </c>
      <c r="CV58" s="101" t="e">
        <f t="shared" si="128"/>
        <v>#VALUE!</v>
      </c>
      <c r="CW58" s="101" t="str">
        <f t="shared" si="128"/>
        <v>-</v>
      </c>
      <c r="CX58" s="101" t="str">
        <f t="shared" si="128"/>
        <v>-</v>
      </c>
      <c r="CY58" s="101" t="str">
        <f t="shared" si="128"/>
        <v>-</v>
      </c>
      <c r="CZ58" s="101" t="str">
        <f t="shared" si="128"/>
        <v>-</v>
      </c>
      <c r="DA58" s="101" t="str">
        <f t="shared" si="128"/>
        <v>-</v>
      </c>
      <c r="DB58" s="101" t="str">
        <f t="shared" si="128"/>
        <v>-</v>
      </c>
      <c r="DC58" s="101" t="str">
        <f t="shared" si="128"/>
        <v>-</v>
      </c>
      <c r="DD58" s="101" t="str">
        <f t="shared" si="128"/>
        <v>-</v>
      </c>
      <c r="DE58" s="101" t="str">
        <f t="shared" si="128"/>
        <v>-</v>
      </c>
      <c r="DF58" s="101" t="str">
        <f t="shared" si="129"/>
        <v>-</v>
      </c>
      <c r="DG58" s="101" t="str">
        <f t="shared" si="129"/>
        <v>-</v>
      </c>
      <c r="DH58" s="101" t="str">
        <f t="shared" si="129"/>
        <v>-</v>
      </c>
      <c r="DI58" s="101" t="str">
        <f t="shared" si="129"/>
        <v>-</v>
      </c>
      <c r="DJ58" s="101" t="str">
        <f t="shared" si="129"/>
        <v>-</v>
      </c>
      <c r="DK58" s="101" t="str">
        <f t="shared" si="129"/>
        <v>-</v>
      </c>
      <c r="DL58" s="101" t="str">
        <f t="shared" si="129"/>
        <v>-</v>
      </c>
      <c r="DM58" s="101" t="str">
        <f t="shared" si="129"/>
        <v>-</v>
      </c>
      <c r="DN58" s="101" t="str">
        <f t="shared" si="129"/>
        <v>-</v>
      </c>
      <c r="DO58" s="101" t="str">
        <f t="shared" si="129"/>
        <v>-</v>
      </c>
      <c r="DP58" s="101" t="str">
        <f t="shared" si="130"/>
        <v>-</v>
      </c>
      <c r="DQ58" s="101" t="str">
        <f t="shared" si="130"/>
        <v>-</v>
      </c>
      <c r="DR58" s="101" t="str">
        <f t="shared" si="130"/>
        <v>-</v>
      </c>
      <c r="DS58" s="101" t="str">
        <f t="shared" si="130"/>
        <v>-</v>
      </c>
      <c r="DT58" s="101" t="str">
        <f t="shared" si="130"/>
        <v>-</v>
      </c>
      <c r="DU58" s="101" t="str">
        <f t="shared" si="130"/>
        <v>-</v>
      </c>
      <c r="DV58" s="101" t="str">
        <f t="shared" si="130"/>
        <v>-</v>
      </c>
      <c r="DW58" s="101" t="str">
        <f t="shared" si="130"/>
        <v>-</v>
      </c>
    </row>
    <row r="59" spans="1:127">
      <c r="A59" s="510"/>
      <c r="B59" s="509"/>
      <c r="C59" s="509"/>
      <c r="D59" s="466"/>
      <c r="E59" s="109" t="s">
        <v>66</v>
      </c>
      <c r="F59" s="102" t="e">
        <f>SUM('BESS 12'!S345,'BESS 12'!S348:S349,'BESS 12'!S353:S354)</f>
        <v>#VALUE!</v>
      </c>
      <c r="G59" s="165">
        <f>G58+7</f>
        <v>46263</v>
      </c>
      <c r="H59" s="110">
        <f>$G$35-5</f>
        <v>46243</v>
      </c>
      <c r="I59" s="102">
        <f>G59-H59</f>
        <v>20</v>
      </c>
      <c r="J59" s="507"/>
      <c r="K59" s="476"/>
      <c r="L59" s="101" t="str">
        <f t="shared" si="119"/>
        <v>-</v>
      </c>
      <c r="M59" s="101" t="str">
        <f t="shared" si="119"/>
        <v>-</v>
      </c>
      <c r="N59" s="101" t="str">
        <f t="shared" si="119"/>
        <v>-</v>
      </c>
      <c r="O59" s="101" t="str">
        <f t="shared" si="119"/>
        <v>-</v>
      </c>
      <c r="P59" s="101" t="str">
        <f t="shared" si="119"/>
        <v>-</v>
      </c>
      <c r="Q59" s="101" t="str">
        <f t="shared" si="119"/>
        <v>-</v>
      </c>
      <c r="R59" s="101" t="str">
        <f t="shared" si="119"/>
        <v>-</v>
      </c>
      <c r="S59" s="101" t="str">
        <f t="shared" si="119"/>
        <v>-</v>
      </c>
      <c r="T59" s="101" t="str">
        <f t="shared" si="119"/>
        <v>-</v>
      </c>
      <c r="U59" s="101" t="str">
        <f t="shared" si="119"/>
        <v>-</v>
      </c>
      <c r="V59" s="101" t="str">
        <f t="shared" si="120"/>
        <v>-</v>
      </c>
      <c r="W59" s="101" t="str">
        <f t="shared" si="120"/>
        <v>-</v>
      </c>
      <c r="X59" s="101" t="str">
        <f t="shared" si="120"/>
        <v>-</v>
      </c>
      <c r="Y59" s="101" t="str">
        <f t="shared" si="120"/>
        <v>-</v>
      </c>
      <c r="Z59" s="101" t="str">
        <f t="shared" si="120"/>
        <v>-</v>
      </c>
      <c r="AA59" s="101" t="str">
        <f t="shared" si="120"/>
        <v>-</v>
      </c>
      <c r="AB59" s="101" t="str">
        <f t="shared" si="120"/>
        <v>-</v>
      </c>
      <c r="AC59" s="101" t="str">
        <f t="shared" si="120"/>
        <v>-</v>
      </c>
      <c r="AD59" s="101" t="str">
        <f t="shared" si="120"/>
        <v>-</v>
      </c>
      <c r="AE59" s="101" t="str">
        <f t="shared" si="120"/>
        <v>-</v>
      </c>
      <c r="AF59" s="101" t="str">
        <f t="shared" si="121"/>
        <v>-</v>
      </c>
      <c r="AG59" s="101" t="str">
        <f t="shared" si="121"/>
        <v>-</v>
      </c>
      <c r="AH59" s="101" t="str">
        <f t="shared" si="121"/>
        <v>-</v>
      </c>
      <c r="AI59" s="101" t="str">
        <f t="shared" si="121"/>
        <v>-</v>
      </c>
      <c r="AJ59" s="101" t="str">
        <f t="shared" si="121"/>
        <v>-</v>
      </c>
      <c r="AK59" s="101" t="str">
        <f t="shared" si="121"/>
        <v>-</v>
      </c>
      <c r="AL59" s="101" t="str">
        <f t="shared" si="121"/>
        <v>-</v>
      </c>
      <c r="AM59" s="101" t="str">
        <f t="shared" si="121"/>
        <v>-</v>
      </c>
      <c r="AN59" s="101" t="str">
        <f t="shared" si="121"/>
        <v>-</v>
      </c>
      <c r="AO59" s="101" t="str">
        <f t="shared" si="121"/>
        <v>-</v>
      </c>
      <c r="AP59" s="101" t="str">
        <f t="shared" si="122"/>
        <v>-</v>
      </c>
      <c r="AQ59" s="101" t="str">
        <f t="shared" si="122"/>
        <v>-</v>
      </c>
      <c r="AR59" s="101" t="str">
        <f t="shared" si="122"/>
        <v>-</v>
      </c>
      <c r="AS59" s="101" t="str">
        <f t="shared" si="122"/>
        <v>-</v>
      </c>
      <c r="AT59" s="101" t="str">
        <f t="shared" si="122"/>
        <v>-</v>
      </c>
      <c r="AU59" s="101" t="str">
        <f t="shared" si="122"/>
        <v>-</v>
      </c>
      <c r="AV59" s="101" t="str">
        <f t="shared" si="122"/>
        <v>-</v>
      </c>
      <c r="AW59" s="101" t="str">
        <f t="shared" si="122"/>
        <v>-</v>
      </c>
      <c r="AX59" s="101" t="str">
        <f t="shared" si="122"/>
        <v>-</v>
      </c>
      <c r="AY59" s="101" t="str">
        <f t="shared" si="122"/>
        <v>-</v>
      </c>
      <c r="AZ59" s="101" t="str">
        <f t="shared" si="123"/>
        <v>-</v>
      </c>
      <c r="BA59" s="101" t="str">
        <f t="shared" si="123"/>
        <v>-</v>
      </c>
      <c r="BB59" s="101" t="str">
        <f t="shared" si="123"/>
        <v>-</v>
      </c>
      <c r="BC59" s="101" t="str">
        <f t="shared" si="123"/>
        <v>-</v>
      </c>
      <c r="BD59" s="101" t="str">
        <f t="shared" si="123"/>
        <v>-</v>
      </c>
      <c r="BE59" s="101" t="str">
        <f t="shared" si="123"/>
        <v>-</v>
      </c>
      <c r="BF59" s="101" t="str">
        <f t="shared" si="123"/>
        <v>-</v>
      </c>
      <c r="BG59" s="101" t="str">
        <f t="shared" si="123"/>
        <v>-</v>
      </c>
      <c r="BH59" s="101" t="str">
        <f t="shared" si="123"/>
        <v>-</v>
      </c>
      <c r="BI59" s="101" t="str">
        <f t="shared" si="123"/>
        <v>-</v>
      </c>
      <c r="BJ59" s="101" t="str">
        <f t="shared" si="124"/>
        <v>-</v>
      </c>
      <c r="BK59" s="101" t="str">
        <f t="shared" si="124"/>
        <v>-</v>
      </c>
      <c r="BL59" s="101" t="str">
        <f t="shared" si="124"/>
        <v>-</v>
      </c>
      <c r="BM59" s="101" t="str">
        <f t="shared" si="124"/>
        <v>-</v>
      </c>
      <c r="BN59" s="101" t="str">
        <f t="shared" si="124"/>
        <v>-</v>
      </c>
      <c r="BO59" s="101" t="str">
        <f t="shared" si="124"/>
        <v>-</v>
      </c>
      <c r="BP59" s="101" t="str">
        <f t="shared" si="124"/>
        <v>-</v>
      </c>
      <c r="BQ59" s="101" t="str">
        <f t="shared" si="124"/>
        <v>-</v>
      </c>
      <c r="BR59" s="101" t="str">
        <f t="shared" si="124"/>
        <v>-</v>
      </c>
      <c r="BS59" s="101" t="str">
        <f t="shared" si="124"/>
        <v>-</v>
      </c>
      <c r="BT59" s="101" t="str">
        <f t="shared" si="125"/>
        <v>-</v>
      </c>
      <c r="BU59" s="101" t="str">
        <f t="shared" si="125"/>
        <v>-</v>
      </c>
      <c r="BV59" s="101" t="str">
        <f t="shared" si="125"/>
        <v>-</v>
      </c>
      <c r="BW59" s="101" t="str">
        <f t="shared" si="125"/>
        <v>-</v>
      </c>
      <c r="BX59" s="101" t="str">
        <f t="shared" si="125"/>
        <v>-</v>
      </c>
      <c r="BY59" s="101" t="str">
        <f t="shared" si="125"/>
        <v>-</v>
      </c>
      <c r="BZ59" s="101" t="str">
        <f t="shared" si="125"/>
        <v>-</v>
      </c>
      <c r="CA59" s="101" t="str">
        <f t="shared" si="125"/>
        <v>-</v>
      </c>
      <c r="CB59" s="101" t="str">
        <f t="shared" si="125"/>
        <v>-</v>
      </c>
      <c r="CC59" s="101" t="str">
        <f t="shared" si="125"/>
        <v>-</v>
      </c>
      <c r="CD59" s="101" t="str">
        <f t="shared" si="126"/>
        <v>-</v>
      </c>
      <c r="CE59" s="101" t="str">
        <f t="shared" si="126"/>
        <v>-</v>
      </c>
      <c r="CF59" s="101" t="str">
        <f t="shared" si="126"/>
        <v>-</v>
      </c>
      <c r="CG59" s="101" t="str">
        <f t="shared" si="126"/>
        <v>-</v>
      </c>
      <c r="CH59" s="101" t="str">
        <f t="shared" si="126"/>
        <v>-</v>
      </c>
      <c r="CI59" s="101" t="str">
        <f t="shared" si="126"/>
        <v>-</v>
      </c>
      <c r="CJ59" s="101" t="str">
        <f t="shared" si="126"/>
        <v>-</v>
      </c>
      <c r="CK59" s="101" t="str">
        <f t="shared" si="126"/>
        <v>-</v>
      </c>
      <c r="CL59" s="101" t="str">
        <f t="shared" si="126"/>
        <v>-</v>
      </c>
      <c r="CM59" s="101" t="str">
        <f t="shared" si="126"/>
        <v>-</v>
      </c>
      <c r="CN59" s="101" t="str">
        <f t="shared" si="127"/>
        <v>-</v>
      </c>
      <c r="CO59" s="101" t="str">
        <f t="shared" si="127"/>
        <v>-</v>
      </c>
      <c r="CP59" s="101" t="str">
        <f t="shared" si="127"/>
        <v>-</v>
      </c>
      <c r="CQ59" s="101" t="str">
        <f t="shared" si="127"/>
        <v>-</v>
      </c>
      <c r="CR59" s="101" t="str">
        <f t="shared" si="127"/>
        <v>-</v>
      </c>
      <c r="CS59" s="101" t="str">
        <f t="shared" si="127"/>
        <v>-</v>
      </c>
      <c r="CV59" s="101" t="e">
        <f t="shared" si="128"/>
        <v>#VALUE!</v>
      </c>
      <c r="CW59" s="101" t="str">
        <f t="shared" si="128"/>
        <v>-</v>
      </c>
      <c r="CX59" s="101" t="str">
        <f t="shared" si="128"/>
        <v>-</v>
      </c>
      <c r="CY59" s="101" t="str">
        <f t="shared" si="128"/>
        <v>-</v>
      </c>
      <c r="CZ59" s="101" t="str">
        <f t="shared" si="128"/>
        <v>-</v>
      </c>
      <c r="DA59" s="101" t="str">
        <f t="shared" si="128"/>
        <v>-</v>
      </c>
      <c r="DB59" s="101" t="str">
        <f t="shared" si="128"/>
        <v>-</v>
      </c>
      <c r="DC59" s="101" t="str">
        <f t="shared" si="128"/>
        <v>-</v>
      </c>
      <c r="DD59" s="101" t="str">
        <f t="shared" si="128"/>
        <v>-</v>
      </c>
      <c r="DE59" s="101" t="str">
        <f t="shared" si="128"/>
        <v>-</v>
      </c>
      <c r="DF59" s="101" t="str">
        <f t="shared" si="129"/>
        <v>-</v>
      </c>
      <c r="DG59" s="101" t="str">
        <f t="shared" si="129"/>
        <v>-</v>
      </c>
      <c r="DH59" s="101" t="str">
        <f t="shared" si="129"/>
        <v>-</v>
      </c>
      <c r="DI59" s="101" t="str">
        <f t="shared" si="129"/>
        <v>-</v>
      </c>
      <c r="DJ59" s="101" t="str">
        <f t="shared" si="129"/>
        <v>-</v>
      </c>
      <c r="DK59" s="101" t="str">
        <f t="shared" si="129"/>
        <v>-</v>
      </c>
      <c r="DL59" s="101" t="str">
        <f t="shared" si="129"/>
        <v>-</v>
      </c>
      <c r="DM59" s="101" t="str">
        <f t="shared" si="129"/>
        <v>-</v>
      </c>
      <c r="DN59" s="101" t="str">
        <f t="shared" si="129"/>
        <v>-</v>
      </c>
      <c r="DO59" s="101" t="str">
        <f t="shared" si="129"/>
        <v>-</v>
      </c>
      <c r="DP59" s="101" t="str">
        <f t="shared" si="130"/>
        <v>-</v>
      </c>
      <c r="DQ59" s="101" t="str">
        <f t="shared" si="130"/>
        <v>-</v>
      </c>
      <c r="DR59" s="101" t="str">
        <f t="shared" si="130"/>
        <v>-</v>
      </c>
      <c r="DS59" s="101" t="str">
        <f t="shared" si="130"/>
        <v>-</v>
      </c>
      <c r="DT59" s="101" t="str">
        <f t="shared" si="130"/>
        <v>-</v>
      </c>
      <c r="DU59" s="101" t="str">
        <f t="shared" si="130"/>
        <v>-</v>
      </c>
      <c r="DV59" s="101" t="str">
        <f t="shared" si="130"/>
        <v>-</v>
      </c>
      <c r="DW59" s="101" t="str">
        <f t="shared" si="130"/>
        <v>-</v>
      </c>
    </row>
    <row r="60" spans="1:127">
      <c r="A60" s="510"/>
      <c r="B60" s="509"/>
      <c r="C60" s="509"/>
      <c r="D60" s="466"/>
      <c r="E60" s="109" t="s">
        <v>67</v>
      </c>
      <c r="F60" s="102" t="e">
        <f>SUM('BESS 12'!S356:S365)</f>
        <v>#VALUE!</v>
      </c>
      <c r="G60" s="165" t="e">
        <f>B56-3</f>
        <v>#VALUE!</v>
      </c>
      <c r="H60" s="110" t="e">
        <f>G60-14</f>
        <v>#VALUE!</v>
      </c>
      <c r="I60" s="102" t="e">
        <f>G60-H60</f>
        <v>#VALUE!</v>
      </c>
      <c r="J60" s="507"/>
      <c r="K60" s="476"/>
      <c r="L60" s="101" t="e">
        <f t="shared" si="119"/>
        <v>#VALUE!</v>
      </c>
      <c r="M60" s="101" t="e">
        <f t="shared" si="119"/>
        <v>#VALUE!</v>
      </c>
      <c r="N60" s="101" t="e">
        <f t="shared" si="119"/>
        <v>#VALUE!</v>
      </c>
      <c r="O60" s="101" t="e">
        <f t="shared" si="119"/>
        <v>#VALUE!</v>
      </c>
      <c r="P60" s="101" t="e">
        <f t="shared" si="119"/>
        <v>#VALUE!</v>
      </c>
      <c r="Q60" s="101" t="e">
        <f t="shared" si="119"/>
        <v>#VALUE!</v>
      </c>
      <c r="R60" s="101" t="e">
        <f t="shared" si="119"/>
        <v>#VALUE!</v>
      </c>
      <c r="S60" s="101" t="e">
        <f t="shared" si="119"/>
        <v>#VALUE!</v>
      </c>
      <c r="T60" s="101" t="e">
        <f t="shared" si="119"/>
        <v>#VALUE!</v>
      </c>
      <c r="U60" s="101" t="e">
        <f t="shared" si="119"/>
        <v>#VALUE!</v>
      </c>
      <c r="V60" s="101" t="e">
        <f t="shared" si="120"/>
        <v>#VALUE!</v>
      </c>
      <c r="W60" s="101" t="e">
        <f t="shared" si="120"/>
        <v>#VALUE!</v>
      </c>
      <c r="X60" s="101" t="e">
        <f t="shared" si="120"/>
        <v>#VALUE!</v>
      </c>
      <c r="Y60" s="101" t="e">
        <f t="shared" si="120"/>
        <v>#VALUE!</v>
      </c>
      <c r="Z60" s="101" t="e">
        <f t="shared" si="120"/>
        <v>#VALUE!</v>
      </c>
      <c r="AA60" s="101" t="e">
        <f t="shared" si="120"/>
        <v>#VALUE!</v>
      </c>
      <c r="AB60" s="101" t="e">
        <f t="shared" si="120"/>
        <v>#VALUE!</v>
      </c>
      <c r="AC60" s="101" t="e">
        <f t="shared" si="120"/>
        <v>#VALUE!</v>
      </c>
      <c r="AD60" s="101" t="e">
        <f t="shared" si="120"/>
        <v>#VALUE!</v>
      </c>
      <c r="AE60" s="101" t="e">
        <f t="shared" si="120"/>
        <v>#VALUE!</v>
      </c>
      <c r="AF60" s="101" t="e">
        <f t="shared" si="121"/>
        <v>#VALUE!</v>
      </c>
      <c r="AG60" s="101" t="e">
        <f t="shared" si="121"/>
        <v>#VALUE!</v>
      </c>
      <c r="AH60" s="101" t="e">
        <f t="shared" si="121"/>
        <v>#VALUE!</v>
      </c>
      <c r="AI60" s="101" t="e">
        <f t="shared" si="121"/>
        <v>#VALUE!</v>
      </c>
      <c r="AJ60" s="101" t="e">
        <f t="shared" si="121"/>
        <v>#VALUE!</v>
      </c>
      <c r="AK60" s="101" t="e">
        <f t="shared" si="121"/>
        <v>#VALUE!</v>
      </c>
      <c r="AL60" s="101" t="e">
        <f t="shared" si="121"/>
        <v>#VALUE!</v>
      </c>
      <c r="AM60" s="101" t="e">
        <f t="shared" si="121"/>
        <v>#VALUE!</v>
      </c>
      <c r="AN60" s="101" t="e">
        <f t="shared" si="121"/>
        <v>#VALUE!</v>
      </c>
      <c r="AO60" s="101" t="e">
        <f t="shared" si="121"/>
        <v>#VALUE!</v>
      </c>
      <c r="AP60" s="101" t="e">
        <f t="shared" si="122"/>
        <v>#VALUE!</v>
      </c>
      <c r="AQ60" s="101" t="e">
        <f t="shared" si="122"/>
        <v>#VALUE!</v>
      </c>
      <c r="AR60" s="101" t="e">
        <f t="shared" si="122"/>
        <v>#VALUE!</v>
      </c>
      <c r="AS60" s="101" t="e">
        <f t="shared" si="122"/>
        <v>#VALUE!</v>
      </c>
      <c r="AT60" s="101" t="e">
        <f t="shared" si="122"/>
        <v>#VALUE!</v>
      </c>
      <c r="AU60" s="101" t="e">
        <f t="shared" si="122"/>
        <v>#VALUE!</v>
      </c>
      <c r="AV60" s="101" t="e">
        <f t="shared" si="122"/>
        <v>#VALUE!</v>
      </c>
      <c r="AW60" s="101" t="e">
        <f t="shared" si="122"/>
        <v>#VALUE!</v>
      </c>
      <c r="AX60" s="101" t="e">
        <f t="shared" si="122"/>
        <v>#VALUE!</v>
      </c>
      <c r="AY60" s="101" t="e">
        <f t="shared" si="122"/>
        <v>#VALUE!</v>
      </c>
      <c r="AZ60" s="101" t="e">
        <f t="shared" si="123"/>
        <v>#VALUE!</v>
      </c>
      <c r="BA60" s="101" t="e">
        <f t="shared" si="123"/>
        <v>#VALUE!</v>
      </c>
      <c r="BB60" s="101" t="e">
        <f t="shared" si="123"/>
        <v>#VALUE!</v>
      </c>
      <c r="BC60" s="101" t="e">
        <f t="shared" si="123"/>
        <v>#VALUE!</v>
      </c>
      <c r="BD60" s="101" t="e">
        <f t="shared" si="123"/>
        <v>#VALUE!</v>
      </c>
      <c r="BE60" s="101" t="e">
        <f t="shared" si="123"/>
        <v>#VALUE!</v>
      </c>
      <c r="BF60" s="101" t="e">
        <f t="shared" si="123"/>
        <v>#VALUE!</v>
      </c>
      <c r="BG60" s="101" t="e">
        <f t="shared" si="123"/>
        <v>#VALUE!</v>
      </c>
      <c r="BH60" s="101" t="e">
        <f t="shared" si="123"/>
        <v>#VALUE!</v>
      </c>
      <c r="BI60" s="101" t="e">
        <f t="shared" si="123"/>
        <v>#VALUE!</v>
      </c>
      <c r="BJ60" s="101" t="e">
        <f t="shared" si="124"/>
        <v>#VALUE!</v>
      </c>
      <c r="BK60" s="101" t="e">
        <f t="shared" si="124"/>
        <v>#VALUE!</v>
      </c>
      <c r="BL60" s="101" t="e">
        <f t="shared" si="124"/>
        <v>#VALUE!</v>
      </c>
      <c r="BM60" s="101" t="e">
        <f t="shared" si="124"/>
        <v>#VALUE!</v>
      </c>
      <c r="BN60" s="101" t="e">
        <f t="shared" si="124"/>
        <v>#VALUE!</v>
      </c>
      <c r="BO60" s="101" t="e">
        <f t="shared" si="124"/>
        <v>#VALUE!</v>
      </c>
      <c r="BP60" s="101" t="e">
        <f t="shared" si="124"/>
        <v>#VALUE!</v>
      </c>
      <c r="BQ60" s="101" t="e">
        <f t="shared" si="124"/>
        <v>#VALUE!</v>
      </c>
      <c r="BR60" s="101" t="e">
        <f t="shared" si="124"/>
        <v>#VALUE!</v>
      </c>
      <c r="BS60" s="101" t="e">
        <f t="shared" si="124"/>
        <v>#VALUE!</v>
      </c>
      <c r="BT60" s="132" t="e">
        <f t="shared" si="125"/>
        <v>#VALUE!</v>
      </c>
      <c r="BU60" s="132" t="e">
        <f t="shared" si="125"/>
        <v>#VALUE!</v>
      </c>
      <c r="BV60" s="132" t="e">
        <f t="shared" si="125"/>
        <v>#VALUE!</v>
      </c>
      <c r="BW60" s="132" t="e">
        <f t="shared" si="125"/>
        <v>#VALUE!</v>
      </c>
      <c r="BX60" s="132" t="e">
        <f t="shared" si="125"/>
        <v>#VALUE!</v>
      </c>
      <c r="BY60" s="132" t="e">
        <f t="shared" si="125"/>
        <v>#VALUE!</v>
      </c>
      <c r="BZ60" s="132" t="e">
        <f t="shared" si="125"/>
        <v>#VALUE!</v>
      </c>
      <c r="CA60" s="132" t="e">
        <f t="shared" si="125"/>
        <v>#VALUE!</v>
      </c>
      <c r="CB60" s="132" t="e">
        <f t="shared" si="125"/>
        <v>#VALUE!</v>
      </c>
      <c r="CC60" s="132" t="e">
        <f t="shared" si="125"/>
        <v>#VALUE!</v>
      </c>
      <c r="CD60" s="132" t="e">
        <f t="shared" si="126"/>
        <v>#VALUE!</v>
      </c>
      <c r="CE60" s="132" t="e">
        <f t="shared" si="126"/>
        <v>#VALUE!</v>
      </c>
      <c r="CF60" s="132" t="e">
        <f t="shared" si="126"/>
        <v>#VALUE!</v>
      </c>
      <c r="CG60" s="132" t="e">
        <f t="shared" si="126"/>
        <v>#VALUE!</v>
      </c>
      <c r="CH60" s="132" t="e">
        <f t="shared" si="126"/>
        <v>#VALUE!</v>
      </c>
      <c r="CI60" s="132" t="e">
        <f t="shared" si="126"/>
        <v>#VALUE!</v>
      </c>
      <c r="CJ60" s="132" t="e">
        <f t="shared" si="126"/>
        <v>#VALUE!</v>
      </c>
      <c r="CK60" s="132" t="e">
        <f t="shared" si="126"/>
        <v>#VALUE!</v>
      </c>
      <c r="CL60" s="132" t="e">
        <f t="shared" si="126"/>
        <v>#VALUE!</v>
      </c>
      <c r="CM60" s="132" t="e">
        <f t="shared" si="126"/>
        <v>#VALUE!</v>
      </c>
      <c r="CN60" s="132" t="e">
        <f t="shared" si="127"/>
        <v>#VALUE!</v>
      </c>
      <c r="CO60" s="132" t="e">
        <f t="shared" si="127"/>
        <v>#VALUE!</v>
      </c>
      <c r="CP60" s="132" t="e">
        <f t="shared" si="127"/>
        <v>#VALUE!</v>
      </c>
      <c r="CQ60" s="132" t="e">
        <f t="shared" si="127"/>
        <v>#VALUE!</v>
      </c>
      <c r="CR60" s="132" t="e">
        <f t="shared" si="127"/>
        <v>#VALUE!</v>
      </c>
      <c r="CS60" s="132" t="e">
        <f t="shared" si="127"/>
        <v>#VALUE!</v>
      </c>
      <c r="CV60" s="132" t="e">
        <f t="shared" si="128"/>
        <v>#VALUE!</v>
      </c>
      <c r="CW60" s="132" t="e">
        <f t="shared" si="128"/>
        <v>#VALUE!</v>
      </c>
      <c r="CX60" s="132" t="e">
        <f t="shared" si="128"/>
        <v>#VALUE!</v>
      </c>
      <c r="CY60" s="132" t="e">
        <f t="shared" si="128"/>
        <v>#VALUE!</v>
      </c>
      <c r="CZ60" s="132" t="e">
        <f t="shared" si="128"/>
        <v>#VALUE!</v>
      </c>
      <c r="DA60" s="132" t="e">
        <f t="shared" si="128"/>
        <v>#VALUE!</v>
      </c>
      <c r="DB60" s="132" t="e">
        <f t="shared" si="128"/>
        <v>#VALUE!</v>
      </c>
      <c r="DC60" s="132" t="e">
        <f t="shared" si="128"/>
        <v>#VALUE!</v>
      </c>
      <c r="DD60" s="132" t="e">
        <f t="shared" si="128"/>
        <v>#VALUE!</v>
      </c>
      <c r="DE60" s="132" t="e">
        <f t="shared" si="128"/>
        <v>#VALUE!</v>
      </c>
      <c r="DF60" s="132" t="e">
        <f t="shared" si="129"/>
        <v>#VALUE!</v>
      </c>
      <c r="DG60" s="132" t="e">
        <f t="shared" si="129"/>
        <v>#VALUE!</v>
      </c>
      <c r="DH60" s="132" t="e">
        <f t="shared" si="129"/>
        <v>#VALUE!</v>
      </c>
      <c r="DI60" s="132" t="e">
        <f t="shared" si="129"/>
        <v>#VALUE!</v>
      </c>
      <c r="DJ60" s="132" t="e">
        <f t="shared" si="129"/>
        <v>#VALUE!</v>
      </c>
      <c r="DK60" s="132" t="e">
        <f t="shared" si="129"/>
        <v>#VALUE!</v>
      </c>
      <c r="DL60" s="132" t="e">
        <f t="shared" si="129"/>
        <v>#VALUE!</v>
      </c>
      <c r="DM60" s="132" t="e">
        <f t="shared" si="129"/>
        <v>#VALUE!</v>
      </c>
      <c r="DN60" s="132" t="e">
        <f t="shared" si="129"/>
        <v>#VALUE!</v>
      </c>
      <c r="DO60" s="132" t="e">
        <f t="shared" si="129"/>
        <v>#VALUE!</v>
      </c>
      <c r="DP60" s="132" t="e">
        <f t="shared" si="130"/>
        <v>#VALUE!</v>
      </c>
      <c r="DQ60" s="132" t="e">
        <f t="shared" si="130"/>
        <v>#VALUE!</v>
      </c>
      <c r="DR60" s="132" t="e">
        <f t="shared" si="130"/>
        <v>#VALUE!</v>
      </c>
      <c r="DS60" s="132" t="e">
        <f t="shared" si="130"/>
        <v>#VALUE!</v>
      </c>
      <c r="DT60" s="132" t="e">
        <f t="shared" si="130"/>
        <v>#VALUE!</v>
      </c>
      <c r="DU60" s="132" t="e">
        <f t="shared" si="130"/>
        <v>#VALUE!</v>
      </c>
      <c r="DV60" s="132" t="e">
        <f t="shared" si="130"/>
        <v>#VALUE!</v>
      </c>
      <c r="DW60" s="132" t="e">
        <f t="shared" si="130"/>
        <v>#VALUE!</v>
      </c>
    </row>
    <row r="61" spans="1:127">
      <c r="A61" s="65"/>
      <c r="B61" s="166"/>
      <c r="C61" s="166"/>
      <c r="D61" s="466"/>
      <c r="E61" s="109" t="s">
        <v>68</v>
      </c>
      <c r="F61" s="101">
        <v>250</v>
      </c>
      <c r="G61" s="165" t="e">
        <f>B56-3</f>
        <v>#VALUE!</v>
      </c>
      <c r="H61" s="110"/>
      <c r="I61" s="101">
        <v>30</v>
      </c>
      <c r="J61" s="508"/>
      <c r="K61" s="504"/>
      <c r="L61" s="110"/>
      <c r="M61" s="110"/>
      <c r="N61" s="101"/>
      <c r="O61" s="102"/>
      <c r="P61" s="102"/>
      <c r="Q61" s="102"/>
      <c r="R61" s="102"/>
      <c r="S61" s="102"/>
      <c r="T61" s="102"/>
      <c r="U61" s="102"/>
      <c r="V61" s="102"/>
      <c r="W61" s="102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9"/>
      <c r="BE61" s="109"/>
      <c r="BF61" s="109"/>
      <c r="BG61" s="109"/>
      <c r="BH61" s="109"/>
      <c r="BI61" s="109">
        <v>5</v>
      </c>
      <c r="BJ61" s="109">
        <v>5</v>
      </c>
      <c r="BK61" s="109">
        <v>5</v>
      </c>
      <c r="BL61" s="109">
        <v>5</v>
      </c>
      <c r="BM61" s="109">
        <v>5</v>
      </c>
      <c r="BN61" s="109">
        <v>5</v>
      </c>
      <c r="BO61" s="109">
        <v>5</v>
      </c>
      <c r="BP61" s="109">
        <v>5</v>
      </c>
      <c r="BQ61" s="109">
        <v>5</v>
      </c>
      <c r="BR61" s="109">
        <v>5</v>
      </c>
      <c r="BS61" s="109">
        <v>5</v>
      </c>
      <c r="BT61" s="109">
        <v>5</v>
      </c>
      <c r="BU61" s="109">
        <v>5</v>
      </c>
      <c r="BV61" s="109">
        <v>5</v>
      </c>
      <c r="BW61" s="109">
        <v>5</v>
      </c>
      <c r="BX61" s="109">
        <v>5</v>
      </c>
      <c r="BY61" s="109">
        <v>5</v>
      </c>
      <c r="BZ61" s="109">
        <v>5</v>
      </c>
      <c r="CA61" s="109">
        <v>5</v>
      </c>
      <c r="CB61" s="109">
        <v>5</v>
      </c>
      <c r="CC61" s="109">
        <v>5</v>
      </c>
      <c r="CD61" s="109">
        <v>5</v>
      </c>
      <c r="CE61" s="109">
        <v>5</v>
      </c>
      <c r="CF61" s="109">
        <v>5</v>
      </c>
      <c r="CG61" s="109">
        <v>30</v>
      </c>
      <c r="CH61" s="109">
        <v>30</v>
      </c>
      <c r="CI61" s="109">
        <v>30</v>
      </c>
      <c r="CJ61" s="101">
        <v>30</v>
      </c>
      <c r="CK61" s="101">
        <v>5</v>
      </c>
      <c r="CL61" s="101">
        <v>5</v>
      </c>
      <c r="CM61" s="101"/>
      <c r="CN61" s="101"/>
      <c r="CO61" s="101"/>
      <c r="CP61" s="101"/>
      <c r="CQ61" s="101"/>
      <c r="CR61" s="101"/>
      <c r="CS61" s="101"/>
      <c r="CV61" s="101"/>
      <c r="CW61" s="101"/>
      <c r="CX61" s="101"/>
      <c r="CY61" s="101"/>
      <c r="CZ61" s="101"/>
      <c r="DA61" s="101"/>
      <c r="DB61" s="101"/>
      <c r="DC61" s="101"/>
      <c r="DD61" s="101"/>
      <c r="DE61" s="101"/>
      <c r="DF61" s="101"/>
      <c r="DG61" s="101"/>
      <c r="DH61" s="101"/>
      <c r="DI61" s="101"/>
      <c r="DJ61" s="101"/>
      <c r="DK61" s="101"/>
      <c r="DL61" s="101"/>
      <c r="DM61" s="101"/>
      <c r="DN61" s="101"/>
      <c r="DO61" s="101"/>
      <c r="DP61" s="101"/>
      <c r="DQ61" s="101"/>
      <c r="DR61" s="101"/>
      <c r="DS61" s="101"/>
      <c r="DT61" s="101"/>
      <c r="DU61" s="101"/>
      <c r="DV61" s="101"/>
      <c r="DW61" s="101"/>
    </row>
    <row r="62" spans="1:127" s="141" customFormat="1">
      <c r="B62" s="142"/>
      <c r="E62" s="143"/>
      <c r="F62" s="143"/>
      <c r="G62" s="143"/>
      <c r="H62" s="112" t="s">
        <v>69</v>
      </c>
      <c r="I62" s="144"/>
      <c r="J62" s="143"/>
      <c r="K62" s="143"/>
      <c r="L62" s="113" t="e">
        <f t="shared" ref="L62:AQ62" si="131">SUM(L57:L61)</f>
        <v>#VALUE!</v>
      </c>
      <c r="M62" s="113" t="e">
        <f t="shared" si="131"/>
        <v>#VALUE!</v>
      </c>
      <c r="N62" s="113" t="e">
        <f t="shared" si="131"/>
        <v>#VALUE!</v>
      </c>
      <c r="O62" s="113" t="e">
        <f t="shared" si="131"/>
        <v>#VALUE!</v>
      </c>
      <c r="P62" s="113" t="e">
        <f t="shared" si="131"/>
        <v>#VALUE!</v>
      </c>
      <c r="Q62" s="113" t="e">
        <f t="shared" si="131"/>
        <v>#VALUE!</v>
      </c>
      <c r="R62" s="113" t="e">
        <f t="shared" si="131"/>
        <v>#VALUE!</v>
      </c>
      <c r="S62" s="113" t="e">
        <f t="shared" si="131"/>
        <v>#VALUE!</v>
      </c>
      <c r="T62" s="113" t="e">
        <f t="shared" si="131"/>
        <v>#VALUE!</v>
      </c>
      <c r="U62" s="113" t="e">
        <f t="shared" si="131"/>
        <v>#VALUE!</v>
      </c>
      <c r="V62" s="113" t="e">
        <f t="shared" si="131"/>
        <v>#VALUE!</v>
      </c>
      <c r="W62" s="113" t="e">
        <f t="shared" si="131"/>
        <v>#VALUE!</v>
      </c>
      <c r="X62" s="113" t="e">
        <f t="shared" si="131"/>
        <v>#VALUE!</v>
      </c>
      <c r="Y62" s="113" t="e">
        <f t="shared" si="131"/>
        <v>#VALUE!</v>
      </c>
      <c r="Z62" s="113" t="e">
        <f t="shared" si="131"/>
        <v>#VALUE!</v>
      </c>
      <c r="AA62" s="113" t="e">
        <f t="shared" si="131"/>
        <v>#VALUE!</v>
      </c>
      <c r="AB62" s="113" t="e">
        <f t="shared" si="131"/>
        <v>#VALUE!</v>
      </c>
      <c r="AC62" s="113" t="e">
        <f t="shared" si="131"/>
        <v>#VALUE!</v>
      </c>
      <c r="AD62" s="113" t="e">
        <f t="shared" si="131"/>
        <v>#VALUE!</v>
      </c>
      <c r="AE62" s="113" t="e">
        <f t="shared" si="131"/>
        <v>#VALUE!</v>
      </c>
      <c r="AF62" s="113" t="e">
        <f t="shared" si="131"/>
        <v>#VALUE!</v>
      </c>
      <c r="AG62" s="113" t="e">
        <f t="shared" si="131"/>
        <v>#VALUE!</v>
      </c>
      <c r="AH62" s="113" t="e">
        <f t="shared" si="131"/>
        <v>#VALUE!</v>
      </c>
      <c r="AI62" s="113" t="e">
        <f t="shared" si="131"/>
        <v>#VALUE!</v>
      </c>
      <c r="AJ62" s="113" t="e">
        <f t="shared" si="131"/>
        <v>#VALUE!</v>
      </c>
      <c r="AK62" s="113" t="e">
        <f t="shared" si="131"/>
        <v>#VALUE!</v>
      </c>
      <c r="AL62" s="113" t="e">
        <f t="shared" si="131"/>
        <v>#VALUE!</v>
      </c>
      <c r="AM62" s="113" t="e">
        <f t="shared" si="131"/>
        <v>#VALUE!</v>
      </c>
      <c r="AN62" s="113" t="e">
        <f t="shared" si="131"/>
        <v>#VALUE!</v>
      </c>
      <c r="AO62" s="113" t="e">
        <f t="shared" si="131"/>
        <v>#VALUE!</v>
      </c>
      <c r="AP62" s="113" t="e">
        <f t="shared" si="131"/>
        <v>#VALUE!</v>
      </c>
      <c r="AQ62" s="113" t="e">
        <f t="shared" si="131"/>
        <v>#VALUE!</v>
      </c>
      <c r="AR62" s="113" t="e">
        <f t="shared" ref="AR62:BW62" si="132">SUM(AR57:AR61)</f>
        <v>#VALUE!</v>
      </c>
      <c r="AS62" s="113" t="e">
        <f t="shared" si="132"/>
        <v>#VALUE!</v>
      </c>
      <c r="AT62" s="113" t="e">
        <f t="shared" si="132"/>
        <v>#VALUE!</v>
      </c>
      <c r="AU62" s="113" t="e">
        <f t="shared" si="132"/>
        <v>#VALUE!</v>
      </c>
      <c r="AV62" s="113" t="e">
        <f t="shared" si="132"/>
        <v>#VALUE!</v>
      </c>
      <c r="AW62" s="113" t="e">
        <f t="shared" si="132"/>
        <v>#VALUE!</v>
      </c>
      <c r="AX62" s="113" t="e">
        <f t="shared" si="132"/>
        <v>#VALUE!</v>
      </c>
      <c r="AY62" s="113" t="e">
        <f t="shared" si="132"/>
        <v>#VALUE!</v>
      </c>
      <c r="AZ62" s="113" t="e">
        <f t="shared" si="132"/>
        <v>#VALUE!</v>
      </c>
      <c r="BA62" s="113" t="e">
        <f t="shared" si="132"/>
        <v>#VALUE!</v>
      </c>
      <c r="BB62" s="113" t="e">
        <f t="shared" si="132"/>
        <v>#VALUE!</v>
      </c>
      <c r="BC62" s="113" t="e">
        <f t="shared" si="132"/>
        <v>#VALUE!</v>
      </c>
      <c r="BD62" s="113" t="e">
        <f t="shared" si="132"/>
        <v>#VALUE!</v>
      </c>
      <c r="BE62" s="113" t="e">
        <f t="shared" si="132"/>
        <v>#VALUE!</v>
      </c>
      <c r="BF62" s="113" t="e">
        <f t="shared" si="132"/>
        <v>#VALUE!</v>
      </c>
      <c r="BG62" s="113" t="e">
        <f t="shared" si="132"/>
        <v>#VALUE!</v>
      </c>
      <c r="BH62" s="113" t="e">
        <f t="shared" si="132"/>
        <v>#VALUE!</v>
      </c>
      <c r="BI62" s="113" t="e">
        <f t="shared" si="132"/>
        <v>#VALUE!</v>
      </c>
      <c r="BJ62" s="113" t="e">
        <f t="shared" si="132"/>
        <v>#VALUE!</v>
      </c>
      <c r="BK62" s="113" t="e">
        <f t="shared" si="132"/>
        <v>#VALUE!</v>
      </c>
      <c r="BL62" s="113" t="e">
        <f t="shared" si="132"/>
        <v>#VALUE!</v>
      </c>
      <c r="BM62" s="113" t="e">
        <f t="shared" si="132"/>
        <v>#VALUE!</v>
      </c>
      <c r="BN62" s="113" t="e">
        <f t="shared" si="132"/>
        <v>#VALUE!</v>
      </c>
      <c r="BO62" s="113" t="e">
        <f t="shared" si="132"/>
        <v>#VALUE!</v>
      </c>
      <c r="BP62" s="113" t="e">
        <f t="shared" si="132"/>
        <v>#VALUE!</v>
      </c>
      <c r="BQ62" s="113" t="e">
        <f t="shared" si="132"/>
        <v>#VALUE!</v>
      </c>
      <c r="BR62" s="113" t="e">
        <f t="shared" si="132"/>
        <v>#VALUE!</v>
      </c>
      <c r="BS62" s="113" t="e">
        <f t="shared" si="132"/>
        <v>#VALUE!</v>
      </c>
      <c r="BT62" s="136" t="e">
        <f t="shared" si="132"/>
        <v>#VALUE!</v>
      </c>
      <c r="BU62" s="136" t="e">
        <f t="shared" si="132"/>
        <v>#VALUE!</v>
      </c>
      <c r="BV62" s="136" t="e">
        <f t="shared" si="132"/>
        <v>#VALUE!</v>
      </c>
      <c r="BW62" s="136" t="e">
        <f t="shared" si="132"/>
        <v>#VALUE!</v>
      </c>
      <c r="BX62" s="136" t="e">
        <f t="shared" ref="BX62:CS62" si="133">SUM(BX57:BX61)</f>
        <v>#VALUE!</v>
      </c>
      <c r="BY62" s="136" t="e">
        <f t="shared" si="133"/>
        <v>#VALUE!</v>
      </c>
      <c r="BZ62" s="136" t="e">
        <f t="shared" si="133"/>
        <v>#VALUE!</v>
      </c>
      <c r="CA62" s="136" t="e">
        <f t="shared" si="133"/>
        <v>#VALUE!</v>
      </c>
      <c r="CB62" s="136" t="e">
        <f t="shared" si="133"/>
        <v>#VALUE!</v>
      </c>
      <c r="CC62" s="136" t="e">
        <f t="shared" si="133"/>
        <v>#VALUE!</v>
      </c>
      <c r="CD62" s="136" t="e">
        <f t="shared" si="133"/>
        <v>#VALUE!</v>
      </c>
      <c r="CE62" s="136" t="e">
        <f t="shared" si="133"/>
        <v>#VALUE!</v>
      </c>
      <c r="CF62" s="136" t="e">
        <f t="shared" si="133"/>
        <v>#VALUE!</v>
      </c>
      <c r="CG62" s="136" t="e">
        <f t="shared" si="133"/>
        <v>#VALUE!</v>
      </c>
      <c r="CH62" s="136" t="e">
        <f t="shared" si="133"/>
        <v>#VALUE!</v>
      </c>
      <c r="CI62" s="136" t="e">
        <f t="shared" si="133"/>
        <v>#VALUE!</v>
      </c>
      <c r="CJ62" s="136" t="e">
        <f t="shared" si="133"/>
        <v>#VALUE!</v>
      </c>
      <c r="CK62" s="136" t="e">
        <f t="shared" si="133"/>
        <v>#VALUE!</v>
      </c>
      <c r="CL62" s="136" t="e">
        <f t="shared" si="133"/>
        <v>#VALUE!</v>
      </c>
      <c r="CM62" s="136" t="e">
        <f t="shared" si="133"/>
        <v>#VALUE!</v>
      </c>
      <c r="CN62" s="136" t="e">
        <f t="shared" si="133"/>
        <v>#VALUE!</v>
      </c>
      <c r="CO62" s="136" t="e">
        <f t="shared" si="133"/>
        <v>#VALUE!</v>
      </c>
      <c r="CP62" s="136" t="e">
        <f t="shared" si="133"/>
        <v>#VALUE!</v>
      </c>
      <c r="CQ62" s="136" t="e">
        <f t="shared" si="133"/>
        <v>#VALUE!</v>
      </c>
      <c r="CR62" s="136" t="e">
        <f t="shared" si="133"/>
        <v>#VALUE!</v>
      </c>
      <c r="CS62" s="136" t="e">
        <f t="shared" si="133"/>
        <v>#VALUE!</v>
      </c>
      <c r="CT62" s="122"/>
      <c r="CU62" s="122"/>
      <c r="CV62" s="136" t="e">
        <f t="shared" ref="CV62:DW62" si="134">SUM(CV57:CV61)</f>
        <v>#VALUE!</v>
      </c>
      <c r="CW62" s="136" t="e">
        <f t="shared" si="134"/>
        <v>#VALUE!</v>
      </c>
      <c r="CX62" s="136" t="e">
        <f t="shared" si="134"/>
        <v>#VALUE!</v>
      </c>
      <c r="CY62" s="136" t="e">
        <f t="shared" si="134"/>
        <v>#VALUE!</v>
      </c>
      <c r="CZ62" s="136" t="e">
        <f t="shared" si="134"/>
        <v>#VALUE!</v>
      </c>
      <c r="DA62" s="136" t="e">
        <f t="shared" si="134"/>
        <v>#VALUE!</v>
      </c>
      <c r="DB62" s="136" t="e">
        <f t="shared" si="134"/>
        <v>#VALUE!</v>
      </c>
      <c r="DC62" s="136" t="e">
        <f t="shared" si="134"/>
        <v>#VALUE!</v>
      </c>
      <c r="DD62" s="136" t="e">
        <f t="shared" si="134"/>
        <v>#VALUE!</v>
      </c>
      <c r="DE62" s="136" t="e">
        <f t="shared" si="134"/>
        <v>#VALUE!</v>
      </c>
      <c r="DF62" s="136" t="e">
        <f t="shared" si="134"/>
        <v>#VALUE!</v>
      </c>
      <c r="DG62" s="136" t="e">
        <f t="shared" si="134"/>
        <v>#VALUE!</v>
      </c>
      <c r="DH62" s="136" t="e">
        <f t="shared" si="134"/>
        <v>#VALUE!</v>
      </c>
      <c r="DI62" s="136" t="e">
        <f t="shared" si="134"/>
        <v>#VALUE!</v>
      </c>
      <c r="DJ62" s="136" t="e">
        <f t="shared" si="134"/>
        <v>#VALUE!</v>
      </c>
      <c r="DK62" s="136" t="e">
        <f t="shared" si="134"/>
        <v>#VALUE!</v>
      </c>
      <c r="DL62" s="136" t="e">
        <f t="shared" si="134"/>
        <v>#VALUE!</v>
      </c>
      <c r="DM62" s="136" t="e">
        <f t="shared" si="134"/>
        <v>#VALUE!</v>
      </c>
      <c r="DN62" s="136" t="e">
        <f t="shared" si="134"/>
        <v>#VALUE!</v>
      </c>
      <c r="DO62" s="136" t="e">
        <f t="shared" si="134"/>
        <v>#VALUE!</v>
      </c>
      <c r="DP62" s="136" t="e">
        <f t="shared" si="134"/>
        <v>#VALUE!</v>
      </c>
      <c r="DQ62" s="136" t="e">
        <f t="shared" si="134"/>
        <v>#VALUE!</v>
      </c>
      <c r="DR62" s="136" t="e">
        <f t="shared" si="134"/>
        <v>#VALUE!</v>
      </c>
      <c r="DS62" s="136" t="e">
        <f t="shared" si="134"/>
        <v>#VALUE!</v>
      </c>
      <c r="DT62" s="136" t="e">
        <f t="shared" si="134"/>
        <v>#VALUE!</v>
      </c>
      <c r="DU62" s="136" t="e">
        <f t="shared" si="134"/>
        <v>#VALUE!</v>
      </c>
      <c r="DV62" s="136" t="e">
        <f t="shared" si="134"/>
        <v>#VALUE!</v>
      </c>
      <c r="DW62" s="136" t="e">
        <f t="shared" si="134"/>
        <v>#VALUE!</v>
      </c>
    </row>
    <row r="63" spans="1:127">
      <c r="AQ63" t="s">
        <v>110</v>
      </c>
      <c r="AR63">
        <v>22</v>
      </c>
      <c r="AS63" t="s">
        <v>111</v>
      </c>
    </row>
    <row r="64" spans="1:127">
      <c r="AQ64" t="s">
        <v>112</v>
      </c>
      <c r="AR64">
        <v>16</v>
      </c>
      <c r="AS64" t="s">
        <v>113</v>
      </c>
    </row>
    <row r="66" spans="43:99">
      <c r="AQ66">
        <v>5</v>
      </c>
    </row>
    <row r="67" spans="43:99">
      <c r="AQ67">
        <v>6</v>
      </c>
    </row>
    <row r="68" spans="43:99">
      <c r="AQ68">
        <v>7</v>
      </c>
      <c r="CT68" s="122"/>
      <c r="CU68" s="122"/>
    </row>
    <row r="69" spans="43:99">
      <c r="AQ69">
        <v>8</v>
      </c>
    </row>
    <row r="70" spans="43:99">
      <c r="AQ70">
        <v>9</v>
      </c>
    </row>
  </sheetData>
  <mergeCells count="48">
    <mergeCell ref="A48:A52"/>
    <mergeCell ref="B48:B52"/>
    <mergeCell ref="C48:C52"/>
    <mergeCell ref="D49:D53"/>
    <mergeCell ref="A56:A60"/>
    <mergeCell ref="B56:B60"/>
    <mergeCell ref="C56:C60"/>
    <mergeCell ref="D57:D61"/>
    <mergeCell ref="A32:A36"/>
    <mergeCell ref="B32:B36"/>
    <mergeCell ref="C32:C36"/>
    <mergeCell ref="D33:D37"/>
    <mergeCell ref="A40:A44"/>
    <mergeCell ref="B40:B44"/>
    <mergeCell ref="C40:C44"/>
    <mergeCell ref="D41:D45"/>
    <mergeCell ref="A16:A21"/>
    <mergeCell ref="B16:B21"/>
    <mergeCell ref="C16:C21"/>
    <mergeCell ref="D17:D21"/>
    <mergeCell ref="A24:A28"/>
    <mergeCell ref="B24:B28"/>
    <mergeCell ref="C24:C28"/>
    <mergeCell ref="D25:D29"/>
    <mergeCell ref="A2:A6"/>
    <mergeCell ref="B2:B6"/>
    <mergeCell ref="C2:C6"/>
    <mergeCell ref="D2:D6"/>
    <mergeCell ref="A8:A13"/>
    <mergeCell ref="B8:B13"/>
    <mergeCell ref="C8:C13"/>
    <mergeCell ref="D9:D13"/>
    <mergeCell ref="J2:J6"/>
    <mergeCell ref="K2:K6"/>
    <mergeCell ref="J9:J13"/>
    <mergeCell ref="K9:K13"/>
    <mergeCell ref="J17:J21"/>
    <mergeCell ref="K17:K21"/>
    <mergeCell ref="J49:J53"/>
    <mergeCell ref="K49:K53"/>
    <mergeCell ref="J57:J61"/>
    <mergeCell ref="K57:K61"/>
    <mergeCell ref="J25:J29"/>
    <mergeCell ref="K25:K29"/>
    <mergeCell ref="J33:J37"/>
    <mergeCell ref="K33:K37"/>
    <mergeCell ref="J41:J45"/>
    <mergeCell ref="K41:K45"/>
  </mergeCells>
  <pageMargins left="0.7" right="0.7" top="0.75" bottom="0.75" header="0.3" footer="0.3"/>
  <pageSetup paperSize="8" scale="81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A005-0177-4D97-87A4-DACDDEDD76E6}">
  <sheetPr>
    <pageSetUpPr fitToPage="1"/>
  </sheetPr>
  <dimension ref="A1:GZ70"/>
  <sheetViews>
    <sheetView zoomScaleNormal="100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F3" sqref="F3"/>
    </sheetView>
  </sheetViews>
  <sheetFormatPr defaultColWidth="8.88671875" defaultRowHeight="13.5"/>
  <cols>
    <col min="1" max="1" width="8.88671875" style="191"/>
    <col min="2" max="2" width="15.88671875" style="187" bestFit="1" customWidth="1"/>
    <col min="3" max="3" width="15.109375" style="187" bestFit="1" customWidth="1"/>
    <col min="4" max="4" width="8.5546875" style="187" customWidth="1"/>
    <col min="5" max="5" width="14.33203125" style="187" customWidth="1"/>
    <col min="6" max="6" width="9.44140625" style="187" customWidth="1"/>
    <col min="7" max="7" width="10.109375" style="187" bestFit="1" customWidth="1"/>
    <col min="8" max="8" width="14.33203125" style="187" customWidth="1"/>
    <col min="9" max="9" width="9.5546875" style="187" bestFit="1" customWidth="1"/>
    <col min="10" max="11" width="10.44140625" style="187" customWidth="1"/>
    <col min="12" max="13" width="10.109375" style="187" customWidth="1"/>
    <col min="14" max="30" width="8.88671875" style="187" customWidth="1"/>
    <col min="31" max="53" width="8.5546875" style="187" customWidth="1"/>
    <col min="54" max="97" width="9.33203125" style="187" customWidth="1"/>
    <col min="98" max="98" width="14.5546875" style="187" customWidth="1"/>
    <col min="99" max="99" width="12.33203125" style="187" customWidth="1"/>
    <col min="100" max="100" width="9.33203125" style="187" customWidth="1"/>
    <col min="101" max="205" width="8.88671875" style="187" customWidth="1"/>
    <col min="206" max="206" width="10.109375" style="187" customWidth="1"/>
    <col min="207" max="207" width="8.88671875" style="187" bestFit="1"/>
    <col min="208" max="16384" width="8.88671875" style="187"/>
  </cols>
  <sheetData>
    <row r="1" spans="1:208" ht="24.75" customHeight="1">
      <c r="A1" s="461" t="s">
        <v>85</v>
      </c>
      <c r="B1" s="461"/>
      <c r="C1" s="461"/>
      <c r="D1" s="461"/>
      <c r="E1" s="461"/>
      <c r="F1" s="461"/>
      <c r="G1" s="461"/>
      <c r="H1" s="461"/>
      <c r="I1" s="461"/>
      <c r="J1" s="511">
        <v>46196</v>
      </c>
      <c r="K1" s="510"/>
    </row>
    <row r="2" spans="1:208" s="173" customFormat="1" ht="40.5" customHeight="1">
      <c r="A2" s="179"/>
      <c r="B2" s="216" t="s">
        <v>57</v>
      </c>
      <c r="C2" s="217" t="str">
        <f>'BESS 11'!$G$2</f>
        <v>Trial-Run End Date</v>
      </c>
      <c r="D2" s="217" t="str">
        <f>'BESS 11'!$H$2</f>
        <v>COD</v>
      </c>
      <c r="E2" s="217" t="s">
        <v>10</v>
      </c>
      <c r="F2" s="217" t="s">
        <v>58</v>
      </c>
      <c r="G2" s="217" t="s">
        <v>86</v>
      </c>
      <c r="H2" s="217" t="s">
        <v>79</v>
      </c>
      <c r="I2" s="217" t="s">
        <v>59</v>
      </c>
      <c r="J2" s="216" t="s">
        <v>80</v>
      </c>
      <c r="K2" s="216" t="s">
        <v>62</v>
      </c>
      <c r="L2" s="218">
        <v>46195</v>
      </c>
      <c r="M2" s="218">
        <v>46196</v>
      </c>
      <c r="N2" s="218">
        <v>46197</v>
      </c>
      <c r="O2" s="218">
        <v>46198</v>
      </c>
      <c r="P2" s="218">
        <v>46199</v>
      </c>
      <c r="Q2" s="218">
        <v>46200</v>
      </c>
      <c r="R2" s="218">
        <f t="shared" ref="R2:AW2" si="0">Q2+1</f>
        <v>46201</v>
      </c>
      <c r="S2" s="218">
        <f t="shared" si="0"/>
        <v>46202</v>
      </c>
      <c r="T2" s="218">
        <f t="shared" si="0"/>
        <v>46203</v>
      </c>
      <c r="U2" s="218">
        <f t="shared" si="0"/>
        <v>46204</v>
      </c>
      <c r="V2" s="218">
        <f t="shared" si="0"/>
        <v>46205</v>
      </c>
      <c r="W2" s="218">
        <f t="shared" si="0"/>
        <v>46206</v>
      </c>
      <c r="X2" s="218">
        <f t="shared" si="0"/>
        <v>46207</v>
      </c>
      <c r="Y2" s="218">
        <f t="shared" si="0"/>
        <v>46208</v>
      </c>
      <c r="Z2" s="218">
        <f t="shared" si="0"/>
        <v>46209</v>
      </c>
      <c r="AA2" s="218">
        <f t="shared" si="0"/>
        <v>46210</v>
      </c>
      <c r="AB2" s="218">
        <f t="shared" si="0"/>
        <v>46211</v>
      </c>
      <c r="AC2" s="218">
        <f t="shared" si="0"/>
        <v>46212</v>
      </c>
      <c r="AD2" s="218">
        <f t="shared" si="0"/>
        <v>46213</v>
      </c>
      <c r="AE2" s="218">
        <f t="shared" si="0"/>
        <v>46214</v>
      </c>
      <c r="AF2" s="218">
        <f t="shared" si="0"/>
        <v>46215</v>
      </c>
      <c r="AG2" s="218">
        <f t="shared" si="0"/>
        <v>46216</v>
      </c>
      <c r="AH2" s="218">
        <f t="shared" si="0"/>
        <v>46217</v>
      </c>
      <c r="AI2" s="218">
        <f t="shared" si="0"/>
        <v>46218</v>
      </c>
      <c r="AJ2" s="218">
        <f t="shared" si="0"/>
        <v>46219</v>
      </c>
      <c r="AK2" s="218">
        <f t="shared" si="0"/>
        <v>46220</v>
      </c>
      <c r="AL2" s="218">
        <f t="shared" si="0"/>
        <v>46221</v>
      </c>
      <c r="AM2" s="218">
        <f t="shared" si="0"/>
        <v>46222</v>
      </c>
      <c r="AN2" s="218">
        <f t="shared" si="0"/>
        <v>46223</v>
      </c>
      <c r="AO2" s="218">
        <f t="shared" si="0"/>
        <v>46224</v>
      </c>
      <c r="AP2" s="218">
        <f t="shared" si="0"/>
        <v>46225</v>
      </c>
      <c r="AQ2" s="218">
        <f t="shared" si="0"/>
        <v>46226</v>
      </c>
      <c r="AR2" s="218">
        <f t="shared" si="0"/>
        <v>46227</v>
      </c>
      <c r="AS2" s="218">
        <f t="shared" si="0"/>
        <v>46228</v>
      </c>
      <c r="AT2" s="218">
        <f t="shared" si="0"/>
        <v>46229</v>
      </c>
      <c r="AU2" s="218">
        <f t="shared" si="0"/>
        <v>46230</v>
      </c>
      <c r="AV2" s="218">
        <f t="shared" si="0"/>
        <v>46231</v>
      </c>
      <c r="AW2" s="218">
        <f t="shared" si="0"/>
        <v>46232</v>
      </c>
      <c r="AX2" s="218">
        <f t="shared" ref="AX2:CC2" si="1">AW2+1</f>
        <v>46233</v>
      </c>
      <c r="AY2" s="218">
        <f t="shared" si="1"/>
        <v>46234</v>
      </c>
      <c r="AZ2" s="218">
        <f t="shared" si="1"/>
        <v>46235</v>
      </c>
      <c r="BA2" s="218">
        <f t="shared" si="1"/>
        <v>46236</v>
      </c>
      <c r="BB2" s="218">
        <f t="shared" si="1"/>
        <v>46237</v>
      </c>
      <c r="BC2" s="218">
        <f t="shared" si="1"/>
        <v>46238</v>
      </c>
      <c r="BD2" s="218">
        <f t="shared" si="1"/>
        <v>46239</v>
      </c>
      <c r="BE2" s="218">
        <f t="shared" si="1"/>
        <v>46240</v>
      </c>
      <c r="BF2" s="218">
        <f t="shared" si="1"/>
        <v>46241</v>
      </c>
      <c r="BG2" s="218">
        <f t="shared" si="1"/>
        <v>46242</v>
      </c>
      <c r="BH2" s="218">
        <f t="shared" si="1"/>
        <v>46243</v>
      </c>
      <c r="BI2" s="218">
        <f t="shared" si="1"/>
        <v>46244</v>
      </c>
      <c r="BJ2" s="218">
        <f t="shared" si="1"/>
        <v>46245</v>
      </c>
      <c r="BK2" s="218">
        <f t="shared" si="1"/>
        <v>46246</v>
      </c>
      <c r="BL2" s="218">
        <f t="shared" si="1"/>
        <v>46247</v>
      </c>
      <c r="BM2" s="218">
        <f t="shared" si="1"/>
        <v>46248</v>
      </c>
      <c r="BN2" s="218">
        <f t="shared" si="1"/>
        <v>46249</v>
      </c>
      <c r="BO2" s="218">
        <f t="shared" si="1"/>
        <v>46250</v>
      </c>
      <c r="BP2" s="218">
        <f t="shared" si="1"/>
        <v>46251</v>
      </c>
      <c r="BQ2" s="218">
        <f t="shared" si="1"/>
        <v>46252</v>
      </c>
      <c r="BR2" s="218">
        <f t="shared" si="1"/>
        <v>46253</v>
      </c>
      <c r="BS2" s="218">
        <f t="shared" si="1"/>
        <v>46254</v>
      </c>
      <c r="BT2" s="218">
        <f t="shared" si="1"/>
        <v>46255</v>
      </c>
      <c r="BU2" s="218">
        <f t="shared" si="1"/>
        <v>46256</v>
      </c>
      <c r="BV2" s="218">
        <f t="shared" si="1"/>
        <v>46257</v>
      </c>
      <c r="BW2" s="218">
        <f t="shared" si="1"/>
        <v>46258</v>
      </c>
      <c r="BX2" s="218">
        <f t="shared" si="1"/>
        <v>46259</v>
      </c>
      <c r="BY2" s="218">
        <f t="shared" si="1"/>
        <v>46260</v>
      </c>
      <c r="BZ2" s="218">
        <f t="shared" si="1"/>
        <v>46261</v>
      </c>
      <c r="CA2" s="218">
        <f t="shared" si="1"/>
        <v>46262</v>
      </c>
      <c r="CB2" s="218">
        <f t="shared" si="1"/>
        <v>46263</v>
      </c>
      <c r="CC2" s="218">
        <f t="shared" si="1"/>
        <v>46264</v>
      </c>
      <c r="CD2" s="218">
        <f t="shared" ref="CD2:CS2" si="2">CC2+1</f>
        <v>46265</v>
      </c>
      <c r="CE2" s="218">
        <f t="shared" si="2"/>
        <v>46266</v>
      </c>
      <c r="CF2" s="218">
        <f t="shared" si="2"/>
        <v>46267</v>
      </c>
      <c r="CG2" s="218">
        <f t="shared" si="2"/>
        <v>46268</v>
      </c>
      <c r="CH2" s="218">
        <f t="shared" si="2"/>
        <v>46269</v>
      </c>
      <c r="CI2" s="218">
        <f t="shared" si="2"/>
        <v>46270</v>
      </c>
      <c r="CJ2" s="218">
        <f t="shared" si="2"/>
        <v>46271</v>
      </c>
      <c r="CK2" s="218">
        <f t="shared" si="2"/>
        <v>46272</v>
      </c>
      <c r="CL2" s="218">
        <f t="shared" si="2"/>
        <v>46273</v>
      </c>
      <c r="CM2" s="218">
        <f t="shared" si="2"/>
        <v>46274</v>
      </c>
      <c r="CN2" s="218">
        <f t="shared" si="2"/>
        <v>46275</v>
      </c>
      <c r="CO2" s="218">
        <f t="shared" si="2"/>
        <v>46276</v>
      </c>
      <c r="CP2" s="218">
        <f t="shared" si="2"/>
        <v>46277</v>
      </c>
      <c r="CQ2" s="218">
        <f t="shared" si="2"/>
        <v>46278</v>
      </c>
      <c r="CR2" s="218">
        <f t="shared" si="2"/>
        <v>46279</v>
      </c>
      <c r="CS2" s="218">
        <f t="shared" si="2"/>
        <v>46280</v>
      </c>
      <c r="CT2" s="219" t="s">
        <v>61</v>
      </c>
      <c r="CU2" s="219" t="s">
        <v>62</v>
      </c>
      <c r="CV2" s="219" t="e">
        <f>CU2+1</f>
        <v>#VALUE!</v>
      </c>
      <c r="CW2" s="219">
        <v>46282</v>
      </c>
      <c r="CX2" s="219">
        <v>46283</v>
      </c>
      <c r="CY2" s="219">
        <v>46284</v>
      </c>
      <c r="CZ2" s="219">
        <v>46285</v>
      </c>
      <c r="DA2" s="219">
        <v>46286</v>
      </c>
      <c r="DB2" s="219">
        <v>46287</v>
      </c>
      <c r="DC2" s="219">
        <v>46288</v>
      </c>
      <c r="DD2" s="219">
        <v>46289</v>
      </c>
      <c r="DE2" s="219">
        <v>46290</v>
      </c>
      <c r="DF2" s="219">
        <v>46291</v>
      </c>
      <c r="DG2" s="219">
        <v>46292</v>
      </c>
      <c r="DH2" s="219">
        <v>46293</v>
      </c>
      <c r="DI2" s="219">
        <v>46294</v>
      </c>
      <c r="DJ2" s="219">
        <v>46295</v>
      </c>
      <c r="DK2" s="219">
        <v>46296</v>
      </c>
      <c r="DL2" s="219">
        <v>46297</v>
      </c>
      <c r="DM2" s="219">
        <v>46298</v>
      </c>
      <c r="DN2" s="219">
        <v>46299</v>
      </c>
      <c r="DO2" s="219">
        <v>46300</v>
      </c>
      <c r="DP2" s="219">
        <v>46301</v>
      </c>
      <c r="DQ2" s="219">
        <v>46302</v>
      </c>
      <c r="DR2" s="219">
        <v>46303</v>
      </c>
      <c r="DS2" s="219">
        <v>46304</v>
      </c>
      <c r="DT2" s="219">
        <v>46305</v>
      </c>
      <c r="DU2" s="219">
        <v>46306</v>
      </c>
      <c r="DV2" s="219">
        <v>46307</v>
      </c>
      <c r="DW2" s="219">
        <v>46308</v>
      </c>
      <c r="DX2" s="219">
        <v>46309</v>
      </c>
      <c r="DY2" s="219">
        <v>46310</v>
      </c>
      <c r="DZ2" s="219">
        <v>46311</v>
      </c>
      <c r="EA2" s="219">
        <v>46312</v>
      </c>
      <c r="EB2" s="219">
        <v>46313</v>
      </c>
      <c r="EC2" s="219">
        <v>46314</v>
      </c>
      <c r="ED2" s="219">
        <v>46315</v>
      </c>
      <c r="EE2" s="219">
        <v>46316</v>
      </c>
      <c r="EF2" s="219">
        <v>46317</v>
      </c>
      <c r="EG2" s="219">
        <v>46318</v>
      </c>
      <c r="EH2" s="219">
        <v>46319</v>
      </c>
      <c r="EI2" s="219">
        <v>46320</v>
      </c>
      <c r="EJ2" s="219">
        <v>46321</v>
      </c>
      <c r="EK2" s="219">
        <v>46322</v>
      </c>
      <c r="EL2" s="219">
        <v>46323</v>
      </c>
      <c r="EM2" s="219">
        <v>46324</v>
      </c>
      <c r="EN2" s="219">
        <v>46325</v>
      </c>
      <c r="EO2" s="219">
        <v>46326</v>
      </c>
      <c r="EP2" s="219">
        <v>46327</v>
      </c>
      <c r="EQ2" s="219">
        <v>46328</v>
      </c>
      <c r="ER2" s="219">
        <v>46329</v>
      </c>
      <c r="ES2" s="219">
        <v>46330</v>
      </c>
      <c r="ET2" s="219">
        <v>46331</v>
      </c>
      <c r="EU2" s="219">
        <v>46332</v>
      </c>
      <c r="EV2" s="219">
        <v>46333</v>
      </c>
      <c r="EW2" s="219">
        <v>46334</v>
      </c>
      <c r="EX2" s="219">
        <v>46335</v>
      </c>
      <c r="EY2" s="219">
        <v>46336</v>
      </c>
      <c r="EZ2" s="219">
        <v>46337</v>
      </c>
      <c r="FA2" s="219">
        <v>46338</v>
      </c>
      <c r="FB2" s="219">
        <v>46339</v>
      </c>
      <c r="FC2" s="219">
        <v>46340</v>
      </c>
      <c r="FD2" s="219">
        <v>46341</v>
      </c>
      <c r="FE2" s="219">
        <v>46342</v>
      </c>
      <c r="FF2" s="219">
        <v>46343</v>
      </c>
      <c r="FG2" s="219">
        <v>46344</v>
      </c>
      <c r="FH2" s="219">
        <v>46345</v>
      </c>
      <c r="FI2" s="219">
        <v>46346</v>
      </c>
      <c r="FJ2" s="219">
        <v>46347</v>
      </c>
      <c r="FK2" s="219">
        <v>46348</v>
      </c>
      <c r="FL2" s="219">
        <v>46349</v>
      </c>
      <c r="FM2" s="219">
        <v>46350</v>
      </c>
      <c r="FN2" s="219">
        <v>46351</v>
      </c>
      <c r="FO2" s="219">
        <v>46352</v>
      </c>
      <c r="FP2" s="219">
        <v>46353</v>
      </c>
      <c r="FQ2" s="219">
        <v>46354</v>
      </c>
      <c r="FR2" s="219">
        <v>46355</v>
      </c>
      <c r="FS2" s="219">
        <v>46356</v>
      </c>
      <c r="FT2" s="219">
        <v>46357</v>
      </c>
      <c r="FU2" s="219">
        <v>46358</v>
      </c>
      <c r="FV2" s="219">
        <v>46359</v>
      </c>
      <c r="FW2" s="219">
        <v>46360</v>
      </c>
      <c r="FX2" s="219">
        <v>46361</v>
      </c>
      <c r="FY2" s="219">
        <v>46362</v>
      </c>
      <c r="FZ2" s="219">
        <v>46363</v>
      </c>
      <c r="GA2" s="219">
        <v>46364</v>
      </c>
      <c r="GB2" s="219">
        <v>46365</v>
      </c>
      <c r="GC2" s="219">
        <v>46366</v>
      </c>
      <c r="GD2" s="219">
        <v>46367</v>
      </c>
      <c r="GE2" s="219">
        <v>46368</v>
      </c>
      <c r="GF2" s="219">
        <v>46369</v>
      </c>
      <c r="GG2" s="219">
        <v>46370</v>
      </c>
      <c r="GH2" s="219">
        <v>46371</v>
      </c>
      <c r="GI2" s="219">
        <v>46372</v>
      </c>
      <c r="GJ2" s="219">
        <v>46373</v>
      </c>
      <c r="GK2" s="219">
        <v>46374</v>
      </c>
      <c r="GL2" s="219">
        <v>46375</v>
      </c>
      <c r="GM2" s="219">
        <v>46376</v>
      </c>
      <c r="GN2" s="219">
        <v>46377</v>
      </c>
      <c r="GO2" s="219">
        <v>46378</v>
      </c>
      <c r="GP2" s="219">
        <v>46379</v>
      </c>
      <c r="GQ2" s="219">
        <v>46380</v>
      </c>
      <c r="GR2" s="219">
        <v>46381</v>
      </c>
      <c r="GS2" s="219">
        <v>46382</v>
      </c>
      <c r="GT2" s="219">
        <v>46383</v>
      </c>
      <c r="GU2" s="219">
        <v>46384</v>
      </c>
      <c r="GV2" s="219">
        <v>46385</v>
      </c>
      <c r="GW2" s="219">
        <v>46386</v>
      </c>
      <c r="GX2" s="219">
        <v>46387</v>
      </c>
      <c r="GZ2" s="220"/>
    </row>
    <row r="3" spans="1:208">
      <c r="A3" s="464" t="s">
        <v>63</v>
      </c>
      <c r="B3" s="465">
        <f>'BESS 12'!F51</f>
        <v>46231</v>
      </c>
      <c r="C3" s="465">
        <f>'BESS 12'!G51</f>
        <v>46236</v>
      </c>
      <c r="D3" s="467">
        <f>'BESS 12'!H51</f>
        <v>46239</v>
      </c>
      <c r="E3" s="185" t="s">
        <v>64</v>
      </c>
      <c r="F3" s="66" t="e">
        <f>SUM('BESS 12'!S64:S71,'BESS 12'!S73)</f>
        <v>#VALUE!</v>
      </c>
      <c r="G3" s="182">
        <f ca="1">TODAY()</f>
        <v>46233</v>
      </c>
      <c r="H3" s="162">
        <f ca="1">G3+10</f>
        <v>46243</v>
      </c>
      <c r="I3" s="66">
        <f ca="1">H3-G3</f>
        <v>10</v>
      </c>
      <c r="J3" s="506">
        <f ca="1">AVERAGEIF(L8:CS8,"&gt;0")</f>
        <v>5</v>
      </c>
      <c r="K3" s="506" t="e">
        <f ca="1">MAX(L8:CS8)</f>
        <v>#VALUE!</v>
      </c>
      <c r="L3" s="65" t="str">
        <f t="shared" ref="L3:U6" ca="1" si="3">IF(AND(L$2&gt;=$G3,L$2&lt;($G3+$I3)),ROUND($F3/$I3,0),"-")</f>
        <v>-</v>
      </c>
      <c r="M3" s="65" t="str">
        <f ca="1">IF(AND(M$2&gt;=$G3,M$2&lt;($G3+$I3)),ROUND($F3/$I3,0),"-")</f>
        <v>-</v>
      </c>
      <c r="N3" s="65" t="str">
        <f t="shared" ca="1" si="3"/>
        <v>-</v>
      </c>
      <c r="O3" s="65" t="str">
        <f t="shared" ca="1" si="3"/>
        <v>-</v>
      </c>
      <c r="P3" s="65" t="str">
        <f t="shared" ca="1" si="3"/>
        <v>-</v>
      </c>
      <c r="Q3" s="65" t="str">
        <f t="shared" ca="1" si="3"/>
        <v>-</v>
      </c>
      <c r="R3" s="65" t="str">
        <f t="shared" ca="1" si="3"/>
        <v>-</v>
      </c>
      <c r="S3" s="65" t="str">
        <f t="shared" ca="1" si="3"/>
        <v>-</v>
      </c>
      <c r="T3" s="65" t="str">
        <f t="shared" ca="1" si="3"/>
        <v>-</v>
      </c>
      <c r="U3" s="65" t="str">
        <f t="shared" ca="1" si="3"/>
        <v>-</v>
      </c>
      <c r="V3" s="65" t="str">
        <f t="shared" ref="V3:AE6" ca="1" si="4">IF(AND(V$2&gt;=$G3,V$2&lt;($G3+$I3)),ROUND($F3/$I3,0),"-")</f>
        <v>-</v>
      </c>
      <c r="W3" s="65" t="str">
        <f t="shared" ca="1" si="4"/>
        <v>-</v>
      </c>
      <c r="X3" s="65" t="str">
        <f t="shared" ca="1" si="4"/>
        <v>-</v>
      </c>
      <c r="Y3" s="65" t="str">
        <f t="shared" ca="1" si="4"/>
        <v>-</v>
      </c>
      <c r="Z3" s="65" t="str">
        <f t="shared" ca="1" si="4"/>
        <v>-</v>
      </c>
      <c r="AA3" s="65" t="str">
        <f t="shared" ca="1" si="4"/>
        <v>-</v>
      </c>
      <c r="AB3" s="65" t="str">
        <f t="shared" ca="1" si="4"/>
        <v>-</v>
      </c>
      <c r="AC3" s="65" t="str">
        <f t="shared" ca="1" si="4"/>
        <v>-</v>
      </c>
      <c r="AD3" s="65" t="str">
        <f t="shared" ca="1" si="4"/>
        <v>-</v>
      </c>
      <c r="AE3" s="65" t="str">
        <f t="shared" ca="1" si="4"/>
        <v>-</v>
      </c>
      <c r="AF3" s="65" t="str">
        <f t="shared" ref="AF3:AO6" ca="1" si="5">IF(AND(AF$2&gt;=$G3,AF$2&lt;($G3+$I3)),ROUND($F3/$I3,0),"-")</f>
        <v>-</v>
      </c>
      <c r="AG3" s="65" t="str">
        <f t="shared" ca="1" si="5"/>
        <v>-</v>
      </c>
      <c r="AH3" s="65" t="str">
        <f t="shared" ca="1" si="5"/>
        <v>-</v>
      </c>
      <c r="AI3" s="65" t="str">
        <f t="shared" ca="1" si="5"/>
        <v>-</v>
      </c>
      <c r="AJ3" s="65" t="str">
        <f t="shared" ca="1" si="5"/>
        <v>-</v>
      </c>
      <c r="AK3" s="65" t="str">
        <f t="shared" ca="1" si="5"/>
        <v>-</v>
      </c>
      <c r="AL3" s="65" t="str">
        <f t="shared" ca="1" si="5"/>
        <v>-</v>
      </c>
      <c r="AM3" s="65" t="str">
        <f t="shared" ca="1" si="5"/>
        <v>-</v>
      </c>
      <c r="AN3" s="65" t="str">
        <f t="shared" ca="1" si="5"/>
        <v>-</v>
      </c>
      <c r="AO3" s="65" t="str">
        <f t="shared" ca="1" si="5"/>
        <v>-</v>
      </c>
      <c r="AP3" s="65" t="str">
        <f t="shared" ref="AP3:AY6" ca="1" si="6">IF(AND(AP$2&gt;=$G3,AP$2&lt;($G3+$I3)),ROUND($F3/$I3,0),"-")</f>
        <v>-</v>
      </c>
      <c r="AQ3" s="65" t="str">
        <f t="shared" ca="1" si="6"/>
        <v>-</v>
      </c>
      <c r="AR3" s="65" t="str">
        <f t="shared" ca="1" si="6"/>
        <v>-</v>
      </c>
      <c r="AS3" s="65" t="str">
        <f t="shared" ca="1" si="6"/>
        <v>-</v>
      </c>
      <c r="AT3" s="65" t="str">
        <f t="shared" ca="1" si="6"/>
        <v>-</v>
      </c>
      <c r="AU3" s="65" t="str">
        <f t="shared" ca="1" si="6"/>
        <v>-</v>
      </c>
      <c r="AV3" s="65" t="str">
        <f t="shared" ca="1" si="6"/>
        <v>-</v>
      </c>
      <c r="AW3" s="65" t="str">
        <f t="shared" ca="1" si="6"/>
        <v>-</v>
      </c>
      <c r="AX3" s="65" t="e">
        <f t="shared" ca="1" si="6"/>
        <v>#VALUE!</v>
      </c>
      <c r="AY3" s="65" t="e">
        <f t="shared" ca="1" si="6"/>
        <v>#VALUE!</v>
      </c>
      <c r="AZ3" s="65" t="e">
        <f t="shared" ref="AZ3:BI6" ca="1" si="7">IF(AND(AZ$2&gt;=$G3,AZ$2&lt;($G3+$I3)),ROUND($F3/$I3,0),"-")</f>
        <v>#VALUE!</v>
      </c>
      <c r="BA3" s="65" t="e">
        <f t="shared" ca="1" si="7"/>
        <v>#VALUE!</v>
      </c>
      <c r="BB3" s="65" t="e">
        <f t="shared" ca="1" si="7"/>
        <v>#VALUE!</v>
      </c>
      <c r="BC3" s="65" t="e">
        <f t="shared" ca="1" si="7"/>
        <v>#VALUE!</v>
      </c>
      <c r="BD3" s="65" t="e">
        <f t="shared" ca="1" si="7"/>
        <v>#VALUE!</v>
      </c>
      <c r="BE3" s="65" t="e">
        <f t="shared" ca="1" si="7"/>
        <v>#VALUE!</v>
      </c>
      <c r="BF3" s="65" t="e">
        <f t="shared" ca="1" si="7"/>
        <v>#VALUE!</v>
      </c>
      <c r="BG3" s="65" t="e">
        <f t="shared" ca="1" si="7"/>
        <v>#VALUE!</v>
      </c>
      <c r="BH3" s="65" t="str">
        <f t="shared" ca="1" si="7"/>
        <v>-</v>
      </c>
      <c r="BI3" s="65" t="str">
        <f t="shared" ca="1" si="7"/>
        <v>-</v>
      </c>
      <c r="BJ3" s="65" t="str">
        <f t="shared" ref="BJ3:BS6" ca="1" si="8">IF(AND(BJ$2&gt;=$G3,BJ$2&lt;($G3+$I3)),ROUND($F3/$I3,0),"-")</f>
        <v>-</v>
      </c>
      <c r="BK3" s="65" t="str">
        <f t="shared" ca="1" si="8"/>
        <v>-</v>
      </c>
      <c r="BL3" s="65" t="str">
        <f t="shared" ca="1" si="8"/>
        <v>-</v>
      </c>
      <c r="BM3" s="65" t="str">
        <f t="shared" ca="1" si="8"/>
        <v>-</v>
      </c>
      <c r="BN3" s="65" t="str">
        <f t="shared" ca="1" si="8"/>
        <v>-</v>
      </c>
      <c r="BO3" s="65" t="str">
        <f t="shared" ca="1" si="8"/>
        <v>-</v>
      </c>
      <c r="BP3" s="65" t="str">
        <f t="shared" ca="1" si="8"/>
        <v>-</v>
      </c>
      <c r="BQ3" s="65" t="str">
        <f t="shared" ca="1" si="8"/>
        <v>-</v>
      </c>
      <c r="BR3" s="65" t="str">
        <f t="shared" ca="1" si="8"/>
        <v>-</v>
      </c>
      <c r="BS3" s="65" t="str">
        <f t="shared" ca="1" si="8"/>
        <v>-</v>
      </c>
      <c r="BT3" s="65" t="str">
        <f t="shared" ref="BT3:CC6" ca="1" si="9">IF(AND(BT$2&gt;=$G3,BT$2&lt;($G3+$I3)),ROUND($F3/$I3,0),"-")</f>
        <v>-</v>
      </c>
      <c r="BU3" s="65" t="str">
        <f t="shared" ca="1" si="9"/>
        <v>-</v>
      </c>
      <c r="BV3" s="65" t="str">
        <f t="shared" ca="1" si="9"/>
        <v>-</v>
      </c>
      <c r="BW3" s="65" t="str">
        <f t="shared" ca="1" si="9"/>
        <v>-</v>
      </c>
      <c r="BX3" s="65" t="str">
        <f t="shared" ca="1" si="9"/>
        <v>-</v>
      </c>
      <c r="BY3" s="65" t="str">
        <f t="shared" ca="1" si="9"/>
        <v>-</v>
      </c>
      <c r="BZ3" s="65" t="str">
        <f t="shared" ca="1" si="9"/>
        <v>-</v>
      </c>
      <c r="CA3" s="65" t="str">
        <f t="shared" ca="1" si="9"/>
        <v>-</v>
      </c>
      <c r="CB3" s="65" t="str">
        <f t="shared" ca="1" si="9"/>
        <v>-</v>
      </c>
      <c r="CC3" s="65" t="str">
        <f t="shared" ca="1" si="9"/>
        <v>-</v>
      </c>
      <c r="CD3" s="65" t="str">
        <f t="shared" ref="CD3:CM6" ca="1" si="10">IF(AND(CD$2&gt;=$G3,CD$2&lt;($G3+$I3)),ROUND($F3/$I3,0),"-")</f>
        <v>-</v>
      </c>
      <c r="CE3" s="65" t="str">
        <f t="shared" ca="1" si="10"/>
        <v>-</v>
      </c>
      <c r="CF3" s="65" t="str">
        <f t="shared" ca="1" si="10"/>
        <v>-</v>
      </c>
      <c r="CG3" s="65" t="str">
        <f t="shared" ca="1" si="10"/>
        <v>-</v>
      </c>
      <c r="CH3" s="65" t="str">
        <f t="shared" ca="1" si="10"/>
        <v>-</v>
      </c>
      <c r="CI3" s="65" t="str">
        <f t="shared" ca="1" si="10"/>
        <v>-</v>
      </c>
      <c r="CJ3" s="65" t="str">
        <f t="shared" ca="1" si="10"/>
        <v>-</v>
      </c>
      <c r="CK3" s="65" t="str">
        <f t="shared" ca="1" si="10"/>
        <v>-</v>
      </c>
      <c r="CL3" s="65" t="str">
        <f t="shared" ca="1" si="10"/>
        <v>-</v>
      </c>
      <c r="CM3" s="65" t="str">
        <f t="shared" ca="1" si="10"/>
        <v>-</v>
      </c>
      <c r="CN3" s="65" t="str">
        <f t="shared" ref="CN3:CS6" ca="1" si="11">IF(AND(CN$2&gt;=$G3,CN$2&lt;($G3+$I3)),ROUND($F3/$I3,0),"-")</f>
        <v>-</v>
      </c>
      <c r="CO3" s="65" t="str">
        <f t="shared" ca="1" si="11"/>
        <v>-</v>
      </c>
      <c r="CP3" s="65" t="str">
        <f t="shared" ca="1" si="11"/>
        <v>-</v>
      </c>
      <c r="CQ3" s="65" t="str">
        <f t="shared" ca="1" si="11"/>
        <v>-</v>
      </c>
      <c r="CR3" s="65" t="str">
        <f t="shared" ca="1" si="11"/>
        <v>-</v>
      </c>
      <c r="CS3" s="65" t="str">
        <f t="shared" ca="1" si="11"/>
        <v>-</v>
      </c>
      <c r="GZ3" s="221"/>
    </row>
    <row r="4" spans="1:208">
      <c r="A4" s="464"/>
      <c r="B4" s="466"/>
      <c r="C4" s="466"/>
      <c r="D4" s="466"/>
      <c r="E4" s="185" t="s">
        <v>65</v>
      </c>
      <c r="F4" s="66" t="e">
        <f>SUM('BESS 12'!S74,'BESS 12'!S76:S77,'BESS 12'!S80:S82)</f>
        <v>#VALUE!</v>
      </c>
      <c r="G4" s="182">
        <f t="shared" ref="G4:G5" ca="1" si="12">TODAY()</f>
        <v>46233</v>
      </c>
      <c r="H4" s="162">
        <f>MAX('BESS 12'!O74,'BESS 12'!O76:O77,'BESS 12'!O80:O82)</f>
        <v>0</v>
      </c>
      <c r="I4" s="66">
        <f t="shared" ref="I4:I6" ca="1" si="13">H4-G4</f>
        <v>-46233</v>
      </c>
      <c r="J4" s="507"/>
      <c r="K4" s="476"/>
      <c r="L4" s="65" t="str">
        <f t="shared" ca="1" si="3"/>
        <v>-</v>
      </c>
      <c r="M4" s="65" t="str">
        <f t="shared" ca="1" si="3"/>
        <v>-</v>
      </c>
      <c r="N4" s="65" t="str">
        <f t="shared" ca="1" si="3"/>
        <v>-</v>
      </c>
      <c r="O4" s="65" t="str">
        <f t="shared" ca="1" si="3"/>
        <v>-</v>
      </c>
      <c r="P4" s="65" t="str">
        <f t="shared" ca="1" si="3"/>
        <v>-</v>
      </c>
      <c r="Q4" s="65" t="str">
        <f t="shared" ca="1" si="3"/>
        <v>-</v>
      </c>
      <c r="R4" s="65" t="str">
        <f t="shared" ca="1" si="3"/>
        <v>-</v>
      </c>
      <c r="S4" s="65" t="str">
        <f t="shared" ca="1" si="3"/>
        <v>-</v>
      </c>
      <c r="T4" s="65" t="str">
        <f t="shared" ca="1" si="3"/>
        <v>-</v>
      </c>
      <c r="U4" s="65" t="str">
        <f t="shared" ca="1" si="3"/>
        <v>-</v>
      </c>
      <c r="V4" s="65" t="str">
        <f t="shared" ca="1" si="4"/>
        <v>-</v>
      </c>
      <c r="W4" s="65" t="str">
        <f t="shared" ca="1" si="4"/>
        <v>-</v>
      </c>
      <c r="X4" s="65" t="str">
        <f t="shared" ca="1" si="4"/>
        <v>-</v>
      </c>
      <c r="Y4" s="65" t="str">
        <f t="shared" ca="1" si="4"/>
        <v>-</v>
      </c>
      <c r="Z4" s="65" t="str">
        <f t="shared" ca="1" si="4"/>
        <v>-</v>
      </c>
      <c r="AA4" s="65" t="str">
        <f t="shared" ca="1" si="4"/>
        <v>-</v>
      </c>
      <c r="AB4" s="65" t="str">
        <f t="shared" ca="1" si="4"/>
        <v>-</v>
      </c>
      <c r="AC4" s="65" t="str">
        <f t="shared" ca="1" si="4"/>
        <v>-</v>
      </c>
      <c r="AD4" s="65" t="str">
        <f t="shared" ca="1" si="4"/>
        <v>-</v>
      </c>
      <c r="AE4" s="65" t="str">
        <f t="shared" ca="1" si="4"/>
        <v>-</v>
      </c>
      <c r="AF4" s="65" t="str">
        <f t="shared" ca="1" si="5"/>
        <v>-</v>
      </c>
      <c r="AG4" s="65" t="str">
        <f t="shared" ca="1" si="5"/>
        <v>-</v>
      </c>
      <c r="AH4" s="65" t="str">
        <f t="shared" ca="1" si="5"/>
        <v>-</v>
      </c>
      <c r="AI4" s="65" t="str">
        <f t="shared" ca="1" si="5"/>
        <v>-</v>
      </c>
      <c r="AJ4" s="65" t="str">
        <f t="shared" ca="1" si="5"/>
        <v>-</v>
      </c>
      <c r="AK4" s="65" t="str">
        <f t="shared" ca="1" si="5"/>
        <v>-</v>
      </c>
      <c r="AL4" s="65" t="str">
        <f t="shared" ca="1" si="5"/>
        <v>-</v>
      </c>
      <c r="AM4" s="65" t="str">
        <f t="shared" ca="1" si="5"/>
        <v>-</v>
      </c>
      <c r="AN4" s="65" t="str">
        <f t="shared" ca="1" si="5"/>
        <v>-</v>
      </c>
      <c r="AO4" s="65" t="str">
        <f t="shared" ca="1" si="5"/>
        <v>-</v>
      </c>
      <c r="AP4" s="65" t="str">
        <f t="shared" ca="1" si="6"/>
        <v>-</v>
      </c>
      <c r="AQ4" s="65" t="str">
        <f t="shared" ca="1" si="6"/>
        <v>-</v>
      </c>
      <c r="AR4" s="65" t="str">
        <f t="shared" ca="1" si="6"/>
        <v>-</v>
      </c>
      <c r="AS4" s="65" t="str">
        <f t="shared" ca="1" si="6"/>
        <v>-</v>
      </c>
      <c r="AT4" s="65" t="str">
        <f t="shared" ca="1" si="6"/>
        <v>-</v>
      </c>
      <c r="AU4" s="65" t="str">
        <f t="shared" ca="1" si="6"/>
        <v>-</v>
      </c>
      <c r="AV4" s="65" t="str">
        <f t="shared" ca="1" si="6"/>
        <v>-</v>
      </c>
      <c r="AW4" s="65" t="str">
        <f t="shared" ca="1" si="6"/>
        <v>-</v>
      </c>
      <c r="AX4" s="65" t="str">
        <f t="shared" ca="1" si="6"/>
        <v>-</v>
      </c>
      <c r="AY4" s="65" t="str">
        <f t="shared" ca="1" si="6"/>
        <v>-</v>
      </c>
      <c r="AZ4" s="65" t="str">
        <f t="shared" ca="1" si="7"/>
        <v>-</v>
      </c>
      <c r="BA4" s="65" t="str">
        <f t="shared" ca="1" si="7"/>
        <v>-</v>
      </c>
      <c r="BB4" s="65" t="str">
        <f t="shared" ca="1" si="7"/>
        <v>-</v>
      </c>
      <c r="BC4" s="65" t="str">
        <f t="shared" ca="1" si="7"/>
        <v>-</v>
      </c>
      <c r="BD4" s="65" t="str">
        <f t="shared" ca="1" si="7"/>
        <v>-</v>
      </c>
      <c r="BE4" s="65" t="str">
        <f t="shared" ca="1" si="7"/>
        <v>-</v>
      </c>
      <c r="BF4" s="65" t="str">
        <f t="shared" ca="1" si="7"/>
        <v>-</v>
      </c>
      <c r="BG4" s="65" t="str">
        <f t="shared" ca="1" si="7"/>
        <v>-</v>
      </c>
      <c r="BH4" s="65" t="str">
        <f t="shared" ca="1" si="7"/>
        <v>-</v>
      </c>
      <c r="BI4" s="65" t="str">
        <f t="shared" ca="1" si="7"/>
        <v>-</v>
      </c>
      <c r="BJ4" s="65" t="str">
        <f t="shared" ca="1" si="8"/>
        <v>-</v>
      </c>
      <c r="BK4" s="65" t="str">
        <f t="shared" ca="1" si="8"/>
        <v>-</v>
      </c>
      <c r="BL4" s="65" t="str">
        <f t="shared" ca="1" si="8"/>
        <v>-</v>
      </c>
      <c r="BM4" s="65" t="str">
        <f t="shared" ca="1" si="8"/>
        <v>-</v>
      </c>
      <c r="BN4" s="65" t="str">
        <f t="shared" ca="1" si="8"/>
        <v>-</v>
      </c>
      <c r="BO4" s="65" t="str">
        <f t="shared" ca="1" si="8"/>
        <v>-</v>
      </c>
      <c r="BP4" s="65" t="str">
        <f t="shared" ca="1" si="8"/>
        <v>-</v>
      </c>
      <c r="BQ4" s="65" t="str">
        <f t="shared" ca="1" si="8"/>
        <v>-</v>
      </c>
      <c r="BR4" s="65" t="str">
        <f t="shared" ca="1" si="8"/>
        <v>-</v>
      </c>
      <c r="BS4" s="65" t="str">
        <f t="shared" ca="1" si="8"/>
        <v>-</v>
      </c>
      <c r="BT4" s="65" t="str">
        <f t="shared" ca="1" si="9"/>
        <v>-</v>
      </c>
      <c r="BU4" s="65" t="str">
        <f t="shared" ca="1" si="9"/>
        <v>-</v>
      </c>
      <c r="BV4" s="65" t="str">
        <f t="shared" ca="1" si="9"/>
        <v>-</v>
      </c>
      <c r="BW4" s="65" t="str">
        <f t="shared" ca="1" si="9"/>
        <v>-</v>
      </c>
      <c r="BX4" s="65" t="str">
        <f t="shared" ca="1" si="9"/>
        <v>-</v>
      </c>
      <c r="BY4" s="65" t="str">
        <f t="shared" ca="1" si="9"/>
        <v>-</v>
      </c>
      <c r="BZ4" s="65" t="str">
        <f t="shared" ca="1" si="9"/>
        <v>-</v>
      </c>
      <c r="CA4" s="65" t="str">
        <f t="shared" ca="1" si="9"/>
        <v>-</v>
      </c>
      <c r="CB4" s="65" t="str">
        <f t="shared" ca="1" si="9"/>
        <v>-</v>
      </c>
      <c r="CC4" s="65" t="str">
        <f t="shared" ca="1" si="9"/>
        <v>-</v>
      </c>
      <c r="CD4" s="65" t="str">
        <f t="shared" ca="1" si="10"/>
        <v>-</v>
      </c>
      <c r="CE4" s="65" t="str">
        <f t="shared" ca="1" si="10"/>
        <v>-</v>
      </c>
      <c r="CF4" s="65" t="str">
        <f t="shared" ca="1" si="10"/>
        <v>-</v>
      </c>
      <c r="CG4" s="65" t="str">
        <f t="shared" ca="1" si="10"/>
        <v>-</v>
      </c>
      <c r="CH4" s="65" t="str">
        <f t="shared" ca="1" si="10"/>
        <v>-</v>
      </c>
      <c r="CI4" s="65" t="str">
        <f t="shared" ca="1" si="10"/>
        <v>-</v>
      </c>
      <c r="CJ4" s="65" t="str">
        <f t="shared" ca="1" si="10"/>
        <v>-</v>
      </c>
      <c r="CK4" s="65" t="str">
        <f t="shared" ca="1" si="10"/>
        <v>-</v>
      </c>
      <c r="CL4" s="65" t="str">
        <f t="shared" ca="1" si="10"/>
        <v>-</v>
      </c>
      <c r="CM4" s="65" t="str">
        <f t="shared" ca="1" si="10"/>
        <v>-</v>
      </c>
      <c r="CN4" s="65" t="str">
        <f t="shared" ca="1" si="11"/>
        <v>-</v>
      </c>
      <c r="CO4" s="65" t="str">
        <f t="shared" ca="1" si="11"/>
        <v>-</v>
      </c>
      <c r="CP4" s="65" t="str">
        <f t="shared" ca="1" si="11"/>
        <v>-</v>
      </c>
      <c r="CQ4" s="65" t="str">
        <f t="shared" ca="1" si="11"/>
        <v>-</v>
      </c>
      <c r="CR4" s="65" t="str">
        <f t="shared" ca="1" si="11"/>
        <v>-</v>
      </c>
      <c r="CS4" s="65" t="str">
        <f t="shared" ca="1" si="11"/>
        <v>-</v>
      </c>
    </row>
    <row r="5" spans="1:208">
      <c r="A5" s="464"/>
      <c r="B5" s="466"/>
      <c r="C5" s="466"/>
      <c r="D5" s="466"/>
      <c r="E5" s="185" t="s">
        <v>66</v>
      </c>
      <c r="F5" s="66" t="e">
        <f>SUM('BESS 12'!S75,'BESS 12'!S79,'BESS 12'!S83:S84,461)</f>
        <v>#VALUE!</v>
      </c>
      <c r="G5" s="182">
        <f t="shared" ca="1" si="12"/>
        <v>46233</v>
      </c>
      <c r="H5" s="162">
        <f>MAX('BESS 12'!O75,'BESS 12'!O78:O79,'BESS 12'!O83:O84)</f>
        <v>46233</v>
      </c>
      <c r="I5" s="66">
        <f t="shared" ca="1" si="13"/>
        <v>0</v>
      </c>
      <c r="J5" s="507"/>
      <c r="K5" s="476"/>
      <c r="L5" s="65" t="str">
        <f t="shared" ca="1" si="3"/>
        <v>-</v>
      </c>
      <c r="M5" s="65" t="str">
        <f t="shared" ca="1" si="3"/>
        <v>-</v>
      </c>
      <c r="N5" s="65" t="str">
        <f t="shared" ca="1" si="3"/>
        <v>-</v>
      </c>
      <c r="O5" s="65" t="str">
        <f t="shared" ca="1" si="3"/>
        <v>-</v>
      </c>
      <c r="P5" s="65" t="str">
        <f t="shared" ca="1" si="3"/>
        <v>-</v>
      </c>
      <c r="Q5" s="65" t="str">
        <f t="shared" ca="1" si="3"/>
        <v>-</v>
      </c>
      <c r="R5" s="65" t="str">
        <f t="shared" ca="1" si="3"/>
        <v>-</v>
      </c>
      <c r="S5" s="65" t="str">
        <f t="shared" ca="1" si="3"/>
        <v>-</v>
      </c>
      <c r="T5" s="65" t="str">
        <f t="shared" ca="1" si="3"/>
        <v>-</v>
      </c>
      <c r="U5" s="65" t="str">
        <f t="shared" ca="1" si="3"/>
        <v>-</v>
      </c>
      <c r="V5" s="65" t="str">
        <f t="shared" ca="1" si="4"/>
        <v>-</v>
      </c>
      <c r="W5" s="65" t="str">
        <f t="shared" ca="1" si="4"/>
        <v>-</v>
      </c>
      <c r="X5" s="65" t="str">
        <f t="shared" ca="1" si="4"/>
        <v>-</v>
      </c>
      <c r="Y5" s="65" t="str">
        <f t="shared" ca="1" si="4"/>
        <v>-</v>
      </c>
      <c r="Z5" s="65" t="str">
        <f t="shared" ca="1" si="4"/>
        <v>-</v>
      </c>
      <c r="AA5" s="65" t="str">
        <f t="shared" ca="1" si="4"/>
        <v>-</v>
      </c>
      <c r="AB5" s="65" t="str">
        <f t="shared" ca="1" si="4"/>
        <v>-</v>
      </c>
      <c r="AC5" s="65" t="str">
        <f t="shared" ca="1" si="4"/>
        <v>-</v>
      </c>
      <c r="AD5" s="65" t="str">
        <f t="shared" ca="1" si="4"/>
        <v>-</v>
      </c>
      <c r="AE5" s="65" t="str">
        <f t="shared" ca="1" si="4"/>
        <v>-</v>
      </c>
      <c r="AF5" s="65" t="str">
        <f t="shared" ca="1" si="5"/>
        <v>-</v>
      </c>
      <c r="AG5" s="65" t="str">
        <f t="shared" ca="1" si="5"/>
        <v>-</v>
      </c>
      <c r="AH5" s="65" t="str">
        <f t="shared" ca="1" si="5"/>
        <v>-</v>
      </c>
      <c r="AI5" s="65" t="str">
        <f t="shared" ca="1" si="5"/>
        <v>-</v>
      </c>
      <c r="AJ5" s="65" t="str">
        <f t="shared" ca="1" si="5"/>
        <v>-</v>
      </c>
      <c r="AK5" s="65" t="str">
        <f t="shared" ca="1" si="5"/>
        <v>-</v>
      </c>
      <c r="AL5" s="65" t="str">
        <f t="shared" ca="1" si="5"/>
        <v>-</v>
      </c>
      <c r="AM5" s="65" t="str">
        <f t="shared" ca="1" si="5"/>
        <v>-</v>
      </c>
      <c r="AN5" s="65" t="str">
        <f t="shared" ca="1" si="5"/>
        <v>-</v>
      </c>
      <c r="AO5" s="65" t="str">
        <f t="shared" ca="1" si="5"/>
        <v>-</v>
      </c>
      <c r="AP5" s="65" t="str">
        <f t="shared" ca="1" si="6"/>
        <v>-</v>
      </c>
      <c r="AQ5" s="65" t="str">
        <f t="shared" ca="1" si="6"/>
        <v>-</v>
      </c>
      <c r="AR5" s="65" t="str">
        <f t="shared" ca="1" si="6"/>
        <v>-</v>
      </c>
      <c r="AS5" s="65" t="str">
        <f t="shared" ca="1" si="6"/>
        <v>-</v>
      </c>
      <c r="AT5" s="65" t="str">
        <f t="shared" ca="1" si="6"/>
        <v>-</v>
      </c>
      <c r="AU5" s="65" t="str">
        <f t="shared" ca="1" si="6"/>
        <v>-</v>
      </c>
      <c r="AV5" s="65" t="str">
        <f t="shared" ca="1" si="6"/>
        <v>-</v>
      </c>
      <c r="AW5" s="65" t="str">
        <f t="shared" ca="1" si="6"/>
        <v>-</v>
      </c>
      <c r="AX5" s="65" t="str">
        <f t="shared" ca="1" si="6"/>
        <v>-</v>
      </c>
      <c r="AY5" s="65" t="str">
        <f t="shared" ca="1" si="6"/>
        <v>-</v>
      </c>
      <c r="AZ5" s="65" t="str">
        <f t="shared" ca="1" si="7"/>
        <v>-</v>
      </c>
      <c r="BA5" s="65" t="str">
        <f t="shared" ca="1" si="7"/>
        <v>-</v>
      </c>
      <c r="BB5" s="65" t="str">
        <f t="shared" ca="1" si="7"/>
        <v>-</v>
      </c>
      <c r="BC5" s="65" t="str">
        <f t="shared" ca="1" si="7"/>
        <v>-</v>
      </c>
      <c r="BD5" s="65" t="str">
        <f t="shared" ca="1" si="7"/>
        <v>-</v>
      </c>
      <c r="BE5" s="65" t="str">
        <f t="shared" ca="1" si="7"/>
        <v>-</v>
      </c>
      <c r="BF5" s="65" t="str">
        <f t="shared" ca="1" si="7"/>
        <v>-</v>
      </c>
      <c r="BG5" s="65" t="str">
        <f t="shared" ca="1" si="7"/>
        <v>-</v>
      </c>
      <c r="BH5" s="65" t="str">
        <f t="shared" ca="1" si="7"/>
        <v>-</v>
      </c>
      <c r="BI5" s="65" t="str">
        <f t="shared" ca="1" si="7"/>
        <v>-</v>
      </c>
      <c r="BJ5" s="65" t="str">
        <f t="shared" ca="1" si="8"/>
        <v>-</v>
      </c>
      <c r="BK5" s="65" t="str">
        <f t="shared" ca="1" si="8"/>
        <v>-</v>
      </c>
      <c r="BL5" s="65" t="str">
        <f t="shared" ca="1" si="8"/>
        <v>-</v>
      </c>
      <c r="BM5" s="65" t="str">
        <f t="shared" ca="1" si="8"/>
        <v>-</v>
      </c>
      <c r="BN5" s="65" t="str">
        <f t="shared" ca="1" si="8"/>
        <v>-</v>
      </c>
      <c r="BO5" s="65" t="str">
        <f t="shared" ca="1" si="8"/>
        <v>-</v>
      </c>
      <c r="BP5" s="65" t="str">
        <f t="shared" ca="1" si="8"/>
        <v>-</v>
      </c>
      <c r="BQ5" s="65" t="str">
        <f t="shared" ca="1" si="8"/>
        <v>-</v>
      </c>
      <c r="BR5" s="65" t="str">
        <f t="shared" ca="1" si="8"/>
        <v>-</v>
      </c>
      <c r="BS5" s="65" t="str">
        <f t="shared" ca="1" si="8"/>
        <v>-</v>
      </c>
      <c r="BT5" s="65" t="str">
        <f t="shared" ca="1" si="9"/>
        <v>-</v>
      </c>
      <c r="BU5" s="65" t="str">
        <f t="shared" ca="1" si="9"/>
        <v>-</v>
      </c>
      <c r="BV5" s="65" t="str">
        <f t="shared" ca="1" si="9"/>
        <v>-</v>
      </c>
      <c r="BW5" s="65" t="str">
        <f t="shared" ca="1" si="9"/>
        <v>-</v>
      </c>
      <c r="BX5" s="65" t="str">
        <f t="shared" ca="1" si="9"/>
        <v>-</v>
      </c>
      <c r="BY5" s="65" t="str">
        <f t="shared" ca="1" si="9"/>
        <v>-</v>
      </c>
      <c r="BZ5" s="65" t="str">
        <f t="shared" ca="1" si="9"/>
        <v>-</v>
      </c>
      <c r="CA5" s="65" t="str">
        <f t="shared" ca="1" si="9"/>
        <v>-</v>
      </c>
      <c r="CB5" s="65" t="str">
        <f t="shared" ca="1" si="9"/>
        <v>-</v>
      </c>
      <c r="CC5" s="65" t="str">
        <f t="shared" ca="1" si="9"/>
        <v>-</v>
      </c>
      <c r="CD5" s="65" t="str">
        <f t="shared" ca="1" si="10"/>
        <v>-</v>
      </c>
      <c r="CE5" s="65" t="str">
        <f t="shared" ca="1" si="10"/>
        <v>-</v>
      </c>
      <c r="CF5" s="65" t="str">
        <f t="shared" ca="1" si="10"/>
        <v>-</v>
      </c>
      <c r="CG5" s="65" t="str">
        <f t="shared" ca="1" si="10"/>
        <v>-</v>
      </c>
      <c r="CH5" s="65" t="str">
        <f t="shared" ca="1" si="10"/>
        <v>-</v>
      </c>
      <c r="CI5" s="65" t="str">
        <f t="shared" ca="1" si="10"/>
        <v>-</v>
      </c>
      <c r="CJ5" s="65" t="str">
        <f t="shared" ca="1" si="10"/>
        <v>-</v>
      </c>
      <c r="CK5" s="65" t="str">
        <f t="shared" ca="1" si="10"/>
        <v>-</v>
      </c>
      <c r="CL5" s="65" t="str">
        <f t="shared" ca="1" si="10"/>
        <v>-</v>
      </c>
      <c r="CM5" s="65" t="str">
        <f t="shared" ca="1" si="10"/>
        <v>-</v>
      </c>
      <c r="CN5" s="65" t="str">
        <f t="shared" ca="1" si="11"/>
        <v>-</v>
      </c>
      <c r="CO5" s="65" t="str">
        <f t="shared" ca="1" si="11"/>
        <v>-</v>
      </c>
      <c r="CP5" s="65" t="str">
        <f t="shared" ca="1" si="11"/>
        <v>-</v>
      </c>
      <c r="CQ5" s="65" t="str">
        <f t="shared" ca="1" si="11"/>
        <v>-</v>
      </c>
      <c r="CR5" s="65" t="str">
        <f t="shared" ca="1" si="11"/>
        <v>-</v>
      </c>
      <c r="CS5" s="65" t="str">
        <f t="shared" ca="1" si="11"/>
        <v>-</v>
      </c>
    </row>
    <row r="6" spans="1:208">
      <c r="A6" s="464"/>
      <c r="B6" s="466"/>
      <c r="C6" s="466"/>
      <c r="D6" s="466"/>
      <c r="E6" s="185" t="s">
        <v>67</v>
      </c>
      <c r="F6" s="66" t="e">
        <f>SUM('BESS 12'!S88:S95)</f>
        <v>#VALUE!</v>
      </c>
      <c r="G6" s="182">
        <f>H6-14</f>
        <v>46219</v>
      </c>
      <c r="H6" s="162">
        <f>MAX('BESS 12'!O86:O95)</f>
        <v>46233</v>
      </c>
      <c r="I6" s="66">
        <f t="shared" si="13"/>
        <v>14</v>
      </c>
      <c r="J6" s="507"/>
      <c r="K6" s="476"/>
      <c r="L6" s="65" t="str">
        <f t="shared" si="3"/>
        <v>-</v>
      </c>
      <c r="M6" s="65" t="str">
        <f t="shared" si="3"/>
        <v>-</v>
      </c>
      <c r="N6" s="65" t="str">
        <f t="shared" si="3"/>
        <v>-</v>
      </c>
      <c r="O6" s="65" t="str">
        <f t="shared" si="3"/>
        <v>-</v>
      </c>
      <c r="P6" s="65" t="str">
        <f t="shared" si="3"/>
        <v>-</v>
      </c>
      <c r="Q6" s="65" t="str">
        <f t="shared" si="3"/>
        <v>-</v>
      </c>
      <c r="R6" s="65" t="str">
        <f t="shared" si="3"/>
        <v>-</v>
      </c>
      <c r="S6" s="65" t="str">
        <f t="shared" si="3"/>
        <v>-</v>
      </c>
      <c r="T6" s="65" t="str">
        <f t="shared" si="3"/>
        <v>-</v>
      </c>
      <c r="U6" s="65" t="str">
        <f t="shared" si="3"/>
        <v>-</v>
      </c>
      <c r="V6" s="65" t="str">
        <f t="shared" si="4"/>
        <v>-</v>
      </c>
      <c r="W6" s="65" t="str">
        <f t="shared" si="4"/>
        <v>-</v>
      </c>
      <c r="X6" s="65" t="str">
        <f t="shared" si="4"/>
        <v>-</v>
      </c>
      <c r="Y6" s="65" t="str">
        <f t="shared" si="4"/>
        <v>-</v>
      </c>
      <c r="Z6" s="65" t="str">
        <f t="shared" si="4"/>
        <v>-</v>
      </c>
      <c r="AA6" s="65" t="str">
        <f t="shared" si="4"/>
        <v>-</v>
      </c>
      <c r="AB6" s="65" t="str">
        <f t="shared" si="4"/>
        <v>-</v>
      </c>
      <c r="AC6" s="65" t="str">
        <f t="shared" si="4"/>
        <v>-</v>
      </c>
      <c r="AD6" s="65" t="str">
        <f t="shared" si="4"/>
        <v>-</v>
      </c>
      <c r="AE6" s="65" t="str">
        <f t="shared" si="4"/>
        <v>-</v>
      </c>
      <c r="AF6" s="65" t="str">
        <f t="shared" si="5"/>
        <v>-</v>
      </c>
      <c r="AG6" s="65" t="str">
        <f t="shared" si="5"/>
        <v>-</v>
      </c>
      <c r="AH6" s="65" t="str">
        <f t="shared" si="5"/>
        <v>-</v>
      </c>
      <c r="AI6" s="65" t="str">
        <f t="shared" si="5"/>
        <v>-</v>
      </c>
      <c r="AJ6" s="65" t="e">
        <f t="shared" si="5"/>
        <v>#VALUE!</v>
      </c>
      <c r="AK6" s="65" t="e">
        <f t="shared" si="5"/>
        <v>#VALUE!</v>
      </c>
      <c r="AL6" s="65" t="e">
        <f t="shared" si="5"/>
        <v>#VALUE!</v>
      </c>
      <c r="AM6" s="65" t="e">
        <f t="shared" si="5"/>
        <v>#VALUE!</v>
      </c>
      <c r="AN6" s="65" t="e">
        <f t="shared" si="5"/>
        <v>#VALUE!</v>
      </c>
      <c r="AO6" s="65" t="e">
        <f t="shared" si="5"/>
        <v>#VALUE!</v>
      </c>
      <c r="AP6" s="65" t="e">
        <f t="shared" si="6"/>
        <v>#VALUE!</v>
      </c>
      <c r="AQ6" s="65" t="e">
        <f t="shared" si="6"/>
        <v>#VALUE!</v>
      </c>
      <c r="AR6" s="65" t="e">
        <f t="shared" si="6"/>
        <v>#VALUE!</v>
      </c>
      <c r="AS6" s="65" t="e">
        <f t="shared" si="6"/>
        <v>#VALUE!</v>
      </c>
      <c r="AT6" s="65" t="e">
        <f t="shared" si="6"/>
        <v>#VALUE!</v>
      </c>
      <c r="AU6" s="65" t="e">
        <f t="shared" si="6"/>
        <v>#VALUE!</v>
      </c>
      <c r="AV6" s="65" t="e">
        <f t="shared" si="6"/>
        <v>#VALUE!</v>
      </c>
      <c r="AW6" s="65" t="e">
        <f t="shared" si="6"/>
        <v>#VALUE!</v>
      </c>
      <c r="AX6" s="65" t="str">
        <f t="shared" si="6"/>
        <v>-</v>
      </c>
      <c r="AY6" s="65" t="str">
        <f t="shared" si="6"/>
        <v>-</v>
      </c>
      <c r="AZ6" s="65" t="str">
        <f t="shared" si="7"/>
        <v>-</v>
      </c>
      <c r="BA6" s="65" t="str">
        <f t="shared" si="7"/>
        <v>-</v>
      </c>
      <c r="BB6" s="65" t="str">
        <f t="shared" si="7"/>
        <v>-</v>
      </c>
      <c r="BC6" s="65" t="str">
        <f t="shared" si="7"/>
        <v>-</v>
      </c>
      <c r="BD6" s="65" t="str">
        <f t="shared" si="7"/>
        <v>-</v>
      </c>
      <c r="BE6" s="65" t="str">
        <f t="shared" si="7"/>
        <v>-</v>
      </c>
      <c r="BF6" s="65" t="str">
        <f t="shared" si="7"/>
        <v>-</v>
      </c>
      <c r="BG6" s="65" t="str">
        <f t="shared" si="7"/>
        <v>-</v>
      </c>
      <c r="BH6" s="65" t="str">
        <f t="shared" si="7"/>
        <v>-</v>
      </c>
      <c r="BI6" s="65" t="str">
        <f t="shared" si="7"/>
        <v>-</v>
      </c>
      <c r="BJ6" s="65" t="str">
        <f t="shared" si="8"/>
        <v>-</v>
      </c>
      <c r="BK6" s="65" t="str">
        <f t="shared" si="8"/>
        <v>-</v>
      </c>
      <c r="BL6" s="65" t="str">
        <f t="shared" si="8"/>
        <v>-</v>
      </c>
      <c r="BM6" s="65" t="str">
        <f t="shared" si="8"/>
        <v>-</v>
      </c>
      <c r="BN6" s="65" t="str">
        <f t="shared" si="8"/>
        <v>-</v>
      </c>
      <c r="BO6" s="65" t="str">
        <f t="shared" si="8"/>
        <v>-</v>
      </c>
      <c r="BP6" s="65" t="str">
        <f t="shared" si="8"/>
        <v>-</v>
      </c>
      <c r="BQ6" s="65" t="str">
        <f t="shared" si="8"/>
        <v>-</v>
      </c>
      <c r="BR6" s="65" t="str">
        <f t="shared" si="8"/>
        <v>-</v>
      </c>
      <c r="BS6" s="65" t="str">
        <f t="shared" si="8"/>
        <v>-</v>
      </c>
      <c r="BT6" s="65" t="str">
        <f t="shared" si="9"/>
        <v>-</v>
      </c>
      <c r="BU6" s="65" t="str">
        <f t="shared" si="9"/>
        <v>-</v>
      </c>
      <c r="BV6" s="65" t="str">
        <f t="shared" si="9"/>
        <v>-</v>
      </c>
      <c r="BW6" s="65" t="str">
        <f t="shared" si="9"/>
        <v>-</v>
      </c>
      <c r="BX6" s="65" t="str">
        <f t="shared" si="9"/>
        <v>-</v>
      </c>
      <c r="BY6" s="65" t="str">
        <f t="shared" si="9"/>
        <v>-</v>
      </c>
      <c r="BZ6" s="65" t="str">
        <f t="shared" si="9"/>
        <v>-</v>
      </c>
      <c r="CA6" s="65" t="str">
        <f t="shared" si="9"/>
        <v>-</v>
      </c>
      <c r="CB6" s="65" t="str">
        <f t="shared" si="9"/>
        <v>-</v>
      </c>
      <c r="CC6" s="65" t="str">
        <f t="shared" si="9"/>
        <v>-</v>
      </c>
      <c r="CD6" s="65" t="str">
        <f t="shared" si="10"/>
        <v>-</v>
      </c>
      <c r="CE6" s="65" t="str">
        <f t="shared" si="10"/>
        <v>-</v>
      </c>
      <c r="CF6" s="65" t="str">
        <f t="shared" si="10"/>
        <v>-</v>
      </c>
      <c r="CG6" s="65" t="str">
        <f t="shared" si="10"/>
        <v>-</v>
      </c>
      <c r="CH6" s="65" t="str">
        <f t="shared" si="10"/>
        <v>-</v>
      </c>
      <c r="CI6" s="65" t="str">
        <f t="shared" si="10"/>
        <v>-</v>
      </c>
      <c r="CJ6" s="65" t="str">
        <f t="shared" si="10"/>
        <v>-</v>
      </c>
      <c r="CK6" s="65" t="str">
        <f t="shared" si="10"/>
        <v>-</v>
      </c>
      <c r="CL6" s="65" t="str">
        <f t="shared" si="10"/>
        <v>-</v>
      </c>
      <c r="CM6" s="65" t="str">
        <f t="shared" si="10"/>
        <v>-</v>
      </c>
      <c r="CN6" s="65" t="str">
        <f t="shared" si="11"/>
        <v>-</v>
      </c>
      <c r="CO6" s="65" t="str">
        <f t="shared" si="11"/>
        <v>-</v>
      </c>
      <c r="CP6" s="65" t="str">
        <f t="shared" si="11"/>
        <v>-</v>
      </c>
      <c r="CQ6" s="65" t="str">
        <f t="shared" si="11"/>
        <v>-</v>
      </c>
      <c r="CR6" s="65" t="str">
        <f t="shared" si="11"/>
        <v>-</v>
      </c>
      <c r="CS6" s="65" t="str">
        <f t="shared" si="11"/>
        <v>-</v>
      </c>
    </row>
    <row r="7" spans="1:208">
      <c r="A7" s="464"/>
      <c r="B7" s="466"/>
      <c r="C7" s="466"/>
      <c r="D7" s="466"/>
      <c r="E7" s="185" t="s">
        <v>68</v>
      </c>
      <c r="F7" s="65">
        <v>250</v>
      </c>
      <c r="G7" s="182"/>
      <c r="H7" s="162">
        <f>B3-3</f>
        <v>46228</v>
      </c>
      <c r="I7" s="65">
        <v>30</v>
      </c>
      <c r="J7" s="508"/>
      <c r="K7" s="504"/>
      <c r="L7" s="182"/>
      <c r="M7" s="182"/>
      <c r="N7" s="65"/>
      <c r="O7" s="66"/>
      <c r="P7" s="66"/>
      <c r="Q7" s="66"/>
      <c r="R7" s="66"/>
      <c r="S7" s="66"/>
      <c r="T7" s="66"/>
      <c r="U7" s="66"/>
      <c r="V7" s="66"/>
      <c r="W7" s="66">
        <v>5</v>
      </c>
      <c r="X7" s="66">
        <v>5</v>
      </c>
      <c r="Y7" s="66">
        <v>5</v>
      </c>
      <c r="Z7" s="66">
        <v>5</v>
      </c>
      <c r="AA7" s="66">
        <v>5</v>
      </c>
      <c r="AB7" s="66">
        <v>5</v>
      </c>
      <c r="AC7" s="66">
        <v>5</v>
      </c>
      <c r="AD7" s="66">
        <v>5</v>
      </c>
      <c r="AE7" s="66">
        <v>5</v>
      </c>
      <c r="AF7" s="66">
        <v>5</v>
      </c>
      <c r="AG7" s="66">
        <v>5</v>
      </c>
      <c r="AH7" s="66">
        <v>5</v>
      </c>
      <c r="AI7" s="66">
        <v>5</v>
      </c>
      <c r="AJ7" s="66">
        <v>5</v>
      </c>
      <c r="AK7" s="66">
        <v>5</v>
      </c>
      <c r="AL7" s="66">
        <v>5</v>
      </c>
      <c r="AM7" s="66">
        <v>5</v>
      </c>
      <c r="AN7" s="66">
        <v>5</v>
      </c>
      <c r="AO7" s="66">
        <v>5</v>
      </c>
      <c r="AP7" s="66">
        <v>5</v>
      </c>
      <c r="AQ7" s="66">
        <v>5</v>
      </c>
      <c r="AR7" s="66">
        <v>5</v>
      </c>
      <c r="AS7" s="66">
        <v>5</v>
      </c>
      <c r="AT7" s="66">
        <v>5</v>
      </c>
      <c r="AU7" s="66">
        <v>30</v>
      </c>
      <c r="AV7" s="66">
        <v>30</v>
      </c>
      <c r="AW7" s="66">
        <v>30</v>
      </c>
      <c r="AX7" s="66">
        <v>30</v>
      </c>
      <c r="AY7" s="66">
        <v>5</v>
      </c>
      <c r="AZ7" s="66">
        <v>5</v>
      </c>
      <c r="BA7" s="66"/>
      <c r="BB7" s="66"/>
      <c r="BC7" s="66"/>
      <c r="BD7" s="66"/>
      <c r="BE7" s="66"/>
      <c r="BF7" s="185"/>
      <c r="BG7" s="185"/>
      <c r="BH7" s="185"/>
      <c r="BI7" s="185"/>
      <c r="BJ7" s="185"/>
      <c r="BK7" s="185"/>
      <c r="BL7" s="185"/>
      <c r="BM7" s="185"/>
      <c r="BN7" s="185"/>
      <c r="BO7" s="185"/>
      <c r="BP7" s="185"/>
      <c r="BQ7" s="185"/>
      <c r="BR7" s="185"/>
      <c r="BS7" s="185"/>
      <c r="BT7" s="185"/>
      <c r="BU7" s="185"/>
      <c r="BV7" s="185"/>
      <c r="BW7" s="185"/>
      <c r="BX7" s="185"/>
      <c r="BY7" s="185"/>
      <c r="BZ7" s="185"/>
      <c r="CA7" s="185"/>
      <c r="CB7" s="185"/>
      <c r="CC7" s="185"/>
      <c r="CD7" s="185"/>
      <c r="CE7" s="185"/>
      <c r="CF7" s="185"/>
      <c r="CG7" s="185"/>
      <c r="CH7" s="185"/>
      <c r="CI7" s="185"/>
      <c r="CJ7" s="185"/>
      <c r="CK7" s="185"/>
      <c r="CL7" s="185"/>
      <c r="CM7" s="185"/>
      <c r="CN7" s="185"/>
      <c r="CO7" s="185"/>
      <c r="CP7" s="185"/>
      <c r="CQ7" s="185"/>
      <c r="CR7" s="185"/>
      <c r="CS7" s="185"/>
    </row>
    <row r="8" spans="1:208" hidden="1">
      <c r="A8" s="188"/>
      <c r="B8" s="222"/>
      <c r="C8" s="222"/>
      <c r="D8" s="199"/>
      <c r="E8" s="199"/>
      <c r="F8" s="223"/>
      <c r="G8" s="181" t="s">
        <v>69</v>
      </c>
      <c r="H8" s="199"/>
      <c r="I8" s="224"/>
      <c r="J8" s="199"/>
      <c r="K8" s="199"/>
      <c r="L8" s="190">
        <f t="shared" ref="L8:AZ8" ca="1" si="14">SUM(L3:L7)</f>
        <v>0</v>
      </c>
      <c r="M8" s="190">
        <f t="shared" ca="1" si="14"/>
        <v>0</v>
      </c>
      <c r="N8" s="190">
        <f t="shared" ca="1" si="14"/>
        <v>0</v>
      </c>
      <c r="O8" s="190">
        <f t="shared" ca="1" si="14"/>
        <v>0</v>
      </c>
      <c r="P8" s="190">
        <f t="shared" ca="1" si="14"/>
        <v>0</v>
      </c>
      <c r="Q8" s="190">
        <f t="shared" ca="1" si="14"/>
        <v>0</v>
      </c>
      <c r="R8" s="190">
        <f t="shared" ca="1" si="14"/>
        <v>0</v>
      </c>
      <c r="S8" s="190">
        <f t="shared" ca="1" si="14"/>
        <v>0</v>
      </c>
      <c r="T8" s="190">
        <f t="shared" ca="1" si="14"/>
        <v>0</v>
      </c>
      <c r="U8" s="190">
        <f t="shared" ca="1" si="14"/>
        <v>0</v>
      </c>
      <c r="V8" s="190">
        <f t="shared" ca="1" si="14"/>
        <v>0</v>
      </c>
      <c r="W8" s="190">
        <f t="shared" ca="1" si="14"/>
        <v>5</v>
      </c>
      <c r="X8" s="190">
        <f t="shared" ca="1" si="14"/>
        <v>5</v>
      </c>
      <c r="Y8" s="190">
        <f t="shared" ca="1" si="14"/>
        <v>5</v>
      </c>
      <c r="Z8" s="190">
        <f t="shared" ca="1" si="14"/>
        <v>5</v>
      </c>
      <c r="AA8" s="190">
        <f t="shared" ca="1" si="14"/>
        <v>5</v>
      </c>
      <c r="AB8" s="190">
        <f t="shared" ca="1" si="14"/>
        <v>5</v>
      </c>
      <c r="AC8" s="190">
        <f t="shared" ca="1" si="14"/>
        <v>5</v>
      </c>
      <c r="AD8" s="190">
        <f t="shared" ca="1" si="14"/>
        <v>5</v>
      </c>
      <c r="AE8" s="190">
        <f t="shared" ca="1" si="14"/>
        <v>5</v>
      </c>
      <c r="AF8" s="190">
        <f t="shared" ca="1" si="14"/>
        <v>5</v>
      </c>
      <c r="AG8" s="190">
        <f t="shared" ca="1" si="14"/>
        <v>5</v>
      </c>
      <c r="AH8" s="190">
        <f t="shared" ca="1" si="14"/>
        <v>5</v>
      </c>
      <c r="AI8" s="190">
        <f t="shared" ca="1" si="14"/>
        <v>5</v>
      </c>
      <c r="AJ8" s="190" t="e">
        <f t="shared" ca="1" si="14"/>
        <v>#VALUE!</v>
      </c>
      <c r="AK8" s="190" t="e">
        <f t="shared" ca="1" si="14"/>
        <v>#VALUE!</v>
      </c>
      <c r="AL8" s="190" t="e">
        <f t="shared" ca="1" si="14"/>
        <v>#VALUE!</v>
      </c>
      <c r="AM8" s="190" t="e">
        <f t="shared" ca="1" si="14"/>
        <v>#VALUE!</v>
      </c>
      <c r="AN8" s="190" t="e">
        <f t="shared" ca="1" si="14"/>
        <v>#VALUE!</v>
      </c>
      <c r="AO8" s="190" t="e">
        <f t="shared" ca="1" si="14"/>
        <v>#VALUE!</v>
      </c>
      <c r="AP8" s="190" t="e">
        <f t="shared" ca="1" si="14"/>
        <v>#VALUE!</v>
      </c>
      <c r="AQ8" s="190" t="e">
        <f t="shared" ca="1" si="14"/>
        <v>#VALUE!</v>
      </c>
      <c r="AR8" s="190" t="e">
        <f t="shared" ca="1" si="14"/>
        <v>#VALUE!</v>
      </c>
      <c r="AS8" s="190" t="e">
        <f t="shared" ca="1" si="14"/>
        <v>#VALUE!</v>
      </c>
      <c r="AT8" s="190" t="e">
        <f t="shared" ca="1" si="14"/>
        <v>#VALUE!</v>
      </c>
      <c r="AU8" s="190" t="e">
        <f t="shared" ca="1" si="14"/>
        <v>#VALUE!</v>
      </c>
      <c r="AV8" s="190" t="e">
        <f t="shared" ca="1" si="14"/>
        <v>#VALUE!</v>
      </c>
      <c r="AW8" s="190" t="e">
        <f t="shared" ca="1" si="14"/>
        <v>#VALUE!</v>
      </c>
      <c r="AX8" s="190" t="e">
        <f t="shared" ca="1" si="14"/>
        <v>#VALUE!</v>
      </c>
      <c r="AY8" s="190" t="e">
        <f t="shared" ca="1" si="14"/>
        <v>#VALUE!</v>
      </c>
      <c r="AZ8" s="190" t="e">
        <f t="shared" ca="1" si="14"/>
        <v>#VALUE!</v>
      </c>
      <c r="BA8" s="185"/>
      <c r="BB8" s="185"/>
      <c r="BC8" s="185"/>
      <c r="BD8" s="185"/>
      <c r="BE8" s="185"/>
      <c r="BF8" s="185"/>
      <c r="BG8" s="185"/>
      <c r="BH8" s="185"/>
      <c r="BI8" s="185"/>
      <c r="BJ8" s="185"/>
      <c r="BK8" s="185"/>
      <c r="BL8" s="185"/>
      <c r="BM8" s="185"/>
      <c r="BN8" s="185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5"/>
      <c r="CA8" s="185"/>
      <c r="CB8" s="185"/>
      <c r="CC8" s="185"/>
      <c r="CD8" s="185"/>
      <c r="CE8" s="185"/>
      <c r="CF8" s="185"/>
      <c r="CG8" s="185"/>
      <c r="CH8" s="185"/>
      <c r="CI8" s="185"/>
      <c r="CJ8" s="185"/>
      <c r="CK8" s="185"/>
      <c r="CL8" s="185"/>
      <c r="CM8" s="185"/>
      <c r="CN8" s="185"/>
      <c r="CO8" s="185"/>
      <c r="CP8" s="185"/>
      <c r="CQ8" s="185"/>
      <c r="CR8" s="185"/>
      <c r="CS8" s="185"/>
      <c r="CT8" s="225" t="e">
        <f ca="1">AVERAGE(L8:BB8)</f>
        <v>#VALUE!</v>
      </c>
      <c r="CU8" s="206" t="e">
        <f ca="1">MAX(L8:BB8)</f>
        <v>#VALUE!</v>
      </c>
    </row>
    <row r="9" spans="1:208">
      <c r="A9" s="188"/>
      <c r="B9" s="222"/>
      <c r="C9" s="222"/>
      <c r="D9" s="199"/>
      <c r="E9" s="199"/>
      <c r="F9" s="223"/>
      <c r="G9" s="181"/>
      <c r="H9" s="199"/>
      <c r="I9" s="224"/>
      <c r="J9" s="199"/>
      <c r="K9" s="199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  <c r="AT9" s="190"/>
      <c r="AU9" s="190"/>
      <c r="AV9" s="190"/>
      <c r="AW9" s="190"/>
      <c r="AX9" s="190"/>
      <c r="AY9" s="190"/>
      <c r="AZ9" s="190"/>
      <c r="BA9" s="185"/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5"/>
      <c r="CS9" s="185"/>
      <c r="CT9" s="225"/>
      <c r="CU9" s="206"/>
    </row>
    <row r="10" spans="1:208" s="180" customFormat="1" ht="27">
      <c r="A10" s="447" t="s">
        <v>70</v>
      </c>
      <c r="B10" s="458" t="str">
        <f>'BESS 12'!F96</f>
        <v>31 Jul
02 Aug</v>
      </c>
      <c r="C10" s="458" t="str">
        <f>'BESS 12'!G96</f>
        <v>05 Aug
07 Aug</v>
      </c>
      <c r="D10" s="226"/>
      <c r="E10" s="226" t="s">
        <v>10</v>
      </c>
      <c r="F10" s="217" t="s">
        <v>58</v>
      </c>
      <c r="G10" s="217" t="s">
        <v>78</v>
      </c>
      <c r="H10" s="217" t="s">
        <v>87</v>
      </c>
      <c r="I10" s="217" t="s">
        <v>59</v>
      </c>
      <c r="J10" s="216" t="s">
        <v>80</v>
      </c>
      <c r="K10" s="216" t="s">
        <v>62</v>
      </c>
      <c r="L10" s="218">
        <v>46195</v>
      </c>
      <c r="M10" s="218">
        <v>46196</v>
      </c>
      <c r="N10" s="218">
        <v>46197</v>
      </c>
      <c r="O10" s="218">
        <v>46198</v>
      </c>
      <c r="P10" s="218">
        <v>46199</v>
      </c>
      <c r="Q10" s="218">
        <v>46200</v>
      </c>
      <c r="R10" s="218">
        <f t="shared" ref="R10:AW10" si="15">Q10+1</f>
        <v>46201</v>
      </c>
      <c r="S10" s="218">
        <f t="shared" si="15"/>
        <v>46202</v>
      </c>
      <c r="T10" s="218">
        <f t="shared" si="15"/>
        <v>46203</v>
      </c>
      <c r="U10" s="218">
        <f t="shared" si="15"/>
        <v>46204</v>
      </c>
      <c r="V10" s="218">
        <f t="shared" si="15"/>
        <v>46205</v>
      </c>
      <c r="W10" s="218">
        <f t="shared" si="15"/>
        <v>46206</v>
      </c>
      <c r="X10" s="218">
        <f t="shared" si="15"/>
        <v>46207</v>
      </c>
      <c r="Y10" s="218">
        <f t="shared" si="15"/>
        <v>46208</v>
      </c>
      <c r="Z10" s="218">
        <f t="shared" si="15"/>
        <v>46209</v>
      </c>
      <c r="AA10" s="218">
        <f t="shared" si="15"/>
        <v>46210</v>
      </c>
      <c r="AB10" s="218">
        <f t="shared" si="15"/>
        <v>46211</v>
      </c>
      <c r="AC10" s="218">
        <f t="shared" si="15"/>
        <v>46212</v>
      </c>
      <c r="AD10" s="218">
        <f t="shared" si="15"/>
        <v>46213</v>
      </c>
      <c r="AE10" s="218">
        <f t="shared" si="15"/>
        <v>46214</v>
      </c>
      <c r="AF10" s="218">
        <f t="shared" si="15"/>
        <v>46215</v>
      </c>
      <c r="AG10" s="218">
        <f t="shared" si="15"/>
        <v>46216</v>
      </c>
      <c r="AH10" s="218">
        <f t="shared" si="15"/>
        <v>46217</v>
      </c>
      <c r="AI10" s="218">
        <f t="shared" si="15"/>
        <v>46218</v>
      </c>
      <c r="AJ10" s="218">
        <f t="shared" si="15"/>
        <v>46219</v>
      </c>
      <c r="AK10" s="218">
        <f t="shared" si="15"/>
        <v>46220</v>
      </c>
      <c r="AL10" s="218">
        <f t="shared" si="15"/>
        <v>46221</v>
      </c>
      <c r="AM10" s="218">
        <f t="shared" si="15"/>
        <v>46222</v>
      </c>
      <c r="AN10" s="218">
        <f t="shared" si="15"/>
        <v>46223</v>
      </c>
      <c r="AO10" s="218">
        <f t="shared" si="15"/>
        <v>46224</v>
      </c>
      <c r="AP10" s="218">
        <f t="shared" si="15"/>
        <v>46225</v>
      </c>
      <c r="AQ10" s="218">
        <f t="shared" si="15"/>
        <v>46226</v>
      </c>
      <c r="AR10" s="218">
        <f t="shared" si="15"/>
        <v>46227</v>
      </c>
      <c r="AS10" s="218">
        <f t="shared" si="15"/>
        <v>46228</v>
      </c>
      <c r="AT10" s="218">
        <f t="shared" si="15"/>
        <v>46229</v>
      </c>
      <c r="AU10" s="218">
        <f t="shared" si="15"/>
        <v>46230</v>
      </c>
      <c r="AV10" s="218">
        <f t="shared" si="15"/>
        <v>46231</v>
      </c>
      <c r="AW10" s="218">
        <f t="shared" si="15"/>
        <v>46232</v>
      </c>
      <c r="AX10" s="218">
        <f t="shared" ref="AX10:CC10" si="16">AW10+1</f>
        <v>46233</v>
      </c>
      <c r="AY10" s="218">
        <f t="shared" si="16"/>
        <v>46234</v>
      </c>
      <c r="AZ10" s="218">
        <f t="shared" si="16"/>
        <v>46235</v>
      </c>
      <c r="BA10" s="218">
        <f t="shared" si="16"/>
        <v>46236</v>
      </c>
      <c r="BB10" s="218">
        <f t="shared" si="16"/>
        <v>46237</v>
      </c>
      <c r="BC10" s="218">
        <f t="shared" si="16"/>
        <v>46238</v>
      </c>
      <c r="BD10" s="218">
        <f t="shared" si="16"/>
        <v>46239</v>
      </c>
      <c r="BE10" s="218">
        <f t="shared" si="16"/>
        <v>46240</v>
      </c>
      <c r="BF10" s="218">
        <f t="shared" si="16"/>
        <v>46241</v>
      </c>
      <c r="BG10" s="218">
        <f t="shared" si="16"/>
        <v>46242</v>
      </c>
      <c r="BH10" s="218">
        <f t="shared" si="16"/>
        <v>46243</v>
      </c>
      <c r="BI10" s="218">
        <f t="shared" si="16"/>
        <v>46244</v>
      </c>
      <c r="BJ10" s="218">
        <f t="shared" si="16"/>
        <v>46245</v>
      </c>
      <c r="BK10" s="218">
        <f t="shared" si="16"/>
        <v>46246</v>
      </c>
      <c r="BL10" s="218">
        <f t="shared" si="16"/>
        <v>46247</v>
      </c>
      <c r="BM10" s="218">
        <f t="shared" si="16"/>
        <v>46248</v>
      </c>
      <c r="BN10" s="218">
        <f t="shared" si="16"/>
        <v>46249</v>
      </c>
      <c r="BO10" s="218">
        <f t="shared" si="16"/>
        <v>46250</v>
      </c>
      <c r="BP10" s="218">
        <f t="shared" si="16"/>
        <v>46251</v>
      </c>
      <c r="BQ10" s="218">
        <f t="shared" si="16"/>
        <v>46252</v>
      </c>
      <c r="BR10" s="218">
        <f t="shared" si="16"/>
        <v>46253</v>
      </c>
      <c r="BS10" s="218">
        <f t="shared" si="16"/>
        <v>46254</v>
      </c>
      <c r="BT10" s="218">
        <f t="shared" si="16"/>
        <v>46255</v>
      </c>
      <c r="BU10" s="218">
        <f t="shared" si="16"/>
        <v>46256</v>
      </c>
      <c r="BV10" s="218">
        <f t="shared" si="16"/>
        <v>46257</v>
      </c>
      <c r="BW10" s="218">
        <f t="shared" si="16"/>
        <v>46258</v>
      </c>
      <c r="BX10" s="218">
        <f t="shared" si="16"/>
        <v>46259</v>
      </c>
      <c r="BY10" s="218">
        <f t="shared" si="16"/>
        <v>46260</v>
      </c>
      <c r="BZ10" s="218">
        <f t="shared" si="16"/>
        <v>46261</v>
      </c>
      <c r="CA10" s="218">
        <f t="shared" si="16"/>
        <v>46262</v>
      </c>
      <c r="CB10" s="218">
        <f t="shared" si="16"/>
        <v>46263</v>
      </c>
      <c r="CC10" s="218">
        <f t="shared" si="16"/>
        <v>46264</v>
      </c>
      <c r="CD10" s="218">
        <f t="shared" ref="CD10:CS10" si="17">CC10+1</f>
        <v>46265</v>
      </c>
      <c r="CE10" s="218">
        <f t="shared" si="17"/>
        <v>46266</v>
      </c>
      <c r="CF10" s="218">
        <f t="shared" si="17"/>
        <v>46267</v>
      </c>
      <c r="CG10" s="218">
        <f t="shared" si="17"/>
        <v>46268</v>
      </c>
      <c r="CH10" s="218">
        <f t="shared" si="17"/>
        <v>46269</v>
      </c>
      <c r="CI10" s="218">
        <f t="shared" si="17"/>
        <v>46270</v>
      </c>
      <c r="CJ10" s="218">
        <f t="shared" si="17"/>
        <v>46271</v>
      </c>
      <c r="CK10" s="218">
        <f t="shared" si="17"/>
        <v>46272</v>
      </c>
      <c r="CL10" s="218">
        <f t="shared" si="17"/>
        <v>46273</v>
      </c>
      <c r="CM10" s="218">
        <f t="shared" si="17"/>
        <v>46274</v>
      </c>
      <c r="CN10" s="218">
        <f t="shared" si="17"/>
        <v>46275</v>
      </c>
      <c r="CO10" s="218">
        <f t="shared" si="17"/>
        <v>46276</v>
      </c>
      <c r="CP10" s="218">
        <f t="shared" si="17"/>
        <v>46277</v>
      </c>
      <c r="CQ10" s="218">
        <f t="shared" si="17"/>
        <v>46278</v>
      </c>
      <c r="CR10" s="218">
        <f t="shared" si="17"/>
        <v>46279</v>
      </c>
      <c r="CS10" s="218">
        <f t="shared" si="17"/>
        <v>46280</v>
      </c>
    </row>
    <row r="11" spans="1:208">
      <c r="A11" s="448"/>
      <c r="B11" s="459"/>
      <c r="C11" s="459"/>
      <c r="D11" s="467" t="str">
        <f>'BESS 12'!H96</f>
        <v>08 Aug
10 Aug</v>
      </c>
      <c r="E11" s="185" t="s">
        <v>64</v>
      </c>
      <c r="F11" s="66" t="e">
        <f>SUM('BESS 12'!S109:S116,'BESS 12'!S118)</f>
        <v>#VALUE!</v>
      </c>
      <c r="G11" s="182">
        <f ca="1">TODAY()</f>
        <v>46233</v>
      </c>
      <c r="H11" s="162">
        <f>MAX('BESS 12'!O109:O115)</f>
        <v>46233</v>
      </c>
      <c r="I11" s="66">
        <f ca="1">H11-G11</f>
        <v>0</v>
      </c>
      <c r="J11" s="506">
        <f ca="1">AVERAGEIF(L16:CS16,"&gt;0")</f>
        <v>5</v>
      </c>
      <c r="K11" s="506" t="e">
        <f ca="1">MAX(L16:CS16)</f>
        <v>#VALUE!</v>
      </c>
      <c r="L11" s="65" t="str">
        <f t="shared" ref="L11:U14" ca="1" si="18">IF(AND(L$2&gt;=$G11,L$2&lt;($G11+$I11)),ROUND($F11/$I11,0),"-")</f>
        <v>-</v>
      </c>
      <c r="M11" s="65" t="str">
        <f t="shared" ca="1" si="18"/>
        <v>-</v>
      </c>
      <c r="N11" s="65" t="str">
        <f t="shared" ca="1" si="18"/>
        <v>-</v>
      </c>
      <c r="O11" s="65" t="str">
        <f t="shared" ca="1" si="18"/>
        <v>-</v>
      </c>
      <c r="P11" s="65" t="str">
        <f t="shared" ca="1" si="18"/>
        <v>-</v>
      </c>
      <c r="Q11" s="65" t="str">
        <f t="shared" ca="1" si="18"/>
        <v>-</v>
      </c>
      <c r="R11" s="65" t="str">
        <f t="shared" ca="1" si="18"/>
        <v>-</v>
      </c>
      <c r="S11" s="65" t="str">
        <f t="shared" ca="1" si="18"/>
        <v>-</v>
      </c>
      <c r="T11" s="65" t="str">
        <f t="shared" ca="1" si="18"/>
        <v>-</v>
      </c>
      <c r="U11" s="65" t="str">
        <f t="shared" ca="1" si="18"/>
        <v>-</v>
      </c>
      <c r="V11" s="65" t="str">
        <f t="shared" ref="V11:AE14" ca="1" si="19">IF(AND(V$2&gt;=$G11,V$2&lt;($G11+$I11)),ROUND($F11/$I11,0),"-")</f>
        <v>-</v>
      </c>
      <c r="W11" s="65" t="str">
        <f t="shared" ca="1" si="19"/>
        <v>-</v>
      </c>
      <c r="X11" s="65" t="str">
        <f t="shared" ca="1" si="19"/>
        <v>-</v>
      </c>
      <c r="Y11" s="65" t="str">
        <f t="shared" ca="1" si="19"/>
        <v>-</v>
      </c>
      <c r="Z11" s="65" t="str">
        <f t="shared" ca="1" si="19"/>
        <v>-</v>
      </c>
      <c r="AA11" s="65" t="str">
        <f t="shared" ca="1" si="19"/>
        <v>-</v>
      </c>
      <c r="AB11" s="65" t="str">
        <f t="shared" ca="1" si="19"/>
        <v>-</v>
      </c>
      <c r="AC11" s="65" t="str">
        <f t="shared" ca="1" si="19"/>
        <v>-</v>
      </c>
      <c r="AD11" s="65" t="str">
        <f t="shared" ca="1" si="19"/>
        <v>-</v>
      </c>
      <c r="AE11" s="65" t="str">
        <f t="shared" ca="1" si="19"/>
        <v>-</v>
      </c>
      <c r="AF11" s="65" t="str">
        <f t="shared" ref="AF11:AO14" ca="1" si="20">IF(AND(AF$2&gt;=$G11,AF$2&lt;($G11+$I11)),ROUND($F11/$I11,0),"-")</f>
        <v>-</v>
      </c>
      <c r="AG11" s="65" t="str">
        <f t="shared" ca="1" si="20"/>
        <v>-</v>
      </c>
      <c r="AH11" s="65" t="str">
        <f t="shared" ca="1" si="20"/>
        <v>-</v>
      </c>
      <c r="AI11" s="65" t="str">
        <f t="shared" ca="1" si="20"/>
        <v>-</v>
      </c>
      <c r="AJ11" s="65" t="str">
        <f t="shared" ca="1" si="20"/>
        <v>-</v>
      </c>
      <c r="AK11" s="65" t="str">
        <f t="shared" ca="1" si="20"/>
        <v>-</v>
      </c>
      <c r="AL11" s="65" t="str">
        <f t="shared" ca="1" si="20"/>
        <v>-</v>
      </c>
      <c r="AM11" s="65" t="str">
        <f t="shared" ca="1" si="20"/>
        <v>-</v>
      </c>
      <c r="AN11" s="65" t="str">
        <f t="shared" ca="1" si="20"/>
        <v>-</v>
      </c>
      <c r="AO11" s="65" t="str">
        <f t="shared" ca="1" si="20"/>
        <v>-</v>
      </c>
      <c r="AP11" s="65" t="str">
        <f t="shared" ref="AP11:AY14" ca="1" si="21">IF(AND(AP$2&gt;=$G11,AP$2&lt;($G11+$I11)),ROUND($F11/$I11,0),"-")</f>
        <v>-</v>
      </c>
      <c r="AQ11" s="65" t="str">
        <f t="shared" ca="1" si="21"/>
        <v>-</v>
      </c>
      <c r="AR11" s="65" t="str">
        <f t="shared" ca="1" si="21"/>
        <v>-</v>
      </c>
      <c r="AS11" s="65" t="str">
        <f t="shared" ca="1" si="21"/>
        <v>-</v>
      </c>
      <c r="AT11" s="65" t="str">
        <f t="shared" ca="1" si="21"/>
        <v>-</v>
      </c>
      <c r="AU11" s="65" t="str">
        <f t="shared" ca="1" si="21"/>
        <v>-</v>
      </c>
      <c r="AV11" s="65" t="str">
        <f t="shared" ca="1" si="21"/>
        <v>-</v>
      </c>
      <c r="AW11" s="65" t="str">
        <f t="shared" ca="1" si="21"/>
        <v>-</v>
      </c>
      <c r="AX11" s="65" t="str">
        <f t="shared" ca="1" si="21"/>
        <v>-</v>
      </c>
      <c r="AY11" s="65" t="str">
        <f t="shared" ca="1" si="21"/>
        <v>-</v>
      </c>
      <c r="AZ11" s="65" t="str">
        <f t="shared" ref="AZ11:BI14" ca="1" si="22">IF(AND(AZ$2&gt;=$G11,AZ$2&lt;($G11+$I11)),ROUND($F11/$I11,0),"-")</f>
        <v>-</v>
      </c>
      <c r="BA11" s="65" t="str">
        <f t="shared" ca="1" si="22"/>
        <v>-</v>
      </c>
      <c r="BB11" s="65" t="str">
        <f t="shared" ca="1" si="22"/>
        <v>-</v>
      </c>
      <c r="BC11" s="65" t="str">
        <f t="shared" ca="1" si="22"/>
        <v>-</v>
      </c>
      <c r="BD11" s="65" t="str">
        <f t="shared" ca="1" si="22"/>
        <v>-</v>
      </c>
      <c r="BE11" s="65" t="str">
        <f t="shared" ca="1" si="22"/>
        <v>-</v>
      </c>
      <c r="BF11" s="65" t="str">
        <f t="shared" ca="1" si="22"/>
        <v>-</v>
      </c>
      <c r="BG11" s="65" t="str">
        <f t="shared" ca="1" si="22"/>
        <v>-</v>
      </c>
      <c r="BH11" s="65" t="str">
        <f t="shared" ca="1" si="22"/>
        <v>-</v>
      </c>
      <c r="BI11" s="65" t="str">
        <f t="shared" ca="1" si="22"/>
        <v>-</v>
      </c>
      <c r="BJ11" s="65" t="str">
        <f t="shared" ref="BJ11:BS14" ca="1" si="23">IF(AND(BJ$2&gt;=$G11,BJ$2&lt;($G11+$I11)),ROUND($F11/$I11,0),"-")</f>
        <v>-</v>
      </c>
      <c r="BK11" s="65" t="str">
        <f t="shared" ca="1" si="23"/>
        <v>-</v>
      </c>
      <c r="BL11" s="65" t="str">
        <f t="shared" ca="1" si="23"/>
        <v>-</v>
      </c>
      <c r="BM11" s="65" t="str">
        <f t="shared" ca="1" si="23"/>
        <v>-</v>
      </c>
      <c r="BN11" s="65" t="str">
        <f t="shared" ca="1" si="23"/>
        <v>-</v>
      </c>
      <c r="BO11" s="65" t="str">
        <f t="shared" ca="1" si="23"/>
        <v>-</v>
      </c>
      <c r="BP11" s="65" t="str">
        <f t="shared" ca="1" si="23"/>
        <v>-</v>
      </c>
      <c r="BQ11" s="65" t="str">
        <f t="shared" ca="1" si="23"/>
        <v>-</v>
      </c>
      <c r="BR11" s="65" t="str">
        <f t="shared" ca="1" si="23"/>
        <v>-</v>
      </c>
      <c r="BS11" s="65" t="str">
        <f t="shared" ca="1" si="23"/>
        <v>-</v>
      </c>
      <c r="BT11" s="65" t="str">
        <f t="shared" ref="BT11:CC14" ca="1" si="24">IF(AND(BT$2&gt;=$G11,BT$2&lt;($G11+$I11)),ROUND($F11/$I11,0),"-")</f>
        <v>-</v>
      </c>
      <c r="BU11" s="65" t="str">
        <f t="shared" ca="1" si="24"/>
        <v>-</v>
      </c>
      <c r="BV11" s="65" t="str">
        <f t="shared" ca="1" si="24"/>
        <v>-</v>
      </c>
      <c r="BW11" s="65" t="str">
        <f t="shared" ca="1" si="24"/>
        <v>-</v>
      </c>
      <c r="BX11" s="65" t="str">
        <f t="shared" ca="1" si="24"/>
        <v>-</v>
      </c>
      <c r="BY11" s="65" t="str">
        <f t="shared" ca="1" si="24"/>
        <v>-</v>
      </c>
      <c r="BZ11" s="65" t="str">
        <f t="shared" ca="1" si="24"/>
        <v>-</v>
      </c>
      <c r="CA11" s="65" t="str">
        <f t="shared" ca="1" si="24"/>
        <v>-</v>
      </c>
      <c r="CB11" s="65" t="str">
        <f t="shared" ca="1" si="24"/>
        <v>-</v>
      </c>
      <c r="CC11" s="65" t="str">
        <f t="shared" ca="1" si="24"/>
        <v>-</v>
      </c>
      <c r="CD11" s="65" t="str">
        <f t="shared" ref="CD11:CM14" ca="1" si="25">IF(AND(CD$2&gt;=$G11,CD$2&lt;($G11+$I11)),ROUND($F11/$I11,0),"-")</f>
        <v>-</v>
      </c>
      <c r="CE11" s="65" t="str">
        <f t="shared" ca="1" si="25"/>
        <v>-</v>
      </c>
      <c r="CF11" s="65" t="str">
        <f t="shared" ca="1" si="25"/>
        <v>-</v>
      </c>
      <c r="CG11" s="65" t="str">
        <f t="shared" ca="1" si="25"/>
        <v>-</v>
      </c>
      <c r="CH11" s="65" t="str">
        <f t="shared" ca="1" si="25"/>
        <v>-</v>
      </c>
      <c r="CI11" s="65" t="str">
        <f t="shared" ca="1" si="25"/>
        <v>-</v>
      </c>
      <c r="CJ11" s="65" t="str">
        <f t="shared" ca="1" si="25"/>
        <v>-</v>
      </c>
      <c r="CK11" s="65" t="str">
        <f t="shared" ca="1" si="25"/>
        <v>-</v>
      </c>
      <c r="CL11" s="65" t="str">
        <f t="shared" ca="1" si="25"/>
        <v>-</v>
      </c>
      <c r="CM11" s="65" t="str">
        <f t="shared" ca="1" si="25"/>
        <v>-</v>
      </c>
      <c r="CN11" s="65" t="str">
        <f t="shared" ref="CN11:CS14" ca="1" si="26">IF(AND(CN$2&gt;=$G11,CN$2&lt;($G11+$I11)),ROUND($F11/$I11,0),"-")</f>
        <v>-</v>
      </c>
      <c r="CO11" s="65" t="str">
        <f t="shared" ca="1" si="26"/>
        <v>-</v>
      </c>
      <c r="CP11" s="65" t="str">
        <f t="shared" ca="1" si="26"/>
        <v>-</v>
      </c>
      <c r="CQ11" s="65" t="str">
        <f t="shared" ca="1" si="26"/>
        <v>-</v>
      </c>
      <c r="CR11" s="65" t="str">
        <f t="shared" ca="1" si="26"/>
        <v>-</v>
      </c>
      <c r="CS11" s="65" t="str">
        <f t="shared" ca="1" si="26"/>
        <v>-</v>
      </c>
    </row>
    <row r="12" spans="1:208">
      <c r="A12" s="448"/>
      <c r="B12" s="459"/>
      <c r="C12" s="459"/>
      <c r="D12" s="466"/>
      <c r="E12" s="185" t="s">
        <v>65</v>
      </c>
      <c r="F12" s="66" t="e">
        <f>SUM('BESS 12'!S119,'BESS 12'!S121:S122,'BESS 12'!S125:S127)</f>
        <v>#VALUE!</v>
      </c>
      <c r="G12" s="182">
        <f t="shared" ref="G12:G13" ca="1" si="27">TODAY()</f>
        <v>46233</v>
      </c>
      <c r="H12" s="162">
        <f>MAX('BESS 12'!O119,'BESS 12'!O121:O122,'BESS 12'!O125:O127)</f>
        <v>46233</v>
      </c>
      <c r="I12" s="66">
        <f t="shared" ref="I12:I13" ca="1" si="28">H12-G12</f>
        <v>0</v>
      </c>
      <c r="J12" s="507"/>
      <c r="K12" s="476"/>
      <c r="L12" s="65" t="str">
        <f t="shared" ca="1" si="18"/>
        <v>-</v>
      </c>
      <c r="M12" s="65" t="str">
        <f t="shared" ca="1" si="18"/>
        <v>-</v>
      </c>
      <c r="N12" s="65" t="str">
        <f t="shared" ca="1" si="18"/>
        <v>-</v>
      </c>
      <c r="O12" s="65" t="str">
        <f t="shared" ca="1" si="18"/>
        <v>-</v>
      </c>
      <c r="P12" s="65" t="str">
        <f t="shared" ca="1" si="18"/>
        <v>-</v>
      </c>
      <c r="Q12" s="65" t="str">
        <f t="shared" ca="1" si="18"/>
        <v>-</v>
      </c>
      <c r="R12" s="65" t="str">
        <f t="shared" ca="1" si="18"/>
        <v>-</v>
      </c>
      <c r="S12" s="65" t="str">
        <f t="shared" ca="1" si="18"/>
        <v>-</v>
      </c>
      <c r="T12" s="65" t="str">
        <f t="shared" ca="1" si="18"/>
        <v>-</v>
      </c>
      <c r="U12" s="65" t="str">
        <f t="shared" ca="1" si="18"/>
        <v>-</v>
      </c>
      <c r="V12" s="65" t="str">
        <f t="shared" ca="1" si="19"/>
        <v>-</v>
      </c>
      <c r="W12" s="65" t="str">
        <f t="shared" ca="1" si="19"/>
        <v>-</v>
      </c>
      <c r="X12" s="65" t="str">
        <f t="shared" ca="1" si="19"/>
        <v>-</v>
      </c>
      <c r="Y12" s="65" t="str">
        <f t="shared" ca="1" si="19"/>
        <v>-</v>
      </c>
      <c r="Z12" s="65" t="str">
        <f t="shared" ca="1" si="19"/>
        <v>-</v>
      </c>
      <c r="AA12" s="65" t="str">
        <f t="shared" ca="1" si="19"/>
        <v>-</v>
      </c>
      <c r="AB12" s="65" t="str">
        <f t="shared" ca="1" si="19"/>
        <v>-</v>
      </c>
      <c r="AC12" s="65" t="str">
        <f t="shared" ca="1" si="19"/>
        <v>-</v>
      </c>
      <c r="AD12" s="65" t="str">
        <f t="shared" ca="1" si="19"/>
        <v>-</v>
      </c>
      <c r="AE12" s="65" t="str">
        <f t="shared" ca="1" si="19"/>
        <v>-</v>
      </c>
      <c r="AF12" s="65" t="str">
        <f t="shared" ca="1" si="20"/>
        <v>-</v>
      </c>
      <c r="AG12" s="65" t="str">
        <f t="shared" ca="1" si="20"/>
        <v>-</v>
      </c>
      <c r="AH12" s="65" t="str">
        <f t="shared" ca="1" si="20"/>
        <v>-</v>
      </c>
      <c r="AI12" s="65" t="str">
        <f t="shared" ca="1" si="20"/>
        <v>-</v>
      </c>
      <c r="AJ12" s="65" t="str">
        <f t="shared" ca="1" si="20"/>
        <v>-</v>
      </c>
      <c r="AK12" s="65" t="str">
        <f t="shared" ca="1" si="20"/>
        <v>-</v>
      </c>
      <c r="AL12" s="65" t="str">
        <f t="shared" ca="1" si="20"/>
        <v>-</v>
      </c>
      <c r="AM12" s="65" t="str">
        <f t="shared" ca="1" si="20"/>
        <v>-</v>
      </c>
      <c r="AN12" s="65" t="str">
        <f t="shared" ca="1" si="20"/>
        <v>-</v>
      </c>
      <c r="AO12" s="65" t="str">
        <f t="shared" ca="1" si="20"/>
        <v>-</v>
      </c>
      <c r="AP12" s="65" t="str">
        <f t="shared" ca="1" si="21"/>
        <v>-</v>
      </c>
      <c r="AQ12" s="65" t="str">
        <f t="shared" ca="1" si="21"/>
        <v>-</v>
      </c>
      <c r="AR12" s="65" t="str">
        <f t="shared" ca="1" si="21"/>
        <v>-</v>
      </c>
      <c r="AS12" s="65" t="str">
        <f t="shared" ca="1" si="21"/>
        <v>-</v>
      </c>
      <c r="AT12" s="65" t="str">
        <f t="shared" ca="1" si="21"/>
        <v>-</v>
      </c>
      <c r="AU12" s="65" t="str">
        <f t="shared" ca="1" si="21"/>
        <v>-</v>
      </c>
      <c r="AV12" s="65" t="str">
        <f t="shared" ca="1" si="21"/>
        <v>-</v>
      </c>
      <c r="AW12" s="65" t="str">
        <f t="shared" ca="1" si="21"/>
        <v>-</v>
      </c>
      <c r="AX12" s="65" t="str">
        <f t="shared" ca="1" si="21"/>
        <v>-</v>
      </c>
      <c r="AY12" s="65" t="str">
        <f t="shared" ca="1" si="21"/>
        <v>-</v>
      </c>
      <c r="AZ12" s="65" t="str">
        <f t="shared" ca="1" si="22"/>
        <v>-</v>
      </c>
      <c r="BA12" s="65" t="str">
        <f t="shared" ca="1" si="22"/>
        <v>-</v>
      </c>
      <c r="BB12" s="65" t="str">
        <f t="shared" ca="1" si="22"/>
        <v>-</v>
      </c>
      <c r="BC12" s="65" t="str">
        <f t="shared" ca="1" si="22"/>
        <v>-</v>
      </c>
      <c r="BD12" s="65" t="str">
        <f t="shared" ca="1" si="22"/>
        <v>-</v>
      </c>
      <c r="BE12" s="65" t="str">
        <f t="shared" ca="1" si="22"/>
        <v>-</v>
      </c>
      <c r="BF12" s="65" t="str">
        <f t="shared" ca="1" si="22"/>
        <v>-</v>
      </c>
      <c r="BG12" s="65" t="str">
        <f t="shared" ca="1" si="22"/>
        <v>-</v>
      </c>
      <c r="BH12" s="65" t="str">
        <f t="shared" ca="1" si="22"/>
        <v>-</v>
      </c>
      <c r="BI12" s="65" t="str">
        <f t="shared" ca="1" si="22"/>
        <v>-</v>
      </c>
      <c r="BJ12" s="65" t="str">
        <f t="shared" ca="1" si="23"/>
        <v>-</v>
      </c>
      <c r="BK12" s="65" t="str">
        <f t="shared" ca="1" si="23"/>
        <v>-</v>
      </c>
      <c r="BL12" s="65" t="str">
        <f t="shared" ca="1" si="23"/>
        <v>-</v>
      </c>
      <c r="BM12" s="65" t="str">
        <f t="shared" ca="1" si="23"/>
        <v>-</v>
      </c>
      <c r="BN12" s="65" t="str">
        <f t="shared" ca="1" si="23"/>
        <v>-</v>
      </c>
      <c r="BO12" s="65" t="str">
        <f t="shared" ca="1" si="23"/>
        <v>-</v>
      </c>
      <c r="BP12" s="65" t="str">
        <f t="shared" ca="1" si="23"/>
        <v>-</v>
      </c>
      <c r="BQ12" s="65" t="str">
        <f t="shared" ca="1" si="23"/>
        <v>-</v>
      </c>
      <c r="BR12" s="65" t="str">
        <f t="shared" ca="1" si="23"/>
        <v>-</v>
      </c>
      <c r="BS12" s="65" t="str">
        <f t="shared" ca="1" si="23"/>
        <v>-</v>
      </c>
      <c r="BT12" s="65" t="str">
        <f t="shared" ca="1" si="24"/>
        <v>-</v>
      </c>
      <c r="BU12" s="65" t="str">
        <f t="shared" ca="1" si="24"/>
        <v>-</v>
      </c>
      <c r="BV12" s="65" t="str">
        <f t="shared" ca="1" si="24"/>
        <v>-</v>
      </c>
      <c r="BW12" s="65" t="str">
        <f t="shared" ca="1" si="24"/>
        <v>-</v>
      </c>
      <c r="BX12" s="65" t="str">
        <f t="shared" ca="1" si="24"/>
        <v>-</v>
      </c>
      <c r="BY12" s="65" t="str">
        <f t="shared" ca="1" si="24"/>
        <v>-</v>
      </c>
      <c r="BZ12" s="65" t="str">
        <f t="shared" ca="1" si="24"/>
        <v>-</v>
      </c>
      <c r="CA12" s="65" t="str">
        <f t="shared" ca="1" si="24"/>
        <v>-</v>
      </c>
      <c r="CB12" s="65" t="str">
        <f t="shared" ca="1" si="24"/>
        <v>-</v>
      </c>
      <c r="CC12" s="65" t="str">
        <f t="shared" ca="1" si="24"/>
        <v>-</v>
      </c>
      <c r="CD12" s="65" t="str">
        <f t="shared" ca="1" si="25"/>
        <v>-</v>
      </c>
      <c r="CE12" s="65" t="str">
        <f t="shared" ca="1" si="25"/>
        <v>-</v>
      </c>
      <c r="CF12" s="65" t="str">
        <f t="shared" ca="1" si="25"/>
        <v>-</v>
      </c>
      <c r="CG12" s="65" t="str">
        <f t="shared" ca="1" si="25"/>
        <v>-</v>
      </c>
      <c r="CH12" s="65" t="str">
        <f t="shared" ca="1" si="25"/>
        <v>-</v>
      </c>
      <c r="CI12" s="65" t="str">
        <f t="shared" ca="1" si="25"/>
        <v>-</v>
      </c>
      <c r="CJ12" s="65" t="str">
        <f t="shared" ca="1" si="25"/>
        <v>-</v>
      </c>
      <c r="CK12" s="65" t="str">
        <f t="shared" ca="1" si="25"/>
        <v>-</v>
      </c>
      <c r="CL12" s="65" t="str">
        <f t="shared" ca="1" si="25"/>
        <v>-</v>
      </c>
      <c r="CM12" s="65" t="str">
        <f t="shared" ca="1" si="25"/>
        <v>-</v>
      </c>
      <c r="CN12" s="65" t="str">
        <f t="shared" ca="1" si="26"/>
        <v>-</v>
      </c>
      <c r="CO12" s="65" t="str">
        <f t="shared" ca="1" si="26"/>
        <v>-</v>
      </c>
      <c r="CP12" s="65" t="str">
        <f t="shared" ca="1" si="26"/>
        <v>-</v>
      </c>
      <c r="CQ12" s="65" t="str">
        <f t="shared" ca="1" si="26"/>
        <v>-</v>
      </c>
      <c r="CR12" s="65" t="str">
        <f t="shared" ca="1" si="26"/>
        <v>-</v>
      </c>
      <c r="CS12" s="65" t="str">
        <f t="shared" ca="1" si="26"/>
        <v>-</v>
      </c>
    </row>
    <row r="13" spans="1:208">
      <c r="A13" s="448"/>
      <c r="B13" s="459"/>
      <c r="C13" s="459"/>
      <c r="D13" s="466"/>
      <c r="E13" s="185" t="s">
        <v>66</v>
      </c>
      <c r="F13" s="66" t="e">
        <f>SUM('BESS 12'!S120,'BESS 12'!S124,'BESS 12'!S128:S129,471)</f>
        <v>#VALUE!</v>
      </c>
      <c r="G13" s="182">
        <f t="shared" ca="1" si="27"/>
        <v>46233</v>
      </c>
      <c r="H13" s="162">
        <f>MAX('BESS 12'!O120,'BESS 12'!O123:O124,'BESS 12'!O128:O129)</f>
        <v>46265</v>
      </c>
      <c r="I13" s="66">
        <f t="shared" ca="1" si="28"/>
        <v>32</v>
      </c>
      <c r="J13" s="507"/>
      <c r="K13" s="476"/>
      <c r="L13" s="65" t="str">
        <f t="shared" ca="1" si="18"/>
        <v>-</v>
      </c>
      <c r="M13" s="65" t="str">
        <f t="shared" ca="1" si="18"/>
        <v>-</v>
      </c>
      <c r="N13" s="65" t="str">
        <f t="shared" ca="1" si="18"/>
        <v>-</v>
      </c>
      <c r="O13" s="65" t="str">
        <f t="shared" ca="1" si="18"/>
        <v>-</v>
      </c>
      <c r="P13" s="65" t="str">
        <f t="shared" ca="1" si="18"/>
        <v>-</v>
      </c>
      <c r="Q13" s="65" t="str">
        <f t="shared" ca="1" si="18"/>
        <v>-</v>
      </c>
      <c r="R13" s="65" t="str">
        <f t="shared" ca="1" si="18"/>
        <v>-</v>
      </c>
      <c r="S13" s="65" t="str">
        <f t="shared" ca="1" si="18"/>
        <v>-</v>
      </c>
      <c r="T13" s="65" t="str">
        <f t="shared" ca="1" si="18"/>
        <v>-</v>
      </c>
      <c r="U13" s="65" t="str">
        <f t="shared" ca="1" si="18"/>
        <v>-</v>
      </c>
      <c r="V13" s="65" t="str">
        <f t="shared" ca="1" si="19"/>
        <v>-</v>
      </c>
      <c r="W13" s="65" t="str">
        <f t="shared" ca="1" si="19"/>
        <v>-</v>
      </c>
      <c r="X13" s="65" t="str">
        <f t="shared" ca="1" si="19"/>
        <v>-</v>
      </c>
      <c r="Y13" s="65" t="str">
        <f t="shared" ca="1" si="19"/>
        <v>-</v>
      </c>
      <c r="Z13" s="65" t="str">
        <f t="shared" ca="1" si="19"/>
        <v>-</v>
      </c>
      <c r="AA13" s="65" t="str">
        <f t="shared" ca="1" si="19"/>
        <v>-</v>
      </c>
      <c r="AB13" s="65" t="str">
        <f t="shared" ca="1" si="19"/>
        <v>-</v>
      </c>
      <c r="AC13" s="65" t="str">
        <f t="shared" ca="1" si="19"/>
        <v>-</v>
      </c>
      <c r="AD13" s="65" t="str">
        <f t="shared" ca="1" si="19"/>
        <v>-</v>
      </c>
      <c r="AE13" s="65" t="str">
        <f t="shared" ca="1" si="19"/>
        <v>-</v>
      </c>
      <c r="AF13" s="65" t="str">
        <f t="shared" ca="1" si="20"/>
        <v>-</v>
      </c>
      <c r="AG13" s="65" t="str">
        <f t="shared" ca="1" si="20"/>
        <v>-</v>
      </c>
      <c r="AH13" s="65" t="str">
        <f t="shared" ca="1" si="20"/>
        <v>-</v>
      </c>
      <c r="AI13" s="65" t="str">
        <f t="shared" ca="1" si="20"/>
        <v>-</v>
      </c>
      <c r="AJ13" s="65" t="str">
        <f t="shared" ca="1" si="20"/>
        <v>-</v>
      </c>
      <c r="AK13" s="65" t="str">
        <f t="shared" ca="1" si="20"/>
        <v>-</v>
      </c>
      <c r="AL13" s="65" t="str">
        <f t="shared" ca="1" si="20"/>
        <v>-</v>
      </c>
      <c r="AM13" s="65" t="str">
        <f t="shared" ca="1" si="20"/>
        <v>-</v>
      </c>
      <c r="AN13" s="65" t="str">
        <f t="shared" ca="1" si="20"/>
        <v>-</v>
      </c>
      <c r="AO13" s="65" t="str">
        <f t="shared" ca="1" si="20"/>
        <v>-</v>
      </c>
      <c r="AP13" s="65" t="str">
        <f t="shared" ca="1" si="21"/>
        <v>-</v>
      </c>
      <c r="AQ13" s="65" t="str">
        <f t="shared" ca="1" si="21"/>
        <v>-</v>
      </c>
      <c r="AR13" s="65" t="str">
        <f t="shared" ca="1" si="21"/>
        <v>-</v>
      </c>
      <c r="AS13" s="65" t="str">
        <f t="shared" ca="1" si="21"/>
        <v>-</v>
      </c>
      <c r="AT13" s="65" t="str">
        <f t="shared" ca="1" si="21"/>
        <v>-</v>
      </c>
      <c r="AU13" s="65" t="str">
        <f t="shared" ca="1" si="21"/>
        <v>-</v>
      </c>
      <c r="AV13" s="65" t="str">
        <f t="shared" ca="1" si="21"/>
        <v>-</v>
      </c>
      <c r="AW13" s="65" t="str">
        <f t="shared" ca="1" si="21"/>
        <v>-</v>
      </c>
      <c r="AX13" s="65" t="e">
        <f t="shared" ca="1" si="21"/>
        <v>#VALUE!</v>
      </c>
      <c r="AY13" s="65" t="e">
        <f t="shared" ca="1" si="21"/>
        <v>#VALUE!</v>
      </c>
      <c r="AZ13" s="65" t="e">
        <f t="shared" ca="1" si="22"/>
        <v>#VALUE!</v>
      </c>
      <c r="BA13" s="65" t="e">
        <f t="shared" ca="1" si="22"/>
        <v>#VALUE!</v>
      </c>
      <c r="BB13" s="65" t="e">
        <f t="shared" ca="1" si="22"/>
        <v>#VALUE!</v>
      </c>
      <c r="BC13" s="65" t="e">
        <f t="shared" ca="1" si="22"/>
        <v>#VALUE!</v>
      </c>
      <c r="BD13" s="65" t="e">
        <f t="shared" ca="1" si="22"/>
        <v>#VALUE!</v>
      </c>
      <c r="BE13" s="65" t="e">
        <f t="shared" ca="1" si="22"/>
        <v>#VALUE!</v>
      </c>
      <c r="BF13" s="65" t="e">
        <f t="shared" ca="1" si="22"/>
        <v>#VALUE!</v>
      </c>
      <c r="BG13" s="65" t="e">
        <f t="shared" ca="1" si="22"/>
        <v>#VALUE!</v>
      </c>
      <c r="BH13" s="65" t="e">
        <f t="shared" ca="1" si="22"/>
        <v>#VALUE!</v>
      </c>
      <c r="BI13" s="65" t="e">
        <f t="shared" ca="1" si="22"/>
        <v>#VALUE!</v>
      </c>
      <c r="BJ13" s="65" t="e">
        <f t="shared" ca="1" si="23"/>
        <v>#VALUE!</v>
      </c>
      <c r="BK13" s="65" t="e">
        <f t="shared" ca="1" si="23"/>
        <v>#VALUE!</v>
      </c>
      <c r="BL13" s="65" t="e">
        <f t="shared" ca="1" si="23"/>
        <v>#VALUE!</v>
      </c>
      <c r="BM13" s="65" t="e">
        <f t="shared" ca="1" si="23"/>
        <v>#VALUE!</v>
      </c>
      <c r="BN13" s="65" t="e">
        <f t="shared" ca="1" si="23"/>
        <v>#VALUE!</v>
      </c>
      <c r="BO13" s="65" t="e">
        <f t="shared" ca="1" si="23"/>
        <v>#VALUE!</v>
      </c>
      <c r="BP13" s="65" t="e">
        <f t="shared" ca="1" si="23"/>
        <v>#VALUE!</v>
      </c>
      <c r="BQ13" s="65" t="e">
        <f t="shared" ca="1" si="23"/>
        <v>#VALUE!</v>
      </c>
      <c r="BR13" s="65" t="e">
        <f t="shared" ca="1" si="23"/>
        <v>#VALUE!</v>
      </c>
      <c r="BS13" s="65" t="e">
        <f t="shared" ca="1" si="23"/>
        <v>#VALUE!</v>
      </c>
      <c r="BT13" s="65" t="e">
        <f t="shared" ca="1" si="24"/>
        <v>#VALUE!</v>
      </c>
      <c r="BU13" s="65" t="e">
        <f t="shared" ca="1" si="24"/>
        <v>#VALUE!</v>
      </c>
      <c r="BV13" s="65" t="e">
        <f t="shared" ca="1" si="24"/>
        <v>#VALUE!</v>
      </c>
      <c r="BW13" s="65" t="e">
        <f t="shared" ca="1" si="24"/>
        <v>#VALUE!</v>
      </c>
      <c r="BX13" s="65" t="e">
        <f t="shared" ca="1" si="24"/>
        <v>#VALUE!</v>
      </c>
      <c r="BY13" s="65" t="e">
        <f t="shared" ca="1" si="24"/>
        <v>#VALUE!</v>
      </c>
      <c r="BZ13" s="65" t="e">
        <f t="shared" ca="1" si="24"/>
        <v>#VALUE!</v>
      </c>
      <c r="CA13" s="65" t="e">
        <f t="shared" ca="1" si="24"/>
        <v>#VALUE!</v>
      </c>
      <c r="CB13" s="65" t="e">
        <f t="shared" ca="1" si="24"/>
        <v>#VALUE!</v>
      </c>
      <c r="CC13" s="65" t="e">
        <f t="shared" ca="1" si="24"/>
        <v>#VALUE!</v>
      </c>
      <c r="CD13" s="65" t="str">
        <f t="shared" ca="1" si="25"/>
        <v>-</v>
      </c>
      <c r="CE13" s="65" t="str">
        <f t="shared" ca="1" si="25"/>
        <v>-</v>
      </c>
      <c r="CF13" s="65" t="str">
        <f t="shared" ca="1" si="25"/>
        <v>-</v>
      </c>
      <c r="CG13" s="65" t="str">
        <f t="shared" ca="1" si="25"/>
        <v>-</v>
      </c>
      <c r="CH13" s="65" t="str">
        <f t="shared" ca="1" si="25"/>
        <v>-</v>
      </c>
      <c r="CI13" s="65" t="str">
        <f t="shared" ca="1" si="25"/>
        <v>-</v>
      </c>
      <c r="CJ13" s="65" t="str">
        <f t="shared" ca="1" si="25"/>
        <v>-</v>
      </c>
      <c r="CK13" s="65" t="str">
        <f t="shared" ca="1" si="25"/>
        <v>-</v>
      </c>
      <c r="CL13" s="65" t="str">
        <f t="shared" ca="1" si="25"/>
        <v>-</v>
      </c>
      <c r="CM13" s="65" t="str">
        <f t="shared" ca="1" si="25"/>
        <v>-</v>
      </c>
      <c r="CN13" s="65" t="str">
        <f t="shared" ca="1" si="26"/>
        <v>-</v>
      </c>
      <c r="CO13" s="65" t="str">
        <f t="shared" ca="1" si="26"/>
        <v>-</v>
      </c>
      <c r="CP13" s="65" t="str">
        <f t="shared" ca="1" si="26"/>
        <v>-</v>
      </c>
      <c r="CQ13" s="65" t="str">
        <f t="shared" ca="1" si="26"/>
        <v>-</v>
      </c>
      <c r="CR13" s="65" t="str">
        <f t="shared" ca="1" si="26"/>
        <v>-</v>
      </c>
      <c r="CS13" s="65" t="str">
        <f t="shared" ca="1" si="26"/>
        <v>-</v>
      </c>
    </row>
    <row r="14" spans="1:208">
      <c r="A14" s="448"/>
      <c r="B14" s="459"/>
      <c r="C14" s="459"/>
      <c r="D14" s="466"/>
      <c r="E14" s="185" t="s">
        <v>67</v>
      </c>
      <c r="F14" s="66" t="e">
        <f>SUM('BESS 12'!S133:S140)</f>
        <v>#VALUE!</v>
      </c>
      <c r="G14" s="182">
        <f>H14-14</f>
        <v>46224</v>
      </c>
      <c r="H14" s="162">
        <f>MAX('BESS 11'!O87:O95)</f>
        <v>46238</v>
      </c>
      <c r="I14" s="66">
        <f>H14-G14</f>
        <v>14</v>
      </c>
      <c r="J14" s="507"/>
      <c r="K14" s="476"/>
      <c r="L14" s="65" t="str">
        <f t="shared" si="18"/>
        <v>-</v>
      </c>
      <c r="M14" s="65" t="str">
        <f t="shared" si="18"/>
        <v>-</v>
      </c>
      <c r="N14" s="65" t="str">
        <f t="shared" si="18"/>
        <v>-</v>
      </c>
      <c r="O14" s="65" t="str">
        <f t="shared" si="18"/>
        <v>-</v>
      </c>
      <c r="P14" s="65" t="str">
        <f t="shared" si="18"/>
        <v>-</v>
      </c>
      <c r="Q14" s="65" t="str">
        <f t="shared" si="18"/>
        <v>-</v>
      </c>
      <c r="R14" s="65" t="str">
        <f t="shared" si="18"/>
        <v>-</v>
      </c>
      <c r="S14" s="65" t="str">
        <f t="shared" si="18"/>
        <v>-</v>
      </c>
      <c r="T14" s="65" t="str">
        <f t="shared" si="18"/>
        <v>-</v>
      </c>
      <c r="U14" s="65" t="str">
        <f t="shared" si="18"/>
        <v>-</v>
      </c>
      <c r="V14" s="65" t="str">
        <f t="shared" si="19"/>
        <v>-</v>
      </c>
      <c r="W14" s="65" t="str">
        <f t="shared" si="19"/>
        <v>-</v>
      </c>
      <c r="X14" s="65" t="str">
        <f t="shared" si="19"/>
        <v>-</v>
      </c>
      <c r="Y14" s="65" t="str">
        <f t="shared" si="19"/>
        <v>-</v>
      </c>
      <c r="Z14" s="65" t="str">
        <f t="shared" si="19"/>
        <v>-</v>
      </c>
      <c r="AA14" s="65" t="str">
        <f t="shared" si="19"/>
        <v>-</v>
      </c>
      <c r="AB14" s="65" t="str">
        <f t="shared" si="19"/>
        <v>-</v>
      </c>
      <c r="AC14" s="65" t="str">
        <f t="shared" si="19"/>
        <v>-</v>
      </c>
      <c r="AD14" s="65" t="str">
        <f t="shared" si="19"/>
        <v>-</v>
      </c>
      <c r="AE14" s="65" t="str">
        <f t="shared" si="19"/>
        <v>-</v>
      </c>
      <c r="AF14" s="65" t="str">
        <f t="shared" si="20"/>
        <v>-</v>
      </c>
      <c r="AG14" s="65" t="str">
        <f t="shared" si="20"/>
        <v>-</v>
      </c>
      <c r="AH14" s="65" t="str">
        <f t="shared" si="20"/>
        <v>-</v>
      </c>
      <c r="AI14" s="65" t="str">
        <f t="shared" si="20"/>
        <v>-</v>
      </c>
      <c r="AJ14" s="65" t="str">
        <f t="shared" si="20"/>
        <v>-</v>
      </c>
      <c r="AK14" s="65" t="str">
        <f t="shared" si="20"/>
        <v>-</v>
      </c>
      <c r="AL14" s="65" t="str">
        <f t="shared" si="20"/>
        <v>-</v>
      </c>
      <c r="AM14" s="65" t="str">
        <f t="shared" si="20"/>
        <v>-</v>
      </c>
      <c r="AN14" s="65" t="str">
        <f t="shared" si="20"/>
        <v>-</v>
      </c>
      <c r="AO14" s="65" t="e">
        <f t="shared" si="20"/>
        <v>#VALUE!</v>
      </c>
      <c r="AP14" s="65" t="e">
        <f t="shared" si="21"/>
        <v>#VALUE!</v>
      </c>
      <c r="AQ14" s="65" t="e">
        <f t="shared" si="21"/>
        <v>#VALUE!</v>
      </c>
      <c r="AR14" s="65" t="e">
        <f t="shared" si="21"/>
        <v>#VALUE!</v>
      </c>
      <c r="AS14" s="65" t="e">
        <f t="shared" si="21"/>
        <v>#VALUE!</v>
      </c>
      <c r="AT14" s="65" t="e">
        <f t="shared" si="21"/>
        <v>#VALUE!</v>
      </c>
      <c r="AU14" s="65" t="e">
        <f t="shared" si="21"/>
        <v>#VALUE!</v>
      </c>
      <c r="AV14" s="65" t="e">
        <f t="shared" si="21"/>
        <v>#VALUE!</v>
      </c>
      <c r="AW14" s="65" t="e">
        <f t="shared" si="21"/>
        <v>#VALUE!</v>
      </c>
      <c r="AX14" s="65" t="e">
        <f t="shared" si="21"/>
        <v>#VALUE!</v>
      </c>
      <c r="AY14" s="65" t="e">
        <f t="shared" si="21"/>
        <v>#VALUE!</v>
      </c>
      <c r="AZ14" s="65" t="e">
        <f t="shared" si="22"/>
        <v>#VALUE!</v>
      </c>
      <c r="BA14" s="65" t="e">
        <f t="shared" si="22"/>
        <v>#VALUE!</v>
      </c>
      <c r="BB14" s="65" t="e">
        <f t="shared" si="22"/>
        <v>#VALUE!</v>
      </c>
      <c r="BC14" s="65" t="str">
        <f t="shared" si="22"/>
        <v>-</v>
      </c>
      <c r="BD14" s="65" t="str">
        <f t="shared" si="22"/>
        <v>-</v>
      </c>
      <c r="BE14" s="65" t="str">
        <f t="shared" si="22"/>
        <v>-</v>
      </c>
      <c r="BF14" s="65" t="str">
        <f t="shared" si="22"/>
        <v>-</v>
      </c>
      <c r="BG14" s="65" t="str">
        <f t="shared" si="22"/>
        <v>-</v>
      </c>
      <c r="BH14" s="65" t="str">
        <f t="shared" si="22"/>
        <v>-</v>
      </c>
      <c r="BI14" s="65" t="str">
        <f t="shared" si="22"/>
        <v>-</v>
      </c>
      <c r="BJ14" s="65" t="str">
        <f t="shared" si="23"/>
        <v>-</v>
      </c>
      <c r="BK14" s="65" t="str">
        <f t="shared" si="23"/>
        <v>-</v>
      </c>
      <c r="BL14" s="65" t="str">
        <f t="shared" si="23"/>
        <v>-</v>
      </c>
      <c r="BM14" s="65" t="str">
        <f t="shared" si="23"/>
        <v>-</v>
      </c>
      <c r="BN14" s="65" t="str">
        <f t="shared" si="23"/>
        <v>-</v>
      </c>
      <c r="BO14" s="65" t="str">
        <f t="shared" si="23"/>
        <v>-</v>
      </c>
      <c r="BP14" s="65" t="str">
        <f t="shared" si="23"/>
        <v>-</v>
      </c>
      <c r="BQ14" s="65" t="str">
        <f t="shared" si="23"/>
        <v>-</v>
      </c>
      <c r="BR14" s="65" t="str">
        <f t="shared" si="23"/>
        <v>-</v>
      </c>
      <c r="BS14" s="65" t="str">
        <f t="shared" si="23"/>
        <v>-</v>
      </c>
      <c r="BT14" s="65" t="str">
        <f t="shared" si="24"/>
        <v>-</v>
      </c>
      <c r="BU14" s="65" t="str">
        <f t="shared" si="24"/>
        <v>-</v>
      </c>
      <c r="BV14" s="65" t="str">
        <f t="shared" si="24"/>
        <v>-</v>
      </c>
      <c r="BW14" s="65" t="str">
        <f t="shared" si="24"/>
        <v>-</v>
      </c>
      <c r="BX14" s="65" t="str">
        <f t="shared" si="24"/>
        <v>-</v>
      </c>
      <c r="BY14" s="65" t="str">
        <f t="shared" si="24"/>
        <v>-</v>
      </c>
      <c r="BZ14" s="65" t="str">
        <f t="shared" si="24"/>
        <v>-</v>
      </c>
      <c r="CA14" s="65" t="str">
        <f t="shared" si="24"/>
        <v>-</v>
      </c>
      <c r="CB14" s="65" t="str">
        <f t="shared" si="24"/>
        <v>-</v>
      </c>
      <c r="CC14" s="65" t="str">
        <f t="shared" si="24"/>
        <v>-</v>
      </c>
      <c r="CD14" s="65" t="str">
        <f t="shared" si="25"/>
        <v>-</v>
      </c>
      <c r="CE14" s="65" t="str">
        <f t="shared" si="25"/>
        <v>-</v>
      </c>
      <c r="CF14" s="65" t="str">
        <f t="shared" si="25"/>
        <v>-</v>
      </c>
      <c r="CG14" s="65" t="str">
        <f t="shared" si="25"/>
        <v>-</v>
      </c>
      <c r="CH14" s="65" t="str">
        <f t="shared" si="25"/>
        <v>-</v>
      </c>
      <c r="CI14" s="65" t="str">
        <f t="shared" si="25"/>
        <v>-</v>
      </c>
      <c r="CJ14" s="65" t="str">
        <f t="shared" si="25"/>
        <v>-</v>
      </c>
      <c r="CK14" s="65" t="str">
        <f t="shared" si="25"/>
        <v>-</v>
      </c>
      <c r="CL14" s="65" t="str">
        <f t="shared" si="25"/>
        <v>-</v>
      </c>
      <c r="CM14" s="65" t="str">
        <f t="shared" si="25"/>
        <v>-</v>
      </c>
      <c r="CN14" s="65" t="str">
        <f t="shared" si="26"/>
        <v>-</v>
      </c>
      <c r="CO14" s="65" t="str">
        <f t="shared" si="26"/>
        <v>-</v>
      </c>
      <c r="CP14" s="65" t="str">
        <f t="shared" si="26"/>
        <v>-</v>
      </c>
      <c r="CQ14" s="65" t="str">
        <f t="shared" si="26"/>
        <v>-</v>
      </c>
      <c r="CR14" s="65" t="str">
        <f t="shared" si="26"/>
        <v>-</v>
      </c>
      <c r="CS14" s="65" t="str">
        <f t="shared" si="26"/>
        <v>-</v>
      </c>
    </row>
    <row r="15" spans="1:208">
      <c r="A15" s="449"/>
      <c r="B15" s="460"/>
      <c r="C15" s="460"/>
      <c r="D15" s="466"/>
      <c r="E15" s="185" t="s">
        <v>68</v>
      </c>
      <c r="F15" s="65">
        <v>250</v>
      </c>
      <c r="G15" s="182"/>
      <c r="H15" s="162" t="e">
        <f>B10-3</f>
        <v>#VALUE!</v>
      </c>
      <c r="I15" s="65">
        <v>30</v>
      </c>
      <c r="J15" s="508"/>
      <c r="K15" s="504"/>
      <c r="L15" s="182"/>
      <c r="M15" s="182"/>
      <c r="N15" s="65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>
        <v>5</v>
      </c>
      <c r="Z15" s="66">
        <v>5</v>
      </c>
      <c r="AA15" s="66">
        <v>5</v>
      </c>
      <c r="AB15" s="66">
        <v>5</v>
      </c>
      <c r="AC15" s="66">
        <v>5</v>
      </c>
      <c r="AD15" s="66">
        <v>5</v>
      </c>
      <c r="AE15" s="66">
        <v>5</v>
      </c>
      <c r="AF15" s="66">
        <v>5</v>
      </c>
      <c r="AG15" s="66">
        <v>5</v>
      </c>
      <c r="AH15" s="66">
        <v>5</v>
      </c>
      <c r="AI15" s="66">
        <v>5</v>
      </c>
      <c r="AJ15" s="66">
        <v>5</v>
      </c>
      <c r="AK15" s="66">
        <v>5</v>
      </c>
      <c r="AL15" s="66">
        <v>5</v>
      </c>
      <c r="AM15" s="66">
        <v>5</v>
      </c>
      <c r="AN15" s="66">
        <v>5</v>
      </c>
      <c r="AO15" s="66">
        <v>5</v>
      </c>
      <c r="AP15" s="66">
        <v>5</v>
      </c>
      <c r="AQ15" s="66">
        <v>5</v>
      </c>
      <c r="AR15" s="66">
        <v>5</v>
      </c>
      <c r="AS15" s="66">
        <v>5</v>
      </c>
      <c r="AT15" s="66">
        <v>5</v>
      </c>
      <c r="AU15" s="66">
        <v>5</v>
      </c>
      <c r="AV15" s="66">
        <v>5</v>
      </c>
      <c r="AW15" s="66">
        <v>30</v>
      </c>
      <c r="AX15" s="66">
        <v>30</v>
      </c>
      <c r="AY15" s="66">
        <v>30</v>
      </c>
      <c r="AZ15" s="66">
        <v>30</v>
      </c>
      <c r="BA15" s="66">
        <v>5</v>
      </c>
      <c r="BB15" s="66">
        <v>5</v>
      </c>
      <c r="BC15" s="66"/>
      <c r="BD15" s="66"/>
      <c r="BE15" s="66"/>
      <c r="BF15" s="66"/>
      <c r="BG15" s="66"/>
      <c r="BH15" s="185"/>
      <c r="BI15" s="185"/>
      <c r="BJ15" s="185"/>
      <c r="BK15" s="185"/>
      <c r="BL15" s="185"/>
      <c r="BM15" s="185"/>
      <c r="BN15" s="185"/>
      <c r="BO15" s="185"/>
      <c r="BP15" s="185"/>
      <c r="BQ15" s="185"/>
      <c r="BR15" s="185"/>
      <c r="BS15" s="185"/>
      <c r="BT15" s="185"/>
      <c r="BU15" s="185"/>
      <c r="BV15" s="185"/>
      <c r="BW15" s="185"/>
      <c r="BX15" s="185"/>
      <c r="BY15" s="185"/>
      <c r="BZ15" s="185"/>
      <c r="CA15" s="185"/>
      <c r="CB15" s="185"/>
      <c r="CC15" s="185"/>
      <c r="CD15" s="185"/>
      <c r="CE15" s="185"/>
      <c r="CF15" s="185"/>
      <c r="CG15" s="185"/>
      <c r="CH15" s="185"/>
      <c r="CI15" s="185"/>
      <c r="CJ15" s="185"/>
      <c r="CK15" s="185"/>
      <c r="CL15" s="185"/>
      <c r="CM15" s="185"/>
      <c r="CN15" s="185"/>
      <c r="CO15" s="185"/>
      <c r="CP15" s="185"/>
      <c r="CQ15" s="185"/>
      <c r="CR15" s="185"/>
      <c r="CS15" s="185"/>
    </row>
    <row r="16" spans="1:208" hidden="1">
      <c r="B16" s="221"/>
      <c r="E16" s="199"/>
      <c r="F16" s="199"/>
      <c r="G16" s="181" t="s">
        <v>69</v>
      </c>
      <c r="H16" s="199"/>
      <c r="I16" s="224"/>
      <c r="J16" s="199"/>
      <c r="K16" s="199"/>
      <c r="L16" s="190">
        <f t="shared" ref="L16:BB16" ca="1" si="29">SUM(L11:L15)</f>
        <v>0</v>
      </c>
      <c r="M16" s="190">
        <f t="shared" ca="1" si="29"/>
        <v>0</v>
      </c>
      <c r="N16" s="190">
        <f t="shared" ca="1" si="29"/>
        <v>0</v>
      </c>
      <c r="O16" s="190">
        <f t="shared" ca="1" si="29"/>
        <v>0</v>
      </c>
      <c r="P16" s="190">
        <f t="shared" ca="1" si="29"/>
        <v>0</v>
      </c>
      <c r="Q16" s="190">
        <f t="shared" ca="1" si="29"/>
        <v>0</v>
      </c>
      <c r="R16" s="190">
        <f t="shared" ca="1" si="29"/>
        <v>0</v>
      </c>
      <c r="S16" s="190">
        <f t="shared" ca="1" si="29"/>
        <v>0</v>
      </c>
      <c r="T16" s="190">
        <f t="shared" ca="1" si="29"/>
        <v>0</v>
      </c>
      <c r="U16" s="190">
        <f t="shared" ca="1" si="29"/>
        <v>0</v>
      </c>
      <c r="V16" s="190">
        <f t="shared" ca="1" si="29"/>
        <v>0</v>
      </c>
      <c r="W16" s="190">
        <f t="shared" ca="1" si="29"/>
        <v>0</v>
      </c>
      <c r="X16" s="190">
        <f t="shared" ca="1" si="29"/>
        <v>0</v>
      </c>
      <c r="Y16" s="190">
        <f t="shared" ca="1" si="29"/>
        <v>5</v>
      </c>
      <c r="Z16" s="190">
        <f t="shared" ca="1" si="29"/>
        <v>5</v>
      </c>
      <c r="AA16" s="190">
        <f t="shared" ca="1" si="29"/>
        <v>5</v>
      </c>
      <c r="AB16" s="190">
        <f t="shared" ca="1" si="29"/>
        <v>5</v>
      </c>
      <c r="AC16" s="190">
        <f t="shared" ca="1" si="29"/>
        <v>5</v>
      </c>
      <c r="AD16" s="190">
        <f t="shared" ca="1" si="29"/>
        <v>5</v>
      </c>
      <c r="AE16" s="190">
        <f t="shared" ca="1" si="29"/>
        <v>5</v>
      </c>
      <c r="AF16" s="190">
        <f t="shared" ca="1" si="29"/>
        <v>5</v>
      </c>
      <c r="AG16" s="190">
        <f t="shared" ca="1" si="29"/>
        <v>5</v>
      </c>
      <c r="AH16" s="190">
        <f t="shared" ca="1" si="29"/>
        <v>5</v>
      </c>
      <c r="AI16" s="190">
        <f t="shared" ca="1" si="29"/>
        <v>5</v>
      </c>
      <c r="AJ16" s="190">
        <f t="shared" ca="1" si="29"/>
        <v>5</v>
      </c>
      <c r="AK16" s="190">
        <f t="shared" ca="1" si="29"/>
        <v>5</v>
      </c>
      <c r="AL16" s="190">
        <f t="shared" ca="1" si="29"/>
        <v>5</v>
      </c>
      <c r="AM16" s="190">
        <f t="shared" ca="1" si="29"/>
        <v>5</v>
      </c>
      <c r="AN16" s="190">
        <f t="shared" ca="1" si="29"/>
        <v>5</v>
      </c>
      <c r="AO16" s="190" t="e">
        <f t="shared" ca="1" si="29"/>
        <v>#VALUE!</v>
      </c>
      <c r="AP16" s="190" t="e">
        <f t="shared" ca="1" si="29"/>
        <v>#VALUE!</v>
      </c>
      <c r="AQ16" s="190" t="e">
        <f t="shared" ca="1" si="29"/>
        <v>#VALUE!</v>
      </c>
      <c r="AR16" s="190" t="e">
        <f t="shared" ca="1" si="29"/>
        <v>#VALUE!</v>
      </c>
      <c r="AS16" s="190" t="e">
        <f t="shared" ca="1" si="29"/>
        <v>#VALUE!</v>
      </c>
      <c r="AT16" s="190" t="e">
        <f t="shared" ca="1" si="29"/>
        <v>#VALUE!</v>
      </c>
      <c r="AU16" s="190" t="e">
        <f t="shared" ca="1" si="29"/>
        <v>#VALUE!</v>
      </c>
      <c r="AV16" s="190" t="e">
        <f t="shared" ca="1" si="29"/>
        <v>#VALUE!</v>
      </c>
      <c r="AW16" s="190" t="e">
        <f t="shared" ca="1" si="29"/>
        <v>#VALUE!</v>
      </c>
      <c r="AX16" s="190" t="e">
        <f t="shared" ca="1" si="29"/>
        <v>#VALUE!</v>
      </c>
      <c r="AY16" s="190" t="e">
        <f t="shared" ca="1" si="29"/>
        <v>#VALUE!</v>
      </c>
      <c r="AZ16" s="190" t="e">
        <f t="shared" ca="1" si="29"/>
        <v>#VALUE!</v>
      </c>
      <c r="BA16" s="190" t="e">
        <f t="shared" ca="1" si="29"/>
        <v>#VALUE!</v>
      </c>
      <c r="BB16" s="190" t="e">
        <f t="shared" ca="1" si="29"/>
        <v>#VALUE!</v>
      </c>
      <c r="BC16" s="185"/>
      <c r="BD16" s="185"/>
      <c r="BE16" s="185"/>
      <c r="BF16" s="185"/>
      <c r="BG16" s="185"/>
      <c r="BH16" s="185"/>
      <c r="BI16" s="185"/>
      <c r="BJ16" s="185"/>
      <c r="BK16" s="185"/>
      <c r="BL16" s="185"/>
      <c r="BM16" s="185"/>
      <c r="BN16" s="185"/>
      <c r="BO16" s="185"/>
      <c r="BP16" s="185"/>
      <c r="BQ16" s="185"/>
      <c r="BR16" s="185"/>
      <c r="BS16" s="185"/>
      <c r="BT16" s="185"/>
      <c r="BU16" s="185"/>
      <c r="BV16" s="185"/>
      <c r="BW16" s="185"/>
      <c r="BX16" s="185"/>
      <c r="BY16" s="185"/>
      <c r="BZ16" s="185"/>
      <c r="CA16" s="185"/>
      <c r="CB16" s="185"/>
      <c r="CC16" s="185"/>
      <c r="CD16" s="185"/>
      <c r="CE16" s="185"/>
      <c r="CF16" s="185"/>
      <c r="CG16" s="185"/>
      <c r="CH16" s="185"/>
      <c r="CI16" s="185"/>
      <c r="CJ16" s="185"/>
      <c r="CK16" s="185"/>
      <c r="CL16" s="185"/>
      <c r="CM16" s="185"/>
      <c r="CN16" s="185"/>
      <c r="CO16" s="185"/>
      <c r="CP16" s="185"/>
      <c r="CQ16" s="185"/>
      <c r="CR16" s="185"/>
      <c r="CS16" s="185"/>
      <c r="CT16" s="225" t="e">
        <f ca="1">AVERAGE(L16:BD16)</f>
        <v>#VALUE!</v>
      </c>
      <c r="CU16" s="206" t="e">
        <f ca="1">MAX(L16:BD16)</f>
        <v>#VALUE!</v>
      </c>
    </row>
    <row r="17" spans="1:99">
      <c r="F17" s="53"/>
      <c r="G17" s="183"/>
      <c r="I17" s="53"/>
      <c r="J17" s="53"/>
      <c r="K17" s="5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6"/>
      <c r="AX17" s="196"/>
      <c r="AY17" s="196"/>
      <c r="AZ17" s="196"/>
      <c r="BQ17" s="119"/>
    </row>
    <row r="18" spans="1:99" s="180" customFormat="1" ht="27">
      <c r="A18" s="447" t="s">
        <v>71</v>
      </c>
      <c r="B18" s="450" t="str">
        <f>'BESS 12'!F5</f>
        <v>24 Jul
28 Jul</v>
      </c>
      <c r="C18" s="450" t="str">
        <f>'BESS 12'!G5</f>
        <v>29 Jul
02 Aug</v>
      </c>
      <c r="D18" s="226"/>
      <c r="E18" s="226" t="s">
        <v>10</v>
      </c>
      <c r="F18" s="217" t="s">
        <v>58</v>
      </c>
      <c r="G18" s="217" t="s">
        <v>78</v>
      </c>
      <c r="H18" s="217" t="s">
        <v>87</v>
      </c>
      <c r="I18" s="217" t="s">
        <v>59</v>
      </c>
      <c r="J18" s="216" t="s">
        <v>80</v>
      </c>
      <c r="K18" s="216" t="s">
        <v>62</v>
      </c>
      <c r="L18" s="218">
        <v>46195</v>
      </c>
      <c r="M18" s="218">
        <v>46196</v>
      </c>
      <c r="N18" s="218">
        <v>46197</v>
      </c>
      <c r="O18" s="218">
        <v>46198</v>
      </c>
      <c r="P18" s="218">
        <v>46199</v>
      </c>
      <c r="Q18" s="218">
        <v>46200</v>
      </c>
      <c r="R18" s="218">
        <f t="shared" ref="R18:AW18" si="30">Q18+1</f>
        <v>46201</v>
      </c>
      <c r="S18" s="218">
        <f t="shared" si="30"/>
        <v>46202</v>
      </c>
      <c r="T18" s="218">
        <f t="shared" si="30"/>
        <v>46203</v>
      </c>
      <c r="U18" s="218">
        <f t="shared" si="30"/>
        <v>46204</v>
      </c>
      <c r="V18" s="218">
        <f t="shared" si="30"/>
        <v>46205</v>
      </c>
      <c r="W18" s="218">
        <f t="shared" si="30"/>
        <v>46206</v>
      </c>
      <c r="X18" s="218">
        <f t="shared" si="30"/>
        <v>46207</v>
      </c>
      <c r="Y18" s="218">
        <f t="shared" si="30"/>
        <v>46208</v>
      </c>
      <c r="Z18" s="218">
        <f t="shared" si="30"/>
        <v>46209</v>
      </c>
      <c r="AA18" s="218">
        <f t="shared" si="30"/>
        <v>46210</v>
      </c>
      <c r="AB18" s="218">
        <f t="shared" si="30"/>
        <v>46211</v>
      </c>
      <c r="AC18" s="218">
        <f t="shared" si="30"/>
        <v>46212</v>
      </c>
      <c r="AD18" s="218">
        <f t="shared" si="30"/>
        <v>46213</v>
      </c>
      <c r="AE18" s="218">
        <f t="shared" si="30"/>
        <v>46214</v>
      </c>
      <c r="AF18" s="218">
        <f t="shared" si="30"/>
        <v>46215</v>
      </c>
      <c r="AG18" s="218">
        <f t="shared" si="30"/>
        <v>46216</v>
      </c>
      <c r="AH18" s="218">
        <f t="shared" si="30"/>
        <v>46217</v>
      </c>
      <c r="AI18" s="218">
        <f t="shared" si="30"/>
        <v>46218</v>
      </c>
      <c r="AJ18" s="218">
        <f t="shared" si="30"/>
        <v>46219</v>
      </c>
      <c r="AK18" s="218">
        <f t="shared" si="30"/>
        <v>46220</v>
      </c>
      <c r="AL18" s="218">
        <f t="shared" si="30"/>
        <v>46221</v>
      </c>
      <c r="AM18" s="218">
        <f t="shared" si="30"/>
        <v>46222</v>
      </c>
      <c r="AN18" s="218">
        <f t="shared" si="30"/>
        <v>46223</v>
      </c>
      <c r="AO18" s="218">
        <f t="shared" si="30"/>
        <v>46224</v>
      </c>
      <c r="AP18" s="218">
        <f t="shared" si="30"/>
        <v>46225</v>
      </c>
      <c r="AQ18" s="218">
        <f t="shared" si="30"/>
        <v>46226</v>
      </c>
      <c r="AR18" s="218">
        <f t="shared" si="30"/>
        <v>46227</v>
      </c>
      <c r="AS18" s="218">
        <f t="shared" si="30"/>
        <v>46228</v>
      </c>
      <c r="AT18" s="218">
        <f t="shared" si="30"/>
        <v>46229</v>
      </c>
      <c r="AU18" s="218">
        <f t="shared" si="30"/>
        <v>46230</v>
      </c>
      <c r="AV18" s="218">
        <f t="shared" si="30"/>
        <v>46231</v>
      </c>
      <c r="AW18" s="218">
        <f t="shared" si="30"/>
        <v>46232</v>
      </c>
      <c r="AX18" s="218">
        <f t="shared" ref="AX18:CC18" si="31">AW18+1</f>
        <v>46233</v>
      </c>
      <c r="AY18" s="218">
        <f t="shared" si="31"/>
        <v>46234</v>
      </c>
      <c r="AZ18" s="218">
        <f t="shared" si="31"/>
        <v>46235</v>
      </c>
      <c r="BA18" s="218">
        <f t="shared" si="31"/>
        <v>46236</v>
      </c>
      <c r="BB18" s="218">
        <f t="shared" si="31"/>
        <v>46237</v>
      </c>
      <c r="BC18" s="218">
        <f t="shared" si="31"/>
        <v>46238</v>
      </c>
      <c r="BD18" s="218">
        <f t="shared" si="31"/>
        <v>46239</v>
      </c>
      <c r="BE18" s="218">
        <f t="shared" si="31"/>
        <v>46240</v>
      </c>
      <c r="BF18" s="218">
        <f t="shared" si="31"/>
        <v>46241</v>
      </c>
      <c r="BG18" s="218">
        <f t="shared" si="31"/>
        <v>46242</v>
      </c>
      <c r="BH18" s="218">
        <f t="shared" si="31"/>
        <v>46243</v>
      </c>
      <c r="BI18" s="218">
        <f t="shared" si="31"/>
        <v>46244</v>
      </c>
      <c r="BJ18" s="218">
        <f t="shared" si="31"/>
        <v>46245</v>
      </c>
      <c r="BK18" s="218">
        <f t="shared" si="31"/>
        <v>46246</v>
      </c>
      <c r="BL18" s="218">
        <f t="shared" si="31"/>
        <v>46247</v>
      </c>
      <c r="BM18" s="218">
        <f t="shared" si="31"/>
        <v>46248</v>
      </c>
      <c r="BN18" s="218">
        <f t="shared" si="31"/>
        <v>46249</v>
      </c>
      <c r="BO18" s="218">
        <f t="shared" si="31"/>
        <v>46250</v>
      </c>
      <c r="BP18" s="218">
        <f t="shared" si="31"/>
        <v>46251</v>
      </c>
      <c r="BQ18" s="218">
        <f t="shared" si="31"/>
        <v>46252</v>
      </c>
      <c r="BR18" s="218">
        <f t="shared" si="31"/>
        <v>46253</v>
      </c>
      <c r="BS18" s="218">
        <f t="shared" si="31"/>
        <v>46254</v>
      </c>
      <c r="BT18" s="218">
        <f t="shared" si="31"/>
        <v>46255</v>
      </c>
      <c r="BU18" s="218">
        <f t="shared" si="31"/>
        <v>46256</v>
      </c>
      <c r="BV18" s="218">
        <f t="shared" si="31"/>
        <v>46257</v>
      </c>
      <c r="BW18" s="218">
        <f t="shared" si="31"/>
        <v>46258</v>
      </c>
      <c r="BX18" s="218">
        <f t="shared" si="31"/>
        <v>46259</v>
      </c>
      <c r="BY18" s="218">
        <f t="shared" si="31"/>
        <v>46260</v>
      </c>
      <c r="BZ18" s="218">
        <f t="shared" si="31"/>
        <v>46261</v>
      </c>
      <c r="CA18" s="218">
        <f t="shared" si="31"/>
        <v>46262</v>
      </c>
      <c r="CB18" s="218">
        <f t="shared" si="31"/>
        <v>46263</v>
      </c>
      <c r="CC18" s="218">
        <f t="shared" si="31"/>
        <v>46264</v>
      </c>
      <c r="CD18" s="218">
        <f t="shared" ref="CD18:CS18" si="32">CC18+1</f>
        <v>46265</v>
      </c>
      <c r="CE18" s="218">
        <f t="shared" si="32"/>
        <v>46266</v>
      </c>
      <c r="CF18" s="218">
        <f t="shared" si="32"/>
        <v>46267</v>
      </c>
      <c r="CG18" s="218">
        <f t="shared" si="32"/>
        <v>46268</v>
      </c>
      <c r="CH18" s="218">
        <f t="shared" si="32"/>
        <v>46269</v>
      </c>
      <c r="CI18" s="218">
        <f t="shared" si="32"/>
        <v>46270</v>
      </c>
      <c r="CJ18" s="218">
        <f t="shared" si="32"/>
        <v>46271</v>
      </c>
      <c r="CK18" s="218">
        <f t="shared" si="32"/>
        <v>46272</v>
      </c>
      <c r="CL18" s="218">
        <f t="shared" si="32"/>
        <v>46273</v>
      </c>
      <c r="CM18" s="218">
        <f t="shared" si="32"/>
        <v>46274</v>
      </c>
      <c r="CN18" s="218">
        <f t="shared" si="32"/>
        <v>46275</v>
      </c>
      <c r="CO18" s="218">
        <f t="shared" si="32"/>
        <v>46276</v>
      </c>
      <c r="CP18" s="218">
        <f t="shared" si="32"/>
        <v>46277</v>
      </c>
      <c r="CQ18" s="218">
        <f t="shared" si="32"/>
        <v>46278</v>
      </c>
      <c r="CR18" s="218">
        <f t="shared" si="32"/>
        <v>46279</v>
      </c>
      <c r="CS18" s="218">
        <f t="shared" si="32"/>
        <v>46280</v>
      </c>
    </row>
    <row r="19" spans="1:99">
      <c r="A19" s="448"/>
      <c r="B19" s="451"/>
      <c r="C19" s="451"/>
      <c r="D19" s="467" t="str">
        <f>'BESS 12'!H5</f>
        <v>01 Aug
05 Aug</v>
      </c>
      <c r="E19" s="185" t="s">
        <v>64</v>
      </c>
      <c r="F19" s="66" t="e">
        <f>SUM('BESS 12'!S19:S26,'BESS 12'!S28)</f>
        <v>#VALUE!</v>
      </c>
      <c r="G19" s="182">
        <f ca="1">TODAY()</f>
        <v>46233</v>
      </c>
      <c r="H19" s="162">
        <f>MAX('BESS 12'!O19:O25)</f>
        <v>0</v>
      </c>
      <c r="I19" s="66">
        <f ca="1">H19-G19</f>
        <v>-46233</v>
      </c>
      <c r="J19" s="506">
        <f ca="1">AVERAGEIF(L24:CS24,"&gt;0")</f>
        <v>8.3333333333333339</v>
      </c>
      <c r="K19" s="506">
        <f ca="1">MAX(L24:CS24)</f>
        <v>30</v>
      </c>
      <c r="L19" s="65" t="str">
        <f t="shared" ref="L19:U22" ca="1" si="33">IF(AND(L$2&gt;=$G19,L$2&lt;($G19+$I19)),ROUND($F19/$I19,0),"-")</f>
        <v>-</v>
      </c>
      <c r="M19" s="65" t="str">
        <f t="shared" ca="1" si="33"/>
        <v>-</v>
      </c>
      <c r="N19" s="65" t="str">
        <f t="shared" ca="1" si="33"/>
        <v>-</v>
      </c>
      <c r="O19" s="65" t="str">
        <f t="shared" ca="1" si="33"/>
        <v>-</v>
      </c>
      <c r="P19" s="65" t="str">
        <f t="shared" ca="1" si="33"/>
        <v>-</v>
      </c>
      <c r="Q19" s="65" t="str">
        <f t="shared" ca="1" si="33"/>
        <v>-</v>
      </c>
      <c r="R19" s="65" t="str">
        <f t="shared" ca="1" si="33"/>
        <v>-</v>
      </c>
      <c r="S19" s="65" t="str">
        <f t="shared" ca="1" si="33"/>
        <v>-</v>
      </c>
      <c r="T19" s="65" t="str">
        <f t="shared" ca="1" si="33"/>
        <v>-</v>
      </c>
      <c r="U19" s="65" t="str">
        <f t="shared" ca="1" si="33"/>
        <v>-</v>
      </c>
      <c r="V19" s="65" t="str">
        <f t="shared" ref="V19:AE22" ca="1" si="34">IF(AND(V$2&gt;=$G19,V$2&lt;($G19+$I19)),ROUND($F19/$I19,0),"-")</f>
        <v>-</v>
      </c>
      <c r="W19" s="65" t="str">
        <f t="shared" ca="1" si="34"/>
        <v>-</v>
      </c>
      <c r="X19" s="65" t="str">
        <f t="shared" ca="1" si="34"/>
        <v>-</v>
      </c>
      <c r="Y19" s="65" t="str">
        <f t="shared" ca="1" si="34"/>
        <v>-</v>
      </c>
      <c r="Z19" s="65" t="str">
        <f t="shared" ca="1" si="34"/>
        <v>-</v>
      </c>
      <c r="AA19" s="65" t="str">
        <f t="shared" ca="1" si="34"/>
        <v>-</v>
      </c>
      <c r="AB19" s="65" t="str">
        <f t="shared" ca="1" si="34"/>
        <v>-</v>
      </c>
      <c r="AC19" s="65" t="str">
        <f t="shared" ca="1" si="34"/>
        <v>-</v>
      </c>
      <c r="AD19" s="65" t="str">
        <f t="shared" ca="1" si="34"/>
        <v>-</v>
      </c>
      <c r="AE19" s="65" t="str">
        <f t="shared" ca="1" si="34"/>
        <v>-</v>
      </c>
      <c r="AF19" s="65" t="str">
        <f t="shared" ref="AF19:AO22" ca="1" si="35">IF(AND(AF$2&gt;=$G19,AF$2&lt;($G19+$I19)),ROUND($F19/$I19,0),"-")</f>
        <v>-</v>
      </c>
      <c r="AG19" s="65" t="str">
        <f t="shared" ca="1" si="35"/>
        <v>-</v>
      </c>
      <c r="AH19" s="65" t="str">
        <f t="shared" ca="1" si="35"/>
        <v>-</v>
      </c>
      <c r="AI19" s="65" t="str">
        <f t="shared" ca="1" si="35"/>
        <v>-</v>
      </c>
      <c r="AJ19" s="65" t="str">
        <f t="shared" ca="1" si="35"/>
        <v>-</v>
      </c>
      <c r="AK19" s="65" t="str">
        <f t="shared" ca="1" si="35"/>
        <v>-</v>
      </c>
      <c r="AL19" s="65" t="str">
        <f t="shared" ca="1" si="35"/>
        <v>-</v>
      </c>
      <c r="AM19" s="65" t="str">
        <f t="shared" ca="1" si="35"/>
        <v>-</v>
      </c>
      <c r="AN19" s="65" t="str">
        <f t="shared" ca="1" si="35"/>
        <v>-</v>
      </c>
      <c r="AO19" s="65" t="str">
        <f t="shared" ca="1" si="35"/>
        <v>-</v>
      </c>
      <c r="AP19" s="65" t="str">
        <f t="shared" ref="AP19:AY22" ca="1" si="36">IF(AND(AP$2&gt;=$G19,AP$2&lt;($G19+$I19)),ROUND($F19/$I19,0),"-")</f>
        <v>-</v>
      </c>
      <c r="AQ19" s="65" t="str">
        <f t="shared" ca="1" si="36"/>
        <v>-</v>
      </c>
      <c r="AR19" s="65" t="str">
        <f t="shared" ca="1" si="36"/>
        <v>-</v>
      </c>
      <c r="AS19" s="65" t="str">
        <f t="shared" ca="1" si="36"/>
        <v>-</v>
      </c>
      <c r="AT19" s="65" t="str">
        <f t="shared" ca="1" si="36"/>
        <v>-</v>
      </c>
      <c r="AU19" s="65" t="str">
        <f t="shared" ca="1" si="36"/>
        <v>-</v>
      </c>
      <c r="AV19" s="65" t="str">
        <f t="shared" ca="1" si="36"/>
        <v>-</v>
      </c>
      <c r="AW19" s="65" t="str">
        <f t="shared" ca="1" si="36"/>
        <v>-</v>
      </c>
      <c r="AX19" s="65" t="str">
        <f t="shared" ca="1" si="36"/>
        <v>-</v>
      </c>
      <c r="AY19" s="65" t="str">
        <f t="shared" ca="1" si="36"/>
        <v>-</v>
      </c>
      <c r="AZ19" s="65" t="str">
        <f t="shared" ref="AZ19:BI22" ca="1" si="37">IF(AND(AZ$2&gt;=$G19,AZ$2&lt;($G19+$I19)),ROUND($F19/$I19,0),"-")</f>
        <v>-</v>
      </c>
      <c r="BA19" s="65" t="str">
        <f t="shared" ca="1" si="37"/>
        <v>-</v>
      </c>
      <c r="BB19" s="65" t="str">
        <f t="shared" ca="1" si="37"/>
        <v>-</v>
      </c>
      <c r="BC19" s="65" t="str">
        <f t="shared" ca="1" si="37"/>
        <v>-</v>
      </c>
      <c r="BD19" s="65" t="str">
        <f t="shared" ca="1" si="37"/>
        <v>-</v>
      </c>
      <c r="BE19" s="65" t="str">
        <f t="shared" ca="1" si="37"/>
        <v>-</v>
      </c>
      <c r="BF19" s="65" t="str">
        <f t="shared" ca="1" si="37"/>
        <v>-</v>
      </c>
      <c r="BG19" s="65" t="str">
        <f t="shared" ca="1" si="37"/>
        <v>-</v>
      </c>
      <c r="BH19" s="65" t="str">
        <f t="shared" ca="1" si="37"/>
        <v>-</v>
      </c>
      <c r="BI19" s="65" t="str">
        <f t="shared" ca="1" si="37"/>
        <v>-</v>
      </c>
      <c r="BJ19" s="65" t="str">
        <f t="shared" ref="BJ19:BS22" ca="1" si="38">IF(AND(BJ$2&gt;=$G19,BJ$2&lt;($G19+$I19)),ROUND($F19/$I19,0),"-")</f>
        <v>-</v>
      </c>
      <c r="BK19" s="65" t="str">
        <f t="shared" ca="1" si="38"/>
        <v>-</v>
      </c>
      <c r="BL19" s="65" t="str">
        <f t="shared" ca="1" si="38"/>
        <v>-</v>
      </c>
      <c r="BM19" s="65" t="str">
        <f t="shared" ca="1" si="38"/>
        <v>-</v>
      </c>
      <c r="BN19" s="65" t="str">
        <f t="shared" ca="1" si="38"/>
        <v>-</v>
      </c>
      <c r="BO19" s="65" t="str">
        <f t="shared" ca="1" si="38"/>
        <v>-</v>
      </c>
      <c r="BP19" s="65" t="str">
        <f t="shared" ca="1" si="38"/>
        <v>-</v>
      </c>
      <c r="BQ19" s="65" t="str">
        <f t="shared" ca="1" si="38"/>
        <v>-</v>
      </c>
      <c r="BR19" s="65" t="str">
        <f t="shared" ca="1" si="38"/>
        <v>-</v>
      </c>
      <c r="BS19" s="65" t="str">
        <f t="shared" ca="1" si="38"/>
        <v>-</v>
      </c>
      <c r="BT19" s="65" t="str">
        <f t="shared" ref="BT19:CC22" ca="1" si="39">IF(AND(BT$2&gt;=$G19,BT$2&lt;($G19+$I19)),ROUND($F19/$I19,0),"-")</f>
        <v>-</v>
      </c>
      <c r="BU19" s="65" t="str">
        <f t="shared" ca="1" si="39"/>
        <v>-</v>
      </c>
      <c r="BV19" s="65" t="str">
        <f t="shared" ca="1" si="39"/>
        <v>-</v>
      </c>
      <c r="BW19" s="65" t="str">
        <f t="shared" ca="1" si="39"/>
        <v>-</v>
      </c>
      <c r="BX19" s="65" t="str">
        <f t="shared" ca="1" si="39"/>
        <v>-</v>
      </c>
      <c r="BY19" s="65" t="str">
        <f t="shared" ca="1" si="39"/>
        <v>-</v>
      </c>
      <c r="BZ19" s="65" t="str">
        <f t="shared" ca="1" si="39"/>
        <v>-</v>
      </c>
      <c r="CA19" s="65" t="str">
        <f t="shared" ca="1" si="39"/>
        <v>-</v>
      </c>
      <c r="CB19" s="65" t="str">
        <f t="shared" ca="1" si="39"/>
        <v>-</v>
      </c>
      <c r="CC19" s="65" t="str">
        <f t="shared" ca="1" si="39"/>
        <v>-</v>
      </c>
      <c r="CD19" s="65" t="str">
        <f t="shared" ref="CD19:CM22" ca="1" si="40">IF(AND(CD$2&gt;=$G19,CD$2&lt;($G19+$I19)),ROUND($F19/$I19,0),"-")</f>
        <v>-</v>
      </c>
      <c r="CE19" s="65" t="str">
        <f t="shared" ca="1" si="40"/>
        <v>-</v>
      </c>
      <c r="CF19" s="65" t="str">
        <f t="shared" ca="1" si="40"/>
        <v>-</v>
      </c>
      <c r="CG19" s="65" t="str">
        <f t="shared" ca="1" si="40"/>
        <v>-</v>
      </c>
      <c r="CH19" s="65" t="str">
        <f t="shared" ca="1" si="40"/>
        <v>-</v>
      </c>
      <c r="CI19" s="65" t="str">
        <f t="shared" ca="1" si="40"/>
        <v>-</v>
      </c>
      <c r="CJ19" s="65" t="str">
        <f t="shared" ca="1" si="40"/>
        <v>-</v>
      </c>
      <c r="CK19" s="65" t="str">
        <f t="shared" ca="1" si="40"/>
        <v>-</v>
      </c>
      <c r="CL19" s="65" t="str">
        <f t="shared" ca="1" si="40"/>
        <v>-</v>
      </c>
      <c r="CM19" s="65" t="str">
        <f t="shared" ca="1" si="40"/>
        <v>-</v>
      </c>
      <c r="CN19" s="65" t="str">
        <f t="shared" ref="CN19:CS22" ca="1" si="41">IF(AND(CN$2&gt;=$G19,CN$2&lt;($G19+$I19)),ROUND($F19/$I19,0),"-")</f>
        <v>-</v>
      </c>
      <c r="CO19" s="65" t="str">
        <f t="shared" ca="1" si="41"/>
        <v>-</v>
      </c>
      <c r="CP19" s="65" t="str">
        <f t="shared" ca="1" si="41"/>
        <v>-</v>
      </c>
      <c r="CQ19" s="65" t="str">
        <f t="shared" ca="1" si="41"/>
        <v>-</v>
      </c>
      <c r="CR19" s="65" t="str">
        <f t="shared" ca="1" si="41"/>
        <v>-</v>
      </c>
      <c r="CS19" s="65" t="str">
        <f t="shared" ca="1" si="41"/>
        <v>-</v>
      </c>
    </row>
    <row r="20" spans="1:99">
      <c r="A20" s="448"/>
      <c r="B20" s="451"/>
      <c r="C20" s="451"/>
      <c r="D20" s="466"/>
      <c r="E20" s="185" t="s">
        <v>65</v>
      </c>
      <c r="F20" s="66" t="e">
        <f>SUM('BESS 12'!S29,'BESS 12'!S31,'BESS 12'!S32,'BESS 12'!S35:S37)</f>
        <v>#VALUE!</v>
      </c>
      <c r="G20" s="182">
        <f t="shared" ref="G20:G21" ca="1" si="42">TODAY()</f>
        <v>46233</v>
      </c>
      <c r="H20" s="162">
        <f>MAX('BESS 12'!O29,'BESS 12'!O31,'BESS 12'!O32,'BESS 12'!O35:O37)</f>
        <v>0</v>
      </c>
      <c r="I20" s="66">
        <f t="shared" ref="I20:I22" ca="1" si="43">H20-G20</f>
        <v>-46233</v>
      </c>
      <c r="J20" s="507"/>
      <c r="K20" s="476"/>
      <c r="L20" s="65" t="str">
        <f t="shared" ca="1" si="33"/>
        <v>-</v>
      </c>
      <c r="M20" s="65" t="str">
        <f t="shared" ca="1" si="33"/>
        <v>-</v>
      </c>
      <c r="N20" s="65" t="str">
        <f t="shared" ca="1" si="33"/>
        <v>-</v>
      </c>
      <c r="O20" s="65" t="str">
        <f t="shared" ca="1" si="33"/>
        <v>-</v>
      </c>
      <c r="P20" s="65" t="str">
        <f t="shared" ca="1" si="33"/>
        <v>-</v>
      </c>
      <c r="Q20" s="65" t="str">
        <f t="shared" ca="1" si="33"/>
        <v>-</v>
      </c>
      <c r="R20" s="65" t="str">
        <f t="shared" ca="1" si="33"/>
        <v>-</v>
      </c>
      <c r="S20" s="65" t="str">
        <f t="shared" ca="1" si="33"/>
        <v>-</v>
      </c>
      <c r="T20" s="65" t="str">
        <f t="shared" ca="1" si="33"/>
        <v>-</v>
      </c>
      <c r="U20" s="65" t="str">
        <f t="shared" ca="1" si="33"/>
        <v>-</v>
      </c>
      <c r="V20" s="65" t="str">
        <f t="shared" ca="1" si="34"/>
        <v>-</v>
      </c>
      <c r="W20" s="65" t="str">
        <f t="shared" ca="1" si="34"/>
        <v>-</v>
      </c>
      <c r="X20" s="65" t="str">
        <f t="shared" ca="1" si="34"/>
        <v>-</v>
      </c>
      <c r="Y20" s="65" t="str">
        <f t="shared" ca="1" si="34"/>
        <v>-</v>
      </c>
      <c r="Z20" s="65" t="str">
        <f t="shared" ca="1" si="34"/>
        <v>-</v>
      </c>
      <c r="AA20" s="65" t="str">
        <f t="shared" ca="1" si="34"/>
        <v>-</v>
      </c>
      <c r="AB20" s="65" t="str">
        <f t="shared" ca="1" si="34"/>
        <v>-</v>
      </c>
      <c r="AC20" s="65" t="str">
        <f t="shared" ca="1" si="34"/>
        <v>-</v>
      </c>
      <c r="AD20" s="65" t="str">
        <f t="shared" ca="1" si="34"/>
        <v>-</v>
      </c>
      <c r="AE20" s="65" t="str">
        <f t="shared" ca="1" si="34"/>
        <v>-</v>
      </c>
      <c r="AF20" s="65" t="str">
        <f t="shared" ca="1" si="35"/>
        <v>-</v>
      </c>
      <c r="AG20" s="65" t="str">
        <f t="shared" ca="1" si="35"/>
        <v>-</v>
      </c>
      <c r="AH20" s="65" t="str">
        <f t="shared" ca="1" si="35"/>
        <v>-</v>
      </c>
      <c r="AI20" s="65" t="str">
        <f t="shared" ca="1" si="35"/>
        <v>-</v>
      </c>
      <c r="AJ20" s="65" t="str">
        <f t="shared" ca="1" si="35"/>
        <v>-</v>
      </c>
      <c r="AK20" s="65" t="str">
        <f t="shared" ca="1" si="35"/>
        <v>-</v>
      </c>
      <c r="AL20" s="65" t="str">
        <f t="shared" ca="1" si="35"/>
        <v>-</v>
      </c>
      <c r="AM20" s="65" t="str">
        <f t="shared" ca="1" si="35"/>
        <v>-</v>
      </c>
      <c r="AN20" s="65" t="str">
        <f t="shared" ca="1" si="35"/>
        <v>-</v>
      </c>
      <c r="AO20" s="65" t="str">
        <f t="shared" ca="1" si="35"/>
        <v>-</v>
      </c>
      <c r="AP20" s="65" t="str">
        <f t="shared" ca="1" si="36"/>
        <v>-</v>
      </c>
      <c r="AQ20" s="65" t="str">
        <f t="shared" ca="1" si="36"/>
        <v>-</v>
      </c>
      <c r="AR20" s="65" t="str">
        <f t="shared" ca="1" si="36"/>
        <v>-</v>
      </c>
      <c r="AS20" s="65" t="str">
        <f t="shared" ca="1" si="36"/>
        <v>-</v>
      </c>
      <c r="AT20" s="65" t="str">
        <f t="shared" ca="1" si="36"/>
        <v>-</v>
      </c>
      <c r="AU20" s="65" t="str">
        <f t="shared" ca="1" si="36"/>
        <v>-</v>
      </c>
      <c r="AV20" s="65" t="str">
        <f t="shared" ca="1" si="36"/>
        <v>-</v>
      </c>
      <c r="AW20" s="65" t="str">
        <f t="shared" ca="1" si="36"/>
        <v>-</v>
      </c>
      <c r="AX20" s="65" t="str">
        <f t="shared" ca="1" si="36"/>
        <v>-</v>
      </c>
      <c r="AY20" s="65" t="str">
        <f t="shared" ca="1" si="36"/>
        <v>-</v>
      </c>
      <c r="AZ20" s="65" t="str">
        <f t="shared" ca="1" si="37"/>
        <v>-</v>
      </c>
      <c r="BA20" s="65" t="str">
        <f t="shared" ca="1" si="37"/>
        <v>-</v>
      </c>
      <c r="BB20" s="65" t="str">
        <f t="shared" ca="1" si="37"/>
        <v>-</v>
      </c>
      <c r="BC20" s="65" t="str">
        <f t="shared" ca="1" si="37"/>
        <v>-</v>
      </c>
      <c r="BD20" s="65" t="str">
        <f t="shared" ca="1" si="37"/>
        <v>-</v>
      </c>
      <c r="BE20" s="65" t="str">
        <f t="shared" ca="1" si="37"/>
        <v>-</v>
      </c>
      <c r="BF20" s="65" t="str">
        <f t="shared" ca="1" si="37"/>
        <v>-</v>
      </c>
      <c r="BG20" s="65" t="str">
        <f t="shared" ca="1" si="37"/>
        <v>-</v>
      </c>
      <c r="BH20" s="65" t="str">
        <f t="shared" ca="1" si="37"/>
        <v>-</v>
      </c>
      <c r="BI20" s="65" t="str">
        <f t="shared" ca="1" si="37"/>
        <v>-</v>
      </c>
      <c r="BJ20" s="65" t="str">
        <f t="shared" ca="1" si="38"/>
        <v>-</v>
      </c>
      <c r="BK20" s="65" t="str">
        <f t="shared" ca="1" si="38"/>
        <v>-</v>
      </c>
      <c r="BL20" s="65" t="str">
        <f t="shared" ca="1" si="38"/>
        <v>-</v>
      </c>
      <c r="BM20" s="65" t="str">
        <f t="shared" ca="1" si="38"/>
        <v>-</v>
      </c>
      <c r="BN20" s="65" t="str">
        <f t="shared" ca="1" si="38"/>
        <v>-</v>
      </c>
      <c r="BO20" s="65" t="str">
        <f t="shared" ca="1" si="38"/>
        <v>-</v>
      </c>
      <c r="BP20" s="65" t="str">
        <f t="shared" ca="1" si="38"/>
        <v>-</v>
      </c>
      <c r="BQ20" s="65" t="str">
        <f t="shared" ca="1" si="38"/>
        <v>-</v>
      </c>
      <c r="BR20" s="65" t="str">
        <f t="shared" ca="1" si="38"/>
        <v>-</v>
      </c>
      <c r="BS20" s="65" t="str">
        <f t="shared" ca="1" si="38"/>
        <v>-</v>
      </c>
      <c r="BT20" s="65" t="str">
        <f t="shared" ca="1" si="39"/>
        <v>-</v>
      </c>
      <c r="BU20" s="65" t="str">
        <f t="shared" ca="1" si="39"/>
        <v>-</v>
      </c>
      <c r="BV20" s="65" t="str">
        <f t="shared" ca="1" si="39"/>
        <v>-</v>
      </c>
      <c r="BW20" s="65" t="str">
        <f t="shared" ca="1" si="39"/>
        <v>-</v>
      </c>
      <c r="BX20" s="65" t="str">
        <f t="shared" ca="1" si="39"/>
        <v>-</v>
      </c>
      <c r="BY20" s="65" t="str">
        <f t="shared" ca="1" si="39"/>
        <v>-</v>
      </c>
      <c r="BZ20" s="65" t="str">
        <f t="shared" ca="1" si="39"/>
        <v>-</v>
      </c>
      <c r="CA20" s="65" t="str">
        <f t="shared" ca="1" si="39"/>
        <v>-</v>
      </c>
      <c r="CB20" s="65" t="str">
        <f t="shared" ca="1" si="39"/>
        <v>-</v>
      </c>
      <c r="CC20" s="65" t="str">
        <f t="shared" ca="1" si="39"/>
        <v>-</v>
      </c>
      <c r="CD20" s="65" t="str">
        <f t="shared" ca="1" si="40"/>
        <v>-</v>
      </c>
      <c r="CE20" s="65" t="str">
        <f t="shared" ca="1" si="40"/>
        <v>-</v>
      </c>
      <c r="CF20" s="65" t="str">
        <f t="shared" ca="1" si="40"/>
        <v>-</v>
      </c>
      <c r="CG20" s="65" t="str">
        <f t="shared" ca="1" si="40"/>
        <v>-</v>
      </c>
      <c r="CH20" s="65" t="str">
        <f t="shared" ca="1" si="40"/>
        <v>-</v>
      </c>
      <c r="CI20" s="65" t="str">
        <f t="shared" ca="1" si="40"/>
        <v>-</v>
      </c>
      <c r="CJ20" s="65" t="str">
        <f t="shared" ca="1" si="40"/>
        <v>-</v>
      </c>
      <c r="CK20" s="65" t="str">
        <f t="shared" ca="1" si="40"/>
        <v>-</v>
      </c>
      <c r="CL20" s="65" t="str">
        <f t="shared" ca="1" si="40"/>
        <v>-</v>
      </c>
      <c r="CM20" s="65" t="str">
        <f t="shared" ca="1" si="40"/>
        <v>-</v>
      </c>
      <c r="CN20" s="65" t="str">
        <f t="shared" ca="1" si="41"/>
        <v>-</v>
      </c>
      <c r="CO20" s="65" t="str">
        <f t="shared" ca="1" si="41"/>
        <v>-</v>
      </c>
      <c r="CP20" s="65" t="str">
        <f t="shared" ca="1" si="41"/>
        <v>-</v>
      </c>
      <c r="CQ20" s="65" t="str">
        <f t="shared" ca="1" si="41"/>
        <v>-</v>
      </c>
      <c r="CR20" s="65" t="str">
        <f t="shared" ca="1" si="41"/>
        <v>-</v>
      </c>
      <c r="CS20" s="65" t="str">
        <f t="shared" ca="1" si="41"/>
        <v>-</v>
      </c>
    </row>
    <row r="21" spans="1:99">
      <c r="A21" s="448"/>
      <c r="B21" s="451"/>
      <c r="C21" s="451"/>
      <c r="D21" s="466"/>
      <c r="E21" s="185" t="s">
        <v>66</v>
      </c>
      <c r="F21" s="66" t="e">
        <f>SUM('BESS 12'!S30,'BESS 12'!S34,'BESS 12'!S38:S39,461)</f>
        <v>#VALUE!</v>
      </c>
      <c r="G21" s="182">
        <f t="shared" ca="1" si="42"/>
        <v>46233</v>
      </c>
      <c r="H21" s="162">
        <f>MAX('BESS 12'!O30,'BESS 12'!O32,'BESS 12'!O33,'BESS 12'!O36:O38)</f>
        <v>0</v>
      </c>
      <c r="I21" s="66">
        <f t="shared" ca="1" si="43"/>
        <v>-46233</v>
      </c>
      <c r="J21" s="507"/>
      <c r="K21" s="476"/>
      <c r="L21" s="65" t="str">
        <f t="shared" ca="1" si="33"/>
        <v>-</v>
      </c>
      <c r="M21" s="65" t="str">
        <f t="shared" ca="1" si="33"/>
        <v>-</v>
      </c>
      <c r="N21" s="65" t="str">
        <f t="shared" ca="1" si="33"/>
        <v>-</v>
      </c>
      <c r="O21" s="65" t="str">
        <f t="shared" ca="1" si="33"/>
        <v>-</v>
      </c>
      <c r="P21" s="65" t="str">
        <f t="shared" ca="1" si="33"/>
        <v>-</v>
      </c>
      <c r="Q21" s="65" t="str">
        <f t="shared" ca="1" si="33"/>
        <v>-</v>
      </c>
      <c r="R21" s="65" t="str">
        <f t="shared" ca="1" si="33"/>
        <v>-</v>
      </c>
      <c r="S21" s="65" t="str">
        <f t="shared" ca="1" si="33"/>
        <v>-</v>
      </c>
      <c r="T21" s="65" t="str">
        <f t="shared" ca="1" si="33"/>
        <v>-</v>
      </c>
      <c r="U21" s="65" t="str">
        <f t="shared" ca="1" si="33"/>
        <v>-</v>
      </c>
      <c r="V21" s="65" t="str">
        <f t="shared" ca="1" si="34"/>
        <v>-</v>
      </c>
      <c r="W21" s="65" t="str">
        <f t="shared" ca="1" si="34"/>
        <v>-</v>
      </c>
      <c r="X21" s="65" t="str">
        <f t="shared" ca="1" si="34"/>
        <v>-</v>
      </c>
      <c r="Y21" s="65" t="str">
        <f t="shared" ca="1" si="34"/>
        <v>-</v>
      </c>
      <c r="Z21" s="65" t="str">
        <f t="shared" ca="1" si="34"/>
        <v>-</v>
      </c>
      <c r="AA21" s="65" t="str">
        <f t="shared" ca="1" si="34"/>
        <v>-</v>
      </c>
      <c r="AB21" s="65" t="str">
        <f t="shared" ca="1" si="34"/>
        <v>-</v>
      </c>
      <c r="AC21" s="65" t="str">
        <f t="shared" ca="1" si="34"/>
        <v>-</v>
      </c>
      <c r="AD21" s="65" t="str">
        <f t="shared" ca="1" si="34"/>
        <v>-</v>
      </c>
      <c r="AE21" s="65" t="str">
        <f t="shared" ca="1" si="34"/>
        <v>-</v>
      </c>
      <c r="AF21" s="65" t="str">
        <f t="shared" ca="1" si="35"/>
        <v>-</v>
      </c>
      <c r="AG21" s="65" t="str">
        <f t="shared" ca="1" si="35"/>
        <v>-</v>
      </c>
      <c r="AH21" s="65" t="str">
        <f t="shared" ca="1" si="35"/>
        <v>-</v>
      </c>
      <c r="AI21" s="65" t="str">
        <f t="shared" ca="1" si="35"/>
        <v>-</v>
      </c>
      <c r="AJ21" s="65" t="str">
        <f t="shared" ca="1" si="35"/>
        <v>-</v>
      </c>
      <c r="AK21" s="65" t="str">
        <f t="shared" ca="1" si="35"/>
        <v>-</v>
      </c>
      <c r="AL21" s="65" t="str">
        <f t="shared" ca="1" si="35"/>
        <v>-</v>
      </c>
      <c r="AM21" s="65" t="str">
        <f t="shared" ca="1" si="35"/>
        <v>-</v>
      </c>
      <c r="AN21" s="65" t="str">
        <f t="shared" ca="1" si="35"/>
        <v>-</v>
      </c>
      <c r="AO21" s="65" t="str">
        <f t="shared" ca="1" si="35"/>
        <v>-</v>
      </c>
      <c r="AP21" s="65" t="str">
        <f t="shared" ca="1" si="36"/>
        <v>-</v>
      </c>
      <c r="AQ21" s="65" t="str">
        <f t="shared" ca="1" si="36"/>
        <v>-</v>
      </c>
      <c r="AR21" s="65" t="str">
        <f t="shared" ca="1" si="36"/>
        <v>-</v>
      </c>
      <c r="AS21" s="65" t="str">
        <f t="shared" ca="1" si="36"/>
        <v>-</v>
      </c>
      <c r="AT21" s="65" t="str">
        <f t="shared" ca="1" si="36"/>
        <v>-</v>
      </c>
      <c r="AU21" s="65" t="str">
        <f t="shared" ca="1" si="36"/>
        <v>-</v>
      </c>
      <c r="AV21" s="65" t="str">
        <f t="shared" ca="1" si="36"/>
        <v>-</v>
      </c>
      <c r="AW21" s="65" t="str">
        <f t="shared" ca="1" si="36"/>
        <v>-</v>
      </c>
      <c r="AX21" s="65" t="str">
        <f t="shared" ca="1" si="36"/>
        <v>-</v>
      </c>
      <c r="AY21" s="65" t="str">
        <f t="shared" ca="1" si="36"/>
        <v>-</v>
      </c>
      <c r="AZ21" s="65" t="str">
        <f t="shared" ca="1" si="37"/>
        <v>-</v>
      </c>
      <c r="BA21" s="65" t="str">
        <f t="shared" ca="1" si="37"/>
        <v>-</v>
      </c>
      <c r="BB21" s="65" t="str">
        <f t="shared" ca="1" si="37"/>
        <v>-</v>
      </c>
      <c r="BC21" s="65" t="str">
        <f t="shared" ca="1" si="37"/>
        <v>-</v>
      </c>
      <c r="BD21" s="65" t="str">
        <f t="shared" ca="1" si="37"/>
        <v>-</v>
      </c>
      <c r="BE21" s="65" t="str">
        <f t="shared" ca="1" si="37"/>
        <v>-</v>
      </c>
      <c r="BF21" s="65" t="str">
        <f t="shared" ca="1" si="37"/>
        <v>-</v>
      </c>
      <c r="BG21" s="65" t="str">
        <f t="shared" ca="1" si="37"/>
        <v>-</v>
      </c>
      <c r="BH21" s="65" t="str">
        <f t="shared" ca="1" si="37"/>
        <v>-</v>
      </c>
      <c r="BI21" s="65" t="str">
        <f t="shared" ca="1" si="37"/>
        <v>-</v>
      </c>
      <c r="BJ21" s="65" t="str">
        <f t="shared" ca="1" si="38"/>
        <v>-</v>
      </c>
      <c r="BK21" s="65" t="str">
        <f t="shared" ca="1" si="38"/>
        <v>-</v>
      </c>
      <c r="BL21" s="65" t="str">
        <f t="shared" ca="1" si="38"/>
        <v>-</v>
      </c>
      <c r="BM21" s="65" t="str">
        <f t="shared" ca="1" si="38"/>
        <v>-</v>
      </c>
      <c r="BN21" s="65" t="str">
        <f t="shared" ca="1" si="38"/>
        <v>-</v>
      </c>
      <c r="BO21" s="65" t="str">
        <f t="shared" ca="1" si="38"/>
        <v>-</v>
      </c>
      <c r="BP21" s="65" t="str">
        <f t="shared" ca="1" si="38"/>
        <v>-</v>
      </c>
      <c r="BQ21" s="65" t="str">
        <f t="shared" ca="1" si="38"/>
        <v>-</v>
      </c>
      <c r="BR21" s="65" t="str">
        <f t="shared" ca="1" si="38"/>
        <v>-</v>
      </c>
      <c r="BS21" s="65" t="str">
        <f t="shared" ca="1" si="38"/>
        <v>-</v>
      </c>
      <c r="BT21" s="65" t="str">
        <f t="shared" ca="1" si="39"/>
        <v>-</v>
      </c>
      <c r="BU21" s="65" t="str">
        <f t="shared" ca="1" si="39"/>
        <v>-</v>
      </c>
      <c r="BV21" s="65" t="str">
        <f t="shared" ca="1" si="39"/>
        <v>-</v>
      </c>
      <c r="BW21" s="65" t="str">
        <f t="shared" ca="1" si="39"/>
        <v>-</v>
      </c>
      <c r="BX21" s="65" t="str">
        <f t="shared" ca="1" si="39"/>
        <v>-</v>
      </c>
      <c r="BY21" s="65" t="str">
        <f t="shared" ca="1" si="39"/>
        <v>-</v>
      </c>
      <c r="BZ21" s="65" t="str">
        <f t="shared" ca="1" si="39"/>
        <v>-</v>
      </c>
      <c r="CA21" s="65" t="str">
        <f t="shared" ca="1" si="39"/>
        <v>-</v>
      </c>
      <c r="CB21" s="65" t="str">
        <f t="shared" ca="1" si="39"/>
        <v>-</v>
      </c>
      <c r="CC21" s="65" t="str">
        <f t="shared" ca="1" si="39"/>
        <v>-</v>
      </c>
      <c r="CD21" s="65" t="str">
        <f t="shared" ca="1" si="40"/>
        <v>-</v>
      </c>
      <c r="CE21" s="65" t="str">
        <f t="shared" ca="1" si="40"/>
        <v>-</v>
      </c>
      <c r="CF21" s="65" t="str">
        <f t="shared" ca="1" si="40"/>
        <v>-</v>
      </c>
      <c r="CG21" s="65" t="str">
        <f t="shared" ca="1" si="40"/>
        <v>-</v>
      </c>
      <c r="CH21" s="65" t="str">
        <f t="shared" ca="1" si="40"/>
        <v>-</v>
      </c>
      <c r="CI21" s="65" t="str">
        <f t="shared" ca="1" si="40"/>
        <v>-</v>
      </c>
      <c r="CJ21" s="65" t="str">
        <f t="shared" ca="1" si="40"/>
        <v>-</v>
      </c>
      <c r="CK21" s="65" t="str">
        <f t="shared" ca="1" si="40"/>
        <v>-</v>
      </c>
      <c r="CL21" s="65" t="str">
        <f t="shared" ca="1" si="40"/>
        <v>-</v>
      </c>
      <c r="CM21" s="65" t="str">
        <f t="shared" ca="1" si="40"/>
        <v>-</v>
      </c>
      <c r="CN21" s="65" t="str">
        <f t="shared" ca="1" si="41"/>
        <v>-</v>
      </c>
      <c r="CO21" s="65" t="str">
        <f t="shared" ca="1" si="41"/>
        <v>-</v>
      </c>
      <c r="CP21" s="65" t="str">
        <f t="shared" ca="1" si="41"/>
        <v>-</v>
      </c>
      <c r="CQ21" s="65" t="str">
        <f t="shared" ca="1" si="41"/>
        <v>-</v>
      </c>
      <c r="CR21" s="65" t="str">
        <f t="shared" ca="1" si="41"/>
        <v>-</v>
      </c>
      <c r="CS21" s="65" t="str">
        <f t="shared" ca="1" si="41"/>
        <v>-</v>
      </c>
    </row>
    <row r="22" spans="1:99">
      <c r="A22" s="448"/>
      <c r="B22" s="451"/>
      <c r="C22" s="451"/>
      <c r="D22" s="466"/>
      <c r="E22" s="185" t="s">
        <v>67</v>
      </c>
      <c r="F22" s="66" t="e">
        <f>SUM('BESS 12'!S43:S50)</f>
        <v>#VALUE!</v>
      </c>
      <c r="G22" s="182">
        <f>H22-14</f>
        <v>-14</v>
      </c>
      <c r="H22" s="162">
        <f>MAX('BESS 12'!O43:O50)</f>
        <v>0</v>
      </c>
      <c r="I22" s="66">
        <f t="shared" si="43"/>
        <v>14</v>
      </c>
      <c r="J22" s="507"/>
      <c r="K22" s="476"/>
      <c r="L22" s="65" t="str">
        <f t="shared" si="33"/>
        <v>-</v>
      </c>
      <c r="M22" s="65" t="str">
        <f t="shared" si="33"/>
        <v>-</v>
      </c>
      <c r="N22" s="65" t="str">
        <f t="shared" si="33"/>
        <v>-</v>
      </c>
      <c r="O22" s="65" t="str">
        <f t="shared" si="33"/>
        <v>-</v>
      </c>
      <c r="P22" s="65" t="str">
        <f t="shared" si="33"/>
        <v>-</v>
      </c>
      <c r="Q22" s="65" t="str">
        <f t="shared" si="33"/>
        <v>-</v>
      </c>
      <c r="R22" s="65" t="str">
        <f t="shared" si="33"/>
        <v>-</v>
      </c>
      <c r="S22" s="65" t="str">
        <f t="shared" si="33"/>
        <v>-</v>
      </c>
      <c r="T22" s="65" t="str">
        <f t="shared" si="33"/>
        <v>-</v>
      </c>
      <c r="U22" s="65" t="str">
        <f t="shared" si="33"/>
        <v>-</v>
      </c>
      <c r="V22" s="65" t="str">
        <f t="shared" si="34"/>
        <v>-</v>
      </c>
      <c r="W22" s="65" t="str">
        <f t="shared" si="34"/>
        <v>-</v>
      </c>
      <c r="X22" s="65" t="str">
        <f t="shared" si="34"/>
        <v>-</v>
      </c>
      <c r="Y22" s="65" t="str">
        <f t="shared" si="34"/>
        <v>-</v>
      </c>
      <c r="Z22" s="65" t="str">
        <f t="shared" si="34"/>
        <v>-</v>
      </c>
      <c r="AA22" s="65" t="str">
        <f t="shared" si="34"/>
        <v>-</v>
      </c>
      <c r="AB22" s="65" t="str">
        <f t="shared" si="34"/>
        <v>-</v>
      </c>
      <c r="AC22" s="65" t="str">
        <f t="shared" si="34"/>
        <v>-</v>
      </c>
      <c r="AD22" s="65" t="str">
        <f t="shared" si="34"/>
        <v>-</v>
      </c>
      <c r="AE22" s="65" t="str">
        <f t="shared" si="34"/>
        <v>-</v>
      </c>
      <c r="AF22" s="65" t="str">
        <f t="shared" si="35"/>
        <v>-</v>
      </c>
      <c r="AG22" s="65" t="str">
        <f t="shared" si="35"/>
        <v>-</v>
      </c>
      <c r="AH22" s="65" t="str">
        <f t="shared" si="35"/>
        <v>-</v>
      </c>
      <c r="AI22" s="65" t="str">
        <f t="shared" si="35"/>
        <v>-</v>
      </c>
      <c r="AJ22" s="65" t="str">
        <f t="shared" si="35"/>
        <v>-</v>
      </c>
      <c r="AK22" s="65" t="str">
        <f t="shared" si="35"/>
        <v>-</v>
      </c>
      <c r="AL22" s="65" t="str">
        <f t="shared" si="35"/>
        <v>-</v>
      </c>
      <c r="AM22" s="65" t="str">
        <f t="shared" si="35"/>
        <v>-</v>
      </c>
      <c r="AN22" s="65" t="str">
        <f t="shared" si="35"/>
        <v>-</v>
      </c>
      <c r="AO22" s="65" t="str">
        <f t="shared" si="35"/>
        <v>-</v>
      </c>
      <c r="AP22" s="65" t="str">
        <f t="shared" si="36"/>
        <v>-</v>
      </c>
      <c r="AQ22" s="65" t="str">
        <f t="shared" si="36"/>
        <v>-</v>
      </c>
      <c r="AR22" s="65" t="str">
        <f t="shared" si="36"/>
        <v>-</v>
      </c>
      <c r="AS22" s="65" t="str">
        <f t="shared" si="36"/>
        <v>-</v>
      </c>
      <c r="AT22" s="65" t="str">
        <f t="shared" si="36"/>
        <v>-</v>
      </c>
      <c r="AU22" s="65" t="str">
        <f t="shared" si="36"/>
        <v>-</v>
      </c>
      <c r="AV22" s="65" t="str">
        <f t="shared" si="36"/>
        <v>-</v>
      </c>
      <c r="AW22" s="65" t="str">
        <f t="shared" si="36"/>
        <v>-</v>
      </c>
      <c r="AX22" s="65" t="str">
        <f t="shared" si="36"/>
        <v>-</v>
      </c>
      <c r="AY22" s="65" t="str">
        <f t="shared" si="36"/>
        <v>-</v>
      </c>
      <c r="AZ22" s="65" t="str">
        <f t="shared" si="37"/>
        <v>-</v>
      </c>
      <c r="BA22" s="65" t="str">
        <f t="shared" si="37"/>
        <v>-</v>
      </c>
      <c r="BB22" s="65" t="str">
        <f t="shared" si="37"/>
        <v>-</v>
      </c>
      <c r="BC22" s="65" t="str">
        <f t="shared" si="37"/>
        <v>-</v>
      </c>
      <c r="BD22" s="65" t="str">
        <f t="shared" si="37"/>
        <v>-</v>
      </c>
      <c r="BE22" s="65" t="str">
        <f t="shared" si="37"/>
        <v>-</v>
      </c>
      <c r="BF22" s="65" t="str">
        <f t="shared" si="37"/>
        <v>-</v>
      </c>
      <c r="BG22" s="65" t="str">
        <f t="shared" si="37"/>
        <v>-</v>
      </c>
      <c r="BH22" s="65" t="str">
        <f t="shared" si="37"/>
        <v>-</v>
      </c>
      <c r="BI22" s="65" t="str">
        <f t="shared" si="37"/>
        <v>-</v>
      </c>
      <c r="BJ22" s="65" t="str">
        <f t="shared" si="38"/>
        <v>-</v>
      </c>
      <c r="BK22" s="65" t="str">
        <f t="shared" si="38"/>
        <v>-</v>
      </c>
      <c r="BL22" s="65" t="str">
        <f t="shared" si="38"/>
        <v>-</v>
      </c>
      <c r="BM22" s="65" t="str">
        <f t="shared" si="38"/>
        <v>-</v>
      </c>
      <c r="BN22" s="65" t="str">
        <f t="shared" si="38"/>
        <v>-</v>
      </c>
      <c r="BO22" s="65" t="str">
        <f t="shared" si="38"/>
        <v>-</v>
      </c>
      <c r="BP22" s="65" t="str">
        <f t="shared" si="38"/>
        <v>-</v>
      </c>
      <c r="BQ22" s="65" t="str">
        <f t="shared" si="38"/>
        <v>-</v>
      </c>
      <c r="BR22" s="65" t="str">
        <f t="shared" si="38"/>
        <v>-</v>
      </c>
      <c r="BS22" s="65" t="str">
        <f t="shared" si="38"/>
        <v>-</v>
      </c>
      <c r="BT22" s="65" t="str">
        <f t="shared" si="39"/>
        <v>-</v>
      </c>
      <c r="BU22" s="65" t="str">
        <f t="shared" si="39"/>
        <v>-</v>
      </c>
      <c r="BV22" s="65" t="str">
        <f t="shared" si="39"/>
        <v>-</v>
      </c>
      <c r="BW22" s="65" t="str">
        <f t="shared" si="39"/>
        <v>-</v>
      </c>
      <c r="BX22" s="65" t="str">
        <f t="shared" si="39"/>
        <v>-</v>
      </c>
      <c r="BY22" s="65" t="str">
        <f t="shared" si="39"/>
        <v>-</v>
      </c>
      <c r="BZ22" s="65" t="str">
        <f t="shared" si="39"/>
        <v>-</v>
      </c>
      <c r="CA22" s="65" t="str">
        <f t="shared" si="39"/>
        <v>-</v>
      </c>
      <c r="CB22" s="65" t="str">
        <f t="shared" si="39"/>
        <v>-</v>
      </c>
      <c r="CC22" s="65" t="str">
        <f t="shared" si="39"/>
        <v>-</v>
      </c>
      <c r="CD22" s="65" t="str">
        <f t="shared" si="40"/>
        <v>-</v>
      </c>
      <c r="CE22" s="65" t="str">
        <f t="shared" si="40"/>
        <v>-</v>
      </c>
      <c r="CF22" s="65" t="str">
        <f t="shared" si="40"/>
        <v>-</v>
      </c>
      <c r="CG22" s="65" t="str">
        <f t="shared" si="40"/>
        <v>-</v>
      </c>
      <c r="CH22" s="65" t="str">
        <f t="shared" si="40"/>
        <v>-</v>
      </c>
      <c r="CI22" s="65" t="str">
        <f t="shared" si="40"/>
        <v>-</v>
      </c>
      <c r="CJ22" s="65" t="str">
        <f t="shared" si="40"/>
        <v>-</v>
      </c>
      <c r="CK22" s="65" t="str">
        <f t="shared" si="40"/>
        <v>-</v>
      </c>
      <c r="CL22" s="65" t="str">
        <f t="shared" si="40"/>
        <v>-</v>
      </c>
      <c r="CM22" s="65" t="str">
        <f t="shared" si="40"/>
        <v>-</v>
      </c>
      <c r="CN22" s="65" t="str">
        <f t="shared" si="41"/>
        <v>-</v>
      </c>
      <c r="CO22" s="65" t="str">
        <f t="shared" si="41"/>
        <v>-</v>
      </c>
      <c r="CP22" s="65" t="str">
        <f t="shared" si="41"/>
        <v>-</v>
      </c>
      <c r="CQ22" s="65" t="str">
        <f t="shared" si="41"/>
        <v>-</v>
      </c>
      <c r="CR22" s="65" t="str">
        <f t="shared" si="41"/>
        <v>-</v>
      </c>
      <c r="CS22" s="65" t="str">
        <f t="shared" si="41"/>
        <v>-</v>
      </c>
    </row>
    <row r="23" spans="1:99">
      <c r="A23" s="449"/>
      <c r="B23" s="452"/>
      <c r="C23" s="452"/>
      <c r="D23" s="466"/>
      <c r="E23" s="185" t="s">
        <v>68</v>
      </c>
      <c r="F23" s="65">
        <v>250</v>
      </c>
      <c r="G23" s="182"/>
      <c r="H23" s="162" t="e">
        <f>B18-3</f>
        <v>#VALUE!</v>
      </c>
      <c r="I23" s="66">
        <v>30</v>
      </c>
      <c r="J23" s="508"/>
      <c r="K23" s="504"/>
      <c r="L23" s="182"/>
      <c r="M23" s="182"/>
      <c r="N23" s="65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>
        <v>5</v>
      </c>
      <c r="AC23" s="66">
        <v>5</v>
      </c>
      <c r="AD23" s="66">
        <v>5</v>
      </c>
      <c r="AE23" s="66">
        <v>5</v>
      </c>
      <c r="AF23" s="66">
        <v>5</v>
      </c>
      <c r="AG23" s="66">
        <v>5</v>
      </c>
      <c r="AH23" s="66">
        <v>5</v>
      </c>
      <c r="AI23" s="66">
        <v>5</v>
      </c>
      <c r="AJ23" s="66">
        <v>5</v>
      </c>
      <c r="AK23" s="66">
        <v>5</v>
      </c>
      <c r="AL23" s="66">
        <v>5</v>
      </c>
      <c r="AM23" s="66">
        <v>5</v>
      </c>
      <c r="AN23" s="66">
        <v>5</v>
      </c>
      <c r="AO23" s="66">
        <v>5</v>
      </c>
      <c r="AP23" s="66">
        <v>5</v>
      </c>
      <c r="AQ23" s="66">
        <v>5</v>
      </c>
      <c r="AR23" s="66">
        <v>5</v>
      </c>
      <c r="AS23" s="66">
        <v>5</v>
      </c>
      <c r="AT23" s="66">
        <v>5</v>
      </c>
      <c r="AU23" s="66">
        <v>5</v>
      </c>
      <c r="AV23" s="66">
        <v>5</v>
      </c>
      <c r="AW23" s="66">
        <v>5</v>
      </c>
      <c r="AX23" s="66">
        <v>5</v>
      </c>
      <c r="AY23" s="66">
        <v>5</v>
      </c>
      <c r="AZ23" s="66">
        <v>30</v>
      </c>
      <c r="BA23" s="66">
        <v>30</v>
      </c>
      <c r="BB23" s="66">
        <v>30</v>
      </c>
      <c r="BC23" s="66">
        <v>30</v>
      </c>
      <c r="BD23" s="66">
        <v>5</v>
      </c>
      <c r="BE23" s="66">
        <v>5</v>
      </c>
      <c r="BF23" s="66"/>
      <c r="BG23" s="66"/>
      <c r="BH23" s="66"/>
      <c r="BI23" s="66"/>
      <c r="BJ23" s="66"/>
      <c r="BK23" s="65"/>
      <c r="BL23" s="65"/>
      <c r="BM23" s="65"/>
      <c r="BN23" s="65"/>
      <c r="BO23" s="65"/>
      <c r="BP23" s="65"/>
      <c r="BQ23" s="65"/>
      <c r="BR23" s="65"/>
      <c r="BS23" s="185"/>
      <c r="BT23" s="185"/>
      <c r="BU23" s="185"/>
      <c r="BV23" s="185"/>
      <c r="BW23" s="185"/>
      <c r="BX23" s="185"/>
      <c r="BY23" s="185"/>
      <c r="BZ23" s="185"/>
      <c r="CA23" s="185"/>
      <c r="CB23" s="185"/>
      <c r="CC23" s="185"/>
      <c r="CD23" s="185"/>
      <c r="CE23" s="185"/>
      <c r="CF23" s="185"/>
      <c r="CG23" s="185"/>
      <c r="CH23" s="185"/>
      <c r="CI23" s="185"/>
      <c r="CJ23" s="185"/>
      <c r="CK23" s="185"/>
      <c r="CL23" s="185"/>
      <c r="CM23" s="185"/>
      <c r="CN23" s="185"/>
      <c r="CO23" s="185"/>
      <c r="CP23" s="185"/>
      <c r="CQ23" s="185"/>
      <c r="CR23" s="185"/>
      <c r="CS23" s="185"/>
    </row>
    <row r="24" spans="1:99" hidden="1">
      <c r="B24" s="198"/>
      <c r="E24" s="199"/>
      <c r="F24" s="199"/>
      <c r="G24" s="181" t="s">
        <v>69</v>
      </c>
      <c r="H24" s="199"/>
      <c r="I24" s="224"/>
      <c r="J24" s="199"/>
      <c r="K24" s="199"/>
      <c r="L24" s="190">
        <f t="shared" ref="L24:AQ24" ca="1" si="44">SUM(L19:L23)</f>
        <v>0</v>
      </c>
      <c r="M24" s="190">
        <f t="shared" ca="1" si="44"/>
        <v>0</v>
      </c>
      <c r="N24" s="190">
        <f t="shared" ca="1" si="44"/>
        <v>0</v>
      </c>
      <c r="O24" s="190">
        <f t="shared" ca="1" si="44"/>
        <v>0</v>
      </c>
      <c r="P24" s="190">
        <f t="shared" ca="1" si="44"/>
        <v>0</v>
      </c>
      <c r="Q24" s="190">
        <f t="shared" ca="1" si="44"/>
        <v>0</v>
      </c>
      <c r="R24" s="190">
        <f t="shared" ca="1" si="44"/>
        <v>0</v>
      </c>
      <c r="S24" s="190">
        <f t="shared" ca="1" si="44"/>
        <v>0</v>
      </c>
      <c r="T24" s="190">
        <f t="shared" ca="1" si="44"/>
        <v>0</v>
      </c>
      <c r="U24" s="190">
        <f t="shared" ca="1" si="44"/>
        <v>0</v>
      </c>
      <c r="V24" s="190">
        <f t="shared" ca="1" si="44"/>
        <v>0</v>
      </c>
      <c r="W24" s="190">
        <f t="shared" ca="1" si="44"/>
        <v>0</v>
      </c>
      <c r="X24" s="190">
        <f t="shared" ca="1" si="44"/>
        <v>0</v>
      </c>
      <c r="Y24" s="190">
        <f t="shared" ca="1" si="44"/>
        <v>0</v>
      </c>
      <c r="Z24" s="190">
        <f t="shared" ca="1" si="44"/>
        <v>0</v>
      </c>
      <c r="AA24" s="190">
        <f t="shared" ca="1" si="44"/>
        <v>0</v>
      </c>
      <c r="AB24" s="190">
        <f t="shared" ca="1" si="44"/>
        <v>5</v>
      </c>
      <c r="AC24" s="190">
        <f t="shared" ca="1" si="44"/>
        <v>5</v>
      </c>
      <c r="AD24" s="190">
        <f t="shared" ca="1" si="44"/>
        <v>5</v>
      </c>
      <c r="AE24" s="190">
        <f t="shared" ca="1" si="44"/>
        <v>5</v>
      </c>
      <c r="AF24" s="190">
        <f t="shared" ca="1" si="44"/>
        <v>5</v>
      </c>
      <c r="AG24" s="190">
        <f t="shared" ca="1" si="44"/>
        <v>5</v>
      </c>
      <c r="AH24" s="190">
        <f t="shared" ca="1" si="44"/>
        <v>5</v>
      </c>
      <c r="AI24" s="190">
        <f t="shared" ca="1" si="44"/>
        <v>5</v>
      </c>
      <c r="AJ24" s="190">
        <f t="shared" ca="1" si="44"/>
        <v>5</v>
      </c>
      <c r="AK24" s="190">
        <f t="shared" ca="1" si="44"/>
        <v>5</v>
      </c>
      <c r="AL24" s="190">
        <f t="shared" ca="1" si="44"/>
        <v>5</v>
      </c>
      <c r="AM24" s="190">
        <f t="shared" ca="1" si="44"/>
        <v>5</v>
      </c>
      <c r="AN24" s="190">
        <f t="shared" ca="1" si="44"/>
        <v>5</v>
      </c>
      <c r="AO24" s="190">
        <f t="shared" ca="1" si="44"/>
        <v>5</v>
      </c>
      <c r="AP24" s="190">
        <f t="shared" ca="1" si="44"/>
        <v>5</v>
      </c>
      <c r="AQ24" s="190">
        <f t="shared" ca="1" si="44"/>
        <v>5</v>
      </c>
      <c r="AR24" s="190">
        <f t="shared" ref="AR24:BR24" ca="1" si="45">SUM(AR19:AR23)</f>
        <v>5</v>
      </c>
      <c r="AS24" s="190">
        <f t="shared" ca="1" si="45"/>
        <v>5</v>
      </c>
      <c r="AT24" s="190">
        <f t="shared" ca="1" si="45"/>
        <v>5</v>
      </c>
      <c r="AU24" s="190">
        <f t="shared" ca="1" si="45"/>
        <v>5</v>
      </c>
      <c r="AV24" s="190">
        <f t="shared" ca="1" si="45"/>
        <v>5</v>
      </c>
      <c r="AW24" s="190">
        <f t="shared" ca="1" si="45"/>
        <v>5</v>
      </c>
      <c r="AX24" s="190">
        <f t="shared" ca="1" si="45"/>
        <v>5</v>
      </c>
      <c r="AY24" s="190">
        <f t="shared" ca="1" si="45"/>
        <v>5</v>
      </c>
      <c r="AZ24" s="190">
        <f t="shared" ca="1" si="45"/>
        <v>30</v>
      </c>
      <c r="BA24" s="190">
        <f t="shared" ca="1" si="45"/>
        <v>30</v>
      </c>
      <c r="BB24" s="190">
        <f t="shared" ca="1" si="45"/>
        <v>30</v>
      </c>
      <c r="BC24" s="190">
        <f t="shared" ca="1" si="45"/>
        <v>30</v>
      </c>
      <c r="BD24" s="190">
        <f t="shared" ca="1" si="45"/>
        <v>5</v>
      </c>
      <c r="BE24" s="190">
        <f t="shared" ca="1" si="45"/>
        <v>5</v>
      </c>
      <c r="BF24" s="190">
        <f t="shared" ca="1" si="45"/>
        <v>0</v>
      </c>
      <c r="BG24" s="190">
        <f t="shared" ca="1" si="45"/>
        <v>0</v>
      </c>
      <c r="BH24" s="190">
        <f t="shared" ca="1" si="45"/>
        <v>0</v>
      </c>
      <c r="BI24" s="190">
        <f t="shared" ca="1" si="45"/>
        <v>0</v>
      </c>
      <c r="BJ24" s="190">
        <f t="shared" ca="1" si="45"/>
        <v>0</v>
      </c>
      <c r="BK24" s="190">
        <f t="shared" ca="1" si="45"/>
        <v>0</v>
      </c>
      <c r="BL24" s="190">
        <f t="shared" ca="1" si="45"/>
        <v>0</v>
      </c>
      <c r="BM24" s="190">
        <f t="shared" ca="1" si="45"/>
        <v>0</v>
      </c>
      <c r="BN24" s="190">
        <f t="shared" ca="1" si="45"/>
        <v>0</v>
      </c>
      <c r="BO24" s="190">
        <f t="shared" ca="1" si="45"/>
        <v>0</v>
      </c>
      <c r="BP24" s="190">
        <f t="shared" ca="1" si="45"/>
        <v>0</v>
      </c>
      <c r="BQ24" s="190">
        <f t="shared" ca="1" si="45"/>
        <v>0</v>
      </c>
      <c r="BR24" s="190">
        <f t="shared" ca="1" si="45"/>
        <v>0</v>
      </c>
      <c r="BS24" s="185"/>
      <c r="BT24" s="185"/>
      <c r="BU24" s="185"/>
      <c r="BV24" s="185"/>
      <c r="BW24" s="185"/>
      <c r="BX24" s="185"/>
      <c r="BY24" s="185"/>
      <c r="BZ24" s="185"/>
      <c r="CA24" s="185"/>
      <c r="CB24" s="185"/>
      <c r="CC24" s="185"/>
      <c r="CD24" s="185"/>
      <c r="CE24" s="185"/>
      <c r="CF24" s="185"/>
      <c r="CG24" s="185"/>
      <c r="CH24" s="185"/>
      <c r="CI24" s="185"/>
      <c r="CJ24" s="185"/>
      <c r="CK24" s="185"/>
      <c r="CL24" s="185"/>
      <c r="CM24" s="185"/>
      <c r="CN24" s="185"/>
      <c r="CO24" s="185"/>
      <c r="CP24" s="185"/>
      <c r="CQ24" s="185"/>
      <c r="CR24" s="185"/>
      <c r="CS24" s="185"/>
      <c r="CT24" s="225">
        <f ca="1">AVERAGE(L24:BG24)</f>
        <v>5.208333333333333</v>
      </c>
      <c r="CU24" s="206">
        <f ca="1">MAX(L24:BG24)</f>
        <v>30</v>
      </c>
    </row>
    <row r="25" spans="1:99">
      <c r="B25" s="198"/>
      <c r="F25" s="53"/>
      <c r="G25" s="183"/>
      <c r="I25" s="53"/>
      <c r="J25" s="53"/>
      <c r="K25" s="5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  <c r="BA25" s="183"/>
      <c r="BB25" s="183"/>
      <c r="BC25" s="183"/>
      <c r="BD25" s="183"/>
      <c r="BE25" s="183"/>
      <c r="BF25" s="183"/>
      <c r="BG25" s="183"/>
      <c r="BH25" s="183"/>
      <c r="BI25" s="183"/>
      <c r="BS25" s="119"/>
    </row>
    <row r="26" spans="1:99" s="180" customFormat="1" ht="27">
      <c r="A26" s="464" t="s">
        <v>72</v>
      </c>
      <c r="B26" s="509">
        <f>'BESS 12'!F141</f>
        <v>46240</v>
      </c>
      <c r="C26" s="509">
        <f>'BESS 12'!G141</f>
        <v>46245</v>
      </c>
      <c r="D26" s="226"/>
      <c r="E26" s="226" t="s">
        <v>10</v>
      </c>
      <c r="F26" s="217" t="s">
        <v>58</v>
      </c>
      <c r="G26" s="217" t="s">
        <v>78</v>
      </c>
      <c r="H26" s="217" t="s">
        <v>87</v>
      </c>
      <c r="I26" s="217" t="s">
        <v>59</v>
      </c>
      <c r="J26" s="216" t="s">
        <v>80</v>
      </c>
      <c r="K26" s="216" t="s">
        <v>62</v>
      </c>
      <c r="L26" s="218">
        <v>46195</v>
      </c>
      <c r="M26" s="218">
        <v>46196</v>
      </c>
      <c r="N26" s="218">
        <v>46197</v>
      </c>
      <c r="O26" s="218">
        <f t="shared" ref="O26:AT26" si="46">N26+1</f>
        <v>46198</v>
      </c>
      <c r="P26" s="218">
        <f t="shared" si="46"/>
        <v>46199</v>
      </c>
      <c r="Q26" s="218">
        <f t="shared" si="46"/>
        <v>46200</v>
      </c>
      <c r="R26" s="218">
        <f t="shared" si="46"/>
        <v>46201</v>
      </c>
      <c r="S26" s="218">
        <f t="shared" si="46"/>
        <v>46202</v>
      </c>
      <c r="T26" s="218">
        <f t="shared" si="46"/>
        <v>46203</v>
      </c>
      <c r="U26" s="218">
        <f t="shared" si="46"/>
        <v>46204</v>
      </c>
      <c r="V26" s="218">
        <f t="shared" si="46"/>
        <v>46205</v>
      </c>
      <c r="W26" s="218">
        <f t="shared" si="46"/>
        <v>46206</v>
      </c>
      <c r="X26" s="218">
        <f t="shared" si="46"/>
        <v>46207</v>
      </c>
      <c r="Y26" s="218">
        <f t="shared" si="46"/>
        <v>46208</v>
      </c>
      <c r="Z26" s="218">
        <f t="shared" si="46"/>
        <v>46209</v>
      </c>
      <c r="AA26" s="218">
        <f t="shared" si="46"/>
        <v>46210</v>
      </c>
      <c r="AB26" s="218">
        <f t="shared" si="46"/>
        <v>46211</v>
      </c>
      <c r="AC26" s="218">
        <f t="shared" si="46"/>
        <v>46212</v>
      </c>
      <c r="AD26" s="218">
        <f t="shared" si="46"/>
        <v>46213</v>
      </c>
      <c r="AE26" s="218">
        <f t="shared" si="46"/>
        <v>46214</v>
      </c>
      <c r="AF26" s="218">
        <f t="shared" si="46"/>
        <v>46215</v>
      </c>
      <c r="AG26" s="218">
        <f t="shared" si="46"/>
        <v>46216</v>
      </c>
      <c r="AH26" s="218">
        <f t="shared" si="46"/>
        <v>46217</v>
      </c>
      <c r="AI26" s="218">
        <f t="shared" si="46"/>
        <v>46218</v>
      </c>
      <c r="AJ26" s="218">
        <f t="shared" si="46"/>
        <v>46219</v>
      </c>
      <c r="AK26" s="218">
        <f t="shared" si="46"/>
        <v>46220</v>
      </c>
      <c r="AL26" s="218">
        <f t="shared" si="46"/>
        <v>46221</v>
      </c>
      <c r="AM26" s="218">
        <f t="shared" si="46"/>
        <v>46222</v>
      </c>
      <c r="AN26" s="218">
        <f t="shared" si="46"/>
        <v>46223</v>
      </c>
      <c r="AO26" s="218">
        <f t="shared" si="46"/>
        <v>46224</v>
      </c>
      <c r="AP26" s="218">
        <f t="shared" si="46"/>
        <v>46225</v>
      </c>
      <c r="AQ26" s="218">
        <f t="shared" si="46"/>
        <v>46226</v>
      </c>
      <c r="AR26" s="218">
        <f t="shared" si="46"/>
        <v>46227</v>
      </c>
      <c r="AS26" s="218">
        <f t="shared" si="46"/>
        <v>46228</v>
      </c>
      <c r="AT26" s="218">
        <f t="shared" si="46"/>
        <v>46229</v>
      </c>
      <c r="AU26" s="218">
        <f t="shared" ref="AU26:BZ26" si="47">AT26+1</f>
        <v>46230</v>
      </c>
      <c r="AV26" s="218">
        <f t="shared" si="47"/>
        <v>46231</v>
      </c>
      <c r="AW26" s="218">
        <f t="shared" si="47"/>
        <v>46232</v>
      </c>
      <c r="AX26" s="218">
        <f t="shared" si="47"/>
        <v>46233</v>
      </c>
      <c r="AY26" s="218">
        <f t="shared" si="47"/>
        <v>46234</v>
      </c>
      <c r="AZ26" s="218">
        <f t="shared" si="47"/>
        <v>46235</v>
      </c>
      <c r="BA26" s="218">
        <f t="shared" si="47"/>
        <v>46236</v>
      </c>
      <c r="BB26" s="218">
        <f t="shared" si="47"/>
        <v>46237</v>
      </c>
      <c r="BC26" s="218">
        <f t="shared" si="47"/>
        <v>46238</v>
      </c>
      <c r="BD26" s="218">
        <f t="shared" si="47"/>
        <v>46239</v>
      </c>
      <c r="BE26" s="218">
        <f t="shared" si="47"/>
        <v>46240</v>
      </c>
      <c r="BF26" s="218">
        <f t="shared" si="47"/>
        <v>46241</v>
      </c>
      <c r="BG26" s="218">
        <f t="shared" si="47"/>
        <v>46242</v>
      </c>
      <c r="BH26" s="218">
        <f t="shared" si="47"/>
        <v>46243</v>
      </c>
      <c r="BI26" s="218">
        <f t="shared" si="47"/>
        <v>46244</v>
      </c>
      <c r="BJ26" s="218">
        <f t="shared" si="47"/>
        <v>46245</v>
      </c>
      <c r="BK26" s="218">
        <f t="shared" si="47"/>
        <v>46246</v>
      </c>
      <c r="BL26" s="218">
        <f t="shared" si="47"/>
        <v>46247</v>
      </c>
      <c r="BM26" s="218">
        <f t="shared" si="47"/>
        <v>46248</v>
      </c>
      <c r="BN26" s="218">
        <f t="shared" si="47"/>
        <v>46249</v>
      </c>
      <c r="BO26" s="218">
        <f t="shared" si="47"/>
        <v>46250</v>
      </c>
      <c r="BP26" s="218">
        <f t="shared" si="47"/>
        <v>46251</v>
      </c>
      <c r="BQ26" s="218">
        <f t="shared" si="47"/>
        <v>46252</v>
      </c>
      <c r="BR26" s="218">
        <f t="shared" si="47"/>
        <v>46253</v>
      </c>
      <c r="BS26" s="218">
        <f t="shared" si="47"/>
        <v>46254</v>
      </c>
      <c r="BT26" s="218">
        <f t="shared" si="47"/>
        <v>46255</v>
      </c>
      <c r="BU26" s="218">
        <f t="shared" si="47"/>
        <v>46256</v>
      </c>
      <c r="BV26" s="218">
        <f t="shared" si="47"/>
        <v>46257</v>
      </c>
      <c r="BW26" s="218">
        <f t="shared" si="47"/>
        <v>46258</v>
      </c>
      <c r="BX26" s="218">
        <f t="shared" si="47"/>
        <v>46259</v>
      </c>
      <c r="BY26" s="218">
        <f t="shared" si="47"/>
        <v>46260</v>
      </c>
      <c r="BZ26" s="218">
        <f t="shared" si="47"/>
        <v>46261</v>
      </c>
      <c r="CA26" s="218">
        <f t="shared" ref="CA26:CS26" si="48">BZ26+1</f>
        <v>46262</v>
      </c>
      <c r="CB26" s="218">
        <f t="shared" si="48"/>
        <v>46263</v>
      </c>
      <c r="CC26" s="218">
        <f t="shared" si="48"/>
        <v>46264</v>
      </c>
      <c r="CD26" s="218">
        <f t="shared" si="48"/>
        <v>46265</v>
      </c>
      <c r="CE26" s="218">
        <f t="shared" si="48"/>
        <v>46266</v>
      </c>
      <c r="CF26" s="218">
        <f t="shared" si="48"/>
        <v>46267</v>
      </c>
      <c r="CG26" s="218">
        <f t="shared" si="48"/>
        <v>46268</v>
      </c>
      <c r="CH26" s="218">
        <f t="shared" si="48"/>
        <v>46269</v>
      </c>
      <c r="CI26" s="218">
        <f t="shared" si="48"/>
        <v>46270</v>
      </c>
      <c r="CJ26" s="218">
        <f t="shared" si="48"/>
        <v>46271</v>
      </c>
      <c r="CK26" s="218">
        <f t="shared" si="48"/>
        <v>46272</v>
      </c>
      <c r="CL26" s="218">
        <f t="shared" si="48"/>
        <v>46273</v>
      </c>
      <c r="CM26" s="218">
        <f t="shared" si="48"/>
        <v>46274</v>
      </c>
      <c r="CN26" s="218">
        <f t="shared" si="48"/>
        <v>46275</v>
      </c>
      <c r="CO26" s="218">
        <f t="shared" si="48"/>
        <v>46276</v>
      </c>
      <c r="CP26" s="218">
        <f t="shared" si="48"/>
        <v>46277</v>
      </c>
      <c r="CQ26" s="218">
        <f t="shared" si="48"/>
        <v>46278</v>
      </c>
      <c r="CR26" s="218">
        <f t="shared" si="48"/>
        <v>46279</v>
      </c>
      <c r="CS26" s="218">
        <f t="shared" si="48"/>
        <v>46280</v>
      </c>
    </row>
    <row r="27" spans="1:99">
      <c r="A27" s="464"/>
      <c r="B27" s="509"/>
      <c r="C27" s="509"/>
      <c r="D27" s="467">
        <f>'BESS 12'!H141</f>
        <v>46248</v>
      </c>
      <c r="E27" s="185" t="s">
        <v>64</v>
      </c>
      <c r="F27" s="66" t="e">
        <f>SUM('BESS 12'!S154:S161,'BESS 12'!S163)</f>
        <v>#VALUE!</v>
      </c>
      <c r="G27" s="182">
        <f ca="1">TODAY()</f>
        <v>46233</v>
      </c>
      <c r="H27" s="162">
        <f ca="1">G27+10</f>
        <v>46243</v>
      </c>
      <c r="I27" s="66">
        <f ca="1">H27-G27</f>
        <v>10</v>
      </c>
      <c r="J27" s="506">
        <f ca="1">AVERAGEIF(L32:CS32,"&gt;0")</f>
        <v>15</v>
      </c>
      <c r="K27" s="506" t="e">
        <f ca="1">MAX(L32:CS32)</f>
        <v>#VALUE!</v>
      </c>
      <c r="L27" s="65" t="str">
        <f t="shared" ref="L27:U30" ca="1" si="49">IF(AND(L$2&gt;=$G27,L$2&lt;($G27+$I27)),ROUND($F27/$I27,0),"-")</f>
        <v>-</v>
      </c>
      <c r="M27" s="65" t="str">
        <f t="shared" ca="1" si="49"/>
        <v>-</v>
      </c>
      <c r="N27" s="65" t="str">
        <f t="shared" ca="1" si="49"/>
        <v>-</v>
      </c>
      <c r="O27" s="65" t="str">
        <f t="shared" ca="1" si="49"/>
        <v>-</v>
      </c>
      <c r="P27" s="65" t="str">
        <f t="shared" ca="1" si="49"/>
        <v>-</v>
      </c>
      <c r="Q27" s="65" t="str">
        <f t="shared" ca="1" si="49"/>
        <v>-</v>
      </c>
      <c r="R27" s="65" t="str">
        <f t="shared" ca="1" si="49"/>
        <v>-</v>
      </c>
      <c r="S27" s="65" t="str">
        <f t="shared" ca="1" si="49"/>
        <v>-</v>
      </c>
      <c r="T27" s="65" t="str">
        <f t="shared" ca="1" si="49"/>
        <v>-</v>
      </c>
      <c r="U27" s="65" t="str">
        <f t="shared" ca="1" si="49"/>
        <v>-</v>
      </c>
      <c r="V27" s="65" t="str">
        <f t="shared" ref="V27:AE30" ca="1" si="50">IF(AND(V$2&gt;=$G27,V$2&lt;($G27+$I27)),ROUND($F27/$I27,0),"-")</f>
        <v>-</v>
      </c>
      <c r="W27" s="65" t="str">
        <f t="shared" ca="1" si="50"/>
        <v>-</v>
      </c>
      <c r="X27" s="65" t="str">
        <f t="shared" ca="1" si="50"/>
        <v>-</v>
      </c>
      <c r="Y27" s="65" t="str">
        <f t="shared" ca="1" si="50"/>
        <v>-</v>
      </c>
      <c r="Z27" s="65" t="str">
        <f t="shared" ca="1" si="50"/>
        <v>-</v>
      </c>
      <c r="AA27" s="65" t="str">
        <f t="shared" ca="1" si="50"/>
        <v>-</v>
      </c>
      <c r="AB27" s="65" t="str">
        <f t="shared" ca="1" si="50"/>
        <v>-</v>
      </c>
      <c r="AC27" s="65" t="str">
        <f t="shared" ca="1" si="50"/>
        <v>-</v>
      </c>
      <c r="AD27" s="65" t="str">
        <f t="shared" ca="1" si="50"/>
        <v>-</v>
      </c>
      <c r="AE27" s="65" t="str">
        <f t="shared" ca="1" si="50"/>
        <v>-</v>
      </c>
      <c r="AF27" s="65" t="str">
        <f t="shared" ref="AF27:AO30" ca="1" si="51">IF(AND(AF$2&gt;=$G27,AF$2&lt;($G27+$I27)),ROUND($F27/$I27,0),"-")</f>
        <v>-</v>
      </c>
      <c r="AG27" s="65" t="str">
        <f t="shared" ca="1" si="51"/>
        <v>-</v>
      </c>
      <c r="AH27" s="65" t="str">
        <f t="shared" ca="1" si="51"/>
        <v>-</v>
      </c>
      <c r="AI27" s="65" t="str">
        <f t="shared" ca="1" si="51"/>
        <v>-</v>
      </c>
      <c r="AJ27" s="65" t="str">
        <f t="shared" ca="1" si="51"/>
        <v>-</v>
      </c>
      <c r="AK27" s="65" t="str">
        <f t="shared" ca="1" si="51"/>
        <v>-</v>
      </c>
      <c r="AL27" s="65" t="str">
        <f t="shared" ca="1" si="51"/>
        <v>-</v>
      </c>
      <c r="AM27" s="65" t="str">
        <f t="shared" ca="1" si="51"/>
        <v>-</v>
      </c>
      <c r="AN27" s="65" t="str">
        <f t="shared" ca="1" si="51"/>
        <v>-</v>
      </c>
      <c r="AO27" s="65" t="str">
        <f t="shared" ca="1" si="51"/>
        <v>-</v>
      </c>
      <c r="AP27" s="65" t="str">
        <f t="shared" ref="AP27:AY30" ca="1" si="52">IF(AND(AP$2&gt;=$G27,AP$2&lt;($G27+$I27)),ROUND($F27/$I27,0),"-")</f>
        <v>-</v>
      </c>
      <c r="AQ27" s="65" t="str">
        <f t="shared" ca="1" si="52"/>
        <v>-</v>
      </c>
      <c r="AR27" s="65" t="str">
        <f t="shared" ca="1" si="52"/>
        <v>-</v>
      </c>
      <c r="AS27" s="65" t="str">
        <f t="shared" ca="1" si="52"/>
        <v>-</v>
      </c>
      <c r="AT27" s="65" t="str">
        <f t="shared" ca="1" si="52"/>
        <v>-</v>
      </c>
      <c r="AU27" s="65" t="str">
        <f t="shared" ca="1" si="52"/>
        <v>-</v>
      </c>
      <c r="AV27" s="65" t="str">
        <f t="shared" ca="1" si="52"/>
        <v>-</v>
      </c>
      <c r="AW27" s="65" t="str">
        <f t="shared" ca="1" si="52"/>
        <v>-</v>
      </c>
      <c r="AX27" s="65" t="e">
        <f t="shared" ca="1" si="52"/>
        <v>#VALUE!</v>
      </c>
      <c r="AY27" s="65" t="e">
        <f t="shared" ca="1" si="52"/>
        <v>#VALUE!</v>
      </c>
      <c r="AZ27" s="65" t="e">
        <f t="shared" ref="AZ27:BI30" ca="1" si="53">IF(AND(AZ$2&gt;=$G27,AZ$2&lt;($G27+$I27)),ROUND($F27/$I27,0),"-")</f>
        <v>#VALUE!</v>
      </c>
      <c r="BA27" s="65" t="e">
        <f t="shared" ca="1" si="53"/>
        <v>#VALUE!</v>
      </c>
      <c r="BB27" s="65" t="e">
        <f t="shared" ca="1" si="53"/>
        <v>#VALUE!</v>
      </c>
      <c r="BC27" s="65" t="e">
        <f t="shared" ca="1" si="53"/>
        <v>#VALUE!</v>
      </c>
      <c r="BD27" s="65" t="e">
        <f t="shared" ca="1" si="53"/>
        <v>#VALUE!</v>
      </c>
      <c r="BE27" s="65" t="e">
        <f t="shared" ca="1" si="53"/>
        <v>#VALUE!</v>
      </c>
      <c r="BF27" s="65" t="e">
        <f t="shared" ca="1" si="53"/>
        <v>#VALUE!</v>
      </c>
      <c r="BG27" s="65" t="e">
        <f t="shared" ca="1" si="53"/>
        <v>#VALUE!</v>
      </c>
      <c r="BH27" s="65" t="str">
        <f t="shared" ca="1" si="53"/>
        <v>-</v>
      </c>
      <c r="BI27" s="65" t="str">
        <f t="shared" ca="1" si="53"/>
        <v>-</v>
      </c>
      <c r="BJ27" s="65" t="str">
        <f t="shared" ref="BJ27:BS30" ca="1" si="54">IF(AND(BJ$2&gt;=$G27,BJ$2&lt;($G27+$I27)),ROUND($F27/$I27,0),"-")</f>
        <v>-</v>
      </c>
      <c r="BK27" s="65" t="str">
        <f t="shared" ca="1" si="54"/>
        <v>-</v>
      </c>
      <c r="BL27" s="65" t="str">
        <f t="shared" ca="1" si="54"/>
        <v>-</v>
      </c>
      <c r="BM27" s="65" t="str">
        <f t="shared" ca="1" si="54"/>
        <v>-</v>
      </c>
      <c r="BN27" s="65" t="str">
        <f t="shared" ca="1" si="54"/>
        <v>-</v>
      </c>
      <c r="BO27" s="65" t="str">
        <f t="shared" ca="1" si="54"/>
        <v>-</v>
      </c>
      <c r="BP27" s="65" t="str">
        <f t="shared" ca="1" si="54"/>
        <v>-</v>
      </c>
      <c r="BQ27" s="65" t="str">
        <f t="shared" ca="1" si="54"/>
        <v>-</v>
      </c>
      <c r="BR27" s="65" t="str">
        <f t="shared" ca="1" si="54"/>
        <v>-</v>
      </c>
      <c r="BS27" s="65" t="str">
        <f t="shared" ca="1" si="54"/>
        <v>-</v>
      </c>
      <c r="BT27" s="65" t="str">
        <f t="shared" ref="BT27:CC30" ca="1" si="55">IF(AND(BT$2&gt;=$G27,BT$2&lt;($G27+$I27)),ROUND($F27/$I27,0),"-")</f>
        <v>-</v>
      </c>
      <c r="BU27" s="65" t="str">
        <f t="shared" ca="1" si="55"/>
        <v>-</v>
      </c>
      <c r="BV27" s="65" t="str">
        <f t="shared" ca="1" si="55"/>
        <v>-</v>
      </c>
      <c r="BW27" s="65" t="str">
        <f t="shared" ca="1" si="55"/>
        <v>-</v>
      </c>
      <c r="BX27" s="65" t="str">
        <f t="shared" ca="1" si="55"/>
        <v>-</v>
      </c>
      <c r="BY27" s="65" t="str">
        <f t="shared" ca="1" si="55"/>
        <v>-</v>
      </c>
      <c r="BZ27" s="65" t="str">
        <f t="shared" ca="1" si="55"/>
        <v>-</v>
      </c>
      <c r="CA27" s="65" t="str">
        <f t="shared" ca="1" si="55"/>
        <v>-</v>
      </c>
      <c r="CB27" s="65" t="str">
        <f t="shared" ca="1" si="55"/>
        <v>-</v>
      </c>
      <c r="CC27" s="65" t="str">
        <f t="shared" ca="1" si="55"/>
        <v>-</v>
      </c>
      <c r="CD27" s="65" t="str">
        <f t="shared" ref="CD27:CM30" ca="1" si="56">IF(AND(CD$2&gt;=$G27,CD$2&lt;($G27+$I27)),ROUND($F27/$I27,0),"-")</f>
        <v>-</v>
      </c>
      <c r="CE27" s="65" t="str">
        <f t="shared" ca="1" si="56"/>
        <v>-</v>
      </c>
      <c r="CF27" s="65" t="str">
        <f t="shared" ca="1" si="56"/>
        <v>-</v>
      </c>
      <c r="CG27" s="65" t="str">
        <f t="shared" ca="1" si="56"/>
        <v>-</v>
      </c>
      <c r="CH27" s="65" t="str">
        <f t="shared" ca="1" si="56"/>
        <v>-</v>
      </c>
      <c r="CI27" s="65" t="str">
        <f t="shared" ca="1" si="56"/>
        <v>-</v>
      </c>
      <c r="CJ27" s="65" t="str">
        <f t="shared" ca="1" si="56"/>
        <v>-</v>
      </c>
      <c r="CK27" s="65" t="str">
        <f t="shared" ca="1" si="56"/>
        <v>-</v>
      </c>
      <c r="CL27" s="65" t="str">
        <f t="shared" ca="1" si="56"/>
        <v>-</v>
      </c>
      <c r="CM27" s="65" t="str">
        <f t="shared" ca="1" si="56"/>
        <v>-</v>
      </c>
      <c r="CN27" s="65" t="str">
        <f t="shared" ref="CN27:CS30" ca="1" si="57">IF(AND(CN$2&gt;=$G27,CN$2&lt;($G27+$I27)),ROUND($F27/$I27,0),"-")</f>
        <v>-</v>
      </c>
      <c r="CO27" s="65" t="str">
        <f t="shared" ca="1" si="57"/>
        <v>-</v>
      </c>
      <c r="CP27" s="65" t="str">
        <f t="shared" ca="1" si="57"/>
        <v>-</v>
      </c>
      <c r="CQ27" s="65" t="str">
        <f t="shared" ca="1" si="57"/>
        <v>-</v>
      </c>
      <c r="CR27" s="65" t="str">
        <f t="shared" ca="1" si="57"/>
        <v>-</v>
      </c>
      <c r="CS27" s="65" t="str">
        <f t="shared" ca="1" si="57"/>
        <v>-</v>
      </c>
    </row>
    <row r="28" spans="1:99">
      <c r="A28" s="464"/>
      <c r="B28" s="509"/>
      <c r="C28" s="509"/>
      <c r="D28" s="466"/>
      <c r="E28" s="185" t="s">
        <v>65</v>
      </c>
      <c r="F28" s="66" t="e">
        <f>SUM('BESS 12'!S164,'BESS 12'!S166:S167,'BESS 12'!S170:S172)</f>
        <v>#VALUE!</v>
      </c>
      <c r="G28" s="182">
        <f t="shared" ref="G28:G29" ca="1" si="58">TODAY()</f>
        <v>46233</v>
      </c>
      <c r="H28" s="162">
        <f>MAX('BESS 12'!O164,'BESS 12'!O166:O167,'BESS 12'!O170:O172)</f>
        <v>46232</v>
      </c>
      <c r="I28" s="66">
        <f ca="1">H28-G28</f>
        <v>-1</v>
      </c>
      <c r="J28" s="507"/>
      <c r="K28" s="476"/>
      <c r="L28" s="65" t="str">
        <f t="shared" ca="1" si="49"/>
        <v>-</v>
      </c>
      <c r="M28" s="65" t="str">
        <f t="shared" ca="1" si="49"/>
        <v>-</v>
      </c>
      <c r="N28" s="65" t="str">
        <f t="shared" ca="1" si="49"/>
        <v>-</v>
      </c>
      <c r="O28" s="65" t="str">
        <f t="shared" ca="1" si="49"/>
        <v>-</v>
      </c>
      <c r="P28" s="65" t="str">
        <f t="shared" ca="1" si="49"/>
        <v>-</v>
      </c>
      <c r="Q28" s="65" t="str">
        <f t="shared" ca="1" si="49"/>
        <v>-</v>
      </c>
      <c r="R28" s="65" t="str">
        <f t="shared" ca="1" si="49"/>
        <v>-</v>
      </c>
      <c r="S28" s="65" t="str">
        <f t="shared" ca="1" si="49"/>
        <v>-</v>
      </c>
      <c r="T28" s="65" t="str">
        <f t="shared" ca="1" si="49"/>
        <v>-</v>
      </c>
      <c r="U28" s="65" t="str">
        <f t="shared" ca="1" si="49"/>
        <v>-</v>
      </c>
      <c r="V28" s="65" t="str">
        <f t="shared" ca="1" si="50"/>
        <v>-</v>
      </c>
      <c r="W28" s="65" t="str">
        <f t="shared" ca="1" si="50"/>
        <v>-</v>
      </c>
      <c r="X28" s="65" t="str">
        <f t="shared" ca="1" si="50"/>
        <v>-</v>
      </c>
      <c r="Y28" s="65" t="str">
        <f t="shared" ca="1" si="50"/>
        <v>-</v>
      </c>
      <c r="Z28" s="65" t="str">
        <f t="shared" ca="1" si="50"/>
        <v>-</v>
      </c>
      <c r="AA28" s="65" t="str">
        <f t="shared" ca="1" si="50"/>
        <v>-</v>
      </c>
      <c r="AB28" s="65" t="str">
        <f t="shared" ca="1" si="50"/>
        <v>-</v>
      </c>
      <c r="AC28" s="65" t="str">
        <f t="shared" ca="1" si="50"/>
        <v>-</v>
      </c>
      <c r="AD28" s="65" t="str">
        <f t="shared" ca="1" si="50"/>
        <v>-</v>
      </c>
      <c r="AE28" s="65" t="str">
        <f t="shared" ca="1" si="50"/>
        <v>-</v>
      </c>
      <c r="AF28" s="65" t="str">
        <f t="shared" ca="1" si="51"/>
        <v>-</v>
      </c>
      <c r="AG28" s="65" t="str">
        <f t="shared" ca="1" si="51"/>
        <v>-</v>
      </c>
      <c r="AH28" s="65" t="str">
        <f t="shared" ca="1" si="51"/>
        <v>-</v>
      </c>
      <c r="AI28" s="65" t="str">
        <f t="shared" ca="1" si="51"/>
        <v>-</v>
      </c>
      <c r="AJ28" s="65" t="str">
        <f t="shared" ca="1" si="51"/>
        <v>-</v>
      </c>
      <c r="AK28" s="65" t="str">
        <f t="shared" ca="1" si="51"/>
        <v>-</v>
      </c>
      <c r="AL28" s="65" t="str">
        <f t="shared" ca="1" si="51"/>
        <v>-</v>
      </c>
      <c r="AM28" s="65" t="str">
        <f t="shared" ca="1" si="51"/>
        <v>-</v>
      </c>
      <c r="AN28" s="65" t="str">
        <f t="shared" ca="1" si="51"/>
        <v>-</v>
      </c>
      <c r="AO28" s="65" t="str">
        <f t="shared" ca="1" si="51"/>
        <v>-</v>
      </c>
      <c r="AP28" s="65" t="str">
        <f t="shared" ca="1" si="52"/>
        <v>-</v>
      </c>
      <c r="AQ28" s="65" t="str">
        <f t="shared" ca="1" si="52"/>
        <v>-</v>
      </c>
      <c r="AR28" s="65" t="str">
        <f t="shared" ca="1" si="52"/>
        <v>-</v>
      </c>
      <c r="AS28" s="65" t="str">
        <f t="shared" ca="1" si="52"/>
        <v>-</v>
      </c>
      <c r="AT28" s="65" t="str">
        <f t="shared" ca="1" si="52"/>
        <v>-</v>
      </c>
      <c r="AU28" s="65" t="str">
        <f t="shared" ca="1" si="52"/>
        <v>-</v>
      </c>
      <c r="AV28" s="65" t="str">
        <f t="shared" ca="1" si="52"/>
        <v>-</v>
      </c>
      <c r="AW28" s="65" t="str">
        <f t="shared" ca="1" si="52"/>
        <v>-</v>
      </c>
      <c r="AX28" s="65" t="str">
        <f t="shared" ca="1" si="52"/>
        <v>-</v>
      </c>
      <c r="AY28" s="65" t="str">
        <f t="shared" ca="1" si="52"/>
        <v>-</v>
      </c>
      <c r="AZ28" s="65" t="str">
        <f t="shared" ca="1" si="53"/>
        <v>-</v>
      </c>
      <c r="BA28" s="65" t="str">
        <f t="shared" ca="1" si="53"/>
        <v>-</v>
      </c>
      <c r="BB28" s="65" t="str">
        <f t="shared" ca="1" si="53"/>
        <v>-</v>
      </c>
      <c r="BC28" s="65" t="str">
        <f t="shared" ca="1" si="53"/>
        <v>-</v>
      </c>
      <c r="BD28" s="65" t="str">
        <f t="shared" ca="1" si="53"/>
        <v>-</v>
      </c>
      <c r="BE28" s="65" t="str">
        <f t="shared" ca="1" si="53"/>
        <v>-</v>
      </c>
      <c r="BF28" s="65" t="str">
        <f t="shared" ca="1" si="53"/>
        <v>-</v>
      </c>
      <c r="BG28" s="65" t="str">
        <f t="shared" ca="1" si="53"/>
        <v>-</v>
      </c>
      <c r="BH28" s="65" t="str">
        <f t="shared" ca="1" si="53"/>
        <v>-</v>
      </c>
      <c r="BI28" s="65" t="str">
        <f t="shared" ca="1" si="53"/>
        <v>-</v>
      </c>
      <c r="BJ28" s="65" t="str">
        <f t="shared" ca="1" si="54"/>
        <v>-</v>
      </c>
      <c r="BK28" s="65" t="str">
        <f t="shared" ca="1" si="54"/>
        <v>-</v>
      </c>
      <c r="BL28" s="65" t="str">
        <f t="shared" ca="1" si="54"/>
        <v>-</v>
      </c>
      <c r="BM28" s="65" t="str">
        <f t="shared" ca="1" si="54"/>
        <v>-</v>
      </c>
      <c r="BN28" s="65" t="str">
        <f t="shared" ca="1" si="54"/>
        <v>-</v>
      </c>
      <c r="BO28" s="65" t="str">
        <f t="shared" ca="1" si="54"/>
        <v>-</v>
      </c>
      <c r="BP28" s="65" t="str">
        <f t="shared" ca="1" si="54"/>
        <v>-</v>
      </c>
      <c r="BQ28" s="65" t="str">
        <f t="shared" ca="1" si="54"/>
        <v>-</v>
      </c>
      <c r="BR28" s="65" t="str">
        <f t="shared" ca="1" si="54"/>
        <v>-</v>
      </c>
      <c r="BS28" s="65" t="str">
        <f t="shared" ca="1" si="54"/>
        <v>-</v>
      </c>
      <c r="BT28" s="65" t="str">
        <f t="shared" ca="1" si="55"/>
        <v>-</v>
      </c>
      <c r="BU28" s="65" t="str">
        <f t="shared" ca="1" si="55"/>
        <v>-</v>
      </c>
      <c r="BV28" s="65" t="str">
        <f t="shared" ca="1" si="55"/>
        <v>-</v>
      </c>
      <c r="BW28" s="65" t="str">
        <f t="shared" ca="1" si="55"/>
        <v>-</v>
      </c>
      <c r="BX28" s="65" t="str">
        <f t="shared" ca="1" si="55"/>
        <v>-</v>
      </c>
      <c r="BY28" s="65" t="str">
        <f t="shared" ca="1" si="55"/>
        <v>-</v>
      </c>
      <c r="BZ28" s="65" t="str">
        <f t="shared" ca="1" si="55"/>
        <v>-</v>
      </c>
      <c r="CA28" s="65" t="str">
        <f t="shared" ca="1" si="55"/>
        <v>-</v>
      </c>
      <c r="CB28" s="65" t="str">
        <f t="shared" ca="1" si="55"/>
        <v>-</v>
      </c>
      <c r="CC28" s="65" t="str">
        <f t="shared" ca="1" si="55"/>
        <v>-</v>
      </c>
      <c r="CD28" s="65" t="str">
        <f t="shared" ca="1" si="56"/>
        <v>-</v>
      </c>
      <c r="CE28" s="65" t="str">
        <f t="shared" ca="1" si="56"/>
        <v>-</v>
      </c>
      <c r="CF28" s="65" t="str">
        <f t="shared" ca="1" si="56"/>
        <v>-</v>
      </c>
      <c r="CG28" s="65" t="str">
        <f t="shared" ca="1" si="56"/>
        <v>-</v>
      </c>
      <c r="CH28" s="65" t="str">
        <f t="shared" ca="1" si="56"/>
        <v>-</v>
      </c>
      <c r="CI28" s="65" t="str">
        <f t="shared" ca="1" si="56"/>
        <v>-</v>
      </c>
      <c r="CJ28" s="65" t="str">
        <f t="shared" ca="1" si="56"/>
        <v>-</v>
      </c>
      <c r="CK28" s="65" t="str">
        <f t="shared" ca="1" si="56"/>
        <v>-</v>
      </c>
      <c r="CL28" s="65" t="str">
        <f t="shared" ca="1" si="56"/>
        <v>-</v>
      </c>
      <c r="CM28" s="65" t="str">
        <f t="shared" ca="1" si="56"/>
        <v>-</v>
      </c>
      <c r="CN28" s="65" t="str">
        <f t="shared" ca="1" si="57"/>
        <v>-</v>
      </c>
      <c r="CO28" s="65" t="str">
        <f t="shared" ca="1" si="57"/>
        <v>-</v>
      </c>
      <c r="CP28" s="65" t="str">
        <f t="shared" ca="1" si="57"/>
        <v>-</v>
      </c>
      <c r="CQ28" s="65" t="str">
        <f t="shared" ca="1" si="57"/>
        <v>-</v>
      </c>
      <c r="CR28" s="65" t="str">
        <f t="shared" ca="1" si="57"/>
        <v>-</v>
      </c>
      <c r="CS28" s="65" t="str">
        <f t="shared" ca="1" si="57"/>
        <v>-</v>
      </c>
    </row>
    <row r="29" spans="1:99">
      <c r="A29" s="464"/>
      <c r="B29" s="509"/>
      <c r="C29" s="509"/>
      <c r="D29" s="466"/>
      <c r="E29" s="185" t="s">
        <v>66</v>
      </c>
      <c r="F29" s="66" t="e">
        <f>SUM('BESS 12'!S165,'BESS 12'!S169,'BESS 12'!S173:S174,461)</f>
        <v>#VALUE!</v>
      </c>
      <c r="G29" s="182">
        <f t="shared" ca="1" si="58"/>
        <v>46233</v>
      </c>
      <c r="H29" s="162">
        <f>MAX('BESS 12'!O165,'BESS 12'!O167:O168,'BESS 12'!O171:O173)</f>
        <v>46235</v>
      </c>
      <c r="I29" s="66">
        <f t="shared" ref="I29:I30" ca="1" si="59">H29-G29</f>
        <v>2</v>
      </c>
      <c r="J29" s="507"/>
      <c r="K29" s="476"/>
      <c r="L29" s="65" t="str">
        <f t="shared" ca="1" si="49"/>
        <v>-</v>
      </c>
      <c r="M29" s="65" t="str">
        <f t="shared" ca="1" si="49"/>
        <v>-</v>
      </c>
      <c r="N29" s="65" t="str">
        <f t="shared" ca="1" si="49"/>
        <v>-</v>
      </c>
      <c r="O29" s="65" t="str">
        <f t="shared" ca="1" si="49"/>
        <v>-</v>
      </c>
      <c r="P29" s="65" t="str">
        <f t="shared" ca="1" si="49"/>
        <v>-</v>
      </c>
      <c r="Q29" s="65" t="str">
        <f t="shared" ca="1" si="49"/>
        <v>-</v>
      </c>
      <c r="R29" s="65" t="str">
        <f t="shared" ca="1" si="49"/>
        <v>-</v>
      </c>
      <c r="S29" s="65" t="str">
        <f t="shared" ca="1" si="49"/>
        <v>-</v>
      </c>
      <c r="T29" s="65" t="str">
        <f t="shared" ca="1" si="49"/>
        <v>-</v>
      </c>
      <c r="U29" s="65" t="str">
        <f t="shared" ca="1" si="49"/>
        <v>-</v>
      </c>
      <c r="V29" s="65" t="str">
        <f t="shared" ca="1" si="50"/>
        <v>-</v>
      </c>
      <c r="W29" s="65" t="str">
        <f t="shared" ca="1" si="50"/>
        <v>-</v>
      </c>
      <c r="X29" s="65" t="str">
        <f t="shared" ca="1" si="50"/>
        <v>-</v>
      </c>
      <c r="Y29" s="65" t="str">
        <f t="shared" ca="1" si="50"/>
        <v>-</v>
      </c>
      <c r="Z29" s="65" t="str">
        <f t="shared" ca="1" si="50"/>
        <v>-</v>
      </c>
      <c r="AA29" s="65" t="str">
        <f t="shared" ca="1" si="50"/>
        <v>-</v>
      </c>
      <c r="AB29" s="65" t="str">
        <f t="shared" ca="1" si="50"/>
        <v>-</v>
      </c>
      <c r="AC29" s="65" t="str">
        <f t="shared" ca="1" si="50"/>
        <v>-</v>
      </c>
      <c r="AD29" s="65" t="str">
        <f t="shared" ca="1" si="50"/>
        <v>-</v>
      </c>
      <c r="AE29" s="65" t="str">
        <f t="shared" ca="1" si="50"/>
        <v>-</v>
      </c>
      <c r="AF29" s="65" t="str">
        <f t="shared" ca="1" si="51"/>
        <v>-</v>
      </c>
      <c r="AG29" s="65" t="str">
        <f t="shared" ca="1" si="51"/>
        <v>-</v>
      </c>
      <c r="AH29" s="65" t="str">
        <f t="shared" ca="1" si="51"/>
        <v>-</v>
      </c>
      <c r="AI29" s="65" t="str">
        <f t="shared" ca="1" si="51"/>
        <v>-</v>
      </c>
      <c r="AJ29" s="65" t="str">
        <f t="shared" ca="1" si="51"/>
        <v>-</v>
      </c>
      <c r="AK29" s="65" t="str">
        <f t="shared" ca="1" si="51"/>
        <v>-</v>
      </c>
      <c r="AL29" s="65" t="str">
        <f t="shared" ca="1" si="51"/>
        <v>-</v>
      </c>
      <c r="AM29" s="65" t="str">
        <f t="shared" ca="1" si="51"/>
        <v>-</v>
      </c>
      <c r="AN29" s="65" t="str">
        <f t="shared" ca="1" si="51"/>
        <v>-</v>
      </c>
      <c r="AO29" s="65" t="str">
        <f t="shared" ca="1" si="51"/>
        <v>-</v>
      </c>
      <c r="AP29" s="65" t="str">
        <f t="shared" ca="1" si="52"/>
        <v>-</v>
      </c>
      <c r="AQ29" s="65" t="str">
        <f t="shared" ca="1" si="52"/>
        <v>-</v>
      </c>
      <c r="AR29" s="65" t="str">
        <f t="shared" ca="1" si="52"/>
        <v>-</v>
      </c>
      <c r="AS29" s="65" t="str">
        <f t="shared" ca="1" si="52"/>
        <v>-</v>
      </c>
      <c r="AT29" s="65" t="str">
        <f t="shared" ca="1" si="52"/>
        <v>-</v>
      </c>
      <c r="AU29" s="65" t="str">
        <f t="shared" ca="1" si="52"/>
        <v>-</v>
      </c>
      <c r="AV29" s="65" t="str">
        <f t="shared" ca="1" si="52"/>
        <v>-</v>
      </c>
      <c r="AW29" s="65" t="str">
        <f t="shared" ca="1" si="52"/>
        <v>-</v>
      </c>
      <c r="AX29" s="65" t="e">
        <f t="shared" ca="1" si="52"/>
        <v>#VALUE!</v>
      </c>
      <c r="AY29" s="65" t="e">
        <f t="shared" ca="1" si="52"/>
        <v>#VALUE!</v>
      </c>
      <c r="AZ29" s="65" t="str">
        <f t="shared" ca="1" si="53"/>
        <v>-</v>
      </c>
      <c r="BA29" s="65" t="str">
        <f t="shared" ca="1" si="53"/>
        <v>-</v>
      </c>
      <c r="BB29" s="65" t="str">
        <f t="shared" ca="1" si="53"/>
        <v>-</v>
      </c>
      <c r="BC29" s="65" t="str">
        <f t="shared" ca="1" si="53"/>
        <v>-</v>
      </c>
      <c r="BD29" s="65" t="str">
        <f t="shared" ca="1" si="53"/>
        <v>-</v>
      </c>
      <c r="BE29" s="65" t="str">
        <f t="shared" ca="1" si="53"/>
        <v>-</v>
      </c>
      <c r="BF29" s="65" t="str">
        <f t="shared" ca="1" si="53"/>
        <v>-</v>
      </c>
      <c r="BG29" s="65" t="str">
        <f t="shared" ca="1" si="53"/>
        <v>-</v>
      </c>
      <c r="BH29" s="65" t="str">
        <f t="shared" ca="1" si="53"/>
        <v>-</v>
      </c>
      <c r="BI29" s="65" t="str">
        <f t="shared" ca="1" si="53"/>
        <v>-</v>
      </c>
      <c r="BJ29" s="65" t="str">
        <f t="shared" ca="1" si="54"/>
        <v>-</v>
      </c>
      <c r="BK29" s="65" t="str">
        <f t="shared" ca="1" si="54"/>
        <v>-</v>
      </c>
      <c r="BL29" s="65" t="str">
        <f t="shared" ca="1" si="54"/>
        <v>-</v>
      </c>
      <c r="BM29" s="65" t="str">
        <f t="shared" ca="1" si="54"/>
        <v>-</v>
      </c>
      <c r="BN29" s="65" t="str">
        <f t="shared" ca="1" si="54"/>
        <v>-</v>
      </c>
      <c r="BO29" s="65" t="str">
        <f t="shared" ca="1" si="54"/>
        <v>-</v>
      </c>
      <c r="BP29" s="65" t="str">
        <f t="shared" ca="1" si="54"/>
        <v>-</v>
      </c>
      <c r="BQ29" s="65" t="str">
        <f t="shared" ca="1" si="54"/>
        <v>-</v>
      </c>
      <c r="BR29" s="65" t="str">
        <f t="shared" ca="1" si="54"/>
        <v>-</v>
      </c>
      <c r="BS29" s="65" t="str">
        <f t="shared" ca="1" si="54"/>
        <v>-</v>
      </c>
      <c r="BT29" s="65" t="str">
        <f t="shared" ca="1" si="55"/>
        <v>-</v>
      </c>
      <c r="BU29" s="65" t="str">
        <f t="shared" ca="1" si="55"/>
        <v>-</v>
      </c>
      <c r="BV29" s="65" t="str">
        <f t="shared" ca="1" si="55"/>
        <v>-</v>
      </c>
      <c r="BW29" s="65" t="str">
        <f t="shared" ca="1" si="55"/>
        <v>-</v>
      </c>
      <c r="BX29" s="65" t="str">
        <f t="shared" ca="1" si="55"/>
        <v>-</v>
      </c>
      <c r="BY29" s="65" t="str">
        <f t="shared" ca="1" si="55"/>
        <v>-</v>
      </c>
      <c r="BZ29" s="65" t="str">
        <f t="shared" ca="1" si="55"/>
        <v>-</v>
      </c>
      <c r="CA29" s="65" t="str">
        <f t="shared" ca="1" si="55"/>
        <v>-</v>
      </c>
      <c r="CB29" s="65" t="str">
        <f t="shared" ca="1" si="55"/>
        <v>-</v>
      </c>
      <c r="CC29" s="65" t="str">
        <f t="shared" ca="1" si="55"/>
        <v>-</v>
      </c>
      <c r="CD29" s="65" t="str">
        <f t="shared" ca="1" si="56"/>
        <v>-</v>
      </c>
      <c r="CE29" s="65" t="str">
        <f t="shared" ca="1" si="56"/>
        <v>-</v>
      </c>
      <c r="CF29" s="65" t="str">
        <f t="shared" ca="1" si="56"/>
        <v>-</v>
      </c>
      <c r="CG29" s="65" t="str">
        <f t="shared" ca="1" si="56"/>
        <v>-</v>
      </c>
      <c r="CH29" s="65" t="str">
        <f t="shared" ca="1" si="56"/>
        <v>-</v>
      </c>
      <c r="CI29" s="65" t="str">
        <f t="shared" ca="1" si="56"/>
        <v>-</v>
      </c>
      <c r="CJ29" s="65" t="str">
        <f t="shared" ca="1" si="56"/>
        <v>-</v>
      </c>
      <c r="CK29" s="65" t="str">
        <f t="shared" ca="1" si="56"/>
        <v>-</v>
      </c>
      <c r="CL29" s="65" t="str">
        <f t="shared" ca="1" si="56"/>
        <v>-</v>
      </c>
      <c r="CM29" s="65" t="str">
        <f t="shared" ca="1" si="56"/>
        <v>-</v>
      </c>
      <c r="CN29" s="65" t="str">
        <f t="shared" ca="1" si="57"/>
        <v>-</v>
      </c>
      <c r="CO29" s="65" t="str">
        <f t="shared" ca="1" si="57"/>
        <v>-</v>
      </c>
      <c r="CP29" s="65" t="str">
        <f t="shared" ca="1" si="57"/>
        <v>-</v>
      </c>
      <c r="CQ29" s="65" t="str">
        <f t="shared" ca="1" si="57"/>
        <v>-</v>
      </c>
      <c r="CR29" s="65" t="str">
        <f t="shared" ca="1" si="57"/>
        <v>-</v>
      </c>
      <c r="CS29" s="65" t="str">
        <f t="shared" ca="1" si="57"/>
        <v>-</v>
      </c>
    </row>
    <row r="30" spans="1:99">
      <c r="A30" s="464"/>
      <c r="B30" s="509"/>
      <c r="C30" s="509"/>
      <c r="D30" s="466"/>
      <c r="E30" s="185" t="s">
        <v>67</v>
      </c>
      <c r="F30" s="66" t="e">
        <f>SUM('BESS 12'!S176:S185)</f>
        <v>#VALUE!</v>
      </c>
      <c r="G30" s="182">
        <f>H30-14</f>
        <v>46223</v>
      </c>
      <c r="H30" s="162">
        <f>B26-3</f>
        <v>46237</v>
      </c>
      <c r="I30" s="66">
        <f t="shared" si="59"/>
        <v>14</v>
      </c>
      <c r="J30" s="507"/>
      <c r="K30" s="476"/>
      <c r="L30" s="65" t="str">
        <f t="shared" si="49"/>
        <v>-</v>
      </c>
      <c r="M30" s="65" t="str">
        <f t="shared" si="49"/>
        <v>-</v>
      </c>
      <c r="N30" s="65" t="str">
        <f t="shared" si="49"/>
        <v>-</v>
      </c>
      <c r="O30" s="65" t="str">
        <f t="shared" si="49"/>
        <v>-</v>
      </c>
      <c r="P30" s="65" t="str">
        <f t="shared" si="49"/>
        <v>-</v>
      </c>
      <c r="Q30" s="65" t="str">
        <f t="shared" si="49"/>
        <v>-</v>
      </c>
      <c r="R30" s="65" t="str">
        <f t="shared" si="49"/>
        <v>-</v>
      </c>
      <c r="S30" s="65" t="str">
        <f t="shared" si="49"/>
        <v>-</v>
      </c>
      <c r="T30" s="65" t="str">
        <f t="shared" si="49"/>
        <v>-</v>
      </c>
      <c r="U30" s="65" t="str">
        <f t="shared" si="49"/>
        <v>-</v>
      </c>
      <c r="V30" s="65" t="str">
        <f t="shared" si="50"/>
        <v>-</v>
      </c>
      <c r="W30" s="65" t="str">
        <f t="shared" si="50"/>
        <v>-</v>
      </c>
      <c r="X30" s="65" t="str">
        <f t="shared" si="50"/>
        <v>-</v>
      </c>
      <c r="Y30" s="65" t="str">
        <f t="shared" si="50"/>
        <v>-</v>
      </c>
      <c r="Z30" s="65" t="str">
        <f t="shared" si="50"/>
        <v>-</v>
      </c>
      <c r="AA30" s="65" t="str">
        <f t="shared" si="50"/>
        <v>-</v>
      </c>
      <c r="AB30" s="65" t="str">
        <f t="shared" si="50"/>
        <v>-</v>
      </c>
      <c r="AC30" s="65" t="str">
        <f t="shared" si="50"/>
        <v>-</v>
      </c>
      <c r="AD30" s="65" t="str">
        <f t="shared" si="50"/>
        <v>-</v>
      </c>
      <c r="AE30" s="65" t="str">
        <f t="shared" si="50"/>
        <v>-</v>
      </c>
      <c r="AF30" s="65" t="str">
        <f t="shared" si="51"/>
        <v>-</v>
      </c>
      <c r="AG30" s="65" t="str">
        <f t="shared" si="51"/>
        <v>-</v>
      </c>
      <c r="AH30" s="65" t="str">
        <f t="shared" si="51"/>
        <v>-</v>
      </c>
      <c r="AI30" s="65" t="str">
        <f t="shared" si="51"/>
        <v>-</v>
      </c>
      <c r="AJ30" s="65" t="str">
        <f t="shared" si="51"/>
        <v>-</v>
      </c>
      <c r="AK30" s="65" t="str">
        <f t="shared" si="51"/>
        <v>-</v>
      </c>
      <c r="AL30" s="65" t="str">
        <f t="shared" si="51"/>
        <v>-</v>
      </c>
      <c r="AM30" s="65" t="str">
        <f t="shared" si="51"/>
        <v>-</v>
      </c>
      <c r="AN30" s="65" t="e">
        <f t="shared" si="51"/>
        <v>#VALUE!</v>
      </c>
      <c r="AO30" s="65" t="e">
        <f t="shared" si="51"/>
        <v>#VALUE!</v>
      </c>
      <c r="AP30" s="65" t="e">
        <f t="shared" si="52"/>
        <v>#VALUE!</v>
      </c>
      <c r="AQ30" s="65" t="e">
        <f t="shared" si="52"/>
        <v>#VALUE!</v>
      </c>
      <c r="AR30" s="65" t="e">
        <f t="shared" si="52"/>
        <v>#VALUE!</v>
      </c>
      <c r="AS30" s="65" t="e">
        <f t="shared" si="52"/>
        <v>#VALUE!</v>
      </c>
      <c r="AT30" s="65" t="e">
        <f t="shared" si="52"/>
        <v>#VALUE!</v>
      </c>
      <c r="AU30" s="65" t="e">
        <f t="shared" si="52"/>
        <v>#VALUE!</v>
      </c>
      <c r="AV30" s="65" t="e">
        <f t="shared" si="52"/>
        <v>#VALUE!</v>
      </c>
      <c r="AW30" s="65" t="e">
        <f t="shared" si="52"/>
        <v>#VALUE!</v>
      </c>
      <c r="AX30" s="65" t="e">
        <f t="shared" si="52"/>
        <v>#VALUE!</v>
      </c>
      <c r="AY30" s="65" t="e">
        <f t="shared" si="52"/>
        <v>#VALUE!</v>
      </c>
      <c r="AZ30" s="65" t="e">
        <f t="shared" si="53"/>
        <v>#VALUE!</v>
      </c>
      <c r="BA30" s="65" t="e">
        <f t="shared" si="53"/>
        <v>#VALUE!</v>
      </c>
      <c r="BB30" s="65" t="str">
        <f t="shared" si="53"/>
        <v>-</v>
      </c>
      <c r="BC30" s="65" t="str">
        <f t="shared" si="53"/>
        <v>-</v>
      </c>
      <c r="BD30" s="65" t="str">
        <f t="shared" si="53"/>
        <v>-</v>
      </c>
      <c r="BE30" s="65" t="str">
        <f t="shared" si="53"/>
        <v>-</v>
      </c>
      <c r="BF30" s="65" t="str">
        <f t="shared" si="53"/>
        <v>-</v>
      </c>
      <c r="BG30" s="65" t="str">
        <f t="shared" si="53"/>
        <v>-</v>
      </c>
      <c r="BH30" s="65" t="str">
        <f t="shared" si="53"/>
        <v>-</v>
      </c>
      <c r="BI30" s="65" t="str">
        <f t="shared" si="53"/>
        <v>-</v>
      </c>
      <c r="BJ30" s="65" t="str">
        <f t="shared" si="54"/>
        <v>-</v>
      </c>
      <c r="BK30" s="65" t="str">
        <f t="shared" si="54"/>
        <v>-</v>
      </c>
      <c r="BL30" s="65" t="str">
        <f t="shared" si="54"/>
        <v>-</v>
      </c>
      <c r="BM30" s="65" t="str">
        <f t="shared" si="54"/>
        <v>-</v>
      </c>
      <c r="BN30" s="65" t="str">
        <f t="shared" si="54"/>
        <v>-</v>
      </c>
      <c r="BO30" s="65" t="str">
        <f t="shared" si="54"/>
        <v>-</v>
      </c>
      <c r="BP30" s="65" t="str">
        <f t="shared" si="54"/>
        <v>-</v>
      </c>
      <c r="BQ30" s="65" t="str">
        <f t="shared" si="54"/>
        <v>-</v>
      </c>
      <c r="BR30" s="65" t="str">
        <f t="shared" si="54"/>
        <v>-</v>
      </c>
      <c r="BS30" s="65" t="str">
        <f t="shared" si="54"/>
        <v>-</v>
      </c>
      <c r="BT30" s="65" t="str">
        <f t="shared" si="55"/>
        <v>-</v>
      </c>
      <c r="BU30" s="65" t="str">
        <f t="shared" si="55"/>
        <v>-</v>
      </c>
      <c r="BV30" s="65" t="str">
        <f t="shared" si="55"/>
        <v>-</v>
      </c>
      <c r="BW30" s="65" t="str">
        <f t="shared" si="55"/>
        <v>-</v>
      </c>
      <c r="BX30" s="65" t="str">
        <f t="shared" si="55"/>
        <v>-</v>
      </c>
      <c r="BY30" s="65" t="str">
        <f t="shared" si="55"/>
        <v>-</v>
      </c>
      <c r="BZ30" s="65" t="str">
        <f t="shared" si="55"/>
        <v>-</v>
      </c>
      <c r="CA30" s="65" t="str">
        <f t="shared" si="55"/>
        <v>-</v>
      </c>
      <c r="CB30" s="65" t="str">
        <f t="shared" si="55"/>
        <v>-</v>
      </c>
      <c r="CC30" s="65" t="str">
        <f t="shared" si="55"/>
        <v>-</v>
      </c>
      <c r="CD30" s="65" t="str">
        <f t="shared" si="56"/>
        <v>-</v>
      </c>
      <c r="CE30" s="65" t="str">
        <f t="shared" si="56"/>
        <v>-</v>
      </c>
      <c r="CF30" s="65" t="str">
        <f t="shared" si="56"/>
        <v>-</v>
      </c>
      <c r="CG30" s="65" t="str">
        <f t="shared" si="56"/>
        <v>-</v>
      </c>
      <c r="CH30" s="65" t="str">
        <f t="shared" si="56"/>
        <v>-</v>
      </c>
      <c r="CI30" s="65" t="str">
        <f t="shared" si="56"/>
        <v>-</v>
      </c>
      <c r="CJ30" s="65" t="str">
        <f t="shared" si="56"/>
        <v>-</v>
      </c>
      <c r="CK30" s="65" t="str">
        <f t="shared" si="56"/>
        <v>-</v>
      </c>
      <c r="CL30" s="65" t="str">
        <f t="shared" si="56"/>
        <v>-</v>
      </c>
      <c r="CM30" s="65" t="str">
        <f t="shared" si="56"/>
        <v>-</v>
      </c>
      <c r="CN30" s="65" t="str">
        <f t="shared" si="57"/>
        <v>-</v>
      </c>
      <c r="CO30" s="65" t="str">
        <f t="shared" si="57"/>
        <v>-</v>
      </c>
      <c r="CP30" s="65" t="str">
        <f t="shared" si="57"/>
        <v>-</v>
      </c>
      <c r="CQ30" s="65" t="str">
        <f t="shared" si="57"/>
        <v>-</v>
      </c>
      <c r="CR30" s="65" t="str">
        <f t="shared" si="57"/>
        <v>-</v>
      </c>
      <c r="CS30" s="65" t="str">
        <f t="shared" si="57"/>
        <v>-</v>
      </c>
    </row>
    <row r="31" spans="1:99">
      <c r="A31" s="464"/>
      <c r="B31" s="509"/>
      <c r="C31" s="509"/>
      <c r="D31" s="466"/>
      <c r="E31" s="185" t="s">
        <v>68</v>
      </c>
      <c r="F31" s="65">
        <v>250</v>
      </c>
      <c r="G31" s="182"/>
      <c r="H31" s="162">
        <f>B26-3</f>
        <v>46237</v>
      </c>
      <c r="I31" s="65">
        <v>30</v>
      </c>
      <c r="J31" s="508"/>
      <c r="K31" s="504"/>
      <c r="L31" s="182"/>
      <c r="M31" s="182"/>
      <c r="N31" s="65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>
        <v>5</v>
      </c>
      <c r="AN31" s="66">
        <v>5</v>
      </c>
      <c r="AO31" s="66">
        <v>5</v>
      </c>
      <c r="AP31" s="66">
        <v>5</v>
      </c>
      <c r="AQ31" s="66">
        <v>5</v>
      </c>
      <c r="AR31" s="66">
        <v>5</v>
      </c>
      <c r="AS31" s="66">
        <v>5</v>
      </c>
      <c r="AT31" s="66">
        <v>5</v>
      </c>
      <c r="AU31" s="66">
        <v>5</v>
      </c>
      <c r="AV31" s="66">
        <v>5</v>
      </c>
      <c r="AW31" s="66">
        <v>5</v>
      </c>
      <c r="AX31" s="66">
        <v>5</v>
      </c>
      <c r="AY31" s="66">
        <v>5</v>
      </c>
      <c r="AZ31" s="66">
        <v>5</v>
      </c>
      <c r="BA31" s="66">
        <v>5</v>
      </c>
      <c r="BB31" s="66">
        <v>5</v>
      </c>
      <c r="BC31" s="66">
        <v>5</v>
      </c>
      <c r="BD31" s="66">
        <v>5</v>
      </c>
      <c r="BE31" s="66">
        <v>5</v>
      </c>
      <c r="BF31" s="66">
        <v>5</v>
      </c>
      <c r="BG31" s="66">
        <v>5</v>
      </c>
      <c r="BH31" s="66">
        <v>5</v>
      </c>
      <c r="BI31" s="66">
        <v>5</v>
      </c>
      <c r="BJ31" s="65">
        <v>5</v>
      </c>
      <c r="BK31" s="66">
        <v>30</v>
      </c>
      <c r="BL31" s="66">
        <v>30</v>
      </c>
      <c r="BM31" s="66">
        <v>30</v>
      </c>
      <c r="BN31" s="66">
        <v>30</v>
      </c>
      <c r="BO31" s="66">
        <v>5</v>
      </c>
      <c r="BP31" s="66">
        <v>5</v>
      </c>
      <c r="BQ31" s="66"/>
      <c r="BR31" s="66"/>
      <c r="BS31" s="66"/>
      <c r="BT31" s="66"/>
      <c r="BU31" s="66"/>
      <c r="BV31" s="185"/>
      <c r="BW31" s="185"/>
      <c r="BX31" s="185"/>
      <c r="BY31" s="185"/>
      <c r="BZ31" s="185"/>
      <c r="CA31" s="185"/>
      <c r="CB31" s="185"/>
      <c r="CC31" s="185"/>
      <c r="CD31" s="185"/>
      <c r="CE31" s="185"/>
      <c r="CF31" s="185"/>
      <c r="CG31" s="185"/>
      <c r="CH31" s="185"/>
      <c r="CI31" s="185"/>
      <c r="CJ31" s="185"/>
      <c r="CK31" s="185"/>
      <c r="CL31" s="185"/>
      <c r="CM31" s="185"/>
      <c r="CN31" s="185"/>
      <c r="CO31" s="185"/>
      <c r="CP31" s="185"/>
      <c r="CQ31" s="185"/>
      <c r="CR31" s="185"/>
      <c r="CS31" s="185"/>
    </row>
    <row r="32" spans="1:99" hidden="1">
      <c r="B32" s="198"/>
      <c r="E32" s="199"/>
      <c r="F32" s="199"/>
      <c r="G32" s="181" t="s">
        <v>69</v>
      </c>
      <c r="H32" s="199"/>
      <c r="I32" s="224"/>
      <c r="J32" s="199"/>
      <c r="K32" s="199"/>
      <c r="L32" s="190">
        <f t="shared" ref="L32:AQ32" ca="1" si="60">SUM(L27:L31)</f>
        <v>0</v>
      </c>
      <c r="M32" s="190">
        <f t="shared" ca="1" si="60"/>
        <v>0</v>
      </c>
      <c r="N32" s="190">
        <f t="shared" ca="1" si="60"/>
        <v>0</v>
      </c>
      <c r="O32" s="190">
        <f t="shared" ca="1" si="60"/>
        <v>0</v>
      </c>
      <c r="P32" s="190">
        <f t="shared" ca="1" si="60"/>
        <v>0</v>
      </c>
      <c r="Q32" s="190">
        <f t="shared" ca="1" si="60"/>
        <v>0</v>
      </c>
      <c r="R32" s="190">
        <f t="shared" ca="1" si="60"/>
        <v>0</v>
      </c>
      <c r="S32" s="190">
        <f t="shared" ca="1" si="60"/>
        <v>0</v>
      </c>
      <c r="T32" s="190">
        <f t="shared" ca="1" si="60"/>
        <v>0</v>
      </c>
      <c r="U32" s="190">
        <f t="shared" ca="1" si="60"/>
        <v>0</v>
      </c>
      <c r="V32" s="190">
        <f t="shared" ca="1" si="60"/>
        <v>0</v>
      </c>
      <c r="W32" s="190">
        <f t="shared" ca="1" si="60"/>
        <v>0</v>
      </c>
      <c r="X32" s="190">
        <f t="shared" ca="1" si="60"/>
        <v>0</v>
      </c>
      <c r="Y32" s="190">
        <f t="shared" ca="1" si="60"/>
        <v>0</v>
      </c>
      <c r="Z32" s="190">
        <f t="shared" ca="1" si="60"/>
        <v>0</v>
      </c>
      <c r="AA32" s="190">
        <f t="shared" ca="1" si="60"/>
        <v>0</v>
      </c>
      <c r="AB32" s="190">
        <f t="shared" ca="1" si="60"/>
        <v>0</v>
      </c>
      <c r="AC32" s="190">
        <f t="shared" ca="1" si="60"/>
        <v>0</v>
      </c>
      <c r="AD32" s="190">
        <f t="shared" ca="1" si="60"/>
        <v>0</v>
      </c>
      <c r="AE32" s="190">
        <f t="shared" ca="1" si="60"/>
        <v>0</v>
      </c>
      <c r="AF32" s="190">
        <f t="shared" ca="1" si="60"/>
        <v>0</v>
      </c>
      <c r="AG32" s="190">
        <f t="shared" ca="1" si="60"/>
        <v>0</v>
      </c>
      <c r="AH32" s="190">
        <f t="shared" ca="1" si="60"/>
        <v>0</v>
      </c>
      <c r="AI32" s="190">
        <f t="shared" ca="1" si="60"/>
        <v>0</v>
      </c>
      <c r="AJ32" s="190">
        <f t="shared" ca="1" si="60"/>
        <v>0</v>
      </c>
      <c r="AK32" s="190">
        <f t="shared" ca="1" si="60"/>
        <v>0</v>
      </c>
      <c r="AL32" s="190">
        <f t="shared" ca="1" si="60"/>
        <v>0</v>
      </c>
      <c r="AM32" s="190">
        <f t="shared" ca="1" si="60"/>
        <v>5</v>
      </c>
      <c r="AN32" s="190" t="e">
        <f t="shared" ca="1" si="60"/>
        <v>#VALUE!</v>
      </c>
      <c r="AO32" s="190" t="e">
        <f t="shared" ca="1" si="60"/>
        <v>#VALUE!</v>
      </c>
      <c r="AP32" s="190" t="e">
        <f t="shared" ca="1" si="60"/>
        <v>#VALUE!</v>
      </c>
      <c r="AQ32" s="190" t="e">
        <f t="shared" ca="1" si="60"/>
        <v>#VALUE!</v>
      </c>
      <c r="AR32" s="190" t="e">
        <f t="shared" ref="AR32:BT32" ca="1" si="61">SUM(AR27:AR31)</f>
        <v>#VALUE!</v>
      </c>
      <c r="AS32" s="190" t="e">
        <f t="shared" ca="1" si="61"/>
        <v>#VALUE!</v>
      </c>
      <c r="AT32" s="190" t="e">
        <f t="shared" ca="1" si="61"/>
        <v>#VALUE!</v>
      </c>
      <c r="AU32" s="190" t="e">
        <f t="shared" ca="1" si="61"/>
        <v>#VALUE!</v>
      </c>
      <c r="AV32" s="190" t="e">
        <f t="shared" ca="1" si="61"/>
        <v>#VALUE!</v>
      </c>
      <c r="AW32" s="190" t="e">
        <f t="shared" ca="1" si="61"/>
        <v>#VALUE!</v>
      </c>
      <c r="AX32" s="190" t="e">
        <f t="shared" ca="1" si="61"/>
        <v>#VALUE!</v>
      </c>
      <c r="AY32" s="190" t="e">
        <f t="shared" ca="1" si="61"/>
        <v>#VALUE!</v>
      </c>
      <c r="AZ32" s="190" t="e">
        <f t="shared" ca="1" si="61"/>
        <v>#VALUE!</v>
      </c>
      <c r="BA32" s="190" t="e">
        <f t="shared" ca="1" si="61"/>
        <v>#VALUE!</v>
      </c>
      <c r="BB32" s="190" t="e">
        <f t="shared" ca="1" si="61"/>
        <v>#VALUE!</v>
      </c>
      <c r="BC32" s="190" t="e">
        <f t="shared" ca="1" si="61"/>
        <v>#VALUE!</v>
      </c>
      <c r="BD32" s="190" t="e">
        <f t="shared" ca="1" si="61"/>
        <v>#VALUE!</v>
      </c>
      <c r="BE32" s="190" t="e">
        <f t="shared" ca="1" si="61"/>
        <v>#VALUE!</v>
      </c>
      <c r="BF32" s="190" t="e">
        <f t="shared" ca="1" si="61"/>
        <v>#VALUE!</v>
      </c>
      <c r="BG32" s="190" t="e">
        <f t="shared" ca="1" si="61"/>
        <v>#VALUE!</v>
      </c>
      <c r="BH32" s="190">
        <f t="shared" ca="1" si="61"/>
        <v>5</v>
      </c>
      <c r="BI32" s="190">
        <f t="shared" ca="1" si="61"/>
        <v>5</v>
      </c>
      <c r="BJ32" s="190">
        <f t="shared" ca="1" si="61"/>
        <v>5</v>
      </c>
      <c r="BK32" s="190">
        <f t="shared" ca="1" si="61"/>
        <v>30</v>
      </c>
      <c r="BL32" s="190">
        <f t="shared" ca="1" si="61"/>
        <v>30</v>
      </c>
      <c r="BM32" s="190">
        <f t="shared" ca="1" si="61"/>
        <v>30</v>
      </c>
      <c r="BN32" s="190">
        <f t="shared" ca="1" si="61"/>
        <v>30</v>
      </c>
      <c r="BO32" s="190">
        <f t="shared" ca="1" si="61"/>
        <v>5</v>
      </c>
      <c r="BP32" s="190">
        <f t="shared" ca="1" si="61"/>
        <v>5</v>
      </c>
      <c r="BQ32" s="190">
        <f t="shared" ca="1" si="61"/>
        <v>0</v>
      </c>
      <c r="BR32" s="190">
        <f t="shared" ca="1" si="61"/>
        <v>0</v>
      </c>
      <c r="BS32" s="190">
        <f t="shared" ca="1" si="61"/>
        <v>0</v>
      </c>
      <c r="BT32" s="190">
        <f t="shared" ca="1" si="61"/>
        <v>0</v>
      </c>
      <c r="BU32" s="185"/>
      <c r="BV32" s="185"/>
      <c r="BW32" s="185"/>
      <c r="BX32" s="185"/>
      <c r="BY32" s="185"/>
      <c r="BZ32" s="185"/>
      <c r="CA32" s="185"/>
      <c r="CB32" s="185"/>
      <c r="CC32" s="185"/>
      <c r="CD32" s="185"/>
      <c r="CE32" s="185"/>
      <c r="CF32" s="185"/>
      <c r="CG32" s="185"/>
      <c r="CH32" s="185"/>
      <c r="CI32" s="185"/>
      <c r="CJ32" s="185"/>
      <c r="CK32" s="185"/>
      <c r="CL32" s="185"/>
      <c r="CM32" s="185"/>
      <c r="CN32" s="185"/>
      <c r="CO32" s="185"/>
      <c r="CP32" s="185"/>
      <c r="CQ32" s="185"/>
      <c r="CR32" s="185"/>
      <c r="CS32" s="185"/>
      <c r="CT32" s="225" t="e">
        <f ca="1">AVERAGE(S32:BT32)</f>
        <v>#VALUE!</v>
      </c>
      <c r="CU32" s="206" t="e">
        <f ca="1">MAX(L32:BG32)</f>
        <v>#VALUE!</v>
      </c>
    </row>
    <row r="34" spans="1:122" s="180" customFormat="1" ht="27">
      <c r="A34" s="464" t="s">
        <v>73</v>
      </c>
      <c r="B34" s="509">
        <f>'BESS 12'!F186</f>
        <v>46241</v>
      </c>
      <c r="C34" s="509">
        <f>'BESS 12'!G186</f>
        <v>46246</v>
      </c>
      <c r="D34" s="226"/>
      <c r="E34" s="226" t="s">
        <v>10</v>
      </c>
      <c r="F34" s="217" t="s">
        <v>58</v>
      </c>
      <c r="G34" s="217" t="s">
        <v>78</v>
      </c>
      <c r="H34" s="217" t="s">
        <v>87</v>
      </c>
      <c r="I34" s="217" t="s">
        <v>59</v>
      </c>
      <c r="J34" s="216" t="s">
        <v>80</v>
      </c>
      <c r="K34" s="216" t="s">
        <v>62</v>
      </c>
      <c r="L34" s="218">
        <v>46195</v>
      </c>
      <c r="M34" s="218">
        <v>46196</v>
      </c>
      <c r="N34" s="218">
        <v>46197</v>
      </c>
      <c r="O34" s="218">
        <f t="shared" ref="O34:AT34" si="62">N34+1</f>
        <v>46198</v>
      </c>
      <c r="P34" s="218">
        <f t="shared" si="62"/>
        <v>46199</v>
      </c>
      <c r="Q34" s="218">
        <f t="shared" si="62"/>
        <v>46200</v>
      </c>
      <c r="R34" s="218">
        <f t="shared" si="62"/>
        <v>46201</v>
      </c>
      <c r="S34" s="218">
        <f t="shared" si="62"/>
        <v>46202</v>
      </c>
      <c r="T34" s="218">
        <f t="shared" si="62"/>
        <v>46203</v>
      </c>
      <c r="U34" s="218">
        <f t="shared" si="62"/>
        <v>46204</v>
      </c>
      <c r="V34" s="218">
        <f t="shared" si="62"/>
        <v>46205</v>
      </c>
      <c r="W34" s="218">
        <f t="shared" si="62"/>
        <v>46206</v>
      </c>
      <c r="X34" s="218">
        <f t="shared" si="62"/>
        <v>46207</v>
      </c>
      <c r="Y34" s="218">
        <f t="shared" si="62"/>
        <v>46208</v>
      </c>
      <c r="Z34" s="218">
        <f t="shared" si="62"/>
        <v>46209</v>
      </c>
      <c r="AA34" s="218">
        <f t="shared" si="62"/>
        <v>46210</v>
      </c>
      <c r="AB34" s="218">
        <f t="shared" si="62"/>
        <v>46211</v>
      </c>
      <c r="AC34" s="218">
        <f t="shared" si="62"/>
        <v>46212</v>
      </c>
      <c r="AD34" s="218">
        <f t="shared" si="62"/>
        <v>46213</v>
      </c>
      <c r="AE34" s="218">
        <f t="shared" si="62"/>
        <v>46214</v>
      </c>
      <c r="AF34" s="218">
        <f t="shared" si="62"/>
        <v>46215</v>
      </c>
      <c r="AG34" s="218">
        <f t="shared" si="62"/>
        <v>46216</v>
      </c>
      <c r="AH34" s="218">
        <f t="shared" si="62"/>
        <v>46217</v>
      </c>
      <c r="AI34" s="218">
        <f t="shared" si="62"/>
        <v>46218</v>
      </c>
      <c r="AJ34" s="218">
        <f t="shared" si="62"/>
        <v>46219</v>
      </c>
      <c r="AK34" s="218">
        <f t="shared" si="62"/>
        <v>46220</v>
      </c>
      <c r="AL34" s="218">
        <f t="shared" si="62"/>
        <v>46221</v>
      </c>
      <c r="AM34" s="218">
        <f t="shared" si="62"/>
        <v>46222</v>
      </c>
      <c r="AN34" s="218">
        <f t="shared" si="62"/>
        <v>46223</v>
      </c>
      <c r="AO34" s="218">
        <f t="shared" si="62"/>
        <v>46224</v>
      </c>
      <c r="AP34" s="218">
        <f t="shared" si="62"/>
        <v>46225</v>
      </c>
      <c r="AQ34" s="218">
        <f t="shared" si="62"/>
        <v>46226</v>
      </c>
      <c r="AR34" s="218">
        <f t="shared" si="62"/>
        <v>46227</v>
      </c>
      <c r="AS34" s="218">
        <f t="shared" si="62"/>
        <v>46228</v>
      </c>
      <c r="AT34" s="218">
        <f t="shared" si="62"/>
        <v>46229</v>
      </c>
      <c r="AU34" s="218">
        <f t="shared" ref="AU34:BZ34" si="63">AT34+1</f>
        <v>46230</v>
      </c>
      <c r="AV34" s="218">
        <f t="shared" si="63"/>
        <v>46231</v>
      </c>
      <c r="AW34" s="218">
        <f t="shared" si="63"/>
        <v>46232</v>
      </c>
      <c r="AX34" s="218">
        <f t="shared" si="63"/>
        <v>46233</v>
      </c>
      <c r="AY34" s="218">
        <f t="shared" si="63"/>
        <v>46234</v>
      </c>
      <c r="AZ34" s="218">
        <f t="shared" si="63"/>
        <v>46235</v>
      </c>
      <c r="BA34" s="218">
        <f t="shared" si="63"/>
        <v>46236</v>
      </c>
      <c r="BB34" s="218">
        <f t="shared" si="63"/>
        <v>46237</v>
      </c>
      <c r="BC34" s="218">
        <f t="shared" si="63"/>
        <v>46238</v>
      </c>
      <c r="BD34" s="218">
        <f t="shared" si="63"/>
        <v>46239</v>
      </c>
      <c r="BE34" s="218">
        <f t="shared" si="63"/>
        <v>46240</v>
      </c>
      <c r="BF34" s="218">
        <f t="shared" si="63"/>
        <v>46241</v>
      </c>
      <c r="BG34" s="218">
        <f t="shared" si="63"/>
        <v>46242</v>
      </c>
      <c r="BH34" s="218">
        <f t="shared" si="63"/>
        <v>46243</v>
      </c>
      <c r="BI34" s="218">
        <f t="shared" si="63"/>
        <v>46244</v>
      </c>
      <c r="BJ34" s="218">
        <f t="shared" si="63"/>
        <v>46245</v>
      </c>
      <c r="BK34" s="218">
        <f t="shared" si="63"/>
        <v>46246</v>
      </c>
      <c r="BL34" s="218">
        <f t="shared" si="63"/>
        <v>46247</v>
      </c>
      <c r="BM34" s="218">
        <f t="shared" si="63"/>
        <v>46248</v>
      </c>
      <c r="BN34" s="218">
        <f t="shared" si="63"/>
        <v>46249</v>
      </c>
      <c r="BO34" s="218">
        <f t="shared" si="63"/>
        <v>46250</v>
      </c>
      <c r="BP34" s="218">
        <f t="shared" si="63"/>
        <v>46251</v>
      </c>
      <c r="BQ34" s="218">
        <f t="shared" si="63"/>
        <v>46252</v>
      </c>
      <c r="BR34" s="218">
        <f t="shared" si="63"/>
        <v>46253</v>
      </c>
      <c r="BS34" s="218">
        <f t="shared" si="63"/>
        <v>46254</v>
      </c>
      <c r="BT34" s="218">
        <f t="shared" si="63"/>
        <v>46255</v>
      </c>
      <c r="BU34" s="218">
        <f t="shared" si="63"/>
        <v>46256</v>
      </c>
      <c r="BV34" s="218">
        <f t="shared" si="63"/>
        <v>46257</v>
      </c>
      <c r="BW34" s="218">
        <f t="shared" si="63"/>
        <v>46258</v>
      </c>
      <c r="BX34" s="218">
        <f t="shared" si="63"/>
        <v>46259</v>
      </c>
      <c r="BY34" s="218">
        <f t="shared" si="63"/>
        <v>46260</v>
      </c>
      <c r="BZ34" s="218">
        <f t="shared" si="63"/>
        <v>46261</v>
      </c>
      <c r="CA34" s="218">
        <f t="shared" ref="CA34:CS34" si="64">BZ34+1</f>
        <v>46262</v>
      </c>
      <c r="CB34" s="218">
        <f t="shared" si="64"/>
        <v>46263</v>
      </c>
      <c r="CC34" s="218">
        <f t="shared" si="64"/>
        <v>46264</v>
      </c>
      <c r="CD34" s="218">
        <f t="shared" si="64"/>
        <v>46265</v>
      </c>
      <c r="CE34" s="218">
        <f t="shared" si="64"/>
        <v>46266</v>
      </c>
      <c r="CF34" s="218">
        <f t="shared" si="64"/>
        <v>46267</v>
      </c>
      <c r="CG34" s="218">
        <f t="shared" si="64"/>
        <v>46268</v>
      </c>
      <c r="CH34" s="218">
        <f t="shared" si="64"/>
        <v>46269</v>
      </c>
      <c r="CI34" s="218">
        <f t="shared" si="64"/>
        <v>46270</v>
      </c>
      <c r="CJ34" s="218">
        <f t="shared" si="64"/>
        <v>46271</v>
      </c>
      <c r="CK34" s="218">
        <f t="shared" si="64"/>
        <v>46272</v>
      </c>
      <c r="CL34" s="218">
        <f t="shared" si="64"/>
        <v>46273</v>
      </c>
      <c r="CM34" s="218">
        <f t="shared" si="64"/>
        <v>46274</v>
      </c>
      <c r="CN34" s="218">
        <f t="shared" si="64"/>
        <v>46275</v>
      </c>
      <c r="CO34" s="218">
        <f t="shared" si="64"/>
        <v>46276</v>
      </c>
      <c r="CP34" s="218">
        <f t="shared" si="64"/>
        <v>46277</v>
      </c>
      <c r="CQ34" s="218">
        <f t="shared" si="64"/>
        <v>46278</v>
      </c>
      <c r="CR34" s="218">
        <f t="shared" si="64"/>
        <v>46279</v>
      </c>
      <c r="CS34" s="218">
        <f t="shared" si="64"/>
        <v>46280</v>
      </c>
      <c r="CV34" s="218">
        <f t="shared" ref="CV34:DR34" si="65">CU34+1</f>
        <v>1</v>
      </c>
      <c r="CW34" s="218">
        <f t="shared" si="65"/>
        <v>2</v>
      </c>
      <c r="CX34" s="218">
        <f t="shared" si="65"/>
        <v>3</v>
      </c>
      <c r="CY34" s="218">
        <f t="shared" si="65"/>
        <v>4</v>
      </c>
      <c r="CZ34" s="218">
        <f t="shared" si="65"/>
        <v>5</v>
      </c>
      <c r="DA34" s="218">
        <f t="shared" si="65"/>
        <v>6</v>
      </c>
      <c r="DB34" s="218">
        <f t="shared" si="65"/>
        <v>7</v>
      </c>
      <c r="DC34" s="218">
        <f t="shared" si="65"/>
        <v>8</v>
      </c>
      <c r="DD34" s="218">
        <f t="shared" si="65"/>
        <v>9</v>
      </c>
      <c r="DE34" s="218">
        <f t="shared" si="65"/>
        <v>10</v>
      </c>
      <c r="DF34" s="218">
        <f t="shared" si="65"/>
        <v>11</v>
      </c>
      <c r="DG34" s="218">
        <f t="shared" si="65"/>
        <v>12</v>
      </c>
      <c r="DH34" s="218">
        <f t="shared" si="65"/>
        <v>13</v>
      </c>
      <c r="DI34" s="218">
        <f t="shared" si="65"/>
        <v>14</v>
      </c>
      <c r="DJ34" s="218">
        <f t="shared" si="65"/>
        <v>15</v>
      </c>
      <c r="DK34" s="218">
        <f t="shared" si="65"/>
        <v>16</v>
      </c>
      <c r="DL34" s="218">
        <f t="shared" si="65"/>
        <v>17</v>
      </c>
      <c r="DM34" s="218">
        <f t="shared" si="65"/>
        <v>18</v>
      </c>
      <c r="DN34" s="218">
        <f t="shared" si="65"/>
        <v>19</v>
      </c>
      <c r="DO34" s="218">
        <f t="shared" si="65"/>
        <v>20</v>
      </c>
      <c r="DP34" s="218">
        <f t="shared" si="65"/>
        <v>21</v>
      </c>
      <c r="DQ34" s="218">
        <f t="shared" si="65"/>
        <v>22</v>
      </c>
      <c r="DR34" s="218">
        <f t="shared" si="65"/>
        <v>23</v>
      </c>
    </row>
    <row r="35" spans="1:122">
      <c r="A35" s="464"/>
      <c r="B35" s="509"/>
      <c r="C35" s="509"/>
      <c r="D35" s="467">
        <f>'BESS 12'!H186</f>
        <v>46249</v>
      </c>
      <c r="E35" s="185" t="s">
        <v>64</v>
      </c>
      <c r="F35" s="66" t="e">
        <f>SUM('BESS 12'!S199:S206,'BESS 12'!S208)</f>
        <v>#VALUE!</v>
      </c>
      <c r="G35" s="182">
        <f ca="1">TODAY()</f>
        <v>46233</v>
      </c>
      <c r="H35" s="162">
        <f ca="1">G35+10</f>
        <v>46243</v>
      </c>
      <c r="I35" s="66">
        <f ca="1">H35-G35</f>
        <v>10</v>
      </c>
      <c r="J35" s="506">
        <f ca="1">AVERAGEIF(L40:CS40,"&gt;0")</f>
        <v>13.333333333333334</v>
      </c>
      <c r="K35" s="506" t="e">
        <f ca="1">MAX(L40:CS40)</f>
        <v>#VALUE!</v>
      </c>
      <c r="L35" s="65" t="str">
        <f t="shared" ref="L35:U38" ca="1" si="66">IF(AND(L$2&gt;=$G35,L$2&lt;($G35+$I35)),ROUND($F35/$I35,0),"-")</f>
        <v>-</v>
      </c>
      <c r="M35" s="65" t="str">
        <f t="shared" ca="1" si="66"/>
        <v>-</v>
      </c>
      <c r="N35" s="65" t="str">
        <f t="shared" ca="1" si="66"/>
        <v>-</v>
      </c>
      <c r="O35" s="65" t="str">
        <f t="shared" ca="1" si="66"/>
        <v>-</v>
      </c>
      <c r="P35" s="65" t="str">
        <f t="shared" ca="1" si="66"/>
        <v>-</v>
      </c>
      <c r="Q35" s="65" t="str">
        <f t="shared" ca="1" si="66"/>
        <v>-</v>
      </c>
      <c r="R35" s="65" t="str">
        <f t="shared" ca="1" si="66"/>
        <v>-</v>
      </c>
      <c r="S35" s="65" t="str">
        <f t="shared" ca="1" si="66"/>
        <v>-</v>
      </c>
      <c r="T35" s="65" t="str">
        <f t="shared" ca="1" si="66"/>
        <v>-</v>
      </c>
      <c r="U35" s="65" t="str">
        <f t="shared" ca="1" si="66"/>
        <v>-</v>
      </c>
      <c r="V35" s="65" t="str">
        <f t="shared" ref="V35:AE38" ca="1" si="67">IF(AND(V$2&gt;=$G35,V$2&lt;($G35+$I35)),ROUND($F35/$I35,0),"-")</f>
        <v>-</v>
      </c>
      <c r="W35" s="65" t="str">
        <f t="shared" ca="1" si="67"/>
        <v>-</v>
      </c>
      <c r="X35" s="65" t="str">
        <f t="shared" ca="1" si="67"/>
        <v>-</v>
      </c>
      <c r="Y35" s="65" t="str">
        <f t="shared" ca="1" si="67"/>
        <v>-</v>
      </c>
      <c r="Z35" s="65" t="str">
        <f t="shared" ca="1" si="67"/>
        <v>-</v>
      </c>
      <c r="AA35" s="65" t="str">
        <f t="shared" ca="1" si="67"/>
        <v>-</v>
      </c>
      <c r="AB35" s="65" t="str">
        <f t="shared" ca="1" si="67"/>
        <v>-</v>
      </c>
      <c r="AC35" s="65" t="str">
        <f t="shared" ca="1" si="67"/>
        <v>-</v>
      </c>
      <c r="AD35" s="65" t="str">
        <f t="shared" ca="1" si="67"/>
        <v>-</v>
      </c>
      <c r="AE35" s="65" t="str">
        <f t="shared" ca="1" si="67"/>
        <v>-</v>
      </c>
      <c r="AF35" s="65" t="str">
        <f t="shared" ref="AF35:AO38" ca="1" si="68">IF(AND(AF$2&gt;=$G35,AF$2&lt;($G35+$I35)),ROUND($F35/$I35,0),"-")</f>
        <v>-</v>
      </c>
      <c r="AG35" s="65" t="str">
        <f t="shared" ca="1" si="68"/>
        <v>-</v>
      </c>
      <c r="AH35" s="65" t="str">
        <f t="shared" ca="1" si="68"/>
        <v>-</v>
      </c>
      <c r="AI35" s="65" t="str">
        <f t="shared" ca="1" si="68"/>
        <v>-</v>
      </c>
      <c r="AJ35" s="65" t="str">
        <f t="shared" ca="1" si="68"/>
        <v>-</v>
      </c>
      <c r="AK35" s="65" t="str">
        <f t="shared" ca="1" si="68"/>
        <v>-</v>
      </c>
      <c r="AL35" s="65" t="str">
        <f t="shared" ca="1" si="68"/>
        <v>-</v>
      </c>
      <c r="AM35" s="65" t="str">
        <f t="shared" ca="1" si="68"/>
        <v>-</v>
      </c>
      <c r="AN35" s="65" t="str">
        <f t="shared" ca="1" si="68"/>
        <v>-</v>
      </c>
      <c r="AO35" s="65" t="str">
        <f t="shared" ca="1" si="68"/>
        <v>-</v>
      </c>
      <c r="AP35" s="65" t="str">
        <f t="shared" ref="AP35:AY38" ca="1" si="69">IF(AND(AP$2&gt;=$G35,AP$2&lt;($G35+$I35)),ROUND($F35/$I35,0),"-")</f>
        <v>-</v>
      </c>
      <c r="AQ35" s="65" t="str">
        <f t="shared" ca="1" si="69"/>
        <v>-</v>
      </c>
      <c r="AR35" s="65" t="str">
        <f t="shared" ca="1" si="69"/>
        <v>-</v>
      </c>
      <c r="AS35" s="65" t="str">
        <f t="shared" ca="1" si="69"/>
        <v>-</v>
      </c>
      <c r="AT35" s="65" t="str">
        <f t="shared" ca="1" si="69"/>
        <v>-</v>
      </c>
      <c r="AU35" s="65" t="str">
        <f t="shared" ca="1" si="69"/>
        <v>-</v>
      </c>
      <c r="AV35" s="65" t="str">
        <f t="shared" ca="1" si="69"/>
        <v>-</v>
      </c>
      <c r="AW35" s="65" t="str">
        <f t="shared" ca="1" si="69"/>
        <v>-</v>
      </c>
      <c r="AX35" s="65" t="e">
        <f t="shared" ca="1" si="69"/>
        <v>#VALUE!</v>
      </c>
      <c r="AY35" s="65" t="e">
        <f t="shared" ca="1" si="69"/>
        <v>#VALUE!</v>
      </c>
      <c r="AZ35" s="65" t="e">
        <f t="shared" ref="AZ35:BI38" ca="1" si="70">IF(AND(AZ$2&gt;=$G35,AZ$2&lt;($G35+$I35)),ROUND($F35/$I35,0),"-")</f>
        <v>#VALUE!</v>
      </c>
      <c r="BA35" s="65" t="e">
        <f t="shared" ca="1" si="70"/>
        <v>#VALUE!</v>
      </c>
      <c r="BB35" s="65" t="e">
        <f t="shared" ca="1" si="70"/>
        <v>#VALUE!</v>
      </c>
      <c r="BC35" s="65" t="e">
        <f t="shared" ca="1" si="70"/>
        <v>#VALUE!</v>
      </c>
      <c r="BD35" s="65" t="e">
        <f t="shared" ca="1" si="70"/>
        <v>#VALUE!</v>
      </c>
      <c r="BE35" s="65" t="e">
        <f t="shared" ca="1" si="70"/>
        <v>#VALUE!</v>
      </c>
      <c r="BF35" s="65" t="e">
        <f t="shared" ca="1" si="70"/>
        <v>#VALUE!</v>
      </c>
      <c r="BG35" s="65" t="e">
        <f t="shared" ca="1" si="70"/>
        <v>#VALUE!</v>
      </c>
      <c r="BH35" s="65" t="str">
        <f t="shared" ca="1" si="70"/>
        <v>-</v>
      </c>
      <c r="BI35" s="65" t="str">
        <f t="shared" ca="1" si="70"/>
        <v>-</v>
      </c>
      <c r="BJ35" s="65" t="str">
        <f t="shared" ref="BJ35:BS38" ca="1" si="71">IF(AND(BJ$2&gt;=$G35,BJ$2&lt;($G35+$I35)),ROUND($F35/$I35,0),"-")</f>
        <v>-</v>
      </c>
      <c r="BK35" s="65" t="str">
        <f t="shared" ca="1" si="71"/>
        <v>-</v>
      </c>
      <c r="BL35" s="65" t="str">
        <f t="shared" ca="1" si="71"/>
        <v>-</v>
      </c>
      <c r="BM35" s="65" t="str">
        <f t="shared" ca="1" si="71"/>
        <v>-</v>
      </c>
      <c r="BN35" s="65" t="str">
        <f t="shared" ca="1" si="71"/>
        <v>-</v>
      </c>
      <c r="BO35" s="65" t="str">
        <f t="shared" ca="1" si="71"/>
        <v>-</v>
      </c>
      <c r="BP35" s="65" t="str">
        <f t="shared" ca="1" si="71"/>
        <v>-</v>
      </c>
      <c r="BQ35" s="65" t="str">
        <f t="shared" ca="1" si="71"/>
        <v>-</v>
      </c>
      <c r="BR35" s="65" t="str">
        <f t="shared" ca="1" si="71"/>
        <v>-</v>
      </c>
      <c r="BS35" s="65" t="str">
        <f t="shared" ca="1" si="71"/>
        <v>-</v>
      </c>
      <c r="BT35" s="65" t="str">
        <f t="shared" ref="BT35:CC38" ca="1" si="72">IF(AND(BT$2&gt;=$G35,BT$2&lt;($G35+$I35)),ROUND($F35/$I35,0),"-")</f>
        <v>-</v>
      </c>
      <c r="BU35" s="65" t="str">
        <f t="shared" ca="1" si="72"/>
        <v>-</v>
      </c>
      <c r="BV35" s="65" t="str">
        <f t="shared" ca="1" si="72"/>
        <v>-</v>
      </c>
      <c r="BW35" s="65" t="str">
        <f t="shared" ca="1" si="72"/>
        <v>-</v>
      </c>
      <c r="BX35" s="65" t="str">
        <f t="shared" ca="1" si="72"/>
        <v>-</v>
      </c>
      <c r="BY35" s="65" t="str">
        <f t="shared" ca="1" si="72"/>
        <v>-</v>
      </c>
      <c r="BZ35" s="65" t="str">
        <f t="shared" ca="1" si="72"/>
        <v>-</v>
      </c>
      <c r="CA35" s="65" t="str">
        <f t="shared" ca="1" si="72"/>
        <v>-</v>
      </c>
      <c r="CB35" s="65" t="str">
        <f t="shared" ca="1" si="72"/>
        <v>-</v>
      </c>
      <c r="CC35" s="65" t="str">
        <f t="shared" ca="1" si="72"/>
        <v>-</v>
      </c>
      <c r="CD35" s="65" t="str">
        <f t="shared" ref="CD35:CM38" ca="1" si="73">IF(AND(CD$2&gt;=$G35,CD$2&lt;($G35+$I35)),ROUND($F35/$I35,0),"-")</f>
        <v>-</v>
      </c>
      <c r="CE35" s="65" t="str">
        <f t="shared" ca="1" si="73"/>
        <v>-</v>
      </c>
      <c r="CF35" s="65" t="str">
        <f t="shared" ca="1" si="73"/>
        <v>-</v>
      </c>
      <c r="CG35" s="65" t="str">
        <f t="shared" ca="1" si="73"/>
        <v>-</v>
      </c>
      <c r="CH35" s="65" t="str">
        <f t="shared" ca="1" si="73"/>
        <v>-</v>
      </c>
      <c r="CI35" s="65" t="str">
        <f t="shared" ca="1" si="73"/>
        <v>-</v>
      </c>
      <c r="CJ35" s="65" t="str">
        <f t="shared" ca="1" si="73"/>
        <v>-</v>
      </c>
      <c r="CK35" s="65" t="str">
        <f t="shared" ca="1" si="73"/>
        <v>-</v>
      </c>
      <c r="CL35" s="65" t="str">
        <f t="shared" ca="1" si="73"/>
        <v>-</v>
      </c>
      <c r="CM35" s="65" t="str">
        <f t="shared" ca="1" si="73"/>
        <v>-</v>
      </c>
      <c r="CN35" s="65" t="str">
        <f t="shared" ref="CN35:CS38" ca="1" si="74">IF(AND(CN$2&gt;=$G35,CN$2&lt;($G35+$I35)),ROUND($F35/$I35,0),"-")</f>
        <v>-</v>
      </c>
      <c r="CO35" s="65" t="str">
        <f t="shared" ca="1" si="74"/>
        <v>-</v>
      </c>
      <c r="CP35" s="65" t="str">
        <f t="shared" ca="1" si="74"/>
        <v>-</v>
      </c>
      <c r="CQ35" s="65" t="str">
        <f t="shared" ca="1" si="74"/>
        <v>-</v>
      </c>
      <c r="CR35" s="65" t="str">
        <f t="shared" ca="1" si="74"/>
        <v>-</v>
      </c>
      <c r="CS35" s="65" t="str">
        <f t="shared" ca="1" si="74"/>
        <v>-</v>
      </c>
      <c r="CV35" s="65" t="e">
        <f t="shared" ref="CV35:DE38" ca="1" si="75">IF(AND(CV$2&gt;=$G35,CV$2&lt;($G35+$I35)),ROUND($F35/$I35,0),"-")</f>
        <v>#VALUE!</v>
      </c>
      <c r="CW35" s="65" t="str">
        <f t="shared" ca="1" si="75"/>
        <v>-</v>
      </c>
      <c r="CX35" s="65" t="str">
        <f t="shared" ca="1" si="75"/>
        <v>-</v>
      </c>
      <c r="CY35" s="65" t="str">
        <f t="shared" ca="1" si="75"/>
        <v>-</v>
      </c>
      <c r="CZ35" s="65" t="str">
        <f t="shared" ca="1" si="75"/>
        <v>-</v>
      </c>
      <c r="DA35" s="65" t="str">
        <f t="shared" ca="1" si="75"/>
        <v>-</v>
      </c>
      <c r="DB35" s="65" t="str">
        <f t="shared" ca="1" si="75"/>
        <v>-</v>
      </c>
      <c r="DC35" s="65" t="str">
        <f t="shared" ca="1" si="75"/>
        <v>-</v>
      </c>
      <c r="DD35" s="65" t="str">
        <f t="shared" ca="1" si="75"/>
        <v>-</v>
      </c>
      <c r="DE35" s="65" t="str">
        <f t="shared" ca="1" si="75"/>
        <v>-</v>
      </c>
      <c r="DF35" s="65" t="str">
        <f t="shared" ref="DF35:DR38" ca="1" si="76">IF(AND(DF$2&gt;=$G35,DF$2&lt;($G35+$I35)),ROUND($F35/$I35,0),"-")</f>
        <v>-</v>
      </c>
      <c r="DG35" s="65" t="str">
        <f t="shared" ca="1" si="76"/>
        <v>-</v>
      </c>
      <c r="DH35" s="65" t="str">
        <f t="shared" ca="1" si="76"/>
        <v>-</v>
      </c>
      <c r="DI35" s="65" t="str">
        <f t="shared" ca="1" si="76"/>
        <v>-</v>
      </c>
      <c r="DJ35" s="65" t="str">
        <f t="shared" ca="1" si="76"/>
        <v>-</v>
      </c>
      <c r="DK35" s="65" t="str">
        <f t="shared" ca="1" si="76"/>
        <v>-</v>
      </c>
      <c r="DL35" s="65" t="str">
        <f t="shared" ca="1" si="76"/>
        <v>-</v>
      </c>
      <c r="DM35" s="65" t="str">
        <f t="shared" ca="1" si="76"/>
        <v>-</v>
      </c>
      <c r="DN35" s="65" t="str">
        <f t="shared" ca="1" si="76"/>
        <v>-</v>
      </c>
      <c r="DO35" s="65" t="str">
        <f t="shared" ca="1" si="76"/>
        <v>-</v>
      </c>
      <c r="DP35" s="65" t="str">
        <f t="shared" ca="1" si="76"/>
        <v>-</v>
      </c>
      <c r="DQ35" s="65" t="str">
        <f t="shared" ca="1" si="76"/>
        <v>-</v>
      </c>
      <c r="DR35" s="65" t="str">
        <f t="shared" ca="1" si="76"/>
        <v>-</v>
      </c>
    </row>
    <row r="36" spans="1:122">
      <c r="A36" s="464"/>
      <c r="B36" s="509"/>
      <c r="C36" s="509"/>
      <c r="D36" s="466"/>
      <c r="E36" s="185" t="s">
        <v>65</v>
      </c>
      <c r="F36" s="66" t="e">
        <f>SUM('BESS 12'!S209,'BESS 12'!S211:S212,'BESS 12'!S215:S217)</f>
        <v>#VALUE!</v>
      </c>
      <c r="G36" s="182">
        <f t="shared" ref="G36:G37" ca="1" si="77">TODAY()</f>
        <v>46233</v>
      </c>
      <c r="H36" s="162">
        <f>MAX('BESS 12'!O209,'BESS 12'!O211:O212,'BESS 12'!O215:O217)</f>
        <v>46233</v>
      </c>
      <c r="I36" s="66">
        <f t="shared" ref="I36:I38" ca="1" si="78">H36-G36</f>
        <v>0</v>
      </c>
      <c r="J36" s="507"/>
      <c r="K36" s="476"/>
      <c r="L36" s="65" t="str">
        <f t="shared" ca="1" si="66"/>
        <v>-</v>
      </c>
      <c r="M36" s="65" t="str">
        <f t="shared" ca="1" si="66"/>
        <v>-</v>
      </c>
      <c r="N36" s="65" t="str">
        <f t="shared" ca="1" si="66"/>
        <v>-</v>
      </c>
      <c r="O36" s="65" t="str">
        <f t="shared" ca="1" si="66"/>
        <v>-</v>
      </c>
      <c r="P36" s="65" t="str">
        <f t="shared" ca="1" si="66"/>
        <v>-</v>
      </c>
      <c r="Q36" s="65" t="str">
        <f t="shared" ca="1" si="66"/>
        <v>-</v>
      </c>
      <c r="R36" s="65" t="str">
        <f t="shared" ca="1" si="66"/>
        <v>-</v>
      </c>
      <c r="S36" s="65" t="str">
        <f t="shared" ca="1" si="66"/>
        <v>-</v>
      </c>
      <c r="T36" s="65" t="str">
        <f t="shared" ca="1" si="66"/>
        <v>-</v>
      </c>
      <c r="U36" s="65" t="str">
        <f t="shared" ca="1" si="66"/>
        <v>-</v>
      </c>
      <c r="V36" s="65" t="str">
        <f t="shared" ca="1" si="67"/>
        <v>-</v>
      </c>
      <c r="W36" s="65" t="str">
        <f t="shared" ca="1" si="67"/>
        <v>-</v>
      </c>
      <c r="X36" s="65" t="str">
        <f t="shared" ca="1" si="67"/>
        <v>-</v>
      </c>
      <c r="Y36" s="65" t="str">
        <f t="shared" ca="1" si="67"/>
        <v>-</v>
      </c>
      <c r="Z36" s="65" t="str">
        <f t="shared" ca="1" si="67"/>
        <v>-</v>
      </c>
      <c r="AA36" s="65" t="str">
        <f t="shared" ca="1" si="67"/>
        <v>-</v>
      </c>
      <c r="AB36" s="65" t="str">
        <f t="shared" ca="1" si="67"/>
        <v>-</v>
      </c>
      <c r="AC36" s="65" t="str">
        <f t="shared" ca="1" si="67"/>
        <v>-</v>
      </c>
      <c r="AD36" s="65" t="str">
        <f t="shared" ca="1" si="67"/>
        <v>-</v>
      </c>
      <c r="AE36" s="65" t="str">
        <f t="shared" ca="1" si="67"/>
        <v>-</v>
      </c>
      <c r="AF36" s="65" t="str">
        <f t="shared" ca="1" si="68"/>
        <v>-</v>
      </c>
      <c r="AG36" s="65" t="str">
        <f t="shared" ca="1" si="68"/>
        <v>-</v>
      </c>
      <c r="AH36" s="65" t="str">
        <f t="shared" ca="1" si="68"/>
        <v>-</v>
      </c>
      <c r="AI36" s="65" t="str">
        <f t="shared" ca="1" si="68"/>
        <v>-</v>
      </c>
      <c r="AJ36" s="65" t="str">
        <f t="shared" ca="1" si="68"/>
        <v>-</v>
      </c>
      <c r="AK36" s="65" t="str">
        <f t="shared" ca="1" si="68"/>
        <v>-</v>
      </c>
      <c r="AL36" s="65" t="str">
        <f t="shared" ca="1" si="68"/>
        <v>-</v>
      </c>
      <c r="AM36" s="65" t="str">
        <f t="shared" ca="1" si="68"/>
        <v>-</v>
      </c>
      <c r="AN36" s="65" t="str">
        <f t="shared" ca="1" si="68"/>
        <v>-</v>
      </c>
      <c r="AO36" s="65" t="str">
        <f t="shared" ca="1" si="68"/>
        <v>-</v>
      </c>
      <c r="AP36" s="65" t="str">
        <f t="shared" ca="1" si="69"/>
        <v>-</v>
      </c>
      <c r="AQ36" s="65" t="str">
        <f t="shared" ca="1" si="69"/>
        <v>-</v>
      </c>
      <c r="AR36" s="65" t="str">
        <f t="shared" ca="1" si="69"/>
        <v>-</v>
      </c>
      <c r="AS36" s="65" t="str">
        <f t="shared" ca="1" si="69"/>
        <v>-</v>
      </c>
      <c r="AT36" s="65" t="str">
        <f t="shared" ca="1" si="69"/>
        <v>-</v>
      </c>
      <c r="AU36" s="65" t="str">
        <f t="shared" ca="1" si="69"/>
        <v>-</v>
      </c>
      <c r="AV36" s="65" t="str">
        <f t="shared" ca="1" si="69"/>
        <v>-</v>
      </c>
      <c r="AW36" s="65" t="str">
        <f t="shared" ca="1" si="69"/>
        <v>-</v>
      </c>
      <c r="AX36" s="65" t="str">
        <f t="shared" ca="1" si="69"/>
        <v>-</v>
      </c>
      <c r="AY36" s="65" t="str">
        <f t="shared" ca="1" si="69"/>
        <v>-</v>
      </c>
      <c r="AZ36" s="65" t="str">
        <f t="shared" ca="1" si="70"/>
        <v>-</v>
      </c>
      <c r="BA36" s="65" t="str">
        <f t="shared" ca="1" si="70"/>
        <v>-</v>
      </c>
      <c r="BB36" s="65" t="str">
        <f t="shared" ca="1" si="70"/>
        <v>-</v>
      </c>
      <c r="BC36" s="65" t="str">
        <f t="shared" ca="1" si="70"/>
        <v>-</v>
      </c>
      <c r="BD36" s="65" t="str">
        <f t="shared" ca="1" si="70"/>
        <v>-</v>
      </c>
      <c r="BE36" s="65" t="str">
        <f t="shared" ca="1" si="70"/>
        <v>-</v>
      </c>
      <c r="BF36" s="65" t="str">
        <f t="shared" ca="1" si="70"/>
        <v>-</v>
      </c>
      <c r="BG36" s="65" t="str">
        <f t="shared" ca="1" si="70"/>
        <v>-</v>
      </c>
      <c r="BH36" s="65" t="str">
        <f t="shared" ca="1" si="70"/>
        <v>-</v>
      </c>
      <c r="BI36" s="65" t="str">
        <f t="shared" ca="1" si="70"/>
        <v>-</v>
      </c>
      <c r="BJ36" s="65" t="str">
        <f t="shared" ca="1" si="71"/>
        <v>-</v>
      </c>
      <c r="BK36" s="65" t="str">
        <f t="shared" ca="1" si="71"/>
        <v>-</v>
      </c>
      <c r="BL36" s="65" t="str">
        <f t="shared" ca="1" si="71"/>
        <v>-</v>
      </c>
      <c r="BM36" s="65" t="str">
        <f t="shared" ca="1" si="71"/>
        <v>-</v>
      </c>
      <c r="BN36" s="65" t="str">
        <f t="shared" ca="1" si="71"/>
        <v>-</v>
      </c>
      <c r="BO36" s="65" t="str">
        <f t="shared" ca="1" si="71"/>
        <v>-</v>
      </c>
      <c r="BP36" s="65" t="str">
        <f t="shared" ca="1" si="71"/>
        <v>-</v>
      </c>
      <c r="BQ36" s="65" t="str">
        <f t="shared" ca="1" si="71"/>
        <v>-</v>
      </c>
      <c r="BR36" s="65" t="str">
        <f t="shared" ca="1" si="71"/>
        <v>-</v>
      </c>
      <c r="BS36" s="65" t="str">
        <f t="shared" ca="1" si="71"/>
        <v>-</v>
      </c>
      <c r="BT36" s="65" t="str">
        <f t="shared" ca="1" si="72"/>
        <v>-</v>
      </c>
      <c r="BU36" s="65" t="str">
        <f t="shared" ca="1" si="72"/>
        <v>-</v>
      </c>
      <c r="BV36" s="65" t="str">
        <f t="shared" ca="1" si="72"/>
        <v>-</v>
      </c>
      <c r="BW36" s="65" t="str">
        <f t="shared" ca="1" si="72"/>
        <v>-</v>
      </c>
      <c r="BX36" s="65" t="str">
        <f t="shared" ca="1" si="72"/>
        <v>-</v>
      </c>
      <c r="BY36" s="65" t="str">
        <f t="shared" ca="1" si="72"/>
        <v>-</v>
      </c>
      <c r="BZ36" s="65" t="str">
        <f t="shared" ca="1" si="72"/>
        <v>-</v>
      </c>
      <c r="CA36" s="65" t="str">
        <f t="shared" ca="1" si="72"/>
        <v>-</v>
      </c>
      <c r="CB36" s="65" t="str">
        <f t="shared" ca="1" si="72"/>
        <v>-</v>
      </c>
      <c r="CC36" s="65" t="str">
        <f t="shared" ca="1" si="72"/>
        <v>-</v>
      </c>
      <c r="CD36" s="65" t="str">
        <f t="shared" ca="1" si="73"/>
        <v>-</v>
      </c>
      <c r="CE36" s="65" t="str">
        <f t="shared" ca="1" si="73"/>
        <v>-</v>
      </c>
      <c r="CF36" s="65" t="str">
        <f t="shared" ca="1" si="73"/>
        <v>-</v>
      </c>
      <c r="CG36" s="65" t="str">
        <f t="shared" ca="1" si="73"/>
        <v>-</v>
      </c>
      <c r="CH36" s="65" t="str">
        <f t="shared" ca="1" si="73"/>
        <v>-</v>
      </c>
      <c r="CI36" s="65" t="str">
        <f t="shared" ca="1" si="73"/>
        <v>-</v>
      </c>
      <c r="CJ36" s="65" t="str">
        <f t="shared" ca="1" si="73"/>
        <v>-</v>
      </c>
      <c r="CK36" s="65" t="str">
        <f t="shared" ca="1" si="73"/>
        <v>-</v>
      </c>
      <c r="CL36" s="65" t="str">
        <f t="shared" ca="1" si="73"/>
        <v>-</v>
      </c>
      <c r="CM36" s="65" t="str">
        <f t="shared" ca="1" si="73"/>
        <v>-</v>
      </c>
      <c r="CN36" s="65" t="str">
        <f t="shared" ca="1" si="74"/>
        <v>-</v>
      </c>
      <c r="CO36" s="65" t="str">
        <f t="shared" ca="1" si="74"/>
        <v>-</v>
      </c>
      <c r="CP36" s="65" t="str">
        <f t="shared" ca="1" si="74"/>
        <v>-</v>
      </c>
      <c r="CQ36" s="65" t="str">
        <f t="shared" ca="1" si="74"/>
        <v>-</v>
      </c>
      <c r="CR36" s="65" t="str">
        <f t="shared" ca="1" si="74"/>
        <v>-</v>
      </c>
      <c r="CS36" s="65" t="str">
        <f t="shared" ca="1" si="74"/>
        <v>-</v>
      </c>
      <c r="CV36" s="65" t="e">
        <f t="shared" ca="1" si="75"/>
        <v>#VALUE!</v>
      </c>
      <c r="CW36" s="65" t="str">
        <f t="shared" ca="1" si="75"/>
        <v>-</v>
      </c>
      <c r="CX36" s="65" t="str">
        <f t="shared" ca="1" si="75"/>
        <v>-</v>
      </c>
      <c r="CY36" s="65" t="str">
        <f t="shared" ca="1" si="75"/>
        <v>-</v>
      </c>
      <c r="CZ36" s="65" t="str">
        <f t="shared" ca="1" si="75"/>
        <v>-</v>
      </c>
      <c r="DA36" s="65" t="str">
        <f t="shared" ca="1" si="75"/>
        <v>-</v>
      </c>
      <c r="DB36" s="65" t="str">
        <f t="shared" ca="1" si="75"/>
        <v>-</v>
      </c>
      <c r="DC36" s="65" t="str">
        <f t="shared" ca="1" si="75"/>
        <v>-</v>
      </c>
      <c r="DD36" s="65" t="str">
        <f t="shared" ca="1" si="75"/>
        <v>-</v>
      </c>
      <c r="DE36" s="65" t="str">
        <f t="shared" ca="1" si="75"/>
        <v>-</v>
      </c>
      <c r="DF36" s="65" t="str">
        <f t="shared" ca="1" si="76"/>
        <v>-</v>
      </c>
      <c r="DG36" s="65" t="str">
        <f t="shared" ca="1" si="76"/>
        <v>-</v>
      </c>
      <c r="DH36" s="65" t="str">
        <f t="shared" ca="1" si="76"/>
        <v>-</v>
      </c>
      <c r="DI36" s="65" t="str">
        <f t="shared" ca="1" si="76"/>
        <v>-</v>
      </c>
      <c r="DJ36" s="65" t="str">
        <f t="shared" ca="1" si="76"/>
        <v>-</v>
      </c>
      <c r="DK36" s="65" t="str">
        <f t="shared" ca="1" si="76"/>
        <v>-</v>
      </c>
      <c r="DL36" s="65" t="str">
        <f t="shared" ca="1" si="76"/>
        <v>-</v>
      </c>
      <c r="DM36" s="65" t="str">
        <f t="shared" ca="1" si="76"/>
        <v>-</v>
      </c>
      <c r="DN36" s="65" t="str">
        <f t="shared" ca="1" si="76"/>
        <v>-</v>
      </c>
      <c r="DO36" s="65" t="str">
        <f t="shared" ca="1" si="76"/>
        <v>-</v>
      </c>
      <c r="DP36" s="65" t="str">
        <f t="shared" ca="1" si="76"/>
        <v>-</v>
      </c>
      <c r="DQ36" s="65" t="str">
        <f t="shared" ca="1" si="76"/>
        <v>-</v>
      </c>
      <c r="DR36" s="65" t="str">
        <f t="shared" ca="1" si="76"/>
        <v>-</v>
      </c>
    </row>
    <row r="37" spans="1:122">
      <c r="A37" s="464"/>
      <c r="B37" s="509"/>
      <c r="C37" s="509"/>
      <c r="D37" s="466"/>
      <c r="E37" s="185" t="s">
        <v>66</v>
      </c>
      <c r="F37" s="66" t="e">
        <f>SUM('BESS 12'!S210,'BESS 12'!S214,'BESS 12'!S218:S219,461)</f>
        <v>#VALUE!</v>
      </c>
      <c r="G37" s="182">
        <f t="shared" ca="1" si="77"/>
        <v>46233</v>
      </c>
      <c r="H37" s="162">
        <f>MAX('BESS 12'!O210,'BESS 12'!O212:O213,'BESS 12'!O216:O218)</f>
        <v>46236</v>
      </c>
      <c r="I37" s="66">
        <f t="shared" ca="1" si="78"/>
        <v>3</v>
      </c>
      <c r="J37" s="507"/>
      <c r="K37" s="476"/>
      <c r="L37" s="65" t="str">
        <f t="shared" ca="1" si="66"/>
        <v>-</v>
      </c>
      <c r="M37" s="65" t="str">
        <f t="shared" ca="1" si="66"/>
        <v>-</v>
      </c>
      <c r="N37" s="65" t="str">
        <f t="shared" ca="1" si="66"/>
        <v>-</v>
      </c>
      <c r="O37" s="65" t="str">
        <f t="shared" ca="1" si="66"/>
        <v>-</v>
      </c>
      <c r="P37" s="65" t="str">
        <f t="shared" ca="1" si="66"/>
        <v>-</v>
      </c>
      <c r="Q37" s="65" t="str">
        <f t="shared" ca="1" si="66"/>
        <v>-</v>
      </c>
      <c r="R37" s="65" t="str">
        <f t="shared" ca="1" si="66"/>
        <v>-</v>
      </c>
      <c r="S37" s="65" t="str">
        <f t="shared" ca="1" si="66"/>
        <v>-</v>
      </c>
      <c r="T37" s="65" t="str">
        <f t="shared" ca="1" si="66"/>
        <v>-</v>
      </c>
      <c r="U37" s="65" t="str">
        <f t="shared" ca="1" si="66"/>
        <v>-</v>
      </c>
      <c r="V37" s="65" t="str">
        <f t="shared" ca="1" si="67"/>
        <v>-</v>
      </c>
      <c r="W37" s="65" t="str">
        <f t="shared" ca="1" si="67"/>
        <v>-</v>
      </c>
      <c r="X37" s="65" t="str">
        <f t="shared" ca="1" si="67"/>
        <v>-</v>
      </c>
      <c r="Y37" s="65" t="str">
        <f t="shared" ca="1" si="67"/>
        <v>-</v>
      </c>
      <c r="Z37" s="65" t="str">
        <f t="shared" ca="1" si="67"/>
        <v>-</v>
      </c>
      <c r="AA37" s="65" t="str">
        <f t="shared" ca="1" si="67"/>
        <v>-</v>
      </c>
      <c r="AB37" s="65" t="str">
        <f t="shared" ca="1" si="67"/>
        <v>-</v>
      </c>
      <c r="AC37" s="65" t="str">
        <f t="shared" ca="1" si="67"/>
        <v>-</v>
      </c>
      <c r="AD37" s="65" t="str">
        <f t="shared" ca="1" si="67"/>
        <v>-</v>
      </c>
      <c r="AE37" s="65" t="str">
        <f t="shared" ca="1" si="67"/>
        <v>-</v>
      </c>
      <c r="AF37" s="65" t="str">
        <f t="shared" ca="1" si="68"/>
        <v>-</v>
      </c>
      <c r="AG37" s="65" t="str">
        <f t="shared" ca="1" si="68"/>
        <v>-</v>
      </c>
      <c r="AH37" s="65" t="str">
        <f t="shared" ca="1" si="68"/>
        <v>-</v>
      </c>
      <c r="AI37" s="65" t="str">
        <f t="shared" ca="1" si="68"/>
        <v>-</v>
      </c>
      <c r="AJ37" s="65" t="str">
        <f t="shared" ca="1" si="68"/>
        <v>-</v>
      </c>
      <c r="AK37" s="65" t="str">
        <f t="shared" ca="1" si="68"/>
        <v>-</v>
      </c>
      <c r="AL37" s="65" t="str">
        <f t="shared" ca="1" si="68"/>
        <v>-</v>
      </c>
      <c r="AM37" s="65" t="str">
        <f t="shared" ca="1" si="68"/>
        <v>-</v>
      </c>
      <c r="AN37" s="65" t="str">
        <f t="shared" ca="1" si="68"/>
        <v>-</v>
      </c>
      <c r="AO37" s="65" t="str">
        <f t="shared" ca="1" si="68"/>
        <v>-</v>
      </c>
      <c r="AP37" s="65" t="str">
        <f t="shared" ca="1" si="69"/>
        <v>-</v>
      </c>
      <c r="AQ37" s="65" t="str">
        <f t="shared" ca="1" si="69"/>
        <v>-</v>
      </c>
      <c r="AR37" s="65" t="str">
        <f t="shared" ca="1" si="69"/>
        <v>-</v>
      </c>
      <c r="AS37" s="65" t="str">
        <f t="shared" ca="1" si="69"/>
        <v>-</v>
      </c>
      <c r="AT37" s="65" t="str">
        <f t="shared" ca="1" si="69"/>
        <v>-</v>
      </c>
      <c r="AU37" s="65" t="str">
        <f t="shared" ca="1" si="69"/>
        <v>-</v>
      </c>
      <c r="AV37" s="65" t="str">
        <f t="shared" ca="1" si="69"/>
        <v>-</v>
      </c>
      <c r="AW37" s="65" t="str">
        <f t="shared" ca="1" si="69"/>
        <v>-</v>
      </c>
      <c r="AX37" s="65" t="e">
        <f t="shared" ca="1" si="69"/>
        <v>#VALUE!</v>
      </c>
      <c r="AY37" s="65" t="e">
        <f t="shared" ca="1" si="69"/>
        <v>#VALUE!</v>
      </c>
      <c r="AZ37" s="65" t="e">
        <f t="shared" ca="1" si="70"/>
        <v>#VALUE!</v>
      </c>
      <c r="BA37" s="65" t="str">
        <f t="shared" ca="1" si="70"/>
        <v>-</v>
      </c>
      <c r="BB37" s="65" t="str">
        <f t="shared" ca="1" si="70"/>
        <v>-</v>
      </c>
      <c r="BC37" s="65" t="str">
        <f t="shared" ca="1" si="70"/>
        <v>-</v>
      </c>
      <c r="BD37" s="65" t="str">
        <f t="shared" ca="1" si="70"/>
        <v>-</v>
      </c>
      <c r="BE37" s="65" t="str">
        <f t="shared" ca="1" si="70"/>
        <v>-</v>
      </c>
      <c r="BF37" s="65" t="str">
        <f t="shared" ca="1" si="70"/>
        <v>-</v>
      </c>
      <c r="BG37" s="65" t="str">
        <f t="shared" ca="1" si="70"/>
        <v>-</v>
      </c>
      <c r="BH37" s="65" t="str">
        <f t="shared" ca="1" si="70"/>
        <v>-</v>
      </c>
      <c r="BI37" s="65" t="str">
        <f t="shared" ca="1" si="70"/>
        <v>-</v>
      </c>
      <c r="BJ37" s="65" t="str">
        <f t="shared" ca="1" si="71"/>
        <v>-</v>
      </c>
      <c r="BK37" s="65" t="str">
        <f t="shared" ca="1" si="71"/>
        <v>-</v>
      </c>
      <c r="BL37" s="65" t="str">
        <f t="shared" ca="1" si="71"/>
        <v>-</v>
      </c>
      <c r="BM37" s="65" t="str">
        <f t="shared" ca="1" si="71"/>
        <v>-</v>
      </c>
      <c r="BN37" s="65" t="str">
        <f t="shared" ca="1" si="71"/>
        <v>-</v>
      </c>
      <c r="BO37" s="65" t="str">
        <f t="shared" ca="1" si="71"/>
        <v>-</v>
      </c>
      <c r="BP37" s="65" t="str">
        <f t="shared" ca="1" si="71"/>
        <v>-</v>
      </c>
      <c r="BQ37" s="65" t="str">
        <f t="shared" ca="1" si="71"/>
        <v>-</v>
      </c>
      <c r="BR37" s="65" t="str">
        <f t="shared" ca="1" si="71"/>
        <v>-</v>
      </c>
      <c r="BS37" s="65" t="str">
        <f t="shared" ca="1" si="71"/>
        <v>-</v>
      </c>
      <c r="BT37" s="65" t="str">
        <f t="shared" ca="1" si="72"/>
        <v>-</v>
      </c>
      <c r="BU37" s="65" t="str">
        <f t="shared" ca="1" si="72"/>
        <v>-</v>
      </c>
      <c r="BV37" s="65" t="str">
        <f t="shared" ca="1" si="72"/>
        <v>-</v>
      </c>
      <c r="BW37" s="65" t="str">
        <f t="shared" ca="1" si="72"/>
        <v>-</v>
      </c>
      <c r="BX37" s="65" t="str">
        <f t="shared" ca="1" si="72"/>
        <v>-</v>
      </c>
      <c r="BY37" s="65" t="str">
        <f t="shared" ca="1" si="72"/>
        <v>-</v>
      </c>
      <c r="BZ37" s="65" t="str">
        <f t="shared" ca="1" si="72"/>
        <v>-</v>
      </c>
      <c r="CA37" s="65" t="str">
        <f t="shared" ca="1" si="72"/>
        <v>-</v>
      </c>
      <c r="CB37" s="65" t="str">
        <f t="shared" ca="1" si="72"/>
        <v>-</v>
      </c>
      <c r="CC37" s="65" t="str">
        <f t="shared" ca="1" si="72"/>
        <v>-</v>
      </c>
      <c r="CD37" s="65" t="str">
        <f t="shared" ca="1" si="73"/>
        <v>-</v>
      </c>
      <c r="CE37" s="65" t="str">
        <f t="shared" ca="1" si="73"/>
        <v>-</v>
      </c>
      <c r="CF37" s="65" t="str">
        <f t="shared" ca="1" si="73"/>
        <v>-</v>
      </c>
      <c r="CG37" s="65" t="str">
        <f t="shared" ca="1" si="73"/>
        <v>-</v>
      </c>
      <c r="CH37" s="65" t="str">
        <f t="shared" ca="1" si="73"/>
        <v>-</v>
      </c>
      <c r="CI37" s="65" t="str">
        <f t="shared" ca="1" si="73"/>
        <v>-</v>
      </c>
      <c r="CJ37" s="65" t="str">
        <f t="shared" ca="1" si="73"/>
        <v>-</v>
      </c>
      <c r="CK37" s="65" t="str">
        <f t="shared" ca="1" si="73"/>
        <v>-</v>
      </c>
      <c r="CL37" s="65" t="str">
        <f t="shared" ca="1" si="73"/>
        <v>-</v>
      </c>
      <c r="CM37" s="65" t="str">
        <f t="shared" ca="1" si="73"/>
        <v>-</v>
      </c>
      <c r="CN37" s="65" t="str">
        <f t="shared" ca="1" si="74"/>
        <v>-</v>
      </c>
      <c r="CO37" s="65" t="str">
        <f t="shared" ca="1" si="74"/>
        <v>-</v>
      </c>
      <c r="CP37" s="65" t="str">
        <f t="shared" ca="1" si="74"/>
        <v>-</v>
      </c>
      <c r="CQ37" s="65" t="str">
        <f t="shared" ca="1" si="74"/>
        <v>-</v>
      </c>
      <c r="CR37" s="65" t="str">
        <f t="shared" ca="1" si="74"/>
        <v>-</v>
      </c>
      <c r="CS37" s="65" t="str">
        <f t="shared" ca="1" si="74"/>
        <v>-</v>
      </c>
      <c r="CV37" s="65" t="e">
        <f t="shared" ca="1" si="75"/>
        <v>#VALUE!</v>
      </c>
      <c r="CW37" s="65" t="str">
        <f t="shared" ca="1" si="75"/>
        <v>-</v>
      </c>
      <c r="CX37" s="65" t="str">
        <f t="shared" ca="1" si="75"/>
        <v>-</v>
      </c>
      <c r="CY37" s="65" t="str">
        <f t="shared" ca="1" si="75"/>
        <v>-</v>
      </c>
      <c r="CZ37" s="65" t="str">
        <f t="shared" ca="1" si="75"/>
        <v>-</v>
      </c>
      <c r="DA37" s="65" t="str">
        <f t="shared" ca="1" si="75"/>
        <v>-</v>
      </c>
      <c r="DB37" s="65" t="str">
        <f t="shared" ca="1" si="75"/>
        <v>-</v>
      </c>
      <c r="DC37" s="65" t="str">
        <f t="shared" ca="1" si="75"/>
        <v>-</v>
      </c>
      <c r="DD37" s="65" t="str">
        <f t="shared" ca="1" si="75"/>
        <v>-</v>
      </c>
      <c r="DE37" s="65" t="str">
        <f t="shared" ca="1" si="75"/>
        <v>-</v>
      </c>
      <c r="DF37" s="65" t="str">
        <f t="shared" ca="1" si="76"/>
        <v>-</v>
      </c>
      <c r="DG37" s="65" t="str">
        <f t="shared" ca="1" si="76"/>
        <v>-</v>
      </c>
      <c r="DH37" s="65" t="str">
        <f t="shared" ca="1" si="76"/>
        <v>-</v>
      </c>
      <c r="DI37" s="65" t="str">
        <f t="shared" ca="1" si="76"/>
        <v>-</v>
      </c>
      <c r="DJ37" s="65" t="str">
        <f t="shared" ca="1" si="76"/>
        <v>-</v>
      </c>
      <c r="DK37" s="65" t="str">
        <f t="shared" ca="1" si="76"/>
        <v>-</v>
      </c>
      <c r="DL37" s="65" t="str">
        <f t="shared" ca="1" si="76"/>
        <v>-</v>
      </c>
      <c r="DM37" s="65" t="str">
        <f t="shared" ca="1" si="76"/>
        <v>-</v>
      </c>
      <c r="DN37" s="65" t="str">
        <f t="shared" ca="1" si="76"/>
        <v>-</v>
      </c>
      <c r="DO37" s="65" t="str">
        <f t="shared" ca="1" si="76"/>
        <v>-</v>
      </c>
      <c r="DP37" s="65" t="str">
        <f t="shared" ca="1" si="76"/>
        <v>-</v>
      </c>
      <c r="DQ37" s="65" t="str">
        <f t="shared" ca="1" si="76"/>
        <v>-</v>
      </c>
      <c r="DR37" s="65" t="str">
        <f t="shared" ca="1" si="76"/>
        <v>-</v>
      </c>
    </row>
    <row r="38" spans="1:122">
      <c r="A38" s="464"/>
      <c r="B38" s="509"/>
      <c r="C38" s="509"/>
      <c r="D38" s="466"/>
      <c r="E38" s="185" t="s">
        <v>67</v>
      </c>
      <c r="F38" s="66" t="e">
        <f>SUM('BESS 12'!S221:S230)</f>
        <v>#VALUE!</v>
      </c>
      <c r="G38" s="182">
        <f>H38-14</f>
        <v>46224</v>
      </c>
      <c r="H38" s="162">
        <f>B34-3</f>
        <v>46238</v>
      </c>
      <c r="I38" s="66">
        <f t="shared" si="78"/>
        <v>14</v>
      </c>
      <c r="J38" s="507"/>
      <c r="K38" s="476"/>
      <c r="L38" s="65" t="str">
        <f t="shared" si="66"/>
        <v>-</v>
      </c>
      <c r="M38" s="65" t="str">
        <f t="shared" si="66"/>
        <v>-</v>
      </c>
      <c r="N38" s="65" t="str">
        <f t="shared" si="66"/>
        <v>-</v>
      </c>
      <c r="O38" s="65" t="str">
        <f t="shared" si="66"/>
        <v>-</v>
      </c>
      <c r="P38" s="65" t="str">
        <f t="shared" si="66"/>
        <v>-</v>
      </c>
      <c r="Q38" s="65" t="str">
        <f t="shared" si="66"/>
        <v>-</v>
      </c>
      <c r="R38" s="65" t="str">
        <f t="shared" si="66"/>
        <v>-</v>
      </c>
      <c r="S38" s="65" t="str">
        <f t="shared" si="66"/>
        <v>-</v>
      </c>
      <c r="T38" s="65" t="str">
        <f t="shared" si="66"/>
        <v>-</v>
      </c>
      <c r="U38" s="65" t="str">
        <f t="shared" si="66"/>
        <v>-</v>
      </c>
      <c r="V38" s="65" t="str">
        <f t="shared" si="67"/>
        <v>-</v>
      </c>
      <c r="W38" s="65" t="str">
        <f t="shared" si="67"/>
        <v>-</v>
      </c>
      <c r="X38" s="65" t="str">
        <f t="shared" si="67"/>
        <v>-</v>
      </c>
      <c r="Y38" s="65" t="str">
        <f t="shared" si="67"/>
        <v>-</v>
      </c>
      <c r="Z38" s="65" t="str">
        <f t="shared" si="67"/>
        <v>-</v>
      </c>
      <c r="AA38" s="65" t="str">
        <f t="shared" si="67"/>
        <v>-</v>
      </c>
      <c r="AB38" s="65" t="str">
        <f t="shared" si="67"/>
        <v>-</v>
      </c>
      <c r="AC38" s="65" t="str">
        <f t="shared" si="67"/>
        <v>-</v>
      </c>
      <c r="AD38" s="65" t="str">
        <f t="shared" si="67"/>
        <v>-</v>
      </c>
      <c r="AE38" s="65" t="str">
        <f t="shared" si="67"/>
        <v>-</v>
      </c>
      <c r="AF38" s="65" t="str">
        <f t="shared" si="68"/>
        <v>-</v>
      </c>
      <c r="AG38" s="65" t="str">
        <f t="shared" si="68"/>
        <v>-</v>
      </c>
      <c r="AH38" s="65" t="str">
        <f t="shared" si="68"/>
        <v>-</v>
      </c>
      <c r="AI38" s="65" t="str">
        <f t="shared" si="68"/>
        <v>-</v>
      </c>
      <c r="AJ38" s="65" t="str">
        <f t="shared" si="68"/>
        <v>-</v>
      </c>
      <c r="AK38" s="65" t="str">
        <f t="shared" si="68"/>
        <v>-</v>
      </c>
      <c r="AL38" s="65" t="str">
        <f t="shared" si="68"/>
        <v>-</v>
      </c>
      <c r="AM38" s="65" t="str">
        <f t="shared" si="68"/>
        <v>-</v>
      </c>
      <c r="AN38" s="65" t="str">
        <f t="shared" si="68"/>
        <v>-</v>
      </c>
      <c r="AO38" s="65" t="e">
        <f t="shared" si="68"/>
        <v>#VALUE!</v>
      </c>
      <c r="AP38" s="65" t="e">
        <f t="shared" si="69"/>
        <v>#VALUE!</v>
      </c>
      <c r="AQ38" s="65" t="e">
        <f t="shared" si="69"/>
        <v>#VALUE!</v>
      </c>
      <c r="AR38" s="65" t="e">
        <f t="shared" si="69"/>
        <v>#VALUE!</v>
      </c>
      <c r="AS38" s="65" t="e">
        <f t="shared" si="69"/>
        <v>#VALUE!</v>
      </c>
      <c r="AT38" s="65" t="e">
        <f t="shared" si="69"/>
        <v>#VALUE!</v>
      </c>
      <c r="AU38" s="65" t="e">
        <f t="shared" si="69"/>
        <v>#VALUE!</v>
      </c>
      <c r="AV38" s="65" t="e">
        <f t="shared" si="69"/>
        <v>#VALUE!</v>
      </c>
      <c r="AW38" s="65" t="e">
        <f t="shared" si="69"/>
        <v>#VALUE!</v>
      </c>
      <c r="AX38" s="65" t="e">
        <f t="shared" si="69"/>
        <v>#VALUE!</v>
      </c>
      <c r="AY38" s="65" t="e">
        <f t="shared" si="69"/>
        <v>#VALUE!</v>
      </c>
      <c r="AZ38" s="65" t="e">
        <f t="shared" si="70"/>
        <v>#VALUE!</v>
      </c>
      <c r="BA38" s="65" t="e">
        <f t="shared" si="70"/>
        <v>#VALUE!</v>
      </c>
      <c r="BB38" s="65" t="e">
        <f t="shared" si="70"/>
        <v>#VALUE!</v>
      </c>
      <c r="BC38" s="65" t="str">
        <f t="shared" si="70"/>
        <v>-</v>
      </c>
      <c r="BD38" s="65" t="str">
        <f t="shared" si="70"/>
        <v>-</v>
      </c>
      <c r="BE38" s="65" t="str">
        <f t="shared" si="70"/>
        <v>-</v>
      </c>
      <c r="BF38" s="65" t="str">
        <f t="shared" si="70"/>
        <v>-</v>
      </c>
      <c r="BG38" s="65" t="str">
        <f t="shared" si="70"/>
        <v>-</v>
      </c>
      <c r="BH38" s="65" t="str">
        <f t="shared" si="70"/>
        <v>-</v>
      </c>
      <c r="BI38" s="65" t="str">
        <f t="shared" si="70"/>
        <v>-</v>
      </c>
      <c r="BJ38" s="65" t="str">
        <f t="shared" si="71"/>
        <v>-</v>
      </c>
      <c r="BK38" s="65" t="str">
        <f t="shared" si="71"/>
        <v>-</v>
      </c>
      <c r="BL38" s="65" t="str">
        <f t="shared" si="71"/>
        <v>-</v>
      </c>
      <c r="BM38" s="65" t="str">
        <f t="shared" si="71"/>
        <v>-</v>
      </c>
      <c r="BN38" s="65" t="str">
        <f t="shared" si="71"/>
        <v>-</v>
      </c>
      <c r="BO38" s="65" t="str">
        <f t="shared" si="71"/>
        <v>-</v>
      </c>
      <c r="BP38" s="65" t="str">
        <f t="shared" si="71"/>
        <v>-</v>
      </c>
      <c r="BQ38" s="65" t="str">
        <f t="shared" si="71"/>
        <v>-</v>
      </c>
      <c r="BR38" s="65" t="str">
        <f t="shared" si="71"/>
        <v>-</v>
      </c>
      <c r="BS38" s="65" t="str">
        <f t="shared" si="71"/>
        <v>-</v>
      </c>
      <c r="BT38" s="65" t="str">
        <f t="shared" si="72"/>
        <v>-</v>
      </c>
      <c r="BU38" s="65" t="str">
        <f t="shared" si="72"/>
        <v>-</v>
      </c>
      <c r="BV38" s="65" t="str">
        <f t="shared" si="72"/>
        <v>-</v>
      </c>
      <c r="BW38" s="65" t="str">
        <f t="shared" si="72"/>
        <v>-</v>
      </c>
      <c r="BX38" s="65" t="str">
        <f t="shared" si="72"/>
        <v>-</v>
      </c>
      <c r="BY38" s="65" t="str">
        <f t="shared" si="72"/>
        <v>-</v>
      </c>
      <c r="BZ38" s="65" t="str">
        <f t="shared" si="72"/>
        <v>-</v>
      </c>
      <c r="CA38" s="65" t="str">
        <f t="shared" si="72"/>
        <v>-</v>
      </c>
      <c r="CB38" s="65" t="str">
        <f t="shared" si="72"/>
        <v>-</v>
      </c>
      <c r="CC38" s="65" t="str">
        <f t="shared" si="72"/>
        <v>-</v>
      </c>
      <c r="CD38" s="65" t="str">
        <f t="shared" si="73"/>
        <v>-</v>
      </c>
      <c r="CE38" s="65" t="str">
        <f t="shared" si="73"/>
        <v>-</v>
      </c>
      <c r="CF38" s="65" t="str">
        <f t="shared" si="73"/>
        <v>-</v>
      </c>
      <c r="CG38" s="65" t="str">
        <f t="shared" si="73"/>
        <v>-</v>
      </c>
      <c r="CH38" s="65" t="str">
        <f t="shared" si="73"/>
        <v>-</v>
      </c>
      <c r="CI38" s="65" t="str">
        <f t="shared" si="73"/>
        <v>-</v>
      </c>
      <c r="CJ38" s="65" t="str">
        <f t="shared" si="73"/>
        <v>-</v>
      </c>
      <c r="CK38" s="65" t="str">
        <f t="shared" si="73"/>
        <v>-</v>
      </c>
      <c r="CL38" s="65" t="str">
        <f t="shared" si="73"/>
        <v>-</v>
      </c>
      <c r="CM38" s="65" t="str">
        <f t="shared" si="73"/>
        <v>-</v>
      </c>
      <c r="CN38" s="65" t="str">
        <f t="shared" si="74"/>
        <v>-</v>
      </c>
      <c r="CO38" s="65" t="str">
        <f t="shared" si="74"/>
        <v>-</v>
      </c>
      <c r="CP38" s="65" t="str">
        <f t="shared" si="74"/>
        <v>-</v>
      </c>
      <c r="CQ38" s="65" t="str">
        <f t="shared" si="74"/>
        <v>-</v>
      </c>
      <c r="CR38" s="65" t="str">
        <f t="shared" si="74"/>
        <v>-</v>
      </c>
      <c r="CS38" s="65" t="str">
        <f t="shared" si="74"/>
        <v>-</v>
      </c>
      <c r="CV38" s="65" t="e">
        <f t="shared" si="75"/>
        <v>#VALUE!</v>
      </c>
      <c r="CW38" s="65" t="str">
        <f t="shared" si="75"/>
        <v>-</v>
      </c>
      <c r="CX38" s="65" t="str">
        <f t="shared" si="75"/>
        <v>-</v>
      </c>
      <c r="CY38" s="65" t="str">
        <f t="shared" si="75"/>
        <v>-</v>
      </c>
      <c r="CZ38" s="65" t="str">
        <f t="shared" si="75"/>
        <v>-</v>
      </c>
      <c r="DA38" s="65" t="str">
        <f t="shared" si="75"/>
        <v>-</v>
      </c>
      <c r="DB38" s="65" t="str">
        <f t="shared" si="75"/>
        <v>-</v>
      </c>
      <c r="DC38" s="65" t="str">
        <f t="shared" si="75"/>
        <v>-</v>
      </c>
      <c r="DD38" s="65" t="str">
        <f t="shared" si="75"/>
        <v>-</v>
      </c>
      <c r="DE38" s="65" t="str">
        <f t="shared" si="75"/>
        <v>-</v>
      </c>
      <c r="DF38" s="65" t="str">
        <f t="shared" si="76"/>
        <v>-</v>
      </c>
      <c r="DG38" s="65" t="str">
        <f t="shared" si="76"/>
        <v>-</v>
      </c>
      <c r="DH38" s="65" t="str">
        <f t="shared" si="76"/>
        <v>-</v>
      </c>
      <c r="DI38" s="65" t="str">
        <f t="shared" si="76"/>
        <v>-</v>
      </c>
      <c r="DJ38" s="65" t="str">
        <f t="shared" si="76"/>
        <v>-</v>
      </c>
      <c r="DK38" s="65" t="str">
        <f t="shared" si="76"/>
        <v>-</v>
      </c>
      <c r="DL38" s="65" t="str">
        <f t="shared" si="76"/>
        <v>-</v>
      </c>
      <c r="DM38" s="65" t="str">
        <f t="shared" si="76"/>
        <v>-</v>
      </c>
      <c r="DN38" s="65" t="str">
        <f t="shared" si="76"/>
        <v>-</v>
      </c>
      <c r="DO38" s="65" t="str">
        <f t="shared" si="76"/>
        <v>-</v>
      </c>
      <c r="DP38" s="65" t="str">
        <f t="shared" si="76"/>
        <v>-</v>
      </c>
      <c r="DQ38" s="65" t="str">
        <f t="shared" si="76"/>
        <v>-</v>
      </c>
      <c r="DR38" s="65" t="str">
        <f t="shared" si="76"/>
        <v>-</v>
      </c>
    </row>
    <row r="39" spans="1:122">
      <c r="A39" s="464"/>
      <c r="B39" s="509"/>
      <c r="C39" s="509"/>
      <c r="D39" s="466"/>
      <c r="E39" s="185" t="s">
        <v>68</v>
      </c>
      <c r="F39" s="65">
        <v>250</v>
      </c>
      <c r="G39" s="182"/>
      <c r="H39" s="162">
        <f>B34-3</f>
        <v>46238</v>
      </c>
      <c r="I39" s="65">
        <v>30</v>
      </c>
      <c r="J39" s="508"/>
      <c r="K39" s="504"/>
      <c r="L39" s="182"/>
      <c r="M39" s="182"/>
      <c r="N39" s="65"/>
      <c r="O39" s="66"/>
      <c r="P39" s="66"/>
      <c r="Q39" s="66"/>
      <c r="R39" s="66"/>
      <c r="S39" s="66"/>
      <c r="T39" s="66"/>
      <c r="U39" s="66"/>
      <c r="V39" s="66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>
        <v>5</v>
      </c>
      <c r="AQ39" s="185">
        <v>5</v>
      </c>
      <c r="AR39" s="185">
        <v>5</v>
      </c>
      <c r="AS39" s="185">
        <v>5</v>
      </c>
      <c r="AT39" s="185">
        <v>5</v>
      </c>
      <c r="AU39" s="185">
        <v>5</v>
      </c>
      <c r="AV39" s="185">
        <v>5</v>
      </c>
      <c r="AW39" s="185">
        <v>5</v>
      </c>
      <c r="AX39" s="185">
        <v>5</v>
      </c>
      <c r="AY39" s="185">
        <v>5</v>
      </c>
      <c r="AZ39" s="185">
        <v>5</v>
      </c>
      <c r="BA39" s="185">
        <v>5</v>
      </c>
      <c r="BB39" s="185">
        <v>5</v>
      </c>
      <c r="BC39" s="185">
        <v>5</v>
      </c>
      <c r="BD39" s="185">
        <v>5</v>
      </c>
      <c r="BE39" s="185">
        <v>5</v>
      </c>
      <c r="BF39" s="185">
        <v>5</v>
      </c>
      <c r="BG39" s="185">
        <v>5</v>
      </c>
      <c r="BH39" s="185">
        <v>5</v>
      </c>
      <c r="BI39" s="185">
        <v>5</v>
      </c>
      <c r="BJ39" s="185">
        <v>5</v>
      </c>
      <c r="BK39" s="185">
        <v>5</v>
      </c>
      <c r="BL39" s="185">
        <v>5</v>
      </c>
      <c r="BM39" s="185">
        <v>5</v>
      </c>
      <c r="BN39" s="185">
        <v>30</v>
      </c>
      <c r="BO39" s="185">
        <v>30</v>
      </c>
      <c r="BP39" s="185">
        <v>30</v>
      </c>
      <c r="BQ39" s="185">
        <v>30</v>
      </c>
      <c r="BR39" s="185">
        <v>5</v>
      </c>
      <c r="BS39" s="185">
        <v>5</v>
      </c>
      <c r="BT39" s="185"/>
      <c r="BU39" s="185"/>
      <c r="BV39" s="185"/>
      <c r="BW39" s="185"/>
      <c r="BX39" s="185"/>
      <c r="BY39" s="185"/>
      <c r="BZ39" s="185"/>
      <c r="CA39" s="185"/>
      <c r="CB39" s="185"/>
      <c r="CC39" s="185"/>
      <c r="CD39" s="185"/>
      <c r="CE39" s="185"/>
      <c r="CF39" s="185"/>
      <c r="CG39" s="185"/>
      <c r="CH39" s="185"/>
      <c r="CI39" s="185"/>
      <c r="CJ39" s="185"/>
      <c r="CK39" s="185"/>
      <c r="CL39" s="185"/>
      <c r="CM39" s="185"/>
      <c r="CN39" s="185"/>
      <c r="CO39" s="185"/>
      <c r="CP39" s="185"/>
      <c r="CQ39" s="185"/>
      <c r="CR39" s="185"/>
      <c r="CS39" s="185"/>
      <c r="CV39" s="185"/>
      <c r="CW39" s="185"/>
      <c r="CX39" s="185"/>
      <c r="CY39" s="185"/>
      <c r="CZ39" s="185"/>
      <c r="DA39" s="185"/>
      <c r="DB39" s="185"/>
      <c r="DC39" s="185"/>
      <c r="DD39" s="185"/>
      <c r="DE39" s="185"/>
      <c r="DF39" s="185"/>
      <c r="DG39" s="185"/>
      <c r="DH39" s="185"/>
      <c r="DI39" s="185"/>
      <c r="DJ39" s="185"/>
      <c r="DK39" s="185"/>
      <c r="DL39" s="185"/>
      <c r="DM39" s="185"/>
      <c r="DN39" s="185"/>
      <c r="DO39" s="185"/>
      <c r="DP39" s="185"/>
      <c r="DQ39" s="185"/>
      <c r="DR39" s="185"/>
    </row>
    <row r="40" spans="1:122" hidden="1">
      <c r="B40" s="198"/>
      <c r="E40" s="199"/>
      <c r="F40" s="199"/>
      <c r="G40" s="181" t="s">
        <v>69</v>
      </c>
      <c r="H40" s="199"/>
      <c r="I40" s="224"/>
      <c r="J40" s="199"/>
      <c r="K40" s="199"/>
      <c r="L40" s="190">
        <f t="shared" ref="L40:AQ40" ca="1" si="79">SUM(L35:L39)</f>
        <v>0</v>
      </c>
      <c r="M40" s="190">
        <f t="shared" ca="1" si="79"/>
        <v>0</v>
      </c>
      <c r="N40" s="190">
        <f t="shared" ca="1" si="79"/>
        <v>0</v>
      </c>
      <c r="O40" s="190">
        <f t="shared" ca="1" si="79"/>
        <v>0</v>
      </c>
      <c r="P40" s="190">
        <f t="shared" ca="1" si="79"/>
        <v>0</v>
      </c>
      <c r="Q40" s="190">
        <f t="shared" ca="1" si="79"/>
        <v>0</v>
      </c>
      <c r="R40" s="190">
        <f t="shared" ca="1" si="79"/>
        <v>0</v>
      </c>
      <c r="S40" s="190">
        <f t="shared" ca="1" si="79"/>
        <v>0</v>
      </c>
      <c r="T40" s="190">
        <f t="shared" ca="1" si="79"/>
        <v>0</v>
      </c>
      <c r="U40" s="190">
        <f t="shared" ca="1" si="79"/>
        <v>0</v>
      </c>
      <c r="V40" s="190">
        <f t="shared" ca="1" si="79"/>
        <v>0</v>
      </c>
      <c r="W40" s="190">
        <f t="shared" ca="1" si="79"/>
        <v>0</v>
      </c>
      <c r="X40" s="190">
        <f t="shared" ca="1" si="79"/>
        <v>0</v>
      </c>
      <c r="Y40" s="190">
        <f t="shared" ca="1" si="79"/>
        <v>0</v>
      </c>
      <c r="Z40" s="190">
        <f t="shared" ca="1" si="79"/>
        <v>0</v>
      </c>
      <c r="AA40" s="190">
        <f t="shared" ca="1" si="79"/>
        <v>0</v>
      </c>
      <c r="AB40" s="190">
        <f t="shared" ca="1" si="79"/>
        <v>0</v>
      </c>
      <c r="AC40" s="190">
        <f t="shared" ca="1" si="79"/>
        <v>0</v>
      </c>
      <c r="AD40" s="190">
        <f t="shared" ca="1" si="79"/>
        <v>0</v>
      </c>
      <c r="AE40" s="190">
        <f t="shared" ca="1" si="79"/>
        <v>0</v>
      </c>
      <c r="AF40" s="190">
        <f t="shared" ca="1" si="79"/>
        <v>0</v>
      </c>
      <c r="AG40" s="190">
        <f t="shared" ca="1" si="79"/>
        <v>0</v>
      </c>
      <c r="AH40" s="190">
        <f t="shared" ca="1" si="79"/>
        <v>0</v>
      </c>
      <c r="AI40" s="190">
        <f t="shared" ca="1" si="79"/>
        <v>0</v>
      </c>
      <c r="AJ40" s="190">
        <f t="shared" ca="1" si="79"/>
        <v>0</v>
      </c>
      <c r="AK40" s="190">
        <f t="shared" ca="1" si="79"/>
        <v>0</v>
      </c>
      <c r="AL40" s="190">
        <f t="shared" ca="1" si="79"/>
        <v>0</v>
      </c>
      <c r="AM40" s="190">
        <f t="shared" ca="1" si="79"/>
        <v>0</v>
      </c>
      <c r="AN40" s="190">
        <f t="shared" ca="1" si="79"/>
        <v>0</v>
      </c>
      <c r="AO40" s="190" t="e">
        <f t="shared" ca="1" si="79"/>
        <v>#VALUE!</v>
      </c>
      <c r="AP40" s="190" t="e">
        <f t="shared" ca="1" si="79"/>
        <v>#VALUE!</v>
      </c>
      <c r="AQ40" s="190" t="e">
        <f t="shared" ca="1" si="79"/>
        <v>#VALUE!</v>
      </c>
      <c r="AR40" s="190" t="e">
        <f t="shared" ref="AR40:BW40" ca="1" si="80">SUM(AR35:AR39)</f>
        <v>#VALUE!</v>
      </c>
      <c r="AS40" s="190" t="e">
        <f t="shared" ca="1" si="80"/>
        <v>#VALUE!</v>
      </c>
      <c r="AT40" s="190" t="e">
        <f t="shared" ca="1" si="80"/>
        <v>#VALUE!</v>
      </c>
      <c r="AU40" s="190" t="e">
        <f t="shared" ca="1" si="80"/>
        <v>#VALUE!</v>
      </c>
      <c r="AV40" s="190" t="e">
        <f t="shared" ca="1" si="80"/>
        <v>#VALUE!</v>
      </c>
      <c r="AW40" s="190" t="e">
        <f t="shared" ca="1" si="80"/>
        <v>#VALUE!</v>
      </c>
      <c r="AX40" s="190" t="e">
        <f t="shared" ca="1" si="80"/>
        <v>#VALUE!</v>
      </c>
      <c r="AY40" s="190" t="e">
        <f t="shared" ca="1" si="80"/>
        <v>#VALUE!</v>
      </c>
      <c r="AZ40" s="190" t="e">
        <f t="shared" ca="1" si="80"/>
        <v>#VALUE!</v>
      </c>
      <c r="BA40" s="190" t="e">
        <f t="shared" ca="1" si="80"/>
        <v>#VALUE!</v>
      </c>
      <c r="BB40" s="190" t="e">
        <f t="shared" ca="1" si="80"/>
        <v>#VALUE!</v>
      </c>
      <c r="BC40" s="190" t="e">
        <f t="shared" ca="1" si="80"/>
        <v>#VALUE!</v>
      </c>
      <c r="BD40" s="190" t="e">
        <f t="shared" ca="1" si="80"/>
        <v>#VALUE!</v>
      </c>
      <c r="BE40" s="190" t="e">
        <f t="shared" ca="1" si="80"/>
        <v>#VALUE!</v>
      </c>
      <c r="BF40" s="190" t="e">
        <f t="shared" ca="1" si="80"/>
        <v>#VALUE!</v>
      </c>
      <c r="BG40" s="190" t="e">
        <f t="shared" ca="1" si="80"/>
        <v>#VALUE!</v>
      </c>
      <c r="BH40" s="190">
        <f t="shared" ca="1" si="80"/>
        <v>5</v>
      </c>
      <c r="BI40" s="190">
        <f t="shared" ca="1" si="80"/>
        <v>5</v>
      </c>
      <c r="BJ40" s="190">
        <f t="shared" ca="1" si="80"/>
        <v>5</v>
      </c>
      <c r="BK40" s="190">
        <f t="shared" ca="1" si="80"/>
        <v>5</v>
      </c>
      <c r="BL40" s="190">
        <f t="shared" ca="1" si="80"/>
        <v>5</v>
      </c>
      <c r="BM40" s="190">
        <f t="shared" ca="1" si="80"/>
        <v>5</v>
      </c>
      <c r="BN40" s="190">
        <f t="shared" ca="1" si="80"/>
        <v>30</v>
      </c>
      <c r="BO40" s="190">
        <f t="shared" ca="1" si="80"/>
        <v>30</v>
      </c>
      <c r="BP40" s="190">
        <f t="shared" ca="1" si="80"/>
        <v>30</v>
      </c>
      <c r="BQ40" s="190">
        <f t="shared" ca="1" si="80"/>
        <v>30</v>
      </c>
      <c r="BR40" s="190">
        <f t="shared" ca="1" si="80"/>
        <v>5</v>
      </c>
      <c r="BS40" s="190">
        <f t="shared" ca="1" si="80"/>
        <v>5</v>
      </c>
      <c r="BT40" s="190">
        <f t="shared" ca="1" si="80"/>
        <v>0</v>
      </c>
      <c r="BU40" s="190">
        <f t="shared" ca="1" si="80"/>
        <v>0</v>
      </c>
      <c r="BV40" s="190">
        <f t="shared" ca="1" si="80"/>
        <v>0</v>
      </c>
      <c r="BW40" s="190">
        <f t="shared" ca="1" si="80"/>
        <v>0</v>
      </c>
      <c r="BX40" s="190">
        <f t="shared" ref="BX40:CS40" ca="1" si="81">SUM(BX35:BX39)</f>
        <v>0</v>
      </c>
      <c r="BY40" s="190">
        <f t="shared" ca="1" si="81"/>
        <v>0</v>
      </c>
      <c r="BZ40" s="190">
        <f t="shared" ca="1" si="81"/>
        <v>0</v>
      </c>
      <c r="CA40" s="190">
        <f t="shared" ca="1" si="81"/>
        <v>0</v>
      </c>
      <c r="CB40" s="190">
        <f t="shared" ca="1" si="81"/>
        <v>0</v>
      </c>
      <c r="CC40" s="190">
        <f t="shared" ca="1" si="81"/>
        <v>0</v>
      </c>
      <c r="CD40" s="190">
        <f t="shared" ca="1" si="81"/>
        <v>0</v>
      </c>
      <c r="CE40" s="190">
        <f t="shared" ca="1" si="81"/>
        <v>0</v>
      </c>
      <c r="CF40" s="190">
        <f t="shared" ca="1" si="81"/>
        <v>0</v>
      </c>
      <c r="CG40" s="190">
        <f t="shared" ca="1" si="81"/>
        <v>0</v>
      </c>
      <c r="CH40" s="190">
        <f t="shared" ca="1" si="81"/>
        <v>0</v>
      </c>
      <c r="CI40" s="190">
        <f t="shared" ca="1" si="81"/>
        <v>0</v>
      </c>
      <c r="CJ40" s="190">
        <f t="shared" ca="1" si="81"/>
        <v>0</v>
      </c>
      <c r="CK40" s="190">
        <f t="shared" ca="1" si="81"/>
        <v>0</v>
      </c>
      <c r="CL40" s="190">
        <f t="shared" ca="1" si="81"/>
        <v>0</v>
      </c>
      <c r="CM40" s="190">
        <f t="shared" ca="1" si="81"/>
        <v>0</v>
      </c>
      <c r="CN40" s="190">
        <f t="shared" ca="1" si="81"/>
        <v>0</v>
      </c>
      <c r="CO40" s="190">
        <f t="shared" ca="1" si="81"/>
        <v>0</v>
      </c>
      <c r="CP40" s="190">
        <f t="shared" ca="1" si="81"/>
        <v>0</v>
      </c>
      <c r="CQ40" s="190">
        <f t="shared" ca="1" si="81"/>
        <v>0</v>
      </c>
      <c r="CR40" s="190">
        <f t="shared" ca="1" si="81"/>
        <v>0</v>
      </c>
      <c r="CS40" s="190">
        <f t="shared" ca="1" si="81"/>
        <v>0</v>
      </c>
      <c r="CT40" s="207"/>
      <c r="CU40" s="207"/>
      <c r="CV40" s="190" t="e">
        <f t="shared" ref="CV40:DR40" ca="1" si="82">SUM(CV35:CV39)</f>
        <v>#VALUE!</v>
      </c>
      <c r="CW40" s="190">
        <f t="shared" ca="1" si="82"/>
        <v>0</v>
      </c>
      <c r="CX40" s="190">
        <f t="shared" ca="1" si="82"/>
        <v>0</v>
      </c>
      <c r="CY40" s="190">
        <f t="shared" ca="1" si="82"/>
        <v>0</v>
      </c>
      <c r="CZ40" s="190">
        <f t="shared" ca="1" si="82"/>
        <v>0</v>
      </c>
      <c r="DA40" s="190">
        <f t="shared" ca="1" si="82"/>
        <v>0</v>
      </c>
      <c r="DB40" s="190">
        <f t="shared" ca="1" si="82"/>
        <v>0</v>
      </c>
      <c r="DC40" s="190">
        <f t="shared" ca="1" si="82"/>
        <v>0</v>
      </c>
      <c r="DD40" s="190">
        <f t="shared" ca="1" si="82"/>
        <v>0</v>
      </c>
      <c r="DE40" s="190">
        <f t="shared" ca="1" si="82"/>
        <v>0</v>
      </c>
      <c r="DF40" s="190">
        <f t="shared" ca="1" si="82"/>
        <v>0</v>
      </c>
      <c r="DG40" s="190">
        <f t="shared" ca="1" si="82"/>
        <v>0</v>
      </c>
      <c r="DH40" s="190">
        <f t="shared" ca="1" si="82"/>
        <v>0</v>
      </c>
      <c r="DI40" s="190">
        <f t="shared" ca="1" si="82"/>
        <v>0</v>
      </c>
      <c r="DJ40" s="190">
        <f t="shared" ca="1" si="82"/>
        <v>0</v>
      </c>
      <c r="DK40" s="190">
        <f t="shared" ca="1" si="82"/>
        <v>0</v>
      </c>
      <c r="DL40" s="190">
        <f t="shared" ca="1" si="82"/>
        <v>0</v>
      </c>
      <c r="DM40" s="190">
        <f t="shared" ca="1" si="82"/>
        <v>0</v>
      </c>
      <c r="DN40" s="190">
        <f t="shared" ca="1" si="82"/>
        <v>0</v>
      </c>
      <c r="DO40" s="190">
        <f t="shared" ca="1" si="82"/>
        <v>0</v>
      </c>
      <c r="DP40" s="190">
        <f t="shared" ca="1" si="82"/>
        <v>0</v>
      </c>
      <c r="DQ40" s="190">
        <f t="shared" ca="1" si="82"/>
        <v>0</v>
      </c>
      <c r="DR40" s="190">
        <f t="shared" ca="1" si="82"/>
        <v>0</v>
      </c>
    </row>
    <row r="42" spans="1:122" s="180" customFormat="1" ht="27">
      <c r="A42" s="464" t="s">
        <v>74</v>
      </c>
      <c r="B42" s="509">
        <f>'BESS 12'!F231</f>
        <v>46258</v>
      </c>
      <c r="C42" s="509">
        <f>'BESS 12'!G231</f>
        <v>46262</v>
      </c>
      <c r="D42" s="226"/>
      <c r="E42" s="226" t="s">
        <v>10</v>
      </c>
      <c r="F42" s="217" t="s">
        <v>58</v>
      </c>
      <c r="G42" s="217" t="s">
        <v>78</v>
      </c>
      <c r="H42" s="217" t="s">
        <v>87</v>
      </c>
      <c r="I42" s="217" t="s">
        <v>59</v>
      </c>
      <c r="J42" s="216" t="s">
        <v>80</v>
      </c>
      <c r="K42" s="216" t="s">
        <v>62</v>
      </c>
      <c r="L42" s="218">
        <v>46195</v>
      </c>
      <c r="M42" s="218">
        <v>46196</v>
      </c>
      <c r="N42" s="218">
        <v>46197</v>
      </c>
      <c r="O42" s="218">
        <f t="shared" ref="O42:AT42" si="83">N42+1</f>
        <v>46198</v>
      </c>
      <c r="P42" s="218">
        <f t="shared" si="83"/>
        <v>46199</v>
      </c>
      <c r="Q42" s="218">
        <f t="shared" si="83"/>
        <v>46200</v>
      </c>
      <c r="R42" s="218">
        <f t="shared" si="83"/>
        <v>46201</v>
      </c>
      <c r="S42" s="218">
        <f t="shared" si="83"/>
        <v>46202</v>
      </c>
      <c r="T42" s="218">
        <f t="shared" si="83"/>
        <v>46203</v>
      </c>
      <c r="U42" s="218">
        <f t="shared" si="83"/>
        <v>46204</v>
      </c>
      <c r="V42" s="218">
        <f t="shared" si="83"/>
        <v>46205</v>
      </c>
      <c r="W42" s="218">
        <f t="shared" si="83"/>
        <v>46206</v>
      </c>
      <c r="X42" s="218">
        <f t="shared" si="83"/>
        <v>46207</v>
      </c>
      <c r="Y42" s="218">
        <f t="shared" si="83"/>
        <v>46208</v>
      </c>
      <c r="Z42" s="218">
        <f t="shared" si="83"/>
        <v>46209</v>
      </c>
      <c r="AA42" s="218">
        <f t="shared" si="83"/>
        <v>46210</v>
      </c>
      <c r="AB42" s="218">
        <f t="shared" si="83"/>
        <v>46211</v>
      </c>
      <c r="AC42" s="218">
        <f t="shared" si="83"/>
        <v>46212</v>
      </c>
      <c r="AD42" s="218">
        <f t="shared" si="83"/>
        <v>46213</v>
      </c>
      <c r="AE42" s="218">
        <f t="shared" si="83"/>
        <v>46214</v>
      </c>
      <c r="AF42" s="218">
        <f t="shared" si="83"/>
        <v>46215</v>
      </c>
      <c r="AG42" s="218">
        <f t="shared" si="83"/>
        <v>46216</v>
      </c>
      <c r="AH42" s="218">
        <f t="shared" si="83"/>
        <v>46217</v>
      </c>
      <c r="AI42" s="218">
        <f t="shared" si="83"/>
        <v>46218</v>
      </c>
      <c r="AJ42" s="218">
        <f t="shared" si="83"/>
        <v>46219</v>
      </c>
      <c r="AK42" s="218">
        <f t="shared" si="83"/>
        <v>46220</v>
      </c>
      <c r="AL42" s="218">
        <f t="shared" si="83"/>
        <v>46221</v>
      </c>
      <c r="AM42" s="218">
        <f t="shared" si="83"/>
        <v>46222</v>
      </c>
      <c r="AN42" s="218">
        <f t="shared" si="83"/>
        <v>46223</v>
      </c>
      <c r="AO42" s="218">
        <f t="shared" si="83"/>
        <v>46224</v>
      </c>
      <c r="AP42" s="218">
        <f t="shared" si="83"/>
        <v>46225</v>
      </c>
      <c r="AQ42" s="218">
        <f t="shared" si="83"/>
        <v>46226</v>
      </c>
      <c r="AR42" s="218">
        <f t="shared" si="83"/>
        <v>46227</v>
      </c>
      <c r="AS42" s="218">
        <f t="shared" si="83"/>
        <v>46228</v>
      </c>
      <c r="AT42" s="218">
        <f t="shared" si="83"/>
        <v>46229</v>
      </c>
      <c r="AU42" s="218">
        <f t="shared" ref="AU42:BZ42" si="84">AT42+1</f>
        <v>46230</v>
      </c>
      <c r="AV42" s="218">
        <f t="shared" si="84"/>
        <v>46231</v>
      </c>
      <c r="AW42" s="218">
        <f t="shared" si="84"/>
        <v>46232</v>
      </c>
      <c r="AX42" s="218">
        <f t="shared" si="84"/>
        <v>46233</v>
      </c>
      <c r="AY42" s="218">
        <f t="shared" si="84"/>
        <v>46234</v>
      </c>
      <c r="AZ42" s="218">
        <f t="shared" si="84"/>
        <v>46235</v>
      </c>
      <c r="BA42" s="218">
        <f t="shared" si="84"/>
        <v>46236</v>
      </c>
      <c r="BB42" s="218">
        <f t="shared" si="84"/>
        <v>46237</v>
      </c>
      <c r="BC42" s="218">
        <f t="shared" si="84"/>
        <v>46238</v>
      </c>
      <c r="BD42" s="218">
        <f t="shared" si="84"/>
        <v>46239</v>
      </c>
      <c r="BE42" s="218">
        <f t="shared" si="84"/>
        <v>46240</v>
      </c>
      <c r="BF42" s="218">
        <f t="shared" si="84"/>
        <v>46241</v>
      </c>
      <c r="BG42" s="218">
        <f t="shared" si="84"/>
        <v>46242</v>
      </c>
      <c r="BH42" s="218">
        <f t="shared" si="84"/>
        <v>46243</v>
      </c>
      <c r="BI42" s="218">
        <f t="shared" si="84"/>
        <v>46244</v>
      </c>
      <c r="BJ42" s="218">
        <f t="shared" si="84"/>
        <v>46245</v>
      </c>
      <c r="BK42" s="218">
        <f t="shared" si="84"/>
        <v>46246</v>
      </c>
      <c r="BL42" s="218">
        <f t="shared" si="84"/>
        <v>46247</v>
      </c>
      <c r="BM42" s="218">
        <f t="shared" si="84"/>
        <v>46248</v>
      </c>
      <c r="BN42" s="218">
        <f t="shared" si="84"/>
        <v>46249</v>
      </c>
      <c r="BO42" s="218">
        <f t="shared" si="84"/>
        <v>46250</v>
      </c>
      <c r="BP42" s="218">
        <f t="shared" si="84"/>
        <v>46251</v>
      </c>
      <c r="BQ42" s="218">
        <f t="shared" si="84"/>
        <v>46252</v>
      </c>
      <c r="BR42" s="218">
        <f t="shared" si="84"/>
        <v>46253</v>
      </c>
      <c r="BS42" s="218">
        <f t="shared" si="84"/>
        <v>46254</v>
      </c>
      <c r="BT42" s="218">
        <f t="shared" si="84"/>
        <v>46255</v>
      </c>
      <c r="BU42" s="218">
        <f t="shared" si="84"/>
        <v>46256</v>
      </c>
      <c r="BV42" s="218">
        <f t="shared" si="84"/>
        <v>46257</v>
      </c>
      <c r="BW42" s="218">
        <f t="shared" si="84"/>
        <v>46258</v>
      </c>
      <c r="BX42" s="218">
        <f t="shared" si="84"/>
        <v>46259</v>
      </c>
      <c r="BY42" s="218">
        <f t="shared" si="84"/>
        <v>46260</v>
      </c>
      <c r="BZ42" s="218">
        <f t="shared" si="84"/>
        <v>46261</v>
      </c>
      <c r="CA42" s="218">
        <f t="shared" ref="CA42:CS42" si="85">BZ42+1</f>
        <v>46262</v>
      </c>
      <c r="CB42" s="218">
        <f t="shared" si="85"/>
        <v>46263</v>
      </c>
      <c r="CC42" s="218">
        <f t="shared" si="85"/>
        <v>46264</v>
      </c>
      <c r="CD42" s="218">
        <f t="shared" si="85"/>
        <v>46265</v>
      </c>
      <c r="CE42" s="218">
        <f t="shared" si="85"/>
        <v>46266</v>
      </c>
      <c r="CF42" s="218">
        <f t="shared" si="85"/>
        <v>46267</v>
      </c>
      <c r="CG42" s="218">
        <f t="shared" si="85"/>
        <v>46268</v>
      </c>
      <c r="CH42" s="218">
        <f t="shared" si="85"/>
        <v>46269</v>
      </c>
      <c r="CI42" s="218">
        <f t="shared" si="85"/>
        <v>46270</v>
      </c>
      <c r="CJ42" s="218">
        <f t="shared" si="85"/>
        <v>46271</v>
      </c>
      <c r="CK42" s="218">
        <f t="shared" si="85"/>
        <v>46272</v>
      </c>
      <c r="CL42" s="218">
        <f t="shared" si="85"/>
        <v>46273</v>
      </c>
      <c r="CM42" s="218">
        <f t="shared" si="85"/>
        <v>46274</v>
      </c>
      <c r="CN42" s="218">
        <f t="shared" si="85"/>
        <v>46275</v>
      </c>
      <c r="CO42" s="218">
        <f t="shared" si="85"/>
        <v>46276</v>
      </c>
      <c r="CP42" s="218">
        <f t="shared" si="85"/>
        <v>46277</v>
      </c>
      <c r="CQ42" s="218">
        <f t="shared" si="85"/>
        <v>46278</v>
      </c>
      <c r="CR42" s="218">
        <f t="shared" si="85"/>
        <v>46279</v>
      </c>
      <c r="CS42" s="218">
        <f t="shared" si="85"/>
        <v>46280</v>
      </c>
      <c r="CV42" s="218">
        <f t="shared" ref="CV42:DR42" si="86">CU42+1</f>
        <v>1</v>
      </c>
      <c r="CW42" s="218">
        <f t="shared" si="86"/>
        <v>2</v>
      </c>
      <c r="CX42" s="218">
        <f t="shared" si="86"/>
        <v>3</v>
      </c>
      <c r="CY42" s="218">
        <f t="shared" si="86"/>
        <v>4</v>
      </c>
      <c r="CZ42" s="218">
        <f t="shared" si="86"/>
        <v>5</v>
      </c>
      <c r="DA42" s="218">
        <f t="shared" si="86"/>
        <v>6</v>
      </c>
      <c r="DB42" s="218">
        <f t="shared" si="86"/>
        <v>7</v>
      </c>
      <c r="DC42" s="218">
        <f t="shared" si="86"/>
        <v>8</v>
      </c>
      <c r="DD42" s="218">
        <f t="shared" si="86"/>
        <v>9</v>
      </c>
      <c r="DE42" s="218">
        <f t="shared" si="86"/>
        <v>10</v>
      </c>
      <c r="DF42" s="218">
        <f t="shared" si="86"/>
        <v>11</v>
      </c>
      <c r="DG42" s="218">
        <f t="shared" si="86"/>
        <v>12</v>
      </c>
      <c r="DH42" s="218">
        <f t="shared" si="86"/>
        <v>13</v>
      </c>
      <c r="DI42" s="218">
        <f t="shared" si="86"/>
        <v>14</v>
      </c>
      <c r="DJ42" s="218">
        <f t="shared" si="86"/>
        <v>15</v>
      </c>
      <c r="DK42" s="218">
        <f t="shared" si="86"/>
        <v>16</v>
      </c>
      <c r="DL42" s="218">
        <f t="shared" si="86"/>
        <v>17</v>
      </c>
      <c r="DM42" s="218">
        <f t="shared" si="86"/>
        <v>18</v>
      </c>
      <c r="DN42" s="218">
        <f t="shared" si="86"/>
        <v>19</v>
      </c>
      <c r="DO42" s="218">
        <f t="shared" si="86"/>
        <v>20</v>
      </c>
      <c r="DP42" s="218">
        <f t="shared" si="86"/>
        <v>21</v>
      </c>
      <c r="DQ42" s="218">
        <f t="shared" si="86"/>
        <v>22</v>
      </c>
      <c r="DR42" s="218">
        <f t="shared" si="86"/>
        <v>23</v>
      </c>
    </row>
    <row r="43" spans="1:122">
      <c r="A43" s="464"/>
      <c r="B43" s="509"/>
      <c r="C43" s="509"/>
      <c r="D43" s="467">
        <f>'BESS 12'!H231</f>
        <v>46265</v>
      </c>
      <c r="E43" s="185" t="s">
        <v>64</v>
      </c>
      <c r="F43" s="66" t="e">
        <f>SUM('BESS 12'!S244:S251,'BESS 12'!S253)</f>
        <v>#VALUE!</v>
      </c>
      <c r="G43" s="182">
        <f ca="1">TODAY()</f>
        <v>46233</v>
      </c>
      <c r="H43" s="162">
        <f ca="1">G43+10</f>
        <v>46243</v>
      </c>
      <c r="I43" s="66">
        <f ca="1">H43-G43</f>
        <v>10</v>
      </c>
      <c r="J43" s="506" t="e">
        <f ca="1">AVERAGEIF(L48:CS48,"&gt;0")</f>
        <v>#DIV/0!</v>
      </c>
      <c r="K43" s="506" t="e">
        <f ca="1">MAX(L48:CS48)</f>
        <v>#VALUE!</v>
      </c>
      <c r="L43" s="65" t="str">
        <f t="shared" ref="L43:U46" ca="1" si="87">IF(AND(L$2&gt;=$G43,L$2&lt;($G43+$I43)),ROUND($F43/$I43,0),"-")</f>
        <v>-</v>
      </c>
      <c r="M43" s="65" t="str">
        <f t="shared" ca="1" si="87"/>
        <v>-</v>
      </c>
      <c r="N43" s="65" t="str">
        <f t="shared" ca="1" si="87"/>
        <v>-</v>
      </c>
      <c r="O43" s="65" t="str">
        <f t="shared" ca="1" si="87"/>
        <v>-</v>
      </c>
      <c r="P43" s="65" t="str">
        <f t="shared" ca="1" si="87"/>
        <v>-</v>
      </c>
      <c r="Q43" s="65" t="str">
        <f t="shared" ca="1" si="87"/>
        <v>-</v>
      </c>
      <c r="R43" s="65" t="str">
        <f t="shared" ca="1" si="87"/>
        <v>-</v>
      </c>
      <c r="S43" s="65" t="str">
        <f t="shared" ca="1" si="87"/>
        <v>-</v>
      </c>
      <c r="T43" s="65" t="str">
        <f t="shared" ca="1" si="87"/>
        <v>-</v>
      </c>
      <c r="U43" s="65" t="str">
        <f t="shared" ca="1" si="87"/>
        <v>-</v>
      </c>
      <c r="V43" s="65" t="str">
        <f t="shared" ref="V43:AE46" ca="1" si="88">IF(AND(V$2&gt;=$G43,V$2&lt;($G43+$I43)),ROUND($F43/$I43,0),"-")</f>
        <v>-</v>
      </c>
      <c r="W43" s="65" t="str">
        <f t="shared" ca="1" si="88"/>
        <v>-</v>
      </c>
      <c r="X43" s="65" t="str">
        <f t="shared" ca="1" si="88"/>
        <v>-</v>
      </c>
      <c r="Y43" s="65" t="str">
        <f t="shared" ca="1" si="88"/>
        <v>-</v>
      </c>
      <c r="Z43" s="65" t="str">
        <f t="shared" ca="1" si="88"/>
        <v>-</v>
      </c>
      <c r="AA43" s="65" t="str">
        <f t="shared" ca="1" si="88"/>
        <v>-</v>
      </c>
      <c r="AB43" s="65" t="str">
        <f t="shared" ca="1" si="88"/>
        <v>-</v>
      </c>
      <c r="AC43" s="65" t="str">
        <f t="shared" ca="1" si="88"/>
        <v>-</v>
      </c>
      <c r="AD43" s="65" t="str">
        <f t="shared" ca="1" si="88"/>
        <v>-</v>
      </c>
      <c r="AE43" s="65" t="str">
        <f t="shared" ca="1" si="88"/>
        <v>-</v>
      </c>
      <c r="AF43" s="65" t="str">
        <f t="shared" ref="AF43:AO46" ca="1" si="89">IF(AND(AF$2&gt;=$G43,AF$2&lt;($G43+$I43)),ROUND($F43/$I43,0),"-")</f>
        <v>-</v>
      </c>
      <c r="AG43" s="65" t="str">
        <f t="shared" ca="1" si="89"/>
        <v>-</v>
      </c>
      <c r="AH43" s="65" t="str">
        <f t="shared" ca="1" si="89"/>
        <v>-</v>
      </c>
      <c r="AI43" s="65" t="str">
        <f t="shared" ca="1" si="89"/>
        <v>-</v>
      </c>
      <c r="AJ43" s="65" t="str">
        <f t="shared" ca="1" si="89"/>
        <v>-</v>
      </c>
      <c r="AK43" s="65" t="str">
        <f t="shared" ca="1" si="89"/>
        <v>-</v>
      </c>
      <c r="AL43" s="65" t="str">
        <f t="shared" ca="1" si="89"/>
        <v>-</v>
      </c>
      <c r="AM43" s="65" t="str">
        <f t="shared" ca="1" si="89"/>
        <v>-</v>
      </c>
      <c r="AN43" s="65" t="str">
        <f t="shared" ca="1" si="89"/>
        <v>-</v>
      </c>
      <c r="AO43" s="65" t="str">
        <f t="shared" ca="1" si="89"/>
        <v>-</v>
      </c>
      <c r="AP43" s="65" t="str">
        <f t="shared" ref="AP43:AY46" ca="1" si="90">IF(AND(AP$2&gt;=$G43,AP$2&lt;($G43+$I43)),ROUND($F43/$I43,0),"-")</f>
        <v>-</v>
      </c>
      <c r="AQ43" s="65" t="str">
        <f t="shared" ca="1" si="90"/>
        <v>-</v>
      </c>
      <c r="AR43" s="65" t="str">
        <f t="shared" ca="1" si="90"/>
        <v>-</v>
      </c>
      <c r="AS43" s="65" t="str">
        <f t="shared" ca="1" si="90"/>
        <v>-</v>
      </c>
      <c r="AT43" s="65" t="str">
        <f t="shared" ca="1" si="90"/>
        <v>-</v>
      </c>
      <c r="AU43" s="65" t="str">
        <f t="shared" ca="1" si="90"/>
        <v>-</v>
      </c>
      <c r="AV43" s="65" t="str">
        <f t="shared" ca="1" si="90"/>
        <v>-</v>
      </c>
      <c r="AW43" s="65" t="str">
        <f t="shared" ca="1" si="90"/>
        <v>-</v>
      </c>
      <c r="AX43" s="65" t="e">
        <f t="shared" ca="1" si="90"/>
        <v>#VALUE!</v>
      </c>
      <c r="AY43" s="65" t="e">
        <f t="shared" ca="1" si="90"/>
        <v>#VALUE!</v>
      </c>
      <c r="AZ43" s="65" t="e">
        <f t="shared" ref="AZ43:BI46" ca="1" si="91">IF(AND(AZ$2&gt;=$G43,AZ$2&lt;($G43+$I43)),ROUND($F43/$I43,0),"-")</f>
        <v>#VALUE!</v>
      </c>
      <c r="BA43" s="65" t="e">
        <f t="shared" ca="1" si="91"/>
        <v>#VALUE!</v>
      </c>
      <c r="BB43" s="65">
        <v>1</v>
      </c>
      <c r="BC43" s="65">
        <v>1</v>
      </c>
      <c r="BD43" s="65">
        <v>1</v>
      </c>
      <c r="BE43" s="65">
        <v>1</v>
      </c>
      <c r="BF43" s="65" t="e">
        <f t="shared" ca="1" si="91"/>
        <v>#VALUE!</v>
      </c>
      <c r="BG43" s="65" t="e">
        <f t="shared" ca="1" si="91"/>
        <v>#VALUE!</v>
      </c>
      <c r="BH43" s="65" t="str">
        <f t="shared" ca="1" si="91"/>
        <v>-</v>
      </c>
      <c r="BI43" s="65" t="str">
        <f t="shared" ca="1" si="91"/>
        <v>-</v>
      </c>
      <c r="BJ43" s="65" t="str">
        <f t="shared" ref="BJ43:BS46" ca="1" si="92">IF(AND(BJ$2&gt;=$G43,BJ$2&lt;($G43+$I43)),ROUND($F43/$I43,0),"-")</f>
        <v>-</v>
      </c>
      <c r="BK43" s="65" t="str">
        <f t="shared" ca="1" si="92"/>
        <v>-</v>
      </c>
      <c r="BL43" s="65" t="str">
        <f t="shared" ca="1" si="92"/>
        <v>-</v>
      </c>
      <c r="BM43" s="65" t="str">
        <f t="shared" ca="1" si="92"/>
        <v>-</v>
      </c>
      <c r="BN43" s="65" t="str">
        <f t="shared" ca="1" si="92"/>
        <v>-</v>
      </c>
      <c r="BO43" s="65" t="str">
        <f t="shared" ca="1" si="92"/>
        <v>-</v>
      </c>
      <c r="BP43" s="65" t="str">
        <f t="shared" ca="1" si="92"/>
        <v>-</v>
      </c>
      <c r="BQ43" s="65" t="str">
        <f t="shared" ca="1" si="92"/>
        <v>-</v>
      </c>
      <c r="BR43" s="65" t="str">
        <f t="shared" ca="1" si="92"/>
        <v>-</v>
      </c>
      <c r="BS43" s="65" t="str">
        <f t="shared" ca="1" si="92"/>
        <v>-</v>
      </c>
      <c r="BT43" s="65" t="str">
        <f t="shared" ref="BT43:CC46" ca="1" si="93">IF(AND(BT$2&gt;=$G43,BT$2&lt;($G43+$I43)),ROUND($F43/$I43,0),"-")</f>
        <v>-</v>
      </c>
      <c r="BU43" s="65" t="str">
        <f t="shared" ca="1" si="93"/>
        <v>-</v>
      </c>
      <c r="BV43" s="65" t="str">
        <f t="shared" ca="1" si="93"/>
        <v>-</v>
      </c>
      <c r="BW43" s="65" t="str">
        <f t="shared" ca="1" si="93"/>
        <v>-</v>
      </c>
      <c r="BX43" s="65" t="str">
        <f t="shared" ca="1" si="93"/>
        <v>-</v>
      </c>
      <c r="BY43" s="65" t="str">
        <f t="shared" ca="1" si="93"/>
        <v>-</v>
      </c>
      <c r="BZ43" s="65" t="str">
        <f t="shared" ca="1" si="93"/>
        <v>-</v>
      </c>
      <c r="CA43" s="65" t="str">
        <f t="shared" ca="1" si="93"/>
        <v>-</v>
      </c>
      <c r="CB43" s="65" t="str">
        <f t="shared" ca="1" si="93"/>
        <v>-</v>
      </c>
      <c r="CC43" s="65" t="str">
        <f t="shared" ca="1" si="93"/>
        <v>-</v>
      </c>
      <c r="CD43" s="65" t="str">
        <f t="shared" ref="CD43:CM46" ca="1" si="94">IF(AND(CD$2&gt;=$G43,CD$2&lt;($G43+$I43)),ROUND($F43/$I43,0),"-")</f>
        <v>-</v>
      </c>
      <c r="CE43" s="65" t="str">
        <f t="shared" ca="1" si="94"/>
        <v>-</v>
      </c>
      <c r="CF43" s="65" t="str">
        <f t="shared" ca="1" si="94"/>
        <v>-</v>
      </c>
      <c r="CG43" s="65" t="str">
        <f t="shared" ca="1" si="94"/>
        <v>-</v>
      </c>
      <c r="CH43" s="65" t="str">
        <f t="shared" ca="1" si="94"/>
        <v>-</v>
      </c>
      <c r="CI43" s="65" t="str">
        <f t="shared" ca="1" si="94"/>
        <v>-</v>
      </c>
      <c r="CJ43" s="65" t="str">
        <f t="shared" ca="1" si="94"/>
        <v>-</v>
      </c>
      <c r="CK43" s="65" t="str">
        <f t="shared" ca="1" si="94"/>
        <v>-</v>
      </c>
      <c r="CL43" s="65" t="str">
        <f t="shared" ca="1" si="94"/>
        <v>-</v>
      </c>
      <c r="CM43" s="65" t="str">
        <f t="shared" ca="1" si="94"/>
        <v>-</v>
      </c>
      <c r="CN43" s="65" t="str">
        <f t="shared" ref="CN43:CS46" ca="1" si="95">IF(AND(CN$2&gt;=$G43,CN$2&lt;($G43+$I43)),ROUND($F43/$I43,0),"-")</f>
        <v>-</v>
      </c>
      <c r="CO43" s="65" t="str">
        <f t="shared" ca="1" si="95"/>
        <v>-</v>
      </c>
      <c r="CP43" s="65" t="str">
        <f t="shared" ca="1" si="95"/>
        <v>-</v>
      </c>
      <c r="CQ43" s="65" t="str">
        <f t="shared" ca="1" si="95"/>
        <v>-</v>
      </c>
      <c r="CR43" s="65" t="str">
        <f t="shared" ca="1" si="95"/>
        <v>-</v>
      </c>
      <c r="CS43" s="65" t="str">
        <f t="shared" ca="1" si="95"/>
        <v>-</v>
      </c>
      <c r="CV43" s="65" t="e">
        <f t="shared" ref="CV43:DE46" ca="1" si="96">IF(AND(CV$2&gt;=$G43,CV$2&lt;($G43+$I43)),ROUND($F43/$I43,0),"-")</f>
        <v>#VALUE!</v>
      </c>
      <c r="CW43" s="65" t="str">
        <f t="shared" ca="1" si="96"/>
        <v>-</v>
      </c>
      <c r="CX43" s="65" t="str">
        <f t="shared" ca="1" si="96"/>
        <v>-</v>
      </c>
      <c r="CY43" s="65" t="str">
        <f t="shared" ca="1" si="96"/>
        <v>-</v>
      </c>
      <c r="CZ43" s="65" t="str">
        <f t="shared" ca="1" si="96"/>
        <v>-</v>
      </c>
      <c r="DA43" s="65" t="str">
        <f t="shared" ca="1" si="96"/>
        <v>-</v>
      </c>
      <c r="DB43" s="65" t="str">
        <f t="shared" ca="1" si="96"/>
        <v>-</v>
      </c>
      <c r="DC43" s="65" t="str">
        <f t="shared" ca="1" si="96"/>
        <v>-</v>
      </c>
      <c r="DD43" s="65" t="str">
        <f t="shared" ca="1" si="96"/>
        <v>-</v>
      </c>
      <c r="DE43" s="65" t="str">
        <f t="shared" ca="1" si="96"/>
        <v>-</v>
      </c>
      <c r="DF43" s="65" t="str">
        <f t="shared" ref="DF43:DR46" ca="1" si="97">IF(AND(DF$2&gt;=$G43,DF$2&lt;($G43+$I43)),ROUND($F43/$I43,0),"-")</f>
        <v>-</v>
      </c>
      <c r="DG43" s="65" t="str">
        <f t="shared" ca="1" si="97"/>
        <v>-</v>
      </c>
      <c r="DH43" s="65" t="str">
        <f t="shared" ca="1" si="97"/>
        <v>-</v>
      </c>
      <c r="DI43" s="65" t="str">
        <f t="shared" ca="1" si="97"/>
        <v>-</v>
      </c>
      <c r="DJ43" s="65" t="str">
        <f t="shared" ca="1" si="97"/>
        <v>-</v>
      </c>
      <c r="DK43" s="65" t="str">
        <f t="shared" ca="1" si="97"/>
        <v>-</v>
      </c>
      <c r="DL43" s="65" t="str">
        <f t="shared" ca="1" si="97"/>
        <v>-</v>
      </c>
      <c r="DM43" s="65" t="str">
        <f t="shared" ca="1" si="97"/>
        <v>-</v>
      </c>
      <c r="DN43" s="65" t="str">
        <f t="shared" ca="1" si="97"/>
        <v>-</v>
      </c>
      <c r="DO43" s="65" t="str">
        <f t="shared" ca="1" si="97"/>
        <v>-</v>
      </c>
      <c r="DP43" s="65" t="str">
        <f t="shared" ca="1" si="97"/>
        <v>-</v>
      </c>
      <c r="DQ43" s="65" t="str">
        <f t="shared" ca="1" si="97"/>
        <v>-</v>
      </c>
      <c r="DR43" s="65" t="str">
        <f t="shared" ca="1" si="97"/>
        <v>-</v>
      </c>
    </row>
    <row r="44" spans="1:122">
      <c r="A44" s="464"/>
      <c r="B44" s="509"/>
      <c r="C44" s="509"/>
      <c r="D44" s="466"/>
      <c r="E44" s="185" t="s">
        <v>65</v>
      </c>
      <c r="F44" s="66" t="e">
        <f>SUM('BESS 12'!S254,'BESS 12'!S256:S257,'BESS 12'!S260:S262)</f>
        <v>#VALUE!</v>
      </c>
      <c r="G44" s="182">
        <f t="shared" ref="G44" ca="1" si="98">TODAY()</f>
        <v>46233</v>
      </c>
      <c r="H44" s="162">
        <f ca="1">G44+25</f>
        <v>46258</v>
      </c>
      <c r="I44" s="66">
        <f t="shared" ref="I44:I46" ca="1" si="99">H44-G44</f>
        <v>25</v>
      </c>
      <c r="J44" s="507"/>
      <c r="K44" s="476"/>
      <c r="L44" s="65" t="str">
        <f t="shared" ca="1" si="87"/>
        <v>-</v>
      </c>
      <c r="M44" s="65" t="str">
        <f t="shared" ca="1" si="87"/>
        <v>-</v>
      </c>
      <c r="N44" s="65" t="str">
        <f t="shared" ca="1" si="87"/>
        <v>-</v>
      </c>
      <c r="O44" s="65" t="str">
        <f t="shared" ca="1" si="87"/>
        <v>-</v>
      </c>
      <c r="P44" s="65" t="str">
        <f t="shared" ca="1" si="87"/>
        <v>-</v>
      </c>
      <c r="Q44" s="65" t="str">
        <f t="shared" ca="1" si="87"/>
        <v>-</v>
      </c>
      <c r="R44" s="65" t="str">
        <f t="shared" ca="1" si="87"/>
        <v>-</v>
      </c>
      <c r="S44" s="65" t="str">
        <f t="shared" ca="1" si="87"/>
        <v>-</v>
      </c>
      <c r="T44" s="65" t="str">
        <f t="shared" ca="1" si="87"/>
        <v>-</v>
      </c>
      <c r="U44" s="65" t="str">
        <f t="shared" ca="1" si="87"/>
        <v>-</v>
      </c>
      <c r="V44" s="65" t="str">
        <f t="shared" ca="1" si="88"/>
        <v>-</v>
      </c>
      <c r="W44" s="65" t="str">
        <f t="shared" ca="1" si="88"/>
        <v>-</v>
      </c>
      <c r="X44" s="65" t="str">
        <f t="shared" ca="1" si="88"/>
        <v>-</v>
      </c>
      <c r="Y44" s="65" t="str">
        <f t="shared" ca="1" si="88"/>
        <v>-</v>
      </c>
      <c r="Z44" s="65" t="str">
        <f t="shared" ca="1" si="88"/>
        <v>-</v>
      </c>
      <c r="AA44" s="65" t="str">
        <f t="shared" ca="1" si="88"/>
        <v>-</v>
      </c>
      <c r="AB44" s="65" t="str">
        <f t="shared" ca="1" si="88"/>
        <v>-</v>
      </c>
      <c r="AC44" s="65" t="str">
        <f t="shared" ca="1" si="88"/>
        <v>-</v>
      </c>
      <c r="AD44" s="65" t="str">
        <f t="shared" ca="1" si="88"/>
        <v>-</v>
      </c>
      <c r="AE44" s="65" t="str">
        <f t="shared" ca="1" si="88"/>
        <v>-</v>
      </c>
      <c r="AF44" s="65" t="str">
        <f t="shared" ca="1" si="89"/>
        <v>-</v>
      </c>
      <c r="AG44" s="65" t="str">
        <f t="shared" ca="1" si="89"/>
        <v>-</v>
      </c>
      <c r="AH44" s="65" t="str">
        <f t="shared" ca="1" si="89"/>
        <v>-</v>
      </c>
      <c r="AI44" s="65" t="str">
        <f t="shared" ca="1" si="89"/>
        <v>-</v>
      </c>
      <c r="AJ44" s="65" t="str">
        <f t="shared" ca="1" si="89"/>
        <v>-</v>
      </c>
      <c r="AK44" s="65" t="str">
        <f t="shared" ca="1" si="89"/>
        <v>-</v>
      </c>
      <c r="AL44" s="65" t="str">
        <f t="shared" ca="1" si="89"/>
        <v>-</v>
      </c>
      <c r="AM44" s="65" t="str">
        <f t="shared" ca="1" si="89"/>
        <v>-</v>
      </c>
      <c r="AN44" s="65" t="str">
        <f t="shared" ca="1" si="89"/>
        <v>-</v>
      </c>
      <c r="AO44" s="65" t="str">
        <f t="shared" ca="1" si="89"/>
        <v>-</v>
      </c>
      <c r="AP44" s="65" t="str">
        <f t="shared" ca="1" si="90"/>
        <v>-</v>
      </c>
      <c r="AQ44" s="65" t="str">
        <f t="shared" ca="1" si="90"/>
        <v>-</v>
      </c>
      <c r="AR44" s="65" t="str">
        <f t="shared" ca="1" si="90"/>
        <v>-</v>
      </c>
      <c r="AS44" s="65" t="str">
        <f t="shared" ca="1" si="90"/>
        <v>-</v>
      </c>
      <c r="AT44" s="65" t="str">
        <f t="shared" ca="1" si="90"/>
        <v>-</v>
      </c>
      <c r="AU44" s="65" t="str">
        <f t="shared" ca="1" si="90"/>
        <v>-</v>
      </c>
      <c r="AV44" s="65" t="str">
        <f t="shared" ca="1" si="90"/>
        <v>-</v>
      </c>
      <c r="AW44" s="65" t="str">
        <f t="shared" ca="1" si="90"/>
        <v>-</v>
      </c>
      <c r="AX44" s="65" t="e">
        <f t="shared" ca="1" si="90"/>
        <v>#VALUE!</v>
      </c>
      <c r="AY44" s="65" t="e">
        <f t="shared" ca="1" si="90"/>
        <v>#VALUE!</v>
      </c>
      <c r="AZ44" s="65" t="e">
        <f t="shared" ca="1" si="91"/>
        <v>#VALUE!</v>
      </c>
      <c r="BA44" s="65" t="e">
        <f t="shared" ca="1" si="91"/>
        <v>#VALUE!</v>
      </c>
      <c r="BB44" s="65" t="e">
        <f ca="1">IF(AND(BB$2&gt;=$G44,BB$2&lt;($G44+$I44)),ROUND($F44/$I44,0),"-")</f>
        <v>#VALUE!</v>
      </c>
      <c r="BC44" s="65" t="e">
        <f ca="1">IF(AND(BC$2&gt;=$G44,BC$2&lt;($G44+$I44)),ROUND($F44/$I44,0),"-")</f>
        <v>#VALUE!</v>
      </c>
      <c r="BD44" s="65" t="e">
        <f ca="1">IF(AND(BD$2&gt;=$G44,BD$2&lt;($G44+$I44)),ROUND($F44/$I44,0),"-")</f>
        <v>#VALUE!</v>
      </c>
      <c r="BE44" s="65" t="e">
        <f ca="1">IF(AND(BE$2&gt;=$G44,BE$2&lt;($G44+$I44)),ROUND($F44/$I44,0),"-")</f>
        <v>#VALUE!</v>
      </c>
      <c r="BF44" s="65" t="e">
        <f t="shared" ca="1" si="91"/>
        <v>#VALUE!</v>
      </c>
      <c r="BG44" s="65" t="e">
        <f t="shared" ca="1" si="91"/>
        <v>#VALUE!</v>
      </c>
      <c r="BH44" s="65" t="e">
        <f t="shared" ca="1" si="91"/>
        <v>#VALUE!</v>
      </c>
      <c r="BI44" s="65" t="e">
        <f t="shared" ca="1" si="91"/>
        <v>#VALUE!</v>
      </c>
      <c r="BJ44" s="65" t="e">
        <f t="shared" ca="1" si="92"/>
        <v>#VALUE!</v>
      </c>
      <c r="BK44" s="65" t="e">
        <f t="shared" ca="1" si="92"/>
        <v>#VALUE!</v>
      </c>
      <c r="BL44" s="65" t="e">
        <f t="shared" ca="1" si="92"/>
        <v>#VALUE!</v>
      </c>
      <c r="BM44" s="65" t="e">
        <f t="shared" ca="1" si="92"/>
        <v>#VALUE!</v>
      </c>
      <c r="BN44" s="65" t="e">
        <f t="shared" ca="1" si="92"/>
        <v>#VALUE!</v>
      </c>
      <c r="BO44" s="65" t="e">
        <f t="shared" ca="1" si="92"/>
        <v>#VALUE!</v>
      </c>
      <c r="BP44" s="65" t="e">
        <f t="shared" ca="1" si="92"/>
        <v>#VALUE!</v>
      </c>
      <c r="BQ44" s="65" t="e">
        <f t="shared" ca="1" si="92"/>
        <v>#VALUE!</v>
      </c>
      <c r="BR44" s="65" t="e">
        <f t="shared" ca="1" si="92"/>
        <v>#VALUE!</v>
      </c>
      <c r="BS44" s="65" t="e">
        <f t="shared" ca="1" si="92"/>
        <v>#VALUE!</v>
      </c>
      <c r="BT44" s="65" t="e">
        <f t="shared" ca="1" si="93"/>
        <v>#VALUE!</v>
      </c>
      <c r="BU44" s="65" t="e">
        <f t="shared" ca="1" si="93"/>
        <v>#VALUE!</v>
      </c>
      <c r="BV44" s="65" t="e">
        <f t="shared" ca="1" si="93"/>
        <v>#VALUE!</v>
      </c>
      <c r="BW44" s="65" t="str">
        <f t="shared" ca="1" si="93"/>
        <v>-</v>
      </c>
      <c r="BX44" s="65" t="str">
        <f t="shared" ca="1" si="93"/>
        <v>-</v>
      </c>
      <c r="BY44" s="65" t="str">
        <f t="shared" ca="1" si="93"/>
        <v>-</v>
      </c>
      <c r="BZ44" s="65" t="str">
        <f t="shared" ca="1" si="93"/>
        <v>-</v>
      </c>
      <c r="CA44" s="65" t="str">
        <f t="shared" ca="1" si="93"/>
        <v>-</v>
      </c>
      <c r="CB44" s="65" t="str">
        <f t="shared" ca="1" si="93"/>
        <v>-</v>
      </c>
      <c r="CC44" s="65" t="str">
        <f t="shared" ca="1" si="93"/>
        <v>-</v>
      </c>
      <c r="CD44" s="65" t="str">
        <f t="shared" ca="1" si="94"/>
        <v>-</v>
      </c>
      <c r="CE44" s="65" t="str">
        <f t="shared" ca="1" si="94"/>
        <v>-</v>
      </c>
      <c r="CF44" s="65" t="str">
        <f t="shared" ca="1" si="94"/>
        <v>-</v>
      </c>
      <c r="CG44" s="65" t="str">
        <f t="shared" ca="1" si="94"/>
        <v>-</v>
      </c>
      <c r="CH44" s="65" t="str">
        <f t="shared" ca="1" si="94"/>
        <v>-</v>
      </c>
      <c r="CI44" s="65" t="str">
        <f t="shared" ca="1" si="94"/>
        <v>-</v>
      </c>
      <c r="CJ44" s="65" t="str">
        <f t="shared" ca="1" si="94"/>
        <v>-</v>
      </c>
      <c r="CK44" s="65" t="str">
        <f t="shared" ca="1" si="94"/>
        <v>-</v>
      </c>
      <c r="CL44" s="65" t="str">
        <f t="shared" ca="1" si="94"/>
        <v>-</v>
      </c>
      <c r="CM44" s="65" t="str">
        <f t="shared" ca="1" si="94"/>
        <v>-</v>
      </c>
      <c r="CN44" s="65" t="str">
        <f t="shared" ca="1" si="95"/>
        <v>-</v>
      </c>
      <c r="CO44" s="65" t="str">
        <f t="shared" ca="1" si="95"/>
        <v>-</v>
      </c>
      <c r="CP44" s="65" t="str">
        <f t="shared" ca="1" si="95"/>
        <v>-</v>
      </c>
      <c r="CQ44" s="65" t="str">
        <f t="shared" ca="1" si="95"/>
        <v>-</v>
      </c>
      <c r="CR44" s="65" t="str">
        <f t="shared" ca="1" si="95"/>
        <v>-</v>
      </c>
      <c r="CS44" s="65" t="str">
        <f t="shared" ca="1" si="95"/>
        <v>-</v>
      </c>
      <c r="CV44" s="65" t="e">
        <f t="shared" ca="1" si="96"/>
        <v>#VALUE!</v>
      </c>
      <c r="CW44" s="65" t="str">
        <f t="shared" ca="1" si="96"/>
        <v>-</v>
      </c>
      <c r="CX44" s="65" t="str">
        <f t="shared" ca="1" si="96"/>
        <v>-</v>
      </c>
      <c r="CY44" s="65" t="str">
        <f t="shared" ca="1" si="96"/>
        <v>-</v>
      </c>
      <c r="CZ44" s="65" t="str">
        <f t="shared" ca="1" si="96"/>
        <v>-</v>
      </c>
      <c r="DA44" s="65" t="str">
        <f t="shared" ca="1" si="96"/>
        <v>-</v>
      </c>
      <c r="DB44" s="65" t="str">
        <f t="shared" ca="1" si="96"/>
        <v>-</v>
      </c>
      <c r="DC44" s="65" t="str">
        <f t="shared" ca="1" si="96"/>
        <v>-</v>
      </c>
      <c r="DD44" s="65" t="str">
        <f t="shared" ca="1" si="96"/>
        <v>-</v>
      </c>
      <c r="DE44" s="65" t="str">
        <f t="shared" ca="1" si="96"/>
        <v>-</v>
      </c>
      <c r="DF44" s="65" t="str">
        <f t="shared" ca="1" si="97"/>
        <v>-</v>
      </c>
      <c r="DG44" s="65" t="str">
        <f t="shared" ca="1" si="97"/>
        <v>-</v>
      </c>
      <c r="DH44" s="65" t="str">
        <f t="shared" ca="1" si="97"/>
        <v>-</v>
      </c>
      <c r="DI44" s="65" t="str">
        <f t="shared" ca="1" si="97"/>
        <v>-</v>
      </c>
      <c r="DJ44" s="65" t="str">
        <f t="shared" ca="1" si="97"/>
        <v>-</v>
      </c>
      <c r="DK44" s="65" t="str">
        <f t="shared" ca="1" si="97"/>
        <v>-</v>
      </c>
      <c r="DL44" s="65" t="str">
        <f t="shared" ca="1" si="97"/>
        <v>-</v>
      </c>
      <c r="DM44" s="65" t="str">
        <f t="shared" ca="1" si="97"/>
        <v>-</v>
      </c>
      <c r="DN44" s="65" t="str">
        <f t="shared" ca="1" si="97"/>
        <v>-</v>
      </c>
      <c r="DO44" s="65" t="str">
        <f t="shared" ca="1" si="97"/>
        <v>-</v>
      </c>
      <c r="DP44" s="65" t="str">
        <f t="shared" ca="1" si="97"/>
        <v>-</v>
      </c>
      <c r="DQ44" s="65" t="str">
        <f t="shared" ca="1" si="97"/>
        <v>-</v>
      </c>
      <c r="DR44" s="65" t="str">
        <f t="shared" ca="1" si="97"/>
        <v>-</v>
      </c>
    </row>
    <row r="45" spans="1:122">
      <c r="A45" s="464"/>
      <c r="B45" s="509"/>
      <c r="C45" s="509"/>
      <c r="D45" s="466"/>
      <c r="E45" s="185" t="s">
        <v>66</v>
      </c>
      <c r="F45" s="66" t="e">
        <f>SUM('BESS 12'!S255,'BESS 12'!S259,'BESS 12'!S263:S264,461)</f>
        <v>#VALUE!</v>
      </c>
      <c r="G45" s="182">
        <f ca="1">G44+5</f>
        <v>46238</v>
      </c>
      <c r="H45" s="162">
        <f ca="1">G45+25</f>
        <v>46263</v>
      </c>
      <c r="I45" s="66">
        <f t="shared" ca="1" si="99"/>
        <v>25</v>
      </c>
      <c r="J45" s="507"/>
      <c r="K45" s="476"/>
      <c r="L45" s="65" t="str">
        <f t="shared" ca="1" si="87"/>
        <v>-</v>
      </c>
      <c r="M45" s="65" t="str">
        <f t="shared" ca="1" si="87"/>
        <v>-</v>
      </c>
      <c r="N45" s="65" t="str">
        <f t="shared" ca="1" si="87"/>
        <v>-</v>
      </c>
      <c r="O45" s="65" t="str">
        <f t="shared" ca="1" si="87"/>
        <v>-</v>
      </c>
      <c r="P45" s="65" t="str">
        <f t="shared" ca="1" si="87"/>
        <v>-</v>
      </c>
      <c r="Q45" s="65" t="str">
        <f t="shared" ca="1" si="87"/>
        <v>-</v>
      </c>
      <c r="R45" s="65" t="str">
        <f t="shared" ca="1" si="87"/>
        <v>-</v>
      </c>
      <c r="S45" s="65" t="str">
        <f t="shared" ca="1" si="87"/>
        <v>-</v>
      </c>
      <c r="T45" s="65" t="str">
        <f t="shared" ca="1" si="87"/>
        <v>-</v>
      </c>
      <c r="U45" s="65" t="str">
        <f t="shared" ca="1" si="87"/>
        <v>-</v>
      </c>
      <c r="V45" s="65" t="str">
        <f t="shared" ca="1" si="88"/>
        <v>-</v>
      </c>
      <c r="W45" s="65" t="str">
        <f t="shared" ca="1" si="88"/>
        <v>-</v>
      </c>
      <c r="X45" s="65" t="str">
        <f t="shared" ca="1" si="88"/>
        <v>-</v>
      </c>
      <c r="Y45" s="65" t="str">
        <f t="shared" ca="1" si="88"/>
        <v>-</v>
      </c>
      <c r="Z45" s="65" t="str">
        <f t="shared" ca="1" si="88"/>
        <v>-</v>
      </c>
      <c r="AA45" s="65" t="str">
        <f t="shared" ca="1" si="88"/>
        <v>-</v>
      </c>
      <c r="AB45" s="65" t="str">
        <f t="shared" ca="1" si="88"/>
        <v>-</v>
      </c>
      <c r="AC45" s="65" t="str">
        <f t="shared" ca="1" si="88"/>
        <v>-</v>
      </c>
      <c r="AD45" s="65" t="str">
        <f t="shared" ca="1" si="88"/>
        <v>-</v>
      </c>
      <c r="AE45" s="65" t="str">
        <f t="shared" ca="1" si="88"/>
        <v>-</v>
      </c>
      <c r="AF45" s="65" t="str">
        <f t="shared" ca="1" si="89"/>
        <v>-</v>
      </c>
      <c r="AG45" s="65" t="str">
        <f t="shared" ca="1" si="89"/>
        <v>-</v>
      </c>
      <c r="AH45" s="65" t="str">
        <f t="shared" ca="1" si="89"/>
        <v>-</v>
      </c>
      <c r="AI45" s="65" t="str">
        <f t="shared" ca="1" si="89"/>
        <v>-</v>
      </c>
      <c r="AJ45" s="65" t="str">
        <f t="shared" ca="1" si="89"/>
        <v>-</v>
      </c>
      <c r="AK45" s="65" t="str">
        <f t="shared" ca="1" si="89"/>
        <v>-</v>
      </c>
      <c r="AL45" s="65" t="str">
        <f t="shared" ca="1" si="89"/>
        <v>-</v>
      </c>
      <c r="AM45" s="65" t="str">
        <f t="shared" ca="1" si="89"/>
        <v>-</v>
      </c>
      <c r="AN45" s="65" t="str">
        <f t="shared" ca="1" si="89"/>
        <v>-</v>
      </c>
      <c r="AO45" s="65" t="str">
        <f t="shared" ca="1" si="89"/>
        <v>-</v>
      </c>
      <c r="AP45" s="65" t="str">
        <f t="shared" ca="1" si="90"/>
        <v>-</v>
      </c>
      <c r="AQ45" s="65" t="str">
        <f t="shared" ca="1" si="90"/>
        <v>-</v>
      </c>
      <c r="AR45" s="65" t="str">
        <f t="shared" ca="1" si="90"/>
        <v>-</v>
      </c>
      <c r="AS45" s="65" t="str">
        <f t="shared" ca="1" si="90"/>
        <v>-</v>
      </c>
      <c r="AT45" s="65" t="str">
        <f t="shared" ca="1" si="90"/>
        <v>-</v>
      </c>
      <c r="AU45" s="65" t="str">
        <f t="shared" ca="1" si="90"/>
        <v>-</v>
      </c>
      <c r="AV45" s="65" t="str">
        <f t="shared" ca="1" si="90"/>
        <v>-</v>
      </c>
      <c r="AW45" s="65" t="str">
        <f t="shared" ca="1" si="90"/>
        <v>-</v>
      </c>
      <c r="AX45" s="65" t="str">
        <f t="shared" ca="1" si="90"/>
        <v>-</v>
      </c>
      <c r="AY45" s="65" t="str">
        <f t="shared" ca="1" si="90"/>
        <v>-</v>
      </c>
      <c r="AZ45" s="65" t="str">
        <f t="shared" ca="1" si="91"/>
        <v>-</v>
      </c>
      <c r="BA45" s="65" t="str">
        <f t="shared" ca="1" si="91"/>
        <v>-</v>
      </c>
      <c r="BB45" s="65">
        <v>182</v>
      </c>
      <c r="BC45" s="65">
        <v>182</v>
      </c>
      <c r="BD45" s="65">
        <v>182</v>
      </c>
      <c r="BE45" s="65">
        <v>182</v>
      </c>
      <c r="BF45" s="65" t="e">
        <f t="shared" ca="1" si="91"/>
        <v>#VALUE!</v>
      </c>
      <c r="BG45" s="65" t="e">
        <f t="shared" ca="1" si="91"/>
        <v>#VALUE!</v>
      </c>
      <c r="BH45" s="65" t="e">
        <f t="shared" ca="1" si="91"/>
        <v>#VALUE!</v>
      </c>
      <c r="BI45" s="65" t="e">
        <f t="shared" ca="1" si="91"/>
        <v>#VALUE!</v>
      </c>
      <c r="BJ45" s="65" t="e">
        <f t="shared" ca="1" si="92"/>
        <v>#VALUE!</v>
      </c>
      <c r="BK45" s="65" t="e">
        <f t="shared" ca="1" si="92"/>
        <v>#VALUE!</v>
      </c>
      <c r="BL45" s="65" t="e">
        <f t="shared" ca="1" si="92"/>
        <v>#VALUE!</v>
      </c>
      <c r="BM45" s="65" t="e">
        <f t="shared" ca="1" si="92"/>
        <v>#VALUE!</v>
      </c>
      <c r="BN45" s="65" t="e">
        <f t="shared" ca="1" si="92"/>
        <v>#VALUE!</v>
      </c>
      <c r="BO45" s="65" t="e">
        <f t="shared" ca="1" si="92"/>
        <v>#VALUE!</v>
      </c>
      <c r="BP45" s="65" t="e">
        <f t="shared" ca="1" si="92"/>
        <v>#VALUE!</v>
      </c>
      <c r="BQ45" s="65" t="e">
        <f t="shared" ca="1" si="92"/>
        <v>#VALUE!</v>
      </c>
      <c r="BR45" s="65" t="e">
        <f t="shared" ca="1" si="92"/>
        <v>#VALUE!</v>
      </c>
      <c r="BS45" s="65" t="e">
        <f t="shared" ca="1" si="92"/>
        <v>#VALUE!</v>
      </c>
      <c r="BT45" s="65" t="e">
        <f t="shared" ca="1" si="93"/>
        <v>#VALUE!</v>
      </c>
      <c r="BU45" s="65" t="e">
        <f t="shared" ca="1" si="93"/>
        <v>#VALUE!</v>
      </c>
      <c r="BV45" s="65" t="e">
        <f t="shared" ca="1" si="93"/>
        <v>#VALUE!</v>
      </c>
      <c r="BW45" s="65" t="e">
        <f t="shared" ca="1" si="93"/>
        <v>#VALUE!</v>
      </c>
      <c r="BX45" s="65" t="e">
        <f t="shared" ca="1" si="93"/>
        <v>#VALUE!</v>
      </c>
      <c r="BY45" s="65" t="e">
        <f t="shared" ca="1" si="93"/>
        <v>#VALUE!</v>
      </c>
      <c r="BZ45" s="65" t="e">
        <f t="shared" ca="1" si="93"/>
        <v>#VALUE!</v>
      </c>
      <c r="CA45" s="65" t="e">
        <f t="shared" ca="1" si="93"/>
        <v>#VALUE!</v>
      </c>
      <c r="CB45" s="65" t="str">
        <f t="shared" ca="1" si="93"/>
        <v>-</v>
      </c>
      <c r="CC45" s="65" t="str">
        <f t="shared" ca="1" si="93"/>
        <v>-</v>
      </c>
      <c r="CD45" s="65" t="str">
        <f t="shared" ca="1" si="94"/>
        <v>-</v>
      </c>
      <c r="CE45" s="65" t="str">
        <f t="shared" ca="1" si="94"/>
        <v>-</v>
      </c>
      <c r="CF45" s="65" t="str">
        <f t="shared" ca="1" si="94"/>
        <v>-</v>
      </c>
      <c r="CG45" s="65" t="str">
        <f t="shared" ca="1" si="94"/>
        <v>-</v>
      </c>
      <c r="CH45" s="65" t="str">
        <f t="shared" ca="1" si="94"/>
        <v>-</v>
      </c>
      <c r="CI45" s="65" t="str">
        <f t="shared" ca="1" si="94"/>
        <v>-</v>
      </c>
      <c r="CJ45" s="65" t="str">
        <f t="shared" ca="1" si="94"/>
        <v>-</v>
      </c>
      <c r="CK45" s="65" t="str">
        <f t="shared" ca="1" si="94"/>
        <v>-</v>
      </c>
      <c r="CL45" s="65" t="str">
        <f t="shared" ca="1" si="94"/>
        <v>-</v>
      </c>
      <c r="CM45" s="65" t="str">
        <f t="shared" ca="1" si="94"/>
        <v>-</v>
      </c>
      <c r="CN45" s="65" t="str">
        <f t="shared" ca="1" si="95"/>
        <v>-</v>
      </c>
      <c r="CO45" s="65" t="str">
        <f t="shared" ca="1" si="95"/>
        <v>-</v>
      </c>
      <c r="CP45" s="65" t="str">
        <f t="shared" ca="1" si="95"/>
        <v>-</v>
      </c>
      <c r="CQ45" s="65" t="str">
        <f t="shared" ca="1" si="95"/>
        <v>-</v>
      </c>
      <c r="CR45" s="65" t="str">
        <f t="shared" ca="1" si="95"/>
        <v>-</v>
      </c>
      <c r="CS45" s="65" t="str">
        <f t="shared" ca="1" si="95"/>
        <v>-</v>
      </c>
      <c r="CV45" s="65" t="e">
        <f t="shared" ca="1" si="96"/>
        <v>#VALUE!</v>
      </c>
      <c r="CW45" s="65" t="str">
        <f t="shared" ca="1" si="96"/>
        <v>-</v>
      </c>
      <c r="CX45" s="65" t="str">
        <f t="shared" ca="1" si="96"/>
        <v>-</v>
      </c>
      <c r="CY45" s="65" t="str">
        <f t="shared" ca="1" si="96"/>
        <v>-</v>
      </c>
      <c r="CZ45" s="65" t="str">
        <f t="shared" ca="1" si="96"/>
        <v>-</v>
      </c>
      <c r="DA45" s="65" t="str">
        <f t="shared" ca="1" si="96"/>
        <v>-</v>
      </c>
      <c r="DB45" s="65" t="str">
        <f t="shared" ca="1" si="96"/>
        <v>-</v>
      </c>
      <c r="DC45" s="65" t="str">
        <f t="shared" ca="1" si="96"/>
        <v>-</v>
      </c>
      <c r="DD45" s="65" t="str">
        <f t="shared" ca="1" si="96"/>
        <v>-</v>
      </c>
      <c r="DE45" s="65" t="str">
        <f t="shared" ca="1" si="96"/>
        <v>-</v>
      </c>
      <c r="DF45" s="65" t="str">
        <f t="shared" ca="1" si="97"/>
        <v>-</v>
      </c>
      <c r="DG45" s="65" t="str">
        <f t="shared" ca="1" si="97"/>
        <v>-</v>
      </c>
      <c r="DH45" s="65" t="str">
        <f t="shared" ca="1" si="97"/>
        <v>-</v>
      </c>
      <c r="DI45" s="65" t="str">
        <f t="shared" ca="1" si="97"/>
        <v>-</v>
      </c>
      <c r="DJ45" s="65" t="str">
        <f t="shared" ca="1" si="97"/>
        <v>-</v>
      </c>
      <c r="DK45" s="65" t="str">
        <f t="shared" ca="1" si="97"/>
        <v>-</v>
      </c>
      <c r="DL45" s="65" t="str">
        <f t="shared" ca="1" si="97"/>
        <v>-</v>
      </c>
      <c r="DM45" s="65" t="str">
        <f t="shared" ca="1" si="97"/>
        <v>-</v>
      </c>
      <c r="DN45" s="65" t="str">
        <f t="shared" ca="1" si="97"/>
        <v>-</v>
      </c>
      <c r="DO45" s="65" t="str">
        <f t="shared" ca="1" si="97"/>
        <v>-</v>
      </c>
      <c r="DP45" s="65" t="str">
        <f t="shared" ca="1" si="97"/>
        <v>-</v>
      </c>
      <c r="DQ45" s="65" t="str">
        <f t="shared" ca="1" si="97"/>
        <v>-</v>
      </c>
      <c r="DR45" s="65" t="str">
        <f t="shared" ca="1" si="97"/>
        <v>-</v>
      </c>
    </row>
    <row r="46" spans="1:122">
      <c r="A46" s="464"/>
      <c r="B46" s="509"/>
      <c r="C46" s="509"/>
      <c r="D46" s="466"/>
      <c r="E46" s="185" t="s">
        <v>67</v>
      </c>
      <c r="F46" s="66" t="e">
        <f>SUM('BESS 12'!S266:S275)</f>
        <v>#VALUE!</v>
      </c>
      <c r="G46" s="182">
        <f ca="1">H45-5</f>
        <v>46258</v>
      </c>
      <c r="H46" s="162">
        <f ca="1">G46+14</f>
        <v>46272</v>
      </c>
      <c r="I46" s="66">
        <f t="shared" ca="1" si="99"/>
        <v>14</v>
      </c>
      <c r="J46" s="507"/>
      <c r="K46" s="476"/>
      <c r="L46" s="65" t="str">
        <f t="shared" ca="1" si="87"/>
        <v>-</v>
      </c>
      <c r="M46" s="65" t="str">
        <f t="shared" ca="1" si="87"/>
        <v>-</v>
      </c>
      <c r="N46" s="65" t="str">
        <f t="shared" ca="1" si="87"/>
        <v>-</v>
      </c>
      <c r="O46" s="65" t="str">
        <f t="shared" ca="1" si="87"/>
        <v>-</v>
      </c>
      <c r="P46" s="65" t="str">
        <f t="shared" ca="1" si="87"/>
        <v>-</v>
      </c>
      <c r="Q46" s="65" t="str">
        <f t="shared" ca="1" si="87"/>
        <v>-</v>
      </c>
      <c r="R46" s="65" t="str">
        <f t="shared" ca="1" si="87"/>
        <v>-</v>
      </c>
      <c r="S46" s="65" t="str">
        <f t="shared" ca="1" si="87"/>
        <v>-</v>
      </c>
      <c r="T46" s="65" t="str">
        <f t="shared" ca="1" si="87"/>
        <v>-</v>
      </c>
      <c r="U46" s="65" t="str">
        <f t="shared" ca="1" si="87"/>
        <v>-</v>
      </c>
      <c r="V46" s="65" t="str">
        <f t="shared" ca="1" si="88"/>
        <v>-</v>
      </c>
      <c r="W46" s="65" t="str">
        <f t="shared" ca="1" si="88"/>
        <v>-</v>
      </c>
      <c r="X46" s="65" t="str">
        <f t="shared" ca="1" si="88"/>
        <v>-</v>
      </c>
      <c r="Y46" s="65" t="str">
        <f t="shared" ca="1" si="88"/>
        <v>-</v>
      </c>
      <c r="Z46" s="65" t="str">
        <f t="shared" ca="1" si="88"/>
        <v>-</v>
      </c>
      <c r="AA46" s="65" t="str">
        <f t="shared" ca="1" si="88"/>
        <v>-</v>
      </c>
      <c r="AB46" s="65" t="str">
        <f t="shared" ca="1" si="88"/>
        <v>-</v>
      </c>
      <c r="AC46" s="65" t="str">
        <f t="shared" ca="1" si="88"/>
        <v>-</v>
      </c>
      <c r="AD46" s="65" t="str">
        <f t="shared" ca="1" si="88"/>
        <v>-</v>
      </c>
      <c r="AE46" s="65" t="str">
        <f t="shared" ca="1" si="88"/>
        <v>-</v>
      </c>
      <c r="AF46" s="65" t="str">
        <f t="shared" ca="1" si="89"/>
        <v>-</v>
      </c>
      <c r="AG46" s="65" t="str">
        <f t="shared" ca="1" si="89"/>
        <v>-</v>
      </c>
      <c r="AH46" s="65" t="str">
        <f t="shared" ca="1" si="89"/>
        <v>-</v>
      </c>
      <c r="AI46" s="65" t="str">
        <f t="shared" ca="1" si="89"/>
        <v>-</v>
      </c>
      <c r="AJ46" s="65" t="str">
        <f t="shared" ca="1" si="89"/>
        <v>-</v>
      </c>
      <c r="AK46" s="65" t="str">
        <f t="shared" ca="1" si="89"/>
        <v>-</v>
      </c>
      <c r="AL46" s="65" t="str">
        <f t="shared" ca="1" si="89"/>
        <v>-</v>
      </c>
      <c r="AM46" s="65" t="str">
        <f t="shared" ca="1" si="89"/>
        <v>-</v>
      </c>
      <c r="AN46" s="65" t="str">
        <f t="shared" ca="1" si="89"/>
        <v>-</v>
      </c>
      <c r="AO46" s="65" t="str">
        <f t="shared" ca="1" si="89"/>
        <v>-</v>
      </c>
      <c r="AP46" s="65" t="str">
        <f t="shared" ca="1" si="90"/>
        <v>-</v>
      </c>
      <c r="AQ46" s="65" t="str">
        <f t="shared" ca="1" si="90"/>
        <v>-</v>
      </c>
      <c r="AR46" s="65" t="str">
        <f t="shared" ca="1" si="90"/>
        <v>-</v>
      </c>
      <c r="AS46" s="65" t="str">
        <f t="shared" ca="1" si="90"/>
        <v>-</v>
      </c>
      <c r="AT46" s="65" t="str">
        <f t="shared" ca="1" si="90"/>
        <v>-</v>
      </c>
      <c r="AU46" s="65" t="str">
        <f t="shared" ca="1" si="90"/>
        <v>-</v>
      </c>
      <c r="AV46" s="65" t="str">
        <f t="shared" ca="1" si="90"/>
        <v>-</v>
      </c>
      <c r="AW46" s="65" t="str">
        <f t="shared" ca="1" si="90"/>
        <v>-</v>
      </c>
      <c r="AX46" s="65" t="str">
        <f t="shared" ca="1" si="90"/>
        <v>-</v>
      </c>
      <c r="AY46" s="65" t="str">
        <f t="shared" ca="1" si="90"/>
        <v>-</v>
      </c>
      <c r="AZ46" s="65" t="str">
        <f t="shared" ca="1" si="91"/>
        <v>-</v>
      </c>
      <c r="BA46" s="65" t="str">
        <f t="shared" ca="1" si="91"/>
        <v>-</v>
      </c>
      <c r="BB46" s="65" t="str">
        <f t="shared" ca="1" si="91"/>
        <v>-</v>
      </c>
      <c r="BC46" s="65" t="str">
        <f t="shared" ca="1" si="91"/>
        <v>-</v>
      </c>
      <c r="BD46" s="65" t="str">
        <f t="shared" ca="1" si="91"/>
        <v>-</v>
      </c>
      <c r="BE46" s="65" t="str">
        <f t="shared" ca="1" si="91"/>
        <v>-</v>
      </c>
      <c r="BF46" s="65" t="str">
        <f t="shared" ca="1" si="91"/>
        <v>-</v>
      </c>
      <c r="BG46" s="65" t="str">
        <f t="shared" ca="1" si="91"/>
        <v>-</v>
      </c>
      <c r="BH46" s="65" t="str">
        <f t="shared" ca="1" si="91"/>
        <v>-</v>
      </c>
      <c r="BI46" s="65" t="str">
        <f t="shared" ca="1" si="91"/>
        <v>-</v>
      </c>
      <c r="BJ46" s="65" t="str">
        <f t="shared" ca="1" si="92"/>
        <v>-</v>
      </c>
      <c r="BK46" s="65" t="str">
        <f t="shared" ca="1" si="92"/>
        <v>-</v>
      </c>
      <c r="BL46" s="65" t="str">
        <f t="shared" ca="1" si="92"/>
        <v>-</v>
      </c>
      <c r="BM46" s="65" t="str">
        <f t="shared" ca="1" si="92"/>
        <v>-</v>
      </c>
      <c r="BN46" s="65" t="str">
        <f t="shared" ca="1" si="92"/>
        <v>-</v>
      </c>
      <c r="BO46" s="65" t="str">
        <f t="shared" ca="1" si="92"/>
        <v>-</v>
      </c>
      <c r="BP46" s="65" t="str">
        <f t="shared" ca="1" si="92"/>
        <v>-</v>
      </c>
      <c r="BQ46" s="65" t="str">
        <f t="shared" ca="1" si="92"/>
        <v>-</v>
      </c>
      <c r="BR46" s="65" t="str">
        <f t="shared" ca="1" si="92"/>
        <v>-</v>
      </c>
      <c r="BS46" s="65" t="str">
        <f t="shared" ca="1" si="92"/>
        <v>-</v>
      </c>
      <c r="BT46" s="65" t="str">
        <f t="shared" ca="1" si="93"/>
        <v>-</v>
      </c>
      <c r="BU46" s="65" t="str">
        <f t="shared" ca="1" si="93"/>
        <v>-</v>
      </c>
      <c r="BV46" s="65" t="str">
        <f t="shared" ca="1" si="93"/>
        <v>-</v>
      </c>
      <c r="BW46" s="65" t="e">
        <f t="shared" ca="1" si="93"/>
        <v>#VALUE!</v>
      </c>
      <c r="BX46" s="65" t="e">
        <f t="shared" ca="1" si="93"/>
        <v>#VALUE!</v>
      </c>
      <c r="BY46" s="65" t="e">
        <f t="shared" ca="1" si="93"/>
        <v>#VALUE!</v>
      </c>
      <c r="BZ46" s="65" t="e">
        <f t="shared" ca="1" si="93"/>
        <v>#VALUE!</v>
      </c>
      <c r="CA46" s="65" t="e">
        <f t="shared" ca="1" si="93"/>
        <v>#VALUE!</v>
      </c>
      <c r="CB46" s="65" t="e">
        <f t="shared" ca="1" si="93"/>
        <v>#VALUE!</v>
      </c>
      <c r="CC46" s="65" t="e">
        <f t="shared" ca="1" si="93"/>
        <v>#VALUE!</v>
      </c>
      <c r="CD46" s="65" t="e">
        <f t="shared" ca="1" si="94"/>
        <v>#VALUE!</v>
      </c>
      <c r="CE46" s="65" t="e">
        <f t="shared" ca="1" si="94"/>
        <v>#VALUE!</v>
      </c>
      <c r="CF46" s="164" t="e">
        <f t="shared" ca="1" si="94"/>
        <v>#VALUE!</v>
      </c>
      <c r="CG46" s="164" t="e">
        <f t="shared" ca="1" si="94"/>
        <v>#VALUE!</v>
      </c>
      <c r="CH46" s="164" t="e">
        <f t="shared" ca="1" si="94"/>
        <v>#VALUE!</v>
      </c>
      <c r="CI46" s="164" t="e">
        <f t="shared" ca="1" si="94"/>
        <v>#VALUE!</v>
      </c>
      <c r="CJ46" s="164" t="e">
        <f t="shared" ca="1" si="94"/>
        <v>#VALUE!</v>
      </c>
      <c r="CK46" s="164" t="str">
        <f t="shared" ca="1" si="94"/>
        <v>-</v>
      </c>
      <c r="CL46" s="164" t="str">
        <f t="shared" ca="1" si="94"/>
        <v>-</v>
      </c>
      <c r="CM46" s="164" t="str">
        <f t="shared" ca="1" si="94"/>
        <v>-</v>
      </c>
      <c r="CN46" s="164" t="str">
        <f t="shared" ca="1" si="95"/>
        <v>-</v>
      </c>
      <c r="CO46" s="164" t="str">
        <f t="shared" ca="1" si="95"/>
        <v>-</v>
      </c>
      <c r="CP46" s="164" t="str">
        <f t="shared" ca="1" si="95"/>
        <v>-</v>
      </c>
      <c r="CQ46" s="164" t="str">
        <f t="shared" ca="1" si="95"/>
        <v>-</v>
      </c>
      <c r="CR46" s="164" t="str">
        <f t="shared" ca="1" si="95"/>
        <v>-</v>
      </c>
      <c r="CS46" s="164" t="str">
        <f t="shared" ca="1" si="95"/>
        <v>-</v>
      </c>
      <c r="CV46" s="164" t="e">
        <f t="shared" ca="1" si="96"/>
        <v>#VALUE!</v>
      </c>
      <c r="CW46" s="164" t="str">
        <f t="shared" ca="1" si="96"/>
        <v>-</v>
      </c>
      <c r="CX46" s="164" t="str">
        <f t="shared" ca="1" si="96"/>
        <v>-</v>
      </c>
      <c r="CY46" s="164" t="str">
        <f t="shared" ca="1" si="96"/>
        <v>-</v>
      </c>
      <c r="CZ46" s="164" t="str">
        <f t="shared" ca="1" si="96"/>
        <v>-</v>
      </c>
      <c r="DA46" s="164" t="str">
        <f t="shared" ca="1" si="96"/>
        <v>-</v>
      </c>
      <c r="DB46" s="164" t="str">
        <f t="shared" ca="1" si="96"/>
        <v>-</v>
      </c>
      <c r="DC46" s="164" t="str">
        <f t="shared" ca="1" si="96"/>
        <v>-</v>
      </c>
      <c r="DD46" s="164" t="str">
        <f t="shared" ca="1" si="96"/>
        <v>-</v>
      </c>
      <c r="DE46" s="164" t="str">
        <f t="shared" ca="1" si="96"/>
        <v>-</v>
      </c>
      <c r="DF46" s="164" t="str">
        <f t="shared" ca="1" si="97"/>
        <v>-</v>
      </c>
      <c r="DG46" s="164" t="str">
        <f t="shared" ca="1" si="97"/>
        <v>-</v>
      </c>
      <c r="DH46" s="164" t="str">
        <f t="shared" ca="1" si="97"/>
        <v>-</v>
      </c>
      <c r="DI46" s="164" t="str">
        <f t="shared" ca="1" si="97"/>
        <v>-</v>
      </c>
      <c r="DJ46" s="164" t="str">
        <f t="shared" ca="1" si="97"/>
        <v>-</v>
      </c>
      <c r="DK46" s="164" t="str">
        <f t="shared" ca="1" si="97"/>
        <v>-</v>
      </c>
      <c r="DL46" s="164" t="str">
        <f t="shared" ca="1" si="97"/>
        <v>-</v>
      </c>
      <c r="DM46" s="164" t="str">
        <f t="shared" ca="1" si="97"/>
        <v>-</v>
      </c>
      <c r="DN46" s="164" t="str">
        <f t="shared" ca="1" si="97"/>
        <v>-</v>
      </c>
      <c r="DO46" s="164" t="str">
        <f t="shared" ca="1" si="97"/>
        <v>-</v>
      </c>
      <c r="DP46" s="164" t="str">
        <f t="shared" ca="1" si="97"/>
        <v>-</v>
      </c>
      <c r="DQ46" s="164" t="str">
        <f t="shared" ca="1" si="97"/>
        <v>-</v>
      </c>
      <c r="DR46" s="164" t="str">
        <f t="shared" ca="1" si="97"/>
        <v>-</v>
      </c>
    </row>
    <row r="47" spans="1:122">
      <c r="A47" s="464"/>
      <c r="B47" s="509"/>
      <c r="C47" s="509"/>
      <c r="D47" s="466"/>
      <c r="E47" s="185" t="s">
        <v>68</v>
      </c>
      <c r="F47" s="65">
        <v>250</v>
      </c>
      <c r="G47" s="182"/>
      <c r="H47" s="162">
        <f>B42-3</f>
        <v>46255</v>
      </c>
      <c r="I47" s="65">
        <v>30</v>
      </c>
      <c r="J47" s="508"/>
      <c r="K47" s="504"/>
      <c r="AY47" s="65"/>
      <c r="AZ47" s="65"/>
      <c r="BA47" s="65"/>
      <c r="BB47" s="65"/>
      <c r="BC47" s="65">
        <v>5</v>
      </c>
      <c r="BD47" s="65">
        <v>5</v>
      </c>
      <c r="BE47" s="65">
        <v>5</v>
      </c>
      <c r="BF47" s="65">
        <v>5</v>
      </c>
      <c r="BG47" s="65">
        <v>5</v>
      </c>
      <c r="BH47" s="65">
        <v>5</v>
      </c>
      <c r="BI47" s="65">
        <v>5</v>
      </c>
      <c r="BJ47" s="65">
        <v>5</v>
      </c>
      <c r="BK47" s="65">
        <v>5</v>
      </c>
      <c r="BL47" s="65">
        <v>5</v>
      </c>
      <c r="BM47" s="65">
        <v>5</v>
      </c>
      <c r="BN47" s="65">
        <v>5</v>
      </c>
      <c r="BO47" s="65">
        <v>5</v>
      </c>
      <c r="BP47" s="65">
        <v>5</v>
      </c>
      <c r="BQ47" s="65">
        <v>5</v>
      </c>
      <c r="BR47" s="65">
        <v>5</v>
      </c>
      <c r="BS47" s="65">
        <v>5</v>
      </c>
      <c r="BT47" s="65">
        <v>5</v>
      </c>
      <c r="BU47" s="65">
        <v>5</v>
      </c>
      <c r="BV47" s="65">
        <v>5</v>
      </c>
      <c r="BW47" s="65">
        <v>5</v>
      </c>
      <c r="BX47" s="65">
        <v>5</v>
      </c>
      <c r="BY47" s="65">
        <v>5</v>
      </c>
      <c r="BZ47" s="65">
        <v>5</v>
      </c>
      <c r="CA47" s="65">
        <v>30</v>
      </c>
      <c r="CB47" s="65">
        <v>30</v>
      </c>
      <c r="CC47" s="65">
        <v>30</v>
      </c>
      <c r="CD47" s="65">
        <v>30</v>
      </c>
      <c r="CE47" s="163">
        <v>5</v>
      </c>
      <c r="CF47" s="65">
        <v>5</v>
      </c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</row>
    <row r="48" spans="1:122" hidden="1">
      <c r="B48" s="198"/>
      <c r="E48" s="199"/>
      <c r="F48" s="199"/>
      <c r="G48" s="181" t="s">
        <v>69</v>
      </c>
      <c r="H48" s="199"/>
      <c r="I48" s="224"/>
      <c r="J48" s="199"/>
      <c r="K48" s="199"/>
      <c r="L48" s="190">
        <f t="shared" ref="L48:AQ48" ca="1" si="100">SUM(L43:L47)</f>
        <v>0</v>
      </c>
      <c r="M48" s="190">
        <f t="shared" ca="1" si="100"/>
        <v>0</v>
      </c>
      <c r="N48" s="190">
        <f t="shared" ca="1" si="100"/>
        <v>0</v>
      </c>
      <c r="O48" s="190">
        <f t="shared" ca="1" si="100"/>
        <v>0</v>
      </c>
      <c r="P48" s="190">
        <f t="shared" ca="1" si="100"/>
        <v>0</v>
      </c>
      <c r="Q48" s="190">
        <f t="shared" ca="1" si="100"/>
        <v>0</v>
      </c>
      <c r="R48" s="190">
        <f t="shared" ca="1" si="100"/>
        <v>0</v>
      </c>
      <c r="S48" s="190">
        <f t="shared" ca="1" si="100"/>
        <v>0</v>
      </c>
      <c r="T48" s="190">
        <f t="shared" ca="1" si="100"/>
        <v>0</v>
      </c>
      <c r="U48" s="190">
        <f t="shared" ca="1" si="100"/>
        <v>0</v>
      </c>
      <c r="V48" s="190">
        <f t="shared" ca="1" si="100"/>
        <v>0</v>
      </c>
      <c r="W48" s="190">
        <f t="shared" ca="1" si="100"/>
        <v>0</v>
      </c>
      <c r="X48" s="190">
        <f t="shared" ca="1" si="100"/>
        <v>0</v>
      </c>
      <c r="Y48" s="190">
        <f t="shared" ca="1" si="100"/>
        <v>0</v>
      </c>
      <c r="Z48" s="190">
        <f t="shared" ca="1" si="100"/>
        <v>0</v>
      </c>
      <c r="AA48" s="190">
        <f t="shared" ca="1" si="100"/>
        <v>0</v>
      </c>
      <c r="AB48" s="190">
        <f t="shared" ca="1" si="100"/>
        <v>0</v>
      </c>
      <c r="AC48" s="190">
        <f t="shared" ca="1" si="100"/>
        <v>0</v>
      </c>
      <c r="AD48" s="190">
        <f t="shared" ca="1" si="100"/>
        <v>0</v>
      </c>
      <c r="AE48" s="190">
        <f t="shared" ca="1" si="100"/>
        <v>0</v>
      </c>
      <c r="AF48" s="190">
        <f t="shared" ca="1" si="100"/>
        <v>0</v>
      </c>
      <c r="AG48" s="190">
        <f t="shared" ca="1" si="100"/>
        <v>0</v>
      </c>
      <c r="AH48" s="190">
        <f t="shared" ca="1" si="100"/>
        <v>0</v>
      </c>
      <c r="AI48" s="190">
        <f t="shared" ca="1" si="100"/>
        <v>0</v>
      </c>
      <c r="AJ48" s="190">
        <f t="shared" ca="1" si="100"/>
        <v>0</v>
      </c>
      <c r="AK48" s="190">
        <f t="shared" ca="1" si="100"/>
        <v>0</v>
      </c>
      <c r="AL48" s="190">
        <f t="shared" ca="1" si="100"/>
        <v>0</v>
      </c>
      <c r="AM48" s="190">
        <f t="shared" ca="1" si="100"/>
        <v>0</v>
      </c>
      <c r="AN48" s="190">
        <f t="shared" ca="1" si="100"/>
        <v>0</v>
      </c>
      <c r="AO48" s="190">
        <f t="shared" ca="1" si="100"/>
        <v>0</v>
      </c>
      <c r="AP48" s="190">
        <f t="shared" ca="1" si="100"/>
        <v>0</v>
      </c>
      <c r="AQ48" s="190">
        <f t="shared" ca="1" si="100"/>
        <v>0</v>
      </c>
      <c r="AR48" s="190">
        <f t="shared" ref="AR48:BW48" ca="1" si="101">SUM(AR43:AR47)</f>
        <v>0</v>
      </c>
      <c r="AS48" s="190">
        <f t="shared" ca="1" si="101"/>
        <v>0</v>
      </c>
      <c r="AT48" s="190">
        <f t="shared" ca="1" si="101"/>
        <v>0</v>
      </c>
      <c r="AU48" s="190">
        <f t="shared" ca="1" si="101"/>
        <v>0</v>
      </c>
      <c r="AV48" s="190">
        <f t="shared" ca="1" si="101"/>
        <v>0</v>
      </c>
      <c r="AW48" s="190">
        <f t="shared" ca="1" si="101"/>
        <v>0</v>
      </c>
      <c r="AX48" s="190" t="e">
        <f t="shared" ca="1" si="101"/>
        <v>#VALUE!</v>
      </c>
      <c r="AY48" s="190" t="e">
        <f t="shared" ca="1" si="101"/>
        <v>#VALUE!</v>
      </c>
      <c r="AZ48" s="190" t="e">
        <f t="shared" ca="1" si="101"/>
        <v>#VALUE!</v>
      </c>
      <c r="BA48" s="190" t="e">
        <f t="shared" ca="1" si="101"/>
        <v>#VALUE!</v>
      </c>
      <c r="BB48" s="190" t="e">
        <f t="shared" ca="1" si="101"/>
        <v>#VALUE!</v>
      </c>
      <c r="BC48" s="190" t="e">
        <f t="shared" ca="1" si="101"/>
        <v>#VALUE!</v>
      </c>
      <c r="BD48" s="190" t="e">
        <f t="shared" ca="1" si="101"/>
        <v>#VALUE!</v>
      </c>
      <c r="BE48" s="190" t="e">
        <f t="shared" ca="1" si="101"/>
        <v>#VALUE!</v>
      </c>
      <c r="BF48" s="190" t="e">
        <f t="shared" ca="1" si="101"/>
        <v>#VALUE!</v>
      </c>
      <c r="BG48" s="190" t="e">
        <f t="shared" ca="1" si="101"/>
        <v>#VALUE!</v>
      </c>
      <c r="BH48" s="190" t="e">
        <f t="shared" ca="1" si="101"/>
        <v>#VALUE!</v>
      </c>
      <c r="BI48" s="190" t="e">
        <f t="shared" ca="1" si="101"/>
        <v>#VALUE!</v>
      </c>
      <c r="BJ48" s="190" t="e">
        <f t="shared" ca="1" si="101"/>
        <v>#VALUE!</v>
      </c>
      <c r="BK48" s="190" t="e">
        <f t="shared" ca="1" si="101"/>
        <v>#VALUE!</v>
      </c>
      <c r="BL48" s="190" t="e">
        <f t="shared" ca="1" si="101"/>
        <v>#VALUE!</v>
      </c>
      <c r="BM48" s="190" t="e">
        <f t="shared" ca="1" si="101"/>
        <v>#VALUE!</v>
      </c>
      <c r="BN48" s="190" t="e">
        <f t="shared" ca="1" si="101"/>
        <v>#VALUE!</v>
      </c>
      <c r="BO48" s="190" t="e">
        <f t="shared" ca="1" si="101"/>
        <v>#VALUE!</v>
      </c>
      <c r="BP48" s="190" t="e">
        <f t="shared" ca="1" si="101"/>
        <v>#VALUE!</v>
      </c>
      <c r="BQ48" s="190" t="e">
        <f t="shared" ca="1" si="101"/>
        <v>#VALUE!</v>
      </c>
      <c r="BR48" s="190" t="e">
        <f t="shared" ca="1" si="101"/>
        <v>#VALUE!</v>
      </c>
      <c r="BS48" s="190" t="e">
        <f t="shared" ca="1" si="101"/>
        <v>#VALUE!</v>
      </c>
      <c r="BT48" s="190" t="e">
        <f t="shared" ca="1" si="101"/>
        <v>#VALUE!</v>
      </c>
      <c r="BU48" s="190" t="e">
        <f t="shared" ca="1" si="101"/>
        <v>#VALUE!</v>
      </c>
      <c r="BV48" s="190" t="e">
        <f t="shared" ca="1" si="101"/>
        <v>#VALUE!</v>
      </c>
      <c r="BW48" s="190" t="e">
        <f t="shared" ca="1" si="101"/>
        <v>#VALUE!</v>
      </c>
      <c r="BX48" s="190" t="e">
        <f t="shared" ref="BX48:CS48" ca="1" si="102">SUM(BX43:BX47)</f>
        <v>#VALUE!</v>
      </c>
      <c r="BY48" s="190" t="e">
        <f t="shared" ca="1" si="102"/>
        <v>#VALUE!</v>
      </c>
      <c r="BZ48" s="190" t="e">
        <f t="shared" ca="1" si="102"/>
        <v>#VALUE!</v>
      </c>
      <c r="CA48" s="190" t="e">
        <f t="shared" ca="1" si="102"/>
        <v>#VALUE!</v>
      </c>
      <c r="CB48" s="190" t="e">
        <f t="shared" ca="1" si="102"/>
        <v>#VALUE!</v>
      </c>
      <c r="CC48" s="190" t="e">
        <f t="shared" ca="1" si="102"/>
        <v>#VALUE!</v>
      </c>
      <c r="CD48" s="190" t="e">
        <f t="shared" ca="1" si="102"/>
        <v>#VALUE!</v>
      </c>
      <c r="CE48" s="190" t="e">
        <f t="shared" ca="1" si="102"/>
        <v>#VALUE!</v>
      </c>
      <c r="CF48" s="190" t="e">
        <f t="shared" ca="1" si="102"/>
        <v>#VALUE!</v>
      </c>
      <c r="CG48" s="190" t="e">
        <f t="shared" ca="1" si="102"/>
        <v>#VALUE!</v>
      </c>
      <c r="CH48" s="190" t="e">
        <f t="shared" ca="1" si="102"/>
        <v>#VALUE!</v>
      </c>
      <c r="CI48" s="190" t="e">
        <f t="shared" ca="1" si="102"/>
        <v>#VALUE!</v>
      </c>
      <c r="CJ48" s="190" t="e">
        <f t="shared" ca="1" si="102"/>
        <v>#VALUE!</v>
      </c>
      <c r="CK48" s="190">
        <f t="shared" ca="1" si="102"/>
        <v>0</v>
      </c>
      <c r="CL48" s="190">
        <f t="shared" ca="1" si="102"/>
        <v>0</v>
      </c>
      <c r="CM48" s="190">
        <f t="shared" ca="1" si="102"/>
        <v>0</v>
      </c>
      <c r="CN48" s="190">
        <f t="shared" ca="1" si="102"/>
        <v>0</v>
      </c>
      <c r="CO48" s="190">
        <f t="shared" ca="1" si="102"/>
        <v>0</v>
      </c>
      <c r="CP48" s="190">
        <f t="shared" ca="1" si="102"/>
        <v>0</v>
      </c>
      <c r="CQ48" s="190">
        <f t="shared" ca="1" si="102"/>
        <v>0</v>
      </c>
      <c r="CR48" s="190">
        <f t="shared" ca="1" si="102"/>
        <v>0</v>
      </c>
      <c r="CS48" s="190">
        <f t="shared" ca="1" si="102"/>
        <v>0</v>
      </c>
      <c r="CT48" s="207"/>
      <c r="CU48" s="207"/>
      <c r="CV48" s="190" t="e">
        <f t="shared" ref="CV48:DR48" ca="1" si="103">SUM(CV43:CV47)</f>
        <v>#VALUE!</v>
      </c>
      <c r="CW48" s="190">
        <f t="shared" ca="1" si="103"/>
        <v>0</v>
      </c>
      <c r="CX48" s="190">
        <f t="shared" ca="1" si="103"/>
        <v>0</v>
      </c>
      <c r="CY48" s="190">
        <f t="shared" ca="1" si="103"/>
        <v>0</v>
      </c>
      <c r="CZ48" s="190">
        <f t="shared" ca="1" si="103"/>
        <v>0</v>
      </c>
      <c r="DA48" s="190">
        <f t="shared" ca="1" si="103"/>
        <v>0</v>
      </c>
      <c r="DB48" s="190">
        <f t="shared" ca="1" si="103"/>
        <v>0</v>
      </c>
      <c r="DC48" s="190">
        <f t="shared" ca="1" si="103"/>
        <v>0</v>
      </c>
      <c r="DD48" s="190">
        <f t="shared" ca="1" si="103"/>
        <v>0</v>
      </c>
      <c r="DE48" s="190">
        <f t="shared" ca="1" si="103"/>
        <v>0</v>
      </c>
      <c r="DF48" s="190">
        <f t="shared" ca="1" si="103"/>
        <v>0</v>
      </c>
      <c r="DG48" s="190">
        <f t="shared" ca="1" si="103"/>
        <v>0</v>
      </c>
      <c r="DH48" s="190">
        <f t="shared" ca="1" si="103"/>
        <v>0</v>
      </c>
      <c r="DI48" s="190">
        <f t="shared" ca="1" si="103"/>
        <v>0</v>
      </c>
      <c r="DJ48" s="190">
        <f t="shared" ca="1" si="103"/>
        <v>0</v>
      </c>
      <c r="DK48" s="190">
        <f t="shared" ca="1" si="103"/>
        <v>0</v>
      </c>
      <c r="DL48" s="190">
        <f t="shared" ca="1" si="103"/>
        <v>0</v>
      </c>
      <c r="DM48" s="190">
        <f t="shared" ca="1" si="103"/>
        <v>0</v>
      </c>
      <c r="DN48" s="190">
        <f t="shared" ca="1" si="103"/>
        <v>0</v>
      </c>
      <c r="DO48" s="190">
        <f t="shared" ca="1" si="103"/>
        <v>0</v>
      </c>
      <c r="DP48" s="190">
        <f t="shared" ca="1" si="103"/>
        <v>0</v>
      </c>
      <c r="DQ48" s="190">
        <f t="shared" ca="1" si="103"/>
        <v>0</v>
      </c>
      <c r="DR48" s="190">
        <f t="shared" ca="1" si="103"/>
        <v>0</v>
      </c>
    </row>
    <row r="50" spans="1:127" s="180" customFormat="1" ht="27">
      <c r="A50" s="464" t="s">
        <v>75</v>
      </c>
      <c r="B50" s="509" t="str">
        <f>'BESS 12'!F276</f>
        <v>31 Aug
17 Sep</v>
      </c>
      <c r="C50" s="509" t="str">
        <f>'BESS 12'!G276</f>
        <v>05 Sep
22 Sep</v>
      </c>
      <c r="D50" s="226"/>
      <c r="E50" s="226" t="s">
        <v>10</v>
      </c>
      <c r="F50" s="217" t="s">
        <v>58</v>
      </c>
      <c r="G50" s="217" t="s">
        <v>78</v>
      </c>
      <c r="H50" s="217" t="s">
        <v>87</v>
      </c>
      <c r="I50" s="217" t="s">
        <v>59</v>
      </c>
      <c r="J50" s="216" t="s">
        <v>80</v>
      </c>
      <c r="K50" s="216" t="s">
        <v>62</v>
      </c>
      <c r="L50" s="218">
        <v>46195</v>
      </c>
      <c r="M50" s="218">
        <v>46196</v>
      </c>
      <c r="N50" s="218">
        <v>46197</v>
      </c>
      <c r="O50" s="218">
        <f t="shared" ref="O50:AT50" si="104">N50+1</f>
        <v>46198</v>
      </c>
      <c r="P50" s="218">
        <f t="shared" si="104"/>
        <v>46199</v>
      </c>
      <c r="Q50" s="218">
        <f t="shared" si="104"/>
        <v>46200</v>
      </c>
      <c r="R50" s="218">
        <f t="shared" si="104"/>
        <v>46201</v>
      </c>
      <c r="S50" s="218">
        <f t="shared" si="104"/>
        <v>46202</v>
      </c>
      <c r="T50" s="218">
        <f t="shared" si="104"/>
        <v>46203</v>
      </c>
      <c r="U50" s="218">
        <f t="shared" si="104"/>
        <v>46204</v>
      </c>
      <c r="V50" s="218">
        <f t="shared" si="104"/>
        <v>46205</v>
      </c>
      <c r="W50" s="218">
        <f t="shared" si="104"/>
        <v>46206</v>
      </c>
      <c r="X50" s="218">
        <f t="shared" si="104"/>
        <v>46207</v>
      </c>
      <c r="Y50" s="218">
        <f t="shared" si="104"/>
        <v>46208</v>
      </c>
      <c r="Z50" s="218">
        <f t="shared" si="104"/>
        <v>46209</v>
      </c>
      <c r="AA50" s="218">
        <f t="shared" si="104"/>
        <v>46210</v>
      </c>
      <c r="AB50" s="218">
        <f t="shared" si="104"/>
        <v>46211</v>
      </c>
      <c r="AC50" s="218">
        <f t="shared" si="104"/>
        <v>46212</v>
      </c>
      <c r="AD50" s="218">
        <f t="shared" si="104"/>
        <v>46213</v>
      </c>
      <c r="AE50" s="218">
        <f t="shared" si="104"/>
        <v>46214</v>
      </c>
      <c r="AF50" s="218">
        <f t="shared" si="104"/>
        <v>46215</v>
      </c>
      <c r="AG50" s="218">
        <f t="shared" si="104"/>
        <v>46216</v>
      </c>
      <c r="AH50" s="218">
        <f t="shared" si="104"/>
        <v>46217</v>
      </c>
      <c r="AI50" s="218">
        <f t="shared" si="104"/>
        <v>46218</v>
      </c>
      <c r="AJ50" s="218">
        <f t="shared" si="104"/>
        <v>46219</v>
      </c>
      <c r="AK50" s="218">
        <f t="shared" si="104"/>
        <v>46220</v>
      </c>
      <c r="AL50" s="218">
        <f t="shared" si="104"/>
        <v>46221</v>
      </c>
      <c r="AM50" s="218">
        <f t="shared" si="104"/>
        <v>46222</v>
      </c>
      <c r="AN50" s="218">
        <f t="shared" si="104"/>
        <v>46223</v>
      </c>
      <c r="AO50" s="218">
        <f t="shared" si="104"/>
        <v>46224</v>
      </c>
      <c r="AP50" s="218">
        <f t="shared" si="104"/>
        <v>46225</v>
      </c>
      <c r="AQ50" s="218">
        <f t="shared" si="104"/>
        <v>46226</v>
      </c>
      <c r="AR50" s="218">
        <f t="shared" si="104"/>
        <v>46227</v>
      </c>
      <c r="AS50" s="218">
        <f t="shared" si="104"/>
        <v>46228</v>
      </c>
      <c r="AT50" s="218">
        <f t="shared" si="104"/>
        <v>46229</v>
      </c>
      <c r="AU50" s="218">
        <f t="shared" ref="AU50:BZ50" si="105">AT50+1</f>
        <v>46230</v>
      </c>
      <c r="AV50" s="218">
        <f t="shared" si="105"/>
        <v>46231</v>
      </c>
      <c r="AW50" s="218">
        <f t="shared" si="105"/>
        <v>46232</v>
      </c>
      <c r="AX50" s="218">
        <f t="shared" si="105"/>
        <v>46233</v>
      </c>
      <c r="AY50" s="218">
        <f t="shared" si="105"/>
        <v>46234</v>
      </c>
      <c r="AZ50" s="218">
        <f t="shared" si="105"/>
        <v>46235</v>
      </c>
      <c r="BA50" s="218">
        <f t="shared" si="105"/>
        <v>46236</v>
      </c>
      <c r="BB50" s="218">
        <f t="shared" si="105"/>
        <v>46237</v>
      </c>
      <c r="BC50" s="218">
        <f t="shared" si="105"/>
        <v>46238</v>
      </c>
      <c r="BD50" s="218">
        <f t="shared" si="105"/>
        <v>46239</v>
      </c>
      <c r="BE50" s="218">
        <f t="shared" si="105"/>
        <v>46240</v>
      </c>
      <c r="BF50" s="218">
        <f t="shared" si="105"/>
        <v>46241</v>
      </c>
      <c r="BG50" s="218">
        <f t="shared" si="105"/>
        <v>46242</v>
      </c>
      <c r="BH50" s="218">
        <f t="shared" si="105"/>
        <v>46243</v>
      </c>
      <c r="BI50" s="218">
        <f t="shared" si="105"/>
        <v>46244</v>
      </c>
      <c r="BJ50" s="218">
        <f t="shared" si="105"/>
        <v>46245</v>
      </c>
      <c r="BK50" s="218">
        <f t="shared" si="105"/>
        <v>46246</v>
      </c>
      <c r="BL50" s="218">
        <f t="shared" si="105"/>
        <v>46247</v>
      </c>
      <c r="BM50" s="218">
        <f t="shared" si="105"/>
        <v>46248</v>
      </c>
      <c r="BN50" s="218">
        <f t="shared" si="105"/>
        <v>46249</v>
      </c>
      <c r="BO50" s="218">
        <f t="shared" si="105"/>
        <v>46250</v>
      </c>
      <c r="BP50" s="218">
        <f t="shared" si="105"/>
        <v>46251</v>
      </c>
      <c r="BQ50" s="218">
        <f t="shared" si="105"/>
        <v>46252</v>
      </c>
      <c r="BR50" s="218">
        <f t="shared" si="105"/>
        <v>46253</v>
      </c>
      <c r="BS50" s="218">
        <f t="shared" si="105"/>
        <v>46254</v>
      </c>
      <c r="BT50" s="218">
        <f t="shared" si="105"/>
        <v>46255</v>
      </c>
      <c r="BU50" s="218">
        <f t="shared" si="105"/>
        <v>46256</v>
      </c>
      <c r="BV50" s="218">
        <f t="shared" si="105"/>
        <v>46257</v>
      </c>
      <c r="BW50" s="218">
        <f t="shared" si="105"/>
        <v>46258</v>
      </c>
      <c r="BX50" s="218">
        <f t="shared" si="105"/>
        <v>46259</v>
      </c>
      <c r="BY50" s="218">
        <f t="shared" si="105"/>
        <v>46260</v>
      </c>
      <c r="BZ50" s="218">
        <f t="shared" si="105"/>
        <v>46261</v>
      </c>
      <c r="CA50" s="218">
        <f t="shared" ref="CA50:CS50" si="106">BZ50+1</f>
        <v>46262</v>
      </c>
      <c r="CB50" s="218">
        <f t="shared" si="106"/>
        <v>46263</v>
      </c>
      <c r="CC50" s="218">
        <f t="shared" si="106"/>
        <v>46264</v>
      </c>
      <c r="CD50" s="218">
        <f t="shared" si="106"/>
        <v>46265</v>
      </c>
      <c r="CE50" s="218">
        <f t="shared" si="106"/>
        <v>46266</v>
      </c>
      <c r="CF50" s="218">
        <f t="shared" si="106"/>
        <v>46267</v>
      </c>
      <c r="CG50" s="218">
        <f t="shared" si="106"/>
        <v>46268</v>
      </c>
      <c r="CH50" s="218">
        <f t="shared" si="106"/>
        <v>46269</v>
      </c>
      <c r="CI50" s="218">
        <f t="shared" si="106"/>
        <v>46270</v>
      </c>
      <c r="CJ50" s="218">
        <f t="shared" si="106"/>
        <v>46271</v>
      </c>
      <c r="CK50" s="218">
        <f t="shared" si="106"/>
        <v>46272</v>
      </c>
      <c r="CL50" s="218">
        <f t="shared" si="106"/>
        <v>46273</v>
      </c>
      <c r="CM50" s="218">
        <f t="shared" si="106"/>
        <v>46274</v>
      </c>
      <c r="CN50" s="218">
        <f t="shared" si="106"/>
        <v>46275</v>
      </c>
      <c r="CO50" s="218">
        <f t="shared" si="106"/>
        <v>46276</v>
      </c>
      <c r="CP50" s="218">
        <f t="shared" si="106"/>
        <v>46277</v>
      </c>
      <c r="CQ50" s="218">
        <f t="shared" si="106"/>
        <v>46278</v>
      </c>
      <c r="CR50" s="218">
        <f t="shared" si="106"/>
        <v>46279</v>
      </c>
      <c r="CS50" s="218">
        <f t="shared" si="106"/>
        <v>46280</v>
      </c>
      <c r="CV50" s="218">
        <f t="shared" ref="CV50:DU50" si="107">CU50+1</f>
        <v>1</v>
      </c>
      <c r="CW50" s="218">
        <f t="shared" si="107"/>
        <v>2</v>
      </c>
      <c r="CX50" s="218">
        <f t="shared" si="107"/>
        <v>3</v>
      </c>
      <c r="CY50" s="218">
        <f t="shared" si="107"/>
        <v>4</v>
      </c>
      <c r="CZ50" s="218">
        <f t="shared" si="107"/>
        <v>5</v>
      </c>
      <c r="DA50" s="218">
        <f t="shared" si="107"/>
        <v>6</v>
      </c>
      <c r="DB50" s="218">
        <f t="shared" si="107"/>
        <v>7</v>
      </c>
      <c r="DC50" s="218">
        <f t="shared" si="107"/>
        <v>8</v>
      </c>
      <c r="DD50" s="218">
        <f t="shared" si="107"/>
        <v>9</v>
      </c>
      <c r="DE50" s="218">
        <f t="shared" si="107"/>
        <v>10</v>
      </c>
      <c r="DF50" s="218">
        <f t="shared" si="107"/>
        <v>11</v>
      </c>
      <c r="DG50" s="218">
        <f t="shared" si="107"/>
        <v>12</v>
      </c>
      <c r="DH50" s="218">
        <f t="shared" si="107"/>
        <v>13</v>
      </c>
      <c r="DI50" s="218">
        <f t="shared" si="107"/>
        <v>14</v>
      </c>
      <c r="DJ50" s="218">
        <f t="shared" si="107"/>
        <v>15</v>
      </c>
      <c r="DK50" s="218">
        <f t="shared" si="107"/>
        <v>16</v>
      </c>
      <c r="DL50" s="218">
        <f t="shared" si="107"/>
        <v>17</v>
      </c>
      <c r="DM50" s="218">
        <f t="shared" si="107"/>
        <v>18</v>
      </c>
      <c r="DN50" s="218">
        <f t="shared" si="107"/>
        <v>19</v>
      </c>
      <c r="DO50" s="218">
        <f t="shared" si="107"/>
        <v>20</v>
      </c>
      <c r="DP50" s="218">
        <f t="shared" si="107"/>
        <v>21</v>
      </c>
      <c r="DQ50" s="218">
        <f t="shared" si="107"/>
        <v>22</v>
      </c>
      <c r="DR50" s="218">
        <f t="shared" si="107"/>
        <v>23</v>
      </c>
      <c r="DS50" s="218">
        <f t="shared" si="107"/>
        <v>24</v>
      </c>
      <c r="DT50" s="218">
        <f t="shared" si="107"/>
        <v>25</v>
      </c>
      <c r="DU50" s="218">
        <f t="shared" si="107"/>
        <v>26</v>
      </c>
    </row>
    <row r="51" spans="1:127">
      <c r="A51" s="464"/>
      <c r="B51" s="509"/>
      <c r="C51" s="509"/>
      <c r="D51" s="467" t="str">
        <f>'BESS 12'!H276</f>
        <v>08 Sep
25 Sep</v>
      </c>
      <c r="E51" s="185" t="s">
        <v>64</v>
      </c>
      <c r="F51" s="66" t="e">
        <f>SUM('BESS 12'!S289:S296,'BESS 12'!S298)</f>
        <v>#VALUE!</v>
      </c>
      <c r="G51" s="182">
        <f ca="1">TODAY()</f>
        <v>46233</v>
      </c>
      <c r="H51" s="162">
        <f ca="1">G51+10</f>
        <v>46243</v>
      </c>
      <c r="I51" s="66">
        <f ca="1">H51-G51</f>
        <v>10</v>
      </c>
      <c r="J51" s="506" t="e">
        <f ca="1">AVERAGEIF(L56:CS56,"&gt;0")</f>
        <v>#DIV/0!</v>
      </c>
      <c r="K51" s="506" t="e">
        <f ca="1">MAX(L56:CS56)</f>
        <v>#VALUE!</v>
      </c>
      <c r="L51" s="65" t="str">
        <f t="shared" ref="L51:U54" ca="1" si="108">IF(AND(L$2&gt;=$G51,L$2&lt;($G51+$I51)),ROUND($F51/$I51,0),"-")</f>
        <v>-</v>
      </c>
      <c r="M51" s="65" t="str">
        <f t="shared" ca="1" si="108"/>
        <v>-</v>
      </c>
      <c r="N51" s="65" t="str">
        <f t="shared" ca="1" si="108"/>
        <v>-</v>
      </c>
      <c r="O51" s="65" t="str">
        <f t="shared" ca="1" si="108"/>
        <v>-</v>
      </c>
      <c r="P51" s="65" t="str">
        <f t="shared" ca="1" si="108"/>
        <v>-</v>
      </c>
      <c r="Q51" s="65" t="str">
        <f t="shared" ca="1" si="108"/>
        <v>-</v>
      </c>
      <c r="R51" s="65" t="str">
        <f t="shared" ca="1" si="108"/>
        <v>-</v>
      </c>
      <c r="S51" s="65" t="str">
        <f t="shared" ca="1" si="108"/>
        <v>-</v>
      </c>
      <c r="T51" s="65" t="str">
        <f t="shared" ca="1" si="108"/>
        <v>-</v>
      </c>
      <c r="U51" s="65" t="str">
        <f t="shared" ca="1" si="108"/>
        <v>-</v>
      </c>
      <c r="V51" s="65" t="str">
        <f t="shared" ref="V51:AE54" ca="1" si="109">IF(AND(V$2&gt;=$G51,V$2&lt;($G51+$I51)),ROUND($F51/$I51,0),"-")</f>
        <v>-</v>
      </c>
      <c r="W51" s="65" t="str">
        <f t="shared" ca="1" si="109"/>
        <v>-</v>
      </c>
      <c r="X51" s="65" t="str">
        <f t="shared" ca="1" si="109"/>
        <v>-</v>
      </c>
      <c r="Y51" s="65" t="str">
        <f t="shared" ca="1" si="109"/>
        <v>-</v>
      </c>
      <c r="Z51" s="65" t="str">
        <f t="shared" ca="1" si="109"/>
        <v>-</v>
      </c>
      <c r="AA51" s="65" t="str">
        <f t="shared" ca="1" si="109"/>
        <v>-</v>
      </c>
      <c r="AB51" s="65" t="str">
        <f t="shared" ca="1" si="109"/>
        <v>-</v>
      </c>
      <c r="AC51" s="65" t="str">
        <f t="shared" ca="1" si="109"/>
        <v>-</v>
      </c>
      <c r="AD51" s="65" t="str">
        <f t="shared" ca="1" si="109"/>
        <v>-</v>
      </c>
      <c r="AE51" s="65" t="str">
        <f t="shared" ca="1" si="109"/>
        <v>-</v>
      </c>
      <c r="AF51" s="65" t="str">
        <f t="shared" ref="AF51:AO54" ca="1" si="110">IF(AND(AF$2&gt;=$G51,AF$2&lt;($G51+$I51)),ROUND($F51/$I51,0),"-")</f>
        <v>-</v>
      </c>
      <c r="AG51" s="65" t="str">
        <f t="shared" ca="1" si="110"/>
        <v>-</v>
      </c>
      <c r="AH51" s="65" t="str">
        <f t="shared" ca="1" si="110"/>
        <v>-</v>
      </c>
      <c r="AI51" s="65" t="str">
        <f t="shared" ca="1" si="110"/>
        <v>-</v>
      </c>
      <c r="AJ51" s="65" t="str">
        <f t="shared" ca="1" si="110"/>
        <v>-</v>
      </c>
      <c r="AK51" s="65" t="str">
        <f t="shared" ca="1" si="110"/>
        <v>-</v>
      </c>
      <c r="AL51" s="65" t="str">
        <f t="shared" ca="1" si="110"/>
        <v>-</v>
      </c>
      <c r="AM51" s="65" t="str">
        <f t="shared" ca="1" si="110"/>
        <v>-</v>
      </c>
      <c r="AN51" s="65" t="str">
        <f t="shared" ca="1" si="110"/>
        <v>-</v>
      </c>
      <c r="AO51" s="65" t="str">
        <f t="shared" ca="1" si="110"/>
        <v>-</v>
      </c>
      <c r="AP51" s="65" t="str">
        <f t="shared" ref="AP51:AY54" ca="1" si="111">IF(AND(AP$2&gt;=$G51,AP$2&lt;($G51+$I51)),ROUND($F51/$I51,0),"-")</f>
        <v>-</v>
      </c>
      <c r="AQ51" s="65" t="str">
        <f t="shared" ca="1" si="111"/>
        <v>-</v>
      </c>
      <c r="AR51" s="65" t="str">
        <f t="shared" ca="1" si="111"/>
        <v>-</v>
      </c>
      <c r="AS51" s="65" t="str">
        <f t="shared" ca="1" si="111"/>
        <v>-</v>
      </c>
      <c r="AT51" s="65" t="str">
        <f t="shared" ca="1" si="111"/>
        <v>-</v>
      </c>
      <c r="AU51" s="65" t="str">
        <f t="shared" ca="1" si="111"/>
        <v>-</v>
      </c>
      <c r="AV51" s="65" t="str">
        <f t="shared" ca="1" si="111"/>
        <v>-</v>
      </c>
      <c r="AW51" s="65" t="str">
        <f t="shared" ca="1" si="111"/>
        <v>-</v>
      </c>
      <c r="AX51" s="65" t="e">
        <f t="shared" ca="1" si="111"/>
        <v>#VALUE!</v>
      </c>
      <c r="AY51" s="65" t="e">
        <f t="shared" ca="1" si="111"/>
        <v>#VALUE!</v>
      </c>
      <c r="AZ51" s="65" t="e">
        <f t="shared" ref="AZ51:BI54" ca="1" si="112">IF(AND(AZ$2&gt;=$G51,AZ$2&lt;($G51+$I51)),ROUND($F51/$I51,0),"-")</f>
        <v>#VALUE!</v>
      </c>
      <c r="BA51" s="65" t="e">
        <f t="shared" ca="1" si="112"/>
        <v>#VALUE!</v>
      </c>
      <c r="BB51" s="65" t="e">
        <f t="shared" ca="1" si="112"/>
        <v>#VALUE!</v>
      </c>
      <c r="BC51" s="65" t="e">
        <f t="shared" ca="1" si="112"/>
        <v>#VALUE!</v>
      </c>
      <c r="BD51" s="65" t="e">
        <f t="shared" ca="1" si="112"/>
        <v>#VALUE!</v>
      </c>
      <c r="BE51" s="65" t="e">
        <f t="shared" ca="1" si="112"/>
        <v>#VALUE!</v>
      </c>
      <c r="BF51" s="65">
        <v>1</v>
      </c>
      <c r="BG51" s="65">
        <v>1</v>
      </c>
      <c r="BH51" s="65">
        <v>1</v>
      </c>
      <c r="BI51" s="65">
        <v>1</v>
      </c>
      <c r="BJ51" s="65" t="str">
        <f t="shared" ref="BJ51:BS54" ca="1" si="113">IF(AND(BJ$2&gt;=$G51,BJ$2&lt;($G51+$I51)),ROUND($F51/$I51,0),"-")</f>
        <v>-</v>
      </c>
      <c r="BK51" s="65" t="str">
        <f t="shared" ca="1" si="113"/>
        <v>-</v>
      </c>
      <c r="BL51" s="65" t="str">
        <f t="shared" ca="1" si="113"/>
        <v>-</v>
      </c>
      <c r="BM51" s="65" t="str">
        <f t="shared" ca="1" si="113"/>
        <v>-</v>
      </c>
      <c r="BN51" s="65" t="str">
        <f t="shared" ca="1" si="113"/>
        <v>-</v>
      </c>
      <c r="BO51" s="65" t="str">
        <f t="shared" ca="1" si="113"/>
        <v>-</v>
      </c>
      <c r="BP51" s="65" t="str">
        <f t="shared" ca="1" si="113"/>
        <v>-</v>
      </c>
      <c r="BQ51" s="65" t="str">
        <f t="shared" ca="1" si="113"/>
        <v>-</v>
      </c>
      <c r="BR51" s="65" t="str">
        <f t="shared" ca="1" si="113"/>
        <v>-</v>
      </c>
      <c r="BS51" s="65" t="str">
        <f t="shared" ca="1" si="113"/>
        <v>-</v>
      </c>
      <c r="BT51" s="65" t="str">
        <f t="shared" ref="BT51:CC54" ca="1" si="114">IF(AND(BT$2&gt;=$G51,BT$2&lt;($G51+$I51)),ROUND($F51/$I51,0),"-")</f>
        <v>-</v>
      </c>
      <c r="BU51" s="65" t="str">
        <f t="shared" ca="1" si="114"/>
        <v>-</v>
      </c>
      <c r="BV51" s="65" t="str">
        <f t="shared" ca="1" si="114"/>
        <v>-</v>
      </c>
      <c r="BW51" s="65" t="str">
        <f t="shared" ca="1" si="114"/>
        <v>-</v>
      </c>
      <c r="BX51" s="65" t="str">
        <f t="shared" ca="1" si="114"/>
        <v>-</v>
      </c>
      <c r="BY51" s="65" t="str">
        <f t="shared" ca="1" si="114"/>
        <v>-</v>
      </c>
      <c r="BZ51" s="65" t="str">
        <f t="shared" ca="1" si="114"/>
        <v>-</v>
      </c>
      <c r="CA51" s="65" t="str">
        <f t="shared" ca="1" si="114"/>
        <v>-</v>
      </c>
      <c r="CB51" s="65" t="str">
        <f t="shared" ca="1" si="114"/>
        <v>-</v>
      </c>
      <c r="CC51" s="65" t="str">
        <f t="shared" ca="1" si="114"/>
        <v>-</v>
      </c>
      <c r="CD51" s="65" t="str">
        <f t="shared" ref="CD51:CM54" ca="1" si="115">IF(AND(CD$2&gt;=$G51,CD$2&lt;($G51+$I51)),ROUND($F51/$I51,0),"-")</f>
        <v>-</v>
      </c>
      <c r="CE51" s="65" t="str">
        <f t="shared" ca="1" si="115"/>
        <v>-</v>
      </c>
      <c r="CF51" s="65" t="str">
        <f t="shared" ca="1" si="115"/>
        <v>-</v>
      </c>
      <c r="CG51" s="65" t="str">
        <f t="shared" ca="1" si="115"/>
        <v>-</v>
      </c>
      <c r="CH51" s="65" t="str">
        <f t="shared" ca="1" si="115"/>
        <v>-</v>
      </c>
      <c r="CI51" s="65" t="str">
        <f t="shared" ca="1" si="115"/>
        <v>-</v>
      </c>
      <c r="CJ51" s="65" t="str">
        <f t="shared" ca="1" si="115"/>
        <v>-</v>
      </c>
      <c r="CK51" s="65" t="str">
        <f t="shared" ca="1" si="115"/>
        <v>-</v>
      </c>
      <c r="CL51" s="65" t="str">
        <f t="shared" ca="1" si="115"/>
        <v>-</v>
      </c>
      <c r="CM51" s="65" t="str">
        <f t="shared" ca="1" si="115"/>
        <v>-</v>
      </c>
      <c r="CN51" s="65" t="str">
        <f t="shared" ref="CN51:CS54" ca="1" si="116">IF(AND(CN$2&gt;=$G51,CN$2&lt;($G51+$I51)),ROUND($F51/$I51,0),"-")</f>
        <v>-</v>
      </c>
      <c r="CO51" s="65" t="str">
        <f t="shared" ca="1" si="116"/>
        <v>-</v>
      </c>
      <c r="CP51" s="65" t="str">
        <f t="shared" ca="1" si="116"/>
        <v>-</v>
      </c>
      <c r="CQ51" s="65" t="str">
        <f t="shared" ca="1" si="116"/>
        <v>-</v>
      </c>
      <c r="CR51" s="65" t="str">
        <f t="shared" ca="1" si="116"/>
        <v>-</v>
      </c>
      <c r="CS51" s="65" t="str">
        <f t="shared" ca="1" si="116"/>
        <v>-</v>
      </c>
      <c r="CV51" s="65" t="e">
        <f t="shared" ref="CV51:DE54" ca="1" si="117">IF(AND(CV$2&gt;=$G51,CV$2&lt;($G51+$I51)),ROUND($F51/$I51,0),"-")</f>
        <v>#VALUE!</v>
      </c>
      <c r="CW51" s="65" t="str">
        <f t="shared" ca="1" si="117"/>
        <v>-</v>
      </c>
      <c r="CX51" s="65" t="str">
        <f t="shared" ca="1" si="117"/>
        <v>-</v>
      </c>
      <c r="CY51" s="65" t="str">
        <f t="shared" ca="1" si="117"/>
        <v>-</v>
      </c>
      <c r="CZ51" s="65" t="str">
        <f t="shared" ca="1" si="117"/>
        <v>-</v>
      </c>
      <c r="DA51" s="65" t="str">
        <f t="shared" ca="1" si="117"/>
        <v>-</v>
      </c>
      <c r="DB51" s="65" t="str">
        <f t="shared" ca="1" si="117"/>
        <v>-</v>
      </c>
      <c r="DC51" s="65" t="str">
        <f t="shared" ca="1" si="117"/>
        <v>-</v>
      </c>
      <c r="DD51" s="65" t="str">
        <f t="shared" ca="1" si="117"/>
        <v>-</v>
      </c>
      <c r="DE51" s="65" t="str">
        <f t="shared" ca="1" si="117"/>
        <v>-</v>
      </c>
      <c r="DF51" s="65" t="str">
        <f t="shared" ref="DF51:DO54" ca="1" si="118">IF(AND(DF$2&gt;=$G51,DF$2&lt;($G51+$I51)),ROUND($F51/$I51,0),"-")</f>
        <v>-</v>
      </c>
      <c r="DG51" s="65" t="str">
        <f t="shared" ca="1" si="118"/>
        <v>-</v>
      </c>
      <c r="DH51" s="65" t="str">
        <f t="shared" ca="1" si="118"/>
        <v>-</v>
      </c>
      <c r="DI51" s="65" t="str">
        <f t="shared" ca="1" si="118"/>
        <v>-</v>
      </c>
      <c r="DJ51" s="65" t="str">
        <f t="shared" ca="1" si="118"/>
        <v>-</v>
      </c>
      <c r="DK51" s="65" t="str">
        <f t="shared" ca="1" si="118"/>
        <v>-</v>
      </c>
      <c r="DL51" s="65" t="str">
        <f t="shared" ca="1" si="118"/>
        <v>-</v>
      </c>
      <c r="DM51" s="65" t="str">
        <f t="shared" ca="1" si="118"/>
        <v>-</v>
      </c>
      <c r="DN51" s="65" t="str">
        <f t="shared" ca="1" si="118"/>
        <v>-</v>
      </c>
      <c r="DO51" s="65" t="str">
        <f t="shared" ca="1" si="118"/>
        <v>-</v>
      </c>
      <c r="DP51" s="65" t="str">
        <f t="shared" ref="DP51:DU54" ca="1" si="119">IF(AND(DP$2&gt;=$G51,DP$2&lt;($G51+$I51)),ROUND($F51/$I51,0),"-")</f>
        <v>-</v>
      </c>
      <c r="DQ51" s="65" t="str">
        <f t="shared" ca="1" si="119"/>
        <v>-</v>
      </c>
      <c r="DR51" s="65" t="str">
        <f t="shared" ca="1" si="119"/>
        <v>-</v>
      </c>
      <c r="DS51" s="65" t="str">
        <f t="shared" ca="1" si="119"/>
        <v>-</v>
      </c>
      <c r="DT51" s="65" t="str">
        <f t="shared" ca="1" si="119"/>
        <v>-</v>
      </c>
      <c r="DU51" s="65" t="str">
        <f t="shared" ca="1" si="119"/>
        <v>-</v>
      </c>
    </row>
    <row r="52" spans="1:127">
      <c r="A52" s="464"/>
      <c r="B52" s="509"/>
      <c r="C52" s="509"/>
      <c r="D52" s="466"/>
      <c r="E52" s="185" t="s">
        <v>65</v>
      </c>
      <c r="F52" s="66" t="e">
        <f>SUM('BESS 12'!S299,'BESS 12'!S301:S302,'BESS 12'!S305:S307)</f>
        <v>#VALUE!</v>
      </c>
      <c r="G52" s="182">
        <f t="shared" ref="G52" ca="1" si="120">TODAY()</f>
        <v>46233</v>
      </c>
      <c r="H52" s="162">
        <f ca="1">G52+25</f>
        <v>46258</v>
      </c>
      <c r="I52" s="66">
        <f t="shared" ref="I52:I54" ca="1" si="121">H52-G52</f>
        <v>25</v>
      </c>
      <c r="J52" s="507"/>
      <c r="K52" s="476"/>
      <c r="L52" s="65" t="str">
        <f t="shared" ca="1" si="108"/>
        <v>-</v>
      </c>
      <c r="M52" s="65" t="str">
        <f t="shared" ca="1" si="108"/>
        <v>-</v>
      </c>
      <c r="N52" s="65" t="str">
        <f t="shared" ca="1" si="108"/>
        <v>-</v>
      </c>
      <c r="O52" s="65" t="str">
        <f t="shared" ca="1" si="108"/>
        <v>-</v>
      </c>
      <c r="P52" s="65" t="str">
        <f t="shared" ca="1" si="108"/>
        <v>-</v>
      </c>
      <c r="Q52" s="65" t="str">
        <f t="shared" ca="1" si="108"/>
        <v>-</v>
      </c>
      <c r="R52" s="65" t="str">
        <f t="shared" ca="1" si="108"/>
        <v>-</v>
      </c>
      <c r="S52" s="65" t="str">
        <f t="shared" ca="1" si="108"/>
        <v>-</v>
      </c>
      <c r="T52" s="65" t="str">
        <f t="shared" ca="1" si="108"/>
        <v>-</v>
      </c>
      <c r="U52" s="65" t="str">
        <f t="shared" ca="1" si="108"/>
        <v>-</v>
      </c>
      <c r="V52" s="65" t="str">
        <f t="shared" ca="1" si="109"/>
        <v>-</v>
      </c>
      <c r="W52" s="65" t="str">
        <f t="shared" ca="1" si="109"/>
        <v>-</v>
      </c>
      <c r="X52" s="65" t="str">
        <f t="shared" ca="1" si="109"/>
        <v>-</v>
      </c>
      <c r="Y52" s="65" t="str">
        <f t="shared" ca="1" si="109"/>
        <v>-</v>
      </c>
      <c r="Z52" s="65" t="str">
        <f t="shared" ca="1" si="109"/>
        <v>-</v>
      </c>
      <c r="AA52" s="65" t="str">
        <f t="shared" ca="1" si="109"/>
        <v>-</v>
      </c>
      <c r="AB52" s="65" t="str">
        <f t="shared" ca="1" si="109"/>
        <v>-</v>
      </c>
      <c r="AC52" s="65" t="str">
        <f t="shared" ca="1" si="109"/>
        <v>-</v>
      </c>
      <c r="AD52" s="65" t="str">
        <f t="shared" ca="1" si="109"/>
        <v>-</v>
      </c>
      <c r="AE52" s="65" t="str">
        <f t="shared" ca="1" si="109"/>
        <v>-</v>
      </c>
      <c r="AF52" s="65" t="str">
        <f t="shared" ca="1" si="110"/>
        <v>-</v>
      </c>
      <c r="AG52" s="65" t="str">
        <f t="shared" ca="1" si="110"/>
        <v>-</v>
      </c>
      <c r="AH52" s="65" t="str">
        <f t="shared" ca="1" si="110"/>
        <v>-</v>
      </c>
      <c r="AI52" s="65" t="str">
        <f t="shared" ca="1" si="110"/>
        <v>-</v>
      </c>
      <c r="AJ52" s="65" t="str">
        <f t="shared" ca="1" si="110"/>
        <v>-</v>
      </c>
      <c r="AK52" s="65" t="str">
        <f t="shared" ca="1" si="110"/>
        <v>-</v>
      </c>
      <c r="AL52" s="65" t="str">
        <f t="shared" ca="1" si="110"/>
        <v>-</v>
      </c>
      <c r="AM52" s="65" t="str">
        <f t="shared" ca="1" si="110"/>
        <v>-</v>
      </c>
      <c r="AN52" s="65" t="str">
        <f t="shared" ca="1" si="110"/>
        <v>-</v>
      </c>
      <c r="AO52" s="65" t="str">
        <f t="shared" ca="1" si="110"/>
        <v>-</v>
      </c>
      <c r="AP52" s="65" t="str">
        <f t="shared" ca="1" si="111"/>
        <v>-</v>
      </c>
      <c r="AQ52" s="65" t="str">
        <f t="shared" ca="1" si="111"/>
        <v>-</v>
      </c>
      <c r="AR52" s="65" t="str">
        <f t="shared" ca="1" si="111"/>
        <v>-</v>
      </c>
      <c r="AS52" s="65" t="str">
        <f t="shared" ca="1" si="111"/>
        <v>-</v>
      </c>
      <c r="AT52" s="65" t="str">
        <f t="shared" ca="1" si="111"/>
        <v>-</v>
      </c>
      <c r="AU52" s="65" t="str">
        <f t="shared" ca="1" si="111"/>
        <v>-</v>
      </c>
      <c r="AV52" s="65" t="str">
        <f t="shared" ca="1" si="111"/>
        <v>-</v>
      </c>
      <c r="AW52" s="65" t="str">
        <f t="shared" ca="1" si="111"/>
        <v>-</v>
      </c>
      <c r="AX52" s="65" t="e">
        <f t="shared" ca="1" si="111"/>
        <v>#VALUE!</v>
      </c>
      <c r="AY52" s="65" t="e">
        <f t="shared" ca="1" si="111"/>
        <v>#VALUE!</v>
      </c>
      <c r="AZ52" s="65" t="e">
        <f t="shared" ca="1" si="112"/>
        <v>#VALUE!</v>
      </c>
      <c r="BA52" s="65" t="e">
        <f t="shared" ca="1" si="112"/>
        <v>#VALUE!</v>
      </c>
      <c r="BB52" s="65" t="e">
        <f t="shared" ca="1" si="112"/>
        <v>#VALUE!</v>
      </c>
      <c r="BC52" s="65" t="e">
        <f t="shared" ca="1" si="112"/>
        <v>#VALUE!</v>
      </c>
      <c r="BD52" s="65" t="e">
        <f t="shared" ca="1" si="112"/>
        <v>#VALUE!</v>
      </c>
      <c r="BE52" s="65" t="e">
        <f t="shared" ca="1" si="112"/>
        <v>#VALUE!</v>
      </c>
      <c r="BF52" s="65" t="e">
        <f t="shared" ca="1" si="112"/>
        <v>#VALUE!</v>
      </c>
      <c r="BG52" s="65" t="e">
        <f t="shared" ca="1" si="112"/>
        <v>#VALUE!</v>
      </c>
      <c r="BH52" s="65" t="e">
        <f t="shared" ca="1" si="112"/>
        <v>#VALUE!</v>
      </c>
      <c r="BI52" s="65" t="e">
        <f ca="1">IF(AND(BI$2&gt;=$G52,BI$2&lt;($G52+$I52)),ROUND($F52/$I52,0),"-")</f>
        <v>#VALUE!</v>
      </c>
      <c r="BJ52" s="65" t="e">
        <f t="shared" ca="1" si="113"/>
        <v>#VALUE!</v>
      </c>
      <c r="BK52" s="65" t="e">
        <f t="shared" ca="1" si="113"/>
        <v>#VALUE!</v>
      </c>
      <c r="BL52" s="65" t="e">
        <f t="shared" ca="1" si="113"/>
        <v>#VALUE!</v>
      </c>
      <c r="BM52" s="65" t="e">
        <f t="shared" ca="1" si="113"/>
        <v>#VALUE!</v>
      </c>
      <c r="BN52" s="65" t="e">
        <f t="shared" ca="1" si="113"/>
        <v>#VALUE!</v>
      </c>
      <c r="BO52" s="65" t="e">
        <f t="shared" ca="1" si="113"/>
        <v>#VALUE!</v>
      </c>
      <c r="BP52" s="65" t="e">
        <f t="shared" ca="1" si="113"/>
        <v>#VALUE!</v>
      </c>
      <c r="BQ52" s="65" t="e">
        <f t="shared" ca="1" si="113"/>
        <v>#VALUE!</v>
      </c>
      <c r="BR52" s="65" t="e">
        <f t="shared" ca="1" si="113"/>
        <v>#VALUE!</v>
      </c>
      <c r="BS52" s="65" t="e">
        <f t="shared" ca="1" si="113"/>
        <v>#VALUE!</v>
      </c>
      <c r="BT52" s="65" t="e">
        <f t="shared" ca="1" si="114"/>
        <v>#VALUE!</v>
      </c>
      <c r="BU52" s="65" t="e">
        <f t="shared" ca="1" si="114"/>
        <v>#VALUE!</v>
      </c>
      <c r="BV52" s="65" t="e">
        <f t="shared" ca="1" si="114"/>
        <v>#VALUE!</v>
      </c>
      <c r="BW52" s="65" t="str">
        <f t="shared" ca="1" si="114"/>
        <v>-</v>
      </c>
      <c r="BX52" s="65" t="str">
        <f t="shared" ca="1" si="114"/>
        <v>-</v>
      </c>
      <c r="BY52" s="65" t="str">
        <f t="shared" ca="1" si="114"/>
        <v>-</v>
      </c>
      <c r="BZ52" s="65" t="str">
        <f t="shared" ca="1" si="114"/>
        <v>-</v>
      </c>
      <c r="CA52" s="65" t="str">
        <f t="shared" ca="1" si="114"/>
        <v>-</v>
      </c>
      <c r="CB52" s="65" t="str">
        <f t="shared" ca="1" si="114"/>
        <v>-</v>
      </c>
      <c r="CC52" s="65" t="str">
        <f t="shared" ca="1" si="114"/>
        <v>-</v>
      </c>
      <c r="CD52" s="65" t="str">
        <f t="shared" ca="1" si="115"/>
        <v>-</v>
      </c>
      <c r="CE52" s="65" t="str">
        <f t="shared" ca="1" si="115"/>
        <v>-</v>
      </c>
      <c r="CF52" s="65" t="str">
        <f t="shared" ca="1" si="115"/>
        <v>-</v>
      </c>
      <c r="CG52" s="65" t="str">
        <f t="shared" ca="1" si="115"/>
        <v>-</v>
      </c>
      <c r="CH52" s="65" t="str">
        <f t="shared" ca="1" si="115"/>
        <v>-</v>
      </c>
      <c r="CI52" s="65" t="str">
        <f t="shared" ca="1" si="115"/>
        <v>-</v>
      </c>
      <c r="CJ52" s="65" t="str">
        <f t="shared" ca="1" si="115"/>
        <v>-</v>
      </c>
      <c r="CK52" s="65" t="str">
        <f t="shared" ca="1" si="115"/>
        <v>-</v>
      </c>
      <c r="CL52" s="65" t="str">
        <f t="shared" ca="1" si="115"/>
        <v>-</v>
      </c>
      <c r="CM52" s="65" t="str">
        <f t="shared" ca="1" si="115"/>
        <v>-</v>
      </c>
      <c r="CN52" s="65" t="str">
        <f t="shared" ca="1" si="116"/>
        <v>-</v>
      </c>
      <c r="CO52" s="65" t="str">
        <f t="shared" ca="1" si="116"/>
        <v>-</v>
      </c>
      <c r="CP52" s="65" t="str">
        <f t="shared" ca="1" si="116"/>
        <v>-</v>
      </c>
      <c r="CQ52" s="65" t="str">
        <f t="shared" ca="1" si="116"/>
        <v>-</v>
      </c>
      <c r="CR52" s="65" t="str">
        <f t="shared" ca="1" si="116"/>
        <v>-</v>
      </c>
      <c r="CS52" s="65" t="str">
        <f t="shared" ca="1" si="116"/>
        <v>-</v>
      </c>
      <c r="CV52" s="65" t="e">
        <f t="shared" ca="1" si="117"/>
        <v>#VALUE!</v>
      </c>
      <c r="CW52" s="65" t="str">
        <f t="shared" ca="1" si="117"/>
        <v>-</v>
      </c>
      <c r="CX52" s="65" t="str">
        <f t="shared" ca="1" si="117"/>
        <v>-</v>
      </c>
      <c r="CY52" s="65" t="str">
        <f t="shared" ca="1" si="117"/>
        <v>-</v>
      </c>
      <c r="CZ52" s="65" t="str">
        <f t="shared" ca="1" si="117"/>
        <v>-</v>
      </c>
      <c r="DA52" s="65" t="str">
        <f t="shared" ca="1" si="117"/>
        <v>-</v>
      </c>
      <c r="DB52" s="65" t="str">
        <f t="shared" ca="1" si="117"/>
        <v>-</v>
      </c>
      <c r="DC52" s="65" t="str">
        <f t="shared" ca="1" si="117"/>
        <v>-</v>
      </c>
      <c r="DD52" s="65" t="str">
        <f t="shared" ca="1" si="117"/>
        <v>-</v>
      </c>
      <c r="DE52" s="65" t="str">
        <f t="shared" ca="1" si="117"/>
        <v>-</v>
      </c>
      <c r="DF52" s="65" t="str">
        <f t="shared" ca="1" si="118"/>
        <v>-</v>
      </c>
      <c r="DG52" s="65" t="str">
        <f t="shared" ca="1" si="118"/>
        <v>-</v>
      </c>
      <c r="DH52" s="65" t="str">
        <f t="shared" ca="1" si="118"/>
        <v>-</v>
      </c>
      <c r="DI52" s="65" t="str">
        <f t="shared" ca="1" si="118"/>
        <v>-</v>
      </c>
      <c r="DJ52" s="65" t="str">
        <f t="shared" ca="1" si="118"/>
        <v>-</v>
      </c>
      <c r="DK52" s="65" t="str">
        <f t="shared" ca="1" si="118"/>
        <v>-</v>
      </c>
      <c r="DL52" s="65" t="str">
        <f t="shared" ca="1" si="118"/>
        <v>-</v>
      </c>
      <c r="DM52" s="65" t="str">
        <f t="shared" ca="1" si="118"/>
        <v>-</v>
      </c>
      <c r="DN52" s="65" t="str">
        <f t="shared" ca="1" si="118"/>
        <v>-</v>
      </c>
      <c r="DO52" s="65" t="str">
        <f t="shared" ca="1" si="118"/>
        <v>-</v>
      </c>
      <c r="DP52" s="65" t="str">
        <f t="shared" ca="1" si="119"/>
        <v>-</v>
      </c>
      <c r="DQ52" s="65" t="str">
        <f t="shared" ca="1" si="119"/>
        <v>-</v>
      </c>
      <c r="DR52" s="65" t="str">
        <f t="shared" ca="1" si="119"/>
        <v>-</v>
      </c>
      <c r="DS52" s="65" t="str">
        <f t="shared" ca="1" si="119"/>
        <v>-</v>
      </c>
      <c r="DT52" s="65" t="str">
        <f t="shared" ca="1" si="119"/>
        <v>-</v>
      </c>
      <c r="DU52" s="65" t="str">
        <f t="shared" ca="1" si="119"/>
        <v>-</v>
      </c>
    </row>
    <row r="53" spans="1:127">
      <c r="A53" s="464"/>
      <c r="B53" s="509"/>
      <c r="C53" s="509"/>
      <c r="D53" s="466"/>
      <c r="E53" s="185" t="s">
        <v>66</v>
      </c>
      <c r="F53" s="66" t="e">
        <f>SUM('BESS 12'!S300,'BESS 12'!S304,'BESS 12'!S308:S309,461)</f>
        <v>#VALUE!</v>
      </c>
      <c r="G53" s="182">
        <f ca="1">G52+5</f>
        <v>46238</v>
      </c>
      <c r="H53" s="162">
        <f ca="1">G53+25</f>
        <v>46263</v>
      </c>
      <c r="I53" s="66">
        <f t="shared" ca="1" si="121"/>
        <v>25</v>
      </c>
      <c r="J53" s="507"/>
      <c r="K53" s="476"/>
      <c r="L53" s="65" t="str">
        <f t="shared" ca="1" si="108"/>
        <v>-</v>
      </c>
      <c r="M53" s="65" t="str">
        <f t="shared" ca="1" si="108"/>
        <v>-</v>
      </c>
      <c r="N53" s="65" t="str">
        <f t="shared" ca="1" si="108"/>
        <v>-</v>
      </c>
      <c r="O53" s="65" t="str">
        <f t="shared" ca="1" si="108"/>
        <v>-</v>
      </c>
      <c r="P53" s="65" t="str">
        <f t="shared" ca="1" si="108"/>
        <v>-</v>
      </c>
      <c r="Q53" s="65" t="str">
        <f t="shared" ca="1" si="108"/>
        <v>-</v>
      </c>
      <c r="R53" s="65" t="str">
        <f t="shared" ca="1" si="108"/>
        <v>-</v>
      </c>
      <c r="S53" s="65" t="str">
        <f t="shared" ca="1" si="108"/>
        <v>-</v>
      </c>
      <c r="T53" s="65" t="str">
        <f t="shared" ca="1" si="108"/>
        <v>-</v>
      </c>
      <c r="U53" s="65" t="str">
        <f t="shared" ca="1" si="108"/>
        <v>-</v>
      </c>
      <c r="V53" s="65" t="str">
        <f t="shared" ca="1" si="109"/>
        <v>-</v>
      </c>
      <c r="W53" s="65" t="str">
        <f t="shared" ca="1" si="109"/>
        <v>-</v>
      </c>
      <c r="X53" s="65" t="str">
        <f t="shared" ca="1" si="109"/>
        <v>-</v>
      </c>
      <c r="Y53" s="65" t="str">
        <f t="shared" ca="1" si="109"/>
        <v>-</v>
      </c>
      <c r="Z53" s="65" t="str">
        <f t="shared" ca="1" si="109"/>
        <v>-</v>
      </c>
      <c r="AA53" s="65" t="str">
        <f t="shared" ca="1" si="109"/>
        <v>-</v>
      </c>
      <c r="AB53" s="65" t="str">
        <f t="shared" ca="1" si="109"/>
        <v>-</v>
      </c>
      <c r="AC53" s="65" t="str">
        <f t="shared" ca="1" si="109"/>
        <v>-</v>
      </c>
      <c r="AD53" s="65" t="str">
        <f t="shared" ca="1" si="109"/>
        <v>-</v>
      </c>
      <c r="AE53" s="65" t="str">
        <f t="shared" ca="1" si="109"/>
        <v>-</v>
      </c>
      <c r="AF53" s="65" t="str">
        <f t="shared" ca="1" si="110"/>
        <v>-</v>
      </c>
      <c r="AG53" s="65" t="str">
        <f t="shared" ca="1" si="110"/>
        <v>-</v>
      </c>
      <c r="AH53" s="65" t="str">
        <f t="shared" ca="1" si="110"/>
        <v>-</v>
      </c>
      <c r="AI53" s="65" t="str">
        <f t="shared" ca="1" si="110"/>
        <v>-</v>
      </c>
      <c r="AJ53" s="65" t="str">
        <f t="shared" ca="1" si="110"/>
        <v>-</v>
      </c>
      <c r="AK53" s="65" t="str">
        <f t="shared" ca="1" si="110"/>
        <v>-</v>
      </c>
      <c r="AL53" s="65" t="str">
        <f t="shared" ca="1" si="110"/>
        <v>-</v>
      </c>
      <c r="AM53" s="65" t="str">
        <f t="shared" ca="1" si="110"/>
        <v>-</v>
      </c>
      <c r="AN53" s="65" t="str">
        <f t="shared" ca="1" si="110"/>
        <v>-</v>
      </c>
      <c r="AO53" s="65" t="str">
        <f t="shared" ca="1" si="110"/>
        <v>-</v>
      </c>
      <c r="AP53" s="65" t="str">
        <f t="shared" ca="1" si="111"/>
        <v>-</v>
      </c>
      <c r="AQ53" s="65" t="str">
        <f t="shared" ca="1" si="111"/>
        <v>-</v>
      </c>
      <c r="AR53" s="65" t="str">
        <f t="shared" ca="1" si="111"/>
        <v>-</v>
      </c>
      <c r="AS53" s="65" t="str">
        <f t="shared" ca="1" si="111"/>
        <v>-</v>
      </c>
      <c r="AT53" s="65" t="str">
        <f t="shared" ca="1" si="111"/>
        <v>-</v>
      </c>
      <c r="AU53" s="65" t="str">
        <f t="shared" ca="1" si="111"/>
        <v>-</v>
      </c>
      <c r="AV53" s="65" t="str">
        <f t="shared" ca="1" si="111"/>
        <v>-</v>
      </c>
      <c r="AW53" s="65" t="str">
        <f t="shared" ca="1" si="111"/>
        <v>-</v>
      </c>
      <c r="AX53" s="65" t="str">
        <f t="shared" ca="1" si="111"/>
        <v>-</v>
      </c>
      <c r="AY53" s="65" t="str">
        <f t="shared" ca="1" si="111"/>
        <v>-</v>
      </c>
      <c r="AZ53" s="65" t="str">
        <f t="shared" ca="1" si="112"/>
        <v>-</v>
      </c>
      <c r="BA53" s="65" t="str">
        <f t="shared" ca="1" si="112"/>
        <v>-</v>
      </c>
      <c r="BB53" s="65" t="str">
        <f t="shared" ca="1" si="112"/>
        <v>-</v>
      </c>
      <c r="BC53" s="65" t="e">
        <f t="shared" ca="1" si="112"/>
        <v>#VALUE!</v>
      </c>
      <c r="BD53" s="65" t="e">
        <f t="shared" ca="1" si="112"/>
        <v>#VALUE!</v>
      </c>
      <c r="BE53" s="65" t="e">
        <f t="shared" ca="1" si="112"/>
        <v>#VALUE!</v>
      </c>
      <c r="BF53" s="65">
        <v>136</v>
      </c>
      <c r="BG53" s="65">
        <v>136</v>
      </c>
      <c r="BH53" s="65">
        <v>136</v>
      </c>
      <c r="BI53" s="65">
        <v>136</v>
      </c>
      <c r="BJ53" s="65" t="e">
        <f t="shared" ca="1" si="113"/>
        <v>#VALUE!</v>
      </c>
      <c r="BK53" s="65" t="e">
        <f t="shared" ca="1" si="113"/>
        <v>#VALUE!</v>
      </c>
      <c r="BL53" s="65" t="e">
        <f t="shared" ca="1" si="113"/>
        <v>#VALUE!</v>
      </c>
      <c r="BM53" s="65" t="e">
        <f t="shared" ca="1" si="113"/>
        <v>#VALUE!</v>
      </c>
      <c r="BN53" s="65" t="e">
        <f t="shared" ca="1" si="113"/>
        <v>#VALUE!</v>
      </c>
      <c r="BO53" s="65" t="e">
        <f t="shared" ca="1" si="113"/>
        <v>#VALUE!</v>
      </c>
      <c r="BP53" s="65" t="e">
        <f t="shared" ca="1" si="113"/>
        <v>#VALUE!</v>
      </c>
      <c r="BQ53" s="65" t="e">
        <f t="shared" ca="1" si="113"/>
        <v>#VALUE!</v>
      </c>
      <c r="BR53" s="65" t="e">
        <f t="shared" ca="1" si="113"/>
        <v>#VALUE!</v>
      </c>
      <c r="BS53" s="65" t="e">
        <f t="shared" ca="1" si="113"/>
        <v>#VALUE!</v>
      </c>
      <c r="BT53" s="65" t="e">
        <f t="shared" ca="1" si="114"/>
        <v>#VALUE!</v>
      </c>
      <c r="BU53" s="65" t="e">
        <f t="shared" ca="1" si="114"/>
        <v>#VALUE!</v>
      </c>
      <c r="BV53" s="65" t="e">
        <f t="shared" ca="1" si="114"/>
        <v>#VALUE!</v>
      </c>
      <c r="BW53" s="65" t="e">
        <f t="shared" ca="1" si="114"/>
        <v>#VALUE!</v>
      </c>
      <c r="BX53" s="65" t="e">
        <f t="shared" ca="1" si="114"/>
        <v>#VALUE!</v>
      </c>
      <c r="BY53" s="65" t="e">
        <f t="shared" ca="1" si="114"/>
        <v>#VALUE!</v>
      </c>
      <c r="BZ53" s="65" t="e">
        <f t="shared" ca="1" si="114"/>
        <v>#VALUE!</v>
      </c>
      <c r="CA53" s="65" t="e">
        <f t="shared" ca="1" si="114"/>
        <v>#VALUE!</v>
      </c>
      <c r="CB53" s="65" t="str">
        <f t="shared" ca="1" si="114"/>
        <v>-</v>
      </c>
      <c r="CC53" s="65" t="str">
        <f t="shared" ca="1" si="114"/>
        <v>-</v>
      </c>
      <c r="CD53" s="65" t="str">
        <f t="shared" ca="1" si="115"/>
        <v>-</v>
      </c>
      <c r="CE53" s="65" t="str">
        <f t="shared" ca="1" si="115"/>
        <v>-</v>
      </c>
      <c r="CF53" s="65" t="str">
        <f t="shared" ca="1" si="115"/>
        <v>-</v>
      </c>
      <c r="CG53" s="65" t="str">
        <f t="shared" ca="1" si="115"/>
        <v>-</v>
      </c>
      <c r="CH53" s="65" t="str">
        <f t="shared" ca="1" si="115"/>
        <v>-</v>
      </c>
      <c r="CI53" s="65" t="str">
        <f t="shared" ca="1" si="115"/>
        <v>-</v>
      </c>
      <c r="CJ53" s="65" t="str">
        <f t="shared" ca="1" si="115"/>
        <v>-</v>
      </c>
      <c r="CK53" s="65" t="str">
        <f t="shared" ca="1" si="115"/>
        <v>-</v>
      </c>
      <c r="CL53" s="65" t="str">
        <f t="shared" ca="1" si="115"/>
        <v>-</v>
      </c>
      <c r="CM53" s="65" t="str">
        <f t="shared" ca="1" si="115"/>
        <v>-</v>
      </c>
      <c r="CN53" s="65" t="str">
        <f t="shared" ca="1" si="116"/>
        <v>-</v>
      </c>
      <c r="CO53" s="65" t="str">
        <f t="shared" ca="1" si="116"/>
        <v>-</v>
      </c>
      <c r="CP53" s="65" t="str">
        <f t="shared" ca="1" si="116"/>
        <v>-</v>
      </c>
      <c r="CQ53" s="65" t="str">
        <f t="shared" ca="1" si="116"/>
        <v>-</v>
      </c>
      <c r="CR53" s="65" t="str">
        <f t="shared" ca="1" si="116"/>
        <v>-</v>
      </c>
      <c r="CS53" s="65" t="str">
        <f t="shared" ca="1" si="116"/>
        <v>-</v>
      </c>
      <c r="CV53" s="65" t="e">
        <f t="shared" ca="1" si="117"/>
        <v>#VALUE!</v>
      </c>
      <c r="CW53" s="65" t="str">
        <f t="shared" ca="1" si="117"/>
        <v>-</v>
      </c>
      <c r="CX53" s="65" t="str">
        <f t="shared" ca="1" si="117"/>
        <v>-</v>
      </c>
      <c r="CY53" s="65" t="str">
        <f t="shared" ca="1" si="117"/>
        <v>-</v>
      </c>
      <c r="CZ53" s="65" t="str">
        <f t="shared" ca="1" si="117"/>
        <v>-</v>
      </c>
      <c r="DA53" s="65" t="str">
        <f t="shared" ca="1" si="117"/>
        <v>-</v>
      </c>
      <c r="DB53" s="65" t="str">
        <f t="shared" ca="1" si="117"/>
        <v>-</v>
      </c>
      <c r="DC53" s="65" t="str">
        <f t="shared" ca="1" si="117"/>
        <v>-</v>
      </c>
      <c r="DD53" s="65" t="str">
        <f t="shared" ca="1" si="117"/>
        <v>-</v>
      </c>
      <c r="DE53" s="65" t="str">
        <f t="shared" ca="1" si="117"/>
        <v>-</v>
      </c>
      <c r="DF53" s="65" t="str">
        <f t="shared" ca="1" si="118"/>
        <v>-</v>
      </c>
      <c r="DG53" s="65" t="str">
        <f t="shared" ca="1" si="118"/>
        <v>-</v>
      </c>
      <c r="DH53" s="65" t="str">
        <f t="shared" ca="1" si="118"/>
        <v>-</v>
      </c>
      <c r="DI53" s="65" t="str">
        <f t="shared" ca="1" si="118"/>
        <v>-</v>
      </c>
      <c r="DJ53" s="65" t="str">
        <f t="shared" ca="1" si="118"/>
        <v>-</v>
      </c>
      <c r="DK53" s="65" t="str">
        <f t="shared" ca="1" si="118"/>
        <v>-</v>
      </c>
      <c r="DL53" s="65" t="str">
        <f t="shared" ca="1" si="118"/>
        <v>-</v>
      </c>
      <c r="DM53" s="65" t="str">
        <f t="shared" ca="1" si="118"/>
        <v>-</v>
      </c>
      <c r="DN53" s="65" t="str">
        <f t="shared" ca="1" si="118"/>
        <v>-</v>
      </c>
      <c r="DO53" s="65" t="str">
        <f t="shared" ca="1" si="118"/>
        <v>-</v>
      </c>
      <c r="DP53" s="65" t="str">
        <f t="shared" ca="1" si="119"/>
        <v>-</v>
      </c>
      <c r="DQ53" s="65" t="str">
        <f t="shared" ca="1" si="119"/>
        <v>-</v>
      </c>
      <c r="DR53" s="65" t="str">
        <f t="shared" ca="1" si="119"/>
        <v>-</v>
      </c>
      <c r="DS53" s="65" t="str">
        <f t="shared" ca="1" si="119"/>
        <v>-</v>
      </c>
      <c r="DT53" s="65" t="str">
        <f t="shared" ca="1" si="119"/>
        <v>-</v>
      </c>
      <c r="DU53" s="65" t="str">
        <f t="shared" ca="1" si="119"/>
        <v>-</v>
      </c>
    </row>
    <row r="54" spans="1:127">
      <c r="A54" s="464"/>
      <c r="B54" s="509"/>
      <c r="C54" s="509"/>
      <c r="D54" s="466"/>
      <c r="E54" s="185" t="s">
        <v>67</v>
      </c>
      <c r="F54" s="66" t="e">
        <f>SUM('BESS 12'!S311:S320)</f>
        <v>#VALUE!</v>
      </c>
      <c r="G54" s="182">
        <f ca="1">H53-5</f>
        <v>46258</v>
      </c>
      <c r="H54" s="162">
        <f ca="1">G54+14</f>
        <v>46272</v>
      </c>
      <c r="I54" s="66">
        <f t="shared" ca="1" si="121"/>
        <v>14</v>
      </c>
      <c r="J54" s="507"/>
      <c r="K54" s="476"/>
      <c r="L54" s="65" t="str">
        <f t="shared" ca="1" si="108"/>
        <v>-</v>
      </c>
      <c r="M54" s="65" t="str">
        <f t="shared" ca="1" si="108"/>
        <v>-</v>
      </c>
      <c r="N54" s="65" t="str">
        <f t="shared" ca="1" si="108"/>
        <v>-</v>
      </c>
      <c r="O54" s="65" t="str">
        <f t="shared" ca="1" si="108"/>
        <v>-</v>
      </c>
      <c r="P54" s="65" t="str">
        <f t="shared" ca="1" si="108"/>
        <v>-</v>
      </c>
      <c r="Q54" s="65" t="str">
        <f t="shared" ca="1" si="108"/>
        <v>-</v>
      </c>
      <c r="R54" s="65" t="str">
        <f t="shared" ca="1" si="108"/>
        <v>-</v>
      </c>
      <c r="S54" s="65" t="str">
        <f t="shared" ca="1" si="108"/>
        <v>-</v>
      </c>
      <c r="T54" s="65" t="str">
        <f t="shared" ca="1" si="108"/>
        <v>-</v>
      </c>
      <c r="U54" s="65" t="str">
        <f t="shared" ca="1" si="108"/>
        <v>-</v>
      </c>
      <c r="V54" s="65" t="str">
        <f t="shared" ca="1" si="109"/>
        <v>-</v>
      </c>
      <c r="W54" s="65" t="str">
        <f t="shared" ca="1" si="109"/>
        <v>-</v>
      </c>
      <c r="X54" s="65" t="str">
        <f t="shared" ca="1" si="109"/>
        <v>-</v>
      </c>
      <c r="Y54" s="65" t="str">
        <f t="shared" ca="1" si="109"/>
        <v>-</v>
      </c>
      <c r="Z54" s="65" t="str">
        <f t="shared" ca="1" si="109"/>
        <v>-</v>
      </c>
      <c r="AA54" s="65" t="str">
        <f t="shared" ca="1" si="109"/>
        <v>-</v>
      </c>
      <c r="AB54" s="65" t="str">
        <f t="shared" ca="1" si="109"/>
        <v>-</v>
      </c>
      <c r="AC54" s="65" t="str">
        <f t="shared" ca="1" si="109"/>
        <v>-</v>
      </c>
      <c r="AD54" s="65" t="str">
        <f t="shared" ca="1" si="109"/>
        <v>-</v>
      </c>
      <c r="AE54" s="164" t="str">
        <f t="shared" ca="1" si="109"/>
        <v>-</v>
      </c>
      <c r="AF54" s="164" t="str">
        <f t="shared" ca="1" si="110"/>
        <v>-</v>
      </c>
      <c r="AG54" s="164" t="str">
        <f t="shared" ca="1" si="110"/>
        <v>-</v>
      </c>
      <c r="AH54" s="164" t="str">
        <f t="shared" ca="1" si="110"/>
        <v>-</v>
      </c>
      <c r="AI54" s="164" t="str">
        <f t="shared" ca="1" si="110"/>
        <v>-</v>
      </c>
      <c r="AJ54" s="164" t="str">
        <f t="shared" ca="1" si="110"/>
        <v>-</v>
      </c>
      <c r="AK54" s="164" t="str">
        <f t="shared" ca="1" si="110"/>
        <v>-</v>
      </c>
      <c r="AL54" s="164" t="str">
        <f t="shared" ca="1" si="110"/>
        <v>-</v>
      </c>
      <c r="AM54" s="164" t="str">
        <f t="shared" ca="1" si="110"/>
        <v>-</v>
      </c>
      <c r="AN54" s="164" t="str">
        <f t="shared" ca="1" si="110"/>
        <v>-</v>
      </c>
      <c r="AO54" s="164" t="str">
        <f t="shared" ca="1" si="110"/>
        <v>-</v>
      </c>
      <c r="AP54" s="164" t="str">
        <f t="shared" ca="1" si="111"/>
        <v>-</v>
      </c>
      <c r="AQ54" s="164" t="str">
        <f t="shared" ca="1" si="111"/>
        <v>-</v>
      </c>
      <c r="AR54" s="164" t="str">
        <f t="shared" ca="1" si="111"/>
        <v>-</v>
      </c>
      <c r="AS54" s="164" t="str">
        <f t="shared" ca="1" si="111"/>
        <v>-</v>
      </c>
      <c r="AT54" s="164" t="str">
        <f t="shared" ca="1" si="111"/>
        <v>-</v>
      </c>
      <c r="AU54" s="164" t="str">
        <f t="shared" ca="1" si="111"/>
        <v>-</v>
      </c>
      <c r="AV54" s="164" t="str">
        <f t="shared" ca="1" si="111"/>
        <v>-</v>
      </c>
      <c r="AW54" s="164" t="str">
        <f t="shared" ca="1" si="111"/>
        <v>-</v>
      </c>
      <c r="AX54" s="164" t="str">
        <f t="shared" ca="1" si="111"/>
        <v>-</v>
      </c>
      <c r="AY54" s="164" t="str">
        <f t="shared" ca="1" si="111"/>
        <v>-</v>
      </c>
      <c r="AZ54" s="164" t="str">
        <f t="shared" ca="1" si="112"/>
        <v>-</v>
      </c>
      <c r="BA54" s="164" t="str">
        <f t="shared" ca="1" si="112"/>
        <v>-</v>
      </c>
      <c r="BB54" s="164" t="str">
        <f t="shared" ca="1" si="112"/>
        <v>-</v>
      </c>
      <c r="BC54" s="164" t="str">
        <f t="shared" ca="1" si="112"/>
        <v>-</v>
      </c>
      <c r="BD54" s="164" t="str">
        <f t="shared" ca="1" si="112"/>
        <v>-</v>
      </c>
      <c r="BE54" s="164" t="str">
        <f t="shared" ca="1" si="112"/>
        <v>-</v>
      </c>
      <c r="BF54" s="164" t="str">
        <f t="shared" ca="1" si="112"/>
        <v>-</v>
      </c>
      <c r="BG54" s="164" t="str">
        <f t="shared" ca="1" si="112"/>
        <v>-</v>
      </c>
      <c r="BH54" s="164" t="str">
        <f t="shared" ca="1" si="112"/>
        <v>-</v>
      </c>
      <c r="BI54" s="164" t="str">
        <f t="shared" ca="1" si="112"/>
        <v>-</v>
      </c>
      <c r="BJ54" s="164" t="str">
        <f t="shared" ca="1" si="113"/>
        <v>-</v>
      </c>
      <c r="BK54" s="164" t="str">
        <f t="shared" ca="1" si="113"/>
        <v>-</v>
      </c>
      <c r="BL54" s="164" t="str">
        <f t="shared" ca="1" si="113"/>
        <v>-</v>
      </c>
      <c r="BM54" s="164" t="str">
        <f t="shared" ca="1" si="113"/>
        <v>-</v>
      </c>
      <c r="BN54" s="164" t="str">
        <f t="shared" ca="1" si="113"/>
        <v>-</v>
      </c>
      <c r="BO54" s="164" t="str">
        <f t="shared" ca="1" si="113"/>
        <v>-</v>
      </c>
      <c r="BP54" s="164" t="str">
        <f t="shared" ca="1" si="113"/>
        <v>-</v>
      </c>
      <c r="BQ54" s="164" t="str">
        <f t="shared" ca="1" si="113"/>
        <v>-</v>
      </c>
      <c r="BR54" s="164" t="str">
        <f t="shared" ca="1" si="113"/>
        <v>-</v>
      </c>
      <c r="BS54" s="164" t="str">
        <f t="shared" ca="1" si="113"/>
        <v>-</v>
      </c>
      <c r="BT54" s="164" t="str">
        <f t="shared" ca="1" si="114"/>
        <v>-</v>
      </c>
      <c r="BU54" s="164" t="str">
        <f t="shared" ca="1" si="114"/>
        <v>-</v>
      </c>
      <c r="BV54" s="164" t="str">
        <f t="shared" ca="1" si="114"/>
        <v>-</v>
      </c>
      <c r="BW54" s="164" t="e">
        <f t="shared" ca="1" si="114"/>
        <v>#VALUE!</v>
      </c>
      <c r="BX54" s="164" t="e">
        <f t="shared" ca="1" si="114"/>
        <v>#VALUE!</v>
      </c>
      <c r="BY54" s="164" t="e">
        <f t="shared" ca="1" si="114"/>
        <v>#VALUE!</v>
      </c>
      <c r="BZ54" s="164" t="e">
        <f t="shared" ca="1" si="114"/>
        <v>#VALUE!</v>
      </c>
      <c r="CA54" s="164" t="e">
        <f t="shared" ca="1" si="114"/>
        <v>#VALUE!</v>
      </c>
      <c r="CB54" s="164" t="e">
        <f t="shared" ca="1" si="114"/>
        <v>#VALUE!</v>
      </c>
      <c r="CC54" s="164" t="e">
        <f t="shared" ca="1" si="114"/>
        <v>#VALUE!</v>
      </c>
      <c r="CD54" s="164" t="e">
        <f t="shared" ca="1" si="115"/>
        <v>#VALUE!</v>
      </c>
      <c r="CE54" s="164" t="e">
        <f t="shared" ca="1" si="115"/>
        <v>#VALUE!</v>
      </c>
      <c r="CF54" s="164" t="e">
        <f t="shared" ca="1" si="115"/>
        <v>#VALUE!</v>
      </c>
      <c r="CG54" s="164" t="e">
        <f t="shared" ca="1" si="115"/>
        <v>#VALUE!</v>
      </c>
      <c r="CH54" s="164" t="e">
        <f t="shared" ca="1" si="115"/>
        <v>#VALUE!</v>
      </c>
      <c r="CI54" s="164" t="e">
        <f t="shared" ca="1" si="115"/>
        <v>#VALUE!</v>
      </c>
      <c r="CJ54" s="164" t="e">
        <f t="shared" ca="1" si="115"/>
        <v>#VALUE!</v>
      </c>
      <c r="CK54" s="164" t="str">
        <f t="shared" ca="1" si="115"/>
        <v>-</v>
      </c>
      <c r="CL54" s="164" t="str">
        <f t="shared" ca="1" si="115"/>
        <v>-</v>
      </c>
      <c r="CM54" s="164" t="str">
        <f t="shared" ca="1" si="115"/>
        <v>-</v>
      </c>
      <c r="CN54" s="164" t="str">
        <f t="shared" ca="1" si="116"/>
        <v>-</v>
      </c>
      <c r="CO54" s="164" t="str">
        <f t="shared" ca="1" si="116"/>
        <v>-</v>
      </c>
      <c r="CP54" s="164" t="str">
        <f t="shared" ca="1" si="116"/>
        <v>-</v>
      </c>
      <c r="CQ54" s="164" t="str">
        <f t="shared" ca="1" si="116"/>
        <v>-</v>
      </c>
      <c r="CR54" s="164" t="str">
        <f t="shared" ca="1" si="116"/>
        <v>-</v>
      </c>
      <c r="CS54" s="164" t="str">
        <f t="shared" ca="1" si="116"/>
        <v>-</v>
      </c>
      <c r="CV54" s="164" t="e">
        <f t="shared" ca="1" si="117"/>
        <v>#VALUE!</v>
      </c>
      <c r="CW54" s="164" t="str">
        <f t="shared" ca="1" si="117"/>
        <v>-</v>
      </c>
      <c r="CX54" s="164" t="str">
        <f t="shared" ca="1" si="117"/>
        <v>-</v>
      </c>
      <c r="CY54" s="164" t="str">
        <f t="shared" ca="1" si="117"/>
        <v>-</v>
      </c>
      <c r="CZ54" s="164" t="str">
        <f t="shared" ca="1" si="117"/>
        <v>-</v>
      </c>
      <c r="DA54" s="164" t="str">
        <f t="shared" ca="1" si="117"/>
        <v>-</v>
      </c>
      <c r="DB54" s="164" t="str">
        <f t="shared" ca="1" si="117"/>
        <v>-</v>
      </c>
      <c r="DC54" s="164" t="str">
        <f t="shared" ca="1" si="117"/>
        <v>-</v>
      </c>
      <c r="DD54" s="164" t="str">
        <f t="shared" ca="1" si="117"/>
        <v>-</v>
      </c>
      <c r="DE54" s="164" t="str">
        <f t="shared" ca="1" si="117"/>
        <v>-</v>
      </c>
      <c r="DF54" s="164" t="str">
        <f t="shared" ca="1" si="118"/>
        <v>-</v>
      </c>
      <c r="DG54" s="164" t="str">
        <f t="shared" ca="1" si="118"/>
        <v>-</v>
      </c>
      <c r="DH54" s="164" t="str">
        <f t="shared" ca="1" si="118"/>
        <v>-</v>
      </c>
      <c r="DI54" s="164" t="str">
        <f t="shared" ca="1" si="118"/>
        <v>-</v>
      </c>
      <c r="DJ54" s="164" t="str">
        <f t="shared" ca="1" si="118"/>
        <v>-</v>
      </c>
      <c r="DK54" s="164" t="str">
        <f t="shared" ca="1" si="118"/>
        <v>-</v>
      </c>
      <c r="DL54" s="164" t="str">
        <f t="shared" ca="1" si="118"/>
        <v>-</v>
      </c>
      <c r="DM54" s="164" t="str">
        <f t="shared" ca="1" si="118"/>
        <v>-</v>
      </c>
      <c r="DN54" s="164" t="str">
        <f t="shared" ca="1" si="118"/>
        <v>-</v>
      </c>
      <c r="DO54" s="164" t="str">
        <f t="shared" ca="1" si="118"/>
        <v>-</v>
      </c>
      <c r="DP54" s="164" t="str">
        <f t="shared" ca="1" si="119"/>
        <v>-</v>
      </c>
      <c r="DQ54" s="164" t="str">
        <f t="shared" ca="1" si="119"/>
        <v>-</v>
      </c>
      <c r="DR54" s="164" t="str">
        <f t="shared" ca="1" si="119"/>
        <v>-</v>
      </c>
      <c r="DS54" s="164" t="str">
        <f t="shared" ca="1" si="119"/>
        <v>-</v>
      </c>
      <c r="DT54" s="164" t="str">
        <f t="shared" ca="1" si="119"/>
        <v>-</v>
      </c>
      <c r="DU54" s="164" t="str">
        <f t="shared" ca="1" si="119"/>
        <v>-</v>
      </c>
    </row>
    <row r="55" spans="1:127">
      <c r="A55" s="464"/>
      <c r="B55" s="509"/>
      <c r="C55" s="509"/>
      <c r="D55" s="466"/>
      <c r="E55" s="185" t="s">
        <v>68</v>
      </c>
      <c r="F55" s="65">
        <v>250</v>
      </c>
      <c r="G55" s="182"/>
      <c r="H55" s="162" t="e">
        <f>B50-3</f>
        <v>#VALUE!</v>
      </c>
      <c r="I55" s="65">
        <v>30</v>
      </c>
      <c r="J55" s="508"/>
      <c r="K55" s="504"/>
      <c r="L55" s="182"/>
      <c r="M55" s="182"/>
      <c r="N55" s="65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227"/>
      <c r="AE55" s="66"/>
      <c r="AF55" s="66"/>
      <c r="AG55" s="66"/>
      <c r="AH55" s="66"/>
      <c r="AI55" s="66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>
        <v>5</v>
      </c>
      <c r="BG55" s="185">
        <v>5</v>
      </c>
      <c r="BH55" s="185">
        <v>5</v>
      </c>
      <c r="BI55" s="185">
        <v>5</v>
      </c>
      <c r="BJ55" s="185">
        <v>5</v>
      </c>
      <c r="BK55" s="185">
        <v>5</v>
      </c>
      <c r="BL55" s="185">
        <v>5</v>
      </c>
      <c r="BM55" s="185">
        <v>5</v>
      </c>
      <c r="BN55" s="185">
        <v>5</v>
      </c>
      <c r="BO55" s="185">
        <v>5</v>
      </c>
      <c r="BP55" s="185">
        <v>5</v>
      </c>
      <c r="BQ55" s="185">
        <v>5</v>
      </c>
      <c r="BR55" s="185">
        <v>5</v>
      </c>
      <c r="BS55" s="185">
        <v>5</v>
      </c>
      <c r="BT55" s="185">
        <v>5</v>
      </c>
      <c r="BU55" s="185">
        <v>5</v>
      </c>
      <c r="BV55" s="185">
        <v>5</v>
      </c>
      <c r="BW55" s="185">
        <v>5</v>
      </c>
      <c r="BX55" s="185">
        <v>5</v>
      </c>
      <c r="BY55" s="185">
        <v>5</v>
      </c>
      <c r="BZ55" s="185">
        <v>5</v>
      </c>
      <c r="CA55" s="185">
        <v>5</v>
      </c>
      <c r="CB55" s="185">
        <v>5</v>
      </c>
      <c r="CC55" s="185">
        <v>5</v>
      </c>
      <c r="CD55" s="185">
        <v>30</v>
      </c>
      <c r="CE55" s="185">
        <v>30</v>
      </c>
      <c r="CF55" s="185">
        <v>30</v>
      </c>
      <c r="CG55" s="185">
        <v>30</v>
      </c>
      <c r="CH55" s="65">
        <v>5</v>
      </c>
      <c r="CI55" s="65">
        <v>5</v>
      </c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V55" s="65"/>
      <c r="CW55" s="65"/>
      <c r="CX55" s="65"/>
      <c r="CY55" s="65"/>
      <c r="CZ55" s="69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</row>
    <row r="56" spans="1:127" s="191" customFormat="1" hidden="1">
      <c r="B56" s="197"/>
      <c r="E56" s="188"/>
      <c r="F56" s="188"/>
      <c r="G56" s="181" t="s">
        <v>69</v>
      </c>
      <c r="H56" s="188"/>
      <c r="I56" s="228"/>
      <c r="J56" s="188"/>
      <c r="K56" s="188"/>
      <c r="L56" s="190">
        <f t="shared" ref="L56:AQ56" ca="1" si="122">SUM(L51:L55)</f>
        <v>0</v>
      </c>
      <c r="M56" s="190">
        <f t="shared" ca="1" si="122"/>
        <v>0</v>
      </c>
      <c r="N56" s="190">
        <f t="shared" ca="1" si="122"/>
        <v>0</v>
      </c>
      <c r="O56" s="190">
        <f t="shared" ca="1" si="122"/>
        <v>0</v>
      </c>
      <c r="P56" s="190">
        <f t="shared" ca="1" si="122"/>
        <v>0</v>
      </c>
      <c r="Q56" s="190">
        <f t="shared" ca="1" si="122"/>
        <v>0</v>
      </c>
      <c r="R56" s="190">
        <f t="shared" ca="1" si="122"/>
        <v>0</v>
      </c>
      <c r="S56" s="190">
        <f t="shared" ca="1" si="122"/>
        <v>0</v>
      </c>
      <c r="T56" s="190">
        <f t="shared" ca="1" si="122"/>
        <v>0</v>
      </c>
      <c r="U56" s="190">
        <f t="shared" ca="1" si="122"/>
        <v>0</v>
      </c>
      <c r="V56" s="190">
        <f t="shared" ca="1" si="122"/>
        <v>0</v>
      </c>
      <c r="W56" s="190">
        <f t="shared" ca="1" si="122"/>
        <v>0</v>
      </c>
      <c r="X56" s="190">
        <f t="shared" ca="1" si="122"/>
        <v>0</v>
      </c>
      <c r="Y56" s="190">
        <f t="shared" ca="1" si="122"/>
        <v>0</v>
      </c>
      <c r="Z56" s="190">
        <f t="shared" ca="1" si="122"/>
        <v>0</v>
      </c>
      <c r="AA56" s="190">
        <f t="shared" ca="1" si="122"/>
        <v>0</v>
      </c>
      <c r="AB56" s="190">
        <f t="shared" ca="1" si="122"/>
        <v>0</v>
      </c>
      <c r="AC56" s="190">
        <f t="shared" ca="1" si="122"/>
        <v>0</v>
      </c>
      <c r="AD56" s="190">
        <f t="shared" ca="1" si="122"/>
        <v>0</v>
      </c>
      <c r="AE56" s="229">
        <f t="shared" ca="1" si="122"/>
        <v>0</v>
      </c>
      <c r="AF56" s="229">
        <f t="shared" ca="1" si="122"/>
        <v>0</v>
      </c>
      <c r="AG56" s="229">
        <f t="shared" ca="1" si="122"/>
        <v>0</v>
      </c>
      <c r="AH56" s="229">
        <f t="shared" ca="1" si="122"/>
        <v>0</v>
      </c>
      <c r="AI56" s="229">
        <f t="shared" ca="1" si="122"/>
        <v>0</v>
      </c>
      <c r="AJ56" s="229">
        <f t="shared" ca="1" si="122"/>
        <v>0</v>
      </c>
      <c r="AK56" s="229">
        <f t="shared" ca="1" si="122"/>
        <v>0</v>
      </c>
      <c r="AL56" s="229">
        <f t="shared" ca="1" si="122"/>
        <v>0</v>
      </c>
      <c r="AM56" s="229">
        <f t="shared" ca="1" si="122"/>
        <v>0</v>
      </c>
      <c r="AN56" s="229">
        <f t="shared" ca="1" si="122"/>
        <v>0</v>
      </c>
      <c r="AO56" s="229">
        <f t="shared" ca="1" si="122"/>
        <v>0</v>
      </c>
      <c r="AP56" s="229">
        <f t="shared" ca="1" si="122"/>
        <v>0</v>
      </c>
      <c r="AQ56" s="229">
        <f t="shared" ca="1" si="122"/>
        <v>0</v>
      </c>
      <c r="AR56" s="229">
        <f t="shared" ref="AR56:BW56" ca="1" si="123">SUM(AR51:AR55)</f>
        <v>0</v>
      </c>
      <c r="AS56" s="229">
        <f t="shared" ca="1" si="123"/>
        <v>0</v>
      </c>
      <c r="AT56" s="229">
        <f t="shared" ca="1" si="123"/>
        <v>0</v>
      </c>
      <c r="AU56" s="229">
        <f t="shared" ca="1" si="123"/>
        <v>0</v>
      </c>
      <c r="AV56" s="229">
        <f t="shared" ca="1" si="123"/>
        <v>0</v>
      </c>
      <c r="AW56" s="229">
        <f t="shared" ca="1" si="123"/>
        <v>0</v>
      </c>
      <c r="AX56" s="229" t="e">
        <f t="shared" ca="1" si="123"/>
        <v>#VALUE!</v>
      </c>
      <c r="AY56" s="229" t="e">
        <f t="shared" ca="1" si="123"/>
        <v>#VALUE!</v>
      </c>
      <c r="AZ56" s="229" t="e">
        <f t="shared" ca="1" si="123"/>
        <v>#VALUE!</v>
      </c>
      <c r="BA56" s="229" t="e">
        <f t="shared" ca="1" si="123"/>
        <v>#VALUE!</v>
      </c>
      <c r="BB56" s="229" t="e">
        <f t="shared" ca="1" si="123"/>
        <v>#VALUE!</v>
      </c>
      <c r="BC56" s="229" t="e">
        <f t="shared" ca="1" si="123"/>
        <v>#VALUE!</v>
      </c>
      <c r="BD56" s="229" t="e">
        <f t="shared" ca="1" si="123"/>
        <v>#VALUE!</v>
      </c>
      <c r="BE56" s="229" t="e">
        <f t="shared" ca="1" si="123"/>
        <v>#VALUE!</v>
      </c>
      <c r="BF56" s="229" t="e">
        <f t="shared" ca="1" si="123"/>
        <v>#VALUE!</v>
      </c>
      <c r="BG56" s="229" t="e">
        <f t="shared" ca="1" si="123"/>
        <v>#VALUE!</v>
      </c>
      <c r="BH56" s="229" t="e">
        <f t="shared" ca="1" si="123"/>
        <v>#VALUE!</v>
      </c>
      <c r="BI56" s="229" t="e">
        <f t="shared" ca="1" si="123"/>
        <v>#VALUE!</v>
      </c>
      <c r="BJ56" s="229" t="e">
        <f t="shared" ca="1" si="123"/>
        <v>#VALUE!</v>
      </c>
      <c r="BK56" s="229" t="e">
        <f t="shared" ca="1" si="123"/>
        <v>#VALUE!</v>
      </c>
      <c r="BL56" s="229" t="e">
        <f t="shared" ca="1" si="123"/>
        <v>#VALUE!</v>
      </c>
      <c r="BM56" s="229" t="e">
        <f t="shared" ca="1" si="123"/>
        <v>#VALUE!</v>
      </c>
      <c r="BN56" s="229" t="e">
        <f t="shared" ca="1" si="123"/>
        <v>#VALUE!</v>
      </c>
      <c r="BO56" s="229" t="e">
        <f t="shared" ca="1" si="123"/>
        <v>#VALUE!</v>
      </c>
      <c r="BP56" s="229" t="e">
        <f t="shared" ca="1" si="123"/>
        <v>#VALUE!</v>
      </c>
      <c r="BQ56" s="229" t="e">
        <f t="shared" ca="1" si="123"/>
        <v>#VALUE!</v>
      </c>
      <c r="BR56" s="229" t="e">
        <f t="shared" ca="1" si="123"/>
        <v>#VALUE!</v>
      </c>
      <c r="BS56" s="229" t="e">
        <f t="shared" ca="1" si="123"/>
        <v>#VALUE!</v>
      </c>
      <c r="BT56" s="229" t="e">
        <f t="shared" ca="1" si="123"/>
        <v>#VALUE!</v>
      </c>
      <c r="BU56" s="229" t="e">
        <f t="shared" ca="1" si="123"/>
        <v>#VALUE!</v>
      </c>
      <c r="BV56" s="229" t="e">
        <f t="shared" ca="1" si="123"/>
        <v>#VALUE!</v>
      </c>
      <c r="BW56" s="229" t="e">
        <f t="shared" ca="1" si="123"/>
        <v>#VALUE!</v>
      </c>
      <c r="BX56" s="229" t="e">
        <f t="shared" ref="BX56:CS56" ca="1" si="124">SUM(BX51:BX55)</f>
        <v>#VALUE!</v>
      </c>
      <c r="BY56" s="229" t="e">
        <f t="shared" ca="1" si="124"/>
        <v>#VALUE!</v>
      </c>
      <c r="BZ56" s="229" t="e">
        <f t="shared" ca="1" si="124"/>
        <v>#VALUE!</v>
      </c>
      <c r="CA56" s="229" t="e">
        <f t="shared" ca="1" si="124"/>
        <v>#VALUE!</v>
      </c>
      <c r="CB56" s="229" t="e">
        <f t="shared" ca="1" si="124"/>
        <v>#VALUE!</v>
      </c>
      <c r="CC56" s="229" t="e">
        <f t="shared" ca="1" si="124"/>
        <v>#VALUE!</v>
      </c>
      <c r="CD56" s="229" t="e">
        <f t="shared" ca="1" si="124"/>
        <v>#VALUE!</v>
      </c>
      <c r="CE56" s="229" t="e">
        <f t="shared" ca="1" si="124"/>
        <v>#VALUE!</v>
      </c>
      <c r="CF56" s="229" t="e">
        <f t="shared" ca="1" si="124"/>
        <v>#VALUE!</v>
      </c>
      <c r="CG56" s="229" t="e">
        <f t="shared" ca="1" si="124"/>
        <v>#VALUE!</v>
      </c>
      <c r="CH56" s="229" t="e">
        <f t="shared" ca="1" si="124"/>
        <v>#VALUE!</v>
      </c>
      <c r="CI56" s="229" t="e">
        <f t="shared" ca="1" si="124"/>
        <v>#VALUE!</v>
      </c>
      <c r="CJ56" s="229" t="e">
        <f t="shared" ca="1" si="124"/>
        <v>#VALUE!</v>
      </c>
      <c r="CK56" s="229">
        <f t="shared" ca="1" si="124"/>
        <v>0</v>
      </c>
      <c r="CL56" s="229">
        <f t="shared" ca="1" si="124"/>
        <v>0</v>
      </c>
      <c r="CM56" s="229">
        <f t="shared" ca="1" si="124"/>
        <v>0</v>
      </c>
      <c r="CN56" s="229">
        <f t="shared" ca="1" si="124"/>
        <v>0</v>
      </c>
      <c r="CO56" s="229">
        <f t="shared" ca="1" si="124"/>
        <v>0</v>
      </c>
      <c r="CP56" s="229">
        <f t="shared" ca="1" si="124"/>
        <v>0</v>
      </c>
      <c r="CQ56" s="229">
        <f t="shared" ca="1" si="124"/>
        <v>0</v>
      </c>
      <c r="CR56" s="229">
        <f t="shared" ca="1" si="124"/>
        <v>0</v>
      </c>
      <c r="CS56" s="229">
        <f t="shared" ca="1" si="124"/>
        <v>0</v>
      </c>
      <c r="CT56" s="207"/>
      <c r="CU56" s="207"/>
      <c r="CV56" s="229" t="e">
        <f t="shared" ref="CV56:DU56" ca="1" si="125">SUM(CV51:CV55)</f>
        <v>#VALUE!</v>
      </c>
      <c r="CW56" s="229">
        <f t="shared" ca="1" si="125"/>
        <v>0</v>
      </c>
      <c r="CX56" s="229">
        <f t="shared" ca="1" si="125"/>
        <v>0</v>
      </c>
      <c r="CY56" s="229">
        <f t="shared" ca="1" si="125"/>
        <v>0</v>
      </c>
      <c r="CZ56" s="190">
        <f t="shared" ca="1" si="125"/>
        <v>0</v>
      </c>
      <c r="DA56" s="190">
        <f t="shared" ca="1" si="125"/>
        <v>0</v>
      </c>
      <c r="DB56" s="190">
        <f t="shared" ca="1" si="125"/>
        <v>0</v>
      </c>
      <c r="DC56" s="190">
        <f t="shared" ca="1" si="125"/>
        <v>0</v>
      </c>
      <c r="DD56" s="190">
        <f t="shared" ca="1" si="125"/>
        <v>0</v>
      </c>
      <c r="DE56" s="190">
        <f t="shared" ca="1" si="125"/>
        <v>0</v>
      </c>
      <c r="DF56" s="190">
        <f t="shared" ca="1" si="125"/>
        <v>0</v>
      </c>
      <c r="DG56" s="190">
        <f t="shared" ca="1" si="125"/>
        <v>0</v>
      </c>
      <c r="DH56" s="190">
        <f t="shared" ca="1" si="125"/>
        <v>0</v>
      </c>
      <c r="DI56" s="190">
        <f t="shared" ca="1" si="125"/>
        <v>0</v>
      </c>
      <c r="DJ56" s="190">
        <f t="shared" ca="1" si="125"/>
        <v>0</v>
      </c>
      <c r="DK56" s="190">
        <f t="shared" ca="1" si="125"/>
        <v>0</v>
      </c>
      <c r="DL56" s="190">
        <f t="shared" ca="1" si="125"/>
        <v>0</v>
      </c>
      <c r="DM56" s="190">
        <f t="shared" ca="1" si="125"/>
        <v>0</v>
      </c>
      <c r="DN56" s="190">
        <f t="shared" ca="1" si="125"/>
        <v>0</v>
      </c>
      <c r="DO56" s="190">
        <f t="shared" ca="1" si="125"/>
        <v>0</v>
      </c>
      <c r="DP56" s="190">
        <f t="shared" ca="1" si="125"/>
        <v>0</v>
      </c>
      <c r="DQ56" s="190">
        <f t="shared" ca="1" si="125"/>
        <v>0</v>
      </c>
      <c r="DR56" s="190">
        <f t="shared" ca="1" si="125"/>
        <v>0</v>
      </c>
      <c r="DS56" s="190">
        <f t="shared" ca="1" si="125"/>
        <v>0</v>
      </c>
      <c r="DT56" s="190">
        <f t="shared" ca="1" si="125"/>
        <v>0</v>
      </c>
      <c r="DU56" s="190">
        <f t="shared" ca="1" si="125"/>
        <v>0</v>
      </c>
    </row>
    <row r="58" spans="1:127" s="180" customFormat="1" ht="27">
      <c r="A58" s="464" t="s">
        <v>76</v>
      </c>
      <c r="B58" s="509" t="str">
        <f>'BESS 12'!F321</f>
        <v>11 Sep
17 Sep</v>
      </c>
      <c r="C58" s="509" t="str">
        <f>'BESS 12'!G321</f>
        <v>16 Sep
22 Sep</v>
      </c>
      <c r="D58" s="226"/>
      <c r="E58" s="226" t="s">
        <v>10</v>
      </c>
      <c r="F58" s="217" t="s">
        <v>58</v>
      </c>
      <c r="G58" s="217" t="s">
        <v>78</v>
      </c>
      <c r="H58" s="217" t="s">
        <v>87</v>
      </c>
      <c r="I58" s="217" t="s">
        <v>59</v>
      </c>
      <c r="J58" s="216" t="s">
        <v>80</v>
      </c>
      <c r="K58" s="216" t="s">
        <v>62</v>
      </c>
      <c r="L58" s="218">
        <v>46195</v>
      </c>
      <c r="M58" s="218">
        <v>46196</v>
      </c>
      <c r="N58" s="218">
        <v>46197</v>
      </c>
      <c r="O58" s="218">
        <f t="shared" ref="O58:AT58" si="126">N58+1</f>
        <v>46198</v>
      </c>
      <c r="P58" s="218">
        <f t="shared" si="126"/>
        <v>46199</v>
      </c>
      <c r="Q58" s="218">
        <f t="shared" si="126"/>
        <v>46200</v>
      </c>
      <c r="R58" s="218">
        <f t="shared" si="126"/>
        <v>46201</v>
      </c>
      <c r="S58" s="218">
        <f t="shared" si="126"/>
        <v>46202</v>
      </c>
      <c r="T58" s="218">
        <f t="shared" si="126"/>
        <v>46203</v>
      </c>
      <c r="U58" s="218">
        <f t="shared" si="126"/>
        <v>46204</v>
      </c>
      <c r="V58" s="218">
        <f t="shared" si="126"/>
        <v>46205</v>
      </c>
      <c r="W58" s="218">
        <f t="shared" si="126"/>
        <v>46206</v>
      </c>
      <c r="X58" s="218">
        <f t="shared" si="126"/>
        <v>46207</v>
      </c>
      <c r="Y58" s="218">
        <f t="shared" si="126"/>
        <v>46208</v>
      </c>
      <c r="Z58" s="218">
        <f t="shared" si="126"/>
        <v>46209</v>
      </c>
      <c r="AA58" s="218">
        <f t="shared" si="126"/>
        <v>46210</v>
      </c>
      <c r="AB58" s="218">
        <f t="shared" si="126"/>
        <v>46211</v>
      </c>
      <c r="AC58" s="218">
        <f t="shared" si="126"/>
        <v>46212</v>
      </c>
      <c r="AD58" s="218">
        <f t="shared" si="126"/>
        <v>46213</v>
      </c>
      <c r="AE58" s="218">
        <f t="shared" si="126"/>
        <v>46214</v>
      </c>
      <c r="AF58" s="218">
        <f t="shared" si="126"/>
        <v>46215</v>
      </c>
      <c r="AG58" s="218">
        <f t="shared" si="126"/>
        <v>46216</v>
      </c>
      <c r="AH58" s="218">
        <f t="shared" si="126"/>
        <v>46217</v>
      </c>
      <c r="AI58" s="218">
        <f t="shared" si="126"/>
        <v>46218</v>
      </c>
      <c r="AJ58" s="218">
        <f t="shared" si="126"/>
        <v>46219</v>
      </c>
      <c r="AK58" s="218">
        <f t="shared" si="126"/>
        <v>46220</v>
      </c>
      <c r="AL58" s="218">
        <f t="shared" si="126"/>
        <v>46221</v>
      </c>
      <c r="AM58" s="218">
        <f t="shared" si="126"/>
        <v>46222</v>
      </c>
      <c r="AN58" s="218">
        <f t="shared" si="126"/>
        <v>46223</v>
      </c>
      <c r="AO58" s="218">
        <f t="shared" si="126"/>
        <v>46224</v>
      </c>
      <c r="AP58" s="218">
        <f t="shared" si="126"/>
        <v>46225</v>
      </c>
      <c r="AQ58" s="218">
        <f t="shared" si="126"/>
        <v>46226</v>
      </c>
      <c r="AR58" s="218">
        <f t="shared" si="126"/>
        <v>46227</v>
      </c>
      <c r="AS58" s="218">
        <f t="shared" si="126"/>
        <v>46228</v>
      </c>
      <c r="AT58" s="218">
        <f t="shared" si="126"/>
        <v>46229</v>
      </c>
      <c r="AU58" s="218">
        <f t="shared" ref="AU58:BZ58" si="127">AT58+1</f>
        <v>46230</v>
      </c>
      <c r="AV58" s="218">
        <f t="shared" si="127"/>
        <v>46231</v>
      </c>
      <c r="AW58" s="218">
        <f t="shared" si="127"/>
        <v>46232</v>
      </c>
      <c r="AX58" s="218">
        <f t="shared" si="127"/>
        <v>46233</v>
      </c>
      <c r="AY58" s="218">
        <f t="shared" si="127"/>
        <v>46234</v>
      </c>
      <c r="AZ58" s="218">
        <f t="shared" si="127"/>
        <v>46235</v>
      </c>
      <c r="BA58" s="218">
        <f t="shared" si="127"/>
        <v>46236</v>
      </c>
      <c r="BB58" s="218">
        <f t="shared" si="127"/>
        <v>46237</v>
      </c>
      <c r="BC58" s="218">
        <f t="shared" si="127"/>
        <v>46238</v>
      </c>
      <c r="BD58" s="218">
        <f t="shared" si="127"/>
        <v>46239</v>
      </c>
      <c r="BE58" s="218">
        <f t="shared" si="127"/>
        <v>46240</v>
      </c>
      <c r="BF58" s="218">
        <f t="shared" si="127"/>
        <v>46241</v>
      </c>
      <c r="BG58" s="218">
        <f t="shared" si="127"/>
        <v>46242</v>
      </c>
      <c r="BH58" s="218">
        <f t="shared" si="127"/>
        <v>46243</v>
      </c>
      <c r="BI58" s="218">
        <f t="shared" si="127"/>
        <v>46244</v>
      </c>
      <c r="BJ58" s="218">
        <f t="shared" si="127"/>
        <v>46245</v>
      </c>
      <c r="BK58" s="218">
        <f t="shared" si="127"/>
        <v>46246</v>
      </c>
      <c r="BL58" s="218">
        <f t="shared" si="127"/>
        <v>46247</v>
      </c>
      <c r="BM58" s="218">
        <f t="shared" si="127"/>
        <v>46248</v>
      </c>
      <c r="BN58" s="218">
        <f t="shared" si="127"/>
        <v>46249</v>
      </c>
      <c r="BO58" s="218">
        <f t="shared" si="127"/>
        <v>46250</v>
      </c>
      <c r="BP58" s="218">
        <f t="shared" si="127"/>
        <v>46251</v>
      </c>
      <c r="BQ58" s="218">
        <f t="shared" si="127"/>
        <v>46252</v>
      </c>
      <c r="BR58" s="218">
        <f t="shared" si="127"/>
        <v>46253</v>
      </c>
      <c r="BS58" s="218">
        <f t="shared" si="127"/>
        <v>46254</v>
      </c>
      <c r="BT58" s="218">
        <f t="shared" si="127"/>
        <v>46255</v>
      </c>
      <c r="BU58" s="218">
        <f t="shared" si="127"/>
        <v>46256</v>
      </c>
      <c r="BV58" s="218">
        <f t="shared" si="127"/>
        <v>46257</v>
      </c>
      <c r="BW58" s="218">
        <f t="shared" si="127"/>
        <v>46258</v>
      </c>
      <c r="BX58" s="218">
        <f t="shared" si="127"/>
        <v>46259</v>
      </c>
      <c r="BY58" s="218">
        <f t="shared" si="127"/>
        <v>46260</v>
      </c>
      <c r="BZ58" s="218">
        <f t="shared" si="127"/>
        <v>46261</v>
      </c>
      <c r="CA58" s="218">
        <f t="shared" ref="CA58:CS58" si="128">BZ58+1</f>
        <v>46262</v>
      </c>
      <c r="CB58" s="218">
        <f t="shared" si="128"/>
        <v>46263</v>
      </c>
      <c r="CC58" s="218">
        <f t="shared" si="128"/>
        <v>46264</v>
      </c>
      <c r="CD58" s="218">
        <f t="shared" si="128"/>
        <v>46265</v>
      </c>
      <c r="CE58" s="218">
        <f t="shared" si="128"/>
        <v>46266</v>
      </c>
      <c r="CF58" s="218">
        <f t="shared" si="128"/>
        <v>46267</v>
      </c>
      <c r="CG58" s="218">
        <f t="shared" si="128"/>
        <v>46268</v>
      </c>
      <c r="CH58" s="218">
        <f t="shared" si="128"/>
        <v>46269</v>
      </c>
      <c r="CI58" s="218">
        <f t="shared" si="128"/>
        <v>46270</v>
      </c>
      <c r="CJ58" s="218">
        <f t="shared" si="128"/>
        <v>46271</v>
      </c>
      <c r="CK58" s="218">
        <f t="shared" si="128"/>
        <v>46272</v>
      </c>
      <c r="CL58" s="218">
        <f t="shared" si="128"/>
        <v>46273</v>
      </c>
      <c r="CM58" s="218">
        <f t="shared" si="128"/>
        <v>46274</v>
      </c>
      <c r="CN58" s="218">
        <f t="shared" si="128"/>
        <v>46275</v>
      </c>
      <c r="CO58" s="218">
        <f t="shared" si="128"/>
        <v>46276</v>
      </c>
      <c r="CP58" s="218">
        <f t="shared" si="128"/>
        <v>46277</v>
      </c>
      <c r="CQ58" s="218">
        <f t="shared" si="128"/>
        <v>46278</v>
      </c>
      <c r="CR58" s="218">
        <f t="shared" si="128"/>
        <v>46279</v>
      </c>
      <c r="CS58" s="218">
        <f t="shared" si="128"/>
        <v>46280</v>
      </c>
      <c r="CV58" s="218">
        <f t="shared" ref="CV58:DW58" si="129">CU58+1</f>
        <v>1</v>
      </c>
      <c r="CW58" s="218">
        <f t="shared" si="129"/>
        <v>2</v>
      </c>
      <c r="CX58" s="218">
        <f t="shared" si="129"/>
        <v>3</v>
      </c>
      <c r="CY58" s="218">
        <f t="shared" si="129"/>
        <v>4</v>
      </c>
      <c r="CZ58" s="218">
        <f t="shared" si="129"/>
        <v>5</v>
      </c>
      <c r="DA58" s="218">
        <f t="shared" si="129"/>
        <v>6</v>
      </c>
      <c r="DB58" s="218">
        <f t="shared" si="129"/>
        <v>7</v>
      </c>
      <c r="DC58" s="218">
        <f t="shared" si="129"/>
        <v>8</v>
      </c>
      <c r="DD58" s="218">
        <f t="shared" si="129"/>
        <v>9</v>
      </c>
      <c r="DE58" s="218">
        <f t="shared" si="129"/>
        <v>10</v>
      </c>
      <c r="DF58" s="218">
        <f t="shared" si="129"/>
        <v>11</v>
      </c>
      <c r="DG58" s="218">
        <f t="shared" si="129"/>
        <v>12</v>
      </c>
      <c r="DH58" s="218">
        <f t="shared" si="129"/>
        <v>13</v>
      </c>
      <c r="DI58" s="218">
        <f t="shared" si="129"/>
        <v>14</v>
      </c>
      <c r="DJ58" s="218">
        <f t="shared" si="129"/>
        <v>15</v>
      </c>
      <c r="DK58" s="218">
        <f t="shared" si="129"/>
        <v>16</v>
      </c>
      <c r="DL58" s="218">
        <f t="shared" si="129"/>
        <v>17</v>
      </c>
      <c r="DM58" s="218">
        <f t="shared" si="129"/>
        <v>18</v>
      </c>
      <c r="DN58" s="218">
        <f t="shared" si="129"/>
        <v>19</v>
      </c>
      <c r="DO58" s="218">
        <f t="shared" si="129"/>
        <v>20</v>
      </c>
      <c r="DP58" s="218">
        <f t="shared" si="129"/>
        <v>21</v>
      </c>
      <c r="DQ58" s="218">
        <f t="shared" si="129"/>
        <v>22</v>
      </c>
      <c r="DR58" s="218">
        <f t="shared" si="129"/>
        <v>23</v>
      </c>
      <c r="DS58" s="218">
        <f t="shared" si="129"/>
        <v>24</v>
      </c>
      <c r="DT58" s="218">
        <f t="shared" si="129"/>
        <v>25</v>
      </c>
      <c r="DU58" s="218">
        <f t="shared" si="129"/>
        <v>26</v>
      </c>
      <c r="DV58" s="218">
        <f t="shared" si="129"/>
        <v>27</v>
      </c>
      <c r="DW58" s="218">
        <f t="shared" si="129"/>
        <v>28</v>
      </c>
    </row>
    <row r="59" spans="1:127">
      <c r="A59" s="464"/>
      <c r="B59" s="509"/>
      <c r="C59" s="509"/>
      <c r="D59" s="467" t="str">
        <f>'BESS 12'!H321</f>
        <v>19 Sep
25 Sep</v>
      </c>
      <c r="E59" s="185" t="s">
        <v>64</v>
      </c>
      <c r="F59" s="66" t="e">
        <f>SUM('BESS 12'!S334:S341,'BESS 12'!S343)</f>
        <v>#VALUE!</v>
      </c>
      <c r="G59" s="182">
        <f ca="1">TODAY()</f>
        <v>46233</v>
      </c>
      <c r="H59" s="162">
        <f>MAX('BESS 12'!O334:O340)</f>
        <v>46252</v>
      </c>
      <c r="I59" s="66">
        <f ca="1">H59-G59</f>
        <v>19</v>
      </c>
      <c r="J59" s="506">
        <f ca="1">AVERAGEIF(L64:CS64,"&gt;0")</f>
        <v>5</v>
      </c>
      <c r="K59" s="506" t="e">
        <f ca="1">MAX(L64:CS64)</f>
        <v>#VALUE!</v>
      </c>
      <c r="L59" s="65" t="str">
        <f t="shared" ref="L59:U62" ca="1" si="130">IF(AND(L$2&gt;=$G59,L$2&lt;($G59+$I59)),ROUND($F59/$I59,0),"-")</f>
        <v>-</v>
      </c>
      <c r="M59" s="65" t="str">
        <f t="shared" ca="1" si="130"/>
        <v>-</v>
      </c>
      <c r="N59" s="65" t="str">
        <f t="shared" ca="1" si="130"/>
        <v>-</v>
      </c>
      <c r="O59" s="65" t="str">
        <f t="shared" ca="1" si="130"/>
        <v>-</v>
      </c>
      <c r="P59" s="65" t="str">
        <f t="shared" ca="1" si="130"/>
        <v>-</v>
      </c>
      <c r="Q59" s="65" t="str">
        <f t="shared" ca="1" si="130"/>
        <v>-</v>
      </c>
      <c r="R59" s="65" t="str">
        <f t="shared" ca="1" si="130"/>
        <v>-</v>
      </c>
      <c r="S59" s="65" t="str">
        <f t="shared" ca="1" si="130"/>
        <v>-</v>
      </c>
      <c r="T59" s="65" t="str">
        <f t="shared" ca="1" si="130"/>
        <v>-</v>
      </c>
      <c r="U59" s="65" t="str">
        <f t="shared" ca="1" si="130"/>
        <v>-</v>
      </c>
      <c r="V59" s="65" t="str">
        <f t="shared" ref="V59:AE62" ca="1" si="131">IF(AND(V$2&gt;=$G59,V$2&lt;($G59+$I59)),ROUND($F59/$I59,0),"-")</f>
        <v>-</v>
      </c>
      <c r="W59" s="65" t="str">
        <f t="shared" ca="1" si="131"/>
        <v>-</v>
      </c>
      <c r="X59" s="65" t="str">
        <f t="shared" ca="1" si="131"/>
        <v>-</v>
      </c>
      <c r="Y59" s="65" t="str">
        <f t="shared" ca="1" si="131"/>
        <v>-</v>
      </c>
      <c r="Z59" s="65" t="str">
        <f t="shared" ca="1" si="131"/>
        <v>-</v>
      </c>
      <c r="AA59" s="65" t="str">
        <f t="shared" ca="1" si="131"/>
        <v>-</v>
      </c>
      <c r="AB59" s="65" t="str">
        <f t="shared" ca="1" si="131"/>
        <v>-</v>
      </c>
      <c r="AC59" s="65" t="str">
        <f t="shared" ca="1" si="131"/>
        <v>-</v>
      </c>
      <c r="AD59" s="65" t="str">
        <f t="shared" ca="1" si="131"/>
        <v>-</v>
      </c>
      <c r="AE59" s="65" t="str">
        <f t="shared" ca="1" si="131"/>
        <v>-</v>
      </c>
      <c r="AF59" s="65" t="str">
        <f t="shared" ref="AF59:AO62" ca="1" si="132">IF(AND(AF$2&gt;=$G59,AF$2&lt;($G59+$I59)),ROUND($F59/$I59,0),"-")</f>
        <v>-</v>
      </c>
      <c r="AG59" s="65" t="str">
        <f t="shared" ca="1" si="132"/>
        <v>-</v>
      </c>
      <c r="AH59" s="65" t="str">
        <f t="shared" ca="1" si="132"/>
        <v>-</v>
      </c>
      <c r="AI59" s="65" t="str">
        <f t="shared" ca="1" si="132"/>
        <v>-</v>
      </c>
      <c r="AJ59" s="65" t="str">
        <f t="shared" ca="1" si="132"/>
        <v>-</v>
      </c>
      <c r="AK59" s="65" t="str">
        <f t="shared" ca="1" si="132"/>
        <v>-</v>
      </c>
      <c r="AL59" s="65" t="str">
        <f t="shared" ca="1" si="132"/>
        <v>-</v>
      </c>
      <c r="AM59" s="65" t="str">
        <f t="shared" ca="1" si="132"/>
        <v>-</v>
      </c>
      <c r="AN59" s="65" t="str">
        <f t="shared" ca="1" si="132"/>
        <v>-</v>
      </c>
      <c r="AO59" s="65" t="str">
        <f t="shared" ca="1" si="132"/>
        <v>-</v>
      </c>
      <c r="AP59" s="65" t="str">
        <f t="shared" ref="AP59:AY62" ca="1" si="133">IF(AND(AP$2&gt;=$G59,AP$2&lt;($G59+$I59)),ROUND($F59/$I59,0),"-")</f>
        <v>-</v>
      </c>
      <c r="AQ59" s="65" t="str">
        <f t="shared" ca="1" si="133"/>
        <v>-</v>
      </c>
      <c r="AR59" s="65" t="str">
        <f t="shared" ca="1" si="133"/>
        <v>-</v>
      </c>
      <c r="AS59" s="65" t="str">
        <f t="shared" ca="1" si="133"/>
        <v>-</v>
      </c>
      <c r="AT59" s="65" t="str">
        <f t="shared" ca="1" si="133"/>
        <v>-</v>
      </c>
      <c r="AU59" s="65" t="str">
        <f t="shared" ca="1" si="133"/>
        <v>-</v>
      </c>
      <c r="AV59" s="65" t="str">
        <f t="shared" ca="1" si="133"/>
        <v>-</v>
      </c>
      <c r="AW59" s="65" t="str">
        <f t="shared" ca="1" si="133"/>
        <v>-</v>
      </c>
      <c r="AX59" s="65" t="e">
        <f t="shared" ca="1" si="133"/>
        <v>#VALUE!</v>
      </c>
      <c r="AY59" s="65" t="e">
        <f t="shared" ca="1" si="133"/>
        <v>#VALUE!</v>
      </c>
      <c r="AZ59" s="65" t="e">
        <f t="shared" ref="AZ59:BI62" ca="1" si="134">IF(AND(AZ$2&gt;=$G59,AZ$2&lt;($G59+$I59)),ROUND($F59/$I59,0),"-")</f>
        <v>#VALUE!</v>
      </c>
      <c r="BA59" s="65" t="e">
        <f t="shared" ca="1" si="134"/>
        <v>#VALUE!</v>
      </c>
      <c r="BB59" s="65" t="e">
        <f t="shared" ca="1" si="134"/>
        <v>#VALUE!</v>
      </c>
      <c r="BC59" s="65" t="e">
        <f t="shared" ca="1" si="134"/>
        <v>#VALUE!</v>
      </c>
      <c r="BD59" s="65" t="e">
        <f t="shared" ca="1" si="134"/>
        <v>#VALUE!</v>
      </c>
      <c r="BE59" s="65" t="e">
        <f t="shared" ca="1" si="134"/>
        <v>#VALUE!</v>
      </c>
      <c r="BF59" s="65" t="e">
        <f t="shared" ca="1" si="134"/>
        <v>#VALUE!</v>
      </c>
      <c r="BG59" s="65" t="e">
        <f t="shared" ca="1" si="134"/>
        <v>#VALUE!</v>
      </c>
      <c r="BH59" s="65" t="e">
        <f t="shared" ca="1" si="134"/>
        <v>#VALUE!</v>
      </c>
      <c r="BI59" s="65" t="e">
        <f t="shared" ca="1" si="134"/>
        <v>#VALUE!</v>
      </c>
      <c r="BJ59" s="65" t="e">
        <f t="shared" ref="BJ59:BS62" ca="1" si="135">IF(AND(BJ$2&gt;=$G59,BJ$2&lt;($G59+$I59)),ROUND($F59/$I59,0),"-")</f>
        <v>#VALUE!</v>
      </c>
      <c r="BK59" s="65" t="e">
        <f t="shared" ca="1" si="135"/>
        <v>#VALUE!</v>
      </c>
      <c r="BL59" s="65" t="e">
        <f t="shared" ca="1" si="135"/>
        <v>#VALUE!</v>
      </c>
      <c r="BM59" s="65" t="e">
        <f t="shared" ca="1" si="135"/>
        <v>#VALUE!</v>
      </c>
      <c r="BN59" s="65" t="e">
        <f t="shared" ca="1" si="135"/>
        <v>#VALUE!</v>
      </c>
      <c r="BO59" s="65" t="e">
        <f t="shared" ca="1" si="135"/>
        <v>#VALUE!</v>
      </c>
      <c r="BP59" s="65" t="e">
        <f t="shared" ca="1" si="135"/>
        <v>#VALUE!</v>
      </c>
      <c r="BQ59" s="65">
        <v>1</v>
      </c>
      <c r="BR59" s="65">
        <v>1</v>
      </c>
      <c r="BS59" s="65">
        <v>1</v>
      </c>
      <c r="BT59" s="65">
        <v>1</v>
      </c>
      <c r="BU59" s="65" t="str">
        <f t="shared" ref="BT59:CC62" ca="1" si="136">IF(AND(BU$2&gt;=$G59,BU$2&lt;($G59+$I59)),ROUND($F59/$I59,0),"-")</f>
        <v>-</v>
      </c>
      <c r="BV59" s="65" t="str">
        <f t="shared" ca="1" si="136"/>
        <v>-</v>
      </c>
      <c r="BW59" s="65" t="str">
        <f t="shared" ca="1" si="136"/>
        <v>-</v>
      </c>
      <c r="BX59" s="65" t="str">
        <f t="shared" ca="1" si="136"/>
        <v>-</v>
      </c>
      <c r="BY59" s="65" t="str">
        <f t="shared" ca="1" si="136"/>
        <v>-</v>
      </c>
      <c r="BZ59" s="65" t="str">
        <f t="shared" ca="1" si="136"/>
        <v>-</v>
      </c>
      <c r="CA59" s="65" t="str">
        <f t="shared" ca="1" si="136"/>
        <v>-</v>
      </c>
      <c r="CB59" s="65" t="str">
        <f t="shared" ca="1" si="136"/>
        <v>-</v>
      </c>
      <c r="CC59" s="65" t="str">
        <f t="shared" ca="1" si="136"/>
        <v>-</v>
      </c>
      <c r="CD59" s="65" t="str">
        <f t="shared" ref="CD59:CM62" ca="1" si="137">IF(AND(CD$2&gt;=$G59,CD$2&lt;($G59+$I59)),ROUND($F59/$I59,0),"-")</f>
        <v>-</v>
      </c>
      <c r="CE59" s="65" t="str">
        <f t="shared" ca="1" si="137"/>
        <v>-</v>
      </c>
      <c r="CF59" s="65" t="str">
        <f t="shared" ca="1" si="137"/>
        <v>-</v>
      </c>
      <c r="CG59" s="65" t="str">
        <f t="shared" ca="1" si="137"/>
        <v>-</v>
      </c>
      <c r="CH59" s="65" t="str">
        <f t="shared" ca="1" si="137"/>
        <v>-</v>
      </c>
      <c r="CI59" s="65" t="str">
        <f t="shared" ca="1" si="137"/>
        <v>-</v>
      </c>
      <c r="CJ59" s="65" t="str">
        <f t="shared" ca="1" si="137"/>
        <v>-</v>
      </c>
      <c r="CK59" s="65" t="str">
        <f t="shared" ca="1" si="137"/>
        <v>-</v>
      </c>
      <c r="CL59" s="65" t="str">
        <f t="shared" ca="1" si="137"/>
        <v>-</v>
      </c>
      <c r="CM59" s="65" t="str">
        <f t="shared" ca="1" si="137"/>
        <v>-</v>
      </c>
      <c r="CN59" s="65" t="str">
        <f t="shared" ref="CN59:CS62" ca="1" si="138">IF(AND(CN$2&gt;=$G59,CN$2&lt;($G59+$I59)),ROUND($F59/$I59,0),"-")</f>
        <v>-</v>
      </c>
      <c r="CO59" s="65" t="str">
        <f t="shared" ca="1" si="138"/>
        <v>-</v>
      </c>
      <c r="CP59" s="65" t="str">
        <f t="shared" ca="1" si="138"/>
        <v>-</v>
      </c>
      <c r="CQ59" s="65" t="str">
        <f t="shared" ca="1" si="138"/>
        <v>-</v>
      </c>
      <c r="CR59" s="65" t="str">
        <f t="shared" ca="1" si="138"/>
        <v>-</v>
      </c>
      <c r="CS59" s="65" t="str">
        <f t="shared" ca="1" si="138"/>
        <v>-</v>
      </c>
      <c r="CV59" s="65" t="e">
        <f t="shared" ref="CV59:DE62" ca="1" si="139">IF(AND(CV$2&gt;=$G59,CV$2&lt;($G59+$I59)),ROUND($F59/$I59,0),"-")</f>
        <v>#VALUE!</v>
      </c>
      <c r="CW59" s="65" t="str">
        <f t="shared" ca="1" si="139"/>
        <v>-</v>
      </c>
      <c r="CX59" s="65" t="str">
        <f t="shared" ca="1" si="139"/>
        <v>-</v>
      </c>
      <c r="CY59" s="65" t="str">
        <f t="shared" ca="1" si="139"/>
        <v>-</v>
      </c>
      <c r="CZ59" s="65" t="str">
        <f t="shared" ca="1" si="139"/>
        <v>-</v>
      </c>
      <c r="DA59" s="65" t="str">
        <f t="shared" ca="1" si="139"/>
        <v>-</v>
      </c>
      <c r="DB59" s="65" t="str">
        <f t="shared" ca="1" si="139"/>
        <v>-</v>
      </c>
      <c r="DC59" s="65" t="str">
        <f t="shared" ca="1" si="139"/>
        <v>-</v>
      </c>
      <c r="DD59" s="65" t="str">
        <f t="shared" ca="1" si="139"/>
        <v>-</v>
      </c>
      <c r="DE59" s="65" t="str">
        <f t="shared" ca="1" si="139"/>
        <v>-</v>
      </c>
      <c r="DF59" s="65" t="str">
        <f t="shared" ref="DF59:DO62" ca="1" si="140">IF(AND(DF$2&gt;=$G59,DF$2&lt;($G59+$I59)),ROUND($F59/$I59,0),"-")</f>
        <v>-</v>
      </c>
      <c r="DG59" s="65" t="str">
        <f t="shared" ca="1" si="140"/>
        <v>-</v>
      </c>
      <c r="DH59" s="65" t="str">
        <f t="shared" ca="1" si="140"/>
        <v>-</v>
      </c>
      <c r="DI59" s="65" t="str">
        <f t="shared" ca="1" si="140"/>
        <v>-</v>
      </c>
      <c r="DJ59" s="65" t="str">
        <f t="shared" ca="1" si="140"/>
        <v>-</v>
      </c>
      <c r="DK59" s="65" t="str">
        <f t="shared" ca="1" si="140"/>
        <v>-</v>
      </c>
      <c r="DL59" s="65" t="str">
        <f t="shared" ca="1" si="140"/>
        <v>-</v>
      </c>
      <c r="DM59" s="65" t="str">
        <f t="shared" ca="1" si="140"/>
        <v>-</v>
      </c>
      <c r="DN59" s="65" t="str">
        <f t="shared" ca="1" si="140"/>
        <v>-</v>
      </c>
      <c r="DO59" s="65" t="str">
        <f t="shared" ca="1" si="140"/>
        <v>-</v>
      </c>
      <c r="DP59" s="65" t="str">
        <f t="shared" ref="DP59:DW62" ca="1" si="141">IF(AND(DP$2&gt;=$G59,DP$2&lt;($G59+$I59)),ROUND($F59/$I59,0),"-")</f>
        <v>-</v>
      </c>
      <c r="DQ59" s="65" t="str">
        <f t="shared" ca="1" si="141"/>
        <v>-</v>
      </c>
      <c r="DR59" s="65" t="str">
        <f t="shared" ca="1" si="141"/>
        <v>-</v>
      </c>
      <c r="DS59" s="65" t="str">
        <f t="shared" ca="1" si="141"/>
        <v>-</v>
      </c>
      <c r="DT59" s="65" t="str">
        <f t="shared" ca="1" si="141"/>
        <v>-</v>
      </c>
      <c r="DU59" s="65" t="str">
        <f t="shared" ca="1" si="141"/>
        <v>-</v>
      </c>
      <c r="DV59" s="65" t="str">
        <f t="shared" ca="1" si="141"/>
        <v>-</v>
      </c>
      <c r="DW59" s="65" t="str">
        <f t="shared" ca="1" si="141"/>
        <v>-</v>
      </c>
    </row>
    <row r="60" spans="1:127">
      <c r="A60" s="464"/>
      <c r="B60" s="509"/>
      <c r="C60" s="509"/>
      <c r="D60" s="466"/>
      <c r="E60" s="185" t="s">
        <v>65</v>
      </c>
      <c r="F60" s="66" t="e">
        <f>SUM('BESS 12'!S344,'BESS 12'!S346:S347,'BESS 12'!S350:S352)</f>
        <v>#VALUE!</v>
      </c>
      <c r="G60" s="182">
        <f t="shared" ref="G60" ca="1" si="142">TODAY()</f>
        <v>46233</v>
      </c>
      <c r="H60" s="162">
        <f ca="1">G60+25</f>
        <v>46258</v>
      </c>
      <c r="I60" s="66">
        <f t="shared" ref="I60:I62" ca="1" si="143">H60-G60</f>
        <v>25</v>
      </c>
      <c r="J60" s="507"/>
      <c r="K60" s="476"/>
      <c r="L60" s="65" t="str">
        <f t="shared" ca="1" si="130"/>
        <v>-</v>
      </c>
      <c r="M60" s="65" t="str">
        <f t="shared" ca="1" si="130"/>
        <v>-</v>
      </c>
      <c r="N60" s="65" t="str">
        <f t="shared" ca="1" si="130"/>
        <v>-</v>
      </c>
      <c r="O60" s="65" t="str">
        <f t="shared" ca="1" si="130"/>
        <v>-</v>
      </c>
      <c r="P60" s="65" t="str">
        <f t="shared" ca="1" si="130"/>
        <v>-</v>
      </c>
      <c r="Q60" s="65" t="str">
        <f t="shared" ca="1" si="130"/>
        <v>-</v>
      </c>
      <c r="R60" s="65" t="str">
        <f t="shared" ca="1" si="130"/>
        <v>-</v>
      </c>
      <c r="S60" s="65" t="str">
        <f t="shared" ca="1" si="130"/>
        <v>-</v>
      </c>
      <c r="T60" s="65" t="str">
        <f t="shared" ca="1" si="130"/>
        <v>-</v>
      </c>
      <c r="U60" s="65" t="str">
        <f t="shared" ca="1" si="130"/>
        <v>-</v>
      </c>
      <c r="V60" s="65" t="str">
        <f t="shared" ca="1" si="131"/>
        <v>-</v>
      </c>
      <c r="W60" s="65" t="str">
        <f t="shared" ca="1" si="131"/>
        <v>-</v>
      </c>
      <c r="X60" s="65" t="str">
        <f t="shared" ca="1" si="131"/>
        <v>-</v>
      </c>
      <c r="Y60" s="65" t="str">
        <f t="shared" ca="1" si="131"/>
        <v>-</v>
      </c>
      <c r="Z60" s="65" t="str">
        <f t="shared" ca="1" si="131"/>
        <v>-</v>
      </c>
      <c r="AA60" s="65" t="str">
        <f t="shared" ca="1" si="131"/>
        <v>-</v>
      </c>
      <c r="AB60" s="65" t="str">
        <f t="shared" ca="1" si="131"/>
        <v>-</v>
      </c>
      <c r="AC60" s="65" t="str">
        <f t="shared" ca="1" si="131"/>
        <v>-</v>
      </c>
      <c r="AD60" s="65" t="str">
        <f t="shared" ca="1" si="131"/>
        <v>-</v>
      </c>
      <c r="AE60" s="65" t="str">
        <f t="shared" ca="1" si="131"/>
        <v>-</v>
      </c>
      <c r="AF60" s="65" t="str">
        <f t="shared" ca="1" si="132"/>
        <v>-</v>
      </c>
      <c r="AG60" s="65" t="str">
        <f t="shared" ca="1" si="132"/>
        <v>-</v>
      </c>
      <c r="AH60" s="65" t="str">
        <f t="shared" ca="1" si="132"/>
        <v>-</v>
      </c>
      <c r="AI60" s="65" t="str">
        <f t="shared" ca="1" si="132"/>
        <v>-</v>
      </c>
      <c r="AJ60" s="65" t="str">
        <f t="shared" ca="1" si="132"/>
        <v>-</v>
      </c>
      <c r="AK60" s="65" t="str">
        <f t="shared" ca="1" si="132"/>
        <v>-</v>
      </c>
      <c r="AL60" s="65" t="str">
        <f t="shared" ca="1" si="132"/>
        <v>-</v>
      </c>
      <c r="AM60" s="65" t="str">
        <f t="shared" ca="1" si="132"/>
        <v>-</v>
      </c>
      <c r="AN60" s="65" t="str">
        <f t="shared" ca="1" si="132"/>
        <v>-</v>
      </c>
      <c r="AO60" s="65" t="str">
        <f t="shared" ca="1" si="132"/>
        <v>-</v>
      </c>
      <c r="AP60" s="65" t="str">
        <f t="shared" ca="1" si="133"/>
        <v>-</v>
      </c>
      <c r="AQ60" s="65" t="str">
        <f t="shared" ca="1" si="133"/>
        <v>-</v>
      </c>
      <c r="AR60" s="65" t="str">
        <f t="shared" ca="1" si="133"/>
        <v>-</v>
      </c>
      <c r="AS60" s="65" t="str">
        <f t="shared" ca="1" si="133"/>
        <v>-</v>
      </c>
      <c r="AT60" s="65" t="str">
        <f t="shared" ca="1" si="133"/>
        <v>-</v>
      </c>
      <c r="AU60" s="65" t="str">
        <f t="shared" ca="1" si="133"/>
        <v>-</v>
      </c>
      <c r="AV60" s="65" t="str">
        <f t="shared" ca="1" si="133"/>
        <v>-</v>
      </c>
      <c r="AW60" s="65" t="str">
        <f t="shared" ca="1" si="133"/>
        <v>-</v>
      </c>
      <c r="AX60" s="65" t="e">
        <f t="shared" ca="1" si="133"/>
        <v>#VALUE!</v>
      </c>
      <c r="AY60" s="65" t="e">
        <f t="shared" ca="1" si="133"/>
        <v>#VALUE!</v>
      </c>
      <c r="AZ60" s="65" t="e">
        <f t="shared" ca="1" si="134"/>
        <v>#VALUE!</v>
      </c>
      <c r="BA60" s="65" t="e">
        <f t="shared" ca="1" si="134"/>
        <v>#VALUE!</v>
      </c>
      <c r="BB60" s="65" t="e">
        <f t="shared" ca="1" si="134"/>
        <v>#VALUE!</v>
      </c>
      <c r="BC60" s="65" t="e">
        <f t="shared" ca="1" si="134"/>
        <v>#VALUE!</v>
      </c>
      <c r="BD60" s="65" t="e">
        <f t="shared" ca="1" si="134"/>
        <v>#VALUE!</v>
      </c>
      <c r="BE60" s="65" t="e">
        <f t="shared" ca="1" si="134"/>
        <v>#VALUE!</v>
      </c>
      <c r="BF60" s="65" t="e">
        <f t="shared" ca="1" si="134"/>
        <v>#VALUE!</v>
      </c>
      <c r="BG60" s="65" t="e">
        <f t="shared" ca="1" si="134"/>
        <v>#VALUE!</v>
      </c>
      <c r="BH60" s="65" t="e">
        <f t="shared" ca="1" si="134"/>
        <v>#VALUE!</v>
      </c>
      <c r="BI60" s="65" t="e">
        <f t="shared" ca="1" si="134"/>
        <v>#VALUE!</v>
      </c>
      <c r="BJ60" s="65" t="e">
        <f t="shared" ca="1" si="135"/>
        <v>#VALUE!</v>
      </c>
      <c r="BK60" s="65" t="e">
        <f t="shared" ca="1" si="135"/>
        <v>#VALUE!</v>
      </c>
      <c r="BL60" s="65" t="e">
        <f t="shared" ca="1" si="135"/>
        <v>#VALUE!</v>
      </c>
      <c r="BM60" s="65" t="e">
        <f t="shared" ca="1" si="135"/>
        <v>#VALUE!</v>
      </c>
      <c r="BN60" s="65" t="e">
        <f t="shared" ca="1" si="135"/>
        <v>#VALUE!</v>
      </c>
      <c r="BO60" s="65" t="e">
        <f t="shared" ca="1" si="135"/>
        <v>#VALUE!</v>
      </c>
      <c r="BP60" s="65" t="e">
        <f t="shared" ca="1" si="135"/>
        <v>#VALUE!</v>
      </c>
      <c r="BQ60" s="65" t="e">
        <f t="shared" ca="1" si="135"/>
        <v>#VALUE!</v>
      </c>
      <c r="BR60" s="65" t="e">
        <f t="shared" ca="1" si="135"/>
        <v>#VALUE!</v>
      </c>
      <c r="BS60" s="65" t="e">
        <f t="shared" ca="1" si="135"/>
        <v>#VALUE!</v>
      </c>
      <c r="BT60" s="65" t="e">
        <f ca="1">IF(AND(BT$2&gt;=$G60,BT$2&lt;($G60+$I60)),ROUND($F60/$I60,0),"-")</f>
        <v>#VALUE!</v>
      </c>
      <c r="BU60" s="65" t="e">
        <f t="shared" ca="1" si="136"/>
        <v>#VALUE!</v>
      </c>
      <c r="BV60" s="65" t="e">
        <f t="shared" ca="1" si="136"/>
        <v>#VALUE!</v>
      </c>
      <c r="BW60" s="65" t="str">
        <f t="shared" ca="1" si="136"/>
        <v>-</v>
      </c>
      <c r="BX60" s="65" t="str">
        <f t="shared" ca="1" si="136"/>
        <v>-</v>
      </c>
      <c r="BY60" s="65" t="str">
        <f t="shared" ca="1" si="136"/>
        <v>-</v>
      </c>
      <c r="BZ60" s="65" t="str">
        <f t="shared" ca="1" si="136"/>
        <v>-</v>
      </c>
      <c r="CA60" s="65" t="str">
        <f t="shared" ca="1" si="136"/>
        <v>-</v>
      </c>
      <c r="CB60" s="65" t="str">
        <f t="shared" ca="1" si="136"/>
        <v>-</v>
      </c>
      <c r="CC60" s="65" t="str">
        <f t="shared" ca="1" si="136"/>
        <v>-</v>
      </c>
      <c r="CD60" s="65" t="str">
        <f t="shared" ca="1" si="137"/>
        <v>-</v>
      </c>
      <c r="CE60" s="65" t="str">
        <f t="shared" ca="1" si="137"/>
        <v>-</v>
      </c>
      <c r="CF60" s="65" t="str">
        <f t="shared" ca="1" si="137"/>
        <v>-</v>
      </c>
      <c r="CG60" s="65" t="str">
        <f t="shared" ca="1" si="137"/>
        <v>-</v>
      </c>
      <c r="CH60" s="65" t="str">
        <f t="shared" ca="1" si="137"/>
        <v>-</v>
      </c>
      <c r="CI60" s="65" t="str">
        <f t="shared" ca="1" si="137"/>
        <v>-</v>
      </c>
      <c r="CJ60" s="65" t="str">
        <f t="shared" ca="1" si="137"/>
        <v>-</v>
      </c>
      <c r="CK60" s="65" t="str">
        <f t="shared" ca="1" si="137"/>
        <v>-</v>
      </c>
      <c r="CL60" s="65" t="str">
        <f t="shared" ca="1" si="137"/>
        <v>-</v>
      </c>
      <c r="CM60" s="65" t="str">
        <f t="shared" ca="1" si="137"/>
        <v>-</v>
      </c>
      <c r="CN60" s="65" t="str">
        <f t="shared" ca="1" si="138"/>
        <v>-</v>
      </c>
      <c r="CO60" s="65" t="str">
        <f t="shared" ca="1" si="138"/>
        <v>-</v>
      </c>
      <c r="CP60" s="65" t="str">
        <f t="shared" ca="1" si="138"/>
        <v>-</v>
      </c>
      <c r="CQ60" s="65" t="str">
        <f t="shared" ca="1" si="138"/>
        <v>-</v>
      </c>
      <c r="CR60" s="65" t="str">
        <f t="shared" ca="1" si="138"/>
        <v>-</v>
      </c>
      <c r="CS60" s="65" t="str">
        <f t="shared" ca="1" si="138"/>
        <v>-</v>
      </c>
      <c r="CV60" s="65" t="e">
        <f t="shared" ca="1" si="139"/>
        <v>#VALUE!</v>
      </c>
      <c r="CW60" s="65" t="str">
        <f t="shared" ca="1" si="139"/>
        <v>-</v>
      </c>
      <c r="CX60" s="65" t="str">
        <f t="shared" ca="1" si="139"/>
        <v>-</v>
      </c>
      <c r="CY60" s="65" t="str">
        <f t="shared" ca="1" si="139"/>
        <v>-</v>
      </c>
      <c r="CZ60" s="65" t="str">
        <f t="shared" ca="1" si="139"/>
        <v>-</v>
      </c>
      <c r="DA60" s="65" t="str">
        <f t="shared" ca="1" si="139"/>
        <v>-</v>
      </c>
      <c r="DB60" s="65" t="str">
        <f t="shared" ca="1" si="139"/>
        <v>-</v>
      </c>
      <c r="DC60" s="65" t="str">
        <f t="shared" ca="1" si="139"/>
        <v>-</v>
      </c>
      <c r="DD60" s="65" t="str">
        <f t="shared" ca="1" si="139"/>
        <v>-</v>
      </c>
      <c r="DE60" s="65" t="str">
        <f t="shared" ca="1" si="139"/>
        <v>-</v>
      </c>
      <c r="DF60" s="65" t="str">
        <f t="shared" ca="1" si="140"/>
        <v>-</v>
      </c>
      <c r="DG60" s="65" t="str">
        <f t="shared" ca="1" si="140"/>
        <v>-</v>
      </c>
      <c r="DH60" s="65" t="str">
        <f t="shared" ca="1" si="140"/>
        <v>-</v>
      </c>
      <c r="DI60" s="65" t="str">
        <f t="shared" ca="1" si="140"/>
        <v>-</v>
      </c>
      <c r="DJ60" s="65" t="str">
        <f t="shared" ca="1" si="140"/>
        <v>-</v>
      </c>
      <c r="DK60" s="65" t="str">
        <f t="shared" ca="1" si="140"/>
        <v>-</v>
      </c>
      <c r="DL60" s="65" t="str">
        <f t="shared" ca="1" si="140"/>
        <v>-</v>
      </c>
      <c r="DM60" s="65" t="str">
        <f t="shared" ca="1" si="140"/>
        <v>-</v>
      </c>
      <c r="DN60" s="65" t="str">
        <f t="shared" ca="1" si="140"/>
        <v>-</v>
      </c>
      <c r="DO60" s="65" t="str">
        <f t="shared" ca="1" si="140"/>
        <v>-</v>
      </c>
      <c r="DP60" s="65" t="str">
        <f t="shared" ca="1" si="141"/>
        <v>-</v>
      </c>
      <c r="DQ60" s="65" t="str">
        <f t="shared" ca="1" si="141"/>
        <v>-</v>
      </c>
      <c r="DR60" s="65" t="str">
        <f t="shared" ca="1" si="141"/>
        <v>-</v>
      </c>
      <c r="DS60" s="65" t="str">
        <f t="shared" ca="1" si="141"/>
        <v>-</v>
      </c>
      <c r="DT60" s="65" t="str">
        <f t="shared" ca="1" si="141"/>
        <v>-</v>
      </c>
      <c r="DU60" s="65" t="str">
        <f t="shared" ca="1" si="141"/>
        <v>-</v>
      </c>
      <c r="DV60" s="65" t="str">
        <f t="shared" ca="1" si="141"/>
        <v>-</v>
      </c>
      <c r="DW60" s="65" t="str">
        <f t="shared" ca="1" si="141"/>
        <v>-</v>
      </c>
    </row>
    <row r="61" spans="1:127">
      <c r="A61" s="464"/>
      <c r="B61" s="509"/>
      <c r="C61" s="509"/>
      <c r="D61" s="466"/>
      <c r="E61" s="185" t="s">
        <v>66</v>
      </c>
      <c r="F61" s="66" t="e">
        <f>SUM('BESS 12'!S345,'BESS 12'!S349,'BESS 12'!S353:S354,461)</f>
        <v>#VALUE!</v>
      </c>
      <c r="G61" s="182">
        <f ca="1">G60+5</f>
        <v>46238</v>
      </c>
      <c r="H61" s="162">
        <f ca="1">G61+25</f>
        <v>46263</v>
      </c>
      <c r="I61" s="66">
        <f t="shared" ca="1" si="143"/>
        <v>25</v>
      </c>
      <c r="J61" s="507"/>
      <c r="K61" s="476"/>
      <c r="L61" s="65" t="str">
        <f t="shared" ca="1" si="130"/>
        <v>-</v>
      </c>
      <c r="M61" s="65" t="str">
        <f t="shared" ca="1" si="130"/>
        <v>-</v>
      </c>
      <c r="N61" s="65" t="str">
        <f t="shared" ca="1" si="130"/>
        <v>-</v>
      </c>
      <c r="O61" s="65" t="str">
        <f t="shared" ca="1" si="130"/>
        <v>-</v>
      </c>
      <c r="P61" s="65" t="str">
        <f t="shared" ca="1" si="130"/>
        <v>-</v>
      </c>
      <c r="Q61" s="65" t="str">
        <f t="shared" ca="1" si="130"/>
        <v>-</v>
      </c>
      <c r="R61" s="65" t="str">
        <f t="shared" ca="1" si="130"/>
        <v>-</v>
      </c>
      <c r="S61" s="65" t="str">
        <f t="shared" ca="1" si="130"/>
        <v>-</v>
      </c>
      <c r="T61" s="65" t="str">
        <f t="shared" ca="1" si="130"/>
        <v>-</v>
      </c>
      <c r="U61" s="65" t="str">
        <f t="shared" ca="1" si="130"/>
        <v>-</v>
      </c>
      <c r="V61" s="65" t="str">
        <f t="shared" ca="1" si="131"/>
        <v>-</v>
      </c>
      <c r="W61" s="65" t="str">
        <f t="shared" ca="1" si="131"/>
        <v>-</v>
      </c>
      <c r="X61" s="65" t="str">
        <f t="shared" ca="1" si="131"/>
        <v>-</v>
      </c>
      <c r="Y61" s="65" t="str">
        <f t="shared" ca="1" si="131"/>
        <v>-</v>
      </c>
      <c r="Z61" s="65" t="str">
        <f t="shared" ca="1" si="131"/>
        <v>-</v>
      </c>
      <c r="AA61" s="65" t="str">
        <f t="shared" ca="1" si="131"/>
        <v>-</v>
      </c>
      <c r="AB61" s="65" t="str">
        <f t="shared" ca="1" si="131"/>
        <v>-</v>
      </c>
      <c r="AC61" s="65" t="str">
        <f t="shared" ca="1" si="131"/>
        <v>-</v>
      </c>
      <c r="AD61" s="65" t="str">
        <f t="shared" ca="1" si="131"/>
        <v>-</v>
      </c>
      <c r="AE61" s="65" t="str">
        <f t="shared" ca="1" si="131"/>
        <v>-</v>
      </c>
      <c r="AF61" s="65" t="str">
        <f t="shared" ca="1" si="132"/>
        <v>-</v>
      </c>
      <c r="AG61" s="65" t="str">
        <f t="shared" ca="1" si="132"/>
        <v>-</v>
      </c>
      <c r="AH61" s="65" t="str">
        <f t="shared" ca="1" si="132"/>
        <v>-</v>
      </c>
      <c r="AI61" s="65" t="str">
        <f t="shared" ca="1" si="132"/>
        <v>-</v>
      </c>
      <c r="AJ61" s="65" t="str">
        <f t="shared" ca="1" si="132"/>
        <v>-</v>
      </c>
      <c r="AK61" s="65" t="str">
        <f t="shared" ca="1" si="132"/>
        <v>-</v>
      </c>
      <c r="AL61" s="65" t="str">
        <f t="shared" ca="1" si="132"/>
        <v>-</v>
      </c>
      <c r="AM61" s="65" t="str">
        <f t="shared" ca="1" si="132"/>
        <v>-</v>
      </c>
      <c r="AN61" s="65" t="str">
        <f t="shared" ca="1" si="132"/>
        <v>-</v>
      </c>
      <c r="AO61" s="65" t="str">
        <f t="shared" ca="1" si="132"/>
        <v>-</v>
      </c>
      <c r="AP61" s="65" t="str">
        <f t="shared" ca="1" si="133"/>
        <v>-</v>
      </c>
      <c r="AQ61" s="65" t="str">
        <f t="shared" ca="1" si="133"/>
        <v>-</v>
      </c>
      <c r="AR61" s="65" t="str">
        <f t="shared" ca="1" si="133"/>
        <v>-</v>
      </c>
      <c r="AS61" s="65" t="str">
        <f t="shared" ca="1" si="133"/>
        <v>-</v>
      </c>
      <c r="AT61" s="65" t="str">
        <f t="shared" ca="1" si="133"/>
        <v>-</v>
      </c>
      <c r="AU61" s="65" t="str">
        <f t="shared" ca="1" si="133"/>
        <v>-</v>
      </c>
      <c r="AV61" s="65" t="str">
        <f t="shared" ca="1" si="133"/>
        <v>-</v>
      </c>
      <c r="AW61" s="65" t="str">
        <f t="shared" ca="1" si="133"/>
        <v>-</v>
      </c>
      <c r="AX61" s="65" t="str">
        <f t="shared" ca="1" si="133"/>
        <v>-</v>
      </c>
      <c r="AY61" s="65" t="str">
        <f t="shared" ca="1" si="133"/>
        <v>-</v>
      </c>
      <c r="AZ61" s="65" t="str">
        <f t="shared" ca="1" si="134"/>
        <v>-</v>
      </c>
      <c r="BA61" s="65" t="str">
        <f t="shared" ca="1" si="134"/>
        <v>-</v>
      </c>
      <c r="BB61" s="65" t="str">
        <f t="shared" ca="1" si="134"/>
        <v>-</v>
      </c>
      <c r="BC61" s="65" t="e">
        <f t="shared" ca="1" si="134"/>
        <v>#VALUE!</v>
      </c>
      <c r="BD61" s="65" t="e">
        <f t="shared" ca="1" si="134"/>
        <v>#VALUE!</v>
      </c>
      <c r="BE61" s="65" t="e">
        <f t="shared" ca="1" si="134"/>
        <v>#VALUE!</v>
      </c>
      <c r="BF61" s="65" t="e">
        <f t="shared" ca="1" si="134"/>
        <v>#VALUE!</v>
      </c>
      <c r="BG61" s="65" t="e">
        <f t="shared" ca="1" si="134"/>
        <v>#VALUE!</v>
      </c>
      <c r="BH61" s="65" t="e">
        <f t="shared" ca="1" si="134"/>
        <v>#VALUE!</v>
      </c>
      <c r="BI61" s="65" t="e">
        <f t="shared" ca="1" si="134"/>
        <v>#VALUE!</v>
      </c>
      <c r="BJ61" s="65" t="e">
        <f t="shared" ca="1" si="135"/>
        <v>#VALUE!</v>
      </c>
      <c r="BK61" s="65" t="e">
        <f t="shared" ca="1" si="135"/>
        <v>#VALUE!</v>
      </c>
      <c r="BL61" s="65" t="e">
        <f t="shared" ca="1" si="135"/>
        <v>#VALUE!</v>
      </c>
      <c r="BM61" s="65" t="e">
        <f t="shared" ca="1" si="135"/>
        <v>#VALUE!</v>
      </c>
      <c r="BN61" s="65" t="e">
        <f t="shared" ca="1" si="135"/>
        <v>#VALUE!</v>
      </c>
      <c r="BO61" s="65" t="e">
        <f t="shared" ca="1" si="135"/>
        <v>#VALUE!</v>
      </c>
      <c r="BP61" s="65" t="e">
        <f t="shared" ca="1" si="135"/>
        <v>#VALUE!</v>
      </c>
      <c r="BQ61" s="65">
        <v>136</v>
      </c>
      <c r="BR61" s="65">
        <v>136</v>
      </c>
      <c r="BS61" s="65">
        <v>136</v>
      </c>
      <c r="BT61" s="65">
        <v>136</v>
      </c>
      <c r="BU61" s="65" t="e">
        <f t="shared" ca="1" si="136"/>
        <v>#VALUE!</v>
      </c>
      <c r="BV61" s="65" t="e">
        <f t="shared" ca="1" si="136"/>
        <v>#VALUE!</v>
      </c>
      <c r="BW61" s="65" t="e">
        <f t="shared" ca="1" si="136"/>
        <v>#VALUE!</v>
      </c>
      <c r="BX61" s="65" t="e">
        <f t="shared" ca="1" si="136"/>
        <v>#VALUE!</v>
      </c>
      <c r="BY61" s="65" t="e">
        <f t="shared" ca="1" si="136"/>
        <v>#VALUE!</v>
      </c>
      <c r="BZ61" s="65" t="e">
        <f t="shared" ca="1" si="136"/>
        <v>#VALUE!</v>
      </c>
      <c r="CA61" s="65" t="e">
        <f t="shared" ca="1" si="136"/>
        <v>#VALUE!</v>
      </c>
      <c r="CB61" s="65" t="str">
        <f t="shared" ca="1" si="136"/>
        <v>-</v>
      </c>
      <c r="CC61" s="65" t="str">
        <f t="shared" ca="1" si="136"/>
        <v>-</v>
      </c>
      <c r="CD61" s="65" t="str">
        <f t="shared" ca="1" si="137"/>
        <v>-</v>
      </c>
      <c r="CE61" s="65" t="str">
        <f t="shared" ca="1" si="137"/>
        <v>-</v>
      </c>
      <c r="CF61" s="65" t="str">
        <f t="shared" ca="1" si="137"/>
        <v>-</v>
      </c>
      <c r="CG61" s="65" t="str">
        <f t="shared" ca="1" si="137"/>
        <v>-</v>
      </c>
      <c r="CH61" s="65" t="str">
        <f t="shared" ca="1" si="137"/>
        <v>-</v>
      </c>
      <c r="CI61" s="65" t="str">
        <f t="shared" ca="1" si="137"/>
        <v>-</v>
      </c>
      <c r="CJ61" s="65" t="str">
        <f t="shared" ca="1" si="137"/>
        <v>-</v>
      </c>
      <c r="CK61" s="65" t="str">
        <f t="shared" ca="1" si="137"/>
        <v>-</v>
      </c>
      <c r="CL61" s="65" t="str">
        <f t="shared" ca="1" si="137"/>
        <v>-</v>
      </c>
      <c r="CM61" s="65" t="str">
        <f t="shared" ca="1" si="137"/>
        <v>-</v>
      </c>
      <c r="CN61" s="65" t="str">
        <f t="shared" ca="1" si="138"/>
        <v>-</v>
      </c>
      <c r="CO61" s="65" t="str">
        <f t="shared" ca="1" si="138"/>
        <v>-</v>
      </c>
      <c r="CP61" s="65" t="str">
        <f t="shared" ca="1" si="138"/>
        <v>-</v>
      </c>
      <c r="CQ61" s="65" t="str">
        <f t="shared" ca="1" si="138"/>
        <v>-</v>
      </c>
      <c r="CR61" s="65" t="str">
        <f t="shared" ca="1" si="138"/>
        <v>-</v>
      </c>
      <c r="CS61" s="65" t="str">
        <f t="shared" ca="1" si="138"/>
        <v>-</v>
      </c>
      <c r="CV61" s="65" t="e">
        <f t="shared" ca="1" si="139"/>
        <v>#VALUE!</v>
      </c>
      <c r="CW61" s="65" t="str">
        <f t="shared" ca="1" si="139"/>
        <v>-</v>
      </c>
      <c r="CX61" s="65" t="str">
        <f t="shared" ca="1" si="139"/>
        <v>-</v>
      </c>
      <c r="CY61" s="65" t="str">
        <f t="shared" ca="1" si="139"/>
        <v>-</v>
      </c>
      <c r="CZ61" s="65" t="str">
        <f t="shared" ca="1" si="139"/>
        <v>-</v>
      </c>
      <c r="DA61" s="65" t="str">
        <f t="shared" ca="1" si="139"/>
        <v>-</v>
      </c>
      <c r="DB61" s="65" t="str">
        <f t="shared" ca="1" si="139"/>
        <v>-</v>
      </c>
      <c r="DC61" s="65" t="str">
        <f t="shared" ca="1" si="139"/>
        <v>-</v>
      </c>
      <c r="DD61" s="65" t="str">
        <f t="shared" ca="1" si="139"/>
        <v>-</v>
      </c>
      <c r="DE61" s="65" t="str">
        <f t="shared" ca="1" si="139"/>
        <v>-</v>
      </c>
      <c r="DF61" s="65" t="str">
        <f t="shared" ca="1" si="140"/>
        <v>-</v>
      </c>
      <c r="DG61" s="65" t="str">
        <f t="shared" ca="1" si="140"/>
        <v>-</v>
      </c>
      <c r="DH61" s="65" t="str">
        <f t="shared" ca="1" si="140"/>
        <v>-</v>
      </c>
      <c r="DI61" s="65" t="str">
        <f t="shared" ca="1" si="140"/>
        <v>-</v>
      </c>
      <c r="DJ61" s="65" t="str">
        <f t="shared" ca="1" si="140"/>
        <v>-</v>
      </c>
      <c r="DK61" s="65" t="str">
        <f t="shared" ca="1" si="140"/>
        <v>-</v>
      </c>
      <c r="DL61" s="65" t="str">
        <f t="shared" ca="1" si="140"/>
        <v>-</v>
      </c>
      <c r="DM61" s="65" t="str">
        <f t="shared" ca="1" si="140"/>
        <v>-</v>
      </c>
      <c r="DN61" s="65" t="str">
        <f t="shared" ca="1" si="140"/>
        <v>-</v>
      </c>
      <c r="DO61" s="65" t="str">
        <f t="shared" ca="1" si="140"/>
        <v>-</v>
      </c>
      <c r="DP61" s="65" t="str">
        <f t="shared" ca="1" si="141"/>
        <v>-</v>
      </c>
      <c r="DQ61" s="65" t="str">
        <f t="shared" ca="1" si="141"/>
        <v>-</v>
      </c>
      <c r="DR61" s="65" t="str">
        <f t="shared" ca="1" si="141"/>
        <v>-</v>
      </c>
      <c r="DS61" s="65" t="str">
        <f t="shared" ca="1" si="141"/>
        <v>-</v>
      </c>
      <c r="DT61" s="65" t="str">
        <f t="shared" ca="1" si="141"/>
        <v>-</v>
      </c>
      <c r="DU61" s="65" t="str">
        <f t="shared" ca="1" si="141"/>
        <v>-</v>
      </c>
      <c r="DV61" s="65" t="str">
        <f t="shared" ca="1" si="141"/>
        <v>-</v>
      </c>
      <c r="DW61" s="65" t="str">
        <f t="shared" ca="1" si="141"/>
        <v>-</v>
      </c>
    </row>
    <row r="62" spans="1:127">
      <c r="A62" s="464"/>
      <c r="B62" s="509"/>
      <c r="C62" s="509"/>
      <c r="D62" s="466"/>
      <c r="E62" s="185" t="s">
        <v>67</v>
      </c>
      <c r="F62" s="66" t="e">
        <f>SUM('BESS 12'!S356:S365)</f>
        <v>#VALUE!</v>
      </c>
      <c r="G62" s="182">
        <f ca="1">H61-5</f>
        <v>46258</v>
      </c>
      <c r="H62" s="162">
        <f ca="1">G62+14</f>
        <v>46272</v>
      </c>
      <c r="I62" s="66">
        <f t="shared" ca="1" si="143"/>
        <v>14</v>
      </c>
      <c r="J62" s="507"/>
      <c r="K62" s="476"/>
      <c r="L62" s="65" t="str">
        <f t="shared" ca="1" si="130"/>
        <v>-</v>
      </c>
      <c r="M62" s="65" t="str">
        <f t="shared" ca="1" si="130"/>
        <v>-</v>
      </c>
      <c r="N62" s="65" t="str">
        <f t="shared" ca="1" si="130"/>
        <v>-</v>
      </c>
      <c r="O62" s="65" t="str">
        <f t="shared" ca="1" si="130"/>
        <v>-</v>
      </c>
      <c r="P62" s="65" t="str">
        <f t="shared" ca="1" si="130"/>
        <v>-</v>
      </c>
      <c r="Q62" s="65" t="str">
        <f t="shared" ca="1" si="130"/>
        <v>-</v>
      </c>
      <c r="R62" s="65" t="str">
        <f t="shared" ca="1" si="130"/>
        <v>-</v>
      </c>
      <c r="S62" s="65" t="str">
        <f t="shared" ca="1" si="130"/>
        <v>-</v>
      </c>
      <c r="T62" s="65" t="str">
        <f t="shared" ca="1" si="130"/>
        <v>-</v>
      </c>
      <c r="U62" s="65" t="str">
        <f t="shared" ca="1" si="130"/>
        <v>-</v>
      </c>
      <c r="V62" s="65" t="str">
        <f t="shared" ca="1" si="131"/>
        <v>-</v>
      </c>
      <c r="W62" s="65" t="str">
        <f t="shared" ca="1" si="131"/>
        <v>-</v>
      </c>
      <c r="X62" s="65" t="str">
        <f t="shared" ca="1" si="131"/>
        <v>-</v>
      </c>
      <c r="Y62" s="65" t="str">
        <f t="shared" ca="1" si="131"/>
        <v>-</v>
      </c>
      <c r="Z62" s="65" t="str">
        <f t="shared" ca="1" si="131"/>
        <v>-</v>
      </c>
      <c r="AA62" s="65" t="str">
        <f t="shared" ca="1" si="131"/>
        <v>-</v>
      </c>
      <c r="AB62" s="65" t="str">
        <f t="shared" ca="1" si="131"/>
        <v>-</v>
      </c>
      <c r="AC62" s="65" t="str">
        <f t="shared" ca="1" si="131"/>
        <v>-</v>
      </c>
      <c r="AD62" s="65" t="str">
        <f t="shared" ca="1" si="131"/>
        <v>-</v>
      </c>
      <c r="AE62" s="65" t="str">
        <f t="shared" ca="1" si="131"/>
        <v>-</v>
      </c>
      <c r="AF62" s="65" t="str">
        <f t="shared" ca="1" si="132"/>
        <v>-</v>
      </c>
      <c r="AG62" s="65" t="str">
        <f t="shared" ca="1" si="132"/>
        <v>-</v>
      </c>
      <c r="AH62" s="65" t="str">
        <f t="shared" ca="1" si="132"/>
        <v>-</v>
      </c>
      <c r="AI62" s="65" t="str">
        <f t="shared" ca="1" si="132"/>
        <v>-</v>
      </c>
      <c r="AJ62" s="65" t="str">
        <f t="shared" ca="1" si="132"/>
        <v>-</v>
      </c>
      <c r="AK62" s="65" t="str">
        <f t="shared" ca="1" si="132"/>
        <v>-</v>
      </c>
      <c r="AL62" s="65" t="str">
        <f t="shared" ca="1" si="132"/>
        <v>-</v>
      </c>
      <c r="AM62" s="65" t="str">
        <f t="shared" ca="1" si="132"/>
        <v>-</v>
      </c>
      <c r="AN62" s="65" t="str">
        <f t="shared" ca="1" si="132"/>
        <v>-</v>
      </c>
      <c r="AO62" s="65" t="str">
        <f t="shared" ca="1" si="132"/>
        <v>-</v>
      </c>
      <c r="AP62" s="65" t="str">
        <f t="shared" ca="1" si="133"/>
        <v>-</v>
      </c>
      <c r="AQ62" s="65" t="str">
        <f t="shared" ca="1" si="133"/>
        <v>-</v>
      </c>
      <c r="AR62" s="65" t="str">
        <f t="shared" ca="1" si="133"/>
        <v>-</v>
      </c>
      <c r="AS62" s="65" t="str">
        <f t="shared" ca="1" si="133"/>
        <v>-</v>
      </c>
      <c r="AT62" s="65" t="str">
        <f t="shared" ca="1" si="133"/>
        <v>-</v>
      </c>
      <c r="AU62" s="65" t="str">
        <f t="shared" ca="1" si="133"/>
        <v>-</v>
      </c>
      <c r="AV62" s="65" t="str">
        <f t="shared" ca="1" si="133"/>
        <v>-</v>
      </c>
      <c r="AW62" s="65" t="str">
        <f t="shared" ca="1" si="133"/>
        <v>-</v>
      </c>
      <c r="AX62" s="65" t="str">
        <f t="shared" ca="1" si="133"/>
        <v>-</v>
      </c>
      <c r="AY62" s="65" t="str">
        <f t="shared" ca="1" si="133"/>
        <v>-</v>
      </c>
      <c r="AZ62" s="65" t="str">
        <f t="shared" ca="1" si="134"/>
        <v>-</v>
      </c>
      <c r="BA62" s="65" t="str">
        <f t="shared" ca="1" si="134"/>
        <v>-</v>
      </c>
      <c r="BB62" s="65" t="str">
        <f t="shared" ca="1" si="134"/>
        <v>-</v>
      </c>
      <c r="BC62" s="65" t="str">
        <f t="shared" ca="1" si="134"/>
        <v>-</v>
      </c>
      <c r="BD62" s="65" t="str">
        <f t="shared" ca="1" si="134"/>
        <v>-</v>
      </c>
      <c r="BE62" s="65" t="str">
        <f t="shared" ca="1" si="134"/>
        <v>-</v>
      </c>
      <c r="BF62" s="65" t="str">
        <f t="shared" ca="1" si="134"/>
        <v>-</v>
      </c>
      <c r="BG62" s="65" t="str">
        <f t="shared" ca="1" si="134"/>
        <v>-</v>
      </c>
      <c r="BH62" s="65" t="str">
        <f t="shared" ca="1" si="134"/>
        <v>-</v>
      </c>
      <c r="BI62" s="65" t="str">
        <f t="shared" ca="1" si="134"/>
        <v>-</v>
      </c>
      <c r="BJ62" s="65" t="str">
        <f t="shared" ca="1" si="135"/>
        <v>-</v>
      </c>
      <c r="BK62" s="65" t="str">
        <f t="shared" ca="1" si="135"/>
        <v>-</v>
      </c>
      <c r="BL62" s="65" t="str">
        <f t="shared" ca="1" si="135"/>
        <v>-</v>
      </c>
      <c r="BM62" s="65" t="str">
        <f t="shared" ca="1" si="135"/>
        <v>-</v>
      </c>
      <c r="BN62" s="65" t="str">
        <f t="shared" ca="1" si="135"/>
        <v>-</v>
      </c>
      <c r="BO62" s="65" t="str">
        <f t="shared" ca="1" si="135"/>
        <v>-</v>
      </c>
      <c r="BP62" s="65" t="str">
        <f t="shared" ca="1" si="135"/>
        <v>-</v>
      </c>
      <c r="BQ62" s="65" t="str">
        <f t="shared" ca="1" si="135"/>
        <v>-</v>
      </c>
      <c r="BR62" s="65" t="str">
        <f t="shared" ca="1" si="135"/>
        <v>-</v>
      </c>
      <c r="BS62" s="65" t="str">
        <f t="shared" ca="1" si="135"/>
        <v>-</v>
      </c>
      <c r="BT62" s="164" t="str">
        <f t="shared" ca="1" si="136"/>
        <v>-</v>
      </c>
      <c r="BU62" s="164" t="str">
        <f t="shared" ca="1" si="136"/>
        <v>-</v>
      </c>
      <c r="BV62" s="164" t="str">
        <f t="shared" ca="1" si="136"/>
        <v>-</v>
      </c>
      <c r="BW62" s="164" t="e">
        <f t="shared" ca="1" si="136"/>
        <v>#VALUE!</v>
      </c>
      <c r="BX62" s="164" t="e">
        <f t="shared" ca="1" si="136"/>
        <v>#VALUE!</v>
      </c>
      <c r="BY62" s="164" t="e">
        <f t="shared" ca="1" si="136"/>
        <v>#VALUE!</v>
      </c>
      <c r="BZ62" s="164" t="e">
        <f t="shared" ca="1" si="136"/>
        <v>#VALUE!</v>
      </c>
      <c r="CA62" s="164" t="e">
        <f t="shared" ca="1" si="136"/>
        <v>#VALUE!</v>
      </c>
      <c r="CB62" s="164" t="e">
        <f t="shared" ca="1" si="136"/>
        <v>#VALUE!</v>
      </c>
      <c r="CC62" s="164" t="e">
        <f t="shared" ca="1" si="136"/>
        <v>#VALUE!</v>
      </c>
      <c r="CD62" s="164" t="e">
        <f t="shared" ca="1" si="137"/>
        <v>#VALUE!</v>
      </c>
      <c r="CE62" s="164" t="e">
        <f t="shared" ca="1" si="137"/>
        <v>#VALUE!</v>
      </c>
      <c r="CF62" s="164" t="e">
        <f t="shared" ca="1" si="137"/>
        <v>#VALUE!</v>
      </c>
      <c r="CG62" s="164" t="e">
        <f t="shared" ca="1" si="137"/>
        <v>#VALUE!</v>
      </c>
      <c r="CH62" s="164" t="e">
        <f t="shared" ca="1" si="137"/>
        <v>#VALUE!</v>
      </c>
      <c r="CI62" s="164" t="e">
        <f t="shared" ca="1" si="137"/>
        <v>#VALUE!</v>
      </c>
      <c r="CJ62" s="164" t="e">
        <f t="shared" ca="1" si="137"/>
        <v>#VALUE!</v>
      </c>
      <c r="CK62" s="164" t="str">
        <f t="shared" ca="1" si="137"/>
        <v>-</v>
      </c>
      <c r="CL62" s="164" t="str">
        <f t="shared" ca="1" si="137"/>
        <v>-</v>
      </c>
      <c r="CM62" s="164" t="str">
        <f t="shared" ca="1" si="137"/>
        <v>-</v>
      </c>
      <c r="CN62" s="164" t="str">
        <f t="shared" ca="1" si="138"/>
        <v>-</v>
      </c>
      <c r="CO62" s="164" t="str">
        <f t="shared" ca="1" si="138"/>
        <v>-</v>
      </c>
      <c r="CP62" s="164" t="str">
        <f t="shared" ca="1" si="138"/>
        <v>-</v>
      </c>
      <c r="CQ62" s="164" t="str">
        <f t="shared" ca="1" si="138"/>
        <v>-</v>
      </c>
      <c r="CR62" s="164" t="str">
        <f t="shared" ca="1" si="138"/>
        <v>-</v>
      </c>
      <c r="CS62" s="164" t="str">
        <f t="shared" ca="1" si="138"/>
        <v>-</v>
      </c>
      <c r="CV62" s="164" t="e">
        <f t="shared" ca="1" si="139"/>
        <v>#VALUE!</v>
      </c>
      <c r="CW62" s="164" t="str">
        <f t="shared" ca="1" si="139"/>
        <v>-</v>
      </c>
      <c r="CX62" s="164" t="str">
        <f t="shared" ca="1" si="139"/>
        <v>-</v>
      </c>
      <c r="CY62" s="164" t="str">
        <f t="shared" ca="1" si="139"/>
        <v>-</v>
      </c>
      <c r="CZ62" s="164" t="str">
        <f t="shared" ca="1" si="139"/>
        <v>-</v>
      </c>
      <c r="DA62" s="164" t="str">
        <f t="shared" ca="1" si="139"/>
        <v>-</v>
      </c>
      <c r="DB62" s="164" t="str">
        <f t="shared" ca="1" si="139"/>
        <v>-</v>
      </c>
      <c r="DC62" s="164" t="str">
        <f t="shared" ca="1" si="139"/>
        <v>-</v>
      </c>
      <c r="DD62" s="164" t="str">
        <f t="shared" ca="1" si="139"/>
        <v>-</v>
      </c>
      <c r="DE62" s="164" t="str">
        <f t="shared" ca="1" si="139"/>
        <v>-</v>
      </c>
      <c r="DF62" s="164" t="str">
        <f t="shared" ca="1" si="140"/>
        <v>-</v>
      </c>
      <c r="DG62" s="164" t="str">
        <f t="shared" ca="1" si="140"/>
        <v>-</v>
      </c>
      <c r="DH62" s="164" t="str">
        <f t="shared" ca="1" si="140"/>
        <v>-</v>
      </c>
      <c r="DI62" s="164" t="str">
        <f t="shared" ca="1" si="140"/>
        <v>-</v>
      </c>
      <c r="DJ62" s="164" t="str">
        <f t="shared" ca="1" si="140"/>
        <v>-</v>
      </c>
      <c r="DK62" s="164" t="str">
        <f t="shared" ca="1" si="140"/>
        <v>-</v>
      </c>
      <c r="DL62" s="164" t="str">
        <f t="shared" ca="1" si="140"/>
        <v>-</v>
      </c>
      <c r="DM62" s="164" t="str">
        <f t="shared" ca="1" si="140"/>
        <v>-</v>
      </c>
      <c r="DN62" s="164" t="str">
        <f t="shared" ca="1" si="140"/>
        <v>-</v>
      </c>
      <c r="DO62" s="164" t="str">
        <f t="shared" ca="1" si="140"/>
        <v>-</v>
      </c>
      <c r="DP62" s="164" t="str">
        <f t="shared" ca="1" si="141"/>
        <v>-</v>
      </c>
      <c r="DQ62" s="164" t="str">
        <f t="shared" ca="1" si="141"/>
        <v>-</v>
      </c>
      <c r="DR62" s="164" t="str">
        <f t="shared" ca="1" si="141"/>
        <v>-</v>
      </c>
      <c r="DS62" s="164" t="str">
        <f t="shared" ca="1" si="141"/>
        <v>-</v>
      </c>
      <c r="DT62" s="164" t="str">
        <f t="shared" ca="1" si="141"/>
        <v>-</v>
      </c>
      <c r="DU62" s="164" t="str">
        <f t="shared" ca="1" si="141"/>
        <v>-</v>
      </c>
      <c r="DV62" s="164" t="str">
        <f t="shared" ca="1" si="141"/>
        <v>-</v>
      </c>
      <c r="DW62" s="164" t="str">
        <f t="shared" ca="1" si="141"/>
        <v>-</v>
      </c>
    </row>
    <row r="63" spans="1:127">
      <c r="A63" s="464"/>
      <c r="B63" s="509"/>
      <c r="C63" s="509"/>
      <c r="D63" s="466"/>
      <c r="E63" s="185" t="s">
        <v>68</v>
      </c>
      <c r="F63" s="65">
        <v>250</v>
      </c>
      <c r="G63" s="182"/>
      <c r="H63" s="162" t="e">
        <f>B58-3</f>
        <v>#VALUE!</v>
      </c>
      <c r="I63" s="65">
        <v>30</v>
      </c>
      <c r="J63" s="508"/>
      <c r="K63" s="504"/>
      <c r="L63" s="182"/>
      <c r="M63" s="182"/>
      <c r="N63" s="65"/>
      <c r="O63" s="66"/>
      <c r="P63" s="66"/>
      <c r="Q63" s="66"/>
      <c r="R63" s="66"/>
      <c r="S63" s="66"/>
      <c r="T63" s="66"/>
      <c r="U63" s="66"/>
      <c r="V63" s="66"/>
      <c r="W63" s="66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185"/>
      <c r="BE63" s="185"/>
      <c r="BF63" s="185"/>
      <c r="BG63" s="185"/>
      <c r="BH63" s="185"/>
      <c r="BI63" s="185">
        <v>5</v>
      </c>
      <c r="BJ63" s="185">
        <v>5</v>
      </c>
      <c r="BK63" s="185">
        <v>5</v>
      </c>
      <c r="BL63" s="185">
        <v>5</v>
      </c>
      <c r="BM63" s="185">
        <v>5</v>
      </c>
      <c r="BN63" s="185">
        <v>5</v>
      </c>
      <c r="BO63" s="185">
        <v>5</v>
      </c>
      <c r="BP63" s="185">
        <v>5</v>
      </c>
      <c r="BQ63" s="185">
        <v>5</v>
      </c>
      <c r="BR63" s="185">
        <v>5</v>
      </c>
      <c r="BS63" s="185">
        <v>5</v>
      </c>
      <c r="BT63" s="185">
        <v>5</v>
      </c>
      <c r="BU63" s="185">
        <v>5</v>
      </c>
      <c r="BV63" s="185">
        <v>5</v>
      </c>
      <c r="BW63" s="185">
        <v>5</v>
      </c>
      <c r="BX63" s="185">
        <v>5</v>
      </c>
      <c r="BY63" s="185">
        <v>5</v>
      </c>
      <c r="BZ63" s="185">
        <v>5</v>
      </c>
      <c r="CA63" s="185">
        <v>5</v>
      </c>
      <c r="CB63" s="185">
        <v>5</v>
      </c>
      <c r="CC63" s="185">
        <v>5</v>
      </c>
      <c r="CD63" s="185">
        <v>5</v>
      </c>
      <c r="CE63" s="185">
        <v>5</v>
      </c>
      <c r="CF63" s="185">
        <v>5</v>
      </c>
      <c r="CG63" s="185">
        <v>30</v>
      </c>
      <c r="CH63" s="185">
        <v>30</v>
      </c>
      <c r="CI63" s="185">
        <v>30</v>
      </c>
      <c r="CJ63" s="65">
        <v>30</v>
      </c>
      <c r="CK63" s="65">
        <v>5</v>
      </c>
      <c r="CL63" s="65">
        <v>5</v>
      </c>
      <c r="CM63" s="65"/>
      <c r="CN63" s="65"/>
      <c r="CO63" s="65"/>
      <c r="CP63" s="65"/>
      <c r="CQ63" s="65"/>
      <c r="CR63" s="65"/>
      <c r="CS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</row>
    <row r="64" spans="1:127" s="191" customFormat="1" hidden="1">
      <c r="B64" s="197"/>
      <c r="E64" s="188"/>
      <c r="F64" s="188"/>
      <c r="G64" s="181" t="s">
        <v>69</v>
      </c>
      <c r="H64" s="188"/>
      <c r="I64" s="228"/>
      <c r="J64" s="188"/>
      <c r="K64" s="188"/>
      <c r="L64" s="190">
        <f t="shared" ref="L64:AQ64" ca="1" si="144">SUM(L59:L63)</f>
        <v>0</v>
      </c>
      <c r="M64" s="190">
        <f t="shared" ca="1" si="144"/>
        <v>0</v>
      </c>
      <c r="N64" s="190">
        <f t="shared" ca="1" si="144"/>
        <v>0</v>
      </c>
      <c r="O64" s="190">
        <f t="shared" ca="1" si="144"/>
        <v>0</v>
      </c>
      <c r="P64" s="190">
        <f t="shared" ca="1" si="144"/>
        <v>0</v>
      </c>
      <c r="Q64" s="190">
        <f t="shared" ca="1" si="144"/>
        <v>0</v>
      </c>
      <c r="R64" s="190">
        <f t="shared" ca="1" si="144"/>
        <v>0</v>
      </c>
      <c r="S64" s="190">
        <f t="shared" ca="1" si="144"/>
        <v>0</v>
      </c>
      <c r="T64" s="190">
        <f t="shared" ca="1" si="144"/>
        <v>0</v>
      </c>
      <c r="U64" s="190">
        <f t="shared" ca="1" si="144"/>
        <v>0</v>
      </c>
      <c r="V64" s="190">
        <f t="shared" ca="1" si="144"/>
        <v>0</v>
      </c>
      <c r="W64" s="190">
        <f t="shared" ca="1" si="144"/>
        <v>0</v>
      </c>
      <c r="X64" s="190">
        <f t="shared" ca="1" si="144"/>
        <v>0</v>
      </c>
      <c r="Y64" s="190">
        <f t="shared" ca="1" si="144"/>
        <v>0</v>
      </c>
      <c r="Z64" s="190">
        <f t="shared" ca="1" si="144"/>
        <v>0</v>
      </c>
      <c r="AA64" s="190">
        <f t="shared" ca="1" si="144"/>
        <v>0</v>
      </c>
      <c r="AB64" s="190">
        <f t="shared" ca="1" si="144"/>
        <v>0</v>
      </c>
      <c r="AC64" s="190">
        <f t="shared" ca="1" si="144"/>
        <v>0</v>
      </c>
      <c r="AD64" s="190">
        <f t="shared" ca="1" si="144"/>
        <v>0</v>
      </c>
      <c r="AE64" s="190">
        <f t="shared" ca="1" si="144"/>
        <v>0</v>
      </c>
      <c r="AF64" s="190">
        <f t="shared" ca="1" si="144"/>
        <v>0</v>
      </c>
      <c r="AG64" s="190">
        <f t="shared" ca="1" si="144"/>
        <v>0</v>
      </c>
      <c r="AH64" s="190">
        <f t="shared" ca="1" si="144"/>
        <v>0</v>
      </c>
      <c r="AI64" s="190">
        <f t="shared" ca="1" si="144"/>
        <v>0</v>
      </c>
      <c r="AJ64" s="190">
        <f t="shared" ca="1" si="144"/>
        <v>0</v>
      </c>
      <c r="AK64" s="190">
        <f t="shared" ca="1" si="144"/>
        <v>0</v>
      </c>
      <c r="AL64" s="190">
        <f t="shared" ca="1" si="144"/>
        <v>0</v>
      </c>
      <c r="AM64" s="190">
        <f t="shared" ca="1" si="144"/>
        <v>0</v>
      </c>
      <c r="AN64" s="190">
        <f t="shared" ca="1" si="144"/>
        <v>0</v>
      </c>
      <c r="AO64" s="190">
        <f t="shared" ca="1" si="144"/>
        <v>0</v>
      </c>
      <c r="AP64" s="190">
        <f t="shared" ca="1" si="144"/>
        <v>0</v>
      </c>
      <c r="AQ64" s="190">
        <f t="shared" ca="1" si="144"/>
        <v>0</v>
      </c>
      <c r="AR64" s="190">
        <f t="shared" ref="AR64:BW64" ca="1" si="145">SUM(AR59:AR63)</f>
        <v>0</v>
      </c>
      <c r="AS64" s="190">
        <f t="shared" ca="1" si="145"/>
        <v>0</v>
      </c>
      <c r="AT64" s="190">
        <f t="shared" ca="1" si="145"/>
        <v>0</v>
      </c>
      <c r="AU64" s="190">
        <f t="shared" ca="1" si="145"/>
        <v>0</v>
      </c>
      <c r="AV64" s="190">
        <f t="shared" ca="1" si="145"/>
        <v>0</v>
      </c>
      <c r="AW64" s="190">
        <f t="shared" ca="1" si="145"/>
        <v>0</v>
      </c>
      <c r="AX64" s="190" t="e">
        <f t="shared" ca="1" si="145"/>
        <v>#VALUE!</v>
      </c>
      <c r="AY64" s="190" t="e">
        <f t="shared" ca="1" si="145"/>
        <v>#VALUE!</v>
      </c>
      <c r="AZ64" s="190" t="e">
        <f t="shared" ca="1" si="145"/>
        <v>#VALUE!</v>
      </c>
      <c r="BA64" s="190" t="e">
        <f t="shared" ca="1" si="145"/>
        <v>#VALUE!</v>
      </c>
      <c r="BB64" s="190" t="e">
        <f t="shared" ca="1" si="145"/>
        <v>#VALUE!</v>
      </c>
      <c r="BC64" s="190" t="e">
        <f t="shared" ca="1" si="145"/>
        <v>#VALUE!</v>
      </c>
      <c r="BD64" s="190" t="e">
        <f t="shared" ca="1" si="145"/>
        <v>#VALUE!</v>
      </c>
      <c r="BE64" s="190" t="e">
        <f t="shared" ca="1" si="145"/>
        <v>#VALUE!</v>
      </c>
      <c r="BF64" s="190" t="e">
        <f t="shared" ca="1" si="145"/>
        <v>#VALUE!</v>
      </c>
      <c r="BG64" s="190" t="e">
        <f t="shared" ca="1" si="145"/>
        <v>#VALUE!</v>
      </c>
      <c r="BH64" s="190" t="e">
        <f t="shared" ca="1" si="145"/>
        <v>#VALUE!</v>
      </c>
      <c r="BI64" s="190" t="e">
        <f t="shared" ca="1" si="145"/>
        <v>#VALUE!</v>
      </c>
      <c r="BJ64" s="190" t="e">
        <f t="shared" ca="1" si="145"/>
        <v>#VALUE!</v>
      </c>
      <c r="BK64" s="190" t="e">
        <f t="shared" ca="1" si="145"/>
        <v>#VALUE!</v>
      </c>
      <c r="BL64" s="190" t="e">
        <f t="shared" ca="1" si="145"/>
        <v>#VALUE!</v>
      </c>
      <c r="BM64" s="190" t="e">
        <f t="shared" ca="1" si="145"/>
        <v>#VALUE!</v>
      </c>
      <c r="BN64" s="190" t="e">
        <f t="shared" ca="1" si="145"/>
        <v>#VALUE!</v>
      </c>
      <c r="BO64" s="190" t="e">
        <f t="shared" ca="1" si="145"/>
        <v>#VALUE!</v>
      </c>
      <c r="BP64" s="190" t="e">
        <f t="shared" ca="1" si="145"/>
        <v>#VALUE!</v>
      </c>
      <c r="BQ64" s="190" t="e">
        <f t="shared" ca="1" si="145"/>
        <v>#VALUE!</v>
      </c>
      <c r="BR64" s="190" t="e">
        <f t="shared" ca="1" si="145"/>
        <v>#VALUE!</v>
      </c>
      <c r="BS64" s="190" t="e">
        <f t="shared" ca="1" si="145"/>
        <v>#VALUE!</v>
      </c>
      <c r="BT64" s="229" t="e">
        <f t="shared" ca="1" si="145"/>
        <v>#VALUE!</v>
      </c>
      <c r="BU64" s="229" t="e">
        <f t="shared" ca="1" si="145"/>
        <v>#VALUE!</v>
      </c>
      <c r="BV64" s="229" t="e">
        <f t="shared" ca="1" si="145"/>
        <v>#VALUE!</v>
      </c>
      <c r="BW64" s="229" t="e">
        <f t="shared" ca="1" si="145"/>
        <v>#VALUE!</v>
      </c>
      <c r="BX64" s="229" t="e">
        <f t="shared" ref="BX64:CS64" ca="1" si="146">SUM(BX59:BX63)</f>
        <v>#VALUE!</v>
      </c>
      <c r="BY64" s="229" t="e">
        <f t="shared" ca="1" si="146"/>
        <v>#VALUE!</v>
      </c>
      <c r="BZ64" s="229" t="e">
        <f t="shared" ca="1" si="146"/>
        <v>#VALUE!</v>
      </c>
      <c r="CA64" s="229" t="e">
        <f t="shared" ca="1" si="146"/>
        <v>#VALUE!</v>
      </c>
      <c r="CB64" s="229" t="e">
        <f t="shared" ca="1" si="146"/>
        <v>#VALUE!</v>
      </c>
      <c r="CC64" s="229" t="e">
        <f t="shared" ca="1" si="146"/>
        <v>#VALUE!</v>
      </c>
      <c r="CD64" s="229" t="e">
        <f t="shared" ca="1" si="146"/>
        <v>#VALUE!</v>
      </c>
      <c r="CE64" s="229" t="e">
        <f t="shared" ca="1" si="146"/>
        <v>#VALUE!</v>
      </c>
      <c r="CF64" s="229" t="e">
        <f t="shared" ca="1" si="146"/>
        <v>#VALUE!</v>
      </c>
      <c r="CG64" s="229" t="e">
        <f t="shared" ca="1" si="146"/>
        <v>#VALUE!</v>
      </c>
      <c r="CH64" s="229" t="e">
        <f t="shared" ca="1" si="146"/>
        <v>#VALUE!</v>
      </c>
      <c r="CI64" s="229" t="e">
        <f t="shared" ca="1" si="146"/>
        <v>#VALUE!</v>
      </c>
      <c r="CJ64" s="229" t="e">
        <f t="shared" ca="1" si="146"/>
        <v>#VALUE!</v>
      </c>
      <c r="CK64" s="229">
        <f t="shared" ca="1" si="146"/>
        <v>5</v>
      </c>
      <c r="CL64" s="229">
        <f t="shared" ca="1" si="146"/>
        <v>5</v>
      </c>
      <c r="CM64" s="229">
        <f t="shared" ca="1" si="146"/>
        <v>0</v>
      </c>
      <c r="CN64" s="229">
        <f t="shared" ca="1" si="146"/>
        <v>0</v>
      </c>
      <c r="CO64" s="229">
        <f t="shared" ca="1" si="146"/>
        <v>0</v>
      </c>
      <c r="CP64" s="229">
        <f t="shared" ca="1" si="146"/>
        <v>0</v>
      </c>
      <c r="CQ64" s="229">
        <f t="shared" ca="1" si="146"/>
        <v>0</v>
      </c>
      <c r="CR64" s="229">
        <f t="shared" ca="1" si="146"/>
        <v>0</v>
      </c>
      <c r="CS64" s="229">
        <f t="shared" ca="1" si="146"/>
        <v>0</v>
      </c>
      <c r="CT64" s="207"/>
      <c r="CU64" s="207"/>
      <c r="CV64" s="229" t="e">
        <f t="shared" ref="CV64:DW64" ca="1" si="147">SUM(CV59:CV63)</f>
        <v>#VALUE!</v>
      </c>
      <c r="CW64" s="229">
        <f t="shared" ca="1" si="147"/>
        <v>0</v>
      </c>
      <c r="CX64" s="229">
        <f t="shared" ca="1" si="147"/>
        <v>0</v>
      </c>
      <c r="CY64" s="229">
        <f t="shared" ca="1" si="147"/>
        <v>0</v>
      </c>
      <c r="CZ64" s="229">
        <f t="shared" ca="1" si="147"/>
        <v>0</v>
      </c>
      <c r="DA64" s="229">
        <f t="shared" ca="1" si="147"/>
        <v>0</v>
      </c>
      <c r="DB64" s="229">
        <f t="shared" ca="1" si="147"/>
        <v>0</v>
      </c>
      <c r="DC64" s="229">
        <f t="shared" ca="1" si="147"/>
        <v>0</v>
      </c>
      <c r="DD64" s="229">
        <f t="shared" ca="1" si="147"/>
        <v>0</v>
      </c>
      <c r="DE64" s="229">
        <f t="shared" ca="1" si="147"/>
        <v>0</v>
      </c>
      <c r="DF64" s="229">
        <f t="shared" ca="1" si="147"/>
        <v>0</v>
      </c>
      <c r="DG64" s="229">
        <f t="shared" ca="1" si="147"/>
        <v>0</v>
      </c>
      <c r="DH64" s="229">
        <f t="shared" ca="1" si="147"/>
        <v>0</v>
      </c>
      <c r="DI64" s="229">
        <f t="shared" ca="1" si="147"/>
        <v>0</v>
      </c>
      <c r="DJ64" s="229">
        <f t="shared" ca="1" si="147"/>
        <v>0</v>
      </c>
      <c r="DK64" s="229">
        <f t="shared" ca="1" si="147"/>
        <v>0</v>
      </c>
      <c r="DL64" s="229">
        <f t="shared" ca="1" si="147"/>
        <v>0</v>
      </c>
      <c r="DM64" s="229">
        <f t="shared" ca="1" si="147"/>
        <v>0</v>
      </c>
      <c r="DN64" s="229">
        <f t="shared" ca="1" si="147"/>
        <v>0</v>
      </c>
      <c r="DO64" s="229">
        <f t="shared" ca="1" si="147"/>
        <v>0</v>
      </c>
      <c r="DP64" s="229">
        <f t="shared" ca="1" si="147"/>
        <v>0</v>
      </c>
      <c r="DQ64" s="229">
        <f t="shared" ca="1" si="147"/>
        <v>0</v>
      </c>
      <c r="DR64" s="229">
        <f t="shared" ca="1" si="147"/>
        <v>0</v>
      </c>
      <c r="DS64" s="229">
        <f t="shared" ca="1" si="147"/>
        <v>0</v>
      </c>
      <c r="DT64" s="229">
        <f t="shared" ca="1" si="147"/>
        <v>0</v>
      </c>
      <c r="DU64" s="229">
        <f t="shared" ca="1" si="147"/>
        <v>0</v>
      </c>
      <c r="DV64" s="229">
        <f t="shared" ca="1" si="147"/>
        <v>0</v>
      </c>
      <c r="DW64" s="229">
        <f t="shared" ca="1" si="147"/>
        <v>0</v>
      </c>
    </row>
    <row r="67" spans="9:99" ht="27">
      <c r="I67" s="177" t="s">
        <v>82</v>
      </c>
      <c r="L67" s="184">
        <f ca="1">SUM(L8,L16,L24,L32,L40,L48,L56,L64)</f>
        <v>0</v>
      </c>
      <c r="M67" s="184">
        <f t="shared" ref="M67:BX67" ca="1" si="148">SUM(M8,M16,M24,M32,M40,M48,M56,M64)</f>
        <v>0</v>
      </c>
      <c r="N67" s="184">
        <f t="shared" ca="1" si="148"/>
        <v>0</v>
      </c>
      <c r="O67" s="184">
        <f t="shared" ca="1" si="148"/>
        <v>0</v>
      </c>
      <c r="P67" s="184">
        <f t="shared" ca="1" si="148"/>
        <v>0</v>
      </c>
      <c r="Q67" s="184">
        <f t="shared" ca="1" si="148"/>
        <v>0</v>
      </c>
      <c r="R67" s="184">
        <f t="shared" ca="1" si="148"/>
        <v>0</v>
      </c>
      <c r="S67" s="184">
        <f t="shared" ca="1" si="148"/>
        <v>0</v>
      </c>
      <c r="T67" s="184">
        <f t="shared" ca="1" si="148"/>
        <v>0</v>
      </c>
      <c r="U67" s="184">
        <f t="shared" ca="1" si="148"/>
        <v>0</v>
      </c>
      <c r="V67" s="184">
        <f t="shared" ca="1" si="148"/>
        <v>0</v>
      </c>
      <c r="W67" s="184">
        <f t="shared" ca="1" si="148"/>
        <v>5</v>
      </c>
      <c r="X67" s="184">
        <f t="shared" ca="1" si="148"/>
        <v>5</v>
      </c>
      <c r="Y67" s="184">
        <f t="shared" ca="1" si="148"/>
        <v>10</v>
      </c>
      <c r="Z67" s="184">
        <f t="shared" ca="1" si="148"/>
        <v>10</v>
      </c>
      <c r="AA67" s="184">
        <f t="shared" ca="1" si="148"/>
        <v>10</v>
      </c>
      <c r="AB67" s="184">
        <f t="shared" ca="1" si="148"/>
        <v>15</v>
      </c>
      <c r="AC67" s="184">
        <f t="shared" ca="1" si="148"/>
        <v>15</v>
      </c>
      <c r="AD67" s="184">
        <f t="shared" ca="1" si="148"/>
        <v>15</v>
      </c>
      <c r="AE67" s="184">
        <f t="shared" ca="1" si="148"/>
        <v>15</v>
      </c>
      <c r="AF67" s="184">
        <f t="shared" ca="1" si="148"/>
        <v>15</v>
      </c>
      <c r="AG67" s="184">
        <f t="shared" ca="1" si="148"/>
        <v>15</v>
      </c>
      <c r="AH67" s="184">
        <f t="shared" ca="1" si="148"/>
        <v>15</v>
      </c>
      <c r="AI67" s="184">
        <f t="shared" ca="1" si="148"/>
        <v>15</v>
      </c>
      <c r="AJ67" s="184" t="e">
        <f t="shared" ca="1" si="148"/>
        <v>#VALUE!</v>
      </c>
      <c r="AK67" s="184" t="e">
        <f t="shared" ca="1" si="148"/>
        <v>#VALUE!</v>
      </c>
      <c r="AL67" s="184" t="e">
        <f t="shared" ca="1" si="148"/>
        <v>#VALUE!</v>
      </c>
      <c r="AM67" s="184" t="e">
        <f t="shared" ca="1" si="148"/>
        <v>#VALUE!</v>
      </c>
      <c r="AN67" s="184" t="e">
        <f t="shared" ca="1" si="148"/>
        <v>#VALUE!</v>
      </c>
      <c r="AO67" s="184" t="e">
        <f t="shared" ca="1" si="148"/>
        <v>#VALUE!</v>
      </c>
      <c r="AP67" s="184" t="e">
        <f t="shared" ca="1" si="148"/>
        <v>#VALUE!</v>
      </c>
      <c r="AQ67" s="184" t="e">
        <f t="shared" ca="1" si="148"/>
        <v>#VALUE!</v>
      </c>
      <c r="AR67" s="184" t="e">
        <f t="shared" ca="1" si="148"/>
        <v>#VALUE!</v>
      </c>
      <c r="AS67" s="184" t="e">
        <f t="shared" ca="1" si="148"/>
        <v>#VALUE!</v>
      </c>
      <c r="AT67" s="184" t="e">
        <f t="shared" ca="1" si="148"/>
        <v>#VALUE!</v>
      </c>
      <c r="AU67" s="184" t="e">
        <f t="shared" ca="1" si="148"/>
        <v>#VALUE!</v>
      </c>
      <c r="AV67" s="184" t="e">
        <f t="shared" ca="1" si="148"/>
        <v>#VALUE!</v>
      </c>
      <c r="AW67" s="184" t="e">
        <f t="shared" ca="1" si="148"/>
        <v>#VALUE!</v>
      </c>
      <c r="AX67" s="184" t="e">
        <f t="shared" ca="1" si="148"/>
        <v>#VALUE!</v>
      </c>
      <c r="AY67" s="184" t="e">
        <f t="shared" ca="1" si="148"/>
        <v>#VALUE!</v>
      </c>
      <c r="AZ67" s="184" t="e">
        <f t="shared" ca="1" si="148"/>
        <v>#VALUE!</v>
      </c>
      <c r="BA67" s="184" t="e">
        <f t="shared" ca="1" si="148"/>
        <v>#VALUE!</v>
      </c>
      <c r="BB67" s="184" t="e">
        <f t="shared" ca="1" si="148"/>
        <v>#VALUE!</v>
      </c>
      <c r="BC67" s="184" t="e">
        <f t="shared" ca="1" si="148"/>
        <v>#VALUE!</v>
      </c>
      <c r="BD67" s="184" t="e">
        <f t="shared" ca="1" si="148"/>
        <v>#VALUE!</v>
      </c>
      <c r="BE67" s="184" t="e">
        <f t="shared" ca="1" si="148"/>
        <v>#VALUE!</v>
      </c>
      <c r="BF67" s="184" t="e">
        <f t="shared" ca="1" si="148"/>
        <v>#VALUE!</v>
      </c>
      <c r="BG67" s="184" t="e">
        <f t="shared" ca="1" si="148"/>
        <v>#VALUE!</v>
      </c>
      <c r="BH67" s="184" t="e">
        <f t="shared" ca="1" si="148"/>
        <v>#VALUE!</v>
      </c>
      <c r="BI67" s="184" t="e">
        <f t="shared" ca="1" si="148"/>
        <v>#VALUE!</v>
      </c>
      <c r="BJ67" s="184" t="e">
        <f t="shared" ca="1" si="148"/>
        <v>#VALUE!</v>
      </c>
      <c r="BK67" s="184" t="e">
        <f t="shared" ca="1" si="148"/>
        <v>#VALUE!</v>
      </c>
      <c r="BL67" s="184" t="e">
        <f t="shared" ca="1" si="148"/>
        <v>#VALUE!</v>
      </c>
      <c r="BM67" s="184" t="e">
        <f t="shared" ca="1" si="148"/>
        <v>#VALUE!</v>
      </c>
      <c r="BN67" s="184" t="e">
        <f t="shared" ca="1" si="148"/>
        <v>#VALUE!</v>
      </c>
      <c r="BO67" s="184" t="e">
        <f t="shared" ca="1" si="148"/>
        <v>#VALUE!</v>
      </c>
      <c r="BP67" s="184" t="e">
        <f t="shared" ca="1" si="148"/>
        <v>#VALUE!</v>
      </c>
      <c r="BQ67" s="184" t="e">
        <f t="shared" ca="1" si="148"/>
        <v>#VALUE!</v>
      </c>
      <c r="BR67" s="184" t="e">
        <f t="shared" ca="1" si="148"/>
        <v>#VALUE!</v>
      </c>
      <c r="BS67" s="184" t="e">
        <f t="shared" ca="1" si="148"/>
        <v>#VALUE!</v>
      </c>
      <c r="BT67" s="184" t="e">
        <f t="shared" ca="1" si="148"/>
        <v>#VALUE!</v>
      </c>
      <c r="BU67" s="184" t="e">
        <f t="shared" ca="1" si="148"/>
        <v>#VALUE!</v>
      </c>
      <c r="BV67" s="184" t="e">
        <f t="shared" ca="1" si="148"/>
        <v>#VALUE!</v>
      </c>
      <c r="BW67" s="184" t="e">
        <f t="shared" ca="1" si="148"/>
        <v>#VALUE!</v>
      </c>
      <c r="BX67" s="184" t="e">
        <f t="shared" ca="1" si="148"/>
        <v>#VALUE!</v>
      </c>
      <c r="BY67" s="184" t="e">
        <f t="shared" ref="BY67:CS67" ca="1" si="149">SUM(BY8,BY16,BY24,BY32,BY40,BY48,BY56,BY64)</f>
        <v>#VALUE!</v>
      </c>
      <c r="BZ67" s="184" t="e">
        <f t="shared" ca="1" si="149"/>
        <v>#VALUE!</v>
      </c>
      <c r="CA67" s="184" t="e">
        <f t="shared" ca="1" si="149"/>
        <v>#VALUE!</v>
      </c>
      <c r="CB67" s="184" t="e">
        <f t="shared" ca="1" si="149"/>
        <v>#VALUE!</v>
      </c>
      <c r="CC67" s="184" t="e">
        <f t="shared" ca="1" si="149"/>
        <v>#VALUE!</v>
      </c>
      <c r="CD67" s="184" t="e">
        <f t="shared" ca="1" si="149"/>
        <v>#VALUE!</v>
      </c>
      <c r="CE67" s="184" t="e">
        <f t="shared" ca="1" si="149"/>
        <v>#VALUE!</v>
      </c>
      <c r="CF67" s="184" t="e">
        <f t="shared" ca="1" si="149"/>
        <v>#VALUE!</v>
      </c>
      <c r="CG67" s="184" t="e">
        <f t="shared" ca="1" si="149"/>
        <v>#VALUE!</v>
      </c>
      <c r="CH67" s="184" t="e">
        <f t="shared" ca="1" si="149"/>
        <v>#VALUE!</v>
      </c>
      <c r="CI67" s="184" t="e">
        <f t="shared" ca="1" si="149"/>
        <v>#VALUE!</v>
      </c>
      <c r="CJ67" s="184" t="e">
        <f t="shared" ca="1" si="149"/>
        <v>#VALUE!</v>
      </c>
      <c r="CK67" s="184">
        <f t="shared" ca="1" si="149"/>
        <v>5</v>
      </c>
      <c r="CL67" s="184">
        <f t="shared" ca="1" si="149"/>
        <v>5</v>
      </c>
      <c r="CM67" s="184">
        <f t="shared" ca="1" si="149"/>
        <v>0</v>
      </c>
      <c r="CN67" s="184">
        <f t="shared" ca="1" si="149"/>
        <v>0</v>
      </c>
      <c r="CO67" s="184">
        <f t="shared" ca="1" si="149"/>
        <v>0</v>
      </c>
      <c r="CP67" s="184">
        <f t="shared" ca="1" si="149"/>
        <v>0</v>
      </c>
      <c r="CQ67" s="184">
        <f t="shared" ca="1" si="149"/>
        <v>0</v>
      </c>
      <c r="CR67" s="184">
        <f t="shared" ca="1" si="149"/>
        <v>0</v>
      </c>
      <c r="CS67" s="184">
        <f t="shared" ca="1" si="149"/>
        <v>0</v>
      </c>
    </row>
    <row r="69" spans="9:99">
      <c r="I69" s="176" t="s">
        <v>83</v>
      </c>
      <c r="L69" s="175" t="e">
        <f ca="1">AVERAGE(L67:CS67)</f>
        <v>#VALUE!</v>
      </c>
      <c r="M69" s="175" t="e">
        <f ca="1">L69*1.2</f>
        <v>#VALUE!</v>
      </c>
    </row>
    <row r="70" spans="9:99">
      <c r="I70" s="176" t="s">
        <v>84</v>
      </c>
      <c r="L70" s="175" t="e">
        <f ca="1">MAX(L67:CS67)</f>
        <v>#VALUE!</v>
      </c>
      <c r="M70" s="175" t="e">
        <f ca="1">L70*1.2</f>
        <v>#VALUE!</v>
      </c>
      <c r="CT70" s="207"/>
      <c r="CU70" s="207"/>
    </row>
  </sheetData>
  <mergeCells count="50">
    <mergeCell ref="K3:K7"/>
    <mergeCell ref="A3:A7"/>
    <mergeCell ref="B3:B7"/>
    <mergeCell ref="C3:C7"/>
    <mergeCell ref="D3:D7"/>
    <mergeCell ref="J3:J7"/>
    <mergeCell ref="K19:K23"/>
    <mergeCell ref="A10:A15"/>
    <mergeCell ref="B10:B15"/>
    <mergeCell ref="C10:C15"/>
    <mergeCell ref="D11:D15"/>
    <mergeCell ref="J11:J15"/>
    <mergeCell ref="K11:K15"/>
    <mergeCell ref="A18:A23"/>
    <mergeCell ref="B18:B23"/>
    <mergeCell ref="C18:C23"/>
    <mergeCell ref="D19:D23"/>
    <mergeCell ref="J19:J23"/>
    <mergeCell ref="D27:D31"/>
    <mergeCell ref="J27:J31"/>
    <mergeCell ref="K27:K31"/>
    <mergeCell ref="A26:A31"/>
    <mergeCell ref="B26:B31"/>
    <mergeCell ref="C26:C31"/>
    <mergeCell ref="K43:K47"/>
    <mergeCell ref="A42:A47"/>
    <mergeCell ref="B42:B47"/>
    <mergeCell ref="C42:C47"/>
    <mergeCell ref="D35:D39"/>
    <mergeCell ref="J35:J39"/>
    <mergeCell ref="K35:K39"/>
    <mergeCell ref="A34:A39"/>
    <mergeCell ref="B34:B39"/>
    <mergeCell ref="C34:C39"/>
    <mergeCell ref="J1:K1"/>
    <mergeCell ref="A1:I1"/>
    <mergeCell ref="D59:D63"/>
    <mergeCell ref="J59:J63"/>
    <mergeCell ref="K59:K63"/>
    <mergeCell ref="A58:A63"/>
    <mergeCell ref="B58:B63"/>
    <mergeCell ref="C58:C63"/>
    <mergeCell ref="D51:D55"/>
    <mergeCell ref="J51:J55"/>
    <mergeCell ref="K51:K55"/>
    <mergeCell ref="A50:A55"/>
    <mergeCell ref="B50:B55"/>
    <mergeCell ref="C50:C55"/>
    <mergeCell ref="D43:D47"/>
    <mergeCell ref="J43:J47"/>
  </mergeCells>
  <pageMargins left="0.7" right="0.7" top="0.75" bottom="0.75" header="0.3" footer="0.3"/>
  <pageSetup paperSize="8" scale="8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F32E-0FDA-4A63-8877-98BA35DE0500}">
  <sheetPr>
    <pageSetUpPr fitToPage="1"/>
  </sheetPr>
  <dimension ref="A1:GX104"/>
  <sheetViews>
    <sheetView zoomScale="93" zoomScaleNormal="93" zoomScaleSheetLayoutView="100"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K3" sqref="K3:K7"/>
    </sheetView>
  </sheetViews>
  <sheetFormatPr defaultColWidth="8.88671875" defaultRowHeight="13.5"/>
  <cols>
    <col min="1" max="1" width="8.88671875" style="191"/>
    <col min="2" max="2" width="15.88671875" style="187" bestFit="1" customWidth="1"/>
    <col min="3" max="3" width="15.109375" style="187" bestFit="1" customWidth="1"/>
    <col min="4" max="4" width="8.5546875" style="187" customWidth="1"/>
    <col min="5" max="5" width="14.33203125" style="187" customWidth="1"/>
    <col min="6" max="6" width="8.88671875" style="187"/>
    <col min="7" max="7" width="10.109375" style="187" bestFit="1" customWidth="1"/>
    <col min="8" max="8" width="9.33203125" style="187" bestFit="1" customWidth="1"/>
    <col min="9" max="9" width="8.88671875" style="187"/>
    <col min="10" max="11" width="9.88671875" style="232" customWidth="1"/>
    <col min="12" max="13" width="10.109375" style="187" customWidth="1"/>
    <col min="14" max="15" width="8.88671875" style="187" bestFit="1" customWidth="1"/>
    <col min="16" max="19" width="8.88671875" style="187"/>
    <col min="20" max="20" width="11.109375" style="187" customWidth="1"/>
    <col min="21" max="30" width="8.88671875" style="187"/>
    <col min="31" max="52" width="8.5546875" style="187" bestFit="1" customWidth="1"/>
    <col min="53" max="54" width="9.5546875" style="187" bestFit="1" customWidth="1"/>
    <col min="55" max="100" width="9.33203125" style="187" bestFit="1" customWidth="1"/>
    <col min="101" max="144" width="8.88671875" style="187"/>
    <col min="145" max="145" width="14.44140625" style="187" bestFit="1" customWidth="1"/>
    <col min="146" max="146" width="12" style="187" bestFit="1" customWidth="1"/>
    <col min="147" max="205" width="8.88671875" style="187"/>
    <col min="206" max="206" width="10.109375" style="187" customWidth="1"/>
    <col min="207" max="16384" width="8.88671875" style="187"/>
  </cols>
  <sheetData>
    <row r="1" spans="1:206" ht="19.5" customHeight="1">
      <c r="A1" s="461" t="s">
        <v>77</v>
      </c>
      <c r="B1" s="461"/>
      <c r="C1" s="461"/>
      <c r="D1" s="461"/>
      <c r="E1" s="461"/>
      <c r="F1" s="461"/>
      <c r="G1" s="461"/>
      <c r="H1" s="461"/>
      <c r="I1" s="461"/>
      <c r="J1" s="462">
        <v>46196</v>
      </c>
      <c r="K1" s="463"/>
    </row>
    <row r="2" spans="1:206" s="180" customFormat="1" ht="40.5" customHeight="1">
      <c r="A2" s="179"/>
      <c r="B2" s="233" t="s">
        <v>57</v>
      </c>
      <c r="C2" s="226" t="str">
        <f>'BESS 11'!$G$2</f>
        <v>Trial-Run End Date</v>
      </c>
      <c r="D2" s="226" t="str">
        <f>'BESS 11'!$H$2</f>
        <v>COD</v>
      </c>
      <c r="E2" s="226" t="s">
        <v>10</v>
      </c>
      <c r="F2" s="217" t="s">
        <v>58</v>
      </c>
      <c r="G2" s="217" t="s">
        <v>78</v>
      </c>
      <c r="H2" s="217" t="s">
        <v>79</v>
      </c>
      <c r="I2" s="217" t="s">
        <v>59</v>
      </c>
      <c r="J2" s="216" t="s">
        <v>80</v>
      </c>
      <c r="K2" s="216" t="s">
        <v>62</v>
      </c>
      <c r="L2" s="218">
        <v>46195</v>
      </c>
      <c r="M2" s="218">
        <v>46196</v>
      </c>
      <c r="N2" s="218">
        <v>46197</v>
      </c>
      <c r="O2" s="218">
        <v>46198</v>
      </c>
      <c r="P2" s="218">
        <v>46199</v>
      </c>
      <c r="Q2" s="218">
        <v>46200</v>
      </c>
      <c r="R2" s="218">
        <v>46201</v>
      </c>
      <c r="S2" s="218">
        <v>46202</v>
      </c>
      <c r="T2" s="218">
        <v>46203</v>
      </c>
      <c r="U2" s="218">
        <v>46204</v>
      </c>
      <c r="V2" s="218">
        <v>46205</v>
      </c>
      <c r="W2" s="218">
        <v>46206</v>
      </c>
      <c r="X2" s="218">
        <v>46207</v>
      </c>
      <c r="Y2" s="218">
        <f t="shared" ref="Y2:AT2" si="0">X2+1</f>
        <v>46208</v>
      </c>
      <c r="Z2" s="218">
        <f t="shared" si="0"/>
        <v>46209</v>
      </c>
      <c r="AA2" s="218">
        <f t="shared" si="0"/>
        <v>46210</v>
      </c>
      <c r="AB2" s="218">
        <f t="shared" si="0"/>
        <v>46211</v>
      </c>
      <c r="AC2" s="218">
        <f t="shared" si="0"/>
        <v>46212</v>
      </c>
      <c r="AD2" s="218">
        <f t="shared" si="0"/>
        <v>46213</v>
      </c>
      <c r="AE2" s="218">
        <f t="shared" si="0"/>
        <v>46214</v>
      </c>
      <c r="AF2" s="218">
        <f t="shared" si="0"/>
        <v>46215</v>
      </c>
      <c r="AG2" s="218">
        <f t="shared" si="0"/>
        <v>46216</v>
      </c>
      <c r="AH2" s="218">
        <f t="shared" si="0"/>
        <v>46217</v>
      </c>
      <c r="AI2" s="218">
        <f t="shared" si="0"/>
        <v>46218</v>
      </c>
      <c r="AJ2" s="218">
        <f t="shared" si="0"/>
        <v>46219</v>
      </c>
      <c r="AK2" s="218">
        <f t="shared" si="0"/>
        <v>46220</v>
      </c>
      <c r="AL2" s="218">
        <f t="shared" si="0"/>
        <v>46221</v>
      </c>
      <c r="AM2" s="218">
        <f t="shared" si="0"/>
        <v>46222</v>
      </c>
      <c r="AN2" s="218">
        <f t="shared" si="0"/>
        <v>46223</v>
      </c>
      <c r="AO2" s="218">
        <f t="shared" si="0"/>
        <v>46224</v>
      </c>
      <c r="AP2" s="218">
        <f t="shared" si="0"/>
        <v>46225</v>
      </c>
      <c r="AQ2" s="218">
        <f t="shared" si="0"/>
        <v>46226</v>
      </c>
      <c r="AR2" s="218">
        <f t="shared" si="0"/>
        <v>46227</v>
      </c>
      <c r="AS2" s="218">
        <f t="shared" si="0"/>
        <v>46228</v>
      </c>
      <c r="AT2" s="218">
        <f t="shared" si="0"/>
        <v>46229</v>
      </c>
      <c r="AU2" s="218">
        <f t="shared" ref="AU2:BZ2" si="1">AT2+1</f>
        <v>46230</v>
      </c>
      <c r="AV2" s="218">
        <f t="shared" si="1"/>
        <v>46231</v>
      </c>
      <c r="AW2" s="218">
        <f t="shared" si="1"/>
        <v>46232</v>
      </c>
      <c r="AX2" s="218">
        <f t="shared" si="1"/>
        <v>46233</v>
      </c>
      <c r="AY2" s="218">
        <f t="shared" si="1"/>
        <v>46234</v>
      </c>
      <c r="AZ2" s="218">
        <f t="shared" si="1"/>
        <v>46235</v>
      </c>
      <c r="BA2" s="218">
        <f t="shared" si="1"/>
        <v>46236</v>
      </c>
      <c r="BB2" s="218">
        <f t="shared" si="1"/>
        <v>46237</v>
      </c>
      <c r="BC2" s="218">
        <f t="shared" si="1"/>
        <v>46238</v>
      </c>
      <c r="BD2" s="218">
        <f t="shared" si="1"/>
        <v>46239</v>
      </c>
      <c r="BE2" s="218">
        <f t="shared" si="1"/>
        <v>46240</v>
      </c>
      <c r="BF2" s="218">
        <f t="shared" si="1"/>
        <v>46241</v>
      </c>
      <c r="BG2" s="218">
        <f t="shared" si="1"/>
        <v>46242</v>
      </c>
      <c r="BH2" s="218">
        <f t="shared" si="1"/>
        <v>46243</v>
      </c>
      <c r="BI2" s="218">
        <f t="shared" si="1"/>
        <v>46244</v>
      </c>
      <c r="BJ2" s="218">
        <f t="shared" si="1"/>
        <v>46245</v>
      </c>
      <c r="BK2" s="218">
        <f t="shared" si="1"/>
        <v>46246</v>
      </c>
      <c r="BL2" s="218">
        <f t="shared" si="1"/>
        <v>46247</v>
      </c>
      <c r="BM2" s="218">
        <f t="shared" si="1"/>
        <v>46248</v>
      </c>
      <c r="BN2" s="218">
        <f t="shared" si="1"/>
        <v>46249</v>
      </c>
      <c r="BO2" s="218">
        <f t="shared" si="1"/>
        <v>46250</v>
      </c>
      <c r="BP2" s="218">
        <f t="shared" si="1"/>
        <v>46251</v>
      </c>
      <c r="BQ2" s="218">
        <f t="shared" si="1"/>
        <v>46252</v>
      </c>
      <c r="BR2" s="218">
        <f t="shared" si="1"/>
        <v>46253</v>
      </c>
      <c r="BS2" s="218">
        <f t="shared" si="1"/>
        <v>46254</v>
      </c>
      <c r="BT2" s="218">
        <f t="shared" si="1"/>
        <v>46255</v>
      </c>
      <c r="BU2" s="218">
        <f t="shared" si="1"/>
        <v>46256</v>
      </c>
      <c r="BV2" s="218">
        <f t="shared" si="1"/>
        <v>46257</v>
      </c>
      <c r="BW2" s="218">
        <f t="shared" si="1"/>
        <v>46258</v>
      </c>
      <c r="BX2" s="218">
        <f t="shared" si="1"/>
        <v>46259</v>
      </c>
      <c r="BY2" s="218">
        <f t="shared" si="1"/>
        <v>46260</v>
      </c>
      <c r="BZ2" s="218">
        <f t="shared" si="1"/>
        <v>46261</v>
      </c>
      <c r="CA2" s="218">
        <f t="shared" ref="CA2:CV2" si="2">BZ2+1</f>
        <v>46262</v>
      </c>
      <c r="CB2" s="218">
        <f t="shared" si="2"/>
        <v>46263</v>
      </c>
      <c r="CC2" s="218">
        <f t="shared" si="2"/>
        <v>46264</v>
      </c>
      <c r="CD2" s="218">
        <f t="shared" si="2"/>
        <v>46265</v>
      </c>
      <c r="CE2" s="218">
        <f t="shared" si="2"/>
        <v>46266</v>
      </c>
      <c r="CF2" s="218">
        <f t="shared" si="2"/>
        <v>46267</v>
      </c>
      <c r="CG2" s="218">
        <f t="shared" si="2"/>
        <v>46268</v>
      </c>
      <c r="CH2" s="218">
        <f t="shared" si="2"/>
        <v>46269</v>
      </c>
      <c r="CI2" s="218">
        <f t="shared" si="2"/>
        <v>46270</v>
      </c>
      <c r="CJ2" s="218">
        <f t="shared" si="2"/>
        <v>46271</v>
      </c>
      <c r="CK2" s="218">
        <f t="shared" si="2"/>
        <v>46272</v>
      </c>
      <c r="CL2" s="218">
        <f t="shared" si="2"/>
        <v>46273</v>
      </c>
      <c r="CM2" s="218">
        <f t="shared" si="2"/>
        <v>46274</v>
      </c>
      <c r="CN2" s="218">
        <f t="shared" si="2"/>
        <v>46275</v>
      </c>
      <c r="CO2" s="218">
        <f t="shared" si="2"/>
        <v>46276</v>
      </c>
      <c r="CP2" s="218">
        <f t="shared" si="2"/>
        <v>46277</v>
      </c>
      <c r="CQ2" s="218">
        <f t="shared" si="2"/>
        <v>46278</v>
      </c>
      <c r="CR2" s="218">
        <f t="shared" si="2"/>
        <v>46279</v>
      </c>
      <c r="CS2" s="218">
        <f t="shared" si="2"/>
        <v>46280</v>
      </c>
      <c r="CT2" s="218">
        <f t="shared" si="2"/>
        <v>46281</v>
      </c>
      <c r="CU2" s="218">
        <f t="shared" si="2"/>
        <v>46282</v>
      </c>
      <c r="CV2" s="218">
        <f t="shared" si="2"/>
        <v>46283</v>
      </c>
      <c r="CW2" s="218">
        <f t="shared" ref="CW2:EN2" si="3">CV2+1</f>
        <v>46284</v>
      </c>
      <c r="CX2" s="218">
        <f t="shared" si="3"/>
        <v>46285</v>
      </c>
      <c r="CY2" s="218">
        <f t="shared" si="3"/>
        <v>46286</v>
      </c>
      <c r="CZ2" s="218">
        <f t="shared" si="3"/>
        <v>46287</v>
      </c>
      <c r="DA2" s="218">
        <f t="shared" si="3"/>
        <v>46288</v>
      </c>
      <c r="DB2" s="218">
        <f t="shared" si="3"/>
        <v>46289</v>
      </c>
      <c r="DC2" s="218">
        <f t="shared" si="3"/>
        <v>46290</v>
      </c>
      <c r="DD2" s="218">
        <f t="shared" si="3"/>
        <v>46291</v>
      </c>
      <c r="DE2" s="218">
        <f t="shared" si="3"/>
        <v>46292</v>
      </c>
      <c r="DF2" s="218">
        <f t="shared" si="3"/>
        <v>46293</v>
      </c>
      <c r="DG2" s="218">
        <f t="shared" si="3"/>
        <v>46294</v>
      </c>
      <c r="DH2" s="218">
        <f t="shared" si="3"/>
        <v>46295</v>
      </c>
      <c r="DI2" s="218">
        <f t="shared" si="3"/>
        <v>46296</v>
      </c>
      <c r="DJ2" s="218">
        <f t="shared" si="3"/>
        <v>46297</v>
      </c>
      <c r="DK2" s="218">
        <f t="shared" si="3"/>
        <v>46298</v>
      </c>
      <c r="DL2" s="218">
        <f t="shared" si="3"/>
        <v>46299</v>
      </c>
      <c r="DM2" s="218">
        <f t="shared" si="3"/>
        <v>46300</v>
      </c>
      <c r="DN2" s="218">
        <f t="shared" si="3"/>
        <v>46301</v>
      </c>
      <c r="DO2" s="218">
        <f t="shared" si="3"/>
        <v>46302</v>
      </c>
      <c r="DP2" s="218">
        <f t="shared" si="3"/>
        <v>46303</v>
      </c>
      <c r="DQ2" s="218">
        <f t="shared" si="3"/>
        <v>46304</v>
      </c>
      <c r="DR2" s="218">
        <f t="shared" si="3"/>
        <v>46305</v>
      </c>
      <c r="DS2" s="218">
        <f t="shared" si="3"/>
        <v>46306</v>
      </c>
      <c r="DT2" s="218">
        <f t="shared" si="3"/>
        <v>46307</v>
      </c>
      <c r="DU2" s="218">
        <f t="shared" si="3"/>
        <v>46308</v>
      </c>
      <c r="DV2" s="218">
        <f t="shared" si="3"/>
        <v>46309</v>
      </c>
      <c r="DW2" s="218">
        <f t="shared" si="3"/>
        <v>46310</v>
      </c>
      <c r="DX2" s="218">
        <f t="shared" si="3"/>
        <v>46311</v>
      </c>
      <c r="DY2" s="218">
        <f t="shared" si="3"/>
        <v>46312</v>
      </c>
      <c r="DZ2" s="218">
        <f t="shared" si="3"/>
        <v>46313</v>
      </c>
      <c r="EA2" s="218">
        <f t="shared" si="3"/>
        <v>46314</v>
      </c>
      <c r="EB2" s="218">
        <f t="shared" si="3"/>
        <v>46315</v>
      </c>
      <c r="EC2" s="218">
        <f t="shared" si="3"/>
        <v>46316</v>
      </c>
      <c r="ED2" s="218">
        <f t="shared" si="3"/>
        <v>46317</v>
      </c>
      <c r="EE2" s="218">
        <f t="shared" si="3"/>
        <v>46318</v>
      </c>
      <c r="EF2" s="218">
        <f t="shared" si="3"/>
        <v>46319</v>
      </c>
      <c r="EG2" s="218">
        <f t="shared" si="3"/>
        <v>46320</v>
      </c>
      <c r="EH2" s="218">
        <f t="shared" si="3"/>
        <v>46321</v>
      </c>
      <c r="EI2" s="218">
        <f t="shared" si="3"/>
        <v>46322</v>
      </c>
      <c r="EJ2" s="218">
        <f t="shared" si="3"/>
        <v>46323</v>
      </c>
      <c r="EK2" s="218">
        <f t="shared" si="3"/>
        <v>46324</v>
      </c>
      <c r="EL2" s="218">
        <f t="shared" si="3"/>
        <v>46325</v>
      </c>
      <c r="EM2" s="218">
        <f t="shared" si="3"/>
        <v>46326</v>
      </c>
      <c r="EN2" s="218">
        <f t="shared" si="3"/>
        <v>46327</v>
      </c>
      <c r="EO2" s="234"/>
      <c r="EP2" s="234"/>
      <c r="EQ2" s="234"/>
      <c r="ER2" s="234"/>
      <c r="ES2" s="234"/>
      <c r="ET2" s="234"/>
      <c r="EU2" s="234"/>
      <c r="EV2" s="234"/>
      <c r="EW2" s="234"/>
      <c r="EX2" s="234"/>
      <c r="EY2" s="234"/>
      <c r="EZ2" s="234"/>
      <c r="FA2" s="234"/>
      <c r="FB2" s="234"/>
      <c r="FC2" s="234"/>
      <c r="FD2" s="234"/>
      <c r="FE2" s="234"/>
      <c r="FF2" s="234"/>
      <c r="FG2" s="234"/>
      <c r="FH2" s="234"/>
      <c r="FI2" s="234"/>
      <c r="FJ2" s="234"/>
      <c r="FK2" s="234"/>
      <c r="FL2" s="234"/>
      <c r="FM2" s="234"/>
      <c r="FN2" s="234"/>
      <c r="FO2" s="234"/>
      <c r="FP2" s="234"/>
      <c r="FQ2" s="234"/>
      <c r="FR2" s="234"/>
      <c r="FS2" s="234"/>
      <c r="FT2" s="234"/>
      <c r="FU2" s="234"/>
      <c r="FV2" s="234"/>
      <c r="FW2" s="234"/>
      <c r="FX2" s="234"/>
      <c r="FY2" s="234"/>
      <c r="FZ2" s="234"/>
      <c r="GA2" s="234"/>
      <c r="GB2" s="234"/>
      <c r="GC2" s="234"/>
      <c r="GD2" s="234"/>
      <c r="GE2" s="234"/>
      <c r="GF2" s="234"/>
      <c r="GG2" s="234"/>
      <c r="GH2" s="234"/>
      <c r="GI2" s="234"/>
      <c r="GJ2" s="234"/>
      <c r="GK2" s="234"/>
      <c r="GL2" s="234"/>
      <c r="GM2" s="234"/>
      <c r="GN2" s="234"/>
      <c r="GO2" s="234"/>
      <c r="GP2" s="234"/>
      <c r="GQ2" s="234"/>
      <c r="GR2" s="234"/>
      <c r="GS2" s="234">
        <v>46382</v>
      </c>
      <c r="GT2" s="234">
        <v>46383</v>
      </c>
      <c r="GU2" s="234">
        <v>46384</v>
      </c>
      <c r="GV2" s="234">
        <v>46385</v>
      </c>
      <c r="GW2" s="234">
        <v>46386</v>
      </c>
      <c r="GX2" s="234">
        <v>46387</v>
      </c>
    </row>
    <row r="3" spans="1:206">
      <c r="A3" s="464" t="s">
        <v>71</v>
      </c>
      <c r="B3" s="465" t="str">
        <f>'BESS 11'!F5</f>
        <v>22 Jul
28 Jul</v>
      </c>
      <c r="C3" s="467" t="str">
        <f>'BESS 11'!G5</f>
        <v>27 Jul
02 Aug</v>
      </c>
      <c r="D3" s="467" t="str">
        <f>'BESS 11'!H5</f>
        <v>30 Jul
05 Aug</v>
      </c>
      <c r="E3" s="185" t="s">
        <v>64</v>
      </c>
      <c r="F3" s="66">
        <f>SUM('BESS 11'!S18:S25,'BESS 11'!S27)</f>
        <v>0</v>
      </c>
      <c r="G3" s="182">
        <f ca="1">TODAY()</f>
        <v>46233</v>
      </c>
      <c r="H3" s="182">
        <f>MAX('BESS 11'!O18:O24)</f>
        <v>0</v>
      </c>
      <c r="I3" s="65">
        <f ca="1">H3-G3</f>
        <v>-46233</v>
      </c>
      <c r="J3" s="444">
        <f ca="1">AVERAGEIF(L8:EN8,"&gt;0")</f>
        <v>8.4666666666666668</v>
      </c>
      <c r="K3" s="444">
        <f ca="1">MAX(L8:EN8)</f>
        <v>30</v>
      </c>
      <c r="L3" s="65" t="str">
        <f ca="1">IF(AND(L$2&gt;=$G3,L$2&lt;($G3+$I3)),ROUND($F3/$I3,0),"-")</f>
        <v>-</v>
      </c>
      <c r="M3" s="65" t="str">
        <f t="shared" ref="L3:U6" ca="1" si="4">IF(AND(M$2&gt;=$G3,M$2&lt;($G3+$I3)),ROUND($F3/$I3,0),"-")</f>
        <v>-</v>
      </c>
      <c r="N3" s="65" t="str">
        <f t="shared" ca="1" si="4"/>
        <v>-</v>
      </c>
      <c r="O3" s="65" t="str">
        <f t="shared" ca="1" si="4"/>
        <v>-</v>
      </c>
      <c r="P3" s="65" t="str">
        <f t="shared" ca="1" si="4"/>
        <v>-</v>
      </c>
      <c r="Q3" s="65" t="str">
        <f t="shared" ca="1" si="4"/>
        <v>-</v>
      </c>
      <c r="R3" s="65">
        <v>1</v>
      </c>
      <c r="S3" s="65">
        <v>1</v>
      </c>
      <c r="T3" s="65">
        <v>1</v>
      </c>
      <c r="U3" s="65">
        <v>1</v>
      </c>
      <c r="V3" s="65" t="str">
        <f t="shared" ref="V3:AE6" ca="1" si="5">IF(AND(V$2&gt;=$G3,V$2&lt;($G3+$I3)),ROUND($F3/$I3,0),"-")</f>
        <v>-</v>
      </c>
      <c r="W3" s="65" t="str">
        <f t="shared" ca="1" si="5"/>
        <v>-</v>
      </c>
      <c r="X3" s="65" t="str">
        <f t="shared" ca="1" si="5"/>
        <v>-</v>
      </c>
      <c r="Y3" s="65" t="str">
        <f t="shared" ca="1" si="5"/>
        <v>-</v>
      </c>
      <c r="Z3" s="65" t="str">
        <f t="shared" ca="1" si="5"/>
        <v>-</v>
      </c>
      <c r="AA3" s="65" t="str">
        <f t="shared" ca="1" si="5"/>
        <v>-</v>
      </c>
      <c r="AB3" s="65" t="str">
        <f t="shared" ca="1" si="5"/>
        <v>-</v>
      </c>
      <c r="AC3" s="65" t="str">
        <f t="shared" ca="1" si="5"/>
        <v>-</v>
      </c>
      <c r="AD3" s="65" t="str">
        <f t="shared" ca="1" si="5"/>
        <v>-</v>
      </c>
      <c r="AE3" s="65" t="str">
        <f t="shared" ca="1" si="5"/>
        <v>-</v>
      </c>
      <c r="AF3" s="65" t="str">
        <f t="shared" ref="AF3:AO6" ca="1" si="6">IF(AND(AF$2&gt;=$G3,AF$2&lt;($G3+$I3)),ROUND($F3/$I3,0),"-")</f>
        <v>-</v>
      </c>
      <c r="AG3" s="65" t="str">
        <f t="shared" ca="1" si="6"/>
        <v>-</v>
      </c>
      <c r="AH3" s="65" t="str">
        <f t="shared" ca="1" si="6"/>
        <v>-</v>
      </c>
      <c r="AI3" s="65" t="str">
        <f t="shared" ca="1" si="6"/>
        <v>-</v>
      </c>
      <c r="AJ3" s="65" t="str">
        <f t="shared" ca="1" si="6"/>
        <v>-</v>
      </c>
      <c r="AK3" s="65" t="str">
        <f t="shared" ca="1" si="6"/>
        <v>-</v>
      </c>
      <c r="AL3" s="65" t="str">
        <f t="shared" ca="1" si="6"/>
        <v>-</v>
      </c>
      <c r="AM3" s="65" t="str">
        <f t="shared" ca="1" si="6"/>
        <v>-</v>
      </c>
      <c r="AN3" s="65" t="str">
        <f t="shared" ca="1" si="6"/>
        <v>-</v>
      </c>
      <c r="AO3" s="65" t="str">
        <f t="shared" ca="1" si="6"/>
        <v>-</v>
      </c>
      <c r="AP3" s="65" t="str">
        <f t="shared" ref="AP3:AY6" ca="1" si="7">IF(AND(AP$2&gt;=$G3,AP$2&lt;($G3+$I3)),ROUND($F3/$I3,0),"-")</f>
        <v>-</v>
      </c>
      <c r="AQ3" s="65" t="str">
        <f t="shared" ca="1" si="7"/>
        <v>-</v>
      </c>
      <c r="AR3" s="65" t="str">
        <f t="shared" ca="1" si="7"/>
        <v>-</v>
      </c>
      <c r="AS3" s="65" t="str">
        <f t="shared" ca="1" si="7"/>
        <v>-</v>
      </c>
      <c r="AT3" s="65" t="str">
        <f t="shared" ca="1" si="7"/>
        <v>-</v>
      </c>
      <c r="AU3" s="65" t="str">
        <f t="shared" ca="1" si="7"/>
        <v>-</v>
      </c>
      <c r="AV3" s="65" t="str">
        <f t="shared" ca="1" si="7"/>
        <v>-</v>
      </c>
      <c r="AW3" s="65" t="str">
        <f t="shared" ca="1" si="7"/>
        <v>-</v>
      </c>
      <c r="AX3" s="65" t="str">
        <f t="shared" ca="1" si="7"/>
        <v>-</v>
      </c>
      <c r="AY3" s="65" t="str">
        <f t="shared" ca="1" si="7"/>
        <v>-</v>
      </c>
      <c r="AZ3" s="65" t="str">
        <f t="shared" ref="AZ3:BI6" ca="1" si="8">IF(AND(AZ$2&gt;=$G3,AZ$2&lt;($G3+$I3)),ROUND($F3/$I3,0),"-")</f>
        <v>-</v>
      </c>
      <c r="BA3" s="65" t="str">
        <f t="shared" ca="1" si="8"/>
        <v>-</v>
      </c>
      <c r="BB3" s="65" t="str">
        <f t="shared" ca="1" si="8"/>
        <v>-</v>
      </c>
      <c r="BC3" s="65" t="str">
        <f t="shared" ca="1" si="8"/>
        <v>-</v>
      </c>
      <c r="BD3" s="65" t="str">
        <f t="shared" ca="1" si="8"/>
        <v>-</v>
      </c>
      <c r="BE3" s="65" t="str">
        <f t="shared" ca="1" si="8"/>
        <v>-</v>
      </c>
      <c r="BF3" s="65" t="str">
        <f t="shared" ca="1" si="8"/>
        <v>-</v>
      </c>
      <c r="BG3" s="65" t="str">
        <f t="shared" ca="1" si="8"/>
        <v>-</v>
      </c>
      <c r="BH3" s="65" t="str">
        <f t="shared" ca="1" si="8"/>
        <v>-</v>
      </c>
      <c r="BI3" s="65" t="str">
        <f t="shared" ca="1" si="8"/>
        <v>-</v>
      </c>
      <c r="BJ3" s="65" t="str">
        <f t="shared" ref="BJ3:BS6" ca="1" si="9">IF(AND(BJ$2&gt;=$G3,BJ$2&lt;($G3+$I3)),ROUND($F3/$I3,0),"-")</f>
        <v>-</v>
      </c>
      <c r="BK3" s="65" t="str">
        <f t="shared" ca="1" si="9"/>
        <v>-</v>
      </c>
      <c r="BL3" s="65" t="str">
        <f t="shared" ca="1" si="9"/>
        <v>-</v>
      </c>
      <c r="BM3" s="65" t="str">
        <f t="shared" ca="1" si="9"/>
        <v>-</v>
      </c>
      <c r="BN3" s="65" t="str">
        <f t="shared" ca="1" si="9"/>
        <v>-</v>
      </c>
      <c r="BO3" s="65" t="str">
        <f t="shared" ca="1" si="9"/>
        <v>-</v>
      </c>
      <c r="BP3" s="65" t="str">
        <f t="shared" ca="1" si="9"/>
        <v>-</v>
      </c>
      <c r="BQ3" s="65" t="str">
        <f t="shared" ca="1" si="9"/>
        <v>-</v>
      </c>
      <c r="BR3" s="65" t="str">
        <f t="shared" ca="1" si="9"/>
        <v>-</v>
      </c>
      <c r="BS3" s="65" t="str">
        <f t="shared" ca="1" si="9"/>
        <v>-</v>
      </c>
      <c r="BT3" s="65" t="str">
        <f t="shared" ref="BT3:CC6" ca="1" si="10">IF(AND(BT$2&gt;=$G3,BT$2&lt;($G3+$I3)),ROUND($F3/$I3,0),"-")</f>
        <v>-</v>
      </c>
      <c r="BU3" s="65" t="str">
        <f t="shared" ca="1" si="10"/>
        <v>-</v>
      </c>
      <c r="BV3" s="65" t="str">
        <f t="shared" ca="1" si="10"/>
        <v>-</v>
      </c>
      <c r="BW3" s="65" t="str">
        <f t="shared" ca="1" si="10"/>
        <v>-</v>
      </c>
      <c r="BX3" s="65" t="str">
        <f t="shared" ca="1" si="10"/>
        <v>-</v>
      </c>
      <c r="BY3" s="65" t="str">
        <f t="shared" ca="1" si="10"/>
        <v>-</v>
      </c>
      <c r="BZ3" s="65" t="str">
        <f t="shared" ca="1" si="10"/>
        <v>-</v>
      </c>
      <c r="CA3" s="65" t="str">
        <f t="shared" ca="1" si="10"/>
        <v>-</v>
      </c>
      <c r="CB3" s="65" t="str">
        <f t="shared" ca="1" si="10"/>
        <v>-</v>
      </c>
      <c r="CC3" s="65" t="str">
        <f t="shared" ca="1" si="10"/>
        <v>-</v>
      </c>
      <c r="CD3" s="65" t="str">
        <f t="shared" ref="CD3:CM6" ca="1" si="11">IF(AND(CD$2&gt;=$G3,CD$2&lt;($G3+$I3)),ROUND($F3/$I3,0),"-")</f>
        <v>-</v>
      </c>
      <c r="CE3" s="65" t="str">
        <f t="shared" ca="1" si="11"/>
        <v>-</v>
      </c>
      <c r="CF3" s="65" t="str">
        <f t="shared" ca="1" si="11"/>
        <v>-</v>
      </c>
      <c r="CG3" s="65" t="str">
        <f t="shared" ca="1" si="11"/>
        <v>-</v>
      </c>
      <c r="CH3" s="65" t="str">
        <f t="shared" ca="1" si="11"/>
        <v>-</v>
      </c>
      <c r="CI3" s="65" t="str">
        <f t="shared" ca="1" si="11"/>
        <v>-</v>
      </c>
      <c r="CJ3" s="65" t="str">
        <f t="shared" ca="1" si="11"/>
        <v>-</v>
      </c>
      <c r="CK3" s="65" t="str">
        <f t="shared" ca="1" si="11"/>
        <v>-</v>
      </c>
      <c r="CL3" s="65" t="str">
        <f t="shared" ca="1" si="11"/>
        <v>-</v>
      </c>
      <c r="CM3" s="65" t="str">
        <f t="shared" ca="1" si="11"/>
        <v>-</v>
      </c>
      <c r="CN3" s="65" t="str">
        <f t="shared" ref="CN3:CW6" ca="1" si="12">IF(AND(CN$2&gt;=$G3,CN$2&lt;($G3+$I3)),ROUND($F3/$I3,0),"-")</f>
        <v>-</v>
      </c>
      <c r="CO3" s="65" t="str">
        <f t="shared" ca="1" si="12"/>
        <v>-</v>
      </c>
      <c r="CP3" s="65" t="str">
        <f t="shared" ca="1" si="12"/>
        <v>-</v>
      </c>
      <c r="CQ3" s="65" t="str">
        <f t="shared" ca="1" si="12"/>
        <v>-</v>
      </c>
      <c r="CR3" s="65" t="str">
        <f t="shared" ca="1" si="12"/>
        <v>-</v>
      </c>
      <c r="CS3" s="65" t="str">
        <f t="shared" ca="1" si="12"/>
        <v>-</v>
      </c>
      <c r="CT3" s="65" t="str">
        <f t="shared" ca="1" si="12"/>
        <v>-</v>
      </c>
      <c r="CU3" s="65" t="str">
        <f t="shared" ca="1" si="12"/>
        <v>-</v>
      </c>
      <c r="CV3" s="65" t="str">
        <f t="shared" ca="1" si="12"/>
        <v>-</v>
      </c>
      <c r="CW3" s="65" t="str">
        <f t="shared" ca="1" si="12"/>
        <v>-</v>
      </c>
      <c r="CX3" s="65" t="str">
        <f t="shared" ref="CX3:DG6" ca="1" si="13">IF(AND(CX$2&gt;=$G3,CX$2&lt;($G3+$I3)),ROUND($F3/$I3,0),"-")</f>
        <v>-</v>
      </c>
      <c r="CY3" s="65" t="str">
        <f t="shared" ca="1" si="13"/>
        <v>-</v>
      </c>
      <c r="CZ3" s="65" t="str">
        <f t="shared" ca="1" si="13"/>
        <v>-</v>
      </c>
      <c r="DA3" s="65" t="str">
        <f t="shared" ca="1" si="13"/>
        <v>-</v>
      </c>
      <c r="DB3" s="65" t="str">
        <f t="shared" ca="1" si="13"/>
        <v>-</v>
      </c>
      <c r="DC3" s="65" t="str">
        <f t="shared" ca="1" si="13"/>
        <v>-</v>
      </c>
      <c r="DD3" s="65" t="str">
        <f t="shared" ca="1" si="13"/>
        <v>-</v>
      </c>
      <c r="DE3" s="65" t="str">
        <f t="shared" ca="1" si="13"/>
        <v>-</v>
      </c>
      <c r="DF3" s="65" t="str">
        <f t="shared" ca="1" si="13"/>
        <v>-</v>
      </c>
      <c r="DG3" s="65" t="str">
        <f t="shared" ca="1" si="13"/>
        <v>-</v>
      </c>
      <c r="DH3" s="65" t="str">
        <f t="shared" ref="DH3:DQ6" ca="1" si="14">IF(AND(DH$2&gt;=$G3,DH$2&lt;($G3+$I3)),ROUND($F3/$I3,0),"-")</f>
        <v>-</v>
      </c>
      <c r="DI3" s="65" t="str">
        <f t="shared" ca="1" si="14"/>
        <v>-</v>
      </c>
      <c r="DJ3" s="65" t="str">
        <f t="shared" ca="1" si="14"/>
        <v>-</v>
      </c>
      <c r="DK3" s="65" t="str">
        <f t="shared" ca="1" si="14"/>
        <v>-</v>
      </c>
      <c r="DL3" s="65" t="str">
        <f t="shared" ca="1" si="14"/>
        <v>-</v>
      </c>
      <c r="DM3" s="65" t="str">
        <f t="shared" ca="1" si="14"/>
        <v>-</v>
      </c>
      <c r="DN3" s="65" t="str">
        <f t="shared" ca="1" si="14"/>
        <v>-</v>
      </c>
      <c r="DO3" s="65" t="str">
        <f t="shared" ca="1" si="14"/>
        <v>-</v>
      </c>
      <c r="DP3" s="65" t="str">
        <f t="shared" ca="1" si="14"/>
        <v>-</v>
      </c>
      <c r="DQ3" s="65" t="str">
        <f t="shared" ca="1" si="14"/>
        <v>-</v>
      </c>
      <c r="DR3" s="65" t="str">
        <f t="shared" ref="DR3:EA6" ca="1" si="15">IF(AND(DR$2&gt;=$G3,DR$2&lt;($G3+$I3)),ROUND($F3/$I3,0),"-")</f>
        <v>-</v>
      </c>
      <c r="DS3" s="65" t="str">
        <f t="shared" ca="1" si="15"/>
        <v>-</v>
      </c>
      <c r="DT3" s="65" t="str">
        <f t="shared" ca="1" si="15"/>
        <v>-</v>
      </c>
      <c r="DU3" s="65" t="str">
        <f t="shared" ca="1" si="15"/>
        <v>-</v>
      </c>
      <c r="DV3" s="65" t="str">
        <f t="shared" ca="1" si="15"/>
        <v>-</v>
      </c>
      <c r="DW3" s="65" t="str">
        <f t="shared" ca="1" si="15"/>
        <v>-</v>
      </c>
      <c r="DX3" s="65" t="str">
        <f t="shared" ca="1" si="15"/>
        <v>-</v>
      </c>
      <c r="DY3" s="65" t="str">
        <f t="shared" ca="1" si="15"/>
        <v>-</v>
      </c>
      <c r="DZ3" s="65" t="str">
        <f t="shared" ca="1" si="15"/>
        <v>-</v>
      </c>
      <c r="EA3" s="65" t="str">
        <f t="shared" ca="1" si="15"/>
        <v>-</v>
      </c>
      <c r="EB3" s="65" t="str">
        <f t="shared" ref="EB3:EN6" ca="1" si="16">IF(AND(EB$2&gt;=$G3,EB$2&lt;($G3+$I3)),ROUND($F3/$I3,0),"-")</f>
        <v>-</v>
      </c>
      <c r="EC3" s="65" t="str">
        <f t="shared" ca="1" si="16"/>
        <v>-</v>
      </c>
      <c r="ED3" s="65" t="str">
        <f t="shared" ca="1" si="16"/>
        <v>-</v>
      </c>
      <c r="EE3" s="65" t="str">
        <f t="shared" ca="1" si="16"/>
        <v>-</v>
      </c>
      <c r="EF3" s="65" t="str">
        <f t="shared" ca="1" si="16"/>
        <v>-</v>
      </c>
      <c r="EG3" s="65" t="str">
        <f t="shared" ca="1" si="16"/>
        <v>-</v>
      </c>
      <c r="EH3" s="65" t="str">
        <f t="shared" ca="1" si="16"/>
        <v>-</v>
      </c>
      <c r="EI3" s="65" t="str">
        <f t="shared" ca="1" si="16"/>
        <v>-</v>
      </c>
      <c r="EJ3" s="65" t="str">
        <f t="shared" ca="1" si="16"/>
        <v>-</v>
      </c>
      <c r="EK3" s="65" t="str">
        <f t="shared" ca="1" si="16"/>
        <v>-</v>
      </c>
      <c r="EL3" s="65" t="str">
        <f t="shared" ca="1" si="16"/>
        <v>-</v>
      </c>
      <c r="EM3" s="65" t="str">
        <f t="shared" ca="1" si="16"/>
        <v>-</v>
      </c>
      <c r="EN3" s="65" t="str">
        <f t="shared" ca="1" si="16"/>
        <v>-</v>
      </c>
    </row>
    <row r="4" spans="1:206">
      <c r="A4" s="464"/>
      <c r="B4" s="466"/>
      <c r="C4" s="466"/>
      <c r="D4" s="466"/>
      <c r="E4" s="185" t="s">
        <v>65</v>
      </c>
      <c r="F4" s="66">
        <f>'BESS 11'!S28+'BESS 11'!S30+'BESS 11'!S31+'BESS 11'!S34+'BESS 11'!S35+'BESS 11'!S36</f>
        <v>0</v>
      </c>
      <c r="G4" s="182">
        <f ca="1">TODAY()</f>
        <v>46233</v>
      </c>
      <c r="H4" s="182">
        <f>MAX('BESS 11'!O28,'BESS 11'!O30,'BESS 11'!O31,'BESS 11'!O34,'BESS 11'!O35,'BESS 11'!O36)</f>
        <v>0</v>
      </c>
      <c r="I4" s="65">
        <f ca="1">H4-G4</f>
        <v>-46233</v>
      </c>
      <c r="J4" s="453"/>
      <c r="K4" s="445"/>
      <c r="L4" s="65" t="str">
        <f ca="1">IF(AND(L$2&gt;=$G4,L$2&lt;($G4+$I4)),ROUND($F4/$I4,0),"-")</f>
        <v>-</v>
      </c>
      <c r="M4" s="65" t="str">
        <f t="shared" ca="1" si="4"/>
        <v>-</v>
      </c>
      <c r="N4" s="65" t="str">
        <f t="shared" ca="1" si="4"/>
        <v>-</v>
      </c>
      <c r="O4" s="65" t="str">
        <f t="shared" ca="1" si="4"/>
        <v>-</v>
      </c>
      <c r="P4" s="65" t="str">
        <f t="shared" ca="1" si="4"/>
        <v>-</v>
      </c>
      <c r="Q4" s="65" t="str">
        <f t="shared" ca="1" si="4"/>
        <v>-</v>
      </c>
      <c r="R4" s="65" t="str">
        <f t="shared" ca="1" si="4"/>
        <v>-</v>
      </c>
      <c r="S4" s="65" t="str">
        <f t="shared" ca="1" si="4"/>
        <v>-</v>
      </c>
      <c r="T4" s="65" t="str">
        <f t="shared" ca="1" si="4"/>
        <v>-</v>
      </c>
      <c r="U4" s="65" t="str">
        <f t="shared" ca="1" si="4"/>
        <v>-</v>
      </c>
      <c r="V4" s="65" t="str">
        <f t="shared" ca="1" si="5"/>
        <v>-</v>
      </c>
      <c r="W4" s="65" t="str">
        <f t="shared" ca="1" si="5"/>
        <v>-</v>
      </c>
      <c r="X4" s="65" t="str">
        <f t="shared" ca="1" si="5"/>
        <v>-</v>
      </c>
      <c r="Y4" s="65" t="str">
        <f t="shared" ca="1" si="5"/>
        <v>-</v>
      </c>
      <c r="Z4" s="65" t="str">
        <f t="shared" ca="1" si="5"/>
        <v>-</v>
      </c>
      <c r="AA4" s="65" t="str">
        <f t="shared" ca="1" si="5"/>
        <v>-</v>
      </c>
      <c r="AB4" s="65" t="str">
        <f t="shared" ca="1" si="5"/>
        <v>-</v>
      </c>
      <c r="AC4" s="65" t="str">
        <f t="shared" ca="1" si="5"/>
        <v>-</v>
      </c>
      <c r="AD4" s="65" t="str">
        <f t="shared" ca="1" si="5"/>
        <v>-</v>
      </c>
      <c r="AE4" s="65" t="str">
        <f t="shared" ca="1" si="5"/>
        <v>-</v>
      </c>
      <c r="AF4" s="65" t="str">
        <f t="shared" ca="1" si="6"/>
        <v>-</v>
      </c>
      <c r="AG4" s="65" t="str">
        <f t="shared" ca="1" si="6"/>
        <v>-</v>
      </c>
      <c r="AH4" s="65" t="str">
        <f t="shared" ca="1" si="6"/>
        <v>-</v>
      </c>
      <c r="AI4" s="65" t="str">
        <f t="shared" ca="1" si="6"/>
        <v>-</v>
      </c>
      <c r="AJ4" s="65" t="str">
        <f t="shared" ca="1" si="6"/>
        <v>-</v>
      </c>
      <c r="AK4" s="65" t="str">
        <f t="shared" ca="1" si="6"/>
        <v>-</v>
      </c>
      <c r="AL4" s="65" t="str">
        <f t="shared" ca="1" si="6"/>
        <v>-</v>
      </c>
      <c r="AM4" s="65" t="str">
        <f t="shared" ca="1" si="6"/>
        <v>-</v>
      </c>
      <c r="AN4" s="65" t="str">
        <f t="shared" ca="1" si="6"/>
        <v>-</v>
      </c>
      <c r="AO4" s="65" t="str">
        <f t="shared" ca="1" si="6"/>
        <v>-</v>
      </c>
      <c r="AP4" s="65" t="str">
        <f t="shared" ca="1" si="7"/>
        <v>-</v>
      </c>
      <c r="AQ4" s="65" t="str">
        <f t="shared" ca="1" si="7"/>
        <v>-</v>
      </c>
      <c r="AR4" s="65" t="str">
        <f t="shared" ca="1" si="7"/>
        <v>-</v>
      </c>
      <c r="AS4" s="65" t="str">
        <f t="shared" ca="1" si="7"/>
        <v>-</v>
      </c>
      <c r="AT4" s="65" t="str">
        <f t="shared" ca="1" si="7"/>
        <v>-</v>
      </c>
      <c r="AU4" s="65" t="str">
        <f t="shared" ca="1" si="7"/>
        <v>-</v>
      </c>
      <c r="AV4" s="65" t="str">
        <f t="shared" ca="1" si="7"/>
        <v>-</v>
      </c>
      <c r="AW4" s="65" t="str">
        <f t="shared" ca="1" si="7"/>
        <v>-</v>
      </c>
      <c r="AX4" s="65" t="str">
        <f t="shared" ca="1" si="7"/>
        <v>-</v>
      </c>
      <c r="AY4" s="65" t="str">
        <f t="shared" ca="1" si="7"/>
        <v>-</v>
      </c>
      <c r="AZ4" s="65" t="str">
        <f t="shared" ca="1" si="8"/>
        <v>-</v>
      </c>
      <c r="BA4" s="65" t="str">
        <f t="shared" ca="1" si="8"/>
        <v>-</v>
      </c>
      <c r="BB4" s="65" t="str">
        <f t="shared" ca="1" si="8"/>
        <v>-</v>
      </c>
      <c r="BC4" s="65" t="str">
        <f t="shared" ca="1" si="8"/>
        <v>-</v>
      </c>
      <c r="BD4" s="65" t="str">
        <f t="shared" ca="1" si="8"/>
        <v>-</v>
      </c>
      <c r="BE4" s="65" t="str">
        <f t="shared" ca="1" si="8"/>
        <v>-</v>
      </c>
      <c r="BF4" s="65" t="str">
        <f t="shared" ca="1" si="8"/>
        <v>-</v>
      </c>
      <c r="BG4" s="65" t="str">
        <f t="shared" ca="1" si="8"/>
        <v>-</v>
      </c>
      <c r="BH4" s="65" t="str">
        <f t="shared" ca="1" si="8"/>
        <v>-</v>
      </c>
      <c r="BI4" s="65" t="str">
        <f t="shared" ca="1" si="8"/>
        <v>-</v>
      </c>
      <c r="BJ4" s="65" t="str">
        <f t="shared" ca="1" si="9"/>
        <v>-</v>
      </c>
      <c r="BK4" s="65" t="str">
        <f t="shared" ca="1" si="9"/>
        <v>-</v>
      </c>
      <c r="BL4" s="65" t="str">
        <f t="shared" ca="1" si="9"/>
        <v>-</v>
      </c>
      <c r="BM4" s="65" t="str">
        <f t="shared" ca="1" si="9"/>
        <v>-</v>
      </c>
      <c r="BN4" s="65" t="str">
        <f t="shared" ca="1" si="9"/>
        <v>-</v>
      </c>
      <c r="BO4" s="65" t="str">
        <f t="shared" ca="1" si="9"/>
        <v>-</v>
      </c>
      <c r="BP4" s="65" t="str">
        <f t="shared" ca="1" si="9"/>
        <v>-</v>
      </c>
      <c r="BQ4" s="65" t="str">
        <f t="shared" ca="1" si="9"/>
        <v>-</v>
      </c>
      <c r="BR4" s="65" t="str">
        <f t="shared" ca="1" si="9"/>
        <v>-</v>
      </c>
      <c r="BS4" s="65" t="str">
        <f t="shared" ca="1" si="9"/>
        <v>-</v>
      </c>
      <c r="BT4" s="65" t="str">
        <f t="shared" ca="1" si="10"/>
        <v>-</v>
      </c>
      <c r="BU4" s="65" t="str">
        <f t="shared" ca="1" si="10"/>
        <v>-</v>
      </c>
      <c r="BV4" s="65" t="str">
        <f t="shared" ca="1" si="10"/>
        <v>-</v>
      </c>
      <c r="BW4" s="65" t="str">
        <f t="shared" ca="1" si="10"/>
        <v>-</v>
      </c>
      <c r="BX4" s="65" t="str">
        <f t="shared" ca="1" si="10"/>
        <v>-</v>
      </c>
      <c r="BY4" s="65" t="str">
        <f t="shared" ca="1" si="10"/>
        <v>-</v>
      </c>
      <c r="BZ4" s="65" t="str">
        <f t="shared" ca="1" si="10"/>
        <v>-</v>
      </c>
      <c r="CA4" s="65" t="str">
        <f t="shared" ca="1" si="10"/>
        <v>-</v>
      </c>
      <c r="CB4" s="65" t="str">
        <f t="shared" ca="1" si="10"/>
        <v>-</v>
      </c>
      <c r="CC4" s="65" t="str">
        <f t="shared" ca="1" si="10"/>
        <v>-</v>
      </c>
      <c r="CD4" s="65" t="str">
        <f t="shared" ca="1" si="11"/>
        <v>-</v>
      </c>
      <c r="CE4" s="65" t="str">
        <f t="shared" ca="1" si="11"/>
        <v>-</v>
      </c>
      <c r="CF4" s="65" t="str">
        <f t="shared" ca="1" si="11"/>
        <v>-</v>
      </c>
      <c r="CG4" s="65" t="str">
        <f t="shared" ca="1" si="11"/>
        <v>-</v>
      </c>
      <c r="CH4" s="65" t="str">
        <f t="shared" ca="1" si="11"/>
        <v>-</v>
      </c>
      <c r="CI4" s="65" t="str">
        <f t="shared" ca="1" si="11"/>
        <v>-</v>
      </c>
      <c r="CJ4" s="65" t="str">
        <f t="shared" ca="1" si="11"/>
        <v>-</v>
      </c>
      <c r="CK4" s="65" t="str">
        <f t="shared" ca="1" si="11"/>
        <v>-</v>
      </c>
      <c r="CL4" s="65" t="str">
        <f t="shared" ca="1" si="11"/>
        <v>-</v>
      </c>
      <c r="CM4" s="65" t="str">
        <f t="shared" ca="1" si="11"/>
        <v>-</v>
      </c>
      <c r="CN4" s="65" t="str">
        <f t="shared" ca="1" si="12"/>
        <v>-</v>
      </c>
      <c r="CO4" s="65" t="str">
        <f t="shared" ca="1" si="12"/>
        <v>-</v>
      </c>
      <c r="CP4" s="65" t="str">
        <f t="shared" ca="1" si="12"/>
        <v>-</v>
      </c>
      <c r="CQ4" s="65" t="str">
        <f t="shared" ca="1" si="12"/>
        <v>-</v>
      </c>
      <c r="CR4" s="65" t="str">
        <f t="shared" ca="1" si="12"/>
        <v>-</v>
      </c>
      <c r="CS4" s="65" t="str">
        <f t="shared" ca="1" si="12"/>
        <v>-</v>
      </c>
      <c r="CT4" s="65" t="str">
        <f t="shared" ca="1" si="12"/>
        <v>-</v>
      </c>
      <c r="CU4" s="65" t="str">
        <f t="shared" ca="1" si="12"/>
        <v>-</v>
      </c>
      <c r="CV4" s="65" t="str">
        <f t="shared" ca="1" si="12"/>
        <v>-</v>
      </c>
      <c r="CW4" s="65" t="str">
        <f t="shared" ca="1" si="12"/>
        <v>-</v>
      </c>
      <c r="CX4" s="65" t="str">
        <f t="shared" ca="1" si="13"/>
        <v>-</v>
      </c>
      <c r="CY4" s="65" t="str">
        <f t="shared" ca="1" si="13"/>
        <v>-</v>
      </c>
      <c r="CZ4" s="65" t="str">
        <f t="shared" ca="1" si="13"/>
        <v>-</v>
      </c>
      <c r="DA4" s="65" t="str">
        <f t="shared" ca="1" si="13"/>
        <v>-</v>
      </c>
      <c r="DB4" s="65" t="str">
        <f t="shared" ca="1" si="13"/>
        <v>-</v>
      </c>
      <c r="DC4" s="65" t="str">
        <f t="shared" ca="1" si="13"/>
        <v>-</v>
      </c>
      <c r="DD4" s="65" t="str">
        <f t="shared" ca="1" si="13"/>
        <v>-</v>
      </c>
      <c r="DE4" s="65" t="str">
        <f t="shared" ca="1" si="13"/>
        <v>-</v>
      </c>
      <c r="DF4" s="65" t="str">
        <f t="shared" ca="1" si="13"/>
        <v>-</v>
      </c>
      <c r="DG4" s="65" t="str">
        <f t="shared" ca="1" si="13"/>
        <v>-</v>
      </c>
      <c r="DH4" s="65" t="str">
        <f t="shared" ca="1" si="14"/>
        <v>-</v>
      </c>
      <c r="DI4" s="65" t="str">
        <f t="shared" ca="1" si="14"/>
        <v>-</v>
      </c>
      <c r="DJ4" s="65" t="str">
        <f t="shared" ca="1" si="14"/>
        <v>-</v>
      </c>
      <c r="DK4" s="65" t="str">
        <f t="shared" ca="1" si="14"/>
        <v>-</v>
      </c>
      <c r="DL4" s="65" t="str">
        <f t="shared" ca="1" si="14"/>
        <v>-</v>
      </c>
      <c r="DM4" s="65" t="str">
        <f t="shared" ca="1" si="14"/>
        <v>-</v>
      </c>
      <c r="DN4" s="65" t="str">
        <f t="shared" ca="1" si="14"/>
        <v>-</v>
      </c>
      <c r="DO4" s="65" t="str">
        <f t="shared" ca="1" si="14"/>
        <v>-</v>
      </c>
      <c r="DP4" s="65" t="str">
        <f t="shared" ca="1" si="14"/>
        <v>-</v>
      </c>
      <c r="DQ4" s="65" t="str">
        <f t="shared" ca="1" si="14"/>
        <v>-</v>
      </c>
      <c r="DR4" s="65" t="str">
        <f t="shared" ca="1" si="15"/>
        <v>-</v>
      </c>
      <c r="DS4" s="65" t="str">
        <f t="shared" ca="1" si="15"/>
        <v>-</v>
      </c>
      <c r="DT4" s="65" t="str">
        <f t="shared" ca="1" si="15"/>
        <v>-</v>
      </c>
      <c r="DU4" s="65" t="str">
        <f t="shared" ca="1" si="15"/>
        <v>-</v>
      </c>
      <c r="DV4" s="65" t="str">
        <f t="shared" ca="1" si="15"/>
        <v>-</v>
      </c>
      <c r="DW4" s="65" t="str">
        <f t="shared" ca="1" si="15"/>
        <v>-</v>
      </c>
      <c r="DX4" s="65" t="str">
        <f t="shared" ca="1" si="15"/>
        <v>-</v>
      </c>
      <c r="DY4" s="65" t="str">
        <f t="shared" ca="1" si="15"/>
        <v>-</v>
      </c>
      <c r="DZ4" s="65" t="str">
        <f t="shared" ca="1" si="15"/>
        <v>-</v>
      </c>
      <c r="EA4" s="65" t="str">
        <f t="shared" ca="1" si="15"/>
        <v>-</v>
      </c>
      <c r="EB4" s="65" t="str">
        <f t="shared" ca="1" si="16"/>
        <v>-</v>
      </c>
      <c r="EC4" s="65" t="str">
        <f t="shared" ca="1" si="16"/>
        <v>-</v>
      </c>
      <c r="ED4" s="65" t="str">
        <f t="shared" ca="1" si="16"/>
        <v>-</v>
      </c>
      <c r="EE4" s="65" t="str">
        <f t="shared" ca="1" si="16"/>
        <v>-</v>
      </c>
      <c r="EF4" s="65" t="str">
        <f t="shared" ca="1" si="16"/>
        <v>-</v>
      </c>
      <c r="EG4" s="65" t="str">
        <f t="shared" ca="1" si="16"/>
        <v>-</v>
      </c>
      <c r="EH4" s="65" t="str">
        <f t="shared" ca="1" si="16"/>
        <v>-</v>
      </c>
      <c r="EI4" s="65" t="str">
        <f t="shared" ca="1" si="16"/>
        <v>-</v>
      </c>
      <c r="EJ4" s="65" t="str">
        <f t="shared" ca="1" si="16"/>
        <v>-</v>
      </c>
      <c r="EK4" s="65" t="str">
        <f t="shared" ca="1" si="16"/>
        <v>-</v>
      </c>
      <c r="EL4" s="65" t="str">
        <f t="shared" ca="1" si="16"/>
        <v>-</v>
      </c>
      <c r="EM4" s="65" t="str">
        <f t="shared" ca="1" si="16"/>
        <v>-</v>
      </c>
      <c r="EN4" s="65" t="str">
        <f t="shared" ca="1" si="16"/>
        <v>-</v>
      </c>
    </row>
    <row r="5" spans="1:206">
      <c r="A5" s="464"/>
      <c r="B5" s="466"/>
      <c r="C5" s="466"/>
      <c r="D5" s="466"/>
      <c r="E5" s="185" t="s">
        <v>66</v>
      </c>
      <c r="F5" s="66">
        <f>'BESS 11'!S29+'BESS 11'!S33+'BESS 11'!S38+'BESS 11'!S37+'BESS 11'!S32</f>
        <v>0</v>
      </c>
      <c r="G5" s="182">
        <f ca="1">TODAY()</f>
        <v>46233</v>
      </c>
      <c r="H5" s="182">
        <f>MAX('BESS 11'!O29,'BESS 11'!O32,'BESS 11'!O33,'BESS 11'!O37,'BESS 11'!O38,'BESS 11'!O39)</f>
        <v>0</v>
      </c>
      <c r="I5" s="65">
        <f ca="1">H5-G5</f>
        <v>-46233</v>
      </c>
      <c r="J5" s="453"/>
      <c r="K5" s="445"/>
      <c r="L5" s="65" t="str">
        <f t="shared" ca="1" si="4"/>
        <v>-</v>
      </c>
      <c r="M5" s="65" t="str">
        <f t="shared" ca="1" si="4"/>
        <v>-</v>
      </c>
      <c r="N5" s="65" t="str">
        <f t="shared" ca="1" si="4"/>
        <v>-</v>
      </c>
      <c r="O5" s="65" t="str">
        <f t="shared" ca="1" si="4"/>
        <v>-</v>
      </c>
      <c r="P5" s="65" t="str">
        <f t="shared" ca="1" si="4"/>
        <v>-</v>
      </c>
      <c r="Q5" s="65" t="str">
        <f t="shared" ca="1" si="4"/>
        <v>-</v>
      </c>
      <c r="R5" s="65" t="str">
        <f ca="1">IF(AND(R$2&gt;=$G5,R$2&lt;($G5+$I5)),ROUND($F5/$I5,0),"-")</f>
        <v>-</v>
      </c>
      <c r="S5" s="65" t="str">
        <f ca="1">IF(AND(S$2&gt;=$G5,S$2&lt;($G5+$I5)),ROUND($F5/$I5,0),"-")</f>
        <v>-</v>
      </c>
      <c r="T5" s="65" t="str">
        <f ca="1">IF(AND(T$2&gt;=$G5,T$2&lt;($G5+$I5)),ROUND($F5/$I5,0),"-")</f>
        <v>-</v>
      </c>
      <c r="U5" s="65" t="str">
        <f ca="1">IF(AND(U$2&gt;=$G5,U$2&lt;($G5+$I5)),ROUND($F5/$I5,0),"-")</f>
        <v>-</v>
      </c>
      <c r="V5" s="65" t="str">
        <f t="shared" ca="1" si="5"/>
        <v>-</v>
      </c>
      <c r="W5" s="65" t="str">
        <f t="shared" ca="1" si="5"/>
        <v>-</v>
      </c>
      <c r="X5" s="65" t="str">
        <f t="shared" ca="1" si="5"/>
        <v>-</v>
      </c>
      <c r="Y5" s="65" t="str">
        <f t="shared" ca="1" si="5"/>
        <v>-</v>
      </c>
      <c r="Z5" s="65" t="str">
        <f t="shared" ca="1" si="5"/>
        <v>-</v>
      </c>
      <c r="AA5" s="65" t="str">
        <f t="shared" ca="1" si="5"/>
        <v>-</v>
      </c>
      <c r="AB5" s="65" t="str">
        <f t="shared" ca="1" si="5"/>
        <v>-</v>
      </c>
      <c r="AC5" s="65" t="str">
        <f t="shared" ca="1" si="5"/>
        <v>-</v>
      </c>
      <c r="AD5" s="65" t="str">
        <f t="shared" ca="1" si="5"/>
        <v>-</v>
      </c>
      <c r="AE5" s="65" t="str">
        <f t="shared" ca="1" si="5"/>
        <v>-</v>
      </c>
      <c r="AF5" s="65" t="str">
        <f t="shared" ca="1" si="6"/>
        <v>-</v>
      </c>
      <c r="AG5" s="65" t="str">
        <f t="shared" ca="1" si="6"/>
        <v>-</v>
      </c>
      <c r="AH5" s="65" t="str">
        <f t="shared" ca="1" si="6"/>
        <v>-</v>
      </c>
      <c r="AI5" s="65" t="str">
        <f t="shared" ca="1" si="6"/>
        <v>-</v>
      </c>
      <c r="AJ5" s="65" t="str">
        <f t="shared" ca="1" si="6"/>
        <v>-</v>
      </c>
      <c r="AK5" s="65" t="str">
        <f t="shared" ca="1" si="6"/>
        <v>-</v>
      </c>
      <c r="AL5" s="65" t="str">
        <f t="shared" ca="1" si="6"/>
        <v>-</v>
      </c>
      <c r="AM5" s="65" t="str">
        <f t="shared" ca="1" si="6"/>
        <v>-</v>
      </c>
      <c r="AN5" s="65" t="str">
        <f t="shared" ca="1" si="6"/>
        <v>-</v>
      </c>
      <c r="AO5" s="65" t="str">
        <f t="shared" ca="1" si="6"/>
        <v>-</v>
      </c>
      <c r="AP5" s="65" t="str">
        <f t="shared" ca="1" si="7"/>
        <v>-</v>
      </c>
      <c r="AQ5" s="65" t="str">
        <f t="shared" ca="1" si="7"/>
        <v>-</v>
      </c>
      <c r="AR5" s="65" t="str">
        <f t="shared" ca="1" si="7"/>
        <v>-</v>
      </c>
      <c r="AS5" s="65" t="str">
        <f t="shared" ca="1" si="7"/>
        <v>-</v>
      </c>
      <c r="AT5" s="65" t="str">
        <f t="shared" ca="1" si="7"/>
        <v>-</v>
      </c>
      <c r="AU5" s="65" t="str">
        <f t="shared" ca="1" si="7"/>
        <v>-</v>
      </c>
      <c r="AV5" s="65" t="str">
        <f t="shared" ca="1" si="7"/>
        <v>-</v>
      </c>
      <c r="AW5" s="65" t="str">
        <f t="shared" ca="1" si="7"/>
        <v>-</v>
      </c>
      <c r="AX5" s="65" t="str">
        <f t="shared" ca="1" si="7"/>
        <v>-</v>
      </c>
      <c r="AY5" s="65" t="str">
        <f t="shared" ca="1" si="7"/>
        <v>-</v>
      </c>
      <c r="AZ5" s="65" t="str">
        <f t="shared" ca="1" si="8"/>
        <v>-</v>
      </c>
      <c r="BA5" s="65" t="str">
        <f t="shared" ca="1" si="8"/>
        <v>-</v>
      </c>
      <c r="BB5" s="65" t="str">
        <f t="shared" ca="1" si="8"/>
        <v>-</v>
      </c>
      <c r="BC5" s="65" t="str">
        <f t="shared" ca="1" si="8"/>
        <v>-</v>
      </c>
      <c r="BD5" s="65" t="str">
        <f t="shared" ca="1" si="8"/>
        <v>-</v>
      </c>
      <c r="BE5" s="65" t="str">
        <f t="shared" ca="1" si="8"/>
        <v>-</v>
      </c>
      <c r="BF5" s="65" t="str">
        <f t="shared" ca="1" si="8"/>
        <v>-</v>
      </c>
      <c r="BG5" s="65" t="str">
        <f t="shared" ca="1" si="8"/>
        <v>-</v>
      </c>
      <c r="BH5" s="65" t="str">
        <f t="shared" ca="1" si="8"/>
        <v>-</v>
      </c>
      <c r="BI5" s="65" t="str">
        <f t="shared" ca="1" si="8"/>
        <v>-</v>
      </c>
      <c r="BJ5" s="65" t="str">
        <f t="shared" ca="1" si="9"/>
        <v>-</v>
      </c>
      <c r="BK5" s="65" t="str">
        <f t="shared" ca="1" si="9"/>
        <v>-</v>
      </c>
      <c r="BL5" s="65" t="str">
        <f t="shared" ca="1" si="9"/>
        <v>-</v>
      </c>
      <c r="BM5" s="65" t="str">
        <f t="shared" ca="1" si="9"/>
        <v>-</v>
      </c>
      <c r="BN5" s="65" t="str">
        <f t="shared" ca="1" si="9"/>
        <v>-</v>
      </c>
      <c r="BO5" s="65" t="str">
        <f t="shared" ca="1" si="9"/>
        <v>-</v>
      </c>
      <c r="BP5" s="65" t="str">
        <f t="shared" ca="1" si="9"/>
        <v>-</v>
      </c>
      <c r="BQ5" s="65" t="str">
        <f t="shared" ca="1" si="9"/>
        <v>-</v>
      </c>
      <c r="BR5" s="65" t="str">
        <f t="shared" ca="1" si="9"/>
        <v>-</v>
      </c>
      <c r="BS5" s="65" t="str">
        <f t="shared" ca="1" si="9"/>
        <v>-</v>
      </c>
      <c r="BT5" s="65" t="str">
        <f t="shared" ca="1" si="10"/>
        <v>-</v>
      </c>
      <c r="BU5" s="65" t="str">
        <f t="shared" ca="1" si="10"/>
        <v>-</v>
      </c>
      <c r="BV5" s="65" t="str">
        <f t="shared" ca="1" si="10"/>
        <v>-</v>
      </c>
      <c r="BW5" s="65" t="str">
        <f t="shared" ca="1" si="10"/>
        <v>-</v>
      </c>
      <c r="BX5" s="65" t="str">
        <f t="shared" ca="1" si="10"/>
        <v>-</v>
      </c>
      <c r="BY5" s="65" t="str">
        <f t="shared" ca="1" si="10"/>
        <v>-</v>
      </c>
      <c r="BZ5" s="65" t="str">
        <f t="shared" ca="1" si="10"/>
        <v>-</v>
      </c>
      <c r="CA5" s="65" t="str">
        <f t="shared" ca="1" si="10"/>
        <v>-</v>
      </c>
      <c r="CB5" s="65" t="str">
        <f t="shared" ca="1" si="10"/>
        <v>-</v>
      </c>
      <c r="CC5" s="65" t="str">
        <f t="shared" ca="1" si="10"/>
        <v>-</v>
      </c>
      <c r="CD5" s="65" t="str">
        <f t="shared" ca="1" si="11"/>
        <v>-</v>
      </c>
      <c r="CE5" s="65" t="str">
        <f t="shared" ca="1" si="11"/>
        <v>-</v>
      </c>
      <c r="CF5" s="65" t="str">
        <f t="shared" ca="1" si="11"/>
        <v>-</v>
      </c>
      <c r="CG5" s="65" t="str">
        <f t="shared" ca="1" si="11"/>
        <v>-</v>
      </c>
      <c r="CH5" s="65" t="str">
        <f t="shared" ca="1" si="11"/>
        <v>-</v>
      </c>
      <c r="CI5" s="65" t="str">
        <f t="shared" ca="1" si="11"/>
        <v>-</v>
      </c>
      <c r="CJ5" s="65" t="str">
        <f t="shared" ca="1" si="11"/>
        <v>-</v>
      </c>
      <c r="CK5" s="65" t="str">
        <f t="shared" ca="1" si="11"/>
        <v>-</v>
      </c>
      <c r="CL5" s="65" t="str">
        <f t="shared" ca="1" si="11"/>
        <v>-</v>
      </c>
      <c r="CM5" s="65" t="str">
        <f t="shared" ca="1" si="11"/>
        <v>-</v>
      </c>
      <c r="CN5" s="65" t="str">
        <f t="shared" ca="1" si="12"/>
        <v>-</v>
      </c>
      <c r="CO5" s="65" t="str">
        <f t="shared" ca="1" si="12"/>
        <v>-</v>
      </c>
      <c r="CP5" s="65" t="str">
        <f t="shared" ca="1" si="12"/>
        <v>-</v>
      </c>
      <c r="CQ5" s="65" t="str">
        <f t="shared" ca="1" si="12"/>
        <v>-</v>
      </c>
      <c r="CR5" s="65" t="str">
        <f t="shared" ca="1" si="12"/>
        <v>-</v>
      </c>
      <c r="CS5" s="65" t="str">
        <f t="shared" ca="1" si="12"/>
        <v>-</v>
      </c>
      <c r="CT5" s="65" t="str">
        <f t="shared" ca="1" si="12"/>
        <v>-</v>
      </c>
      <c r="CU5" s="65" t="str">
        <f t="shared" ca="1" si="12"/>
        <v>-</v>
      </c>
      <c r="CV5" s="65" t="str">
        <f t="shared" ca="1" si="12"/>
        <v>-</v>
      </c>
      <c r="CW5" s="65" t="str">
        <f t="shared" ca="1" si="12"/>
        <v>-</v>
      </c>
      <c r="CX5" s="65" t="str">
        <f t="shared" ca="1" si="13"/>
        <v>-</v>
      </c>
      <c r="CY5" s="65" t="str">
        <f t="shared" ca="1" si="13"/>
        <v>-</v>
      </c>
      <c r="CZ5" s="65" t="str">
        <f t="shared" ca="1" si="13"/>
        <v>-</v>
      </c>
      <c r="DA5" s="65" t="str">
        <f t="shared" ca="1" si="13"/>
        <v>-</v>
      </c>
      <c r="DB5" s="65" t="str">
        <f t="shared" ca="1" si="13"/>
        <v>-</v>
      </c>
      <c r="DC5" s="65" t="str">
        <f t="shared" ca="1" si="13"/>
        <v>-</v>
      </c>
      <c r="DD5" s="65" t="str">
        <f t="shared" ca="1" si="13"/>
        <v>-</v>
      </c>
      <c r="DE5" s="65" t="str">
        <f t="shared" ca="1" si="13"/>
        <v>-</v>
      </c>
      <c r="DF5" s="65" t="str">
        <f t="shared" ca="1" si="13"/>
        <v>-</v>
      </c>
      <c r="DG5" s="65" t="str">
        <f t="shared" ca="1" si="13"/>
        <v>-</v>
      </c>
      <c r="DH5" s="65" t="str">
        <f t="shared" ca="1" si="14"/>
        <v>-</v>
      </c>
      <c r="DI5" s="65" t="str">
        <f t="shared" ca="1" si="14"/>
        <v>-</v>
      </c>
      <c r="DJ5" s="65" t="str">
        <f t="shared" ca="1" si="14"/>
        <v>-</v>
      </c>
      <c r="DK5" s="65" t="str">
        <f t="shared" ca="1" si="14"/>
        <v>-</v>
      </c>
      <c r="DL5" s="65" t="str">
        <f t="shared" ca="1" si="14"/>
        <v>-</v>
      </c>
      <c r="DM5" s="65" t="str">
        <f t="shared" ca="1" si="14"/>
        <v>-</v>
      </c>
      <c r="DN5" s="65" t="str">
        <f t="shared" ca="1" si="14"/>
        <v>-</v>
      </c>
      <c r="DO5" s="65" t="str">
        <f t="shared" ca="1" si="14"/>
        <v>-</v>
      </c>
      <c r="DP5" s="65" t="str">
        <f t="shared" ca="1" si="14"/>
        <v>-</v>
      </c>
      <c r="DQ5" s="65" t="str">
        <f t="shared" ca="1" si="14"/>
        <v>-</v>
      </c>
      <c r="DR5" s="65" t="str">
        <f t="shared" ca="1" si="15"/>
        <v>-</v>
      </c>
      <c r="DS5" s="65" t="str">
        <f t="shared" ca="1" si="15"/>
        <v>-</v>
      </c>
      <c r="DT5" s="65" t="str">
        <f t="shared" ca="1" si="15"/>
        <v>-</v>
      </c>
      <c r="DU5" s="65" t="str">
        <f t="shared" ca="1" si="15"/>
        <v>-</v>
      </c>
      <c r="DV5" s="65" t="str">
        <f t="shared" ca="1" si="15"/>
        <v>-</v>
      </c>
      <c r="DW5" s="65" t="str">
        <f t="shared" ca="1" si="15"/>
        <v>-</v>
      </c>
      <c r="DX5" s="65" t="str">
        <f t="shared" ca="1" si="15"/>
        <v>-</v>
      </c>
      <c r="DY5" s="65" t="str">
        <f t="shared" ca="1" si="15"/>
        <v>-</v>
      </c>
      <c r="DZ5" s="65" t="str">
        <f t="shared" ca="1" si="15"/>
        <v>-</v>
      </c>
      <c r="EA5" s="65" t="str">
        <f t="shared" ca="1" si="15"/>
        <v>-</v>
      </c>
      <c r="EB5" s="65" t="str">
        <f t="shared" ca="1" si="16"/>
        <v>-</v>
      </c>
      <c r="EC5" s="65" t="str">
        <f t="shared" ca="1" si="16"/>
        <v>-</v>
      </c>
      <c r="ED5" s="65" t="str">
        <f t="shared" ca="1" si="16"/>
        <v>-</v>
      </c>
      <c r="EE5" s="65" t="str">
        <f t="shared" ca="1" si="16"/>
        <v>-</v>
      </c>
      <c r="EF5" s="65" t="str">
        <f t="shared" ca="1" si="16"/>
        <v>-</v>
      </c>
      <c r="EG5" s="65" t="str">
        <f t="shared" ca="1" si="16"/>
        <v>-</v>
      </c>
      <c r="EH5" s="65" t="str">
        <f t="shared" ca="1" si="16"/>
        <v>-</v>
      </c>
      <c r="EI5" s="65" t="str">
        <f t="shared" ca="1" si="16"/>
        <v>-</v>
      </c>
      <c r="EJ5" s="65" t="str">
        <f t="shared" ca="1" si="16"/>
        <v>-</v>
      </c>
      <c r="EK5" s="65" t="str">
        <f t="shared" ca="1" si="16"/>
        <v>-</v>
      </c>
      <c r="EL5" s="65" t="str">
        <f t="shared" ca="1" si="16"/>
        <v>-</v>
      </c>
      <c r="EM5" s="65" t="str">
        <f t="shared" ca="1" si="16"/>
        <v>-</v>
      </c>
      <c r="EN5" s="65" t="str">
        <f t="shared" ca="1" si="16"/>
        <v>-</v>
      </c>
    </row>
    <row r="6" spans="1:206">
      <c r="A6" s="464"/>
      <c r="B6" s="466"/>
      <c r="C6" s="466"/>
      <c r="D6" s="466"/>
      <c r="E6" s="185" t="s">
        <v>67</v>
      </c>
      <c r="F6" s="66">
        <f>SUM('BESS 11'!S40:S49)</f>
        <v>4.0000000000145518E-3</v>
      </c>
      <c r="G6" s="182">
        <f>H6-14</f>
        <v>-14</v>
      </c>
      <c r="H6" s="182">
        <f>MAX('BESS 11'!O40:O49)</f>
        <v>0</v>
      </c>
      <c r="I6" s="65">
        <f>H6-G6</f>
        <v>14</v>
      </c>
      <c r="J6" s="453"/>
      <c r="K6" s="445"/>
      <c r="L6" s="65" t="str">
        <f t="shared" si="4"/>
        <v>-</v>
      </c>
      <c r="M6" s="65" t="str">
        <f t="shared" si="4"/>
        <v>-</v>
      </c>
      <c r="N6" s="65" t="str">
        <f t="shared" si="4"/>
        <v>-</v>
      </c>
      <c r="O6" s="65" t="str">
        <f t="shared" si="4"/>
        <v>-</v>
      </c>
      <c r="P6" s="65" t="str">
        <f t="shared" si="4"/>
        <v>-</v>
      </c>
      <c r="Q6" s="65" t="str">
        <f t="shared" si="4"/>
        <v>-</v>
      </c>
      <c r="R6" s="65" t="str">
        <f t="shared" si="4"/>
        <v>-</v>
      </c>
      <c r="S6" s="65" t="str">
        <f t="shared" si="4"/>
        <v>-</v>
      </c>
      <c r="T6" s="65" t="str">
        <f t="shared" si="4"/>
        <v>-</v>
      </c>
      <c r="U6" s="65" t="str">
        <f t="shared" si="4"/>
        <v>-</v>
      </c>
      <c r="V6" s="65" t="str">
        <f t="shared" si="5"/>
        <v>-</v>
      </c>
      <c r="W6" s="65" t="str">
        <f t="shared" si="5"/>
        <v>-</v>
      </c>
      <c r="X6" s="65" t="str">
        <f t="shared" si="5"/>
        <v>-</v>
      </c>
      <c r="Y6" s="65" t="str">
        <f t="shared" si="5"/>
        <v>-</v>
      </c>
      <c r="Z6" s="65" t="str">
        <f t="shared" si="5"/>
        <v>-</v>
      </c>
      <c r="AA6" s="65" t="str">
        <f t="shared" si="5"/>
        <v>-</v>
      </c>
      <c r="AB6" s="65" t="str">
        <f t="shared" si="5"/>
        <v>-</v>
      </c>
      <c r="AC6" s="65" t="str">
        <f t="shared" si="5"/>
        <v>-</v>
      </c>
      <c r="AD6" s="65" t="str">
        <f t="shared" si="5"/>
        <v>-</v>
      </c>
      <c r="AE6" s="65" t="str">
        <f t="shared" si="5"/>
        <v>-</v>
      </c>
      <c r="AF6" s="65" t="str">
        <f t="shared" si="6"/>
        <v>-</v>
      </c>
      <c r="AG6" s="65" t="str">
        <f t="shared" si="6"/>
        <v>-</v>
      </c>
      <c r="AH6" s="65" t="str">
        <f t="shared" si="6"/>
        <v>-</v>
      </c>
      <c r="AI6" s="65" t="str">
        <f t="shared" si="6"/>
        <v>-</v>
      </c>
      <c r="AJ6" s="65" t="str">
        <f t="shared" si="6"/>
        <v>-</v>
      </c>
      <c r="AK6" s="65" t="str">
        <f t="shared" si="6"/>
        <v>-</v>
      </c>
      <c r="AL6" s="65" t="str">
        <f t="shared" si="6"/>
        <v>-</v>
      </c>
      <c r="AM6" s="65" t="str">
        <f t="shared" si="6"/>
        <v>-</v>
      </c>
      <c r="AN6" s="65" t="str">
        <f t="shared" si="6"/>
        <v>-</v>
      </c>
      <c r="AO6" s="65" t="str">
        <f t="shared" si="6"/>
        <v>-</v>
      </c>
      <c r="AP6" s="65" t="str">
        <f t="shared" si="7"/>
        <v>-</v>
      </c>
      <c r="AQ6" s="65" t="str">
        <f t="shared" si="7"/>
        <v>-</v>
      </c>
      <c r="AR6" s="65" t="str">
        <f t="shared" si="7"/>
        <v>-</v>
      </c>
      <c r="AS6" s="65" t="str">
        <f t="shared" si="7"/>
        <v>-</v>
      </c>
      <c r="AT6" s="65" t="str">
        <f t="shared" si="7"/>
        <v>-</v>
      </c>
      <c r="AU6" s="65" t="str">
        <f t="shared" si="7"/>
        <v>-</v>
      </c>
      <c r="AV6" s="65" t="str">
        <f t="shared" si="7"/>
        <v>-</v>
      </c>
      <c r="AW6" s="65" t="str">
        <f t="shared" si="7"/>
        <v>-</v>
      </c>
      <c r="AX6" s="65" t="str">
        <f t="shared" si="7"/>
        <v>-</v>
      </c>
      <c r="AY6" s="65" t="str">
        <f t="shared" si="7"/>
        <v>-</v>
      </c>
      <c r="AZ6" s="65" t="str">
        <f t="shared" si="8"/>
        <v>-</v>
      </c>
      <c r="BA6" s="65" t="str">
        <f t="shared" si="8"/>
        <v>-</v>
      </c>
      <c r="BB6" s="65" t="str">
        <f t="shared" si="8"/>
        <v>-</v>
      </c>
      <c r="BC6" s="65" t="str">
        <f t="shared" si="8"/>
        <v>-</v>
      </c>
      <c r="BD6" s="65" t="str">
        <f t="shared" si="8"/>
        <v>-</v>
      </c>
      <c r="BE6" s="65" t="str">
        <f t="shared" si="8"/>
        <v>-</v>
      </c>
      <c r="BF6" s="65" t="str">
        <f t="shared" si="8"/>
        <v>-</v>
      </c>
      <c r="BG6" s="65" t="str">
        <f t="shared" si="8"/>
        <v>-</v>
      </c>
      <c r="BH6" s="65" t="str">
        <f t="shared" si="8"/>
        <v>-</v>
      </c>
      <c r="BI6" s="65" t="str">
        <f t="shared" si="8"/>
        <v>-</v>
      </c>
      <c r="BJ6" s="65" t="str">
        <f t="shared" si="9"/>
        <v>-</v>
      </c>
      <c r="BK6" s="65" t="str">
        <f t="shared" si="9"/>
        <v>-</v>
      </c>
      <c r="BL6" s="65" t="str">
        <f t="shared" si="9"/>
        <v>-</v>
      </c>
      <c r="BM6" s="65" t="str">
        <f t="shared" si="9"/>
        <v>-</v>
      </c>
      <c r="BN6" s="65" t="str">
        <f t="shared" si="9"/>
        <v>-</v>
      </c>
      <c r="BO6" s="65" t="str">
        <f t="shared" si="9"/>
        <v>-</v>
      </c>
      <c r="BP6" s="65" t="str">
        <f t="shared" si="9"/>
        <v>-</v>
      </c>
      <c r="BQ6" s="65" t="str">
        <f t="shared" si="9"/>
        <v>-</v>
      </c>
      <c r="BR6" s="65" t="str">
        <f t="shared" si="9"/>
        <v>-</v>
      </c>
      <c r="BS6" s="65" t="str">
        <f t="shared" si="9"/>
        <v>-</v>
      </c>
      <c r="BT6" s="65" t="str">
        <f t="shared" si="10"/>
        <v>-</v>
      </c>
      <c r="BU6" s="65" t="str">
        <f t="shared" si="10"/>
        <v>-</v>
      </c>
      <c r="BV6" s="65" t="str">
        <f t="shared" si="10"/>
        <v>-</v>
      </c>
      <c r="BW6" s="65" t="str">
        <f t="shared" si="10"/>
        <v>-</v>
      </c>
      <c r="BX6" s="65" t="str">
        <f t="shared" si="10"/>
        <v>-</v>
      </c>
      <c r="BY6" s="65" t="str">
        <f t="shared" si="10"/>
        <v>-</v>
      </c>
      <c r="BZ6" s="65" t="str">
        <f t="shared" si="10"/>
        <v>-</v>
      </c>
      <c r="CA6" s="65" t="str">
        <f t="shared" si="10"/>
        <v>-</v>
      </c>
      <c r="CB6" s="65" t="str">
        <f t="shared" si="10"/>
        <v>-</v>
      </c>
      <c r="CC6" s="65" t="str">
        <f t="shared" si="10"/>
        <v>-</v>
      </c>
      <c r="CD6" s="65" t="str">
        <f t="shared" si="11"/>
        <v>-</v>
      </c>
      <c r="CE6" s="65" t="str">
        <f t="shared" si="11"/>
        <v>-</v>
      </c>
      <c r="CF6" s="65" t="str">
        <f t="shared" si="11"/>
        <v>-</v>
      </c>
      <c r="CG6" s="65" t="str">
        <f t="shared" si="11"/>
        <v>-</v>
      </c>
      <c r="CH6" s="65" t="str">
        <f t="shared" si="11"/>
        <v>-</v>
      </c>
      <c r="CI6" s="65" t="str">
        <f t="shared" si="11"/>
        <v>-</v>
      </c>
      <c r="CJ6" s="65" t="str">
        <f t="shared" si="11"/>
        <v>-</v>
      </c>
      <c r="CK6" s="65" t="str">
        <f t="shared" si="11"/>
        <v>-</v>
      </c>
      <c r="CL6" s="65" t="str">
        <f t="shared" si="11"/>
        <v>-</v>
      </c>
      <c r="CM6" s="65" t="str">
        <f t="shared" si="11"/>
        <v>-</v>
      </c>
      <c r="CN6" s="65" t="str">
        <f t="shared" si="12"/>
        <v>-</v>
      </c>
      <c r="CO6" s="65" t="str">
        <f t="shared" si="12"/>
        <v>-</v>
      </c>
      <c r="CP6" s="65" t="str">
        <f t="shared" si="12"/>
        <v>-</v>
      </c>
      <c r="CQ6" s="65" t="str">
        <f t="shared" si="12"/>
        <v>-</v>
      </c>
      <c r="CR6" s="65" t="str">
        <f t="shared" si="12"/>
        <v>-</v>
      </c>
      <c r="CS6" s="65" t="str">
        <f t="shared" si="12"/>
        <v>-</v>
      </c>
      <c r="CT6" s="65" t="str">
        <f t="shared" si="12"/>
        <v>-</v>
      </c>
      <c r="CU6" s="65" t="str">
        <f t="shared" si="12"/>
        <v>-</v>
      </c>
      <c r="CV6" s="65" t="str">
        <f t="shared" si="12"/>
        <v>-</v>
      </c>
      <c r="CW6" s="65" t="str">
        <f t="shared" si="12"/>
        <v>-</v>
      </c>
      <c r="CX6" s="65" t="str">
        <f t="shared" si="13"/>
        <v>-</v>
      </c>
      <c r="CY6" s="65" t="str">
        <f t="shared" si="13"/>
        <v>-</v>
      </c>
      <c r="CZ6" s="65" t="str">
        <f t="shared" si="13"/>
        <v>-</v>
      </c>
      <c r="DA6" s="65" t="str">
        <f t="shared" si="13"/>
        <v>-</v>
      </c>
      <c r="DB6" s="65" t="str">
        <f t="shared" si="13"/>
        <v>-</v>
      </c>
      <c r="DC6" s="65" t="str">
        <f t="shared" si="13"/>
        <v>-</v>
      </c>
      <c r="DD6" s="65" t="str">
        <f t="shared" si="13"/>
        <v>-</v>
      </c>
      <c r="DE6" s="65" t="str">
        <f t="shared" si="13"/>
        <v>-</v>
      </c>
      <c r="DF6" s="65" t="str">
        <f t="shared" si="13"/>
        <v>-</v>
      </c>
      <c r="DG6" s="65" t="str">
        <f t="shared" si="13"/>
        <v>-</v>
      </c>
      <c r="DH6" s="65" t="str">
        <f t="shared" si="14"/>
        <v>-</v>
      </c>
      <c r="DI6" s="65" t="str">
        <f t="shared" si="14"/>
        <v>-</v>
      </c>
      <c r="DJ6" s="65" t="str">
        <f t="shared" si="14"/>
        <v>-</v>
      </c>
      <c r="DK6" s="65" t="str">
        <f t="shared" si="14"/>
        <v>-</v>
      </c>
      <c r="DL6" s="65" t="str">
        <f t="shared" si="14"/>
        <v>-</v>
      </c>
      <c r="DM6" s="65" t="str">
        <f t="shared" si="14"/>
        <v>-</v>
      </c>
      <c r="DN6" s="65" t="str">
        <f t="shared" si="14"/>
        <v>-</v>
      </c>
      <c r="DO6" s="65" t="str">
        <f t="shared" si="14"/>
        <v>-</v>
      </c>
      <c r="DP6" s="65" t="str">
        <f t="shared" si="14"/>
        <v>-</v>
      </c>
      <c r="DQ6" s="65" t="str">
        <f t="shared" si="14"/>
        <v>-</v>
      </c>
      <c r="DR6" s="65" t="str">
        <f t="shared" si="15"/>
        <v>-</v>
      </c>
      <c r="DS6" s="65" t="str">
        <f t="shared" si="15"/>
        <v>-</v>
      </c>
      <c r="DT6" s="65" t="str">
        <f t="shared" si="15"/>
        <v>-</v>
      </c>
      <c r="DU6" s="65" t="str">
        <f t="shared" si="15"/>
        <v>-</v>
      </c>
      <c r="DV6" s="65" t="str">
        <f t="shared" si="15"/>
        <v>-</v>
      </c>
      <c r="DW6" s="65" t="str">
        <f t="shared" si="15"/>
        <v>-</v>
      </c>
      <c r="DX6" s="65" t="str">
        <f t="shared" si="15"/>
        <v>-</v>
      </c>
      <c r="DY6" s="65" t="str">
        <f t="shared" si="15"/>
        <v>-</v>
      </c>
      <c r="DZ6" s="65" t="str">
        <f t="shared" si="15"/>
        <v>-</v>
      </c>
      <c r="EA6" s="65" t="str">
        <f t="shared" si="15"/>
        <v>-</v>
      </c>
      <c r="EB6" s="65" t="str">
        <f t="shared" si="16"/>
        <v>-</v>
      </c>
      <c r="EC6" s="65" t="str">
        <f t="shared" si="16"/>
        <v>-</v>
      </c>
      <c r="ED6" s="65" t="str">
        <f t="shared" si="16"/>
        <v>-</v>
      </c>
      <c r="EE6" s="65" t="str">
        <f t="shared" si="16"/>
        <v>-</v>
      </c>
      <c r="EF6" s="65" t="str">
        <f t="shared" si="16"/>
        <v>-</v>
      </c>
      <c r="EG6" s="65" t="str">
        <f t="shared" si="16"/>
        <v>-</v>
      </c>
      <c r="EH6" s="65" t="str">
        <f t="shared" si="16"/>
        <v>-</v>
      </c>
      <c r="EI6" s="65" t="str">
        <f t="shared" si="16"/>
        <v>-</v>
      </c>
      <c r="EJ6" s="65" t="str">
        <f t="shared" si="16"/>
        <v>-</v>
      </c>
      <c r="EK6" s="65" t="str">
        <f t="shared" si="16"/>
        <v>-</v>
      </c>
      <c r="EL6" s="65" t="str">
        <f t="shared" si="16"/>
        <v>-</v>
      </c>
      <c r="EM6" s="65" t="str">
        <f t="shared" si="16"/>
        <v>-</v>
      </c>
      <c r="EN6" s="65" t="str">
        <f t="shared" si="16"/>
        <v>-</v>
      </c>
    </row>
    <row r="7" spans="1:206">
      <c r="A7" s="464"/>
      <c r="B7" s="466"/>
      <c r="C7" s="466"/>
      <c r="D7" s="466"/>
      <c r="E7" s="185" t="s">
        <v>68</v>
      </c>
      <c r="F7" s="65">
        <v>250</v>
      </c>
      <c r="G7" s="185"/>
      <c r="H7" s="182" t="e">
        <f>B3-3</f>
        <v>#VALUE!</v>
      </c>
      <c r="I7" s="65">
        <v>30</v>
      </c>
      <c r="J7" s="454"/>
      <c r="K7" s="446"/>
      <c r="L7" s="65"/>
      <c r="M7" s="65"/>
      <c r="N7" s="65"/>
      <c r="O7" s="66"/>
      <c r="P7" s="66">
        <v>5</v>
      </c>
      <c r="Q7" s="66">
        <v>5</v>
      </c>
      <c r="R7" s="66">
        <v>5</v>
      </c>
      <c r="S7" s="66">
        <v>5</v>
      </c>
      <c r="T7" s="66">
        <v>5</v>
      </c>
      <c r="U7" s="66">
        <v>5</v>
      </c>
      <c r="V7" s="66">
        <v>5</v>
      </c>
      <c r="W7" s="66">
        <v>5</v>
      </c>
      <c r="X7" s="66">
        <v>5</v>
      </c>
      <c r="Y7" s="66">
        <v>5</v>
      </c>
      <c r="Z7" s="66">
        <v>5</v>
      </c>
      <c r="AA7" s="66">
        <v>5</v>
      </c>
      <c r="AB7" s="66">
        <v>5</v>
      </c>
      <c r="AC7" s="66">
        <v>5</v>
      </c>
      <c r="AD7" s="66">
        <v>5</v>
      </c>
      <c r="AE7" s="66">
        <v>5</v>
      </c>
      <c r="AF7" s="66">
        <v>5</v>
      </c>
      <c r="AG7" s="66">
        <v>5</v>
      </c>
      <c r="AH7" s="66">
        <v>5</v>
      </c>
      <c r="AI7" s="66">
        <v>5</v>
      </c>
      <c r="AJ7" s="66">
        <v>5</v>
      </c>
      <c r="AK7" s="66">
        <v>5</v>
      </c>
      <c r="AL7" s="66">
        <v>5</v>
      </c>
      <c r="AM7" s="66">
        <v>5</v>
      </c>
      <c r="AN7" s="66">
        <v>30</v>
      </c>
      <c r="AO7" s="66">
        <v>30</v>
      </c>
      <c r="AP7" s="66">
        <v>30</v>
      </c>
      <c r="AQ7" s="66">
        <v>30</v>
      </c>
      <c r="AR7" s="66">
        <v>5</v>
      </c>
      <c r="AS7" s="66">
        <v>5</v>
      </c>
      <c r="AT7" s="66"/>
      <c r="AU7" s="66"/>
      <c r="AV7" s="66"/>
      <c r="AW7" s="66"/>
      <c r="AX7" s="66"/>
      <c r="AY7" s="66"/>
      <c r="AZ7" s="66"/>
      <c r="BA7" s="200"/>
      <c r="BB7" s="200"/>
      <c r="BC7" s="185"/>
      <c r="BD7" s="185"/>
      <c r="BE7" s="185"/>
      <c r="BF7" s="185"/>
      <c r="BG7" s="185"/>
      <c r="BH7" s="185"/>
      <c r="BI7" s="185"/>
      <c r="BJ7" s="185"/>
      <c r="BK7" s="185"/>
      <c r="BL7" s="185"/>
      <c r="BM7" s="185"/>
      <c r="BN7" s="185"/>
      <c r="BO7" s="185"/>
      <c r="BP7" s="185"/>
      <c r="BQ7" s="185"/>
      <c r="BR7" s="185"/>
      <c r="BS7" s="185"/>
      <c r="BT7" s="185"/>
      <c r="BU7" s="185"/>
      <c r="BV7" s="185"/>
      <c r="BW7" s="185"/>
      <c r="BX7" s="185"/>
      <c r="BY7" s="185"/>
      <c r="BZ7" s="185"/>
      <c r="CA7" s="185"/>
      <c r="CB7" s="185"/>
      <c r="CC7" s="185"/>
      <c r="CD7" s="185"/>
      <c r="CE7" s="185"/>
      <c r="CF7" s="185"/>
      <c r="CG7" s="185"/>
      <c r="CH7" s="185"/>
      <c r="CI7" s="185"/>
      <c r="CJ7" s="185"/>
      <c r="CK7" s="185"/>
      <c r="CL7" s="185"/>
      <c r="CM7" s="185"/>
      <c r="CN7" s="185"/>
      <c r="CO7" s="185"/>
      <c r="CP7" s="185"/>
      <c r="CQ7" s="185"/>
      <c r="CR7" s="185"/>
      <c r="CS7" s="185"/>
      <c r="CT7" s="185"/>
      <c r="CU7" s="185"/>
      <c r="CV7" s="185"/>
      <c r="CW7" s="185"/>
      <c r="CX7" s="185"/>
      <c r="CY7" s="185"/>
      <c r="CZ7" s="185"/>
      <c r="DA7" s="185"/>
      <c r="DB7" s="185"/>
      <c r="DC7" s="185"/>
      <c r="DD7" s="185"/>
      <c r="DE7" s="185"/>
      <c r="DF7" s="185"/>
      <c r="DG7" s="185"/>
      <c r="DH7" s="185"/>
      <c r="DI7" s="185"/>
      <c r="DJ7" s="185"/>
      <c r="DK7" s="185"/>
      <c r="DL7" s="185"/>
      <c r="DM7" s="185"/>
      <c r="DN7" s="185"/>
      <c r="DO7" s="185"/>
      <c r="DP7" s="185"/>
      <c r="DQ7" s="185"/>
      <c r="DR7" s="185"/>
      <c r="DS7" s="185"/>
      <c r="DT7" s="185"/>
      <c r="DU7" s="185"/>
      <c r="DV7" s="185"/>
      <c r="DW7" s="185"/>
      <c r="DX7" s="185"/>
      <c r="DY7" s="185"/>
      <c r="DZ7" s="185"/>
      <c r="EA7" s="185"/>
      <c r="EB7" s="185"/>
      <c r="EC7" s="185"/>
      <c r="ED7" s="185"/>
      <c r="EE7" s="185"/>
      <c r="EF7" s="185"/>
      <c r="EG7" s="185"/>
      <c r="EH7" s="185"/>
      <c r="EI7" s="185"/>
      <c r="EJ7" s="185"/>
      <c r="EK7" s="185"/>
      <c r="EL7" s="185"/>
      <c r="EM7" s="185"/>
      <c r="EN7" s="185"/>
    </row>
    <row r="8" spans="1:206" s="207" customFormat="1">
      <c r="A8" s="235"/>
      <c r="B8" s="202"/>
      <c r="C8" s="202"/>
      <c r="D8" s="201"/>
      <c r="E8" s="201"/>
      <c r="F8" s="201"/>
      <c r="G8" s="204" t="s">
        <v>69</v>
      </c>
      <c r="H8" s="203"/>
      <c r="I8" s="203"/>
      <c r="J8" s="230"/>
      <c r="K8" s="230"/>
      <c r="L8" s="205">
        <f ca="1">SUM(L3:L7)</f>
        <v>0</v>
      </c>
      <c r="M8" s="205">
        <f ca="1">SUM(M3:M7)</f>
        <v>0</v>
      </c>
      <c r="N8" s="205">
        <f ca="1">SUM(N3:N7)</f>
        <v>0</v>
      </c>
      <c r="O8" s="205">
        <f t="shared" ref="O8:AZ8" ca="1" si="17">SUM(O3:O7)</f>
        <v>0</v>
      </c>
      <c r="P8" s="205">
        <f t="shared" ca="1" si="17"/>
        <v>5</v>
      </c>
      <c r="Q8" s="205">
        <f t="shared" ca="1" si="17"/>
        <v>5</v>
      </c>
      <c r="R8" s="205">
        <f t="shared" ca="1" si="17"/>
        <v>6</v>
      </c>
      <c r="S8" s="205">
        <f t="shared" ca="1" si="17"/>
        <v>6</v>
      </c>
      <c r="T8" s="205">
        <f t="shared" ca="1" si="17"/>
        <v>6</v>
      </c>
      <c r="U8" s="205">
        <f t="shared" ca="1" si="17"/>
        <v>6</v>
      </c>
      <c r="V8" s="205">
        <f t="shared" ca="1" si="17"/>
        <v>5</v>
      </c>
      <c r="W8" s="205">
        <f t="shared" ca="1" si="17"/>
        <v>5</v>
      </c>
      <c r="X8" s="205">
        <f t="shared" ca="1" si="17"/>
        <v>5</v>
      </c>
      <c r="Y8" s="205">
        <f t="shared" ca="1" si="17"/>
        <v>5</v>
      </c>
      <c r="Z8" s="205">
        <f t="shared" ca="1" si="17"/>
        <v>5</v>
      </c>
      <c r="AA8" s="205">
        <f t="shared" ca="1" si="17"/>
        <v>5</v>
      </c>
      <c r="AB8" s="205">
        <f t="shared" ca="1" si="17"/>
        <v>5</v>
      </c>
      <c r="AC8" s="205">
        <f t="shared" ca="1" si="17"/>
        <v>5</v>
      </c>
      <c r="AD8" s="205">
        <f t="shared" ca="1" si="17"/>
        <v>5</v>
      </c>
      <c r="AE8" s="205">
        <f t="shared" ca="1" si="17"/>
        <v>5</v>
      </c>
      <c r="AF8" s="205">
        <f t="shared" ca="1" si="17"/>
        <v>5</v>
      </c>
      <c r="AG8" s="205">
        <f t="shared" ca="1" si="17"/>
        <v>5</v>
      </c>
      <c r="AH8" s="205">
        <f t="shared" ca="1" si="17"/>
        <v>5</v>
      </c>
      <c r="AI8" s="205">
        <f t="shared" ca="1" si="17"/>
        <v>5</v>
      </c>
      <c r="AJ8" s="205">
        <f t="shared" ca="1" si="17"/>
        <v>5</v>
      </c>
      <c r="AK8" s="205">
        <f t="shared" ca="1" si="17"/>
        <v>5</v>
      </c>
      <c r="AL8" s="205">
        <f t="shared" ca="1" si="17"/>
        <v>5</v>
      </c>
      <c r="AM8" s="205">
        <f t="shared" ca="1" si="17"/>
        <v>5</v>
      </c>
      <c r="AN8" s="205">
        <f t="shared" ca="1" si="17"/>
        <v>30</v>
      </c>
      <c r="AO8" s="205">
        <f t="shared" ca="1" si="17"/>
        <v>30</v>
      </c>
      <c r="AP8" s="205">
        <f t="shared" ca="1" si="17"/>
        <v>30</v>
      </c>
      <c r="AQ8" s="205">
        <f t="shared" ca="1" si="17"/>
        <v>30</v>
      </c>
      <c r="AR8" s="205">
        <f t="shared" ca="1" si="17"/>
        <v>5</v>
      </c>
      <c r="AS8" s="205">
        <f t="shared" ca="1" si="17"/>
        <v>5</v>
      </c>
      <c r="AT8" s="205">
        <f t="shared" ca="1" si="17"/>
        <v>0</v>
      </c>
      <c r="AU8" s="205">
        <f t="shared" ca="1" si="17"/>
        <v>0</v>
      </c>
      <c r="AV8" s="205">
        <f t="shared" ca="1" si="17"/>
        <v>0</v>
      </c>
      <c r="AW8" s="205">
        <f t="shared" ca="1" si="17"/>
        <v>0</v>
      </c>
      <c r="AX8" s="205">
        <f t="shared" ca="1" si="17"/>
        <v>0</v>
      </c>
      <c r="AY8" s="205">
        <f t="shared" ca="1" si="17"/>
        <v>0</v>
      </c>
      <c r="AZ8" s="205">
        <f t="shared" ca="1" si="17"/>
        <v>0</v>
      </c>
      <c r="BA8" s="205">
        <f t="shared" ref="BA8:CF8" ca="1" si="18">SUM(BA3:BA7)</f>
        <v>0</v>
      </c>
      <c r="BB8" s="205">
        <f t="shared" ca="1" si="18"/>
        <v>0</v>
      </c>
      <c r="BC8" s="205">
        <f t="shared" ca="1" si="18"/>
        <v>0</v>
      </c>
      <c r="BD8" s="205">
        <f t="shared" ca="1" si="18"/>
        <v>0</v>
      </c>
      <c r="BE8" s="205">
        <f t="shared" ca="1" si="18"/>
        <v>0</v>
      </c>
      <c r="BF8" s="205">
        <f t="shared" ca="1" si="18"/>
        <v>0</v>
      </c>
      <c r="BG8" s="205">
        <f t="shared" ca="1" si="18"/>
        <v>0</v>
      </c>
      <c r="BH8" s="205">
        <f t="shared" ca="1" si="18"/>
        <v>0</v>
      </c>
      <c r="BI8" s="205">
        <f t="shared" ca="1" si="18"/>
        <v>0</v>
      </c>
      <c r="BJ8" s="205">
        <f t="shared" ca="1" si="18"/>
        <v>0</v>
      </c>
      <c r="BK8" s="205">
        <f t="shared" ca="1" si="18"/>
        <v>0</v>
      </c>
      <c r="BL8" s="205">
        <f t="shared" ca="1" si="18"/>
        <v>0</v>
      </c>
      <c r="BM8" s="205">
        <f t="shared" ca="1" si="18"/>
        <v>0</v>
      </c>
      <c r="BN8" s="205">
        <f t="shared" ca="1" si="18"/>
        <v>0</v>
      </c>
      <c r="BO8" s="205">
        <f t="shared" ca="1" si="18"/>
        <v>0</v>
      </c>
      <c r="BP8" s="205">
        <f t="shared" ca="1" si="18"/>
        <v>0</v>
      </c>
      <c r="BQ8" s="205">
        <f t="shared" ca="1" si="18"/>
        <v>0</v>
      </c>
      <c r="BR8" s="205">
        <f t="shared" ca="1" si="18"/>
        <v>0</v>
      </c>
      <c r="BS8" s="205">
        <f t="shared" ca="1" si="18"/>
        <v>0</v>
      </c>
      <c r="BT8" s="205">
        <f t="shared" ca="1" si="18"/>
        <v>0</v>
      </c>
      <c r="BU8" s="205">
        <f t="shared" ca="1" si="18"/>
        <v>0</v>
      </c>
      <c r="BV8" s="205">
        <f t="shared" ca="1" si="18"/>
        <v>0</v>
      </c>
      <c r="BW8" s="205">
        <f t="shared" ca="1" si="18"/>
        <v>0</v>
      </c>
      <c r="BX8" s="205">
        <f t="shared" ca="1" si="18"/>
        <v>0</v>
      </c>
      <c r="BY8" s="205">
        <f t="shared" ca="1" si="18"/>
        <v>0</v>
      </c>
      <c r="BZ8" s="205">
        <f t="shared" ca="1" si="18"/>
        <v>0</v>
      </c>
      <c r="CA8" s="205">
        <f t="shared" ca="1" si="18"/>
        <v>0</v>
      </c>
      <c r="CB8" s="205">
        <f t="shared" ca="1" si="18"/>
        <v>0</v>
      </c>
      <c r="CC8" s="205">
        <f t="shared" ca="1" si="18"/>
        <v>0</v>
      </c>
      <c r="CD8" s="205">
        <f t="shared" ca="1" si="18"/>
        <v>0</v>
      </c>
      <c r="CE8" s="205">
        <f t="shared" ca="1" si="18"/>
        <v>0</v>
      </c>
      <c r="CF8" s="205">
        <f t="shared" ca="1" si="18"/>
        <v>0</v>
      </c>
      <c r="CG8" s="205">
        <f t="shared" ref="CG8:DL8" ca="1" si="19">SUM(CG3:CG7)</f>
        <v>0</v>
      </c>
      <c r="CH8" s="205">
        <f t="shared" ca="1" si="19"/>
        <v>0</v>
      </c>
      <c r="CI8" s="205">
        <f t="shared" ca="1" si="19"/>
        <v>0</v>
      </c>
      <c r="CJ8" s="205">
        <f t="shared" ca="1" si="19"/>
        <v>0</v>
      </c>
      <c r="CK8" s="205">
        <f t="shared" ca="1" si="19"/>
        <v>0</v>
      </c>
      <c r="CL8" s="205">
        <f t="shared" ca="1" si="19"/>
        <v>0</v>
      </c>
      <c r="CM8" s="205">
        <f t="shared" ca="1" si="19"/>
        <v>0</v>
      </c>
      <c r="CN8" s="205">
        <f t="shared" ca="1" si="19"/>
        <v>0</v>
      </c>
      <c r="CO8" s="205">
        <f t="shared" ca="1" si="19"/>
        <v>0</v>
      </c>
      <c r="CP8" s="205">
        <f t="shared" ca="1" si="19"/>
        <v>0</v>
      </c>
      <c r="CQ8" s="205">
        <f t="shared" ca="1" si="19"/>
        <v>0</v>
      </c>
      <c r="CR8" s="205">
        <f t="shared" ca="1" si="19"/>
        <v>0</v>
      </c>
      <c r="CS8" s="205">
        <f t="shared" ca="1" si="19"/>
        <v>0</v>
      </c>
      <c r="CT8" s="205">
        <f t="shared" ca="1" si="19"/>
        <v>0</v>
      </c>
      <c r="CU8" s="205">
        <f t="shared" ca="1" si="19"/>
        <v>0</v>
      </c>
      <c r="CV8" s="205">
        <f t="shared" ca="1" si="19"/>
        <v>0</v>
      </c>
      <c r="CW8" s="205">
        <f t="shared" ca="1" si="19"/>
        <v>0</v>
      </c>
      <c r="CX8" s="205">
        <f t="shared" ca="1" si="19"/>
        <v>0</v>
      </c>
      <c r="CY8" s="205">
        <f t="shared" ca="1" si="19"/>
        <v>0</v>
      </c>
      <c r="CZ8" s="205">
        <f t="shared" ca="1" si="19"/>
        <v>0</v>
      </c>
      <c r="DA8" s="205">
        <f t="shared" ca="1" si="19"/>
        <v>0</v>
      </c>
      <c r="DB8" s="205">
        <f t="shared" ca="1" si="19"/>
        <v>0</v>
      </c>
      <c r="DC8" s="205">
        <f t="shared" ca="1" si="19"/>
        <v>0</v>
      </c>
      <c r="DD8" s="205">
        <f t="shared" ca="1" si="19"/>
        <v>0</v>
      </c>
      <c r="DE8" s="205">
        <f t="shared" ca="1" si="19"/>
        <v>0</v>
      </c>
      <c r="DF8" s="205">
        <f t="shared" ca="1" si="19"/>
        <v>0</v>
      </c>
      <c r="DG8" s="205">
        <f t="shared" ca="1" si="19"/>
        <v>0</v>
      </c>
      <c r="DH8" s="205">
        <f t="shared" ca="1" si="19"/>
        <v>0</v>
      </c>
      <c r="DI8" s="205">
        <f t="shared" ca="1" si="19"/>
        <v>0</v>
      </c>
      <c r="DJ8" s="205">
        <f t="shared" ca="1" si="19"/>
        <v>0</v>
      </c>
      <c r="DK8" s="205">
        <f t="shared" ca="1" si="19"/>
        <v>0</v>
      </c>
      <c r="DL8" s="205">
        <f t="shared" ca="1" si="19"/>
        <v>0</v>
      </c>
      <c r="DM8" s="205">
        <f t="shared" ref="DM8:EN8" ca="1" si="20">SUM(DM3:DM7)</f>
        <v>0</v>
      </c>
      <c r="DN8" s="205">
        <f t="shared" ca="1" si="20"/>
        <v>0</v>
      </c>
      <c r="DO8" s="205">
        <f t="shared" ca="1" si="20"/>
        <v>0</v>
      </c>
      <c r="DP8" s="205">
        <f t="shared" ca="1" si="20"/>
        <v>0</v>
      </c>
      <c r="DQ8" s="205">
        <f t="shared" ca="1" si="20"/>
        <v>0</v>
      </c>
      <c r="DR8" s="205">
        <f t="shared" ca="1" si="20"/>
        <v>0</v>
      </c>
      <c r="DS8" s="205">
        <f t="shared" ca="1" si="20"/>
        <v>0</v>
      </c>
      <c r="DT8" s="205">
        <f t="shared" ca="1" si="20"/>
        <v>0</v>
      </c>
      <c r="DU8" s="205">
        <f t="shared" ca="1" si="20"/>
        <v>0</v>
      </c>
      <c r="DV8" s="205">
        <f t="shared" ca="1" si="20"/>
        <v>0</v>
      </c>
      <c r="DW8" s="205">
        <f t="shared" ca="1" si="20"/>
        <v>0</v>
      </c>
      <c r="DX8" s="205">
        <f t="shared" ca="1" si="20"/>
        <v>0</v>
      </c>
      <c r="DY8" s="205">
        <f t="shared" ca="1" si="20"/>
        <v>0</v>
      </c>
      <c r="DZ8" s="205">
        <f t="shared" ca="1" si="20"/>
        <v>0</v>
      </c>
      <c r="EA8" s="205">
        <f t="shared" ca="1" si="20"/>
        <v>0</v>
      </c>
      <c r="EB8" s="205">
        <f t="shared" ca="1" si="20"/>
        <v>0</v>
      </c>
      <c r="EC8" s="205">
        <f t="shared" ca="1" si="20"/>
        <v>0</v>
      </c>
      <c r="ED8" s="205">
        <f t="shared" ca="1" si="20"/>
        <v>0</v>
      </c>
      <c r="EE8" s="205">
        <f t="shared" ca="1" si="20"/>
        <v>0</v>
      </c>
      <c r="EF8" s="205">
        <f t="shared" ca="1" si="20"/>
        <v>0</v>
      </c>
      <c r="EG8" s="205">
        <f t="shared" ca="1" si="20"/>
        <v>0</v>
      </c>
      <c r="EH8" s="205">
        <f t="shared" ca="1" si="20"/>
        <v>0</v>
      </c>
      <c r="EI8" s="205">
        <f t="shared" ca="1" si="20"/>
        <v>0</v>
      </c>
      <c r="EJ8" s="205">
        <f t="shared" ca="1" si="20"/>
        <v>0</v>
      </c>
      <c r="EK8" s="205">
        <f t="shared" ca="1" si="20"/>
        <v>0</v>
      </c>
      <c r="EL8" s="205">
        <f t="shared" ca="1" si="20"/>
        <v>0</v>
      </c>
      <c r="EM8" s="205">
        <f t="shared" ca="1" si="20"/>
        <v>0</v>
      </c>
      <c r="EN8" s="205">
        <f t="shared" ca="1" si="20"/>
        <v>0</v>
      </c>
      <c r="EO8" s="206">
        <f ca="1">AVERAGE(L8:AU8)</f>
        <v>7.0555555555555554</v>
      </c>
      <c r="EP8" s="206">
        <f ca="1">MAX(L8:AU8)</f>
        <v>30</v>
      </c>
    </row>
    <row r="9" spans="1:206">
      <c r="F9" s="53"/>
      <c r="G9" s="53"/>
      <c r="H9" s="53"/>
      <c r="I9" s="53"/>
      <c r="J9" s="231"/>
      <c r="K9" s="231"/>
      <c r="L9" s="53"/>
      <c r="M9" s="5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</row>
    <row r="10" spans="1:206" s="180" customFormat="1" ht="27">
      <c r="A10" s="447" t="s">
        <v>72</v>
      </c>
      <c r="B10" s="458" t="str">
        <f>'BESS 11'!F50</f>
        <v>28 Jul
06 Aug</v>
      </c>
      <c r="C10" s="450" t="str">
        <f>'BESS 11'!G50</f>
        <v>02 Aug
10 Aug</v>
      </c>
      <c r="D10" s="226"/>
      <c r="E10" s="226" t="s">
        <v>10</v>
      </c>
      <c r="F10" s="217" t="s">
        <v>58</v>
      </c>
      <c r="G10" s="217" t="s">
        <v>78</v>
      </c>
      <c r="H10" s="217" t="s">
        <v>79</v>
      </c>
      <c r="I10" s="217" t="s">
        <v>59</v>
      </c>
      <c r="J10" s="216" t="s">
        <v>80</v>
      </c>
      <c r="K10" s="216" t="s">
        <v>62</v>
      </c>
      <c r="L10" s="218">
        <v>46195</v>
      </c>
      <c r="M10" s="218">
        <v>46196</v>
      </c>
      <c r="N10" s="218">
        <v>46197</v>
      </c>
      <c r="O10" s="218">
        <v>46198</v>
      </c>
      <c r="P10" s="218">
        <v>46199</v>
      </c>
      <c r="Q10" s="218">
        <v>46200</v>
      </c>
      <c r="R10" s="218">
        <v>46201</v>
      </c>
      <c r="S10" s="218">
        <f t="shared" ref="S10:BZ10" si="21">R10+1</f>
        <v>46202</v>
      </c>
      <c r="T10" s="218">
        <f t="shared" si="21"/>
        <v>46203</v>
      </c>
      <c r="U10" s="218">
        <f t="shared" si="21"/>
        <v>46204</v>
      </c>
      <c r="V10" s="218">
        <f t="shared" si="21"/>
        <v>46205</v>
      </c>
      <c r="W10" s="218">
        <f t="shared" si="21"/>
        <v>46206</v>
      </c>
      <c r="X10" s="218">
        <f t="shared" si="21"/>
        <v>46207</v>
      </c>
      <c r="Y10" s="218">
        <f t="shared" si="21"/>
        <v>46208</v>
      </c>
      <c r="Z10" s="218">
        <f t="shared" si="21"/>
        <v>46209</v>
      </c>
      <c r="AA10" s="218">
        <f t="shared" si="21"/>
        <v>46210</v>
      </c>
      <c r="AB10" s="218">
        <f t="shared" si="21"/>
        <v>46211</v>
      </c>
      <c r="AC10" s="218">
        <f t="shared" si="21"/>
        <v>46212</v>
      </c>
      <c r="AD10" s="218">
        <f t="shared" si="21"/>
        <v>46213</v>
      </c>
      <c r="AE10" s="218">
        <f t="shared" si="21"/>
        <v>46214</v>
      </c>
      <c r="AF10" s="218">
        <f t="shared" si="21"/>
        <v>46215</v>
      </c>
      <c r="AG10" s="218">
        <f t="shared" si="21"/>
        <v>46216</v>
      </c>
      <c r="AH10" s="218">
        <f t="shared" si="21"/>
        <v>46217</v>
      </c>
      <c r="AI10" s="218">
        <f t="shared" si="21"/>
        <v>46218</v>
      </c>
      <c r="AJ10" s="218">
        <f t="shared" si="21"/>
        <v>46219</v>
      </c>
      <c r="AK10" s="218">
        <f t="shared" si="21"/>
        <v>46220</v>
      </c>
      <c r="AL10" s="218">
        <f t="shared" si="21"/>
        <v>46221</v>
      </c>
      <c r="AM10" s="218">
        <f t="shared" si="21"/>
        <v>46222</v>
      </c>
      <c r="AN10" s="218">
        <f t="shared" si="21"/>
        <v>46223</v>
      </c>
      <c r="AO10" s="218">
        <f t="shared" si="21"/>
        <v>46224</v>
      </c>
      <c r="AP10" s="218">
        <f t="shared" si="21"/>
        <v>46225</v>
      </c>
      <c r="AQ10" s="218">
        <f t="shared" si="21"/>
        <v>46226</v>
      </c>
      <c r="AR10" s="218">
        <f t="shared" si="21"/>
        <v>46227</v>
      </c>
      <c r="AS10" s="218">
        <f t="shared" si="21"/>
        <v>46228</v>
      </c>
      <c r="AT10" s="218">
        <f t="shared" si="21"/>
        <v>46229</v>
      </c>
      <c r="AU10" s="218">
        <f t="shared" si="21"/>
        <v>46230</v>
      </c>
      <c r="AV10" s="218">
        <f t="shared" si="21"/>
        <v>46231</v>
      </c>
      <c r="AW10" s="218">
        <f t="shared" si="21"/>
        <v>46232</v>
      </c>
      <c r="AX10" s="218">
        <f t="shared" si="21"/>
        <v>46233</v>
      </c>
      <c r="AY10" s="218">
        <f t="shared" si="21"/>
        <v>46234</v>
      </c>
      <c r="AZ10" s="218">
        <f t="shared" si="21"/>
        <v>46235</v>
      </c>
      <c r="BA10" s="218">
        <f t="shared" si="21"/>
        <v>46236</v>
      </c>
      <c r="BB10" s="218">
        <f t="shared" si="21"/>
        <v>46237</v>
      </c>
      <c r="BC10" s="218">
        <f t="shared" si="21"/>
        <v>46238</v>
      </c>
      <c r="BD10" s="218">
        <f t="shared" si="21"/>
        <v>46239</v>
      </c>
      <c r="BE10" s="218">
        <f t="shared" si="21"/>
        <v>46240</v>
      </c>
      <c r="BF10" s="218">
        <f t="shared" si="21"/>
        <v>46241</v>
      </c>
      <c r="BG10" s="218">
        <f t="shared" si="21"/>
        <v>46242</v>
      </c>
      <c r="BH10" s="218">
        <f t="shared" si="21"/>
        <v>46243</v>
      </c>
      <c r="BI10" s="218">
        <f t="shared" si="21"/>
        <v>46244</v>
      </c>
      <c r="BJ10" s="218">
        <f t="shared" si="21"/>
        <v>46245</v>
      </c>
      <c r="BK10" s="218">
        <f t="shared" si="21"/>
        <v>46246</v>
      </c>
      <c r="BL10" s="218">
        <f t="shared" si="21"/>
        <v>46247</v>
      </c>
      <c r="BM10" s="218">
        <f t="shared" si="21"/>
        <v>46248</v>
      </c>
      <c r="BN10" s="218">
        <f t="shared" si="21"/>
        <v>46249</v>
      </c>
      <c r="BO10" s="218">
        <f t="shared" si="21"/>
        <v>46250</v>
      </c>
      <c r="BP10" s="218">
        <f t="shared" si="21"/>
        <v>46251</v>
      </c>
      <c r="BQ10" s="218">
        <f t="shared" si="21"/>
        <v>46252</v>
      </c>
      <c r="BR10" s="218">
        <f t="shared" si="21"/>
        <v>46253</v>
      </c>
      <c r="BS10" s="218">
        <f t="shared" si="21"/>
        <v>46254</v>
      </c>
      <c r="BT10" s="218">
        <f t="shared" si="21"/>
        <v>46255</v>
      </c>
      <c r="BU10" s="218">
        <f t="shared" si="21"/>
        <v>46256</v>
      </c>
      <c r="BV10" s="218">
        <f t="shared" si="21"/>
        <v>46257</v>
      </c>
      <c r="BW10" s="218">
        <f t="shared" si="21"/>
        <v>46258</v>
      </c>
      <c r="BX10" s="218">
        <f t="shared" si="21"/>
        <v>46259</v>
      </c>
      <c r="BY10" s="218">
        <f t="shared" si="21"/>
        <v>46260</v>
      </c>
      <c r="BZ10" s="218">
        <f t="shared" si="21"/>
        <v>46261</v>
      </c>
      <c r="CA10" s="218">
        <f t="shared" ref="CA10:CS10" si="22">BZ10+1</f>
        <v>46262</v>
      </c>
      <c r="CB10" s="218">
        <f t="shared" si="22"/>
        <v>46263</v>
      </c>
      <c r="CC10" s="218">
        <f t="shared" si="22"/>
        <v>46264</v>
      </c>
      <c r="CD10" s="218">
        <f t="shared" si="22"/>
        <v>46265</v>
      </c>
      <c r="CE10" s="218">
        <f t="shared" si="22"/>
        <v>46266</v>
      </c>
      <c r="CF10" s="218">
        <f t="shared" si="22"/>
        <v>46267</v>
      </c>
      <c r="CG10" s="218">
        <f t="shared" si="22"/>
        <v>46268</v>
      </c>
      <c r="CH10" s="218">
        <f t="shared" si="22"/>
        <v>46269</v>
      </c>
      <c r="CI10" s="218">
        <f t="shared" si="22"/>
        <v>46270</v>
      </c>
      <c r="CJ10" s="218">
        <f t="shared" si="22"/>
        <v>46271</v>
      </c>
      <c r="CK10" s="218">
        <f t="shared" si="22"/>
        <v>46272</v>
      </c>
      <c r="CL10" s="218">
        <f t="shared" si="22"/>
        <v>46273</v>
      </c>
      <c r="CM10" s="218">
        <f t="shared" si="22"/>
        <v>46274</v>
      </c>
      <c r="CN10" s="218">
        <f t="shared" si="22"/>
        <v>46275</v>
      </c>
      <c r="CO10" s="218">
        <f t="shared" si="22"/>
        <v>46276</v>
      </c>
      <c r="CP10" s="218">
        <f t="shared" si="22"/>
        <v>46277</v>
      </c>
      <c r="CQ10" s="218">
        <f t="shared" si="22"/>
        <v>46278</v>
      </c>
      <c r="CR10" s="218">
        <f t="shared" si="22"/>
        <v>46279</v>
      </c>
      <c r="CS10" s="218">
        <f t="shared" si="22"/>
        <v>46280</v>
      </c>
      <c r="CT10" s="218">
        <f t="shared" ref="CT10:EN10" si="23">CS10+1</f>
        <v>46281</v>
      </c>
      <c r="CU10" s="218">
        <f t="shared" si="23"/>
        <v>46282</v>
      </c>
      <c r="CV10" s="218">
        <f t="shared" si="23"/>
        <v>46283</v>
      </c>
      <c r="CW10" s="218">
        <f t="shared" si="23"/>
        <v>46284</v>
      </c>
      <c r="CX10" s="218">
        <f t="shared" si="23"/>
        <v>46285</v>
      </c>
      <c r="CY10" s="218">
        <f t="shared" si="23"/>
        <v>46286</v>
      </c>
      <c r="CZ10" s="218">
        <f t="shared" si="23"/>
        <v>46287</v>
      </c>
      <c r="DA10" s="218">
        <f t="shared" si="23"/>
        <v>46288</v>
      </c>
      <c r="DB10" s="218">
        <f t="shared" si="23"/>
        <v>46289</v>
      </c>
      <c r="DC10" s="218">
        <f t="shared" si="23"/>
        <v>46290</v>
      </c>
      <c r="DD10" s="218">
        <f t="shared" si="23"/>
        <v>46291</v>
      </c>
      <c r="DE10" s="218">
        <f t="shared" si="23"/>
        <v>46292</v>
      </c>
      <c r="DF10" s="218">
        <f t="shared" si="23"/>
        <v>46293</v>
      </c>
      <c r="DG10" s="218">
        <f t="shared" si="23"/>
        <v>46294</v>
      </c>
      <c r="DH10" s="218">
        <f t="shared" si="23"/>
        <v>46295</v>
      </c>
      <c r="DI10" s="218">
        <f t="shared" si="23"/>
        <v>46296</v>
      </c>
      <c r="DJ10" s="218">
        <f t="shared" si="23"/>
        <v>46297</v>
      </c>
      <c r="DK10" s="218">
        <f t="shared" si="23"/>
        <v>46298</v>
      </c>
      <c r="DL10" s="218">
        <f t="shared" si="23"/>
        <v>46299</v>
      </c>
      <c r="DM10" s="218">
        <f t="shared" si="23"/>
        <v>46300</v>
      </c>
      <c r="DN10" s="218">
        <f t="shared" si="23"/>
        <v>46301</v>
      </c>
      <c r="DO10" s="218">
        <f t="shared" si="23"/>
        <v>46302</v>
      </c>
      <c r="DP10" s="218">
        <f t="shared" si="23"/>
        <v>46303</v>
      </c>
      <c r="DQ10" s="218">
        <f t="shared" si="23"/>
        <v>46304</v>
      </c>
      <c r="DR10" s="218">
        <f t="shared" si="23"/>
        <v>46305</v>
      </c>
      <c r="DS10" s="218">
        <f t="shared" si="23"/>
        <v>46306</v>
      </c>
      <c r="DT10" s="218">
        <f t="shared" si="23"/>
        <v>46307</v>
      </c>
      <c r="DU10" s="218">
        <f t="shared" si="23"/>
        <v>46308</v>
      </c>
      <c r="DV10" s="218">
        <f t="shared" si="23"/>
        <v>46309</v>
      </c>
      <c r="DW10" s="218">
        <f t="shared" si="23"/>
        <v>46310</v>
      </c>
      <c r="DX10" s="218">
        <f t="shared" si="23"/>
        <v>46311</v>
      </c>
      <c r="DY10" s="218">
        <f t="shared" si="23"/>
        <v>46312</v>
      </c>
      <c r="DZ10" s="218">
        <f t="shared" si="23"/>
        <v>46313</v>
      </c>
      <c r="EA10" s="218">
        <f t="shared" si="23"/>
        <v>46314</v>
      </c>
      <c r="EB10" s="218">
        <f t="shared" si="23"/>
        <v>46315</v>
      </c>
      <c r="EC10" s="218">
        <f t="shared" si="23"/>
        <v>46316</v>
      </c>
      <c r="ED10" s="218">
        <f t="shared" si="23"/>
        <v>46317</v>
      </c>
      <c r="EE10" s="218">
        <f t="shared" si="23"/>
        <v>46318</v>
      </c>
      <c r="EF10" s="218">
        <f t="shared" si="23"/>
        <v>46319</v>
      </c>
      <c r="EG10" s="218">
        <f t="shared" si="23"/>
        <v>46320</v>
      </c>
      <c r="EH10" s="218">
        <f t="shared" si="23"/>
        <v>46321</v>
      </c>
      <c r="EI10" s="218">
        <f t="shared" si="23"/>
        <v>46322</v>
      </c>
      <c r="EJ10" s="218">
        <f t="shared" si="23"/>
        <v>46323</v>
      </c>
      <c r="EK10" s="218">
        <f t="shared" si="23"/>
        <v>46324</v>
      </c>
      <c r="EL10" s="218">
        <f t="shared" si="23"/>
        <v>46325</v>
      </c>
      <c r="EM10" s="218">
        <f t="shared" si="23"/>
        <v>46326</v>
      </c>
      <c r="EN10" s="218">
        <f t="shared" si="23"/>
        <v>46327</v>
      </c>
    </row>
    <row r="11" spans="1:206">
      <c r="A11" s="448"/>
      <c r="B11" s="459"/>
      <c r="C11" s="451"/>
      <c r="D11" s="467" t="str">
        <f>'BESS 11'!H50</f>
        <v>05 Aug
13 Aug</v>
      </c>
      <c r="E11" s="185" t="s">
        <v>64</v>
      </c>
      <c r="F11" s="66">
        <f>SUM('BESS 11'!S64:S71,'BESS 11'!S73)</f>
        <v>4</v>
      </c>
      <c r="G11" s="182">
        <f ca="1">TODAY()</f>
        <v>46233</v>
      </c>
      <c r="H11" s="182">
        <f>MAX('BESS 11'!O64:O70,'BESS 11'!O73)</f>
        <v>46233</v>
      </c>
      <c r="I11" s="65">
        <f ca="1">H11-G11</f>
        <v>0</v>
      </c>
      <c r="J11" s="444" t="e">
        <f ca="1">AVERAGEIF(L16:EN16,"&gt;0")</f>
        <v>#DIV/0!</v>
      </c>
      <c r="K11" s="444" t="e">
        <f ca="1">MAX(L16:EN16)</f>
        <v>#VALUE!</v>
      </c>
      <c r="L11" s="65" t="str">
        <f t="shared" ref="L11:U14" ca="1" si="24">IF(AND(L$2&gt;=$G11,L$2&lt;($G11+$I11)),ROUND($F11/$I11,0),"-")</f>
        <v>-</v>
      </c>
      <c r="M11" s="65" t="str">
        <f t="shared" ca="1" si="24"/>
        <v>-</v>
      </c>
      <c r="N11" s="65" t="str">
        <f t="shared" ca="1" si="24"/>
        <v>-</v>
      </c>
      <c r="O11" s="65" t="str">
        <f t="shared" ca="1" si="24"/>
        <v>-</v>
      </c>
      <c r="P11" s="65" t="str">
        <f t="shared" ca="1" si="24"/>
        <v>-</v>
      </c>
      <c r="Q11" s="65" t="str">
        <f t="shared" ca="1" si="24"/>
        <v>-</v>
      </c>
      <c r="R11" s="65" t="str">
        <f t="shared" ca="1" si="24"/>
        <v>-</v>
      </c>
      <c r="S11" s="65" t="str">
        <f t="shared" ca="1" si="24"/>
        <v>-</v>
      </c>
      <c r="T11" s="65" t="str">
        <f t="shared" ca="1" si="24"/>
        <v>-</v>
      </c>
      <c r="U11" s="65" t="str">
        <f t="shared" ca="1" si="24"/>
        <v>-</v>
      </c>
      <c r="V11" s="65" t="str">
        <f t="shared" ref="V11:AE14" ca="1" si="25">IF(AND(V$2&gt;=$G11,V$2&lt;($G11+$I11)),ROUND($F11/$I11,0),"-")</f>
        <v>-</v>
      </c>
      <c r="W11" s="65" t="str">
        <f t="shared" ca="1" si="25"/>
        <v>-</v>
      </c>
      <c r="X11" s="65" t="str">
        <f t="shared" ca="1" si="25"/>
        <v>-</v>
      </c>
      <c r="Y11" s="65" t="str">
        <f t="shared" ca="1" si="25"/>
        <v>-</v>
      </c>
      <c r="Z11" s="65" t="str">
        <f t="shared" ca="1" si="25"/>
        <v>-</v>
      </c>
      <c r="AA11" s="65" t="str">
        <f t="shared" ca="1" si="25"/>
        <v>-</v>
      </c>
      <c r="AB11" s="65" t="str">
        <f t="shared" ca="1" si="25"/>
        <v>-</v>
      </c>
      <c r="AC11" s="65" t="str">
        <f t="shared" ca="1" si="25"/>
        <v>-</v>
      </c>
      <c r="AD11" s="65" t="str">
        <f t="shared" ca="1" si="25"/>
        <v>-</v>
      </c>
      <c r="AE11" s="65" t="str">
        <f t="shared" ca="1" si="25"/>
        <v>-</v>
      </c>
      <c r="AF11" s="65" t="str">
        <f t="shared" ref="AF11:AO14" ca="1" si="26">IF(AND(AF$2&gt;=$G11,AF$2&lt;($G11+$I11)),ROUND($F11/$I11,0),"-")</f>
        <v>-</v>
      </c>
      <c r="AG11" s="65" t="str">
        <f t="shared" ca="1" si="26"/>
        <v>-</v>
      </c>
      <c r="AH11" s="65" t="str">
        <f t="shared" ca="1" si="26"/>
        <v>-</v>
      </c>
      <c r="AI11" s="65" t="str">
        <f t="shared" ca="1" si="26"/>
        <v>-</v>
      </c>
      <c r="AJ11" s="65" t="str">
        <f t="shared" ca="1" si="26"/>
        <v>-</v>
      </c>
      <c r="AK11" s="65" t="str">
        <f t="shared" ca="1" si="26"/>
        <v>-</v>
      </c>
      <c r="AL11" s="65" t="str">
        <f t="shared" ca="1" si="26"/>
        <v>-</v>
      </c>
      <c r="AM11" s="65" t="str">
        <f t="shared" ca="1" si="26"/>
        <v>-</v>
      </c>
      <c r="AN11" s="65" t="str">
        <f t="shared" ca="1" si="26"/>
        <v>-</v>
      </c>
      <c r="AO11" s="65" t="str">
        <f t="shared" ca="1" si="26"/>
        <v>-</v>
      </c>
      <c r="AP11" s="65" t="str">
        <f t="shared" ref="AP11:AY14" ca="1" si="27">IF(AND(AP$2&gt;=$G11,AP$2&lt;($G11+$I11)),ROUND($F11/$I11,0),"-")</f>
        <v>-</v>
      </c>
      <c r="AQ11" s="65" t="str">
        <f t="shared" ca="1" si="27"/>
        <v>-</v>
      </c>
      <c r="AR11" s="65" t="str">
        <f t="shared" ca="1" si="27"/>
        <v>-</v>
      </c>
      <c r="AS11" s="65" t="str">
        <f t="shared" ca="1" si="27"/>
        <v>-</v>
      </c>
      <c r="AT11" s="65" t="str">
        <f t="shared" ca="1" si="27"/>
        <v>-</v>
      </c>
      <c r="AU11" s="65" t="str">
        <f t="shared" ca="1" si="27"/>
        <v>-</v>
      </c>
      <c r="AV11" s="65" t="str">
        <f t="shared" ca="1" si="27"/>
        <v>-</v>
      </c>
      <c r="AW11" s="65" t="str">
        <f t="shared" ca="1" si="27"/>
        <v>-</v>
      </c>
      <c r="AX11" s="65" t="str">
        <f t="shared" ca="1" si="27"/>
        <v>-</v>
      </c>
      <c r="AY11" s="65" t="str">
        <f t="shared" ca="1" si="27"/>
        <v>-</v>
      </c>
      <c r="AZ11" s="65" t="str">
        <f t="shared" ref="AZ11:BI14" ca="1" si="28">IF(AND(AZ$2&gt;=$G11,AZ$2&lt;($G11+$I11)),ROUND($F11/$I11,0),"-")</f>
        <v>-</v>
      </c>
      <c r="BA11" s="65" t="str">
        <f t="shared" ca="1" si="28"/>
        <v>-</v>
      </c>
      <c r="BB11" s="65" t="str">
        <f t="shared" ca="1" si="28"/>
        <v>-</v>
      </c>
      <c r="BC11" s="65" t="str">
        <f t="shared" ca="1" si="28"/>
        <v>-</v>
      </c>
      <c r="BD11" s="65" t="str">
        <f t="shared" ca="1" si="28"/>
        <v>-</v>
      </c>
      <c r="BE11" s="65" t="str">
        <f t="shared" ca="1" si="28"/>
        <v>-</v>
      </c>
      <c r="BF11" s="65" t="str">
        <f t="shared" ca="1" si="28"/>
        <v>-</v>
      </c>
      <c r="BG11" s="65" t="str">
        <f t="shared" ca="1" si="28"/>
        <v>-</v>
      </c>
      <c r="BH11" s="65" t="str">
        <f t="shared" ca="1" si="28"/>
        <v>-</v>
      </c>
      <c r="BI11" s="65" t="str">
        <f t="shared" ca="1" si="28"/>
        <v>-</v>
      </c>
      <c r="BJ11" s="65" t="str">
        <f t="shared" ref="BJ11:BS14" ca="1" si="29">IF(AND(BJ$2&gt;=$G11,BJ$2&lt;($G11+$I11)),ROUND($F11/$I11,0),"-")</f>
        <v>-</v>
      </c>
      <c r="BK11" s="65" t="str">
        <f t="shared" ca="1" si="29"/>
        <v>-</v>
      </c>
      <c r="BL11" s="65" t="str">
        <f t="shared" ca="1" si="29"/>
        <v>-</v>
      </c>
      <c r="BM11" s="65" t="str">
        <f t="shared" ca="1" si="29"/>
        <v>-</v>
      </c>
      <c r="BN11" s="65" t="str">
        <f t="shared" ca="1" si="29"/>
        <v>-</v>
      </c>
      <c r="BO11" s="65" t="str">
        <f t="shared" ca="1" si="29"/>
        <v>-</v>
      </c>
      <c r="BP11" s="65" t="str">
        <f t="shared" ca="1" si="29"/>
        <v>-</v>
      </c>
      <c r="BQ11" s="65" t="str">
        <f t="shared" ca="1" si="29"/>
        <v>-</v>
      </c>
      <c r="BR11" s="65" t="str">
        <f t="shared" ca="1" si="29"/>
        <v>-</v>
      </c>
      <c r="BS11" s="65" t="str">
        <f t="shared" ca="1" si="29"/>
        <v>-</v>
      </c>
      <c r="BT11" s="65" t="str">
        <f t="shared" ref="BT11:CC14" ca="1" si="30">IF(AND(BT$2&gt;=$G11,BT$2&lt;($G11+$I11)),ROUND($F11/$I11,0),"-")</f>
        <v>-</v>
      </c>
      <c r="BU11" s="65" t="str">
        <f t="shared" ca="1" si="30"/>
        <v>-</v>
      </c>
      <c r="BV11" s="65" t="str">
        <f t="shared" ca="1" si="30"/>
        <v>-</v>
      </c>
      <c r="BW11" s="65" t="str">
        <f t="shared" ca="1" si="30"/>
        <v>-</v>
      </c>
      <c r="BX11" s="65" t="str">
        <f t="shared" ca="1" si="30"/>
        <v>-</v>
      </c>
      <c r="BY11" s="65" t="str">
        <f t="shared" ca="1" si="30"/>
        <v>-</v>
      </c>
      <c r="BZ11" s="65" t="str">
        <f t="shared" ca="1" si="30"/>
        <v>-</v>
      </c>
      <c r="CA11" s="65" t="str">
        <f t="shared" ca="1" si="30"/>
        <v>-</v>
      </c>
      <c r="CB11" s="65" t="str">
        <f t="shared" ca="1" si="30"/>
        <v>-</v>
      </c>
      <c r="CC11" s="65" t="str">
        <f t="shared" ca="1" si="30"/>
        <v>-</v>
      </c>
      <c r="CD11" s="65" t="str">
        <f t="shared" ref="CD11:CM14" ca="1" si="31">IF(AND(CD$2&gt;=$G11,CD$2&lt;($G11+$I11)),ROUND($F11/$I11,0),"-")</f>
        <v>-</v>
      </c>
      <c r="CE11" s="65" t="str">
        <f t="shared" ca="1" si="31"/>
        <v>-</v>
      </c>
      <c r="CF11" s="65" t="str">
        <f t="shared" ca="1" si="31"/>
        <v>-</v>
      </c>
      <c r="CG11" s="65" t="str">
        <f t="shared" ca="1" si="31"/>
        <v>-</v>
      </c>
      <c r="CH11" s="65" t="str">
        <f t="shared" ca="1" si="31"/>
        <v>-</v>
      </c>
      <c r="CI11" s="65" t="str">
        <f t="shared" ca="1" si="31"/>
        <v>-</v>
      </c>
      <c r="CJ11" s="65" t="str">
        <f t="shared" ca="1" si="31"/>
        <v>-</v>
      </c>
      <c r="CK11" s="65" t="str">
        <f t="shared" ca="1" si="31"/>
        <v>-</v>
      </c>
      <c r="CL11" s="65" t="str">
        <f t="shared" ca="1" si="31"/>
        <v>-</v>
      </c>
      <c r="CM11" s="65" t="str">
        <f t="shared" ca="1" si="31"/>
        <v>-</v>
      </c>
      <c r="CN11" s="65" t="str">
        <f t="shared" ref="CN11:CW14" ca="1" si="32">IF(AND(CN$2&gt;=$G11,CN$2&lt;($G11+$I11)),ROUND($F11/$I11,0),"-")</f>
        <v>-</v>
      </c>
      <c r="CO11" s="65" t="str">
        <f t="shared" ca="1" si="32"/>
        <v>-</v>
      </c>
      <c r="CP11" s="65" t="str">
        <f t="shared" ca="1" si="32"/>
        <v>-</v>
      </c>
      <c r="CQ11" s="65" t="str">
        <f t="shared" ca="1" si="32"/>
        <v>-</v>
      </c>
      <c r="CR11" s="65" t="str">
        <f t="shared" ca="1" si="32"/>
        <v>-</v>
      </c>
      <c r="CS11" s="65" t="str">
        <f t="shared" ca="1" si="32"/>
        <v>-</v>
      </c>
      <c r="CT11" s="65" t="str">
        <f t="shared" ca="1" si="32"/>
        <v>-</v>
      </c>
      <c r="CU11" s="65" t="str">
        <f t="shared" ca="1" si="32"/>
        <v>-</v>
      </c>
      <c r="CV11" s="65" t="str">
        <f t="shared" ca="1" si="32"/>
        <v>-</v>
      </c>
      <c r="CW11" s="65" t="str">
        <f t="shared" ca="1" si="32"/>
        <v>-</v>
      </c>
      <c r="CX11" s="65" t="str">
        <f t="shared" ref="CX11:DG14" ca="1" si="33">IF(AND(CX$2&gt;=$G11,CX$2&lt;($G11+$I11)),ROUND($F11/$I11,0),"-")</f>
        <v>-</v>
      </c>
      <c r="CY11" s="65" t="str">
        <f t="shared" ca="1" si="33"/>
        <v>-</v>
      </c>
      <c r="CZ11" s="65" t="str">
        <f t="shared" ca="1" si="33"/>
        <v>-</v>
      </c>
      <c r="DA11" s="65" t="str">
        <f t="shared" ca="1" si="33"/>
        <v>-</v>
      </c>
      <c r="DB11" s="65" t="str">
        <f t="shared" ca="1" si="33"/>
        <v>-</v>
      </c>
      <c r="DC11" s="65" t="str">
        <f t="shared" ca="1" si="33"/>
        <v>-</v>
      </c>
      <c r="DD11" s="65" t="str">
        <f t="shared" ca="1" si="33"/>
        <v>-</v>
      </c>
      <c r="DE11" s="65" t="str">
        <f t="shared" ca="1" si="33"/>
        <v>-</v>
      </c>
      <c r="DF11" s="65" t="str">
        <f t="shared" ca="1" si="33"/>
        <v>-</v>
      </c>
      <c r="DG11" s="65" t="str">
        <f t="shared" ca="1" si="33"/>
        <v>-</v>
      </c>
      <c r="DH11" s="65" t="str">
        <f t="shared" ref="DH11:DQ14" ca="1" si="34">IF(AND(DH$2&gt;=$G11,DH$2&lt;($G11+$I11)),ROUND($F11/$I11,0),"-")</f>
        <v>-</v>
      </c>
      <c r="DI11" s="65" t="str">
        <f t="shared" ca="1" si="34"/>
        <v>-</v>
      </c>
      <c r="DJ11" s="65" t="str">
        <f t="shared" ca="1" si="34"/>
        <v>-</v>
      </c>
      <c r="DK11" s="65" t="str">
        <f t="shared" ca="1" si="34"/>
        <v>-</v>
      </c>
      <c r="DL11" s="65" t="str">
        <f t="shared" ca="1" si="34"/>
        <v>-</v>
      </c>
      <c r="DM11" s="65" t="str">
        <f t="shared" ca="1" si="34"/>
        <v>-</v>
      </c>
      <c r="DN11" s="65" t="str">
        <f t="shared" ca="1" si="34"/>
        <v>-</v>
      </c>
      <c r="DO11" s="65" t="str">
        <f t="shared" ca="1" si="34"/>
        <v>-</v>
      </c>
      <c r="DP11" s="65" t="str">
        <f t="shared" ca="1" si="34"/>
        <v>-</v>
      </c>
      <c r="DQ11" s="65" t="str">
        <f t="shared" ca="1" si="34"/>
        <v>-</v>
      </c>
      <c r="DR11" s="65" t="str">
        <f t="shared" ref="DR11:EA14" ca="1" si="35">IF(AND(DR$2&gt;=$G11,DR$2&lt;($G11+$I11)),ROUND($F11/$I11,0),"-")</f>
        <v>-</v>
      </c>
      <c r="DS11" s="65" t="str">
        <f t="shared" ca="1" si="35"/>
        <v>-</v>
      </c>
      <c r="DT11" s="65" t="str">
        <f t="shared" ca="1" si="35"/>
        <v>-</v>
      </c>
      <c r="DU11" s="65" t="str">
        <f t="shared" ca="1" si="35"/>
        <v>-</v>
      </c>
      <c r="DV11" s="65" t="str">
        <f t="shared" ca="1" si="35"/>
        <v>-</v>
      </c>
      <c r="DW11" s="65" t="str">
        <f t="shared" ca="1" si="35"/>
        <v>-</v>
      </c>
      <c r="DX11" s="65" t="str">
        <f t="shared" ca="1" si="35"/>
        <v>-</v>
      </c>
      <c r="DY11" s="65" t="str">
        <f t="shared" ca="1" si="35"/>
        <v>-</v>
      </c>
      <c r="DZ11" s="65" t="str">
        <f t="shared" ca="1" si="35"/>
        <v>-</v>
      </c>
      <c r="EA11" s="65" t="str">
        <f t="shared" ca="1" si="35"/>
        <v>-</v>
      </c>
      <c r="EB11" s="65" t="str">
        <f t="shared" ref="EB11:EN14" ca="1" si="36">IF(AND(EB$2&gt;=$G11,EB$2&lt;($G11+$I11)),ROUND($F11/$I11,0),"-")</f>
        <v>-</v>
      </c>
      <c r="EC11" s="65" t="str">
        <f t="shared" ca="1" si="36"/>
        <v>-</v>
      </c>
      <c r="ED11" s="65" t="str">
        <f t="shared" ca="1" si="36"/>
        <v>-</v>
      </c>
      <c r="EE11" s="65" t="str">
        <f t="shared" ca="1" si="36"/>
        <v>-</v>
      </c>
      <c r="EF11" s="65" t="str">
        <f t="shared" ca="1" si="36"/>
        <v>-</v>
      </c>
      <c r="EG11" s="65" t="str">
        <f t="shared" ca="1" si="36"/>
        <v>-</v>
      </c>
      <c r="EH11" s="65" t="str">
        <f t="shared" ca="1" si="36"/>
        <v>-</v>
      </c>
      <c r="EI11" s="65" t="str">
        <f t="shared" ca="1" si="36"/>
        <v>-</v>
      </c>
      <c r="EJ11" s="65" t="str">
        <f t="shared" ca="1" si="36"/>
        <v>-</v>
      </c>
      <c r="EK11" s="65" t="str">
        <f t="shared" ca="1" si="36"/>
        <v>-</v>
      </c>
      <c r="EL11" s="65" t="str">
        <f t="shared" ca="1" si="36"/>
        <v>-</v>
      </c>
      <c r="EM11" s="65" t="str">
        <f t="shared" ca="1" si="36"/>
        <v>-</v>
      </c>
      <c r="EN11" s="65" t="str">
        <f t="shared" ca="1" si="36"/>
        <v>-</v>
      </c>
    </row>
    <row r="12" spans="1:206">
      <c r="A12" s="448"/>
      <c r="B12" s="459"/>
      <c r="C12" s="451"/>
      <c r="D12" s="466"/>
      <c r="E12" s="185" t="s">
        <v>65</v>
      </c>
      <c r="F12" s="66">
        <f>SUM('BESS 11'!S74,'BESS 11'!S76,'BESS 11'!S77,'BESS 11'!S80:S82)</f>
        <v>155.21</v>
      </c>
      <c r="G12" s="182">
        <f ca="1">TODAY()</f>
        <v>46233</v>
      </c>
      <c r="H12" s="182">
        <f>MAX('BESS 11'!O74,'BESS 11'!O76,'BESS 11'!O77,'BESS 11'!O80:O82)</f>
        <v>46233</v>
      </c>
      <c r="I12" s="65">
        <f ca="1">H12-G12</f>
        <v>0</v>
      </c>
      <c r="J12" s="453"/>
      <c r="K12" s="445"/>
      <c r="L12" s="65" t="str">
        <f t="shared" ca="1" si="24"/>
        <v>-</v>
      </c>
      <c r="M12" s="65" t="str">
        <f t="shared" ca="1" si="24"/>
        <v>-</v>
      </c>
      <c r="N12" s="65" t="str">
        <f t="shared" ca="1" si="24"/>
        <v>-</v>
      </c>
      <c r="O12" s="65" t="str">
        <f t="shared" ca="1" si="24"/>
        <v>-</v>
      </c>
      <c r="P12" s="65" t="str">
        <f t="shared" ca="1" si="24"/>
        <v>-</v>
      </c>
      <c r="Q12" s="65" t="str">
        <f t="shared" ca="1" si="24"/>
        <v>-</v>
      </c>
      <c r="R12" s="65" t="str">
        <f t="shared" ca="1" si="24"/>
        <v>-</v>
      </c>
      <c r="S12" s="65" t="str">
        <f t="shared" ca="1" si="24"/>
        <v>-</v>
      </c>
      <c r="T12" s="65" t="str">
        <f t="shared" ca="1" si="24"/>
        <v>-</v>
      </c>
      <c r="U12" s="65" t="str">
        <f t="shared" ca="1" si="24"/>
        <v>-</v>
      </c>
      <c r="V12" s="65" t="str">
        <f t="shared" ca="1" si="25"/>
        <v>-</v>
      </c>
      <c r="W12" s="65" t="str">
        <f t="shared" ca="1" si="25"/>
        <v>-</v>
      </c>
      <c r="X12" s="65" t="str">
        <f t="shared" ca="1" si="25"/>
        <v>-</v>
      </c>
      <c r="Y12" s="65" t="str">
        <f t="shared" ca="1" si="25"/>
        <v>-</v>
      </c>
      <c r="Z12" s="65" t="str">
        <f t="shared" ca="1" si="25"/>
        <v>-</v>
      </c>
      <c r="AA12" s="65" t="str">
        <f t="shared" ca="1" si="25"/>
        <v>-</v>
      </c>
      <c r="AB12" s="65" t="str">
        <f t="shared" ca="1" si="25"/>
        <v>-</v>
      </c>
      <c r="AC12" s="65" t="str">
        <f t="shared" ca="1" si="25"/>
        <v>-</v>
      </c>
      <c r="AD12" s="65" t="str">
        <f t="shared" ca="1" si="25"/>
        <v>-</v>
      </c>
      <c r="AE12" s="65" t="str">
        <f t="shared" ca="1" si="25"/>
        <v>-</v>
      </c>
      <c r="AF12" s="65" t="str">
        <f t="shared" ca="1" si="26"/>
        <v>-</v>
      </c>
      <c r="AG12" s="65" t="str">
        <f t="shared" ca="1" si="26"/>
        <v>-</v>
      </c>
      <c r="AH12" s="65" t="str">
        <f t="shared" ca="1" si="26"/>
        <v>-</v>
      </c>
      <c r="AI12" s="65" t="str">
        <f t="shared" ca="1" si="26"/>
        <v>-</v>
      </c>
      <c r="AJ12" s="65" t="str">
        <f t="shared" ca="1" si="26"/>
        <v>-</v>
      </c>
      <c r="AK12" s="65" t="str">
        <f t="shared" ca="1" si="26"/>
        <v>-</v>
      </c>
      <c r="AL12" s="65" t="str">
        <f t="shared" ca="1" si="26"/>
        <v>-</v>
      </c>
      <c r="AM12" s="65" t="str">
        <f t="shared" ca="1" si="26"/>
        <v>-</v>
      </c>
      <c r="AN12" s="65" t="str">
        <f t="shared" ca="1" si="26"/>
        <v>-</v>
      </c>
      <c r="AO12" s="65" t="str">
        <f t="shared" ca="1" si="26"/>
        <v>-</v>
      </c>
      <c r="AP12" s="65" t="str">
        <f t="shared" ca="1" si="27"/>
        <v>-</v>
      </c>
      <c r="AQ12" s="65" t="str">
        <f t="shared" ca="1" si="27"/>
        <v>-</v>
      </c>
      <c r="AR12" s="65" t="str">
        <f t="shared" ca="1" si="27"/>
        <v>-</v>
      </c>
      <c r="AS12" s="65" t="str">
        <f t="shared" ca="1" si="27"/>
        <v>-</v>
      </c>
      <c r="AT12" s="65" t="str">
        <f t="shared" ca="1" si="27"/>
        <v>-</v>
      </c>
      <c r="AU12" s="65" t="str">
        <f t="shared" ca="1" si="27"/>
        <v>-</v>
      </c>
      <c r="AV12" s="65" t="str">
        <f t="shared" ca="1" si="27"/>
        <v>-</v>
      </c>
      <c r="AW12" s="65" t="str">
        <f t="shared" ca="1" si="27"/>
        <v>-</v>
      </c>
      <c r="AX12" s="65" t="str">
        <f t="shared" ca="1" si="27"/>
        <v>-</v>
      </c>
      <c r="AY12" s="65" t="str">
        <f t="shared" ca="1" si="27"/>
        <v>-</v>
      </c>
      <c r="AZ12" s="65" t="str">
        <f t="shared" ca="1" si="28"/>
        <v>-</v>
      </c>
      <c r="BA12" s="65" t="str">
        <f t="shared" ca="1" si="28"/>
        <v>-</v>
      </c>
      <c r="BB12" s="65" t="str">
        <f t="shared" ca="1" si="28"/>
        <v>-</v>
      </c>
      <c r="BC12" s="65" t="str">
        <f t="shared" ca="1" si="28"/>
        <v>-</v>
      </c>
      <c r="BD12" s="65" t="str">
        <f t="shared" ca="1" si="28"/>
        <v>-</v>
      </c>
      <c r="BE12" s="65" t="str">
        <f t="shared" ca="1" si="28"/>
        <v>-</v>
      </c>
      <c r="BF12" s="65" t="str">
        <f t="shared" ca="1" si="28"/>
        <v>-</v>
      </c>
      <c r="BG12" s="65" t="str">
        <f t="shared" ca="1" si="28"/>
        <v>-</v>
      </c>
      <c r="BH12" s="65" t="str">
        <f t="shared" ca="1" si="28"/>
        <v>-</v>
      </c>
      <c r="BI12" s="65" t="str">
        <f t="shared" ca="1" si="28"/>
        <v>-</v>
      </c>
      <c r="BJ12" s="65" t="str">
        <f t="shared" ca="1" si="29"/>
        <v>-</v>
      </c>
      <c r="BK12" s="65" t="str">
        <f t="shared" ca="1" si="29"/>
        <v>-</v>
      </c>
      <c r="BL12" s="65" t="str">
        <f t="shared" ca="1" si="29"/>
        <v>-</v>
      </c>
      <c r="BM12" s="65" t="str">
        <f t="shared" ca="1" si="29"/>
        <v>-</v>
      </c>
      <c r="BN12" s="65" t="str">
        <f t="shared" ca="1" si="29"/>
        <v>-</v>
      </c>
      <c r="BO12" s="65" t="str">
        <f t="shared" ca="1" si="29"/>
        <v>-</v>
      </c>
      <c r="BP12" s="65" t="str">
        <f t="shared" ca="1" si="29"/>
        <v>-</v>
      </c>
      <c r="BQ12" s="65" t="str">
        <f t="shared" ca="1" si="29"/>
        <v>-</v>
      </c>
      <c r="BR12" s="65" t="str">
        <f t="shared" ca="1" si="29"/>
        <v>-</v>
      </c>
      <c r="BS12" s="65" t="str">
        <f t="shared" ca="1" si="29"/>
        <v>-</v>
      </c>
      <c r="BT12" s="65" t="str">
        <f t="shared" ca="1" si="30"/>
        <v>-</v>
      </c>
      <c r="BU12" s="65" t="str">
        <f t="shared" ca="1" si="30"/>
        <v>-</v>
      </c>
      <c r="BV12" s="65" t="str">
        <f t="shared" ca="1" si="30"/>
        <v>-</v>
      </c>
      <c r="BW12" s="65" t="str">
        <f t="shared" ca="1" si="30"/>
        <v>-</v>
      </c>
      <c r="BX12" s="65" t="str">
        <f t="shared" ca="1" si="30"/>
        <v>-</v>
      </c>
      <c r="BY12" s="65" t="str">
        <f t="shared" ca="1" si="30"/>
        <v>-</v>
      </c>
      <c r="BZ12" s="65" t="str">
        <f t="shared" ca="1" si="30"/>
        <v>-</v>
      </c>
      <c r="CA12" s="65" t="str">
        <f t="shared" ca="1" si="30"/>
        <v>-</v>
      </c>
      <c r="CB12" s="65" t="str">
        <f t="shared" ca="1" si="30"/>
        <v>-</v>
      </c>
      <c r="CC12" s="65" t="str">
        <f t="shared" ca="1" si="30"/>
        <v>-</v>
      </c>
      <c r="CD12" s="65" t="str">
        <f t="shared" ca="1" si="31"/>
        <v>-</v>
      </c>
      <c r="CE12" s="65" t="str">
        <f t="shared" ca="1" si="31"/>
        <v>-</v>
      </c>
      <c r="CF12" s="65" t="str">
        <f t="shared" ca="1" si="31"/>
        <v>-</v>
      </c>
      <c r="CG12" s="65" t="str">
        <f t="shared" ca="1" si="31"/>
        <v>-</v>
      </c>
      <c r="CH12" s="65" t="str">
        <f t="shared" ca="1" si="31"/>
        <v>-</v>
      </c>
      <c r="CI12" s="65" t="str">
        <f t="shared" ca="1" si="31"/>
        <v>-</v>
      </c>
      <c r="CJ12" s="65" t="str">
        <f t="shared" ca="1" si="31"/>
        <v>-</v>
      </c>
      <c r="CK12" s="65" t="str">
        <f t="shared" ca="1" si="31"/>
        <v>-</v>
      </c>
      <c r="CL12" s="65" t="str">
        <f t="shared" ca="1" si="31"/>
        <v>-</v>
      </c>
      <c r="CM12" s="65" t="str">
        <f t="shared" ca="1" si="31"/>
        <v>-</v>
      </c>
      <c r="CN12" s="65" t="str">
        <f t="shared" ca="1" si="32"/>
        <v>-</v>
      </c>
      <c r="CO12" s="65" t="str">
        <f t="shared" ca="1" si="32"/>
        <v>-</v>
      </c>
      <c r="CP12" s="65" t="str">
        <f t="shared" ca="1" si="32"/>
        <v>-</v>
      </c>
      <c r="CQ12" s="65" t="str">
        <f t="shared" ca="1" si="32"/>
        <v>-</v>
      </c>
      <c r="CR12" s="65" t="str">
        <f t="shared" ca="1" si="32"/>
        <v>-</v>
      </c>
      <c r="CS12" s="65" t="str">
        <f t="shared" ca="1" si="32"/>
        <v>-</v>
      </c>
      <c r="CT12" s="65" t="str">
        <f t="shared" ca="1" si="32"/>
        <v>-</v>
      </c>
      <c r="CU12" s="65" t="str">
        <f t="shared" ca="1" si="32"/>
        <v>-</v>
      </c>
      <c r="CV12" s="65" t="str">
        <f t="shared" ca="1" si="32"/>
        <v>-</v>
      </c>
      <c r="CW12" s="65" t="str">
        <f t="shared" ca="1" si="32"/>
        <v>-</v>
      </c>
      <c r="CX12" s="65" t="str">
        <f t="shared" ca="1" si="33"/>
        <v>-</v>
      </c>
      <c r="CY12" s="65" t="str">
        <f t="shared" ca="1" si="33"/>
        <v>-</v>
      </c>
      <c r="CZ12" s="65" t="str">
        <f t="shared" ca="1" si="33"/>
        <v>-</v>
      </c>
      <c r="DA12" s="65" t="str">
        <f t="shared" ca="1" si="33"/>
        <v>-</v>
      </c>
      <c r="DB12" s="65" t="str">
        <f t="shared" ca="1" si="33"/>
        <v>-</v>
      </c>
      <c r="DC12" s="65" t="str">
        <f t="shared" ca="1" si="33"/>
        <v>-</v>
      </c>
      <c r="DD12" s="65" t="str">
        <f t="shared" ca="1" si="33"/>
        <v>-</v>
      </c>
      <c r="DE12" s="65" t="str">
        <f t="shared" ca="1" si="33"/>
        <v>-</v>
      </c>
      <c r="DF12" s="65" t="str">
        <f t="shared" ca="1" si="33"/>
        <v>-</v>
      </c>
      <c r="DG12" s="65" t="str">
        <f t="shared" ca="1" si="33"/>
        <v>-</v>
      </c>
      <c r="DH12" s="65" t="str">
        <f t="shared" ca="1" si="34"/>
        <v>-</v>
      </c>
      <c r="DI12" s="65" t="str">
        <f t="shared" ca="1" si="34"/>
        <v>-</v>
      </c>
      <c r="DJ12" s="65" t="str">
        <f t="shared" ca="1" si="34"/>
        <v>-</v>
      </c>
      <c r="DK12" s="65" t="str">
        <f t="shared" ca="1" si="34"/>
        <v>-</v>
      </c>
      <c r="DL12" s="65" t="str">
        <f t="shared" ca="1" si="34"/>
        <v>-</v>
      </c>
      <c r="DM12" s="65" t="str">
        <f t="shared" ca="1" si="34"/>
        <v>-</v>
      </c>
      <c r="DN12" s="65" t="str">
        <f t="shared" ca="1" si="34"/>
        <v>-</v>
      </c>
      <c r="DO12" s="65" t="str">
        <f t="shared" ca="1" si="34"/>
        <v>-</v>
      </c>
      <c r="DP12" s="65" t="str">
        <f t="shared" ca="1" si="34"/>
        <v>-</v>
      </c>
      <c r="DQ12" s="65" t="str">
        <f t="shared" ca="1" si="34"/>
        <v>-</v>
      </c>
      <c r="DR12" s="65" t="str">
        <f t="shared" ca="1" si="35"/>
        <v>-</v>
      </c>
      <c r="DS12" s="65" t="str">
        <f t="shared" ca="1" si="35"/>
        <v>-</v>
      </c>
      <c r="DT12" s="65" t="str">
        <f t="shared" ca="1" si="35"/>
        <v>-</v>
      </c>
      <c r="DU12" s="65" t="str">
        <f t="shared" ca="1" si="35"/>
        <v>-</v>
      </c>
      <c r="DV12" s="65" t="str">
        <f t="shared" ca="1" si="35"/>
        <v>-</v>
      </c>
      <c r="DW12" s="65" t="str">
        <f t="shared" ca="1" si="35"/>
        <v>-</v>
      </c>
      <c r="DX12" s="65" t="str">
        <f t="shared" ca="1" si="35"/>
        <v>-</v>
      </c>
      <c r="DY12" s="65" t="str">
        <f t="shared" ca="1" si="35"/>
        <v>-</v>
      </c>
      <c r="DZ12" s="65" t="str">
        <f t="shared" ca="1" si="35"/>
        <v>-</v>
      </c>
      <c r="EA12" s="65" t="str">
        <f t="shared" ca="1" si="35"/>
        <v>-</v>
      </c>
      <c r="EB12" s="65" t="str">
        <f t="shared" ca="1" si="36"/>
        <v>-</v>
      </c>
      <c r="EC12" s="65" t="str">
        <f t="shared" ca="1" si="36"/>
        <v>-</v>
      </c>
      <c r="ED12" s="65" t="str">
        <f t="shared" ca="1" si="36"/>
        <v>-</v>
      </c>
      <c r="EE12" s="65" t="str">
        <f t="shared" ca="1" si="36"/>
        <v>-</v>
      </c>
      <c r="EF12" s="65" t="str">
        <f t="shared" ca="1" si="36"/>
        <v>-</v>
      </c>
      <c r="EG12" s="65" t="str">
        <f t="shared" ca="1" si="36"/>
        <v>-</v>
      </c>
      <c r="EH12" s="65" t="str">
        <f t="shared" ca="1" si="36"/>
        <v>-</v>
      </c>
      <c r="EI12" s="65" t="str">
        <f t="shared" ca="1" si="36"/>
        <v>-</v>
      </c>
      <c r="EJ12" s="65" t="str">
        <f t="shared" ca="1" si="36"/>
        <v>-</v>
      </c>
      <c r="EK12" s="65" t="str">
        <f t="shared" ca="1" si="36"/>
        <v>-</v>
      </c>
      <c r="EL12" s="65" t="str">
        <f t="shared" ca="1" si="36"/>
        <v>-</v>
      </c>
      <c r="EM12" s="65" t="str">
        <f t="shared" ca="1" si="36"/>
        <v>-</v>
      </c>
      <c r="EN12" s="65" t="str">
        <f t="shared" ca="1" si="36"/>
        <v>-</v>
      </c>
    </row>
    <row r="13" spans="1:206">
      <c r="A13" s="448"/>
      <c r="B13" s="459"/>
      <c r="C13" s="451"/>
      <c r="D13" s="466"/>
      <c r="E13" s="185" t="s">
        <v>66</v>
      </c>
      <c r="F13" s="66">
        <f>SUM('BESS 11'!S75,'BESS 11'!S78:S79,'BESS 11'!S83:S84)</f>
        <v>127.06666666666666</v>
      </c>
      <c r="G13" s="182">
        <f ca="1">TODAY()</f>
        <v>46233</v>
      </c>
      <c r="H13" s="182">
        <f ca="1">G13+20</f>
        <v>46253</v>
      </c>
      <c r="I13" s="65">
        <f ca="1">H13-G13</f>
        <v>20</v>
      </c>
      <c r="J13" s="453"/>
      <c r="K13" s="445"/>
      <c r="L13" s="65" t="str">
        <f t="shared" ca="1" si="24"/>
        <v>-</v>
      </c>
      <c r="M13" s="65" t="str">
        <f t="shared" ca="1" si="24"/>
        <v>-</v>
      </c>
      <c r="N13" s="65" t="str">
        <f t="shared" ca="1" si="24"/>
        <v>-</v>
      </c>
      <c r="O13" s="65" t="str">
        <f t="shared" ca="1" si="24"/>
        <v>-</v>
      </c>
      <c r="P13" s="65" t="str">
        <f t="shared" ca="1" si="24"/>
        <v>-</v>
      </c>
      <c r="Q13" s="65" t="str">
        <f t="shared" ca="1" si="24"/>
        <v>-</v>
      </c>
      <c r="R13" s="65" t="str">
        <f t="shared" ca="1" si="24"/>
        <v>-</v>
      </c>
      <c r="S13" s="65" t="str">
        <f t="shared" ca="1" si="24"/>
        <v>-</v>
      </c>
      <c r="T13" s="65" t="str">
        <f t="shared" ca="1" si="24"/>
        <v>-</v>
      </c>
      <c r="U13" s="65" t="str">
        <f t="shared" ca="1" si="24"/>
        <v>-</v>
      </c>
      <c r="V13" s="65" t="str">
        <f t="shared" ca="1" si="25"/>
        <v>-</v>
      </c>
      <c r="W13" s="65" t="str">
        <f t="shared" ca="1" si="25"/>
        <v>-</v>
      </c>
      <c r="X13" s="65" t="str">
        <f t="shared" ca="1" si="25"/>
        <v>-</v>
      </c>
      <c r="Y13" s="65" t="str">
        <f t="shared" ca="1" si="25"/>
        <v>-</v>
      </c>
      <c r="Z13" s="65" t="str">
        <f t="shared" ca="1" si="25"/>
        <v>-</v>
      </c>
      <c r="AA13" s="65" t="str">
        <f t="shared" ca="1" si="25"/>
        <v>-</v>
      </c>
      <c r="AB13" s="65" t="str">
        <f t="shared" ca="1" si="25"/>
        <v>-</v>
      </c>
      <c r="AC13" s="65" t="str">
        <f t="shared" ca="1" si="25"/>
        <v>-</v>
      </c>
      <c r="AD13" s="65" t="str">
        <f t="shared" ca="1" si="25"/>
        <v>-</v>
      </c>
      <c r="AE13" s="65" t="str">
        <f t="shared" ca="1" si="25"/>
        <v>-</v>
      </c>
      <c r="AF13" s="65" t="str">
        <f t="shared" ca="1" si="26"/>
        <v>-</v>
      </c>
      <c r="AG13" s="65" t="str">
        <f t="shared" ca="1" si="26"/>
        <v>-</v>
      </c>
      <c r="AH13" s="65" t="str">
        <f t="shared" ca="1" si="26"/>
        <v>-</v>
      </c>
      <c r="AI13" s="65" t="str">
        <f t="shared" ca="1" si="26"/>
        <v>-</v>
      </c>
      <c r="AJ13" s="65" t="str">
        <f t="shared" ca="1" si="26"/>
        <v>-</v>
      </c>
      <c r="AK13" s="65" t="str">
        <f t="shared" ca="1" si="26"/>
        <v>-</v>
      </c>
      <c r="AL13" s="65" t="str">
        <f t="shared" ca="1" si="26"/>
        <v>-</v>
      </c>
      <c r="AM13" s="65" t="str">
        <f t="shared" ca="1" si="26"/>
        <v>-</v>
      </c>
      <c r="AN13" s="65" t="str">
        <f t="shared" ca="1" si="26"/>
        <v>-</v>
      </c>
      <c r="AO13" s="65" t="str">
        <f t="shared" ca="1" si="26"/>
        <v>-</v>
      </c>
      <c r="AP13" s="65" t="str">
        <f t="shared" ca="1" si="27"/>
        <v>-</v>
      </c>
      <c r="AQ13" s="65" t="str">
        <f t="shared" ca="1" si="27"/>
        <v>-</v>
      </c>
      <c r="AR13" s="65" t="str">
        <f t="shared" ca="1" si="27"/>
        <v>-</v>
      </c>
      <c r="AS13" s="65" t="str">
        <f t="shared" ca="1" si="27"/>
        <v>-</v>
      </c>
      <c r="AT13" s="65" t="str">
        <f t="shared" ca="1" si="27"/>
        <v>-</v>
      </c>
      <c r="AU13" s="65" t="str">
        <f t="shared" ca="1" si="27"/>
        <v>-</v>
      </c>
      <c r="AV13" s="65" t="str">
        <f t="shared" ca="1" si="27"/>
        <v>-</v>
      </c>
      <c r="AW13" s="65" t="str">
        <f t="shared" ca="1" si="27"/>
        <v>-</v>
      </c>
      <c r="AX13" s="65">
        <f t="shared" ca="1" si="27"/>
        <v>6</v>
      </c>
      <c r="AY13" s="65">
        <f t="shared" ca="1" si="27"/>
        <v>6</v>
      </c>
      <c r="AZ13" s="65">
        <f t="shared" ca="1" si="28"/>
        <v>6</v>
      </c>
      <c r="BA13" s="65">
        <f t="shared" ca="1" si="28"/>
        <v>6</v>
      </c>
      <c r="BB13" s="65">
        <f t="shared" ca="1" si="28"/>
        <v>6</v>
      </c>
      <c r="BC13" s="65">
        <f t="shared" ca="1" si="28"/>
        <v>6</v>
      </c>
      <c r="BD13" s="65">
        <f t="shared" ca="1" si="28"/>
        <v>6</v>
      </c>
      <c r="BE13" s="65">
        <f t="shared" ca="1" si="28"/>
        <v>6</v>
      </c>
      <c r="BF13" s="65">
        <f t="shared" ca="1" si="28"/>
        <v>6</v>
      </c>
      <c r="BG13" s="65">
        <f t="shared" ca="1" si="28"/>
        <v>6</v>
      </c>
      <c r="BH13" s="65">
        <f t="shared" ca="1" si="28"/>
        <v>6</v>
      </c>
      <c r="BI13" s="65">
        <f t="shared" ca="1" si="28"/>
        <v>6</v>
      </c>
      <c r="BJ13" s="65">
        <f t="shared" ca="1" si="29"/>
        <v>6</v>
      </c>
      <c r="BK13" s="65">
        <f t="shared" ca="1" si="29"/>
        <v>6</v>
      </c>
      <c r="BL13" s="65">
        <f t="shared" ca="1" si="29"/>
        <v>6</v>
      </c>
      <c r="BM13" s="65">
        <f t="shared" ca="1" si="29"/>
        <v>6</v>
      </c>
      <c r="BN13" s="65">
        <f t="shared" ca="1" si="29"/>
        <v>6</v>
      </c>
      <c r="BO13" s="65">
        <f t="shared" ca="1" si="29"/>
        <v>6</v>
      </c>
      <c r="BP13" s="65">
        <f t="shared" ca="1" si="29"/>
        <v>6</v>
      </c>
      <c r="BQ13" s="65">
        <f t="shared" ca="1" si="29"/>
        <v>6</v>
      </c>
      <c r="BR13" s="65" t="str">
        <f t="shared" ca="1" si="29"/>
        <v>-</v>
      </c>
      <c r="BS13" s="65" t="str">
        <f t="shared" ca="1" si="29"/>
        <v>-</v>
      </c>
      <c r="BT13" s="65" t="str">
        <f t="shared" ca="1" si="30"/>
        <v>-</v>
      </c>
      <c r="BU13" s="65" t="str">
        <f t="shared" ca="1" si="30"/>
        <v>-</v>
      </c>
      <c r="BV13" s="65" t="str">
        <f t="shared" ca="1" si="30"/>
        <v>-</v>
      </c>
      <c r="BW13" s="65" t="str">
        <f t="shared" ca="1" si="30"/>
        <v>-</v>
      </c>
      <c r="BX13" s="65" t="str">
        <f t="shared" ca="1" si="30"/>
        <v>-</v>
      </c>
      <c r="BY13" s="65" t="str">
        <f t="shared" ca="1" si="30"/>
        <v>-</v>
      </c>
      <c r="BZ13" s="65" t="str">
        <f t="shared" ca="1" si="30"/>
        <v>-</v>
      </c>
      <c r="CA13" s="65" t="str">
        <f t="shared" ca="1" si="30"/>
        <v>-</v>
      </c>
      <c r="CB13" s="65" t="str">
        <f t="shared" ca="1" si="30"/>
        <v>-</v>
      </c>
      <c r="CC13" s="65" t="str">
        <f t="shared" ca="1" si="30"/>
        <v>-</v>
      </c>
      <c r="CD13" s="65" t="str">
        <f t="shared" ca="1" si="31"/>
        <v>-</v>
      </c>
      <c r="CE13" s="65" t="str">
        <f t="shared" ca="1" si="31"/>
        <v>-</v>
      </c>
      <c r="CF13" s="65" t="str">
        <f t="shared" ca="1" si="31"/>
        <v>-</v>
      </c>
      <c r="CG13" s="65" t="str">
        <f t="shared" ca="1" si="31"/>
        <v>-</v>
      </c>
      <c r="CH13" s="65" t="str">
        <f t="shared" ca="1" si="31"/>
        <v>-</v>
      </c>
      <c r="CI13" s="65" t="str">
        <f t="shared" ca="1" si="31"/>
        <v>-</v>
      </c>
      <c r="CJ13" s="65" t="str">
        <f t="shared" ca="1" si="31"/>
        <v>-</v>
      </c>
      <c r="CK13" s="65" t="str">
        <f t="shared" ca="1" si="31"/>
        <v>-</v>
      </c>
      <c r="CL13" s="65" t="str">
        <f t="shared" ca="1" si="31"/>
        <v>-</v>
      </c>
      <c r="CM13" s="65" t="str">
        <f t="shared" ca="1" si="31"/>
        <v>-</v>
      </c>
      <c r="CN13" s="65" t="str">
        <f t="shared" ca="1" si="32"/>
        <v>-</v>
      </c>
      <c r="CO13" s="65" t="str">
        <f t="shared" ca="1" si="32"/>
        <v>-</v>
      </c>
      <c r="CP13" s="65" t="str">
        <f t="shared" ca="1" si="32"/>
        <v>-</v>
      </c>
      <c r="CQ13" s="65" t="str">
        <f t="shared" ca="1" si="32"/>
        <v>-</v>
      </c>
      <c r="CR13" s="65" t="str">
        <f t="shared" ca="1" si="32"/>
        <v>-</v>
      </c>
      <c r="CS13" s="65" t="str">
        <f t="shared" ca="1" si="32"/>
        <v>-</v>
      </c>
      <c r="CT13" s="65" t="str">
        <f t="shared" ca="1" si="32"/>
        <v>-</v>
      </c>
      <c r="CU13" s="65" t="str">
        <f t="shared" ca="1" si="32"/>
        <v>-</v>
      </c>
      <c r="CV13" s="65" t="str">
        <f t="shared" ca="1" si="32"/>
        <v>-</v>
      </c>
      <c r="CW13" s="65" t="str">
        <f t="shared" ca="1" si="32"/>
        <v>-</v>
      </c>
      <c r="CX13" s="65" t="str">
        <f t="shared" ca="1" si="33"/>
        <v>-</v>
      </c>
      <c r="CY13" s="65" t="str">
        <f t="shared" ca="1" si="33"/>
        <v>-</v>
      </c>
      <c r="CZ13" s="65" t="str">
        <f t="shared" ca="1" si="33"/>
        <v>-</v>
      </c>
      <c r="DA13" s="65" t="str">
        <f t="shared" ca="1" si="33"/>
        <v>-</v>
      </c>
      <c r="DB13" s="65" t="str">
        <f t="shared" ca="1" si="33"/>
        <v>-</v>
      </c>
      <c r="DC13" s="65" t="str">
        <f t="shared" ca="1" si="33"/>
        <v>-</v>
      </c>
      <c r="DD13" s="65" t="str">
        <f t="shared" ca="1" si="33"/>
        <v>-</v>
      </c>
      <c r="DE13" s="65" t="str">
        <f t="shared" ca="1" si="33"/>
        <v>-</v>
      </c>
      <c r="DF13" s="65" t="str">
        <f t="shared" ca="1" si="33"/>
        <v>-</v>
      </c>
      <c r="DG13" s="65" t="str">
        <f t="shared" ca="1" si="33"/>
        <v>-</v>
      </c>
      <c r="DH13" s="65" t="str">
        <f t="shared" ca="1" si="34"/>
        <v>-</v>
      </c>
      <c r="DI13" s="65" t="str">
        <f t="shared" ca="1" si="34"/>
        <v>-</v>
      </c>
      <c r="DJ13" s="65" t="str">
        <f t="shared" ca="1" si="34"/>
        <v>-</v>
      </c>
      <c r="DK13" s="65" t="str">
        <f t="shared" ca="1" si="34"/>
        <v>-</v>
      </c>
      <c r="DL13" s="65" t="str">
        <f t="shared" ca="1" si="34"/>
        <v>-</v>
      </c>
      <c r="DM13" s="65" t="str">
        <f t="shared" ca="1" si="34"/>
        <v>-</v>
      </c>
      <c r="DN13" s="65" t="str">
        <f t="shared" ca="1" si="34"/>
        <v>-</v>
      </c>
      <c r="DO13" s="65" t="str">
        <f t="shared" ca="1" si="34"/>
        <v>-</v>
      </c>
      <c r="DP13" s="65" t="str">
        <f t="shared" ca="1" si="34"/>
        <v>-</v>
      </c>
      <c r="DQ13" s="65" t="str">
        <f t="shared" ca="1" si="34"/>
        <v>-</v>
      </c>
      <c r="DR13" s="65" t="str">
        <f t="shared" ca="1" si="35"/>
        <v>-</v>
      </c>
      <c r="DS13" s="65" t="str">
        <f t="shared" ca="1" si="35"/>
        <v>-</v>
      </c>
      <c r="DT13" s="65" t="str">
        <f t="shared" ca="1" si="35"/>
        <v>-</v>
      </c>
      <c r="DU13" s="65" t="str">
        <f t="shared" ca="1" si="35"/>
        <v>-</v>
      </c>
      <c r="DV13" s="65" t="str">
        <f t="shared" ca="1" si="35"/>
        <v>-</v>
      </c>
      <c r="DW13" s="65" t="str">
        <f t="shared" ca="1" si="35"/>
        <v>-</v>
      </c>
      <c r="DX13" s="65" t="str">
        <f t="shared" ca="1" si="35"/>
        <v>-</v>
      </c>
      <c r="DY13" s="65" t="str">
        <f t="shared" ca="1" si="35"/>
        <v>-</v>
      </c>
      <c r="DZ13" s="65" t="str">
        <f t="shared" ca="1" si="35"/>
        <v>-</v>
      </c>
      <c r="EA13" s="65" t="str">
        <f t="shared" ca="1" si="35"/>
        <v>-</v>
      </c>
      <c r="EB13" s="65" t="str">
        <f t="shared" ca="1" si="36"/>
        <v>-</v>
      </c>
      <c r="EC13" s="65" t="str">
        <f t="shared" ca="1" si="36"/>
        <v>-</v>
      </c>
      <c r="ED13" s="65" t="str">
        <f t="shared" ca="1" si="36"/>
        <v>-</v>
      </c>
      <c r="EE13" s="65" t="str">
        <f t="shared" ca="1" si="36"/>
        <v>-</v>
      </c>
      <c r="EF13" s="65" t="str">
        <f t="shared" ca="1" si="36"/>
        <v>-</v>
      </c>
      <c r="EG13" s="65" t="str">
        <f t="shared" ca="1" si="36"/>
        <v>-</v>
      </c>
      <c r="EH13" s="65" t="str">
        <f t="shared" ca="1" si="36"/>
        <v>-</v>
      </c>
      <c r="EI13" s="65" t="str">
        <f t="shared" ca="1" si="36"/>
        <v>-</v>
      </c>
      <c r="EJ13" s="65" t="str">
        <f t="shared" ca="1" si="36"/>
        <v>-</v>
      </c>
      <c r="EK13" s="65" t="str">
        <f t="shared" ca="1" si="36"/>
        <v>-</v>
      </c>
      <c r="EL13" s="65" t="str">
        <f t="shared" ca="1" si="36"/>
        <v>-</v>
      </c>
      <c r="EM13" s="65" t="str">
        <f t="shared" ca="1" si="36"/>
        <v>-</v>
      </c>
      <c r="EN13" s="65" t="str">
        <f t="shared" ca="1" si="36"/>
        <v>-</v>
      </c>
    </row>
    <row r="14" spans="1:206">
      <c r="A14" s="448"/>
      <c r="B14" s="459"/>
      <c r="C14" s="451"/>
      <c r="D14" s="466"/>
      <c r="E14" s="185" t="s">
        <v>67</v>
      </c>
      <c r="F14" s="66">
        <f>SUM('BESS 11'!S87:S95)</f>
        <v>221.66666666666666</v>
      </c>
      <c r="G14" s="182" t="e">
        <f>H14-14</f>
        <v>#VALUE!</v>
      </c>
      <c r="H14" s="182" t="e">
        <f>B10-3</f>
        <v>#VALUE!</v>
      </c>
      <c r="I14" s="65" t="e">
        <f>H14-G14</f>
        <v>#VALUE!</v>
      </c>
      <c r="J14" s="453"/>
      <c r="K14" s="445"/>
      <c r="L14" s="65" t="e">
        <f t="shared" si="24"/>
        <v>#VALUE!</v>
      </c>
      <c r="M14" s="65" t="e">
        <f t="shared" si="24"/>
        <v>#VALUE!</v>
      </c>
      <c r="N14" s="65" t="e">
        <f t="shared" si="24"/>
        <v>#VALUE!</v>
      </c>
      <c r="O14" s="65" t="e">
        <f t="shared" si="24"/>
        <v>#VALUE!</v>
      </c>
      <c r="P14" s="65" t="e">
        <f t="shared" si="24"/>
        <v>#VALUE!</v>
      </c>
      <c r="Q14" s="65" t="e">
        <f t="shared" si="24"/>
        <v>#VALUE!</v>
      </c>
      <c r="R14" s="65" t="e">
        <f t="shared" si="24"/>
        <v>#VALUE!</v>
      </c>
      <c r="S14" s="65" t="e">
        <f t="shared" si="24"/>
        <v>#VALUE!</v>
      </c>
      <c r="T14" s="65" t="e">
        <f t="shared" si="24"/>
        <v>#VALUE!</v>
      </c>
      <c r="U14" s="65" t="e">
        <f t="shared" si="24"/>
        <v>#VALUE!</v>
      </c>
      <c r="V14" s="65" t="e">
        <f t="shared" si="25"/>
        <v>#VALUE!</v>
      </c>
      <c r="W14" s="65" t="e">
        <f t="shared" si="25"/>
        <v>#VALUE!</v>
      </c>
      <c r="X14" s="65" t="e">
        <f t="shared" si="25"/>
        <v>#VALUE!</v>
      </c>
      <c r="Y14" s="65" t="e">
        <f t="shared" si="25"/>
        <v>#VALUE!</v>
      </c>
      <c r="Z14" s="65" t="e">
        <f t="shared" si="25"/>
        <v>#VALUE!</v>
      </c>
      <c r="AA14" s="65" t="e">
        <f t="shared" si="25"/>
        <v>#VALUE!</v>
      </c>
      <c r="AB14" s="65" t="e">
        <f t="shared" si="25"/>
        <v>#VALUE!</v>
      </c>
      <c r="AC14" s="65" t="e">
        <f t="shared" si="25"/>
        <v>#VALUE!</v>
      </c>
      <c r="AD14" s="65" t="e">
        <f t="shared" si="25"/>
        <v>#VALUE!</v>
      </c>
      <c r="AE14" s="65" t="e">
        <f t="shared" si="25"/>
        <v>#VALUE!</v>
      </c>
      <c r="AF14" s="65" t="e">
        <f t="shared" si="26"/>
        <v>#VALUE!</v>
      </c>
      <c r="AG14" s="65" t="e">
        <f t="shared" si="26"/>
        <v>#VALUE!</v>
      </c>
      <c r="AH14" s="65" t="e">
        <f t="shared" si="26"/>
        <v>#VALUE!</v>
      </c>
      <c r="AI14" s="65" t="e">
        <f t="shared" si="26"/>
        <v>#VALUE!</v>
      </c>
      <c r="AJ14" s="65" t="e">
        <f t="shared" si="26"/>
        <v>#VALUE!</v>
      </c>
      <c r="AK14" s="65" t="e">
        <f t="shared" si="26"/>
        <v>#VALUE!</v>
      </c>
      <c r="AL14" s="65" t="e">
        <f t="shared" si="26"/>
        <v>#VALUE!</v>
      </c>
      <c r="AM14" s="65" t="e">
        <f t="shared" si="26"/>
        <v>#VALUE!</v>
      </c>
      <c r="AN14" s="65" t="e">
        <f t="shared" si="26"/>
        <v>#VALUE!</v>
      </c>
      <c r="AO14" s="65" t="e">
        <f t="shared" si="26"/>
        <v>#VALUE!</v>
      </c>
      <c r="AP14" s="65" t="e">
        <f t="shared" si="27"/>
        <v>#VALUE!</v>
      </c>
      <c r="AQ14" s="65" t="e">
        <f t="shared" si="27"/>
        <v>#VALUE!</v>
      </c>
      <c r="AR14" s="65" t="e">
        <f t="shared" si="27"/>
        <v>#VALUE!</v>
      </c>
      <c r="AS14" s="65" t="e">
        <f t="shared" si="27"/>
        <v>#VALUE!</v>
      </c>
      <c r="AT14" s="65" t="e">
        <f t="shared" si="27"/>
        <v>#VALUE!</v>
      </c>
      <c r="AU14" s="65" t="e">
        <f t="shared" si="27"/>
        <v>#VALUE!</v>
      </c>
      <c r="AV14" s="65" t="e">
        <f t="shared" si="27"/>
        <v>#VALUE!</v>
      </c>
      <c r="AW14" s="65" t="e">
        <f t="shared" si="27"/>
        <v>#VALUE!</v>
      </c>
      <c r="AX14" s="65" t="e">
        <f t="shared" si="27"/>
        <v>#VALUE!</v>
      </c>
      <c r="AY14" s="65" t="e">
        <f t="shared" si="27"/>
        <v>#VALUE!</v>
      </c>
      <c r="AZ14" s="65" t="e">
        <f t="shared" si="28"/>
        <v>#VALUE!</v>
      </c>
      <c r="BA14" s="65" t="e">
        <f t="shared" si="28"/>
        <v>#VALUE!</v>
      </c>
      <c r="BB14" s="65" t="e">
        <f t="shared" si="28"/>
        <v>#VALUE!</v>
      </c>
      <c r="BC14" s="65" t="e">
        <f t="shared" si="28"/>
        <v>#VALUE!</v>
      </c>
      <c r="BD14" s="65" t="e">
        <f t="shared" si="28"/>
        <v>#VALUE!</v>
      </c>
      <c r="BE14" s="65" t="e">
        <f t="shared" si="28"/>
        <v>#VALUE!</v>
      </c>
      <c r="BF14" s="65" t="e">
        <f t="shared" si="28"/>
        <v>#VALUE!</v>
      </c>
      <c r="BG14" s="65" t="e">
        <f t="shared" si="28"/>
        <v>#VALUE!</v>
      </c>
      <c r="BH14" s="65" t="e">
        <f t="shared" si="28"/>
        <v>#VALUE!</v>
      </c>
      <c r="BI14" s="65" t="e">
        <f t="shared" si="28"/>
        <v>#VALUE!</v>
      </c>
      <c r="BJ14" s="65" t="e">
        <f t="shared" si="29"/>
        <v>#VALUE!</v>
      </c>
      <c r="BK14" s="65" t="e">
        <f t="shared" si="29"/>
        <v>#VALUE!</v>
      </c>
      <c r="BL14" s="65" t="e">
        <f t="shared" si="29"/>
        <v>#VALUE!</v>
      </c>
      <c r="BM14" s="65" t="e">
        <f t="shared" si="29"/>
        <v>#VALUE!</v>
      </c>
      <c r="BN14" s="65" t="e">
        <f t="shared" si="29"/>
        <v>#VALUE!</v>
      </c>
      <c r="BO14" s="65" t="e">
        <f t="shared" si="29"/>
        <v>#VALUE!</v>
      </c>
      <c r="BP14" s="65" t="e">
        <f t="shared" si="29"/>
        <v>#VALUE!</v>
      </c>
      <c r="BQ14" s="65" t="e">
        <f t="shared" si="29"/>
        <v>#VALUE!</v>
      </c>
      <c r="BR14" s="65" t="e">
        <f t="shared" si="29"/>
        <v>#VALUE!</v>
      </c>
      <c r="BS14" s="65" t="e">
        <f t="shared" si="29"/>
        <v>#VALUE!</v>
      </c>
      <c r="BT14" s="65" t="e">
        <f t="shared" si="30"/>
        <v>#VALUE!</v>
      </c>
      <c r="BU14" s="65" t="e">
        <f t="shared" si="30"/>
        <v>#VALUE!</v>
      </c>
      <c r="BV14" s="65" t="e">
        <f t="shared" si="30"/>
        <v>#VALUE!</v>
      </c>
      <c r="BW14" s="65" t="e">
        <f t="shared" si="30"/>
        <v>#VALUE!</v>
      </c>
      <c r="BX14" s="65" t="e">
        <f t="shared" si="30"/>
        <v>#VALUE!</v>
      </c>
      <c r="BY14" s="65" t="e">
        <f t="shared" si="30"/>
        <v>#VALUE!</v>
      </c>
      <c r="BZ14" s="65" t="e">
        <f t="shared" si="30"/>
        <v>#VALUE!</v>
      </c>
      <c r="CA14" s="65" t="e">
        <f t="shared" si="30"/>
        <v>#VALUE!</v>
      </c>
      <c r="CB14" s="65" t="e">
        <f t="shared" si="30"/>
        <v>#VALUE!</v>
      </c>
      <c r="CC14" s="65" t="e">
        <f t="shared" si="30"/>
        <v>#VALUE!</v>
      </c>
      <c r="CD14" s="65" t="e">
        <f t="shared" si="31"/>
        <v>#VALUE!</v>
      </c>
      <c r="CE14" s="65" t="e">
        <f t="shared" si="31"/>
        <v>#VALUE!</v>
      </c>
      <c r="CF14" s="65" t="e">
        <f t="shared" si="31"/>
        <v>#VALUE!</v>
      </c>
      <c r="CG14" s="65" t="e">
        <f t="shared" si="31"/>
        <v>#VALUE!</v>
      </c>
      <c r="CH14" s="65" t="e">
        <f t="shared" si="31"/>
        <v>#VALUE!</v>
      </c>
      <c r="CI14" s="65" t="e">
        <f t="shared" si="31"/>
        <v>#VALUE!</v>
      </c>
      <c r="CJ14" s="65" t="e">
        <f t="shared" si="31"/>
        <v>#VALUE!</v>
      </c>
      <c r="CK14" s="65" t="e">
        <f t="shared" si="31"/>
        <v>#VALUE!</v>
      </c>
      <c r="CL14" s="65" t="e">
        <f t="shared" si="31"/>
        <v>#VALUE!</v>
      </c>
      <c r="CM14" s="65" t="e">
        <f t="shared" si="31"/>
        <v>#VALUE!</v>
      </c>
      <c r="CN14" s="65" t="e">
        <f t="shared" si="32"/>
        <v>#VALUE!</v>
      </c>
      <c r="CO14" s="65" t="e">
        <f t="shared" si="32"/>
        <v>#VALUE!</v>
      </c>
      <c r="CP14" s="65" t="e">
        <f t="shared" si="32"/>
        <v>#VALUE!</v>
      </c>
      <c r="CQ14" s="65" t="e">
        <f t="shared" si="32"/>
        <v>#VALUE!</v>
      </c>
      <c r="CR14" s="65" t="e">
        <f t="shared" si="32"/>
        <v>#VALUE!</v>
      </c>
      <c r="CS14" s="65" t="e">
        <f t="shared" si="32"/>
        <v>#VALUE!</v>
      </c>
      <c r="CT14" s="65" t="e">
        <f t="shared" si="32"/>
        <v>#VALUE!</v>
      </c>
      <c r="CU14" s="65" t="e">
        <f t="shared" si="32"/>
        <v>#VALUE!</v>
      </c>
      <c r="CV14" s="65" t="e">
        <f t="shared" si="32"/>
        <v>#VALUE!</v>
      </c>
      <c r="CW14" s="65" t="e">
        <f t="shared" si="32"/>
        <v>#VALUE!</v>
      </c>
      <c r="CX14" s="65" t="e">
        <f t="shared" si="33"/>
        <v>#VALUE!</v>
      </c>
      <c r="CY14" s="65" t="e">
        <f t="shared" si="33"/>
        <v>#VALUE!</v>
      </c>
      <c r="CZ14" s="65" t="e">
        <f t="shared" si="33"/>
        <v>#VALUE!</v>
      </c>
      <c r="DA14" s="65" t="e">
        <f t="shared" si="33"/>
        <v>#VALUE!</v>
      </c>
      <c r="DB14" s="65" t="e">
        <f t="shared" si="33"/>
        <v>#VALUE!</v>
      </c>
      <c r="DC14" s="65" t="e">
        <f t="shared" si="33"/>
        <v>#VALUE!</v>
      </c>
      <c r="DD14" s="65" t="e">
        <f t="shared" si="33"/>
        <v>#VALUE!</v>
      </c>
      <c r="DE14" s="65" t="e">
        <f t="shared" si="33"/>
        <v>#VALUE!</v>
      </c>
      <c r="DF14" s="65" t="e">
        <f t="shared" si="33"/>
        <v>#VALUE!</v>
      </c>
      <c r="DG14" s="65" t="e">
        <f t="shared" si="33"/>
        <v>#VALUE!</v>
      </c>
      <c r="DH14" s="65" t="e">
        <f t="shared" si="34"/>
        <v>#VALUE!</v>
      </c>
      <c r="DI14" s="65" t="e">
        <f t="shared" si="34"/>
        <v>#VALUE!</v>
      </c>
      <c r="DJ14" s="65" t="e">
        <f t="shared" si="34"/>
        <v>#VALUE!</v>
      </c>
      <c r="DK14" s="65" t="e">
        <f t="shared" si="34"/>
        <v>#VALUE!</v>
      </c>
      <c r="DL14" s="65" t="e">
        <f t="shared" si="34"/>
        <v>#VALUE!</v>
      </c>
      <c r="DM14" s="65" t="e">
        <f t="shared" si="34"/>
        <v>#VALUE!</v>
      </c>
      <c r="DN14" s="65" t="e">
        <f t="shared" si="34"/>
        <v>#VALUE!</v>
      </c>
      <c r="DO14" s="65" t="e">
        <f t="shared" si="34"/>
        <v>#VALUE!</v>
      </c>
      <c r="DP14" s="65" t="e">
        <f t="shared" si="34"/>
        <v>#VALUE!</v>
      </c>
      <c r="DQ14" s="65" t="e">
        <f t="shared" si="34"/>
        <v>#VALUE!</v>
      </c>
      <c r="DR14" s="65" t="e">
        <f t="shared" si="35"/>
        <v>#VALUE!</v>
      </c>
      <c r="DS14" s="65" t="e">
        <f t="shared" si="35"/>
        <v>#VALUE!</v>
      </c>
      <c r="DT14" s="65" t="e">
        <f t="shared" si="35"/>
        <v>#VALUE!</v>
      </c>
      <c r="DU14" s="65" t="e">
        <f t="shared" si="35"/>
        <v>#VALUE!</v>
      </c>
      <c r="DV14" s="65" t="e">
        <f t="shared" si="35"/>
        <v>#VALUE!</v>
      </c>
      <c r="DW14" s="65" t="e">
        <f t="shared" si="35"/>
        <v>#VALUE!</v>
      </c>
      <c r="DX14" s="65" t="e">
        <f t="shared" si="35"/>
        <v>#VALUE!</v>
      </c>
      <c r="DY14" s="65" t="e">
        <f t="shared" si="35"/>
        <v>#VALUE!</v>
      </c>
      <c r="DZ14" s="65" t="e">
        <f t="shared" si="35"/>
        <v>#VALUE!</v>
      </c>
      <c r="EA14" s="65" t="e">
        <f t="shared" si="35"/>
        <v>#VALUE!</v>
      </c>
      <c r="EB14" s="65" t="e">
        <f t="shared" si="36"/>
        <v>#VALUE!</v>
      </c>
      <c r="EC14" s="65" t="e">
        <f t="shared" si="36"/>
        <v>#VALUE!</v>
      </c>
      <c r="ED14" s="65" t="e">
        <f t="shared" si="36"/>
        <v>#VALUE!</v>
      </c>
      <c r="EE14" s="65" t="e">
        <f t="shared" si="36"/>
        <v>#VALUE!</v>
      </c>
      <c r="EF14" s="65" t="e">
        <f t="shared" si="36"/>
        <v>#VALUE!</v>
      </c>
      <c r="EG14" s="65" t="e">
        <f t="shared" si="36"/>
        <v>#VALUE!</v>
      </c>
      <c r="EH14" s="65" t="e">
        <f t="shared" si="36"/>
        <v>#VALUE!</v>
      </c>
      <c r="EI14" s="65" t="e">
        <f t="shared" si="36"/>
        <v>#VALUE!</v>
      </c>
      <c r="EJ14" s="65" t="e">
        <f t="shared" si="36"/>
        <v>#VALUE!</v>
      </c>
      <c r="EK14" s="65" t="e">
        <f t="shared" si="36"/>
        <v>#VALUE!</v>
      </c>
      <c r="EL14" s="65" t="e">
        <f t="shared" si="36"/>
        <v>#VALUE!</v>
      </c>
      <c r="EM14" s="65" t="e">
        <f t="shared" si="36"/>
        <v>#VALUE!</v>
      </c>
      <c r="EN14" s="65" t="e">
        <f t="shared" si="36"/>
        <v>#VALUE!</v>
      </c>
    </row>
    <row r="15" spans="1:206">
      <c r="A15" s="449"/>
      <c r="B15" s="460"/>
      <c r="C15" s="452"/>
      <c r="D15" s="466"/>
      <c r="E15" s="185" t="s">
        <v>68</v>
      </c>
      <c r="F15" s="65">
        <v>250</v>
      </c>
      <c r="G15" s="185"/>
      <c r="H15" s="182" t="e">
        <f>B10-3</f>
        <v>#VALUE!</v>
      </c>
      <c r="I15" s="65">
        <v>30</v>
      </c>
      <c r="J15" s="454"/>
      <c r="K15" s="446"/>
      <c r="L15" s="182"/>
      <c r="M15" s="182"/>
      <c r="N15" s="65"/>
      <c r="O15" s="66"/>
      <c r="P15" s="66"/>
      <c r="Q15" s="66"/>
      <c r="R15" s="66"/>
      <c r="S15" s="66"/>
      <c r="T15" s="66"/>
      <c r="U15" s="66"/>
      <c r="V15" s="66">
        <v>5</v>
      </c>
      <c r="W15" s="66">
        <v>5</v>
      </c>
      <c r="X15" s="66">
        <v>5</v>
      </c>
      <c r="Y15" s="66">
        <v>5</v>
      </c>
      <c r="Z15" s="66">
        <v>5</v>
      </c>
      <c r="AA15" s="66">
        <v>5</v>
      </c>
      <c r="AB15" s="66">
        <v>5</v>
      </c>
      <c r="AC15" s="66">
        <v>5</v>
      </c>
      <c r="AD15" s="66">
        <v>5</v>
      </c>
      <c r="AE15" s="66">
        <v>5</v>
      </c>
      <c r="AF15" s="66">
        <v>5</v>
      </c>
      <c r="AG15" s="66">
        <v>5</v>
      </c>
      <c r="AH15" s="66">
        <v>5</v>
      </c>
      <c r="AI15" s="66">
        <v>5</v>
      </c>
      <c r="AJ15" s="66">
        <v>5</v>
      </c>
      <c r="AK15" s="66">
        <v>5</v>
      </c>
      <c r="AL15" s="66">
        <v>5</v>
      </c>
      <c r="AM15" s="66">
        <v>5</v>
      </c>
      <c r="AN15" s="66">
        <v>5</v>
      </c>
      <c r="AO15" s="66">
        <v>5</v>
      </c>
      <c r="AP15" s="66">
        <v>5</v>
      </c>
      <c r="AQ15" s="66">
        <v>5</v>
      </c>
      <c r="AR15" s="66">
        <v>5</v>
      </c>
      <c r="AS15" s="66">
        <v>5</v>
      </c>
      <c r="AT15" s="66">
        <v>30</v>
      </c>
      <c r="AU15" s="66">
        <v>30</v>
      </c>
      <c r="AV15" s="66">
        <v>30</v>
      </c>
      <c r="AW15" s="66">
        <v>30</v>
      </c>
      <c r="AX15" s="66">
        <v>5</v>
      </c>
      <c r="AY15" s="66">
        <v>5</v>
      </c>
      <c r="AZ15" s="66"/>
      <c r="BA15" s="65"/>
      <c r="BB15" s="65"/>
      <c r="BC15" s="185"/>
      <c r="BD15" s="185"/>
      <c r="BE15" s="185"/>
      <c r="BF15" s="185"/>
      <c r="BG15" s="185"/>
      <c r="BH15" s="185"/>
      <c r="BI15" s="185"/>
      <c r="BJ15" s="185"/>
      <c r="BK15" s="185"/>
      <c r="BL15" s="185"/>
      <c r="BM15" s="185"/>
      <c r="BN15" s="185"/>
      <c r="BO15" s="185"/>
      <c r="BP15" s="185"/>
      <c r="BQ15" s="185"/>
      <c r="BR15" s="185"/>
      <c r="BS15" s="185"/>
      <c r="BT15" s="185"/>
      <c r="BU15" s="185"/>
      <c r="BV15" s="185"/>
      <c r="BW15" s="185"/>
      <c r="BX15" s="185"/>
      <c r="BY15" s="185"/>
      <c r="BZ15" s="185"/>
      <c r="CA15" s="185"/>
      <c r="CB15" s="185"/>
      <c r="CC15" s="185"/>
      <c r="CD15" s="185"/>
      <c r="CE15" s="185"/>
      <c r="CF15" s="185"/>
      <c r="CG15" s="185"/>
      <c r="CH15" s="185"/>
      <c r="CI15" s="185"/>
      <c r="CJ15" s="185"/>
      <c r="CK15" s="185"/>
      <c r="CL15" s="185"/>
      <c r="CM15" s="185"/>
      <c r="CN15" s="185"/>
      <c r="CO15" s="185"/>
      <c r="CP15" s="185"/>
      <c r="CQ15" s="185"/>
      <c r="CR15" s="185"/>
      <c r="CS15" s="185"/>
      <c r="CT15" s="185"/>
      <c r="CU15" s="185"/>
      <c r="CV15" s="185"/>
      <c r="CW15" s="185"/>
      <c r="CX15" s="185"/>
      <c r="CY15" s="185"/>
      <c r="CZ15" s="185"/>
      <c r="DA15" s="185"/>
      <c r="DB15" s="185"/>
      <c r="DC15" s="185"/>
      <c r="DD15" s="185"/>
      <c r="DE15" s="185"/>
      <c r="DF15" s="185"/>
      <c r="DG15" s="185"/>
      <c r="DH15" s="185"/>
      <c r="DI15" s="185"/>
      <c r="DJ15" s="185"/>
      <c r="DK15" s="185"/>
      <c r="DL15" s="185"/>
      <c r="DM15" s="185"/>
      <c r="DN15" s="185"/>
      <c r="DO15" s="185"/>
      <c r="DP15" s="185"/>
      <c r="DQ15" s="185"/>
      <c r="DR15" s="185"/>
      <c r="DS15" s="185"/>
      <c r="DT15" s="185"/>
      <c r="DU15" s="185"/>
      <c r="DV15" s="185"/>
      <c r="DW15" s="185"/>
      <c r="DX15" s="185"/>
      <c r="DY15" s="185"/>
      <c r="DZ15" s="185"/>
      <c r="EA15" s="185"/>
      <c r="EB15" s="185"/>
      <c r="EC15" s="185"/>
      <c r="ED15" s="185"/>
      <c r="EE15" s="185"/>
      <c r="EF15" s="185"/>
      <c r="EG15" s="185"/>
      <c r="EH15" s="185"/>
      <c r="EI15" s="185"/>
      <c r="EJ15" s="185"/>
      <c r="EK15" s="185"/>
      <c r="EL15" s="185"/>
      <c r="EM15" s="185"/>
      <c r="EN15" s="185"/>
    </row>
    <row r="16" spans="1:206" s="207" customFormat="1" hidden="1">
      <c r="A16" s="236"/>
      <c r="B16" s="208"/>
      <c r="E16" s="201"/>
      <c r="F16" s="201"/>
      <c r="G16" s="204" t="s">
        <v>69</v>
      </c>
      <c r="H16" s="203"/>
      <c r="I16" s="203"/>
      <c r="J16" s="230"/>
      <c r="K16" s="230"/>
      <c r="L16" s="205" t="e">
        <f ca="1">SUM(L11:L15)</f>
        <v>#VALUE!</v>
      </c>
      <c r="M16" s="205" t="e">
        <f ca="1">SUM(M11:M15)</f>
        <v>#VALUE!</v>
      </c>
      <c r="N16" s="205" t="e">
        <f ca="1">SUM(N11:N15)</f>
        <v>#VALUE!</v>
      </c>
      <c r="O16" s="205" t="e">
        <f t="shared" ref="O16:AZ16" ca="1" si="37">SUM(O11:O15)</f>
        <v>#VALUE!</v>
      </c>
      <c r="P16" s="205" t="e">
        <f t="shared" ca="1" si="37"/>
        <v>#VALUE!</v>
      </c>
      <c r="Q16" s="205" t="e">
        <f t="shared" ca="1" si="37"/>
        <v>#VALUE!</v>
      </c>
      <c r="R16" s="205" t="e">
        <f t="shared" ca="1" si="37"/>
        <v>#VALUE!</v>
      </c>
      <c r="S16" s="205" t="e">
        <f t="shared" ca="1" si="37"/>
        <v>#VALUE!</v>
      </c>
      <c r="T16" s="205" t="e">
        <f t="shared" ca="1" si="37"/>
        <v>#VALUE!</v>
      </c>
      <c r="U16" s="205" t="e">
        <f t="shared" ca="1" si="37"/>
        <v>#VALUE!</v>
      </c>
      <c r="V16" s="205" t="e">
        <f t="shared" ca="1" si="37"/>
        <v>#VALUE!</v>
      </c>
      <c r="W16" s="205" t="e">
        <f t="shared" ca="1" si="37"/>
        <v>#VALUE!</v>
      </c>
      <c r="X16" s="205" t="e">
        <f t="shared" ca="1" si="37"/>
        <v>#VALUE!</v>
      </c>
      <c r="Y16" s="205" t="e">
        <f t="shared" ca="1" si="37"/>
        <v>#VALUE!</v>
      </c>
      <c r="Z16" s="205" t="e">
        <f t="shared" ca="1" si="37"/>
        <v>#VALUE!</v>
      </c>
      <c r="AA16" s="205" t="e">
        <f t="shared" ca="1" si="37"/>
        <v>#VALUE!</v>
      </c>
      <c r="AB16" s="205" t="e">
        <f t="shared" ca="1" si="37"/>
        <v>#VALUE!</v>
      </c>
      <c r="AC16" s="205" t="e">
        <f t="shared" ca="1" si="37"/>
        <v>#VALUE!</v>
      </c>
      <c r="AD16" s="205" t="e">
        <f t="shared" ca="1" si="37"/>
        <v>#VALUE!</v>
      </c>
      <c r="AE16" s="205" t="e">
        <f t="shared" ca="1" si="37"/>
        <v>#VALUE!</v>
      </c>
      <c r="AF16" s="205" t="e">
        <f t="shared" ca="1" si="37"/>
        <v>#VALUE!</v>
      </c>
      <c r="AG16" s="205" t="e">
        <f t="shared" ca="1" si="37"/>
        <v>#VALUE!</v>
      </c>
      <c r="AH16" s="205" t="e">
        <f t="shared" ca="1" si="37"/>
        <v>#VALUE!</v>
      </c>
      <c r="AI16" s="205" t="e">
        <f t="shared" ca="1" si="37"/>
        <v>#VALUE!</v>
      </c>
      <c r="AJ16" s="205" t="e">
        <f t="shared" ca="1" si="37"/>
        <v>#VALUE!</v>
      </c>
      <c r="AK16" s="205" t="e">
        <f t="shared" ca="1" si="37"/>
        <v>#VALUE!</v>
      </c>
      <c r="AL16" s="205" t="e">
        <f t="shared" ca="1" si="37"/>
        <v>#VALUE!</v>
      </c>
      <c r="AM16" s="205" t="e">
        <f t="shared" ca="1" si="37"/>
        <v>#VALUE!</v>
      </c>
      <c r="AN16" s="205" t="e">
        <f t="shared" ca="1" si="37"/>
        <v>#VALUE!</v>
      </c>
      <c r="AO16" s="205" t="e">
        <f t="shared" ca="1" si="37"/>
        <v>#VALUE!</v>
      </c>
      <c r="AP16" s="205" t="e">
        <f t="shared" ca="1" si="37"/>
        <v>#VALUE!</v>
      </c>
      <c r="AQ16" s="205" t="e">
        <f t="shared" ca="1" si="37"/>
        <v>#VALUE!</v>
      </c>
      <c r="AR16" s="205" t="e">
        <f t="shared" ca="1" si="37"/>
        <v>#VALUE!</v>
      </c>
      <c r="AS16" s="205" t="e">
        <f t="shared" ca="1" si="37"/>
        <v>#VALUE!</v>
      </c>
      <c r="AT16" s="205" t="e">
        <f t="shared" ca="1" si="37"/>
        <v>#VALUE!</v>
      </c>
      <c r="AU16" s="205" t="e">
        <f t="shared" ca="1" si="37"/>
        <v>#VALUE!</v>
      </c>
      <c r="AV16" s="205" t="e">
        <f t="shared" ca="1" si="37"/>
        <v>#VALUE!</v>
      </c>
      <c r="AW16" s="205" t="e">
        <f t="shared" ca="1" si="37"/>
        <v>#VALUE!</v>
      </c>
      <c r="AX16" s="205" t="e">
        <f t="shared" ca="1" si="37"/>
        <v>#VALUE!</v>
      </c>
      <c r="AY16" s="205" t="e">
        <f t="shared" ca="1" si="37"/>
        <v>#VALUE!</v>
      </c>
      <c r="AZ16" s="205" t="e">
        <f t="shared" ca="1" si="37"/>
        <v>#VALUE!</v>
      </c>
      <c r="BA16" s="205" t="e">
        <f t="shared" ref="BA16:CF16" ca="1" si="38">SUM(BA11:BA15)</f>
        <v>#VALUE!</v>
      </c>
      <c r="BB16" s="205" t="e">
        <f t="shared" ca="1" si="38"/>
        <v>#VALUE!</v>
      </c>
      <c r="BC16" s="205" t="e">
        <f t="shared" ca="1" si="38"/>
        <v>#VALUE!</v>
      </c>
      <c r="BD16" s="205" t="e">
        <f t="shared" ca="1" si="38"/>
        <v>#VALUE!</v>
      </c>
      <c r="BE16" s="205" t="e">
        <f t="shared" ca="1" si="38"/>
        <v>#VALUE!</v>
      </c>
      <c r="BF16" s="205" t="e">
        <f t="shared" ca="1" si="38"/>
        <v>#VALUE!</v>
      </c>
      <c r="BG16" s="205" t="e">
        <f t="shared" ca="1" si="38"/>
        <v>#VALUE!</v>
      </c>
      <c r="BH16" s="205" t="e">
        <f t="shared" ca="1" si="38"/>
        <v>#VALUE!</v>
      </c>
      <c r="BI16" s="205" t="e">
        <f t="shared" ca="1" si="38"/>
        <v>#VALUE!</v>
      </c>
      <c r="BJ16" s="205" t="e">
        <f t="shared" ca="1" si="38"/>
        <v>#VALUE!</v>
      </c>
      <c r="BK16" s="205" t="e">
        <f t="shared" ca="1" si="38"/>
        <v>#VALUE!</v>
      </c>
      <c r="BL16" s="205" t="e">
        <f t="shared" ca="1" si="38"/>
        <v>#VALUE!</v>
      </c>
      <c r="BM16" s="205" t="e">
        <f t="shared" ca="1" si="38"/>
        <v>#VALUE!</v>
      </c>
      <c r="BN16" s="205" t="e">
        <f t="shared" ca="1" si="38"/>
        <v>#VALUE!</v>
      </c>
      <c r="BO16" s="205" t="e">
        <f t="shared" ca="1" si="38"/>
        <v>#VALUE!</v>
      </c>
      <c r="BP16" s="205" t="e">
        <f t="shared" ca="1" si="38"/>
        <v>#VALUE!</v>
      </c>
      <c r="BQ16" s="205" t="e">
        <f t="shared" ca="1" si="38"/>
        <v>#VALUE!</v>
      </c>
      <c r="BR16" s="205" t="e">
        <f t="shared" ca="1" si="38"/>
        <v>#VALUE!</v>
      </c>
      <c r="BS16" s="205" t="e">
        <f t="shared" ca="1" si="38"/>
        <v>#VALUE!</v>
      </c>
      <c r="BT16" s="205" t="e">
        <f t="shared" ca="1" si="38"/>
        <v>#VALUE!</v>
      </c>
      <c r="BU16" s="205" t="e">
        <f t="shared" ca="1" si="38"/>
        <v>#VALUE!</v>
      </c>
      <c r="BV16" s="205" t="e">
        <f t="shared" ca="1" si="38"/>
        <v>#VALUE!</v>
      </c>
      <c r="BW16" s="205" t="e">
        <f t="shared" ca="1" si="38"/>
        <v>#VALUE!</v>
      </c>
      <c r="BX16" s="205" t="e">
        <f t="shared" ca="1" si="38"/>
        <v>#VALUE!</v>
      </c>
      <c r="BY16" s="205" t="e">
        <f t="shared" ca="1" si="38"/>
        <v>#VALUE!</v>
      </c>
      <c r="BZ16" s="205" t="e">
        <f t="shared" ca="1" si="38"/>
        <v>#VALUE!</v>
      </c>
      <c r="CA16" s="205" t="e">
        <f t="shared" ca="1" si="38"/>
        <v>#VALUE!</v>
      </c>
      <c r="CB16" s="205" t="e">
        <f t="shared" ca="1" si="38"/>
        <v>#VALUE!</v>
      </c>
      <c r="CC16" s="205" t="e">
        <f t="shared" ca="1" si="38"/>
        <v>#VALUE!</v>
      </c>
      <c r="CD16" s="205" t="e">
        <f t="shared" ca="1" si="38"/>
        <v>#VALUE!</v>
      </c>
      <c r="CE16" s="205" t="e">
        <f t="shared" ca="1" si="38"/>
        <v>#VALUE!</v>
      </c>
      <c r="CF16" s="205" t="e">
        <f t="shared" ca="1" si="38"/>
        <v>#VALUE!</v>
      </c>
      <c r="CG16" s="205" t="e">
        <f t="shared" ref="CG16:DL16" ca="1" si="39">SUM(CG11:CG15)</f>
        <v>#VALUE!</v>
      </c>
      <c r="CH16" s="205" t="e">
        <f t="shared" ca="1" si="39"/>
        <v>#VALUE!</v>
      </c>
      <c r="CI16" s="205" t="e">
        <f t="shared" ca="1" si="39"/>
        <v>#VALUE!</v>
      </c>
      <c r="CJ16" s="205" t="e">
        <f t="shared" ca="1" si="39"/>
        <v>#VALUE!</v>
      </c>
      <c r="CK16" s="205" t="e">
        <f t="shared" ca="1" si="39"/>
        <v>#VALUE!</v>
      </c>
      <c r="CL16" s="205" t="e">
        <f t="shared" ca="1" si="39"/>
        <v>#VALUE!</v>
      </c>
      <c r="CM16" s="205" t="e">
        <f t="shared" ca="1" si="39"/>
        <v>#VALUE!</v>
      </c>
      <c r="CN16" s="205" t="e">
        <f t="shared" ca="1" si="39"/>
        <v>#VALUE!</v>
      </c>
      <c r="CO16" s="205" t="e">
        <f t="shared" ca="1" si="39"/>
        <v>#VALUE!</v>
      </c>
      <c r="CP16" s="205" t="e">
        <f t="shared" ca="1" si="39"/>
        <v>#VALUE!</v>
      </c>
      <c r="CQ16" s="205" t="e">
        <f t="shared" ca="1" si="39"/>
        <v>#VALUE!</v>
      </c>
      <c r="CR16" s="205" t="e">
        <f t="shared" ca="1" si="39"/>
        <v>#VALUE!</v>
      </c>
      <c r="CS16" s="205" t="e">
        <f t="shared" ca="1" si="39"/>
        <v>#VALUE!</v>
      </c>
      <c r="CT16" s="205" t="e">
        <f t="shared" ca="1" si="39"/>
        <v>#VALUE!</v>
      </c>
      <c r="CU16" s="205" t="e">
        <f t="shared" ca="1" si="39"/>
        <v>#VALUE!</v>
      </c>
      <c r="CV16" s="205" t="e">
        <f t="shared" ca="1" si="39"/>
        <v>#VALUE!</v>
      </c>
      <c r="CW16" s="205" t="e">
        <f t="shared" ca="1" si="39"/>
        <v>#VALUE!</v>
      </c>
      <c r="CX16" s="205" t="e">
        <f t="shared" ca="1" si="39"/>
        <v>#VALUE!</v>
      </c>
      <c r="CY16" s="205" t="e">
        <f t="shared" ca="1" si="39"/>
        <v>#VALUE!</v>
      </c>
      <c r="CZ16" s="205" t="e">
        <f t="shared" ca="1" si="39"/>
        <v>#VALUE!</v>
      </c>
      <c r="DA16" s="205" t="e">
        <f t="shared" ca="1" si="39"/>
        <v>#VALUE!</v>
      </c>
      <c r="DB16" s="205" t="e">
        <f t="shared" ca="1" si="39"/>
        <v>#VALUE!</v>
      </c>
      <c r="DC16" s="205" t="e">
        <f t="shared" ca="1" si="39"/>
        <v>#VALUE!</v>
      </c>
      <c r="DD16" s="205" t="e">
        <f t="shared" ca="1" si="39"/>
        <v>#VALUE!</v>
      </c>
      <c r="DE16" s="205" t="e">
        <f t="shared" ca="1" si="39"/>
        <v>#VALUE!</v>
      </c>
      <c r="DF16" s="205" t="e">
        <f t="shared" ca="1" si="39"/>
        <v>#VALUE!</v>
      </c>
      <c r="DG16" s="205" t="e">
        <f t="shared" ca="1" si="39"/>
        <v>#VALUE!</v>
      </c>
      <c r="DH16" s="205" t="e">
        <f t="shared" ca="1" si="39"/>
        <v>#VALUE!</v>
      </c>
      <c r="DI16" s="205" t="e">
        <f t="shared" ca="1" si="39"/>
        <v>#VALUE!</v>
      </c>
      <c r="DJ16" s="205" t="e">
        <f t="shared" ca="1" si="39"/>
        <v>#VALUE!</v>
      </c>
      <c r="DK16" s="205" t="e">
        <f t="shared" ca="1" si="39"/>
        <v>#VALUE!</v>
      </c>
      <c r="DL16" s="205" t="e">
        <f t="shared" ca="1" si="39"/>
        <v>#VALUE!</v>
      </c>
      <c r="DM16" s="205" t="e">
        <f t="shared" ref="DM16:EN16" ca="1" si="40">SUM(DM11:DM15)</f>
        <v>#VALUE!</v>
      </c>
      <c r="DN16" s="205" t="e">
        <f t="shared" ca="1" si="40"/>
        <v>#VALUE!</v>
      </c>
      <c r="DO16" s="205" t="e">
        <f t="shared" ca="1" si="40"/>
        <v>#VALUE!</v>
      </c>
      <c r="DP16" s="205" t="e">
        <f t="shared" ca="1" si="40"/>
        <v>#VALUE!</v>
      </c>
      <c r="DQ16" s="205" t="e">
        <f t="shared" ca="1" si="40"/>
        <v>#VALUE!</v>
      </c>
      <c r="DR16" s="205" t="e">
        <f t="shared" ca="1" si="40"/>
        <v>#VALUE!</v>
      </c>
      <c r="DS16" s="205" t="e">
        <f t="shared" ca="1" si="40"/>
        <v>#VALUE!</v>
      </c>
      <c r="DT16" s="205" t="e">
        <f t="shared" ca="1" si="40"/>
        <v>#VALUE!</v>
      </c>
      <c r="DU16" s="205" t="e">
        <f t="shared" ca="1" si="40"/>
        <v>#VALUE!</v>
      </c>
      <c r="DV16" s="205" t="e">
        <f t="shared" ca="1" si="40"/>
        <v>#VALUE!</v>
      </c>
      <c r="DW16" s="205" t="e">
        <f t="shared" ca="1" si="40"/>
        <v>#VALUE!</v>
      </c>
      <c r="DX16" s="205" t="e">
        <f t="shared" ca="1" si="40"/>
        <v>#VALUE!</v>
      </c>
      <c r="DY16" s="205" t="e">
        <f t="shared" ca="1" si="40"/>
        <v>#VALUE!</v>
      </c>
      <c r="DZ16" s="205" t="e">
        <f t="shared" ca="1" si="40"/>
        <v>#VALUE!</v>
      </c>
      <c r="EA16" s="205" t="e">
        <f t="shared" ca="1" si="40"/>
        <v>#VALUE!</v>
      </c>
      <c r="EB16" s="205" t="e">
        <f t="shared" ca="1" si="40"/>
        <v>#VALUE!</v>
      </c>
      <c r="EC16" s="205" t="e">
        <f t="shared" ca="1" si="40"/>
        <v>#VALUE!</v>
      </c>
      <c r="ED16" s="205" t="e">
        <f t="shared" ca="1" si="40"/>
        <v>#VALUE!</v>
      </c>
      <c r="EE16" s="205" t="e">
        <f t="shared" ca="1" si="40"/>
        <v>#VALUE!</v>
      </c>
      <c r="EF16" s="205" t="e">
        <f t="shared" ca="1" si="40"/>
        <v>#VALUE!</v>
      </c>
      <c r="EG16" s="205" t="e">
        <f t="shared" ca="1" si="40"/>
        <v>#VALUE!</v>
      </c>
      <c r="EH16" s="205" t="e">
        <f t="shared" ca="1" si="40"/>
        <v>#VALUE!</v>
      </c>
      <c r="EI16" s="205" t="e">
        <f t="shared" ca="1" si="40"/>
        <v>#VALUE!</v>
      </c>
      <c r="EJ16" s="205" t="e">
        <f t="shared" ca="1" si="40"/>
        <v>#VALUE!</v>
      </c>
      <c r="EK16" s="205" t="e">
        <f t="shared" ca="1" si="40"/>
        <v>#VALUE!</v>
      </c>
      <c r="EL16" s="205" t="e">
        <f t="shared" ca="1" si="40"/>
        <v>#VALUE!</v>
      </c>
      <c r="EM16" s="205" t="e">
        <f t="shared" ca="1" si="40"/>
        <v>#VALUE!</v>
      </c>
      <c r="EN16" s="205" t="e">
        <f t="shared" ca="1" si="40"/>
        <v>#VALUE!</v>
      </c>
      <c r="EO16" s="206" t="e">
        <f ca="1">AVERAGE(L16:BA16)</f>
        <v>#VALUE!</v>
      </c>
      <c r="EP16" s="206" t="e">
        <f ca="1">MAX(L16:BA16)</f>
        <v>#VALUE!</v>
      </c>
    </row>
    <row r="17" spans="1:146">
      <c r="F17" s="53"/>
      <c r="G17" s="183"/>
      <c r="H17" s="53"/>
      <c r="I17" s="53"/>
      <c r="J17" s="231"/>
      <c r="K17" s="231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6"/>
      <c r="AX17" s="196"/>
      <c r="AY17" s="196"/>
      <c r="AZ17" s="196"/>
      <c r="BQ17" s="119"/>
    </row>
    <row r="18" spans="1:146" s="180" customFormat="1" ht="27">
      <c r="A18" s="447" t="s">
        <v>70</v>
      </c>
      <c r="B18" s="450">
        <f>'BESS 11'!F96</f>
        <v>46240</v>
      </c>
      <c r="C18" s="450">
        <f>'BESS 11'!G96</f>
        <v>46245</v>
      </c>
      <c r="D18" s="226"/>
      <c r="E18" s="226" t="s">
        <v>10</v>
      </c>
      <c r="F18" s="217" t="s">
        <v>58</v>
      </c>
      <c r="G18" s="217" t="s">
        <v>78</v>
      </c>
      <c r="H18" s="217" t="s">
        <v>79</v>
      </c>
      <c r="I18" s="217" t="s">
        <v>59</v>
      </c>
      <c r="J18" s="216" t="s">
        <v>80</v>
      </c>
      <c r="K18" s="216" t="s">
        <v>62</v>
      </c>
      <c r="L18" s="218">
        <v>46195</v>
      </c>
      <c r="M18" s="218">
        <v>46196</v>
      </c>
      <c r="N18" s="218">
        <v>46197</v>
      </c>
      <c r="O18" s="218">
        <f t="shared" ref="O18:BZ18" si="41">N18+1</f>
        <v>46198</v>
      </c>
      <c r="P18" s="218">
        <f t="shared" si="41"/>
        <v>46199</v>
      </c>
      <c r="Q18" s="218">
        <f t="shared" si="41"/>
        <v>46200</v>
      </c>
      <c r="R18" s="218">
        <f t="shared" si="41"/>
        <v>46201</v>
      </c>
      <c r="S18" s="218">
        <f t="shared" si="41"/>
        <v>46202</v>
      </c>
      <c r="T18" s="218">
        <f t="shared" si="41"/>
        <v>46203</v>
      </c>
      <c r="U18" s="218">
        <f t="shared" si="41"/>
        <v>46204</v>
      </c>
      <c r="V18" s="218">
        <f t="shared" si="41"/>
        <v>46205</v>
      </c>
      <c r="W18" s="218">
        <f t="shared" si="41"/>
        <v>46206</v>
      </c>
      <c r="X18" s="218">
        <f t="shared" si="41"/>
        <v>46207</v>
      </c>
      <c r="Y18" s="218">
        <f t="shared" si="41"/>
        <v>46208</v>
      </c>
      <c r="Z18" s="218">
        <f t="shared" si="41"/>
        <v>46209</v>
      </c>
      <c r="AA18" s="218">
        <f t="shared" si="41"/>
        <v>46210</v>
      </c>
      <c r="AB18" s="218">
        <f t="shared" si="41"/>
        <v>46211</v>
      </c>
      <c r="AC18" s="218">
        <f t="shared" si="41"/>
        <v>46212</v>
      </c>
      <c r="AD18" s="218">
        <f t="shared" si="41"/>
        <v>46213</v>
      </c>
      <c r="AE18" s="218">
        <f t="shared" si="41"/>
        <v>46214</v>
      </c>
      <c r="AF18" s="218">
        <f t="shared" si="41"/>
        <v>46215</v>
      </c>
      <c r="AG18" s="218">
        <f t="shared" si="41"/>
        <v>46216</v>
      </c>
      <c r="AH18" s="218">
        <f t="shared" si="41"/>
        <v>46217</v>
      </c>
      <c r="AI18" s="218">
        <f t="shared" si="41"/>
        <v>46218</v>
      </c>
      <c r="AJ18" s="218">
        <f t="shared" si="41"/>
        <v>46219</v>
      </c>
      <c r="AK18" s="218">
        <f t="shared" si="41"/>
        <v>46220</v>
      </c>
      <c r="AL18" s="218">
        <f t="shared" si="41"/>
        <v>46221</v>
      </c>
      <c r="AM18" s="218">
        <f t="shared" si="41"/>
        <v>46222</v>
      </c>
      <c r="AN18" s="218">
        <f t="shared" si="41"/>
        <v>46223</v>
      </c>
      <c r="AO18" s="218">
        <f t="shared" si="41"/>
        <v>46224</v>
      </c>
      <c r="AP18" s="218">
        <f t="shared" si="41"/>
        <v>46225</v>
      </c>
      <c r="AQ18" s="218">
        <f t="shared" si="41"/>
        <v>46226</v>
      </c>
      <c r="AR18" s="218">
        <f t="shared" si="41"/>
        <v>46227</v>
      </c>
      <c r="AS18" s="218">
        <f t="shared" si="41"/>
        <v>46228</v>
      </c>
      <c r="AT18" s="218">
        <f t="shared" si="41"/>
        <v>46229</v>
      </c>
      <c r="AU18" s="218">
        <f t="shared" si="41"/>
        <v>46230</v>
      </c>
      <c r="AV18" s="218">
        <f t="shared" si="41"/>
        <v>46231</v>
      </c>
      <c r="AW18" s="218">
        <f t="shared" si="41"/>
        <v>46232</v>
      </c>
      <c r="AX18" s="218">
        <f t="shared" si="41"/>
        <v>46233</v>
      </c>
      <c r="AY18" s="218">
        <f t="shared" si="41"/>
        <v>46234</v>
      </c>
      <c r="AZ18" s="218">
        <f t="shared" si="41"/>
        <v>46235</v>
      </c>
      <c r="BA18" s="218">
        <f t="shared" si="41"/>
        <v>46236</v>
      </c>
      <c r="BB18" s="218">
        <f t="shared" si="41"/>
        <v>46237</v>
      </c>
      <c r="BC18" s="218">
        <f t="shared" si="41"/>
        <v>46238</v>
      </c>
      <c r="BD18" s="218">
        <f t="shared" si="41"/>
        <v>46239</v>
      </c>
      <c r="BE18" s="218">
        <f t="shared" si="41"/>
        <v>46240</v>
      </c>
      <c r="BF18" s="218">
        <f t="shared" si="41"/>
        <v>46241</v>
      </c>
      <c r="BG18" s="218">
        <f t="shared" si="41"/>
        <v>46242</v>
      </c>
      <c r="BH18" s="218">
        <f t="shared" si="41"/>
        <v>46243</v>
      </c>
      <c r="BI18" s="218">
        <f t="shared" si="41"/>
        <v>46244</v>
      </c>
      <c r="BJ18" s="218">
        <f t="shared" si="41"/>
        <v>46245</v>
      </c>
      <c r="BK18" s="218">
        <f t="shared" si="41"/>
        <v>46246</v>
      </c>
      <c r="BL18" s="218">
        <f t="shared" si="41"/>
        <v>46247</v>
      </c>
      <c r="BM18" s="218">
        <f t="shared" si="41"/>
        <v>46248</v>
      </c>
      <c r="BN18" s="218">
        <f t="shared" si="41"/>
        <v>46249</v>
      </c>
      <c r="BO18" s="218">
        <f t="shared" si="41"/>
        <v>46250</v>
      </c>
      <c r="BP18" s="218">
        <f t="shared" si="41"/>
        <v>46251</v>
      </c>
      <c r="BQ18" s="218">
        <f t="shared" si="41"/>
        <v>46252</v>
      </c>
      <c r="BR18" s="218">
        <f t="shared" si="41"/>
        <v>46253</v>
      </c>
      <c r="BS18" s="218">
        <f t="shared" si="41"/>
        <v>46254</v>
      </c>
      <c r="BT18" s="218">
        <f t="shared" si="41"/>
        <v>46255</v>
      </c>
      <c r="BU18" s="218">
        <f t="shared" si="41"/>
        <v>46256</v>
      </c>
      <c r="BV18" s="218">
        <f t="shared" si="41"/>
        <v>46257</v>
      </c>
      <c r="BW18" s="218">
        <f t="shared" si="41"/>
        <v>46258</v>
      </c>
      <c r="BX18" s="218">
        <f t="shared" si="41"/>
        <v>46259</v>
      </c>
      <c r="BY18" s="218">
        <f t="shared" si="41"/>
        <v>46260</v>
      </c>
      <c r="BZ18" s="218">
        <f t="shared" si="41"/>
        <v>46261</v>
      </c>
      <c r="CA18" s="218">
        <f t="shared" ref="CA18:CS18" si="42">BZ18+1</f>
        <v>46262</v>
      </c>
      <c r="CB18" s="218">
        <f t="shared" si="42"/>
        <v>46263</v>
      </c>
      <c r="CC18" s="218">
        <f t="shared" si="42"/>
        <v>46264</v>
      </c>
      <c r="CD18" s="218">
        <f t="shared" si="42"/>
        <v>46265</v>
      </c>
      <c r="CE18" s="218">
        <f t="shared" si="42"/>
        <v>46266</v>
      </c>
      <c r="CF18" s="218">
        <f t="shared" si="42"/>
        <v>46267</v>
      </c>
      <c r="CG18" s="218">
        <f t="shared" si="42"/>
        <v>46268</v>
      </c>
      <c r="CH18" s="218">
        <f t="shared" si="42"/>
        <v>46269</v>
      </c>
      <c r="CI18" s="218">
        <f t="shared" si="42"/>
        <v>46270</v>
      </c>
      <c r="CJ18" s="218">
        <f t="shared" si="42"/>
        <v>46271</v>
      </c>
      <c r="CK18" s="218">
        <f t="shared" si="42"/>
        <v>46272</v>
      </c>
      <c r="CL18" s="218">
        <f t="shared" si="42"/>
        <v>46273</v>
      </c>
      <c r="CM18" s="218">
        <f t="shared" si="42"/>
        <v>46274</v>
      </c>
      <c r="CN18" s="218">
        <f t="shared" si="42"/>
        <v>46275</v>
      </c>
      <c r="CO18" s="218">
        <f t="shared" si="42"/>
        <v>46276</v>
      </c>
      <c r="CP18" s="218">
        <f t="shared" si="42"/>
        <v>46277</v>
      </c>
      <c r="CQ18" s="218">
        <f t="shared" si="42"/>
        <v>46278</v>
      </c>
      <c r="CR18" s="218">
        <f t="shared" si="42"/>
        <v>46279</v>
      </c>
      <c r="CS18" s="218">
        <f t="shared" si="42"/>
        <v>46280</v>
      </c>
      <c r="CT18" s="218">
        <f t="shared" ref="CT18:EN18" si="43">CS18+1</f>
        <v>46281</v>
      </c>
      <c r="CU18" s="218">
        <f t="shared" si="43"/>
        <v>46282</v>
      </c>
      <c r="CV18" s="218">
        <f t="shared" si="43"/>
        <v>46283</v>
      </c>
      <c r="CW18" s="218">
        <f t="shared" si="43"/>
        <v>46284</v>
      </c>
      <c r="CX18" s="218">
        <f t="shared" si="43"/>
        <v>46285</v>
      </c>
      <c r="CY18" s="218">
        <f t="shared" si="43"/>
        <v>46286</v>
      </c>
      <c r="CZ18" s="218">
        <f t="shared" si="43"/>
        <v>46287</v>
      </c>
      <c r="DA18" s="218">
        <f t="shared" si="43"/>
        <v>46288</v>
      </c>
      <c r="DB18" s="218">
        <f t="shared" si="43"/>
        <v>46289</v>
      </c>
      <c r="DC18" s="218">
        <f t="shared" si="43"/>
        <v>46290</v>
      </c>
      <c r="DD18" s="218">
        <f t="shared" si="43"/>
        <v>46291</v>
      </c>
      <c r="DE18" s="218">
        <f t="shared" si="43"/>
        <v>46292</v>
      </c>
      <c r="DF18" s="218">
        <f t="shared" si="43"/>
        <v>46293</v>
      </c>
      <c r="DG18" s="218">
        <f t="shared" si="43"/>
        <v>46294</v>
      </c>
      <c r="DH18" s="218">
        <f t="shared" si="43"/>
        <v>46295</v>
      </c>
      <c r="DI18" s="218">
        <f t="shared" si="43"/>
        <v>46296</v>
      </c>
      <c r="DJ18" s="218">
        <f t="shared" si="43"/>
        <v>46297</v>
      </c>
      <c r="DK18" s="218">
        <f t="shared" si="43"/>
        <v>46298</v>
      </c>
      <c r="DL18" s="218">
        <f t="shared" si="43"/>
        <v>46299</v>
      </c>
      <c r="DM18" s="218">
        <f t="shared" si="43"/>
        <v>46300</v>
      </c>
      <c r="DN18" s="218">
        <f t="shared" si="43"/>
        <v>46301</v>
      </c>
      <c r="DO18" s="218">
        <f t="shared" si="43"/>
        <v>46302</v>
      </c>
      <c r="DP18" s="218">
        <f t="shared" si="43"/>
        <v>46303</v>
      </c>
      <c r="DQ18" s="218">
        <f t="shared" si="43"/>
        <v>46304</v>
      </c>
      <c r="DR18" s="218">
        <f t="shared" si="43"/>
        <v>46305</v>
      </c>
      <c r="DS18" s="218">
        <f t="shared" si="43"/>
        <v>46306</v>
      </c>
      <c r="DT18" s="218">
        <f t="shared" si="43"/>
        <v>46307</v>
      </c>
      <c r="DU18" s="218">
        <f t="shared" si="43"/>
        <v>46308</v>
      </c>
      <c r="DV18" s="218">
        <f t="shared" si="43"/>
        <v>46309</v>
      </c>
      <c r="DW18" s="218">
        <f t="shared" si="43"/>
        <v>46310</v>
      </c>
      <c r="DX18" s="218">
        <f t="shared" si="43"/>
        <v>46311</v>
      </c>
      <c r="DY18" s="218">
        <f t="shared" si="43"/>
        <v>46312</v>
      </c>
      <c r="DZ18" s="218">
        <f t="shared" si="43"/>
        <v>46313</v>
      </c>
      <c r="EA18" s="218">
        <f t="shared" si="43"/>
        <v>46314</v>
      </c>
      <c r="EB18" s="218">
        <f t="shared" si="43"/>
        <v>46315</v>
      </c>
      <c r="EC18" s="218">
        <f t="shared" si="43"/>
        <v>46316</v>
      </c>
      <c r="ED18" s="218">
        <f t="shared" si="43"/>
        <v>46317</v>
      </c>
      <c r="EE18" s="218">
        <f t="shared" si="43"/>
        <v>46318</v>
      </c>
      <c r="EF18" s="218">
        <f t="shared" si="43"/>
        <v>46319</v>
      </c>
      <c r="EG18" s="218">
        <f t="shared" si="43"/>
        <v>46320</v>
      </c>
      <c r="EH18" s="218">
        <f t="shared" si="43"/>
        <v>46321</v>
      </c>
      <c r="EI18" s="218">
        <f t="shared" si="43"/>
        <v>46322</v>
      </c>
      <c r="EJ18" s="218">
        <f t="shared" si="43"/>
        <v>46323</v>
      </c>
      <c r="EK18" s="218">
        <f t="shared" si="43"/>
        <v>46324</v>
      </c>
      <c r="EL18" s="218">
        <f t="shared" si="43"/>
        <v>46325</v>
      </c>
      <c r="EM18" s="218">
        <f t="shared" si="43"/>
        <v>46326</v>
      </c>
      <c r="EN18" s="218">
        <f t="shared" si="43"/>
        <v>46327</v>
      </c>
    </row>
    <row r="19" spans="1:146">
      <c r="A19" s="448"/>
      <c r="B19" s="451"/>
      <c r="C19" s="451"/>
      <c r="D19" s="467">
        <f>'BESS 11'!H96</f>
        <v>46248</v>
      </c>
      <c r="E19" s="185" t="s">
        <v>64</v>
      </c>
      <c r="F19" s="66">
        <f>SUM('BESS 11'!S110:S117,'BESS 11'!S119)</f>
        <v>4</v>
      </c>
      <c r="G19" s="182">
        <f ca="1">TODAY()</f>
        <v>46233</v>
      </c>
      <c r="H19" s="182">
        <f ca="1">G19+10</f>
        <v>46243</v>
      </c>
      <c r="I19" s="65">
        <f ca="1">H19-G19</f>
        <v>10</v>
      </c>
      <c r="J19" s="444">
        <f ca="1">AVERAGEIF(L24:EN24,"&gt;0")</f>
        <v>61.265306122448976</v>
      </c>
      <c r="K19" s="444">
        <f ca="1">MAX(L24:EN24)</f>
        <v>134</v>
      </c>
      <c r="L19" s="65" t="str">
        <f t="shared" ref="L19:U22" ca="1" si="44">IF(AND(L$2&gt;=$G19,L$2&lt;($G19+$I19)),ROUND($F19/$I19,0),"-")</f>
        <v>-</v>
      </c>
      <c r="M19" s="65" t="str">
        <f t="shared" ca="1" si="44"/>
        <v>-</v>
      </c>
      <c r="N19" s="65" t="str">
        <f t="shared" ca="1" si="44"/>
        <v>-</v>
      </c>
      <c r="O19" s="65" t="str">
        <f t="shared" ca="1" si="44"/>
        <v>-</v>
      </c>
      <c r="P19" s="65" t="str">
        <f t="shared" ca="1" si="44"/>
        <v>-</v>
      </c>
      <c r="Q19" s="65" t="str">
        <f t="shared" ca="1" si="44"/>
        <v>-</v>
      </c>
      <c r="R19" s="65" t="str">
        <f t="shared" ca="1" si="44"/>
        <v>-</v>
      </c>
      <c r="S19" s="65" t="str">
        <f t="shared" ca="1" si="44"/>
        <v>-</v>
      </c>
      <c r="T19" s="65" t="str">
        <f t="shared" ca="1" si="44"/>
        <v>-</v>
      </c>
      <c r="U19" s="65" t="str">
        <f t="shared" ca="1" si="44"/>
        <v>-</v>
      </c>
      <c r="V19" s="65" t="str">
        <f t="shared" ref="V19:AE22" ca="1" si="45">IF(AND(V$2&gt;=$G19,V$2&lt;($G19+$I19)),ROUND($F19/$I19,0),"-")</f>
        <v>-</v>
      </c>
      <c r="W19" s="65" t="str">
        <f t="shared" ca="1" si="45"/>
        <v>-</v>
      </c>
      <c r="X19" s="65" t="str">
        <f t="shared" ca="1" si="45"/>
        <v>-</v>
      </c>
      <c r="Y19" s="65" t="str">
        <f t="shared" ca="1" si="45"/>
        <v>-</v>
      </c>
      <c r="Z19" s="65" t="str">
        <f t="shared" ca="1" si="45"/>
        <v>-</v>
      </c>
      <c r="AA19" s="65" t="str">
        <f t="shared" ca="1" si="45"/>
        <v>-</v>
      </c>
      <c r="AB19" s="65" t="str">
        <f t="shared" ca="1" si="45"/>
        <v>-</v>
      </c>
      <c r="AC19" s="65" t="str">
        <f t="shared" ca="1" si="45"/>
        <v>-</v>
      </c>
      <c r="AD19" s="65" t="str">
        <f t="shared" ca="1" si="45"/>
        <v>-</v>
      </c>
      <c r="AE19" s="65" t="str">
        <f t="shared" ca="1" si="45"/>
        <v>-</v>
      </c>
      <c r="AF19" s="65" t="str">
        <f t="shared" ref="AF19:AO22" ca="1" si="46">IF(AND(AF$2&gt;=$G19,AF$2&lt;($G19+$I19)),ROUND($F19/$I19,0),"-")</f>
        <v>-</v>
      </c>
      <c r="AG19" s="65" t="str">
        <f t="shared" ca="1" si="46"/>
        <v>-</v>
      </c>
      <c r="AH19" s="65" t="str">
        <f t="shared" ca="1" si="46"/>
        <v>-</v>
      </c>
      <c r="AI19" s="65" t="str">
        <f t="shared" ca="1" si="46"/>
        <v>-</v>
      </c>
      <c r="AJ19" s="65" t="str">
        <f t="shared" ca="1" si="46"/>
        <v>-</v>
      </c>
      <c r="AK19" s="65" t="str">
        <f t="shared" ca="1" si="46"/>
        <v>-</v>
      </c>
      <c r="AL19" s="65" t="str">
        <f t="shared" ca="1" si="46"/>
        <v>-</v>
      </c>
      <c r="AM19" s="65" t="str">
        <f t="shared" ca="1" si="46"/>
        <v>-</v>
      </c>
      <c r="AN19" s="65" t="str">
        <f t="shared" ca="1" si="46"/>
        <v>-</v>
      </c>
      <c r="AO19" s="65" t="str">
        <f t="shared" ca="1" si="46"/>
        <v>-</v>
      </c>
      <c r="AP19" s="65" t="str">
        <f t="shared" ref="AP19:AY22" ca="1" si="47">IF(AND(AP$2&gt;=$G19,AP$2&lt;($G19+$I19)),ROUND($F19/$I19,0),"-")</f>
        <v>-</v>
      </c>
      <c r="AQ19" s="65" t="str">
        <f t="shared" ca="1" si="47"/>
        <v>-</v>
      </c>
      <c r="AR19" s="65" t="str">
        <f t="shared" ca="1" si="47"/>
        <v>-</v>
      </c>
      <c r="AS19" s="65" t="str">
        <f t="shared" ca="1" si="47"/>
        <v>-</v>
      </c>
      <c r="AT19" s="65" t="str">
        <f t="shared" ca="1" si="47"/>
        <v>-</v>
      </c>
      <c r="AU19" s="65" t="str">
        <f t="shared" ca="1" si="47"/>
        <v>-</v>
      </c>
      <c r="AV19" s="65" t="str">
        <f t="shared" ca="1" si="47"/>
        <v>-</v>
      </c>
      <c r="AW19" s="65" t="str">
        <f t="shared" ca="1" si="47"/>
        <v>-</v>
      </c>
      <c r="AX19" s="65">
        <f t="shared" ca="1" si="47"/>
        <v>0</v>
      </c>
      <c r="AY19" s="65">
        <f t="shared" ca="1" si="47"/>
        <v>0</v>
      </c>
      <c r="AZ19" s="65">
        <f t="shared" ref="AZ19:BI22" ca="1" si="48">IF(AND(AZ$2&gt;=$G19,AZ$2&lt;($G19+$I19)),ROUND($F19/$I19,0),"-")</f>
        <v>0</v>
      </c>
      <c r="BA19" s="65">
        <f t="shared" ca="1" si="48"/>
        <v>0</v>
      </c>
      <c r="BB19" s="65">
        <f t="shared" ca="1" si="48"/>
        <v>0</v>
      </c>
      <c r="BC19" s="65">
        <f t="shared" ca="1" si="48"/>
        <v>0</v>
      </c>
      <c r="BD19" s="65">
        <f t="shared" ca="1" si="48"/>
        <v>0</v>
      </c>
      <c r="BE19" s="65">
        <f t="shared" ca="1" si="48"/>
        <v>0</v>
      </c>
      <c r="BF19" s="65">
        <f t="shared" ca="1" si="48"/>
        <v>0</v>
      </c>
      <c r="BG19" s="65">
        <f t="shared" ca="1" si="48"/>
        <v>0</v>
      </c>
      <c r="BH19" s="65" t="str">
        <f t="shared" ca="1" si="48"/>
        <v>-</v>
      </c>
      <c r="BI19" s="65" t="str">
        <f t="shared" ca="1" si="48"/>
        <v>-</v>
      </c>
      <c r="BJ19" s="65" t="str">
        <f t="shared" ref="BJ19:BS22" ca="1" si="49">IF(AND(BJ$2&gt;=$G19,BJ$2&lt;($G19+$I19)),ROUND($F19/$I19,0),"-")</f>
        <v>-</v>
      </c>
      <c r="BK19" s="65" t="str">
        <f t="shared" ca="1" si="49"/>
        <v>-</v>
      </c>
      <c r="BL19" s="65" t="str">
        <f t="shared" ca="1" si="49"/>
        <v>-</v>
      </c>
      <c r="BM19" s="65" t="str">
        <f t="shared" ca="1" si="49"/>
        <v>-</v>
      </c>
      <c r="BN19" s="65" t="str">
        <f t="shared" ca="1" si="49"/>
        <v>-</v>
      </c>
      <c r="BO19" s="65" t="str">
        <f t="shared" ca="1" si="49"/>
        <v>-</v>
      </c>
      <c r="BP19" s="65" t="str">
        <f t="shared" ca="1" si="49"/>
        <v>-</v>
      </c>
      <c r="BQ19" s="65" t="str">
        <f t="shared" ca="1" si="49"/>
        <v>-</v>
      </c>
      <c r="BR19" s="65" t="str">
        <f t="shared" ca="1" si="49"/>
        <v>-</v>
      </c>
      <c r="BS19" s="65" t="str">
        <f t="shared" ca="1" si="49"/>
        <v>-</v>
      </c>
      <c r="BT19" s="65" t="str">
        <f t="shared" ref="BT19:CC22" ca="1" si="50">IF(AND(BT$2&gt;=$G19,BT$2&lt;($G19+$I19)),ROUND($F19/$I19,0),"-")</f>
        <v>-</v>
      </c>
      <c r="BU19" s="65" t="str">
        <f t="shared" ca="1" si="50"/>
        <v>-</v>
      </c>
      <c r="BV19" s="65" t="str">
        <f t="shared" ca="1" si="50"/>
        <v>-</v>
      </c>
      <c r="BW19" s="65" t="str">
        <f t="shared" ca="1" si="50"/>
        <v>-</v>
      </c>
      <c r="BX19" s="65" t="str">
        <f t="shared" ca="1" si="50"/>
        <v>-</v>
      </c>
      <c r="BY19" s="65" t="str">
        <f t="shared" ca="1" si="50"/>
        <v>-</v>
      </c>
      <c r="BZ19" s="65" t="str">
        <f t="shared" ca="1" si="50"/>
        <v>-</v>
      </c>
      <c r="CA19" s="65" t="str">
        <f t="shared" ca="1" si="50"/>
        <v>-</v>
      </c>
      <c r="CB19" s="65" t="str">
        <f t="shared" ca="1" si="50"/>
        <v>-</v>
      </c>
      <c r="CC19" s="65" t="str">
        <f t="shared" ca="1" si="50"/>
        <v>-</v>
      </c>
      <c r="CD19" s="65" t="str">
        <f t="shared" ref="CD19:CM22" ca="1" si="51">IF(AND(CD$2&gt;=$G19,CD$2&lt;($G19+$I19)),ROUND($F19/$I19,0),"-")</f>
        <v>-</v>
      </c>
      <c r="CE19" s="65" t="str">
        <f t="shared" ca="1" si="51"/>
        <v>-</v>
      </c>
      <c r="CF19" s="65" t="str">
        <f t="shared" ca="1" si="51"/>
        <v>-</v>
      </c>
      <c r="CG19" s="65" t="str">
        <f t="shared" ca="1" si="51"/>
        <v>-</v>
      </c>
      <c r="CH19" s="65" t="str">
        <f t="shared" ca="1" si="51"/>
        <v>-</v>
      </c>
      <c r="CI19" s="65" t="str">
        <f t="shared" ca="1" si="51"/>
        <v>-</v>
      </c>
      <c r="CJ19" s="65" t="str">
        <f t="shared" ca="1" si="51"/>
        <v>-</v>
      </c>
      <c r="CK19" s="65" t="str">
        <f t="shared" ca="1" si="51"/>
        <v>-</v>
      </c>
      <c r="CL19" s="65" t="str">
        <f t="shared" ca="1" si="51"/>
        <v>-</v>
      </c>
      <c r="CM19" s="65" t="str">
        <f t="shared" ca="1" si="51"/>
        <v>-</v>
      </c>
      <c r="CN19" s="65" t="str">
        <f t="shared" ref="CN19:CW22" ca="1" si="52">IF(AND(CN$2&gt;=$G19,CN$2&lt;($G19+$I19)),ROUND($F19/$I19,0),"-")</f>
        <v>-</v>
      </c>
      <c r="CO19" s="65" t="str">
        <f t="shared" ca="1" si="52"/>
        <v>-</v>
      </c>
      <c r="CP19" s="65" t="str">
        <f t="shared" ca="1" si="52"/>
        <v>-</v>
      </c>
      <c r="CQ19" s="65" t="str">
        <f t="shared" ca="1" si="52"/>
        <v>-</v>
      </c>
      <c r="CR19" s="65" t="str">
        <f t="shared" ca="1" si="52"/>
        <v>-</v>
      </c>
      <c r="CS19" s="65" t="str">
        <f t="shared" ca="1" si="52"/>
        <v>-</v>
      </c>
      <c r="CT19" s="65" t="str">
        <f t="shared" ca="1" si="52"/>
        <v>-</v>
      </c>
      <c r="CU19" s="65" t="str">
        <f t="shared" ca="1" si="52"/>
        <v>-</v>
      </c>
      <c r="CV19" s="65" t="str">
        <f t="shared" ca="1" si="52"/>
        <v>-</v>
      </c>
      <c r="CW19" s="65" t="str">
        <f t="shared" ca="1" si="52"/>
        <v>-</v>
      </c>
      <c r="CX19" s="65" t="str">
        <f t="shared" ref="CX19:DG22" ca="1" si="53">IF(AND(CX$2&gt;=$G19,CX$2&lt;($G19+$I19)),ROUND($F19/$I19,0),"-")</f>
        <v>-</v>
      </c>
      <c r="CY19" s="65" t="str">
        <f t="shared" ca="1" si="53"/>
        <v>-</v>
      </c>
      <c r="CZ19" s="65" t="str">
        <f t="shared" ca="1" si="53"/>
        <v>-</v>
      </c>
      <c r="DA19" s="65" t="str">
        <f t="shared" ca="1" si="53"/>
        <v>-</v>
      </c>
      <c r="DB19" s="65" t="str">
        <f t="shared" ca="1" si="53"/>
        <v>-</v>
      </c>
      <c r="DC19" s="65" t="str">
        <f t="shared" ca="1" si="53"/>
        <v>-</v>
      </c>
      <c r="DD19" s="65" t="str">
        <f t="shared" ca="1" si="53"/>
        <v>-</v>
      </c>
      <c r="DE19" s="65" t="str">
        <f t="shared" ca="1" si="53"/>
        <v>-</v>
      </c>
      <c r="DF19" s="65" t="str">
        <f t="shared" ca="1" si="53"/>
        <v>-</v>
      </c>
      <c r="DG19" s="65" t="str">
        <f t="shared" ca="1" si="53"/>
        <v>-</v>
      </c>
      <c r="DH19" s="65" t="str">
        <f t="shared" ref="DH19:DQ22" ca="1" si="54">IF(AND(DH$2&gt;=$G19,DH$2&lt;($G19+$I19)),ROUND($F19/$I19,0),"-")</f>
        <v>-</v>
      </c>
      <c r="DI19" s="65" t="str">
        <f t="shared" ca="1" si="54"/>
        <v>-</v>
      </c>
      <c r="DJ19" s="65" t="str">
        <f t="shared" ca="1" si="54"/>
        <v>-</v>
      </c>
      <c r="DK19" s="65" t="str">
        <f t="shared" ca="1" si="54"/>
        <v>-</v>
      </c>
      <c r="DL19" s="65" t="str">
        <f t="shared" ca="1" si="54"/>
        <v>-</v>
      </c>
      <c r="DM19" s="65" t="str">
        <f t="shared" ca="1" si="54"/>
        <v>-</v>
      </c>
      <c r="DN19" s="65" t="str">
        <f t="shared" ca="1" si="54"/>
        <v>-</v>
      </c>
      <c r="DO19" s="65" t="str">
        <f t="shared" ca="1" si="54"/>
        <v>-</v>
      </c>
      <c r="DP19" s="65" t="str">
        <f t="shared" ca="1" si="54"/>
        <v>-</v>
      </c>
      <c r="DQ19" s="65" t="str">
        <f t="shared" ca="1" si="54"/>
        <v>-</v>
      </c>
      <c r="DR19" s="65" t="str">
        <f t="shared" ref="DR19:EA22" ca="1" si="55">IF(AND(DR$2&gt;=$G19,DR$2&lt;($G19+$I19)),ROUND($F19/$I19,0),"-")</f>
        <v>-</v>
      </c>
      <c r="DS19" s="65" t="str">
        <f t="shared" ca="1" si="55"/>
        <v>-</v>
      </c>
      <c r="DT19" s="65" t="str">
        <f t="shared" ca="1" si="55"/>
        <v>-</v>
      </c>
      <c r="DU19" s="65" t="str">
        <f t="shared" ca="1" si="55"/>
        <v>-</v>
      </c>
      <c r="DV19" s="65" t="str">
        <f t="shared" ca="1" si="55"/>
        <v>-</v>
      </c>
      <c r="DW19" s="65" t="str">
        <f t="shared" ca="1" si="55"/>
        <v>-</v>
      </c>
      <c r="DX19" s="65" t="str">
        <f t="shared" ca="1" si="55"/>
        <v>-</v>
      </c>
      <c r="DY19" s="65" t="str">
        <f t="shared" ca="1" si="55"/>
        <v>-</v>
      </c>
      <c r="DZ19" s="65" t="str">
        <f t="shared" ca="1" si="55"/>
        <v>-</v>
      </c>
      <c r="EA19" s="65" t="str">
        <f t="shared" ca="1" si="55"/>
        <v>-</v>
      </c>
      <c r="EB19" s="65" t="str">
        <f t="shared" ref="EB19:EN22" ca="1" si="56">IF(AND(EB$2&gt;=$G19,EB$2&lt;($G19+$I19)),ROUND($F19/$I19,0),"-")</f>
        <v>-</v>
      </c>
      <c r="EC19" s="65" t="str">
        <f t="shared" ca="1" si="56"/>
        <v>-</v>
      </c>
      <c r="ED19" s="65" t="str">
        <f t="shared" ca="1" si="56"/>
        <v>-</v>
      </c>
      <c r="EE19" s="65" t="str">
        <f t="shared" ca="1" si="56"/>
        <v>-</v>
      </c>
      <c r="EF19" s="65" t="str">
        <f t="shared" ca="1" si="56"/>
        <v>-</v>
      </c>
      <c r="EG19" s="65" t="str">
        <f t="shared" ca="1" si="56"/>
        <v>-</v>
      </c>
      <c r="EH19" s="65" t="str">
        <f t="shared" ca="1" si="56"/>
        <v>-</v>
      </c>
      <c r="EI19" s="65" t="str">
        <f t="shared" ca="1" si="56"/>
        <v>-</v>
      </c>
      <c r="EJ19" s="65" t="str">
        <f t="shared" ca="1" si="56"/>
        <v>-</v>
      </c>
      <c r="EK19" s="65" t="str">
        <f t="shared" ca="1" si="56"/>
        <v>-</v>
      </c>
      <c r="EL19" s="65" t="str">
        <f t="shared" ca="1" si="56"/>
        <v>-</v>
      </c>
      <c r="EM19" s="65" t="str">
        <f t="shared" ca="1" si="56"/>
        <v>-</v>
      </c>
      <c r="EN19" s="65" t="str">
        <f t="shared" ca="1" si="56"/>
        <v>-</v>
      </c>
    </row>
    <row r="20" spans="1:146">
      <c r="A20" s="448"/>
      <c r="B20" s="451"/>
      <c r="C20" s="451"/>
      <c r="D20" s="466"/>
      <c r="E20" s="185" t="s">
        <v>65</v>
      </c>
      <c r="F20" s="66">
        <f>SUM('BESS 11'!S120,'BESS 11'!S122:S123,'BESS 11'!S126:S128)</f>
        <v>251.29999999999998</v>
      </c>
      <c r="G20" s="182">
        <f ca="1">TODAY()</f>
        <v>46233</v>
      </c>
      <c r="H20" s="182">
        <f>MAX('BESS 11'!O120,'BESS 11'!O122:O123,'BESS 11'!O126:O128)</f>
        <v>46233</v>
      </c>
      <c r="I20" s="65">
        <f ca="1">H20-G20</f>
        <v>0</v>
      </c>
      <c r="J20" s="453"/>
      <c r="K20" s="445"/>
      <c r="L20" s="65" t="str">
        <f t="shared" ca="1" si="44"/>
        <v>-</v>
      </c>
      <c r="M20" s="65" t="str">
        <f t="shared" ca="1" si="44"/>
        <v>-</v>
      </c>
      <c r="N20" s="65" t="str">
        <f t="shared" ca="1" si="44"/>
        <v>-</v>
      </c>
      <c r="O20" s="65" t="str">
        <f t="shared" ca="1" si="44"/>
        <v>-</v>
      </c>
      <c r="P20" s="65" t="str">
        <f t="shared" ca="1" si="44"/>
        <v>-</v>
      </c>
      <c r="Q20" s="65" t="str">
        <f t="shared" ca="1" si="44"/>
        <v>-</v>
      </c>
      <c r="R20" s="65" t="str">
        <f t="shared" ca="1" si="44"/>
        <v>-</v>
      </c>
      <c r="S20" s="65" t="str">
        <f t="shared" ca="1" si="44"/>
        <v>-</v>
      </c>
      <c r="T20" s="65" t="str">
        <f t="shared" ca="1" si="44"/>
        <v>-</v>
      </c>
      <c r="U20" s="65" t="str">
        <f t="shared" ca="1" si="44"/>
        <v>-</v>
      </c>
      <c r="V20" s="65" t="str">
        <f t="shared" ca="1" si="45"/>
        <v>-</v>
      </c>
      <c r="W20" s="65" t="str">
        <f t="shared" ca="1" si="45"/>
        <v>-</v>
      </c>
      <c r="X20" s="65" t="str">
        <f t="shared" ca="1" si="45"/>
        <v>-</v>
      </c>
      <c r="Y20" s="65" t="str">
        <f t="shared" ca="1" si="45"/>
        <v>-</v>
      </c>
      <c r="Z20" s="65" t="str">
        <f t="shared" ca="1" si="45"/>
        <v>-</v>
      </c>
      <c r="AA20" s="65" t="str">
        <f t="shared" ca="1" si="45"/>
        <v>-</v>
      </c>
      <c r="AB20" s="65" t="str">
        <f t="shared" ca="1" si="45"/>
        <v>-</v>
      </c>
      <c r="AC20" s="65" t="str">
        <f t="shared" ca="1" si="45"/>
        <v>-</v>
      </c>
      <c r="AD20" s="65" t="str">
        <f t="shared" ca="1" si="45"/>
        <v>-</v>
      </c>
      <c r="AE20" s="65" t="str">
        <f t="shared" ca="1" si="45"/>
        <v>-</v>
      </c>
      <c r="AF20" s="65" t="str">
        <f t="shared" ca="1" si="46"/>
        <v>-</v>
      </c>
      <c r="AG20" s="65" t="str">
        <f t="shared" ca="1" si="46"/>
        <v>-</v>
      </c>
      <c r="AH20" s="65" t="str">
        <f t="shared" ca="1" si="46"/>
        <v>-</v>
      </c>
      <c r="AI20" s="65" t="str">
        <f t="shared" ca="1" si="46"/>
        <v>-</v>
      </c>
      <c r="AJ20" s="65" t="str">
        <f t="shared" ca="1" si="46"/>
        <v>-</v>
      </c>
      <c r="AK20" s="65" t="str">
        <f t="shared" ca="1" si="46"/>
        <v>-</v>
      </c>
      <c r="AL20" s="65" t="str">
        <f t="shared" ca="1" si="46"/>
        <v>-</v>
      </c>
      <c r="AM20" s="65" t="str">
        <f t="shared" ca="1" si="46"/>
        <v>-</v>
      </c>
      <c r="AN20" s="65" t="str">
        <f t="shared" ca="1" si="46"/>
        <v>-</v>
      </c>
      <c r="AO20" s="65" t="str">
        <f t="shared" ca="1" si="46"/>
        <v>-</v>
      </c>
      <c r="AP20" s="65" t="str">
        <f t="shared" ca="1" si="47"/>
        <v>-</v>
      </c>
      <c r="AQ20" s="65" t="str">
        <f t="shared" ca="1" si="47"/>
        <v>-</v>
      </c>
      <c r="AR20" s="65" t="str">
        <f t="shared" ca="1" si="47"/>
        <v>-</v>
      </c>
      <c r="AS20" s="65" t="str">
        <f t="shared" ca="1" si="47"/>
        <v>-</v>
      </c>
      <c r="AT20" s="65" t="str">
        <f t="shared" ca="1" si="47"/>
        <v>-</v>
      </c>
      <c r="AU20" s="65" t="str">
        <f t="shared" ca="1" si="47"/>
        <v>-</v>
      </c>
      <c r="AV20" s="65" t="str">
        <f t="shared" ca="1" si="47"/>
        <v>-</v>
      </c>
      <c r="AW20" s="65" t="str">
        <f t="shared" ca="1" si="47"/>
        <v>-</v>
      </c>
      <c r="AX20" s="65" t="str">
        <f t="shared" ca="1" si="47"/>
        <v>-</v>
      </c>
      <c r="AY20" s="65" t="str">
        <f t="shared" ca="1" si="47"/>
        <v>-</v>
      </c>
      <c r="AZ20" s="65" t="str">
        <f t="shared" ca="1" si="48"/>
        <v>-</v>
      </c>
      <c r="BA20" s="65" t="str">
        <f t="shared" ca="1" si="48"/>
        <v>-</v>
      </c>
      <c r="BB20" s="65" t="str">
        <f t="shared" ca="1" si="48"/>
        <v>-</v>
      </c>
      <c r="BC20" s="65" t="str">
        <f t="shared" ca="1" si="48"/>
        <v>-</v>
      </c>
      <c r="BD20" s="65" t="str">
        <f t="shared" ca="1" si="48"/>
        <v>-</v>
      </c>
      <c r="BE20" s="65" t="str">
        <f t="shared" ca="1" si="48"/>
        <v>-</v>
      </c>
      <c r="BF20" s="65" t="str">
        <f t="shared" ca="1" si="48"/>
        <v>-</v>
      </c>
      <c r="BG20" s="65" t="str">
        <f t="shared" ca="1" si="48"/>
        <v>-</v>
      </c>
      <c r="BH20" s="65" t="str">
        <f t="shared" ca="1" si="48"/>
        <v>-</v>
      </c>
      <c r="BI20" s="65" t="str">
        <f t="shared" ca="1" si="48"/>
        <v>-</v>
      </c>
      <c r="BJ20" s="65" t="str">
        <f t="shared" ca="1" si="49"/>
        <v>-</v>
      </c>
      <c r="BK20" s="65" t="str">
        <f t="shared" ca="1" si="49"/>
        <v>-</v>
      </c>
      <c r="BL20" s="65" t="str">
        <f t="shared" ca="1" si="49"/>
        <v>-</v>
      </c>
      <c r="BM20" s="65" t="str">
        <f t="shared" ca="1" si="49"/>
        <v>-</v>
      </c>
      <c r="BN20" s="65" t="str">
        <f t="shared" ca="1" si="49"/>
        <v>-</v>
      </c>
      <c r="BO20" s="65" t="str">
        <f t="shared" ca="1" si="49"/>
        <v>-</v>
      </c>
      <c r="BP20" s="65" t="str">
        <f t="shared" ca="1" si="49"/>
        <v>-</v>
      </c>
      <c r="BQ20" s="65" t="str">
        <f t="shared" ca="1" si="49"/>
        <v>-</v>
      </c>
      <c r="BR20" s="65" t="str">
        <f t="shared" ca="1" si="49"/>
        <v>-</v>
      </c>
      <c r="BS20" s="65" t="str">
        <f t="shared" ca="1" si="49"/>
        <v>-</v>
      </c>
      <c r="BT20" s="65" t="str">
        <f t="shared" ca="1" si="50"/>
        <v>-</v>
      </c>
      <c r="BU20" s="65" t="str">
        <f t="shared" ca="1" si="50"/>
        <v>-</v>
      </c>
      <c r="BV20" s="65" t="str">
        <f t="shared" ca="1" si="50"/>
        <v>-</v>
      </c>
      <c r="BW20" s="65" t="str">
        <f t="shared" ca="1" si="50"/>
        <v>-</v>
      </c>
      <c r="BX20" s="65" t="str">
        <f t="shared" ca="1" si="50"/>
        <v>-</v>
      </c>
      <c r="BY20" s="65" t="str">
        <f t="shared" ca="1" si="50"/>
        <v>-</v>
      </c>
      <c r="BZ20" s="65" t="str">
        <f t="shared" ca="1" si="50"/>
        <v>-</v>
      </c>
      <c r="CA20" s="65" t="str">
        <f t="shared" ca="1" si="50"/>
        <v>-</v>
      </c>
      <c r="CB20" s="65" t="str">
        <f t="shared" ca="1" si="50"/>
        <v>-</v>
      </c>
      <c r="CC20" s="65" t="str">
        <f t="shared" ca="1" si="50"/>
        <v>-</v>
      </c>
      <c r="CD20" s="65" t="str">
        <f t="shared" ca="1" si="51"/>
        <v>-</v>
      </c>
      <c r="CE20" s="65" t="str">
        <f t="shared" ca="1" si="51"/>
        <v>-</v>
      </c>
      <c r="CF20" s="65" t="str">
        <f t="shared" ca="1" si="51"/>
        <v>-</v>
      </c>
      <c r="CG20" s="65" t="str">
        <f t="shared" ca="1" si="51"/>
        <v>-</v>
      </c>
      <c r="CH20" s="65" t="str">
        <f t="shared" ca="1" si="51"/>
        <v>-</v>
      </c>
      <c r="CI20" s="65" t="str">
        <f t="shared" ca="1" si="51"/>
        <v>-</v>
      </c>
      <c r="CJ20" s="65" t="str">
        <f t="shared" ca="1" si="51"/>
        <v>-</v>
      </c>
      <c r="CK20" s="65" t="str">
        <f t="shared" ca="1" si="51"/>
        <v>-</v>
      </c>
      <c r="CL20" s="65" t="str">
        <f t="shared" ca="1" si="51"/>
        <v>-</v>
      </c>
      <c r="CM20" s="65" t="str">
        <f t="shared" ca="1" si="51"/>
        <v>-</v>
      </c>
      <c r="CN20" s="65" t="str">
        <f t="shared" ca="1" si="52"/>
        <v>-</v>
      </c>
      <c r="CO20" s="65" t="str">
        <f t="shared" ca="1" si="52"/>
        <v>-</v>
      </c>
      <c r="CP20" s="65" t="str">
        <f t="shared" ca="1" si="52"/>
        <v>-</v>
      </c>
      <c r="CQ20" s="65" t="str">
        <f t="shared" ca="1" si="52"/>
        <v>-</v>
      </c>
      <c r="CR20" s="65" t="str">
        <f t="shared" ca="1" si="52"/>
        <v>-</v>
      </c>
      <c r="CS20" s="65" t="str">
        <f t="shared" ca="1" si="52"/>
        <v>-</v>
      </c>
      <c r="CT20" s="65" t="str">
        <f t="shared" ca="1" si="52"/>
        <v>-</v>
      </c>
      <c r="CU20" s="65" t="str">
        <f t="shared" ca="1" si="52"/>
        <v>-</v>
      </c>
      <c r="CV20" s="65" t="str">
        <f t="shared" ca="1" si="52"/>
        <v>-</v>
      </c>
      <c r="CW20" s="65" t="str">
        <f t="shared" ca="1" si="52"/>
        <v>-</v>
      </c>
      <c r="CX20" s="65" t="str">
        <f t="shared" ca="1" si="53"/>
        <v>-</v>
      </c>
      <c r="CY20" s="65" t="str">
        <f t="shared" ca="1" si="53"/>
        <v>-</v>
      </c>
      <c r="CZ20" s="65" t="str">
        <f t="shared" ca="1" si="53"/>
        <v>-</v>
      </c>
      <c r="DA20" s="65" t="str">
        <f t="shared" ca="1" si="53"/>
        <v>-</v>
      </c>
      <c r="DB20" s="65" t="str">
        <f t="shared" ca="1" si="53"/>
        <v>-</v>
      </c>
      <c r="DC20" s="65" t="str">
        <f t="shared" ca="1" si="53"/>
        <v>-</v>
      </c>
      <c r="DD20" s="65" t="str">
        <f t="shared" ca="1" si="53"/>
        <v>-</v>
      </c>
      <c r="DE20" s="65" t="str">
        <f t="shared" ca="1" si="53"/>
        <v>-</v>
      </c>
      <c r="DF20" s="65" t="str">
        <f t="shared" ca="1" si="53"/>
        <v>-</v>
      </c>
      <c r="DG20" s="65" t="str">
        <f t="shared" ca="1" si="53"/>
        <v>-</v>
      </c>
      <c r="DH20" s="65" t="str">
        <f t="shared" ca="1" si="54"/>
        <v>-</v>
      </c>
      <c r="DI20" s="65" t="str">
        <f t="shared" ca="1" si="54"/>
        <v>-</v>
      </c>
      <c r="DJ20" s="65" t="str">
        <f t="shared" ca="1" si="54"/>
        <v>-</v>
      </c>
      <c r="DK20" s="65" t="str">
        <f t="shared" ca="1" si="54"/>
        <v>-</v>
      </c>
      <c r="DL20" s="65" t="str">
        <f t="shared" ca="1" si="54"/>
        <v>-</v>
      </c>
      <c r="DM20" s="65" t="str">
        <f t="shared" ca="1" si="54"/>
        <v>-</v>
      </c>
      <c r="DN20" s="65" t="str">
        <f t="shared" ca="1" si="54"/>
        <v>-</v>
      </c>
      <c r="DO20" s="65" t="str">
        <f t="shared" ca="1" si="54"/>
        <v>-</v>
      </c>
      <c r="DP20" s="65" t="str">
        <f t="shared" ca="1" si="54"/>
        <v>-</v>
      </c>
      <c r="DQ20" s="65" t="str">
        <f t="shared" ca="1" si="54"/>
        <v>-</v>
      </c>
      <c r="DR20" s="65" t="str">
        <f t="shared" ca="1" si="55"/>
        <v>-</v>
      </c>
      <c r="DS20" s="65" t="str">
        <f t="shared" ca="1" si="55"/>
        <v>-</v>
      </c>
      <c r="DT20" s="65" t="str">
        <f t="shared" ca="1" si="55"/>
        <v>-</v>
      </c>
      <c r="DU20" s="65" t="str">
        <f t="shared" ca="1" si="55"/>
        <v>-</v>
      </c>
      <c r="DV20" s="65" t="str">
        <f t="shared" ca="1" si="55"/>
        <v>-</v>
      </c>
      <c r="DW20" s="65" t="str">
        <f t="shared" ca="1" si="55"/>
        <v>-</v>
      </c>
      <c r="DX20" s="65" t="str">
        <f t="shared" ca="1" si="55"/>
        <v>-</v>
      </c>
      <c r="DY20" s="65" t="str">
        <f t="shared" ca="1" si="55"/>
        <v>-</v>
      </c>
      <c r="DZ20" s="65" t="str">
        <f t="shared" ca="1" si="55"/>
        <v>-</v>
      </c>
      <c r="EA20" s="65" t="str">
        <f t="shared" ca="1" si="55"/>
        <v>-</v>
      </c>
      <c r="EB20" s="65" t="str">
        <f t="shared" ca="1" si="56"/>
        <v>-</v>
      </c>
      <c r="EC20" s="65" t="str">
        <f t="shared" ca="1" si="56"/>
        <v>-</v>
      </c>
      <c r="ED20" s="65" t="str">
        <f t="shared" ca="1" si="56"/>
        <v>-</v>
      </c>
      <c r="EE20" s="65" t="str">
        <f t="shared" ca="1" si="56"/>
        <v>-</v>
      </c>
      <c r="EF20" s="65" t="str">
        <f t="shared" ca="1" si="56"/>
        <v>-</v>
      </c>
      <c r="EG20" s="65" t="str">
        <f t="shared" ca="1" si="56"/>
        <v>-</v>
      </c>
      <c r="EH20" s="65" t="str">
        <f t="shared" ca="1" si="56"/>
        <v>-</v>
      </c>
      <c r="EI20" s="65" t="str">
        <f t="shared" ca="1" si="56"/>
        <v>-</v>
      </c>
      <c r="EJ20" s="65" t="str">
        <f t="shared" ca="1" si="56"/>
        <v>-</v>
      </c>
      <c r="EK20" s="65" t="str">
        <f t="shared" ca="1" si="56"/>
        <v>-</v>
      </c>
      <c r="EL20" s="65" t="str">
        <f t="shared" ca="1" si="56"/>
        <v>-</v>
      </c>
      <c r="EM20" s="65" t="str">
        <f t="shared" ca="1" si="56"/>
        <v>-</v>
      </c>
      <c r="EN20" s="65" t="str">
        <f t="shared" ca="1" si="56"/>
        <v>-</v>
      </c>
    </row>
    <row r="21" spans="1:146">
      <c r="A21" s="448"/>
      <c r="B21" s="451"/>
      <c r="C21" s="451"/>
      <c r="D21" s="466"/>
      <c r="E21" s="185" t="s">
        <v>66</v>
      </c>
      <c r="F21" s="66">
        <f>SUM('BESS 11'!S121,'BESS 11'!S124,'BESS 11'!S125,'BESS 11'!S129,'BESS 11'!S130)</f>
        <v>2431.0666666666666</v>
      </c>
      <c r="G21" s="182">
        <f ca="1">TODAY()</f>
        <v>46233</v>
      </c>
      <c r="H21" s="182">
        <f ca="1">G21+30</f>
        <v>46263</v>
      </c>
      <c r="I21" s="65">
        <f ca="1">H21-G21</f>
        <v>30</v>
      </c>
      <c r="J21" s="453"/>
      <c r="K21" s="445"/>
      <c r="L21" s="65" t="str">
        <f t="shared" ca="1" si="44"/>
        <v>-</v>
      </c>
      <c r="M21" s="65" t="str">
        <f t="shared" ca="1" si="44"/>
        <v>-</v>
      </c>
      <c r="N21" s="65" t="str">
        <f t="shared" ca="1" si="44"/>
        <v>-</v>
      </c>
      <c r="O21" s="65" t="str">
        <f t="shared" ca="1" si="44"/>
        <v>-</v>
      </c>
      <c r="P21" s="65" t="str">
        <f t="shared" ca="1" si="44"/>
        <v>-</v>
      </c>
      <c r="Q21" s="65" t="str">
        <f t="shared" ca="1" si="44"/>
        <v>-</v>
      </c>
      <c r="R21" s="65" t="str">
        <f t="shared" ca="1" si="44"/>
        <v>-</v>
      </c>
      <c r="S21" s="65" t="str">
        <f t="shared" ca="1" si="44"/>
        <v>-</v>
      </c>
      <c r="T21" s="65" t="str">
        <f t="shared" ca="1" si="44"/>
        <v>-</v>
      </c>
      <c r="U21" s="65" t="str">
        <f t="shared" ca="1" si="44"/>
        <v>-</v>
      </c>
      <c r="V21" s="65" t="str">
        <f t="shared" ca="1" si="45"/>
        <v>-</v>
      </c>
      <c r="W21" s="65" t="str">
        <f t="shared" ca="1" si="45"/>
        <v>-</v>
      </c>
      <c r="X21" s="65" t="str">
        <f t="shared" ca="1" si="45"/>
        <v>-</v>
      </c>
      <c r="Y21" s="65" t="str">
        <f t="shared" ca="1" si="45"/>
        <v>-</v>
      </c>
      <c r="Z21" s="65" t="str">
        <f t="shared" ca="1" si="45"/>
        <v>-</v>
      </c>
      <c r="AA21" s="65" t="str">
        <f t="shared" ca="1" si="45"/>
        <v>-</v>
      </c>
      <c r="AB21" s="65" t="str">
        <f t="shared" ca="1" si="45"/>
        <v>-</v>
      </c>
      <c r="AC21" s="65" t="str">
        <f t="shared" ca="1" si="45"/>
        <v>-</v>
      </c>
      <c r="AD21" s="65" t="str">
        <f t="shared" ca="1" si="45"/>
        <v>-</v>
      </c>
      <c r="AE21" s="65" t="str">
        <f t="shared" ca="1" si="45"/>
        <v>-</v>
      </c>
      <c r="AF21" s="65" t="str">
        <f t="shared" ca="1" si="46"/>
        <v>-</v>
      </c>
      <c r="AG21" s="65" t="str">
        <f t="shared" ca="1" si="46"/>
        <v>-</v>
      </c>
      <c r="AH21" s="65" t="str">
        <f t="shared" ca="1" si="46"/>
        <v>-</v>
      </c>
      <c r="AI21" s="65" t="str">
        <f t="shared" ca="1" si="46"/>
        <v>-</v>
      </c>
      <c r="AJ21" s="65" t="str">
        <f t="shared" ca="1" si="46"/>
        <v>-</v>
      </c>
      <c r="AK21" s="65" t="str">
        <f t="shared" ca="1" si="46"/>
        <v>-</v>
      </c>
      <c r="AL21" s="65" t="str">
        <f t="shared" ca="1" si="46"/>
        <v>-</v>
      </c>
      <c r="AM21" s="65" t="str">
        <f t="shared" ca="1" si="46"/>
        <v>-</v>
      </c>
      <c r="AN21" s="65" t="str">
        <f t="shared" ca="1" si="46"/>
        <v>-</v>
      </c>
      <c r="AO21" s="65" t="str">
        <f t="shared" ca="1" si="46"/>
        <v>-</v>
      </c>
      <c r="AP21" s="65" t="str">
        <f t="shared" ca="1" si="47"/>
        <v>-</v>
      </c>
      <c r="AQ21" s="65" t="str">
        <f t="shared" ca="1" si="47"/>
        <v>-</v>
      </c>
      <c r="AR21" s="65" t="str">
        <f t="shared" ca="1" si="47"/>
        <v>-</v>
      </c>
      <c r="AS21" s="65" t="str">
        <f t="shared" ca="1" si="47"/>
        <v>-</v>
      </c>
      <c r="AT21" s="65" t="str">
        <f t="shared" ca="1" si="47"/>
        <v>-</v>
      </c>
      <c r="AU21" s="65" t="str">
        <f t="shared" ca="1" si="47"/>
        <v>-</v>
      </c>
      <c r="AV21" s="65" t="str">
        <f t="shared" ca="1" si="47"/>
        <v>-</v>
      </c>
      <c r="AW21" s="65" t="str">
        <f t="shared" ca="1" si="47"/>
        <v>-</v>
      </c>
      <c r="AX21" s="65">
        <f t="shared" ca="1" si="47"/>
        <v>81</v>
      </c>
      <c r="AY21" s="65">
        <f t="shared" ca="1" si="47"/>
        <v>81</v>
      </c>
      <c r="AZ21" s="65">
        <f t="shared" ca="1" si="48"/>
        <v>81</v>
      </c>
      <c r="BA21" s="65">
        <f t="shared" ca="1" si="48"/>
        <v>81</v>
      </c>
      <c r="BB21" s="65">
        <f t="shared" ca="1" si="48"/>
        <v>81</v>
      </c>
      <c r="BC21" s="65">
        <f t="shared" ca="1" si="48"/>
        <v>81</v>
      </c>
      <c r="BD21" s="65">
        <f t="shared" ca="1" si="48"/>
        <v>81</v>
      </c>
      <c r="BE21" s="65">
        <f t="shared" ca="1" si="48"/>
        <v>81</v>
      </c>
      <c r="BF21" s="65">
        <f t="shared" ca="1" si="48"/>
        <v>81</v>
      </c>
      <c r="BG21" s="65">
        <f t="shared" ca="1" si="48"/>
        <v>81</v>
      </c>
      <c r="BH21" s="65">
        <f t="shared" ca="1" si="48"/>
        <v>81</v>
      </c>
      <c r="BI21" s="65">
        <f t="shared" ca="1" si="48"/>
        <v>81</v>
      </c>
      <c r="BJ21" s="65">
        <f t="shared" ca="1" si="49"/>
        <v>81</v>
      </c>
      <c r="BK21" s="65">
        <f t="shared" ca="1" si="49"/>
        <v>81</v>
      </c>
      <c r="BL21" s="65">
        <f t="shared" ca="1" si="49"/>
        <v>81</v>
      </c>
      <c r="BM21" s="65">
        <f t="shared" ca="1" si="49"/>
        <v>81</v>
      </c>
      <c r="BN21" s="65">
        <f t="shared" ca="1" si="49"/>
        <v>81</v>
      </c>
      <c r="BO21" s="65">
        <f t="shared" ca="1" si="49"/>
        <v>81</v>
      </c>
      <c r="BP21" s="65">
        <f t="shared" ca="1" si="49"/>
        <v>81</v>
      </c>
      <c r="BQ21" s="65">
        <f t="shared" ca="1" si="49"/>
        <v>81</v>
      </c>
      <c r="BR21" s="65">
        <f t="shared" ca="1" si="49"/>
        <v>81</v>
      </c>
      <c r="BS21" s="65">
        <f t="shared" ca="1" si="49"/>
        <v>81</v>
      </c>
      <c r="BT21" s="65">
        <f t="shared" ca="1" si="50"/>
        <v>81</v>
      </c>
      <c r="BU21" s="65">
        <f t="shared" ca="1" si="50"/>
        <v>81</v>
      </c>
      <c r="BV21" s="65">
        <f t="shared" ca="1" si="50"/>
        <v>81</v>
      </c>
      <c r="BW21" s="65">
        <f t="shared" ca="1" si="50"/>
        <v>81</v>
      </c>
      <c r="BX21" s="65">
        <f t="shared" ca="1" si="50"/>
        <v>81</v>
      </c>
      <c r="BY21" s="65">
        <f t="shared" ca="1" si="50"/>
        <v>81</v>
      </c>
      <c r="BZ21" s="65">
        <f t="shared" ca="1" si="50"/>
        <v>81</v>
      </c>
      <c r="CA21" s="65">
        <f t="shared" ca="1" si="50"/>
        <v>81</v>
      </c>
      <c r="CB21" s="65" t="str">
        <f t="shared" ca="1" si="50"/>
        <v>-</v>
      </c>
      <c r="CC21" s="65" t="str">
        <f t="shared" ca="1" si="50"/>
        <v>-</v>
      </c>
      <c r="CD21" s="65" t="str">
        <f t="shared" ca="1" si="51"/>
        <v>-</v>
      </c>
      <c r="CE21" s="65" t="str">
        <f t="shared" ca="1" si="51"/>
        <v>-</v>
      </c>
      <c r="CF21" s="65" t="str">
        <f t="shared" ca="1" si="51"/>
        <v>-</v>
      </c>
      <c r="CG21" s="65" t="str">
        <f t="shared" ca="1" si="51"/>
        <v>-</v>
      </c>
      <c r="CH21" s="65" t="str">
        <f t="shared" ca="1" si="51"/>
        <v>-</v>
      </c>
      <c r="CI21" s="65" t="str">
        <f t="shared" ca="1" si="51"/>
        <v>-</v>
      </c>
      <c r="CJ21" s="65" t="str">
        <f t="shared" ca="1" si="51"/>
        <v>-</v>
      </c>
      <c r="CK21" s="65" t="str">
        <f t="shared" ca="1" si="51"/>
        <v>-</v>
      </c>
      <c r="CL21" s="65" t="str">
        <f t="shared" ca="1" si="51"/>
        <v>-</v>
      </c>
      <c r="CM21" s="65" t="str">
        <f t="shared" ca="1" si="51"/>
        <v>-</v>
      </c>
      <c r="CN21" s="65" t="str">
        <f t="shared" ca="1" si="52"/>
        <v>-</v>
      </c>
      <c r="CO21" s="65" t="str">
        <f t="shared" ca="1" si="52"/>
        <v>-</v>
      </c>
      <c r="CP21" s="65" t="str">
        <f t="shared" ca="1" si="52"/>
        <v>-</v>
      </c>
      <c r="CQ21" s="65" t="str">
        <f t="shared" ca="1" si="52"/>
        <v>-</v>
      </c>
      <c r="CR21" s="65" t="str">
        <f t="shared" ca="1" si="52"/>
        <v>-</v>
      </c>
      <c r="CS21" s="65" t="str">
        <f t="shared" ca="1" si="52"/>
        <v>-</v>
      </c>
      <c r="CT21" s="65" t="str">
        <f t="shared" ca="1" si="52"/>
        <v>-</v>
      </c>
      <c r="CU21" s="65" t="str">
        <f t="shared" ca="1" si="52"/>
        <v>-</v>
      </c>
      <c r="CV21" s="65" t="str">
        <f t="shared" ca="1" si="52"/>
        <v>-</v>
      </c>
      <c r="CW21" s="65" t="str">
        <f t="shared" ca="1" si="52"/>
        <v>-</v>
      </c>
      <c r="CX21" s="65" t="str">
        <f t="shared" ca="1" si="53"/>
        <v>-</v>
      </c>
      <c r="CY21" s="65" t="str">
        <f t="shared" ca="1" si="53"/>
        <v>-</v>
      </c>
      <c r="CZ21" s="65" t="str">
        <f t="shared" ca="1" si="53"/>
        <v>-</v>
      </c>
      <c r="DA21" s="65" t="str">
        <f t="shared" ca="1" si="53"/>
        <v>-</v>
      </c>
      <c r="DB21" s="65" t="str">
        <f t="shared" ca="1" si="53"/>
        <v>-</v>
      </c>
      <c r="DC21" s="65" t="str">
        <f t="shared" ca="1" si="53"/>
        <v>-</v>
      </c>
      <c r="DD21" s="65" t="str">
        <f t="shared" ca="1" si="53"/>
        <v>-</v>
      </c>
      <c r="DE21" s="65" t="str">
        <f t="shared" ca="1" si="53"/>
        <v>-</v>
      </c>
      <c r="DF21" s="65" t="str">
        <f t="shared" ca="1" si="53"/>
        <v>-</v>
      </c>
      <c r="DG21" s="65" t="str">
        <f t="shared" ca="1" si="53"/>
        <v>-</v>
      </c>
      <c r="DH21" s="65" t="str">
        <f t="shared" ca="1" si="54"/>
        <v>-</v>
      </c>
      <c r="DI21" s="65" t="str">
        <f t="shared" ca="1" si="54"/>
        <v>-</v>
      </c>
      <c r="DJ21" s="65" t="str">
        <f t="shared" ca="1" si="54"/>
        <v>-</v>
      </c>
      <c r="DK21" s="65" t="str">
        <f t="shared" ca="1" si="54"/>
        <v>-</v>
      </c>
      <c r="DL21" s="65" t="str">
        <f t="shared" ca="1" si="54"/>
        <v>-</v>
      </c>
      <c r="DM21" s="65" t="str">
        <f t="shared" ca="1" si="54"/>
        <v>-</v>
      </c>
      <c r="DN21" s="65" t="str">
        <f t="shared" ca="1" si="54"/>
        <v>-</v>
      </c>
      <c r="DO21" s="65" t="str">
        <f t="shared" ca="1" si="54"/>
        <v>-</v>
      </c>
      <c r="DP21" s="65" t="str">
        <f t="shared" ca="1" si="54"/>
        <v>-</v>
      </c>
      <c r="DQ21" s="65" t="str">
        <f t="shared" ca="1" si="54"/>
        <v>-</v>
      </c>
      <c r="DR21" s="65" t="str">
        <f t="shared" ca="1" si="55"/>
        <v>-</v>
      </c>
      <c r="DS21" s="65" t="str">
        <f t="shared" ca="1" si="55"/>
        <v>-</v>
      </c>
      <c r="DT21" s="65" t="str">
        <f t="shared" ca="1" si="55"/>
        <v>-</v>
      </c>
      <c r="DU21" s="65" t="str">
        <f t="shared" ca="1" si="55"/>
        <v>-</v>
      </c>
      <c r="DV21" s="65" t="str">
        <f t="shared" ca="1" si="55"/>
        <v>-</v>
      </c>
      <c r="DW21" s="65" t="str">
        <f t="shared" ca="1" si="55"/>
        <v>-</v>
      </c>
      <c r="DX21" s="65" t="str">
        <f t="shared" ca="1" si="55"/>
        <v>-</v>
      </c>
      <c r="DY21" s="65" t="str">
        <f t="shared" ca="1" si="55"/>
        <v>-</v>
      </c>
      <c r="DZ21" s="65" t="str">
        <f t="shared" ca="1" si="55"/>
        <v>-</v>
      </c>
      <c r="EA21" s="65" t="str">
        <f t="shared" ca="1" si="55"/>
        <v>-</v>
      </c>
      <c r="EB21" s="65" t="str">
        <f t="shared" ca="1" si="56"/>
        <v>-</v>
      </c>
      <c r="EC21" s="65" t="str">
        <f t="shared" ca="1" si="56"/>
        <v>-</v>
      </c>
      <c r="ED21" s="65" t="str">
        <f t="shared" ca="1" si="56"/>
        <v>-</v>
      </c>
      <c r="EE21" s="65" t="str">
        <f t="shared" ca="1" si="56"/>
        <v>-</v>
      </c>
      <c r="EF21" s="65" t="str">
        <f t="shared" ca="1" si="56"/>
        <v>-</v>
      </c>
      <c r="EG21" s="65" t="str">
        <f t="shared" ca="1" si="56"/>
        <v>-</v>
      </c>
      <c r="EH21" s="65" t="str">
        <f t="shared" ca="1" si="56"/>
        <v>-</v>
      </c>
      <c r="EI21" s="65" t="str">
        <f t="shared" ca="1" si="56"/>
        <v>-</v>
      </c>
      <c r="EJ21" s="65" t="str">
        <f t="shared" ca="1" si="56"/>
        <v>-</v>
      </c>
      <c r="EK21" s="65" t="str">
        <f t="shared" ca="1" si="56"/>
        <v>-</v>
      </c>
      <c r="EL21" s="65" t="str">
        <f t="shared" ca="1" si="56"/>
        <v>-</v>
      </c>
      <c r="EM21" s="65" t="str">
        <f t="shared" ca="1" si="56"/>
        <v>-</v>
      </c>
      <c r="EN21" s="65" t="str">
        <f t="shared" ca="1" si="56"/>
        <v>-</v>
      </c>
    </row>
    <row r="22" spans="1:146">
      <c r="A22" s="448"/>
      <c r="B22" s="451"/>
      <c r="C22" s="451"/>
      <c r="D22" s="466"/>
      <c r="E22" s="185" t="s">
        <v>67</v>
      </c>
      <c r="F22" s="66">
        <f>SUM('BESS 11'!S132:S141)</f>
        <v>317.81333333333328</v>
      </c>
      <c r="G22" s="182">
        <f>H22-14</f>
        <v>46226</v>
      </c>
      <c r="H22" s="182">
        <f>MAX('BESS 11'!O132:O141)</f>
        <v>46240</v>
      </c>
      <c r="I22" s="65">
        <f>H22-G22</f>
        <v>14</v>
      </c>
      <c r="J22" s="453"/>
      <c r="K22" s="445"/>
      <c r="L22" s="65" t="str">
        <f t="shared" si="44"/>
        <v>-</v>
      </c>
      <c r="M22" s="65" t="str">
        <f t="shared" si="44"/>
        <v>-</v>
      </c>
      <c r="N22" s="65" t="str">
        <f t="shared" si="44"/>
        <v>-</v>
      </c>
      <c r="O22" s="65" t="str">
        <f t="shared" si="44"/>
        <v>-</v>
      </c>
      <c r="P22" s="65" t="str">
        <f t="shared" si="44"/>
        <v>-</v>
      </c>
      <c r="Q22" s="65" t="str">
        <f t="shared" si="44"/>
        <v>-</v>
      </c>
      <c r="R22" s="65" t="str">
        <f t="shared" si="44"/>
        <v>-</v>
      </c>
      <c r="S22" s="65" t="str">
        <f t="shared" si="44"/>
        <v>-</v>
      </c>
      <c r="T22" s="65" t="str">
        <f t="shared" si="44"/>
        <v>-</v>
      </c>
      <c r="U22" s="65" t="str">
        <f t="shared" si="44"/>
        <v>-</v>
      </c>
      <c r="V22" s="65" t="str">
        <f t="shared" si="45"/>
        <v>-</v>
      </c>
      <c r="W22" s="65" t="str">
        <f t="shared" si="45"/>
        <v>-</v>
      </c>
      <c r="X22" s="65" t="str">
        <f t="shared" si="45"/>
        <v>-</v>
      </c>
      <c r="Y22" s="65" t="str">
        <f t="shared" si="45"/>
        <v>-</v>
      </c>
      <c r="Z22" s="65" t="str">
        <f t="shared" si="45"/>
        <v>-</v>
      </c>
      <c r="AA22" s="65" t="str">
        <f t="shared" si="45"/>
        <v>-</v>
      </c>
      <c r="AB22" s="65" t="str">
        <f t="shared" si="45"/>
        <v>-</v>
      </c>
      <c r="AC22" s="65" t="str">
        <f t="shared" si="45"/>
        <v>-</v>
      </c>
      <c r="AD22" s="65" t="str">
        <f t="shared" si="45"/>
        <v>-</v>
      </c>
      <c r="AE22" s="65" t="str">
        <f t="shared" si="45"/>
        <v>-</v>
      </c>
      <c r="AF22" s="65" t="str">
        <f t="shared" si="46"/>
        <v>-</v>
      </c>
      <c r="AG22" s="65" t="str">
        <f t="shared" si="46"/>
        <v>-</v>
      </c>
      <c r="AH22" s="65" t="str">
        <f t="shared" si="46"/>
        <v>-</v>
      </c>
      <c r="AI22" s="65" t="str">
        <f t="shared" si="46"/>
        <v>-</v>
      </c>
      <c r="AJ22" s="65" t="str">
        <f t="shared" si="46"/>
        <v>-</v>
      </c>
      <c r="AK22" s="65" t="str">
        <f t="shared" si="46"/>
        <v>-</v>
      </c>
      <c r="AL22" s="65" t="str">
        <f t="shared" si="46"/>
        <v>-</v>
      </c>
      <c r="AM22" s="65" t="str">
        <f t="shared" si="46"/>
        <v>-</v>
      </c>
      <c r="AN22" s="65" t="str">
        <f t="shared" si="46"/>
        <v>-</v>
      </c>
      <c r="AO22" s="65" t="str">
        <f t="shared" si="46"/>
        <v>-</v>
      </c>
      <c r="AP22" s="65" t="str">
        <f t="shared" si="47"/>
        <v>-</v>
      </c>
      <c r="AQ22" s="65">
        <f t="shared" si="47"/>
        <v>23</v>
      </c>
      <c r="AR22" s="65">
        <f t="shared" si="47"/>
        <v>23</v>
      </c>
      <c r="AS22" s="65">
        <f t="shared" si="47"/>
        <v>23</v>
      </c>
      <c r="AT22" s="65">
        <f t="shared" si="47"/>
        <v>23</v>
      </c>
      <c r="AU22" s="65">
        <f t="shared" si="47"/>
        <v>23</v>
      </c>
      <c r="AV22" s="65">
        <f t="shared" si="47"/>
        <v>23</v>
      </c>
      <c r="AW22" s="65">
        <f t="shared" si="47"/>
        <v>23</v>
      </c>
      <c r="AX22" s="65">
        <f t="shared" si="47"/>
        <v>23</v>
      </c>
      <c r="AY22" s="65">
        <f t="shared" si="47"/>
        <v>23</v>
      </c>
      <c r="AZ22" s="65">
        <f t="shared" si="48"/>
        <v>23</v>
      </c>
      <c r="BA22" s="65">
        <f t="shared" si="48"/>
        <v>23</v>
      </c>
      <c r="BB22" s="65">
        <f t="shared" si="48"/>
        <v>23</v>
      </c>
      <c r="BC22" s="65">
        <f t="shared" si="48"/>
        <v>23</v>
      </c>
      <c r="BD22" s="65">
        <f t="shared" si="48"/>
        <v>23</v>
      </c>
      <c r="BE22" s="65" t="str">
        <f t="shared" si="48"/>
        <v>-</v>
      </c>
      <c r="BF22" s="65" t="str">
        <f t="shared" si="48"/>
        <v>-</v>
      </c>
      <c r="BG22" s="65" t="str">
        <f t="shared" si="48"/>
        <v>-</v>
      </c>
      <c r="BH22" s="65" t="str">
        <f t="shared" si="48"/>
        <v>-</v>
      </c>
      <c r="BI22" s="65" t="str">
        <f t="shared" si="48"/>
        <v>-</v>
      </c>
      <c r="BJ22" s="65" t="str">
        <f t="shared" si="49"/>
        <v>-</v>
      </c>
      <c r="BK22" s="65" t="str">
        <f t="shared" si="49"/>
        <v>-</v>
      </c>
      <c r="BL22" s="65" t="str">
        <f t="shared" si="49"/>
        <v>-</v>
      </c>
      <c r="BM22" s="65" t="str">
        <f t="shared" si="49"/>
        <v>-</v>
      </c>
      <c r="BN22" s="65" t="str">
        <f t="shared" si="49"/>
        <v>-</v>
      </c>
      <c r="BO22" s="65" t="str">
        <f t="shared" si="49"/>
        <v>-</v>
      </c>
      <c r="BP22" s="65" t="str">
        <f t="shared" si="49"/>
        <v>-</v>
      </c>
      <c r="BQ22" s="65" t="str">
        <f t="shared" si="49"/>
        <v>-</v>
      </c>
      <c r="BR22" s="65" t="str">
        <f t="shared" si="49"/>
        <v>-</v>
      </c>
      <c r="BS22" s="65" t="str">
        <f t="shared" si="49"/>
        <v>-</v>
      </c>
      <c r="BT22" s="65" t="str">
        <f t="shared" si="50"/>
        <v>-</v>
      </c>
      <c r="BU22" s="65" t="str">
        <f t="shared" si="50"/>
        <v>-</v>
      </c>
      <c r="BV22" s="65" t="str">
        <f t="shared" si="50"/>
        <v>-</v>
      </c>
      <c r="BW22" s="65" t="str">
        <f t="shared" si="50"/>
        <v>-</v>
      </c>
      <c r="BX22" s="65" t="str">
        <f t="shared" si="50"/>
        <v>-</v>
      </c>
      <c r="BY22" s="65" t="str">
        <f t="shared" si="50"/>
        <v>-</v>
      </c>
      <c r="BZ22" s="65" t="str">
        <f t="shared" si="50"/>
        <v>-</v>
      </c>
      <c r="CA22" s="65" t="str">
        <f t="shared" si="50"/>
        <v>-</v>
      </c>
      <c r="CB22" s="65" t="str">
        <f t="shared" si="50"/>
        <v>-</v>
      </c>
      <c r="CC22" s="65" t="str">
        <f t="shared" si="50"/>
        <v>-</v>
      </c>
      <c r="CD22" s="65" t="str">
        <f t="shared" si="51"/>
        <v>-</v>
      </c>
      <c r="CE22" s="65" t="str">
        <f t="shared" si="51"/>
        <v>-</v>
      </c>
      <c r="CF22" s="65" t="str">
        <f t="shared" si="51"/>
        <v>-</v>
      </c>
      <c r="CG22" s="65" t="str">
        <f t="shared" si="51"/>
        <v>-</v>
      </c>
      <c r="CH22" s="65" t="str">
        <f t="shared" si="51"/>
        <v>-</v>
      </c>
      <c r="CI22" s="65" t="str">
        <f t="shared" si="51"/>
        <v>-</v>
      </c>
      <c r="CJ22" s="65" t="str">
        <f t="shared" si="51"/>
        <v>-</v>
      </c>
      <c r="CK22" s="65" t="str">
        <f t="shared" si="51"/>
        <v>-</v>
      </c>
      <c r="CL22" s="65" t="str">
        <f t="shared" si="51"/>
        <v>-</v>
      </c>
      <c r="CM22" s="65" t="str">
        <f t="shared" si="51"/>
        <v>-</v>
      </c>
      <c r="CN22" s="65" t="str">
        <f t="shared" si="52"/>
        <v>-</v>
      </c>
      <c r="CO22" s="65" t="str">
        <f t="shared" si="52"/>
        <v>-</v>
      </c>
      <c r="CP22" s="65" t="str">
        <f t="shared" si="52"/>
        <v>-</v>
      </c>
      <c r="CQ22" s="65" t="str">
        <f t="shared" si="52"/>
        <v>-</v>
      </c>
      <c r="CR22" s="65" t="str">
        <f t="shared" si="52"/>
        <v>-</v>
      </c>
      <c r="CS22" s="65" t="str">
        <f t="shared" si="52"/>
        <v>-</v>
      </c>
      <c r="CT22" s="65" t="str">
        <f t="shared" si="52"/>
        <v>-</v>
      </c>
      <c r="CU22" s="65" t="str">
        <f t="shared" si="52"/>
        <v>-</v>
      </c>
      <c r="CV22" s="65" t="str">
        <f t="shared" si="52"/>
        <v>-</v>
      </c>
      <c r="CW22" s="65" t="str">
        <f t="shared" si="52"/>
        <v>-</v>
      </c>
      <c r="CX22" s="65" t="str">
        <f t="shared" si="53"/>
        <v>-</v>
      </c>
      <c r="CY22" s="65" t="str">
        <f t="shared" si="53"/>
        <v>-</v>
      </c>
      <c r="CZ22" s="65" t="str">
        <f t="shared" si="53"/>
        <v>-</v>
      </c>
      <c r="DA22" s="65" t="str">
        <f t="shared" si="53"/>
        <v>-</v>
      </c>
      <c r="DB22" s="65" t="str">
        <f t="shared" si="53"/>
        <v>-</v>
      </c>
      <c r="DC22" s="65" t="str">
        <f t="shared" si="53"/>
        <v>-</v>
      </c>
      <c r="DD22" s="65" t="str">
        <f t="shared" si="53"/>
        <v>-</v>
      </c>
      <c r="DE22" s="65" t="str">
        <f t="shared" si="53"/>
        <v>-</v>
      </c>
      <c r="DF22" s="65" t="str">
        <f t="shared" si="53"/>
        <v>-</v>
      </c>
      <c r="DG22" s="65" t="str">
        <f t="shared" si="53"/>
        <v>-</v>
      </c>
      <c r="DH22" s="65" t="str">
        <f t="shared" si="54"/>
        <v>-</v>
      </c>
      <c r="DI22" s="65" t="str">
        <f t="shared" si="54"/>
        <v>-</v>
      </c>
      <c r="DJ22" s="65" t="str">
        <f t="shared" si="54"/>
        <v>-</v>
      </c>
      <c r="DK22" s="65" t="str">
        <f t="shared" si="54"/>
        <v>-</v>
      </c>
      <c r="DL22" s="65" t="str">
        <f t="shared" si="54"/>
        <v>-</v>
      </c>
      <c r="DM22" s="65" t="str">
        <f t="shared" si="54"/>
        <v>-</v>
      </c>
      <c r="DN22" s="65" t="str">
        <f t="shared" si="54"/>
        <v>-</v>
      </c>
      <c r="DO22" s="65" t="str">
        <f t="shared" si="54"/>
        <v>-</v>
      </c>
      <c r="DP22" s="65" t="str">
        <f t="shared" si="54"/>
        <v>-</v>
      </c>
      <c r="DQ22" s="65" t="str">
        <f t="shared" si="54"/>
        <v>-</v>
      </c>
      <c r="DR22" s="65" t="str">
        <f t="shared" si="55"/>
        <v>-</v>
      </c>
      <c r="DS22" s="65" t="str">
        <f t="shared" si="55"/>
        <v>-</v>
      </c>
      <c r="DT22" s="65" t="str">
        <f t="shared" si="55"/>
        <v>-</v>
      </c>
      <c r="DU22" s="65" t="str">
        <f t="shared" si="55"/>
        <v>-</v>
      </c>
      <c r="DV22" s="65" t="str">
        <f t="shared" si="55"/>
        <v>-</v>
      </c>
      <c r="DW22" s="65" t="str">
        <f t="shared" si="55"/>
        <v>-</v>
      </c>
      <c r="DX22" s="65" t="str">
        <f t="shared" si="55"/>
        <v>-</v>
      </c>
      <c r="DY22" s="65" t="str">
        <f t="shared" si="55"/>
        <v>-</v>
      </c>
      <c r="DZ22" s="65" t="str">
        <f t="shared" si="55"/>
        <v>-</v>
      </c>
      <c r="EA22" s="65" t="str">
        <f t="shared" si="55"/>
        <v>-</v>
      </c>
      <c r="EB22" s="65" t="str">
        <f t="shared" si="56"/>
        <v>-</v>
      </c>
      <c r="EC22" s="65" t="str">
        <f t="shared" si="56"/>
        <v>-</v>
      </c>
      <c r="ED22" s="65" t="str">
        <f t="shared" si="56"/>
        <v>-</v>
      </c>
      <c r="EE22" s="65" t="str">
        <f t="shared" si="56"/>
        <v>-</v>
      </c>
      <c r="EF22" s="65" t="str">
        <f t="shared" si="56"/>
        <v>-</v>
      </c>
      <c r="EG22" s="65" t="str">
        <f t="shared" si="56"/>
        <v>-</v>
      </c>
      <c r="EH22" s="65" t="str">
        <f t="shared" si="56"/>
        <v>-</v>
      </c>
      <c r="EI22" s="65" t="str">
        <f t="shared" si="56"/>
        <v>-</v>
      </c>
      <c r="EJ22" s="65" t="str">
        <f t="shared" si="56"/>
        <v>-</v>
      </c>
      <c r="EK22" s="65" t="str">
        <f t="shared" si="56"/>
        <v>-</v>
      </c>
      <c r="EL22" s="65" t="str">
        <f t="shared" si="56"/>
        <v>-</v>
      </c>
      <c r="EM22" s="65" t="str">
        <f t="shared" si="56"/>
        <v>-</v>
      </c>
      <c r="EN22" s="65" t="str">
        <f t="shared" si="56"/>
        <v>-</v>
      </c>
    </row>
    <row r="23" spans="1:146">
      <c r="A23" s="449"/>
      <c r="B23" s="452"/>
      <c r="C23" s="452"/>
      <c r="D23" s="466"/>
      <c r="E23" s="185" t="s">
        <v>68</v>
      </c>
      <c r="F23" s="65">
        <v>250</v>
      </c>
      <c r="G23" s="185"/>
      <c r="H23" s="182">
        <f>B18-3</f>
        <v>46237</v>
      </c>
      <c r="I23" s="65">
        <v>30</v>
      </c>
      <c r="J23" s="454"/>
      <c r="K23" s="446"/>
      <c r="L23" s="182"/>
      <c r="M23" s="182"/>
      <c r="N23" s="65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>
        <v>5</v>
      </c>
      <c r="AF23" s="66">
        <v>5</v>
      </c>
      <c r="AG23" s="66">
        <v>5</v>
      </c>
      <c r="AH23" s="66">
        <v>5</v>
      </c>
      <c r="AI23" s="66">
        <v>5</v>
      </c>
      <c r="AJ23" s="66">
        <v>5</v>
      </c>
      <c r="AK23" s="66">
        <v>5</v>
      </c>
      <c r="AL23" s="66">
        <v>5</v>
      </c>
      <c r="AM23" s="66">
        <v>5</v>
      </c>
      <c r="AN23" s="66">
        <v>5</v>
      </c>
      <c r="AO23" s="66">
        <v>5</v>
      </c>
      <c r="AP23" s="66">
        <v>5</v>
      </c>
      <c r="AQ23" s="66">
        <v>5</v>
      </c>
      <c r="AR23" s="66">
        <v>5</v>
      </c>
      <c r="AS23" s="66">
        <v>5</v>
      </c>
      <c r="AT23" s="66">
        <v>5</v>
      </c>
      <c r="AU23" s="66">
        <v>5</v>
      </c>
      <c r="AV23" s="66">
        <v>5</v>
      </c>
      <c r="AW23" s="66">
        <v>5</v>
      </c>
      <c r="AX23" s="66">
        <v>5</v>
      </c>
      <c r="AY23" s="66">
        <v>5</v>
      </c>
      <c r="AZ23" s="66">
        <v>5</v>
      </c>
      <c r="BA23" s="66">
        <v>5</v>
      </c>
      <c r="BB23" s="66">
        <v>5</v>
      </c>
      <c r="BC23" s="66">
        <v>30</v>
      </c>
      <c r="BD23" s="66">
        <v>30</v>
      </c>
      <c r="BE23" s="66">
        <v>30</v>
      </c>
      <c r="BF23" s="66">
        <v>30</v>
      </c>
      <c r="BG23" s="66">
        <v>5</v>
      </c>
      <c r="BH23" s="65">
        <v>5</v>
      </c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185"/>
      <c r="BT23" s="185"/>
      <c r="BU23" s="185"/>
      <c r="BV23" s="185"/>
      <c r="BW23" s="185"/>
      <c r="BX23" s="185"/>
      <c r="BY23" s="185"/>
      <c r="BZ23" s="185"/>
      <c r="CA23" s="185"/>
      <c r="CB23" s="185"/>
      <c r="CC23" s="185"/>
      <c r="CD23" s="185"/>
      <c r="CE23" s="185"/>
      <c r="CF23" s="185"/>
      <c r="CG23" s="185"/>
      <c r="CH23" s="185"/>
      <c r="CI23" s="185"/>
      <c r="CJ23" s="185"/>
      <c r="CK23" s="185"/>
      <c r="CL23" s="185"/>
      <c r="CM23" s="185"/>
      <c r="CN23" s="185"/>
      <c r="CO23" s="185"/>
      <c r="CP23" s="185"/>
      <c r="CQ23" s="185"/>
      <c r="CR23" s="185"/>
      <c r="CS23" s="185"/>
      <c r="CT23" s="185"/>
      <c r="CU23" s="185"/>
      <c r="CV23" s="185"/>
      <c r="CW23" s="185"/>
      <c r="CX23" s="185"/>
      <c r="CY23" s="185"/>
      <c r="CZ23" s="185"/>
      <c r="DA23" s="185"/>
      <c r="DB23" s="185"/>
      <c r="DC23" s="185"/>
      <c r="DD23" s="185"/>
      <c r="DE23" s="185"/>
      <c r="DF23" s="185"/>
      <c r="DG23" s="185"/>
      <c r="DH23" s="185"/>
      <c r="DI23" s="185"/>
      <c r="DJ23" s="185"/>
      <c r="DK23" s="185"/>
      <c r="DL23" s="185"/>
      <c r="DM23" s="185"/>
      <c r="DN23" s="185"/>
      <c r="DO23" s="185"/>
      <c r="DP23" s="185"/>
      <c r="DQ23" s="185"/>
      <c r="DR23" s="185"/>
      <c r="DS23" s="185"/>
      <c r="DT23" s="185"/>
      <c r="DU23" s="185"/>
      <c r="DV23" s="185"/>
      <c r="DW23" s="185"/>
      <c r="DX23" s="185"/>
      <c r="DY23" s="185"/>
      <c r="DZ23" s="185"/>
      <c r="EA23" s="185"/>
      <c r="EB23" s="185"/>
      <c r="EC23" s="185"/>
      <c r="ED23" s="185"/>
      <c r="EE23" s="185"/>
      <c r="EF23" s="185"/>
      <c r="EG23" s="185"/>
      <c r="EH23" s="185"/>
      <c r="EI23" s="185"/>
      <c r="EJ23" s="185"/>
      <c r="EK23" s="185"/>
      <c r="EL23" s="185"/>
      <c r="EM23" s="185"/>
      <c r="EN23" s="185"/>
    </row>
    <row r="24" spans="1:146" s="207" customFormat="1" hidden="1">
      <c r="A24" s="236"/>
      <c r="E24" s="201"/>
      <c r="F24" s="201"/>
      <c r="G24" s="204" t="s">
        <v>69</v>
      </c>
      <c r="H24" s="203"/>
      <c r="I24" s="203"/>
      <c r="J24" s="230"/>
      <c r="K24" s="230"/>
      <c r="L24" s="205">
        <f ca="1">SUM(L19:L23)</f>
        <v>0</v>
      </c>
      <c r="M24" s="205">
        <f ca="1">SUM(M19:M23)</f>
        <v>0</v>
      </c>
      <c r="N24" s="205">
        <f ca="1">SUM(N19:N23)</f>
        <v>0</v>
      </c>
      <c r="O24" s="205">
        <f t="shared" ref="O24:AZ24" ca="1" si="57">SUM(O19:O23)</f>
        <v>0</v>
      </c>
      <c r="P24" s="205">
        <f t="shared" ca="1" si="57"/>
        <v>0</v>
      </c>
      <c r="Q24" s="205">
        <f t="shared" ca="1" si="57"/>
        <v>0</v>
      </c>
      <c r="R24" s="205">
        <f t="shared" ca="1" si="57"/>
        <v>0</v>
      </c>
      <c r="S24" s="205">
        <f t="shared" ca="1" si="57"/>
        <v>0</v>
      </c>
      <c r="T24" s="205">
        <f t="shared" ca="1" si="57"/>
        <v>0</v>
      </c>
      <c r="U24" s="205">
        <f t="shared" ca="1" si="57"/>
        <v>0</v>
      </c>
      <c r="V24" s="205">
        <f t="shared" ca="1" si="57"/>
        <v>0</v>
      </c>
      <c r="W24" s="205">
        <f t="shared" ca="1" si="57"/>
        <v>0</v>
      </c>
      <c r="X24" s="205">
        <f t="shared" ca="1" si="57"/>
        <v>0</v>
      </c>
      <c r="Y24" s="205">
        <f t="shared" ca="1" si="57"/>
        <v>0</v>
      </c>
      <c r="Z24" s="205">
        <f t="shared" ca="1" si="57"/>
        <v>0</v>
      </c>
      <c r="AA24" s="205">
        <f t="shared" ca="1" si="57"/>
        <v>0</v>
      </c>
      <c r="AB24" s="205">
        <f t="shared" ca="1" si="57"/>
        <v>0</v>
      </c>
      <c r="AC24" s="205">
        <f t="shared" ca="1" si="57"/>
        <v>0</v>
      </c>
      <c r="AD24" s="205">
        <f t="shared" ca="1" si="57"/>
        <v>0</v>
      </c>
      <c r="AE24" s="205">
        <f t="shared" ca="1" si="57"/>
        <v>5</v>
      </c>
      <c r="AF24" s="205">
        <f t="shared" ca="1" si="57"/>
        <v>5</v>
      </c>
      <c r="AG24" s="205">
        <f t="shared" ca="1" si="57"/>
        <v>5</v>
      </c>
      <c r="AH24" s="205">
        <f t="shared" ca="1" si="57"/>
        <v>5</v>
      </c>
      <c r="AI24" s="205">
        <f t="shared" ca="1" si="57"/>
        <v>5</v>
      </c>
      <c r="AJ24" s="205">
        <f t="shared" ca="1" si="57"/>
        <v>5</v>
      </c>
      <c r="AK24" s="205">
        <f t="shared" ca="1" si="57"/>
        <v>5</v>
      </c>
      <c r="AL24" s="205">
        <f t="shared" ca="1" si="57"/>
        <v>5</v>
      </c>
      <c r="AM24" s="205">
        <f t="shared" ca="1" si="57"/>
        <v>5</v>
      </c>
      <c r="AN24" s="205">
        <f t="shared" ca="1" si="57"/>
        <v>5</v>
      </c>
      <c r="AO24" s="205">
        <f t="shared" ca="1" si="57"/>
        <v>5</v>
      </c>
      <c r="AP24" s="205">
        <f t="shared" ca="1" si="57"/>
        <v>5</v>
      </c>
      <c r="AQ24" s="205">
        <f t="shared" ca="1" si="57"/>
        <v>28</v>
      </c>
      <c r="AR24" s="205">
        <f t="shared" ca="1" si="57"/>
        <v>28</v>
      </c>
      <c r="AS24" s="205">
        <f t="shared" ca="1" si="57"/>
        <v>28</v>
      </c>
      <c r="AT24" s="205">
        <f t="shared" ca="1" si="57"/>
        <v>28</v>
      </c>
      <c r="AU24" s="205">
        <f t="shared" ca="1" si="57"/>
        <v>28</v>
      </c>
      <c r="AV24" s="205">
        <f t="shared" ca="1" si="57"/>
        <v>28</v>
      </c>
      <c r="AW24" s="205">
        <f t="shared" ca="1" si="57"/>
        <v>28</v>
      </c>
      <c r="AX24" s="205">
        <f t="shared" ca="1" si="57"/>
        <v>109</v>
      </c>
      <c r="AY24" s="205">
        <f t="shared" ca="1" si="57"/>
        <v>109</v>
      </c>
      <c r="AZ24" s="205">
        <f t="shared" ca="1" si="57"/>
        <v>109</v>
      </c>
      <c r="BA24" s="205">
        <f t="shared" ref="BA24:CF24" ca="1" si="58">SUM(BA19:BA23)</f>
        <v>109</v>
      </c>
      <c r="BB24" s="205">
        <f t="shared" ca="1" si="58"/>
        <v>109</v>
      </c>
      <c r="BC24" s="205">
        <f t="shared" ca="1" si="58"/>
        <v>134</v>
      </c>
      <c r="BD24" s="205">
        <f t="shared" ca="1" si="58"/>
        <v>134</v>
      </c>
      <c r="BE24" s="205">
        <f t="shared" ca="1" si="58"/>
        <v>111</v>
      </c>
      <c r="BF24" s="205">
        <f t="shared" ca="1" si="58"/>
        <v>111</v>
      </c>
      <c r="BG24" s="205">
        <f t="shared" ca="1" si="58"/>
        <v>86</v>
      </c>
      <c r="BH24" s="205">
        <f t="shared" ca="1" si="58"/>
        <v>86</v>
      </c>
      <c r="BI24" s="205">
        <f t="shared" ca="1" si="58"/>
        <v>81</v>
      </c>
      <c r="BJ24" s="205">
        <f t="shared" ca="1" si="58"/>
        <v>81</v>
      </c>
      <c r="BK24" s="205">
        <f t="shared" ca="1" si="58"/>
        <v>81</v>
      </c>
      <c r="BL24" s="205">
        <f t="shared" ca="1" si="58"/>
        <v>81</v>
      </c>
      <c r="BM24" s="205">
        <f t="shared" ca="1" si="58"/>
        <v>81</v>
      </c>
      <c r="BN24" s="205">
        <f t="shared" ca="1" si="58"/>
        <v>81</v>
      </c>
      <c r="BO24" s="205">
        <f t="shared" ca="1" si="58"/>
        <v>81</v>
      </c>
      <c r="BP24" s="205">
        <f t="shared" ca="1" si="58"/>
        <v>81</v>
      </c>
      <c r="BQ24" s="205">
        <f t="shared" ca="1" si="58"/>
        <v>81</v>
      </c>
      <c r="BR24" s="205">
        <f t="shared" ca="1" si="58"/>
        <v>81</v>
      </c>
      <c r="BS24" s="205">
        <f t="shared" ca="1" si="58"/>
        <v>81</v>
      </c>
      <c r="BT24" s="205">
        <f t="shared" ca="1" si="58"/>
        <v>81</v>
      </c>
      <c r="BU24" s="205">
        <f t="shared" ca="1" si="58"/>
        <v>81</v>
      </c>
      <c r="BV24" s="205">
        <f t="shared" ca="1" si="58"/>
        <v>81</v>
      </c>
      <c r="BW24" s="205">
        <f t="shared" ca="1" si="58"/>
        <v>81</v>
      </c>
      <c r="BX24" s="205">
        <f t="shared" ca="1" si="58"/>
        <v>81</v>
      </c>
      <c r="BY24" s="205">
        <f t="shared" ca="1" si="58"/>
        <v>81</v>
      </c>
      <c r="BZ24" s="205">
        <f t="shared" ca="1" si="58"/>
        <v>81</v>
      </c>
      <c r="CA24" s="205">
        <f t="shared" ca="1" si="58"/>
        <v>81</v>
      </c>
      <c r="CB24" s="205">
        <f t="shared" ca="1" si="58"/>
        <v>0</v>
      </c>
      <c r="CC24" s="205">
        <f t="shared" ca="1" si="58"/>
        <v>0</v>
      </c>
      <c r="CD24" s="205">
        <f t="shared" ca="1" si="58"/>
        <v>0</v>
      </c>
      <c r="CE24" s="205">
        <f t="shared" ca="1" si="58"/>
        <v>0</v>
      </c>
      <c r="CF24" s="205">
        <f t="shared" ca="1" si="58"/>
        <v>0</v>
      </c>
      <c r="CG24" s="205">
        <f t="shared" ref="CG24:DL24" ca="1" si="59">SUM(CG19:CG23)</f>
        <v>0</v>
      </c>
      <c r="CH24" s="205">
        <f t="shared" ca="1" si="59"/>
        <v>0</v>
      </c>
      <c r="CI24" s="205">
        <f t="shared" ca="1" si="59"/>
        <v>0</v>
      </c>
      <c r="CJ24" s="205">
        <f t="shared" ca="1" si="59"/>
        <v>0</v>
      </c>
      <c r="CK24" s="205">
        <f t="shared" ca="1" si="59"/>
        <v>0</v>
      </c>
      <c r="CL24" s="205">
        <f t="shared" ca="1" si="59"/>
        <v>0</v>
      </c>
      <c r="CM24" s="205">
        <f t="shared" ca="1" si="59"/>
        <v>0</v>
      </c>
      <c r="CN24" s="205">
        <f t="shared" ca="1" si="59"/>
        <v>0</v>
      </c>
      <c r="CO24" s="205">
        <f t="shared" ca="1" si="59"/>
        <v>0</v>
      </c>
      <c r="CP24" s="205">
        <f t="shared" ca="1" si="59"/>
        <v>0</v>
      </c>
      <c r="CQ24" s="205">
        <f t="shared" ca="1" si="59"/>
        <v>0</v>
      </c>
      <c r="CR24" s="205">
        <f t="shared" ca="1" si="59"/>
        <v>0</v>
      </c>
      <c r="CS24" s="205">
        <f t="shared" ca="1" si="59"/>
        <v>0</v>
      </c>
      <c r="CT24" s="205">
        <f t="shared" ca="1" si="59"/>
        <v>0</v>
      </c>
      <c r="CU24" s="205">
        <f t="shared" ca="1" si="59"/>
        <v>0</v>
      </c>
      <c r="CV24" s="205">
        <f t="shared" ca="1" si="59"/>
        <v>0</v>
      </c>
      <c r="CW24" s="205">
        <f t="shared" ca="1" si="59"/>
        <v>0</v>
      </c>
      <c r="CX24" s="205">
        <f t="shared" ca="1" si="59"/>
        <v>0</v>
      </c>
      <c r="CY24" s="205">
        <f t="shared" ca="1" si="59"/>
        <v>0</v>
      </c>
      <c r="CZ24" s="205">
        <f t="shared" ca="1" si="59"/>
        <v>0</v>
      </c>
      <c r="DA24" s="205">
        <f t="shared" ca="1" si="59"/>
        <v>0</v>
      </c>
      <c r="DB24" s="205">
        <f t="shared" ca="1" si="59"/>
        <v>0</v>
      </c>
      <c r="DC24" s="205">
        <f t="shared" ca="1" si="59"/>
        <v>0</v>
      </c>
      <c r="DD24" s="205">
        <f t="shared" ca="1" si="59"/>
        <v>0</v>
      </c>
      <c r="DE24" s="205">
        <f t="shared" ca="1" si="59"/>
        <v>0</v>
      </c>
      <c r="DF24" s="205">
        <f t="shared" ca="1" si="59"/>
        <v>0</v>
      </c>
      <c r="DG24" s="205">
        <f t="shared" ca="1" si="59"/>
        <v>0</v>
      </c>
      <c r="DH24" s="205">
        <f t="shared" ca="1" si="59"/>
        <v>0</v>
      </c>
      <c r="DI24" s="205">
        <f t="shared" ca="1" si="59"/>
        <v>0</v>
      </c>
      <c r="DJ24" s="205">
        <f t="shared" ca="1" si="59"/>
        <v>0</v>
      </c>
      <c r="DK24" s="205">
        <f t="shared" ca="1" si="59"/>
        <v>0</v>
      </c>
      <c r="DL24" s="205">
        <f t="shared" ca="1" si="59"/>
        <v>0</v>
      </c>
      <c r="DM24" s="205">
        <f t="shared" ref="DM24:EN24" ca="1" si="60">SUM(DM19:DM23)</f>
        <v>0</v>
      </c>
      <c r="DN24" s="205">
        <f t="shared" ca="1" si="60"/>
        <v>0</v>
      </c>
      <c r="DO24" s="205">
        <f t="shared" ca="1" si="60"/>
        <v>0</v>
      </c>
      <c r="DP24" s="205">
        <f t="shared" ca="1" si="60"/>
        <v>0</v>
      </c>
      <c r="DQ24" s="205">
        <f t="shared" ca="1" si="60"/>
        <v>0</v>
      </c>
      <c r="DR24" s="205">
        <f t="shared" ca="1" si="60"/>
        <v>0</v>
      </c>
      <c r="DS24" s="205">
        <f t="shared" ca="1" si="60"/>
        <v>0</v>
      </c>
      <c r="DT24" s="205">
        <f t="shared" ca="1" si="60"/>
        <v>0</v>
      </c>
      <c r="DU24" s="205">
        <f t="shared" ca="1" si="60"/>
        <v>0</v>
      </c>
      <c r="DV24" s="205">
        <f t="shared" ca="1" si="60"/>
        <v>0</v>
      </c>
      <c r="DW24" s="205">
        <f t="shared" ca="1" si="60"/>
        <v>0</v>
      </c>
      <c r="DX24" s="205">
        <f t="shared" ca="1" si="60"/>
        <v>0</v>
      </c>
      <c r="DY24" s="205">
        <f t="shared" ca="1" si="60"/>
        <v>0</v>
      </c>
      <c r="DZ24" s="205">
        <f t="shared" ca="1" si="60"/>
        <v>0</v>
      </c>
      <c r="EA24" s="205">
        <f t="shared" ca="1" si="60"/>
        <v>0</v>
      </c>
      <c r="EB24" s="205">
        <f t="shared" ca="1" si="60"/>
        <v>0</v>
      </c>
      <c r="EC24" s="205">
        <f t="shared" ca="1" si="60"/>
        <v>0</v>
      </c>
      <c r="ED24" s="205">
        <f t="shared" ca="1" si="60"/>
        <v>0</v>
      </c>
      <c r="EE24" s="205">
        <f t="shared" ca="1" si="60"/>
        <v>0</v>
      </c>
      <c r="EF24" s="205">
        <f t="shared" ca="1" si="60"/>
        <v>0</v>
      </c>
      <c r="EG24" s="205">
        <f t="shared" ca="1" si="60"/>
        <v>0</v>
      </c>
      <c r="EH24" s="205">
        <f t="shared" ca="1" si="60"/>
        <v>0</v>
      </c>
      <c r="EI24" s="205">
        <f t="shared" ca="1" si="60"/>
        <v>0</v>
      </c>
      <c r="EJ24" s="205">
        <f t="shared" ca="1" si="60"/>
        <v>0</v>
      </c>
      <c r="EK24" s="205">
        <f t="shared" ca="1" si="60"/>
        <v>0</v>
      </c>
      <c r="EL24" s="205">
        <f t="shared" ca="1" si="60"/>
        <v>0</v>
      </c>
      <c r="EM24" s="205">
        <f t="shared" ca="1" si="60"/>
        <v>0</v>
      </c>
      <c r="EN24" s="205">
        <f t="shared" ca="1" si="60"/>
        <v>0</v>
      </c>
      <c r="EO24" s="206">
        <f ca="1">AVERAGE(L24:BJ24)</f>
        <v>31.862745098039216</v>
      </c>
      <c r="EP24" s="206">
        <f ca="1">MAX(L24:BJ24)</f>
        <v>134</v>
      </c>
    </row>
    <row r="25" spans="1:146">
      <c r="B25" s="198"/>
      <c r="F25" s="53"/>
      <c r="G25" s="183"/>
      <c r="H25" s="53"/>
      <c r="I25" s="53"/>
      <c r="J25" s="231"/>
      <c r="K25" s="231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  <c r="BA25" s="183"/>
      <c r="BB25" s="183"/>
      <c r="BC25" s="183"/>
      <c r="BD25" s="183"/>
      <c r="BE25" s="183"/>
      <c r="BF25" s="183"/>
      <c r="BG25" s="183"/>
      <c r="BH25" s="183"/>
      <c r="BI25" s="183"/>
      <c r="BS25" s="119"/>
    </row>
    <row r="26" spans="1:146" s="180" customFormat="1" ht="27">
      <c r="A26" s="447" t="s">
        <v>63</v>
      </c>
      <c r="B26" s="450">
        <f>'BESS 11'!F142</f>
        <v>46243</v>
      </c>
      <c r="C26" s="450">
        <f>'BESS 11'!G142</f>
        <v>46248</v>
      </c>
      <c r="D26" s="226"/>
      <c r="E26" s="226" t="s">
        <v>10</v>
      </c>
      <c r="F26" s="217" t="s">
        <v>58</v>
      </c>
      <c r="G26" s="217" t="s">
        <v>78</v>
      </c>
      <c r="H26" s="217" t="s">
        <v>79</v>
      </c>
      <c r="I26" s="217" t="s">
        <v>59</v>
      </c>
      <c r="J26" s="216" t="s">
        <v>80</v>
      </c>
      <c r="K26" s="216" t="s">
        <v>62</v>
      </c>
      <c r="L26" s="218">
        <v>46195</v>
      </c>
      <c r="M26" s="218">
        <v>46196</v>
      </c>
      <c r="N26" s="218">
        <v>46197</v>
      </c>
      <c r="O26" s="218">
        <f t="shared" ref="O26:BZ26" si="61">N26+1</f>
        <v>46198</v>
      </c>
      <c r="P26" s="218">
        <f t="shared" si="61"/>
        <v>46199</v>
      </c>
      <c r="Q26" s="218">
        <f t="shared" si="61"/>
        <v>46200</v>
      </c>
      <c r="R26" s="218">
        <f t="shared" si="61"/>
        <v>46201</v>
      </c>
      <c r="S26" s="218">
        <f t="shared" si="61"/>
        <v>46202</v>
      </c>
      <c r="T26" s="218">
        <f t="shared" si="61"/>
        <v>46203</v>
      </c>
      <c r="U26" s="218">
        <f t="shared" si="61"/>
        <v>46204</v>
      </c>
      <c r="V26" s="218">
        <f t="shared" si="61"/>
        <v>46205</v>
      </c>
      <c r="W26" s="218">
        <f t="shared" si="61"/>
        <v>46206</v>
      </c>
      <c r="X26" s="218">
        <f t="shared" si="61"/>
        <v>46207</v>
      </c>
      <c r="Y26" s="218">
        <f t="shared" si="61"/>
        <v>46208</v>
      </c>
      <c r="Z26" s="218">
        <f t="shared" si="61"/>
        <v>46209</v>
      </c>
      <c r="AA26" s="218">
        <f t="shared" si="61"/>
        <v>46210</v>
      </c>
      <c r="AB26" s="218">
        <f t="shared" si="61"/>
        <v>46211</v>
      </c>
      <c r="AC26" s="218">
        <f t="shared" si="61"/>
        <v>46212</v>
      </c>
      <c r="AD26" s="218">
        <f t="shared" si="61"/>
        <v>46213</v>
      </c>
      <c r="AE26" s="218">
        <f t="shared" si="61"/>
        <v>46214</v>
      </c>
      <c r="AF26" s="218">
        <f t="shared" si="61"/>
        <v>46215</v>
      </c>
      <c r="AG26" s="218">
        <f t="shared" si="61"/>
        <v>46216</v>
      </c>
      <c r="AH26" s="218">
        <f t="shared" si="61"/>
        <v>46217</v>
      </c>
      <c r="AI26" s="218">
        <f t="shared" si="61"/>
        <v>46218</v>
      </c>
      <c r="AJ26" s="218">
        <f t="shared" si="61"/>
        <v>46219</v>
      </c>
      <c r="AK26" s="218">
        <f t="shared" si="61"/>
        <v>46220</v>
      </c>
      <c r="AL26" s="218">
        <f t="shared" si="61"/>
        <v>46221</v>
      </c>
      <c r="AM26" s="218">
        <f t="shared" si="61"/>
        <v>46222</v>
      </c>
      <c r="AN26" s="218">
        <f t="shared" si="61"/>
        <v>46223</v>
      </c>
      <c r="AO26" s="218">
        <f t="shared" si="61"/>
        <v>46224</v>
      </c>
      <c r="AP26" s="218">
        <f t="shared" si="61"/>
        <v>46225</v>
      </c>
      <c r="AQ26" s="218">
        <f t="shared" si="61"/>
        <v>46226</v>
      </c>
      <c r="AR26" s="218">
        <f t="shared" si="61"/>
        <v>46227</v>
      </c>
      <c r="AS26" s="218">
        <f t="shared" si="61"/>
        <v>46228</v>
      </c>
      <c r="AT26" s="218">
        <f t="shared" si="61"/>
        <v>46229</v>
      </c>
      <c r="AU26" s="218">
        <f t="shared" si="61"/>
        <v>46230</v>
      </c>
      <c r="AV26" s="218">
        <f t="shared" si="61"/>
        <v>46231</v>
      </c>
      <c r="AW26" s="218">
        <f t="shared" si="61"/>
        <v>46232</v>
      </c>
      <c r="AX26" s="218">
        <f t="shared" si="61"/>
        <v>46233</v>
      </c>
      <c r="AY26" s="218">
        <f t="shared" si="61"/>
        <v>46234</v>
      </c>
      <c r="AZ26" s="218">
        <f t="shared" si="61"/>
        <v>46235</v>
      </c>
      <c r="BA26" s="218">
        <f t="shared" si="61"/>
        <v>46236</v>
      </c>
      <c r="BB26" s="218">
        <f t="shared" si="61"/>
        <v>46237</v>
      </c>
      <c r="BC26" s="218">
        <f t="shared" si="61"/>
        <v>46238</v>
      </c>
      <c r="BD26" s="218">
        <f t="shared" si="61"/>
        <v>46239</v>
      </c>
      <c r="BE26" s="218">
        <f t="shared" si="61"/>
        <v>46240</v>
      </c>
      <c r="BF26" s="218">
        <f t="shared" si="61"/>
        <v>46241</v>
      </c>
      <c r="BG26" s="218">
        <f t="shared" si="61"/>
        <v>46242</v>
      </c>
      <c r="BH26" s="218">
        <f t="shared" si="61"/>
        <v>46243</v>
      </c>
      <c r="BI26" s="218">
        <f t="shared" si="61"/>
        <v>46244</v>
      </c>
      <c r="BJ26" s="218">
        <f t="shared" si="61"/>
        <v>46245</v>
      </c>
      <c r="BK26" s="218">
        <f t="shared" si="61"/>
        <v>46246</v>
      </c>
      <c r="BL26" s="218">
        <f t="shared" si="61"/>
        <v>46247</v>
      </c>
      <c r="BM26" s="218">
        <f t="shared" si="61"/>
        <v>46248</v>
      </c>
      <c r="BN26" s="218">
        <f t="shared" si="61"/>
        <v>46249</v>
      </c>
      <c r="BO26" s="218">
        <f t="shared" si="61"/>
        <v>46250</v>
      </c>
      <c r="BP26" s="218">
        <f t="shared" si="61"/>
        <v>46251</v>
      </c>
      <c r="BQ26" s="218">
        <f t="shared" si="61"/>
        <v>46252</v>
      </c>
      <c r="BR26" s="218">
        <f t="shared" si="61"/>
        <v>46253</v>
      </c>
      <c r="BS26" s="218">
        <f t="shared" si="61"/>
        <v>46254</v>
      </c>
      <c r="BT26" s="218">
        <f t="shared" si="61"/>
        <v>46255</v>
      </c>
      <c r="BU26" s="218">
        <f t="shared" si="61"/>
        <v>46256</v>
      </c>
      <c r="BV26" s="218">
        <f t="shared" si="61"/>
        <v>46257</v>
      </c>
      <c r="BW26" s="218">
        <f t="shared" si="61"/>
        <v>46258</v>
      </c>
      <c r="BX26" s="218">
        <f t="shared" si="61"/>
        <v>46259</v>
      </c>
      <c r="BY26" s="218">
        <f t="shared" si="61"/>
        <v>46260</v>
      </c>
      <c r="BZ26" s="218">
        <f t="shared" si="61"/>
        <v>46261</v>
      </c>
      <c r="CA26" s="218">
        <f t="shared" ref="CA26:CS26" si="62">BZ26+1</f>
        <v>46262</v>
      </c>
      <c r="CB26" s="218">
        <f t="shared" si="62"/>
        <v>46263</v>
      </c>
      <c r="CC26" s="218">
        <f t="shared" si="62"/>
        <v>46264</v>
      </c>
      <c r="CD26" s="218">
        <f t="shared" si="62"/>
        <v>46265</v>
      </c>
      <c r="CE26" s="218">
        <f t="shared" si="62"/>
        <v>46266</v>
      </c>
      <c r="CF26" s="218">
        <f t="shared" si="62"/>
        <v>46267</v>
      </c>
      <c r="CG26" s="218">
        <f t="shared" si="62"/>
        <v>46268</v>
      </c>
      <c r="CH26" s="218">
        <f t="shared" si="62"/>
        <v>46269</v>
      </c>
      <c r="CI26" s="218">
        <f t="shared" si="62"/>
        <v>46270</v>
      </c>
      <c r="CJ26" s="218">
        <f t="shared" si="62"/>
        <v>46271</v>
      </c>
      <c r="CK26" s="218">
        <f t="shared" si="62"/>
        <v>46272</v>
      </c>
      <c r="CL26" s="218">
        <f t="shared" si="62"/>
        <v>46273</v>
      </c>
      <c r="CM26" s="218">
        <f t="shared" si="62"/>
        <v>46274</v>
      </c>
      <c r="CN26" s="218">
        <f t="shared" si="62"/>
        <v>46275</v>
      </c>
      <c r="CO26" s="218">
        <f t="shared" si="62"/>
        <v>46276</v>
      </c>
      <c r="CP26" s="218">
        <f t="shared" si="62"/>
        <v>46277</v>
      </c>
      <c r="CQ26" s="218">
        <f t="shared" si="62"/>
        <v>46278</v>
      </c>
      <c r="CR26" s="218">
        <f t="shared" si="62"/>
        <v>46279</v>
      </c>
      <c r="CS26" s="218">
        <f t="shared" si="62"/>
        <v>46280</v>
      </c>
      <c r="CT26" s="218">
        <f t="shared" ref="CT26:EN26" si="63">CS26+1</f>
        <v>46281</v>
      </c>
      <c r="CU26" s="218">
        <f t="shared" si="63"/>
        <v>46282</v>
      </c>
      <c r="CV26" s="218">
        <f t="shared" si="63"/>
        <v>46283</v>
      </c>
      <c r="CW26" s="218">
        <f t="shared" si="63"/>
        <v>46284</v>
      </c>
      <c r="CX26" s="218">
        <f t="shared" si="63"/>
        <v>46285</v>
      </c>
      <c r="CY26" s="218">
        <f t="shared" si="63"/>
        <v>46286</v>
      </c>
      <c r="CZ26" s="218">
        <f t="shared" si="63"/>
        <v>46287</v>
      </c>
      <c r="DA26" s="218">
        <f t="shared" si="63"/>
        <v>46288</v>
      </c>
      <c r="DB26" s="218">
        <f t="shared" si="63"/>
        <v>46289</v>
      </c>
      <c r="DC26" s="218">
        <f t="shared" si="63"/>
        <v>46290</v>
      </c>
      <c r="DD26" s="218">
        <f t="shared" si="63"/>
        <v>46291</v>
      </c>
      <c r="DE26" s="218">
        <f t="shared" si="63"/>
        <v>46292</v>
      </c>
      <c r="DF26" s="218">
        <f t="shared" si="63"/>
        <v>46293</v>
      </c>
      <c r="DG26" s="218">
        <f t="shared" si="63"/>
        <v>46294</v>
      </c>
      <c r="DH26" s="218">
        <f t="shared" si="63"/>
        <v>46295</v>
      </c>
      <c r="DI26" s="218">
        <f t="shared" si="63"/>
        <v>46296</v>
      </c>
      <c r="DJ26" s="218">
        <f t="shared" si="63"/>
        <v>46297</v>
      </c>
      <c r="DK26" s="218">
        <f t="shared" si="63"/>
        <v>46298</v>
      </c>
      <c r="DL26" s="218">
        <f t="shared" si="63"/>
        <v>46299</v>
      </c>
      <c r="DM26" s="218">
        <f t="shared" si="63"/>
        <v>46300</v>
      </c>
      <c r="DN26" s="218">
        <f t="shared" si="63"/>
        <v>46301</v>
      </c>
      <c r="DO26" s="218">
        <f t="shared" si="63"/>
        <v>46302</v>
      </c>
      <c r="DP26" s="218">
        <f t="shared" si="63"/>
        <v>46303</v>
      </c>
      <c r="DQ26" s="218">
        <f t="shared" si="63"/>
        <v>46304</v>
      </c>
      <c r="DR26" s="218">
        <f t="shared" si="63"/>
        <v>46305</v>
      </c>
      <c r="DS26" s="218">
        <f t="shared" si="63"/>
        <v>46306</v>
      </c>
      <c r="DT26" s="218">
        <f t="shared" si="63"/>
        <v>46307</v>
      </c>
      <c r="DU26" s="218">
        <f t="shared" si="63"/>
        <v>46308</v>
      </c>
      <c r="DV26" s="218">
        <f t="shared" si="63"/>
        <v>46309</v>
      </c>
      <c r="DW26" s="218">
        <f t="shared" si="63"/>
        <v>46310</v>
      </c>
      <c r="DX26" s="218">
        <f t="shared" si="63"/>
        <v>46311</v>
      </c>
      <c r="DY26" s="218">
        <f t="shared" si="63"/>
        <v>46312</v>
      </c>
      <c r="DZ26" s="218">
        <f t="shared" si="63"/>
        <v>46313</v>
      </c>
      <c r="EA26" s="218">
        <f t="shared" si="63"/>
        <v>46314</v>
      </c>
      <c r="EB26" s="218">
        <f t="shared" si="63"/>
        <v>46315</v>
      </c>
      <c r="EC26" s="218">
        <f t="shared" si="63"/>
        <v>46316</v>
      </c>
      <c r="ED26" s="218">
        <f t="shared" si="63"/>
        <v>46317</v>
      </c>
      <c r="EE26" s="218">
        <f t="shared" si="63"/>
        <v>46318</v>
      </c>
      <c r="EF26" s="218">
        <f t="shared" si="63"/>
        <v>46319</v>
      </c>
      <c r="EG26" s="218">
        <f t="shared" si="63"/>
        <v>46320</v>
      </c>
      <c r="EH26" s="218">
        <f t="shared" si="63"/>
        <v>46321</v>
      </c>
      <c r="EI26" s="218">
        <f t="shared" si="63"/>
        <v>46322</v>
      </c>
      <c r="EJ26" s="218">
        <f t="shared" si="63"/>
        <v>46323</v>
      </c>
      <c r="EK26" s="218">
        <f t="shared" si="63"/>
        <v>46324</v>
      </c>
      <c r="EL26" s="218">
        <f t="shared" si="63"/>
        <v>46325</v>
      </c>
      <c r="EM26" s="218">
        <f t="shared" si="63"/>
        <v>46326</v>
      </c>
      <c r="EN26" s="218">
        <f t="shared" si="63"/>
        <v>46327</v>
      </c>
    </row>
    <row r="27" spans="1:146">
      <c r="A27" s="448"/>
      <c r="B27" s="451"/>
      <c r="C27" s="451"/>
      <c r="D27" s="467">
        <f>'BESS 11'!H142</f>
        <v>46251</v>
      </c>
      <c r="E27" s="185" t="s">
        <v>64</v>
      </c>
      <c r="F27" s="66">
        <f>SUM('BESS 11'!S155:S162,'BESS 11'!S164)</f>
        <v>4</v>
      </c>
      <c r="G27" s="182">
        <f ca="1">TODAY()</f>
        <v>46233</v>
      </c>
      <c r="H27" s="182">
        <f ca="1">G27+10</f>
        <v>46243</v>
      </c>
      <c r="I27" s="65">
        <f ca="1">H27-G27</f>
        <v>10</v>
      </c>
      <c r="J27" s="444">
        <f ca="1">AVERAGEIF(L32:EN32,"&gt;0")</f>
        <v>64.666666666666671</v>
      </c>
      <c r="K27" s="444">
        <f ca="1">MAX(L32:EN32)</f>
        <v>167</v>
      </c>
      <c r="L27" s="65" t="str">
        <f t="shared" ref="L27:U30" ca="1" si="64">IF(AND(L$2&gt;=$G27,L$2&lt;($G27+$I27)),ROUND($F27/$I27,0),"-")</f>
        <v>-</v>
      </c>
      <c r="M27" s="65" t="str">
        <f t="shared" ca="1" si="64"/>
        <v>-</v>
      </c>
      <c r="N27" s="65" t="str">
        <f t="shared" ca="1" si="64"/>
        <v>-</v>
      </c>
      <c r="O27" s="65" t="str">
        <f t="shared" ca="1" si="64"/>
        <v>-</v>
      </c>
      <c r="P27" s="65" t="str">
        <f t="shared" ca="1" si="64"/>
        <v>-</v>
      </c>
      <c r="Q27" s="65" t="str">
        <f t="shared" ca="1" si="64"/>
        <v>-</v>
      </c>
      <c r="R27" s="65" t="str">
        <f t="shared" ca="1" si="64"/>
        <v>-</v>
      </c>
      <c r="S27" s="65" t="str">
        <f t="shared" ca="1" si="64"/>
        <v>-</v>
      </c>
      <c r="T27" s="65" t="str">
        <f t="shared" ca="1" si="64"/>
        <v>-</v>
      </c>
      <c r="U27" s="65" t="str">
        <f t="shared" ca="1" si="64"/>
        <v>-</v>
      </c>
      <c r="V27" s="65" t="str">
        <f t="shared" ref="V27:AE30" ca="1" si="65">IF(AND(V$2&gt;=$G27,V$2&lt;($G27+$I27)),ROUND($F27/$I27,0),"-")</f>
        <v>-</v>
      </c>
      <c r="W27" s="65" t="str">
        <f t="shared" ca="1" si="65"/>
        <v>-</v>
      </c>
      <c r="X27" s="65" t="str">
        <f t="shared" ca="1" si="65"/>
        <v>-</v>
      </c>
      <c r="Y27" s="65" t="str">
        <f t="shared" ca="1" si="65"/>
        <v>-</v>
      </c>
      <c r="Z27" s="65" t="str">
        <f t="shared" ca="1" si="65"/>
        <v>-</v>
      </c>
      <c r="AA27" s="65" t="str">
        <f t="shared" ca="1" si="65"/>
        <v>-</v>
      </c>
      <c r="AB27" s="65" t="str">
        <f t="shared" ca="1" si="65"/>
        <v>-</v>
      </c>
      <c r="AC27" s="65" t="str">
        <f t="shared" ca="1" si="65"/>
        <v>-</v>
      </c>
      <c r="AD27" s="65" t="str">
        <f t="shared" ca="1" si="65"/>
        <v>-</v>
      </c>
      <c r="AE27" s="65" t="str">
        <f t="shared" ca="1" si="65"/>
        <v>-</v>
      </c>
      <c r="AF27" s="65" t="str">
        <f t="shared" ref="AF27:AO30" ca="1" si="66">IF(AND(AF$2&gt;=$G27,AF$2&lt;($G27+$I27)),ROUND($F27/$I27,0),"-")</f>
        <v>-</v>
      </c>
      <c r="AG27" s="65" t="str">
        <f t="shared" ca="1" si="66"/>
        <v>-</v>
      </c>
      <c r="AH27" s="65" t="str">
        <f t="shared" ca="1" si="66"/>
        <v>-</v>
      </c>
      <c r="AI27" s="65" t="str">
        <f t="shared" ca="1" si="66"/>
        <v>-</v>
      </c>
      <c r="AJ27" s="65" t="str">
        <f t="shared" ca="1" si="66"/>
        <v>-</v>
      </c>
      <c r="AK27" s="65" t="str">
        <f t="shared" ca="1" si="66"/>
        <v>-</v>
      </c>
      <c r="AL27" s="65" t="str">
        <f t="shared" ca="1" si="66"/>
        <v>-</v>
      </c>
      <c r="AM27" s="65" t="str">
        <f t="shared" ca="1" si="66"/>
        <v>-</v>
      </c>
      <c r="AN27" s="65" t="str">
        <f t="shared" ca="1" si="66"/>
        <v>-</v>
      </c>
      <c r="AO27" s="65" t="str">
        <f t="shared" ca="1" si="66"/>
        <v>-</v>
      </c>
      <c r="AP27" s="65" t="str">
        <f t="shared" ref="AP27:AY30" ca="1" si="67">IF(AND(AP$2&gt;=$G27,AP$2&lt;($G27+$I27)),ROUND($F27/$I27,0),"-")</f>
        <v>-</v>
      </c>
      <c r="AQ27" s="65" t="str">
        <f t="shared" ca="1" si="67"/>
        <v>-</v>
      </c>
      <c r="AR27" s="65" t="str">
        <f t="shared" ca="1" si="67"/>
        <v>-</v>
      </c>
      <c r="AS27" s="65" t="str">
        <f t="shared" ca="1" si="67"/>
        <v>-</v>
      </c>
      <c r="AT27" s="65" t="str">
        <f t="shared" ca="1" si="67"/>
        <v>-</v>
      </c>
      <c r="AU27" s="65" t="str">
        <f t="shared" ca="1" si="67"/>
        <v>-</v>
      </c>
      <c r="AV27" s="65" t="str">
        <f t="shared" ca="1" si="67"/>
        <v>-</v>
      </c>
      <c r="AW27" s="65" t="str">
        <f t="shared" ca="1" si="67"/>
        <v>-</v>
      </c>
      <c r="AX27" s="65">
        <f t="shared" ca="1" si="67"/>
        <v>0</v>
      </c>
      <c r="AY27" s="65">
        <f t="shared" ca="1" si="67"/>
        <v>0</v>
      </c>
      <c r="AZ27" s="65">
        <f t="shared" ref="AZ27:BI30" ca="1" si="68">IF(AND(AZ$2&gt;=$G27,AZ$2&lt;($G27+$I27)),ROUND($F27/$I27,0),"-")</f>
        <v>0</v>
      </c>
      <c r="BA27" s="65">
        <f t="shared" ca="1" si="68"/>
        <v>0</v>
      </c>
      <c r="BB27" s="65">
        <f t="shared" ca="1" si="68"/>
        <v>0</v>
      </c>
      <c r="BC27" s="65">
        <f t="shared" ca="1" si="68"/>
        <v>0</v>
      </c>
      <c r="BD27" s="65">
        <f t="shared" ca="1" si="68"/>
        <v>0</v>
      </c>
      <c r="BE27" s="65">
        <f t="shared" ca="1" si="68"/>
        <v>0</v>
      </c>
      <c r="BF27" s="65">
        <f t="shared" ca="1" si="68"/>
        <v>0</v>
      </c>
      <c r="BG27" s="65">
        <f t="shared" ca="1" si="68"/>
        <v>0</v>
      </c>
      <c r="BH27" s="65" t="str">
        <f t="shared" ca="1" si="68"/>
        <v>-</v>
      </c>
      <c r="BI27" s="65" t="str">
        <f t="shared" ca="1" si="68"/>
        <v>-</v>
      </c>
      <c r="BJ27" s="65" t="str">
        <f t="shared" ref="BJ27:BS30" ca="1" si="69">IF(AND(BJ$2&gt;=$G27,BJ$2&lt;($G27+$I27)),ROUND($F27/$I27,0),"-")</f>
        <v>-</v>
      </c>
      <c r="BK27" s="65" t="str">
        <f t="shared" ca="1" si="69"/>
        <v>-</v>
      </c>
      <c r="BL27" s="65" t="str">
        <f t="shared" ca="1" si="69"/>
        <v>-</v>
      </c>
      <c r="BM27" s="65" t="str">
        <f t="shared" ca="1" si="69"/>
        <v>-</v>
      </c>
      <c r="BN27" s="65" t="str">
        <f t="shared" ca="1" si="69"/>
        <v>-</v>
      </c>
      <c r="BO27" s="65" t="str">
        <f t="shared" ca="1" si="69"/>
        <v>-</v>
      </c>
      <c r="BP27" s="65" t="str">
        <f t="shared" ca="1" si="69"/>
        <v>-</v>
      </c>
      <c r="BQ27" s="65" t="str">
        <f t="shared" ca="1" si="69"/>
        <v>-</v>
      </c>
      <c r="BR27" s="65" t="str">
        <f t="shared" ca="1" si="69"/>
        <v>-</v>
      </c>
      <c r="BS27" s="65" t="str">
        <f t="shared" ca="1" si="69"/>
        <v>-</v>
      </c>
      <c r="BT27" s="65" t="str">
        <f t="shared" ref="BT27:CC30" ca="1" si="70">IF(AND(BT$2&gt;=$G27,BT$2&lt;($G27+$I27)),ROUND($F27/$I27,0),"-")</f>
        <v>-</v>
      </c>
      <c r="BU27" s="65" t="str">
        <f t="shared" ca="1" si="70"/>
        <v>-</v>
      </c>
      <c r="BV27" s="65" t="str">
        <f t="shared" ca="1" si="70"/>
        <v>-</v>
      </c>
      <c r="BW27" s="65" t="str">
        <f t="shared" ca="1" si="70"/>
        <v>-</v>
      </c>
      <c r="BX27" s="65" t="str">
        <f t="shared" ca="1" si="70"/>
        <v>-</v>
      </c>
      <c r="BY27" s="65" t="str">
        <f t="shared" ca="1" si="70"/>
        <v>-</v>
      </c>
      <c r="BZ27" s="65" t="str">
        <f t="shared" ca="1" si="70"/>
        <v>-</v>
      </c>
      <c r="CA27" s="65" t="str">
        <f t="shared" ca="1" si="70"/>
        <v>-</v>
      </c>
      <c r="CB27" s="65" t="str">
        <f t="shared" ca="1" si="70"/>
        <v>-</v>
      </c>
      <c r="CC27" s="65" t="str">
        <f t="shared" ca="1" si="70"/>
        <v>-</v>
      </c>
      <c r="CD27" s="65" t="str">
        <f t="shared" ref="CD27:CM30" ca="1" si="71">IF(AND(CD$2&gt;=$G27,CD$2&lt;($G27+$I27)),ROUND($F27/$I27,0),"-")</f>
        <v>-</v>
      </c>
      <c r="CE27" s="65" t="str">
        <f t="shared" ca="1" si="71"/>
        <v>-</v>
      </c>
      <c r="CF27" s="65" t="str">
        <f t="shared" ca="1" si="71"/>
        <v>-</v>
      </c>
      <c r="CG27" s="65" t="str">
        <f t="shared" ca="1" si="71"/>
        <v>-</v>
      </c>
      <c r="CH27" s="65" t="str">
        <f t="shared" ca="1" si="71"/>
        <v>-</v>
      </c>
      <c r="CI27" s="65" t="str">
        <f t="shared" ca="1" si="71"/>
        <v>-</v>
      </c>
      <c r="CJ27" s="65" t="str">
        <f t="shared" ca="1" si="71"/>
        <v>-</v>
      </c>
      <c r="CK27" s="65" t="str">
        <f t="shared" ca="1" si="71"/>
        <v>-</v>
      </c>
      <c r="CL27" s="65" t="str">
        <f t="shared" ca="1" si="71"/>
        <v>-</v>
      </c>
      <c r="CM27" s="65" t="str">
        <f t="shared" ca="1" si="71"/>
        <v>-</v>
      </c>
      <c r="CN27" s="65" t="str">
        <f t="shared" ref="CN27:CW30" ca="1" si="72">IF(AND(CN$2&gt;=$G27,CN$2&lt;($G27+$I27)),ROUND($F27/$I27,0),"-")</f>
        <v>-</v>
      </c>
      <c r="CO27" s="65" t="str">
        <f t="shared" ca="1" si="72"/>
        <v>-</v>
      </c>
      <c r="CP27" s="65" t="str">
        <f t="shared" ca="1" si="72"/>
        <v>-</v>
      </c>
      <c r="CQ27" s="65" t="str">
        <f t="shared" ca="1" si="72"/>
        <v>-</v>
      </c>
      <c r="CR27" s="65" t="str">
        <f t="shared" ca="1" si="72"/>
        <v>-</v>
      </c>
      <c r="CS27" s="65" t="str">
        <f t="shared" ca="1" si="72"/>
        <v>-</v>
      </c>
      <c r="CT27" s="65" t="str">
        <f t="shared" ca="1" si="72"/>
        <v>-</v>
      </c>
      <c r="CU27" s="65" t="str">
        <f t="shared" ca="1" si="72"/>
        <v>-</v>
      </c>
      <c r="CV27" s="65" t="str">
        <f t="shared" ca="1" si="72"/>
        <v>-</v>
      </c>
      <c r="CW27" s="65" t="str">
        <f t="shared" ca="1" si="72"/>
        <v>-</v>
      </c>
      <c r="CX27" s="65" t="str">
        <f t="shared" ref="CX27:DG30" ca="1" si="73">IF(AND(CX$2&gt;=$G27,CX$2&lt;($G27+$I27)),ROUND($F27/$I27,0),"-")</f>
        <v>-</v>
      </c>
      <c r="CY27" s="65" t="str">
        <f t="shared" ca="1" si="73"/>
        <v>-</v>
      </c>
      <c r="CZ27" s="65" t="str">
        <f t="shared" ca="1" si="73"/>
        <v>-</v>
      </c>
      <c r="DA27" s="65" t="str">
        <f t="shared" ca="1" si="73"/>
        <v>-</v>
      </c>
      <c r="DB27" s="65" t="str">
        <f t="shared" ca="1" si="73"/>
        <v>-</v>
      </c>
      <c r="DC27" s="65" t="str">
        <f t="shared" ca="1" si="73"/>
        <v>-</v>
      </c>
      <c r="DD27" s="65" t="str">
        <f t="shared" ca="1" si="73"/>
        <v>-</v>
      </c>
      <c r="DE27" s="65" t="str">
        <f t="shared" ca="1" si="73"/>
        <v>-</v>
      </c>
      <c r="DF27" s="65" t="str">
        <f t="shared" ca="1" si="73"/>
        <v>-</v>
      </c>
      <c r="DG27" s="65" t="str">
        <f t="shared" ca="1" si="73"/>
        <v>-</v>
      </c>
      <c r="DH27" s="65" t="str">
        <f t="shared" ref="DH27:DQ30" ca="1" si="74">IF(AND(DH$2&gt;=$G27,DH$2&lt;($G27+$I27)),ROUND($F27/$I27,0),"-")</f>
        <v>-</v>
      </c>
      <c r="DI27" s="65" t="str">
        <f t="shared" ca="1" si="74"/>
        <v>-</v>
      </c>
      <c r="DJ27" s="65" t="str">
        <f t="shared" ca="1" si="74"/>
        <v>-</v>
      </c>
      <c r="DK27" s="65" t="str">
        <f t="shared" ca="1" si="74"/>
        <v>-</v>
      </c>
      <c r="DL27" s="65" t="str">
        <f t="shared" ca="1" si="74"/>
        <v>-</v>
      </c>
      <c r="DM27" s="65" t="str">
        <f t="shared" ca="1" si="74"/>
        <v>-</v>
      </c>
      <c r="DN27" s="65" t="str">
        <f t="shared" ca="1" si="74"/>
        <v>-</v>
      </c>
      <c r="DO27" s="65" t="str">
        <f t="shared" ca="1" si="74"/>
        <v>-</v>
      </c>
      <c r="DP27" s="65" t="str">
        <f t="shared" ca="1" si="74"/>
        <v>-</v>
      </c>
      <c r="DQ27" s="65" t="str">
        <f t="shared" ca="1" si="74"/>
        <v>-</v>
      </c>
      <c r="DR27" s="65" t="str">
        <f t="shared" ref="DR27:EA30" ca="1" si="75">IF(AND(DR$2&gt;=$G27,DR$2&lt;($G27+$I27)),ROUND($F27/$I27,0),"-")</f>
        <v>-</v>
      </c>
      <c r="DS27" s="65" t="str">
        <f t="shared" ca="1" si="75"/>
        <v>-</v>
      </c>
      <c r="DT27" s="65" t="str">
        <f t="shared" ca="1" si="75"/>
        <v>-</v>
      </c>
      <c r="DU27" s="65" t="str">
        <f t="shared" ca="1" si="75"/>
        <v>-</v>
      </c>
      <c r="DV27" s="65" t="str">
        <f t="shared" ca="1" si="75"/>
        <v>-</v>
      </c>
      <c r="DW27" s="65" t="str">
        <f t="shared" ca="1" si="75"/>
        <v>-</v>
      </c>
      <c r="DX27" s="65" t="str">
        <f t="shared" ca="1" si="75"/>
        <v>-</v>
      </c>
      <c r="DY27" s="65" t="str">
        <f t="shared" ca="1" si="75"/>
        <v>-</v>
      </c>
      <c r="DZ27" s="65" t="str">
        <f t="shared" ca="1" si="75"/>
        <v>-</v>
      </c>
      <c r="EA27" s="65" t="str">
        <f t="shared" ca="1" si="75"/>
        <v>-</v>
      </c>
      <c r="EB27" s="65" t="str">
        <f t="shared" ref="EB27:EN30" ca="1" si="76">IF(AND(EB$2&gt;=$G27,EB$2&lt;($G27+$I27)),ROUND($F27/$I27,0),"-")</f>
        <v>-</v>
      </c>
      <c r="EC27" s="65" t="str">
        <f t="shared" ca="1" si="76"/>
        <v>-</v>
      </c>
      <c r="ED27" s="65" t="str">
        <f t="shared" ca="1" si="76"/>
        <v>-</v>
      </c>
      <c r="EE27" s="65" t="str">
        <f t="shared" ca="1" si="76"/>
        <v>-</v>
      </c>
      <c r="EF27" s="65" t="str">
        <f t="shared" ca="1" si="76"/>
        <v>-</v>
      </c>
      <c r="EG27" s="65" t="str">
        <f t="shared" ca="1" si="76"/>
        <v>-</v>
      </c>
      <c r="EH27" s="65" t="str">
        <f t="shared" ca="1" si="76"/>
        <v>-</v>
      </c>
      <c r="EI27" s="65" t="str">
        <f t="shared" ca="1" si="76"/>
        <v>-</v>
      </c>
      <c r="EJ27" s="65" t="str">
        <f t="shared" ca="1" si="76"/>
        <v>-</v>
      </c>
      <c r="EK27" s="65" t="str">
        <f t="shared" ca="1" si="76"/>
        <v>-</v>
      </c>
      <c r="EL27" s="65" t="str">
        <f t="shared" ca="1" si="76"/>
        <v>-</v>
      </c>
      <c r="EM27" s="65" t="str">
        <f t="shared" ca="1" si="76"/>
        <v>-</v>
      </c>
      <c r="EN27" s="65" t="str">
        <f t="shared" ca="1" si="76"/>
        <v>-</v>
      </c>
    </row>
    <row r="28" spans="1:146">
      <c r="A28" s="448"/>
      <c r="B28" s="451"/>
      <c r="C28" s="451"/>
      <c r="D28" s="466"/>
      <c r="E28" s="185" t="s">
        <v>65</v>
      </c>
      <c r="F28" s="66">
        <f>SUM('BESS 11'!S165,'BESS 11'!S167:S168,'BESS 11'!S171:S173)</f>
        <v>277.83000000000004</v>
      </c>
      <c r="G28" s="182">
        <f ca="1">TODAY()</f>
        <v>46233</v>
      </c>
      <c r="H28" s="182">
        <f>MAX('BESS 11'!O165,'BESS 11'!O167:O168,'BESS 11'!O171:O173)</f>
        <v>46237</v>
      </c>
      <c r="I28" s="65">
        <f ca="1">H28-G28</f>
        <v>4</v>
      </c>
      <c r="J28" s="453"/>
      <c r="K28" s="445"/>
      <c r="L28" s="65" t="str">
        <f t="shared" ca="1" si="64"/>
        <v>-</v>
      </c>
      <c r="M28" s="65" t="str">
        <f t="shared" ca="1" si="64"/>
        <v>-</v>
      </c>
      <c r="N28" s="65" t="str">
        <f t="shared" ca="1" si="64"/>
        <v>-</v>
      </c>
      <c r="O28" s="65" t="str">
        <f t="shared" ca="1" si="64"/>
        <v>-</v>
      </c>
      <c r="P28" s="65" t="str">
        <f t="shared" ca="1" si="64"/>
        <v>-</v>
      </c>
      <c r="Q28" s="65" t="str">
        <f t="shared" ca="1" si="64"/>
        <v>-</v>
      </c>
      <c r="R28" s="65" t="str">
        <f t="shared" ca="1" si="64"/>
        <v>-</v>
      </c>
      <c r="S28" s="65" t="str">
        <f t="shared" ca="1" si="64"/>
        <v>-</v>
      </c>
      <c r="T28" s="65" t="str">
        <f t="shared" ca="1" si="64"/>
        <v>-</v>
      </c>
      <c r="U28" s="65" t="str">
        <f t="shared" ca="1" si="64"/>
        <v>-</v>
      </c>
      <c r="V28" s="65" t="str">
        <f t="shared" ca="1" si="65"/>
        <v>-</v>
      </c>
      <c r="W28" s="65" t="str">
        <f t="shared" ca="1" si="65"/>
        <v>-</v>
      </c>
      <c r="X28" s="65" t="str">
        <f t="shared" ca="1" si="65"/>
        <v>-</v>
      </c>
      <c r="Y28" s="65" t="str">
        <f t="shared" ca="1" si="65"/>
        <v>-</v>
      </c>
      <c r="Z28" s="65" t="str">
        <f t="shared" ca="1" si="65"/>
        <v>-</v>
      </c>
      <c r="AA28" s="65" t="str">
        <f t="shared" ca="1" si="65"/>
        <v>-</v>
      </c>
      <c r="AB28" s="65" t="str">
        <f t="shared" ca="1" si="65"/>
        <v>-</v>
      </c>
      <c r="AC28" s="65" t="str">
        <f t="shared" ca="1" si="65"/>
        <v>-</v>
      </c>
      <c r="AD28" s="65" t="str">
        <f t="shared" ca="1" si="65"/>
        <v>-</v>
      </c>
      <c r="AE28" s="65" t="str">
        <f t="shared" ca="1" si="65"/>
        <v>-</v>
      </c>
      <c r="AF28" s="65" t="str">
        <f t="shared" ca="1" si="66"/>
        <v>-</v>
      </c>
      <c r="AG28" s="65" t="str">
        <f t="shared" ca="1" si="66"/>
        <v>-</v>
      </c>
      <c r="AH28" s="65" t="str">
        <f t="shared" ca="1" si="66"/>
        <v>-</v>
      </c>
      <c r="AI28" s="65" t="str">
        <f t="shared" ca="1" si="66"/>
        <v>-</v>
      </c>
      <c r="AJ28" s="65" t="str">
        <f t="shared" ca="1" si="66"/>
        <v>-</v>
      </c>
      <c r="AK28" s="65" t="str">
        <f t="shared" ca="1" si="66"/>
        <v>-</v>
      </c>
      <c r="AL28" s="65" t="str">
        <f t="shared" ca="1" si="66"/>
        <v>-</v>
      </c>
      <c r="AM28" s="65" t="str">
        <f t="shared" ca="1" si="66"/>
        <v>-</v>
      </c>
      <c r="AN28" s="65" t="str">
        <f t="shared" ca="1" si="66"/>
        <v>-</v>
      </c>
      <c r="AO28" s="65" t="str">
        <f t="shared" ca="1" si="66"/>
        <v>-</v>
      </c>
      <c r="AP28" s="65" t="str">
        <f t="shared" ca="1" si="67"/>
        <v>-</v>
      </c>
      <c r="AQ28" s="65" t="str">
        <f t="shared" ca="1" si="67"/>
        <v>-</v>
      </c>
      <c r="AR28" s="65" t="str">
        <f t="shared" ca="1" si="67"/>
        <v>-</v>
      </c>
      <c r="AS28" s="65" t="str">
        <f t="shared" ca="1" si="67"/>
        <v>-</v>
      </c>
      <c r="AT28" s="65" t="str">
        <f t="shared" ca="1" si="67"/>
        <v>-</v>
      </c>
      <c r="AU28" s="65" t="str">
        <f t="shared" ca="1" si="67"/>
        <v>-</v>
      </c>
      <c r="AV28" s="65" t="str">
        <f t="shared" ca="1" si="67"/>
        <v>-</v>
      </c>
      <c r="AW28" s="65" t="str">
        <f t="shared" ca="1" si="67"/>
        <v>-</v>
      </c>
      <c r="AX28" s="65">
        <f t="shared" ca="1" si="67"/>
        <v>69</v>
      </c>
      <c r="AY28" s="65">
        <f t="shared" ca="1" si="67"/>
        <v>69</v>
      </c>
      <c r="AZ28" s="65">
        <f t="shared" ca="1" si="68"/>
        <v>69</v>
      </c>
      <c r="BA28" s="65">
        <f t="shared" ca="1" si="68"/>
        <v>69</v>
      </c>
      <c r="BB28" s="65" t="str">
        <f t="shared" ca="1" si="68"/>
        <v>-</v>
      </c>
      <c r="BC28" s="65" t="str">
        <f t="shared" ca="1" si="68"/>
        <v>-</v>
      </c>
      <c r="BD28" s="65" t="str">
        <f t="shared" ca="1" si="68"/>
        <v>-</v>
      </c>
      <c r="BE28" s="65" t="str">
        <f t="shared" ca="1" si="68"/>
        <v>-</v>
      </c>
      <c r="BF28" s="65" t="str">
        <f t="shared" ca="1" si="68"/>
        <v>-</v>
      </c>
      <c r="BG28" s="65" t="str">
        <f t="shared" ca="1" si="68"/>
        <v>-</v>
      </c>
      <c r="BH28" s="65" t="str">
        <f t="shared" ca="1" si="68"/>
        <v>-</v>
      </c>
      <c r="BI28" s="65" t="str">
        <f t="shared" ca="1" si="68"/>
        <v>-</v>
      </c>
      <c r="BJ28" s="65" t="str">
        <f t="shared" ca="1" si="69"/>
        <v>-</v>
      </c>
      <c r="BK28" s="65" t="str">
        <f t="shared" ca="1" si="69"/>
        <v>-</v>
      </c>
      <c r="BL28" s="65" t="str">
        <f t="shared" ca="1" si="69"/>
        <v>-</v>
      </c>
      <c r="BM28" s="65" t="str">
        <f t="shared" ca="1" si="69"/>
        <v>-</v>
      </c>
      <c r="BN28" s="65" t="str">
        <f t="shared" ca="1" si="69"/>
        <v>-</v>
      </c>
      <c r="BO28" s="65" t="str">
        <f t="shared" ca="1" si="69"/>
        <v>-</v>
      </c>
      <c r="BP28" s="65" t="str">
        <f t="shared" ca="1" si="69"/>
        <v>-</v>
      </c>
      <c r="BQ28" s="65" t="str">
        <f t="shared" ca="1" si="69"/>
        <v>-</v>
      </c>
      <c r="BR28" s="65" t="str">
        <f t="shared" ca="1" si="69"/>
        <v>-</v>
      </c>
      <c r="BS28" s="65" t="str">
        <f t="shared" ca="1" si="69"/>
        <v>-</v>
      </c>
      <c r="BT28" s="65" t="str">
        <f t="shared" ca="1" si="70"/>
        <v>-</v>
      </c>
      <c r="BU28" s="65" t="str">
        <f t="shared" ca="1" si="70"/>
        <v>-</v>
      </c>
      <c r="BV28" s="65" t="str">
        <f t="shared" ca="1" si="70"/>
        <v>-</v>
      </c>
      <c r="BW28" s="65" t="str">
        <f t="shared" ca="1" si="70"/>
        <v>-</v>
      </c>
      <c r="BX28" s="65" t="str">
        <f t="shared" ca="1" si="70"/>
        <v>-</v>
      </c>
      <c r="BY28" s="65" t="str">
        <f t="shared" ca="1" si="70"/>
        <v>-</v>
      </c>
      <c r="BZ28" s="65" t="str">
        <f t="shared" ca="1" si="70"/>
        <v>-</v>
      </c>
      <c r="CA28" s="65" t="str">
        <f t="shared" ca="1" si="70"/>
        <v>-</v>
      </c>
      <c r="CB28" s="65" t="str">
        <f t="shared" ca="1" si="70"/>
        <v>-</v>
      </c>
      <c r="CC28" s="65" t="str">
        <f t="shared" ca="1" si="70"/>
        <v>-</v>
      </c>
      <c r="CD28" s="65" t="str">
        <f t="shared" ca="1" si="71"/>
        <v>-</v>
      </c>
      <c r="CE28" s="65" t="str">
        <f t="shared" ca="1" si="71"/>
        <v>-</v>
      </c>
      <c r="CF28" s="65" t="str">
        <f t="shared" ca="1" si="71"/>
        <v>-</v>
      </c>
      <c r="CG28" s="65" t="str">
        <f t="shared" ca="1" si="71"/>
        <v>-</v>
      </c>
      <c r="CH28" s="65" t="str">
        <f t="shared" ca="1" si="71"/>
        <v>-</v>
      </c>
      <c r="CI28" s="65" t="str">
        <f t="shared" ca="1" si="71"/>
        <v>-</v>
      </c>
      <c r="CJ28" s="65" t="str">
        <f t="shared" ca="1" si="71"/>
        <v>-</v>
      </c>
      <c r="CK28" s="65" t="str">
        <f t="shared" ca="1" si="71"/>
        <v>-</v>
      </c>
      <c r="CL28" s="65" t="str">
        <f t="shared" ca="1" si="71"/>
        <v>-</v>
      </c>
      <c r="CM28" s="65" t="str">
        <f t="shared" ca="1" si="71"/>
        <v>-</v>
      </c>
      <c r="CN28" s="65" t="str">
        <f t="shared" ca="1" si="72"/>
        <v>-</v>
      </c>
      <c r="CO28" s="65" t="str">
        <f t="shared" ca="1" si="72"/>
        <v>-</v>
      </c>
      <c r="CP28" s="65" t="str">
        <f t="shared" ca="1" si="72"/>
        <v>-</v>
      </c>
      <c r="CQ28" s="65" t="str">
        <f t="shared" ca="1" si="72"/>
        <v>-</v>
      </c>
      <c r="CR28" s="65" t="str">
        <f t="shared" ca="1" si="72"/>
        <v>-</v>
      </c>
      <c r="CS28" s="65" t="str">
        <f t="shared" ca="1" si="72"/>
        <v>-</v>
      </c>
      <c r="CT28" s="65" t="str">
        <f t="shared" ca="1" si="72"/>
        <v>-</v>
      </c>
      <c r="CU28" s="65" t="str">
        <f t="shared" ca="1" si="72"/>
        <v>-</v>
      </c>
      <c r="CV28" s="65" t="str">
        <f t="shared" ca="1" si="72"/>
        <v>-</v>
      </c>
      <c r="CW28" s="65" t="str">
        <f t="shared" ca="1" si="72"/>
        <v>-</v>
      </c>
      <c r="CX28" s="65" t="str">
        <f t="shared" ca="1" si="73"/>
        <v>-</v>
      </c>
      <c r="CY28" s="65" t="str">
        <f t="shared" ca="1" si="73"/>
        <v>-</v>
      </c>
      <c r="CZ28" s="65" t="str">
        <f t="shared" ca="1" si="73"/>
        <v>-</v>
      </c>
      <c r="DA28" s="65" t="str">
        <f t="shared" ca="1" si="73"/>
        <v>-</v>
      </c>
      <c r="DB28" s="65" t="str">
        <f t="shared" ca="1" si="73"/>
        <v>-</v>
      </c>
      <c r="DC28" s="65" t="str">
        <f t="shared" ca="1" si="73"/>
        <v>-</v>
      </c>
      <c r="DD28" s="65" t="str">
        <f t="shared" ca="1" si="73"/>
        <v>-</v>
      </c>
      <c r="DE28" s="65" t="str">
        <f t="shared" ca="1" si="73"/>
        <v>-</v>
      </c>
      <c r="DF28" s="65" t="str">
        <f t="shared" ca="1" si="73"/>
        <v>-</v>
      </c>
      <c r="DG28" s="65" t="str">
        <f t="shared" ca="1" si="73"/>
        <v>-</v>
      </c>
      <c r="DH28" s="65" t="str">
        <f t="shared" ca="1" si="74"/>
        <v>-</v>
      </c>
      <c r="DI28" s="65" t="str">
        <f t="shared" ca="1" si="74"/>
        <v>-</v>
      </c>
      <c r="DJ28" s="65" t="str">
        <f t="shared" ca="1" si="74"/>
        <v>-</v>
      </c>
      <c r="DK28" s="65" t="str">
        <f t="shared" ca="1" si="74"/>
        <v>-</v>
      </c>
      <c r="DL28" s="65" t="str">
        <f t="shared" ca="1" si="74"/>
        <v>-</v>
      </c>
      <c r="DM28" s="65" t="str">
        <f t="shared" ca="1" si="74"/>
        <v>-</v>
      </c>
      <c r="DN28" s="65" t="str">
        <f t="shared" ca="1" si="74"/>
        <v>-</v>
      </c>
      <c r="DO28" s="65" t="str">
        <f t="shared" ca="1" si="74"/>
        <v>-</v>
      </c>
      <c r="DP28" s="65" t="str">
        <f t="shared" ca="1" si="74"/>
        <v>-</v>
      </c>
      <c r="DQ28" s="65" t="str">
        <f t="shared" ca="1" si="74"/>
        <v>-</v>
      </c>
      <c r="DR28" s="65" t="str">
        <f t="shared" ca="1" si="75"/>
        <v>-</v>
      </c>
      <c r="DS28" s="65" t="str">
        <f t="shared" ca="1" si="75"/>
        <v>-</v>
      </c>
      <c r="DT28" s="65" t="str">
        <f t="shared" ca="1" si="75"/>
        <v>-</v>
      </c>
      <c r="DU28" s="65" t="str">
        <f t="shared" ca="1" si="75"/>
        <v>-</v>
      </c>
      <c r="DV28" s="65" t="str">
        <f t="shared" ca="1" si="75"/>
        <v>-</v>
      </c>
      <c r="DW28" s="65" t="str">
        <f t="shared" ca="1" si="75"/>
        <v>-</v>
      </c>
      <c r="DX28" s="65" t="str">
        <f t="shared" ca="1" si="75"/>
        <v>-</v>
      </c>
      <c r="DY28" s="65" t="str">
        <f t="shared" ca="1" si="75"/>
        <v>-</v>
      </c>
      <c r="DZ28" s="65" t="str">
        <f t="shared" ca="1" si="75"/>
        <v>-</v>
      </c>
      <c r="EA28" s="65" t="str">
        <f t="shared" ca="1" si="75"/>
        <v>-</v>
      </c>
      <c r="EB28" s="65" t="str">
        <f t="shared" ca="1" si="76"/>
        <v>-</v>
      </c>
      <c r="EC28" s="65" t="str">
        <f t="shared" ca="1" si="76"/>
        <v>-</v>
      </c>
      <c r="ED28" s="65" t="str">
        <f t="shared" ca="1" si="76"/>
        <v>-</v>
      </c>
      <c r="EE28" s="65" t="str">
        <f t="shared" ca="1" si="76"/>
        <v>-</v>
      </c>
      <c r="EF28" s="65" t="str">
        <f t="shared" ca="1" si="76"/>
        <v>-</v>
      </c>
      <c r="EG28" s="65" t="str">
        <f t="shared" ca="1" si="76"/>
        <v>-</v>
      </c>
      <c r="EH28" s="65" t="str">
        <f t="shared" ca="1" si="76"/>
        <v>-</v>
      </c>
      <c r="EI28" s="65" t="str">
        <f t="shared" ca="1" si="76"/>
        <v>-</v>
      </c>
      <c r="EJ28" s="65" t="str">
        <f t="shared" ca="1" si="76"/>
        <v>-</v>
      </c>
      <c r="EK28" s="65" t="str">
        <f t="shared" ca="1" si="76"/>
        <v>-</v>
      </c>
      <c r="EL28" s="65" t="str">
        <f t="shared" ca="1" si="76"/>
        <v>-</v>
      </c>
      <c r="EM28" s="65" t="str">
        <f t="shared" ca="1" si="76"/>
        <v>-</v>
      </c>
      <c r="EN28" s="65" t="str">
        <f t="shared" ca="1" si="76"/>
        <v>-</v>
      </c>
    </row>
    <row r="29" spans="1:146">
      <c r="A29" s="448"/>
      <c r="B29" s="451"/>
      <c r="C29" s="451"/>
      <c r="D29" s="466"/>
      <c r="E29" s="185" t="s">
        <v>66</v>
      </c>
      <c r="F29" s="66">
        <f>SUM('BESS 11'!S166,'BESS 11'!S169:S170,'BESS 11'!S174:S175)</f>
        <v>2432.6666666666665</v>
      </c>
      <c r="G29" s="182">
        <f ca="1">TODAY()</f>
        <v>46233</v>
      </c>
      <c r="H29" s="182">
        <f ca="1">G29+35</f>
        <v>46268</v>
      </c>
      <c r="I29" s="65">
        <f ca="1">H29-G29</f>
        <v>35</v>
      </c>
      <c r="J29" s="453"/>
      <c r="K29" s="445"/>
      <c r="L29" s="65" t="str">
        <f t="shared" ca="1" si="64"/>
        <v>-</v>
      </c>
      <c r="M29" s="65" t="str">
        <f t="shared" ca="1" si="64"/>
        <v>-</v>
      </c>
      <c r="N29" s="65" t="str">
        <f t="shared" ca="1" si="64"/>
        <v>-</v>
      </c>
      <c r="O29" s="65" t="str">
        <f t="shared" ca="1" si="64"/>
        <v>-</v>
      </c>
      <c r="P29" s="65" t="str">
        <f t="shared" ca="1" si="64"/>
        <v>-</v>
      </c>
      <c r="Q29" s="65" t="str">
        <f t="shared" ca="1" si="64"/>
        <v>-</v>
      </c>
      <c r="R29" s="65" t="str">
        <f t="shared" ca="1" si="64"/>
        <v>-</v>
      </c>
      <c r="S29" s="65" t="str">
        <f t="shared" ca="1" si="64"/>
        <v>-</v>
      </c>
      <c r="T29" s="65" t="str">
        <f t="shared" ca="1" si="64"/>
        <v>-</v>
      </c>
      <c r="U29" s="65" t="str">
        <f t="shared" ca="1" si="64"/>
        <v>-</v>
      </c>
      <c r="V29" s="65" t="str">
        <f t="shared" ca="1" si="65"/>
        <v>-</v>
      </c>
      <c r="W29" s="65" t="str">
        <f t="shared" ca="1" si="65"/>
        <v>-</v>
      </c>
      <c r="X29" s="65" t="str">
        <f t="shared" ca="1" si="65"/>
        <v>-</v>
      </c>
      <c r="Y29" s="65" t="str">
        <f t="shared" ca="1" si="65"/>
        <v>-</v>
      </c>
      <c r="Z29" s="65" t="str">
        <f t="shared" ca="1" si="65"/>
        <v>-</v>
      </c>
      <c r="AA29" s="65" t="str">
        <f t="shared" ca="1" si="65"/>
        <v>-</v>
      </c>
      <c r="AB29" s="65" t="str">
        <f t="shared" ca="1" si="65"/>
        <v>-</v>
      </c>
      <c r="AC29" s="65" t="str">
        <f t="shared" ca="1" si="65"/>
        <v>-</v>
      </c>
      <c r="AD29" s="65" t="str">
        <f t="shared" ca="1" si="65"/>
        <v>-</v>
      </c>
      <c r="AE29" s="65" t="str">
        <f t="shared" ca="1" si="65"/>
        <v>-</v>
      </c>
      <c r="AF29" s="65" t="str">
        <f t="shared" ca="1" si="66"/>
        <v>-</v>
      </c>
      <c r="AG29" s="65" t="str">
        <f t="shared" ca="1" si="66"/>
        <v>-</v>
      </c>
      <c r="AH29" s="65" t="str">
        <f t="shared" ca="1" si="66"/>
        <v>-</v>
      </c>
      <c r="AI29" s="65" t="str">
        <f t="shared" ca="1" si="66"/>
        <v>-</v>
      </c>
      <c r="AJ29" s="65" t="str">
        <f t="shared" ca="1" si="66"/>
        <v>-</v>
      </c>
      <c r="AK29" s="65" t="str">
        <f t="shared" ca="1" si="66"/>
        <v>-</v>
      </c>
      <c r="AL29" s="65" t="str">
        <f t="shared" ca="1" si="66"/>
        <v>-</v>
      </c>
      <c r="AM29" s="65" t="str">
        <f t="shared" ca="1" si="66"/>
        <v>-</v>
      </c>
      <c r="AN29" s="65" t="str">
        <f t="shared" ca="1" si="66"/>
        <v>-</v>
      </c>
      <c r="AO29" s="65" t="str">
        <f t="shared" ca="1" si="66"/>
        <v>-</v>
      </c>
      <c r="AP29" s="65" t="str">
        <f t="shared" ca="1" si="67"/>
        <v>-</v>
      </c>
      <c r="AQ29" s="65" t="str">
        <f t="shared" ca="1" si="67"/>
        <v>-</v>
      </c>
      <c r="AR29" s="65" t="str">
        <f t="shared" ca="1" si="67"/>
        <v>-</v>
      </c>
      <c r="AS29" s="65" t="str">
        <f t="shared" ca="1" si="67"/>
        <v>-</v>
      </c>
      <c r="AT29" s="65" t="str">
        <f t="shared" ca="1" si="67"/>
        <v>-</v>
      </c>
      <c r="AU29" s="65" t="str">
        <f t="shared" ca="1" si="67"/>
        <v>-</v>
      </c>
      <c r="AV29" s="65" t="str">
        <f t="shared" ca="1" si="67"/>
        <v>-</v>
      </c>
      <c r="AW29" s="65" t="str">
        <f t="shared" ca="1" si="67"/>
        <v>-</v>
      </c>
      <c r="AX29" s="65">
        <f t="shared" ca="1" si="67"/>
        <v>70</v>
      </c>
      <c r="AY29" s="65">
        <f t="shared" ca="1" si="67"/>
        <v>70</v>
      </c>
      <c r="AZ29" s="65">
        <f t="shared" ca="1" si="68"/>
        <v>70</v>
      </c>
      <c r="BA29" s="65">
        <f t="shared" ca="1" si="68"/>
        <v>70</v>
      </c>
      <c r="BB29" s="65">
        <f t="shared" ca="1" si="68"/>
        <v>70</v>
      </c>
      <c r="BC29" s="65">
        <f t="shared" ca="1" si="68"/>
        <v>70</v>
      </c>
      <c r="BD29" s="65">
        <f t="shared" ca="1" si="68"/>
        <v>70</v>
      </c>
      <c r="BE29" s="65">
        <f t="shared" ca="1" si="68"/>
        <v>70</v>
      </c>
      <c r="BF29" s="65">
        <f t="shared" ca="1" si="68"/>
        <v>70</v>
      </c>
      <c r="BG29" s="65">
        <f t="shared" ca="1" si="68"/>
        <v>70</v>
      </c>
      <c r="BH29" s="65">
        <f t="shared" ca="1" si="68"/>
        <v>70</v>
      </c>
      <c r="BI29" s="65">
        <f t="shared" ca="1" si="68"/>
        <v>70</v>
      </c>
      <c r="BJ29" s="65">
        <f t="shared" ca="1" si="69"/>
        <v>70</v>
      </c>
      <c r="BK29" s="65">
        <f t="shared" ca="1" si="69"/>
        <v>70</v>
      </c>
      <c r="BL29" s="65">
        <f t="shared" ca="1" si="69"/>
        <v>70</v>
      </c>
      <c r="BM29" s="65">
        <f t="shared" ca="1" si="69"/>
        <v>70</v>
      </c>
      <c r="BN29" s="65">
        <f t="shared" ca="1" si="69"/>
        <v>70</v>
      </c>
      <c r="BO29" s="65">
        <f t="shared" ca="1" si="69"/>
        <v>70</v>
      </c>
      <c r="BP29" s="65">
        <f t="shared" ca="1" si="69"/>
        <v>70</v>
      </c>
      <c r="BQ29" s="65">
        <f t="shared" ca="1" si="69"/>
        <v>70</v>
      </c>
      <c r="BR29" s="65">
        <f t="shared" ca="1" si="69"/>
        <v>70</v>
      </c>
      <c r="BS29" s="65">
        <f t="shared" ca="1" si="69"/>
        <v>70</v>
      </c>
      <c r="BT29" s="65">
        <f t="shared" ca="1" si="70"/>
        <v>70</v>
      </c>
      <c r="BU29" s="65">
        <f t="shared" ca="1" si="70"/>
        <v>70</v>
      </c>
      <c r="BV29" s="65">
        <f t="shared" ca="1" si="70"/>
        <v>70</v>
      </c>
      <c r="BW29" s="65">
        <f t="shared" ca="1" si="70"/>
        <v>70</v>
      </c>
      <c r="BX29" s="65">
        <f t="shared" ca="1" si="70"/>
        <v>70</v>
      </c>
      <c r="BY29" s="65">
        <f t="shared" ca="1" si="70"/>
        <v>70</v>
      </c>
      <c r="BZ29" s="65">
        <f t="shared" ca="1" si="70"/>
        <v>70</v>
      </c>
      <c r="CA29" s="65">
        <f t="shared" ca="1" si="70"/>
        <v>70</v>
      </c>
      <c r="CB29" s="65">
        <f t="shared" ca="1" si="70"/>
        <v>70</v>
      </c>
      <c r="CC29" s="65">
        <f t="shared" ca="1" si="70"/>
        <v>70</v>
      </c>
      <c r="CD29" s="65">
        <f t="shared" ca="1" si="71"/>
        <v>70</v>
      </c>
      <c r="CE29" s="65">
        <f t="shared" ca="1" si="71"/>
        <v>70</v>
      </c>
      <c r="CF29" s="65">
        <f t="shared" ca="1" si="71"/>
        <v>70</v>
      </c>
      <c r="CG29" s="65" t="str">
        <f t="shared" ca="1" si="71"/>
        <v>-</v>
      </c>
      <c r="CH29" s="65" t="str">
        <f t="shared" ca="1" si="71"/>
        <v>-</v>
      </c>
      <c r="CI29" s="65" t="str">
        <f t="shared" ca="1" si="71"/>
        <v>-</v>
      </c>
      <c r="CJ29" s="65" t="str">
        <f t="shared" ca="1" si="71"/>
        <v>-</v>
      </c>
      <c r="CK29" s="65" t="str">
        <f t="shared" ca="1" si="71"/>
        <v>-</v>
      </c>
      <c r="CL29" s="65" t="str">
        <f t="shared" ca="1" si="71"/>
        <v>-</v>
      </c>
      <c r="CM29" s="65" t="str">
        <f t="shared" ca="1" si="71"/>
        <v>-</v>
      </c>
      <c r="CN29" s="65" t="str">
        <f t="shared" ca="1" si="72"/>
        <v>-</v>
      </c>
      <c r="CO29" s="65" t="str">
        <f t="shared" ca="1" si="72"/>
        <v>-</v>
      </c>
      <c r="CP29" s="65" t="str">
        <f t="shared" ca="1" si="72"/>
        <v>-</v>
      </c>
      <c r="CQ29" s="65" t="str">
        <f t="shared" ca="1" si="72"/>
        <v>-</v>
      </c>
      <c r="CR29" s="65" t="str">
        <f t="shared" ca="1" si="72"/>
        <v>-</v>
      </c>
      <c r="CS29" s="65" t="str">
        <f t="shared" ca="1" si="72"/>
        <v>-</v>
      </c>
      <c r="CT29" s="65" t="str">
        <f t="shared" ca="1" si="72"/>
        <v>-</v>
      </c>
      <c r="CU29" s="65" t="str">
        <f t="shared" ca="1" si="72"/>
        <v>-</v>
      </c>
      <c r="CV29" s="65" t="str">
        <f t="shared" ca="1" si="72"/>
        <v>-</v>
      </c>
      <c r="CW29" s="65" t="str">
        <f t="shared" ca="1" si="72"/>
        <v>-</v>
      </c>
      <c r="CX29" s="65" t="str">
        <f t="shared" ca="1" si="73"/>
        <v>-</v>
      </c>
      <c r="CY29" s="65" t="str">
        <f t="shared" ca="1" si="73"/>
        <v>-</v>
      </c>
      <c r="CZ29" s="65" t="str">
        <f t="shared" ca="1" si="73"/>
        <v>-</v>
      </c>
      <c r="DA29" s="65" t="str">
        <f t="shared" ca="1" si="73"/>
        <v>-</v>
      </c>
      <c r="DB29" s="65" t="str">
        <f t="shared" ca="1" si="73"/>
        <v>-</v>
      </c>
      <c r="DC29" s="65" t="str">
        <f t="shared" ca="1" si="73"/>
        <v>-</v>
      </c>
      <c r="DD29" s="65" t="str">
        <f t="shared" ca="1" si="73"/>
        <v>-</v>
      </c>
      <c r="DE29" s="65" t="str">
        <f t="shared" ca="1" si="73"/>
        <v>-</v>
      </c>
      <c r="DF29" s="65" t="str">
        <f t="shared" ca="1" si="73"/>
        <v>-</v>
      </c>
      <c r="DG29" s="65" t="str">
        <f t="shared" ca="1" si="73"/>
        <v>-</v>
      </c>
      <c r="DH29" s="65" t="str">
        <f t="shared" ca="1" si="74"/>
        <v>-</v>
      </c>
      <c r="DI29" s="65" t="str">
        <f t="shared" ca="1" si="74"/>
        <v>-</v>
      </c>
      <c r="DJ29" s="65" t="str">
        <f t="shared" ca="1" si="74"/>
        <v>-</v>
      </c>
      <c r="DK29" s="65" t="str">
        <f t="shared" ca="1" si="74"/>
        <v>-</v>
      </c>
      <c r="DL29" s="65" t="str">
        <f t="shared" ca="1" si="74"/>
        <v>-</v>
      </c>
      <c r="DM29" s="65" t="str">
        <f t="shared" ca="1" si="74"/>
        <v>-</v>
      </c>
      <c r="DN29" s="65" t="str">
        <f t="shared" ca="1" si="74"/>
        <v>-</v>
      </c>
      <c r="DO29" s="65" t="str">
        <f t="shared" ca="1" si="74"/>
        <v>-</v>
      </c>
      <c r="DP29" s="65" t="str">
        <f t="shared" ca="1" si="74"/>
        <v>-</v>
      </c>
      <c r="DQ29" s="65" t="str">
        <f t="shared" ca="1" si="74"/>
        <v>-</v>
      </c>
      <c r="DR29" s="65" t="str">
        <f t="shared" ca="1" si="75"/>
        <v>-</v>
      </c>
      <c r="DS29" s="65" t="str">
        <f t="shared" ca="1" si="75"/>
        <v>-</v>
      </c>
      <c r="DT29" s="65" t="str">
        <f t="shared" ca="1" si="75"/>
        <v>-</v>
      </c>
      <c r="DU29" s="65" t="str">
        <f t="shared" ca="1" si="75"/>
        <v>-</v>
      </c>
      <c r="DV29" s="65" t="str">
        <f t="shared" ca="1" si="75"/>
        <v>-</v>
      </c>
      <c r="DW29" s="65" t="str">
        <f t="shared" ca="1" si="75"/>
        <v>-</v>
      </c>
      <c r="DX29" s="65" t="str">
        <f t="shared" ca="1" si="75"/>
        <v>-</v>
      </c>
      <c r="DY29" s="65" t="str">
        <f t="shared" ca="1" si="75"/>
        <v>-</v>
      </c>
      <c r="DZ29" s="65" t="str">
        <f t="shared" ca="1" si="75"/>
        <v>-</v>
      </c>
      <c r="EA29" s="65" t="str">
        <f t="shared" ca="1" si="75"/>
        <v>-</v>
      </c>
      <c r="EB29" s="65" t="str">
        <f t="shared" ca="1" si="76"/>
        <v>-</v>
      </c>
      <c r="EC29" s="65" t="str">
        <f t="shared" ca="1" si="76"/>
        <v>-</v>
      </c>
      <c r="ED29" s="65" t="str">
        <f t="shared" ca="1" si="76"/>
        <v>-</v>
      </c>
      <c r="EE29" s="65" t="str">
        <f t="shared" ca="1" si="76"/>
        <v>-</v>
      </c>
      <c r="EF29" s="65" t="str">
        <f t="shared" ca="1" si="76"/>
        <v>-</v>
      </c>
      <c r="EG29" s="65" t="str">
        <f t="shared" ca="1" si="76"/>
        <v>-</v>
      </c>
      <c r="EH29" s="65" t="str">
        <f t="shared" ca="1" si="76"/>
        <v>-</v>
      </c>
      <c r="EI29" s="65" t="str">
        <f t="shared" ca="1" si="76"/>
        <v>-</v>
      </c>
      <c r="EJ29" s="65" t="str">
        <f t="shared" ca="1" si="76"/>
        <v>-</v>
      </c>
      <c r="EK29" s="65" t="str">
        <f t="shared" ca="1" si="76"/>
        <v>-</v>
      </c>
      <c r="EL29" s="65" t="str">
        <f t="shared" ca="1" si="76"/>
        <v>-</v>
      </c>
      <c r="EM29" s="65" t="str">
        <f t="shared" ca="1" si="76"/>
        <v>-</v>
      </c>
      <c r="EN29" s="65" t="str">
        <f t="shared" ca="1" si="76"/>
        <v>-</v>
      </c>
    </row>
    <row r="30" spans="1:146">
      <c r="A30" s="448"/>
      <c r="B30" s="451"/>
      <c r="C30" s="451"/>
      <c r="D30" s="466"/>
      <c r="E30" s="185" t="s">
        <v>67</v>
      </c>
      <c r="F30" s="66">
        <f>SUM('BESS 11'!S178:S186)</f>
        <v>323.4133333333333</v>
      </c>
      <c r="G30" s="182">
        <f>H30-14</f>
        <v>46229</v>
      </c>
      <c r="H30" s="182">
        <f>MAX('BESS 11'!O178:O186)</f>
        <v>46243</v>
      </c>
      <c r="I30" s="65">
        <f>H30-G30</f>
        <v>14</v>
      </c>
      <c r="J30" s="453"/>
      <c r="K30" s="445"/>
      <c r="L30" s="65" t="str">
        <f t="shared" si="64"/>
        <v>-</v>
      </c>
      <c r="M30" s="65" t="str">
        <f t="shared" si="64"/>
        <v>-</v>
      </c>
      <c r="N30" s="65" t="str">
        <f t="shared" si="64"/>
        <v>-</v>
      </c>
      <c r="O30" s="65" t="str">
        <f t="shared" si="64"/>
        <v>-</v>
      </c>
      <c r="P30" s="65" t="str">
        <f t="shared" si="64"/>
        <v>-</v>
      </c>
      <c r="Q30" s="65" t="str">
        <f t="shared" si="64"/>
        <v>-</v>
      </c>
      <c r="R30" s="65" t="str">
        <f t="shared" si="64"/>
        <v>-</v>
      </c>
      <c r="S30" s="65" t="str">
        <f t="shared" si="64"/>
        <v>-</v>
      </c>
      <c r="T30" s="65" t="str">
        <f t="shared" si="64"/>
        <v>-</v>
      </c>
      <c r="U30" s="65" t="str">
        <f t="shared" si="64"/>
        <v>-</v>
      </c>
      <c r="V30" s="65" t="str">
        <f t="shared" si="65"/>
        <v>-</v>
      </c>
      <c r="W30" s="65" t="str">
        <f t="shared" si="65"/>
        <v>-</v>
      </c>
      <c r="X30" s="65" t="str">
        <f t="shared" si="65"/>
        <v>-</v>
      </c>
      <c r="Y30" s="65" t="str">
        <f t="shared" si="65"/>
        <v>-</v>
      </c>
      <c r="Z30" s="65" t="str">
        <f t="shared" si="65"/>
        <v>-</v>
      </c>
      <c r="AA30" s="65" t="str">
        <f t="shared" si="65"/>
        <v>-</v>
      </c>
      <c r="AB30" s="65" t="str">
        <f t="shared" si="65"/>
        <v>-</v>
      </c>
      <c r="AC30" s="65" t="str">
        <f t="shared" si="65"/>
        <v>-</v>
      </c>
      <c r="AD30" s="65" t="str">
        <f t="shared" si="65"/>
        <v>-</v>
      </c>
      <c r="AE30" s="65" t="str">
        <f t="shared" si="65"/>
        <v>-</v>
      </c>
      <c r="AF30" s="65" t="str">
        <f t="shared" si="66"/>
        <v>-</v>
      </c>
      <c r="AG30" s="65" t="str">
        <f t="shared" si="66"/>
        <v>-</v>
      </c>
      <c r="AH30" s="65" t="str">
        <f t="shared" si="66"/>
        <v>-</v>
      </c>
      <c r="AI30" s="65" t="str">
        <f t="shared" si="66"/>
        <v>-</v>
      </c>
      <c r="AJ30" s="65" t="str">
        <f t="shared" si="66"/>
        <v>-</v>
      </c>
      <c r="AK30" s="65" t="str">
        <f t="shared" si="66"/>
        <v>-</v>
      </c>
      <c r="AL30" s="65" t="str">
        <f t="shared" si="66"/>
        <v>-</v>
      </c>
      <c r="AM30" s="65" t="str">
        <f t="shared" si="66"/>
        <v>-</v>
      </c>
      <c r="AN30" s="65" t="str">
        <f t="shared" si="66"/>
        <v>-</v>
      </c>
      <c r="AO30" s="65" t="str">
        <f t="shared" si="66"/>
        <v>-</v>
      </c>
      <c r="AP30" s="65" t="str">
        <f t="shared" si="67"/>
        <v>-</v>
      </c>
      <c r="AQ30" s="65" t="str">
        <f t="shared" si="67"/>
        <v>-</v>
      </c>
      <c r="AR30" s="65" t="str">
        <f t="shared" si="67"/>
        <v>-</v>
      </c>
      <c r="AS30" s="65" t="str">
        <f t="shared" si="67"/>
        <v>-</v>
      </c>
      <c r="AT30" s="65">
        <f t="shared" si="67"/>
        <v>23</v>
      </c>
      <c r="AU30" s="65">
        <f t="shared" si="67"/>
        <v>23</v>
      </c>
      <c r="AV30" s="65">
        <f t="shared" si="67"/>
        <v>23</v>
      </c>
      <c r="AW30" s="65">
        <f t="shared" si="67"/>
        <v>23</v>
      </c>
      <c r="AX30" s="65">
        <f t="shared" si="67"/>
        <v>23</v>
      </c>
      <c r="AY30" s="65">
        <f t="shared" si="67"/>
        <v>23</v>
      </c>
      <c r="AZ30" s="65">
        <f t="shared" si="68"/>
        <v>23</v>
      </c>
      <c r="BA30" s="65">
        <f t="shared" si="68"/>
        <v>23</v>
      </c>
      <c r="BB30" s="65">
        <f t="shared" si="68"/>
        <v>23</v>
      </c>
      <c r="BC30" s="65">
        <f t="shared" si="68"/>
        <v>23</v>
      </c>
      <c r="BD30" s="65">
        <f t="shared" si="68"/>
        <v>23</v>
      </c>
      <c r="BE30" s="65">
        <f t="shared" si="68"/>
        <v>23</v>
      </c>
      <c r="BF30" s="65">
        <f t="shared" si="68"/>
        <v>23</v>
      </c>
      <c r="BG30" s="65">
        <f t="shared" si="68"/>
        <v>23</v>
      </c>
      <c r="BH30" s="65" t="str">
        <f t="shared" si="68"/>
        <v>-</v>
      </c>
      <c r="BI30" s="65" t="str">
        <f t="shared" si="68"/>
        <v>-</v>
      </c>
      <c r="BJ30" s="65" t="str">
        <f t="shared" si="69"/>
        <v>-</v>
      </c>
      <c r="BK30" s="65" t="str">
        <f t="shared" si="69"/>
        <v>-</v>
      </c>
      <c r="BL30" s="65" t="str">
        <f t="shared" si="69"/>
        <v>-</v>
      </c>
      <c r="BM30" s="65" t="str">
        <f t="shared" si="69"/>
        <v>-</v>
      </c>
      <c r="BN30" s="65" t="str">
        <f t="shared" si="69"/>
        <v>-</v>
      </c>
      <c r="BO30" s="65" t="str">
        <f t="shared" si="69"/>
        <v>-</v>
      </c>
      <c r="BP30" s="65" t="str">
        <f t="shared" si="69"/>
        <v>-</v>
      </c>
      <c r="BQ30" s="65" t="str">
        <f t="shared" si="69"/>
        <v>-</v>
      </c>
      <c r="BR30" s="65" t="str">
        <f t="shared" si="69"/>
        <v>-</v>
      </c>
      <c r="BS30" s="65" t="str">
        <f t="shared" si="69"/>
        <v>-</v>
      </c>
      <c r="BT30" s="65" t="str">
        <f t="shared" si="70"/>
        <v>-</v>
      </c>
      <c r="BU30" s="65" t="str">
        <f t="shared" si="70"/>
        <v>-</v>
      </c>
      <c r="BV30" s="65" t="str">
        <f t="shared" si="70"/>
        <v>-</v>
      </c>
      <c r="BW30" s="65" t="str">
        <f t="shared" si="70"/>
        <v>-</v>
      </c>
      <c r="BX30" s="65" t="str">
        <f t="shared" si="70"/>
        <v>-</v>
      </c>
      <c r="BY30" s="65" t="str">
        <f t="shared" si="70"/>
        <v>-</v>
      </c>
      <c r="BZ30" s="65" t="str">
        <f t="shared" si="70"/>
        <v>-</v>
      </c>
      <c r="CA30" s="65" t="str">
        <f t="shared" si="70"/>
        <v>-</v>
      </c>
      <c r="CB30" s="65" t="str">
        <f t="shared" si="70"/>
        <v>-</v>
      </c>
      <c r="CC30" s="65" t="str">
        <f t="shared" si="70"/>
        <v>-</v>
      </c>
      <c r="CD30" s="65" t="str">
        <f t="shared" si="71"/>
        <v>-</v>
      </c>
      <c r="CE30" s="65" t="str">
        <f t="shared" si="71"/>
        <v>-</v>
      </c>
      <c r="CF30" s="65" t="str">
        <f t="shared" si="71"/>
        <v>-</v>
      </c>
      <c r="CG30" s="65" t="str">
        <f t="shared" si="71"/>
        <v>-</v>
      </c>
      <c r="CH30" s="65" t="str">
        <f t="shared" si="71"/>
        <v>-</v>
      </c>
      <c r="CI30" s="65" t="str">
        <f t="shared" si="71"/>
        <v>-</v>
      </c>
      <c r="CJ30" s="65" t="str">
        <f t="shared" si="71"/>
        <v>-</v>
      </c>
      <c r="CK30" s="65" t="str">
        <f t="shared" si="71"/>
        <v>-</v>
      </c>
      <c r="CL30" s="65" t="str">
        <f t="shared" si="71"/>
        <v>-</v>
      </c>
      <c r="CM30" s="65" t="str">
        <f t="shared" si="71"/>
        <v>-</v>
      </c>
      <c r="CN30" s="65" t="str">
        <f t="shared" si="72"/>
        <v>-</v>
      </c>
      <c r="CO30" s="65" t="str">
        <f t="shared" si="72"/>
        <v>-</v>
      </c>
      <c r="CP30" s="65" t="str">
        <f t="shared" si="72"/>
        <v>-</v>
      </c>
      <c r="CQ30" s="65" t="str">
        <f t="shared" si="72"/>
        <v>-</v>
      </c>
      <c r="CR30" s="65" t="str">
        <f t="shared" si="72"/>
        <v>-</v>
      </c>
      <c r="CS30" s="65" t="str">
        <f t="shared" si="72"/>
        <v>-</v>
      </c>
      <c r="CT30" s="65" t="str">
        <f t="shared" si="72"/>
        <v>-</v>
      </c>
      <c r="CU30" s="65" t="str">
        <f t="shared" si="72"/>
        <v>-</v>
      </c>
      <c r="CV30" s="65" t="str">
        <f t="shared" si="72"/>
        <v>-</v>
      </c>
      <c r="CW30" s="65" t="str">
        <f t="shared" si="72"/>
        <v>-</v>
      </c>
      <c r="CX30" s="65" t="str">
        <f t="shared" si="73"/>
        <v>-</v>
      </c>
      <c r="CY30" s="65" t="str">
        <f t="shared" si="73"/>
        <v>-</v>
      </c>
      <c r="CZ30" s="65" t="str">
        <f t="shared" si="73"/>
        <v>-</v>
      </c>
      <c r="DA30" s="65" t="str">
        <f t="shared" si="73"/>
        <v>-</v>
      </c>
      <c r="DB30" s="65" t="str">
        <f t="shared" si="73"/>
        <v>-</v>
      </c>
      <c r="DC30" s="65" t="str">
        <f t="shared" si="73"/>
        <v>-</v>
      </c>
      <c r="DD30" s="65" t="str">
        <f t="shared" si="73"/>
        <v>-</v>
      </c>
      <c r="DE30" s="65" t="str">
        <f t="shared" si="73"/>
        <v>-</v>
      </c>
      <c r="DF30" s="65" t="str">
        <f t="shared" si="73"/>
        <v>-</v>
      </c>
      <c r="DG30" s="65" t="str">
        <f t="shared" si="73"/>
        <v>-</v>
      </c>
      <c r="DH30" s="65" t="str">
        <f t="shared" si="74"/>
        <v>-</v>
      </c>
      <c r="DI30" s="65" t="str">
        <f t="shared" si="74"/>
        <v>-</v>
      </c>
      <c r="DJ30" s="65" t="str">
        <f t="shared" si="74"/>
        <v>-</v>
      </c>
      <c r="DK30" s="65" t="str">
        <f t="shared" si="74"/>
        <v>-</v>
      </c>
      <c r="DL30" s="65" t="str">
        <f t="shared" si="74"/>
        <v>-</v>
      </c>
      <c r="DM30" s="65" t="str">
        <f t="shared" si="74"/>
        <v>-</v>
      </c>
      <c r="DN30" s="65" t="str">
        <f t="shared" si="74"/>
        <v>-</v>
      </c>
      <c r="DO30" s="65" t="str">
        <f t="shared" si="74"/>
        <v>-</v>
      </c>
      <c r="DP30" s="65" t="str">
        <f t="shared" si="74"/>
        <v>-</v>
      </c>
      <c r="DQ30" s="65" t="str">
        <f t="shared" si="74"/>
        <v>-</v>
      </c>
      <c r="DR30" s="65" t="str">
        <f t="shared" si="75"/>
        <v>-</v>
      </c>
      <c r="DS30" s="65" t="str">
        <f t="shared" si="75"/>
        <v>-</v>
      </c>
      <c r="DT30" s="65" t="str">
        <f t="shared" si="75"/>
        <v>-</v>
      </c>
      <c r="DU30" s="65" t="str">
        <f t="shared" si="75"/>
        <v>-</v>
      </c>
      <c r="DV30" s="65" t="str">
        <f t="shared" si="75"/>
        <v>-</v>
      </c>
      <c r="DW30" s="65" t="str">
        <f t="shared" si="75"/>
        <v>-</v>
      </c>
      <c r="DX30" s="65" t="str">
        <f t="shared" si="75"/>
        <v>-</v>
      </c>
      <c r="DY30" s="65" t="str">
        <f t="shared" si="75"/>
        <v>-</v>
      </c>
      <c r="DZ30" s="65" t="str">
        <f t="shared" si="75"/>
        <v>-</v>
      </c>
      <c r="EA30" s="65" t="str">
        <f t="shared" si="75"/>
        <v>-</v>
      </c>
      <c r="EB30" s="65" t="str">
        <f t="shared" si="76"/>
        <v>-</v>
      </c>
      <c r="EC30" s="65" t="str">
        <f t="shared" si="76"/>
        <v>-</v>
      </c>
      <c r="ED30" s="65" t="str">
        <f t="shared" si="76"/>
        <v>-</v>
      </c>
      <c r="EE30" s="65" t="str">
        <f t="shared" si="76"/>
        <v>-</v>
      </c>
      <c r="EF30" s="65" t="str">
        <f t="shared" si="76"/>
        <v>-</v>
      </c>
      <c r="EG30" s="65" t="str">
        <f t="shared" si="76"/>
        <v>-</v>
      </c>
      <c r="EH30" s="65" t="str">
        <f t="shared" si="76"/>
        <v>-</v>
      </c>
      <c r="EI30" s="65" t="str">
        <f t="shared" si="76"/>
        <v>-</v>
      </c>
      <c r="EJ30" s="65" t="str">
        <f t="shared" si="76"/>
        <v>-</v>
      </c>
      <c r="EK30" s="65" t="str">
        <f t="shared" si="76"/>
        <v>-</v>
      </c>
      <c r="EL30" s="65" t="str">
        <f t="shared" si="76"/>
        <v>-</v>
      </c>
      <c r="EM30" s="65" t="str">
        <f t="shared" si="76"/>
        <v>-</v>
      </c>
      <c r="EN30" s="65" t="str">
        <f t="shared" si="76"/>
        <v>-</v>
      </c>
    </row>
    <row r="31" spans="1:146">
      <c r="A31" s="449"/>
      <c r="B31" s="452"/>
      <c r="C31" s="452"/>
      <c r="D31" s="466"/>
      <c r="E31" s="185" t="s">
        <v>68</v>
      </c>
      <c r="F31" s="65">
        <v>250</v>
      </c>
      <c r="G31" s="185"/>
      <c r="H31" s="182">
        <f>B26-3</f>
        <v>46240</v>
      </c>
      <c r="I31" s="65">
        <v>30</v>
      </c>
      <c r="J31" s="454"/>
      <c r="K31" s="446"/>
      <c r="L31" s="182"/>
      <c r="M31" s="182"/>
      <c r="N31" s="65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>
        <v>5</v>
      </c>
      <c r="AI31" s="66">
        <v>5</v>
      </c>
      <c r="AJ31" s="66">
        <v>5</v>
      </c>
      <c r="AK31" s="66">
        <v>5</v>
      </c>
      <c r="AL31" s="66">
        <v>5</v>
      </c>
      <c r="AM31" s="66">
        <v>5</v>
      </c>
      <c r="AN31" s="66">
        <v>5</v>
      </c>
      <c r="AO31" s="66">
        <v>5</v>
      </c>
      <c r="AP31" s="66">
        <v>5</v>
      </c>
      <c r="AQ31" s="66">
        <v>5</v>
      </c>
      <c r="AR31" s="66">
        <v>5</v>
      </c>
      <c r="AS31" s="66">
        <v>5</v>
      </c>
      <c r="AT31" s="66">
        <v>5</v>
      </c>
      <c r="AU31" s="66">
        <v>5</v>
      </c>
      <c r="AV31" s="66">
        <v>5</v>
      </c>
      <c r="AW31" s="66">
        <v>5</v>
      </c>
      <c r="AX31" s="66">
        <v>5</v>
      </c>
      <c r="AY31" s="66">
        <v>5</v>
      </c>
      <c r="AZ31" s="66">
        <v>5</v>
      </c>
      <c r="BA31" s="66">
        <v>5</v>
      </c>
      <c r="BB31" s="66">
        <v>5</v>
      </c>
      <c r="BC31" s="66">
        <v>5</v>
      </c>
      <c r="BD31" s="66">
        <v>5</v>
      </c>
      <c r="BE31" s="66">
        <v>5</v>
      </c>
      <c r="BF31" s="66">
        <v>30</v>
      </c>
      <c r="BG31" s="66">
        <v>30</v>
      </c>
      <c r="BH31" s="66">
        <v>30</v>
      </c>
      <c r="BI31" s="66">
        <v>30</v>
      </c>
      <c r="BJ31" s="65">
        <v>5</v>
      </c>
      <c r="BK31" s="65">
        <v>5</v>
      </c>
      <c r="BL31" s="65"/>
      <c r="BM31" s="65"/>
      <c r="BN31" s="65"/>
      <c r="BO31" s="65"/>
      <c r="BP31" s="65"/>
      <c r="BQ31" s="65"/>
      <c r="BR31" s="65"/>
      <c r="BS31" s="65"/>
      <c r="BT31" s="65"/>
      <c r="BU31" s="185"/>
      <c r="BV31" s="185"/>
      <c r="BW31" s="185"/>
      <c r="BX31" s="185"/>
      <c r="BY31" s="185"/>
      <c r="BZ31" s="185"/>
      <c r="CA31" s="185"/>
      <c r="CB31" s="185"/>
      <c r="CC31" s="185"/>
      <c r="CD31" s="185"/>
      <c r="CE31" s="185"/>
      <c r="CF31" s="185"/>
      <c r="CG31" s="185"/>
      <c r="CH31" s="185"/>
      <c r="CI31" s="185"/>
      <c r="CJ31" s="185"/>
      <c r="CK31" s="185"/>
      <c r="CL31" s="185"/>
      <c r="CM31" s="185"/>
      <c r="CN31" s="185"/>
      <c r="CO31" s="185"/>
      <c r="CP31" s="185"/>
      <c r="CQ31" s="185"/>
      <c r="CR31" s="185"/>
      <c r="CS31" s="185"/>
      <c r="CT31" s="185"/>
      <c r="CU31" s="185"/>
      <c r="CV31" s="185"/>
      <c r="CW31" s="185"/>
      <c r="CX31" s="185"/>
      <c r="CY31" s="185"/>
      <c r="CZ31" s="185"/>
      <c r="DA31" s="185"/>
      <c r="DB31" s="185"/>
      <c r="DC31" s="185"/>
      <c r="DD31" s="185"/>
      <c r="DE31" s="185"/>
      <c r="DF31" s="185"/>
      <c r="DG31" s="185"/>
      <c r="DH31" s="185"/>
      <c r="DI31" s="185"/>
      <c r="DJ31" s="185"/>
      <c r="DK31" s="185"/>
      <c r="DL31" s="185"/>
      <c r="DM31" s="185"/>
      <c r="DN31" s="185"/>
      <c r="DO31" s="185"/>
      <c r="DP31" s="185"/>
      <c r="DQ31" s="185"/>
      <c r="DR31" s="185"/>
      <c r="DS31" s="185"/>
      <c r="DT31" s="185"/>
      <c r="DU31" s="185"/>
      <c r="DV31" s="185"/>
      <c r="DW31" s="185"/>
      <c r="DX31" s="185"/>
      <c r="DY31" s="185"/>
      <c r="DZ31" s="185"/>
      <c r="EA31" s="185"/>
      <c r="EB31" s="185"/>
      <c r="EC31" s="185"/>
      <c r="ED31" s="185"/>
      <c r="EE31" s="185"/>
      <c r="EF31" s="185"/>
      <c r="EG31" s="185"/>
      <c r="EH31" s="185"/>
      <c r="EI31" s="185"/>
      <c r="EJ31" s="185"/>
      <c r="EK31" s="185"/>
      <c r="EL31" s="185"/>
      <c r="EM31" s="185"/>
      <c r="EN31" s="185"/>
    </row>
    <row r="32" spans="1:146" s="207" customFormat="1" hidden="1">
      <c r="A32" s="236"/>
      <c r="B32" s="209"/>
      <c r="E32" s="201"/>
      <c r="F32" s="201"/>
      <c r="G32" s="204" t="s">
        <v>69</v>
      </c>
      <c r="H32" s="203"/>
      <c r="I32" s="203"/>
      <c r="J32" s="230"/>
      <c r="K32" s="230"/>
      <c r="L32" s="205">
        <f ca="1">SUM(L27:L31)</f>
        <v>0</v>
      </c>
      <c r="M32" s="205">
        <f ca="1">SUM(M27:M31)</f>
        <v>0</v>
      </c>
      <c r="N32" s="205">
        <f ca="1">SUM(N27:N31)</f>
        <v>0</v>
      </c>
      <c r="O32" s="205">
        <f t="shared" ref="O32:AZ32" ca="1" si="77">SUM(O27:O31)</f>
        <v>0</v>
      </c>
      <c r="P32" s="205">
        <f t="shared" ca="1" si="77"/>
        <v>0</v>
      </c>
      <c r="Q32" s="205">
        <f t="shared" ca="1" si="77"/>
        <v>0</v>
      </c>
      <c r="R32" s="205">
        <f t="shared" ca="1" si="77"/>
        <v>0</v>
      </c>
      <c r="S32" s="205">
        <f t="shared" ca="1" si="77"/>
        <v>0</v>
      </c>
      <c r="T32" s="205">
        <f t="shared" ca="1" si="77"/>
        <v>0</v>
      </c>
      <c r="U32" s="205">
        <f t="shared" ca="1" si="77"/>
        <v>0</v>
      </c>
      <c r="V32" s="205">
        <f t="shared" ca="1" si="77"/>
        <v>0</v>
      </c>
      <c r="W32" s="205">
        <f t="shared" ca="1" si="77"/>
        <v>0</v>
      </c>
      <c r="X32" s="205">
        <f t="shared" ca="1" si="77"/>
        <v>0</v>
      </c>
      <c r="Y32" s="205">
        <f t="shared" ca="1" si="77"/>
        <v>0</v>
      </c>
      <c r="Z32" s="205">
        <f t="shared" ca="1" si="77"/>
        <v>0</v>
      </c>
      <c r="AA32" s="205">
        <f t="shared" ca="1" si="77"/>
        <v>0</v>
      </c>
      <c r="AB32" s="205">
        <f t="shared" ca="1" si="77"/>
        <v>0</v>
      </c>
      <c r="AC32" s="205">
        <f t="shared" ca="1" si="77"/>
        <v>0</v>
      </c>
      <c r="AD32" s="205">
        <f t="shared" ca="1" si="77"/>
        <v>0</v>
      </c>
      <c r="AE32" s="205">
        <f t="shared" ca="1" si="77"/>
        <v>0</v>
      </c>
      <c r="AF32" s="205">
        <f t="shared" ca="1" si="77"/>
        <v>0</v>
      </c>
      <c r="AG32" s="205">
        <f t="shared" ca="1" si="77"/>
        <v>0</v>
      </c>
      <c r="AH32" s="205">
        <f t="shared" ca="1" si="77"/>
        <v>5</v>
      </c>
      <c r="AI32" s="205">
        <f t="shared" ca="1" si="77"/>
        <v>5</v>
      </c>
      <c r="AJ32" s="205">
        <f t="shared" ca="1" si="77"/>
        <v>5</v>
      </c>
      <c r="AK32" s="205">
        <f t="shared" ca="1" si="77"/>
        <v>5</v>
      </c>
      <c r="AL32" s="205">
        <f t="shared" ca="1" si="77"/>
        <v>5</v>
      </c>
      <c r="AM32" s="205">
        <f t="shared" ca="1" si="77"/>
        <v>5</v>
      </c>
      <c r="AN32" s="205">
        <f t="shared" ca="1" si="77"/>
        <v>5</v>
      </c>
      <c r="AO32" s="205">
        <f t="shared" ca="1" si="77"/>
        <v>5</v>
      </c>
      <c r="AP32" s="205">
        <f t="shared" ca="1" si="77"/>
        <v>5</v>
      </c>
      <c r="AQ32" s="205">
        <f t="shared" ca="1" si="77"/>
        <v>5</v>
      </c>
      <c r="AR32" s="205">
        <f t="shared" ca="1" si="77"/>
        <v>5</v>
      </c>
      <c r="AS32" s="205">
        <f t="shared" ca="1" si="77"/>
        <v>5</v>
      </c>
      <c r="AT32" s="205">
        <f t="shared" ca="1" si="77"/>
        <v>28</v>
      </c>
      <c r="AU32" s="205">
        <f t="shared" ca="1" si="77"/>
        <v>28</v>
      </c>
      <c r="AV32" s="205">
        <f t="shared" ca="1" si="77"/>
        <v>28</v>
      </c>
      <c r="AW32" s="205">
        <f t="shared" ca="1" si="77"/>
        <v>28</v>
      </c>
      <c r="AX32" s="205">
        <f t="shared" ca="1" si="77"/>
        <v>167</v>
      </c>
      <c r="AY32" s="205">
        <f t="shared" ca="1" si="77"/>
        <v>167</v>
      </c>
      <c r="AZ32" s="205">
        <f t="shared" ca="1" si="77"/>
        <v>167</v>
      </c>
      <c r="BA32" s="205">
        <f t="shared" ref="BA32:CF32" ca="1" si="78">SUM(BA27:BA31)</f>
        <v>167</v>
      </c>
      <c r="BB32" s="205">
        <f t="shared" ca="1" si="78"/>
        <v>98</v>
      </c>
      <c r="BC32" s="205">
        <f t="shared" ca="1" si="78"/>
        <v>98</v>
      </c>
      <c r="BD32" s="205">
        <f t="shared" ca="1" si="78"/>
        <v>98</v>
      </c>
      <c r="BE32" s="205">
        <f t="shared" ca="1" si="78"/>
        <v>98</v>
      </c>
      <c r="BF32" s="205">
        <f t="shared" ca="1" si="78"/>
        <v>123</v>
      </c>
      <c r="BG32" s="205">
        <f t="shared" ca="1" si="78"/>
        <v>123</v>
      </c>
      <c r="BH32" s="205">
        <f t="shared" ca="1" si="78"/>
        <v>100</v>
      </c>
      <c r="BI32" s="205">
        <f t="shared" ca="1" si="78"/>
        <v>100</v>
      </c>
      <c r="BJ32" s="205">
        <f t="shared" ca="1" si="78"/>
        <v>75</v>
      </c>
      <c r="BK32" s="205">
        <f t="shared" ca="1" si="78"/>
        <v>75</v>
      </c>
      <c r="BL32" s="205">
        <f t="shared" ca="1" si="78"/>
        <v>70</v>
      </c>
      <c r="BM32" s="205">
        <f t="shared" ca="1" si="78"/>
        <v>70</v>
      </c>
      <c r="BN32" s="205">
        <f t="shared" ca="1" si="78"/>
        <v>70</v>
      </c>
      <c r="BO32" s="205">
        <f t="shared" ca="1" si="78"/>
        <v>70</v>
      </c>
      <c r="BP32" s="205">
        <f t="shared" ca="1" si="78"/>
        <v>70</v>
      </c>
      <c r="BQ32" s="205">
        <f t="shared" ca="1" si="78"/>
        <v>70</v>
      </c>
      <c r="BR32" s="205">
        <f t="shared" ca="1" si="78"/>
        <v>70</v>
      </c>
      <c r="BS32" s="205">
        <f t="shared" ca="1" si="78"/>
        <v>70</v>
      </c>
      <c r="BT32" s="205">
        <f t="shared" ca="1" si="78"/>
        <v>70</v>
      </c>
      <c r="BU32" s="205">
        <f t="shared" ca="1" si="78"/>
        <v>70</v>
      </c>
      <c r="BV32" s="205">
        <f t="shared" ca="1" si="78"/>
        <v>70</v>
      </c>
      <c r="BW32" s="205">
        <f t="shared" ca="1" si="78"/>
        <v>70</v>
      </c>
      <c r="BX32" s="205">
        <f t="shared" ca="1" si="78"/>
        <v>70</v>
      </c>
      <c r="BY32" s="205">
        <f t="shared" ca="1" si="78"/>
        <v>70</v>
      </c>
      <c r="BZ32" s="205">
        <f t="shared" ca="1" si="78"/>
        <v>70</v>
      </c>
      <c r="CA32" s="205">
        <f t="shared" ca="1" si="78"/>
        <v>70</v>
      </c>
      <c r="CB32" s="205">
        <f t="shared" ca="1" si="78"/>
        <v>70</v>
      </c>
      <c r="CC32" s="205">
        <f t="shared" ca="1" si="78"/>
        <v>70</v>
      </c>
      <c r="CD32" s="205">
        <f t="shared" ca="1" si="78"/>
        <v>70</v>
      </c>
      <c r="CE32" s="205">
        <f t="shared" ca="1" si="78"/>
        <v>70</v>
      </c>
      <c r="CF32" s="205">
        <f t="shared" ca="1" si="78"/>
        <v>70</v>
      </c>
      <c r="CG32" s="205">
        <f t="shared" ref="CG32:DL32" ca="1" si="79">SUM(CG27:CG31)</f>
        <v>0</v>
      </c>
      <c r="CH32" s="205">
        <f t="shared" ca="1" si="79"/>
        <v>0</v>
      </c>
      <c r="CI32" s="205">
        <f t="shared" ca="1" si="79"/>
        <v>0</v>
      </c>
      <c r="CJ32" s="205">
        <f t="shared" ca="1" si="79"/>
        <v>0</v>
      </c>
      <c r="CK32" s="205">
        <f t="shared" ca="1" si="79"/>
        <v>0</v>
      </c>
      <c r="CL32" s="205">
        <f t="shared" ca="1" si="79"/>
        <v>0</v>
      </c>
      <c r="CM32" s="205">
        <f t="shared" ca="1" si="79"/>
        <v>0</v>
      </c>
      <c r="CN32" s="205">
        <f t="shared" ca="1" si="79"/>
        <v>0</v>
      </c>
      <c r="CO32" s="205">
        <f t="shared" ca="1" si="79"/>
        <v>0</v>
      </c>
      <c r="CP32" s="205">
        <f t="shared" ca="1" si="79"/>
        <v>0</v>
      </c>
      <c r="CQ32" s="205">
        <f t="shared" ca="1" si="79"/>
        <v>0</v>
      </c>
      <c r="CR32" s="205">
        <f t="shared" ca="1" si="79"/>
        <v>0</v>
      </c>
      <c r="CS32" s="205">
        <f t="shared" ca="1" si="79"/>
        <v>0</v>
      </c>
      <c r="CT32" s="205">
        <f t="shared" ca="1" si="79"/>
        <v>0</v>
      </c>
      <c r="CU32" s="205">
        <f t="shared" ca="1" si="79"/>
        <v>0</v>
      </c>
      <c r="CV32" s="205">
        <f t="shared" ca="1" si="79"/>
        <v>0</v>
      </c>
      <c r="CW32" s="205">
        <f t="shared" ca="1" si="79"/>
        <v>0</v>
      </c>
      <c r="CX32" s="205">
        <f t="shared" ca="1" si="79"/>
        <v>0</v>
      </c>
      <c r="CY32" s="205">
        <f t="shared" ca="1" si="79"/>
        <v>0</v>
      </c>
      <c r="CZ32" s="205">
        <f t="shared" ca="1" si="79"/>
        <v>0</v>
      </c>
      <c r="DA32" s="205">
        <f t="shared" ca="1" si="79"/>
        <v>0</v>
      </c>
      <c r="DB32" s="205">
        <f t="shared" ca="1" si="79"/>
        <v>0</v>
      </c>
      <c r="DC32" s="205">
        <f t="shared" ca="1" si="79"/>
        <v>0</v>
      </c>
      <c r="DD32" s="205">
        <f t="shared" ca="1" si="79"/>
        <v>0</v>
      </c>
      <c r="DE32" s="205">
        <f t="shared" ca="1" si="79"/>
        <v>0</v>
      </c>
      <c r="DF32" s="205">
        <f t="shared" ca="1" si="79"/>
        <v>0</v>
      </c>
      <c r="DG32" s="205">
        <f t="shared" ca="1" si="79"/>
        <v>0</v>
      </c>
      <c r="DH32" s="205">
        <f t="shared" ca="1" si="79"/>
        <v>0</v>
      </c>
      <c r="DI32" s="205">
        <f t="shared" ca="1" si="79"/>
        <v>0</v>
      </c>
      <c r="DJ32" s="205">
        <f t="shared" ca="1" si="79"/>
        <v>0</v>
      </c>
      <c r="DK32" s="205">
        <f t="shared" ca="1" si="79"/>
        <v>0</v>
      </c>
      <c r="DL32" s="205">
        <f t="shared" ca="1" si="79"/>
        <v>0</v>
      </c>
      <c r="DM32" s="205">
        <f t="shared" ref="DM32:EN32" ca="1" si="80">SUM(DM27:DM31)</f>
        <v>0</v>
      </c>
      <c r="DN32" s="205">
        <f t="shared" ca="1" si="80"/>
        <v>0</v>
      </c>
      <c r="DO32" s="205">
        <f t="shared" ca="1" si="80"/>
        <v>0</v>
      </c>
      <c r="DP32" s="205">
        <f t="shared" ca="1" si="80"/>
        <v>0</v>
      </c>
      <c r="DQ32" s="205">
        <f t="shared" ca="1" si="80"/>
        <v>0</v>
      </c>
      <c r="DR32" s="205">
        <f t="shared" ca="1" si="80"/>
        <v>0</v>
      </c>
      <c r="DS32" s="205">
        <f t="shared" ca="1" si="80"/>
        <v>0</v>
      </c>
      <c r="DT32" s="205">
        <f t="shared" ca="1" si="80"/>
        <v>0</v>
      </c>
      <c r="DU32" s="205">
        <f t="shared" ca="1" si="80"/>
        <v>0</v>
      </c>
      <c r="DV32" s="205">
        <f t="shared" ca="1" si="80"/>
        <v>0</v>
      </c>
      <c r="DW32" s="205">
        <f t="shared" ca="1" si="80"/>
        <v>0</v>
      </c>
      <c r="DX32" s="205">
        <f t="shared" ca="1" si="80"/>
        <v>0</v>
      </c>
      <c r="DY32" s="205">
        <f t="shared" ca="1" si="80"/>
        <v>0</v>
      </c>
      <c r="DZ32" s="205">
        <f t="shared" ca="1" si="80"/>
        <v>0</v>
      </c>
      <c r="EA32" s="205">
        <f t="shared" ca="1" si="80"/>
        <v>0</v>
      </c>
      <c r="EB32" s="205">
        <f t="shared" ca="1" si="80"/>
        <v>0</v>
      </c>
      <c r="EC32" s="205">
        <f t="shared" ca="1" si="80"/>
        <v>0</v>
      </c>
      <c r="ED32" s="205">
        <f t="shared" ca="1" si="80"/>
        <v>0</v>
      </c>
      <c r="EE32" s="205">
        <f t="shared" ca="1" si="80"/>
        <v>0</v>
      </c>
      <c r="EF32" s="205">
        <f t="shared" ca="1" si="80"/>
        <v>0</v>
      </c>
      <c r="EG32" s="205">
        <f t="shared" ca="1" si="80"/>
        <v>0</v>
      </c>
      <c r="EH32" s="205">
        <f t="shared" ca="1" si="80"/>
        <v>0</v>
      </c>
      <c r="EI32" s="205">
        <f t="shared" ca="1" si="80"/>
        <v>0</v>
      </c>
      <c r="EJ32" s="205">
        <f t="shared" ca="1" si="80"/>
        <v>0</v>
      </c>
      <c r="EK32" s="205">
        <f t="shared" ca="1" si="80"/>
        <v>0</v>
      </c>
      <c r="EL32" s="205">
        <f t="shared" ca="1" si="80"/>
        <v>0</v>
      </c>
      <c r="EM32" s="205">
        <f t="shared" ca="1" si="80"/>
        <v>0</v>
      </c>
      <c r="EN32" s="205">
        <f t="shared" ca="1" si="80"/>
        <v>0</v>
      </c>
      <c r="EO32" s="206">
        <f ca="1">AVERAGE(L32:BM32)</f>
        <v>36.444444444444443</v>
      </c>
      <c r="EP32" s="206">
        <f ca="1">MAX(L32:BM32)</f>
        <v>167</v>
      </c>
    </row>
    <row r="34" spans="1:146" s="180" customFormat="1" ht="27">
      <c r="A34" s="447" t="s">
        <v>73</v>
      </c>
      <c r="B34" s="450" t="str">
        <f>'BESS 11'!F187</f>
        <v>28 Aug
14 Sep</v>
      </c>
      <c r="C34" s="450" t="str">
        <f>'BESS 11'!G187</f>
        <v>02 Sep
19 Sep</v>
      </c>
      <c r="D34" s="226"/>
      <c r="E34" s="226" t="s">
        <v>10</v>
      </c>
      <c r="F34" s="217" t="s">
        <v>58</v>
      </c>
      <c r="G34" s="217" t="s">
        <v>78</v>
      </c>
      <c r="H34" s="217" t="s">
        <v>79</v>
      </c>
      <c r="I34" s="217" t="s">
        <v>59</v>
      </c>
      <c r="J34" s="216" t="s">
        <v>80</v>
      </c>
      <c r="K34" s="216" t="s">
        <v>62</v>
      </c>
      <c r="L34" s="218">
        <v>46195</v>
      </c>
      <c r="M34" s="218">
        <v>46196</v>
      </c>
      <c r="N34" s="218">
        <v>46197</v>
      </c>
      <c r="O34" s="218">
        <f t="shared" ref="O34:BZ34" si="81">N34+1</f>
        <v>46198</v>
      </c>
      <c r="P34" s="218">
        <f t="shared" si="81"/>
        <v>46199</v>
      </c>
      <c r="Q34" s="218">
        <f t="shared" si="81"/>
        <v>46200</v>
      </c>
      <c r="R34" s="218">
        <f t="shared" si="81"/>
        <v>46201</v>
      </c>
      <c r="S34" s="218">
        <f t="shared" si="81"/>
        <v>46202</v>
      </c>
      <c r="T34" s="218">
        <f t="shared" si="81"/>
        <v>46203</v>
      </c>
      <c r="U34" s="218">
        <f t="shared" si="81"/>
        <v>46204</v>
      </c>
      <c r="V34" s="218">
        <f t="shared" si="81"/>
        <v>46205</v>
      </c>
      <c r="W34" s="218">
        <f t="shared" si="81"/>
        <v>46206</v>
      </c>
      <c r="X34" s="218">
        <f t="shared" si="81"/>
        <v>46207</v>
      </c>
      <c r="Y34" s="218">
        <f t="shared" si="81"/>
        <v>46208</v>
      </c>
      <c r="Z34" s="218">
        <f t="shared" si="81"/>
        <v>46209</v>
      </c>
      <c r="AA34" s="218">
        <f t="shared" si="81"/>
        <v>46210</v>
      </c>
      <c r="AB34" s="218">
        <f t="shared" si="81"/>
        <v>46211</v>
      </c>
      <c r="AC34" s="218">
        <f t="shared" si="81"/>
        <v>46212</v>
      </c>
      <c r="AD34" s="218">
        <f t="shared" si="81"/>
        <v>46213</v>
      </c>
      <c r="AE34" s="218">
        <f t="shared" si="81"/>
        <v>46214</v>
      </c>
      <c r="AF34" s="218">
        <f t="shared" si="81"/>
        <v>46215</v>
      </c>
      <c r="AG34" s="218">
        <f t="shared" si="81"/>
        <v>46216</v>
      </c>
      <c r="AH34" s="218">
        <f t="shared" si="81"/>
        <v>46217</v>
      </c>
      <c r="AI34" s="218">
        <f t="shared" si="81"/>
        <v>46218</v>
      </c>
      <c r="AJ34" s="218">
        <f t="shared" si="81"/>
        <v>46219</v>
      </c>
      <c r="AK34" s="218">
        <f t="shared" si="81"/>
        <v>46220</v>
      </c>
      <c r="AL34" s="218">
        <f t="shared" si="81"/>
        <v>46221</v>
      </c>
      <c r="AM34" s="218">
        <f t="shared" si="81"/>
        <v>46222</v>
      </c>
      <c r="AN34" s="218">
        <f t="shared" si="81"/>
        <v>46223</v>
      </c>
      <c r="AO34" s="218">
        <f t="shared" si="81"/>
        <v>46224</v>
      </c>
      <c r="AP34" s="218">
        <f t="shared" si="81"/>
        <v>46225</v>
      </c>
      <c r="AQ34" s="218">
        <f t="shared" si="81"/>
        <v>46226</v>
      </c>
      <c r="AR34" s="218">
        <f t="shared" si="81"/>
        <v>46227</v>
      </c>
      <c r="AS34" s="218">
        <f t="shared" si="81"/>
        <v>46228</v>
      </c>
      <c r="AT34" s="218">
        <f t="shared" si="81"/>
        <v>46229</v>
      </c>
      <c r="AU34" s="218">
        <f t="shared" si="81"/>
        <v>46230</v>
      </c>
      <c r="AV34" s="218">
        <f t="shared" si="81"/>
        <v>46231</v>
      </c>
      <c r="AW34" s="218">
        <f t="shared" si="81"/>
        <v>46232</v>
      </c>
      <c r="AX34" s="218">
        <f t="shared" si="81"/>
        <v>46233</v>
      </c>
      <c r="AY34" s="218">
        <f t="shared" si="81"/>
        <v>46234</v>
      </c>
      <c r="AZ34" s="218">
        <f t="shared" si="81"/>
        <v>46235</v>
      </c>
      <c r="BA34" s="218">
        <f t="shared" si="81"/>
        <v>46236</v>
      </c>
      <c r="BB34" s="218">
        <f t="shared" si="81"/>
        <v>46237</v>
      </c>
      <c r="BC34" s="218">
        <f t="shared" si="81"/>
        <v>46238</v>
      </c>
      <c r="BD34" s="218">
        <f t="shared" si="81"/>
        <v>46239</v>
      </c>
      <c r="BE34" s="218">
        <f t="shared" si="81"/>
        <v>46240</v>
      </c>
      <c r="BF34" s="218">
        <f t="shared" si="81"/>
        <v>46241</v>
      </c>
      <c r="BG34" s="218">
        <f t="shared" si="81"/>
        <v>46242</v>
      </c>
      <c r="BH34" s="218">
        <f t="shared" si="81"/>
        <v>46243</v>
      </c>
      <c r="BI34" s="218">
        <f t="shared" si="81"/>
        <v>46244</v>
      </c>
      <c r="BJ34" s="218">
        <f t="shared" si="81"/>
        <v>46245</v>
      </c>
      <c r="BK34" s="218">
        <f t="shared" si="81"/>
        <v>46246</v>
      </c>
      <c r="BL34" s="218">
        <f t="shared" si="81"/>
        <v>46247</v>
      </c>
      <c r="BM34" s="218">
        <f t="shared" si="81"/>
        <v>46248</v>
      </c>
      <c r="BN34" s="218">
        <f t="shared" si="81"/>
        <v>46249</v>
      </c>
      <c r="BO34" s="218">
        <f t="shared" si="81"/>
        <v>46250</v>
      </c>
      <c r="BP34" s="218">
        <f t="shared" si="81"/>
        <v>46251</v>
      </c>
      <c r="BQ34" s="218">
        <f t="shared" si="81"/>
        <v>46252</v>
      </c>
      <c r="BR34" s="218">
        <f t="shared" si="81"/>
        <v>46253</v>
      </c>
      <c r="BS34" s="218">
        <f t="shared" si="81"/>
        <v>46254</v>
      </c>
      <c r="BT34" s="218">
        <f t="shared" si="81"/>
        <v>46255</v>
      </c>
      <c r="BU34" s="218">
        <f t="shared" si="81"/>
        <v>46256</v>
      </c>
      <c r="BV34" s="218">
        <f t="shared" si="81"/>
        <v>46257</v>
      </c>
      <c r="BW34" s="218">
        <f t="shared" si="81"/>
        <v>46258</v>
      </c>
      <c r="BX34" s="218">
        <f t="shared" si="81"/>
        <v>46259</v>
      </c>
      <c r="BY34" s="218">
        <f t="shared" si="81"/>
        <v>46260</v>
      </c>
      <c r="BZ34" s="218">
        <f t="shared" si="81"/>
        <v>46261</v>
      </c>
      <c r="CA34" s="218">
        <f t="shared" ref="CA34:CS34" si="82">BZ34+1</f>
        <v>46262</v>
      </c>
      <c r="CB34" s="218">
        <f t="shared" si="82"/>
        <v>46263</v>
      </c>
      <c r="CC34" s="218">
        <f t="shared" si="82"/>
        <v>46264</v>
      </c>
      <c r="CD34" s="218">
        <f t="shared" si="82"/>
        <v>46265</v>
      </c>
      <c r="CE34" s="218">
        <f t="shared" si="82"/>
        <v>46266</v>
      </c>
      <c r="CF34" s="218">
        <f t="shared" si="82"/>
        <v>46267</v>
      </c>
      <c r="CG34" s="218">
        <f t="shared" si="82"/>
        <v>46268</v>
      </c>
      <c r="CH34" s="218">
        <f t="shared" si="82"/>
        <v>46269</v>
      </c>
      <c r="CI34" s="218">
        <f t="shared" si="82"/>
        <v>46270</v>
      </c>
      <c r="CJ34" s="218">
        <f t="shared" si="82"/>
        <v>46271</v>
      </c>
      <c r="CK34" s="218">
        <f t="shared" si="82"/>
        <v>46272</v>
      </c>
      <c r="CL34" s="218">
        <f t="shared" si="82"/>
        <v>46273</v>
      </c>
      <c r="CM34" s="218">
        <f t="shared" si="82"/>
        <v>46274</v>
      </c>
      <c r="CN34" s="218">
        <f t="shared" si="82"/>
        <v>46275</v>
      </c>
      <c r="CO34" s="218">
        <f t="shared" si="82"/>
        <v>46276</v>
      </c>
      <c r="CP34" s="218">
        <f t="shared" si="82"/>
        <v>46277</v>
      </c>
      <c r="CQ34" s="218">
        <f t="shared" si="82"/>
        <v>46278</v>
      </c>
      <c r="CR34" s="218">
        <f t="shared" si="82"/>
        <v>46279</v>
      </c>
      <c r="CS34" s="218">
        <f t="shared" si="82"/>
        <v>46280</v>
      </c>
      <c r="CT34" s="218">
        <f t="shared" ref="CT34:EN34" si="83">CS34+1</f>
        <v>46281</v>
      </c>
      <c r="CU34" s="218">
        <f t="shared" si="83"/>
        <v>46282</v>
      </c>
      <c r="CV34" s="218">
        <f t="shared" si="83"/>
        <v>46283</v>
      </c>
      <c r="CW34" s="218">
        <f t="shared" si="83"/>
        <v>46284</v>
      </c>
      <c r="CX34" s="218">
        <f t="shared" si="83"/>
        <v>46285</v>
      </c>
      <c r="CY34" s="218">
        <f t="shared" si="83"/>
        <v>46286</v>
      </c>
      <c r="CZ34" s="218">
        <f t="shared" si="83"/>
        <v>46287</v>
      </c>
      <c r="DA34" s="218">
        <f t="shared" si="83"/>
        <v>46288</v>
      </c>
      <c r="DB34" s="218">
        <f t="shared" si="83"/>
        <v>46289</v>
      </c>
      <c r="DC34" s="218">
        <f t="shared" si="83"/>
        <v>46290</v>
      </c>
      <c r="DD34" s="218">
        <f t="shared" si="83"/>
        <v>46291</v>
      </c>
      <c r="DE34" s="218">
        <f t="shared" si="83"/>
        <v>46292</v>
      </c>
      <c r="DF34" s="218">
        <f t="shared" si="83"/>
        <v>46293</v>
      </c>
      <c r="DG34" s="218">
        <f t="shared" si="83"/>
        <v>46294</v>
      </c>
      <c r="DH34" s="218">
        <f t="shared" si="83"/>
        <v>46295</v>
      </c>
      <c r="DI34" s="218">
        <f t="shared" si="83"/>
        <v>46296</v>
      </c>
      <c r="DJ34" s="218">
        <f t="shared" si="83"/>
        <v>46297</v>
      </c>
      <c r="DK34" s="218">
        <f t="shared" si="83"/>
        <v>46298</v>
      </c>
      <c r="DL34" s="218">
        <f t="shared" si="83"/>
        <v>46299</v>
      </c>
      <c r="DM34" s="218">
        <f t="shared" si="83"/>
        <v>46300</v>
      </c>
      <c r="DN34" s="218">
        <f t="shared" si="83"/>
        <v>46301</v>
      </c>
      <c r="DO34" s="218">
        <f t="shared" si="83"/>
        <v>46302</v>
      </c>
      <c r="DP34" s="218">
        <f t="shared" si="83"/>
        <v>46303</v>
      </c>
      <c r="DQ34" s="218">
        <f t="shared" si="83"/>
        <v>46304</v>
      </c>
      <c r="DR34" s="218">
        <f t="shared" si="83"/>
        <v>46305</v>
      </c>
      <c r="DS34" s="218">
        <f t="shared" si="83"/>
        <v>46306</v>
      </c>
      <c r="DT34" s="218">
        <f t="shared" si="83"/>
        <v>46307</v>
      </c>
      <c r="DU34" s="218">
        <f t="shared" si="83"/>
        <v>46308</v>
      </c>
      <c r="DV34" s="218">
        <f t="shared" si="83"/>
        <v>46309</v>
      </c>
      <c r="DW34" s="218">
        <f t="shared" si="83"/>
        <v>46310</v>
      </c>
      <c r="DX34" s="218">
        <f t="shared" si="83"/>
        <v>46311</v>
      </c>
      <c r="DY34" s="218">
        <f t="shared" si="83"/>
        <v>46312</v>
      </c>
      <c r="DZ34" s="218">
        <f t="shared" si="83"/>
        <v>46313</v>
      </c>
      <c r="EA34" s="218">
        <f t="shared" si="83"/>
        <v>46314</v>
      </c>
      <c r="EB34" s="218">
        <f t="shared" si="83"/>
        <v>46315</v>
      </c>
      <c r="EC34" s="218">
        <f t="shared" si="83"/>
        <v>46316</v>
      </c>
      <c r="ED34" s="218">
        <f t="shared" si="83"/>
        <v>46317</v>
      </c>
      <c r="EE34" s="218">
        <f t="shared" si="83"/>
        <v>46318</v>
      </c>
      <c r="EF34" s="218">
        <f t="shared" si="83"/>
        <v>46319</v>
      </c>
      <c r="EG34" s="218">
        <f t="shared" si="83"/>
        <v>46320</v>
      </c>
      <c r="EH34" s="218">
        <f t="shared" si="83"/>
        <v>46321</v>
      </c>
      <c r="EI34" s="218">
        <f t="shared" si="83"/>
        <v>46322</v>
      </c>
      <c r="EJ34" s="218">
        <f t="shared" si="83"/>
        <v>46323</v>
      </c>
      <c r="EK34" s="218">
        <f t="shared" si="83"/>
        <v>46324</v>
      </c>
      <c r="EL34" s="218">
        <f t="shared" si="83"/>
        <v>46325</v>
      </c>
      <c r="EM34" s="218">
        <f t="shared" si="83"/>
        <v>46326</v>
      </c>
      <c r="EN34" s="218">
        <f t="shared" si="83"/>
        <v>46327</v>
      </c>
    </row>
    <row r="35" spans="1:146">
      <c r="A35" s="448"/>
      <c r="B35" s="451"/>
      <c r="C35" s="451"/>
      <c r="D35" s="467" t="str">
        <f>'BESS 11'!H187</f>
        <v>05 Sep
22 Sep</v>
      </c>
      <c r="E35" s="185" t="s">
        <v>64</v>
      </c>
      <c r="F35" s="66">
        <f>SUM('BESS 11'!S200:S207,'BESS 11'!S209)</f>
        <v>47.2</v>
      </c>
      <c r="G35" s="182">
        <f ca="1">TODAY()</f>
        <v>46233</v>
      </c>
      <c r="H35" s="182">
        <f ca="1">G35+10</f>
        <v>46243</v>
      </c>
      <c r="I35" s="65">
        <f ca="1">H35-G35</f>
        <v>10</v>
      </c>
      <c r="J35" s="444">
        <f ca="1">AVERAGEIF(L40:EN40,"&gt;0")</f>
        <v>128.5</v>
      </c>
      <c r="K35" s="444">
        <f ca="1">MAX(L40:EN40)</f>
        <v>203</v>
      </c>
      <c r="L35" s="65" t="str">
        <f ca="1">IF(AND(L$2&gt;=$G35,L$2&lt;($G35+$I35)),ROUND($F35/$I35,0),"-")</f>
        <v>-</v>
      </c>
      <c r="M35" s="65" t="str">
        <f t="shared" ref="L35:U38" ca="1" si="84">IF(AND(M$2&gt;=$G35,M$2&lt;($G35+$I35)),ROUND($F35/$I35,0),"-")</f>
        <v>-</v>
      </c>
      <c r="N35" s="65" t="str">
        <f t="shared" ca="1" si="84"/>
        <v>-</v>
      </c>
      <c r="O35" s="65" t="str">
        <f t="shared" ca="1" si="84"/>
        <v>-</v>
      </c>
      <c r="P35" s="65" t="str">
        <f t="shared" ca="1" si="84"/>
        <v>-</v>
      </c>
      <c r="Q35" s="65" t="str">
        <f t="shared" ca="1" si="84"/>
        <v>-</v>
      </c>
      <c r="R35" s="65" t="str">
        <f t="shared" ca="1" si="84"/>
        <v>-</v>
      </c>
      <c r="S35" s="65" t="str">
        <f t="shared" ca="1" si="84"/>
        <v>-</v>
      </c>
      <c r="T35" s="65" t="str">
        <f t="shared" ca="1" si="84"/>
        <v>-</v>
      </c>
      <c r="U35" s="65" t="str">
        <f t="shared" ca="1" si="84"/>
        <v>-</v>
      </c>
      <c r="V35" s="65" t="str">
        <f t="shared" ref="V35:AE38" ca="1" si="85">IF(AND(V$2&gt;=$G35,V$2&lt;($G35+$I35)),ROUND($F35/$I35,0),"-")</f>
        <v>-</v>
      </c>
      <c r="W35" s="65" t="str">
        <f t="shared" ca="1" si="85"/>
        <v>-</v>
      </c>
      <c r="X35" s="65" t="str">
        <f t="shared" ca="1" si="85"/>
        <v>-</v>
      </c>
      <c r="Y35" s="65" t="str">
        <f t="shared" ca="1" si="85"/>
        <v>-</v>
      </c>
      <c r="Z35" s="65" t="str">
        <f t="shared" ca="1" si="85"/>
        <v>-</v>
      </c>
      <c r="AA35" s="65" t="str">
        <f t="shared" ca="1" si="85"/>
        <v>-</v>
      </c>
      <c r="AB35" s="65" t="str">
        <f t="shared" ca="1" si="85"/>
        <v>-</v>
      </c>
      <c r="AC35" s="65" t="str">
        <f t="shared" ca="1" si="85"/>
        <v>-</v>
      </c>
      <c r="AD35" s="65" t="str">
        <f t="shared" ca="1" si="85"/>
        <v>-</v>
      </c>
      <c r="AE35" s="65" t="str">
        <f t="shared" ca="1" si="85"/>
        <v>-</v>
      </c>
      <c r="AF35" s="65" t="str">
        <f t="shared" ref="AF35:AO38" ca="1" si="86">IF(AND(AF$2&gt;=$G35,AF$2&lt;($G35+$I35)),ROUND($F35/$I35,0),"-")</f>
        <v>-</v>
      </c>
      <c r="AG35" s="65" t="str">
        <f t="shared" ca="1" si="86"/>
        <v>-</v>
      </c>
      <c r="AH35" s="65" t="str">
        <f t="shared" ca="1" si="86"/>
        <v>-</v>
      </c>
      <c r="AI35" s="65" t="str">
        <f t="shared" ca="1" si="86"/>
        <v>-</v>
      </c>
      <c r="AJ35" s="65" t="str">
        <f t="shared" ca="1" si="86"/>
        <v>-</v>
      </c>
      <c r="AK35" s="65" t="str">
        <f t="shared" ca="1" si="86"/>
        <v>-</v>
      </c>
      <c r="AL35" s="65" t="str">
        <f t="shared" ca="1" si="86"/>
        <v>-</v>
      </c>
      <c r="AM35" s="65" t="str">
        <f t="shared" ca="1" si="86"/>
        <v>-</v>
      </c>
      <c r="AN35" s="65" t="str">
        <f t="shared" ca="1" si="86"/>
        <v>-</v>
      </c>
      <c r="AO35" s="65" t="str">
        <f t="shared" ca="1" si="86"/>
        <v>-</v>
      </c>
      <c r="AP35" s="65" t="str">
        <f t="shared" ref="AP35:AY38" ca="1" si="87">IF(AND(AP$2&gt;=$G35,AP$2&lt;($G35+$I35)),ROUND($F35/$I35,0),"-")</f>
        <v>-</v>
      </c>
      <c r="AQ35" s="65" t="str">
        <f t="shared" ca="1" si="87"/>
        <v>-</v>
      </c>
      <c r="AR35" s="65" t="str">
        <f t="shared" ca="1" si="87"/>
        <v>-</v>
      </c>
      <c r="AS35" s="65" t="str">
        <f t="shared" ca="1" si="87"/>
        <v>-</v>
      </c>
      <c r="AT35" s="65" t="str">
        <f t="shared" ca="1" si="87"/>
        <v>-</v>
      </c>
      <c r="AU35" s="65" t="str">
        <f t="shared" ca="1" si="87"/>
        <v>-</v>
      </c>
      <c r="AV35" s="65" t="str">
        <f t="shared" ca="1" si="87"/>
        <v>-</v>
      </c>
      <c r="AW35" s="65" t="str">
        <f t="shared" ca="1" si="87"/>
        <v>-</v>
      </c>
      <c r="AX35" s="65">
        <f t="shared" ca="1" si="87"/>
        <v>5</v>
      </c>
      <c r="AY35" s="65">
        <f t="shared" ca="1" si="87"/>
        <v>5</v>
      </c>
      <c r="AZ35" s="65">
        <f t="shared" ref="AZ35:BI38" ca="1" si="88">IF(AND(AZ$2&gt;=$G35,AZ$2&lt;($G35+$I35)),ROUND($F35/$I35,0),"-")</f>
        <v>5</v>
      </c>
      <c r="BA35" s="65">
        <f t="shared" ca="1" si="88"/>
        <v>5</v>
      </c>
      <c r="BB35" s="65">
        <f t="shared" ca="1" si="88"/>
        <v>5</v>
      </c>
      <c r="BC35" s="65">
        <v>1</v>
      </c>
      <c r="BD35" s="65">
        <v>1</v>
      </c>
      <c r="BE35" s="65">
        <v>1</v>
      </c>
      <c r="BF35" s="65">
        <v>1</v>
      </c>
      <c r="BG35" s="65">
        <f t="shared" ca="1" si="88"/>
        <v>5</v>
      </c>
      <c r="BH35" s="65" t="str">
        <f t="shared" ca="1" si="88"/>
        <v>-</v>
      </c>
      <c r="BI35" s="65" t="str">
        <f t="shared" ca="1" si="88"/>
        <v>-</v>
      </c>
      <c r="BJ35" s="65" t="str">
        <f t="shared" ref="BJ35:BS38" ca="1" si="89">IF(AND(BJ$2&gt;=$G35,BJ$2&lt;($G35+$I35)),ROUND($F35/$I35,0),"-")</f>
        <v>-</v>
      </c>
      <c r="BK35" s="65" t="str">
        <f t="shared" ca="1" si="89"/>
        <v>-</v>
      </c>
      <c r="BL35" s="65" t="str">
        <f t="shared" ca="1" si="89"/>
        <v>-</v>
      </c>
      <c r="BM35" s="65" t="str">
        <f t="shared" ca="1" si="89"/>
        <v>-</v>
      </c>
      <c r="BN35" s="65" t="str">
        <f t="shared" ca="1" si="89"/>
        <v>-</v>
      </c>
      <c r="BO35" s="65" t="str">
        <f t="shared" ca="1" si="89"/>
        <v>-</v>
      </c>
      <c r="BP35" s="65" t="str">
        <f t="shared" ca="1" si="89"/>
        <v>-</v>
      </c>
      <c r="BQ35" s="65" t="str">
        <f t="shared" ca="1" si="89"/>
        <v>-</v>
      </c>
      <c r="BR35" s="65" t="str">
        <f t="shared" ca="1" si="89"/>
        <v>-</v>
      </c>
      <c r="BS35" s="65" t="str">
        <f t="shared" ca="1" si="89"/>
        <v>-</v>
      </c>
      <c r="BT35" s="65" t="str">
        <f t="shared" ref="BT35:CC38" ca="1" si="90">IF(AND(BT$2&gt;=$G35,BT$2&lt;($G35+$I35)),ROUND($F35/$I35,0),"-")</f>
        <v>-</v>
      </c>
      <c r="BU35" s="65" t="str">
        <f t="shared" ca="1" si="90"/>
        <v>-</v>
      </c>
      <c r="BV35" s="65" t="str">
        <f t="shared" ca="1" si="90"/>
        <v>-</v>
      </c>
      <c r="BW35" s="65" t="str">
        <f t="shared" ca="1" si="90"/>
        <v>-</v>
      </c>
      <c r="BX35" s="65" t="str">
        <f t="shared" ca="1" si="90"/>
        <v>-</v>
      </c>
      <c r="BY35" s="65" t="str">
        <f t="shared" ca="1" si="90"/>
        <v>-</v>
      </c>
      <c r="BZ35" s="65" t="str">
        <f t="shared" ca="1" si="90"/>
        <v>-</v>
      </c>
      <c r="CA35" s="65" t="str">
        <f t="shared" ca="1" si="90"/>
        <v>-</v>
      </c>
      <c r="CB35" s="65" t="str">
        <f t="shared" ca="1" si="90"/>
        <v>-</v>
      </c>
      <c r="CC35" s="65" t="str">
        <f t="shared" ca="1" si="90"/>
        <v>-</v>
      </c>
      <c r="CD35" s="65" t="str">
        <f t="shared" ref="CD35:CM38" ca="1" si="91">IF(AND(CD$2&gt;=$G35,CD$2&lt;($G35+$I35)),ROUND($F35/$I35,0),"-")</f>
        <v>-</v>
      </c>
      <c r="CE35" s="65" t="str">
        <f t="shared" ca="1" si="91"/>
        <v>-</v>
      </c>
      <c r="CF35" s="65" t="str">
        <f t="shared" ca="1" si="91"/>
        <v>-</v>
      </c>
      <c r="CG35" s="65" t="str">
        <f t="shared" ca="1" si="91"/>
        <v>-</v>
      </c>
      <c r="CH35" s="65" t="str">
        <f t="shared" ca="1" si="91"/>
        <v>-</v>
      </c>
      <c r="CI35" s="65" t="str">
        <f t="shared" ca="1" si="91"/>
        <v>-</v>
      </c>
      <c r="CJ35" s="65" t="str">
        <f t="shared" ca="1" si="91"/>
        <v>-</v>
      </c>
      <c r="CK35" s="65" t="str">
        <f t="shared" ca="1" si="91"/>
        <v>-</v>
      </c>
      <c r="CL35" s="65" t="str">
        <f t="shared" ca="1" si="91"/>
        <v>-</v>
      </c>
      <c r="CM35" s="65" t="str">
        <f t="shared" ca="1" si="91"/>
        <v>-</v>
      </c>
      <c r="CN35" s="65" t="str">
        <f t="shared" ref="CN35:CW38" ca="1" si="92">IF(AND(CN$2&gt;=$G35,CN$2&lt;($G35+$I35)),ROUND($F35/$I35,0),"-")</f>
        <v>-</v>
      </c>
      <c r="CO35" s="65" t="str">
        <f t="shared" ca="1" si="92"/>
        <v>-</v>
      </c>
      <c r="CP35" s="65" t="str">
        <f t="shared" ca="1" si="92"/>
        <v>-</v>
      </c>
      <c r="CQ35" s="65" t="str">
        <f t="shared" ca="1" si="92"/>
        <v>-</v>
      </c>
      <c r="CR35" s="65" t="str">
        <f t="shared" ca="1" si="92"/>
        <v>-</v>
      </c>
      <c r="CS35" s="65" t="str">
        <f t="shared" ca="1" si="92"/>
        <v>-</v>
      </c>
      <c r="CT35" s="65" t="str">
        <f t="shared" ca="1" si="92"/>
        <v>-</v>
      </c>
      <c r="CU35" s="65" t="str">
        <f t="shared" ca="1" si="92"/>
        <v>-</v>
      </c>
      <c r="CV35" s="65" t="str">
        <f t="shared" ca="1" si="92"/>
        <v>-</v>
      </c>
      <c r="CW35" s="65" t="str">
        <f t="shared" ca="1" si="92"/>
        <v>-</v>
      </c>
      <c r="CX35" s="65" t="str">
        <f t="shared" ref="CX35:DG38" ca="1" si="93">IF(AND(CX$2&gt;=$G35,CX$2&lt;($G35+$I35)),ROUND($F35/$I35,0),"-")</f>
        <v>-</v>
      </c>
      <c r="CY35" s="65" t="str">
        <f t="shared" ca="1" si="93"/>
        <v>-</v>
      </c>
      <c r="CZ35" s="65" t="str">
        <f t="shared" ca="1" si="93"/>
        <v>-</v>
      </c>
      <c r="DA35" s="65" t="str">
        <f t="shared" ca="1" si="93"/>
        <v>-</v>
      </c>
      <c r="DB35" s="65" t="str">
        <f t="shared" ca="1" si="93"/>
        <v>-</v>
      </c>
      <c r="DC35" s="65" t="str">
        <f t="shared" ca="1" si="93"/>
        <v>-</v>
      </c>
      <c r="DD35" s="65" t="str">
        <f t="shared" ca="1" si="93"/>
        <v>-</v>
      </c>
      <c r="DE35" s="65" t="str">
        <f t="shared" ca="1" si="93"/>
        <v>-</v>
      </c>
      <c r="DF35" s="65" t="str">
        <f t="shared" ca="1" si="93"/>
        <v>-</v>
      </c>
      <c r="DG35" s="65" t="str">
        <f t="shared" ca="1" si="93"/>
        <v>-</v>
      </c>
      <c r="DH35" s="65" t="str">
        <f t="shared" ref="DH35:DQ38" ca="1" si="94">IF(AND(DH$2&gt;=$G35,DH$2&lt;($G35+$I35)),ROUND($F35/$I35,0),"-")</f>
        <v>-</v>
      </c>
      <c r="DI35" s="65" t="str">
        <f t="shared" ca="1" si="94"/>
        <v>-</v>
      </c>
      <c r="DJ35" s="65" t="str">
        <f t="shared" ca="1" si="94"/>
        <v>-</v>
      </c>
      <c r="DK35" s="65" t="str">
        <f t="shared" ca="1" si="94"/>
        <v>-</v>
      </c>
      <c r="DL35" s="65" t="str">
        <f t="shared" ca="1" si="94"/>
        <v>-</v>
      </c>
      <c r="DM35" s="65" t="str">
        <f t="shared" ca="1" si="94"/>
        <v>-</v>
      </c>
      <c r="DN35" s="65" t="str">
        <f t="shared" ca="1" si="94"/>
        <v>-</v>
      </c>
      <c r="DO35" s="65" t="str">
        <f t="shared" ca="1" si="94"/>
        <v>-</v>
      </c>
      <c r="DP35" s="65" t="str">
        <f t="shared" ca="1" si="94"/>
        <v>-</v>
      </c>
      <c r="DQ35" s="65" t="str">
        <f t="shared" ca="1" si="94"/>
        <v>-</v>
      </c>
      <c r="DR35" s="65" t="str">
        <f t="shared" ref="DR35:EA38" ca="1" si="95">IF(AND(DR$2&gt;=$G35,DR$2&lt;($G35+$I35)),ROUND($F35/$I35,0),"-")</f>
        <v>-</v>
      </c>
      <c r="DS35" s="65" t="str">
        <f t="shared" ca="1" si="95"/>
        <v>-</v>
      </c>
      <c r="DT35" s="65" t="str">
        <f t="shared" ca="1" si="95"/>
        <v>-</v>
      </c>
      <c r="DU35" s="65" t="str">
        <f t="shared" ca="1" si="95"/>
        <v>-</v>
      </c>
      <c r="DV35" s="65" t="str">
        <f t="shared" ca="1" si="95"/>
        <v>-</v>
      </c>
      <c r="DW35" s="65" t="str">
        <f t="shared" ca="1" si="95"/>
        <v>-</v>
      </c>
      <c r="DX35" s="65" t="str">
        <f t="shared" ca="1" si="95"/>
        <v>-</v>
      </c>
      <c r="DY35" s="65" t="str">
        <f t="shared" ca="1" si="95"/>
        <v>-</v>
      </c>
      <c r="DZ35" s="65" t="str">
        <f t="shared" ca="1" si="95"/>
        <v>-</v>
      </c>
      <c r="EA35" s="65" t="str">
        <f t="shared" ca="1" si="95"/>
        <v>-</v>
      </c>
      <c r="EB35" s="65" t="str">
        <f t="shared" ref="EB35:EN38" ca="1" si="96">IF(AND(EB$2&gt;=$G35,EB$2&lt;($G35+$I35)),ROUND($F35/$I35,0),"-")</f>
        <v>-</v>
      </c>
      <c r="EC35" s="65" t="str">
        <f t="shared" ca="1" si="96"/>
        <v>-</v>
      </c>
      <c r="ED35" s="65" t="str">
        <f t="shared" ca="1" si="96"/>
        <v>-</v>
      </c>
      <c r="EE35" s="65" t="str">
        <f t="shared" ca="1" si="96"/>
        <v>-</v>
      </c>
      <c r="EF35" s="65" t="str">
        <f t="shared" ca="1" si="96"/>
        <v>-</v>
      </c>
      <c r="EG35" s="65" t="str">
        <f t="shared" ca="1" si="96"/>
        <v>-</v>
      </c>
      <c r="EH35" s="65" t="str">
        <f t="shared" ca="1" si="96"/>
        <v>-</v>
      </c>
      <c r="EI35" s="65" t="str">
        <f t="shared" ca="1" si="96"/>
        <v>-</v>
      </c>
      <c r="EJ35" s="65" t="str">
        <f t="shared" ca="1" si="96"/>
        <v>-</v>
      </c>
      <c r="EK35" s="65" t="str">
        <f t="shared" ca="1" si="96"/>
        <v>-</v>
      </c>
      <c r="EL35" s="65" t="str">
        <f t="shared" ca="1" si="96"/>
        <v>-</v>
      </c>
      <c r="EM35" s="65" t="str">
        <f t="shared" ca="1" si="96"/>
        <v>-</v>
      </c>
      <c r="EN35" s="65" t="str">
        <f t="shared" ca="1" si="96"/>
        <v>-</v>
      </c>
    </row>
    <row r="36" spans="1:146">
      <c r="A36" s="448"/>
      <c r="B36" s="451"/>
      <c r="C36" s="451"/>
      <c r="D36" s="466"/>
      <c r="E36" s="185" t="s">
        <v>65</v>
      </c>
      <c r="F36" s="66">
        <f>SUM('BESS 11'!S210,'BESS 11'!S212:S213,'BESS 11'!S216:S218)</f>
        <v>1513.2779999999998</v>
      </c>
      <c r="G36" s="182">
        <f ca="1">TODAY()</f>
        <v>46233</v>
      </c>
      <c r="H36" s="182">
        <f ca="1">G36+25</f>
        <v>46258</v>
      </c>
      <c r="I36" s="65">
        <f ca="1">H36-G36</f>
        <v>25</v>
      </c>
      <c r="J36" s="453"/>
      <c r="K36" s="445"/>
      <c r="L36" s="65" t="str">
        <f t="shared" ca="1" si="84"/>
        <v>-</v>
      </c>
      <c r="M36" s="65" t="str">
        <f t="shared" ca="1" si="84"/>
        <v>-</v>
      </c>
      <c r="N36" s="65" t="str">
        <f t="shared" ca="1" si="84"/>
        <v>-</v>
      </c>
      <c r="O36" s="65" t="str">
        <f t="shared" ca="1" si="84"/>
        <v>-</v>
      </c>
      <c r="P36" s="65" t="str">
        <f t="shared" ca="1" si="84"/>
        <v>-</v>
      </c>
      <c r="Q36" s="65" t="str">
        <f t="shared" ca="1" si="84"/>
        <v>-</v>
      </c>
      <c r="R36" s="65" t="str">
        <f t="shared" ca="1" si="84"/>
        <v>-</v>
      </c>
      <c r="S36" s="65" t="str">
        <f t="shared" ca="1" si="84"/>
        <v>-</v>
      </c>
      <c r="T36" s="65" t="str">
        <f t="shared" ca="1" si="84"/>
        <v>-</v>
      </c>
      <c r="U36" s="65" t="str">
        <f t="shared" ca="1" si="84"/>
        <v>-</v>
      </c>
      <c r="V36" s="65" t="str">
        <f t="shared" ca="1" si="85"/>
        <v>-</v>
      </c>
      <c r="W36" s="65" t="str">
        <f t="shared" ca="1" si="85"/>
        <v>-</v>
      </c>
      <c r="X36" s="65" t="str">
        <f t="shared" ca="1" si="85"/>
        <v>-</v>
      </c>
      <c r="Y36" s="65" t="str">
        <f t="shared" ca="1" si="85"/>
        <v>-</v>
      </c>
      <c r="Z36" s="65" t="str">
        <f t="shared" ca="1" si="85"/>
        <v>-</v>
      </c>
      <c r="AA36" s="65" t="str">
        <f t="shared" ca="1" si="85"/>
        <v>-</v>
      </c>
      <c r="AB36" s="65" t="str">
        <f t="shared" ca="1" si="85"/>
        <v>-</v>
      </c>
      <c r="AC36" s="65" t="str">
        <f t="shared" ca="1" si="85"/>
        <v>-</v>
      </c>
      <c r="AD36" s="65" t="str">
        <f t="shared" ca="1" si="85"/>
        <v>-</v>
      </c>
      <c r="AE36" s="65" t="str">
        <f t="shared" ca="1" si="85"/>
        <v>-</v>
      </c>
      <c r="AF36" s="65" t="str">
        <f t="shared" ca="1" si="86"/>
        <v>-</v>
      </c>
      <c r="AG36" s="65" t="str">
        <f t="shared" ca="1" si="86"/>
        <v>-</v>
      </c>
      <c r="AH36" s="65" t="str">
        <f t="shared" ca="1" si="86"/>
        <v>-</v>
      </c>
      <c r="AI36" s="65" t="str">
        <f t="shared" ca="1" si="86"/>
        <v>-</v>
      </c>
      <c r="AJ36" s="65" t="str">
        <f t="shared" ca="1" si="86"/>
        <v>-</v>
      </c>
      <c r="AK36" s="65" t="str">
        <f t="shared" ca="1" si="86"/>
        <v>-</v>
      </c>
      <c r="AL36" s="65" t="str">
        <f t="shared" ca="1" si="86"/>
        <v>-</v>
      </c>
      <c r="AM36" s="65" t="str">
        <f t="shared" ca="1" si="86"/>
        <v>-</v>
      </c>
      <c r="AN36" s="65" t="str">
        <f t="shared" ca="1" si="86"/>
        <v>-</v>
      </c>
      <c r="AO36" s="65" t="str">
        <f t="shared" ca="1" si="86"/>
        <v>-</v>
      </c>
      <c r="AP36" s="65" t="str">
        <f t="shared" ca="1" si="87"/>
        <v>-</v>
      </c>
      <c r="AQ36" s="65" t="str">
        <f t="shared" ca="1" si="87"/>
        <v>-</v>
      </c>
      <c r="AR36" s="65" t="str">
        <f t="shared" ca="1" si="87"/>
        <v>-</v>
      </c>
      <c r="AS36" s="65" t="str">
        <f t="shared" ca="1" si="87"/>
        <v>-</v>
      </c>
      <c r="AT36" s="65" t="str">
        <f t="shared" ca="1" si="87"/>
        <v>-</v>
      </c>
      <c r="AU36" s="65" t="str">
        <f t="shared" ca="1" si="87"/>
        <v>-</v>
      </c>
      <c r="AV36" s="65" t="str">
        <f t="shared" ca="1" si="87"/>
        <v>-</v>
      </c>
      <c r="AW36" s="65" t="str">
        <f t="shared" ca="1" si="87"/>
        <v>-</v>
      </c>
      <c r="AX36" s="65">
        <f t="shared" ca="1" si="87"/>
        <v>61</v>
      </c>
      <c r="AY36" s="65">
        <f t="shared" ca="1" si="87"/>
        <v>61</v>
      </c>
      <c r="AZ36" s="65">
        <f t="shared" ca="1" si="88"/>
        <v>61</v>
      </c>
      <c r="BA36" s="65">
        <f t="shared" ca="1" si="88"/>
        <v>61</v>
      </c>
      <c r="BB36" s="65">
        <f t="shared" ca="1" si="88"/>
        <v>61</v>
      </c>
      <c r="BC36" s="65">
        <f t="shared" ca="1" si="88"/>
        <v>61</v>
      </c>
      <c r="BD36" s="65">
        <f t="shared" ca="1" si="88"/>
        <v>61</v>
      </c>
      <c r="BE36" s="65">
        <f t="shared" ca="1" si="88"/>
        <v>61</v>
      </c>
      <c r="BF36" s="65">
        <f ca="1">IF(AND(BF$2&gt;=$G36,BF$2&lt;($G36+$I36)),ROUND($F36/$I36,0),"-")</f>
        <v>61</v>
      </c>
      <c r="BG36" s="65">
        <f t="shared" ca="1" si="88"/>
        <v>61</v>
      </c>
      <c r="BH36" s="65">
        <f t="shared" ca="1" si="88"/>
        <v>61</v>
      </c>
      <c r="BI36" s="65">
        <f t="shared" ca="1" si="88"/>
        <v>61</v>
      </c>
      <c r="BJ36" s="65">
        <f t="shared" ca="1" si="89"/>
        <v>61</v>
      </c>
      <c r="BK36" s="65">
        <f t="shared" ca="1" si="89"/>
        <v>61</v>
      </c>
      <c r="BL36" s="65">
        <f t="shared" ca="1" si="89"/>
        <v>61</v>
      </c>
      <c r="BM36" s="65">
        <f t="shared" ca="1" si="89"/>
        <v>61</v>
      </c>
      <c r="BN36" s="65">
        <f t="shared" ca="1" si="89"/>
        <v>61</v>
      </c>
      <c r="BO36" s="65">
        <f t="shared" ca="1" si="89"/>
        <v>61</v>
      </c>
      <c r="BP36" s="65">
        <f t="shared" ca="1" si="89"/>
        <v>61</v>
      </c>
      <c r="BQ36" s="65">
        <f t="shared" ca="1" si="89"/>
        <v>61</v>
      </c>
      <c r="BR36" s="65">
        <f t="shared" ca="1" si="89"/>
        <v>61</v>
      </c>
      <c r="BS36" s="65">
        <f t="shared" ca="1" si="89"/>
        <v>61</v>
      </c>
      <c r="BT36" s="65">
        <f t="shared" ca="1" si="90"/>
        <v>61</v>
      </c>
      <c r="BU36" s="65">
        <f t="shared" ca="1" si="90"/>
        <v>61</v>
      </c>
      <c r="BV36" s="65">
        <f t="shared" ca="1" si="90"/>
        <v>61</v>
      </c>
      <c r="BW36" s="65" t="str">
        <f t="shared" ca="1" si="90"/>
        <v>-</v>
      </c>
      <c r="BX36" s="65" t="str">
        <f t="shared" ca="1" si="90"/>
        <v>-</v>
      </c>
      <c r="BY36" s="65" t="str">
        <f t="shared" ca="1" si="90"/>
        <v>-</v>
      </c>
      <c r="BZ36" s="65" t="str">
        <f t="shared" ca="1" si="90"/>
        <v>-</v>
      </c>
      <c r="CA36" s="65" t="str">
        <f t="shared" ca="1" si="90"/>
        <v>-</v>
      </c>
      <c r="CB36" s="65" t="str">
        <f t="shared" ca="1" si="90"/>
        <v>-</v>
      </c>
      <c r="CC36" s="65" t="str">
        <f t="shared" ca="1" si="90"/>
        <v>-</v>
      </c>
      <c r="CD36" s="65" t="str">
        <f t="shared" ca="1" si="91"/>
        <v>-</v>
      </c>
      <c r="CE36" s="65" t="str">
        <f t="shared" ca="1" si="91"/>
        <v>-</v>
      </c>
      <c r="CF36" s="65" t="str">
        <f t="shared" ca="1" si="91"/>
        <v>-</v>
      </c>
      <c r="CG36" s="65" t="str">
        <f t="shared" ca="1" si="91"/>
        <v>-</v>
      </c>
      <c r="CH36" s="65" t="str">
        <f t="shared" ca="1" si="91"/>
        <v>-</v>
      </c>
      <c r="CI36" s="65" t="str">
        <f t="shared" ca="1" si="91"/>
        <v>-</v>
      </c>
      <c r="CJ36" s="65" t="str">
        <f t="shared" ca="1" si="91"/>
        <v>-</v>
      </c>
      <c r="CK36" s="65" t="str">
        <f t="shared" ca="1" si="91"/>
        <v>-</v>
      </c>
      <c r="CL36" s="65" t="str">
        <f t="shared" ca="1" si="91"/>
        <v>-</v>
      </c>
      <c r="CM36" s="65" t="str">
        <f t="shared" ca="1" si="91"/>
        <v>-</v>
      </c>
      <c r="CN36" s="65" t="str">
        <f t="shared" ca="1" si="92"/>
        <v>-</v>
      </c>
      <c r="CO36" s="65" t="str">
        <f t="shared" ca="1" si="92"/>
        <v>-</v>
      </c>
      <c r="CP36" s="65" t="str">
        <f t="shared" ca="1" si="92"/>
        <v>-</v>
      </c>
      <c r="CQ36" s="65" t="str">
        <f t="shared" ca="1" si="92"/>
        <v>-</v>
      </c>
      <c r="CR36" s="65" t="str">
        <f t="shared" ca="1" si="92"/>
        <v>-</v>
      </c>
      <c r="CS36" s="65" t="str">
        <f t="shared" ca="1" si="92"/>
        <v>-</v>
      </c>
      <c r="CT36" s="65" t="str">
        <f t="shared" ca="1" si="92"/>
        <v>-</v>
      </c>
      <c r="CU36" s="65" t="str">
        <f t="shared" ca="1" si="92"/>
        <v>-</v>
      </c>
      <c r="CV36" s="65" t="str">
        <f t="shared" ca="1" si="92"/>
        <v>-</v>
      </c>
      <c r="CW36" s="65" t="str">
        <f t="shared" ca="1" si="92"/>
        <v>-</v>
      </c>
      <c r="CX36" s="65" t="str">
        <f t="shared" ca="1" si="93"/>
        <v>-</v>
      </c>
      <c r="CY36" s="65" t="str">
        <f t="shared" ca="1" si="93"/>
        <v>-</v>
      </c>
      <c r="CZ36" s="65" t="str">
        <f t="shared" ca="1" si="93"/>
        <v>-</v>
      </c>
      <c r="DA36" s="65" t="str">
        <f t="shared" ca="1" si="93"/>
        <v>-</v>
      </c>
      <c r="DB36" s="65" t="str">
        <f t="shared" ca="1" si="93"/>
        <v>-</v>
      </c>
      <c r="DC36" s="65" t="str">
        <f t="shared" ca="1" si="93"/>
        <v>-</v>
      </c>
      <c r="DD36" s="65" t="str">
        <f t="shared" ca="1" si="93"/>
        <v>-</v>
      </c>
      <c r="DE36" s="65" t="str">
        <f t="shared" ca="1" si="93"/>
        <v>-</v>
      </c>
      <c r="DF36" s="65" t="str">
        <f t="shared" ca="1" si="93"/>
        <v>-</v>
      </c>
      <c r="DG36" s="65" t="str">
        <f t="shared" ca="1" si="93"/>
        <v>-</v>
      </c>
      <c r="DH36" s="65" t="str">
        <f t="shared" ca="1" si="94"/>
        <v>-</v>
      </c>
      <c r="DI36" s="65" t="str">
        <f t="shared" ca="1" si="94"/>
        <v>-</v>
      </c>
      <c r="DJ36" s="65" t="str">
        <f t="shared" ca="1" si="94"/>
        <v>-</v>
      </c>
      <c r="DK36" s="65" t="str">
        <f t="shared" ca="1" si="94"/>
        <v>-</v>
      </c>
      <c r="DL36" s="65" t="str">
        <f t="shared" ca="1" si="94"/>
        <v>-</v>
      </c>
      <c r="DM36" s="65" t="str">
        <f t="shared" ca="1" si="94"/>
        <v>-</v>
      </c>
      <c r="DN36" s="65" t="str">
        <f t="shared" ca="1" si="94"/>
        <v>-</v>
      </c>
      <c r="DO36" s="65" t="str">
        <f t="shared" ca="1" si="94"/>
        <v>-</v>
      </c>
      <c r="DP36" s="65" t="str">
        <f t="shared" ca="1" si="94"/>
        <v>-</v>
      </c>
      <c r="DQ36" s="65" t="str">
        <f t="shared" ca="1" si="94"/>
        <v>-</v>
      </c>
      <c r="DR36" s="65" t="str">
        <f t="shared" ca="1" si="95"/>
        <v>-</v>
      </c>
      <c r="DS36" s="65" t="str">
        <f t="shared" ca="1" si="95"/>
        <v>-</v>
      </c>
      <c r="DT36" s="65" t="str">
        <f t="shared" ca="1" si="95"/>
        <v>-</v>
      </c>
      <c r="DU36" s="65" t="str">
        <f t="shared" ca="1" si="95"/>
        <v>-</v>
      </c>
      <c r="DV36" s="65" t="str">
        <f t="shared" ca="1" si="95"/>
        <v>-</v>
      </c>
      <c r="DW36" s="65" t="str">
        <f t="shared" ca="1" si="95"/>
        <v>-</v>
      </c>
      <c r="DX36" s="65" t="str">
        <f t="shared" ca="1" si="95"/>
        <v>-</v>
      </c>
      <c r="DY36" s="65" t="str">
        <f t="shared" ca="1" si="95"/>
        <v>-</v>
      </c>
      <c r="DZ36" s="65" t="str">
        <f t="shared" ca="1" si="95"/>
        <v>-</v>
      </c>
      <c r="EA36" s="65" t="str">
        <f t="shared" ca="1" si="95"/>
        <v>-</v>
      </c>
      <c r="EB36" s="65" t="str">
        <f t="shared" ca="1" si="96"/>
        <v>-</v>
      </c>
      <c r="EC36" s="65" t="str">
        <f t="shared" ca="1" si="96"/>
        <v>-</v>
      </c>
      <c r="ED36" s="65" t="str">
        <f t="shared" ca="1" si="96"/>
        <v>-</v>
      </c>
      <c r="EE36" s="65" t="str">
        <f t="shared" ca="1" si="96"/>
        <v>-</v>
      </c>
      <c r="EF36" s="65" t="str">
        <f t="shared" ca="1" si="96"/>
        <v>-</v>
      </c>
      <c r="EG36" s="65" t="str">
        <f t="shared" ca="1" si="96"/>
        <v>-</v>
      </c>
      <c r="EH36" s="65" t="str">
        <f t="shared" ca="1" si="96"/>
        <v>-</v>
      </c>
      <c r="EI36" s="65" t="str">
        <f t="shared" ca="1" si="96"/>
        <v>-</v>
      </c>
      <c r="EJ36" s="65" t="str">
        <f t="shared" ca="1" si="96"/>
        <v>-</v>
      </c>
      <c r="EK36" s="65" t="str">
        <f t="shared" ca="1" si="96"/>
        <v>-</v>
      </c>
      <c r="EL36" s="65" t="str">
        <f t="shared" ca="1" si="96"/>
        <v>-</v>
      </c>
      <c r="EM36" s="65" t="str">
        <f t="shared" ca="1" si="96"/>
        <v>-</v>
      </c>
      <c r="EN36" s="65" t="str">
        <f t="shared" ca="1" si="96"/>
        <v>-</v>
      </c>
    </row>
    <row r="37" spans="1:146">
      <c r="A37" s="448"/>
      <c r="B37" s="451"/>
      <c r="C37" s="451"/>
      <c r="D37" s="466"/>
      <c r="E37" s="185" t="s">
        <v>66</v>
      </c>
      <c r="F37" s="66">
        <f>SUM('BESS 11'!S211,'BESS 11'!S215,'BESS 11'!S219:S220,461)</f>
        <v>1993.0666666666668</v>
      </c>
      <c r="G37" s="182">
        <f ca="1">G36+5</f>
        <v>46238</v>
      </c>
      <c r="H37" s="182">
        <f ca="1">G37+25</f>
        <v>46263</v>
      </c>
      <c r="I37" s="65">
        <f ca="1">H37-G37</f>
        <v>25</v>
      </c>
      <c r="J37" s="453"/>
      <c r="K37" s="445"/>
      <c r="L37" s="65" t="str">
        <f t="shared" ca="1" si="84"/>
        <v>-</v>
      </c>
      <c r="M37" s="65" t="str">
        <f t="shared" ca="1" si="84"/>
        <v>-</v>
      </c>
      <c r="N37" s="65" t="str">
        <f t="shared" ca="1" si="84"/>
        <v>-</v>
      </c>
      <c r="O37" s="65" t="str">
        <f t="shared" ca="1" si="84"/>
        <v>-</v>
      </c>
      <c r="P37" s="65" t="str">
        <f t="shared" ca="1" si="84"/>
        <v>-</v>
      </c>
      <c r="Q37" s="65" t="str">
        <f t="shared" ca="1" si="84"/>
        <v>-</v>
      </c>
      <c r="R37" s="65" t="str">
        <f t="shared" ca="1" si="84"/>
        <v>-</v>
      </c>
      <c r="S37" s="65" t="str">
        <f t="shared" ca="1" si="84"/>
        <v>-</v>
      </c>
      <c r="T37" s="65" t="str">
        <f t="shared" ca="1" si="84"/>
        <v>-</v>
      </c>
      <c r="U37" s="65" t="str">
        <f t="shared" ca="1" si="84"/>
        <v>-</v>
      </c>
      <c r="V37" s="65" t="str">
        <f t="shared" ca="1" si="85"/>
        <v>-</v>
      </c>
      <c r="W37" s="65" t="str">
        <f t="shared" ca="1" si="85"/>
        <v>-</v>
      </c>
      <c r="X37" s="65" t="str">
        <f t="shared" ca="1" si="85"/>
        <v>-</v>
      </c>
      <c r="Y37" s="65" t="str">
        <f t="shared" ca="1" si="85"/>
        <v>-</v>
      </c>
      <c r="Z37" s="65" t="str">
        <f t="shared" ca="1" si="85"/>
        <v>-</v>
      </c>
      <c r="AA37" s="65" t="str">
        <f t="shared" ca="1" si="85"/>
        <v>-</v>
      </c>
      <c r="AB37" s="65" t="str">
        <f t="shared" ca="1" si="85"/>
        <v>-</v>
      </c>
      <c r="AC37" s="65" t="str">
        <f t="shared" ca="1" si="85"/>
        <v>-</v>
      </c>
      <c r="AD37" s="65" t="str">
        <f t="shared" ca="1" si="85"/>
        <v>-</v>
      </c>
      <c r="AE37" s="65" t="str">
        <f t="shared" ca="1" si="85"/>
        <v>-</v>
      </c>
      <c r="AF37" s="65" t="str">
        <f t="shared" ca="1" si="86"/>
        <v>-</v>
      </c>
      <c r="AG37" s="65" t="str">
        <f t="shared" ca="1" si="86"/>
        <v>-</v>
      </c>
      <c r="AH37" s="65" t="str">
        <f t="shared" ca="1" si="86"/>
        <v>-</v>
      </c>
      <c r="AI37" s="65" t="str">
        <f t="shared" ca="1" si="86"/>
        <v>-</v>
      </c>
      <c r="AJ37" s="65" t="str">
        <f t="shared" ca="1" si="86"/>
        <v>-</v>
      </c>
      <c r="AK37" s="65" t="str">
        <f t="shared" ca="1" si="86"/>
        <v>-</v>
      </c>
      <c r="AL37" s="65" t="str">
        <f t="shared" ca="1" si="86"/>
        <v>-</v>
      </c>
      <c r="AM37" s="65" t="str">
        <f t="shared" ca="1" si="86"/>
        <v>-</v>
      </c>
      <c r="AN37" s="65" t="str">
        <f t="shared" ca="1" si="86"/>
        <v>-</v>
      </c>
      <c r="AO37" s="65" t="str">
        <f t="shared" ca="1" si="86"/>
        <v>-</v>
      </c>
      <c r="AP37" s="65" t="str">
        <f t="shared" ca="1" si="87"/>
        <v>-</v>
      </c>
      <c r="AQ37" s="65" t="str">
        <f t="shared" ca="1" si="87"/>
        <v>-</v>
      </c>
      <c r="AR37" s="65" t="str">
        <f t="shared" ca="1" si="87"/>
        <v>-</v>
      </c>
      <c r="AS37" s="65" t="str">
        <f t="shared" ca="1" si="87"/>
        <v>-</v>
      </c>
      <c r="AT37" s="65" t="str">
        <f t="shared" ca="1" si="87"/>
        <v>-</v>
      </c>
      <c r="AU37" s="65" t="str">
        <f t="shared" ca="1" si="87"/>
        <v>-</v>
      </c>
      <c r="AV37" s="65" t="str">
        <f t="shared" ca="1" si="87"/>
        <v>-</v>
      </c>
      <c r="AW37" s="65" t="str">
        <f t="shared" ca="1" si="87"/>
        <v>-</v>
      </c>
      <c r="AX37" s="65" t="str">
        <f t="shared" ca="1" si="87"/>
        <v>-</v>
      </c>
      <c r="AY37" s="65" t="str">
        <f t="shared" ca="1" si="87"/>
        <v>-</v>
      </c>
      <c r="AZ37" s="65" t="str">
        <f t="shared" ca="1" si="88"/>
        <v>-</v>
      </c>
      <c r="BA37" s="65" t="str">
        <f t="shared" ca="1" si="88"/>
        <v>-</v>
      </c>
      <c r="BB37" s="65" t="str">
        <f t="shared" ca="1" si="88"/>
        <v>-</v>
      </c>
      <c r="BC37" s="65">
        <v>136</v>
      </c>
      <c r="BD37" s="65">
        <v>136</v>
      </c>
      <c r="BE37" s="65">
        <v>136</v>
      </c>
      <c r="BF37" s="65">
        <v>136</v>
      </c>
      <c r="BG37" s="65">
        <f t="shared" ca="1" si="88"/>
        <v>80</v>
      </c>
      <c r="BH37" s="65">
        <f t="shared" ca="1" si="88"/>
        <v>80</v>
      </c>
      <c r="BI37" s="65">
        <f t="shared" ca="1" si="88"/>
        <v>80</v>
      </c>
      <c r="BJ37" s="65">
        <f t="shared" ca="1" si="89"/>
        <v>80</v>
      </c>
      <c r="BK37" s="65">
        <f t="shared" ca="1" si="89"/>
        <v>80</v>
      </c>
      <c r="BL37" s="65">
        <f t="shared" ca="1" si="89"/>
        <v>80</v>
      </c>
      <c r="BM37" s="65">
        <f t="shared" ca="1" si="89"/>
        <v>80</v>
      </c>
      <c r="BN37" s="65">
        <f t="shared" ca="1" si="89"/>
        <v>80</v>
      </c>
      <c r="BO37" s="65">
        <f t="shared" ca="1" si="89"/>
        <v>80</v>
      </c>
      <c r="BP37" s="65">
        <f t="shared" ca="1" si="89"/>
        <v>80</v>
      </c>
      <c r="BQ37" s="65">
        <f t="shared" ca="1" si="89"/>
        <v>80</v>
      </c>
      <c r="BR37" s="65">
        <f t="shared" ca="1" si="89"/>
        <v>80</v>
      </c>
      <c r="BS37" s="65">
        <f t="shared" ca="1" si="89"/>
        <v>80</v>
      </c>
      <c r="BT37" s="65">
        <f t="shared" ca="1" si="90"/>
        <v>80</v>
      </c>
      <c r="BU37" s="65">
        <f t="shared" ca="1" si="90"/>
        <v>80</v>
      </c>
      <c r="BV37" s="65">
        <f t="shared" ca="1" si="90"/>
        <v>80</v>
      </c>
      <c r="BW37" s="65">
        <f t="shared" ca="1" si="90"/>
        <v>80</v>
      </c>
      <c r="BX37" s="65">
        <f t="shared" ca="1" si="90"/>
        <v>80</v>
      </c>
      <c r="BY37" s="65">
        <f t="shared" ca="1" si="90"/>
        <v>80</v>
      </c>
      <c r="BZ37" s="65">
        <f t="shared" ca="1" si="90"/>
        <v>80</v>
      </c>
      <c r="CA37" s="65">
        <f t="shared" ca="1" si="90"/>
        <v>80</v>
      </c>
      <c r="CB37" s="65" t="str">
        <f t="shared" ca="1" si="90"/>
        <v>-</v>
      </c>
      <c r="CC37" s="65" t="str">
        <f t="shared" ca="1" si="90"/>
        <v>-</v>
      </c>
      <c r="CD37" s="65" t="str">
        <f t="shared" ca="1" si="91"/>
        <v>-</v>
      </c>
      <c r="CE37" s="65" t="str">
        <f t="shared" ca="1" si="91"/>
        <v>-</v>
      </c>
      <c r="CF37" s="65" t="str">
        <f t="shared" ca="1" si="91"/>
        <v>-</v>
      </c>
      <c r="CG37" s="65" t="str">
        <f t="shared" ca="1" si="91"/>
        <v>-</v>
      </c>
      <c r="CH37" s="65" t="str">
        <f t="shared" ca="1" si="91"/>
        <v>-</v>
      </c>
      <c r="CI37" s="65" t="str">
        <f t="shared" ca="1" si="91"/>
        <v>-</v>
      </c>
      <c r="CJ37" s="65" t="str">
        <f t="shared" ca="1" si="91"/>
        <v>-</v>
      </c>
      <c r="CK37" s="65" t="str">
        <f t="shared" ca="1" si="91"/>
        <v>-</v>
      </c>
      <c r="CL37" s="65" t="str">
        <f t="shared" ca="1" si="91"/>
        <v>-</v>
      </c>
      <c r="CM37" s="65" t="str">
        <f t="shared" ca="1" si="91"/>
        <v>-</v>
      </c>
      <c r="CN37" s="65" t="str">
        <f t="shared" ca="1" si="92"/>
        <v>-</v>
      </c>
      <c r="CO37" s="65" t="str">
        <f t="shared" ca="1" si="92"/>
        <v>-</v>
      </c>
      <c r="CP37" s="65" t="str">
        <f t="shared" ca="1" si="92"/>
        <v>-</v>
      </c>
      <c r="CQ37" s="65" t="str">
        <f t="shared" ca="1" si="92"/>
        <v>-</v>
      </c>
      <c r="CR37" s="65" t="str">
        <f t="shared" ca="1" si="92"/>
        <v>-</v>
      </c>
      <c r="CS37" s="65" t="str">
        <f t="shared" ca="1" si="92"/>
        <v>-</v>
      </c>
      <c r="CT37" s="65" t="str">
        <f t="shared" ca="1" si="92"/>
        <v>-</v>
      </c>
      <c r="CU37" s="65" t="str">
        <f t="shared" ca="1" si="92"/>
        <v>-</v>
      </c>
      <c r="CV37" s="65" t="str">
        <f t="shared" ca="1" si="92"/>
        <v>-</v>
      </c>
      <c r="CW37" s="65" t="str">
        <f t="shared" ca="1" si="92"/>
        <v>-</v>
      </c>
      <c r="CX37" s="65" t="str">
        <f t="shared" ca="1" si="93"/>
        <v>-</v>
      </c>
      <c r="CY37" s="65" t="str">
        <f t="shared" ca="1" si="93"/>
        <v>-</v>
      </c>
      <c r="CZ37" s="65" t="str">
        <f t="shared" ca="1" si="93"/>
        <v>-</v>
      </c>
      <c r="DA37" s="65" t="str">
        <f t="shared" ca="1" si="93"/>
        <v>-</v>
      </c>
      <c r="DB37" s="65" t="str">
        <f t="shared" ca="1" si="93"/>
        <v>-</v>
      </c>
      <c r="DC37" s="65" t="str">
        <f t="shared" ca="1" si="93"/>
        <v>-</v>
      </c>
      <c r="DD37" s="65" t="str">
        <f t="shared" ca="1" si="93"/>
        <v>-</v>
      </c>
      <c r="DE37" s="65" t="str">
        <f t="shared" ca="1" si="93"/>
        <v>-</v>
      </c>
      <c r="DF37" s="65" t="str">
        <f t="shared" ca="1" si="93"/>
        <v>-</v>
      </c>
      <c r="DG37" s="65" t="str">
        <f t="shared" ca="1" si="93"/>
        <v>-</v>
      </c>
      <c r="DH37" s="65" t="str">
        <f t="shared" ca="1" si="94"/>
        <v>-</v>
      </c>
      <c r="DI37" s="65" t="str">
        <f t="shared" ca="1" si="94"/>
        <v>-</v>
      </c>
      <c r="DJ37" s="65" t="str">
        <f t="shared" ca="1" si="94"/>
        <v>-</v>
      </c>
      <c r="DK37" s="65" t="str">
        <f t="shared" ca="1" si="94"/>
        <v>-</v>
      </c>
      <c r="DL37" s="65" t="str">
        <f t="shared" ca="1" si="94"/>
        <v>-</v>
      </c>
      <c r="DM37" s="65" t="str">
        <f t="shared" ca="1" si="94"/>
        <v>-</v>
      </c>
      <c r="DN37" s="65" t="str">
        <f t="shared" ca="1" si="94"/>
        <v>-</v>
      </c>
      <c r="DO37" s="65" t="str">
        <f t="shared" ca="1" si="94"/>
        <v>-</v>
      </c>
      <c r="DP37" s="65" t="str">
        <f t="shared" ca="1" si="94"/>
        <v>-</v>
      </c>
      <c r="DQ37" s="65" t="str">
        <f t="shared" ca="1" si="94"/>
        <v>-</v>
      </c>
      <c r="DR37" s="65" t="str">
        <f t="shared" ca="1" si="95"/>
        <v>-</v>
      </c>
      <c r="DS37" s="65" t="str">
        <f t="shared" ca="1" si="95"/>
        <v>-</v>
      </c>
      <c r="DT37" s="65" t="str">
        <f t="shared" ca="1" si="95"/>
        <v>-</v>
      </c>
      <c r="DU37" s="65" t="str">
        <f t="shared" ca="1" si="95"/>
        <v>-</v>
      </c>
      <c r="DV37" s="65" t="str">
        <f t="shared" ca="1" si="95"/>
        <v>-</v>
      </c>
      <c r="DW37" s="65" t="str">
        <f t="shared" ca="1" si="95"/>
        <v>-</v>
      </c>
      <c r="DX37" s="65" t="str">
        <f t="shared" ca="1" si="95"/>
        <v>-</v>
      </c>
      <c r="DY37" s="65" t="str">
        <f t="shared" ca="1" si="95"/>
        <v>-</v>
      </c>
      <c r="DZ37" s="65" t="str">
        <f t="shared" ca="1" si="95"/>
        <v>-</v>
      </c>
      <c r="EA37" s="65" t="str">
        <f t="shared" ca="1" si="95"/>
        <v>-</v>
      </c>
      <c r="EB37" s="65" t="str">
        <f t="shared" ca="1" si="96"/>
        <v>-</v>
      </c>
      <c r="EC37" s="65" t="str">
        <f t="shared" ca="1" si="96"/>
        <v>-</v>
      </c>
      <c r="ED37" s="65" t="str">
        <f t="shared" ca="1" si="96"/>
        <v>-</v>
      </c>
      <c r="EE37" s="65" t="str">
        <f t="shared" ca="1" si="96"/>
        <v>-</v>
      </c>
      <c r="EF37" s="65" t="str">
        <f t="shared" ca="1" si="96"/>
        <v>-</v>
      </c>
      <c r="EG37" s="65" t="str">
        <f t="shared" ca="1" si="96"/>
        <v>-</v>
      </c>
      <c r="EH37" s="65" t="str">
        <f t="shared" ca="1" si="96"/>
        <v>-</v>
      </c>
      <c r="EI37" s="65" t="str">
        <f t="shared" ca="1" si="96"/>
        <v>-</v>
      </c>
      <c r="EJ37" s="65" t="str">
        <f t="shared" ca="1" si="96"/>
        <v>-</v>
      </c>
      <c r="EK37" s="65" t="str">
        <f t="shared" ca="1" si="96"/>
        <v>-</v>
      </c>
      <c r="EL37" s="65" t="str">
        <f t="shared" ca="1" si="96"/>
        <v>-</v>
      </c>
      <c r="EM37" s="65" t="str">
        <f t="shared" ca="1" si="96"/>
        <v>-</v>
      </c>
      <c r="EN37" s="65" t="str">
        <f t="shared" ca="1" si="96"/>
        <v>-</v>
      </c>
    </row>
    <row r="38" spans="1:146">
      <c r="A38" s="448"/>
      <c r="B38" s="451"/>
      <c r="C38" s="451"/>
      <c r="D38" s="466"/>
      <c r="E38" s="185" t="s">
        <v>67</v>
      </c>
      <c r="F38" s="66">
        <f>SUM('BESS 11'!S222:S231)</f>
        <v>340.69333333333333</v>
      </c>
      <c r="G38" s="182">
        <f ca="1">H37-10</f>
        <v>46253</v>
      </c>
      <c r="H38" s="182">
        <f ca="1">G38+14</f>
        <v>46267</v>
      </c>
      <c r="I38" s="65">
        <f ca="1">H38-G38</f>
        <v>14</v>
      </c>
      <c r="J38" s="453"/>
      <c r="K38" s="445"/>
      <c r="L38" s="65" t="str">
        <f t="shared" ca="1" si="84"/>
        <v>-</v>
      </c>
      <c r="M38" s="65" t="str">
        <f t="shared" ca="1" si="84"/>
        <v>-</v>
      </c>
      <c r="N38" s="65" t="str">
        <f t="shared" ca="1" si="84"/>
        <v>-</v>
      </c>
      <c r="O38" s="65" t="str">
        <f t="shared" ca="1" si="84"/>
        <v>-</v>
      </c>
      <c r="P38" s="65" t="str">
        <f t="shared" ca="1" si="84"/>
        <v>-</v>
      </c>
      <c r="Q38" s="65" t="str">
        <f t="shared" ca="1" si="84"/>
        <v>-</v>
      </c>
      <c r="R38" s="65" t="str">
        <f t="shared" ca="1" si="84"/>
        <v>-</v>
      </c>
      <c r="S38" s="65" t="str">
        <f t="shared" ca="1" si="84"/>
        <v>-</v>
      </c>
      <c r="T38" s="65" t="str">
        <f t="shared" ca="1" si="84"/>
        <v>-</v>
      </c>
      <c r="U38" s="65" t="str">
        <f t="shared" ca="1" si="84"/>
        <v>-</v>
      </c>
      <c r="V38" s="65" t="str">
        <f t="shared" ca="1" si="85"/>
        <v>-</v>
      </c>
      <c r="W38" s="65" t="str">
        <f t="shared" ca="1" si="85"/>
        <v>-</v>
      </c>
      <c r="X38" s="65" t="str">
        <f t="shared" ca="1" si="85"/>
        <v>-</v>
      </c>
      <c r="Y38" s="65" t="str">
        <f t="shared" ca="1" si="85"/>
        <v>-</v>
      </c>
      <c r="Z38" s="65" t="str">
        <f t="shared" ca="1" si="85"/>
        <v>-</v>
      </c>
      <c r="AA38" s="65" t="str">
        <f t="shared" ca="1" si="85"/>
        <v>-</v>
      </c>
      <c r="AB38" s="65" t="str">
        <f t="shared" ca="1" si="85"/>
        <v>-</v>
      </c>
      <c r="AC38" s="65" t="str">
        <f t="shared" ca="1" si="85"/>
        <v>-</v>
      </c>
      <c r="AD38" s="65" t="str">
        <f t="shared" ca="1" si="85"/>
        <v>-</v>
      </c>
      <c r="AE38" s="65" t="str">
        <f t="shared" ca="1" si="85"/>
        <v>-</v>
      </c>
      <c r="AF38" s="65" t="str">
        <f t="shared" ca="1" si="86"/>
        <v>-</v>
      </c>
      <c r="AG38" s="65" t="str">
        <f t="shared" ca="1" si="86"/>
        <v>-</v>
      </c>
      <c r="AH38" s="65" t="str">
        <f t="shared" ca="1" si="86"/>
        <v>-</v>
      </c>
      <c r="AI38" s="65" t="str">
        <f t="shared" ca="1" si="86"/>
        <v>-</v>
      </c>
      <c r="AJ38" s="65" t="str">
        <f t="shared" ca="1" si="86"/>
        <v>-</v>
      </c>
      <c r="AK38" s="65" t="str">
        <f t="shared" ca="1" si="86"/>
        <v>-</v>
      </c>
      <c r="AL38" s="65" t="str">
        <f t="shared" ca="1" si="86"/>
        <v>-</v>
      </c>
      <c r="AM38" s="65" t="str">
        <f t="shared" ca="1" si="86"/>
        <v>-</v>
      </c>
      <c r="AN38" s="65" t="str">
        <f t="shared" ca="1" si="86"/>
        <v>-</v>
      </c>
      <c r="AO38" s="65" t="str">
        <f t="shared" ca="1" si="86"/>
        <v>-</v>
      </c>
      <c r="AP38" s="65" t="str">
        <f t="shared" ca="1" si="87"/>
        <v>-</v>
      </c>
      <c r="AQ38" s="65" t="str">
        <f t="shared" ca="1" si="87"/>
        <v>-</v>
      </c>
      <c r="AR38" s="65" t="str">
        <f t="shared" ca="1" si="87"/>
        <v>-</v>
      </c>
      <c r="AS38" s="65" t="str">
        <f t="shared" ca="1" si="87"/>
        <v>-</v>
      </c>
      <c r="AT38" s="65" t="str">
        <f t="shared" ca="1" si="87"/>
        <v>-</v>
      </c>
      <c r="AU38" s="65" t="str">
        <f t="shared" ca="1" si="87"/>
        <v>-</v>
      </c>
      <c r="AV38" s="65" t="str">
        <f t="shared" ca="1" si="87"/>
        <v>-</v>
      </c>
      <c r="AW38" s="65" t="str">
        <f t="shared" ca="1" si="87"/>
        <v>-</v>
      </c>
      <c r="AX38" s="65" t="str">
        <f t="shared" ca="1" si="87"/>
        <v>-</v>
      </c>
      <c r="AY38" s="65" t="str">
        <f t="shared" ca="1" si="87"/>
        <v>-</v>
      </c>
      <c r="AZ38" s="65" t="str">
        <f t="shared" ca="1" si="88"/>
        <v>-</v>
      </c>
      <c r="BA38" s="65" t="str">
        <f t="shared" ca="1" si="88"/>
        <v>-</v>
      </c>
      <c r="BB38" s="65" t="str">
        <f t="shared" ca="1" si="88"/>
        <v>-</v>
      </c>
      <c r="BC38" s="65" t="str">
        <f t="shared" ca="1" si="88"/>
        <v>-</v>
      </c>
      <c r="BD38" s="65" t="str">
        <f t="shared" ca="1" si="88"/>
        <v>-</v>
      </c>
      <c r="BE38" s="65" t="str">
        <f t="shared" ca="1" si="88"/>
        <v>-</v>
      </c>
      <c r="BF38" s="65" t="str">
        <f t="shared" ca="1" si="88"/>
        <v>-</v>
      </c>
      <c r="BG38" s="65" t="str">
        <f t="shared" ca="1" si="88"/>
        <v>-</v>
      </c>
      <c r="BH38" s="65" t="str">
        <f t="shared" ca="1" si="88"/>
        <v>-</v>
      </c>
      <c r="BI38" s="65" t="str">
        <f t="shared" ca="1" si="88"/>
        <v>-</v>
      </c>
      <c r="BJ38" s="65" t="str">
        <f t="shared" ca="1" si="89"/>
        <v>-</v>
      </c>
      <c r="BK38" s="65" t="str">
        <f t="shared" ca="1" si="89"/>
        <v>-</v>
      </c>
      <c r="BL38" s="65" t="str">
        <f t="shared" ca="1" si="89"/>
        <v>-</v>
      </c>
      <c r="BM38" s="65" t="str">
        <f t="shared" ca="1" si="89"/>
        <v>-</v>
      </c>
      <c r="BN38" s="65" t="str">
        <f t="shared" ca="1" si="89"/>
        <v>-</v>
      </c>
      <c r="BO38" s="65" t="str">
        <f t="shared" ca="1" si="89"/>
        <v>-</v>
      </c>
      <c r="BP38" s="65" t="str">
        <f t="shared" ca="1" si="89"/>
        <v>-</v>
      </c>
      <c r="BQ38" s="65" t="str">
        <f t="shared" ca="1" si="89"/>
        <v>-</v>
      </c>
      <c r="BR38" s="65">
        <f t="shared" ca="1" si="89"/>
        <v>24</v>
      </c>
      <c r="BS38" s="65">
        <f t="shared" ca="1" si="89"/>
        <v>24</v>
      </c>
      <c r="BT38" s="65">
        <f t="shared" ca="1" si="90"/>
        <v>24</v>
      </c>
      <c r="BU38" s="65">
        <f t="shared" ca="1" si="90"/>
        <v>24</v>
      </c>
      <c r="BV38" s="65">
        <f t="shared" ca="1" si="90"/>
        <v>24</v>
      </c>
      <c r="BW38" s="65">
        <f t="shared" ca="1" si="90"/>
        <v>24</v>
      </c>
      <c r="BX38" s="65">
        <f t="shared" ca="1" si="90"/>
        <v>24</v>
      </c>
      <c r="BY38" s="65">
        <f t="shared" ca="1" si="90"/>
        <v>24</v>
      </c>
      <c r="BZ38" s="65">
        <f t="shared" ca="1" si="90"/>
        <v>24</v>
      </c>
      <c r="CA38" s="65">
        <f t="shared" ca="1" si="90"/>
        <v>24</v>
      </c>
      <c r="CB38" s="65">
        <f t="shared" ca="1" si="90"/>
        <v>24</v>
      </c>
      <c r="CC38" s="65">
        <f t="shared" ca="1" si="90"/>
        <v>24</v>
      </c>
      <c r="CD38" s="65">
        <f t="shared" ca="1" si="91"/>
        <v>24</v>
      </c>
      <c r="CE38" s="65">
        <f t="shared" ca="1" si="91"/>
        <v>24</v>
      </c>
      <c r="CF38" s="65" t="str">
        <f t="shared" ca="1" si="91"/>
        <v>-</v>
      </c>
      <c r="CG38" s="65" t="str">
        <f t="shared" ca="1" si="91"/>
        <v>-</v>
      </c>
      <c r="CH38" s="65" t="str">
        <f t="shared" ca="1" si="91"/>
        <v>-</v>
      </c>
      <c r="CI38" s="65" t="str">
        <f t="shared" ca="1" si="91"/>
        <v>-</v>
      </c>
      <c r="CJ38" s="65" t="str">
        <f t="shared" ca="1" si="91"/>
        <v>-</v>
      </c>
      <c r="CK38" s="65" t="str">
        <f t="shared" ca="1" si="91"/>
        <v>-</v>
      </c>
      <c r="CL38" s="65" t="str">
        <f t="shared" ca="1" si="91"/>
        <v>-</v>
      </c>
      <c r="CM38" s="65" t="str">
        <f t="shared" ca="1" si="91"/>
        <v>-</v>
      </c>
      <c r="CN38" s="65" t="str">
        <f t="shared" ca="1" si="92"/>
        <v>-</v>
      </c>
      <c r="CO38" s="65" t="str">
        <f t="shared" ca="1" si="92"/>
        <v>-</v>
      </c>
      <c r="CP38" s="65" t="str">
        <f t="shared" ca="1" si="92"/>
        <v>-</v>
      </c>
      <c r="CQ38" s="65" t="str">
        <f t="shared" ca="1" si="92"/>
        <v>-</v>
      </c>
      <c r="CR38" s="65" t="str">
        <f t="shared" ca="1" si="92"/>
        <v>-</v>
      </c>
      <c r="CS38" s="65" t="str">
        <f t="shared" ca="1" si="92"/>
        <v>-</v>
      </c>
      <c r="CT38" s="164" t="str">
        <f t="shared" ca="1" si="92"/>
        <v>-</v>
      </c>
      <c r="CU38" s="164" t="str">
        <f t="shared" ca="1" si="92"/>
        <v>-</v>
      </c>
      <c r="CV38" s="164" t="str">
        <f t="shared" ca="1" si="92"/>
        <v>-</v>
      </c>
      <c r="CW38" s="164" t="str">
        <f t="shared" ca="1" si="92"/>
        <v>-</v>
      </c>
      <c r="CX38" s="164" t="str">
        <f t="shared" ca="1" si="93"/>
        <v>-</v>
      </c>
      <c r="CY38" s="164" t="str">
        <f t="shared" ca="1" si="93"/>
        <v>-</v>
      </c>
      <c r="CZ38" s="164" t="str">
        <f t="shared" ca="1" si="93"/>
        <v>-</v>
      </c>
      <c r="DA38" s="164" t="str">
        <f t="shared" ca="1" si="93"/>
        <v>-</v>
      </c>
      <c r="DB38" s="164" t="str">
        <f t="shared" ca="1" si="93"/>
        <v>-</v>
      </c>
      <c r="DC38" s="164" t="str">
        <f t="shared" ca="1" si="93"/>
        <v>-</v>
      </c>
      <c r="DD38" s="164" t="str">
        <f t="shared" ca="1" si="93"/>
        <v>-</v>
      </c>
      <c r="DE38" s="164" t="str">
        <f t="shared" ca="1" si="93"/>
        <v>-</v>
      </c>
      <c r="DF38" s="164" t="str">
        <f t="shared" ca="1" si="93"/>
        <v>-</v>
      </c>
      <c r="DG38" s="164" t="str">
        <f t="shared" ca="1" si="93"/>
        <v>-</v>
      </c>
      <c r="DH38" s="164" t="str">
        <f t="shared" ca="1" si="94"/>
        <v>-</v>
      </c>
      <c r="DI38" s="164" t="str">
        <f t="shared" ca="1" si="94"/>
        <v>-</v>
      </c>
      <c r="DJ38" s="164" t="str">
        <f t="shared" ca="1" si="94"/>
        <v>-</v>
      </c>
      <c r="DK38" s="164" t="str">
        <f t="shared" ca="1" si="94"/>
        <v>-</v>
      </c>
      <c r="DL38" s="164" t="str">
        <f t="shared" ca="1" si="94"/>
        <v>-</v>
      </c>
      <c r="DM38" s="164" t="str">
        <f t="shared" ca="1" si="94"/>
        <v>-</v>
      </c>
      <c r="DN38" s="164" t="str">
        <f t="shared" ca="1" si="94"/>
        <v>-</v>
      </c>
      <c r="DO38" s="164" t="str">
        <f t="shared" ca="1" si="94"/>
        <v>-</v>
      </c>
      <c r="DP38" s="164" t="str">
        <f t="shared" ca="1" si="94"/>
        <v>-</v>
      </c>
      <c r="DQ38" s="164" t="str">
        <f t="shared" ca="1" si="94"/>
        <v>-</v>
      </c>
      <c r="DR38" s="164" t="str">
        <f t="shared" ca="1" si="95"/>
        <v>-</v>
      </c>
      <c r="DS38" s="65" t="str">
        <f t="shared" ca="1" si="95"/>
        <v>-</v>
      </c>
      <c r="DT38" s="65" t="str">
        <f t="shared" ca="1" si="95"/>
        <v>-</v>
      </c>
      <c r="DU38" s="65" t="str">
        <f t="shared" ca="1" si="95"/>
        <v>-</v>
      </c>
      <c r="DV38" s="65" t="str">
        <f t="shared" ca="1" si="95"/>
        <v>-</v>
      </c>
      <c r="DW38" s="65" t="str">
        <f t="shared" ca="1" si="95"/>
        <v>-</v>
      </c>
      <c r="DX38" s="65" t="str">
        <f t="shared" ca="1" si="95"/>
        <v>-</v>
      </c>
      <c r="DY38" s="65" t="str">
        <f t="shared" ca="1" si="95"/>
        <v>-</v>
      </c>
      <c r="DZ38" s="65" t="str">
        <f t="shared" ca="1" si="95"/>
        <v>-</v>
      </c>
      <c r="EA38" s="65" t="str">
        <f t="shared" ca="1" si="95"/>
        <v>-</v>
      </c>
      <c r="EB38" s="65" t="str">
        <f t="shared" ca="1" si="96"/>
        <v>-</v>
      </c>
      <c r="EC38" s="65" t="str">
        <f t="shared" ca="1" si="96"/>
        <v>-</v>
      </c>
      <c r="ED38" s="65" t="str">
        <f t="shared" ca="1" si="96"/>
        <v>-</v>
      </c>
      <c r="EE38" s="65" t="str">
        <f t="shared" ca="1" si="96"/>
        <v>-</v>
      </c>
      <c r="EF38" s="65" t="str">
        <f t="shared" ca="1" si="96"/>
        <v>-</v>
      </c>
      <c r="EG38" s="65" t="str">
        <f t="shared" ca="1" si="96"/>
        <v>-</v>
      </c>
      <c r="EH38" s="65" t="str">
        <f t="shared" ca="1" si="96"/>
        <v>-</v>
      </c>
      <c r="EI38" s="65" t="str">
        <f t="shared" ca="1" si="96"/>
        <v>-</v>
      </c>
      <c r="EJ38" s="65" t="str">
        <f t="shared" ca="1" si="96"/>
        <v>-</v>
      </c>
      <c r="EK38" s="65" t="str">
        <f t="shared" ca="1" si="96"/>
        <v>-</v>
      </c>
      <c r="EL38" s="65" t="str">
        <f t="shared" ca="1" si="96"/>
        <v>-</v>
      </c>
      <c r="EM38" s="65" t="str">
        <f t="shared" ca="1" si="96"/>
        <v>-</v>
      </c>
      <c r="EN38" s="65" t="str">
        <f t="shared" ca="1" si="96"/>
        <v>-</v>
      </c>
    </row>
    <row r="39" spans="1:146">
      <c r="A39" s="449"/>
      <c r="B39" s="452"/>
      <c r="C39" s="452"/>
      <c r="D39" s="466"/>
      <c r="E39" s="185" t="s">
        <v>68</v>
      </c>
      <c r="F39" s="65">
        <v>250</v>
      </c>
      <c r="G39" s="185"/>
      <c r="H39" s="182" t="e">
        <f>B34-3</f>
        <v>#VALUE!</v>
      </c>
      <c r="I39" s="65">
        <v>30</v>
      </c>
      <c r="J39" s="454"/>
      <c r="K39" s="446"/>
      <c r="L39" s="182"/>
      <c r="M39" s="182"/>
      <c r="N39" s="65"/>
      <c r="O39" s="66"/>
      <c r="P39" s="66"/>
      <c r="Q39" s="66"/>
      <c r="R39" s="66"/>
      <c r="S39" s="66"/>
      <c r="T39" s="66"/>
      <c r="U39" s="66"/>
      <c r="V39" s="66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  <c r="AX39" s="185"/>
      <c r="AY39" s="185"/>
      <c r="AZ39" s="185"/>
      <c r="BA39" s="185">
        <v>5</v>
      </c>
      <c r="BB39" s="185">
        <v>5</v>
      </c>
      <c r="BC39" s="185">
        <v>5</v>
      </c>
      <c r="BD39" s="185">
        <v>5</v>
      </c>
      <c r="BE39" s="185">
        <v>5</v>
      </c>
      <c r="BF39" s="185">
        <v>5</v>
      </c>
      <c r="BG39" s="185">
        <v>5</v>
      </c>
      <c r="BH39" s="185">
        <v>5</v>
      </c>
      <c r="BI39" s="185">
        <v>5</v>
      </c>
      <c r="BJ39" s="185">
        <v>5</v>
      </c>
      <c r="BK39" s="185">
        <v>5</v>
      </c>
      <c r="BL39" s="185">
        <v>5</v>
      </c>
      <c r="BM39" s="185">
        <v>5</v>
      </c>
      <c r="BN39" s="185">
        <v>5</v>
      </c>
      <c r="BO39" s="185">
        <v>5</v>
      </c>
      <c r="BP39" s="185">
        <v>5</v>
      </c>
      <c r="BQ39" s="185">
        <v>5</v>
      </c>
      <c r="BR39" s="185">
        <v>5</v>
      </c>
      <c r="BS39" s="185">
        <v>5</v>
      </c>
      <c r="BT39" s="185">
        <v>5</v>
      </c>
      <c r="BU39" s="185">
        <v>5</v>
      </c>
      <c r="BV39" s="185">
        <v>5</v>
      </c>
      <c r="BW39" s="185">
        <v>5</v>
      </c>
      <c r="BX39" s="185">
        <v>5</v>
      </c>
      <c r="BY39" s="185">
        <v>30</v>
      </c>
      <c r="BZ39" s="185">
        <v>30</v>
      </c>
      <c r="CA39" s="185">
        <v>30</v>
      </c>
      <c r="CB39" s="185">
        <v>30</v>
      </c>
      <c r="CC39" s="185">
        <v>5</v>
      </c>
      <c r="CD39" s="185">
        <v>5</v>
      </c>
      <c r="CE39" s="185"/>
      <c r="CF39" s="185"/>
      <c r="CG39" s="185"/>
      <c r="CH39" s="185"/>
      <c r="CI39" s="185"/>
      <c r="CJ39" s="185"/>
      <c r="CK39" s="185"/>
      <c r="CL39" s="185"/>
      <c r="CM39" s="185"/>
      <c r="CN39" s="185"/>
      <c r="CO39" s="185"/>
      <c r="CP39" s="185"/>
      <c r="CQ39" s="185"/>
      <c r="CR39" s="185"/>
      <c r="CS39" s="194"/>
      <c r="CT39" s="185"/>
      <c r="CU39" s="185"/>
      <c r="CV39" s="185"/>
      <c r="CW39" s="185"/>
      <c r="CX39" s="185"/>
      <c r="CY39" s="185"/>
      <c r="CZ39" s="185"/>
      <c r="DA39" s="185"/>
      <c r="DB39" s="185"/>
      <c r="DC39" s="185"/>
      <c r="DD39" s="185"/>
      <c r="DE39" s="185"/>
      <c r="DF39" s="185"/>
      <c r="DG39" s="185"/>
      <c r="DH39" s="185"/>
      <c r="DI39" s="185"/>
      <c r="DJ39" s="185"/>
      <c r="DK39" s="185"/>
      <c r="DL39" s="185"/>
      <c r="DM39" s="185"/>
      <c r="DN39" s="185"/>
      <c r="DO39" s="185"/>
      <c r="DP39" s="185"/>
      <c r="DQ39" s="185"/>
      <c r="DR39" s="185"/>
      <c r="DS39" s="185"/>
      <c r="DT39" s="185"/>
      <c r="DU39" s="185"/>
      <c r="DV39" s="185"/>
      <c r="DW39" s="185"/>
      <c r="DX39" s="185"/>
      <c r="DY39" s="185"/>
      <c r="DZ39" s="185"/>
      <c r="EA39" s="185"/>
      <c r="EB39" s="185"/>
      <c r="EC39" s="185"/>
      <c r="ED39" s="185"/>
      <c r="EE39" s="185"/>
      <c r="EF39" s="185"/>
      <c r="EG39" s="185"/>
      <c r="EH39" s="185"/>
      <c r="EI39" s="185"/>
      <c r="EJ39" s="185"/>
      <c r="EK39" s="185"/>
      <c r="EL39" s="185"/>
      <c r="EM39" s="185"/>
      <c r="EN39" s="185"/>
    </row>
    <row r="40" spans="1:146" s="207" customFormat="1" hidden="1">
      <c r="A40" s="236"/>
      <c r="B40" s="209"/>
      <c r="E40" s="201"/>
      <c r="F40" s="201"/>
      <c r="G40" s="204" t="s">
        <v>69</v>
      </c>
      <c r="H40" s="203"/>
      <c r="I40" s="203"/>
      <c r="J40" s="230"/>
      <c r="K40" s="230"/>
      <c r="L40" s="205">
        <f ca="1">SUM(L35:L39)</f>
        <v>0</v>
      </c>
      <c r="M40" s="205">
        <f ca="1">SUM(M35:M39)</f>
        <v>0</v>
      </c>
      <c r="N40" s="205">
        <f ca="1">SUM(N35:N39)</f>
        <v>0</v>
      </c>
      <c r="O40" s="205">
        <f t="shared" ref="O40:AZ40" ca="1" si="97">SUM(O35:O39)</f>
        <v>0</v>
      </c>
      <c r="P40" s="205">
        <f t="shared" ca="1" si="97"/>
        <v>0</v>
      </c>
      <c r="Q40" s="205">
        <f t="shared" ca="1" si="97"/>
        <v>0</v>
      </c>
      <c r="R40" s="205">
        <f t="shared" ca="1" si="97"/>
        <v>0</v>
      </c>
      <c r="S40" s="205">
        <f t="shared" ca="1" si="97"/>
        <v>0</v>
      </c>
      <c r="T40" s="205">
        <f t="shared" ca="1" si="97"/>
        <v>0</v>
      </c>
      <c r="U40" s="205">
        <f t="shared" ca="1" si="97"/>
        <v>0</v>
      </c>
      <c r="V40" s="205">
        <f t="shared" ca="1" si="97"/>
        <v>0</v>
      </c>
      <c r="W40" s="205">
        <f t="shared" ca="1" si="97"/>
        <v>0</v>
      </c>
      <c r="X40" s="205">
        <f t="shared" ca="1" si="97"/>
        <v>0</v>
      </c>
      <c r="Y40" s="205">
        <f t="shared" ca="1" si="97"/>
        <v>0</v>
      </c>
      <c r="Z40" s="205">
        <f t="shared" ca="1" si="97"/>
        <v>0</v>
      </c>
      <c r="AA40" s="205">
        <f t="shared" ca="1" si="97"/>
        <v>0</v>
      </c>
      <c r="AB40" s="205">
        <f t="shared" ca="1" si="97"/>
        <v>0</v>
      </c>
      <c r="AC40" s="205">
        <f t="shared" ca="1" si="97"/>
        <v>0</v>
      </c>
      <c r="AD40" s="205">
        <f t="shared" ca="1" si="97"/>
        <v>0</v>
      </c>
      <c r="AE40" s="205">
        <f t="shared" ca="1" si="97"/>
        <v>0</v>
      </c>
      <c r="AF40" s="205">
        <f t="shared" ca="1" si="97"/>
        <v>0</v>
      </c>
      <c r="AG40" s="205">
        <f t="shared" ca="1" si="97"/>
        <v>0</v>
      </c>
      <c r="AH40" s="205">
        <f t="shared" ca="1" si="97"/>
        <v>0</v>
      </c>
      <c r="AI40" s="205">
        <f t="shared" ca="1" si="97"/>
        <v>0</v>
      </c>
      <c r="AJ40" s="205">
        <f t="shared" ca="1" si="97"/>
        <v>0</v>
      </c>
      <c r="AK40" s="205">
        <f t="shared" ca="1" si="97"/>
        <v>0</v>
      </c>
      <c r="AL40" s="205">
        <f t="shared" ca="1" si="97"/>
        <v>0</v>
      </c>
      <c r="AM40" s="205">
        <f t="shared" ca="1" si="97"/>
        <v>0</v>
      </c>
      <c r="AN40" s="205">
        <f t="shared" ca="1" si="97"/>
        <v>0</v>
      </c>
      <c r="AO40" s="205">
        <f t="shared" ca="1" si="97"/>
        <v>0</v>
      </c>
      <c r="AP40" s="205">
        <f t="shared" ca="1" si="97"/>
        <v>0</v>
      </c>
      <c r="AQ40" s="205">
        <f t="shared" ca="1" si="97"/>
        <v>0</v>
      </c>
      <c r="AR40" s="205">
        <f t="shared" ca="1" si="97"/>
        <v>0</v>
      </c>
      <c r="AS40" s="205">
        <f t="shared" ca="1" si="97"/>
        <v>0</v>
      </c>
      <c r="AT40" s="205">
        <f t="shared" ca="1" si="97"/>
        <v>0</v>
      </c>
      <c r="AU40" s="205">
        <f t="shared" ca="1" si="97"/>
        <v>0</v>
      </c>
      <c r="AV40" s="205">
        <f t="shared" ca="1" si="97"/>
        <v>0</v>
      </c>
      <c r="AW40" s="205">
        <f t="shared" ca="1" si="97"/>
        <v>0</v>
      </c>
      <c r="AX40" s="205">
        <f t="shared" ca="1" si="97"/>
        <v>66</v>
      </c>
      <c r="AY40" s="205">
        <f t="shared" ca="1" si="97"/>
        <v>66</v>
      </c>
      <c r="AZ40" s="205">
        <f t="shared" ca="1" si="97"/>
        <v>66</v>
      </c>
      <c r="BA40" s="205">
        <f t="shared" ref="BA40:CF40" ca="1" si="98">SUM(BA35:BA39)</f>
        <v>71</v>
      </c>
      <c r="BB40" s="205">
        <f t="shared" ca="1" si="98"/>
        <v>71</v>
      </c>
      <c r="BC40" s="205">
        <f t="shared" ca="1" si="98"/>
        <v>203</v>
      </c>
      <c r="BD40" s="205">
        <f t="shared" ca="1" si="98"/>
        <v>203</v>
      </c>
      <c r="BE40" s="205">
        <f t="shared" ca="1" si="98"/>
        <v>203</v>
      </c>
      <c r="BF40" s="205">
        <f t="shared" ca="1" si="98"/>
        <v>203</v>
      </c>
      <c r="BG40" s="205">
        <f t="shared" ca="1" si="98"/>
        <v>151</v>
      </c>
      <c r="BH40" s="205">
        <f t="shared" ca="1" si="98"/>
        <v>146</v>
      </c>
      <c r="BI40" s="205">
        <f t="shared" ca="1" si="98"/>
        <v>146</v>
      </c>
      <c r="BJ40" s="205">
        <f t="shared" ca="1" si="98"/>
        <v>146</v>
      </c>
      <c r="BK40" s="205">
        <f t="shared" ca="1" si="98"/>
        <v>146</v>
      </c>
      <c r="BL40" s="205">
        <f t="shared" ca="1" si="98"/>
        <v>146</v>
      </c>
      <c r="BM40" s="205">
        <f t="shared" ca="1" si="98"/>
        <v>146</v>
      </c>
      <c r="BN40" s="205">
        <f t="shared" ca="1" si="98"/>
        <v>146</v>
      </c>
      <c r="BO40" s="205">
        <f t="shared" ca="1" si="98"/>
        <v>146</v>
      </c>
      <c r="BP40" s="205">
        <f t="shared" ca="1" si="98"/>
        <v>146</v>
      </c>
      <c r="BQ40" s="205">
        <f t="shared" ca="1" si="98"/>
        <v>146</v>
      </c>
      <c r="BR40" s="205">
        <f t="shared" ca="1" si="98"/>
        <v>170</v>
      </c>
      <c r="BS40" s="205">
        <f t="shared" ca="1" si="98"/>
        <v>170</v>
      </c>
      <c r="BT40" s="205">
        <f t="shared" ca="1" si="98"/>
        <v>170</v>
      </c>
      <c r="BU40" s="205">
        <f t="shared" ca="1" si="98"/>
        <v>170</v>
      </c>
      <c r="BV40" s="205">
        <f t="shared" ca="1" si="98"/>
        <v>170</v>
      </c>
      <c r="BW40" s="205">
        <f t="shared" ca="1" si="98"/>
        <v>109</v>
      </c>
      <c r="BX40" s="205">
        <f t="shared" ca="1" si="98"/>
        <v>109</v>
      </c>
      <c r="BY40" s="205">
        <f t="shared" ca="1" si="98"/>
        <v>134</v>
      </c>
      <c r="BZ40" s="205">
        <f t="shared" ca="1" si="98"/>
        <v>134</v>
      </c>
      <c r="CA40" s="205">
        <f t="shared" ca="1" si="98"/>
        <v>134</v>
      </c>
      <c r="CB40" s="205">
        <f t="shared" ca="1" si="98"/>
        <v>54</v>
      </c>
      <c r="CC40" s="205">
        <f t="shared" ca="1" si="98"/>
        <v>29</v>
      </c>
      <c r="CD40" s="205">
        <f t="shared" ca="1" si="98"/>
        <v>29</v>
      </c>
      <c r="CE40" s="205">
        <f t="shared" ca="1" si="98"/>
        <v>24</v>
      </c>
      <c r="CF40" s="205">
        <f t="shared" ca="1" si="98"/>
        <v>0</v>
      </c>
      <c r="CG40" s="205">
        <f t="shared" ref="CG40:DL40" ca="1" si="99">SUM(CG35:CG39)</f>
        <v>0</v>
      </c>
      <c r="CH40" s="205">
        <f t="shared" ca="1" si="99"/>
        <v>0</v>
      </c>
      <c r="CI40" s="205">
        <f t="shared" ca="1" si="99"/>
        <v>0</v>
      </c>
      <c r="CJ40" s="205">
        <f t="shared" ca="1" si="99"/>
        <v>0</v>
      </c>
      <c r="CK40" s="205">
        <f t="shared" ca="1" si="99"/>
        <v>0</v>
      </c>
      <c r="CL40" s="205">
        <f t="shared" ca="1" si="99"/>
        <v>0</v>
      </c>
      <c r="CM40" s="205">
        <f t="shared" ca="1" si="99"/>
        <v>0</v>
      </c>
      <c r="CN40" s="205">
        <f t="shared" ca="1" si="99"/>
        <v>0</v>
      </c>
      <c r="CO40" s="205">
        <f t="shared" ca="1" si="99"/>
        <v>0</v>
      </c>
      <c r="CP40" s="205">
        <f t="shared" ca="1" si="99"/>
        <v>0</v>
      </c>
      <c r="CQ40" s="205">
        <f t="shared" ca="1" si="99"/>
        <v>0</v>
      </c>
      <c r="CR40" s="205">
        <f t="shared" ca="1" si="99"/>
        <v>0</v>
      </c>
      <c r="CS40" s="205">
        <f t="shared" ca="1" si="99"/>
        <v>0</v>
      </c>
      <c r="CT40" s="205">
        <f t="shared" ca="1" si="99"/>
        <v>0</v>
      </c>
      <c r="CU40" s="205">
        <f t="shared" ca="1" si="99"/>
        <v>0</v>
      </c>
      <c r="CV40" s="205">
        <f t="shared" ca="1" si="99"/>
        <v>0</v>
      </c>
      <c r="CW40" s="205">
        <f t="shared" ca="1" si="99"/>
        <v>0</v>
      </c>
      <c r="CX40" s="205">
        <f t="shared" ca="1" si="99"/>
        <v>0</v>
      </c>
      <c r="CY40" s="205">
        <f t="shared" ca="1" si="99"/>
        <v>0</v>
      </c>
      <c r="CZ40" s="205">
        <f t="shared" ca="1" si="99"/>
        <v>0</v>
      </c>
      <c r="DA40" s="205">
        <f t="shared" ca="1" si="99"/>
        <v>0</v>
      </c>
      <c r="DB40" s="205">
        <f t="shared" ca="1" si="99"/>
        <v>0</v>
      </c>
      <c r="DC40" s="205">
        <f t="shared" ca="1" si="99"/>
        <v>0</v>
      </c>
      <c r="DD40" s="205">
        <f t="shared" ca="1" si="99"/>
        <v>0</v>
      </c>
      <c r="DE40" s="205">
        <f t="shared" ca="1" si="99"/>
        <v>0</v>
      </c>
      <c r="DF40" s="205">
        <f t="shared" ca="1" si="99"/>
        <v>0</v>
      </c>
      <c r="DG40" s="205">
        <f t="shared" ca="1" si="99"/>
        <v>0</v>
      </c>
      <c r="DH40" s="205">
        <f t="shared" ca="1" si="99"/>
        <v>0</v>
      </c>
      <c r="DI40" s="205">
        <f t="shared" ca="1" si="99"/>
        <v>0</v>
      </c>
      <c r="DJ40" s="205">
        <f t="shared" ca="1" si="99"/>
        <v>0</v>
      </c>
      <c r="DK40" s="205">
        <f t="shared" ca="1" si="99"/>
        <v>0</v>
      </c>
      <c r="DL40" s="205">
        <f t="shared" ca="1" si="99"/>
        <v>0</v>
      </c>
      <c r="DM40" s="205">
        <f t="shared" ref="DM40:EN40" ca="1" si="100">SUM(DM35:DM39)</f>
        <v>0</v>
      </c>
      <c r="DN40" s="205">
        <f t="shared" ca="1" si="100"/>
        <v>0</v>
      </c>
      <c r="DO40" s="205">
        <f t="shared" ca="1" si="100"/>
        <v>0</v>
      </c>
      <c r="DP40" s="205">
        <f t="shared" ca="1" si="100"/>
        <v>0</v>
      </c>
      <c r="DQ40" s="205">
        <f t="shared" ca="1" si="100"/>
        <v>0</v>
      </c>
      <c r="DR40" s="205">
        <f t="shared" ca="1" si="100"/>
        <v>0</v>
      </c>
      <c r="DS40" s="205">
        <f t="shared" ca="1" si="100"/>
        <v>0</v>
      </c>
      <c r="DT40" s="205">
        <f t="shared" ca="1" si="100"/>
        <v>0</v>
      </c>
      <c r="DU40" s="205">
        <f t="shared" ca="1" si="100"/>
        <v>0</v>
      </c>
      <c r="DV40" s="205">
        <f t="shared" ca="1" si="100"/>
        <v>0</v>
      </c>
      <c r="DW40" s="205">
        <f t="shared" ca="1" si="100"/>
        <v>0</v>
      </c>
      <c r="DX40" s="205">
        <f t="shared" ca="1" si="100"/>
        <v>0</v>
      </c>
      <c r="DY40" s="205">
        <f t="shared" ca="1" si="100"/>
        <v>0</v>
      </c>
      <c r="DZ40" s="205">
        <f t="shared" ca="1" si="100"/>
        <v>0</v>
      </c>
      <c r="EA40" s="205">
        <f t="shared" ca="1" si="100"/>
        <v>0</v>
      </c>
      <c r="EB40" s="205">
        <f t="shared" ca="1" si="100"/>
        <v>0</v>
      </c>
      <c r="EC40" s="205">
        <f t="shared" ca="1" si="100"/>
        <v>0</v>
      </c>
      <c r="ED40" s="205">
        <f t="shared" ca="1" si="100"/>
        <v>0</v>
      </c>
      <c r="EE40" s="205">
        <f t="shared" ca="1" si="100"/>
        <v>0</v>
      </c>
      <c r="EF40" s="205">
        <f t="shared" ca="1" si="100"/>
        <v>0</v>
      </c>
      <c r="EG40" s="205">
        <f t="shared" ca="1" si="100"/>
        <v>0</v>
      </c>
      <c r="EH40" s="205">
        <f t="shared" ca="1" si="100"/>
        <v>0</v>
      </c>
      <c r="EI40" s="205">
        <f t="shared" ca="1" si="100"/>
        <v>0</v>
      </c>
      <c r="EJ40" s="205">
        <f t="shared" ca="1" si="100"/>
        <v>0</v>
      </c>
      <c r="EK40" s="205">
        <f t="shared" ca="1" si="100"/>
        <v>0</v>
      </c>
      <c r="EL40" s="205">
        <f t="shared" ca="1" si="100"/>
        <v>0</v>
      </c>
      <c r="EM40" s="205">
        <f t="shared" ca="1" si="100"/>
        <v>0</v>
      </c>
      <c r="EN40" s="205">
        <f t="shared" ca="1" si="100"/>
        <v>0</v>
      </c>
      <c r="EO40" s="206">
        <f ca="1">AVERAGE(X40:CF40)</f>
        <v>71.622950819672127</v>
      </c>
      <c r="EP40" s="206">
        <f ca="1">MAX(X40:CF40)</f>
        <v>203</v>
      </c>
    </row>
    <row r="42" spans="1:146" s="180" customFormat="1" ht="27">
      <c r="A42" s="447" t="s">
        <v>74</v>
      </c>
      <c r="B42" s="450" t="str">
        <f>'BESS 11'!F232</f>
        <v>02 Sep
23 Sep</v>
      </c>
      <c r="C42" s="450" t="str">
        <f>'BESS 11'!G232</f>
        <v>07 Sep
27 Sep</v>
      </c>
      <c r="D42" s="226"/>
      <c r="E42" s="226" t="s">
        <v>10</v>
      </c>
      <c r="F42" s="217" t="s">
        <v>58</v>
      </c>
      <c r="G42" s="217" t="s">
        <v>78</v>
      </c>
      <c r="H42" s="217" t="s">
        <v>79</v>
      </c>
      <c r="I42" s="217" t="s">
        <v>59</v>
      </c>
      <c r="J42" s="216" t="s">
        <v>80</v>
      </c>
      <c r="K42" s="216" t="s">
        <v>62</v>
      </c>
      <c r="L42" s="218">
        <v>46195</v>
      </c>
      <c r="M42" s="218">
        <v>46196</v>
      </c>
      <c r="N42" s="218">
        <v>46197</v>
      </c>
      <c r="O42" s="218">
        <f t="shared" ref="O42:BZ42" si="101">N42+1</f>
        <v>46198</v>
      </c>
      <c r="P42" s="218">
        <f t="shared" si="101"/>
        <v>46199</v>
      </c>
      <c r="Q42" s="218">
        <f t="shared" si="101"/>
        <v>46200</v>
      </c>
      <c r="R42" s="218">
        <f t="shared" si="101"/>
        <v>46201</v>
      </c>
      <c r="S42" s="218">
        <f t="shared" si="101"/>
        <v>46202</v>
      </c>
      <c r="T42" s="218">
        <f t="shared" si="101"/>
        <v>46203</v>
      </c>
      <c r="U42" s="218">
        <f t="shared" si="101"/>
        <v>46204</v>
      </c>
      <c r="V42" s="218">
        <f t="shared" si="101"/>
        <v>46205</v>
      </c>
      <c r="W42" s="218">
        <f t="shared" si="101"/>
        <v>46206</v>
      </c>
      <c r="X42" s="218">
        <f t="shared" si="101"/>
        <v>46207</v>
      </c>
      <c r="Y42" s="218">
        <f t="shared" si="101"/>
        <v>46208</v>
      </c>
      <c r="Z42" s="218">
        <f t="shared" si="101"/>
        <v>46209</v>
      </c>
      <c r="AA42" s="218">
        <f t="shared" si="101"/>
        <v>46210</v>
      </c>
      <c r="AB42" s="218">
        <f t="shared" si="101"/>
        <v>46211</v>
      </c>
      <c r="AC42" s="218">
        <f t="shared" si="101"/>
        <v>46212</v>
      </c>
      <c r="AD42" s="218">
        <f t="shared" si="101"/>
        <v>46213</v>
      </c>
      <c r="AE42" s="218">
        <f t="shared" si="101"/>
        <v>46214</v>
      </c>
      <c r="AF42" s="218">
        <f t="shared" si="101"/>
        <v>46215</v>
      </c>
      <c r="AG42" s="218">
        <f t="shared" si="101"/>
        <v>46216</v>
      </c>
      <c r="AH42" s="218">
        <f t="shared" si="101"/>
        <v>46217</v>
      </c>
      <c r="AI42" s="218">
        <f t="shared" si="101"/>
        <v>46218</v>
      </c>
      <c r="AJ42" s="218">
        <f t="shared" si="101"/>
        <v>46219</v>
      </c>
      <c r="AK42" s="218">
        <f t="shared" si="101"/>
        <v>46220</v>
      </c>
      <c r="AL42" s="218">
        <f t="shared" si="101"/>
        <v>46221</v>
      </c>
      <c r="AM42" s="218">
        <f t="shared" si="101"/>
        <v>46222</v>
      </c>
      <c r="AN42" s="218">
        <f t="shared" si="101"/>
        <v>46223</v>
      </c>
      <c r="AO42" s="218">
        <f t="shared" si="101"/>
        <v>46224</v>
      </c>
      <c r="AP42" s="218">
        <f t="shared" si="101"/>
        <v>46225</v>
      </c>
      <c r="AQ42" s="218">
        <f t="shared" si="101"/>
        <v>46226</v>
      </c>
      <c r="AR42" s="218">
        <f t="shared" si="101"/>
        <v>46227</v>
      </c>
      <c r="AS42" s="218">
        <f t="shared" si="101"/>
        <v>46228</v>
      </c>
      <c r="AT42" s="218">
        <f t="shared" si="101"/>
        <v>46229</v>
      </c>
      <c r="AU42" s="218">
        <f t="shared" si="101"/>
        <v>46230</v>
      </c>
      <c r="AV42" s="218">
        <f t="shared" si="101"/>
        <v>46231</v>
      </c>
      <c r="AW42" s="218">
        <f t="shared" si="101"/>
        <v>46232</v>
      </c>
      <c r="AX42" s="218">
        <f t="shared" si="101"/>
        <v>46233</v>
      </c>
      <c r="AY42" s="218">
        <f t="shared" si="101"/>
        <v>46234</v>
      </c>
      <c r="AZ42" s="218">
        <f t="shared" si="101"/>
        <v>46235</v>
      </c>
      <c r="BA42" s="218">
        <f t="shared" si="101"/>
        <v>46236</v>
      </c>
      <c r="BB42" s="218">
        <f t="shared" si="101"/>
        <v>46237</v>
      </c>
      <c r="BC42" s="218">
        <f t="shared" si="101"/>
        <v>46238</v>
      </c>
      <c r="BD42" s="218">
        <f t="shared" si="101"/>
        <v>46239</v>
      </c>
      <c r="BE42" s="218">
        <f t="shared" si="101"/>
        <v>46240</v>
      </c>
      <c r="BF42" s="218">
        <f t="shared" si="101"/>
        <v>46241</v>
      </c>
      <c r="BG42" s="218">
        <f t="shared" si="101"/>
        <v>46242</v>
      </c>
      <c r="BH42" s="218">
        <f t="shared" si="101"/>
        <v>46243</v>
      </c>
      <c r="BI42" s="218">
        <f t="shared" si="101"/>
        <v>46244</v>
      </c>
      <c r="BJ42" s="218">
        <f t="shared" si="101"/>
        <v>46245</v>
      </c>
      <c r="BK42" s="218">
        <f t="shared" si="101"/>
        <v>46246</v>
      </c>
      <c r="BL42" s="218">
        <f t="shared" si="101"/>
        <v>46247</v>
      </c>
      <c r="BM42" s="218">
        <f t="shared" si="101"/>
        <v>46248</v>
      </c>
      <c r="BN42" s="218">
        <f t="shared" si="101"/>
        <v>46249</v>
      </c>
      <c r="BO42" s="218">
        <f t="shared" si="101"/>
        <v>46250</v>
      </c>
      <c r="BP42" s="218">
        <f t="shared" si="101"/>
        <v>46251</v>
      </c>
      <c r="BQ42" s="218">
        <f t="shared" si="101"/>
        <v>46252</v>
      </c>
      <c r="BR42" s="218">
        <f t="shared" si="101"/>
        <v>46253</v>
      </c>
      <c r="BS42" s="218">
        <f t="shared" si="101"/>
        <v>46254</v>
      </c>
      <c r="BT42" s="218">
        <f t="shared" si="101"/>
        <v>46255</v>
      </c>
      <c r="BU42" s="218">
        <f t="shared" si="101"/>
        <v>46256</v>
      </c>
      <c r="BV42" s="218">
        <f t="shared" si="101"/>
        <v>46257</v>
      </c>
      <c r="BW42" s="218">
        <f t="shared" si="101"/>
        <v>46258</v>
      </c>
      <c r="BX42" s="218">
        <f t="shared" si="101"/>
        <v>46259</v>
      </c>
      <c r="BY42" s="218">
        <f t="shared" si="101"/>
        <v>46260</v>
      </c>
      <c r="BZ42" s="218">
        <f t="shared" si="101"/>
        <v>46261</v>
      </c>
      <c r="CA42" s="218">
        <f t="shared" ref="CA42:CS42" si="102">BZ42+1</f>
        <v>46262</v>
      </c>
      <c r="CB42" s="218">
        <f t="shared" si="102"/>
        <v>46263</v>
      </c>
      <c r="CC42" s="218">
        <f t="shared" si="102"/>
        <v>46264</v>
      </c>
      <c r="CD42" s="218">
        <f t="shared" si="102"/>
        <v>46265</v>
      </c>
      <c r="CE42" s="218">
        <f t="shared" si="102"/>
        <v>46266</v>
      </c>
      <c r="CF42" s="218">
        <f t="shared" si="102"/>
        <v>46267</v>
      </c>
      <c r="CG42" s="218">
        <f t="shared" si="102"/>
        <v>46268</v>
      </c>
      <c r="CH42" s="218">
        <f t="shared" si="102"/>
        <v>46269</v>
      </c>
      <c r="CI42" s="218">
        <f t="shared" si="102"/>
        <v>46270</v>
      </c>
      <c r="CJ42" s="218">
        <f t="shared" si="102"/>
        <v>46271</v>
      </c>
      <c r="CK42" s="218">
        <f t="shared" si="102"/>
        <v>46272</v>
      </c>
      <c r="CL42" s="218">
        <f t="shared" si="102"/>
        <v>46273</v>
      </c>
      <c r="CM42" s="218">
        <f t="shared" si="102"/>
        <v>46274</v>
      </c>
      <c r="CN42" s="218">
        <f t="shared" si="102"/>
        <v>46275</v>
      </c>
      <c r="CO42" s="218">
        <f t="shared" si="102"/>
        <v>46276</v>
      </c>
      <c r="CP42" s="218">
        <f t="shared" si="102"/>
        <v>46277</v>
      </c>
      <c r="CQ42" s="218">
        <f t="shared" si="102"/>
        <v>46278</v>
      </c>
      <c r="CR42" s="218">
        <f t="shared" si="102"/>
        <v>46279</v>
      </c>
      <c r="CS42" s="218">
        <f t="shared" si="102"/>
        <v>46280</v>
      </c>
      <c r="CT42" s="218">
        <f t="shared" ref="CT42:EN42" si="103">CS42+1</f>
        <v>46281</v>
      </c>
      <c r="CU42" s="218">
        <f t="shared" si="103"/>
        <v>46282</v>
      </c>
      <c r="CV42" s="218">
        <f t="shared" si="103"/>
        <v>46283</v>
      </c>
      <c r="CW42" s="218">
        <f t="shared" si="103"/>
        <v>46284</v>
      </c>
      <c r="CX42" s="218">
        <f t="shared" si="103"/>
        <v>46285</v>
      </c>
      <c r="CY42" s="218">
        <f t="shared" si="103"/>
        <v>46286</v>
      </c>
      <c r="CZ42" s="218">
        <f t="shared" si="103"/>
        <v>46287</v>
      </c>
      <c r="DA42" s="218">
        <f t="shared" si="103"/>
        <v>46288</v>
      </c>
      <c r="DB42" s="218">
        <f t="shared" si="103"/>
        <v>46289</v>
      </c>
      <c r="DC42" s="218">
        <f t="shared" si="103"/>
        <v>46290</v>
      </c>
      <c r="DD42" s="218">
        <f t="shared" si="103"/>
        <v>46291</v>
      </c>
      <c r="DE42" s="218">
        <f t="shared" si="103"/>
        <v>46292</v>
      </c>
      <c r="DF42" s="218">
        <f t="shared" si="103"/>
        <v>46293</v>
      </c>
      <c r="DG42" s="218">
        <f t="shared" si="103"/>
        <v>46294</v>
      </c>
      <c r="DH42" s="218">
        <f t="shared" si="103"/>
        <v>46295</v>
      </c>
      <c r="DI42" s="218">
        <f t="shared" si="103"/>
        <v>46296</v>
      </c>
      <c r="DJ42" s="218">
        <f t="shared" si="103"/>
        <v>46297</v>
      </c>
      <c r="DK42" s="218">
        <f t="shared" si="103"/>
        <v>46298</v>
      </c>
      <c r="DL42" s="218">
        <f t="shared" si="103"/>
        <v>46299</v>
      </c>
      <c r="DM42" s="218">
        <f t="shared" si="103"/>
        <v>46300</v>
      </c>
      <c r="DN42" s="218">
        <f t="shared" si="103"/>
        <v>46301</v>
      </c>
      <c r="DO42" s="218">
        <f t="shared" si="103"/>
        <v>46302</v>
      </c>
      <c r="DP42" s="218">
        <f t="shared" si="103"/>
        <v>46303</v>
      </c>
      <c r="DQ42" s="218">
        <f t="shared" si="103"/>
        <v>46304</v>
      </c>
      <c r="DR42" s="218">
        <f t="shared" si="103"/>
        <v>46305</v>
      </c>
      <c r="DS42" s="218">
        <f t="shared" si="103"/>
        <v>46306</v>
      </c>
      <c r="DT42" s="218">
        <f t="shared" si="103"/>
        <v>46307</v>
      </c>
      <c r="DU42" s="218">
        <f t="shared" si="103"/>
        <v>46308</v>
      </c>
      <c r="DV42" s="218">
        <f t="shared" si="103"/>
        <v>46309</v>
      </c>
      <c r="DW42" s="218">
        <f t="shared" si="103"/>
        <v>46310</v>
      </c>
      <c r="DX42" s="218">
        <f t="shared" si="103"/>
        <v>46311</v>
      </c>
      <c r="DY42" s="218">
        <f t="shared" si="103"/>
        <v>46312</v>
      </c>
      <c r="DZ42" s="218">
        <f t="shared" si="103"/>
        <v>46313</v>
      </c>
      <c r="EA42" s="218">
        <f t="shared" si="103"/>
        <v>46314</v>
      </c>
      <c r="EB42" s="218">
        <f t="shared" si="103"/>
        <v>46315</v>
      </c>
      <c r="EC42" s="218">
        <f t="shared" si="103"/>
        <v>46316</v>
      </c>
      <c r="ED42" s="218">
        <f t="shared" si="103"/>
        <v>46317</v>
      </c>
      <c r="EE42" s="218">
        <f t="shared" si="103"/>
        <v>46318</v>
      </c>
      <c r="EF42" s="218">
        <f t="shared" si="103"/>
        <v>46319</v>
      </c>
      <c r="EG42" s="218">
        <f t="shared" si="103"/>
        <v>46320</v>
      </c>
      <c r="EH42" s="218">
        <f t="shared" si="103"/>
        <v>46321</v>
      </c>
      <c r="EI42" s="218">
        <f t="shared" si="103"/>
        <v>46322</v>
      </c>
      <c r="EJ42" s="218">
        <f t="shared" si="103"/>
        <v>46323</v>
      </c>
      <c r="EK42" s="218">
        <f t="shared" si="103"/>
        <v>46324</v>
      </c>
      <c r="EL42" s="218">
        <f t="shared" si="103"/>
        <v>46325</v>
      </c>
      <c r="EM42" s="218">
        <f t="shared" si="103"/>
        <v>46326</v>
      </c>
      <c r="EN42" s="218">
        <f t="shared" si="103"/>
        <v>46327</v>
      </c>
    </row>
    <row r="43" spans="1:146">
      <c r="A43" s="448"/>
      <c r="B43" s="451"/>
      <c r="C43" s="451"/>
      <c r="D43" s="467" t="str">
        <f>'BESS 11'!H232</f>
        <v>10 Sep
30 Sep</v>
      </c>
      <c r="E43" s="185" t="s">
        <v>64</v>
      </c>
      <c r="F43" s="66">
        <f>SUM('BESS 11'!S245:S252,'BESS 11'!S254)</f>
        <v>47.2</v>
      </c>
      <c r="G43" s="182">
        <f ca="1">TODAY()</f>
        <v>46233</v>
      </c>
      <c r="H43" s="182">
        <f ca="1">G43+10</f>
        <v>46243</v>
      </c>
      <c r="I43" s="65">
        <f ca="1">H43-G43</f>
        <v>10</v>
      </c>
      <c r="J43" s="444">
        <f ca="1">AVERAGEIF(L48:EN48,"&gt;0")</f>
        <v>114.84210526315789</v>
      </c>
      <c r="K43" s="444">
        <f ca="1">MAX(L48:EN48)</f>
        <v>202</v>
      </c>
      <c r="L43" s="65" t="str">
        <f t="shared" ref="L43:U46" ca="1" si="104">IF(AND(L$2&gt;=$G43,L$2&lt;($G43+$I43)),ROUND($F43/$I43,0),"-")</f>
        <v>-</v>
      </c>
      <c r="M43" s="65" t="str">
        <f t="shared" ca="1" si="104"/>
        <v>-</v>
      </c>
      <c r="N43" s="65" t="str">
        <f t="shared" ca="1" si="104"/>
        <v>-</v>
      </c>
      <c r="O43" s="65" t="str">
        <f t="shared" ca="1" si="104"/>
        <v>-</v>
      </c>
      <c r="P43" s="65" t="str">
        <f t="shared" ca="1" si="104"/>
        <v>-</v>
      </c>
      <c r="Q43" s="65" t="str">
        <f t="shared" ca="1" si="104"/>
        <v>-</v>
      </c>
      <c r="R43" s="65" t="str">
        <f t="shared" ca="1" si="104"/>
        <v>-</v>
      </c>
      <c r="S43" s="65" t="str">
        <f t="shared" ca="1" si="104"/>
        <v>-</v>
      </c>
      <c r="T43" s="65" t="str">
        <f t="shared" ca="1" si="104"/>
        <v>-</v>
      </c>
      <c r="U43" s="65" t="str">
        <f t="shared" ca="1" si="104"/>
        <v>-</v>
      </c>
      <c r="V43" s="65" t="str">
        <f t="shared" ref="V43:AE46" ca="1" si="105">IF(AND(V$2&gt;=$G43,V$2&lt;($G43+$I43)),ROUND($F43/$I43,0),"-")</f>
        <v>-</v>
      </c>
      <c r="W43" s="65" t="str">
        <f t="shared" ca="1" si="105"/>
        <v>-</v>
      </c>
      <c r="X43" s="65" t="str">
        <f t="shared" ca="1" si="105"/>
        <v>-</v>
      </c>
      <c r="Y43" s="65" t="str">
        <f t="shared" ca="1" si="105"/>
        <v>-</v>
      </c>
      <c r="Z43" s="65" t="str">
        <f t="shared" ca="1" si="105"/>
        <v>-</v>
      </c>
      <c r="AA43" s="65" t="str">
        <f t="shared" ca="1" si="105"/>
        <v>-</v>
      </c>
      <c r="AB43" s="65" t="str">
        <f t="shared" ca="1" si="105"/>
        <v>-</v>
      </c>
      <c r="AC43" s="65" t="str">
        <f t="shared" ca="1" si="105"/>
        <v>-</v>
      </c>
      <c r="AD43" s="65" t="str">
        <f t="shared" ca="1" si="105"/>
        <v>-</v>
      </c>
      <c r="AE43" s="65" t="str">
        <f t="shared" ca="1" si="105"/>
        <v>-</v>
      </c>
      <c r="AF43" s="65" t="str">
        <f t="shared" ref="AF43:AO46" ca="1" si="106">IF(AND(AF$2&gt;=$G43,AF$2&lt;($G43+$I43)),ROUND($F43/$I43,0),"-")</f>
        <v>-</v>
      </c>
      <c r="AG43" s="65" t="str">
        <f t="shared" ca="1" si="106"/>
        <v>-</v>
      </c>
      <c r="AH43" s="65" t="str">
        <f t="shared" ca="1" si="106"/>
        <v>-</v>
      </c>
      <c r="AI43" s="65" t="str">
        <f t="shared" ca="1" si="106"/>
        <v>-</v>
      </c>
      <c r="AJ43" s="65" t="str">
        <f t="shared" ca="1" si="106"/>
        <v>-</v>
      </c>
      <c r="AK43" s="65" t="str">
        <f t="shared" ca="1" si="106"/>
        <v>-</v>
      </c>
      <c r="AL43" s="65" t="str">
        <f t="shared" ca="1" si="106"/>
        <v>-</v>
      </c>
      <c r="AM43" s="65" t="str">
        <f t="shared" ca="1" si="106"/>
        <v>-</v>
      </c>
      <c r="AN43" s="65" t="str">
        <f t="shared" ca="1" si="106"/>
        <v>-</v>
      </c>
      <c r="AO43" s="65" t="str">
        <f t="shared" ca="1" si="106"/>
        <v>-</v>
      </c>
      <c r="AP43" s="65" t="str">
        <f t="shared" ref="AP43:AY46" ca="1" si="107">IF(AND(AP$2&gt;=$G43,AP$2&lt;($G43+$I43)),ROUND($F43/$I43,0),"-")</f>
        <v>-</v>
      </c>
      <c r="AQ43" s="65" t="str">
        <f t="shared" ca="1" si="107"/>
        <v>-</v>
      </c>
      <c r="AR43" s="65" t="str">
        <f t="shared" ca="1" si="107"/>
        <v>-</v>
      </c>
      <c r="AS43" s="65" t="str">
        <f t="shared" ca="1" si="107"/>
        <v>-</v>
      </c>
      <c r="AT43" s="65" t="str">
        <f t="shared" ca="1" si="107"/>
        <v>-</v>
      </c>
      <c r="AU43" s="65" t="str">
        <f t="shared" ca="1" si="107"/>
        <v>-</v>
      </c>
      <c r="AV43" s="65" t="str">
        <f t="shared" ca="1" si="107"/>
        <v>-</v>
      </c>
      <c r="AW43" s="65" t="str">
        <f t="shared" ca="1" si="107"/>
        <v>-</v>
      </c>
      <c r="AX43" s="65">
        <f t="shared" ca="1" si="107"/>
        <v>5</v>
      </c>
      <c r="AY43" s="65">
        <f t="shared" ca="1" si="107"/>
        <v>5</v>
      </c>
      <c r="AZ43" s="65">
        <f t="shared" ref="AZ43:BI46" ca="1" si="108">IF(AND(AZ$2&gt;=$G43,AZ$2&lt;($G43+$I43)),ROUND($F43/$I43,0),"-")</f>
        <v>5</v>
      </c>
      <c r="BA43" s="65">
        <f t="shared" ca="1" si="108"/>
        <v>5</v>
      </c>
      <c r="BB43" s="65">
        <f t="shared" ca="1" si="108"/>
        <v>5</v>
      </c>
      <c r="BC43" s="65">
        <f t="shared" ca="1" si="108"/>
        <v>5</v>
      </c>
      <c r="BD43" s="65">
        <f t="shared" ca="1" si="108"/>
        <v>5</v>
      </c>
      <c r="BE43" s="65">
        <f t="shared" ca="1" si="108"/>
        <v>5</v>
      </c>
      <c r="BF43" s="65">
        <f t="shared" ca="1" si="108"/>
        <v>5</v>
      </c>
      <c r="BG43" s="65">
        <f t="shared" ca="1" si="108"/>
        <v>5</v>
      </c>
      <c r="BH43" s="65">
        <v>1</v>
      </c>
      <c r="BI43" s="65">
        <v>1</v>
      </c>
      <c r="BJ43" s="65">
        <v>1</v>
      </c>
      <c r="BK43" s="65">
        <v>1</v>
      </c>
      <c r="BL43" s="65" t="str">
        <f t="shared" ref="BJ43:BS46" ca="1" si="109">IF(AND(BL$2&gt;=$G43,BL$2&lt;($G43+$I43)),ROUND($F43/$I43,0),"-")</f>
        <v>-</v>
      </c>
      <c r="BM43" s="65" t="str">
        <f t="shared" ca="1" si="109"/>
        <v>-</v>
      </c>
      <c r="BN43" s="65" t="str">
        <f t="shared" ca="1" si="109"/>
        <v>-</v>
      </c>
      <c r="BO43" s="65" t="str">
        <f t="shared" ca="1" si="109"/>
        <v>-</v>
      </c>
      <c r="BP43" s="65" t="str">
        <f t="shared" ca="1" si="109"/>
        <v>-</v>
      </c>
      <c r="BQ43" s="65" t="str">
        <f t="shared" ca="1" si="109"/>
        <v>-</v>
      </c>
      <c r="BR43" s="65" t="str">
        <f t="shared" ca="1" si="109"/>
        <v>-</v>
      </c>
      <c r="BS43" s="65" t="str">
        <f t="shared" ca="1" si="109"/>
        <v>-</v>
      </c>
      <c r="BT43" s="65" t="str">
        <f t="shared" ref="BT43:CC46" ca="1" si="110">IF(AND(BT$2&gt;=$G43,BT$2&lt;($G43+$I43)),ROUND($F43/$I43,0),"-")</f>
        <v>-</v>
      </c>
      <c r="BU43" s="65" t="str">
        <f t="shared" ca="1" si="110"/>
        <v>-</v>
      </c>
      <c r="BV43" s="65" t="str">
        <f t="shared" ca="1" si="110"/>
        <v>-</v>
      </c>
      <c r="BW43" s="65" t="str">
        <f t="shared" ca="1" si="110"/>
        <v>-</v>
      </c>
      <c r="BX43" s="65" t="str">
        <f t="shared" ca="1" si="110"/>
        <v>-</v>
      </c>
      <c r="BY43" s="65" t="str">
        <f t="shared" ca="1" si="110"/>
        <v>-</v>
      </c>
      <c r="BZ43" s="65" t="str">
        <f t="shared" ca="1" si="110"/>
        <v>-</v>
      </c>
      <c r="CA43" s="65" t="str">
        <f t="shared" ca="1" si="110"/>
        <v>-</v>
      </c>
      <c r="CB43" s="65" t="str">
        <f t="shared" ca="1" si="110"/>
        <v>-</v>
      </c>
      <c r="CC43" s="65" t="str">
        <f t="shared" ca="1" si="110"/>
        <v>-</v>
      </c>
      <c r="CD43" s="65" t="str">
        <f t="shared" ref="CD43:CM46" ca="1" si="111">IF(AND(CD$2&gt;=$G43,CD$2&lt;($G43+$I43)),ROUND($F43/$I43,0),"-")</f>
        <v>-</v>
      </c>
      <c r="CE43" s="65" t="str">
        <f t="shared" ca="1" si="111"/>
        <v>-</v>
      </c>
      <c r="CF43" s="65" t="str">
        <f t="shared" ca="1" si="111"/>
        <v>-</v>
      </c>
      <c r="CG43" s="65" t="str">
        <f t="shared" ca="1" si="111"/>
        <v>-</v>
      </c>
      <c r="CH43" s="65" t="str">
        <f t="shared" ca="1" si="111"/>
        <v>-</v>
      </c>
      <c r="CI43" s="65" t="str">
        <f t="shared" ca="1" si="111"/>
        <v>-</v>
      </c>
      <c r="CJ43" s="65" t="str">
        <f t="shared" ca="1" si="111"/>
        <v>-</v>
      </c>
      <c r="CK43" s="65" t="str">
        <f t="shared" ca="1" si="111"/>
        <v>-</v>
      </c>
      <c r="CL43" s="65" t="str">
        <f t="shared" ca="1" si="111"/>
        <v>-</v>
      </c>
      <c r="CM43" s="65" t="str">
        <f t="shared" ca="1" si="111"/>
        <v>-</v>
      </c>
      <c r="CN43" s="65" t="str">
        <f t="shared" ref="CN43:CW46" ca="1" si="112">IF(AND(CN$2&gt;=$G43,CN$2&lt;($G43+$I43)),ROUND($F43/$I43,0),"-")</f>
        <v>-</v>
      </c>
      <c r="CO43" s="65" t="str">
        <f t="shared" ca="1" si="112"/>
        <v>-</v>
      </c>
      <c r="CP43" s="65" t="str">
        <f t="shared" ca="1" si="112"/>
        <v>-</v>
      </c>
      <c r="CQ43" s="65" t="str">
        <f t="shared" ca="1" si="112"/>
        <v>-</v>
      </c>
      <c r="CR43" s="65" t="str">
        <f t="shared" ca="1" si="112"/>
        <v>-</v>
      </c>
      <c r="CS43" s="65" t="str">
        <f t="shared" ca="1" si="112"/>
        <v>-</v>
      </c>
      <c r="CT43" s="65" t="str">
        <f t="shared" ca="1" si="112"/>
        <v>-</v>
      </c>
      <c r="CU43" s="65" t="str">
        <f t="shared" ca="1" si="112"/>
        <v>-</v>
      </c>
      <c r="CV43" s="65" t="str">
        <f t="shared" ca="1" si="112"/>
        <v>-</v>
      </c>
      <c r="CW43" s="65" t="str">
        <f t="shared" ca="1" si="112"/>
        <v>-</v>
      </c>
      <c r="CX43" s="65" t="str">
        <f t="shared" ref="CX43:DG46" ca="1" si="113">IF(AND(CX$2&gt;=$G43,CX$2&lt;($G43+$I43)),ROUND($F43/$I43,0),"-")</f>
        <v>-</v>
      </c>
      <c r="CY43" s="65" t="str">
        <f t="shared" ca="1" si="113"/>
        <v>-</v>
      </c>
      <c r="CZ43" s="65" t="str">
        <f t="shared" ca="1" si="113"/>
        <v>-</v>
      </c>
      <c r="DA43" s="65" t="str">
        <f t="shared" ca="1" si="113"/>
        <v>-</v>
      </c>
      <c r="DB43" s="65" t="str">
        <f t="shared" ca="1" si="113"/>
        <v>-</v>
      </c>
      <c r="DC43" s="65" t="str">
        <f t="shared" ca="1" si="113"/>
        <v>-</v>
      </c>
      <c r="DD43" s="65" t="str">
        <f t="shared" ca="1" si="113"/>
        <v>-</v>
      </c>
      <c r="DE43" s="65" t="str">
        <f t="shared" ca="1" si="113"/>
        <v>-</v>
      </c>
      <c r="DF43" s="65" t="str">
        <f t="shared" ca="1" si="113"/>
        <v>-</v>
      </c>
      <c r="DG43" s="65" t="str">
        <f t="shared" ca="1" si="113"/>
        <v>-</v>
      </c>
      <c r="DH43" s="65" t="str">
        <f t="shared" ref="DH43:DQ46" ca="1" si="114">IF(AND(DH$2&gt;=$G43,DH$2&lt;($G43+$I43)),ROUND($F43/$I43,0),"-")</f>
        <v>-</v>
      </c>
      <c r="DI43" s="65" t="str">
        <f t="shared" ca="1" si="114"/>
        <v>-</v>
      </c>
      <c r="DJ43" s="65" t="str">
        <f t="shared" ca="1" si="114"/>
        <v>-</v>
      </c>
      <c r="DK43" s="65" t="str">
        <f t="shared" ca="1" si="114"/>
        <v>-</v>
      </c>
      <c r="DL43" s="65" t="str">
        <f t="shared" ca="1" si="114"/>
        <v>-</v>
      </c>
      <c r="DM43" s="65" t="str">
        <f t="shared" ca="1" si="114"/>
        <v>-</v>
      </c>
      <c r="DN43" s="65" t="str">
        <f t="shared" ca="1" si="114"/>
        <v>-</v>
      </c>
      <c r="DO43" s="65" t="str">
        <f t="shared" ca="1" si="114"/>
        <v>-</v>
      </c>
      <c r="DP43" s="65" t="str">
        <f t="shared" ca="1" si="114"/>
        <v>-</v>
      </c>
      <c r="DQ43" s="65" t="str">
        <f t="shared" ca="1" si="114"/>
        <v>-</v>
      </c>
      <c r="DR43" s="65" t="str">
        <f t="shared" ref="DR43:EA46" ca="1" si="115">IF(AND(DR$2&gt;=$G43,DR$2&lt;($G43+$I43)),ROUND($F43/$I43,0),"-")</f>
        <v>-</v>
      </c>
      <c r="DS43" s="65" t="str">
        <f t="shared" ca="1" si="115"/>
        <v>-</v>
      </c>
      <c r="DT43" s="65" t="str">
        <f t="shared" ca="1" si="115"/>
        <v>-</v>
      </c>
      <c r="DU43" s="65" t="str">
        <f t="shared" ca="1" si="115"/>
        <v>-</v>
      </c>
      <c r="DV43" s="65" t="str">
        <f t="shared" ca="1" si="115"/>
        <v>-</v>
      </c>
      <c r="DW43" s="65" t="str">
        <f t="shared" ca="1" si="115"/>
        <v>-</v>
      </c>
      <c r="DX43" s="65" t="str">
        <f t="shared" ca="1" si="115"/>
        <v>-</v>
      </c>
      <c r="DY43" s="65" t="str">
        <f t="shared" ca="1" si="115"/>
        <v>-</v>
      </c>
      <c r="DZ43" s="65" t="str">
        <f t="shared" ca="1" si="115"/>
        <v>-</v>
      </c>
      <c r="EA43" s="65" t="str">
        <f t="shared" ca="1" si="115"/>
        <v>-</v>
      </c>
      <c r="EB43" s="65" t="str">
        <f t="shared" ref="EB43:EN46" ca="1" si="116">IF(AND(EB$2&gt;=$G43,EB$2&lt;($G43+$I43)),ROUND($F43/$I43,0),"-")</f>
        <v>-</v>
      </c>
      <c r="EC43" s="65" t="str">
        <f t="shared" ca="1" si="116"/>
        <v>-</v>
      </c>
      <c r="ED43" s="65" t="str">
        <f t="shared" ca="1" si="116"/>
        <v>-</v>
      </c>
      <c r="EE43" s="65" t="str">
        <f t="shared" ca="1" si="116"/>
        <v>-</v>
      </c>
      <c r="EF43" s="65" t="str">
        <f t="shared" ca="1" si="116"/>
        <v>-</v>
      </c>
      <c r="EG43" s="65" t="str">
        <f t="shared" ca="1" si="116"/>
        <v>-</v>
      </c>
      <c r="EH43" s="65" t="str">
        <f t="shared" ca="1" si="116"/>
        <v>-</v>
      </c>
      <c r="EI43" s="65" t="str">
        <f t="shared" ca="1" si="116"/>
        <v>-</v>
      </c>
      <c r="EJ43" s="65" t="str">
        <f t="shared" ca="1" si="116"/>
        <v>-</v>
      </c>
      <c r="EK43" s="65" t="str">
        <f t="shared" ca="1" si="116"/>
        <v>-</v>
      </c>
      <c r="EL43" s="65" t="str">
        <f t="shared" ca="1" si="116"/>
        <v>-</v>
      </c>
      <c r="EM43" s="65" t="str">
        <f t="shared" ca="1" si="116"/>
        <v>-</v>
      </c>
      <c r="EN43" s="65" t="str">
        <f t="shared" ca="1" si="116"/>
        <v>-</v>
      </c>
    </row>
    <row r="44" spans="1:146">
      <c r="A44" s="448"/>
      <c r="B44" s="451"/>
      <c r="C44" s="451"/>
      <c r="D44" s="466"/>
      <c r="E44" s="185" t="s">
        <v>65</v>
      </c>
      <c r="F44" s="66">
        <f>SUM('BESS 11'!S255,'BESS 11'!S257:S258,'BESS 11'!S261:S263)</f>
        <v>1506.8875466666666</v>
      </c>
      <c r="G44" s="182">
        <f ca="1">TODAY()</f>
        <v>46233</v>
      </c>
      <c r="H44" s="182">
        <f ca="1">G44+25</f>
        <v>46258</v>
      </c>
      <c r="I44" s="65">
        <f ca="1">H44-G44</f>
        <v>25</v>
      </c>
      <c r="J44" s="453"/>
      <c r="K44" s="445"/>
      <c r="L44" s="65" t="str">
        <f t="shared" ca="1" si="104"/>
        <v>-</v>
      </c>
      <c r="M44" s="65" t="str">
        <f t="shared" ca="1" si="104"/>
        <v>-</v>
      </c>
      <c r="N44" s="65" t="str">
        <f t="shared" ca="1" si="104"/>
        <v>-</v>
      </c>
      <c r="O44" s="65" t="str">
        <f t="shared" ca="1" si="104"/>
        <v>-</v>
      </c>
      <c r="P44" s="65" t="str">
        <f t="shared" ca="1" si="104"/>
        <v>-</v>
      </c>
      <c r="Q44" s="65" t="str">
        <f t="shared" ca="1" si="104"/>
        <v>-</v>
      </c>
      <c r="R44" s="65" t="str">
        <f t="shared" ca="1" si="104"/>
        <v>-</v>
      </c>
      <c r="S44" s="65" t="str">
        <f t="shared" ca="1" si="104"/>
        <v>-</v>
      </c>
      <c r="T44" s="65" t="str">
        <f t="shared" ca="1" si="104"/>
        <v>-</v>
      </c>
      <c r="U44" s="65" t="str">
        <f t="shared" ca="1" si="104"/>
        <v>-</v>
      </c>
      <c r="V44" s="65" t="str">
        <f t="shared" ca="1" si="105"/>
        <v>-</v>
      </c>
      <c r="W44" s="65" t="str">
        <f t="shared" ca="1" si="105"/>
        <v>-</v>
      </c>
      <c r="X44" s="65" t="str">
        <f t="shared" ca="1" si="105"/>
        <v>-</v>
      </c>
      <c r="Y44" s="65" t="str">
        <f t="shared" ca="1" si="105"/>
        <v>-</v>
      </c>
      <c r="Z44" s="65" t="str">
        <f t="shared" ca="1" si="105"/>
        <v>-</v>
      </c>
      <c r="AA44" s="65" t="str">
        <f t="shared" ca="1" si="105"/>
        <v>-</v>
      </c>
      <c r="AB44" s="65" t="str">
        <f t="shared" ca="1" si="105"/>
        <v>-</v>
      </c>
      <c r="AC44" s="65" t="str">
        <f t="shared" ca="1" si="105"/>
        <v>-</v>
      </c>
      <c r="AD44" s="65" t="str">
        <f t="shared" ca="1" si="105"/>
        <v>-</v>
      </c>
      <c r="AE44" s="65" t="str">
        <f t="shared" ca="1" si="105"/>
        <v>-</v>
      </c>
      <c r="AF44" s="65" t="str">
        <f t="shared" ca="1" si="106"/>
        <v>-</v>
      </c>
      <c r="AG44" s="65" t="str">
        <f t="shared" ca="1" si="106"/>
        <v>-</v>
      </c>
      <c r="AH44" s="65" t="str">
        <f t="shared" ca="1" si="106"/>
        <v>-</v>
      </c>
      <c r="AI44" s="65" t="str">
        <f t="shared" ca="1" si="106"/>
        <v>-</v>
      </c>
      <c r="AJ44" s="65" t="str">
        <f t="shared" ca="1" si="106"/>
        <v>-</v>
      </c>
      <c r="AK44" s="65" t="str">
        <f t="shared" ca="1" si="106"/>
        <v>-</v>
      </c>
      <c r="AL44" s="65" t="str">
        <f t="shared" ca="1" si="106"/>
        <v>-</v>
      </c>
      <c r="AM44" s="65" t="str">
        <f t="shared" ca="1" si="106"/>
        <v>-</v>
      </c>
      <c r="AN44" s="65" t="str">
        <f t="shared" ca="1" si="106"/>
        <v>-</v>
      </c>
      <c r="AO44" s="65" t="str">
        <f t="shared" ca="1" si="106"/>
        <v>-</v>
      </c>
      <c r="AP44" s="65" t="str">
        <f t="shared" ca="1" si="107"/>
        <v>-</v>
      </c>
      <c r="AQ44" s="65" t="str">
        <f t="shared" ca="1" si="107"/>
        <v>-</v>
      </c>
      <c r="AR44" s="65" t="str">
        <f t="shared" ca="1" si="107"/>
        <v>-</v>
      </c>
      <c r="AS44" s="65" t="str">
        <f t="shared" ca="1" si="107"/>
        <v>-</v>
      </c>
      <c r="AT44" s="65" t="str">
        <f t="shared" ca="1" si="107"/>
        <v>-</v>
      </c>
      <c r="AU44" s="65" t="str">
        <f t="shared" ca="1" si="107"/>
        <v>-</v>
      </c>
      <c r="AV44" s="65" t="str">
        <f t="shared" ca="1" si="107"/>
        <v>-</v>
      </c>
      <c r="AW44" s="65" t="str">
        <f t="shared" ca="1" si="107"/>
        <v>-</v>
      </c>
      <c r="AX44" s="65">
        <f t="shared" ca="1" si="107"/>
        <v>60</v>
      </c>
      <c r="AY44" s="65">
        <f t="shared" ca="1" si="107"/>
        <v>60</v>
      </c>
      <c r="AZ44" s="65">
        <f t="shared" ca="1" si="108"/>
        <v>60</v>
      </c>
      <c r="BA44" s="65">
        <f t="shared" ca="1" si="108"/>
        <v>60</v>
      </c>
      <c r="BB44" s="65">
        <f t="shared" ca="1" si="108"/>
        <v>60</v>
      </c>
      <c r="BC44" s="65">
        <f t="shared" ca="1" si="108"/>
        <v>60</v>
      </c>
      <c r="BD44" s="65">
        <f t="shared" ca="1" si="108"/>
        <v>60</v>
      </c>
      <c r="BE44" s="65">
        <f t="shared" ca="1" si="108"/>
        <v>60</v>
      </c>
      <c r="BF44" s="65">
        <f t="shared" ca="1" si="108"/>
        <v>60</v>
      </c>
      <c r="BG44" s="65">
        <f t="shared" ca="1" si="108"/>
        <v>60</v>
      </c>
      <c r="BH44" s="65">
        <f t="shared" ca="1" si="108"/>
        <v>60</v>
      </c>
      <c r="BI44" s="65">
        <f t="shared" ca="1" si="108"/>
        <v>60</v>
      </c>
      <c r="BJ44" s="65">
        <f t="shared" ca="1" si="109"/>
        <v>60</v>
      </c>
      <c r="BK44" s="65">
        <f ca="1">IF(AND(BK$2&gt;=$G44,BK$2&lt;($G44+$I44)),ROUND($F44/$I44,0),"-")</f>
        <v>60</v>
      </c>
      <c r="BL44" s="65">
        <f t="shared" ca="1" si="109"/>
        <v>60</v>
      </c>
      <c r="BM44" s="65">
        <f t="shared" ca="1" si="109"/>
        <v>60</v>
      </c>
      <c r="BN44" s="65">
        <f t="shared" ca="1" si="109"/>
        <v>60</v>
      </c>
      <c r="BO44" s="65">
        <f t="shared" ca="1" si="109"/>
        <v>60</v>
      </c>
      <c r="BP44" s="65">
        <f t="shared" ca="1" si="109"/>
        <v>60</v>
      </c>
      <c r="BQ44" s="65">
        <f t="shared" ca="1" si="109"/>
        <v>60</v>
      </c>
      <c r="BR44" s="65">
        <f t="shared" ca="1" si="109"/>
        <v>60</v>
      </c>
      <c r="BS44" s="65">
        <f t="shared" ca="1" si="109"/>
        <v>60</v>
      </c>
      <c r="BT44" s="65">
        <f t="shared" ca="1" si="110"/>
        <v>60</v>
      </c>
      <c r="BU44" s="65">
        <f t="shared" ca="1" si="110"/>
        <v>60</v>
      </c>
      <c r="BV44" s="65">
        <f t="shared" ca="1" si="110"/>
        <v>60</v>
      </c>
      <c r="BW44" s="65" t="str">
        <f t="shared" ca="1" si="110"/>
        <v>-</v>
      </c>
      <c r="BX44" s="65" t="str">
        <f t="shared" ca="1" si="110"/>
        <v>-</v>
      </c>
      <c r="BY44" s="65" t="str">
        <f t="shared" ca="1" si="110"/>
        <v>-</v>
      </c>
      <c r="BZ44" s="65" t="str">
        <f t="shared" ca="1" si="110"/>
        <v>-</v>
      </c>
      <c r="CA44" s="65" t="str">
        <f t="shared" ca="1" si="110"/>
        <v>-</v>
      </c>
      <c r="CB44" s="65" t="str">
        <f t="shared" ca="1" si="110"/>
        <v>-</v>
      </c>
      <c r="CC44" s="65" t="str">
        <f t="shared" ca="1" si="110"/>
        <v>-</v>
      </c>
      <c r="CD44" s="65" t="str">
        <f t="shared" ca="1" si="111"/>
        <v>-</v>
      </c>
      <c r="CE44" s="65" t="str">
        <f t="shared" ca="1" si="111"/>
        <v>-</v>
      </c>
      <c r="CF44" s="65" t="str">
        <f t="shared" ca="1" si="111"/>
        <v>-</v>
      </c>
      <c r="CG44" s="65" t="str">
        <f t="shared" ca="1" si="111"/>
        <v>-</v>
      </c>
      <c r="CH44" s="65" t="str">
        <f t="shared" ca="1" si="111"/>
        <v>-</v>
      </c>
      <c r="CI44" s="65" t="str">
        <f t="shared" ca="1" si="111"/>
        <v>-</v>
      </c>
      <c r="CJ44" s="65" t="str">
        <f t="shared" ca="1" si="111"/>
        <v>-</v>
      </c>
      <c r="CK44" s="65" t="str">
        <f t="shared" ca="1" si="111"/>
        <v>-</v>
      </c>
      <c r="CL44" s="65" t="str">
        <f t="shared" ca="1" si="111"/>
        <v>-</v>
      </c>
      <c r="CM44" s="65" t="str">
        <f t="shared" ca="1" si="111"/>
        <v>-</v>
      </c>
      <c r="CN44" s="65" t="str">
        <f t="shared" ca="1" si="112"/>
        <v>-</v>
      </c>
      <c r="CO44" s="65" t="str">
        <f t="shared" ca="1" si="112"/>
        <v>-</v>
      </c>
      <c r="CP44" s="65" t="str">
        <f t="shared" ca="1" si="112"/>
        <v>-</v>
      </c>
      <c r="CQ44" s="65" t="str">
        <f t="shared" ca="1" si="112"/>
        <v>-</v>
      </c>
      <c r="CR44" s="65" t="str">
        <f t="shared" ca="1" si="112"/>
        <v>-</v>
      </c>
      <c r="CS44" s="65" t="str">
        <f t="shared" ca="1" si="112"/>
        <v>-</v>
      </c>
      <c r="CT44" s="65" t="str">
        <f t="shared" ca="1" si="112"/>
        <v>-</v>
      </c>
      <c r="CU44" s="65" t="str">
        <f t="shared" ca="1" si="112"/>
        <v>-</v>
      </c>
      <c r="CV44" s="65" t="str">
        <f t="shared" ca="1" si="112"/>
        <v>-</v>
      </c>
      <c r="CW44" s="65" t="str">
        <f t="shared" ca="1" si="112"/>
        <v>-</v>
      </c>
      <c r="CX44" s="65" t="str">
        <f t="shared" ca="1" si="113"/>
        <v>-</v>
      </c>
      <c r="CY44" s="65" t="str">
        <f t="shared" ca="1" si="113"/>
        <v>-</v>
      </c>
      <c r="CZ44" s="65" t="str">
        <f t="shared" ca="1" si="113"/>
        <v>-</v>
      </c>
      <c r="DA44" s="65" t="str">
        <f t="shared" ca="1" si="113"/>
        <v>-</v>
      </c>
      <c r="DB44" s="65" t="str">
        <f t="shared" ca="1" si="113"/>
        <v>-</v>
      </c>
      <c r="DC44" s="65" t="str">
        <f t="shared" ca="1" si="113"/>
        <v>-</v>
      </c>
      <c r="DD44" s="65" t="str">
        <f t="shared" ca="1" si="113"/>
        <v>-</v>
      </c>
      <c r="DE44" s="65" t="str">
        <f t="shared" ca="1" si="113"/>
        <v>-</v>
      </c>
      <c r="DF44" s="65" t="str">
        <f t="shared" ca="1" si="113"/>
        <v>-</v>
      </c>
      <c r="DG44" s="65" t="str">
        <f t="shared" ca="1" si="113"/>
        <v>-</v>
      </c>
      <c r="DH44" s="65" t="str">
        <f t="shared" ca="1" si="114"/>
        <v>-</v>
      </c>
      <c r="DI44" s="65" t="str">
        <f t="shared" ca="1" si="114"/>
        <v>-</v>
      </c>
      <c r="DJ44" s="65" t="str">
        <f t="shared" ca="1" si="114"/>
        <v>-</v>
      </c>
      <c r="DK44" s="65" t="str">
        <f t="shared" ca="1" si="114"/>
        <v>-</v>
      </c>
      <c r="DL44" s="65" t="str">
        <f t="shared" ca="1" si="114"/>
        <v>-</v>
      </c>
      <c r="DM44" s="65" t="str">
        <f t="shared" ca="1" si="114"/>
        <v>-</v>
      </c>
      <c r="DN44" s="65" t="str">
        <f t="shared" ca="1" si="114"/>
        <v>-</v>
      </c>
      <c r="DO44" s="65" t="str">
        <f t="shared" ca="1" si="114"/>
        <v>-</v>
      </c>
      <c r="DP44" s="65" t="str">
        <f t="shared" ca="1" si="114"/>
        <v>-</v>
      </c>
      <c r="DQ44" s="65" t="str">
        <f t="shared" ca="1" si="114"/>
        <v>-</v>
      </c>
      <c r="DR44" s="65" t="str">
        <f t="shared" ca="1" si="115"/>
        <v>-</v>
      </c>
      <c r="DS44" s="65" t="str">
        <f t="shared" ca="1" si="115"/>
        <v>-</v>
      </c>
      <c r="DT44" s="65" t="str">
        <f t="shared" ca="1" si="115"/>
        <v>-</v>
      </c>
      <c r="DU44" s="65" t="str">
        <f t="shared" ca="1" si="115"/>
        <v>-</v>
      </c>
      <c r="DV44" s="65" t="str">
        <f t="shared" ca="1" si="115"/>
        <v>-</v>
      </c>
      <c r="DW44" s="65" t="str">
        <f t="shared" ca="1" si="115"/>
        <v>-</v>
      </c>
      <c r="DX44" s="65" t="str">
        <f t="shared" ca="1" si="115"/>
        <v>-</v>
      </c>
      <c r="DY44" s="65" t="str">
        <f t="shared" ca="1" si="115"/>
        <v>-</v>
      </c>
      <c r="DZ44" s="65" t="str">
        <f t="shared" ca="1" si="115"/>
        <v>-</v>
      </c>
      <c r="EA44" s="65" t="str">
        <f t="shared" ca="1" si="115"/>
        <v>-</v>
      </c>
      <c r="EB44" s="65" t="str">
        <f t="shared" ca="1" si="116"/>
        <v>-</v>
      </c>
      <c r="EC44" s="65" t="str">
        <f t="shared" ca="1" si="116"/>
        <v>-</v>
      </c>
      <c r="ED44" s="65" t="str">
        <f t="shared" ca="1" si="116"/>
        <v>-</v>
      </c>
      <c r="EE44" s="65" t="str">
        <f t="shared" ca="1" si="116"/>
        <v>-</v>
      </c>
      <c r="EF44" s="65" t="str">
        <f t="shared" ca="1" si="116"/>
        <v>-</v>
      </c>
      <c r="EG44" s="65" t="str">
        <f t="shared" ca="1" si="116"/>
        <v>-</v>
      </c>
      <c r="EH44" s="65" t="str">
        <f t="shared" ca="1" si="116"/>
        <v>-</v>
      </c>
      <c r="EI44" s="65" t="str">
        <f t="shared" ca="1" si="116"/>
        <v>-</v>
      </c>
      <c r="EJ44" s="65" t="str">
        <f t="shared" ca="1" si="116"/>
        <v>-</v>
      </c>
      <c r="EK44" s="65" t="str">
        <f t="shared" ca="1" si="116"/>
        <v>-</v>
      </c>
      <c r="EL44" s="65" t="str">
        <f t="shared" ca="1" si="116"/>
        <v>-</v>
      </c>
      <c r="EM44" s="65" t="str">
        <f t="shared" ca="1" si="116"/>
        <v>-</v>
      </c>
      <c r="EN44" s="65" t="str">
        <f t="shared" ca="1" si="116"/>
        <v>-</v>
      </c>
    </row>
    <row r="45" spans="1:146">
      <c r="A45" s="448"/>
      <c r="B45" s="451"/>
      <c r="C45" s="451"/>
      <c r="D45" s="466"/>
      <c r="E45" s="185" t="s">
        <v>66</v>
      </c>
      <c r="F45" s="66">
        <f>SUM('BESS 11'!S256,'BESS 11'!S260,'BESS 11'!S264:S265,461)</f>
        <v>1993.0666666666668</v>
      </c>
      <c r="G45" s="182">
        <f ca="1">G44+5</f>
        <v>46238</v>
      </c>
      <c r="H45" s="182">
        <f ca="1">G45+25</f>
        <v>46263</v>
      </c>
      <c r="I45" s="65">
        <f ca="1">H45-G45</f>
        <v>25</v>
      </c>
      <c r="J45" s="453"/>
      <c r="K45" s="445"/>
      <c r="L45" s="65" t="str">
        <f t="shared" ca="1" si="104"/>
        <v>-</v>
      </c>
      <c r="M45" s="65" t="str">
        <f t="shared" ca="1" si="104"/>
        <v>-</v>
      </c>
      <c r="N45" s="65" t="str">
        <f t="shared" ca="1" si="104"/>
        <v>-</v>
      </c>
      <c r="O45" s="65" t="str">
        <f t="shared" ca="1" si="104"/>
        <v>-</v>
      </c>
      <c r="P45" s="65" t="str">
        <f t="shared" ca="1" si="104"/>
        <v>-</v>
      </c>
      <c r="Q45" s="65" t="str">
        <f t="shared" ca="1" si="104"/>
        <v>-</v>
      </c>
      <c r="R45" s="65" t="str">
        <f t="shared" ca="1" si="104"/>
        <v>-</v>
      </c>
      <c r="S45" s="65" t="str">
        <f t="shared" ca="1" si="104"/>
        <v>-</v>
      </c>
      <c r="T45" s="65" t="str">
        <f t="shared" ca="1" si="104"/>
        <v>-</v>
      </c>
      <c r="U45" s="65" t="str">
        <f t="shared" ca="1" si="104"/>
        <v>-</v>
      </c>
      <c r="V45" s="65" t="str">
        <f t="shared" ca="1" si="105"/>
        <v>-</v>
      </c>
      <c r="W45" s="65" t="str">
        <f t="shared" ca="1" si="105"/>
        <v>-</v>
      </c>
      <c r="X45" s="65" t="str">
        <f t="shared" ca="1" si="105"/>
        <v>-</v>
      </c>
      <c r="Y45" s="65" t="str">
        <f t="shared" ca="1" si="105"/>
        <v>-</v>
      </c>
      <c r="Z45" s="65" t="str">
        <f t="shared" ca="1" si="105"/>
        <v>-</v>
      </c>
      <c r="AA45" s="65" t="str">
        <f t="shared" ca="1" si="105"/>
        <v>-</v>
      </c>
      <c r="AB45" s="65" t="str">
        <f t="shared" ca="1" si="105"/>
        <v>-</v>
      </c>
      <c r="AC45" s="65" t="str">
        <f t="shared" ca="1" si="105"/>
        <v>-</v>
      </c>
      <c r="AD45" s="65" t="str">
        <f t="shared" ca="1" si="105"/>
        <v>-</v>
      </c>
      <c r="AE45" s="65" t="str">
        <f t="shared" ca="1" si="105"/>
        <v>-</v>
      </c>
      <c r="AF45" s="65" t="str">
        <f t="shared" ca="1" si="106"/>
        <v>-</v>
      </c>
      <c r="AG45" s="65" t="str">
        <f t="shared" ca="1" si="106"/>
        <v>-</v>
      </c>
      <c r="AH45" s="65" t="str">
        <f t="shared" ca="1" si="106"/>
        <v>-</v>
      </c>
      <c r="AI45" s="65" t="str">
        <f t="shared" ca="1" si="106"/>
        <v>-</v>
      </c>
      <c r="AJ45" s="65" t="str">
        <f t="shared" ca="1" si="106"/>
        <v>-</v>
      </c>
      <c r="AK45" s="65" t="str">
        <f t="shared" ca="1" si="106"/>
        <v>-</v>
      </c>
      <c r="AL45" s="65" t="str">
        <f t="shared" ca="1" si="106"/>
        <v>-</v>
      </c>
      <c r="AM45" s="65" t="str">
        <f t="shared" ca="1" si="106"/>
        <v>-</v>
      </c>
      <c r="AN45" s="65" t="str">
        <f t="shared" ca="1" si="106"/>
        <v>-</v>
      </c>
      <c r="AO45" s="65" t="str">
        <f t="shared" ca="1" si="106"/>
        <v>-</v>
      </c>
      <c r="AP45" s="65" t="str">
        <f t="shared" ca="1" si="107"/>
        <v>-</v>
      </c>
      <c r="AQ45" s="65" t="str">
        <f t="shared" ca="1" si="107"/>
        <v>-</v>
      </c>
      <c r="AR45" s="65" t="str">
        <f t="shared" ca="1" si="107"/>
        <v>-</v>
      </c>
      <c r="AS45" s="65" t="str">
        <f t="shared" ca="1" si="107"/>
        <v>-</v>
      </c>
      <c r="AT45" s="65" t="str">
        <f t="shared" ca="1" si="107"/>
        <v>-</v>
      </c>
      <c r="AU45" s="65" t="str">
        <f t="shared" ca="1" si="107"/>
        <v>-</v>
      </c>
      <c r="AV45" s="65" t="str">
        <f t="shared" ca="1" si="107"/>
        <v>-</v>
      </c>
      <c r="AW45" s="65" t="str">
        <f t="shared" ca="1" si="107"/>
        <v>-</v>
      </c>
      <c r="AX45" s="65" t="str">
        <f t="shared" ca="1" si="107"/>
        <v>-</v>
      </c>
      <c r="AY45" s="65" t="str">
        <f t="shared" ca="1" si="107"/>
        <v>-</v>
      </c>
      <c r="AZ45" s="65" t="str">
        <f t="shared" ca="1" si="108"/>
        <v>-</v>
      </c>
      <c r="BA45" s="65" t="str">
        <f t="shared" ca="1" si="108"/>
        <v>-</v>
      </c>
      <c r="BB45" s="65" t="str">
        <f t="shared" ca="1" si="108"/>
        <v>-</v>
      </c>
      <c r="BC45" s="65">
        <f t="shared" ca="1" si="108"/>
        <v>80</v>
      </c>
      <c r="BD45" s="65">
        <f t="shared" ca="1" si="108"/>
        <v>80</v>
      </c>
      <c r="BE45" s="65">
        <f t="shared" ca="1" si="108"/>
        <v>80</v>
      </c>
      <c r="BF45" s="65">
        <f t="shared" ca="1" si="108"/>
        <v>80</v>
      </c>
      <c r="BG45" s="65">
        <f t="shared" ca="1" si="108"/>
        <v>80</v>
      </c>
      <c r="BH45" s="65">
        <v>136</v>
      </c>
      <c r="BI45" s="65">
        <v>136</v>
      </c>
      <c r="BJ45" s="65">
        <v>136</v>
      </c>
      <c r="BK45" s="65">
        <v>136</v>
      </c>
      <c r="BL45" s="65">
        <f t="shared" ca="1" si="109"/>
        <v>80</v>
      </c>
      <c r="BM45" s="65">
        <f t="shared" ca="1" si="109"/>
        <v>80</v>
      </c>
      <c r="BN45" s="65">
        <f t="shared" ca="1" si="109"/>
        <v>80</v>
      </c>
      <c r="BO45" s="65">
        <f t="shared" ca="1" si="109"/>
        <v>80</v>
      </c>
      <c r="BP45" s="65">
        <f t="shared" ca="1" si="109"/>
        <v>80</v>
      </c>
      <c r="BQ45" s="65">
        <f t="shared" ca="1" si="109"/>
        <v>80</v>
      </c>
      <c r="BR45" s="65">
        <f t="shared" ca="1" si="109"/>
        <v>80</v>
      </c>
      <c r="BS45" s="65">
        <f t="shared" ca="1" si="109"/>
        <v>80</v>
      </c>
      <c r="BT45" s="65">
        <f t="shared" ca="1" si="110"/>
        <v>80</v>
      </c>
      <c r="BU45" s="65">
        <f t="shared" ca="1" si="110"/>
        <v>80</v>
      </c>
      <c r="BV45" s="65">
        <f t="shared" ca="1" si="110"/>
        <v>80</v>
      </c>
      <c r="BW45" s="65">
        <f t="shared" ca="1" si="110"/>
        <v>80</v>
      </c>
      <c r="BX45" s="65">
        <f t="shared" ca="1" si="110"/>
        <v>80</v>
      </c>
      <c r="BY45" s="65">
        <f t="shared" ca="1" si="110"/>
        <v>80</v>
      </c>
      <c r="BZ45" s="65">
        <f t="shared" ca="1" si="110"/>
        <v>80</v>
      </c>
      <c r="CA45" s="65">
        <f t="shared" ca="1" si="110"/>
        <v>80</v>
      </c>
      <c r="CB45" s="65" t="str">
        <f t="shared" ca="1" si="110"/>
        <v>-</v>
      </c>
      <c r="CC45" s="65" t="str">
        <f t="shared" ca="1" si="110"/>
        <v>-</v>
      </c>
      <c r="CD45" s="65" t="str">
        <f t="shared" ca="1" si="111"/>
        <v>-</v>
      </c>
      <c r="CE45" s="65" t="str">
        <f t="shared" ca="1" si="111"/>
        <v>-</v>
      </c>
      <c r="CF45" s="65" t="str">
        <f t="shared" ca="1" si="111"/>
        <v>-</v>
      </c>
      <c r="CG45" s="65" t="str">
        <f t="shared" ca="1" si="111"/>
        <v>-</v>
      </c>
      <c r="CH45" s="65" t="str">
        <f t="shared" ca="1" si="111"/>
        <v>-</v>
      </c>
      <c r="CI45" s="65" t="str">
        <f t="shared" ca="1" si="111"/>
        <v>-</v>
      </c>
      <c r="CJ45" s="65" t="str">
        <f t="shared" ca="1" si="111"/>
        <v>-</v>
      </c>
      <c r="CK45" s="65" t="str">
        <f t="shared" ca="1" si="111"/>
        <v>-</v>
      </c>
      <c r="CL45" s="65" t="str">
        <f t="shared" ca="1" si="111"/>
        <v>-</v>
      </c>
      <c r="CM45" s="65" t="str">
        <f t="shared" ca="1" si="111"/>
        <v>-</v>
      </c>
      <c r="CN45" s="65" t="str">
        <f t="shared" ca="1" si="112"/>
        <v>-</v>
      </c>
      <c r="CO45" s="65" t="str">
        <f t="shared" ca="1" si="112"/>
        <v>-</v>
      </c>
      <c r="CP45" s="65" t="str">
        <f t="shared" ca="1" si="112"/>
        <v>-</v>
      </c>
      <c r="CQ45" s="65" t="str">
        <f t="shared" ca="1" si="112"/>
        <v>-</v>
      </c>
      <c r="CR45" s="65" t="str">
        <f t="shared" ca="1" si="112"/>
        <v>-</v>
      </c>
      <c r="CS45" s="65" t="str">
        <f t="shared" ca="1" si="112"/>
        <v>-</v>
      </c>
      <c r="CT45" s="65" t="str">
        <f t="shared" ca="1" si="112"/>
        <v>-</v>
      </c>
      <c r="CU45" s="65" t="str">
        <f t="shared" ca="1" si="112"/>
        <v>-</v>
      </c>
      <c r="CV45" s="65" t="str">
        <f t="shared" ca="1" si="112"/>
        <v>-</v>
      </c>
      <c r="CW45" s="65" t="str">
        <f t="shared" ca="1" si="112"/>
        <v>-</v>
      </c>
      <c r="CX45" s="65" t="str">
        <f t="shared" ca="1" si="113"/>
        <v>-</v>
      </c>
      <c r="CY45" s="65" t="str">
        <f t="shared" ca="1" si="113"/>
        <v>-</v>
      </c>
      <c r="CZ45" s="65" t="str">
        <f t="shared" ca="1" si="113"/>
        <v>-</v>
      </c>
      <c r="DA45" s="65" t="str">
        <f t="shared" ca="1" si="113"/>
        <v>-</v>
      </c>
      <c r="DB45" s="65" t="str">
        <f t="shared" ca="1" si="113"/>
        <v>-</v>
      </c>
      <c r="DC45" s="65" t="str">
        <f t="shared" ca="1" si="113"/>
        <v>-</v>
      </c>
      <c r="DD45" s="65" t="str">
        <f t="shared" ca="1" si="113"/>
        <v>-</v>
      </c>
      <c r="DE45" s="65" t="str">
        <f t="shared" ca="1" si="113"/>
        <v>-</v>
      </c>
      <c r="DF45" s="65" t="str">
        <f t="shared" ca="1" si="113"/>
        <v>-</v>
      </c>
      <c r="DG45" s="65" t="str">
        <f t="shared" ca="1" si="113"/>
        <v>-</v>
      </c>
      <c r="DH45" s="65" t="str">
        <f t="shared" ca="1" si="114"/>
        <v>-</v>
      </c>
      <c r="DI45" s="65" t="str">
        <f t="shared" ca="1" si="114"/>
        <v>-</v>
      </c>
      <c r="DJ45" s="65" t="str">
        <f t="shared" ca="1" si="114"/>
        <v>-</v>
      </c>
      <c r="DK45" s="65" t="str">
        <f t="shared" ca="1" si="114"/>
        <v>-</v>
      </c>
      <c r="DL45" s="65" t="str">
        <f t="shared" ca="1" si="114"/>
        <v>-</v>
      </c>
      <c r="DM45" s="65" t="str">
        <f t="shared" ca="1" si="114"/>
        <v>-</v>
      </c>
      <c r="DN45" s="65" t="str">
        <f t="shared" ca="1" si="114"/>
        <v>-</v>
      </c>
      <c r="DO45" s="65" t="str">
        <f t="shared" ca="1" si="114"/>
        <v>-</v>
      </c>
      <c r="DP45" s="65" t="str">
        <f t="shared" ca="1" si="114"/>
        <v>-</v>
      </c>
      <c r="DQ45" s="65" t="str">
        <f t="shared" ca="1" si="114"/>
        <v>-</v>
      </c>
      <c r="DR45" s="65" t="str">
        <f t="shared" ca="1" si="115"/>
        <v>-</v>
      </c>
      <c r="DS45" s="65" t="str">
        <f t="shared" ca="1" si="115"/>
        <v>-</v>
      </c>
      <c r="DT45" s="65" t="str">
        <f t="shared" ca="1" si="115"/>
        <v>-</v>
      </c>
      <c r="DU45" s="65" t="str">
        <f t="shared" ca="1" si="115"/>
        <v>-</v>
      </c>
      <c r="DV45" s="65" t="str">
        <f t="shared" ca="1" si="115"/>
        <v>-</v>
      </c>
      <c r="DW45" s="65" t="str">
        <f t="shared" ca="1" si="115"/>
        <v>-</v>
      </c>
      <c r="DX45" s="65" t="str">
        <f t="shared" ca="1" si="115"/>
        <v>-</v>
      </c>
      <c r="DY45" s="65" t="str">
        <f t="shared" ca="1" si="115"/>
        <v>-</v>
      </c>
      <c r="DZ45" s="65" t="str">
        <f t="shared" ca="1" si="115"/>
        <v>-</v>
      </c>
      <c r="EA45" s="65" t="str">
        <f t="shared" ca="1" si="115"/>
        <v>-</v>
      </c>
      <c r="EB45" s="65" t="str">
        <f t="shared" ca="1" si="116"/>
        <v>-</v>
      </c>
      <c r="EC45" s="65" t="str">
        <f t="shared" ca="1" si="116"/>
        <v>-</v>
      </c>
      <c r="ED45" s="65" t="str">
        <f t="shared" ca="1" si="116"/>
        <v>-</v>
      </c>
      <c r="EE45" s="65" t="str">
        <f t="shared" ca="1" si="116"/>
        <v>-</v>
      </c>
      <c r="EF45" s="65" t="str">
        <f t="shared" ca="1" si="116"/>
        <v>-</v>
      </c>
      <c r="EG45" s="65" t="str">
        <f t="shared" ca="1" si="116"/>
        <v>-</v>
      </c>
      <c r="EH45" s="65" t="str">
        <f t="shared" ca="1" si="116"/>
        <v>-</v>
      </c>
      <c r="EI45" s="65" t="str">
        <f t="shared" ca="1" si="116"/>
        <v>-</v>
      </c>
      <c r="EJ45" s="65" t="str">
        <f t="shared" ca="1" si="116"/>
        <v>-</v>
      </c>
      <c r="EK45" s="65" t="str">
        <f t="shared" ca="1" si="116"/>
        <v>-</v>
      </c>
      <c r="EL45" s="65" t="str">
        <f t="shared" ca="1" si="116"/>
        <v>-</v>
      </c>
      <c r="EM45" s="65" t="str">
        <f t="shared" ca="1" si="116"/>
        <v>-</v>
      </c>
      <c r="EN45" s="65" t="str">
        <f t="shared" ca="1" si="116"/>
        <v>-</v>
      </c>
    </row>
    <row r="46" spans="1:146">
      <c r="A46" s="448"/>
      <c r="B46" s="451"/>
      <c r="C46" s="451"/>
      <c r="D46" s="466"/>
      <c r="E46" s="185" t="s">
        <v>67</v>
      </c>
      <c r="F46" s="66">
        <f>SUM('BESS 11'!S268:S276)</f>
        <v>340.69333333333333</v>
      </c>
      <c r="G46" s="182">
        <f ca="1">H45-10</f>
        <v>46253</v>
      </c>
      <c r="H46" s="182">
        <f ca="1">G46+14</f>
        <v>46267</v>
      </c>
      <c r="I46" s="65">
        <f ca="1">H46-G46</f>
        <v>14</v>
      </c>
      <c r="J46" s="453"/>
      <c r="K46" s="445"/>
      <c r="L46" s="65" t="str">
        <f t="shared" ca="1" si="104"/>
        <v>-</v>
      </c>
      <c r="M46" s="65" t="str">
        <f t="shared" ca="1" si="104"/>
        <v>-</v>
      </c>
      <c r="N46" s="65" t="str">
        <f t="shared" ca="1" si="104"/>
        <v>-</v>
      </c>
      <c r="O46" s="65" t="str">
        <f t="shared" ca="1" si="104"/>
        <v>-</v>
      </c>
      <c r="P46" s="65" t="str">
        <f t="shared" ca="1" si="104"/>
        <v>-</v>
      </c>
      <c r="Q46" s="65" t="str">
        <f t="shared" ca="1" si="104"/>
        <v>-</v>
      </c>
      <c r="R46" s="65" t="str">
        <f t="shared" ca="1" si="104"/>
        <v>-</v>
      </c>
      <c r="S46" s="65" t="str">
        <f t="shared" ca="1" si="104"/>
        <v>-</v>
      </c>
      <c r="T46" s="65" t="str">
        <f t="shared" ca="1" si="104"/>
        <v>-</v>
      </c>
      <c r="U46" s="65" t="str">
        <f t="shared" ca="1" si="104"/>
        <v>-</v>
      </c>
      <c r="V46" s="65" t="str">
        <f t="shared" ca="1" si="105"/>
        <v>-</v>
      </c>
      <c r="W46" s="65" t="str">
        <f t="shared" ca="1" si="105"/>
        <v>-</v>
      </c>
      <c r="X46" s="65" t="str">
        <f t="shared" ca="1" si="105"/>
        <v>-</v>
      </c>
      <c r="Y46" s="65" t="str">
        <f t="shared" ca="1" si="105"/>
        <v>-</v>
      </c>
      <c r="Z46" s="65" t="str">
        <f t="shared" ca="1" si="105"/>
        <v>-</v>
      </c>
      <c r="AA46" s="65" t="str">
        <f t="shared" ca="1" si="105"/>
        <v>-</v>
      </c>
      <c r="AB46" s="65" t="str">
        <f t="shared" ca="1" si="105"/>
        <v>-</v>
      </c>
      <c r="AC46" s="65" t="str">
        <f t="shared" ca="1" si="105"/>
        <v>-</v>
      </c>
      <c r="AD46" s="65" t="str">
        <f t="shared" ca="1" si="105"/>
        <v>-</v>
      </c>
      <c r="AE46" s="65" t="str">
        <f t="shared" ca="1" si="105"/>
        <v>-</v>
      </c>
      <c r="AF46" s="65" t="str">
        <f t="shared" ca="1" si="106"/>
        <v>-</v>
      </c>
      <c r="AG46" s="65" t="str">
        <f t="shared" ca="1" si="106"/>
        <v>-</v>
      </c>
      <c r="AH46" s="65" t="str">
        <f t="shared" ca="1" si="106"/>
        <v>-</v>
      </c>
      <c r="AI46" s="65" t="str">
        <f t="shared" ca="1" si="106"/>
        <v>-</v>
      </c>
      <c r="AJ46" s="65" t="str">
        <f t="shared" ca="1" si="106"/>
        <v>-</v>
      </c>
      <c r="AK46" s="65" t="str">
        <f t="shared" ca="1" si="106"/>
        <v>-</v>
      </c>
      <c r="AL46" s="65" t="str">
        <f t="shared" ca="1" si="106"/>
        <v>-</v>
      </c>
      <c r="AM46" s="65" t="str">
        <f t="shared" ca="1" si="106"/>
        <v>-</v>
      </c>
      <c r="AN46" s="65" t="str">
        <f t="shared" ca="1" si="106"/>
        <v>-</v>
      </c>
      <c r="AO46" s="65" t="str">
        <f t="shared" ca="1" si="106"/>
        <v>-</v>
      </c>
      <c r="AP46" s="65" t="str">
        <f t="shared" ca="1" si="107"/>
        <v>-</v>
      </c>
      <c r="AQ46" s="65" t="str">
        <f t="shared" ca="1" si="107"/>
        <v>-</v>
      </c>
      <c r="AR46" s="65" t="str">
        <f t="shared" ca="1" si="107"/>
        <v>-</v>
      </c>
      <c r="AS46" s="65" t="str">
        <f t="shared" ca="1" si="107"/>
        <v>-</v>
      </c>
      <c r="AT46" s="65" t="str">
        <f t="shared" ca="1" si="107"/>
        <v>-</v>
      </c>
      <c r="AU46" s="65" t="str">
        <f t="shared" ca="1" si="107"/>
        <v>-</v>
      </c>
      <c r="AV46" s="65" t="str">
        <f t="shared" ca="1" si="107"/>
        <v>-</v>
      </c>
      <c r="AW46" s="65" t="str">
        <f t="shared" ca="1" si="107"/>
        <v>-</v>
      </c>
      <c r="AX46" s="65" t="str">
        <f t="shared" ca="1" si="107"/>
        <v>-</v>
      </c>
      <c r="AY46" s="65" t="str">
        <f t="shared" ca="1" si="107"/>
        <v>-</v>
      </c>
      <c r="AZ46" s="65" t="str">
        <f t="shared" ca="1" si="108"/>
        <v>-</v>
      </c>
      <c r="BA46" s="65" t="str">
        <f t="shared" ca="1" si="108"/>
        <v>-</v>
      </c>
      <c r="BB46" s="65" t="str">
        <f t="shared" ca="1" si="108"/>
        <v>-</v>
      </c>
      <c r="BC46" s="65" t="str">
        <f t="shared" ca="1" si="108"/>
        <v>-</v>
      </c>
      <c r="BD46" s="65" t="str">
        <f t="shared" ca="1" si="108"/>
        <v>-</v>
      </c>
      <c r="BE46" s="65" t="str">
        <f t="shared" ca="1" si="108"/>
        <v>-</v>
      </c>
      <c r="BF46" s="65" t="str">
        <f t="shared" ca="1" si="108"/>
        <v>-</v>
      </c>
      <c r="BG46" s="65" t="str">
        <f t="shared" ca="1" si="108"/>
        <v>-</v>
      </c>
      <c r="BH46" s="65" t="str">
        <f t="shared" ca="1" si="108"/>
        <v>-</v>
      </c>
      <c r="BI46" s="65" t="str">
        <f t="shared" ca="1" si="108"/>
        <v>-</v>
      </c>
      <c r="BJ46" s="65" t="str">
        <f t="shared" ca="1" si="109"/>
        <v>-</v>
      </c>
      <c r="BK46" s="65" t="str">
        <f t="shared" ca="1" si="109"/>
        <v>-</v>
      </c>
      <c r="BL46" s="65" t="str">
        <f t="shared" ca="1" si="109"/>
        <v>-</v>
      </c>
      <c r="BM46" s="65" t="str">
        <f t="shared" ca="1" si="109"/>
        <v>-</v>
      </c>
      <c r="BN46" s="65" t="str">
        <f t="shared" ca="1" si="109"/>
        <v>-</v>
      </c>
      <c r="BO46" s="65" t="str">
        <f t="shared" ca="1" si="109"/>
        <v>-</v>
      </c>
      <c r="BP46" s="65" t="str">
        <f t="shared" ca="1" si="109"/>
        <v>-</v>
      </c>
      <c r="BQ46" s="65" t="str">
        <f t="shared" ca="1" si="109"/>
        <v>-</v>
      </c>
      <c r="BR46" s="65">
        <f t="shared" ca="1" si="109"/>
        <v>24</v>
      </c>
      <c r="BS46" s="65">
        <f t="shared" ca="1" si="109"/>
        <v>24</v>
      </c>
      <c r="BT46" s="65">
        <f t="shared" ca="1" si="110"/>
        <v>24</v>
      </c>
      <c r="BU46" s="65">
        <f t="shared" ca="1" si="110"/>
        <v>24</v>
      </c>
      <c r="BV46" s="65">
        <f t="shared" ca="1" si="110"/>
        <v>24</v>
      </c>
      <c r="BW46" s="65">
        <f t="shared" ca="1" si="110"/>
        <v>24</v>
      </c>
      <c r="BX46" s="65">
        <f t="shared" ca="1" si="110"/>
        <v>24</v>
      </c>
      <c r="BY46" s="65">
        <f t="shared" ca="1" si="110"/>
        <v>24</v>
      </c>
      <c r="BZ46" s="65">
        <f t="shared" ca="1" si="110"/>
        <v>24</v>
      </c>
      <c r="CA46" s="65">
        <f t="shared" ca="1" si="110"/>
        <v>24</v>
      </c>
      <c r="CB46" s="65">
        <f t="shared" ca="1" si="110"/>
        <v>24</v>
      </c>
      <c r="CC46" s="65">
        <f t="shared" ca="1" si="110"/>
        <v>24</v>
      </c>
      <c r="CD46" s="65">
        <f t="shared" ca="1" si="111"/>
        <v>24</v>
      </c>
      <c r="CE46" s="65">
        <f t="shared" ca="1" si="111"/>
        <v>24</v>
      </c>
      <c r="CF46" s="164" t="str">
        <f t="shared" ca="1" si="111"/>
        <v>-</v>
      </c>
      <c r="CG46" s="164" t="str">
        <f t="shared" ca="1" si="111"/>
        <v>-</v>
      </c>
      <c r="CH46" s="164" t="str">
        <f t="shared" ca="1" si="111"/>
        <v>-</v>
      </c>
      <c r="CI46" s="164" t="str">
        <f t="shared" ca="1" si="111"/>
        <v>-</v>
      </c>
      <c r="CJ46" s="164" t="str">
        <f t="shared" ca="1" si="111"/>
        <v>-</v>
      </c>
      <c r="CK46" s="164" t="str">
        <f t="shared" ca="1" si="111"/>
        <v>-</v>
      </c>
      <c r="CL46" s="164" t="str">
        <f t="shared" ca="1" si="111"/>
        <v>-</v>
      </c>
      <c r="CM46" s="164" t="str">
        <f t="shared" ca="1" si="111"/>
        <v>-</v>
      </c>
      <c r="CN46" s="164" t="str">
        <f t="shared" ca="1" si="112"/>
        <v>-</v>
      </c>
      <c r="CO46" s="164" t="str">
        <f t="shared" ca="1" si="112"/>
        <v>-</v>
      </c>
      <c r="CP46" s="164" t="str">
        <f t="shared" ca="1" si="112"/>
        <v>-</v>
      </c>
      <c r="CQ46" s="164" t="str">
        <f t="shared" ca="1" si="112"/>
        <v>-</v>
      </c>
      <c r="CR46" s="164" t="str">
        <f t="shared" ca="1" si="112"/>
        <v>-</v>
      </c>
      <c r="CS46" s="164" t="str">
        <f t="shared" ca="1" si="112"/>
        <v>-</v>
      </c>
      <c r="CT46" s="164" t="str">
        <f t="shared" ca="1" si="112"/>
        <v>-</v>
      </c>
      <c r="CU46" s="164" t="str">
        <f t="shared" ca="1" si="112"/>
        <v>-</v>
      </c>
      <c r="CV46" s="164" t="str">
        <f t="shared" ca="1" si="112"/>
        <v>-</v>
      </c>
      <c r="CW46" s="164" t="str">
        <f t="shared" ca="1" si="112"/>
        <v>-</v>
      </c>
      <c r="CX46" s="164" t="str">
        <f t="shared" ca="1" si="113"/>
        <v>-</v>
      </c>
      <c r="CY46" s="164" t="str">
        <f t="shared" ca="1" si="113"/>
        <v>-</v>
      </c>
      <c r="CZ46" s="164" t="str">
        <f t="shared" ca="1" si="113"/>
        <v>-</v>
      </c>
      <c r="DA46" s="164" t="str">
        <f t="shared" ca="1" si="113"/>
        <v>-</v>
      </c>
      <c r="DB46" s="164" t="str">
        <f t="shared" ca="1" si="113"/>
        <v>-</v>
      </c>
      <c r="DC46" s="164" t="str">
        <f t="shared" ca="1" si="113"/>
        <v>-</v>
      </c>
      <c r="DD46" s="164" t="str">
        <f t="shared" ca="1" si="113"/>
        <v>-</v>
      </c>
      <c r="DE46" s="164" t="str">
        <f t="shared" ca="1" si="113"/>
        <v>-</v>
      </c>
      <c r="DF46" s="164" t="str">
        <f t="shared" ca="1" si="113"/>
        <v>-</v>
      </c>
      <c r="DG46" s="164" t="str">
        <f t="shared" ca="1" si="113"/>
        <v>-</v>
      </c>
      <c r="DH46" s="164" t="str">
        <f t="shared" ca="1" si="114"/>
        <v>-</v>
      </c>
      <c r="DI46" s="164" t="str">
        <f t="shared" ca="1" si="114"/>
        <v>-</v>
      </c>
      <c r="DJ46" s="164" t="str">
        <f t="shared" ca="1" si="114"/>
        <v>-</v>
      </c>
      <c r="DK46" s="164" t="str">
        <f t="shared" ca="1" si="114"/>
        <v>-</v>
      </c>
      <c r="DL46" s="164" t="str">
        <f t="shared" ca="1" si="114"/>
        <v>-</v>
      </c>
      <c r="DM46" s="164" t="str">
        <f t="shared" ca="1" si="114"/>
        <v>-</v>
      </c>
      <c r="DN46" s="164" t="str">
        <f t="shared" ca="1" si="114"/>
        <v>-</v>
      </c>
      <c r="DO46" s="164" t="str">
        <f t="shared" ca="1" si="114"/>
        <v>-</v>
      </c>
      <c r="DP46" s="164" t="str">
        <f t="shared" ca="1" si="114"/>
        <v>-</v>
      </c>
      <c r="DQ46" s="164" t="str">
        <f t="shared" ca="1" si="114"/>
        <v>-</v>
      </c>
      <c r="DR46" s="164" t="str">
        <f t="shared" ca="1" si="115"/>
        <v>-</v>
      </c>
      <c r="DS46" s="164" t="str">
        <f t="shared" ca="1" si="115"/>
        <v>-</v>
      </c>
      <c r="DT46" s="164" t="str">
        <f t="shared" ca="1" si="115"/>
        <v>-</v>
      </c>
      <c r="DU46" s="164" t="str">
        <f t="shared" ca="1" si="115"/>
        <v>-</v>
      </c>
      <c r="DV46" s="164" t="str">
        <f t="shared" ca="1" si="115"/>
        <v>-</v>
      </c>
      <c r="DW46" s="164" t="str">
        <f t="shared" ca="1" si="115"/>
        <v>-</v>
      </c>
      <c r="DX46" s="164" t="str">
        <f t="shared" ca="1" si="115"/>
        <v>-</v>
      </c>
      <c r="DY46" s="164" t="str">
        <f t="shared" ca="1" si="115"/>
        <v>-</v>
      </c>
      <c r="DZ46" s="164" t="str">
        <f t="shared" ca="1" si="115"/>
        <v>-</v>
      </c>
      <c r="EA46" s="164" t="str">
        <f t="shared" ca="1" si="115"/>
        <v>-</v>
      </c>
      <c r="EB46" s="164" t="str">
        <f t="shared" ca="1" si="116"/>
        <v>-</v>
      </c>
      <c r="EC46" s="164" t="str">
        <f t="shared" ca="1" si="116"/>
        <v>-</v>
      </c>
      <c r="ED46" s="164" t="str">
        <f t="shared" ca="1" si="116"/>
        <v>-</v>
      </c>
      <c r="EE46" s="164" t="str">
        <f t="shared" ca="1" si="116"/>
        <v>-</v>
      </c>
      <c r="EF46" s="164" t="str">
        <f t="shared" ca="1" si="116"/>
        <v>-</v>
      </c>
      <c r="EG46" s="164" t="str">
        <f t="shared" ca="1" si="116"/>
        <v>-</v>
      </c>
      <c r="EH46" s="164" t="str">
        <f t="shared" ca="1" si="116"/>
        <v>-</v>
      </c>
      <c r="EI46" s="164" t="str">
        <f t="shared" ca="1" si="116"/>
        <v>-</v>
      </c>
      <c r="EJ46" s="164" t="str">
        <f t="shared" ca="1" si="116"/>
        <v>-</v>
      </c>
      <c r="EK46" s="164" t="str">
        <f t="shared" ca="1" si="116"/>
        <v>-</v>
      </c>
      <c r="EL46" s="164" t="str">
        <f t="shared" ca="1" si="116"/>
        <v>-</v>
      </c>
      <c r="EM46" s="164" t="str">
        <f t="shared" ca="1" si="116"/>
        <v>-</v>
      </c>
      <c r="EN46" s="164" t="str">
        <f t="shared" ca="1" si="116"/>
        <v>-</v>
      </c>
    </row>
    <row r="47" spans="1:146">
      <c r="A47" s="449"/>
      <c r="B47" s="452"/>
      <c r="C47" s="452"/>
      <c r="D47" s="466"/>
      <c r="E47" s="185" t="s">
        <v>68</v>
      </c>
      <c r="F47" s="65">
        <v>250</v>
      </c>
      <c r="G47" s="185"/>
      <c r="H47" s="182" t="e">
        <f>B42-3</f>
        <v>#VALUE!</v>
      </c>
      <c r="I47" s="65">
        <v>30</v>
      </c>
      <c r="J47" s="454"/>
      <c r="K47" s="446"/>
      <c r="L47" s="182"/>
      <c r="M47" s="182"/>
      <c r="N47" s="65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BF47" s="53">
        <v>5</v>
      </c>
      <c r="BG47" s="53">
        <v>5</v>
      </c>
      <c r="BH47" s="53">
        <v>5</v>
      </c>
      <c r="BI47" s="53">
        <v>5</v>
      </c>
      <c r="BJ47" s="53">
        <v>5</v>
      </c>
      <c r="BK47" s="53">
        <v>5</v>
      </c>
      <c r="BL47" s="53">
        <v>5</v>
      </c>
      <c r="BM47" s="53">
        <v>5</v>
      </c>
      <c r="BN47" s="53">
        <v>5</v>
      </c>
      <c r="BO47" s="53">
        <v>5</v>
      </c>
      <c r="BP47" s="53">
        <v>5</v>
      </c>
      <c r="BQ47" s="53">
        <v>5</v>
      </c>
      <c r="BR47" s="53">
        <v>5</v>
      </c>
      <c r="BS47" s="53">
        <v>5</v>
      </c>
      <c r="BT47" s="53">
        <v>5</v>
      </c>
      <c r="BU47" s="53">
        <v>5</v>
      </c>
      <c r="BV47" s="53">
        <v>5</v>
      </c>
      <c r="BW47" s="53">
        <v>5</v>
      </c>
      <c r="BX47" s="53">
        <v>5</v>
      </c>
      <c r="BY47" s="53">
        <v>5</v>
      </c>
      <c r="BZ47" s="53">
        <v>5</v>
      </c>
      <c r="CA47" s="53">
        <v>5</v>
      </c>
      <c r="CB47" s="53">
        <v>5</v>
      </c>
      <c r="CC47" s="53">
        <v>5</v>
      </c>
      <c r="CD47" s="53">
        <v>30</v>
      </c>
      <c r="CE47" s="53">
        <v>30</v>
      </c>
      <c r="CF47" s="65">
        <v>30</v>
      </c>
      <c r="CG47" s="65">
        <v>30</v>
      </c>
      <c r="CH47" s="65">
        <v>5</v>
      </c>
      <c r="CI47" s="65">
        <v>5</v>
      </c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186"/>
      <c r="DS47" s="185"/>
      <c r="DT47" s="185"/>
      <c r="DU47" s="185"/>
      <c r="DV47" s="210"/>
      <c r="DW47" s="185"/>
      <c r="DX47" s="185"/>
      <c r="DY47" s="185"/>
      <c r="DZ47" s="185"/>
      <c r="EA47" s="185"/>
      <c r="EB47" s="185"/>
      <c r="EC47" s="185"/>
      <c r="ED47" s="185"/>
      <c r="EE47" s="185"/>
      <c r="EF47" s="185"/>
      <c r="EG47" s="185"/>
      <c r="EH47" s="185"/>
      <c r="EI47" s="185"/>
      <c r="EJ47" s="185"/>
      <c r="EK47" s="185"/>
      <c r="EL47" s="185"/>
      <c r="EM47" s="185"/>
      <c r="EN47" s="185"/>
    </row>
    <row r="48" spans="1:146" s="207" customFormat="1" hidden="1">
      <c r="A48" s="236"/>
      <c r="B48" s="209"/>
      <c r="E48" s="201"/>
      <c r="F48" s="201"/>
      <c r="G48" s="204" t="s">
        <v>69</v>
      </c>
      <c r="H48" s="203"/>
      <c r="I48" s="203"/>
      <c r="J48" s="230"/>
      <c r="K48" s="230"/>
      <c r="L48" s="205">
        <f ca="1">SUM(L43:L47)</f>
        <v>0</v>
      </c>
      <c r="M48" s="205">
        <f ca="1">SUM(M43:M47)</f>
        <v>0</v>
      </c>
      <c r="N48" s="205">
        <f ca="1">SUM(N43:N47)</f>
        <v>0</v>
      </c>
      <c r="O48" s="205">
        <f t="shared" ref="O48:AZ48" ca="1" si="117">SUM(O43:O47)</f>
        <v>0</v>
      </c>
      <c r="P48" s="205">
        <f t="shared" ca="1" si="117"/>
        <v>0</v>
      </c>
      <c r="Q48" s="205">
        <f t="shared" ca="1" si="117"/>
        <v>0</v>
      </c>
      <c r="R48" s="205">
        <f t="shared" ca="1" si="117"/>
        <v>0</v>
      </c>
      <c r="S48" s="205">
        <f t="shared" ca="1" si="117"/>
        <v>0</v>
      </c>
      <c r="T48" s="205">
        <f t="shared" ca="1" si="117"/>
        <v>0</v>
      </c>
      <c r="U48" s="205">
        <f t="shared" ca="1" si="117"/>
        <v>0</v>
      </c>
      <c r="V48" s="205">
        <f t="shared" ca="1" si="117"/>
        <v>0</v>
      </c>
      <c r="W48" s="205">
        <f t="shared" ca="1" si="117"/>
        <v>0</v>
      </c>
      <c r="X48" s="205">
        <f t="shared" ca="1" si="117"/>
        <v>0</v>
      </c>
      <c r="Y48" s="205">
        <f t="shared" ca="1" si="117"/>
        <v>0</v>
      </c>
      <c r="Z48" s="205">
        <f t="shared" ca="1" si="117"/>
        <v>0</v>
      </c>
      <c r="AA48" s="205">
        <f t="shared" ca="1" si="117"/>
        <v>0</v>
      </c>
      <c r="AB48" s="205">
        <f t="shared" ca="1" si="117"/>
        <v>0</v>
      </c>
      <c r="AC48" s="205">
        <f t="shared" ca="1" si="117"/>
        <v>0</v>
      </c>
      <c r="AD48" s="205">
        <f t="shared" ca="1" si="117"/>
        <v>0</v>
      </c>
      <c r="AE48" s="205">
        <f t="shared" ca="1" si="117"/>
        <v>0</v>
      </c>
      <c r="AF48" s="205">
        <f t="shared" ca="1" si="117"/>
        <v>0</v>
      </c>
      <c r="AG48" s="205">
        <f t="shared" ca="1" si="117"/>
        <v>0</v>
      </c>
      <c r="AH48" s="205">
        <f t="shared" ca="1" si="117"/>
        <v>0</v>
      </c>
      <c r="AI48" s="205">
        <f t="shared" ca="1" si="117"/>
        <v>0</v>
      </c>
      <c r="AJ48" s="205">
        <f t="shared" ca="1" si="117"/>
        <v>0</v>
      </c>
      <c r="AK48" s="205">
        <f t="shared" ca="1" si="117"/>
        <v>0</v>
      </c>
      <c r="AL48" s="205">
        <f t="shared" ca="1" si="117"/>
        <v>0</v>
      </c>
      <c r="AM48" s="205">
        <f t="shared" ca="1" si="117"/>
        <v>0</v>
      </c>
      <c r="AN48" s="205">
        <f t="shared" ca="1" si="117"/>
        <v>0</v>
      </c>
      <c r="AO48" s="205">
        <f t="shared" ca="1" si="117"/>
        <v>0</v>
      </c>
      <c r="AP48" s="205">
        <f t="shared" ca="1" si="117"/>
        <v>0</v>
      </c>
      <c r="AQ48" s="205">
        <f t="shared" ca="1" si="117"/>
        <v>0</v>
      </c>
      <c r="AR48" s="205">
        <f t="shared" ca="1" si="117"/>
        <v>0</v>
      </c>
      <c r="AS48" s="205">
        <f t="shared" ca="1" si="117"/>
        <v>0</v>
      </c>
      <c r="AT48" s="205">
        <f t="shared" ca="1" si="117"/>
        <v>0</v>
      </c>
      <c r="AU48" s="205">
        <f t="shared" ca="1" si="117"/>
        <v>0</v>
      </c>
      <c r="AV48" s="205">
        <f t="shared" ca="1" si="117"/>
        <v>0</v>
      </c>
      <c r="AW48" s="205">
        <f t="shared" ca="1" si="117"/>
        <v>0</v>
      </c>
      <c r="AX48" s="205">
        <f t="shared" ca="1" si="117"/>
        <v>65</v>
      </c>
      <c r="AY48" s="211">
        <f t="shared" ca="1" si="117"/>
        <v>65</v>
      </c>
      <c r="AZ48" s="205">
        <f t="shared" ca="1" si="117"/>
        <v>65</v>
      </c>
      <c r="BA48" s="205">
        <f t="shared" ref="BA48:CF48" ca="1" si="118">SUM(BA43:BA47)</f>
        <v>65</v>
      </c>
      <c r="BB48" s="205">
        <f t="shared" ca="1" si="118"/>
        <v>65</v>
      </c>
      <c r="BC48" s="205">
        <f t="shared" ca="1" si="118"/>
        <v>145</v>
      </c>
      <c r="BD48" s="205">
        <f t="shared" ca="1" si="118"/>
        <v>145</v>
      </c>
      <c r="BE48" s="205">
        <f t="shared" ca="1" si="118"/>
        <v>145</v>
      </c>
      <c r="BF48" s="205">
        <f t="shared" ca="1" si="118"/>
        <v>150</v>
      </c>
      <c r="BG48" s="205">
        <f t="shared" ca="1" si="118"/>
        <v>150</v>
      </c>
      <c r="BH48" s="205">
        <f t="shared" ca="1" si="118"/>
        <v>202</v>
      </c>
      <c r="BI48" s="205">
        <f t="shared" ca="1" si="118"/>
        <v>202</v>
      </c>
      <c r="BJ48" s="205">
        <f t="shared" ca="1" si="118"/>
        <v>202</v>
      </c>
      <c r="BK48" s="205">
        <f t="shared" ca="1" si="118"/>
        <v>202</v>
      </c>
      <c r="BL48" s="205">
        <f t="shared" ca="1" si="118"/>
        <v>145</v>
      </c>
      <c r="BM48" s="205">
        <f t="shared" ca="1" si="118"/>
        <v>145</v>
      </c>
      <c r="BN48" s="205">
        <f t="shared" ca="1" si="118"/>
        <v>145</v>
      </c>
      <c r="BO48" s="205">
        <f t="shared" ca="1" si="118"/>
        <v>145</v>
      </c>
      <c r="BP48" s="205">
        <f t="shared" ca="1" si="118"/>
        <v>145</v>
      </c>
      <c r="BQ48" s="205">
        <f t="shared" ca="1" si="118"/>
        <v>145</v>
      </c>
      <c r="BR48" s="205">
        <f t="shared" ca="1" si="118"/>
        <v>169</v>
      </c>
      <c r="BS48" s="205">
        <f t="shared" ca="1" si="118"/>
        <v>169</v>
      </c>
      <c r="BT48" s="205">
        <f t="shared" ca="1" si="118"/>
        <v>169</v>
      </c>
      <c r="BU48" s="205">
        <f t="shared" ca="1" si="118"/>
        <v>169</v>
      </c>
      <c r="BV48" s="205">
        <f t="shared" ca="1" si="118"/>
        <v>169</v>
      </c>
      <c r="BW48" s="205">
        <f t="shared" ca="1" si="118"/>
        <v>109</v>
      </c>
      <c r="BX48" s="205">
        <f t="shared" ca="1" si="118"/>
        <v>109</v>
      </c>
      <c r="BY48" s="205">
        <f t="shared" ca="1" si="118"/>
        <v>109</v>
      </c>
      <c r="BZ48" s="205">
        <f t="shared" ca="1" si="118"/>
        <v>109</v>
      </c>
      <c r="CA48" s="205">
        <f t="shared" ca="1" si="118"/>
        <v>109</v>
      </c>
      <c r="CB48" s="205">
        <f t="shared" ca="1" si="118"/>
        <v>29</v>
      </c>
      <c r="CC48" s="205">
        <f t="shared" ca="1" si="118"/>
        <v>29</v>
      </c>
      <c r="CD48" s="205">
        <f t="shared" ca="1" si="118"/>
        <v>54</v>
      </c>
      <c r="CE48" s="205">
        <f t="shared" ca="1" si="118"/>
        <v>54</v>
      </c>
      <c r="CF48" s="205">
        <f t="shared" ca="1" si="118"/>
        <v>30</v>
      </c>
      <c r="CG48" s="205">
        <f t="shared" ref="CG48:DL48" ca="1" si="119">SUM(CG43:CG47)</f>
        <v>30</v>
      </c>
      <c r="CH48" s="205">
        <f t="shared" ca="1" si="119"/>
        <v>5</v>
      </c>
      <c r="CI48" s="205">
        <f t="shared" ca="1" si="119"/>
        <v>5</v>
      </c>
      <c r="CJ48" s="205">
        <f t="shared" ca="1" si="119"/>
        <v>0</v>
      </c>
      <c r="CK48" s="205">
        <f t="shared" ca="1" si="119"/>
        <v>0</v>
      </c>
      <c r="CL48" s="205">
        <f t="shared" ca="1" si="119"/>
        <v>0</v>
      </c>
      <c r="CM48" s="205">
        <f t="shared" ca="1" si="119"/>
        <v>0</v>
      </c>
      <c r="CN48" s="205">
        <f t="shared" ca="1" si="119"/>
        <v>0</v>
      </c>
      <c r="CO48" s="205">
        <f t="shared" ca="1" si="119"/>
        <v>0</v>
      </c>
      <c r="CP48" s="205">
        <f t="shared" ca="1" si="119"/>
        <v>0</v>
      </c>
      <c r="CQ48" s="205">
        <f t="shared" ca="1" si="119"/>
        <v>0</v>
      </c>
      <c r="CR48" s="205">
        <f t="shared" ca="1" si="119"/>
        <v>0</v>
      </c>
      <c r="CS48" s="205">
        <f t="shared" ca="1" si="119"/>
        <v>0</v>
      </c>
      <c r="CT48" s="205">
        <f t="shared" ca="1" si="119"/>
        <v>0</v>
      </c>
      <c r="CU48" s="205">
        <f t="shared" ca="1" si="119"/>
        <v>0</v>
      </c>
      <c r="CV48" s="205">
        <f t="shared" ca="1" si="119"/>
        <v>0</v>
      </c>
      <c r="CW48" s="205">
        <f t="shared" ca="1" si="119"/>
        <v>0</v>
      </c>
      <c r="CX48" s="205">
        <f t="shared" ca="1" si="119"/>
        <v>0</v>
      </c>
      <c r="CY48" s="205">
        <f t="shared" ca="1" si="119"/>
        <v>0</v>
      </c>
      <c r="CZ48" s="205">
        <f t="shared" ca="1" si="119"/>
        <v>0</v>
      </c>
      <c r="DA48" s="205">
        <f t="shared" ca="1" si="119"/>
        <v>0</v>
      </c>
      <c r="DB48" s="205">
        <f t="shared" ca="1" si="119"/>
        <v>0</v>
      </c>
      <c r="DC48" s="205">
        <f t="shared" ca="1" si="119"/>
        <v>0</v>
      </c>
      <c r="DD48" s="205">
        <f t="shared" ca="1" si="119"/>
        <v>0</v>
      </c>
      <c r="DE48" s="205">
        <f t="shared" ca="1" si="119"/>
        <v>0</v>
      </c>
      <c r="DF48" s="205">
        <f t="shared" ca="1" si="119"/>
        <v>0</v>
      </c>
      <c r="DG48" s="205">
        <f t="shared" ca="1" si="119"/>
        <v>0</v>
      </c>
      <c r="DH48" s="205">
        <f t="shared" ca="1" si="119"/>
        <v>0</v>
      </c>
      <c r="DI48" s="205">
        <f t="shared" ca="1" si="119"/>
        <v>0</v>
      </c>
      <c r="DJ48" s="205">
        <f t="shared" ca="1" si="119"/>
        <v>0</v>
      </c>
      <c r="DK48" s="205">
        <f t="shared" ca="1" si="119"/>
        <v>0</v>
      </c>
      <c r="DL48" s="205">
        <f t="shared" ca="1" si="119"/>
        <v>0</v>
      </c>
      <c r="DM48" s="205">
        <f t="shared" ref="DM48:EN48" ca="1" si="120">SUM(DM43:DM47)</f>
        <v>0</v>
      </c>
      <c r="DN48" s="205">
        <f t="shared" ca="1" si="120"/>
        <v>0</v>
      </c>
      <c r="DO48" s="205">
        <f t="shared" ca="1" si="120"/>
        <v>0</v>
      </c>
      <c r="DP48" s="205">
        <f t="shared" ca="1" si="120"/>
        <v>0</v>
      </c>
      <c r="DQ48" s="205">
        <f t="shared" ca="1" si="120"/>
        <v>0</v>
      </c>
      <c r="DR48" s="205">
        <f t="shared" ca="1" si="120"/>
        <v>0</v>
      </c>
      <c r="DS48" s="205">
        <f t="shared" ca="1" si="120"/>
        <v>0</v>
      </c>
      <c r="DT48" s="205">
        <f t="shared" ca="1" si="120"/>
        <v>0</v>
      </c>
      <c r="DU48" s="205">
        <f t="shared" ca="1" si="120"/>
        <v>0</v>
      </c>
      <c r="DV48" s="205">
        <f t="shared" ca="1" si="120"/>
        <v>0</v>
      </c>
      <c r="DW48" s="205">
        <f t="shared" ca="1" si="120"/>
        <v>0</v>
      </c>
      <c r="DX48" s="205">
        <f t="shared" ca="1" si="120"/>
        <v>0</v>
      </c>
      <c r="DY48" s="205">
        <f t="shared" ca="1" si="120"/>
        <v>0</v>
      </c>
      <c r="DZ48" s="205">
        <f t="shared" ca="1" si="120"/>
        <v>0</v>
      </c>
      <c r="EA48" s="205">
        <f t="shared" ca="1" si="120"/>
        <v>0</v>
      </c>
      <c r="EB48" s="205">
        <f t="shared" ca="1" si="120"/>
        <v>0</v>
      </c>
      <c r="EC48" s="205">
        <f t="shared" ca="1" si="120"/>
        <v>0</v>
      </c>
      <c r="ED48" s="205">
        <f t="shared" ca="1" si="120"/>
        <v>0</v>
      </c>
      <c r="EE48" s="205">
        <f t="shared" ca="1" si="120"/>
        <v>0</v>
      </c>
      <c r="EF48" s="205">
        <f t="shared" ca="1" si="120"/>
        <v>0</v>
      </c>
      <c r="EG48" s="205">
        <f t="shared" ca="1" si="120"/>
        <v>0</v>
      </c>
      <c r="EH48" s="205">
        <f t="shared" ca="1" si="120"/>
        <v>0</v>
      </c>
      <c r="EI48" s="205">
        <f t="shared" ca="1" si="120"/>
        <v>0</v>
      </c>
      <c r="EJ48" s="205">
        <f t="shared" ca="1" si="120"/>
        <v>0</v>
      </c>
      <c r="EK48" s="205">
        <f t="shared" ca="1" si="120"/>
        <v>0</v>
      </c>
      <c r="EL48" s="205">
        <f t="shared" ca="1" si="120"/>
        <v>0</v>
      </c>
      <c r="EM48" s="205">
        <f t="shared" ca="1" si="120"/>
        <v>0</v>
      </c>
      <c r="EN48" s="205">
        <f t="shared" ca="1" si="120"/>
        <v>0</v>
      </c>
      <c r="EO48" s="206">
        <f ca="1">AVERAGE(Y48:CK48)</f>
        <v>67.138461538461542</v>
      </c>
      <c r="EP48" s="206">
        <f ca="1">MAX(Y48:CK48)</f>
        <v>202</v>
      </c>
    </row>
    <row r="50" spans="1:146" s="180" customFormat="1" ht="27">
      <c r="A50" s="447" t="s">
        <v>75</v>
      </c>
      <c r="B50" s="450" t="str">
        <f>'BESS 11'!F277</f>
        <v>12 Sep
23 Sep</v>
      </c>
      <c r="C50" s="450" t="str">
        <f>'BESS 11'!G277</f>
        <v>17 Sep
27 Sep</v>
      </c>
      <c r="D50" s="226"/>
      <c r="E50" s="226" t="s">
        <v>10</v>
      </c>
      <c r="F50" s="217" t="s">
        <v>58</v>
      </c>
      <c r="G50" s="217" t="s">
        <v>78</v>
      </c>
      <c r="H50" s="217" t="s">
        <v>79</v>
      </c>
      <c r="I50" s="217" t="s">
        <v>59</v>
      </c>
      <c r="J50" s="216" t="s">
        <v>80</v>
      </c>
      <c r="K50" s="216" t="s">
        <v>62</v>
      </c>
      <c r="L50" s="218">
        <v>46195</v>
      </c>
      <c r="M50" s="218">
        <v>46196</v>
      </c>
      <c r="N50" s="218">
        <v>46197</v>
      </c>
      <c r="O50" s="218">
        <f t="shared" ref="O50:BZ50" si="121">N50+1</f>
        <v>46198</v>
      </c>
      <c r="P50" s="218">
        <f t="shared" si="121"/>
        <v>46199</v>
      </c>
      <c r="Q50" s="218">
        <f t="shared" si="121"/>
        <v>46200</v>
      </c>
      <c r="R50" s="218">
        <f t="shared" si="121"/>
        <v>46201</v>
      </c>
      <c r="S50" s="218">
        <f t="shared" si="121"/>
        <v>46202</v>
      </c>
      <c r="T50" s="218">
        <f t="shared" si="121"/>
        <v>46203</v>
      </c>
      <c r="U50" s="218">
        <f t="shared" si="121"/>
        <v>46204</v>
      </c>
      <c r="V50" s="218">
        <f t="shared" si="121"/>
        <v>46205</v>
      </c>
      <c r="W50" s="218">
        <f t="shared" si="121"/>
        <v>46206</v>
      </c>
      <c r="X50" s="218">
        <f t="shared" si="121"/>
        <v>46207</v>
      </c>
      <c r="Y50" s="218">
        <f t="shared" si="121"/>
        <v>46208</v>
      </c>
      <c r="Z50" s="218">
        <f t="shared" si="121"/>
        <v>46209</v>
      </c>
      <c r="AA50" s="218">
        <f t="shared" si="121"/>
        <v>46210</v>
      </c>
      <c r="AB50" s="218">
        <f t="shared" si="121"/>
        <v>46211</v>
      </c>
      <c r="AC50" s="218">
        <f t="shared" si="121"/>
        <v>46212</v>
      </c>
      <c r="AD50" s="218">
        <f t="shared" si="121"/>
        <v>46213</v>
      </c>
      <c r="AE50" s="218">
        <f t="shared" si="121"/>
        <v>46214</v>
      </c>
      <c r="AF50" s="218">
        <f t="shared" si="121"/>
        <v>46215</v>
      </c>
      <c r="AG50" s="218">
        <f t="shared" si="121"/>
        <v>46216</v>
      </c>
      <c r="AH50" s="218">
        <f t="shared" si="121"/>
        <v>46217</v>
      </c>
      <c r="AI50" s="218">
        <f t="shared" si="121"/>
        <v>46218</v>
      </c>
      <c r="AJ50" s="218">
        <f t="shared" si="121"/>
        <v>46219</v>
      </c>
      <c r="AK50" s="218">
        <f t="shared" si="121"/>
        <v>46220</v>
      </c>
      <c r="AL50" s="218">
        <f t="shared" si="121"/>
        <v>46221</v>
      </c>
      <c r="AM50" s="218">
        <f t="shared" si="121"/>
        <v>46222</v>
      </c>
      <c r="AN50" s="218">
        <f t="shared" si="121"/>
        <v>46223</v>
      </c>
      <c r="AO50" s="218">
        <f t="shared" si="121"/>
        <v>46224</v>
      </c>
      <c r="AP50" s="218">
        <f t="shared" si="121"/>
        <v>46225</v>
      </c>
      <c r="AQ50" s="218">
        <f t="shared" si="121"/>
        <v>46226</v>
      </c>
      <c r="AR50" s="218">
        <f t="shared" si="121"/>
        <v>46227</v>
      </c>
      <c r="AS50" s="218">
        <f t="shared" si="121"/>
        <v>46228</v>
      </c>
      <c r="AT50" s="218">
        <f t="shared" si="121"/>
        <v>46229</v>
      </c>
      <c r="AU50" s="218">
        <f t="shared" si="121"/>
        <v>46230</v>
      </c>
      <c r="AV50" s="218">
        <f t="shared" si="121"/>
        <v>46231</v>
      </c>
      <c r="AW50" s="218">
        <f t="shared" si="121"/>
        <v>46232</v>
      </c>
      <c r="AX50" s="218">
        <f t="shared" si="121"/>
        <v>46233</v>
      </c>
      <c r="AY50" s="218">
        <f t="shared" si="121"/>
        <v>46234</v>
      </c>
      <c r="AZ50" s="218">
        <f t="shared" si="121"/>
        <v>46235</v>
      </c>
      <c r="BA50" s="218">
        <f t="shared" si="121"/>
        <v>46236</v>
      </c>
      <c r="BB50" s="218">
        <f t="shared" si="121"/>
        <v>46237</v>
      </c>
      <c r="BC50" s="218">
        <f t="shared" si="121"/>
        <v>46238</v>
      </c>
      <c r="BD50" s="218">
        <f t="shared" si="121"/>
        <v>46239</v>
      </c>
      <c r="BE50" s="218">
        <f t="shared" si="121"/>
        <v>46240</v>
      </c>
      <c r="BF50" s="218">
        <f t="shared" si="121"/>
        <v>46241</v>
      </c>
      <c r="BG50" s="218">
        <f t="shared" si="121"/>
        <v>46242</v>
      </c>
      <c r="BH50" s="218">
        <f t="shared" si="121"/>
        <v>46243</v>
      </c>
      <c r="BI50" s="218">
        <f t="shared" si="121"/>
        <v>46244</v>
      </c>
      <c r="BJ50" s="218">
        <f t="shared" si="121"/>
        <v>46245</v>
      </c>
      <c r="BK50" s="218">
        <f t="shared" si="121"/>
        <v>46246</v>
      </c>
      <c r="BL50" s="218">
        <f t="shared" si="121"/>
        <v>46247</v>
      </c>
      <c r="BM50" s="218">
        <f t="shared" si="121"/>
        <v>46248</v>
      </c>
      <c r="BN50" s="218">
        <f t="shared" si="121"/>
        <v>46249</v>
      </c>
      <c r="BO50" s="218">
        <f t="shared" si="121"/>
        <v>46250</v>
      </c>
      <c r="BP50" s="218">
        <f t="shared" si="121"/>
        <v>46251</v>
      </c>
      <c r="BQ50" s="218">
        <f t="shared" si="121"/>
        <v>46252</v>
      </c>
      <c r="BR50" s="218">
        <f t="shared" si="121"/>
        <v>46253</v>
      </c>
      <c r="BS50" s="218">
        <f t="shared" si="121"/>
        <v>46254</v>
      </c>
      <c r="BT50" s="218">
        <f t="shared" si="121"/>
        <v>46255</v>
      </c>
      <c r="BU50" s="218">
        <f t="shared" si="121"/>
        <v>46256</v>
      </c>
      <c r="BV50" s="218">
        <f t="shared" si="121"/>
        <v>46257</v>
      </c>
      <c r="BW50" s="218">
        <f t="shared" si="121"/>
        <v>46258</v>
      </c>
      <c r="BX50" s="218">
        <f t="shared" si="121"/>
        <v>46259</v>
      </c>
      <c r="BY50" s="218">
        <f t="shared" si="121"/>
        <v>46260</v>
      </c>
      <c r="BZ50" s="218">
        <f t="shared" si="121"/>
        <v>46261</v>
      </c>
      <c r="CA50" s="218">
        <f t="shared" ref="CA50:CS50" si="122">BZ50+1</f>
        <v>46262</v>
      </c>
      <c r="CB50" s="218">
        <f t="shared" si="122"/>
        <v>46263</v>
      </c>
      <c r="CC50" s="218">
        <f t="shared" si="122"/>
        <v>46264</v>
      </c>
      <c r="CD50" s="218">
        <f t="shared" si="122"/>
        <v>46265</v>
      </c>
      <c r="CE50" s="218">
        <f t="shared" si="122"/>
        <v>46266</v>
      </c>
      <c r="CF50" s="218">
        <f t="shared" si="122"/>
        <v>46267</v>
      </c>
      <c r="CG50" s="218">
        <f t="shared" si="122"/>
        <v>46268</v>
      </c>
      <c r="CH50" s="218">
        <f t="shared" si="122"/>
        <v>46269</v>
      </c>
      <c r="CI50" s="218">
        <f t="shared" si="122"/>
        <v>46270</v>
      </c>
      <c r="CJ50" s="218">
        <f t="shared" si="122"/>
        <v>46271</v>
      </c>
      <c r="CK50" s="218">
        <f t="shared" si="122"/>
        <v>46272</v>
      </c>
      <c r="CL50" s="218">
        <f t="shared" si="122"/>
        <v>46273</v>
      </c>
      <c r="CM50" s="218">
        <f t="shared" si="122"/>
        <v>46274</v>
      </c>
      <c r="CN50" s="218">
        <f t="shared" si="122"/>
        <v>46275</v>
      </c>
      <c r="CO50" s="218">
        <f t="shared" si="122"/>
        <v>46276</v>
      </c>
      <c r="CP50" s="218">
        <f t="shared" si="122"/>
        <v>46277</v>
      </c>
      <c r="CQ50" s="218">
        <f t="shared" si="122"/>
        <v>46278</v>
      </c>
      <c r="CR50" s="218">
        <f t="shared" si="122"/>
        <v>46279</v>
      </c>
      <c r="CS50" s="218">
        <f t="shared" si="122"/>
        <v>46280</v>
      </c>
      <c r="CT50" s="218">
        <f t="shared" ref="CT50:EN50" si="123">CS50+1</f>
        <v>46281</v>
      </c>
      <c r="CU50" s="218">
        <f t="shared" si="123"/>
        <v>46282</v>
      </c>
      <c r="CV50" s="218">
        <f t="shared" si="123"/>
        <v>46283</v>
      </c>
      <c r="CW50" s="218">
        <f t="shared" si="123"/>
        <v>46284</v>
      </c>
      <c r="CX50" s="218">
        <f t="shared" si="123"/>
        <v>46285</v>
      </c>
      <c r="CY50" s="218">
        <f t="shared" si="123"/>
        <v>46286</v>
      </c>
      <c r="CZ50" s="218">
        <f t="shared" si="123"/>
        <v>46287</v>
      </c>
      <c r="DA50" s="218">
        <f t="shared" si="123"/>
        <v>46288</v>
      </c>
      <c r="DB50" s="218">
        <f t="shared" si="123"/>
        <v>46289</v>
      </c>
      <c r="DC50" s="218">
        <f t="shared" si="123"/>
        <v>46290</v>
      </c>
      <c r="DD50" s="218">
        <f t="shared" si="123"/>
        <v>46291</v>
      </c>
      <c r="DE50" s="218">
        <f t="shared" si="123"/>
        <v>46292</v>
      </c>
      <c r="DF50" s="218">
        <f t="shared" si="123"/>
        <v>46293</v>
      </c>
      <c r="DG50" s="218">
        <f t="shared" si="123"/>
        <v>46294</v>
      </c>
      <c r="DH50" s="218">
        <f t="shared" si="123"/>
        <v>46295</v>
      </c>
      <c r="DI50" s="218">
        <f t="shared" si="123"/>
        <v>46296</v>
      </c>
      <c r="DJ50" s="218">
        <f t="shared" si="123"/>
        <v>46297</v>
      </c>
      <c r="DK50" s="218">
        <f t="shared" si="123"/>
        <v>46298</v>
      </c>
      <c r="DL50" s="218">
        <f t="shared" si="123"/>
        <v>46299</v>
      </c>
      <c r="DM50" s="218">
        <f t="shared" si="123"/>
        <v>46300</v>
      </c>
      <c r="DN50" s="218">
        <f t="shared" si="123"/>
        <v>46301</v>
      </c>
      <c r="DO50" s="218">
        <f t="shared" si="123"/>
        <v>46302</v>
      </c>
      <c r="DP50" s="218">
        <f t="shared" si="123"/>
        <v>46303</v>
      </c>
      <c r="DQ50" s="218">
        <f t="shared" si="123"/>
        <v>46304</v>
      </c>
      <c r="DR50" s="218">
        <f t="shared" si="123"/>
        <v>46305</v>
      </c>
      <c r="DS50" s="218">
        <f t="shared" si="123"/>
        <v>46306</v>
      </c>
      <c r="DT50" s="218">
        <f t="shared" si="123"/>
        <v>46307</v>
      </c>
      <c r="DU50" s="218">
        <f t="shared" si="123"/>
        <v>46308</v>
      </c>
      <c r="DV50" s="218">
        <f t="shared" si="123"/>
        <v>46309</v>
      </c>
      <c r="DW50" s="218">
        <f t="shared" si="123"/>
        <v>46310</v>
      </c>
      <c r="DX50" s="218">
        <f t="shared" si="123"/>
        <v>46311</v>
      </c>
      <c r="DY50" s="218">
        <f t="shared" si="123"/>
        <v>46312</v>
      </c>
      <c r="DZ50" s="218">
        <f t="shared" si="123"/>
        <v>46313</v>
      </c>
      <c r="EA50" s="218">
        <f t="shared" si="123"/>
        <v>46314</v>
      </c>
      <c r="EB50" s="218">
        <f t="shared" si="123"/>
        <v>46315</v>
      </c>
      <c r="EC50" s="218">
        <f t="shared" si="123"/>
        <v>46316</v>
      </c>
      <c r="ED50" s="218">
        <f t="shared" si="123"/>
        <v>46317</v>
      </c>
      <c r="EE50" s="218">
        <f t="shared" si="123"/>
        <v>46318</v>
      </c>
      <c r="EF50" s="218">
        <f t="shared" si="123"/>
        <v>46319</v>
      </c>
      <c r="EG50" s="218">
        <f t="shared" si="123"/>
        <v>46320</v>
      </c>
      <c r="EH50" s="218">
        <f t="shared" si="123"/>
        <v>46321</v>
      </c>
      <c r="EI50" s="218">
        <f t="shared" si="123"/>
        <v>46322</v>
      </c>
      <c r="EJ50" s="218">
        <f t="shared" si="123"/>
        <v>46323</v>
      </c>
      <c r="EK50" s="218">
        <f t="shared" si="123"/>
        <v>46324</v>
      </c>
      <c r="EL50" s="218">
        <f t="shared" si="123"/>
        <v>46325</v>
      </c>
      <c r="EM50" s="218">
        <f t="shared" si="123"/>
        <v>46326</v>
      </c>
      <c r="EN50" s="218">
        <f t="shared" si="123"/>
        <v>46327</v>
      </c>
    </row>
    <row r="51" spans="1:146">
      <c r="A51" s="448"/>
      <c r="B51" s="451"/>
      <c r="C51" s="451"/>
      <c r="D51" s="467" t="str">
        <f>'BESS 11'!H277</f>
        <v>20 Sep
30 Sep</v>
      </c>
      <c r="E51" s="185" t="s">
        <v>64</v>
      </c>
      <c r="F51" s="66">
        <f>SUM('BESS 11'!S290:S297,'BESS 11'!S299)</f>
        <v>59.2</v>
      </c>
      <c r="G51" s="182">
        <f ca="1">TODAY()</f>
        <v>46233</v>
      </c>
      <c r="H51" s="182">
        <f ca="1">G51+10</f>
        <v>46243</v>
      </c>
      <c r="I51" s="65">
        <f ca="1">H51-G51</f>
        <v>10</v>
      </c>
      <c r="J51" s="444">
        <f ca="1">AVERAGEIF(L56:EN56,"&gt;0")</f>
        <v>91.125</v>
      </c>
      <c r="K51" s="444">
        <f ca="1">MAX(L56:EN56)</f>
        <v>226</v>
      </c>
      <c r="L51" s="65" t="str">
        <f t="shared" ref="L51:U54" ca="1" si="124">IF(AND(L$2&gt;=$G51,L$2&lt;($G51+$I51)),ROUND($F51/$I51,0),"-")</f>
        <v>-</v>
      </c>
      <c r="M51" s="65" t="str">
        <f t="shared" ca="1" si="124"/>
        <v>-</v>
      </c>
      <c r="N51" s="65" t="str">
        <f t="shared" ca="1" si="124"/>
        <v>-</v>
      </c>
      <c r="O51" s="65" t="str">
        <f t="shared" ca="1" si="124"/>
        <v>-</v>
      </c>
      <c r="P51" s="65" t="str">
        <f t="shared" ca="1" si="124"/>
        <v>-</v>
      </c>
      <c r="Q51" s="65" t="str">
        <f t="shared" ca="1" si="124"/>
        <v>-</v>
      </c>
      <c r="R51" s="65" t="str">
        <f t="shared" ca="1" si="124"/>
        <v>-</v>
      </c>
      <c r="S51" s="65" t="str">
        <f t="shared" ca="1" si="124"/>
        <v>-</v>
      </c>
      <c r="T51" s="65" t="str">
        <f t="shared" ca="1" si="124"/>
        <v>-</v>
      </c>
      <c r="U51" s="65" t="str">
        <f t="shared" ca="1" si="124"/>
        <v>-</v>
      </c>
      <c r="V51" s="65" t="str">
        <f t="shared" ref="V51:AE54" ca="1" si="125">IF(AND(V$2&gt;=$G51,V$2&lt;($G51+$I51)),ROUND($F51/$I51,0),"-")</f>
        <v>-</v>
      </c>
      <c r="W51" s="65" t="str">
        <f t="shared" ca="1" si="125"/>
        <v>-</v>
      </c>
      <c r="X51" s="65" t="str">
        <f t="shared" ca="1" si="125"/>
        <v>-</v>
      </c>
      <c r="Y51" s="65" t="str">
        <f t="shared" ca="1" si="125"/>
        <v>-</v>
      </c>
      <c r="Z51" s="65" t="str">
        <f t="shared" ca="1" si="125"/>
        <v>-</v>
      </c>
      <c r="AA51" s="65" t="str">
        <f t="shared" ca="1" si="125"/>
        <v>-</v>
      </c>
      <c r="AB51" s="65" t="str">
        <f t="shared" ca="1" si="125"/>
        <v>-</v>
      </c>
      <c r="AC51" s="65" t="str">
        <f t="shared" ca="1" si="125"/>
        <v>-</v>
      </c>
      <c r="AD51" s="65" t="str">
        <f t="shared" ca="1" si="125"/>
        <v>-</v>
      </c>
      <c r="AE51" s="65" t="str">
        <f t="shared" ca="1" si="125"/>
        <v>-</v>
      </c>
      <c r="AF51" s="65" t="str">
        <f t="shared" ref="AF51:AO54" ca="1" si="126">IF(AND(AF$2&gt;=$G51,AF$2&lt;($G51+$I51)),ROUND($F51/$I51,0),"-")</f>
        <v>-</v>
      </c>
      <c r="AG51" s="65" t="str">
        <f t="shared" ca="1" si="126"/>
        <v>-</v>
      </c>
      <c r="AH51" s="65" t="str">
        <f t="shared" ca="1" si="126"/>
        <v>-</v>
      </c>
      <c r="AI51" s="65" t="str">
        <f t="shared" ca="1" si="126"/>
        <v>-</v>
      </c>
      <c r="AJ51" s="65" t="str">
        <f t="shared" ca="1" si="126"/>
        <v>-</v>
      </c>
      <c r="AK51" s="65" t="str">
        <f t="shared" ca="1" si="126"/>
        <v>-</v>
      </c>
      <c r="AL51" s="65" t="str">
        <f t="shared" ca="1" si="126"/>
        <v>-</v>
      </c>
      <c r="AM51" s="65" t="str">
        <f t="shared" ca="1" si="126"/>
        <v>-</v>
      </c>
      <c r="AN51" s="65" t="str">
        <f t="shared" ca="1" si="126"/>
        <v>-</v>
      </c>
      <c r="AO51" s="65" t="str">
        <f t="shared" ca="1" si="126"/>
        <v>-</v>
      </c>
      <c r="AP51" s="65" t="str">
        <f t="shared" ref="AP51:AY54" ca="1" si="127">IF(AND(AP$2&gt;=$G51,AP$2&lt;($G51+$I51)),ROUND($F51/$I51,0),"-")</f>
        <v>-</v>
      </c>
      <c r="AQ51" s="65" t="str">
        <f t="shared" ca="1" si="127"/>
        <v>-</v>
      </c>
      <c r="AR51" s="65" t="str">
        <f t="shared" ca="1" si="127"/>
        <v>-</v>
      </c>
      <c r="AS51" s="65" t="str">
        <f t="shared" ca="1" si="127"/>
        <v>-</v>
      </c>
      <c r="AT51" s="65" t="str">
        <f t="shared" ca="1" si="127"/>
        <v>-</v>
      </c>
      <c r="AU51" s="65" t="str">
        <f t="shared" ca="1" si="127"/>
        <v>-</v>
      </c>
      <c r="AV51" s="65" t="str">
        <f t="shared" ca="1" si="127"/>
        <v>-</v>
      </c>
      <c r="AW51" s="65" t="str">
        <f t="shared" ca="1" si="127"/>
        <v>-</v>
      </c>
      <c r="AX51" s="65">
        <f t="shared" ca="1" si="127"/>
        <v>6</v>
      </c>
      <c r="AY51" s="65">
        <f t="shared" ca="1" si="127"/>
        <v>6</v>
      </c>
      <c r="AZ51" s="65">
        <f t="shared" ref="AZ51:BI54" ca="1" si="128">IF(AND(AZ$2&gt;=$G51,AZ$2&lt;($G51+$I51)),ROUND($F51/$I51,0),"-")</f>
        <v>6</v>
      </c>
      <c r="BA51" s="65">
        <f t="shared" ca="1" si="128"/>
        <v>6</v>
      </c>
      <c r="BB51" s="65">
        <f t="shared" ca="1" si="128"/>
        <v>6</v>
      </c>
      <c r="BC51" s="65">
        <f t="shared" ca="1" si="128"/>
        <v>6</v>
      </c>
      <c r="BD51" s="65">
        <f t="shared" ca="1" si="128"/>
        <v>6</v>
      </c>
      <c r="BE51" s="65">
        <f t="shared" ca="1" si="128"/>
        <v>6</v>
      </c>
      <c r="BF51" s="65">
        <f t="shared" ca="1" si="128"/>
        <v>6</v>
      </c>
      <c r="BG51" s="65">
        <f t="shared" ca="1" si="128"/>
        <v>6</v>
      </c>
      <c r="BH51" s="65" t="str">
        <f t="shared" ca="1" si="128"/>
        <v>-</v>
      </c>
      <c r="BI51" s="65" t="str">
        <f t="shared" ca="1" si="128"/>
        <v>-</v>
      </c>
      <c r="BJ51" s="65" t="str">
        <f t="shared" ref="BJ51:BS54" ca="1" si="129">IF(AND(BJ$2&gt;=$G51,BJ$2&lt;($G51+$I51)),ROUND($F51/$I51,0),"-")</f>
        <v>-</v>
      </c>
      <c r="BK51" s="65" t="str">
        <f t="shared" ca="1" si="129"/>
        <v>-</v>
      </c>
      <c r="BL51" s="65" t="str">
        <f t="shared" ca="1" si="129"/>
        <v>-</v>
      </c>
      <c r="BM51" s="65" t="str">
        <f t="shared" ca="1" si="129"/>
        <v>-</v>
      </c>
      <c r="BN51" s="65" t="str">
        <f t="shared" ca="1" si="129"/>
        <v>-</v>
      </c>
      <c r="BO51" s="65" t="str">
        <f t="shared" ca="1" si="129"/>
        <v>-</v>
      </c>
      <c r="BP51" s="65" t="str">
        <f t="shared" ca="1" si="129"/>
        <v>-</v>
      </c>
      <c r="BQ51" s="65" t="str">
        <f t="shared" ca="1" si="129"/>
        <v>-</v>
      </c>
      <c r="BR51" s="65">
        <v>1</v>
      </c>
      <c r="BS51" s="65">
        <v>1</v>
      </c>
      <c r="BT51" s="65">
        <v>1</v>
      </c>
      <c r="BU51" s="65">
        <v>1</v>
      </c>
      <c r="BV51" s="65" t="str">
        <f t="shared" ref="BT51:CC54" ca="1" si="130">IF(AND(BV$2&gt;=$G51,BV$2&lt;($G51+$I51)),ROUND($F51/$I51,0),"-")</f>
        <v>-</v>
      </c>
      <c r="BW51" s="65" t="str">
        <f t="shared" ca="1" si="130"/>
        <v>-</v>
      </c>
      <c r="BX51" s="65" t="str">
        <f t="shared" ca="1" si="130"/>
        <v>-</v>
      </c>
      <c r="BY51" s="65" t="str">
        <f t="shared" ca="1" si="130"/>
        <v>-</v>
      </c>
      <c r="BZ51" s="65" t="str">
        <f t="shared" ca="1" si="130"/>
        <v>-</v>
      </c>
      <c r="CA51" s="65" t="str">
        <f t="shared" ca="1" si="130"/>
        <v>-</v>
      </c>
      <c r="CB51" s="65" t="str">
        <f t="shared" ca="1" si="130"/>
        <v>-</v>
      </c>
      <c r="CC51" s="65" t="str">
        <f t="shared" ca="1" si="130"/>
        <v>-</v>
      </c>
      <c r="CD51" s="65" t="str">
        <f t="shared" ref="CD51:CM54" ca="1" si="131">IF(AND(CD$2&gt;=$G51,CD$2&lt;($G51+$I51)),ROUND($F51/$I51,0),"-")</f>
        <v>-</v>
      </c>
      <c r="CE51" s="65" t="str">
        <f t="shared" ca="1" si="131"/>
        <v>-</v>
      </c>
      <c r="CF51" s="65" t="str">
        <f t="shared" ca="1" si="131"/>
        <v>-</v>
      </c>
      <c r="CG51" s="65" t="str">
        <f t="shared" ca="1" si="131"/>
        <v>-</v>
      </c>
      <c r="CH51" s="65" t="str">
        <f t="shared" ca="1" si="131"/>
        <v>-</v>
      </c>
      <c r="CI51" s="65" t="str">
        <f t="shared" ca="1" si="131"/>
        <v>-</v>
      </c>
      <c r="CJ51" s="65" t="str">
        <f t="shared" ca="1" si="131"/>
        <v>-</v>
      </c>
      <c r="CK51" s="65" t="str">
        <f t="shared" ca="1" si="131"/>
        <v>-</v>
      </c>
      <c r="CL51" s="65" t="str">
        <f t="shared" ca="1" si="131"/>
        <v>-</v>
      </c>
      <c r="CM51" s="65" t="str">
        <f t="shared" ca="1" si="131"/>
        <v>-</v>
      </c>
      <c r="CN51" s="65" t="str">
        <f t="shared" ref="CN51:CW54" ca="1" si="132">IF(AND(CN$2&gt;=$G51,CN$2&lt;($G51+$I51)),ROUND($F51/$I51,0),"-")</f>
        <v>-</v>
      </c>
      <c r="CO51" s="65" t="str">
        <f t="shared" ca="1" si="132"/>
        <v>-</v>
      </c>
      <c r="CP51" s="65" t="str">
        <f t="shared" ca="1" si="132"/>
        <v>-</v>
      </c>
      <c r="CQ51" s="65" t="str">
        <f t="shared" ca="1" si="132"/>
        <v>-</v>
      </c>
      <c r="CR51" s="65" t="str">
        <f t="shared" ca="1" si="132"/>
        <v>-</v>
      </c>
      <c r="CS51" s="65" t="str">
        <f t="shared" ca="1" si="132"/>
        <v>-</v>
      </c>
      <c r="CT51" s="65" t="str">
        <f t="shared" ca="1" si="132"/>
        <v>-</v>
      </c>
      <c r="CU51" s="65" t="str">
        <f t="shared" ca="1" si="132"/>
        <v>-</v>
      </c>
      <c r="CV51" s="65" t="str">
        <f t="shared" ca="1" si="132"/>
        <v>-</v>
      </c>
      <c r="CW51" s="65" t="str">
        <f t="shared" ca="1" si="132"/>
        <v>-</v>
      </c>
      <c r="CX51" s="65" t="str">
        <f t="shared" ref="CX51:DG54" ca="1" si="133">IF(AND(CX$2&gt;=$G51,CX$2&lt;($G51+$I51)),ROUND($F51/$I51,0),"-")</f>
        <v>-</v>
      </c>
      <c r="CY51" s="65" t="str">
        <f t="shared" ca="1" si="133"/>
        <v>-</v>
      </c>
      <c r="CZ51" s="65" t="str">
        <f t="shared" ca="1" si="133"/>
        <v>-</v>
      </c>
      <c r="DA51" s="65" t="str">
        <f t="shared" ca="1" si="133"/>
        <v>-</v>
      </c>
      <c r="DB51" s="65" t="str">
        <f t="shared" ca="1" si="133"/>
        <v>-</v>
      </c>
      <c r="DC51" s="65" t="str">
        <f t="shared" ca="1" si="133"/>
        <v>-</v>
      </c>
      <c r="DD51" s="65" t="str">
        <f t="shared" ca="1" si="133"/>
        <v>-</v>
      </c>
      <c r="DE51" s="65" t="str">
        <f t="shared" ca="1" si="133"/>
        <v>-</v>
      </c>
      <c r="DF51" s="65" t="str">
        <f t="shared" ca="1" si="133"/>
        <v>-</v>
      </c>
      <c r="DG51" s="65" t="str">
        <f t="shared" ca="1" si="133"/>
        <v>-</v>
      </c>
      <c r="DH51" s="65" t="str">
        <f t="shared" ref="DH51:DQ54" ca="1" si="134">IF(AND(DH$2&gt;=$G51,DH$2&lt;($G51+$I51)),ROUND($F51/$I51,0),"-")</f>
        <v>-</v>
      </c>
      <c r="DI51" s="65" t="str">
        <f t="shared" ca="1" si="134"/>
        <v>-</v>
      </c>
      <c r="DJ51" s="65" t="str">
        <f t="shared" ca="1" si="134"/>
        <v>-</v>
      </c>
      <c r="DK51" s="65" t="str">
        <f t="shared" ca="1" si="134"/>
        <v>-</v>
      </c>
      <c r="DL51" s="65" t="str">
        <f t="shared" ca="1" si="134"/>
        <v>-</v>
      </c>
      <c r="DM51" s="65" t="str">
        <f t="shared" ca="1" si="134"/>
        <v>-</v>
      </c>
      <c r="DN51" s="65" t="str">
        <f t="shared" ca="1" si="134"/>
        <v>-</v>
      </c>
      <c r="DO51" s="65" t="str">
        <f t="shared" ca="1" si="134"/>
        <v>-</v>
      </c>
      <c r="DP51" s="65" t="str">
        <f t="shared" ca="1" si="134"/>
        <v>-</v>
      </c>
      <c r="DQ51" s="65" t="str">
        <f t="shared" ca="1" si="134"/>
        <v>-</v>
      </c>
      <c r="DR51" s="65" t="str">
        <f t="shared" ref="DR51:EA54" ca="1" si="135">IF(AND(DR$2&gt;=$G51,DR$2&lt;($G51+$I51)),ROUND($F51/$I51,0),"-")</f>
        <v>-</v>
      </c>
      <c r="DS51" s="65" t="str">
        <f t="shared" ca="1" si="135"/>
        <v>-</v>
      </c>
      <c r="DT51" s="65" t="str">
        <f t="shared" ca="1" si="135"/>
        <v>-</v>
      </c>
      <c r="DU51" s="65" t="str">
        <f t="shared" ca="1" si="135"/>
        <v>-</v>
      </c>
      <c r="DV51" s="65" t="str">
        <f t="shared" ca="1" si="135"/>
        <v>-</v>
      </c>
      <c r="DW51" s="65" t="str">
        <f t="shared" ca="1" si="135"/>
        <v>-</v>
      </c>
      <c r="DX51" s="65" t="str">
        <f t="shared" ca="1" si="135"/>
        <v>-</v>
      </c>
      <c r="DY51" s="65" t="str">
        <f t="shared" ca="1" si="135"/>
        <v>-</v>
      </c>
      <c r="DZ51" s="65" t="str">
        <f t="shared" ca="1" si="135"/>
        <v>-</v>
      </c>
      <c r="EA51" s="65" t="str">
        <f t="shared" ca="1" si="135"/>
        <v>-</v>
      </c>
      <c r="EB51" s="65" t="str">
        <f t="shared" ref="EB51:EN54" ca="1" si="136">IF(AND(EB$2&gt;=$G51,EB$2&lt;($G51+$I51)),ROUND($F51/$I51,0),"-")</f>
        <v>-</v>
      </c>
      <c r="EC51" s="65" t="str">
        <f t="shared" ca="1" si="136"/>
        <v>-</v>
      </c>
      <c r="ED51" s="65" t="str">
        <f t="shared" ca="1" si="136"/>
        <v>-</v>
      </c>
      <c r="EE51" s="65" t="str">
        <f t="shared" ca="1" si="136"/>
        <v>-</v>
      </c>
      <c r="EF51" s="65" t="str">
        <f t="shared" ca="1" si="136"/>
        <v>-</v>
      </c>
      <c r="EG51" s="65" t="str">
        <f t="shared" ca="1" si="136"/>
        <v>-</v>
      </c>
      <c r="EH51" s="65" t="str">
        <f t="shared" ca="1" si="136"/>
        <v>-</v>
      </c>
      <c r="EI51" s="65" t="str">
        <f t="shared" ca="1" si="136"/>
        <v>-</v>
      </c>
      <c r="EJ51" s="65" t="str">
        <f t="shared" ca="1" si="136"/>
        <v>-</v>
      </c>
      <c r="EK51" s="65" t="str">
        <f t="shared" ca="1" si="136"/>
        <v>-</v>
      </c>
      <c r="EL51" s="65" t="str">
        <f t="shared" ca="1" si="136"/>
        <v>-</v>
      </c>
      <c r="EM51" s="65" t="str">
        <f t="shared" ca="1" si="136"/>
        <v>-</v>
      </c>
      <c r="EN51" s="65" t="str">
        <f t="shared" ca="1" si="136"/>
        <v>-</v>
      </c>
    </row>
    <row r="52" spans="1:146">
      <c r="A52" s="448"/>
      <c r="B52" s="451"/>
      <c r="C52" s="451"/>
      <c r="D52" s="466"/>
      <c r="E52" s="185" t="s">
        <v>65</v>
      </c>
      <c r="F52" s="66">
        <f>SUM('BESS 11'!S300,'BESS 11'!S302:S303,'BESS 11'!S306:S308)</f>
        <v>1492.9995466666664</v>
      </c>
      <c r="G52" s="182">
        <f ca="1">TODAY()</f>
        <v>46233</v>
      </c>
      <c r="H52" s="182">
        <f ca="1">G52+25</f>
        <v>46258</v>
      </c>
      <c r="I52" s="65">
        <f ca="1">H52-G52</f>
        <v>25</v>
      </c>
      <c r="J52" s="453"/>
      <c r="K52" s="445"/>
      <c r="L52" s="65" t="str">
        <f t="shared" ca="1" si="124"/>
        <v>-</v>
      </c>
      <c r="M52" s="65" t="str">
        <f t="shared" ca="1" si="124"/>
        <v>-</v>
      </c>
      <c r="N52" s="65" t="str">
        <f t="shared" ca="1" si="124"/>
        <v>-</v>
      </c>
      <c r="O52" s="65" t="str">
        <f t="shared" ca="1" si="124"/>
        <v>-</v>
      </c>
      <c r="P52" s="65" t="str">
        <f t="shared" ca="1" si="124"/>
        <v>-</v>
      </c>
      <c r="Q52" s="65" t="str">
        <f t="shared" ca="1" si="124"/>
        <v>-</v>
      </c>
      <c r="R52" s="65" t="str">
        <f t="shared" ca="1" si="124"/>
        <v>-</v>
      </c>
      <c r="S52" s="65" t="str">
        <f t="shared" ca="1" si="124"/>
        <v>-</v>
      </c>
      <c r="T52" s="65" t="str">
        <f t="shared" ca="1" si="124"/>
        <v>-</v>
      </c>
      <c r="U52" s="65" t="str">
        <f t="shared" ca="1" si="124"/>
        <v>-</v>
      </c>
      <c r="V52" s="65" t="str">
        <f t="shared" ca="1" si="125"/>
        <v>-</v>
      </c>
      <c r="W52" s="65" t="str">
        <f t="shared" ca="1" si="125"/>
        <v>-</v>
      </c>
      <c r="X52" s="65" t="str">
        <f t="shared" ca="1" si="125"/>
        <v>-</v>
      </c>
      <c r="Y52" s="65" t="str">
        <f t="shared" ca="1" si="125"/>
        <v>-</v>
      </c>
      <c r="Z52" s="65" t="str">
        <f t="shared" ca="1" si="125"/>
        <v>-</v>
      </c>
      <c r="AA52" s="65" t="str">
        <f t="shared" ca="1" si="125"/>
        <v>-</v>
      </c>
      <c r="AB52" s="65" t="str">
        <f t="shared" ca="1" si="125"/>
        <v>-</v>
      </c>
      <c r="AC52" s="65" t="str">
        <f t="shared" ca="1" si="125"/>
        <v>-</v>
      </c>
      <c r="AD52" s="65" t="str">
        <f t="shared" ca="1" si="125"/>
        <v>-</v>
      </c>
      <c r="AE52" s="65" t="str">
        <f t="shared" ca="1" si="125"/>
        <v>-</v>
      </c>
      <c r="AF52" s="65" t="str">
        <f t="shared" ca="1" si="126"/>
        <v>-</v>
      </c>
      <c r="AG52" s="65" t="str">
        <f t="shared" ca="1" si="126"/>
        <v>-</v>
      </c>
      <c r="AH52" s="65" t="str">
        <f t="shared" ca="1" si="126"/>
        <v>-</v>
      </c>
      <c r="AI52" s="65" t="str">
        <f t="shared" ca="1" si="126"/>
        <v>-</v>
      </c>
      <c r="AJ52" s="65" t="str">
        <f t="shared" ca="1" si="126"/>
        <v>-</v>
      </c>
      <c r="AK52" s="65" t="str">
        <f t="shared" ca="1" si="126"/>
        <v>-</v>
      </c>
      <c r="AL52" s="65" t="str">
        <f t="shared" ca="1" si="126"/>
        <v>-</v>
      </c>
      <c r="AM52" s="65" t="str">
        <f t="shared" ca="1" si="126"/>
        <v>-</v>
      </c>
      <c r="AN52" s="65" t="str">
        <f t="shared" ca="1" si="126"/>
        <v>-</v>
      </c>
      <c r="AO52" s="65" t="str">
        <f t="shared" ca="1" si="126"/>
        <v>-</v>
      </c>
      <c r="AP52" s="65" t="str">
        <f t="shared" ca="1" si="127"/>
        <v>-</v>
      </c>
      <c r="AQ52" s="65" t="str">
        <f t="shared" ca="1" si="127"/>
        <v>-</v>
      </c>
      <c r="AR52" s="65" t="str">
        <f t="shared" ca="1" si="127"/>
        <v>-</v>
      </c>
      <c r="AS52" s="65" t="str">
        <f t="shared" ca="1" si="127"/>
        <v>-</v>
      </c>
      <c r="AT52" s="65" t="str">
        <f t="shared" ca="1" si="127"/>
        <v>-</v>
      </c>
      <c r="AU52" s="65" t="str">
        <f t="shared" ca="1" si="127"/>
        <v>-</v>
      </c>
      <c r="AV52" s="65" t="str">
        <f t="shared" ca="1" si="127"/>
        <v>-</v>
      </c>
      <c r="AW52" s="65" t="str">
        <f t="shared" ca="1" si="127"/>
        <v>-</v>
      </c>
      <c r="AX52" s="65">
        <f t="shared" ca="1" si="127"/>
        <v>60</v>
      </c>
      <c r="AY52" s="65">
        <f t="shared" ca="1" si="127"/>
        <v>60</v>
      </c>
      <c r="AZ52" s="65">
        <f t="shared" ca="1" si="128"/>
        <v>60</v>
      </c>
      <c r="BA52" s="65">
        <f t="shared" ca="1" si="128"/>
        <v>60</v>
      </c>
      <c r="BB52" s="65">
        <f t="shared" ca="1" si="128"/>
        <v>60</v>
      </c>
      <c r="BC52" s="65">
        <f t="shared" ca="1" si="128"/>
        <v>60</v>
      </c>
      <c r="BD52" s="65">
        <f t="shared" ca="1" si="128"/>
        <v>60</v>
      </c>
      <c r="BE52" s="65">
        <f t="shared" ca="1" si="128"/>
        <v>60</v>
      </c>
      <c r="BF52" s="65">
        <f t="shared" ca="1" si="128"/>
        <v>60</v>
      </c>
      <c r="BG52" s="65">
        <f t="shared" ca="1" si="128"/>
        <v>60</v>
      </c>
      <c r="BH52" s="65">
        <f t="shared" ca="1" si="128"/>
        <v>60</v>
      </c>
      <c r="BI52" s="65">
        <f t="shared" ca="1" si="128"/>
        <v>60</v>
      </c>
      <c r="BJ52" s="65">
        <f t="shared" ca="1" si="129"/>
        <v>60</v>
      </c>
      <c r="BK52" s="65">
        <f t="shared" ca="1" si="129"/>
        <v>60</v>
      </c>
      <c r="BL52" s="65">
        <f t="shared" ca="1" si="129"/>
        <v>60</v>
      </c>
      <c r="BM52" s="65">
        <f t="shared" ca="1" si="129"/>
        <v>60</v>
      </c>
      <c r="BN52" s="65">
        <f t="shared" ca="1" si="129"/>
        <v>60</v>
      </c>
      <c r="BO52" s="65">
        <f t="shared" ca="1" si="129"/>
        <v>60</v>
      </c>
      <c r="BP52" s="65">
        <f t="shared" ca="1" si="129"/>
        <v>60</v>
      </c>
      <c r="BQ52" s="65">
        <f t="shared" ca="1" si="129"/>
        <v>60</v>
      </c>
      <c r="BR52" s="65">
        <f t="shared" ca="1" si="129"/>
        <v>60</v>
      </c>
      <c r="BS52" s="65">
        <f t="shared" ca="1" si="129"/>
        <v>60</v>
      </c>
      <c r="BT52" s="65">
        <f t="shared" ca="1" si="130"/>
        <v>60</v>
      </c>
      <c r="BU52" s="65">
        <f ca="1">IF(AND(BU$2&gt;=$G52,BU$2&lt;($G52+$I52)),ROUND($F52/$I52,0),"-")</f>
        <v>60</v>
      </c>
      <c r="BV52" s="65">
        <f t="shared" ca="1" si="130"/>
        <v>60</v>
      </c>
      <c r="BW52" s="65" t="str">
        <f t="shared" ca="1" si="130"/>
        <v>-</v>
      </c>
      <c r="BX52" s="65" t="str">
        <f t="shared" ca="1" si="130"/>
        <v>-</v>
      </c>
      <c r="BY52" s="65" t="str">
        <f t="shared" ca="1" si="130"/>
        <v>-</v>
      </c>
      <c r="BZ52" s="65" t="str">
        <f t="shared" ca="1" si="130"/>
        <v>-</v>
      </c>
      <c r="CA52" s="65" t="str">
        <f t="shared" ca="1" si="130"/>
        <v>-</v>
      </c>
      <c r="CB52" s="65" t="str">
        <f t="shared" ca="1" si="130"/>
        <v>-</v>
      </c>
      <c r="CC52" s="65" t="str">
        <f t="shared" ca="1" si="130"/>
        <v>-</v>
      </c>
      <c r="CD52" s="65" t="str">
        <f t="shared" ca="1" si="131"/>
        <v>-</v>
      </c>
      <c r="CE52" s="65" t="str">
        <f t="shared" ca="1" si="131"/>
        <v>-</v>
      </c>
      <c r="CF52" s="65" t="str">
        <f t="shared" ca="1" si="131"/>
        <v>-</v>
      </c>
      <c r="CG52" s="65" t="str">
        <f t="shared" ca="1" si="131"/>
        <v>-</v>
      </c>
      <c r="CH52" s="65" t="str">
        <f t="shared" ca="1" si="131"/>
        <v>-</v>
      </c>
      <c r="CI52" s="65" t="str">
        <f t="shared" ca="1" si="131"/>
        <v>-</v>
      </c>
      <c r="CJ52" s="65" t="str">
        <f t="shared" ca="1" si="131"/>
        <v>-</v>
      </c>
      <c r="CK52" s="65" t="str">
        <f t="shared" ca="1" si="131"/>
        <v>-</v>
      </c>
      <c r="CL52" s="65" t="str">
        <f t="shared" ca="1" si="131"/>
        <v>-</v>
      </c>
      <c r="CM52" s="65" t="str">
        <f t="shared" ca="1" si="131"/>
        <v>-</v>
      </c>
      <c r="CN52" s="65" t="str">
        <f t="shared" ca="1" si="132"/>
        <v>-</v>
      </c>
      <c r="CO52" s="65" t="str">
        <f t="shared" ca="1" si="132"/>
        <v>-</v>
      </c>
      <c r="CP52" s="65" t="str">
        <f t="shared" ca="1" si="132"/>
        <v>-</v>
      </c>
      <c r="CQ52" s="65" t="str">
        <f t="shared" ca="1" si="132"/>
        <v>-</v>
      </c>
      <c r="CR52" s="65" t="str">
        <f t="shared" ca="1" si="132"/>
        <v>-</v>
      </c>
      <c r="CS52" s="65" t="str">
        <f t="shared" ca="1" si="132"/>
        <v>-</v>
      </c>
      <c r="CT52" s="65" t="str">
        <f t="shared" ca="1" si="132"/>
        <v>-</v>
      </c>
      <c r="CU52" s="65" t="str">
        <f t="shared" ca="1" si="132"/>
        <v>-</v>
      </c>
      <c r="CV52" s="65" t="str">
        <f t="shared" ca="1" si="132"/>
        <v>-</v>
      </c>
      <c r="CW52" s="65" t="str">
        <f t="shared" ca="1" si="132"/>
        <v>-</v>
      </c>
      <c r="CX52" s="65" t="str">
        <f t="shared" ca="1" si="133"/>
        <v>-</v>
      </c>
      <c r="CY52" s="65" t="str">
        <f t="shared" ca="1" si="133"/>
        <v>-</v>
      </c>
      <c r="CZ52" s="65" t="str">
        <f t="shared" ca="1" si="133"/>
        <v>-</v>
      </c>
      <c r="DA52" s="65" t="str">
        <f t="shared" ca="1" si="133"/>
        <v>-</v>
      </c>
      <c r="DB52" s="65" t="str">
        <f t="shared" ca="1" si="133"/>
        <v>-</v>
      </c>
      <c r="DC52" s="65" t="str">
        <f t="shared" ca="1" si="133"/>
        <v>-</v>
      </c>
      <c r="DD52" s="65" t="str">
        <f t="shared" ca="1" si="133"/>
        <v>-</v>
      </c>
      <c r="DE52" s="65" t="str">
        <f t="shared" ca="1" si="133"/>
        <v>-</v>
      </c>
      <c r="DF52" s="65" t="str">
        <f t="shared" ca="1" si="133"/>
        <v>-</v>
      </c>
      <c r="DG52" s="65" t="str">
        <f t="shared" ca="1" si="133"/>
        <v>-</v>
      </c>
      <c r="DH52" s="65" t="str">
        <f t="shared" ca="1" si="134"/>
        <v>-</v>
      </c>
      <c r="DI52" s="65" t="str">
        <f t="shared" ca="1" si="134"/>
        <v>-</v>
      </c>
      <c r="DJ52" s="65" t="str">
        <f t="shared" ca="1" si="134"/>
        <v>-</v>
      </c>
      <c r="DK52" s="65" t="str">
        <f t="shared" ca="1" si="134"/>
        <v>-</v>
      </c>
      <c r="DL52" s="65" t="str">
        <f t="shared" ca="1" si="134"/>
        <v>-</v>
      </c>
      <c r="DM52" s="65" t="str">
        <f t="shared" ca="1" si="134"/>
        <v>-</v>
      </c>
      <c r="DN52" s="65" t="str">
        <f t="shared" ca="1" si="134"/>
        <v>-</v>
      </c>
      <c r="DO52" s="65" t="str">
        <f t="shared" ca="1" si="134"/>
        <v>-</v>
      </c>
      <c r="DP52" s="65" t="str">
        <f t="shared" ca="1" si="134"/>
        <v>-</v>
      </c>
      <c r="DQ52" s="65" t="str">
        <f t="shared" ca="1" si="134"/>
        <v>-</v>
      </c>
      <c r="DR52" s="65" t="str">
        <f t="shared" ca="1" si="135"/>
        <v>-</v>
      </c>
      <c r="DS52" s="65" t="str">
        <f t="shared" ca="1" si="135"/>
        <v>-</v>
      </c>
      <c r="DT52" s="65" t="str">
        <f t="shared" ca="1" si="135"/>
        <v>-</v>
      </c>
      <c r="DU52" s="65" t="str">
        <f t="shared" ca="1" si="135"/>
        <v>-</v>
      </c>
      <c r="DV52" s="65" t="str">
        <f t="shared" ca="1" si="135"/>
        <v>-</v>
      </c>
      <c r="DW52" s="65" t="str">
        <f t="shared" ca="1" si="135"/>
        <v>-</v>
      </c>
      <c r="DX52" s="65" t="str">
        <f t="shared" ca="1" si="135"/>
        <v>-</v>
      </c>
      <c r="DY52" s="65" t="str">
        <f t="shared" ca="1" si="135"/>
        <v>-</v>
      </c>
      <c r="DZ52" s="65" t="str">
        <f t="shared" ca="1" si="135"/>
        <v>-</v>
      </c>
      <c r="EA52" s="65" t="str">
        <f t="shared" ca="1" si="135"/>
        <v>-</v>
      </c>
      <c r="EB52" s="65" t="str">
        <f t="shared" ca="1" si="136"/>
        <v>-</v>
      </c>
      <c r="EC52" s="65" t="str">
        <f t="shared" ca="1" si="136"/>
        <v>-</v>
      </c>
      <c r="ED52" s="65" t="str">
        <f t="shared" ca="1" si="136"/>
        <v>-</v>
      </c>
      <c r="EE52" s="65" t="str">
        <f t="shared" ca="1" si="136"/>
        <v>-</v>
      </c>
      <c r="EF52" s="65" t="str">
        <f t="shared" ca="1" si="136"/>
        <v>-</v>
      </c>
      <c r="EG52" s="65" t="str">
        <f t="shared" ca="1" si="136"/>
        <v>-</v>
      </c>
      <c r="EH52" s="65" t="str">
        <f t="shared" ca="1" si="136"/>
        <v>-</v>
      </c>
      <c r="EI52" s="65" t="str">
        <f t="shared" ca="1" si="136"/>
        <v>-</v>
      </c>
      <c r="EJ52" s="65" t="str">
        <f t="shared" ca="1" si="136"/>
        <v>-</v>
      </c>
      <c r="EK52" s="65" t="str">
        <f t="shared" ca="1" si="136"/>
        <v>-</v>
      </c>
      <c r="EL52" s="65" t="str">
        <f t="shared" ca="1" si="136"/>
        <v>-</v>
      </c>
      <c r="EM52" s="65" t="str">
        <f t="shared" ca="1" si="136"/>
        <v>-</v>
      </c>
      <c r="EN52" s="65" t="str">
        <f t="shared" ca="1" si="136"/>
        <v>-</v>
      </c>
    </row>
    <row r="53" spans="1:146">
      <c r="A53" s="448"/>
      <c r="B53" s="451"/>
      <c r="C53" s="451"/>
      <c r="D53" s="466"/>
      <c r="E53" s="185" t="s">
        <v>66</v>
      </c>
      <c r="F53" s="66">
        <f>SUM('BESS 11'!S301,'BESS 11'!S305,'BESS 11'!S309:S310,461)</f>
        <v>1993.0666666666668</v>
      </c>
      <c r="G53" s="182">
        <f ca="1">G52+5</f>
        <v>46238</v>
      </c>
      <c r="H53" s="182">
        <f ca="1">G53+25</f>
        <v>46263</v>
      </c>
      <c r="I53" s="65">
        <f ca="1">H53-G53</f>
        <v>25</v>
      </c>
      <c r="J53" s="453"/>
      <c r="K53" s="445"/>
      <c r="L53" s="65" t="str">
        <f t="shared" ca="1" si="124"/>
        <v>-</v>
      </c>
      <c r="M53" s="65" t="str">
        <f t="shared" ca="1" si="124"/>
        <v>-</v>
      </c>
      <c r="N53" s="65" t="str">
        <f t="shared" ca="1" si="124"/>
        <v>-</v>
      </c>
      <c r="O53" s="65" t="str">
        <f t="shared" ca="1" si="124"/>
        <v>-</v>
      </c>
      <c r="P53" s="65" t="str">
        <f t="shared" ca="1" si="124"/>
        <v>-</v>
      </c>
      <c r="Q53" s="65" t="str">
        <f t="shared" ca="1" si="124"/>
        <v>-</v>
      </c>
      <c r="R53" s="65" t="str">
        <f t="shared" ca="1" si="124"/>
        <v>-</v>
      </c>
      <c r="S53" s="65" t="str">
        <f t="shared" ca="1" si="124"/>
        <v>-</v>
      </c>
      <c r="T53" s="65" t="str">
        <f t="shared" ca="1" si="124"/>
        <v>-</v>
      </c>
      <c r="U53" s="65" t="str">
        <f t="shared" ca="1" si="124"/>
        <v>-</v>
      </c>
      <c r="V53" s="65" t="str">
        <f t="shared" ca="1" si="125"/>
        <v>-</v>
      </c>
      <c r="W53" s="65" t="str">
        <f t="shared" ca="1" si="125"/>
        <v>-</v>
      </c>
      <c r="X53" s="65" t="str">
        <f t="shared" ca="1" si="125"/>
        <v>-</v>
      </c>
      <c r="Y53" s="65" t="str">
        <f t="shared" ca="1" si="125"/>
        <v>-</v>
      </c>
      <c r="Z53" s="65" t="str">
        <f t="shared" ca="1" si="125"/>
        <v>-</v>
      </c>
      <c r="AA53" s="65" t="str">
        <f t="shared" ca="1" si="125"/>
        <v>-</v>
      </c>
      <c r="AB53" s="65" t="str">
        <f t="shared" ca="1" si="125"/>
        <v>-</v>
      </c>
      <c r="AC53" s="65" t="str">
        <f t="shared" ca="1" si="125"/>
        <v>-</v>
      </c>
      <c r="AD53" s="65" t="str">
        <f t="shared" ca="1" si="125"/>
        <v>-</v>
      </c>
      <c r="AE53" s="65" t="str">
        <f t="shared" ca="1" si="125"/>
        <v>-</v>
      </c>
      <c r="AF53" s="65" t="str">
        <f t="shared" ca="1" si="126"/>
        <v>-</v>
      </c>
      <c r="AG53" s="65" t="str">
        <f t="shared" ca="1" si="126"/>
        <v>-</v>
      </c>
      <c r="AH53" s="65" t="str">
        <f t="shared" ca="1" si="126"/>
        <v>-</v>
      </c>
      <c r="AI53" s="65" t="str">
        <f t="shared" ca="1" si="126"/>
        <v>-</v>
      </c>
      <c r="AJ53" s="65" t="str">
        <f t="shared" ca="1" si="126"/>
        <v>-</v>
      </c>
      <c r="AK53" s="65" t="str">
        <f t="shared" ca="1" si="126"/>
        <v>-</v>
      </c>
      <c r="AL53" s="65" t="str">
        <f t="shared" ca="1" si="126"/>
        <v>-</v>
      </c>
      <c r="AM53" s="65" t="str">
        <f t="shared" ca="1" si="126"/>
        <v>-</v>
      </c>
      <c r="AN53" s="65" t="str">
        <f t="shared" ca="1" si="126"/>
        <v>-</v>
      </c>
      <c r="AO53" s="65" t="str">
        <f t="shared" ca="1" si="126"/>
        <v>-</v>
      </c>
      <c r="AP53" s="65" t="str">
        <f t="shared" ca="1" si="127"/>
        <v>-</v>
      </c>
      <c r="AQ53" s="65" t="str">
        <f t="shared" ca="1" si="127"/>
        <v>-</v>
      </c>
      <c r="AR53" s="65" t="str">
        <f t="shared" ca="1" si="127"/>
        <v>-</v>
      </c>
      <c r="AS53" s="65" t="str">
        <f t="shared" ca="1" si="127"/>
        <v>-</v>
      </c>
      <c r="AT53" s="65" t="str">
        <f t="shared" ca="1" si="127"/>
        <v>-</v>
      </c>
      <c r="AU53" s="65" t="str">
        <f t="shared" ca="1" si="127"/>
        <v>-</v>
      </c>
      <c r="AV53" s="65" t="str">
        <f t="shared" ca="1" si="127"/>
        <v>-</v>
      </c>
      <c r="AW53" s="65" t="str">
        <f t="shared" ca="1" si="127"/>
        <v>-</v>
      </c>
      <c r="AX53" s="65" t="str">
        <f t="shared" ca="1" si="127"/>
        <v>-</v>
      </c>
      <c r="AY53" s="65" t="str">
        <f t="shared" ca="1" si="127"/>
        <v>-</v>
      </c>
      <c r="AZ53" s="65" t="str">
        <f t="shared" ca="1" si="128"/>
        <v>-</v>
      </c>
      <c r="BA53" s="65" t="str">
        <f t="shared" ca="1" si="128"/>
        <v>-</v>
      </c>
      <c r="BB53" s="65" t="str">
        <f t="shared" ca="1" si="128"/>
        <v>-</v>
      </c>
      <c r="BC53" s="65">
        <f t="shared" ca="1" si="128"/>
        <v>80</v>
      </c>
      <c r="BD53" s="65">
        <f t="shared" ca="1" si="128"/>
        <v>80</v>
      </c>
      <c r="BE53" s="65">
        <f t="shared" ca="1" si="128"/>
        <v>80</v>
      </c>
      <c r="BF53" s="65">
        <f t="shared" ca="1" si="128"/>
        <v>80</v>
      </c>
      <c r="BG53" s="65">
        <f t="shared" ca="1" si="128"/>
        <v>80</v>
      </c>
      <c r="BH53" s="65">
        <f t="shared" ca="1" si="128"/>
        <v>80</v>
      </c>
      <c r="BI53" s="65">
        <f t="shared" ca="1" si="128"/>
        <v>80</v>
      </c>
      <c r="BJ53" s="65">
        <f t="shared" ca="1" si="129"/>
        <v>80</v>
      </c>
      <c r="BK53" s="65">
        <f t="shared" ca="1" si="129"/>
        <v>80</v>
      </c>
      <c r="BL53" s="65">
        <f t="shared" ca="1" si="129"/>
        <v>80</v>
      </c>
      <c r="BM53" s="65">
        <f t="shared" ca="1" si="129"/>
        <v>80</v>
      </c>
      <c r="BN53" s="65">
        <f t="shared" ca="1" si="129"/>
        <v>80</v>
      </c>
      <c r="BO53" s="65">
        <f t="shared" ca="1" si="129"/>
        <v>80</v>
      </c>
      <c r="BP53" s="65">
        <f t="shared" ca="1" si="129"/>
        <v>80</v>
      </c>
      <c r="BQ53" s="65">
        <f t="shared" ca="1" si="129"/>
        <v>80</v>
      </c>
      <c r="BR53" s="65">
        <v>136</v>
      </c>
      <c r="BS53" s="65">
        <v>136</v>
      </c>
      <c r="BT53" s="65">
        <v>136</v>
      </c>
      <c r="BU53" s="65">
        <v>136</v>
      </c>
      <c r="BV53" s="65">
        <f t="shared" ca="1" si="130"/>
        <v>80</v>
      </c>
      <c r="BW53" s="65">
        <f t="shared" ca="1" si="130"/>
        <v>80</v>
      </c>
      <c r="BX53" s="65">
        <f t="shared" ca="1" si="130"/>
        <v>80</v>
      </c>
      <c r="BY53" s="65">
        <f t="shared" ca="1" si="130"/>
        <v>80</v>
      </c>
      <c r="BZ53" s="65">
        <f t="shared" ca="1" si="130"/>
        <v>80</v>
      </c>
      <c r="CA53" s="65">
        <f t="shared" ca="1" si="130"/>
        <v>80</v>
      </c>
      <c r="CB53" s="65" t="str">
        <f t="shared" ca="1" si="130"/>
        <v>-</v>
      </c>
      <c r="CC53" s="65" t="str">
        <f t="shared" ca="1" si="130"/>
        <v>-</v>
      </c>
      <c r="CD53" s="65" t="str">
        <f t="shared" ca="1" si="131"/>
        <v>-</v>
      </c>
      <c r="CE53" s="65" t="str">
        <f t="shared" ca="1" si="131"/>
        <v>-</v>
      </c>
      <c r="CF53" s="65" t="str">
        <f t="shared" ca="1" si="131"/>
        <v>-</v>
      </c>
      <c r="CG53" s="65" t="str">
        <f t="shared" ca="1" si="131"/>
        <v>-</v>
      </c>
      <c r="CH53" s="65" t="str">
        <f t="shared" ca="1" si="131"/>
        <v>-</v>
      </c>
      <c r="CI53" s="65" t="str">
        <f t="shared" ca="1" si="131"/>
        <v>-</v>
      </c>
      <c r="CJ53" s="65" t="str">
        <f t="shared" ca="1" si="131"/>
        <v>-</v>
      </c>
      <c r="CK53" s="65" t="str">
        <f t="shared" ca="1" si="131"/>
        <v>-</v>
      </c>
      <c r="CL53" s="65" t="str">
        <f t="shared" ca="1" si="131"/>
        <v>-</v>
      </c>
      <c r="CM53" s="65" t="str">
        <f t="shared" ca="1" si="131"/>
        <v>-</v>
      </c>
      <c r="CN53" s="65" t="str">
        <f t="shared" ca="1" si="132"/>
        <v>-</v>
      </c>
      <c r="CO53" s="65" t="str">
        <f t="shared" ca="1" si="132"/>
        <v>-</v>
      </c>
      <c r="CP53" s="65" t="str">
        <f t="shared" ca="1" si="132"/>
        <v>-</v>
      </c>
      <c r="CQ53" s="65" t="str">
        <f t="shared" ca="1" si="132"/>
        <v>-</v>
      </c>
      <c r="CR53" s="65" t="str">
        <f t="shared" ca="1" si="132"/>
        <v>-</v>
      </c>
      <c r="CS53" s="65" t="str">
        <f t="shared" ca="1" si="132"/>
        <v>-</v>
      </c>
      <c r="CT53" s="65" t="str">
        <f t="shared" ca="1" si="132"/>
        <v>-</v>
      </c>
      <c r="CU53" s="65" t="str">
        <f t="shared" ca="1" si="132"/>
        <v>-</v>
      </c>
      <c r="CV53" s="65" t="str">
        <f t="shared" ca="1" si="132"/>
        <v>-</v>
      </c>
      <c r="CW53" s="65" t="str">
        <f t="shared" ca="1" si="132"/>
        <v>-</v>
      </c>
      <c r="CX53" s="65" t="str">
        <f t="shared" ca="1" si="133"/>
        <v>-</v>
      </c>
      <c r="CY53" s="65" t="str">
        <f t="shared" ca="1" si="133"/>
        <v>-</v>
      </c>
      <c r="CZ53" s="65" t="str">
        <f t="shared" ca="1" si="133"/>
        <v>-</v>
      </c>
      <c r="DA53" s="65" t="str">
        <f t="shared" ca="1" si="133"/>
        <v>-</v>
      </c>
      <c r="DB53" s="65" t="str">
        <f t="shared" ca="1" si="133"/>
        <v>-</v>
      </c>
      <c r="DC53" s="65" t="str">
        <f t="shared" ca="1" si="133"/>
        <v>-</v>
      </c>
      <c r="DD53" s="65" t="str">
        <f t="shared" ca="1" si="133"/>
        <v>-</v>
      </c>
      <c r="DE53" s="65" t="str">
        <f t="shared" ca="1" si="133"/>
        <v>-</v>
      </c>
      <c r="DF53" s="65" t="str">
        <f t="shared" ca="1" si="133"/>
        <v>-</v>
      </c>
      <c r="DG53" s="65" t="str">
        <f t="shared" ca="1" si="133"/>
        <v>-</v>
      </c>
      <c r="DH53" s="65" t="str">
        <f t="shared" ca="1" si="134"/>
        <v>-</v>
      </c>
      <c r="DI53" s="65" t="str">
        <f t="shared" ca="1" si="134"/>
        <v>-</v>
      </c>
      <c r="DJ53" s="65" t="str">
        <f t="shared" ca="1" si="134"/>
        <v>-</v>
      </c>
      <c r="DK53" s="65" t="str">
        <f t="shared" ca="1" si="134"/>
        <v>-</v>
      </c>
      <c r="DL53" s="65" t="str">
        <f t="shared" ca="1" si="134"/>
        <v>-</v>
      </c>
      <c r="DM53" s="65" t="str">
        <f t="shared" ca="1" si="134"/>
        <v>-</v>
      </c>
      <c r="DN53" s="65" t="str">
        <f t="shared" ca="1" si="134"/>
        <v>-</v>
      </c>
      <c r="DO53" s="65" t="str">
        <f t="shared" ca="1" si="134"/>
        <v>-</v>
      </c>
      <c r="DP53" s="65" t="str">
        <f t="shared" ca="1" si="134"/>
        <v>-</v>
      </c>
      <c r="DQ53" s="65" t="str">
        <f t="shared" ca="1" si="134"/>
        <v>-</v>
      </c>
      <c r="DR53" s="65" t="str">
        <f t="shared" ca="1" si="135"/>
        <v>-</v>
      </c>
      <c r="DS53" s="65" t="str">
        <f t="shared" ca="1" si="135"/>
        <v>-</v>
      </c>
      <c r="DT53" s="65" t="str">
        <f t="shared" ca="1" si="135"/>
        <v>-</v>
      </c>
      <c r="DU53" s="65" t="str">
        <f t="shared" ca="1" si="135"/>
        <v>-</v>
      </c>
      <c r="DV53" s="65" t="str">
        <f t="shared" ca="1" si="135"/>
        <v>-</v>
      </c>
      <c r="DW53" s="65" t="str">
        <f t="shared" ca="1" si="135"/>
        <v>-</v>
      </c>
      <c r="DX53" s="65" t="str">
        <f t="shared" ca="1" si="135"/>
        <v>-</v>
      </c>
      <c r="DY53" s="65" t="str">
        <f t="shared" ca="1" si="135"/>
        <v>-</v>
      </c>
      <c r="DZ53" s="65" t="str">
        <f t="shared" ca="1" si="135"/>
        <v>-</v>
      </c>
      <c r="EA53" s="65" t="str">
        <f t="shared" ca="1" si="135"/>
        <v>-</v>
      </c>
      <c r="EB53" s="65" t="str">
        <f t="shared" ca="1" si="136"/>
        <v>-</v>
      </c>
      <c r="EC53" s="65" t="str">
        <f t="shared" ca="1" si="136"/>
        <v>-</v>
      </c>
      <c r="ED53" s="65" t="str">
        <f t="shared" ca="1" si="136"/>
        <v>-</v>
      </c>
      <c r="EE53" s="65" t="str">
        <f t="shared" ca="1" si="136"/>
        <v>-</v>
      </c>
      <c r="EF53" s="65" t="str">
        <f t="shared" ca="1" si="136"/>
        <v>-</v>
      </c>
      <c r="EG53" s="65" t="str">
        <f t="shared" ca="1" si="136"/>
        <v>-</v>
      </c>
      <c r="EH53" s="65" t="str">
        <f t="shared" ca="1" si="136"/>
        <v>-</v>
      </c>
      <c r="EI53" s="65" t="str">
        <f t="shared" ca="1" si="136"/>
        <v>-</v>
      </c>
      <c r="EJ53" s="65" t="str">
        <f t="shared" ca="1" si="136"/>
        <v>-</v>
      </c>
      <c r="EK53" s="65" t="str">
        <f t="shared" ca="1" si="136"/>
        <v>-</v>
      </c>
      <c r="EL53" s="65" t="str">
        <f t="shared" ca="1" si="136"/>
        <v>-</v>
      </c>
      <c r="EM53" s="65" t="str">
        <f t="shared" ca="1" si="136"/>
        <v>-</v>
      </c>
      <c r="EN53" s="65" t="str">
        <f t="shared" ca="1" si="136"/>
        <v>-</v>
      </c>
    </row>
    <row r="54" spans="1:146">
      <c r="A54" s="448"/>
      <c r="B54" s="451"/>
      <c r="C54" s="451"/>
      <c r="D54" s="466"/>
      <c r="E54" s="185" t="s">
        <v>67</v>
      </c>
      <c r="F54" s="66">
        <f>SUM('BESS 11'!S313:S321)</f>
        <v>340.69333333333333</v>
      </c>
      <c r="G54" s="182">
        <f ca="1">H53-10</f>
        <v>46253</v>
      </c>
      <c r="H54" s="182">
        <f ca="1">G54+14</f>
        <v>46267</v>
      </c>
      <c r="I54" s="65">
        <f ca="1">H54-G54</f>
        <v>14</v>
      </c>
      <c r="J54" s="453"/>
      <c r="K54" s="445"/>
      <c r="L54" s="65" t="str">
        <f t="shared" ca="1" si="124"/>
        <v>-</v>
      </c>
      <c r="M54" s="65" t="str">
        <f t="shared" ca="1" si="124"/>
        <v>-</v>
      </c>
      <c r="N54" s="65" t="str">
        <f t="shared" ca="1" si="124"/>
        <v>-</v>
      </c>
      <c r="O54" s="65" t="str">
        <f t="shared" ca="1" si="124"/>
        <v>-</v>
      </c>
      <c r="P54" s="65" t="str">
        <f t="shared" ca="1" si="124"/>
        <v>-</v>
      </c>
      <c r="Q54" s="65" t="str">
        <f t="shared" ca="1" si="124"/>
        <v>-</v>
      </c>
      <c r="R54" s="65" t="str">
        <f t="shared" ca="1" si="124"/>
        <v>-</v>
      </c>
      <c r="S54" s="65" t="str">
        <f t="shared" ca="1" si="124"/>
        <v>-</v>
      </c>
      <c r="T54" s="65" t="str">
        <f t="shared" ca="1" si="124"/>
        <v>-</v>
      </c>
      <c r="U54" s="65" t="str">
        <f t="shared" ca="1" si="124"/>
        <v>-</v>
      </c>
      <c r="V54" s="65" t="str">
        <f t="shared" ca="1" si="125"/>
        <v>-</v>
      </c>
      <c r="W54" s="65" t="str">
        <f t="shared" ca="1" si="125"/>
        <v>-</v>
      </c>
      <c r="X54" s="65" t="str">
        <f t="shared" ca="1" si="125"/>
        <v>-</v>
      </c>
      <c r="Y54" s="65" t="str">
        <f t="shared" ca="1" si="125"/>
        <v>-</v>
      </c>
      <c r="Z54" s="65" t="str">
        <f t="shared" ca="1" si="125"/>
        <v>-</v>
      </c>
      <c r="AA54" s="65" t="str">
        <f t="shared" ca="1" si="125"/>
        <v>-</v>
      </c>
      <c r="AB54" s="65" t="str">
        <f t="shared" ca="1" si="125"/>
        <v>-</v>
      </c>
      <c r="AC54" s="65" t="str">
        <f t="shared" ca="1" si="125"/>
        <v>-</v>
      </c>
      <c r="AD54" s="65" t="str">
        <f t="shared" ca="1" si="125"/>
        <v>-</v>
      </c>
      <c r="AE54" s="65" t="str">
        <f t="shared" ca="1" si="125"/>
        <v>-</v>
      </c>
      <c r="AF54" s="65" t="str">
        <f t="shared" ca="1" si="126"/>
        <v>-</v>
      </c>
      <c r="AG54" s="65" t="str">
        <f t="shared" ca="1" si="126"/>
        <v>-</v>
      </c>
      <c r="AH54" s="65" t="str">
        <f t="shared" ca="1" si="126"/>
        <v>-</v>
      </c>
      <c r="AI54" s="65" t="str">
        <f t="shared" ca="1" si="126"/>
        <v>-</v>
      </c>
      <c r="AJ54" s="65" t="str">
        <f t="shared" ca="1" si="126"/>
        <v>-</v>
      </c>
      <c r="AK54" s="65" t="str">
        <f t="shared" ca="1" si="126"/>
        <v>-</v>
      </c>
      <c r="AL54" s="65" t="str">
        <f t="shared" ca="1" si="126"/>
        <v>-</v>
      </c>
      <c r="AM54" s="65" t="str">
        <f t="shared" ca="1" si="126"/>
        <v>-</v>
      </c>
      <c r="AN54" s="65" t="str">
        <f t="shared" ca="1" si="126"/>
        <v>-</v>
      </c>
      <c r="AO54" s="65" t="str">
        <f t="shared" ca="1" si="126"/>
        <v>-</v>
      </c>
      <c r="AP54" s="65" t="str">
        <f t="shared" ca="1" si="127"/>
        <v>-</v>
      </c>
      <c r="AQ54" s="65" t="str">
        <f t="shared" ca="1" si="127"/>
        <v>-</v>
      </c>
      <c r="AR54" s="65" t="str">
        <f t="shared" ca="1" si="127"/>
        <v>-</v>
      </c>
      <c r="AS54" s="65" t="str">
        <f t="shared" ca="1" si="127"/>
        <v>-</v>
      </c>
      <c r="AT54" s="65" t="str">
        <f t="shared" ca="1" si="127"/>
        <v>-</v>
      </c>
      <c r="AU54" s="65" t="str">
        <f t="shared" ca="1" si="127"/>
        <v>-</v>
      </c>
      <c r="AV54" s="65" t="str">
        <f t="shared" ca="1" si="127"/>
        <v>-</v>
      </c>
      <c r="AW54" s="65" t="str">
        <f t="shared" ca="1" si="127"/>
        <v>-</v>
      </c>
      <c r="AX54" s="65" t="str">
        <f t="shared" ca="1" si="127"/>
        <v>-</v>
      </c>
      <c r="AY54" s="65" t="str">
        <f t="shared" ca="1" si="127"/>
        <v>-</v>
      </c>
      <c r="AZ54" s="65" t="str">
        <f t="shared" ca="1" si="128"/>
        <v>-</v>
      </c>
      <c r="BA54" s="65" t="str">
        <f t="shared" ca="1" si="128"/>
        <v>-</v>
      </c>
      <c r="BB54" s="65" t="str">
        <f t="shared" ca="1" si="128"/>
        <v>-</v>
      </c>
      <c r="BC54" s="65" t="str">
        <f t="shared" ca="1" si="128"/>
        <v>-</v>
      </c>
      <c r="BD54" s="65" t="str">
        <f t="shared" ca="1" si="128"/>
        <v>-</v>
      </c>
      <c r="BE54" s="65" t="str">
        <f t="shared" ca="1" si="128"/>
        <v>-</v>
      </c>
      <c r="BF54" s="65" t="str">
        <f t="shared" ca="1" si="128"/>
        <v>-</v>
      </c>
      <c r="BG54" s="65" t="str">
        <f t="shared" ca="1" si="128"/>
        <v>-</v>
      </c>
      <c r="BH54" s="65" t="str">
        <f t="shared" ca="1" si="128"/>
        <v>-</v>
      </c>
      <c r="BI54" s="65" t="str">
        <f t="shared" ca="1" si="128"/>
        <v>-</v>
      </c>
      <c r="BJ54" s="65" t="str">
        <f t="shared" ca="1" si="129"/>
        <v>-</v>
      </c>
      <c r="BK54" s="65" t="str">
        <f t="shared" ca="1" si="129"/>
        <v>-</v>
      </c>
      <c r="BL54" s="65" t="str">
        <f t="shared" ca="1" si="129"/>
        <v>-</v>
      </c>
      <c r="BM54" s="65" t="str">
        <f t="shared" ca="1" si="129"/>
        <v>-</v>
      </c>
      <c r="BN54" s="65" t="str">
        <f t="shared" ca="1" si="129"/>
        <v>-</v>
      </c>
      <c r="BO54" s="65" t="str">
        <f t="shared" ca="1" si="129"/>
        <v>-</v>
      </c>
      <c r="BP54" s="65" t="str">
        <f t="shared" ca="1" si="129"/>
        <v>-</v>
      </c>
      <c r="BQ54" s="65" t="str">
        <f t="shared" ca="1" si="129"/>
        <v>-</v>
      </c>
      <c r="BR54" s="65">
        <f t="shared" ca="1" si="129"/>
        <v>24</v>
      </c>
      <c r="BS54" s="65">
        <f t="shared" ca="1" si="129"/>
        <v>24</v>
      </c>
      <c r="BT54" s="65">
        <f t="shared" ca="1" si="130"/>
        <v>24</v>
      </c>
      <c r="BU54" s="65">
        <f t="shared" ca="1" si="130"/>
        <v>24</v>
      </c>
      <c r="BV54" s="65">
        <f t="shared" ca="1" si="130"/>
        <v>24</v>
      </c>
      <c r="BW54" s="65">
        <f t="shared" ca="1" si="130"/>
        <v>24</v>
      </c>
      <c r="BX54" s="65">
        <f t="shared" ca="1" si="130"/>
        <v>24</v>
      </c>
      <c r="BY54" s="65">
        <f t="shared" ca="1" si="130"/>
        <v>24</v>
      </c>
      <c r="BZ54" s="65">
        <f t="shared" ca="1" si="130"/>
        <v>24</v>
      </c>
      <c r="CA54" s="65">
        <f t="shared" ca="1" si="130"/>
        <v>24</v>
      </c>
      <c r="CB54" s="65">
        <f t="shared" ca="1" si="130"/>
        <v>24</v>
      </c>
      <c r="CC54" s="65">
        <f t="shared" ca="1" si="130"/>
        <v>24</v>
      </c>
      <c r="CD54" s="65">
        <f t="shared" ca="1" si="131"/>
        <v>24</v>
      </c>
      <c r="CE54" s="65">
        <f t="shared" ca="1" si="131"/>
        <v>24</v>
      </c>
      <c r="CF54" s="65" t="str">
        <f t="shared" ca="1" si="131"/>
        <v>-</v>
      </c>
      <c r="CG54" s="65" t="str">
        <f t="shared" ca="1" si="131"/>
        <v>-</v>
      </c>
      <c r="CH54" s="65" t="str">
        <f t="shared" ca="1" si="131"/>
        <v>-</v>
      </c>
      <c r="CI54" s="164" t="str">
        <f t="shared" ca="1" si="131"/>
        <v>-</v>
      </c>
      <c r="CJ54" s="164" t="str">
        <f t="shared" ca="1" si="131"/>
        <v>-</v>
      </c>
      <c r="CK54" s="164" t="str">
        <f t="shared" ca="1" si="131"/>
        <v>-</v>
      </c>
      <c r="CL54" s="164" t="str">
        <f t="shared" ca="1" si="131"/>
        <v>-</v>
      </c>
      <c r="CM54" s="164" t="str">
        <f t="shared" ca="1" si="131"/>
        <v>-</v>
      </c>
      <c r="CN54" s="164" t="str">
        <f t="shared" ca="1" si="132"/>
        <v>-</v>
      </c>
      <c r="CO54" s="164" t="str">
        <f t="shared" ca="1" si="132"/>
        <v>-</v>
      </c>
      <c r="CP54" s="164" t="str">
        <f t="shared" ca="1" si="132"/>
        <v>-</v>
      </c>
      <c r="CQ54" s="164" t="str">
        <f t="shared" ca="1" si="132"/>
        <v>-</v>
      </c>
      <c r="CR54" s="164" t="str">
        <f t="shared" ca="1" si="132"/>
        <v>-</v>
      </c>
      <c r="CS54" s="164" t="str">
        <f t="shared" ca="1" si="132"/>
        <v>-</v>
      </c>
      <c r="CT54" s="164" t="str">
        <f t="shared" ca="1" si="132"/>
        <v>-</v>
      </c>
      <c r="CU54" s="164" t="str">
        <f t="shared" ca="1" si="132"/>
        <v>-</v>
      </c>
      <c r="CV54" s="164" t="str">
        <f t="shared" ca="1" si="132"/>
        <v>-</v>
      </c>
      <c r="CW54" s="164" t="str">
        <f t="shared" ca="1" si="132"/>
        <v>-</v>
      </c>
      <c r="CX54" s="164" t="str">
        <f t="shared" ca="1" si="133"/>
        <v>-</v>
      </c>
      <c r="CY54" s="164" t="str">
        <f t="shared" ca="1" si="133"/>
        <v>-</v>
      </c>
      <c r="CZ54" s="164" t="str">
        <f t="shared" ca="1" si="133"/>
        <v>-</v>
      </c>
      <c r="DA54" s="164" t="str">
        <f t="shared" ca="1" si="133"/>
        <v>-</v>
      </c>
      <c r="DB54" s="164" t="str">
        <f t="shared" ca="1" si="133"/>
        <v>-</v>
      </c>
      <c r="DC54" s="164" t="str">
        <f t="shared" ca="1" si="133"/>
        <v>-</v>
      </c>
      <c r="DD54" s="164" t="str">
        <f t="shared" ca="1" si="133"/>
        <v>-</v>
      </c>
      <c r="DE54" s="164" t="str">
        <f t="shared" ca="1" si="133"/>
        <v>-</v>
      </c>
      <c r="DF54" s="164" t="str">
        <f t="shared" ca="1" si="133"/>
        <v>-</v>
      </c>
      <c r="DG54" s="164" t="str">
        <f t="shared" ca="1" si="133"/>
        <v>-</v>
      </c>
      <c r="DH54" s="164" t="str">
        <f t="shared" ca="1" si="134"/>
        <v>-</v>
      </c>
      <c r="DI54" s="164" t="str">
        <f t="shared" ca="1" si="134"/>
        <v>-</v>
      </c>
      <c r="DJ54" s="164" t="str">
        <f t="shared" ca="1" si="134"/>
        <v>-</v>
      </c>
      <c r="DK54" s="164" t="str">
        <f t="shared" ca="1" si="134"/>
        <v>-</v>
      </c>
      <c r="DL54" s="164" t="str">
        <f t="shared" ca="1" si="134"/>
        <v>-</v>
      </c>
      <c r="DM54" s="164" t="str">
        <f t="shared" ca="1" si="134"/>
        <v>-</v>
      </c>
      <c r="DN54" s="164" t="str">
        <f t="shared" ca="1" si="134"/>
        <v>-</v>
      </c>
      <c r="DO54" s="164" t="str">
        <f t="shared" ca="1" si="134"/>
        <v>-</v>
      </c>
      <c r="DP54" s="164" t="str">
        <f t="shared" ca="1" si="134"/>
        <v>-</v>
      </c>
      <c r="DQ54" s="164" t="str">
        <f t="shared" ca="1" si="134"/>
        <v>-</v>
      </c>
      <c r="DR54" s="164" t="str">
        <f t="shared" ca="1" si="135"/>
        <v>-</v>
      </c>
      <c r="DS54" s="164" t="str">
        <f t="shared" ca="1" si="135"/>
        <v>-</v>
      </c>
      <c r="DT54" s="164" t="str">
        <f t="shared" ca="1" si="135"/>
        <v>-</v>
      </c>
      <c r="DU54" s="164" t="str">
        <f t="shared" ca="1" si="135"/>
        <v>-</v>
      </c>
      <c r="DV54" s="164" t="str">
        <f t="shared" ca="1" si="135"/>
        <v>-</v>
      </c>
      <c r="DW54" s="164" t="str">
        <f t="shared" ca="1" si="135"/>
        <v>-</v>
      </c>
      <c r="DX54" s="164" t="str">
        <f t="shared" ca="1" si="135"/>
        <v>-</v>
      </c>
      <c r="DY54" s="164" t="str">
        <f t="shared" ca="1" si="135"/>
        <v>-</v>
      </c>
      <c r="DZ54" s="164" t="str">
        <f t="shared" ca="1" si="135"/>
        <v>-</v>
      </c>
      <c r="EA54" s="164" t="str">
        <f t="shared" ca="1" si="135"/>
        <v>-</v>
      </c>
      <c r="EB54" s="164" t="str">
        <f t="shared" ca="1" si="136"/>
        <v>-</v>
      </c>
      <c r="EC54" s="164" t="str">
        <f t="shared" ca="1" si="136"/>
        <v>-</v>
      </c>
      <c r="ED54" s="164" t="str">
        <f t="shared" ca="1" si="136"/>
        <v>-</v>
      </c>
      <c r="EE54" s="164" t="str">
        <f t="shared" ca="1" si="136"/>
        <v>-</v>
      </c>
      <c r="EF54" s="164" t="str">
        <f t="shared" ca="1" si="136"/>
        <v>-</v>
      </c>
      <c r="EG54" s="164" t="str">
        <f t="shared" ca="1" si="136"/>
        <v>-</v>
      </c>
      <c r="EH54" s="164" t="str">
        <f t="shared" ca="1" si="136"/>
        <v>-</v>
      </c>
      <c r="EI54" s="164" t="str">
        <f t="shared" ca="1" si="136"/>
        <v>-</v>
      </c>
      <c r="EJ54" s="164" t="str">
        <f t="shared" ca="1" si="136"/>
        <v>-</v>
      </c>
      <c r="EK54" s="164" t="str">
        <f t="shared" ca="1" si="136"/>
        <v>-</v>
      </c>
      <c r="EL54" s="164" t="str">
        <f t="shared" ca="1" si="136"/>
        <v>-</v>
      </c>
      <c r="EM54" s="164" t="str">
        <f t="shared" ca="1" si="136"/>
        <v>-</v>
      </c>
      <c r="EN54" s="164" t="str">
        <f t="shared" ca="1" si="136"/>
        <v>-</v>
      </c>
    </row>
    <row r="55" spans="1:146">
      <c r="A55" s="449"/>
      <c r="B55" s="452"/>
      <c r="C55" s="452"/>
      <c r="D55" s="466"/>
      <c r="E55" s="185" t="s">
        <v>68</v>
      </c>
      <c r="F55" s="65">
        <v>250</v>
      </c>
      <c r="G55" s="185"/>
      <c r="H55" s="182" t="e">
        <f>B50-3</f>
        <v>#VALUE!</v>
      </c>
      <c r="I55" s="65">
        <v>30</v>
      </c>
      <c r="J55" s="454"/>
      <c r="K55" s="446"/>
      <c r="L55" s="182"/>
      <c r="M55" s="182"/>
      <c r="N55" s="65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BM55" s="65"/>
      <c r="BN55" s="65"/>
      <c r="BO55" s="65"/>
      <c r="BP55" s="65">
        <v>5</v>
      </c>
      <c r="BQ55" s="65">
        <v>5</v>
      </c>
      <c r="BR55" s="65">
        <v>5</v>
      </c>
      <c r="BS55" s="65">
        <v>5</v>
      </c>
      <c r="BT55" s="65">
        <v>5</v>
      </c>
      <c r="BU55" s="65">
        <v>5</v>
      </c>
      <c r="BV55" s="65">
        <v>5</v>
      </c>
      <c r="BW55" s="65">
        <v>5</v>
      </c>
      <c r="BX55" s="65">
        <v>5</v>
      </c>
      <c r="BY55" s="65">
        <v>5</v>
      </c>
      <c r="BZ55" s="65">
        <v>5</v>
      </c>
      <c r="CA55" s="65">
        <v>5</v>
      </c>
      <c r="CB55" s="65">
        <v>5</v>
      </c>
      <c r="CC55" s="65">
        <v>5</v>
      </c>
      <c r="CD55" s="65">
        <v>5</v>
      </c>
      <c r="CE55" s="65">
        <v>5</v>
      </c>
      <c r="CF55" s="65">
        <v>5</v>
      </c>
      <c r="CG55" s="65">
        <v>5</v>
      </c>
      <c r="CH55" s="65">
        <v>5</v>
      </c>
      <c r="CI55" s="65">
        <v>5</v>
      </c>
      <c r="CJ55" s="65">
        <v>5</v>
      </c>
      <c r="CK55" s="65">
        <v>5</v>
      </c>
      <c r="CL55" s="65">
        <v>5</v>
      </c>
      <c r="CM55" s="65">
        <v>5</v>
      </c>
      <c r="CN55" s="65">
        <v>30</v>
      </c>
      <c r="CO55" s="65">
        <v>30</v>
      </c>
      <c r="CP55" s="65">
        <v>30</v>
      </c>
      <c r="CQ55" s="65">
        <v>30</v>
      </c>
      <c r="CR55" s="65">
        <v>5</v>
      </c>
      <c r="CS55" s="65">
        <v>5</v>
      </c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186"/>
      <c r="DV55" s="185"/>
      <c r="DW55" s="185"/>
      <c r="DX55" s="185"/>
      <c r="DY55" s="185"/>
      <c r="DZ55" s="185"/>
      <c r="EA55" s="185"/>
      <c r="EB55" s="185"/>
      <c r="EC55" s="185"/>
      <c r="ED55" s="185"/>
      <c r="EE55" s="185"/>
      <c r="EF55" s="185"/>
      <c r="EG55" s="185"/>
      <c r="EH55" s="185"/>
      <c r="EI55" s="185"/>
      <c r="EJ55" s="185"/>
      <c r="EK55" s="185"/>
      <c r="EL55" s="185"/>
      <c r="EM55" s="185"/>
      <c r="EN55" s="185"/>
    </row>
    <row r="56" spans="1:146" s="207" customFormat="1" hidden="1">
      <c r="A56" s="236"/>
      <c r="B56" s="209"/>
      <c r="E56" s="201"/>
      <c r="F56" s="201"/>
      <c r="G56" s="204" t="s">
        <v>69</v>
      </c>
      <c r="H56" s="203"/>
      <c r="I56" s="203"/>
      <c r="J56" s="230"/>
      <c r="K56" s="230"/>
      <c r="L56" s="205">
        <f ca="1">SUM(L51:L55)</f>
        <v>0</v>
      </c>
      <c r="M56" s="205">
        <f ca="1">SUM(M51:M55)</f>
        <v>0</v>
      </c>
      <c r="N56" s="205">
        <f ca="1">SUM(N51:N55)</f>
        <v>0</v>
      </c>
      <c r="O56" s="205">
        <f t="shared" ref="O56:AZ56" ca="1" si="137">SUM(O51:O55)</f>
        <v>0</v>
      </c>
      <c r="P56" s="205">
        <f t="shared" ca="1" si="137"/>
        <v>0</v>
      </c>
      <c r="Q56" s="205">
        <f t="shared" ca="1" si="137"/>
        <v>0</v>
      </c>
      <c r="R56" s="205">
        <f t="shared" ca="1" si="137"/>
        <v>0</v>
      </c>
      <c r="S56" s="205">
        <f t="shared" ca="1" si="137"/>
        <v>0</v>
      </c>
      <c r="T56" s="205">
        <f t="shared" ca="1" si="137"/>
        <v>0</v>
      </c>
      <c r="U56" s="205">
        <f t="shared" ca="1" si="137"/>
        <v>0</v>
      </c>
      <c r="V56" s="205">
        <f t="shared" ca="1" si="137"/>
        <v>0</v>
      </c>
      <c r="W56" s="205">
        <f t="shared" ca="1" si="137"/>
        <v>0</v>
      </c>
      <c r="X56" s="205">
        <f t="shared" ca="1" si="137"/>
        <v>0</v>
      </c>
      <c r="Y56" s="205">
        <f t="shared" ca="1" si="137"/>
        <v>0</v>
      </c>
      <c r="Z56" s="205">
        <f t="shared" ca="1" si="137"/>
        <v>0</v>
      </c>
      <c r="AA56" s="205">
        <f t="shared" ca="1" si="137"/>
        <v>0</v>
      </c>
      <c r="AB56" s="205">
        <f t="shared" ca="1" si="137"/>
        <v>0</v>
      </c>
      <c r="AC56" s="205">
        <f t="shared" ca="1" si="137"/>
        <v>0</v>
      </c>
      <c r="AD56" s="205">
        <f t="shared" ca="1" si="137"/>
        <v>0</v>
      </c>
      <c r="AE56" s="205">
        <f t="shared" ca="1" si="137"/>
        <v>0</v>
      </c>
      <c r="AF56" s="205">
        <f t="shared" ca="1" si="137"/>
        <v>0</v>
      </c>
      <c r="AG56" s="205">
        <f t="shared" ca="1" si="137"/>
        <v>0</v>
      </c>
      <c r="AH56" s="205">
        <f t="shared" ca="1" si="137"/>
        <v>0</v>
      </c>
      <c r="AI56" s="205">
        <f t="shared" ca="1" si="137"/>
        <v>0</v>
      </c>
      <c r="AJ56" s="205">
        <f t="shared" ca="1" si="137"/>
        <v>0</v>
      </c>
      <c r="AK56" s="205">
        <f t="shared" ca="1" si="137"/>
        <v>0</v>
      </c>
      <c r="AL56" s="205">
        <f t="shared" ca="1" si="137"/>
        <v>0</v>
      </c>
      <c r="AM56" s="205">
        <f t="shared" ca="1" si="137"/>
        <v>0</v>
      </c>
      <c r="AN56" s="205">
        <f t="shared" ca="1" si="137"/>
        <v>0</v>
      </c>
      <c r="AO56" s="205">
        <f t="shared" ca="1" si="137"/>
        <v>0</v>
      </c>
      <c r="AP56" s="205">
        <f t="shared" ca="1" si="137"/>
        <v>0</v>
      </c>
      <c r="AQ56" s="205">
        <f t="shared" ca="1" si="137"/>
        <v>0</v>
      </c>
      <c r="AR56" s="205">
        <f t="shared" ca="1" si="137"/>
        <v>0</v>
      </c>
      <c r="AS56" s="205">
        <f t="shared" ca="1" si="137"/>
        <v>0</v>
      </c>
      <c r="AT56" s="205">
        <f t="shared" ca="1" si="137"/>
        <v>0</v>
      </c>
      <c r="AU56" s="205">
        <f t="shared" ca="1" si="137"/>
        <v>0</v>
      </c>
      <c r="AV56" s="205">
        <f t="shared" ca="1" si="137"/>
        <v>0</v>
      </c>
      <c r="AW56" s="205">
        <f t="shared" ca="1" si="137"/>
        <v>0</v>
      </c>
      <c r="AX56" s="205">
        <f t="shared" ca="1" si="137"/>
        <v>66</v>
      </c>
      <c r="AY56" s="205">
        <f t="shared" ca="1" si="137"/>
        <v>66</v>
      </c>
      <c r="AZ56" s="205">
        <f t="shared" ca="1" si="137"/>
        <v>66</v>
      </c>
      <c r="BA56" s="205">
        <f t="shared" ref="BA56:CF56" ca="1" si="138">SUM(BA51:BA55)</f>
        <v>66</v>
      </c>
      <c r="BB56" s="205">
        <f t="shared" ca="1" si="138"/>
        <v>66</v>
      </c>
      <c r="BC56" s="205">
        <f t="shared" ca="1" si="138"/>
        <v>146</v>
      </c>
      <c r="BD56" s="205">
        <f t="shared" ca="1" si="138"/>
        <v>146</v>
      </c>
      <c r="BE56" s="205">
        <f t="shared" ca="1" si="138"/>
        <v>146</v>
      </c>
      <c r="BF56" s="205">
        <f t="shared" ca="1" si="138"/>
        <v>146</v>
      </c>
      <c r="BG56" s="205">
        <f t="shared" ca="1" si="138"/>
        <v>146</v>
      </c>
      <c r="BH56" s="205">
        <f t="shared" ca="1" si="138"/>
        <v>140</v>
      </c>
      <c r="BI56" s="205">
        <f t="shared" ca="1" si="138"/>
        <v>140</v>
      </c>
      <c r="BJ56" s="205">
        <f t="shared" ca="1" si="138"/>
        <v>140</v>
      </c>
      <c r="BK56" s="205">
        <f t="shared" ca="1" si="138"/>
        <v>140</v>
      </c>
      <c r="BL56" s="205">
        <f t="shared" ca="1" si="138"/>
        <v>140</v>
      </c>
      <c r="BM56" s="205">
        <f t="shared" ca="1" si="138"/>
        <v>140</v>
      </c>
      <c r="BN56" s="205">
        <f t="shared" ca="1" si="138"/>
        <v>140</v>
      </c>
      <c r="BO56" s="205">
        <f t="shared" ca="1" si="138"/>
        <v>140</v>
      </c>
      <c r="BP56" s="205">
        <f t="shared" ca="1" si="138"/>
        <v>145</v>
      </c>
      <c r="BQ56" s="205">
        <f t="shared" ca="1" si="138"/>
        <v>145</v>
      </c>
      <c r="BR56" s="205">
        <f t="shared" ca="1" si="138"/>
        <v>226</v>
      </c>
      <c r="BS56" s="205">
        <f t="shared" ca="1" si="138"/>
        <v>226</v>
      </c>
      <c r="BT56" s="205">
        <f t="shared" ca="1" si="138"/>
        <v>226</v>
      </c>
      <c r="BU56" s="205">
        <f t="shared" ca="1" si="138"/>
        <v>226</v>
      </c>
      <c r="BV56" s="205">
        <f t="shared" ca="1" si="138"/>
        <v>169</v>
      </c>
      <c r="BW56" s="205">
        <f t="shared" ca="1" si="138"/>
        <v>109</v>
      </c>
      <c r="BX56" s="205">
        <f t="shared" ca="1" si="138"/>
        <v>109</v>
      </c>
      <c r="BY56" s="205">
        <f t="shared" ca="1" si="138"/>
        <v>109</v>
      </c>
      <c r="BZ56" s="205">
        <f t="shared" ca="1" si="138"/>
        <v>109</v>
      </c>
      <c r="CA56" s="205">
        <f t="shared" ca="1" si="138"/>
        <v>109</v>
      </c>
      <c r="CB56" s="205">
        <f t="shared" ca="1" si="138"/>
        <v>29</v>
      </c>
      <c r="CC56" s="205">
        <f t="shared" ca="1" si="138"/>
        <v>29</v>
      </c>
      <c r="CD56" s="205">
        <f t="shared" ca="1" si="138"/>
        <v>29</v>
      </c>
      <c r="CE56" s="205">
        <f t="shared" ca="1" si="138"/>
        <v>29</v>
      </c>
      <c r="CF56" s="205">
        <f t="shared" ca="1" si="138"/>
        <v>5</v>
      </c>
      <c r="CG56" s="205">
        <f t="shared" ref="CG56:DL56" ca="1" si="139">SUM(CG51:CG55)</f>
        <v>5</v>
      </c>
      <c r="CH56" s="205">
        <f t="shared" ca="1" si="139"/>
        <v>5</v>
      </c>
      <c r="CI56" s="205">
        <f t="shared" ca="1" si="139"/>
        <v>5</v>
      </c>
      <c r="CJ56" s="205">
        <f t="shared" ca="1" si="139"/>
        <v>5</v>
      </c>
      <c r="CK56" s="205">
        <f t="shared" ca="1" si="139"/>
        <v>5</v>
      </c>
      <c r="CL56" s="205">
        <f t="shared" ca="1" si="139"/>
        <v>5</v>
      </c>
      <c r="CM56" s="205">
        <f t="shared" ca="1" si="139"/>
        <v>5</v>
      </c>
      <c r="CN56" s="205">
        <f t="shared" ca="1" si="139"/>
        <v>30</v>
      </c>
      <c r="CO56" s="205">
        <f t="shared" ca="1" si="139"/>
        <v>30</v>
      </c>
      <c r="CP56" s="205">
        <f t="shared" ca="1" si="139"/>
        <v>30</v>
      </c>
      <c r="CQ56" s="205">
        <f t="shared" ca="1" si="139"/>
        <v>30</v>
      </c>
      <c r="CR56" s="205">
        <f t="shared" ca="1" si="139"/>
        <v>5</v>
      </c>
      <c r="CS56" s="205">
        <f t="shared" ca="1" si="139"/>
        <v>5</v>
      </c>
      <c r="CT56" s="205">
        <f t="shared" ca="1" si="139"/>
        <v>0</v>
      </c>
      <c r="CU56" s="205">
        <f t="shared" ca="1" si="139"/>
        <v>0</v>
      </c>
      <c r="CV56" s="205">
        <f t="shared" ca="1" si="139"/>
        <v>0</v>
      </c>
      <c r="CW56" s="205">
        <f t="shared" ca="1" si="139"/>
        <v>0</v>
      </c>
      <c r="CX56" s="205">
        <f t="shared" ca="1" si="139"/>
        <v>0</v>
      </c>
      <c r="CY56" s="205">
        <f t="shared" ca="1" si="139"/>
        <v>0</v>
      </c>
      <c r="CZ56" s="205">
        <f t="shared" ca="1" si="139"/>
        <v>0</v>
      </c>
      <c r="DA56" s="205">
        <f t="shared" ca="1" si="139"/>
        <v>0</v>
      </c>
      <c r="DB56" s="205">
        <f t="shared" ca="1" si="139"/>
        <v>0</v>
      </c>
      <c r="DC56" s="205">
        <f t="shared" ca="1" si="139"/>
        <v>0</v>
      </c>
      <c r="DD56" s="205">
        <f t="shared" ca="1" si="139"/>
        <v>0</v>
      </c>
      <c r="DE56" s="205">
        <f t="shared" ca="1" si="139"/>
        <v>0</v>
      </c>
      <c r="DF56" s="205">
        <f t="shared" ca="1" si="139"/>
        <v>0</v>
      </c>
      <c r="DG56" s="205">
        <f t="shared" ca="1" si="139"/>
        <v>0</v>
      </c>
      <c r="DH56" s="205">
        <f t="shared" ca="1" si="139"/>
        <v>0</v>
      </c>
      <c r="DI56" s="205">
        <f t="shared" ca="1" si="139"/>
        <v>0</v>
      </c>
      <c r="DJ56" s="205">
        <f t="shared" ca="1" si="139"/>
        <v>0</v>
      </c>
      <c r="DK56" s="205">
        <f t="shared" ca="1" si="139"/>
        <v>0</v>
      </c>
      <c r="DL56" s="205">
        <f t="shared" ca="1" si="139"/>
        <v>0</v>
      </c>
      <c r="DM56" s="205">
        <f t="shared" ref="DM56:EN56" ca="1" si="140">SUM(DM51:DM55)</f>
        <v>0</v>
      </c>
      <c r="DN56" s="205">
        <f t="shared" ca="1" si="140"/>
        <v>0</v>
      </c>
      <c r="DO56" s="205">
        <f t="shared" ca="1" si="140"/>
        <v>0</v>
      </c>
      <c r="DP56" s="205">
        <f t="shared" ca="1" si="140"/>
        <v>0</v>
      </c>
      <c r="DQ56" s="205">
        <f t="shared" ca="1" si="140"/>
        <v>0</v>
      </c>
      <c r="DR56" s="205">
        <f t="shared" ca="1" si="140"/>
        <v>0</v>
      </c>
      <c r="DS56" s="205">
        <f t="shared" ca="1" si="140"/>
        <v>0</v>
      </c>
      <c r="DT56" s="205">
        <f t="shared" ca="1" si="140"/>
        <v>0</v>
      </c>
      <c r="DU56" s="205">
        <f t="shared" ca="1" si="140"/>
        <v>0</v>
      </c>
      <c r="DV56" s="205">
        <f t="shared" ca="1" si="140"/>
        <v>0</v>
      </c>
      <c r="DW56" s="205">
        <f t="shared" ca="1" si="140"/>
        <v>0</v>
      </c>
      <c r="DX56" s="205">
        <f t="shared" ca="1" si="140"/>
        <v>0</v>
      </c>
      <c r="DY56" s="205">
        <f t="shared" ca="1" si="140"/>
        <v>0</v>
      </c>
      <c r="DZ56" s="205">
        <f t="shared" ca="1" si="140"/>
        <v>0</v>
      </c>
      <c r="EA56" s="205">
        <f t="shared" ca="1" si="140"/>
        <v>0</v>
      </c>
      <c r="EB56" s="205">
        <f t="shared" ca="1" si="140"/>
        <v>0</v>
      </c>
      <c r="EC56" s="205">
        <f t="shared" ca="1" si="140"/>
        <v>0</v>
      </c>
      <c r="ED56" s="205">
        <f t="shared" ca="1" si="140"/>
        <v>0</v>
      </c>
      <c r="EE56" s="205">
        <f t="shared" ca="1" si="140"/>
        <v>0</v>
      </c>
      <c r="EF56" s="205">
        <f t="shared" ca="1" si="140"/>
        <v>0</v>
      </c>
      <c r="EG56" s="205">
        <f t="shared" ca="1" si="140"/>
        <v>0</v>
      </c>
      <c r="EH56" s="205">
        <f t="shared" ca="1" si="140"/>
        <v>0</v>
      </c>
      <c r="EI56" s="205">
        <f t="shared" ca="1" si="140"/>
        <v>0</v>
      </c>
      <c r="EJ56" s="205">
        <f t="shared" ca="1" si="140"/>
        <v>0</v>
      </c>
      <c r="EK56" s="205">
        <f t="shared" ca="1" si="140"/>
        <v>0</v>
      </c>
      <c r="EL56" s="205">
        <f t="shared" ca="1" si="140"/>
        <v>0</v>
      </c>
      <c r="EM56" s="205">
        <f t="shared" ca="1" si="140"/>
        <v>0</v>
      </c>
      <c r="EN56" s="205">
        <f t="shared" ca="1" si="140"/>
        <v>0</v>
      </c>
      <c r="EO56" s="206">
        <f ca="1">AVERAGE(AF56:CU56)</f>
        <v>64.32352941176471</v>
      </c>
      <c r="EP56" s="206">
        <f ca="1">MAX(AF56:CU56)</f>
        <v>226</v>
      </c>
    </row>
    <row r="58" spans="1:146" s="180" customFormat="1" ht="27">
      <c r="A58" s="447" t="s">
        <v>76</v>
      </c>
      <c r="B58" s="450" t="str">
        <f>'BESS 11'!F322</f>
        <v>14 Sep
23 Sep</v>
      </c>
      <c r="C58" s="450" t="str">
        <f>'BESS 11'!G322</f>
        <v>19 Sep
27 Sep</v>
      </c>
      <c r="D58" s="226"/>
      <c r="E58" s="226" t="s">
        <v>10</v>
      </c>
      <c r="F58" s="217" t="s">
        <v>58</v>
      </c>
      <c r="G58" s="217" t="s">
        <v>78</v>
      </c>
      <c r="H58" s="217" t="s">
        <v>79</v>
      </c>
      <c r="I58" s="217" t="s">
        <v>59</v>
      </c>
      <c r="J58" s="216" t="s">
        <v>80</v>
      </c>
      <c r="K58" s="216" t="s">
        <v>62</v>
      </c>
      <c r="L58" s="218">
        <v>46195</v>
      </c>
      <c r="M58" s="218">
        <v>46196</v>
      </c>
      <c r="N58" s="218">
        <v>46197</v>
      </c>
      <c r="O58" s="218">
        <f t="shared" ref="O58:BZ58" si="141">N58+1</f>
        <v>46198</v>
      </c>
      <c r="P58" s="218">
        <f t="shared" si="141"/>
        <v>46199</v>
      </c>
      <c r="Q58" s="218">
        <f t="shared" si="141"/>
        <v>46200</v>
      </c>
      <c r="R58" s="218">
        <f t="shared" si="141"/>
        <v>46201</v>
      </c>
      <c r="S58" s="218">
        <f t="shared" si="141"/>
        <v>46202</v>
      </c>
      <c r="T58" s="218">
        <f t="shared" si="141"/>
        <v>46203</v>
      </c>
      <c r="U58" s="218">
        <f t="shared" si="141"/>
        <v>46204</v>
      </c>
      <c r="V58" s="218">
        <f t="shared" si="141"/>
        <v>46205</v>
      </c>
      <c r="W58" s="218">
        <f t="shared" si="141"/>
        <v>46206</v>
      </c>
      <c r="X58" s="218">
        <f t="shared" si="141"/>
        <v>46207</v>
      </c>
      <c r="Y58" s="218">
        <f t="shared" si="141"/>
        <v>46208</v>
      </c>
      <c r="Z58" s="218">
        <f t="shared" si="141"/>
        <v>46209</v>
      </c>
      <c r="AA58" s="218">
        <f t="shared" si="141"/>
        <v>46210</v>
      </c>
      <c r="AB58" s="218">
        <f t="shared" si="141"/>
        <v>46211</v>
      </c>
      <c r="AC58" s="218">
        <f t="shared" si="141"/>
        <v>46212</v>
      </c>
      <c r="AD58" s="218">
        <f t="shared" si="141"/>
        <v>46213</v>
      </c>
      <c r="AE58" s="218">
        <f t="shared" si="141"/>
        <v>46214</v>
      </c>
      <c r="AF58" s="218">
        <f t="shared" si="141"/>
        <v>46215</v>
      </c>
      <c r="AG58" s="218">
        <f t="shared" si="141"/>
        <v>46216</v>
      </c>
      <c r="AH58" s="218">
        <f t="shared" si="141"/>
        <v>46217</v>
      </c>
      <c r="AI58" s="218">
        <f t="shared" si="141"/>
        <v>46218</v>
      </c>
      <c r="AJ58" s="218">
        <f t="shared" si="141"/>
        <v>46219</v>
      </c>
      <c r="AK58" s="218">
        <f t="shared" si="141"/>
        <v>46220</v>
      </c>
      <c r="AL58" s="218">
        <f t="shared" si="141"/>
        <v>46221</v>
      </c>
      <c r="AM58" s="218">
        <f t="shared" si="141"/>
        <v>46222</v>
      </c>
      <c r="AN58" s="218">
        <f t="shared" si="141"/>
        <v>46223</v>
      </c>
      <c r="AO58" s="218">
        <f t="shared" si="141"/>
        <v>46224</v>
      </c>
      <c r="AP58" s="218">
        <f t="shared" si="141"/>
        <v>46225</v>
      </c>
      <c r="AQ58" s="218">
        <f t="shared" si="141"/>
        <v>46226</v>
      </c>
      <c r="AR58" s="218">
        <f t="shared" si="141"/>
        <v>46227</v>
      </c>
      <c r="AS58" s="218">
        <f t="shared" si="141"/>
        <v>46228</v>
      </c>
      <c r="AT58" s="218">
        <f t="shared" si="141"/>
        <v>46229</v>
      </c>
      <c r="AU58" s="218">
        <f t="shared" si="141"/>
        <v>46230</v>
      </c>
      <c r="AV58" s="218">
        <f t="shared" si="141"/>
        <v>46231</v>
      </c>
      <c r="AW58" s="218">
        <f t="shared" si="141"/>
        <v>46232</v>
      </c>
      <c r="AX58" s="218">
        <f t="shared" si="141"/>
        <v>46233</v>
      </c>
      <c r="AY58" s="218">
        <f t="shared" si="141"/>
        <v>46234</v>
      </c>
      <c r="AZ58" s="218">
        <f t="shared" si="141"/>
        <v>46235</v>
      </c>
      <c r="BA58" s="218">
        <f t="shared" si="141"/>
        <v>46236</v>
      </c>
      <c r="BB58" s="218">
        <f t="shared" si="141"/>
        <v>46237</v>
      </c>
      <c r="BC58" s="218">
        <f t="shared" si="141"/>
        <v>46238</v>
      </c>
      <c r="BD58" s="218">
        <f t="shared" si="141"/>
        <v>46239</v>
      </c>
      <c r="BE58" s="218">
        <f t="shared" si="141"/>
        <v>46240</v>
      </c>
      <c r="BF58" s="218">
        <f t="shared" si="141"/>
        <v>46241</v>
      </c>
      <c r="BG58" s="218">
        <f t="shared" si="141"/>
        <v>46242</v>
      </c>
      <c r="BH58" s="218">
        <f t="shared" si="141"/>
        <v>46243</v>
      </c>
      <c r="BI58" s="218">
        <f t="shared" si="141"/>
        <v>46244</v>
      </c>
      <c r="BJ58" s="218">
        <f t="shared" si="141"/>
        <v>46245</v>
      </c>
      <c r="BK58" s="218">
        <f t="shared" si="141"/>
        <v>46246</v>
      </c>
      <c r="BL58" s="218">
        <f t="shared" si="141"/>
        <v>46247</v>
      </c>
      <c r="BM58" s="218">
        <f t="shared" si="141"/>
        <v>46248</v>
      </c>
      <c r="BN58" s="218">
        <f t="shared" si="141"/>
        <v>46249</v>
      </c>
      <c r="BO58" s="218">
        <f t="shared" si="141"/>
        <v>46250</v>
      </c>
      <c r="BP58" s="218">
        <f t="shared" si="141"/>
        <v>46251</v>
      </c>
      <c r="BQ58" s="218">
        <f t="shared" si="141"/>
        <v>46252</v>
      </c>
      <c r="BR58" s="218">
        <f t="shared" si="141"/>
        <v>46253</v>
      </c>
      <c r="BS58" s="218">
        <f t="shared" si="141"/>
        <v>46254</v>
      </c>
      <c r="BT58" s="218">
        <f t="shared" si="141"/>
        <v>46255</v>
      </c>
      <c r="BU58" s="218">
        <f t="shared" si="141"/>
        <v>46256</v>
      </c>
      <c r="BV58" s="218">
        <f t="shared" si="141"/>
        <v>46257</v>
      </c>
      <c r="BW58" s="218">
        <f t="shared" si="141"/>
        <v>46258</v>
      </c>
      <c r="BX58" s="218">
        <f t="shared" si="141"/>
        <v>46259</v>
      </c>
      <c r="BY58" s="218">
        <f t="shared" si="141"/>
        <v>46260</v>
      </c>
      <c r="BZ58" s="218">
        <f t="shared" si="141"/>
        <v>46261</v>
      </c>
      <c r="CA58" s="218">
        <f t="shared" ref="CA58:CS58" si="142">BZ58+1</f>
        <v>46262</v>
      </c>
      <c r="CB58" s="218">
        <f t="shared" si="142"/>
        <v>46263</v>
      </c>
      <c r="CC58" s="218">
        <f t="shared" si="142"/>
        <v>46264</v>
      </c>
      <c r="CD58" s="218">
        <f t="shared" si="142"/>
        <v>46265</v>
      </c>
      <c r="CE58" s="218">
        <f t="shared" si="142"/>
        <v>46266</v>
      </c>
      <c r="CF58" s="218">
        <f t="shared" si="142"/>
        <v>46267</v>
      </c>
      <c r="CG58" s="218">
        <f t="shared" si="142"/>
        <v>46268</v>
      </c>
      <c r="CH58" s="218">
        <f t="shared" si="142"/>
        <v>46269</v>
      </c>
      <c r="CI58" s="218">
        <f t="shared" si="142"/>
        <v>46270</v>
      </c>
      <c r="CJ58" s="218">
        <f t="shared" si="142"/>
        <v>46271</v>
      </c>
      <c r="CK58" s="218">
        <f t="shared" si="142"/>
        <v>46272</v>
      </c>
      <c r="CL58" s="218">
        <f t="shared" si="142"/>
        <v>46273</v>
      </c>
      <c r="CM58" s="218">
        <f t="shared" si="142"/>
        <v>46274</v>
      </c>
      <c r="CN58" s="218">
        <f t="shared" si="142"/>
        <v>46275</v>
      </c>
      <c r="CO58" s="218">
        <f t="shared" si="142"/>
        <v>46276</v>
      </c>
      <c r="CP58" s="218">
        <f t="shared" si="142"/>
        <v>46277</v>
      </c>
      <c r="CQ58" s="218">
        <f t="shared" si="142"/>
        <v>46278</v>
      </c>
      <c r="CR58" s="218">
        <f t="shared" si="142"/>
        <v>46279</v>
      </c>
      <c r="CS58" s="218">
        <f t="shared" si="142"/>
        <v>46280</v>
      </c>
      <c r="CT58" s="218">
        <f t="shared" ref="CT58:EN58" si="143">CS58+1</f>
        <v>46281</v>
      </c>
      <c r="CU58" s="218">
        <f t="shared" si="143"/>
        <v>46282</v>
      </c>
      <c r="CV58" s="218">
        <f t="shared" si="143"/>
        <v>46283</v>
      </c>
      <c r="CW58" s="218">
        <f t="shared" si="143"/>
        <v>46284</v>
      </c>
      <c r="CX58" s="218">
        <f t="shared" si="143"/>
        <v>46285</v>
      </c>
      <c r="CY58" s="218">
        <f t="shared" si="143"/>
        <v>46286</v>
      </c>
      <c r="CZ58" s="218">
        <f t="shared" si="143"/>
        <v>46287</v>
      </c>
      <c r="DA58" s="218">
        <f t="shared" si="143"/>
        <v>46288</v>
      </c>
      <c r="DB58" s="218">
        <f t="shared" si="143"/>
        <v>46289</v>
      </c>
      <c r="DC58" s="218">
        <f t="shared" si="143"/>
        <v>46290</v>
      </c>
      <c r="DD58" s="218">
        <f t="shared" si="143"/>
        <v>46291</v>
      </c>
      <c r="DE58" s="218">
        <f t="shared" si="143"/>
        <v>46292</v>
      </c>
      <c r="DF58" s="218">
        <f t="shared" si="143"/>
        <v>46293</v>
      </c>
      <c r="DG58" s="218">
        <f t="shared" si="143"/>
        <v>46294</v>
      </c>
      <c r="DH58" s="218">
        <f t="shared" si="143"/>
        <v>46295</v>
      </c>
      <c r="DI58" s="218">
        <f t="shared" si="143"/>
        <v>46296</v>
      </c>
      <c r="DJ58" s="218">
        <f t="shared" si="143"/>
        <v>46297</v>
      </c>
      <c r="DK58" s="218">
        <f t="shared" si="143"/>
        <v>46298</v>
      </c>
      <c r="DL58" s="218">
        <f t="shared" si="143"/>
        <v>46299</v>
      </c>
      <c r="DM58" s="218">
        <f t="shared" si="143"/>
        <v>46300</v>
      </c>
      <c r="DN58" s="218">
        <f t="shared" si="143"/>
        <v>46301</v>
      </c>
      <c r="DO58" s="218">
        <f t="shared" si="143"/>
        <v>46302</v>
      </c>
      <c r="DP58" s="218">
        <f t="shared" si="143"/>
        <v>46303</v>
      </c>
      <c r="DQ58" s="218">
        <f t="shared" si="143"/>
        <v>46304</v>
      </c>
      <c r="DR58" s="218">
        <f t="shared" si="143"/>
        <v>46305</v>
      </c>
      <c r="DS58" s="218">
        <f t="shared" si="143"/>
        <v>46306</v>
      </c>
      <c r="DT58" s="218">
        <f t="shared" si="143"/>
        <v>46307</v>
      </c>
      <c r="DU58" s="218">
        <f t="shared" si="143"/>
        <v>46308</v>
      </c>
      <c r="DV58" s="218">
        <f t="shared" si="143"/>
        <v>46309</v>
      </c>
      <c r="DW58" s="218">
        <f t="shared" si="143"/>
        <v>46310</v>
      </c>
      <c r="DX58" s="218">
        <f t="shared" si="143"/>
        <v>46311</v>
      </c>
      <c r="DY58" s="218">
        <f t="shared" si="143"/>
        <v>46312</v>
      </c>
      <c r="DZ58" s="218">
        <f t="shared" si="143"/>
        <v>46313</v>
      </c>
      <c r="EA58" s="218">
        <f t="shared" si="143"/>
        <v>46314</v>
      </c>
      <c r="EB58" s="218">
        <f t="shared" si="143"/>
        <v>46315</v>
      </c>
      <c r="EC58" s="218">
        <f t="shared" si="143"/>
        <v>46316</v>
      </c>
      <c r="ED58" s="218">
        <f t="shared" si="143"/>
        <v>46317</v>
      </c>
      <c r="EE58" s="218">
        <f t="shared" si="143"/>
        <v>46318</v>
      </c>
      <c r="EF58" s="218">
        <f t="shared" si="143"/>
        <v>46319</v>
      </c>
      <c r="EG58" s="218">
        <f t="shared" si="143"/>
        <v>46320</v>
      </c>
      <c r="EH58" s="218">
        <f t="shared" si="143"/>
        <v>46321</v>
      </c>
      <c r="EI58" s="218">
        <f t="shared" si="143"/>
        <v>46322</v>
      </c>
      <c r="EJ58" s="218">
        <f t="shared" si="143"/>
        <v>46323</v>
      </c>
      <c r="EK58" s="218">
        <f t="shared" si="143"/>
        <v>46324</v>
      </c>
      <c r="EL58" s="218">
        <f t="shared" si="143"/>
        <v>46325</v>
      </c>
      <c r="EM58" s="218">
        <f t="shared" si="143"/>
        <v>46326</v>
      </c>
      <c r="EN58" s="218">
        <f t="shared" si="143"/>
        <v>46327</v>
      </c>
    </row>
    <row r="59" spans="1:146">
      <c r="A59" s="448"/>
      <c r="B59" s="451"/>
      <c r="C59" s="451"/>
      <c r="D59" s="467" t="str">
        <f>'BESS 11'!H322</f>
        <v>22 Sep
30 Sep</v>
      </c>
      <c r="E59" s="185" t="s">
        <v>64</v>
      </c>
      <c r="F59" s="66">
        <f>SUM('BESS 11'!S335:S342,'BESS 11'!S344)</f>
        <v>59.2</v>
      </c>
      <c r="G59" s="182">
        <f ca="1">TODAY()</f>
        <v>46233</v>
      </c>
      <c r="H59" s="182">
        <f ca="1">G59+10</f>
        <v>46243</v>
      </c>
      <c r="I59" s="65">
        <f ca="1">H59-G59</f>
        <v>10</v>
      </c>
      <c r="J59" s="444">
        <f ca="1">AVERAGEIF(L64:EN64,"&gt;0")</f>
        <v>86.98</v>
      </c>
      <c r="K59" s="444">
        <f ca="1">MAX(L64:EN64)</f>
        <v>225</v>
      </c>
      <c r="L59" s="65" t="str">
        <f t="shared" ref="L59:U62" ca="1" si="144">IF(AND(L$2&gt;=$G59,L$2&lt;($G59+$I59)),ROUND($F59/$I59,0),"-")</f>
        <v>-</v>
      </c>
      <c r="M59" s="65" t="str">
        <f t="shared" ca="1" si="144"/>
        <v>-</v>
      </c>
      <c r="N59" s="65" t="str">
        <f t="shared" ca="1" si="144"/>
        <v>-</v>
      </c>
      <c r="O59" s="65" t="str">
        <f t="shared" ca="1" si="144"/>
        <v>-</v>
      </c>
      <c r="P59" s="65" t="str">
        <f t="shared" ca="1" si="144"/>
        <v>-</v>
      </c>
      <c r="Q59" s="65" t="str">
        <f t="shared" ca="1" si="144"/>
        <v>-</v>
      </c>
      <c r="R59" s="65" t="str">
        <f t="shared" ca="1" si="144"/>
        <v>-</v>
      </c>
      <c r="S59" s="65" t="str">
        <f t="shared" ca="1" si="144"/>
        <v>-</v>
      </c>
      <c r="T59" s="65" t="str">
        <f t="shared" ca="1" si="144"/>
        <v>-</v>
      </c>
      <c r="U59" s="65" t="str">
        <f t="shared" ca="1" si="144"/>
        <v>-</v>
      </c>
      <c r="V59" s="65" t="str">
        <f t="shared" ref="V59:AE62" ca="1" si="145">IF(AND(V$2&gt;=$G59,V$2&lt;($G59+$I59)),ROUND($F59/$I59,0),"-")</f>
        <v>-</v>
      </c>
      <c r="W59" s="65" t="str">
        <f t="shared" ca="1" si="145"/>
        <v>-</v>
      </c>
      <c r="X59" s="65" t="str">
        <f t="shared" ca="1" si="145"/>
        <v>-</v>
      </c>
      <c r="Y59" s="65" t="str">
        <f t="shared" ca="1" si="145"/>
        <v>-</v>
      </c>
      <c r="Z59" s="65" t="str">
        <f t="shared" ca="1" si="145"/>
        <v>-</v>
      </c>
      <c r="AA59" s="65" t="str">
        <f t="shared" ca="1" si="145"/>
        <v>-</v>
      </c>
      <c r="AB59" s="65" t="str">
        <f t="shared" ca="1" si="145"/>
        <v>-</v>
      </c>
      <c r="AC59" s="65" t="str">
        <f t="shared" ca="1" si="145"/>
        <v>-</v>
      </c>
      <c r="AD59" s="65" t="str">
        <f t="shared" ca="1" si="145"/>
        <v>-</v>
      </c>
      <c r="AE59" s="65" t="str">
        <f t="shared" ca="1" si="145"/>
        <v>-</v>
      </c>
      <c r="AF59" s="65" t="str">
        <f t="shared" ref="AF59:AO62" ca="1" si="146">IF(AND(AF$2&gt;=$G59,AF$2&lt;($G59+$I59)),ROUND($F59/$I59,0),"-")</f>
        <v>-</v>
      </c>
      <c r="AG59" s="65" t="str">
        <f t="shared" ca="1" si="146"/>
        <v>-</v>
      </c>
      <c r="AH59" s="65" t="str">
        <f t="shared" ca="1" si="146"/>
        <v>-</v>
      </c>
      <c r="AI59" s="65" t="str">
        <f t="shared" ca="1" si="146"/>
        <v>-</v>
      </c>
      <c r="AJ59" s="65" t="str">
        <f t="shared" ca="1" si="146"/>
        <v>-</v>
      </c>
      <c r="AK59" s="65" t="str">
        <f t="shared" ca="1" si="146"/>
        <v>-</v>
      </c>
      <c r="AL59" s="65" t="str">
        <f t="shared" ca="1" si="146"/>
        <v>-</v>
      </c>
      <c r="AM59" s="65" t="str">
        <f t="shared" ca="1" si="146"/>
        <v>-</v>
      </c>
      <c r="AN59" s="65" t="str">
        <f t="shared" ca="1" si="146"/>
        <v>-</v>
      </c>
      <c r="AO59" s="65" t="str">
        <f t="shared" ca="1" si="146"/>
        <v>-</v>
      </c>
      <c r="AP59" s="65" t="str">
        <f t="shared" ref="AP59:AY62" ca="1" si="147">IF(AND(AP$2&gt;=$G59,AP$2&lt;($G59+$I59)),ROUND($F59/$I59,0),"-")</f>
        <v>-</v>
      </c>
      <c r="AQ59" s="65" t="str">
        <f t="shared" ca="1" si="147"/>
        <v>-</v>
      </c>
      <c r="AR59" s="65" t="str">
        <f t="shared" ca="1" si="147"/>
        <v>-</v>
      </c>
      <c r="AS59" s="65" t="str">
        <f t="shared" ca="1" si="147"/>
        <v>-</v>
      </c>
      <c r="AT59" s="65" t="str">
        <f t="shared" ca="1" si="147"/>
        <v>-</v>
      </c>
      <c r="AU59" s="65" t="str">
        <f t="shared" ca="1" si="147"/>
        <v>-</v>
      </c>
      <c r="AV59" s="65" t="str">
        <f t="shared" ca="1" si="147"/>
        <v>-</v>
      </c>
      <c r="AW59" s="65" t="str">
        <f t="shared" ca="1" si="147"/>
        <v>-</v>
      </c>
      <c r="AX59" s="65">
        <f t="shared" ca="1" si="147"/>
        <v>6</v>
      </c>
      <c r="AY59" s="65">
        <f t="shared" ca="1" si="147"/>
        <v>6</v>
      </c>
      <c r="AZ59" s="65">
        <f t="shared" ref="AZ59:BI62" ca="1" si="148">IF(AND(AZ$2&gt;=$G59,AZ$2&lt;($G59+$I59)),ROUND($F59/$I59,0),"-")</f>
        <v>6</v>
      </c>
      <c r="BA59" s="65">
        <f t="shared" ca="1" si="148"/>
        <v>6</v>
      </c>
      <c r="BB59" s="65">
        <f t="shared" ca="1" si="148"/>
        <v>6</v>
      </c>
      <c r="BC59" s="65">
        <f t="shared" ca="1" si="148"/>
        <v>6</v>
      </c>
      <c r="BD59" s="65">
        <f t="shared" ca="1" si="148"/>
        <v>6</v>
      </c>
      <c r="BE59" s="65">
        <f t="shared" ca="1" si="148"/>
        <v>6</v>
      </c>
      <c r="BF59" s="65">
        <f t="shared" ca="1" si="148"/>
        <v>6</v>
      </c>
      <c r="BG59" s="65">
        <f t="shared" ca="1" si="148"/>
        <v>6</v>
      </c>
      <c r="BH59" s="65" t="str">
        <f t="shared" ca="1" si="148"/>
        <v>-</v>
      </c>
      <c r="BI59" s="65" t="str">
        <f t="shared" ca="1" si="148"/>
        <v>-</v>
      </c>
      <c r="BJ59" s="65" t="str">
        <f t="shared" ref="BJ59:BS62" ca="1" si="149">IF(AND(BJ$2&gt;=$G59,BJ$2&lt;($G59+$I59)),ROUND($F59/$I59,0),"-")</f>
        <v>-</v>
      </c>
      <c r="BK59" s="65" t="str">
        <f t="shared" ca="1" si="149"/>
        <v>-</v>
      </c>
      <c r="BL59" s="65" t="str">
        <f t="shared" ca="1" si="149"/>
        <v>-</v>
      </c>
      <c r="BM59" s="65" t="str">
        <f t="shared" ca="1" si="149"/>
        <v>-</v>
      </c>
      <c r="BN59" s="65" t="str">
        <f t="shared" ca="1" si="149"/>
        <v>-</v>
      </c>
      <c r="BO59" s="65" t="str">
        <f t="shared" ca="1" si="149"/>
        <v>-</v>
      </c>
      <c r="BP59" s="65" t="str">
        <f t="shared" ca="1" si="149"/>
        <v>-</v>
      </c>
      <c r="BQ59" s="65" t="str">
        <f t="shared" ca="1" si="149"/>
        <v>-</v>
      </c>
      <c r="BR59" s="65" t="str">
        <f t="shared" ca="1" si="149"/>
        <v>-</v>
      </c>
      <c r="BS59" s="65" t="str">
        <f t="shared" ca="1" si="149"/>
        <v>-</v>
      </c>
      <c r="BT59" s="65">
        <v>1</v>
      </c>
      <c r="BU59" s="65">
        <v>1</v>
      </c>
      <c r="BV59" s="65">
        <v>1</v>
      </c>
      <c r="BW59" s="65">
        <v>1</v>
      </c>
      <c r="BX59" s="65" t="str">
        <f t="shared" ref="BT59:CC62" ca="1" si="150">IF(AND(BX$2&gt;=$G59,BX$2&lt;($G59+$I59)),ROUND($F59/$I59,0),"-")</f>
        <v>-</v>
      </c>
      <c r="BY59" s="65" t="str">
        <f t="shared" ca="1" si="150"/>
        <v>-</v>
      </c>
      <c r="BZ59" s="65" t="str">
        <f t="shared" ca="1" si="150"/>
        <v>-</v>
      </c>
      <c r="CA59" s="65" t="str">
        <f t="shared" ca="1" si="150"/>
        <v>-</v>
      </c>
      <c r="CB59" s="65" t="str">
        <f t="shared" ca="1" si="150"/>
        <v>-</v>
      </c>
      <c r="CC59" s="65" t="str">
        <f t="shared" ca="1" si="150"/>
        <v>-</v>
      </c>
      <c r="CD59" s="65" t="str">
        <f t="shared" ref="CD59:CM62" ca="1" si="151">IF(AND(CD$2&gt;=$G59,CD$2&lt;($G59+$I59)),ROUND($F59/$I59,0),"-")</f>
        <v>-</v>
      </c>
      <c r="CE59" s="65" t="str">
        <f t="shared" ca="1" si="151"/>
        <v>-</v>
      </c>
      <c r="CF59" s="65" t="str">
        <f t="shared" ca="1" si="151"/>
        <v>-</v>
      </c>
      <c r="CG59" s="65" t="str">
        <f t="shared" ca="1" si="151"/>
        <v>-</v>
      </c>
      <c r="CH59" s="65" t="str">
        <f t="shared" ca="1" si="151"/>
        <v>-</v>
      </c>
      <c r="CI59" s="65" t="str">
        <f t="shared" ca="1" si="151"/>
        <v>-</v>
      </c>
      <c r="CJ59" s="65" t="str">
        <f t="shared" ca="1" si="151"/>
        <v>-</v>
      </c>
      <c r="CK59" s="65" t="str">
        <f t="shared" ca="1" si="151"/>
        <v>-</v>
      </c>
      <c r="CL59" s="65" t="str">
        <f t="shared" ca="1" si="151"/>
        <v>-</v>
      </c>
      <c r="CM59" s="65" t="str">
        <f t="shared" ca="1" si="151"/>
        <v>-</v>
      </c>
      <c r="CN59" s="65" t="str">
        <f t="shared" ref="CN59:CW62" ca="1" si="152">IF(AND(CN$2&gt;=$G59,CN$2&lt;($G59+$I59)),ROUND($F59/$I59,0),"-")</f>
        <v>-</v>
      </c>
      <c r="CO59" s="65" t="str">
        <f t="shared" ca="1" si="152"/>
        <v>-</v>
      </c>
      <c r="CP59" s="65" t="str">
        <f t="shared" ca="1" si="152"/>
        <v>-</v>
      </c>
      <c r="CQ59" s="65" t="str">
        <f t="shared" ca="1" si="152"/>
        <v>-</v>
      </c>
      <c r="CR59" s="65" t="str">
        <f t="shared" ca="1" si="152"/>
        <v>-</v>
      </c>
      <c r="CS59" s="65" t="str">
        <f t="shared" ca="1" si="152"/>
        <v>-</v>
      </c>
      <c r="CT59" s="65" t="str">
        <f t="shared" ca="1" si="152"/>
        <v>-</v>
      </c>
      <c r="CU59" s="65" t="str">
        <f t="shared" ca="1" si="152"/>
        <v>-</v>
      </c>
      <c r="CV59" s="65" t="str">
        <f t="shared" ca="1" si="152"/>
        <v>-</v>
      </c>
      <c r="CW59" s="65" t="str">
        <f t="shared" ca="1" si="152"/>
        <v>-</v>
      </c>
      <c r="CX59" s="65" t="str">
        <f t="shared" ref="CX59:DG62" ca="1" si="153">IF(AND(CX$2&gt;=$G59,CX$2&lt;($G59+$I59)),ROUND($F59/$I59,0),"-")</f>
        <v>-</v>
      </c>
      <c r="CY59" s="65" t="str">
        <f t="shared" ca="1" si="153"/>
        <v>-</v>
      </c>
      <c r="CZ59" s="65" t="str">
        <f t="shared" ca="1" si="153"/>
        <v>-</v>
      </c>
      <c r="DA59" s="65" t="str">
        <f t="shared" ca="1" si="153"/>
        <v>-</v>
      </c>
      <c r="DB59" s="65" t="str">
        <f t="shared" ca="1" si="153"/>
        <v>-</v>
      </c>
      <c r="DC59" s="65" t="str">
        <f t="shared" ca="1" si="153"/>
        <v>-</v>
      </c>
      <c r="DD59" s="65" t="str">
        <f t="shared" ca="1" si="153"/>
        <v>-</v>
      </c>
      <c r="DE59" s="65" t="str">
        <f t="shared" ca="1" si="153"/>
        <v>-</v>
      </c>
      <c r="DF59" s="65" t="str">
        <f t="shared" ca="1" si="153"/>
        <v>-</v>
      </c>
      <c r="DG59" s="65" t="str">
        <f t="shared" ca="1" si="153"/>
        <v>-</v>
      </c>
      <c r="DH59" s="65" t="str">
        <f t="shared" ref="DH59:DQ62" ca="1" si="154">IF(AND(DH$2&gt;=$G59,DH$2&lt;($G59+$I59)),ROUND($F59/$I59,0),"-")</f>
        <v>-</v>
      </c>
      <c r="DI59" s="65" t="str">
        <f t="shared" ca="1" si="154"/>
        <v>-</v>
      </c>
      <c r="DJ59" s="65" t="str">
        <f t="shared" ca="1" si="154"/>
        <v>-</v>
      </c>
      <c r="DK59" s="65" t="str">
        <f t="shared" ca="1" si="154"/>
        <v>-</v>
      </c>
      <c r="DL59" s="65" t="str">
        <f t="shared" ca="1" si="154"/>
        <v>-</v>
      </c>
      <c r="DM59" s="65" t="str">
        <f t="shared" ca="1" si="154"/>
        <v>-</v>
      </c>
      <c r="DN59" s="65" t="str">
        <f t="shared" ca="1" si="154"/>
        <v>-</v>
      </c>
      <c r="DO59" s="65" t="str">
        <f t="shared" ca="1" si="154"/>
        <v>-</v>
      </c>
      <c r="DP59" s="65" t="str">
        <f t="shared" ca="1" si="154"/>
        <v>-</v>
      </c>
      <c r="DQ59" s="65" t="str">
        <f t="shared" ca="1" si="154"/>
        <v>-</v>
      </c>
      <c r="DR59" s="65" t="str">
        <f t="shared" ref="DR59:EA62" ca="1" si="155">IF(AND(DR$2&gt;=$G59,DR$2&lt;($G59+$I59)),ROUND($F59/$I59,0),"-")</f>
        <v>-</v>
      </c>
      <c r="DS59" s="65" t="str">
        <f t="shared" ca="1" si="155"/>
        <v>-</v>
      </c>
      <c r="DT59" s="65" t="str">
        <f t="shared" ca="1" si="155"/>
        <v>-</v>
      </c>
      <c r="DU59" s="65" t="str">
        <f t="shared" ca="1" si="155"/>
        <v>-</v>
      </c>
      <c r="DV59" s="65" t="str">
        <f t="shared" ca="1" si="155"/>
        <v>-</v>
      </c>
      <c r="DW59" s="65" t="str">
        <f t="shared" ca="1" si="155"/>
        <v>-</v>
      </c>
      <c r="DX59" s="65" t="str">
        <f t="shared" ca="1" si="155"/>
        <v>-</v>
      </c>
      <c r="DY59" s="65" t="str">
        <f t="shared" ca="1" si="155"/>
        <v>-</v>
      </c>
      <c r="DZ59" s="65" t="str">
        <f t="shared" ca="1" si="155"/>
        <v>-</v>
      </c>
      <c r="EA59" s="65" t="str">
        <f t="shared" ca="1" si="155"/>
        <v>-</v>
      </c>
      <c r="EB59" s="65" t="str">
        <f t="shared" ref="EB59:EN62" ca="1" si="156">IF(AND(EB$2&gt;=$G59,EB$2&lt;($G59+$I59)),ROUND($F59/$I59,0),"-")</f>
        <v>-</v>
      </c>
      <c r="EC59" s="65" t="str">
        <f t="shared" ca="1" si="156"/>
        <v>-</v>
      </c>
      <c r="ED59" s="65" t="str">
        <f t="shared" ca="1" si="156"/>
        <v>-</v>
      </c>
      <c r="EE59" s="65" t="str">
        <f t="shared" ca="1" si="156"/>
        <v>-</v>
      </c>
      <c r="EF59" s="65" t="str">
        <f t="shared" ca="1" si="156"/>
        <v>-</v>
      </c>
      <c r="EG59" s="65" t="str">
        <f t="shared" ca="1" si="156"/>
        <v>-</v>
      </c>
      <c r="EH59" s="65" t="str">
        <f t="shared" ca="1" si="156"/>
        <v>-</v>
      </c>
      <c r="EI59" s="65" t="str">
        <f t="shared" ca="1" si="156"/>
        <v>-</v>
      </c>
      <c r="EJ59" s="65" t="str">
        <f t="shared" ca="1" si="156"/>
        <v>-</v>
      </c>
      <c r="EK59" s="65" t="str">
        <f t="shared" ca="1" si="156"/>
        <v>-</v>
      </c>
      <c r="EL59" s="65" t="str">
        <f t="shared" ca="1" si="156"/>
        <v>-</v>
      </c>
      <c r="EM59" s="65" t="str">
        <f t="shared" ca="1" si="156"/>
        <v>-</v>
      </c>
      <c r="EN59" s="65" t="str">
        <f t="shared" ca="1" si="156"/>
        <v>-</v>
      </c>
    </row>
    <row r="60" spans="1:146">
      <c r="A60" s="448"/>
      <c r="B60" s="451"/>
      <c r="C60" s="451"/>
      <c r="D60" s="466"/>
      <c r="E60" s="185" t="s">
        <v>65</v>
      </c>
      <c r="F60" s="66">
        <f>SUM('BESS 11'!S345,'BESS 11'!S347:S348,'BESS 11'!S351:S353)</f>
        <v>1464.3285066666665</v>
      </c>
      <c r="G60" s="182">
        <f ca="1">TODAY()</f>
        <v>46233</v>
      </c>
      <c r="H60" s="182">
        <f ca="1">G60+25</f>
        <v>46258</v>
      </c>
      <c r="I60" s="65">
        <f ca="1">H60-G60</f>
        <v>25</v>
      </c>
      <c r="J60" s="453"/>
      <c r="K60" s="445"/>
      <c r="L60" s="65" t="str">
        <f t="shared" ca="1" si="144"/>
        <v>-</v>
      </c>
      <c r="M60" s="65" t="str">
        <f t="shared" ca="1" si="144"/>
        <v>-</v>
      </c>
      <c r="N60" s="65" t="str">
        <f t="shared" ca="1" si="144"/>
        <v>-</v>
      </c>
      <c r="O60" s="65" t="str">
        <f t="shared" ca="1" si="144"/>
        <v>-</v>
      </c>
      <c r="P60" s="65" t="str">
        <f t="shared" ca="1" si="144"/>
        <v>-</v>
      </c>
      <c r="Q60" s="65" t="str">
        <f t="shared" ca="1" si="144"/>
        <v>-</v>
      </c>
      <c r="R60" s="65" t="str">
        <f t="shared" ca="1" si="144"/>
        <v>-</v>
      </c>
      <c r="S60" s="65" t="str">
        <f t="shared" ca="1" si="144"/>
        <v>-</v>
      </c>
      <c r="T60" s="65" t="str">
        <f t="shared" ca="1" si="144"/>
        <v>-</v>
      </c>
      <c r="U60" s="65" t="str">
        <f t="shared" ca="1" si="144"/>
        <v>-</v>
      </c>
      <c r="V60" s="65" t="str">
        <f t="shared" ca="1" si="145"/>
        <v>-</v>
      </c>
      <c r="W60" s="65" t="str">
        <f t="shared" ca="1" si="145"/>
        <v>-</v>
      </c>
      <c r="X60" s="65" t="str">
        <f t="shared" ca="1" si="145"/>
        <v>-</v>
      </c>
      <c r="Y60" s="65" t="str">
        <f t="shared" ca="1" si="145"/>
        <v>-</v>
      </c>
      <c r="Z60" s="65" t="str">
        <f t="shared" ca="1" si="145"/>
        <v>-</v>
      </c>
      <c r="AA60" s="65" t="str">
        <f t="shared" ca="1" si="145"/>
        <v>-</v>
      </c>
      <c r="AB60" s="65" t="str">
        <f t="shared" ca="1" si="145"/>
        <v>-</v>
      </c>
      <c r="AC60" s="65" t="str">
        <f t="shared" ca="1" si="145"/>
        <v>-</v>
      </c>
      <c r="AD60" s="65" t="str">
        <f t="shared" ca="1" si="145"/>
        <v>-</v>
      </c>
      <c r="AE60" s="65" t="str">
        <f t="shared" ca="1" si="145"/>
        <v>-</v>
      </c>
      <c r="AF60" s="65" t="str">
        <f t="shared" ca="1" si="146"/>
        <v>-</v>
      </c>
      <c r="AG60" s="65" t="str">
        <f t="shared" ca="1" si="146"/>
        <v>-</v>
      </c>
      <c r="AH60" s="65" t="str">
        <f t="shared" ca="1" si="146"/>
        <v>-</v>
      </c>
      <c r="AI60" s="65" t="str">
        <f t="shared" ca="1" si="146"/>
        <v>-</v>
      </c>
      <c r="AJ60" s="65" t="str">
        <f t="shared" ca="1" si="146"/>
        <v>-</v>
      </c>
      <c r="AK60" s="65" t="str">
        <f t="shared" ca="1" si="146"/>
        <v>-</v>
      </c>
      <c r="AL60" s="65" t="str">
        <f t="shared" ca="1" si="146"/>
        <v>-</v>
      </c>
      <c r="AM60" s="65" t="str">
        <f t="shared" ca="1" si="146"/>
        <v>-</v>
      </c>
      <c r="AN60" s="65" t="str">
        <f t="shared" ca="1" si="146"/>
        <v>-</v>
      </c>
      <c r="AO60" s="65" t="str">
        <f t="shared" ca="1" si="146"/>
        <v>-</v>
      </c>
      <c r="AP60" s="65" t="str">
        <f t="shared" ca="1" si="147"/>
        <v>-</v>
      </c>
      <c r="AQ60" s="65" t="str">
        <f t="shared" ca="1" si="147"/>
        <v>-</v>
      </c>
      <c r="AR60" s="65" t="str">
        <f t="shared" ca="1" si="147"/>
        <v>-</v>
      </c>
      <c r="AS60" s="65" t="str">
        <f t="shared" ca="1" si="147"/>
        <v>-</v>
      </c>
      <c r="AT60" s="65" t="str">
        <f t="shared" ca="1" si="147"/>
        <v>-</v>
      </c>
      <c r="AU60" s="65" t="str">
        <f t="shared" ca="1" si="147"/>
        <v>-</v>
      </c>
      <c r="AV60" s="65" t="str">
        <f t="shared" ca="1" si="147"/>
        <v>-</v>
      </c>
      <c r="AW60" s="65" t="str">
        <f t="shared" ca="1" si="147"/>
        <v>-</v>
      </c>
      <c r="AX60" s="65">
        <f t="shared" ca="1" si="147"/>
        <v>59</v>
      </c>
      <c r="AY60" s="65">
        <f t="shared" ca="1" si="147"/>
        <v>59</v>
      </c>
      <c r="AZ60" s="65">
        <f t="shared" ca="1" si="148"/>
        <v>59</v>
      </c>
      <c r="BA60" s="65">
        <f t="shared" ca="1" si="148"/>
        <v>59</v>
      </c>
      <c r="BB60" s="65">
        <f t="shared" ca="1" si="148"/>
        <v>59</v>
      </c>
      <c r="BC60" s="65">
        <f t="shared" ca="1" si="148"/>
        <v>59</v>
      </c>
      <c r="BD60" s="65">
        <f t="shared" ca="1" si="148"/>
        <v>59</v>
      </c>
      <c r="BE60" s="65">
        <f t="shared" ca="1" si="148"/>
        <v>59</v>
      </c>
      <c r="BF60" s="65">
        <f t="shared" ca="1" si="148"/>
        <v>59</v>
      </c>
      <c r="BG60" s="65">
        <f t="shared" ca="1" si="148"/>
        <v>59</v>
      </c>
      <c r="BH60" s="65">
        <f t="shared" ca="1" si="148"/>
        <v>59</v>
      </c>
      <c r="BI60" s="65">
        <f t="shared" ca="1" si="148"/>
        <v>59</v>
      </c>
      <c r="BJ60" s="65">
        <f t="shared" ca="1" si="149"/>
        <v>59</v>
      </c>
      <c r="BK60" s="65">
        <f t="shared" ca="1" si="149"/>
        <v>59</v>
      </c>
      <c r="BL60" s="65">
        <f t="shared" ca="1" si="149"/>
        <v>59</v>
      </c>
      <c r="BM60" s="65">
        <f t="shared" ca="1" si="149"/>
        <v>59</v>
      </c>
      <c r="BN60" s="65">
        <f t="shared" ca="1" si="149"/>
        <v>59</v>
      </c>
      <c r="BO60" s="65">
        <f t="shared" ca="1" si="149"/>
        <v>59</v>
      </c>
      <c r="BP60" s="65">
        <f t="shared" ca="1" si="149"/>
        <v>59</v>
      </c>
      <c r="BQ60" s="65">
        <f t="shared" ca="1" si="149"/>
        <v>59</v>
      </c>
      <c r="BR60" s="65">
        <f t="shared" ca="1" si="149"/>
        <v>59</v>
      </c>
      <c r="BS60" s="65">
        <f t="shared" ca="1" si="149"/>
        <v>59</v>
      </c>
      <c r="BT60" s="65">
        <f t="shared" ca="1" si="150"/>
        <v>59</v>
      </c>
      <c r="BU60" s="65">
        <f t="shared" ca="1" si="150"/>
        <v>59</v>
      </c>
      <c r="BV60" s="65">
        <f t="shared" ca="1" si="150"/>
        <v>59</v>
      </c>
      <c r="BW60" s="65" t="str">
        <f t="shared" ca="1" si="150"/>
        <v>-</v>
      </c>
      <c r="BX60" s="65" t="str">
        <f t="shared" ca="1" si="150"/>
        <v>-</v>
      </c>
      <c r="BY60" s="65" t="str">
        <f t="shared" ca="1" si="150"/>
        <v>-</v>
      </c>
      <c r="BZ60" s="65" t="str">
        <f t="shared" ca="1" si="150"/>
        <v>-</v>
      </c>
      <c r="CA60" s="65" t="str">
        <f t="shared" ca="1" si="150"/>
        <v>-</v>
      </c>
      <c r="CB60" s="65" t="str">
        <f t="shared" ca="1" si="150"/>
        <v>-</v>
      </c>
      <c r="CC60" s="65" t="str">
        <f t="shared" ca="1" si="150"/>
        <v>-</v>
      </c>
      <c r="CD60" s="65" t="str">
        <f t="shared" ca="1" si="151"/>
        <v>-</v>
      </c>
      <c r="CE60" s="65" t="str">
        <f t="shared" ca="1" si="151"/>
        <v>-</v>
      </c>
      <c r="CF60" s="65" t="str">
        <f t="shared" ca="1" si="151"/>
        <v>-</v>
      </c>
      <c r="CG60" s="65" t="str">
        <f t="shared" ca="1" si="151"/>
        <v>-</v>
      </c>
      <c r="CH60" s="65" t="str">
        <f t="shared" ca="1" si="151"/>
        <v>-</v>
      </c>
      <c r="CI60" s="65" t="str">
        <f t="shared" ca="1" si="151"/>
        <v>-</v>
      </c>
      <c r="CJ60" s="65" t="str">
        <f t="shared" ca="1" si="151"/>
        <v>-</v>
      </c>
      <c r="CK60" s="65" t="str">
        <f t="shared" ca="1" si="151"/>
        <v>-</v>
      </c>
      <c r="CL60" s="65" t="str">
        <f t="shared" ca="1" si="151"/>
        <v>-</v>
      </c>
      <c r="CM60" s="65" t="str">
        <f t="shared" ca="1" si="151"/>
        <v>-</v>
      </c>
      <c r="CN60" s="65" t="str">
        <f t="shared" ca="1" si="152"/>
        <v>-</v>
      </c>
      <c r="CO60" s="65" t="str">
        <f t="shared" ca="1" si="152"/>
        <v>-</v>
      </c>
      <c r="CP60" s="65" t="str">
        <f t="shared" ca="1" si="152"/>
        <v>-</v>
      </c>
      <c r="CQ60" s="65" t="str">
        <f t="shared" ca="1" si="152"/>
        <v>-</v>
      </c>
      <c r="CR60" s="65" t="str">
        <f t="shared" ca="1" si="152"/>
        <v>-</v>
      </c>
      <c r="CS60" s="65" t="str">
        <f t="shared" ca="1" si="152"/>
        <v>-</v>
      </c>
      <c r="CT60" s="65" t="str">
        <f t="shared" ca="1" si="152"/>
        <v>-</v>
      </c>
      <c r="CU60" s="65" t="str">
        <f t="shared" ca="1" si="152"/>
        <v>-</v>
      </c>
      <c r="CV60" s="65" t="str">
        <f t="shared" ca="1" si="152"/>
        <v>-</v>
      </c>
      <c r="CW60" s="65" t="str">
        <f t="shared" ca="1" si="152"/>
        <v>-</v>
      </c>
      <c r="CX60" s="65" t="str">
        <f t="shared" ca="1" si="153"/>
        <v>-</v>
      </c>
      <c r="CY60" s="65" t="str">
        <f t="shared" ca="1" si="153"/>
        <v>-</v>
      </c>
      <c r="CZ60" s="65" t="str">
        <f t="shared" ca="1" si="153"/>
        <v>-</v>
      </c>
      <c r="DA60" s="65" t="str">
        <f t="shared" ca="1" si="153"/>
        <v>-</v>
      </c>
      <c r="DB60" s="65" t="str">
        <f t="shared" ca="1" si="153"/>
        <v>-</v>
      </c>
      <c r="DC60" s="65" t="str">
        <f t="shared" ca="1" si="153"/>
        <v>-</v>
      </c>
      <c r="DD60" s="65" t="str">
        <f t="shared" ca="1" si="153"/>
        <v>-</v>
      </c>
      <c r="DE60" s="65" t="str">
        <f t="shared" ca="1" si="153"/>
        <v>-</v>
      </c>
      <c r="DF60" s="65" t="str">
        <f t="shared" ca="1" si="153"/>
        <v>-</v>
      </c>
      <c r="DG60" s="65" t="str">
        <f t="shared" ca="1" si="153"/>
        <v>-</v>
      </c>
      <c r="DH60" s="65" t="str">
        <f t="shared" ca="1" si="154"/>
        <v>-</v>
      </c>
      <c r="DI60" s="65" t="str">
        <f t="shared" ca="1" si="154"/>
        <v>-</v>
      </c>
      <c r="DJ60" s="65" t="str">
        <f t="shared" ca="1" si="154"/>
        <v>-</v>
      </c>
      <c r="DK60" s="65" t="str">
        <f t="shared" ca="1" si="154"/>
        <v>-</v>
      </c>
      <c r="DL60" s="65" t="str">
        <f t="shared" ca="1" si="154"/>
        <v>-</v>
      </c>
      <c r="DM60" s="65" t="str">
        <f t="shared" ca="1" si="154"/>
        <v>-</v>
      </c>
      <c r="DN60" s="65" t="str">
        <f t="shared" ca="1" si="154"/>
        <v>-</v>
      </c>
      <c r="DO60" s="65" t="str">
        <f t="shared" ca="1" si="154"/>
        <v>-</v>
      </c>
      <c r="DP60" s="65" t="str">
        <f t="shared" ca="1" si="154"/>
        <v>-</v>
      </c>
      <c r="DQ60" s="65" t="str">
        <f t="shared" ca="1" si="154"/>
        <v>-</v>
      </c>
      <c r="DR60" s="65" t="str">
        <f t="shared" ca="1" si="155"/>
        <v>-</v>
      </c>
      <c r="DS60" s="65" t="str">
        <f t="shared" ca="1" si="155"/>
        <v>-</v>
      </c>
      <c r="DT60" s="65" t="str">
        <f t="shared" ca="1" si="155"/>
        <v>-</v>
      </c>
      <c r="DU60" s="65" t="str">
        <f t="shared" ca="1" si="155"/>
        <v>-</v>
      </c>
      <c r="DV60" s="65" t="str">
        <f t="shared" ca="1" si="155"/>
        <v>-</v>
      </c>
      <c r="DW60" s="65" t="str">
        <f t="shared" ca="1" si="155"/>
        <v>-</v>
      </c>
      <c r="DX60" s="65" t="str">
        <f t="shared" ca="1" si="155"/>
        <v>-</v>
      </c>
      <c r="DY60" s="65" t="str">
        <f t="shared" ca="1" si="155"/>
        <v>-</v>
      </c>
      <c r="DZ60" s="65" t="str">
        <f t="shared" ca="1" si="155"/>
        <v>-</v>
      </c>
      <c r="EA60" s="65" t="str">
        <f t="shared" ca="1" si="155"/>
        <v>-</v>
      </c>
      <c r="EB60" s="65" t="str">
        <f t="shared" ca="1" si="156"/>
        <v>-</v>
      </c>
      <c r="EC60" s="65" t="str">
        <f t="shared" ca="1" si="156"/>
        <v>-</v>
      </c>
      <c r="ED60" s="65" t="str">
        <f t="shared" ca="1" si="156"/>
        <v>-</v>
      </c>
      <c r="EE60" s="65" t="str">
        <f t="shared" ca="1" si="156"/>
        <v>-</v>
      </c>
      <c r="EF60" s="65" t="str">
        <f t="shared" ca="1" si="156"/>
        <v>-</v>
      </c>
      <c r="EG60" s="65" t="str">
        <f t="shared" ca="1" si="156"/>
        <v>-</v>
      </c>
      <c r="EH60" s="65" t="str">
        <f t="shared" ca="1" si="156"/>
        <v>-</v>
      </c>
      <c r="EI60" s="65" t="str">
        <f t="shared" ca="1" si="156"/>
        <v>-</v>
      </c>
      <c r="EJ60" s="65" t="str">
        <f t="shared" ca="1" si="156"/>
        <v>-</v>
      </c>
      <c r="EK60" s="65" t="str">
        <f t="shared" ca="1" si="156"/>
        <v>-</v>
      </c>
      <c r="EL60" s="65" t="str">
        <f t="shared" ca="1" si="156"/>
        <v>-</v>
      </c>
      <c r="EM60" s="65" t="str">
        <f t="shared" ca="1" si="156"/>
        <v>-</v>
      </c>
      <c r="EN60" s="65" t="str">
        <f t="shared" ca="1" si="156"/>
        <v>-</v>
      </c>
    </row>
    <row r="61" spans="1:146">
      <c r="A61" s="448"/>
      <c r="B61" s="451"/>
      <c r="C61" s="451"/>
      <c r="D61" s="466"/>
      <c r="E61" s="185" t="s">
        <v>66</v>
      </c>
      <c r="F61" s="66">
        <f>SUM('BESS 11'!S346,'BESS 11'!S350,'BESS 11'!S354:S355,461)</f>
        <v>1993.0666666666668</v>
      </c>
      <c r="G61" s="182">
        <f ca="1">G60+5</f>
        <v>46238</v>
      </c>
      <c r="H61" s="182">
        <f ca="1">H60+5</f>
        <v>46263</v>
      </c>
      <c r="I61" s="65">
        <f ca="1">H61-G61</f>
        <v>25</v>
      </c>
      <c r="J61" s="453"/>
      <c r="K61" s="445"/>
      <c r="L61" s="65" t="str">
        <f t="shared" ca="1" si="144"/>
        <v>-</v>
      </c>
      <c r="M61" s="65" t="str">
        <f t="shared" ca="1" si="144"/>
        <v>-</v>
      </c>
      <c r="N61" s="65" t="str">
        <f t="shared" ca="1" si="144"/>
        <v>-</v>
      </c>
      <c r="O61" s="65" t="str">
        <f t="shared" ca="1" si="144"/>
        <v>-</v>
      </c>
      <c r="P61" s="65" t="str">
        <f t="shared" ca="1" si="144"/>
        <v>-</v>
      </c>
      <c r="Q61" s="65" t="str">
        <f t="shared" ca="1" si="144"/>
        <v>-</v>
      </c>
      <c r="R61" s="65" t="str">
        <f t="shared" ca="1" si="144"/>
        <v>-</v>
      </c>
      <c r="S61" s="65" t="str">
        <f t="shared" ca="1" si="144"/>
        <v>-</v>
      </c>
      <c r="T61" s="65" t="str">
        <f t="shared" ca="1" si="144"/>
        <v>-</v>
      </c>
      <c r="U61" s="65" t="str">
        <f t="shared" ca="1" si="144"/>
        <v>-</v>
      </c>
      <c r="V61" s="65" t="str">
        <f t="shared" ca="1" si="145"/>
        <v>-</v>
      </c>
      <c r="W61" s="65" t="str">
        <f t="shared" ca="1" si="145"/>
        <v>-</v>
      </c>
      <c r="X61" s="65" t="str">
        <f t="shared" ca="1" si="145"/>
        <v>-</v>
      </c>
      <c r="Y61" s="65" t="str">
        <f t="shared" ca="1" si="145"/>
        <v>-</v>
      </c>
      <c r="Z61" s="65" t="str">
        <f t="shared" ca="1" si="145"/>
        <v>-</v>
      </c>
      <c r="AA61" s="65" t="str">
        <f t="shared" ca="1" si="145"/>
        <v>-</v>
      </c>
      <c r="AB61" s="65" t="str">
        <f t="shared" ca="1" si="145"/>
        <v>-</v>
      </c>
      <c r="AC61" s="65" t="str">
        <f t="shared" ca="1" si="145"/>
        <v>-</v>
      </c>
      <c r="AD61" s="65" t="str">
        <f t="shared" ca="1" si="145"/>
        <v>-</v>
      </c>
      <c r="AE61" s="65" t="str">
        <f t="shared" ca="1" si="145"/>
        <v>-</v>
      </c>
      <c r="AF61" s="65" t="str">
        <f t="shared" ca="1" si="146"/>
        <v>-</v>
      </c>
      <c r="AG61" s="65" t="str">
        <f t="shared" ca="1" si="146"/>
        <v>-</v>
      </c>
      <c r="AH61" s="65" t="str">
        <f t="shared" ca="1" si="146"/>
        <v>-</v>
      </c>
      <c r="AI61" s="65" t="str">
        <f t="shared" ca="1" si="146"/>
        <v>-</v>
      </c>
      <c r="AJ61" s="65" t="str">
        <f t="shared" ca="1" si="146"/>
        <v>-</v>
      </c>
      <c r="AK61" s="65" t="str">
        <f t="shared" ca="1" si="146"/>
        <v>-</v>
      </c>
      <c r="AL61" s="65" t="str">
        <f t="shared" ca="1" si="146"/>
        <v>-</v>
      </c>
      <c r="AM61" s="65" t="str">
        <f t="shared" ca="1" si="146"/>
        <v>-</v>
      </c>
      <c r="AN61" s="65" t="str">
        <f t="shared" ca="1" si="146"/>
        <v>-</v>
      </c>
      <c r="AO61" s="65" t="str">
        <f t="shared" ca="1" si="146"/>
        <v>-</v>
      </c>
      <c r="AP61" s="65" t="str">
        <f t="shared" ca="1" si="147"/>
        <v>-</v>
      </c>
      <c r="AQ61" s="65" t="str">
        <f t="shared" ca="1" si="147"/>
        <v>-</v>
      </c>
      <c r="AR61" s="65" t="str">
        <f t="shared" ca="1" si="147"/>
        <v>-</v>
      </c>
      <c r="AS61" s="65" t="str">
        <f t="shared" ca="1" si="147"/>
        <v>-</v>
      </c>
      <c r="AT61" s="65" t="str">
        <f t="shared" ca="1" si="147"/>
        <v>-</v>
      </c>
      <c r="AU61" s="65" t="str">
        <f t="shared" ca="1" si="147"/>
        <v>-</v>
      </c>
      <c r="AV61" s="65" t="str">
        <f t="shared" ca="1" si="147"/>
        <v>-</v>
      </c>
      <c r="AW61" s="65" t="str">
        <f t="shared" ca="1" si="147"/>
        <v>-</v>
      </c>
      <c r="AX61" s="65" t="str">
        <f t="shared" ca="1" si="147"/>
        <v>-</v>
      </c>
      <c r="AY61" s="65" t="str">
        <f t="shared" ca="1" si="147"/>
        <v>-</v>
      </c>
      <c r="AZ61" s="65" t="str">
        <f t="shared" ca="1" si="148"/>
        <v>-</v>
      </c>
      <c r="BA61" s="65" t="str">
        <f t="shared" ca="1" si="148"/>
        <v>-</v>
      </c>
      <c r="BB61" s="65" t="str">
        <f t="shared" ca="1" si="148"/>
        <v>-</v>
      </c>
      <c r="BC61" s="65">
        <f t="shared" ca="1" si="148"/>
        <v>80</v>
      </c>
      <c r="BD61" s="65">
        <f t="shared" ca="1" si="148"/>
        <v>80</v>
      </c>
      <c r="BE61" s="65">
        <f t="shared" ca="1" si="148"/>
        <v>80</v>
      </c>
      <c r="BF61" s="65">
        <f t="shared" ca="1" si="148"/>
        <v>80</v>
      </c>
      <c r="BG61" s="65">
        <f t="shared" ca="1" si="148"/>
        <v>80</v>
      </c>
      <c r="BH61" s="65">
        <f t="shared" ca="1" si="148"/>
        <v>80</v>
      </c>
      <c r="BI61" s="65">
        <f t="shared" ca="1" si="148"/>
        <v>80</v>
      </c>
      <c r="BJ61" s="65">
        <f t="shared" ca="1" si="149"/>
        <v>80</v>
      </c>
      <c r="BK61" s="65">
        <f t="shared" ca="1" si="149"/>
        <v>80</v>
      </c>
      <c r="BL61" s="65">
        <f t="shared" ca="1" si="149"/>
        <v>80</v>
      </c>
      <c r="BM61" s="65">
        <f t="shared" ca="1" si="149"/>
        <v>80</v>
      </c>
      <c r="BN61" s="65">
        <f t="shared" ca="1" si="149"/>
        <v>80</v>
      </c>
      <c r="BO61" s="65">
        <f t="shared" ca="1" si="149"/>
        <v>80</v>
      </c>
      <c r="BP61" s="65">
        <f t="shared" ca="1" si="149"/>
        <v>80</v>
      </c>
      <c r="BQ61" s="65">
        <f t="shared" ca="1" si="149"/>
        <v>80</v>
      </c>
      <c r="BR61" s="65">
        <f t="shared" ca="1" si="149"/>
        <v>80</v>
      </c>
      <c r="BS61" s="65">
        <f t="shared" ca="1" si="149"/>
        <v>80</v>
      </c>
      <c r="BT61" s="65">
        <v>136</v>
      </c>
      <c r="BU61" s="65">
        <v>136</v>
      </c>
      <c r="BV61" s="65">
        <v>136</v>
      </c>
      <c r="BW61" s="65">
        <v>136</v>
      </c>
      <c r="BX61" s="65">
        <f t="shared" ca="1" si="150"/>
        <v>80</v>
      </c>
      <c r="BY61" s="65">
        <f t="shared" ca="1" si="150"/>
        <v>80</v>
      </c>
      <c r="BZ61" s="65">
        <f t="shared" ca="1" si="150"/>
        <v>80</v>
      </c>
      <c r="CA61" s="65">
        <f t="shared" ca="1" si="150"/>
        <v>80</v>
      </c>
      <c r="CB61" s="65" t="str">
        <f t="shared" ca="1" si="150"/>
        <v>-</v>
      </c>
      <c r="CC61" s="65" t="str">
        <f t="shared" ca="1" si="150"/>
        <v>-</v>
      </c>
      <c r="CD61" s="65" t="str">
        <f t="shared" ca="1" si="151"/>
        <v>-</v>
      </c>
      <c r="CE61" s="65" t="str">
        <f t="shared" ca="1" si="151"/>
        <v>-</v>
      </c>
      <c r="CF61" s="65" t="str">
        <f t="shared" ca="1" si="151"/>
        <v>-</v>
      </c>
      <c r="CG61" s="65" t="str">
        <f t="shared" ca="1" si="151"/>
        <v>-</v>
      </c>
      <c r="CH61" s="65" t="str">
        <f t="shared" ca="1" si="151"/>
        <v>-</v>
      </c>
      <c r="CI61" s="65" t="str">
        <f t="shared" ca="1" si="151"/>
        <v>-</v>
      </c>
      <c r="CJ61" s="65" t="str">
        <f t="shared" ca="1" si="151"/>
        <v>-</v>
      </c>
      <c r="CK61" s="65" t="str">
        <f t="shared" ca="1" si="151"/>
        <v>-</v>
      </c>
      <c r="CL61" s="65" t="str">
        <f t="shared" ca="1" si="151"/>
        <v>-</v>
      </c>
      <c r="CM61" s="65" t="str">
        <f t="shared" ca="1" si="151"/>
        <v>-</v>
      </c>
      <c r="CN61" s="65" t="str">
        <f t="shared" ca="1" si="152"/>
        <v>-</v>
      </c>
      <c r="CO61" s="65" t="str">
        <f t="shared" ca="1" si="152"/>
        <v>-</v>
      </c>
      <c r="CP61" s="65" t="str">
        <f t="shared" ca="1" si="152"/>
        <v>-</v>
      </c>
      <c r="CQ61" s="65" t="str">
        <f t="shared" ca="1" si="152"/>
        <v>-</v>
      </c>
      <c r="CR61" s="65" t="str">
        <f t="shared" ca="1" si="152"/>
        <v>-</v>
      </c>
      <c r="CS61" s="65" t="str">
        <f t="shared" ca="1" si="152"/>
        <v>-</v>
      </c>
      <c r="CT61" s="65" t="str">
        <f t="shared" ca="1" si="152"/>
        <v>-</v>
      </c>
      <c r="CU61" s="65" t="str">
        <f t="shared" ca="1" si="152"/>
        <v>-</v>
      </c>
      <c r="CV61" s="65" t="str">
        <f t="shared" ca="1" si="152"/>
        <v>-</v>
      </c>
      <c r="CW61" s="65" t="str">
        <f t="shared" ca="1" si="152"/>
        <v>-</v>
      </c>
      <c r="CX61" s="65" t="str">
        <f t="shared" ca="1" si="153"/>
        <v>-</v>
      </c>
      <c r="CY61" s="65" t="str">
        <f t="shared" ca="1" si="153"/>
        <v>-</v>
      </c>
      <c r="CZ61" s="65" t="str">
        <f t="shared" ca="1" si="153"/>
        <v>-</v>
      </c>
      <c r="DA61" s="65" t="str">
        <f t="shared" ca="1" si="153"/>
        <v>-</v>
      </c>
      <c r="DB61" s="65" t="str">
        <f t="shared" ca="1" si="153"/>
        <v>-</v>
      </c>
      <c r="DC61" s="65" t="str">
        <f t="shared" ca="1" si="153"/>
        <v>-</v>
      </c>
      <c r="DD61" s="65" t="str">
        <f t="shared" ca="1" si="153"/>
        <v>-</v>
      </c>
      <c r="DE61" s="65" t="str">
        <f t="shared" ca="1" si="153"/>
        <v>-</v>
      </c>
      <c r="DF61" s="65" t="str">
        <f t="shared" ca="1" si="153"/>
        <v>-</v>
      </c>
      <c r="DG61" s="65" t="str">
        <f t="shared" ca="1" si="153"/>
        <v>-</v>
      </c>
      <c r="DH61" s="65" t="str">
        <f t="shared" ca="1" si="154"/>
        <v>-</v>
      </c>
      <c r="DI61" s="65" t="str">
        <f t="shared" ca="1" si="154"/>
        <v>-</v>
      </c>
      <c r="DJ61" s="65" t="str">
        <f t="shared" ca="1" si="154"/>
        <v>-</v>
      </c>
      <c r="DK61" s="65" t="str">
        <f t="shared" ca="1" si="154"/>
        <v>-</v>
      </c>
      <c r="DL61" s="65" t="str">
        <f t="shared" ca="1" si="154"/>
        <v>-</v>
      </c>
      <c r="DM61" s="65" t="str">
        <f t="shared" ca="1" si="154"/>
        <v>-</v>
      </c>
      <c r="DN61" s="65" t="str">
        <f t="shared" ca="1" si="154"/>
        <v>-</v>
      </c>
      <c r="DO61" s="65" t="str">
        <f t="shared" ca="1" si="154"/>
        <v>-</v>
      </c>
      <c r="DP61" s="65" t="str">
        <f t="shared" ca="1" si="154"/>
        <v>-</v>
      </c>
      <c r="DQ61" s="65" t="str">
        <f t="shared" ca="1" si="154"/>
        <v>-</v>
      </c>
      <c r="DR61" s="65" t="str">
        <f t="shared" ca="1" si="155"/>
        <v>-</v>
      </c>
      <c r="DS61" s="65" t="str">
        <f t="shared" ca="1" si="155"/>
        <v>-</v>
      </c>
      <c r="DT61" s="65" t="str">
        <f t="shared" ca="1" si="155"/>
        <v>-</v>
      </c>
      <c r="DU61" s="65" t="str">
        <f t="shared" ca="1" si="155"/>
        <v>-</v>
      </c>
      <c r="DV61" s="65" t="str">
        <f t="shared" ca="1" si="155"/>
        <v>-</v>
      </c>
      <c r="DW61" s="65" t="str">
        <f t="shared" ca="1" si="155"/>
        <v>-</v>
      </c>
      <c r="DX61" s="65" t="str">
        <f t="shared" ca="1" si="155"/>
        <v>-</v>
      </c>
      <c r="DY61" s="65" t="str">
        <f t="shared" ca="1" si="155"/>
        <v>-</v>
      </c>
      <c r="DZ61" s="65" t="str">
        <f t="shared" ca="1" si="155"/>
        <v>-</v>
      </c>
      <c r="EA61" s="65" t="str">
        <f t="shared" ca="1" si="155"/>
        <v>-</v>
      </c>
      <c r="EB61" s="65" t="str">
        <f t="shared" ca="1" si="156"/>
        <v>-</v>
      </c>
      <c r="EC61" s="65" t="str">
        <f t="shared" ca="1" si="156"/>
        <v>-</v>
      </c>
      <c r="ED61" s="65" t="str">
        <f t="shared" ca="1" si="156"/>
        <v>-</v>
      </c>
      <c r="EE61" s="65" t="str">
        <f t="shared" ca="1" si="156"/>
        <v>-</v>
      </c>
      <c r="EF61" s="65" t="str">
        <f t="shared" ca="1" si="156"/>
        <v>-</v>
      </c>
      <c r="EG61" s="65" t="str">
        <f t="shared" ca="1" si="156"/>
        <v>-</v>
      </c>
      <c r="EH61" s="65" t="str">
        <f t="shared" ca="1" si="156"/>
        <v>-</v>
      </c>
      <c r="EI61" s="65" t="str">
        <f t="shared" ca="1" si="156"/>
        <v>-</v>
      </c>
      <c r="EJ61" s="65" t="str">
        <f t="shared" ca="1" si="156"/>
        <v>-</v>
      </c>
      <c r="EK61" s="65" t="str">
        <f t="shared" ca="1" si="156"/>
        <v>-</v>
      </c>
      <c r="EL61" s="65" t="str">
        <f t="shared" ca="1" si="156"/>
        <v>-</v>
      </c>
      <c r="EM61" s="65" t="str">
        <f t="shared" ca="1" si="156"/>
        <v>-</v>
      </c>
      <c r="EN61" s="65" t="str">
        <f t="shared" ca="1" si="156"/>
        <v>-</v>
      </c>
    </row>
    <row r="62" spans="1:146">
      <c r="A62" s="448"/>
      <c r="B62" s="451"/>
      <c r="C62" s="451"/>
      <c r="D62" s="466"/>
      <c r="E62" s="185" t="s">
        <v>67</v>
      </c>
      <c r="F62" s="66">
        <f>SUM('BESS 11'!S358:S366)</f>
        <v>340.69333333333333</v>
      </c>
      <c r="G62" s="182">
        <f ca="1">H61-10</f>
        <v>46253</v>
      </c>
      <c r="H62" s="182">
        <f ca="1">G62+14</f>
        <v>46267</v>
      </c>
      <c r="I62" s="65">
        <f ca="1">H62-G62</f>
        <v>14</v>
      </c>
      <c r="J62" s="453"/>
      <c r="K62" s="445"/>
      <c r="L62" s="65" t="str">
        <f t="shared" ca="1" si="144"/>
        <v>-</v>
      </c>
      <c r="M62" s="65" t="str">
        <f t="shared" ca="1" si="144"/>
        <v>-</v>
      </c>
      <c r="N62" s="65" t="str">
        <f t="shared" ca="1" si="144"/>
        <v>-</v>
      </c>
      <c r="O62" s="65" t="str">
        <f t="shared" ca="1" si="144"/>
        <v>-</v>
      </c>
      <c r="P62" s="65" t="str">
        <f t="shared" ca="1" si="144"/>
        <v>-</v>
      </c>
      <c r="Q62" s="65" t="str">
        <f t="shared" ca="1" si="144"/>
        <v>-</v>
      </c>
      <c r="R62" s="65" t="str">
        <f t="shared" ca="1" si="144"/>
        <v>-</v>
      </c>
      <c r="S62" s="65" t="str">
        <f t="shared" ca="1" si="144"/>
        <v>-</v>
      </c>
      <c r="T62" s="65" t="str">
        <f t="shared" ca="1" si="144"/>
        <v>-</v>
      </c>
      <c r="U62" s="65" t="str">
        <f t="shared" ca="1" si="144"/>
        <v>-</v>
      </c>
      <c r="V62" s="65" t="str">
        <f t="shared" ca="1" si="145"/>
        <v>-</v>
      </c>
      <c r="W62" s="65" t="str">
        <f t="shared" ca="1" si="145"/>
        <v>-</v>
      </c>
      <c r="X62" s="65" t="str">
        <f t="shared" ca="1" si="145"/>
        <v>-</v>
      </c>
      <c r="Y62" s="65" t="str">
        <f t="shared" ca="1" si="145"/>
        <v>-</v>
      </c>
      <c r="Z62" s="65" t="str">
        <f t="shared" ca="1" si="145"/>
        <v>-</v>
      </c>
      <c r="AA62" s="65" t="str">
        <f t="shared" ca="1" si="145"/>
        <v>-</v>
      </c>
      <c r="AB62" s="65" t="str">
        <f t="shared" ca="1" si="145"/>
        <v>-</v>
      </c>
      <c r="AC62" s="65" t="str">
        <f t="shared" ca="1" si="145"/>
        <v>-</v>
      </c>
      <c r="AD62" s="65" t="str">
        <f t="shared" ca="1" si="145"/>
        <v>-</v>
      </c>
      <c r="AE62" s="65" t="str">
        <f t="shared" ca="1" si="145"/>
        <v>-</v>
      </c>
      <c r="AF62" s="65" t="str">
        <f t="shared" ca="1" si="146"/>
        <v>-</v>
      </c>
      <c r="AG62" s="65" t="str">
        <f t="shared" ca="1" si="146"/>
        <v>-</v>
      </c>
      <c r="AH62" s="65" t="str">
        <f t="shared" ca="1" si="146"/>
        <v>-</v>
      </c>
      <c r="AI62" s="65" t="str">
        <f t="shared" ca="1" si="146"/>
        <v>-</v>
      </c>
      <c r="AJ62" s="65" t="str">
        <f t="shared" ca="1" si="146"/>
        <v>-</v>
      </c>
      <c r="AK62" s="65" t="str">
        <f t="shared" ca="1" si="146"/>
        <v>-</v>
      </c>
      <c r="AL62" s="65" t="str">
        <f t="shared" ca="1" si="146"/>
        <v>-</v>
      </c>
      <c r="AM62" s="65" t="str">
        <f t="shared" ca="1" si="146"/>
        <v>-</v>
      </c>
      <c r="AN62" s="65" t="str">
        <f t="shared" ca="1" si="146"/>
        <v>-</v>
      </c>
      <c r="AO62" s="65" t="str">
        <f t="shared" ca="1" si="146"/>
        <v>-</v>
      </c>
      <c r="AP62" s="65" t="str">
        <f t="shared" ca="1" si="147"/>
        <v>-</v>
      </c>
      <c r="AQ62" s="65" t="str">
        <f t="shared" ca="1" si="147"/>
        <v>-</v>
      </c>
      <c r="AR62" s="65" t="str">
        <f t="shared" ca="1" si="147"/>
        <v>-</v>
      </c>
      <c r="AS62" s="65" t="str">
        <f t="shared" ca="1" si="147"/>
        <v>-</v>
      </c>
      <c r="AT62" s="65" t="str">
        <f t="shared" ca="1" si="147"/>
        <v>-</v>
      </c>
      <c r="AU62" s="65" t="str">
        <f t="shared" ca="1" si="147"/>
        <v>-</v>
      </c>
      <c r="AV62" s="65" t="str">
        <f t="shared" ca="1" si="147"/>
        <v>-</v>
      </c>
      <c r="AW62" s="65" t="str">
        <f t="shared" ca="1" si="147"/>
        <v>-</v>
      </c>
      <c r="AX62" s="65" t="str">
        <f t="shared" ca="1" si="147"/>
        <v>-</v>
      </c>
      <c r="AY62" s="65" t="str">
        <f t="shared" ca="1" si="147"/>
        <v>-</v>
      </c>
      <c r="AZ62" s="65" t="str">
        <f t="shared" ca="1" si="148"/>
        <v>-</v>
      </c>
      <c r="BA62" s="65" t="str">
        <f t="shared" ca="1" si="148"/>
        <v>-</v>
      </c>
      <c r="BB62" s="65" t="str">
        <f t="shared" ca="1" si="148"/>
        <v>-</v>
      </c>
      <c r="BC62" s="65" t="str">
        <f t="shared" ca="1" si="148"/>
        <v>-</v>
      </c>
      <c r="BD62" s="65" t="str">
        <f t="shared" ca="1" si="148"/>
        <v>-</v>
      </c>
      <c r="BE62" s="65" t="str">
        <f t="shared" ca="1" si="148"/>
        <v>-</v>
      </c>
      <c r="BF62" s="65" t="str">
        <f t="shared" ca="1" si="148"/>
        <v>-</v>
      </c>
      <c r="BG62" s="65" t="str">
        <f t="shared" ca="1" si="148"/>
        <v>-</v>
      </c>
      <c r="BH62" s="65" t="str">
        <f t="shared" ca="1" si="148"/>
        <v>-</v>
      </c>
      <c r="BI62" s="65" t="str">
        <f t="shared" ca="1" si="148"/>
        <v>-</v>
      </c>
      <c r="BJ62" s="65" t="str">
        <f t="shared" ca="1" si="149"/>
        <v>-</v>
      </c>
      <c r="BK62" s="65" t="str">
        <f t="shared" ca="1" si="149"/>
        <v>-</v>
      </c>
      <c r="BL62" s="65" t="str">
        <f t="shared" ca="1" si="149"/>
        <v>-</v>
      </c>
      <c r="BM62" s="65" t="str">
        <f t="shared" ca="1" si="149"/>
        <v>-</v>
      </c>
      <c r="BN62" s="65" t="str">
        <f t="shared" ca="1" si="149"/>
        <v>-</v>
      </c>
      <c r="BO62" s="65" t="str">
        <f t="shared" ca="1" si="149"/>
        <v>-</v>
      </c>
      <c r="BP62" s="65" t="str">
        <f t="shared" ca="1" si="149"/>
        <v>-</v>
      </c>
      <c r="BQ62" s="65" t="str">
        <f t="shared" ca="1" si="149"/>
        <v>-</v>
      </c>
      <c r="BR62" s="65">
        <f t="shared" ca="1" si="149"/>
        <v>24</v>
      </c>
      <c r="BS62" s="65">
        <f t="shared" ca="1" si="149"/>
        <v>24</v>
      </c>
      <c r="BT62" s="65">
        <f t="shared" ca="1" si="150"/>
        <v>24</v>
      </c>
      <c r="BU62" s="65">
        <f t="shared" ca="1" si="150"/>
        <v>24</v>
      </c>
      <c r="BV62" s="65">
        <f t="shared" ca="1" si="150"/>
        <v>24</v>
      </c>
      <c r="BW62" s="65">
        <f t="shared" ca="1" si="150"/>
        <v>24</v>
      </c>
      <c r="BX62" s="65">
        <f t="shared" ca="1" si="150"/>
        <v>24</v>
      </c>
      <c r="BY62" s="65">
        <f t="shared" ca="1" si="150"/>
        <v>24</v>
      </c>
      <c r="BZ62" s="65">
        <f t="shared" ca="1" si="150"/>
        <v>24</v>
      </c>
      <c r="CA62" s="65">
        <f t="shared" ca="1" si="150"/>
        <v>24</v>
      </c>
      <c r="CB62" s="65">
        <f t="shared" ca="1" si="150"/>
        <v>24</v>
      </c>
      <c r="CC62" s="65">
        <f t="shared" ca="1" si="150"/>
        <v>24</v>
      </c>
      <c r="CD62" s="65">
        <f t="shared" ca="1" si="151"/>
        <v>24</v>
      </c>
      <c r="CE62" s="65">
        <f t="shared" ca="1" si="151"/>
        <v>24</v>
      </c>
      <c r="CF62" s="65" t="str">
        <f t="shared" ca="1" si="151"/>
        <v>-</v>
      </c>
      <c r="CG62" s="65" t="str">
        <f t="shared" ca="1" si="151"/>
        <v>-</v>
      </c>
      <c r="CH62" s="65" t="str">
        <f t="shared" ca="1" si="151"/>
        <v>-</v>
      </c>
      <c r="CI62" s="65" t="str">
        <f t="shared" ca="1" si="151"/>
        <v>-</v>
      </c>
      <c r="CJ62" s="164" t="str">
        <f t="shared" ca="1" si="151"/>
        <v>-</v>
      </c>
      <c r="CK62" s="164" t="str">
        <f t="shared" ca="1" si="151"/>
        <v>-</v>
      </c>
      <c r="CL62" s="164" t="str">
        <f t="shared" ca="1" si="151"/>
        <v>-</v>
      </c>
      <c r="CM62" s="164" t="str">
        <f t="shared" ca="1" si="151"/>
        <v>-</v>
      </c>
      <c r="CN62" s="164" t="str">
        <f t="shared" ca="1" si="152"/>
        <v>-</v>
      </c>
      <c r="CO62" s="164" t="str">
        <f t="shared" ca="1" si="152"/>
        <v>-</v>
      </c>
      <c r="CP62" s="164" t="str">
        <f t="shared" ca="1" si="152"/>
        <v>-</v>
      </c>
      <c r="CQ62" s="164" t="str">
        <f t="shared" ca="1" si="152"/>
        <v>-</v>
      </c>
      <c r="CR62" s="164" t="str">
        <f t="shared" ca="1" si="152"/>
        <v>-</v>
      </c>
      <c r="CS62" s="164" t="str">
        <f t="shared" ca="1" si="152"/>
        <v>-</v>
      </c>
      <c r="CT62" s="164" t="str">
        <f t="shared" ca="1" si="152"/>
        <v>-</v>
      </c>
      <c r="CU62" s="164" t="str">
        <f t="shared" ca="1" si="152"/>
        <v>-</v>
      </c>
      <c r="CV62" s="164" t="str">
        <f t="shared" ca="1" si="152"/>
        <v>-</v>
      </c>
      <c r="CW62" s="164" t="str">
        <f t="shared" ca="1" si="152"/>
        <v>-</v>
      </c>
      <c r="CX62" s="164" t="str">
        <f t="shared" ca="1" si="153"/>
        <v>-</v>
      </c>
      <c r="CY62" s="164" t="str">
        <f t="shared" ca="1" si="153"/>
        <v>-</v>
      </c>
      <c r="CZ62" s="164" t="str">
        <f t="shared" ca="1" si="153"/>
        <v>-</v>
      </c>
      <c r="DA62" s="164" t="str">
        <f t="shared" ca="1" si="153"/>
        <v>-</v>
      </c>
      <c r="DB62" s="164" t="str">
        <f t="shared" ca="1" si="153"/>
        <v>-</v>
      </c>
      <c r="DC62" s="164" t="str">
        <f t="shared" ca="1" si="153"/>
        <v>-</v>
      </c>
      <c r="DD62" s="164" t="str">
        <f t="shared" ca="1" si="153"/>
        <v>-</v>
      </c>
      <c r="DE62" s="164" t="str">
        <f t="shared" ca="1" si="153"/>
        <v>-</v>
      </c>
      <c r="DF62" s="164" t="str">
        <f t="shared" ca="1" si="153"/>
        <v>-</v>
      </c>
      <c r="DG62" s="164" t="str">
        <f t="shared" ca="1" si="153"/>
        <v>-</v>
      </c>
      <c r="DH62" s="164" t="str">
        <f t="shared" ca="1" si="154"/>
        <v>-</v>
      </c>
      <c r="DI62" s="164" t="str">
        <f t="shared" ca="1" si="154"/>
        <v>-</v>
      </c>
      <c r="DJ62" s="164" t="str">
        <f t="shared" ca="1" si="154"/>
        <v>-</v>
      </c>
      <c r="DK62" s="164" t="str">
        <f t="shared" ca="1" si="154"/>
        <v>-</v>
      </c>
      <c r="DL62" s="164" t="str">
        <f t="shared" ca="1" si="154"/>
        <v>-</v>
      </c>
      <c r="DM62" s="164" t="str">
        <f t="shared" ca="1" si="154"/>
        <v>-</v>
      </c>
      <c r="DN62" s="164" t="str">
        <f t="shared" ca="1" si="154"/>
        <v>-</v>
      </c>
      <c r="DO62" s="164" t="str">
        <f t="shared" ca="1" si="154"/>
        <v>-</v>
      </c>
      <c r="DP62" s="164" t="str">
        <f t="shared" ca="1" si="154"/>
        <v>-</v>
      </c>
      <c r="DQ62" s="164" t="str">
        <f t="shared" ca="1" si="154"/>
        <v>-</v>
      </c>
      <c r="DR62" s="164" t="str">
        <f t="shared" ca="1" si="155"/>
        <v>-</v>
      </c>
      <c r="DS62" s="164" t="str">
        <f t="shared" ca="1" si="155"/>
        <v>-</v>
      </c>
      <c r="DT62" s="164" t="str">
        <f t="shared" ca="1" si="155"/>
        <v>-</v>
      </c>
      <c r="DU62" s="164" t="str">
        <f t="shared" ca="1" si="155"/>
        <v>-</v>
      </c>
      <c r="DV62" s="164" t="str">
        <f t="shared" ca="1" si="155"/>
        <v>-</v>
      </c>
      <c r="DW62" s="164" t="str">
        <f t="shared" ca="1" si="155"/>
        <v>-</v>
      </c>
      <c r="DX62" s="164" t="str">
        <f t="shared" ca="1" si="155"/>
        <v>-</v>
      </c>
      <c r="DY62" s="164" t="str">
        <f t="shared" ca="1" si="155"/>
        <v>-</v>
      </c>
      <c r="DZ62" s="164" t="str">
        <f t="shared" ca="1" si="155"/>
        <v>-</v>
      </c>
      <c r="EA62" s="164" t="str">
        <f t="shared" ca="1" si="155"/>
        <v>-</v>
      </c>
      <c r="EB62" s="164" t="str">
        <f t="shared" ca="1" si="156"/>
        <v>-</v>
      </c>
      <c r="EC62" s="164" t="str">
        <f t="shared" ca="1" si="156"/>
        <v>-</v>
      </c>
      <c r="ED62" s="164" t="str">
        <f t="shared" ca="1" si="156"/>
        <v>-</v>
      </c>
      <c r="EE62" s="164" t="str">
        <f t="shared" ca="1" si="156"/>
        <v>-</v>
      </c>
      <c r="EF62" s="164" t="str">
        <f t="shared" ca="1" si="156"/>
        <v>-</v>
      </c>
      <c r="EG62" s="164" t="str">
        <f t="shared" ca="1" si="156"/>
        <v>-</v>
      </c>
      <c r="EH62" s="164" t="str">
        <f t="shared" ca="1" si="156"/>
        <v>-</v>
      </c>
      <c r="EI62" s="164" t="str">
        <f t="shared" ca="1" si="156"/>
        <v>-</v>
      </c>
      <c r="EJ62" s="164" t="str">
        <f t="shared" ca="1" si="156"/>
        <v>-</v>
      </c>
      <c r="EK62" s="164" t="str">
        <f t="shared" ca="1" si="156"/>
        <v>-</v>
      </c>
      <c r="EL62" s="164" t="str">
        <f t="shared" ca="1" si="156"/>
        <v>-</v>
      </c>
      <c r="EM62" s="164" t="str">
        <f t="shared" ca="1" si="156"/>
        <v>-</v>
      </c>
      <c r="EN62" s="164" t="str">
        <f t="shared" ca="1" si="156"/>
        <v>-</v>
      </c>
    </row>
    <row r="63" spans="1:146">
      <c r="A63" s="449"/>
      <c r="B63" s="452"/>
      <c r="C63" s="452"/>
      <c r="D63" s="466"/>
      <c r="E63" s="185" t="s">
        <v>68</v>
      </c>
      <c r="F63" s="65">
        <v>250</v>
      </c>
      <c r="G63" s="185"/>
      <c r="H63" s="182" t="e">
        <f>B58-3</f>
        <v>#VALUE!</v>
      </c>
      <c r="I63" s="65">
        <v>30</v>
      </c>
      <c r="J63" s="454"/>
      <c r="K63" s="446"/>
      <c r="L63" s="182"/>
      <c r="M63" s="182"/>
      <c r="N63" s="65"/>
      <c r="O63" s="66"/>
      <c r="P63" s="66"/>
      <c r="Q63" s="66"/>
      <c r="R63" s="66"/>
      <c r="S63" s="66"/>
      <c r="T63" s="66"/>
      <c r="U63" s="66"/>
      <c r="V63" s="66"/>
      <c r="W63" s="66"/>
      <c r="BO63" s="65"/>
      <c r="BP63" s="65"/>
      <c r="BQ63" s="65"/>
      <c r="BR63" s="65">
        <v>5</v>
      </c>
      <c r="BS63" s="65">
        <v>5</v>
      </c>
      <c r="BT63" s="65">
        <v>5</v>
      </c>
      <c r="BU63" s="65">
        <v>5</v>
      </c>
      <c r="BV63" s="65">
        <v>5</v>
      </c>
      <c r="BW63" s="65">
        <v>5</v>
      </c>
      <c r="BX63" s="65">
        <v>5</v>
      </c>
      <c r="BY63" s="65">
        <v>5</v>
      </c>
      <c r="BZ63" s="65">
        <v>5</v>
      </c>
      <c r="CA63" s="65">
        <v>5</v>
      </c>
      <c r="CB63" s="65">
        <v>5</v>
      </c>
      <c r="CC63" s="65">
        <v>5</v>
      </c>
      <c r="CD63" s="65">
        <v>5</v>
      </c>
      <c r="CE63" s="65">
        <v>5</v>
      </c>
      <c r="CF63" s="65">
        <v>5</v>
      </c>
      <c r="CG63" s="65">
        <v>5</v>
      </c>
      <c r="CH63" s="65">
        <v>5</v>
      </c>
      <c r="CI63" s="65">
        <v>5</v>
      </c>
      <c r="CJ63" s="65">
        <v>5</v>
      </c>
      <c r="CK63" s="65">
        <v>5</v>
      </c>
      <c r="CL63" s="65">
        <v>5</v>
      </c>
      <c r="CM63" s="65">
        <v>5</v>
      </c>
      <c r="CN63" s="65">
        <v>5</v>
      </c>
      <c r="CO63" s="65">
        <v>5</v>
      </c>
      <c r="CP63" s="65">
        <v>30</v>
      </c>
      <c r="CQ63" s="65">
        <v>30</v>
      </c>
      <c r="CR63" s="65">
        <v>30</v>
      </c>
      <c r="CS63" s="65">
        <v>30</v>
      </c>
      <c r="CT63" s="65">
        <v>5</v>
      </c>
      <c r="CU63" s="65">
        <v>5</v>
      </c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186"/>
      <c r="DX63" s="185"/>
      <c r="DY63" s="185"/>
      <c r="DZ63" s="185"/>
      <c r="EA63" s="69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</row>
    <row r="64" spans="1:146" s="207" customFormat="1" hidden="1">
      <c r="A64" s="236"/>
      <c r="B64" s="209"/>
      <c r="E64" s="201"/>
      <c r="F64" s="201"/>
      <c r="G64" s="204" t="s">
        <v>69</v>
      </c>
      <c r="H64" s="203"/>
      <c r="I64" s="203"/>
      <c r="J64" s="230"/>
      <c r="K64" s="230"/>
      <c r="L64" s="205">
        <f ca="1">SUM(L59:L63)</f>
        <v>0</v>
      </c>
      <c r="M64" s="205">
        <f ca="1">SUM(M59:M63)</f>
        <v>0</v>
      </c>
      <c r="N64" s="205">
        <f ca="1">SUM(N59:N63)</f>
        <v>0</v>
      </c>
      <c r="O64" s="205">
        <f t="shared" ref="O64:AZ64" ca="1" si="157">SUM(O59:O63)</f>
        <v>0</v>
      </c>
      <c r="P64" s="205">
        <f t="shared" ca="1" si="157"/>
        <v>0</v>
      </c>
      <c r="Q64" s="205">
        <f t="shared" ca="1" si="157"/>
        <v>0</v>
      </c>
      <c r="R64" s="205">
        <f t="shared" ca="1" si="157"/>
        <v>0</v>
      </c>
      <c r="S64" s="205">
        <f t="shared" ca="1" si="157"/>
        <v>0</v>
      </c>
      <c r="T64" s="205">
        <f t="shared" ca="1" si="157"/>
        <v>0</v>
      </c>
      <c r="U64" s="205">
        <f t="shared" ca="1" si="157"/>
        <v>0</v>
      </c>
      <c r="V64" s="205">
        <f t="shared" ca="1" si="157"/>
        <v>0</v>
      </c>
      <c r="W64" s="205">
        <f t="shared" ca="1" si="157"/>
        <v>0</v>
      </c>
      <c r="X64" s="205">
        <f t="shared" ca="1" si="157"/>
        <v>0</v>
      </c>
      <c r="Y64" s="205">
        <f t="shared" ca="1" si="157"/>
        <v>0</v>
      </c>
      <c r="Z64" s="205">
        <f t="shared" ca="1" si="157"/>
        <v>0</v>
      </c>
      <c r="AA64" s="205">
        <f t="shared" ca="1" si="157"/>
        <v>0</v>
      </c>
      <c r="AB64" s="205">
        <f t="shared" ca="1" si="157"/>
        <v>0</v>
      </c>
      <c r="AC64" s="205">
        <f t="shared" ca="1" si="157"/>
        <v>0</v>
      </c>
      <c r="AD64" s="205">
        <f t="shared" ca="1" si="157"/>
        <v>0</v>
      </c>
      <c r="AE64" s="205">
        <f t="shared" ca="1" si="157"/>
        <v>0</v>
      </c>
      <c r="AF64" s="205">
        <f t="shared" ca="1" si="157"/>
        <v>0</v>
      </c>
      <c r="AG64" s="205">
        <f t="shared" ca="1" si="157"/>
        <v>0</v>
      </c>
      <c r="AH64" s="205">
        <f t="shared" ca="1" si="157"/>
        <v>0</v>
      </c>
      <c r="AI64" s="205">
        <f t="shared" ca="1" si="157"/>
        <v>0</v>
      </c>
      <c r="AJ64" s="205">
        <f t="shared" ca="1" si="157"/>
        <v>0</v>
      </c>
      <c r="AK64" s="205">
        <f t="shared" ca="1" si="157"/>
        <v>0</v>
      </c>
      <c r="AL64" s="205">
        <f t="shared" ca="1" si="157"/>
        <v>0</v>
      </c>
      <c r="AM64" s="205">
        <f t="shared" ca="1" si="157"/>
        <v>0</v>
      </c>
      <c r="AN64" s="205">
        <f t="shared" ca="1" si="157"/>
        <v>0</v>
      </c>
      <c r="AO64" s="205">
        <f t="shared" ca="1" si="157"/>
        <v>0</v>
      </c>
      <c r="AP64" s="205">
        <f t="shared" ca="1" si="157"/>
        <v>0</v>
      </c>
      <c r="AQ64" s="205">
        <f t="shared" ca="1" si="157"/>
        <v>0</v>
      </c>
      <c r="AR64" s="205">
        <f t="shared" ca="1" si="157"/>
        <v>0</v>
      </c>
      <c r="AS64" s="205">
        <f t="shared" ca="1" si="157"/>
        <v>0</v>
      </c>
      <c r="AT64" s="205">
        <f t="shared" ca="1" si="157"/>
        <v>0</v>
      </c>
      <c r="AU64" s="205">
        <f t="shared" ca="1" si="157"/>
        <v>0</v>
      </c>
      <c r="AV64" s="205">
        <f t="shared" ca="1" si="157"/>
        <v>0</v>
      </c>
      <c r="AW64" s="205">
        <f t="shared" ca="1" si="157"/>
        <v>0</v>
      </c>
      <c r="AX64" s="205">
        <f t="shared" ca="1" si="157"/>
        <v>65</v>
      </c>
      <c r="AY64" s="205">
        <f t="shared" ca="1" si="157"/>
        <v>65</v>
      </c>
      <c r="AZ64" s="205">
        <f t="shared" ca="1" si="157"/>
        <v>65</v>
      </c>
      <c r="BA64" s="205">
        <f t="shared" ref="BA64:CF64" ca="1" si="158">SUM(BA59:BA63)</f>
        <v>65</v>
      </c>
      <c r="BB64" s="205">
        <f t="shared" ca="1" si="158"/>
        <v>65</v>
      </c>
      <c r="BC64" s="205">
        <f t="shared" ca="1" si="158"/>
        <v>145</v>
      </c>
      <c r="BD64" s="205">
        <f t="shared" ca="1" si="158"/>
        <v>145</v>
      </c>
      <c r="BE64" s="205">
        <f t="shared" ca="1" si="158"/>
        <v>145</v>
      </c>
      <c r="BF64" s="205">
        <f t="shared" ca="1" si="158"/>
        <v>145</v>
      </c>
      <c r="BG64" s="205">
        <f t="shared" ca="1" si="158"/>
        <v>145</v>
      </c>
      <c r="BH64" s="205">
        <f t="shared" ca="1" si="158"/>
        <v>139</v>
      </c>
      <c r="BI64" s="205">
        <f t="shared" ca="1" si="158"/>
        <v>139</v>
      </c>
      <c r="BJ64" s="205">
        <f t="shared" ca="1" si="158"/>
        <v>139</v>
      </c>
      <c r="BK64" s="205">
        <f t="shared" ca="1" si="158"/>
        <v>139</v>
      </c>
      <c r="BL64" s="205">
        <f t="shared" ca="1" si="158"/>
        <v>139</v>
      </c>
      <c r="BM64" s="205">
        <f t="shared" ca="1" si="158"/>
        <v>139</v>
      </c>
      <c r="BN64" s="205">
        <f t="shared" ca="1" si="158"/>
        <v>139</v>
      </c>
      <c r="BO64" s="205">
        <f t="shared" ca="1" si="158"/>
        <v>139</v>
      </c>
      <c r="BP64" s="205">
        <f t="shared" ca="1" si="158"/>
        <v>139</v>
      </c>
      <c r="BQ64" s="205">
        <f t="shared" ca="1" si="158"/>
        <v>139</v>
      </c>
      <c r="BR64" s="205">
        <f t="shared" ca="1" si="158"/>
        <v>168</v>
      </c>
      <c r="BS64" s="205">
        <f t="shared" ca="1" si="158"/>
        <v>168</v>
      </c>
      <c r="BT64" s="205">
        <f t="shared" ca="1" si="158"/>
        <v>225</v>
      </c>
      <c r="BU64" s="205">
        <f t="shared" ca="1" si="158"/>
        <v>225</v>
      </c>
      <c r="BV64" s="205">
        <f t="shared" ca="1" si="158"/>
        <v>225</v>
      </c>
      <c r="BW64" s="205">
        <f t="shared" ca="1" si="158"/>
        <v>166</v>
      </c>
      <c r="BX64" s="205">
        <f t="shared" ca="1" si="158"/>
        <v>109</v>
      </c>
      <c r="BY64" s="205">
        <f t="shared" ca="1" si="158"/>
        <v>109</v>
      </c>
      <c r="BZ64" s="205">
        <f t="shared" ca="1" si="158"/>
        <v>109</v>
      </c>
      <c r="CA64" s="205">
        <f t="shared" ca="1" si="158"/>
        <v>109</v>
      </c>
      <c r="CB64" s="205">
        <f t="shared" ca="1" si="158"/>
        <v>29</v>
      </c>
      <c r="CC64" s="205">
        <f t="shared" ca="1" si="158"/>
        <v>29</v>
      </c>
      <c r="CD64" s="205">
        <f t="shared" ca="1" si="158"/>
        <v>29</v>
      </c>
      <c r="CE64" s="205">
        <f t="shared" ca="1" si="158"/>
        <v>29</v>
      </c>
      <c r="CF64" s="205">
        <f t="shared" ca="1" si="158"/>
        <v>5</v>
      </c>
      <c r="CG64" s="205">
        <f t="shared" ref="CG64:DL64" ca="1" si="159">SUM(CG59:CG63)</f>
        <v>5</v>
      </c>
      <c r="CH64" s="205">
        <f t="shared" ca="1" si="159"/>
        <v>5</v>
      </c>
      <c r="CI64" s="205">
        <f t="shared" ca="1" si="159"/>
        <v>5</v>
      </c>
      <c r="CJ64" s="205">
        <f t="shared" ca="1" si="159"/>
        <v>5</v>
      </c>
      <c r="CK64" s="205">
        <f t="shared" ca="1" si="159"/>
        <v>5</v>
      </c>
      <c r="CL64" s="205">
        <f t="shared" ca="1" si="159"/>
        <v>5</v>
      </c>
      <c r="CM64" s="205">
        <f t="shared" ca="1" si="159"/>
        <v>5</v>
      </c>
      <c r="CN64" s="205">
        <f t="shared" ca="1" si="159"/>
        <v>5</v>
      </c>
      <c r="CO64" s="205">
        <f t="shared" ca="1" si="159"/>
        <v>5</v>
      </c>
      <c r="CP64" s="205">
        <f t="shared" ca="1" si="159"/>
        <v>30</v>
      </c>
      <c r="CQ64" s="205">
        <f t="shared" ca="1" si="159"/>
        <v>30</v>
      </c>
      <c r="CR64" s="205">
        <f t="shared" ca="1" si="159"/>
        <v>30</v>
      </c>
      <c r="CS64" s="205">
        <f t="shared" ca="1" si="159"/>
        <v>30</v>
      </c>
      <c r="CT64" s="205">
        <f t="shared" ca="1" si="159"/>
        <v>5</v>
      </c>
      <c r="CU64" s="205">
        <f t="shared" ca="1" si="159"/>
        <v>5</v>
      </c>
      <c r="CV64" s="205">
        <f t="shared" ca="1" si="159"/>
        <v>0</v>
      </c>
      <c r="CW64" s="205">
        <f t="shared" ca="1" si="159"/>
        <v>0</v>
      </c>
      <c r="CX64" s="205">
        <f t="shared" ca="1" si="159"/>
        <v>0</v>
      </c>
      <c r="CY64" s="205">
        <f t="shared" ca="1" si="159"/>
        <v>0</v>
      </c>
      <c r="CZ64" s="205">
        <f t="shared" ca="1" si="159"/>
        <v>0</v>
      </c>
      <c r="DA64" s="205">
        <f t="shared" ca="1" si="159"/>
        <v>0</v>
      </c>
      <c r="DB64" s="205">
        <f t="shared" ca="1" si="159"/>
        <v>0</v>
      </c>
      <c r="DC64" s="205">
        <f t="shared" ca="1" si="159"/>
        <v>0</v>
      </c>
      <c r="DD64" s="205">
        <f t="shared" ca="1" si="159"/>
        <v>0</v>
      </c>
      <c r="DE64" s="205">
        <f t="shared" ca="1" si="159"/>
        <v>0</v>
      </c>
      <c r="DF64" s="205">
        <f t="shared" ca="1" si="159"/>
        <v>0</v>
      </c>
      <c r="DG64" s="205">
        <f t="shared" ca="1" si="159"/>
        <v>0</v>
      </c>
      <c r="DH64" s="205">
        <f t="shared" ca="1" si="159"/>
        <v>0</v>
      </c>
      <c r="DI64" s="205">
        <f t="shared" ca="1" si="159"/>
        <v>0</v>
      </c>
      <c r="DJ64" s="205">
        <f t="shared" ca="1" si="159"/>
        <v>0</v>
      </c>
      <c r="DK64" s="205">
        <f t="shared" ca="1" si="159"/>
        <v>0</v>
      </c>
      <c r="DL64" s="205">
        <f t="shared" ca="1" si="159"/>
        <v>0</v>
      </c>
      <c r="DM64" s="205">
        <f t="shared" ref="DM64:EN64" ca="1" si="160">SUM(DM59:DM63)</f>
        <v>0</v>
      </c>
      <c r="DN64" s="205">
        <f t="shared" ca="1" si="160"/>
        <v>0</v>
      </c>
      <c r="DO64" s="205">
        <f t="shared" ca="1" si="160"/>
        <v>0</v>
      </c>
      <c r="DP64" s="205">
        <f t="shared" ca="1" si="160"/>
        <v>0</v>
      </c>
      <c r="DQ64" s="205">
        <f t="shared" ca="1" si="160"/>
        <v>0</v>
      </c>
      <c r="DR64" s="205">
        <f t="shared" ca="1" si="160"/>
        <v>0</v>
      </c>
      <c r="DS64" s="205">
        <f t="shared" ca="1" si="160"/>
        <v>0</v>
      </c>
      <c r="DT64" s="205">
        <f t="shared" ca="1" si="160"/>
        <v>0</v>
      </c>
      <c r="DU64" s="205">
        <f t="shared" ca="1" si="160"/>
        <v>0</v>
      </c>
      <c r="DV64" s="205">
        <f t="shared" ca="1" si="160"/>
        <v>0</v>
      </c>
      <c r="DW64" s="205">
        <f t="shared" ca="1" si="160"/>
        <v>0</v>
      </c>
      <c r="DX64" s="205">
        <f t="shared" ca="1" si="160"/>
        <v>0</v>
      </c>
      <c r="DY64" s="205">
        <f t="shared" ca="1" si="160"/>
        <v>0</v>
      </c>
      <c r="DZ64" s="205">
        <f t="shared" ca="1" si="160"/>
        <v>0</v>
      </c>
      <c r="EA64" s="212">
        <f t="shared" ca="1" si="160"/>
        <v>0</v>
      </c>
      <c r="EB64" s="212">
        <f t="shared" ca="1" si="160"/>
        <v>0</v>
      </c>
      <c r="EC64" s="212">
        <f t="shared" ca="1" si="160"/>
        <v>0</v>
      </c>
      <c r="ED64" s="212">
        <f t="shared" ca="1" si="160"/>
        <v>0</v>
      </c>
      <c r="EE64" s="212">
        <f t="shared" ca="1" si="160"/>
        <v>0</v>
      </c>
      <c r="EF64" s="212">
        <f t="shared" ca="1" si="160"/>
        <v>0</v>
      </c>
      <c r="EG64" s="212">
        <f t="shared" ca="1" si="160"/>
        <v>0</v>
      </c>
      <c r="EH64" s="212">
        <f t="shared" ca="1" si="160"/>
        <v>0</v>
      </c>
      <c r="EI64" s="212">
        <f t="shared" ca="1" si="160"/>
        <v>0</v>
      </c>
      <c r="EJ64" s="212">
        <f t="shared" ca="1" si="160"/>
        <v>0</v>
      </c>
      <c r="EK64" s="212">
        <f t="shared" ca="1" si="160"/>
        <v>0</v>
      </c>
      <c r="EL64" s="212">
        <f t="shared" ca="1" si="160"/>
        <v>0</v>
      </c>
      <c r="EM64" s="212">
        <f t="shared" ca="1" si="160"/>
        <v>0</v>
      </c>
      <c r="EN64" s="212">
        <f t="shared" ca="1" si="160"/>
        <v>0</v>
      </c>
      <c r="EO64" s="206">
        <f ca="1">AVERAGE(AF64:CW64)</f>
        <v>62.128571428571426</v>
      </c>
      <c r="EP64" s="206">
        <f ca="1">MAX(AF64:CW64)</f>
        <v>225</v>
      </c>
    </row>
    <row r="66" spans="1:146" s="180" customFormat="1" ht="27">
      <c r="A66" s="447" t="s">
        <v>81</v>
      </c>
      <c r="B66" s="450" t="str">
        <f>'BESS 11'!F367</f>
        <v>15 Sep
23 Sep</v>
      </c>
      <c r="C66" s="450" t="str">
        <f>'BESS 11'!G367</f>
        <v>20 Sep
27 Sep</v>
      </c>
      <c r="D66" s="226"/>
      <c r="E66" s="226" t="s">
        <v>10</v>
      </c>
      <c r="F66" s="217" t="s">
        <v>58</v>
      </c>
      <c r="G66" s="217" t="s">
        <v>78</v>
      </c>
      <c r="H66" s="217" t="s">
        <v>79</v>
      </c>
      <c r="I66" s="217" t="s">
        <v>59</v>
      </c>
      <c r="J66" s="216" t="s">
        <v>80</v>
      </c>
      <c r="K66" s="216" t="s">
        <v>62</v>
      </c>
      <c r="L66" s="218">
        <v>46195</v>
      </c>
      <c r="M66" s="218">
        <v>46196</v>
      </c>
      <c r="N66" s="218">
        <v>46197</v>
      </c>
      <c r="O66" s="218">
        <f t="shared" ref="O66:BZ66" si="161">N66+1</f>
        <v>46198</v>
      </c>
      <c r="P66" s="218">
        <f t="shared" si="161"/>
        <v>46199</v>
      </c>
      <c r="Q66" s="218">
        <f t="shared" si="161"/>
        <v>46200</v>
      </c>
      <c r="R66" s="218">
        <f t="shared" si="161"/>
        <v>46201</v>
      </c>
      <c r="S66" s="218">
        <f t="shared" si="161"/>
        <v>46202</v>
      </c>
      <c r="T66" s="218">
        <f t="shared" si="161"/>
        <v>46203</v>
      </c>
      <c r="U66" s="218">
        <f t="shared" si="161"/>
        <v>46204</v>
      </c>
      <c r="V66" s="218">
        <f t="shared" si="161"/>
        <v>46205</v>
      </c>
      <c r="W66" s="218">
        <f t="shared" si="161"/>
        <v>46206</v>
      </c>
      <c r="X66" s="218">
        <f t="shared" si="161"/>
        <v>46207</v>
      </c>
      <c r="Y66" s="218">
        <f t="shared" si="161"/>
        <v>46208</v>
      </c>
      <c r="Z66" s="218">
        <f t="shared" si="161"/>
        <v>46209</v>
      </c>
      <c r="AA66" s="218">
        <f t="shared" si="161"/>
        <v>46210</v>
      </c>
      <c r="AB66" s="218">
        <f t="shared" si="161"/>
        <v>46211</v>
      </c>
      <c r="AC66" s="218">
        <f t="shared" si="161"/>
        <v>46212</v>
      </c>
      <c r="AD66" s="218">
        <f t="shared" si="161"/>
        <v>46213</v>
      </c>
      <c r="AE66" s="218">
        <f t="shared" si="161"/>
        <v>46214</v>
      </c>
      <c r="AF66" s="218">
        <f t="shared" si="161"/>
        <v>46215</v>
      </c>
      <c r="AG66" s="218">
        <f t="shared" si="161"/>
        <v>46216</v>
      </c>
      <c r="AH66" s="218">
        <f t="shared" si="161"/>
        <v>46217</v>
      </c>
      <c r="AI66" s="218">
        <f t="shared" si="161"/>
        <v>46218</v>
      </c>
      <c r="AJ66" s="218">
        <f t="shared" si="161"/>
        <v>46219</v>
      </c>
      <c r="AK66" s="218">
        <f t="shared" si="161"/>
        <v>46220</v>
      </c>
      <c r="AL66" s="218">
        <f t="shared" si="161"/>
        <v>46221</v>
      </c>
      <c r="AM66" s="218">
        <f t="shared" si="161"/>
        <v>46222</v>
      </c>
      <c r="AN66" s="218">
        <f t="shared" si="161"/>
        <v>46223</v>
      </c>
      <c r="AO66" s="218">
        <f t="shared" si="161"/>
        <v>46224</v>
      </c>
      <c r="AP66" s="218">
        <f t="shared" si="161"/>
        <v>46225</v>
      </c>
      <c r="AQ66" s="218">
        <f t="shared" si="161"/>
        <v>46226</v>
      </c>
      <c r="AR66" s="218">
        <f t="shared" si="161"/>
        <v>46227</v>
      </c>
      <c r="AS66" s="218">
        <f t="shared" si="161"/>
        <v>46228</v>
      </c>
      <c r="AT66" s="218">
        <f t="shared" si="161"/>
        <v>46229</v>
      </c>
      <c r="AU66" s="218">
        <f t="shared" si="161"/>
        <v>46230</v>
      </c>
      <c r="AV66" s="218">
        <f t="shared" si="161"/>
        <v>46231</v>
      </c>
      <c r="AW66" s="218">
        <f t="shared" si="161"/>
        <v>46232</v>
      </c>
      <c r="AX66" s="218">
        <f t="shared" si="161"/>
        <v>46233</v>
      </c>
      <c r="AY66" s="218">
        <f t="shared" si="161"/>
        <v>46234</v>
      </c>
      <c r="AZ66" s="218">
        <f t="shared" si="161"/>
        <v>46235</v>
      </c>
      <c r="BA66" s="218">
        <f t="shared" si="161"/>
        <v>46236</v>
      </c>
      <c r="BB66" s="218">
        <f t="shared" si="161"/>
        <v>46237</v>
      </c>
      <c r="BC66" s="218">
        <f t="shared" si="161"/>
        <v>46238</v>
      </c>
      <c r="BD66" s="218">
        <f t="shared" si="161"/>
        <v>46239</v>
      </c>
      <c r="BE66" s="218">
        <f t="shared" si="161"/>
        <v>46240</v>
      </c>
      <c r="BF66" s="218">
        <f t="shared" si="161"/>
        <v>46241</v>
      </c>
      <c r="BG66" s="218">
        <f t="shared" si="161"/>
        <v>46242</v>
      </c>
      <c r="BH66" s="218">
        <f t="shared" si="161"/>
        <v>46243</v>
      </c>
      <c r="BI66" s="218">
        <f t="shared" si="161"/>
        <v>46244</v>
      </c>
      <c r="BJ66" s="218">
        <f t="shared" si="161"/>
        <v>46245</v>
      </c>
      <c r="BK66" s="218">
        <f t="shared" si="161"/>
        <v>46246</v>
      </c>
      <c r="BL66" s="218">
        <f t="shared" si="161"/>
        <v>46247</v>
      </c>
      <c r="BM66" s="218">
        <f t="shared" si="161"/>
        <v>46248</v>
      </c>
      <c r="BN66" s="218">
        <f t="shared" si="161"/>
        <v>46249</v>
      </c>
      <c r="BO66" s="218">
        <f t="shared" si="161"/>
        <v>46250</v>
      </c>
      <c r="BP66" s="218">
        <f t="shared" si="161"/>
        <v>46251</v>
      </c>
      <c r="BQ66" s="218">
        <f t="shared" si="161"/>
        <v>46252</v>
      </c>
      <c r="BR66" s="218">
        <f t="shared" si="161"/>
        <v>46253</v>
      </c>
      <c r="BS66" s="218">
        <f t="shared" si="161"/>
        <v>46254</v>
      </c>
      <c r="BT66" s="218">
        <f t="shared" si="161"/>
        <v>46255</v>
      </c>
      <c r="BU66" s="218">
        <f t="shared" si="161"/>
        <v>46256</v>
      </c>
      <c r="BV66" s="218">
        <f t="shared" si="161"/>
        <v>46257</v>
      </c>
      <c r="BW66" s="218">
        <f t="shared" si="161"/>
        <v>46258</v>
      </c>
      <c r="BX66" s="218">
        <f t="shared" si="161"/>
        <v>46259</v>
      </c>
      <c r="BY66" s="218">
        <f t="shared" si="161"/>
        <v>46260</v>
      </c>
      <c r="BZ66" s="218">
        <f t="shared" si="161"/>
        <v>46261</v>
      </c>
      <c r="CA66" s="218">
        <f t="shared" ref="CA66:CS66" si="162">BZ66+1</f>
        <v>46262</v>
      </c>
      <c r="CB66" s="218">
        <f t="shared" si="162"/>
        <v>46263</v>
      </c>
      <c r="CC66" s="218">
        <f t="shared" si="162"/>
        <v>46264</v>
      </c>
      <c r="CD66" s="218">
        <f t="shared" si="162"/>
        <v>46265</v>
      </c>
      <c r="CE66" s="218">
        <f t="shared" si="162"/>
        <v>46266</v>
      </c>
      <c r="CF66" s="218">
        <f t="shared" si="162"/>
        <v>46267</v>
      </c>
      <c r="CG66" s="218">
        <f t="shared" si="162"/>
        <v>46268</v>
      </c>
      <c r="CH66" s="218">
        <f t="shared" si="162"/>
        <v>46269</v>
      </c>
      <c r="CI66" s="218">
        <f t="shared" si="162"/>
        <v>46270</v>
      </c>
      <c r="CJ66" s="218">
        <f t="shared" si="162"/>
        <v>46271</v>
      </c>
      <c r="CK66" s="218">
        <f t="shared" si="162"/>
        <v>46272</v>
      </c>
      <c r="CL66" s="218">
        <f t="shared" si="162"/>
        <v>46273</v>
      </c>
      <c r="CM66" s="218">
        <f t="shared" si="162"/>
        <v>46274</v>
      </c>
      <c r="CN66" s="218">
        <f t="shared" si="162"/>
        <v>46275</v>
      </c>
      <c r="CO66" s="218">
        <f t="shared" si="162"/>
        <v>46276</v>
      </c>
      <c r="CP66" s="218">
        <f t="shared" si="162"/>
        <v>46277</v>
      </c>
      <c r="CQ66" s="218">
        <f t="shared" si="162"/>
        <v>46278</v>
      </c>
      <c r="CR66" s="218">
        <f t="shared" si="162"/>
        <v>46279</v>
      </c>
      <c r="CS66" s="218">
        <f t="shared" si="162"/>
        <v>46280</v>
      </c>
      <c r="CT66" s="218">
        <f t="shared" ref="CT66:EN66" si="163">CS66+1</f>
        <v>46281</v>
      </c>
      <c r="CU66" s="218">
        <f t="shared" si="163"/>
        <v>46282</v>
      </c>
      <c r="CV66" s="218">
        <f t="shared" si="163"/>
        <v>46283</v>
      </c>
      <c r="CW66" s="218">
        <f t="shared" si="163"/>
        <v>46284</v>
      </c>
      <c r="CX66" s="218">
        <f t="shared" si="163"/>
        <v>46285</v>
      </c>
      <c r="CY66" s="218">
        <f t="shared" si="163"/>
        <v>46286</v>
      </c>
      <c r="CZ66" s="218">
        <f t="shared" si="163"/>
        <v>46287</v>
      </c>
      <c r="DA66" s="218">
        <f t="shared" si="163"/>
        <v>46288</v>
      </c>
      <c r="DB66" s="218">
        <f t="shared" si="163"/>
        <v>46289</v>
      </c>
      <c r="DC66" s="218">
        <f t="shared" si="163"/>
        <v>46290</v>
      </c>
      <c r="DD66" s="218">
        <f t="shared" si="163"/>
        <v>46291</v>
      </c>
      <c r="DE66" s="218">
        <f t="shared" si="163"/>
        <v>46292</v>
      </c>
      <c r="DF66" s="218">
        <f t="shared" si="163"/>
        <v>46293</v>
      </c>
      <c r="DG66" s="218">
        <f t="shared" si="163"/>
        <v>46294</v>
      </c>
      <c r="DH66" s="218">
        <f t="shared" si="163"/>
        <v>46295</v>
      </c>
      <c r="DI66" s="218">
        <f t="shared" si="163"/>
        <v>46296</v>
      </c>
      <c r="DJ66" s="218">
        <f t="shared" si="163"/>
        <v>46297</v>
      </c>
      <c r="DK66" s="218">
        <f t="shared" si="163"/>
        <v>46298</v>
      </c>
      <c r="DL66" s="218">
        <f t="shared" si="163"/>
        <v>46299</v>
      </c>
      <c r="DM66" s="218">
        <f t="shared" si="163"/>
        <v>46300</v>
      </c>
      <c r="DN66" s="218">
        <f t="shared" si="163"/>
        <v>46301</v>
      </c>
      <c r="DO66" s="218">
        <f t="shared" si="163"/>
        <v>46302</v>
      </c>
      <c r="DP66" s="218">
        <f t="shared" si="163"/>
        <v>46303</v>
      </c>
      <c r="DQ66" s="218">
        <f t="shared" si="163"/>
        <v>46304</v>
      </c>
      <c r="DR66" s="218">
        <f t="shared" si="163"/>
        <v>46305</v>
      </c>
      <c r="DS66" s="218">
        <f t="shared" si="163"/>
        <v>46306</v>
      </c>
      <c r="DT66" s="218">
        <f t="shared" si="163"/>
        <v>46307</v>
      </c>
      <c r="DU66" s="218">
        <f t="shared" si="163"/>
        <v>46308</v>
      </c>
      <c r="DV66" s="218">
        <f t="shared" si="163"/>
        <v>46309</v>
      </c>
      <c r="DW66" s="218">
        <f t="shared" si="163"/>
        <v>46310</v>
      </c>
      <c r="DX66" s="218">
        <f t="shared" si="163"/>
        <v>46311</v>
      </c>
      <c r="DY66" s="218">
        <f t="shared" si="163"/>
        <v>46312</v>
      </c>
      <c r="DZ66" s="218">
        <f t="shared" si="163"/>
        <v>46313</v>
      </c>
      <c r="EA66" s="218">
        <f t="shared" si="163"/>
        <v>46314</v>
      </c>
      <c r="EB66" s="218">
        <f t="shared" si="163"/>
        <v>46315</v>
      </c>
      <c r="EC66" s="218">
        <f t="shared" si="163"/>
        <v>46316</v>
      </c>
      <c r="ED66" s="218">
        <f t="shared" si="163"/>
        <v>46317</v>
      </c>
      <c r="EE66" s="218">
        <f t="shared" si="163"/>
        <v>46318</v>
      </c>
      <c r="EF66" s="218">
        <f t="shared" si="163"/>
        <v>46319</v>
      </c>
      <c r="EG66" s="218">
        <f t="shared" si="163"/>
        <v>46320</v>
      </c>
      <c r="EH66" s="218">
        <f t="shared" si="163"/>
        <v>46321</v>
      </c>
      <c r="EI66" s="218">
        <f t="shared" si="163"/>
        <v>46322</v>
      </c>
      <c r="EJ66" s="218">
        <f t="shared" si="163"/>
        <v>46323</v>
      </c>
      <c r="EK66" s="218">
        <f t="shared" si="163"/>
        <v>46324</v>
      </c>
      <c r="EL66" s="218">
        <f t="shared" si="163"/>
        <v>46325</v>
      </c>
      <c r="EM66" s="218">
        <f t="shared" si="163"/>
        <v>46326</v>
      </c>
      <c r="EN66" s="218">
        <f t="shared" si="163"/>
        <v>46327</v>
      </c>
    </row>
    <row r="67" spans="1:146">
      <c r="A67" s="448"/>
      <c r="B67" s="451"/>
      <c r="C67" s="451"/>
      <c r="D67" s="467" t="str">
        <f>'BESS 11'!H367</f>
        <v>23 Sep
30 Sep</v>
      </c>
      <c r="E67" s="185" t="s">
        <v>64</v>
      </c>
      <c r="F67" s="66">
        <f>SUM('BESS 11'!S380:S387,'BESS 11'!S389)</f>
        <v>90.4</v>
      </c>
      <c r="G67" s="182">
        <f t="shared" ref="G67:G68" ca="1" si="164">TODAY()</f>
        <v>46233</v>
      </c>
      <c r="H67" s="182">
        <f ca="1">G67+10</f>
        <v>46243</v>
      </c>
      <c r="I67" s="65">
        <f ca="1">H67-G67</f>
        <v>10</v>
      </c>
      <c r="J67" s="444">
        <f ca="1">AVERAGEIF(L72:EN72,"&gt;0")</f>
        <v>86.843137254901961</v>
      </c>
      <c r="K67" s="444">
        <f ca="1">MAX(L72:EN72)</f>
        <v>227</v>
      </c>
      <c r="L67" s="65" t="str">
        <f t="shared" ref="L67:U70" ca="1" si="165">IF(AND(L$2&gt;=$G67,L$2&lt;($G67+$I67)),ROUND($F67/$I67,0),"-")</f>
        <v>-</v>
      </c>
      <c r="M67" s="65" t="str">
        <f t="shared" ca="1" si="165"/>
        <v>-</v>
      </c>
      <c r="N67" s="65" t="str">
        <f t="shared" ca="1" si="165"/>
        <v>-</v>
      </c>
      <c r="O67" s="65" t="str">
        <f t="shared" ca="1" si="165"/>
        <v>-</v>
      </c>
      <c r="P67" s="65" t="str">
        <f t="shared" ca="1" si="165"/>
        <v>-</v>
      </c>
      <c r="Q67" s="65" t="str">
        <f t="shared" ca="1" si="165"/>
        <v>-</v>
      </c>
      <c r="R67" s="65" t="str">
        <f t="shared" ca="1" si="165"/>
        <v>-</v>
      </c>
      <c r="S67" s="65" t="str">
        <f t="shared" ca="1" si="165"/>
        <v>-</v>
      </c>
      <c r="T67" s="65" t="str">
        <f t="shared" ca="1" si="165"/>
        <v>-</v>
      </c>
      <c r="U67" s="65" t="str">
        <f t="shared" ca="1" si="165"/>
        <v>-</v>
      </c>
      <c r="V67" s="65" t="str">
        <f t="shared" ref="V67:AE70" ca="1" si="166">IF(AND(V$2&gt;=$G67,V$2&lt;($G67+$I67)),ROUND($F67/$I67,0),"-")</f>
        <v>-</v>
      </c>
      <c r="W67" s="65" t="str">
        <f t="shared" ca="1" si="166"/>
        <v>-</v>
      </c>
      <c r="X67" s="65" t="str">
        <f t="shared" ca="1" si="166"/>
        <v>-</v>
      </c>
      <c r="Y67" s="65" t="str">
        <f t="shared" ca="1" si="166"/>
        <v>-</v>
      </c>
      <c r="Z67" s="65" t="str">
        <f t="shared" ca="1" si="166"/>
        <v>-</v>
      </c>
      <c r="AA67" s="65" t="str">
        <f t="shared" ca="1" si="166"/>
        <v>-</v>
      </c>
      <c r="AB67" s="65" t="str">
        <f t="shared" ca="1" si="166"/>
        <v>-</v>
      </c>
      <c r="AC67" s="65" t="str">
        <f t="shared" ca="1" si="166"/>
        <v>-</v>
      </c>
      <c r="AD67" s="65" t="str">
        <f t="shared" ca="1" si="166"/>
        <v>-</v>
      </c>
      <c r="AE67" s="65" t="str">
        <f t="shared" ca="1" si="166"/>
        <v>-</v>
      </c>
      <c r="AF67" s="65" t="str">
        <f t="shared" ref="AF67:AO70" ca="1" si="167">IF(AND(AF$2&gt;=$G67,AF$2&lt;($G67+$I67)),ROUND($F67/$I67,0),"-")</f>
        <v>-</v>
      </c>
      <c r="AG67" s="65" t="str">
        <f t="shared" ca="1" si="167"/>
        <v>-</v>
      </c>
      <c r="AH67" s="65" t="str">
        <f t="shared" ca="1" si="167"/>
        <v>-</v>
      </c>
      <c r="AI67" s="65" t="str">
        <f t="shared" ca="1" si="167"/>
        <v>-</v>
      </c>
      <c r="AJ67" s="65" t="str">
        <f t="shared" ca="1" si="167"/>
        <v>-</v>
      </c>
      <c r="AK67" s="65" t="str">
        <f t="shared" ca="1" si="167"/>
        <v>-</v>
      </c>
      <c r="AL67" s="65" t="str">
        <f t="shared" ca="1" si="167"/>
        <v>-</v>
      </c>
      <c r="AM67" s="65" t="str">
        <f t="shared" ca="1" si="167"/>
        <v>-</v>
      </c>
      <c r="AN67" s="65" t="str">
        <f t="shared" ca="1" si="167"/>
        <v>-</v>
      </c>
      <c r="AO67" s="65" t="str">
        <f t="shared" ca="1" si="167"/>
        <v>-</v>
      </c>
      <c r="AP67" s="65" t="str">
        <f t="shared" ref="AP67:AY70" ca="1" si="168">IF(AND(AP$2&gt;=$G67,AP$2&lt;($G67+$I67)),ROUND($F67/$I67,0),"-")</f>
        <v>-</v>
      </c>
      <c r="AQ67" s="65" t="str">
        <f t="shared" ca="1" si="168"/>
        <v>-</v>
      </c>
      <c r="AR67" s="65" t="str">
        <f t="shared" ca="1" si="168"/>
        <v>-</v>
      </c>
      <c r="AS67" s="65" t="str">
        <f t="shared" ca="1" si="168"/>
        <v>-</v>
      </c>
      <c r="AT67" s="65" t="str">
        <f t="shared" ca="1" si="168"/>
        <v>-</v>
      </c>
      <c r="AU67" s="65" t="str">
        <f t="shared" ca="1" si="168"/>
        <v>-</v>
      </c>
      <c r="AV67" s="65" t="str">
        <f t="shared" ca="1" si="168"/>
        <v>-</v>
      </c>
      <c r="AW67" s="65" t="str">
        <f t="shared" ca="1" si="168"/>
        <v>-</v>
      </c>
      <c r="AX67" s="65">
        <f t="shared" ca="1" si="168"/>
        <v>9</v>
      </c>
      <c r="AY67" s="65">
        <f t="shared" ca="1" si="168"/>
        <v>9</v>
      </c>
      <c r="AZ67" s="65">
        <f t="shared" ref="AZ67:BI70" ca="1" si="169">IF(AND(AZ$2&gt;=$G67,AZ$2&lt;($G67+$I67)),ROUND($F67/$I67,0),"-")</f>
        <v>9</v>
      </c>
      <c r="BA67" s="65">
        <f t="shared" ca="1" si="169"/>
        <v>9</v>
      </c>
      <c r="BB67" s="65">
        <f t="shared" ca="1" si="169"/>
        <v>9</v>
      </c>
      <c r="BC67" s="65">
        <f t="shared" ca="1" si="169"/>
        <v>9</v>
      </c>
      <c r="BD67" s="65">
        <f t="shared" ca="1" si="169"/>
        <v>9</v>
      </c>
      <c r="BE67" s="65">
        <f t="shared" ca="1" si="169"/>
        <v>9</v>
      </c>
      <c r="BF67" s="65">
        <f t="shared" ca="1" si="169"/>
        <v>9</v>
      </c>
      <c r="BG67" s="65">
        <f t="shared" ca="1" si="169"/>
        <v>9</v>
      </c>
      <c r="BH67" s="65" t="str">
        <f t="shared" ca="1" si="169"/>
        <v>-</v>
      </c>
      <c r="BI67" s="65" t="str">
        <f t="shared" ca="1" si="169"/>
        <v>-</v>
      </c>
      <c r="BJ67" s="65" t="str">
        <f t="shared" ref="BJ67:BS70" ca="1" si="170">IF(AND(BJ$2&gt;=$G67,BJ$2&lt;($G67+$I67)),ROUND($F67/$I67,0),"-")</f>
        <v>-</v>
      </c>
      <c r="BK67" s="65" t="str">
        <f t="shared" ca="1" si="170"/>
        <v>-</v>
      </c>
      <c r="BL67" s="65" t="str">
        <f t="shared" ca="1" si="170"/>
        <v>-</v>
      </c>
      <c r="BM67" s="65" t="str">
        <f t="shared" ca="1" si="170"/>
        <v>-</v>
      </c>
      <c r="BN67" s="65" t="str">
        <f t="shared" ca="1" si="170"/>
        <v>-</v>
      </c>
      <c r="BO67" s="65" t="str">
        <f t="shared" ca="1" si="170"/>
        <v>-</v>
      </c>
      <c r="BP67" s="65" t="str">
        <f t="shared" ca="1" si="170"/>
        <v>-</v>
      </c>
      <c r="BQ67" s="65" t="str">
        <f t="shared" ca="1" si="170"/>
        <v>-</v>
      </c>
      <c r="BR67" s="65" t="str">
        <f t="shared" ca="1" si="170"/>
        <v>-</v>
      </c>
      <c r="BS67" s="65" t="str">
        <f t="shared" ca="1" si="170"/>
        <v>-</v>
      </c>
      <c r="BT67" s="65" t="str">
        <f t="shared" ref="BT67:CC70" ca="1" si="171">IF(AND(BT$2&gt;=$G67,BT$2&lt;($G67+$I67)),ROUND($F67/$I67,0),"-")</f>
        <v>-</v>
      </c>
      <c r="BU67" s="65">
        <v>1</v>
      </c>
      <c r="BV67" s="65">
        <v>1</v>
      </c>
      <c r="BW67" s="65">
        <v>1</v>
      </c>
      <c r="BX67" s="65">
        <v>1</v>
      </c>
      <c r="BY67" s="65" t="str">
        <f t="shared" ref="BY67:CA69" ca="1" si="172">IF(AND(BY$2&gt;=$G67,BY$2&lt;($G67+$I67)),ROUND($F67/$I67,0),"-")</f>
        <v>-</v>
      </c>
      <c r="BZ67" s="65" t="str">
        <f t="shared" ca="1" si="172"/>
        <v>-</v>
      </c>
      <c r="CA67" s="65" t="str">
        <f t="shared" ca="1" si="172"/>
        <v>-</v>
      </c>
      <c r="CB67" s="65" t="str">
        <f t="shared" ca="1" si="171"/>
        <v>-</v>
      </c>
      <c r="CC67" s="65" t="str">
        <f t="shared" ca="1" si="171"/>
        <v>-</v>
      </c>
      <c r="CD67" s="65" t="str">
        <f t="shared" ref="CD67:CM70" ca="1" si="173">IF(AND(CD$2&gt;=$G67,CD$2&lt;($G67+$I67)),ROUND($F67/$I67,0),"-")</f>
        <v>-</v>
      </c>
      <c r="CE67" s="65" t="str">
        <f t="shared" ca="1" si="173"/>
        <v>-</v>
      </c>
      <c r="CF67" s="65" t="str">
        <f t="shared" ca="1" si="173"/>
        <v>-</v>
      </c>
      <c r="CG67" s="65" t="str">
        <f t="shared" ca="1" si="173"/>
        <v>-</v>
      </c>
      <c r="CH67" s="65" t="str">
        <f t="shared" ca="1" si="173"/>
        <v>-</v>
      </c>
      <c r="CI67" s="65" t="str">
        <f t="shared" ca="1" si="173"/>
        <v>-</v>
      </c>
      <c r="CJ67" s="65" t="str">
        <f t="shared" ca="1" si="173"/>
        <v>-</v>
      </c>
      <c r="CK67" s="65" t="str">
        <f t="shared" ca="1" si="173"/>
        <v>-</v>
      </c>
      <c r="CL67" s="65" t="str">
        <f t="shared" ca="1" si="173"/>
        <v>-</v>
      </c>
      <c r="CM67" s="65" t="str">
        <f t="shared" ca="1" si="173"/>
        <v>-</v>
      </c>
      <c r="CN67" s="65" t="str">
        <f t="shared" ref="CN67:CW70" ca="1" si="174">IF(AND(CN$2&gt;=$G67,CN$2&lt;($G67+$I67)),ROUND($F67/$I67,0),"-")</f>
        <v>-</v>
      </c>
      <c r="CO67" s="65" t="str">
        <f t="shared" ca="1" si="174"/>
        <v>-</v>
      </c>
      <c r="CP67" s="65" t="str">
        <f t="shared" ca="1" si="174"/>
        <v>-</v>
      </c>
      <c r="CQ67" s="65" t="str">
        <f t="shared" ca="1" si="174"/>
        <v>-</v>
      </c>
      <c r="CR67" s="65" t="str">
        <f t="shared" ca="1" si="174"/>
        <v>-</v>
      </c>
      <c r="CS67" s="65" t="str">
        <f t="shared" ca="1" si="174"/>
        <v>-</v>
      </c>
      <c r="CT67" s="65" t="str">
        <f t="shared" ca="1" si="174"/>
        <v>-</v>
      </c>
      <c r="CU67" s="65" t="str">
        <f t="shared" ca="1" si="174"/>
        <v>-</v>
      </c>
      <c r="CV67" s="65" t="str">
        <f t="shared" ca="1" si="174"/>
        <v>-</v>
      </c>
      <c r="CW67" s="65" t="str">
        <f t="shared" ca="1" si="174"/>
        <v>-</v>
      </c>
      <c r="CX67" s="65" t="str">
        <f t="shared" ref="CX67:DG70" ca="1" si="175">IF(AND(CX$2&gt;=$G67,CX$2&lt;($G67+$I67)),ROUND($F67/$I67,0),"-")</f>
        <v>-</v>
      </c>
      <c r="CY67" s="65" t="str">
        <f t="shared" ca="1" si="175"/>
        <v>-</v>
      </c>
      <c r="CZ67" s="65" t="str">
        <f t="shared" ca="1" si="175"/>
        <v>-</v>
      </c>
      <c r="DA67" s="65" t="str">
        <f t="shared" ca="1" si="175"/>
        <v>-</v>
      </c>
      <c r="DB67" s="65" t="str">
        <f t="shared" ca="1" si="175"/>
        <v>-</v>
      </c>
      <c r="DC67" s="65" t="str">
        <f t="shared" ca="1" si="175"/>
        <v>-</v>
      </c>
      <c r="DD67" s="65" t="str">
        <f t="shared" ca="1" si="175"/>
        <v>-</v>
      </c>
      <c r="DE67" s="65" t="str">
        <f t="shared" ca="1" si="175"/>
        <v>-</v>
      </c>
      <c r="DF67" s="65" t="str">
        <f t="shared" ca="1" si="175"/>
        <v>-</v>
      </c>
      <c r="DG67" s="65" t="str">
        <f t="shared" ca="1" si="175"/>
        <v>-</v>
      </c>
      <c r="DH67" s="65" t="str">
        <f t="shared" ref="DH67:DQ70" ca="1" si="176">IF(AND(DH$2&gt;=$G67,DH$2&lt;($G67+$I67)),ROUND($F67/$I67,0),"-")</f>
        <v>-</v>
      </c>
      <c r="DI67" s="65" t="str">
        <f t="shared" ca="1" si="176"/>
        <v>-</v>
      </c>
      <c r="DJ67" s="65" t="str">
        <f t="shared" ca="1" si="176"/>
        <v>-</v>
      </c>
      <c r="DK67" s="65" t="str">
        <f t="shared" ca="1" si="176"/>
        <v>-</v>
      </c>
      <c r="DL67" s="65" t="str">
        <f t="shared" ca="1" si="176"/>
        <v>-</v>
      </c>
      <c r="DM67" s="65" t="str">
        <f t="shared" ca="1" si="176"/>
        <v>-</v>
      </c>
      <c r="DN67" s="65" t="str">
        <f t="shared" ca="1" si="176"/>
        <v>-</v>
      </c>
      <c r="DO67" s="65" t="str">
        <f t="shared" ca="1" si="176"/>
        <v>-</v>
      </c>
      <c r="DP67" s="65" t="str">
        <f t="shared" ca="1" si="176"/>
        <v>-</v>
      </c>
      <c r="DQ67" s="65" t="str">
        <f t="shared" ca="1" si="176"/>
        <v>-</v>
      </c>
      <c r="DR67" s="65" t="str">
        <f t="shared" ref="DR67:EA70" ca="1" si="177">IF(AND(DR$2&gt;=$G67,DR$2&lt;($G67+$I67)),ROUND($F67/$I67,0),"-")</f>
        <v>-</v>
      </c>
      <c r="DS67" s="65" t="str">
        <f t="shared" ca="1" si="177"/>
        <v>-</v>
      </c>
      <c r="DT67" s="65" t="str">
        <f t="shared" ca="1" si="177"/>
        <v>-</v>
      </c>
      <c r="DU67" s="65" t="str">
        <f t="shared" ca="1" si="177"/>
        <v>-</v>
      </c>
      <c r="DV67" s="65" t="str">
        <f t="shared" ca="1" si="177"/>
        <v>-</v>
      </c>
      <c r="DW67" s="65" t="str">
        <f t="shared" ca="1" si="177"/>
        <v>-</v>
      </c>
      <c r="DX67" s="65" t="str">
        <f t="shared" ca="1" si="177"/>
        <v>-</v>
      </c>
      <c r="DY67" s="65" t="str">
        <f t="shared" ca="1" si="177"/>
        <v>-</v>
      </c>
      <c r="DZ67" s="65" t="str">
        <f t="shared" ca="1" si="177"/>
        <v>-</v>
      </c>
      <c r="EA67" s="65" t="str">
        <f t="shared" ca="1" si="177"/>
        <v>-</v>
      </c>
      <c r="EB67" s="65" t="str">
        <f t="shared" ref="EB67:EN70" ca="1" si="178">IF(AND(EB$2&gt;=$G67,EB$2&lt;($G67+$I67)),ROUND($F67/$I67,0),"-")</f>
        <v>-</v>
      </c>
      <c r="EC67" s="65" t="str">
        <f t="shared" ca="1" si="178"/>
        <v>-</v>
      </c>
      <c r="ED67" s="65" t="str">
        <f t="shared" ca="1" si="178"/>
        <v>-</v>
      </c>
      <c r="EE67" s="65" t="str">
        <f t="shared" ca="1" si="178"/>
        <v>-</v>
      </c>
      <c r="EF67" s="65" t="str">
        <f t="shared" ca="1" si="178"/>
        <v>-</v>
      </c>
      <c r="EG67" s="65" t="str">
        <f t="shared" ca="1" si="178"/>
        <v>-</v>
      </c>
      <c r="EH67" s="65" t="str">
        <f t="shared" ca="1" si="178"/>
        <v>-</v>
      </c>
      <c r="EI67" s="65" t="str">
        <f t="shared" ca="1" si="178"/>
        <v>-</v>
      </c>
      <c r="EJ67" s="65" t="str">
        <f t="shared" ca="1" si="178"/>
        <v>-</v>
      </c>
      <c r="EK67" s="65" t="str">
        <f t="shared" ca="1" si="178"/>
        <v>-</v>
      </c>
      <c r="EL67" s="65" t="str">
        <f t="shared" ca="1" si="178"/>
        <v>-</v>
      </c>
      <c r="EM67" s="65" t="str">
        <f t="shared" ca="1" si="178"/>
        <v>-</v>
      </c>
      <c r="EN67" s="65" t="str">
        <f t="shared" ca="1" si="178"/>
        <v>-</v>
      </c>
    </row>
    <row r="68" spans="1:146">
      <c r="A68" s="448"/>
      <c r="B68" s="451"/>
      <c r="C68" s="451"/>
      <c r="D68" s="466"/>
      <c r="E68" s="185" t="s">
        <v>65</v>
      </c>
      <c r="F68" s="66">
        <f>SUM('BESS 11'!S390,'BESS 11'!S392:S393,'BESS 11'!S396:S398)</f>
        <v>1517.4780266666667</v>
      </c>
      <c r="G68" s="182">
        <f t="shared" ca="1" si="164"/>
        <v>46233</v>
      </c>
      <c r="H68" s="182">
        <f ca="1">G68+25</f>
        <v>46258</v>
      </c>
      <c r="I68" s="65">
        <f ca="1">H68-G68</f>
        <v>25</v>
      </c>
      <c r="J68" s="453"/>
      <c r="K68" s="445"/>
      <c r="L68" s="65" t="str">
        <f t="shared" ca="1" si="165"/>
        <v>-</v>
      </c>
      <c r="M68" s="65" t="str">
        <f t="shared" ca="1" si="165"/>
        <v>-</v>
      </c>
      <c r="N68" s="65" t="str">
        <f t="shared" ca="1" si="165"/>
        <v>-</v>
      </c>
      <c r="O68" s="65" t="str">
        <f t="shared" ca="1" si="165"/>
        <v>-</v>
      </c>
      <c r="P68" s="65" t="str">
        <f t="shared" ca="1" si="165"/>
        <v>-</v>
      </c>
      <c r="Q68" s="65" t="str">
        <f t="shared" ca="1" si="165"/>
        <v>-</v>
      </c>
      <c r="R68" s="65" t="str">
        <f t="shared" ca="1" si="165"/>
        <v>-</v>
      </c>
      <c r="S68" s="65" t="str">
        <f t="shared" ca="1" si="165"/>
        <v>-</v>
      </c>
      <c r="T68" s="65" t="str">
        <f t="shared" ca="1" si="165"/>
        <v>-</v>
      </c>
      <c r="U68" s="65" t="str">
        <f t="shared" ca="1" si="165"/>
        <v>-</v>
      </c>
      <c r="V68" s="65" t="str">
        <f t="shared" ca="1" si="166"/>
        <v>-</v>
      </c>
      <c r="W68" s="65" t="str">
        <f t="shared" ca="1" si="166"/>
        <v>-</v>
      </c>
      <c r="X68" s="65" t="str">
        <f t="shared" ca="1" si="166"/>
        <v>-</v>
      </c>
      <c r="Y68" s="65" t="str">
        <f t="shared" ca="1" si="166"/>
        <v>-</v>
      </c>
      <c r="Z68" s="65" t="str">
        <f t="shared" ca="1" si="166"/>
        <v>-</v>
      </c>
      <c r="AA68" s="65" t="str">
        <f t="shared" ca="1" si="166"/>
        <v>-</v>
      </c>
      <c r="AB68" s="65" t="str">
        <f t="shared" ca="1" si="166"/>
        <v>-</v>
      </c>
      <c r="AC68" s="65" t="str">
        <f t="shared" ca="1" si="166"/>
        <v>-</v>
      </c>
      <c r="AD68" s="65" t="str">
        <f t="shared" ca="1" si="166"/>
        <v>-</v>
      </c>
      <c r="AE68" s="65" t="str">
        <f t="shared" ca="1" si="166"/>
        <v>-</v>
      </c>
      <c r="AF68" s="65" t="str">
        <f t="shared" ca="1" si="167"/>
        <v>-</v>
      </c>
      <c r="AG68" s="65" t="str">
        <f t="shared" ca="1" si="167"/>
        <v>-</v>
      </c>
      <c r="AH68" s="65" t="str">
        <f t="shared" ca="1" si="167"/>
        <v>-</v>
      </c>
      <c r="AI68" s="65" t="str">
        <f t="shared" ca="1" si="167"/>
        <v>-</v>
      </c>
      <c r="AJ68" s="65" t="str">
        <f t="shared" ca="1" si="167"/>
        <v>-</v>
      </c>
      <c r="AK68" s="65" t="str">
        <f t="shared" ca="1" si="167"/>
        <v>-</v>
      </c>
      <c r="AL68" s="65" t="str">
        <f t="shared" ca="1" si="167"/>
        <v>-</v>
      </c>
      <c r="AM68" s="65" t="str">
        <f t="shared" ca="1" si="167"/>
        <v>-</v>
      </c>
      <c r="AN68" s="65" t="str">
        <f t="shared" ca="1" si="167"/>
        <v>-</v>
      </c>
      <c r="AO68" s="65" t="str">
        <f t="shared" ca="1" si="167"/>
        <v>-</v>
      </c>
      <c r="AP68" s="65" t="str">
        <f t="shared" ca="1" si="168"/>
        <v>-</v>
      </c>
      <c r="AQ68" s="65" t="str">
        <f t="shared" ca="1" si="168"/>
        <v>-</v>
      </c>
      <c r="AR68" s="65" t="str">
        <f t="shared" ca="1" si="168"/>
        <v>-</v>
      </c>
      <c r="AS68" s="65" t="str">
        <f t="shared" ca="1" si="168"/>
        <v>-</v>
      </c>
      <c r="AT68" s="65" t="str">
        <f t="shared" ca="1" si="168"/>
        <v>-</v>
      </c>
      <c r="AU68" s="65" t="str">
        <f t="shared" ca="1" si="168"/>
        <v>-</v>
      </c>
      <c r="AV68" s="65" t="str">
        <f t="shared" ca="1" si="168"/>
        <v>-</v>
      </c>
      <c r="AW68" s="65" t="str">
        <f t="shared" ca="1" si="168"/>
        <v>-</v>
      </c>
      <c r="AX68" s="65">
        <f t="shared" ca="1" si="168"/>
        <v>61</v>
      </c>
      <c r="AY68" s="65">
        <f t="shared" ca="1" si="168"/>
        <v>61</v>
      </c>
      <c r="AZ68" s="65">
        <f t="shared" ca="1" si="169"/>
        <v>61</v>
      </c>
      <c r="BA68" s="65">
        <f t="shared" ca="1" si="169"/>
        <v>61</v>
      </c>
      <c r="BB68" s="65">
        <f t="shared" ca="1" si="169"/>
        <v>61</v>
      </c>
      <c r="BC68" s="65">
        <f t="shared" ca="1" si="169"/>
        <v>61</v>
      </c>
      <c r="BD68" s="65">
        <f t="shared" ca="1" si="169"/>
        <v>61</v>
      </c>
      <c r="BE68" s="65">
        <f t="shared" ca="1" si="169"/>
        <v>61</v>
      </c>
      <c r="BF68" s="65">
        <f t="shared" ca="1" si="169"/>
        <v>61</v>
      </c>
      <c r="BG68" s="65">
        <f t="shared" ca="1" si="169"/>
        <v>61</v>
      </c>
      <c r="BH68" s="65">
        <f t="shared" ca="1" si="169"/>
        <v>61</v>
      </c>
      <c r="BI68" s="65">
        <f t="shared" ca="1" si="169"/>
        <v>61</v>
      </c>
      <c r="BJ68" s="65">
        <f t="shared" ca="1" si="170"/>
        <v>61</v>
      </c>
      <c r="BK68" s="65">
        <f t="shared" ca="1" si="170"/>
        <v>61</v>
      </c>
      <c r="BL68" s="65">
        <f t="shared" ca="1" si="170"/>
        <v>61</v>
      </c>
      <c r="BM68" s="65">
        <f t="shared" ca="1" si="170"/>
        <v>61</v>
      </c>
      <c r="BN68" s="65">
        <f t="shared" ca="1" si="170"/>
        <v>61</v>
      </c>
      <c r="BO68" s="65">
        <f t="shared" ca="1" si="170"/>
        <v>61</v>
      </c>
      <c r="BP68" s="65">
        <f t="shared" ca="1" si="170"/>
        <v>61</v>
      </c>
      <c r="BQ68" s="65">
        <f t="shared" ca="1" si="170"/>
        <v>61</v>
      </c>
      <c r="BR68" s="65">
        <f t="shared" ca="1" si="170"/>
        <v>61</v>
      </c>
      <c r="BS68" s="65">
        <f t="shared" ca="1" si="170"/>
        <v>61</v>
      </c>
      <c r="BT68" s="65">
        <f t="shared" ca="1" si="171"/>
        <v>61</v>
      </c>
      <c r="BU68" s="65">
        <f t="shared" ca="1" si="171"/>
        <v>61</v>
      </c>
      <c r="BV68" s="65">
        <f t="shared" ca="1" si="171"/>
        <v>61</v>
      </c>
      <c r="BW68" s="65" t="str">
        <f t="shared" ca="1" si="171"/>
        <v>-</v>
      </c>
      <c r="BX68" s="65" t="str">
        <f ca="1">IF(AND(BX$2&gt;=$G68,BX$2&lt;($G68+$I68)),ROUND($F68/$I68,0),"-")</f>
        <v>-</v>
      </c>
      <c r="BY68" s="65" t="str">
        <f t="shared" ca="1" si="172"/>
        <v>-</v>
      </c>
      <c r="BZ68" s="65" t="str">
        <f t="shared" ca="1" si="172"/>
        <v>-</v>
      </c>
      <c r="CA68" s="65" t="str">
        <f t="shared" ca="1" si="172"/>
        <v>-</v>
      </c>
      <c r="CB68" s="65" t="str">
        <f t="shared" ca="1" si="171"/>
        <v>-</v>
      </c>
      <c r="CC68" s="65" t="str">
        <f t="shared" ca="1" si="171"/>
        <v>-</v>
      </c>
      <c r="CD68" s="65" t="str">
        <f t="shared" ca="1" si="173"/>
        <v>-</v>
      </c>
      <c r="CE68" s="65" t="str">
        <f t="shared" ca="1" si="173"/>
        <v>-</v>
      </c>
      <c r="CF68" s="65" t="str">
        <f t="shared" ca="1" si="173"/>
        <v>-</v>
      </c>
      <c r="CG68" s="65" t="str">
        <f t="shared" ca="1" si="173"/>
        <v>-</v>
      </c>
      <c r="CH68" s="65" t="str">
        <f t="shared" ca="1" si="173"/>
        <v>-</v>
      </c>
      <c r="CI68" s="65" t="str">
        <f t="shared" ca="1" si="173"/>
        <v>-</v>
      </c>
      <c r="CJ68" s="65" t="str">
        <f t="shared" ca="1" si="173"/>
        <v>-</v>
      </c>
      <c r="CK68" s="65" t="str">
        <f t="shared" ca="1" si="173"/>
        <v>-</v>
      </c>
      <c r="CL68" s="65" t="str">
        <f t="shared" ca="1" si="173"/>
        <v>-</v>
      </c>
      <c r="CM68" s="65" t="str">
        <f t="shared" ca="1" si="173"/>
        <v>-</v>
      </c>
      <c r="CN68" s="65" t="str">
        <f t="shared" ca="1" si="174"/>
        <v>-</v>
      </c>
      <c r="CO68" s="65" t="str">
        <f t="shared" ca="1" si="174"/>
        <v>-</v>
      </c>
      <c r="CP68" s="65" t="str">
        <f t="shared" ca="1" si="174"/>
        <v>-</v>
      </c>
      <c r="CQ68" s="65" t="str">
        <f t="shared" ca="1" si="174"/>
        <v>-</v>
      </c>
      <c r="CR68" s="65" t="str">
        <f t="shared" ca="1" si="174"/>
        <v>-</v>
      </c>
      <c r="CS68" s="65" t="str">
        <f t="shared" ca="1" si="174"/>
        <v>-</v>
      </c>
      <c r="CT68" s="65" t="str">
        <f t="shared" ca="1" si="174"/>
        <v>-</v>
      </c>
      <c r="CU68" s="65" t="str">
        <f t="shared" ca="1" si="174"/>
        <v>-</v>
      </c>
      <c r="CV68" s="65" t="str">
        <f t="shared" ca="1" si="174"/>
        <v>-</v>
      </c>
      <c r="CW68" s="65" t="str">
        <f t="shared" ca="1" si="174"/>
        <v>-</v>
      </c>
      <c r="CX68" s="65" t="str">
        <f t="shared" ca="1" si="175"/>
        <v>-</v>
      </c>
      <c r="CY68" s="65" t="str">
        <f t="shared" ca="1" si="175"/>
        <v>-</v>
      </c>
      <c r="CZ68" s="65" t="str">
        <f t="shared" ca="1" si="175"/>
        <v>-</v>
      </c>
      <c r="DA68" s="65" t="str">
        <f t="shared" ca="1" si="175"/>
        <v>-</v>
      </c>
      <c r="DB68" s="65" t="str">
        <f t="shared" ca="1" si="175"/>
        <v>-</v>
      </c>
      <c r="DC68" s="65" t="str">
        <f t="shared" ca="1" si="175"/>
        <v>-</v>
      </c>
      <c r="DD68" s="65" t="str">
        <f t="shared" ca="1" si="175"/>
        <v>-</v>
      </c>
      <c r="DE68" s="65" t="str">
        <f t="shared" ca="1" si="175"/>
        <v>-</v>
      </c>
      <c r="DF68" s="65" t="str">
        <f t="shared" ca="1" si="175"/>
        <v>-</v>
      </c>
      <c r="DG68" s="65" t="str">
        <f t="shared" ca="1" si="175"/>
        <v>-</v>
      </c>
      <c r="DH68" s="65" t="str">
        <f t="shared" ca="1" si="176"/>
        <v>-</v>
      </c>
      <c r="DI68" s="65" t="str">
        <f t="shared" ca="1" si="176"/>
        <v>-</v>
      </c>
      <c r="DJ68" s="65" t="str">
        <f t="shared" ca="1" si="176"/>
        <v>-</v>
      </c>
      <c r="DK68" s="65" t="str">
        <f t="shared" ca="1" si="176"/>
        <v>-</v>
      </c>
      <c r="DL68" s="65" t="str">
        <f t="shared" ca="1" si="176"/>
        <v>-</v>
      </c>
      <c r="DM68" s="65" t="str">
        <f t="shared" ca="1" si="176"/>
        <v>-</v>
      </c>
      <c r="DN68" s="65" t="str">
        <f t="shared" ca="1" si="176"/>
        <v>-</v>
      </c>
      <c r="DO68" s="65" t="str">
        <f t="shared" ca="1" si="176"/>
        <v>-</v>
      </c>
      <c r="DP68" s="65" t="str">
        <f t="shared" ca="1" si="176"/>
        <v>-</v>
      </c>
      <c r="DQ68" s="65" t="str">
        <f t="shared" ca="1" si="176"/>
        <v>-</v>
      </c>
      <c r="DR68" s="65" t="str">
        <f t="shared" ca="1" si="177"/>
        <v>-</v>
      </c>
      <c r="DS68" s="65" t="str">
        <f t="shared" ca="1" si="177"/>
        <v>-</v>
      </c>
      <c r="DT68" s="65" t="str">
        <f t="shared" ca="1" si="177"/>
        <v>-</v>
      </c>
      <c r="DU68" s="65" t="str">
        <f t="shared" ca="1" si="177"/>
        <v>-</v>
      </c>
      <c r="DV68" s="65" t="str">
        <f t="shared" ca="1" si="177"/>
        <v>-</v>
      </c>
      <c r="DW68" s="65" t="str">
        <f t="shared" ca="1" si="177"/>
        <v>-</v>
      </c>
      <c r="DX68" s="65" t="str">
        <f t="shared" ca="1" si="177"/>
        <v>-</v>
      </c>
      <c r="DY68" s="65" t="str">
        <f t="shared" ca="1" si="177"/>
        <v>-</v>
      </c>
      <c r="DZ68" s="65" t="str">
        <f t="shared" ca="1" si="177"/>
        <v>-</v>
      </c>
      <c r="EA68" s="65" t="str">
        <f t="shared" ca="1" si="177"/>
        <v>-</v>
      </c>
      <c r="EB68" s="65" t="str">
        <f t="shared" ca="1" si="178"/>
        <v>-</v>
      </c>
      <c r="EC68" s="65" t="str">
        <f t="shared" ca="1" si="178"/>
        <v>-</v>
      </c>
      <c r="ED68" s="65" t="str">
        <f t="shared" ca="1" si="178"/>
        <v>-</v>
      </c>
      <c r="EE68" s="65" t="str">
        <f t="shared" ca="1" si="178"/>
        <v>-</v>
      </c>
      <c r="EF68" s="65" t="str">
        <f t="shared" ca="1" si="178"/>
        <v>-</v>
      </c>
      <c r="EG68" s="65" t="str">
        <f t="shared" ca="1" si="178"/>
        <v>-</v>
      </c>
      <c r="EH68" s="65" t="str">
        <f t="shared" ca="1" si="178"/>
        <v>-</v>
      </c>
      <c r="EI68" s="65" t="str">
        <f t="shared" ca="1" si="178"/>
        <v>-</v>
      </c>
      <c r="EJ68" s="65" t="str">
        <f t="shared" ca="1" si="178"/>
        <v>-</v>
      </c>
      <c r="EK68" s="65" t="str">
        <f t="shared" ca="1" si="178"/>
        <v>-</v>
      </c>
      <c r="EL68" s="65" t="str">
        <f t="shared" ca="1" si="178"/>
        <v>-</v>
      </c>
      <c r="EM68" s="65" t="str">
        <f t="shared" ca="1" si="178"/>
        <v>-</v>
      </c>
      <c r="EN68" s="65" t="str">
        <f t="shared" ca="1" si="178"/>
        <v>-</v>
      </c>
    </row>
    <row r="69" spans="1:146">
      <c r="A69" s="448"/>
      <c r="B69" s="451"/>
      <c r="C69" s="451"/>
      <c r="D69" s="466"/>
      <c r="E69" s="185" t="s">
        <v>66</v>
      </c>
      <c r="F69" s="66">
        <f>SUM('BESS 11'!S391,'BESS 11'!S395,'BESS 11'!S399:S400,461)</f>
        <v>1993.0666666666668</v>
      </c>
      <c r="G69" s="182">
        <f ca="1">G68+5</f>
        <v>46238</v>
      </c>
      <c r="H69" s="182">
        <f ca="1">G69+25</f>
        <v>46263</v>
      </c>
      <c r="I69" s="65">
        <f ca="1">H69-G69</f>
        <v>25</v>
      </c>
      <c r="J69" s="453"/>
      <c r="K69" s="445"/>
      <c r="L69" s="65" t="str">
        <f ca="1">IF(AND(L$2&gt;=$G69,L$2&lt;($G69+$I69)),ROUND($F69/$I69,0),"-")</f>
        <v>-</v>
      </c>
      <c r="M69" s="65" t="str">
        <f t="shared" ca="1" si="165"/>
        <v>-</v>
      </c>
      <c r="N69" s="65" t="str">
        <f t="shared" ca="1" si="165"/>
        <v>-</v>
      </c>
      <c r="O69" s="65" t="str">
        <f t="shared" ca="1" si="165"/>
        <v>-</v>
      </c>
      <c r="P69" s="65" t="str">
        <f t="shared" ca="1" si="165"/>
        <v>-</v>
      </c>
      <c r="Q69" s="65" t="str">
        <f t="shared" ca="1" si="165"/>
        <v>-</v>
      </c>
      <c r="R69" s="65" t="str">
        <f t="shared" ca="1" si="165"/>
        <v>-</v>
      </c>
      <c r="S69" s="65" t="str">
        <f t="shared" ca="1" si="165"/>
        <v>-</v>
      </c>
      <c r="T69" s="65" t="str">
        <f t="shared" ca="1" si="165"/>
        <v>-</v>
      </c>
      <c r="U69" s="65" t="str">
        <f t="shared" ca="1" si="165"/>
        <v>-</v>
      </c>
      <c r="V69" s="65" t="str">
        <f t="shared" ca="1" si="166"/>
        <v>-</v>
      </c>
      <c r="W69" s="65" t="str">
        <f t="shared" ca="1" si="166"/>
        <v>-</v>
      </c>
      <c r="X69" s="65" t="str">
        <f t="shared" ca="1" si="166"/>
        <v>-</v>
      </c>
      <c r="Y69" s="65" t="str">
        <f t="shared" ca="1" si="166"/>
        <v>-</v>
      </c>
      <c r="Z69" s="65" t="str">
        <f t="shared" ca="1" si="166"/>
        <v>-</v>
      </c>
      <c r="AA69" s="65" t="str">
        <f t="shared" ca="1" si="166"/>
        <v>-</v>
      </c>
      <c r="AB69" s="65" t="str">
        <f t="shared" ca="1" si="166"/>
        <v>-</v>
      </c>
      <c r="AC69" s="65" t="str">
        <f t="shared" ca="1" si="166"/>
        <v>-</v>
      </c>
      <c r="AD69" s="65" t="str">
        <f t="shared" ca="1" si="166"/>
        <v>-</v>
      </c>
      <c r="AE69" s="65" t="str">
        <f t="shared" ca="1" si="166"/>
        <v>-</v>
      </c>
      <c r="AF69" s="65" t="str">
        <f t="shared" ca="1" si="167"/>
        <v>-</v>
      </c>
      <c r="AG69" s="65" t="str">
        <f t="shared" ca="1" si="167"/>
        <v>-</v>
      </c>
      <c r="AH69" s="65" t="str">
        <f t="shared" ca="1" si="167"/>
        <v>-</v>
      </c>
      <c r="AI69" s="65" t="str">
        <f t="shared" ca="1" si="167"/>
        <v>-</v>
      </c>
      <c r="AJ69" s="65" t="str">
        <f t="shared" ca="1" si="167"/>
        <v>-</v>
      </c>
      <c r="AK69" s="65" t="str">
        <f t="shared" ca="1" si="167"/>
        <v>-</v>
      </c>
      <c r="AL69" s="65" t="str">
        <f t="shared" ca="1" si="167"/>
        <v>-</v>
      </c>
      <c r="AM69" s="65" t="str">
        <f t="shared" ca="1" si="167"/>
        <v>-</v>
      </c>
      <c r="AN69" s="65" t="str">
        <f t="shared" ca="1" si="167"/>
        <v>-</v>
      </c>
      <c r="AO69" s="65" t="str">
        <f t="shared" ca="1" si="167"/>
        <v>-</v>
      </c>
      <c r="AP69" s="65" t="str">
        <f t="shared" ca="1" si="168"/>
        <v>-</v>
      </c>
      <c r="AQ69" s="65" t="str">
        <f t="shared" ca="1" si="168"/>
        <v>-</v>
      </c>
      <c r="AR69" s="65" t="str">
        <f t="shared" ca="1" si="168"/>
        <v>-</v>
      </c>
      <c r="AS69" s="65" t="str">
        <f t="shared" ca="1" si="168"/>
        <v>-</v>
      </c>
      <c r="AT69" s="65" t="str">
        <f t="shared" ca="1" si="168"/>
        <v>-</v>
      </c>
      <c r="AU69" s="65" t="str">
        <f t="shared" ca="1" si="168"/>
        <v>-</v>
      </c>
      <c r="AV69" s="65" t="str">
        <f t="shared" ca="1" si="168"/>
        <v>-</v>
      </c>
      <c r="AW69" s="65" t="str">
        <f t="shared" ca="1" si="168"/>
        <v>-</v>
      </c>
      <c r="AX69" s="65" t="str">
        <f t="shared" ca="1" si="168"/>
        <v>-</v>
      </c>
      <c r="AY69" s="65" t="str">
        <f t="shared" ca="1" si="168"/>
        <v>-</v>
      </c>
      <c r="AZ69" s="65" t="str">
        <f t="shared" ca="1" si="169"/>
        <v>-</v>
      </c>
      <c r="BA69" s="65" t="str">
        <f t="shared" ca="1" si="169"/>
        <v>-</v>
      </c>
      <c r="BB69" s="65" t="str">
        <f t="shared" ca="1" si="169"/>
        <v>-</v>
      </c>
      <c r="BC69" s="65">
        <f t="shared" ca="1" si="169"/>
        <v>80</v>
      </c>
      <c r="BD69" s="65">
        <f t="shared" ca="1" si="169"/>
        <v>80</v>
      </c>
      <c r="BE69" s="65">
        <f t="shared" ca="1" si="169"/>
        <v>80</v>
      </c>
      <c r="BF69" s="65">
        <f t="shared" ca="1" si="169"/>
        <v>80</v>
      </c>
      <c r="BG69" s="65">
        <f t="shared" ca="1" si="169"/>
        <v>80</v>
      </c>
      <c r="BH69" s="65">
        <f t="shared" ca="1" si="169"/>
        <v>80</v>
      </c>
      <c r="BI69" s="65">
        <f t="shared" ca="1" si="169"/>
        <v>80</v>
      </c>
      <c r="BJ69" s="65">
        <f t="shared" ca="1" si="170"/>
        <v>80</v>
      </c>
      <c r="BK69" s="65">
        <f t="shared" ca="1" si="170"/>
        <v>80</v>
      </c>
      <c r="BL69" s="65">
        <f t="shared" ca="1" si="170"/>
        <v>80</v>
      </c>
      <c r="BM69" s="65">
        <f t="shared" ca="1" si="170"/>
        <v>80</v>
      </c>
      <c r="BN69" s="65">
        <f t="shared" ca="1" si="170"/>
        <v>80</v>
      </c>
      <c r="BO69" s="65">
        <f t="shared" ca="1" si="170"/>
        <v>80</v>
      </c>
      <c r="BP69" s="65">
        <f t="shared" ca="1" si="170"/>
        <v>80</v>
      </c>
      <c r="BQ69" s="65">
        <f t="shared" ca="1" si="170"/>
        <v>80</v>
      </c>
      <c r="BR69" s="65">
        <f t="shared" ca="1" si="170"/>
        <v>80</v>
      </c>
      <c r="BS69" s="65">
        <f t="shared" ca="1" si="170"/>
        <v>80</v>
      </c>
      <c r="BT69" s="65">
        <f t="shared" ca="1" si="171"/>
        <v>80</v>
      </c>
      <c r="BU69" s="65">
        <v>136</v>
      </c>
      <c r="BV69" s="65">
        <v>136</v>
      </c>
      <c r="BW69" s="65">
        <v>136</v>
      </c>
      <c r="BX69" s="65">
        <v>136</v>
      </c>
      <c r="BY69" s="65">
        <f t="shared" ca="1" si="172"/>
        <v>80</v>
      </c>
      <c r="BZ69" s="65">
        <f t="shared" ca="1" si="172"/>
        <v>80</v>
      </c>
      <c r="CA69" s="65">
        <f t="shared" ca="1" si="172"/>
        <v>80</v>
      </c>
      <c r="CB69" s="65" t="str">
        <f t="shared" ca="1" si="171"/>
        <v>-</v>
      </c>
      <c r="CC69" s="65" t="str">
        <f t="shared" ca="1" si="171"/>
        <v>-</v>
      </c>
      <c r="CD69" s="65" t="str">
        <f t="shared" ca="1" si="173"/>
        <v>-</v>
      </c>
      <c r="CE69" s="65" t="str">
        <f t="shared" ca="1" si="173"/>
        <v>-</v>
      </c>
      <c r="CF69" s="65" t="str">
        <f t="shared" ca="1" si="173"/>
        <v>-</v>
      </c>
      <c r="CG69" s="65" t="str">
        <f t="shared" ca="1" si="173"/>
        <v>-</v>
      </c>
      <c r="CH69" s="65" t="str">
        <f t="shared" ca="1" si="173"/>
        <v>-</v>
      </c>
      <c r="CI69" s="65" t="str">
        <f t="shared" ca="1" si="173"/>
        <v>-</v>
      </c>
      <c r="CJ69" s="65" t="str">
        <f t="shared" ca="1" si="173"/>
        <v>-</v>
      </c>
      <c r="CK69" s="65" t="str">
        <f t="shared" ca="1" si="173"/>
        <v>-</v>
      </c>
      <c r="CL69" s="65" t="str">
        <f t="shared" ca="1" si="173"/>
        <v>-</v>
      </c>
      <c r="CM69" s="65" t="str">
        <f t="shared" ca="1" si="173"/>
        <v>-</v>
      </c>
      <c r="CN69" s="65" t="str">
        <f t="shared" ca="1" si="174"/>
        <v>-</v>
      </c>
      <c r="CO69" s="65" t="str">
        <f t="shared" ca="1" si="174"/>
        <v>-</v>
      </c>
      <c r="CP69" s="65" t="str">
        <f t="shared" ca="1" si="174"/>
        <v>-</v>
      </c>
      <c r="CQ69" s="65" t="str">
        <f t="shared" ca="1" si="174"/>
        <v>-</v>
      </c>
      <c r="CR69" s="65" t="str">
        <f t="shared" ca="1" si="174"/>
        <v>-</v>
      </c>
      <c r="CS69" s="65" t="str">
        <f t="shared" ca="1" si="174"/>
        <v>-</v>
      </c>
      <c r="CT69" s="65" t="str">
        <f t="shared" ca="1" si="174"/>
        <v>-</v>
      </c>
      <c r="CU69" s="65" t="str">
        <f t="shared" ca="1" si="174"/>
        <v>-</v>
      </c>
      <c r="CV69" s="65" t="str">
        <f t="shared" ca="1" si="174"/>
        <v>-</v>
      </c>
      <c r="CW69" s="65" t="str">
        <f t="shared" ca="1" si="174"/>
        <v>-</v>
      </c>
      <c r="CX69" s="65" t="str">
        <f t="shared" ca="1" si="175"/>
        <v>-</v>
      </c>
      <c r="CY69" s="65" t="str">
        <f t="shared" ca="1" si="175"/>
        <v>-</v>
      </c>
      <c r="CZ69" s="65" t="str">
        <f t="shared" ca="1" si="175"/>
        <v>-</v>
      </c>
      <c r="DA69" s="65" t="str">
        <f t="shared" ca="1" si="175"/>
        <v>-</v>
      </c>
      <c r="DB69" s="65" t="str">
        <f t="shared" ca="1" si="175"/>
        <v>-</v>
      </c>
      <c r="DC69" s="65" t="str">
        <f t="shared" ca="1" si="175"/>
        <v>-</v>
      </c>
      <c r="DD69" s="65" t="str">
        <f t="shared" ca="1" si="175"/>
        <v>-</v>
      </c>
      <c r="DE69" s="65" t="str">
        <f t="shared" ca="1" si="175"/>
        <v>-</v>
      </c>
      <c r="DF69" s="65" t="str">
        <f t="shared" ca="1" si="175"/>
        <v>-</v>
      </c>
      <c r="DG69" s="65" t="str">
        <f t="shared" ca="1" si="175"/>
        <v>-</v>
      </c>
      <c r="DH69" s="65" t="str">
        <f t="shared" ca="1" si="176"/>
        <v>-</v>
      </c>
      <c r="DI69" s="65" t="str">
        <f t="shared" ca="1" si="176"/>
        <v>-</v>
      </c>
      <c r="DJ69" s="65" t="str">
        <f t="shared" ca="1" si="176"/>
        <v>-</v>
      </c>
      <c r="DK69" s="65" t="str">
        <f t="shared" ca="1" si="176"/>
        <v>-</v>
      </c>
      <c r="DL69" s="65" t="str">
        <f t="shared" ca="1" si="176"/>
        <v>-</v>
      </c>
      <c r="DM69" s="65" t="str">
        <f t="shared" ca="1" si="176"/>
        <v>-</v>
      </c>
      <c r="DN69" s="65" t="str">
        <f t="shared" ca="1" si="176"/>
        <v>-</v>
      </c>
      <c r="DO69" s="65" t="str">
        <f t="shared" ca="1" si="176"/>
        <v>-</v>
      </c>
      <c r="DP69" s="65" t="str">
        <f t="shared" ca="1" si="176"/>
        <v>-</v>
      </c>
      <c r="DQ69" s="65" t="str">
        <f t="shared" ca="1" si="176"/>
        <v>-</v>
      </c>
      <c r="DR69" s="65" t="str">
        <f t="shared" ca="1" si="177"/>
        <v>-</v>
      </c>
      <c r="DS69" s="65" t="str">
        <f t="shared" ca="1" si="177"/>
        <v>-</v>
      </c>
      <c r="DT69" s="65" t="str">
        <f t="shared" ca="1" si="177"/>
        <v>-</v>
      </c>
      <c r="DU69" s="65" t="str">
        <f t="shared" ca="1" si="177"/>
        <v>-</v>
      </c>
      <c r="DV69" s="65" t="str">
        <f t="shared" ca="1" si="177"/>
        <v>-</v>
      </c>
      <c r="DW69" s="65" t="str">
        <f t="shared" ca="1" si="177"/>
        <v>-</v>
      </c>
      <c r="DX69" s="65" t="str">
        <f t="shared" ca="1" si="177"/>
        <v>-</v>
      </c>
      <c r="DY69" s="65" t="str">
        <f t="shared" ca="1" si="177"/>
        <v>-</v>
      </c>
      <c r="DZ69" s="65" t="str">
        <f t="shared" ca="1" si="177"/>
        <v>-</v>
      </c>
      <c r="EA69" s="65" t="str">
        <f t="shared" ca="1" si="177"/>
        <v>-</v>
      </c>
      <c r="EB69" s="65" t="str">
        <f t="shared" ca="1" si="178"/>
        <v>-</v>
      </c>
      <c r="EC69" s="65" t="str">
        <f t="shared" ca="1" si="178"/>
        <v>-</v>
      </c>
      <c r="ED69" s="65" t="str">
        <f t="shared" ca="1" si="178"/>
        <v>-</v>
      </c>
      <c r="EE69" s="65" t="str">
        <f t="shared" ca="1" si="178"/>
        <v>-</v>
      </c>
      <c r="EF69" s="65" t="str">
        <f t="shared" ca="1" si="178"/>
        <v>-</v>
      </c>
      <c r="EG69" s="65" t="str">
        <f t="shared" ca="1" si="178"/>
        <v>-</v>
      </c>
      <c r="EH69" s="65" t="str">
        <f t="shared" ca="1" si="178"/>
        <v>-</v>
      </c>
      <c r="EI69" s="65" t="str">
        <f t="shared" ca="1" si="178"/>
        <v>-</v>
      </c>
      <c r="EJ69" s="65" t="str">
        <f t="shared" ca="1" si="178"/>
        <v>-</v>
      </c>
      <c r="EK69" s="65" t="str">
        <f t="shared" ca="1" si="178"/>
        <v>-</v>
      </c>
      <c r="EL69" s="65" t="str">
        <f t="shared" ca="1" si="178"/>
        <v>-</v>
      </c>
      <c r="EM69" s="65" t="str">
        <f t="shared" ca="1" si="178"/>
        <v>-</v>
      </c>
      <c r="EN69" s="65" t="str">
        <f t="shared" ca="1" si="178"/>
        <v>-</v>
      </c>
    </row>
    <row r="70" spans="1:146">
      <c r="A70" s="448"/>
      <c r="B70" s="451"/>
      <c r="C70" s="451"/>
      <c r="D70" s="466"/>
      <c r="E70" s="185" t="s">
        <v>67</v>
      </c>
      <c r="F70" s="66">
        <f>SUM('BESS 11'!S402:S411)</f>
        <v>340.69333333333333</v>
      </c>
      <c r="G70" s="182">
        <f ca="1">H69-10</f>
        <v>46253</v>
      </c>
      <c r="H70" s="182">
        <f ca="1">G70+14</f>
        <v>46267</v>
      </c>
      <c r="I70" s="65">
        <f ca="1">H70-G70</f>
        <v>14</v>
      </c>
      <c r="J70" s="453"/>
      <c r="K70" s="445"/>
      <c r="L70" s="65" t="str">
        <f t="shared" ca="1" si="165"/>
        <v>-</v>
      </c>
      <c r="M70" s="164" t="str">
        <f t="shared" ca="1" si="165"/>
        <v>-</v>
      </c>
      <c r="N70" s="164" t="str">
        <f t="shared" ca="1" si="165"/>
        <v>-</v>
      </c>
      <c r="O70" s="164" t="str">
        <f t="shared" ca="1" si="165"/>
        <v>-</v>
      </c>
      <c r="P70" s="164" t="str">
        <f t="shared" ca="1" si="165"/>
        <v>-</v>
      </c>
      <c r="Q70" s="164" t="str">
        <f t="shared" ca="1" si="165"/>
        <v>-</v>
      </c>
      <c r="R70" s="164" t="str">
        <f t="shared" ca="1" si="165"/>
        <v>-</v>
      </c>
      <c r="S70" s="164" t="str">
        <f t="shared" ca="1" si="165"/>
        <v>-</v>
      </c>
      <c r="T70" s="164" t="str">
        <f t="shared" ca="1" si="165"/>
        <v>-</v>
      </c>
      <c r="U70" s="164" t="str">
        <f t="shared" ca="1" si="165"/>
        <v>-</v>
      </c>
      <c r="V70" s="164" t="str">
        <f t="shared" ca="1" si="166"/>
        <v>-</v>
      </c>
      <c r="W70" s="164" t="str">
        <f t="shared" ca="1" si="166"/>
        <v>-</v>
      </c>
      <c r="X70" s="164" t="str">
        <f t="shared" ca="1" si="166"/>
        <v>-</v>
      </c>
      <c r="Y70" s="164" t="str">
        <f t="shared" ca="1" si="166"/>
        <v>-</v>
      </c>
      <c r="Z70" s="164" t="str">
        <f t="shared" ca="1" si="166"/>
        <v>-</v>
      </c>
      <c r="AA70" s="164" t="str">
        <f t="shared" ca="1" si="166"/>
        <v>-</v>
      </c>
      <c r="AB70" s="164" t="str">
        <f t="shared" ca="1" si="166"/>
        <v>-</v>
      </c>
      <c r="AC70" s="164" t="str">
        <f t="shared" ca="1" si="166"/>
        <v>-</v>
      </c>
      <c r="AD70" s="164" t="str">
        <f t="shared" ca="1" si="166"/>
        <v>-</v>
      </c>
      <c r="AE70" s="164" t="str">
        <f t="shared" ca="1" si="166"/>
        <v>-</v>
      </c>
      <c r="AF70" s="164" t="str">
        <f t="shared" ca="1" si="167"/>
        <v>-</v>
      </c>
      <c r="AG70" s="164" t="str">
        <f t="shared" ca="1" si="167"/>
        <v>-</v>
      </c>
      <c r="AH70" s="164" t="str">
        <f t="shared" ca="1" si="167"/>
        <v>-</v>
      </c>
      <c r="AI70" s="164" t="str">
        <f t="shared" ca="1" si="167"/>
        <v>-</v>
      </c>
      <c r="AJ70" s="164" t="str">
        <f t="shared" ca="1" si="167"/>
        <v>-</v>
      </c>
      <c r="AK70" s="164" t="str">
        <f t="shared" ca="1" si="167"/>
        <v>-</v>
      </c>
      <c r="AL70" s="164" t="str">
        <f t="shared" ca="1" si="167"/>
        <v>-</v>
      </c>
      <c r="AM70" s="164" t="str">
        <f t="shared" ca="1" si="167"/>
        <v>-</v>
      </c>
      <c r="AN70" s="164" t="str">
        <f t="shared" ca="1" si="167"/>
        <v>-</v>
      </c>
      <c r="AO70" s="164" t="str">
        <f t="shared" ca="1" si="167"/>
        <v>-</v>
      </c>
      <c r="AP70" s="164" t="str">
        <f t="shared" ca="1" si="168"/>
        <v>-</v>
      </c>
      <c r="AQ70" s="164" t="str">
        <f t="shared" ca="1" si="168"/>
        <v>-</v>
      </c>
      <c r="AR70" s="164" t="str">
        <f t="shared" ca="1" si="168"/>
        <v>-</v>
      </c>
      <c r="AS70" s="164" t="str">
        <f t="shared" ca="1" si="168"/>
        <v>-</v>
      </c>
      <c r="AT70" s="164" t="str">
        <f t="shared" ca="1" si="168"/>
        <v>-</v>
      </c>
      <c r="AU70" s="164" t="str">
        <f t="shared" ca="1" si="168"/>
        <v>-</v>
      </c>
      <c r="AV70" s="164" t="str">
        <f t="shared" ca="1" si="168"/>
        <v>-</v>
      </c>
      <c r="AW70" s="164" t="str">
        <f t="shared" ca="1" si="168"/>
        <v>-</v>
      </c>
      <c r="AX70" s="164" t="str">
        <f t="shared" ca="1" si="168"/>
        <v>-</v>
      </c>
      <c r="AY70" s="164" t="str">
        <f t="shared" ca="1" si="168"/>
        <v>-</v>
      </c>
      <c r="AZ70" s="164" t="str">
        <f t="shared" ca="1" si="169"/>
        <v>-</v>
      </c>
      <c r="BA70" s="164" t="str">
        <f t="shared" ca="1" si="169"/>
        <v>-</v>
      </c>
      <c r="BB70" s="164" t="str">
        <f t="shared" ca="1" si="169"/>
        <v>-</v>
      </c>
      <c r="BC70" s="164" t="str">
        <f t="shared" ca="1" si="169"/>
        <v>-</v>
      </c>
      <c r="BD70" s="164" t="str">
        <f t="shared" ca="1" si="169"/>
        <v>-</v>
      </c>
      <c r="BE70" s="164" t="str">
        <f t="shared" ca="1" si="169"/>
        <v>-</v>
      </c>
      <c r="BF70" s="164" t="str">
        <f t="shared" ca="1" si="169"/>
        <v>-</v>
      </c>
      <c r="BG70" s="164" t="str">
        <f t="shared" ca="1" si="169"/>
        <v>-</v>
      </c>
      <c r="BH70" s="164" t="str">
        <f t="shared" ca="1" si="169"/>
        <v>-</v>
      </c>
      <c r="BI70" s="164" t="str">
        <f t="shared" ca="1" si="169"/>
        <v>-</v>
      </c>
      <c r="BJ70" s="164" t="str">
        <f t="shared" ca="1" si="170"/>
        <v>-</v>
      </c>
      <c r="BK70" s="164" t="str">
        <f t="shared" ca="1" si="170"/>
        <v>-</v>
      </c>
      <c r="BL70" s="164" t="str">
        <f t="shared" ca="1" si="170"/>
        <v>-</v>
      </c>
      <c r="BM70" s="164" t="str">
        <f t="shared" ca="1" si="170"/>
        <v>-</v>
      </c>
      <c r="BN70" s="164" t="str">
        <f t="shared" ca="1" si="170"/>
        <v>-</v>
      </c>
      <c r="BO70" s="164" t="str">
        <f t="shared" ca="1" si="170"/>
        <v>-</v>
      </c>
      <c r="BP70" s="164" t="str">
        <f t="shared" ca="1" si="170"/>
        <v>-</v>
      </c>
      <c r="BQ70" s="164" t="str">
        <f t="shared" ca="1" si="170"/>
        <v>-</v>
      </c>
      <c r="BR70" s="164">
        <f t="shared" ca="1" si="170"/>
        <v>24</v>
      </c>
      <c r="BS70" s="164">
        <f t="shared" ca="1" si="170"/>
        <v>24</v>
      </c>
      <c r="BT70" s="164">
        <f t="shared" ca="1" si="171"/>
        <v>24</v>
      </c>
      <c r="BU70" s="164">
        <f t="shared" ca="1" si="171"/>
        <v>24</v>
      </c>
      <c r="BV70" s="164">
        <f t="shared" ca="1" si="171"/>
        <v>24</v>
      </c>
      <c r="BW70" s="164">
        <f t="shared" ca="1" si="171"/>
        <v>24</v>
      </c>
      <c r="BX70" s="164">
        <f t="shared" ca="1" si="171"/>
        <v>24</v>
      </c>
      <c r="BY70" s="164">
        <f t="shared" ca="1" si="171"/>
        <v>24</v>
      </c>
      <c r="BZ70" s="164">
        <f t="shared" ca="1" si="171"/>
        <v>24</v>
      </c>
      <c r="CA70" s="164">
        <f t="shared" ca="1" si="171"/>
        <v>24</v>
      </c>
      <c r="CB70" s="164">
        <f t="shared" ca="1" si="171"/>
        <v>24</v>
      </c>
      <c r="CC70" s="164">
        <f t="shared" ca="1" si="171"/>
        <v>24</v>
      </c>
      <c r="CD70" s="164">
        <f t="shared" ca="1" si="173"/>
        <v>24</v>
      </c>
      <c r="CE70" s="164">
        <f t="shared" ca="1" si="173"/>
        <v>24</v>
      </c>
      <c r="CF70" s="164" t="str">
        <f t="shared" ca="1" si="173"/>
        <v>-</v>
      </c>
      <c r="CG70" s="164" t="str">
        <f t="shared" ca="1" si="173"/>
        <v>-</v>
      </c>
      <c r="CH70" s="164" t="str">
        <f t="shared" ca="1" si="173"/>
        <v>-</v>
      </c>
      <c r="CI70" s="164" t="str">
        <f t="shared" ca="1" si="173"/>
        <v>-</v>
      </c>
      <c r="CJ70" s="164" t="str">
        <f t="shared" ca="1" si="173"/>
        <v>-</v>
      </c>
      <c r="CK70" s="164" t="str">
        <f t="shared" ca="1" si="173"/>
        <v>-</v>
      </c>
      <c r="CL70" s="164" t="str">
        <f t="shared" ca="1" si="173"/>
        <v>-</v>
      </c>
      <c r="CM70" s="164" t="str">
        <f t="shared" ca="1" si="173"/>
        <v>-</v>
      </c>
      <c r="CN70" s="164" t="str">
        <f t="shared" ca="1" si="174"/>
        <v>-</v>
      </c>
      <c r="CO70" s="164" t="str">
        <f t="shared" ca="1" si="174"/>
        <v>-</v>
      </c>
      <c r="CP70" s="164" t="str">
        <f t="shared" ca="1" si="174"/>
        <v>-</v>
      </c>
      <c r="CQ70" s="164" t="str">
        <f t="shared" ca="1" si="174"/>
        <v>-</v>
      </c>
      <c r="CR70" s="164" t="str">
        <f t="shared" ca="1" si="174"/>
        <v>-</v>
      </c>
      <c r="CS70" s="164" t="str">
        <f t="shared" ca="1" si="174"/>
        <v>-</v>
      </c>
      <c r="CT70" s="164" t="str">
        <f t="shared" ca="1" si="174"/>
        <v>-</v>
      </c>
      <c r="CU70" s="164" t="str">
        <f t="shared" ca="1" si="174"/>
        <v>-</v>
      </c>
      <c r="CV70" s="164" t="str">
        <f t="shared" ca="1" si="174"/>
        <v>-</v>
      </c>
      <c r="CW70" s="164" t="str">
        <f t="shared" ca="1" si="174"/>
        <v>-</v>
      </c>
      <c r="CX70" s="164" t="str">
        <f t="shared" ca="1" si="175"/>
        <v>-</v>
      </c>
      <c r="CY70" s="164" t="str">
        <f t="shared" ca="1" si="175"/>
        <v>-</v>
      </c>
      <c r="CZ70" s="164" t="str">
        <f t="shared" ca="1" si="175"/>
        <v>-</v>
      </c>
      <c r="DA70" s="164" t="str">
        <f t="shared" ca="1" si="175"/>
        <v>-</v>
      </c>
      <c r="DB70" s="164" t="str">
        <f t="shared" ca="1" si="175"/>
        <v>-</v>
      </c>
      <c r="DC70" s="164" t="str">
        <f t="shared" ca="1" si="175"/>
        <v>-</v>
      </c>
      <c r="DD70" s="164" t="str">
        <f t="shared" ca="1" si="175"/>
        <v>-</v>
      </c>
      <c r="DE70" s="164" t="str">
        <f t="shared" ca="1" si="175"/>
        <v>-</v>
      </c>
      <c r="DF70" s="164" t="str">
        <f t="shared" ca="1" si="175"/>
        <v>-</v>
      </c>
      <c r="DG70" s="164" t="str">
        <f t="shared" ca="1" si="175"/>
        <v>-</v>
      </c>
      <c r="DH70" s="164" t="str">
        <f t="shared" ca="1" si="176"/>
        <v>-</v>
      </c>
      <c r="DI70" s="164" t="str">
        <f t="shared" ca="1" si="176"/>
        <v>-</v>
      </c>
      <c r="DJ70" s="164" t="str">
        <f t="shared" ca="1" si="176"/>
        <v>-</v>
      </c>
      <c r="DK70" s="164" t="str">
        <f t="shared" ca="1" si="176"/>
        <v>-</v>
      </c>
      <c r="DL70" s="164" t="str">
        <f t="shared" ca="1" si="176"/>
        <v>-</v>
      </c>
      <c r="DM70" s="164" t="str">
        <f t="shared" ca="1" si="176"/>
        <v>-</v>
      </c>
      <c r="DN70" s="164" t="str">
        <f t="shared" ca="1" si="176"/>
        <v>-</v>
      </c>
      <c r="DO70" s="164" t="str">
        <f t="shared" ca="1" si="176"/>
        <v>-</v>
      </c>
      <c r="DP70" s="164" t="str">
        <f t="shared" ca="1" si="176"/>
        <v>-</v>
      </c>
      <c r="DQ70" s="164" t="str">
        <f t="shared" ca="1" si="176"/>
        <v>-</v>
      </c>
      <c r="DR70" s="164" t="str">
        <f t="shared" ca="1" si="177"/>
        <v>-</v>
      </c>
      <c r="DS70" s="164" t="str">
        <f t="shared" ca="1" si="177"/>
        <v>-</v>
      </c>
      <c r="DT70" s="164" t="str">
        <f t="shared" ca="1" si="177"/>
        <v>-</v>
      </c>
      <c r="DU70" s="164" t="str">
        <f t="shared" ca="1" si="177"/>
        <v>-</v>
      </c>
      <c r="DV70" s="164" t="str">
        <f t="shared" ca="1" si="177"/>
        <v>-</v>
      </c>
      <c r="DW70" s="164" t="str">
        <f t="shared" ca="1" si="177"/>
        <v>-</v>
      </c>
      <c r="DX70" s="164" t="str">
        <f t="shared" ca="1" si="177"/>
        <v>-</v>
      </c>
      <c r="DY70" s="164" t="str">
        <f t="shared" ca="1" si="177"/>
        <v>-</v>
      </c>
      <c r="DZ70" s="164" t="str">
        <f t="shared" ca="1" si="177"/>
        <v>-</v>
      </c>
      <c r="EA70" s="164" t="str">
        <f t="shared" ca="1" si="177"/>
        <v>-</v>
      </c>
      <c r="EB70" s="164" t="str">
        <f t="shared" ca="1" si="178"/>
        <v>-</v>
      </c>
      <c r="EC70" s="164" t="str">
        <f t="shared" ca="1" si="178"/>
        <v>-</v>
      </c>
      <c r="ED70" s="164" t="str">
        <f t="shared" ca="1" si="178"/>
        <v>-</v>
      </c>
      <c r="EE70" s="164" t="str">
        <f t="shared" ca="1" si="178"/>
        <v>-</v>
      </c>
      <c r="EF70" s="164" t="str">
        <f t="shared" ca="1" si="178"/>
        <v>-</v>
      </c>
      <c r="EG70" s="164" t="str">
        <f t="shared" ca="1" si="178"/>
        <v>-</v>
      </c>
      <c r="EH70" s="164" t="str">
        <f t="shared" ca="1" si="178"/>
        <v>-</v>
      </c>
      <c r="EI70" s="164" t="str">
        <f t="shared" ca="1" si="178"/>
        <v>-</v>
      </c>
      <c r="EJ70" s="164" t="str">
        <f t="shared" ca="1" si="178"/>
        <v>-</v>
      </c>
      <c r="EK70" s="164" t="str">
        <f t="shared" ca="1" si="178"/>
        <v>-</v>
      </c>
      <c r="EL70" s="164" t="str">
        <f t="shared" ca="1" si="178"/>
        <v>-</v>
      </c>
      <c r="EM70" s="164" t="str">
        <f t="shared" ca="1" si="178"/>
        <v>-</v>
      </c>
      <c r="EN70" s="164" t="str">
        <f t="shared" ca="1" si="178"/>
        <v>-</v>
      </c>
    </row>
    <row r="71" spans="1:146">
      <c r="A71" s="449"/>
      <c r="B71" s="452"/>
      <c r="C71" s="452"/>
      <c r="D71" s="466"/>
      <c r="E71" s="185" t="s">
        <v>68</v>
      </c>
      <c r="F71" s="65">
        <v>250</v>
      </c>
      <c r="G71" s="185"/>
      <c r="H71" s="182" t="e">
        <f>B66-3</f>
        <v>#VALUE!</v>
      </c>
      <c r="I71" s="65">
        <v>30</v>
      </c>
      <c r="J71" s="454"/>
      <c r="K71" s="446"/>
      <c r="L71" s="213"/>
      <c r="M71" s="182"/>
      <c r="N71" s="65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>
        <v>5</v>
      </c>
      <c r="BT71" s="65">
        <v>5</v>
      </c>
      <c r="BU71" s="65">
        <v>5</v>
      </c>
      <c r="BV71" s="65">
        <v>5</v>
      </c>
      <c r="BW71" s="65">
        <v>5</v>
      </c>
      <c r="BX71" s="65">
        <v>5</v>
      </c>
      <c r="BY71" s="65">
        <v>5</v>
      </c>
      <c r="BZ71" s="65">
        <v>5</v>
      </c>
      <c r="CA71" s="65">
        <v>5</v>
      </c>
      <c r="CB71" s="65">
        <v>5</v>
      </c>
      <c r="CC71" s="65">
        <v>5</v>
      </c>
      <c r="CD71" s="65">
        <v>5</v>
      </c>
      <c r="CE71" s="65">
        <v>5</v>
      </c>
      <c r="CF71" s="65">
        <v>5</v>
      </c>
      <c r="CG71" s="65">
        <v>5</v>
      </c>
      <c r="CH71" s="65">
        <v>5</v>
      </c>
      <c r="CI71" s="65">
        <v>5</v>
      </c>
      <c r="CJ71" s="65">
        <v>5</v>
      </c>
      <c r="CK71" s="65">
        <v>5</v>
      </c>
      <c r="CL71" s="65">
        <v>5</v>
      </c>
      <c r="CM71" s="65">
        <v>5</v>
      </c>
      <c r="CN71" s="65">
        <v>5</v>
      </c>
      <c r="CO71" s="65">
        <v>5</v>
      </c>
      <c r="CP71" s="65">
        <v>5</v>
      </c>
      <c r="CQ71" s="65">
        <v>30</v>
      </c>
      <c r="CR71" s="65">
        <v>30</v>
      </c>
      <c r="CS71" s="65">
        <v>30</v>
      </c>
      <c r="CT71" s="65">
        <v>30</v>
      </c>
      <c r="CU71" s="65">
        <v>5</v>
      </c>
      <c r="CV71" s="65">
        <v>5</v>
      </c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</row>
    <row r="72" spans="1:146" s="207" customFormat="1" hidden="1">
      <c r="A72" s="236"/>
      <c r="B72" s="209"/>
      <c r="E72" s="201"/>
      <c r="F72" s="201"/>
      <c r="G72" s="204" t="s">
        <v>69</v>
      </c>
      <c r="H72" s="203"/>
      <c r="I72" s="203"/>
      <c r="J72" s="230"/>
      <c r="K72" s="230"/>
      <c r="L72" s="205">
        <f ca="1">SUM(L67:L71)</f>
        <v>0</v>
      </c>
      <c r="M72" s="205">
        <f ca="1">SUM(M67:M71)</f>
        <v>0</v>
      </c>
      <c r="N72" s="212">
        <f ca="1">SUM(N67:N71)</f>
        <v>0</v>
      </c>
      <c r="O72" s="212">
        <f t="shared" ref="O72:AZ72" ca="1" si="179">SUM(O67:O71)</f>
        <v>0</v>
      </c>
      <c r="P72" s="212">
        <f t="shared" ca="1" si="179"/>
        <v>0</v>
      </c>
      <c r="Q72" s="212">
        <f t="shared" ca="1" si="179"/>
        <v>0</v>
      </c>
      <c r="R72" s="212">
        <f t="shared" ca="1" si="179"/>
        <v>0</v>
      </c>
      <c r="S72" s="212">
        <f t="shared" ca="1" si="179"/>
        <v>0</v>
      </c>
      <c r="T72" s="212">
        <f t="shared" ca="1" si="179"/>
        <v>0</v>
      </c>
      <c r="U72" s="212">
        <f t="shared" ca="1" si="179"/>
        <v>0</v>
      </c>
      <c r="V72" s="212">
        <f t="shared" ca="1" si="179"/>
        <v>0</v>
      </c>
      <c r="W72" s="212">
        <f t="shared" ca="1" si="179"/>
        <v>0</v>
      </c>
      <c r="X72" s="212">
        <f t="shared" ca="1" si="179"/>
        <v>0</v>
      </c>
      <c r="Y72" s="212">
        <f t="shared" ca="1" si="179"/>
        <v>0</v>
      </c>
      <c r="Z72" s="212">
        <f t="shared" ca="1" si="179"/>
        <v>0</v>
      </c>
      <c r="AA72" s="212">
        <f t="shared" ca="1" si="179"/>
        <v>0</v>
      </c>
      <c r="AB72" s="212">
        <f t="shared" ca="1" si="179"/>
        <v>0</v>
      </c>
      <c r="AC72" s="212">
        <f t="shared" ca="1" si="179"/>
        <v>0</v>
      </c>
      <c r="AD72" s="212">
        <f t="shared" ca="1" si="179"/>
        <v>0</v>
      </c>
      <c r="AE72" s="212">
        <f t="shared" ca="1" si="179"/>
        <v>0</v>
      </c>
      <c r="AF72" s="212">
        <f t="shared" ca="1" si="179"/>
        <v>0</v>
      </c>
      <c r="AG72" s="212">
        <f t="shared" ca="1" si="179"/>
        <v>0</v>
      </c>
      <c r="AH72" s="212">
        <f t="shared" ca="1" si="179"/>
        <v>0</v>
      </c>
      <c r="AI72" s="212">
        <f t="shared" ca="1" si="179"/>
        <v>0</v>
      </c>
      <c r="AJ72" s="212">
        <f t="shared" ca="1" si="179"/>
        <v>0</v>
      </c>
      <c r="AK72" s="212">
        <f t="shared" ca="1" si="179"/>
        <v>0</v>
      </c>
      <c r="AL72" s="212">
        <f t="shared" ca="1" si="179"/>
        <v>0</v>
      </c>
      <c r="AM72" s="212">
        <f t="shared" ca="1" si="179"/>
        <v>0</v>
      </c>
      <c r="AN72" s="212">
        <f t="shared" ca="1" si="179"/>
        <v>0</v>
      </c>
      <c r="AO72" s="212">
        <f t="shared" ca="1" si="179"/>
        <v>0</v>
      </c>
      <c r="AP72" s="212">
        <f t="shared" ca="1" si="179"/>
        <v>0</v>
      </c>
      <c r="AQ72" s="212">
        <f t="shared" ca="1" si="179"/>
        <v>0</v>
      </c>
      <c r="AR72" s="212">
        <f t="shared" ca="1" si="179"/>
        <v>0</v>
      </c>
      <c r="AS72" s="212">
        <f t="shared" ca="1" si="179"/>
        <v>0</v>
      </c>
      <c r="AT72" s="212">
        <f t="shared" ca="1" si="179"/>
        <v>0</v>
      </c>
      <c r="AU72" s="212">
        <f t="shared" ca="1" si="179"/>
        <v>0</v>
      </c>
      <c r="AV72" s="212">
        <f t="shared" ca="1" si="179"/>
        <v>0</v>
      </c>
      <c r="AW72" s="212">
        <f t="shared" ca="1" si="179"/>
        <v>0</v>
      </c>
      <c r="AX72" s="212">
        <f t="shared" ca="1" si="179"/>
        <v>70</v>
      </c>
      <c r="AY72" s="212">
        <f t="shared" ca="1" si="179"/>
        <v>70</v>
      </c>
      <c r="AZ72" s="212">
        <f t="shared" ca="1" si="179"/>
        <v>70</v>
      </c>
      <c r="BA72" s="212">
        <f t="shared" ref="BA72:CF72" ca="1" si="180">SUM(BA67:BA71)</f>
        <v>70</v>
      </c>
      <c r="BB72" s="212">
        <f t="shared" ca="1" si="180"/>
        <v>70</v>
      </c>
      <c r="BC72" s="212">
        <f t="shared" ca="1" si="180"/>
        <v>150</v>
      </c>
      <c r="BD72" s="212">
        <f t="shared" ca="1" si="180"/>
        <v>150</v>
      </c>
      <c r="BE72" s="212">
        <f t="shared" ca="1" si="180"/>
        <v>150</v>
      </c>
      <c r="BF72" s="212">
        <f t="shared" ca="1" si="180"/>
        <v>150</v>
      </c>
      <c r="BG72" s="212">
        <f t="shared" ca="1" si="180"/>
        <v>150</v>
      </c>
      <c r="BH72" s="212">
        <f t="shared" ca="1" si="180"/>
        <v>141</v>
      </c>
      <c r="BI72" s="212">
        <f t="shared" ca="1" si="180"/>
        <v>141</v>
      </c>
      <c r="BJ72" s="212">
        <f t="shared" ca="1" si="180"/>
        <v>141</v>
      </c>
      <c r="BK72" s="212">
        <f t="shared" ca="1" si="180"/>
        <v>141</v>
      </c>
      <c r="BL72" s="212">
        <f t="shared" ca="1" si="180"/>
        <v>141</v>
      </c>
      <c r="BM72" s="212">
        <f t="shared" ca="1" si="180"/>
        <v>141</v>
      </c>
      <c r="BN72" s="212">
        <f t="shared" ca="1" si="180"/>
        <v>141</v>
      </c>
      <c r="BO72" s="212">
        <f t="shared" ca="1" si="180"/>
        <v>141</v>
      </c>
      <c r="BP72" s="212">
        <f t="shared" ca="1" si="180"/>
        <v>141</v>
      </c>
      <c r="BQ72" s="212">
        <f t="shared" ca="1" si="180"/>
        <v>141</v>
      </c>
      <c r="BR72" s="212">
        <f t="shared" ca="1" si="180"/>
        <v>165</v>
      </c>
      <c r="BS72" s="212">
        <f t="shared" ca="1" si="180"/>
        <v>170</v>
      </c>
      <c r="BT72" s="212">
        <f t="shared" ca="1" si="180"/>
        <v>170</v>
      </c>
      <c r="BU72" s="212">
        <f t="shared" ca="1" si="180"/>
        <v>227</v>
      </c>
      <c r="BV72" s="212">
        <f t="shared" ca="1" si="180"/>
        <v>227</v>
      </c>
      <c r="BW72" s="212">
        <f t="shared" ca="1" si="180"/>
        <v>166</v>
      </c>
      <c r="BX72" s="212">
        <f t="shared" ca="1" si="180"/>
        <v>166</v>
      </c>
      <c r="BY72" s="212">
        <f t="shared" ca="1" si="180"/>
        <v>109</v>
      </c>
      <c r="BZ72" s="212">
        <f t="shared" ca="1" si="180"/>
        <v>109</v>
      </c>
      <c r="CA72" s="212">
        <f t="shared" ca="1" si="180"/>
        <v>109</v>
      </c>
      <c r="CB72" s="212">
        <f t="shared" ca="1" si="180"/>
        <v>29</v>
      </c>
      <c r="CC72" s="212">
        <f t="shared" ca="1" si="180"/>
        <v>29</v>
      </c>
      <c r="CD72" s="212">
        <f t="shared" ca="1" si="180"/>
        <v>29</v>
      </c>
      <c r="CE72" s="212">
        <f t="shared" ca="1" si="180"/>
        <v>29</v>
      </c>
      <c r="CF72" s="212">
        <f t="shared" ca="1" si="180"/>
        <v>5</v>
      </c>
      <c r="CG72" s="212">
        <f t="shared" ref="CG72:DL72" ca="1" si="181">SUM(CG67:CG71)</f>
        <v>5</v>
      </c>
      <c r="CH72" s="212">
        <f t="shared" ca="1" si="181"/>
        <v>5</v>
      </c>
      <c r="CI72" s="212">
        <f t="shared" ca="1" si="181"/>
        <v>5</v>
      </c>
      <c r="CJ72" s="212">
        <f t="shared" ca="1" si="181"/>
        <v>5</v>
      </c>
      <c r="CK72" s="212">
        <f t="shared" ca="1" si="181"/>
        <v>5</v>
      </c>
      <c r="CL72" s="212">
        <f t="shared" ca="1" si="181"/>
        <v>5</v>
      </c>
      <c r="CM72" s="212">
        <f t="shared" ca="1" si="181"/>
        <v>5</v>
      </c>
      <c r="CN72" s="212">
        <f t="shared" ca="1" si="181"/>
        <v>5</v>
      </c>
      <c r="CO72" s="212">
        <f t="shared" ca="1" si="181"/>
        <v>5</v>
      </c>
      <c r="CP72" s="212">
        <f t="shared" ca="1" si="181"/>
        <v>5</v>
      </c>
      <c r="CQ72" s="212">
        <f t="shared" ca="1" si="181"/>
        <v>30</v>
      </c>
      <c r="CR72" s="212">
        <f t="shared" ca="1" si="181"/>
        <v>30</v>
      </c>
      <c r="CS72" s="212">
        <f t="shared" ca="1" si="181"/>
        <v>30</v>
      </c>
      <c r="CT72" s="212">
        <f t="shared" ca="1" si="181"/>
        <v>30</v>
      </c>
      <c r="CU72" s="212">
        <f t="shared" ca="1" si="181"/>
        <v>5</v>
      </c>
      <c r="CV72" s="212">
        <f t="shared" ca="1" si="181"/>
        <v>5</v>
      </c>
      <c r="CW72" s="212">
        <f t="shared" ca="1" si="181"/>
        <v>0</v>
      </c>
      <c r="CX72" s="212">
        <f t="shared" ca="1" si="181"/>
        <v>0</v>
      </c>
      <c r="CY72" s="212">
        <f t="shared" ca="1" si="181"/>
        <v>0</v>
      </c>
      <c r="CZ72" s="212">
        <f t="shared" ca="1" si="181"/>
        <v>0</v>
      </c>
      <c r="DA72" s="212">
        <f t="shared" ca="1" si="181"/>
        <v>0</v>
      </c>
      <c r="DB72" s="212">
        <f t="shared" ca="1" si="181"/>
        <v>0</v>
      </c>
      <c r="DC72" s="212">
        <f t="shared" ca="1" si="181"/>
        <v>0</v>
      </c>
      <c r="DD72" s="212">
        <f t="shared" ca="1" si="181"/>
        <v>0</v>
      </c>
      <c r="DE72" s="212">
        <f t="shared" ca="1" si="181"/>
        <v>0</v>
      </c>
      <c r="DF72" s="212">
        <f t="shared" ca="1" si="181"/>
        <v>0</v>
      </c>
      <c r="DG72" s="212">
        <f t="shared" ca="1" si="181"/>
        <v>0</v>
      </c>
      <c r="DH72" s="212">
        <f t="shared" ca="1" si="181"/>
        <v>0</v>
      </c>
      <c r="DI72" s="212">
        <f t="shared" ca="1" si="181"/>
        <v>0</v>
      </c>
      <c r="DJ72" s="212">
        <f t="shared" ca="1" si="181"/>
        <v>0</v>
      </c>
      <c r="DK72" s="212">
        <f t="shared" ca="1" si="181"/>
        <v>0</v>
      </c>
      <c r="DL72" s="212">
        <f t="shared" ca="1" si="181"/>
        <v>0</v>
      </c>
      <c r="DM72" s="212">
        <f t="shared" ref="DM72:EN72" ca="1" si="182">SUM(DM67:DM71)</f>
        <v>0</v>
      </c>
      <c r="DN72" s="212">
        <f t="shared" ca="1" si="182"/>
        <v>0</v>
      </c>
      <c r="DO72" s="212">
        <f t="shared" ca="1" si="182"/>
        <v>0</v>
      </c>
      <c r="DP72" s="212">
        <f t="shared" ca="1" si="182"/>
        <v>0</v>
      </c>
      <c r="DQ72" s="212">
        <f t="shared" ca="1" si="182"/>
        <v>0</v>
      </c>
      <c r="DR72" s="212">
        <f t="shared" ca="1" si="182"/>
        <v>0</v>
      </c>
      <c r="DS72" s="212">
        <f t="shared" ca="1" si="182"/>
        <v>0</v>
      </c>
      <c r="DT72" s="212">
        <f t="shared" ca="1" si="182"/>
        <v>0</v>
      </c>
      <c r="DU72" s="212">
        <f t="shared" ca="1" si="182"/>
        <v>0</v>
      </c>
      <c r="DV72" s="212">
        <f t="shared" ca="1" si="182"/>
        <v>0</v>
      </c>
      <c r="DW72" s="212">
        <f t="shared" ca="1" si="182"/>
        <v>0</v>
      </c>
      <c r="DX72" s="212">
        <f t="shared" ca="1" si="182"/>
        <v>0</v>
      </c>
      <c r="DY72" s="212">
        <f t="shared" ca="1" si="182"/>
        <v>0</v>
      </c>
      <c r="DZ72" s="212">
        <f t="shared" ca="1" si="182"/>
        <v>0</v>
      </c>
      <c r="EA72" s="212">
        <f t="shared" ca="1" si="182"/>
        <v>0</v>
      </c>
      <c r="EB72" s="212">
        <f t="shared" ca="1" si="182"/>
        <v>0</v>
      </c>
      <c r="EC72" s="212">
        <f t="shared" ca="1" si="182"/>
        <v>0</v>
      </c>
      <c r="ED72" s="212">
        <f t="shared" ca="1" si="182"/>
        <v>0</v>
      </c>
      <c r="EE72" s="212">
        <f t="shared" ca="1" si="182"/>
        <v>0</v>
      </c>
      <c r="EF72" s="212">
        <f t="shared" ca="1" si="182"/>
        <v>0</v>
      </c>
      <c r="EG72" s="212">
        <f t="shared" ca="1" si="182"/>
        <v>0</v>
      </c>
      <c r="EH72" s="212">
        <f t="shared" ca="1" si="182"/>
        <v>0</v>
      </c>
      <c r="EI72" s="212">
        <f t="shared" ca="1" si="182"/>
        <v>0</v>
      </c>
      <c r="EJ72" s="212">
        <f t="shared" ca="1" si="182"/>
        <v>0</v>
      </c>
      <c r="EK72" s="212">
        <f t="shared" ca="1" si="182"/>
        <v>0</v>
      </c>
      <c r="EL72" s="212">
        <f t="shared" ca="1" si="182"/>
        <v>0</v>
      </c>
      <c r="EM72" s="212">
        <f t="shared" ca="1" si="182"/>
        <v>0</v>
      </c>
      <c r="EN72" s="212">
        <f t="shared" ca="1" si="182"/>
        <v>0</v>
      </c>
      <c r="EO72" s="206"/>
      <c r="EP72" s="206"/>
    </row>
    <row r="75" spans="1:146" ht="27">
      <c r="I75" s="177" t="s">
        <v>82</v>
      </c>
      <c r="L75" s="184" t="e">
        <f ca="1">SUM(L8,L16,L24,L32,L40,L48,L56,L64,L72)</f>
        <v>#VALUE!</v>
      </c>
      <c r="M75" s="184" t="e">
        <f t="shared" ref="M75:BX75" ca="1" si="183">SUM(M8,M16,M24,M32,M40,M48,M56,M64,M72)</f>
        <v>#VALUE!</v>
      </c>
      <c r="N75" s="184" t="e">
        <f t="shared" ca="1" si="183"/>
        <v>#VALUE!</v>
      </c>
      <c r="O75" s="184" t="e">
        <f t="shared" ca="1" si="183"/>
        <v>#VALUE!</v>
      </c>
      <c r="P75" s="184" t="e">
        <f t="shared" ca="1" si="183"/>
        <v>#VALUE!</v>
      </c>
      <c r="Q75" s="184" t="e">
        <f t="shared" ca="1" si="183"/>
        <v>#VALUE!</v>
      </c>
      <c r="R75" s="184" t="e">
        <f t="shared" ca="1" si="183"/>
        <v>#VALUE!</v>
      </c>
      <c r="S75" s="184" t="e">
        <f t="shared" ca="1" si="183"/>
        <v>#VALUE!</v>
      </c>
      <c r="T75" s="184" t="e">
        <f t="shared" ca="1" si="183"/>
        <v>#VALUE!</v>
      </c>
      <c r="U75" s="184" t="e">
        <f t="shared" ca="1" si="183"/>
        <v>#VALUE!</v>
      </c>
      <c r="V75" s="184" t="e">
        <f t="shared" ca="1" si="183"/>
        <v>#VALUE!</v>
      </c>
      <c r="W75" s="184" t="e">
        <f t="shared" ca="1" si="183"/>
        <v>#VALUE!</v>
      </c>
      <c r="X75" s="184" t="e">
        <f t="shared" ca="1" si="183"/>
        <v>#VALUE!</v>
      </c>
      <c r="Y75" s="184" t="e">
        <f t="shared" ca="1" si="183"/>
        <v>#VALUE!</v>
      </c>
      <c r="Z75" s="184" t="e">
        <f t="shared" ca="1" si="183"/>
        <v>#VALUE!</v>
      </c>
      <c r="AA75" s="184" t="e">
        <f t="shared" ca="1" si="183"/>
        <v>#VALUE!</v>
      </c>
      <c r="AB75" s="184" t="e">
        <f t="shared" ca="1" si="183"/>
        <v>#VALUE!</v>
      </c>
      <c r="AC75" s="184" t="e">
        <f t="shared" ca="1" si="183"/>
        <v>#VALUE!</v>
      </c>
      <c r="AD75" s="184" t="e">
        <f t="shared" ca="1" si="183"/>
        <v>#VALUE!</v>
      </c>
      <c r="AE75" s="184" t="e">
        <f t="shared" ca="1" si="183"/>
        <v>#VALUE!</v>
      </c>
      <c r="AF75" s="184" t="e">
        <f t="shared" ca="1" si="183"/>
        <v>#VALUE!</v>
      </c>
      <c r="AG75" s="184" t="e">
        <f t="shared" ca="1" si="183"/>
        <v>#VALUE!</v>
      </c>
      <c r="AH75" s="184" t="e">
        <f t="shared" ca="1" si="183"/>
        <v>#VALUE!</v>
      </c>
      <c r="AI75" s="184" t="e">
        <f t="shared" ca="1" si="183"/>
        <v>#VALUE!</v>
      </c>
      <c r="AJ75" s="184" t="e">
        <f t="shared" ca="1" si="183"/>
        <v>#VALUE!</v>
      </c>
      <c r="AK75" s="184" t="e">
        <f t="shared" ca="1" si="183"/>
        <v>#VALUE!</v>
      </c>
      <c r="AL75" s="184" t="e">
        <f t="shared" ca="1" si="183"/>
        <v>#VALUE!</v>
      </c>
      <c r="AM75" s="184" t="e">
        <f t="shared" ca="1" si="183"/>
        <v>#VALUE!</v>
      </c>
      <c r="AN75" s="184" t="e">
        <f t="shared" ca="1" si="183"/>
        <v>#VALUE!</v>
      </c>
      <c r="AO75" s="184" t="e">
        <f t="shared" ca="1" si="183"/>
        <v>#VALUE!</v>
      </c>
      <c r="AP75" s="184" t="e">
        <f t="shared" ca="1" si="183"/>
        <v>#VALUE!</v>
      </c>
      <c r="AQ75" s="184" t="e">
        <f t="shared" ca="1" si="183"/>
        <v>#VALUE!</v>
      </c>
      <c r="AR75" s="184" t="e">
        <f t="shared" ca="1" si="183"/>
        <v>#VALUE!</v>
      </c>
      <c r="AS75" s="184" t="e">
        <f t="shared" ca="1" si="183"/>
        <v>#VALUE!</v>
      </c>
      <c r="AT75" s="184" t="e">
        <f t="shared" ca="1" si="183"/>
        <v>#VALUE!</v>
      </c>
      <c r="AU75" s="184" t="e">
        <f t="shared" ca="1" si="183"/>
        <v>#VALUE!</v>
      </c>
      <c r="AV75" s="184" t="e">
        <f t="shared" ca="1" si="183"/>
        <v>#VALUE!</v>
      </c>
      <c r="AW75" s="184" t="e">
        <f t="shared" ca="1" si="183"/>
        <v>#VALUE!</v>
      </c>
      <c r="AX75" s="184" t="e">
        <f t="shared" ca="1" si="183"/>
        <v>#VALUE!</v>
      </c>
      <c r="AY75" s="184" t="e">
        <f t="shared" ca="1" si="183"/>
        <v>#VALUE!</v>
      </c>
      <c r="AZ75" s="184" t="e">
        <f t="shared" ca="1" si="183"/>
        <v>#VALUE!</v>
      </c>
      <c r="BA75" s="184" t="e">
        <f t="shared" ca="1" si="183"/>
        <v>#VALUE!</v>
      </c>
      <c r="BB75" s="184" t="e">
        <f t="shared" ca="1" si="183"/>
        <v>#VALUE!</v>
      </c>
      <c r="BC75" s="184" t="e">
        <f t="shared" ca="1" si="183"/>
        <v>#VALUE!</v>
      </c>
      <c r="BD75" s="184" t="e">
        <f t="shared" ca="1" si="183"/>
        <v>#VALUE!</v>
      </c>
      <c r="BE75" s="184" t="e">
        <f t="shared" ca="1" si="183"/>
        <v>#VALUE!</v>
      </c>
      <c r="BF75" s="184" t="e">
        <f t="shared" ca="1" si="183"/>
        <v>#VALUE!</v>
      </c>
      <c r="BG75" s="184" t="e">
        <f t="shared" ca="1" si="183"/>
        <v>#VALUE!</v>
      </c>
      <c r="BH75" s="184" t="e">
        <f t="shared" ca="1" si="183"/>
        <v>#VALUE!</v>
      </c>
      <c r="BI75" s="184" t="e">
        <f t="shared" ca="1" si="183"/>
        <v>#VALUE!</v>
      </c>
      <c r="BJ75" s="184" t="e">
        <f t="shared" ca="1" si="183"/>
        <v>#VALUE!</v>
      </c>
      <c r="BK75" s="184" t="e">
        <f t="shared" ca="1" si="183"/>
        <v>#VALUE!</v>
      </c>
      <c r="BL75" s="184" t="e">
        <f t="shared" ca="1" si="183"/>
        <v>#VALUE!</v>
      </c>
      <c r="BM75" s="184" t="e">
        <f t="shared" ca="1" si="183"/>
        <v>#VALUE!</v>
      </c>
      <c r="BN75" s="184" t="e">
        <f t="shared" ca="1" si="183"/>
        <v>#VALUE!</v>
      </c>
      <c r="BO75" s="184" t="e">
        <f t="shared" ca="1" si="183"/>
        <v>#VALUE!</v>
      </c>
      <c r="BP75" s="184" t="e">
        <f t="shared" ca="1" si="183"/>
        <v>#VALUE!</v>
      </c>
      <c r="BQ75" s="184" t="e">
        <f t="shared" ca="1" si="183"/>
        <v>#VALUE!</v>
      </c>
      <c r="BR75" s="184" t="e">
        <f t="shared" ca="1" si="183"/>
        <v>#VALUE!</v>
      </c>
      <c r="BS75" s="184" t="e">
        <f t="shared" ca="1" si="183"/>
        <v>#VALUE!</v>
      </c>
      <c r="BT75" s="184" t="e">
        <f t="shared" ca="1" si="183"/>
        <v>#VALUE!</v>
      </c>
      <c r="BU75" s="184" t="e">
        <f t="shared" ca="1" si="183"/>
        <v>#VALUE!</v>
      </c>
      <c r="BV75" s="184" t="e">
        <f t="shared" ca="1" si="183"/>
        <v>#VALUE!</v>
      </c>
      <c r="BW75" s="184" t="e">
        <f t="shared" ca="1" si="183"/>
        <v>#VALUE!</v>
      </c>
      <c r="BX75" s="184" t="e">
        <f t="shared" ca="1" si="183"/>
        <v>#VALUE!</v>
      </c>
      <c r="BY75" s="184" t="e">
        <f t="shared" ref="BY75:EJ75" ca="1" si="184">SUM(BY8,BY16,BY24,BY32,BY40,BY48,BY56,BY64,BY72)</f>
        <v>#VALUE!</v>
      </c>
      <c r="BZ75" s="184" t="e">
        <f t="shared" ca="1" si="184"/>
        <v>#VALUE!</v>
      </c>
      <c r="CA75" s="184" t="e">
        <f t="shared" ca="1" si="184"/>
        <v>#VALUE!</v>
      </c>
      <c r="CB75" s="184" t="e">
        <f t="shared" ca="1" si="184"/>
        <v>#VALUE!</v>
      </c>
      <c r="CC75" s="184" t="e">
        <f t="shared" ca="1" si="184"/>
        <v>#VALUE!</v>
      </c>
      <c r="CD75" s="184" t="e">
        <f t="shared" ca="1" si="184"/>
        <v>#VALUE!</v>
      </c>
      <c r="CE75" s="184" t="e">
        <f t="shared" ca="1" si="184"/>
        <v>#VALUE!</v>
      </c>
      <c r="CF75" s="184" t="e">
        <f t="shared" ca="1" si="184"/>
        <v>#VALUE!</v>
      </c>
      <c r="CG75" s="184" t="e">
        <f t="shared" ca="1" si="184"/>
        <v>#VALUE!</v>
      </c>
      <c r="CH75" s="184" t="e">
        <f t="shared" ca="1" si="184"/>
        <v>#VALUE!</v>
      </c>
      <c r="CI75" s="184" t="e">
        <f t="shared" ca="1" si="184"/>
        <v>#VALUE!</v>
      </c>
      <c r="CJ75" s="184" t="e">
        <f t="shared" ca="1" si="184"/>
        <v>#VALUE!</v>
      </c>
      <c r="CK75" s="184" t="e">
        <f t="shared" ca="1" si="184"/>
        <v>#VALUE!</v>
      </c>
      <c r="CL75" s="184" t="e">
        <f t="shared" ca="1" si="184"/>
        <v>#VALUE!</v>
      </c>
      <c r="CM75" s="184" t="e">
        <f t="shared" ca="1" si="184"/>
        <v>#VALUE!</v>
      </c>
      <c r="CN75" s="184" t="e">
        <f t="shared" ca="1" si="184"/>
        <v>#VALUE!</v>
      </c>
      <c r="CO75" s="184" t="e">
        <f t="shared" ca="1" si="184"/>
        <v>#VALUE!</v>
      </c>
      <c r="CP75" s="184" t="e">
        <f t="shared" ca="1" si="184"/>
        <v>#VALUE!</v>
      </c>
      <c r="CQ75" s="184" t="e">
        <f t="shared" ca="1" si="184"/>
        <v>#VALUE!</v>
      </c>
      <c r="CR75" s="184" t="e">
        <f t="shared" ca="1" si="184"/>
        <v>#VALUE!</v>
      </c>
      <c r="CS75" s="184" t="e">
        <f t="shared" ca="1" si="184"/>
        <v>#VALUE!</v>
      </c>
      <c r="CT75" s="184" t="e">
        <f t="shared" ca="1" si="184"/>
        <v>#VALUE!</v>
      </c>
      <c r="CU75" s="184" t="e">
        <f t="shared" ca="1" si="184"/>
        <v>#VALUE!</v>
      </c>
      <c r="CV75" s="184" t="e">
        <f t="shared" ca="1" si="184"/>
        <v>#VALUE!</v>
      </c>
      <c r="CW75" s="184" t="e">
        <f t="shared" ca="1" si="184"/>
        <v>#VALUE!</v>
      </c>
      <c r="CX75" s="184" t="e">
        <f t="shared" ca="1" si="184"/>
        <v>#VALUE!</v>
      </c>
      <c r="CY75" s="184" t="e">
        <f t="shared" ca="1" si="184"/>
        <v>#VALUE!</v>
      </c>
      <c r="CZ75" s="184" t="e">
        <f t="shared" ca="1" si="184"/>
        <v>#VALUE!</v>
      </c>
      <c r="DA75" s="184" t="e">
        <f t="shared" ca="1" si="184"/>
        <v>#VALUE!</v>
      </c>
      <c r="DB75" s="184" t="e">
        <f t="shared" ca="1" si="184"/>
        <v>#VALUE!</v>
      </c>
      <c r="DC75" s="184" t="e">
        <f t="shared" ca="1" si="184"/>
        <v>#VALUE!</v>
      </c>
      <c r="DD75" s="184" t="e">
        <f t="shared" ca="1" si="184"/>
        <v>#VALUE!</v>
      </c>
      <c r="DE75" s="184" t="e">
        <f t="shared" ca="1" si="184"/>
        <v>#VALUE!</v>
      </c>
      <c r="DF75" s="184" t="e">
        <f t="shared" ca="1" si="184"/>
        <v>#VALUE!</v>
      </c>
      <c r="DG75" s="184" t="e">
        <f t="shared" ca="1" si="184"/>
        <v>#VALUE!</v>
      </c>
      <c r="DH75" s="184" t="e">
        <f t="shared" ca="1" si="184"/>
        <v>#VALUE!</v>
      </c>
      <c r="DI75" s="184" t="e">
        <f t="shared" ca="1" si="184"/>
        <v>#VALUE!</v>
      </c>
      <c r="DJ75" s="184" t="e">
        <f t="shared" ca="1" si="184"/>
        <v>#VALUE!</v>
      </c>
      <c r="DK75" s="184" t="e">
        <f t="shared" ca="1" si="184"/>
        <v>#VALUE!</v>
      </c>
      <c r="DL75" s="184" t="e">
        <f t="shared" ca="1" si="184"/>
        <v>#VALUE!</v>
      </c>
      <c r="DM75" s="184" t="e">
        <f t="shared" ca="1" si="184"/>
        <v>#VALUE!</v>
      </c>
      <c r="DN75" s="184" t="e">
        <f t="shared" ca="1" si="184"/>
        <v>#VALUE!</v>
      </c>
      <c r="DO75" s="184" t="e">
        <f t="shared" ca="1" si="184"/>
        <v>#VALUE!</v>
      </c>
      <c r="DP75" s="184" t="e">
        <f t="shared" ca="1" si="184"/>
        <v>#VALUE!</v>
      </c>
      <c r="DQ75" s="184" t="e">
        <f t="shared" ca="1" si="184"/>
        <v>#VALUE!</v>
      </c>
      <c r="DR75" s="184" t="e">
        <f t="shared" ca="1" si="184"/>
        <v>#VALUE!</v>
      </c>
      <c r="DS75" s="184" t="e">
        <f t="shared" ca="1" si="184"/>
        <v>#VALUE!</v>
      </c>
      <c r="DT75" s="184" t="e">
        <f t="shared" ca="1" si="184"/>
        <v>#VALUE!</v>
      </c>
      <c r="DU75" s="184" t="e">
        <f t="shared" ca="1" si="184"/>
        <v>#VALUE!</v>
      </c>
      <c r="DV75" s="184" t="e">
        <f t="shared" ca="1" si="184"/>
        <v>#VALUE!</v>
      </c>
      <c r="DW75" s="184" t="e">
        <f t="shared" ca="1" si="184"/>
        <v>#VALUE!</v>
      </c>
      <c r="DX75" s="184" t="e">
        <f t="shared" ca="1" si="184"/>
        <v>#VALUE!</v>
      </c>
      <c r="DY75" s="184" t="e">
        <f t="shared" ca="1" si="184"/>
        <v>#VALUE!</v>
      </c>
      <c r="DZ75" s="184" t="e">
        <f t="shared" ca="1" si="184"/>
        <v>#VALUE!</v>
      </c>
      <c r="EA75" s="184" t="e">
        <f t="shared" ca="1" si="184"/>
        <v>#VALUE!</v>
      </c>
      <c r="EB75" s="184" t="e">
        <f t="shared" ca="1" si="184"/>
        <v>#VALUE!</v>
      </c>
      <c r="EC75" s="184" t="e">
        <f t="shared" ca="1" si="184"/>
        <v>#VALUE!</v>
      </c>
      <c r="ED75" s="184" t="e">
        <f t="shared" ca="1" si="184"/>
        <v>#VALUE!</v>
      </c>
      <c r="EE75" s="184" t="e">
        <f t="shared" ca="1" si="184"/>
        <v>#VALUE!</v>
      </c>
      <c r="EF75" s="184" t="e">
        <f t="shared" ca="1" si="184"/>
        <v>#VALUE!</v>
      </c>
      <c r="EG75" s="184" t="e">
        <f t="shared" ca="1" si="184"/>
        <v>#VALUE!</v>
      </c>
      <c r="EH75" s="184" t="e">
        <f t="shared" ca="1" si="184"/>
        <v>#VALUE!</v>
      </c>
      <c r="EI75" s="184" t="e">
        <f t="shared" ca="1" si="184"/>
        <v>#VALUE!</v>
      </c>
      <c r="EJ75" s="184" t="e">
        <f t="shared" ca="1" si="184"/>
        <v>#VALUE!</v>
      </c>
      <c r="EK75" s="184" t="e">
        <f t="shared" ref="EK75:EN75" ca="1" si="185">SUM(EK8,EK16,EK24,EK32,EK40,EK48,EK56,EK64,EK72)</f>
        <v>#VALUE!</v>
      </c>
      <c r="EL75" s="184" t="e">
        <f t="shared" ca="1" si="185"/>
        <v>#VALUE!</v>
      </c>
      <c r="EM75" s="184" t="e">
        <f t="shared" ca="1" si="185"/>
        <v>#VALUE!</v>
      </c>
      <c r="EN75" s="184" t="e">
        <f t="shared" ca="1" si="185"/>
        <v>#VALUE!</v>
      </c>
    </row>
    <row r="77" spans="1:146">
      <c r="I77" s="176" t="s">
        <v>83</v>
      </c>
      <c r="L77" s="175" t="e">
        <f ca="1">AVERAGE(L75:EN75)</f>
        <v>#VALUE!</v>
      </c>
      <c r="M77" s="175" t="e">
        <f ca="1">L77*1.2</f>
        <v>#VALUE!</v>
      </c>
    </row>
    <row r="78" spans="1:146">
      <c r="I78" s="176" t="s">
        <v>84</v>
      </c>
      <c r="L78" s="175" t="e">
        <f ca="1">MAX(L75:EN75)</f>
        <v>#VALUE!</v>
      </c>
      <c r="M78" s="175" t="e">
        <f ca="1">L78*1.2</f>
        <v>#VALUE!</v>
      </c>
    </row>
    <row r="103" spans="7:7">
      <c r="G103" s="214"/>
    </row>
    <row r="104" spans="7:7">
      <c r="G104" s="215"/>
    </row>
  </sheetData>
  <mergeCells count="56">
    <mergeCell ref="J43:J47"/>
    <mergeCell ref="K43:K47"/>
    <mergeCell ref="J59:J63"/>
    <mergeCell ref="K59:K63"/>
    <mergeCell ref="J67:J71"/>
    <mergeCell ref="K67:K71"/>
    <mergeCell ref="J51:J55"/>
    <mergeCell ref="K51:K55"/>
    <mergeCell ref="D59:D63"/>
    <mergeCell ref="D67:D71"/>
    <mergeCell ref="C10:C15"/>
    <mergeCell ref="B10:B15"/>
    <mergeCell ref="A10:A15"/>
    <mergeCell ref="A18:A23"/>
    <mergeCell ref="B18:B23"/>
    <mergeCell ref="C18:C23"/>
    <mergeCell ref="D19:D23"/>
    <mergeCell ref="D27:D31"/>
    <mergeCell ref="D35:D39"/>
    <mergeCell ref="D43:D47"/>
    <mergeCell ref="D51:D55"/>
    <mergeCell ref="A58:A63"/>
    <mergeCell ref="B58:B63"/>
    <mergeCell ref="C58:C63"/>
    <mergeCell ref="A66:A71"/>
    <mergeCell ref="B66:B71"/>
    <mergeCell ref="C66:C71"/>
    <mergeCell ref="A50:A55"/>
    <mergeCell ref="B50:B55"/>
    <mergeCell ref="C50:C55"/>
    <mergeCell ref="D3:D7"/>
    <mergeCell ref="A3:A7"/>
    <mergeCell ref="D11:D15"/>
    <mergeCell ref="B3:B7"/>
    <mergeCell ref="C3:C7"/>
    <mergeCell ref="A26:A31"/>
    <mergeCell ref="B26:B31"/>
    <mergeCell ref="C26:C31"/>
    <mergeCell ref="A34:A39"/>
    <mergeCell ref="B34:B39"/>
    <mergeCell ref="J1:K1"/>
    <mergeCell ref="A1:I1"/>
    <mergeCell ref="C34:C39"/>
    <mergeCell ref="A42:A47"/>
    <mergeCell ref="B42:B47"/>
    <mergeCell ref="C42:C47"/>
    <mergeCell ref="J3:J7"/>
    <mergeCell ref="K3:K7"/>
    <mergeCell ref="J11:J15"/>
    <mergeCell ref="K11:K15"/>
    <mergeCell ref="J19:J23"/>
    <mergeCell ref="K19:K23"/>
    <mergeCell ref="J27:J31"/>
    <mergeCell ref="K27:K31"/>
    <mergeCell ref="J35:J39"/>
    <mergeCell ref="K35:K39"/>
  </mergeCells>
  <pageMargins left="0.7" right="0.7" top="0.75" bottom="0.75" header="0.3" footer="0.3"/>
  <pageSetup paperSize="8" scale="8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9470-FBF4-49FB-9020-671B6A4651D3}">
  <sheetPr>
    <pageSetUpPr fitToPage="1"/>
  </sheetPr>
  <dimension ref="B1:AB418"/>
  <sheetViews>
    <sheetView showGridLines="0" tabSelected="1" zoomScaleNormal="100" zoomScaleSheetLayoutView="85" workbookViewId="0">
      <pane xSplit="8" ySplit="4" topLeftCell="I16" activePane="bottomRight" state="frozen"/>
      <selection activeCell="J25" sqref="J25"/>
      <selection pane="topRight" activeCell="J25" sqref="J25"/>
      <selection pane="bottomLeft" activeCell="J25" sqref="J25"/>
      <selection pane="bottomRight" activeCell="K9" sqref="K9"/>
    </sheetView>
  </sheetViews>
  <sheetFormatPr defaultRowHeight="13.5"/>
  <cols>
    <col min="1" max="1" width="2.33203125" customWidth="1"/>
    <col min="2" max="2" width="9" customWidth="1"/>
    <col min="3" max="3" width="6.88671875" customWidth="1"/>
    <col min="4" max="4" width="8.6640625" customWidth="1"/>
    <col min="5" max="5" width="9" style="9" customWidth="1"/>
    <col min="6" max="6" width="11.5546875" customWidth="1"/>
    <col min="7" max="7" width="7.6640625" customWidth="1"/>
    <col min="8" max="8" width="7.33203125" customWidth="1"/>
    <col min="9" max="9" width="5.21875" style="53" customWidth="1"/>
    <col min="10" max="10" width="20.44140625" style="9" customWidth="1"/>
    <col min="11" max="11" width="5.21875" bestFit="1" customWidth="1"/>
    <col min="12" max="12" width="7.109375" bestFit="1" customWidth="1"/>
    <col min="13" max="13" width="5.21875" bestFit="1" customWidth="1"/>
    <col min="14" max="14" width="11.44140625" customWidth="1"/>
    <col min="15" max="15" width="10.5546875" style="425" customWidth="1"/>
    <col min="16" max="16" width="13.33203125" bestFit="1" customWidth="1"/>
    <col min="17" max="17" width="12.6640625" customWidth="1"/>
    <col min="18" max="18" width="11.5546875" customWidth="1"/>
    <col min="19" max="19" width="15.33203125" customWidth="1"/>
    <col min="20" max="20" width="27.88671875" style="9" customWidth="1"/>
    <col min="21" max="22" width="8.88671875" hidden="1" customWidth="1"/>
    <col min="23" max="23" width="25" hidden="1" customWidth="1"/>
    <col min="24" max="24" width="14.33203125" style="100" hidden="1" customWidth="1"/>
    <col min="25" max="25" width="12.5546875" style="99" hidden="1" customWidth="1"/>
    <col min="26" max="26" width="9.44140625" bestFit="1" customWidth="1"/>
    <col min="29" max="29" width="12.33203125" customWidth="1"/>
    <col min="30" max="30" width="13.33203125" customWidth="1"/>
    <col min="31" max="31" width="13.5546875" customWidth="1"/>
  </cols>
  <sheetData>
    <row r="1" spans="2:28" ht="15.75" thickBot="1">
      <c r="B1" s="543" t="s">
        <v>114</v>
      </c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5"/>
      <c r="Q1" s="88"/>
      <c r="R1" s="88"/>
      <c r="S1" s="88"/>
      <c r="T1" s="321">
        <f ca="1">TODAY()</f>
        <v>46233</v>
      </c>
      <c r="W1" s="577" t="s">
        <v>199</v>
      </c>
      <c r="X1" s="578"/>
      <c r="Y1" s="579"/>
    </row>
    <row r="2" spans="2:28" ht="14.25" thickBot="1">
      <c r="B2" s="468" t="s">
        <v>0</v>
      </c>
      <c r="C2" s="546" t="s">
        <v>1</v>
      </c>
      <c r="D2" s="546" t="s">
        <v>115</v>
      </c>
      <c r="E2" s="546" t="s">
        <v>116</v>
      </c>
      <c r="F2" s="546" t="s">
        <v>4</v>
      </c>
      <c r="G2" s="546" t="s">
        <v>117</v>
      </c>
      <c r="H2" s="546" t="s">
        <v>6</v>
      </c>
      <c r="I2" s="482" t="s">
        <v>7</v>
      </c>
      <c r="J2" s="482"/>
      <c r="K2" s="482"/>
      <c r="L2" s="482"/>
      <c r="M2" s="482"/>
      <c r="N2" s="482"/>
      <c r="O2" s="482"/>
      <c r="P2" s="482"/>
      <c r="Q2" s="562" t="s">
        <v>95</v>
      </c>
      <c r="R2" s="562" t="s">
        <v>96</v>
      </c>
      <c r="S2" s="568" t="s">
        <v>118</v>
      </c>
      <c r="T2" s="562" t="s">
        <v>8</v>
      </c>
      <c r="W2" s="568" t="s">
        <v>192</v>
      </c>
      <c r="X2" s="574" t="s">
        <v>227</v>
      </c>
      <c r="Y2" s="571" t="s">
        <v>189</v>
      </c>
      <c r="Z2" s="380"/>
    </row>
    <row r="3" spans="2:28" ht="14.25" thickBot="1">
      <c r="B3" s="468"/>
      <c r="C3" s="546"/>
      <c r="D3" s="546"/>
      <c r="E3" s="546"/>
      <c r="F3" s="546"/>
      <c r="G3" s="546"/>
      <c r="H3" s="546"/>
      <c r="I3" s="487" t="s">
        <v>9</v>
      </c>
      <c r="J3" s="487" t="s">
        <v>10</v>
      </c>
      <c r="K3" s="489" t="s">
        <v>11</v>
      </c>
      <c r="L3" s="489"/>
      <c r="M3" s="489"/>
      <c r="N3" s="487" t="s">
        <v>12</v>
      </c>
      <c r="O3" s="563" t="s">
        <v>119</v>
      </c>
      <c r="P3" s="492" t="s">
        <v>13</v>
      </c>
      <c r="Q3" s="562"/>
      <c r="R3" s="562"/>
      <c r="S3" s="569"/>
      <c r="T3" s="562"/>
      <c r="W3" s="569"/>
      <c r="X3" s="575"/>
      <c r="Y3" s="572"/>
    </row>
    <row r="4" spans="2:28" ht="14.25" thickBot="1">
      <c r="B4" s="468"/>
      <c r="C4" s="546"/>
      <c r="D4" s="546"/>
      <c r="E4" s="546"/>
      <c r="F4" s="546"/>
      <c r="G4" s="546"/>
      <c r="H4" s="546"/>
      <c r="I4" s="487"/>
      <c r="J4" s="487"/>
      <c r="K4" s="30" t="s">
        <v>14</v>
      </c>
      <c r="L4" s="30" t="s">
        <v>15</v>
      </c>
      <c r="M4" s="30" t="s">
        <v>16</v>
      </c>
      <c r="N4" s="487"/>
      <c r="O4" s="563"/>
      <c r="P4" s="492"/>
      <c r="Q4" s="562"/>
      <c r="R4" s="562"/>
      <c r="S4" s="569"/>
      <c r="T4" s="562"/>
      <c r="W4" s="570"/>
      <c r="X4" s="576"/>
      <c r="Y4" s="573"/>
    </row>
    <row r="5" spans="2:28">
      <c r="B5" s="472" t="s">
        <v>17</v>
      </c>
      <c r="C5" s="475">
        <v>4</v>
      </c>
      <c r="D5" s="523" t="s">
        <v>236</v>
      </c>
      <c r="E5" s="524" t="s">
        <v>120</v>
      </c>
      <c r="F5" s="512" t="s">
        <v>635</v>
      </c>
      <c r="G5" s="512" t="s">
        <v>636</v>
      </c>
      <c r="H5" s="512" t="s">
        <v>637</v>
      </c>
      <c r="I5" s="54"/>
      <c r="J5" s="48"/>
      <c r="K5" s="49"/>
      <c r="L5" s="45" t="s">
        <v>121</v>
      </c>
      <c r="M5" s="48"/>
      <c r="N5" s="49"/>
      <c r="O5" s="49"/>
      <c r="P5" s="320"/>
      <c r="Q5" s="268"/>
      <c r="R5" s="269"/>
      <c r="S5" s="270"/>
      <c r="T5" s="316"/>
      <c r="W5" s="340" t="s">
        <v>190</v>
      </c>
      <c r="X5" s="341"/>
      <c r="Y5" s="370"/>
    </row>
    <row r="6" spans="2:28" ht="25.5">
      <c r="B6" s="473"/>
      <c r="C6" s="476"/>
      <c r="D6" s="513"/>
      <c r="E6" s="445"/>
      <c r="F6" s="456"/>
      <c r="G6" s="456"/>
      <c r="H6" s="456"/>
      <c r="I6" s="56">
        <v>4.0999999999999996</v>
      </c>
      <c r="J6" s="57" t="s">
        <v>19</v>
      </c>
      <c r="K6" s="2">
        <f>SUMIFS('[2]BESS 11'!P:P,'[2]BESS 11'!$B:$B,$J6)</f>
        <v>48</v>
      </c>
      <c r="L6" s="2">
        <f>SUMIFS('[2]BESS 11'!Q:Q,'[2]BESS 11'!$B:$B,$J6)</f>
        <v>48</v>
      </c>
      <c r="M6" s="2">
        <f t="shared" ref="M6:M16" si="0">K6-L6</f>
        <v>0</v>
      </c>
      <c r="N6" s="63" t="s">
        <v>122</v>
      </c>
      <c r="O6" s="424" t="str">
        <f t="shared" ref="O6:O16" si="1">IF(LEN(N6)=5,N6,(IF(N6="Completed"," ",DATEVALUE(RIGHT(N6,6)))))</f>
        <v xml:space="preserve"> </v>
      </c>
      <c r="P6" s="357" t="s">
        <v>20</v>
      </c>
      <c r="Q6" s="96">
        <v>1</v>
      </c>
      <c r="R6" s="93">
        <v>2</v>
      </c>
      <c r="S6" s="94">
        <f t="shared" ref="S6:S15" si="2">(M6*R6)/Q6</f>
        <v>0</v>
      </c>
      <c r="T6" s="304"/>
      <c r="W6" s="109" t="s">
        <v>193</v>
      </c>
      <c r="X6" s="66">
        <v>6</v>
      </c>
      <c r="Y6" s="101"/>
      <c r="Z6" s="60"/>
    </row>
    <row r="7" spans="2:28">
      <c r="B7" s="473"/>
      <c r="C7" s="476"/>
      <c r="D7" s="513"/>
      <c r="E7" s="445"/>
      <c r="F7" s="456"/>
      <c r="G7" s="456"/>
      <c r="H7" s="456"/>
      <c r="I7" s="56">
        <v>4.1999999999999993</v>
      </c>
      <c r="J7" s="57" t="s">
        <v>23</v>
      </c>
      <c r="K7" s="2">
        <f>SUMIFS('[2]BESS 11'!P:P,'[2]BESS 11'!$B:$B,$J7)</f>
        <v>6</v>
      </c>
      <c r="L7" s="2">
        <f>SUMIFS('[2]BESS 11'!Q:Q,'[2]BESS 11'!$B:$B,$J7)</f>
        <v>6</v>
      </c>
      <c r="M7" s="2">
        <f t="shared" si="0"/>
        <v>0</v>
      </c>
      <c r="N7" s="63" t="s">
        <v>122</v>
      </c>
      <c r="O7" s="424" t="str">
        <f t="shared" si="1"/>
        <v xml:space="preserve"> </v>
      </c>
      <c r="P7" s="357" t="s">
        <v>20</v>
      </c>
      <c r="Q7" s="96">
        <v>1</v>
      </c>
      <c r="R7" s="93">
        <v>16</v>
      </c>
      <c r="S7" s="94">
        <f t="shared" si="2"/>
        <v>0</v>
      </c>
      <c r="T7" s="307"/>
      <c r="W7" s="109" t="s">
        <v>194</v>
      </c>
      <c r="X7" s="66">
        <v>6</v>
      </c>
      <c r="Y7" s="101"/>
    </row>
    <row r="8" spans="2:28">
      <c r="B8" s="473"/>
      <c r="C8" s="476"/>
      <c r="D8" s="513"/>
      <c r="E8" s="445"/>
      <c r="F8" s="456"/>
      <c r="G8" s="456"/>
      <c r="H8" s="456"/>
      <c r="I8" s="56">
        <v>4.2999999999999989</v>
      </c>
      <c r="J8" s="57" t="s">
        <v>26</v>
      </c>
      <c r="K8" s="2">
        <f>SUMIFS('[2]BESS 11'!P:P,'[2]BESS 11'!$B:$B,$J8)</f>
        <v>6</v>
      </c>
      <c r="L8" s="2">
        <f>SUMIFS('[2]BESS 11'!Q:Q,'[2]BESS 11'!$B:$B,$J8)</f>
        <v>6</v>
      </c>
      <c r="M8" s="2">
        <f t="shared" si="0"/>
        <v>0</v>
      </c>
      <c r="N8" s="63" t="s">
        <v>122</v>
      </c>
      <c r="O8" s="424" t="str">
        <f t="shared" si="1"/>
        <v xml:space="preserve"> </v>
      </c>
      <c r="P8" s="357" t="s">
        <v>20</v>
      </c>
      <c r="Q8" s="96">
        <v>1</v>
      </c>
      <c r="R8" s="93">
        <v>39</v>
      </c>
      <c r="S8" s="94">
        <f t="shared" si="2"/>
        <v>0</v>
      </c>
      <c r="T8" s="304"/>
      <c r="W8" s="109" t="s">
        <v>195</v>
      </c>
      <c r="X8" s="66">
        <v>1</v>
      </c>
      <c r="Y8" s="101"/>
    </row>
    <row r="9" spans="2:28">
      <c r="B9" s="473"/>
      <c r="C9" s="476"/>
      <c r="D9" s="513"/>
      <c r="E9" s="445"/>
      <c r="F9" s="456"/>
      <c r="G9" s="456"/>
      <c r="H9" s="456"/>
      <c r="I9" s="56">
        <v>4.3999999999999986</v>
      </c>
      <c r="J9" s="57" t="s">
        <v>32</v>
      </c>
      <c r="K9" s="2">
        <f>SUMIFS('[2]BESS 11'!P:P,'[2]BESS 11'!$B:$B,$J9)</f>
        <v>1</v>
      </c>
      <c r="L9" s="2">
        <f>SUMIFS('[2]BESS 11'!Q:Q,'[2]BESS 11'!$B:$B,$J9)</f>
        <v>1</v>
      </c>
      <c r="M9" s="2">
        <f t="shared" si="0"/>
        <v>0</v>
      </c>
      <c r="N9" s="63" t="s">
        <v>122</v>
      </c>
      <c r="O9" s="424" t="str">
        <f t="shared" si="1"/>
        <v xml:space="preserve"> </v>
      </c>
      <c r="P9" s="357" t="s">
        <v>20</v>
      </c>
      <c r="Q9" s="96">
        <v>1</v>
      </c>
      <c r="R9" s="93">
        <v>37</v>
      </c>
      <c r="S9" s="94">
        <f t="shared" si="2"/>
        <v>0</v>
      </c>
      <c r="T9" s="304"/>
      <c r="W9" s="109" t="s">
        <v>196</v>
      </c>
      <c r="X9" s="66">
        <v>6</v>
      </c>
      <c r="Y9" s="101"/>
    </row>
    <row r="10" spans="2:28">
      <c r="B10" s="473"/>
      <c r="C10" s="476"/>
      <c r="D10" s="513"/>
      <c r="E10" s="445"/>
      <c r="F10" s="456"/>
      <c r="G10" s="456"/>
      <c r="H10" s="456"/>
      <c r="I10" s="56">
        <v>4.4999999999999982</v>
      </c>
      <c r="J10" s="57" t="s">
        <v>35</v>
      </c>
      <c r="K10" s="2">
        <f>SUMIFS('[2]BESS 11'!P:P,'[2]BESS 11'!$B:$B,$J10)</f>
        <v>1</v>
      </c>
      <c r="L10" s="2">
        <f>SUMIFS('[2]BESS 11'!Q:Q,'[2]BESS 11'!$B:$B,$J10)</f>
        <v>1</v>
      </c>
      <c r="M10" s="2">
        <f t="shared" si="0"/>
        <v>0</v>
      </c>
      <c r="N10" s="63" t="s">
        <v>122</v>
      </c>
      <c r="O10" s="424" t="str">
        <f t="shared" si="1"/>
        <v xml:space="preserve"> </v>
      </c>
      <c r="P10" s="357" t="s">
        <v>20</v>
      </c>
      <c r="Q10" s="358">
        <v>1</v>
      </c>
      <c r="R10" s="2">
        <v>34</v>
      </c>
      <c r="S10" s="2">
        <f t="shared" si="2"/>
        <v>0</v>
      </c>
      <c r="T10" s="304"/>
      <c r="W10" s="109" t="s">
        <v>222</v>
      </c>
      <c r="X10" s="66">
        <v>8</v>
      </c>
      <c r="Y10" s="101"/>
    </row>
    <row r="11" spans="2:28">
      <c r="B11" s="473"/>
      <c r="C11" s="476"/>
      <c r="D11" s="513"/>
      <c r="E11" s="445"/>
      <c r="F11" s="456"/>
      <c r="G11" s="456"/>
      <c r="H11" s="456"/>
      <c r="I11" s="56">
        <v>4.5999999999999979</v>
      </c>
      <c r="J11" s="57" t="s">
        <v>38</v>
      </c>
      <c r="K11" s="2">
        <f>SUMIFS('[2]BESS 11'!P:P,'[2]BESS 11'!$B:$B,$J11)</f>
        <v>1</v>
      </c>
      <c r="L11" s="2">
        <f>SUMIFS('[2]BESS 11'!Q:Q,'[2]BESS 11'!$B:$B,$J11)</f>
        <v>1</v>
      </c>
      <c r="M11" s="2">
        <f t="shared" si="0"/>
        <v>0</v>
      </c>
      <c r="N11" s="63" t="s">
        <v>122</v>
      </c>
      <c r="O11" s="424" t="str">
        <f t="shared" si="1"/>
        <v xml:space="preserve"> </v>
      </c>
      <c r="P11" s="357" t="s">
        <v>20</v>
      </c>
      <c r="Q11" s="96">
        <v>1</v>
      </c>
      <c r="R11" s="93">
        <v>54</v>
      </c>
      <c r="S11" s="94">
        <f t="shared" si="2"/>
        <v>0</v>
      </c>
      <c r="T11" s="307"/>
      <c r="W11" s="109" t="s">
        <v>197</v>
      </c>
      <c r="X11" s="66">
        <v>10</v>
      </c>
      <c r="Y11" s="101"/>
    </row>
    <row r="12" spans="2:28">
      <c r="B12" s="473"/>
      <c r="C12" s="476"/>
      <c r="D12" s="513"/>
      <c r="E12" s="445"/>
      <c r="F12" s="456"/>
      <c r="G12" s="456"/>
      <c r="H12" s="456"/>
      <c r="I12" s="56">
        <v>4.6999999999999975</v>
      </c>
      <c r="J12" s="57" t="s">
        <v>46</v>
      </c>
      <c r="K12" s="2">
        <f>SUMIFS('[2]BESS 11'!P:P,'[2]BESS 11'!$B:$B,$J12)</f>
        <v>3</v>
      </c>
      <c r="L12" s="2">
        <f>SUMIFS('[2]BESS 11'!Q:Q,'[2]BESS 11'!$B:$B,$J12)</f>
        <v>3</v>
      </c>
      <c r="M12" s="2">
        <f t="shared" si="0"/>
        <v>0</v>
      </c>
      <c r="N12" s="63" t="s">
        <v>122</v>
      </c>
      <c r="O12" s="424" t="str">
        <f t="shared" si="1"/>
        <v xml:space="preserve"> </v>
      </c>
      <c r="P12" s="357" t="s">
        <v>20</v>
      </c>
      <c r="Q12" s="96">
        <v>1</v>
      </c>
      <c r="R12" s="93">
        <v>5</v>
      </c>
      <c r="S12" s="94">
        <f t="shared" si="2"/>
        <v>0</v>
      </c>
      <c r="T12" s="261"/>
      <c r="W12" s="109" t="s">
        <v>219</v>
      </c>
      <c r="X12" s="66">
        <v>20</v>
      </c>
      <c r="Y12" s="101"/>
    </row>
    <row r="13" spans="2:28">
      <c r="B13" s="473"/>
      <c r="C13" s="476"/>
      <c r="D13" s="513"/>
      <c r="E13" s="445"/>
      <c r="F13" s="456"/>
      <c r="G13" s="456"/>
      <c r="H13" s="456"/>
      <c r="I13" s="56">
        <v>4.7999999999999972</v>
      </c>
      <c r="J13" s="57" t="s">
        <v>40</v>
      </c>
      <c r="K13" s="2">
        <f>SUMIFS('[2]BESS 11'!P:P,'[2]BESS 11'!$B:$B,$J13)</f>
        <v>6</v>
      </c>
      <c r="L13" s="2">
        <f>SUMIFS('[2]BESS 11'!Q:Q,'[2]BESS 11'!$B:$B,$J13)</f>
        <v>6</v>
      </c>
      <c r="M13" s="2">
        <f t="shared" si="0"/>
        <v>0</v>
      </c>
      <c r="N13" s="63" t="s">
        <v>122</v>
      </c>
      <c r="O13" s="424" t="str">
        <f t="shared" si="1"/>
        <v xml:space="preserve"> </v>
      </c>
      <c r="P13" s="357" t="s">
        <v>20</v>
      </c>
      <c r="Q13" s="96">
        <v>1</v>
      </c>
      <c r="R13" s="93">
        <v>5</v>
      </c>
      <c r="S13" s="94">
        <f t="shared" si="2"/>
        <v>0</v>
      </c>
      <c r="T13" s="261"/>
      <c r="W13" s="109" t="s">
        <v>220</v>
      </c>
      <c r="X13" s="66">
        <v>10</v>
      </c>
      <c r="Y13" s="101"/>
      <c r="AA13" s="67"/>
    </row>
    <row r="14" spans="2:28">
      <c r="B14" s="473"/>
      <c r="C14" s="476"/>
      <c r="D14" s="513"/>
      <c r="E14" s="445"/>
      <c r="F14" s="456"/>
      <c r="G14" s="456"/>
      <c r="H14" s="456"/>
      <c r="I14" s="56">
        <v>4.8999999999999968</v>
      </c>
      <c r="J14" s="57" t="s">
        <v>30</v>
      </c>
      <c r="K14" s="2">
        <f>SUMIFS('[2]BESS 11'!P:P,'[2]BESS 11'!$B:$B,$J14)</f>
        <v>6</v>
      </c>
      <c r="L14" s="2">
        <f>SUMIFS('[2]BESS 11'!Q:Q,'[2]BESS 11'!$B:$B,$J14)</f>
        <v>6</v>
      </c>
      <c r="M14" s="2">
        <f t="shared" si="0"/>
        <v>0</v>
      </c>
      <c r="N14" s="63" t="s">
        <v>122</v>
      </c>
      <c r="O14" s="424" t="str">
        <f t="shared" si="1"/>
        <v xml:space="preserve"> </v>
      </c>
      <c r="P14" s="357" t="s">
        <v>31</v>
      </c>
      <c r="Q14" s="96">
        <v>1</v>
      </c>
      <c r="R14" s="93">
        <v>27</v>
      </c>
      <c r="S14" s="94">
        <f t="shared" si="2"/>
        <v>0</v>
      </c>
      <c r="T14" s="261"/>
      <c r="W14" s="342" t="s">
        <v>224</v>
      </c>
      <c r="X14" s="66">
        <v>5</v>
      </c>
      <c r="Y14" s="101"/>
      <c r="Z14" s="60"/>
      <c r="AA14" s="60"/>
      <c r="AB14" s="60"/>
    </row>
    <row r="15" spans="2:28">
      <c r="B15" s="473"/>
      <c r="C15" s="476"/>
      <c r="D15" s="513"/>
      <c r="E15" s="445"/>
      <c r="F15" s="456"/>
      <c r="G15" s="456"/>
      <c r="H15" s="456"/>
      <c r="I15" s="59">
        <v>4.0999999999999996</v>
      </c>
      <c r="J15" s="57" t="s">
        <v>34</v>
      </c>
      <c r="K15" s="2">
        <f>SUMIFS('[2]BESS 11'!P:P,'[2]BESS 11'!$B:$B,$J15)</f>
        <v>1</v>
      </c>
      <c r="L15" s="2">
        <v>1</v>
      </c>
      <c r="M15" s="2">
        <f t="shared" si="0"/>
        <v>0</v>
      </c>
      <c r="N15" s="297" t="s">
        <v>122</v>
      </c>
      <c r="O15" s="424" t="str">
        <f t="shared" si="1"/>
        <v xml:space="preserve"> </v>
      </c>
      <c r="P15" s="357" t="s">
        <v>31</v>
      </c>
      <c r="Q15" s="96">
        <v>1</v>
      </c>
      <c r="R15" s="93">
        <v>25</v>
      </c>
      <c r="S15" s="94">
        <f t="shared" si="2"/>
        <v>0</v>
      </c>
      <c r="T15" s="307"/>
      <c r="W15" s="109" t="s">
        <v>225</v>
      </c>
      <c r="X15" s="66">
        <v>2</v>
      </c>
      <c r="Y15" s="101"/>
    </row>
    <row r="16" spans="2:28">
      <c r="B16" s="473"/>
      <c r="C16" s="476"/>
      <c r="D16" s="513"/>
      <c r="E16" s="445"/>
      <c r="F16" s="456"/>
      <c r="G16" s="456"/>
      <c r="H16" s="456"/>
      <c r="I16" s="59">
        <v>4.1099999999999994</v>
      </c>
      <c r="J16" s="57" t="s">
        <v>37</v>
      </c>
      <c r="K16" s="2">
        <f>SUMIFS('[2]BESS 11'!P:P,'[2]BESS 11'!$B:$B,$J16)</f>
        <v>1</v>
      </c>
      <c r="L16" s="2">
        <f>SUMIFS('[2]BESS 11'!Q:Q,'[2]BESS 11'!$B:$B,$J16)</f>
        <v>1</v>
      </c>
      <c r="M16" s="2">
        <f t="shared" si="0"/>
        <v>0</v>
      </c>
      <c r="N16" s="63" t="s">
        <v>122</v>
      </c>
      <c r="O16" s="424" t="str">
        <f t="shared" si="1"/>
        <v xml:space="preserve"> </v>
      </c>
      <c r="P16" s="357" t="s">
        <v>123</v>
      </c>
      <c r="Q16" s="96"/>
      <c r="R16" s="93"/>
      <c r="S16" s="94"/>
      <c r="T16" s="307"/>
      <c r="W16" s="109" t="s">
        <v>226</v>
      </c>
      <c r="X16" s="66">
        <v>1</v>
      </c>
      <c r="Y16" s="101"/>
    </row>
    <row r="17" spans="2:26">
      <c r="B17" s="473"/>
      <c r="C17" s="476"/>
      <c r="D17" s="513"/>
      <c r="E17" s="445"/>
      <c r="F17" s="456"/>
      <c r="G17" s="456"/>
      <c r="H17" s="456"/>
      <c r="I17" s="44"/>
      <c r="J17" s="50"/>
      <c r="K17" s="61"/>
      <c r="L17" s="52" t="s">
        <v>124</v>
      </c>
      <c r="M17" s="51"/>
      <c r="N17" s="61"/>
      <c r="O17" s="424"/>
      <c r="P17" s="351"/>
      <c r="Q17" s="96"/>
      <c r="R17" s="93"/>
      <c r="S17" s="94"/>
      <c r="T17" s="307"/>
      <c r="W17" s="109" t="s">
        <v>228</v>
      </c>
      <c r="X17" s="66">
        <v>2</v>
      </c>
      <c r="Y17" s="101"/>
    </row>
    <row r="18" spans="2:26">
      <c r="B18" s="473"/>
      <c r="C18" s="476"/>
      <c r="D18" s="513"/>
      <c r="E18" s="445"/>
      <c r="F18" s="456"/>
      <c r="G18" s="456"/>
      <c r="H18" s="456"/>
      <c r="I18" s="56">
        <v>4.1199999999999992</v>
      </c>
      <c r="J18" s="57" t="s">
        <v>24</v>
      </c>
      <c r="K18" s="2">
        <f>SUMIFS('[2]BESS 11'!P:P,'[2]BESS 11'!$B:$B,$J18)</f>
        <v>6</v>
      </c>
      <c r="L18" s="2">
        <f>SUMIFS('[2]BESS 11'!Q:Q,'[2]BESS 11'!$B:$B,$J18)</f>
        <v>6</v>
      </c>
      <c r="M18" s="2">
        <f t="shared" ref="M18:M49" si="3">K18-L18</f>
        <v>0</v>
      </c>
      <c r="N18" s="63" t="s">
        <v>122</v>
      </c>
      <c r="O18" s="424" t="str">
        <f t="shared" ref="O18:O49" si="4">IF(LEN(N18)=5,N18,(IF(N18="Completed"," ",DATEVALUE(RIGHT(N18,6)))))</f>
        <v xml:space="preserve"> </v>
      </c>
      <c r="P18" s="357" t="s">
        <v>25</v>
      </c>
      <c r="Q18" s="96">
        <v>2</v>
      </c>
      <c r="R18" s="93">
        <v>8</v>
      </c>
      <c r="S18" s="94">
        <f>(M18*R18)/Q18</f>
        <v>0</v>
      </c>
      <c r="T18" s="307"/>
      <c r="W18" s="109" t="s">
        <v>229</v>
      </c>
      <c r="X18" s="66">
        <v>2</v>
      </c>
      <c r="Y18" s="165"/>
    </row>
    <row r="19" spans="2:26">
      <c r="B19" s="473"/>
      <c r="C19" s="476"/>
      <c r="D19" s="513"/>
      <c r="E19" s="445"/>
      <c r="F19" s="456"/>
      <c r="G19" s="456"/>
      <c r="H19" s="456"/>
      <c r="I19" s="59">
        <v>4.129999999999999</v>
      </c>
      <c r="J19" s="57" t="s">
        <v>27</v>
      </c>
      <c r="K19" s="2">
        <f>SUMIFS('[2]BESS 11'!P:P,'[2]BESS 11'!$B:$B,$J19)</f>
        <v>48</v>
      </c>
      <c r="L19" s="2">
        <f>SUMIFS('[2]BESS 11'!Q:Q,'[2]BESS 11'!$B:$B,$J19)</f>
        <v>48</v>
      </c>
      <c r="M19" s="2">
        <f t="shared" si="3"/>
        <v>0</v>
      </c>
      <c r="N19" s="63" t="s">
        <v>122</v>
      </c>
      <c r="O19" s="424" t="str">
        <f t="shared" si="4"/>
        <v xml:space="preserve"> </v>
      </c>
      <c r="P19" s="357" t="s">
        <v>25</v>
      </c>
      <c r="Q19" s="96">
        <v>10</v>
      </c>
      <c r="R19" s="93">
        <v>8</v>
      </c>
      <c r="S19" s="94">
        <f>(M19*R19)/Q19</f>
        <v>0</v>
      </c>
      <c r="T19" s="307"/>
      <c r="W19" s="181" t="s">
        <v>198</v>
      </c>
      <c r="X19" s="66"/>
      <c r="Y19" s="165"/>
    </row>
    <row r="20" spans="2:26">
      <c r="B20" s="473"/>
      <c r="C20" s="476"/>
      <c r="D20" s="513"/>
      <c r="E20" s="445"/>
      <c r="F20" s="456"/>
      <c r="G20" s="456"/>
      <c r="H20" s="456"/>
      <c r="I20" s="56">
        <v>4.1399999999999988</v>
      </c>
      <c r="J20" s="57" t="s">
        <v>28</v>
      </c>
      <c r="K20" s="2">
        <f>SUMIFS('[2]BESS 11'!P:P,'[2]BESS 11'!$B:$B,$J20)</f>
        <v>6</v>
      </c>
      <c r="L20" s="2">
        <f>SUMIFS('[2]BESS 11'!Q:Q,'[2]BESS 11'!$B:$B,$J20)</f>
        <v>6</v>
      </c>
      <c r="M20" s="2">
        <f t="shared" si="3"/>
        <v>0</v>
      </c>
      <c r="N20" s="63" t="s">
        <v>122</v>
      </c>
      <c r="O20" s="424" t="str">
        <f t="shared" si="4"/>
        <v xml:space="preserve"> </v>
      </c>
      <c r="P20" s="357" t="s">
        <v>25</v>
      </c>
      <c r="Q20" s="96">
        <v>5</v>
      </c>
      <c r="R20" s="93">
        <v>4</v>
      </c>
      <c r="S20" s="94">
        <f>(M20*R20)/Q20</f>
        <v>0</v>
      </c>
      <c r="T20" s="307"/>
      <c r="W20" s="109" t="s">
        <v>221</v>
      </c>
      <c r="X20" s="66">
        <v>5</v>
      </c>
      <c r="Y20" s="101"/>
    </row>
    <row r="21" spans="2:26" ht="25.5">
      <c r="B21" s="473"/>
      <c r="C21" s="476"/>
      <c r="D21" s="513"/>
      <c r="E21" s="445"/>
      <c r="F21" s="456"/>
      <c r="G21" s="456"/>
      <c r="H21" s="456"/>
      <c r="I21" s="59">
        <v>4.1499999999999986</v>
      </c>
      <c r="J21" s="57" t="s">
        <v>29</v>
      </c>
      <c r="K21" s="2">
        <f>SUMIFS('[2]BESS 11'!P:P,'[2]BESS 11'!$B:$B,$J21)</f>
        <v>6</v>
      </c>
      <c r="L21" s="2">
        <f>SUMIFS('[2]BESS 11'!Q:Q,'[2]BESS 11'!$B:$B,$J21)</f>
        <v>6</v>
      </c>
      <c r="M21" s="2">
        <f t="shared" si="3"/>
        <v>0</v>
      </c>
      <c r="N21" s="63" t="s">
        <v>122</v>
      </c>
      <c r="O21" s="424" t="str">
        <f t="shared" si="4"/>
        <v xml:space="preserve"> </v>
      </c>
      <c r="P21" s="58" t="s">
        <v>25</v>
      </c>
      <c r="Q21" s="96">
        <v>6</v>
      </c>
      <c r="R21" s="527">
        <v>8</v>
      </c>
      <c r="S21" s="530">
        <v>0</v>
      </c>
      <c r="T21" s="322"/>
      <c r="W21" s="109" t="s">
        <v>200</v>
      </c>
      <c r="X21" s="66">
        <v>1</v>
      </c>
      <c r="Y21" s="101"/>
    </row>
    <row r="22" spans="2:26">
      <c r="B22" s="473"/>
      <c r="C22" s="476"/>
      <c r="D22" s="513"/>
      <c r="E22" s="445"/>
      <c r="F22" s="456"/>
      <c r="G22" s="456"/>
      <c r="H22" s="456"/>
      <c r="I22" s="59">
        <v>4.1599999999999984</v>
      </c>
      <c r="J22" s="57" t="s">
        <v>33</v>
      </c>
      <c r="K22" s="2">
        <f>SUMIFS('[2]BESS 11'!P:P,'[2]BESS 11'!$B:$B,$J22)</f>
        <v>2</v>
      </c>
      <c r="L22" s="2">
        <f>SUMIFS('[2]BESS 11'!Q:Q,'[2]BESS 11'!$B:$B,$J22)</f>
        <v>2</v>
      </c>
      <c r="M22" s="2">
        <f t="shared" si="3"/>
        <v>0</v>
      </c>
      <c r="N22" s="63" t="s">
        <v>122</v>
      </c>
      <c r="O22" s="424" t="str">
        <f t="shared" si="4"/>
        <v xml:space="preserve"> </v>
      </c>
      <c r="P22" s="58" t="s">
        <v>25</v>
      </c>
      <c r="Q22" s="96">
        <v>1</v>
      </c>
      <c r="R22" s="528"/>
      <c r="S22" s="531"/>
      <c r="T22" s="307"/>
      <c r="W22" s="109" t="s">
        <v>201</v>
      </c>
      <c r="X22" s="66">
        <v>1</v>
      </c>
      <c r="Y22" s="101"/>
    </row>
    <row r="23" spans="2:26">
      <c r="B23" s="473"/>
      <c r="C23" s="476"/>
      <c r="D23" s="513"/>
      <c r="E23" s="445"/>
      <c r="F23" s="456"/>
      <c r="G23" s="456"/>
      <c r="H23" s="456"/>
      <c r="I23" s="59">
        <v>4.1699999999999982</v>
      </c>
      <c r="J23" s="57" t="s">
        <v>36</v>
      </c>
      <c r="K23" s="2">
        <f>SUMIFS('[2]BESS 11'!P:P,'[2]BESS 11'!$B:$B,$J23)</f>
        <v>1</v>
      </c>
      <c r="L23" s="2">
        <f>SUMIFS('[2]BESS 11'!Q:Q,'[2]BESS 11'!$B:$B,$J23)</f>
        <v>1</v>
      </c>
      <c r="M23" s="2">
        <f t="shared" si="3"/>
        <v>0</v>
      </c>
      <c r="N23" s="63" t="s">
        <v>122</v>
      </c>
      <c r="O23" s="424" t="str">
        <f t="shared" si="4"/>
        <v xml:space="preserve"> </v>
      </c>
      <c r="P23" s="58" t="s">
        <v>25</v>
      </c>
      <c r="Q23" s="96">
        <v>1</v>
      </c>
      <c r="R23" s="528"/>
      <c r="S23" s="531"/>
      <c r="T23" s="307"/>
      <c r="W23" s="109" t="s">
        <v>202</v>
      </c>
      <c r="X23" s="66">
        <v>1</v>
      </c>
      <c r="Y23" s="165"/>
    </row>
    <row r="24" spans="2:26">
      <c r="B24" s="473"/>
      <c r="C24" s="476"/>
      <c r="D24" s="513"/>
      <c r="E24" s="445"/>
      <c r="F24" s="456"/>
      <c r="G24" s="456"/>
      <c r="H24" s="456"/>
      <c r="I24" s="59">
        <v>4.1799999999999979</v>
      </c>
      <c r="J24" s="57" t="s">
        <v>39</v>
      </c>
      <c r="K24" s="2">
        <f>SUMIFS('[2]BESS 11'!P:P,'[2]BESS 11'!$B:$B,$J24)</f>
        <v>1</v>
      </c>
      <c r="L24" s="2">
        <f>SUMIFS('[2]BESS 11'!Q:Q,'[2]BESS 11'!$B:$B,$J24)</f>
        <v>1</v>
      </c>
      <c r="M24" s="2">
        <f t="shared" si="3"/>
        <v>0</v>
      </c>
      <c r="N24" s="297" t="s">
        <v>122</v>
      </c>
      <c r="O24" s="424" t="str">
        <f t="shared" si="4"/>
        <v xml:space="preserve"> </v>
      </c>
      <c r="P24" s="357" t="s">
        <v>25</v>
      </c>
      <c r="Q24" s="96">
        <v>1</v>
      </c>
      <c r="R24" s="528"/>
      <c r="S24" s="531"/>
      <c r="T24" s="307"/>
      <c r="W24" s="109" t="s">
        <v>203</v>
      </c>
      <c r="X24" s="66">
        <v>1</v>
      </c>
      <c r="Y24" s="165"/>
    </row>
    <row r="25" spans="2:26">
      <c r="B25" s="547" t="s">
        <v>654</v>
      </c>
      <c r="C25" s="548"/>
      <c r="D25" s="548"/>
      <c r="E25" s="548"/>
      <c r="F25" s="548"/>
      <c r="G25" s="548"/>
      <c r="H25" s="549"/>
      <c r="I25" s="314">
        <v>4.1899999999999977</v>
      </c>
      <c r="J25" s="57" t="s">
        <v>41</v>
      </c>
      <c r="K25" s="2">
        <f>SUMIFS('[2]BESS 11'!P:P,'[2]BESS 11'!$B:$B,$J25)</f>
        <v>6</v>
      </c>
      <c r="L25" s="2">
        <f>SUMIFS('[2]BESS 11'!Q:Q,'[2]BESS 11'!$B:$B,$J25)</f>
        <v>6</v>
      </c>
      <c r="M25" s="2">
        <f t="shared" si="3"/>
        <v>0</v>
      </c>
      <c r="N25" s="63" t="s">
        <v>122</v>
      </c>
      <c r="O25" s="424" t="str">
        <f t="shared" si="4"/>
        <v xml:space="preserve"> </v>
      </c>
      <c r="P25" s="357" t="s">
        <v>125</v>
      </c>
      <c r="Q25" s="96">
        <v>6</v>
      </c>
      <c r="R25" s="93" t="s">
        <v>89</v>
      </c>
      <c r="S25" s="94" t="s">
        <v>89</v>
      </c>
      <c r="T25" s="307"/>
      <c r="W25" s="109" t="s">
        <v>204</v>
      </c>
      <c r="X25" s="66">
        <v>1</v>
      </c>
      <c r="Y25" s="165"/>
    </row>
    <row r="26" spans="2:26">
      <c r="B26" s="550"/>
      <c r="C26" s="551"/>
      <c r="D26" s="551"/>
      <c r="E26" s="551"/>
      <c r="F26" s="551"/>
      <c r="G26" s="551"/>
      <c r="H26" s="552"/>
      <c r="I26" s="314">
        <v>4.1999999999999975</v>
      </c>
      <c r="J26" s="57" t="s">
        <v>43</v>
      </c>
      <c r="K26" s="2">
        <f>SUMIFS('[2]BESS 11'!P:P,'[2]BESS 11'!$B:$B,$J26)</f>
        <v>6</v>
      </c>
      <c r="L26" s="2">
        <f>SUMIFS('[2]BESS 11'!Q:Q,'[2]BESS 11'!$B:$B,$J26)</f>
        <v>6</v>
      </c>
      <c r="M26" s="2">
        <f t="shared" si="3"/>
        <v>0</v>
      </c>
      <c r="N26" s="63" t="s">
        <v>122</v>
      </c>
      <c r="O26" s="424" t="str">
        <f t="shared" si="4"/>
        <v xml:space="preserve"> </v>
      </c>
      <c r="P26" s="357" t="s">
        <v>125</v>
      </c>
      <c r="Q26" s="96">
        <v>0.66666666666666663</v>
      </c>
      <c r="R26" s="93">
        <v>0</v>
      </c>
      <c r="S26" s="94">
        <f t="shared" ref="S26:S38" si="5">(M26*R26)/Q26</f>
        <v>0</v>
      </c>
      <c r="T26" s="307"/>
      <c r="W26" s="109" t="s">
        <v>205</v>
      </c>
      <c r="X26" s="66">
        <v>2</v>
      </c>
      <c r="Y26" s="165"/>
    </row>
    <row r="27" spans="2:26">
      <c r="B27" s="550"/>
      <c r="C27" s="551"/>
      <c r="D27" s="551"/>
      <c r="E27" s="551"/>
      <c r="F27" s="551"/>
      <c r="G27" s="551"/>
      <c r="H27" s="552"/>
      <c r="I27" s="314">
        <v>4.2099999999999973</v>
      </c>
      <c r="J27" s="57" t="s">
        <v>21</v>
      </c>
      <c r="K27" s="2">
        <f>SUMIFS('[2]BESS 11'!P:P,'[2]BESS 11'!$B:$B,$J27)</f>
        <v>48</v>
      </c>
      <c r="L27" s="2">
        <f>SUMIFS('[2]BESS 11'!Q:Q,'[2]BESS 11'!$B:$B,$J27)</f>
        <v>48</v>
      </c>
      <c r="M27" s="2">
        <f t="shared" si="3"/>
        <v>0</v>
      </c>
      <c r="N27" s="297" t="s">
        <v>122</v>
      </c>
      <c r="O27" s="424" t="str">
        <f t="shared" si="4"/>
        <v xml:space="preserve"> </v>
      </c>
      <c r="P27" s="357" t="s">
        <v>22</v>
      </c>
      <c r="Q27" s="96">
        <v>10</v>
      </c>
      <c r="R27" s="93">
        <v>4</v>
      </c>
      <c r="S27" s="94">
        <f t="shared" si="5"/>
        <v>0</v>
      </c>
      <c r="T27" s="309"/>
      <c r="W27" s="109" t="s">
        <v>206</v>
      </c>
      <c r="X27" s="66">
        <v>1</v>
      </c>
      <c r="Y27" s="101"/>
    </row>
    <row r="28" spans="2:26">
      <c r="B28" s="550"/>
      <c r="C28" s="551"/>
      <c r="D28" s="551"/>
      <c r="E28" s="551"/>
      <c r="F28" s="551"/>
      <c r="G28" s="551"/>
      <c r="H28" s="552"/>
      <c r="I28" s="314">
        <f>I27+0.01</f>
        <v>4.2199999999999971</v>
      </c>
      <c r="J28" s="57" t="s">
        <v>47</v>
      </c>
      <c r="K28" s="2">
        <f>SUMIFS('[2]BESS 11'!P:P,'[2]BESS 11'!$B:$B,$J28)</f>
        <v>6909</v>
      </c>
      <c r="L28" s="2">
        <f>SUMIFS('[2]BESS 11'!Q:Q,'[2]BESS 11'!$B:$B,$J28)</f>
        <v>6909</v>
      </c>
      <c r="M28" s="2">
        <f t="shared" si="3"/>
        <v>0</v>
      </c>
      <c r="N28" s="297" t="s">
        <v>122</v>
      </c>
      <c r="O28" s="424" t="str">
        <f t="shared" si="4"/>
        <v xml:space="preserve"> </v>
      </c>
      <c r="P28" s="357" t="s">
        <v>25</v>
      </c>
      <c r="Q28" s="96">
        <v>1500</v>
      </c>
      <c r="R28" s="93">
        <v>48</v>
      </c>
      <c r="S28" s="94">
        <f t="shared" si="5"/>
        <v>0</v>
      </c>
      <c r="T28" s="318"/>
      <c r="W28" s="109" t="s">
        <v>207</v>
      </c>
      <c r="X28" s="66">
        <v>1</v>
      </c>
      <c r="Y28" s="101"/>
    </row>
    <row r="29" spans="2:26">
      <c r="B29" s="550"/>
      <c r="C29" s="551"/>
      <c r="D29" s="551"/>
      <c r="E29" s="551"/>
      <c r="F29" s="551"/>
      <c r="G29" s="551"/>
      <c r="H29" s="552"/>
      <c r="I29" s="314">
        <f t="shared" ref="I29:I49" si="6">I28+0.01</f>
        <v>4.2299999999999969</v>
      </c>
      <c r="J29" s="57" t="s">
        <v>48</v>
      </c>
      <c r="K29" s="2">
        <f>SUMIFS('[2]BESS 11'!P:P,'[2]BESS 11'!$B:$B,$J29)</f>
        <v>28</v>
      </c>
      <c r="L29" s="2">
        <f>SUMIFS('[2]BESS 11'!Q:Q,'[2]BESS 11'!$B:$B,$J29)</f>
        <v>28</v>
      </c>
      <c r="M29" s="2">
        <f t="shared" si="3"/>
        <v>0</v>
      </c>
      <c r="N29" s="297" t="s">
        <v>122</v>
      </c>
      <c r="O29" s="424" t="str">
        <f t="shared" si="4"/>
        <v xml:space="preserve"> </v>
      </c>
      <c r="P29" s="58" t="s">
        <v>25</v>
      </c>
      <c r="Q29" s="96">
        <v>8</v>
      </c>
      <c r="R29" s="93">
        <v>6</v>
      </c>
      <c r="S29" s="94">
        <f t="shared" si="5"/>
        <v>0</v>
      </c>
      <c r="T29" s="318"/>
      <c r="W29" s="109" t="s">
        <v>208</v>
      </c>
      <c r="X29" s="66">
        <v>1</v>
      </c>
      <c r="Y29" s="101"/>
      <c r="Z29" s="60"/>
    </row>
    <row r="30" spans="2:26">
      <c r="B30" s="550"/>
      <c r="C30" s="551"/>
      <c r="D30" s="551"/>
      <c r="E30" s="551"/>
      <c r="F30" s="551"/>
      <c r="G30" s="551"/>
      <c r="H30" s="552"/>
      <c r="I30" s="314">
        <f t="shared" si="6"/>
        <v>4.2399999999999967</v>
      </c>
      <c r="J30" s="57" t="s">
        <v>126</v>
      </c>
      <c r="K30" s="2">
        <f>SUMIFS('[2]BESS 11'!P:P,'[2]BESS 11'!$B:$B,$J30)</f>
        <v>13556</v>
      </c>
      <c r="L30" s="2">
        <f>SUMIFS('[2]BESS 11'!Q:Q,'[2]BESS 11'!$B:$B,$J30)</f>
        <v>13556</v>
      </c>
      <c r="M30" s="2">
        <f t="shared" si="3"/>
        <v>0</v>
      </c>
      <c r="N30" s="63" t="s">
        <v>122</v>
      </c>
      <c r="O30" s="424" t="str">
        <f t="shared" si="4"/>
        <v xml:space="preserve"> </v>
      </c>
      <c r="P30" s="357" t="s">
        <v>25</v>
      </c>
      <c r="Q30" s="96">
        <v>600</v>
      </c>
      <c r="R30" s="93">
        <v>10</v>
      </c>
      <c r="S30" s="94">
        <f t="shared" si="5"/>
        <v>0</v>
      </c>
      <c r="T30" s="307"/>
      <c r="W30" s="339" t="s">
        <v>209</v>
      </c>
      <c r="X30" s="312">
        <v>1</v>
      </c>
      <c r="Y30" s="101"/>
    </row>
    <row r="31" spans="2:26" ht="27">
      <c r="B31" s="550"/>
      <c r="C31" s="551"/>
      <c r="D31" s="551"/>
      <c r="E31" s="551"/>
      <c r="F31" s="551"/>
      <c r="G31" s="551"/>
      <c r="H31" s="552"/>
      <c r="I31" s="314">
        <f t="shared" si="6"/>
        <v>4.2499999999999964</v>
      </c>
      <c r="J31" s="57" t="s">
        <v>127</v>
      </c>
      <c r="K31" s="2">
        <f>SUMIFS('[2]BESS 11'!P:P,'[2]BESS 11'!$B:$B,$J31)</f>
        <v>44160</v>
      </c>
      <c r="L31" s="2">
        <f>SUMIFS('[2]BESS 11'!Q:Q,'[2]BESS 11'!$B:$B,$J31)</f>
        <v>44160</v>
      </c>
      <c r="M31" s="2">
        <f t="shared" si="3"/>
        <v>0</v>
      </c>
      <c r="N31" s="63" t="s">
        <v>122</v>
      </c>
      <c r="O31" s="424" t="str">
        <f t="shared" si="4"/>
        <v xml:space="preserve"> </v>
      </c>
      <c r="P31" s="357" t="s">
        <v>25</v>
      </c>
      <c r="Q31" s="96">
        <v>600</v>
      </c>
      <c r="R31" s="93">
        <v>10</v>
      </c>
      <c r="S31" s="94">
        <f t="shared" si="5"/>
        <v>0</v>
      </c>
      <c r="T31" s="307"/>
      <c r="W31" s="337" t="s">
        <v>215</v>
      </c>
      <c r="X31" s="312">
        <v>1</v>
      </c>
      <c r="Y31" s="101">
        <v>1</v>
      </c>
    </row>
    <row r="32" spans="2:26">
      <c r="B32" s="550"/>
      <c r="C32" s="551"/>
      <c r="D32" s="551"/>
      <c r="E32" s="551"/>
      <c r="F32" s="551"/>
      <c r="G32" s="551"/>
      <c r="H32" s="552"/>
      <c r="I32" s="314">
        <f t="shared" si="6"/>
        <v>4.2599999999999962</v>
      </c>
      <c r="J32" s="57" t="s">
        <v>128</v>
      </c>
      <c r="K32" s="2">
        <f>SUMIFS('[2]BESS 11'!P:P,'[2]BESS 11'!$B:$B,$J32)</f>
        <v>1536</v>
      </c>
      <c r="L32" s="2">
        <f>SUMIFS('[2]BESS 11'!Q:Q,'[2]BESS 11'!$B:$B,$J32)</f>
        <v>1536</v>
      </c>
      <c r="M32" s="2">
        <f t="shared" si="3"/>
        <v>0</v>
      </c>
      <c r="N32" s="63" t="s">
        <v>122</v>
      </c>
      <c r="O32" s="424" t="str">
        <f t="shared" si="4"/>
        <v xml:space="preserve"> </v>
      </c>
      <c r="P32" s="58" t="s">
        <v>25</v>
      </c>
      <c r="Q32" s="96">
        <v>30</v>
      </c>
      <c r="R32" s="93">
        <v>18</v>
      </c>
      <c r="S32" s="94">
        <f t="shared" si="5"/>
        <v>0</v>
      </c>
      <c r="T32" s="304"/>
      <c r="W32" s="109" t="s">
        <v>210</v>
      </c>
      <c r="X32" s="66">
        <v>1</v>
      </c>
      <c r="Y32" s="101"/>
      <c r="Z32" s="60"/>
    </row>
    <row r="33" spans="2:26">
      <c r="B33" s="550"/>
      <c r="C33" s="551"/>
      <c r="D33" s="551"/>
      <c r="E33" s="551"/>
      <c r="F33" s="551"/>
      <c r="G33" s="551"/>
      <c r="H33" s="552"/>
      <c r="I33" s="314">
        <f t="shared" si="6"/>
        <v>4.269999999999996</v>
      </c>
      <c r="J33" s="57" t="s">
        <v>129</v>
      </c>
      <c r="K33" s="2">
        <f>SUMIFS('[2]BESS 11'!P:P,'[2]BESS 11'!$B:$B,$J33)</f>
        <v>2304</v>
      </c>
      <c r="L33" s="2">
        <f>SUMIFS('[2]BESS 11'!Q:Q,'[2]BESS 11'!$B:$B,$J33)</f>
        <v>2304</v>
      </c>
      <c r="M33" s="2">
        <f t="shared" si="3"/>
        <v>0</v>
      </c>
      <c r="N33" s="63" t="s">
        <v>122</v>
      </c>
      <c r="O33" s="424" t="str">
        <f t="shared" si="4"/>
        <v xml:space="preserve"> </v>
      </c>
      <c r="P33" s="58" t="s">
        <v>25</v>
      </c>
      <c r="Q33" s="96">
        <v>30</v>
      </c>
      <c r="R33" s="93">
        <v>18</v>
      </c>
      <c r="S33" s="94">
        <f t="shared" si="5"/>
        <v>0</v>
      </c>
      <c r="T33" s="304"/>
      <c r="W33" s="109" t="s">
        <v>211</v>
      </c>
      <c r="X33" s="66">
        <v>1</v>
      </c>
      <c r="Y33" s="101"/>
      <c r="Z33" s="60"/>
    </row>
    <row r="34" spans="2:26">
      <c r="B34" s="550"/>
      <c r="C34" s="551"/>
      <c r="D34" s="551"/>
      <c r="E34" s="551"/>
      <c r="F34" s="551"/>
      <c r="G34" s="551"/>
      <c r="H34" s="552"/>
      <c r="I34" s="314">
        <f t="shared" si="6"/>
        <v>4.2799999999999958</v>
      </c>
      <c r="J34" s="57" t="s">
        <v>130</v>
      </c>
      <c r="K34" s="2">
        <f>SUMIFS('[2]BESS 11'!P:P,'[2]BESS 11'!$B:$B,$J34)</f>
        <v>7701</v>
      </c>
      <c r="L34" s="2">
        <f>SUMIFS('[2]BESS 11'!Q:Q,'[2]BESS 11'!$B:$B,$J34)</f>
        <v>7701</v>
      </c>
      <c r="M34" s="2">
        <f t="shared" si="3"/>
        <v>0</v>
      </c>
      <c r="N34" s="63" t="s">
        <v>122</v>
      </c>
      <c r="O34" s="424" t="str">
        <f t="shared" si="4"/>
        <v xml:space="preserve"> </v>
      </c>
      <c r="P34" s="58" t="s">
        <v>25</v>
      </c>
      <c r="Q34" s="96">
        <v>800</v>
      </c>
      <c r="R34" s="93">
        <v>10</v>
      </c>
      <c r="S34" s="94">
        <f t="shared" si="5"/>
        <v>0</v>
      </c>
      <c r="T34" s="317"/>
      <c r="W34" s="109" t="s">
        <v>212</v>
      </c>
      <c r="X34" s="66">
        <v>2</v>
      </c>
      <c r="Y34" s="101"/>
      <c r="Z34" s="60"/>
    </row>
    <row r="35" spans="2:26">
      <c r="B35" s="550"/>
      <c r="C35" s="551"/>
      <c r="D35" s="551"/>
      <c r="E35" s="551"/>
      <c r="F35" s="551"/>
      <c r="G35" s="551"/>
      <c r="H35" s="552"/>
      <c r="I35" s="314">
        <f t="shared" si="6"/>
        <v>4.2899999999999956</v>
      </c>
      <c r="J35" s="57" t="s">
        <v>131</v>
      </c>
      <c r="K35" s="2">
        <f>SUMIFS('[2]BESS 11'!P:P,'[2]BESS 11'!$B:$B,$J35)</f>
        <v>13198</v>
      </c>
      <c r="L35" s="2">
        <f>SUMIFS('[2]BESS 11'!Q:Q,'[2]BESS 11'!$B:$B,$J35)</f>
        <v>13198</v>
      </c>
      <c r="M35" s="2">
        <f t="shared" si="3"/>
        <v>0</v>
      </c>
      <c r="N35" s="63" t="s">
        <v>122</v>
      </c>
      <c r="O35" s="424" t="str">
        <f t="shared" si="4"/>
        <v xml:space="preserve"> </v>
      </c>
      <c r="P35" s="58" t="s">
        <v>25</v>
      </c>
      <c r="Q35" s="96">
        <v>1000</v>
      </c>
      <c r="R35" s="93">
        <v>10</v>
      </c>
      <c r="S35" s="94">
        <f t="shared" si="5"/>
        <v>0</v>
      </c>
      <c r="T35" s="317"/>
      <c r="W35" s="109" t="s">
        <v>213</v>
      </c>
      <c r="X35" s="66">
        <v>3</v>
      </c>
      <c r="Y35" s="101">
        <v>2</v>
      </c>
      <c r="Z35" s="60"/>
    </row>
    <row r="36" spans="2:26">
      <c r="B36" s="550"/>
      <c r="C36" s="551"/>
      <c r="D36" s="551"/>
      <c r="E36" s="551"/>
      <c r="F36" s="551"/>
      <c r="G36" s="551"/>
      <c r="H36" s="552"/>
      <c r="I36" s="314">
        <f t="shared" si="6"/>
        <v>4.2999999999999954</v>
      </c>
      <c r="J36" s="57" t="s">
        <v>132</v>
      </c>
      <c r="K36" s="2">
        <f>SUMIFS('[2]BESS 11'!P:P,'[2]BESS 11'!$B:$B,$J36)</f>
        <v>5175</v>
      </c>
      <c r="L36" s="2">
        <f>SUMIFS('[2]BESS 11'!Q:Q,'[2]BESS 11'!$B:$B,$J36)</f>
        <v>5175</v>
      </c>
      <c r="M36" s="2">
        <f t="shared" si="3"/>
        <v>0</v>
      </c>
      <c r="N36" s="63" t="s">
        <v>122</v>
      </c>
      <c r="O36" s="424" t="str">
        <f t="shared" si="4"/>
        <v xml:space="preserve"> </v>
      </c>
      <c r="P36" s="58" t="s">
        <v>25</v>
      </c>
      <c r="Q36" s="96">
        <v>600</v>
      </c>
      <c r="R36" s="93">
        <v>10</v>
      </c>
      <c r="S36" s="94">
        <f t="shared" si="5"/>
        <v>0</v>
      </c>
      <c r="T36" s="317"/>
      <c r="W36" s="109" t="s">
        <v>214</v>
      </c>
      <c r="X36" s="66">
        <v>2</v>
      </c>
      <c r="Y36" s="101"/>
      <c r="Z36" s="60"/>
    </row>
    <row r="37" spans="2:26">
      <c r="B37" s="550"/>
      <c r="C37" s="551"/>
      <c r="D37" s="551"/>
      <c r="E37" s="551"/>
      <c r="F37" s="551"/>
      <c r="G37" s="551"/>
      <c r="H37" s="552"/>
      <c r="I37" s="314">
        <f t="shared" si="6"/>
        <v>4.3099999999999952</v>
      </c>
      <c r="J37" s="57" t="s">
        <v>133</v>
      </c>
      <c r="K37" s="2">
        <f>SUMIFS('[2]BESS 11'!P:P,'[2]BESS 11'!$B:$B,$J37)</f>
        <v>284</v>
      </c>
      <c r="L37" s="2">
        <f>SUMIFS('[2]BESS 11'!Q:Q,'[2]BESS 11'!$B:$B,$J37)</f>
        <v>284</v>
      </c>
      <c r="M37" s="2">
        <f t="shared" si="3"/>
        <v>0</v>
      </c>
      <c r="N37" s="63" t="s">
        <v>122</v>
      </c>
      <c r="O37" s="424" t="str">
        <f t="shared" si="4"/>
        <v xml:space="preserve"> </v>
      </c>
      <c r="P37" s="58" t="s">
        <v>25</v>
      </c>
      <c r="Q37" s="96">
        <v>30</v>
      </c>
      <c r="R37" s="93">
        <v>6</v>
      </c>
      <c r="S37" s="94">
        <f t="shared" si="5"/>
        <v>0</v>
      </c>
      <c r="T37" s="317"/>
      <c r="W37" s="260"/>
      <c r="X37" s="102"/>
      <c r="Y37" s="101"/>
      <c r="Z37" s="60"/>
    </row>
    <row r="38" spans="2:26">
      <c r="B38" s="550"/>
      <c r="C38" s="551"/>
      <c r="D38" s="551"/>
      <c r="E38" s="551"/>
      <c r="F38" s="551"/>
      <c r="G38" s="551"/>
      <c r="H38" s="552"/>
      <c r="I38" s="314">
        <f t="shared" si="6"/>
        <v>4.319999999999995</v>
      </c>
      <c r="J38" s="57" t="s">
        <v>134</v>
      </c>
      <c r="K38" s="2">
        <f>SUMIFS('[2]BESS 11'!P:P,'[2]BESS 11'!$B:$B,$J38)</f>
        <v>504</v>
      </c>
      <c r="L38" s="2">
        <f>SUMIFS('[2]BESS 11'!Q:Q,'[2]BESS 11'!$B:$B,$J38)</f>
        <v>504</v>
      </c>
      <c r="M38" s="2">
        <f t="shared" si="3"/>
        <v>0</v>
      </c>
      <c r="N38" s="63" t="s">
        <v>122</v>
      </c>
      <c r="O38" s="429" t="str">
        <f t="shared" si="4"/>
        <v xml:space="preserve"> </v>
      </c>
      <c r="P38" s="58" t="s">
        <v>443</v>
      </c>
      <c r="Q38" s="96">
        <v>30</v>
      </c>
      <c r="R38" s="93">
        <v>4</v>
      </c>
      <c r="S38" s="94">
        <f t="shared" si="5"/>
        <v>0</v>
      </c>
      <c r="T38" s="317"/>
      <c r="W38" s="112" t="s">
        <v>216</v>
      </c>
      <c r="X38" s="102"/>
      <c r="Y38" s="101"/>
      <c r="Z38" s="60"/>
    </row>
    <row r="39" spans="2:26" ht="25.5">
      <c r="B39" s="550"/>
      <c r="C39" s="551"/>
      <c r="D39" s="551"/>
      <c r="E39" s="551"/>
      <c r="F39" s="551"/>
      <c r="G39" s="551"/>
      <c r="H39" s="552"/>
      <c r="I39" s="314">
        <f t="shared" si="6"/>
        <v>4.3299999999999947</v>
      </c>
      <c r="J39" s="57" t="s">
        <v>136</v>
      </c>
      <c r="K39" s="2">
        <f>SUMIFS('[2]BESS 11'!P:P,'[2]BESS 11'!$B:$B,$J39)</f>
        <v>380</v>
      </c>
      <c r="L39" s="2">
        <f>SUMIFS('[2]BESS 11'!Q:Q,'[2]BESS 11'!$B:$B,$J39)</f>
        <v>380</v>
      </c>
      <c r="M39" s="2">
        <f t="shared" si="3"/>
        <v>0</v>
      </c>
      <c r="N39" s="63" t="s">
        <v>122</v>
      </c>
      <c r="O39" s="429" t="str">
        <f t="shared" si="4"/>
        <v xml:space="preserve"> </v>
      </c>
      <c r="P39" s="58" t="s">
        <v>443</v>
      </c>
      <c r="Q39" s="96" t="s">
        <v>89</v>
      </c>
      <c r="R39" s="93" t="s">
        <v>89</v>
      </c>
      <c r="S39" s="94" t="s">
        <v>89</v>
      </c>
      <c r="T39" s="317"/>
      <c r="U39" t="e">
        <f ca="1">O39-$T$1</f>
        <v>#VALUE!</v>
      </c>
      <c r="V39" s="97">
        <f>SUM(S18:S49)</f>
        <v>4.0000000000145518E-3</v>
      </c>
      <c r="W39" s="109" t="s">
        <v>191</v>
      </c>
      <c r="X39" s="66">
        <v>60</v>
      </c>
      <c r="Y39" s="101"/>
      <c r="Z39" s="60"/>
    </row>
    <row r="40" spans="2:26">
      <c r="B40" s="550"/>
      <c r="C40" s="551"/>
      <c r="D40" s="551"/>
      <c r="E40" s="551"/>
      <c r="F40" s="551"/>
      <c r="G40" s="551"/>
      <c r="H40" s="552"/>
      <c r="I40" s="314">
        <f t="shared" si="6"/>
        <v>4.3399999999999945</v>
      </c>
      <c r="J40" s="57" t="s">
        <v>137</v>
      </c>
      <c r="K40" s="2">
        <f>SUMIFS('[2]BESS 11'!P:P,'[2]BESS 11'!$B:$B,$J40)</f>
        <v>6</v>
      </c>
      <c r="L40" s="2">
        <f>SUMIFS('[2]BESS 11'!Q:Q,'[2]BESS 11'!$B:$B,$J40)</f>
        <v>6</v>
      </c>
      <c r="M40" s="2">
        <f t="shared" si="3"/>
        <v>0</v>
      </c>
      <c r="N40" s="63" t="s">
        <v>122</v>
      </c>
      <c r="O40" s="424" t="str">
        <f t="shared" si="4"/>
        <v xml:space="preserve"> </v>
      </c>
      <c r="P40" s="357" t="s">
        <v>138</v>
      </c>
      <c r="Q40" s="96" t="s">
        <v>89</v>
      </c>
      <c r="R40" s="93" t="s">
        <v>89</v>
      </c>
      <c r="S40" s="94" t="s">
        <v>89</v>
      </c>
      <c r="T40" s="317"/>
      <c r="W40" s="109" t="s">
        <v>217</v>
      </c>
      <c r="X40" s="102">
        <v>10</v>
      </c>
      <c r="Y40" s="101"/>
    </row>
    <row r="41" spans="2:26">
      <c r="B41" s="550"/>
      <c r="C41" s="551"/>
      <c r="D41" s="551"/>
      <c r="E41" s="551"/>
      <c r="F41" s="551"/>
      <c r="G41" s="551"/>
      <c r="H41" s="552"/>
      <c r="I41" s="314">
        <f t="shared" si="6"/>
        <v>4.3499999999999943</v>
      </c>
      <c r="J41" s="57" t="s">
        <v>139</v>
      </c>
      <c r="K41" s="2">
        <f>SUMIFS('[2]BESS 11'!P:P,'[2]BESS 11'!$B:$B,$J41)</f>
        <v>6</v>
      </c>
      <c r="L41" s="2">
        <f>SUMIFS('[2]BESS 11'!Q:Q,'[2]BESS 11'!$B:$B,$J41)</f>
        <v>6</v>
      </c>
      <c r="M41" s="2">
        <f t="shared" si="3"/>
        <v>0</v>
      </c>
      <c r="N41" s="63" t="s">
        <v>122</v>
      </c>
      <c r="O41" s="424" t="str">
        <f t="shared" si="4"/>
        <v xml:space="preserve"> </v>
      </c>
      <c r="P41" s="58" t="s">
        <v>25</v>
      </c>
      <c r="Q41" s="264">
        <v>2</v>
      </c>
      <c r="R41" s="35">
        <v>8</v>
      </c>
      <c r="S41" s="94">
        <f t="shared" ref="S41:S49" si="7">(M41*R41)/Q41</f>
        <v>0</v>
      </c>
      <c r="T41" s="304"/>
      <c r="W41" s="109" t="s">
        <v>218</v>
      </c>
      <c r="X41" s="102">
        <v>10</v>
      </c>
      <c r="Y41" s="165"/>
    </row>
    <row r="42" spans="2:26" ht="25.5">
      <c r="B42" s="550"/>
      <c r="C42" s="551"/>
      <c r="D42" s="551"/>
      <c r="E42" s="551"/>
      <c r="F42" s="551"/>
      <c r="G42" s="551"/>
      <c r="H42" s="552"/>
      <c r="I42" s="314">
        <f t="shared" si="6"/>
        <v>4.3599999999999941</v>
      </c>
      <c r="J42" s="57" t="s">
        <v>140</v>
      </c>
      <c r="K42" s="2">
        <f>SUMIFS('[2]BESS 11'!P:P,'[2]BESS 11'!$B:$B,$J42)</f>
        <v>6</v>
      </c>
      <c r="L42" s="2">
        <f>SUMIFS('[2]BESS 11'!Q:Q,'[2]BESS 11'!$B:$B,$J42)</f>
        <v>6</v>
      </c>
      <c r="M42" s="2">
        <f t="shared" si="3"/>
        <v>0</v>
      </c>
      <c r="N42" s="63" t="s">
        <v>122</v>
      </c>
      <c r="O42" s="429" t="str">
        <f t="shared" si="4"/>
        <v xml:space="preserve"> </v>
      </c>
      <c r="P42" s="58" t="s">
        <v>164</v>
      </c>
      <c r="Q42" s="96">
        <v>2</v>
      </c>
      <c r="R42" s="93">
        <v>4</v>
      </c>
      <c r="S42" s="94">
        <f t="shared" si="7"/>
        <v>0</v>
      </c>
      <c r="T42" s="317"/>
      <c r="U42" t="e">
        <f ca="1">O42-$T$1</f>
        <v>#VALUE!</v>
      </c>
      <c r="V42" s="97">
        <f>SUM(S18:S49)</f>
        <v>4.0000000000145518E-3</v>
      </c>
      <c r="W42" s="109" t="s">
        <v>223</v>
      </c>
      <c r="X42" s="102">
        <v>10</v>
      </c>
      <c r="Y42" s="101"/>
    </row>
    <row r="43" spans="2:26" ht="25.5">
      <c r="B43" s="550"/>
      <c r="C43" s="551"/>
      <c r="D43" s="551"/>
      <c r="E43" s="551"/>
      <c r="F43" s="551"/>
      <c r="G43" s="551"/>
      <c r="H43" s="552"/>
      <c r="I43" s="314">
        <f t="shared" si="6"/>
        <v>4.3699999999999939</v>
      </c>
      <c r="J43" s="57" t="s">
        <v>141</v>
      </c>
      <c r="K43" s="2">
        <f>SUMIFS('[2]BESS 11'!P:P,'[2]BESS 11'!$B:$B,$J43)</f>
        <v>12</v>
      </c>
      <c r="L43" s="2">
        <f>SUMIFS('[2]BESS 11'!Q:Q,'[2]BESS 11'!$B:$B,$J43)</f>
        <v>12</v>
      </c>
      <c r="M43" s="2">
        <f t="shared" si="3"/>
        <v>0</v>
      </c>
      <c r="N43" s="63" t="s">
        <v>122</v>
      </c>
      <c r="O43" s="424" t="str">
        <f t="shared" si="4"/>
        <v xml:space="preserve"> </v>
      </c>
      <c r="P43" s="58" t="s">
        <v>25</v>
      </c>
      <c r="Q43" s="96">
        <v>0.5</v>
      </c>
      <c r="R43" s="93">
        <v>4</v>
      </c>
      <c r="S43" s="94">
        <f t="shared" si="7"/>
        <v>0</v>
      </c>
      <c r="T43" s="317"/>
      <c r="X43"/>
    </row>
    <row r="44" spans="2:26">
      <c r="B44" s="550"/>
      <c r="C44" s="551"/>
      <c r="D44" s="551"/>
      <c r="E44" s="551"/>
      <c r="F44" s="551"/>
      <c r="G44" s="551"/>
      <c r="H44" s="552"/>
      <c r="I44" s="59">
        <f t="shared" si="6"/>
        <v>4.3799999999999937</v>
      </c>
      <c r="J44" s="57" t="s">
        <v>142</v>
      </c>
      <c r="K44" s="2">
        <f>SUMIFS('[2]BESS 11'!P:P,'[2]BESS 11'!$B:$B,$J44)</f>
        <v>16</v>
      </c>
      <c r="L44" s="2">
        <f>SUMIFS('[2]BESS 11'!Q:Q,'[2]BESS 11'!$B:$B,$J44)</f>
        <v>16</v>
      </c>
      <c r="M44" s="2">
        <f t="shared" si="3"/>
        <v>0</v>
      </c>
      <c r="N44" s="63" t="s">
        <v>122</v>
      </c>
      <c r="O44" s="424" t="str">
        <f t="shared" si="4"/>
        <v xml:space="preserve"> </v>
      </c>
      <c r="P44" s="58" t="s">
        <v>25</v>
      </c>
      <c r="Q44" s="96">
        <v>6</v>
      </c>
      <c r="R44" s="93">
        <v>4</v>
      </c>
      <c r="S44" s="94">
        <f t="shared" si="7"/>
        <v>0</v>
      </c>
      <c r="T44" s="317"/>
      <c r="X44"/>
    </row>
    <row r="45" spans="2:26">
      <c r="B45" s="550"/>
      <c r="C45" s="551"/>
      <c r="D45" s="551"/>
      <c r="E45" s="551"/>
      <c r="F45" s="551"/>
      <c r="G45" s="551"/>
      <c r="H45" s="552"/>
      <c r="I45" s="59">
        <f t="shared" si="6"/>
        <v>4.3899999999999935</v>
      </c>
      <c r="J45" s="57" t="s">
        <v>143</v>
      </c>
      <c r="K45" s="2">
        <f>SUMIFS('[2]BESS 11'!P:P,'[2]BESS 11'!$B:$B,$J45)</f>
        <v>14</v>
      </c>
      <c r="L45" s="2">
        <f>SUMIFS('[2]BESS 11'!Q:Q,'[2]BESS 11'!$B:$B,$J45)</f>
        <v>14</v>
      </c>
      <c r="M45" s="2">
        <f t="shared" si="3"/>
        <v>0</v>
      </c>
      <c r="N45" s="63" t="s">
        <v>122</v>
      </c>
      <c r="O45" s="424" t="str">
        <f t="shared" si="4"/>
        <v xml:space="preserve"> </v>
      </c>
      <c r="P45" s="58" t="s">
        <v>25</v>
      </c>
      <c r="Q45" s="96">
        <v>6</v>
      </c>
      <c r="R45" s="93">
        <v>5</v>
      </c>
      <c r="S45" s="94">
        <f t="shared" si="7"/>
        <v>0</v>
      </c>
      <c r="T45" s="317"/>
      <c r="X45"/>
    </row>
    <row r="46" spans="2:26">
      <c r="B46" s="550"/>
      <c r="C46" s="551"/>
      <c r="D46" s="551"/>
      <c r="E46" s="551"/>
      <c r="F46" s="551"/>
      <c r="G46" s="551"/>
      <c r="H46" s="552"/>
      <c r="I46" s="59">
        <f t="shared" si="6"/>
        <v>4.3999999999999932</v>
      </c>
      <c r="J46" s="57" t="s">
        <v>144</v>
      </c>
      <c r="K46" s="2">
        <f>SUMIFS('[2]BESS 11'!P:P,'[2]BESS 11'!$B:$B,$J46)</f>
        <v>1</v>
      </c>
      <c r="L46" s="2">
        <f>SUMIFS('[2]BESS 11'!Q:Q,'[2]BESS 11'!$B:$B,$J46)</f>
        <v>1</v>
      </c>
      <c r="M46" s="2">
        <f t="shared" si="3"/>
        <v>0</v>
      </c>
      <c r="N46" s="63" t="s">
        <v>122</v>
      </c>
      <c r="O46" s="424" t="str">
        <f t="shared" si="4"/>
        <v xml:space="preserve"> </v>
      </c>
      <c r="P46" s="58" t="s">
        <v>25</v>
      </c>
      <c r="Q46" s="96">
        <v>1</v>
      </c>
      <c r="R46" s="93">
        <v>5</v>
      </c>
      <c r="S46" s="94">
        <f t="shared" si="7"/>
        <v>0</v>
      </c>
      <c r="T46" s="317"/>
      <c r="X46"/>
    </row>
    <row r="47" spans="2:26">
      <c r="B47" s="550"/>
      <c r="C47" s="551"/>
      <c r="D47" s="551"/>
      <c r="E47" s="551"/>
      <c r="F47" s="551"/>
      <c r="G47" s="551"/>
      <c r="H47" s="552"/>
      <c r="I47" s="59">
        <f t="shared" si="6"/>
        <v>4.409999999999993</v>
      </c>
      <c r="J47" s="57" t="s">
        <v>145</v>
      </c>
      <c r="K47" s="2">
        <f>SUMIFS('[2]BESS 11'!P:P,'[2]BESS 11'!$B:$B,$J47)</f>
        <v>6</v>
      </c>
      <c r="L47" s="2">
        <f>SUMIFS('[2]BESS 11'!Q:Q,'[2]BESS 11'!$B:$B,$J47)</f>
        <v>6</v>
      </c>
      <c r="M47" s="2">
        <f t="shared" si="3"/>
        <v>0</v>
      </c>
      <c r="N47" s="63" t="s">
        <v>122</v>
      </c>
      <c r="O47" s="424" t="str">
        <f t="shared" si="4"/>
        <v xml:space="preserve"> </v>
      </c>
      <c r="P47" s="58" t="s">
        <v>25</v>
      </c>
      <c r="Q47" s="96">
        <v>3</v>
      </c>
      <c r="R47" s="93">
        <v>5</v>
      </c>
      <c r="S47" s="94">
        <f t="shared" si="7"/>
        <v>0</v>
      </c>
      <c r="T47" s="317"/>
      <c r="X47"/>
    </row>
    <row r="48" spans="2:26">
      <c r="B48" s="550"/>
      <c r="C48" s="551"/>
      <c r="D48" s="551"/>
      <c r="E48" s="551"/>
      <c r="F48" s="551"/>
      <c r="G48" s="551"/>
      <c r="H48" s="552"/>
      <c r="I48" s="59">
        <f t="shared" si="6"/>
        <v>4.4199999999999928</v>
      </c>
      <c r="J48" s="57" t="s">
        <v>54</v>
      </c>
      <c r="K48" s="2">
        <f>SUMIFS('[2]BESS 11'!P:P,'[2]BESS 11'!$B:$B,$J48)</f>
        <v>5069.8</v>
      </c>
      <c r="L48" s="2">
        <f>SUMIFS('[2]BESS 11'!Q:Q,'[2]BESS 11'!$B:$B,$J48)</f>
        <v>5069.7</v>
      </c>
      <c r="M48" s="2">
        <f t="shared" si="3"/>
        <v>0.1000000000003638</v>
      </c>
      <c r="N48" s="63" t="s">
        <v>122</v>
      </c>
      <c r="O48" s="424" t="str">
        <f t="shared" si="4"/>
        <v xml:space="preserve"> </v>
      </c>
      <c r="P48" s="58" t="s">
        <v>25</v>
      </c>
      <c r="Q48" s="96">
        <v>150</v>
      </c>
      <c r="R48" s="93">
        <v>6</v>
      </c>
      <c r="S48" s="94">
        <f t="shared" si="7"/>
        <v>4.0000000000145518E-3</v>
      </c>
      <c r="T48" s="317"/>
      <c r="X48"/>
    </row>
    <row r="49" spans="2:26" ht="14.25" thickBot="1">
      <c r="B49" s="550"/>
      <c r="C49" s="551"/>
      <c r="D49" s="551"/>
      <c r="E49" s="551"/>
      <c r="F49" s="551"/>
      <c r="G49" s="551"/>
      <c r="H49" s="552"/>
      <c r="I49" s="416">
        <f t="shared" si="6"/>
        <v>4.4299999999999926</v>
      </c>
      <c r="J49" s="417" t="s">
        <v>55</v>
      </c>
      <c r="K49" s="418">
        <f>SUMIFS('[2]BESS 11'!P:P,'[2]BESS 11'!$B:$B,$J49)</f>
        <v>10</v>
      </c>
      <c r="L49" s="418">
        <f>SUMIFS('[2]BESS 11'!Q:Q,'[2]BESS 11'!$B:$B,$J49)</f>
        <v>10</v>
      </c>
      <c r="M49" s="418">
        <f t="shared" si="3"/>
        <v>0</v>
      </c>
      <c r="N49" s="63" t="s">
        <v>122</v>
      </c>
      <c r="O49" s="345" t="str">
        <f t="shared" si="4"/>
        <v xml:space="preserve"> </v>
      </c>
      <c r="P49" s="419" t="s">
        <v>25</v>
      </c>
      <c r="Q49" s="420">
        <v>5</v>
      </c>
      <c r="R49" s="421">
        <v>6</v>
      </c>
      <c r="S49" s="415">
        <f t="shared" si="7"/>
        <v>0</v>
      </c>
      <c r="T49" s="317" t="s">
        <v>706</v>
      </c>
      <c r="X49"/>
      <c r="Z49" s="60"/>
    </row>
    <row r="50" spans="2:26">
      <c r="B50" s="553" t="s">
        <v>17</v>
      </c>
      <c r="C50" s="556">
        <v>3</v>
      </c>
      <c r="D50" s="558" t="s">
        <v>249</v>
      </c>
      <c r="E50" s="561" t="s">
        <v>120</v>
      </c>
      <c r="F50" s="564" t="s">
        <v>739</v>
      </c>
      <c r="G50" s="564" t="s">
        <v>740</v>
      </c>
      <c r="H50" s="564" t="s">
        <v>741</v>
      </c>
      <c r="I50" s="363"/>
      <c r="J50" s="364"/>
      <c r="K50" s="365"/>
      <c r="L50" s="366" t="s">
        <v>121</v>
      </c>
      <c r="M50" s="364"/>
      <c r="N50" s="365"/>
      <c r="O50" s="431"/>
      <c r="P50" s="320"/>
      <c r="Q50" s="268"/>
      <c r="R50" s="269"/>
      <c r="S50" s="270"/>
      <c r="T50" s="368"/>
      <c r="X50"/>
    </row>
    <row r="51" spans="2:26" ht="25.5">
      <c r="B51" s="554"/>
      <c r="C51" s="466"/>
      <c r="D51" s="559"/>
      <c r="E51" s="518"/>
      <c r="F51" s="521"/>
      <c r="G51" s="521"/>
      <c r="H51" s="521"/>
      <c r="I51" s="56">
        <v>3.1</v>
      </c>
      <c r="J51" s="57" t="s">
        <v>19</v>
      </c>
      <c r="K51" s="2">
        <f>SUMIFS('[2]BESS 11'!L:L,'[2]BESS 11'!$B:$B,$J51)</f>
        <v>48</v>
      </c>
      <c r="L51" s="2">
        <f>SUMIFS('[2]BESS 11'!M:M,'[2]BESS 11'!$B:$B,$J51)</f>
        <v>48</v>
      </c>
      <c r="M51" s="2">
        <f t="shared" ref="M51:M62" si="8">K51-L51</f>
        <v>0</v>
      </c>
      <c r="N51" s="63" t="s">
        <v>122</v>
      </c>
      <c r="O51" s="424" t="str">
        <f t="shared" ref="O51:O62" si="9">IF(LEN(N51)=5,N51,(IF(N51="Completed"," ",DATEVALUE(RIGHT(N51,6)))))</f>
        <v xml:space="preserve"> </v>
      </c>
      <c r="P51" s="58" t="s">
        <v>20</v>
      </c>
      <c r="Q51" s="96">
        <v>1</v>
      </c>
      <c r="R51" s="93">
        <v>2</v>
      </c>
      <c r="S51" s="94">
        <f t="shared" ref="S51:S61" si="10">(M51*R51)/Q51</f>
        <v>0</v>
      </c>
      <c r="T51" s="307"/>
      <c r="X51"/>
    </row>
    <row r="52" spans="2:26">
      <c r="B52" s="554"/>
      <c r="C52" s="466"/>
      <c r="D52" s="559"/>
      <c r="E52" s="518"/>
      <c r="F52" s="521"/>
      <c r="G52" s="521"/>
      <c r="H52" s="521"/>
      <c r="I52" s="56">
        <v>3.2</v>
      </c>
      <c r="J52" s="57" t="s">
        <v>23</v>
      </c>
      <c r="K52" s="2">
        <f>SUMIFS('[2]BESS 11'!L:L,'[2]BESS 11'!$B:$B,$J52)</f>
        <v>6</v>
      </c>
      <c r="L52" s="2">
        <f>SUMIFS('[2]BESS 11'!M:M,'[2]BESS 11'!$B:$B,$J52)</f>
        <v>6</v>
      </c>
      <c r="M52" s="2">
        <f t="shared" si="8"/>
        <v>0</v>
      </c>
      <c r="N52" s="63" t="s">
        <v>122</v>
      </c>
      <c r="O52" s="424" t="str">
        <f t="shared" si="9"/>
        <v xml:space="preserve"> </v>
      </c>
      <c r="P52" s="58" t="s">
        <v>20</v>
      </c>
      <c r="Q52" s="96">
        <v>1</v>
      </c>
      <c r="R52" s="93">
        <v>16</v>
      </c>
      <c r="S52" s="94">
        <f t="shared" si="10"/>
        <v>0</v>
      </c>
      <c r="T52" s="307"/>
      <c r="X52"/>
    </row>
    <row r="53" spans="2:26">
      <c r="B53" s="554"/>
      <c r="C53" s="466"/>
      <c r="D53" s="559"/>
      <c r="E53" s="518"/>
      <c r="F53" s="521"/>
      <c r="G53" s="521"/>
      <c r="H53" s="521"/>
      <c r="I53" s="56">
        <v>3.3000000000000003</v>
      </c>
      <c r="J53" s="57" t="s">
        <v>26</v>
      </c>
      <c r="K53" s="2">
        <f>SUMIFS('[2]BESS 11'!L:L,'[2]BESS 11'!$B:$B,$J53)</f>
        <v>6</v>
      </c>
      <c r="L53" s="2">
        <f>SUMIFS('[2]BESS 11'!M:M,'[2]BESS 11'!$B:$B,$J53)</f>
        <v>6</v>
      </c>
      <c r="M53" s="2">
        <f t="shared" si="8"/>
        <v>0</v>
      </c>
      <c r="N53" s="63" t="s">
        <v>122</v>
      </c>
      <c r="O53" s="424" t="str">
        <f t="shared" si="9"/>
        <v xml:space="preserve"> </v>
      </c>
      <c r="P53" s="58" t="s">
        <v>20</v>
      </c>
      <c r="Q53" s="96">
        <v>1</v>
      </c>
      <c r="R53" s="93">
        <v>39</v>
      </c>
      <c r="S53" s="94">
        <f t="shared" si="10"/>
        <v>0</v>
      </c>
      <c r="T53" s="582"/>
      <c r="X53"/>
    </row>
    <row r="54" spans="2:26">
      <c r="B54" s="554"/>
      <c r="C54" s="466"/>
      <c r="D54" s="559"/>
      <c r="E54" s="518"/>
      <c r="F54" s="521"/>
      <c r="G54" s="521"/>
      <c r="H54" s="521"/>
      <c r="I54" s="56">
        <v>3.4000000000000004</v>
      </c>
      <c r="J54" s="57" t="s">
        <v>32</v>
      </c>
      <c r="K54" s="2">
        <f>SUMIFS('[2]BESS 11'!L:L,'[2]BESS 11'!$B:$B,$J54)</f>
        <v>1</v>
      </c>
      <c r="L54" s="2">
        <f>SUMIFS('[2]BESS 11'!M:M,'[2]BESS 11'!$B:$B,$J54)</f>
        <v>1</v>
      </c>
      <c r="M54" s="2">
        <f t="shared" si="8"/>
        <v>0</v>
      </c>
      <c r="N54" s="63" t="s">
        <v>122</v>
      </c>
      <c r="O54" s="424" t="str">
        <f t="shared" si="9"/>
        <v xml:space="preserve"> </v>
      </c>
      <c r="P54" s="58" t="s">
        <v>20</v>
      </c>
      <c r="Q54" s="96">
        <v>1</v>
      </c>
      <c r="R54" s="93">
        <v>37</v>
      </c>
      <c r="S54" s="94">
        <f t="shared" si="10"/>
        <v>0</v>
      </c>
      <c r="T54" s="582"/>
      <c r="X54"/>
    </row>
    <row r="55" spans="2:26">
      <c r="B55" s="554"/>
      <c r="C55" s="466"/>
      <c r="D55" s="559"/>
      <c r="E55" s="518"/>
      <c r="F55" s="521"/>
      <c r="G55" s="521"/>
      <c r="H55" s="521"/>
      <c r="I55" s="56">
        <v>3.5000000000000004</v>
      </c>
      <c r="J55" s="57" t="s">
        <v>35</v>
      </c>
      <c r="K55" s="2">
        <f>SUMIFS('[2]BESS 11'!L:L,'[2]BESS 11'!$B:$B,$J55)</f>
        <v>1</v>
      </c>
      <c r="L55" s="2">
        <f>SUMIFS('[2]BESS 11'!M:M,'[2]BESS 11'!$B:$B,$J55)</f>
        <v>1</v>
      </c>
      <c r="M55" s="2">
        <f t="shared" si="8"/>
        <v>0</v>
      </c>
      <c r="N55" s="63" t="s">
        <v>122</v>
      </c>
      <c r="O55" s="424" t="str">
        <f t="shared" si="9"/>
        <v xml:space="preserve"> </v>
      </c>
      <c r="P55" s="58" t="s">
        <v>20</v>
      </c>
      <c r="Q55" s="96">
        <v>1</v>
      </c>
      <c r="R55" s="93">
        <v>34</v>
      </c>
      <c r="S55" s="94">
        <f t="shared" si="10"/>
        <v>0</v>
      </c>
      <c r="T55" s="582"/>
      <c r="X55"/>
    </row>
    <row r="56" spans="2:26">
      <c r="B56" s="554"/>
      <c r="C56" s="466"/>
      <c r="D56" s="559"/>
      <c r="E56" s="518"/>
      <c r="F56" s="521"/>
      <c r="G56" s="521"/>
      <c r="H56" s="521"/>
      <c r="I56" s="56">
        <v>3.6000000000000005</v>
      </c>
      <c r="J56" s="57" t="s">
        <v>38</v>
      </c>
      <c r="K56" s="2">
        <f>SUMIFS('[2]BESS 11'!L:L,'[2]BESS 11'!$B:$B,$J56)</f>
        <v>1</v>
      </c>
      <c r="L56" s="2">
        <f>SUMIFS('[2]BESS 11'!M:M,'[2]BESS 11'!$B:$B,$J56)</f>
        <v>1</v>
      </c>
      <c r="M56" s="2">
        <f t="shared" si="8"/>
        <v>0</v>
      </c>
      <c r="N56" s="63" t="s">
        <v>122</v>
      </c>
      <c r="O56" s="424" t="str">
        <f t="shared" si="9"/>
        <v xml:space="preserve"> </v>
      </c>
      <c r="P56" s="58" t="s">
        <v>20</v>
      </c>
      <c r="Q56" s="96">
        <v>1</v>
      </c>
      <c r="R56" s="93">
        <v>54</v>
      </c>
      <c r="S56" s="94">
        <f t="shared" si="10"/>
        <v>0</v>
      </c>
      <c r="T56" s="582"/>
      <c r="X56"/>
    </row>
    <row r="57" spans="2:26">
      <c r="B57" s="554"/>
      <c r="C57" s="466"/>
      <c r="D57" s="559"/>
      <c r="E57" s="518"/>
      <c r="F57" s="521"/>
      <c r="G57" s="521"/>
      <c r="H57" s="521"/>
      <c r="I57" s="56">
        <v>3.7000000000000006</v>
      </c>
      <c r="J57" s="57" t="s">
        <v>46</v>
      </c>
      <c r="K57" s="2">
        <f>SUMIFS('[2]BESS 11'!L:L,'[2]BESS 11'!$B:$B,$J57)</f>
        <v>2</v>
      </c>
      <c r="L57" s="2">
        <f>SUMIFS('[2]BESS 11'!M:M,'[2]BESS 11'!$B:$B,$J57)</f>
        <v>2</v>
      </c>
      <c r="M57" s="2">
        <f t="shared" si="8"/>
        <v>0</v>
      </c>
      <c r="N57" s="63" t="s">
        <v>122</v>
      </c>
      <c r="O57" s="424" t="str">
        <f t="shared" si="9"/>
        <v xml:space="preserve"> </v>
      </c>
      <c r="P57" s="58" t="s">
        <v>20</v>
      </c>
      <c r="Q57" s="96">
        <v>1</v>
      </c>
      <c r="R57" s="93">
        <v>5</v>
      </c>
      <c r="S57" s="94">
        <f t="shared" si="10"/>
        <v>0</v>
      </c>
      <c r="T57" s="582"/>
      <c r="X57"/>
    </row>
    <row r="58" spans="2:26">
      <c r="B58" s="554"/>
      <c r="C58" s="466"/>
      <c r="D58" s="559"/>
      <c r="E58" s="518"/>
      <c r="F58" s="521"/>
      <c r="G58" s="521"/>
      <c r="H58" s="521"/>
      <c r="I58" s="56">
        <v>3.8000000000000007</v>
      </c>
      <c r="J58" s="57" t="s">
        <v>44</v>
      </c>
      <c r="K58" s="2">
        <f>SUMIFS('[2]BESS 11'!L:L,'[2]BESS 11'!$B:$B,$J58)</f>
        <v>1</v>
      </c>
      <c r="L58" s="2">
        <f>SUMIFS('[2]BESS 11'!M:M,'[2]BESS 11'!$B:$B,$J58)</f>
        <v>1</v>
      </c>
      <c r="M58" s="2">
        <f t="shared" si="8"/>
        <v>0</v>
      </c>
      <c r="N58" s="63" t="s">
        <v>122</v>
      </c>
      <c r="O58" s="424" t="str">
        <f t="shared" si="9"/>
        <v xml:space="preserve"> </v>
      </c>
      <c r="P58" s="58" t="s">
        <v>45</v>
      </c>
      <c r="Q58" s="96">
        <v>3</v>
      </c>
      <c r="R58" s="93">
        <v>5</v>
      </c>
      <c r="S58" s="94">
        <f t="shared" si="10"/>
        <v>0</v>
      </c>
      <c r="T58" s="582"/>
      <c r="X58"/>
    </row>
    <row r="59" spans="2:26">
      <c r="B59" s="554"/>
      <c r="C59" s="466"/>
      <c r="D59" s="559"/>
      <c r="E59" s="518"/>
      <c r="F59" s="521"/>
      <c r="G59" s="521"/>
      <c r="H59" s="521"/>
      <c r="I59" s="56">
        <v>3.9000000000000008</v>
      </c>
      <c r="J59" s="57" t="s">
        <v>40</v>
      </c>
      <c r="K59" s="2">
        <f>SUMIFS('[2]BESS 11'!L:L,'[2]BESS 11'!$B:$B,$J59)</f>
        <v>6</v>
      </c>
      <c r="L59" s="2">
        <f>SUMIFS('[2]BESS 11'!M:M,'[2]BESS 11'!$B:$B,$J59)</f>
        <v>6</v>
      </c>
      <c r="M59" s="2">
        <f t="shared" si="8"/>
        <v>0</v>
      </c>
      <c r="N59" s="297" t="s">
        <v>122</v>
      </c>
      <c r="O59" s="424" t="str">
        <f t="shared" si="9"/>
        <v xml:space="preserve"> </v>
      </c>
      <c r="P59" s="58" t="s">
        <v>20</v>
      </c>
      <c r="Q59" s="96">
        <v>1</v>
      </c>
      <c r="R59" s="93">
        <v>5</v>
      </c>
      <c r="S59" s="94">
        <f t="shared" si="10"/>
        <v>0</v>
      </c>
      <c r="T59" s="582"/>
      <c r="X59"/>
    </row>
    <row r="60" spans="2:26">
      <c r="B60" s="554"/>
      <c r="C60" s="466"/>
      <c r="D60" s="559"/>
      <c r="E60" s="518"/>
      <c r="F60" s="521"/>
      <c r="G60" s="521"/>
      <c r="H60" s="521"/>
      <c r="I60" s="59">
        <v>3.1</v>
      </c>
      <c r="J60" s="57" t="s">
        <v>30</v>
      </c>
      <c r="K60" s="2">
        <f>SUMIFS('[2]BESS 11'!L:L,'[2]BESS 11'!$B:$B,$J60)</f>
        <v>6</v>
      </c>
      <c r="L60" s="2">
        <f>SUMIFS('[2]BESS 11'!M:M,'[2]BESS 11'!$B:$B,$J60)</f>
        <v>6</v>
      </c>
      <c r="M60" s="2">
        <f t="shared" si="8"/>
        <v>0</v>
      </c>
      <c r="N60" s="63" t="s">
        <v>122</v>
      </c>
      <c r="O60" s="424" t="str">
        <f t="shared" si="9"/>
        <v xml:space="preserve"> </v>
      </c>
      <c r="P60" s="58" t="s">
        <v>31</v>
      </c>
      <c r="Q60" s="96">
        <v>1</v>
      </c>
      <c r="R60" s="93">
        <v>27</v>
      </c>
      <c r="S60" s="94">
        <f t="shared" si="10"/>
        <v>0</v>
      </c>
      <c r="T60" s="307"/>
      <c r="X60"/>
    </row>
    <row r="61" spans="2:26">
      <c r="B61" s="554"/>
      <c r="C61" s="466"/>
      <c r="D61" s="559"/>
      <c r="E61" s="518"/>
      <c r="F61" s="521"/>
      <c r="G61" s="521"/>
      <c r="H61" s="521"/>
      <c r="I61" s="56">
        <v>3.11</v>
      </c>
      <c r="J61" s="57" t="s">
        <v>34</v>
      </c>
      <c r="K61" s="2">
        <f>SUMIFS('[2]BESS 11'!L:L,'[2]BESS 11'!$B:$B,$J61)</f>
        <v>1</v>
      </c>
      <c r="L61" s="2">
        <f>SUMIFS('[2]BESS 11'!M:M,'[2]BESS 11'!$B:$B,$J61)</f>
        <v>1</v>
      </c>
      <c r="M61" s="2">
        <f t="shared" si="8"/>
        <v>0</v>
      </c>
      <c r="N61" s="63" t="s">
        <v>122</v>
      </c>
      <c r="O61" s="424" t="str">
        <f t="shared" si="9"/>
        <v xml:space="preserve"> </v>
      </c>
      <c r="P61" s="58" t="s">
        <v>31</v>
      </c>
      <c r="Q61" s="96">
        <v>1</v>
      </c>
      <c r="R61" s="93">
        <v>25</v>
      </c>
      <c r="S61" s="94">
        <f t="shared" si="10"/>
        <v>0</v>
      </c>
      <c r="T61" s="307"/>
      <c r="X61"/>
    </row>
    <row r="62" spans="2:26">
      <c r="B62" s="554"/>
      <c r="C62" s="466"/>
      <c r="D62" s="559"/>
      <c r="E62" s="518"/>
      <c r="F62" s="521"/>
      <c r="G62" s="521"/>
      <c r="H62" s="521"/>
      <c r="I62" s="59">
        <v>3.1199999999999997</v>
      </c>
      <c r="J62" s="57" t="s">
        <v>37</v>
      </c>
      <c r="K62" s="2">
        <f>SUMIFS('[2]BESS 11'!L:L,'[2]BESS 11'!$B:$B,$J62)</f>
        <v>1</v>
      </c>
      <c r="L62" s="2">
        <f>SUMIFS('[2]BESS 11'!M:M,'[2]BESS 11'!$B:$B,$J62)</f>
        <v>1</v>
      </c>
      <c r="M62" s="2">
        <f t="shared" si="8"/>
        <v>0</v>
      </c>
      <c r="N62" s="63" t="s">
        <v>122</v>
      </c>
      <c r="O62" s="424" t="str">
        <f t="shared" si="9"/>
        <v xml:space="preserve"> </v>
      </c>
      <c r="P62" s="58" t="s">
        <v>123</v>
      </c>
      <c r="Q62" s="96" t="s">
        <v>89</v>
      </c>
      <c r="R62" s="93" t="s">
        <v>89</v>
      </c>
      <c r="S62" s="94" t="s">
        <v>89</v>
      </c>
      <c r="T62" s="309"/>
      <c r="X62"/>
    </row>
    <row r="63" spans="2:26">
      <c r="B63" s="554"/>
      <c r="C63" s="466"/>
      <c r="D63" s="559"/>
      <c r="E63" s="518"/>
      <c r="F63" s="521"/>
      <c r="G63" s="521"/>
      <c r="H63" s="521"/>
      <c r="I63" s="6"/>
      <c r="J63" s="50"/>
      <c r="K63" s="61"/>
      <c r="L63" s="52" t="s">
        <v>124</v>
      </c>
      <c r="M63" s="51"/>
      <c r="N63" s="61"/>
      <c r="O63" s="424"/>
      <c r="P63" s="87"/>
      <c r="Q63" s="96"/>
      <c r="R63" s="93"/>
      <c r="S63" s="94"/>
      <c r="T63" s="307"/>
      <c r="X63"/>
    </row>
    <row r="64" spans="2:26">
      <c r="B64" s="554"/>
      <c r="C64" s="466"/>
      <c r="D64" s="559"/>
      <c r="E64" s="518"/>
      <c r="F64" s="521"/>
      <c r="G64" s="521"/>
      <c r="H64" s="521"/>
      <c r="I64" s="59">
        <v>3.1299999999999994</v>
      </c>
      <c r="J64" s="57" t="s">
        <v>24</v>
      </c>
      <c r="K64" s="2">
        <f>SUMIFS('[2]BESS 11'!L:L,'[2]BESS 11'!$B:$B,$J64)</f>
        <v>6</v>
      </c>
      <c r="L64" s="2">
        <f>SUMIFS('[2]BESS 11'!M:M,'[2]BESS 11'!$B:$B,$J64)</f>
        <v>6</v>
      </c>
      <c r="M64" s="2">
        <f t="shared" ref="M64:M95" si="11">K64-L64</f>
        <v>0</v>
      </c>
      <c r="N64" s="63" t="s">
        <v>122</v>
      </c>
      <c r="O64" s="424" t="str">
        <f t="shared" ref="O64:O95" si="12">IF(LEN(N64)=5,N64,(IF(N64="Completed"," ",DATEVALUE(RIGHT(N64,6)))))</f>
        <v xml:space="preserve"> </v>
      </c>
      <c r="P64" s="58" t="s">
        <v>25</v>
      </c>
      <c r="Q64" s="96">
        <v>2</v>
      </c>
      <c r="R64" s="93">
        <v>4</v>
      </c>
      <c r="S64" s="94">
        <f>(M64*R64)/Q64</f>
        <v>0</v>
      </c>
      <c r="T64" s="307"/>
      <c r="X64"/>
    </row>
    <row r="65" spans="2:26">
      <c r="B65" s="554"/>
      <c r="C65" s="466"/>
      <c r="D65" s="559"/>
      <c r="E65" s="518"/>
      <c r="F65" s="521"/>
      <c r="G65" s="521"/>
      <c r="H65" s="521"/>
      <c r="I65" s="59">
        <v>3.1399999999999992</v>
      </c>
      <c r="J65" s="57" t="s">
        <v>27</v>
      </c>
      <c r="K65" s="2">
        <f>SUMIFS('[2]BESS 11'!L:L,'[2]BESS 11'!$B:$B,$J65)</f>
        <v>48</v>
      </c>
      <c r="L65" s="2">
        <f>SUMIFS('[2]BESS 11'!M:M,'[2]BESS 11'!$B:$B,$J65)</f>
        <v>48</v>
      </c>
      <c r="M65" s="2">
        <f t="shared" si="11"/>
        <v>0</v>
      </c>
      <c r="N65" s="63" t="s">
        <v>122</v>
      </c>
      <c r="O65" s="424" t="str">
        <f t="shared" si="12"/>
        <v xml:space="preserve"> </v>
      </c>
      <c r="P65" s="58" t="s">
        <v>25</v>
      </c>
      <c r="Q65" s="96">
        <v>10</v>
      </c>
      <c r="R65" s="93">
        <v>4</v>
      </c>
      <c r="S65" s="94">
        <f>(M65*R65)/Q65</f>
        <v>0</v>
      </c>
      <c r="T65" s="307"/>
      <c r="X65"/>
    </row>
    <row r="66" spans="2:26">
      <c r="B66" s="554"/>
      <c r="C66" s="466"/>
      <c r="D66" s="559"/>
      <c r="E66" s="518"/>
      <c r="F66" s="521"/>
      <c r="G66" s="521"/>
      <c r="H66" s="521"/>
      <c r="I66" s="56">
        <v>3.149999999999999</v>
      </c>
      <c r="J66" s="57" t="s">
        <v>28</v>
      </c>
      <c r="K66" s="2">
        <f>SUMIFS('[2]BESS 11'!L:L,'[2]BESS 11'!$B:$B,$J66)</f>
        <v>6</v>
      </c>
      <c r="L66" s="2">
        <f>SUMIFS('[2]BESS 11'!M:M,'[2]BESS 11'!$B:$B,$J66)</f>
        <v>6</v>
      </c>
      <c r="M66" s="2">
        <f t="shared" si="11"/>
        <v>0</v>
      </c>
      <c r="N66" s="63" t="s">
        <v>122</v>
      </c>
      <c r="O66" s="424" t="str">
        <f t="shared" si="12"/>
        <v xml:space="preserve"> </v>
      </c>
      <c r="P66" s="58" t="s">
        <v>25</v>
      </c>
      <c r="Q66" s="96">
        <v>5</v>
      </c>
      <c r="R66" s="93">
        <v>4</v>
      </c>
      <c r="S66" s="94">
        <f>(M66*R66)/Q66</f>
        <v>0</v>
      </c>
      <c r="T66" s="307"/>
      <c r="X66"/>
    </row>
    <row r="67" spans="2:26" ht="25.5">
      <c r="B67" s="554"/>
      <c r="C67" s="466"/>
      <c r="D67" s="559"/>
      <c r="E67" s="518"/>
      <c r="F67" s="521"/>
      <c r="G67" s="521"/>
      <c r="H67" s="521"/>
      <c r="I67" s="59">
        <v>3.1599999999999988</v>
      </c>
      <c r="J67" s="57" t="s">
        <v>29</v>
      </c>
      <c r="K67" s="2">
        <f>SUMIFS('[2]BESS 11'!L:L,'[2]BESS 11'!$B:$B,$J67)</f>
        <v>6</v>
      </c>
      <c r="L67" s="2">
        <f>SUMIFS('[2]BESS 11'!M:M,'[2]BESS 11'!$B:$B,$J67)</f>
        <v>6</v>
      </c>
      <c r="M67" s="2">
        <f t="shared" si="11"/>
        <v>0</v>
      </c>
      <c r="N67" s="362" t="s">
        <v>122</v>
      </c>
      <c r="O67" s="424" t="str">
        <f t="shared" si="12"/>
        <v xml:space="preserve"> </v>
      </c>
      <c r="P67" s="58" t="s">
        <v>454</v>
      </c>
      <c r="Q67" s="96">
        <v>20</v>
      </c>
      <c r="R67" s="527">
        <v>4</v>
      </c>
      <c r="S67" s="530">
        <v>4</v>
      </c>
      <c r="T67" s="322"/>
      <c r="X67"/>
      <c r="Z67" s="60"/>
    </row>
    <row r="68" spans="2:26">
      <c r="B68" s="554"/>
      <c r="C68" s="466"/>
      <c r="D68" s="559"/>
      <c r="E68" s="518"/>
      <c r="F68" s="521"/>
      <c r="G68" s="521"/>
      <c r="H68" s="521"/>
      <c r="I68" s="59">
        <v>3.1699999999999986</v>
      </c>
      <c r="J68" s="57" t="s">
        <v>33</v>
      </c>
      <c r="K68" s="2">
        <f>SUMIFS('[2]BESS 11'!L:L,'[2]BESS 11'!$B:$B,$J68)</f>
        <v>2</v>
      </c>
      <c r="L68" s="2">
        <f>SUMIFS('[2]BESS 11'!M:M,'[2]BESS 11'!$B:$B,$J68)</f>
        <v>2</v>
      </c>
      <c r="M68" s="2">
        <f t="shared" si="11"/>
        <v>0</v>
      </c>
      <c r="N68" s="63" t="s">
        <v>122</v>
      </c>
      <c r="O68" s="424" t="str">
        <f t="shared" si="12"/>
        <v xml:space="preserve"> </v>
      </c>
      <c r="P68" s="58" t="s">
        <v>454</v>
      </c>
      <c r="Q68" s="96">
        <v>10</v>
      </c>
      <c r="R68" s="528"/>
      <c r="S68" s="531"/>
      <c r="T68" s="313"/>
      <c r="X68"/>
      <c r="Z68" s="60"/>
    </row>
    <row r="69" spans="2:26" ht="25.5">
      <c r="B69" s="554"/>
      <c r="C69" s="466"/>
      <c r="D69" s="559"/>
      <c r="E69" s="518"/>
      <c r="F69" s="521"/>
      <c r="G69" s="521"/>
      <c r="H69" s="521"/>
      <c r="I69" s="6">
        <v>3.1799999999999984</v>
      </c>
      <c r="J69" s="8" t="s">
        <v>36</v>
      </c>
      <c r="K69" s="1">
        <f>SUMIFS('[2]BESS 11'!L:L,'[2]BESS 11'!$B:$B,$J69)</f>
        <v>1</v>
      </c>
      <c r="L69" s="2">
        <f>SUMIFS('[2]BESS 11'!M:M,'[2]BESS 11'!$B:$B,$J69)</f>
        <v>0</v>
      </c>
      <c r="M69" s="7">
        <f t="shared" si="11"/>
        <v>1</v>
      </c>
      <c r="N69" s="413" t="s">
        <v>710</v>
      </c>
      <c r="O69" s="424">
        <f>IF(LEN(N69)=5,N69,(IF(N69="Completed"," ",DATEVALUE(RIGHT(N69,6)))))</f>
        <v>46233</v>
      </c>
      <c r="P69" s="5" t="s">
        <v>164</v>
      </c>
      <c r="Q69" s="96">
        <v>10</v>
      </c>
      <c r="R69" s="528"/>
      <c r="S69" s="531"/>
      <c r="T69" s="313" t="s">
        <v>711</v>
      </c>
      <c r="X69"/>
      <c r="Z69" s="60"/>
    </row>
    <row r="70" spans="2:26">
      <c r="B70" s="554"/>
      <c r="C70" s="466"/>
      <c r="D70" s="559"/>
      <c r="E70" s="518"/>
      <c r="F70" s="521"/>
      <c r="G70" s="521"/>
      <c r="H70" s="521"/>
      <c r="I70" s="319">
        <v>3.1899999999999982</v>
      </c>
      <c r="J70" s="57" t="s">
        <v>39</v>
      </c>
      <c r="K70" s="2">
        <f>SUMIFS('[2]BESS 11'!L:L,'[2]BESS 11'!$B:$B,$J70)</f>
        <v>1</v>
      </c>
      <c r="L70" s="2">
        <f>SUMIFS('[2]BESS 11'!M:M,'[2]BESS 11'!$B:$B,$J70)</f>
        <v>1</v>
      </c>
      <c r="M70" s="2">
        <f t="shared" si="11"/>
        <v>0</v>
      </c>
      <c r="N70" s="63" t="s">
        <v>122</v>
      </c>
      <c r="O70" s="424" t="str">
        <f t="shared" si="12"/>
        <v xml:space="preserve"> </v>
      </c>
      <c r="P70" s="58" t="s">
        <v>454</v>
      </c>
      <c r="Q70" s="96">
        <v>10</v>
      </c>
      <c r="R70" s="528"/>
      <c r="S70" s="531"/>
      <c r="T70" s="307"/>
      <c r="X70"/>
    </row>
    <row r="71" spans="2:26">
      <c r="B71" s="554"/>
      <c r="C71" s="466"/>
      <c r="D71" s="559"/>
      <c r="E71" s="518"/>
      <c r="F71" s="521"/>
      <c r="G71" s="521"/>
      <c r="H71" s="521"/>
      <c r="I71" s="314">
        <v>3.199999999999998</v>
      </c>
      <c r="J71" s="57" t="s">
        <v>41</v>
      </c>
      <c r="K71" s="2">
        <f>SUMIFS('[2]BESS 11'!L:L,'[2]BESS 11'!$B:$B,$J71)</f>
        <v>6</v>
      </c>
      <c r="L71" s="2">
        <f>SUMIFS('[2]BESS 11'!M:M,'[2]BESS 11'!$B:$B,$J71)</f>
        <v>6</v>
      </c>
      <c r="M71" s="2">
        <f t="shared" si="11"/>
        <v>0</v>
      </c>
      <c r="N71" s="63" t="s">
        <v>122</v>
      </c>
      <c r="O71" s="424" t="str">
        <f t="shared" si="12"/>
        <v xml:space="preserve"> </v>
      </c>
      <c r="P71" s="58" t="s">
        <v>125</v>
      </c>
      <c r="Q71" s="96">
        <v>20</v>
      </c>
      <c r="R71" s="529"/>
      <c r="S71" s="532"/>
      <c r="T71" s="304"/>
      <c r="X71"/>
    </row>
    <row r="72" spans="2:26">
      <c r="B72" s="554"/>
      <c r="C72" s="466"/>
      <c r="D72" s="559"/>
      <c r="E72" s="518"/>
      <c r="F72" s="521"/>
      <c r="G72" s="521"/>
      <c r="H72" s="521"/>
      <c r="I72" s="314">
        <v>3.2099999999999977</v>
      </c>
      <c r="J72" s="57" t="s">
        <v>43</v>
      </c>
      <c r="K72" s="2">
        <f>SUMIFS('[2]BESS 11'!L:L,'[2]BESS 11'!$B:$B,$J72)</f>
        <v>6</v>
      </c>
      <c r="L72" s="2">
        <f>SUMIFS('[2]BESS 11'!M:M,'[2]BESS 11'!$B:$B,$J72)</f>
        <v>6</v>
      </c>
      <c r="M72" s="2">
        <f t="shared" si="11"/>
        <v>0</v>
      </c>
      <c r="N72" s="63" t="s">
        <v>122</v>
      </c>
      <c r="O72" s="424" t="str">
        <f t="shared" si="12"/>
        <v xml:space="preserve"> </v>
      </c>
      <c r="P72" s="58" t="s">
        <v>125</v>
      </c>
      <c r="Q72" s="96">
        <v>0.66666666666666663</v>
      </c>
      <c r="R72" s="93">
        <v>0</v>
      </c>
      <c r="S72" s="94">
        <f t="shared" ref="S72:S84" si="13">(M72*R72)/Q72</f>
        <v>0</v>
      </c>
      <c r="T72" s="304"/>
      <c r="X72"/>
    </row>
    <row r="73" spans="2:26">
      <c r="B73" s="554"/>
      <c r="C73" s="466"/>
      <c r="D73" s="559"/>
      <c r="E73" s="518"/>
      <c r="F73" s="521"/>
      <c r="G73" s="521"/>
      <c r="H73" s="521"/>
      <c r="I73" s="314">
        <v>3.2199999999999975</v>
      </c>
      <c r="J73" s="57" t="s">
        <v>21</v>
      </c>
      <c r="K73" s="2">
        <f>SUMIFS('[2]BESS 11'!L:L,'[2]BESS 11'!$B:$B,$J73)</f>
        <v>48</v>
      </c>
      <c r="L73" s="2">
        <f>SUMIFS('[2]BESS 11'!M:M,'[2]BESS 11'!$B:$B,$J73)</f>
        <v>48</v>
      </c>
      <c r="M73" s="2">
        <f t="shared" si="11"/>
        <v>0</v>
      </c>
      <c r="N73" s="63" t="s">
        <v>122</v>
      </c>
      <c r="O73" s="424" t="str">
        <f t="shared" si="12"/>
        <v xml:space="preserve"> </v>
      </c>
      <c r="P73" s="58" t="s">
        <v>22</v>
      </c>
      <c r="Q73" s="96">
        <v>10</v>
      </c>
      <c r="R73" s="93">
        <v>4</v>
      </c>
      <c r="S73" s="94">
        <f t="shared" si="13"/>
        <v>0</v>
      </c>
      <c r="T73" s="304"/>
      <c r="X73"/>
      <c r="Z73" s="60"/>
    </row>
    <row r="74" spans="2:26">
      <c r="B74" s="554"/>
      <c r="C74" s="466"/>
      <c r="D74" s="559"/>
      <c r="E74" s="518"/>
      <c r="F74" s="521"/>
      <c r="G74" s="521"/>
      <c r="H74" s="521"/>
      <c r="I74" s="314">
        <v>3.2299999999999973</v>
      </c>
      <c r="J74" s="57" t="s">
        <v>47</v>
      </c>
      <c r="K74" s="2">
        <f>SUMIFS('[2]BESS 11'!L:L,'[2]BESS 11'!$B:$B,$J74)</f>
        <v>7650</v>
      </c>
      <c r="L74" s="2">
        <f>SUMIFS('[2]BESS 11'!M:M,'[2]BESS 11'!$B:$B,$J74)</f>
        <v>7650</v>
      </c>
      <c r="M74" s="2">
        <f t="shared" si="11"/>
        <v>0</v>
      </c>
      <c r="N74" s="63" t="s">
        <v>122</v>
      </c>
      <c r="O74" s="424" t="str">
        <f t="shared" si="12"/>
        <v xml:space="preserve"> </v>
      </c>
      <c r="P74" s="58" t="s">
        <v>25</v>
      </c>
      <c r="Q74" s="96">
        <v>1500</v>
      </c>
      <c r="R74" s="93">
        <v>48</v>
      </c>
      <c r="S74" s="94">
        <f t="shared" si="13"/>
        <v>0</v>
      </c>
      <c r="T74" s="304"/>
      <c r="X74"/>
    </row>
    <row r="75" spans="2:26" ht="25.5">
      <c r="B75" s="554"/>
      <c r="C75" s="466"/>
      <c r="D75" s="559"/>
      <c r="E75" s="518"/>
      <c r="F75" s="521"/>
      <c r="G75" s="521"/>
      <c r="H75" s="521"/>
      <c r="I75" s="315">
        <f t="shared" ref="I75:I95" si="14">I74+0.01</f>
        <v>3.2399999999999971</v>
      </c>
      <c r="J75" s="8" t="s">
        <v>48</v>
      </c>
      <c r="K75" s="1">
        <f>SUMIFS('[2]BESS 11'!L:L,'[2]BESS 11'!$B:$B,$J75)</f>
        <v>28</v>
      </c>
      <c r="L75" s="2">
        <f>SUMIFS('[2]BESS 11'!M:M,'[2]BESS 11'!$B:$B,$J75)</f>
        <v>28</v>
      </c>
      <c r="M75" s="7">
        <f t="shared" si="11"/>
        <v>0</v>
      </c>
      <c r="N75" s="413" t="s">
        <v>707</v>
      </c>
      <c r="O75" s="424">
        <f t="shared" si="12"/>
        <v>46238</v>
      </c>
      <c r="P75" s="5" t="s">
        <v>454</v>
      </c>
      <c r="Q75" s="96">
        <v>8</v>
      </c>
      <c r="R75" s="93">
        <v>6</v>
      </c>
      <c r="S75" s="94">
        <f t="shared" si="13"/>
        <v>0</v>
      </c>
      <c r="T75" s="304" t="s">
        <v>698</v>
      </c>
      <c r="X75"/>
      <c r="Z75" s="60"/>
    </row>
    <row r="76" spans="2:26">
      <c r="B76" s="554"/>
      <c r="C76" s="466"/>
      <c r="D76" s="559"/>
      <c r="E76" s="518"/>
      <c r="F76" s="521"/>
      <c r="G76" s="521"/>
      <c r="H76" s="521"/>
      <c r="I76" s="314">
        <f t="shared" si="14"/>
        <v>3.2499999999999969</v>
      </c>
      <c r="J76" s="57" t="s">
        <v>126</v>
      </c>
      <c r="K76" s="2">
        <f>SUMIFS('[2]BESS 11'!L:L,'[2]BESS 11'!$B:$B,$J76)</f>
        <v>13780</v>
      </c>
      <c r="L76" s="2">
        <f>SUMIFS('[2]BESS 11'!M:M,'[2]BESS 11'!$B:$B,$J76)</f>
        <v>13780</v>
      </c>
      <c r="M76" s="2">
        <f t="shared" si="11"/>
        <v>0</v>
      </c>
      <c r="N76" s="63" t="s">
        <v>122</v>
      </c>
      <c r="O76" s="424" t="str">
        <f t="shared" si="12"/>
        <v xml:space="preserve"> </v>
      </c>
      <c r="P76" s="58" t="s">
        <v>25</v>
      </c>
      <c r="Q76" s="96">
        <v>600</v>
      </c>
      <c r="R76" s="93">
        <v>10</v>
      </c>
      <c r="S76" s="94">
        <f t="shared" si="13"/>
        <v>0</v>
      </c>
      <c r="T76" s="304"/>
      <c r="X76"/>
    </row>
    <row r="77" spans="2:26">
      <c r="B77" s="554"/>
      <c r="C77" s="466"/>
      <c r="D77" s="559"/>
      <c r="E77" s="518"/>
      <c r="F77" s="521"/>
      <c r="G77" s="521"/>
      <c r="H77" s="521"/>
      <c r="I77" s="314">
        <f t="shared" si="14"/>
        <v>3.2599999999999967</v>
      </c>
      <c r="J77" s="57" t="s">
        <v>127</v>
      </c>
      <c r="K77" s="2">
        <f>SUMIFS('[2]BESS 11'!L:L,'[2]BESS 11'!$B:$B,$J77)</f>
        <v>45596</v>
      </c>
      <c r="L77" s="2">
        <f>SUMIFS('[2]BESS 11'!M:M,'[2]BESS 11'!$B:$B,$J77)</f>
        <v>45596</v>
      </c>
      <c r="M77" s="2">
        <f t="shared" si="11"/>
        <v>0</v>
      </c>
      <c r="N77" s="63" t="s">
        <v>122</v>
      </c>
      <c r="O77" s="424" t="str">
        <f t="shared" si="12"/>
        <v xml:space="preserve"> </v>
      </c>
      <c r="P77" s="58" t="s">
        <v>25</v>
      </c>
      <c r="Q77" s="96">
        <v>600</v>
      </c>
      <c r="R77" s="93">
        <v>10</v>
      </c>
      <c r="S77" s="94">
        <f t="shared" si="13"/>
        <v>0</v>
      </c>
      <c r="T77" s="304"/>
      <c r="X77"/>
    </row>
    <row r="78" spans="2:26" ht="25.5">
      <c r="B78" s="554"/>
      <c r="C78" s="466"/>
      <c r="D78" s="559"/>
      <c r="E78" s="518"/>
      <c r="F78" s="521"/>
      <c r="G78" s="521"/>
      <c r="H78" s="521"/>
      <c r="I78" s="315">
        <f t="shared" si="14"/>
        <v>3.2699999999999965</v>
      </c>
      <c r="J78" s="8" t="s">
        <v>128</v>
      </c>
      <c r="K78" s="1">
        <f>SUMIFS('[2]BESS 11'!L:L,'[2]BESS 11'!$B:$B,$J78)</f>
        <v>1536</v>
      </c>
      <c r="L78" s="2">
        <f>SUMIFS('[2]BESS 11'!M:M,'[2]BESS 11'!$B:$B,$J78)</f>
        <v>1536</v>
      </c>
      <c r="M78" s="7">
        <f t="shared" si="11"/>
        <v>0</v>
      </c>
      <c r="N78" s="20" t="s">
        <v>708</v>
      </c>
      <c r="O78" s="424">
        <f t="shared" si="12"/>
        <v>46235</v>
      </c>
      <c r="P78" s="5" t="s">
        <v>164</v>
      </c>
      <c r="Q78" s="96">
        <v>30</v>
      </c>
      <c r="R78" s="93">
        <v>18</v>
      </c>
      <c r="S78" s="94">
        <f t="shared" si="13"/>
        <v>0</v>
      </c>
      <c r="T78" s="304" t="s">
        <v>703</v>
      </c>
      <c r="X78"/>
      <c r="Z78" s="60"/>
    </row>
    <row r="79" spans="2:26" ht="25.5">
      <c r="B79" s="554"/>
      <c r="C79" s="466"/>
      <c r="D79" s="559"/>
      <c r="E79" s="518"/>
      <c r="F79" s="521"/>
      <c r="G79" s="521"/>
      <c r="H79" s="521"/>
      <c r="I79" s="315">
        <f t="shared" si="14"/>
        <v>3.2799999999999963</v>
      </c>
      <c r="J79" s="8" t="s">
        <v>129</v>
      </c>
      <c r="K79" s="1">
        <f>SUMIFS('[2]BESS 11'!L:L,'[2]BESS 11'!$B:$B,$J79)</f>
        <v>2304</v>
      </c>
      <c r="L79" s="2">
        <f>SUMIFS('[2]BESS 11'!M:M,'[2]BESS 11'!$B:$B,$J79)</f>
        <v>2304</v>
      </c>
      <c r="M79" s="7">
        <f t="shared" si="11"/>
        <v>0</v>
      </c>
      <c r="N79" s="20" t="s">
        <v>709</v>
      </c>
      <c r="O79" s="424">
        <f t="shared" si="12"/>
        <v>46236</v>
      </c>
      <c r="P79" s="5" t="s">
        <v>164</v>
      </c>
      <c r="Q79" s="96">
        <v>30</v>
      </c>
      <c r="R79" s="93">
        <v>18</v>
      </c>
      <c r="S79" s="94">
        <f t="shared" si="13"/>
        <v>0</v>
      </c>
      <c r="T79" s="304" t="s">
        <v>703</v>
      </c>
      <c r="X79"/>
      <c r="Z79" s="60"/>
    </row>
    <row r="80" spans="2:26" ht="25.5">
      <c r="B80" s="554"/>
      <c r="C80" s="466"/>
      <c r="D80" s="559"/>
      <c r="E80" s="518"/>
      <c r="F80" s="521"/>
      <c r="G80" s="521"/>
      <c r="H80" s="521"/>
      <c r="I80" s="315">
        <f t="shared" si="14"/>
        <v>3.289999999999996</v>
      </c>
      <c r="J80" s="8" t="s">
        <v>130</v>
      </c>
      <c r="K80" s="1">
        <f>SUMIFS('[2]BESS 11'!L:L,'[2]BESS 11'!$B:$B,$J80)</f>
        <v>8355</v>
      </c>
      <c r="L80" s="2">
        <f>SUMIFS('[2]BESS 11'!M:M,'[2]BESS 11'!$B:$B,$J80)</f>
        <v>6186</v>
      </c>
      <c r="M80" s="7">
        <f t="shared" si="11"/>
        <v>2169</v>
      </c>
      <c r="N80" s="20" t="s">
        <v>712</v>
      </c>
      <c r="O80" s="424">
        <f t="shared" si="12"/>
        <v>46233</v>
      </c>
      <c r="P80" s="5" t="s">
        <v>164</v>
      </c>
      <c r="Q80" s="96">
        <v>1000</v>
      </c>
      <c r="R80" s="93">
        <v>10</v>
      </c>
      <c r="S80" s="94">
        <f t="shared" si="13"/>
        <v>21.69</v>
      </c>
      <c r="T80" s="304"/>
      <c r="X80"/>
      <c r="Z80" s="60"/>
    </row>
    <row r="81" spans="2:26" ht="25.5">
      <c r="B81" s="554"/>
      <c r="C81" s="466"/>
      <c r="D81" s="559"/>
      <c r="E81" s="518"/>
      <c r="F81" s="521"/>
      <c r="G81" s="521"/>
      <c r="H81" s="521"/>
      <c r="I81" s="315">
        <f t="shared" si="14"/>
        <v>3.2999999999999958</v>
      </c>
      <c r="J81" s="8" t="s">
        <v>131</v>
      </c>
      <c r="K81" s="1">
        <f>SUMIFS('[2]BESS 11'!L:L,'[2]BESS 11'!$B:$B,$J81)</f>
        <v>13076</v>
      </c>
      <c r="L81" s="2">
        <f>SUMIFS('[2]BESS 11'!M:M,'[2]BESS 11'!$B:$B,$J81)</f>
        <v>9308</v>
      </c>
      <c r="M81" s="7">
        <f t="shared" si="11"/>
        <v>3768</v>
      </c>
      <c r="N81" s="20" t="s">
        <v>712</v>
      </c>
      <c r="O81" s="424">
        <f t="shared" si="12"/>
        <v>46233</v>
      </c>
      <c r="P81" s="5" t="s">
        <v>164</v>
      </c>
      <c r="Q81" s="96">
        <v>1000</v>
      </c>
      <c r="R81" s="93">
        <v>10</v>
      </c>
      <c r="S81" s="94">
        <f t="shared" si="13"/>
        <v>37.68</v>
      </c>
      <c r="T81" s="304"/>
      <c r="X81"/>
      <c r="Z81" s="60"/>
    </row>
    <row r="82" spans="2:26" ht="25.5">
      <c r="B82" s="554"/>
      <c r="C82" s="466"/>
      <c r="D82" s="559"/>
      <c r="E82" s="518"/>
      <c r="F82" s="521"/>
      <c r="G82" s="521"/>
      <c r="H82" s="521"/>
      <c r="I82" s="315">
        <f t="shared" si="14"/>
        <v>3.3099999999999956</v>
      </c>
      <c r="J82" s="8" t="s">
        <v>132</v>
      </c>
      <c r="K82" s="1">
        <f>SUMIFS('[2]BESS 11'!L:L,'[2]BESS 11'!$B:$B,$J82)</f>
        <v>4792</v>
      </c>
      <c r="L82" s="2">
        <f>SUMIFS('[2]BESS 11'!M:M,'[2]BESS 11'!$B:$B,$J82)</f>
        <v>0</v>
      </c>
      <c r="M82" s="7">
        <f t="shared" si="11"/>
        <v>4792</v>
      </c>
      <c r="N82" s="20" t="s">
        <v>712</v>
      </c>
      <c r="O82" s="424">
        <f t="shared" si="12"/>
        <v>46233</v>
      </c>
      <c r="P82" s="5" t="s">
        <v>164</v>
      </c>
      <c r="Q82" s="96">
        <v>500</v>
      </c>
      <c r="R82" s="93">
        <v>10</v>
      </c>
      <c r="S82" s="94">
        <f t="shared" si="13"/>
        <v>95.84</v>
      </c>
      <c r="T82" s="304"/>
      <c r="X82"/>
      <c r="Z82" s="60"/>
    </row>
    <row r="83" spans="2:26" ht="25.5">
      <c r="B83" s="554"/>
      <c r="C83" s="466"/>
      <c r="D83" s="559"/>
      <c r="E83" s="518"/>
      <c r="F83" s="521"/>
      <c r="G83" s="521"/>
      <c r="H83" s="521"/>
      <c r="I83" s="315">
        <f t="shared" si="14"/>
        <v>3.3199999999999954</v>
      </c>
      <c r="J83" s="8" t="s">
        <v>133</v>
      </c>
      <c r="K83" s="1">
        <f>SUMIFS('[2]BESS 11'!L:L,'[2]BESS 11'!$B:$B,$J83)</f>
        <v>286</v>
      </c>
      <c r="L83" s="2">
        <f>SUMIFS('[2]BESS 11'!M:M,'[2]BESS 11'!$B:$B,$J83)</f>
        <v>0</v>
      </c>
      <c r="M83" s="7">
        <f t="shared" ref="M83:M94" si="15">K83-L83</f>
        <v>286</v>
      </c>
      <c r="N83" s="20" t="s">
        <v>713</v>
      </c>
      <c r="O83" s="424">
        <f t="shared" si="12"/>
        <v>46236</v>
      </c>
      <c r="P83" s="5" t="s">
        <v>164</v>
      </c>
      <c r="Q83" s="96">
        <v>30</v>
      </c>
      <c r="R83" s="93">
        <v>6</v>
      </c>
      <c r="S83" s="94">
        <f t="shared" si="13"/>
        <v>57.2</v>
      </c>
      <c r="T83" s="304"/>
      <c r="X83"/>
      <c r="Z83" s="60"/>
    </row>
    <row r="84" spans="2:26" ht="25.5">
      <c r="B84" s="554"/>
      <c r="C84" s="466"/>
      <c r="D84" s="559"/>
      <c r="E84" s="518"/>
      <c r="F84" s="521"/>
      <c r="G84" s="521"/>
      <c r="H84" s="521"/>
      <c r="I84" s="315">
        <f t="shared" si="14"/>
        <v>3.3299999999999952</v>
      </c>
      <c r="J84" s="8" t="s">
        <v>134</v>
      </c>
      <c r="K84" s="1">
        <f>SUMIFS('[2]BESS 11'!L:L,'[2]BESS 11'!$B:$B,$J84)</f>
        <v>524</v>
      </c>
      <c r="L84" s="2">
        <f>SUMIFS('[2]BESS 11'!M:M,'[2]BESS 11'!$B:$B,$J84)</f>
        <v>0</v>
      </c>
      <c r="M84" s="7">
        <f t="shared" si="15"/>
        <v>524</v>
      </c>
      <c r="N84" s="20" t="s">
        <v>714</v>
      </c>
      <c r="O84" s="424">
        <f t="shared" si="12"/>
        <v>46235</v>
      </c>
      <c r="P84" s="5" t="s">
        <v>443</v>
      </c>
      <c r="Q84" s="96">
        <v>30</v>
      </c>
      <c r="R84" s="93">
        <v>4</v>
      </c>
      <c r="S84" s="94">
        <f t="shared" si="13"/>
        <v>69.86666666666666</v>
      </c>
      <c r="T84" s="583"/>
      <c r="X84"/>
      <c r="Z84" s="60"/>
    </row>
    <row r="85" spans="2:26" ht="25.5">
      <c r="B85" s="554"/>
      <c r="C85" s="466"/>
      <c r="D85" s="559"/>
      <c r="E85" s="518"/>
      <c r="F85" s="521"/>
      <c r="G85" s="521"/>
      <c r="H85" s="521"/>
      <c r="I85" s="315">
        <f t="shared" si="14"/>
        <v>3.339999999999995</v>
      </c>
      <c r="J85" s="8" t="s">
        <v>136</v>
      </c>
      <c r="K85" s="1">
        <f>SUMIFS('[2]BESS 11'!L:L,'[2]BESS 11'!$B:$B,$J85)</f>
        <v>384</v>
      </c>
      <c r="L85" s="2">
        <f>SUMIFS('[2]BESS 11'!M:M,'[2]BESS 11'!$B:$B,$J85)</f>
        <v>0</v>
      </c>
      <c r="M85" s="7">
        <f t="shared" si="15"/>
        <v>384</v>
      </c>
      <c r="N85" s="20" t="s">
        <v>713</v>
      </c>
      <c r="O85" s="424">
        <f t="shared" si="12"/>
        <v>46236</v>
      </c>
      <c r="P85" s="5" t="s">
        <v>443</v>
      </c>
      <c r="Q85" s="96" t="s">
        <v>89</v>
      </c>
      <c r="R85" s="93" t="s">
        <v>89</v>
      </c>
      <c r="S85" s="94" t="s">
        <v>89</v>
      </c>
      <c r="T85" s="583"/>
      <c r="U85">
        <f ca="1">O85-$T$1</f>
        <v>3</v>
      </c>
      <c r="V85" s="97">
        <f>SUM(S64:S95)</f>
        <v>507.94333333333338</v>
      </c>
      <c r="X85"/>
      <c r="Z85" s="60"/>
    </row>
    <row r="86" spans="2:26">
      <c r="B86" s="554"/>
      <c r="C86" s="466"/>
      <c r="D86" s="559"/>
      <c r="E86" s="518"/>
      <c r="F86" s="521"/>
      <c r="G86" s="521"/>
      <c r="H86" s="521"/>
      <c r="I86" s="314">
        <f t="shared" si="14"/>
        <v>3.3499999999999948</v>
      </c>
      <c r="J86" s="57" t="s">
        <v>137</v>
      </c>
      <c r="K86" s="2">
        <f>SUMIFS('[2]BESS 11'!L:L,'[2]BESS 11'!$B:$B,$J86)</f>
        <v>6</v>
      </c>
      <c r="L86" s="2">
        <f>SUMIFS('[2]BESS 11'!M:M,'[2]BESS 11'!$B:$B,$J86)</f>
        <v>6</v>
      </c>
      <c r="M86" s="2">
        <f t="shared" si="15"/>
        <v>0</v>
      </c>
      <c r="N86" s="63" t="s">
        <v>122</v>
      </c>
      <c r="O86" s="424" t="str">
        <f t="shared" si="12"/>
        <v xml:space="preserve"> </v>
      </c>
      <c r="P86" s="58" t="s">
        <v>138</v>
      </c>
      <c r="Q86" s="533">
        <v>2</v>
      </c>
      <c r="R86" s="527">
        <v>8</v>
      </c>
      <c r="S86" s="94" t="s">
        <v>89</v>
      </c>
      <c r="T86" s="304"/>
      <c r="X86"/>
    </row>
    <row r="87" spans="2:26">
      <c r="B87" s="554"/>
      <c r="C87" s="466"/>
      <c r="D87" s="559"/>
      <c r="E87" s="518"/>
      <c r="F87" s="521"/>
      <c r="G87" s="521"/>
      <c r="H87" s="521"/>
      <c r="I87" s="314">
        <f t="shared" si="14"/>
        <v>3.3599999999999945</v>
      </c>
      <c r="J87" s="57" t="s">
        <v>139</v>
      </c>
      <c r="K87" s="2">
        <f>SUMIFS('[2]BESS 11'!L:L,'[2]BESS 11'!$B:$B,$J87)</f>
        <v>6</v>
      </c>
      <c r="L87" s="2">
        <f>SUMIFS('[2]BESS 11'!M:M,'[2]BESS 11'!$B:$B,$J87)</f>
        <v>6</v>
      </c>
      <c r="M87" s="2">
        <f t="shared" si="15"/>
        <v>0</v>
      </c>
      <c r="N87" s="63" t="s">
        <v>122</v>
      </c>
      <c r="O87" s="424" t="str">
        <f t="shared" si="12"/>
        <v xml:space="preserve"> </v>
      </c>
      <c r="P87" s="58" t="s">
        <v>25</v>
      </c>
      <c r="Q87" s="534"/>
      <c r="R87" s="529"/>
      <c r="S87" s="94">
        <v>12</v>
      </c>
      <c r="T87" s="304"/>
      <c r="X87"/>
    </row>
    <row r="88" spans="2:26" ht="25.5">
      <c r="B88" s="554"/>
      <c r="C88" s="466"/>
      <c r="D88" s="559"/>
      <c r="E88" s="518"/>
      <c r="F88" s="521"/>
      <c r="G88" s="521"/>
      <c r="H88" s="521"/>
      <c r="I88" s="315">
        <f t="shared" si="14"/>
        <v>3.3699999999999943</v>
      </c>
      <c r="J88" s="8" t="s">
        <v>140</v>
      </c>
      <c r="K88" s="1">
        <f>SUMIFS('[2]BESS 11'!L:L,'[2]BESS 11'!$B:$B,$J88)</f>
        <v>6</v>
      </c>
      <c r="L88" s="2">
        <f>SUMIFS('[2]BESS 11'!M:M,'[2]BESS 11'!$B:$B,$J88)</f>
        <v>0</v>
      </c>
      <c r="M88" s="7">
        <f t="shared" si="15"/>
        <v>6</v>
      </c>
      <c r="N88" s="20" t="s">
        <v>715</v>
      </c>
      <c r="O88" s="424">
        <f t="shared" si="12"/>
        <v>46238</v>
      </c>
      <c r="P88" s="5" t="s">
        <v>164</v>
      </c>
      <c r="Q88" s="96">
        <v>2</v>
      </c>
      <c r="R88" s="93">
        <v>4</v>
      </c>
      <c r="S88" s="94">
        <f t="shared" ref="S88:S95" si="16">(M88*R88)/Q88</f>
        <v>12</v>
      </c>
      <c r="T88" s="317"/>
      <c r="U88">
        <f ca="1">O88-$T$1</f>
        <v>5</v>
      </c>
      <c r="V88" s="98">
        <f>SUM(S64:S95)</f>
        <v>507.94333333333338</v>
      </c>
      <c r="X88"/>
    </row>
    <row r="89" spans="2:26" ht="25.5">
      <c r="B89" s="554"/>
      <c r="C89" s="466"/>
      <c r="D89" s="559"/>
      <c r="E89" s="518"/>
      <c r="F89" s="521"/>
      <c r="G89" s="521"/>
      <c r="H89" s="521"/>
      <c r="I89" s="315">
        <f t="shared" si="14"/>
        <v>3.3799999999999941</v>
      </c>
      <c r="J89" s="8" t="s">
        <v>141</v>
      </c>
      <c r="K89" s="1">
        <f>SUMIFS('[2]BESS 11'!L:L,'[2]BESS 11'!$B:$B,$J89)</f>
        <v>12</v>
      </c>
      <c r="L89" s="2">
        <f>SUMIFS('[2]BESS 11'!M:M,'[2]BESS 11'!$B:$B,$J89)</f>
        <v>0</v>
      </c>
      <c r="M89" s="7">
        <f t="shared" si="15"/>
        <v>12</v>
      </c>
      <c r="N89" s="20" t="s">
        <v>716</v>
      </c>
      <c r="O89" s="424">
        <f t="shared" si="12"/>
        <v>46234</v>
      </c>
      <c r="P89" s="5" t="s">
        <v>164</v>
      </c>
      <c r="Q89" s="96">
        <v>0.5</v>
      </c>
      <c r="R89" s="93">
        <v>4</v>
      </c>
      <c r="S89" s="94">
        <f t="shared" si="16"/>
        <v>96</v>
      </c>
      <c r="T89" s="317" t="s">
        <v>266</v>
      </c>
      <c r="X89"/>
    </row>
    <row r="90" spans="2:26" ht="25.5">
      <c r="B90" s="554"/>
      <c r="C90" s="466"/>
      <c r="D90" s="559"/>
      <c r="E90" s="518"/>
      <c r="F90" s="521"/>
      <c r="G90" s="521"/>
      <c r="H90" s="521"/>
      <c r="I90" s="315">
        <f t="shared" si="14"/>
        <v>3.3899999999999939</v>
      </c>
      <c r="J90" s="8" t="s">
        <v>142</v>
      </c>
      <c r="K90" s="1">
        <f>SUMIFS('[2]BESS 11'!L:L,'[2]BESS 11'!$B:$B,$J90)</f>
        <v>16</v>
      </c>
      <c r="L90" s="2">
        <f>SUMIFS('[2]BESS 11'!M:M,'[2]BESS 11'!$B:$B,$J90)</f>
        <v>0</v>
      </c>
      <c r="M90" s="7">
        <f t="shared" si="15"/>
        <v>16</v>
      </c>
      <c r="N90" s="20" t="s">
        <v>717</v>
      </c>
      <c r="O90" s="424">
        <f t="shared" si="12"/>
        <v>46237</v>
      </c>
      <c r="P90" s="5" t="s">
        <v>164</v>
      </c>
      <c r="Q90" s="96">
        <v>6</v>
      </c>
      <c r="R90" s="93">
        <v>4</v>
      </c>
      <c r="S90" s="94">
        <f t="shared" si="16"/>
        <v>10.666666666666666</v>
      </c>
      <c r="T90" s="304"/>
      <c r="X90"/>
    </row>
    <row r="91" spans="2:26">
      <c r="B91" s="554"/>
      <c r="C91" s="466"/>
      <c r="D91" s="559"/>
      <c r="E91" s="518"/>
      <c r="F91" s="521"/>
      <c r="G91" s="521"/>
      <c r="H91" s="521"/>
      <c r="I91" s="314">
        <f t="shared" si="14"/>
        <v>3.3999999999999937</v>
      </c>
      <c r="J91" s="57" t="s">
        <v>143</v>
      </c>
      <c r="K91" s="2">
        <f>SUMIFS('[2]BESS 11'!L:L,'[2]BESS 11'!$B:$B,$J91)</f>
        <v>14</v>
      </c>
      <c r="L91" s="2">
        <f>SUMIFS('[2]BESS 11'!M:M,'[2]BESS 11'!$B:$B,$J91)</f>
        <v>14</v>
      </c>
      <c r="M91" s="2">
        <f t="shared" si="15"/>
        <v>0</v>
      </c>
      <c r="N91" s="362" t="s">
        <v>122</v>
      </c>
      <c r="O91" s="424" t="str">
        <f t="shared" si="12"/>
        <v xml:space="preserve"> </v>
      </c>
      <c r="P91" s="58" t="s">
        <v>454</v>
      </c>
      <c r="Q91" s="96">
        <v>6</v>
      </c>
      <c r="R91" s="93">
        <v>5</v>
      </c>
      <c r="S91" s="94">
        <f t="shared" si="16"/>
        <v>0</v>
      </c>
      <c r="T91" s="304"/>
      <c r="X91"/>
    </row>
    <row r="92" spans="2:26" ht="25.5">
      <c r="B92" s="554"/>
      <c r="C92" s="466"/>
      <c r="D92" s="559"/>
      <c r="E92" s="518"/>
      <c r="F92" s="521"/>
      <c r="G92" s="521"/>
      <c r="H92" s="521"/>
      <c r="I92" s="315">
        <f t="shared" si="14"/>
        <v>3.4099999999999935</v>
      </c>
      <c r="J92" s="8" t="s">
        <v>144</v>
      </c>
      <c r="K92" s="1">
        <f>SUMIFS('[2]BESS 11'!L:L,'[2]BESS 11'!$B:$B,$J92)</f>
        <v>1</v>
      </c>
      <c r="L92" s="2">
        <f>SUMIFS('[2]BESS 11'!M:M,'[2]BESS 11'!$B:$B,$J92)</f>
        <v>0</v>
      </c>
      <c r="M92" s="7">
        <f t="shared" si="15"/>
        <v>1</v>
      </c>
      <c r="N92" s="20" t="s">
        <v>718</v>
      </c>
      <c r="O92" s="424">
        <f t="shared" si="12"/>
        <v>46234</v>
      </c>
      <c r="P92" s="5" t="s">
        <v>164</v>
      </c>
      <c r="Q92" s="96">
        <v>1</v>
      </c>
      <c r="R92" s="93">
        <v>5</v>
      </c>
      <c r="S92" s="94">
        <f t="shared" si="16"/>
        <v>5</v>
      </c>
      <c r="T92" s="317"/>
      <c r="X92"/>
    </row>
    <row r="93" spans="2:26">
      <c r="B93" s="554"/>
      <c r="C93" s="466"/>
      <c r="D93" s="559"/>
      <c r="E93" s="518"/>
      <c r="F93" s="521"/>
      <c r="G93" s="521"/>
      <c r="H93" s="521"/>
      <c r="I93" s="314">
        <f t="shared" si="14"/>
        <v>3.4199999999999933</v>
      </c>
      <c r="J93" s="57" t="s">
        <v>145</v>
      </c>
      <c r="K93" s="2">
        <f>SUMIFS('[2]BESS 11'!L:L,'[2]BESS 11'!$B:$B,$J93)</f>
        <v>6</v>
      </c>
      <c r="L93" s="2">
        <f>SUMIFS('[2]BESS 11'!M:M,'[2]BESS 11'!$B:$B,$J93)</f>
        <v>6</v>
      </c>
      <c r="M93" s="2">
        <f t="shared" si="15"/>
        <v>0</v>
      </c>
      <c r="N93" s="362" t="s">
        <v>122</v>
      </c>
      <c r="O93" s="429" t="str">
        <f t="shared" si="12"/>
        <v xml:space="preserve"> </v>
      </c>
      <c r="P93" s="58" t="s">
        <v>164</v>
      </c>
      <c r="Q93" s="96">
        <v>3</v>
      </c>
      <c r="R93" s="93">
        <v>5</v>
      </c>
      <c r="S93" s="94">
        <f t="shared" si="16"/>
        <v>0</v>
      </c>
      <c r="T93" s="317"/>
      <c r="X93"/>
    </row>
    <row r="94" spans="2:26" ht="25.5">
      <c r="B94" s="554"/>
      <c r="C94" s="466"/>
      <c r="D94" s="559"/>
      <c r="E94" s="518"/>
      <c r="F94" s="521"/>
      <c r="G94" s="521"/>
      <c r="H94" s="521"/>
      <c r="I94" s="315">
        <f t="shared" si="14"/>
        <v>3.4299999999999931</v>
      </c>
      <c r="J94" s="8" t="s">
        <v>54</v>
      </c>
      <c r="K94" s="1">
        <f>SUMIFS('[2]BESS 11'!L:L,'[2]BESS 11'!$B:$B,$J94)</f>
        <v>4284</v>
      </c>
      <c r="L94" s="2">
        <f>SUMIFS('[2]BESS 11'!M:M,'[2]BESS 11'!$B:$B,$J94)</f>
        <v>2434</v>
      </c>
      <c r="M94" s="7">
        <f t="shared" si="15"/>
        <v>1850</v>
      </c>
      <c r="N94" s="20" t="s">
        <v>719</v>
      </c>
      <c r="O94" s="424">
        <f t="shared" si="12"/>
        <v>46236</v>
      </c>
      <c r="P94" s="5" t="s">
        <v>164</v>
      </c>
      <c r="Q94" s="96">
        <v>150</v>
      </c>
      <c r="R94" s="93">
        <v>6</v>
      </c>
      <c r="S94" s="94">
        <f t="shared" si="16"/>
        <v>74</v>
      </c>
      <c r="T94" s="307"/>
      <c r="X94"/>
      <c r="Z94" s="60"/>
    </row>
    <row r="95" spans="2:26" ht="26.25" thickBot="1">
      <c r="B95" s="555"/>
      <c r="C95" s="557"/>
      <c r="D95" s="560"/>
      <c r="E95" s="519"/>
      <c r="F95" s="522"/>
      <c r="G95" s="522"/>
      <c r="H95" s="522"/>
      <c r="I95" s="369">
        <f t="shared" si="14"/>
        <v>3.4399999999999928</v>
      </c>
      <c r="J95" s="23" t="s">
        <v>55</v>
      </c>
      <c r="K95" s="24">
        <f>SUMIFS('[2]BESS 11'!L:L,'[2]BESS 11'!$B:$B,$J95)</f>
        <v>10</v>
      </c>
      <c r="L95" s="25">
        <f>SUMIFS('[2]BESS 11'!M:M,'[2]BESS 11'!$B:$B,$J95)</f>
        <v>0</v>
      </c>
      <c r="M95" s="26">
        <f t="shared" si="11"/>
        <v>10</v>
      </c>
      <c r="N95" s="433" t="s">
        <v>720</v>
      </c>
      <c r="O95" s="345">
        <f t="shared" si="12"/>
        <v>46236</v>
      </c>
      <c r="P95" s="28" t="s">
        <v>164</v>
      </c>
      <c r="Q95" s="265">
        <v>5</v>
      </c>
      <c r="R95" s="266">
        <v>6</v>
      </c>
      <c r="S95" s="267">
        <f t="shared" si="16"/>
        <v>12</v>
      </c>
      <c r="T95" s="329"/>
      <c r="X95"/>
      <c r="Z95" s="60"/>
    </row>
    <row r="96" spans="2:26">
      <c r="B96" s="565" t="s">
        <v>17</v>
      </c>
      <c r="C96" s="504">
        <v>2</v>
      </c>
      <c r="D96" s="566" t="s">
        <v>418</v>
      </c>
      <c r="E96" s="446" t="s">
        <v>120</v>
      </c>
      <c r="F96" s="520">
        <v>46240</v>
      </c>
      <c r="G96" s="520">
        <v>46245</v>
      </c>
      <c r="H96" s="520">
        <v>46248</v>
      </c>
      <c r="I96" s="422"/>
      <c r="J96" s="46"/>
      <c r="K96" s="61"/>
      <c r="L96" s="423" t="s">
        <v>121</v>
      </c>
      <c r="M96" s="46"/>
      <c r="N96" s="61"/>
      <c r="O96" s="424"/>
      <c r="P96" s="87"/>
      <c r="Q96" s="96"/>
      <c r="R96" s="93"/>
      <c r="S96" s="94"/>
      <c r="T96" s="307"/>
      <c r="X96"/>
    </row>
    <row r="97" spans="2:24" ht="25.5">
      <c r="B97" s="554"/>
      <c r="C97" s="466"/>
      <c r="D97" s="559"/>
      <c r="E97" s="518"/>
      <c r="F97" s="521"/>
      <c r="G97" s="521"/>
      <c r="H97" s="521"/>
      <c r="I97" s="56">
        <v>2.1</v>
      </c>
      <c r="J97" s="57" t="s">
        <v>19</v>
      </c>
      <c r="K97" s="2">
        <f>SUMIFS('[2]BESS 11'!H:H,'[2]BESS 11'!$B:$B,$J97)</f>
        <v>48</v>
      </c>
      <c r="L97" s="2">
        <f>SUMIFS('[2]BESS 11'!I:I,'[2]BESS 11'!$B:$B,$J97)</f>
        <v>48</v>
      </c>
      <c r="M97" s="2">
        <f t="shared" ref="M97:M108" si="17">K97-L97</f>
        <v>0</v>
      </c>
      <c r="N97" s="63" t="s">
        <v>122</v>
      </c>
      <c r="O97" s="424" t="str">
        <f t="shared" ref="O97:O108" si="18">IF(LEN(N97)=5,N97,(IF(N97="Completed"," ",DATEVALUE(RIGHT(N97,6)))))</f>
        <v xml:space="preserve"> </v>
      </c>
      <c r="P97" s="58" t="s">
        <v>20</v>
      </c>
      <c r="Q97" s="96">
        <v>1</v>
      </c>
      <c r="R97" s="93">
        <v>2</v>
      </c>
      <c r="S97" s="94">
        <f t="shared" ref="S97:S107" si="19">(M97*R97)/Q97</f>
        <v>0</v>
      </c>
      <c r="T97" s="307"/>
      <c r="X97"/>
    </row>
    <row r="98" spans="2:24">
      <c r="B98" s="554"/>
      <c r="C98" s="466"/>
      <c r="D98" s="559"/>
      <c r="E98" s="518"/>
      <c r="F98" s="521"/>
      <c r="G98" s="521"/>
      <c r="H98" s="521"/>
      <c r="I98" s="56">
        <v>2.2000000000000002</v>
      </c>
      <c r="J98" s="57" t="s">
        <v>23</v>
      </c>
      <c r="K98" s="2">
        <f>SUMIFS('[2]BESS 11'!H:H,'[2]BESS 11'!$B:$B,$J98)</f>
        <v>6</v>
      </c>
      <c r="L98" s="2">
        <f>SUMIFS('[2]BESS 11'!I:I,'[2]BESS 11'!$B:$B,$J98)</f>
        <v>6</v>
      </c>
      <c r="M98" s="2">
        <f t="shared" si="17"/>
        <v>0</v>
      </c>
      <c r="N98" s="63" t="s">
        <v>122</v>
      </c>
      <c r="O98" s="424" t="str">
        <f t="shared" si="18"/>
        <v xml:space="preserve"> </v>
      </c>
      <c r="P98" s="58" t="s">
        <v>20</v>
      </c>
      <c r="Q98" s="96">
        <v>1</v>
      </c>
      <c r="R98" s="93">
        <v>16</v>
      </c>
      <c r="S98" s="94">
        <f t="shared" si="19"/>
        <v>0</v>
      </c>
      <c r="T98" s="307"/>
      <c r="X98"/>
    </row>
    <row r="99" spans="2:24">
      <c r="B99" s="554"/>
      <c r="C99" s="466"/>
      <c r="D99" s="559"/>
      <c r="E99" s="518"/>
      <c r="F99" s="521"/>
      <c r="G99" s="521"/>
      <c r="H99" s="521"/>
      <c r="I99" s="56">
        <v>2.3000000000000003</v>
      </c>
      <c r="J99" s="57" t="s">
        <v>26</v>
      </c>
      <c r="K99" s="2">
        <f>SUMIFS('[2]BESS 11'!H:H,'[2]BESS 11'!$B:$B,$J99)</f>
        <v>6</v>
      </c>
      <c r="L99" s="2">
        <f>SUMIFS('[2]BESS 11'!I:I,'[2]BESS 11'!$B:$B,$J99)</f>
        <v>6</v>
      </c>
      <c r="M99" s="2">
        <f t="shared" si="17"/>
        <v>0</v>
      </c>
      <c r="N99" s="63" t="s">
        <v>122</v>
      </c>
      <c r="O99" s="424" t="str">
        <f t="shared" si="18"/>
        <v xml:space="preserve"> </v>
      </c>
      <c r="P99" s="58" t="s">
        <v>20</v>
      </c>
      <c r="Q99" s="96">
        <v>1</v>
      </c>
      <c r="R99" s="93">
        <v>39</v>
      </c>
      <c r="S99" s="94">
        <f t="shared" si="19"/>
        <v>0</v>
      </c>
      <c r="T99" s="307"/>
      <c r="X99"/>
    </row>
    <row r="100" spans="2:24">
      <c r="B100" s="554"/>
      <c r="C100" s="466"/>
      <c r="D100" s="559"/>
      <c r="E100" s="518"/>
      <c r="F100" s="521"/>
      <c r="G100" s="521"/>
      <c r="H100" s="521"/>
      <c r="I100" s="56">
        <v>2.4000000000000004</v>
      </c>
      <c r="J100" s="57" t="s">
        <v>32</v>
      </c>
      <c r="K100" s="2">
        <f>SUMIFS('[2]BESS 11'!H:H,'[2]BESS 11'!$B:$B,$J100)</f>
        <v>1</v>
      </c>
      <c r="L100" s="2">
        <f>SUMIFS('[2]BESS 11'!I:I,'[2]BESS 11'!$B:$B,$J100)</f>
        <v>1</v>
      </c>
      <c r="M100" s="2">
        <f t="shared" si="17"/>
        <v>0</v>
      </c>
      <c r="N100" s="63" t="s">
        <v>122</v>
      </c>
      <c r="O100" s="424" t="str">
        <f t="shared" si="18"/>
        <v xml:space="preserve"> </v>
      </c>
      <c r="P100" s="58" t="s">
        <v>20</v>
      </c>
      <c r="Q100" s="96">
        <v>1</v>
      </c>
      <c r="R100" s="93">
        <v>37</v>
      </c>
      <c r="S100" s="94">
        <f t="shared" si="19"/>
        <v>0</v>
      </c>
      <c r="T100" s="307"/>
      <c r="X100"/>
    </row>
    <row r="101" spans="2:24">
      <c r="B101" s="554"/>
      <c r="C101" s="466"/>
      <c r="D101" s="559"/>
      <c r="E101" s="518"/>
      <c r="F101" s="521"/>
      <c r="G101" s="521"/>
      <c r="H101" s="521"/>
      <c r="I101" s="56">
        <v>2.5000000000000004</v>
      </c>
      <c r="J101" s="57" t="s">
        <v>35</v>
      </c>
      <c r="K101" s="2">
        <f>SUMIFS('[2]BESS 11'!H:H,'[2]BESS 11'!$B:$B,$J101)</f>
        <v>1</v>
      </c>
      <c r="L101" s="2">
        <f>SUMIFS('[2]BESS 11'!I:I,'[2]BESS 11'!$B:$B,$J101)</f>
        <v>1</v>
      </c>
      <c r="M101" s="2">
        <f t="shared" si="17"/>
        <v>0</v>
      </c>
      <c r="N101" s="63" t="s">
        <v>122</v>
      </c>
      <c r="O101" s="424" t="str">
        <f t="shared" si="18"/>
        <v xml:space="preserve"> </v>
      </c>
      <c r="P101" s="58" t="s">
        <v>20</v>
      </c>
      <c r="Q101" s="96">
        <v>1</v>
      </c>
      <c r="R101" s="93">
        <v>34</v>
      </c>
      <c r="S101" s="94">
        <f t="shared" si="19"/>
        <v>0</v>
      </c>
      <c r="T101" s="307"/>
      <c r="X101"/>
    </row>
    <row r="102" spans="2:24">
      <c r="B102" s="554"/>
      <c r="C102" s="466"/>
      <c r="D102" s="559"/>
      <c r="E102" s="518"/>
      <c r="F102" s="521"/>
      <c r="G102" s="521"/>
      <c r="H102" s="521"/>
      <c r="I102" s="56">
        <v>2.6000000000000005</v>
      </c>
      <c r="J102" s="57" t="s">
        <v>38</v>
      </c>
      <c r="K102" s="2">
        <f>SUMIFS('[2]BESS 11'!H:H,'[2]BESS 11'!$B:$B,$J102)</f>
        <v>1</v>
      </c>
      <c r="L102" s="2">
        <f>SUMIFS('[2]BESS 11'!I:I,'[2]BESS 11'!$B:$B,$J102)</f>
        <v>1</v>
      </c>
      <c r="M102" s="2">
        <f t="shared" si="17"/>
        <v>0</v>
      </c>
      <c r="N102" s="63" t="s">
        <v>122</v>
      </c>
      <c r="O102" s="424" t="str">
        <f t="shared" si="18"/>
        <v xml:space="preserve"> </v>
      </c>
      <c r="P102" s="58" t="s">
        <v>20</v>
      </c>
      <c r="Q102" s="96">
        <v>1</v>
      </c>
      <c r="R102" s="93">
        <v>54</v>
      </c>
      <c r="S102" s="94">
        <f t="shared" si="19"/>
        <v>0</v>
      </c>
      <c r="T102" s="261"/>
      <c r="X102"/>
    </row>
    <row r="103" spans="2:24">
      <c r="B103" s="554"/>
      <c r="C103" s="466"/>
      <c r="D103" s="559"/>
      <c r="E103" s="518"/>
      <c r="F103" s="521"/>
      <c r="G103" s="521"/>
      <c r="H103" s="521"/>
      <c r="I103" s="56">
        <v>2.7000000000000006</v>
      </c>
      <c r="J103" s="57" t="s">
        <v>46</v>
      </c>
      <c r="K103" s="2">
        <f>SUMIFS('[2]BESS 11'!H:H,'[2]BESS 11'!$B:$B,$J103)</f>
        <v>1</v>
      </c>
      <c r="L103" s="2">
        <f>SUMIFS('[2]BESS 11'!I:I,'[2]BESS 11'!$B:$B,$J103)</f>
        <v>1</v>
      </c>
      <c r="M103" s="2">
        <f t="shared" si="17"/>
        <v>0</v>
      </c>
      <c r="N103" s="63" t="s">
        <v>122</v>
      </c>
      <c r="O103" s="424" t="str">
        <f t="shared" si="18"/>
        <v xml:space="preserve"> </v>
      </c>
      <c r="P103" s="58" t="s">
        <v>20</v>
      </c>
      <c r="Q103" s="96">
        <v>1</v>
      </c>
      <c r="R103" s="93">
        <v>5</v>
      </c>
      <c r="S103" s="94">
        <f t="shared" si="19"/>
        <v>0</v>
      </c>
      <c r="T103" s="261"/>
      <c r="X103"/>
    </row>
    <row r="104" spans="2:24">
      <c r="B104" s="554"/>
      <c r="C104" s="466"/>
      <c r="D104" s="559"/>
      <c r="E104" s="518"/>
      <c r="F104" s="521"/>
      <c r="G104" s="521"/>
      <c r="H104" s="521"/>
      <c r="I104" s="56">
        <v>2.8000000000000007</v>
      </c>
      <c r="J104" s="57" t="s">
        <v>44</v>
      </c>
      <c r="K104" s="2">
        <f>SUMIFS('[2]BESS 11'!H:H,'[2]BESS 11'!$B:$B,$J104)</f>
        <v>2</v>
      </c>
      <c r="L104" s="2">
        <f>SUMIFS('[2]BESS 11'!I:I,'[2]BESS 11'!$B:$B,$J104)</f>
        <v>2</v>
      </c>
      <c r="M104" s="2">
        <f t="shared" si="17"/>
        <v>0</v>
      </c>
      <c r="N104" s="63" t="s">
        <v>122</v>
      </c>
      <c r="O104" s="424" t="str">
        <f t="shared" si="18"/>
        <v xml:space="preserve"> </v>
      </c>
      <c r="P104" s="58" t="s">
        <v>45</v>
      </c>
      <c r="Q104" s="96">
        <v>3</v>
      </c>
      <c r="R104" s="93">
        <v>5</v>
      </c>
      <c r="S104" s="94">
        <f t="shared" si="19"/>
        <v>0</v>
      </c>
      <c r="T104" s="261"/>
      <c r="X104"/>
    </row>
    <row r="105" spans="2:24" ht="27">
      <c r="B105" s="554"/>
      <c r="C105" s="466"/>
      <c r="D105" s="559"/>
      <c r="E105" s="518"/>
      <c r="F105" s="521"/>
      <c r="G105" s="521"/>
      <c r="H105" s="521"/>
      <c r="I105" s="4">
        <v>2.9000000000000008</v>
      </c>
      <c r="J105" s="8" t="s">
        <v>40</v>
      </c>
      <c r="K105" s="1">
        <f>SUMIFS('[2]BESS 11'!H:H,'[2]BESS 11'!$B:$B,$J105)</f>
        <v>6</v>
      </c>
      <c r="L105" s="2">
        <f>SUMIFS('[2]BESS 11'!I:I,'[2]BESS 11'!$B:$B,$J105)</f>
        <v>5</v>
      </c>
      <c r="M105" s="7">
        <f t="shared" si="17"/>
        <v>1</v>
      </c>
      <c r="N105" s="435" t="s">
        <v>453</v>
      </c>
      <c r="O105" s="424">
        <f t="shared" si="18"/>
        <v>46231</v>
      </c>
      <c r="P105" s="5" t="s">
        <v>20</v>
      </c>
      <c r="Q105" s="96">
        <v>1</v>
      </c>
      <c r="R105" s="93">
        <v>5</v>
      </c>
      <c r="S105" s="94">
        <f t="shared" si="19"/>
        <v>5</v>
      </c>
      <c r="T105" s="261" t="s">
        <v>169</v>
      </c>
      <c r="X105"/>
    </row>
    <row r="106" spans="2:24">
      <c r="B106" s="554"/>
      <c r="C106" s="466"/>
      <c r="D106" s="559"/>
      <c r="E106" s="518"/>
      <c r="F106" s="521"/>
      <c r="G106" s="521"/>
      <c r="H106" s="521"/>
      <c r="I106" s="59">
        <v>2.1</v>
      </c>
      <c r="J106" s="57" t="s">
        <v>30</v>
      </c>
      <c r="K106" s="2">
        <f>SUMIFS('[2]BESS 11'!H:H,'[2]BESS 11'!$B:$B,$J106)</f>
        <v>6</v>
      </c>
      <c r="L106" s="2">
        <f>SUMIFS('[2]BESS 11'!I:I,'[2]BESS 11'!$B:$B,$J106)</f>
        <v>6</v>
      </c>
      <c r="M106" s="2">
        <f t="shared" si="17"/>
        <v>0</v>
      </c>
      <c r="N106" s="63" t="s">
        <v>122</v>
      </c>
      <c r="O106" s="424" t="str">
        <f t="shared" si="18"/>
        <v xml:space="preserve"> </v>
      </c>
      <c r="P106" s="58" t="s">
        <v>31</v>
      </c>
      <c r="Q106" s="96">
        <v>1</v>
      </c>
      <c r="R106" s="93">
        <v>27</v>
      </c>
      <c r="S106" s="94">
        <f t="shared" si="19"/>
        <v>0</v>
      </c>
      <c r="T106" s="261"/>
      <c r="X106"/>
    </row>
    <row r="107" spans="2:24">
      <c r="B107" s="554"/>
      <c r="C107" s="466"/>
      <c r="D107" s="559"/>
      <c r="E107" s="518"/>
      <c r="F107" s="521"/>
      <c r="G107" s="521"/>
      <c r="H107" s="521"/>
      <c r="I107" s="56">
        <v>2.11</v>
      </c>
      <c r="J107" s="57" t="s">
        <v>34</v>
      </c>
      <c r="K107" s="2">
        <f>SUMIFS('[2]BESS 11'!H:H,'[2]BESS 11'!$B:$B,$J107)</f>
        <v>1</v>
      </c>
      <c r="L107" s="2">
        <f>SUMIFS('[2]BESS 11'!I:I,'[2]BESS 11'!$B:$B,$J107)</f>
        <v>1</v>
      </c>
      <c r="M107" s="2">
        <f t="shared" si="17"/>
        <v>0</v>
      </c>
      <c r="N107" s="63" t="s">
        <v>122</v>
      </c>
      <c r="O107" s="424" t="str">
        <f t="shared" si="18"/>
        <v xml:space="preserve"> </v>
      </c>
      <c r="P107" s="58" t="s">
        <v>31</v>
      </c>
      <c r="Q107" s="96">
        <v>1</v>
      </c>
      <c r="R107" s="93">
        <v>25</v>
      </c>
      <c r="S107" s="94">
        <f t="shared" si="19"/>
        <v>0</v>
      </c>
      <c r="T107" s="261"/>
      <c r="X107"/>
    </row>
    <row r="108" spans="2:24">
      <c r="B108" s="554"/>
      <c r="C108" s="466"/>
      <c r="D108" s="559"/>
      <c r="E108" s="518"/>
      <c r="F108" s="521"/>
      <c r="G108" s="521"/>
      <c r="H108" s="521"/>
      <c r="I108" s="59">
        <v>2.1199999999999997</v>
      </c>
      <c r="J108" s="57" t="s">
        <v>37</v>
      </c>
      <c r="K108" s="2">
        <f>SUMIFS('[2]BESS 11'!H:H,'[2]BESS 11'!$B:$B,$J108)</f>
        <v>1</v>
      </c>
      <c r="L108" s="2">
        <f>SUMIFS('[2]BESS 11'!I:I,'[2]BESS 11'!$B:$B,$J108)</f>
        <v>1</v>
      </c>
      <c r="M108" s="2">
        <f t="shared" si="17"/>
        <v>0</v>
      </c>
      <c r="N108" s="63" t="s">
        <v>122</v>
      </c>
      <c r="O108" s="424" t="str">
        <f t="shared" si="18"/>
        <v xml:space="preserve"> </v>
      </c>
      <c r="P108" s="58" t="s">
        <v>123</v>
      </c>
      <c r="Q108" s="96" t="s">
        <v>89</v>
      </c>
      <c r="R108" s="93" t="s">
        <v>89</v>
      </c>
      <c r="S108" s="94" t="s">
        <v>89</v>
      </c>
      <c r="T108" s="307"/>
      <c r="X108"/>
    </row>
    <row r="109" spans="2:24">
      <c r="B109" s="554"/>
      <c r="C109" s="466"/>
      <c r="D109" s="559"/>
      <c r="E109" s="518"/>
      <c r="F109" s="521"/>
      <c r="G109" s="521"/>
      <c r="H109" s="521"/>
      <c r="I109" s="6"/>
      <c r="J109" s="50"/>
      <c r="K109" s="61"/>
      <c r="L109" s="52" t="s">
        <v>124</v>
      </c>
      <c r="M109" s="51"/>
      <c r="N109" s="61"/>
      <c r="O109" s="424"/>
      <c r="P109" s="87"/>
      <c r="Q109" s="96"/>
      <c r="R109" s="93"/>
      <c r="S109" s="94"/>
      <c r="T109" s="307"/>
      <c r="X109"/>
    </row>
    <row r="110" spans="2:24">
      <c r="B110" s="554"/>
      <c r="C110" s="466"/>
      <c r="D110" s="559"/>
      <c r="E110" s="518"/>
      <c r="F110" s="521"/>
      <c r="G110" s="521"/>
      <c r="H110" s="521"/>
      <c r="I110" s="59">
        <v>2.1299999999999994</v>
      </c>
      <c r="J110" s="57" t="s">
        <v>24</v>
      </c>
      <c r="K110" s="2">
        <f>SUMIFS('[2]BESS 11'!H:H,'[2]BESS 11'!$B:$B,$J110)</f>
        <v>6</v>
      </c>
      <c r="L110" s="2">
        <f>SUMIFS('[2]BESS 11'!I:I,'[2]BESS 11'!$B:$B,$J110)</f>
        <v>6</v>
      </c>
      <c r="M110" s="2">
        <f t="shared" ref="M110:M141" si="20">K110-L110</f>
        <v>0</v>
      </c>
      <c r="N110" s="63" t="s">
        <v>122</v>
      </c>
      <c r="O110" s="424" t="str">
        <f t="shared" ref="O110:O141" si="21">IF(LEN(N110)=5,N110,(IF(N110="Completed"," ",DATEVALUE(RIGHT(N110,6)))))</f>
        <v xml:space="preserve"> </v>
      </c>
      <c r="P110" s="58" t="s">
        <v>25</v>
      </c>
      <c r="Q110" s="96">
        <v>2</v>
      </c>
      <c r="R110" s="93">
        <v>4</v>
      </c>
      <c r="S110" s="94">
        <f>(M110*R110)/Q110</f>
        <v>0</v>
      </c>
      <c r="T110" s="307"/>
      <c r="X110"/>
    </row>
    <row r="111" spans="2:24">
      <c r="B111" s="554"/>
      <c r="C111" s="466"/>
      <c r="D111" s="559"/>
      <c r="E111" s="518"/>
      <c r="F111" s="521"/>
      <c r="G111" s="521"/>
      <c r="H111" s="521"/>
      <c r="I111" s="59">
        <v>2.1399999999999992</v>
      </c>
      <c r="J111" s="57" t="s">
        <v>27</v>
      </c>
      <c r="K111" s="2">
        <f>SUMIFS('[2]BESS 11'!H:H,'[2]BESS 11'!$B:$B,$J111)</f>
        <v>48</v>
      </c>
      <c r="L111" s="2">
        <f>SUMIFS('[2]BESS 11'!I:I,'[2]BESS 11'!$B:$B,$J111)</f>
        <v>48</v>
      </c>
      <c r="M111" s="2">
        <f t="shared" si="20"/>
        <v>0</v>
      </c>
      <c r="N111" s="63" t="s">
        <v>122</v>
      </c>
      <c r="O111" s="424" t="str">
        <f t="shared" si="21"/>
        <v xml:space="preserve"> </v>
      </c>
      <c r="P111" s="58" t="s">
        <v>25</v>
      </c>
      <c r="Q111" s="96">
        <v>10</v>
      </c>
      <c r="R111" s="93">
        <v>4</v>
      </c>
      <c r="S111" s="94">
        <f>(M111*R111)/Q111</f>
        <v>0</v>
      </c>
      <c r="T111" s="307"/>
      <c r="W111" s="60"/>
      <c r="X111"/>
    </row>
    <row r="112" spans="2:24">
      <c r="B112" s="554"/>
      <c r="C112" s="466"/>
      <c r="D112" s="559"/>
      <c r="E112" s="518"/>
      <c r="F112" s="521"/>
      <c r="G112" s="521"/>
      <c r="H112" s="521"/>
      <c r="I112" s="59">
        <v>2.149999999999999</v>
      </c>
      <c r="J112" s="57" t="s">
        <v>28</v>
      </c>
      <c r="K112" s="2">
        <f>SUMIFS('[2]BESS 11'!H:H,'[2]BESS 11'!$B:$B,$J112)</f>
        <v>6</v>
      </c>
      <c r="L112" s="2">
        <f>SUMIFS('[2]BESS 11'!I:I,'[2]BESS 11'!$B:$B,$J112)</f>
        <v>6</v>
      </c>
      <c r="M112" s="2">
        <f t="shared" si="20"/>
        <v>0</v>
      </c>
      <c r="N112" s="63" t="s">
        <v>122</v>
      </c>
      <c r="O112" s="424" t="str">
        <f t="shared" si="21"/>
        <v xml:space="preserve"> </v>
      </c>
      <c r="P112" s="58" t="s">
        <v>25</v>
      </c>
      <c r="Q112" s="96">
        <v>5</v>
      </c>
      <c r="R112" s="93">
        <v>4</v>
      </c>
      <c r="S112" s="94">
        <f>(M112*R112)/Q112</f>
        <v>0</v>
      </c>
      <c r="T112" s="307"/>
      <c r="X112"/>
    </row>
    <row r="113" spans="2:26" ht="25.5">
      <c r="B113" s="554"/>
      <c r="C113" s="466"/>
      <c r="D113" s="559"/>
      <c r="E113" s="518"/>
      <c r="F113" s="521"/>
      <c r="G113" s="521"/>
      <c r="H113" s="521"/>
      <c r="I113" s="6">
        <v>2.1599999999999988</v>
      </c>
      <c r="J113" s="8" t="s">
        <v>29</v>
      </c>
      <c r="K113" s="1">
        <f>SUMIFS('[2]BESS 11'!H:H,'[2]BESS 11'!$B:$B,$J113)</f>
        <v>6</v>
      </c>
      <c r="L113" s="2">
        <f>SUMIFS('[2]BESS 11'!I:I,'[2]BESS 11'!$B:$B,$J113)</f>
        <v>0</v>
      </c>
      <c r="M113" s="7">
        <f t="shared" si="20"/>
        <v>6</v>
      </c>
      <c r="N113" s="432" t="s">
        <v>263</v>
      </c>
      <c r="O113" s="424">
        <f t="shared" si="21"/>
        <v>46228</v>
      </c>
      <c r="P113" s="5" t="s">
        <v>164</v>
      </c>
      <c r="Q113" s="96">
        <v>20</v>
      </c>
      <c r="R113" s="527">
        <v>4</v>
      </c>
      <c r="S113" s="530">
        <v>4</v>
      </c>
      <c r="T113" s="307"/>
      <c r="X113"/>
      <c r="Z113" s="60"/>
    </row>
    <row r="114" spans="2:26">
      <c r="B114" s="554"/>
      <c r="C114" s="466"/>
      <c r="D114" s="559"/>
      <c r="E114" s="518"/>
      <c r="F114" s="521"/>
      <c r="G114" s="521"/>
      <c r="H114" s="521"/>
      <c r="I114" s="59">
        <v>2.1699999999999986</v>
      </c>
      <c r="J114" s="57" t="s">
        <v>33</v>
      </c>
      <c r="K114" s="2">
        <f>SUMIFS('[2]BESS 11'!H:H,'[2]BESS 11'!$B:$B,$J114)</f>
        <v>2</v>
      </c>
      <c r="L114" s="2">
        <f>SUMIFS('[2]BESS 11'!I:I,'[2]BESS 11'!$B:$B,$J114)</f>
        <v>2</v>
      </c>
      <c r="M114" s="2">
        <f t="shared" si="20"/>
        <v>0</v>
      </c>
      <c r="N114" s="63" t="s">
        <v>122</v>
      </c>
      <c r="O114" s="424" t="str">
        <f t="shared" si="21"/>
        <v xml:space="preserve"> </v>
      </c>
      <c r="P114" s="58" t="s">
        <v>25</v>
      </c>
      <c r="Q114" s="96">
        <v>10</v>
      </c>
      <c r="R114" s="528"/>
      <c r="S114" s="531"/>
      <c r="T114" s="307"/>
      <c r="X114"/>
    </row>
    <row r="115" spans="2:26" ht="25.5">
      <c r="B115" s="554"/>
      <c r="C115" s="466"/>
      <c r="D115" s="559"/>
      <c r="E115" s="518"/>
      <c r="F115" s="521"/>
      <c r="G115" s="521"/>
      <c r="H115" s="521"/>
      <c r="I115" s="59">
        <v>2.1799999999999984</v>
      </c>
      <c r="J115" s="57" t="s">
        <v>36</v>
      </c>
      <c r="K115" s="2">
        <f>SUMIFS('[2]BESS 11'!H:H,'[2]BESS 11'!$B:$B,$J115)</f>
        <v>1</v>
      </c>
      <c r="L115" s="2">
        <f>SUMIFS('[2]BESS 11'!I:I,'[2]BESS 11'!$B:$B,$J115)</f>
        <v>1</v>
      </c>
      <c r="M115" s="2">
        <f t="shared" si="20"/>
        <v>0</v>
      </c>
      <c r="N115" s="432" t="s">
        <v>292</v>
      </c>
      <c r="O115" s="424">
        <f t="shared" si="21"/>
        <v>46223</v>
      </c>
      <c r="P115" s="58" t="s">
        <v>25</v>
      </c>
      <c r="Q115" s="96">
        <v>10</v>
      </c>
      <c r="R115" s="528"/>
      <c r="S115" s="531"/>
      <c r="T115" s="307"/>
      <c r="X115"/>
      <c r="Z115" s="60"/>
    </row>
    <row r="116" spans="2:26">
      <c r="B116" s="554"/>
      <c r="C116" s="466"/>
      <c r="D116" s="559"/>
      <c r="E116" s="518"/>
      <c r="F116" s="521"/>
      <c r="G116" s="521"/>
      <c r="H116" s="521"/>
      <c r="I116" s="59">
        <v>2.1899999999999982</v>
      </c>
      <c r="J116" s="57" t="s">
        <v>39</v>
      </c>
      <c r="K116" s="2">
        <f>SUMIFS('[2]BESS 11'!H:H,'[2]BESS 11'!$B:$B,$J116)</f>
        <v>1</v>
      </c>
      <c r="L116" s="2">
        <f>SUMIFS('[2]BESS 11'!I:I,'[2]BESS 11'!$B:$B,$J116)</f>
        <v>1</v>
      </c>
      <c r="M116" s="2">
        <f t="shared" si="20"/>
        <v>0</v>
      </c>
      <c r="N116" s="63" t="s">
        <v>122</v>
      </c>
      <c r="O116" s="424" t="str">
        <f t="shared" si="21"/>
        <v xml:space="preserve"> </v>
      </c>
      <c r="P116" s="58" t="s">
        <v>25</v>
      </c>
      <c r="Q116" s="96">
        <v>10</v>
      </c>
      <c r="R116" s="528"/>
      <c r="S116" s="531"/>
      <c r="T116" s="307"/>
      <c r="X116"/>
    </row>
    <row r="117" spans="2:26" ht="25.5">
      <c r="B117" s="554"/>
      <c r="C117" s="466"/>
      <c r="D117" s="559"/>
      <c r="E117" s="518"/>
      <c r="F117" s="521"/>
      <c r="G117" s="521"/>
      <c r="H117" s="521"/>
      <c r="I117" s="6">
        <v>2.199999999999998</v>
      </c>
      <c r="J117" s="8" t="s">
        <v>41</v>
      </c>
      <c r="K117" s="1">
        <f>SUMIFS('[2]BESS 11'!H:H,'[2]BESS 11'!$B:$B,$J117)</f>
        <v>6</v>
      </c>
      <c r="L117" s="2">
        <f>SUMIFS('[2]BESS 11'!I:I,'[2]BESS 11'!$B:$B,$J117)</f>
        <v>0</v>
      </c>
      <c r="M117" s="7">
        <f t="shared" si="20"/>
        <v>6</v>
      </c>
      <c r="N117" s="432" t="s">
        <v>310</v>
      </c>
      <c r="O117" s="424">
        <f t="shared" si="21"/>
        <v>46226</v>
      </c>
      <c r="P117" s="140" t="s">
        <v>125</v>
      </c>
      <c r="Q117" s="96">
        <v>20</v>
      </c>
      <c r="R117" s="529"/>
      <c r="S117" s="532"/>
      <c r="T117" s="307"/>
      <c r="X117"/>
    </row>
    <row r="118" spans="2:26" ht="25.5">
      <c r="B118" s="554"/>
      <c r="C118" s="466"/>
      <c r="D118" s="559"/>
      <c r="E118" s="518"/>
      <c r="F118" s="521"/>
      <c r="G118" s="521"/>
      <c r="H118" s="521"/>
      <c r="I118" s="6">
        <v>2.2099999999999977</v>
      </c>
      <c r="J118" s="8" t="s">
        <v>43</v>
      </c>
      <c r="K118" s="1">
        <f>SUMIFS('[2]BESS 11'!H:H,'[2]BESS 11'!$B:$B,$J118)</f>
        <v>6</v>
      </c>
      <c r="L118" s="2">
        <f>SUMIFS('[2]BESS 11'!I:I,'[2]BESS 11'!$B:$B,$J118)</f>
        <v>0</v>
      </c>
      <c r="M118" s="7">
        <f t="shared" si="20"/>
        <v>6</v>
      </c>
      <c r="N118" s="432" t="s">
        <v>258</v>
      </c>
      <c r="O118" s="424">
        <f t="shared" si="21"/>
        <v>46228</v>
      </c>
      <c r="P118" s="140" t="s">
        <v>125</v>
      </c>
      <c r="Q118" s="96">
        <v>0.66666666666666663</v>
      </c>
      <c r="R118" s="93">
        <v>0</v>
      </c>
      <c r="S118" s="94">
        <f t="shared" ref="S118:S130" si="22">(M118*R118)/Q118</f>
        <v>0</v>
      </c>
      <c r="T118" s="307"/>
      <c r="X118"/>
    </row>
    <row r="119" spans="2:26" ht="25.5">
      <c r="B119" s="554"/>
      <c r="C119" s="466"/>
      <c r="D119" s="559"/>
      <c r="E119" s="518"/>
      <c r="F119" s="521"/>
      <c r="G119" s="521"/>
      <c r="H119" s="521"/>
      <c r="I119" s="6">
        <v>2.2199999999999975</v>
      </c>
      <c r="J119" s="8" t="s">
        <v>21</v>
      </c>
      <c r="K119" s="1">
        <f>SUMIFS('[2]BESS 11'!H:H,'[2]BESS 11'!$B:$B,$J119)</f>
        <v>48</v>
      </c>
      <c r="L119" s="2">
        <f>SUMIFS('[2]BESS 11'!I:I,'[2]BESS 11'!$B:$B,$J119)</f>
        <v>48</v>
      </c>
      <c r="M119" s="7">
        <f t="shared" si="20"/>
        <v>0</v>
      </c>
      <c r="N119" s="432" t="s">
        <v>455</v>
      </c>
      <c r="O119" s="424">
        <f t="shared" si="21"/>
        <v>46231</v>
      </c>
      <c r="P119" s="5" t="s">
        <v>449</v>
      </c>
      <c r="Q119" s="96">
        <v>10</v>
      </c>
      <c r="R119" s="93">
        <v>4</v>
      </c>
      <c r="S119" s="94">
        <f t="shared" si="22"/>
        <v>0</v>
      </c>
      <c r="T119" s="322" t="s">
        <v>188</v>
      </c>
      <c r="X119"/>
      <c r="Z119" s="60"/>
    </row>
    <row r="120" spans="2:26">
      <c r="B120" s="554"/>
      <c r="C120" s="466"/>
      <c r="D120" s="559"/>
      <c r="E120" s="518"/>
      <c r="F120" s="521"/>
      <c r="G120" s="521"/>
      <c r="H120" s="521"/>
      <c r="I120" s="59">
        <v>2.2299999999999973</v>
      </c>
      <c r="J120" s="57" t="s">
        <v>47</v>
      </c>
      <c r="K120" s="2">
        <f>SUMIFS('[2]BESS 11'!H:H,'[2]BESS 11'!$B:$B,$J120)</f>
        <v>8171</v>
      </c>
      <c r="L120" s="2">
        <f>SUMIFS('[2]BESS 11'!I:I,'[2]BESS 11'!$B:$B,$J120)</f>
        <v>8171</v>
      </c>
      <c r="M120" s="2">
        <f t="shared" si="20"/>
        <v>0</v>
      </c>
      <c r="N120" s="63" t="s">
        <v>122</v>
      </c>
      <c r="O120" s="424" t="str">
        <f t="shared" si="21"/>
        <v xml:space="preserve"> </v>
      </c>
      <c r="P120" s="58" t="s">
        <v>25</v>
      </c>
      <c r="Q120" s="96">
        <v>1500</v>
      </c>
      <c r="R120" s="93">
        <v>48</v>
      </c>
      <c r="S120" s="94">
        <f t="shared" si="22"/>
        <v>0</v>
      </c>
      <c r="T120" s="307"/>
      <c r="X120"/>
    </row>
    <row r="121" spans="2:26" ht="27">
      <c r="B121" s="554"/>
      <c r="C121" s="466"/>
      <c r="D121" s="559"/>
      <c r="E121" s="518"/>
      <c r="F121" s="521"/>
      <c r="G121" s="521"/>
      <c r="H121" s="521"/>
      <c r="I121" s="6">
        <v>2.2399999999999971</v>
      </c>
      <c r="J121" s="8" t="s">
        <v>48</v>
      </c>
      <c r="K121" s="1">
        <f>SUMIFS('[2]BESS 11'!H:H,'[2]BESS 11'!$B:$B,$J121)</f>
        <v>28</v>
      </c>
      <c r="L121" s="2">
        <f>SUMIFS('[2]BESS 11'!I:I,'[2]BESS 11'!$B:$B,$J121)</f>
        <v>28</v>
      </c>
      <c r="M121" s="7">
        <f t="shared" si="20"/>
        <v>0</v>
      </c>
      <c r="N121" s="432" t="s">
        <v>478</v>
      </c>
      <c r="O121" s="424">
        <f t="shared" si="21"/>
        <v>46234</v>
      </c>
      <c r="P121" s="5" t="s">
        <v>164</v>
      </c>
      <c r="Q121" s="96">
        <v>8</v>
      </c>
      <c r="R121" s="93">
        <v>6</v>
      </c>
      <c r="S121" s="94">
        <f t="shared" si="22"/>
        <v>0</v>
      </c>
      <c r="T121" s="307" t="s">
        <v>253</v>
      </c>
      <c r="X121"/>
    </row>
    <row r="122" spans="2:26">
      <c r="B122" s="554"/>
      <c r="C122" s="466"/>
      <c r="D122" s="559"/>
      <c r="E122" s="518"/>
      <c r="F122" s="521"/>
      <c r="G122" s="521"/>
      <c r="H122" s="521"/>
      <c r="I122" s="59">
        <f t="shared" ref="I122:I141" si="23">I121+0.01</f>
        <v>2.2499999999999969</v>
      </c>
      <c r="J122" s="57" t="s">
        <v>126</v>
      </c>
      <c r="K122" s="2">
        <f>SUMIFS('[2]BESS 11'!H:H,'[2]BESS 11'!$B:$B,$J122)</f>
        <v>13292</v>
      </c>
      <c r="L122" s="2">
        <f>SUMIFS('[2]BESS 11'!I:I,'[2]BESS 11'!$B:$B,$J122)</f>
        <v>13292</v>
      </c>
      <c r="M122" s="2">
        <f t="shared" si="20"/>
        <v>0</v>
      </c>
      <c r="N122" s="63" t="s">
        <v>122</v>
      </c>
      <c r="O122" s="424" t="str">
        <f t="shared" si="21"/>
        <v xml:space="preserve"> </v>
      </c>
      <c r="P122" s="58" t="s">
        <v>25</v>
      </c>
      <c r="Q122" s="96">
        <v>600</v>
      </c>
      <c r="R122" s="93">
        <v>10</v>
      </c>
      <c r="S122" s="94">
        <f t="shared" si="22"/>
        <v>0</v>
      </c>
      <c r="T122" s="307"/>
      <c r="X122"/>
    </row>
    <row r="123" spans="2:26">
      <c r="B123" s="554"/>
      <c r="C123" s="466"/>
      <c r="D123" s="559"/>
      <c r="E123" s="518"/>
      <c r="F123" s="521"/>
      <c r="G123" s="521"/>
      <c r="H123" s="521"/>
      <c r="I123" s="59">
        <f t="shared" si="23"/>
        <v>2.2599999999999967</v>
      </c>
      <c r="J123" s="57" t="s">
        <v>127</v>
      </c>
      <c r="K123" s="2">
        <f>SUMIFS('[2]BESS 11'!H:H,'[2]BESS 11'!$B:$B,$J123)</f>
        <v>46080</v>
      </c>
      <c r="L123" s="2">
        <f>SUMIFS('[2]BESS 11'!I:I,'[2]BESS 11'!$B:$B,$J123)</f>
        <v>46080</v>
      </c>
      <c r="M123" s="2">
        <f t="shared" si="20"/>
        <v>0</v>
      </c>
      <c r="N123" s="63" t="s">
        <v>122</v>
      </c>
      <c r="O123" s="424" t="str">
        <f t="shared" si="21"/>
        <v xml:space="preserve"> </v>
      </c>
      <c r="P123" s="58" t="s">
        <v>25</v>
      </c>
      <c r="Q123" s="96">
        <v>600</v>
      </c>
      <c r="R123" s="93">
        <v>10</v>
      </c>
      <c r="S123" s="94">
        <f t="shared" si="22"/>
        <v>0</v>
      </c>
      <c r="T123" s="307"/>
      <c r="X123"/>
    </row>
    <row r="124" spans="2:26">
      <c r="B124" s="554"/>
      <c r="C124" s="466"/>
      <c r="D124" s="559"/>
      <c r="E124" s="518"/>
      <c r="F124" s="521"/>
      <c r="G124" s="521"/>
      <c r="H124" s="521"/>
      <c r="I124" s="6">
        <f t="shared" si="23"/>
        <v>2.2699999999999965</v>
      </c>
      <c r="J124" s="8" t="s">
        <v>128</v>
      </c>
      <c r="K124" s="1">
        <f>SUMIFS('[2]BESS 11'!H:H,'[2]BESS 11'!$B:$B,$J124)</f>
        <v>1536</v>
      </c>
      <c r="L124" s="2">
        <f>SUMIFS('[2]BESS 11'!I:I,'[2]BESS 11'!$B:$B,$J124)</f>
        <v>0</v>
      </c>
      <c r="M124" s="7">
        <f t="shared" si="20"/>
        <v>1536</v>
      </c>
      <c r="N124" s="436" t="s">
        <v>302</v>
      </c>
      <c r="O124" s="424">
        <f t="shared" si="21"/>
        <v>46237</v>
      </c>
      <c r="P124" s="5" t="s">
        <v>164</v>
      </c>
      <c r="Q124" s="96">
        <v>30</v>
      </c>
      <c r="R124" s="93">
        <v>18</v>
      </c>
      <c r="S124" s="94">
        <f t="shared" si="22"/>
        <v>921.6</v>
      </c>
      <c r="T124" s="304"/>
      <c r="X124"/>
      <c r="Z124" s="60"/>
    </row>
    <row r="125" spans="2:26">
      <c r="B125" s="554"/>
      <c r="C125" s="466"/>
      <c r="D125" s="559"/>
      <c r="E125" s="518"/>
      <c r="F125" s="521"/>
      <c r="G125" s="521"/>
      <c r="H125" s="521"/>
      <c r="I125" s="6">
        <f t="shared" si="23"/>
        <v>2.2799999999999963</v>
      </c>
      <c r="J125" s="8" t="s">
        <v>129</v>
      </c>
      <c r="K125" s="1">
        <f>SUMIFS('[2]BESS 11'!H:H,'[2]BESS 11'!$B:$B,$J125)</f>
        <v>2304</v>
      </c>
      <c r="L125" s="2">
        <f>SUMIFS('[2]BESS 11'!I:I,'[2]BESS 11'!$B:$B,$J125)</f>
        <v>0</v>
      </c>
      <c r="M125" s="7">
        <f t="shared" ref="M125:M140" si="24">K125-L125</f>
        <v>2304</v>
      </c>
      <c r="N125" s="436" t="s">
        <v>302</v>
      </c>
      <c r="O125" s="424">
        <f t="shared" si="21"/>
        <v>46237</v>
      </c>
      <c r="P125" s="5" t="s">
        <v>164</v>
      </c>
      <c r="Q125" s="96">
        <v>30</v>
      </c>
      <c r="R125" s="93">
        <v>18</v>
      </c>
      <c r="S125" s="94">
        <f t="shared" si="22"/>
        <v>1382.4</v>
      </c>
      <c r="T125" s="307"/>
      <c r="X125"/>
      <c r="Z125" s="60"/>
    </row>
    <row r="126" spans="2:26" ht="25.5">
      <c r="B126" s="554"/>
      <c r="C126" s="466"/>
      <c r="D126" s="559"/>
      <c r="E126" s="518"/>
      <c r="F126" s="521"/>
      <c r="G126" s="521"/>
      <c r="H126" s="521"/>
      <c r="I126" s="6">
        <f t="shared" si="23"/>
        <v>2.289999999999996</v>
      </c>
      <c r="J126" s="8" t="s">
        <v>130</v>
      </c>
      <c r="K126" s="1">
        <f>SUMIFS('[2]BESS 11'!H:H,'[2]BESS 11'!$B:$B,$J126)</f>
        <v>8391</v>
      </c>
      <c r="L126" s="2">
        <f>SUMIFS('[2]BESS 11'!I:I,'[2]BESS 11'!$B:$B,$J126)</f>
        <v>4672</v>
      </c>
      <c r="M126" s="7">
        <f t="shared" si="24"/>
        <v>3719</v>
      </c>
      <c r="N126" s="432" t="s">
        <v>282</v>
      </c>
      <c r="O126" s="424">
        <f t="shared" si="21"/>
        <v>46233</v>
      </c>
      <c r="P126" s="5" t="s">
        <v>164</v>
      </c>
      <c r="Q126" s="96">
        <v>1000</v>
      </c>
      <c r="R126" s="93">
        <v>10</v>
      </c>
      <c r="S126" s="94">
        <f t="shared" si="22"/>
        <v>37.19</v>
      </c>
      <c r="T126" s="323"/>
      <c r="X126"/>
      <c r="Z126" s="60"/>
    </row>
    <row r="127" spans="2:26">
      <c r="B127" s="554"/>
      <c r="C127" s="466"/>
      <c r="D127" s="559"/>
      <c r="E127" s="518"/>
      <c r="F127" s="521"/>
      <c r="G127" s="521"/>
      <c r="H127" s="521"/>
      <c r="I127" s="6">
        <f t="shared" si="23"/>
        <v>2.2999999999999958</v>
      </c>
      <c r="J127" s="8" t="s">
        <v>131</v>
      </c>
      <c r="K127" s="1">
        <f>SUMIFS('[2]BESS 11'!H:H,'[2]BESS 11'!$B:$B,$J127)</f>
        <v>14355</v>
      </c>
      <c r="L127" s="2">
        <f>SUMIFS('[2]BESS 11'!I:I,'[2]BESS 11'!$B:$B,$J127)</f>
        <v>2528</v>
      </c>
      <c r="M127" s="7">
        <f t="shared" si="24"/>
        <v>11827</v>
      </c>
      <c r="N127" s="436" t="s">
        <v>283</v>
      </c>
      <c r="O127" s="424">
        <f t="shared" si="21"/>
        <v>46233</v>
      </c>
      <c r="P127" s="5" t="s">
        <v>164</v>
      </c>
      <c r="Q127" s="96">
        <v>1000</v>
      </c>
      <c r="R127" s="93">
        <v>10</v>
      </c>
      <c r="S127" s="94">
        <f t="shared" si="22"/>
        <v>118.27</v>
      </c>
      <c r="T127" s="307"/>
      <c r="X127"/>
      <c r="Z127" s="60"/>
    </row>
    <row r="128" spans="2:26">
      <c r="B128" s="554"/>
      <c r="C128" s="466"/>
      <c r="D128" s="559"/>
      <c r="E128" s="518"/>
      <c r="F128" s="521"/>
      <c r="G128" s="521"/>
      <c r="H128" s="521"/>
      <c r="I128" s="6">
        <f t="shared" si="23"/>
        <v>2.3099999999999956</v>
      </c>
      <c r="J128" s="8" t="s">
        <v>132</v>
      </c>
      <c r="K128" s="1">
        <f>SUMIFS('[2]BESS 11'!H:H,'[2]BESS 11'!$B:$B,$J128)</f>
        <v>4792</v>
      </c>
      <c r="L128" s="2">
        <f>SUMIFS('[2]BESS 11'!I:I,'[2]BESS 11'!$B:$B,$J128)</f>
        <v>0</v>
      </c>
      <c r="M128" s="7">
        <f t="shared" si="24"/>
        <v>4792</v>
      </c>
      <c r="N128" s="436" t="s">
        <v>283</v>
      </c>
      <c r="O128" s="424">
        <f t="shared" si="21"/>
        <v>46233</v>
      </c>
      <c r="P128" s="5" t="s">
        <v>164</v>
      </c>
      <c r="Q128" s="96">
        <v>500</v>
      </c>
      <c r="R128" s="93">
        <v>10</v>
      </c>
      <c r="S128" s="94">
        <f t="shared" si="22"/>
        <v>95.84</v>
      </c>
      <c r="T128" s="567"/>
      <c r="X128"/>
      <c r="Z128" s="60"/>
    </row>
    <row r="129" spans="2:26">
      <c r="B129" s="554"/>
      <c r="C129" s="466"/>
      <c r="D129" s="559"/>
      <c r="E129" s="518"/>
      <c r="F129" s="521"/>
      <c r="G129" s="521"/>
      <c r="H129" s="521"/>
      <c r="I129" s="6">
        <f t="shared" si="23"/>
        <v>2.3199999999999954</v>
      </c>
      <c r="J129" s="8" t="s">
        <v>133</v>
      </c>
      <c r="K129" s="1">
        <f>SUMIFS('[2]BESS 11'!H:H,'[2]BESS 11'!$B:$B,$J129)</f>
        <v>286</v>
      </c>
      <c r="L129" s="2">
        <f>SUMIFS('[2]BESS 11'!I:I,'[2]BESS 11'!$B:$B,$J129)</f>
        <v>0</v>
      </c>
      <c r="M129" s="7">
        <f t="shared" si="24"/>
        <v>286</v>
      </c>
      <c r="N129" s="436" t="s">
        <v>284</v>
      </c>
      <c r="O129" s="424">
        <f t="shared" si="21"/>
        <v>46237</v>
      </c>
      <c r="P129" s="5" t="s">
        <v>164</v>
      </c>
      <c r="Q129" s="96">
        <v>30</v>
      </c>
      <c r="R129" s="93">
        <v>6</v>
      </c>
      <c r="S129" s="94">
        <f t="shared" si="22"/>
        <v>57.2</v>
      </c>
      <c r="T129" s="567"/>
      <c r="X129"/>
      <c r="Z129" s="60"/>
    </row>
    <row r="130" spans="2:26">
      <c r="B130" s="554"/>
      <c r="C130" s="466"/>
      <c r="D130" s="559"/>
      <c r="E130" s="518"/>
      <c r="F130" s="521"/>
      <c r="G130" s="521"/>
      <c r="H130" s="521"/>
      <c r="I130" s="6">
        <f t="shared" si="23"/>
        <v>2.3299999999999952</v>
      </c>
      <c r="J130" s="8" t="s">
        <v>134</v>
      </c>
      <c r="K130" s="1">
        <f>SUMIFS('[2]BESS 11'!H:H,'[2]BESS 11'!$B:$B,$J130)</f>
        <v>524</v>
      </c>
      <c r="L130" s="2">
        <f>SUMIFS('[2]BESS 11'!I:I,'[2]BESS 11'!$B:$B,$J130)</f>
        <v>0</v>
      </c>
      <c r="M130" s="7">
        <f t="shared" si="24"/>
        <v>524</v>
      </c>
      <c r="N130" s="436" t="s">
        <v>284</v>
      </c>
      <c r="O130" s="424">
        <f t="shared" si="21"/>
        <v>46237</v>
      </c>
      <c r="P130" s="5" t="s">
        <v>443</v>
      </c>
      <c r="Q130" s="96">
        <v>30</v>
      </c>
      <c r="R130" s="93">
        <v>4</v>
      </c>
      <c r="S130" s="94">
        <f t="shared" si="22"/>
        <v>69.86666666666666</v>
      </c>
      <c r="T130" s="567"/>
      <c r="X130"/>
      <c r="Z130" s="60"/>
    </row>
    <row r="131" spans="2:26" ht="25.5">
      <c r="B131" s="554"/>
      <c r="C131" s="466"/>
      <c r="D131" s="559"/>
      <c r="E131" s="518"/>
      <c r="F131" s="521"/>
      <c r="G131" s="521"/>
      <c r="H131" s="521"/>
      <c r="I131" s="6">
        <f t="shared" si="23"/>
        <v>2.339999999999995</v>
      </c>
      <c r="J131" s="8" t="s">
        <v>136</v>
      </c>
      <c r="K131" s="1">
        <f>SUMIFS('[2]BESS 11'!H:H,'[2]BESS 11'!$B:$B,$J131)</f>
        <v>384</v>
      </c>
      <c r="L131" s="2">
        <f>SUMIFS('[2]BESS 11'!I:I,'[2]BESS 11'!$B:$B,$J131)</f>
        <v>0</v>
      </c>
      <c r="M131" s="7">
        <f t="shared" si="24"/>
        <v>384</v>
      </c>
      <c r="N131" s="436" t="s">
        <v>284</v>
      </c>
      <c r="O131" s="424">
        <f t="shared" si="21"/>
        <v>46237</v>
      </c>
      <c r="P131" s="5" t="s">
        <v>443</v>
      </c>
      <c r="Q131" s="96" t="s">
        <v>89</v>
      </c>
      <c r="R131" s="93" t="s">
        <v>89</v>
      </c>
      <c r="S131" s="94" t="s">
        <v>89</v>
      </c>
      <c r="T131" s="307"/>
      <c r="U131">
        <f ca="1">O131-$T$1</f>
        <v>4</v>
      </c>
      <c r="V131" s="97">
        <f>SUM(S110:S141)</f>
        <v>3004.18</v>
      </c>
      <c r="X131"/>
      <c r="Z131" s="60"/>
    </row>
    <row r="132" spans="2:26">
      <c r="B132" s="554"/>
      <c r="C132" s="466"/>
      <c r="D132" s="559"/>
      <c r="E132" s="518"/>
      <c r="F132" s="521"/>
      <c r="G132" s="521"/>
      <c r="H132" s="521"/>
      <c r="I132" s="56">
        <f t="shared" si="23"/>
        <v>2.3499999999999948</v>
      </c>
      <c r="J132" s="57" t="s">
        <v>137</v>
      </c>
      <c r="K132" s="2">
        <f>SUMIFS('[2]BESS 11'!H:H,'[2]BESS 11'!$B:$B,$J132)</f>
        <v>6</v>
      </c>
      <c r="L132" s="2">
        <f>SUMIFS('[2]BESS 11'!I:I,'[2]BESS 11'!$B:$B,$J132)</f>
        <v>6</v>
      </c>
      <c r="M132" s="2">
        <f t="shared" si="24"/>
        <v>0</v>
      </c>
      <c r="N132" s="63" t="s">
        <v>122</v>
      </c>
      <c r="O132" s="424" t="str">
        <f t="shared" si="21"/>
        <v xml:space="preserve"> </v>
      </c>
      <c r="P132" s="58" t="s">
        <v>138</v>
      </c>
      <c r="Q132" s="533">
        <v>2</v>
      </c>
      <c r="R132" s="527">
        <v>8</v>
      </c>
      <c r="S132" s="94" t="s">
        <v>89</v>
      </c>
      <c r="T132" s="307"/>
      <c r="X132"/>
    </row>
    <row r="133" spans="2:26">
      <c r="B133" s="554"/>
      <c r="C133" s="466"/>
      <c r="D133" s="559"/>
      <c r="E133" s="518"/>
      <c r="F133" s="521"/>
      <c r="G133" s="521"/>
      <c r="H133" s="521"/>
      <c r="I133" s="6">
        <f t="shared" si="23"/>
        <v>2.3599999999999945</v>
      </c>
      <c r="J133" s="8" t="s">
        <v>139</v>
      </c>
      <c r="K133" s="1">
        <f>SUMIFS('[2]BESS 11'!H:H,'[2]BESS 11'!$B:$B,$J133)</f>
        <v>6</v>
      </c>
      <c r="L133" s="2">
        <f>SUMIFS('[2]BESS 11'!I:I,'[2]BESS 11'!$B:$B,$J133)</f>
        <v>0</v>
      </c>
      <c r="M133" s="7">
        <f t="shared" si="24"/>
        <v>6</v>
      </c>
      <c r="N133" s="436" t="s">
        <v>330</v>
      </c>
      <c r="O133" s="424">
        <f t="shared" si="21"/>
        <v>46233</v>
      </c>
      <c r="P133" s="5" t="s">
        <v>164</v>
      </c>
      <c r="Q133" s="534"/>
      <c r="R133" s="529"/>
      <c r="S133" s="94">
        <v>12</v>
      </c>
      <c r="T133" s="309"/>
      <c r="X133"/>
      <c r="Z133" s="60"/>
    </row>
    <row r="134" spans="2:26" ht="25.5">
      <c r="B134" s="554"/>
      <c r="C134" s="466"/>
      <c r="D134" s="559"/>
      <c r="E134" s="518"/>
      <c r="F134" s="521"/>
      <c r="G134" s="521"/>
      <c r="H134" s="521"/>
      <c r="I134" s="6">
        <f t="shared" si="23"/>
        <v>2.3699999999999943</v>
      </c>
      <c r="J134" s="8" t="s">
        <v>140</v>
      </c>
      <c r="K134" s="1">
        <f>SUMIFS('[2]BESS 11'!H:H,'[2]BESS 11'!$B:$B,$J134)</f>
        <v>6</v>
      </c>
      <c r="L134" s="2">
        <f>SUMIFS('[2]BESS 11'!I:I,'[2]BESS 11'!$B:$B,$J134)</f>
        <v>0</v>
      </c>
      <c r="M134" s="7">
        <f t="shared" si="24"/>
        <v>6</v>
      </c>
      <c r="N134" s="436" t="s">
        <v>356</v>
      </c>
      <c r="O134" s="424">
        <f t="shared" si="21"/>
        <v>46240</v>
      </c>
      <c r="P134" s="5" t="s">
        <v>164</v>
      </c>
      <c r="Q134" s="96">
        <v>2</v>
      </c>
      <c r="R134" s="93">
        <v>4</v>
      </c>
      <c r="S134" s="94">
        <f t="shared" ref="S134:S141" si="25">(M134*R134)/Q134</f>
        <v>12</v>
      </c>
      <c r="T134" s="317"/>
      <c r="U134">
        <f ca="1">O134-$T$1</f>
        <v>7</v>
      </c>
      <c r="V134" s="98">
        <f>SUM(S110:S141)</f>
        <v>3004.18</v>
      </c>
      <c r="X134"/>
      <c r="Z134" s="60"/>
    </row>
    <row r="135" spans="2:26" ht="25.5">
      <c r="B135" s="554"/>
      <c r="C135" s="466"/>
      <c r="D135" s="559"/>
      <c r="E135" s="518"/>
      <c r="F135" s="521"/>
      <c r="G135" s="521"/>
      <c r="H135" s="521"/>
      <c r="I135" s="6">
        <f t="shared" si="23"/>
        <v>2.3799999999999941</v>
      </c>
      <c r="J135" s="8" t="s">
        <v>141</v>
      </c>
      <c r="K135" s="1">
        <f>SUMIFS('[2]BESS 11'!H:H,'[2]BESS 11'!$B:$B,$J135)</f>
        <v>12</v>
      </c>
      <c r="L135" s="2">
        <f>SUMIFS('[2]BESS 11'!I:I,'[2]BESS 11'!$B:$B,$J135)</f>
        <v>0</v>
      </c>
      <c r="M135" s="7">
        <f t="shared" si="24"/>
        <v>12</v>
      </c>
      <c r="N135" s="436" t="s">
        <v>331</v>
      </c>
      <c r="O135" s="424">
        <f t="shared" si="21"/>
        <v>46232</v>
      </c>
      <c r="P135" s="5" t="s">
        <v>164</v>
      </c>
      <c r="Q135" s="96">
        <v>0.5</v>
      </c>
      <c r="R135" s="93">
        <v>4</v>
      </c>
      <c r="S135" s="94">
        <f t="shared" si="25"/>
        <v>96</v>
      </c>
      <c r="T135" s="317"/>
      <c r="X135"/>
      <c r="Z135" s="60"/>
    </row>
    <row r="136" spans="2:26">
      <c r="B136" s="554"/>
      <c r="C136" s="466"/>
      <c r="D136" s="559"/>
      <c r="E136" s="518"/>
      <c r="F136" s="521"/>
      <c r="G136" s="521"/>
      <c r="H136" s="521"/>
      <c r="I136" s="6">
        <f t="shared" si="23"/>
        <v>2.3899999999999939</v>
      </c>
      <c r="J136" s="8" t="s">
        <v>142</v>
      </c>
      <c r="K136" s="1">
        <f>SUMIFS('[2]BESS 11'!H:H,'[2]BESS 11'!$B:$B,$J136)</f>
        <v>16</v>
      </c>
      <c r="L136" s="2">
        <f>SUMIFS('[2]BESS 11'!I:I,'[2]BESS 11'!$B:$B,$J136)</f>
        <v>0</v>
      </c>
      <c r="M136" s="7">
        <f t="shared" si="24"/>
        <v>16</v>
      </c>
      <c r="N136" s="436" t="s">
        <v>357</v>
      </c>
      <c r="O136" s="424">
        <f t="shared" si="21"/>
        <v>46239</v>
      </c>
      <c r="P136" s="5" t="s">
        <v>164</v>
      </c>
      <c r="Q136" s="96">
        <v>6</v>
      </c>
      <c r="R136" s="93">
        <v>4</v>
      </c>
      <c r="S136" s="94">
        <f t="shared" si="25"/>
        <v>10.666666666666666</v>
      </c>
      <c r="T136" s="307"/>
      <c r="X136"/>
      <c r="Z136" s="60"/>
    </row>
    <row r="137" spans="2:26">
      <c r="B137" s="554"/>
      <c r="C137" s="466"/>
      <c r="D137" s="559"/>
      <c r="E137" s="518"/>
      <c r="F137" s="521"/>
      <c r="G137" s="521"/>
      <c r="H137" s="521"/>
      <c r="I137" s="6">
        <f t="shared" si="23"/>
        <v>2.3999999999999937</v>
      </c>
      <c r="J137" s="8" t="s">
        <v>143</v>
      </c>
      <c r="K137" s="1">
        <f>SUMIFS('[2]BESS 11'!H:H,'[2]BESS 11'!$B:$B,$J137)</f>
        <v>14</v>
      </c>
      <c r="L137" s="2">
        <f>SUMIFS('[2]BESS 11'!I:I,'[2]BESS 11'!$B:$B,$J137)</f>
        <v>0</v>
      </c>
      <c r="M137" s="7">
        <f t="shared" si="24"/>
        <v>14</v>
      </c>
      <c r="N137" s="436" t="s">
        <v>234</v>
      </c>
      <c r="O137" s="424">
        <f t="shared" si="21"/>
        <v>46228</v>
      </c>
      <c r="P137" s="5" t="s">
        <v>164</v>
      </c>
      <c r="Q137" s="96">
        <v>6</v>
      </c>
      <c r="R137" s="93">
        <v>5</v>
      </c>
      <c r="S137" s="94">
        <f t="shared" si="25"/>
        <v>11.666666666666666</v>
      </c>
      <c r="T137" s="307"/>
      <c r="X137"/>
      <c r="Z137" s="60"/>
    </row>
    <row r="138" spans="2:26">
      <c r="B138" s="554"/>
      <c r="C138" s="466"/>
      <c r="D138" s="559"/>
      <c r="E138" s="518"/>
      <c r="F138" s="521"/>
      <c r="G138" s="521"/>
      <c r="H138" s="521"/>
      <c r="I138" s="6">
        <f t="shared" si="23"/>
        <v>2.4099999999999935</v>
      </c>
      <c r="J138" s="8" t="s">
        <v>144</v>
      </c>
      <c r="K138" s="1">
        <f>SUMIFS('[2]BESS 11'!H:H,'[2]BESS 11'!$B:$B,$J138)</f>
        <v>1</v>
      </c>
      <c r="L138" s="2">
        <f>SUMIFS('[2]BESS 11'!I:I,'[2]BESS 11'!$B:$B,$J138)</f>
        <v>0</v>
      </c>
      <c r="M138" s="7">
        <f t="shared" si="24"/>
        <v>1</v>
      </c>
      <c r="N138" s="436" t="s">
        <v>332</v>
      </c>
      <c r="O138" s="424">
        <f t="shared" si="21"/>
        <v>46233</v>
      </c>
      <c r="P138" s="5" t="s">
        <v>164</v>
      </c>
      <c r="Q138" s="96">
        <v>1</v>
      </c>
      <c r="R138" s="93">
        <v>5</v>
      </c>
      <c r="S138" s="94">
        <f t="shared" si="25"/>
        <v>5</v>
      </c>
      <c r="T138" s="580"/>
      <c r="X138"/>
      <c r="Z138" s="60"/>
    </row>
    <row r="139" spans="2:26">
      <c r="B139" s="554"/>
      <c r="C139" s="466"/>
      <c r="D139" s="559"/>
      <c r="E139" s="518"/>
      <c r="F139" s="521"/>
      <c r="G139" s="521"/>
      <c r="H139" s="521"/>
      <c r="I139" s="6">
        <f t="shared" si="23"/>
        <v>2.4199999999999933</v>
      </c>
      <c r="J139" s="8" t="s">
        <v>145</v>
      </c>
      <c r="K139" s="1">
        <f>SUMIFS('[2]BESS 11'!H:H,'[2]BESS 11'!$B:$B,$J139)</f>
        <v>6</v>
      </c>
      <c r="L139" s="2">
        <f>SUMIFS('[2]BESS 11'!I:I,'[2]BESS 11'!$B:$B,$J139)</f>
        <v>0</v>
      </c>
      <c r="M139" s="7">
        <f t="shared" si="24"/>
        <v>6</v>
      </c>
      <c r="N139" s="436" t="s">
        <v>331</v>
      </c>
      <c r="O139" s="424">
        <f t="shared" si="21"/>
        <v>46232</v>
      </c>
      <c r="P139" s="5" t="s">
        <v>164</v>
      </c>
      <c r="Q139" s="96">
        <v>3</v>
      </c>
      <c r="R139" s="93">
        <v>5</v>
      </c>
      <c r="S139" s="94">
        <f t="shared" si="25"/>
        <v>10</v>
      </c>
      <c r="T139" s="580"/>
      <c r="X139"/>
      <c r="Z139" s="60"/>
    </row>
    <row r="140" spans="2:26">
      <c r="B140" s="554"/>
      <c r="C140" s="466"/>
      <c r="D140" s="559"/>
      <c r="E140" s="518"/>
      <c r="F140" s="521"/>
      <c r="G140" s="521"/>
      <c r="H140" s="521"/>
      <c r="I140" s="6">
        <f t="shared" si="23"/>
        <v>2.4299999999999931</v>
      </c>
      <c r="J140" s="8" t="s">
        <v>54</v>
      </c>
      <c r="K140" s="1">
        <f>SUMIFS('[2]BESS 11'!H:H,'[2]BESS 11'!$B:$B,$J140)</f>
        <v>4284</v>
      </c>
      <c r="L140" s="2">
        <f>SUMIFS('[2]BESS 11'!I:I,'[2]BESS 11'!$B:$B,$J140)</f>
        <v>572</v>
      </c>
      <c r="M140" s="7">
        <f t="shared" si="24"/>
        <v>3712</v>
      </c>
      <c r="N140" s="436" t="s">
        <v>328</v>
      </c>
      <c r="O140" s="424">
        <f t="shared" si="21"/>
        <v>46235</v>
      </c>
      <c r="P140" s="5" t="s">
        <v>164</v>
      </c>
      <c r="Q140" s="96">
        <v>150</v>
      </c>
      <c r="R140" s="93">
        <v>6</v>
      </c>
      <c r="S140" s="94">
        <f t="shared" si="25"/>
        <v>148.47999999999999</v>
      </c>
      <c r="T140" s="580"/>
      <c r="X140"/>
    </row>
    <row r="141" spans="2:26" ht="14.25" thickBot="1">
      <c r="B141" s="555"/>
      <c r="C141" s="557"/>
      <c r="D141" s="560"/>
      <c r="E141" s="519"/>
      <c r="F141" s="522"/>
      <c r="G141" s="522"/>
      <c r="H141" s="522"/>
      <c r="I141" s="22">
        <f t="shared" si="23"/>
        <v>2.4399999999999928</v>
      </c>
      <c r="J141" s="352" t="s">
        <v>55</v>
      </c>
      <c r="K141" s="24">
        <f>SUMIFS('[2]BESS 11'!H:H,'[2]BESS 11'!$B:$B,$J141)</f>
        <v>10</v>
      </c>
      <c r="L141" s="25">
        <f>SUMIFS('[2]BESS 11'!I:I,'[2]BESS 11'!$B:$B,$J141)</f>
        <v>0</v>
      </c>
      <c r="M141" s="26">
        <f t="shared" si="20"/>
        <v>10</v>
      </c>
      <c r="N141" s="437" t="s">
        <v>328</v>
      </c>
      <c r="O141" s="426">
        <f t="shared" si="21"/>
        <v>46235</v>
      </c>
      <c r="P141" s="5" t="s">
        <v>164</v>
      </c>
      <c r="Q141" s="265">
        <v>5</v>
      </c>
      <c r="R141" s="266">
        <v>6</v>
      </c>
      <c r="S141" s="267">
        <f t="shared" si="25"/>
        <v>12</v>
      </c>
      <c r="T141" s="581"/>
      <c r="X141"/>
    </row>
    <row r="142" spans="2:26">
      <c r="B142" s="472" t="s">
        <v>17</v>
      </c>
      <c r="C142" s="475">
        <v>1</v>
      </c>
      <c r="D142" s="523" t="s">
        <v>568</v>
      </c>
      <c r="E142" s="524" t="s">
        <v>120</v>
      </c>
      <c r="F142" s="512">
        <v>46243</v>
      </c>
      <c r="G142" s="478">
        <v>46248</v>
      </c>
      <c r="H142" s="478">
        <v>46251</v>
      </c>
      <c r="I142" s="54"/>
      <c r="J142" s="48"/>
      <c r="K142" s="48"/>
      <c r="L142" s="45" t="s">
        <v>121</v>
      </c>
      <c r="M142" s="48"/>
      <c r="N142" s="48"/>
      <c r="O142" s="424"/>
      <c r="P142" s="76"/>
      <c r="Q142" s="268"/>
      <c r="R142" s="269"/>
      <c r="S142" s="270"/>
      <c r="T142" s="324"/>
      <c r="X142"/>
    </row>
    <row r="143" spans="2:26" ht="25.5">
      <c r="B143" s="473"/>
      <c r="C143" s="476"/>
      <c r="D143" s="513"/>
      <c r="E143" s="445"/>
      <c r="F143" s="516"/>
      <c r="G143" s="456"/>
      <c r="H143" s="456"/>
      <c r="I143" s="56">
        <v>1.1000000000000001</v>
      </c>
      <c r="J143" s="57" t="s">
        <v>19</v>
      </c>
      <c r="K143" s="2">
        <f>SUMIFS('[2]BESS 11'!D:D,'[2]BESS 11'!$B:$B,$J143)</f>
        <v>48</v>
      </c>
      <c r="L143" s="2">
        <f>SUMIFS('[2]BESS 11'!E:E,'[2]BESS 11'!$B:$B,$J143)</f>
        <v>48</v>
      </c>
      <c r="M143" s="2">
        <f>K143-L143</f>
        <v>0</v>
      </c>
      <c r="N143" s="63" t="s">
        <v>122</v>
      </c>
      <c r="O143" s="424" t="str">
        <f t="shared" ref="O143:O153" si="26">IF(LEN(N143)=5,N143,(IF(N143="Completed"," ",DATEVALUE(RIGHT(N143,6)))))</f>
        <v xml:space="preserve"> </v>
      </c>
      <c r="P143" s="58" t="s">
        <v>20</v>
      </c>
      <c r="Q143" s="96">
        <v>1</v>
      </c>
      <c r="R143" s="93">
        <v>2</v>
      </c>
      <c r="S143" s="94">
        <f t="shared" ref="S143:S152" si="27">(M143*R143)/Q143</f>
        <v>0</v>
      </c>
      <c r="T143" s="325"/>
      <c r="X143"/>
    </row>
    <row r="144" spans="2:26">
      <c r="B144" s="473"/>
      <c r="C144" s="476"/>
      <c r="D144" s="513"/>
      <c r="E144" s="445"/>
      <c r="F144" s="516"/>
      <c r="G144" s="456"/>
      <c r="H144" s="456"/>
      <c r="I144" s="56">
        <v>1.2000000000000002</v>
      </c>
      <c r="J144" s="57" t="s">
        <v>23</v>
      </c>
      <c r="K144" s="2">
        <f>SUMIFS('[2]BESS 11'!D:D,'[2]BESS 11'!$B:$B,$J144)</f>
        <v>6</v>
      </c>
      <c r="L144" s="2">
        <f>SUMIFS('[2]BESS 11'!E:E,'[2]BESS 11'!$B:$B,$J144)</f>
        <v>6</v>
      </c>
      <c r="M144" s="2">
        <f t="shared" ref="M144:M153" si="28">K144-L144</f>
        <v>0</v>
      </c>
      <c r="N144" s="63" t="s">
        <v>122</v>
      </c>
      <c r="O144" s="424" t="str">
        <f t="shared" si="26"/>
        <v xml:space="preserve"> </v>
      </c>
      <c r="P144" s="58" t="s">
        <v>20</v>
      </c>
      <c r="Q144" s="96">
        <v>1</v>
      </c>
      <c r="R144" s="93">
        <v>16</v>
      </c>
      <c r="S144" s="94">
        <f t="shared" si="27"/>
        <v>0</v>
      </c>
      <c r="T144" s="325"/>
      <c r="X144"/>
    </row>
    <row r="145" spans="2:26">
      <c r="B145" s="473"/>
      <c r="C145" s="476"/>
      <c r="D145" s="513"/>
      <c r="E145" s="445"/>
      <c r="F145" s="516"/>
      <c r="G145" s="456"/>
      <c r="H145" s="456"/>
      <c r="I145" s="56">
        <v>1.3000000000000003</v>
      </c>
      <c r="J145" s="57" t="s">
        <v>26</v>
      </c>
      <c r="K145" s="2">
        <f>SUMIFS('[2]BESS 11'!D:D,'[2]BESS 11'!$B:$B,$J145)</f>
        <v>6</v>
      </c>
      <c r="L145" s="2">
        <f>SUMIFS('[2]BESS 11'!E:E,'[2]BESS 11'!$B:$B,$J145)</f>
        <v>6</v>
      </c>
      <c r="M145" s="2">
        <f t="shared" si="28"/>
        <v>0</v>
      </c>
      <c r="N145" s="63" t="s">
        <v>122</v>
      </c>
      <c r="O145" s="424" t="str">
        <f t="shared" si="26"/>
        <v xml:space="preserve"> </v>
      </c>
      <c r="P145" s="58" t="s">
        <v>20</v>
      </c>
      <c r="Q145" s="96">
        <v>1</v>
      </c>
      <c r="R145" s="93">
        <v>39</v>
      </c>
      <c r="S145" s="94">
        <f t="shared" si="27"/>
        <v>0</v>
      </c>
      <c r="T145" s="325"/>
      <c r="X145"/>
    </row>
    <row r="146" spans="2:26">
      <c r="B146" s="473"/>
      <c r="C146" s="476"/>
      <c r="D146" s="513"/>
      <c r="E146" s="445"/>
      <c r="F146" s="516"/>
      <c r="G146" s="456"/>
      <c r="H146" s="456"/>
      <c r="I146" s="56">
        <v>1.4000000000000004</v>
      </c>
      <c r="J146" s="57" t="s">
        <v>32</v>
      </c>
      <c r="K146" s="2">
        <f>SUMIFS('[2]BESS 11'!D:D,'[2]BESS 11'!$B:$B,$J146)</f>
        <v>1</v>
      </c>
      <c r="L146" s="2">
        <f>SUMIFS('[2]BESS 11'!E:E,'[2]BESS 11'!$B:$B,$J146)</f>
        <v>1</v>
      </c>
      <c r="M146" s="2">
        <f t="shared" si="28"/>
        <v>0</v>
      </c>
      <c r="N146" s="63" t="s">
        <v>122</v>
      </c>
      <c r="O146" s="424" t="str">
        <f t="shared" si="26"/>
        <v xml:space="preserve"> </v>
      </c>
      <c r="P146" s="58" t="s">
        <v>20</v>
      </c>
      <c r="Q146" s="96">
        <v>1</v>
      </c>
      <c r="R146" s="93">
        <v>37</v>
      </c>
      <c r="S146" s="94">
        <f t="shared" si="27"/>
        <v>0</v>
      </c>
      <c r="T146" s="325"/>
      <c r="X146"/>
    </row>
    <row r="147" spans="2:26">
      <c r="B147" s="473"/>
      <c r="C147" s="476"/>
      <c r="D147" s="513"/>
      <c r="E147" s="445"/>
      <c r="F147" s="516"/>
      <c r="G147" s="456"/>
      <c r="H147" s="456"/>
      <c r="I147" s="56">
        <v>1.5000000000000004</v>
      </c>
      <c r="J147" s="57" t="s">
        <v>35</v>
      </c>
      <c r="K147" s="2">
        <f>SUMIFS('[2]BESS 11'!D:D,'[2]BESS 11'!$B:$B,$J147)</f>
        <v>1</v>
      </c>
      <c r="L147" s="2">
        <f>SUMIFS('[2]BESS 11'!E:E,'[2]BESS 11'!$B:$B,$J147)</f>
        <v>1</v>
      </c>
      <c r="M147" s="2">
        <f t="shared" si="28"/>
        <v>0</v>
      </c>
      <c r="N147" s="63" t="s">
        <v>122</v>
      </c>
      <c r="O147" s="424" t="str">
        <f t="shared" si="26"/>
        <v xml:space="preserve"> </v>
      </c>
      <c r="P147" s="58" t="s">
        <v>20</v>
      </c>
      <c r="Q147" s="96">
        <v>1</v>
      </c>
      <c r="R147" s="93">
        <v>34</v>
      </c>
      <c r="S147" s="94">
        <f t="shared" si="27"/>
        <v>0</v>
      </c>
      <c r="T147" s="325"/>
      <c r="X147"/>
    </row>
    <row r="148" spans="2:26">
      <c r="B148" s="473"/>
      <c r="C148" s="476"/>
      <c r="D148" s="513"/>
      <c r="E148" s="445"/>
      <c r="F148" s="516"/>
      <c r="G148" s="456"/>
      <c r="H148" s="456"/>
      <c r="I148" s="56">
        <v>1.6000000000000005</v>
      </c>
      <c r="J148" s="57" t="s">
        <v>38</v>
      </c>
      <c r="K148" s="2">
        <f>SUMIFS('[2]BESS 11'!D:D,'[2]BESS 11'!$B:$B,$J148)</f>
        <v>1</v>
      </c>
      <c r="L148" s="2">
        <f>SUMIFS('[2]BESS 11'!E:E,'[2]BESS 11'!$B:$B,$J148)</f>
        <v>1</v>
      </c>
      <c r="M148" s="2">
        <f t="shared" si="28"/>
        <v>0</v>
      </c>
      <c r="N148" s="63" t="s">
        <v>122</v>
      </c>
      <c r="O148" s="424" t="str">
        <f t="shared" si="26"/>
        <v xml:space="preserve"> </v>
      </c>
      <c r="P148" s="58" t="s">
        <v>20</v>
      </c>
      <c r="Q148" s="96">
        <v>1</v>
      </c>
      <c r="R148" s="93">
        <v>54</v>
      </c>
      <c r="S148" s="94">
        <f t="shared" si="27"/>
        <v>0</v>
      </c>
      <c r="T148" s="325"/>
      <c r="X148"/>
    </row>
    <row r="149" spans="2:26">
      <c r="B149" s="473"/>
      <c r="C149" s="476"/>
      <c r="D149" s="513"/>
      <c r="E149" s="445"/>
      <c r="F149" s="516"/>
      <c r="G149" s="456"/>
      <c r="H149" s="456"/>
      <c r="I149" s="56">
        <v>1.7000000000000006</v>
      </c>
      <c r="J149" s="57" t="s">
        <v>46</v>
      </c>
      <c r="K149" s="2">
        <f>SUMIFS('[2]BESS 11'!D:D,'[2]BESS 11'!$B:$B,$J149)</f>
        <v>3</v>
      </c>
      <c r="L149" s="2">
        <f>SUMIFS('[2]BESS 11'!E:E,'[2]BESS 11'!$B:$B,$J149)</f>
        <v>3</v>
      </c>
      <c r="M149" s="2">
        <f t="shared" si="28"/>
        <v>0</v>
      </c>
      <c r="N149" s="63" t="s">
        <v>122</v>
      </c>
      <c r="O149" s="424" t="str">
        <f t="shared" si="26"/>
        <v xml:space="preserve"> </v>
      </c>
      <c r="P149" s="58" t="s">
        <v>20</v>
      </c>
      <c r="Q149" s="96">
        <v>1</v>
      </c>
      <c r="R149" s="93">
        <v>5</v>
      </c>
      <c r="S149" s="94">
        <f t="shared" si="27"/>
        <v>0</v>
      </c>
      <c r="T149" s="325"/>
      <c r="X149"/>
    </row>
    <row r="150" spans="2:26" ht="27">
      <c r="B150" s="473"/>
      <c r="C150" s="476"/>
      <c r="D150" s="513"/>
      <c r="E150" s="445"/>
      <c r="F150" s="516"/>
      <c r="G150" s="456"/>
      <c r="H150" s="456"/>
      <c r="I150" s="4">
        <v>1.8000000000000007</v>
      </c>
      <c r="J150" s="8" t="s">
        <v>40</v>
      </c>
      <c r="K150" s="1">
        <f>SUMIFS('[2]BESS 11'!D:D,'[2]BESS 11'!$B:$B,$J150)</f>
        <v>6</v>
      </c>
      <c r="L150" s="2">
        <f>SUMIFS('[2]BESS 11'!E:E,'[2]BESS 11'!$B:$B,$J150)</f>
        <v>5</v>
      </c>
      <c r="M150" s="7">
        <f t="shared" si="28"/>
        <v>1</v>
      </c>
      <c r="N150" s="432" t="s">
        <v>456</v>
      </c>
      <c r="O150" s="424">
        <f t="shared" si="26"/>
        <v>46231</v>
      </c>
      <c r="P150" s="5" t="s">
        <v>20</v>
      </c>
      <c r="Q150" s="96">
        <v>1</v>
      </c>
      <c r="R150" s="93">
        <v>5</v>
      </c>
      <c r="S150" s="94">
        <f t="shared" si="27"/>
        <v>5</v>
      </c>
      <c r="T150" s="261" t="s">
        <v>169</v>
      </c>
      <c r="X150"/>
    </row>
    <row r="151" spans="2:26">
      <c r="B151" s="473"/>
      <c r="C151" s="476"/>
      <c r="D151" s="513"/>
      <c r="E151" s="445"/>
      <c r="F151" s="516"/>
      <c r="G151" s="456"/>
      <c r="H151" s="456"/>
      <c r="I151" s="56">
        <v>1.9000000000000008</v>
      </c>
      <c r="J151" s="57" t="s">
        <v>30</v>
      </c>
      <c r="K151" s="2">
        <f>SUMIFS('[2]BESS 11'!D:D,'[2]BESS 11'!$B:$B,$J151)</f>
        <v>6</v>
      </c>
      <c r="L151" s="2">
        <f>SUMIFS('[2]BESS 11'!E:E,'[2]BESS 11'!$B:$B,$J151)</f>
        <v>6</v>
      </c>
      <c r="M151" s="2">
        <f t="shared" si="28"/>
        <v>0</v>
      </c>
      <c r="N151" s="63" t="s">
        <v>122</v>
      </c>
      <c r="O151" s="424" t="str">
        <f t="shared" si="26"/>
        <v xml:space="preserve"> </v>
      </c>
      <c r="P151" s="58" t="s">
        <v>31</v>
      </c>
      <c r="Q151" s="96">
        <v>1</v>
      </c>
      <c r="R151" s="93">
        <v>27</v>
      </c>
      <c r="S151" s="94">
        <f t="shared" si="27"/>
        <v>0</v>
      </c>
      <c r="T151" s="325"/>
      <c r="X151"/>
    </row>
    <row r="152" spans="2:26">
      <c r="B152" s="473"/>
      <c r="C152" s="476"/>
      <c r="D152" s="513"/>
      <c r="E152" s="445"/>
      <c r="F152" s="516"/>
      <c r="G152" s="456"/>
      <c r="H152" s="456"/>
      <c r="I152" s="56">
        <v>1.1000000000000001</v>
      </c>
      <c r="J152" s="57" t="s">
        <v>34</v>
      </c>
      <c r="K152" s="2">
        <f>SUMIFS('[2]BESS 11'!D:D,'[2]BESS 11'!$B:$B,$J152)</f>
        <v>1</v>
      </c>
      <c r="L152" s="2">
        <f>SUMIFS('[2]BESS 11'!E:E,'[2]BESS 11'!$B:$B,$J152)</f>
        <v>1</v>
      </c>
      <c r="M152" s="2">
        <f t="shared" si="28"/>
        <v>0</v>
      </c>
      <c r="N152" s="63" t="s">
        <v>122</v>
      </c>
      <c r="O152" s="424" t="str">
        <f t="shared" si="26"/>
        <v xml:space="preserve"> </v>
      </c>
      <c r="P152" s="58" t="s">
        <v>31</v>
      </c>
      <c r="Q152" s="96">
        <v>1</v>
      </c>
      <c r="R152" s="93">
        <v>25</v>
      </c>
      <c r="S152" s="94">
        <f t="shared" si="27"/>
        <v>0</v>
      </c>
      <c r="T152" s="325"/>
      <c r="X152"/>
    </row>
    <row r="153" spans="2:26" ht="25.5">
      <c r="B153" s="473"/>
      <c r="C153" s="476"/>
      <c r="D153" s="513"/>
      <c r="E153" s="445"/>
      <c r="F153" s="516"/>
      <c r="G153" s="456"/>
      <c r="H153" s="456"/>
      <c r="I153" s="59">
        <v>1.1100000000000001</v>
      </c>
      <c r="J153" s="57" t="s">
        <v>37</v>
      </c>
      <c r="K153" s="2">
        <f>SUMIFS('[2]BESS 11'!D:D,'[2]BESS 11'!$B:$B,$J153)</f>
        <v>1</v>
      </c>
      <c r="L153" s="2">
        <f>SUMIFS('[2]BESS 11'!E:E,'[2]BESS 11'!$B:$B,$J153)</f>
        <v>1</v>
      </c>
      <c r="M153" s="2">
        <f t="shared" si="28"/>
        <v>0</v>
      </c>
      <c r="N153" s="432" t="s">
        <v>295</v>
      </c>
      <c r="O153" s="424">
        <f t="shared" si="26"/>
        <v>46225</v>
      </c>
      <c r="P153" s="58" t="s">
        <v>123</v>
      </c>
      <c r="Q153" s="96" t="s">
        <v>89</v>
      </c>
      <c r="R153" s="93" t="s">
        <v>89</v>
      </c>
      <c r="S153" s="94" t="s">
        <v>89</v>
      </c>
      <c r="T153" s="307"/>
      <c r="X153"/>
    </row>
    <row r="154" spans="2:26">
      <c r="B154" s="473"/>
      <c r="C154" s="476"/>
      <c r="D154" s="513"/>
      <c r="E154" s="445"/>
      <c r="F154" s="516"/>
      <c r="G154" s="456"/>
      <c r="H154" s="456"/>
      <c r="I154" s="44"/>
      <c r="J154" s="46"/>
      <c r="K154" s="46"/>
      <c r="L154" s="47" t="s">
        <v>124</v>
      </c>
      <c r="M154" s="7"/>
      <c r="N154" s="46"/>
      <c r="O154" s="424"/>
      <c r="P154" s="95"/>
      <c r="Q154" s="96"/>
      <c r="R154" s="93"/>
      <c r="S154" s="94"/>
      <c r="T154" s="325"/>
      <c r="X154"/>
    </row>
    <row r="155" spans="2:26">
      <c r="B155" s="473"/>
      <c r="C155" s="476"/>
      <c r="D155" s="513"/>
      <c r="E155" s="445"/>
      <c r="F155" s="516"/>
      <c r="G155" s="456"/>
      <c r="H155" s="456"/>
      <c r="I155" s="59">
        <v>1.1200000000000001</v>
      </c>
      <c r="J155" s="57" t="s">
        <v>24</v>
      </c>
      <c r="K155" s="2">
        <f>SUMIFS('[2]BESS 11'!D:D,'[2]BESS 11'!$B:$B,$J155)</f>
        <v>6</v>
      </c>
      <c r="L155" s="2">
        <f>SUMIFS('[2]BESS 11'!E:E,'[2]BESS 11'!$B:$B,$J155)</f>
        <v>6</v>
      </c>
      <c r="M155" s="2">
        <f t="shared" ref="M155:M186" si="29">K155-L155</f>
        <v>0</v>
      </c>
      <c r="N155" s="63" t="s">
        <v>122</v>
      </c>
      <c r="O155" s="424" t="str">
        <f t="shared" ref="O155:O186" si="30">IF(LEN(N155)=5,N155,(IF(N155="Completed"," ",DATEVALUE(RIGHT(N155,6)))))</f>
        <v xml:space="preserve"> </v>
      </c>
      <c r="P155" s="58" t="s">
        <v>25</v>
      </c>
      <c r="Q155" s="96">
        <v>2</v>
      </c>
      <c r="R155" s="93">
        <v>4</v>
      </c>
      <c r="S155" s="94">
        <f>(M155*R155)/Q155</f>
        <v>0</v>
      </c>
      <c r="T155" s="325"/>
      <c r="X155"/>
    </row>
    <row r="156" spans="2:26">
      <c r="B156" s="473"/>
      <c r="C156" s="476"/>
      <c r="D156" s="513"/>
      <c r="E156" s="445"/>
      <c r="F156" s="516"/>
      <c r="G156" s="456"/>
      <c r="H156" s="456"/>
      <c r="I156" s="59">
        <v>1.1300000000000001</v>
      </c>
      <c r="J156" s="57" t="s">
        <v>27</v>
      </c>
      <c r="K156" s="2">
        <f>SUMIFS('[2]BESS 11'!D:D,'[2]BESS 11'!$B:$B,$J156)</f>
        <v>48</v>
      </c>
      <c r="L156" s="2">
        <f>SUMIFS('[2]BESS 11'!E:E,'[2]BESS 11'!$B:$B,$J156)</f>
        <v>48</v>
      </c>
      <c r="M156" s="2">
        <f t="shared" si="29"/>
        <v>0</v>
      </c>
      <c r="N156" s="63" t="s">
        <v>122</v>
      </c>
      <c r="O156" s="424" t="str">
        <f t="shared" si="30"/>
        <v xml:space="preserve"> </v>
      </c>
      <c r="P156" s="58" t="s">
        <v>25</v>
      </c>
      <c r="Q156" s="96">
        <v>10</v>
      </c>
      <c r="R156" s="93">
        <v>4</v>
      </c>
      <c r="S156" s="94">
        <f>(M156*R156)/Q156</f>
        <v>0</v>
      </c>
      <c r="T156" s="322"/>
      <c r="X156"/>
    </row>
    <row r="157" spans="2:26">
      <c r="B157" s="473"/>
      <c r="C157" s="476"/>
      <c r="D157" s="513"/>
      <c r="E157" s="445"/>
      <c r="F157" s="516"/>
      <c r="G157" s="456"/>
      <c r="H157" s="456"/>
      <c r="I157" s="59">
        <v>1.1400000000000001</v>
      </c>
      <c r="J157" s="57" t="s">
        <v>28</v>
      </c>
      <c r="K157" s="2">
        <f>SUMIFS('[2]BESS 11'!D:D,'[2]BESS 11'!$B:$B,$J157)</f>
        <v>6</v>
      </c>
      <c r="L157" s="2">
        <f>SUMIFS('[2]BESS 11'!E:E,'[2]BESS 11'!$B:$B,$J157)</f>
        <v>6</v>
      </c>
      <c r="M157" s="2">
        <f t="shared" si="29"/>
        <v>0</v>
      </c>
      <c r="N157" s="63" t="s">
        <v>122</v>
      </c>
      <c r="O157" s="424" t="str">
        <f t="shared" si="30"/>
        <v xml:space="preserve"> </v>
      </c>
      <c r="P157" s="58" t="s">
        <v>25</v>
      </c>
      <c r="Q157" s="96">
        <v>5</v>
      </c>
      <c r="R157" s="93">
        <v>4</v>
      </c>
      <c r="S157" s="94">
        <f>(M157*R157)/Q157</f>
        <v>0</v>
      </c>
      <c r="T157" s="318"/>
      <c r="X157"/>
    </row>
    <row r="158" spans="2:26" ht="25.5">
      <c r="B158" s="473"/>
      <c r="C158" s="476"/>
      <c r="D158" s="513"/>
      <c r="E158" s="445"/>
      <c r="F158" s="516"/>
      <c r="G158" s="456"/>
      <c r="H158" s="456"/>
      <c r="I158" s="6">
        <v>1.1500000000000001</v>
      </c>
      <c r="J158" s="8" t="s">
        <v>29</v>
      </c>
      <c r="K158" s="1">
        <f>SUMIFS('[2]BESS 11'!D:D,'[2]BESS 11'!$B:$B,$J158)</f>
        <v>6</v>
      </c>
      <c r="L158" s="2">
        <f>SUMIFS('[2]BESS 11'!E:E,'[2]BESS 11'!$B:$B,$J158)</f>
        <v>0</v>
      </c>
      <c r="M158" s="7">
        <f t="shared" si="29"/>
        <v>6</v>
      </c>
      <c r="N158" s="432" t="s">
        <v>476</v>
      </c>
      <c r="O158" s="424">
        <f t="shared" si="30"/>
        <v>46234</v>
      </c>
      <c r="P158" s="5" t="s">
        <v>164</v>
      </c>
      <c r="Q158" s="96">
        <v>20</v>
      </c>
      <c r="R158" s="527">
        <v>4</v>
      </c>
      <c r="S158" s="530">
        <v>4</v>
      </c>
      <c r="T158" s="318" t="s">
        <v>170</v>
      </c>
      <c r="X158"/>
    </row>
    <row r="159" spans="2:26">
      <c r="B159" s="473"/>
      <c r="C159" s="476"/>
      <c r="D159" s="513"/>
      <c r="E159" s="445"/>
      <c r="F159" s="516"/>
      <c r="G159" s="456"/>
      <c r="H159" s="456"/>
      <c r="I159" s="59">
        <v>1.1600000000000001</v>
      </c>
      <c r="J159" s="57" t="s">
        <v>33</v>
      </c>
      <c r="K159" s="2">
        <f>SUMIFS('[2]BESS 11'!D:D,'[2]BESS 11'!$B:$B,$J159)</f>
        <v>2</v>
      </c>
      <c r="L159" s="2">
        <f>SUMIFS('[2]BESS 11'!E:E,'[2]BESS 11'!$B:$B,$J159)</f>
        <v>2</v>
      </c>
      <c r="M159" s="2">
        <f t="shared" si="29"/>
        <v>0</v>
      </c>
      <c r="N159" s="63" t="s">
        <v>122</v>
      </c>
      <c r="O159" s="424" t="str">
        <f t="shared" si="30"/>
        <v xml:space="preserve"> </v>
      </c>
      <c r="P159" s="58" t="s">
        <v>25</v>
      </c>
      <c r="Q159" s="96">
        <v>10</v>
      </c>
      <c r="R159" s="528"/>
      <c r="S159" s="531"/>
      <c r="T159" s="567"/>
      <c r="X159"/>
    </row>
    <row r="160" spans="2:26" ht="25.5">
      <c r="B160" s="473"/>
      <c r="C160" s="476"/>
      <c r="D160" s="513"/>
      <c r="E160" s="445"/>
      <c r="F160" s="516"/>
      <c r="G160" s="456"/>
      <c r="H160" s="456"/>
      <c r="I160" s="6">
        <v>1.1700000000000002</v>
      </c>
      <c r="J160" s="8" t="s">
        <v>36</v>
      </c>
      <c r="K160" s="1">
        <f>SUMIFS('[2]BESS 11'!D:D,'[2]BESS 11'!$B:$B,$J160)</f>
        <v>1</v>
      </c>
      <c r="L160" s="2">
        <f>SUMIFS('[2]BESS 11'!E:E,'[2]BESS 11'!$B:$B,$J160)</f>
        <v>0</v>
      </c>
      <c r="M160" s="7">
        <f t="shared" si="29"/>
        <v>1</v>
      </c>
      <c r="N160" s="432" t="s">
        <v>329</v>
      </c>
      <c r="O160" s="424">
        <f t="shared" si="30"/>
        <v>46225</v>
      </c>
      <c r="P160" s="5" t="s">
        <v>164</v>
      </c>
      <c r="Q160" s="96">
        <v>10</v>
      </c>
      <c r="R160" s="528"/>
      <c r="S160" s="531"/>
      <c r="T160" s="567"/>
      <c r="X160"/>
      <c r="Z160" s="60"/>
    </row>
    <row r="161" spans="2:26">
      <c r="B161" s="473"/>
      <c r="C161" s="476"/>
      <c r="D161" s="513"/>
      <c r="E161" s="445"/>
      <c r="F161" s="516"/>
      <c r="G161" s="456"/>
      <c r="H161" s="456"/>
      <c r="I161" s="59">
        <v>1.1800000000000002</v>
      </c>
      <c r="J161" s="57" t="s">
        <v>39</v>
      </c>
      <c r="K161" s="2">
        <f>SUMIFS('[2]BESS 11'!D:D,'[2]BESS 11'!$B:$B,$J161)</f>
        <v>1</v>
      </c>
      <c r="L161" s="2">
        <f>SUMIFS('[2]BESS 11'!E:E,'[2]BESS 11'!$B:$B,$J161)</f>
        <v>1</v>
      </c>
      <c r="M161" s="2">
        <f t="shared" si="29"/>
        <v>0</v>
      </c>
      <c r="N161" s="63" t="s">
        <v>122</v>
      </c>
      <c r="O161" s="424" t="str">
        <f t="shared" si="30"/>
        <v xml:space="preserve"> </v>
      </c>
      <c r="P161" s="58" t="s">
        <v>25</v>
      </c>
      <c r="Q161" s="96">
        <v>10</v>
      </c>
      <c r="R161" s="528"/>
      <c r="S161" s="531"/>
      <c r="T161" s="567"/>
      <c r="X161"/>
    </row>
    <row r="162" spans="2:26" ht="25.5">
      <c r="B162" s="473"/>
      <c r="C162" s="476"/>
      <c r="D162" s="513"/>
      <c r="E162" s="445"/>
      <c r="F162" s="516"/>
      <c r="G162" s="456"/>
      <c r="H162" s="456"/>
      <c r="I162" s="6">
        <v>1.1900000000000002</v>
      </c>
      <c r="J162" s="8" t="s">
        <v>41</v>
      </c>
      <c r="K162" s="1">
        <f>SUMIFS('[2]BESS 11'!D:D,'[2]BESS 11'!$B:$B,$J162)</f>
        <v>6</v>
      </c>
      <c r="L162" s="2">
        <f>SUMIFS('[2]BESS 11'!E:E,'[2]BESS 11'!$B:$B,$J162)</f>
        <v>0</v>
      </c>
      <c r="M162" s="7">
        <f t="shared" si="29"/>
        <v>6</v>
      </c>
      <c r="N162" s="432" t="s">
        <v>311</v>
      </c>
      <c r="O162" s="424">
        <f t="shared" si="30"/>
        <v>46228</v>
      </c>
      <c r="P162" s="140" t="s">
        <v>125</v>
      </c>
      <c r="Q162" s="96">
        <v>20</v>
      </c>
      <c r="R162" s="529"/>
      <c r="S162" s="532"/>
      <c r="T162" s="325"/>
      <c r="X162"/>
    </row>
    <row r="163" spans="2:26" ht="25.5">
      <c r="B163" s="473"/>
      <c r="C163" s="476"/>
      <c r="D163" s="513"/>
      <c r="E163" s="445"/>
      <c r="F163" s="516"/>
      <c r="G163" s="456"/>
      <c r="H163" s="456"/>
      <c r="I163" s="6">
        <v>1.2000000000000002</v>
      </c>
      <c r="J163" s="8" t="s">
        <v>43</v>
      </c>
      <c r="K163" s="1">
        <f>SUMIFS('[2]BESS 11'!D:D,'[2]BESS 11'!$B:$B,$J163)</f>
        <v>6</v>
      </c>
      <c r="L163" s="2">
        <f>SUMIFS('[2]BESS 11'!E:E,'[2]BESS 11'!$B:$B,$J163)</f>
        <v>0</v>
      </c>
      <c r="M163" s="7">
        <f t="shared" si="29"/>
        <v>6</v>
      </c>
      <c r="N163" s="432" t="s">
        <v>477</v>
      </c>
      <c r="O163" s="424">
        <f t="shared" si="30"/>
        <v>46236</v>
      </c>
      <c r="P163" s="140" t="s">
        <v>125</v>
      </c>
      <c r="Q163" s="96">
        <v>0.66666666666666663</v>
      </c>
      <c r="R163" s="93">
        <v>0</v>
      </c>
      <c r="S163" s="94">
        <f t="shared" ref="S163:S175" si="31">(M163*R163)/Q163</f>
        <v>0</v>
      </c>
      <c r="T163" s="325"/>
      <c r="X163"/>
    </row>
    <row r="164" spans="2:26">
      <c r="B164" s="473"/>
      <c r="C164" s="476"/>
      <c r="D164" s="513"/>
      <c r="E164" s="445"/>
      <c r="F164" s="516"/>
      <c r="G164" s="456"/>
      <c r="H164" s="456"/>
      <c r="I164" s="6">
        <v>1.2100000000000002</v>
      </c>
      <c r="J164" s="8" t="s">
        <v>21</v>
      </c>
      <c r="K164" s="1">
        <f>SUMIFS('[2]BESS 11'!D:D,'[2]BESS 11'!$B:$B,$J164)</f>
        <v>48</v>
      </c>
      <c r="L164" s="2">
        <f>SUMIFS('[2]BESS 11'!E:E,'[2]BESS 11'!$B:$B,$J164)</f>
        <v>48</v>
      </c>
      <c r="M164" s="7">
        <f t="shared" si="29"/>
        <v>0</v>
      </c>
      <c r="N164" s="438" t="s">
        <v>280</v>
      </c>
      <c r="O164" s="424">
        <f t="shared" si="30"/>
        <v>46231</v>
      </c>
      <c r="P164" s="5" t="s">
        <v>449</v>
      </c>
      <c r="Q164" s="96">
        <v>10</v>
      </c>
      <c r="R164" s="93">
        <v>4</v>
      </c>
      <c r="S164" s="94">
        <f t="shared" si="31"/>
        <v>0</v>
      </c>
      <c r="T164" s="325"/>
      <c r="X164"/>
      <c r="Z164" s="60"/>
    </row>
    <row r="165" spans="2:26">
      <c r="B165" s="473"/>
      <c r="C165" s="476"/>
      <c r="D165" s="513"/>
      <c r="E165" s="445"/>
      <c r="F165" s="516"/>
      <c r="G165" s="456"/>
      <c r="H165" s="456"/>
      <c r="I165" s="59">
        <v>1.2200000000000002</v>
      </c>
      <c r="J165" s="57" t="s">
        <v>47</v>
      </c>
      <c r="K165" s="2">
        <f>SUMIFS('[2]BESS 11'!D:D,'[2]BESS 11'!$B:$B,$J165)</f>
        <v>8865</v>
      </c>
      <c r="L165" s="2">
        <f>SUMIFS('[2]BESS 11'!E:E,'[2]BESS 11'!$B:$B,$J165)</f>
        <v>8865</v>
      </c>
      <c r="M165" s="2">
        <f t="shared" si="29"/>
        <v>0</v>
      </c>
      <c r="N165" s="63" t="s">
        <v>122</v>
      </c>
      <c r="O165" s="424" t="str">
        <f t="shared" si="30"/>
        <v xml:space="preserve"> </v>
      </c>
      <c r="P165" s="58" t="s">
        <v>25</v>
      </c>
      <c r="Q165" s="96">
        <v>1500</v>
      </c>
      <c r="R165" s="93">
        <v>48</v>
      </c>
      <c r="S165" s="94">
        <f t="shared" si="31"/>
        <v>0</v>
      </c>
      <c r="T165" s="261"/>
      <c r="X165"/>
    </row>
    <row r="166" spans="2:26" ht="25.5">
      <c r="B166" s="473"/>
      <c r="C166" s="476"/>
      <c r="D166" s="513"/>
      <c r="E166" s="445"/>
      <c r="F166" s="516"/>
      <c r="G166" s="456"/>
      <c r="H166" s="456"/>
      <c r="I166" s="6">
        <v>1.2300000000000002</v>
      </c>
      <c r="J166" s="8" t="s">
        <v>48</v>
      </c>
      <c r="K166" s="1">
        <f>SUMIFS('[2]BESS 11'!D:D,'[2]BESS 11'!$B:$B,$J166)</f>
        <v>28</v>
      </c>
      <c r="L166" s="2">
        <f>SUMIFS('[2]BESS 11'!E:E,'[2]BESS 11'!$B:$B,$J166)</f>
        <v>28</v>
      </c>
      <c r="M166" s="7">
        <f t="shared" si="29"/>
        <v>0</v>
      </c>
      <c r="N166" s="432" t="s">
        <v>680</v>
      </c>
      <c r="O166" s="424">
        <f t="shared" si="30"/>
        <v>46239</v>
      </c>
      <c r="P166" s="5" t="s">
        <v>164</v>
      </c>
      <c r="Q166" s="96">
        <v>8</v>
      </c>
      <c r="R166" s="93">
        <v>6</v>
      </c>
      <c r="S166" s="94">
        <f t="shared" si="31"/>
        <v>0</v>
      </c>
      <c r="T166" s="307"/>
      <c r="X166"/>
      <c r="Z166" s="60"/>
    </row>
    <row r="167" spans="2:26">
      <c r="B167" s="473"/>
      <c r="C167" s="476"/>
      <c r="D167" s="513"/>
      <c r="E167" s="445"/>
      <c r="F167" s="516"/>
      <c r="G167" s="456"/>
      <c r="H167" s="456"/>
      <c r="I167" s="59">
        <f t="shared" ref="I167:I186" si="32">I166+0.01</f>
        <v>1.2400000000000002</v>
      </c>
      <c r="J167" s="57" t="s">
        <v>126</v>
      </c>
      <c r="K167" s="2">
        <f>SUMIFS('[2]BESS 11'!D:D,'[2]BESS 11'!$B:$B,$J167)</f>
        <v>13120</v>
      </c>
      <c r="L167" s="2">
        <f>SUMIFS('[2]BESS 11'!E:E,'[2]BESS 11'!$B:$B,$J167)</f>
        <v>13120</v>
      </c>
      <c r="M167" s="2">
        <f t="shared" si="29"/>
        <v>0</v>
      </c>
      <c r="N167" s="63" t="s">
        <v>122</v>
      </c>
      <c r="O167" s="424" t="str">
        <f t="shared" si="30"/>
        <v xml:space="preserve"> </v>
      </c>
      <c r="P167" s="58" t="s">
        <v>25</v>
      </c>
      <c r="Q167" s="96">
        <v>600</v>
      </c>
      <c r="R167" s="93">
        <v>10</v>
      </c>
      <c r="S167" s="94">
        <f t="shared" si="31"/>
        <v>0</v>
      </c>
      <c r="T167" s="307"/>
      <c r="X167"/>
      <c r="Z167" s="60"/>
    </row>
    <row r="168" spans="2:26">
      <c r="B168" s="473"/>
      <c r="C168" s="476"/>
      <c r="D168" s="513"/>
      <c r="E168" s="445"/>
      <c r="F168" s="516"/>
      <c r="G168" s="456"/>
      <c r="H168" s="456"/>
      <c r="I168" s="59">
        <f t="shared" si="32"/>
        <v>1.2500000000000002</v>
      </c>
      <c r="J168" s="57" t="s">
        <v>127</v>
      </c>
      <c r="K168" s="2">
        <f>SUMIFS('[2]BESS 11'!D:D,'[2]BESS 11'!$B:$B,$J168)</f>
        <v>44784</v>
      </c>
      <c r="L168" s="2">
        <f>SUMIFS('[2]BESS 11'!E:E,'[2]BESS 11'!$B:$B,$J168)</f>
        <v>44784</v>
      </c>
      <c r="M168" s="2">
        <f t="shared" si="29"/>
        <v>0</v>
      </c>
      <c r="N168" s="63" t="s">
        <v>122</v>
      </c>
      <c r="O168" s="424" t="str">
        <f t="shared" si="30"/>
        <v xml:space="preserve"> </v>
      </c>
      <c r="P168" s="58" t="s">
        <v>25</v>
      </c>
      <c r="Q168" s="96">
        <v>600</v>
      </c>
      <c r="R168" s="93">
        <v>10</v>
      </c>
      <c r="S168" s="94">
        <f t="shared" si="31"/>
        <v>0</v>
      </c>
      <c r="T168" s="307"/>
      <c r="X168"/>
    </row>
    <row r="169" spans="2:26">
      <c r="B169" s="473"/>
      <c r="C169" s="476"/>
      <c r="D169" s="513"/>
      <c r="E169" s="445"/>
      <c r="F169" s="516"/>
      <c r="G169" s="456"/>
      <c r="H169" s="456"/>
      <c r="I169" s="6">
        <f t="shared" si="32"/>
        <v>1.2600000000000002</v>
      </c>
      <c r="J169" s="8" t="s">
        <v>128</v>
      </c>
      <c r="K169" s="1">
        <f>SUMIFS('[2]BESS 11'!D:D,'[2]BESS 11'!$B:$B,$J169)</f>
        <v>1536</v>
      </c>
      <c r="L169" s="2">
        <f>SUMIFS('[2]BESS 11'!E:E,'[2]BESS 11'!$B:$B,$J169)</f>
        <v>0</v>
      </c>
      <c r="M169" s="7">
        <f t="shared" si="29"/>
        <v>1536</v>
      </c>
      <c r="N169" s="436" t="s">
        <v>270</v>
      </c>
      <c r="O169" s="424">
        <f t="shared" si="30"/>
        <v>46239</v>
      </c>
      <c r="P169" s="5" t="s">
        <v>164</v>
      </c>
      <c r="Q169" s="96">
        <v>30</v>
      </c>
      <c r="R169" s="93">
        <v>18</v>
      </c>
      <c r="S169" s="94">
        <f t="shared" si="31"/>
        <v>921.6</v>
      </c>
      <c r="T169" s="304"/>
      <c r="X169"/>
      <c r="Z169" s="60"/>
    </row>
    <row r="170" spans="2:26">
      <c r="B170" s="473"/>
      <c r="C170" s="476"/>
      <c r="D170" s="513"/>
      <c r="E170" s="445"/>
      <c r="F170" s="516"/>
      <c r="G170" s="456"/>
      <c r="H170" s="456"/>
      <c r="I170" s="6">
        <f t="shared" si="32"/>
        <v>1.2700000000000002</v>
      </c>
      <c r="J170" s="8" t="s">
        <v>129</v>
      </c>
      <c r="K170" s="1">
        <f>SUMIFS('[2]BESS 11'!D:D,'[2]BESS 11'!$B:$B,$J170)</f>
        <v>2304</v>
      </c>
      <c r="L170" s="2">
        <f>SUMIFS('[2]BESS 11'!E:E,'[2]BESS 11'!$B:$B,$J170)</f>
        <v>0</v>
      </c>
      <c r="M170" s="7">
        <f t="shared" si="29"/>
        <v>2304</v>
      </c>
      <c r="N170" s="436" t="s">
        <v>270</v>
      </c>
      <c r="O170" s="424">
        <f t="shared" si="30"/>
        <v>46239</v>
      </c>
      <c r="P170" s="5" t="s">
        <v>164</v>
      </c>
      <c r="Q170" s="96">
        <v>30</v>
      </c>
      <c r="R170" s="93">
        <v>18</v>
      </c>
      <c r="S170" s="94">
        <f t="shared" si="31"/>
        <v>1382.4</v>
      </c>
      <c r="T170" s="261"/>
      <c r="X170"/>
      <c r="Z170" s="60"/>
    </row>
    <row r="171" spans="2:26">
      <c r="B171" s="473"/>
      <c r="C171" s="476"/>
      <c r="D171" s="513"/>
      <c r="E171" s="445"/>
      <c r="F171" s="516"/>
      <c r="G171" s="456"/>
      <c r="H171" s="456"/>
      <c r="I171" s="6">
        <f t="shared" si="32"/>
        <v>1.2800000000000002</v>
      </c>
      <c r="J171" s="8" t="s">
        <v>130</v>
      </c>
      <c r="K171" s="1">
        <f>SUMIFS('[2]BESS 11'!D:D,'[2]BESS 11'!$B:$B,$J171)</f>
        <v>8282</v>
      </c>
      <c r="L171" s="2">
        <f>SUMIFS('[2]BESS 11'!E:E,'[2]BESS 11'!$B:$B,$J171)</f>
        <v>4573</v>
      </c>
      <c r="M171" s="7">
        <f t="shared" si="29"/>
        <v>3709</v>
      </c>
      <c r="N171" s="436" t="s">
        <v>272</v>
      </c>
      <c r="O171" s="424">
        <f t="shared" si="30"/>
        <v>46237</v>
      </c>
      <c r="P171" s="5" t="s">
        <v>164</v>
      </c>
      <c r="Q171" s="96">
        <v>1000</v>
      </c>
      <c r="R171" s="93">
        <v>10</v>
      </c>
      <c r="S171" s="94">
        <f t="shared" si="31"/>
        <v>37.090000000000003</v>
      </c>
      <c r="T171" s="261"/>
      <c r="X171"/>
      <c r="Z171" s="60"/>
    </row>
    <row r="172" spans="2:26">
      <c r="B172" s="473"/>
      <c r="C172" s="476"/>
      <c r="D172" s="513"/>
      <c r="E172" s="445"/>
      <c r="F172" s="516"/>
      <c r="G172" s="456"/>
      <c r="H172" s="456"/>
      <c r="I172" s="6">
        <f t="shared" si="32"/>
        <v>1.2900000000000003</v>
      </c>
      <c r="J172" s="8" t="s">
        <v>131</v>
      </c>
      <c r="K172" s="1">
        <f>SUMIFS('[2]BESS 11'!D:D,'[2]BESS 11'!$B:$B,$J172)</f>
        <v>14490</v>
      </c>
      <c r="L172" s="2">
        <f>SUMIFS('[2]BESS 11'!E:E,'[2]BESS 11'!$B:$B,$J172)</f>
        <v>0</v>
      </c>
      <c r="M172" s="7">
        <f t="shared" si="29"/>
        <v>14490</v>
      </c>
      <c r="N172" s="436" t="s">
        <v>272</v>
      </c>
      <c r="O172" s="424">
        <f t="shared" si="30"/>
        <v>46237</v>
      </c>
      <c r="P172" s="5" t="s">
        <v>164</v>
      </c>
      <c r="Q172" s="96">
        <v>1000</v>
      </c>
      <c r="R172" s="93">
        <v>10</v>
      </c>
      <c r="S172" s="94">
        <f t="shared" si="31"/>
        <v>144.9</v>
      </c>
      <c r="T172" s="317"/>
      <c r="X172"/>
      <c r="Z172" s="60"/>
    </row>
    <row r="173" spans="2:26">
      <c r="B173" s="473"/>
      <c r="C173" s="476"/>
      <c r="D173" s="513"/>
      <c r="E173" s="445"/>
      <c r="F173" s="516"/>
      <c r="G173" s="456"/>
      <c r="H173" s="456"/>
      <c r="I173" s="6">
        <f t="shared" si="32"/>
        <v>1.3000000000000003</v>
      </c>
      <c r="J173" s="8" t="s">
        <v>132</v>
      </c>
      <c r="K173" s="1">
        <f>SUMIFS('[2]BESS 11'!D:D,'[2]BESS 11'!$B:$B,$J173)</f>
        <v>4792</v>
      </c>
      <c r="L173" s="2">
        <f>SUMIFS('[2]BESS 11'!E:E,'[2]BESS 11'!$B:$B,$J173)</f>
        <v>0</v>
      </c>
      <c r="M173" s="7">
        <f t="shared" ref="M173:M185" si="33">K173-L173</f>
        <v>4792</v>
      </c>
      <c r="N173" s="436" t="s">
        <v>272</v>
      </c>
      <c r="O173" s="424">
        <f t="shared" si="30"/>
        <v>46237</v>
      </c>
      <c r="P173" s="5" t="s">
        <v>164</v>
      </c>
      <c r="Q173" s="96">
        <v>500</v>
      </c>
      <c r="R173" s="93">
        <v>10</v>
      </c>
      <c r="S173" s="94">
        <f t="shared" si="31"/>
        <v>95.84</v>
      </c>
      <c r="T173" s="317"/>
      <c r="X173"/>
      <c r="Z173" s="60"/>
    </row>
    <row r="174" spans="2:26">
      <c r="B174" s="473"/>
      <c r="C174" s="476"/>
      <c r="D174" s="513"/>
      <c r="E174" s="445"/>
      <c r="F174" s="516"/>
      <c r="G174" s="456"/>
      <c r="H174" s="456"/>
      <c r="I174" s="6">
        <f t="shared" si="32"/>
        <v>1.3100000000000003</v>
      </c>
      <c r="J174" s="8" t="s">
        <v>133</v>
      </c>
      <c r="K174" s="1">
        <f>SUMIFS('[2]BESS 11'!D:D,'[2]BESS 11'!$B:$B,$J174)</f>
        <v>286</v>
      </c>
      <c r="L174" s="2">
        <f>SUMIFS('[2]BESS 11'!E:E,'[2]BESS 11'!$B:$B,$J174)</f>
        <v>0</v>
      </c>
      <c r="M174" s="7">
        <f t="shared" si="33"/>
        <v>286</v>
      </c>
      <c r="N174" s="436" t="s">
        <v>273</v>
      </c>
      <c r="O174" s="424">
        <f t="shared" si="30"/>
        <v>46239</v>
      </c>
      <c r="P174" s="5" t="s">
        <v>164</v>
      </c>
      <c r="Q174" s="96">
        <v>30</v>
      </c>
      <c r="R174" s="93">
        <v>6</v>
      </c>
      <c r="S174" s="94">
        <f t="shared" si="31"/>
        <v>57.2</v>
      </c>
      <c r="T174" s="325"/>
      <c r="X174"/>
      <c r="Z174" s="60"/>
    </row>
    <row r="175" spans="2:26">
      <c r="B175" s="473"/>
      <c r="C175" s="476"/>
      <c r="D175" s="513"/>
      <c r="E175" s="445"/>
      <c r="F175" s="516"/>
      <c r="G175" s="456"/>
      <c r="H175" s="456"/>
      <c r="I175" s="6">
        <f t="shared" si="32"/>
        <v>1.3200000000000003</v>
      </c>
      <c r="J175" s="8" t="s">
        <v>134</v>
      </c>
      <c r="K175" s="1">
        <f>SUMIFS('[2]BESS 11'!D:D,'[2]BESS 11'!$B:$B,$J175)</f>
        <v>536</v>
      </c>
      <c r="L175" s="2">
        <f>SUMIFS('[2]BESS 11'!E:E,'[2]BESS 11'!$B:$B,$J175)</f>
        <v>0</v>
      </c>
      <c r="M175" s="7">
        <f t="shared" si="33"/>
        <v>536</v>
      </c>
      <c r="N175" s="436" t="s">
        <v>276</v>
      </c>
      <c r="O175" s="424">
        <f t="shared" si="30"/>
        <v>46239</v>
      </c>
      <c r="P175" s="5" t="s">
        <v>443</v>
      </c>
      <c r="Q175" s="96">
        <v>30</v>
      </c>
      <c r="R175" s="93">
        <v>4</v>
      </c>
      <c r="S175" s="94">
        <f t="shared" si="31"/>
        <v>71.466666666666669</v>
      </c>
      <c r="T175" s="325"/>
      <c r="X175"/>
      <c r="Z175" s="60"/>
    </row>
    <row r="176" spans="2:26" ht="25.5">
      <c r="B176" s="473"/>
      <c r="C176" s="476"/>
      <c r="D176" s="513"/>
      <c r="E176" s="445"/>
      <c r="F176" s="516"/>
      <c r="G176" s="456"/>
      <c r="H176" s="456"/>
      <c r="I176" s="6">
        <f t="shared" si="32"/>
        <v>1.3300000000000003</v>
      </c>
      <c r="J176" s="8" t="s">
        <v>136</v>
      </c>
      <c r="K176" s="1">
        <f>SUMIFS('[2]BESS 11'!D:D,'[2]BESS 11'!$B:$B,$J176)</f>
        <v>384</v>
      </c>
      <c r="L176" s="2">
        <f>SUMIFS('[2]BESS 11'!E:E,'[2]BESS 11'!$B:$B,$J176)</f>
        <v>0</v>
      </c>
      <c r="M176" s="7">
        <f t="shared" si="33"/>
        <v>384</v>
      </c>
      <c r="N176" s="436" t="s">
        <v>276</v>
      </c>
      <c r="O176" s="424">
        <f t="shared" si="30"/>
        <v>46239</v>
      </c>
      <c r="P176" s="5" t="s">
        <v>443</v>
      </c>
      <c r="Q176" s="96" t="s">
        <v>89</v>
      </c>
      <c r="R176" s="93" t="s">
        <v>89</v>
      </c>
      <c r="S176" s="94" t="s">
        <v>89</v>
      </c>
      <c r="T176" s="325"/>
      <c r="U176">
        <f ca="1">O176-$T$1</f>
        <v>6</v>
      </c>
      <c r="V176" s="97">
        <f>SUM(S155:S186)</f>
        <v>3037.91</v>
      </c>
      <c r="X176"/>
      <c r="Z176" s="60"/>
    </row>
    <row r="177" spans="2:26">
      <c r="B177" s="473"/>
      <c r="C177" s="476"/>
      <c r="D177" s="513"/>
      <c r="E177" s="445"/>
      <c r="F177" s="516"/>
      <c r="G177" s="456"/>
      <c r="H177" s="456"/>
      <c r="I177" s="59">
        <f t="shared" si="32"/>
        <v>1.3400000000000003</v>
      </c>
      <c r="J177" s="57" t="s">
        <v>137</v>
      </c>
      <c r="K177" s="2">
        <f>SUMIFS('[2]BESS 11'!D:D,'[2]BESS 11'!$B:$B,$J177)</f>
        <v>6</v>
      </c>
      <c r="L177" s="2">
        <f>SUMIFS('[2]BESS 11'!E:E,'[2]BESS 11'!$B:$B,$J177)</f>
        <v>6</v>
      </c>
      <c r="M177" s="2">
        <f t="shared" si="33"/>
        <v>0</v>
      </c>
      <c r="N177" s="63" t="s">
        <v>122</v>
      </c>
      <c r="O177" s="424" t="str">
        <f t="shared" si="30"/>
        <v xml:space="preserve"> </v>
      </c>
      <c r="P177" s="58" t="s">
        <v>138</v>
      </c>
      <c r="Q177" s="533">
        <v>2</v>
      </c>
      <c r="R177" s="527">
        <v>8</v>
      </c>
      <c r="S177" s="94" t="s">
        <v>89</v>
      </c>
      <c r="T177" s="325"/>
      <c r="X177"/>
    </row>
    <row r="178" spans="2:26">
      <c r="B178" s="473"/>
      <c r="C178" s="476"/>
      <c r="D178" s="513"/>
      <c r="E178" s="445"/>
      <c r="F178" s="516"/>
      <c r="G178" s="456"/>
      <c r="H178" s="456"/>
      <c r="I178" s="6">
        <f t="shared" si="32"/>
        <v>1.3500000000000003</v>
      </c>
      <c r="J178" s="8" t="s">
        <v>139</v>
      </c>
      <c r="K178" s="1">
        <f>SUMIFS('[2]BESS 11'!D:D,'[2]BESS 11'!$B:$B,$J178)</f>
        <v>6</v>
      </c>
      <c r="L178" s="2">
        <f>SUMIFS('[2]BESS 11'!E:E,'[2]BESS 11'!$B:$B,$J178)</f>
        <v>0</v>
      </c>
      <c r="M178" s="7">
        <f t="shared" si="33"/>
        <v>6</v>
      </c>
      <c r="N178" s="436" t="s">
        <v>333</v>
      </c>
      <c r="O178" s="424">
        <f t="shared" si="30"/>
        <v>46237</v>
      </c>
      <c r="P178" s="5" t="s">
        <v>164</v>
      </c>
      <c r="Q178" s="534"/>
      <c r="R178" s="529"/>
      <c r="S178" s="94">
        <v>12</v>
      </c>
      <c r="T178" s="325"/>
      <c r="X178"/>
      <c r="Z178" s="60"/>
    </row>
    <row r="179" spans="2:26" ht="25.5">
      <c r="B179" s="473"/>
      <c r="C179" s="476"/>
      <c r="D179" s="513"/>
      <c r="E179" s="445"/>
      <c r="F179" s="516"/>
      <c r="G179" s="456"/>
      <c r="H179" s="456"/>
      <c r="I179" s="6">
        <f t="shared" si="32"/>
        <v>1.3600000000000003</v>
      </c>
      <c r="J179" s="8" t="s">
        <v>140</v>
      </c>
      <c r="K179" s="1">
        <f>SUMIFS('[2]BESS 11'!D:D,'[2]BESS 11'!$B:$B,$J179)</f>
        <v>6</v>
      </c>
      <c r="L179" s="2">
        <f>SUMIFS('[2]BESS 11'!E:E,'[2]BESS 11'!$B:$B,$J179)</f>
        <v>0</v>
      </c>
      <c r="M179" s="7">
        <f t="shared" si="33"/>
        <v>6</v>
      </c>
      <c r="N179" s="436" t="s">
        <v>358</v>
      </c>
      <c r="O179" s="424">
        <f t="shared" si="30"/>
        <v>46243</v>
      </c>
      <c r="P179" s="5" t="s">
        <v>164</v>
      </c>
      <c r="Q179" s="96">
        <v>2</v>
      </c>
      <c r="R179" s="93">
        <v>4</v>
      </c>
      <c r="S179" s="94">
        <f t="shared" ref="S179:S186" si="34">(M179*R179)/Q179</f>
        <v>12</v>
      </c>
      <c r="T179" s="313"/>
      <c r="U179">
        <f ca="1">O179-$T$1</f>
        <v>10</v>
      </c>
      <c r="V179" s="98">
        <f>SUM(S155:S186)</f>
        <v>3037.91</v>
      </c>
      <c r="X179"/>
    </row>
    <row r="180" spans="2:26" ht="25.5">
      <c r="B180" s="473"/>
      <c r="C180" s="476"/>
      <c r="D180" s="513"/>
      <c r="E180" s="445"/>
      <c r="F180" s="516"/>
      <c r="G180" s="456"/>
      <c r="H180" s="456"/>
      <c r="I180" s="6">
        <f t="shared" si="32"/>
        <v>1.3700000000000003</v>
      </c>
      <c r="J180" s="8" t="s">
        <v>141</v>
      </c>
      <c r="K180" s="1">
        <f>SUMIFS('[2]BESS 11'!D:D,'[2]BESS 11'!$B:$B,$J180)</f>
        <v>12</v>
      </c>
      <c r="L180" s="2">
        <f>SUMIFS('[2]BESS 11'!E:E,'[2]BESS 11'!$B:$B,$J180)</f>
        <v>0</v>
      </c>
      <c r="M180" s="7">
        <f t="shared" si="33"/>
        <v>12</v>
      </c>
      <c r="N180" s="436" t="s">
        <v>334</v>
      </c>
      <c r="O180" s="424">
        <f t="shared" si="30"/>
        <v>46237</v>
      </c>
      <c r="P180" s="5" t="s">
        <v>164</v>
      </c>
      <c r="Q180" s="96">
        <v>0.5</v>
      </c>
      <c r="R180" s="93">
        <v>4</v>
      </c>
      <c r="S180" s="94">
        <f t="shared" si="34"/>
        <v>96</v>
      </c>
      <c r="T180" s="317"/>
      <c r="X180"/>
      <c r="Z180" s="60"/>
    </row>
    <row r="181" spans="2:26">
      <c r="B181" s="473"/>
      <c r="C181" s="476"/>
      <c r="D181" s="513"/>
      <c r="E181" s="445"/>
      <c r="F181" s="516"/>
      <c r="G181" s="456"/>
      <c r="H181" s="456"/>
      <c r="I181" s="6">
        <f t="shared" si="32"/>
        <v>1.3800000000000003</v>
      </c>
      <c r="J181" s="8" t="s">
        <v>142</v>
      </c>
      <c r="K181" s="1">
        <f>SUMIFS('[2]BESS 11'!D:D,'[2]BESS 11'!$B:$B,$J181)</f>
        <v>16</v>
      </c>
      <c r="L181" s="2">
        <f>SUMIFS('[2]BESS 11'!E:E,'[2]BESS 11'!$B:$B,$J181)</f>
        <v>0</v>
      </c>
      <c r="M181" s="7">
        <f t="shared" si="33"/>
        <v>16</v>
      </c>
      <c r="N181" s="436" t="s">
        <v>359</v>
      </c>
      <c r="O181" s="424">
        <f t="shared" si="30"/>
        <v>46242</v>
      </c>
      <c r="P181" s="5" t="s">
        <v>164</v>
      </c>
      <c r="Q181" s="96">
        <v>6</v>
      </c>
      <c r="R181" s="93">
        <v>4</v>
      </c>
      <c r="S181" s="94">
        <f t="shared" si="34"/>
        <v>10.666666666666666</v>
      </c>
      <c r="T181" s="317"/>
      <c r="X181"/>
    </row>
    <row r="182" spans="2:26">
      <c r="B182" s="473"/>
      <c r="C182" s="476"/>
      <c r="D182" s="513"/>
      <c r="E182" s="445"/>
      <c r="F182" s="516"/>
      <c r="G182" s="456"/>
      <c r="H182" s="456"/>
      <c r="I182" s="6">
        <f t="shared" si="32"/>
        <v>1.3900000000000003</v>
      </c>
      <c r="J182" s="8" t="s">
        <v>143</v>
      </c>
      <c r="K182" s="1">
        <f>SUMIFS('[2]BESS 11'!D:D,'[2]BESS 11'!$B:$B,$J182)</f>
        <v>14</v>
      </c>
      <c r="L182" s="2">
        <f>SUMIFS('[2]BESS 11'!E:E,'[2]BESS 11'!$B:$B,$J182)</f>
        <v>0</v>
      </c>
      <c r="M182" s="7">
        <f t="shared" si="33"/>
        <v>14</v>
      </c>
      <c r="N182" s="436" t="s">
        <v>315</v>
      </c>
      <c r="O182" s="424">
        <f t="shared" si="30"/>
        <v>46233</v>
      </c>
      <c r="P182" s="5" t="s">
        <v>164</v>
      </c>
      <c r="Q182" s="96">
        <v>6</v>
      </c>
      <c r="R182" s="93">
        <v>5</v>
      </c>
      <c r="S182" s="94">
        <f t="shared" si="34"/>
        <v>11.666666666666666</v>
      </c>
      <c r="T182" s="313"/>
      <c r="X182"/>
      <c r="Z182" s="60"/>
    </row>
    <row r="183" spans="2:26">
      <c r="B183" s="473"/>
      <c r="C183" s="476"/>
      <c r="D183" s="513"/>
      <c r="E183" s="445"/>
      <c r="F183" s="516"/>
      <c r="G183" s="456"/>
      <c r="H183" s="456"/>
      <c r="I183" s="6">
        <f t="shared" si="32"/>
        <v>1.4000000000000004</v>
      </c>
      <c r="J183" s="8" t="s">
        <v>144</v>
      </c>
      <c r="K183" s="1">
        <f>SUMIFS('[2]BESS 11'!D:D,'[2]BESS 11'!$B:$B,$J183)</f>
        <v>1</v>
      </c>
      <c r="L183" s="2">
        <f>SUMIFS('[2]BESS 11'!E:E,'[2]BESS 11'!$B:$B,$J183)</f>
        <v>0</v>
      </c>
      <c r="M183" s="7">
        <f t="shared" si="33"/>
        <v>1</v>
      </c>
      <c r="N183" s="436" t="s">
        <v>335</v>
      </c>
      <c r="O183" s="424">
        <f t="shared" si="30"/>
        <v>46237</v>
      </c>
      <c r="P183" s="5" t="s">
        <v>164</v>
      </c>
      <c r="Q183" s="96">
        <v>1</v>
      </c>
      <c r="R183" s="93">
        <v>5</v>
      </c>
      <c r="S183" s="94">
        <f t="shared" si="34"/>
        <v>5</v>
      </c>
      <c r="T183" s="317"/>
      <c r="X183"/>
      <c r="Z183" s="60"/>
    </row>
    <row r="184" spans="2:26">
      <c r="B184" s="473"/>
      <c r="C184" s="476"/>
      <c r="D184" s="513"/>
      <c r="E184" s="445"/>
      <c r="F184" s="516"/>
      <c r="G184" s="456"/>
      <c r="H184" s="456"/>
      <c r="I184" s="6">
        <f t="shared" si="32"/>
        <v>1.4100000000000004</v>
      </c>
      <c r="J184" s="8" t="s">
        <v>145</v>
      </c>
      <c r="K184" s="1">
        <f>SUMIFS('[2]BESS 11'!D:D,'[2]BESS 11'!$B:$B,$J184)</f>
        <v>6</v>
      </c>
      <c r="L184" s="2">
        <f>SUMIFS('[2]BESS 11'!E:E,'[2]BESS 11'!$B:$B,$J184)</f>
        <v>0</v>
      </c>
      <c r="M184" s="7">
        <f t="shared" si="33"/>
        <v>6</v>
      </c>
      <c r="N184" s="436" t="s">
        <v>336</v>
      </c>
      <c r="O184" s="424">
        <f t="shared" si="30"/>
        <v>46238</v>
      </c>
      <c r="P184" s="5" t="s">
        <v>164</v>
      </c>
      <c r="Q184" s="96">
        <v>3</v>
      </c>
      <c r="R184" s="93">
        <v>5</v>
      </c>
      <c r="S184" s="94">
        <f t="shared" si="34"/>
        <v>10</v>
      </c>
      <c r="T184" s="317"/>
      <c r="Z184" s="60"/>
    </row>
    <row r="185" spans="2:26">
      <c r="B185" s="473"/>
      <c r="C185" s="476"/>
      <c r="D185" s="513"/>
      <c r="E185" s="445"/>
      <c r="F185" s="516"/>
      <c r="G185" s="456"/>
      <c r="H185" s="456"/>
      <c r="I185" s="6">
        <f t="shared" si="32"/>
        <v>1.4200000000000004</v>
      </c>
      <c r="J185" s="8" t="s">
        <v>54</v>
      </c>
      <c r="K185" s="1">
        <f>SUMIFS('[2]BESS 11'!D:D,'[2]BESS 11'!$B:$B,$J185)</f>
        <v>4284</v>
      </c>
      <c r="L185" s="2">
        <f>SUMIFS('[2]BESS 11'!E:E,'[2]BESS 11'!$B:$B,$J185)</f>
        <v>432</v>
      </c>
      <c r="M185" s="7">
        <f t="shared" si="33"/>
        <v>3852</v>
      </c>
      <c r="N185" s="436" t="s">
        <v>277</v>
      </c>
      <c r="O185" s="424">
        <f t="shared" si="30"/>
        <v>46241</v>
      </c>
      <c r="P185" s="5" t="s">
        <v>164</v>
      </c>
      <c r="Q185" s="96">
        <v>150</v>
      </c>
      <c r="R185" s="93">
        <v>6</v>
      </c>
      <c r="S185" s="94">
        <f t="shared" si="34"/>
        <v>154.08000000000001</v>
      </c>
      <c r="T185" s="330"/>
      <c r="Z185" s="60"/>
    </row>
    <row r="186" spans="2:26" ht="14.25" thickBot="1">
      <c r="B186" s="474"/>
      <c r="C186" s="477"/>
      <c r="D186" s="514"/>
      <c r="E186" s="479"/>
      <c r="F186" s="517"/>
      <c r="G186" s="515"/>
      <c r="H186" s="515"/>
      <c r="I186" s="379">
        <f t="shared" si="32"/>
        <v>1.4300000000000004</v>
      </c>
      <c r="J186" s="23" t="s">
        <v>55</v>
      </c>
      <c r="K186" s="24">
        <f>SUMIFS('[2]BESS 11'!D:D,'[2]BESS 11'!$B:$B,$J186)</f>
        <v>10</v>
      </c>
      <c r="L186" s="25">
        <f>SUMIFS('[2]BESS 11'!E:E,'[2]BESS 11'!$B:$B,$J186)</f>
        <v>0</v>
      </c>
      <c r="M186" s="26">
        <f t="shared" si="29"/>
        <v>10</v>
      </c>
      <c r="N186" s="437" t="s">
        <v>278</v>
      </c>
      <c r="O186" s="426">
        <f t="shared" si="30"/>
        <v>46241</v>
      </c>
      <c r="P186" s="5" t="s">
        <v>164</v>
      </c>
      <c r="Q186" s="265">
        <v>5</v>
      </c>
      <c r="R186" s="266">
        <v>6</v>
      </c>
      <c r="S186" s="267">
        <f t="shared" si="34"/>
        <v>12</v>
      </c>
      <c r="T186" s="331"/>
      <c r="Z186" s="60"/>
    </row>
    <row r="187" spans="2:26">
      <c r="B187" s="472" t="s">
        <v>17</v>
      </c>
      <c r="C187" s="475">
        <v>5</v>
      </c>
      <c r="D187" s="540" t="s">
        <v>755</v>
      </c>
      <c r="E187" s="524" t="s">
        <v>120</v>
      </c>
      <c r="F187" s="512" t="s">
        <v>423</v>
      </c>
      <c r="G187" s="512" t="s">
        <v>424</v>
      </c>
      <c r="H187" s="512" t="s">
        <v>425</v>
      </c>
      <c r="I187" s="54"/>
      <c r="J187" s="48"/>
      <c r="K187" s="49"/>
      <c r="L187" s="45" t="s">
        <v>121</v>
      </c>
      <c r="M187" s="48"/>
      <c r="N187" s="49"/>
      <c r="O187" s="424"/>
      <c r="P187" s="377"/>
      <c r="Q187" s="268"/>
      <c r="R187" s="269"/>
      <c r="S187" s="270"/>
      <c r="T187" s="368"/>
      <c r="W187" s="97"/>
    </row>
    <row r="188" spans="2:26" ht="25.5">
      <c r="B188" s="473"/>
      <c r="C188" s="476"/>
      <c r="D188" s="541"/>
      <c r="E188" s="445"/>
      <c r="F188" s="516"/>
      <c r="G188" s="456"/>
      <c r="H188" s="456"/>
      <c r="I188" s="56">
        <v>5.0999999999999996</v>
      </c>
      <c r="J188" s="57" t="s">
        <v>19</v>
      </c>
      <c r="K188" s="2">
        <f>SUMIFS('[2]BESS 11'!T:T,'[2]BESS 11'!$B:$B,$J188)</f>
        <v>48</v>
      </c>
      <c r="L188" s="2">
        <f>SUMIFS('[2]BESS 11'!U:U,'[2]BESS 11'!$B:$B,$J188)</f>
        <v>48</v>
      </c>
      <c r="M188" s="2">
        <f t="shared" ref="M188:M189" si="35">K188-L188</f>
        <v>0</v>
      </c>
      <c r="N188" s="63" t="s">
        <v>122</v>
      </c>
      <c r="O188" s="424" t="str">
        <f t="shared" ref="O188:O198" si="36">IF(LEN(N188)=5,N188,(IF(N188="Completed"," ",DATEVALUE(RIGHT(N188,6)))))</f>
        <v xml:space="preserve"> </v>
      </c>
      <c r="P188" s="58" t="s">
        <v>20</v>
      </c>
      <c r="Q188" s="96">
        <v>1</v>
      </c>
      <c r="R188" s="93">
        <v>2</v>
      </c>
      <c r="S188" s="94">
        <f t="shared" ref="S188:S197" si="37">(M188*R188)/Q188</f>
        <v>0</v>
      </c>
      <c r="T188" s="307"/>
    </row>
    <row r="189" spans="2:26">
      <c r="B189" s="473"/>
      <c r="C189" s="476"/>
      <c r="D189" s="541"/>
      <c r="E189" s="445"/>
      <c r="F189" s="516"/>
      <c r="G189" s="456"/>
      <c r="H189" s="456"/>
      <c r="I189" s="56">
        <v>5.1999999999999993</v>
      </c>
      <c r="J189" s="57" t="s">
        <v>23</v>
      </c>
      <c r="K189" s="2">
        <f>SUMIFS('[2]BESS 11'!T:T,'[2]BESS 11'!$B:$B,$J189)</f>
        <v>6</v>
      </c>
      <c r="L189" s="2">
        <f>SUMIFS('[2]BESS 11'!U:U,'[2]BESS 11'!$B:$B,$J189)</f>
        <v>6</v>
      </c>
      <c r="M189" s="2">
        <f t="shared" si="35"/>
        <v>0</v>
      </c>
      <c r="N189" s="63" t="s">
        <v>122</v>
      </c>
      <c r="O189" s="424" t="str">
        <f t="shared" si="36"/>
        <v xml:space="preserve"> </v>
      </c>
      <c r="P189" s="58" t="s">
        <v>20</v>
      </c>
      <c r="Q189" s="96">
        <v>1</v>
      </c>
      <c r="R189" s="93">
        <v>16</v>
      </c>
      <c r="S189" s="94">
        <f t="shared" si="37"/>
        <v>0</v>
      </c>
      <c r="T189" s="307"/>
    </row>
    <row r="190" spans="2:26">
      <c r="B190" s="473"/>
      <c r="C190" s="476"/>
      <c r="D190" s="541"/>
      <c r="E190" s="445"/>
      <c r="F190" s="516"/>
      <c r="G190" s="456"/>
      <c r="H190" s="456"/>
      <c r="I190" s="56">
        <v>5.2999999999999989</v>
      </c>
      <c r="J190" s="57" t="s">
        <v>26</v>
      </c>
      <c r="K190" s="2">
        <f>SUMIFS('[2]BESS 11'!T:T,'[2]BESS 11'!$B:$B,$J190)</f>
        <v>6</v>
      </c>
      <c r="L190" s="2">
        <f>SUMIFS('[2]BESS 11'!U:U,'[2]BESS 11'!$B:$B,$J190)</f>
        <v>6</v>
      </c>
      <c r="M190" s="2">
        <f t="shared" ref="M190:M279" si="38">K190-L190</f>
        <v>0</v>
      </c>
      <c r="N190" s="63" t="s">
        <v>122</v>
      </c>
      <c r="O190" s="424" t="str">
        <f t="shared" si="36"/>
        <v xml:space="preserve"> </v>
      </c>
      <c r="P190" s="58" t="s">
        <v>20</v>
      </c>
      <c r="Q190" s="96">
        <v>1</v>
      </c>
      <c r="R190" s="93">
        <v>39</v>
      </c>
      <c r="S190" s="94">
        <f t="shared" si="37"/>
        <v>0</v>
      </c>
      <c r="T190" s="307"/>
      <c r="W190" s="97"/>
    </row>
    <row r="191" spans="2:26">
      <c r="B191" s="473"/>
      <c r="C191" s="476"/>
      <c r="D191" s="541"/>
      <c r="E191" s="445"/>
      <c r="F191" s="516"/>
      <c r="G191" s="456"/>
      <c r="H191" s="456"/>
      <c r="I191" s="56">
        <v>5.3999999999999986</v>
      </c>
      <c r="J191" s="57" t="s">
        <v>32</v>
      </c>
      <c r="K191" s="2">
        <f>SUMIFS('[2]BESS 11'!T:T,'[2]BESS 11'!$B:$B,$J191)</f>
        <v>1</v>
      </c>
      <c r="L191" s="2">
        <f>SUMIFS('[2]BESS 11'!U:U,'[2]BESS 11'!$B:$B,$J191)</f>
        <v>1</v>
      </c>
      <c r="M191" s="2">
        <f t="shared" si="38"/>
        <v>0</v>
      </c>
      <c r="N191" s="63" t="s">
        <v>122</v>
      </c>
      <c r="O191" s="424" t="str">
        <f t="shared" si="36"/>
        <v xml:space="preserve"> </v>
      </c>
      <c r="P191" s="58" t="s">
        <v>20</v>
      </c>
      <c r="Q191" s="96">
        <v>1</v>
      </c>
      <c r="R191" s="93">
        <v>37</v>
      </c>
      <c r="S191" s="94">
        <f t="shared" si="37"/>
        <v>0</v>
      </c>
      <c r="T191" s="307"/>
      <c r="W191" s="60"/>
    </row>
    <row r="192" spans="2:26">
      <c r="B192" s="473"/>
      <c r="C192" s="476"/>
      <c r="D192" s="541"/>
      <c r="E192" s="445"/>
      <c r="F192" s="516"/>
      <c r="G192" s="456"/>
      <c r="H192" s="456"/>
      <c r="I192" s="56">
        <v>5.4999999999999982</v>
      </c>
      <c r="J192" s="57" t="s">
        <v>35</v>
      </c>
      <c r="K192" s="2">
        <f>SUMIFS('[2]BESS 11'!T:T,'[2]BESS 11'!$B:$B,$J192)</f>
        <v>1</v>
      </c>
      <c r="L192" s="2">
        <f>SUMIFS('[2]BESS 11'!U:U,'[2]BESS 11'!$B:$B,$J192)</f>
        <v>1</v>
      </c>
      <c r="M192" s="2">
        <f t="shared" si="38"/>
        <v>0</v>
      </c>
      <c r="N192" s="63" t="s">
        <v>122</v>
      </c>
      <c r="O192" s="424" t="str">
        <f t="shared" si="36"/>
        <v xml:space="preserve"> </v>
      </c>
      <c r="P192" s="58" t="s">
        <v>20</v>
      </c>
      <c r="Q192" s="96">
        <v>1</v>
      </c>
      <c r="R192" s="93">
        <v>34</v>
      </c>
      <c r="S192" s="94">
        <f t="shared" si="37"/>
        <v>0</v>
      </c>
      <c r="T192" s="307"/>
      <c r="W192" s="60"/>
    </row>
    <row r="193" spans="2:26">
      <c r="B193" s="473"/>
      <c r="C193" s="476"/>
      <c r="D193" s="541"/>
      <c r="E193" s="445"/>
      <c r="F193" s="516"/>
      <c r="G193" s="456"/>
      <c r="H193" s="456"/>
      <c r="I193" s="56">
        <v>5.5999999999999979</v>
      </c>
      <c r="J193" s="57" t="s">
        <v>38</v>
      </c>
      <c r="K193" s="2">
        <f>SUMIFS('[2]BESS 11'!T:T,'[2]BESS 11'!$B:$B,$J193)</f>
        <v>1</v>
      </c>
      <c r="L193" s="2">
        <f>SUMIFS('[2]BESS 11'!U:U,'[2]BESS 11'!$B:$B,$J193)</f>
        <v>1</v>
      </c>
      <c r="M193" s="2">
        <f t="shared" si="38"/>
        <v>0</v>
      </c>
      <c r="N193" s="362" t="s">
        <v>122</v>
      </c>
      <c r="O193" s="424" t="str">
        <f t="shared" si="36"/>
        <v xml:space="preserve"> </v>
      </c>
      <c r="P193" s="58" t="s">
        <v>20</v>
      </c>
      <c r="Q193" s="96">
        <v>1</v>
      </c>
      <c r="R193" s="93">
        <v>54</v>
      </c>
      <c r="S193" s="94">
        <f t="shared" si="37"/>
        <v>0</v>
      </c>
      <c r="T193" s="307"/>
    </row>
    <row r="194" spans="2:26">
      <c r="B194" s="473"/>
      <c r="C194" s="476"/>
      <c r="D194" s="541"/>
      <c r="E194" s="445"/>
      <c r="F194" s="516"/>
      <c r="G194" s="456"/>
      <c r="H194" s="456"/>
      <c r="I194" s="56">
        <v>5.6999999999999975</v>
      </c>
      <c r="J194" s="57" t="s">
        <v>44</v>
      </c>
      <c r="K194" s="2">
        <f>SUMIFS('[2]BESS 11'!T:T,'[2]BESS 11'!$B:$B,$J194)</f>
        <v>3</v>
      </c>
      <c r="L194" s="2">
        <f>SUMIFS('[2]BESS 11'!U:U,'[2]BESS 11'!$B:$B,$J194)</f>
        <v>3</v>
      </c>
      <c r="M194" s="2">
        <f t="shared" si="38"/>
        <v>0</v>
      </c>
      <c r="N194" s="63" t="s">
        <v>122</v>
      </c>
      <c r="O194" s="424" t="str">
        <f t="shared" si="36"/>
        <v xml:space="preserve"> </v>
      </c>
      <c r="P194" s="58" t="s">
        <v>45</v>
      </c>
      <c r="Q194" s="96">
        <v>3</v>
      </c>
      <c r="R194" s="93">
        <v>5</v>
      </c>
      <c r="S194" s="94">
        <f t="shared" si="37"/>
        <v>0</v>
      </c>
      <c r="T194" s="307"/>
    </row>
    <row r="195" spans="2:26">
      <c r="B195" s="473"/>
      <c r="C195" s="476"/>
      <c r="D195" s="541"/>
      <c r="E195" s="445"/>
      <c r="F195" s="516"/>
      <c r="G195" s="456"/>
      <c r="H195" s="456"/>
      <c r="I195" s="56">
        <v>5.7999999999999972</v>
      </c>
      <c r="J195" s="57" t="s">
        <v>40</v>
      </c>
      <c r="K195" s="2">
        <f>SUMIFS('[2]BESS 11'!T:T,'[2]BESS 11'!$B:$B,$J195)</f>
        <v>6</v>
      </c>
      <c r="L195" s="2">
        <f>SUMIFS('[2]BESS 11'!U:U,'[2]BESS 11'!$B:$B,$J195)</f>
        <v>6</v>
      </c>
      <c r="M195" s="2">
        <f t="shared" si="38"/>
        <v>0</v>
      </c>
      <c r="N195" s="63" t="s">
        <v>122</v>
      </c>
      <c r="O195" s="424" t="str">
        <f t="shared" si="36"/>
        <v xml:space="preserve"> </v>
      </c>
      <c r="P195" s="58" t="s">
        <v>20</v>
      </c>
      <c r="Q195" s="96">
        <v>1</v>
      </c>
      <c r="R195" s="93">
        <v>5</v>
      </c>
      <c r="S195" s="94">
        <f t="shared" si="37"/>
        <v>0</v>
      </c>
      <c r="T195" s="307"/>
    </row>
    <row r="196" spans="2:26">
      <c r="B196" s="473"/>
      <c r="C196" s="476"/>
      <c r="D196" s="541"/>
      <c r="E196" s="445"/>
      <c r="F196" s="516"/>
      <c r="G196" s="456"/>
      <c r="H196" s="456"/>
      <c r="I196" s="56">
        <v>5.8999999999999968</v>
      </c>
      <c r="J196" s="57" t="s">
        <v>30</v>
      </c>
      <c r="K196" s="2">
        <f>SUMIFS('[2]BESS 11'!T:T,'[2]BESS 11'!$B:$B,$J196)</f>
        <v>6</v>
      </c>
      <c r="L196" s="2">
        <f>SUMIFS('[2]BESS 11'!U:U,'[2]BESS 11'!$B:$B,$J196)</f>
        <v>6</v>
      </c>
      <c r="M196" s="2">
        <f t="shared" si="38"/>
        <v>0</v>
      </c>
      <c r="N196" s="63" t="s">
        <v>122</v>
      </c>
      <c r="O196" s="424" t="str">
        <f t="shared" si="36"/>
        <v xml:space="preserve"> </v>
      </c>
      <c r="P196" s="58" t="s">
        <v>31</v>
      </c>
      <c r="Q196" s="96">
        <v>1</v>
      </c>
      <c r="R196" s="93">
        <v>27</v>
      </c>
      <c r="S196" s="94">
        <f t="shared" si="37"/>
        <v>0</v>
      </c>
      <c r="T196" s="307"/>
    </row>
    <row r="197" spans="2:26" ht="25.5">
      <c r="B197" s="473"/>
      <c r="C197" s="476"/>
      <c r="D197" s="541"/>
      <c r="E197" s="445"/>
      <c r="F197" s="516"/>
      <c r="G197" s="456"/>
      <c r="H197" s="456"/>
      <c r="I197" s="6">
        <v>5.0999999999999996</v>
      </c>
      <c r="J197" s="8" t="s">
        <v>34</v>
      </c>
      <c r="K197" s="1">
        <f>SUMIFS('[2]BESS 11'!T:T,'[2]BESS 11'!$B:$B,$J197)</f>
        <v>1</v>
      </c>
      <c r="L197" s="2">
        <f>SUMIFS('[2]BESS 11'!U:U,'[2]BESS 11'!$B:$B,$J197)</f>
        <v>0</v>
      </c>
      <c r="M197" s="7">
        <f t="shared" si="38"/>
        <v>1</v>
      </c>
      <c r="N197" s="432" t="s">
        <v>306</v>
      </c>
      <c r="O197" s="424">
        <f t="shared" si="36"/>
        <v>46233</v>
      </c>
      <c r="P197" s="5" t="s">
        <v>31</v>
      </c>
      <c r="Q197" s="96">
        <v>1</v>
      </c>
      <c r="R197" s="93">
        <v>25</v>
      </c>
      <c r="S197" s="94">
        <f t="shared" si="37"/>
        <v>25</v>
      </c>
      <c r="T197" s="307"/>
      <c r="Z197" s="60"/>
    </row>
    <row r="198" spans="2:26" ht="25.5">
      <c r="B198" s="473"/>
      <c r="C198" s="476"/>
      <c r="D198" s="541"/>
      <c r="E198" s="445"/>
      <c r="F198" s="516"/>
      <c r="G198" s="456"/>
      <c r="H198" s="456"/>
      <c r="I198" s="6">
        <v>5.1099999999999994</v>
      </c>
      <c r="J198" s="8" t="s">
        <v>37</v>
      </c>
      <c r="K198" s="1">
        <f>SUMIFS('[2]BESS 11'!T:T,'[2]BESS 11'!$B:$B,$J198)</f>
        <v>1</v>
      </c>
      <c r="L198" s="2">
        <f>SUMIFS('[2]BESS 11'!U:U,'[2]BESS 11'!$B:$B,$J198)</f>
        <v>0</v>
      </c>
      <c r="M198" s="7">
        <f t="shared" si="38"/>
        <v>1</v>
      </c>
      <c r="N198" s="432" t="s">
        <v>472</v>
      </c>
      <c r="O198" s="424">
        <f t="shared" si="36"/>
        <v>46233</v>
      </c>
      <c r="P198" s="5" t="s">
        <v>123</v>
      </c>
      <c r="Q198" s="96" t="s">
        <v>89</v>
      </c>
      <c r="R198" s="93" t="s">
        <v>89</v>
      </c>
      <c r="S198" s="94" t="s">
        <v>89</v>
      </c>
      <c r="T198" s="307"/>
      <c r="Z198" s="60"/>
    </row>
    <row r="199" spans="2:26">
      <c r="B199" s="473"/>
      <c r="C199" s="476"/>
      <c r="D199" s="541"/>
      <c r="E199" s="445"/>
      <c r="F199" s="516"/>
      <c r="G199" s="456"/>
      <c r="H199" s="456"/>
      <c r="I199" s="44"/>
      <c r="J199" s="50"/>
      <c r="K199" s="61"/>
      <c r="L199" s="52" t="s">
        <v>124</v>
      </c>
      <c r="M199" s="51"/>
      <c r="N199" s="61"/>
      <c r="O199" s="424"/>
      <c r="P199" s="87"/>
      <c r="S199" s="271"/>
      <c r="T199" s="307"/>
    </row>
    <row r="200" spans="2:26">
      <c r="B200" s="473"/>
      <c r="C200" s="476"/>
      <c r="D200" s="541"/>
      <c r="E200" s="445"/>
      <c r="F200" s="516"/>
      <c r="G200" s="456"/>
      <c r="H200" s="456"/>
      <c r="I200" s="59">
        <v>5.1199999999999992</v>
      </c>
      <c r="J200" s="57" t="s">
        <v>24</v>
      </c>
      <c r="K200" s="2">
        <f>SUMIFS('[2]BESS 11'!T:T,'[2]BESS 11'!$B:$B,$J200)</f>
        <v>6</v>
      </c>
      <c r="L200" s="2">
        <f>SUMIFS('[2]BESS 11'!U:U,'[2]BESS 11'!$B:$B,$J200)</f>
        <v>6</v>
      </c>
      <c r="M200" s="2">
        <f t="shared" ref="M200:M231" si="39">K200-L200</f>
        <v>0</v>
      </c>
      <c r="N200" s="63" t="s">
        <v>122</v>
      </c>
      <c r="O200" s="424" t="str">
        <f t="shared" ref="O200:O224" si="40">IF(LEN(N200)=5,N200,(IF(N200="Completed"," ",DATEVALUE(RIGHT(N200,6)))))</f>
        <v xml:space="preserve"> </v>
      </c>
      <c r="P200" s="58" t="s">
        <v>25</v>
      </c>
      <c r="Q200" s="96">
        <v>2</v>
      </c>
      <c r="R200" s="93">
        <v>4</v>
      </c>
      <c r="S200" s="94">
        <f>(M200*R200)/Q200</f>
        <v>0</v>
      </c>
      <c r="T200" s="261"/>
    </row>
    <row r="201" spans="2:26" ht="25.5">
      <c r="B201" s="473"/>
      <c r="C201" s="476"/>
      <c r="D201" s="541"/>
      <c r="E201" s="445"/>
      <c r="F201" s="516"/>
      <c r="G201" s="456"/>
      <c r="H201" s="456"/>
      <c r="I201" s="6">
        <v>5.129999999999999</v>
      </c>
      <c r="J201" s="8" t="s">
        <v>27</v>
      </c>
      <c r="K201" s="1">
        <f>SUMIFS('[2]BESS 11'!T:T,'[2]BESS 11'!$B:$B,$J201)</f>
        <v>48</v>
      </c>
      <c r="L201" s="2">
        <f>SUMIFS('[2]BESS 11'!U:U,'[2]BESS 11'!$B:$B,$J201)</f>
        <v>0</v>
      </c>
      <c r="M201" s="7">
        <f t="shared" si="39"/>
        <v>48</v>
      </c>
      <c r="N201" s="432" t="s">
        <v>467</v>
      </c>
      <c r="O201" s="424">
        <f t="shared" si="40"/>
        <v>46239</v>
      </c>
      <c r="P201" s="5" t="s">
        <v>164</v>
      </c>
      <c r="Q201" s="96">
        <v>10</v>
      </c>
      <c r="R201" s="93">
        <v>4</v>
      </c>
      <c r="S201" s="94">
        <f>(M201*R201)/Q201</f>
        <v>19.2</v>
      </c>
      <c r="T201" s="307" t="s">
        <v>183</v>
      </c>
      <c r="Z201" s="60"/>
    </row>
    <row r="202" spans="2:26" ht="25.5">
      <c r="B202" s="473"/>
      <c r="C202" s="476"/>
      <c r="D202" s="541"/>
      <c r="E202" s="445"/>
      <c r="F202" s="516"/>
      <c r="G202" s="456"/>
      <c r="H202" s="456"/>
      <c r="I202" s="6">
        <v>5.1399999999999988</v>
      </c>
      <c r="J202" s="8" t="s">
        <v>28</v>
      </c>
      <c r="K202" s="1">
        <f>SUMIFS('[2]BESS 11'!T:T,'[2]BESS 11'!$B:$B,$J202)</f>
        <v>6</v>
      </c>
      <c r="L202" s="2">
        <f>SUMIFS('[2]BESS 11'!U:U,'[2]BESS 11'!$B:$B,$J202)</f>
        <v>0</v>
      </c>
      <c r="M202" s="7">
        <f t="shared" si="39"/>
        <v>6</v>
      </c>
      <c r="N202" s="432" t="s">
        <v>468</v>
      </c>
      <c r="O202" s="424">
        <f t="shared" si="40"/>
        <v>46239</v>
      </c>
      <c r="P202" s="5" t="s">
        <v>164</v>
      </c>
      <c r="Q202" s="96">
        <v>5</v>
      </c>
      <c r="R202" s="93">
        <v>4</v>
      </c>
      <c r="S202" s="94">
        <f>(M202*R202)/Q202</f>
        <v>4.8</v>
      </c>
      <c r="T202" s="261"/>
      <c r="Z202" s="60"/>
    </row>
    <row r="203" spans="2:26" ht="25.5">
      <c r="B203" s="473"/>
      <c r="C203" s="476"/>
      <c r="D203" s="541"/>
      <c r="E203" s="445"/>
      <c r="F203" s="516"/>
      <c r="G203" s="456"/>
      <c r="H203" s="456"/>
      <c r="I203" s="6">
        <v>5.1499999999999986</v>
      </c>
      <c r="J203" s="8" t="s">
        <v>29</v>
      </c>
      <c r="K203" s="1">
        <f>SUMIFS('[2]BESS 11'!T:T,'[2]BESS 11'!$B:$B,$J203)</f>
        <v>6</v>
      </c>
      <c r="L203" s="2">
        <f>SUMIFS('[2]BESS 11'!U:U,'[2]BESS 11'!$B:$B,$J203)</f>
        <v>0</v>
      </c>
      <c r="M203" s="7">
        <f t="shared" si="39"/>
        <v>6</v>
      </c>
      <c r="N203" s="432" t="s">
        <v>468</v>
      </c>
      <c r="O203" s="424">
        <f t="shared" si="40"/>
        <v>46239</v>
      </c>
      <c r="P203" s="5" t="s">
        <v>164</v>
      </c>
      <c r="Q203" s="96">
        <v>20</v>
      </c>
      <c r="R203" s="527">
        <v>4</v>
      </c>
      <c r="S203" s="530">
        <v>4</v>
      </c>
      <c r="T203" s="261"/>
      <c r="Z203" s="60"/>
    </row>
    <row r="204" spans="2:26" ht="25.5">
      <c r="B204" s="473"/>
      <c r="C204" s="476"/>
      <c r="D204" s="541"/>
      <c r="E204" s="445"/>
      <c r="F204" s="516"/>
      <c r="G204" s="456"/>
      <c r="H204" s="456"/>
      <c r="I204" s="6">
        <v>5.1599999999999984</v>
      </c>
      <c r="J204" s="8" t="s">
        <v>33</v>
      </c>
      <c r="K204" s="1">
        <f>SUMIFS('[2]BESS 11'!T:T,'[2]BESS 11'!$B:$B,$J204)</f>
        <v>2</v>
      </c>
      <c r="L204" s="2">
        <f>SUMIFS('[2]BESS 11'!U:U,'[2]BESS 11'!$B:$B,$J204)</f>
        <v>0</v>
      </c>
      <c r="M204" s="7">
        <f t="shared" si="39"/>
        <v>2</v>
      </c>
      <c r="N204" s="432" t="s">
        <v>305</v>
      </c>
      <c r="O204" s="424">
        <f t="shared" si="40"/>
        <v>46231</v>
      </c>
      <c r="P204" s="5" t="s">
        <v>164</v>
      </c>
      <c r="Q204" s="96">
        <v>10</v>
      </c>
      <c r="R204" s="528"/>
      <c r="S204" s="531"/>
      <c r="T204" s="261"/>
      <c r="W204" s="60"/>
      <c r="Y204" s="371"/>
      <c r="Z204" s="60"/>
    </row>
    <row r="205" spans="2:26" ht="25.5">
      <c r="B205" s="473"/>
      <c r="C205" s="476"/>
      <c r="D205" s="541"/>
      <c r="E205" s="445"/>
      <c r="F205" s="516"/>
      <c r="G205" s="456"/>
      <c r="H205" s="456"/>
      <c r="I205" s="6">
        <v>5.1699999999999982</v>
      </c>
      <c r="J205" s="8" t="s">
        <v>36</v>
      </c>
      <c r="K205" s="1">
        <f>SUMIFS('[2]BESS 11'!T:T,'[2]BESS 11'!$B:$B,$J205)</f>
        <v>1</v>
      </c>
      <c r="L205" s="2">
        <f>SUMIFS('[2]BESS 11'!U:U,'[2]BESS 11'!$B:$B,$J205)</f>
        <v>0</v>
      </c>
      <c r="M205" s="7">
        <f t="shared" si="39"/>
        <v>1</v>
      </c>
      <c r="N205" s="432" t="s">
        <v>469</v>
      </c>
      <c r="O205" s="424">
        <f t="shared" si="40"/>
        <v>46239</v>
      </c>
      <c r="P205" s="5" t="s">
        <v>164</v>
      </c>
      <c r="Q205" s="96">
        <v>10</v>
      </c>
      <c r="R205" s="528"/>
      <c r="S205" s="531"/>
      <c r="T205" s="261"/>
      <c r="Z205" s="60"/>
    </row>
    <row r="206" spans="2:26" ht="25.5">
      <c r="B206" s="473"/>
      <c r="C206" s="476"/>
      <c r="D206" s="541"/>
      <c r="E206" s="445"/>
      <c r="F206" s="516"/>
      <c r="G206" s="456"/>
      <c r="H206" s="456"/>
      <c r="I206" s="6">
        <v>5.1799999999999979</v>
      </c>
      <c r="J206" s="8" t="s">
        <v>39</v>
      </c>
      <c r="K206" s="1">
        <f>SUMIFS('[2]BESS 11'!T:T,'[2]BESS 11'!$B:$B,$J206)</f>
        <v>1</v>
      </c>
      <c r="L206" s="2">
        <f>SUMIFS('[2]BESS 11'!U:U,'[2]BESS 11'!$B:$B,$J206)</f>
        <v>0</v>
      </c>
      <c r="M206" s="7">
        <f t="shared" si="39"/>
        <v>1</v>
      </c>
      <c r="N206" s="432" t="s">
        <v>326</v>
      </c>
      <c r="O206" s="424">
        <f t="shared" si="40"/>
        <v>46228</v>
      </c>
      <c r="P206" s="5" t="s">
        <v>164</v>
      </c>
      <c r="Q206" s="96">
        <v>10</v>
      </c>
      <c r="R206" s="528"/>
      <c r="S206" s="531"/>
      <c r="T206" s="261"/>
      <c r="Z206" s="60"/>
    </row>
    <row r="207" spans="2:26" ht="25.5">
      <c r="B207" s="473"/>
      <c r="C207" s="476"/>
      <c r="D207" s="541"/>
      <c r="E207" s="445"/>
      <c r="F207" s="516"/>
      <c r="G207" s="456"/>
      <c r="H207" s="456"/>
      <c r="I207" s="6">
        <v>5.1899999999999977</v>
      </c>
      <c r="J207" s="8" t="s">
        <v>41</v>
      </c>
      <c r="K207" s="1">
        <f>SUMIFS('[2]BESS 11'!T:T,'[2]BESS 11'!$B:$B,$J207)</f>
        <v>6</v>
      </c>
      <c r="L207" s="2">
        <f>SUMIFS('[2]BESS 11'!U:U,'[2]BESS 11'!$B:$B,$J207)</f>
        <v>0</v>
      </c>
      <c r="M207" s="7">
        <f t="shared" si="39"/>
        <v>6</v>
      </c>
      <c r="N207" s="432" t="s">
        <v>470</v>
      </c>
      <c r="O207" s="424">
        <f t="shared" si="40"/>
        <v>46240</v>
      </c>
      <c r="P207" s="140" t="s">
        <v>125</v>
      </c>
      <c r="Q207" s="96">
        <v>20</v>
      </c>
      <c r="R207" s="529"/>
      <c r="S207" s="532"/>
      <c r="T207" s="307"/>
    </row>
    <row r="208" spans="2:26" ht="25.5">
      <c r="B208" s="473"/>
      <c r="C208" s="476"/>
      <c r="D208" s="541"/>
      <c r="E208" s="445"/>
      <c r="F208" s="516"/>
      <c r="G208" s="456"/>
      <c r="H208" s="456"/>
      <c r="I208" s="6">
        <v>5.1999999999999975</v>
      </c>
      <c r="J208" s="8" t="s">
        <v>43</v>
      </c>
      <c r="K208" s="1">
        <f>SUMIFS('[2]BESS 11'!T:T,'[2]BESS 11'!$B:$B,$J208)</f>
        <v>6</v>
      </c>
      <c r="L208" s="2">
        <f>SUMIFS('[2]BESS 11'!U:U,'[2]BESS 11'!$B:$B,$J208)</f>
        <v>0</v>
      </c>
      <c r="M208" s="7">
        <f t="shared" si="39"/>
        <v>6</v>
      </c>
      <c r="N208" s="432" t="s">
        <v>471</v>
      </c>
      <c r="O208" s="424">
        <f t="shared" si="40"/>
        <v>46244</v>
      </c>
      <c r="P208" s="140" t="s">
        <v>125</v>
      </c>
      <c r="Q208" s="96">
        <v>0.66666666666666663</v>
      </c>
      <c r="R208" s="93">
        <v>0</v>
      </c>
      <c r="S208" s="94">
        <f t="shared" ref="S208:S220" si="41">(M208*R208)/Q208</f>
        <v>0</v>
      </c>
      <c r="T208" s="307"/>
    </row>
    <row r="209" spans="2:23" ht="25.5">
      <c r="B209" s="473"/>
      <c r="C209" s="476"/>
      <c r="D209" s="541"/>
      <c r="E209" s="445"/>
      <c r="F209" s="516"/>
      <c r="G209" s="456"/>
      <c r="H209" s="456"/>
      <c r="I209" s="6">
        <v>5.2099999999999973</v>
      </c>
      <c r="J209" s="8" t="s">
        <v>21</v>
      </c>
      <c r="K209" s="1">
        <f>SUMIFS('[2]BESS 11'!T:T,'[2]BESS 11'!$B:$B,$J209)</f>
        <v>48</v>
      </c>
      <c r="L209" s="2">
        <f>SUMIFS('[2]BESS 11'!U:U,'[2]BESS 11'!$B:$B,$J209)</f>
        <v>0</v>
      </c>
      <c r="M209" s="7">
        <f t="shared" si="39"/>
        <v>48</v>
      </c>
      <c r="N209" s="20" t="s">
        <v>457</v>
      </c>
      <c r="O209" s="424">
        <f t="shared" si="40"/>
        <v>46263</v>
      </c>
      <c r="P209" s="5" t="s">
        <v>449</v>
      </c>
      <c r="Q209" s="96">
        <v>10</v>
      </c>
      <c r="R209" s="93">
        <v>4</v>
      </c>
      <c r="S209" s="94">
        <f t="shared" si="41"/>
        <v>19.2</v>
      </c>
      <c r="T209" s="307"/>
    </row>
    <row r="210" spans="2:23">
      <c r="B210" s="473"/>
      <c r="C210" s="476"/>
      <c r="D210" s="541"/>
      <c r="E210" s="445"/>
      <c r="F210" s="516"/>
      <c r="G210" s="456"/>
      <c r="H210" s="456"/>
      <c r="I210" s="6">
        <v>5.2199999999999971</v>
      </c>
      <c r="J210" s="8" t="s">
        <v>47</v>
      </c>
      <c r="K210" s="1">
        <f>SUMIFS('[2]BESS 11'!T:T,'[2]BESS 11'!$B:$B,$J210)</f>
        <v>5680.75</v>
      </c>
      <c r="L210" s="2">
        <f>SUMIFS('[2]BESS 11'!U:U,'[2]BESS 11'!$B:$B,$J210)</f>
        <v>603</v>
      </c>
      <c r="M210" s="7">
        <f t="shared" si="39"/>
        <v>5077.75</v>
      </c>
      <c r="N210" s="436" t="s">
        <v>462</v>
      </c>
      <c r="O210" s="424">
        <f t="shared" si="40"/>
        <v>46235</v>
      </c>
      <c r="P210" s="5" t="s">
        <v>164</v>
      </c>
      <c r="Q210" s="96">
        <v>1500</v>
      </c>
      <c r="R210" s="93">
        <v>48</v>
      </c>
      <c r="S210" s="94">
        <f t="shared" si="41"/>
        <v>162.488</v>
      </c>
      <c r="T210" s="307"/>
    </row>
    <row r="211" spans="2:23">
      <c r="B211" s="473"/>
      <c r="C211" s="476"/>
      <c r="D211" s="541"/>
      <c r="E211" s="445"/>
      <c r="F211" s="516"/>
      <c r="G211" s="456"/>
      <c r="H211" s="456"/>
      <c r="I211" s="6">
        <v>5.2299999999999969</v>
      </c>
      <c r="J211" s="8" t="s">
        <v>48</v>
      </c>
      <c r="K211" s="1">
        <f>SUMIFS('[2]BESS 11'!T:T,'[2]BESS 11'!$B:$B,$J211)</f>
        <v>28</v>
      </c>
      <c r="L211" s="2">
        <f>SUMIFS('[2]BESS 11'!U:U,'[2]BESS 11'!$B:$B,$J211)</f>
        <v>0</v>
      </c>
      <c r="M211" s="7">
        <f t="shared" si="39"/>
        <v>28</v>
      </c>
      <c r="N211" s="3">
        <v>46245</v>
      </c>
      <c r="O211" s="424">
        <f t="shared" si="40"/>
        <v>46245</v>
      </c>
      <c r="P211" s="5" t="s">
        <v>164</v>
      </c>
      <c r="Q211" s="96">
        <v>8</v>
      </c>
      <c r="R211" s="93">
        <v>6</v>
      </c>
      <c r="S211" s="94">
        <f t="shared" si="41"/>
        <v>21</v>
      </c>
      <c r="T211" s="307"/>
    </row>
    <row r="212" spans="2:23">
      <c r="B212" s="473"/>
      <c r="C212" s="476"/>
      <c r="D212" s="541"/>
      <c r="E212" s="445"/>
      <c r="F212" s="516"/>
      <c r="G212" s="456"/>
      <c r="H212" s="456"/>
      <c r="I212" s="6">
        <f t="shared" ref="I212:I231" si="42">I211+0.01</f>
        <v>5.2399999999999967</v>
      </c>
      <c r="J212" s="8" t="s">
        <v>126</v>
      </c>
      <c r="K212" s="1">
        <f>SUMIFS('[2]BESS 11'!T:T,'[2]BESS 11'!$B:$B,$J212)</f>
        <v>14290</v>
      </c>
      <c r="L212" s="2">
        <f>SUMIFS('[2]BESS 11'!U:U,'[2]BESS 11'!$B:$B,$J212)</f>
        <v>0</v>
      </c>
      <c r="M212" s="7">
        <f t="shared" si="39"/>
        <v>14290</v>
      </c>
      <c r="N212" s="436" t="s">
        <v>357</v>
      </c>
      <c r="O212" s="424">
        <f t="shared" si="40"/>
        <v>46239</v>
      </c>
      <c r="P212" s="5" t="s">
        <v>164</v>
      </c>
      <c r="Q212" s="96">
        <v>600</v>
      </c>
      <c r="R212" s="93">
        <v>10</v>
      </c>
      <c r="S212" s="94">
        <f t="shared" si="41"/>
        <v>238.16666666666666</v>
      </c>
      <c r="T212" s="307"/>
    </row>
    <row r="213" spans="2:23">
      <c r="B213" s="473"/>
      <c r="C213" s="476"/>
      <c r="D213" s="541"/>
      <c r="E213" s="445"/>
      <c r="F213" s="516"/>
      <c r="G213" s="456"/>
      <c r="H213" s="456"/>
      <c r="I213" s="6">
        <f t="shared" si="42"/>
        <v>5.2499999999999964</v>
      </c>
      <c r="J213" s="8" t="s">
        <v>127</v>
      </c>
      <c r="K213" s="1">
        <f>SUMIFS('[2]BESS 11'!T:T,'[2]BESS 11'!$B:$B,$J213)</f>
        <v>47399</v>
      </c>
      <c r="L213" s="2">
        <f>SUMIFS('[2]BESS 11'!U:U,'[2]BESS 11'!$B:$B,$J213)</f>
        <v>0</v>
      </c>
      <c r="M213" s="7">
        <f t="shared" si="39"/>
        <v>47399</v>
      </c>
      <c r="N213" s="436" t="s">
        <v>463</v>
      </c>
      <c r="O213" s="424">
        <f t="shared" si="40"/>
        <v>46239</v>
      </c>
      <c r="P213" s="5" t="s">
        <v>164</v>
      </c>
      <c r="Q213" s="96">
        <v>600</v>
      </c>
      <c r="R213" s="93">
        <v>10</v>
      </c>
      <c r="S213" s="94">
        <f t="shared" si="41"/>
        <v>789.98333333333335</v>
      </c>
      <c r="T213" s="307"/>
    </row>
    <row r="214" spans="2:23" ht="25.5">
      <c r="B214" s="473"/>
      <c r="C214" s="476"/>
      <c r="D214" s="541"/>
      <c r="E214" s="445"/>
      <c r="F214" s="516"/>
      <c r="G214" s="456"/>
      <c r="H214" s="456"/>
      <c r="I214" s="6">
        <f t="shared" si="42"/>
        <v>5.2599999999999962</v>
      </c>
      <c r="J214" s="8" t="s">
        <v>128</v>
      </c>
      <c r="K214" s="1">
        <f>SUMIFS('[2]BESS 11'!T:T,'[2]BESS 11'!$B:$B,$J214)</f>
        <v>1536</v>
      </c>
      <c r="L214" s="2">
        <f>SUMIFS('[2]BESS 11'!U:U,'[2]BESS 11'!$B:$B,$J214)</f>
        <v>0</v>
      </c>
      <c r="M214" s="7">
        <f t="shared" si="39"/>
        <v>1536</v>
      </c>
      <c r="N214" s="20" t="s">
        <v>458</v>
      </c>
      <c r="O214" s="424">
        <f t="shared" si="40"/>
        <v>46271</v>
      </c>
      <c r="P214" s="5" t="s">
        <v>164</v>
      </c>
      <c r="Q214" s="96">
        <v>30</v>
      </c>
      <c r="R214" s="93">
        <v>18</v>
      </c>
      <c r="S214" s="94">
        <f t="shared" si="41"/>
        <v>921.6</v>
      </c>
      <c r="T214" s="307"/>
    </row>
    <row r="215" spans="2:23">
      <c r="B215" s="473"/>
      <c r="C215" s="476"/>
      <c r="D215" s="541"/>
      <c r="E215" s="445"/>
      <c r="F215" s="516"/>
      <c r="G215" s="456"/>
      <c r="H215" s="456"/>
      <c r="I215" s="6">
        <f t="shared" si="42"/>
        <v>5.269999999999996</v>
      </c>
      <c r="J215" s="8" t="s">
        <v>129</v>
      </c>
      <c r="K215" s="1">
        <f>SUMIFS('[2]BESS 11'!T:T,'[2]BESS 11'!$B:$B,$J215)</f>
        <v>2304</v>
      </c>
      <c r="L215" s="2">
        <f>SUMIFS('[2]BESS 11'!U:U,'[2]BESS 11'!$B:$B,$J215)</f>
        <v>0</v>
      </c>
      <c r="M215" s="7">
        <f t="shared" si="39"/>
        <v>2304</v>
      </c>
      <c r="N215" s="3" t="s">
        <v>459</v>
      </c>
      <c r="O215" s="424">
        <f t="shared" si="40"/>
        <v>46259</v>
      </c>
      <c r="P215" s="5" t="s">
        <v>164</v>
      </c>
      <c r="Q215" s="96">
        <v>30</v>
      </c>
      <c r="R215" s="93">
        <v>18</v>
      </c>
      <c r="S215" s="94">
        <f t="shared" si="41"/>
        <v>1382.4</v>
      </c>
      <c r="T215" s="307"/>
      <c r="W215" s="60"/>
    </row>
    <row r="216" spans="2:23">
      <c r="B216" s="473"/>
      <c r="C216" s="476"/>
      <c r="D216" s="541"/>
      <c r="E216" s="445"/>
      <c r="F216" s="516"/>
      <c r="G216" s="456"/>
      <c r="H216" s="456"/>
      <c r="I216" s="6">
        <f t="shared" si="42"/>
        <v>5.2799999999999958</v>
      </c>
      <c r="J216" s="8" t="s">
        <v>130</v>
      </c>
      <c r="K216" s="1">
        <f>SUMIFS('[2]BESS 11'!T:T,'[2]BESS 11'!$B:$B,$J216)</f>
        <v>8232</v>
      </c>
      <c r="L216" s="2">
        <f>SUMIFS('[2]BESS 11'!U:U,'[2]BESS 11'!$B:$B,$J216)</f>
        <v>0</v>
      </c>
      <c r="M216" s="7">
        <f t="shared" si="39"/>
        <v>8232</v>
      </c>
      <c r="N216" s="436" t="s">
        <v>464</v>
      </c>
      <c r="O216" s="424">
        <f t="shared" si="40"/>
        <v>46244</v>
      </c>
      <c r="P216" s="5" t="s">
        <v>164</v>
      </c>
      <c r="Q216" s="96">
        <v>1000</v>
      </c>
      <c r="R216" s="93">
        <v>10</v>
      </c>
      <c r="S216" s="94">
        <f t="shared" si="41"/>
        <v>82.32</v>
      </c>
      <c r="T216" s="307"/>
    </row>
    <row r="217" spans="2:23">
      <c r="B217" s="473"/>
      <c r="C217" s="476"/>
      <c r="D217" s="541"/>
      <c r="E217" s="445"/>
      <c r="F217" s="516"/>
      <c r="G217" s="456"/>
      <c r="H217" s="456"/>
      <c r="I217" s="6">
        <f t="shared" si="42"/>
        <v>5.2899999999999956</v>
      </c>
      <c r="J217" s="8" t="s">
        <v>131</v>
      </c>
      <c r="K217" s="1">
        <f>SUMIFS('[2]BESS 11'!T:T,'[2]BESS 11'!$B:$B,$J217)</f>
        <v>14448</v>
      </c>
      <c r="L217" s="2">
        <f>SUMIFS('[2]BESS 11'!U:U,'[2]BESS 11'!$B:$B,$J217)</f>
        <v>0</v>
      </c>
      <c r="M217" s="7">
        <f t="shared" ref="M217:M230" si="43">K217-L217</f>
        <v>14448</v>
      </c>
      <c r="N217" s="436" t="s">
        <v>464</v>
      </c>
      <c r="O217" s="424">
        <f t="shared" si="40"/>
        <v>46244</v>
      </c>
      <c r="P217" s="5" t="s">
        <v>164</v>
      </c>
      <c r="Q217" s="96">
        <v>1000</v>
      </c>
      <c r="R217" s="93">
        <v>10</v>
      </c>
      <c r="S217" s="94">
        <f t="shared" si="41"/>
        <v>144.47999999999999</v>
      </c>
      <c r="T217" s="307"/>
    </row>
    <row r="218" spans="2:23">
      <c r="B218" s="473"/>
      <c r="C218" s="476"/>
      <c r="D218" s="541"/>
      <c r="E218" s="445"/>
      <c r="F218" s="516"/>
      <c r="G218" s="456"/>
      <c r="H218" s="456"/>
      <c r="I218" s="6">
        <f t="shared" si="42"/>
        <v>5.2999999999999954</v>
      </c>
      <c r="J218" s="8" t="s">
        <v>132</v>
      </c>
      <c r="K218" s="1">
        <f>SUMIFS('[2]BESS 11'!T:T,'[2]BESS 11'!$B:$B,$J218)</f>
        <v>4792</v>
      </c>
      <c r="L218" s="2">
        <f>SUMIFS('[2]BESS 11'!U:U,'[2]BESS 11'!$B:$B,$J218)</f>
        <v>0</v>
      </c>
      <c r="M218" s="7">
        <f t="shared" si="43"/>
        <v>4792</v>
      </c>
      <c r="N218" s="436" t="s">
        <v>464</v>
      </c>
      <c r="O218" s="424">
        <f t="shared" si="40"/>
        <v>46244</v>
      </c>
      <c r="P218" s="5" t="s">
        <v>164</v>
      </c>
      <c r="Q218" s="96">
        <v>500</v>
      </c>
      <c r="R218" s="93">
        <v>10</v>
      </c>
      <c r="S218" s="94">
        <f t="shared" si="41"/>
        <v>95.84</v>
      </c>
      <c r="T218" s="307"/>
    </row>
    <row r="219" spans="2:23" ht="25.5">
      <c r="B219" s="473"/>
      <c r="C219" s="476"/>
      <c r="D219" s="541"/>
      <c r="E219" s="445"/>
      <c r="F219" s="516"/>
      <c r="G219" s="456"/>
      <c r="H219" s="456"/>
      <c r="I219" s="6">
        <f t="shared" si="42"/>
        <v>5.3099999999999952</v>
      </c>
      <c r="J219" s="8" t="s">
        <v>133</v>
      </c>
      <c r="K219" s="1">
        <f>SUMIFS('[2]BESS 11'!T:T,'[2]BESS 11'!$B:$B,$J219)</f>
        <v>286</v>
      </c>
      <c r="L219" s="2">
        <f>SUMIFS('[2]BESS 11'!U:U,'[2]BESS 11'!$B:$B,$J219)</f>
        <v>0</v>
      </c>
      <c r="M219" s="7">
        <f t="shared" si="43"/>
        <v>286</v>
      </c>
      <c r="N219" s="20" t="s">
        <v>458</v>
      </c>
      <c r="O219" s="424">
        <f t="shared" si="40"/>
        <v>46271</v>
      </c>
      <c r="P219" s="5" t="s">
        <v>164</v>
      </c>
      <c r="Q219" s="96">
        <v>30</v>
      </c>
      <c r="R219" s="93">
        <v>6</v>
      </c>
      <c r="S219" s="94">
        <f t="shared" si="41"/>
        <v>57.2</v>
      </c>
      <c r="T219" s="307"/>
    </row>
    <row r="220" spans="2:23" ht="25.5">
      <c r="B220" s="473"/>
      <c r="C220" s="476"/>
      <c r="D220" s="541"/>
      <c r="E220" s="445"/>
      <c r="F220" s="516"/>
      <c r="G220" s="456"/>
      <c r="H220" s="456"/>
      <c r="I220" s="6">
        <f t="shared" si="42"/>
        <v>5.319999999999995</v>
      </c>
      <c r="J220" s="8" t="s">
        <v>134</v>
      </c>
      <c r="K220" s="1">
        <f>SUMIFS('[2]BESS 11'!T:T,'[2]BESS 11'!$B:$B,$J220)</f>
        <v>536</v>
      </c>
      <c r="L220" s="2">
        <f>SUMIFS('[2]BESS 11'!U:U,'[2]BESS 11'!$B:$B,$J220)</f>
        <v>0</v>
      </c>
      <c r="M220" s="7">
        <f t="shared" si="43"/>
        <v>536</v>
      </c>
      <c r="N220" s="20" t="s">
        <v>458</v>
      </c>
      <c r="O220" s="424">
        <f t="shared" si="40"/>
        <v>46271</v>
      </c>
      <c r="P220" s="5" t="s">
        <v>443</v>
      </c>
      <c r="Q220" s="96">
        <v>30</v>
      </c>
      <c r="R220" s="93">
        <v>4</v>
      </c>
      <c r="S220" s="94">
        <f t="shared" si="41"/>
        <v>71.466666666666669</v>
      </c>
      <c r="T220" s="307"/>
    </row>
    <row r="221" spans="2:23" ht="25.5">
      <c r="B221" s="473"/>
      <c r="C221" s="476"/>
      <c r="D221" s="541"/>
      <c r="E221" s="445"/>
      <c r="F221" s="516"/>
      <c r="G221" s="456"/>
      <c r="H221" s="456"/>
      <c r="I221" s="6">
        <f t="shared" si="42"/>
        <v>5.3299999999999947</v>
      </c>
      <c r="J221" s="8" t="s">
        <v>136</v>
      </c>
      <c r="K221" s="1">
        <f>SUMIFS('[2]BESS 11'!T:T,'[2]BESS 11'!$B:$B,$J221)</f>
        <v>384</v>
      </c>
      <c r="L221" s="2">
        <f>SUMIFS('[2]BESS 11'!U:U,'[2]BESS 11'!$B:$B,$J221)</f>
        <v>0</v>
      </c>
      <c r="M221" s="7">
        <f t="shared" si="43"/>
        <v>384</v>
      </c>
      <c r="N221" s="20" t="s">
        <v>458</v>
      </c>
      <c r="O221" s="424">
        <f t="shared" si="40"/>
        <v>46271</v>
      </c>
      <c r="P221" s="5" t="s">
        <v>443</v>
      </c>
      <c r="Q221" s="96" t="s">
        <v>89</v>
      </c>
      <c r="R221" s="93" t="s">
        <v>89</v>
      </c>
      <c r="S221" s="94" t="s">
        <v>89</v>
      </c>
      <c r="T221" s="307"/>
      <c r="U221">
        <f ca="1">O221-$T$1</f>
        <v>38</v>
      </c>
      <c r="V221" s="97">
        <f>SUM(S200:S231)</f>
        <v>4354.8380000000006</v>
      </c>
    </row>
    <row r="222" spans="2:23">
      <c r="B222" s="473"/>
      <c r="C222" s="476"/>
      <c r="D222" s="541"/>
      <c r="E222" s="445"/>
      <c r="F222" s="516"/>
      <c r="G222" s="456"/>
      <c r="H222" s="456"/>
      <c r="I222" s="6">
        <f t="shared" si="42"/>
        <v>5.3399999999999945</v>
      </c>
      <c r="J222" s="8" t="s">
        <v>137</v>
      </c>
      <c r="K222" s="1">
        <f>SUMIFS('[2]BESS 11'!T:T,'[2]BESS 11'!$B:$B,$J222)</f>
        <v>6</v>
      </c>
      <c r="L222" s="2">
        <f>SUMIFS('[2]BESS 11'!U:U,'[2]BESS 11'!$B:$B,$J222)</f>
        <v>0</v>
      </c>
      <c r="M222" s="7">
        <f t="shared" si="43"/>
        <v>6</v>
      </c>
      <c r="N222" s="436" t="s">
        <v>347</v>
      </c>
      <c r="O222" s="424">
        <f t="shared" si="40"/>
        <v>46239</v>
      </c>
      <c r="P222" s="5" t="s">
        <v>138</v>
      </c>
      <c r="Q222" s="533">
        <v>2</v>
      </c>
      <c r="R222" s="527">
        <v>8</v>
      </c>
      <c r="S222" s="94" t="s">
        <v>89</v>
      </c>
      <c r="T222" s="307"/>
    </row>
    <row r="223" spans="2:23">
      <c r="B223" s="473"/>
      <c r="C223" s="476"/>
      <c r="D223" s="541"/>
      <c r="E223" s="445"/>
      <c r="F223" s="516"/>
      <c r="G223" s="456"/>
      <c r="H223" s="456"/>
      <c r="I223" s="6">
        <f t="shared" si="42"/>
        <v>5.3499999999999943</v>
      </c>
      <c r="J223" s="8" t="s">
        <v>139</v>
      </c>
      <c r="K223" s="1">
        <f>SUMIFS('[2]BESS 11'!T:T,'[2]BESS 11'!$B:$B,$J223)</f>
        <v>6</v>
      </c>
      <c r="L223" s="2">
        <f>SUMIFS('[2]BESS 11'!U:U,'[2]BESS 11'!$B:$B,$J223)</f>
        <v>0</v>
      </c>
      <c r="M223" s="7">
        <f t="shared" si="43"/>
        <v>6</v>
      </c>
      <c r="N223" s="436" t="s">
        <v>465</v>
      </c>
      <c r="O223" s="424">
        <f t="shared" si="40"/>
        <v>46244</v>
      </c>
      <c r="P223" s="5" t="s">
        <v>164</v>
      </c>
      <c r="Q223" s="534"/>
      <c r="R223" s="529"/>
      <c r="S223" s="94">
        <v>12</v>
      </c>
      <c r="T223" s="307"/>
    </row>
    <row r="224" spans="2:23" ht="25.5">
      <c r="B224" s="473"/>
      <c r="C224" s="476"/>
      <c r="D224" s="541"/>
      <c r="E224" s="445"/>
      <c r="F224" s="516"/>
      <c r="G224" s="456"/>
      <c r="H224" s="456"/>
      <c r="I224" s="6">
        <f t="shared" si="42"/>
        <v>5.3599999999999941</v>
      </c>
      <c r="J224" s="8" t="s">
        <v>140</v>
      </c>
      <c r="K224" s="1">
        <f>SUMIFS('[2]BESS 11'!T:T,'[2]BESS 11'!$B:$B,$J224)</f>
        <v>6</v>
      </c>
      <c r="L224" s="2">
        <f>SUMIFS('[2]BESS 11'!U:U,'[2]BESS 11'!$B:$B,$J224)</f>
        <v>0</v>
      </c>
      <c r="M224" s="7">
        <f t="shared" si="43"/>
        <v>6</v>
      </c>
      <c r="N224" s="3" t="s">
        <v>460</v>
      </c>
      <c r="O224" s="424">
        <f t="shared" si="40"/>
        <v>46276</v>
      </c>
      <c r="P224" s="5" t="s">
        <v>164</v>
      </c>
      <c r="Q224" s="96">
        <v>2</v>
      </c>
      <c r="R224" s="93">
        <v>4</v>
      </c>
      <c r="S224" s="94">
        <f t="shared" ref="S224:S231" si="44">(M224*R224)/Q224</f>
        <v>12</v>
      </c>
      <c r="T224" s="313"/>
      <c r="U224">
        <f ca="1">O224-$T$1</f>
        <v>43</v>
      </c>
      <c r="V224" s="98">
        <f>SUM(S200:S231)</f>
        <v>4354.8380000000006</v>
      </c>
    </row>
    <row r="225" spans="2:26" ht="25.5">
      <c r="B225" s="473"/>
      <c r="C225" s="476"/>
      <c r="D225" s="541"/>
      <c r="E225" s="445"/>
      <c r="F225" s="516"/>
      <c r="G225" s="456"/>
      <c r="H225" s="456"/>
      <c r="I225" s="6">
        <f t="shared" si="42"/>
        <v>5.3699999999999939</v>
      </c>
      <c r="J225" s="8" t="s">
        <v>141</v>
      </c>
      <c r="K225" s="1">
        <f>SUMIFS('[2]BESS 11'!T:T,'[2]BESS 11'!$B:$B,$J225)</f>
        <v>12</v>
      </c>
      <c r="L225" s="2">
        <f>SUMIFS('[2]BESS 11'!U:U,'[2]BESS 11'!$B:$B,$J225)</f>
        <v>0</v>
      </c>
      <c r="M225" s="7">
        <f t="shared" si="43"/>
        <v>12</v>
      </c>
      <c r="N225" s="3" t="s">
        <v>466</v>
      </c>
      <c r="O225" s="424"/>
      <c r="P225" s="5" t="s">
        <v>164</v>
      </c>
      <c r="Q225" s="96">
        <v>0.5</v>
      </c>
      <c r="R225" s="93">
        <v>4</v>
      </c>
      <c r="S225" s="94">
        <f t="shared" si="44"/>
        <v>96</v>
      </c>
      <c r="T225" s="567"/>
    </row>
    <row r="226" spans="2:26">
      <c r="B226" s="473"/>
      <c r="C226" s="476"/>
      <c r="D226" s="541"/>
      <c r="E226" s="445"/>
      <c r="F226" s="516"/>
      <c r="G226" s="456"/>
      <c r="H226" s="456"/>
      <c r="I226" s="6">
        <f t="shared" si="42"/>
        <v>5.3799999999999937</v>
      </c>
      <c r="J226" s="8" t="s">
        <v>142</v>
      </c>
      <c r="K226" s="1">
        <f>SUMIFS('[2]BESS 11'!T:T,'[2]BESS 11'!$B:$B,$J226)</f>
        <v>16</v>
      </c>
      <c r="L226" s="2">
        <f>SUMIFS('[2]BESS 11'!U:U,'[2]BESS 11'!$B:$B,$J226)</f>
        <v>0</v>
      </c>
      <c r="M226" s="7">
        <f t="shared" si="43"/>
        <v>16</v>
      </c>
      <c r="N226" s="3" t="s">
        <v>461</v>
      </c>
      <c r="O226" s="424">
        <f t="shared" ref="O226:O231" si="45">IF(LEN(N226)=5,N226,(IF(N226="Completed"," ",DATEVALUE(RIGHT(N226,6)))))</f>
        <v>46274</v>
      </c>
      <c r="P226" s="5" t="s">
        <v>164</v>
      </c>
      <c r="Q226" s="96">
        <v>6</v>
      </c>
      <c r="R226" s="93">
        <v>4</v>
      </c>
      <c r="S226" s="94">
        <f t="shared" si="44"/>
        <v>10.666666666666666</v>
      </c>
      <c r="T226" s="567"/>
    </row>
    <row r="227" spans="2:26">
      <c r="B227" s="473"/>
      <c r="C227" s="476"/>
      <c r="D227" s="541"/>
      <c r="E227" s="445"/>
      <c r="F227" s="516"/>
      <c r="G227" s="456"/>
      <c r="H227" s="456"/>
      <c r="I227" s="6">
        <f t="shared" si="42"/>
        <v>5.3899999999999935</v>
      </c>
      <c r="J227" s="8" t="s">
        <v>143</v>
      </c>
      <c r="K227" s="1">
        <f>SUMIFS('[2]BESS 11'!T:T,'[2]BESS 11'!$B:$B,$J227)</f>
        <v>14</v>
      </c>
      <c r="L227" s="2">
        <f>SUMIFS('[2]BESS 11'!U:U,'[2]BESS 11'!$B:$B,$J227)</f>
        <v>0</v>
      </c>
      <c r="M227" s="7">
        <f t="shared" si="43"/>
        <v>14</v>
      </c>
      <c r="N227" s="3" t="s">
        <v>640</v>
      </c>
      <c r="O227" s="424">
        <f t="shared" si="45"/>
        <v>46254</v>
      </c>
      <c r="P227" s="5" t="s">
        <v>164</v>
      </c>
      <c r="Q227" s="96">
        <v>6</v>
      </c>
      <c r="R227" s="93">
        <v>5</v>
      </c>
      <c r="S227" s="94">
        <f t="shared" si="44"/>
        <v>11.666666666666666</v>
      </c>
      <c r="T227" s="567"/>
    </row>
    <row r="228" spans="2:26">
      <c r="B228" s="473"/>
      <c r="C228" s="476"/>
      <c r="D228" s="541"/>
      <c r="E228" s="445"/>
      <c r="F228" s="516"/>
      <c r="G228" s="456"/>
      <c r="H228" s="456"/>
      <c r="I228" s="6">
        <f t="shared" si="42"/>
        <v>5.3999999999999932</v>
      </c>
      <c r="J228" s="8" t="s">
        <v>144</v>
      </c>
      <c r="K228" s="1">
        <f>SUMIFS('[2]BESS 11'!T:T,'[2]BESS 11'!$B:$B,$J228)</f>
        <v>1</v>
      </c>
      <c r="L228" s="2">
        <f>SUMIFS('[2]BESS 11'!U:U,'[2]BESS 11'!$B:$B,$J228)</f>
        <v>0</v>
      </c>
      <c r="M228" s="7">
        <f t="shared" si="43"/>
        <v>1</v>
      </c>
      <c r="N228" s="3" t="s">
        <v>640</v>
      </c>
      <c r="O228" s="424">
        <f t="shared" si="45"/>
        <v>46254</v>
      </c>
      <c r="P228" s="5" t="s">
        <v>164</v>
      </c>
      <c r="Q228" s="96">
        <v>1</v>
      </c>
      <c r="R228" s="93">
        <v>5</v>
      </c>
      <c r="S228" s="94">
        <f t="shared" si="44"/>
        <v>5</v>
      </c>
      <c r="T228" s="307"/>
    </row>
    <row r="229" spans="2:26">
      <c r="B229" s="473"/>
      <c r="C229" s="476"/>
      <c r="D229" s="541"/>
      <c r="E229" s="445"/>
      <c r="F229" s="516"/>
      <c r="G229" s="456"/>
      <c r="H229" s="456"/>
      <c r="I229" s="6">
        <f t="shared" si="42"/>
        <v>5.409999999999993</v>
      </c>
      <c r="J229" s="8" t="s">
        <v>145</v>
      </c>
      <c r="K229" s="1">
        <f>SUMIFS('[2]BESS 11'!T:T,'[2]BESS 11'!$B:$B,$J229)</f>
        <v>6</v>
      </c>
      <c r="L229" s="2">
        <f>SUMIFS('[2]BESS 11'!U:U,'[2]BESS 11'!$B:$B,$J229)</f>
        <v>0</v>
      </c>
      <c r="M229" s="7">
        <f t="shared" si="43"/>
        <v>6</v>
      </c>
      <c r="N229" s="3" t="s">
        <v>640</v>
      </c>
      <c r="O229" s="424">
        <f t="shared" si="45"/>
        <v>46254</v>
      </c>
      <c r="P229" s="5" t="s">
        <v>164</v>
      </c>
      <c r="Q229" s="96">
        <v>3</v>
      </c>
      <c r="R229" s="93">
        <v>5</v>
      </c>
      <c r="S229" s="94">
        <f t="shared" si="44"/>
        <v>10</v>
      </c>
      <c r="T229" s="307"/>
    </row>
    <row r="230" spans="2:26">
      <c r="B230" s="473"/>
      <c r="C230" s="476"/>
      <c r="D230" s="541"/>
      <c r="E230" s="445"/>
      <c r="F230" s="516"/>
      <c r="G230" s="456"/>
      <c r="H230" s="456"/>
      <c r="I230" s="6">
        <f t="shared" si="42"/>
        <v>5.4199999999999928</v>
      </c>
      <c r="J230" s="8" t="s">
        <v>54</v>
      </c>
      <c r="K230" s="1">
        <f>SUMIFS('[2]BESS 11'!T:T,'[2]BESS 11'!$B:$B,$J230)</f>
        <v>4284</v>
      </c>
      <c r="L230" s="2">
        <f>SUMIFS('[2]BESS 11'!U:U,'[2]BESS 11'!$B:$B,$J230)</f>
        <v>0</v>
      </c>
      <c r="M230" s="7">
        <f t="shared" si="43"/>
        <v>4284</v>
      </c>
      <c r="N230" s="3" t="s">
        <v>641</v>
      </c>
      <c r="O230" s="424">
        <f t="shared" si="45"/>
        <v>46265</v>
      </c>
      <c r="P230" s="5" t="s">
        <v>164</v>
      </c>
      <c r="Q230" s="96">
        <v>150</v>
      </c>
      <c r="R230" s="93">
        <v>6</v>
      </c>
      <c r="S230" s="94">
        <f t="shared" si="44"/>
        <v>171.36</v>
      </c>
      <c r="T230" s="307"/>
    </row>
    <row r="231" spans="2:26" ht="14.25" thickBot="1">
      <c r="B231" s="474"/>
      <c r="C231" s="477"/>
      <c r="D231" s="542"/>
      <c r="E231" s="479"/>
      <c r="F231" s="517"/>
      <c r="G231" s="515"/>
      <c r="H231" s="515"/>
      <c r="I231" s="353">
        <f t="shared" si="42"/>
        <v>5.4299999999999926</v>
      </c>
      <c r="J231" s="23" t="s">
        <v>55</v>
      </c>
      <c r="K231" s="24">
        <f>SUMIFS('[2]BESS 11'!T:T,'[2]BESS 11'!$B:$B,$J231)</f>
        <v>10</v>
      </c>
      <c r="L231" s="25">
        <f>SUMIFS('[2]BESS 11'!U:U,'[2]BESS 11'!$B:$B,$J231)</f>
        <v>0</v>
      </c>
      <c r="M231" s="26">
        <f t="shared" si="39"/>
        <v>10</v>
      </c>
      <c r="N231" s="27" t="s">
        <v>642</v>
      </c>
      <c r="O231" s="426">
        <f t="shared" si="45"/>
        <v>46265</v>
      </c>
      <c r="P231" s="28" t="s">
        <v>164</v>
      </c>
      <c r="Q231" s="265">
        <v>5</v>
      </c>
      <c r="R231" s="266">
        <v>6</v>
      </c>
      <c r="S231" s="267">
        <f t="shared" si="44"/>
        <v>12</v>
      </c>
      <c r="T231" s="326"/>
    </row>
    <row r="232" spans="2:26">
      <c r="B232" s="472" t="s">
        <v>17</v>
      </c>
      <c r="C232" s="475">
        <v>6</v>
      </c>
      <c r="D232" s="512" t="s">
        <v>757</v>
      </c>
      <c r="E232" s="524" t="s">
        <v>120</v>
      </c>
      <c r="F232" s="512" t="s">
        <v>670</v>
      </c>
      <c r="G232" s="512" t="s">
        <v>671</v>
      </c>
      <c r="H232" s="512" t="s">
        <v>672</v>
      </c>
      <c r="I232" s="54"/>
      <c r="J232" s="48"/>
      <c r="K232" s="49"/>
      <c r="L232" s="45" t="s">
        <v>121</v>
      </c>
      <c r="M232" s="48"/>
      <c r="N232" s="49"/>
      <c r="O232" s="424"/>
      <c r="P232" s="377"/>
      <c r="Q232" s="268"/>
      <c r="R232" s="269"/>
      <c r="S232" s="270"/>
      <c r="T232" s="368"/>
      <c r="W232" s="97"/>
    </row>
    <row r="233" spans="2:26" ht="25.5">
      <c r="B233" s="473"/>
      <c r="C233" s="476"/>
      <c r="D233" s="513"/>
      <c r="E233" s="445"/>
      <c r="F233" s="516"/>
      <c r="G233" s="456"/>
      <c r="H233" s="456"/>
      <c r="I233" s="56">
        <v>6.1</v>
      </c>
      <c r="J233" s="57" t="s">
        <v>19</v>
      </c>
      <c r="K233" s="2">
        <f>SUMIFS('[2]BESS 11'!X:X,'[2]BESS 11'!$B:$B,$J233)</f>
        <v>48</v>
      </c>
      <c r="L233" s="2">
        <f>SUMIFS('[2]BESS 11'!Y:Y,'[2]BESS 11'!$B:$B,$J233)</f>
        <v>48</v>
      </c>
      <c r="M233" s="2">
        <f t="shared" si="38"/>
        <v>0</v>
      </c>
      <c r="N233" s="63" t="s">
        <v>122</v>
      </c>
      <c r="O233" s="424" t="str">
        <f t="shared" ref="O233:O243" si="46">IF(LEN(N233)=5,N233,(IF(N233="Completed"," ",DATEVALUE(RIGHT(N233,6)))))</f>
        <v xml:space="preserve"> </v>
      </c>
      <c r="P233" s="58" t="s">
        <v>20</v>
      </c>
      <c r="Q233" s="96">
        <v>1</v>
      </c>
      <c r="R233" s="93">
        <v>2</v>
      </c>
      <c r="S233" s="94">
        <f t="shared" ref="S233:S242" si="47">(M233*R233)/Q233</f>
        <v>0</v>
      </c>
      <c r="T233" s="307"/>
    </row>
    <row r="234" spans="2:26">
      <c r="B234" s="473"/>
      <c r="C234" s="476"/>
      <c r="D234" s="513"/>
      <c r="E234" s="445"/>
      <c r="F234" s="516"/>
      <c r="G234" s="456"/>
      <c r="H234" s="456"/>
      <c r="I234" s="56">
        <v>6.1999999999999993</v>
      </c>
      <c r="J234" s="57" t="s">
        <v>23</v>
      </c>
      <c r="K234" s="2">
        <f>SUMIFS('[2]BESS 11'!X:X,'[2]BESS 11'!$B:$B,$J234)</f>
        <v>6</v>
      </c>
      <c r="L234" s="2">
        <f>SUMIFS('[2]BESS 11'!Y:Y,'[2]BESS 11'!$B:$B,$J234)</f>
        <v>6</v>
      </c>
      <c r="M234" s="2">
        <f t="shared" si="38"/>
        <v>0</v>
      </c>
      <c r="N234" s="63" t="s">
        <v>122</v>
      </c>
      <c r="O234" s="424" t="str">
        <f t="shared" si="46"/>
        <v xml:space="preserve"> </v>
      </c>
      <c r="P234" s="58" t="s">
        <v>20</v>
      </c>
      <c r="Q234" s="96">
        <v>1</v>
      </c>
      <c r="R234" s="93">
        <v>16</v>
      </c>
      <c r="S234" s="94">
        <f t="shared" si="47"/>
        <v>0</v>
      </c>
      <c r="T234" s="307"/>
    </row>
    <row r="235" spans="2:26">
      <c r="B235" s="473"/>
      <c r="C235" s="476"/>
      <c r="D235" s="513"/>
      <c r="E235" s="445"/>
      <c r="F235" s="516"/>
      <c r="G235" s="456"/>
      <c r="H235" s="456"/>
      <c r="I235" s="56">
        <v>6.2999999999999989</v>
      </c>
      <c r="J235" s="57" t="s">
        <v>26</v>
      </c>
      <c r="K235" s="2">
        <f>SUMIFS('[2]BESS 11'!X:X,'[2]BESS 11'!$B:$B,$J235)</f>
        <v>6</v>
      </c>
      <c r="L235" s="2">
        <f>SUMIFS('[2]BESS 11'!Y:Y,'[2]BESS 11'!$B:$B,$J235)</f>
        <v>6</v>
      </c>
      <c r="M235" s="2">
        <f t="shared" si="38"/>
        <v>0</v>
      </c>
      <c r="N235" s="63" t="s">
        <v>122</v>
      </c>
      <c r="O235" s="424" t="str">
        <f t="shared" si="46"/>
        <v xml:space="preserve"> </v>
      </c>
      <c r="P235" s="58" t="s">
        <v>20</v>
      </c>
      <c r="Q235" s="96">
        <v>1</v>
      </c>
      <c r="R235" s="93">
        <v>39</v>
      </c>
      <c r="S235" s="94">
        <f t="shared" si="47"/>
        <v>0</v>
      </c>
      <c r="T235" s="307"/>
      <c r="W235" s="97"/>
    </row>
    <row r="236" spans="2:26">
      <c r="B236" s="473"/>
      <c r="C236" s="476"/>
      <c r="D236" s="513"/>
      <c r="E236" s="445"/>
      <c r="F236" s="516"/>
      <c r="G236" s="456"/>
      <c r="H236" s="456"/>
      <c r="I236" s="56">
        <v>6.3999999999999986</v>
      </c>
      <c r="J236" s="57" t="s">
        <v>32</v>
      </c>
      <c r="K236" s="2">
        <f>SUMIFS('[2]BESS 11'!X:X,'[2]BESS 11'!$B:$B,$J236)</f>
        <v>1</v>
      </c>
      <c r="L236" s="2">
        <f>SUMIFS('[2]BESS 11'!Y:Y,'[2]BESS 11'!$B:$B,$J236)</f>
        <v>1</v>
      </c>
      <c r="M236" s="2">
        <f t="shared" si="38"/>
        <v>0</v>
      </c>
      <c r="N236" s="63" t="s">
        <v>122</v>
      </c>
      <c r="O236" s="424" t="str">
        <f t="shared" si="46"/>
        <v xml:space="preserve"> </v>
      </c>
      <c r="P236" s="58" t="s">
        <v>20</v>
      </c>
      <c r="Q236" s="96">
        <v>1</v>
      </c>
      <c r="R236" s="93">
        <v>37</v>
      </c>
      <c r="S236" s="94">
        <f t="shared" si="47"/>
        <v>0</v>
      </c>
      <c r="T236" s="307"/>
    </row>
    <row r="237" spans="2:26">
      <c r="B237" s="473"/>
      <c r="C237" s="476"/>
      <c r="D237" s="513"/>
      <c r="E237" s="445"/>
      <c r="F237" s="516"/>
      <c r="G237" s="456"/>
      <c r="H237" s="456"/>
      <c r="I237" s="56">
        <v>6.4999999999999982</v>
      </c>
      <c r="J237" s="57" t="s">
        <v>35</v>
      </c>
      <c r="K237" s="2">
        <f>SUMIFS('[2]BESS 11'!X:X,'[2]BESS 11'!$B:$B,$J237)</f>
        <v>1</v>
      </c>
      <c r="L237" s="2">
        <f>SUMIFS('[2]BESS 11'!Y:Y,'[2]BESS 11'!$B:$B,$J237)</f>
        <v>1</v>
      </c>
      <c r="M237" s="2">
        <f t="shared" si="38"/>
        <v>0</v>
      </c>
      <c r="N237" s="63" t="s">
        <v>122</v>
      </c>
      <c r="O237" s="424" t="str">
        <f t="shared" si="46"/>
        <v xml:space="preserve"> </v>
      </c>
      <c r="P237" s="58" t="s">
        <v>20</v>
      </c>
      <c r="Q237" s="96">
        <v>1</v>
      </c>
      <c r="R237" s="93">
        <v>34</v>
      </c>
      <c r="S237" s="94">
        <f t="shared" si="47"/>
        <v>0</v>
      </c>
      <c r="T237" s="307"/>
    </row>
    <row r="238" spans="2:26">
      <c r="B238" s="473"/>
      <c r="C238" s="476"/>
      <c r="D238" s="513"/>
      <c r="E238" s="445"/>
      <c r="F238" s="516"/>
      <c r="G238" s="456"/>
      <c r="H238" s="456"/>
      <c r="I238" s="56">
        <v>6.5999999999999979</v>
      </c>
      <c r="J238" s="57" t="s">
        <v>38</v>
      </c>
      <c r="K238" s="2">
        <f>SUMIFS('[2]BESS 11'!X:X,'[2]BESS 11'!$B:$B,$J238)</f>
        <v>1</v>
      </c>
      <c r="L238" s="2">
        <f>SUMIFS('[2]BESS 11'!Y:Y,'[2]BESS 11'!$B:$B,$J238)</f>
        <v>1</v>
      </c>
      <c r="M238" s="2">
        <f t="shared" si="38"/>
        <v>0</v>
      </c>
      <c r="N238" s="63" t="s">
        <v>122</v>
      </c>
      <c r="O238" s="424" t="str">
        <f t="shared" si="46"/>
        <v xml:space="preserve"> </v>
      </c>
      <c r="P238" s="58" t="s">
        <v>20</v>
      </c>
      <c r="Q238" s="96">
        <v>1</v>
      </c>
      <c r="R238" s="93">
        <v>54</v>
      </c>
      <c r="S238" s="94">
        <f t="shared" si="47"/>
        <v>0</v>
      </c>
      <c r="T238" s="307"/>
      <c r="Z238" s="60"/>
    </row>
    <row r="239" spans="2:26">
      <c r="B239" s="473"/>
      <c r="C239" s="476"/>
      <c r="D239" s="513"/>
      <c r="E239" s="445"/>
      <c r="F239" s="516"/>
      <c r="G239" s="456"/>
      <c r="H239" s="456"/>
      <c r="I239" s="56">
        <v>6.6999999999999975</v>
      </c>
      <c r="J239" s="57" t="s">
        <v>44</v>
      </c>
      <c r="K239" s="2">
        <f>SUMIFS('[2]BESS 11'!X:X,'[2]BESS 11'!$B:$B,$J239)</f>
        <v>3</v>
      </c>
      <c r="L239" s="2">
        <f>SUMIFS('[2]BESS 11'!Y:Y,'[2]BESS 11'!$B:$B,$J239)</f>
        <v>3</v>
      </c>
      <c r="M239" s="2">
        <f t="shared" ref="M239" si="48">K239-L239</f>
        <v>0</v>
      </c>
      <c r="N239" s="63" t="s">
        <v>122</v>
      </c>
      <c r="O239" s="424" t="str">
        <f t="shared" si="46"/>
        <v xml:space="preserve"> </v>
      </c>
      <c r="P239" s="58" t="s">
        <v>45</v>
      </c>
      <c r="Q239" s="96">
        <v>3</v>
      </c>
      <c r="R239" s="93">
        <v>5</v>
      </c>
      <c r="S239" s="94">
        <f t="shared" si="47"/>
        <v>0</v>
      </c>
      <c r="T239" s="307"/>
    </row>
    <row r="240" spans="2:26">
      <c r="B240" s="473"/>
      <c r="C240" s="476"/>
      <c r="D240" s="513"/>
      <c r="E240" s="445"/>
      <c r="F240" s="516"/>
      <c r="G240" s="456"/>
      <c r="H240" s="456"/>
      <c r="I240" s="56">
        <v>6.7999999999999972</v>
      </c>
      <c r="J240" s="57" t="s">
        <v>40</v>
      </c>
      <c r="K240" s="2">
        <f>SUMIFS('[2]BESS 11'!X:X,'[2]BESS 11'!$B:$B,$J240)</f>
        <v>6</v>
      </c>
      <c r="L240" s="2">
        <f>SUMIFS('[2]BESS 11'!Y:Y,'[2]BESS 11'!$B:$B,$J240)</f>
        <v>6</v>
      </c>
      <c r="M240" s="2">
        <f t="shared" si="38"/>
        <v>0</v>
      </c>
      <c r="N240" s="63" t="s">
        <v>122</v>
      </c>
      <c r="O240" s="424" t="str">
        <f t="shared" si="46"/>
        <v xml:space="preserve"> </v>
      </c>
      <c r="P240" s="58" t="s">
        <v>20</v>
      </c>
      <c r="Q240" s="96">
        <v>1</v>
      </c>
      <c r="R240" s="93">
        <v>5</v>
      </c>
      <c r="S240" s="94">
        <f t="shared" si="47"/>
        <v>0</v>
      </c>
      <c r="T240" s="307"/>
    </row>
    <row r="241" spans="2:26">
      <c r="B241" s="473"/>
      <c r="C241" s="476"/>
      <c r="D241" s="513"/>
      <c r="E241" s="445"/>
      <c r="F241" s="516"/>
      <c r="G241" s="456"/>
      <c r="H241" s="456"/>
      <c r="I241" s="56">
        <v>6.8999999999999968</v>
      </c>
      <c r="J241" s="57" t="s">
        <v>30</v>
      </c>
      <c r="K241" s="2">
        <f>SUMIFS('[2]BESS 11'!X:X,'[2]BESS 11'!$B:$B,$J241)</f>
        <v>6</v>
      </c>
      <c r="L241" s="2">
        <f>SUMIFS('[2]BESS 11'!Y:Y,'[2]BESS 11'!$B:$B,$J241)</f>
        <v>6</v>
      </c>
      <c r="M241" s="2">
        <f t="shared" si="38"/>
        <v>0</v>
      </c>
      <c r="N241" s="63" t="s">
        <v>122</v>
      </c>
      <c r="O241" s="424" t="str">
        <f t="shared" si="46"/>
        <v xml:space="preserve"> </v>
      </c>
      <c r="P241" s="58" t="s">
        <v>31</v>
      </c>
      <c r="Q241" s="96">
        <v>1</v>
      </c>
      <c r="R241" s="93">
        <v>27</v>
      </c>
      <c r="S241" s="94">
        <f t="shared" si="47"/>
        <v>0</v>
      </c>
      <c r="T241" s="307"/>
    </row>
    <row r="242" spans="2:26" ht="25.5">
      <c r="B242" s="473"/>
      <c r="C242" s="476"/>
      <c r="D242" s="513"/>
      <c r="E242" s="445"/>
      <c r="F242" s="516"/>
      <c r="G242" s="456"/>
      <c r="H242" s="456"/>
      <c r="I242" s="6">
        <v>6.1</v>
      </c>
      <c r="J242" s="8" t="s">
        <v>34</v>
      </c>
      <c r="K242" s="1">
        <f>SUMIFS('[2]BESS 11'!X:X,'[2]BESS 11'!$B:$B,$J242)</f>
        <v>1</v>
      </c>
      <c r="L242" s="2">
        <f>SUMIFS('[2]BESS 11'!Y:Y,'[2]BESS 11'!$B:$B,$J242)</f>
        <v>0</v>
      </c>
      <c r="M242" s="7">
        <f t="shared" si="38"/>
        <v>1</v>
      </c>
      <c r="N242" s="432" t="s">
        <v>306</v>
      </c>
      <c r="O242" s="424">
        <f t="shared" si="46"/>
        <v>46233</v>
      </c>
      <c r="P242" s="5" t="s">
        <v>31</v>
      </c>
      <c r="Q242" s="96">
        <v>1</v>
      </c>
      <c r="R242" s="93">
        <v>25</v>
      </c>
      <c r="S242" s="94">
        <f t="shared" si="47"/>
        <v>25</v>
      </c>
      <c r="T242" s="307"/>
    </row>
    <row r="243" spans="2:26" ht="25.5">
      <c r="B243" s="473"/>
      <c r="C243" s="476"/>
      <c r="D243" s="513"/>
      <c r="E243" s="445"/>
      <c r="F243" s="516"/>
      <c r="G243" s="456"/>
      <c r="H243" s="456"/>
      <c r="I243" s="6">
        <v>6.1099999999999994</v>
      </c>
      <c r="J243" s="8" t="s">
        <v>37</v>
      </c>
      <c r="K243" s="1">
        <f>SUMIFS('[2]BESS 11'!X:X,'[2]BESS 11'!$B:$B,$J243)</f>
        <v>1</v>
      </c>
      <c r="L243" s="2">
        <f>SUMIFS('[2]BESS 11'!Y:Y,'[2]BESS 11'!$B:$B,$J243)</f>
        <v>0</v>
      </c>
      <c r="M243" s="7">
        <f t="shared" si="38"/>
        <v>1</v>
      </c>
      <c r="N243" s="432" t="s">
        <v>297</v>
      </c>
      <c r="O243" s="424">
        <f t="shared" si="46"/>
        <v>46232</v>
      </c>
      <c r="P243" s="5" t="s">
        <v>123</v>
      </c>
      <c r="Q243" s="96" t="s">
        <v>89</v>
      </c>
      <c r="R243" s="93" t="s">
        <v>89</v>
      </c>
      <c r="S243" s="94" t="s">
        <v>89</v>
      </c>
      <c r="T243" s="307"/>
    </row>
    <row r="244" spans="2:26">
      <c r="B244" s="473"/>
      <c r="C244" s="476"/>
      <c r="D244" s="513"/>
      <c r="E244" s="445"/>
      <c r="F244" s="516"/>
      <c r="G244" s="456"/>
      <c r="H244" s="456"/>
      <c r="I244" s="44"/>
      <c r="J244" s="50"/>
      <c r="K244" s="61"/>
      <c r="L244" s="52" t="s">
        <v>124</v>
      </c>
      <c r="M244" s="51"/>
      <c r="N244" s="61"/>
      <c r="O244" s="424"/>
      <c r="P244" s="87"/>
      <c r="Q244" s="96"/>
      <c r="R244" s="93"/>
      <c r="S244" s="94"/>
      <c r="T244" s="261"/>
    </row>
    <row r="245" spans="2:26">
      <c r="B245" s="473"/>
      <c r="C245" s="476"/>
      <c r="D245" s="513"/>
      <c r="E245" s="445"/>
      <c r="F245" s="516"/>
      <c r="G245" s="456"/>
      <c r="H245" s="456"/>
      <c r="I245" s="59">
        <v>6.1199999999999992</v>
      </c>
      <c r="J245" s="57" t="s">
        <v>24</v>
      </c>
      <c r="K245" s="2">
        <f>SUMIFS('[2]BESS 11'!X:X,'[2]BESS 11'!$B:$B,$J245)</f>
        <v>6</v>
      </c>
      <c r="L245" s="2">
        <f>SUMIFS('[2]BESS 11'!Y:Y,'[2]BESS 11'!$B:$B,$J245)</f>
        <v>6</v>
      </c>
      <c r="M245" s="2">
        <f t="shared" ref="M245:M276" si="49">K245-L245</f>
        <v>0</v>
      </c>
      <c r="N245" s="63" t="s">
        <v>122</v>
      </c>
      <c r="O245" s="424" t="str">
        <f t="shared" ref="O245:O276" si="50">IF(LEN(N245)=5,N245,(IF(N245="Completed"," ",DATEVALUE(RIGHT(N245,6)))))</f>
        <v xml:space="preserve"> </v>
      </c>
      <c r="P245" s="58" t="s">
        <v>25</v>
      </c>
      <c r="Q245" s="96">
        <v>2</v>
      </c>
      <c r="R245" s="93">
        <v>4</v>
      </c>
      <c r="S245" s="94">
        <f>(M245*R245)/Q245</f>
        <v>0</v>
      </c>
      <c r="T245" s="261"/>
    </row>
    <row r="246" spans="2:26">
      <c r="B246" s="473"/>
      <c r="C246" s="476"/>
      <c r="D246" s="513"/>
      <c r="E246" s="445"/>
      <c r="F246" s="516"/>
      <c r="G246" s="456"/>
      <c r="H246" s="456"/>
      <c r="I246" s="6">
        <v>6.129999999999999</v>
      </c>
      <c r="J246" s="8" t="s">
        <v>27</v>
      </c>
      <c r="K246" s="1">
        <f>SUMIFS('[2]BESS 11'!X:X,'[2]BESS 11'!$B:$B,$J246)</f>
        <v>48</v>
      </c>
      <c r="L246" s="2">
        <f>SUMIFS('[2]BESS 11'!Y:Y,'[2]BESS 11'!$B:$B,$J246)</f>
        <v>0</v>
      </c>
      <c r="M246" s="7">
        <f t="shared" si="49"/>
        <v>48</v>
      </c>
      <c r="N246" s="436">
        <v>46236</v>
      </c>
      <c r="O246" s="424">
        <f t="shared" si="50"/>
        <v>46236</v>
      </c>
      <c r="P246" s="5" t="s">
        <v>164</v>
      </c>
      <c r="Q246" s="96">
        <v>10</v>
      </c>
      <c r="R246" s="93">
        <v>4</v>
      </c>
      <c r="S246" s="94">
        <f>(M246*R246)/Q246</f>
        <v>19.2</v>
      </c>
      <c r="T246" s="307" t="s">
        <v>183</v>
      </c>
      <c r="Z246">
        <f>LEN(N246)</f>
        <v>5</v>
      </c>
    </row>
    <row r="247" spans="2:26">
      <c r="B247" s="473"/>
      <c r="C247" s="476"/>
      <c r="D247" s="513"/>
      <c r="E247" s="445"/>
      <c r="F247" s="516"/>
      <c r="G247" s="456"/>
      <c r="H247" s="456"/>
      <c r="I247" s="6">
        <v>6.1399999999999988</v>
      </c>
      <c r="J247" s="8" t="s">
        <v>28</v>
      </c>
      <c r="K247" s="1">
        <f>SUMIFS('[2]BESS 11'!X:X,'[2]BESS 11'!$B:$B,$J247)</f>
        <v>6</v>
      </c>
      <c r="L247" s="2">
        <f>SUMIFS('[2]BESS 11'!Y:Y,'[2]BESS 11'!$B:$B,$J247)</f>
        <v>0</v>
      </c>
      <c r="M247" s="7">
        <f t="shared" si="49"/>
        <v>6</v>
      </c>
      <c r="N247" s="436">
        <v>46239</v>
      </c>
      <c r="O247" s="424">
        <f t="shared" si="50"/>
        <v>46239</v>
      </c>
      <c r="P247" s="5" t="s">
        <v>164</v>
      </c>
      <c r="Q247" s="96">
        <v>5</v>
      </c>
      <c r="R247" s="93">
        <v>4</v>
      </c>
      <c r="S247" s="94">
        <f>(M247*R247)/Q247</f>
        <v>4.8</v>
      </c>
      <c r="T247" s="261"/>
    </row>
    <row r="248" spans="2:26" ht="25.5">
      <c r="B248" s="473"/>
      <c r="C248" s="476"/>
      <c r="D248" s="513"/>
      <c r="E248" s="445"/>
      <c r="F248" s="516"/>
      <c r="G248" s="456"/>
      <c r="H248" s="456"/>
      <c r="I248" s="6">
        <v>6.1499999999999986</v>
      </c>
      <c r="J248" s="8" t="s">
        <v>29</v>
      </c>
      <c r="K248" s="1">
        <f>SUMIFS('[2]BESS 11'!X:X,'[2]BESS 11'!$B:$B,$J248)</f>
        <v>6</v>
      </c>
      <c r="L248" s="2">
        <f>SUMIFS('[2]BESS 11'!Y:Y,'[2]BESS 11'!$B:$B,$J248)</f>
        <v>0</v>
      </c>
      <c r="M248" s="7">
        <f t="shared" si="49"/>
        <v>6</v>
      </c>
      <c r="N248" s="432">
        <v>46236</v>
      </c>
      <c r="O248" s="424">
        <f t="shared" si="50"/>
        <v>46236</v>
      </c>
      <c r="P248" s="5" t="s">
        <v>164</v>
      </c>
      <c r="Q248" s="96">
        <v>20</v>
      </c>
      <c r="R248" s="527">
        <v>4</v>
      </c>
      <c r="S248" s="530">
        <v>4</v>
      </c>
      <c r="T248" s="261"/>
    </row>
    <row r="249" spans="2:26" ht="25.5">
      <c r="B249" s="473"/>
      <c r="C249" s="476"/>
      <c r="D249" s="513"/>
      <c r="E249" s="445"/>
      <c r="F249" s="516"/>
      <c r="G249" s="456"/>
      <c r="H249" s="456"/>
      <c r="I249" s="6">
        <v>6.1599999999999984</v>
      </c>
      <c r="J249" s="8" t="s">
        <v>33</v>
      </c>
      <c r="K249" s="1">
        <f>SUMIFS('[2]BESS 11'!X:X,'[2]BESS 11'!$B:$B,$J249)</f>
        <v>2</v>
      </c>
      <c r="L249" s="2">
        <f>SUMIFS('[2]BESS 11'!Y:Y,'[2]BESS 11'!$B:$B,$J249)</f>
        <v>0</v>
      </c>
      <c r="M249" s="7">
        <f t="shared" si="49"/>
        <v>2</v>
      </c>
      <c r="N249" s="432" t="s">
        <v>652</v>
      </c>
      <c r="O249" s="424">
        <f t="shared" si="50"/>
        <v>46241</v>
      </c>
      <c r="P249" s="5" t="s">
        <v>164</v>
      </c>
      <c r="Q249" s="96">
        <v>10</v>
      </c>
      <c r="R249" s="528"/>
      <c r="S249" s="531"/>
      <c r="T249" s="261"/>
      <c r="W249" s="60"/>
      <c r="Z249" s="60"/>
    </row>
    <row r="250" spans="2:26" ht="25.5">
      <c r="B250" s="473"/>
      <c r="C250" s="476"/>
      <c r="D250" s="513"/>
      <c r="E250" s="445"/>
      <c r="F250" s="516"/>
      <c r="G250" s="456"/>
      <c r="H250" s="456"/>
      <c r="I250" s="6">
        <v>6.1699999999999982</v>
      </c>
      <c r="J250" s="8" t="s">
        <v>36</v>
      </c>
      <c r="K250" s="1">
        <f>SUMIFS('[2]BESS 11'!X:X,'[2]BESS 11'!$B:$B,$J250)</f>
        <v>1</v>
      </c>
      <c r="L250" s="2">
        <f>SUMIFS('[2]BESS 11'!Y:Y,'[2]BESS 11'!$B:$B,$J250)</f>
        <v>0</v>
      </c>
      <c r="M250" s="7">
        <f t="shared" si="49"/>
        <v>1</v>
      </c>
      <c r="N250" s="432" t="s">
        <v>324</v>
      </c>
      <c r="O250" s="424">
        <f t="shared" si="50"/>
        <v>46233</v>
      </c>
      <c r="P250" s="5" t="s">
        <v>164</v>
      </c>
      <c r="Q250" s="96">
        <v>10</v>
      </c>
      <c r="R250" s="528"/>
      <c r="S250" s="531"/>
      <c r="T250" s="261"/>
      <c r="Z250" s="60"/>
    </row>
    <row r="251" spans="2:26" ht="25.5">
      <c r="B251" s="473"/>
      <c r="C251" s="476"/>
      <c r="D251" s="513"/>
      <c r="E251" s="445"/>
      <c r="F251" s="516"/>
      <c r="G251" s="456"/>
      <c r="H251" s="456"/>
      <c r="I251" s="6">
        <v>6.1799999999999979</v>
      </c>
      <c r="J251" s="8" t="s">
        <v>39</v>
      </c>
      <c r="K251" s="1">
        <f>SUMIFS('[2]BESS 11'!X:X,'[2]BESS 11'!$B:$B,$J251)</f>
        <v>1</v>
      </c>
      <c r="L251" s="2">
        <f>SUMIFS('[2]BESS 11'!Y:Y,'[2]BESS 11'!$B:$B,$J251)</f>
        <v>0</v>
      </c>
      <c r="M251" s="7">
        <f t="shared" si="49"/>
        <v>1</v>
      </c>
      <c r="N251" s="432" t="s">
        <v>452</v>
      </c>
      <c r="O251" s="424">
        <f t="shared" si="50"/>
        <v>46239</v>
      </c>
      <c r="P251" s="5" t="s">
        <v>164</v>
      </c>
      <c r="Q251" s="96">
        <v>10</v>
      </c>
      <c r="R251" s="528"/>
      <c r="S251" s="531"/>
      <c r="T251" s="307"/>
      <c r="Z251" s="60"/>
    </row>
    <row r="252" spans="2:26">
      <c r="B252" s="473"/>
      <c r="C252" s="476"/>
      <c r="D252" s="513"/>
      <c r="E252" s="445"/>
      <c r="F252" s="516"/>
      <c r="G252" s="456"/>
      <c r="H252" s="456"/>
      <c r="I252" s="6">
        <v>6.1899999999999977</v>
      </c>
      <c r="J252" s="8" t="s">
        <v>41</v>
      </c>
      <c r="K252" s="1">
        <f>SUMIFS('[2]BESS 11'!X:X,'[2]BESS 11'!$B:$B,$J252)</f>
        <v>6</v>
      </c>
      <c r="L252" s="2">
        <f>SUMIFS('[2]BESS 11'!Y:Y,'[2]BESS 11'!$B:$B,$J252)</f>
        <v>0</v>
      </c>
      <c r="M252" s="7">
        <f t="shared" si="49"/>
        <v>6</v>
      </c>
      <c r="N252" s="436" t="s">
        <v>315</v>
      </c>
      <c r="O252" s="424">
        <f t="shared" si="50"/>
        <v>46233</v>
      </c>
      <c r="P252" s="140" t="s">
        <v>125</v>
      </c>
      <c r="Q252" s="96">
        <v>20</v>
      </c>
      <c r="R252" s="529"/>
      <c r="S252" s="532"/>
      <c r="T252" s="307"/>
    </row>
    <row r="253" spans="2:26">
      <c r="B253" s="473"/>
      <c r="C253" s="476"/>
      <c r="D253" s="513"/>
      <c r="E253" s="445"/>
      <c r="F253" s="516"/>
      <c r="G253" s="456"/>
      <c r="H253" s="456"/>
      <c r="I253" s="6">
        <v>6.1999999999999975</v>
      </c>
      <c r="J253" s="8" t="s">
        <v>43</v>
      </c>
      <c r="K253" s="1">
        <f>SUMIFS('[2]BESS 11'!X:X,'[2]BESS 11'!$B:$B,$J253)</f>
        <v>6</v>
      </c>
      <c r="L253" s="2">
        <f>SUMIFS('[2]BESS 11'!Y:Y,'[2]BESS 11'!$B:$B,$J253)</f>
        <v>0</v>
      </c>
      <c r="M253" s="7">
        <f t="shared" si="49"/>
        <v>6</v>
      </c>
      <c r="N253" s="436" t="s">
        <v>316</v>
      </c>
      <c r="O253" s="424">
        <f t="shared" si="50"/>
        <v>46239</v>
      </c>
      <c r="P253" s="140" t="s">
        <v>125</v>
      </c>
      <c r="Q253" s="96">
        <v>0.66666666666666663</v>
      </c>
      <c r="R253" s="93">
        <v>0</v>
      </c>
      <c r="S253" s="94">
        <f t="shared" ref="S253:S265" si="51">(M253*R253)/Q253</f>
        <v>0</v>
      </c>
      <c r="T253" s="307"/>
    </row>
    <row r="254" spans="2:26" ht="25.5">
      <c r="B254" s="473"/>
      <c r="C254" s="476"/>
      <c r="D254" s="513"/>
      <c r="E254" s="445"/>
      <c r="F254" s="516"/>
      <c r="G254" s="456"/>
      <c r="H254" s="456"/>
      <c r="I254" s="6">
        <v>6.2099999999999973</v>
      </c>
      <c r="J254" s="8" t="s">
        <v>21</v>
      </c>
      <c r="K254" s="1">
        <f>SUMIFS('[2]BESS 11'!X:X,'[2]BESS 11'!$B:$B,$J254)</f>
        <v>48</v>
      </c>
      <c r="L254" s="2">
        <f>SUMIFS('[2]BESS 11'!Y:Y,'[2]BESS 11'!$B:$B,$J254)</f>
        <v>0</v>
      </c>
      <c r="M254" s="7">
        <f t="shared" si="49"/>
        <v>48</v>
      </c>
      <c r="N254" s="20" t="s">
        <v>638</v>
      </c>
      <c r="O254" s="424">
        <f t="shared" si="50"/>
        <v>46275</v>
      </c>
      <c r="P254" s="5" t="s">
        <v>449</v>
      </c>
      <c r="Q254" s="96">
        <v>10</v>
      </c>
      <c r="R254" s="93">
        <v>4</v>
      </c>
      <c r="S254" s="94">
        <f t="shared" si="51"/>
        <v>19.2</v>
      </c>
      <c r="T254" s="307"/>
    </row>
    <row r="255" spans="2:26">
      <c r="B255" s="473"/>
      <c r="C255" s="476"/>
      <c r="D255" s="513"/>
      <c r="E255" s="445"/>
      <c r="F255" s="516"/>
      <c r="G255" s="456"/>
      <c r="H255" s="456"/>
      <c r="I255" s="6">
        <v>6.2199999999999971</v>
      </c>
      <c r="J255" s="8" t="s">
        <v>47</v>
      </c>
      <c r="K255" s="1">
        <f>SUMIFS('[2]BESS 11'!X:X,'[2]BESS 11'!$B:$B,$J255)</f>
        <v>4879.09</v>
      </c>
      <c r="L255" s="2">
        <f>SUMIFS('[2]BESS 11'!Y:Y,'[2]BESS 11'!$B:$B,$J255)</f>
        <v>0</v>
      </c>
      <c r="M255" s="7">
        <f t="shared" si="49"/>
        <v>4879.09</v>
      </c>
      <c r="N255" s="436" t="s">
        <v>347</v>
      </c>
      <c r="O255" s="424">
        <f t="shared" si="50"/>
        <v>46239</v>
      </c>
      <c r="P255" s="5" t="s">
        <v>164</v>
      </c>
      <c r="Q255" s="96">
        <v>1500</v>
      </c>
      <c r="R255" s="93">
        <v>48</v>
      </c>
      <c r="S255" s="94">
        <f t="shared" si="51"/>
        <v>156.13087999999999</v>
      </c>
      <c r="T255" s="307"/>
    </row>
    <row r="256" spans="2:26">
      <c r="B256" s="473"/>
      <c r="C256" s="476"/>
      <c r="D256" s="513"/>
      <c r="E256" s="445"/>
      <c r="F256" s="516"/>
      <c r="G256" s="456"/>
      <c r="H256" s="456"/>
      <c r="I256" s="6">
        <v>6.2299999999999969</v>
      </c>
      <c r="J256" s="8" t="s">
        <v>48</v>
      </c>
      <c r="K256" s="1">
        <f>SUMIFS('[2]BESS 11'!X:X,'[2]BESS 11'!$B:$B,$J256)</f>
        <v>28</v>
      </c>
      <c r="L256" s="2">
        <f>SUMIFS('[2]BESS 11'!Y:Y,'[2]BESS 11'!$B:$B,$J256)</f>
        <v>0</v>
      </c>
      <c r="M256" s="7">
        <f t="shared" si="49"/>
        <v>28</v>
      </c>
      <c r="N256" s="3">
        <v>46250</v>
      </c>
      <c r="O256" s="424">
        <f t="shared" si="50"/>
        <v>46250</v>
      </c>
      <c r="P256" s="5" t="s">
        <v>164</v>
      </c>
      <c r="Q256" s="96">
        <v>8</v>
      </c>
      <c r="R256" s="93">
        <v>6</v>
      </c>
      <c r="S256" s="94">
        <f t="shared" si="51"/>
        <v>21</v>
      </c>
      <c r="T256" s="307"/>
    </row>
    <row r="257" spans="2:22">
      <c r="B257" s="473"/>
      <c r="C257" s="476"/>
      <c r="D257" s="513"/>
      <c r="E257" s="445"/>
      <c r="F257" s="516"/>
      <c r="G257" s="456"/>
      <c r="H257" s="456"/>
      <c r="I257" s="6">
        <f t="shared" ref="I257:I276" si="52">I256+0.01</f>
        <v>6.2399999999999967</v>
      </c>
      <c r="J257" s="8" t="s">
        <v>126</v>
      </c>
      <c r="K257" s="1">
        <f>SUMIFS('[2]BESS 11'!X:X,'[2]BESS 11'!$B:$B,$J257)</f>
        <v>14288</v>
      </c>
      <c r="L257" s="2">
        <f>SUMIFS('[2]BESS 11'!Y:Y,'[2]BESS 11'!$B:$B,$J257)</f>
        <v>0</v>
      </c>
      <c r="M257" s="7">
        <f t="shared" si="49"/>
        <v>14288</v>
      </c>
      <c r="N257" s="436" t="s">
        <v>643</v>
      </c>
      <c r="O257" s="424">
        <f t="shared" si="50"/>
        <v>46244</v>
      </c>
      <c r="P257" s="5" t="s">
        <v>164</v>
      </c>
      <c r="Q257" s="96">
        <v>600</v>
      </c>
      <c r="R257" s="93">
        <v>10</v>
      </c>
      <c r="S257" s="94">
        <f t="shared" si="51"/>
        <v>238.13333333333333</v>
      </c>
      <c r="T257" s="307"/>
    </row>
    <row r="258" spans="2:22">
      <c r="B258" s="473"/>
      <c r="C258" s="476"/>
      <c r="D258" s="513"/>
      <c r="E258" s="445"/>
      <c r="F258" s="516"/>
      <c r="G258" s="456"/>
      <c r="H258" s="456"/>
      <c r="I258" s="6">
        <f t="shared" si="52"/>
        <v>6.2499999999999964</v>
      </c>
      <c r="J258" s="8" t="s">
        <v>127</v>
      </c>
      <c r="K258" s="1">
        <f>SUMIFS('[2]BESS 11'!X:X,'[2]BESS 11'!$B:$B,$J258)</f>
        <v>47399</v>
      </c>
      <c r="L258" s="2">
        <f>SUMIFS('[2]BESS 11'!Y:Y,'[2]BESS 11'!$B:$B,$J258)</f>
        <v>0</v>
      </c>
      <c r="M258" s="7">
        <f t="shared" si="49"/>
        <v>47399</v>
      </c>
      <c r="N258" s="436" t="s">
        <v>549</v>
      </c>
      <c r="O258" s="424">
        <f t="shared" si="50"/>
        <v>46244</v>
      </c>
      <c r="P258" s="5" t="s">
        <v>164</v>
      </c>
      <c r="Q258" s="96">
        <v>600</v>
      </c>
      <c r="R258" s="93">
        <v>10</v>
      </c>
      <c r="S258" s="94">
        <f t="shared" si="51"/>
        <v>789.98333333333335</v>
      </c>
      <c r="T258" s="307"/>
    </row>
    <row r="259" spans="2:22">
      <c r="B259" s="473"/>
      <c r="C259" s="476"/>
      <c r="D259" s="513"/>
      <c r="E259" s="445"/>
      <c r="F259" s="516"/>
      <c r="G259" s="456"/>
      <c r="H259" s="456"/>
      <c r="I259" s="6">
        <f t="shared" si="52"/>
        <v>6.2599999999999962</v>
      </c>
      <c r="J259" s="8" t="s">
        <v>128</v>
      </c>
      <c r="K259" s="1">
        <f>SUMIFS('[2]BESS 11'!X:X,'[2]BESS 11'!$B:$B,$J259)</f>
        <v>1536</v>
      </c>
      <c r="L259" s="2">
        <f>SUMIFS('[2]BESS 11'!Y:Y,'[2]BESS 11'!$B:$B,$J259)</f>
        <v>0</v>
      </c>
      <c r="M259" s="7">
        <f t="shared" si="49"/>
        <v>1536</v>
      </c>
      <c r="N259" s="3" t="s">
        <v>639</v>
      </c>
      <c r="O259" s="424">
        <f t="shared" si="50"/>
        <v>46277</v>
      </c>
      <c r="P259" s="5" t="s">
        <v>164</v>
      </c>
      <c r="Q259" s="96">
        <v>30</v>
      </c>
      <c r="R259" s="93">
        <v>18</v>
      </c>
      <c r="S259" s="94">
        <f t="shared" si="51"/>
        <v>921.6</v>
      </c>
      <c r="T259" s="307"/>
    </row>
    <row r="260" spans="2:22">
      <c r="B260" s="473"/>
      <c r="C260" s="476"/>
      <c r="D260" s="513"/>
      <c r="E260" s="445"/>
      <c r="F260" s="516"/>
      <c r="G260" s="456"/>
      <c r="H260" s="456"/>
      <c r="I260" s="6">
        <f t="shared" si="52"/>
        <v>6.269999999999996</v>
      </c>
      <c r="J260" s="8" t="s">
        <v>129</v>
      </c>
      <c r="K260" s="1">
        <f>SUMIFS('[2]BESS 11'!X:X,'[2]BESS 11'!$B:$B,$J260)</f>
        <v>2304</v>
      </c>
      <c r="L260" s="2">
        <f>SUMIFS('[2]BESS 11'!Y:Y,'[2]BESS 11'!$B:$B,$J260)</f>
        <v>0</v>
      </c>
      <c r="M260" s="7">
        <f t="shared" si="49"/>
        <v>2304</v>
      </c>
      <c r="N260" s="3" t="s">
        <v>639</v>
      </c>
      <c r="O260" s="424">
        <f t="shared" si="50"/>
        <v>46277</v>
      </c>
      <c r="P260" s="5" t="s">
        <v>164</v>
      </c>
      <c r="Q260" s="96">
        <v>30</v>
      </c>
      <c r="R260" s="93">
        <v>18</v>
      </c>
      <c r="S260" s="94">
        <f t="shared" si="51"/>
        <v>1382.4</v>
      </c>
      <c r="T260" s="307"/>
    </row>
    <row r="261" spans="2:22">
      <c r="B261" s="473"/>
      <c r="C261" s="476"/>
      <c r="D261" s="513"/>
      <c r="E261" s="445"/>
      <c r="F261" s="516"/>
      <c r="G261" s="456"/>
      <c r="H261" s="456"/>
      <c r="I261" s="6">
        <f t="shared" si="52"/>
        <v>6.2799999999999958</v>
      </c>
      <c r="J261" s="8" t="s">
        <v>130</v>
      </c>
      <c r="K261" s="1">
        <f>SUMIFS('[2]BESS 11'!X:X,'[2]BESS 11'!$B:$B,$J261)</f>
        <v>8232</v>
      </c>
      <c r="L261" s="2">
        <f>SUMIFS('[2]BESS 11'!Y:Y,'[2]BESS 11'!$B:$B,$J261)</f>
        <v>0</v>
      </c>
      <c r="M261" s="7">
        <f t="shared" ref="M261:M275" si="53">K261-L261</f>
        <v>8232</v>
      </c>
      <c r="N261" s="3" t="s">
        <v>555</v>
      </c>
      <c r="O261" s="424">
        <f t="shared" si="50"/>
        <v>46248</v>
      </c>
      <c r="P261" s="5" t="s">
        <v>164</v>
      </c>
      <c r="Q261" s="96">
        <v>1000</v>
      </c>
      <c r="R261" s="93">
        <v>10</v>
      </c>
      <c r="S261" s="94">
        <f t="shared" si="51"/>
        <v>82.32</v>
      </c>
      <c r="T261" s="307"/>
    </row>
    <row r="262" spans="2:22">
      <c r="B262" s="473"/>
      <c r="C262" s="476"/>
      <c r="D262" s="513"/>
      <c r="E262" s="445"/>
      <c r="F262" s="516"/>
      <c r="G262" s="456"/>
      <c r="H262" s="456"/>
      <c r="I262" s="6">
        <f t="shared" si="52"/>
        <v>6.2899999999999956</v>
      </c>
      <c r="J262" s="8" t="s">
        <v>131</v>
      </c>
      <c r="K262" s="1">
        <f>SUMIFS('[2]BESS 11'!X:X,'[2]BESS 11'!$B:$B,$J262)</f>
        <v>14448</v>
      </c>
      <c r="L262" s="2">
        <f>SUMIFS('[2]BESS 11'!Y:Y,'[2]BESS 11'!$B:$B,$J262)</f>
        <v>0</v>
      </c>
      <c r="M262" s="7">
        <f t="shared" si="53"/>
        <v>14448</v>
      </c>
      <c r="N262" s="3" t="s">
        <v>555</v>
      </c>
      <c r="O262" s="424">
        <f t="shared" si="50"/>
        <v>46248</v>
      </c>
      <c r="P262" s="5" t="s">
        <v>164</v>
      </c>
      <c r="Q262" s="96">
        <v>1000</v>
      </c>
      <c r="R262" s="93">
        <v>10</v>
      </c>
      <c r="S262" s="94">
        <f t="shared" si="51"/>
        <v>144.47999999999999</v>
      </c>
      <c r="T262" s="307"/>
    </row>
    <row r="263" spans="2:22">
      <c r="B263" s="473"/>
      <c r="C263" s="476"/>
      <c r="D263" s="513"/>
      <c r="E263" s="445"/>
      <c r="F263" s="516"/>
      <c r="G263" s="456"/>
      <c r="H263" s="456"/>
      <c r="I263" s="6">
        <f t="shared" si="52"/>
        <v>6.2999999999999954</v>
      </c>
      <c r="J263" s="8" t="s">
        <v>132</v>
      </c>
      <c r="K263" s="1">
        <f>SUMIFS('[2]BESS 11'!X:X,'[2]BESS 11'!$B:$B,$J263)</f>
        <v>4792</v>
      </c>
      <c r="L263" s="2">
        <f>SUMIFS('[2]BESS 11'!Y:Y,'[2]BESS 11'!$B:$B,$J263)</f>
        <v>0</v>
      </c>
      <c r="M263" s="7">
        <f t="shared" si="53"/>
        <v>4792</v>
      </c>
      <c r="N263" s="3" t="s">
        <v>555</v>
      </c>
      <c r="O263" s="424">
        <f t="shared" si="50"/>
        <v>46248</v>
      </c>
      <c r="P263" s="5" t="s">
        <v>164</v>
      </c>
      <c r="Q263" s="96">
        <v>500</v>
      </c>
      <c r="R263" s="93">
        <v>10</v>
      </c>
      <c r="S263" s="94">
        <f t="shared" si="51"/>
        <v>95.84</v>
      </c>
      <c r="T263" s="307"/>
    </row>
    <row r="264" spans="2:22">
      <c r="B264" s="473"/>
      <c r="C264" s="476"/>
      <c r="D264" s="513"/>
      <c r="E264" s="445"/>
      <c r="F264" s="516"/>
      <c r="G264" s="456"/>
      <c r="H264" s="456"/>
      <c r="I264" s="6">
        <f t="shared" si="52"/>
        <v>6.3099999999999952</v>
      </c>
      <c r="J264" s="8" t="s">
        <v>133</v>
      </c>
      <c r="K264" s="1">
        <f>SUMIFS('[2]BESS 11'!X:X,'[2]BESS 11'!$B:$B,$J264)</f>
        <v>286</v>
      </c>
      <c r="L264" s="2">
        <f>SUMIFS('[2]BESS 11'!Y:Y,'[2]BESS 11'!$B:$B,$J264)</f>
        <v>0</v>
      </c>
      <c r="M264" s="7">
        <f t="shared" si="53"/>
        <v>286</v>
      </c>
      <c r="N264" s="3" t="s">
        <v>639</v>
      </c>
      <c r="O264" s="424">
        <f t="shared" si="50"/>
        <v>46277</v>
      </c>
      <c r="P264" s="5" t="s">
        <v>164</v>
      </c>
      <c r="Q264" s="96">
        <v>30</v>
      </c>
      <c r="R264" s="93">
        <v>6</v>
      </c>
      <c r="S264" s="94">
        <f t="shared" si="51"/>
        <v>57.2</v>
      </c>
      <c r="T264" s="307"/>
    </row>
    <row r="265" spans="2:22">
      <c r="B265" s="473"/>
      <c r="C265" s="476"/>
      <c r="D265" s="513"/>
      <c r="E265" s="445"/>
      <c r="F265" s="516"/>
      <c r="G265" s="456"/>
      <c r="H265" s="456"/>
      <c r="I265" s="6">
        <f t="shared" si="52"/>
        <v>6.319999999999995</v>
      </c>
      <c r="J265" s="8" t="s">
        <v>134</v>
      </c>
      <c r="K265" s="1">
        <f>SUMIFS('[2]BESS 11'!X:X,'[2]BESS 11'!$B:$B,$J265)</f>
        <v>536</v>
      </c>
      <c r="L265" s="2">
        <f>SUMIFS('[2]BESS 11'!Y:Y,'[2]BESS 11'!$B:$B,$J265)</f>
        <v>0</v>
      </c>
      <c r="M265" s="7">
        <f t="shared" si="53"/>
        <v>536</v>
      </c>
      <c r="N265" s="3" t="s">
        <v>639</v>
      </c>
      <c r="O265" s="424">
        <f t="shared" si="50"/>
        <v>46277</v>
      </c>
      <c r="P265" s="5" t="s">
        <v>443</v>
      </c>
      <c r="Q265" s="96">
        <v>30</v>
      </c>
      <c r="R265" s="93">
        <v>4</v>
      </c>
      <c r="S265" s="94">
        <f t="shared" si="51"/>
        <v>71.466666666666669</v>
      </c>
      <c r="T265" s="307"/>
    </row>
    <row r="266" spans="2:22" ht="25.5">
      <c r="B266" s="473"/>
      <c r="C266" s="476"/>
      <c r="D266" s="513"/>
      <c r="E266" s="445"/>
      <c r="F266" s="516"/>
      <c r="G266" s="456"/>
      <c r="H266" s="456"/>
      <c r="I266" s="6">
        <f t="shared" si="52"/>
        <v>6.3299999999999947</v>
      </c>
      <c r="J266" s="8" t="s">
        <v>136</v>
      </c>
      <c r="K266" s="1">
        <f>SUMIFS('[2]BESS 11'!X:X,'[2]BESS 11'!$B:$B,$J266)</f>
        <v>384</v>
      </c>
      <c r="L266" s="2">
        <f>SUMIFS('[2]BESS 11'!Y:Y,'[2]BESS 11'!$B:$B,$J266)</f>
        <v>0</v>
      </c>
      <c r="M266" s="7">
        <f t="shared" si="53"/>
        <v>384</v>
      </c>
      <c r="N266" s="3" t="s">
        <v>639</v>
      </c>
      <c r="O266" s="424">
        <f t="shared" si="50"/>
        <v>46277</v>
      </c>
      <c r="P266" s="5" t="s">
        <v>443</v>
      </c>
      <c r="Q266" s="96" t="s">
        <v>89</v>
      </c>
      <c r="R266" s="93" t="s">
        <v>89</v>
      </c>
      <c r="S266" s="94" t="s">
        <v>89</v>
      </c>
      <c r="T266" s="307"/>
      <c r="U266">
        <f ca="1">O266-$T$1</f>
        <v>44</v>
      </c>
      <c r="V266" s="97">
        <f>SUM(S245:S276)</f>
        <v>4348.4475466666672</v>
      </c>
    </row>
    <row r="267" spans="2:22">
      <c r="B267" s="473"/>
      <c r="C267" s="476"/>
      <c r="D267" s="513"/>
      <c r="E267" s="445"/>
      <c r="F267" s="516"/>
      <c r="G267" s="456"/>
      <c r="H267" s="456"/>
      <c r="I267" s="6">
        <f t="shared" si="52"/>
        <v>6.3399999999999945</v>
      </c>
      <c r="J267" s="8" t="s">
        <v>137</v>
      </c>
      <c r="K267" s="1">
        <f>SUMIFS('[2]BESS 11'!X:X,'[2]BESS 11'!$B:$B,$J267)</f>
        <v>6</v>
      </c>
      <c r="L267" s="2">
        <f>SUMIFS('[2]BESS 11'!Y:Y,'[2]BESS 11'!$B:$B,$J267)</f>
        <v>0</v>
      </c>
      <c r="M267" s="7">
        <f t="shared" si="53"/>
        <v>6</v>
      </c>
      <c r="N267" s="436">
        <v>46239</v>
      </c>
      <c r="O267" s="424">
        <f t="shared" si="50"/>
        <v>46239</v>
      </c>
      <c r="P267" s="5" t="s">
        <v>138</v>
      </c>
      <c r="Q267" s="533">
        <v>2</v>
      </c>
      <c r="R267" s="527">
        <v>8</v>
      </c>
      <c r="S267" s="94" t="s">
        <v>89</v>
      </c>
      <c r="T267" s="307"/>
    </row>
    <row r="268" spans="2:22">
      <c r="B268" s="473"/>
      <c r="C268" s="476"/>
      <c r="D268" s="513"/>
      <c r="E268" s="445"/>
      <c r="F268" s="516"/>
      <c r="G268" s="456"/>
      <c r="H268" s="456"/>
      <c r="I268" s="6">
        <f t="shared" si="52"/>
        <v>6.3499999999999943</v>
      </c>
      <c r="J268" s="8" t="s">
        <v>139</v>
      </c>
      <c r="K268" s="1">
        <f>SUMIFS('[2]BESS 11'!X:X,'[2]BESS 11'!$B:$B,$J268)</f>
        <v>6</v>
      </c>
      <c r="L268" s="2">
        <f>SUMIFS('[2]BESS 11'!Y:Y,'[2]BESS 11'!$B:$B,$J268)</f>
        <v>0</v>
      </c>
      <c r="M268" s="7">
        <f t="shared" si="53"/>
        <v>6</v>
      </c>
      <c r="N268" s="436">
        <v>46243</v>
      </c>
      <c r="O268" s="424">
        <f t="shared" si="50"/>
        <v>46243</v>
      </c>
      <c r="P268" s="5" t="s">
        <v>164</v>
      </c>
      <c r="Q268" s="534"/>
      <c r="R268" s="529"/>
      <c r="S268" s="94">
        <v>12</v>
      </c>
      <c r="T268" s="307"/>
    </row>
    <row r="269" spans="2:22" ht="25.5">
      <c r="B269" s="473"/>
      <c r="C269" s="476"/>
      <c r="D269" s="513"/>
      <c r="E269" s="445"/>
      <c r="F269" s="516"/>
      <c r="G269" s="456"/>
      <c r="H269" s="456"/>
      <c r="I269" s="6">
        <f t="shared" si="52"/>
        <v>6.3599999999999941</v>
      </c>
      <c r="J269" s="8" t="s">
        <v>140</v>
      </c>
      <c r="K269" s="1">
        <f>SUMIFS('[2]BESS 11'!X:X,'[2]BESS 11'!$B:$B,$J269)</f>
        <v>6</v>
      </c>
      <c r="L269" s="2">
        <f>SUMIFS('[2]BESS 11'!Y:Y,'[2]BESS 11'!$B:$B,$J269)</f>
        <v>0</v>
      </c>
      <c r="M269" s="7">
        <f t="shared" si="53"/>
        <v>6</v>
      </c>
      <c r="N269" s="3" t="s">
        <v>678</v>
      </c>
      <c r="O269" s="424">
        <f t="shared" si="50"/>
        <v>46286</v>
      </c>
      <c r="P269" s="5" t="s">
        <v>164</v>
      </c>
      <c r="Q269" s="96">
        <v>2</v>
      </c>
      <c r="R269" s="93">
        <v>4</v>
      </c>
      <c r="S269" s="94">
        <f t="shared" ref="S269:S276" si="54">(M269*R269)/Q269</f>
        <v>12</v>
      </c>
      <c r="T269" s="313"/>
      <c r="U269">
        <f ca="1">O269-$T$1</f>
        <v>53</v>
      </c>
      <c r="V269" s="98">
        <f>SUM(S245:S276)</f>
        <v>4348.4475466666672</v>
      </c>
    </row>
    <row r="270" spans="2:22" ht="25.5">
      <c r="B270" s="473"/>
      <c r="C270" s="476"/>
      <c r="D270" s="513"/>
      <c r="E270" s="445"/>
      <c r="F270" s="516"/>
      <c r="G270" s="456"/>
      <c r="H270" s="456"/>
      <c r="I270" s="6">
        <f t="shared" si="52"/>
        <v>6.3699999999999939</v>
      </c>
      <c r="J270" s="8" t="s">
        <v>141</v>
      </c>
      <c r="K270" s="1">
        <f>SUMIFS('[2]BESS 11'!X:X,'[2]BESS 11'!$B:$B,$J270)</f>
        <v>12</v>
      </c>
      <c r="L270" s="2">
        <f>SUMIFS('[2]BESS 11'!Y:Y,'[2]BESS 11'!$B:$B,$J270)</f>
        <v>0</v>
      </c>
      <c r="M270" s="7">
        <f t="shared" si="53"/>
        <v>12</v>
      </c>
      <c r="N270" s="3">
        <v>46250</v>
      </c>
      <c r="O270" s="424">
        <f t="shared" si="50"/>
        <v>46250</v>
      </c>
      <c r="P270" s="5" t="s">
        <v>164</v>
      </c>
      <c r="Q270" s="96">
        <v>0.5</v>
      </c>
      <c r="R270" s="93">
        <v>4</v>
      </c>
      <c r="S270" s="94">
        <f t="shared" si="54"/>
        <v>96</v>
      </c>
      <c r="T270" s="567"/>
    </row>
    <row r="271" spans="2:22">
      <c r="B271" s="473"/>
      <c r="C271" s="476"/>
      <c r="D271" s="513"/>
      <c r="E271" s="445"/>
      <c r="F271" s="516"/>
      <c r="G271" s="456"/>
      <c r="H271" s="456"/>
      <c r="I271" s="6">
        <f t="shared" si="52"/>
        <v>6.3799999999999937</v>
      </c>
      <c r="J271" s="8" t="s">
        <v>142</v>
      </c>
      <c r="K271" s="1">
        <f>SUMIFS('[2]BESS 11'!X:X,'[2]BESS 11'!$B:$B,$J271)</f>
        <v>16</v>
      </c>
      <c r="L271" s="2">
        <f>SUMIFS('[2]BESS 11'!Y:Y,'[2]BESS 11'!$B:$B,$J271)</f>
        <v>0</v>
      </c>
      <c r="M271" s="7">
        <f t="shared" si="53"/>
        <v>16</v>
      </c>
      <c r="N271" s="3" t="s">
        <v>679</v>
      </c>
      <c r="O271" s="424">
        <f t="shared" si="50"/>
        <v>46284</v>
      </c>
      <c r="P271" s="5" t="s">
        <v>164</v>
      </c>
      <c r="Q271" s="96">
        <v>6</v>
      </c>
      <c r="R271" s="93">
        <v>4</v>
      </c>
      <c r="S271" s="94">
        <f t="shared" si="54"/>
        <v>10.666666666666666</v>
      </c>
      <c r="T271" s="567"/>
    </row>
    <row r="272" spans="2:22">
      <c r="B272" s="473"/>
      <c r="C272" s="476"/>
      <c r="D272" s="513"/>
      <c r="E272" s="445"/>
      <c r="F272" s="516"/>
      <c r="G272" s="456"/>
      <c r="H272" s="456"/>
      <c r="I272" s="6">
        <f t="shared" si="52"/>
        <v>6.3899999999999935</v>
      </c>
      <c r="J272" s="8" t="s">
        <v>143</v>
      </c>
      <c r="K272" s="1">
        <f>SUMIFS('[2]BESS 11'!X:X,'[2]BESS 11'!$B:$B,$J272)</f>
        <v>14</v>
      </c>
      <c r="L272" s="2">
        <f>SUMIFS('[2]BESS 11'!Y:Y,'[2]BESS 11'!$B:$B,$J272)</f>
        <v>0</v>
      </c>
      <c r="M272" s="7">
        <f t="shared" si="53"/>
        <v>14</v>
      </c>
      <c r="N272" s="3" t="s">
        <v>644</v>
      </c>
      <c r="O272" s="424">
        <f t="shared" si="50"/>
        <v>46259</v>
      </c>
      <c r="P272" s="5" t="s">
        <v>164</v>
      </c>
      <c r="Q272" s="96">
        <v>6</v>
      </c>
      <c r="R272" s="93">
        <v>5</v>
      </c>
      <c r="S272" s="94">
        <f t="shared" si="54"/>
        <v>11.666666666666666</v>
      </c>
      <c r="T272" s="567"/>
    </row>
    <row r="273" spans="2:23">
      <c r="B273" s="473"/>
      <c r="C273" s="476"/>
      <c r="D273" s="513"/>
      <c r="E273" s="445"/>
      <c r="F273" s="516"/>
      <c r="G273" s="456"/>
      <c r="H273" s="456"/>
      <c r="I273" s="6">
        <f t="shared" si="52"/>
        <v>6.3999999999999932</v>
      </c>
      <c r="J273" s="8" t="s">
        <v>144</v>
      </c>
      <c r="K273" s="1">
        <f>SUMIFS('[2]BESS 11'!X:X,'[2]BESS 11'!$B:$B,$J273)</f>
        <v>1</v>
      </c>
      <c r="L273" s="2">
        <f>SUMIFS('[2]BESS 11'!Y:Y,'[2]BESS 11'!$B:$B,$J273)</f>
        <v>0</v>
      </c>
      <c r="M273" s="7">
        <f t="shared" si="53"/>
        <v>1</v>
      </c>
      <c r="N273" s="3" t="s">
        <v>644</v>
      </c>
      <c r="O273" s="424">
        <f t="shared" si="50"/>
        <v>46259</v>
      </c>
      <c r="P273" s="5" t="s">
        <v>164</v>
      </c>
      <c r="Q273" s="96">
        <v>1</v>
      </c>
      <c r="R273" s="93">
        <v>5</v>
      </c>
      <c r="S273" s="94">
        <f t="shared" si="54"/>
        <v>5</v>
      </c>
      <c r="T273" s="307"/>
    </row>
    <row r="274" spans="2:23">
      <c r="B274" s="473"/>
      <c r="C274" s="476"/>
      <c r="D274" s="513"/>
      <c r="E274" s="445"/>
      <c r="F274" s="516"/>
      <c r="G274" s="456"/>
      <c r="H274" s="456"/>
      <c r="I274" s="6">
        <f t="shared" si="52"/>
        <v>6.409999999999993</v>
      </c>
      <c r="J274" s="8" t="s">
        <v>145</v>
      </c>
      <c r="K274" s="1">
        <f>SUMIFS('[2]BESS 11'!X:X,'[2]BESS 11'!$B:$B,$J274)</f>
        <v>6</v>
      </c>
      <c r="L274" s="2">
        <f>SUMIFS('[2]BESS 11'!Y:Y,'[2]BESS 11'!$B:$B,$J274)</f>
        <v>0</v>
      </c>
      <c r="M274" s="7">
        <f t="shared" si="53"/>
        <v>6</v>
      </c>
      <c r="N274" s="3" t="s">
        <v>644</v>
      </c>
      <c r="O274" s="424">
        <f t="shared" si="50"/>
        <v>46259</v>
      </c>
      <c r="P274" s="5" t="s">
        <v>164</v>
      </c>
      <c r="Q274" s="96">
        <v>3</v>
      </c>
      <c r="R274" s="93">
        <v>5</v>
      </c>
      <c r="S274" s="94">
        <f t="shared" si="54"/>
        <v>10</v>
      </c>
      <c r="T274" s="307"/>
    </row>
    <row r="275" spans="2:23">
      <c r="B275" s="473"/>
      <c r="C275" s="476"/>
      <c r="D275" s="513"/>
      <c r="E275" s="445"/>
      <c r="F275" s="516"/>
      <c r="G275" s="456"/>
      <c r="H275" s="456"/>
      <c r="I275" s="6">
        <f t="shared" si="52"/>
        <v>6.4199999999999928</v>
      </c>
      <c r="J275" s="8" t="s">
        <v>54</v>
      </c>
      <c r="K275" s="1">
        <f>SUMIFS('[2]BESS 11'!X:X,'[2]BESS 11'!$B:$B,$J275)</f>
        <v>4284</v>
      </c>
      <c r="L275" s="2">
        <f>SUMIFS('[2]BESS 11'!Y:Y,'[2]BESS 11'!$B:$B,$J275)</f>
        <v>0</v>
      </c>
      <c r="M275" s="7">
        <f t="shared" si="53"/>
        <v>4284</v>
      </c>
      <c r="N275" s="3" t="s">
        <v>645</v>
      </c>
      <c r="O275" s="424">
        <f t="shared" si="50"/>
        <v>46277</v>
      </c>
      <c r="P275" s="5" t="s">
        <v>164</v>
      </c>
      <c r="Q275" s="96">
        <v>150</v>
      </c>
      <c r="R275" s="93">
        <v>6</v>
      </c>
      <c r="S275" s="94">
        <f t="shared" si="54"/>
        <v>171.36</v>
      </c>
      <c r="T275" s="307"/>
    </row>
    <row r="276" spans="2:23" ht="14.25" thickBot="1">
      <c r="B276" s="474"/>
      <c r="C276" s="477"/>
      <c r="D276" s="514"/>
      <c r="E276" s="479"/>
      <c r="F276" s="517"/>
      <c r="G276" s="515"/>
      <c r="H276" s="515"/>
      <c r="I276" s="353">
        <f t="shared" si="52"/>
        <v>6.4299999999999926</v>
      </c>
      <c r="J276" s="23" t="s">
        <v>55</v>
      </c>
      <c r="K276" s="24">
        <f>SUMIFS('[2]BESS 11'!X:X,'[2]BESS 11'!$B:$B,$J276)</f>
        <v>10</v>
      </c>
      <c r="L276" s="25">
        <f>SUMIFS('[2]BESS 11'!Y:Y,'[2]BESS 11'!$B:$B,$J276)</f>
        <v>0</v>
      </c>
      <c r="M276" s="26">
        <f t="shared" si="49"/>
        <v>10</v>
      </c>
      <c r="N276" s="3" t="s">
        <v>646</v>
      </c>
      <c r="O276" s="426">
        <f t="shared" si="50"/>
        <v>46276</v>
      </c>
      <c r="P276" s="28" t="s">
        <v>164</v>
      </c>
      <c r="Q276" s="265">
        <v>5</v>
      </c>
      <c r="R276" s="266">
        <v>6</v>
      </c>
      <c r="S276" s="267">
        <f t="shared" si="54"/>
        <v>12</v>
      </c>
      <c r="T276" s="326"/>
    </row>
    <row r="277" spans="2:23">
      <c r="B277" s="472" t="s">
        <v>17</v>
      </c>
      <c r="C277" s="475">
        <v>7</v>
      </c>
      <c r="D277" s="512" t="s">
        <v>758</v>
      </c>
      <c r="E277" s="524" t="s">
        <v>120</v>
      </c>
      <c r="F277" s="512" t="s">
        <v>667</v>
      </c>
      <c r="G277" s="512" t="s">
        <v>668</v>
      </c>
      <c r="H277" s="512" t="s">
        <v>669</v>
      </c>
      <c r="I277" s="54"/>
      <c r="J277" s="48"/>
      <c r="K277" s="49"/>
      <c r="L277" s="45" t="s">
        <v>121</v>
      </c>
      <c r="M277" s="48"/>
      <c r="N277" s="49"/>
      <c r="O277" s="424"/>
      <c r="P277" s="377"/>
      <c r="Q277" s="268"/>
      <c r="R277" s="269"/>
      <c r="S277" s="270"/>
      <c r="T277" s="368"/>
      <c r="W277" s="97"/>
    </row>
    <row r="278" spans="2:23" ht="25.5">
      <c r="B278" s="473"/>
      <c r="C278" s="476"/>
      <c r="D278" s="513"/>
      <c r="E278" s="445"/>
      <c r="F278" s="516"/>
      <c r="G278" s="456"/>
      <c r="H278" s="456"/>
      <c r="I278" s="56">
        <v>7.1</v>
      </c>
      <c r="J278" s="57" t="s">
        <v>19</v>
      </c>
      <c r="K278" s="2">
        <f>SUMIFS('[2]BESS 11'!AB:AB,'[2]BESS 11'!$B:$B,$J278)</f>
        <v>48</v>
      </c>
      <c r="L278" s="2">
        <f>SUMIFS('[2]BESS 11'!AC:AC,'[2]BESS 11'!$B:$B,$J278)</f>
        <v>48</v>
      </c>
      <c r="M278" s="2">
        <f t="shared" si="38"/>
        <v>0</v>
      </c>
      <c r="N278" s="63" t="s">
        <v>122</v>
      </c>
      <c r="O278" s="424" t="str">
        <f t="shared" ref="O278:O288" si="55">IF(LEN(N278)=5,N278,(IF(N278="Completed"," ",DATEVALUE(RIGHT(N278,6)))))</f>
        <v xml:space="preserve"> </v>
      </c>
      <c r="P278" s="58" t="s">
        <v>20</v>
      </c>
      <c r="Q278" s="96">
        <v>1</v>
      </c>
      <c r="R278" s="93">
        <v>2</v>
      </c>
      <c r="S278" s="94">
        <f t="shared" ref="S278:S287" si="56">(M278*R278)/Q278</f>
        <v>0</v>
      </c>
      <c r="T278" s="307"/>
    </row>
    <row r="279" spans="2:23">
      <c r="B279" s="473"/>
      <c r="C279" s="476"/>
      <c r="D279" s="513"/>
      <c r="E279" s="445"/>
      <c r="F279" s="516"/>
      <c r="G279" s="456"/>
      <c r="H279" s="456"/>
      <c r="I279" s="56">
        <v>7.1999999999999993</v>
      </c>
      <c r="J279" s="57" t="s">
        <v>23</v>
      </c>
      <c r="K279" s="2">
        <f>SUMIFS('[2]BESS 11'!AB:AB,'[2]BESS 11'!$B:$B,$J279)</f>
        <v>6</v>
      </c>
      <c r="L279" s="2">
        <f>SUMIFS('[2]BESS 11'!AC:AC,'[2]BESS 11'!$B:$B,$J279)</f>
        <v>6</v>
      </c>
      <c r="M279" s="2">
        <f t="shared" si="38"/>
        <v>0</v>
      </c>
      <c r="N279" s="63" t="s">
        <v>122</v>
      </c>
      <c r="O279" s="424" t="str">
        <f t="shared" si="55"/>
        <v xml:space="preserve"> </v>
      </c>
      <c r="P279" s="58" t="s">
        <v>20</v>
      </c>
      <c r="Q279" s="96">
        <v>1</v>
      </c>
      <c r="R279" s="93">
        <v>16</v>
      </c>
      <c r="S279" s="94">
        <f t="shared" si="56"/>
        <v>0</v>
      </c>
      <c r="T279" s="307"/>
    </row>
    <row r="280" spans="2:23">
      <c r="B280" s="473"/>
      <c r="C280" s="476"/>
      <c r="D280" s="513"/>
      <c r="E280" s="445"/>
      <c r="F280" s="516"/>
      <c r="G280" s="456"/>
      <c r="H280" s="456"/>
      <c r="I280" s="56">
        <v>7.2999999999999989</v>
      </c>
      <c r="J280" s="57" t="s">
        <v>26</v>
      </c>
      <c r="K280" s="2">
        <f>SUMIFS('[2]BESS 11'!AB:AB,'[2]BESS 11'!$B:$B,$J280)</f>
        <v>6</v>
      </c>
      <c r="L280" s="2">
        <f>SUMIFS('[2]BESS 11'!AC:AC,'[2]BESS 11'!$B:$B,$J280)</f>
        <v>6</v>
      </c>
      <c r="M280" s="2">
        <f t="shared" ref="M280:M288" si="57">K280-L280</f>
        <v>0</v>
      </c>
      <c r="N280" s="63" t="s">
        <v>122</v>
      </c>
      <c r="O280" s="424" t="str">
        <f t="shared" si="55"/>
        <v xml:space="preserve"> </v>
      </c>
      <c r="P280" s="58" t="s">
        <v>20</v>
      </c>
      <c r="Q280" s="96">
        <v>1</v>
      </c>
      <c r="R280" s="93">
        <v>39</v>
      </c>
      <c r="S280" s="94">
        <f t="shared" si="56"/>
        <v>0</v>
      </c>
      <c r="T280" s="307"/>
      <c r="W280" s="97"/>
    </row>
    <row r="281" spans="2:23">
      <c r="B281" s="473"/>
      <c r="C281" s="476"/>
      <c r="D281" s="513"/>
      <c r="E281" s="445"/>
      <c r="F281" s="516"/>
      <c r="G281" s="456"/>
      <c r="H281" s="456"/>
      <c r="I281" s="56">
        <v>7.3999999999999986</v>
      </c>
      <c r="J281" s="57" t="s">
        <v>32</v>
      </c>
      <c r="K281" s="2">
        <f>SUMIFS('[2]BESS 11'!AB:AB,'[2]BESS 11'!$B:$B,$J281)</f>
        <v>1</v>
      </c>
      <c r="L281" s="2">
        <f>SUMIFS('[2]BESS 11'!AC:AC,'[2]BESS 11'!$B:$B,$J281)</f>
        <v>1</v>
      </c>
      <c r="M281" s="2">
        <f t="shared" si="57"/>
        <v>0</v>
      </c>
      <c r="N281" s="63" t="s">
        <v>122</v>
      </c>
      <c r="O281" s="424" t="str">
        <f t="shared" si="55"/>
        <v xml:space="preserve"> </v>
      </c>
      <c r="P281" s="58" t="s">
        <v>20</v>
      </c>
      <c r="Q281" s="96">
        <v>1</v>
      </c>
      <c r="R281" s="93">
        <v>37</v>
      </c>
      <c r="S281" s="94">
        <f t="shared" si="56"/>
        <v>0</v>
      </c>
      <c r="T281" s="307"/>
    </row>
    <row r="282" spans="2:23">
      <c r="B282" s="473"/>
      <c r="C282" s="476"/>
      <c r="D282" s="513"/>
      <c r="E282" s="445"/>
      <c r="F282" s="516"/>
      <c r="G282" s="456"/>
      <c r="H282" s="456"/>
      <c r="I282" s="56">
        <v>7.4999999999999982</v>
      </c>
      <c r="J282" s="57" t="s">
        <v>35</v>
      </c>
      <c r="K282" s="2">
        <f>SUMIFS('[2]BESS 11'!AB:AB,'[2]BESS 11'!$B:$B,$J282)</f>
        <v>1</v>
      </c>
      <c r="L282" s="2">
        <f>SUMIFS('[2]BESS 11'!AC:AC,'[2]BESS 11'!$B:$B,$J282)</f>
        <v>1</v>
      </c>
      <c r="M282" s="2">
        <f t="shared" si="57"/>
        <v>0</v>
      </c>
      <c r="N282" s="63" t="s">
        <v>122</v>
      </c>
      <c r="O282" s="424" t="str">
        <f t="shared" si="55"/>
        <v xml:space="preserve"> </v>
      </c>
      <c r="P282" s="58" t="s">
        <v>20</v>
      </c>
      <c r="Q282" s="96">
        <v>1</v>
      </c>
      <c r="R282" s="93">
        <v>34</v>
      </c>
      <c r="S282" s="94">
        <f t="shared" si="56"/>
        <v>0</v>
      </c>
      <c r="T282" s="307"/>
    </row>
    <row r="283" spans="2:23">
      <c r="B283" s="473"/>
      <c r="C283" s="476"/>
      <c r="D283" s="513"/>
      <c r="E283" s="445"/>
      <c r="F283" s="516"/>
      <c r="G283" s="456"/>
      <c r="H283" s="456"/>
      <c r="I283" s="56">
        <v>7.5999999999999979</v>
      </c>
      <c r="J283" s="57" t="s">
        <v>38</v>
      </c>
      <c r="K283" s="2">
        <f>SUMIFS('[2]BESS 11'!AB:AB,'[2]BESS 11'!$B:$B,$J283)</f>
        <v>1</v>
      </c>
      <c r="L283" s="2">
        <f>SUMIFS('[2]BESS 11'!AC:AC,'[2]BESS 11'!$B:$B,$J283)</f>
        <v>1</v>
      </c>
      <c r="M283" s="2">
        <f t="shared" si="57"/>
        <v>0</v>
      </c>
      <c r="N283" s="63" t="s">
        <v>122</v>
      </c>
      <c r="O283" s="424" t="str">
        <f t="shared" si="55"/>
        <v xml:space="preserve"> </v>
      </c>
      <c r="P283" s="58" t="s">
        <v>20</v>
      </c>
      <c r="Q283" s="96">
        <v>1</v>
      </c>
      <c r="R283" s="93">
        <v>54</v>
      </c>
      <c r="S283" s="94">
        <f t="shared" si="56"/>
        <v>0</v>
      </c>
      <c r="T283" s="307"/>
      <c r="W283" s="60"/>
    </row>
    <row r="284" spans="2:23">
      <c r="B284" s="473"/>
      <c r="C284" s="476"/>
      <c r="D284" s="513"/>
      <c r="E284" s="445"/>
      <c r="F284" s="516"/>
      <c r="G284" s="456"/>
      <c r="H284" s="456"/>
      <c r="I284" s="56">
        <v>7.6999999999999975</v>
      </c>
      <c r="J284" s="57" t="s">
        <v>44</v>
      </c>
      <c r="K284" s="2">
        <f>SUMIFS('[2]BESS 11'!AB:AB,'[2]BESS 11'!$B:$B,$J284)</f>
        <v>3</v>
      </c>
      <c r="L284" s="2">
        <f>SUMIFS('[2]BESS 11'!AC:AC,'[2]BESS 11'!$B:$B,$J284)</f>
        <v>3</v>
      </c>
      <c r="M284" s="2">
        <f t="shared" si="57"/>
        <v>0</v>
      </c>
      <c r="N284" s="63" t="s">
        <v>122</v>
      </c>
      <c r="O284" s="424" t="str">
        <f t="shared" si="55"/>
        <v xml:space="preserve"> </v>
      </c>
      <c r="P284" s="58" t="s">
        <v>45</v>
      </c>
      <c r="Q284" s="96">
        <v>3</v>
      </c>
      <c r="R284" s="93">
        <v>5</v>
      </c>
      <c r="S284" s="94">
        <f t="shared" si="56"/>
        <v>0</v>
      </c>
      <c r="T284" s="261"/>
    </row>
    <row r="285" spans="2:23">
      <c r="B285" s="473"/>
      <c r="C285" s="476"/>
      <c r="D285" s="513"/>
      <c r="E285" s="445"/>
      <c r="F285" s="516"/>
      <c r="G285" s="456"/>
      <c r="H285" s="456"/>
      <c r="I285" s="56">
        <v>7.7999999999999972</v>
      </c>
      <c r="J285" s="57" t="s">
        <v>40</v>
      </c>
      <c r="K285" s="2">
        <f>SUMIFS('[2]BESS 11'!AB:AB,'[2]BESS 11'!$B:$B,$J285)</f>
        <v>6</v>
      </c>
      <c r="L285" s="2">
        <f>SUMIFS('[2]BESS 11'!AC:AC,'[2]BESS 11'!$B:$B,$J285)</f>
        <v>6</v>
      </c>
      <c r="M285" s="2">
        <f t="shared" si="57"/>
        <v>0</v>
      </c>
      <c r="N285" s="63" t="s">
        <v>122</v>
      </c>
      <c r="O285" s="424" t="str">
        <f t="shared" si="55"/>
        <v xml:space="preserve"> </v>
      </c>
      <c r="P285" s="58" t="s">
        <v>20</v>
      </c>
      <c r="Q285" s="96">
        <v>1</v>
      </c>
      <c r="R285" s="93">
        <v>5</v>
      </c>
      <c r="S285" s="94">
        <f t="shared" si="56"/>
        <v>0</v>
      </c>
      <c r="T285" s="261"/>
    </row>
    <row r="286" spans="2:23">
      <c r="B286" s="473"/>
      <c r="C286" s="476"/>
      <c r="D286" s="513"/>
      <c r="E286" s="445"/>
      <c r="F286" s="516"/>
      <c r="G286" s="456"/>
      <c r="H286" s="456"/>
      <c r="I286" s="59">
        <v>7.8999999999999968</v>
      </c>
      <c r="J286" s="57" t="s">
        <v>30</v>
      </c>
      <c r="K286" s="2">
        <f>SUMIFS('[2]BESS 11'!AB:AB,'[2]BESS 11'!$B:$B,$J286)</f>
        <v>6</v>
      </c>
      <c r="L286" s="2">
        <f>SUMIFS('[2]BESS 11'!AC:AC,'[2]BESS 11'!$B:$B,$J286)</f>
        <v>6</v>
      </c>
      <c r="M286" s="2">
        <f t="shared" si="57"/>
        <v>0</v>
      </c>
      <c r="N286" s="63" t="s">
        <v>122</v>
      </c>
      <c r="O286" s="424" t="str">
        <f t="shared" si="55"/>
        <v xml:space="preserve"> </v>
      </c>
      <c r="P286" s="58" t="s">
        <v>31</v>
      </c>
      <c r="Q286" s="96">
        <v>1</v>
      </c>
      <c r="R286" s="93">
        <v>27</v>
      </c>
      <c r="S286" s="94">
        <f t="shared" si="56"/>
        <v>0</v>
      </c>
      <c r="T286" s="261"/>
    </row>
    <row r="287" spans="2:23" ht="25.5">
      <c r="B287" s="473"/>
      <c r="C287" s="476"/>
      <c r="D287" s="513"/>
      <c r="E287" s="445"/>
      <c r="F287" s="516"/>
      <c r="G287" s="456"/>
      <c r="H287" s="456"/>
      <c r="I287" s="6">
        <v>7.1</v>
      </c>
      <c r="J287" s="8" t="s">
        <v>34</v>
      </c>
      <c r="K287" s="1">
        <f>SUMIFS('[2]BESS 11'!AB:AB,'[2]BESS 11'!$B:$B,$J287)</f>
        <v>1</v>
      </c>
      <c r="L287" s="2">
        <f>SUMIFS('[2]BESS 11'!AC:AC,'[2]BESS 11'!$B:$B,$J287)</f>
        <v>0</v>
      </c>
      <c r="M287" s="7">
        <f t="shared" si="57"/>
        <v>1</v>
      </c>
      <c r="N287" s="432" t="s">
        <v>287</v>
      </c>
      <c r="O287" s="424">
        <f t="shared" si="55"/>
        <v>46241</v>
      </c>
      <c r="P287" s="5" t="s">
        <v>31</v>
      </c>
      <c r="Q287" s="96">
        <v>1</v>
      </c>
      <c r="R287" s="93">
        <v>25</v>
      </c>
      <c r="S287" s="94">
        <f t="shared" si="56"/>
        <v>25</v>
      </c>
      <c r="T287" s="261"/>
    </row>
    <row r="288" spans="2:23" ht="25.5">
      <c r="B288" s="473"/>
      <c r="C288" s="476"/>
      <c r="D288" s="513"/>
      <c r="E288" s="445"/>
      <c r="F288" s="516"/>
      <c r="G288" s="456"/>
      <c r="H288" s="456"/>
      <c r="I288" s="6">
        <v>7.1099999999999994</v>
      </c>
      <c r="J288" s="8" t="s">
        <v>37</v>
      </c>
      <c r="K288" s="1">
        <f>SUMIFS('[2]BESS 11'!AB:AB,'[2]BESS 11'!$B:$B,$J288)</f>
        <v>1</v>
      </c>
      <c r="L288" s="2">
        <f>SUMIFS('[2]BESS 11'!AC:AC,'[2]BESS 11'!$B:$B,$J288)</f>
        <v>0</v>
      </c>
      <c r="M288" s="7">
        <f t="shared" si="57"/>
        <v>1</v>
      </c>
      <c r="N288" s="432" t="s">
        <v>298</v>
      </c>
      <c r="O288" s="424">
        <f t="shared" si="55"/>
        <v>46235</v>
      </c>
      <c r="P288" s="5" t="s">
        <v>123</v>
      </c>
      <c r="Q288" s="96" t="s">
        <v>89</v>
      </c>
      <c r="R288" s="93" t="s">
        <v>89</v>
      </c>
      <c r="S288" s="94" t="s">
        <v>89</v>
      </c>
      <c r="T288" s="261"/>
    </row>
    <row r="289" spans="2:25">
      <c r="B289" s="473"/>
      <c r="C289" s="476"/>
      <c r="D289" s="513"/>
      <c r="E289" s="445"/>
      <c r="F289" s="516"/>
      <c r="G289" s="456"/>
      <c r="H289" s="456"/>
      <c r="I289" s="44"/>
      <c r="J289" s="50"/>
      <c r="K289" s="61"/>
      <c r="L289" s="52" t="s">
        <v>124</v>
      </c>
      <c r="M289" s="51"/>
      <c r="N289" s="61"/>
      <c r="O289" s="424"/>
      <c r="P289" s="87"/>
      <c r="Q289" s="96"/>
      <c r="R289" s="93"/>
      <c r="S289" s="94"/>
      <c r="T289" s="261"/>
    </row>
    <row r="290" spans="2:25">
      <c r="B290" s="473"/>
      <c r="C290" s="476"/>
      <c r="D290" s="513"/>
      <c r="E290" s="445"/>
      <c r="F290" s="516"/>
      <c r="G290" s="456"/>
      <c r="H290" s="456"/>
      <c r="I290" s="6">
        <v>7.1199999999999992</v>
      </c>
      <c r="J290" s="8" t="s">
        <v>24</v>
      </c>
      <c r="K290" s="1">
        <f>SUMIFS('[2]BESS 11'!AB:AB,'[2]BESS 11'!$B:$B,$J290)</f>
        <v>6</v>
      </c>
      <c r="L290" s="2">
        <f>SUMIFS('[2]BESS 11'!AC:AC,'[2]BESS 11'!$B:$B,$J290)</f>
        <v>0</v>
      </c>
      <c r="M290" s="7">
        <f t="shared" ref="M290:M321" si="58">K290-L290</f>
        <v>6</v>
      </c>
      <c r="N290" s="432" t="s">
        <v>340</v>
      </c>
      <c r="O290" s="424">
        <f t="shared" ref="O290:O321" si="59">IF(LEN(N290)=5,N290,(IF(N290="Completed"," ",DATEVALUE(RIGHT(N290,6)))))</f>
        <v>46239</v>
      </c>
      <c r="P290" s="5" t="s">
        <v>164</v>
      </c>
      <c r="Q290" s="96">
        <v>2</v>
      </c>
      <c r="R290" s="93">
        <v>4</v>
      </c>
      <c r="S290" s="94">
        <f>(M290*R290)/Q290</f>
        <v>12</v>
      </c>
      <c r="T290" s="261"/>
    </row>
    <row r="291" spans="2:25">
      <c r="B291" s="473"/>
      <c r="C291" s="476"/>
      <c r="D291" s="513"/>
      <c r="E291" s="445"/>
      <c r="F291" s="516"/>
      <c r="G291" s="456"/>
      <c r="H291" s="456"/>
      <c r="I291" s="6">
        <v>7.129999999999999</v>
      </c>
      <c r="J291" s="8" t="s">
        <v>27</v>
      </c>
      <c r="K291" s="1">
        <f>SUMIFS('[2]BESS 11'!AB:AB,'[2]BESS 11'!$B:$B,$J291)</f>
        <v>48</v>
      </c>
      <c r="L291" s="2">
        <f>SUMIFS('[2]BESS 11'!AC:AC,'[2]BESS 11'!$B:$B,$J291)</f>
        <v>0</v>
      </c>
      <c r="M291" s="7">
        <f t="shared" si="58"/>
        <v>48</v>
      </c>
      <c r="N291" s="432" t="s">
        <v>340</v>
      </c>
      <c r="O291" s="424">
        <f t="shared" si="59"/>
        <v>46239</v>
      </c>
      <c r="P291" s="5" t="s">
        <v>164</v>
      </c>
      <c r="Q291" s="96">
        <v>10</v>
      </c>
      <c r="R291" s="93">
        <v>4</v>
      </c>
      <c r="S291" s="94">
        <f>(M291*R291)/Q291</f>
        <v>19.2</v>
      </c>
      <c r="T291" s="307"/>
      <c r="W291" s="60"/>
    </row>
    <row r="292" spans="2:25">
      <c r="B292" s="473"/>
      <c r="C292" s="476"/>
      <c r="D292" s="513"/>
      <c r="E292" s="445"/>
      <c r="F292" s="516"/>
      <c r="G292" s="456"/>
      <c r="H292" s="456"/>
      <c r="I292" s="6">
        <v>7.1399999999999988</v>
      </c>
      <c r="J292" s="8" t="s">
        <v>28</v>
      </c>
      <c r="K292" s="1">
        <f>SUMIFS('[2]BESS 11'!AB:AB,'[2]BESS 11'!$B:$B,$J292)</f>
        <v>6</v>
      </c>
      <c r="L292" s="2">
        <f>SUMIFS('[2]BESS 11'!AC:AC,'[2]BESS 11'!$B:$B,$J292)</f>
        <v>0</v>
      </c>
      <c r="M292" s="7">
        <f t="shared" si="58"/>
        <v>6</v>
      </c>
      <c r="N292" s="436" t="s">
        <v>446</v>
      </c>
      <c r="O292" s="424">
        <f t="shared" si="59"/>
        <v>46239</v>
      </c>
      <c r="P292" s="5" t="s">
        <v>164</v>
      </c>
      <c r="Q292" s="96">
        <v>5</v>
      </c>
      <c r="R292" s="93">
        <v>4</v>
      </c>
      <c r="S292" s="94">
        <f>(M292*R292)/Q292</f>
        <v>4.8</v>
      </c>
      <c r="T292" s="307"/>
      <c r="W292" s="60"/>
    </row>
    <row r="293" spans="2:25" ht="25.5">
      <c r="B293" s="473"/>
      <c r="C293" s="476"/>
      <c r="D293" s="513"/>
      <c r="E293" s="445"/>
      <c r="F293" s="516"/>
      <c r="G293" s="456"/>
      <c r="H293" s="456"/>
      <c r="I293" s="6">
        <v>7.1499999999999986</v>
      </c>
      <c r="J293" s="8" t="s">
        <v>29</v>
      </c>
      <c r="K293" s="1">
        <f>SUMIFS('[2]BESS 11'!AB:AB,'[2]BESS 11'!$B:$B,$J293)</f>
        <v>6</v>
      </c>
      <c r="L293" s="2">
        <f>SUMIFS('[2]BESS 11'!AC:AC,'[2]BESS 11'!$B:$B,$J293)</f>
        <v>0</v>
      </c>
      <c r="M293" s="7">
        <f t="shared" si="58"/>
        <v>6</v>
      </c>
      <c r="N293" s="436" t="s">
        <v>446</v>
      </c>
      <c r="O293" s="424">
        <f t="shared" si="59"/>
        <v>46239</v>
      </c>
      <c r="P293" s="5" t="s">
        <v>164</v>
      </c>
      <c r="Q293" s="96">
        <v>20</v>
      </c>
      <c r="R293" s="527">
        <v>4</v>
      </c>
      <c r="S293" s="530">
        <v>4</v>
      </c>
      <c r="T293" s="307"/>
      <c r="W293" s="60"/>
    </row>
    <row r="294" spans="2:25">
      <c r="B294" s="473"/>
      <c r="C294" s="476"/>
      <c r="D294" s="513"/>
      <c r="E294" s="445"/>
      <c r="F294" s="516"/>
      <c r="G294" s="456"/>
      <c r="H294" s="456"/>
      <c r="I294" s="6">
        <v>7.1599999999999984</v>
      </c>
      <c r="J294" s="8" t="s">
        <v>33</v>
      </c>
      <c r="K294" s="1">
        <f>SUMIFS('[2]BESS 11'!AB:AB,'[2]BESS 11'!$B:$B,$J294)</f>
        <v>2</v>
      </c>
      <c r="L294" s="2">
        <f>SUMIFS('[2]BESS 11'!AC:AC,'[2]BESS 11'!$B:$B,$J294)</f>
        <v>0</v>
      </c>
      <c r="M294" s="7">
        <f t="shared" si="58"/>
        <v>2</v>
      </c>
      <c r="N294" s="436">
        <v>46239</v>
      </c>
      <c r="O294" s="424">
        <f t="shared" si="59"/>
        <v>46239</v>
      </c>
      <c r="P294" s="5" t="s">
        <v>164</v>
      </c>
      <c r="Q294" s="96">
        <v>10</v>
      </c>
      <c r="R294" s="528"/>
      <c r="S294" s="531"/>
      <c r="T294" s="307"/>
      <c r="W294" s="60"/>
      <c r="Y294" s="371"/>
    </row>
    <row r="295" spans="2:25">
      <c r="B295" s="473"/>
      <c r="C295" s="476"/>
      <c r="D295" s="513"/>
      <c r="E295" s="445"/>
      <c r="F295" s="516"/>
      <c r="G295" s="456"/>
      <c r="H295" s="456"/>
      <c r="I295" s="6">
        <v>7.1699999999999982</v>
      </c>
      <c r="J295" s="8" t="s">
        <v>36</v>
      </c>
      <c r="K295" s="1">
        <f>SUMIFS('[2]BESS 11'!AB:AB,'[2]BESS 11'!$B:$B,$J295)</f>
        <v>1</v>
      </c>
      <c r="L295" s="2">
        <f>SUMIFS('[2]BESS 11'!AC:AC,'[2]BESS 11'!$B:$B,$J295)</f>
        <v>0</v>
      </c>
      <c r="M295" s="7">
        <f t="shared" si="58"/>
        <v>1</v>
      </c>
      <c r="N295" s="436" t="s">
        <v>446</v>
      </c>
      <c r="O295" s="424">
        <f t="shared" si="59"/>
        <v>46239</v>
      </c>
      <c r="P295" s="5" t="s">
        <v>164</v>
      </c>
      <c r="Q295" s="96">
        <v>10</v>
      </c>
      <c r="R295" s="528"/>
      <c r="S295" s="531"/>
      <c r="T295" s="307"/>
    </row>
    <row r="296" spans="2:25">
      <c r="B296" s="473"/>
      <c r="C296" s="476"/>
      <c r="D296" s="513"/>
      <c r="E296" s="445"/>
      <c r="F296" s="516"/>
      <c r="G296" s="456"/>
      <c r="H296" s="456"/>
      <c r="I296" s="6">
        <v>7.1799999999999979</v>
      </c>
      <c r="J296" s="8" t="s">
        <v>39</v>
      </c>
      <c r="K296" s="1">
        <f>SUMIFS('[2]BESS 11'!AB:AB,'[2]BESS 11'!$B:$B,$J296)</f>
        <v>1</v>
      </c>
      <c r="L296" s="2">
        <f>SUMIFS('[2]BESS 11'!AC:AC,'[2]BESS 11'!$B:$B,$J296)</f>
        <v>0</v>
      </c>
      <c r="M296" s="7">
        <f t="shared" si="58"/>
        <v>1</v>
      </c>
      <c r="N296" s="436" t="s">
        <v>451</v>
      </c>
      <c r="O296" s="424">
        <f t="shared" si="59"/>
        <v>46236</v>
      </c>
      <c r="P296" s="5" t="s">
        <v>164</v>
      </c>
      <c r="Q296" s="96">
        <v>10</v>
      </c>
      <c r="R296" s="528"/>
      <c r="S296" s="531"/>
      <c r="T296" s="307"/>
    </row>
    <row r="297" spans="2:25">
      <c r="B297" s="473"/>
      <c r="C297" s="476"/>
      <c r="D297" s="513"/>
      <c r="E297" s="445"/>
      <c r="F297" s="516"/>
      <c r="G297" s="456"/>
      <c r="H297" s="456"/>
      <c r="I297" s="6">
        <v>7.1899999999999977</v>
      </c>
      <c r="J297" s="8" t="s">
        <v>41</v>
      </c>
      <c r="K297" s="1">
        <f>SUMIFS('[2]BESS 11'!AB:AB,'[2]BESS 11'!$B:$B,$J297)</f>
        <v>6</v>
      </c>
      <c r="L297" s="2">
        <f>SUMIFS('[2]BESS 11'!AC:AC,'[2]BESS 11'!$B:$B,$J297)</f>
        <v>0</v>
      </c>
      <c r="M297" s="7">
        <f t="shared" si="58"/>
        <v>6</v>
      </c>
      <c r="N297" s="436" t="s">
        <v>317</v>
      </c>
      <c r="O297" s="424">
        <f t="shared" si="59"/>
        <v>46241</v>
      </c>
      <c r="P297" s="140" t="s">
        <v>125</v>
      </c>
      <c r="Q297" s="96">
        <v>20</v>
      </c>
      <c r="R297" s="529"/>
      <c r="S297" s="532"/>
      <c r="T297" s="307"/>
    </row>
    <row r="298" spans="2:25">
      <c r="B298" s="473"/>
      <c r="C298" s="476"/>
      <c r="D298" s="513"/>
      <c r="E298" s="445"/>
      <c r="F298" s="516"/>
      <c r="G298" s="456"/>
      <c r="H298" s="456"/>
      <c r="I298" s="6">
        <v>7.1999999999999975</v>
      </c>
      <c r="J298" s="8" t="s">
        <v>43</v>
      </c>
      <c r="K298" s="1">
        <f>SUMIFS('[2]BESS 11'!AB:AB,'[2]BESS 11'!$B:$B,$J298)</f>
        <v>6</v>
      </c>
      <c r="L298" s="2">
        <f>SUMIFS('[2]BESS 11'!AC:AC,'[2]BESS 11'!$B:$B,$J298)</f>
        <v>0</v>
      </c>
      <c r="M298" s="7">
        <f t="shared" si="58"/>
        <v>6</v>
      </c>
      <c r="N298" s="3" t="s">
        <v>318</v>
      </c>
      <c r="O298" s="424">
        <f t="shared" si="59"/>
        <v>46246</v>
      </c>
      <c r="P298" s="140" t="s">
        <v>125</v>
      </c>
      <c r="Q298" s="96">
        <v>0.66666666666666663</v>
      </c>
      <c r="R298" s="93">
        <v>0</v>
      </c>
      <c r="S298" s="94">
        <f t="shared" ref="S298:S310" si="60">(M298*R298)/Q298</f>
        <v>0</v>
      </c>
      <c r="T298" s="307"/>
    </row>
    <row r="299" spans="2:25" ht="25.5">
      <c r="B299" s="473"/>
      <c r="C299" s="476"/>
      <c r="D299" s="513"/>
      <c r="E299" s="445"/>
      <c r="F299" s="516"/>
      <c r="G299" s="456"/>
      <c r="H299" s="456"/>
      <c r="I299" s="6">
        <v>7.2099999999999973</v>
      </c>
      <c r="J299" s="8" t="s">
        <v>21</v>
      </c>
      <c r="K299" s="1">
        <f>SUMIFS('[2]BESS 11'!AB:AB,'[2]BESS 11'!$B:$B,$J299)</f>
        <v>48</v>
      </c>
      <c r="L299" s="2">
        <f>SUMIFS('[2]BESS 11'!AC:AC,'[2]BESS 11'!$B:$B,$J299)</f>
        <v>0</v>
      </c>
      <c r="M299" s="7">
        <f t="shared" si="58"/>
        <v>48</v>
      </c>
      <c r="N299" s="20" t="s">
        <v>448</v>
      </c>
      <c r="O299" s="424">
        <f t="shared" si="59"/>
        <v>46275</v>
      </c>
      <c r="P299" s="5" t="s">
        <v>449</v>
      </c>
      <c r="Q299" s="96">
        <v>10</v>
      </c>
      <c r="R299" s="93">
        <v>4</v>
      </c>
      <c r="S299" s="94">
        <f t="shared" si="60"/>
        <v>19.2</v>
      </c>
      <c r="T299" s="307"/>
    </row>
    <row r="300" spans="2:25">
      <c r="B300" s="473"/>
      <c r="C300" s="476"/>
      <c r="D300" s="513"/>
      <c r="E300" s="445"/>
      <c r="F300" s="516"/>
      <c r="G300" s="456"/>
      <c r="H300" s="456"/>
      <c r="I300" s="6">
        <v>7.2199999999999971</v>
      </c>
      <c r="J300" s="8" t="s">
        <v>47</v>
      </c>
      <c r="K300" s="1">
        <f>SUMIFS('[2]BESS 11'!AB:AB,'[2]BESS 11'!$B:$B,$J300)</f>
        <v>4445.09</v>
      </c>
      <c r="L300" s="2">
        <f>SUMIFS('[2]BESS 11'!AC:AC,'[2]BESS 11'!$B:$B,$J300)</f>
        <v>0</v>
      </c>
      <c r="M300" s="7">
        <f t="shared" si="58"/>
        <v>4445.09</v>
      </c>
      <c r="N300" s="3" t="s">
        <v>555</v>
      </c>
      <c r="O300" s="424">
        <f t="shared" si="59"/>
        <v>46248</v>
      </c>
      <c r="P300" s="5" t="s">
        <v>164</v>
      </c>
      <c r="Q300" s="96">
        <v>1500</v>
      </c>
      <c r="R300" s="93">
        <v>48</v>
      </c>
      <c r="S300" s="94">
        <f t="shared" si="60"/>
        <v>142.24288000000001</v>
      </c>
      <c r="T300" s="307"/>
    </row>
    <row r="301" spans="2:25">
      <c r="B301" s="473"/>
      <c r="C301" s="476"/>
      <c r="D301" s="513"/>
      <c r="E301" s="445"/>
      <c r="F301" s="516"/>
      <c r="G301" s="456"/>
      <c r="H301" s="456"/>
      <c r="I301" s="6">
        <v>7.2299999999999969</v>
      </c>
      <c r="J301" s="8" t="s">
        <v>48</v>
      </c>
      <c r="K301" s="1">
        <f>SUMIFS('[2]BESS 11'!AB:AB,'[2]BESS 11'!$B:$B,$J301)</f>
        <v>28</v>
      </c>
      <c r="L301" s="2">
        <f>SUMIFS('[2]BESS 11'!AC:AC,'[2]BESS 11'!$B:$B,$J301)</f>
        <v>0</v>
      </c>
      <c r="M301" s="7">
        <f t="shared" si="58"/>
        <v>28</v>
      </c>
      <c r="N301" s="3">
        <v>46260</v>
      </c>
      <c r="O301" s="424">
        <f t="shared" si="59"/>
        <v>46260</v>
      </c>
      <c r="P301" s="5" t="s">
        <v>164</v>
      </c>
      <c r="Q301" s="96">
        <v>8</v>
      </c>
      <c r="R301" s="93">
        <v>6</v>
      </c>
      <c r="S301" s="94">
        <f t="shared" si="60"/>
        <v>21</v>
      </c>
      <c r="T301" s="307"/>
    </row>
    <row r="302" spans="2:25">
      <c r="B302" s="473"/>
      <c r="C302" s="476"/>
      <c r="D302" s="513"/>
      <c r="E302" s="445"/>
      <c r="F302" s="516"/>
      <c r="G302" s="456"/>
      <c r="H302" s="456"/>
      <c r="I302" s="6">
        <f t="shared" ref="I302:I321" si="61">I301+0.01</f>
        <v>7.2399999999999967</v>
      </c>
      <c r="J302" s="8" t="s">
        <v>126</v>
      </c>
      <c r="K302" s="1">
        <f>SUMIFS('[2]BESS 11'!AB:AB,'[2]BESS 11'!$B:$B,$J302)</f>
        <v>14288</v>
      </c>
      <c r="L302" s="2">
        <f>SUMIFS('[2]BESS 11'!AC:AC,'[2]BESS 11'!$B:$B,$J302)</f>
        <v>0</v>
      </c>
      <c r="M302" s="7">
        <f t="shared" si="58"/>
        <v>14288</v>
      </c>
      <c r="N302" s="3">
        <v>46250</v>
      </c>
      <c r="O302" s="424">
        <f t="shared" si="59"/>
        <v>46250</v>
      </c>
      <c r="P302" s="5" t="s">
        <v>164</v>
      </c>
      <c r="Q302" s="96">
        <v>600</v>
      </c>
      <c r="R302" s="93">
        <v>10</v>
      </c>
      <c r="S302" s="94">
        <f t="shared" si="60"/>
        <v>238.13333333333333</v>
      </c>
      <c r="T302" s="307"/>
    </row>
    <row r="303" spans="2:25">
      <c r="B303" s="473"/>
      <c r="C303" s="476"/>
      <c r="D303" s="513"/>
      <c r="E303" s="445"/>
      <c r="F303" s="516"/>
      <c r="G303" s="456"/>
      <c r="H303" s="456"/>
      <c r="I303" s="6">
        <f t="shared" si="61"/>
        <v>7.2499999999999964</v>
      </c>
      <c r="J303" s="8" t="s">
        <v>127</v>
      </c>
      <c r="K303" s="1">
        <f>SUMIFS('[2]BESS 11'!AB:AB,'[2]BESS 11'!$B:$B,$J303)</f>
        <v>47399</v>
      </c>
      <c r="L303" s="2">
        <f>SUMIFS('[2]BESS 11'!AC:AC,'[2]BESS 11'!$B:$B,$J303)</f>
        <v>0</v>
      </c>
      <c r="M303" s="7">
        <f t="shared" si="58"/>
        <v>47399</v>
      </c>
      <c r="N303" s="3" t="s">
        <v>647</v>
      </c>
      <c r="O303" s="424">
        <f t="shared" si="59"/>
        <v>46250</v>
      </c>
      <c r="P303" s="5" t="s">
        <v>164</v>
      </c>
      <c r="Q303" s="96">
        <v>600</v>
      </c>
      <c r="R303" s="93">
        <v>10</v>
      </c>
      <c r="S303" s="94">
        <f t="shared" si="60"/>
        <v>789.98333333333335</v>
      </c>
      <c r="T303" s="307"/>
    </row>
    <row r="304" spans="2:25">
      <c r="B304" s="473"/>
      <c r="C304" s="476"/>
      <c r="D304" s="513"/>
      <c r="E304" s="445"/>
      <c r="F304" s="516"/>
      <c r="G304" s="456"/>
      <c r="H304" s="456"/>
      <c r="I304" s="6">
        <f t="shared" si="61"/>
        <v>7.2599999999999962</v>
      </c>
      <c r="J304" s="8" t="s">
        <v>128</v>
      </c>
      <c r="K304" s="1">
        <f>SUMIFS('[2]BESS 11'!AB:AB,'[2]BESS 11'!$B:$B,$J304)</f>
        <v>1536</v>
      </c>
      <c r="L304" s="2">
        <f>SUMIFS('[2]BESS 11'!AC:AC,'[2]BESS 11'!$B:$B,$J304)</f>
        <v>0</v>
      </c>
      <c r="M304" s="7">
        <f t="shared" ref="M304:M320" si="62">K304-L304</f>
        <v>1536</v>
      </c>
      <c r="N304" s="3" t="s">
        <v>674</v>
      </c>
      <c r="O304" s="424">
        <f t="shared" si="59"/>
        <v>46279</v>
      </c>
      <c r="P304" s="5" t="s">
        <v>164</v>
      </c>
      <c r="Q304" s="96">
        <v>30</v>
      </c>
      <c r="R304" s="93">
        <v>18</v>
      </c>
      <c r="S304" s="94">
        <f t="shared" si="60"/>
        <v>921.6</v>
      </c>
      <c r="T304" s="307"/>
    </row>
    <row r="305" spans="2:22">
      <c r="B305" s="473"/>
      <c r="C305" s="476"/>
      <c r="D305" s="513"/>
      <c r="E305" s="445"/>
      <c r="F305" s="516"/>
      <c r="G305" s="456"/>
      <c r="H305" s="456"/>
      <c r="I305" s="6">
        <f t="shared" si="61"/>
        <v>7.269999999999996</v>
      </c>
      <c r="J305" s="8" t="s">
        <v>129</v>
      </c>
      <c r="K305" s="1">
        <f>SUMIFS('[2]BESS 11'!AB:AB,'[2]BESS 11'!$B:$B,$J305)</f>
        <v>2304</v>
      </c>
      <c r="L305" s="2">
        <f>SUMIFS('[2]BESS 11'!AC:AC,'[2]BESS 11'!$B:$B,$J305)</f>
        <v>0</v>
      </c>
      <c r="M305" s="7">
        <f t="shared" si="62"/>
        <v>2304</v>
      </c>
      <c r="N305" s="3" t="s">
        <v>674</v>
      </c>
      <c r="O305" s="424">
        <f t="shared" si="59"/>
        <v>46279</v>
      </c>
      <c r="P305" s="5" t="s">
        <v>164</v>
      </c>
      <c r="Q305" s="96">
        <v>30</v>
      </c>
      <c r="R305" s="93">
        <v>18</v>
      </c>
      <c r="S305" s="94">
        <f t="shared" si="60"/>
        <v>1382.4</v>
      </c>
      <c r="T305" s="307"/>
    </row>
    <row r="306" spans="2:22">
      <c r="B306" s="473"/>
      <c r="C306" s="476"/>
      <c r="D306" s="513"/>
      <c r="E306" s="445"/>
      <c r="F306" s="516"/>
      <c r="G306" s="456"/>
      <c r="H306" s="456"/>
      <c r="I306" s="6">
        <f t="shared" si="61"/>
        <v>7.2799999999999958</v>
      </c>
      <c r="J306" s="8" t="s">
        <v>130</v>
      </c>
      <c r="K306" s="1">
        <f>SUMIFS('[2]BESS 11'!AB:AB,'[2]BESS 11'!$B:$B,$J306)</f>
        <v>8232</v>
      </c>
      <c r="L306" s="2">
        <f>SUMIFS('[2]BESS 11'!AC:AC,'[2]BESS 11'!$B:$B,$J306)</f>
        <v>0</v>
      </c>
      <c r="M306" s="7">
        <f t="shared" si="62"/>
        <v>8232</v>
      </c>
      <c r="N306" s="3">
        <v>46254</v>
      </c>
      <c r="O306" s="424">
        <f t="shared" si="59"/>
        <v>46254</v>
      </c>
      <c r="P306" s="5" t="s">
        <v>164</v>
      </c>
      <c r="Q306" s="96">
        <v>1000</v>
      </c>
      <c r="R306" s="93">
        <v>10</v>
      </c>
      <c r="S306" s="94">
        <f t="shared" si="60"/>
        <v>82.32</v>
      </c>
      <c r="T306" s="307"/>
    </row>
    <row r="307" spans="2:22">
      <c r="B307" s="473"/>
      <c r="C307" s="476"/>
      <c r="D307" s="513"/>
      <c r="E307" s="445"/>
      <c r="F307" s="516"/>
      <c r="G307" s="456"/>
      <c r="H307" s="456"/>
      <c r="I307" s="6">
        <f t="shared" si="61"/>
        <v>7.2899999999999956</v>
      </c>
      <c r="J307" s="8" t="s">
        <v>131</v>
      </c>
      <c r="K307" s="1">
        <f>SUMIFS('[2]BESS 11'!AB:AB,'[2]BESS 11'!$B:$B,$J307)</f>
        <v>14448</v>
      </c>
      <c r="L307" s="2">
        <f>SUMIFS('[2]BESS 11'!AC:AC,'[2]BESS 11'!$B:$B,$J307)</f>
        <v>0</v>
      </c>
      <c r="M307" s="7">
        <f t="shared" si="62"/>
        <v>14448</v>
      </c>
      <c r="N307" s="3">
        <v>46254</v>
      </c>
      <c r="O307" s="424">
        <f t="shared" si="59"/>
        <v>46254</v>
      </c>
      <c r="P307" s="5" t="s">
        <v>164</v>
      </c>
      <c r="Q307" s="96">
        <v>1000</v>
      </c>
      <c r="R307" s="93">
        <v>10</v>
      </c>
      <c r="S307" s="94">
        <f t="shared" si="60"/>
        <v>144.47999999999999</v>
      </c>
      <c r="T307" s="307"/>
    </row>
    <row r="308" spans="2:22">
      <c r="B308" s="473"/>
      <c r="C308" s="476"/>
      <c r="D308" s="513"/>
      <c r="E308" s="445"/>
      <c r="F308" s="516"/>
      <c r="G308" s="456"/>
      <c r="H308" s="456"/>
      <c r="I308" s="6">
        <f t="shared" si="61"/>
        <v>7.2999999999999954</v>
      </c>
      <c r="J308" s="8" t="s">
        <v>132</v>
      </c>
      <c r="K308" s="1">
        <f>SUMIFS('[2]BESS 11'!AB:AB,'[2]BESS 11'!$B:$B,$J308)</f>
        <v>4792</v>
      </c>
      <c r="L308" s="2">
        <f>SUMIFS('[2]BESS 11'!AC:AC,'[2]BESS 11'!$B:$B,$J308)</f>
        <v>0</v>
      </c>
      <c r="M308" s="7">
        <f t="shared" si="62"/>
        <v>4792</v>
      </c>
      <c r="N308" s="3">
        <v>46254</v>
      </c>
      <c r="O308" s="424">
        <f t="shared" si="59"/>
        <v>46254</v>
      </c>
      <c r="P308" s="5" t="s">
        <v>164</v>
      </c>
      <c r="Q308" s="96">
        <v>500</v>
      </c>
      <c r="R308" s="93">
        <v>10</v>
      </c>
      <c r="S308" s="94">
        <f t="shared" si="60"/>
        <v>95.84</v>
      </c>
      <c r="T308" s="307"/>
    </row>
    <row r="309" spans="2:22">
      <c r="B309" s="473"/>
      <c r="C309" s="476"/>
      <c r="D309" s="513"/>
      <c r="E309" s="445"/>
      <c r="F309" s="516"/>
      <c r="G309" s="456"/>
      <c r="H309" s="456"/>
      <c r="I309" s="6">
        <f t="shared" si="61"/>
        <v>7.3099999999999952</v>
      </c>
      <c r="J309" s="8" t="s">
        <v>133</v>
      </c>
      <c r="K309" s="1">
        <f>SUMIFS('[2]BESS 11'!AB:AB,'[2]BESS 11'!$B:$B,$J309)</f>
        <v>286</v>
      </c>
      <c r="L309" s="2">
        <f>SUMIFS('[2]BESS 11'!AC:AC,'[2]BESS 11'!$B:$B,$J309)</f>
        <v>0</v>
      </c>
      <c r="M309" s="7">
        <f t="shared" si="62"/>
        <v>286</v>
      </c>
      <c r="N309" s="3" t="s">
        <v>674</v>
      </c>
      <c r="O309" s="424">
        <f t="shared" si="59"/>
        <v>46279</v>
      </c>
      <c r="P309" s="5" t="s">
        <v>164</v>
      </c>
      <c r="Q309" s="96">
        <v>30</v>
      </c>
      <c r="R309" s="93">
        <v>6</v>
      </c>
      <c r="S309" s="94">
        <f t="shared" si="60"/>
        <v>57.2</v>
      </c>
      <c r="T309" s="307"/>
    </row>
    <row r="310" spans="2:22">
      <c r="B310" s="473"/>
      <c r="C310" s="476"/>
      <c r="D310" s="513"/>
      <c r="E310" s="445"/>
      <c r="F310" s="516"/>
      <c r="G310" s="456"/>
      <c r="H310" s="456"/>
      <c r="I310" s="6">
        <f t="shared" si="61"/>
        <v>7.319999999999995</v>
      </c>
      <c r="J310" s="8" t="s">
        <v>134</v>
      </c>
      <c r="K310" s="1">
        <f>SUMIFS('[2]BESS 11'!AB:AB,'[2]BESS 11'!$B:$B,$J310)</f>
        <v>536</v>
      </c>
      <c r="L310" s="2">
        <f>SUMIFS('[2]BESS 11'!AC:AC,'[2]BESS 11'!$B:$B,$J310)</f>
        <v>0</v>
      </c>
      <c r="M310" s="7">
        <f t="shared" si="62"/>
        <v>536</v>
      </c>
      <c r="N310" s="3" t="s">
        <v>674</v>
      </c>
      <c r="O310" s="424">
        <f t="shared" si="59"/>
        <v>46279</v>
      </c>
      <c r="P310" s="5" t="s">
        <v>443</v>
      </c>
      <c r="Q310" s="96">
        <v>30</v>
      </c>
      <c r="R310" s="93">
        <v>4</v>
      </c>
      <c r="S310" s="94">
        <f t="shared" si="60"/>
        <v>71.466666666666669</v>
      </c>
      <c r="T310" s="307"/>
    </row>
    <row r="311" spans="2:22" ht="25.5">
      <c r="B311" s="473"/>
      <c r="C311" s="476"/>
      <c r="D311" s="513"/>
      <c r="E311" s="445"/>
      <c r="F311" s="516"/>
      <c r="G311" s="456"/>
      <c r="H311" s="456"/>
      <c r="I311" s="6">
        <f t="shared" si="61"/>
        <v>7.3299999999999947</v>
      </c>
      <c r="J311" s="8" t="s">
        <v>136</v>
      </c>
      <c r="K311" s="1">
        <f>SUMIFS('[2]BESS 11'!AB:AB,'[2]BESS 11'!$B:$B,$J311)</f>
        <v>384</v>
      </c>
      <c r="L311" s="2">
        <f>SUMIFS('[2]BESS 11'!AC:AC,'[2]BESS 11'!$B:$B,$J311)</f>
        <v>0</v>
      </c>
      <c r="M311" s="7">
        <f t="shared" si="62"/>
        <v>384</v>
      </c>
      <c r="N311" s="3" t="s">
        <v>674</v>
      </c>
      <c r="O311" s="424">
        <f t="shared" si="59"/>
        <v>46279</v>
      </c>
      <c r="P311" s="5" t="s">
        <v>443</v>
      </c>
      <c r="Q311" s="96" t="s">
        <v>89</v>
      </c>
      <c r="R311" s="93" t="s">
        <v>89</v>
      </c>
      <c r="S311" s="94" t="s">
        <v>89</v>
      </c>
      <c r="T311" s="307"/>
      <c r="U311">
        <f ca="1">O311-$T$1</f>
        <v>46</v>
      </c>
      <c r="V311" s="97">
        <f>SUM(S290:S321)</f>
        <v>4346.5595466666673</v>
      </c>
    </row>
    <row r="312" spans="2:22">
      <c r="B312" s="473"/>
      <c r="C312" s="476"/>
      <c r="D312" s="513"/>
      <c r="E312" s="445"/>
      <c r="F312" s="516"/>
      <c r="G312" s="456"/>
      <c r="H312" s="456"/>
      <c r="I312" s="6">
        <f t="shared" si="61"/>
        <v>7.3399999999999945</v>
      </c>
      <c r="J312" s="8" t="s">
        <v>137</v>
      </c>
      <c r="K312" s="1">
        <f>SUMIFS('[2]BESS 11'!AB:AB,'[2]BESS 11'!$B:$B,$J312)</f>
        <v>6</v>
      </c>
      <c r="L312" s="2">
        <f>SUMIFS('[2]BESS 11'!AC:AC,'[2]BESS 11'!$B:$B,$J312)</f>
        <v>0</v>
      </c>
      <c r="M312" s="7">
        <f t="shared" si="62"/>
        <v>6</v>
      </c>
      <c r="N312" s="3">
        <v>46249</v>
      </c>
      <c r="O312" s="424">
        <f t="shared" si="59"/>
        <v>46249</v>
      </c>
      <c r="P312" s="5" t="s">
        <v>138</v>
      </c>
      <c r="Q312" s="533">
        <v>2</v>
      </c>
      <c r="R312" s="527">
        <v>8</v>
      </c>
      <c r="S312" s="94" t="s">
        <v>89</v>
      </c>
      <c r="T312" s="307"/>
    </row>
    <row r="313" spans="2:22">
      <c r="B313" s="473"/>
      <c r="C313" s="476"/>
      <c r="D313" s="513"/>
      <c r="E313" s="445"/>
      <c r="F313" s="516"/>
      <c r="G313" s="456"/>
      <c r="H313" s="456"/>
      <c r="I313" s="6">
        <f t="shared" si="61"/>
        <v>7.3499999999999943</v>
      </c>
      <c r="J313" s="8" t="s">
        <v>139</v>
      </c>
      <c r="K313" s="1">
        <f>SUMIFS('[2]BESS 11'!AB:AB,'[2]BESS 11'!$B:$B,$J313)</f>
        <v>6</v>
      </c>
      <c r="L313" s="2">
        <f>SUMIFS('[2]BESS 11'!AC:AC,'[2]BESS 11'!$B:$B,$J313)</f>
        <v>0</v>
      </c>
      <c r="M313" s="7">
        <f t="shared" si="62"/>
        <v>6</v>
      </c>
      <c r="N313" s="3">
        <v>46253</v>
      </c>
      <c r="O313" s="424">
        <f t="shared" si="59"/>
        <v>46253</v>
      </c>
      <c r="P313" s="5" t="s">
        <v>164</v>
      </c>
      <c r="Q313" s="534"/>
      <c r="R313" s="529"/>
      <c r="S313" s="94">
        <v>12</v>
      </c>
      <c r="T313" s="307"/>
    </row>
    <row r="314" spans="2:22" ht="25.5">
      <c r="B314" s="473"/>
      <c r="C314" s="476"/>
      <c r="D314" s="513"/>
      <c r="E314" s="445"/>
      <c r="F314" s="516"/>
      <c r="G314" s="456"/>
      <c r="H314" s="456"/>
      <c r="I314" s="6">
        <f t="shared" si="61"/>
        <v>7.3599999999999941</v>
      </c>
      <c r="J314" s="8" t="s">
        <v>140</v>
      </c>
      <c r="K314" s="1">
        <f>SUMIFS('[2]BESS 11'!AB:AB,'[2]BESS 11'!$B:$B,$J314)</f>
        <v>6</v>
      </c>
      <c r="L314" s="2">
        <f>SUMIFS('[2]BESS 11'!AC:AC,'[2]BESS 11'!$B:$B,$J314)</f>
        <v>0</v>
      </c>
      <c r="M314" s="7">
        <f t="shared" si="62"/>
        <v>6</v>
      </c>
      <c r="N314" s="3" t="s">
        <v>442</v>
      </c>
      <c r="O314" s="424">
        <f t="shared" si="59"/>
        <v>46286</v>
      </c>
      <c r="P314" s="5" t="s">
        <v>164</v>
      </c>
      <c r="Q314" s="96">
        <v>2</v>
      </c>
      <c r="R314" s="93">
        <v>4</v>
      </c>
      <c r="S314" s="94">
        <f t="shared" ref="S314:S321" si="63">(M314*R314)/Q314</f>
        <v>12</v>
      </c>
      <c r="T314" s="313"/>
      <c r="U314">
        <f ca="1">O314-$T$1</f>
        <v>53</v>
      </c>
      <c r="V314" s="98">
        <f>SUM(S290:S321)</f>
        <v>4346.5595466666673</v>
      </c>
    </row>
    <row r="315" spans="2:22" ht="25.5">
      <c r="B315" s="473"/>
      <c r="C315" s="476"/>
      <c r="D315" s="513"/>
      <c r="E315" s="445"/>
      <c r="F315" s="516"/>
      <c r="G315" s="456"/>
      <c r="H315" s="456"/>
      <c r="I315" s="6">
        <f t="shared" si="61"/>
        <v>7.3699999999999939</v>
      </c>
      <c r="J315" s="8" t="s">
        <v>141</v>
      </c>
      <c r="K315" s="1">
        <f>SUMIFS('[2]BESS 11'!AB:AB,'[2]BESS 11'!$B:$B,$J315)</f>
        <v>12</v>
      </c>
      <c r="L315" s="2">
        <f>SUMIFS('[2]BESS 11'!AC:AC,'[2]BESS 11'!$B:$B,$J315)</f>
        <v>0</v>
      </c>
      <c r="M315" s="7">
        <f t="shared" si="62"/>
        <v>12</v>
      </c>
      <c r="N315" s="3" t="s">
        <v>450</v>
      </c>
      <c r="O315" s="424">
        <f t="shared" si="59"/>
        <v>46271</v>
      </c>
      <c r="P315" s="5" t="s">
        <v>164</v>
      </c>
      <c r="Q315" s="96">
        <v>0.5</v>
      </c>
      <c r="R315" s="93">
        <v>4</v>
      </c>
      <c r="S315" s="94">
        <f t="shared" si="63"/>
        <v>96</v>
      </c>
      <c r="T315" s="567"/>
    </row>
    <row r="316" spans="2:22">
      <c r="B316" s="473"/>
      <c r="C316" s="476"/>
      <c r="D316" s="513"/>
      <c r="E316" s="445"/>
      <c r="F316" s="516"/>
      <c r="G316" s="456"/>
      <c r="H316" s="456"/>
      <c r="I316" s="6">
        <f t="shared" si="61"/>
        <v>7.3799999999999937</v>
      </c>
      <c r="J316" s="8" t="s">
        <v>142</v>
      </c>
      <c r="K316" s="1">
        <f>SUMIFS('[2]BESS 11'!AB:AB,'[2]BESS 11'!$B:$B,$J316)</f>
        <v>16</v>
      </c>
      <c r="L316" s="2">
        <f>SUMIFS('[2]BESS 11'!AC:AC,'[2]BESS 11'!$B:$B,$J316)</f>
        <v>0</v>
      </c>
      <c r="M316" s="7">
        <f t="shared" si="62"/>
        <v>16</v>
      </c>
      <c r="N316" s="3" t="s">
        <v>673</v>
      </c>
      <c r="O316" s="424">
        <f t="shared" si="59"/>
        <v>46284</v>
      </c>
      <c r="P316" s="5" t="s">
        <v>164</v>
      </c>
      <c r="Q316" s="96">
        <v>6</v>
      </c>
      <c r="R316" s="93">
        <v>4</v>
      </c>
      <c r="S316" s="94">
        <f t="shared" si="63"/>
        <v>10.666666666666666</v>
      </c>
      <c r="T316" s="567"/>
    </row>
    <row r="317" spans="2:22">
      <c r="B317" s="473"/>
      <c r="C317" s="476"/>
      <c r="D317" s="513"/>
      <c r="E317" s="445"/>
      <c r="F317" s="516"/>
      <c r="G317" s="456"/>
      <c r="H317" s="456"/>
      <c r="I317" s="6">
        <f t="shared" si="61"/>
        <v>7.3899999999999935</v>
      </c>
      <c r="J317" s="8" t="s">
        <v>143</v>
      </c>
      <c r="K317" s="1">
        <f>SUMIFS('[2]BESS 11'!AB:AB,'[2]BESS 11'!$B:$B,$J317)</f>
        <v>14</v>
      </c>
      <c r="L317" s="2">
        <f>SUMIFS('[2]BESS 11'!AC:AC,'[2]BESS 11'!$B:$B,$J317)</f>
        <v>0</v>
      </c>
      <c r="M317" s="7">
        <f t="shared" si="62"/>
        <v>14</v>
      </c>
      <c r="N317" s="3" t="s">
        <v>450</v>
      </c>
      <c r="O317" s="424">
        <f t="shared" si="59"/>
        <v>46271</v>
      </c>
      <c r="P317" s="5" t="s">
        <v>164</v>
      </c>
      <c r="Q317" s="96">
        <v>6</v>
      </c>
      <c r="R317" s="93">
        <v>5</v>
      </c>
      <c r="S317" s="94">
        <f t="shared" si="63"/>
        <v>11.666666666666666</v>
      </c>
      <c r="T317" s="567"/>
    </row>
    <row r="318" spans="2:22">
      <c r="B318" s="473"/>
      <c r="C318" s="476"/>
      <c r="D318" s="513"/>
      <c r="E318" s="445"/>
      <c r="F318" s="516"/>
      <c r="G318" s="456"/>
      <c r="H318" s="456"/>
      <c r="I318" s="6">
        <f t="shared" si="61"/>
        <v>7.3999999999999932</v>
      </c>
      <c r="J318" s="8" t="s">
        <v>144</v>
      </c>
      <c r="K318" s="1">
        <f>SUMIFS('[2]BESS 11'!AB:AB,'[2]BESS 11'!$B:$B,$J318)</f>
        <v>1</v>
      </c>
      <c r="L318" s="2">
        <f>SUMIFS('[2]BESS 11'!AC:AC,'[2]BESS 11'!$B:$B,$J318)</f>
        <v>0</v>
      </c>
      <c r="M318" s="7">
        <f t="shared" si="62"/>
        <v>1</v>
      </c>
      <c r="N318" s="3" t="s">
        <v>450</v>
      </c>
      <c r="O318" s="424">
        <f t="shared" si="59"/>
        <v>46271</v>
      </c>
      <c r="P318" s="5" t="s">
        <v>164</v>
      </c>
      <c r="Q318" s="96">
        <v>1</v>
      </c>
      <c r="R318" s="93">
        <v>5</v>
      </c>
      <c r="S318" s="94">
        <f t="shared" si="63"/>
        <v>5</v>
      </c>
      <c r="T318" s="307"/>
    </row>
    <row r="319" spans="2:22">
      <c r="B319" s="473"/>
      <c r="C319" s="476"/>
      <c r="D319" s="513"/>
      <c r="E319" s="445"/>
      <c r="F319" s="516"/>
      <c r="G319" s="456"/>
      <c r="H319" s="456"/>
      <c r="I319" s="6">
        <f t="shared" si="61"/>
        <v>7.409999999999993</v>
      </c>
      <c r="J319" s="8" t="s">
        <v>145</v>
      </c>
      <c r="K319" s="1">
        <f>SUMIFS('[2]BESS 11'!AB:AB,'[2]BESS 11'!$B:$B,$J319)</f>
        <v>6</v>
      </c>
      <c r="L319" s="2">
        <f>SUMIFS('[2]BESS 11'!AC:AC,'[2]BESS 11'!$B:$B,$J319)</f>
        <v>0</v>
      </c>
      <c r="M319" s="7">
        <f t="shared" si="62"/>
        <v>6</v>
      </c>
      <c r="N319" s="3" t="s">
        <v>450</v>
      </c>
      <c r="O319" s="424">
        <f t="shared" si="59"/>
        <v>46271</v>
      </c>
      <c r="P319" s="5" t="s">
        <v>164</v>
      </c>
      <c r="Q319" s="96">
        <v>3</v>
      </c>
      <c r="R319" s="93">
        <v>5</v>
      </c>
      <c r="S319" s="94">
        <f t="shared" si="63"/>
        <v>10</v>
      </c>
      <c r="T319" s="307"/>
    </row>
    <row r="320" spans="2:22">
      <c r="B320" s="473"/>
      <c r="C320" s="476"/>
      <c r="D320" s="513"/>
      <c r="E320" s="445"/>
      <c r="F320" s="516"/>
      <c r="G320" s="456"/>
      <c r="H320" s="456"/>
      <c r="I320" s="6">
        <f t="shared" si="61"/>
        <v>7.4199999999999928</v>
      </c>
      <c r="J320" s="8" t="s">
        <v>54</v>
      </c>
      <c r="K320" s="1">
        <f>SUMIFS('[2]BESS 11'!AB:AB,'[2]BESS 11'!$B:$B,$J320)</f>
        <v>4284</v>
      </c>
      <c r="L320" s="2">
        <f>SUMIFS('[2]BESS 11'!AC:AC,'[2]BESS 11'!$B:$B,$J320)</f>
        <v>0</v>
      </c>
      <c r="M320" s="7">
        <f t="shared" si="62"/>
        <v>4284</v>
      </c>
      <c r="N320" s="3" t="s">
        <v>675</v>
      </c>
      <c r="O320" s="424">
        <f t="shared" si="59"/>
        <v>46275</v>
      </c>
      <c r="P320" s="5" t="s">
        <v>164</v>
      </c>
      <c r="Q320" s="96">
        <v>150</v>
      </c>
      <c r="R320" s="93">
        <v>6</v>
      </c>
      <c r="S320" s="94">
        <f t="shared" si="63"/>
        <v>171.36</v>
      </c>
      <c r="T320" s="307"/>
    </row>
    <row r="321" spans="2:25" ht="14.25" thickBot="1">
      <c r="B321" s="474"/>
      <c r="C321" s="477"/>
      <c r="D321" s="514"/>
      <c r="E321" s="479"/>
      <c r="F321" s="517"/>
      <c r="G321" s="515"/>
      <c r="H321" s="515"/>
      <c r="I321" s="353">
        <f t="shared" si="61"/>
        <v>7.4299999999999926</v>
      </c>
      <c r="J321" s="23" t="s">
        <v>55</v>
      </c>
      <c r="K321" s="24">
        <f>SUMIFS('[2]BESS 11'!AB:AB,'[2]BESS 11'!$B:$B,$J321)</f>
        <v>10</v>
      </c>
      <c r="L321" s="25">
        <f>SUMIFS('[2]BESS 11'!AC:AC,'[2]BESS 11'!$B:$B,$J321)</f>
        <v>0</v>
      </c>
      <c r="M321" s="26">
        <f t="shared" si="58"/>
        <v>10</v>
      </c>
      <c r="N321" s="3" t="s">
        <v>665</v>
      </c>
      <c r="O321" s="426">
        <f t="shared" si="59"/>
        <v>46275</v>
      </c>
      <c r="P321" s="28" t="s">
        <v>164</v>
      </c>
      <c r="Q321" s="265">
        <v>5</v>
      </c>
      <c r="R321" s="266">
        <v>6</v>
      </c>
      <c r="S321" s="267">
        <f t="shared" si="63"/>
        <v>12</v>
      </c>
      <c r="T321" s="326"/>
    </row>
    <row r="322" spans="2:25">
      <c r="B322" s="472" t="s">
        <v>17</v>
      </c>
      <c r="C322" s="475">
        <v>8</v>
      </c>
      <c r="D322" s="512" t="s">
        <v>759</v>
      </c>
      <c r="E322" s="524" t="s">
        <v>120</v>
      </c>
      <c r="F322" s="512" t="s">
        <v>660</v>
      </c>
      <c r="G322" s="512" t="s">
        <v>661</v>
      </c>
      <c r="H322" s="512" t="s">
        <v>662</v>
      </c>
      <c r="I322" s="54"/>
      <c r="J322" s="48"/>
      <c r="K322" s="49"/>
      <c r="L322" s="45" t="s">
        <v>121</v>
      </c>
      <c r="M322" s="48"/>
      <c r="N322" s="49"/>
      <c r="O322" s="424"/>
      <c r="P322" s="377"/>
      <c r="Q322" s="268"/>
      <c r="R322" s="269"/>
      <c r="S322" s="270"/>
      <c r="T322" s="368"/>
      <c r="W322" s="97"/>
    </row>
    <row r="323" spans="2:25" ht="25.5">
      <c r="B323" s="473"/>
      <c r="C323" s="476"/>
      <c r="D323" s="513"/>
      <c r="E323" s="445"/>
      <c r="F323" s="516"/>
      <c r="G323" s="456"/>
      <c r="H323" s="456"/>
      <c r="I323" s="56">
        <v>8.1</v>
      </c>
      <c r="J323" s="57" t="s">
        <v>19</v>
      </c>
      <c r="K323" s="2">
        <f>SUMIFS('[2]BESS 11'!AF:AF,'[2]BESS 11'!$B:$B,$J323)</f>
        <v>48</v>
      </c>
      <c r="L323" s="2">
        <f>SUMIFS('[2]BESS 11'!AG:AG,'[2]BESS 11'!$B:$B,$J323)</f>
        <v>48</v>
      </c>
      <c r="M323" s="2">
        <f t="shared" ref="M323:M378" si="64">K323-L323</f>
        <v>0</v>
      </c>
      <c r="N323" s="63" t="s">
        <v>122</v>
      </c>
      <c r="O323" s="424" t="str">
        <f t="shared" ref="O323:O333" si="65">IF(LEN(N323)=5,N323,(IF(N323="Completed"," ",DATEVALUE(RIGHT(N323,6)))))</f>
        <v xml:space="preserve"> </v>
      </c>
      <c r="P323" s="58" t="s">
        <v>20</v>
      </c>
      <c r="Q323" s="96">
        <v>1</v>
      </c>
      <c r="R323" s="93">
        <v>2</v>
      </c>
      <c r="S323" s="94">
        <f t="shared" ref="S323:S332" si="66">(M323*R323)/Q323</f>
        <v>0</v>
      </c>
      <c r="T323" s="307"/>
    </row>
    <row r="324" spans="2:25">
      <c r="B324" s="473"/>
      <c r="C324" s="476"/>
      <c r="D324" s="513"/>
      <c r="E324" s="445"/>
      <c r="F324" s="516"/>
      <c r="G324" s="456"/>
      <c r="H324" s="456"/>
      <c r="I324" s="56">
        <v>8.1999999999999993</v>
      </c>
      <c r="J324" s="57" t="s">
        <v>23</v>
      </c>
      <c r="K324" s="2">
        <f>SUMIFS('[2]BESS 11'!AF:AF,'[2]BESS 11'!$B:$B,$J324)</f>
        <v>6</v>
      </c>
      <c r="L324" s="2">
        <f>SUMIFS('[2]BESS 11'!AG:AG,'[2]BESS 11'!$B:$B,$J324)</f>
        <v>6</v>
      </c>
      <c r="M324" s="2">
        <f t="shared" si="64"/>
        <v>0</v>
      </c>
      <c r="N324" s="63" t="s">
        <v>122</v>
      </c>
      <c r="O324" s="424" t="str">
        <f t="shared" si="65"/>
        <v xml:space="preserve"> </v>
      </c>
      <c r="P324" s="58" t="s">
        <v>20</v>
      </c>
      <c r="Q324" s="96">
        <v>1</v>
      </c>
      <c r="R324" s="93">
        <v>16</v>
      </c>
      <c r="S324" s="94">
        <f t="shared" si="66"/>
        <v>0</v>
      </c>
      <c r="T324" s="307"/>
    </row>
    <row r="325" spans="2:25">
      <c r="B325" s="473"/>
      <c r="C325" s="476"/>
      <c r="D325" s="513"/>
      <c r="E325" s="445"/>
      <c r="F325" s="516"/>
      <c r="G325" s="456"/>
      <c r="H325" s="456"/>
      <c r="I325" s="56">
        <v>8.2999999999999989</v>
      </c>
      <c r="J325" s="57" t="s">
        <v>26</v>
      </c>
      <c r="K325" s="2">
        <f>SUMIFS('[2]BESS 11'!AF:AF,'[2]BESS 11'!$B:$B,$J325)</f>
        <v>6</v>
      </c>
      <c r="L325" s="2">
        <f>SUMIFS('[2]BESS 11'!AG:AG,'[2]BESS 11'!$B:$B,$J325)</f>
        <v>6</v>
      </c>
      <c r="M325" s="2">
        <f t="shared" si="64"/>
        <v>0</v>
      </c>
      <c r="N325" s="362" t="s">
        <v>122</v>
      </c>
      <c r="O325" s="424" t="str">
        <f t="shared" si="65"/>
        <v xml:space="preserve"> </v>
      </c>
      <c r="P325" s="58" t="s">
        <v>20</v>
      </c>
      <c r="Q325" s="96">
        <v>1</v>
      </c>
      <c r="R325" s="93">
        <v>39</v>
      </c>
      <c r="S325" s="94">
        <f t="shared" si="66"/>
        <v>0</v>
      </c>
      <c r="T325" s="307"/>
      <c r="W325" s="68"/>
    </row>
    <row r="326" spans="2:25">
      <c r="B326" s="473"/>
      <c r="C326" s="476"/>
      <c r="D326" s="513"/>
      <c r="E326" s="445"/>
      <c r="F326" s="516"/>
      <c r="G326" s="456"/>
      <c r="H326" s="456"/>
      <c r="I326" s="56">
        <v>8.3999999999999986</v>
      </c>
      <c r="J326" s="57" t="s">
        <v>32</v>
      </c>
      <c r="K326" s="2">
        <f>SUMIFS('[2]BESS 11'!AF:AF,'[2]BESS 11'!$B:$B,$J326)</f>
        <v>1</v>
      </c>
      <c r="L326" s="2">
        <f>SUMIFS('[2]BESS 11'!AG:AG,'[2]BESS 11'!$B:$B,$J326)</f>
        <v>1</v>
      </c>
      <c r="M326" s="2">
        <f t="shared" si="64"/>
        <v>0</v>
      </c>
      <c r="N326" s="362" t="s">
        <v>122</v>
      </c>
      <c r="O326" s="424" t="str">
        <f t="shared" si="65"/>
        <v xml:space="preserve"> </v>
      </c>
      <c r="P326" s="58" t="s">
        <v>20</v>
      </c>
      <c r="Q326" s="96">
        <v>1</v>
      </c>
      <c r="R326" s="93">
        <v>37</v>
      </c>
      <c r="S326" s="94">
        <f t="shared" si="66"/>
        <v>0</v>
      </c>
      <c r="T326" s="307"/>
      <c r="W326" s="68"/>
    </row>
    <row r="327" spans="2:25">
      <c r="B327" s="473"/>
      <c r="C327" s="476"/>
      <c r="D327" s="513"/>
      <c r="E327" s="445"/>
      <c r="F327" s="516"/>
      <c r="G327" s="456"/>
      <c r="H327" s="456"/>
      <c r="I327" s="56">
        <v>8.4999999999999982</v>
      </c>
      <c r="J327" s="57" t="s">
        <v>35</v>
      </c>
      <c r="K327" s="2">
        <f>SUMIFS('[2]BESS 11'!AF:AF,'[2]BESS 11'!$B:$B,$J327)</f>
        <v>1</v>
      </c>
      <c r="L327" s="2">
        <f>SUMIFS('[2]BESS 11'!AG:AG,'[2]BESS 11'!$B:$B,$J327)</f>
        <v>1</v>
      </c>
      <c r="M327" s="2">
        <f t="shared" si="64"/>
        <v>0</v>
      </c>
      <c r="N327" s="63" t="s">
        <v>122</v>
      </c>
      <c r="O327" s="424" t="str">
        <f t="shared" si="65"/>
        <v xml:space="preserve"> </v>
      </c>
      <c r="P327" s="58" t="s">
        <v>20</v>
      </c>
      <c r="Q327" s="96">
        <v>1</v>
      </c>
      <c r="R327" s="93">
        <v>34</v>
      </c>
      <c r="S327" s="94">
        <f t="shared" si="66"/>
        <v>0</v>
      </c>
      <c r="T327" s="307"/>
      <c r="W327" s="68"/>
    </row>
    <row r="328" spans="2:25">
      <c r="B328" s="473"/>
      <c r="C328" s="476"/>
      <c r="D328" s="513"/>
      <c r="E328" s="445"/>
      <c r="F328" s="516"/>
      <c r="G328" s="456"/>
      <c r="H328" s="456"/>
      <c r="I328" s="56">
        <v>8.5999999999999979</v>
      </c>
      <c r="J328" s="57" t="s">
        <v>38</v>
      </c>
      <c r="K328" s="2">
        <f>SUMIFS('[2]BESS 11'!AF:AF,'[2]BESS 11'!$B:$B,$J328)</f>
        <v>1</v>
      </c>
      <c r="L328" s="2">
        <f>SUMIFS('[2]BESS 11'!AG:AG,'[2]BESS 11'!$B:$B,$J328)</f>
        <v>1</v>
      </c>
      <c r="M328" s="2">
        <f t="shared" si="64"/>
        <v>0</v>
      </c>
      <c r="N328" s="63" t="s">
        <v>122</v>
      </c>
      <c r="O328" s="424" t="str">
        <f t="shared" si="65"/>
        <v xml:space="preserve"> </v>
      </c>
      <c r="P328" s="58" t="s">
        <v>20</v>
      </c>
      <c r="Q328" s="96">
        <v>1</v>
      </c>
      <c r="R328" s="93">
        <v>54</v>
      </c>
      <c r="S328" s="94">
        <f t="shared" si="66"/>
        <v>0</v>
      </c>
      <c r="T328" s="307"/>
      <c r="W328" s="68"/>
    </row>
    <row r="329" spans="2:25">
      <c r="B329" s="473"/>
      <c r="C329" s="476"/>
      <c r="D329" s="513"/>
      <c r="E329" s="445"/>
      <c r="F329" s="516"/>
      <c r="G329" s="456"/>
      <c r="H329" s="456"/>
      <c r="I329" s="56">
        <v>8.6999999999999975</v>
      </c>
      <c r="J329" s="57" t="s">
        <v>44</v>
      </c>
      <c r="K329" s="2">
        <f>SUMIFS('[2]BESS 11'!AF:AF,'[2]BESS 11'!$B:$B,$J329)</f>
        <v>3</v>
      </c>
      <c r="L329" s="2">
        <f>SUMIFS('[2]BESS 11'!AG:AG,'[2]BESS 11'!$B:$B,$J329)</f>
        <v>3</v>
      </c>
      <c r="M329" s="2">
        <f t="shared" si="64"/>
        <v>0</v>
      </c>
      <c r="N329" s="63" t="s">
        <v>122</v>
      </c>
      <c r="O329" s="424" t="str">
        <f t="shared" si="65"/>
        <v xml:space="preserve"> </v>
      </c>
      <c r="P329" s="58" t="s">
        <v>45</v>
      </c>
      <c r="Q329" s="96">
        <v>3</v>
      </c>
      <c r="R329" s="93">
        <v>5</v>
      </c>
      <c r="S329" s="94">
        <f t="shared" si="66"/>
        <v>0</v>
      </c>
      <c r="T329" s="307"/>
      <c r="W329" s="68"/>
    </row>
    <row r="330" spans="2:25">
      <c r="B330" s="473"/>
      <c r="C330" s="476"/>
      <c r="D330" s="513"/>
      <c r="E330" s="445"/>
      <c r="F330" s="516"/>
      <c r="G330" s="456"/>
      <c r="H330" s="456"/>
      <c r="I330" s="56">
        <v>8.7999999999999972</v>
      </c>
      <c r="J330" s="57" t="s">
        <v>40</v>
      </c>
      <c r="K330" s="2">
        <f>SUMIFS('[2]BESS 11'!AF:AF,'[2]BESS 11'!$B:$B,$J330)</f>
        <v>6</v>
      </c>
      <c r="L330" s="2">
        <f>SUMIFS('[2]BESS 11'!AG:AG,'[2]BESS 11'!$B:$B,$J330)</f>
        <v>6</v>
      </c>
      <c r="M330" s="2">
        <f t="shared" si="64"/>
        <v>0</v>
      </c>
      <c r="N330" s="63" t="s">
        <v>122</v>
      </c>
      <c r="O330" s="424" t="str">
        <f t="shared" si="65"/>
        <v xml:space="preserve"> </v>
      </c>
      <c r="P330" s="58" t="s">
        <v>20</v>
      </c>
      <c r="Q330" s="96">
        <v>1</v>
      </c>
      <c r="R330" s="93">
        <v>5</v>
      </c>
      <c r="S330" s="94">
        <f t="shared" si="66"/>
        <v>0</v>
      </c>
      <c r="T330" s="307"/>
      <c r="W330" s="68"/>
    </row>
    <row r="331" spans="2:25">
      <c r="B331" s="473"/>
      <c r="C331" s="476"/>
      <c r="D331" s="513"/>
      <c r="E331" s="445"/>
      <c r="F331" s="516"/>
      <c r="G331" s="456"/>
      <c r="H331" s="456"/>
      <c r="I331" s="4">
        <v>8.8999999999999968</v>
      </c>
      <c r="J331" s="8" t="s">
        <v>30</v>
      </c>
      <c r="K331" s="1">
        <f>SUMIFS('[2]BESS 11'!AF:AF,'[2]BESS 11'!$B:$B,$J331)</f>
        <v>6</v>
      </c>
      <c r="L331" s="2">
        <f>SUMIFS('[2]BESS 11'!AG:AG,'[2]BESS 11'!$B:$B,$J331)</f>
        <v>0</v>
      </c>
      <c r="M331" s="7">
        <f t="shared" si="64"/>
        <v>6</v>
      </c>
      <c r="N331" s="436" t="s">
        <v>289</v>
      </c>
      <c r="O331" s="424">
        <f t="shared" si="65"/>
        <v>46234</v>
      </c>
      <c r="P331" s="5" t="s">
        <v>31</v>
      </c>
      <c r="Q331" s="96">
        <v>1</v>
      </c>
      <c r="R331" s="93">
        <v>27</v>
      </c>
      <c r="S331" s="94">
        <f t="shared" si="66"/>
        <v>162</v>
      </c>
      <c r="T331" s="307"/>
      <c r="W331" s="68"/>
    </row>
    <row r="332" spans="2:25">
      <c r="B332" s="473"/>
      <c r="C332" s="476"/>
      <c r="D332" s="513"/>
      <c r="E332" s="445"/>
      <c r="F332" s="516"/>
      <c r="G332" s="456"/>
      <c r="H332" s="456"/>
      <c r="I332" s="6">
        <v>8.1</v>
      </c>
      <c r="J332" s="8" t="s">
        <v>34</v>
      </c>
      <c r="K332" s="1">
        <f>SUMIFS('[2]BESS 11'!AF:AF,'[2]BESS 11'!$B:$B,$J332)</f>
        <v>1</v>
      </c>
      <c r="L332" s="2">
        <f>SUMIFS('[2]BESS 11'!AG:AG,'[2]BESS 11'!$B:$B,$J332)</f>
        <v>0</v>
      </c>
      <c r="M332" s="7">
        <f t="shared" si="64"/>
        <v>1</v>
      </c>
      <c r="N332" s="436" t="s">
        <v>288</v>
      </c>
      <c r="O332" s="424">
        <f t="shared" si="65"/>
        <v>46241</v>
      </c>
      <c r="P332" s="5" t="s">
        <v>31</v>
      </c>
      <c r="Q332" s="96">
        <v>1</v>
      </c>
      <c r="R332" s="93">
        <v>25</v>
      </c>
      <c r="S332" s="94">
        <f t="shared" si="66"/>
        <v>25</v>
      </c>
      <c r="T332" s="307"/>
      <c r="W332" s="68"/>
    </row>
    <row r="333" spans="2:25">
      <c r="B333" s="473"/>
      <c r="C333" s="476"/>
      <c r="D333" s="513"/>
      <c r="E333" s="445"/>
      <c r="F333" s="516"/>
      <c r="G333" s="456"/>
      <c r="H333" s="456"/>
      <c r="I333" s="6">
        <v>8.11</v>
      </c>
      <c r="J333" s="8" t="s">
        <v>37</v>
      </c>
      <c r="K333" s="1">
        <f>SUMIFS('[2]BESS 11'!AF:AF,'[2]BESS 11'!$B:$B,$J333)</f>
        <v>1</v>
      </c>
      <c r="L333" s="2">
        <f>SUMIFS('[2]BESS 11'!AG:AG,'[2]BESS 11'!$B:$B,$J333)</f>
        <v>0</v>
      </c>
      <c r="M333" s="7">
        <f t="shared" si="64"/>
        <v>1</v>
      </c>
      <c r="N333" s="436" t="s">
        <v>299</v>
      </c>
      <c r="O333" s="424">
        <f t="shared" si="65"/>
        <v>46238</v>
      </c>
      <c r="P333" s="5" t="s">
        <v>123</v>
      </c>
      <c r="Q333" s="96" t="s">
        <v>89</v>
      </c>
      <c r="R333" s="93" t="s">
        <v>89</v>
      </c>
      <c r="S333" s="94" t="s">
        <v>89</v>
      </c>
      <c r="T333" s="261"/>
      <c r="W333" s="68"/>
    </row>
    <row r="334" spans="2:25">
      <c r="B334" s="473"/>
      <c r="C334" s="476"/>
      <c r="D334" s="513"/>
      <c r="E334" s="445"/>
      <c r="F334" s="516"/>
      <c r="G334" s="456"/>
      <c r="H334" s="456"/>
      <c r="I334" s="44"/>
      <c r="J334" s="50"/>
      <c r="K334" s="61"/>
      <c r="L334" s="52" t="s">
        <v>124</v>
      </c>
      <c r="M334" s="51"/>
      <c r="N334" s="61"/>
      <c r="O334" s="424"/>
      <c r="P334" s="87"/>
      <c r="Q334" s="96"/>
      <c r="R334" s="93"/>
      <c r="S334" s="94"/>
      <c r="T334" s="261"/>
      <c r="W334" s="68"/>
    </row>
    <row r="335" spans="2:25">
      <c r="B335" s="473"/>
      <c r="C335" s="476"/>
      <c r="D335" s="513"/>
      <c r="E335" s="445"/>
      <c r="F335" s="516"/>
      <c r="G335" s="456"/>
      <c r="H335" s="456"/>
      <c r="I335" s="6">
        <v>8.1199999999999992</v>
      </c>
      <c r="J335" s="8" t="s">
        <v>24</v>
      </c>
      <c r="K335" s="1">
        <f>SUMIFS('[2]BESS 11'!AF:AF,'[2]BESS 11'!$B:$B,$J335)</f>
        <v>6</v>
      </c>
      <c r="L335" s="2">
        <f>SUMIFS('[2]BESS 11'!AG:AG,'[2]BESS 11'!$B:$B,$J335)</f>
        <v>0</v>
      </c>
      <c r="M335" s="7">
        <f t="shared" ref="M335:M366" si="67">K335-L335</f>
        <v>6</v>
      </c>
      <c r="N335" s="432" t="s">
        <v>447</v>
      </c>
      <c r="O335" s="424">
        <f t="shared" ref="O335:O366" si="68">IF(LEN(N335)=5,N335,(IF(N335="Completed"," ",DATEVALUE(RIGHT(N335,6)))))</f>
        <v>46244</v>
      </c>
      <c r="P335" s="5" t="s">
        <v>164</v>
      </c>
      <c r="Q335" s="96">
        <v>2</v>
      </c>
      <c r="R335" s="93">
        <v>4</v>
      </c>
      <c r="S335" s="94">
        <f>(M335*R335)/Q335</f>
        <v>12</v>
      </c>
      <c r="T335" s="261"/>
      <c r="W335" s="68"/>
      <c r="Y335" s="371"/>
    </row>
    <row r="336" spans="2:25">
      <c r="B336" s="473"/>
      <c r="C336" s="476"/>
      <c r="D336" s="513"/>
      <c r="E336" s="445"/>
      <c r="F336" s="516"/>
      <c r="G336" s="456"/>
      <c r="H336" s="456"/>
      <c r="I336" s="6">
        <v>8.129999999999999</v>
      </c>
      <c r="J336" s="8" t="s">
        <v>27</v>
      </c>
      <c r="K336" s="1">
        <f>SUMIFS('[2]BESS 11'!AF:AF,'[2]BESS 11'!$B:$B,$J336)</f>
        <v>48</v>
      </c>
      <c r="L336" s="2">
        <f>SUMIFS('[2]BESS 11'!AG:AG,'[2]BESS 11'!$B:$B,$J336)</f>
        <v>0</v>
      </c>
      <c r="M336" s="7">
        <f t="shared" si="67"/>
        <v>48</v>
      </c>
      <c r="N336" s="436">
        <v>46239</v>
      </c>
      <c r="O336" s="424">
        <f t="shared" si="68"/>
        <v>46239</v>
      </c>
      <c r="P336" s="5" t="s">
        <v>164</v>
      </c>
      <c r="Q336" s="96">
        <v>10</v>
      </c>
      <c r="R336" s="93">
        <v>4</v>
      </c>
      <c r="S336" s="94">
        <f>(M336*R336)/Q336</f>
        <v>19.2</v>
      </c>
      <c r="T336" s="261"/>
      <c r="W336" s="60"/>
    </row>
    <row r="337" spans="2:23">
      <c r="B337" s="473"/>
      <c r="C337" s="476"/>
      <c r="D337" s="513"/>
      <c r="E337" s="445"/>
      <c r="F337" s="516"/>
      <c r="G337" s="456"/>
      <c r="H337" s="456"/>
      <c r="I337" s="6">
        <v>8.1399999999999988</v>
      </c>
      <c r="J337" s="8" t="s">
        <v>28</v>
      </c>
      <c r="K337" s="1">
        <f>SUMIFS('[2]BESS 11'!AF:AF,'[2]BESS 11'!$B:$B,$J337)</f>
        <v>6</v>
      </c>
      <c r="L337" s="2">
        <f>SUMIFS('[2]BESS 11'!AG:AG,'[2]BESS 11'!$B:$B,$J337)</f>
        <v>0</v>
      </c>
      <c r="M337" s="7">
        <f t="shared" si="67"/>
        <v>6</v>
      </c>
      <c r="N337" s="436">
        <v>46240</v>
      </c>
      <c r="O337" s="424">
        <f t="shared" si="68"/>
        <v>46240</v>
      </c>
      <c r="P337" s="5" t="s">
        <v>164</v>
      </c>
      <c r="Q337" s="96">
        <v>5</v>
      </c>
      <c r="R337" s="93">
        <v>4</v>
      </c>
      <c r="S337" s="94">
        <f>(M337*R337)/Q337</f>
        <v>4.8</v>
      </c>
      <c r="T337" s="261"/>
      <c r="W337" s="60"/>
    </row>
    <row r="338" spans="2:23" ht="25.5">
      <c r="B338" s="473"/>
      <c r="C338" s="476"/>
      <c r="D338" s="513"/>
      <c r="E338" s="445"/>
      <c r="F338" s="516"/>
      <c r="G338" s="456"/>
      <c r="H338" s="456"/>
      <c r="I338" s="6">
        <v>8.1499999999999986</v>
      </c>
      <c r="J338" s="8" t="s">
        <v>29</v>
      </c>
      <c r="K338" s="1">
        <f>SUMIFS('[2]BESS 11'!AF:AF,'[2]BESS 11'!$B:$B,$J338)</f>
        <v>6</v>
      </c>
      <c r="L338" s="2">
        <f>SUMIFS('[2]BESS 11'!AG:AG,'[2]BESS 11'!$B:$B,$J338)</f>
        <v>0</v>
      </c>
      <c r="M338" s="7">
        <f t="shared" si="67"/>
        <v>6</v>
      </c>
      <c r="N338" s="432">
        <v>46240</v>
      </c>
      <c r="O338" s="424">
        <f t="shared" si="68"/>
        <v>46240</v>
      </c>
      <c r="P338" s="5" t="s">
        <v>164</v>
      </c>
      <c r="Q338" s="96">
        <v>20</v>
      </c>
      <c r="R338" s="527">
        <v>4</v>
      </c>
      <c r="S338" s="530">
        <v>4</v>
      </c>
      <c r="T338" s="261"/>
    </row>
    <row r="339" spans="2:23">
      <c r="B339" s="473"/>
      <c r="C339" s="476"/>
      <c r="D339" s="513"/>
      <c r="E339" s="445"/>
      <c r="F339" s="516"/>
      <c r="G339" s="456"/>
      <c r="H339" s="456"/>
      <c r="I339" s="6">
        <v>8.1599999999999984</v>
      </c>
      <c r="J339" s="8" t="s">
        <v>33</v>
      </c>
      <c r="K339" s="1">
        <f>SUMIFS('[2]BESS 11'!AF:AF,'[2]BESS 11'!$B:$B,$J339)</f>
        <v>2</v>
      </c>
      <c r="L339" s="2">
        <f>SUMIFS('[2]BESS 11'!AG:AG,'[2]BESS 11'!$B:$B,$J339)</f>
        <v>0</v>
      </c>
      <c r="M339" s="7">
        <f t="shared" si="67"/>
        <v>2</v>
      </c>
      <c r="N339" s="436">
        <v>46239</v>
      </c>
      <c r="O339" s="424">
        <f t="shared" si="68"/>
        <v>46239</v>
      </c>
      <c r="P339" s="5" t="s">
        <v>164</v>
      </c>
      <c r="Q339" s="96">
        <v>10</v>
      </c>
      <c r="R339" s="528"/>
      <c r="S339" s="531"/>
      <c r="T339" s="261"/>
    </row>
    <row r="340" spans="2:23">
      <c r="B340" s="473"/>
      <c r="C340" s="476"/>
      <c r="D340" s="513"/>
      <c r="E340" s="445"/>
      <c r="F340" s="516"/>
      <c r="G340" s="456"/>
      <c r="H340" s="456"/>
      <c r="I340" s="6">
        <v>8.1699999999999982</v>
      </c>
      <c r="J340" s="8" t="s">
        <v>36</v>
      </c>
      <c r="K340" s="1">
        <f>SUMIFS('[2]BESS 11'!AF:AF,'[2]BESS 11'!$B:$B,$J340)</f>
        <v>1</v>
      </c>
      <c r="L340" s="2">
        <f>SUMIFS('[2]BESS 11'!AG:AG,'[2]BESS 11'!$B:$B,$J340)</f>
        <v>0</v>
      </c>
      <c r="M340" s="7">
        <f t="shared" si="67"/>
        <v>1</v>
      </c>
      <c r="N340" s="436" t="s">
        <v>445</v>
      </c>
      <c r="O340" s="424">
        <f t="shared" si="68"/>
        <v>46240</v>
      </c>
      <c r="P340" s="5" t="s">
        <v>164</v>
      </c>
      <c r="Q340" s="96">
        <v>10</v>
      </c>
      <c r="R340" s="528"/>
      <c r="S340" s="531"/>
      <c r="T340" s="307"/>
    </row>
    <row r="341" spans="2:23">
      <c r="B341" s="473"/>
      <c r="C341" s="476"/>
      <c r="D341" s="513"/>
      <c r="E341" s="445"/>
      <c r="F341" s="516"/>
      <c r="G341" s="456"/>
      <c r="H341" s="456"/>
      <c r="I341" s="6">
        <v>8.1799999999999979</v>
      </c>
      <c r="J341" s="8" t="s">
        <v>39</v>
      </c>
      <c r="K341" s="1">
        <f>SUMIFS('[2]BESS 11'!AF:AF,'[2]BESS 11'!$B:$B,$J341)</f>
        <v>1</v>
      </c>
      <c r="L341" s="2">
        <f>SUMIFS('[2]BESS 11'!AG:AG,'[2]BESS 11'!$B:$B,$J341)</f>
        <v>0</v>
      </c>
      <c r="M341" s="7">
        <f t="shared" si="67"/>
        <v>1</v>
      </c>
      <c r="N341" s="436">
        <v>46244</v>
      </c>
      <c r="O341" s="424">
        <f t="shared" si="68"/>
        <v>46244</v>
      </c>
      <c r="P341" s="5" t="s">
        <v>164</v>
      </c>
      <c r="Q341" s="96">
        <v>10</v>
      </c>
      <c r="R341" s="528"/>
      <c r="S341" s="531"/>
      <c r="T341" s="307"/>
      <c r="W341" s="60"/>
    </row>
    <row r="342" spans="2:23">
      <c r="B342" s="473"/>
      <c r="C342" s="476"/>
      <c r="D342" s="513"/>
      <c r="E342" s="445"/>
      <c r="F342" s="516"/>
      <c r="G342" s="456"/>
      <c r="H342" s="456"/>
      <c r="I342" s="6">
        <v>8.1899999999999977</v>
      </c>
      <c r="J342" s="8" t="s">
        <v>41</v>
      </c>
      <c r="K342" s="1">
        <f>SUMIFS('[2]BESS 11'!AF:AF,'[2]BESS 11'!$B:$B,$J342)</f>
        <v>6</v>
      </c>
      <c r="L342" s="2">
        <f>SUMIFS('[2]BESS 11'!AG:AG,'[2]BESS 11'!$B:$B,$J342)</f>
        <v>0</v>
      </c>
      <c r="M342" s="7">
        <f t="shared" si="67"/>
        <v>6</v>
      </c>
      <c r="N342" s="3" t="s">
        <v>319</v>
      </c>
      <c r="O342" s="424">
        <f t="shared" si="68"/>
        <v>46249</v>
      </c>
      <c r="P342" s="140" t="s">
        <v>125</v>
      </c>
      <c r="Q342" s="96">
        <v>20</v>
      </c>
      <c r="R342" s="529"/>
      <c r="S342" s="532"/>
      <c r="T342" s="307"/>
    </row>
    <row r="343" spans="2:23">
      <c r="B343" s="473"/>
      <c r="C343" s="476"/>
      <c r="D343" s="513"/>
      <c r="E343" s="445"/>
      <c r="F343" s="516"/>
      <c r="G343" s="456"/>
      <c r="H343" s="456"/>
      <c r="I343" s="6">
        <v>8.1999999999999975</v>
      </c>
      <c r="J343" s="8" t="s">
        <v>43</v>
      </c>
      <c r="K343" s="1">
        <f>SUMIFS('[2]BESS 11'!AF:AF,'[2]BESS 11'!$B:$B,$J343)</f>
        <v>6</v>
      </c>
      <c r="L343" s="2">
        <f>SUMIFS('[2]BESS 11'!AG:AG,'[2]BESS 11'!$B:$B,$J343)</f>
        <v>0</v>
      </c>
      <c r="M343" s="7">
        <f t="shared" si="67"/>
        <v>6</v>
      </c>
      <c r="N343" s="3" t="s">
        <v>320</v>
      </c>
      <c r="O343" s="424">
        <f t="shared" si="68"/>
        <v>46254</v>
      </c>
      <c r="P343" s="140" t="s">
        <v>125</v>
      </c>
      <c r="Q343" s="96">
        <v>0.66666666666666663</v>
      </c>
      <c r="R343" s="93">
        <v>0</v>
      </c>
      <c r="S343" s="94">
        <f t="shared" ref="S343:S355" si="69">(M343*R343)/Q343</f>
        <v>0</v>
      </c>
      <c r="T343" s="307"/>
    </row>
    <row r="344" spans="2:23" ht="25.5">
      <c r="B344" s="473"/>
      <c r="C344" s="476"/>
      <c r="D344" s="513"/>
      <c r="E344" s="445"/>
      <c r="F344" s="516"/>
      <c r="G344" s="456"/>
      <c r="H344" s="456"/>
      <c r="I344" s="6">
        <v>8.2099999999999973</v>
      </c>
      <c r="J344" s="263" t="s">
        <v>21</v>
      </c>
      <c r="K344" s="1">
        <f>SUMIFS('[2]BESS 11'!AF:AF,'[2]BESS 11'!$B:$B,$J344)</f>
        <v>48</v>
      </c>
      <c r="L344" s="2">
        <f>SUMIFS('[2]BESS 11'!AG:AG,'[2]BESS 11'!$B:$B,$J344)</f>
        <v>0</v>
      </c>
      <c r="M344" s="7">
        <f t="shared" si="67"/>
        <v>48</v>
      </c>
      <c r="N344" s="20" t="s">
        <v>441</v>
      </c>
      <c r="O344" s="424">
        <f t="shared" si="68"/>
        <v>46275</v>
      </c>
      <c r="P344" s="5" t="s">
        <v>449</v>
      </c>
      <c r="Q344" s="96">
        <v>10</v>
      </c>
      <c r="R344" s="93">
        <v>4</v>
      </c>
      <c r="S344" s="94">
        <f t="shared" si="69"/>
        <v>19.2</v>
      </c>
      <c r="T344" s="307"/>
    </row>
    <row r="345" spans="2:23">
      <c r="B345" s="473"/>
      <c r="C345" s="476"/>
      <c r="D345" s="513"/>
      <c r="E345" s="445"/>
      <c r="F345" s="516"/>
      <c r="G345" s="456"/>
      <c r="H345" s="456"/>
      <c r="I345" s="6">
        <v>8.2199999999999971</v>
      </c>
      <c r="J345" s="8" t="s">
        <v>47</v>
      </c>
      <c r="K345" s="1">
        <f>SUMIFS('[2]BESS 11'!AF:AF,'[2]BESS 11'!$B:$B,$J345)</f>
        <v>3549.12</v>
      </c>
      <c r="L345" s="2">
        <f>SUMIFS('[2]BESS 11'!AG:AG,'[2]BESS 11'!$B:$B,$J345)</f>
        <v>0</v>
      </c>
      <c r="M345" s="7">
        <f t="shared" si="67"/>
        <v>3549.12</v>
      </c>
      <c r="N345" s="3">
        <v>46246</v>
      </c>
      <c r="O345" s="424">
        <f t="shared" si="68"/>
        <v>46246</v>
      </c>
      <c r="P345" s="5" t="s">
        <v>164</v>
      </c>
      <c r="Q345" s="96">
        <v>1500</v>
      </c>
      <c r="R345" s="93">
        <v>48</v>
      </c>
      <c r="S345" s="94">
        <f t="shared" si="69"/>
        <v>113.57184000000001</v>
      </c>
      <c r="T345" s="307"/>
    </row>
    <row r="346" spans="2:23">
      <c r="B346" s="473"/>
      <c r="C346" s="476"/>
      <c r="D346" s="513"/>
      <c r="E346" s="445"/>
      <c r="F346" s="516"/>
      <c r="G346" s="456"/>
      <c r="H346" s="456"/>
      <c r="I346" s="6">
        <v>8.2299999999999969</v>
      </c>
      <c r="J346" s="8" t="s">
        <v>48</v>
      </c>
      <c r="K346" s="1">
        <f>SUMIFS('[2]BESS 11'!AF:AF,'[2]BESS 11'!$B:$B,$J346)</f>
        <v>28</v>
      </c>
      <c r="L346" s="2">
        <f>SUMIFS('[2]BESS 11'!AG:AG,'[2]BESS 11'!$B:$B,$J346)</f>
        <v>0</v>
      </c>
      <c r="M346" s="7">
        <f t="shared" si="67"/>
        <v>28</v>
      </c>
      <c r="N346" s="3">
        <v>46262</v>
      </c>
      <c r="O346" s="424">
        <f t="shared" si="68"/>
        <v>46262</v>
      </c>
      <c r="P346" s="5" t="s">
        <v>164</v>
      </c>
      <c r="Q346" s="96">
        <v>8</v>
      </c>
      <c r="R346" s="93">
        <v>6</v>
      </c>
      <c r="S346" s="94">
        <f t="shared" si="69"/>
        <v>21</v>
      </c>
      <c r="T346" s="307"/>
    </row>
    <row r="347" spans="2:23">
      <c r="B347" s="473"/>
      <c r="C347" s="476"/>
      <c r="D347" s="513"/>
      <c r="E347" s="445"/>
      <c r="F347" s="516"/>
      <c r="G347" s="456"/>
      <c r="H347" s="456"/>
      <c r="I347" s="6">
        <f t="shared" ref="I347:I366" si="70">I346+0.01</f>
        <v>8.2399999999999967</v>
      </c>
      <c r="J347" s="8" t="s">
        <v>126</v>
      </c>
      <c r="K347" s="1">
        <f>SUMIFS('[2]BESS 11'!AF:AF,'[2]BESS 11'!$B:$B,$J347)</f>
        <v>14288</v>
      </c>
      <c r="L347" s="2">
        <f>SUMIFS('[2]BESS 11'!AG:AG,'[2]BESS 11'!$B:$B,$J347)</f>
        <v>0</v>
      </c>
      <c r="M347" s="7">
        <f t="shared" si="67"/>
        <v>14288</v>
      </c>
      <c r="N347" s="3">
        <v>46252</v>
      </c>
      <c r="O347" s="424">
        <f t="shared" si="68"/>
        <v>46252</v>
      </c>
      <c r="P347" s="5" t="s">
        <v>164</v>
      </c>
      <c r="Q347" s="96">
        <v>600</v>
      </c>
      <c r="R347" s="93">
        <v>10</v>
      </c>
      <c r="S347" s="94">
        <f t="shared" si="69"/>
        <v>238.13333333333333</v>
      </c>
      <c r="T347" s="307"/>
    </row>
    <row r="348" spans="2:23">
      <c r="B348" s="473"/>
      <c r="C348" s="476"/>
      <c r="D348" s="513"/>
      <c r="E348" s="445"/>
      <c r="F348" s="516"/>
      <c r="G348" s="456"/>
      <c r="H348" s="456"/>
      <c r="I348" s="6">
        <f t="shared" si="70"/>
        <v>8.2499999999999964</v>
      </c>
      <c r="J348" s="8" t="s">
        <v>127</v>
      </c>
      <c r="K348" s="1">
        <f>SUMIFS('[2]BESS 11'!AF:AF,'[2]BESS 11'!$B:$B,$J348)</f>
        <v>47399</v>
      </c>
      <c r="L348" s="2">
        <f>SUMIFS('[2]BESS 11'!AG:AG,'[2]BESS 11'!$B:$B,$J348)</f>
        <v>0</v>
      </c>
      <c r="M348" s="7">
        <f t="shared" si="67"/>
        <v>47399</v>
      </c>
      <c r="N348" s="3" t="s">
        <v>648</v>
      </c>
      <c r="O348" s="424">
        <f t="shared" si="68"/>
        <v>46252</v>
      </c>
      <c r="P348" s="5" t="s">
        <v>164</v>
      </c>
      <c r="Q348" s="96">
        <v>600</v>
      </c>
      <c r="R348" s="93">
        <v>10</v>
      </c>
      <c r="S348" s="94">
        <f t="shared" si="69"/>
        <v>789.98333333333335</v>
      </c>
      <c r="T348" s="307"/>
    </row>
    <row r="349" spans="2:23">
      <c r="B349" s="473"/>
      <c r="C349" s="476"/>
      <c r="D349" s="513"/>
      <c r="E349" s="445"/>
      <c r="F349" s="516"/>
      <c r="G349" s="456"/>
      <c r="H349" s="456"/>
      <c r="I349" s="6">
        <f t="shared" si="70"/>
        <v>8.2599999999999962</v>
      </c>
      <c r="J349" s="8" t="s">
        <v>128</v>
      </c>
      <c r="K349" s="1">
        <f>SUMIFS('[2]BESS 11'!AF:AF,'[2]BESS 11'!$B:$B,$J349)</f>
        <v>1536</v>
      </c>
      <c r="L349" s="2">
        <f>SUMIFS('[2]BESS 11'!AG:AG,'[2]BESS 11'!$B:$B,$J349)</f>
        <v>0</v>
      </c>
      <c r="M349" s="7">
        <f t="shared" ref="M349:M365" si="71">K349-L349</f>
        <v>1536</v>
      </c>
      <c r="N349" s="3" t="s">
        <v>666</v>
      </c>
      <c r="O349" s="424">
        <f t="shared" si="68"/>
        <v>46279</v>
      </c>
      <c r="P349" s="5" t="s">
        <v>164</v>
      </c>
      <c r="Q349" s="96">
        <v>30</v>
      </c>
      <c r="R349" s="93">
        <v>18</v>
      </c>
      <c r="S349" s="94">
        <f t="shared" si="69"/>
        <v>921.6</v>
      </c>
      <c r="T349" s="307"/>
    </row>
    <row r="350" spans="2:23">
      <c r="B350" s="473"/>
      <c r="C350" s="476"/>
      <c r="D350" s="513"/>
      <c r="E350" s="445"/>
      <c r="F350" s="516"/>
      <c r="G350" s="456"/>
      <c r="H350" s="456"/>
      <c r="I350" s="6">
        <f t="shared" si="70"/>
        <v>8.269999999999996</v>
      </c>
      <c r="J350" s="8" t="s">
        <v>129</v>
      </c>
      <c r="K350" s="1">
        <f>SUMIFS('[2]BESS 11'!AF:AF,'[2]BESS 11'!$B:$B,$J350)</f>
        <v>2304</v>
      </c>
      <c r="L350" s="2">
        <f>SUMIFS('[2]BESS 11'!AG:AG,'[2]BESS 11'!$B:$B,$J350)</f>
        <v>0</v>
      </c>
      <c r="M350" s="7">
        <f t="shared" si="71"/>
        <v>2304</v>
      </c>
      <c r="N350" s="3" t="s">
        <v>666</v>
      </c>
      <c r="O350" s="424">
        <f t="shared" si="68"/>
        <v>46279</v>
      </c>
      <c r="P350" s="5" t="s">
        <v>164</v>
      </c>
      <c r="Q350" s="96">
        <v>30</v>
      </c>
      <c r="R350" s="93">
        <v>18</v>
      </c>
      <c r="S350" s="94">
        <f t="shared" si="69"/>
        <v>1382.4</v>
      </c>
      <c r="T350" s="307"/>
    </row>
    <row r="351" spans="2:23">
      <c r="B351" s="473"/>
      <c r="C351" s="476"/>
      <c r="D351" s="513"/>
      <c r="E351" s="445"/>
      <c r="F351" s="516"/>
      <c r="G351" s="456"/>
      <c r="H351" s="456"/>
      <c r="I351" s="6">
        <f t="shared" si="70"/>
        <v>8.2799999999999958</v>
      </c>
      <c r="J351" s="8" t="s">
        <v>130</v>
      </c>
      <c r="K351" s="1">
        <f>SUMIFS('[2]BESS 11'!AF:AF,'[2]BESS 11'!$B:$B,$J351)</f>
        <v>8232</v>
      </c>
      <c r="L351" s="2">
        <f>SUMIFS('[2]BESS 11'!AG:AG,'[2]BESS 11'!$B:$B,$J351)</f>
        <v>0</v>
      </c>
      <c r="M351" s="7">
        <f t="shared" si="71"/>
        <v>8232</v>
      </c>
      <c r="N351" s="3">
        <v>46256</v>
      </c>
      <c r="O351" s="424">
        <f t="shared" si="68"/>
        <v>46256</v>
      </c>
      <c r="P351" s="5" t="s">
        <v>164</v>
      </c>
      <c r="Q351" s="96">
        <v>1000</v>
      </c>
      <c r="R351" s="93">
        <v>10</v>
      </c>
      <c r="S351" s="94">
        <f t="shared" si="69"/>
        <v>82.32</v>
      </c>
      <c r="T351" s="307"/>
    </row>
    <row r="352" spans="2:23">
      <c r="B352" s="473"/>
      <c r="C352" s="476"/>
      <c r="D352" s="513"/>
      <c r="E352" s="445"/>
      <c r="F352" s="516"/>
      <c r="G352" s="456"/>
      <c r="H352" s="456"/>
      <c r="I352" s="6">
        <f t="shared" si="70"/>
        <v>8.2899999999999956</v>
      </c>
      <c r="J352" s="8" t="s">
        <v>131</v>
      </c>
      <c r="K352" s="1">
        <f>SUMIFS('[2]BESS 11'!AF:AF,'[2]BESS 11'!$B:$B,$J352)</f>
        <v>14448</v>
      </c>
      <c r="L352" s="2">
        <f>SUMIFS('[2]BESS 11'!AG:AG,'[2]BESS 11'!$B:$B,$J352)</f>
        <v>0</v>
      </c>
      <c r="M352" s="7">
        <f t="shared" si="71"/>
        <v>14448</v>
      </c>
      <c r="N352" s="3">
        <v>46256</v>
      </c>
      <c r="O352" s="424">
        <f t="shared" si="68"/>
        <v>46256</v>
      </c>
      <c r="P352" s="5" t="s">
        <v>164</v>
      </c>
      <c r="Q352" s="96">
        <v>1000</v>
      </c>
      <c r="R352" s="93">
        <v>10</v>
      </c>
      <c r="S352" s="94">
        <f t="shared" si="69"/>
        <v>144.47999999999999</v>
      </c>
      <c r="T352" s="307"/>
    </row>
    <row r="353" spans="2:23">
      <c r="B353" s="473"/>
      <c r="C353" s="476"/>
      <c r="D353" s="513"/>
      <c r="E353" s="445"/>
      <c r="F353" s="516"/>
      <c r="G353" s="456"/>
      <c r="H353" s="456"/>
      <c r="I353" s="6">
        <f t="shared" si="70"/>
        <v>8.2999999999999954</v>
      </c>
      <c r="J353" s="8" t="s">
        <v>132</v>
      </c>
      <c r="K353" s="1">
        <f>SUMIFS('[2]BESS 11'!AF:AF,'[2]BESS 11'!$B:$B,$J353)</f>
        <v>4792</v>
      </c>
      <c r="L353" s="2">
        <f>SUMIFS('[2]BESS 11'!AG:AG,'[2]BESS 11'!$B:$B,$J353)</f>
        <v>0</v>
      </c>
      <c r="M353" s="7">
        <f t="shared" si="71"/>
        <v>4792</v>
      </c>
      <c r="N353" s="3">
        <v>46256</v>
      </c>
      <c r="O353" s="424">
        <f t="shared" si="68"/>
        <v>46256</v>
      </c>
      <c r="P353" s="5" t="s">
        <v>164</v>
      </c>
      <c r="Q353" s="96">
        <v>500</v>
      </c>
      <c r="R353" s="93">
        <v>10</v>
      </c>
      <c r="S353" s="94">
        <f t="shared" si="69"/>
        <v>95.84</v>
      </c>
      <c r="T353" s="307"/>
    </row>
    <row r="354" spans="2:23">
      <c r="B354" s="473"/>
      <c r="C354" s="476"/>
      <c r="D354" s="513"/>
      <c r="E354" s="445"/>
      <c r="F354" s="516"/>
      <c r="G354" s="456"/>
      <c r="H354" s="456"/>
      <c r="I354" s="6">
        <f t="shared" si="70"/>
        <v>8.3099999999999952</v>
      </c>
      <c r="J354" s="8" t="s">
        <v>133</v>
      </c>
      <c r="K354" s="1">
        <f>SUMIFS('[2]BESS 11'!AF:AF,'[2]BESS 11'!$B:$B,$J354)</f>
        <v>286</v>
      </c>
      <c r="L354" s="2">
        <f>SUMIFS('[2]BESS 11'!AG:AG,'[2]BESS 11'!$B:$B,$J354)</f>
        <v>0</v>
      </c>
      <c r="M354" s="7">
        <f t="shared" si="71"/>
        <v>286</v>
      </c>
      <c r="N354" s="3" t="s">
        <v>666</v>
      </c>
      <c r="O354" s="424">
        <f t="shared" si="68"/>
        <v>46279</v>
      </c>
      <c r="P354" s="5" t="s">
        <v>164</v>
      </c>
      <c r="Q354" s="96">
        <v>30</v>
      </c>
      <c r="R354" s="93">
        <v>6</v>
      </c>
      <c r="S354" s="94">
        <f t="shared" si="69"/>
        <v>57.2</v>
      </c>
      <c r="T354" s="307"/>
    </row>
    <row r="355" spans="2:23">
      <c r="B355" s="473"/>
      <c r="C355" s="476"/>
      <c r="D355" s="513"/>
      <c r="E355" s="445"/>
      <c r="F355" s="516"/>
      <c r="G355" s="456"/>
      <c r="H355" s="456"/>
      <c r="I355" s="6">
        <f t="shared" si="70"/>
        <v>8.319999999999995</v>
      </c>
      <c r="J355" s="8" t="s">
        <v>134</v>
      </c>
      <c r="K355" s="1">
        <f>SUMIFS('[2]BESS 11'!AF:AF,'[2]BESS 11'!$B:$B,$J355)</f>
        <v>536</v>
      </c>
      <c r="L355" s="2">
        <f>SUMIFS('[2]BESS 11'!AG:AG,'[2]BESS 11'!$B:$B,$J355)</f>
        <v>0</v>
      </c>
      <c r="M355" s="7">
        <f t="shared" si="71"/>
        <v>536</v>
      </c>
      <c r="N355" s="3" t="s">
        <v>666</v>
      </c>
      <c r="O355" s="424">
        <f t="shared" si="68"/>
        <v>46279</v>
      </c>
      <c r="P355" s="5" t="s">
        <v>443</v>
      </c>
      <c r="Q355" s="96">
        <v>30</v>
      </c>
      <c r="R355" s="93">
        <v>4</v>
      </c>
      <c r="S355" s="94">
        <f t="shared" si="69"/>
        <v>71.466666666666669</v>
      </c>
      <c r="T355" s="307"/>
    </row>
    <row r="356" spans="2:23" ht="25.5">
      <c r="B356" s="473"/>
      <c r="C356" s="476"/>
      <c r="D356" s="513"/>
      <c r="E356" s="445"/>
      <c r="F356" s="516"/>
      <c r="G356" s="456"/>
      <c r="H356" s="456"/>
      <c r="I356" s="6">
        <f t="shared" si="70"/>
        <v>8.3299999999999947</v>
      </c>
      <c r="J356" s="8" t="s">
        <v>136</v>
      </c>
      <c r="K356" s="1">
        <f>SUMIFS('[2]BESS 11'!AF:AF,'[2]BESS 11'!$B:$B,$J356)</f>
        <v>384</v>
      </c>
      <c r="L356" s="2">
        <f>SUMIFS('[2]BESS 11'!AG:AG,'[2]BESS 11'!$B:$B,$J356)</f>
        <v>0</v>
      </c>
      <c r="M356" s="7">
        <f t="shared" si="71"/>
        <v>384</v>
      </c>
      <c r="N356" s="3" t="s">
        <v>666</v>
      </c>
      <c r="O356" s="424">
        <f t="shared" si="68"/>
        <v>46279</v>
      </c>
      <c r="P356" s="5" t="s">
        <v>443</v>
      </c>
      <c r="Q356" s="96" t="s">
        <v>89</v>
      </c>
      <c r="R356" s="93" t="s">
        <v>89</v>
      </c>
      <c r="S356" s="94" t="s">
        <v>89</v>
      </c>
      <c r="T356" s="307"/>
      <c r="U356">
        <f ca="1">O356-$T$1</f>
        <v>46</v>
      </c>
      <c r="V356" s="97">
        <f>SUM(S335:S366)</f>
        <v>4317.8885066666671</v>
      </c>
    </row>
    <row r="357" spans="2:23">
      <c r="B357" s="473"/>
      <c r="C357" s="476"/>
      <c r="D357" s="513"/>
      <c r="E357" s="445"/>
      <c r="F357" s="516"/>
      <c r="G357" s="456"/>
      <c r="H357" s="456"/>
      <c r="I357" s="6">
        <f t="shared" si="70"/>
        <v>8.3399999999999945</v>
      </c>
      <c r="J357" s="8" t="s">
        <v>137</v>
      </c>
      <c r="K357" s="1">
        <f>SUMIFS('[2]BESS 11'!AF:AF,'[2]BESS 11'!$B:$B,$J357)</f>
        <v>6</v>
      </c>
      <c r="L357" s="2">
        <f>SUMIFS('[2]BESS 11'!AG:AG,'[2]BESS 11'!$B:$B,$J357)</f>
        <v>0</v>
      </c>
      <c r="M357" s="7">
        <f t="shared" si="71"/>
        <v>6</v>
      </c>
      <c r="N357" s="3">
        <v>46251</v>
      </c>
      <c r="O357" s="424">
        <f t="shared" si="68"/>
        <v>46251</v>
      </c>
      <c r="P357" s="5" t="s">
        <v>138</v>
      </c>
      <c r="Q357" s="533">
        <v>2</v>
      </c>
      <c r="R357" s="527">
        <v>8</v>
      </c>
      <c r="S357" s="94" t="s">
        <v>89</v>
      </c>
      <c r="T357" s="307"/>
    </row>
    <row r="358" spans="2:23">
      <c r="B358" s="473"/>
      <c r="C358" s="476"/>
      <c r="D358" s="513"/>
      <c r="E358" s="445"/>
      <c r="F358" s="516"/>
      <c r="G358" s="456"/>
      <c r="H358" s="456"/>
      <c r="I358" s="6">
        <f t="shared" si="70"/>
        <v>8.3499999999999943</v>
      </c>
      <c r="J358" s="8" t="s">
        <v>139</v>
      </c>
      <c r="K358" s="1">
        <f>SUMIFS('[2]BESS 11'!AF:AF,'[2]BESS 11'!$B:$B,$J358)</f>
        <v>6</v>
      </c>
      <c r="L358" s="2">
        <f>SUMIFS('[2]BESS 11'!AG:AG,'[2]BESS 11'!$B:$B,$J358)</f>
        <v>0</v>
      </c>
      <c r="M358" s="7">
        <f t="shared" si="71"/>
        <v>6</v>
      </c>
      <c r="N358" s="3">
        <v>46255</v>
      </c>
      <c r="O358" s="424">
        <f t="shared" si="68"/>
        <v>46255</v>
      </c>
      <c r="P358" s="5" t="s">
        <v>164</v>
      </c>
      <c r="Q358" s="534"/>
      <c r="R358" s="529"/>
      <c r="S358" s="94">
        <v>12</v>
      </c>
      <c r="T358" s="307"/>
    </row>
    <row r="359" spans="2:23" ht="25.5">
      <c r="B359" s="473"/>
      <c r="C359" s="476"/>
      <c r="D359" s="513"/>
      <c r="E359" s="445"/>
      <c r="F359" s="516"/>
      <c r="G359" s="456"/>
      <c r="H359" s="456"/>
      <c r="I359" s="6">
        <f t="shared" si="70"/>
        <v>8.3599999999999941</v>
      </c>
      <c r="J359" s="8" t="s">
        <v>140</v>
      </c>
      <c r="K359" s="1">
        <f>SUMIFS('[2]BESS 11'!AF:AF,'[2]BESS 11'!$B:$B,$J359)</f>
        <v>6</v>
      </c>
      <c r="L359" s="2">
        <f>SUMIFS('[2]BESS 11'!AG:AG,'[2]BESS 11'!$B:$B,$J359)</f>
        <v>0</v>
      </c>
      <c r="M359" s="7">
        <f t="shared" si="71"/>
        <v>6</v>
      </c>
      <c r="N359" s="3" t="s">
        <v>663</v>
      </c>
      <c r="O359" s="424">
        <f t="shared" si="68"/>
        <v>46286</v>
      </c>
      <c r="P359" s="5" t="s">
        <v>164</v>
      </c>
      <c r="Q359" s="96">
        <v>2</v>
      </c>
      <c r="R359" s="93">
        <v>4</v>
      </c>
      <c r="S359" s="94">
        <f t="shared" ref="S359:S366" si="72">(M359*R359)/Q359</f>
        <v>12</v>
      </c>
      <c r="T359" s="313"/>
      <c r="U359">
        <f ca="1">O359-$T$1</f>
        <v>53</v>
      </c>
      <c r="V359" s="98">
        <f>SUM(S335:S366)</f>
        <v>4317.8885066666671</v>
      </c>
    </row>
    <row r="360" spans="2:23" ht="25.5">
      <c r="B360" s="473"/>
      <c r="C360" s="476"/>
      <c r="D360" s="513"/>
      <c r="E360" s="445"/>
      <c r="F360" s="516"/>
      <c r="G360" s="456"/>
      <c r="H360" s="456"/>
      <c r="I360" s="6">
        <f t="shared" si="70"/>
        <v>8.3699999999999939</v>
      </c>
      <c r="J360" s="8" t="s">
        <v>141</v>
      </c>
      <c r="K360" s="1">
        <f>SUMIFS('[2]BESS 11'!AF:AF,'[2]BESS 11'!$B:$B,$J360)</f>
        <v>12</v>
      </c>
      <c r="L360" s="2">
        <f>SUMIFS('[2]BESS 11'!AG:AG,'[2]BESS 11'!$B:$B,$J360)</f>
        <v>0</v>
      </c>
      <c r="M360" s="7">
        <f t="shared" si="71"/>
        <v>12</v>
      </c>
      <c r="N360" s="3" t="s">
        <v>444</v>
      </c>
      <c r="O360" s="424">
        <f t="shared" si="68"/>
        <v>46273</v>
      </c>
      <c r="P360" s="5" t="s">
        <v>164</v>
      </c>
      <c r="Q360" s="96">
        <v>0.5</v>
      </c>
      <c r="R360" s="93">
        <v>4</v>
      </c>
      <c r="S360" s="94">
        <f t="shared" si="72"/>
        <v>96</v>
      </c>
      <c r="T360" s="567"/>
    </row>
    <row r="361" spans="2:23">
      <c r="B361" s="473"/>
      <c r="C361" s="476"/>
      <c r="D361" s="513"/>
      <c r="E361" s="445"/>
      <c r="F361" s="516"/>
      <c r="G361" s="456"/>
      <c r="H361" s="456"/>
      <c r="I361" s="6">
        <f t="shared" si="70"/>
        <v>8.3799999999999937</v>
      </c>
      <c r="J361" s="8" t="s">
        <v>142</v>
      </c>
      <c r="K361" s="1">
        <f>SUMIFS('[2]BESS 11'!AF:AF,'[2]BESS 11'!$B:$B,$J361)</f>
        <v>16</v>
      </c>
      <c r="L361" s="2">
        <f>SUMIFS('[2]BESS 11'!AG:AG,'[2]BESS 11'!$B:$B,$J361)</f>
        <v>0</v>
      </c>
      <c r="M361" s="7">
        <f t="shared" si="71"/>
        <v>16</v>
      </c>
      <c r="N361" s="3" t="s">
        <v>664</v>
      </c>
      <c r="O361" s="424">
        <f t="shared" si="68"/>
        <v>46284</v>
      </c>
      <c r="P361" s="5" t="s">
        <v>164</v>
      </c>
      <c r="Q361" s="96">
        <v>6</v>
      </c>
      <c r="R361" s="93">
        <v>4</v>
      </c>
      <c r="S361" s="94">
        <f t="shared" si="72"/>
        <v>10.666666666666666</v>
      </c>
      <c r="T361" s="567"/>
    </row>
    <row r="362" spans="2:23">
      <c r="B362" s="473"/>
      <c r="C362" s="476"/>
      <c r="D362" s="513"/>
      <c r="E362" s="445"/>
      <c r="F362" s="516"/>
      <c r="G362" s="456"/>
      <c r="H362" s="456"/>
      <c r="I362" s="6">
        <f t="shared" si="70"/>
        <v>8.3899999999999935</v>
      </c>
      <c r="J362" s="8" t="s">
        <v>143</v>
      </c>
      <c r="K362" s="1">
        <f>SUMIFS('[2]BESS 11'!AF:AF,'[2]BESS 11'!$B:$B,$J362)</f>
        <v>14</v>
      </c>
      <c r="L362" s="2">
        <f>SUMIFS('[2]BESS 11'!AG:AG,'[2]BESS 11'!$B:$B,$J362)</f>
        <v>0</v>
      </c>
      <c r="M362" s="7">
        <f t="shared" si="71"/>
        <v>14</v>
      </c>
      <c r="N362" s="3" t="s">
        <v>444</v>
      </c>
      <c r="O362" s="424">
        <f t="shared" si="68"/>
        <v>46273</v>
      </c>
      <c r="P362" s="5" t="s">
        <v>164</v>
      </c>
      <c r="Q362" s="96">
        <v>6</v>
      </c>
      <c r="R362" s="93">
        <v>5</v>
      </c>
      <c r="S362" s="94">
        <f t="shared" si="72"/>
        <v>11.666666666666666</v>
      </c>
      <c r="T362" s="567"/>
    </row>
    <row r="363" spans="2:23">
      <c r="B363" s="473"/>
      <c r="C363" s="476"/>
      <c r="D363" s="513"/>
      <c r="E363" s="445"/>
      <c r="F363" s="516"/>
      <c r="G363" s="456"/>
      <c r="H363" s="456"/>
      <c r="I363" s="6">
        <f t="shared" si="70"/>
        <v>8.3999999999999932</v>
      </c>
      <c r="J363" s="8" t="s">
        <v>144</v>
      </c>
      <c r="K363" s="1">
        <f>SUMIFS('[2]BESS 11'!AF:AF,'[2]BESS 11'!$B:$B,$J363)</f>
        <v>1</v>
      </c>
      <c r="L363" s="2">
        <f>SUMIFS('[2]BESS 11'!AG:AG,'[2]BESS 11'!$B:$B,$J363)</f>
        <v>0</v>
      </c>
      <c r="M363" s="7">
        <f t="shared" si="71"/>
        <v>1</v>
      </c>
      <c r="N363" s="3" t="s">
        <v>444</v>
      </c>
      <c r="O363" s="424">
        <f t="shared" si="68"/>
        <v>46273</v>
      </c>
      <c r="P363" s="5" t="s">
        <v>164</v>
      </c>
      <c r="Q363" s="96">
        <v>1</v>
      </c>
      <c r="R363" s="93">
        <v>5</v>
      </c>
      <c r="S363" s="94">
        <f t="shared" si="72"/>
        <v>5</v>
      </c>
      <c r="T363" s="307"/>
    </row>
    <row r="364" spans="2:23">
      <c r="B364" s="473"/>
      <c r="C364" s="476"/>
      <c r="D364" s="513"/>
      <c r="E364" s="445"/>
      <c r="F364" s="516"/>
      <c r="G364" s="456"/>
      <c r="H364" s="456"/>
      <c r="I364" s="6">
        <f t="shared" si="70"/>
        <v>8.409999999999993</v>
      </c>
      <c r="J364" s="8" t="s">
        <v>145</v>
      </c>
      <c r="K364" s="1">
        <f>SUMIFS('[2]BESS 11'!AF:AF,'[2]BESS 11'!$B:$B,$J364)</f>
        <v>6</v>
      </c>
      <c r="L364" s="2">
        <f>SUMIFS('[2]BESS 11'!AG:AG,'[2]BESS 11'!$B:$B,$J364)</f>
        <v>0</v>
      </c>
      <c r="M364" s="7">
        <f t="shared" si="71"/>
        <v>6</v>
      </c>
      <c r="N364" s="3" t="s">
        <v>444</v>
      </c>
      <c r="O364" s="424">
        <f t="shared" si="68"/>
        <v>46273</v>
      </c>
      <c r="P364" s="5" t="s">
        <v>164</v>
      </c>
      <c r="Q364" s="96">
        <v>3</v>
      </c>
      <c r="R364" s="93">
        <v>5</v>
      </c>
      <c r="S364" s="94">
        <f t="shared" si="72"/>
        <v>10</v>
      </c>
      <c r="T364" s="307"/>
    </row>
    <row r="365" spans="2:23">
      <c r="B365" s="473"/>
      <c r="C365" s="476"/>
      <c r="D365" s="513"/>
      <c r="E365" s="445"/>
      <c r="F365" s="516"/>
      <c r="G365" s="456"/>
      <c r="H365" s="456"/>
      <c r="I365" s="6">
        <f t="shared" si="70"/>
        <v>8.4199999999999928</v>
      </c>
      <c r="J365" s="8" t="s">
        <v>54</v>
      </c>
      <c r="K365" s="1">
        <f>SUMIFS('[2]BESS 11'!AF:AF,'[2]BESS 11'!$B:$B,$J365)</f>
        <v>4284</v>
      </c>
      <c r="L365" s="2">
        <f>SUMIFS('[2]BESS 11'!AG:AG,'[2]BESS 11'!$B:$B,$J365)</f>
        <v>0</v>
      </c>
      <c r="M365" s="7">
        <f t="shared" si="71"/>
        <v>4284</v>
      </c>
      <c r="N365" s="3" t="s">
        <v>676</v>
      </c>
      <c r="O365" s="424">
        <f t="shared" si="68"/>
        <v>46276</v>
      </c>
      <c r="P365" s="5" t="s">
        <v>164</v>
      </c>
      <c r="Q365" s="96">
        <v>150</v>
      </c>
      <c r="R365" s="93">
        <v>6</v>
      </c>
      <c r="S365" s="94">
        <f t="shared" si="72"/>
        <v>171.36</v>
      </c>
      <c r="T365" s="307"/>
    </row>
    <row r="366" spans="2:23" ht="14.25" thickBot="1">
      <c r="B366" s="474"/>
      <c r="C366" s="477"/>
      <c r="D366" s="514"/>
      <c r="E366" s="479"/>
      <c r="F366" s="517"/>
      <c r="G366" s="515"/>
      <c r="H366" s="515"/>
      <c r="I366" s="353">
        <f t="shared" si="70"/>
        <v>8.4299999999999926</v>
      </c>
      <c r="J366" s="23" t="s">
        <v>55</v>
      </c>
      <c r="K366" s="24">
        <f>SUMIFS('[2]BESS 11'!AF:AF,'[2]BESS 11'!$B:$B,$J366)</f>
        <v>10</v>
      </c>
      <c r="L366" s="25">
        <f>SUMIFS('[2]BESS 11'!AG:AG,'[2]BESS 11'!$B:$B,$J366)</f>
        <v>0</v>
      </c>
      <c r="M366" s="26">
        <f t="shared" si="67"/>
        <v>10</v>
      </c>
      <c r="N366" s="27" t="s">
        <v>677</v>
      </c>
      <c r="O366" s="426">
        <f t="shared" si="68"/>
        <v>46277</v>
      </c>
      <c r="P366" s="28" t="s">
        <v>164</v>
      </c>
      <c r="Q366" s="265">
        <v>5</v>
      </c>
      <c r="R366" s="266">
        <v>6</v>
      </c>
      <c r="S366" s="267">
        <f t="shared" si="72"/>
        <v>12</v>
      </c>
      <c r="T366" s="326"/>
    </row>
    <row r="367" spans="2:23">
      <c r="B367" s="472" t="s">
        <v>17</v>
      </c>
      <c r="C367" s="475">
        <v>9</v>
      </c>
      <c r="D367" s="512" t="s">
        <v>761</v>
      </c>
      <c r="E367" s="524" t="s">
        <v>120</v>
      </c>
      <c r="F367" s="512" t="s">
        <v>655</v>
      </c>
      <c r="G367" s="512" t="s">
        <v>656</v>
      </c>
      <c r="H367" s="512" t="s">
        <v>657</v>
      </c>
      <c r="I367" s="54"/>
      <c r="J367" s="48"/>
      <c r="K367" s="49"/>
      <c r="L367" s="45" t="s">
        <v>121</v>
      </c>
      <c r="M367" s="48"/>
      <c r="N367" s="49"/>
      <c r="O367" s="424"/>
      <c r="P367" s="377"/>
      <c r="Q367" s="268"/>
      <c r="R367" s="269"/>
      <c r="S367" s="270"/>
      <c r="T367" s="368"/>
      <c r="W367" s="97"/>
    </row>
    <row r="368" spans="2:23" ht="25.5">
      <c r="B368" s="473"/>
      <c r="C368" s="476"/>
      <c r="D368" s="513"/>
      <c r="E368" s="445"/>
      <c r="F368" s="516"/>
      <c r="G368" s="456"/>
      <c r="H368" s="456"/>
      <c r="I368" s="56">
        <v>9.1</v>
      </c>
      <c r="J368" s="57" t="s">
        <v>19</v>
      </c>
      <c r="K368" s="2">
        <f>SUMIFS('[2]BESS 11'!AJ:AJ,'[2]BESS 11'!$B:$B,$J368)</f>
        <v>48</v>
      </c>
      <c r="L368" s="2">
        <f>SUMIFS('[2]BESS 11'!AK:AK,'[2]BESS 11'!$B:$B,$J368)</f>
        <v>48</v>
      </c>
      <c r="M368" s="2">
        <f t="shared" si="64"/>
        <v>0</v>
      </c>
      <c r="N368" s="63" t="s">
        <v>122</v>
      </c>
      <c r="O368" s="424" t="str">
        <f t="shared" ref="O368:O378" si="73">IF(LEN(N368)=5,N368,(IF(N368="Completed"," ",DATEVALUE(RIGHT(N368,6)))))</f>
        <v xml:space="preserve"> </v>
      </c>
      <c r="P368" s="58" t="s">
        <v>20</v>
      </c>
      <c r="Q368" s="96">
        <v>1</v>
      </c>
      <c r="R368" s="93">
        <v>2</v>
      </c>
      <c r="S368" s="94">
        <f t="shared" ref="S368:S377" si="74">(M368*R368)/Q368</f>
        <v>0</v>
      </c>
      <c r="T368" s="307"/>
    </row>
    <row r="369" spans="2:26" ht="25.5">
      <c r="B369" s="473"/>
      <c r="C369" s="476"/>
      <c r="D369" s="513"/>
      <c r="E369" s="445"/>
      <c r="F369" s="516"/>
      <c r="G369" s="456"/>
      <c r="H369" s="456"/>
      <c r="I369" s="4">
        <v>9.1999999999999993</v>
      </c>
      <c r="J369" s="8" t="s">
        <v>23</v>
      </c>
      <c r="K369" s="1">
        <f>SUMIFS('[2]BESS 11'!AJ:AJ,'[2]BESS 11'!$B:$B,$J369)</f>
        <v>6</v>
      </c>
      <c r="L369" s="2">
        <f>SUMIFS('[2]BESS 11'!AK:AK,'[2]BESS 11'!$B:$B,$J369)</f>
        <v>0</v>
      </c>
      <c r="M369" s="7">
        <f t="shared" si="64"/>
        <v>6</v>
      </c>
      <c r="N369" s="435" t="s">
        <v>246</v>
      </c>
      <c r="O369" s="424">
        <f t="shared" si="73"/>
        <v>46231</v>
      </c>
      <c r="P369" s="5" t="s">
        <v>20</v>
      </c>
      <c r="Q369" s="96">
        <v>1</v>
      </c>
      <c r="R369" s="93">
        <v>16</v>
      </c>
      <c r="S369" s="94">
        <f t="shared" si="74"/>
        <v>96</v>
      </c>
      <c r="T369" s="307"/>
      <c r="W369" s="60"/>
    </row>
    <row r="370" spans="2:26" ht="25.5">
      <c r="B370" s="473"/>
      <c r="C370" s="476"/>
      <c r="D370" s="513"/>
      <c r="E370" s="445"/>
      <c r="F370" s="516"/>
      <c r="G370" s="456"/>
      <c r="H370" s="456"/>
      <c r="I370" s="4">
        <v>9.2999999999999989</v>
      </c>
      <c r="J370" s="8" t="s">
        <v>26</v>
      </c>
      <c r="K370" s="1">
        <f>SUMIFS('[2]BESS 11'!AJ:AJ,'[2]BESS 11'!$B:$B,$J370)</f>
        <v>6</v>
      </c>
      <c r="L370" s="2">
        <f>SUMIFS('[2]BESS 11'!AK:AK,'[2]BESS 11'!$B:$B,$J370)</f>
        <v>3</v>
      </c>
      <c r="M370" s="7">
        <f t="shared" si="64"/>
        <v>3</v>
      </c>
      <c r="N370" s="432" t="s">
        <v>244</v>
      </c>
      <c r="O370" s="424">
        <f t="shared" si="73"/>
        <v>46231</v>
      </c>
      <c r="P370" s="5" t="s">
        <v>20</v>
      </c>
      <c r="Q370" s="96">
        <v>1</v>
      </c>
      <c r="R370" s="93">
        <v>39</v>
      </c>
      <c r="S370" s="94">
        <f t="shared" si="74"/>
        <v>117</v>
      </c>
      <c r="T370" s="307"/>
      <c r="W370" s="60"/>
    </row>
    <row r="371" spans="2:26" ht="25.5">
      <c r="B371" s="473"/>
      <c r="C371" s="476"/>
      <c r="D371" s="513"/>
      <c r="E371" s="445"/>
      <c r="F371" s="516"/>
      <c r="G371" s="456"/>
      <c r="H371" s="456"/>
      <c r="I371" s="4">
        <v>9.3999999999999986</v>
      </c>
      <c r="J371" s="8" t="s">
        <v>32</v>
      </c>
      <c r="K371" s="1">
        <f>SUMIFS('[2]BESS 11'!AJ:AJ,'[2]BESS 11'!$B:$B,$J371)</f>
        <v>1</v>
      </c>
      <c r="L371" s="2">
        <f>SUMIFS('[2]BESS 11'!AK:AK,'[2]BESS 11'!$B:$B,$J371)</f>
        <v>0</v>
      </c>
      <c r="M371" s="7">
        <f t="shared" si="64"/>
        <v>1</v>
      </c>
      <c r="N371" s="432" t="s">
        <v>239</v>
      </c>
      <c r="O371" s="424">
        <f t="shared" si="73"/>
        <v>46231</v>
      </c>
      <c r="P371" s="5" t="s">
        <v>20</v>
      </c>
      <c r="Q371" s="96">
        <v>1</v>
      </c>
      <c r="R371" s="93">
        <v>37</v>
      </c>
      <c r="S371" s="94">
        <f t="shared" si="74"/>
        <v>37</v>
      </c>
      <c r="T371" s="307"/>
      <c r="W371" s="60"/>
    </row>
    <row r="372" spans="2:26" ht="25.5">
      <c r="B372" s="473"/>
      <c r="C372" s="476"/>
      <c r="D372" s="513"/>
      <c r="E372" s="445"/>
      <c r="F372" s="516"/>
      <c r="G372" s="456"/>
      <c r="H372" s="456"/>
      <c r="I372" s="4">
        <v>9.4999999999999982</v>
      </c>
      <c r="J372" s="8" t="s">
        <v>35</v>
      </c>
      <c r="K372" s="1">
        <f>SUMIFS('[2]BESS 11'!AJ:AJ,'[2]BESS 11'!$B:$B,$J372)</f>
        <v>1</v>
      </c>
      <c r="L372" s="2">
        <f>SUMIFS('[2]BESS 11'!AK:AK,'[2]BESS 11'!$B:$B,$J372)</f>
        <v>0</v>
      </c>
      <c r="M372" s="7">
        <f t="shared" si="64"/>
        <v>1</v>
      </c>
      <c r="N372" s="432" t="s">
        <v>245</v>
      </c>
      <c r="O372" s="424">
        <f t="shared" si="73"/>
        <v>46231</v>
      </c>
      <c r="P372" s="5" t="s">
        <v>20</v>
      </c>
      <c r="Q372" s="96">
        <v>1</v>
      </c>
      <c r="R372" s="93">
        <v>34</v>
      </c>
      <c r="S372" s="94">
        <f t="shared" si="74"/>
        <v>34</v>
      </c>
      <c r="T372" s="307"/>
      <c r="W372" s="60"/>
    </row>
    <row r="373" spans="2:26" ht="25.5">
      <c r="B373" s="473"/>
      <c r="C373" s="476"/>
      <c r="D373" s="513"/>
      <c r="E373" s="445"/>
      <c r="F373" s="516"/>
      <c r="G373" s="456"/>
      <c r="H373" s="456"/>
      <c r="I373" s="4">
        <v>9.5999999999999979</v>
      </c>
      <c r="J373" s="8" t="s">
        <v>38</v>
      </c>
      <c r="K373" s="1">
        <f>SUMIFS('[2]BESS 11'!AJ:AJ,'[2]BESS 11'!$B:$B,$J373)</f>
        <v>1</v>
      </c>
      <c r="L373" s="2">
        <f>SUMIFS('[2]BESS 11'!AK:AK,'[2]BESS 11'!$B:$B,$J373)</f>
        <v>0</v>
      </c>
      <c r="M373" s="7">
        <f t="shared" si="64"/>
        <v>1</v>
      </c>
      <c r="N373" s="432" t="s">
        <v>243</v>
      </c>
      <c r="O373" s="424">
        <f t="shared" si="73"/>
        <v>46231</v>
      </c>
      <c r="P373" s="5" t="s">
        <v>20</v>
      </c>
      <c r="Q373" s="96">
        <v>1</v>
      </c>
      <c r="R373" s="93">
        <v>54</v>
      </c>
      <c r="S373" s="94">
        <f t="shared" si="74"/>
        <v>54</v>
      </c>
      <c r="T373" s="307"/>
      <c r="W373" s="60"/>
      <c r="Z373" s="60"/>
    </row>
    <row r="374" spans="2:26">
      <c r="B374" s="473"/>
      <c r="C374" s="476"/>
      <c r="D374" s="513"/>
      <c r="E374" s="445"/>
      <c r="F374" s="516"/>
      <c r="G374" s="456"/>
      <c r="H374" s="456"/>
      <c r="I374" s="56">
        <v>9.6999999999999975</v>
      </c>
      <c r="J374" s="57" t="s">
        <v>44</v>
      </c>
      <c r="K374" s="2">
        <f>SUMIFS('[2]BESS 11'!AJ:AJ,'[2]BESS 11'!$B:$B,$J374)</f>
        <v>3</v>
      </c>
      <c r="L374" s="2">
        <f>SUMIFS('[2]BESS 11'!AK:AK,'[2]BESS 11'!$B:$B,$J374)</f>
        <v>3</v>
      </c>
      <c r="M374" s="2">
        <f t="shared" ref="M374" si="75">K374-L374</f>
        <v>0</v>
      </c>
      <c r="N374" s="63" t="s">
        <v>122</v>
      </c>
      <c r="O374" s="424" t="str">
        <f t="shared" si="73"/>
        <v xml:space="preserve"> </v>
      </c>
      <c r="P374" s="58" t="s">
        <v>45</v>
      </c>
      <c r="Q374" s="96">
        <v>3</v>
      </c>
      <c r="R374" s="93">
        <v>5</v>
      </c>
      <c r="S374" s="94">
        <f t="shared" si="74"/>
        <v>0</v>
      </c>
      <c r="T374" s="307"/>
    </row>
    <row r="375" spans="2:26" ht="25.5">
      <c r="B375" s="473"/>
      <c r="C375" s="476"/>
      <c r="D375" s="513"/>
      <c r="E375" s="445"/>
      <c r="F375" s="516"/>
      <c r="G375" s="456"/>
      <c r="H375" s="456"/>
      <c r="I375" s="4">
        <v>9.7999999999999972</v>
      </c>
      <c r="J375" s="8" t="s">
        <v>40</v>
      </c>
      <c r="K375" s="1">
        <f>SUMIFS('[2]BESS 11'!AJ:AJ,'[2]BESS 11'!$B:$B,$J375)</f>
        <v>6</v>
      </c>
      <c r="L375" s="2">
        <f>SUMIFS('[2]BESS 11'!AK:AK,'[2]BESS 11'!$B:$B,$J375)</f>
        <v>0</v>
      </c>
      <c r="M375" s="7">
        <f t="shared" si="64"/>
        <v>6</v>
      </c>
      <c r="N375" s="432" t="s">
        <v>247</v>
      </c>
      <c r="O375" s="424">
        <f t="shared" si="73"/>
        <v>46231</v>
      </c>
      <c r="P375" s="5" t="s">
        <v>20</v>
      </c>
      <c r="Q375" s="96">
        <v>1</v>
      </c>
      <c r="R375" s="93">
        <v>5</v>
      </c>
      <c r="S375" s="94">
        <f t="shared" si="74"/>
        <v>30</v>
      </c>
      <c r="T375" s="307"/>
      <c r="W375" s="60"/>
    </row>
    <row r="376" spans="2:26">
      <c r="B376" s="473"/>
      <c r="C376" s="476"/>
      <c r="D376" s="513"/>
      <c r="E376" s="445"/>
      <c r="F376" s="516"/>
      <c r="G376" s="456"/>
      <c r="H376" s="456"/>
      <c r="I376" s="4">
        <v>9.8999999999999968</v>
      </c>
      <c r="J376" s="8" t="s">
        <v>30</v>
      </c>
      <c r="K376" s="1">
        <f>SUMIFS('[2]BESS 11'!AJ:AJ,'[2]BESS 11'!$B:$B,$J376)</f>
        <v>6</v>
      </c>
      <c r="L376" s="2">
        <f>SUMIFS('[2]BESS 11'!AK:AK,'[2]BESS 11'!$B:$B,$J376)</f>
        <v>0</v>
      </c>
      <c r="M376" s="7">
        <f t="shared" si="64"/>
        <v>6</v>
      </c>
      <c r="N376" s="436" t="s">
        <v>290</v>
      </c>
      <c r="O376" s="424">
        <f t="shared" si="73"/>
        <v>46242</v>
      </c>
      <c r="P376" s="5" t="s">
        <v>31</v>
      </c>
      <c r="Q376" s="96">
        <v>1</v>
      </c>
      <c r="R376" s="93">
        <v>27</v>
      </c>
      <c r="S376" s="94">
        <f t="shared" si="74"/>
        <v>162</v>
      </c>
      <c r="T376" s="307"/>
    </row>
    <row r="377" spans="2:26">
      <c r="B377" s="473"/>
      <c r="C377" s="476"/>
      <c r="D377" s="513"/>
      <c r="E377" s="445"/>
      <c r="F377" s="516"/>
      <c r="G377" s="456"/>
      <c r="H377" s="456"/>
      <c r="I377" s="6">
        <v>9.1</v>
      </c>
      <c r="J377" s="8" t="s">
        <v>34</v>
      </c>
      <c r="K377" s="1">
        <f>SUMIFS('[2]BESS 11'!AJ:AJ,'[2]BESS 11'!$B:$B,$J377)</f>
        <v>1</v>
      </c>
      <c r="L377" s="2">
        <f>SUMIFS('[2]BESS 11'!AK:AK,'[2]BESS 11'!$B:$B,$J377)</f>
        <v>0</v>
      </c>
      <c r="M377" s="7">
        <f t="shared" si="64"/>
        <v>1</v>
      </c>
      <c r="N377" s="3" t="s">
        <v>291</v>
      </c>
      <c r="O377" s="424">
        <f t="shared" si="73"/>
        <v>46251</v>
      </c>
      <c r="P377" s="5" t="s">
        <v>31</v>
      </c>
      <c r="Q377" s="96">
        <v>1</v>
      </c>
      <c r="R377" s="93">
        <v>25</v>
      </c>
      <c r="S377" s="94">
        <f t="shared" si="74"/>
        <v>25</v>
      </c>
      <c r="T377" s="261"/>
    </row>
    <row r="378" spans="2:26">
      <c r="B378" s="473"/>
      <c r="C378" s="476"/>
      <c r="D378" s="513"/>
      <c r="E378" s="445"/>
      <c r="F378" s="516"/>
      <c r="G378" s="456"/>
      <c r="H378" s="456"/>
      <c r="I378" s="6">
        <v>9.11</v>
      </c>
      <c r="J378" s="8" t="s">
        <v>37</v>
      </c>
      <c r="K378" s="1">
        <f>SUMIFS('[2]BESS 11'!AJ:AJ,'[2]BESS 11'!$B:$B,$J378)</f>
        <v>1</v>
      </c>
      <c r="L378" s="2">
        <f>SUMIFS('[2]BESS 11'!AK:AK,'[2]BESS 11'!$B:$B,$J378)</f>
        <v>0</v>
      </c>
      <c r="M378" s="7">
        <f t="shared" si="64"/>
        <v>1</v>
      </c>
      <c r="N378" s="436" t="s">
        <v>300</v>
      </c>
      <c r="O378" s="424">
        <f t="shared" si="73"/>
        <v>46241</v>
      </c>
      <c r="P378" s="5" t="s">
        <v>123</v>
      </c>
      <c r="Q378" s="96" t="s">
        <v>89</v>
      </c>
      <c r="R378" s="93" t="s">
        <v>89</v>
      </c>
      <c r="S378" s="94" t="s">
        <v>89</v>
      </c>
      <c r="T378" s="261"/>
    </row>
    <row r="379" spans="2:26">
      <c r="B379" s="473"/>
      <c r="C379" s="476"/>
      <c r="D379" s="513"/>
      <c r="E379" s="445"/>
      <c r="F379" s="516"/>
      <c r="G379" s="456"/>
      <c r="H379" s="456"/>
      <c r="I379" s="44"/>
      <c r="J379" s="50"/>
      <c r="K379" s="61"/>
      <c r="L379" s="52" t="s">
        <v>124</v>
      </c>
      <c r="M379" s="51"/>
      <c r="N379" s="61"/>
      <c r="O379" s="424"/>
      <c r="P379" s="87"/>
      <c r="Q379" s="96"/>
      <c r="R379" s="93"/>
      <c r="S379" s="94"/>
      <c r="T379" s="261"/>
    </row>
    <row r="380" spans="2:26">
      <c r="B380" s="473"/>
      <c r="C380" s="476"/>
      <c r="D380" s="513"/>
      <c r="E380" s="445"/>
      <c r="F380" s="516"/>
      <c r="G380" s="456"/>
      <c r="H380" s="456"/>
      <c r="I380" s="6">
        <v>9.1199999999999992</v>
      </c>
      <c r="J380" s="8" t="s">
        <v>24</v>
      </c>
      <c r="K380" s="1">
        <f>SUMIFS('[2]BESS 11'!AJ:AJ,'[2]BESS 11'!$B:$B,$J380)</f>
        <v>6</v>
      </c>
      <c r="L380" s="2">
        <f>SUMIFS('[2]BESS 11'!AK:AK,'[2]BESS 11'!$B:$B,$J380)</f>
        <v>0</v>
      </c>
      <c r="M380" s="7">
        <f t="shared" ref="M380:M411" si="76">K380-L380</f>
        <v>6</v>
      </c>
      <c r="N380" s="20">
        <v>46249</v>
      </c>
      <c r="O380" s="424">
        <f t="shared" ref="O380:O411" si="77">IF(LEN(N380)=5,N380,(IF(N380="Completed"," ",DATEVALUE(RIGHT(N380,6)))))</f>
        <v>46249</v>
      </c>
      <c r="P380" s="5" t="s">
        <v>164</v>
      </c>
      <c r="Q380" s="96">
        <v>2</v>
      </c>
      <c r="R380" s="93">
        <v>8</v>
      </c>
      <c r="S380" s="94">
        <f>(M380*R380)/Q380</f>
        <v>24</v>
      </c>
      <c r="T380" s="261"/>
    </row>
    <row r="381" spans="2:26">
      <c r="B381" s="473"/>
      <c r="C381" s="476"/>
      <c r="D381" s="513"/>
      <c r="E381" s="445"/>
      <c r="F381" s="516"/>
      <c r="G381" s="456"/>
      <c r="H381" s="456"/>
      <c r="I381" s="6">
        <v>9.129999999999999</v>
      </c>
      <c r="J381" s="8" t="s">
        <v>27</v>
      </c>
      <c r="K381" s="1">
        <f>SUMIFS('[2]BESS 11'!AJ:AJ,'[2]BESS 11'!$B:$B,$J381)</f>
        <v>48</v>
      </c>
      <c r="L381" s="2">
        <f>SUMIFS('[2]BESS 11'!AK:AK,'[2]BESS 11'!$B:$B,$J381)</f>
        <v>0</v>
      </c>
      <c r="M381" s="7">
        <f t="shared" si="76"/>
        <v>48</v>
      </c>
      <c r="N381" s="3">
        <v>46249</v>
      </c>
      <c r="O381" s="424">
        <f t="shared" si="77"/>
        <v>46249</v>
      </c>
      <c r="P381" s="5" t="s">
        <v>164</v>
      </c>
      <c r="Q381" s="96">
        <v>10</v>
      </c>
      <c r="R381" s="93">
        <v>8</v>
      </c>
      <c r="S381" s="94">
        <f>(M381*R381)/Q381</f>
        <v>38.4</v>
      </c>
      <c r="T381" s="261"/>
    </row>
    <row r="382" spans="2:26">
      <c r="B382" s="473"/>
      <c r="C382" s="476"/>
      <c r="D382" s="513"/>
      <c r="E382" s="445"/>
      <c r="F382" s="516"/>
      <c r="G382" s="456"/>
      <c r="H382" s="456"/>
      <c r="I382" s="6">
        <v>9.1399999999999988</v>
      </c>
      <c r="J382" s="8" t="s">
        <v>28</v>
      </c>
      <c r="K382" s="1">
        <f>SUMIFS('[2]BESS 11'!AJ:AJ,'[2]BESS 11'!$B:$B,$J382)</f>
        <v>6</v>
      </c>
      <c r="L382" s="2">
        <f>SUMIFS('[2]BESS 11'!AK:AK,'[2]BESS 11'!$B:$B,$J382)</f>
        <v>0</v>
      </c>
      <c r="M382" s="7">
        <f t="shared" si="76"/>
        <v>6</v>
      </c>
      <c r="N382" s="3">
        <v>46252</v>
      </c>
      <c r="O382" s="424">
        <f t="shared" si="77"/>
        <v>46252</v>
      </c>
      <c r="P382" s="5" t="s">
        <v>164</v>
      </c>
      <c r="Q382" s="96">
        <v>5</v>
      </c>
      <c r="R382" s="93">
        <v>4</v>
      </c>
      <c r="S382" s="94">
        <f>(M382*R382)/Q382</f>
        <v>4.8</v>
      </c>
      <c r="T382" s="261"/>
    </row>
    <row r="383" spans="2:26" ht="25.5">
      <c r="B383" s="473"/>
      <c r="C383" s="476"/>
      <c r="D383" s="513"/>
      <c r="E383" s="445"/>
      <c r="F383" s="516"/>
      <c r="G383" s="456"/>
      <c r="H383" s="456"/>
      <c r="I383" s="6">
        <v>9.1499999999999986</v>
      </c>
      <c r="J383" s="8" t="s">
        <v>29</v>
      </c>
      <c r="K383" s="1">
        <f>SUMIFS('[2]BESS 11'!AJ:AJ,'[2]BESS 11'!$B:$B,$J383)</f>
        <v>6</v>
      </c>
      <c r="L383" s="2">
        <f>SUMIFS('[2]BESS 11'!AK:AK,'[2]BESS 11'!$B:$B,$J383)</f>
        <v>0</v>
      </c>
      <c r="M383" s="7">
        <f t="shared" si="76"/>
        <v>6</v>
      </c>
      <c r="N383" s="3">
        <v>46249</v>
      </c>
      <c r="O383" s="424">
        <f t="shared" si="77"/>
        <v>46249</v>
      </c>
      <c r="P383" s="5" t="s">
        <v>164</v>
      </c>
      <c r="Q383" s="96">
        <v>20</v>
      </c>
      <c r="R383" s="527">
        <v>8</v>
      </c>
      <c r="S383" s="527">
        <v>4</v>
      </c>
      <c r="T383" s="261"/>
    </row>
    <row r="384" spans="2:26">
      <c r="B384" s="473"/>
      <c r="C384" s="476"/>
      <c r="D384" s="513"/>
      <c r="E384" s="445"/>
      <c r="F384" s="516"/>
      <c r="G384" s="456"/>
      <c r="H384" s="456"/>
      <c r="I384" s="6">
        <v>9.1599999999999984</v>
      </c>
      <c r="J384" s="8" t="s">
        <v>33</v>
      </c>
      <c r="K384" s="1">
        <f>SUMIFS('[2]BESS 11'!AJ:AJ,'[2]BESS 11'!$B:$B,$J384)</f>
        <v>2</v>
      </c>
      <c r="L384" s="2">
        <f>SUMIFS('[2]BESS 11'!AK:AK,'[2]BESS 11'!$B:$B,$J384)</f>
        <v>0</v>
      </c>
      <c r="M384" s="7">
        <f t="shared" si="76"/>
        <v>2</v>
      </c>
      <c r="N384" s="3">
        <v>46249</v>
      </c>
      <c r="O384" s="424">
        <f t="shared" si="77"/>
        <v>46249</v>
      </c>
      <c r="P384" s="5" t="s">
        <v>164</v>
      </c>
      <c r="Q384" s="96">
        <v>10</v>
      </c>
      <c r="R384" s="528"/>
      <c r="S384" s="528"/>
      <c r="T384" s="307"/>
    </row>
    <row r="385" spans="2:20">
      <c r="B385" s="473"/>
      <c r="C385" s="476"/>
      <c r="D385" s="513"/>
      <c r="E385" s="445"/>
      <c r="F385" s="516"/>
      <c r="G385" s="456"/>
      <c r="H385" s="456"/>
      <c r="I385" s="6">
        <v>9.1699999999999982</v>
      </c>
      <c r="J385" s="8" t="s">
        <v>36</v>
      </c>
      <c r="K385" s="1">
        <f>SUMIFS('[2]BESS 11'!AJ:AJ,'[2]BESS 11'!$B:$B,$J385)</f>
        <v>1</v>
      </c>
      <c r="L385" s="2">
        <f>SUMIFS('[2]BESS 11'!AK:AK,'[2]BESS 11'!$B:$B,$J385)</f>
        <v>0</v>
      </c>
      <c r="M385" s="7">
        <f t="shared" si="76"/>
        <v>1</v>
      </c>
      <c r="N385" s="3">
        <v>46256</v>
      </c>
      <c r="O385" s="424">
        <f t="shared" si="77"/>
        <v>46256</v>
      </c>
      <c r="P385" s="5" t="s">
        <v>164</v>
      </c>
      <c r="Q385" s="96">
        <v>10</v>
      </c>
      <c r="R385" s="528"/>
      <c r="S385" s="528"/>
      <c r="T385" s="307"/>
    </row>
    <row r="386" spans="2:20">
      <c r="B386" s="473"/>
      <c r="C386" s="476"/>
      <c r="D386" s="513"/>
      <c r="E386" s="445"/>
      <c r="F386" s="516"/>
      <c r="G386" s="456"/>
      <c r="H386" s="456"/>
      <c r="I386" s="6">
        <v>9.1799999999999979</v>
      </c>
      <c r="J386" s="8" t="s">
        <v>39</v>
      </c>
      <c r="K386" s="1">
        <f>SUMIFS('[2]BESS 11'!AJ:AJ,'[2]BESS 11'!$B:$B,$J386)</f>
        <v>1</v>
      </c>
      <c r="L386" s="2">
        <f>SUMIFS('[2]BESS 11'!AK:AK,'[2]BESS 11'!$B:$B,$J386)</f>
        <v>0</v>
      </c>
      <c r="M386" s="7">
        <f t="shared" si="76"/>
        <v>1</v>
      </c>
      <c r="N386" s="3">
        <v>46256</v>
      </c>
      <c r="O386" s="424">
        <f t="shared" si="77"/>
        <v>46256</v>
      </c>
      <c r="P386" s="5" t="s">
        <v>164</v>
      </c>
      <c r="Q386" s="96">
        <v>10</v>
      </c>
      <c r="R386" s="528"/>
      <c r="S386" s="528"/>
      <c r="T386" s="307"/>
    </row>
    <row r="387" spans="2:20">
      <c r="B387" s="473"/>
      <c r="C387" s="476"/>
      <c r="D387" s="513"/>
      <c r="E387" s="445"/>
      <c r="F387" s="516"/>
      <c r="G387" s="456"/>
      <c r="H387" s="456"/>
      <c r="I387" s="6">
        <v>9.1899999999999977</v>
      </c>
      <c r="J387" s="8" t="s">
        <v>41</v>
      </c>
      <c r="K387" s="1">
        <f>SUMIFS('[2]BESS 11'!AJ:AJ,'[2]BESS 11'!$B:$B,$J387)</f>
        <v>6</v>
      </c>
      <c r="L387" s="2">
        <f>SUMIFS('[2]BESS 11'!AK:AK,'[2]BESS 11'!$B:$B,$J387)</f>
        <v>0</v>
      </c>
      <c r="M387" s="7">
        <f t="shared" si="76"/>
        <v>6</v>
      </c>
      <c r="N387" s="3" t="s">
        <v>321</v>
      </c>
      <c r="O387" s="424">
        <f t="shared" si="77"/>
        <v>46254</v>
      </c>
      <c r="P387" s="140" t="s">
        <v>125</v>
      </c>
      <c r="Q387" s="96">
        <v>20</v>
      </c>
      <c r="R387" s="529"/>
      <c r="S387" s="529"/>
      <c r="T387" s="307"/>
    </row>
    <row r="388" spans="2:20">
      <c r="B388" s="473"/>
      <c r="C388" s="476"/>
      <c r="D388" s="513"/>
      <c r="E388" s="445"/>
      <c r="F388" s="516"/>
      <c r="G388" s="456"/>
      <c r="H388" s="456"/>
      <c r="I388" s="6">
        <v>9.1999999999999975</v>
      </c>
      <c r="J388" s="8" t="s">
        <v>43</v>
      </c>
      <c r="K388" s="1">
        <f>SUMIFS('[2]BESS 11'!AJ:AJ,'[2]BESS 11'!$B:$B,$J388)</f>
        <v>6</v>
      </c>
      <c r="L388" s="2">
        <f>SUMIFS('[2]BESS 11'!AK:AK,'[2]BESS 11'!$B:$B,$J388)</f>
        <v>0</v>
      </c>
      <c r="M388" s="7">
        <f t="shared" si="76"/>
        <v>6</v>
      </c>
      <c r="N388" s="3" t="s">
        <v>322</v>
      </c>
      <c r="O388" s="424">
        <f t="shared" si="77"/>
        <v>46259</v>
      </c>
      <c r="P388" s="140" t="s">
        <v>125</v>
      </c>
      <c r="Q388" s="96">
        <v>0.66666666666666663</v>
      </c>
      <c r="R388" s="93">
        <v>0</v>
      </c>
      <c r="S388" s="94">
        <f t="shared" ref="S388:S400" si="78">(M388*R388)/Q388</f>
        <v>0</v>
      </c>
      <c r="T388" s="307"/>
    </row>
    <row r="389" spans="2:20" ht="25.5">
      <c r="B389" s="473"/>
      <c r="C389" s="476"/>
      <c r="D389" s="513"/>
      <c r="E389" s="445"/>
      <c r="F389" s="516"/>
      <c r="G389" s="456"/>
      <c r="H389" s="456"/>
      <c r="I389" s="6">
        <v>9.2099999999999973</v>
      </c>
      <c r="J389" s="8" t="s">
        <v>21</v>
      </c>
      <c r="K389" s="1">
        <f>SUMIFS('[2]BESS 11'!AJ:AJ,'[2]BESS 11'!$B:$B,$J389)</f>
        <v>48</v>
      </c>
      <c r="L389" s="2">
        <f>SUMIFS('[2]BESS 11'!AK:AK,'[2]BESS 11'!$B:$B,$J389)</f>
        <v>0</v>
      </c>
      <c r="M389" s="7">
        <f t="shared" si="76"/>
        <v>48</v>
      </c>
      <c r="N389" s="20" t="s">
        <v>437</v>
      </c>
      <c r="O389" s="424">
        <f t="shared" si="77"/>
        <v>46275</v>
      </c>
      <c r="P389" s="5" t="s">
        <v>449</v>
      </c>
      <c r="Q389" s="96">
        <v>10</v>
      </c>
      <c r="R389" s="93">
        <v>4</v>
      </c>
      <c r="S389" s="94">
        <f t="shared" si="78"/>
        <v>19.2</v>
      </c>
      <c r="T389" s="307"/>
    </row>
    <row r="390" spans="2:20">
      <c r="B390" s="473"/>
      <c r="C390" s="476"/>
      <c r="D390" s="513"/>
      <c r="E390" s="445"/>
      <c r="F390" s="516"/>
      <c r="G390" s="456"/>
      <c r="H390" s="456"/>
      <c r="I390" s="6">
        <v>9.2199999999999971</v>
      </c>
      <c r="J390" s="8" t="s">
        <v>47</v>
      </c>
      <c r="K390" s="1">
        <f>SUMIFS('[2]BESS 11'!AJ:AJ,'[2]BESS 11'!$B:$B,$J390)</f>
        <v>4518.4799999999996</v>
      </c>
      <c r="L390" s="2">
        <f>SUMIFS('[2]BESS 11'!AK:AK,'[2]BESS 11'!$B:$B,$J390)</f>
        <v>0</v>
      </c>
      <c r="M390" s="7">
        <f t="shared" si="76"/>
        <v>4518.4799999999996</v>
      </c>
      <c r="N390" s="3">
        <v>46247</v>
      </c>
      <c r="O390" s="424">
        <f t="shared" si="77"/>
        <v>46247</v>
      </c>
      <c r="P390" s="5" t="s">
        <v>164</v>
      </c>
      <c r="Q390" s="96">
        <v>1500</v>
      </c>
      <c r="R390" s="93">
        <v>48</v>
      </c>
      <c r="S390" s="94">
        <f t="shared" si="78"/>
        <v>144.59135999999998</v>
      </c>
      <c r="T390" s="307"/>
    </row>
    <row r="391" spans="2:20">
      <c r="B391" s="473"/>
      <c r="C391" s="476"/>
      <c r="D391" s="513"/>
      <c r="E391" s="445"/>
      <c r="F391" s="516"/>
      <c r="G391" s="456"/>
      <c r="H391" s="456"/>
      <c r="I391" s="6">
        <v>9.2299999999999969</v>
      </c>
      <c r="J391" s="8" t="s">
        <v>48</v>
      </c>
      <c r="K391" s="1">
        <f>SUMIFS('[2]BESS 11'!AJ:AJ,'[2]BESS 11'!$B:$B,$J391)</f>
        <v>28</v>
      </c>
      <c r="L391" s="2">
        <f>SUMIFS('[2]BESS 11'!AK:AK,'[2]BESS 11'!$B:$B,$J391)</f>
        <v>0</v>
      </c>
      <c r="M391" s="7">
        <f t="shared" si="76"/>
        <v>28</v>
      </c>
      <c r="N391" s="3">
        <v>46263</v>
      </c>
      <c r="O391" s="424">
        <f t="shared" si="77"/>
        <v>46263</v>
      </c>
      <c r="P391" s="5" t="s">
        <v>164</v>
      </c>
      <c r="Q391" s="96">
        <v>8</v>
      </c>
      <c r="R391" s="93">
        <v>6</v>
      </c>
      <c r="S391" s="94">
        <f t="shared" si="78"/>
        <v>21</v>
      </c>
      <c r="T391" s="307"/>
    </row>
    <row r="392" spans="2:20">
      <c r="B392" s="473"/>
      <c r="C392" s="476"/>
      <c r="D392" s="513"/>
      <c r="E392" s="445"/>
      <c r="F392" s="516"/>
      <c r="G392" s="456"/>
      <c r="H392" s="456"/>
      <c r="I392" s="6">
        <f t="shared" ref="I392:I411" si="79">I391+0.01</f>
        <v>9.2399999999999967</v>
      </c>
      <c r="J392" s="8" t="s">
        <v>126</v>
      </c>
      <c r="K392" s="1">
        <f>SUMIFS('[2]BESS 11'!AJ:AJ,'[2]BESS 11'!$B:$B,$J392)</f>
        <v>14288</v>
      </c>
      <c r="L392" s="2">
        <f>SUMIFS('[2]BESS 11'!AK:AK,'[2]BESS 11'!$B:$B,$J392)</f>
        <v>0</v>
      </c>
      <c r="M392" s="7">
        <f t="shared" si="76"/>
        <v>14288</v>
      </c>
      <c r="N392" s="3">
        <v>46253</v>
      </c>
      <c r="O392" s="424">
        <f t="shared" si="77"/>
        <v>46253</v>
      </c>
      <c r="P392" s="5" t="s">
        <v>164</v>
      </c>
      <c r="Q392" s="96">
        <v>600</v>
      </c>
      <c r="R392" s="93">
        <v>10</v>
      </c>
      <c r="S392" s="94">
        <f t="shared" si="78"/>
        <v>238.13333333333333</v>
      </c>
      <c r="T392" s="307"/>
    </row>
    <row r="393" spans="2:20">
      <c r="B393" s="473"/>
      <c r="C393" s="476"/>
      <c r="D393" s="513"/>
      <c r="E393" s="445"/>
      <c r="F393" s="516"/>
      <c r="G393" s="456"/>
      <c r="H393" s="456"/>
      <c r="I393" s="6">
        <f t="shared" si="79"/>
        <v>9.2499999999999964</v>
      </c>
      <c r="J393" s="8" t="s">
        <v>127</v>
      </c>
      <c r="K393" s="1">
        <f>SUMIFS('[2]BESS 11'!AJ:AJ,'[2]BESS 11'!$B:$B,$J393)</f>
        <v>47492</v>
      </c>
      <c r="L393" s="2">
        <f>SUMIFS('[2]BESS 11'!AK:AK,'[2]BESS 11'!$B:$B,$J393)</f>
        <v>0</v>
      </c>
      <c r="M393" s="7">
        <f t="shared" si="76"/>
        <v>47492</v>
      </c>
      <c r="N393" s="3">
        <v>46247</v>
      </c>
      <c r="O393" s="424">
        <f t="shared" si="77"/>
        <v>46247</v>
      </c>
      <c r="P393" s="5" t="s">
        <v>164</v>
      </c>
      <c r="Q393" s="96">
        <v>600</v>
      </c>
      <c r="R393" s="93">
        <v>10</v>
      </c>
      <c r="S393" s="94">
        <f t="shared" si="78"/>
        <v>791.5333333333333</v>
      </c>
      <c r="T393" s="307"/>
    </row>
    <row r="394" spans="2:20">
      <c r="B394" s="473"/>
      <c r="C394" s="476"/>
      <c r="D394" s="513"/>
      <c r="E394" s="445"/>
      <c r="F394" s="516"/>
      <c r="G394" s="456"/>
      <c r="H394" s="456"/>
      <c r="I394" s="6">
        <f t="shared" si="79"/>
        <v>9.2599999999999962</v>
      </c>
      <c r="J394" s="8" t="s">
        <v>128</v>
      </c>
      <c r="K394" s="1">
        <f>SUMIFS('[2]BESS 11'!AJ:AJ,'[2]BESS 11'!$B:$B,$J394)</f>
        <v>1536</v>
      </c>
      <c r="L394" s="2">
        <f>SUMIFS('[2]BESS 11'!AK:AK,'[2]BESS 11'!$B:$B,$J394)</f>
        <v>0</v>
      </c>
      <c r="M394" s="7">
        <f t="shared" si="76"/>
        <v>1536</v>
      </c>
      <c r="N394" s="3" t="s">
        <v>439</v>
      </c>
      <c r="O394" s="424">
        <f t="shared" si="77"/>
        <v>46279</v>
      </c>
      <c r="P394" s="5" t="s">
        <v>164</v>
      </c>
      <c r="Q394" s="96">
        <v>30</v>
      </c>
      <c r="R394" s="93">
        <v>18</v>
      </c>
      <c r="S394" s="94">
        <f t="shared" si="78"/>
        <v>921.6</v>
      </c>
      <c r="T394" s="307"/>
    </row>
    <row r="395" spans="2:20">
      <c r="B395" s="473"/>
      <c r="C395" s="476"/>
      <c r="D395" s="513"/>
      <c r="E395" s="445"/>
      <c r="F395" s="516"/>
      <c r="G395" s="456"/>
      <c r="H395" s="456"/>
      <c r="I395" s="6">
        <f t="shared" si="79"/>
        <v>9.269999999999996</v>
      </c>
      <c r="J395" s="8" t="s">
        <v>129</v>
      </c>
      <c r="K395" s="1">
        <f>SUMIFS('[2]BESS 11'!AJ:AJ,'[2]BESS 11'!$B:$B,$J395)</f>
        <v>2304</v>
      </c>
      <c r="L395" s="2">
        <f>SUMIFS('[2]BESS 11'!AK:AK,'[2]BESS 11'!$B:$B,$J395)</f>
        <v>0</v>
      </c>
      <c r="M395" s="7">
        <f t="shared" si="76"/>
        <v>2304</v>
      </c>
      <c r="N395" s="3" t="s">
        <v>439</v>
      </c>
      <c r="O395" s="424">
        <f t="shared" si="77"/>
        <v>46279</v>
      </c>
      <c r="P395" s="5" t="s">
        <v>164</v>
      </c>
      <c r="Q395" s="96">
        <v>30</v>
      </c>
      <c r="R395" s="93">
        <v>18</v>
      </c>
      <c r="S395" s="94">
        <f t="shared" si="78"/>
        <v>1382.4</v>
      </c>
      <c r="T395" s="307"/>
    </row>
    <row r="396" spans="2:20">
      <c r="B396" s="473"/>
      <c r="C396" s="476"/>
      <c r="D396" s="513"/>
      <c r="E396" s="445"/>
      <c r="F396" s="516"/>
      <c r="G396" s="456"/>
      <c r="H396" s="456"/>
      <c r="I396" s="6">
        <f t="shared" si="79"/>
        <v>9.2799999999999958</v>
      </c>
      <c r="J396" s="8" t="s">
        <v>130</v>
      </c>
      <c r="K396" s="1">
        <f>SUMIFS('[2]BESS 11'!AJ:AJ,'[2]BESS 11'!$B:$B,$J396)</f>
        <v>8232</v>
      </c>
      <c r="L396" s="2">
        <f>SUMIFS('[2]BESS 11'!AK:AK,'[2]BESS 11'!$B:$B,$J396)</f>
        <v>0</v>
      </c>
      <c r="M396" s="7">
        <f t="shared" ref="M396:M410" si="80">K396-L396</f>
        <v>8232</v>
      </c>
      <c r="N396" s="3">
        <v>46257</v>
      </c>
      <c r="O396" s="424">
        <f t="shared" si="77"/>
        <v>46257</v>
      </c>
      <c r="P396" s="5" t="s">
        <v>164</v>
      </c>
      <c r="Q396" s="96">
        <v>800</v>
      </c>
      <c r="R396" s="93">
        <v>10</v>
      </c>
      <c r="S396" s="94">
        <f t="shared" si="78"/>
        <v>102.9</v>
      </c>
      <c r="T396" s="307"/>
    </row>
    <row r="397" spans="2:20">
      <c r="B397" s="473"/>
      <c r="C397" s="476"/>
      <c r="D397" s="513"/>
      <c r="E397" s="445"/>
      <c r="F397" s="516"/>
      <c r="G397" s="456"/>
      <c r="H397" s="456"/>
      <c r="I397" s="6">
        <f t="shared" si="79"/>
        <v>9.2899999999999956</v>
      </c>
      <c r="J397" s="8" t="s">
        <v>131</v>
      </c>
      <c r="K397" s="1">
        <f>SUMIFS('[2]BESS 11'!AJ:AJ,'[2]BESS 11'!$B:$B,$J397)</f>
        <v>14448</v>
      </c>
      <c r="L397" s="2">
        <f>SUMIFS('[2]BESS 11'!AK:AK,'[2]BESS 11'!$B:$B,$J397)</f>
        <v>0</v>
      </c>
      <c r="M397" s="7">
        <f t="shared" si="80"/>
        <v>14448</v>
      </c>
      <c r="N397" s="3">
        <v>46257</v>
      </c>
      <c r="O397" s="424">
        <f t="shared" si="77"/>
        <v>46257</v>
      </c>
      <c r="P397" s="5" t="s">
        <v>164</v>
      </c>
      <c r="Q397" s="96">
        <v>1000</v>
      </c>
      <c r="R397" s="93">
        <v>10</v>
      </c>
      <c r="S397" s="94">
        <f t="shared" si="78"/>
        <v>144.47999999999999</v>
      </c>
      <c r="T397" s="307"/>
    </row>
    <row r="398" spans="2:20">
      <c r="B398" s="473"/>
      <c r="C398" s="476"/>
      <c r="D398" s="513"/>
      <c r="E398" s="445"/>
      <c r="F398" s="516"/>
      <c r="G398" s="456"/>
      <c r="H398" s="456"/>
      <c r="I398" s="6">
        <f t="shared" si="79"/>
        <v>9.2999999999999954</v>
      </c>
      <c r="J398" s="8" t="s">
        <v>132</v>
      </c>
      <c r="K398" s="1">
        <f>SUMIFS('[2]BESS 11'!AJ:AJ,'[2]BESS 11'!$B:$B,$J398)</f>
        <v>4792</v>
      </c>
      <c r="L398" s="2">
        <f>SUMIFS('[2]BESS 11'!AK:AK,'[2]BESS 11'!$B:$B,$J398)</f>
        <v>0</v>
      </c>
      <c r="M398" s="7">
        <f t="shared" si="80"/>
        <v>4792</v>
      </c>
      <c r="N398" s="3">
        <v>46257</v>
      </c>
      <c r="O398" s="424">
        <f t="shared" si="77"/>
        <v>46257</v>
      </c>
      <c r="P398" s="5" t="s">
        <v>164</v>
      </c>
      <c r="Q398" s="96">
        <v>500</v>
      </c>
      <c r="R398" s="93">
        <v>10</v>
      </c>
      <c r="S398" s="94">
        <f t="shared" si="78"/>
        <v>95.84</v>
      </c>
      <c r="T398" s="307"/>
    </row>
    <row r="399" spans="2:20">
      <c r="B399" s="473"/>
      <c r="C399" s="476"/>
      <c r="D399" s="513"/>
      <c r="E399" s="445"/>
      <c r="F399" s="516"/>
      <c r="G399" s="456"/>
      <c r="H399" s="456"/>
      <c r="I399" s="6">
        <f t="shared" si="79"/>
        <v>9.3099999999999952</v>
      </c>
      <c r="J399" s="8" t="s">
        <v>133</v>
      </c>
      <c r="K399" s="1">
        <f>SUMIFS('[2]BESS 11'!AJ:AJ,'[2]BESS 11'!$B:$B,$J399)</f>
        <v>286</v>
      </c>
      <c r="L399" s="2">
        <f>SUMIFS('[2]BESS 11'!AK:AK,'[2]BESS 11'!$B:$B,$J399)</f>
        <v>0</v>
      </c>
      <c r="M399" s="7">
        <f t="shared" si="80"/>
        <v>286</v>
      </c>
      <c r="N399" s="3" t="s">
        <v>439</v>
      </c>
      <c r="O399" s="424">
        <f t="shared" si="77"/>
        <v>46279</v>
      </c>
      <c r="P399" s="5" t="s">
        <v>164</v>
      </c>
      <c r="Q399" s="96">
        <v>30</v>
      </c>
      <c r="R399" s="93">
        <v>6</v>
      </c>
      <c r="S399" s="94">
        <f t="shared" si="78"/>
        <v>57.2</v>
      </c>
      <c r="T399" s="307"/>
    </row>
    <row r="400" spans="2:20">
      <c r="B400" s="473"/>
      <c r="C400" s="476"/>
      <c r="D400" s="513"/>
      <c r="E400" s="445"/>
      <c r="F400" s="516"/>
      <c r="G400" s="456"/>
      <c r="H400" s="456"/>
      <c r="I400" s="6">
        <f t="shared" si="79"/>
        <v>9.319999999999995</v>
      </c>
      <c r="J400" s="8" t="s">
        <v>134</v>
      </c>
      <c r="K400" s="1">
        <f>SUMIFS('[2]BESS 11'!AJ:AJ,'[2]BESS 11'!$B:$B,$J400)</f>
        <v>536</v>
      </c>
      <c r="L400" s="2">
        <f>SUMIFS('[2]BESS 11'!AK:AK,'[2]BESS 11'!$B:$B,$J400)</f>
        <v>0</v>
      </c>
      <c r="M400" s="7">
        <f t="shared" si="80"/>
        <v>536</v>
      </c>
      <c r="N400" s="3" t="s">
        <v>439</v>
      </c>
      <c r="O400" s="424">
        <f t="shared" si="77"/>
        <v>46279</v>
      </c>
      <c r="P400" s="5" t="s">
        <v>443</v>
      </c>
      <c r="Q400" s="96">
        <v>30</v>
      </c>
      <c r="R400" s="93">
        <v>4</v>
      </c>
      <c r="S400" s="94">
        <f t="shared" si="78"/>
        <v>71.466666666666669</v>
      </c>
      <c r="T400" s="307"/>
    </row>
    <row r="401" spans="2:22" ht="25.5">
      <c r="B401" s="473"/>
      <c r="C401" s="476"/>
      <c r="D401" s="513"/>
      <c r="E401" s="445"/>
      <c r="F401" s="516"/>
      <c r="G401" s="456"/>
      <c r="H401" s="456"/>
      <c r="I401" s="6">
        <f t="shared" si="79"/>
        <v>9.3299999999999947</v>
      </c>
      <c r="J401" s="8" t="s">
        <v>136</v>
      </c>
      <c r="K401" s="1">
        <f>SUMIFS('[2]BESS 11'!AJ:AJ,'[2]BESS 11'!$B:$B,$J401)</f>
        <v>384</v>
      </c>
      <c r="L401" s="2">
        <f>SUMIFS('[2]BESS 11'!AK:AK,'[2]BESS 11'!$B:$B,$J401)</f>
        <v>0</v>
      </c>
      <c r="M401" s="7">
        <f t="shared" si="80"/>
        <v>384</v>
      </c>
      <c r="N401" s="3" t="s">
        <v>439</v>
      </c>
      <c r="O401" s="424">
        <f t="shared" si="77"/>
        <v>46279</v>
      </c>
      <c r="P401" s="5" t="s">
        <v>443</v>
      </c>
      <c r="Q401" s="96" t="s">
        <v>89</v>
      </c>
      <c r="R401" s="93" t="s">
        <v>89</v>
      </c>
      <c r="S401" s="94" t="s">
        <v>89</v>
      </c>
      <c r="T401" s="307"/>
      <c r="U401">
        <f ca="1">O401-$T$1</f>
        <v>46</v>
      </c>
      <c r="V401" s="97">
        <f>SUM(S380:S411)</f>
        <v>4402.2380266666669</v>
      </c>
    </row>
    <row r="402" spans="2:22">
      <c r="B402" s="473"/>
      <c r="C402" s="476"/>
      <c r="D402" s="513"/>
      <c r="E402" s="445"/>
      <c r="F402" s="516"/>
      <c r="G402" s="456"/>
      <c r="H402" s="456"/>
      <c r="I402" s="6">
        <f t="shared" si="79"/>
        <v>9.3399999999999945</v>
      </c>
      <c r="J402" s="8" t="s">
        <v>137</v>
      </c>
      <c r="K402" s="1">
        <f>SUMIFS('[2]BESS 11'!AJ:AJ,'[2]BESS 11'!$B:$B,$J402)</f>
        <v>6</v>
      </c>
      <c r="L402" s="2">
        <f>SUMIFS('[2]BESS 11'!AK:AK,'[2]BESS 11'!$B:$B,$J402)</f>
        <v>0</v>
      </c>
      <c r="M402" s="7">
        <f t="shared" si="80"/>
        <v>6</v>
      </c>
      <c r="N402" s="3">
        <v>46252</v>
      </c>
      <c r="O402" s="424">
        <f t="shared" si="77"/>
        <v>46252</v>
      </c>
      <c r="P402" s="5" t="s">
        <v>138</v>
      </c>
      <c r="Q402" s="533">
        <v>2</v>
      </c>
      <c r="R402" s="527">
        <v>8</v>
      </c>
      <c r="S402" s="94" t="s">
        <v>89</v>
      </c>
      <c r="T402" s="307"/>
    </row>
    <row r="403" spans="2:22">
      <c r="B403" s="473"/>
      <c r="C403" s="476"/>
      <c r="D403" s="513"/>
      <c r="E403" s="445"/>
      <c r="F403" s="516"/>
      <c r="G403" s="456"/>
      <c r="H403" s="456"/>
      <c r="I403" s="6">
        <f t="shared" si="79"/>
        <v>9.3499999999999943</v>
      </c>
      <c r="J403" s="8" t="s">
        <v>139</v>
      </c>
      <c r="K403" s="1">
        <f>SUMIFS('[2]BESS 11'!AJ:AJ,'[2]BESS 11'!$B:$B,$J403)</f>
        <v>6</v>
      </c>
      <c r="L403" s="2">
        <f>SUMIFS('[2]BESS 11'!AK:AK,'[2]BESS 11'!$B:$B,$J403)</f>
        <v>0</v>
      </c>
      <c r="M403" s="7">
        <f t="shared" si="80"/>
        <v>6</v>
      </c>
      <c r="N403" s="3">
        <v>46256</v>
      </c>
      <c r="O403" s="424">
        <f t="shared" si="77"/>
        <v>46256</v>
      </c>
      <c r="P403" s="5" t="s">
        <v>164</v>
      </c>
      <c r="Q403" s="534"/>
      <c r="R403" s="529"/>
      <c r="S403" s="94">
        <v>12</v>
      </c>
      <c r="T403" s="307"/>
    </row>
    <row r="404" spans="2:22" ht="25.5">
      <c r="B404" s="473"/>
      <c r="C404" s="476"/>
      <c r="D404" s="513"/>
      <c r="E404" s="445"/>
      <c r="F404" s="516"/>
      <c r="G404" s="456"/>
      <c r="H404" s="456"/>
      <c r="I404" s="6">
        <f t="shared" si="79"/>
        <v>9.3599999999999941</v>
      </c>
      <c r="J404" s="8" t="s">
        <v>140</v>
      </c>
      <c r="K404" s="1">
        <f>SUMIFS('[2]BESS 11'!AJ:AJ,'[2]BESS 11'!$B:$B,$J404)</f>
        <v>6</v>
      </c>
      <c r="L404" s="2">
        <f>SUMIFS('[2]BESS 11'!AK:AK,'[2]BESS 11'!$B:$B,$J404)</f>
        <v>0</v>
      </c>
      <c r="M404" s="7">
        <f t="shared" si="80"/>
        <v>6</v>
      </c>
      <c r="N404" s="3" t="s">
        <v>658</v>
      </c>
      <c r="O404" s="424">
        <f t="shared" si="77"/>
        <v>46286</v>
      </c>
      <c r="P404" s="5" t="s">
        <v>164</v>
      </c>
      <c r="Q404" s="96">
        <v>2</v>
      </c>
      <c r="R404" s="93">
        <v>4</v>
      </c>
      <c r="S404" s="94">
        <f t="shared" ref="S404:S411" si="81">(M404*R404)/Q404</f>
        <v>12</v>
      </c>
      <c r="T404" s="313"/>
      <c r="U404">
        <f ca="1">O404-$T$1</f>
        <v>53</v>
      </c>
      <c r="V404" s="98">
        <f>SUM(S380:S411)</f>
        <v>4402.2380266666669</v>
      </c>
    </row>
    <row r="405" spans="2:22" ht="25.5">
      <c r="B405" s="473"/>
      <c r="C405" s="476"/>
      <c r="D405" s="513"/>
      <c r="E405" s="445"/>
      <c r="F405" s="516"/>
      <c r="G405" s="456"/>
      <c r="H405" s="456"/>
      <c r="I405" s="6">
        <f t="shared" si="79"/>
        <v>9.3699999999999939</v>
      </c>
      <c r="J405" s="8" t="s">
        <v>141</v>
      </c>
      <c r="K405" s="1">
        <f>SUMIFS('[2]BESS 11'!AJ:AJ,'[2]BESS 11'!$B:$B,$J405)</f>
        <v>12</v>
      </c>
      <c r="L405" s="2">
        <f>SUMIFS('[2]BESS 11'!AK:AK,'[2]BESS 11'!$B:$B,$J405)</f>
        <v>0</v>
      </c>
      <c r="M405" s="7">
        <f t="shared" si="80"/>
        <v>12</v>
      </c>
      <c r="N405" s="3" t="s">
        <v>440</v>
      </c>
      <c r="O405" s="424">
        <f t="shared" si="77"/>
        <v>46275</v>
      </c>
      <c r="P405" s="5" t="s">
        <v>164</v>
      </c>
      <c r="Q405" s="96">
        <v>0.5</v>
      </c>
      <c r="R405" s="93">
        <v>4</v>
      </c>
      <c r="S405" s="94">
        <f t="shared" si="81"/>
        <v>96</v>
      </c>
      <c r="T405" s="567"/>
    </row>
    <row r="406" spans="2:22">
      <c r="B406" s="473"/>
      <c r="C406" s="476"/>
      <c r="D406" s="513"/>
      <c r="E406" s="445"/>
      <c r="F406" s="516"/>
      <c r="G406" s="456"/>
      <c r="H406" s="456"/>
      <c r="I406" s="6">
        <f t="shared" si="79"/>
        <v>9.3799999999999937</v>
      </c>
      <c r="J406" s="8" t="s">
        <v>142</v>
      </c>
      <c r="K406" s="1">
        <f>SUMIFS('[2]BESS 11'!AJ:AJ,'[2]BESS 11'!$B:$B,$J406)</f>
        <v>16</v>
      </c>
      <c r="L406" s="2">
        <f>SUMIFS('[2]BESS 11'!AK:AK,'[2]BESS 11'!$B:$B,$J406)</f>
        <v>0</v>
      </c>
      <c r="M406" s="7">
        <f t="shared" si="80"/>
        <v>16</v>
      </c>
      <c r="N406" s="3" t="s">
        <v>659</v>
      </c>
      <c r="O406" s="424">
        <f t="shared" si="77"/>
        <v>46284</v>
      </c>
      <c r="P406" s="5" t="s">
        <v>164</v>
      </c>
      <c r="Q406" s="96">
        <v>6</v>
      </c>
      <c r="R406" s="93">
        <v>4</v>
      </c>
      <c r="S406" s="94">
        <f t="shared" si="81"/>
        <v>10.666666666666666</v>
      </c>
      <c r="T406" s="567"/>
    </row>
    <row r="407" spans="2:22">
      <c r="B407" s="473"/>
      <c r="C407" s="476"/>
      <c r="D407" s="513"/>
      <c r="E407" s="445"/>
      <c r="F407" s="516"/>
      <c r="G407" s="456"/>
      <c r="H407" s="456"/>
      <c r="I407" s="6">
        <f t="shared" si="79"/>
        <v>9.3899999999999935</v>
      </c>
      <c r="J407" s="8" t="s">
        <v>143</v>
      </c>
      <c r="K407" s="1">
        <f>SUMIFS('[2]BESS 11'!AJ:AJ,'[2]BESS 11'!$B:$B,$J407)</f>
        <v>14</v>
      </c>
      <c r="L407" s="2">
        <f>SUMIFS('[2]BESS 11'!AK:AK,'[2]BESS 11'!$B:$B,$J407)</f>
        <v>0</v>
      </c>
      <c r="M407" s="7">
        <f t="shared" si="80"/>
        <v>14</v>
      </c>
      <c r="N407" s="3" t="s">
        <v>440</v>
      </c>
      <c r="O407" s="424">
        <f t="shared" si="77"/>
        <v>46275</v>
      </c>
      <c r="P407" s="5" t="s">
        <v>164</v>
      </c>
      <c r="Q407" s="96">
        <v>6</v>
      </c>
      <c r="R407" s="93">
        <v>5</v>
      </c>
      <c r="S407" s="94">
        <f t="shared" si="81"/>
        <v>11.666666666666666</v>
      </c>
      <c r="T407" s="567"/>
    </row>
    <row r="408" spans="2:22">
      <c r="B408" s="473"/>
      <c r="C408" s="476"/>
      <c r="D408" s="513"/>
      <c r="E408" s="445"/>
      <c r="F408" s="516"/>
      <c r="G408" s="456"/>
      <c r="H408" s="456"/>
      <c r="I408" s="6">
        <f t="shared" si="79"/>
        <v>9.3999999999999932</v>
      </c>
      <c r="J408" s="8" t="s">
        <v>144</v>
      </c>
      <c r="K408" s="1">
        <f>SUMIFS('[2]BESS 11'!AJ:AJ,'[2]BESS 11'!$B:$B,$J408)</f>
        <v>1</v>
      </c>
      <c r="L408" s="2">
        <f>SUMIFS('[2]BESS 11'!AK:AK,'[2]BESS 11'!$B:$B,$J408)</f>
        <v>0</v>
      </c>
      <c r="M408" s="7">
        <f t="shared" si="80"/>
        <v>1</v>
      </c>
      <c r="N408" s="3" t="s">
        <v>440</v>
      </c>
      <c r="O408" s="424">
        <f t="shared" si="77"/>
        <v>46275</v>
      </c>
      <c r="P408" s="5" t="s">
        <v>164</v>
      </c>
      <c r="Q408" s="96">
        <v>1</v>
      </c>
      <c r="R408" s="93">
        <v>5</v>
      </c>
      <c r="S408" s="94">
        <f t="shared" si="81"/>
        <v>5</v>
      </c>
      <c r="T408" s="307"/>
    </row>
    <row r="409" spans="2:22">
      <c r="B409" s="473"/>
      <c r="C409" s="476"/>
      <c r="D409" s="513"/>
      <c r="E409" s="445"/>
      <c r="F409" s="516"/>
      <c r="G409" s="456"/>
      <c r="H409" s="456"/>
      <c r="I409" s="6">
        <f t="shared" si="79"/>
        <v>9.409999999999993</v>
      </c>
      <c r="J409" s="8" t="s">
        <v>145</v>
      </c>
      <c r="K409" s="1">
        <f>SUMIFS('[2]BESS 11'!AJ:AJ,'[2]BESS 11'!$B:$B,$J409)</f>
        <v>6</v>
      </c>
      <c r="L409" s="2">
        <f>SUMIFS('[2]BESS 11'!AK:AK,'[2]BESS 11'!$B:$B,$J409)</f>
        <v>0</v>
      </c>
      <c r="M409" s="7">
        <f t="shared" si="80"/>
        <v>6</v>
      </c>
      <c r="N409" s="3" t="s">
        <v>440</v>
      </c>
      <c r="O409" s="424">
        <f t="shared" si="77"/>
        <v>46275</v>
      </c>
      <c r="P409" s="5" t="s">
        <v>164</v>
      </c>
      <c r="Q409" s="96">
        <v>3</v>
      </c>
      <c r="R409" s="93">
        <v>5</v>
      </c>
      <c r="S409" s="94">
        <f t="shared" si="81"/>
        <v>10</v>
      </c>
      <c r="T409" s="307"/>
    </row>
    <row r="410" spans="2:22">
      <c r="B410" s="473"/>
      <c r="C410" s="476"/>
      <c r="D410" s="513"/>
      <c r="E410" s="445"/>
      <c r="F410" s="516"/>
      <c r="G410" s="456"/>
      <c r="H410" s="456"/>
      <c r="I410" s="6">
        <f t="shared" si="79"/>
        <v>9.4199999999999928</v>
      </c>
      <c r="J410" s="8" t="s">
        <v>54</v>
      </c>
      <c r="K410" s="1">
        <f>SUMIFS('[2]BESS 11'!AJ:AJ,'[2]BESS 11'!$B:$B,$J410)</f>
        <v>4284</v>
      </c>
      <c r="L410" s="2">
        <f>SUMIFS('[2]BESS 11'!AK:AK,'[2]BESS 11'!$B:$B,$J410)</f>
        <v>0</v>
      </c>
      <c r="M410" s="7">
        <f t="shared" si="80"/>
        <v>4284</v>
      </c>
      <c r="N410" s="3" t="s">
        <v>438</v>
      </c>
      <c r="O410" s="424">
        <f t="shared" si="77"/>
        <v>46277</v>
      </c>
      <c r="P410" s="5" t="s">
        <v>164</v>
      </c>
      <c r="Q410" s="96">
        <v>150</v>
      </c>
      <c r="R410" s="93">
        <v>6</v>
      </c>
      <c r="S410" s="94">
        <f t="shared" si="81"/>
        <v>171.36</v>
      </c>
      <c r="T410" s="307"/>
    </row>
    <row r="411" spans="2:22" ht="14.25" thickBot="1">
      <c r="B411" s="474"/>
      <c r="C411" s="477"/>
      <c r="D411" s="514"/>
      <c r="E411" s="479"/>
      <c r="F411" s="517"/>
      <c r="G411" s="515"/>
      <c r="H411" s="515"/>
      <c r="I411" s="22">
        <f t="shared" si="79"/>
        <v>9.4299999999999926</v>
      </c>
      <c r="J411" s="352" t="s">
        <v>55</v>
      </c>
      <c r="K411" s="24">
        <f>SUMIFS('[2]BESS 11'!AJ:AJ,'[2]BESS 11'!$B:$B,$J411)</f>
        <v>10</v>
      </c>
      <c r="L411" s="25">
        <f>SUMIFS('[2]BESS 11'!AK:AK,'[2]BESS 11'!$B:$B,$J411)</f>
        <v>0</v>
      </c>
      <c r="M411" s="354">
        <f t="shared" si="76"/>
        <v>10</v>
      </c>
      <c r="N411" s="27" t="s">
        <v>439</v>
      </c>
      <c r="O411" s="426">
        <f t="shared" si="77"/>
        <v>46279</v>
      </c>
      <c r="P411" s="28" t="s">
        <v>164</v>
      </c>
      <c r="Q411" s="265">
        <v>5</v>
      </c>
      <c r="R411" s="266">
        <v>6</v>
      </c>
      <c r="S411" s="267">
        <f t="shared" si="81"/>
        <v>12</v>
      </c>
      <c r="T411" s="326"/>
    </row>
    <row r="412" spans="2:22">
      <c r="B412" s="535" t="s">
        <v>151</v>
      </c>
      <c r="C412" s="536"/>
      <c r="D412" s="536"/>
      <c r="E412" s="536"/>
      <c r="F412" s="536"/>
      <c r="G412" s="536"/>
      <c r="H412" s="536"/>
      <c r="I412" s="536"/>
      <c r="J412" s="537"/>
      <c r="K412" s="537"/>
      <c r="L412" s="537"/>
      <c r="M412" s="537"/>
      <c r="N412" s="537"/>
      <c r="O412" s="537"/>
      <c r="P412" s="537"/>
      <c r="Q412" s="536"/>
      <c r="R412" s="536"/>
      <c r="S412" s="536"/>
      <c r="T412" s="325"/>
    </row>
    <row r="413" spans="2:22">
      <c r="B413" s="538" t="s">
        <v>152</v>
      </c>
      <c r="C413" s="539"/>
      <c r="D413" s="539"/>
      <c r="E413" s="539"/>
      <c r="F413" s="539"/>
      <c r="G413" s="539"/>
      <c r="H413" s="539"/>
      <c r="I413" s="539"/>
      <c r="J413" s="539"/>
      <c r="K413" s="539"/>
      <c r="L413" s="539"/>
      <c r="M413" s="539"/>
      <c r="N413" s="539"/>
      <c r="O413" s="539"/>
      <c r="P413" s="539"/>
      <c r="Q413" s="539"/>
      <c r="R413" s="539"/>
      <c r="S413" s="539"/>
      <c r="T413" s="325"/>
    </row>
    <row r="414" spans="2:22">
      <c r="B414" s="538" t="s">
        <v>153</v>
      </c>
      <c r="C414" s="539"/>
      <c r="D414" s="539"/>
      <c r="E414" s="539"/>
      <c r="F414" s="539"/>
      <c r="G414" s="539"/>
      <c r="H414" s="539"/>
      <c r="I414" s="539"/>
      <c r="J414" s="539"/>
      <c r="K414" s="539"/>
      <c r="L414" s="539"/>
      <c r="M414" s="539"/>
      <c r="N414" s="539"/>
      <c r="O414" s="539"/>
      <c r="P414" s="539"/>
      <c r="Q414" s="539"/>
      <c r="R414" s="539"/>
      <c r="S414" s="539"/>
      <c r="T414" s="325"/>
    </row>
    <row r="415" spans="2:22">
      <c r="B415" s="538" t="s">
        <v>154</v>
      </c>
      <c r="C415" s="539"/>
      <c r="D415" s="539"/>
      <c r="E415" s="539"/>
      <c r="F415" s="539"/>
      <c r="G415" s="539"/>
      <c r="H415" s="539"/>
      <c r="I415" s="539"/>
      <c r="J415" s="539"/>
      <c r="K415" s="539"/>
      <c r="L415" s="539"/>
      <c r="M415" s="539"/>
      <c r="N415" s="539"/>
      <c r="O415" s="539"/>
      <c r="P415" s="539"/>
      <c r="Q415" s="539"/>
      <c r="R415" s="539"/>
      <c r="S415" s="539"/>
      <c r="T415" s="325"/>
    </row>
    <row r="416" spans="2:22">
      <c r="B416" s="538" t="s">
        <v>155</v>
      </c>
      <c r="C416" s="539"/>
      <c r="D416" s="539"/>
      <c r="E416" s="539"/>
      <c r="F416" s="539"/>
      <c r="G416" s="539"/>
      <c r="H416" s="539"/>
      <c r="I416" s="539"/>
      <c r="J416" s="539"/>
      <c r="K416" s="539"/>
      <c r="L416" s="539"/>
      <c r="M416" s="539"/>
      <c r="N416" s="539"/>
      <c r="O416" s="539"/>
      <c r="P416" s="539"/>
      <c r="Q416" s="539"/>
      <c r="R416" s="539"/>
      <c r="S416" s="539"/>
      <c r="T416" s="325"/>
    </row>
    <row r="417" spans="2:20">
      <c r="B417" s="538" t="s">
        <v>156</v>
      </c>
      <c r="C417" s="539"/>
      <c r="D417" s="539"/>
      <c r="E417" s="539"/>
      <c r="F417" s="539"/>
      <c r="G417" s="539"/>
      <c r="H417" s="539"/>
      <c r="I417" s="539"/>
      <c r="J417" s="539"/>
      <c r="K417" s="539"/>
      <c r="L417" s="539"/>
      <c r="M417" s="539"/>
      <c r="N417" s="539"/>
      <c r="O417" s="539"/>
      <c r="P417" s="539"/>
      <c r="Q417" s="539"/>
      <c r="R417" s="539"/>
      <c r="S417" s="539"/>
      <c r="T417" s="325"/>
    </row>
    <row r="418" spans="2:20" ht="14.25" thickBot="1">
      <c r="B418" s="525" t="s">
        <v>157</v>
      </c>
      <c r="C418" s="526"/>
      <c r="D418" s="526"/>
      <c r="E418" s="526"/>
      <c r="F418" s="526"/>
      <c r="G418" s="526"/>
      <c r="H418" s="526"/>
      <c r="I418" s="526"/>
      <c r="J418" s="526"/>
      <c r="K418" s="526"/>
      <c r="L418" s="526"/>
      <c r="M418" s="526"/>
      <c r="N418" s="526"/>
      <c r="O418" s="526"/>
      <c r="P418" s="526"/>
      <c r="Q418" s="526"/>
      <c r="R418" s="526"/>
      <c r="S418" s="526"/>
      <c r="T418" s="327"/>
    </row>
  </sheetData>
  <autoFilter ref="B4:AA418" xr:uid="{29D69470-FBF4-49FB-9020-671B6A4651D3}"/>
  <mergeCells count="138">
    <mergeCell ref="T360:T362"/>
    <mergeCell ref="Q222:Q223"/>
    <mergeCell ref="R177:R178"/>
    <mergeCell ref="W2:W4"/>
    <mergeCell ref="Y2:Y4"/>
    <mergeCell ref="X2:X4"/>
    <mergeCell ref="W1:Y1"/>
    <mergeCell ref="T405:T407"/>
    <mergeCell ref="T138:T141"/>
    <mergeCell ref="T53:T59"/>
    <mergeCell ref="S203:S207"/>
    <mergeCell ref="T128:T130"/>
    <mergeCell ref="T315:T317"/>
    <mergeCell ref="T225:T227"/>
    <mergeCell ref="T270:T272"/>
    <mergeCell ref="T159:T161"/>
    <mergeCell ref="T84:T85"/>
    <mergeCell ref="T2:T4"/>
    <mergeCell ref="S2:S4"/>
    <mergeCell ref="F50:F95"/>
    <mergeCell ref="G50:G95"/>
    <mergeCell ref="H50:H95"/>
    <mergeCell ref="B96:B141"/>
    <mergeCell ref="C96:C141"/>
    <mergeCell ref="D96:D141"/>
    <mergeCell ref="R21:R24"/>
    <mergeCell ref="S21:S24"/>
    <mergeCell ref="R132:R133"/>
    <mergeCell ref="R113:R117"/>
    <mergeCell ref="S113:S117"/>
    <mergeCell ref="Q132:Q133"/>
    <mergeCell ref="H2:H4"/>
    <mergeCell ref="I2:P2"/>
    <mergeCell ref="I3:I4"/>
    <mergeCell ref="J3:J4"/>
    <mergeCell ref="K3:M3"/>
    <mergeCell ref="N3:N4"/>
    <mergeCell ref="P3:P4"/>
    <mergeCell ref="Q2:Q4"/>
    <mergeCell ref="R2:R4"/>
    <mergeCell ref="O3:O4"/>
    <mergeCell ref="B417:S417"/>
    <mergeCell ref="B367:B411"/>
    <mergeCell ref="C367:C411"/>
    <mergeCell ref="D367:D411"/>
    <mergeCell ref="E367:E411"/>
    <mergeCell ref="B1:P1"/>
    <mergeCell ref="G2:G4"/>
    <mergeCell ref="E2:E4"/>
    <mergeCell ref="F2:F4"/>
    <mergeCell ref="B2:B4"/>
    <mergeCell ref="C2:C4"/>
    <mergeCell ref="D2:D4"/>
    <mergeCell ref="B5:B24"/>
    <mergeCell ref="C5:C24"/>
    <mergeCell ref="D5:D24"/>
    <mergeCell ref="E5:E24"/>
    <mergeCell ref="F5:F24"/>
    <mergeCell ref="G5:G24"/>
    <mergeCell ref="H5:H24"/>
    <mergeCell ref="B25:H49"/>
    <mergeCell ref="B50:B95"/>
    <mergeCell ref="C50:C95"/>
    <mergeCell ref="D50:D95"/>
    <mergeCell ref="E50:E95"/>
    <mergeCell ref="B416:S416"/>
    <mergeCell ref="R248:R252"/>
    <mergeCell ref="S248:S252"/>
    <mergeCell ref="R158:R162"/>
    <mergeCell ref="S158:S162"/>
    <mergeCell ref="Q177:Q178"/>
    <mergeCell ref="Q402:Q403"/>
    <mergeCell ref="R402:R403"/>
    <mergeCell ref="R338:R342"/>
    <mergeCell ref="S338:S342"/>
    <mergeCell ref="Q357:Q358"/>
    <mergeCell ref="R357:R358"/>
    <mergeCell ref="R383:R387"/>
    <mergeCell ref="S383:S387"/>
    <mergeCell ref="B187:B231"/>
    <mergeCell ref="C187:C231"/>
    <mergeCell ref="D187:D231"/>
    <mergeCell ref="E187:E231"/>
    <mergeCell ref="F187:F231"/>
    <mergeCell ref="G187:G231"/>
    <mergeCell ref="H187:H231"/>
    <mergeCell ref="E232:E276"/>
    <mergeCell ref="F232:F276"/>
    <mergeCell ref="G232:G276"/>
    <mergeCell ref="B322:B366"/>
    <mergeCell ref="C322:C366"/>
    <mergeCell ref="B418:S418"/>
    <mergeCell ref="R67:R71"/>
    <mergeCell ref="S67:S71"/>
    <mergeCell ref="Q86:Q87"/>
    <mergeCell ref="R86:R87"/>
    <mergeCell ref="R222:R223"/>
    <mergeCell ref="Q267:Q268"/>
    <mergeCell ref="R267:R268"/>
    <mergeCell ref="R293:R297"/>
    <mergeCell ref="S293:S297"/>
    <mergeCell ref="Q312:Q313"/>
    <mergeCell ref="R312:R313"/>
    <mergeCell ref="R203:R207"/>
    <mergeCell ref="B412:S412"/>
    <mergeCell ref="B413:S413"/>
    <mergeCell ref="B414:S414"/>
    <mergeCell ref="B415:S415"/>
    <mergeCell ref="E322:E366"/>
    <mergeCell ref="F322:F366"/>
    <mergeCell ref="G322:G366"/>
    <mergeCell ref="H322:H366"/>
    <mergeCell ref="B232:B276"/>
    <mergeCell ref="B142:B186"/>
    <mergeCell ref="C142:C186"/>
    <mergeCell ref="D142:D186"/>
    <mergeCell ref="E142:E186"/>
    <mergeCell ref="F142:F186"/>
    <mergeCell ref="G142:G186"/>
    <mergeCell ref="H142:H186"/>
    <mergeCell ref="B277:B321"/>
    <mergeCell ref="C277:C321"/>
    <mergeCell ref="D277:D321"/>
    <mergeCell ref="E277:E321"/>
    <mergeCell ref="F277:F321"/>
    <mergeCell ref="G277:G321"/>
    <mergeCell ref="H277:H321"/>
    <mergeCell ref="C232:C276"/>
    <mergeCell ref="D232:D276"/>
    <mergeCell ref="D322:D366"/>
    <mergeCell ref="H232:H276"/>
    <mergeCell ref="F367:F411"/>
    <mergeCell ref="G367:G411"/>
    <mergeCell ref="H367:H411"/>
    <mergeCell ref="E96:E141"/>
    <mergeCell ref="F96:F141"/>
    <mergeCell ref="G96:G141"/>
    <mergeCell ref="H96:H141"/>
  </mergeCells>
  <printOptions horizontalCentered="1"/>
  <pageMargins left="0.23622047244094491" right="0.23622047244094491" top="0.35433070866141736" bottom="0.19685039370078741" header="0.31496062992125984" footer="0.31496062992125984"/>
  <pageSetup paperSize="8" scale="68" fitToHeight="0" orientation="portrait" r:id="rId1"/>
  <rowBreaks count="4" manualBreakCount="4">
    <brk id="95" max="19" man="1"/>
    <brk id="186" max="19" man="1"/>
    <brk id="276" max="19" man="1"/>
    <brk id="366" max="19" man="1"/>
  </rowBreaks>
  <ignoredErrors>
    <ignoredError sqref="K7:M10 L6:M6 K12:M16 L11:M11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23B6-434A-45E0-BF3F-8A4818677E0A}">
  <sheetPr>
    <pageSetUpPr fitToPage="1"/>
  </sheetPr>
  <dimension ref="A1:AD392"/>
  <sheetViews>
    <sheetView zoomScaleNormal="100" zoomScaleSheetLayoutView="100" workbookViewId="0">
      <pane ySplit="4" topLeftCell="A160" activePane="bottomLeft" state="frozen"/>
      <selection activeCell="J25" sqref="J25"/>
      <selection pane="bottomLeft" activeCell="J172" sqref="J172"/>
    </sheetView>
  </sheetViews>
  <sheetFormatPr defaultColWidth="7.33203125" defaultRowHeight="15"/>
  <cols>
    <col min="1" max="1" width="2.33203125" style="70" customWidth="1"/>
    <col min="2" max="3" width="7.6640625" style="70" customWidth="1"/>
    <col min="4" max="4" width="9.109375" style="70" customWidth="1"/>
    <col min="5" max="5" width="8.77734375" style="85" customWidth="1"/>
    <col min="6" max="6" width="11.21875" style="70" customWidth="1"/>
    <col min="7" max="7" width="9.44140625" style="70" customWidth="1"/>
    <col min="8" max="8" width="8.44140625" style="70" customWidth="1"/>
    <col min="9" max="9" width="6.33203125" style="70" customWidth="1"/>
    <col min="10" max="10" width="23.88671875" style="85" customWidth="1"/>
    <col min="11" max="11" width="7.6640625" style="70" customWidth="1"/>
    <col min="12" max="13" width="7.77734375" style="70" customWidth="1"/>
    <col min="14" max="14" width="14.33203125" style="70" customWidth="1"/>
    <col min="15" max="15" width="8.77734375" style="70" customWidth="1"/>
    <col min="16" max="16" width="17" style="70" customWidth="1"/>
    <col min="17" max="19" width="0" style="70" hidden="1" customWidth="1"/>
    <col min="20" max="20" width="28.77734375" style="70" customWidth="1"/>
    <col min="21" max="21" width="0" style="70" hidden="1" customWidth="1"/>
    <col min="22" max="22" width="0" style="71" hidden="1" customWidth="1"/>
    <col min="23" max="23" width="0" style="70" hidden="1" customWidth="1"/>
    <col min="24" max="24" width="29.33203125" style="70" hidden="1" customWidth="1"/>
    <col min="25" max="26" width="14.6640625" style="70" hidden="1" customWidth="1"/>
    <col min="27" max="16384" width="7.33203125" style="70"/>
  </cols>
  <sheetData>
    <row r="1" spans="1:26" ht="15.75" thickBot="1">
      <c r="B1" s="598" t="s">
        <v>168</v>
      </c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600"/>
      <c r="Q1" s="178"/>
      <c r="R1" s="178"/>
      <c r="S1" s="178"/>
      <c r="T1" s="275">
        <f ca="1">TODAY()</f>
        <v>46233</v>
      </c>
      <c r="X1" s="577" t="s">
        <v>199</v>
      </c>
      <c r="Y1" s="578"/>
      <c r="Z1" s="579"/>
    </row>
    <row r="2" spans="1:26" ht="15.75" thickBot="1">
      <c r="B2" s="601" t="s">
        <v>0</v>
      </c>
      <c r="C2" s="603" t="s">
        <v>1</v>
      </c>
      <c r="D2" s="546" t="s">
        <v>115</v>
      </c>
      <c r="E2" s="546" t="s">
        <v>116</v>
      </c>
      <c r="F2" s="546" t="s">
        <v>4</v>
      </c>
      <c r="G2" s="546" t="s">
        <v>117</v>
      </c>
      <c r="H2" s="546" t="s">
        <v>6</v>
      </c>
      <c r="I2" s="605" t="s">
        <v>7</v>
      </c>
      <c r="J2" s="606"/>
      <c r="K2" s="606"/>
      <c r="L2" s="606"/>
      <c r="M2" s="606"/>
      <c r="N2" s="606"/>
      <c r="O2" s="606"/>
      <c r="P2" s="607"/>
      <c r="Q2" s="617" t="s">
        <v>95</v>
      </c>
      <c r="R2" s="617" t="s">
        <v>96</v>
      </c>
      <c r="S2" s="617" t="s">
        <v>118</v>
      </c>
      <c r="T2" s="608" t="s">
        <v>8</v>
      </c>
      <c r="X2" s="568" t="s">
        <v>192</v>
      </c>
      <c r="Y2" s="574" t="s">
        <v>227</v>
      </c>
      <c r="Z2" s="571" t="s">
        <v>189</v>
      </c>
    </row>
    <row r="3" spans="1:26" ht="15.75" thickBot="1">
      <c r="B3" s="602"/>
      <c r="C3" s="604"/>
      <c r="D3" s="546"/>
      <c r="E3" s="546"/>
      <c r="F3" s="546"/>
      <c r="G3" s="546"/>
      <c r="H3" s="546"/>
      <c r="I3" s="610" t="s">
        <v>9</v>
      </c>
      <c r="J3" s="610" t="s">
        <v>10</v>
      </c>
      <c r="K3" s="612" t="s">
        <v>11</v>
      </c>
      <c r="L3" s="613"/>
      <c r="M3" s="614"/>
      <c r="N3" s="615" t="s">
        <v>12</v>
      </c>
      <c r="O3" s="487" t="s">
        <v>119</v>
      </c>
      <c r="P3" s="615" t="s">
        <v>13</v>
      </c>
      <c r="Q3" s="618"/>
      <c r="R3" s="618"/>
      <c r="S3" s="618"/>
      <c r="T3" s="609"/>
      <c r="X3" s="569"/>
      <c r="Y3" s="575"/>
      <c r="Z3" s="572"/>
    </row>
    <row r="4" spans="1:26" ht="15.75" thickBot="1">
      <c r="B4" s="602"/>
      <c r="C4" s="604"/>
      <c r="D4" s="546"/>
      <c r="E4" s="546"/>
      <c r="F4" s="546"/>
      <c r="G4" s="546"/>
      <c r="H4" s="546"/>
      <c r="I4" s="611"/>
      <c r="J4" s="611"/>
      <c r="K4" s="72" t="s">
        <v>14</v>
      </c>
      <c r="L4" s="72" t="s">
        <v>15</v>
      </c>
      <c r="M4" s="72" t="s">
        <v>16</v>
      </c>
      <c r="N4" s="616"/>
      <c r="O4" s="487"/>
      <c r="P4" s="616"/>
      <c r="Q4" s="619"/>
      <c r="R4" s="619"/>
      <c r="S4" s="619"/>
      <c r="T4" s="609"/>
      <c r="X4" s="570"/>
      <c r="Y4" s="576"/>
      <c r="Z4" s="573"/>
    </row>
    <row r="5" spans="1:26">
      <c r="A5" s="70">
        <f t="shared" ref="A5:A68" si="0">IF(C5&gt;0,C5,A4)</f>
        <v>4</v>
      </c>
      <c r="B5" s="472" t="s">
        <v>17</v>
      </c>
      <c r="C5" s="475">
        <v>4</v>
      </c>
      <c r="D5" s="523" t="s">
        <v>250</v>
      </c>
      <c r="E5" s="524" t="s">
        <v>120</v>
      </c>
      <c r="F5" s="512" t="s">
        <v>649</v>
      </c>
      <c r="G5" s="512" t="s">
        <v>650</v>
      </c>
      <c r="H5" s="512" t="s">
        <v>651</v>
      </c>
      <c r="I5" s="44"/>
      <c r="J5" s="46"/>
      <c r="K5" s="46"/>
      <c r="L5" s="47" t="s">
        <v>121</v>
      </c>
      <c r="M5" s="46"/>
      <c r="N5" s="46"/>
      <c r="O5" s="424"/>
      <c r="P5" s="286"/>
      <c r="Q5" s="301"/>
      <c r="R5" s="302"/>
      <c r="S5" s="303"/>
      <c r="T5" s="77"/>
      <c r="U5" s="73"/>
      <c r="X5" s="360" t="s">
        <v>190</v>
      </c>
      <c r="Y5" s="229"/>
      <c r="Z5" s="335"/>
    </row>
    <row r="6" spans="1:26">
      <c r="A6" s="70">
        <f t="shared" si="0"/>
        <v>4</v>
      </c>
      <c r="B6" s="473"/>
      <c r="C6" s="476"/>
      <c r="D6" s="513"/>
      <c r="E6" s="445"/>
      <c r="F6" s="456"/>
      <c r="G6" s="456"/>
      <c r="H6" s="456"/>
      <c r="I6" s="56">
        <f>C5+0.1</f>
        <v>4.0999999999999996</v>
      </c>
      <c r="J6" s="57" t="s">
        <v>19</v>
      </c>
      <c r="K6" s="2" t="e">
        <f>SUMIF('[3]BESS 12'!$B$4:$B$270,$J6,'[3]BESS 12'!Q$4:Q$270)</f>
        <v>#VALUE!</v>
      </c>
      <c r="L6" s="2" t="e">
        <f>SUMIF('[3]BESS 12'!$B$4:$B$270,$J6,'[3]BESS 12'!R$4:R$270)</f>
        <v>#VALUE!</v>
      </c>
      <c r="M6" s="2" t="e">
        <f>K6-L6</f>
        <v>#VALUE!</v>
      </c>
      <c r="N6" s="63" t="s">
        <v>122</v>
      </c>
      <c r="O6" s="424" t="str">
        <f t="shared" ref="O6:O68" si="1">IF(LEN(N6)=5,N6,(IF(N6="Completed","-",DATEVALUE(RIGHT(N6,6)))))</f>
        <v>-</v>
      </c>
      <c r="P6" s="292" t="s">
        <v>20</v>
      </c>
      <c r="Q6" s="276">
        <v>1</v>
      </c>
      <c r="R6" s="241">
        <v>2</v>
      </c>
      <c r="S6" s="242" t="e">
        <f t="shared" ref="S6:S16" si="2">(M6*R6)/Q6</f>
        <v>#VALUE!</v>
      </c>
      <c r="T6" s="77"/>
      <c r="V6" s="272"/>
      <c r="X6" s="109" t="s">
        <v>193</v>
      </c>
      <c r="Y6" s="66">
        <v>6</v>
      </c>
      <c r="Z6" s="109"/>
    </row>
    <row r="7" spans="1:26">
      <c r="A7" s="70">
        <f t="shared" si="0"/>
        <v>4</v>
      </c>
      <c r="B7" s="473"/>
      <c r="C7" s="476"/>
      <c r="D7" s="513"/>
      <c r="E7" s="445"/>
      <c r="F7" s="456"/>
      <c r="G7" s="456"/>
      <c r="H7" s="456"/>
      <c r="I7" s="56">
        <f>I6+0.1</f>
        <v>4.1999999999999993</v>
      </c>
      <c r="J7" s="57" t="s">
        <v>23</v>
      </c>
      <c r="K7" s="2" t="e">
        <f>SUMIF('[3]BESS 12'!$B$4:$B$270,$J7,'[3]BESS 12'!Q$4:Q$270)</f>
        <v>#VALUE!</v>
      </c>
      <c r="L7" s="2" t="e">
        <f>SUMIF('[3]BESS 12'!$B$4:$B$270,$J7,'[3]BESS 12'!R$4:R$270)</f>
        <v>#VALUE!</v>
      </c>
      <c r="M7" s="2" t="e">
        <f t="shared" ref="M7:M50" si="3">K7-L7</f>
        <v>#VALUE!</v>
      </c>
      <c r="N7" s="63" t="s">
        <v>122</v>
      </c>
      <c r="O7" s="424" t="str">
        <f t="shared" si="1"/>
        <v>-</v>
      </c>
      <c r="P7" s="292" t="s">
        <v>20</v>
      </c>
      <c r="Q7" s="276">
        <v>1</v>
      </c>
      <c r="R7" s="241">
        <v>16</v>
      </c>
      <c r="S7" s="242" t="e">
        <f t="shared" si="2"/>
        <v>#VALUE!</v>
      </c>
      <c r="T7" s="77"/>
      <c r="X7" s="109" t="s">
        <v>194</v>
      </c>
      <c r="Y7" s="66">
        <v>6</v>
      </c>
      <c r="Z7" s="109"/>
    </row>
    <row r="8" spans="1:26">
      <c r="A8" s="70">
        <f t="shared" si="0"/>
        <v>4</v>
      </c>
      <c r="B8" s="473"/>
      <c r="C8" s="476"/>
      <c r="D8" s="513"/>
      <c r="E8" s="445"/>
      <c r="F8" s="456"/>
      <c r="G8" s="456"/>
      <c r="H8" s="456"/>
      <c r="I8" s="56">
        <f t="shared" ref="I8:I14" si="4">I7+0.1</f>
        <v>4.2999999999999989</v>
      </c>
      <c r="J8" s="57" t="s">
        <v>26</v>
      </c>
      <c r="K8" s="2" t="e">
        <f>SUMIF('[3]BESS 12'!$B$4:$B$270,$J8,'[3]BESS 12'!Q$4:Q$270)</f>
        <v>#VALUE!</v>
      </c>
      <c r="L8" s="2" t="e">
        <f>SUMIF('[3]BESS 12'!$B$4:$B$270,$J8,'[3]BESS 12'!R$4:R$270)</f>
        <v>#VALUE!</v>
      </c>
      <c r="M8" s="2" t="e">
        <f t="shared" si="3"/>
        <v>#VALUE!</v>
      </c>
      <c r="N8" s="63" t="s">
        <v>122</v>
      </c>
      <c r="O8" s="424" t="str">
        <f t="shared" si="1"/>
        <v>-</v>
      </c>
      <c r="P8" s="283" t="s">
        <v>20</v>
      </c>
      <c r="Q8" s="276">
        <v>1</v>
      </c>
      <c r="R8" s="241">
        <v>39</v>
      </c>
      <c r="S8" s="242" t="e">
        <f t="shared" si="2"/>
        <v>#VALUE!</v>
      </c>
      <c r="T8" s="77"/>
      <c r="X8" s="109" t="s">
        <v>195</v>
      </c>
      <c r="Y8" s="66">
        <v>1</v>
      </c>
      <c r="Z8" s="109"/>
    </row>
    <row r="9" spans="1:26">
      <c r="A9" s="70">
        <f t="shared" si="0"/>
        <v>4</v>
      </c>
      <c r="B9" s="473"/>
      <c r="C9" s="476"/>
      <c r="D9" s="513"/>
      <c r="E9" s="445"/>
      <c r="F9" s="456"/>
      <c r="G9" s="456"/>
      <c r="H9" s="456"/>
      <c r="I9" s="56">
        <f t="shared" si="4"/>
        <v>4.3999999999999986</v>
      </c>
      <c r="J9" s="57" t="s">
        <v>32</v>
      </c>
      <c r="K9" s="2" t="e">
        <f>SUMIF('[3]BESS 12'!$B$4:$B$270,$J9,'[3]BESS 12'!Q$4:Q$270)</f>
        <v>#VALUE!</v>
      </c>
      <c r="L9" s="2" t="e">
        <f>SUMIF('[3]BESS 12'!$B$4:$B$270,$J9,'[3]BESS 12'!R$4:R$270)</f>
        <v>#VALUE!</v>
      </c>
      <c r="M9" s="2" t="e">
        <f t="shared" si="3"/>
        <v>#VALUE!</v>
      </c>
      <c r="N9" s="63" t="s">
        <v>122</v>
      </c>
      <c r="O9" s="424" t="str">
        <f t="shared" si="1"/>
        <v>-</v>
      </c>
      <c r="P9" s="283" t="s">
        <v>20</v>
      </c>
      <c r="Q9" s="276">
        <v>1</v>
      </c>
      <c r="R9" s="241">
        <v>37</v>
      </c>
      <c r="S9" s="242" t="e">
        <f t="shared" si="2"/>
        <v>#VALUE!</v>
      </c>
      <c r="T9" s="77"/>
      <c r="X9" s="109" t="s">
        <v>196</v>
      </c>
      <c r="Y9" s="66">
        <v>6</v>
      </c>
      <c r="Z9" s="109"/>
    </row>
    <row r="10" spans="1:26">
      <c r="A10" s="70">
        <f t="shared" si="0"/>
        <v>4</v>
      </c>
      <c r="B10" s="473"/>
      <c r="C10" s="476"/>
      <c r="D10" s="513"/>
      <c r="E10" s="445"/>
      <c r="F10" s="456"/>
      <c r="G10" s="456"/>
      <c r="H10" s="456"/>
      <c r="I10" s="56">
        <f t="shared" si="4"/>
        <v>4.4999999999999982</v>
      </c>
      <c r="J10" s="57" t="s">
        <v>35</v>
      </c>
      <c r="K10" s="2" t="e">
        <f>SUMIF('[3]BESS 12'!$B$4:$B$270,$J10,'[3]BESS 12'!Q$4:Q$270)</f>
        <v>#VALUE!</v>
      </c>
      <c r="L10" s="2" t="e">
        <f>SUMIF('[3]BESS 12'!$B$4:$B$270,$J10,'[3]BESS 12'!R$4:R$270)</f>
        <v>#VALUE!</v>
      </c>
      <c r="M10" s="2" t="e">
        <f t="shared" si="3"/>
        <v>#VALUE!</v>
      </c>
      <c r="N10" s="63" t="s">
        <v>122</v>
      </c>
      <c r="O10" s="424" t="str">
        <f t="shared" si="1"/>
        <v>-</v>
      </c>
      <c r="P10" s="283" t="s">
        <v>20</v>
      </c>
      <c r="Q10" s="276">
        <v>1</v>
      </c>
      <c r="R10" s="241">
        <v>34</v>
      </c>
      <c r="S10" s="242" t="e">
        <f t="shared" si="2"/>
        <v>#VALUE!</v>
      </c>
      <c r="T10" s="77"/>
      <c r="X10" s="109" t="s">
        <v>222</v>
      </c>
      <c r="Y10" s="66">
        <v>8</v>
      </c>
      <c r="Z10" s="109"/>
    </row>
    <row r="11" spans="1:26">
      <c r="A11" s="70">
        <f t="shared" si="0"/>
        <v>4</v>
      </c>
      <c r="B11" s="473"/>
      <c r="C11" s="476"/>
      <c r="D11" s="513"/>
      <c r="E11" s="445"/>
      <c r="F11" s="456"/>
      <c r="G11" s="456"/>
      <c r="H11" s="456"/>
      <c r="I11" s="56">
        <f t="shared" si="4"/>
        <v>4.5999999999999979</v>
      </c>
      <c r="J11" s="57" t="s">
        <v>38</v>
      </c>
      <c r="K11" s="2" t="e">
        <f>SUMIF('[3]BESS 12'!$B$4:$B$270,$J11,'[3]BESS 12'!Q$4:Q$270)</f>
        <v>#VALUE!</v>
      </c>
      <c r="L11" s="2" t="e">
        <f>SUMIF('[3]BESS 12'!$B$4:$B$270,$J11,'[3]BESS 12'!R$4:R$270)</f>
        <v>#VALUE!</v>
      </c>
      <c r="M11" s="2" t="e">
        <f t="shared" si="3"/>
        <v>#VALUE!</v>
      </c>
      <c r="N11" s="63" t="s">
        <v>122</v>
      </c>
      <c r="O11" s="424" t="str">
        <f t="shared" si="1"/>
        <v>-</v>
      </c>
      <c r="P11" s="283" t="s">
        <v>20</v>
      </c>
      <c r="Q11" s="276">
        <v>1</v>
      </c>
      <c r="R11" s="241">
        <v>54</v>
      </c>
      <c r="S11" s="242" t="e">
        <f t="shared" si="2"/>
        <v>#VALUE!</v>
      </c>
      <c r="T11" s="77"/>
      <c r="V11" s="272"/>
      <c r="X11" s="109" t="s">
        <v>197</v>
      </c>
      <c r="Y11" s="66">
        <v>10</v>
      </c>
      <c r="Z11" s="109"/>
    </row>
    <row r="12" spans="1:26">
      <c r="A12" s="70">
        <f t="shared" si="0"/>
        <v>4</v>
      </c>
      <c r="B12" s="473"/>
      <c r="C12" s="476"/>
      <c r="D12" s="513"/>
      <c r="E12" s="445"/>
      <c r="F12" s="456"/>
      <c r="G12" s="456"/>
      <c r="H12" s="456"/>
      <c r="I12" s="56">
        <f>I11+0.1</f>
        <v>4.6999999999999975</v>
      </c>
      <c r="J12" s="57" t="s">
        <v>46</v>
      </c>
      <c r="K12" s="2" t="e">
        <f>SUMIF('[3]BESS 12'!$B$4:$B$270,$J12,'[3]BESS 12'!Q$4:Q$270)</f>
        <v>#VALUE!</v>
      </c>
      <c r="L12" s="2" t="e">
        <f>SUMIF('[3]BESS 12'!$B$4:$B$270,$J12,'[3]BESS 12'!R$4:R$270)</f>
        <v>#VALUE!</v>
      </c>
      <c r="M12" s="2" t="e">
        <f>K12-L12</f>
        <v>#VALUE!</v>
      </c>
      <c r="N12" s="63" t="s">
        <v>122</v>
      </c>
      <c r="O12" s="424" t="str">
        <f t="shared" si="1"/>
        <v>-</v>
      </c>
      <c r="P12" s="283" t="s">
        <v>20</v>
      </c>
      <c r="Q12" s="276"/>
      <c r="R12" s="241"/>
      <c r="S12" s="242"/>
      <c r="T12" s="77"/>
      <c r="V12" s="272"/>
      <c r="X12" s="109" t="s">
        <v>219</v>
      </c>
      <c r="Y12" s="66">
        <v>20</v>
      </c>
      <c r="Z12" s="109"/>
    </row>
    <row r="13" spans="1:26">
      <c r="A13" s="70">
        <f t="shared" si="0"/>
        <v>4</v>
      </c>
      <c r="B13" s="473"/>
      <c r="C13" s="476"/>
      <c r="D13" s="513"/>
      <c r="E13" s="445"/>
      <c r="F13" s="456"/>
      <c r="G13" s="456"/>
      <c r="H13" s="456"/>
      <c r="I13" s="56">
        <f>I12+0.1</f>
        <v>4.7999999999999972</v>
      </c>
      <c r="J13" s="57" t="s">
        <v>44</v>
      </c>
      <c r="K13" s="2" t="e">
        <f>SUMIF('[3]BESS 12'!$B$4:$B$270,$J13,'[3]BESS 12'!Q$4:Q$270)</f>
        <v>#VALUE!</v>
      </c>
      <c r="L13" s="2" t="e">
        <f>SUMIF('[3]BESS 12'!$B$4:$B$270,$J13,'[3]BESS 12'!R$4:R$270)</f>
        <v>#VALUE!</v>
      </c>
      <c r="M13" s="2" t="e">
        <f t="shared" si="3"/>
        <v>#VALUE!</v>
      </c>
      <c r="N13" s="63" t="s">
        <v>122</v>
      </c>
      <c r="O13" s="424" t="str">
        <f t="shared" si="1"/>
        <v>-</v>
      </c>
      <c r="P13" s="292" t="s">
        <v>45</v>
      </c>
      <c r="Q13" s="276">
        <v>3</v>
      </c>
      <c r="R13" s="241">
        <v>5</v>
      </c>
      <c r="S13" s="242" t="e">
        <f t="shared" si="2"/>
        <v>#VALUE!</v>
      </c>
      <c r="T13" s="261"/>
      <c r="V13" s="272"/>
      <c r="X13" s="109" t="s">
        <v>220</v>
      </c>
      <c r="Y13" s="66">
        <v>10</v>
      </c>
      <c r="Z13" s="109"/>
    </row>
    <row r="14" spans="1:26">
      <c r="A14" s="70">
        <f t="shared" si="0"/>
        <v>4</v>
      </c>
      <c r="B14" s="473"/>
      <c r="C14" s="476"/>
      <c r="D14" s="513"/>
      <c r="E14" s="445"/>
      <c r="F14" s="456"/>
      <c r="G14" s="456"/>
      <c r="H14" s="456"/>
      <c r="I14" s="56">
        <f t="shared" si="4"/>
        <v>4.8999999999999968</v>
      </c>
      <c r="J14" s="57" t="s">
        <v>40</v>
      </c>
      <c r="K14" s="2" t="e">
        <f>SUMIF('[3]BESS 12'!$B$4:$B$270,$J14,'[3]BESS 12'!Q$4:Q$270)</f>
        <v>#VALUE!</v>
      </c>
      <c r="L14" s="2" t="e">
        <f>SUMIF('[3]BESS 12'!$B$4:$B$270,$J14,'[3]BESS 12'!R$4:R$270)</f>
        <v>#VALUE!</v>
      </c>
      <c r="M14" s="2" t="e">
        <f t="shared" si="3"/>
        <v>#VALUE!</v>
      </c>
      <c r="N14" s="63" t="s">
        <v>122</v>
      </c>
      <c r="O14" s="424" t="str">
        <f t="shared" si="1"/>
        <v>-</v>
      </c>
      <c r="P14" s="292" t="s">
        <v>20</v>
      </c>
      <c r="Q14" s="276">
        <v>1</v>
      </c>
      <c r="R14" s="241">
        <v>5</v>
      </c>
      <c r="S14" s="242" t="e">
        <f t="shared" si="2"/>
        <v>#VALUE!</v>
      </c>
      <c r="T14" s="261"/>
      <c r="V14" s="272"/>
      <c r="X14" s="109" t="s">
        <v>224</v>
      </c>
      <c r="Y14" s="66">
        <v>5</v>
      </c>
      <c r="Z14" s="109"/>
    </row>
    <row r="15" spans="1:26">
      <c r="A15" s="70">
        <f t="shared" si="0"/>
        <v>4</v>
      </c>
      <c r="B15" s="473"/>
      <c r="C15" s="476"/>
      <c r="D15" s="513"/>
      <c r="E15" s="445"/>
      <c r="F15" s="456"/>
      <c r="G15" s="456"/>
      <c r="H15" s="456"/>
      <c r="I15" s="334">
        <f>C5+0.1</f>
        <v>4.0999999999999996</v>
      </c>
      <c r="J15" s="57" t="s">
        <v>30</v>
      </c>
      <c r="K15" s="2" t="e">
        <f>SUMIF('[3]BESS 12'!$B$4:$B$270,$J15,'[3]BESS 12'!Q$4:Q$270)</f>
        <v>#VALUE!</v>
      </c>
      <c r="L15" s="2" t="e">
        <f>SUMIF('[3]BESS 12'!$B$4:$B$270,$J15,'[3]BESS 12'!R$4:R$270)</f>
        <v>#VALUE!</v>
      </c>
      <c r="M15" s="2" t="e">
        <f t="shared" si="3"/>
        <v>#VALUE!</v>
      </c>
      <c r="N15" s="297" t="s">
        <v>122</v>
      </c>
      <c r="O15" s="424" t="str">
        <f t="shared" si="1"/>
        <v>-</v>
      </c>
      <c r="P15" s="292" t="s">
        <v>162</v>
      </c>
      <c r="Q15" s="276">
        <v>1</v>
      </c>
      <c r="R15" s="241">
        <v>27</v>
      </c>
      <c r="S15" s="242" t="e">
        <f t="shared" si="2"/>
        <v>#VALUE!</v>
      </c>
      <c r="T15" s="262"/>
      <c r="V15" s="272"/>
      <c r="X15" s="109" t="s">
        <v>225</v>
      </c>
      <c r="Y15" s="66">
        <v>2</v>
      </c>
      <c r="Z15" s="109"/>
    </row>
    <row r="16" spans="1:26">
      <c r="A16" s="70">
        <f t="shared" si="0"/>
        <v>4</v>
      </c>
      <c r="B16" s="473"/>
      <c r="C16" s="476"/>
      <c r="D16" s="513"/>
      <c r="E16" s="445"/>
      <c r="F16" s="456"/>
      <c r="G16" s="456"/>
      <c r="H16" s="456"/>
      <c r="I16" s="59">
        <f>I15+0.01</f>
        <v>4.1099999999999994</v>
      </c>
      <c r="J16" s="57" t="s">
        <v>34</v>
      </c>
      <c r="K16" s="2" t="e">
        <f>SUMIF('[3]BESS 12'!$B$4:$B$270,$J16,'[3]BESS 12'!Q$4:Q$270)</f>
        <v>#VALUE!</v>
      </c>
      <c r="L16" s="2" t="e">
        <f>SUMIF('[3]BESS 12'!$B$4:$B$270,$J16,'[3]BESS 12'!R$4:R$270)</f>
        <v>#VALUE!</v>
      </c>
      <c r="M16" s="2" t="e">
        <f t="shared" si="3"/>
        <v>#VALUE!</v>
      </c>
      <c r="N16" s="63" t="s">
        <v>122</v>
      </c>
      <c r="O16" s="424" t="str">
        <f t="shared" si="1"/>
        <v>-</v>
      </c>
      <c r="P16" s="292" t="s">
        <v>31</v>
      </c>
      <c r="Q16" s="276">
        <v>1</v>
      </c>
      <c r="R16" s="241">
        <v>25</v>
      </c>
      <c r="S16" s="242" t="e">
        <f t="shared" si="2"/>
        <v>#VALUE!</v>
      </c>
      <c r="T16" s="262"/>
      <c r="X16" s="109" t="s">
        <v>226</v>
      </c>
      <c r="Y16" s="66">
        <v>1</v>
      </c>
      <c r="Z16" s="109"/>
    </row>
    <row r="17" spans="1:26">
      <c r="A17" s="70">
        <f t="shared" si="0"/>
        <v>4</v>
      </c>
      <c r="B17" s="473"/>
      <c r="C17" s="476"/>
      <c r="D17" s="513"/>
      <c r="E17" s="445"/>
      <c r="F17" s="456"/>
      <c r="G17" s="456"/>
      <c r="H17" s="456"/>
      <c r="I17" s="59">
        <f>I16+0.01</f>
        <v>4.1199999999999992</v>
      </c>
      <c r="J17" s="57" t="s">
        <v>37</v>
      </c>
      <c r="K17" s="2" t="e">
        <f>SUMIF('[3]BESS 12'!$B$4:$B$270,$J17,'[3]BESS 12'!Q$4:Q$270)</f>
        <v>#VALUE!</v>
      </c>
      <c r="L17" s="2" t="e">
        <f>SUMIF('[3]BESS 12'!$B$4:$B$270,$J17,'[3]BESS 12'!R$4:R$270)</f>
        <v>#VALUE!</v>
      </c>
      <c r="M17" s="2" t="e">
        <f t="shared" si="3"/>
        <v>#VALUE!</v>
      </c>
      <c r="N17" s="63" t="s">
        <v>122</v>
      </c>
      <c r="O17" s="424" t="str">
        <f t="shared" si="1"/>
        <v>-</v>
      </c>
      <c r="P17" s="292" t="s">
        <v>163</v>
      </c>
      <c r="Q17" s="276" t="s">
        <v>89</v>
      </c>
      <c r="R17" s="241" t="s">
        <v>89</v>
      </c>
      <c r="S17" s="242" t="s">
        <v>89</v>
      </c>
      <c r="T17" s="262"/>
      <c r="X17" s="109" t="s">
        <v>228</v>
      </c>
      <c r="Y17" s="66">
        <v>2</v>
      </c>
      <c r="Z17" s="109"/>
    </row>
    <row r="18" spans="1:26">
      <c r="A18" s="70">
        <f t="shared" si="0"/>
        <v>4</v>
      </c>
      <c r="B18" s="473"/>
      <c r="C18" s="476"/>
      <c r="D18" s="513"/>
      <c r="E18" s="445"/>
      <c r="F18" s="456"/>
      <c r="G18" s="456"/>
      <c r="H18" s="456"/>
      <c r="I18" s="254"/>
      <c r="J18" s="46"/>
      <c r="K18" s="46"/>
      <c r="L18" s="47" t="s">
        <v>124</v>
      </c>
      <c r="M18" s="46"/>
      <c r="N18" s="46"/>
      <c r="O18" s="424"/>
      <c r="P18" s="285"/>
      <c r="Q18" s="276"/>
      <c r="R18" s="241"/>
      <c r="S18" s="242"/>
      <c r="T18" s="262"/>
      <c r="X18" s="109" t="s">
        <v>229</v>
      </c>
      <c r="Y18" s="66">
        <v>2</v>
      </c>
      <c r="Z18" s="260"/>
    </row>
    <row r="19" spans="1:26">
      <c r="A19" s="70">
        <f t="shared" si="0"/>
        <v>4</v>
      </c>
      <c r="B19" s="473"/>
      <c r="C19" s="476"/>
      <c r="D19" s="513"/>
      <c r="E19" s="445"/>
      <c r="F19" s="456"/>
      <c r="G19" s="456"/>
      <c r="H19" s="456"/>
      <c r="I19" s="59">
        <f>I17+0.01</f>
        <v>4.129999999999999</v>
      </c>
      <c r="J19" s="57" t="s">
        <v>24</v>
      </c>
      <c r="K19" s="2" t="e">
        <f>SUMIF('[3]BESS 12'!$B$4:$B$270,$J19,'[3]BESS 12'!Q$4:Q$270)</f>
        <v>#VALUE!</v>
      </c>
      <c r="L19" s="2" t="e">
        <f>SUMIF('[3]BESS 12'!$B$4:$B$270,$J19,'[3]BESS 12'!R$4:R$270)</f>
        <v>#VALUE!</v>
      </c>
      <c r="M19" s="2" t="e">
        <f t="shared" si="3"/>
        <v>#VALUE!</v>
      </c>
      <c r="N19" s="63" t="s">
        <v>122</v>
      </c>
      <c r="O19" s="424" t="str">
        <f t="shared" si="1"/>
        <v>-</v>
      </c>
      <c r="P19" s="292" t="s">
        <v>164</v>
      </c>
      <c r="Q19" s="276">
        <v>2</v>
      </c>
      <c r="R19" s="241">
        <v>4</v>
      </c>
      <c r="S19" s="242" t="e">
        <f t="shared" ref="S19:S21" si="5">(M19*R19)/Q19</f>
        <v>#VALUE!</v>
      </c>
      <c r="T19" s="262"/>
      <c r="X19" s="181" t="s">
        <v>198</v>
      </c>
      <c r="Y19" s="66"/>
      <c r="Z19" s="260"/>
    </row>
    <row r="20" spans="1:26">
      <c r="A20" s="70">
        <f t="shared" si="0"/>
        <v>4</v>
      </c>
      <c r="B20" s="473"/>
      <c r="C20" s="476"/>
      <c r="D20" s="513"/>
      <c r="E20" s="445"/>
      <c r="F20" s="456"/>
      <c r="G20" s="456"/>
      <c r="H20" s="456"/>
      <c r="I20" s="59">
        <f>I19+0.01</f>
        <v>4.1399999999999988</v>
      </c>
      <c r="J20" s="57" t="s">
        <v>27</v>
      </c>
      <c r="K20" s="2" t="e">
        <f>SUMIF('[3]BESS 12'!$B$4:$B$270,$J20,'[3]BESS 12'!Q$4:Q$270)</f>
        <v>#VALUE!</v>
      </c>
      <c r="L20" s="2" t="e">
        <f>SUMIF('[3]BESS 12'!$B$4:$B$270,$J20,'[3]BESS 12'!R$4:R$270)</f>
        <v>#VALUE!</v>
      </c>
      <c r="M20" s="2" t="e">
        <f t="shared" si="3"/>
        <v>#VALUE!</v>
      </c>
      <c r="N20" s="63" t="s">
        <v>122</v>
      </c>
      <c r="O20" s="424" t="str">
        <f t="shared" si="1"/>
        <v>-</v>
      </c>
      <c r="P20" s="292" t="s">
        <v>164</v>
      </c>
      <c r="Q20" s="276">
        <v>10</v>
      </c>
      <c r="R20" s="241">
        <v>4</v>
      </c>
      <c r="S20" s="242" t="e">
        <f t="shared" si="5"/>
        <v>#VALUE!</v>
      </c>
      <c r="T20" s="375"/>
      <c r="X20" s="109" t="s">
        <v>221</v>
      </c>
      <c r="Y20" s="66">
        <v>5</v>
      </c>
      <c r="Z20" s="65">
        <v>3</v>
      </c>
    </row>
    <row r="21" spans="1:26">
      <c r="A21" s="70">
        <f t="shared" si="0"/>
        <v>4</v>
      </c>
      <c r="B21" s="473"/>
      <c r="C21" s="476"/>
      <c r="D21" s="513"/>
      <c r="E21" s="445"/>
      <c r="F21" s="456"/>
      <c r="G21" s="456"/>
      <c r="H21" s="456"/>
      <c r="I21" s="59">
        <f>I20+0.01</f>
        <v>4.1499999999999986</v>
      </c>
      <c r="J21" s="57" t="s">
        <v>28</v>
      </c>
      <c r="K21" s="2" t="e">
        <f>SUMIF('[3]BESS 12'!$B$4:$B$270,$J21,'[3]BESS 12'!Q$4:Q$270)</f>
        <v>#VALUE!</v>
      </c>
      <c r="L21" s="2" t="e">
        <f>SUMIF('[3]BESS 12'!$B$4:$B$270,$J21,'[3]BESS 12'!R$4:R$270)</f>
        <v>#VALUE!</v>
      </c>
      <c r="M21" s="2" t="e">
        <f t="shared" si="3"/>
        <v>#VALUE!</v>
      </c>
      <c r="N21" s="63" t="s">
        <v>122</v>
      </c>
      <c r="O21" s="424" t="str">
        <f t="shared" si="1"/>
        <v>-</v>
      </c>
      <c r="P21" s="292" t="s">
        <v>164</v>
      </c>
      <c r="Q21" s="276">
        <v>5</v>
      </c>
      <c r="R21" s="241">
        <v>4</v>
      </c>
      <c r="S21" s="242" t="e">
        <f t="shared" si="5"/>
        <v>#VALUE!</v>
      </c>
      <c r="T21" s="17"/>
      <c r="X21" s="109" t="s">
        <v>200</v>
      </c>
      <c r="Y21" s="66">
        <v>1</v>
      </c>
      <c r="Z21" s="101">
        <v>0</v>
      </c>
    </row>
    <row r="22" spans="1:26" ht="25.5">
      <c r="A22" s="70">
        <f t="shared" si="0"/>
        <v>4</v>
      </c>
      <c r="B22" s="473"/>
      <c r="C22" s="476"/>
      <c r="D22" s="513"/>
      <c r="E22" s="445"/>
      <c r="F22" s="456"/>
      <c r="G22" s="456"/>
      <c r="H22" s="456"/>
      <c r="I22" s="59">
        <f t="shared" ref="I22:I50" si="6">I21+0.01</f>
        <v>4.1599999999999984</v>
      </c>
      <c r="J22" s="57" t="s">
        <v>29</v>
      </c>
      <c r="K22" s="2" t="e">
        <f>SUMIF('[3]BESS 12'!$B$4:$B$270,$J22,'[3]BESS 12'!Q$4:Q$270)</f>
        <v>#VALUE!</v>
      </c>
      <c r="L22" s="2" t="e">
        <f>SUMIF('[3]BESS 12'!$B$4:$B$270,$J22,'[3]BESS 12'!R$4:R$270)</f>
        <v>#VALUE!</v>
      </c>
      <c r="M22" s="2" t="e">
        <f t="shared" si="3"/>
        <v>#VALUE!</v>
      </c>
      <c r="N22" s="63" t="s">
        <v>122</v>
      </c>
      <c r="O22" s="424" t="str">
        <f t="shared" si="1"/>
        <v>-</v>
      </c>
      <c r="P22" s="292" t="s">
        <v>164</v>
      </c>
      <c r="Q22" s="276">
        <v>20</v>
      </c>
      <c r="R22" s="241">
        <v>4</v>
      </c>
      <c r="S22" s="242">
        <v>4</v>
      </c>
      <c r="T22" s="318"/>
      <c r="X22" s="109" t="s">
        <v>201</v>
      </c>
      <c r="Y22" s="66">
        <v>1</v>
      </c>
      <c r="Z22" s="101">
        <v>1</v>
      </c>
    </row>
    <row r="23" spans="1:26">
      <c r="A23" s="70">
        <f t="shared" si="0"/>
        <v>4</v>
      </c>
      <c r="B23" s="473"/>
      <c r="C23" s="476"/>
      <c r="D23" s="513"/>
      <c r="E23" s="445"/>
      <c r="F23" s="456"/>
      <c r="G23" s="456"/>
      <c r="H23" s="456"/>
      <c r="I23" s="59">
        <f t="shared" si="6"/>
        <v>4.1699999999999982</v>
      </c>
      <c r="J23" s="57" t="s">
        <v>33</v>
      </c>
      <c r="K23" s="2" t="e">
        <f>SUMIF('[3]BESS 12'!$B$4:$B$270,$J23,'[3]BESS 12'!Q$4:Q$270)</f>
        <v>#VALUE!</v>
      </c>
      <c r="L23" s="2" t="e">
        <f>SUMIF('[3]BESS 12'!$B$4:$B$270,$J23,'[3]BESS 12'!R$4:R$270)</f>
        <v>#VALUE!</v>
      </c>
      <c r="M23" s="2" t="e">
        <f t="shared" si="3"/>
        <v>#VALUE!</v>
      </c>
      <c r="N23" s="63" t="s">
        <v>122</v>
      </c>
      <c r="O23" s="424" t="str">
        <f t="shared" si="1"/>
        <v>-</v>
      </c>
      <c r="P23" s="292" t="s">
        <v>164</v>
      </c>
      <c r="Q23" s="276">
        <v>10</v>
      </c>
      <c r="R23" s="241"/>
      <c r="S23" s="242"/>
      <c r="T23" s="17"/>
      <c r="X23" s="109" t="s">
        <v>202</v>
      </c>
      <c r="Y23" s="66">
        <v>1</v>
      </c>
      <c r="Z23" s="101">
        <v>1</v>
      </c>
    </row>
    <row r="24" spans="1:26">
      <c r="A24" s="70">
        <f t="shared" si="0"/>
        <v>4</v>
      </c>
      <c r="B24" s="473"/>
      <c r="C24" s="476"/>
      <c r="D24" s="513"/>
      <c r="E24" s="445"/>
      <c r="F24" s="456"/>
      <c r="G24" s="456"/>
      <c r="H24" s="456"/>
      <c r="I24" s="59">
        <f t="shared" si="6"/>
        <v>4.1799999999999979</v>
      </c>
      <c r="J24" s="57" t="s">
        <v>36</v>
      </c>
      <c r="K24" s="2" t="e">
        <f>SUMIF('[3]BESS 12'!$B$4:$B$270,$J24,'[3]BESS 12'!Q$4:Q$270)</f>
        <v>#VALUE!</v>
      </c>
      <c r="L24" s="2" t="e">
        <f>SUMIF('[3]BESS 12'!$B$4:$B$270,$J24,'[3]BESS 12'!R$4:R$270)</f>
        <v>#VALUE!</v>
      </c>
      <c r="M24" s="2" t="e">
        <f t="shared" si="3"/>
        <v>#VALUE!</v>
      </c>
      <c r="N24" s="63" t="s">
        <v>122</v>
      </c>
      <c r="O24" s="424" t="str">
        <f t="shared" si="1"/>
        <v>-</v>
      </c>
      <c r="P24" s="292" t="s">
        <v>164</v>
      </c>
      <c r="Q24" s="276">
        <v>10</v>
      </c>
      <c r="R24" s="241"/>
      <c r="S24" s="242"/>
      <c r="T24" s="343"/>
      <c r="X24" s="109" t="s">
        <v>203</v>
      </c>
      <c r="Y24" s="66">
        <v>1</v>
      </c>
      <c r="Z24" s="101">
        <v>1</v>
      </c>
    </row>
    <row r="25" spans="1:26">
      <c r="A25" s="70">
        <f t="shared" si="0"/>
        <v>4</v>
      </c>
      <c r="B25" s="473"/>
      <c r="C25" s="476"/>
      <c r="D25" s="513"/>
      <c r="E25" s="445"/>
      <c r="F25" s="456"/>
      <c r="G25" s="456"/>
      <c r="H25" s="456"/>
      <c r="I25" s="59">
        <f t="shared" si="6"/>
        <v>4.1899999999999977</v>
      </c>
      <c r="J25" s="57" t="s">
        <v>39</v>
      </c>
      <c r="K25" s="2" t="e">
        <f>SUMIF('[3]BESS 12'!$B$4:$B$270,$J25,'[3]BESS 12'!Q$4:Q$270)</f>
        <v>#VALUE!</v>
      </c>
      <c r="L25" s="2" t="e">
        <f>SUMIF('[3]BESS 12'!$B$4:$B$270,$J25,'[3]BESS 12'!R$4:R$270)</f>
        <v>#VALUE!</v>
      </c>
      <c r="M25" s="2" t="e">
        <f t="shared" si="3"/>
        <v>#VALUE!</v>
      </c>
      <c r="N25" s="63" t="s">
        <v>122</v>
      </c>
      <c r="O25" s="424" t="str">
        <f t="shared" si="1"/>
        <v>-</v>
      </c>
      <c r="P25" s="292" t="s">
        <v>164</v>
      </c>
      <c r="Q25" s="276">
        <v>10</v>
      </c>
      <c r="R25" s="241"/>
      <c r="S25" s="242"/>
      <c r="T25" s="17"/>
      <c r="X25" s="109" t="s">
        <v>204</v>
      </c>
      <c r="Y25" s="66">
        <v>1</v>
      </c>
      <c r="Z25" s="101">
        <v>1</v>
      </c>
    </row>
    <row r="26" spans="1:26">
      <c r="A26" s="70">
        <f t="shared" si="0"/>
        <v>4</v>
      </c>
      <c r="B26" s="547" t="s">
        <v>406</v>
      </c>
      <c r="C26" s="548"/>
      <c r="D26" s="548"/>
      <c r="E26" s="548"/>
      <c r="F26" s="548"/>
      <c r="G26" s="548"/>
      <c r="H26" s="549"/>
      <c r="I26" s="59">
        <f t="shared" si="6"/>
        <v>4.1999999999999975</v>
      </c>
      <c r="J26" s="57" t="s">
        <v>41</v>
      </c>
      <c r="K26" s="2" t="e">
        <f>SUMIF('[3]BESS 12'!$B$4:$B$270,$J26,'[3]BESS 12'!Q$4:Q$270)</f>
        <v>#VALUE!</v>
      </c>
      <c r="L26" s="2" t="e">
        <f>SUMIF('[3]BESS 12'!$B$4:$B$270,$J26,'[3]BESS 12'!R$4:R$270)</f>
        <v>#VALUE!</v>
      </c>
      <c r="M26" s="2" t="e">
        <f t="shared" si="3"/>
        <v>#VALUE!</v>
      </c>
      <c r="N26" s="63" t="s">
        <v>122</v>
      </c>
      <c r="O26" s="424" t="str">
        <f t="shared" si="1"/>
        <v>-</v>
      </c>
      <c r="P26" s="292" t="s">
        <v>171</v>
      </c>
      <c r="Q26" s="276">
        <v>20</v>
      </c>
      <c r="R26" s="241"/>
      <c r="S26" s="242"/>
      <c r="T26" s="17"/>
      <c r="V26" s="272"/>
      <c r="X26" s="109" t="s">
        <v>205</v>
      </c>
      <c r="Y26" s="66">
        <v>2</v>
      </c>
      <c r="Z26" s="101">
        <v>2</v>
      </c>
    </row>
    <row r="27" spans="1:26">
      <c r="A27" s="70">
        <f t="shared" si="0"/>
        <v>4</v>
      </c>
      <c r="B27" s="550"/>
      <c r="C27" s="551"/>
      <c r="D27" s="551"/>
      <c r="E27" s="551"/>
      <c r="F27" s="551"/>
      <c r="G27" s="551"/>
      <c r="H27" s="552"/>
      <c r="I27" s="59">
        <f t="shared" si="6"/>
        <v>4.2099999999999973</v>
      </c>
      <c r="J27" s="57" t="s">
        <v>43</v>
      </c>
      <c r="K27" s="2" t="e">
        <f>SUMIF('[3]BESS 12'!$B$4:$B$270,$J27,'[3]BESS 12'!Q$4:Q$270)</f>
        <v>#VALUE!</v>
      </c>
      <c r="L27" s="2" t="e">
        <f>SUMIF('[3]BESS 12'!$B$4:$B$270,$J27,'[3]BESS 12'!R$4:R$270)</f>
        <v>#VALUE!</v>
      </c>
      <c r="M27" s="2" t="e">
        <f t="shared" si="3"/>
        <v>#VALUE!</v>
      </c>
      <c r="N27" s="63" t="s">
        <v>122</v>
      </c>
      <c r="O27" s="424" t="str">
        <f t="shared" si="1"/>
        <v>-</v>
      </c>
      <c r="P27" s="292" t="s">
        <v>171</v>
      </c>
      <c r="Q27" s="276">
        <v>0.66666666666666663</v>
      </c>
      <c r="R27" s="241">
        <v>0</v>
      </c>
      <c r="S27" s="242" t="e">
        <f>(M27*R27)/Q27</f>
        <v>#VALUE!</v>
      </c>
      <c r="T27" s="17"/>
      <c r="V27" s="272"/>
      <c r="X27" s="109" t="s">
        <v>206</v>
      </c>
      <c r="Y27" s="66">
        <v>1</v>
      </c>
      <c r="Z27" s="101">
        <v>1</v>
      </c>
    </row>
    <row r="28" spans="1:26">
      <c r="A28" s="70">
        <f t="shared" si="0"/>
        <v>4</v>
      </c>
      <c r="B28" s="550"/>
      <c r="C28" s="551"/>
      <c r="D28" s="551"/>
      <c r="E28" s="551"/>
      <c r="F28" s="551"/>
      <c r="G28" s="551"/>
      <c r="H28" s="552"/>
      <c r="I28" s="59">
        <f t="shared" si="6"/>
        <v>4.2199999999999971</v>
      </c>
      <c r="J28" s="57" t="s">
        <v>21</v>
      </c>
      <c r="K28" s="2" t="e">
        <f>SUMIF('[3]BESS 12'!$B$4:$B$270,$J28,'[3]BESS 12'!Q$4:Q$270)</f>
        <v>#VALUE!</v>
      </c>
      <c r="L28" s="2" t="e">
        <f>SUMIF('[3]BESS 12'!$B$4:$B$270,$J28,'[3]BESS 12'!R$4:R$270)</f>
        <v>#VALUE!</v>
      </c>
      <c r="M28" s="2" t="e">
        <f t="shared" si="3"/>
        <v>#VALUE!</v>
      </c>
      <c r="N28" s="362" t="s">
        <v>122</v>
      </c>
      <c r="O28" s="424" t="str">
        <f t="shared" si="1"/>
        <v>-</v>
      </c>
      <c r="P28" s="372" t="s">
        <v>164</v>
      </c>
      <c r="Q28" s="373">
        <v>10</v>
      </c>
      <c r="R28" s="289">
        <v>4</v>
      </c>
      <c r="S28" s="290" t="e">
        <f t="shared" ref="S28:S39" si="7">(M28*R28)/Q28</f>
        <v>#VALUE!</v>
      </c>
      <c r="T28" s="374"/>
      <c r="X28" s="109" t="s">
        <v>207</v>
      </c>
      <c r="Y28" s="66">
        <v>1</v>
      </c>
      <c r="Z28" s="101">
        <v>3</v>
      </c>
    </row>
    <row r="29" spans="1:26">
      <c r="A29" s="70">
        <f t="shared" si="0"/>
        <v>4</v>
      </c>
      <c r="B29" s="550"/>
      <c r="C29" s="551"/>
      <c r="D29" s="551"/>
      <c r="E29" s="551"/>
      <c r="F29" s="551"/>
      <c r="G29" s="551"/>
      <c r="H29" s="552"/>
      <c r="I29" s="59">
        <f t="shared" si="6"/>
        <v>4.2299999999999969</v>
      </c>
      <c r="J29" s="57" t="s">
        <v>47</v>
      </c>
      <c r="K29" s="2" t="e">
        <f>SUMIF('[3]BESS 12'!$B$4:$B$270,$J29,'[3]BESS 12'!Q$4:Q$270)</f>
        <v>#VALUE!</v>
      </c>
      <c r="L29" s="2" t="e">
        <f>SUMIF('[3]BESS 12'!$B$4:$B$270,$J29,'[3]BESS 12'!R$4:R$270)</f>
        <v>#VALUE!</v>
      </c>
      <c r="M29" s="2" t="e">
        <f t="shared" si="3"/>
        <v>#VALUE!</v>
      </c>
      <c r="N29" s="63" t="s">
        <v>122</v>
      </c>
      <c r="O29" s="424" t="str">
        <f t="shared" si="1"/>
        <v>-</v>
      </c>
      <c r="P29" s="292" t="s">
        <v>164</v>
      </c>
      <c r="Q29" s="276">
        <v>1500</v>
      </c>
      <c r="R29" s="241">
        <v>48</v>
      </c>
      <c r="S29" s="242" t="e">
        <f t="shared" si="7"/>
        <v>#VALUE!</v>
      </c>
      <c r="T29" s="17"/>
      <c r="V29" s="272"/>
      <c r="X29" s="109" t="s">
        <v>208</v>
      </c>
      <c r="Y29" s="66">
        <v>1</v>
      </c>
      <c r="Z29" s="101">
        <v>2</v>
      </c>
    </row>
    <row r="30" spans="1:26">
      <c r="A30" s="70">
        <f t="shared" si="0"/>
        <v>4</v>
      </c>
      <c r="B30" s="550"/>
      <c r="C30" s="551"/>
      <c r="D30" s="551"/>
      <c r="E30" s="551"/>
      <c r="F30" s="551"/>
      <c r="G30" s="551"/>
      <c r="H30" s="552"/>
      <c r="I30" s="59">
        <f t="shared" si="6"/>
        <v>4.2399999999999967</v>
      </c>
      <c r="J30" s="57" t="s">
        <v>48</v>
      </c>
      <c r="K30" s="2" t="e">
        <f>SUMIF('[3]BESS 12'!$B$4:$B$270,$J30,'[3]BESS 12'!Q$4:Q$270)</f>
        <v>#VALUE!</v>
      </c>
      <c r="L30" s="2" t="e">
        <f>SUMIF('[3]BESS 12'!$B$4:$B$270,$J30,'[3]BESS 12'!R$4:R$270)</f>
        <v>#VALUE!</v>
      </c>
      <c r="M30" s="2" t="e">
        <f t="shared" si="3"/>
        <v>#VALUE!</v>
      </c>
      <c r="N30" s="63" t="s">
        <v>122</v>
      </c>
      <c r="O30" s="424" t="str">
        <f t="shared" si="1"/>
        <v>-</v>
      </c>
      <c r="P30" s="292" t="s">
        <v>164</v>
      </c>
      <c r="Q30" s="276">
        <v>8</v>
      </c>
      <c r="R30" s="241">
        <v>6</v>
      </c>
      <c r="S30" s="242" t="e">
        <f t="shared" si="7"/>
        <v>#VALUE!</v>
      </c>
      <c r="T30" s="19"/>
      <c r="X30" s="339" t="s">
        <v>209</v>
      </c>
      <c r="Y30" s="312">
        <v>1</v>
      </c>
      <c r="Z30" s="101">
        <v>1</v>
      </c>
    </row>
    <row r="31" spans="1:26" ht="27">
      <c r="A31" s="70">
        <f t="shared" si="0"/>
        <v>4</v>
      </c>
      <c r="B31" s="550"/>
      <c r="C31" s="551"/>
      <c r="D31" s="551"/>
      <c r="E31" s="551"/>
      <c r="F31" s="551"/>
      <c r="G31" s="551"/>
      <c r="H31" s="552"/>
      <c r="I31" s="59">
        <f t="shared" si="6"/>
        <v>4.2499999999999964</v>
      </c>
      <c r="J31" s="57" t="s">
        <v>126</v>
      </c>
      <c r="K31" s="2" t="e">
        <f>SUMIF('[3]BESS 12'!$B$4:$B$270,$J31,'[3]BESS 12'!Q$4:Q$270)</f>
        <v>#VALUE!</v>
      </c>
      <c r="L31" s="2" t="e">
        <f>SUMIF('[3]BESS 12'!$B$4:$B$270,$J31,'[3]BESS 12'!R$4:R$270)</f>
        <v>#VALUE!</v>
      </c>
      <c r="M31" s="2" t="e">
        <f t="shared" si="3"/>
        <v>#VALUE!</v>
      </c>
      <c r="N31" s="63" t="s">
        <v>122</v>
      </c>
      <c r="O31" s="424" t="str">
        <f t="shared" si="1"/>
        <v>-</v>
      </c>
      <c r="P31" s="292" t="s">
        <v>164</v>
      </c>
      <c r="Q31" s="276">
        <v>600</v>
      </c>
      <c r="R31" s="241">
        <v>10</v>
      </c>
      <c r="S31" s="242" t="e">
        <f t="shared" si="7"/>
        <v>#VALUE!</v>
      </c>
      <c r="T31" s="318"/>
      <c r="V31" s="272"/>
      <c r="X31" s="337" t="s">
        <v>215</v>
      </c>
      <c r="Y31" s="312">
        <v>1</v>
      </c>
      <c r="Z31" s="101">
        <v>3</v>
      </c>
    </row>
    <row r="32" spans="1:26">
      <c r="A32" s="70">
        <f t="shared" si="0"/>
        <v>4</v>
      </c>
      <c r="B32" s="550"/>
      <c r="C32" s="551"/>
      <c r="D32" s="551"/>
      <c r="E32" s="551"/>
      <c r="F32" s="551"/>
      <c r="G32" s="551"/>
      <c r="H32" s="552"/>
      <c r="I32" s="59">
        <f t="shared" si="6"/>
        <v>4.2599999999999962</v>
      </c>
      <c r="J32" s="57" t="s">
        <v>127</v>
      </c>
      <c r="K32" s="2" t="e">
        <f>SUMIF('[3]BESS 12'!$B$4:$B$270,$J32,'[3]BESS 12'!Q$4:Q$270)</f>
        <v>#VALUE!</v>
      </c>
      <c r="L32" s="2" t="e">
        <f>SUMIF('[3]BESS 12'!$B$4:$B$270,$J32,'[3]BESS 12'!R$4:R$270)</f>
        <v>#VALUE!</v>
      </c>
      <c r="M32" s="2" t="e">
        <f t="shared" si="3"/>
        <v>#VALUE!</v>
      </c>
      <c r="N32" s="63" t="s">
        <v>122</v>
      </c>
      <c r="O32" s="424" t="str">
        <f t="shared" si="1"/>
        <v>-</v>
      </c>
      <c r="P32" s="292" t="s">
        <v>164</v>
      </c>
      <c r="Q32" s="276">
        <v>600</v>
      </c>
      <c r="R32" s="241">
        <v>10</v>
      </c>
      <c r="S32" s="242" t="e">
        <f t="shared" si="7"/>
        <v>#VALUE!</v>
      </c>
      <c r="T32" s="318"/>
      <c r="V32" s="272"/>
      <c r="X32" s="109" t="s">
        <v>210</v>
      </c>
      <c r="Y32" s="66">
        <v>1</v>
      </c>
      <c r="Z32" s="101">
        <v>1</v>
      </c>
    </row>
    <row r="33" spans="1:27">
      <c r="A33" s="70">
        <f t="shared" si="0"/>
        <v>4</v>
      </c>
      <c r="B33" s="550"/>
      <c r="C33" s="551"/>
      <c r="D33" s="551"/>
      <c r="E33" s="551"/>
      <c r="F33" s="551"/>
      <c r="G33" s="551"/>
      <c r="H33" s="552"/>
      <c r="I33" s="59">
        <f t="shared" si="6"/>
        <v>4.269999999999996</v>
      </c>
      <c r="J33" s="57" t="s">
        <v>128</v>
      </c>
      <c r="K33" s="2" t="e">
        <f>SUMIF('[3]BESS 12'!$B$4:$B$270,$J33,'[3]BESS 12'!Q$4:Q$270)</f>
        <v>#VALUE!</v>
      </c>
      <c r="L33" s="2" t="e">
        <f>SUMIF('[3]BESS 12'!$B$4:$B$270,$J33,'[3]BESS 12'!R$4:R$270)</f>
        <v>#VALUE!</v>
      </c>
      <c r="M33" s="2" t="e">
        <f t="shared" si="3"/>
        <v>#VALUE!</v>
      </c>
      <c r="N33" s="63" t="s">
        <v>122</v>
      </c>
      <c r="O33" s="424" t="str">
        <f t="shared" si="1"/>
        <v>-</v>
      </c>
      <c r="P33" s="292" t="s">
        <v>164</v>
      </c>
      <c r="Q33" s="276">
        <v>30</v>
      </c>
      <c r="R33" s="241">
        <v>18</v>
      </c>
      <c r="S33" s="242" t="e">
        <f t="shared" si="7"/>
        <v>#VALUE!</v>
      </c>
      <c r="T33" s="376"/>
      <c r="X33" s="109" t="s">
        <v>211</v>
      </c>
      <c r="Y33" s="66">
        <v>1</v>
      </c>
      <c r="Z33" s="101">
        <v>1</v>
      </c>
    </row>
    <row r="34" spans="1:27">
      <c r="A34" s="70">
        <f t="shared" si="0"/>
        <v>4</v>
      </c>
      <c r="B34" s="550"/>
      <c r="C34" s="551"/>
      <c r="D34" s="551"/>
      <c r="E34" s="551"/>
      <c r="F34" s="551"/>
      <c r="G34" s="551"/>
      <c r="H34" s="552"/>
      <c r="I34" s="59">
        <f t="shared" si="6"/>
        <v>4.2799999999999958</v>
      </c>
      <c r="J34" s="57" t="s">
        <v>129</v>
      </c>
      <c r="K34" s="2" t="e">
        <f>SUMIF('[3]BESS 12'!$B$4:$B$270,$J34,'[3]BESS 12'!Q$4:Q$270)</f>
        <v>#VALUE!</v>
      </c>
      <c r="L34" s="2" t="e">
        <f>SUMIF('[3]BESS 12'!$B$4:$B$270,$J34,'[3]BESS 12'!R$4:R$270)</f>
        <v>#VALUE!</v>
      </c>
      <c r="M34" s="2" t="e">
        <f t="shared" si="3"/>
        <v>#VALUE!</v>
      </c>
      <c r="N34" s="63" t="s">
        <v>122</v>
      </c>
      <c r="O34" s="424" t="str">
        <f t="shared" si="1"/>
        <v>-</v>
      </c>
      <c r="P34" s="292" t="s">
        <v>164</v>
      </c>
      <c r="Q34" s="276">
        <v>30</v>
      </c>
      <c r="R34" s="241">
        <v>18</v>
      </c>
      <c r="S34" s="242" t="e">
        <f t="shared" si="7"/>
        <v>#VALUE!</v>
      </c>
      <c r="T34" s="376"/>
      <c r="X34" s="109" t="s">
        <v>212</v>
      </c>
      <c r="Y34" s="66">
        <v>2</v>
      </c>
      <c r="Z34" s="101">
        <v>2</v>
      </c>
    </row>
    <row r="35" spans="1:27">
      <c r="A35" s="70">
        <f t="shared" si="0"/>
        <v>4</v>
      </c>
      <c r="B35" s="550"/>
      <c r="C35" s="551"/>
      <c r="D35" s="551"/>
      <c r="E35" s="551"/>
      <c r="F35" s="551"/>
      <c r="G35" s="551"/>
      <c r="H35" s="552"/>
      <c r="I35" s="59">
        <f t="shared" si="6"/>
        <v>4.2899999999999956</v>
      </c>
      <c r="J35" s="57" t="s">
        <v>130</v>
      </c>
      <c r="K35" s="2" t="e">
        <f>SUMIF('[3]BESS 12'!$B$4:$B$270,$J35,'[3]BESS 12'!Q$4:Q$270)</f>
        <v>#VALUE!</v>
      </c>
      <c r="L35" s="2" t="e">
        <f>SUMIF('[3]BESS 12'!$B$4:$B$270,$J35,'[3]BESS 12'!R$4:R$270)</f>
        <v>#VALUE!</v>
      </c>
      <c r="M35" s="2" t="e">
        <f t="shared" si="3"/>
        <v>#VALUE!</v>
      </c>
      <c r="N35" s="63" t="s">
        <v>122</v>
      </c>
      <c r="O35" s="424" t="str">
        <f t="shared" si="1"/>
        <v>-</v>
      </c>
      <c r="P35" s="292" t="s">
        <v>164</v>
      </c>
      <c r="Q35" s="276">
        <v>1000</v>
      </c>
      <c r="R35" s="241">
        <v>10</v>
      </c>
      <c r="S35" s="242" t="e">
        <f t="shared" si="7"/>
        <v>#VALUE!</v>
      </c>
      <c r="T35" s="17"/>
      <c r="X35" s="109" t="s">
        <v>213</v>
      </c>
      <c r="Y35" s="66">
        <v>3</v>
      </c>
      <c r="Z35" s="101">
        <v>4</v>
      </c>
    </row>
    <row r="36" spans="1:27">
      <c r="A36" s="70">
        <f t="shared" si="0"/>
        <v>4</v>
      </c>
      <c r="B36" s="550"/>
      <c r="C36" s="551"/>
      <c r="D36" s="551"/>
      <c r="E36" s="551"/>
      <c r="F36" s="551"/>
      <c r="G36" s="551"/>
      <c r="H36" s="552"/>
      <c r="I36" s="59">
        <f t="shared" si="6"/>
        <v>4.2999999999999954</v>
      </c>
      <c r="J36" s="57" t="s">
        <v>131</v>
      </c>
      <c r="K36" s="2" t="e">
        <f>SUMIF('[3]BESS 12'!$B$4:$B$270,$J36,'[3]BESS 12'!Q$4:Q$270)</f>
        <v>#VALUE!</v>
      </c>
      <c r="L36" s="2" t="e">
        <f>SUMIF('[3]BESS 12'!$B$4:$B$270,$J36,'[3]BESS 12'!R$4:R$270)</f>
        <v>#VALUE!</v>
      </c>
      <c r="M36" s="2" t="e">
        <f t="shared" si="3"/>
        <v>#VALUE!</v>
      </c>
      <c r="N36" s="63" t="s">
        <v>122</v>
      </c>
      <c r="O36" s="424" t="str">
        <f t="shared" si="1"/>
        <v>-</v>
      </c>
      <c r="P36" s="292" t="s">
        <v>164</v>
      </c>
      <c r="Q36" s="276">
        <v>1000</v>
      </c>
      <c r="R36" s="241">
        <v>10</v>
      </c>
      <c r="S36" s="242" t="e">
        <f t="shared" si="7"/>
        <v>#VALUE!</v>
      </c>
      <c r="T36" s="17"/>
      <c r="X36" s="109" t="s">
        <v>214</v>
      </c>
      <c r="Y36" s="66">
        <v>2</v>
      </c>
      <c r="Z36" s="101">
        <v>1</v>
      </c>
    </row>
    <row r="37" spans="1:27">
      <c r="A37" s="70">
        <f t="shared" si="0"/>
        <v>4</v>
      </c>
      <c r="B37" s="550"/>
      <c r="C37" s="551"/>
      <c r="D37" s="551"/>
      <c r="E37" s="551"/>
      <c r="F37" s="551"/>
      <c r="G37" s="551"/>
      <c r="H37" s="552"/>
      <c r="I37" s="59">
        <f t="shared" si="6"/>
        <v>4.3099999999999952</v>
      </c>
      <c r="J37" s="57" t="s">
        <v>132</v>
      </c>
      <c r="K37" s="2" t="e">
        <f>SUMIF('[3]BESS 12'!$B$4:$B$270,$J37,'[3]BESS 12'!Q$4:Q$270)</f>
        <v>#VALUE!</v>
      </c>
      <c r="L37" s="2" t="e">
        <f>SUMIF('[3]BESS 12'!$B$4:$B$270,$J37,'[3]BESS 12'!R$4:R$270)</f>
        <v>#VALUE!</v>
      </c>
      <c r="M37" s="2" t="e">
        <f t="shared" si="3"/>
        <v>#VALUE!</v>
      </c>
      <c r="N37" s="63" t="s">
        <v>122</v>
      </c>
      <c r="O37" s="424" t="str">
        <f t="shared" si="1"/>
        <v>-</v>
      </c>
      <c r="P37" s="292" t="s">
        <v>164</v>
      </c>
      <c r="Q37" s="276">
        <v>500</v>
      </c>
      <c r="R37" s="241">
        <v>10</v>
      </c>
      <c r="S37" s="242" t="e">
        <f t="shared" si="7"/>
        <v>#VALUE!</v>
      </c>
      <c r="T37" s="17"/>
      <c r="X37" s="260"/>
      <c r="Y37" s="102"/>
      <c r="Z37" s="109"/>
    </row>
    <row r="38" spans="1:27">
      <c r="A38" s="70">
        <f t="shared" si="0"/>
        <v>4</v>
      </c>
      <c r="B38" s="550"/>
      <c r="C38" s="551"/>
      <c r="D38" s="551"/>
      <c r="E38" s="551"/>
      <c r="F38" s="551"/>
      <c r="G38" s="551"/>
      <c r="H38" s="552"/>
      <c r="I38" s="59">
        <f t="shared" si="6"/>
        <v>4.319999999999995</v>
      </c>
      <c r="J38" s="57" t="s">
        <v>133</v>
      </c>
      <c r="K38" s="2" t="e">
        <f>SUMIF('[3]BESS 12'!$B$4:$B$270,$J38,'[3]BESS 12'!Q$4:Q$270)</f>
        <v>#VALUE!</v>
      </c>
      <c r="L38" s="2" t="e">
        <f>SUMIF('[3]BESS 12'!$B$4:$B$270,$J38,'[3]BESS 12'!R$4:R$270)</f>
        <v>#VALUE!</v>
      </c>
      <c r="M38" s="2" t="e">
        <f t="shared" ref="M38:M49" si="8">K38-L38</f>
        <v>#VALUE!</v>
      </c>
      <c r="N38" s="63" t="s">
        <v>122</v>
      </c>
      <c r="O38" s="424" t="str">
        <f t="shared" si="1"/>
        <v>-</v>
      </c>
      <c r="P38" s="292" t="s">
        <v>164</v>
      </c>
      <c r="Q38" s="276">
        <v>30</v>
      </c>
      <c r="R38" s="241">
        <v>6</v>
      </c>
      <c r="S38" s="242" t="e">
        <f t="shared" si="7"/>
        <v>#VALUE!</v>
      </c>
      <c r="T38" s="17"/>
      <c r="X38" s="112" t="s">
        <v>216</v>
      </c>
      <c r="Y38" s="102"/>
      <c r="Z38" s="109"/>
    </row>
    <row r="39" spans="1:27">
      <c r="A39" s="70">
        <f t="shared" si="0"/>
        <v>4</v>
      </c>
      <c r="B39" s="550"/>
      <c r="C39" s="551"/>
      <c r="D39" s="551"/>
      <c r="E39" s="551"/>
      <c r="F39" s="551"/>
      <c r="G39" s="551"/>
      <c r="H39" s="552"/>
      <c r="I39" s="59">
        <f t="shared" si="6"/>
        <v>4.3299999999999947</v>
      </c>
      <c r="J39" s="57" t="s">
        <v>134</v>
      </c>
      <c r="K39" s="2" t="e">
        <f>SUMIF('[3]BESS 12'!$B$4:$B$270,$J39,'[3]BESS 12'!Q$4:Q$270)</f>
        <v>#VALUE!</v>
      </c>
      <c r="L39" s="2" t="e">
        <f>SUMIF('[3]BESS 12'!$B$4:$B$270,$J39,'[3]BESS 12'!R$4:R$270)</f>
        <v>#VALUE!</v>
      </c>
      <c r="M39" s="2" t="e">
        <f t="shared" si="8"/>
        <v>#VALUE!</v>
      </c>
      <c r="N39" s="63" t="s">
        <v>122</v>
      </c>
      <c r="O39" s="429" t="str">
        <f t="shared" si="1"/>
        <v>-</v>
      </c>
      <c r="P39" s="292" t="s">
        <v>172</v>
      </c>
      <c r="Q39" s="276">
        <v>30</v>
      </c>
      <c r="R39" s="241">
        <v>4</v>
      </c>
      <c r="S39" s="242" t="e">
        <f t="shared" si="7"/>
        <v>#VALUE!</v>
      </c>
      <c r="T39" s="343"/>
      <c r="X39" s="109" t="s">
        <v>191</v>
      </c>
      <c r="Y39" s="66">
        <v>60</v>
      </c>
      <c r="Z39" s="101">
        <v>40</v>
      </c>
      <c r="AA39" s="73"/>
    </row>
    <row r="40" spans="1:27">
      <c r="A40" s="70">
        <f t="shared" si="0"/>
        <v>4</v>
      </c>
      <c r="B40" s="550"/>
      <c r="C40" s="551"/>
      <c r="D40" s="551"/>
      <c r="E40" s="551"/>
      <c r="F40" s="551"/>
      <c r="G40" s="551"/>
      <c r="H40" s="552"/>
      <c r="I40" s="59">
        <f t="shared" si="6"/>
        <v>4.3399999999999945</v>
      </c>
      <c r="J40" s="57" t="s">
        <v>136</v>
      </c>
      <c r="K40" s="2" t="e">
        <f>SUMIF('[3]BESS 12'!$B$4:$B$270,$J40,'[3]BESS 12'!Q$4:Q$270)</f>
        <v>#VALUE!</v>
      </c>
      <c r="L40" s="2" t="e">
        <f>SUMIF('[3]BESS 12'!$B$4:$B$270,$J40,'[3]BESS 12'!R$4:R$270)</f>
        <v>#VALUE!</v>
      </c>
      <c r="M40" s="2" t="e">
        <f t="shared" si="8"/>
        <v>#VALUE!</v>
      </c>
      <c r="N40" s="63" t="s">
        <v>122</v>
      </c>
      <c r="O40" s="424" t="str">
        <f t="shared" si="1"/>
        <v>-</v>
      </c>
      <c r="P40" s="292" t="s">
        <v>172</v>
      </c>
      <c r="Q40" s="276" t="s">
        <v>89</v>
      </c>
      <c r="R40" s="241" t="s">
        <v>89</v>
      </c>
      <c r="S40" s="242" t="s">
        <v>89</v>
      </c>
      <c r="T40" s="77"/>
      <c r="U40" s="70" t="e">
        <f ca="1">O40-$T$1</f>
        <v>#VALUE!</v>
      </c>
      <c r="V40" s="273" t="e">
        <f>SUM(S19:S50)</f>
        <v>#VALUE!</v>
      </c>
      <c r="W40" s="274" t="e">
        <f ca="1">V40/U40</f>
        <v>#VALUE!</v>
      </c>
      <c r="X40" s="109" t="s">
        <v>217</v>
      </c>
      <c r="Y40" s="102">
        <v>10</v>
      </c>
      <c r="Z40" s="109"/>
    </row>
    <row r="41" spans="1:27">
      <c r="A41" s="70">
        <f t="shared" si="0"/>
        <v>4</v>
      </c>
      <c r="B41" s="550"/>
      <c r="C41" s="551"/>
      <c r="D41" s="551"/>
      <c r="E41" s="551"/>
      <c r="F41" s="551"/>
      <c r="G41" s="551"/>
      <c r="H41" s="552"/>
      <c r="I41" s="59">
        <f t="shared" si="6"/>
        <v>4.3499999999999943</v>
      </c>
      <c r="J41" s="57" t="s">
        <v>137</v>
      </c>
      <c r="K41" s="2" t="e">
        <f>SUMIF('[3]BESS 12'!$B$4:$B$270,$J41,'[3]BESS 12'!Q$4:Q$270)</f>
        <v>#VALUE!</v>
      </c>
      <c r="L41" s="2" t="e">
        <f>SUMIF('[3]BESS 12'!$B$4:$B$270,$J41,'[3]BESS 12'!R$4:R$270)</f>
        <v>#VALUE!</v>
      </c>
      <c r="M41" s="2" t="e">
        <f t="shared" si="8"/>
        <v>#VALUE!</v>
      </c>
      <c r="N41" s="63" t="s">
        <v>122</v>
      </c>
      <c r="O41" s="424" t="str">
        <f t="shared" si="1"/>
        <v>-</v>
      </c>
      <c r="P41" s="308" t="s">
        <v>164</v>
      </c>
      <c r="Q41" s="590">
        <v>2</v>
      </c>
      <c r="R41" s="591">
        <v>8</v>
      </c>
      <c r="S41" s="242" t="s">
        <v>89</v>
      </c>
      <c r="T41" s="77"/>
      <c r="X41" s="109" t="s">
        <v>218</v>
      </c>
      <c r="Y41" s="102">
        <v>10</v>
      </c>
      <c r="Z41" s="260"/>
    </row>
    <row r="42" spans="1:27">
      <c r="A42" s="70">
        <f t="shared" si="0"/>
        <v>4</v>
      </c>
      <c r="B42" s="550"/>
      <c r="C42" s="551"/>
      <c r="D42" s="551"/>
      <c r="E42" s="551"/>
      <c r="F42" s="551"/>
      <c r="G42" s="551"/>
      <c r="H42" s="552"/>
      <c r="I42" s="59">
        <f t="shared" si="6"/>
        <v>4.3599999999999941</v>
      </c>
      <c r="J42" s="57" t="s">
        <v>139</v>
      </c>
      <c r="K42" s="2" t="e">
        <f>SUMIF('[3]BESS 12'!$B$4:$B$270,$J42,'[3]BESS 12'!Q$4:Q$270)</f>
        <v>#VALUE!</v>
      </c>
      <c r="L42" s="2" t="e">
        <f>SUMIF('[3]BESS 12'!$B$4:$B$270,$J42,'[3]BESS 12'!R$4:R$270)</f>
        <v>#VALUE!</v>
      </c>
      <c r="M42" s="2" t="e">
        <f t="shared" si="8"/>
        <v>#VALUE!</v>
      </c>
      <c r="N42" s="63" t="s">
        <v>122</v>
      </c>
      <c r="O42" s="424" t="str">
        <f t="shared" si="1"/>
        <v>-</v>
      </c>
      <c r="P42" s="308" t="s">
        <v>164</v>
      </c>
      <c r="Q42" s="590"/>
      <c r="R42" s="591"/>
      <c r="S42" s="242" t="s">
        <v>89</v>
      </c>
      <c r="T42" s="77"/>
      <c r="X42" s="109" t="s">
        <v>223</v>
      </c>
      <c r="Y42" s="102">
        <v>10</v>
      </c>
      <c r="Z42" s="109"/>
    </row>
    <row r="43" spans="1:27">
      <c r="A43" s="70">
        <f t="shared" si="0"/>
        <v>4</v>
      </c>
      <c r="B43" s="550"/>
      <c r="C43" s="551"/>
      <c r="D43" s="551"/>
      <c r="E43" s="551"/>
      <c r="F43" s="551"/>
      <c r="G43" s="551"/>
      <c r="H43" s="552"/>
      <c r="I43" s="59">
        <f t="shared" si="6"/>
        <v>4.3699999999999939</v>
      </c>
      <c r="J43" s="57" t="s">
        <v>140</v>
      </c>
      <c r="K43" s="2" t="e">
        <f>SUMIF('[3]BESS 12'!$B$4:$B$270,$J43,'[3]BESS 12'!Q$4:Q$270)</f>
        <v>#VALUE!</v>
      </c>
      <c r="L43" s="2" t="e">
        <f>SUMIF('[3]BESS 12'!$B$4:$B$270,$J43,'[3]BESS 12'!R$4:R$270)</f>
        <v>#VALUE!</v>
      </c>
      <c r="M43" s="2" t="e">
        <f t="shared" si="8"/>
        <v>#VALUE!</v>
      </c>
      <c r="N43" s="63" t="s">
        <v>122</v>
      </c>
      <c r="O43" s="429" t="str">
        <f t="shared" si="1"/>
        <v>-</v>
      </c>
      <c r="P43" s="292" t="s">
        <v>164</v>
      </c>
      <c r="Q43" s="276">
        <v>2</v>
      </c>
      <c r="R43" s="241">
        <v>4</v>
      </c>
      <c r="S43" s="242" t="e">
        <f t="shared" ref="S43:S50" si="9">(M43*R43)/Q43</f>
        <v>#VALUE!</v>
      </c>
      <c r="T43" s="119"/>
      <c r="U43" s="70" t="e">
        <f ca="1">O43-$T$1</f>
        <v>#VALUE!</v>
      </c>
      <c r="V43" s="273" t="e">
        <f>SUM(S19:S50)</f>
        <v>#VALUE!</v>
      </c>
      <c r="W43" s="274" t="e">
        <f ca="1">V43/(U43-3)</f>
        <v>#VALUE!</v>
      </c>
    </row>
    <row r="44" spans="1:27" ht="25.5">
      <c r="A44" s="70">
        <f t="shared" si="0"/>
        <v>4</v>
      </c>
      <c r="B44" s="550"/>
      <c r="C44" s="551"/>
      <c r="D44" s="551"/>
      <c r="E44" s="551"/>
      <c r="F44" s="551"/>
      <c r="G44" s="551"/>
      <c r="H44" s="552"/>
      <c r="I44" s="59">
        <f t="shared" si="6"/>
        <v>4.3799999999999937</v>
      </c>
      <c r="J44" s="57" t="s">
        <v>141</v>
      </c>
      <c r="K44" s="2" t="e">
        <f>SUMIF('[3]BESS 12'!$B$4:$B$270,$J44,'[3]BESS 12'!Q$4:Q$270)</f>
        <v>#VALUE!</v>
      </c>
      <c r="L44" s="2" t="e">
        <f>SUMIF('[3]BESS 12'!$B$4:$B$270,$J44,'[3]BESS 12'!R$4:R$270)</f>
        <v>#VALUE!</v>
      </c>
      <c r="M44" s="2" t="e">
        <f t="shared" si="8"/>
        <v>#VALUE!</v>
      </c>
      <c r="N44" s="63" t="s">
        <v>122</v>
      </c>
      <c r="O44" s="424" t="str">
        <f t="shared" si="1"/>
        <v>-</v>
      </c>
      <c r="P44" s="292" t="s">
        <v>164</v>
      </c>
      <c r="Q44" s="276">
        <v>0.5</v>
      </c>
      <c r="R44" s="241">
        <v>4</v>
      </c>
      <c r="S44" s="242" t="e">
        <f t="shared" si="9"/>
        <v>#VALUE!</v>
      </c>
      <c r="T44" s="261"/>
    </row>
    <row r="45" spans="1:27">
      <c r="A45" s="70">
        <f t="shared" si="0"/>
        <v>4</v>
      </c>
      <c r="B45" s="550"/>
      <c r="C45" s="551"/>
      <c r="D45" s="551"/>
      <c r="E45" s="551"/>
      <c r="F45" s="551"/>
      <c r="G45" s="551"/>
      <c r="H45" s="552"/>
      <c r="I45" s="59">
        <f t="shared" si="6"/>
        <v>4.3899999999999935</v>
      </c>
      <c r="J45" s="57" t="s">
        <v>142</v>
      </c>
      <c r="K45" s="2" t="e">
        <f>SUMIF('[3]BESS 12'!$B$4:$B$270,$J45,'[3]BESS 12'!Q$4:Q$270)</f>
        <v>#VALUE!</v>
      </c>
      <c r="L45" s="2" t="e">
        <f>SUMIF('[3]BESS 12'!$B$4:$B$270,$J45,'[3]BESS 12'!R$4:R$270)</f>
        <v>#VALUE!</v>
      </c>
      <c r="M45" s="2" t="e">
        <f t="shared" si="8"/>
        <v>#VALUE!</v>
      </c>
      <c r="N45" s="63" t="s">
        <v>122</v>
      </c>
      <c r="O45" s="429" t="str">
        <f t="shared" si="1"/>
        <v>-</v>
      </c>
      <c r="P45" s="292" t="s">
        <v>164</v>
      </c>
      <c r="Q45" s="276">
        <v>6</v>
      </c>
      <c r="R45" s="241">
        <v>4</v>
      </c>
      <c r="S45" s="242" t="e">
        <f t="shared" si="9"/>
        <v>#VALUE!</v>
      </c>
      <c r="T45" s="262"/>
    </row>
    <row r="46" spans="1:27">
      <c r="A46" s="70">
        <f t="shared" si="0"/>
        <v>4</v>
      </c>
      <c r="B46" s="550"/>
      <c r="C46" s="551"/>
      <c r="D46" s="551"/>
      <c r="E46" s="551"/>
      <c r="F46" s="551"/>
      <c r="G46" s="551"/>
      <c r="H46" s="552"/>
      <c r="I46" s="59">
        <f t="shared" si="6"/>
        <v>4.3999999999999932</v>
      </c>
      <c r="J46" s="57" t="s">
        <v>143</v>
      </c>
      <c r="K46" s="2" t="e">
        <f>SUMIF('[3]BESS 12'!$B$4:$B$270,$J46,'[3]BESS 12'!Q$4:Q$270)</f>
        <v>#VALUE!</v>
      </c>
      <c r="L46" s="2" t="e">
        <f>SUMIF('[3]BESS 12'!$B$4:$B$270,$J46,'[3]BESS 12'!R$4:R$270)</f>
        <v>#VALUE!</v>
      </c>
      <c r="M46" s="2" t="e">
        <f t="shared" si="8"/>
        <v>#VALUE!</v>
      </c>
      <c r="N46" s="63" t="s">
        <v>122</v>
      </c>
      <c r="O46" s="424" t="str">
        <f t="shared" si="1"/>
        <v>-</v>
      </c>
      <c r="P46" s="292" t="s">
        <v>164</v>
      </c>
      <c r="Q46" s="276">
        <v>6</v>
      </c>
      <c r="R46" s="241">
        <v>5</v>
      </c>
      <c r="S46" s="242" t="e">
        <f t="shared" si="9"/>
        <v>#VALUE!</v>
      </c>
      <c r="T46" s="262"/>
    </row>
    <row r="47" spans="1:27">
      <c r="A47" s="70">
        <f t="shared" si="0"/>
        <v>4</v>
      </c>
      <c r="B47" s="550"/>
      <c r="C47" s="551"/>
      <c r="D47" s="551"/>
      <c r="E47" s="551"/>
      <c r="F47" s="551"/>
      <c r="G47" s="551"/>
      <c r="H47" s="552"/>
      <c r="I47" s="59">
        <f t="shared" si="6"/>
        <v>4.409999999999993</v>
      </c>
      <c r="J47" s="57" t="s">
        <v>144</v>
      </c>
      <c r="K47" s="2" t="e">
        <f>SUMIF('[3]BESS 12'!$B$4:$B$270,$J47,'[3]BESS 12'!Q$4:Q$270)</f>
        <v>#VALUE!</v>
      </c>
      <c r="L47" s="2" t="e">
        <f>SUMIF('[3]BESS 12'!$B$4:$B$270,$J47,'[3]BESS 12'!R$4:R$270)</f>
        <v>#VALUE!</v>
      </c>
      <c r="M47" s="2" t="e">
        <f t="shared" si="8"/>
        <v>#VALUE!</v>
      </c>
      <c r="N47" s="63" t="s">
        <v>122</v>
      </c>
      <c r="O47" s="424" t="str">
        <f t="shared" si="1"/>
        <v>-</v>
      </c>
      <c r="P47" s="308" t="s">
        <v>164</v>
      </c>
      <c r="Q47" s="276">
        <v>1</v>
      </c>
      <c r="R47" s="241">
        <v>5</v>
      </c>
      <c r="S47" s="242" t="e">
        <f t="shared" si="9"/>
        <v>#VALUE!</v>
      </c>
      <c r="T47" s="332"/>
    </row>
    <row r="48" spans="1:27">
      <c r="A48" s="70">
        <f t="shared" si="0"/>
        <v>4</v>
      </c>
      <c r="B48" s="550"/>
      <c r="C48" s="551"/>
      <c r="D48" s="551"/>
      <c r="E48" s="551"/>
      <c r="F48" s="551"/>
      <c r="G48" s="551"/>
      <c r="H48" s="552"/>
      <c r="I48" s="59">
        <f t="shared" si="6"/>
        <v>4.4199999999999928</v>
      </c>
      <c r="J48" s="57" t="s">
        <v>145</v>
      </c>
      <c r="K48" s="2" t="e">
        <f>SUMIF('[3]BESS 12'!$B$4:$B$270,$J48,'[3]BESS 12'!Q$4:Q$270)</f>
        <v>#VALUE!</v>
      </c>
      <c r="L48" s="2" t="e">
        <f>SUMIF('[3]BESS 12'!$B$4:$B$270,$J48,'[3]BESS 12'!R$4:R$270)</f>
        <v>#VALUE!</v>
      </c>
      <c r="M48" s="2" t="e">
        <f t="shared" si="8"/>
        <v>#VALUE!</v>
      </c>
      <c r="N48" s="63" t="s">
        <v>122</v>
      </c>
      <c r="O48" s="424" t="str">
        <f t="shared" si="1"/>
        <v>-</v>
      </c>
      <c r="P48" s="292" t="s">
        <v>164</v>
      </c>
      <c r="Q48" s="276">
        <v>3</v>
      </c>
      <c r="R48" s="241">
        <v>5</v>
      </c>
      <c r="S48" s="242" t="e">
        <f t="shared" si="9"/>
        <v>#VALUE!</v>
      </c>
      <c r="T48" s="332"/>
    </row>
    <row r="49" spans="1:26">
      <c r="A49" s="70">
        <f t="shared" si="0"/>
        <v>4</v>
      </c>
      <c r="B49" s="550"/>
      <c r="C49" s="551"/>
      <c r="D49" s="551"/>
      <c r="E49" s="551"/>
      <c r="F49" s="551"/>
      <c r="G49" s="551"/>
      <c r="H49" s="552"/>
      <c r="I49" s="59">
        <f t="shared" si="6"/>
        <v>4.4299999999999926</v>
      </c>
      <c r="J49" s="57" t="s">
        <v>54</v>
      </c>
      <c r="K49" s="2" t="e">
        <f>SUMIF('[3]BESS 12'!$B$4:$B$270,$J49,'[3]BESS 12'!Q$4:Q$270)</f>
        <v>#VALUE!</v>
      </c>
      <c r="L49" s="2" t="e">
        <f>SUMIF('[3]BESS 12'!$B$4:$B$270,$J49,'[3]BESS 12'!R$4:R$270)</f>
        <v>#VALUE!</v>
      </c>
      <c r="M49" s="2" t="e">
        <f t="shared" si="8"/>
        <v>#VALUE!</v>
      </c>
      <c r="N49" s="63" t="s">
        <v>122</v>
      </c>
      <c r="O49" s="424" t="str">
        <f t="shared" si="1"/>
        <v>-</v>
      </c>
      <c r="P49" s="292" t="s">
        <v>164</v>
      </c>
      <c r="Q49" s="276">
        <v>150</v>
      </c>
      <c r="R49" s="241">
        <v>6</v>
      </c>
      <c r="S49" s="242" t="e">
        <f t="shared" si="9"/>
        <v>#VALUE!</v>
      </c>
      <c r="T49" s="332"/>
    </row>
    <row r="50" spans="1:26" ht="15.75" thickBot="1">
      <c r="A50" s="70">
        <f t="shared" si="0"/>
        <v>4</v>
      </c>
      <c r="B50" s="593"/>
      <c r="C50" s="594"/>
      <c r="D50" s="594"/>
      <c r="E50" s="594"/>
      <c r="F50" s="594"/>
      <c r="G50" s="594"/>
      <c r="H50" s="595"/>
      <c r="I50" s="407">
        <f t="shared" si="6"/>
        <v>4.4399999999999924</v>
      </c>
      <c r="J50" s="408" t="s">
        <v>55</v>
      </c>
      <c r="K50" s="25" t="e">
        <f>SUMIF('[3]BESS 12'!$B$4:$B$270,$J50,'[3]BESS 12'!Q$4:Q$270)</f>
        <v>#VALUE!</v>
      </c>
      <c r="L50" s="25" t="e">
        <f>SUMIF('[3]BESS 12'!$B$4:$B$270,$J50,'[3]BESS 12'!R$4:R$270)</f>
        <v>#VALUE!</v>
      </c>
      <c r="M50" s="25" t="e">
        <f t="shared" si="3"/>
        <v>#VALUE!</v>
      </c>
      <c r="N50" s="409" t="s">
        <v>122</v>
      </c>
      <c r="O50" s="427" t="str">
        <f t="shared" si="1"/>
        <v>-</v>
      </c>
      <c r="P50" s="410" t="s">
        <v>164</v>
      </c>
      <c r="Q50" s="280">
        <v>5</v>
      </c>
      <c r="R50" s="245">
        <v>6</v>
      </c>
      <c r="S50" s="246" t="e">
        <f t="shared" si="9"/>
        <v>#VALUE!</v>
      </c>
      <c r="T50" s="333"/>
    </row>
    <row r="51" spans="1:26">
      <c r="A51" s="70">
        <f t="shared" si="0"/>
        <v>1</v>
      </c>
      <c r="B51" s="472" t="s">
        <v>17</v>
      </c>
      <c r="C51" s="475">
        <v>1</v>
      </c>
      <c r="D51" s="592" t="s">
        <v>301</v>
      </c>
      <c r="E51" s="524" t="s">
        <v>120</v>
      </c>
      <c r="F51" s="586">
        <v>46231</v>
      </c>
      <c r="G51" s="586">
        <v>46236</v>
      </c>
      <c r="H51" s="586">
        <v>46239</v>
      </c>
      <c r="I51" s="74"/>
      <c r="J51" s="48"/>
      <c r="K51" s="48"/>
      <c r="L51" s="75" t="s">
        <v>121</v>
      </c>
      <c r="M51" s="48"/>
      <c r="N51" s="48"/>
      <c r="O51" s="424"/>
      <c r="P51" s="284"/>
      <c r="Q51" s="281"/>
      <c r="R51" s="247"/>
      <c r="S51" s="248"/>
      <c r="T51" s="328"/>
      <c r="U51" s="73"/>
    </row>
    <row r="52" spans="1:26">
      <c r="A52" s="70">
        <f t="shared" si="0"/>
        <v>1</v>
      </c>
      <c r="B52" s="473"/>
      <c r="C52" s="476"/>
      <c r="D52" s="584"/>
      <c r="E52" s="445"/>
      <c r="F52" s="587"/>
      <c r="G52" s="587"/>
      <c r="H52" s="587"/>
      <c r="I52" s="56">
        <f>C51+0.1</f>
        <v>1.1000000000000001</v>
      </c>
      <c r="J52" s="57" t="s">
        <v>19</v>
      </c>
      <c r="K52" s="2" t="e">
        <f>SUMIF('[3]BESS 12'!$B$4:$B$270,$J52,'[3]BESS 12'!E$4:E$270)</f>
        <v>#VALUE!</v>
      </c>
      <c r="L52" s="2" t="e">
        <f>SUMIF('[3]BESS 12'!$B$4:$B$270,$J52,'[3]BESS 12'!F$4:F$270)</f>
        <v>#VALUE!</v>
      </c>
      <c r="M52" s="2" t="e">
        <f>K52-L52</f>
        <v>#VALUE!</v>
      </c>
      <c r="N52" s="63" t="s">
        <v>122</v>
      </c>
      <c r="O52" s="424" t="str">
        <f t="shared" si="1"/>
        <v>-</v>
      </c>
      <c r="P52" s="283" t="s">
        <v>20</v>
      </c>
      <c r="Q52" s="276">
        <v>1</v>
      </c>
      <c r="R52" s="241">
        <v>2</v>
      </c>
      <c r="S52" s="242" t="e">
        <f>(M52*R52)/Q52</f>
        <v>#VALUE!</v>
      </c>
      <c r="T52" s="317"/>
      <c r="V52" s="272"/>
    </row>
    <row r="53" spans="1:26">
      <c r="A53" s="70">
        <f t="shared" si="0"/>
        <v>1</v>
      </c>
      <c r="B53" s="473"/>
      <c r="C53" s="476"/>
      <c r="D53" s="584"/>
      <c r="E53" s="445"/>
      <c r="F53" s="587"/>
      <c r="G53" s="587"/>
      <c r="H53" s="587"/>
      <c r="I53" s="56">
        <f>I52+0.1</f>
        <v>1.2000000000000002</v>
      </c>
      <c r="J53" s="57" t="s">
        <v>23</v>
      </c>
      <c r="K53" s="2" t="e">
        <f>SUMIF('[3]BESS 12'!$B$4:$B$270,$J53,'[3]BESS 12'!E$4:E$270)</f>
        <v>#VALUE!</v>
      </c>
      <c r="L53" s="2" t="e">
        <f>SUMIF('[3]BESS 12'!$B$4:$B$270,$J53,'[3]BESS 12'!F$4:F$270)</f>
        <v>#VALUE!</v>
      </c>
      <c r="M53" s="2" t="e">
        <f t="shared" ref="M53:M95" si="10">K53-L53</f>
        <v>#VALUE!</v>
      </c>
      <c r="N53" s="63" t="s">
        <v>122</v>
      </c>
      <c r="O53" s="424" t="str">
        <f t="shared" si="1"/>
        <v>-</v>
      </c>
      <c r="P53" s="283" t="s">
        <v>20</v>
      </c>
      <c r="Q53" s="276">
        <v>1</v>
      </c>
      <c r="R53" s="241">
        <v>16</v>
      </c>
      <c r="S53" s="242" t="e">
        <f t="shared" ref="S53:S60" si="11">(M53*R53)/Q53</f>
        <v>#VALUE!</v>
      </c>
      <c r="T53" s="317"/>
    </row>
    <row r="54" spans="1:26">
      <c r="A54" s="70">
        <f t="shared" si="0"/>
        <v>1</v>
      </c>
      <c r="B54" s="473"/>
      <c r="C54" s="476"/>
      <c r="D54" s="584"/>
      <c r="E54" s="445"/>
      <c r="F54" s="587"/>
      <c r="G54" s="587"/>
      <c r="H54" s="587"/>
      <c r="I54" s="56">
        <f t="shared" ref="I54:I60" si="12">I53+0.1</f>
        <v>1.3000000000000003</v>
      </c>
      <c r="J54" s="57" t="s">
        <v>26</v>
      </c>
      <c r="K54" s="2" t="e">
        <f>SUMIF('[3]BESS 12'!$B$4:$B$270,$J54,'[3]BESS 12'!E$4:E$270)</f>
        <v>#VALUE!</v>
      </c>
      <c r="L54" s="2" t="e">
        <f>SUMIF('[3]BESS 12'!$B$4:$B$270,$J54,'[3]BESS 12'!F$4:F$270)</f>
        <v>#VALUE!</v>
      </c>
      <c r="M54" s="2" t="e">
        <f t="shared" si="10"/>
        <v>#VALUE!</v>
      </c>
      <c r="N54" s="63" t="s">
        <v>122</v>
      </c>
      <c r="O54" s="424" t="str">
        <f t="shared" si="1"/>
        <v>-</v>
      </c>
      <c r="P54" s="283" t="s">
        <v>20</v>
      </c>
      <c r="Q54" s="276">
        <v>1</v>
      </c>
      <c r="R54" s="241">
        <v>39</v>
      </c>
      <c r="S54" s="242" t="e">
        <f t="shared" si="11"/>
        <v>#VALUE!</v>
      </c>
      <c r="T54" s="317"/>
    </row>
    <row r="55" spans="1:26">
      <c r="A55" s="70">
        <f t="shared" si="0"/>
        <v>1</v>
      </c>
      <c r="B55" s="473"/>
      <c r="C55" s="476"/>
      <c r="D55" s="584"/>
      <c r="E55" s="445"/>
      <c r="F55" s="587"/>
      <c r="G55" s="587"/>
      <c r="H55" s="587"/>
      <c r="I55" s="56">
        <f t="shared" si="12"/>
        <v>1.4000000000000004</v>
      </c>
      <c r="J55" s="57" t="s">
        <v>32</v>
      </c>
      <c r="K55" s="2" t="e">
        <f>SUMIF('[3]BESS 12'!$B$4:$B$270,$J55,'[3]BESS 12'!E$4:E$270)</f>
        <v>#VALUE!</v>
      </c>
      <c r="L55" s="2" t="e">
        <f>SUMIF('[3]BESS 12'!$B$4:$B$270,$J55,'[3]BESS 12'!F$4:F$270)</f>
        <v>#VALUE!</v>
      </c>
      <c r="M55" s="2" t="e">
        <f t="shared" si="10"/>
        <v>#VALUE!</v>
      </c>
      <c r="N55" s="63" t="s">
        <v>122</v>
      </c>
      <c r="O55" s="424" t="str">
        <f t="shared" si="1"/>
        <v>-</v>
      </c>
      <c r="P55" s="283" t="s">
        <v>20</v>
      </c>
      <c r="Q55" s="276">
        <v>1</v>
      </c>
      <c r="R55" s="241">
        <v>37</v>
      </c>
      <c r="S55" s="242" t="e">
        <f t="shared" si="11"/>
        <v>#VALUE!</v>
      </c>
      <c r="T55" s="317"/>
    </row>
    <row r="56" spans="1:26">
      <c r="A56" s="70">
        <f t="shared" si="0"/>
        <v>1</v>
      </c>
      <c r="B56" s="473"/>
      <c r="C56" s="476"/>
      <c r="D56" s="584"/>
      <c r="E56" s="445"/>
      <c r="F56" s="587"/>
      <c r="G56" s="587"/>
      <c r="H56" s="587"/>
      <c r="I56" s="56">
        <f t="shared" si="12"/>
        <v>1.5000000000000004</v>
      </c>
      <c r="J56" s="57" t="s">
        <v>35</v>
      </c>
      <c r="K56" s="2" t="e">
        <f>SUMIF('[3]BESS 12'!$B$4:$B$270,$J56,'[3]BESS 12'!E$4:E$270)</f>
        <v>#VALUE!</v>
      </c>
      <c r="L56" s="2" t="e">
        <f>SUMIF('[3]BESS 12'!$B$4:$B$270,$J56,'[3]BESS 12'!F$4:F$270)</f>
        <v>#VALUE!</v>
      </c>
      <c r="M56" s="2" t="e">
        <f t="shared" si="10"/>
        <v>#VALUE!</v>
      </c>
      <c r="N56" s="63" t="s">
        <v>122</v>
      </c>
      <c r="O56" s="424" t="str">
        <f t="shared" si="1"/>
        <v>-</v>
      </c>
      <c r="P56" s="283" t="s">
        <v>20</v>
      </c>
      <c r="Q56" s="276">
        <v>1</v>
      </c>
      <c r="R56" s="241">
        <v>34</v>
      </c>
      <c r="S56" s="242" t="e">
        <f t="shared" si="11"/>
        <v>#VALUE!</v>
      </c>
      <c r="T56" s="317"/>
    </row>
    <row r="57" spans="1:26">
      <c r="A57" s="70">
        <f t="shared" si="0"/>
        <v>1</v>
      </c>
      <c r="B57" s="473"/>
      <c r="C57" s="476"/>
      <c r="D57" s="584"/>
      <c r="E57" s="445"/>
      <c r="F57" s="587"/>
      <c r="G57" s="587"/>
      <c r="H57" s="587"/>
      <c r="I57" s="56">
        <f t="shared" si="12"/>
        <v>1.6000000000000005</v>
      </c>
      <c r="J57" s="57" t="s">
        <v>38</v>
      </c>
      <c r="K57" s="2" t="e">
        <f>SUMIF('[3]BESS 12'!$B$4:$B$270,$J57,'[3]BESS 12'!E$4:E$270)</f>
        <v>#VALUE!</v>
      </c>
      <c r="L57" s="2" t="e">
        <f>SUMIF('[3]BESS 12'!$B$4:$B$270,$J57,'[3]BESS 12'!F$4:F$270)</f>
        <v>#VALUE!</v>
      </c>
      <c r="M57" s="2" t="e">
        <f t="shared" si="10"/>
        <v>#VALUE!</v>
      </c>
      <c r="N57" s="63" t="s">
        <v>122</v>
      </c>
      <c r="O57" s="424" t="str">
        <f t="shared" si="1"/>
        <v>-</v>
      </c>
      <c r="P57" s="292" t="s">
        <v>20</v>
      </c>
      <c r="Q57" s="276">
        <v>1</v>
      </c>
      <c r="R57" s="241">
        <v>54</v>
      </c>
      <c r="S57" s="242" t="e">
        <f t="shared" si="11"/>
        <v>#VALUE!</v>
      </c>
      <c r="T57" s="317"/>
      <c r="V57" s="272"/>
      <c r="X57" s="73"/>
    </row>
    <row r="58" spans="1:26">
      <c r="A58" s="70">
        <f t="shared" si="0"/>
        <v>1</v>
      </c>
      <c r="B58" s="473"/>
      <c r="C58" s="476"/>
      <c r="D58" s="584"/>
      <c r="E58" s="445"/>
      <c r="F58" s="587"/>
      <c r="G58" s="587"/>
      <c r="H58" s="587"/>
      <c r="I58" s="56">
        <f t="shared" si="12"/>
        <v>1.7000000000000006</v>
      </c>
      <c r="J58" s="57" t="s">
        <v>44</v>
      </c>
      <c r="K58" s="2" t="e">
        <f>SUMIF('[3]BESS 12'!$B$4:$B$270,$J58,'[3]BESS 12'!E$4:E$270)</f>
        <v>#VALUE!</v>
      </c>
      <c r="L58" s="2" t="e">
        <f>SUMIF('[3]BESS 12'!$B$4:$B$270,$J58,'[3]BESS 12'!F$4:F$270)</f>
        <v>#VALUE!</v>
      </c>
      <c r="M58" s="2" t="e">
        <f t="shared" si="10"/>
        <v>#VALUE!</v>
      </c>
      <c r="N58" s="63" t="s">
        <v>122</v>
      </c>
      <c r="O58" s="424" t="str">
        <f t="shared" si="1"/>
        <v>-</v>
      </c>
      <c r="P58" s="283" t="s">
        <v>45</v>
      </c>
      <c r="Q58" s="276">
        <v>3</v>
      </c>
      <c r="R58" s="241">
        <v>5</v>
      </c>
      <c r="S58" s="242" t="e">
        <f t="shared" si="11"/>
        <v>#VALUE!</v>
      </c>
      <c r="T58" s="317"/>
      <c r="V58" s="272"/>
    </row>
    <row r="59" spans="1:26">
      <c r="A59" s="70">
        <f t="shared" si="0"/>
        <v>1</v>
      </c>
      <c r="B59" s="473"/>
      <c r="C59" s="476"/>
      <c r="D59" s="584"/>
      <c r="E59" s="445"/>
      <c r="F59" s="587"/>
      <c r="G59" s="587"/>
      <c r="H59" s="587"/>
      <c r="I59" s="56">
        <f t="shared" si="12"/>
        <v>1.8000000000000007</v>
      </c>
      <c r="J59" s="57" t="s">
        <v>40</v>
      </c>
      <c r="K59" s="2" t="e">
        <f>SUMIF('[3]BESS 12'!$B$4:$B$270,$J59,'[3]BESS 12'!E$4:E$270)</f>
        <v>#VALUE!</v>
      </c>
      <c r="L59" s="2" t="e">
        <f>SUMIF('[3]BESS 12'!$B$4:$B$270,$J59,'[3]BESS 12'!F$4:F$270)</f>
        <v>#VALUE!</v>
      </c>
      <c r="M59" s="2" t="e">
        <f t="shared" si="10"/>
        <v>#VALUE!</v>
      </c>
      <c r="N59" s="63" t="s">
        <v>122</v>
      </c>
      <c r="O59" s="424" t="str">
        <f t="shared" si="1"/>
        <v>-</v>
      </c>
      <c r="P59" s="292" t="s">
        <v>20</v>
      </c>
      <c r="Q59" s="276">
        <v>1</v>
      </c>
      <c r="R59" s="241">
        <v>5</v>
      </c>
      <c r="S59" s="242" t="e">
        <f t="shared" si="11"/>
        <v>#VALUE!</v>
      </c>
      <c r="T59" s="261"/>
      <c r="V59" s="272"/>
      <c r="X59" s="73"/>
    </row>
    <row r="60" spans="1:26">
      <c r="A60" s="70">
        <f t="shared" si="0"/>
        <v>1</v>
      </c>
      <c r="B60" s="473"/>
      <c r="C60" s="476"/>
      <c r="D60" s="584"/>
      <c r="E60" s="445"/>
      <c r="F60" s="587"/>
      <c r="G60" s="587"/>
      <c r="H60" s="587"/>
      <c r="I60" s="56">
        <f t="shared" si="12"/>
        <v>1.9000000000000008</v>
      </c>
      <c r="J60" s="57" t="s">
        <v>30</v>
      </c>
      <c r="K60" s="2" t="e">
        <f>SUMIF('[3]BESS 12'!$B$4:$B$270,$J60,'[3]BESS 12'!E$4:E$270)</f>
        <v>#VALUE!</v>
      </c>
      <c r="L60" s="2" t="e">
        <f>SUMIF('[3]BESS 12'!$B$4:$B$270,$J60,'[3]BESS 12'!F$4:F$270)</f>
        <v>#VALUE!</v>
      </c>
      <c r="M60" s="2" t="e">
        <f t="shared" si="10"/>
        <v>#VALUE!</v>
      </c>
      <c r="N60" s="63" t="s">
        <v>122</v>
      </c>
      <c r="O60" s="424" t="str">
        <f t="shared" si="1"/>
        <v>-</v>
      </c>
      <c r="P60" s="283" t="s">
        <v>162</v>
      </c>
      <c r="Q60" s="276">
        <v>1</v>
      </c>
      <c r="R60" s="241">
        <v>27</v>
      </c>
      <c r="S60" s="242" t="e">
        <f t="shared" si="11"/>
        <v>#VALUE!</v>
      </c>
      <c r="T60" s="77"/>
      <c r="V60" s="272"/>
    </row>
    <row r="61" spans="1:26">
      <c r="A61" s="70">
        <f t="shared" si="0"/>
        <v>1</v>
      </c>
      <c r="B61" s="473"/>
      <c r="C61" s="476"/>
      <c r="D61" s="584"/>
      <c r="E61" s="445"/>
      <c r="F61" s="587"/>
      <c r="G61" s="587"/>
      <c r="H61" s="587"/>
      <c r="I61" s="59">
        <f>C51+0.1</f>
        <v>1.1000000000000001</v>
      </c>
      <c r="J61" s="57" t="s">
        <v>34</v>
      </c>
      <c r="K61" s="2" t="e">
        <f>SUMIF('[3]BESS 12'!$B$4:$B$270,$J61,'[3]BESS 12'!E$4:E$270)</f>
        <v>#VALUE!</v>
      </c>
      <c r="L61" s="2" t="e">
        <f>SUMIF('[3]BESS 12'!$B$4:$B$270,$J61,'[3]BESS 12'!F$4:F$270)</f>
        <v>#VALUE!</v>
      </c>
      <c r="M61" s="2" t="e">
        <f t="shared" si="10"/>
        <v>#VALUE!</v>
      </c>
      <c r="N61" s="63" t="s">
        <v>122</v>
      </c>
      <c r="O61" s="424" t="str">
        <f t="shared" si="1"/>
        <v>-</v>
      </c>
      <c r="P61" s="292" t="s">
        <v>31</v>
      </c>
      <c r="Q61" s="276">
        <v>1</v>
      </c>
      <c r="R61" s="241">
        <v>25</v>
      </c>
      <c r="S61" s="242" t="e">
        <f>(M61*R61)/Q61</f>
        <v>#VALUE!</v>
      </c>
      <c r="T61" s="77"/>
    </row>
    <row r="62" spans="1:26">
      <c r="A62" s="70">
        <f t="shared" si="0"/>
        <v>1</v>
      </c>
      <c r="B62" s="473"/>
      <c r="C62" s="476"/>
      <c r="D62" s="584"/>
      <c r="E62" s="445"/>
      <c r="F62" s="587"/>
      <c r="G62" s="587"/>
      <c r="H62" s="587"/>
      <c r="I62" s="59">
        <f>I61+0.01</f>
        <v>1.1100000000000001</v>
      </c>
      <c r="J62" s="57" t="s">
        <v>37</v>
      </c>
      <c r="K62" s="2" t="e">
        <f>SUMIF('[3]BESS 12'!$B$4:$B$270,$J62,'[3]BESS 12'!E$4:E$270)</f>
        <v>#VALUE!</v>
      </c>
      <c r="L62" s="2" t="e">
        <f>SUMIF('[3]BESS 12'!$B$4:$B$270,$J62,'[3]BESS 12'!F$4:F$270)</f>
        <v>#VALUE!</v>
      </c>
      <c r="M62" s="2" t="e">
        <f t="shared" si="10"/>
        <v>#VALUE!</v>
      </c>
      <c r="N62" s="63" t="s">
        <v>122</v>
      </c>
      <c r="O62" s="424" t="str">
        <f t="shared" si="1"/>
        <v>-</v>
      </c>
      <c r="P62" s="292" t="s">
        <v>163</v>
      </c>
      <c r="Q62" s="276" t="s">
        <v>89</v>
      </c>
      <c r="R62" s="241" t="s">
        <v>89</v>
      </c>
      <c r="S62" s="242" t="s">
        <v>89</v>
      </c>
      <c r="T62" s="19"/>
      <c r="Y62" s="305"/>
      <c r="Z62" s="73"/>
    </row>
    <row r="63" spans="1:26">
      <c r="A63" s="70">
        <f t="shared" si="0"/>
        <v>1</v>
      </c>
      <c r="B63" s="473"/>
      <c r="C63" s="476"/>
      <c r="D63" s="584"/>
      <c r="E63" s="445"/>
      <c r="F63" s="587"/>
      <c r="G63" s="587"/>
      <c r="H63" s="587"/>
      <c r="I63" s="44"/>
      <c r="J63" s="46"/>
      <c r="K63" s="46"/>
      <c r="L63" s="47" t="s">
        <v>124</v>
      </c>
      <c r="M63" s="7"/>
      <c r="N63" s="46"/>
      <c r="O63" s="424"/>
      <c r="P63" s="286"/>
      <c r="Q63" s="277"/>
      <c r="R63" s="243"/>
      <c r="S63" s="244"/>
      <c r="T63" s="77"/>
    </row>
    <row r="64" spans="1:26">
      <c r="A64" s="70">
        <f t="shared" si="0"/>
        <v>1</v>
      </c>
      <c r="B64" s="473"/>
      <c r="C64" s="476"/>
      <c r="D64" s="584"/>
      <c r="E64" s="445"/>
      <c r="F64" s="587"/>
      <c r="G64" s="587"/>
      <c r="H64" s="587"/>
      <c r="I64" s="59">
        <f>I62+0.01</f>
        <v>1.1200000000000001</v>
      </c>
      <c r="J64" s="57" t="s">
        <v>24</v>
      </c>
      <c r="K64" s="2" t="e">
        <f>SUMIF('[3]BESS 12'!$B$4:$B$270,$J64,'[3]BESS 12'!E$4:E$270)</f>
        <v>#VALUE!</v>
      </c>
      <c r="L64" s="2" t="e">
        <f>SUMIF('[3]BESS 12'!$B$4:$B$270,$J64,'[3]BESS 12'!F$4:F$270)</f>
        <v>#VALUE!</v>
      </c>
      <c r="M64" s="2" t="e">
        <f t="shared" si="10"/>
        <v>#VALUE!</v>
      </c>
      <c r="N64" s="63" t="s">
        <v>122</v>
      </c>
      <c r="O64" s="424" t="str">
        <f t="shared" si="1"/>
        <v>-</v>
      </c>
      <c r="P64" s="283" t="s">
        <v>164</v>
      </c>
      <c r="Q64" s="276">
        <v>2</v>
      </c>
      <c r="R64" s="241">
        <v>4</v>
      </c>
      <c r="S64" s="242" t="e">
        <f t="shared" ref="S64:S66" si="13">(M64*R64)/Q64</f>
        <v>#VALUE!</v>
      </c>
      <c r="T64" s="307"/>
    </row>
    <row r="65" spans="1:27">
      <c r="A65" s="70">
        <f t="shared" si="0"/>
        <v>1</v>
      </c>
      <c r="B65" s="473"/>
      <c r="C65" s="476"/>
      <c r="D65" s="584"/>
      <c r="E65" s="445"/>
      <c r="F65" s="587"/>
      <c r="G65" s="587"/>
      <c r="H65" s="587"/>
      <c r="I65" s="59">
        <f>I64+0.01</f>
        <v>1.1300000000000001</v>
      </c>
      <c r="J65" s="57" t="s">
        <v>27</v>
      </c>
      <c r="K65" s="2" t="e">
        <f>SUMIF('[3]BESS 12'!$B$4:$B$270,$J65,'[3]BESS 12'!E$4:E$270)</f>
        <v>#VALUE!</v>
      </c>
      <c r="L65" s="2" t="e">
        <f>SUMIF('[3]BESS 12'!$B$4:$B$270,$J65,'[3]BESS 12'!F$4:F$270)</f>
        <v>#VALUE!</v>
      </c>
      <c r="M65" s="2" t="e">
        <f t="shared" si="10"/>
        <v>#VALUE!</v>
      </c>
      <c r="N65" s="63" t="s">
        <v>122</v>
      </c>
      <c r="O65" s="424" t="str">
        <f t="shared" si="1"/>
        <v>-</v>
      </c>
      <c r="P65" s="292" t="s">
        <v>164</v>
      </c>
      <c r="Q65" s="276">
        <v>10</v>
      </c>
      <c r="R65" s="241">
        <v>4</v>
      </c>
      <c r="S65" s="242" t="e">
        <f t="shared" si="13"/>
        <v>#VALUE!</v>
      </c>
      <c r="T65" s="322"/>
    </row>
    <row r="66" spans="1:27">
      <c r="A66" s="70">
        <f t="shared" si="0"/>
        <v>1</v>
      </c>
      <c r="B66" s="473"/>
      <c r="C66" s="476"/>
      <c r="D66" s="584"/>
      <c r="E66" s="445"/>
      <c r="F66" s="587"/>
      <c r="G66" s="587"/>
      <c r="H66" s="587"/>
      <c r="I66" s="59">
        <f>I65+0.01</f>
        <v>1.1400000000000001</v>
      </c>
      <c r="J66" s="57" t="s">
        <v>28</v>
      </c>
      <c r="K66" s="2" t="e">
        <f>SUMIF('[3]BESS 12'!$B$4:$B$270,$J66,'[3]BESS 12'!E$4:E$270)</f>
        <v>#VALUE!</v>
      </c>
      <c r="L66" s="2" t="e">
        <f>SUMIF('[3]BESS 12'!$B$4:$B$270,$J66,'[3]BESS 12'!F$4:F$270)</f>
        <v>#VALUE!</v>
      </c>
      <c r="M66" s="2" t="e">
        <f t="shared" si="10"/>
        <v>#VALUE!</v>
      </c>
      <c r="N66" s="63" t="s">
        <v>122</v>
      </c>
      <c r="O66" s="424" t="str">
        <f t="shared" si="1"/>
        <v>-</v>
      </c>
      <c r="P66" s="292" t="s">
        <v>164</v>
      </c>
      <c r="Q66" s="276">
        <v>5</v>
      </c>
      <c r="R66" s="241">
        <v>4</v>
      </c>
      <c r="S66" s="242" t="e">
        <f t="shared" si="13"/>
        <v>#VALUE!</v>
      </c>
      <c r="T66" s="19"/>
    </row>
    <row r="67" spans="1:27" ht="25.5">
      <c r="A67" s="70">
        <f t="shared" si="0"/>
        <v>1</v>
      </c>
      <c r="B67" s="473"/>
      <c r="C67" s="476"/>
      <c r="D67" s="584"/>
      <c r="E67" s="445"/>
      <c r="F67" s="587"/>
      <c r="G67" s="587"/>
      <c r="H67" s="587"/>
      <c r="I67" s="59">
        <f t="shared" ref="I67:I95" si="14">I66+0.01</f>
        <v>1.1500000000000001</v>
      </c>
      <c r="J67" s="57" t="s">
        <v>29</v>
      </c>
      <c r="K67" s="2" t="e">
        <f>SUMIF('[3]BESS 12'!$B$4:$B$270,$J67,'[3]BESS 12'!E$4:E$270)</f>
        <v>#VALUE!</v>
      </c>
      <c r="L67" s="2" t="e">
        <f>SUMIF('[3]BESS 12'!$B$4:$B$270,$J67,'[3]BESS 12'!F$4:F$270)</f>
        <v>#VALUE!</v>
      </c>
      <c r="M67" s="2" t="e">
        <f t="shared" si="10"/>
        <v>#VALUE!</v>
      </c>
      <c r="N67" s="63" t="s">
        <v>122</v>
      </c>
      <c r="O67" s="424" t="str">
        <f t="shared" si="1"/>
        <v>-</v>
      </c>
      <c r="P67" s="292" t="s">
        <v>164</v>
      </c>
      <c r="Q67" s="276">
        <v>20</v>
      </c>
      <c r="R67" s="241">
        <v>4</v>
      </c>
      <c r="S67" s="242">
        <v>4</v>
      </c>
      <c r="T67" s="309"/>
      <c r="AA67" s="73"/>
    </row>
    <row r="68" spans="1:27">
      <c r="A68" s="70">
        <f t="shared" si="0"/>
        <v>1</v>
      </c>
      <c r="B68" s="473"/>
      <c r="C68" s="476"/>
      <c r="D68" s="584"/>
      <c r="E68" s="445"/>
      <c r="F68" s="587"/>
      <c r="G68" s="587"/>
      <c r="H68" s="587"/>
      <c r="I68" s="59">
        <f t="shared" si="14"/>
        <v>1.1600000000000001</v>
      </c>
      <c r="J68" s="57" t="s">
        <v>33</v>
      </c>
      <c r="K68" s="2" t="e">
        <f>SUMIF('[3]BESS 12'!$B$4:$B$270,$J68,'[3]BESS 12'!E$4:E$270)</f>
        <v>#VALUE!</v>
      </c>
      <c r="L68" s="2" t="e">
        <f>SUMIF('[3]BESS 12'!$B$4:$B$270,$J68,'[3]BESS 12'!F$4:F$270)</f>
        <v>#VALUE!</v>
      </c>
      <c r="M68" s="2" t="e">
        <f t="shared" si="10"/>
        <v>#VALUE!</v>
      </c>
      <c r="N68" s="63" t="s">
        <v>122</v>
      </c>
      <c r="O68" s="424" t="str">
        <f t="shared" si="1"/>
        <v>-</v>
      </c>
      <c r="P68" s="292" t="s">
        <v>164</v>
      </c>
      <c r="Q68" s="276">
        <v>10</v>
      </c>
      <c r="R68" s="241"/>
      <c r="S68" s="242"/>
      <c r="T68" s="19"/>
    </row>
    <row r="69" spans="1:27">
      <c r="A69" s="70">
        <f t="shared" ref="A69:A132" si="15">IF(C69&gt;0,C69,A68)</f>
        <v>1</v>
      </c>
      <c r="B69" s="473"/>
      <c r="C69" s="476"/>
      <c r="D69" s="584"/>
      <c r="E69" s="445"/>
      <c r="F69" s="587"/>
      <c r="G69" s="587"/>
      <c r="H69" s="587"/>
      <c r="I69" s="59">
        <f t="shared" si="14"/>
        <v>1.1700000000000002</v>
      </c>
      <c r="J69" s="57" t="s">
        <v>36</v>
      </c>
      <c r="K69" s="2" t="e">
        <f>SUMIF('[3]BESS 12'!$B$4:$B$270,$J69,'[3]BESS 12'!E$4:E$270)</f>
        <v>#VALUE!</v>
      </c>
      <c r="L69" s="2" t="e">
        <f>SUMIF('[3]BESS 12'!$B$4:$B$270,$J69,'[3]BESS 12'!F$4:F$270)</f>
        <v>#VALUE!</v>
      </c>
      <c r="M69" s="2" t="e">
        <f t="shared" si="10"/>
        <v>#VALUE!</v>
      </c>
      <c r="N69" s="63" t="s">
        <v>122</v>
      </c>
      <c r="O69" s="424" t="str">
        <f t="shared" ref="O69:O132" si="16">IF(LEN(N69)=5,N69,(IF(N69="Completed","-",DATEVALUE(RIGHT(N69,6)))))</f>
        <v>-</v>
      </c>
      <c r="P69" s="292" t="s">
        <v>164</v>
      </c>
      <c r="Q69" s="276">
        <v>10</v>
      </c>
      <c r="R69" s="241"/>
      <c r="S69" s="242"/>
      <c r="T69" s="19"/>
      <c r="AA69" s="73"/>
    </row>
    <row r="70" spans="1:27">
      <c r="A70" s="70">
        <f t="shared" si="15"/>
        <v>1</v>
      </c>
      <c r="B70" s="473"/>
      <c r="C70" s="476"/>
      <c r="D70" s="584"/>
      <c r="E70" s="445"/>
      <c r="F70" s="587"/>
      <c r="G70" s="587"/>
      <c r="H70" s="587"/>
      <c r="I70" s="59">
        <f t="shared" si="14"/>
        <v>1.1800000000000002</v>
      </c>
      <c r="J70" s="57" t="s">
        <v>39</v>
      </c>
      <c r="K70" s="2" t="e">
        <f>SUMIF('[3]BESS 12'!$B$4:$B$270,$J70,'[3]BESS 12'!E$4:E$270)</f>
        <v>#VALUE!</v>
      </c>
      <c r="L70" s="2" t="e">
        <f>SUMIF('[3]BESS 12'!$B$4:$B$270,$J70,'[3]BESS 12'!F$4:F$270)</f>
        <v>#VALUE!</v>
      </c>
      <c r="M70" s="2" t="e">
        <f t="shared" si="10"/>
        <v>#VALUE!</v>
      </c>
      <c r="N70" s="63" t="s">
        <v>122</v>
      </c>
      <c r="O70" s="424" t="str">
        <f t="shared" si="16"/>
        <v>-</v>
      </c>
      <c r="P70" s="292" t="s">
        <v>164</v>
      </c>
      <c r="Q70" s="276">
        <v>10</v>
      </c>
      <c r="R70" s="241"/>
      <c r="S70" s="242"/>
      <c r="T70" s="19"/>
      <c r="V70" s="272"/>
    </row>
    <row r="71" spans="1:27">
      <c r="A71" s="70">
        <f t="shared" si="15"/>
        <v>1</v>
      </c>
      <c r="B71" s="473"/>
      <c r="C71" s="476"/>
      <c r="D71" s="584"/>
      <c r="E71" s="445"/>
      <c r="F71" s="587"/>
      <c r="G71" s="587"/>
      <c r="H71" s="587"/>
      <c r="I71" s="59">
        <f t="shared" si="14"/>
        <v>1.1900000000000002</v>
      </c>
      <c r="J71" s="57" t="s">
        <v>41</v>
      </c>
      <c r="K71" s="2" t="e">
        <f>SUMIF('[3]BESS 12'!$B$4:$B$270,$J71,'[3]BESS 12'!E$4:E$270)</f>
        <v>#VALUE!</v>
      </c>
      <c r="L71" s="2" t="e">
        <f>SUMIF('[3]BESS 12'!$B$4:$B$270,$J71,'[3]BESS 12'!F$4:F$270)</f>
        <v>#VALUE!</v>
      </c>
      <c r="M71" s="2" t="e">
        <f t="shared" si="10"/>
        <v>#VALUE!</v>
      </c>
      <c r="N71" s="63" t="s">
        <v>122</v>
      </c>
      <c r="O71" s="424" t="str">
        <f t="shared" si="16"/>
        <v>-</v>
      </c>
      <c r="P71" s="292" t="s">
        <v>171</v>
      </c>
      <c r="Q71" s="276">
        <v>20</v>
      </c>
      <c r="R71" s="241"/>
      <c r="S71" s="242"/>
      <c r="T71" s="261"/>
      <c r="V71" s="272"/>
    </row>
    <row r="72" spans="1:27">
      <c r="A72" s="70">
        <f t="shared" si="15"/>
        <v>1</v>
      </c>
      <c r="B72" s="473"/>
      <c r="C72" s="476"/>
      <c r="D72" s="584"/>
      <c r="E72" s="445"/>
      <c r="F72" s="587"/>
      <c r="G72" s="587"/>
      <c r="H72" s="587"/>
      <c r="I72" s="59">
        <f t="shared" si="14"/>
        <v>1.2000000000000002</v>
      </c>
      <c r="J72" s="57" t="s">
        <v>43</v>
      </c>
      <c r="K72" s="2" t="e">
        <f>SUMIF('[3]BESS 12'!$B$4:$B$270,$J72,'[3]BESS 12'!E$4:E$270)</f>
        <v>#VALUE!</v>
      </c>
      <c r="L72" s="2" t="e">
        <f>SUMIF('[3]BESS 12'!$B$4:$B$270,$J72,'[3]BESS 12'!F$4:F$270)</f>
        <v>#VALUE!</v>
      </c>
      <c r="M72" s="2" t="e">
        <f t="shared" si="10"/>
        <v>#VALUE!</v>
      </c>
      <c r="N72" s="63" t="s">
        <v>122</v>
      </c>
      <c r="O72" s="424" t="str">
        <f t="shared" si="16"/>
        <v>-</v>
      </c>
      <c r="P72" s="292" t="s">
        <v>171</v>
      </c>
      <c r="Q72" s="276">
        <v>1</v>
      </c>
      <c r="R72" s="241">
        <v>0</v>
      </c>
      <c r="S72" s="242" t="e">
        <f>(M72*R72)/Q72</f>
        <v>#VALUE!</v>
      </c>
      <c r="T72" s="19"/>
      <c r="V72" s="272"/>
      <c r="AA72" s="73"/>
    </row>
    <row r="73" spans="1:27">
      <c r="A73" s="70">
        <f t="shared" si="15"/>
        <v>1</v>
      </c>
      <c r="B73" s="473"/>
      <c r="C73" s="476"/>
      <c r="D73" s="584"/>
      <c r="E73" s="445"/>
      <c r="F73" s="587"/>
      <c r="G73" s="587"/>
      <c r="H73" s="587"/>
      <c r="I73" s="59">
        <f t="shared" si="14"/>
        <v>1.2100000000000002</v>
      </c>
      <c r="J73" s="57" t="s">
        <v>21</v>
      </c>
      <c r="K73" s="2" t="e">
        <f>SUMIF('[3]BESS 12'!$B$4:$B$270,$J73,'[3]BESS 12'!E$4:E$270)</f>
        <v>#VALUE!</v>
      </c>
      <c r="L73" s="2" t="e">
        <f>SUMIF('[3]BESS 12'!$B$4:$B$270,$J73,'[3]BESS 12'!F$4:F$270)</f>
        <v>#VALUE!</v>
      </c>
      <c r="M73" s="2" t="e">
        <f t="shared" si="10"/>
        <v>#VALUE!</v>
      </c>
      <c r="N73" s="63" t="s">
        <v>122</v>
      </c>
      <c r="O73" s="424" t="str">
        <f t="shared" si="16"/>
        <v>-</v>
      </c>
      <c r="P73" s="292" t="s">
        <v>164</v>
      </c>
      <c r="Q73" s="276">
        <v>10</v>
      </c>
      <c r="R73" s="241">
        <v>4</v>
      </c>
      <c r="S73" s="242" t="e">
        <f>(M73*R73)/Q73</f>
        <v>#VALUE!</v>
      </c>
      <c r="T73" s="322"/>
    </row>
    <row r="74" spans="1:27">
      <c r="A74" s="70">
        <f t="shared" si="15"/>
        <v>1</v>
      </c>
      <c r="B74" s="473"/>
      <c r="C74" s="476"/>
      <c r="D74" s="584"/>
      <c r="E74" s="445"/>
      <c r="F74" s="587"/>
      <c r="G74" s="587"/>
      <c r="H74" s="587"/>
      <c r="I74" s="59">
        <f t="shared" si="14"/>
        <v>1.2200000000000002</v>
      </c>
      <c r="J74" s="57" t="s">
        <v>47</v>
      </c>
      <c r="K74" s="2" t="e">
        <f>SUMIF('[3]BESS 12'!$B$4:$B$270,$J74,'[3]BESS 12'!E$4:E$270)</f>
        <v>#VALUE!</v>
      </c>
      <c r="L74" s="2" t="e">
        <f>SUMIF('[3]BESS 12'!$B$4:$B$270,$J74,'[3]BESS 12'!F$4:F$270)</f>
        <v>#VALUE!</v>
      </c>
      <c r="M74" s="2" t="e">
        <f t="shared" si="10"/>
        <v>#VALUE!</v>
      </c>
      <c r="N74" s="63" t="s">
        <v>122</v>
      </c>
      <c r="O74" s="424" t="str">
        <f t="shared" si="16"/>
        <v>-</v>
      </c>
      <c r="P74" s="292" t="s">
        <v>164</v>
      </c>
      <c r="Q74" s="276">
        <v>1500</v>
      </c>
      <c r="R74" s="241">
        <v>48</v>
      </c>
      <c r="S74" s="242" t="e">
        <f t="shared" ref="S74:S84" si="17">(M74*R74)/Q74</f>
        <v>#VALUE!</v>
      </c>
      <c r="T74" s="19"/>
      <c r="V74" s="272"/>
      <c r="X74" s="73"/>
    </row>
    <row r="75" spans="1:27">
      <c r="A75" s="70">
        <f t="shared" si="15"/>
        <v>1</v>
      </c>
      <c r="B75" s="473"/>
      <c r="C75" s="476"/>
      <c r="D75" s="584"/>
      <c r="E75" s="445"/>
      <c r="F75" s="587"/>
      <c r="G75" s="587"/>
      <c r="H75" s="587"/>
      <c r="I75" s="59">
        <f t="shared" si="14"/>
        <v>1.2300000000000002</v>
      </c>
      <c r="J75" s="57" t="s">
        <v>48</v>
      </c>
      <c r="K75" s="2" t="e">
        <f>SUMIF('[3]BESS 12'!$B$4:$B$270,$J75,'[3]BESS 12'!E$4:E$270)</f>
        <v>#VALUE!</v>
      </c>
      <c r="L75" s="2" t="e">
        <f>SUMIF('[3]BESS 12'!$B$4:$B$270,$J75,'[3]BESS 12'!F$4:F$270)</f>
        <v>#VALUE!</v>
      </c>
      <c r="M75" s="2" t="e">
        <f t="shared" si="10"/>
        <v>#VALUE!</v>
      </c>
      <c r="N75" s="63" t="s">
        <v>122</v>
      </c>
      <c r="O75" s="424" t="str">
        <f t="shared" si="16"/>
        <v>-</v>
      </c>
      <c r="P75" s="292" t="s">
        <v>164</v>
      </c>
      <c r="Q75" s="276">
        <v>8</v>
      </c>
      <c r="R75" s="241">
        <v>6</v>
      </c>
      <c r="S75" s="242" t="e">
        <f t="shared" si="17"/>
        <v>#VALUE!</v>
      </c>
      <c r="T75" s="19" t="s">
        <v>275</v>
      </c>
    </row>
    <row r="76" spans="1:27">
      <c r="A76" s="70">
        <f t="shared" si="15"/>
        <v>1</v>
      </c>
      <c r="B76" s="473"/>
      <c r="C76" s="476"/>
      <c r="D76" s="584"/>
      <c r="E76" s="445"/>
      <c r="F76" s="587"/>
      <c r="G76" s="587"/>
      <c r="H76" s="587"/>
      <c r="I76" s="59">
        <f t="shared" si="14"/>
        <v>1.2400000000000002</v>
      </c>
      <c r="J76" s="57" t="s">
        <v>126</v>
      </c>
      <c r="K76" s="2" t="e">
        <f>SUMIF('[3]BESS 12'!$B$4:$B$270,$J76,'[3]BESS 12'!E$4:E$270)</f>
        <v>#VALUE!</v>
      </c>
      <c r="L76" s="2" t="e">
        <f>SUMIF('[3]BESS 12'!$B$4:$B$270,$J76,'[3]BESS 12'!F$4:F$270)</f>
        <v>#VALUE!</v>
      </c>
      <c r="M76" s="2" t="e">
        <f t="shared" si="10"/>
        <v>#VALUE!</v>
      </c>
      <c r="N76" s="63" t="s">
        <v>122</v>
      </c>
      <c r="O76" s="424" t="str">
        <f t="shared" si="16"/>
        <v>-</v>
      </c>
      <c r="P76" s="292" t="s">
        <v>164</v>
      </c>
      <c r="Q76" s="276">
        <v>600</v>
      </c>
      <c r="R76" s="241">
        <v>10</v>
      </c>
      <c r="S76" s="242" t="e">
        <f>(M76*R76)/Q76</f>
        <v>#VALUE!</v>
      </c>
      <c r="T76" s="318"/>
      <c r="V76" s="272"/>
      <c r="X76" s="73"/>
    </row>
    <row r="77" spans="1:27">
      <c r="A77" s="70">
        <f t="shared" si="15"/>
        <v>1</v>
      </c>
      <c r="B77" s="473"/>
      <c r="C77" s="476"/>
      <c r="D77" s="584"/>
      <c r="E77" s="445"/>
      <c r="F77" s="587"/>
      <c r="G77" s="587"/>
      <c r="H77" s="587"/>
      <c r="I77" s="59">
        <f t="shared" si="14"/>
        <v>1.2500000000000002</v>
      </c>
      <c r="J77" s="57" t="s">
        <v>127</v>
      </c>
      <c r="K77" s="2" t="e">
        <f>SUMIF('[3]BESS 12'!$B$4:$B$270,$J77,'[3]BESS 12'!E$4:E$270)</f>
        <v>#VALUE!</v>
      </c>
      <c r="L77" s="2" t="e">
        <f>SUMIF('[3]BESS 12'!$B$4:$B$270,$J77,'[3]BESS 12'!F$4:F$270)</f>
        <v>#VALUE!</v>
      </c>
      <c r="M77" s="2" t="e">
        <f t="shared" si="10"/>
        <v>#VALUE!</v>
      </c>
      <c r="N77" s="63" t="s">
        <v>122</v>
      </c>
      <c r="O77" s="424" t="str">
        <f t="shared" si="16"/>
        <v>-</v>
      </c>
      <c r="P77" s="292" t="s">
        <v>164</v>
      </c>
      <c r="Q77" s="276">
        <v>600</v>
      </c>
      <c r="R77" s="241">
        <v>10</v>
      </c>
      <c r="S77" s="242" t="e">
        <f t="shared" si="17"/>
        <v>#VALUE!</v>
      </c>
      <c r="T77" s="318"/>
      <c r="V77" s="272"/>
      <c r="X77" s="73"/>
    </row>
    <row r="78" spans="1:27">
      <c r="A78" s="70">
        <f t="shared" si="15"/>
        <v>1</v>
      </c>
      <c r="B78" s="473"/>
      <c r="C78" s="476"/>
      <c r="D78" s="584"/>
      <c r="E78" s="445"/>
      <c r="F78" s="587"/>
      <c r="G78" s="587"/>
      <c r="H78" s="587"/>
      <c r="I78" s="59">
        <f t="shared" si="14"/>
        <v>1.2600000000000002</v>
      </c>
      <c r="J78" s="57" t="s">
        <v>128</v>
      </c>
      <c r="K78" s="2" t="e">
        <f>SUMIF('[3]BESS 12'!$B$4:$B$270,$J78,'[3]BESS 12'!E$4:E$270)</f>
        <v>#VALUE!</v>
      </c>
      <c r="L78" s="2" t="e">
        <f>SUMIF('[3]BESS 12'!$B$4:$B$270,$J78,'[3]BESS 12'!F$4:F$270)</f>
        <v>#VALUE!</v>
      </c>
      <c r="M78" s="2" t="e">
        <f t="shared" si="10"/>
        <v>#VALUE!</v>
      </c>
      <c r="N78" s="63" t="s">
        <v>122</v>
      </c>
      <c r="O78" s="424" t="str">
        <f t="shared" si="16"/>
        <v>-</v>
      </c>
      <c r="P78" s="292" t="s">
        <v>164</v>
      </c>
      <c r="Q78" s="276">
        <v>30</v>
      </c>
      <c r="R78" s="241">
        <v>18</v>
      </c>
      <c r="S78" s="242" t="e">
        <f t="shared" si="17"/>
        <v>#VALUE!</v>
      </c>
      <c r="T78" s="119"/>
    </row>
    <row r="79" spans="1:27" ht="26.25" customHeight="1">
      <c r="A79" s="70">
        <f t="shared" si="15"/>
        <v>1</v>
      </c>
      <c r="B79" s="473"/>
      <c r="C79" s="476"/>
      <c r="D79" s="584"/>
      <c r="E79" s="445"/>
      <c r="F79" s="587"/>
      <c r="G79" s="587"/>
      <c r="H79" s="587"/>
      <c r="I79" s="6">
        <f t="shared" si="14"/>
        <v>1.2700000000000002</v>
      </c>
      <c r="J79" s="8" t="s">
        <v>129</v>
      </c>
      <c r="K79" s="1" t="e">
        <f>SUMIF('[3]BESS 12'!$B$4:$B$270,$J79,'[3]BESS 12'!E$4:E$270)</f>
        <v>#VALUE!</v>
      </c>
      <c r="L79" s="36" t="e">
        <f>SUMIF('[3]BESS 12'!$B$4:$B$270,$J79,'[3]BESS 12'!F$4:F$270)</f>
        <v>#VALUE!</v>
      </c>
      <c r="M79" s="139" t="e">
        <f t="shared" si="10"/>
        <v>#VALUE!</v>
      </c>
      <c r="N79" s="20" t="s">
        <v>751</v>
      </c>
      <c r="O79" s="424">
        <f t="shared" si="16"/>
        <v>46233</v>
      </c>
      <c r="P79" s="285" t="s">
        <v>164</v>
      </c>
      <c r="Q79" s="276">
        <v>30</v>
      </c>
      <c r="R79" s="241">
        <v>18</v>
      </c>
      <c r="S79" s="242" t="e">
        <f t="shared" si="17"/>
        <v>#VALUE!</v>
      </c>
      <c r="T79" s="313" t="s">
        <v>704</v>
      </c>
      <c r="AA79" s="73"/>
    </row>
    <row r="80" spans="1:27">
      <c r="A80" s="70">
        <f t="shared" si="15"/>
        <v>1</v>
      </c>
      <c r="B80" s="473"/>
      <c r="C80" s="476"/>
      <c r="D80" s="584"/>
      <c r="E80" s="445"/>
      <c r="F80" s="587"/>
      <c r="G80" s="587"/>
      <c r="H80" s="587"/>
      <c r="I80" s="59">
        <f t="shared" si="14"/>
        <v>1.2800000000000002</v>
      </c>
      <c r="J80" s="57" t="s">
        <v>130</v>
      </c>
      <c r="K80" s="2" t="e">
        <f>SUMIF('[3]BESS 12'!$B$4:$B$270,$J80,'[3]BESS 12'!E$4:E$270)</f>
        <v>#VALUE!</v>
      </c>
      <c r="L80" s="2" t="e">
        <f>SUMIF('[3]BESS 12'!$B$4:$B$270,$J80,'[3]BESS 12'!F$4:F$270)</f>
        <v>#VALUE!</v>
      </c>
      <c r="M80" s="2" t="e">
        <f t="shared" ref="M80:M94" si="18">K80-L80</f>
        <v>#VALUE!</v>
      </c>
      <c r="N80" s="63" t="s">
        <v>122</v>
      </c>
      <c r="O80" s="424" t="str">
        <f t="shared" si="16"/>
        <v>-</v>
      </c>
      <c r="P80" s="292" t="s">
        <v>164</v>
      </c>
      <c r="Q80" s="276">
        <v>1000</v>
      </c>
      <c r="R80" s="241">
        <v>10</v>
      </c>
      <c r="S80" s="242" t="e">
        <f t="shared" si="17"/>
        <v>#VALUE!</v>
      </c>
      <c r="T80" s="119"/>
      <c r="V80" s="272"/>
      <c r="X80" s="73"/>
      <c r="AA80" s="73"/>
    </row>
    <row r="81" spans="1:27">
      <c r="A81" s="70">
        <f t="shared" si="15"/>
        <v>1</v>
      </c>
      <c r="B81" s="473"/>
      <c r="C81" s="476"/>
      <c r="D81" s="584"/>
      <c r="E81" s="445"/>
      <c r="F81" s="587"/>
      <c r="G81" s="587"/>
      <c r="H81" s="587"/>
      <c r="I81" s="59">
        <f t="shared" si="14"/>
        <v>1.2900000000000003</v>
      </c>
      <c r="J81" s="57" t="s">
        <v>131</v>
      </c>
      <c r="K81" s="2" t="e">
        <f>SUMIF('[3]BESS 12'!$B$4:$B$270,$J81,'[3]BESS 12'!E$4:E$270)</f>
        <v>#VALUE!</v>
      </c>
      <c r="L81" s="2" t="e">
        <f>SUMIF('[3]BESS 12'!$B$4:$B$270,$J81,'[3]BESS 12'!F$4:F$270)</f>
        <v>#VALUE!</v>
      </c>
      <c r="M81" s="2" t="e">
        <f t="shared" si="18"/>
        <v>#VALUE!</v>
      </c>
      <c r="N81" s="63" t="s">
        <v>122</v>
      </c>
      <c r="O81" s="424" t="str">
        <f t="shared" si="16"/>
        <v>-</v>
      </c>
      <c r="P81" s="292" t="s">
        <v>164</v>
      </c>
      <c r="Q81" s="276">
        <v>1000</v>
      </c>
      <c r="R81" s="241">
        <v>10</v>
      </c>
      <c r="S81" s="242" t="e">
        <f t="shared" si="17"/>
        <v>#VALUE!</v>
      </c>
      <c r="T81" s="261"/>
      <c r="V81" s="272"/>
      <c r="X81" s="73"/>
      <c r="AA81" s="73"/>
    </row>
    <row r="82" spans="1:27">
      <c r="A82" s="70">
        <f t="shared" si="15"/>
        <v>1</v>
      </c>
      <c r="B82" s="473"/>
      <c r="C82" s="476"/>
      <c r="D82" s="584"/>
      <c r="E82" s="445"/>
      <c r="F82" s="587"/>
      <c r="G82" s="587"/>
      <c r="H82" s="587"/>
      <c r="I82" s="59">
        <f t="shared" si="14"/>
        <v>1.3000000000000003</v>
      </c>
      <c r="J82" s="57" t="s">
        <v>132</v>
      </c>
      <c r="K82" s="2" t="e">
        <f>SUMIF('[3]BESS 12'!$B$4:$B$270,$J82,'[3]BESS 12'!E$4:E$270)</f>
        <v>#VALUE!</v>
      </c>
      <c r="L82" s="2" t="e">
        <f>SUMIF('[3]BESS 12'!$B$4:$B$270,$J82,'[3]BESS 12'!F$4:F$270)</f>
        <v>#VALUE!</v>
      </c>
      <c r="M82" s="2" t="e">
        <f t="shared" si="18"/>
        <v>#VALUE!</v>
      </c>
      <c r="N82" s="63" t="s">
        <v>122</v>
      </c>
      <c r="O82" s="424" t="str">
        <f t="shared" si="16"/>
        <v>-</v>
      </c>
      <c r="P82" s="292" t="s">
        <v>164</v>
      </c>
      <c r="Q82" s="276">
        <v>500</v>
      </c>
      <c r="R82" s="241">
        <v>10</v>
      </c>
      <c r="S82" s="242" t="e">
        <f t="shared" si="17"/>
        <v>#VALUE!</v>
      </c>
      <c r="T82" s="119"/>
      <c r="V82" s="272"/>
      <c r="X82" s="73"/>
      <c r="AA82" s="73"/>
    </row>
    <row r="83" spans="1:27">
      <c r="A83" s="70">
        <f t="shared" si="15"/>
        <v>1</v>
      </c>
      <c r="B83" s="473"/>
      <c r="C83" s="476"/>
      <c r="D83" s="584"/>
      <c r="E83" s="445"/>
      <c r="F83" s="587"/>
      <c r="G83" s="587"/>
      <c r="H83" s="587"/>
      <c r="I83" s="59">
        <f t="shared" si="14"/>
        <v>1.3100000000000003</v>
      </c>
      <c r="J83" s="57" t="s">
        <v>133</v>
      </c>
      <c r="K83" s="2" t="e">
        <f>SUMIF('[3]BESS 12'!$B$4:$B$270,$J83,'[3]BESS 12'!E$4:E$270)</f>
        <v>#VALUE!</v>
      </c>
      <c r="L83" s="2" t="e">
        <f>SUMIF('[3]BESS 12'!$B$4:$B$270,$J83,'[3]BESS 12'!F$4:F$270)</f>
        <v>#VALUE!</v>
      </c>
      <c r="M83" s="2" t="e">
        <f t="shared" si="18"/>
        <v>#VALUE!</v>
      </c>
      <c r="N83" s="63" t="s">
        <v>122</v>
      </c>
      <c r="O83" s="429" t="str">
        <f t="shared" si="16"/>
        <v>-</v>
      </c>
      <c r="P83" s="292" t="s">
        <v>164</v>
      </c>
      <c r="Q83" s="276">
        <v>30</v>
      </c>
      <c r="R83" s="241">
        <v>6</v>
      </c>
      <c r="S83" s="242" t="e">
        <f t="shared" si="17"/>
        <v>#VALUE!</v>
      </c>
      <c r="T83" s="317"/>
      <c r="V83" s="272"/>
      <c r="AA83" s="73"/>
    </row>
    <row r="84" spans="1:27" ht="25.5">
      <c r="A84" s="70">
        <f t="shared" si="15"/>
        <v>1</v>
      </c>
      <c r="B84" s="473"/>
      <c r="C84" s="476"/>
      <c r="D84" s="584"/>
      <c r="E84" s="445"/>
      <c r="F84" s="587"/>
      <c r="G84" s="587"/>
      <c r="H84" s="587"/>
      <c r="I84" s="6">
        <f t="shared" si="14"/>
        <v>1.3200000000000003</v>
      </c>
      <c r="J84" s="8" t="s">
        <v>134</v>
      </c>
      <c r="K84" s="1" t="e">
        <f>SUMIF('[3]BESS 12'!$B$4:$B$270,$J84,'[3]BESS 12'!E$4:E$270)</f>
        <v>#VALUE!</v>
      </c>
      <c r="L84" s="36" t="e">
        <f>SUMIF('[3]BESS 12'!$B$4:$B$270,$J84,'[3]BESS 12'!F$4:F$270)</f>
        <v>#VALUE!</v>
      </c>
      <c r="M84" s="139" t="e">
        <f t="shared" si="18"/>
        <v>#VALUE!</v>
      </c>
      <c r="N84" s="20" t="s">
        <v>752</v>
      </c>
      <c r="O84" s="424">
        <f t="shared" si="16"/>
        <v>46233</v>
      </c>
      <c r="P84" s="285" t="s">
        <v>172</v>
      </c>
      <c r="Q84" s="276">
        <v>30</v>
      </c>
      <c r="R84" s="241">
        <v>4</v>
      </c>
      <c r="S84" s="242" t="e">
        <f t="shared" si="17"/>
        <v>#VALUE!</v>
      </c>
      <c r="T84" s="317"/>
      <c r="V84" s="272"/>
      <c r="AA84" s="73"/>
    </row>
    <row r="85" spans="1:27">
      <c r="A85" s="70">
        <f t="shared" si="15"/>
        <v>1</v>
      </c>
      <c r="B85" s="473"/>
      <c r="C85" s="476"/>
      <c r="D85" s="584"/>
      <c r="E85" s="445"/>
      <c r="F85" s="587"/>
      <c r="G85" s="587"/>
      <c r="H85" s="587"/>
      <c r="I85" s="59">
        <f t="shared" si="14"/>
        <v>1.3300000000000003</v>
      </c>
      <c r="J85" s="57" t="s">
        <v>136</v>
      </c>
      <c r="K85" s="2" t="e">
        <f>SUMIF('[3]BESS 12'!$B$4:$B$270,$J85,'[3]BESS 12'!E$4:E$270)</f>
        <v>#VALUE!</v>
      </c>
      <c r="L85" s="2" t="e">
        <f>SUMIF('[3]BESS 12'!$B$4:$B$270,$J85,'[3]BESS 12'!F$4:F$270)</f>
        <v>#VALUE!</v>
      </c>
      <c r="M85" s="2" t="e">
        <f t="shared" si="18"/>
        <v>#VALUE!</v>
      </c>
      <c r="N85" s="63" t="s">
        <v>122</v>
      </c>
      <c r="O85" s="429" t="str">
        <f t="shared" si="16"/>
        <v>-</v>
      </c>
      <c r="P85" s="292" t="s">
        <v>172</v>
      </c>
      <c r="Q85" s="276" t="s">
        <v>89</v>
      </c>
      <c r="R85" s="241" t="s">
        <v>89</v>
      </c>
      <c r="S85" s="242" t="s">
        <v>89</v>
      </c>
      <c r="T85" s="317"/>
      <c r="U85" s="70" t="e">
        <f ca="1">O85-$T$1</f>
        <v>#VALUE!</v>
      </c>
      <c r="V85" s="273" t="e">
        <f>SUM(S64:S95)</f>
        <v>#VALUE!</v>
      </c>
      <c r="W85" s="274" t="e">
        <f ca="1">V85/U85</f>
        <v>#VALUE!</v>
      </c>
      <c r="AA85" s="73"/>
    </row>
    <row r="86" spans="1:27">
      <c r="A86" s="70">
        <f t="shared" si="15"/>
        <v>1</v>
      </c>
      <c r="B86" s="473"/>
      <c r="C86" s="476"/>
      <c r="D86" s="584"/>
      <c r="E86" s="445"/>
      <c r="F86" s="587"/>
      <c r="G86" s="587"/>
      <c r="H86" s="587"/>
      <c r="I86" s="59">
        <f t="shared" si="14"/>
        <v>1.3400000000000003</v>
      </c>
      <c r="J86" s="57" t="s">
        <v>137</v>
      </c>
      <c r="K86" s="2" t="e">
        <f>SUMIF('[3]BESS 12'!$B$4:$B$270,$J86,'[3]BESS 12'!E$4:E$270)</f>
        <v>#VALUE!</v>
      </c>
      <c r="L86" s="2" t="e">
        <f>SUMIF('[3]BESS 12'!$B$4:$B$270,$J86,'[3]BESS 12'!F$4:F$270)</f>
        <v>#VALUE!</v>
      </c>
      <c r="M86" s="2" t="e">
        <f t="shared" si="18"/>
        <v>#VALUE!</v>
      </c>
      <c r="N86" s="63" t="s">
        <v>122</v>
      </c>
      <c r="O86" s="424" t="str">
        <f t="shared" si="16"/>
        <v>-</v>
      </c>
      <c r="P86" s="283" t="s">
        <v>164</v>
      </c>
      <c r="Q86" s="590">
        <v>2</v>
      </c>
      <c r="R86" s="591">
        <v>8</v>
      </c>
      <c r="S86" s="242" t="s">
        <v>89</v>
      </c>
      <c r="T86" s="317"/>
    </row>
    <row r="87" spans="1:27">
      <c r="A87" s="70">
        <f t="shared" si="15"/>
        <v>1</v>
      </c>
      <c r="B87" s="473"/>
      <c r="C87" s="476"/>
      <c r="D87" s="584"/>
      <c r="E87" s="445"/>
      <c r="F87" s="587"/>
      <c r="G87" s="587"/>
      <c r="H87" s="587"/>
      <c r="I87" s="59">
        <f t="shared" si="14"/>
        <v>1.3500000000000003</v>
      </c>
      <c r="J87" s="57" t="s">
        <v>139</v>
      </c>
      <c r="K87" s="2" t="e">
        <f>SUMIF('[3]BESS 12'!$B$4:$B$270,$J87,'[3]BESS 12'!E$4:E$270)</f>
        <v>#VALUE!</v>
      </c>
      <c r="L87" s="2" t="e">
        <f>SUMIF('[3]BESS 12'!$B$4:$B$270,$J87,'[3]BESS 12'!F$4:F$270)</f>
        <v>#VALUE!</v>
      </c>
      <c r="M87" s="2" t="e">
        <f t="shared" si="18"/>
        <v>#VALUE!</v>
      </c>
      <c r="N87" s="63" t="s">
        <v>122</v>
      </c>
      <c r="O87" s="424" t="str">
        <f t="shared" si="16"/>
        <v>-</v>
      </c>
      <c r="P87" s="283" t="s">
        <v>164</v>
      </c>
      <c r="Q87" s="590"/>
      <c r="R87" s="591"/>
      <c r="S87" s="242" t="s">
        <v>89</v>
      </c>
      <c r="T87" s="317"/>
    </row>
    <row r="88" spans="1:27" ht="25.5">
      <c r="A88" s="70">
        <f t="shared" si="15"/>
        <v>1</v>
      </c>
      <c r="B88" s="473"/>
      <c r="C88" s="476"/>
      <c r="D88" s="584"/>
      <c r="E88" s="445"/>
      <c r="F88" s="587"/>
      <c r="G88" s="587"/>
      <c r="H88" s="587"/>
      <c r="I88" s="6">
        <f t="shared" si="14"/>
        <v>1.3600000000000003</v>
      </c>
      <c r="J88" s="8" t="s">
        <v>140</v>
      </c>
      <c r="K88" s="1" t="e">
        <f>SUMIF('[3]BESS 12'!$B$4:$B$270,$J88,'[3]BESS 12'!E$4:E$270)</f>
        <v>#VALUE!</v>
      </c>
      <c r="L88" s="36" t="e">
        <f>SUMIF('[3]BESS 12'!$B$4:$B$270,$J88,'[3]BESS 12'!F$4:F$270)</f>
        <v>#VALUE!</v>
      </c>
      <c r="M88" s="139" t="e">
        <f t="shared" si="18"/>
        <v>#VALUE!</v>
      </c>
      <c r="N88" s="20" t="s">
        <v>721</v>
      </c>
      <c r="O88" s="424">
        <f t="shared" si="16"/>
        <v>46233</v>
      </c>
      <c r="P88" s="285" t="s">
        <v>164</v>
      </c>
      <c r="Q88" s="276">
        <v>2</v>
      </c>
      <c r="R88" s="241">
        <v>4</v>
      </c>
      <c r="S88" s="242" t="e">
        <f t="shared" ref="S88:S95" si="19">(M88*R88)/Q88</f>
        <v>#VALUE!</v>
      </c>
      <c r="T88" s="317"/>
      <c r="U88" s="70">
        <f ca="1">O88-$T$1</f>
        <v>0</v>
      </c>
      <c r="V88" s="273" t="e">
        <f>SUM(S64:S95)</f>
        <v>#VALUE!</v>
      </c>
      <c r="W88" s="274" t="e">
        <f ca="1">V88/(U88-3)</f>
        <v>#VALUE!</v>
      </c>
    </row>
    <row r="89" spans="1:27" ht="25.5">
      <c r="A89" s="70">
        <f t="shared" si="15"/>
        <v>1</v>
      </c>
      <c r="B89" s="473"/>
      <c r="C89" s="476"/>
      <c r="D89" s="584"/>
      <c r="E89" s="445"/>
      <c r="F89" s="587"/>
      <c r="G89" s="587"/>
      <c r="H89" s="587"/>
      <c r="I89" s="59">
        <f t="shared" si="14"/>
        <v>1.3700000000000003</v>
      </c>
      <c r="J89" s="57" t="s">
        <v>141</v>
      </c>
      <c r="K89" s="2" t="e">
        <f>SUMIF('[3]BESS 12'!$B$4:$B$270,$J89,'[3]BESS 12'!E$4:E$270)</f>
        <v>#VALUE!</v>
      </c>
      <c r="L89" s="2" t="e">
        <f>SUMIF('[3]BESS 12'!$B$4:$B$270,$J89,'[3]BESS 12'!F$4:F$270)</f>
        <v>#VALUE!</v>
      </c>
      <c r="M89" s="2" t="e">
        <f t="shared" si="18"/>
        <v>#VALUE!</v>
      </c>
      <c r="N89" s="63" t="s">
        <v>122</v>
      </c>
      <c r="O89" s="424" t="str">
        <f t="shared" si="16"/>
        <v>-</v>
      </c>
      <c r="P89" s="292" t="s">
        <v>164</v>
      </c>
      <c r="Q89" s="276">
        <v>0.5</v>
      </c>
      <c r="R89" s="241">
        <v>4</v>
      </c>
      <c r="S89" s="242" t="e">
        <f t="shared" si="19"/>
        <v>#VALUE!</v>
      </c>
      <c r="T89" s="317"/>
    </row>
    <row r="90" spans="1:27" ht="25.5">
      <c r="A90" s="70">
        <f t="shared" si="15"/>
        <v>1</v>
      </c>
      <c r="B90" s="473"/>
      <c r="C90" s="476"/>
      <c r="D90" s="584"/>
      <c r="E90" s="445"/>
      <c r="F90" s="587"/>
      <c r="G90" s="587"/>
      <c r="H90" s="587"/>
      <c r="I90" s="6">
        <f t="shared" si="14"/>
        <v>1.3800000000000003</v>
      </c>
      <c r="J90" s="8" t="s">
        <v>142</v>
      </c>
      <c r="K90" s="1" t="e">
        <f>SUMIF('[3]BESS 12'!$B$4:$B$270,$J90,'[3]BESS 12'!E$4:E$270)</f>
        <v>#VALUE!</v>
      </c>
      <c r="L90" s="36" t="e">
        <f>SUMIF('[3]BESS 12'!$B$4:$B$270,$J90,'[3]BESS 12'!F$4:F$270)</f>
        <v>#VALUE!</v>
      </c>
      <c r="M90" s="139" t="e">
        <f t="shared" si="18"/>
        <v>#VALUE!</v>
      </c>
      <c r="N90" s="20" t="s">
        <v>722</v>
      </c>
      <c r="O90" s="424">
        <f t="shared" si="16"/>
        <v>46233</v>
      </c>
      <c r="P90" s="285" t="s">
        <v>164</v>
      </c>
      <c r="Q90" s="276">
        <v>6</v>
      </c>
      <c r="R90" s="241">
        <v>4</v>
      </c>
      <c r="S90" s="242" t="e">
        <f t="shared" si="19"/>
        <v>#VALUE!</v>
      </c>
      <c r="T90" s="317"/>
    </row>
    <row r="91" spans="1:27">
      <c r="A91" s="70">
        <f t="shared" si="15"/>
        <v>1</v>
      </c>
      <c r="B91" s="473"/>
      <c r="C91" s="476"/>
      <c r="D91" s="584"/>
      <c r="E91" s="445"/>
      <c r="F91" s="587"/>
      <c r="G91" s="587"/>
      <c r="H91" s="587"/>
      <c r="I91" s="59">
        <f t="shared" si="14"/>
        <v>1.3900000000000003</v>
      </c>
      <c r="J91" s="57" t="s">
        <v>143</v>
      </c>
      <c r="K91" s="2" t="e">
        <f>SUMIF('[3]BESS 12'!$B$4:$B$270,$J91,'[3]BESS 12'!E$4:E$270)</f>
        <v>#VALUE!</v>
      </c>
      <c r="L91" s="2" t="e">
        <f>SUMIF('[3]BESS 12'!$B$4:$B$270,$J91,'[3]BESS 12'!F$4:F$270)</f>
        <v>#VALUE!</v>
      </c>
      <c r="M91" s="2" t="e">
        <f t="shared" si="18"/>
        <v>#VALUE!</v>
      </c>
      <c r="N91" s="63" t="s">
        <v>122</v>
      </c>
      <c r="O91" s="424" t="str">
        <f t="shared" si="16"/>
        <v>-</v>
      </c>
      <c r="P91" s="292" t="s">
        <v>164</v>
      </c>
      <c r="Q91" s="276">
        <v>6</v>
      </c>
      <c r="R91" s="241">
        <v>5</v>
      </c>
      <c r="S91" s="242" t="e">
        <f t="shared" si="19"/>
        <v>#VALUE!</v>
      </c>
      <c r="T91" s="317"/>
    </row>
    <row r="92" spans="1:27">
      <c r="A92" s="70">
        <f t="shared" si="15"/>
        <v>1</v>
      </c>
      <c r="B92" s="473"/>
      <c r="C92" s="476"/>
      <c r="D92" s="584"/>
      <c r="E92" s="445"/>
      <c r="F92" s="587"/>
      <c r="G92" s="587"/>
      <c r="H92" s="587"/>
      <c r="I92" s="59">
        <f t="shared" si="14"/>
        <v>1.4000000000000004</v>
      </c>
      <c r="J92" s="57" t="s">
        <v>144</v>
      </c>
      <c r="K92" s="2" t="e">
        <f>SUMIF('[3]BESS 12'!$B$4:$B$270,$J92,'[3]BESS 12'!E$4:E$270)</f>
        <v>#VALUE!</v>
      </c>
      <c r="L92" s="2" t="e">
        <f>SUMIF('[3]BESS 12'!$B$4:$B$270,$J92,'[3]BESS 12'!F$4:F$270)</f>
        <v>#VALUE!</v>
      </c>
      <c r="M92" s="2" t="e">
        <f t="shared" si="18"/>
        <v>#VALUE!</v>
      </c>
      <c r="N92" s="63" t="s">
        <v>122</v>
      </c>
      <c r="O92" s="424" t="str">
        <f t="shared" si="16"/>
        <v>-</v>
      </c>
      <c r="P92" s="292" t="s">
        <v>164</v>
      </c>
      <c r="Q92" s="276">
        <v>1</v>
      </c>
      <c r="R92" s="241">
        <v>5</v>
      </c>
      <c r="S92" s="242" t="e">
        <f t="shared" si="19"/>
        <v>#VALUE!</v>
      </c>
      <c r="T92" s="317"/>
    </row>
    <row r="93" spans="1:27">
      <c r="A93" s="70">
        <f t="shared" si="15"/>
        <v>1</v>
      </c>
      <c r="B93" s="473"/>
      <c r="C93" s="476"/>
      <c r="D93" s="584"/>
      <c r="E93" s="445"/>
      <c r="F93" s="587"/>
      <c r="G93" s="587"/>
      <c r="H93" s="587"/>
      <c r="I93" s="59">
        <f t="shared" si="14"/>
        <v>1.4100000000000004</v>
      </c>
      <c r="J93" s="57" t="s">
        <v>145</v>
      </c>
      <c r="K93" s="2" t="e">
        <f>SUMIF('[3]BESS 12'!$B$4:$B$270,$J93,'[3]BESS 12'!E$4:E$270)</f>
        <v>#VALUE!</v>
      </c>
      <c r="L93" s="2" t="e">
        <f>SUMIF('[3]BESS 12'!$B$4:$B$270,$J93,'[3]BESS 12'!F$4:F$270)</f>
        <v>#VALUE!</v>
      </c>
      <c r="M93" s="2" t="e">
        <f t="shared" si="18"/>
        <v>#VALUE!</v>
      </c>
      <c r="N93" s="63" t="s">
        <v>122</v>
      </c>
      <c r="O93" s="424" t="str">
        <f t="shared" si="16"/>
        <v>-</v>
      </c>
      <c r="P93" s="292" t="s">
        <v>164</v>
      </c>
      <c r="Q93" s="276">
        <v>3</v>
      </c>
      <c r="R93" s="241">
        <v>5</v>
      </c>
      <c r="S93" s="242" t="e">
        <f t="shared" si="19"/>
        <v>#VALUE!</v>
      </c>
      <c r="T93" s="317"/>
    </row>
    <row r="94" spans="1:27" ht="25.5">
      <c r="A94" s="70">
        <f t="shared" si="15"/>
        <v>1</v>
      </c>
      <c r="B94" s="473"/>
      <c r="C94" s="476"/>
      <c r="D94" s="584"/>
      <c r="E94" s="445"/>
      <c r="F94" s="587"/>
      <c r="G94" s="587"/>
      <c r="H94" s="587"/>
      <c r="I94" s="6">
        <f t="shared" si="14"/>
        <v>1.4200000000000004</v>
      </c>
      <c r="J94" s="8" t="s">
        <v>54</v>
      </c>
      <c r="K94" s="1" t="e">
        <f>SUMIF('[3]BESS 12'!$B$4:$B$270,$J94,'[3]BESS 12'!E$4:E$270)</f>
        <v>#VALUE!</v>
      </c>
      <c r="L94" s="2" t="e">
        <f>SUMIF('[3]BESS 12'!$B$4:$B$270,$J94,'[3]BESS 12'!F$4:F$270)</f>
        <v>#VALUE!</v>
      </c>
      <c r="M94" s="139" t="e">
        <f t="shared" si="18"/>
        <v>#VALUE!</v>
      </c>
      <c r="N94" s="20" t="s">
        <v>723</v>
      </c>
      <c r="O94" s="424">
        <f t="shared" si="16"/>
        <v>46233</v>
      </c>
      <c r="P94" s="285" t="s">
        <v>164</v>
      </c>
      <c r="Q94" s="276">
        <v>150</v>
      </c>
      <c r="R94" s="241">
        <v>6</v>
      </c>
      <c r="S94" s="242" t="e">
        <f t="shared" si="19"/>
        <v>#VALUE!</v>
      </c>
      <c r="T94" s="317"/>
      <c r="AA94" s="73"/>
    </row>
    <row r="95" spans="1:27" ht="15.75" thickBot="1">
      <c r="A95" s="70">
        <f t="shared" si="15"/>
        <v>1</v>
      </c>
      <c r="B95" s="474"/>
      <c r="C95" s="477"/>
      <c r="D95" s="585"/>
      <c r="E95" s="479"/>
      <c r="F95" s="588"/>
      <c r="G95" s="588"/>
      <c r="H95" s="588"/>
      <c r="I95" s="411">
        <f t="shared" si="14"/>
        <v>1.4300000000000004</v>
      </c>
      <c r="J95" s="408" t="s">
        <v>55</v>
      </c>
      <c r="K95" s="25" t="e">
        <f>SUMIF('[3]BESS 12'!$B$4:$B$270,$J95,'[3]BESS 12'!E$4:E$270)</f>
        <v>#VALUE!</v>
      </c>
      <c r="L95" s="25" t="e">
        <f>SUMIF('[3]BESS 12'!$B$4:$B$270,$J95,'[3]BESS 12'!F$4:F$270)</f>
        <v>#VALUE!</v>
      </c>
      <c r="M95" s="25" t="e">
        <f t="shared" si="10"/>
        <v>#VALUE!</v>
      </c>
      <c r="N95" s="428" t="s">
        <v>122</v>
      </c>
      <c r="O95" s="427" t="str">
        <f t="shared" si="16"/>
        <v>-</v>
      </c>
      <c r="P95" s="412" t="s">
        <v>164</v>
      </c>
      <c r="Q95" s="278">
        <v>5</v>
      </c>
      <c r="R95" s="250">
        <v>6</v>
      </c>
      <c r="S95" s="251" t="e">
        <f t="shared" si="19"/>
        <v>#VALUE!</v>
      </c>
      <c r="T95" s="306" t="s">
        <v>706</v>
      </c>
    </row>
    <row r="96" spans="1:27">
      <c r="A96" s="70">
        <f t="shared" si="15"/>
        <v>2</v>
      </c>
      <c r="B96" s="472" t="s">
        <v>17</v>
      </c>
      <c r="C96" s="475">
        <v>2</v>
      </c>
      <c r="D96" s="592" t="s">
        <v>251</v>
      </c>
      <c r="E96" s="524" t="s">
        <v>120</v>
      </c>
      <c r="F96" s="586" t="s">
        <v>744</v>
      </c>
      <c r="G96" s="586" t="s">
        <v>745</v>
      </c>
      <c r="H96" s="586" t="s">
        <v>746</v>
      </c>
      <c r="I96" s="74"/>
      <c r="J96" s="48"/>
      <c r="K96" s="48"/>
      <c r="L96" s="75" t="s">
        <v>121</v>
      </c>
      <c r="M96" s="48"/>
      <c r="N96" s="48"/>
      <c r="O96" s="424"/>
      <c r="P96" s="284"/>
      <c r="Q96" s="281"/>
      <c r="R96" s="247"/>
      <c r="S96" s="248"/>
      <c r="T96" s="174"/>
      <c r="U96" s="73"/>
    </row>
    <row r="97" spans="1:27">
      <c r="A97" s="70">
        <f t="shared" si="15"/>
        <v>2</v>
      </c>
      <c r="B97" s="473"/>
      <c r="C97" s="476"/>
      <c r="D97" s="584"/>
      <c r="E97" s="445"/>
      <c r="F97" s="587"/>
      <c r="G97" s="587"/>
      <c r="H97" s="587"/>
      <c r="I97" s="56">
        <f>C96+0.1</f>
        <v>2.1</v>
      </c>
      <c r="J97" s="57" t="s">
        <v>19</v>
      </c>
      <c r="K97" s="2" t="e">
        <f>SUMIF('[3]BESS 12'!$B$4:$B$270,$J97,'[3]BESS 12'!I$4:I$270)</f>
        <v>#VALUE!</v>
      </c>
      <c r="L97" s="2" t="e">
        <f>SUMIF('[3]BESS 12'!$B$4:$B$270,$J97,'[3]BESS 12'!J$4:J$270)</f>
        <v>#VALUE!</v>
      </c>
      <c r="M97" s="2" t="e">
        <f>K97-L97</f>
        <v>#VALUE!</v>
      </c>
      <c r="N97" s="63" t="s">
        <v>122</v>
      </c>
      <c r="O97" s="424" t="str">
        <f t="shared" si="16"/>
        <v>-</v>
      </c>
      <c r="P97" s="283" t="s">
        <v>20</v>
      </c>
      <c r="Q97" s="276">
        <v>1</v>
      </c>
      <c r="R97" s="241">
        <v>2</v>
      </c>
      <c r="S97" s="242" t="e">
        <f t="shared" ref="S97:S106" si="20">(M97*R97)/Q97</f>
        <v>#VALUE!</v>
      </c>
      <c r="T97" s="77"/>
      <c r="V97" s="272"/>
    </row>
    <row r="98" spans="1:27">
      <c r="A98" s="70">
        <f t="shared" si="15"/>
        <v>2</v>
      </c>
      <c r="B98" s="473"/>
      <c r="C98" s="476"/>
      <c r="D98" s="584"/>
      <c r="E98" s="445"/>
      <c r="F98" s="587"/>
      <c r="G98" s="587"/>
      <c r="H98" s="587"/>
      <c r="I98" s="56">
        <f>I97+0.1</f>
        <v>2.2000000000000002</v>
      </c>
      <c r="J98" s="57" t="s">
        <v>23</v>
      </c>
      <c r="K98" s="2" t="e">
        <f>SUMIF('[3]BESS 12'!$B$4:$B$270,$J98,'[3]BESS 12'!I$4:I$270)</f>
        <v>#VALUE!</v>
      </c>
      <c r="L98" s="2" t="e">
        <f>SUMIF('[3]BESS 12'!$B$4:$B$270,$J98,'[3]BESS 12'!J$4:J$270)</f>
        <v>#VALUE!</v>
      </c>
      <c r="M98" s="2" t="e">
        <f t="shared" ref="M98:M140" si="21">K98-L98</f>
        <v>#VALUE!</v>
      </c>
      <c r="N98" s="63" t="s">
        <v>122</v>
      </c>
      <c r="O98" s="424" t="str">
        <f t="shared" si="16"/>
        <v>-</v>
      </c>
      <c r="P98" s="283" t="s">
        <v>20</v>
      </c>
      <c r="Q98" s="276">
        <v>1</v>
      </c>
      <c r="R98" s="241">
        <v>16</v>
      </c>
      <c r="S98" s="242" t="e">
        <f t="shared" si="20"/>
        <v>#VALUE!</v>
      </c>
      <c r="T98" s="77"/>
    </row>
    <row r="99" spans="1:27">
      <c r="A99" s="70">
        <f t="shared" si="15"/>
        <v>2</v>
      </c>
      <c r="B99" s="473"/>
      <c r="C99" s="476"/>
      <c r="D99" s="584"/>
      <c r="E99" s="445"/>
      <c r="F99" s="587"/>
      <c r="G99" s="587"/>
      <c r="H99" s="587"/>
      <c r="I99" s="56">
        <f t="shared" ref="I99:I105" si="22">I98+0.1</f>
        <v>2.3000000000000003</v>
      </c>
      <c r="J99" s="57" t="s">
        <v>26</v>
      </c>
      <c r="K99" s="2" t="e">
        <f>SUMIF('[3]BESS 12'!$B$4:$B$270,$J99,'[3]BESS 12'!I$4:I$270)</f>
        <v>#VALUE!</v>
      </c>
      <c r="L99" s="2" t="e">
        <f>SUMIF('[3]BESS 12'!$B$4:$B$270,$J99,'[3]BESS 12'!J$4:J$270)</f>
        <v>#VALUE!</v>
      </c>
      <c r="M99" s="2" t="e">
        <f t="shared" si="21"/>
        <v>#VALUE!</v>
      </c>
      <c r="N99" s="63" t="s">
        <v>122</v>
      </c>
      <c r="O99" s="424" t="str">
        <f t="shared" si="16"/>
        <v>-</v>
      </c>
      <c r="P99" s="283" t="s">
        <v>20</v>
      </c>
      <c r="Q99" s="276">
        <v>1</v>
      </c>
      <c r="R99" s="241">
        <v>39</v>
      </c>
      <c r="S99" s="242" t="e">
        <f t="shared" si="20"/>
        <v>#VALUE!</v>
      </c>
      <c r="T99" s="77"/>
    </row>
    <row r="100" spans="1:27">
      <c r="A100" s="70">
        <f t="shared" si="15"/>
        <v>2</v>
      </c>
      <c r="B100" s="473"/>
      <c r="C100" s="476"/>
      <c r="D100" s="584"/>
      <c r="E100" s="445"/>
      <c r="F100" s="587"/>
      <c r="G100" s="587"/>
      <c r="H100" s="587"/>
      <c r="I100" s="56">
        <f t="shared" si="22"/>
        <v>2.4000000000000004</v>
      </c>
      <c r="J100" s="57" t="s">
        <v>32</v>
      </c>
      <c r="K100" s="2" t="e">
        <f>SUMIF('[3]BESS 12'!$B$4:$B$270,$J100,'[3]BESS 12'!I$4:I$270)</f>
        <v>#VALUE!</v>
      </c>
      <c r="L100" s="2" t="e">
        <f>SUMIF('[3]BESS 12'!$B$4:$B$270,$J100,'[3]BESS 12'!J$4:J$270)</f>
        <v>#VALUE!</v>
      </c>
      <c r="M100" s="2" t="e">
        <f t="shared" si="21"/>
        <v>#VALUE!</v>
      </c>
      <c r="N100" s="63" t="s">
        <v>122</v>
      </c>
      <c r="O100" s="424" t="str">
        <f t="shared" si="16"/>
        <v>-</v>
      </c>
      <c r="P100" s="283" t="s">
        <v>20</v>
      </c>
      <c r="Q100" s="276">
        <v>1</v>
      </c>
      <c r="R100" s="241">
        <v>37</v>
      </c>
      <c r="S100" s="242" t="e">
        <f t="shared" si="20"/>
        <v>#VALUE!</v>
      </c>
      <c r="T100" s="77"/>
    </row>
    <row r="101" spans="1:27">
      <c r="A101" s="70">
        <f t="shared" si="15"/>
        <v>2</v>
      </c>
      <c r="B101" s="473"/>
      <c r="C101" s="476"/>
      <c r="D101" s="584"/>
      <c r="E101" s="445"/>
      <c r="F101" s="587"/>
      <c r="G101" s="587"/>
      <c r="H101" s="587"/>
      <c r="I101" s="56">
        <f t="shared" si="22"/>
        <v>2.5000000000000004</v>
      </c>
      <c r="J101" s="57" t="s">
        <v>35</v>
      </c>
      <c r="K101" s="2" t="e">
        <f>SUMIF('[3]BESS 12'!$B$4:$B$270,$J101,'[3]BESS 12'!I$4:I$270)</f>
        <v>#VALUE!</v>
      </c>
      <c r="L101" s="2" t="e">
        <f>SUMIF('[3]BESS 12'!$B$4:$B$270,$J101,'[3]BESS 12'!J$4:J$270)</f>
        <v>#VALUE!</v>
      </c>
      <c r="M101" s="2" t="e">
        <f t="shared" si="21"/>
        <v>#VALUE!</v>
      </c>
      <c r="N101" s="63" t="s">
        <v>122</v>
      </c>
      <c r="O101" s="424" t="str">
        <f t="shared" si="16"/>
        <v>-</v>
      </c>
      <c r="P101" s="292" t="s">
        <v>20</v>
      </c>
      <c r="Q101" s="276">
        <v>1</v>
      </c>
      <c r="R101" s="241">
        <v>34</v>
      </c>
      <c r="S101" s="242" t="e">
        <f t="shared" si="20"/>
        <v>#VALUE!</v>
      </c>
      <c r="T101" s="77"/>
    </row>
    <row r="102" spans="1:27">
      <c r="A102" s="70">
        <f t="shared" si="15"/>
        <v>2</v>
      </c>
      <c r="B102" s="473"/>
      <c r="C102" s="476"/>
      <c r="D102" s="584"/>
      <c r="E102" s="445"/>
      <c r="F102" s="587"/>
      <c r="G102" s="587"/>
      <c r="H102" s="587"/>
      <c r="I102" s="56">
        <f t="shared" si="22"/>
        <v>2.6000000000000005</v>
      </c>
      <c r="J102" s="57" t="s">
        <v>38</v>
      </c>
      <c r="K102" s="2" t="e">
        <f>SUMIF('[3]BESS 12'!$B$4:$B$270,$J102,'[3]BESS 12'!I$4:I$270)</f>
        <v>#VALUE!</v>
      </c>
      <c r="L102" s="2" t="e">
        <f>SUMIF('[3]BESS 12'!$B$4:$B$270,$J102,'[3]BESS 12'!J$4:J$270)</f>
        <v>#VALUE!</v>
      </c>
      <c r="M102" s="2" t="e">
        <f t="shared" si="21"/>
        <v>#VALUE!</v>
      </c>
      <c r="N102" s="63" t="s">
        <v>122</v>
      </c>
      <c r="O102" s="424" t="str">
        <f t="shared" si="16"/>
        <v>-</v>
      </c>
      <c r="P102" s="292" t="s">
        <v>20</v>
      </c>
      <c r="Q102" s="276">
        <v>1</v>
      </c>
      <c r="R102" s="241">
        <v>54</v>
      </c>
      <c r="S102" s="242" t="e">
        <f t="shared" si="20"/>
        <v>#VALUE!</v>
      </c>
      <c r="T102" s="77"/>
      <c r="V102" s="272"/>
    </row>
    <row r="103" spans="1:27">
      <c r="A103" s="70">
        <f t="shared" si="15"/>
        <v>2</v>
      </c>
      <c r="B103" s="473"/>
      <c r="C103" s="476"/>
      <c r="D103" s="584"/>
      <c r="E103" s="445"/>
      <c r="F103" s="587"/>
      <c r="G103" s="587"/>
      <c r="H103" s="587"/>
      <c r="I103" s="56">
        <f t="shared" si="22"/>
        <v>2.7000000000000006</v>
      </c>
      <c r="J103" s="57" t="s">
        <v>44</v>
      </c>
      <c r="K103" s="2" t="e">
        <f>SUMIF('[3]BESS 12'!$B$4:$B$270,$J103,'[3]BESS 12'!I$4:I$270)</f>
        <v>#VALUE!</v>
      </c>
      <c r="L103" s="2" t="e">
        <f>SUMIF('[3]BESS 12'!$B$4:$B$270,$J103,'[3]BESS 12'!J$4:J$270)</f>
        <v>#VALUE!</v>
      </c>
      <c r="M103" s="2" t="e">
        <f t="shared" si="21"/>
        <v>#VALUE!</v>
      </c>
      <c r="N103" s="63" t="s">
        <v>122</v>
      </c>
      <c r="O103" s="424" t="str">
        <f t="shared" si="16"/>
        <v>-</v>
      </c>
      <c r="P103" s="292" t="s">
        <v>45</v>
      </c>
      <c r="Q103" s="276">
        <v>3</v>
      </c>
      <c r="R103" s="241">
        <v>5</v>
      </c>
      <c r="S103" s="242" t="e">
        <f t="shared" si="20"/>
        <v>#VALUE!</v>
      </c>
      <c r="T103" s="261"/>
      <c r="V103" s="272"/>
      <c r="X103" s="73"/>
    </row>
    <row r="104" spans="1:27">
      <c r="A104" s="70">
        <f t="shared" si="15"/>
        <v>2</v>
      </c>
      <c r="B104" s="473"/>
      <c r="C104" s="476"/>
      <c r="D104" s="584"/>
      <c r="E104" s="445"/>
      <c r="F104" s="587"/>
      <c r="G104" s="587"/>
      <c r="H104" s="587"/>
      <c r="I104" s="56">
        <f t="shared" si="22"/>
        <v>2.8000000000000007</v>
      </c>
      <c r="J104" s="57" t="s">
        <v>40</v>
      </c>
      <c r="K104" s="2" t="e">
        <f>SUMIF('[3]BESS 12'!$B$4:$B$270,$J104,'[3]BESS 12'!I$4:I$270)</f>
        <v>#VALUE!</v>
      </c>
      <c r="L104" s="2" t="e">
        <f>SUMIF('[3]BESS 12'!$B$4:$B$270,$J104,'[3]BESS 12'!J$4:J$270)</f>
        <v>#VALUE!</v>
      </c>
      <c r="M104" s="2" t="e">
        <f t="shared" si="21"/>
        <v>#VALUE!</v>
      </c>
      <c r="N104" s="63" t="s">
        <v>122</v>
      </c>
      <c r="O104" s="424" t="str">
        <f t="shared" si="16"/>
        <v>-</v>
      </c>
      <c r="P104" s="292" t="s">
        <v>20</v>
      </c>
      <c r="Q104" s="276">
        <v>1</v>
      </c>
      <c r="R104" s="241">
        <v>5</v>
      </c>
      <c r="S104" s="242" t="e">
        <f t="shared" si="20"/>
        <v>#VALUE!</v>
      </c>
      <c r="T104" s="261"/>
      <c r="V104" s="272"/>
      <c r="X104" s="73"/>
    </row>
    <row r="105" spans="1:27">
      <c r="A105" s="70">
        <f t="shared" si="15"/>
        <v>2</v>
      </c>
      <c r="B105" s="473"/>
      <c r="C105" s="476"/>
      <c r="D105" s="584"/>
      <c r="E105" s="445"/>
      <c r="F105" s="587"/>
      <c r="G105" s="587"/>
      <c r="H105" s="587"/>
      <c r="I105" s="56">
        <f t="shared" si="22"/>
        <v>2.9000000000000008</v>
      </c>
      <c r="J105" s="57" t="s">
        <v>30</v>
      </c>
      <c r="K105" s="2" t="e">
        <f>SUMIF('[3]BESS 12'!$B$4:$B$270,$J105,'[3]BESS 12'!I$4:I$270)</f>
        <v>#VALUE!</v>
      </c>
      <c r="L105" s="2">
        <v>6</v>
      </c>
      <c r="M105" s="2" t="e">
        <f t="shared" si="21"/>
        <v>#VALUE!</v>
      </c>
      <c r="N105" s="63" t="s">
        <v>122</v>
      </c>
      <c r="O105" s="424" t="str">
        <f t="shared" si="16"/>
        <v>-</v>
      </c>
      <c r="P105" s="292" t="s">
        <v>162</v>
      </c>
      <c r="Q105" s="276">
        <v>1</v>
      </c>
      <c r="R105" s="241">
        <v>27</v>
      </c>
      <c r="S105" s="242" t="e">
        <f t="shared" si="20"/>
        <v>#VALUE!</v>
      </c>
      <c r="T105" s="262"/>
      <c r="V105" s="272"/>
    </row>
    <row r="106" spans="1:27">
      <c r="A106" s="70">
        <f t="shared" si="15"/>
        <v>2</v>
      </c>
      <c r="B106" s="473"/>
      <c r="C106" s="476"/>
      <c r="D106" s="584"/>
      <c r="E106" s="445"/>
      <c r="F106" s="587"/>
      <c r="G106" s="587"/>
      <c r="H106" s="587"/>
      <c r="I106" s="59">
        <f>C96+0.1</f>
        <v>2.1</v>
      </c>
      <c r="J106" s="57" t="s">
        <v>34</v>
      </c>
      <c r="K106" s="2" t="e">
        <f>SUMIF('[3]BESS 12'!$B$4:$B$270,$J106,'[3]BESS 12'!I$4:I$270)</f>
        <v>#VALUE!</v>
      </c>
      <c r="L106" s="2" t="e">
        <f>SUMIF('[3]BESS 12'!$B$4:$B$270,$J106,'[3]BESS 12'!J$4:J$270)</f>
        <v>#VALUE!</v>
      </c>
      <c r="M106" s="2" t="e">
        <f t="shared" si="21"/>
        <v>#VALUE!</v>
      </c>
      <c r="N106" s="63" t="s">
        <v>122</v>
      </c>
      <c r="O106" s="424" t="str">
        <f t="shared" si="16"/>
        <v>-</v>
      </c>
      <c r="P106" s="292" t="s">
        <v>31</v>
      </c>
      <c r="Q106" s="276">
        <v>1</v>
      </c>
      <c r="R106" s="241">
        <v>25</v>
      </c>
      <c r="S106" s="242" t="e">
        <f t="shared" si="20"/>
        <v>#VALUE!</v>
      </c>
      <c r="T106" s="262"/>
    </row>
    <row r="107" spans="1:27">
      <c r="A107" s="70">
        <f t="shared" si="15"/>
        <v>2</v>
      </c>
      <c r="B107" s="473"/>
      <c r="C107" s="476"/>
      <c r="D107" s="584"/>
      <c r="E107" s="445"/>
      <c r="F107" s="587"/>
      <c r="G107" s="587"/>
      <c r="H107" s="587"/>
      <c r="I107" s="59">
        <f>I106+0.01</f>
        <v>2.11</v>
      </c>
      <c r="J107" s="57" t="s">
        <v>37</v>
      </c>
      <c r="K107" s="2" t="e">
        <f>SUMIF('[3]BESS 12'!$B$4:$B$270,$J107,'[3]BESS 12'!I$4:I$270)</f>
        <v>#VALUE!</v>
      </c>
      <c r="L107" s="2" t="e">
        <f>SUMIF('[3]BESS 12'!$B$4:$B$270,$J107,'[3]BESS 12'!J$4:J$270)</f>
        <v>#VALUE!</v>
      </c>
      <c r="M107" s="2" t="e">
        <f t="shared" si="21"/>
        <v>#VALUE!</v>
      </c>
      <c r="N107" s="362" t="s">
        <v>122</v>
      </c>
      <c r="O107" s="424" t="str">
        <f t="shared" si="16"/>
        <v>-</v>
      </c>
      <c r="P107" s="292" t="s">
        <v>163</v>
      </c>
      <c r="Q107" s="276" t="s">
        <v>89</v>
      </c>
      <c r="R107" s="241" t="s">
        <v>89</v>
      </c>
      <c r="S107" s="242" t="s">
        <v>89</v>
      </c>
      <c r="T107" s="262"/>
      <c r="X107" s="73"/>
    </row>
    <row r="108" spans="1:27">
      <c r="A108" s="70">
        <f t="shared" si="15"/>
        <v>2</v>
      </c>
      <c r="B108" s="473"/>
      <c r="C108" s="476"/>
      <c r="D108" s="584"/>
      <c r="E108" s="445"/>
      <c r="F108" s="587"/>
      <c r="G108" s="587"/>
      <c r="H108" s="587"/>
      <c r="I108" s="44"/>
      <c r="J108" s="46"/>
      <c r="K108" s="46"/>
      <c r="L108" s="47" t="s">
        <v>124</v>
      </c>
      <c r="M108" s="46"/>
      <c r="N108" s="46"/>
      <c r="O108" s="424"/>
      <c r="P108" s="285"/>
      <c r="Q108" s="277"/>
      <c r="R108" s="243"/>
      <c r="S108" s="244"/>
      <c r="T108" s="262"/>
    </row>
    <row r="109" spans="1:27">
      <c r="A109" s="70">
        <f t="shared" si="15"/>
        <v>2</v>
      </c>
      <c r="B109" s="473"/>
      <c r="C109" s="476"/>
      <c r="D109" s="584"/>
      <c r="E109" s="445"/>
      <c r="F109" s="587"/>
      <c r="G109" s="587"/>
      <c r="H109" s="587"/>
      <c r="I109" s="59">
        <f>I107+0.01</f>
        <v>2.1199999999999997</v>
      </c>
      <c r="J109" s="57" t="s">
        <v>24</v>
      </c>
      <c r="K109" s="2" t="e">
        <f>SUMIF('[3]BESS 12'!$B$4:$B$270,$J109,'[3]BESS 12'!I$4:I$270)</f>
        <v>#VALUE!</v>
      </c>
      <c r="L109" s="2" t="e">
        <f>SUMIF('[3]BESS 12'!$B$4:$B$270,$J109,'[3]BESS 12'!J$4:J$270)</f>
        <v>#VALUE!</v>
      </c>
      <c r="M109" s="2" t="e">
        <f t="shared" si="21"/>
        <v>#VALUE!</v>
      </c>
      <c r="N109" s="63" t="s">
        <v>122</v>
      </c>
      <c r="O109" s="424" t="str">
        <f t="shared" si="16"/>
        <v>-</v>
      </c>
      <c r="P109" s="292" t="s">
        <v>164</v>
      </c>
      <c r="Q109" s="276">
        <v>2</v>
      </c>
      <c r="R109" s="241">
        <v>4</v>
      </c>
      <c r="S109" s="242" t="e">
        <f t="shared" ref="S109:S111" si="23">(M109*R109)/Q109</f>
        <v>#VALUE!</v>
      </c>
      <c r="T109" s="262"/>
    </row>
    <row r="110" spans="1:27" ht="25.5">
      <c r="A110" s="70">
        <f t="shared" si="15"/>
        <v>2</v>
      </c>
      <c r="B110" s="473"/>
      <c r="C110" s="476"/>
      <c r="D110" s="584"/>
      <c r="E110" s="445"/>
      <c r="F110" s="587"/>
      <c r="G110" s="587"/>
      <c r="H110" s="587"/>
      <c r="I110" s="6">
        <f>I109+0.01</f>
        <v>2.1299999999999994</v>
      </c>
      <c r="J110" s="8" t="s">
        <v>27</v>
      </c>
      <c r="K110" s="1" t="e">
        <f>SUMIF('[3]BESS 12'!$B$4:$B$270,$J110,'[3]BESS 12'!I$4:I$270)</f>
        <v>#VALUE!</v>
      </c>
      <c r="L110" s="36" t="e">
        <f>SUMIF('[3]BESS 12'!$B$4:$B$270,$J110,'[3]BESS 12'!J$4:J$270)</f>
        <v>#VALUE!</v>
      </c>
      <c r="M110" s="139" t="e">
        <f t="shared" si="21"/>
        <v>#VALUE!</v>
      </c>
      <c r="N110" s="413" t="s">
        <v>742</v>
      </c>
      <c r="O110" s="424">
        <f t="shared" si="16"/>
        <v>46233</v>
      </c>
      <c r="P110" s="285" t="s">
        <v>164</v>
      </c>
      <c r="Q110" s="276">
        <v>10</v>
      </c>
      <c r="R110" s="241">
        <v>4</v>
      </c>
      <c r="S110" s="242" t="e">
        <f t="shared" si="23"/>
        <v>#VALUE!</v>
      </c>
      <c r="T110" s="361" t="s">
        <v>653</v>
      </c>
      <c r="AA110" s="73"/>
    </row>
    <row r="111" spans="1:27">
      <c r="A111" s="70">
        <f t="shared" si="15"/>
        <v>2</v>
      </c>
      <c r="B111" s="473"/>
      <c r="C111" s="476"/>
      <c r="D111" s="584"/>
      <c r="E111" s="445"/>
      <c r="F111" s="587"/>
      <c r="G111" s="587"/>
      <c r="H111" s="587"/>
      <c r="I111" s="59">
        <f>I110+0.01</f>
        <v>2.1399999999999992</v>
      </c>
      <c r="J111" s="57" t="s">
        <v>28</v>
      </c>
      <c r="K111" s="2" t="e">
        <f>SUMIF('[3]BESS 12'!$B$4:$B$270,$J111,'[3]BESS 12'!I$4:I$270)</f>
        <v>#VALUE!</v>
      </c>
      <c r="L111" s="2" t="e">
        <f>SUMIF('[3]BESS 12'!$B$4:$B$270,$J111,'[3]BESS 12'!J$4:J$270)</f>
        <v>#VALUE!</v>
      </c>
      <c r="M111" s="2" t="e">
        <f t="shared" si="21"/>
        <v>#VALUE!</v>
      </c>
      <c r="N111" s="63" t="s">
        <v>122</v>
      </c>
      <c r="O111" s="424" t="str">
        <f t="shared" si="16"/>
        <v>-</v>
      </c>
      <c r="P111" s="292" t="s">
        <v>164</v>
      </c>
      <c r="Q111" s="276">
        <v>5</v>
      </c>
      <c r="R111" s="241">
        <v>4</v>
      </c>
      <c r="S111" s="242" t="e">
        <f t="shared" si="23"/>
        <v>#VALUE!</v>
      </c>
      <c r="T111" s="17"/>
    </row>
    <row r="112" spans="1:27" ht="25.5">
      <c r="A112" s="70">
        <f t="shared" si="15"/>
        <v>2</v>
      </c>
      <c r="B112" s="473"/>
      <c r="C112" s="476"/>
      <c r="D112" s="584"/>
      <c r="E112" s="445"/>
      <c r="F112" s="587"/>
      <c r="G112" s="587"/>
      <c r="H112" s="587"/>
      <c r="I112" s="59">
        <f t="shared" ref="I112:I140" si="24">I111+0.01</f>
        <v>2.149999999999999</v>
      </c>
      <c r="J112" s="57" t="s">
        <v>29</v>
      </c>
      <c r="K112" s="2" t="e">
        <f>SUMIF('[3]BESS 12'!$B$4:$B$270,$J112,'[3]BESS 12'!I$4:I$270)</f>
        <v>#VALUE!</v>
      </c>
      <c r="L112" s="2" t="e">
        <f>SUMIF('[3]BESS 12'!$B$4:$B$270,$J112,'[3]BESS 12'!J$4:J$270)</f>
        <v>#VALUE!</v>
      </c>
      <c r="M112" s="2" t="e">
        <f t="shared" si="21"/>
        <v>#VALUE!</v>
      </c>
      <c r="N112" s="63" t="s">
        <v>122</v>
      </c>
      <c r="O112" s="429" t="str">
        <f t="shared" si="16"/>
        <v>-</v>
      </c>
      <c r="P112" s="292" t="s">
        <v>164</v>
      </c>
      <c r="Q112" s="276">
        <v>20</v>
      </c>
      <c r="R112" s="241">
        <v>4</v>
      </c>
      <c r="S112" s="242">
        <v>4</v>
      </c>
      <c r="T112" s="309"/>
      <c r="AA112" s="73"/>
    </row>
    <row r="113" spans="1:27">
      <c r="A113" s="70">
        <f t="shared" si="15"/>
        <v>2</v>
      </c>
      <c r="B113" s="473"/>
      <c r="C113" s="476"/>
      <c r="D113" s="584"/>
      <c r="E113" s="445"/>
      <c r="F113" s="587"/>
      <c r="G113" s="587"/>
      <c r="H113" s="587"/>
      <c r="I113" s="59">
        <f t="shared" si="24"/>
        <v>2.1599999999999988</v>
      </c>
      <c r="J113" s="57" t="s">
        <v>33</v>
      </c>
      <c r="K113" s="2" t="e">
        <f>SUMIF('[3]BESS 12'!$B$4:$B$270,$J113,'[3]BESS 12'!I$4:I$270)</f>
        <v>#VALUE!</v>
      </c>
      <c r="L113" s="2" t="e">
        <f>SUMIF('[3]BESS 12'!$B$4:$B$270,$J113,'[3]BESS 12'!J$4:J$270)</f>
        <v>#VALUE!</v>
      </c>
      <c r="M113" s="2" t="e">
        <f t="shared" si="21"/>
        <v>#VALUE!</v>
      </c>
      <c r="N113" s="63" t="s">
        <v>122</v>
      </c>
      <c r="O113" s="424" t="str">
        <f t="shared" si="16"/>
        <v>-</v>
      </c>
      <c r="P113" s="292" t="s">
        <v>164</v>
      </c>
      <c r="Q113" s="276">
        <v>10</v>
      </c>
      <c r="R113" s="241"/>
      <c r="S113" s="242"/>
      <c r="T113" s="343"/>
      <c r="V113" s="272"/>
      <c r="X113" s="73"/>
    </row>
    <row r="114" spans="1:27" ht="25.5">
      <c r="A114" s="70">
        <f t="shared" si="15"/>
        <v>2</v>
      </c>
      <c r="B114" s="473"/>
      <c r="C114" s="476"/>
      <c r="D114" s="584"/>
      <c r="E114" s="445"/>
      <c r="F114" s="587"/>
      <c r="G114" s="587"/>
      <c r="H114" s="587"/>
      <c r="I114" s="6">
        <f t="shared" si="24"/>
        <v>2.1699999999999986</v>
      </c>
      <c r="J114" s="8" t="s">
        <v>36</v>
      </c>
      <c r="K114" s="1" t="e">
        <f>SUMIF('[3]BESS 12'!$B$4:$B$270,$J114,'[3]BESS 12'!I$4:I$270)</f>
        <v>#VALUE!</v>
      </c>
      <c r="L114" s="36" t="e">
        <f>SUMIF('[3]BESS 12'!$B$4:$B$270,$J114,'[3]BESS 12'!J$4:J$270)</f>
        <v>#VALUE!</v>
      </c>
      <c r="M114" s="139" t="e">
        <f t="shared" si="21"/>
        <v>#VALUE!</v>
      </c>
      <c r="N114" s="20" t="s">
        <v>743</v>
      </c>
      <c r="O114" s="424">
        <f t="shared" si="16"/>
        <v>46233</v>
      </c>
      <c r="P114" s="285" t="s">
        <v>164</v>
      </c>
      <c r="Q114" s="276">
        <v>10</v>
      </c>
      <c r="R114" s="241"/>
      <c r="S114" s="242"/>
      <c r="T114" s="62" t="s">
        <v>753</v>
      </c>
      <c r="X114" s="73"/>
      <c r="AA114" s="73"/>
    </row>
    <row r="115" spans="1:27">
      <c r="A115" s="70">
        <f t="shared" si="15"/>
        <v>2</v>
      </c>
      <c r="B115" s="473"/>
      <c r="C115" s="476"/>
      <c r="D115" s="584"/>
      <c r="E115" s="445"/>
      <c r="F115" s="587"/>
      <c r="G115" s="587"/>
      <c r="H115" s="587"/>
      <c r="I115" s="59">
        <f t="shared" si="24"/>
        <v>2.1799999999999984</v>
      </c>
      <c r="J115" s="57" t="s">
        <v>39</v>
      </c>
      <c r="K115" s="2" t="e">
        <f>SUMIF('[3]BESS 12'!$B$4:$B$270,$J115,'[3]BESS 12'!I$4:I$270)</f>
        <v>#VALUE!</v>
      </c>
      <c r="L115" s="2" t="e">
        <f>SUMIF('[3]BESS 12'!$B$4:$B$270,$J115,'[3]BESS 12'!J$4:J$270)</f>
        <v>#VALUE!</v>
      </c>
      <c r="M115" s="2" t="e">
        <f t="shared" si="21"/>
        <v>#VALUE!</v>
      </c>
      <c r="N115" s="63" t="s">
        <v>122</v>
      </c>
      <c r="O115" s="424" t="str">
        <f t="shared" si="16"/>
        <v>-</v>
      </c>
      <c r="P115" s="292" t="s">
        <v>164</v>
      </c>
      <c r="Q115" s="276">
        <v>10</v>
      </c>
      <c r="R115" s="241"/>
      <c r="S115" s="242"/>
      <c r="T115" s="17"/>
      <c r="V115" s="272"/>
    </row>
    <row r="116" spans="1:27" ht="25.5">
      <c r="A116" s="70">
        <f t="shared" si="15"/>
        <v>2</v>
      </c>
      <c r="B116" s="473"/>
      <c r="C116" s="476"/>
      <c r="D116" s="584"/>
      <c r="E116" s="445"/>
      <c r="F116" s="587"/>
      <c r="G116" s="587"/>
      <c r="H116" s="587"/>
      <c r="I116" s="6">
        <f t="shared" si="24"/>
        <v>2.1899999999999982</v>
      </c>
      <c r="J116" s="8" t="s">
        <v>41</v>
      </c>
      <c r="K116" s="1" t="e">
        <f>SUMIF('[3]BESS 12'!$B$4:$B$270,$J116,'[3]BESS 12'!I$4:I$270)</f>
        <v>#VALUE!</v>
      </c>
      <c r="L116" s="36" t="e">
        <f>SUMIF('[3]BESS 12'!$B$4:$B$270,$J116,'[3]BESS 12'!J$4:J$270)</f>
        <v>#VALUE!</v>
      </c>
      <c r="M116" s="139" t="e">
        <f t="shared" si="21"/>
        <v>#VALUE!</v>
      </c>
      <c r="N116" s="20" t="s">
        <v>557</v>
      </c>
      <c r="O116" s="424">
        <f t="shared" si="16"/>
        <v>46229</v>
      </c>
      <c r="P116" s="285" t="s">
        <v>171</v>
      </c>
      <c r="Q116" s="276">
        <v>20</v>
      </c>
      <c r="R116" s="241"/>
      <c r="S116" s="242"/>
      <c r="T116" s="17"/>
      <c r="V116" s="272"/>
    </row>
    <row r="117" spans="1:27" ht="25.5">
      <c r="A117" s="70">
        <f t="shared" si="15"/>
        <v>2</v>
      </c>
      <c r="B117" s="473"/>
      <c r="C117" s="476"/>
      <c r="D117" s="584"/>
      <c r="E117" s="445"/>
      <c r="F117" s="587"/>
      <c r="G117" s="587"/>
      <c r="H117" s="587"/>
      <c r="I117" s="6">
        <f t="shared" si="24"/>
        <v>2.199999999999998</v>
      </c>
      <c r="J117" s="8" t="s">
        <v>43</v>
      </c>
      <c r="K117" s="1" t="e">
        <f>SUMIF('[3]BESS 12'!$B$4:$B$270,$J117,'[3]BESS 12'!I$4:I$270)</f>
        <v>#VALUE!</v>
      </c>
      <c r="L117" s="2" t="e">
        <f>SUMIF('[3]BESS 12'!$B$4:$B$270,$J117,'[3]BESS 12'!J$4:J$270)</f>
        <v>#VALUE!</v>
      </c>
      <c r="M117" s="7" t="e">
        <f t="shared" si="21"/>
        <v>#VALUE!</v>
      </c>
      <c r="N117" s="20" t="s">
        <v>556</v>
      </c>
      <c r="O117" s="424">
        <f t="shared" si="16"/>
        <v>46231</v>
      </c>
      <c r="P117" s="285" t="s">
        <v>171</v>
      </c>
      <c r="Q117" s="276">
        <v>0.66666666666666663</v>
      </c>
      <c r="R117" s="241">
        <v>0</v>
      </c>
      <c r="S117" s="242" t="e">
        <f>(M117*R117)/Q117</f>
        <v>#VALUE!</v>
      </c>
      <c r="T117" s="17"/>
      <c r="V117" s="272"/>
    </row>
    <row r="118" spans="1:27">
      <c r="A118" s="70">
        <f t="shared" si="15"/>
        <v>2</v>
      </c>
      <c r="B118" s="473"/>
      <c r="C118" s="476"/>
      <c r="D118" s="584"/>
      <c r="E118" s="445"/>
      <c r="F118" s="587"/>
      <c r="G118" s="587"/>
      <c r="H118" s="587"/>
      <c r="I118" s="59">
        <f t="shared" si="24"/>
        <v>2.2099999999999977</v>
      </c>
      <c r="J118" s="57" t="s">
        <v>21</v>
      </c>
      <c r="K118" s="2" t="e">
        <f>SUMIF('[3]BESS 12'!$B$4:$B$270,$J118,'[3]BESS 12'!I$4:I$270)</f>
        <v>#VALUE!</v>
      </c>
      <c r="L118" s="2" t="e">
        <f>SUMIF('[3]BESS 12'!$B$4:$B$270,$J118,'[3]BESS 12'!J$4:J$270)</f>
        <v>#VALUE!</v>
      </c>
      <c r="M118" s="2" t="e">
        <f t="shared" si="21"/>
        <v>#VALUE!</v>
      </c>
      <c r="N118" s="63" t="s">
        <v>122</v>
      </c>
      <c r="O118" s="424" t="str">
        <f t="shared" si="16"/>
        <v>-</v>
      </c>
      <c r="P118" s="372" t="s">
        <v>164</v>
      </c>
      <c r="Q118" s="276">
        <v>10</v>
      </c>
      <c r="R118" s="241">
        <v>4</v>
      </c>
      <c r="S118" s="242" t="e">
        <f t="shared" ref="S118:S129" si="25">(M118*R118)/Q118</f>
        <v>#VALUE!</v>
      </c>
      <c r="T118" s="343"/>
      <c r="AA118" s="73"/>
    </row>
    <row r="119" spans="1:27">
      <c r="A119" s="70">
        <f t="shared" si="15"/>
        <v>2</v>
      </c>
      <c r="B119" s="473"/>
      <c r="C119" s="476"/>
      <c r="D119" s="584"/>
      <c r="E119" s="445"/>
      <c r="F119" s="587"/>
      <c r="G119" s="587"/>
      <c r="H119" s="587"/>
      <c r="I119" s="59">
        <f t="shared" si="24"/>
        <v>2.2199999999999975</v>
      </c>
      <c r="J119" s="57" t="s">
        <v>47</v>
      </c>
      <c r="K119" s="2" t="e">
        <f>SUMIF('[3]BESS 12'!$B$4:$B$270,$J119,'[3]BESS 12'!I$4:I$270)</f>
        <v>#VALUE!</v>
      </c>
      <c r="L119" s="2" t="e">
        <f>SUMIF('[3]BESS 12'!$B$4:$B$270,$J119,'[3]BESS 12'!J$4:J$270)</f>
        <v>#VALUE!</v>
      </c>
      <c r="M119" s="2" t="e">
        <f t="shared" si="21"/>
        <v>#VALUE!</v>
      </c>
      <c r="N119" s="63" t="s">
        <v>122</v>
      </c>
      <c r="O119" s="424" t="str">
        <f t="shared" si="16"/>
        <v>-</v>
      </c>
      <c r="P119" s="292" t="s">
        <v>164</v>
      </c>
      <c r="Q119" s="276">
        <v>1500</v>
      </c>
      <c r="R119" s="241">
        <v>48</v>
      </c>
      <c r="S119" s="242" t="e">
        <f t="shared" si="25"/>
        <v>#VALUE!</v>
      </c>
      <c r="T119" s="17"/>
      <c r="V119" s="272"/>
      <c r="X119" s="73"/>
    </row>
    <row r="120" spans="1:27">
      <c r="A120" s="70">
        <f t="shared" si="15"/>
        <v>2</v>
      </c>
      <c r="B120" s="473"/>
      <c r="C120" s="476"/>
      <c r="D120" s="584"/>
      <c r="E120" s="445"/>
      <c r="F120" s="587"/>
      <c r="G120" s="587"/>
      <c r="H120" s="587"/>
      <c r="I120" s="59">
        <f t="shared" si="24"/>
        <v>2.2299999999999973</v>
      </c>
      <c r="J120" s="57" t="s">
        <v>48</v>
      </c>
      <c r="K120" s="2" t="e">
        <f>SUMIF('[3]BESS 12'!$B$4:$B$270,$J120,'[3]BESS 12'!I$4:I$270)</f>
        <v>#VALUE!</v>
      </c>
      <c r="L120" s="2" t="e">
        <f>SUMIF('[3]BESS 12'!$B$4:$B$270,$J120,'[3]BESS 12'!J$4:J$270)</f>
        <v>#VALUE!</v>
      </c>
      <c r="M120" s="2" t="e">
        <f t="shared" si="21"/>
        <v>#VALUE!</v>
      </c>
      <c r="N120" s="362" t="s">
        <v>122</v>
      </c>
      <c r="O120" s="424" t="str">
        <f t="shared" si="16"/>
        <v>-</v>
      </c>
      <c r="P120" s="292" t="s">
        <v>164</v>
      </c>
      <c r="Q120" s="276">
        <v>8</v>
      </c>
      <c r="R120" s="241">
        <v>6</v>
      </c>
      <c r="S120" s="242" t="e">
        <f t="shared" si="25"/>
        <v>#VALUE!</v>
      </c>
      <c r="T120" s="62" t="s">
        <v>754</v>
      </c>
    </row>
    <row r="121" spans="1:27">
      <c r="A121" s="70">
        <f t="shared" si="15"/>
        <v>2</v>
      </c>
      <c r="B121" s="473"/>
      <c r="C121" s="476"/>
      <c r="D121" s="584"/>
      <c r="E121" s="445"/>
      <c r="F121" s="587"/>
      <c r="G121" s="587"/>
      <c r="H121" s="587"/>
      <c r="I121" s="59">
        <f t="shared" si="24"/>
        <v>2.2399999999999971</v>
      </c>
      <c r="J121" s="57" t="s">
        <v>126</v>
      </c>
      <c r="K121" s="2" t="e">
        <f>SUMIF('[3]BESS 12'!$B$4:$B$270,$J121,'[3]BESS 12'!I$4:I$270)</f>
        <v>#VALUE!</v>
      </c>
      <c r="L121" s="2" t="e">
        <f>SUMIF('[3]BESS 12'!$B$4:$B$270,$J121,'[3]BESS 12'!J$4:J$270)</f>
        <v>#VALUE!</v>
      </c>
      <c r="M121" s="2" t="e">
        <f t="shared" si="21"/>
        <v>#VALUE!</v>
      </c>
      <c r="N121" s="297" t="s">
        <v>122</v>
      </c>
      <c r="O121" s="424" t="str">
        <f t="shared" si="16"/>
        <v>-</v>
      </c>
      <c r="P121" s="292" t="s">
        <v>164</v>
      </c>
      <c r="Q121" s="276">
        <v>600</v>
      </c>
      <c r="R121" s="241">
        <v>10</v>
      </c>
      <c r="S121" s="242" t="e">
        <f t="shared" si="25"/>
        <v>#VALUE!</v>
      </c>
      <c r="T121" s="19"/>
      <c r="V121" s="272"/>
    </row>
    <row r="122" spans="1:27">
      <c r="A122" s="70">
        <f t="shared" si="15"/>
        <v>2</v>
      </c>
      <c r="B122" s="473"/>
      <c r="C122" s="476"/>
      <c r="D122" s="584"/>
      <c r="E122" s="445"/>
      <c r="F122" s="587"/>
      <c r="G122" s="587"/>
      <c r="H122" s="587"/>
      <c r="I122" s="59">
        <f t="shared" si="24"/>
        <v>2.2499999999999969</v>
      </c>
      <c r="J122" s="57" t="s">
        <v>127</v>
      </c>
      <c r="K122" s="2" t="e">
        <f>SUMIF('[3]BESS 12'!$B$4:$B$270,$J122,'[3]BESS 12'!I$4:I$270)</f>
        <v>#VALUE!</v>
      </c>
      <c r="L122" s="2" t="e">
        <f>SUMIF('[3]BESS 12'!$B$4:$B$270,$J122,'[3]BESS 12'!J$4:J$270)</f>
        <v>#VALUE!</v>
      </c>
      <c r="M122" s="2" t="e">
        <f t="shared" si="21"/>
        <v>#VALUE!</v>
      </c>
      <c r="N122" s="63" t="s">
        <v>122</v>
      </c>
      <c r="O122" s="424" t="str">
        <f t="shared" si="16"/>
        <v>-</v>
      </c>
      <c r="P122" s="292" t="s">
        <v>164</v>
      </c>
      <c r="Q122" s="276">
        <v>600</v>
      </c>
      <c r="R122" s="241">
        <v>10</v>
      </c>
      <c r="S122" s="242" t="e">
        <f t="shared" si="25"/>
        <v>#VALUE!</v>
      </c>
      <c r="T122" s="19"/>
      <c r="V122" s="272"/>
    </row>
    <row r="123" spans="1:27" ht="25.5">
      <c r="A123" s="70">
        <f t="shared" si="15"/>
        <v>2</v>
      </c>
      <c r="B123" s="473"/>
      <c r="C123" s="476"/>
      <c r="D123" s="584"/>
      <c r="E123" s="445"/>
      <c r="F123" s="587"/>
      <c r="G123" s="587"/>
      <c r="H123" s="587"/>
      <c r="I123" s="6">
        <f t="shared" si="24"/>
        <v>2.2599999999999967</v>
      </c>
      <c r="J123" s="8" t="s">
        <v>128</v>
      </c>
      <c r="K123" s="1" t="e">
        <f>SUMIF('[3]BESS 12'!$B$4:$B$270,$J123,'[3]BESS 12'!I$4:I$270)</f>
        <v>#VALUE!</v>
      </c>
      <c r="L123" s="36" t="e">
        <f>SUMIF('[3]BESS 12'!$B$4:$B$270,$J123,'[3]BESS 12'!J$4:J$270)</f>
        <v>#VALUE!</v>
      </c>
      <c r="M123" s="139" t="e">
        <f t="shared" si="21"/>
        <v>#VALUE!</v>
      </c>
      <c r="N123" s="20" t="s">
        <v>725</v>
      </c>
      <c r="O123" s="424">
        <f t="shared" si="16"/>
        <v>46265</v>
      </c>
      <c r="P123" s="285" t="s">
        <v>164</v>
      </c>
      <c r="Q123" s="276">
        <v>30</v>
      </c>
      <c r="R123" s="241">
        <v>18</v>
      </c>
      <c r="S123" s="242" t="e">
        <f t="shared" si="25"/>
        <v>#VALUE!</v>
      </c>
      <c r="T123" s="343" t="s">
        <v>731</v>
      </c>
      <c r="AA123" s="73"/>
    </row>
    <row r="124" spans="1:27" ht="25.5">
      <c r="A124" s="70">
        <f t="shared" si="15"/>
        <v>2</v>
      </c>
      <c r="B124" s="473"/>
      <c r="C124" s="476"/>
      <c r="D124" s="584"/>
      <c r="E124" s="445"/>
      <c r="F124" s="587"/>
      <c r="G124" s="587"/>
      <c r="H124" s="587"/>
      <c r="I124" s="6">
        <f t="shared" si="24"/>
        <v>2.2699999999999965</v>
      </c>
      <c r="J124" s="8" t="s">
        <v>129</v>
      </c>
      <c r="K124" s="1" t="e">
        <f>SUMIF('[3]BESS 12'!$B$4:$B$270,$J124,'[3]BESS 12'!I$4:I$270)</f>
        <v>#VALUE!</v>
      </c>
      <c r="L124" s="36" t="e">
        <f>SUMIF('[3]BESS 12'!$B$4:$B$270,$J124,'[3]BESS 12'!J$4:J$270)</f>
        <v>#VALUE!</v>
      </c>
      <c r="M124" s="139" t="e">
        <f t="shared" ref="M124:M139" si="26">K124-L124</f>
        <v>#VALUE!</v>
      </c>
      <c r="N124" s="20" t="s">
        <v>725</v>
      </c>
      <c r="O124" s="424">
        <f t="shared" si="16"/>
        <v>46265</v>
      </c>
      <c r="P124" s="285" t="s">
        <v>164</v>
      </c>
      <c r="Q124" s="276">
        <v>30</v>
      </c>
      <c r="R124" s="241">
        <v>18</v>
      </c>
      <c r="S124" s="242" t="e">
        <f t="shared" si="25"/>
        <v>#VALUE!</v>
      </c>
      <c r="T124" s="343" t="s">
        <v>732</v>
      </c>
      <c r="AA124" s="73"/>
    </row>
    <row r="125" spans="1:27" ht="25.5">
      <c r="A125" s="70">
        <f t="shared" si="15"/>
        <v>2</v>
      </c>
      <c r="B125" s="473"/>
      <c r="C125" s="476"/>
      <c r="D125" s="584"/>
      <c r="E125" s="445"/>
      <c r="F125" s="587"/>
      <c r="G125" s="587"/>
      <c r="H125" s="587"/>
      <c r="I125" s="92">
        <f t="shared" si="24"/>
        <v>2.2799999999999963</v>
      </c>
      <c r="J125" s="138" t="s">
        <v>130</v>
      </c>
      <c r="K125" s="1" t="e">
        <f>SUMIF('[3]BESS 12'!$B$4:$B$270,$J125,'[3]BESS 12'!I$4:I$270)</f>
        <v>#VALUE!</v>
      </c>
      <c r="L125" s="36" t="e">
        <f>SUMIF('[3]BESS 12'!$B$4:$B$270,$J125,'[3]BESS 12'!J$4:J$270)</f>
        <v>#VALUE!</v>
      </c>
      <c r="M125" s="139" t="e">
        <f t="shared" si="26"/>
        <v>#VALUE!</v>
      </c>
      <c r="N125" s="20" t="s">
        <v>726</v>
      </c>
      <c r="O125" s="424">
        <f t="shared" si="16"/>
        <v>46233</v>
      </c>
      <c r="P125" s="359" t="s">
        <v>164</v>
      </c>
      <c r="Q125" s="276">
        <v>1000</v>
      </c>
      <c r="R125" s="241">
        <v>10</v>
      </c>
      <c r="S125" s="242" t="e">
        <f t="shared" si="25"/>
        <v>#VALUE!</v>
      </c>
      <c r="T125" s="17"/>
      <c r="V125" s="272"/>
      <c r="AA125" s="73"/>
    </row>
    <row r="126" spans="1:27" ht="25.5">
      <c r="A126" s="70">
        <f t="shared" si="15"/>
        <v>2</v>
      </c>
      <c r="B126" s="473"/>
      <c r="C126" s="476"/>
      <c r="D126" s="584"/>
      <c r="E126" s="445"/>
      <c r="F126" s="587"/>
      <c r="G126" s="587"/>
      <c r="H126" s="587"/>
      <c r="I126" s="92">
        <f t="shared" si="24"/>
        <v>2.289999999999996</v>
      </c>
      <c r="J126" s="138" t="s">
        <v>131</v>
      </c>
      <c r="K126" s="1" t="e">
        <f>SUMIF('[3]BESS 12'!$B$4:$B$270,$J126,'[3]BESS 12'!I$4:I$270)</f>
        <v>#VALUE!</v>
      </c>
      <c r="L126" s="36" t="e">
        <f>SUMIF('[3]BESS 12'!$B$4:$B$270,$J126,'[3]BESS 12'!J$4:J$270)</f>
        <v>#VALUE!</v>
      </c>
      <c r="M126" s="139" t="e">
        <f t="shared" si="26"/>
        <v>#VALUE!</v>
      </c>
      <c r="N126" s="20" t="s">
        <v>726</v>
      </c>
      <c r="O126" s="424">
        <f t="shared" si="16"/>
        <v>46233</v>
      </c>
      <c r="P126" s="359" t="s">
        <v>164</v>
      </c>
      <c r="Q126" s="276">
        <v>1000</v>
      </c>
      <c r="R126" s="241">
        <v>10</v>
      </c>
      <c r="S126" s="242" t="e">
        <f t="shared" si="25"/>
        <v>#VALUE!</v>
      </c>
      <c r="T126" s="17"/>
      <c r="V126" s="272"/>
      <c r="AA126" s="73"/>
    </row>
    <row r="127" spans="1:27" ht="25.5">
      <c r="A127" s="70">
        <f t="shared" si="15"/>
        <v>2</v>
      </c>
      <c r="B127" s="473"/>
      <c r="C127" s="476"/>
      <c r="D127" s="584"/>
      <c r="E127" s="445"/>
      <c r="F127" s="587"/>
      <c r="G127" s="587"/>
      <c r="H127" s="587"/>
      <c r="I127" s="6">
        <f t="shared" si="24"/>
        <v>2.2999999999999958</v>
      </c>
      <c r="J127" s="8" t="s">
        <v>132</v>
      </c>
      <c r="K127" s="1" t="e">
        <f>SUMIF('[3]BESS 12'!$B$4:$B$270,$J127,'[3]BESS 12'!I$4:I$270)</f>
        <v>#VALUE!</v>
      </c>
      <c r="L127" s="36" t="e">
        <f>SUMIF('[3]BESS 12'!$B$4:$B$270,$J127,'[3]BESS 12'!J$4:J$270)</f>
        <v>#VALUE!</v>
      </c>
      <c r="M127" s="139" t="e">
        <f t="shared" si="26"/>
        <v>#VALUE!</v>
      </c>
      <c r="N127" s="20" t="s">
        <v>726</v>
      </c>
      <c r="O127" s="424">
        <f t="shared" si="16"/>
        <v>46233</v>
      </c>
      <c r="P127" s="285" t="s">
        <v>164</v>
      </c>
      <c r="Q127" s="276">
        <v>500</v>
      </c>
      <c r="R127" s="241">
        <v>10</v>
      </c>
      <c r="S127" s="242" t="e">
        <f t="shared" si="25"/>
        <v>#VALUE!</v>
      </c>
      <c r="T127" s="17"/>
      <c r="V127" s="272"/>
      <c r="AA127" s="73"/>
    </row>
    <row r="128" spans="1:27" ht="25.5">
      <c r="A128" s="70">
        <f t="shared" si="15"/>
        <v>2</v>
      </c>
      <c r="B128" s="473"/>
      <c r="C128" s="476"/>
      <c r="D128" s="584"/>
      <c r="E128" s="445"/>
      <c r="F128" s="587"/>
      <c r="G128" s="587"/>
      <c r="H128" s="587"/>
      <c r="I128" s="6">
        <f t="shared" si="24"/>
        <v>2.3099999999999956</v>
      </c>
      <c r="J128" s="8" t="s">
        <v>133</v>
      </c>
      <c r="K128" s="1" t="e">
        <f>SUMIF('[3]BESS 12'!$B$4:$B$270,$J128,'[3]BESS 12'!I$4:I$270)</f>
        <v>#VALUE!</v>
      </c>
      <c r="L128" s="36" t="e">
        <f>SUMIF('[3]BESS 12'!$B$4:$B$270,$J128,'[3]BESS 12'!J$4:J$270)</f>
        <v>#VALUE!</v>
      </c>
      <c r="M128" s="139" t="e">
        <f t="shared" si="26"/>
        <v>#VALUE!</v>
      </c>
      <c r="N128" s="414" t="s">
        <v>727</v>
      </c>
      <c r="O128" s="424">
        <f t="shared" si="16"/>
        <v>46234</v>
      </c>
      <c r="P128" s="285" t="s">
        <v>164</v>
      </c>
      <c r="Q128" s="276">
        <v>30</v>
      </c>
      <c r="R128" s="241">
        <v>6</v>
      </c>
      <c r="S128" s="242" t="e">
        <f t="shared" si="25"/>
        <v>#VALUE!</v>
      </c>
      <c r="T128" s="17"/>
      <c r="V128" s="272"/>
      <c r="AA128" s="73"/>
    </row>
    <row r="129" spans="1:27" ht="25.5">
      <c r="A129" s="70">
        <f t="shared" si="15"/>
        <v>2</v>
      </c>
      <c r="B129" s="473"/>
      <c r="C129" s="476"/>
      <c r="D129" s="584"/>
      <c r="E129" s="445"/>
      <c r="F129" s="587"/>
      <c r="G129" s="587"/>
      <c r="H129" s="587"/>
      <c r="I129" s="6">
        <f t="shared" si="24"/>
        <v>2.3199999999999954</v>
      </c>
      <c r="J129" s="8" t="s">
        <v>134</v>
      </c>
      <c r="K129" s="1" t="e">
        <f>SUMIF('[3]BESS 12'!$B$4:$B$270,$J129,'[3]BESS 12'!I$4:I$270)</f>
        <v>#VALUE!</v>
      </c>
      <c r="L129" s="36" t="e">
        <f>SUMIF('[3]BESS 12'!$B$4:$B$270,$J129,'[3]BESS 12'!J$4:J$270)</f>
        <v>#VALUE!</v>
      </c>
      <c r="M129" s="139" t="e">
        <f t="shared" si="26"/>
        <v>#VALUE!</v>
      </c>
      <c r="N129" s="434" t="s">
        <v>727</v>
      </c>
      <c r="O129" s="424">
        <f t="shared" si="16"/>
        <v>46234</v>
      </c>
      <c r="P129" s="285" t="s">
        <v>172</v>
      </c>
      <c r="Q129" s="276">
        <v>30</v>
      </c>
      <c r="R129" s="241">
        <v>4</v>
      </c>
      <c r="S129" s="242" t="e">
        <f t="shared" si="25"/>
        <v>#VALUE!</v>
      </c>
      <c r="T129" s="17"/>
      <c r="V129" s="272"/>
      <c r="AA129" s="73"/>
    </row>
    <row r="130" spans="1:27" ht="25.5">
      <c r="A130" s="70">
        <f t="shared" si="15"/>
        <v>2</v>
      </c>
      <c r="B130" s="473"/>
      <c r="C130" s="476"/>
      <c r="D130" s="584"/>
      <c r="E130" s="445"/>
      <c r="F130" s="587"/>
      <c r="G130" s="587"/>
      <c r="H130" s="587"/>
      <c r="I130" s="6">
        <f t="shared" si="24"/>
        <v>2.3299999999999952</v>
      </c>
      <c r="J130" s="8" t="s">
        <v>136</v>
      </c>
      <c r="K130" s="1" t="e">
        <f>SUMIF('[3]BESS 12'!$B$4:$B$270,$J130,'[3]BESS 12'!I$4:I$270)</f>
        <v>#VALUE!</v>
      </c>
      <c r="L130" s="36" t="e">
        <f>SUMIF('[3]BESS 12'!$B$4:$B$270,$J130,'[3]BESS 12'!J$4:J$270)</f>
        <v>#VALUE!</v>
      </c>
      <c r="M130" s="139" t="e">
        <f t="shared" si="26"/>
        <v>#VALUE!</v>
      </c>
      <c r="N130" s="434" t="s">
        <v>727</v>
      </c>
      <c r="O130" s="424">
        <f t="shared" si="16"/>
        <v>46234</v>
      </c>
      <c r="P130" s="285" t="s">
        <v>172</v>
      </c>
      <c r="Q130" s="276" t="s">
        <v>89</v>
      </c>
      <c r="R130" s="241" t="s">
        <v>89</v>
      </c>
      <c r="S130" s="242" t="s">
        <v>89</v>
      </c>
      <c r="T130" s="77"/>
      <c r="U130" s="70">
        <f ca="1">O130-$T$1</f>
        <v>1</v>
      </c>
      <c r="V130" s="273" t="e">
        <f>SUM(S109:S140)</f>
        <v>#VALUE!</v>
      </c>
      <c r="W130" s="274" t="e">
        <f ca="1">V130/U130</f>
        <v>#VALUE!</v>
      </c>
      <c r="AA130" s="73"/>
    </row>
    <row r="131" spans="1:27">
      <c r="A131" s="70">
        <f t="shared" si="15"/>
        <v>2</v>
      </c>
      <c r="B131" s="473"/>
      <c r="C131" s="476"/>
      <c r="D131" s="584"/>
      <c r="E131" s="445"/>
      <c r="F131" s="587"/>
      <c r="G131" s="587"/>
      <c r="H131" s="587"/>
      <c r="I131" s="59">
        <f t="shared" si="24"/>
        <v>2.339999999999995</v>
      </c>
      <c r="J131" s="57" t="s">
        <v>137</v>
      </c>
      <c r="K131" s="2" t="e">
        <f>SUMIF('[3]BESS 12'!$B$4:$B$270,$J131,'[3]BESS 12'!I$4:I$270)</f>
        <v>#VALUE!</v>
      </c>
      <c r="L131" s="2" t="e">
        <f>SUMIF('[3]BESS 12'!$B$4:$B$270,$J131,'[3]BESS 12'!J$4:J$270)</f>
        <v>#VALUE!</v>
      </c>
      <c r="M131" s="2" t="e">
        <f t="shared" si="26"/>
        <v>#VALUE!</v>
      </c>
      <c r="N131" s="63" t="s">
        <v>122</v>
      </c>
      <c r="O131" s="424" t="str">
        <f t="shared" si="16"/>
        <v>-</v>
      </c>
      <c r="P131" s="292" t="s">
        <v>164</v>
      </c>
      <c r="Q131" s="590">
        <v>2</v>
      </c>
      <c r="R131" s="591">
        <v>8</v>
      </c>
      <c r="S131" s="242" t="s">
        <v>89</v>
      </c>
      <c r="T131" s="77"/>
    </row>
    <row r="132" spans="1:27">
      <c r="A132" s="70">
        <f t="shared" si="15"/>
        <v>2</v>
      </c>
      <c r="B132" s="473"/>
      <c r="C132" s="476"/>
      <c r="D132" s="584"/>
      <c r="E132" s="445"/>
      <c r="F132" s="587"/>
      <c r="G132" s="587"/>
      <c r="H132" s="587"/>
      <c r="I132" s="59">
        <f t="shared" si="24"/>
        <v>2.3499999999999948</v>
      </c>
      <c r="J132" s="57" t="s">
        <v>139</v>
      </c>
      <c r="K132" s="2" t="e">
        <f>SUMIF('[3]BESS 12'!$B$4:$B$270,$J132,'[3]BESS 12'!I$4:I$270)</f>
        <v>#VALUE!</v>
      </c>
      <c r="L132" s="2" t="e">
        <f>SUMIF('[3]BESS 12'!$B$4:$B$270,$J132,'[3]BESS 12'!J$4:J$270)</f>
        <v>#VALUE!</v>
      </c>
      <c r="M132" s="2" t="e">
        <f t="shared" si="26"/>
        <v>#VALUE!</v>
      </c>
      <c r="N132" s="63" t="s">
        <v>122</v>
      </c>
      <c r="O132" s="424" t="str">
        <f t="shared" si="16"/>
        <v>-</v>
      </c>
      <c r="P132" s="292" t="s">
        <v>164</v>
      </c>
      <c r="Q132" s="590"/>
      <c r="R132" s="591"/>
      <c r="S132" s="242" t="s">
        <v>89</v>
      </c>
      <c r="T132" s="119"/>
    </row>
    <row r="133" spans="1:27" ht="25.5">
      <c r="A133" s="70">
        <f t="shared" ref="A133:A196" si="27">IF(C133&gt;0,C133,A132)</f>
        <v>2</v>
      </c>
      <c r="B133" s="473"/>
      <c r="C133" s="476"/>
      <c r="D133" s="584"/>
      <c r="E133" s="445"/>
      <c r="F133" s="587"/>
      <c r="G133" s="587"/>
      <c r="H133" s="587"/>
      <c r="I133" s="6">
        <f t="shared" si="24"/>
        <v>2.3599999999999945</v>
      </c>
      <c r="J133" s="8" t="s">
        <v>140</v>
      </c>
      <c r="K133" s="1" t="e">
        <f>SUMIF('[3]BESS 12'!$B$4:$B$270,$J133,'[3]BESS 12'!I$4:I$270)</f>
        <v>#VALUE!</v>
      </c>
      <c r="L133" s="36" t="e">
        <f>SUMIF('[3]BESS 12'!$B$4:$B$270,$J133,'[3]BESS 12'!J$4:J$270)</f>
        <v>#VALUE!</v>
      </c>
      <c r="M133" s="139" t="e">
        <f t="shared" si="26"/>
        <v>#VALUE!</v>
      </c>
      <c r="N133" s="20" t="s">
        <v>728</v>
      </c>
      <c r="O133" s="424">
        <f t="shared" ref="O133:O196" si="28">IF(LEN(N133)=5,N133,(IF(N133="Completed","-",DATEVALUE(RIGHT(N133,6)))))</f>
        <v>46236</v>
      </c>
      <c r="P133" s="285" t="s">
        <v>164</v>
      </c>
      <c r="Q133" s="276">
        <v>2</v>
      </c>
      <c r="R133" s="241">
        <v>4</v>
      </c>
      <c r="S133" s="242" t="e">
        <f t="shared" ref="S133:S140" si="29">(M133*R133)/Q133</f>
        <v>#VALUE!</v>
      </c>
      <c r="T133" s="77"/>
      <c r="U133" s="70">
        <f ca="1">O133-$T$1</f>
        <v>3</v>
      </c>
      <c r="V133" s="273" t="e">
        <f>SUM(S109:S140)</f>
        <v>#VALUE!</v>
      </c>
      <c r="W133" s="274" t="e">
        <f ca="1">V133/(U133-3)</f>
        <v>#VALUE!</v>
      </c>
    </row>
    <row r="134" spans="1:27" ht="25.5">
      <c r="A134" s="70">
        <f t="shared" si="27"/>
        <v>2</v>
      </c>
      <c r="B134" s="473"/>
      <c r="C134" s="476"/>
      <c r="D134" s="584"/>
      <c r="E134" s="445"/>
      <c r="F134" s="587"/>
      <c r="G134" s="587"/>
      <c r="H134" s="587"/>
      <c r="I134" s="59">
        <f t="shared" si="24"/>
        <v>2.3699999999999943</v>
      </c>
      <c r="J134" s="57" t="s">
        <v>141</v>
      </c>
      <c r="K134" s="2" t="e">
        <f>SUMIF('[3]BESS 12'!$B$4:$B$270,$J134,'[3]BESS 12'!I$4:I$270)</f>
        <v>#VALUE!</v>
      </c>
      <c r="L134" s="2" t="e">
        <f>SUMIF('[3]BESS 12'!$B$4:$B$270,$J134,'[3]BESS 12'!J$4:J$270)</f>
        <v>#VALUE!</v>
      </c>
      <c r="M134" s="2" t="e">
        <f t="shared" si="26"/>
        <v>#VALUE!</v>
      </c>
      <c r="N134" s="63" t="s">
        <v>122</v>
      </c>
      <c r="O134" s="424" t="str">
        <f t="shared" si="28"/>
        <v>-</v>
      </c>
      <c r="P134" s="292" t="s">
        <v>164</v>
      </c>
      <c r="Q134" s="276">
        <v>0.5</v>
      </c>
      <c r="R134" s="241">
        <v>4</v>
      </c>
      <c r="S134" s="242" t="e">
        <f t="shared" si="29"/>
        <v>#VALUE!</v>
      </c>
      <c r="T134" s="261"/>
    </row>
    <row r="135" spans="1:27" ht="25.5">
      <c r="A135" s="70">
        <f t="shared" si="27"/>
        <v>2</v>
      </c>
      <c r="B135" s="473"/>
      <c r="C135" s="476"/>
      <c r="D135" s="584"/>
      <c r="E135" s="445"/>
      <c r="F135" s="587"/>
      <c r="G135" s="587"/>
      <c r="H135" s="587"/>
      <c r="I135" s="6">
        <f t="shared" si="24"/>
        <v>2.3799999999999941</v>
      </c>
      <c r="J135" s="8" t="s">
        <v>142</v>
      </c>
      <c r="K135" s="1" t="e">
        <f>SUMIF('[3]BESS 12'!$B$4:$B$270,$J135,'[3]BESS 12'!I$4:I$270)</f>
        <v>#VALUE!</v>
      </c>
      <c r="L135" s="36" t="e">
        <f>SUMIF('[3]BESS 12'!$B$4:$B$270,$J135,'[3]BESS 12'!J$4:J$270)</f>
        <v>#VALUE!</v>
      </c>
      <c r="M135" s="139" t="e">
        <f t="shared" si="26"/>
        <v>#VALUE!</v>
      </c>
      <c r="N135" s="20" t="s">
        <v>729</v>
      </c>
      <c r="O135" s="424">
        <f t="shared" si="28"/>
        <v>46235</v>
      </c>
      <c r="P135" s="285" t="s">
        <v>164</v>
      </c>
      <c r="Q135" s="276">
        <v>6</v>
      </c>
      <c r="R135" s="241">
        <v>4</v>
      </c>
      <c r="S135" s="242" t="e">
        <f t="shared" si="29"/>
        <v>#VALUE!</v>
      </c>
      <c r="T135" s="262"/>
    </row>
    <row r="136" spans="1:27">
      <c r="A136" s="70">
        <f t="shared" si="27"/>
        <v>2</v>
      </c>
      <c r="B136" s="473"/>
      <c r="C136" s="476"/>
      <c r="D136" s="584"/>
      <c r="E136" s="445"/>
      <c r="F136" s="587"/>
      <c r="G136" s="587"/>
      <c r="H136" s="587"/>
      <c r="I136" s="59">
        <f t="shared" si="24"/>
        <v>2.3899999999999939</v>
      </c>
      <c r="J136" s="57" t="s">
        <v>143</v>
      </c>
      <c r="K136" s="2" t="e">
        <f>SUMIF('[3]BESS 12'!$B$4:$B$270,$J136,'[3]BESS 12'!I$4:I$270)</f>
        <v>#VALUE!</v>
      </c>
      <c r="L136" s="2" t="e">
        <f>SUMIF('[3]BESS 12'!$B$4:$B$270,$J136,'[3]BESS 12'!J$4:J$270)</f>
        <v>#VALUE!</v>
      </c>
      <c r="M136" s="2" t="e">
        <f t="shared" si="26"/>
        <v>#VALUE!</v>
      </c>
      <c r="N136" s="63" t="s">
        <v>122</v>
      </c>
      <c r="O136" s="424" t="str">
        <f t="shared" si="28"/>
        <v>-</v>
      </c>
      <c r="P136" s="292" t="s">
        <v>164</v>
      </c>
      <c r="Q136" s="276">
        <v>6</v>
      </c>
      <c r="R136" s="241">
        <v>5</v>
      </c>
      <c r="S136" s="242" t="e">
        <f t="shared" si="29"/>
        <v>#VALUE!</v>
      </c>
      <c r="T136" s="262"/>
    </row>
    <row r="137" spans="1:27">
      <c r="A137" s="70">
        <f t="shared" si="27"/>
        <v>2</v>
      </c>
      <c r="B137" s="473"/>
      <c r="C137" s="476"/>
      <c r="D137" s="584"/>
      <c r="E137" s="445"/>
      <c r="F137" s="587"/>
      <c r="G137" s="587"/>
      <c r="H137" s="587"/>
      <c r="I137" s="59">
        <f t="shared" si="24"/>
        <v>2.3999999999999937</v>
      </c>
      <c r="J137" s="57" t="s">
        <v>144</v>
      </c>
      <c r="K137" s="2" t="e">
        <f>SUMIF('[3]BESS 12'!$B$4:$B$270,$J137,'[3]BESS 12'!I$4:I$270)</f>
        <v>#VALUE!</v>
      </c>
      <c r="L137" s="2" t="e">
        <f>SUMIF('[3]BESS 12'!$B$4:$B$270,$J137,'[3]BESS 12'!J$4:J$270)</f>
        <v>#VALUE!</v>
      </c>
      <c r="M137" s="2" t="e">
        <f t="shared" si="26"/>
        <v>#VALUE!</v>
      </c>
      <c r="N137" s="63" t="s">
        <v>122</v>
      </c>
      <c r="O137" s="424" t="str">
        <f t="shared" si="28"/>
        <v>-</v>
      </c>
      <c r="P137" s="292" t="s">
        <v>164</v>
      </c>
      <c r="Q137" s="276">
        <v>1</v>
      </c>
      <c r="R137" s="241">
        <v>5</v>
      </c>
      <c r="S137" s="242" t="e">
        <f t="shared" si="29"/>
        <v>#VALUE!</v>
      </c>
      <c r="T137" s="332"/>
    </row>
    <row r="138" spans="1:27">
      <c r="A138" s="70">
        <f t="shared" si="27"/>
        <v>2</v>
      </c>
      <c r="B138" s="473"/>
      <c r="C138" s="476"/>
      <c r="D138" s="584"/>
      <c r="E138" s="445"/>
      <c r="F138" s="587"/>
      <c r="G138" s="587"/>
      <c r="H138" s="587"/>
      <c r="I138" s="59">
        <f t="shared" si="24"/>
        <v>2.4099999999999935</v>
      </c>
      <c r="J138" s="57" t="s">
        <v>145</v>
      </c>
      <c r="K138" s="2" t="e">
        <f>SUMIF('[3]BESS 12'!$B$4:$B$270,$J138,'[3]BESS 12'!I$4:I$270)</f>
        <v>#VALUE!</v>
      </c>
      <c r="L138" s="2" t="e">
        <f>SUMIF('[3]BESS 12'!$B$4:$B$270,$J138,'[3]BESS 12'!J$4:J$270)</f>
        <v>#VALUE!</v>
      </c>
      <c r="M138" s="2" t="e">
        <f t="shared" si="26"/>
        <v>#VALUE!</v>
      </c>
      <c r="N138" s="63" t="s">
        <v>122</v>
      </c>
      <c r="O138" s="424" t="str">
        <f t="shared" si="28"/>
        <v>-</v>
      </c>
      <c r="P138" s="292" t="s">
        <v>164</v>
      </c>
      <c r="Q138" s="276">
        <v>3</v>
      </c>
      <c r="R138" s="241">
        <v>5</v>
      </c>
      <c r="S138" s="242" t="e">
        <f t="shared" si="29"/>
        <v>#VALUE!</v>
      </c>
      <c r="T138" s="332"/>
    </row>
    <row r="139" spans="1:27" ht="25.5">
      <c r="A139" s="70">
        <f t="shared" si="27"/>
        <v>2</v>
      </c>
      <c r="B139" s="473"/>
      <c r="C139" s="476"/>
      <c r="D139" s="584"/>
      <c r="E139" s="445"/>
      <c r="F139" s="587"/>
      <c r="G139" s="587"/>
      <c r="H139" s="587"/>
      <c r="I139" s="6">
        <f t="shared" si="24"/>
        <v>2.4199999999999933</v>
      </c>
      <c r="J139" s="8" t="s">
        <v>54</v>
      </c>
      <c r="K139" s="1" t="e">
        <f>SUMIF('[3]BESS 12'!$B$4:$B$270,$J139,'[3]BESS 12'!I$4:I$270)</f>
        <v>#VALUE!</v>
      </c>
      <c r="L139" s="36" t="e">
        <f>SUMIF('[3]BESS 12'!$B$4:$B$270,$J139,'[3]BESS 12'!J$4:J$270)</f>
        <v>#VALUE!</v>
      </c>
      <c r="M139" s="139" t="e">
        <f t="shared" si="26"/>
        <v>#VALUE!</v>
      </c>
      <c r="N139" s="20" t="s">
        <v>730</v>
      </c>
      <c r="O139" s="424">
        <f t="shared" si="28"/>
        <v>46235</v>
      </c>
      <c r="P139" s="285" t="s">
        <v>164</v>
      </c>
      <c r="Q139" s="276">
        <v>150</v>
      </c>
      <c r="R139" s="241">
        <v>6</v>
      </c>
      <c r="S139" s="242" t="e">
        <f t="shared" si="29"/>
        <v>#VALUE!</v>
      </c>
      <c r="T139" s="332"/>
      <c r="AA139" s="73"/>
    </row>
    <row r="140" spans="1:27" ht="15.75" thickBot="1">
      <c r="A140" s="70">
        <f t="shared" si="27"/>
        <v>2</v>
      </c>
      <c r="B140" s="474"/>
      <c r="C140" s="477"/>
      <c r="D140" s="585"/>
      <c r="E140" s="479"/>
      <c r="F140" s="588"/>
      <c r="G140" s="588"/>
      <c r="H140" s="588"/>
      <c r="I140" s="407">
        <f t="shared" si="24"/>
        <v>2.4299999999999931</v>
      </c>
      <c r="J140" s="408" t="s">
        <v>55</v>
      </c>
      <c r="K140" s="25" t="e">
        <f>SUMIF('[3]BESS 12'!$B$4:$B$270,$J140,'[3]BESS 12'!I$4:I$270)</f>
        <v>#VALUE!</v>
      </c>
      <c r="L140" s="25" t="e">
        <f>SUMIF('[3]BESS 12'!$B$4:$B$270,$J140,'[3]BESS 12'!J$4:J$270)</f>
        <v>#VALUE!</v>
      </c>
      <c r="M140" s="25" t="e">
        <f t="shared" si="21"/>
        <v>#VALUE!</v>
      </c>
      <c r="N140" s="409" t="s">
        <v>122</v>
      </c>
      <c r="O140" s="427" t="str">
        <f t="shared" si="28"/>
        <v>-</v>
      </c>
      <c r="P140" s="412" t="s">
        <v>164</v>
      </c>
      <c r="Q140" s="278">
        <v>5</v>
      </c>
      <c r="R140" s="250">
        <v>6</v>
      </c>
      <c r="S140" s="251" t="e">
        <f t="shared" si="29"/>
        <v>#VALUE!</v>
      </c>
      <c r="T140" s="333"/>
    </row>
    <row r="141" spans="1:27">
      <c r="A141" s="70">
        <f t="shared" si="27"/>
        <v>3</v>
      </c>
      <c r="B141" s="472" t="s">
        <v>17</v>
      </c>
      <c r="C141" s="475">
        <v>3</v>
      </c>
      <c r="D141" s="592" t="s">
        <v>419</v>
      </c>
      <c r="E141" s="524" t="s">
        <v>173</v>
      </c>
      <c r="F141" s="586">
        <v>46240</v>
      </c>
      <c r="G141" s="586">
        <v>46245</v>
      </c>
      <c r="H141" s="586">
        <v>46248</v>
      </c>
      <c r="I141" s="74"/>
      <c r="J141" s="48"/>
      <c r="K141" s="48"/>
      <c r="L141" s="75" t="s">
        <v>121</v>
      </c>
      <c r="M141" s="48"/>
      <c r="N141" s="48"/>
      <c r="O141" s="424"/>
      <c r="P141" s="284"/>
      <c r="Q141" s="282"/>
      <c r="R141" s="238"/>
      <c r="S141" s="239"/>
      <c r="T141" s="174"/>
      <c r="U141" s="73"/>
    </row>
    <row r="142" spans="1:27">
      <c r="A142" s="70">
        <f t="shared" si="27"/>
        <v>3</v>
      </c>
      <c r="B142" s="473"/>
      <c r="C142" s="476"/>
      <c r="D142" s="584"/>
      <c r="E142" s="445"/>
      <c r="F142" s="587"/>
      <c r="G142" s="587"/>
      <c r="H142" s="587"/>
      <c r="I142" s="56">
        <f>C141+0.1</f>
        <v>3.1</v>
      </c>
      <c r="J142" s="57" t="s">
        <v>19</v>
      </c>
      <c r="K142" s="2" t="e">
        <f>SUMIF('[3]BESS 12'!$B$4:$B$270,$J142,'[3]BESS 12'!M$4:M$270)</f>
        <v>#VALUE!</v>
      </c>
      <c r="L142" s="2" t="e">
        <f>SUMIF('[3]BESS 12'!$B$4:$B$270,$J142,'[3]BESS 12'!N$4:N$270)</f>
        <v>#VALUE!</v>
      </c>
      <c r="M142" s="2" t="e">
        <f>K142-L142</f>
        <v>#VALUE!</v>
      </c>
      <c r="N142" s="63" t="s">
        <v>122</v>
      </c>
      <c r="O142" s="424" t="str">
        <f t="shared" si="28"/>
        <v>-</v>
      </c>
      <c r="P142" s="292" t="s">
        <v>20</v>
      </c>
      <c r="Q142" s="276">
        <v>1</v>
      </c>
      <c r="R142" s="241">
        <v>2</v>
      </c>
      <c r="S142" s="242" t="e">
        <f t="shared" ref="S142:S151" si="30">(M142*R142)/Q142</f>
        <v>#VALUE!</v>
      </c>
      <c r="T142" s="77"/>
      <c r="V142" s="272"/>
      <c r="X142" s="73"/>
    </row>
    <row r="143" spans="1:27">
      <c r="A143" s="70">
        <f t="shared" si="27"/>
        <v>3</v>
      </c>
      <c r="B143" s="473"/>
      <c r="C143" s="476"/>
      <c r="D143" s="584"/>
      <c r="E143" s="445"/>
      <c r="F143" s="587"/>
      <c r="G143" s="587"/>
      <c r="H143" s="587"/>
      <c r="I143" s="56">
        <f>I142+0.1</f>
        <v>3.2</v>
      </c>
      <c r="J143" s="57" t="s">
        <v>23</v>
      </c>
      <c r="K143" s="2" t="e">
        <f>SUMIF('[3]BESS 12'!$B$4:$B$270,$J143,'[3]BESS 12'!M$4:M$270)</f>
        <v>#VALUE!</v>
      </c>
      <c r="L143" s="2" t="e">
        <f>SUMIF('[3]BESS 12'!$B$4:$B$270,$J143,'[3]BESS 12'!N$4:N$270)</f>
        <v>#VALUE!</v>
      </c>
      <c r="M143" s="2" t="e">
        <f t="shared" ref="M143:M185" si="31">K143-L143</f>
        <v>#VALUE!</v>
      </c>
      <c r="N143" s="63" t="s">
        <v>122</v>
      </c>
      <c r="O143" s="424" t="str">
        <f t="shared" si="28"/>
        <v>-</v>
      </c>
      <c r="P143" s="283" t="s">
        <v>20</v>
      </c>
      <c r="Q143" s="276">
        <v>1</v>
      </c>
      <c r="R143" s="241">
        <v>16</v>
      </c>
      <c r="S143" s="242" t="e">
        <f t="shared" si="30"/>
        <v>#VALUE!</v>
      </c>
      <c r="T143" s="77"/>
    </row>
    <row r="144" spans="1:27">
      <c r="A144" s="70">
        <f t="shared" si="27"/>
        <v>3</v>
      </c>
      <c r="B144" s="473"/>
      <c r="C144" s="476"/>
      <c r="D144" s="584"/>
      <c r="E144" s="445"/>
      <c r="F144" s="587"/>
      <c r="G144" s="587"/>
      <c r="H144" s="587"/>
      <c r="I144" s="56">
        <f t="shared" ref="I144:I149" si="32">I143+0.1</f>
        <v>3.3000000000000003</v>
      </c>
      <c r="J144" s="57" t="s">
        <v>26</v>
      </c>
      <c r="K144" s="2" t="e">
        <f>SUMIF('[3]BESS 12'!$B$4:$B$270,$J144,'[3]BESS 12'!M$4:M$270)</f>
        <v>#VALUE!</v>
      </c>
      <c r="L144" s="2" t="e">
        <f>SUMIF('[3]BESS 12'!$B$4:$B$270,$J144,'[3]BESS 12'!N$4:N$270)</f>
        <v>#VALUE!</v>
      </c>
      <c r="M144" s="2" t="e">
        <f t="shared" si="31"/>
        <v>#VALUE!</v>
      </c>
      <c r="N144" s="63" t="s">
        <v>122</v>
      </c>
      <c r="O144" s="424" t="str">
        <f t="shared" si="28"/>
        <v>-</v>
      </c>
      <c r="P144" s="283" t="s">
        <v>20</v>
      </c>
      <c r="Q144" s="276">
        <v>1</v>
      </c>
      <c r="R144" s="241">
        <v>39</v>
      </c>
      <c r="S144" s="242" t="e">
        <f t="shared" si="30"/>
        <v>#VALUE!</v>
      </c>
      <c r="T144" s="77"/>
    </row>
    <row r="145" spans="1:24">
      <c r="A145" s="70">
        <f t="shared" si="27"/>
        <v>3</v>
      </c>
      <c r="B145" s="473"/>
      <c r="C145" s="476"/>
      <c r="D145" s="584"/>
      <c r="E145" s="445"/>
      <c r="F145" s="587"/>
      <c r="G145" s="587"/>
      <c r="H145" s="587"/>
      <c r="I145" s="56">
        <f t="shared" si="32"/>
        <v>3.4000000000000004</v>
      </c>
      <c r="J145" s="57" t="s">
        <v>32</v>
      </c>
      <c r="K145" s="2" t="e">
        <f>SUMIF('[3]BESS 12'!$B$4:$B$270,$J145,'[3]BESS 12'!M$4:M$270)</f>
        <v>#VALUE!</v>
      </c>
      <c r="L145" s="2" t="e">
        <f>SUMIF('[3]BESS 12'!$B$4:$B$270,$J145,'[3]BESS 12'!N$4:N$270)</f>
        <v>#VALUE!</v>
      </c>
      <c r="M145" s="2" t="e">
        <f t="shared" si="31"/>
        <v>#VALUE!</v>
      </c>
      <c r="N145" s="63" t="s">
        <v>122</v>
      </c>
      <c r="O145" s="424" t="str">
        <f t="shared" si="28"/>
        <v>-</v>
      </c>
      <c r="P145" s="283" t="s">
        <v>20</v>
      </c>
      <c r="Q145" s="276">
        <v>1</v>
      </c>
      <c r="R145" s="241">
        <v>37</v>
      </c>
      <c r="S145" s="242" t="e">
        <f t="shared" si="30"/>
        <v>#VALUE!</v>
      </c>
      <c r="T145" s="77"/>
    </row>
    <row r="146" spans="1:24">
      <c r="A146" s="70">
        <f t="shared" si="27"/>
        <v>3</v>
      </c>
      <c r="B146" s="473"/>
      <c r="C146" s="476"/>
      <c r="D146" s="584"/>
      <c r="E146" s="445"/>
      <c r="F146" s="587"/>
      <c r="G146" s="587"/>
      <c r="H146" s="587"/>
      <c r="I146" s="56">
        <f t="shared" si="32"/>
        <v>3.5000000000000004</v>
      </c>
      <c r="J146" s="57" t="s">
        <v>35</v>
      </c>
      <c r="K146" s="2" t="e">
        <f>SUMIF('[3]BESS 12'!$B$4:$B$270,$J146,'[3]BESS 12'!M$4:M$270)</f>
        <v>#VALUE!</v>
      </c>
      <c r="L146" s="2" t="e">
        <f>SUMIF('[3]BESS 12'!$B$4:$B$270,$J146,'[3]BESS 12'!N$4:N$270)</f>
        <v>#VALUE!</v>
      </c>
      <c r="M146" s="2" t="e">
        <f t="shared" si="31"/>
        <v>#VALUE!</v>
      </c>
      <c r="N146" s="63" t="s">
        <v>122</v>
      </c>
      <c r="O146" s="424" t="str">
        <f t="shared" si="28"/>
        <v>-</v>
      </c>
      <c r="P146" s="283" t="s">
        <v>20</v>
      </c>
      <c r="Q146" s="276">
        <v>1</v>
      </c>
      <c r="R146" s="241">
        <v>34</v>
      </c>
      <c r="S146" s="242" t="e">
        <f t="shared" si="30"/>
        <v>#VALUE!</v>
      </c>
      <c r="T146" s="77"/>
    </row>
    <row r="147" spans="1:24">
      <c r="A147" s="70">
        <f t="shared" si="27"/>
        <v>3</v>
      </c>
      <c r="B147" s="473"/>
      <c r="C147" s="476"/>
      <c r="D147" s="584"/>
      <c r="E147" s="445"/>
      <c r="F147" s="587"/>
      <c r="G147" s="587"/>
      <c r="H147" s="587"/>
      <c r="I147" s="56">
        <f t="shared" si="32"/>
        <v>3.6000000000000005</v>
      </c>
      <c r="J147" s="57" t="s">
        <v>38</v>
      </c>
      <c r="K147" s="2" t="e">
        <f>SUMIF('[3]BESS 12'!$B$4:$B$270,$J147,'[3]BESS 12'!M$4:M$270)</f>
        <v>#VALUE!</v>
      </c>
      <c r="L147" s="2" t="e">
        <f>SUMIF('[3]BESS 12'!$B$4:$B$270,$J147,'[3]BESS 12'!N$4:N$270)</f>
        <v>#VALUE!</v>
      </c>
      <c r="M147" s="2" t="e">
        <f t="shared" si="31"/>
        <v>#VALUE!</v>
      </c>
      <c r="N147" s="63" t="s">
        <v>122</v>
      </c>
      <c r="O147" s="424" t="str">
        <f t="shared" si="28"/>
        <v>-</v>
      </c>
      <c r="P147" s="283" t="s">
        <v>20</v>
      </c>
      <c r="Q147" s="276">
        <v>1</v>
      </c>
      <c r="R147" s="241">
        <v>54</v>
      </c>
      <c r="S147" s="242" t="e">
        <f t="shared" si="30"/>
        <v>#VALUE!</v>
      </c>
      <c r="T147" s="77"/>
    </row>
    <row r="148" spans="1:24">
      <c r="A148" s="70">
        <f t="shared" si="27"/>
        <v>3</v>
      </c>
      <c r="B148" s="473"/>
      <c r="C148" s="476"/>
      <c r="D148" s="584"/>
      <c r="E148" s="445"/>
      <c r="F148" s="587"/>
      <c r="G148" s="587"/>
      <c r="H148" s="587"/>
      <c r="I148" s="56">
        <f>I147+0.1</f>
        <v>3.7000000000000006</v>
      </c>
      <c r="J148" s="57" t="s">
        <v>44</v>
      </c>
      <c r="K148" s="2" t="e">
        <f>SUMIF('[3]BESS 12'!$B$4:$B$270,$J148,'[3]BESS 12'!M$4:M$270)</f>
        <v>#VALUE!</v>
      </c>
      <c r="L148" s="2" t="e">
        <f>SUMIF('[3]BESS 12'!$B$4:$B$270,$J148,'[3]BESS 12'!N$4:N$270)</f>
        <v>#VALUE!</v>
      </c>
      <c r="M148" s="2" t="e">
        <f t="shared" si="31"/>
        <v>#VALUE!</v>
      </c>
      <c r="N148" s="63" t="s">
        <v>122</v>
      </c>
      <c r="O148" s="424" t="str">
        <f t="shared" si="28"/>
        <v>-</v>
      </c>
      <c r="P148" s="292" t="s">
        <v>45</v>
      </c>
      <c r="Q148" s="276">
        <v>3</v>
      </c>
      <c r="R148" s="241">
        <v>5</v>
      </c>
      <c r="S148" s="242" t="e">
        <f t="shared" si="30"/>
        <v>#VALUE!</v>
      </c>
      <c r="T148" s="77"/>
      <c r="V148" s="272"/>
      <c r="X148" s="73"/>
    </row>
    <row r="149" spans="1:24" ht="27">
      <c r="A149" s="70">
        <f t="shared" si="27"/>
        <v>3</v>
      </c>
      <c r="B149" s="473"/>
      <c r="C149" s="476"/>
      <c r="D149" s="584"/>
      <c r="E149" s="445"/>
      <c r="F149" s="587"/>
      <c r="G149" s="587"/>
      <c r="H149" s="587"/>
      <c r="I149" s="4">
        <f t="shared" si="32"/>
        <v>3.8000000000000007</v>
      </c>
      <c r="J149" s="8" t="s">
        <v>40</v>
      </c>
      <c r="K149" s="1" t="e">
        <f>SUMIF('[3]BESS 12'!$B$4:$B$270,$J149,'[3]BESS 12'!M$4:M$270)</f>
        <v>#VALUE!</v>
      </c>
      <c r="L149" s="2" t="e">
        <f>SUMIF('[3]BESS 12'!$B$4:$B$270,$J149,'[3]BESS 12'!N$4:N$270)</f>
        <v>#VALUE!</v>
      </c>
      <c r="M149" s="7" t="e">
        <f t="shared" si="31"/>
        <v>#VALUE!</v>
      </c>
      <c r="N149" s="432" t="s">
        <v>504</v>
      </c>
      <c r="O149" s="424">
        <f t="shared" si="28"/>
        <v>46231</v>
      </c>
      <c r="P149" s="285" t="s">
        <v>20</v>
      </c>
      <c r="Q149" s="276">
        <v>1</v>
      </c>
      <c r="R149" s="241">
        <v>5</v>
      </c>
      <c r="S149" s="242" t="e">
        <f t="shared" si="30"/>
        <v>#VALUE!</v>
      </c>
      <c r="T149" s="261" t="s">
        <v>169</v>
      </c>
      <c r="V149" s="272"/>
    </row>
    <row r="150" spans="1:24">
      <c r="A150" s="70">
        <f t="shared" si="27"/>
        <v>3</v>
      </c>
      <c r="B150" s="473"/>
      <c r="C150" s="476"/>
      <c r="D150" s="584"/>
      <c r="E150" s="445"/>
      <c r="F150" s="587"/>
      <c r="G150" s="587"/>
      <c r="H150" s="587"/>
      <c r="I150" s="336">
        <f>I149+0.1</f>
        <v>3.9000000000000008</v>
      </c>
      <c r="J150" s="57" t="s">
        <v>30</v>
      </c>
      <c r="K150" s="2" t="e">
        <f>SUMIF('[3]BESS 12'!$B$4:$B$270,$J150,'[3]BESS 12'!M$4:M$270)</f>
        <v>#VALUE!</v>
      </c>
      <c r="L150" s="2" t="e">
        <f>SUMIF('[3]BESS 12'!$B$4:$B$270,$J150,'[3]BESS 12'!N$4:N$270)</f>
        <v>#VALUE!</v>
      </c>
      <c r="M150" s="2" t="e">
        <f>K150-L150</f>
        <v>#VALUE!</v>
      </c>
      <c r="N150" s="297" t="s">
        <v>122</v>
      </c>
      <c r="O150" s="424" t="str">
        <f t="shared" si="28"/>
        <v>-</v>
      </c>
      <c r="P150" s="292" t="s">
        <v>162</v>
      </c>
      <c r="Q150" s="276">
        <v>1</v>
      </c>
      <c r="R150" s="241">
        <v>27</v>
      </c>
      <c r="S150" s="242" t="e">
        <f t="shared" si="30"/>
        <v>#VALUE!</v>
      </c>
      <c r="T150" s="77"/>
      <c r="V150" s="272"/>
    </row>
    <row r="151" spans="1:24" ht="25.5">
      <c r="A151" s="70">
        <f t="shared" si="27"/>
        <v>3</v>
      </c>
      <c r="B151" s="473"/>
      <c r="C151" s="476"/>
      <c r="D151" s="584"/>
      <c r="E151" s="445"/>
      <c r="F151" s="587"/>
      <c r="G151" s="587"/>
      <c r="H151" s="587"/>
      <c r="I151" s="6">
        <f>C141+0.1</f>
        <v>3.1</v>
      </c>
      <c r="J151" s="8" t="s">
        <v>34</v>
      </c>
      <c r="K151" s="1" t="e">
        <f>SUMIF('[3]BESS 12'!$B$4:$B$270,$J151,'[3]BESS 12'!M$4:M$270)</f>
        <v>#VALUE!</v>
      </c>
      <c r="L151" s="2" t="e">
        <f>SUMIF('[3]BESS 12'!$B$4:$B$270,$J151,'[3]BESS 12'!N$4:N$270)</f>
        <v>#VALUE!</v>
      </c>
      <c r="M151" s="7" t="e">
        <f t="shared" si="31"/>
        <v>#VALUE!</v>
      </c>
      <c r="N151" s="432" t="s">
        <v>505</v>
      </c>
      <c r="O151" s="424">
        <f t="shared" si="28"/>
        <v>46231</v>
      </c>
      <c r="P151" s="285" t="s">
        <v>31</v>
      </c>
      <c r="Q151" s="276">
        <v>1</v>
      </c>
      <c r="R151" s="241">
        <v>25</v>
      </c>
      <c r="S151" s="242" t="e">
        <f t="shared" si="30"/>
        <v>#VALUE!</v>
      </c>
      <c r="T151" s="77"/>
    </row>
    <row r="152" spans="1:24" ht="25.5">
      <c r="A152" s="70">
        <f t="shared" si="27"/>
        <v>3</v>
      </c>
      <c r="B152" s="473"/>
      <c r="C152" s="476"/>
      <c r="D152" s="584"/>
      <c r="E152" s="445"/>
      <c r="F152" s="587"/>
      <c r="G152" s="587"/>
      <c r="H152" s="587"/>
      <c r="I152" s="6">
        <f>I151+0.01</f>
        <v>3.11</v>
      </c>
      <c r="J152" s="8" t="s">
        <v>37</v>
      </c>
      <c r="K152" s="1" t="e">
        <f>SUMIF('[3]BESS 12'!$B$4:$B$270,$J152,'[3]BESS 12'!M$4:M$270)</f>
        <v>#VALUE!</v>
      </c>
      <c r="L152" s="2" t="e">
        <f>SUMIF('[3]BESS 12'!$B$4:$B$270,$J152,'[3]BESS 12'!N$4:N$270)</f>
        <v>#VALUE!</v>
      </c>
      <c r="M152" s="7" t="e">
        <f t="shared" si="31"/>
        <v>#VALUE!</v>
      </c>
      <c r="N152" s="435" t="s">
        <v>506</v>
      </c>
      <c r="O152" s="424">
        <f t="shared" si="28"/>
        <v>46232</v>
      </c>
      <c r="P152" s="285" t="s">
        <v>163</v>
      </c>
      <c r="Q152" s="276" t="s">
        <v>89</v>
      </c>
      <c r="R152" s="241" t="s">
        <v>89</v>
      </c>
      <c r="S152" s="242" t="s">
        <v>89</v>
      </c>
      <c r="T152" s="77"/>
    </row>
    <row r="153" spans="1:24">
      <c r="A153" s="70">
        <f t="shared" si="27"/>
        <v>3</v>
      </c>
      <c r="B153" s="473"/>
      <c r="C153" s="476"/>
      <c r="D153" s="584"/>
      <c r="E153" s="445"/>
      <c r="F153" s="587"/>
      <c r="G153" s="587"/>
      <c r="H153" s="587"/>
      <c r="I153" s="44"/>
      <c r="J153" s="46"/>
      <c r="K153" s="46"/>
      <c r="L153" s="47" t="s">
        <v>124</v>
      </c>
      <c r="M153" s="46"/>
      <c r="N153" s="46"/>
      <c r="O153" s="424"/>
      <c r="P153" s="285"/>
      <c r="Q153" s="276"/>
      <c r="R153" s="241"/>
      <c r="S153" s="242"/>
      <c r="T153" s="77"/>
    </row>
    <row r="154" spans="1:24">
      <c r="A154" s="70">
        <f t="shared" si="27"/>
        <v>3</v>
      </c>
      <c r="B154" s="473"/>
      <c r="C154" s="476"/>
      <c r="D154" s="584"/>
      <c r="E154" s="445"/>
      <c r="F154" s="587"/>
      <c r="G154" s="587"/>
      <c r="H154" s="587"/>
      <c r="I154" s="59">
        <f>I152+0.01</f>
        <v>3.1199999999999997</v>
      </c>
      <c r="J154" s="57" t="s">
        <v>24</v>
      </c>
      <c r="K154" s="2" t="e">
        <f>SUMIF('[3]BESS 12'!$B$4:$B$270,$J154,'[3]BESS 12'!M$4:M$270)</f>
        <v>#VALUE!</v>
      </c>
      <c r="L154" s="2" t="e">
        <f>SUMIF('[3]BESS 12'!$B$4:$B$270,$J154,'[3]BESS 12'!N$4:N$270)</f>
        <v>#VALUE!</v>
      </c>
      <c r="M154" s="2" t="e">
        <f t="shared" si="31"/>
        <v>#VALUE!</v>
      </c>
      <c r="N154" s="63" t="s">
        <v>122</v>
      </c>
      <c r="O154" s="424" t="str">
        <f t="shared" si="28"/>
        <v>-</v>
      </c>
      <c r="P154" s="292" t="s">
        <v>164</v>
      </c>
      <c r="Q154" s="276">
        <v>2</v>
      </c>
      <c r="R154" s="241">
        <v>4</v>
      </c>
      <c r="S154" s="242" t="e">
        <f t="shared" ref="S154:S156" si="33">(M154*R154)/Q154</f>
        <v>#VALUE!</v>
      </c>
      <c r="T154" s="261"/>
    </row>
    <row r="155" spans="1:24" ht="25.5">
      <c r="A155" s="70">
        <f t="shared" si="27"/>
        <v>3</v>
      </c>
      <c r="B155" s="473"/>
      <c r="C155" s="476"/>
      <c r="D155" s="584"/>
      <c r="E155" s="445"/>
      <c r="F155" s="587"/>
      <c r="G155" s="587"/>
      <c r="H155" s="587"/>
      <c r="I155" s="6">
        <f>I154+0.01</f>
        <v>3.1299999999999994</v>
      </c>
      <c r="J155" s="8" t="s">
        <v>27</v>
      </c>
      <c r="K155" s="1" t="e">
        <f>SUMIF('[3]BESS 12'!$B$4:$B$270,$J155,'[3]BESS 12'!M$4:M$270)</f>
        <v>#VALUE!</v>
      </c>
      <c r="L155" s="36" t="e">
        <f>SUMIF('[3]BESS 12'!$B$4:$B$270,$J155,'[3]BESS 12'!N$4:N$270)</f>
        <v>#VALUE!</v>
      </c>
      <c r="M155" s="139" t="e">
        <f t="shared" si="31"/>
        <v>#VALUE!</v>
      </c>
      <c r="N155" s="432" t="s">
        <v>561</v>
      </c>
      <c r="O155" s="424">
        <f t="shared" si="28"/>
        <v>46232</v>
      </c>
      <c r="P155" s="285" t="s">
        <v>164</v>
      </c>
      <c r="Q155" s="276">
        <v>10</v>
      </c>
      <c r="R155" s="241">
        <v>4</v>
      </c>
      <c r="S155" s="242" t="e">
        <f t="shared" si="33"/>
        <v>#VALUE!</v>
      </c>
      <c r="T155" s="262"/>
    </row>
    <row r="156" spans="1:24">
      <c r="A156" s="70">
        <f t="shared" si="27"/>
        <v>3</v>
      </c>
      <c r="B156" s="473"/>
      <c r="C156" s="476"/>
      <c r="D156" s="584"/>
      <c r="E156" s="445"/>
      <c r="F156" s="587"/>
      <c r="G156" s="587"/>
      <c r="H156" s="587"/>
      <c r="I156" s="59">
        <f>I155+0.01</f>
        <v>3.1399999999999992</v>
      </c>
      <c r="J156" s="57" t="s">
        <v>28</v>
      </c>
      <c r="K156" s="2" t="e">
        <f>SUMIF('[3]BESS 12'!$B$4:$B$270,$J156,'[3]BESS 12'!M$4:M$270)</f>
        <v>#VALUE!</v>
      </c>
      <c r="L156" s="2" t="e">
        <f>SUMIF('[3]BESS 12'!$B$4:$B$270,$J156,'[3]BESS 12'!N$4:N$270)</f>
        <v>#VALUE!</v>
      </c>
      <c r="M156" s="2" t="e">
        <f t="shared" si="31"/>
        <v>#VALUE!</v>
      </c>
      <c r="N156" s="63" t="s">
        <v>122</v>
      </c>
      <c r="O156" s="424" t="str">
        <f t="shared" si="28"/>
        <v>-</v>
      </c>
      <c r="P156" s="292" t="s">
        <v>164</v>
      </c>
      <c r="Q156" s="276">
        <v>5</v>
      </c>
      <c r="R156" s="241">
        <v>4</v>
      </c>
      <c r="S156" s="242" t="e">
        <f t="shared" si="33"/>
        <v>#VALUE!</v>
      </c>
      <c r="T156" s="262"/>
    </row>
    <row r="157" spans="1:24" ht="25.5">
      <c r="A157" s="70">
        <f t="shared" si="27"/>
        <v>3</v>
      </c>
      <c r="B157" s="473"/>
      <c r="C157" s="476"/>
      <c r="D157" s="584"/>
      <c r="E157" s="445"/>
      <c r="F157" s="587"/>
      <c r="G157" s="587"/>
      <c r="H157" s="587"/>
      <c r="I157" s="6">
        <f t="shared" ref="I157:I185" si="34">I156+0.01</f>
        <v>3.149999999999999</v>
      </c>
      <c r="J157" s="8" t="s">
        <v>29</v>
      </c>
      <c r="K157" s="1" t="e">
        <f>SUMIF('[3]BESS 12'!$B$4:$B$270,$J157,'[3]BESS 12'!M$4:M$270)</f>
        <v>#VALUE!</v>
      </c>
      <c r="L157" s="36" t="e">
        <f>SUMIF('[3]BESS 12'!$B$4:$B$270,$J157,'[3]BESS 12'!N$4:N$270)</f>
        <v>#VALUE!</v>
      </c>
      <c r="M157" s="139" t="e">
        <f t="shared" si="31"/>
        <v>#VALUE!</v>
      </c>
      <c r="N157" s="432" t="s">
        <v>562</v>
      </c>
      <c r="O157" s="424">
        <f t="shared" si="28"/>
        <v>46232</v>
      </c>
      <c r="P157" s="285" t="s">
        <v>164</v>
      </c>
      <c r="Q157" s="276">
        <v>20</v>
      </c>
      <c r="R157" s="241">
        <v>4</v>
      </c>
      <c r="S157" s="242">
        <v>4</v>
      </c>
      <c r="T157" s="262"/>
    </row>
    <row r="158" spans="1:24">
      <c r="A158" s="70">
        <f t="shared" si="27"/>
        <v>3</v>
      </c>
      <c r="B158" s="473"/>
      <c r="C158" s="476"/>
      <c r="D158" s="584"/>
      <c r="E158" s="445"/>
      <c r="F158" s="587"/>
      <c r="G158" s="587"/>
      <c r="H158" s="587"/>
      <c r="I158" s="59">
        <f t="shared" si="34"/>
        <v>3.1599999999999988</v>
      </c>
      <c r="J158" s="57" t="s">
        <v>33</v>
      </c>
      <c r="K158" s="2" t="e">
        <f>SUMIF('[3]BESS 12'!$B$4:$B$270,$J158,'[3]BESS 12'!M$4:M$270)</f>
        <v>#VALUE!</v>
      </c>
      <c r="L158" s="2" t="e">
        <f>SUMIF('[3]BESS 12'!$B$4:$B$270,$J158,'[3]BESS 12'!N$4:N$270)</f>
        <v>#VALUE!</v>
      </c>
      <c r="M158" s="2" t="e">
        <f t="shared" si="31"/>
        <v>#VALUE!</v>
      </c>
      <c r="N158" s="63" t="s">
        <v>122</v>
      </c>
      <c r="O158" s="424" t="str">
        <f t="shared" si="28"/>
        <v>-</v>
      </c>
      <c r="P158" s="292" t="s">
        <v>164</v>
      </c>
      <c r="Q158" s="276">
        <v>10</v>
      </c>
      <c r="R158" s="241"/>
      <c r="S158" s="242"/>
      <c r="T158" s="262" t="s">
        <v>170</v>
      </c>
    </row>
    <row r="159" spans="1:24" ht="25.5">
      <c r="A159" s="70">
        <f t="shared" si="27"/>
        <v>3</v>
      </c>
      <c r="B159" s="473"/>
      <c r="C159" s="476"/>
      <c r="D159" s="584"/>
      <c r="E159" s="445"/>
      <c r="F159" s="587"/>
      <c r="G159" s="587"/>
      <c r="H159" s="587"/>
      <c r="I159" s="6">
        <f t="shared" si="34"/>
        <v>3.1699999999999986</v>
      </c>
      <c r="J159" s="8" t="s">
        <v>36</v>
      </c>
      <c r="K159" s="1" t="e">
        <f>SUMIF('[3]BESS 12'!$B$4:$B$270,$J159,'[3]BESS 12'!M$4:M$270)</f>
        <v>#VALUE!</v>
      </c>
      <c r="L159" s="36" t="e">
        <f>SUMIF('[3]BESS 12'!$B$4:$B$270,$J159,'[3]BESS 12'!N$4:N$270)</f>
        <v>#VALUE!</v>
      </c>
      <c r="M159" s="139" t="e">
        <f t="shared" si="31"/>
        <v>#VALUE!</v>
      </c>
      <c r="N159" s="432" t="s">
        <v>563</v>
      </c>
      <c r="O159" s="424">
        <f t="shared" si="28"/>
        <v>46229</v>
      </c>
      <c r="P159" s="285" t="s">
        <v>164</v>
      </c>
      <c r="Q159" s="276">
        <v>10</v>
      </c>
      <c r="R159" s="241"/>
      <c r="S159" s="242"/>
      <c r="T159" s="262"/>
    </row>
    <row r="160" spans="1:24">
      <c r="A160" s="70">
        <f t="shared" si="27"/>
        <v>3</v>
      </c>
      <c r="B160" s="473"/>
      <c r="C160" s="476"/>
      <c r="D160" s="584"/>
      <c r="E160" s="445"/>
      <c r="F160" s="587"/>
      <c r="G160" s="587"/>
      <c r="H160" s="587"/>
      <c r="I160" s="59">
        <f t="shared" si="34"/>
        <v>3.1799999999999984</v>
      </c>
      <c r="J160" s="57" t="s">
        <v>39</v>
      </c>
      <c r="K160" s="2" t="e">
        <f>SUMIF('[3]BESS 12'!$B$4:$B$270,$J160,'[3]BESS 12'!M$4:M$270)</f>
        <v>#VALUE!</v>
      </c>
      <c r="L160" s="2" t="e">
        <f>SUMIF('[3]BESS 12'!$B$4:$B$270,$J160,'[3]BESS 12'!N$4:N$270)</f>
        <v>#VALUE!</v>
      </c>
      <c r="M160" s="2" t="e">
        <f t="shared" si="31"/>
        <v>#VALUE!</v>
      </c>
      <c r="N160" s="63" t="s">
        <v>122</v>
      </c>
      <c r="O160" s="424" t="str">
        <f t="shared" si="28"/>
        <v>-</v>
      </c>
      <c r="P160" s="292" t="s">
        <v>164</v>
      </c>
      <c r="Q160" s="276">
        <v>10</v>
      </c>
      <c r="R160" s="241"/>
      <c r="S160" s="242"/>
      <c r="T160" s="262"/>
    </row>
    <row r="161" spans="1:23" ht="25.5">
      <c r="A161" s="70">
        <f t="shared" si="27"/>
        <v>3</v>
      </c>
      <c r="B161" s="473"/>
      <c r="C161" s="476"/>
      <c r="D161" s="584"/>
      <c r="E161" s="445"/>
      <c r="F161" s="587"/>
      <c r="G161" s="587"/>
      <c r="H161" s="587"/>
      <c r="I161" s="6">
        <f t="shared" si="34"/>
        <v>3.1899999999999982</v>
      </c>
      <c r="J161" s="8" t="s">
        <v>41</v>
      </c>
      <c r="K161" s="1" t="e">
        <f>SUMIF('[3]BESS 12'!$B$4:$B$270,$J161,'[3]BESS 12'!M$4:M$270)</f>
        <v>#VALUE!</v>
      </c>
      <c r="L161" s="36" t="e">
        <f>SUMIF('[3]BESS 12'!$B$4:$B$270,$J161,'[3]BESS 12'!N$4:N$270)</f>
        <v>#VALUE!</v>
      </c>
      <c r="M161" s="139" t="e">
        <f t="shared" si="31"/>
        <v>#VALUE!</v>
      </c>
      <c r="N161" s="432" t="s">
        <v>681</v>
      </c>
      <c r="O161" s="424">
        <f t="shared" si="28"/>
        <v>46230</v>
      </c>
      <c r="P161" s="285" t="s">
        <v>171</v>
      </c>
      <c r="Q161" s="276">
        <v>20</v>
      </c>
      <c r="R161" s="241"/>
      <c r="S161" s="242"/>
      <c r="T161" s="17"/>
      <c r="V161" s="272"/>
    </row>
    <row r="162" spans="1:23" ht="25.5">
      <c r="A162" s="70">
        <f t="shared" si="27"/>
        <v>3</v>
      </c>
      <c r="B162" s="473"/>
      <c r="C162" s="476"/>
      <c r="D162" s="584"/>
      <c r="E162" s="445"/>
      <c r="F162" s="587"/>
      <c r="G162" s="587"/>
      <c r="H162" s="587"/>
      <c r="I162" s="6">
        <f t="shared" si="34"/>
        <v>3.199999999999998</v>
      </c>
      <c r="J162" s="8" t="s">
        <v>43</v>
      </c>
      <c r="K162" s="1" t="e">
        <f>SUMIF('[3]BESS 12'!$B$4:$B$270,$J162,'[3]BESS 12'!M$4:M$270)</f>
        <v>#VALUE!</v>
      </c>
      <c r="L162" s="2" t="e">
        <f>SUMIF('[3]BESS 12'!$B$4:$B$270,$J162,'[3]BESS 12'!N$4:N$270)</f>
        <v>#VALUE!</v>
      </c>
      <c r="M162" s="7" t="e">
        <f t="shared" si="31"/>
        <v>#VALUE!</v>
      </c>
      <c r="N162" s="432" t="s">
        <v>682</v>
      </c>
      <c r="O162" s="424">
        <f t="shared" si="28"/>
        <v>46234</v>
      </c>
      <c r="P162" s="285" t="s">
        <v>171</v>
      </c>
      <c r="Q162" s="276">
        <v>0.66666666666666663</v>
      </c>
      <c r="R162" s="241">
        <v>0</v>
      </c>
      <c r="S162" s="242" t="e">
        <f>(M162*R162)/Q162</f>
        <v>#VALUE!</v>
      </c>
      <c r="T162" s="17"/>
      <c r="V162" s="272"/>
    </row>
    <row r="163" spans="1:23" ht="25.5">
      <c r="A163" s="70">
        <f t="shared" si="27"/>
        <v>3</v>
      </c>
      <c r="B163" s="473"/>
      <c r="C163" s="476"/>
      <c r="D163" s="584"/>
      <c r="E163" s="445"/>
      <c r="F163" s="587"/>
      <c r="G163" s="587"/>
      <c r="H163" s="587"/>
      <c r="I163" s="6">
        <f t="shared" si="34"/>
        <v>3.2099999999999977</v>
      </c>
      <c r="J163" s="8" t="s">
        <v>21</v>
      </c>
      <c r="K163" s="1" t="e">
        <f>SUMIF('[3]BESS 12'!$B$4:$B$270,$J163,'[3]BESS 12'!M$4:M$270)</f>
        <v>#VALUE!</v>
      </c>
      <c r="L163" s="36" t="e">
        <f>SUMIF('[3]BESS 12'!$B$4:$B$270,$J163,'[3]BESS 12'!N$4:N$270)</f>
        <v>#VALUE!</v>
      </c>
      <c r="M163" s="139" t="e">
        <f t="shared" si="31"/>
        <v>#VALUE!</v>
      </c>
      <c r="N163" s="432" t="s">
        <v>683</v>
      </c>
      <c r="O163" s="424">
        <f t="shared" si="28"/>
        <v>46231</v>
      </c>
      <c r="P163" s="287" t="s">
        <v>164</v>
      </c>
      <c r="Q163" s="276">
        <v>10</v>
      </c>
      <c r="R163" s="241">
        <v>4</v>
      </c>
      <c r="S163" s="242" t="e">
        <f t="shared" ref="S163:S174" si="35">(M163*R163)/Q163</f>
        <v>#VALUE!</v>
      </c>
      <c r="T163" s="343" t="s">
        <v>188</v>
      </c>
    </row>
    <row r="164" spans="1:23">
      <c r="A164" s="70">
        <f t="shared" si="27"/>
        <v>3</v>
      </c>
      <c r="B164" s="473"/>
      <c r="C164" s="476"/>
      <c r="D164" s="584"/>
      <c r="E164" s="445"/>
      <c r="F164" s="587"/>
      <c r="G164" s="587"/>
      <c r="H164" s="587"/>
      <c r="I164" s="59">
        <f t="shared" si="34"/>
        <v>3.2199999999999975</v>
      </c>
      <c r="J164" s="57" t="s">
        <v>47</v>
      </c>
      <c r="K164" s="2" t="e">
        <f>SUMIF('[3]BESS 12'!$B$4:$B$270,$J164,'[3]BESS 12'!M$4:M$270)</f>
        <v>#VALUE!</v>
      </c>
      <c r="L164" s="2" t="e">
        <f>SUMIF('[3]BESS 12'!$B$4:$B$270,$J164,'[3]BESS 12'!N$4:N$270)</f>
        <v>#VALUE!</v>
      </c>
      <c r="M164" s="2" t="e">
        <f t="shared" ref="M164:M184" si="36">K164-L164</f>
        <v>#VALUE!</v>
      </c>
      <c r="N164" s="362" t="s">
        <v>122</v>
      </c>
      <c r="O164" s="424" t="str">
        <f t="shared" si="28"/>
        <v>-</v>
      </c>
      <c r="P164" s="292" t="s">
        <v>164</v>
      </c>
      <c r="Q164" s="276">
        <v>1500</v>
      </c>
      <c r="R164" s="241">
        <v>48</v>
      </c>
      <c r="S164" s="242" t="e">
        <f t="shared" si="35"/>
        <v>#VALUE!</v>
      </c>
      <c r="T164" s="17"/>
    </row>
    <row r="165" spans="1:23">
      <c r="A165" s="70">
        <f t="shared" si="27"/>
        <v>3</v>
      </c>
      <c r="B165" s="473"/>
      <c r="C165" s="476"/>
      <c r="D165" s="584"/>
      <c r="E165" s="445"/>
      <c r="F165" s="587"/>
      <c r="G165" s="587"/>
      <c r="H165" s="587"/>
      <c r="I165" s="6">
        <f t="shared" si="34"/>
        <v>3.2299999999999973</v>
      </c>
      <c r="J165" s="8" t="s">
        <v>48</v>
      </c>
      <c r="K165" s="1" t="e">
        <f>SUMIF('[3]BESS 12'!$B$4:$B$270,$J165,'[3]BESS 12'!M$4:M$270)</f>
        <v>#VALUE!</v>
      </c>
      <c r="L165" s="36" t="e">
        <f>SUMIF('[3]BESS 12'!$B$4:$B$270,$J165,'[3]BESS 12'!N$4:N$270)</f>
        <v>#VALUE!</v>
      </c>
      <c r="M165" s="139" t="e">
        <f t="shared" si="36"/>
        <v>#VALUE!</v>
      </c>
      <c r="N165" s="436" t="s">
        <v>331</v>
      </c>
      <c r="O165" s="424">
        <f t="shared" si="28"/>
        <v>46232</v>
      </c>
      <c r="P165" s="285" t="s">
        <v>164</v>
      </c>
      <c r="Q165" s="276">
        <v>8</v>
      </c>
      <c r="R165" s="241">
        <v>6</v>
      </c>
      <c r="S165" s="242" t="e">
        <f t="shared" si="35"/>
        <v>#VALUE!</v>
      </c>
      <c r="T165" s="19"/>
    </row>
    <row r="166" spans="1:23">
      <c r="A166" s="70">
        <f t="shared" si="27"/>
        <v>3</v>
      </c>
      <c r="B166" s="473"/>
      <c r="C166" s="476"/>
      <c r="D166" s="584"/>
      <c r="E166" s="445"/>
      <c r="F166" s="587"/>
      <c r="G166" s="587"/>
      <c r="H166" s="587"/>
      <c r="I166" s="59">
        <f t="shared" si="34"/>
        <v>3.2399999999999971</v>
      </c>
      <c r="J166" s="57" t="s">
        <v>126</v>
      </c>
      <c r="K166" s="2" t="e">
        <f>SUMIF('[3]BESS 12'!$B$4:$B$270,$J166,'[3]BESS 12'!M$4:M$270)</f>
        <v>#VALUE!</v>
      </c>
      <c r="L166" s="2" t="e">
        <f>SUMIF('[3]BESS 12'!$B$4:$B$270,$J166,'[3]BESS 12'!N$4:N$270)</f>
        <v>#VALUE!</v>
      </c>
      <c r="M166" s="2" t="e">
        <f t="shared" si="36"/>
        <v>#VALUE!</v>
      </c>
      <c r="N166" s="63" t="s">
        <v>122</v>
      </c>
      <c r="O166" s="424" t="str">
        <f t="shared" si="28"/>
        <v>-</v>
      </c>
      <c r="P166" s="292" t="s">
        <v>164</v>
      </c>
      <c r="Q166" s="276">
        <v>600</v>
      </c>
      <c r="R166" s="241">
        <v>10</v>
      </c>
      <c r="S166" s="242" t="e">
        <f t="shared" si="35"/>
        <v>#VALUE!</v>
      </c>
      <c r="T166" s="19"/>
    </row>
    <row r="167" spans="1:23">
      <c r="A167" s="70">
        <f t="shared" si="27"/>
        <v>3</v>
      </c>
      <c r="B167" s="473"/>
      <c r="C167" s="476"/>
      <c r="D167" s="584"/>
      <c r="E167" s="445"/>
      <c r="F167" s="587"/>
      <c r="G167" s="587"/>
      <c r="H167" s="587"/>
      <c r="I167" s="59">
        <f t="shared" si="34"/>
        <v>3.2499999999999969</v>
      </c>
      <c r="J167" s="57" t="s">
        <v>127</v>
      </c>
      <c r="K167" s="2" t="e">
        <f>SUMIF('[3]BESS 12'!$B$4:$B$270,$J167,'[3]BESS 12'!M$4:M$270)</f>
        <v>#VALUE!</v>
      </c>
      <c r="L167" s="2" t="e">
        <f>SUMIF('[3]BESS 12'!$B$4:$B$270,$J167,'[3]BESS 12'!N$4:N$270)</f>
        <v>#VALUE!</v>
      </c>
      <c r="M167" s="2" t="e">
        <f t="shared" si="36"/>
        <v>#VALUE!</v>
      </c>
      <c r="N167" s="63" t="s">
        <v>122</v>
      </c>
      <c r="O167" s="424" t="str">
        <f t="shared" si="28"/>
        <v>-</v>
      </c>
      <c r="P167" s="292" t="s">
        <v>164</v>
      </c>
      <c r="Q167" s="276">
        <v>600</v>
      </c>
      <c r="R167" s="241">
        <v>10</v>
      </c>
      <c r="S167" s="242" t="e">
        <f t="shared" si="35"/>
        <v>#VALUE!</v>
      </c>
      <c r="T167" s="19"/>
    </row>
    <row r="168" spans="1:23">
      <c r="A168" s="70">
        <f t="shared" si="27"/>
        <v>3</v>
      </c>
      <c r="B168" s="473"/>
      <c r="C168" s="476"/>
      <c r="D168" s="584"/>
      <c r="E168" s="445"/>
      <c r="F168" s="587"/>
      <c r="G168" s="587"/>
      <c r="H168" s="587"/>
      <c r="I168" s="6">
        <f t="shared" si="34"/>
        <v>3.2599999999999967</v>
      </c>
      <c r="J168" s="8" t="s">
        <v>128</v>
      </c>
      <c r="K168" s="1" t="e">
        <f>SUMIF('[3]BESS 12'!$B$4:$B$270,$J168,'[3]BESS 12'!M$4:M$270)</f>
        <v>#VALUE!</v>
      </c>
      <c r="L168" s="36" t="e">
        <f>SUMIF('[3]BESS 12'!$B$4:$B$270,$J168,'[3]BESS 12'!N$4:N$270)</f>
        <v>#VALUE!</v>
      </c>
      <c r="M168" s="139" t="e">
        <f t="shared" si="36"/>
        <v>#VALUE!</v>
      </c>
      <c r="N168" s="436" t="s">
        <v>564</v>
      </c>
      <c r="O168" s="424">
        <f t="shared" si="28"/>
        <v>46235</v>
      </c>
      <c r="P168" s="285" t="s">
        <v>164</v>
      </c>
      <c r="Q168" s="276">
        <v>30</v>
      </c>
      <c r="R168" s="241">
        <v>18</v>
      </c>
      <c r="S168" s="242" t="e">
        <f t="shared" si="35"/>
        <v>#VALUE!</v>
      </c>
      <c r="T168" s="17"/>
    </row>
    <row r="169" spans="1:23">
      <c r="A169" s="70">
        <f t="shared" si="27"/>
        <v>3</v>
      </c>
      <c r="B169" s="473"/>
      <c r="C169" s="476"/>
      <c r="D169" s="584"/>
      <c r="E169" s="445"/>
      <c r="F169" s="587"/>
      <c r="G169" s="587"/>
      <c r="H169" s="587"/>
      <c r="I169" s="6">
        <f t="shared" si="34"/>
        <v>3.2699999999999965</v>
      </c>
      <c r="J169" s="8" t="s">
        <v>129</v>
      </c>
      <c r="K169" s="1" t="e">
        <f>SUMIF('[3]BESS 12'!$B$4:$B$270,$J169,'[3]BESS 12'!M$4:M$270)</f>
        <v>#VALUE!</v>
      </c>
      <c r="L169" s="36" t="e">
        <f>SUMIF('[3]BESS 12'!$B$4:$B$270,$J169,'[3]BESS 12'!N$4:N$270)</f>
        <v>#VALUE!</v>
      </c>
      <c r="M169" s="139" t="e">
        <f t="shared" si="36"/>
        <v>#VALUE!</v>
      </c>
      <c r="N169" s="436" t="s">
        <v>564</v>
      </c>
      <c r="O169" s="424">
        <f t="shared" si="28"/>
        <v>46235</v>
      </c>
      <c r="P169" s="285" t="s">
        <v>164</v>
      </c>
      <c r="Q169" s="276">
        <v>30</v>
      </c>
      <c r="R169" s="241">
        <v>18</v>
      </c>
      <c r="S169" s="242" t="e">
        <f t="shared" si="35"/>
        <v>#VALUE!</v>
      </c>
      <c r="T169" s="17"/>
    </row>
    <row r="170" spans="1:23" ht="25.5">
      <c r="A170" s="70">
        <f t="shared" si="27"/>
        <v>3</v>
      </c>
      <c r="B170" s="473"/>
      <c r="C170" s="476"/>
      <c r="D170" s="584"/>
      <c r="E170" s="445"/>
      <c r="F170" s="587"/>
      <c r="G170" s="587"/>
      <c r="H170" s="587"/>
      <c r="I170" s="6">
        <f t="shared" si="34"/>
        <v>3.2799999999999963</v>
      </c>
      <c r="J170" s="8" t="s">
        <v>130</v>
      </c>
      <c r="K170" s="1" t="e">
        <f>SUMIF('[3]BESS 12'!$B$4:$B$270,$J170,'[3]BESS 12'!M$4:M$270)</f>
        <v>#VALUE!</v>
      </c>
      <c r="L170" s="36" t="e">
        <f>SUMIF('[3]BESS 12'!$B$4:$B$270,$J170,'[3]BESS 12'!N$4:N$270)</f>
        <v>#VALUE!</v>
      </c>
      <c r="M170" s="139" t="e">
        <f t="shared" si="36"/>
        <v>#VALUE!</v>
      </c>
      <c r="N170" s="432" t="s">
        <v>684</v>
      </c>
      <c r="O170" s="424">
        <f t="shared" si="28"/>
        <v>46232</v>
      </c>
      <c r="P170" s="285" t="s">
        <v>164</v>
      </c>
      <c r="Q170" s="276">
        <v>1000</v>
      </c>
      <c r="R170" s="241">
        <v>10</v>
      </c>
      <c r="S170" s="242" t="e">
        <f t="shared" si="35"/>
        <v>#VALUE!</v>
      </c>
      <c r="T170" s="17"/>
    </row>
    <row r="171" spans="1:23" ht="25.5">
      <c r="A171" s="70">
        <f t="shared" si="27"/>
        <v>3</v>
      </c>
      <c r="B171" s="473"/>
      <c r="C171" s="476"/>
      <c r="D171" s="584"/>
      <c r="E171" s="445"/>
      <c r="F171" s="587"/>
      <c r="G171" s="587"/>
      <c r="H171" s="587"/>
      <c r="I171" s="6">
        <f t="shared" si="34"/>
        <v>3.289999999999996</v>
      </c>
      <c r="J171" s="8" t="s">
        <v>131</v>
      </c>
      <c r="K171" s="1" t="e">
        <f>SUMIF('[3]BESS 12'!$B$4:$B$270,$J171,'[3]BESS 12'!M$4:M$270)</f>
        <v>#VALUE!</v>
      </c>
      <c r="L171" s="36" t="e">
        <f>SUMIF('[3]BESS 12'!$B$4:$B$270,$J171,'[3]BESS 12'!N$4:N$270)</f>
        <v>#VALUE!</v>
      </c>
      <c r="M171" s="139" t="e">
        <f t="shared" si="36"/>
        <v>#VALUE!</v>
      </c>
      <c r="N171" s="432" t="s">
        <v>684</v>
      </c>
      <c r="O171" s="424">
        <f t="shared" si="28"/>
        <v>46232</v>
      </c>
      <c r="P171" s="285" t="s">
        <v>164</v>
      </c>
      <c r="Q171" s="276">
        <v>1000</v>
      </c>
      <c r="R171" s="241">
        <v>10</v>
      </c>
      <c r="S171" s="242" t="e">
        <f t="shared" si="35"/>
        <v>#VALUE!</v>
      </c>
      <c r="T171" s="17"/>
    </row>
    <row r="172" spans="1:23" ht="25.5">
      <c r="A172" s="70">
        <f t="shared" si="27"/>
        <v>3</v>
      </c>
      <c r="B172" s="473"/>
      <c r="C172" s="476"/>
      <c r="D172" s="584"/>
      <c r="E172" s="445"/>
      <c r="F172" s="587"/>
      <c r="G172" s="587"/>
      <c r="H172" s="587"/>
      <c r="I172" s="6">
        <f t="shared" si="34"/>
        <v>3.2999999999999958</v>
      </c>
      <c r="J172" s="8" t="s">
        <v>132</v>
      </c>
      <c r="K172" s="1" t="e">
        <f>SUMIF('[3]BESS 12'!$B$4:$B$270,$J172,'[3]BESS 12'!M$4:M$270)</f>
        <v>#VALUE!</v>
      </c>
      <c r="L172" s="36" t="e">
        <f>SUMIF('[3]BESS 12'!$B$4:$B$270,$J172,'[3]BESS 12'!N$4:N$270)</f>
        <v>#VALUE!</v>
      </c>
      <c r="M172" s="139" t="e">
        <f t="shared" si="36"/>
        <v>#VALUE!</v>
      </c>
      <c r="N172" s="432" t="s">
        <v>684</v>
      </c>
      <c r="O172" s="424">
        <f t="shared" si="28"/>
        <v>46232</v>
      </c>
      <c r="P172" s="285" t="s">
        <v>164</v>
      </c>
      <c r="Q172" s="276">
        <v>500</v>
      </c>
      <c r="R172" s="241">
        <v>10</v>
      </c>
      <c r="S172" s="242" t="e">
        <f t="shared" si="35"/>
        <v>#VALUE!</v>
      </c>
      <c r="T172" s="17"/>
    </row>
    <row r="173" spans="1:23" ht="25.5">
      <c r="A173" s="70">
        <f t="shared" si="27"/>
        <v>3</v>
      </c>
      <c r="B173" s="473"/>
      <c r="C173" s="476"/>
      <c r="D173" s="584"/>
      <c r="E173" s="445"/>
      <c r="F173" s="587"/>
      <c r="G173" s="587"/>
      <c r="H173" s="587"/>
      <c r="I173" s="6">
        <f t="shared" si="34"/>
        <v>3.3099999999999956</v>
      </c>
      <c r="J173" s="8" t="s">
        <v>133</v>
      </c>
      <c r="K173" s="1" t="e">
        <f>SUMIF('[3]BESS 12'!$B$4:$B$270,$J173,'[3]BESS 12'!M$4:M$270)</f>
        <v>#VALUE!</v>
      </c>
      <c r="L173" s="36" t="e">
        <f>SUMIF('[3]BESS 12'!$B$4:$B$270,$J173,'[3]BESS 12'!N$4:N$270)</f>
        <v>#VALUE!</v>
      </c>
      <c r="M173" s="139" t="e">
        <f t="shared" si="36"/>
        <v>#VALUE!</v>
      </c>
      <c r="N173" s="432" t="s">
        <v>685</v>
      </c>
      <c r="O173" s="424">
        <f t="shared" si="28"/>
        <v>46235</v>
      </c>
      <c r="P173" s="285" t="s">
        <v>164</v>
      </c>
      <c r="Q173" s="276">
        <v>30</v>
      </c>
      <c r="R173" s="241">
        <v>6</v>
      </c>
      <c r="S173" s="242" t="e">
        <f t="shared" si="35"/>
        <v>#VALUE!</v>
      </c>
      <c r="T173" s="17"/>
    </row>
    <row r="174" spans="1:23" ht="25.5">
      <c r="A174" s="70">
        <f t="shared" si="27"/>
        <v>3</v>
      </c>
      <c r="B174" s="473"/>
      <c r="C174" s="476"/>
      <c r="D174" s="584"/>
      <c r="E174" s="445"/>
      <c r="F174" s="587"/>
      <c r="G174" s="587"/>
      <c r="H174" s="587"/>
      <c r="I174" s="6">
        <f t="shared" si="34"/>
        <v>3.3199999999999954</v>
      </c>
      <c r="J174" s="8" t="s">
        <v>134</v>
      </c>
      <c r="K174" s="1" t="e">
        <f>SUMIF('[3]BESS 12'!$B$4:$B$270,$J174,'[3]BESS 12'!M$4:M$270)</f>
        <v>#VALUE!</v>
      </c>
      <c r="L174" s="36" t="e">
        <f>SUMIF('[3]BESS 12'!$B$4:$B$270,$J174,'[3]BESS 12'!N$4:N$270)</f>
        <v>#VALUE!</v>
      </c>
      <c r="M174" s="139" t="e">
        <f t="shared" si="36"/>
        <v>#VALUE!</v>
      </c>
      <c r="N174" s="432" t="s">
        <v>685</v>
      </c>
      <c r="O174" s="424">
        <f t="shared" si="28"/>
        <v>46235</v>
      </c>
      <c r="P174" s="285" t="s">
        <v>172</v>
      </c>
      <c r="Q174" s="276">
        <v>30</v>
      </c>
      <c r="R174" s="241">
        <v>4</v>
      </c>
      <c r="S174" s="242" t="e">
        <f t="shared" si="35"/>
        <v>#VALUE!</v>
      </c>
      <c r="T174" s="17"/>
    </row>
    <row r="175" spans="1:23" ht="25.5">
      <c r="A175" s="70">
        <f t="shared" si="27"/>
        <v>3</v>
      </c>
      <c r="B175" s="473"/>
      <c r="C175" s="476"/>
      <c r="D175" s="584"/>
      <c r="E175" s="445"/>
      <c r="F175" s="587"/>
      <c r="G175" s="587"/>
      <c r="H175" s="587"/>
      <c r="I175" s="6">
        <f t="shared" si="34"/>
        <v>3.3299999999999952</v>
      </c>
      <c r="J175" s="8" t="s">
        <v>136</v>
      </c>
      <c r="K175" s="1" t="e">
        <f>SUMIF('[3]BESS 12'!$B$4:$B$270,$J175,'[3]BESS 12'!M$4:M$270)</f>
        <v>#VALUE!</v>
      </c>
      <c r="L175" s="36" t="e">
        <f>SUMIF('[3]BESS 12'!$B$4:$B$270,$J175,'[3]BESS 12'!N$4:N$270)</f>
        <v>#VALUE!</v>
      </c>
      <c r="M175" s="139" t="e">
        <f t="shared" si="36"/>
        <v>#VALUE!</v>
      </c>
      <c r="N175" s="432" t="s">
        <v>685</v>
      </c>
      <c r="O175" s="424">
        <f t="shared" si="28"/>
        <v>46235</v>
      </c>
      <c r="P175" s="285" t="s">
        <v>172</v>
      </c>
      <c r="Q175" s="276" t="s">
        <v>89</v>
      </c>
      <c r="R175" s="241" t="s">
        <v>89</v>
      </c>
      <c r="S175" s="242" t="s">
        <v>89</v>
      </c>
      <c r="T175" s="77"/>
      <c r="U175" s="70">
        <f ca="1">O175-$T$1</f>
        <v>2</v>
      </c>
      <c r="V175" s="273" t="e">
        <f>SUM(S154:S185)</f>
        <v>#VALUE!</v>
      </c>
      <c r="W175" s="274" t="e">
        <f ca="1">V175/U175</f>
        <v>#VALUE!</v>
      </c>
    </row>
    <row r="176" spans="1:23" ht="25.5">
      <c r="A176" s="70">
        <f t="shared" si="27"/>
        <v>3</v>
      </c>
      <c r="B176" s="473"/>
      <c r="C176" s="476"/>
      <c r="D176" s="584"/>
      <c r="E176" s="445"/>
      <c r="F176" s="587"/>
      <c r="G176" s="587"/>
      <c r="H176" s="587"/>
      <c r="I176" s="6">
        <f t="shared" si="34"/>
        <v>3.339999999999995</v>
      </c>
      <c r="J176" s="8" t="s">
        <v>137</v>
      </c>
      <c r="K176" s="1" t="e">
        <f>SUMIF('[3]BESS 12'!$B$4:$B$270,$J176,'[3]BESS 12'!M$4:M$270)</f>
        <v>#VALUE!</v>
      </c>
      <c r="L176" s="36" t="e">
        <f>SUMIF('[3]BESS 12'!$B$4:$B$270,$J176,'[3]BESS 12'!N$4:N$270)</f>
        <v>#VALUE!</v>
      </c>
      <c r="M176" s="139" t="e">
        <f t="shared" si="36"/>
        <v>#VALUE!</v>
      </c>
      <c r="N176" s="432" t="s">
        <v>686</v>
      </c>
      <c r="O176" s="424">
        <f t="shared" si="28"/>
        <v>46230</v>
      </c>
      <c r="P176" s="285" t="s">
        <v>164</v>
      </c>
      <c r="Q176" s="590">
        <v>2</v>
      </c>
      <c r="R176" s="591">
        <v>8</v>
      </c>
      <c r="S176" s="242">
        <v>12</v>
      </c>
      <c r="T176" s="77"/>
    </row>
    <row r="177" spans="1:24" ht="25.5">
      <c r="A177" s="70">
        <f t="shared" si="27"/>
        <v>3</v>
      </c>
      <c r="B177" s="473"/>
      <c r="C177" s="476"/>
      <c r="D177" s="584"/>
      <c r="E177" s="445"/>
      <c r="F177" s="587"/>
      <c r="G177" s="587"/>
      <c r="H177" s="587"/>
      <c r="I177" s="6">
        <f t="shared" si="34"/>
        <v>3.3499999999999948</v>
      </c>
      <c r="J177" s="8" t="s">
        <v>139</v>
      </c>
      <c r="K177" s="1" t="e">
        <f>SUMIF('[3]BESS 12'!$B$4:$B$270,$J177,'[3]BESS 12'!M$4:M$270)</f>
        <v>#VALUE!</v>
      </c>
      <c r="L177" s="36" t="e">
        <f>SUMIF('[3]BESS 12'!$B$4:$B$270,$J177,'[3]BESS 12'!N$4:N$270)</f>
        <v>#VALUE!</v>
      </c>
      <c r="M177" s="139" t="e">
        <f t="shared" si="36"/>
        <v>#VALUE!</v>
      </c>
      <c r="N177" s="432" t="s">
        <v>687</v>
      </c>
      <c r="O177" s="424">
        <f t="shared" si="28"/>
        <v>46232</v>
      </c>
      <c r="P177" s="285" t="s">
        <v>164</v>
      </c>
      <c r="Q177" s="590"/>
      <c r="R177" s="591"/>
      <c r="S177" s="242"/>
      <c r="T177" s="77"/>
    </row>
    <row r="178" spans="1:24">
      <c r="A178" s="70">
        <f t="shared" si="27"/>
        <v>3</v>
      </c>
      <c r="B178" s="473"/>
      <c r="C178" s="476"/>
      <c r="D178" s="584"/>
      <c r="E178" s="445"/>
      <c r="F178" s="587"/>
      <c r="G178" s="587"/>
      <c r="H178" s="587"/>
      <c r="I178" s="6">
        <f t="shared" si="34"/>
        <v>3.3599999999999945</v>
      </c>
      <c r="J178" s="8" t="s">
        <v>140</v>
      </c>
      <c r="K178" s="1" t="e">
        <f>SUMIF('[3]BESS 12'!$B$4:$B$270,$J178,'[3]BESS 12'!M$4:M$270)</f>
        <v>#VALUE!</v>
      </c>
      <c r="L178" s="36" t="e">
        <f>SUMIF('[3]BESS 12'!$B$4:$B$270,$J178,'[3]BESS 12'!N$4:N$270)</f>
        <v>#VALUE!</v>
      </c>
      <c r="M178" s="139" t="e">
        <f t="shared" si="36"/>
        <v>#VALUE!</v>
      </c>
      <c r="N178" s="436">
        <v>46237</v>
      </c>
      <c r="O178" s="424">
        <f t="shared" si="28"/>
        <v>46237</v>
      </c>
      <c r="P178" s="285" t="s">
        <v>164</v>
      </c>
      <c r="Q178" s="276">
        <v>2</v>
      </c>
      <c r="R178" s="241">
        <v>4</v>
      </c>
      <c r="S178" s="242" t="e">
        <f t="shared" ref="S178:S185" si="37">(M178*R178)/Q178</f>
        <v>#VALUE!</v>
      </c>
      <c r="T178" s="119"/>
      <c r="U178" s="70">
        <f ca="1">O178-$T$1</f>
        <v>4</v>
      </c>
      <c r="V178" s="273" t="e">
        <f>SUM(S154:S185)</f>
        <v>#VALUE!</v>
      </c>
      <c r="W178" s="274" t="e">
        <f ca="1">V178/(U178-3)</f>
        <v>#VALUE!</v>
      </c>
    </row>
    <row r="179" spans="1:24" ht="25.5">
      <c r="A179" s="70">
        <f t="shared" si="27"/>
        <v>3</v>
      </c>
      <c r="B179" s="473"/>
      <c r="C179" s="476"/>
      <c r="D179" s="584"/>
      <c r="E179" s="445"/>
      <c r="F179" s="587"/>
      <c r="G179" s="587"/>
      <c r="H179" s="587"/>
      <c r="I179" s="6">
        <f t="shared" si="34"/>
        <v>3.3699999999999943</v>
      </c>
      <c r="J179" s="8" t="s">
        <v>141</v>
      </c>
      <c r="K179" s="1" t="e">
        <f>SUMIF('[3]BESS 12'!$B$4:$B$270,$J179,'[3]BESS 12'!M$4:M$270)</f>
        <v>#VALUE!</v>
      </c>
      <c r="L179" s="36" t="e">
        <f>SUMIF('[3]BESS 12'!$B$4:$B$270,$J179,'[3]BESS 12'!N$4:N$270)</f>
        <v>#VALUE!</v>
      </c>
      <c r="M179" s="139" t="e">
        <f t="shared" si="36"/>
        <v>#VALUE!</v>
      </c>
      <c r="N179" s="436" t="s">
        <v>331</v>
      </c>
      <c r="O179" s="424">
        <f t="shared" si="28"/>
        <v>46232</v>
      </c>
      <c r="P179" s="285" t="s">
        <v>164</v>
      </c>
      <c r="Q179" s="276">
        <v>0.5</v>
      </c>
      <c r="R179" s="241">
        <v>4</v>
      </c>
      <c r="S179" s="242" t="e">
        <f t="shared" si="37"/>
        <v>#VALUE!</v>
      </c>
      <c r="T179" s="261"/>
    </row>
    <row r="180" spans="1:24">
      <c r="A180" s="70">
        <f t="shared" si="27"/>
        <v>3</v>
      </c>
      <c r="B180" s="473"/>
      <c r="C180" s="476"/>
      <c r="D180" s="584"/>
      <c r="E180" s="445"/>
      <c r="F180" s="587"/>
      <c r="G180" s="587"/>
      <c r="H180" s="587"/>
      <c r="I180" s="6">
        <f t="shared" si="34"/>
        <v>3.3799999999999941</v>
      </c>
      <c r="J180" s="8" t="s">
        <v>142</v>
      </c>
      <c r="K180" s="1" t="e">
        <f>SUMIF('[3]BESS 12'!$B$4:$B$270,$J180,'[3]BESS 12'!M$4:M$270)</f>
        <v>#VALUE!</v>
      </c>
      <c r="L180" s="36" t="e">
        <f>SUMIF('[3]BESS 12'!$B$4:$B$270,$J180,'[3]BESS 12'!N$4:N$270)</f>
        <v>#VALUE!</v>
      </c>
      <c r="M180" s="139" t="e">
        <f t="shared" si="36"/>
        <v>#VALUE!</v>
      </c>
      <c r="N180" s="436">
        <v>46235</v>
      </c>
      <c r="O180" s="424">
        <f t="shared" si="28"/>
        <v>46235</v>
      </c>
      <c r="P180" s="285" t="s">
        <v>164</v>
      </c>
      <c r="Q180" s="276">
        <v>6</v>
      </c>
      <c r="R180" s="241">
        <v>4</v>
      </c>
      <c r="S180" s="242" t="e">
        <f t="shared" si="37"/>
        <v>#VALUE!</v>
      </c>
      <c r="T180" s="262"/>
    </row>
    <row r="181" spans="1:24">
      <c r="A181" s="70">
        <f t="shared" si="27"/>
        <v>3</v>
      </c>
      <c r="B181" s="473"/>
      <c r="C181" s="476"/>
      <c r="D181" s="584"/>
      <c r="E181" s="445"/>
      <c r="F181" s="587"/>
      <c r="G181" s="587"/>
      <c r="H181" s="587"/>
      <c r="I181" s="6">
        <f t="shared" si="34"/>
        <v>3.3899999999999939</v>
      </c>
      <c r="J181" s="8" t="s">
        <v>143</v>
      </c>
      <c r="K181" s="1" t="e">
        <f>SUMIF('[3]BESS 12'!$B$4:$B$270,$J181,'[3]BESS 12'!M$4:M$270)</f>
        <v>#VALUE!</v>
      </c>
      <c r="L181" s="36" t="e">
        <f>SUMIF('[3]BESS 12'!$B$4:$B$270,$J181,'[3]BESS 12'!N$4:N$270)</f>
        <v>#VALUE!</v>
      </c>
      <c r="M181" s="139" t="e">
        <f t="shared" si="36"/>
        <v>#VALUE!</v>
      </c>
      <c r="N181" s="436" t="s">
        <v>565</v>
      </c>
      <c r="O181" s="424">
        <f t="shared" si="28"/>
        <v>46234</v>
      </c>
      <c r="P181" s="285" t="s">
        <v>164</v>
      </c>
      <c r="Q181" s="276">
        <v>6</v>
      </c>
      <c r="R181" s="241">
        <v>5</v>
      </c>
      <c r="S181" s="242" t="e">
        <f t="shared" si="37"/>
        <v>#VALUE!</v>
      </c>
      <c r="T181" s="262"/>
    </row>
    <row r="182" spans="1:24">
      <c r="A182" s="70">
        <f t="shared" si="27"/>
        <v>3</v>
      </c>
      <c r="B182" s="473"/>
      <c r="C182" s="476"/>
      <c r="D182" s="584"/>
      <c r="E182" s="445"/>
      <c r="F182" s="587"/>
      <c r="G182" s="587"/>
      <c r="H182" s="587"/>
      <c r="I182" s="59">
        <f t="shared" si="34"/>
        <v>3.3999999999999937</v>
      </c>
      <c r="J182" s="57" t="s">
        <v>144</v>
      </c>
      <c r="K182" s="2" t="e">
        <f>SUMIF('[3]BESS 12'!$B$4:$B$270,$J182,'[3]BESS 12'!M$4:M$270)</f>
        <v>#VALUE!</v>
      </c>
      <c r="L182" s="2" t="e">
        <f>SUMIF('[3]BESS 12'!$B$4:$B$270,$J182,'[3]BESS 12'!N$4:N$270)</f>
        <v>#VALUE!</v>
      </c>
      <c r="M182" s="2" t="e">
        <f t="shared" si="36"/>
        <v>#VALUE!</v>
      </c>
      <c r="N182" s="63" t="s">
        <v>122</v>
      </c>
      <c r="O182" s="424" t="str">
        <f t="shared" si="28"/>
        <v>-</v>
      </c>
      <c r="P182" s="292" t="s">
        <v>164</v>
      </c>
      <c r="Q182" s="276">
        <v>1</v>
      </c>
      <c r="R182" s="241">
        <v>5</v>
      </c>
      <c r="S182" s="242" t="e">
        <f t="shared" si="37"/>
        <v>#VALUE!</v>
      </c>
      <c r="T182" s="332"/>
    </row>
    <row r="183" spans="1:24">
      <c r="A183" s="70">
        <f t="shared" si="27"/>
        <v>3</v>
      </c>
      <c r="B183" s="473"/>
      <c r="C183" s="476"/>
      <c r="D183" s="584"/>
      <c r="E183" s="445"/>
      <c r="F183" s="587"/>
      <c r="G183" s="587"/>
      <c r="H183" s="587"/>
      <c r="I183" s="6">
        <f t="shared" si="34"/>
        <v>3.4099999999999935</v>
      </c>
      <c r="J183" s="8" t="s">
        <v>145</v>
      </c>
      <c r="K183" s="1" t="e">
        <f>SUMIF('[3]BESS 12'!$B$4:$B$270,$J183,'[3]BESS 12'!M$4:M$270)</f>
        <v>#VALUE!</v>
      </c>
      <c r="L183" s="36" t="e">
        <f>SUMIF('[3]BESS 12'!$B$4:$B$270,$J183,'[3]BESS 12'!N$4:N$270)</f>
        <v>#VALUE!</v>
      </c>
      <c r="M183" s="139" t="e">
        <f t="shared" si="36"/>
        <v>#VALUE!</v>
      </c>
      <c r="N183" s="436" t="s">
        <v>332</v>
      </c>
      <c r="O183" s="424">
        <f t="shared" si="28"/>
        <v>46233</v>
      </c>
      <c r="P183" s="285" t="s">
        <v>164</v>
      </c>
      <c r="Q183" s="276">
        <v>3</v>
      </c>
      <c r="R183" s="241">
        <v>5</v>
      </c>
      <c r="S183" s="242" t="e">
        <f t="shared" si="37"/>
        <v>#VALUE!</v>
      </c>
      <c r="T183" s="332"/>
    </row>
    <row r="184" spans="1:24">
      <c r="A184" s="70">
        <f t="shared" si="27"/>
        <v>3</v>
      </c>
      <c r="B184" s="473"/>
      <c r="C184" s="476"/>
      <c r="D184" s="584"/>
      <c r="E184" s="445"/>
      <c r="F184" s="587"/>
      <c r="G184" s="587"/>
      <c r="H184" s="587"/>
      <c r="I184" s="6">
        <f t="shared" si="34"/>
        <v>3.4199999999999933</v>
      </c>
      <c r="J184" s="8" t="s">
        <v>54</v>
      </c>
      <c r="K184" s="1" t="e">
        <f>SUMIF('[3]BESS 12'!$B$4:$B$270,$J184,'[3]BESS 12'!M$4:M$270)</f>
        <v>#VALUE!</v>
      </c>
      <c r="L184" s="36" t="e">
        <f>SUMIF('[3]BESS 12'!$B$4:$B$270,$J184,'[3]BESS 12'!N$4:N$270)</f>
        <v>#VALUE!</v>
      </c>
      <c r="M184" s="139" t="e">
        <f t="shared" si="36"/>
        <v>#VALUE!</v>
      </c>
      <c r="N184" s="436" t="s">
        <v>566</v>
      </c>
      <c r="O184" s="424">
        <f t="shared" si="28"/>
        <v>46237</v>
      </c>
      <c r="P184" s="285" t="s">
        <v>164</v>
      </c>
      <c r="Q184" s="276">
        <v>150</v>
      </c>
      <c r="R184" s="241">
        <v>6</v>
      </c>
      <c r="S184" s="242" t="e">
        <f t="shared" si="37"/>
        <v>#VALUE!</v>
      </c>
      <c r="T184" s="332"/>
    </row>
    <row r="185" spans="1:24" ht="15.75" thickBot="1">
      <c r="A185" s="70">
        <f t="shared" si="27"/>
        <v>3</v>
      </c>
      <c r="B185" s="474"/>
      <c r="C185" s="477"/>
      <c r="D185" s="585"/>
      <c r="E185" s="479"/>
      <c r="F185" s="588"/>
      <c r="G185" s="588"/>
      <c r="H185" s="588"/>
      <c r="I185" s="22">
        <f t="shared" si="34"/>
        <v>3.4299999999999931</v>
      </c>
      <c r="J185" s="23" t="s">
        <v>55</v>
      </c>
      <c r="K185" s="24" t="e">
        <f>SUMIF('[3]BESS 12'!$B$4:$B$270,$J185,'[3]BESS 12'!M$4:M$270)</f>
        <v>#VALUE!</v>
      </c>
      <c r="L185" s="25" t="e">
        <f>SUMIF('[3]BESS 12'!$B$4:$B$270,$J185,'[3]BESS 12'!N$4:N$270)</f>
        <v>#VALUE!</v>
      </c>
      <c r="M185" s="26" t="e">
        <f t="shared" si="31"/>
        <v>#VALUE!</v>
      </c>
      <c r="N185" s="439" t="s">
        <v>567</v>
      </c>
      <c r="O185" s="427">
        <f t="shared" si="28"/>
        <v>46234</v>
      </c>
      <c r="P185" s="355" t="s">
        <v>164</v>
      </c>
      <c r="Q185" s="280">
        <v>5</v>
      </c>
      <c r="R185" s="245">
        <v>6</v>
      </c>
      <c r="S185" s="246" t="e">
        <f t="shared" si="37"/>
        <v>#VALUE!</v>
      </c>
      <c r="T185" s="333"/>
    </row>
    <row r="186" spans="1:24">
      <c r="A186" s="70">
        <f t="shared" si="27"/>
        <v>5</v>
      </c>
      <c r="B186" s="472" t="s">
        <v>17</v>
      </c>
      <c r="C186" s="475">
        <v>5</v>
      </c>
      <c r="D186" s="592" t="s">
        <v>420</v>
      </c>
      <c r="E186" s="524" t="s">
        <v>174</v>
      </c>
      <c r="F186" s="586">
        <v>46241</v>
      </c>
      <c r="G186" s="586">
        <v>46246</v>
      </c>
      <c r="H186" s="586">
        <v>46249</v>
      </c>
      <c r="I186" s="74"/>
      <c r="J186" s="48"/>
      <c r="K186" s="48"/>
      <c r="L186" s="75" t="s">
        <v>121</v>
      </c>
      <c r="M186" s="48"/>
      <c r="N186" s="48"/>
      <c r="O186" s="424"/>
      <c r="P186" s="284"/>
      <c r="Q186" s="281"/>
      <c r="R186" s="247"/>
      <c r="S186" s="248"/>
      <c r="T186" s="174"/>
      <c r="U186" s="73"/>
    </row>
    <row r="187" spans="1:24">
      <c r="A187" s="70">
        <f t="shared" si="27"/>
        <v>5</v>
      </c>
      <c r="B187" s="473"/>
      <c r="C187" s="476"/>
      <c r="D187" s="584"/>
      <c r="E187" s="445"/>
      <c r="F187" s="587"/>
      <c r="G187" s="587"/>
      <c r="H187" s="587"/>
      <c r="I187" s="56">
        <f>C186+0.1</f>
        <v>5.0999999999999996</v>
      </c>
      <c r="J187" s="57" t="s">
        <v>19</v>
      </c>
      <c r="K187" s="2" t="e">
        <f>SUMIF('[3]BESS 12'!$B$4:$B$270,$J187,'[3]BESS 12'!U$4:U$270)</f>
        <v>#VALUE!</v>
      </c>
      <c r="L187" s="2" t="e">
        <f>SUMIF('[3]BESS 12'!$B$4:$B$270,$J187,'[3]BESS 12'!V$4:V$270)</f>
        <v>#VALUE!</v>
      </c>
      <c r="M187" s="2" t="e">
        <f t="shared" ref="M187:M197" si="38">K187-L187</f>
        <v>#VALUE!</v>
      </c>
      <c r="N187" s="63" t="s">
        <v>122</v>
      </c>
      <c r="O187" s="424" t="str">
        <f t="shared" si="28"/>
        <v>-</v>
      </c>
      <c r="P187" s="292" t="s">
        <v>20</v>
      </c>
      <c r="Q187" s="276">
        <v>1</v>
      </c>
      <c r="R187" s="241">
        <v>2</v>
      </c>
      <c r="S187" s="242" t="e">
        <f t="shared" ref="S187:S196" si="39">(M187*R187)/Q187</f>
        <v>#VALUE!</v>
      </c>
      <c r="T187" s="77"/>
      <c r="V187" s="272"/>
      <c r="X187" s="73"/>
    </row>
    <row r="188" spans="1:24">
      <c r="A188" s="70">
        <f t="shared" si="27"/>
        <v>5</v>
      </c>
      <c r="B188" s="473"/>
      <c r="C188" s="476"/>
      <c r="D188" s="584"/>
      <c r="E188" s="445"/>
      <c r="F188" s="587"/>
      <c r="G188" s="587"/>
      <c r="H188" s="587"/>
      <c r="I188" s="56">
        <f>I187+0.1</f>
        <v>5.1999999999999993</v>
      </c>
      <c r="J188" s="57" t="s">
        <v>23</v>
      </c>
      <c r="K188" s="2" t="e">
        <f>SUMIF('[3]BESS 12'!$B$4:$B$270,$J188,'[3]BESS 12'!U$4:U$270)</f>
        <v>#VALUE!</v>
      </c>
      <c r="L188" s="2" t="e">
        <f>SUMIF('[3]BESS 12'!$B$4:$B$270,$J188,'[3]BESS 12'!V$4:V$270)</f>
        <v>#VALUE!</v>
      </c>
      <c r="M188" s="2" t="e">
        <f t="shared" si="38"/>
        <v>#VALUE!</v>
      </c>
      <c r="N188" s="63" t="s">
        <v>122</v>
      </c>
      <c r="O188" s="424" t="str">
        <f t="shared" si="28"/>
        <v>-</v>
      </c>
      <c r="P188" s="292" t="s">
        <v>20</v>
      </c>
      <c r="Q188" s="276">
        <v>1</v>
      </c>
      <c r="R188" s="241">
        <v>16</v>
      </c>
      <c r="S188" s="242" t="e">
        <f t="shared" si="39"/>
        <v>#VALUE!</v>
      </c>
      <c r="T188" s="77"/>
    </row>
    <row r="189" spans="1:24">
      <c r="A189" s="70">
        <f t="shared" si="27"/>
        <v>5</v>
      </c>
      <c r="B189" s="473"/>
      <c r="C189" s="476"/>
      <c r="D189" s="584"/>
      <c r="E189" s="445"/>
      <c r="F189" s="587"/>
      <c r="G189" s="587"/>
      <c r="H189" s="587"/>
      <c r="I189" s="56">
        <f t="shared" ref="I189:I195" si="40">I188+0.1</f>
        <v>5.2999999999999989</v>
      </c>
      <c r="J189" s="57" t="s">
        <v>26</v>
      </c>
      <c r="K189" s="2" t="e">
        <f>SUMIF('[3]BESS 12'!$B$4:$B$270,$J189,'[3]BESS 12'!U$4:U$270)</f>
        <v>#VALUE!</v>
      </c>
      <c r="L189" s="2" t="e">
        <f>SUMIF('[3]BESS 12'!$B$4:$B$270,$J189,'[3]BESS 12'!V$4:V$270)</f>
        <v>#VALUE!</v>
      </c>
      <c r="M189" s="2" t="e">
        <f t="shared" si="38"/>
        <v>#VALUE!</v>
      </c>
      <c r="N189" s="63" t="s">
        <v>122</v>
      </c>
      <c r="O189" s="424" t="str">
        <f t="shared" si="28"/>
        <v>-</v>
      </c>
      <c r="P189" s="283" t="s">
        <v>20</v>
      </c>
      <c r="Q189" s="276">
        <v>1</v>
      </c>
      <c r="R189" s="241">
        <v>39</v>
      </c>
      <c r="S189" s="242" t="e">
        <f t="shared" si="39"/>
        <v>#VALUE!</v>
      </c>
      <c r="T189" s="77"/>
    </row>
    <row r="190" spans="1:24">
      <c r="A190" s="70">
        <f t="shared" si="27"/>
        <v>5</v>
      </c>
      <c r="B190" s="473"/>
      <c r="C190" s="476"/>
      <c r="D190" s="584"/>
      <c r="E190" s="445"/>
      <c r="F190" s="587"/>
      <c r="G190" s="587"/>
      <c r="H190" s="587"/>
      <c r="I190" s="56">
        <f t="shared" si="40"/>
        <v>5.3999999999999986</v>
      </c>
      <c r="J190" s="57" t="s">
        <v>32</v>
      </c>
      <c r="K190" s="2" t="e">
        <f>SUMIF('[3]BESS 12'!$B$4:$B$270,$J190,'[3]BESS 12'!U$4:U$270)</f>
        <v>#VALUE!</v>
      </c>
      <c r="L190" s="2" t="e">
        <f>SUMIF('[3]BESS 12'!$B$4:$B$270,$J190,'[3]BESS 12'!V$4:V$270)</f>
        <v>#VALUE!</v>
      </c>
      <c r="M190" s="2" t="e">
        <f t="shared" si="38"/>
        <v>#VALUE!</v>
      </c>
      <c r="N190" s="63" t="s">
        <v>122</v>
      </c>
      <c r="O190" s="424" t="str">
        <f t="shared" si="28"/>
        <v>-</v>
      </c>
      <c r="P190" s="283" t="s">
        <v>20</v>
      </c>
      <c r="Q190" s="276">
        <v>1</v>
      </c>
      <c r="R190" s="241">
        <v>37</v>
      </c>
      <c r="S190" s="242" t="e">
        <f t="shared" si="39"/>
        <v>#VALUE!</v>
      </c>
      <c r="T190" s="77"/>
    </row>
    <row r="191" spans="1:24">
      <c r="A191" s="70">
        <f t="shared" si="27"/>
        <v>5</v>
      </c>
      <c r="B191" s="473"/>
      <c r="C191" s="476"/>
      <c r="D191" s="584"/>
      <c r="E191" s="445"/>
      <c r="F191" s="587"/>
      <c r="G191" s="587"/>
      <c r="H191" s="587"/>
      <c r="I191" s="56">
        <f t="shared" si="40"/>
        <v>5.4999999999999982</v>
      </c>
      <c r="J191" s="57" t="s">
        <v>35</v>
      </c>
      <c r="K191" s="2" t="e">
        <f>SUMIF('[3]BESS 12'!$B$4:$B$270,$J191,'[3]BESS 12'!U$4:U$270)</f>
        <v>#VALUE!</v>
      </c>
      <c r="L191" s="2" t="e">
        <f>SUMIF('[3]BESS 12'!$B$4:$B$270,$J191,'[3]BESS 12'!V$4:V$270)</f>
        <v>#VALUE!</v>
      </c>
      <c r="M191" s="2" t="e">
        <f t="shared" si="38"/>
        <v>#VALUE!</v>
      </c>
      <c r="N191" s="63" t="s">
        <v>122</v>
      </c>
      <c r="O191" s="424" t="str">
        <f t="shared" si="28"/>
        <v>-</v>
      </c>
      <c r="P191" s="283" t="s">
        <v>20</v>
      </c>
      <c r="Q191" s="276">
        <v>1</v>
      </c>
      <c r="R191" s="241">
        <v>34</v>
      </c>
      <c r="S191" s="242" t="e">
        <f t="shared" si="39"/>
        <v>#VALUE!</v>
      </c>
      <c r="T191" s="77"/>
    </row>
    <row r="192" spans="1:24">
      <c r="A192" s="70">
        <f t="shared" si="27"/>
        <v>5</v>
      </c>
      <c r="B192" s="473"/>
      <c r="C192" s="476"/>
      <c r="D192" s="584"/>
      <c r="E192" s="445"/>
      <c r="F192" s="587"/>
      <c r="G192" s="587"/>
      <c r="H192" s="587"/>
      <c r="I192" s="56">
        <f t="shared" si="40"/>
        <v>5.5999999999999979</v>
      </c>
      <c r="J192" s="57" t="s">
        <v>38</v>
      </c>
      <c r="K192" s="2" t="e">
        <f>SUMIF('[3]BESS 12'!$B$4:$B$270,$J192,'[3]BESS 12'!U$4:U$270)</f>
        <v>#VALUE!</v>
      </c>
      <c r="L192" s="2" t="e">
        <f>SUMIF('[3]BESS 12'!$B$4:$B$270,$J192,'[3]BESS 12'!V$4:V$270)</f>
        <v>#VALUE!</v>
      </c>
      <c r="M192" s="2" t="e">
        <f t="shared" si="38"/>
        <v>#VALUE!</v>
      </c>
      <c r="N192" s="63" t="s">
        <v>122</v>
      </c>
      <c r="O192" s="424" t="str">
        <f t="shared" si="28"/>
        <v>-</v>
      </c>
      <c r="P192" s="283" t="s">
        <v>20</v>
      </c>
      <c r="Q192" s="276">
        <v>1</v>
      </c>
      <c r="R192" s="241">
        <v>54</v>
      </c>
      <c r="S192" s="242" t="e">
        <f t="shared" si="39"/>
        <v>#VALUE!</v>
      </c>
      <c r="T192" s="77"/>
    </row>
    <row r="193" spans="1:27">
      <c r="A193" s="70">
        <f t="shared" si="27"/>
        <v>5</v>
      </c>
      <c r="B193" s="473"/>
      <c r="C193" s="476"/>
      <c r="D193" s="584"/>
      <c r="E193" s="445"/>
      <c r="F193" s="587"/>
      <c r="G193" s="587"/>
      <c r="H193" s="587"/>
      <c r="I193" s="56">
        <f t="shared" si="40"/>
        <v>5.6999999999999975</v>
      </c>
      <c r="J193" s="57" t="s">
        <v>44</v>
      </c>
      <c r="K193" s="2" t="e">
        <f>SUMIF('[3]BESS 12'!$B$4:$B$270,$J193,'[3]BESS 12'!U$4:U$270)</f>
        <v>#VALUE!</v>
      </c>
      <c r="L193" s="2" t="e">
        <f>SUMIF('[3]BESS 12'!$B$4:$B$270,$J193,'[3]BESS 12'!V$4:V$270)</f>
        <v>#VALUE!</v>
      </c>
      <c r="M193" s="2" t="e">
        <f t="shared" si="38"/>
        <v>#VALUE!</v>
      </c>
      <c r="N193" s="63" t="s">
        <v>122</v>
      </c>
      <c r="O193" s="424" t="str">
        <f t="shared" si="28"/>
        <v>-</v>
      </c>
      <c r="P193" s="292" t="s">
        <v>45</v>
      </c>
      <c r="Q193" s="276">
        <v>3</v>
      </c>
      <c r="R193" s="241">
        <v>5</v>
      </c>
      <c r="S193" s="242" t="e">
        <f t="shared" si="39"/>
        <v>#VALUE!</v>
      </c>
      <c r="T193" s="77"/>
      <c r="V193" s="272"/>
      <c r="X193" s="73"/>
    </row>
    <row r="194" spans="1:27" ht="27">
      <c r="A194" s="70">
        <f t="shared" si="27"/>
        <v>5</v>
      </c>
      <c r="B194" s="473"/>
      <c r="C194" s="476"/>
      <c r="D194" s="584"/>
      <c r="E194" s="445"/>
      <c r="F194" s="587"/>
      <c r="G194" s="587"/>
      <c r="H194" s="587"/>
      <c r="I194" s="4">
        <f t="shared" si="40"/>
        <v>5.7999999999999972</v>
      </c>
      <c r="J194" s="8" t="s">
        <v>40</v>
      </c>
      <c r="K194" s="1" t="e">
        <f>SUMIF('[3]BESS 12'!$B$4:$B$270,$J194,'[3]BESS 12'!U$4:U$270)</f>
        <v>#VALUE!</v>
      </c>
      <c r="L194" s="2" t="e">
        <f>SUMIF('[3]BESS 12'!$B$4:$B$270,$J194,'[3]BESS 12'!V$4:V$270)</f>
        <v>#VALUE!</v>
      </c>
      <c r="M194" s="7" t="e">
        <f t="shared" si="38"/>
        <v>#VALUE!</v>
      </c>
      <c r="N194" s="432" t="s">
        <v>503</v>
      </c>
      <c r="O194" s="424">
        <f t="shared" si="28"/>
        <v>46231</v>
      </c>
      <c r="P194" s="285" t="s">
        <v>20</v>
      </c>
      <c r="Q194" s="276">
        <v>1</v>
      </c>
      <c r="R194" s="241">
        <v>5</v>
      </c>
      <c r="S194" s="242" t="e">
        <f t="shared" si="39"/>
        <v>#VALUE!</v>
      </c>
      <c r="T194" s="261" t="s">
        <v>169</v>
      </c>
      <c r="V194" s="272"/>
    </row>
    <row r="195" spans="1:27">
      <c r="A195" s="70">
        <f t="shared" si="27"/>
        <v>5</v>
      </c>
      <c r="B195" s="473"/>
      <c r="C195" s="476"/>
      <c r="D195" s="584"/>
      <c r="E195" s="445"/>
      <c r="F195" s="587"/>
      <c r="G195" s="587"/>
      <c r="H195" s="587"/>
      <c r="I195" s="56">
        <f t="shared" si="40"/>
        <v>5.8999999999999968</v>
      </c>
      <c r="J195" s="57" t="s">
        <v>30</v>
      </c>
      <c r="K195" s="2" t="e">
        <f>SUMIF('[3]BESS 12'!$B$4:$B$270,$J195,'[3]BESS 12'!U$4:U$270)</f>
        <v>#VALUE!</v>
      </c>
      <c r="L195" s="2" t="e">
        <f>SUMIF('[3]BESS 12'!$B$4:$B$270,$J195,'[3]BESS 12'!V$4:V$270)</f>
        <v>#VALUE!</v>
      </c>
      <c r="M195" s="2" t="e">
        <f t="shared" si="38"/>
        <v>#VALUE!</v>
      </c>
      <c r="N195" s="63" t="s">
        <v>122</v>
      </c>
      <c r="O195" s="424" t="str">
        <f t="shared" si="28"/>
        <v>-</v>
      </c>
      <c r="P195" s="292" t="s">
        <v>162</v>
      </c>
      <c r="Q195" s="276">
        <v>1</v>
      </c>
      <c r="R195" s="241">
        <v>27</v>
      </c>
      <c r="S195" s="242" t="e">
        <f t="shared" si="39"/>
        <v>#VALUE!</v>
      </c>
      <c r="T195" s="261"/>
      <c r="V195" s="272"/>
    </row>
    <row r="196" spans="1:27" ht="25.5">
      <c r="A196" s="70">
        <f t="shared" si="27"/>
        <v>5</v>
      </c>
      <c r="B196" s="473"/>
      <c r="C196" s="476"/>
      <c r="D196" s="584"/>
      <c r="E196" s="445"/>
      <c r="F196" s="587"/>
      <c r="G196" s="587"/>
      <c r="H196" s="587"/>
      <c r="I196" s="6">
        <f>C186+0.1</f>
        <v>5.0999999999999996</v>
      </c>
      <c r="J196" s="8" t="s">
        <v>34</v>
      </c>
      <c r="K196" s="1" t="e">
        <f>SUMIF('[3]BESS 12'!$B$4:$B$270,$J196,'[3]BESS 12'!U$4:U$270)</f>
        <v>#VALUE!</v>
      </c>
      <c r="L196" s="2" t="e">
        <f>SUMIF('[3]BESS 12'!$B$4:$B$270,$J196,'[3]BESS 12'!V$4:V$270)</f>
        <v>#VALUE!</v>
      </c>
      <c r="M196" s="7" t="e">
        <f t="shared" si="38"/>
        <v>#VALUE!</v>
      </c>
      <c r="N196" s="432" t="s">
        <v>688</v>
      </c>
      <c r="O196" s="424">
        <f t="shared" si="28"/>
        <v>46231</v>
      </c>
      <c r="P196" s="285" t="s">
        <v>31</v>
      </c>
      <c r="Q196" s="276">
        <v>1</v>
      </c>
      <c r="R196" s="241">
        <v>25</v>
      </c>
      <c r="S196" s="242" t="e">
        <f t="shared" si="39"/>
        <v>#VALUE!</v>
      </c>
      <c r="T196" s="262"/>
    </row>
    <row r="197" spans="1:27">
      <c r="A197" s="70">
        <f t="shared" ref="A197:A260" si="41">IF(C197&gt;0,C197,A196)</f>
        <v>5</v>
      </c>
      <c r="B197" s="473"/>
      <c r="C197" s="476"/>
      <c r="D197" s="584"/>
      <c r="E197" s="445"/>
      <c r="F197" s="587"/>
      <c r="G197" s="587"/>
      <c r="H197" s="587"/>
      <c r="I197" s="59">
        <f>I196+0.01</f>
        <v>5.1099999999999994</v>
      </c>
      <c r="J197" s="57" t="s">
        <v>37</v>
      </c>
      <c r="K197" s="2" t="e">
        <f>SUMIF('[3]BESS 12'!$B$4:$B$270,$J197,'[3]BESS 12'!U$4:U$270)</f>
        <v>#VALUE!</v>
      </c>
      <c r="L197" s="2" t="e">
        <f>SUMIF('[3]BESS 12'!$B$4:$B$270,$J197,'[3]BESS 12'!V$4:V$270)</f>
        <v>#VALUE!</v>
      </c>
      <c r="M197" s="2" t="e">
        <f t="shared" si="38"/>
        <v>#VALUE!</v>
      </c>
      <c r="N197" s="63" t="s">
        <v>122</v>
      </c>
      <c r="O197" s="424" t="str">
        <f t="shared" ref="O197:O260" si="42">IF(LEN(N197)=5,N197,(IF(N197="Completed","-",DATEVALUE(RIGHT(N197,6)))))</f>
        <v>-</v>
      </c>
      <c r="P197" s="292" t="s">
        <v>163</v>
      </c>
      <c r="Q197" s="276" t="s">
        <v>89</v>
      </c>
      <c r="R197" s="241" t="s">
        <v>89</v>
      </c>
      <c r="S197" s="242" t="s">
        <v>89</v>
      </c>
      <c r="T197" s="262"/>
    </row>
    <row r="198" spans="1:27">
      <c r="A198" s="70">
        <f t="shared" si="41"/>
        <v>5</v>
      </c>
      <c r="B198" s="473"/>
      <c r="C198" s="476"/>
      <c r="D198" s="584"/>
      <c r="E198" s="445"/>
      <c r="F198" s="587"/>
      <c r="G198" s="587"/>
      <c r="H198" s="587"/>
      <c r="I198" s="44"/>
      <c r="J198" s="46"/>
      <c r="K198" s="46"/>
      <c r="L198" s="47" t="s">
        <v>124</v>
      </c>
      <c r="M198" s="46"/>
      <c r="N198" s="46"/>
      <c r="O198" s="424"/>
      <c r="P198" s="285"/>
      <c r="Q198" s="277"/>
      <c r="R198" s="243"/>
      <c r="S198" s="244"/>
      <c r="T198" s="262"/>
    </row>
    <row r="199" spans="1:27">
      <c r="A199" s="70">
        <f t="shared" si="41"/>
        <v>5</v>
      </c>
      <c r="B199" s="473"/>
      <c r="C199" s="476"/>
      <c r="D199" s="584"/>
      <c r="E199" s="445"/>
      <c r="F199" s="587"/>
      <c r="G199" s="587"/>
      <c r="H199" s="587"/>
      <c r="I199" s="59">
        <f>I197+0.01</f>
        <v>5.1199999999999992</v>
      </c>
      <c r="J199" s="57" t="s">
        <v>24</v>
      </c>
      <c r="K199" s="2" t="e">
        <f>SUMIF('[3]BESS 12'!$B$4:$B$270,$J199,'[3]BESS 12'!U$4:U$270)</f>
        <v>#VALUE!</v>
      </c>
      <c r="L199" s="2" t="e">
        <f>SUMIF('[3]BESS 12'!$B$4:$B$270,$J199,'[3]BESS 12'!V$4:V$270)</f>
        <v>#VALUE!</v>
      </c>
      <c r="M199" s="2" t="e">
        <f t="shared" ref="M199:M230" si="43">K199-L199</f>
        <v>#VALUE!</v>
      </c>
      <c r="N199" s="63" t="s">
        <v>122</v>
      </c>
      <c r="O199" s="424" t="str">
        <f t="shared" si="42"/>
        <v>-</v>
      </c>
      <c r="P199" s="292" t="s">
        <v>164</v>
      </c>
      <c r="Q199" s="276">
        <v>2</v>
      </c>
      <c r="R199" s="241">
        <v>4</v>
      </c>
      <c r="S199" s="242" t="e">
        <f t="shared" ref="S199:S201" si="44">(M199*R199)/Q199</f>
        <v>#VALUE!</v>
      </c>
      <c r="T199" s="262"/>
    </row>
    <row r="200" spans="1:27" ht="25.5">
      <c r="A200" s="70">
        <f t="shared" si="41"/>
        <v>5</v>
      </c>
      <c r="B200" s="473"/>
      <c r="C200" s="476"/>
      <c r="D200" s="584"/>
      <c r="E200" s="445"/>
      <c r="F200" s="587"/>
      <c r="G200" s="587"/>
      <c r="H200" s="587"/>
      <c r="I200" s="6">
        <f>I199+0.01</f>
        <v>5.129999999999999</v>
      </c>
      <c r="J200" s="8" t="s">
        <v>27</v>
      </c>
      <c r="K200" s="1" t="e">
        <f>SUMIF('[3]BESS 12'!$B$4:$B$270,$J200,'[3]BESS 12'!U$4:U$270)</f>
        <v>#VALUE!</v>
      </c>
      <c r="L200" s="36" t="e">
        <f>SUMIF('[3]BESS 12'!$B$4:$B$270,$J200,'[3]BESS 12'!V$4:V$270)</f>
        <v>#VALUE!</v>
      </c>
      <c r="M200" s="139" t="e">
        <f t="shared" si="43"/>
        <v>#VALUE!</v>
      </c>
      <c r="N200" s="432" t="s">
        <v>541</v>
      </c>
      <c r="O200" s="424">
        <f t="shared" si="42"/>
        <v>46233</v>
      </c>
      <c r="P200" s="285" t="s">
        <v>164</v>
      </c>
      <c r="Q200" s="276">
        <v>10</v>
      </c>
      <c r="R200" s="241">
        <v>4</v>
      </c>
      <c r="S200" s="242" t="e">
        <f t="shared" si="44"/>
        <v>#VALUE!</v>
      </c>
      <c r="T200" s="262"/>
      <c r="AA200" s="73"/>
    </row>
    <row r="201" spans="1:27">
      <c r="A201" s="70">
        <f t="shared" si="41"/>
        <v>5</v>
      </c>
      <c r="B201" s="473"/>
      <c r="C201" s="476"/>
      <c r="D201" s="584"/>
      <c r="E201" s="445"/>
      <c r="F201" s="587"/>
      <c r="G201" s="587"/>
      <c r="H201" s="587"/>
      <c r="I201" s="59">
        <f>I200+0.01</f>
        <v>5.1399999999999988</v>
      </c>
      <c r="J201" s="57" t="s">
        <v>28</v>
      </c>
      <c r="K201" s="2" t="e">
        <f>SUMIF('[3]BESS 12'!$B$4:$B$270,$J201,'[3]BESS 12'!U$4:U$270)</f>
        <v>#VALUE!</v>
      </c>
      <c r="L201" s="2" t="e">
        <f>SUMIF('[3]BESS 12'!$B$4:$B$270,$J201,'[3]BESS 12'!V$4:V$270)</f>
        <v>#VALUE!</v>
      </c>
      <c r="M201" s="2" t="e">
        <f t="shared" si="43"/>
        <v>#VALUE!</v>
      </c>
      <c r="N201" s="63" t="s">
        <v>122</v>
      </c>
      <c r="O201" s="424" t="str">
        <f t="shared" si="42"/>
        <v>-</v>
      </c>
      <c r="P201" s="292" t="s">
        <v>164</v>
      </c>
      <c r="Q201" s="276">
        <v>5</v>
      </c>
      <c r="R201" s="241">
        <v>4</v>
      </c>
      <c r="S201" s="242" t="e">
        <f t="shared" si="44"/>
        <v>#VALUE!</v>
      </c>
      <c r="T201" s="262"/>
    </row>
    <row r="202" spans="1:27" ht="25.5">
      <c r="A202" s="70">
        <f t="shared" si="41"/>
        <v>5</v>
      </c>
      <c r="B202" s="473"/>
      <c r="C202" s="476"/>
      <c r="D202" s="584"/>
      <c r="E202" s="445"/>
      <c r="F202" s="587"/>
      <c r="G202" s="587"/>
      <c r="H202" s="587"/>
      <c r="I202" s="6">
        <f t="shared" ref="I202:I230" si="45">I201+0.01</f>
        <v>5.1499999999999986</v>
      </c>
      <c r="J202" s="8" t="s">
        <v>29</v>
      </c>
      <c r="K202" s="1" t="e">
        <f>SUMIF('[3]BESS 12'!$B$4:$B$270,$J202,'[3]BESS 12'!U$4:U$270)</f>
        <v>#VALUE!</v>
      </c>
      <c r="L202" s="36" t="e">
        <f>SUMIF('[3]BESS 12'!$B$4:$B$270,$J202,'[3]BESS 12'!V$4:V$270)</f>
        <v>#VALUE!</v>
      </c>
      <c r="M202" s="139" t="e">
        <f t="shared" si="43"/>
        <v>#VALUE!</v>
      </c>
      <c r="N202" s="432" t="s">
        <v>542</v>
      </c>
      <c r="O202" s="424">
        <f t="shared" si="42"/>
        <v>46233</v>
      </c>
      <c r="P202" s="285" t="s">
        <v>164</v>
      </c>
      <c r="Q202" s="276">
        <v>20</v>
      </c>
      <c r="R202" s="241">
        <v>4</v>
      </c>
      <c r="S202" s="242">
        <v>4</v>
      </c>
      <c r="T202" s="17"/>
      <c r="AA202" s="73"/>
    </row>
    <row r="203" spans="1:27">
      <c r="A203" s="70">
        <f t="shared" si="41"/>
        <v>5</v>
      </c>
      <c r="B203" s="473"/>
      <c r="C203" s="476"/>
      <c r="D203" s="584"/>
      <c r="E203" s="445"/>
      <c r="F203" s="587"/>
      <c r="G203" s="587"/>
      <c r="H203" s="587"/>
      <c r="I203" s="59">
        <f t="shared" si="45"/>
        <v>5.1599999999999984</v>
      </c>
      <c r="J203" s="57" t="s">
        <v>33</v>
      </c>
      <c r="K203" s="2" t="e">
        <f>SUMIF('[3]BESS 12'!$B$4:$B$270,$J203,'[3]BESS 12'!U$4:U$270)</f>
        <v>#VALUE!</v>
      </c>
      <c r="L203" s="2" t="e">
        <f>SUMIF('[3]BESS 12'!$B$4:$B$270,$J203,'[3]BESS 12'!V$4:V$270)</f>
        <v>#VALUE!</v>
      </c>
      <c r="M203" s="2" t="e">
        <f t="shared" si="43"/>
        <v>#VALUE!</v>
      </c>
      <c r="N203" s="63" t="s">
        <v>122</v>
      </c>
      <c r="O203" s="424" t="str">
        <f t="shared" si="42"/>
        <v>-</v>
      </c>
      <c r="P203" s="292" t="s">
        <v>164</v>
      </c>
      <c r="Q203" s="276">
        <v>10</v>
      </c>
      <c r="R203" s="241"/>
      <c r="S203" s="242"/>
      <c r="T203" s="343"/>
    </row>
    <row r="204" spans="1:27" ht="25.5">
      <c r="A204" s="70">
        <f t="shared" si="41"/>
        <v>5</v>
      </c>
      <c r="B204" s="473"/>
      <c r="C204" s="476"/>
      <c r="D204" s="584"/>
      <c r="E204" s="445"/>
      <c r="F204" s="587"/>
      <c r="G204" s="587"/>
      <c r="H204" s="587"/>
      <c r="I204" s="6">
        <f t="shared" si="45"/>
        <v>5.1699999999999982</v>
      </c>
      <c r="J204" s="8" t="s">
        <v>36</v>
      </c>
      <c r="K204" s="1" t="e">
        <f>SUMIF('[3]BESS 12'!$B$4:$B$270,$J204,'[3]BESS 12'!U$4:U$270)</f>
        <v>#VALUE!</v>
      </c>
      <c r="L204" s="36" t="e">
        <f>SUMIF('[3]BESS 12'!$B$4:$B$270,$J204,'[3]BESS 12'!V$4:V$270)</f>
        <v>#VALUE!</v>
      </c>
      <c r="M204" s="139" t="e">
        <f t="shared" si="43"/>
        <v>#VALUE!</v>
      </c>
      <c r="N204" s="432" t="s">
        <v>689</v>
      </c>
      <c r="O204" s="424">
        <f t="shared" si="42"/>
        <v>46230</v>
      </c>
      <c r="P204" s="285" t="s">
        <v>164</v>
      </c>
      <c r="Q204" s="276">
        <v>10</v>
      </c>
      <c r="R204" s="241"/>
      <c r="S204" s="242"/>
      <c r="T204" s="17"/>
    </row>
    <row r="205" spans="1:27">
      <c r="A205" s="70">
        <f t="shared" si="41"/>
        <v>5</v>
      </c>
      <c r="B205" s="473"/>
      <c r="C205" s="476"/>
      <c r="D205" s="584"/>
      <c r="E205" s="445"/>
      <c r="F205" s="587"/>
      <c r="G205" s="587"/>
      <c r="H205" s="587"/>
      <c r="I205" s="59">
        <f t="shared" si="45"/>
        <v>5.1799999999999979</v>
      </c>
      <c r="J205" s="57" t="s">
        <v>39</v>
      </c>
      <c r="K205" s="2" t="e">
        <f>SUMIF('[3]BESS 12'!$B$4:$B$270,$J205,'[3]BESS 12'!U$4:U$270)</f>
        <v>#VALUE!</v>
      </c>
      <c r="L205" s="2" t="e">
        <f>SUMIF('[3]BESS 12'!$B$4:$B$270,$J205,'[3]BESS 12'!V$4:V$270)</f>
        <v>#VALUE!</v>
      </c>
      <c r="M205" s="2" t="e">
        <f t="shared" si="43"/>
        <v>#VALUE!</v>
      </c>
      <c r="N205" s="63" t="s">
        <v>122</v>
      </c>
      <c r="O205" s="424" t="str">
        <f t="shared" si="42"/>
        <v>-</v>
      </c>
      <c r="P205" s="292" t="s">
        <v>164</v>
      </c>
      <c r="Q205" s="276">
        <v>10</v>
      </c>
      <c r="R205" s="241"/>
      <c r="S205" s="242"/>
      <c r="T205" s="17"/>
    </row>
    <row r="206" spans="1:27">
      <c r="A206" s="70">
        <f t="shared" si="41"/>
        <v>5</v>
      </c>
      <c r="B206" s="473"/>
      <c r="C206" s="476"/>
      <c r="D206" s="584"/>
      <c r="E206" s="445"/>
      <c r="F206" s="587"/>
      <c r="G206" s="587"/>
      <c r="H206" s="587"/>
      <c r="I206" s="6">
        <f t="shared" si="45"/>
        <v>5.1899999999999977</v>
      </c>
      <c r="J206" s="8" t="s">
        <v>41</v>
      </c>
      <c r="K206" s="1" t="e">
        <f>SUMIF('[3]BESS 12'!$B$4:$B$270,$J206,'[3]BESS 12'!U$4:U$270)</f>
        <v>#VALUE!</v>
      </c>
      <c r="L206" s="36" t="e">
        <f>SUMIF('[3]BESS 12'!$B$4:$B$270,$J206,'[3]BESS 12'!V$4:V$270)</f>
        <v>#VALUE!</v>
      </c>
      <c r="M206" s="139" t="e">
        <f t="shared" si="43"/>
        <v>#VALUE!</v>
      </c>
      <c r="N206" s="436" t="s">
        <v>338</v>
      </c>
      <c r="O206" s="424">
        <f t="shared" si="42"/>
        <v>46229</v>
      </c>
      <c r="P206" s="285" t="s">
        <v>171</v>
      </c>
      <c r="Q206" s="276">
        <v>20</v>
      </c>
      <c r="R206" s="241"/>
      <c r="S206" s="242"/>
      <c r="T206" s="17"/>
      <c r="V206" s="272"/>
    </row>
    <row r="207" spans="1:27">
      <c r="A207" s="70">
        <f t="shared" si="41"/>
        <v>5</v>
      </c>
      <c r="B207" s="473"/>
      <c r="C207" s="476"/>
      <c r="D207" s="584"/>
      <c r="E207" s="445"/>
      <c r="F207" s="587"/>
      <c r="G207" s="587"/>
      <c r="H207" s="587"/>
      <c r="I207" s="6">
        <f t="shared" si="45"/>
        <v>5.1999999999999975</v>
      </c>
      <c r="J207" s="8" t="s">
        <v>43</v>
      </c>
      <c r="K207" s="1" t="e">
        <f>SUMIF('[3]BESS 12'!$B$4:$B$270,$J207,'[3]BESS 12'!U$4:U$270)</f>
        <v>#VALUE!</v>
      </c>
      <c r="L207" s="2" t="e">
        <f>SUMIF('[3]BESS 12'!$B$4:$B$270,$J207,'[3]BESS 12'!V$4:V$270)</f>
        <v>#VALUE!</v>
      </c>
      <c r="M207" s="7" t="e">
        <f t="shared" si="43"/>
        <v>#VALUE!</v>
      </c>
      <c r="N207" s="436" t="s">
        <v>339</v>
      </c>
      <c r="O207" s="424">
        <f t="shared" si="42"/>
        <v>46232</v>
      </c>
      <c r="P207" s="285" t="s">
        <v>171</v>
      </c>
      <c r="Q207" s="276">
        <v>0.66666666666666663</v>
      </c>
      <c r="R207" s="241">
        <v>0</v>
      </c>
      <c r="S207" s="242" t="e">
        <f>(M207*R207)/Q207</f>
        <v>#VALUE!</v>
      </c>
      <c r="T207" s="17"/>
      <c r="V207" s="272"/>
    </row>
    <row r="208" spans="1:27">
      <c r="A208" s="70">
        <f t="shared" si="41"/>
        <v>5</v>
      </c>
      <c r="B208" s="473"/>
      <c r="C208" s="476"/>
      <c r="D208" s="584"/>
      <c r="E208" s="445"/>
      <c r="F208" s="587"/>
      <c r="G208" s="587"/>
      <c r="H208" s="587"/>
      <c r="I208" s="6">
        <f t="shared" si="45"/>
        <v>5.2099999999999973</v>
      </c>
      <c r="J208" s="8" t="s">
        <v>21</v>
      </c>
      <c r="K208" s="1" t="e">
        <f>SUMIF('[3]BESS 12'!$B$4:$B$270,$J208,'[3]BESS 12'!U$4:U$270)</f>
        <v>#VALUE!</v>
      </c>
      <c r="L208" s="36" t="e">
        <f>SUMIF('[3]BESS 12'!$B$4:$B$270,$J208,'[3]BESS 12'!V$4:V$270)</f>
        <v>#VALUE!</v>
      </c>
      <c r="M208" s="139" t="e">
        <f t="shared" si="43"/>
        <v>#VALUE!</v>
      </c>
      <c r="N208" s="432" t="s">
        <v>381</v>
      </c>
      <c r="O208" s="424">
        <f t="shared" si="42"/>
        <v>46228</v>
      </c>
      <c r="P208" s="287" t="s">
        <v>164</v>
      </c>
      <c r="Q208" s="276">
        <v>10</v>
      </c>
      <c r="R208" s="241">
        <v>4</v>
      </c>
      <c r="S208" s="242" t="e">
        <f t="shared" ref="S208" si="46">(M208*R208)/Q208</f>
        <v>#VALUE!</v>
      </c>
      <c r="T208" s="17"/>
    </row>
    <row r="209" spans="1:27">
      <c r="A209" s="70">
        <f t="shared" si="41"/>
        <v>5</v>
      </c>
      <c r="B209" s="473"/>
      <c r="C209" s="476"/>
      <c r="D209" s="584"/>
      <c r="E209" s="445"/>
      <c r="F209" s="587"/>
      <c r="G209" s="587"/>
      <c r="H209" s="587"/>
      <c r="I209" s="59">
        <f t="shared" si="45"/>
        <v>5.2199999999999971</v>
      </c>
      <c r="J209" s="57" t="s">
        <v>47</v>
      </c>
      <c r="K209" s="2" t="e">
        <f>SUMIF('[3]BESS 12'!$B$4:$B$270,$J209,'[3]BESS 12'!U$4:U$270)</f>
        <v>#VALUE!</v>
      </c>
      <c r="L209" s="2" t="e">
        <f>SUMIF('[3]BESS 12'!$B$4:$B$270,$J209,'[3]BESS 12'!V$4:V$270)</f>
        <v>#VALUE!</v>
      </c>
      <c r="M209" s="2" t="e">
        <f t="shared" si="43"/>
        <v>#VALUE!</v>
      </c>
      <c r="N209" s="63" t="s">
        <v>122</v>
      </c>
      <c r="O209" s="424" t="str">
        <f t="shared" si="42"/>
        <v>-</v>
      </c>
      <c r="P209" s="292" t="s">
        <v>164</v>
      </c>
      <c r="Q209" s="276">
        <v>1500</v>
      </c>
      <c r="R209" s="241">
        <v>48</v>
      </c>
      <c r="S209" s="242" t="e">
        <f t="shared" ref="S209:S219" si="47">(M209*R209)/Q209</f>
        <v>#VALUE!</v>
      </c>
      <c r="T209" s="17"/>
    </row>
    <row r="210" spans="1:27">
      <c r="A210" s="70">
        <f t="shared" si="41"/>
        <v>5</v>
      </c>
      <c r="B210" s="473"/>
      <c r="C210" s="476"/>
      <c r="D210" s="584"/>
      <c r="E210" s="445"/>
      <c r="F210" s="587"/>
      <c r="G210" s="587"/>
      <c r="H210" s="587"/>
      <c r="I210" s="6">
        <f t="shared" si="45"/>
        <v>5.2299999999999969</v>
      </c>
      <c r="J210" s="8" t="s">
        <v>48</v>
      </c>
      <c r="K210" s="1" t="e">
        <f>SUMIF('[3]BESS 12'!$B$4:$B$270,$J210,'[3]BESS 12'!U$4:U$270)</f>
        <v>#VALUE!</v>
      </c>
      <c r="L210" s="36" t="e">
        <f>SUMIF('[3]BESS 12'!$B$4:$B$270,$J210,'[3]BESS 12'!V$4:V$270)</f>
        <v>#VALUE!</v>
      </c>
      <c r="M210" s="139" t="e">
        <f t="shared" si="43"/>
        <v>#VALUE!</v>
      </c>
      <c r="N210" s="436" t="s">
        <v>543</v>
      </c>
      <c r="O210" s="424">
        <f t="shared" si="42"/>
        <v>46233</v>
      </c>
      <c r="P210" s="285" t="s">
        <v>164</v>
      </c>
      <c r="Q210" s="276">
        <v>8</v>
      </c>
      <c r="R210" s="241">
        <v>6</v>
      </c>
      <c r="S210" s="242" t="e">
        <f t="shared" si="47"/>
        <v>#VALUE!</v>
      </c>
      <c r="T210" s="19"/>
      <c r="AA210" s="73"/>
    </row>
    <row r="211" spans="1:27">
      <c r="A211" s="70">
        <f t="shared" si="41"/>
        <v>5</v>
      </c>
      <c r="B211" s="473"/>
      <c r="C211" s="476"/>
      <c r="D211" s="584"/>
      <c r="E211" s="445"/>
      <c r="F211" s="587"/>
      <c r="G211" s="587"/>
      <c r="H211" s="587"/>
      <c r="I211" s="59">
        <f t="shared" si="45"/>
        <v>5.2399999999999967</v>
      </c>
      <c r="J211" s="57" t="s">
        <v>126</v>
      </c>
      <c r="K211" s="2" t="e">
        <f>SUMIF('[3]BESS 12'!$B$4:$B$270,$J211,'[3]BESS 12'!U$4:U$270)</f>
        <v>#VALUE!</v>
      </c>
      <c r="L211" s="2" t="e">
        <f>SUMIF('[3]BESS 12'!$B$4:$B$270,$J211,'[3]BESS 12'!V$4:V$270)</f>
        <v>#VALUE!</v>
      </c>
      <c r="M211" s="2" t="e">
        <f t="shared" si="43"/>
        <v>#VALUE!</v>
      </c>
      <c r="N211" s="63" t="s">
        <v>122</v>
      </c>
      <c r="O211" s="424" t="str">
        <f t="shared" si="42"/>
        <v>-</v>
      </c>
      <c r="P211" s="292" t="s">
        <v>164</v>
      </c>
      <c r="Q211" s="276">
        <v>600</v>
      </c>
      <c r="R211" s="241">
        <v>10</v>
      </c>
      <c r="S211" s="242" t="e">
        <f t="shared" si="47"/>
        <v>#VALUE!</v>
      </c>
      <c r="T211" s="19"/>
    </row>
    <row r="212" spans="1:27">
      <c r="A212" s="70">
        <f t="shared" si="41"/>
        <v>5</v>
      </c>
      <c r="B212" s="473"/>
      <c r="C212" s="476"/>
      <c r="D212" s="584"/>
      <c r="E212" s="445"/>
      <c r="F212" s="587"/>
      <c r="G212" s="587"/>
      <c r="H212" s="587"/>
      <c r="I212" s="59">
        <f t="shared" si="45"/>
        <v>5.2499999999999964</v>
      </c>
      <c r="J212" s="57" t="s">
        <v>127</v>
      </c>
      <c r="K212" s="2" t="e">
        <f>SUMIF('[3]BESS 12'!$B$4:$B$270,$J212,'[3]BESS 12'!U$4:U$270)</f>
        <v>#VALUE!</v>
      </c>
      <c r="L212" s="2" t="e">
        <f>SUMIF('[3]BESS 12'!$B$4:$B$270,$J212,'[3]BESS 12'!V$4:V$270)</f>
        <v>#VALUE!</v>
      </c>
      <c r="M212" s="2" t="e">
        <f t="shared" si="43"/>
        <v>#VALUE!</v>
      </c>
      <c r="N212" s="63" t="s">
        <v>122</v>
      </c>
      <c r="O212" s="424" t="str">
        <f t="shared" si="42"/>
        <v>-</v>
      </c>
      <c r="P212" s="292" t="s">
        <v>164</v>
      </c>
      <c r="Q212" s="276">
        <v>600</v>
      </c>
      <c r="R212" s="241">
        <v>10</v>
      </c>
      <c r="S212" s="242" t="e">
        <f t="shared" si="47"/>
        <v>#VALUE!</v>
      </c>
      <c r="T212" s="19"/>
    </row>
    <row r="213" spans="1:27">
      <c r="A213" s="70">
        <f t="shared" si="41"/>
        <v>5</v>
      </c>
      <c r="B213" s="473"/>
      <c r="C213" s="476"/>
      <c r="D213" s="584"/>
      <c r="E213" s="445"/>
      <c r="F213" s="587"/>
      <c r="G213" s="587"/>
      <c r="H213" s="587"/>
      <c r="I213" s="6">
        <f t="shared" si="45"/>
        <v>5.2599999999999962</v>
      </c>
      <c r="J213" s="8" t="s">
        <v>128</v>
      </c>
      <c r="K213" s="1" t="e">
        <f>SUMIF('[3]BESS 12'!$B$4:$B$270,$J213,'[3]BESS 12'!U$4:U$270)</f>
        <v>#VALUE!</v>
      </c>
      <c r="L213" s="36" t="e">
        <f>SUMIF('[3]BESS 12'!$B$4:$B$270,$J213,'[3]BESS 12'!V$4:V$270)</f>
        <v>#VALUE!</v>
      </c>
      <c r="M213" s="139" t="e">
        <f t="shared" si="43"/>
        <v>#VALUE!</v>
      </c>
      <c r="N213" s="436" t="s">
        <v>544</v>
      </c>
      <c r="O213" s="424">
        <f t="shared" si="42"/>
        <v>46236</v>
      </c>
      <c r="P213" s="285" t="s">
        <v>164</v>
      </c>
      <c r="Q213" s="276">
        <v>30</v>
      </c>
      <c r="R213" s="241">
        <v>18</v>
      </c>
      <c r="S213" s="242" t="e">
        <f t="shared" si="47"/>
        <v>#VALUE!</v>
      </c>
      <c r="T213" s="17"/>
      <c r="AA213" s="73"/>
    </row>
    <row r="214" spans="1:27">
      <c r="A214" s="70">
        <f t="shared" si="41"/>
        <v>5</v>
      </c>
      <c r="B214" s="473"/>
      <c r="C214" s="476"/>
      <c r="D214" s="584"/>
      <c r="E214" s="445"/>
      <c r="F214" s="587"/>
      <c r="G214" s="587"/>
      <c r="H214" s="587"/>
      <c r="I214" s="6">
        <f t="shared" si="45"/>
        <v>5.269999999999996</v>
      </c>
      <c r="J214" s="8" t="s">
        <v>129</v>
      </c>
      <c r="K214" s="1" t="e">
        <f>SUMIF('[3]BESS 12'!$B$4:$B$270,$J214,'[3]BESS 12'!U$4:U$270)</f>
        <v>#VALUE!</v>
      </c>
      <c r="L214" s="36" t="e">
        <f>SUMIF('[3]BESS 12'!$B$4:$B$270,$J214,'[3]BESS 12'!V$4:V$270)</f>
        <v>#VALUE!</v>
      </c>
      <c r="M214" s="139" t="e">
        <f t="shared" ref="M214:M229" si="48">K214-L214</f>
        <v>#VALUE!</v>
      </c>
      <c r="N214" s="436" t="s">
        <v>544</v>
      </c>
      <c r="O214" s="424">
        <f t="shared" si="42"/>
        <v>46236</v>
      </c>
      <c r="P214" s="285" t="s">
        <v>164</v>
      </c>
      <c r="Q214" s="276">
        <v>30</v>
      </c>
      <c r="R214" s="241">
        <v>18</v>
      </c>
      <c r="S214" s="242" t="e">
        <f t="shared" si="47"/>
        <v>#VALUE!</v>
      </c>
      <c r="T214" s="17"/>
      <c r="AA214" s="73"/>
    </row>
    <row r="215" spans="1:27" ht="25.5">
      <c r="A215" s="70">
        <f t="shared" si="41"/>
        <v>5</v>
      </c>
      <c r="B215" s="473"/>
      <c r="C215" s="476"/>
      <c r="D215" s="584"/>
      <c r="E215" s="445"/>
      <c r="F215" s="587"/>
      <c r="G215" s="587"/>
      <c r="H215" s="587"/>
      <c r="I215" s="6">
        <f t="shared" si="45"/>
        <v>5.2799999999999958</v>
      </c>
      <c r="J215" s="8" t="s">
        <v>130</v>
      </c>
      <c r="K215" s="1" t="e">
        <f>SUMIF('[3]BESS 12'!$B$4:$B$270,$J215,'[3]BESS 12'!U$4:U$270)</f>
        <v>#VALUE!</v>
      </c>
      <c r="L215" s="36" t="e">
        <f>SUMIF('[3]BESS 12'!$B$4:$B$270,$J215,'[3]BESS 12'!V$4:V$270)</f>
        <v>#VALUE!</v>
      </c>
      <c r="M215" s="139" t="e">
        <f t="shared" si="48"/>
        <v>#VALUE!</v>
      </c>
      <c r="N215" s="432" t="s">
        <v>690</v>
      </c>
      <c r="O215" s="424">
        <f t="shared" si="42"/>
        <v>46233</v>
      </c>
      <c r="P215" s="285" t="s">
        <v>164</v>
      </c>
      <c r="Q215" s="276">
        <v>1000</v>
      </c>
      <c r="R215" s="241">
        <v>10</v>
      </c>
      <c r="S215" s="242" t="e">
        <f t="shared" si="47"/>
        <v>#VALUE!</v>
      </c>
      <c r="T215" s="17"/>
      <c r="AA215" s="73"/>
    </row>
    <row r="216" spans="1:27" ht="25.5">
      <c r="A216" s="70">
        <f t="shared" si="41"/>
        <v>5</v>
      </c>
      <c r="B216" s="473"/>
      <c r="C216" s="476"/>
      <c r="D216" s="584"/>
      <c r="E216" s="445"/>
      <c r="F216" s="587"/>
      <c r="G216" s="587"/>
      <c r="H216" s="587"/>
      <c r="I216" s="6">
        <f t="shared" si="45"/>
        <v>5.2899999999999956</v>
      </c>
      <c r="J216" s="8" t="s">
        <v>131</v>
      </c>
      <c r="K216" s="1" t="e">
        <f>SUMIF('[3]BESS 12'!$B$4:$B$270,$J216,'[3]BESS 12'!U$4:U$270)</f>
        <v>#VALUE!</v>
      </c>
      <c r="L216" s="36" t="e">
        <f>SUMIF('[3]BESS 12'!$B$4:$B$270,$J216,'[3]BESS 12'!V$4:V$270)</f>
        <v>#VALUE!</v>
      </c>
      <c r="M216" s="139" t="e">
        <f t="shared" si="48"/>
        <v>#VALUE!</v>
      </c>
      <c r="N216" s="432" t="s">
        <v>690</v>
      </c>
      <c r="O216" s="424">
        <f t="shared" si="42"/>
        <v>46233</v>
      </c>
      <c r="P216" s="285" t="s">
        <v>164</v>
      </c>
      <c r="Q216" s="276">
        <v>1000</v>
      </c>
      <c r="R216" s="241">
        <v>10</v>
      </c>
      <c r="S216" s="242" t="e">
        <f t="shared" si="47"/>
        <v>#VALUE!</v>
      </c>
      <c r="T216" s="17"/>
      <c r="AA216" s="73"/>
    </row>
    <row r="217" spans="1:27" ht="25.5">
      <c r="A217" s="70">
        <f t="shared" si="41"/>
        <v>5</v>
      </c>
      <c r="B217" s="473"/>
      <c r="C217" s="476"/>
      <c r="D217" s="584"/>
      <c r="E217" s="445"/>
      <c r="F217" s="587"/>
      <c r="G217" s="587"/>
      <c r="H217" s="587"/>
      <c r="I217" s="6">
        <f t="shared" si="45"/>
        <v>5.2999999999999954</v>
      </c>
      <c r="J217" s="8" t="s">
        <v>132</v>
      </c>
      <c r="K217" s="1" t="e">
        <f>SUMIF('[3]BESS 12'!$B$4:$B$270,$J217,'[3]BESS 12'!U$4:U$270)</f>
        <v>#VALUE!</v>
      </c>
      <c r="L217" s="36" t="e">
        <f>SUMIF('[3]BESS 12'!$B$4:$B$270,$J217,'[3]BESS 12'!V$4:V$270)</f>
        <v>#VALUE!</v>
      </c>
      <c r="M217" s="139" t="e">
        <f t="shared" si="48"/>
        <v>#VALUE!</v>
      </c>
      <c r="N217" s="432" t="s">
        <v>690</v>
      </c>
      <c r="O217" s="424">
        <f t="shared" si="42"/>
        <v>46233</v>
      </c>
      <c r="P217" s="285" t="s">
        <v>164</v>
      </c>
      <c r="Q217" s="276">
        <v>500</v>
      </c>
      <c r="R217" s="241">
        <v>10</v>
      </c>
      <c r="S217" s="242" t="e">
        <f t="shared" si="47"/>
        <v>#VALUE!</v>
      </c>
      <c r="T217" s="17"/>
      <c r="AA217" s="73"/>
    </row>
    <row r="218" spans="1:27" ht="25.5">
      <c r="A218" s="70">
        <f t="shared" si="41"/>
        <v>5</v>
      </c>
      <c r="B218" s="473"/>
      <c r="C218" s="476"/>
      <c r="D218" s="584"/>
      <c r="E218" s="445"/>
      <c r="F218" s="587"/>
      <c r="G218" s="587"/>
      <c r="H218" s="587"/>
      <c r="I218" s="6">
        <f t="shared" si="45"/>
        <v>5.3099999999999952</v>
      </c>
      <c r="J218" s="8" t="s">
        <v>133</v>
      </c>
      <c r="K218" s="1" t="e">
        <f>SUMIF('[3]BESS 12'!$B$4:$B$270,$J218,'[3]BESS 12'!U$4:U$270)</f>
        <v>#VALUE!</v>
      </c>
      <c r="L218" s="36" t="e">
        <f>SUMIF('[3]BESS 12'!$B$4:$B$270,$J218,'[3]BESS 12'!V$4:V$270)</f>
        <v>#VALUE!</v>
      </c>
      <c r="M218" s="139" t="e">
        <f t="shared" si="48"/>
        <v>#VALUE!</v>
      </c>
      <c r="N218" s="432" t="s">
        <v>691</v>
      </c>
      <c r="O218" s="424">
        <f t="shared" si="42"/>
        <v>46236</v>
      </c>
      <c r="P218" s="285" t="s">
        <v>164</v>
      </c>
      <c r="Q218" s="276">
        <v>30</v>
      </c>
      <c r="R218" s="241">
        <v>6</v>
      </c>
      <c r="S218" s="242" t="e">
        <f t="shared" si="47"/>
        <v>#VALUE!</v>
      </c>
      <c r="T218" s="17"/>
      <c r="AA218" s="73"/>
    </row>
    <row r="219" spans="1:27" ht="25.5">
      <c r="A219" s="70">
        <f t="shared" si="41"/>
        <v>5</v>
      </c>
      <c r="B219" s="473"/>
      <c r="C219" s="476"/>
      <c r="D219" s="584"/>
      <c r="E219" s="445"/>
      <c r="F219" s="587"/>
      <c r="G219" s="587"/>
      <c r="H219" s="587"/>
      <c r="I219" s="6">
        <f t="shared" si="45"/>
        <v>5.319999999999995</v>
      </c>
      <c r="J219" s="8" t="s">
        <v>134</v>
      </c>
      <c r="K219" s="1" t="e">
        <f>SUMIF('[3]BESS 12'!$B$4:$B$270,$J219,'[3]BESS 12'!U$4:U$270)</f>
        <v>#VALUE!</v>
      </c>
      <c r="L219" s="36" t="e">
        <f>SUMIF('[3]BESS 12'!$B$4:$B$270,$J219,'[3]BESS 12'!V$4:V$270)</f>
        <v>#VALUE!</v>
      </c>
      <c r="M219" s="139" t="e">
        <f t="shared" si="48"/>
        <v>#VALUE!</v>
      </c>
      <c r="N219" s="432" t="s">
        <v>691</v>
      </c>
      <c r="O219" s="424">
        <f t="shared" si="42"/>
        <v>46236</v>
      </c>
      <c r="P219" s="285" t="s">
        <v>172</v>
      </c>
      <c r="Q219" s="276">
        <v>30</v>
      </c>
      <c r="R219" s="241">
        <v>4</v>
      </c>
      <c r="S219" s="242" t="e">
        <f t="shared" si="47"/>
        <v>#VALUE!</v>
      </c>
      <c r="T219" s="17"/>
      <c r="AA219" s="73"/>
    </row>
    <row r="220" spans="1:27" ht="25.5">
      <c r="A220" s="70">
        <f t="shared" si="41"/>
        <v>5</v>
      </c>
      <c r="B220" s="473"/>
      <c r="C220" s="476"/>
      <c r="D220" s="584"/>
      <c r="E220" s="445"/>
      <c r="F220" s="587"/>
      <c r="G220" s="587"/>
      <c r="H220" s="587"/>
      <c r="I220" s="6">
        <f t="shared" si="45"/>
        <v>5.3299999999999947</v>
      </c>
      <c r="J220" s="8" t="s">
        <v>136</v>
      </c>
      <c r="K220" s="1" t="e">
        <f>SUMIF('[3]BESS 12'!$B$4:$B$270,$J220,'[3]BESS 12'!U$4:U$270)</f>
        <v>#VALUE!</v>
      </c>
      <c r="L220" s="36" t="e">
        <f>SUMIF('[3]BESS 12'!$B$4:$B$270,$J220,'[3]BESS 12'!V$4:V$270)</f>
        <v>#VALUE!</v>
      </c>
      <c r="M220" s="139" t="e">
        <f t="shared" si="48"/>
        <v>#VALUE!</v>
      </c>
      <c r="N220" s="432" t="s">
        <v>691</v>
      </c>
      <c r="O220" s="424">
        <f t="shared" si="42"/>
        <v>46236</v>
      </c>
      <c r="P220" s="285" t="s">
        <v>172</v>
      </c>
      <c r="Q220" s="276" t="s">
        <v>89</v>
      </c>
      <c r="R220" s="241" t="s">
        <v>89</v>
      </c>
      <c r="S220" s="242" t="s">
        <v>89</v>
      </c>
      <c r="T220" s="77"/>
      <c r="U220" s="70">
        <f ca="1">O220-$T$1</f>
        <v>3</v>
      </c>
      <c r="V220" s="273" t="e">
        <f>SUM(S199:S230)</f>
        <v>#VALUE!</v>
      </c>
      <c r="W220" s="274" t="e">
        <f ca="1">V220/U220</f>
        <v>#VALUE!</v>
      </c>
      <c r="AA220" s="73"/>
    </row>
    <row r="221" spans="1:27" ht="25.5">
      <c r="A221" s="70">
        <f t="shared" si="41"/>
        <v>5</v>
      </c>
      <c r="B221" s="473"/>
      <c r="C221" s="476"/>
      <c r="D221" s="584"/>
      <c r="E221" s="445"/>
      <c r="F221" s="587"/>
      <c r="G221" s="587"/>
      <c r="H221" s="587"/>
      <c r="I221" s="6">
        <f t="shared" si="45"/>
        <v>5.3399999999999945</v>
      </c>
      <c r="J221" s="8" t="s">
        <v>137</v>
      </c>
      <c r="K221" s="1" t="e">
        <f>SUMIF('[3]BESS 12'!$B$4:$B$270,$J221,'[3]BESS 12'!U$4:U$270)</f>
        <v>#VALUE!</v>
      </c>
      <c r="L221" s="36" t="e">
        <f>SUMIF('[3]BESS 12'!$B$4:$B$270,$J221,'[3]BESS 12'!V$4:V$270)</f>
        <v>#VALUE!</v>
      </c>
      <c r="M221" s="139" t="e">
        <f t="shared" si="48"/>
        <v>#VALUE!</v>
      </c>
      <c r="N221" s="432" t="s">
        <v>692</v>
      </c>
      <c r="O221" s="424">
        <f t="shared" si="42"/>
        <v>46231</v>
      </c>
      <c r="P221" s="285" t="s">
        <v>164</v>
      </c>
      <c r="Q221" s="590">
        <v>2</v>
      </c>
      <c r="R221" s="591">
        <v>8</v>
      </c>
      <c r="S221" s="242">
        <v>12</v>
      </c>
      <c r="T221" s="77"/>
      <c r="AA221" s="73"/>
    </row>
    <row r="222" spans="1:27" ht="25.5">
      <c r="A222" s="70">
        <f t="shared" si="41"/>
        <v>5</v>
      </c>
      <c r="B222" s="473"/>
      <c r="C222" s="476"/>
      <c r="D222" s="584"/>
      <c r="E222" s="445"/>
      <c r="F222" s="587"/>
      <c r="G222" s="587"/>
      <c r="H222" s="587"/>
      <c r="I222" s="6">
        <f t="shared" si="45"/>
        <v>5.3499999999999943</v>
      </c>
      <c r="J222" s="8" t="s">
        <v>139</v>
      </c>
      <c r="K222" s="1" t="e">
        <f>SUMIF('[3]BESS 12'!$B$4:$B$270,$J222,'[3]BESS 12'!U$4:U$270)</f>
        <v>#VALUE!</v>
      </c>
      <c r="L222" s="36" t="e">
        <f>SUMIF('[3]BESS 12'!$B$4:$B$270,$J222,'[3]BESS 12'!V$4:V$270)</f>
        <v>#VALUE!</v>
      </c>
      <c r="M222" s="139" t="e">
        <f t="shared" si="48"/>
        <v>#VALUE!</v>
      </c>
      <c r="N222" s="432" t="s">
        <v>693</v>
      </c>
      <c r="O222" s="424">
        <f t="shared" si="42"/>
        <v>46233</v>
      </c>
      <c r="P222" s="285" t="s">
        <v>164</v>
      </c>
      <c r="Q222" s="590"/>
      <c r="R222" s="591"/>
      <c r="S222" s="242"/>
      <c r="T222" s="77"/>
      <c r="AA222" s="73"/>
    </row>
    <row r="223" spans="1:27">
      <c r="A223" s="70">
        <f t="shared" si="41"/>
        <v>5</v>
      </c>
      <c r="B223" s="473"/>
      <c r="C223" s="476"/>
      <c r="D223" s="584"/>
      <c r="E223" s="445"/>
      <c r="F223" s="587"/>
      <c r="G223" s="587"/>
      <c r="H223" s="587"/>
      <c r="I223" s="6">
        <f t="shared" si="45"/>
        <v>5.3599999999999941</v>
      </c>
      <c r="J223" s="8" t="s">
        <v>140</v>
      </c>
      <c r="K223" s="1" t="e">
        <f>SUMIF('[3]BESS 12'!$B$4:$B$270,$J223,'[3]BESS 12'!U$4:U$270)</f>
        <v>#VALUE!</v>
      </c>
      <c r="L223" s="36" t="e">
        <f>SUMIF('[3]BESS 12'!$B$4:$B$270,$J223,'[3]BESS 12'!V$4:V$270)</f>
        <v>#VALUE!</v>
      </c>
      <c r="M223" s="139" t="e">
        <f t="shared" si="48"/>
        <v>#VALUE!</v>
      </c>
      <c r="N223" s="436">
        <v>46238</v>
      </c>
      <c r="O223" s="424">
        <f t="shared" si="42"/>
        <v>46238</v>
      </c>
      <c r="P223" s="285" t="s">
        <v>164</v>
      </c>
      <c r="Q223" s="276">
        <v>2</v>
      </c>
      <c r="R223" s="241">
        <v>4</v>
      </c>
      <c r="S223" s="242" t="e">
        <f t="shared" ref="S223:S230" si="49">(M223*R223)/Q223</f>
        <v>#VALUE!</v>
      </c>
      <c r="T223" s="119"/>
      <c r="U223" s="70">
        <f ca="1">O223-$T$1</f>
        <v>5</v>
      </c>
      <c r="V223" s="273" t="e">
        <f>SUM(S199:S230)</f>
        <v>#VALUE!</v>
      </c>
      <c r="W223" s="274" t="e">
        <f ca="1">V223/(U223-3)</f>
        <v>#VALUE!</v>
      </c>
    </row>
    <row r="224" spans="1:27" ht="25.5">
      <c r="A224" s="70">
        <f t="shared" si="41"/>
        <v>5</v>
      </c>
      <c r="B224" s="473"/>
      <c r="C224" s="476"/>
      <c r="D224" s="584"/>
      <c r="E224" s="445"/>
      <c r="F224" s="587"/>
      <c r="G224" s="587"/>
      <c r="H224" s="587"/>
      <c r="I224" s="6">
        <f t="shared" si="45"/>
        <v>5.3699999999999939</v>
      </c>
      <c r="J224" s="8" t="s">
        <v>141</v>
      </c>
      <c r="K224" s="1" t="e">
        <f>SUMIF('[3]BESS 12'!$B$4:$B$270,$J224,'[3]BESS 12'!U$4:U$270)</f>
        <v>#VALUE!</v>
      </c>
      <c r="L224" s="36" t="e">
        <f>SUMIF('[3]BESS 12'!$B$4:$B$270,$J224,'[3]BESS 12'!V$4:V$270)</f>
        <v>#VALUE!</v>
      </c>
      <c r="M224" s="139" t="e">
        <f t="shared" si="48"/>
        <v>#VALUE!</v>
      </c>
      <c r="N224" s="436" t="s">
        <v>543</v>
      </c>
      <c r="O224" s="424">
        <f t="shared" si="42"/>
        <v>46233</v>
      </c>
      <c r="P224" s="285" t="s">
        <v>164</v>
      </c>
      <c r="Q224" s="276">
        <v>0.5</v>
      </c>
      <c r="R224" s="241">
        <v>4</v>
      </c>
      <c r="S224" s="242" t="e">
        <f t="shared" si="49"/>
        <v>#VALUE!</v>
      </c>
      <c r="T224" s="261"/>
      <c r="AA224" s="73"/>
    </row>
    <row r="225" spans="1:27">
      <c r="A225" s="70">
        <f t="shared" si="41"/>
        <v>5</v>
      </c>
      <c r="B225" s="473"/>
      <c r="C225" s="476"/>
      <c r="D225" s="584"/>
      <c r="E225" s="445"/>
      <c r="F225" s="587"/>
      <c r="G225" s="587"/>
      <c r="H225" s="587"/>
      <c r="I225" s="6">
        <f t="shared" si="45"/>
        <v>5.3799999999999937</v>
      </c>
      <c r="J225" s="8" t="s">
        <v>142</v>
      </c>
      <c r="K225" s="1" t="e">
        <f>SUMIF('[3]BESS 12'!$B$4:$B$270,$J225,'[3]BESS 12'!U$4:U$270)</f>
        <v>#VALUE!</v>
      </c>
      <c r="L225" s="36" t="e">
        <f>SUMIF('[3]BESS 12'!$B$4:$B$270,$J225,'[3]BESS 12'!V$4:V$270)</f>
        <v>#VALUE!</v>
      </c>
      <c r="M225" s="139" t="e">
        <f t="shared" si="48"/>
        <v>#VALUE!</v>
      </c>
      <c r="N225" s="436">
        <v>46236</v>
      </c>
      <c r="O225" s="424">
        <f t="shared" si="42"/>
        <v>46236</v>
      </c>
      <c r="P225" s="285" t="s">
        <v>164</v>
      </c>
      <c r="Q225" s="276">
        <v>6</v>
      </c>
      <c r="R225" s="241">
        <v>4</v>
      </c>
      <c r="S225" s="242" t="e">
        <f t="shared" si="49"/>
        <v>#VALUE!</v>
      </c>
      <c r="T225" s="262"/>
    </row>
    <row r="226" spans="1:27">
      <c r="A226" s="70">
        <f t="shared" si="41"/>
        <v>5</v>
      </c>
      <c r="B226" s="473"/>
      <c r="C226" s="476"/>
      <c r="D226" s="584"/>
      <c r="E226" s="445"/>
      <c r="F226" s="587"/>
      <c r="G226" s="587"/>
      <c r="H226" s="587"/>
      <c r="I226" s="6">
        <f t="shared" si="45"/>
        <v>5.3899999999999935</v>
      </c>
      <c r="J226" s="8" t="s">
        <v>143</v>
      </c>
      <c r="K226" s="1" t="e">
        <f>SUMIF('[3]BESS 12'!$B$4:$B$270,$J226,'[3]BESS 12'!U$4:U$270)</f>
        <v>#VALUE!</v>
      </c>
      <c r="L226" s="36" t="e">
        <f>SUMIF('[3]BESS 12'!$B$4:$B$270,$J226,'[3]BESS 12'!V$4:V$270)</f>
        <v>#VALUE!</v>
      </c>
      <c r="M226" s="139" t="e">
        <f t="shared" si="48"/>
        <v>#VALUE!</v>
      </c>
      <c r="N226" s="436" t="s">
        <v>545</v>
      </c>
      <c r="O226" s="424">
        <f t="shared" si="42"/>
        <v>46235</v>
      </c>
      <c r="P226" s="285" t="s">
        <v>164</v>
      </c>
      <c r="Q226" s="276">
        <v>6</v>
      </c>
      <c r="R226" s="241">
        <v>5</v>
      </c>
      <c r="S226" s="242" t="e">
        <f t="shared" si="49"/>
        <v>#VALUE!</v>
      </c>
      <c r="T226" s="262"/>
      <c r="AA226" s="73"/>
    </row>
    <row r="227" spans="1:27">
      <c r="A227" s="70">
        <f t="shared" si="41"/>
        <v>5</v>
      </c>
      <c r="B227" s="473"/>
      <c r="C227" s="476"/>
      <c r="D227" s="584"/>
      <c r="E227" s="445"/>
      <c r="F227" s="587"/>
      <c r="G227" s="587"/>
      <c r="H227" s="587"/>
      <c r="I227" s="6">
        <f t="shared" si="45"/>
        <v>5.3999999999999932</v>
      </c>
      <c r="J227" s="8" t="s">
        <v>144</v>
      </c>
      <c r="K227" s="1" t="e">
        <f>SUMIF('[3]BESS 12'!$B$4:$B$270,$J227,'[3]BESS 12'!U$4:U$270)</f>
        <v>#VALUE!</v>
      </c>
      <c r="L227" s="36" t="e">
        <f>SUMIF('[3]BESS 12'!$B$4:$B$270,$J227,'[3]BESS 12'!V$4:V$270)</f>
        <v>#VALUE!</v>
      </c>
      <c r="M227" s="139" t="e">
        <f t="shared" si="48"/>
        <v>#VALUE!</v>
      </c>
      <c r="N227" s="436" t="s">
        <v>546</v>
      </c>
      <c r="O227" s="424">
        <f t="shared" si="42"/>
        <v>46234</v>
      </c>
      <c r="P227" s="285" t="s">
        <v>164</v>
      </c>
      <c r="Q227" s="276">
        <v>1</v>
      </c>
      <c r="R227" s="241">
        <v>5</v>
      </c>
      <c r="S227" s="242" t="e">
        <f t="shared" si="49"/>
        <v>#VALUE!</v>
      </c>
      <c r="T227" s="332"/>
      <c r="AA227" s="73"/>
    </row>
    <row r="228" spans="1:27">
      <c r="A228" s="70">
        <f t="shared" si="41"/>
        <v>5</v>
      </c>
      <c r="B228" s="473"/>
      <c r="C228" s="476"/>
      <c r="D228" s="584"/>
      <c r="E228" s="445"/>
      <c r="F228" s="587"/>
      <c r="G228" s="587"/>
      <c r="H228" s="587"/>
      <c r="I228" s="6">
        <f t="shared" si="45"/>
        <v>5.409999999999993</v>
      </c>
      <c r="J228" s="8" t="s">
        <v>145</v>
      </c>
      <c r="K228" s="1" t="e">
        <f>SUMIF('[3]BESS 12'!$B$4:$B$270,$J228,'[3]BESS 12'!U$4:U$270)</f>
        <v>#VALUE!</v>
      </c>
      <c r="L228" s="36" t="e">
        <f>SUMIF('[3]BESS 12'!$B$4:$B$270,$J228,'[3]BESS 12'!V$4:V$270)</f>
        <v>#VALUE!</v>
      </c>
      <c r="M228" s="139" t="e">
        <f t="shared" si="48"/>
        <v>#VALUE!</v>
      </c>
      <c r="N228" s="436" t="s">
        <v>546</v>
      </c>
      <c r="O228" s="424">
        <f t="shared" si="42"/>
        <v>46234</v>
      </c>
      <c r="P228" s="285" t="s">
        <v>164</v>
      </c>
      <c r="Q228" s="276">
        <v>3</v>
      </c>
      <c r="R228" s="241">
        <v>5</v>
      </c>
      <c r="S228" s="242" t="e">
        <f t="shared" si="49"/>
        <v>#VALUE!</v>
      </c>
      <c r="T228" s="332"/>
      <c r="AA228" s="73"/>
    </row>
    <row r="229" spans="1:27">
      <c r="A229" s="70">
        <f t="shared" si="41"/>
        <v>5</v>
      </c>
      <c r="B229" s="473"/>
      <c r="C229" s="476"/>
      <c r="D229" s="584"/>
      <c r="E229" s="445"/>
      <c r="F229" s="587"/>
      <c r="G229" s="587"/>
      <c r="H229" s="587"/>
      <c r="I229" s="6">
        <f t="shared" si="45"/>
        <v>5.4199999999999928</v>
      </c>
      <c r="J229" s="8" t="s">
        <v>54</v>
      </c>
      <c r="K229" s="1" t="e">
        <f>SUMIF('[3]BESS 12'!$B$4:$B$270,$J229,'[3]BESS 12'!U$4:U$270)</f>
        <v>#VALUE!</v>
      </c>
      <c r="L229" s="36" t="e">
        <f>SUMIF('[3]BESS 12'!$B$4:$B$270,$J229,'[3]BESS 12'!V$4:V$270)</f>
        <v>#VALUE!</v>
      </c>
      <c r="M229" s="139" t="e">
        <f t="shared" si="48"/>
        <v>#VALUE!</v>
      </c>
      <c r="N229" s="436" t="s">
        <v>336</v>
      </c>
      <c r="O229" s="424">
        <f t="shared" si="42"/>
        <v>46238</v>
      </c>
      <c r="P229" s="285" t="s">
        <v>164</v>
      </c>
      <c r="Q229" s="276">
        <v>150</v>
      </c>
      <c r="R229" s="241">
        <v>6</v>
      </c>
      <c r="S229" s="242" t="e">
        <f t="shared" si="49"/>
        <v>#VALUE!</v>
      </c>
      <c r="T229" s="332"/>
      <c r="AA229" s="73"/>
    </row>
    <row r="230" spans="1:27" ht="15.75" thickBot="1">
      <c r="A230" s="70">
        <f t="shared" si="41"/>
        <v>5</v>
      </c>
      <c r="B230" s="474"/>
      <c r="C230" s="477"/>
      <c r="D230" s="585"/>
      <c r="E230" s="479"/>
      <c r="F230" s="588"/>
      <c r="G230" s="588"/>
      <c r="H230" s="588"/>
      <c r="I230" s="22">
        <f t="shared" si="45"/>
        <v>5.4299999999999926</v>
      </c>
      <c r="J230" s="23" t="s">
        <v>55</v>
      </c>
      <c r="K230" s="24" t="e">
        <f>SUMIF('[3]BESS 12'!$B$4:$B$270,$J230,'[3]BESS 12'!U$4:U$270)</f>
        <v>#VALUE!</v>
      </c>
      <c r="L230" s="25" t="e">
        <f>SUMIF('[3]BESS 12'!$B$4:$B$270,$J230,'[3]BESS 12'!V$4:V$270)</f>
        <v>#VALUE!</v>
      </c>
      <c r="M230" s="26" t="e">
        <f t="shared" si="43"/>
        <v>#VALUE!</v>
      </c>
      <c r="N230" s="439" t="s">
        <v>547</v>
      </c>
      <c r="O230" s="427">
        <f t="shared" si="42"/>
        <v>46235</v>
      </c>
      <c r="P230" s="355" t="s">
        <v>164</v>
      </c>
      <c r="Q230" s="279">
        <v>5</v>
      </c>
      <c r="R230" s="252">
        <v>6</v>
      </c>
      <c r="S230" s="253" t="e">
        <f t="shared" si="49"/>
        <v>#VALUE!</v>
      </c>
      <c r="T230" s="333"/>
      <c r="AA230" s="73"/>
    </row>
    <row r="231" spans="1:27">
      <c r="A231" s="70">
        <f t="shared" si="41"/>
        <v>6</v>
      </c>
      <c r="B231" s="472" t="s">
        <v>17</v>
      </c>
      <c r="C231" s="475">
        <v>6</v>
      </c>
      <c r="D231" s="512" t="s">
        <v>773</v>
      </c>
      <c r="E231" s="524" t="s">
        <v>174</v>
      </c>
      <c r="F231" s="586">
        <v>46258</v>
      </c>
      <c r="G231" s="586">
        <v>46262</v>
      </c>
      <c r="H231" s="586">
        <v>46265</v>
      </c>
      <c r="I231" s="74"/>
      <c r="J231" s="48"/>
      <c r="K231" s="48"/>
      <c r="L231" s="75" t="s">
        <v>121</v>
      </c>
      <c r="M231" s="48"/>
      <c r="N231" s="48"/>
      <c r="O231" s="424"/>
      <c r="P231" s="284"/>
      <c r="Q231" s="281"/>
      <c r="R231" s="247"/>
      <c r="S231" s="248"/>
      <c r="T231" s="174"/>
      <c r="U231" s="73"/>
    </row>
    <row r="232" spans="1:27">
      <c r="A232" s="70">
        <f t="shared" si="41"/>
        <v>6</v>
      </c>
      <c r="B232" s="473"/>
      <c r="C232" s="476"/>
      <c r="D232" s="584"/>
      <c r="E232" s="445"/>
      <c r="F232" s="587"/>
      <c r="G232" s="587"/>
      <c r="H232" s="587"/>
      <c r="I232" s="56">
        <f>C231+0.1</f>
        <v>6.1</v>
      </c>
      <c r="J232" s="57" t="s">
        <v>19</v>
      </c>
      <c r="K232" s="2" t="e">
        <f>SUMIF('[3]BESS 12'!$B$4:$B$270,$J232,'[3]BESS 12'!Y$4:Y$270)</f>
        <v>#VALUE!</v>
      </c>
      <c r="L232" s="2" t="e">
        <f>SUMIF('[3]BESS 12'!$B$4:$B$270,$J232,'[3]BESS 12'!Z$4:Z$270)</f>
        <v>#VALUE!</v>
      </c>
      <c r="M232" s="2" t="e">
        <f>K232-L232</f>
        <v>#VALUE!</v>
      </c>
      <c r="N232" s="63" t="s">
        <v>122</v>
      </c>
      <c r="O232" s="424" t="str">
        <f t="shared" si="42"/>
        <v>-</v>
      </c>
      <c r="P232" s="292" t="s">
        <v>20</v>
      </c>
      <c r="Q232" s="276">
        <v>1</v>
      </c>
      <c r="R232" s="241">
        <v>2</v>
      </c>
      <c r="S232" s="242" t="e">
        <f t="shared" ref="S232:S241" si="50">(M232*R232)/Q232</f>
        <v>#VALUE!</v>
      </c>
      <c r="T232" s="343" t="s">
        <v>402</v>
      </c>
      <c r="V232" s="272"/>
      <c r="X232" s="73"/>
    </row>
    <row r="233" spans="1:27">
      <c r="A233" s="70">
        <f t="shared" si="41"/>
        <v>6</v>
      </c>
      <c r="B233" s="473"/>
      <c r="C233" s="476"/>
      <c r="D233" s="584"/>
      <c r="E233" s="445"/>
      <c r="F233" s="587"/>
      <c r="G233" s="587"/>
      <c r="H233" s="587"/>
      <c r="I233" s="56">
        <f>I232+0.1</f>
        <v>6.1999999999999993</v>
      </c>
      <c r="J233" s="57" t="s">
        <v>23</v>
      </c>
      <c r="K233" s="2" t="e">
        <f>SUMIF('[3]BESS 12'!$B$4:$B$270,$J233,'[3]BESS 12'!Y$4:Y$270)</f>
        <v>#VALUE!</v>
      </c>
      <c r="L233" s="2" t="e">
        <f>SUMIF('[3]BESS 12'!$B$4:$B$270,$J233,'[3]BESS 12'!Z$4:Z$270)</f>
        <v>#VALUE!</v>
      </c>
      <c r="M233" s="2" t="e">
        <f t="shared" ref="M233:M275" si="51">K233-L233</f>
        <v>#VALUE!</v>
      </c>
      <c r="N233" s="63" t="s">
        <v>122</v>
      </c>
      <c r="O233" s="424" t="str">
        <f t="shared" si="42"/>
        <v>-</v>
      </c>
      <c r="P233" s="292" t="s">
        <v>20</v>
      </c>
      <c r="Q233" s="276">
        <v>1</v>
      </c>
      <c r="R233" s="241">
        <v>16</v>
      </c>
      <c r="S233" s="242" t="e">
        <f t="shared" si="50"/>
        <v>#VALUE!</v>
      </c>
      <c r="T233" s="77"/>
      <c r="V233" s="272"/>
      <c r="X233" s="73"/>
    </row>
    <row r="234" spans="1:27">
      <c r="A234" s="70">
        <f t="shared" si="41"/>
        <v>6</v>
      </c>
      <c r="B234" s="473"/>
      <c r="C234" s="476"/>
      <c r="D234" s="584"/>
      <c r="E234" s="445"/>
      <c r="F234" s="587"/>
      <c r="G234" s="587"/>
      <c r="H234" s="587"/>
      <c r="I234" s="56">
        <f t="shared" ref="I234:I240" si="52">I233+0.1</f>
        <v>6.2999999999999989</v>
      </c>
      <c r="J234" s="57" t="s">
        <v>26</v>
      </c>
      <c r="K234" s="2" t="e">
        <f>SUMIF('[3]BESS 12'!$B$4:$B$270,$J234,'[3]BESS 12'!Y$4:Y$270)</f>
        <v>#VALUE!</v>
      </c>
      <c r="L234" s="2" t="e">
        <f>SUMIF('[3]BESS 12'!$B$4:$B$270,$J234,'[3]BESS 12'!Z$4:Z$270)</f>
        <v>#VALUE!</v>
      </c>
      <c r="M234" s="2" t="e">
        <f t="shared" si="51"/>
        <v>#VALUE!</v>
      </c>
      <c r="N234" s="63" t="s">
        <v>122</v>
      </c>
      <c r="O234" s="424" t="str">
        <f t="shared" si="42"/>
        <v>-</v>
      </c>
      <c r="P234" s="292" t="s">
        <v>20</v>
      </c>
      <c r="Q234" s="276">
        <v>1</v>
      </c>
      <c r="R234" s="241">
        <v>39</v>
      </c>
      <c r="S234" s="242" t="e">
        <f t="shared" si="50"/>
        <v>#VALUE!</v>
      </c>
      <c r="T234" s="77"/>
    </row>
    <row r="235" spans="1:27">
      <c r="A235" s="70">
        <f t="shared" si="41"/>
        <v>6</v>
      </c>
      <c r="B235" s="473"/>
      <c r="C235" s="476"/>
      <c r="D235" s="584"/>
      <c r="E235" s="445"/>
      <c r="F235" s="587"/>
      <c r="G235" s="587"/>
      <c r="H235" s="587"/>
      <c r="I235" s="56">
        <f t="shared" si="52"/>
        <v>6.3999999999999986</v>
      </c>
      <c r="J235" s="57" t="s">
        <v>32</v>
      </c>
      <c r="K235" s="2" t="e">
        <f>SUMIF('[3]BESS 12'!$B$4:$B$270,$J235,'[3]BESS 12'!Y$4:Y$270)</f>
        <v>#VALUE!</v>
      </c>
      <c r="L235" s="2" t="e">
        <f>SUMIF('[3]BESS 12'!$B$4:$B$270,$J235,'[3]BESS 12'!Z$4:Z$270)</f>
        <v>#VALUE!</v>
      </c>
      <c r="M235" s="2" t="e">
        <f t="shared" si="51"/>
        <v>#VALUE!</v>
      </c>
      <c r="N235" s="63" t="s">
        <v>122</v>
      </c>
      <c r="O235" s="424" t="str">
        <f t="shared" si="42"/>
        <v>-</v>
      </c>
      <c r="P235" s="292" t="s">
        <v>20</v>
      </c>
      <c r="Q235" s="276">
        <v>1</v>
      </c>
      <c r="R235" s="241">
        <v>37</v>
      </c>
      <c r="S235" s="242" t="e">
        <f t="shared" si="50"/>
        <v>#VALUE!</v>
      </c>
      <c r="T235" s="77"/>
      <c r="V235" s="272"/>
      <c r="X235" s="73"/>
    </row>
    <row r="236" spans="1:27">
      <c r="A236" s="70">
        <f t="shared" si="41"/>
        <v>6</v>
      </c>
      <c r="B236" s="473"/>
      <c r="C236" s="476"/>
      <c r="D236" s="584"/>
      <c r="E236" s="445"/>
      <c r="F236" s="587"/>
      <c r="G236" s="587"/>
      <c r="H236" s="587"/>
      <c r="I236" s="56">
        <f t="shared" si="52"/>
        <v>6.4999999999999982</v>
      </c>
      <c r="J236" s="57" t="s">
        <v>35</v>
      </c>
      <c r="K236" s="2" t="e">
        <f>SUMIF('[3]BESS 12'!$B$4:$B$270,$J236,'[3]BESS 12'!Y$4:Y$270)</f>
        <v>#VALUE!</v>
      </c>
      <c r="L236" s="2" t="e">
        <f>SUMIF('[3]BESS 12'!$B$4:$B$270,$J236,'[3]BESS 12'!Z$4:Z$270)</f>
        <v>#VALUE!</v>
      </c>
      <c r="M236" s="2" t="e">
        <f t="shared" si="51"/>
        <v>#VALUE!</v>
      </c>
      <c r="N236" s="63" t="s">
        <v>122</v>
      </c>
      <c r="O236" s="424" t="str">
        <f t="shared" si="42"/>
        <v>-</v>
      </c>
      <c r="P236" s="292" t="s">
        <v>20</v>
      </c>
      <c r="Q236" s="276">
        <v>1</v>
      </c>
      <c r="R236" s="241">
        <v>34</v>
      </c>
      <c r="S236" s="242" t="e">
        <f t="shared" si="50"/>
        <v>#VALUE!</v>
      </c>
      <c r="T236" s="77"/>
      <c r="V236" s="272"/>
    </row>
    <row r="237" spans="1:27">
      <c r="A237" s="70">
        <f t="shared" si="41"/>
        <v>6</v>
      </c>
      <c r="B237" s="473"/>
      <c r="C237" s="476"/>
      <c r="D237" s="584"/>
      <c r="E237" s="445"/>
      <c r="F237" s="587"/>
      <c r="G237" s="587"/>
      <c r="H237" s="587"/>
      <c r="I237" s="56">
        <f t="shared" si="52"/>
        <v>6.5999999999999979</v>
      </c>
      <c r="J237" s="57" t="s">
        <v>38</v>
      </c>
      <c r="K237" s="2" t="e">
        <f>SUMIF('[3]BESS 12'!$B$4:$B$270,$J237,'[3]BESS 12'!Y$4:Y$270)</f>
        <v>#VALUE!</v>
      </c>
      <c r="L237" s="2" t="e">
        <f>SUMIF('[3]BESS 12'!$B$4:$B$270,$J237,'[3]BESS 12'!Z$4:Z$270)</f>
        <v>#VALUE!</v>
      </c>
      <c r="M237" s="2" t="e">
        <f t="shared" si="51"/>
        <v>#VALUE!</v>
      </c>
      <c r="N237" s="63" t="s">
        <v>122</v>
      </c>
      <c r="O237" s="424" t="str">
        <f t="shared" si="42"/>
        <v>-</v>
      </c>
      <c r="P237" s="292" t="s">
        <v>20</v>
      </c>
      <c r="Q237" s="276">
        <v>1</v>
      </c>
      <c r="R237" s="241">
        <v>54</v>
      </c>
      <c r="S237" s="242" t="e">
        <f t="shared" si="50"/>
        <v>#VALUE!</v>
      </c>
      <c r="T237" s="77"/>
      <c r="V237" s="272"/>
      <c r="X237" s="73"/>
    </row>
    <row r="238" spans="1:27" ht="25.5">
      <c r="A238" s="70">
        <f t="shared" si="41"/>
        <v>6</v>
      </c>
      <c r="B238" s="473"/>
      <c r="C238" s="476"/>
      <c r="D238" s="584"/>
      <c r="E238" s="445"/>
      <c r="F238" s="587"/>
      <c r="G238" s="587"/>
      <c r="H238" s="587"/>
      <c r="I238" s="4">
        <f t="shared" si="52"/>
        <v>6.6999999999999975</v>
      </c>
      <c r="J238" s="8" t="s">
        <v>44</v>
      </c>
      <c r="K238" s="1" t="e">
        <f>SUMIF('[3]BESS 12'!$B$4:$B$270,$J238,'[3]BESS 12'!Y$4:Y$270)</f>
        <v>#VALUE!</v>
      </c>
      <c r="L238" s="2" t="e">
        <f>SUMIF('[3]BESS 12'!$B$4:$B$270,$J238,'[3]BESS 12'!Z$4:Z$270)</f>
        <v>#VALUE!</v>
      </c>
      <c r="M238" s="7" t="e">
        <f t="shared" si="51"/>
        <v>#VALUE!</v>
      </c>
      <c r="N238" s="435" t="s">
        <v>497</v>
      </c>
      <c r="O238" s="424">
        <f t="shared" si="42"/>
        <v>46230</v>
      </c>
      <c r="P238" s="285" t="s">
        <v>45</v>
      </c>
      <c r="Q238" s="276">
        <v>3</v>
      </c>
      <c r="R238" s="241">
        <v>5</v>
      </c>
      <c r="S238" s="242" t="e">
        <f t="shared" si="50"/>
        <v>#VALUE!</v>
      </c>
      <c r="T238" s="77"/>
      <c r="X238" s="73"/>
      <c r="AA238" s="73"/>
    </row>
    <row r="239" spans="1:27" ht="25.5">
      <c r="A239" s="70">
        <f t="shared" si="41"/>
        <v>6</v>
      </c>
      <c r="B239" s="473"/>
      <c r="C239" s="476"/>
      <c r="D239" s="584"/>
      <c r="E239" s="445"/>
      <c r="F239" s="587"/>
      <c r="G239" s="587"/>
      <c r="H239" s="587"/>
      <c r="I239" s="4">
        <f t="shared" si="52"/>
        <v>6.7999999999999972</v>
      </c>
      <c r="J239" s="8" t="s">
        <v>40</v>
      </c>
      <c r="K239" s="1" t="e">
        <f>SUMIF('[3]BESS 12'!$B$4:$B$270,$J239,'[3]BESS 12'!Y$4:Y$270)</f>
        <v>#VALUE!</v>
      </c>
      <c r="L239" s="2" t="e">
        <f>SUMIF('[3]BESS 12'!$B$4:$B$270,$J239,'[3]BESS 12'!Z$4:Z$270)</f>
        <v>#VALUE!</v>
      </c>
      <c r="M239" s="7" t="e">
        <f t="shared" si="51"/>
        <v>#VALUE!</v>
      </c>
      <c r="N239" s="432" t="s">
        <v>498</v>
      </c>
      <c r="O239" s="424">
        <f t="shared" si="42"/>
        <v>46232</v>
      </c>
      <c r="P239" s="285" t="s">
        <v>20</v>
      </c>
      <c r="Q239" s="276">
        <v>1</v>
      </c>
      <c r="R239" s="241">
        <v>5</v>
      </c>
      <c r="S239" s="242" t="e">
        <f t="shared" si="50"/>
        <v>#VALUE!</v>
      </c>
      <c r="T239" s="77"/>
      <c r="V239" s="272"/>
    </row>
    <row r="240" spans="1:27">
      <c r="A240" s="70">
        <f t="shared" si="41"/>
        <v>6</v>
      </c>
      <c r="B240" s="473"/>
      <c r="C240" s="476"/>
      <c r="D240" s="584"/>
      <c r="E240" s="445"/>
      <c r="F240" s="587"/>
      <c r="G240" s="587"/>
      <c r="H240" s="587"/>
      <c r="I240" s="56">
        <f t="shared" si="52"/>
        <v>6.8999999999999968</v>
      </c>
      <c r="J240" s="57" t="s">
        <v>30</v>
      </c>
      <c r="K240" s="2" t="e">
        <f>SUMIF('[3]BESS 12'!$B$4:$B$270,$J240,'[3]BESS 12'!Y$4:Y$270)</f>
        <v>#VALUE!</v>
      </c>
      <c r="L240" s="2" t="e">
        <f>SUMIF('[3]BESS 12'!$B$4:$B$270,$J240,'[3]BESS 12'!Z$4:Z$270)</f>
        <v>#VALUE!</v>
      </c>
      <c r="M240" s="2" t="e">
        <f t="shared" si="51"/>
        <v>#VALUE!</v>
      </c>
      <c r="N240" s="63" t="s">
        <v>122</v>
      </c>
      <c r="O240" s="424" t="str">
        <f t="shared" si="42"/>
        <v>-</v>
      </c>
      <c r="P240" s="292" t="s">
        <v>162</v>
      </c>
      <c r="Q240" s="276">
        <v>1</v>
      </c>
      <c r="R240" s="241">
        <v>27</v>
      </c>
      <c r="S240" s="242" t="e">
        <f t="shared" si="50"/>
        <v>#VALUE!</v>
      </c>
      <c r="T240" s="77"/>
      <c r="V240" s="272"/>
    </row>
    <row r="241" spans="1:27">
      <c r="A241" s="70">
        <f t="shared" si="41"/>
        <v>6</v>
      </c>
      <c r="B241" s="473"/>
      <c r="C241" s="476"/>
      <c r="D241" s="584"/>
      <c r="E241" s="445"/>
      <c r="F241" s="587"/>
      <c r="G241" s="587"/>
      <c r="H241" s="587"/>
      <c r="I241" s="6">
        <f>C231+0.1</f>
        <v>6.1</v>
      </c>
      <c r="J241" s="8" t="s">
        <v>34</v>
      </c>
      <c r="K241" s="1" t="e">
        <f>SUMIF('[3]BESS 12'!$B$4:$B$270,$J241,'[3]BESS 12'!Y$4:Y$270)</f>
        <v>#VALUE!</v>
      </c>
      <c r="L241" s="2" t="e">
        <f>SUMIF('[3]BESS 12'!$B$4:$B$270,$J241,'[3]BESS 12'!Z$4:Z$270)</f>
        <v>#VALUE!</v>
      </c>
      <c r="M241" s="7" t="e">
        <f t="shared" si="51"/>
        <v>#VALUE!</v>
      </c>
      <c r="N241" s="436" t="s">
        <v>332</v>
      </c>
      <c r="O241" s="424">
        <f t="shared" si="42"/>
        <v>46233</v>
      </c>
      <c r="P241" s="285" t="s">
        <v>31</v>
      </c>
      <c r="Q241" s="276">
        <v>1</v>
      </c>
      <c r="R241" s="241">
        <v>25</v>
      </c>
      <c r="S241" s="242" t="e">
        <f t="shared" si="50"/>
        <v>#VALUE!</v>
      </c>
      <c r="T241" s="77"/>
    </row>
    <row r="242" spans="1:27" ht="25.5">
      <c r="A242" s="70">
        <f t="shared" si="41"/>
        <v>6</v>
      </c>
      <c r="B242" s="473"/>
      <c r="C242" s="476"/>
      <c r="D242" s="584"/>
      <c r="E242" s="445"/>
      <c r="F242" s="587"/>
      <c r="G242" s="587"/>
      <c r="H242" s="587"/>
      <c r="I242" s="6">
        <f>I241+0.01</f>
        <v>6.1099999999999994</v>
      </c>
      <c r="J242" s="8" t="s">
        <v>37</v>
      </c>
      <c r="K242" s="1" t="e">
        <f>SUMIF('[3]BESS 12'!$B$4:$B$270,$J242,'[3]BESS 12'!Y$4:Y$270)</f>
        <v>#VALUE!</v>
      </c>
      <c r="L242" s="2" t="e">
        <f>SUMIF('[3]BESS 12'!$B$4:$B$270,$J242,'[3]BESS 12'!Z$4:Z$270)</f>
        <v>#VALUE!</v>
      </c>
      <c r="M242" s="7" t="e">
        <f t="shared" si="51"/>
        <v>#VALUE!</v>
      </c>
      <c r="N242" s="432" t="s">
        <v>694</v>
      </c>
      <c r="O242" s="424">
        <f t="shared" si="42"/>
        <v>46234</v>
      </c>
      <c r="P242" s="285" t="s">
        <v>163</v>
      </c>
      <c r="Q242" s="276" t="s">
        <v>89</v>
      </c>
      <c r="R242" s="241" t="s">
        <v>89</v>
      </c>
      <c r="S242" s="242" t="s">
        <v>89</v>
      </c>
      <c r="T242" s="77"/>
    </row>
    <row r="243" spans="1:27">
      <c r="A243" s="70">
        <f t="shared" si="41"/>
        <v>6</v>
      </c>
      <c r="B243" s="473"/>
      <c r="C243" s="476"/>
      <c r="D243" s="584"/>
      <c r="E243" s="445"/>
      <c r="F243" s="587"/>
      <c r="G243" s="587"/>
      <c r="H243" s="587"/>
      <c r="I243" s="44"/>
      <c r="J243" s="46"/>
      <c r="K243" s="46"/>
      <c r="L243" s="47" t="s">
        <v>124</v>
      </c>
      <c r="M243" s="46"/>
      <c r="N243" s="46"/>
      <c r="O243" s="424"/>
      <c r="P243" s="285"/>
      <c r="Q243" s="277"/>
      <c r="R243" s="243"/>
      <c r="S243" s="244"/>
      <c r="T243" s="77"/>
    </row>
    <row r="244" spans="1:27">
      <c r="A244" s="70">
        <f t="shared" si="41"/>
        <v>6</v>
      </c>
      <c r="B244" s="473"/>
      <c r="C244" s="476"/>
      <c r="D244" s="584"/>
      <c r="E244" s="445"/>
      <c r="F244" s="587"/>
      <c r="G244" s="587"/>
      <c r="H244" s="587"/>
      <c r="I244" s="6">
        <f>I242+0.01</f>
        <v>6.1199999999999992</v>
      </c>
      <c r="J244" s="8" t="s">
        <v>24</v>
      </c>
      <c r="K244" s="1" t="e">
        <f>SUMIF('[3]BESS 12'!$B$4:$B$270,$J244,'[3]BESS 12'!Y$4:Y$270)</f>
        <v>#VALUE!</v>
      </c>
      <c r="L244" s="36" t="e">
        <f>SUMIF('[3]BESS 12'!$B$4:$B$270,$J244,'[3]BESS 12'!Z$4:Z$270)</f>
        <v>#VALUE!</v>
      </c>
      <c r="M244" s="139" t="e">
        <f t="shared" si="51"/>
        <v>#VALUE!</v>
      </c>
      <c r="N244" s="436" t="s">
        <v>317</v>
      </c>
      <c r="O244" s="424">
        <f t="shared" si="42"/>
        <v>46241</v>
      </c>
      <c r="P244" s="285" t="s">
        <v>164</v>
      </c>
      <c r="Q244" s="276">
        <v>2</v>
      </c>
      <c r="R244" s="241">
        <v>4</v>
      </c>
      <c r="S244" s="242" t="s">
        <v>175</v>
      </c>
      <c r="T244" s="17"/>
    </row>
    <row r="245" spans="1:27">
      <c r="A245" s="70">
        <f t="shared" si="41"/>
        <v>6</v>
      </c>
      <c r="B245" s="473"/>
      <c r="C245" s="476"/>
      <c r="D245" s="584"/>
      <c r="E245" s="445"/>
      <c r="F245" s="587"/>
      <c r="G245" s="587"/>
      <c r="H245" s="587"/>
      <c r="I245" s="6">
        <f>I244+0.01</f>
        <v>6.129999999999999</v>
      </c>
      <c r="J245" s="8" t="s">
        <v>27</v>
      </c>
      <c r="K245" s="1" t="e">
        <f>SUMIF('[3]BESS 12'!$B$4:$B$270,$J245,'[3]BESS 12'!Y$4:Y$270)</f>
        <v>#VALUE!</v>
      </c>
      <c r="L245" s="36" t="e">
        <f>SUMIF('[3]BESS 12'!$B$4:$B$270,$J245,'[3]BESS 12'!Z$4:Z$270)</f>
        <v>#VALUE!</v>
      </c>
      <c r="M245" s="139" t="e">
        <f t="shared" si="51"/>
        <v>#VALUE!</v>
      </c>
      <c r="N245" s="436" t="s">
        <v>346</v>
      </c>
      <c r="O245" s="424">
        <f t="shared" si="42"/>
        <v>46236</v>
      </c>
      <c r="P245" s="285" t="s">
        <v>164</v>
      </c>
      <c r="Q245" s="276">
        <v>10</v>
      </c>
      <c r="R245" s="241">
        <v>4</v>
      </c>
      <c r="S245" s="242" t="e">
        <f t="shared" ref="S245:S246" si="53">(M245*R245)/Q245</f>
        <v>#VALUE!</v>
      </c>
      <c r="T245" s="261"/>
    </row>
    <row r="246" spans="1:27">
      <c r="A246" s="70">
        <f t="shared" si="41"/>
        <v>6</v>
      </c>
      <c r="B246" s="473"/>
      <c r="C246" s="476"/>
      <c r="D246" s="584"/>
      <c r="E246" s="445"/>
      <c r="F246" s="587"/>
      <c r="G246" s="587"/>
      <c r="H246" s="587"/>
      <c r="I246" s="6">
        <f>I245+0.01</f>
        <v>6.1399999999999988</v>
      </c>
      <c r="J246" s="8" t="s">
        <v>28</v>
      </c>
      <c r="K246" s="1" t="e">
        <f>SUMIF('[3]BESS 12'!$B$4:$B$270,$J246,'[3]BESS 12'!Y$4:Y$270)</f>
        <v>#VALUE!</v>
      </c>
      <c r="L246" s="36" t="e">
        <f>SUMIF('[3]BESS 12'!$B$4:$B$270,$J246,'[3]BESS 12'!Z$4:Z$270)</f>
        <v>#VALUE!</v>
      </c>
      <c r="M246" s="139" t="e">
        <f t="shared" si="51"/>
        <v>#VALUE!</v>
      </c>
      <c r="N246" s="436" t="s">
        <v>548</v>
      </c>
      <c r="O246" s="424">
        <f t="shared" si="42"/>
        <v>46238</v>
      </c>
      <c r="P246" s="285" t="s">
        <v>164</v>
      </c>
      <c r="Q246" s="276">
        <v>5</v>
      </c>
      <c r="R246" s="241">
        <v>4</v>
      </c>
      <c r="S246" s="242" t="e">
        <f t="shared" si="53"/>
        <v>#VALUE!</v>
      </c>
      <c r="T246" s="262"/>
      <c r="AA246" s="73"/>
    </row>
    <row r="247" spans="1:27" ht="25.5">
      <c r="A247" s="70">
        <f t="shared" si="41"/>
        <v>6</v>
      </c>
      <c r="B247" s="473"/>
      <c r="C247" s="476"/>
      <c r="D247" s="584"/>
      <c r="E247" s="445"/>
      <c r="F247" s="587"/>
      <c r="G247" s="587"/>
      <c r="H247" s="587"/>
      <c r="I247" s="6">
        <f t="shared" ref="I247:I275" si="54">I246+0.01</f>
        <v>6.1499999999999986</v>
      </c>
      <c r="J247" s="8" t="s">
        <v>29</v>
      </c>
      <c r="K247" s="1" t="e">
        <f>SUMIF('[3]BESS 12'!$B$4:$B$270,$J247,'[3]BESS 12'!Y$4:Y$270)</f>
        <v>#VALUE!</v>
      </c>
      <c r="L247" s="36" t="e">
        <f>SUMIF('[3]BESS 12'!$B$4:$B$270,$J247,'[3]BESS 12'!Z$4:Z$270)</f>
        <v>#VALUE!</v>
      </c>
      <c r="M247" s="139" t="e">
        <f t="shared" si="51"/>
        <v>#VALUE!</v>
      </c>
      <c r="N247" s="436" t="s">
        <v>499</v>
      </c>
      <c r="O247" s="424">
        <f t="shared" si="42"/>
        <v>46238</v>
      </c>
      <c r="P247" s="285" t="s">
        <v>164</v>
      </c>
      <c r="Q247" s="276">
        <v>20</v>
      </c>
      <c r="R247" s="241">
        <v>4</v>
      </c>
      <c r="S247" s="242">
        <v>4</v>
      </c>
      <c r="T247" s="262"/>
    </row>
    <row r="248" spans="1:27">
      <c r="A248" s="70">
        <f t="shared" si="41"/>
        <v>6</v>
      </c>
      <c r="B248" s="473"/>
      <c r="C248" s="476"/>
      <c r="D248" s="584"/>
      <c r="E248" s="445"/>
      <c r="F248" s="587"/>
      <c r="G248" s="587"/>
      <c r="H248" s="587"/>
      <c r="I248" s="6">
        <f t="shared" si="54"/>
        <v>6.1599999999999984</v>
      </c>
      <c r="J248" s="8" t="s">
        <v>33</v>
      </c>
      <c r="K248" s="1" t="e">
        <f>SUMIF('[3]BESS 12'!$B$4:$B$270,$J248,'[3]BESS 12'!Y$4:Y$270)</f>
        <v>#VALUE!</v>
      </c>
      <c r="L248" s="36" t="e">
        <f>SUMIF('[3]BESS 12'!$B$4:$B$270,$J248,'[3]BESS 12'!Z$4:Z$270)</f>
        <v>#VALUE!</v>
      </c>
      <c r="M248" s="139" t="e">
        <f t="shared" si="51"/>
        <v>#VALUE!</v>
      </c>
      <c r="N248" s="436" t="s">
        <v>499</v>
      </c>
      <c r="O248" s="424">
        <f t="shared" si="42"/>
        <v>46238</v>
      </c>
      <c r="P248" s="285" t="s">
        <v>164</v>
      </c>
      <c r="Q248" s="276">
        <v>10</v>
      </c>
      <c r="R248" s="241"/>
      <c r="S248" s="242"/>
      <c r="T248" s="262"/>
    </row>
    <row r="249" spans="1:27">
      <c r="A249" s="70">
        <f t="shared" si="41"/>
        <v>6</v>
      </c>
      <c r="B249" s="473"/>
      <c r="C249" s="476"/>
      <c r="D249" s="584"/>
      <c r="E249" s="445"/>
      <c r="F249" s="587"/>
      <c r="G249" s="587"/>
      <c r="H249" s="587"/>
      <c r="I249" s="6">
        <f t="shared" si="54"/>
        <v>6.1699999999999982</v>
      </c>
      <c r="J249" s="8" t="s">
        <v>36</v>
      </c>
      <c r="K249" s="1" t="e">
        <f>SUMIF('[3]BESS 12'!$B$4:$B$270,$J249,'[3]BESS 12'!Y$4:Y$270)</f>
        <v>#VALUE!</v>
      </c>
      <c r="L249" s="36" t="e">
        <f>SUMIF('[3]BESS 12'!$B$4:$B$270,$J249,'[3]BESS 12'!Z$4:Z$270)</f>
        <v>#VALUE!</v>
      </c>
      <c r="M249" s="139" t="e">
        <f t="shared" si="51"/>
        <v>#VALUE!</v>
      </c>
      <c r="N249" s="436">
        <v>46237</v>
      </c>
      <c r="O249" s="424">
        <f t="shared" si="42"/>
        <v>46237</v>
      </c>
      <c r="P249" s="285" t="s">
        <v>164</v>
      </c>
      <c r="Q249" s="276">
        <v>10</v>
      </c>
      <c r="R249" s="241"/>
      <c r="S249" s="242"/>
      <c r="T249" s="262"/>
    </row>
    <row r="250" spans="1:27">
      <c r="A250" s="70">
        <f t="shared" si="41"/>
        <v>6</v>
      </c>
      <c r="B250" s="473"/>
      <c r="C250" s="476"/>
      <c r="D250" s="584"/>
      <c r="E250" s="445"/>
      <c r="F250" s="587"/>
      <c r="G250" s="587"/>
      <c r="H250" s="587"/>
      <c r="I250" s="6">
        <f t="shared" si="54"/>
        <v>6.1799999999999979</v>
      </c>
      <c r="J250" s="8" t="s">
        <v>39</v>
      </c>
      <c r="K250" s="1" t="e">
        <f>SUMIF('[3]BESS 12'!$B$4:$B$270,$J250,'[3]BESS 12'!Y$4:Y$270)</f>
        <v>#VALUE!</v>
      </c>
      <c r="L250" s="36" t="e">
        <f>SUMIF('[3]BESS 12'!$B$4:$B$270,$J250,'[3]BESS 12'!Z$4:Z$270)</f>
        <v>#VALUE!</v>
      </c>
      <c r="M250" s="139" t="e">
        <f t="shared" si="51"/>
        <v>#VALUE!</v>
      </c>
      <c r="N250" s="436">
        <v>46237</v>
      </c>
      <c r="O250" s="424">
        <f t="shared" si="42"/>
        <v>46237</v>
      </c>
      <c r="P250" s="285" t="s">
        <v>164</v>
      </c>
      <c r="Q250" s="276">
        <v>10</v>
      </c>
      <c r="R250" s="241"/>
      <c r="S250" s="242"/>
      <c r="T250" s="262"/>
    </row>
    <row r="251" spans="1:27">
      <c r="A251" s="70">
        <f t="shared" si="41"/>
        <v>6</v>
      </c>
      <c r="B251" s="473"/>
      <c r="C251" s="476"/>
      <c r="D251" s="584"/>
      <c r="E251" s="445"/>
      <c r="F251" s="587"/>
      <c r="G251" s="587"/>
      <c r="H251" s="587"/>
      <c r="I251" s="6">
        <f t="shared" si="54"/>
        <v>6.1899999999999977</v>
      </c>
      <c r="J251" s="8" t="s">
        <v>41</v>
      </c>
      <c r="K251" s="1" t="e">
        <f>SUMIF('[3]BESS 12'!$B$4:$B$270,$J251,'[3]BESS 12'!Y$4:Y$270)</f>
        <v>#VALUE!</v>
      </c>
      <c r="L251" s="36" t="e">
        <f>SUMIF('[3]BESS 12'!$B$4:$B$270,$J251,'[3]BESS 12'!Z$4:Z$270)</f>
        <v>#VALUE!</v>
      </c>
      <c r="M251" s="139" t="e">
        <f t="shared" si="51"/>
        <v>#VALUE!</v>
      </c>
      <c r="N251" s="436" t="s">
        <v>340</v>
      </c>
      <c r="O251" s="424">
        <f t="shared" si="42"/>
        <v>46239</v>
      </c>
      <c r="P251" s="285" t="s">
        <v>171</v>
      </c>
      <c r="Q251" s="276">
        <v>20</v>
      </c>
      <c r="R251" s="241"/>
      <c r="S251" s="242"/>
      <c r="T251" s="262"/>
    </row>
    <row r="252" spans="1:27">
      <c r="A252" s="70">
        <f t="shared" si="41"/>
        <v>6</v>
      </c>
      <c r="B252" s="473"/>
      <c r="C252" s="476"/>
      <c r="D252" s="584"/>
      <c r="E252" s="445"/>
      <c r="F252" s="587"/>
      <c r="G252" s="587"/>
      <c r="H252" s="587"/>
      <c r="I252" s="6">
        <f t="shared" si="54"/>
        <v>6.1999999999999975</v>
      </c>
      <c r="J252" s="8" t="s">
        <v>43</v>
      </c>
      <c r="K252" s="1" t="e">
        <f>SUMIF('[3]BESS 12'!$B$4:$B$270,$J252,'[3]BESS 12'!Y$4:Y$270)</f>
        <v>#VALUE!</v>
      </c>
      <c r="L252" s="2" t="e">
        <f>SUMIF('[3]BESS 12'!$B$4:$B$270,$J252,'[3]BESS 12'!Z$4:Z$270)</f>
        <v>#VALUE!</v>
      </c>
      <c r="M252" s="7" t="e">
        <f t="shared" si="51"/>
        <v>#VALUE!</v>
      </c>
      <c r="N252" s="436" t="s">
        <v>341</v>
      </c>
      <c r="O252" s="424">
        <f t="shared" si="42"/>
        <v>46242</v>
      </c>
      <c r="P252" s="285" t="s">
        <v>171</v>
      </c>
      <c r="Q252" s="276">
        <v>0.66666666666666663</v>
      </c>
      <c r="R252" s="241">
        <v>0</v>
      </c>
      <c r="S252" s="242" t="e">
        <f>(M252*R252)/Q252</f>
        <v>#VALUE!</v>
      </c>
      <c r="T252" s="17"/>
    </row>
    <row r="253" spans="1:27">
      <c r="A253" s="70">
        <f t="shared" si="41"/>
        <v>6</v>
      </c>
      <c r="B253" s="473"/>
      <c r="C253" s="476"/>
      <c r="D253" s="584"/>
      <c r="E253" s="445"/>
      <c r="F253" s="587"/>
      <c r="G253" s="587"/>
      <c r="H253" s="587"/>
      <c r="I253" s="6">
        <f t="shared" si="54"/>
        <v>6.2099999999999973</v>
      </c>
      <c r="J253" s="8" t="s">
        <v>21</v>
      </c>
      <c r="K253" s="1" t="e">
        <f>SUMIF('[3]BESS 12'!$B$4:$B$270,$J253,'[3]BESS 12'!Y$4:Y$270)</f>
        <v>#VALUE!</v>
      </c>
      <c r="L253" s="36" t="e">
        <f>SUMIF('[3]BESS 12'!$B$4:$B$270,$J253,'[3]BESS 12'!Z$4:Z$270)</f>
        <v>#VALUE!</v>
      </c>
      <c r="M253" s="139" t="e">
        <f t="shared" si="51"/>
        <v>#VALUE!</v>
      </c>
      <c r="N253" s="432">
        <v>46242</v>
      </c>
      <c r="O253" s="424">
        <f t="shared" si="42"/>
        <v>46242</v>
      </c>
      <c r="P253" s="287" t="s">
        <v>164</v>
      </c>
      <c r="Q253" s="276">
        <v>10</v>
      </c>
      <c r="R253" s="241">
        <v>4</v>
      </c>
      <c r="S253" s="242" t="e">
        <f t="shared" ref="S253" si="55">(M253*R253)/Q253</f>
        <v>#VALUE!</v>
      </c>
      <c r="T253" s="17"/>
    </row>
    <row r="254" spans="1:27">
      <c r="A254" s="70">
        <f t="shared" si="41"/>
        <v>6</v>
      </c>
      <c r="B254" s="473"/>
      <c r="C254" s="476"/>
      <c r="D254" s="584"/>
      <c r="E254" s="445"/>
      <c r="F254" s="587"/>
      <c r="G254" s="587"/>
      <c r="H254" s="587"/>
      <c r="I254" s="6">
        <f t="shared" si="54"/>
        <v>6.2199999999999971</v>
      </c>
      <c r="J254" s="8" t="s">
        <v>47</v>
      </c>
      <c r="K254" s="1" t="e">
        <f>SUMIF('[3]BESS 12'!$B$4:$B$270,$J254,'[3]BESS 12'!Y$4:Y$270)</f>
        <v>#VALUE!</v>
      </c>
      <c r="L254" s="36" t="e">
        <f>SUMIF('[3]BESS 12'!$B$4:$B$270,$J254,'[3]BESS 12'!Z$4:Z$270)</f>
        <v>#VALUE!</v>
      </c>
      <c r="M254" s="139" t="e">
        <f t="shared" si="51"/>
        <v>#VALUE!</v>
      </c>
      <c r="N254" s="436" t="s">
        <v>501</v>
      </c>
      <c r="O254" s="424">
        <f t="shared" si="42"/>
        <v>46243</v>
      </c>
      <c r="P254" s="285" t="s">
        <v>164</v>
      </c>
      <c r="Q254" s="276">
        <v>1500</v>
      </c>
      <c r="R254" s="241">
        <v>48</v>
      </c>
      <c r="S254" s="242" t="e">
        <f t="shared" ref="S254:S264" si="56">(M254*R254)/Q254</f>
        <v>#VALUE!</v>
      </c>
      <c r="T254" s="17"/>
    </row>
    <row r="255" spans="1:27">
      <c r="A255" s="70">
        <f t="shared" si="41"/>
        <v>6</v>
      </c>
      <c r="B255" s="473"/>
      <c r="C255" s="476"/>
      <c r="D255" s="584"/>
      <c r="E255" s="445"/>
      <c r="F255" s="587"/>
      <c r="G255" s="587"/>
      <c r="H255" s="587"/>
      <c r="I255" s="6">
        <f t="shared" si="54"/>
        <v>6.2299999999999969</v>
      </c>
      <c r="J255" s="8" t="s">
        <v>48</v>
      </c>
      <c r="K255" s="1" t="e">
        <f>SUMIF('[3]BESS 12'!$B$4:$B$270,$J255,'[3]BESS 12'!Y$4:Y$270)</f>
        <v>#VALUE!</v>
      </c>
      <c r="L255" s="36" t="e">
        <f>SUMIF('[3]BESS 12'!$B$4:$B$270,$J255,'[3]BESS 12'!Z$4:Z$270)</f>
        <v>#VALUE!</v>
      </c>
      <c r="M255" s="139" t="e">
        <f t="shared" si="51"/>
        <v>#VALUE!</v>
      </c>
      <c r="N255" s="3" t="s">
        <v>502</v>
      </c>
      <c r="O255" s="424">
        <f t="shared" si="42"/>
        <v>46246</v>
      </c>
      <c r="P255" s="285" t="s">
        <v>164</v>
      </c>
      <c r="Q255" s="276">
        <v>8</v>
      </c>
      <c r="R255" s="241">
        <v>6</v>
      </c>
      <c r="S255" s="242" t="e">
        <f t="shared" si="56"/>
        <v>#VALUE!</v>
      </c>
      <c r="T255" s="17"/>
    </row>
    <row r="256" spans="1:27">
      <c r="A256" s="70">
        <f t="shared" si="41"/>
        <v>6</v>
      </c>
      <c r="B256" s="473"/>
      <c r="C256" s="476"/>
      <c r="D256" s="584"/>
      <c r="E256" s="445"/>
      <c r="F256" s="587"/>
      <c r="G256" s="587"/>
      <c r="H256" s="587"/>
      <c r="I256" s="6">
        <f t="shared" si="54"/>
        <v>6.2399999999999967</v>
      </c>
      <c r="J256" s="8" t="s">
        <v>126</v>
      </c>
      <c r="K256" s="1" t="e">
        <f>SUMIF('[3]BESS 12'!$B$4:$B$270,$J256,'[3]BESS 12'!Y$4:Y$270)</f>
        <v>#VALUE!</v>
      </c>
      <c r="L256" s="36" t="e">
        <f>SUMIF('[3]BESS 12'!$B$4:$B$270,$J256,'[3]BESS 12'!Z$4:Z$270)</f>
        <v>#VALUE!</v>
      </c>
      <c r="M256" s="139" t="e">
        <f t="shared" si="51"/>
        <v>#VALUE!</v>
      </c>
      <c r="N256" s="436" t="s">
        <v>549</v>
      </c>
      <c r="O256" s="424">
        <f t="shared" si="42"/>
        <v>46244</v>
      </c>
      <c r="P256" s="285" t="s">
        <v>164</v>
      </c>
      <c r="Q256" s="276">
        <v>600</v>
      </c>
      <c r="R256" s="241">
        <v>10</v>
      </c>
      <c r="S256" s="242" t="e">
        <f t="shared" si="56"/>
        <v>#VALUE!</v>
      </c>
      <c r="T256" s="17"/>
      <c r="AA256" s="73"/>
    </row>
    <row r="257" spans="1:27">
      <c r="A257" s="70">
        <f t="shared" si="41"/>
        <v>6</v>
      </c>
      <c r="B257" s="473"/>
      <c r="C257" s="476"/>
      <c r="D257" s="584"/>
      <c r="E257" s="445"/>
      <c r="F257" s="587"/>
      <c r="G257" s="587"/>
      <c r="H257" s="587"/>
      <c r="I257" s="6">
        <f t="shared" si="54"/>
        <v>6.2499999999999964</v>
      </c>
      <c r="J257" s="8" t="s">
        <v>127</v>
      </c>
      <c r="K257" s="1" t="e">
        <f>SUMIF('[3]BESS 12'!$B$4:$B$270,$J257,'[3]BESS 12'!Y$4:Y$270)</f>
        <v>#VALUE!</v>
      </c>
      <c r="L257" s="36" t="e">
        <f>SUMIF('[3]BESS 12'!$B$4:$B$270,$J257,'[3]BESS 12'!Z$4:Z$270)</f>
        <v>#VALUE!</v>
      </c>
      <c r="M257" s="139" t="e">
        <f t="shared" si="51"/>
        <v>#VALUE!</v>
      </c>
      <c r="N257" s="436" t="s">
        <v>550</v>
      </c>
      <c r="O257" s="424">
        <f t="shared" si="42"/>
        <v>46244</v>
      </c>
      <c r="P257" s="285" t="s">
        <v>164</v>
      </c>
      <c r="Q257" s="276">
        <v>600</v>
      </c>
      <c r="R257" s="241">
        <v>10</v>
      </c>
      <c r="S257" s="242" t="e">
        <f t="shared" si="56"/>
        <v>#VALUE!</v>
      </c>
      <c r="T257" s="17"/>
      <c r="AA257" s="73"/>
    </row>
    <row r="258" spans="1:27">
      <c r="A258" s="70">
        <f t="shared" si="41"/>
        <v>6</v>
      </c>
      <c r="B258" s="473"/>
      <c r="C258" s="476"/>
      <c r="D258" s="584"/>
      <c r="E258" s="445"/>
      <c r="F258" s="587"/>
      <c r="G258" s="587"/>
      <c r="H258" s="587"/>
      <c r="I258" s="6">
        <f t="shared" si="54"/>
        <v>6.2599999999999962</v>
      </c>
      <c r="J258" s="8" t="s">
        <v>128</v>
      </c>
      <c r="K258" s="1" t="e">
        <f>SUMIF('[3]BESS 12'!$B$4:$B$270,$J258,'[3]BESS 12'!Y$4:Y$270)</f>
        <v>#VALUE!</v>
      </c>
      <c r="L258" s="36" t="e">
        <f>SUMIF('[3]BESS 12'!$B$4:$B$270,$J258,'[3]BESS 12'!Z$4:Z$270)</f>
        <v>#VALUE!</v>
      </c>
      <c r="M258" s="139" t="e">
        <f t="shared" si="51"/>
        <v>#VALUE!</v>
      </c>
      <c r="N258" s="3">
        <v>46248</v>
      </c>
      <c r="O258" s="424">
        <f t="shared" si="42"/>
        <v>46248</v>
      </c>
      <c r="P258" s="285" t="s">
        <v>164</v>
      </c>
      <c r="Q258" s="276">
        <v>30</v>
      </c>
      <c r="R258" s="241">
        <v>18</v>
      </c>
      <c r="S258" s="242" t="e">
        <f t="shared" si="56"/>
        <v>#VALUE!</v>
      </c>
      <c r="T258" s="17"/>
      <c r="AA258" s="73"/>
    </row>
    <row r="259" spans="1:27">
      <c r="A259" s="70">
        <f t="shared" si="41"/>
        <v>6</v>
      </c>
      <c r="B259" s="473"/>
      <c r="C259" s="476"/>
      <c r="D259" s="584"/>
      <c r="E259" s="445"/>
      <c r="F259" s="587"/>
      <c r="G259" s="587"/>
      <c r="H259" s="587"/>
      <c r="I259" s="6">
        <f t="shared" si="54"/>
        <v>6.269999999999996</v>
      </c>
      <c r="J259" s="8" t="s">
        <v>129</v>
      </c>
      <c r="K259" s="1" t="e">
        <f>SUMIF('[3]BESS 12'!$B$4:$B$270,$J259,'[3]BESS 12'!Y$4:Y$270)</f>
        <v>#VALUE!</v>
      </c>
      <c r="L259" s="36" t="e">
        <f>SUMIF('[3]BESS 12'!$B$4:$B$270,$J259,'[3]BESS 12'!Z$4:Z$270)</f>
        <v>#VALUE!</v>
      </c>
      <c r="M259" s="139" t="e">
        <f t="shared" si="51"/>
        <v>#VALUE!</v>
      </c>
      <c r="N259" s="3">
        <v>46248</v>
      </c>
      <c r="O259" s="424">
        <f t="shared" si="42"/>
        <v>46248</v>
      </c>
      <c r="P259" s="285" t="s">
        <v>164</v>
      </c>
      <c r="Q259" s="276">
        <v>30</v>
      </c>
      <c r="R259" s="241">
        <v>18</v>
      </c>
      <c r="S259" s="242" t="e">
        <f t="shared" si="56"/>
        <v>#VALUE!</v>
      </c>
      <c r="T259" s="17"/>
      <c r="AA259" s="73"/>
    </row>
    <row r="260" spans="1:27">
      <c r="A260" s="70">
        <f t="shared" si="41"/>
        <v>6</v>
      </c>
      <c r="B260" s="473"/>
      <c r="C260" s="476"/>
      <c r="D260" s="584"/>
      <c r="E260" s="445"/>
      <c r="F260" s="587"/>
      <c r="G260" s="587"/>
      <c r="H260" s="587"/>
      <c r="I260" s="6">
        <f t="shared" si="54"/>
        <v>6.2799999999999958</v>
      </c>
      <c r="J260" s="8" t="s">
        <v>130</v>
      </c>
      <c r="K260" s="1" t="e">
        <f>SUMIF('[3]BESS 12'!$B$4:$B$270,$J260,'[3]BESS 12'!Y$4:Y$270)</f>
        <v>#VALUE!</v>
      </c>
      <c r="L260" s="36" t="e">
        <f>SUMIF('[3]BESS 12'!$B$4:$B$270,$J260,'[3]BESS 12'!Z$4:Z$270)</f>
        <v>#VALUE!</v>
      </c>
      <c r="M260" s="139" t="e">
        <f t="shared" ref="M260:M274" si="57">K260-L260</f>
        <v>#VALUE!</v>
      </c>
      <c r="N260" s="3" t="s">
        <v>551</v>
      </c>
      <c r="O260" s="424">
        <f t="shared" si="42"/>
        <v>46246</v>
      </c>
      <c r="P260" s="285" t="s">
        <v>164</v>
      </c>
      <c r="Q260" s="276">
        <v>1000</v>
      </c>
      <c r="R260" s="241">
        <v>10</v>
      </c>
      <c r="S260" s="242" t="e">
        <f t="shared" si="56"/>
        <v>#VALUE!</v>
      </c>
      <c r="T260" s="17"/>
      <c r="AA260" s="73"/>
    </row>
    <row r="261" spans="1:27">
      <c r="A261" s="70">
        <f t="shared" ref="A261:A324" si="58">IF(C261&gt;0,C261,A260)</f>
        <v>6</v>
      </c>
      <c r="B261" s="473"/>
      <c r="C261" s="476"/>
      <c r="D261" s="584"/>
      <c r="E261" s="445"/>
      <c r="F261" s="587"/>
      <c r="G261" s="587"/>
      <c r="H261" s="587"/>
      <c r="I261" s="6">
        <f t="shared" si="54"/>
        <v>6.2899999999999956</v>
      </c>
      <c r="J261" s="8" t="s">
        <v>131</v>
      </c>
      <c r="K261" s="1" t="e">
        <f>SUMIF('[3]BESS 12'!$B$4:$B$270,$J261,'[3]BESS 12'!Y$4:Y$270)</f>
        <v>#VALUE!</v>
      </c>
      <c r="L261" s="36" t="e">
        <f>SUMIF('[3]BESS 12'!$B$4:$B$270,$J261,'[3]BESS 12'!Z$4:Z$270)</f>
        <v>#VALUE!</v>
      </c>
      <c r="M261" s="139" t="e">
        <f t="shared" si="57"/>
        <v>#VALUE!</v>
      </c>
      <c r="N261" s="3" t="s">
        <v>551</v>
      </c>
      <c r="O261" s="424">
        <f t="shared" ref="O261:O324" si="59">IF(LEN(N261)=5,N261,(IF(N261="Completed","-",DATEVALUE(RIGHT(N261,6)))))</f>
        <v>46246</v>
      </c>
      <c r="P261" s="285" t="s">
        <v>164</v>
      </c>
      <c r="Q261" s="276">
        <v>1000</v>
      </c>
      <c r="R261" s="241">
        <v>10</v>
      </c>
      <c r="S261" s="242" t="e">
        <f t="shared" si="56"/>
        <v>#VALUE!</v>
      </c>
      <c r="T261" s="17"/>
      <c r="AA261" s="73"/>
    </row>
    <row r="262" spans="1:27">
      <c r="A262" s="70">
        <f t="shared" si="58"/>
        <v>6</v>
      </c>
      <c r="B262" s="473"/>
      <c r="C262" s="476"/>
      <c r="D262" s="584"/>
      <c r="E262" s="445"/>
      <c r="F262" s="587"/>
      <c r="G262" s="587"/>
      <c r="H262" s="587"/>
      <c r="I262" s="6">
        <f t="shared" si="54"/>
        <v>6.2999999999999954</v>
      </c>
      <c r="J262" s="8" t="s">
        <v>132</v>
      </c>
      <c r="K262" s="1" t="e">
        <f>SUMIF('[3]BESS 12'!$B$4:$B$270,$J262,'[3]BESS 12'!Y$4:Y$270)</f>
        <v>#VALUE!</v>
      </c>
      <c r="L262" s="36" t="e">
        <f>SUMIF('[3]BESS 12'!$B$4:$B$270,$J262,'[3]BESS 12'!Z$4:Z$270)</f>
        <v>#VALUE!</v>
      </c>
      <c r="M262" s="139" t="e">
        <f t="shared" si="57"/>
        <v>#VALUE!</v>
      </c>
      <c r="N262" s="3" t="s">
        <v>551</v>
      </c>
      <c r="O262" s="424">
        <f t="shared" si="59"/>
        <v>46246</v>
      </c>
      <c r="P262" s="285" t="s">
        <v>164</v>
      </c>
      <c r="Q262" s="276">
        <v>500</v>
      </c>
      <c r="R262" s="241">
        <v>10</v>
      </c>
      <c r="S262" s="242" t="e">
        <f t="shared" si="56"/>
        <v>#VALUE!</v>
      </c>
      <c r="T262" s="17"/>
      <c r="AA262" s="73"/>
    </row>
    <row r="263" spans="1:27">
      <c r="A263" s="70">
        <f t="shared" si="58"/>
        <v>6</v>
      </c>
      <c r="B263" s="473"/>
      <c r="C263" s="476"/>
      <c r="D263" s="584"/>
      <c r="E263" s="445"/>
      <c r="F263" s="587"/>
      <c r="G263" s="587"/>
      <c r="H263" s="587"/>
      <c r="I263" s="6">
        <f t="shared" si="54"/>
        <v>6.3099999999999952</v>
      </c>
      <c r="J263" s="8" t="s">
        <v>133</v>
      </c>
      <c r="K263" s="1" t="e">
        <f>SUMIF('[3]BESS 12'!$B$4:$B$270,$J263,'[3]BESS 12'!Y$4:Y$270)</f>
        <v>#VALUE!</v>
      </c>
      <c r="L263" s="36" t="e">
        <f>SUMIF('[3]BESS 12'!$B$4:$B$270,$J263,'[3]BESS 12'!Z$4:Z$270)</f>
        <v>#VALUE!</v>
      </c>
      <c r="M263" s="139" t="e">
        <f t="shared" si="57"/>
        <v>#VALUE!</v>
      </c>
      <c r="N263" s="3" t="s">
        <v>552</v>
      </c>
      <c r="O263" s="424">
        <f t="shared" si="59"/>
        <v>46250</v>
      </c>
      <c r="P263" s="285" t="s">
        <v>164</v>
      </c>
      <c r="Q263" s="276">
        <v>30</v>
      </c>
      <c r="R263" s="241">
        <v>6</v>
      </c>
      <c r="S263" s="242" t="e">
        <f t="shared" si="56"/>
        <v>#VALUE!</v>
      </c>
      <c r="T263" s="17"/>
      <c r="AA263" s="73"/>
    </row>
    <row r="264" spans="1:27">
      <c r="A264" s="70">
        <f t="shared" si="58"/>
        <v>6</v>
      </c>
      <c r="B264" s="473"/>
      <c r="C264" s="476"/>
      <c r="D264" s="584"/>
      <c r="E264" s="445"/>
      <c r="F264" s="587"/>
      <c r="G264" s="587"/>
      <c r="H264" s="587"/>
      <c r="I264" s="6">
        <f t="shared" si="54"/>
        <v>6.319999999999995</v>
      </c>
      <c r="J264" s="8" t="s">
        <v>134</v>
      </c>
      <c r="K264" s="1" t="e">
        <f>SUMIF('[3]BESS 12'!$B$4:$B$270,$J264,'[3]BESS 12'!Y$4:Y$270)</f>
        <v>#VALUE!</v>
      </c>
      <c r="L264" s="36" t="e">
        <f>SUMIF('[3]BESS 12'!$B$4:$B$270,$J264,'[3]BESS 12'!Z$4:Z$270)</f>
        <v>#VALUE!</v>
      </c>
      <c r="M264" s="139" t="e">
        <f t="shared" si="57"/>
        <v>#VALUE!</v>
      </c>
      <c r="N264" s="3" t="s">
        <v>552</v>
      </c>
      <c r="O264" s="424">
        <f t="shared" si="59"/>
        <v>46250</v>
      </c>
      <c r="P264" s="285" t="s">
        <v>172</v>
      </c>
      <c r="Q264" s="276">
        <v>30</v>
      </c>
      <c r="R264" s="241">
        <v>4</v>
      </c>
      <c r="S264" s="242" t="e">
        <f t="shared" si="56"/>
        <v>#VALUE!</v>
      </c>
      <c r="T264" s="17"/>
      <c r="AA264" s="73"/>
    </row>
    <row r="265" spans="1:27">
      <c r="A265" s="70">
        <f t="shared" si="58"/>
        <v>6</v>
      </c>
      <c r="B265" s="473"/>
      <c r="C265" s="476"/>
      <c r="D265" s="584"/>
      <c r="E265" s="445"/>
      <c r="F265" s="587"/>
      <c r="G265" s="587"/>
      <c r="H265" s="587"/>
      <c r="I265" s="6">
        <f t="shared" si="54"/>
        <v>6.3299999999999947</v>
      </c>
      <c r="J265" s="8" t="s">
        <v>136</v>
      </c>
      <c r="K265" s="1" t="e">
        <f>SUMIF('[3]BESS 12'!$B$4:$B$270,$J265,'[3]BESS 12'!Y$4:Y$270)</f>
        <v>#VALUE!</v>
      </c>
      <c r="L265" s="36" t="e">
        <f>SUMIF('[3]BESS 12'!$B$4:$B$270,$J265,'[3]BESS 12'!Z$4:Z$270)</f>
        <v>#VALUE!</v>
      </c>
      <c r="M265" s="139" t="e">
        <f t="shared" si="57"/>
        <v>#VALUE!</v>
      </c>
      <c r="N265" s="3" t="s">
        <v>552</v>
      </c>
      <c r="O265" s="424">
        <f t="shared" si="59"/>
        <v>46250</v>
      </c>
      <c r="P265" s="285" t="s">
        <v>172</v>
      </c>
      <c r="Q265" s="276" t="s">
        <v>89</v>
      </c>
      <c r="R265" s="241" t="s">
        <v>89</v>
      </c>
      <c r="S265" s="242" t="s">
        <v>89</v>
      </c>
      <c r="T265" s="77"/>
      <c r="U265" s="70">
        <f ca="1">O265-$T$1</f>
        <v>17</v>
      </c>
      <c r="V265" s="273" t="e">
        <f>SUM(S244:S275)</f>
        <v>#VALUE!</v>
      </c>
      <c r="W265" s="274" t="e">
        <f ca="1">V265/U265</f>
        <v>#VALUE!</v>
      </c>
      <c r="AA265" s="73"/>
    </row>
    <row r="266" spans="1:27">
      <c r="A266" s="70">
        <f t="shared" si="58"/>
        <v>6</v>
      </c>
      <c r="B266" s="473"/>
      <c r="C266" s="476"/>
      <c r="D266" s="584"/>
      <c r="E266" s="445"/>
      <c r="F266" s="587"/>
      <c r="G266" s="587"/>
      <c r="H266" s="587"/>
      <c r="I266" s="6">
        <f t="shared" si="54"/>
        <v>6.3399999999999945</v>
      </c>
      <c r="J266" s="8" t="s">
        <v>137</v>
      </c>
      <c r="K266" s="1" t="e">
        <f>SUMIF('[3]BESS 12'!$B$4:$B$270,$J266,'[3]BESS 12'!Y$4:Y$270)</f>
        <v>#VALUE!</v>
      </c>
      <c r="L266" s="36" t="e">
        <f>SUMIF('[3]BESS 12'!$B$4:$B$270,$J266,'[3]BESS 12'!Z$4:Z$270)</f>
        <v>#VALUE!</v>
      </c>
      <c r="M266" s="139" t="e">
        <f t="shared" si="57"/>
        <v>#VALUE!</v>
      </c>
      <c r="N266" s="3" t="s">
        <v>553</v>
      </c>
      <c r="O266" s="424">
        <f t="shared" si="59"/>
        <v>46246</v>
      </c>
      <c r="P266" s="285" t="s">
        <v>164</v>
      </c>
      <c r="Q266" s="590">
        <v>2</v>
      </c>
      <c r="R266" s="591">
        <v>8</v>
      </c>
      <c r="S266" s="242">
        <v>12</v>
      </c>
      <c r="T266" s="77"/>
      <c r="AA266" s="73"/>
    </row>
    <row r="267" spans="1:27">
      <c r="A267" s="70">
        <f t="shared" si="58"/>
        <v>6</v>
      </c>
      <c r="B267" s="473"/>
      <c r="C267" s="476"/>
      <c r="D267" s="584"/>
      <c r="E267" s="445"/>
      <c r="F267" s="587"/>
      <c r="G267" s="587"/>
      <c r="H267" s="587"/>
      <c r="I267" s="6">
        <f t="shared" si="54"/>
        <v>6.3499999999999943</v>
      </c>
      <c r="J267" s="8" t="s">
        <v>139</v>
      </c>
      <c r="K267" s="1" t="e">
        <f>SUMIF('[3]BESS 12'!$B$4:$B$270,$J267,'[3]BESS 12'!Y$4:Y$270)</f>
        <v>#VALUE!</v>
      </c>
      <c r="L267" s="36" t="e">
        <f>SUMIF('[3]BESS 12'!$B$4:$B$270,$J267,'[3]BESS 12'!Z$4:Z$270)</f>
        <v>#VALUE!</v>
      </c>
      <c r="M267" s="139" t="e">
        <f t="shared" si="57"/>
        <v>#VALUE!</v>
      </c>
      <c r="N267" s="3" t="s">
        <v>554</v>
      </c>
      <c r="O267" s="424">
        <f t="shared" si="59"/>
        <v>46249</v>
      </c>
      <c r="P267" s="285" t="s">
        <v>164</v>
      </c>
      <c r="Q267" s="590"/>
      <c r="R267" s="591"/>
      <c r="S267" s="242"/>
      <c r="T267" s="77"/>
      <c r="AA267" s="73"/>
    </row>
    <row r="268" spans="1:27">
      <c r="A268" s="70">
        <f t="shared" si="58"/>
        <v>6</v>
      </c>
      <c r="B268" s="473"/>
      <c r="C268" s="476"/>
      <c r="D268" s="584"/>
      <c r="E268" s="445"/>
      <c r="F268" s="587"/>
      <c r="G268" s="587"/>
      <c r="H268" s="587"/>
      <c r="I268" s="6">
        <f t="shared" si="54"/>
        <v>6.3599999999999941</v>
      </c>
      <c r="J268" s="8" t="s">
        <v>140</v>
      </c>
      <c r="K268" s="1" t="e">
        <f>SUMIF('[3]BESS 12'!$B$4:$B$270,$J268,'[3]BESS 12'!Y$4:Y$270)</f>
        <v>#VALUE!</v>
      </c>
      <c r="L268" s="36" t="e">
        <f>SUMIF('[3]BESS 12'!$B$4:$B$270,$J268,'[3]BESS 12'!Z$4:Z$270)</f>
        <v>#VALUE!</v>
      </c>
      <c r="M268" s="139" t="e">
        <f t="shared" si="57"/>
        <v>#VALUE!</v>
      </c>
      <c r="N268" s="3" t="s">
        <v>383</v>
      </c>
      <c r="O268" s="424">
        <f t="shared" si="59"/>
        <v>46260</v>
      </c>
      <c r="P268" s="285" t="s">
        <v>164</v>
      </c>
      <c r="Q268" s="276">
        <v>2</v>
      </c>
      <c r="R268" s="241">
        <v>4</v>
      </c>
      <c r="S268" s="242" t="e">
        <f t="shared" ref="S268:S275" si="60">(M268*R268)/Q268</f>
        <v>#VALUE!</v>
      </c>
      <c r="T268" s="119"/>
      <c r="U268" s="70">
        <f ca="1">O268-$T$1</f>
        <v>27</v>
      </c>
      <c r="V268" s="273" t="e">
        <f>SUM(S244:S275)</f>
        <v>#VALUE!</v>
      </c>
      <c r="W268" s="274" t="e">
        <f ca="1">V268/(U268-3)</f>
        <v>#VALUE!</v>
      </c>
    </row>
    <row r="269" spans="1:27" ht="25.5">
      <c r="A269" s="70">
        <f t="shared" si="58"/>
        <v>6</v>
      </c>
      <c r="B269" s="473"/>
      <c r="C269" s="476"/>
      <c r="D269" s="584"/>
      <c r="E269" s="445"/>
      <c r="F269" s="587"/>
      <c r="G269" s="587"/>
      <c r="H269" s="587"/>
      <c r="I269" s="6">
        <f t="shared" si="54"/>
        <v>6.3699999999999939</v>
      </c>
      <c r="J269" s="8" t="s">
        <v>141</v>
      </c>
      <c r="K269" s="1" t="e">
        <f>SUMIF('[3]BESS 12'!$B$4:$B$270,$J269,'[3]BESS 12'!Y$4:Y$270)</f>
        <v>#VALUE!</v>
      </c>
      <c r="L269" s="36" t="e">
        <f>SUMIF('[3]BESS 12'!$B$4:$B$270,$J269,'[3]BESS 12'!Z$4:Z$270)</f>
        <v>#VALUE!</v>
      </c>
      <c r="M269" s="139" t="e">
        <f t="shared" si="57"/>
        <v>#VALUE!</v>
      </c>
      <c r="N269" s="436">
        <v>46244</v>
      </c>
      <c r="O269" s="424">
        <f t="shared" si="59"/>
        <v>46244</v>
      </c>
      <c r="P269" s="285" t="s">
        <v>164</v>
      </c>
      <c r="Q269" s="276">
        <v>0.5</v>
      </c>
      <c r="R269" s="241">
        <v>4</v>
      </c>
      <c r="S269" s="242" t="e">
        <f t="shared" si="60"/>
        <v>#VALUE!</v>
      </c>
      <c r="T269" s="310"/>
    </row>
    <row r="270" spans="1:27">
      <c r="A270" s="70">
        <f t="shared" si="58"/>
        <v>6</v>
      </c>
      <c r="B270" s="473"/>
      <c r="C270" s="476"/>
      <c r="D270" s="584"/>
      <c r="E270" s="445"/>
      <c r="F270" s="587"/>
      <c r="G270" s="587"/>
      <c r="H270" s="587"/>
      <c r="I270" s="6">
        <f t="shared" si="54"/>
        <v>6.3799999999999937</v>
      </c>
      <c r="J270" s="8" t="s">
        <v>142</v>
      </c>
      <c r="K270" s="1" t="e">
        <f>SUMIF('[3]BESS 12'!$B$4:$B$270,$J270,'[3]BESS 12'!Y$4:Y$270)</f>
        <v>#VALUE!</v>
      </c>
      <c r="L270" s="36" t="e">
        <f>SUMIF('[3]BESS 12'!$B$4:$B$270,$J270,'[3]BESS 12'!Z$4:Z$270)</f>
        <v>#VALUE!</v>
      </c>
      <c r="M270" s="139" t="e">
        <f t="shared" si="57"/>
        <v>#VALUE!</v>
      </c>
      <c r="N270" s="3" t="s">
        <v>382</v>
      </c>
      <c r="O270" s="424">
        <f t="shared" si="59"/>
        <v>46258</v>
      </c>
      <c r="P270" s="285" t="s">
        <v>164</v>
      </c>
      <c r="Q270" s="276">
        <v>6</v>
      </c>
      <c r="R270" s="241">
        <v>4</v>
      </c>
      <c r="S270" s="242" t="e">
        <f t="shared" si="60"/>
        <v>#VALUE!</v>
      </c>
      <c r="T270" s="311"/>
    </row>
    <row r="271" spans="1:27">
      <c r="A271" s="70">
        <f t="shared" si="58"/>
        <v>6</v>
      </c>
      <c r="B271" s="473"/>
      <c r="C271" s="476"/>
      <c r="D271" s="584"/>
      <c r="E271" s="445"/>
      <c r="F271" s="587"/>
      <c r="G271" s="587"/>
      <c r="H271" s="587"/>
      <c r="I271" s="6">
        <f t="shared" si="54"/>
        <v>6.3899999999999935</v>
      </c>
      <c r="J271" s="8" t="s">
        <v>143</v>
      </c>
      <c r="K271" s="1" t="e">
        <f>SUMIF('[3]BESS 12'!$B$4:$B$270,$J271,'[3]BESS 12'!Y$4:Y$270)</f>
        <v>#VALUE!</v>
      </c>
      <c r="L271" s="36" t="e">
        <f>SUMIF('[3]BESS 12'!$B$4:$B$270,$J271,'[3]BESS 12'!Z$4:Z$270)</f>
        <v>#VALUE!</v>
      </c>
      <c r="M271" s="139" t="e">
        <f t="shared" si="57"/>
        <v>#VALUE!</v>
      </c>
      <c r="N271" s="3" t="s">
        <v>555</v>
      </c>
      <c r="O271" s="424">
        <f t="shared" si="59"/>
        <v>46248</v>
      </c>
      <c r="P271" s="285" t="s">
        <v>164</v>
      </c>
      <c r="Q271" s="276">
        <v>6</v>
      </c>
      <c r="R271" s="241">
        <v>5</v>
      </c>
      <c r="S271" s="242" t="e">
        <f t="shared" si="60"/>
        <v>#VALUE!</v>
      </c>
      <c r="T271" s="311"/>
      <c r="AA271" s="73"/>
    </row>
    <row r="272" spans="1:27">
      <c r="A272" s="70">
        <f t="shared" si="58"/>
        <v>6</v>
      </c>
      <c r="B272" s="473"/>
      <c r="C272" s="476"/>
      <c r="D272" s="584"/>
      <c r="E272" s="445"/>
      <c r="F272" s="587"/>
      <c r="G272" s="587"/>
      <c r="H272" s="587"/>
      <c r="I272" s="6">
        <f t="shared" si="54"/>
        <v>6.3999999999999932</v>
      </c>
      <c r="J272" s="8" t="s">
        <v>144</v>
      </c>
      <c r="K272" s="1" t="e">
        <f>SUMIF('[3]BESS 12'!$B$4:$B$270,$J272,'[3]BESS 12'!Y$4:Y$270)</f>
        <v>#VALUE!</v>
      </c>
      <c r="L272" s="36" t="e">
        <f>SUMIF('[3]BESS 12'!$B$4:$B$270,$J272,'[3]BESS 12'!Z$4:Z$270)</f>
        <v>#VALUE!</v>
      </c>
      <c r="M272" s="139" t="e">
        <f t="shared" si="57"/>
        <v>#VALUE!</v>
      </c>
      <c r="N272" s="436">
        <v>46244</v>
      </c>
      <c r="O272" s="424">
        <f t="shared" si="59"/>
        <v>46244</v>
      </c>
      <c r="P272" s="285" t="s">
        <v>164</v>
      </c>
      <c r="Q272" s="276">
        <v>1</v>
      </c>
      <c r="R272" s="241">
        <v>5</v>
      </c>
      <c r="S272" s="242" t="e">
        <f t="shared" si="60"/>
        <v>#VALUE!</v>
      </c>
      <c r="T272" s="77"/>
    </row>
    <row r="273" spans="1:30">
      <c r="A273" s="70">
        <f t="shared" si="58"/>
        <v>6</v>
      </c>
      <c r="B273" s="473"/>
      <c r="C273" s="476"/>
      <c r="D273" s="584"/>
      <c r="E273" s="445"/>
      <c r="F273" s="587"/>
      <c r="G273" s="587"/>
      <c r="H273" s="587"/>
      <c r="I273" s="6">
        <f t="shared" si="54"/>
        <v>6.409999999999993</v>
      </c>
      <c r="J273" s="8" t="s">
        <v>145</v>
      </c>
      <c r="K273" s="1" t="e">
        <f>SUMIF('[3]BESS 12'!$B$4:$B$270,$J273,'[3]BESS 12'!Y$4:Y$270)</f>
        <v>#VALUE!</v>
      </c>
      <c r="L273" s="36" t="e">
        <f>SUMIF('[3]BESS 12'!$B$4:$B$270,$J273,'[3]BESS 12'!Z$4:Z$270)</f>
        <v>#VALUE!</v>
      </c>
      <c r="M273" s="139" t="e">
        <f t="shared" si="57"/>
        <v>#VALUE!</v>
      </c>
      <c r="N273" s="436">
        <v>46244</v>
      </c>
      <c r="O273" s="424">
        <f t="shared" si="59"/>
        <v>46244</v>
      </c>
      <c r="P273" s="285" t="s">
        <v>164</v>
      </c>
      <c r="Q273" s="276">
        <v>3</v>
      </c>
      <c r="R273" s="241">
        <v>5</v>
      </c>
      <c r="S273" s="242" t="e">
        <f t="shared" si="60"/>
        <v>#VALUE!</v>
      </c>
      <c r="T273" s="77"/>
    </row>
    <row r="274" spans="1:30">
      <c r="A274" s="70">
        <f t="shared" si="58"/>
        <v>6</v>
      </c>
      <c r="B274" s="473"/>
      <c r="C274" s="476"/>
      <c r="D274" s="584"/>
      <c r="E274" s="445"/>
      <c r="F274" s="587"/>
      <c r="G274" s="587"/>
      <c r="H274" s="587"/>
      <c r="I274" s="6">
        <f t="shared" si="54"/>
        <v>6.4199999999999928</v>
      </c>
      <c r="J274" s="8" t="s">
        <v>54</v>
      </c>
      <c r="K274" s="1" t="e">
        <f>SUMIF('[3]BESS 12'!$B$4:$B$270,$J274,'[3]BESS 12'!Y$4:Y$270)</f>
        <v>#VALUE!</v>
      </c>
      <c r="L274" s="36" t="e">
        <f>SUMIF('[3]BESS 12'!$B$4:$B$270,$J274,'[3]BESS 12'!Z$4:Z$270)</f>
        <v>#VALUE!</v>
      </c>
      <c r="M274" s="139" t="e">
        <f t="shared" si="57"/>
        <v>#VALUE!</v>
      </c>
      <c r="N274" s="3" t="s">
        <v>384</v>
      </c>
      <c r="O274" s="424">
        <f t="shared" si="59"/>
        <v>46255</v>
      </c>
      <c r="P274" s="285" t="s">
        <v>164</v>
      </c>
      <c r="Q274" s="276">
        <v>150</v>
      </c>
      <c r="R274" s="241">
        <v>6</v>
      </c>
      <c r="S274" s="242" t="e">
        <f t="shared" si="60"/>
        <v>#VALUE!</v>
      </c>
      <c r="T274" s="77"/>
    </row>
    <row r="275" spans="1:30" ht="15.75" thickBot="1">
      <c r="A275" s="70">
        <f t="shared" si="58"/>
        <v>6</v>
      </c>
      <c r="B275" s="474"/>
      <c r="C275" s="477"/>
      <c r="D275" s="585"/>
      <c r="E275" s="479"/>
      <c r="F275" s="588"/>
      <c r="G275" s="588"/>
      <c r="H275" s="588"/>
      <c r="I275" s="22">
        <f t="shared" si="54"/>
        <v>6.4299999999999926</v>
      </c>
      <c r="J275" s="23" t="s">
        <v>55</v>
      </c>
      <c r="K275" s="24" t="e">
        <f>SUMIF('[3]BESS 12'!$B$4:$B$270,$J275,'[3]BESS 12'!Y$4:Y$270)</f>
        <v>#VALUE!</v>
      </c>
      <c r="L275" s="25" t="e">
        <f>SUMIF('[3]BESS 12'!$B$4:$B$270,$J275,'[3]BESS 12'!Z$4:Z$270)</f>
        <v>#VALUE!</v>
      </c>
      <c r="M275" s="26" t="e">
        <f t="shared" si="51"/>
        <v>#VALUE!</v>
      </c>
      <c r="N275" s="345" t="s">
        <v>367</v>
      </c>
      <c r="O275" s="427">
        <f t="shared" si="59"/>
        <v>46255</v>
      </c>
      <c r="P275" s="355" t="s">
        <v>164</v>
      </c>
      <c r="Q275" s="279">
        <v>5</v>
      </c>
      <c r="R275" s="252">
        <v>6</v>
      </c>
      <c r="S275" s="347" t="e">
        <f t="shared" si="60"/>
        <v>#VALUE!</v>
      </c>
      <c r="T275" s="348"/>
    </row>
    <row r="276" spans="1:30">
      <c r="A276" s="70">
        <f t="shared" si="58"/>
        <v>7</v>
      </c>
      <c r="B276" s="472" t="s">
        <v>17</v>
      </c>
      <c r="C276" s="475">
        <v>7</v>
      </c>
      <c r="D276" s="512" t="s">
        <v>774</v>
      </c>
      <c r="E276" s="524" t="s">
        <v>174</v>
      </c>
      <c r="F276" s="586" t="s">
        <v>426</v>
      </c>
      <c r="G276" s="586" t="s">
        <v>425</v>
      </c>
      <c r="H276" s="586" t="s">
        <v>427</v>
      </c>
      <c r="I276" s="74"/>
      <c r="J276" s="48"/>
      <c r="K276" s="48"/>
      <c r="L276" s="75" t="s">
        <v>121</v>
      </c>
      <c r="M276" s="48"/>
      <c r="N276" s="48"/>
      <c r="O276" s="424"/>
      <c r="P276" s="284"/>
      <c r="Q276" s="281"/>
      <c r="R276" s="247"/>
      <c r="S276" s="248"/>
      <c r="T276" s="77"/>
      <c r="U276" s="73"/>
    </row>
    <row r="277" spans="1:30" ht="25.5">
      <c r="A277" s="70">
        <f t="shared" si="58"/>
        <v>7</v>
      </c>
      <c r="B277" s="473"/>
      <c r="C277" s="476"/>
      <c r="D277" s="584"/>
      <c r="E277" s="445"/>
      <c r="F277" s="587"/>
      <c r="G277" s="587"/>
      <c r="H277" s="587"/>
      <c r="I277" s="4">
        <f>C276+0.1</f>
        <v>7.1</v>
      </c>
      <c r="J277" s="8" t="s">
        <v>19</v>
      </c>
      <c r="K277" s="1" t="e">
        <f>SUMIF('[3]BESS 12'!$B$4:$B$270,$J277,'[3]BESS 12'!AC$4:AC$270)</f>
        <v>#VALUE!</v>
      </c>
      <c r="L277" s="2" t="e">
        <f>SUMIF('[3]BESS 12'!$B$4:$B$270,$J277,'[3]BESS 12'!AD$4:AD$270)</f>
        <v>#VALUE!</v>
      </c>
      <c r="M277" s="7" t="e">
        <f t="shared" ref="M277:M287" si="61">K277-L277</f>
        <v>#VALUE!</v>
      </c>
      <c r="N277" s="432" t="s">
        <v>484</v>
      </c>
      <c r="O277" s="424">
        <f t="shared" si="59"/>
        <v>46229</v>
      </c>
      <c r="P277" s="285" t="s">
        <v>20</v>
      </c>
      <c r="Q277" s="276">
        <v>1</v>
      </c>
      <c r="R277" s="241">
        <v>2</v>
      </c>
      <c r="S277" s="242" t="e">
        <f t="shared" ref="S277:S286" si="62">(M277*R277)/Q277</f>
        <v>#VALUE!</v>
      </c>
      <c r="T277" s="77"/>
      <c r="V277" s="272"/>
      <c r="X277" s="73"/>
    </row>
    <row r="278" spans="1:30">
      <c r="A278" s="70">
        <f t="shared" si="58"/>
        <v>7</v>
      </c>
      <c r="B278" s="473"/>
      <c r="C278" s="476"/>
      <c r="D278" s="584"/>
      <c r="E278" s="445"/>
      <c r="F278" s="587"/>
      <c r="G278" s="587"/>
      <c r="H278" s="587"/>
      <c r="I278" s="56">
        <f>I277+0.1</f>
        <v>7.1999999999999993</v>
      </c>
      <c r="J278" s="57" t="s">
        <v>23</v>
      </c>
      <c r="K278" s="2" t="e">
        <f>SUMIF('[3]BESS 12'!$B$4:$B$270,$J278,'[3]BESS 12'!AC$4:AC$270)</f>
        <v>#VALUE!</v>
      </c>
      <c r="L278" s="2" t="e">
        <f>SUMIF('[3]BESS 12'!$B$4:$B$270,$J278,'[3]BESS 12'!AD$4:AD$270)</f>
        <v>#VALUE!</v>
      </c>
      <c r="M278" s="2" t="e">
        <f t="shared" si="61"/>
        <v>#VALUE!</v>
      </c>
      <c r="N278" s="63" t="s">
        <v>122</v>
      </c>
      <c r="O278" s="424" t="str">
        <f t="shared" si="59"/>
        <v>-</v>
      </c>
      <c r="P278" s="292" t="s">
        <v>20</v>
      </c>
      <c r="Q278" s="276">
        <v>1</v>
      </c>
      <c r="R278" s="241">
        <v>16</v>
      </c>
      <c r="S278" s="242" t="e">
        <f t="shared" si="62"/>
        <v>#VALUE!</v>
      </c>
      <c r="T278" s="77"/>
      <c r="V278" s="272"/>
      <c r="X278" s="73"/>
    </row>
    <row r="279" spans="1:30">
      <c r="A279" s="70">
        <f t="shared" si="58"/>
        <v>7</v>
      </c>
      <c r="B279" s="473"/>
      <c r="C279" s="476"/>
      <c r="D279" s="584"/>
      <c r="E279" s="445"/>
      <c r="F279" s="587"/>
      <c r="G279" s="587"/>
      <c r="H279" s="587"/>
      <c r="I279" s="56">
        <f t="shared" ref="I279:I285" si="63">I278+0.1</f>
        <v>7.2999999999999989</v>
      </c>
      <c r="J279" s="57" t="s">
        <v>26</v>
      </c>
      <c r="K279" s="2" t="e">
        <f>SUMIF('[3]BESS 12'!$B$4:$B$270,$J279,'[3]BESS 12'!AC$4:AC$270)</f>
        <v>#VALUE!</v>
      </c>
      <c r="L279" s="2" t="e">
        <f>SUMIF('[3]BESS 12'!$B$4:$B$270,$J279,'[3]BESS 12'!AD$4:AD$270)</f>
        <v>#VALUE!</v>
      </c>
      <c r="M279" s="2" t="e">
        <f t="shared" si="61"/>
        <v>#VALUE!</v>
      </c>
      <c r="N279" s="63" t="s">
        <v>122</v>
      </c>
      <c r="O279" s="424" t="str">
        <f t="shared" si="59"/>
        <v>-</v>
      </c>
      <c r="P279" s="292" t="s">
        <v>20</v>
      </c>
      <c r="Q279" s="276">
        <v>1</v>
      </c>
      <c r="R279" s="241">
        <v>39</v>
      </c>
      <c r="S279" s="242" t="e">
        <f t="shared" si="62"/>
        <v>#VALUE!</v>
      </c>
      <c r="T279" s="77"/>
    </row>
    <row r="280" spans="1:30">
      <c r="A280" s="70">
        <f t="shared" si="58"/>
        <v>7</v>
      </c>
      <c r="B280" s="473"/>
      <c r="C280" s="476"/>
      <c r="D280" s="584"/>
      <c r="E280" s="445"/>
      <c r="F280" s="587"/>
      <c r="G280" s="587"/>
      <c r="H280" s="587"/>
      <c r="I280" s="56">
        <f t="shared" si="63"/>
        <v>7.3999999999999986</v>
      </c>
      <c r="J280" s="57" t="s">
        <v>32</v>
      </c>
      <c r="K280" s="2" t="e">
        <f>SUMIF('[3]BESS 12'!$B$4:$B$270,$J280,'[3]BESS 12'!AC$4:AC$270)</f>
        <v>#VALUE!</v>
      </c>
      <c r="L280" s="2" t="e">
        <f>SUMIF('[3]BESS 12'!$B$4:$B$270,$J280,'[3]BESS 12'!AD$4:AD$270)</f>
        <v>#VALUE!</v>
      </c>
      <c r="M280" s="2" t="e">
        <f t="shared" si="61"/>
        <v>#VALUE!</v>
      </c>
      <c r="N280" s="63" t="s">
        <v>122</v>
      </c>
      <c r="O280" s="424" t="str">
        <f t="shared" si="59"/>
        <v>-</v>
      </c>
      <c r="P280" s="292" t="s">
        <v>20</v>
      </c>
      <c r="Q280" s="276">
        <v>1</v>
      </c>
      <c r="R280" s="241">
        <v>37</v>
      </c>
      <c r="S280" s="242" t="e">
        <f t="shared" si="62"/>
        <v>#VALUE!</v>
      </c>
      <c r="T280" s="77"/>
      <c r="V280" s="272"/>
    </row>
    <row r="281" spans="1:30">
      <c r="A281" s="70">
        <f t="shared" si="58"/>
        <v>7</v>
      </c>
      <c r="B281" s="473"/>
      <c r="C281" s="476"/>
      <c r="D281" s="584"/>
      <c r="E281" s="445"/>
      <c r="F281" s="587"/>
      <c r="G281" s="587"/>
      <c r="H281" s="587"/>
      <c r="I281" s="56">
        <f t="shared" si="63"/>
        <v>7.4999999999999982</v>
      </c>
      <c r="J281" s="57" t="s">
        <v>35</v>
      </c>
      <c r="K281" s="2" t="e">
        <f>SUMIF('[3]BESS 12'!$B$4:$B$270,$J281,'[3]BESS 12'!AC$4:AC$270)</f>
        <v>#VALUE!</v>
      </c>
      <c r="L281" s="2" t="e">
        <f>SUMIF('[3]BESS 12'!$B$4:$B$270,$J281,'[3]BESS 12'!AD$4:AD$270)</f>
        <v>#VALUE!</v>
      </c>
      <c r="M281" s="2" t="e">
        <f t="shared" si="61"/>
        <v>#VALUE!</v>
      </c>
      <c r="N281" s="63" t="s">
        <v>122</v>
      </c>
      <c r="O281" s="424" t="str">
        <f t="shared" si="59"/>
        <v>-</v>
      </c>
      <c r="P281" s="292" t="s">
        <v>20</v>
      </c>
      <c r="Q281" s="276">
        <v>1</v>
      </c>
      <c r="R281" s="241">
        <v>34</v>
      </c>
      <c r="S281" s="242" t="e">
        <f t="shared" si="62"/>
        <v>#VALUE!</v>
      </c>
      <c r="T281" s="77"/>
      <c r="V281" s="272"/>
    </row>
    <row r="282" spans="1:30">
      <c r="A282" s="70">
        <f t="shared" si="58"/>
        <v>7</v>
      </c>
      <c r="B282" s="473"/>
      <c r="C282" s="476"/>
      <c r="D282" s="584"/>
      <c r="E282" s="445"/>
      <c r="F282" s="587"/>
      <c r="G282" s="587"/>
      <c r="H282" s="587"/>
      <c r="I282" s="56">
        <f t="shared" si="63"/>
        <v>7.5999999999999979</v>
      </c>
      <c r="J282" s="57" t="s">
        <v>38</v>
      </c>
      <c r="K282" s="2" t="e">
        <f>SUMIF('[3]BESS 12'!$B$4:$B$270,$J282,'[3]BESS 12'!AC$4:AC$270)</f>
        <v>#VALUE!</v>
      </c>
      <c r="L282" s="2" t="e">
        <f>SUMIF('[3]BESS 12'!$B$4:$B$270,$J282,'[3]BESS 12'!AD$4:AD$270)</f>
        <v>#VALUE!</v>
      </c>
      <c r="M282" s="2" t="e">
        <f t="shared" si="61"/>
        <v>#VALUE!</v>
      </c>
      <c r="N282" s="63" t="s">
        <v>122</v>
      </c>
      <c r="O282" s="424" t="str">
        <f t="shared" si="59"/>
        <v>-</v>
      </c>
      <c r="P282" s="292" t="s">
        <v>20</v>
      </c>
      <c r="Q282" s="276">
        <v>1</v>
      </c>
      <c r="R282" s="241">
        <v>54</v>
      </c>
      <c r="S282" s="242" t="e">
        <f t="shared" si="62"/>
        <v>#VALUE!</v>
      </c>
      <c r="T282" s="77"/>
      <c r="X282" s="73"/>
    </row>
    <row r="283" spans="1:30" ht="25.5">
      <c r="A283" s="70">
        <f t="shared" si="58"/>
        <v>7</v>
      </c>
      <c r="B283" s="473"/>
      <c r="C283" s="476"/>
      <c r="D283" s="584"/>
      <c r="E283" s="445"/>
      <c r="F283" s="587"/>
      <c r="G283" s="587"/>
      <c r="H283" s="587"/>
      <c r="I283" s="4">
        <f t="shared" si="63"/>
        <v>7.6999999999999975</v>
      </c>
      <c r="J283" s="8" t="s">
        <v>44</v>
      </c>
      <c r="K283" s="1" t="e">
        <f>SUMIF('[3]BESS 12'!$B$4:$B$270,$J283,'[3]BESS 12'!AC$4:AC$270)</f>
        <v>#VALUE!</v>
      </c>
      <c r="L283" s="2" t="e">
        <f>SUMIF('[3]BESS 12'!$B$4:$B$270,$J283,'[3]BESS 12'!AD$4:AD$270)</f>
        <v>#VALUE!</v>
      </c>
      <c r="M283" s="7" t="e">
        <f t="shared" si="61"/>
        <v>#VALUE!</v>
      </c>
      <c r="N283" s="432" t="s">
        <v>485</v>
      </c>
      <c r="O283" s="424">
        <f t="shared" si="59"/>
        <v>46230</v>
      </c>
      <c r="P283" s="285" t="s">
        <v>45</v>
      </c>
      <c r="Q283" s="276">
        <v>3</v>
      </c>
      <c r="R283" s="241">
        <v>5</v>
      </c>
      <c r="S283" s="242" t="e">
        <f t="shared" si="62"/>
        <v>#VALUE!</v>
      </c>
      <c r="T283" s="77"/>
      <c r="X283" s="73"/>
      <c r="AA283" s="73"/>
    </row>
    <row r="284" spans="1:30" ht="25.5">
      <c r="A284" s="70">
        <f t="shared" si="58"/>
        <v>7</v>
      </c>
      <c r="B284" s="473"/>
      <c r="C284" s="476"/>
      <c r="D284" s="584"/>
      <c r="E284" s="445"/>
      <c r="F284" s="587"/>
      <c r="G284" s="587"/>
      <c r="H284" s="587"/>
      <c r="I284" s="4">
        <f t="shared" si="63"/>
        <v>7.7999999999999972</v>
      </c>
      <c r="J284" s="8" t="s">
        <v>40</v>
      </c>
      <c r="K284" s="1" t="e">
        <f>SUMIF('[3]BESS 12'!$B$4:$B$270,$J284,'[3]BESS 12'!AC$4:AC$270)</f>
        <v>#VALUE!</v>
      </c>
      <c r="L284" s="2" t="e">
        <f>SUMIF('[3]BESS 12'!$B$4:$B$270,$J284,'[3]BESS 12'!AD$4:AD$270)</f>
        <v>#VALUE!</v>
      </c>
      <c r="M284" s="7" t="e">
        <f t="shared" si="61"/>
        <v>#VALUE!</v>
      </c>
      <c r="N284" s="432" t="s">
        <v>486</v>
      </c>
      <c r="O284" s="424">
        <f t="shared" si="59"/>
        <v>46232</v>
      </c>
      <c r="P284" s="285" t="s">
        <v>20</v>
      </c>
      <c r="Q284" s="276">
        <v>1</v>
      </c>
      <c r="R284" s="241">
        <v>5</v>
      </c>
      <c r="S284" s="242" t="e">
        <f t="shared" si="62"/>
        <v>#VALUE!</v>
      </c>
      <c r="T284" s="77"/>
      <c r="V284" s="272"/>
    </row>
    <row r="285" spans="1:30">
      <c r="A285" s="70">
        <f t="shared" si="58"/>
        <v>7</v>
      </c>
      <c r="B285" s="473"/>
      <c r="C285" s="476"/>
      <c r="D285" s="584"/>
      <c r="E285" s="445"/>
      <c r="F285" s="587"/>
      <c r="G285" s="587"/>
      <c r="H285" s="587"/>
      <c r="I285" s="56">
        <f t="shared" si="63"/>
        <v>7.8999999999999968</v>
      </c>
      <c r="J285" s="57" t="s">
        <v>30</v>
      </c>
      <c r="K285" s="2" t="e">
        <f>SUMIF('[3]BESS 12'!$B$4:$B$270,$J285,'[3]BESS 12'!AC$4:AC$270)</f>
        <v>#VALUE!</v>
      </c>
      <c r="L285" s="2" t="e">
        <f>SUMIF('[3]BESS 12'!$B$4:$B$270,$J285,'[3]BESS 12'!AD$4:AD$270)</f>
        <v>#VALUE!</v>
      </c>
      <c r="M285" s="2" t="e">
        <f t="shared" si="61"/>
        <v>#VALUE!</v>
      </c>
      <c r="N285" s="63" t="s">
        <v>122</v>
      </c>
      <c r="O285" s="424" t="str">
        <f t="shared" si="59"/>
        <v>-</v>
      </c>
      <c r="P285" s="292" t="s">
        <v>162</v>
      </c>
      <c r="Q285" s="276">
        <v>1</v>
      </c>
      <c r="R285" s="241">
        <v>27</v>
      </c>
      <c r="S285" s="242" t="e">
        <f t="shared" si="62"/>
        <v>#VALUE!</v>
      </c>
      <c r="T285" s="77"/>
      <c r="V285" s="272"/>
    </row>
    <row r="286" spans="1:30">
      <c r="A286" s="70">
        <f t="shared" si="58"/>
        <v>7</v>
      </c>
      <c r="B286" s="473"/>
      <c r="C286" s="476"/>
      <c r="D286" s="584"/>
      <c r="E286" s="445"/>
      <c r="F286" s="587"/>
      <c r="G286" s="587"/>
      <c r="H286" s="587"/>
      <c r="I286" s="6">
        <f>C276+0.1</f>
        <v>7.1</v>
      </c>
      <c r="J286" s="8" t="s">
        <v>34</v>
      </c>
      <c r="K286" s="1" t="e">
        <f>SUMIF('[3]BESS 12'!$B$4:$B$270,$J286,'[3]BESS 12'!AC$4:AC$270)</f>
        <v>#VALUE!</v>
      </c>
      <c r="L286" s="2" t="e">
        <f>SUMIF('[3]BESS 12'!$B$4:$B$270,$J286,'[3]BESS 12'!AD$4:AD$270)</f>
        <v>#VALUE!</v>
      </c>
      <c r="M286" s="7" t="e">
        <f t="shared" si="61"/>
        <v>#VALUE!</v>
      </c>
      <c r="N286" s="436" t="s">
        <v>350</v>
      </c>
      <c r="O286" s="424">
        <f t="shared" si="59"/>
        <v>46237</v>
      </c>
      <c r="P286" s="285" t="s">
        <v>31</v>
      </c>
      <c r="Q286" s="276">
        <v>1</v>
      </c>
      <c r="R286" s="241">
        <v>25</v>
      </c>
      <c r="S286" s="242" t="e">
        <f t="shared" si="62"/>
        <v>#VALUE!</v>
      </c>
      <c r="T286" s="77"/>
    </row>
    <row r="287" spans="1:30">
      <c r="A287" s="70">
        <f t="shared" si="58"/>
        <v>7</v>
      </c>
      <c r="B287" s="473"/>
      <c r="C287" s="476"/>
      <c r="D287" s="584"/>
      <c r="E287" s="445"/>
      <c r="F287" s="587"/>
      <c r="G287" s="587"/>
      <c r="H287" s="587"/>
      <c r="I287" s="6">
        <f>I286+0.01</f>
        <v>7.1099999999999994</v>
      </c>
      <c r="J287" s="8" t="s">
        <v>37</v>
      </c>
      <c r="K287" s="1" t="e">
        <f>SUMIF('[3]BESS 12'!$B$4:$B$270,$J287,'[3]BESS 12'!AC$4:AC$270)</f>
        <v>#VALUE!</v>
      </c>
      <c r="L287" s="2" t="e">
        <f>SUMIF('[3]BESS 12'!$B$4:$B$270,$J287,'[3]BESS 12'!AD$4:AD$270)</f>
        <v>#VALUE!</v>
      </c>
      <c r="M287" s="7" t="e">
        <f t="shared" si="61"/>
        <v>#VALUE!</v>
      </c>
      <c r="N287" s="436" t="s">
        <v>348</v>
      </c>
      <c r="O287" s="424">
        <f t="shared" si="59"/>
        <v>46237</v>
      </c>
      <c r="P287" s="285" t="s">
        <v>163</v>
      </c>
      <c r="Q287" s="276" t="s">
        <v>89</v>
      </c>
      <c r="R287" s="241" t="s">
        <v>89</v>
      </c>
      <c r="S287" s="242" t="s">
        <v>89</v>
      </c>
      <c r="T287" s="77"/>
      <c r="AA287" s="73"/>
      <c r="AB287" s="73"/>
      <c r="AC287" s="73"/>
      <c r="AD287" s="73"/>
    </row>
    <row r="288" spans="1:30">
      <c r="A288" s="70">
        <f t="shared" si="58"/>
        <v>7</v>
      </c>
      <c r="B288" s="473"/>
      <c r="C288" s="476"/>
      <c r="D288" s="584"/>
      <c r="E288" s="445"/>
      <c r="F288" s="587"/>
      <c r="G288" s="587"/>
      <c r="H288" s="587"/>
      <c r="I288" s="44"/>
      <c r="J288" s="8"/>
      <c r="K288" s="46"/>
      <c r="L288" s="47" t="s">
        <v>124</v>
      </c>
      <c r="M288" s="7"/>
      <c r="N288" s="3"/>
      <c r="O288" s="424"/>
      <c r="P288" s="285"/>
      <c r="Q288" s="277"/>
      <c r="R288" s="243"/>
      <c r="S288" s="244"/>
      <c r="T288" s="77"/>
    </row>
    <row r="289" spans="1:20">
      <c r="A289" s="70">
        <f t="shared" si="58"/>
        <v>7</v>
      </c>
      <c r="B289" s="473"/>
      <c r="C289" s="476"/>
      <c r="D289" s="584"/>
      <c r="E289" s="445"/>
      <c r="F289" s="587"/>
      <c r="G289" s="587"/>
      <c r="H289" s="587"/>
      <c r="I289" s="6">
        <f>I287+0.01</f>
        <v>7.1199999999999992</v>
      </c>
      <c r="J289" s="8" t="s">
        <v>24</v>
      </c>
      <c r="K289" s="1" t="e">
        <f>SUMIF('[3]BESS 12'!$B$4:$B$270,$J289,'[3]BESS 12'!AC$4:AC$270)</f>
        <v>#VALUE!</v>
      </c>
      <c r="L289" s="36" t="e">
        <f>SUMIF('[3]BESS 12'!$B$4:$B$270,$J289,'[3]BESS 12'!AD$4:AD$270)</f>
        <v>#VALUE!</v>
      </c>
      <c r="M289" s="139" t="e">
        <f t="shared" ref="M289:M303" si="64">K289-L289</f>
        <v>#VALUE!</v>
      </c>
      <c r="N289" s="436" t="s">
        <v>347</v>
      </c>
      <c r="O289" s="424">
        <f t="shared" si="59"/>
        <v>46239</v>
      </c>
      <c r="P289" s="285" t="s">
        <v>164</v>
      </c>
      <c r="Q289" s="276">
        <v>2</v>
      </c>
      <c r="R289" s="241">
        <v>4</v>
      </c>
      <c r="S289" s="242" t="e">
        <f t="shared" ref="S289:S291" si="65">(M289*R289)/Q289</f>
        <v>#VALUE!</v>
      </c>
      <c r="T289" s="17"/>
    </row>
    <row r="290" spans="1:20">
      <c r="A290" s="70">
        <f t="shared" si="58"/>
        <v>7</v>
      </c>
      <c r="B290" s="473"/>
      <c r="C290" s="476"/>
      <c r="D290" s="584"/>
      <c r="E290" s="445"/>
      <c r="F290" s="587"/>
      <c r="G290" s="587"/>
      <c r="H290" s="587"/>
      <c r="I290" s="6">
        <f>I289+0.01</f>
        <v>7.129999999999999</v>
      </c>
      <c r="J290" s="8" t="s">
        <v>27</v>
      </c>
      <c r="K290" s="1" t="e">
        <f>SUMIF('[3]BESS 12'!$B$4:$B$270,$J290,'[3]BESS 12'!AC$4:AC$270)</f>
        <v>#VALUE!</v>
      </c>
      <c r="L290" s="36" t="e">
        <f>SUMIF('[3]BESS 12'!$B$4:$B$270,$J290,'[3]BESS 12'!AD$4:AD$270)</f>
        <v>#VALUE!</v>
      </c>
      <c r="M290" s="139" t="e">
        <f t="shared" si="64"/>
        <v>#VALUE!</v>
      </c>
      <c r="N290" s="436" t="s">
        <v>347</v>
      </c>
      <c r="O290" s="424">
        <f t="shared" si="59"/>
        <v>46239</v>
      </c>
      <c r="P290" s="285" t="s">
        <v>164</v>
      </c>
      <c r="Q290" s="276">
        <v>10</v>
      </c>
      <c r="R290" s="241">
        <v>4</v>
      </c>
      <c r="S290" s="242" t="e">
        <f t="shared" si="65"/>
        <v>#VALUE!</v>
      </c>
      <c r="T290" s="17"/>
    </row>
    <row r="291" spans="1:20">
      <c r="A291" s="70">
        <f t="shared" si="58"/>
        <v>7</v>
      </c>
      <c r="B291" s="473"/>
      <c r="C291" s="476"/>
      <c r="D291" s="584"/>
      <c r="E291" s="445"/>
      <c r="F291" s="587"/>
      <c r="G291" s="587"/>
      <c r="H291" s="587"/>
      <c r="I291" s="6">
        <f>I290+0.01</f>
        <v>7.1399999999999988</v>
      </c>
      <c r="J291" s="8" t="s">
        <v>28</v>
      </c>
      <c r="K291" s="1" t="e">
        <f>SUMIF('[3]BESS 12'!$B$4:$B$270,$J291,'[3]BESS 12'!AC$4:AC$270)</f>
        <v>#VALUE!</v>
      </c>
      <c r="L291" s="36" t="e">
        <f>SUMIF('[3]BESS 12'!$B$4:$B$270,$J291,'[3]BESS 12'!AD$4:AD$270)</f>
        <v>#VALUE!</v>
      </c>
      <c r="M291" s="139" t="e">
        <f t="shared" si="64"/>
        <v>#VALUE!</v>
      </c>
      <c r="N291" s="436">
        <v>46237</v>
      </c>
      <c r="O291" s="424">
        <f t="shared" si="59"/>
        <v>46237</v>
      </c>
      <c r="P291" s="285" t="s">
        <v>164</v>
      </c>
      <c r="Q291" s="276">
        <v>5</v>
      </c>
      <c r="R291" s="241">
        <v>4</v>
      </c>
      <c r="S291" s="242" t="e">
        <f t="shared" si="65"/>
        <v>#VALUE!</v>
      </c>
      <c r="T291" s="17"/>
    </row>
    <row r="292" spans="1:20" ht="25.5">
      <c r="A292" s="70">
        <f t="shared" si="58"/>
        <v>7</v>
      </c>
      <c r="B292" s="473"/>
      <c r="C292" s="476"/>
      <c r="D292" s="584"/>
      <c r="E292" s="445"/>
      <c r="F292" s="587"/>
      <c r="G292" s="587"/>
      <c r="H292" s="587"/>
      <c r="I292" s="6">
        <f t="shared" ref="I292:I320" si="66">I291+0.01</f>
        <v>7.1499999999999986</v>
      </c>
      <c r="J292" s="8" t="s">
        <v>29</v>
      </c>
      <c r="K292" s="1" t="e">
        <f>SUMIF('[3]BESS 12'!$B$4:$B$270,$J292,'[3]BESS 12'!AC$4:AC$270)</f>
        <v>#VALUE!</v>
      </c>
      <c r="L292" s="36" t="e">
        <f>SUMIF('[3]BESS 12'!$B$4:$B$270,$J292,'[3]BESS 12'!AD$4:AD$270)</f>
        <v>#VALUE!</v>
      </c>
      <c r="M292" s="139" t="e">
        <f t="shared" si="64"/>
        <v>#VALUE!</v>
      </c>
      <c r="N292" s="436" t="s">
        <v>347</v>
      </c>
      <c r="O292" s="424">
        <f t="shared" si="59"/>
        <v>46239</v>
      </c>
      <c r="P292" s="285" t="s">
        <v>164</v>
      </c>
      <c r="Q292" s="276">
        <v>20</v>
      </c>
      <c r="R292" s="241">
        <v>4</v>
      </c>
      <c r="S292" s="242">
        <v>4</v>
      </c>
      <c r="T292" s="17"/>
    </row>
    <row r="293" spans="1:20">
      <c r="A293" s="70">
        <f t="shared" si="58"/>
        <v>7</v>
      </c>
      <c r="B293" s="473"/>
      <c r="C293" s="476"/>
      <c r="D293" s="584"/>
      <c r="E293" s="445"/>
      <c r="F293" s="587"/>
      <c r="G293" s="587"/>
      <c r="H293" s="587"/>
      <c r="I293" s="6">
        <f t="shared" si="66"/>
        <v>7.1599999999999984</v>
      </c>
      <c r="J293" s="8" t="s">
        <v>33</v>
      </c>
      <c r="K293" s="1" t="e">
        <f>SUMIF('[3]BESS 12'!$B$4:$B$270,$J293,'[3]BESS 12'!AC$4:AC$270)</f>
        <v>#VALUE!</v>
      </c>
      <c r="L293" s="36" t="e">
        <f>SUMIF('[3]BESS 12'!$B$4:$B$270,$J293,'[3]BESS 12'!AD$4:AD$270)</f>
        <v>#VALUE!</v>
      </c>
      <c r="M293" s="139" t="e">
        <f t="shared" si="64"/>
        <v>#VALUE!</v>
      </c>
      <c r="N293" s="436" t="s">
        <v>347</v>
      </c>
      <c r="O293" s="424">
        <f t="shared" si="59"/>
        <v>46239</v>
      </c>
      <c r="P293" s="285" t="s">
        <v>164</v>
      </c>
      <c r="Q293" s="276">
        <v>10</v>
      </c>
      <c r="R293" s="241"/>
      <c r="S293" s="242"/>
      <c r="T293" s="17"/>
    </row>
    <row r="294" spans="1:20">
      <c r="A294" s="70">
        <f t="shared" si="58"/>
        <v>7</v>
      </c>
      <c r="B294" s="473"/>
      <c r="C294" s="476"/>
      <c r="D294" s="584"/>
      <c r="E294" s="445"/>
      <c r="F294" s="587"/>
      <c r="G294" s="587"/>
      <c r="H294" s="587"/>
      <c r="I294" s="6">
        <f t="shared" si="66"/>
        <v>7.1699999999999982</v>
      </c>
      <c r="J294" s="8" t="s">
        <v>36</v>
      </c>
      <c r="K294" s="1" t="e">
        <f>SUMIF('[3]BESS 12'!$B$4:$B$270,$J294,'[3]BESS 12'!AC$4:AC$270)</f>
        <v>#VALUE!</v>
      </c>
      <c r="L294" s="36" t="e">
        <f>SUMIF('[3]BESS 12'!$B$4:$B$270,$J294,'[3]BESS 12'!AD$4:AD$270)</f>
        <v>#VALUE!</v>
      </c>
      <c r="M294" s="139" t="e">
        <f t="shared" si="64"/>
        <v>#VALUE!</v>
      </c>
      <c r="N294" s="436">
        <v>46241</v>
      </c>
      <c r="O294" s="424">
        <f t="shared" si="59"/>
        <v>46241</v>
      </c>
      <c r="P294" s="285" t="s">
        <v>164</v>
      </c>
      <c r="Q294" s="276">
        <v>10</v>
      </c>
      <c r="R294" s="241"/>
      <c r="S294" s="242"/>
      <c r="T294" s="17"/>
    </row>
    <row r="295" spans="1:20">
      <c r="A295" s="70">
        <f t="shared" si="58"/>
        <v>7</v>
      </c>
      <c r="B295" s="473"/>
      <c r="C295" s="476"/>
      <c r="D295" s="584"/>
      <c r="E295" s="445"/>
      <c r="F295" s="587"/>
      <c r="G295" s="587"/>
      <c r="H295" s="587"/>
      <c r="I295" s="6">
        <f t="shared" si="66"/>
        <v>7.1799999999999979</v>
      </c>
      <c r="J295" s="8" t="s">
        <v>39</v>
      </c>
      <c r="K295" s="1" t="e">
        <f>SUMIF('[3]BESS 12'!$B$4:$B$270,$J295,'[3]BESS 12'!AC$4:AC$270)</f>
        <v>#VALUE!</v>
      </c>
      <c r="L295" s="36" t="e">
        <f>SUMIF('[3]BESS 12'!$B$4:$B$270,$J295,'[3]BESS 12'!AD$4:AD$270)</f>
        <v>#VALUE!</v>
      </c>
      <c r="M295" s="139" t="e">
        <f t="shared" si="64"/>
        <v>#VALUE!</v>
      </c>
      <c r="N295" s="436">
        <v>46241</v>
      </c>
      <c r="O295" s="424">
        <f t="shared" si="59"/>
        <v>46241</v>
      </c>
      <c r="P295" s="285" t="s">
        <v>164</v>
      </c>
      <c r="Q295" s="276">
        <v>10</v>
      </c>
      <c r="R295" s="241"/>
      <c r="S295" s="242"/>
      <c r="T295" s="261"/>
    </row>
    <row r="296" spans="1:20">
      <c r="A296" s="70">
        <f t="shared" si="58"/>
        <v>7</v>
      </c>
      <c r="B296" s="473"/>
      <c r="C296" s="476"/>
      <c r="D296" s="584"/>
      <c r="E296" s="445"/>
      <c r="F296" s="587"/>
      <c r="G296" s="587"/>
      <c r="H296" s="587"/>
      <c r="I296" s="6">
        <f t="shared" si="66"/>
        <v>7.1899999999999977</v>
      </c>
      <c r="J296" s="8" t="s">
        <v>41</v>
      </c>
      <c r="K296" s="1" t="e">
        <f>SUMIF('[3]BESS 12'!$B$4:$B$270,$J296,'[3]BESS 12'!AC$4:AC$270)</f>
        <v>#VALUE!</v>
      </c>
      <c r="L296" s="36" t="e">
        <f>SUMIF('[3]BESS 12'!$B$4:$B$270,$J296,'[3]BESS 12'!AD$4:AD$270)</f>
        <v>#VALUE!</v>
      </c>
      <c r="M296" s="139" t="e">
        <f t="shared" si="64"/>
        <v>#VALUE!</v>
      </c>
      <c r="N296" s="436" t="s">
        <v>342</v>
      </c>
      <c r="O296" s="424">
        <f t="shared" si="59"/>
        <v>46242</v>
      </c>
      <c r="P296" s="285" t="s">
        <v>171</v>
      </c>
      <c r="Q296" s="276">
        <v>20</v>
      </c>
      <c r="R296" s="241"/>
      <c r="S296" s="242"/>
      <c r="T296" s="262"/>
    </row>
    <row r="297" spans="1:20">
      <c r="A297" s="70">
        <f t="shared" si="58"/>
        <v>7</v>
      </c>
      <c r="B297" s="473"/>
      <c r="C297" s="476"/>
      <c r="D297" s="584"/>
      <c r="E297" s="445"/>
      <c r="F297" s="587"/>
      <c r="G297" s="587"/>
      <c r="H297" s="587"/>
      <c r="I297" s="6">
        <f t="shared" si="66"/>
        <v>7.1999999999999975</v>
      </c>
      <c r="J297" s="8" t="s">
        <v>43</v>
      </c>
      <c r="K297" s="1" t="e">
        <f>SUMIF('[3]BESS 12'!$B$4:$B$270,$J297,'[3]BESS 12'!AC$4:AC$270)</f>
        <v>#VALUE!</v>
      </c>
      <c r="L297" s="2" t="e">
        <f>SUMIF('[3]BESS 12'!$B$4:$B$270,$J297,'[3]BESS 12'!AD$4:AD$270)</f>
        <v>#VALUE!</v>
      </c>
      <c r="M297" s="7" t="e">
        <f t="shared" si="64"/>
        <v>#VALUE!</v>
      </c>
      <c r="N297" s="3" t="s">
        <v>343</v>
      </c>
      <c r="O297" s="424">
        <f t="shared" si="59"/>
        <v>46245</v>
      </c>
      <c r="P297" s="285" t="s">
        <v>171</v>
      </c>
      <c r="Q297" s="276">
        <v>0.66666666666666663</v>
      </c>
      <c r="R297" s="241">
        <v>0</v>
      </c>
      <c r="S297" s="242" t="e">
        <f>(M297*R297)/Q297</f>
        <v>#VALUE!</v>
      </c>
      <c r="T297" s="262"/>
    </row>
    <row r="298" spans="1:20" ht="25.5">
      <c r="A298" s="70">
        <f t="shared" si="58"/>
        <v>7</v>
      </c>
      <c r="B298" s="473"/>
      <c r="C298" s="476"/>
      <c r="D298" s="584"/>
      <c r="E298" s="445"/>
      <c r="F298" s="587"/>
      <c r="G298" s="587"/>
      <c r="H298" s="587"/>
      <c r="I298" s="6">
        <f t="shared" si="66"/>
        <v>7.2099999999999973</v>
      </c>
      <c r="J298" s="8" t="s">
        <v>21</v>
      </c>
      <c r="K298" s="1" t="e">
        <f>SUMIF('[3]BESS 12'!$B$4:$B$270,$J298,'[3]BESS 12'!AC$4:AC$270)</f>
        <v>#VALUE!</v>
      </c>
      <c r="L298" s="36" t="e">
        <f>SUMIF('[3]BESS 12'!$B$4:$B$270,$J298,'[3]BESS 12'!AD$4:AD$270)</f>
        <v>#VALUE!</v>
      </c>
      <c r="M298" s="139" t="e">
        <f t="shared" si="64"/>
        <v>#VALUE!</v>
      </c>
      <c r="N298" s="20" t="s">
        <v>695</v>
      </c>
      <c r="O298" s="424">
        <f t="shared" si="59"/>
        <v>46265</v>
      </c>
      <c r="P298" s="287" t="s">
        <v>164</v>
      </c>
      <c r="Q298" s="276">
        <v>10</v>
      </c>
      <c r="R298" s="241">
        <v>4</v>
      </c>
      <c r="S298" s="242" t="e">
        <f t="shared" ref="S298" si="67">(M298*R298)/Q298</f>
        <v>#VALUE!</v>
      </c>
      <c r="T298" s="262"/>
    </row>
    <row r="299" spans="1:20">
      <c r="A299" s="70">
        <f t="shared" si="58"/>
        <v>7</v>
      </c>
      <c r="B299" s="473"/>
      <c r="C299" s="476"/>
      <c r="D299" s="584"/>
      <c r="E299" s="445"/>
      <c r="F299" s="587"/>
      <c r="G299" s="587"/>
      <c r="H299" s="587"/>
      <c r="I299" s="6">
        <f t="shared" si="66"/>
        <v>7.2199999999999971</v>
      </c>
      <c r="J299" s="8" t="s">
        <v>47</v>
      </c>
      <c r="K299" s="1" t="e">
        <f>SUMIF('[3]BESS 12'!$B$4:$B$270,$J299,'[3]BESS 12'!AC$4:AC$270)</f>
        <v>#VALUE!</v>
      </c>
      <c r="L299" s="36" t="e">
        <f>SUMIF('[3]BESS 12'!$B$4:$B$270,$J299,'[3]BESS 12'!AD$4:AD$270)</f>
        <v>#VALUE!</v>
      </c>
      <c r="M299" s="139" t="e">
        <f t="shared" si="64"/>
        <v>#VALUE!</v>
      </c>
      <c r="N299" s="436" t="s">
        <v>500</v>
      </c>
      <c r="O299" s="424">
        <f t="shared" si="59"/>
        <v>46243</v>
      </c>
      <c r="P299" s="285" t="s">
        <v>164</v>
      </c>
      <c r="Q299" s="276">
        <v>1500</v>
      </c>
      <c r="R299" s="241">
        <v>48</v>
      </c>
      <c r="S299" s="242" t="e">
        <f t="shared" ref="S299:S309" si="68">(M299*R299)/Q299</f>
        <v>#VALUE!</v>
      </c>
      <c r="T299" s="262"/>
    </row>
    <row r="300" spans="1:20">
      <c r="A300" s="70">
        <f t="shared" si="58"/>
        <v>7</v>
      </c>
      <c r="B300" s="473"/>
      <c r="C300" s="476"/>
      <c r="D300" s="584"/>
      <c r="E300" s="445"/>
      <c r="F300" s="587"/>
      <c r="G300" s="587"/>
      <c r="H300" s="587"/>
      <c r="I300" s="6">
        <f t="shared" si="66"/>
        <v>7.2299999999999969</v>
      </c>
      <c r="J300" s="8" t="s">
        <v>48</v>
      </c>
      <c r="K300" s="1" t="e">
        <f>SUMIF('[3]BESS 12'!$B$4:$B$270,$J300,'[3]BESS 12'!AC$4:AC$270)</f>
        <v>#VALUE!</v>
      </c>
      <c r="L300" s="36" t="e">
        <f>SUMIF('[3]BESS 12'!$B$4:$B$270,$J300,'[3]BESS 12'!AD$4:AD$270)</f>
        <v>#VALUE!</v>
      </c>
      <c r="M300" s="139" t="e">
        <f t="shared" si="64"/>
        <v>#VALUE!</v>
      </c>
      <c r="N300" s="3">
        <v>46248</v>
      </c>
      <c r="O300" s="424">
        <f t="shared" si="59"/>
        <v>46248</v>
      </c>
      <c r="P300" s="285" t="s">
        <v>164</v>
      </c>
      <c r="Q300" s="276">
        <v>8</v>
      </c>
      <c r="R300" s="241">
        <v>6</v>
      </c>
      <c r="S300" s="242" t="e">
        <f t="shared" si="68"/>
        <v>#VALUE!</v>
      </c>
      <c r="T300" s="262"/>
    </row>
    <row r="301" spans="1:20">
      <c r="A301" s="70">
        <f t="shared" si="58"/>
        <v>7</v>
      </c>
      <c r="B301" s="473"/>
      <c r="C301" s="476"/>
      <c r="D301" s="584"/>
      <c r="E301" s="445"/>
      <c r="F301" s="587"/>
      <c r="G301" s="587"/>
      <c r="H301" s="587"/>
      <c r="I301" s="6">
        <f t="shared" si="66"/>
        <v>7.2399999999999967</v>
      </c>
      <c r="J301" s="8" t="s">
        <v>126</v>
      </c>
      <c r="K301" s="1" t="e">
        <f>SUMIF('[3]BESS 12'!$B$4:$B$270,$J301,'[3]BESS 12'!AC$4:AC$270)</f>
        <v>#VALUE!</v>
      </c>
      <c r="L301" s="36" t="e">
        <f>SUMIF('[3]BESS 12'!$B$4:$B$270,$J301,'[3]BESS 12'!AD$4:AD$270)</f>
        <v>#VALUE!</v>
      </c>
      <c r="M301" s="139" t="e">
        <f t="shared" si="64"/>
        <v>#VALUE!</v>
      </c>
      <c r="N301" s="436">
        <v>46238</v>
      </c>
      <c r="O301" s="424">
        <f t="shared" si="59"/>
        <v>46238</v>
      </c>
      <c r="P301" s="285" t="s">
        <v>164</v>
      </c>
      <c r="Q301" s="276">
        <v>600</v>
      </c>
      <c r="R301" s="241">
        <v>10</v>
      </c>
      <c r="S301" s="242" t="e">
        <f t="shared" si="68"/>
        <v>#VALUE!</v>
      </c>
      <c r="T301" s="262"/>
    </row>
    <row r="302" spans="1:20">
      <c r="A302" s="70">
        <f t="shared" si="58"/>
        <v>7</v>
      </c>
      <c r="B302" s="473"/>
      <c r="C302" s="476"/>
      <c r="D302" s="584"/>
      <c r="E302" s="445"/>
      <c r="F302" s="587"/>
      <c r="G302" s="587"/>
      <c r="H302" s="587"/>
      <c r="I302" s="6">
        <f t="shared" si="66"/>
        <v>7.2499999999999964</v>
      </c>
      <c r="J302" s="8" t="s">
        <v>127</v>
      </c>
      <c r="K302" s="1" t="e">
        <f>SUMIF('[3]BESS 12'!$B$4:$B$270,$J302,'[3]BESS 12'!AC$4:AC$270)</f>
        <v>#VALUE!</v>
      </c>
      <c r="L302" s="36" t="e">
        <f>SUMIF('[3]BESS 12'!$B$4:$B$270,$J302,'[3]BESS 12'!AD$4:AD$270)</f>
        <v>#VALUE!</v>
      </c>
      <c r="M302" s="139" t="e">
        <f t="shared" si="64"/>
        <v>#VALUE!</v>
      </c>
      <c r="N302" s="436" t="s">
        <v>493</v>
      </c>
      <c r="O302" s="424">
        <f t="shared" si="59"/>
        <v>46238</v>
      </c>
      <c r="P302" s="285" t="s">
        <v>164</v>
      </c>
      <c r="Q302" s="276">
        <v>600</v>
      </c>
      <c r="R302" s="241">
        <v>10</v>
      </c>
      <c r="S302" s="242" t="e">
        <f t="shared" si="68"/>
        <v>#VALUE!</v>
      </c>
      <c r="T302" s="17"/>
    </row>
    <row r="303" spans="1:20" ht="25.5">
      <c r="A303" s="70">
        <f t="shared" si="58"/>
        <v>7</v>
      </c>
      <c r="B303" s="473"/>
      <c r="C303" s="476"/>
      <c r="D303" s="584"/>
      <c r="E303" s="445"/>
      <c r="F303" s="587"/>
      <c r="G303" s="587"/>
      <c r="H303" s="587"/>
      <c r="I303" s="6">
        <f t="shared" si="66"/>
        <v>7.2599999999999962</v>
      </c>
      <c r="J303" s="8" t="s">
        <v>128</v>
      </c>
      <c r="K303" s="1" t="e">
        <f>SUMIF('[3]BESS 12'!$B$4:$B$270,$J303,'[3]BESS 12'!AC$4:AC$270)</f>
        <v>#VALUE!</v>
      </c>
      <c r="L303" s="36" t="e">
        <f>SUMIF('[3]BESS 12'!$B$4:$B$270,$J303,'[3]BESS 12'!AD$4:AD$270)</f>
        <v>#VALUE!</v>
      </c>
      <c r="M303" s="139" t="e">
        <f t="shared" si="64"/>
        <v>#VALUE!</v>
      </c>
      <c r="N303" s="20" t="s">
        <v>696</v>
      </c>
      <c r="O303" s="424">
        <f t="shared" si="59"/>
        <v>46274</v>
      </c>
      <c r="P303" s="285" t="s">
        <v>164</v>
      </c>
      <c r="Q303" s="276">
        <v>30</v>
      </c>
      <c r="R303" s="241">
        <v>18</v>
      </c>
      <c r="S303" s="242" t="e">
        <f t="shared" si="68"/>
        <v>#VALUE!</v>
      </c>
      <c r="T303" s="17"/>
    </row>
    <row r="304" spans="1:20">
      <c r="A304" s="70">
        <f t="shared" si="58"/>
        <v>7</v>
      </c>
      <c r="B304" s="473"/>
      <c r="C304" s="476"/>
      <c r="D304" s="584"/>
      <c r="E304" s="445"/>
      <c r="F304" s="587"/>
      <c r="G304" s="587"/>
      <c r="H304" s="587"/>
      <c r="I304" s="6">
        <f t="shared" si="66"/>
        <v>7.269999999999996</v>
      </c>
      <c r="J304" s="8" t="s">
        <v>129</v>
      </c>
      <c r="K304" s="1" t="e">
        <f>SUMIF('[3]BESS 12'!$B$4:$B$270,$J304,'[3]BESS 12'!AC$4:AC$270)</f>
        <v>#VALUE!</v>
      </c>
      <c r="L304" s="36" t="e">
        <f>SUMIF('[3]BESS 12'!$B$4:$B$270,$J304,'[3]BESS 12'!AD$4:AD$270)</f>
        <v>#VALUE!</v>
      </c>
      <c r="M304" s="139" t="e">
        <f t="shared" ref="M304:M319" si="69">K304-L304</f>
        <v>#VALUE!</v>
      </c>
      <c r="N304" s="3" t="s">
        <v>487</v>
      </c>
      <c r="O304" s="424">
        <f t="shared" si="59"/>
        <v>46264</v>
      </c>
      <c r="P304" s="285" t="s">
        <v>164</v>
      </c>
      <c r="Q304" s="276">
        <v>30</v>
      </c>
      <c r="R304" s="241">
        <v>18</v>
      </c>
      <c r="S304" s="242" t="e">
        <f t="shared" si="68"/>
        <v>#VALUE!</v>
      </c>
      <c r="T304" s="17"/>
    </row>
    <row r="305" spans="1:23">
      <c r="A305" s="70">
        <f t="shared" si="58"/>
        <v>7</v>
      </c>
      <c r="B305" s="473"/>
      <c r="C305" s="476"/>
      <c r="D305" s="584"/>
      <c r="E305" s="445"/>
      <c r="F305" s="587"/>
      <c r="G305" s="587"/>
      <c r="H305" s="587"/>
      <c r="I305" s="6">
        <f t="shared" si="66"/>
        <v>7.2799999999999958</v>
      </c>
      <c r="J305" s="8" t="s">
        <v>130</v>
      </c>
      <c r="K305" s="1" t="e">
        <f>SUMIF('[3]BESS 12'!$B$4:$B$270,$J305,'[3]BESS 12'!AC$4:AC$270)</f>
        <v>#VALUE!</v>
      </c>
      <c r="L305" s="36" t="e">
        <f>SUMIF('[3]BESS 12'!$B$4:$B$270,$J305,'[3]BESS 12'!AD$4:AD$270)</f>
        <v>#VALUE!</v>
      </c>
      <c r="M305" s="139" t="e">
        <f t="shared" si="69"/>
        <v>#VALUE!</v>
      </c>
      <c r="N305" s="436">
        <v>46242</v>
      </c>
      <c r="O305" s="424">
        <f t="shared" si="59"/>
        <v>46242</v>
      </c>
      <c r="P305" s="285" t="s">
        <v>164</v>
      </c>
      <c r="Q305" s="276">
        <v>1000</v>
      </c>
      <c r="R305" s="241">
        <v>10</v>
      </c>
      <c r="S305" s="242" t="e">
        <f t="shared" si="68"/>
        <v>#VALUE!</v>
      </c>
      <c r="T305" s="17"/>
    </row>
    <row r="306" spans="1:23">
      <c r="A306" s="70">
        <f t="shared" si="58"/>
        <v>7</v>
      </c>
      <c r="B306" s="473"/>
      <c r="C306" s="476"/>
      <c r="D306" s="584"/>
      <c r="E306" s="445"/>
      <c r="F306" s="587"/>
      <c r="G306" s="587"/>
      <c r="H306" s="587"/>
      <c r="I306" s="6">
        <f t="shared" si="66"/>
        <v>7.2899999999999956</v>
      </c>
      <c r="J306" s="8" t="s">
        <v>131</v>
      </c>
      <c r="K306" s="1" t="e">
        <f>SUMIF('[3]BESS 12'!$B$4:$B$270,$J306,'[3]BESS 12'!AC$4:AC$270)</f>
        <v>#VALUE!</v>
      </c>
      <c r="L306" s="36" t="e">
        <f>SUMIF('[3]BESS 12'!$B$4:$B$270,$J306,'[3]BESS 12'!AD$4:AD$270)</f>
        <v>#VALUE!</v>
      </c>
      <c r="M306" s="139" t="e">
        <f t="shared" si="69"/>
        <v>#VALUE!</v>
      </c>
      <c r="N306" s="436">
        <v>46242</v>
      </c>
      <c r="O306" s="424">
        <f t="shared" si="59"/>
        <v>46242</v>
      </c>
      <c r="P306" s="285" t="s">
        <v>164</v>
      </c>
      <c r="Q306" s="276">
        <v>1000</v>
      </c>
      <c r="R306" s="241">
        <v>10</v>
      </c>
      <c r="S306" s="242" t="e">
        <f t="shared" si="68"/>
        <v>#VALUE!</v>
      </c>
      <c r="T306" s="17"/>
    </row>
    <row r="307" spans="1:23">
      <c r="A307" s="70">
        <f t="shared" si="58"/>
        <v>7</v>
      </c>
      <c r="B307" s="473"/>
      <c r="C307" s="476"/>
      <c r="D307" s="584"/>
      <c r="E307" s="445"/>
      <c r="F307" s="587"/>
      <c r="G307" s="587"/>
      <c r="H307" s="587"/>
      <c r="I307" s="6">
        <f t="shared" si="66"/>
        <v>7.2999999999999954</v>
      </c>
      <c r="J307" s="8" t="s">
        <v>132</v>
      </c>
      <c r="K307" s="1" t="e">
        <f>SUMIF('[3]BESS 12'!$B$4:$B$270,$J307,'[3]BESS 12'!AC$4:AC$270)</f>
        <v>#VALUE!</v>
      </c>
      <c r="L307" s="36" t="e">
        <f>SUMIF('[3]BESS 12'!$B$4:$B$270,$J307,'[3]BESS 12'!AD$4:AD$270)</f>
        <v>#VALUE!</v>
      </c>
      <c r="M307" s="139" t="e">
        <f t="shared" si="69"/>
        <v>#VALUE!</v>
      </c>
      <c r="N307" s="436">
        <v>46242</v>
      </c>
      <c r="O307" s="424">
        <f t="shared" si="59"/>
        <v>46242</v>
      </c>
      <c r="P307" s="285" t="s">
        <v>164</v>
      </c>
      <c r="Q307" s="276">
        <v>500</v>
      </c>
      <c r="R307" s="241">
        <v>10</v>
      </c>
      <c r="S307" s="242" t="e">
        <f t="shared" si="68"/>
        <v>#VALUE!</v>
      </c>
      <c r="T307" s="17"/>
    </row>
    <row r="308" spans="1:23" ht="25.5">
      <c r="A308" s="70">
        <f t="shared" si="58"/>
        <v>7</v>
      </c>
      <c r="B308" s="473"/>
      <c r="C308" s="476"/>
      <c r="D308" s="584"/>
      <c r="E308" s="445"/>
      <c r="F308" s="587"/>
      <c r="G308" s="587"/>
      <c r="H308" s="587"/>
      <c r="I308" s="6">
        <f t="shared" si="66"/>
        <v>7.3099999999999952</v>
      </c>
      <c r="J308" s="8" t="s">
        <v>133</v>
      </c>
      <c r="K308" s="1" t="e">
        <f>SUMIF('[3]BESS 12'!$B$4:$B$270,$J308,'[3]BESS 12'!AC$4:AC$270)</f>
        <v>#VALUE!</v>
      </c>
      <c r="L308" s="36" t="e">
        <f>SUMIF('[3]BESS 12'!$B$4:$B$270,$J308,'[3]BESS 12'!AD$4:AD$270)</f>
        <v>#VALUE!</v>
      </c>
      <c r="M308" s="139" t="e">
        <f t="shared" si="69"/>
        <v>#VALUE!</v>
      </c>
      <c r="N308" s="20" t="s">
        <v>696</v>
      </c>
      <c r="O308" s="424">
        <f t="shared" si="59"/>
        <v>46274</v>
      </c>
      <c r="P308" s="285" t="s">
        <v>164</v>
      </c>
      <c r="Q308" s="276">
        <v>30</v>
      </c>
      <c r="R308" s="241">
        <v>6</v>
      </c>
      <c r="S308" s="242" t="e">
        <f t="shared" si="68"/>
        <v>#VALUE!</v>
      </c>
      <c r="T308" s="17"/>
    </row>
    <row r="309" spans="1:23" ht="25.5">
      <c r="A309" s="70">
        <f t="shared" si="58"/>
        <v>7</v>
      </c>
      <c r="B309" s="473"/>
      <c r="C309" s="476"/>
      <c r="D309" s="584"/>
      <c r="E309" s="445"/>
      <c r="F309" s="587"/>
      <c r="G309" s="587"/>
      <c r="H309" s="587"/>
      <c r="I309" s="6">
        <f t="shared" si="66"/>
        <v>7.319999999999995</v>
      </c>
      <c r="J309" s="8" t="s">
        <v>134</v>
      </c>
      <c r="K309" s="1" t="e">
        <f>SUMIF('[3]BESS 12'!$B$4:$B$270,$J309,'[3]BESS 12'!AC$4:AC$270)</f>
        <v>#VALUE!</v>
      </c>
      <c r="L309" s="36" t="e">
        <f>SUMIF('[3]BESS 12'!$B$4:$B$270,$J309,'[3]BESS 12'!AD$4:AD$270)</f>
        <v>#VALUE!</v>
      </c>
      <c r="M309" s="139" t="e">
        <f t="shared" si="69"/>
        <v>#VALUE!</v>
      </c>
      <c r="N309" s="20" t="s">
        <v>696</v>
      </c>
      <c r="O309" s="424">
        <f t="shared" si="59"/>
        <v>46274</v>
      </c>
      <c r="P309" s="285" t="s">
        <v>172</v>
      </c>
      <c r="Q309" s="276">
        <v>30</v>
      </c>
      <c r="R309" s="241">
        <v>4</v>
      </c>
      <c r="S309" s="242" t="e">
        <f t="shared" si="68"/>
        <v>#VALUE!</v>
      </c>
      <c r="T309" s="17"/>
    </row>
    <row r="310" spans="1:23" ht="25.5">
      <c r="A310" s="70">
        <f t="shared" si="58"/>
        <v>7</v>
      </c>
      <c r="B310" s="473"/>
      <c r="C310" s="476"/>
      <c r="D310" s="584"/>
      <c r="E310" s="445"/>
      <c r="F310" s="587"/>
      <c r="G310" s="587"/>
      <c r="H310" s="587"/>
      <c r="I310" s="6">
        <f t="shared" si="66"/>
        <v>7.3299999999999947</v>
      </c>
      <c r="J310" s="8" t="s">
        <v>136</v>
      </c>
      <c r="K310" s="1" t="e">
        <f>SUMIF('[3]BESS 12'!$B$4:$B$270,$J310,'[3]BESS 12'!AC$4:AC$270)</f>
        <v>#VALUE!</v>
      </c>
      <c r="L310" s="36" t="e">
        <f>SUMIF('[3]BESS 12'!$B$4:$B$270,$J310,'[3]BESS 12'!AD$4:AD$270)</f>
        <v>#VALUE!</v>
      </c>
      <c r="M310" s="139" t="e">
        <f t="shared" si="69"/>
        <v>#VALUE!</v>
      </c>
      <c r="N310" s="20" t="s">
        <v>696</v>
      </c>
      <c r="O310" s="424">
        <f t="shared" si="59"/>
        <v>46274</v>
      </c>
      <c r="P310" s="285" t="s">
        <v>172</v>
      </c>
      <c r="Q310" s="276" t="s">
        <v>89</v>
      </c>
      <c r="R310" s="241" t="s">
        <v>89</v>
      </c>
      <c r="S310" s="242" t="s">
        <v>89</v>
      </c>
      <c r="T310" s="77"/>
      <c r="U310" s="70">
        <f ca="1">O310-$T$1</f>
        <v>41</v>
      </c>
      <c r="V310" s="273" t="e">
        <f>SUM(S289:S320)</f>
        <v>#VALUE!</v>
      </c>
      <c r="W310" s="274" t="e">
        <f ca="1">V310/U310</f>
        <v>#VALUE!</v>
      </c>
    </row>
    <row r="311" spans="1:23">
      <c r="A311" s="70">
        <f t="shared" si="58"/>
        <v>7</v>
      </c>
      <c r="B311" s="473"/>
      <c r="C311" s="476"/>
      <c r="D311" s="584"/>
      <c r="E311" s="445"/>
      <c r="F311" s="587"/>
      <c r="G311" s="587"/>
      <c r="H311" s="587"/>
      <c r="I311" s="6">
        <f t="shared" si="66"/>
        <v>7.3399999999999945</v>
      </c>
      <c r="J311" s="8" t="s">
        <v>137</v>
      </c>
      <c r="K311" s="1" t="e">
        <f>SUMIF('[3]BESS 12'!$B$4:$B$270,$J311,'[3]BESS 12'!AC$4:AC$270)</f>
        <v>#VALUE!</v>
      </c>
      <c r="L311" s="36" t="e">
        <f>SUMIF('[3]BESS 12'!$B$4:$B$270,$J311,'[3]BESS 12'!AD$4:AD$270)</f>
        <v>#VALUE!</v>
      </c>
      <c r="M311" s="139" t="e">
        <f t="shared" si="69"/>
        <v>#VALUE!</v>
      </c>
      <c r="N311" s="3" t="s">
        <v>343</v>
      </c>
      <c r="O311" s="424">
        <f t="shared" si="59"/>
        <v>46245</v>
      </c>
      <c r="P311" s="285" t="s">
        <v>164</v>
      </c>
      <c r="Q311" s="590">
        <v>2</v>
      </c>
      <c r="R311" s="591">
        <v>8</v>
      </c>
      <c r="S311" s="242">
        <v>12</v>
      </c>
      <c r="T311" s="77"/>
    </row>
    <row r="312" spans="1:23">
      <c r="A312" s="70">
        <f t="shared" si="58"/>
        <v>7</v>
      </c>
      <c r="B312" s="473"/>
      <c r="C312" s="476"/>
      <c r="D312" s="584"/>
      <c r="E312" s="445"/>
      <c r="F312" s="587"/>
      <c r="G312" s="587"/>
      <c r="H312" s="587"/>
      <c r="I312" s="6">
        <f t="shared" si="66"/>
        <v>7.3499999999999943</v>
      </c>
      <c r="J312" s="8" t="s">
        <v>139</v>
      </c>
      <c r="K312" s="1" t="e">
        <f>SUMIF('[3]BESS 12'!$B$4:$B$270,$J312,'[3]BESS 12'!AC$4:AC$270)</f>
        <v>#VALUE!</v>
      </c>
      <c r="L312" s="36" t="e">
        <f>SUMIF('[3]BESS 12'!$B$4:$B$270,$J312,'[3]BESS 12'!AD$4:AD$270)</f>
        <v>#VALUE!</v>
      </c>
      <c r="M312" s="139" t="e">
        <f t="shared" si="69"/>
        <v>#VALUE!</v>
      </c>
      <c r="N312" s="3" t="s">
        <v>488</v>
      </c>
      <c r="O312" s="424">
        <f t="shared" si="59"/>
        <v>46249</v>
      </c>
      <c r="P312" s="285" t="s">
        <v>164</v>
      </c>
      <c r="Q312" s="590"/>
      <c r="R312" s="591"/>
      <c r="S312" s="242"/>
      <c r="T312" s="77"/>
    </row>
    <row r="313" spans="1:23">
      <c r="A313" s="70">
        <f t="shared" si="58"/>
        <v>7</v>
      </c>
      <c r="B313" s="473"/>
      <c r="C313" s="476"/>
      <c r="D313" s="584"/>
      <c r="E313" s="445"/>
      <c r="F313" s="587"/>
      <c r="G313" s="587"/>
      <c r="H313" s="587"/>
      <c r="I313" s="6">
        <f t="shared" si="66"/>
        <v>7.3599999999999941</v>
      </c>
      <c r="J313" s="8" t="s">
        <v>140</v>
      </c>
      <c r="K313" s="1" t="e">
        <f>SUMIF('[3]BESS 12'!$B$4:$B$270,$J313,'[3]BESS 12'!AC$4:AC$270)</f>
        <v>#VALUE!</v>
      </c>
      <c r="L313" s="36" t="e">
        <f>SUMIF('[3]BESS 12'!$B$4:$B$270,$J313,'[3]BESS 12'!AD$4:AD$270)</f>
        <v>#VALUE!</v>
      </c>
      <c r="M313" s="139" t="e">
        <f t="shared" si="69"/>
        <v>#VALUE!</v>
      </c>
      <c r="N313" s="3" t="s">
        <v>489</v>
      </c>
      <c r="O313" s="424">
        <f t="shared" si="59"/>
        <v>46279</v>
      </c>
      <c r="P313" s="285" t="s">
        <v>164</v>
      </c>
      <c r="Q313" s="276">
        <v>2</v>
      </c>
      <c r="R313" s="241">
        <v>4</v>
      </c>
      <c r="S313" s="242" t="e">
        <f t="shared" ref="S313:S320" si="70">(M313*R313)/Q313</f>
        <v>#VALUE!</v>
      </c>
      <c r="T313" s="119"/>
      <c r="U313" s="70">
        <f ca="1">O313-$T$1</f>
        <v>46</v>
      </c>
      <c r="V313" s="273" t="e">
        <f>SUM(S289:S320)</f>
        <v>#VALUE!</v>
      </c>
      <c r="W313" s="274" t="e">
        <f ca="1">V313/(U313-3)</f>
        <v>#VALUE!</v>
      </c>
    </row>
    <row r="314" spans="1:23" ht="25.5">
      <c r="A314" s="70">
        <f t="shared" si="58"/>
        <v>7</v>
      </c>
      <c r="B314" s="473"/>
      <c r="C314" s="476"/>
      <c r="D314" s="584"/>
      <c r="E314" s="445"/>
      <c r="F314" s="587"/>
      <c r="G314" s="587"/>
      <c r="H314" s="587"/>
      <c r="I314" s="6">
        <f t="shared" si="66"/>
        <v>7.3699999999999939</v>
      </c>
      <c r="J314" s="8" t="s">
        <v>141</v>
      </c>
      <c r="K314" s="1" t="e">
        <f>SUMIF('[3]BESS 12'!$B$4:$B$270,$J314,'[3]BESS 12'!AC$4:AC$270)</f>
        <v>#VALUE!</v>
      </c>
      <c r="L314" s="36" t="e">
        <f>SUMIF('[3]BESS 12'!$B$4:$B$270,$J314,'[3]BESS 12'!AD$4:AD$270)</f>
        <v>#VALUE!</v>
      </c>
      <c r="M314" s="139" t="e">
        <f t="shared" si="69"/>
        <v>#VALUE!</v>
      </c>
      <c r="N314" s="3" t="s">
        <v>494</v>
      </c>
      <c r="O314" s="424">
        <f t="shared" si="59"/>
        <v>46258</v>
      </c>
      <c r="P314" s="285" t="s">
        <v>164</v>
      </c>
      <c r="Q314" s="276">
        <v>0.5</v>
      </c>
      <c r="R314" s="241">
        <v>4</v>
      </c>
      <c r="S314" s="242" t="e">
        <f t="shared" si="70"/>
        <v>#VALUE!</v>
      </c>
      <c r="T314" s="310"/>
    </row>
    <row r="315" spans="1:23">
      <c r="A315" s="70">
        <f t="shared" si="58"/>
        <v>7</v>
      </c>
      <c r="B315" s="473"/>
      <c r="C315" s="476"/>
      <c r="D315" s="584"/>
      <c r="E315" s="445"/>
      <c r="F315" s="587"/>
      <c r="G315" s="587"/>
      <c r="H315" s="587"/>
      <c r="I315" s="6">
        <f t="shared" si="66"/>
        <v>7.3799999999999937</v>
      </c>
      <c r="J315" s="8" t="s">
        <v>142</v>
      </c>
      <c r="K315" s="1" t="e">
        <f>SUMIF('[3]BESS 12'!$B$4:$B$270,$J315,'[3]BESS 12'!AC$4:AC$270)</f>
        <v>#VALUE!</v>
      </c>
      <c r="L315" s="36" t="e">
        <f>SUMIF('[3]BESS 12'!$B$4:$B$270,$J315,'[3]BESS 12'!AD$4:AD$270)</f>
        <v>#VALUE!</v>
      </c>
      <c r="M315" s="139" t="e">
        <f t="shared" si="69"/>
        <v>#VALUE!</v>
      </c>
      <c r="N315" s="3" t="s">
        <v>490</v>
      </c>
      <c r="O315" s="424">
        <f t="shared" si="59"/>
        <v>46277</v>
      </c>
      <c r="P315" s="285" t="s">
        <v>164</v>
      </c>
      <c r="Q315" s="276">
        <v>6</v>
      </c>
      <c r="R315" s="241">
        <v>4</v>
      </c>
      <c r="S315" s="242" t="e">
        <f t="shared" si="70"/>
        <v>#VALUE!</v>
      </c>
      <c r="T315" s="311"/>
    </row>
    <row r="316" spans="1:23">
      <c r="A316" s="70">
        <f t="shared" si="58"/>
        <v>7</v>
      </c>
      <c r="B316" s="473"/>
      <c r="C316" s="476"/>
      <c r="D316" s="584"/>
      <c r="E316" s="445"/>
      <c r="F316" s="587"/>
      <c r="G316" s="587"/>
      <c r="H316" s="587"/>
      <c r="I316" s="6">
        <f t="shared" si="66"/>
        <v>7.3899999999999935</v>
      </c>
      <c r="J316" s="8" t="s">
        <v>143</v>
      </c>
      <c r="K316" s="1" t="e">
        <f>SUMIF('[3]BESS 12'!$B$4:$B$270,$J316,'[3]BESS 12'!AC$4:AC$270)</f>
        <v>#VALUE!</v>
      </c>
      <c r="L316" s="36" t="e">
        <f>SUMIF('[3]BESS 12'!$B$4:$B$270,$J316,'[3]BESS 12'!AD$4:AD$270)</f>
        <v>#VALUE!</v>
      </c>
      <c r="M316" s="139" t="e">
        <f t="shared" si="69"/>
        <v>#VALUE!</v>
      </c>
      <c r="N316" s="3" t="s">
        <v>494</v>
      </c>
      <c r="O316" s="424">
        <f t="shared" si="59"/>
        <v>46258</v>
      </c>
      <c r="P316" s="285" t="s">
        <v>164</v>
      </c>
      <c r="Q316" s="276">
        <v>6</v>
      </c>
      <c r="R316" s="241">
        <v>5</v>
      </c>
      <c r="S316" s="242" t="e">
        <f t="shared" si="70"/>
        <v>#VALUE!</v>
      </c>
      <c r="T316" s="311"/>
    </row>
    <row r="317" spans="1:23">
      <c r="A317" s="70">
        <f t="shared" si="58"/>
        <v>7</v>
      </c>
      <c r="B317" s="473"/>
      <c r="C317" s="476"/>
      <c r="D317" s="584"/>
      <c r="E317" s="445"/>
      <c r="F317" s="587"/>
      <c r="G317" s="587"/>
      <c r="H317" s="587"/>
      <c r="I317" s="6">
        <f t="shared" si="66"/>
        <v>7.3999999999999932</v>
      </c>
      <c r="J317" s="8" t="s">
        <v>144</v>
      </c>
      <c r="K317" s="1" t="e">
        <f>SUMIF('[3]BESS 12'!$B$4:$B$270,$J317,'[3]BESS 12'!AC$4:AC$270)</f>
        <v>#VALUE!</v>
      </c>
      <c r="L317" s="36" t="e">
        <f>SUMIF('[3]BESS 12'!$B$4:$B$270,$J317,'[3]BESS 12'!AD$4:AD$270)</f>
        <v>#VALUE!</v>
      </c>
      <c r="M317" s="139" t="e">
        <f t="shared" si="69"/>
        <v>#VALUE!</v>
      </c>
      <c r="N317" s="3" t="s">
        <v>494</v>
      </c>
      <c r="O317" s="424">
        <f t="shared" si="59"/>
        <v>46258</v>
      </c>
      <c r="P317" s="285" t="s">
        <v>164</v>
      </c>
      <c r="Q317" s="276">
        <v>1</v>
      </c>
      <c r="R317" s="241">
        <v>5</v>
      </c>
      <c r="S317" s="242" t="e">
        <f t="shared" si="70"/>
        <v>#VALUE!</v>
      </c>
      <c r="T317" s="77"/>
    </row>
    <row r="318" spans="1:23">
      <c r="A318" s="70">
        <f t="shared" si="58"/>
        <v>7</v>
      </c>
      <c r="B318" s="473"/>
      <c r="C318" s="476"/>
      <c r="D318" s="584"/>
      <c r="E318" s="445"/>
      <c r="F318" s="587"/>
      <c r="G318" s="587"/>
      <c r="H318" s="587"/>
      <c r="I318" s="6">
        <f t="shared" si="66"/>
        <v>7.409999999999993</v>
      </c>
      <c r="J318" s="8" t="s">
        <v>145</v>
      </c>
      <c r="K318" s="1" t="e">
        <f>SUMIF('[3]BESS 12'!$B$4:$B$270,$J318,'[3]BESS 12'!AC$4:AC$270)</f>
        <v>#VALUE!</v>
      </c>
      <c r="L318" s="36" t="e">
        <f>SUMIF('[3]BESS 12'!$B$4:$B$270,$J318,'[3]BESS 12'!AD$4:AD$270)</f>
        <v>#VALUE!</v>
      </c>
      <c r="M318" s="139" t="e">
        <f t="shared" si="69"/>
        <v>#VALUE!</v>
      </c>
      <c r="N318" s="3" t="s">
        <v>494</v>
      </c>
      <c r="O318" s="424">
        <f t="shared" si="59"/>
        <v>46258</v>
      </c>
      <c r="P318" s="285" t="s">
        <v>164</v>
      </c>
      <c r="Q318" s="276">
        <v>3</v>
      </c>
      <c r="R318" s="241">
        <v>5</v>
      </c>
      <c r="S318" s="242" t="e">
        <f t="shared" si="70"/>
        <v>#VALUE!</v>
      </c>
      <c r="T318" s="77"/>
    </row>
    <row r="319" spans="1:23">
      <c r="A319" s="70">
        <f t="shared" si="58"/>
        <v>7</v>
      </c>
      <c r="B319" s="473"/>
      <c r="C319" s="476"/>
      <c r="D319" s="584"/>
      <c r="E319" s="445"/>
      <c r="F319" s="587"/>
      <c r="G319" s="587"/>
      <c r="H319" s="587"/>
      <c r="I319" s="6">
        <f t="shared" si="66"/>
        <v>7.4199999999999928</v>
      </c>
      <c r="J319" s="8" t="s">
        <v>54</v>
      </c>
      <c r="K319" s="1" t="e">
        <f>SUMIF('[3]BESS 12'!$B$4:$B$270,$J319,'[3]BESS 12'!AC$4:AC$270)</f>
        <v>#VALUE!</v>
      </c>
      <c r="L319" s="36" t="e">
        <f>SUMIF('[3]BESS 12'!$B$4:$B$270,$J319,'[3]BESS 12'!AD$4:AD$270)</f>
        <v>#VALUE!</v>
      </c>
      <c r="M319" s="139" t="e">
        <f t="shared" si="69"/>
        <v>#VALUE!</v>
      </c>
      <c r="N319" s="3" t="s">
        <v>491</v>
      </c>
      <c r="O319" s="424">
        <f t="shared" si="59"/>
        <v>46267</v>
      </c>
      <c r="P319" s="285" t="s">
        <v>164</v>
      </c>
      <c r="Q319" s="276">
        <v>150</v>
      </c>
      <c r="R319" s="241">
        <v>6</v>
      </c>
      <c r="S319" s="242" t="e">
        <f t="shared" si="70"/>
        <v>#VALUE!</v>
      </c>
      <c r="T319" s="77"/>
    </row>
    <row r="320" spans="1:23" ht="15.75" thickBot="1">
      <c r="A320" s="70">
        <f t="shared" si="58"/>
        <v>7</v>
      </c>
      <c r="B320" s="474"/>
      <c r="C320" s="477"/>
      <c r="D320" s="585"/>
      <c r="E320" s="479"/>
      <c r="F320" s="588"/>
      <c r="G320" s="588"/>
      <c r="H320" s="588"/>
      <c r="I320" s="137">
        <f t="shared" si="66"/>
        <v>7.4299999999999926</v>
      </c>
      <c r="J320" s="296" t="s">
        <v>55</v>
      </c>
      <c r="K320" s="37" t="e">
        <f>SUMIF('[3]BESS 12'!$B$4:$B$270,$J320,'[3]BESS 12'!AC$4:AC$270)</f>
        <v>#VALUE!</v>
      </c>
      <c r="L320" s="38" t="e">
        <f>SUMIF('[3]BESS 12'!$B$4:$B$270,$J320,'[3]BESS 12'!AD$4:AD$270)</f>
        <v>#VALUE!</v>
      </c>
      <c r="M320" s="294" t="e">
        <f>K320-L320</f>
        <v>#VALUE!</v>
      </c>
      <c r="N320" s="426" t="s">
        <v>492</v>
      </c>
      <c r="O320" s="427">
        <f t="shared" si="59"/>
        <v>46269</v>
      </c>
      <c r="P320" s="356" t="s">
        <v>164</v>
      </c>
      <c r="Q320" s="279">
        <v>5</v>
      </c>
      <c r="R320" s="252">
        <v>6</v>
      </c>
      <c r="S320" s="347" t="e">
        <f t="shared" si="70"/>
        <v>#VALUE!</v>
      </c>
      <c r="T320" s="348"/>
    </row>
    <row r="321" spans="1:27">
      <c r="A321" s="70">
        <f t="shared" si="58"/>
        <v>8</v>
      </c>
      <c r="B321" s="472" t="s">
        <v>17</v>
      </c>
      <c r="C321" s="475">
        <v>8</v>
      </c>
      <c r="D321" s="512" t="s">
        <v>775</v>
      </c>
      <c r="E321" s="524" t="s">
        <v>174</v>
      </c>
      <c r="F321" s="586" t="s">
        <v>473</v>
      </c>
      <c r="G321" s="586" t="s">
        <v>474</v>
      </c>
      <c r="H321" s="586" t="s">
        <v>475</v>
      </c>
      <c r="I321" s="44"/>
      <c r="J321" s="46"/>
      <c r="K321" s="46"/>
      <c r="L321" s="47" t="s">
        <v>121</v>
      </c>
      <c r="M321" s="46"/>
      <c r="N321" s="46"/>
      <c r="O321" s="424"/>
      <c r="P321" s="286"/>
      <c r="Q321" s="281"/>
      <c r="R321" s="247"/>
      <c r="S321" s="248"/>
      <c r="T321" s="77"/>
      <c r="U321" s="73"/>
    </row>
    <row r="322" spans="1:27">
      <c r="A322" s="70">
        <f t="shared" si="58"/>
        <v>8</v>
      </c>
      <c r="B322" s="473"/>
      <c r="C322" s="476"/>
      <c r="D322" s="584"/>
      <c r="E322" s="445"/>
      <c r="F322" s="587"/>
      <c r="G322" s="587"/>
      <c r="H322" s="587"/>
      <c r="I322" s="4">
        <f>C321+0.1</f>
        <v>8.1</v>
      </c>
      <c r="J322" s="8" t="s">
        <v>19</v>
      </c>
      <c r="K322" s="1" t="e">
        <f>SUMIF('[3]BESS 12'!$B$4:$B$270,$J322,'[3]BESS 12'!AG$4:AG$270)</f>
        <v>#VALUE!</v>
      </c>
      <c r="L322" s="2" t="e">
        <f>SUMIF('[3]BESS 12'!$B$4:$B$270,$J322,'[3]BESS 12'!AH$4:AH$270)</f>
        <v>#VALUE!</v>
      </c>
      <c r="M322" s="7" t="e">
        <f t="shared" ref="M322:M332" si="71">K322-L322</f>
        <v>#VALUE!</v>
      </c>
      <c r="N322" s="432" t="s">
        <v>248</v>
      </c>
      <c r="O322" s="424">
        <f t="shared" si="59"/>
        <v>46228</v>
      </c>
      <c r="P322" s="285" t="s">
        <v>20</v>
      </c>
      <c r="Q322" s="276">
        <v>1</v>
      </c>
      <c r="R322" s="241">
        <v>2</v>
      </c>
      <c r="S322" s="242" t="e">
        <f t="shared" ref="S322:S331" si="72">(M322*R322)/Q322</f>
        <v>#VALUE!</v>
      </c>
      <c r="T322" s="77"/>
      <c r="V322" s="272"/>
    </row>
    <row r="323" spans="1:27">
      <c r="A323" s="70">
        <f t="shared" si="58"/>
        <v>8</v>
      </c>
      <c r="B323" s="473"/>
      <c r="C323" s="476"/>
      <c r="D323" s="584"/>
      <c r="E323" s="445"/>
      <c r="F323" s="587"/>
      <c r="G323" s="587"/>
      <c r="H323" s="587"/>
      <c r="I323" s="56">
        <f>I322+0.1</f>
        <v>8.1999999999999993</v>
      </c>
      <c r="J323" s="57" t="s">
        <v>23</v>
      </c>
      <c r="K323" s="2" t="e">
        <f>SUMIF('[3]BESS 12'!$B$4:$B$270,$J323,'[3]BESS 12'!AG$4:AG$270)</f>
        <v>#VALUE!</v>
      </c>
      <c r="L323" s="2" t="e">
        <f>SUMIF('[3]BESS 12'!$B$4:$B$270,$J323,'[3]BESS 12'!AH$4:AH$270)</f>
        <v>#VALUE!</v>
      </c>
      <c r="M323" s="2" t="e">
        <f t="shared" si="71"/>
        <v>#VALUE!</v>
      </c>
      <c r="N323" s="63" t="s">
        <v>122</v>
      </c>
      <c r="O323" s="424" t="str">
        <f t="shared" si="59"/>
        <v>-</v>
      </c>
      <c r="P323" s="292" t="s">
        <v>20</v>
      </c>
      <c r="Q323" s="276">
        <v>1</v>
      </c>
      <c r="R323" s="241">
        <v>16</v>
      </c>
      <c r="S323" s="242" t="e">
        <f t="shared" si="72"/>
        <v>#VALUE!</v>
      </c>
      <c r="T323" s="77"/>
      <c r="V323" s="272"/>
      <c r="X323" s="73"/>
    </row>
    <row r="324" spans="1:27">
      <c r="A324" s="70">
        <f t="shared" si="58"/>
        <v>8</v>
      </c>
      <c r="B324" s="473"/>
      <c r="C324" s="476"/>
      <c r="D324" s="584"/>
      <c r="E324" s="445"/>
      <c r="F324" s="587"/>
      <c r="G324" s="587"/>
      <c r="H324" s="587"/>
      <c r="I324" s="56">
        <f t="shared" ref="I324:I330" si="73">I323+0.1</f>
        <v>8.2999999999999989</v>
      </c>
      <c r="J324" s="57" t="s">
        <v>26</v>
      </c>
      <c r="K324" s="2" t="e">
        <f>SUMIF('[3]BESS 12'!$B$4:$B$270,$J324,'[3]BESS 12'!AG$4:AG$270)</f>
        <v>#VALUE!</v>
      </c>
      <c r="L324" s="2" t="e">
        <f>SUMIF('[3]BESS 12'!$B$4:$B$270,$J324,'[3]BESS 12'!AH$4:AH$270)</f>
        <v>#VALUE!</v>
      </c>
      <c r="M324" s="2" t="e">
        <f t="shared" si="71"/>
        <v>#VALUE!</v>
      </c>
      <c r="N324" s="63" t="s">
        <v>122</v>
      </c>
      <c r="O324" s="424" t="str">
        <f t="shared" si="59"/>
        <v>-</v>
      </c>
      <c r="P324" s="292" t="s">
        <v>20</v>
      </c>
      <c r="Q324" s="276">
        <v>1</v>
      </c>
      <c r="R324" s="241">
        <v>39</v>
      </c>
      <c r="S324" s="242" t="e">
        <f t="shared" si="72"/>
        <v>#VALUE!</v>
      </c>
      <c r="T324" s="77"/>
      <c r="V324" s="272"/>
    </row>
    <row r="325" spans="1:27">
      <c r="A325" s="70">
        <f t="shared" ref="A325:A372" si="74">IF(C325&gt;0,C325,A324)</f>
        <v>8</v>
      </c>
      <c r="B325" s="473"/>
      <c r="C325" s="476"/>
      <c r="D325" s="584"/>
      <c r="E325" s="445"/>
      <c r="F325" s="587"/>
      <c r="G325" s="587"/>
      <c r="H325" s="587"/>
      <c r="I325" s="56">
        <f t="shared" si="73"/>
        <v>8.3999999999999986</v>
      </c>
      <c r="J325" s="57" t="s">
        <v>32</v>
      </c>
      <c r="K325" s="2" t="e">
        <f>SUMIF('[3]BESS 12'!$B$4:$B$270,$J325,'[3]BESS 12'!AG$4:AG$270)</f>
        <v>#VALUE!</v>
      </c>
      <c r="L325" s="2" t="e">
        <f>SUMIF('[3]BESS 12'!$B$4:$B$270,$J325,'[3]BESS 12'!AH$4:AH$270)</f>
        <v>#VALUE!</v>
      </c>
      <c r="M325" s="2" t="e">
        <f t="shared" si="71"/>
        <v>#VALUE!</v>
      </c>
      <c r="N325" s="63" t="s">
        <v>122</v>
      </c>
      <c r="O325" s="424" t="str">
        <f t="shared" ref="O325:O365" si="75">IF(LEN(N325)=5,N325,(IF(N325="Completed","-",DATEVALUE(RIGHT(N325,6)))))</f>
        <v>-</v>
      </c>
      <c r="P325" s="292" t="s">
        <v>20</v>
      </c>
      <c r="Q325" s="276">
        <v>1</v>
      </c>
      <c r="R325" s="241">
        <v>37</v>
      </c>
      <c r="S325" s="242" t="e">
        <f t="shared" si="72"/>
        <v>#VALUE!</v>
      </c>
      <c r="T325" s="77"/>
      <c r="V325" s="272"/>
    </row>
    <row r="326" spans="1:27">
      <c r="A326" s="70">
        <f t="shared" si="74"/>
        <v>8</v>
      </c>
      <c r="B326" s="473"/>
      <c r="C326" s="476"/>
      <c r="D326" s="584"/>
      <c r="E326" s="445"/>
      <c r="F326" s="587"/>
      <c r="G326" s="587"/>
      <c r="H326" s="587"/>
      <c r="I326" s="56">
        <f t="shared" si="73"/>
        <v>8.4999999999999982</v>
      </c>
      <c r="J326" s="57" t="s">
        <v>35</v>
      </c>
      <c r="K326" s="2" t="e">
        <f>SUMIF('[3]BESS 12'!$B$4:$B$270,$J326,'[3]BESS 12'!AG$4:AG$270)</f>
        <v>#VALUE!</v>
      </c>
      <c r="L326" s="2" t="e">
        <f>SUMIF('[3]BESS 12'!$B$4:$B$270,$J326,'[3]BESS 12'!AH$4:AH$270)</f>
        <v>#VALUE!</v>
      </c>
      <c r="M326" s="2" t="e">
        <f t="shared" si="71"/>
        <v>#VALUE!</v>
      </c>
      <c r="N326" s="63" t="s">
        <v>122</v>
      </c>
      <c r="O326" s="424" t="str">
        <f t="shared" si="75"/>
        <v>-</v>
      </c>
      <c r="P326" s="292" t="s">
        <v>20</v>
      </c>
      <c r="Q326" s="276">
        <v>1</v>
      </c>
      <c r="R326" s="241">
        <v>34</v>
      </c>
      <c r="S326" s="242" t="e">
        <f t="shared" si="72"/>
        <v>#VALUE!</v>
      </c>
      <c r="T326" s="77"/>
      <c r="V326" s="272"/>
    </row>
    <row r="327" spans="1:27">
      <c r="A327" s="70">
        <f t="shared" si="74"/>
        <v>8</v>
      </c>
      <c r="B327" s="473"/>
      <c r="C327" s="476"/>
      <c r="D327" s="584"/>
      <c r="E327" s="445"/>
      <c r="F327" s="587"/>
      <c r="G327" s="587"/>
      <c r="H327" s="587"/>
      <c r="I327" s="56">
        <f t="shared" si="73"/>
        <v>8.5999999999999979</v>
      </c>
      <c r="J327" s="57" t="s">
        <v>38</v>
      </c>
      <c r="K327" s="2" t="e">
        <f>SUMIF('[3]BESS 12'!$B$4:$B$270,$J327,'[3]BESS 12'!AG$4:AG$270)</f>
        <v>#VALUE!</v>
      </c>
      <c r="L327" s="2" t="e">
        <f>SUMIF('[3]BESS 12'!$B$4:$B$270,$J327,'[3]BESS 12'!AH$4:AH$270)</f>
        <v>#VALUE!</v>
      </c>
      <c r="M327" s="2" t="e">
        <f t="shared" si="71"/>
        <v>#VALUE!</v>
      </c>
      <c r="N327" s="63" t="s">
        <v>122</v>
      </c>
      <c r="O327" s="424" t="str">
        <f t="shared" si="75"/>
        <v>-</v>
      </c>
      <c r="P327" s="292" t="s">
        <v>20</v>
      </c>
      <c r="Q327" s="276">
        <v>1</v>
      </c>
      <c r="R327" s="241">
        <v>54</v>
      </c>
      <c r="S327" s="242" t="e">
        <f t="shared" si="72"/>
        <v>#VALUE!</v>
      </c>
      <c r="T327" s="77"/>
      <c r="X327" s="73"/>
    </row>
    <row r="328" spans="1:27" ht="25.5">
      <c r="A328" s="70">
        <f t="shared" si="74"/>
        <v>8</v>
      </c>
      <c r="B328" s="473"/>
      <c r="C328" s="476"/>
      <c r="D328" s="584"/>
      <c r="E328" s="445"/>
      <c r="F328" s="587"/>
      <c r="G328" s="587"/>
      <c r="H328" s="587"/>
      <c r="I328" s="4">
        <f t="shared" si="73"/>
        <v>8.6999999999999975</v>
      </c>
      <c r="J328" s="8" t="s">
        <v>44</v>
      </c>
      <c r="K328" s="1" t="e">
        <f>SUMIF('[3]BESS 12'!$B$4:$B$270,$J328,'[3]BESS 12'!AG$4:AG$270)</f>
        <v>#VALUE!</v>
      </c>
      <c r="L328" s="2" t="e">
        <f>SUMIF('[3]BESS 12'!$B$4:$B$270,$J328,'[3]BESS 12'!AH$4:AH$270)</f>
        <v>#VALUE!</v>
      </c>
      <c r="M328" s="7" t="e">
        <f t="shared" si="71"/>
        <v>#VALUE!</v>
      </c>
      <c r="N328" s="432" t="s">
        <v>479</v>
      </c>
      <c r="O328" s="424">
        <f t="shared" si="75"/>
        <v>46230</v>
      </c>
      <c r="P328" s="285" t="s">
        <v>45</v>
      </c>
      <c r="Q328" s="276">
        <v>3</v>
      </c>
      <c r="R328" s="241">
        <v>5</v>
      </c>
      <c r="S328" s="242" t="e">
        <f t="shared" si="72"/>
        <v>#VALUE!</v>
      </c>
      <c r="T328" s="77"/>
      <c r="X328" s="73"/>
      <c r="AA328" s="73"/>
    </row>
    <row r="329" spans="1:27" ht="25.5">
      <c r="A329" s="70">
        <f t="shared" si="74"/>
        <v>8</v>
      </c>
      <c r="B329" s="473"/>
      <c r="C329" s="476"/>
      <c r="D329" s="584"/>
      <c r="E329" s="445"/>
      <c r="F329" s="587"/>
      <c r="G329" s="587"/>
      <c r="H329" s="587"/>
      <c r="I329" s="4">
        <f t="shared" si="73"/>
        <v>8.7999999999999972</v>
      </c>
      <c r="J329" s="8" t="s">
        <v>40</v>
      </c>
      <c r="K329" s="1" t="e">
        <f>SUMIF('[3]BESS 12'!$B$4:$B$270,$J329,'[3]BESS 12'!AG$4:AG$270)</f>
        <v>#VALUE!</v>
      </c>
      <c r="L329" s="2" t="e">
        <f>SUMIF('[3]BESS 12'!$B$4:$B$270,$J329,'[3]BESS 12'!AH$4:AH$270)</f>
        <v>#VALUE!</v>
      </c>
      <c r="M329" s="7" t="e">
        <f t="shared" si="71"/>
        <v>#VALUE!</v>
      </c>
      <c r="N329" s="432" t="s">
        <v>480</v>
      </c>
      <c r="O329" s="424">
        <f t="shared" si="75"/>
        <v>46232</v>
      </c>
      <c r="P329" s="285" t="s">
        <v>20</v>
      </c>
      <c r="Q329" s="276">
        <v>1</v>
      </c>
      <c r="R329" s="241">
        <v>5</v>
      </c>
      <c r="S329" s="242" t="e">
        <f t="shared" si="72"/>
        <v>#VALUE!</v>
      </c>
      <c r="T329" s="77"/>
      <c r="V329" s="272"/>
    </row>
    <row r="330" spans="1:27">
      <c r="A330" s="70">
        <f t="shared" si="74"/>
        <v>8</v>
      </c>
      <c r="B330" s="473"/>
      <c r="C330" s="476"/>
      <c r="D330" s="584"/>
      <c r="E330" s="445"/>
      <c r="F330" s="587"/>
      <c r="G330" s="587"/>
      <c r="H330" s="587"/>
      <c r="I330" s="56">
        <f t="shared" si="73"/>
        <v>8.8999999999999968</v>
      </c>
      <c r="J330" s="57" t="s">
        <v>30</v>
      </c>
      <c r="K330" s="2" t="e">
        <f>SUMIF('[3]BESS 12'!$B$4:$B$270,$J330,'[3]BESS 12'!AG$4:AG$270)</f>
        <v>#VALUE!</v>
      </c>
      <c r="L330" s="2" t="e">
        <f>SUMIF('[3]BESS 12'!$B$4:$B$270,$J330,'[3]BESS 12'!AH$4:AH$270)</f>
        <v>#VALUE!</v>
      </c>
      <c r="M330" s="2" t="e">
        <f t="shared" si="71"/>
        <v>#VALUE!</v>
      </c>
      <c r="N330" s="63" t="s">
        <v>122</v>
      </c>
      <c r="O330" s="424" t="str">
        <f t="shared" si="75"/>
        <v>-</v>
      </c>
      <c r="P330" s="292" t="s">
        <v>162</v>
      </c>
      <c r="Q330" s="276">
        <v>1</v>
      </c>
      <c r="R330" s="241">
        <v>27</v>
      </c>
      <c r="S330" s="242" t="e">
        <f t="shared" si="72"/>
        <v>#VALUE!</v>
      </c>
      <c r="T330" s="77"/>
      <c r="V330" s="272"/>
    </row>
    <row r="331" spans="1:27">
      <c r="A331" s="70">
        <f t="shared" si="74"/>
        <v>8</v>
      </c>
      <c r="B331" s="473"/>
      <c r="C331" s="476"/>
      <c r="D331" s="584"/>
      <c r="E331" s="445"/>
      <c r="F331" s="587"/>
      <c r="G331" s="587"/>
      <c r="H331" s="587"/>
      <c r="I331" s="6">
        <f>C321+0.1</f>
        <v>8.1</v>
      </c>
      <c r="J331" s="8" t="s">
        <v>34</v>
      </c>
      <c r="K331" s="1" t="e">
        <f>SUMIF('[3]BESS 12'!$B$4:$B$270,$J331,'[3]BESS 12'!AG$4:AG$270)</f>
        <v>#VALUE!</v>
      </c>
      <c r="L331" s="2" t="e">
        <f>SUMIF('[3]BESS 12'!$B$4:$B$270,$J331,'[3]BESS 12'!AH$4:AH$270)</f>
        <v>#VALUE!</v>
      </c>
      <c r="M331" s="7" t="e">
        <f t="shared" si="71"/>
        <v>#VALUE!</v>
      </c>
      <c r="N331" s="436" t="s">
        <v>351</v>
      </c>
      <c r="O331" s="424">
        <f t="shared" si="75"/>
        <v>46240</v>
      </c>
      <c r="P331" s="285" t="s">
        <v>31</v>
      </c>
      <c r="Q331" s="276">
        <v>1</v>
      </c>
      <c r="R331" s="241">
        <v>25</v>
      </c>
      <c r="S331" s="242" t="e">
        <f t="shared" si="72"/>
        <v>#VALUE!</v>
      </c>
      <c r="T331" s="77"/>
    </row>
    <row r="332" spans="1:27">
      <c r="A332" s="70">
        <f t="shared" si="74"/>
        <v>8</v>
      </c>
      <c r="B332" s="473"/>
      <c r="C332" s="476"/>
      <c r="D332" s="584"/>
      <c r="E332" s="445"/>
      <c r="F332" s="587"/>
      <c r="G332" s="587"/>
      <c r="H332" s="587"/>
      <c r="I332" s="6">
        <f>I331+0.01</f>
        <v>8.11</v>
      </c>
      <c r="J332" s="8" t="s">
        <v>37</v>
      </c>
      <c r="K332" s="1" t="e">
        <f>SUMIF('[3]BESS 12'!$B$4:$B$270,$J332,'[3]BESS 12'!AG$4:AG$270)</f>
        <v>#VALUE!</v>
      </c>
      <c r="L332" s="2" t="e">
        <f>SUMIF('[3]BESS 12'!$B$4:$B$270,$J332,'[3]BESS 12'!AH$4:AH$270)</f>
        <v>#VALUE!</v>
      </c>
      <c r="M332" s="7" t="e">
        <f t="shared" si="71"/>
        <v>#VALUE!</v>
      </c>
      <c r="N332" s="436" t="s">
        <v>349</v>
      </c>
      <c r="O332" s="424">
        <f t="shared" si="75"/>
        <v>46240</v>
      </c>
      <c r="P332" s="285" t="s">
        <v>163</v>
      </c>
      <c r="Q332" s="276" t="s">
        <v>89</v>
      </c>
      <c r="R332" s="241" t="s">
        <v>89</v>
      </c>
      <c r="S332" s="242" t="s">
        <v>89</v>
      </c>
      <c r="T332" s="77"/>
    </row>
    <row r="333" spans="1:27">
      <c r="A333" s="70">
        <f t="shared" si="74"/>
        <v>8</v>
      </c>
      <c r="B333" s="473"/>
      <c r="C333" s="476"/>
      <c r="D333" s="584"/>
      <c r="E333" s="445"/>
      <c r="F333" s="587"/>
      <c r="G333" s="587"/>
      <c r="H333" s="587"/>
      <c r="I333" s="44"/>
      <c r="J333" s="8"/>
      <c r="K333" s="46"/>
      <c r="L333" s="47" t="s">
        <v>124</v>
      </c>
      <c r="M333" s="7"/>
      <c r="N333" s="3"/>
      <c r="O333" s="424"/>
      <c r="P333" s="285"/>
      <c r="Q333" s="277"/>
      <c r="R333" s="243"/>
      <c r="S333" s="244"/>
      <c r="T333" s="77"/>
    </row>
    <row r="334" spans="1:27">
      <c r="A334" s="70">
        <f t="shared" si="74"/>
        <v>8</v>
      </c>
      <c r="B334" s="473"/>
      <c r="C334" s="476"/>
      <c r="D334" s="584"/>
      <c r="E334" s="445"/>
      <c r="F334" s="587"/>
      <c r="G334" s="587"/>
      <c r="H334" s="587"/>
      <c r="I334" s="6">
        <f>I332+0.01</f>
        <v>8.1199999999999992</v>
      </c>
      <c r="J334" s="8" t="s">
        <v>24</v>
      </c>
      <c r="K334" s="1" t="e">
        <f>SUMIF('[3]BESS 12'!$B$4:$B$270,$J334,'[3]BESS 12'!AG$4:AG$270)</f>
        <v>#VALUE!</v>
      </c>
      <c r="L334" s="36" t="e">
        <f>SUMIF('[3]BESS 12'!$B$4:$B$270,$J334,'[3]BESS 12'!AH$4:AH$270)</f>
        <v>#VALUE!</v>
      </c>
      <c r="M334" s="139" t="e">
        <f t="shared" ref="M334:M365" si="76">K334-L334</f>
        <v>#VALUE!</v>
      </c>
      <c r="N334" s="3">
        <v>46245</v>
      </c>
      <c r="O334" s="424">
        <f t="shared" si="75"/>
        <v>46245</v>
      </c>
      <c r="P334" s="285" t="s">
        <v>164</v>
      </c>
      <c r="Q334" s="276">
        <v>2</v>
      </c>
      <c r="R334" s="241">
        <v>4</v>
      </c>
      <c r="S334" s="242" t="e">
        <f t="shared" ref="S334:S336" si="77">(M334*R334)/Q334</f>
        <v>#VALUE!</v>
      </c>
      <c r="T334" s="17"/>
    </row>
    <row r="335" spans="1:27">
      <c r="A335" s="70">
        <f t="shared" si="74"/>
        <v>8</v>
      </c>
      <c r="B335" s="473"/>
      <c r="C335" s="476"/>
      <c r="D335" s="584"/>
      <c r="E335" s="445"/>
      <c r="F335" s="587"/>
      <c r="G335" s="587"/>
      <c r="H335" s="587"/>
      <c r="I335" s="6">
        <f>I334+0.01</f>
        <v>8.129999999999999</v>
      </c>
      <c r="J335" s="8" t="s">
        <v>27</v>
      </c>
      <c r="K335" s="1" t="e">
        <f>SUMIF('[3]BESS 12'!$B$4:$B$270,$J335,'[3]BESS 12'!AG$4:AG$270)</f>
        <v>#VALUE!</v>
      </c>
      <c r="L335" s="36" t="e">
        <f>SUMIF('[3]BESS 12'!$B$4:$B$270,$J335,'[3]BESS 12'!AH$4:AH$270)</f>
        <v>#VALUE!</v>
      </c>
      <c r="M335" s="139" t="e">
        <f t="shared" si="76"/>
        <v>#VALUE!</v>
      </c>
      <c r="N335" s="3">
        <v>46245</v>
      </c>
      <c r="O335" s="424">
        <f t="shared" si="75"/>
        <v>46245</v>
      </c>
      <c r="P335" s="285" t="s">
        <v>164</v>
      </c>
      <c r="Q335" s="276">
        <v>10</v>
      </c>
      <c r="R335" s="241">
        <v>4</v>
      </c>
      <c r="S335" s="242" t="e">
        <f t="shared" si="77"/>
        <v>#VALUE!</v>
      </c>
      <c r="T335" s="261"/>
    </row>
    <row r="336" spans="1:27">
      <c r="A336" s="70">
        <f t="shared" si="74"/>
        <v>8</v>
      </c>
      <c r="B336" s="473"/>
      <c r="C336" s="476"/>
      <c r="D336" s="584"/>
      <c r="E336" s="445"/>
      <c r="F336" s="587"/>
      <c r="G336" s="587"/>
      <c r="H336" s="587"/>
      <c r="I336" s="6">
        <f>I335+0.01</f>
        <v>8.1399999999999988</v>
      </c>
      <c r="J336" s="8" t="s">
        <v>28</v>
      </c>
      <c r="K336" s="1" t="e">
        <f>SUMIF('[3]BESS 12'!$B$4:$B$270,$J336,'[3]BESS 12'!AG$4:AG$270)</f>
        <v>#VALUE!</v>
      </c>
      <c r="L336" s="36" t="e">
        <f>SUMIF('[3]BESS 12'!$B$4:$B$270,$J336,'[3]BESS 12'!AH$4:AH$270)</f>
        <v>#VALUE!</v>
      </c>
      <c r="M336" s="139" t="e">
        <f t="shared" si="76"/>
        <v>#VALUE!</v>
      </c>
      <c r="N336" s="3">
        <v>46248</v>
      </c>
      <c r="O336" s="424">
        <f t="shared" si="75"/>
        <v>46248</v>
      </c>
      <c r="P336" s="285" t="s">
        <v>164</v>
      </c>
      <c r="Q336" s="276">
        <v>5</v>
      </c>
      <c r="R336" s="241">
        <v>4</v>
      </c>
      <c r="S336" s="242" t="e">
        <f t="shared" si="77"/>
        <v>#VALUE!</v>
      </c>
      <c r="T336" s="262"/>
    </row>
    <row r="337" spans="1:20" ht="25.5">
      <c r="A337" s="70">
        <f t="shared" si="74"/>
        <v>8</v>
      </c>
      <c r="B337" s="473"/>
      <c r="C337" s="476"/>
      <c r="D337" s="584"/>
      <c r="E337" s="445"/>
      <c r="F337" s="587"/>
      <c r="G337" s="587"/>
      <c r="H337" s="587"/>
      <c r="I337" s="6">
        <f t="shared" ref="I337:I365" si="78">I336+0.01</f>
        <v>8.1499999999999986</v>
      </c>
      <c r="J337" s="8" t="s">
        <v>29</v>
      </c>
      <c r="K337" s="1" t="e">
        <f>SUMIF('[3]BESS 12'!$B$4:$B$270,$J337,'[3]BESS 12'!AG$4:AG$270)</f>
        <v>#VALUE!</v>
      </c>
      <c r="L337" s="36" t="e">
        <f>SUMIF('[3]BESS 12'!$B$4:$B$270,$J337,'[3]BESS 12'!AH$4:AH$270)</f>
        <v>#VALUE!</v>
      </c>
      <c r="M337" s="139" t="e">
        <f t="shared" si="76"/>
        <v>#VALUE!</v>
      </c>
      <c r="N337" s="3">
        <v>46245</v>
      </c>
      <c r="O337" s="424">
        <f t="shared" si="75"/>
        <v>46245</v>
      </c>
      <c r="P337" s="285" t="s">
        <v>164</v>
      </c>
      <c r="Q337" s="276">
        <v>20</v>
      </c>
      <c r="R337" s="241">
        <v>4</v>
      </c>
      <c r="S337" s="242">
        <v>4</v>
      </c>
      <c r="T337" s="262"/>
    </row>
    <row r="338" spans="1:20">
      <c r="A338" s="70">
        <f t="shared" si="74"/>
        <v>8</v>
      </c>
      <c r="B338" s="473"/>
      <c r="C338" s="476"/>
      <c r="D338" s="584"/>
      <c r="E338" s="445"/>
      <c r="F338" s="587"/>
      <c r="G338" s="587"/>
      <c r="H338" s="587"/>
      <c r="I338" s="6">
        <f t="shared" si="78"/>
        <v>8.1599999999999984</v>
      </c>
      <c r="J338" s="8" t="s">
        <v>33</v>
      </c>
      <c r="K338" s="1" t="e">
        <f>SUMIF('[3]BESS 12'!$B$4:$B$270,$J338,'[3]BESS 12'!AG$4:AG$270)</f>
        <v>#VALUE!</v>
      </c>
      <c r="L338" s="36" t="e">
        <f>SUMIF('[3]BESS 12'!$B$4:$B$270,$J338,'[3]BESS 12'!AH$4:AH$270)</f>
        <v>#VALUE!</v>
      </c>
      <c r="M338" s="139" t="e">
        <f t="shared" si="76"/>
        <v>#VALUE!</v>
      </c>
      <c r="N338" s="3">
        <v>46245</v>
      </c>
      <c r="O338" s="424">
        <f t="shared" si="75"/>
        <v>46245</v>
      </c>
      <c r="P338" s="285" t="s">
        <v>164</v>
      </c>
      <c r="Q338" s="276">
        <v>10</v>
      </c>
      <c r="R338" s="241"/>
      <c r="S338" s="242"/>
      <c r="T338" s="262"/>
    </row>
    <row r="339" spans="1:20">
      <c r="A339" s="70">
        <f t="shared" si="74"/>
        <v>8</v>
      </c>
      <c r="B339" s="473"/>
      <c r="C339" s="476"/>
      <c r="D339" s="584"/>
      <c r="E339" s="445"/>
      <c r="F339" s="587"/>
      <c r="G339" s="587"/>
      <c r="H339" s="587"/>
      <c r="I339" s="6">
        <f t="shared" si="78"/>
        <v>8.1699999999999982</v>
      </c>
      <c r="J339" s="8" t="s">
        <v>36</v>
      </c>
      <c r="K339" s="1" t="e">
        <f>SUMIF('[3]BESS 12'!$B$4:$B$270,$J339,'[3]BESS 12'!AG$4:AG$270)</f>
        <v>#VALUE!</v>
      </c>
      <c r="L339" s="36" t="e">
        <f>SUMIF('[3]BESS 12'!$B$4:$B$270,$J339,'[3]BESS 12'!AH$4:AH$270)</f>
        <v>#VALUE!</v>
      </c>
      <c r="M339" s="139" t="e">
        <f t="shared" si="76"/>
        <v>#VALUE!</v>
      </c>
      <c r="N339" s="3">
        <v>46252</v>
      </c>
      <c r="O339" s="424">
        <f t="shared" si="75"/>
        <v>46252</v>
      </c>
      <c r="P339" s="285" t="s">
        <v>164</v>
      </c>
      <c r="Q339" s="276">
        <v>10</v>
      </c>
      <c r="R339" s="241"/>
      <c r="S339" s="242"/>
      <c r="T339" s="262"/>
    </row>
    <row r="340" spans="1:20">
      <c r="A340" s="70">
        <f t="shared" si="74"/>
        <v>8</v>
      </c>
      <c r="B340" s="473"/>
      <c r="C340" s="476"/>
      <c r="D340" s="584"/>
      <c r="E340" s="445"/>
      <c r="F340" s="587"/>
      <c r="G340" s="587"/>
      <c r="H340" s="587"/>
      <c r="I340" s="6">
        <f t="shared" si="78"/>
        <v>8.1799999999999979</v>
      </c>
      <c r="J340" s="8" t="s">
        <v>39</v>
      </c>
      <c r="K340" s="1" t="e">
        <f>SUMIF('[3]BESS 12'!$B$4:$B$270,$J340,'[3]BESS 12'!AG$4:AG$270)</f>
        <v>#VALUE!</v>
      </c>
      <c r="L340" s="36" t="e">
        <f>SUMIF('[3]BESS 12'!$B$4:$B$270,$J340,'[3]BESS 12'!AH$4:AH$270)</f>
        <v>#VALUE!</v>
      </c>
      <c r="M340" s="139" t="e">
        <f t="shared" si="76"/>
        <v>#VALUE!</v>
      </c>
      <c r="N340" s="3">
        <v>46252</v>
      </c>
      <c r="O340" s="424">
        <f t="shared" si="75"/>
        <v>46252</v>
      </c>
      <c r="P340" s="285" t="s">
        <v>164</v>
      </c>
      <c r="Q340" s="276">
        <v>10</v>
      </c>
      <c r="R340" s="241"/>
      <c r="S340" s="242"/>
      <c r="T340" s="262"/>
    </row>
    <row r="341" spans="1:20">
      <c r="A341" s="70">
        <f t="shared" si="74"/>
        <v>8</v>
      </c>
      <c r="B341" s="473"/>
      <c r="C341" s="476"/>
      <c r="D341" s="584"/>
      <c r="E341" s="445"/>
      <c r="F341" s="587"/>
      <c r="G341" s="587"/>
      <c r="H341" s="587"/>
      <c r="I341" s="6">
        <f t="shared" si="78"/>
        <v>8.1899999999999977</v>
      </c>
      <c r="J341" s="8" t="s">
        <v>41</v>
      </c>
      <c r="K341" s="1" t="e">
        <f>SUMIF('[3]BESS 12'!$B$4:$B$270,$J341,'[3]BESS 12'!AG$4:AG$270)</f>
        <v>#VALUE!</v>
      </c>
      <c r="L341" s="36" t="e">
        <f>SUMIF('[3]BESS 12'!$B$4:$B$270,$J341,'[3]BESS 12'!AH$4:AH$270)</f>
        <v>#VALUE!</v>
      </c>
      <c r="M341" s="139" t="e">
        <f t="shared" si="76"/>
        <v>#VALUE!</v>
      </c>
      <c r="N341" s="3" t="s">
        <v>344</v>
      </c>
      <c r="O341" s="424">
        <f t="shared" si="75"/>
        <v>46245</v>
      </c>
      <c r="P341" s="285" t="s">
        <v>171</v>
      </c>
      <c r="Q341" s="276">
        <v>20</v>
      </c>
      <c r="R341" s="241"/>
      <c r="S341" s="242"/>
      <c r="T341" s="262"/>
    </row>
    <row r="342" spans="1:20">
      <c r="A342" s="70">
        <f t="shared" si="74"/>
        <v>8</v>
      </c>
      <c r="B342" s="473"/>
      <c r="C342" s="476"/>
      <c r="D342" s="584"/>
      <c r="E342" s="445"/>
      <c r="F342" s="587"/>
      <c r="G342" s="587"/>
      <c r="H342" s="587"/>
      <c r="I342" s="6">
        <f t="shared" si="78"/>
        <v>8.1999999999999975</v>
      </c>
      <c r="J342" s="8" t="s">
        <v>43</v>
      </c>
      <c r="K342" s="1" t="e">
        <f>SUMIF('[3]BESS 12'!$B$4:$B$270,$J342,'[3]BESS 12'!AG$4:AG$270)</f>
        <v>#VALUE!</v>
      </c>
      <c r="L342" s="2" t="e">
        <f>SUMIF('[3]BESS 12'!$B$4:$B$270,$J342,'[3]BESS 12'!AH$4:AH$270)</f>
        <v>#VALUE!</v>
      </c>
      <c r="M342" s="7" t="e">
        <f t="shared" si="76"/>
        <v>#VALUE!</v>
      </c>
      <c r="N342" s="3" t="s">
        <v>345</v>
      </c>
      <c r="O342" s="424">
        <f t="shared" si="75"/>
        <v>46249</v>
      </c>
      <c r="P342" s="285" t="s">
        <v>171</v>
      </c>
      <c r="Q342" s="276">
        <v>0.66666666666666663</v>
      </c>
      <c r="R342" s="241">
        <v>0</v>
      </c>
      <c r="S342" s="242" t="e">
        <f>(M342*R342)/Q342</f>
        <v>#VALUE!</v>
      </c>
      <c r="T342" s="17"/>
    </row>
    <row r="343" spans="1:20" ht="25.5">
      <c r="A343" s="70">
        <f t="shared" si="74"/>
        <v>8</v>
      </c>
      <c r="B343" s="473"/>
      <c r="C343" s="476"/>
      <c r="D343" s="584"/>
      <c r="E343" s="445"/>
      <c r="F343" s="587"/>
      <c r="G343" s="587"/>
      <c r="H343" s="587"/>
      <c r="I343" s="6">
        <f t="shared" si="78"/>
        <v>8.2099999999999973</v>
      </c>
      <c r="J343" s="8" t="s">
        <v>21</v>
      </c>
      <c r="K343" s="1" t="e">
        <f>SUMIF('[3]BESS 12'!$B$4:$B$270,$J343,'[3]BESS 12'!AG$4:AG$270)</f>
        <v>#VALUE!</v>
      </c>
      <c r="L343" s="36" t="e">
        <f>SUMIF('[3]BESS 12'!$B$4:$B$270,$J343,'[3]BESS 12'!AH$4:AH$270)</f>
        <v>#VALUE!</v>
      </c>
      <c r="M343" s="139" t="e">
        <f t="shared" si="76"/>
        <v>#VALUE!</v>
      </c>
      <c r="N343" s="20" t="s">
        <v>697</v>
      </c>
      <c r="O343" s="424">
        <f t="shared" si="75"/>
        <v>46266</v>
      </c>
      <c r="P343" s="287" t="s">
        <v>164</v>
      </c>
      <c r="Q343" s="276">
        <v>10</v>
      </c>
      <c r="R343" s="241">
        <v>4</v>
      </c>
      <c r="S343" s="242" t="e">
        <f t="shared" ref="S343" si="79">(M343*R343)/Q343</f>
        <v>#VALUE!</v>
      </c>
      <c r="T343" s="17"/>
    </row>
    <row r="344" spans="1:20">
      <c r="A344" s="70">
        <f t="shared" si="74"/>
        <v>8</v>
      </c>
      <c r="B344" s="473"/>
      <c r="C344" s="476"/>
      <c r="D344" s="584"/>
      <c r="E344" s="445"/>
      <c r="F344" s="587"/>
      <c r="G344" s="587"/>
      <c r="H344" s="587"/>
      <c r="I344" s="6">
        <f t="shared" si="78"/>
        <v>8.2199999999999971</v>
      </c>
      <c r="J344" s="8" t="s">
        <v>47</v>
      </c>
      <c r="K344" s="1" t="e">
        <f>SUMIF('[3]BESS 12'!$B$4:$B$270,$J344,'[3]BESS 12'!AG$4:AG$270)</f>
        <v>#VALUE!</v>
      </c>
      <c r="L344" s="36" t="e">
        <f>SUMIF('[3]BESS 12'!$B$4:$B$270,$J344,'[3]BESS 12'!AH$4:AH$270)</f>
        <v>#VALUE!</v>
      </c>
      <c r="M344" s="139" t="e">
        <f t="shared" ref="M344:M364" si="80">K344-L344</f>
        <v>#VALUE!</v>
      </c>
      <c r="N344" s="436">
        <v>46243</v>
      </c>
      <c r="O344" s="424">
        <f t="shared" si="75"/>
        <v>46243</v>
      </c>
      <c r="P344" s="285" t="s">
        <v>164</v>
      </c>
      <c r="Q344" s="276">
        <v>1500</v>
      </c>
      <c r="R344" s="241">
        <v>48</v>
      </c>
      <c r="S344" s="242" t="e">
        <f t="shared" ref="S344:S354" si="81">(M344*R344)/Q344</f>
        <v>#VALUE!</v>
      </c>
      <c r="T344" s="17"/>
    </row>
    <row r="345" spans="1:20">
      <c r="A345" s="70">
        <f t="shared" si="74"/>
        <v>8</v>
      </c>
      <c r="B345" s="473"/>
      <c r="C345" s="476"/>
      <c r="D345" s="584"/>
      <c r="E345" s="445"/>
      <c r="F345" s="587"/>
      <c r="G345" s="587"/>
      <c r="H345" s="587"/>
      <c r="I345" s="6">
        <f t="shared" si="78"/>
        <v>8.2299999999999969</v>
      </c>
      <c r="J345" s="8" t="s">
        <v>48</v>
      </c>
      <c r="K345" s="1" t="e">
        <f>SUMIF('[3]BESS 12'!$B$4:$B$270,$J345,'[3]BESS 12'!AG$4:AG$270)</f>
        <v>#VALUE!</v>
      </c>
      <c r="L345" s="36" t="e">
        <f>SUMIF('[3]BESS 12'!$B$4:$B$270,$J345,'[3]BESS 12'!AH$4:AH$270)</f>
        <v>#VALUE!</v>
      </c>
      <c r="M345" s="139" t="e">
        <f t="shared" si="80"/>
        <v>#VALUE!</v>
      </c>
      <c r="N345" s="3">
        <v>46259</v>
      </c>
      <c r="O345" s="424">
        <f t="shared" si="75"/>
        <v>46259</v>
      </c>
      <c r="P345" s="285" t="s">
        <v>164</v>
      </c>
      <c r="Q345" s="276">
        <v>8</v>
      </c>
      <c r="R345" s="241">
        <v>6</v>
      </c>
      <c r="S345" s="242" t="e">
        <f t="shared" si="81"/>
        <v>#VALUE!</v>
      </c>
      <c r="T345" s="17"/>
    </row>
    <row r="346" spans="1:20">
      <c r="A346" s="70">
        <f t="shared" si="74"/>
        <v>8</v>
      </c>
      <c r="B346" s="473"/>
      <c r="C346" s="476"/>
      <c r="D346" s="584"/>
      <c r="E346" s="445"/>
      <c r="F346" s="587"/>
      <c r="G346" s="587"/>
      <c r="H346" s="587"/>
      <c r="I346" s="6">
        <f t="shared" si="78"/>
        <v>8.2399999999999967</v>
      </c>
      <c r="J346" s="8" t="s">
        <v>126</v>
      </c>
      <c r="K346" s="1" t="e">
        <f>SUMIF('[3]BESS 12'!$B$4:$B$270,$J346,'[3]BESS 12'!AG$4:AG$270)</f>
        <v>#VALUE!</v>
      </c>
      <c r="L346" s="36" t="e">
        <f>SUMIF('[3]BESS 12'!$B$4:$B$270,$J346,'[3]BESS 12'!AH$4:AH$270)</f>
        <v>#VALUE!</v>
      </c>
      <c r="M346" s="139" t="e">
        <f t="shared" si="80"/>
        <v>#VALUE!</v>
      </c>
      <c r="N346" s="3">
        <v>46249</v>
      </c>
      <c r="O346" s="424">
        <f t="shared" si="75"/>
        <v>46249</v>
      </c>
      <c r="P346" s="285" t="s">
        <v>164</v>
      </c>
      <c r="Q346" s="276">
        <v>600</v>
      </c>
      <c r="R346" s="241">
        <v>10</v>
      </c>
      <c r="S346" s="242" t="e">
        <f t="shared" si="81"/>
        <v>#VALUE!</v>
      </c>
      <c r="T346" s="17"/>
    </row>
    <row r="347" spans="1:20">
      <c r="A347" s="70">
        <f t="shared" si="74"/>
        <v>8</v>
      </c>
      <c r="B347" s="473"/>
      <c r="C347" s="476"/>
      <c r="D347" s="584"/>
      <c r="E347" s="445"/>
      <c r="F347" s="587"/>
      <c r="G347" s="587"/>
      <c r="H347" s="587"/>
      <c r="I347" s="6">
        <f t="shared" si="78"/>
        <v>8.2499999999999964</v>
      </c>
      <c r="J347" s="8" t="s">
        <v>127</v>
      </c>
      <c r="K347" s="1" t="e">
        <f>SUMIF('[3]BESS 12'!$B$4:$B$270,$J347,'[3]BESS 12'!AG$4:AG$270)</f>
        <v>#VALUE!</v>
      </c>
      <c r="L347" s="36" t="e">
        <f>SUMIF('[3]BESS 12'!$B$4:$B$270,$J347,'[3]BESS 12'!AH$4:AH$270)</f>
        <v>#VALUE!</v>
      </c>
      <c r="M347" s="139" t="e">
        <f t="shared" si="80"/>
        <v>#VALUE!</v>
      </c>
      <c r="N347" s="436">
        <v>46243</v>
      </c>
      <c r="O347" s="424">
        <f t="shared" si="75"/>
        <v>46243</v>
      </c>
      <c r="P347" s="285" t="s">
        <v>164</v>
      </c>
      <c r="Q347" s="276">
        <v>600</v>
      </c>
      <c r="R347" s="241">
        <v>10</v>
      </c>
      <c r="S347" s="242" t="e">
        <f t="shared" si="81"/>
        <v>#VALUE!</v>
      </c>
      <c r="T347" s="17"/>
    </row>
    <row r="348" spans="1:20">
      <c r="A348" s="70">
        <f t="shared" si="74"/>
        <v>8</v>
      </c>
      <c r="B348" s="473"/>
      <c r="C348" s="476"/>
      <c r="D348" s="584"/>
      <c r="E348" s="445"/>
      <c r="F348" s="587"/>
      <c r="G348" s="587"/>
      <c r="H348" s="587"/>
      <c r="I348" s="6">
        <f t="shared" si="78"/>
        <v>8.2599999999999962</v>
      </c>
      <c r="J348" s="8" t="s">
        <v>128</v>
      </c>
      <c r="K348" s="1" t="e">
        <f>SUMIF('[3]BESS 12'!$B$4:$B$270,$J348,'[3]BESS 12'!AG$4:AG$270)</f>
        <v>#VALUE!</v>
      </c>
      <c r="L348" s="36" t="e">
        <f>SUMIF('[3]BESS 12'!$B$4:$B$270,$J348,'[3]BESS 12'!AH$4:AH$270)</f>
        <v>#VALUE!</v>
      </c>
      <c r="M348" s="139" t="e">
        <f t="shared" si="80"/>
        <v>#VALUE!</v>
      </c>
      <c r="N348" s="3" t="s">
        <v>481</v>
      </c>
      <c r="O348" s="424">
        <f t="shared" si="75"/>
        <v>46274</v>
      </c>
      <c r="P348" s="285" t="s">
        <v>164</v>
      </c>
      <c r="Q348" s="276">
        <v>30</v>
      </c>
      <c r="R348" s="241">
        <v>18</v>
      </c>
      <c r="S348" s="242" t="e">
        <f t="shared" si="81"/>
        <v>#VALUE!</v>
      </c>
      <c r="T348" s="17"/>
    </row>
    <row r="349" spans="1:20">
      <c r="A349" s="70">
        <f t="shared" si="74"/>
        <v>8</v>
      </c>
      <c r="B349" s="473"/>
      <c r="C349" s="476"/>
      <c r="D349" s="584"/>
      <c r="E349" s="445"/>
      <c r="F349" s="587"/>
      <c r="G349" s="587"/>
      <c r="H349" s="587"/>
      <c r="I349" s="6">
        <f t="shared" si="78"/>
        <v>8.269999999999996</v>
      </c>
      <c r="J349" s="8" t="s">
        <v>129</v>
      </c>
      <c r="K349" s="1" t="e">
        <f>SUMIF('[3]BESS 12'!$B$4:$B$270,$J349,'[3]BESS 12'!AG$4:AG$270)</f>
        <v>#VALUE!</v>
      </c>
      <c r="L349" s="36" t="e">
        <f>SUMIF('[3]BESS 12'!$B$4:$B$270,$J349,'[3]BESS 12'!AH$4:AH$270)</f>
        <v>#VALUE!</v>
      </c>
      <c r="M349" s="139" t="e">
        <f t="shared" si="80"/>
        <v>#VALUE!</v>
      </c>
      <c r="N349" s="3" t="s">
        <v>481</v>
      </c>
      <c r="O349" s="424">
        <f t="shared" si="75"/>
        <v>46274</v>
      </c>
      <c r="P349" s="285" t="s">
        <v>164</v>
      </c>
      <c r="Q349" s="276">
        <v>30</v>
      </c>
      <c r="R349" s="241">
        <v>18</v>
      </c>
      <c r="S349" s="242" t="e">
        <f t="shared" si="81"/>
        <v>#VALUE!</v>
      </c>
      <c r="T349" s="17"/>
    </row>
    <row r="350" spans="1:20">
      <c r="A350" s="70">
        <f t="shared" si="74"/>
        <v>8</v>
      </c>
      <c r="B350" s="473"/>
      <c r="C350" s="476"/>
      <c r="D350" s="584"/>
      <c r="E350" s="445"/>
      <c r="F350" s="587"/>
      <c r="G350" s="587"/>
      <c r="H350" s="587"/>
      <c r="I350" s="6">
        <f t="shared" si="78"/>
        <v>8.2799999999999958</v>
      </c>
      <c r="J350" s="8" t="s">
        <v>130</v>
      </c>
      <c r="K350" s="1" t="e">
        <f>SUMIF('[3]BESS 12'!$B$4:$B$270,$J350,'[3]BESS 12'!AG$4:AG$270)</f>
        <v>#VALUE!</v>
      </c>
      <c r="L350" s="36" t="e">
        <f>SUMIF('[3]BESS 12'!$B$4:$B$270,$J350,'[3]BESS 12'!AH$4:AH$270)</f>
        <v>#VALUE!</v>
      </c>
      <c r="M350" s="139" t="e">
        <f t="shared" si="80"/>
        <v>#VALUE!</v>
      </c>
      <c r="N350" s="3">
        <v>46253</v>
      </c>
      <c r="O350" s="424">
        <f t="shared" si="75"/>
        <v>46253</v>
      </c>
      <c r="P350" s="285" t="s">
        <v>164</v>
      </c>
      <c r="Q350" s="276">
        <v>1000</v>
      </c>
      <c r="R350" s="241">
        <v>10</v>
      </c>
      <c r="S350" s="242" t="e">
        <f t="shared" si="81"/>
        <v>#VALUE!</v>
      </c>
      <c r="T350" s="17"/>
    </row>
    <row r="351" spans="1:20">
      <c r="A351" s="70">
        <f t="shared" si="74"/>
        <v>8</v>
      </c>
      <c r="B351" s="473"/>
      <c r="C351" s="476"/>
      <c r="D351" s="584"/>
      <c r="E351" s="445"/>
      <c r="F351" s="587"/>
      <c r="G351" s="587"/>
      <c r="H351" s="587"/>
      <c r="I351" s="6">
        <f t="shared" si="78"/>
        <v>8.2899999999999956</v>
      </c>
      <c r="J351" s="8" t="s">
        <v>131</v>
      </c>
      <c r="K351" s="1" t="e">
        <f>SUMIF('[3]BESS 12'!$B$4:$B$270,$J351,'[3]BESS 12'!AG$4:AG$270)</f>
        <v>#VALUE!</v>
      </c>
      <c r="L351" s="36" t="e">
        <f>SUMIF('[3]BESS 12'!$B$4:$B$270,$J351,'[3]BESS 12'!AH$4:AH$270)</f>
        <v>#VALUE!</v>
      </c>
      <c r="M351" s="139" t="e">
        <f t="shared" si="80"/>
        <v>#VALUE!</v>
      </c>
      <c r="N351" s="3">
        <v>46253</v>
      </c>
      <c r="O351" s="424">
        <f t="shared" si="75"/>
        <v>46253</v>
      </c>
      <c r="P351" s="285" t="s">
        <v>164</v>
      </c>
      <c r="Q351" s="276">
        <v>1000</v>
      </c>
      <c r="R351" s="241">
        <v>10</v>
      </c>
      <c r="S351" s="242" t="e">
        <f t="shared" si="81"/>
        <v>#VALUE!</v>
      </c>
      <c r="T351" s="17"/>
    </row>
    <row r="352" spans="1:20">
      <c r="A352" s="70">
        <f t="shared" si="74"/>
        <v>8</v>
      </c>
      <c r="B352" s="473"/>
      <c r="C352" s="476"/>
      <c r="D352" s="584"/>
      <c r="E352" s="445"/>
      <c r="F352" s="587"/>
      <c r="G352" s="587"/>
      <c r="H352" s="587"/>
      <c r="I352" s="6">
        <f t="shared" si="78"/>
        <v>8.2999999999999954</v>
      </c>
      <c r="J352" s="8" t="s">
        <v>132</v>
      </c>
      <c r="K352" s="1" t="e">
        <f>SUMIF('[3]BESS 12'!$B$4:$B$270,$J352,'[3]BESS 12'!AG$4:AG$270)</f>
        <v>#VALUE!</v>
      </c>
      <c r="L352" s="36" t="e">
        <f>SUMIF('[3]BESS 12'!$B$4:$B$270,$J352,'[3]BESS 12'!AH$4:AH$270)</f>
        <v>#VALUE!</v>
      </c>
      <c r="M352" s="139" t="e">
        <f t="shared" si="80"/>
        <v>#VALUE!</v>
      </c>
      <c r="N352" s="3">
        <v>46253</v>
      </c>
      <c r="O352" s="424">
        <f t="shared" si="75"/>
        <v>46253</v>
      </c>
      <c r="P352" s="285" t="s">
        <v>164</v>
      </c>
      <c r="Q352" s="276">
        <v>500</v>
      </c>
      <c r="R352" s="241">
        <v>10</v>
      </c>
      <c r="S352" s="242" t="e">
        <f t="shared" si="81"/>
        <v>#VALUE!</v>
      </c>
      <c r="T352" s="17"/>
    </row>
    <row r="353" spans="1:23">
      <c r="A353" s="70">
        <f t="shared" si="74"/>
        <v>8</v>
      </c>
      <c r="B353" s="473"/>
      <c r="C353" s="476"/>
      <c r="D353" s="584"/>
      <c r="E353" s="445"/>
      <c r="F353" s="587"/>
      <c r="G353" s="587"/>
      <c r="H353" s="587"/>
      <c r="I353" s="6">
        <f t="shared" si="78"/>
        <v>8.3099999999999952</v>
      </c>
      <c r="J353" s="8" t="s">
        <v>133</v>
      </c>
      <c r="K353" s="1" t="e">
        <f>SUMIF('[3]BESS 12'!$B$4:$B$270,$J353,'[3]BESS 12'!AG$4:AG$270)</f>
        <v>#VALUE!</v>
      </c>
      <c r="L353" s="36" t="e">
        <f>SUMIF('[3]BESS 12'!$B$4:$B$270,$J353,'[3]BESS 12'!AH$4:AH$270)</f>
        <v>#VALUE!</v>
      </c>
      <c r="M353" s="139" t="e">
        <f t="shared" si="80"/>
        <v>#VALUE!</v>
      </c>
      <c r="N353" s="3" t="s">
        <v>481</v>
      </c>
      <c r="O353" s="424">
        <f t="shared" si="75"/>
        <v>46274</v>
      </c>
      <c r="P353" s="285" t="s">
        <v>164</v>
      </c>
      <c r="Q353" s="276">
        <v>30</v>
      </c>
      <c r="R353" s="241">
        <v>6</v>
      </c>
      <c r="S353" s="242" t="e">
        <f t="shared" si="81"/>
        <v>#VALUE!</v>
      </c>
      <c r="T353" s="17"/>
    </row>
    <row r="354" spans="1:23">
      <c r="A354" s="70">
        <f t="shared" si="74"/>
        <v>8</v>
      </c>
      <c r="B354" s="473"/>
      <c r="C354" s="476"/>
      <c r="D354" s="584"/>
      <c r="E354" s="445"/>
      <c r="F354" s="587"/>
      <c r="G354" s="587"/>
      <c r="H354" s="587"/>
      <c r="I354" s="6">
        <f t="shared" si="78"/>
        <v>8.319999999999995</v>
      </c>
      <c r="J354" s="8" t="s">
        <v>134</v>
      </c>
      <c r="K354" s="1" t="e">
        <f>SUMIF('[3]BESS 12'!$B$4:$B$270,$J354,'[3]BESS 12'!AG$4:AG$270)</f>
        <v>#VALUE!</v>
      </c>
      <c r="L354" s="36" t="e">
        <f>SUMIF('[3]BESS 12'!$B$4:$B$270,$J354,'[3]BESS 12'!AH$4:AH$270)</f>
        <v>#VALUE!</v>
      </c>
      <c r="M354" s="139" t="e">
        <f t="shared" si="80"/>
        <v>#VALUE!</v>
      </c>
      <c r="N354" s="3" t="s">
        <v>481</v>
      </c>
      <c r="O354" s="424">
        <f t="shared" si="75"/>
        <v>46274</v>
      </c>
      <c r="P354" s="285" t="s">
        <v>172</v>
      </c>
      <c r="Q354" s="276">
        <v>30</v>
      </c>
      <c r="R354" s="241">
        <v>4</v>
      </c>
      <c r="S354" s="242" t="e">
        <f t="shared" si="81"/>
        <v>#VALUE!</v>
      </c>
      <c r="T354" s="17"/>
    </row>
    <row r="355" spans="1:23">
      <c r="A355" s="70">
        <f t="shared" si="74"/>
        <v>8</v>
      </c>
      <c r="B355" s="473"/>
      <c r="C355" s="476"/>
      <c r="D355" s="584"/>
      <c r="E355" s="445"/>
      <c r="F355" s="587"/>
      <c r="G355" s="587"/>
      <c r="H355" s="587"/>
      <c r="I355" s="6">
        <f t="shared" si="78"/>
        <v>8.3299999999999947</v>
      </c>
      <c r="J355" s="8" t="s">
        <v>136</v>
      </c>
      <c r="K355" s="1" t="e">
        <f>SUMIF('[3]BESS 12'!$B$4:$B$270,$J355,'[3]BESS 12'!AG$4:AG$270)</f>
        <v>#VALUE!</v>
      </c>
      <c r="L355" s="36" t="e">
        <f>SUMIF('[3]BESS 12'!$B$4:$B$270,$J355,'[3]BESS 12'!AH$4:AH$270)</f>
        <v>#VALUE!</v>
      </c>
      <c r="M355" s="139" t="e">
        <f t="shared" si="80"/>
        <v>#VALUE!</v>
      </c>
      <c r="N355" s="3" t="s">
        <v>481</v>
      </c>
      <c r="O355" s="424">
        <f t="shared" si="75"/>
        <v>46274</v>
      </c>
      <c r="P355" s="285" t="s">
        <v>172</v>
      </c>
      <c r="Q355" s="276" t="s">
        <v>89</v>
      </c>
      <c r="R355" s="241" t="s">
        <v>89</v>
      </c>
      <c r="S355" s="242" t="s">
        <v>89</v>
      </c>
      <c r="T355" s="77"/>
      <c r="U355" s="70">
        <f ca="1">O355-$T$1</f>
        <v>41</v>
      </c>
      <c r="V355" s="273" t="e">
        <f>SUM(S334:S365)</f>
        <v>#VALUE!</v>
      </c>
      <c r="W355" s="274" t="e">
        <f ca="1">V355/U355</f>
        <v>#VALUE!</v>
      </c>
    </row>
    <row r="356" spans="1:23">
      <c r="A356" s="70">
        <f t="shared" si="74"/>
        <v>8</v>
      </c>
      <c r="B356" s="473"/>
      <c r="C356" s="476"/>
      <c r="D356" s="584"/>
      <c r="E356" s="445"/>
      <c r="F356" s="587"/>
      <c r="G356" s="587"/>
      <c r="H356" s="587"/>
      <c r="I356" s="6">
        <f t="shared" si="78"/>
        <v>8.3399999999999945</v>
      </c>
      <c r="J356" s="8" t="s">
        <v>137</v>
      </c>
      <c r="K356" s="1" t="e">
        <f>SUMIF('[3]BESS 12'!$B$4:$B$270,$J356,'[3]BESS 12'!AG$4:AG$270)</f>
        <v>#VALUE!</v>
      </c>
      <c r="L356" s="36" t="e">
        <f>SUMIF('[3]BESS 12'!$B$4:$B$270,$J356,'[3]BESS 12'!AH$4:AH$270)</f>
        <v>#VALUE!</v>
      </c>
      <c r="M356" s="139" t="e">
        <f t="shared" si="80"/>
        <v>#VALUE!</v>
      </c>
      <c r="N356" s="3">
        <v>46248</v>
      </c>
      <c r="O356" s="424">
        <f t="shared" si="75"/>
        <v>46248</v>
      </c>
      <c r="P356" s="285" t="s">
        <v>164</v>
      </c>
      <c r="Q356" s="590">
        <v>2</v>
      </c>
      <c r="R356" s="591">
        <v>8</v>
      </c>
      <c r="S356" s="242" t="s">
        <v>89</v>
      </c>
      <c r="T356" s="77"/>
    </row>
    <row r="357" spans="1:23">
      <c r="A357" s="70">
        <f t="shared" si="74"/>
        <v>8</v>
      </c>
      <c r="B357" s="473"/>
      <c r="C357" s="476"/>
      <c r="D357" s="584"/>
      <c r="E357" s="445"/>
      <c r="F357" s="587"/>
      <c r="G357" s="587"/>
      <c r="H357" s="587"/>
      <c r="I357" s="6">
        <f t="shared" si="78"/>
        <v>8.3499999999999943</v>
      </c>
      <c r="J357" s="8" t="s">
        <v>139</v>
      </c>
      <c r="K357" s="1" t="e">
        <f>SUMIF('[3]BESS 12'!$B$4:$B$270,$J357,'[3]BESS 12'!AG$4:AG$270)</f>
        <v>#VALUE!</v>
      </c>
      <c r="L357" s="36" t="e">
        <f>SUMIF('[3]BESS 12'!$B$4:$B$270,$J357,'[3]BESS 12'!AH$4:AH$270)</f>
        <v>#VALUE!</v>
      </c>
      <c r="M357" s="139" t="e">
        <f t="shared" si="80"/>
        <v>#VALUE!</v>
      </c>
      <c r="N357" s="3">
        <v>46252</v>
      </c>
      <c r="O357" s="424">
        <f t="shared" si="75"/>
        <v>46252</v>
      </c>
      <c r="P357" s="285" t="s">
        <v>164</v>
      </c>
      <c r="Q357" s="590"/>
      <c r="R357" s="591"/>
      <c r="S357" s="242">
        <v>12</v>
      </c>
      <c r="T357" s="77"/>
    </row>
    <row r="358" spans="1:23">
      <c r="A358" s="70">
        <f t="shared" si="74"/>
        <v>8</v>
      </c>
      <c r="B358" s="473"/>
      <c r="C358" s="476"/>
      <c r="D358" s="584"/>
      <c r="E358" s="445"/>
      <c r="F358" s="587"/>
      <c r="G358" s="587"/>
      <c r="H358" s="587"/>
      <c r="I358" s="6">
        <f t="shared" si="78"/>
        <v>8.3599999999999941</v>
      </c>
      <c r="J358" s="8" t="s">
        <v>140</v>
      </c>
      <c r="K358" s="1" t="e">
        <f>SUMIF('[3]BESS 12'!$B$4:$B$270,$J358,'[3]BESS 12'!AG$4:AG$270)</f>
        <v>#VALUE!</v>
      </c>
      <c r="L358" s="36" t="e">
        <f>SUMIF('[3]BESS 12'!$B$4:$B$270,$J358,'[3]BESS 12'!AH$4:AH$270)</f>
        <v>#VALUE!</v>
      </c>
      <c r="M358" s="139" t="e">
        <f t="shared" si="80"/>
        <v>#VALUE!</v>
      </c>
      <c r="N358" s="3" t="s">
        <v>482</v>
      </c>
      <c r="O358" s="424">
        <f t="shared" si="75"/>
        <v>46279</v>
      </c>
      <c r="P358" s="285" t="s">
        <v>164</v>
      </c>
      <c r="Q358" s="276">
        <v>2</v>
      </c>
      <c r="R358" s="241">
        <v>4</v>
      </c>
      <c r="S358" s="242" t="e">
        <f t="shared" ref="S358:S365" si="82">(M358*R358)/Q358</f>
        <v>#VALUE!</v>
      </c>
      <c r="T358" s="119"/>
      <c r="U358" s="70">
        <f ca="1">O358-$T$1</f>
        <v>46</v>
      </c>
      <c r="V358" s="273" t="e">
        <f>SUM(S334:S365)</f>
        <v>#VALUE!</v>
      </c>
      <c r="W358" s="274" t="e">
        <f ca="1">V358/(U358-3)</f>
        <v>#VALUE!</v>
      </c>
    </row>
    <row r="359" spans="1:23" ht="25.5">
      <c r="A359" s="70">
        <f t="shared" si="74"/>
        <v>8</v>
      </c>
      <c r="B359" s="473"/>
      <c r="C359" s="476"/>
      <c r="D359" s="584"/>
      <c r="E359" s="445"/>
      <c r="F359" s="587"/>
      <c r="G359" s="587"/>
      <c r="H359" s="587"/>
      <c r="I359" s="6">
        <f t="shared" si="78"/>
        <v>8.3699999999999939</v>
      </c>
      <c r="J359" s="8" t="s">
        <v>141</v>
      </c>
      <c r="K359" s="1" t="e">
        <f>SUMIF('[3]BESS 12'!$B$4:$B$270,$J359,'[3]BESS 12'!AG$4:AG$270)</f>
        <v>#VALUE!</v>
      </c>
      <c r="L359" s="36" t="e">
        <f>SUMIF('[3]BESS 12'!$B$4:$B$270,$J359,'[3]BESS 12'!AH$4:AH$270)</f>
        <v>#VALUE!</v>
      </c>
      <c r="M359" s="139" t="e">
        <f t="shared" si="80"/>
        <v>#VALUE!</v>
      </c>
      <c r="N359" s="3">
        <v>46259</v>
      </c>
      <c r="O359" s="424">
        <f t="shared" si="75"/>
        <v>46259</v>
      </c>
      <c r="P359" s="285" t="s">
        <v>164</v>
      </c>
      <c r="Q359" s="276">
        <v>0.5</v>
      </c>
      <c r="R359" s="241">
        <v>4</v>
      </c>
      <c r="S359" s="242" t="e">
        <f t="shared" si="82"/>
        <v>#VALUE!</v>
      </c>
      <c r="T359" s="310"/>
    </row>
    <row r="360" spans="1:23">
      <c r="A360" s="70">
        <f t="shared" si="74"/>
        <v>8</v>
      </c>
      <c r="B360" s="473"/>
      <c r="C360" s="476"/>
      <c r="D360" s="584"/>
      <c r="E360" s="445"/>
      <c r="F360" s="587"/>
      <c r="G360" s="587"/>
      <c r="H360" s="587"/>
      <c r="I360" s="6">
        <f t="shared" si="78"/>
        <v>8.3799999999999937</v>
      </c>
      <c r="J360" s="8" t="s">
        <v>142</v>
      </c>
      <c r="K360" s="1" t="e">
        <f>SUMIF('[3]BESS 12'!$B$4:$B$270,$J360,'[3]BESS 12'!AG$4:AG$270)</f>
        <v>#VALUE!</v>
      </c>
      <c r="L360" s="36" t="e">
        <f>SUMIF('[3]BESS 12'!$B$4:$B$270,$J360,'[3]BESS 12'!AH$4:AH$270)</f>
        <v>#VALUE!</v>
      </c>
      <c r="M360" s="139" t="e">
        <f t="shared" si="80"/>
        <v>#VALUE!</v>
      </c>
      <c r="N360" s="3" t="s">
        <v>483</v>
      </c>
      <c r="O360" s="424">
        <f t="shared" si="75"/>
        <v>46277</v>
      </c>
      <c r="P360" s="285" t="s">
        <v>164</v>
      </c>
      <c r="Q360" s="276">
        <v>6</v>
      </c>
      <c r="R360" s="241">
        <v>4</v>
      </c>
      <c r="S360" s="242" t="e">
        <f t="shared" si="82"/>
        <v>#VALUE!</v>
      </c>
      <c r="T360" s="311"/>
    </row>
    <row r="361" spans="1:23">
      <c r="A361" s="70">
        <f t="shared" si="74"/>
        <v>8</v>
      </c>
      <c r="B361" s="473"/>
      <c r="C361" s="476"/>
      <c r="D361" s="584"/>
      <c r="E361" s="445"/>
      <c r="F361" s="587"/>
      <c r="G361" s="587"/>
      <c r="H361" s="587"/>
      <c r="I361" s="6">
        <f t="shared" si="78"/>
        <v>8.3899999999999935</v>
      </c>
      <c r="J361" s="8" t="s">
        <v>143</v>
      </c>
      <c r="K361" s="1" t="e">
        <f>SUMIF('[3]BESS 12'!$B$4:$B$270,$J361,'[3]BESS 12'!AG$4:AG$270)</f>
        <v>#VALUE!</v>
      </c>
      <c r="L361" s="36" t="e">
        <f>SUMIF('[3]BESS 12'!$B$4:$B$270,$J361,'[3]BESS 12'!AH$4:AH$270)</f>
        <v>#VALUE!</v>
      </c>
      <c r="M361" s="139" t="e">
        <f t="shared" si="80"/>
        <v>#VALUE!</v>
      </c>
      <c r="N361" s="3">
        <v>46259</v>
      </c>
      <c r="O361" s="424">
        <f t="shared" si="75"/>
        <v>46259</v>
      </c>
      <c r="P361" s="285" t="s">
        <v>164</v>
      </c>
      <c r="Q361" s="276">
        <v>6</v>
      </c>
      <c r="R361" s="241">
        <v>5</v>
      </c>
      <c r="S361" s="242" t="e">
        <f t="shared" si="82"/>
        <v>#VALUE!</v>
      </c>
      <c r="T361" s="311"/>
    </row>
    <row r="362" spans="1:23">
      <c r="A362" s="70">
        <f t="shared" si="74"/>
        <v>8</v>
      </c>
      <c r="B362" s="473"/>
      <c r="C362" s="476"/>
      <c r="D362" s="584"/>
      <c r="E362" s="445"/>
      <c r="F362" s="587"/>
      <c r="G362" s="587"/>
      <c r="H362" s="587"/>
      <c r="I362" s="6">
        <f t="shared" si="78"/>
        <v>8.3999999999999932</v>
      </c>
      <c r="J362" s="8" t="s">
        <v>144</v>
      </c>
      <c r="K362" s="1" t="e">
        <f>SUMIF('[3]BESS 12'!$B$4:$B$270,$J362,'[3]BESS 12'!AG$4:AG$270)</f>
        <v>#VALUE!</v>
      </c>
      <c r="L362" s="36" t="e">
        <f>SUMIF('[3]BESS 12'!$B$4:$B$270,$J362,'[3]BESS 12'!AH$4:AH$270)</f>
        <v>#VALUE!</v>
      </c>
      <c r="M362" s="139" t="e">
        <f t="shared" si="80"/>
        <v>#VALUE!</v>
      </c>
      <c r="N362" s="3">
        <v>46259</v>
      </c>
      <c r="O362" s="424">
        <f t="shared" si="75"/>
        <v>46259</v>
      </c>
      <c r="P362" s="285" t="s">
        <v>164</v>
      </c>
      <c r="Q362" s="276">
        <v>1</v>
      </c>
      <c r="R362" s="241">
        <v>5</v>
      </c>
      <c r="S362" s="242" t="e">
        <f t="shared" si="82"/>
        <v>#VALUE!</v>
      </c>
      <c r="T362" s="77"/>
    </row>
    <row r="363" spans="1:23">
      <c r="A363" s="70">
        <f t="shared" si="74"/>
        <v>8</v>
      </c>
      <c r="B363" s="473"/>
      <c r="C363" s="476"/>
      <c r="D363" s="584"/>
      <c r="E363" s="445"/>
      <c r="F363" s="587"/>
      <c r="G363" s="587"/>
      <c r="H363" s="587"/>
      <c r="I363" s="6">
        <f t="shared" si="78"/>
        <v>8.409999999999993</v>
      </c>
      <c r="J363" s="8" t="s">
        <v>145</v>
      </c>
      <c r="K363" s="1" t="e">
        <f>SUMIF('[3]BESS 12'!$B$4:$B$270,$J363,'[3]BESS 12'!AG$4:AG$270)</f>
        <v>#VALUE!</v>
      </c>
      <c r="L363" s="36" t="e">
        <f>SUMIF('[3]BESS 12'!$B$4:$B$270,$J363,'[3]BESS 12'!AH$4:AH$270)</f>
        <v>#VALUE!</v>
      </c>
      <c r="M363" s="139" t="e">
        <f t="shared" si="80"/>
        <v>#VALUE!</v>
      </c>
      <c r="N363" s="3">
        <v>46259</v>
      </c>
      <c r="O363" s="424">
        <f t="shared" si="75"/>
        <v>46259</v>
      </c>
      <c r="P363" s="285" t="s">
        <v>164</v>
      </c>
      <c r="Q363" s="276">
        <v>3</v>
      </c>
      <c r="R363" s="241">
        <v>5</v>
      </c>
      <c r="S363" s="242" t="e">
        <f t="shared" si="82"/>
        <v>#VALUE!</v>
      </c>
      <c r="T363" s="77"/>
    </row>
    <row r="364" spans="1:23">
      <c r="A364" s="70">
        <f t="shared" si="74"/>
        <v>8</v>
      </c>
      <c r="B364" s="473"/>
      <c r="C364" s="476"/>
      <c r="D364" s="584"/>
      <c r="E364" s="445"/>
      <c r="F364" s="587"/>
      <c r="G364" s="587"/>
      <c r="H364" s="587"/>
      <c r="I364" s="6">
        <f t="shared" si="78"/>
        <v>8.4199999999999928</v>
      </c>
      <c r="J364" s="8" t="s">
        <v>54</v>
      </c>
      <c r="K364" s="1" t="e">
        <f>SUMIF('[3]BESS 12'!$B$4:$B$270,$J364,'[3]BESS 12'!AG$4:AG$270)</f>
        <v>#VALUE!</v>
      </c>
      <c r="L364" s="36" t="e">
        <f>SUMIF('[3]BESS 12'!$B$4:$B$270,$J364,'[3]BESS 12'!AH$4:AH$270)</f>
        <v>#VALUE!</v>
      </c>
      <c r="M364" s="139" t="e">
        <f t="shared" si="80"/>
        <v>#VALUE!</v>
      </c>
      <c r="N364" s="3" t="s">
        <v>495</v>
      </c>
      <c r="O364" s="424">
        <f t="shared" si="75"/>
        <v>46268</v>
      </c>
      <c r="P364" s="285" t="s">
        <v>164</v>
      </c>
      <c r="Q364" s="276">
        <v>150</v>
      </c>
      <c r="R364" s="241">
        <v>6</v>
      </c>
      <c r="S364" s="242" t="e">
        <f t="shared" si="82"/>
        <v>#VALUE!</v>
      </c>
      <c r="T364" s="77"/>
    </row>
    <row r="365" spans="1:23" ht="15.75" thickBot="1">
      <c r="A365" s="70">
        <f t="shared" si="74"/>
        <v>8</v>
      </c>
      <c r="B365" s="474"/>
      <c r="C365" s="477"/>
      <c r="D365" s="585"/>
      <c r="E365" s="479"/>
      <c r="F365" s="588"/>
      <c r="G365" s="588"/>
      <c r="H365" s="588"/>
      <c r="I365" s="22">
        <f t="shared" si="78"/>
        <v>8.4299999999999926</v>
      </c>
      <c r="J365" s="23" t="s">
        <v>55</v>
      </c>
      <c r="K365" s="24" t="e">
        <f>SUMIF('[3]BESS 12'!$B$4:$B$270,$J365,'[3]BESS 12'!AG$4:AG$270)</f>
        <v>#VALUE!</v>
      </c>
      <c r="L365" s="25" t="e">
        <f>SUMIF('[3]BESS 12'!$B$4:$B$270,$J365,'[3]BESS 12'!AH$4:AH$270)</f>
        <v>#VALUE!</v>
      </c>
      <c r="M365" s="26" t="e">
        <f t="shared" si="76"/>
        <v>#VALUE!</v>
      </c>
      <c r="N365" s="426" t="s">
        <v>496</v>
      </c>
      <c r="O365" s="427">
        <f t="shared" si="75"/>
        <v>46270</v>
      </c>
      <c r="P365" s="355" t="s">
        <v>164</v>
      </c>
      <c r="Q365" s="278">
        <v>5</v>
      </c>
      <c r="R365" s="250">
        <v>6</v>
      </c>
      <c r="S365" s="251" t="e">
        <f t="shared" si="82"/>
        <v>#VALUE!</v>
      </c>
      <c r="T365" s="346"/>
    </row>
    <row r="366" spans="1:23">
      <c r="A366" s="70">
        <f t="shared" si="74"/>
        <v>8</v>
      </c>
      <c r="B366" s="535" t="s">
        <v>151</v>
      </c>
      <c r="C366" s="536"/>
      <c r="D366" s="536"/>
      <c r="E366" s="536"/>
      <c r="F366" s="536"/>
      <c r="G366" s="536"/>
      <c r="H366" s="536"/>
      <c r="I366" s="536"/>
      <c r="J366" s="536"/>
      <c r="K366" s="536"/>
      <c r="L366" s="536"/>
      <c r="M366" s="536"/>
      <c r="N366" s="536"/>
      <c r="O366" s="537"/>
      <c r="P366" s="536"/>
      <c r="Q366" s="536"/>
      <c r="R366" s="536"/>
      <c r="S366" s="536"/>
      <c r="T366" s="597"/>
    </row>
    <row r="367" spans="1:23">
      <c r="A367" s="70">
        <f t="shared" si="74"/>
        <v>8</v>
      </c>
      <c r="B367" s="538" t="s">
        <v>152</v>
      </c>
      <c r="C367" s="539"/>
      <c r="D367" s="539"/>
      <c r="E367" s="539"/>
      <c r="F367" s="539"/>
      <c r="G367" s="539"/>
      <c r="H367" s="539"/>
      <c r="I367" s="539"/>
      <c r="J367" s="539"/>
      <c r="K367" s="539"/>
      <c r="L367" s="539"/>
      <c r="M367" s="539"/>
      <c r="N367" s="539"/>
      <c r="O367" s="539"/>
      <c r="P367" s="539"/>
      <c r="Q367" s="539"/>
      <c r="R367" s="539"/>
      <c r="S367" s="539"/>
      <c r="T367" s="596"/>
    </row>
    <row r="368" spans="1:23">
      <c r="A368" s="70">
        <f t="shared" si="74"/>
        <v>8</v>
      </c>
      <c r="B368" s="538" t="s">
        <v>153</v>
      </c>
      <c r="C368" s="539"/>
      <c r="D368" s="539"/>
      <c r="E368" s="539"/>
      <c r="F368" s="539"/>
      <c r="G368" s="539"/>
      <c r="H368" s="539"/>
      <c r="I368" s="539"/>
      <c r="J368" s="539"/>
      <c r="K368" s="539"/>
      <c r="L368" s="539"/>
      <c r="M368" s="539"/>
      <c r="N368" s="539"/>
      <c r="O368" s="539"/>
      <c r="P368" s="539"/>
      <c r="Q368" s="539"/>
      <c r="R368" s="539"/>
      <c r="S368" s="539"/>
      <c r="T368" s="596"/>
    </row>
    <row r="369" spans="1:20">
      <c r="A369" s="70">
        <f t="shared" si="74"/>
        <v>8</v>
      </c>
      <c r="B369" s="538" t="s">
        <v>154</v>
      </c>
      <c r="C369" s="539"/>
      <c r="D369" s="539"/>
      <c r="E369" s="539"/>
      <c r="F369" s="539"/>
      <c r="G369" s="539"/>
      <c r="H369" s="539"/>
      <c r="I369" s="539"/>
      <c r="J369" s="539"/>
      <c r="K369" s="539"/>
      <c r="L369" s="539"/>
      <c r="M369" s="539"/>
      <c r="N369" s="539"/>
      <c r="O369" s="539"/>
      <c r="P369" s="539"/>
      <c r="Q369" s="539"/>
      <c r="R369" s="539"/>
      <c r="S369" s="539"/>
      <c r="T369" s="596"/>
    </row>
    <row r="370" spans="1:20">
      <c r="A370" s="70">
        <f t="shared" si="74"/>
        <v>8</v>
      </c>
      <c r="B370" s="538" t="s">
        <v>155</v>
      </c>
      <c r="C370" s="539"/>
      <c r="D370" s="539"/>
      <c r="E370" s="539"/>
      <c r="F370" s="539"/>
      <c r="G370" s="539"/>
      <c r="H370" s="539"/>
      <c r="I370" s="539"/>
      <c r="J370" s="539"/>
      <c r="K370" s="539"/>
      <c r="L370" s="539"/>
      <c r="M370" s="539"/>
      <c r="N370" s="539"/>
      <c r="O370" s="539"/>
      <c r="P370" s="539"/>
      <c r="Q370" s="539"/>
      <c r="R370" s="539"/>
      <c r="S370" s="539"/>
      <c r="T370" s="596"/>
    </row>
    <row r="371" spans="1:20">
      <c r="A371" s="70">
        <f t="shared" si="74"/>
        <v>8</v>
      </c>
      <c r="B371" s="538" t="s">
        <v>156</v>
      </c>
      <c r="C371" s="539"/>
      <c r="D371" s="539"/>
      <c r="E371" s="539"/>
      <c r="F371" s="539"/>
      <c r="G371" s="539"/>
      <c r="H371" s="539"/>
      <c r="I371" s="539"/>
      <c r="J371" s="539"/>
      <c r="K371" s="539"/>
      <c r="L371" s="539"/>
      <c r="M371" s="539"/>
      <c r="N371" s="539"/>
      <c r="O371" s="539"/>
      <c r="P371" s="539"/>
      <c r="Q371" s="539"/>
      <c r="R371" s="539"/>
      <c r="S371" s="539"/>
      <c r="T371" s="596"/>
    </row>
    <row r="372" spans="1:20" ht="15.75" thickBot="1">
      <c r="A372" s="70">
        <f t="shared" si="74"/>
        <v>8</v>
      </c>
      <c r="B372" s="525" t="s">
        <v>157</v>
      </c>
      <c r="C372" s="526"/>
      <c r="D372" s="526"/>
      <c r="E372" s="526"/>
      <c r="F372" s="526"/>
      <c r="G372" s="526"/>
      <c r="H372" s="526"/>
      <c r="I372" s="526"/>
      <c r="J372" s="526"/>
      <c r="K372" s="526"/>
      <c r="L372" s="526"/>
      <c r="M372" s="526"/>
      <c r="N372" s="526"/>
      <c r="O372" s="526"/>
      <c r="P372" s="526"/>
      <c r="Q372" s="526"/>
      <c r="R372" s="526"/>
      <c r="S372" s="526"/>
      <c r="T372" s="589"/>
    </row>
    <row r="373" spans="1:20">
      <c r="B373" s="71"/>
      <c r="C373" s="71"/>
      <c r="D373" s="71"/>
      <c r="E373" s="237"/>
      <c r="F373" s="71"/>
      <c r="G373" s="71"/>
      <c r="H373" s="71"/>
      <c r="I373" s="84"/>
      <c r="J373" s="78"/>
      <c r="K373" s="79"/>
      <c r="L373" s="80"/>
      <c r="M373" s="81"/>
      <c r="N373" s="82"/>
      <c r="O373" s="82"/>
      <c r="P373" s="83"/>
      <c r="Q373" s="86"/>
      <c r="R373" s="86"/>
      <c r="S373" s="86"/>
    </row>
    <row r="374" spans="1:20">
      <c r="B374" s="71"/>
      <c r="C374" s="71"/>
      <c r="D374" s="71"/>
      <c r="E374" s="237"/>
      <c r="F374" s="71"/>
      <c r="G374" s="71"/>
      <c r="H374" s="71"/>
      <c r="I374" s="84"/>
      <c r="J374" s="78"/>
      <c r="K374" s="79"/>
      <c r="L374" s="80"/>
      <c r="M374" s="81"/>
      <c r="N374" s="82"/>
      <c r="O374" s="82"/>
      <c r="P374" s="83"/>
      <c r="Q374" s="86"/>
      <c r="R374" s="86"/>
      <c r="S374" s="86"/>
    </row>
    <row r="375" spans="1:20">
      <c r="B375" s="71"/>
      <c r="C375" s="71"/>
      <c r="D375" s="71"/>
      <c r="E375" s="237"/>
      <c r="F375" s="71"/>
      <c r="G375" s="71"/>
      <c r="H375" s="71"/>
      <c r="I375" s="84"/>
      <c r="J375" s="78"/>
      <c r="K375" s="79"/>
      <c r="L375" s="80"/>
      <c r="M375" s="81"/>
      <c r="N375" s="82"/>
      <c r="O375" s="82"/>
      <c r="P375" s="83"/>
      <c r="Q375" s="86"/>
      <c r="R375" s="86"/>
      <c r="S375" s="86"/>
    </row>
    <row r="376" spans="1:20">
      <c r="B376" s="71"/>
      <c r="C376" s="71"/>
      <c r="D376" s="71"/>
      <c r="E376" s="237"/>
      <c r="F376" s="71"/>
      <c r="G376" s="71"/>
      <c r="H376" s="71"/>
      <c r="I376" s="84"/>
      <c r="J376" s="78"/>
      <c r="K376" s="79"/>
      <c r="L376" s="80"/>
      <c r="M376" s="81"/>
      <c r="N376" s="82"/>
      <c r="O376" s="82"/>
      <c r="P376" s="83"/>
      <c r="Q376" s="86"/>
      <c r="R376" s="86"/>
      <c r="S376" s="86"/>
    </row>
    <row r="377" spans="1:20">
      <c r="B377" s="71"/>
      <c r="C377" s="71"/>
      <c r="D377" s="71"/>
      <c r="E377" s="237"/>
      <c r="F377" s="71"/>
      <c r="G377" s="71"/>
      <c r="H377" s="71"/>
      <c r="I377" s="84"/>
      <c r="J377" s="78"/>
      <c r="K377" s="79"/>
      <c r="L377" s="80"/>
      <c r="M377" s="81"/>
      <c r="N377" s="82"/>
      <c r="O377" s="82"/>
      <c r="P377" s="83"/>
      <c r="Q377" s="86"/>
      <c r="R377" s="86"/>
      <c r="S377" s="86"/>
    </row>
    <row r="378" spans="1:20">
      <c r="B378" s="71"/>
      <c r="C378" s="71"/>
      <c r="D378" s="71"/>
      <c r="E378" s="237"/>
      <c r="F378" s="71"/>
      <c r="G378" s="71"/>
      <c r="H378" s="71"/>
      <c r="I378" s="84"/>
      <c r="J378" s="78"/>
      <c r="K378" s="79"/>
      <c r="L378" s="80"/>
      <c r="M378" s="81"/>
      <c r="N378" s="82"/>
      <c r="O378" s="82"/>
      <c r="P378" s="83"/>
      <c r="Q378" s="86"/>
      <c r="R378" s="86"/>
      <c r="S378" s="86"/>
    </row>
    <row r="379" spans="1:20">
      <c r="B379" s="71"/>
      <c r="C379" s="71"/>
      <c r="D379" s="71"/>
      <c r="E379" s="237"/>
      <c r="F379" s="71"/>
      <c r="G379" s="71"/>
      <c r="H379" s="71"/>
      <c r="I379" s="84"/>
      <c r="J379" s="78"/>
      <c r="K379" s="79"/>
      <c r="L379" s="80"/>
      <c r="M379" s="81"/>
      <c r="N379" s="82"/>
      <c r="O379" s="82"/>
      <c r="P379" s="83"/>
      <c r="Q379" s="86"/>
      <c r="R379" s="86"/>
      <c r="S379" s="86"/>
    </row>
    <row r="380" spans="1:20">
      <c r="B380" s="71"/>
      <c r="C380" s="71"/>
      <c r="D380" s="71"/>
      <c r="E380" s="237"/>
      <c r="F380" s="71"/>
      <c r="G380" s="71"/>
      <c r="H380" s="71"/>
      <c r="I380" s="84"/>
      <c r="J380" s="78"/>
      <c r="K380" s="79"/>
      <c r="L380" s="80"/>
      <c r="M380" s="81"/>
      <c r="N380" s="82"/>
      <c r="O380" s="82"/>
      <c r="P380" s="83"/>
      <c r="Q380" s="86"/>
      <c r="R380" s="86"/>
      <c r="S380" s="86"/>
    </row>
    <row r="381" spans="1:20">
      <c r="B381" s="71"/>
      <c r="C381" s="71"/>
      <c r="D381" s="71"/>
      <c r="E381" s="237"/>
      <c r="F381" s="71"/>
      <c r="G381" s="71"/>
      <c r="H381" s="71"/>
      <c r="I381" s="84"/>
      <c r="J381" s="78"/>
      <c r="K381" s="79"/>
      <c r="L381" s="80"/>
      <c r="M381" s="81"/>
      <c r="N381" s="82"/>
      <c r="O381" s="82"/>
      <c r="P381" s="83"/>
      <c r="Q381" s="86"/>
      <c r="R381" s="86"/>
      <c r="S381" s="86"/>
    </row>
    <row r="382" spans="1:20">
      <c r="B382" s="71"/>
      <c r="C382" s="71"/>
      <c r="D382" s="71"/>
      <c r="E382" s="237"/>
      <c r="F382" s="71"/>
      <c r="G382" s="71"/>
      <c r="H382" s="71"/>
      <c r="I382" s="84"/>
      <c r="J382" s="78"/>
      <c r="K382" s="79"/>
      <c r="L382" s="80"/>
      <c r="M382" s="81"/>
      <c r="N382" s="82"/>
      <c r="O382" s="82"/>
      <c r="P382" s="83"/>
      <c r="Q382" s="86"/>
      <c r="R382" s="86"/>
      <c r="S382" s="86"/>
    </row>
    <row r="383" spans="1:20">
      <c r="B383" s="71"/>
      <c r="C383" s="71"/>
      <c r="D383" s="71"/>
      <c r="E383" s="237"/>
      <c r="F383" s="71"/>
      <c r="G383" s="71"/>
      <c r="H383" s="71"/>
      <c r="I383" s="84"/>
      <c r="J383" s="78"/>
      <c r="K383" s="79"/>
      <c r="L383" s="80"/>
      <c r="M383" s="81"/>
      <c r="N383" s="82"/>
      <c r="O383" s="82"/>
      <c r="P383" s="83"/>
      <c r="Q383" s="86"/>
      <c r="R383" s="86"/>
      <c r="S383" s="86"/>
    </row>
    <row r="384" spans="1:20">
      <c r="B384" s="71"/>
      <c r="C384" s="71"/>
      <c r="D384" s="71"/>
      <c r="E384" s="237"/>
      <c r="F384" s="71"/>
      <c r="G384" s="71"/>
      <c r="H384" s="71"/>
      <c r="I384" s="84"/>
      <c r="J384" s="78"/>
      <c r="K384" s="79"/>
      <c r="L384" s="80"/>
      <c r="M384" s="81"/>
      <c r="N384" s="82"/>
      <c r="O384" s="82"/>
      <c r="P384" s="83"/>
      <c r="Q384" s="86"/>
      <c r="R384" s="86"/>
      <c r="S384" s="86"/>
    </row>
    <row r="385" spans="2:19">
      <c r="B385" s="71"/>
      <c r="C385" s="71"/>
      <c r="D385" s="71"/>
      <c r="E385" s="237"/>
      <c r="F385" s="71"/>
      <c r="G385" s="71"/>
      <c r="H385" s="71"/>
      <c r="I385" s="84"/>
      <c r="J385" s="78"/>
      <c r="K385" s="79"/>
      <c r="L385" s="80"/>
      <c r="M385" s="81"/>
      <c r="N385" s="82"/>
      <c r="O385" s="82"/>
      <c r="P385" s="83"/>
      <c r="Q385" s="86"/>
      <c r="R385" s="86"/>
      <c r="S385" s="86"/>
    </row>
    <row r="386" spans="2:19">
      <c r="B386" s="71"/>
      <c r="C386" s="71"/>
      <c r="D386" s="71"/>
      <c r="E386" s="237"/>
      <c r="F386" s="71"/>
      <c r="G386" s="71"/>
      <c r="H386" s="71"/>
      <c r="I386" s="84"/>
      <c r="J386" s="78"/>
      <c r="K386" s="79"/>
      <c r="L386" s="80"/>
      <c r="M386" s="81"/>
      <c r="N386" s="82"/>
      <c r="O386" s="82"/>
      <c r="P386" s="83"/>
      <c r="Q386" s="86"/>
      <c r="R386" s="86"/>
      <c r="S386" s="86"/>
    </row>
    <row r="387" spans="2:19">
      <c r="B387" s="71"/>
      <c r="C387" s="71"/>
      <c r="D387" s="71"/>
      <c r="E387" s="237"/>
      <c r="F387" s="71"/>
      <c r="G387" s="71"/>
      <c r="H387" s="71"/>
      <c r="I387" s="84"/>
      <c r="J387" s="78"/>
      <c r="K387" s="79"/>
      <c r="L387" s="80"/>
      <c r="M387" s="81"/>
      <c r="N387" s="82"/>
      <c r="O387" s="82"/>
      <c r="P387" s="83"/>
      <c r="Q387" s="86"/>
      <c r="R387" s="86"/>
      <c r="S387" s="86"/>
    </row>
    <row r="388" spans="2:19">
      <c r="B388" s="71"/>
      <c r="C388" s="71"/>
      <c r="D388" s="71"/>
      <c r="E388" s="237"/>
      <c r="F388" s="71"/>
      <c r="G388" s="71"/>
      <c r="H388" s="71"/>
      <c r="I388" s="84"/>
      <c r="J388" s="78"/>
      <c r="K388" s="79"/>
      <c r="L388" s="80"/>
      <c r="M388" s="81"/>
      <c r="N388" s="82"/>
      <c r="O388" s="82"/>
      <c r="P388" s="83"/>
      <c r="Q388" s="86"/>
      <c r="R388" s="86"/>
      <c r="S388" s="86"/>
    </row>
    <row r="389" spans="2:19">
      <c r="B389" s="71"/>
      <c r="C389" s="71"/>
      <c r="D389" s="71"/>
      <c r="E389" s="237"/>
      <c r="F389" s="71"/>
      <c r="G389" s="71"/>
      <c r="H389" s="71"/>
      <c r="I389" s="84"/>
      <c r="J389" s="78"/>
      <c r="K389" s="79"/>
      <c r="L389" s="80"/>
      <c r="M389" s="81"/>
      <c r="N389" s="82"/>
      <c r="O389" s="82"/>
      <c r="P389" s="83"/>
      <c r="Q389" s="86"/>
      <c r="R389" s="86"/>
      <c r="S389" s="86"/>
    </row>
    <row r="390" spans="2:19">
      <c r="B390" s="71"/>
      <c r="C390" s="71"/>
      <c r="D390" s="71"/>
      <c r="E390" s="237"/>
      <c r="F390" s="71"/>
      <c r="G390" s="71"/>
      <c r="H390" s="71"/>
      <c r="I390" s="84"/>
      <c r="J390" s="78"/>
      <c r="K390" s="79"/>
      <c r="L390" s="80"/>
      <c r="M390" s="81"/>
      <c r="N390" s="82"/>
      <c r="O390" s="82"/>
      <c r="P390" s="83"/>
      <c r="Q390" s="86"/>
      <c r="R390" s="86"/>
      <c r="S390" s="86"/>
    </row>
    <row r="391" spans="2:19">
      <c r="B391" s="71"/>
      <c r="C391" s="71"/>
      <c r="D391" s="71"/>
      <c r="E391" s="237"/>
      <c r="F391" s="71"/>
      <c r="G391" s="71"/>
      <c r="H391" s="71"/>
      <c r="I391" s="84"/>
      <c r="J391" s="78"/>
      <c r="K391" s="79"/>
      <c r="L391" s="80"/>
      <c r="M391" s="81"/>
      <c r="N391" s="82"/>
      <c r="O391" s="82"/>
      <c r="P391" s="83"/>
      <c r="Q391" s="86"/>
      <c r="R391" s="86"/>
      <c r="S391" s="86"/>
    </row>
    <row r="392" spans="2:19">
      <c r="B392" s="71"/>
      <c r="C392" s="71"/>
      <c r="D392" s="71"/>
      <c r="E392" s="237"/>
      <c r="F392" s="71"/>
      <c r="G392" s="71"/>
      <c r="H392" s="71"/>
      <c r="I392" s="84"/>
      <c r="J392" s="78"/>
      <c r="K392" s="79"/>
      <c r="L392" s="80"/>
      <c r="M392" s="81"/>
      <c r="N392" s="82"/>
      <c r="O392" s="82"/>
      <c r="P392" s="83"/>
      <c r="Q392" s="86"/>
      <c r="R392" s="86"/>
      <c r="S392" s="86"/>
    </row>
  </sheetData>
  <autoFilter ref="A4:W372" xr:uid="{90EC23B6-434A-45E0-BF3F-8A4818677E0A}"/>
  <mergeCells count="103">
    <mergeCell ref="X1:Z1"/>
    <mergeCell ref="X2:X4"/>
    <mergeCell ref="Y2:Y4"/>
    <mergeCell ref="Z2:Z4"/>
    <mergeCell ref="B1:P1"/>
    <mergeCell ref="B2:B4"/>
    <mergeCell ref="C2:C4"/>
    <mergeCell ref="D2:D4"/>
    <mergeCell ref="E2:E4"/>
    <mergeCell ref="F2:F4"/>
    <mergeCell ref="G2:G4"/>
    <mergeCell ref="H2:H4"/>
    <mergeCell ref="I2:P2"/>
    <mergeCell ref="T2:T4"/>
    <mergeCell ref="I3:I4"/>
    <mergeCell ref="J3:J4"/>
    <mergeCell ref="K3:M3"/>
    <mergeCell ref="N3:N4"/>
    <mergeCell ref="P3:P4"/>
    <mergeCell ref="Q2:Q4"/>
    <mergeCell ref="R2:R4"/>
    <mergeCell ref="S2:S4"/>
    <mergeCell ref="O3:O4"/>
    <mergeCell ref="Q311:Q312"/>
    <mergeCell ref="R311:R312"/>
    <mergeCell ref="Q221:Q222"/>
    <mergeCell ref="R221:R222"/>
    <mergeCell ref="Q266:Q267"/>
    <mergeCell ref="R266:R267"/>
    <mergeCell ref="Q176:Q177"/>
    <mergeCell ref="R176:R177"/>
    <mergeCell ref="Q131:Q132"/>
    <mergeCell ref="R41:R42"/>
    <mergeCell ref="Q86:Q87"/>
    <mergeCell ref="R86:R87"/>
    <mergeCell ref="R131:R132"/>
    <mergeCell ref="Q41:Q42"/>
    <mergeCell ref="B370:T370"/>
    <mergeCell ref="B371:T371"/>
    <mergeCell ref="B366:T366"/>
    <mergeCell ref="B367:T367"/>
    <mergeCell ref="B368:T368"/>
    <mergeCell ref="B369:T369"/>
    <mergeCell ref="B141:B185"/>
    <mergeCell ref="C141:C185"/>
    <mergeCell ref="D141:D185"/>
    <mergeCell ref="E141:E185"/>
    <mergeCell ref="F141:F185"/>
    <mergeCell ref="G141:G185"/>
    <mergeCell ref="H141:H185"/>
    <mergeCell ref="B96:B140"/>
    <mergeCell ref="B186:B230"/>
    <mergeCell ref="C186:C230"/>
    <mergeCell ref="D186:D230"/>
    <mergeCell ref="E186:E230"/>
    <mergeCell ref="F186:F230"/>
    <mergeCell ref="B372:T372"/>
    <mergeCell ref="Q356:Q357"/>
    <mergeCell ref="R356:R357"/>
    <mergeCell ref="E5:E25"/>
    <mergeCell ref="F5:F25"/>
    <mergeCell ref="G5:G25"/>
    <mergeCell ref="H5:H25"/>
    <mergeCell ref="B5:B25"/>
    <mergeCell ref="C5:C25"/>
    <mergeCell ref="D5:D25"/>
    <mergeCell ref="B51:B95"/>
    <mergeCell ref="C51:C95"/>
    <mergeCell ref="D51:D95"/>
    <mergeCell ref="E51:E95"/>
    <mergeCell ref="F51:F95"/>
    <mergeCell ref="G51:G95"/>
    <mergeCell ref="H51:H95"/>
    <mergeCell ref="B26:H50"/>
    <mergeCell ref="C96:C140"/>
    <mergeCell ref="D96:D140"/>
    <mergeCell ref="E96:E140"/>
    <mergeCell ref="F96:F140"/>
    <mergeCell ref="G96:G140"/>
    <mergeCell ref="H96:H140"/>
    <mergeCell ref="G186:G230"/>
    <mergeCell ref="H186:H230"/>
    <mergeCell ref="B231:B275"/>
    <mergeCell ref="C231:C275"/>
    <mergeCell ref="D231:D275"/>
    <mergeCell ref="E231:E275"/>
    <mergeCell ref="F231:F275"/>
    <mergeCell ref="G231:G275"/>
    <mergeCell ref="H231:H275"/>
    <mergeCell ref="B276:B320"/>
    <mergeCell ref="C276:C320"/>
    <mergeCell ref="D276:D320"/>
    <mergeCell ref="E276:E320"/>
    <mergeCell ref="F276:F320"/>
    <mergeCell ref="G276:G320"/>
    <mergeCell ref="H276:H320"/>
    <mergeCell ref="B321:B365"/>
    <mergeCell ref="C321:C365"/>
    <mergeCell ref="D321:D365"/>
    <mergeCell ref="E321:E365"/>
    <mergeCell ref="F321:F365"/>
    <mergeCell ref="G321:G365"/>
    <mergeCell ref="H321:H365"/>
  </mergeCells>
  <printOptions horizontalCentered="1"/>
  <pageMargins left="0.23622047244094491" right="0.23622047244094491" top="0.55118110236220474" bottom="0.35433070866141736" header="0.31496062992125984" footer="0.31496062992125984"/>
  <pageSetup paperSize="8" scale="65" fitToHeight="0" orientation="portrait" r:id="rId1"/>
  <rowBreaks count="3" manualBreakCount="3">
    <brk id="95" min="1" max="20" man="1"/>
    <brk id="185" min="1" max="20" man="1"/>
    <brk id="27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FE30-343F-4F6C-917B-39E9B4A47647}">
  <sheetPr>
    <pageSetUpPr fitToPage="1"/>
  </sheetPr>
  <dimension ref="A1:AD236"/>
  <sheetViews>
    <sheetView zoomScale="90" zoomScaleNormal="90" zoomScaleSheetLayoutView="100" workbookViewId="0">
      <pane ySplit="4" topLeftCell="A29" activePane="bottomLeft" state="frozen"/>
      <selection activeCell="J25" sqref="J25"/>
      <selection pane="bottomLeft" activeCell="O39" sqref="O39"/>
    </sheetView>
  </sheetViews>
  <sheetFormatPr defaultRowHeight="13.5"/>
  <cols>
    <col min="1" max="1" width="2.6640625" customWidth="1"/>
    <col min="2" max="2" width="9" bestFit="1" customWidth="1"/>
    <col min="3" max="3" width="8.44140625" customWidth="1"/>
    <col min="4" max="4" width="10" customWidth="1"/>
    <col min="5" max="5" width="10.6640625" customWidth="1"/>
    <col min="6" max="6" width="12.33203125" customWidth="1"/>
    <col min="7" max="7" width="10.44140625" customWidth="1"/>
    <col min="8" max="8" width="10" customWidth="1"/>
    <col min="9" max="9" width="7.44140625" customWidth="1"/>
    <col min="10" max="10" width="26.88671875" style="9" customWidth="1"/>
    <col min="11" max="11" width="10.77734375" customWidth="1"/>
    <col min="12" max="12" width="11.33203125" customWidth="1"/>
    <col min="13" max="13" width="10.77734375" customWidth="1"/>
    <col min="14" max="14" width="15.109375" customWidth="1"/>
    <col min="15" max="15" width="11.33203125" customWidth="1"/>
    <col min="16" max="16" width="16.88671875" customWidth="1"/>
    <col min="17" max="19" width="12.109375" hidden="1" customWidth="1"/>
    <col min="20" max="20" width="26.6640625" style="405" customWidth="1"/>
    <col min="21" max="24" width="8.88671875" hidden="1" customWidth="1"/>
    <col min="25" max="25" width="26.33203125" hidden="1" customWidth="1"/>
    <col min="26" max="27" width="0" hidden="1" customWidth="1"/>
    <col min="28" max="28" width="13.77734375" customWidth="1"/>
    <col min="29" max="29" width="8.109375" bestFit="1" customWidth="1"/>
  </cols>
  <sheetData>
    <row r="1" spans="1:27" s="70" customFormat="1" ht="15.75" thickBot="1">
      <c r="B1" s="543" t="s">
        <v>158</v>
      </c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5"/>
      <c r="Q1" s="64"/>
      <c r="R1" s="64"/>
      <c r="S1" s="64"/>
      <c r="T1" s="402">
        <f ca="1">TODAY()</f>
        <v>46233</v>
      </c>
      <c r="Y1" s="577" t="s">
        <v>199</v>
      </c>
      <c r="Z1" s="578"/>
      <c r="AA1" s="579"/>
    </row>
    <row r="2" spans="1:27" ht="14.25" thickBot="1">
      <c r="A2" s="99"/>
      <c r="B2" s="622" t="s">
        <v>0</v>
      </c>
      <c r="C2" s="546" t="s">
        <v>1</v>
      </c>
      <c r="D2" s="546" t="s">
        <v>115</v>
      </c>
      <c r="E2" s="546" t="s">
        <v>116</v>
      </c>
      <c r="F2" s="546" t="s">
        <v>4</v>
      </c>
      <c r="G2" s="546" t="s">
        <v>117</v>
      </c>
      <c r="H2" s="546" t="s">
        <v>6</v>
      </c>
      <c r="I2" s="482" t="s">
        <v>7</v>
      </c>
      <c r="J2" s="483"/>
      <c r="K2" s="483"/>
      <c r="L2" s="483"/>
      <c r="M2" s="483"/>
      <c r="N2" s="483"/>
      <c r="O2" s="483"/>
      <c r="P2" s="484"/>
      <c r="Q2" s="562" t="s">
        <v>95</v>
      </c>
      <c r="R2" s="562" t="s">
        <v>96</v>
      </c>
      <c r="S2" s="568" t="s">
        <v>118</v>
      </c>
      <c r="T2" s="562" t="s">
        <v>8</v>
      </c>
      <c r="Y2" s="568" t="s">
        <v>192</v>
      </c>
      <c r="Z2" s="574" t="s">
        <v>227</v>
      </c>
      <c r="AA2" s="571" t="s">
        <v>189</v>
      </c>
    </row>
    <row r="3" spans="1:27" ht="14.25" thickBot="1">
      <c r="A3" s="99"/>
      <c r="B3" s="623"/>
      <c r="C3" s="624"/>
      <c r="D3" s="546"/>
      <c r="E3" s="546"/>
      <c r="F3" s="546"/>
      <c r="G3" s="546"/>
      <c r="H3" s="546"/>
      <c r="I3" s="487" t="s">
        <v>9</v>
      </c>
      <c r="J3" s="487" t="s">
        <v>10</v>
      </c>
      <c r="K3" s="489" t="s">
        <v>11</v>
      </c>
      <c r="L3" s="490"/>
      <c r="M3" s="491"/>
      <c r="N3" s="492" t="s">
        <v>12</v>
      </c>
      <c r="O3" s="487" t="s">
        <v>119</v>
      </c>
      <c r="P3" s="492" t="s">
        <v>13</v>
      </c>
      <c r="Q3" s="562"/>
      <c r="R3" s="562"/>
      <c r="S3" s="569"/>
      <c r="T3" s="625"/>
      <c r="Y3" s="569"/>
      <c r="Z3" s="575"/>
      <c r="AA3" s="572"/>
    </row>
    <row r="4" spans="1:27" ht="14.25" thickBot="1">
      <c r="A4" s="99"/>
      <c r="B4" s="623"/>
      <c r="C4" s="624"/>
      <c r="D4" s="546"/>
      <c r="E4" s="546"/>
      <c r="F4" s="546"/>
      <c r="G4" s="546"/>
      <c r="H4" s="546"/>
      <c r="I4" s="488"/>
      <c r="J4" s="488"/>
      <c r="K4" s="30" t="s">
        <v>14</v>
      </c>
      <c r="L4" s="30" t="s">
        <v>15</v>
      </c>
      <c r="M4" s="30" t="s">
        <v>16</v>
      </c>
      <c r="N4" s="493"/>
      <c r="O4" s="487"/>
      <c r="P4" s="493"/>
      <c r="Q4" s="562"/>
      <c r="R4" s="562"/>
      <c r="S4" s="569"/>
      <c r="T4" s="625"/>
      <c r="Y4" s="570"/>
      <c r="Z4" s="576"/>
      <c r="AA4" s="573"/>
    </row>
    <row r="5" spans="1:27" s="70" customFormat="1" ht="15">
      <c r="B5" s="472" t="s">
        <v>159</v>
      </c>
      <c r="C5" s="475">
        <v>1</v>
      </c>
      <c r="D5" s="523" t="s">
        <v>421</v>
      </c>
      <c r="E5" s="524" t="s">
        <v>160</v>
      </c>
      <c r="F5" s="478">
        <v>46239</v>
      </c>
      <c r="G5" s="478">
        <v>46244</v>
      </c>
      <c r="H5" s="478">
        <v>46247</v>
      </c>
      <c r="I5" s="74"/>
      <c r="J5" s="48"/>
      <c r="K5" s="48"/>
      <c r="L5" s="75" t="s">
        <v>121</v>
      </c>
      <c r="M5" s="48"/>
      <c r="N5" s="48"/>
      <c r="O5" s="424"/>
      <c r="P5" s="76"/>
      <c r="Q5" s="255"/>
      <c r="R5" s="256"/>
      <c r="S5" s="257"/>
      <c r="T5" s="403"/>
      <c r="U5" s="73"/>
      <c r="Y5" s="360" t="s">
        <v>190</v>
      </c>
      <c r="Z5" s="229"/>
      <c r="AA5" s="335"/>
    </row>
    <row r="6" spans="1:27">
      <c r="B6" s="473"/>
      <c r="C6" s="476"/>
      <c r="D6" s="513"/>
      <c r="E6" s="445"/>
      <c r="F6" s="456"/>
      <c r="G6" s="456"/>
      <c r="H6" s="456"/>
      <c r="I6" s="56">
        <f>C5+0.1</f>
        <v>1.1000000000000001</v>
      </c>
      <c r="J6" s="57" t="s">
        <v>19</v>
      </c>
      <c r="K6" s="2" t="e">
        <f>SUMIFS('[4]BESS 10B'!E:E,'[4]BESS 10B'!B:B,J6)</f>
        <v>#VALUE!</v>
      </c>
      <c r="L6" s="89" t="e">
        <f>SUMIFS('[4]BESS 10B'!F:F,'[4]BESS 10B'!B:B,J6)</f>
        <v>#VALUE!</v>
      </c>
      <c r="M6" s="2" t="e">
        <f t="shared" ref="M6:M16" si="0">K6-L6</f>
        <v>#VALUE!</v>
      </c>
      <c r="N6" s="63" t="s">
        <v>122</v>
      </c>
      <c r="O6" s="424" t="str">
        <f t="shared" ref="O6:O68" si="1">IF(LEN(N6)=5,N6,(IF(N6="Completed","-",DATEVALUE(RIGHT(N6,6)))))</f>
        <v>-</v>
      </c>
      <c r="P6" s="90" t="s">
        <v>161</v>
      </c>
      <c r="Q6" s="240">
        <v>1</v>
      </c>
      <c r="R6" s="241">
        <v>2</v>
      </c>
      <c r="S6" s="242" t="e">
        <f t="shared" ref="S6:S15" si="2">(M6*R6)/Q6</f>
        <v>#VALUE!</v>
      </c>
      <c r="T6" s="401"/>
      <c r="Y6" s="109" t="s">
        <v>193</v>
      </c>
      <c r="Z6" s="66">
        <v>6</v>
      </c>
      <c r="AA6" s="109"/>
    </row>
    <row r="7" spans="1:27">
      <c r="B7" s="473"/>
      <c r="C7" s="476"/>
      <c r="D7" s="513"/>
      <c r="E7" s="445"/>
      <c r="F7" s="456"/>
      <c r="G7" s="456"/>
      <c r="H7" s="456"/>
      <c r="I7" s="56">
        <f>I6+0.1</f>
        <v>1.2000000000000002</v>
      </c>
      <c r="J7" s="57" t="s">
        <v>23</v>
      </c>
      <c r="K7" s="2" t="e">
        <f>SUMIFS('[4]BESS 10B'!E:E,'[4]BESS 10B'!B:B,J7)</f>
        <v>#VALUE!</v>
      </c>
      <c r="L7" s="2" t="e">
        <f>SUMIFS('[4]BESS 10B'!F:F,'[4]BESS 10B'!B:B,J7)</f>
        <v>#VALUE!</v>
      </c>
      <c r="M7" s="2" t="e">
        <f t="shared" si="0"/>
        <v>#VALUE!</v>
      </c>
      <c r="N7" s="63" t="s">
        <v>122</v>
      </c>
      <c r="O7" s="424" t="str">
        <f t="shared" si="1"/>
        <v>-</v>
      </c>
      <c r="P7" s="58" t="s">
        <v>166</v>
      </c>
      <c r="Q7" s="240">
        <v>1</v>
      </c>
      <c r="R7" s="241">
        <v>16</v>
      </c>
      <c r="S7" s="242" t="e">
        <f t="shared" si="2"/>
        <v>#VALUE!</v>
      </c>
      <c r="T7" s="401"/>
      <c r="Y7" s="109" t="s">
        <v>194</v>
      </c>
      <c r="Z7" s="66">
        <v>6</v>
      </c>
      <c r="AA7" s="109"/>
    </row>
    <row r="8" spans="1:27">
      <c r="B8" s="473"/>
      <c r="C8" s="476"/>
      <c r="D8" s="513"/>
      <c r="E8" s="445"/>
      <c r="F8" s="456"/>
      <c r="G8" s="456"/>
      <c r="H8" s="456"/>
      <c r="I8" s="56">
        <f t="shared" ref="I8:I14" si="3">I7+0.1</f>
        <v>1.3000000000000003</v>
      </c>
      <c r="J8" s="57" t="s">
        <v>26</v>
      </c>
      <c r="K8" s="2" t="e">
        <f>SUMIFS('[4]BESS 10B'!E:E,'[4]BESS 10B'!B:B,J8)</f>
        <v>#VALUE!</v>
      </c>
      <c r="L8" s="2" t="e">
        <f>SUMIFS('[4]BESS 10B'!F:F,'[4]BESS 10B'!B:B,J8)</f>
        <v>#VALUE!</v>
      </c>
      <c r="M8" s="2" t="e">
        <f t="shared" si="0"/>
        <v>#VALUE!</v>
      </c>
      <c r="N8" s="63" t="s">
        <v>122</v>
      </c>
      <c r="O8" s="424" t="str">
        <f t="shared" si="1"/>
        <v>-</v>
      </c>
      <c r="P8" s="58" t="s">
        <v>161</v>
      </c>
      <c r="Q8" s="240">
        <v>1</v>
      </c>
      <c r="R8" s="241">
        <v>39</v>
      </c>
      <c r="S8" s="242" t="e">
        <f t="shared" si="2"/>
        <v>#VALUE!</v>
      </c>
      <c r="T8" s="401"/>
      <c r="Y8" s="109" t="s">
        <v>195</v>
      </c>
      <c r="Z8" s="66">
        <v>1</v>
      </c>
      <c r="AA8" s="109"/>
    </row>
    <row r="9" spans="1:27">
      <c r="B9" s="473"/>
      <c r="C9" s="476"/>
      <c r="D9" s="513"/>
      <c r="E9" s="445"/>
      <c r="F9" s="456"/>
      <c r="G9" s="456"/>
      <c r="H9" s="456"/>
      <c r="I9" s="56">
        <f t="shared" si="3"/>
        <v>1.4000000000000004</v>
      </c>
      <c r="J9" s="57" t="s">
        <v>32</v>
      </c>
      <c r="K9" s="2" t="e">
        <f>SUMIFS('[4]BESS 10B'!E:E,'[4]BESS 10B'!B:B,J9)</f>
        <v>#VALUE!</v>
      </c>
      <c r="L9" s="2" t="e">
        <f>SUMIFS('[4]BESS 10B'!F:F,'[4]BESS 10B'!B:B,J9)</f>
        <v>#VALUE!</v>
      </c>
      <c r="M9" s="2" t="e">
        <f t="shared" si="0"/>
        <v>#VALUE!</v>
      </c>
      <c r="N9" s="63" t="s">
        <v>122</v>
      </c>
      <c r="O9" s="424" t="str">
        <f t="shared" si="1"/>
        <v>-</v>
      </c>
      <c r="P9" s="58" t="s">
        <v>161</v>
      </c>
      <c r="Q9" s="240">
        <v>1</v>
      </c>
      <c r="R9" s="241">
        <v>37</v>
      </c>
      <c r="S9" s="242" t="e">
        <f t="shared" si="2"/>
        <v>#VALUE!</v>
      </c>
      <c r="T9" s="401"/>
      <c r="Y9" s="109" t="s">
        <v>196</v>
      </c>
      <c r="Z9" s="66">
        <v>6</v>
      </c>
      <c r="AA9" s="109"/>
    </row>
    <row r="10" spans="1:27">
      <c r="B10" s="473"/>
      <c r="C10" s="476"/>
      <c r="D10" s="513"/>
      <c r="E10" s="445"/>
      <c r="F10" s="456"/>
      <c r="G10" s="456"/>
      <c r="H10" s="456"/>
      <c r="I10" s="56">
        <f t="shared" si="3"/>
        <v>1.5000000000000004</v>
      </c>
      <c r="J10" s="57" t="s">
        <v>35</v>
      </c>
      <c r="K10" s="2" t="e">
        <f>SUMIFS('[4]BESS 10B'!E:E,'[4]BESS 10B'!B:B,J10)</f>
        <v>#VALUE!</v>
      </c>
      <c r="L10" s="2" t="e">
        <f>SUMIFS('[4]BESS 10B'!F:F,'[4]BESS 10B'!B:B,J10)</f>
        <v>#VALUE!</v>
      </c>
      <c r="M10" s="2" t="e">
        <f t="shared" si="0"/>
        <v>#VALUE!</v>
      </c>
      <c r="N10" s="63" t="s">
        <v>122</v>
      </c>
      <c r="O10" s="424" t="str">
        <f t="shared" si="1"/>
        <v>-</v>
      </c>
      <c r="P10" s="58" t="s">
        <v>161</v>
      </c>
      <c r="Q10" s="288">
        <v>1</v>
      </c>
      <c r="R10" s="289">
        <v>34</v>
      </c>
      <c r="S10" s="290" t="e">
        <f t="shared" si="2"/>
        <v>#VALUE!</v>
      </c>
      <c r="T10" s="401"/>
      <c r="U10" s="291"/>
      <c r="V10" s="291"/>
      <c r="W10" s="291"/>
      <c r="X10" s="291"/>
      <c r="Y10" s="109" t="s">
        <v>222</v>
      </c>
      <c r="Z10" s="66">
        <v>8</v>
      </c>
      <c r="AA10" s="109"/>
    </row>
    <row r="11" spans="1:27">
      <c r="B11" s="473"/>
      <c r="C11" s="476"/>
      <c r="D11" s="513"/>
      <c r="E11" s="445"/>
      <c r="F11" s="456"/>
      <c r="G11" s="456"/>
      <c r="H11" s="456"/>
      <c r="I11" s="56">
        <f t="shared" si="3"/>
        <v>1.6000000000000005</v>
      </c>
      <c r="J11" s="57" t="s">
        <v>38</v>
      </c>
      <c r="K11" s="2" t="e">
        <f>SUMIFS('[4]BESS 10B'!E:E,'[4]BESS 10B'!B:B,J11)</f>
        <v>#VALUE!</v>
      </c>
      <c r="L11" s="2" t="e">
        <f>SUMIFS('[4]BESS 10B'!F:F,'[4]BESS 10B'!B:B,J11)</f>
        <v>#VALUE!</v>
      </c>
      <c r="M11" s="2" t="e">
        <f t="shared" si="0"/>
        <v>#VALUE!</v>
      </c>
      <c r="N11" s="63" t="s">
        <v>122</v>
      </c>
      <c r="O11" s="424" t="str">
        <f t="shared" si="1"/>
        <v>-</v>
      </c>
      <c r="P11" s="58" t="s">
        <v>166</v>
      </c>
      <c r="Q11" s="240">
        <v>1</v>
      </c>
      <c r="R11" s="241">
        <v>54</v>
      </c>
      <c r="S11" s="242" t="e">
        <f t="shared" si="2"/>
        <v>#VALUE!</v>
      </c>
      <c r="T11" s="401"/>
      <c r="V11" s="60"/>
      <c r="W11" s="60"/>
      <c r="Y11" s="109" t="s">
        <v>197</v>
      </c>
      <c r="Z11" s="66">
        <v>10</v>
      </c>
      <c r="AA11" s="109"/>
    </row>
    <row r="12" spans="1:27">
      <c r="B12" s="473"/>
      <c r="C12" s="476"/>
      <c r="D12" s="513"/>
      <c r="E12" s="445"/>
      <c r="F12" s="456"/>
      <c r="G12" s="456"/>
      <c r="H12" s="456"/>
      <c r="I12" s="56">
        <f t="shared" si="3"/>
        <v>1.7000000000000006</v>
      </c>
      <c r="J12" s="57" t="s">
        <v>44</v>
      </c>
      <c r="K12" s="2" t="e">
        <f>SUMIFS('[4]BESS 10B'!E:E,'[4]BESS 10B'!B:B,J12)</f>
        <v>#VALUE!</v>
      </c>
      <c r="L12" s="2" t="e">
        <f>SUMIFS('[4]BESS 10B'!F:F,'[4]BESS 10B'!B:B,J12)</f>
        <v>#VALUE!</v>
      </c>
      <c r="M12" s="2" t="e">
        <f t="shared" si="0"/>
        <v>#VALUE!</v>
      </c>
      <c r="N12" s="63" t="s">
        <v>122</v>
      </c>
      <c r="O12" s="424" t="str">
        <f t="shared" si="1"/>
        <v>-</v>
      </c>
      <c r="P12" s="58" t="s">
        <v>45</v>
      </c>
      <c r="Q12" s="240">
        <v>3</v>
      </c>
      <c r="R12" s="241">
        <v>5</v>
      </c>
      <c r="S12" s="242" t="e">
        <f t="shared" si="2"/>
        <v>#VALUE!</v>
      </c>
      <c r="T12" s="375"/>
      <c r="Y12" s="109" t="s">
        <v>219</v>
      </c>
      <c r="Z12" s="66">
        <v>20</v>
      </c>
      <c r="AA12" s="109"/>
    </row>
    <row r="13" spans="1:27">
      <c r="B13" s="473"/>
      <c r="C13" s="476"/>
      <c r="D13" s="513"/>
      <c r="E13" s="445"/>
      <c r="F13" s="456"/>
      <c r="G13" s="456"/>
      <c r="H13" s="456"/>
      <c r="I13" s="56">
        <f t="shared" si="3"/>
        <v>1.8000000000000007</v>
      </c>
      <c r="J13" s="57" t="s">
        <v>40</v>
      </c>
      <c r="K13" s="2" t="e">
        <f>SUMIFS('[4]BESS 10B'!E:E,'[4]BESS 10B'!B:B,J13)</f>
        <v>#VALUE!</v>
      </c>
      <c r="L13" s="2" t="e">
        <f>SUMIFS('[4]BESS 10B'!F:F,'[4]BESS 10B'!B:B,J13)</f>
        <v>#VALUE!</v>
      </c>
      <c r="M13" s="2" t="e">
        <f t="shared" si="0"/>
        <v>#VALUE!</v>
      </c>
      <c r="N13" s="63" t="s">
        <v>122</v>
      </c>
      <c r="O13" s="424" t="str">
        <f t="shared" si="1"/>
        <v>-</v>
      </c>
      <c r="P13" s="58" t="s">
        <v>20</v>
      </c>
      <c r="Q13" s="240">
        <v>1</v>
      </c>
      <c r="R13" s="241">
        <v>5</v>
      </c>
      <c r="S13" s="242" t="e">
        <f t="shared" si="2"/>
        <v>#VALUE!</v>
      </c>
      <c r="T13" s="375"/>
      <c r="Y13" s="109" t="s">
        <v>220</v>
      </c>
      <c r="Z13" s="66">
        <v>10</v>
      </c>
      <c r="AA13" s="109"/>
    </row>
    <row r="14" spans="1:27">
      <c r="B14" s="473"/>
      <c r="C14" s="476"/>
      <c r="D14" s="513"/>
      <c r="E14" s="445"/>
      <c r="F14" s="456"/>
      <c r="G14" s="456"/>
      <c r="H14" s="456"/>
      <c r="I14" s="56">
        <f t="shared" si="3"/>
        <v>1.9000000000000008</v>
      </c>
      <c r="J14" s="57" t="s">
        <v>30</v>
      </c>
      <c r="K14" s="2" t="e">
        <f>SUMIFS('[4]BESS 10B'!E:E,'[4]BESS 10B'!B:B,J14)</f>
        <v>#VALUE!</v>
      </c>
      <c r="L14" s="2" t="e">
        <f>SUMIFS('[4]BESS 10B'!F:F,'[4]BESS 10B'!B:B,J14)</f>
        <v>#VALUE!</v>
      </c>
      <c r="M14" s="2" t="e">
        <f t="shared" si="0"/>
        <v>#VALUE!</v>
      </c>
      <c r="N14" s="63" t="s">
        <v>122</v>
      </c>
      <c r="O14" s="424" t="str">
        <f t="shared" si="1"/>
        <v>-</v>
      </c>
      <c r="P14" s="58" t="s">
        <v>162</v>
      </c>
      <c r="Q14" s="240">
        <v>1</v>
      </c>
      <c r="R14" s="241">
        <v>27</v>
      </c>
      <c r="S14" s="242" t="e">
        <f t="shared" si="2"/>
        <v>#VALUE!</v>
      </c>
      <c r="T14" s="375"/>
      <c r="V14" s="60"/>
      <c r="W14" s="60"/>
      <c r="Y14" s="109" t="s">
        <v>224</v>
      </c>
      <c r="Z14" s="66">
        <v>5</v>
      </c>
      <c r="AA14" s="109"/>
    </row>
    <row r="15" spans="1:27">
      <c r="B15" s="473"/>
      <c r="C15" s="476"/>
      <c r="D15" s="513"/>
      <c r="E15" s="445"/>
      <c r="F15" s="456"/>
      <c r="G15" s="456"/>
      <c r="H15" s="456"/>
      <c r="I15" s="59">
        <f>C5+0.1</f>
        <v>1.1000000000000001</v>
      </c>
      <c r="J15" s="57" t="s">
        <v>34</v>
      </c>
      <c r="K15" s="2" t="e">
        <f>SUMIFS('[4]BESS 10B'!E:E,'[4]BESS 10B'!B:B,J15)</f>
        <v>#VALUE!</v>
      </c>
      <c r="L15" s="2" t="e">
        <f>SUMIFS('[4]BESS 10B'!F:F,'[4]BESS 10B'!B:B,J15)</f>
        <v>#VALUE!</v>
      </c>
      <c r="M15" s="2" t="e">
        <f t="shared" si="0"/>
        <v>#VALUE!</v>
      </c>
      <c r="N15" s="63" t="s">
        <v>122</v>
      </c>
      <c r="O15" s="424" t="str">
        <f t="shared" si="1"/>
        <v>-</v>
      </c>
      <c r="P15" s="58" t="s">
        <v>31</v>
      </c>
      <c r="Q15" s="240">
        <v>1</v>
      </c>
      <c r="R15" s="241">
        <v>25</v>
      </c>
      <c r="S15" s="242" t="e">
        <f t="shared" si="2"/>
        <v>#VALUE!</v>
      </c>
      <c r="T15" s="375"/>
      <c r="Y15" s="109" t="s">
        <v>225</v>
      </c>
      <c r="Z15" s="66">
        <v>2</v>
      </c>
      <c r="AA15" s="109"/>
    </row>
    <row r="16" spans="1:27">
      <c r="B16" s="473"/>
      <c r="C16" s="476"/>
      <c r="D16" s="513"/>
      <c r="E16" s="445"/>
      <c r="F16" s="456"/>
      <c r="G16" s="456"/>
      <c r="H16" s="456"/>
      <c r="I16" s="59">
        <f>I15+0.01</f>
        <v>1.1100000000000001</v>
      </c>
      <c r="J16" s="57" t="s">
        <v>37</v>
      </c>
      <c r="K16" s="2" t="e">
        <f>SUMIFS('[4]BESS 10B'!E:E,'[4]BESS 10B'!B:B,J16)</f>
        <v>#VALUE!</v>
      </c>
      <c r="L16" s="2" t="e">
        <f>SUMIFS('[4]BESS 10B'!F:F,'[4]BESS 10B'!B:B,J16)</f>
        <v>#VALUE!</v>
      </c>
      <c r="M16" s="2" t="e">
        <f t="shared" si="0"/>
        <v>#VALUE!</v>
      </c>
      <c r="N16" s="362" t="s">
        <v>122</v>
      </c>
      <c r="O16" s="424" t="str">
        <f t="shared" si="1"/>
        <v>-</v>
      </c>
      <c r="P16" s="58" t="s">
        <v>163</v>
      </c>
      <c r="Q16" s="240" t="s">
        <v>89</v>
      </c>
      <c r="R16" s="241" t="s">
        <v>89</v>
      </c>
      <c r="S16" s="242" t="s">
        <v>89</v>
      </c>
      <c r="T16" s="375"/>
      <c r="Y16" s="109" t="s">
        <v>226</v>
      </c>
      <c r="Z16" s="66">
        <v>1</v>
      </c>
      <c r="AA16" s="109"/>
    </row>
    <row r="17" spans="2:27">
      <c r="B17" s="473"/>
      <c r="C17" s="476"/>
      <c r="D17" s="513"/>
      <c r="E17" s="445"/>
      <c r="F17" s="456"/>
      <c r="G17" s="456"/>
      <c r="H17" s="456"/>
      <c r="I17" s="44"/>
      <c r="J17" s="46"/>
      <c r="K17" s="46"/>
      <c r="L17" s="47" t="s">
        <v>124</v>
      </c>
      <c r="M17" s="46"/>
      <c r="N17" s="46"/>
      <c r="O17" s="424"/>
      <c r="P17" s="95"/>
      <c r="Q17" s="240"/>
      <c r="R17" s="241"/>
      <c r="S17" s="242"/>
      <c r="T17" s="375"/>
      <c r="Y17" s="109" t="s">
        <v>228</v>
      </c>
      <c r="Z17" s="66">
        <v>2</v>
      </c>
      <c r="AA17" s="109"/>
    </row>
    <row r="18" spans="2:27">
      <c r="B18" s="473"/>
      <c r="C18" s="476"/>
      <c r="D18" s="513"/>
      <c r="E18" s="445"/>
      <c r="F18" s="456"/>
      <c r="G18" s="456"/>
      <c r="H18" s="456"/>
      <c r="I18" s="59">
        <f>I16+0.01</f>
        <v>1.1200000000000001</v>
      </c>
      <c r="J18" s="57" t="s">
        <v>24</v>
      </c>
      <c r="K18" s="2" t="e">
        <f>SUMIFS('[4]BESS 10B'!E:E,'[4]BESS 10B'!B:B,J18)</f>
        <v>#VALUE!</v>
      </c>
      <c r="L18" s="2" t="e">
        <f>SUMIFS('[4]BESS 10B'!F:F,'[4]BESS 10B'!B:B,J18)</f>
        <v>#VALUE!</v>
      </c>
      <c r="M18" s="2" t="e">
        <f t="shared" ref="M18:M49" si="4">K18-L18</f>
        <v>#VALUE!</v>
      </c>
      <c r="N18" s="63" t="s">
        <v>122</v>
      </c>
      <c r="O18" s="424" t="str">
        <f t="shared" si="1"/>
        <v>-</v>
      </c>
      <c r="P18" s="58" t="s">
        <v>164</v>
      </c>
      <c r="Q18" s="240">
        <v>2</v>
      </c>
      <c r="R18" s="241">
        <v>4</v>
      </c>
      <c r="S18" s="242" t="e">
        <f>(M18*R18)/Q18</f>
        <v>#VALUE!</v>
      </c>
      <c r="T18" s="375"/>
      <c r="Y18" s="109" t="s">
        <v>229</v>
      </c>
      <c r="Z18" s="66">
        <v>2</v>
      </c>
      <c r="AA18" s="260"/>
    </row>
    <row r="19" spans="2:27">
      <c r="B19" s="473"/>
      <c r="C19" s="476"/>
      <c r="D19" s="513"/>
      <c r="E19" s="445"/>
      <c r="F19" s="456"/>
      <c r="G19" s="456"/>
      <c r="H19" s="456"/>
      <c r="I19" s="59">
        <f>I18+0.01</f>
        <v>1.1300000000000001</v>
      </c>
      <c r="J19" s="57" t="s">
        <v>27</v>
      </c>
      <c r="K19" s="2" t="e">
        <f>SUMIFS('[4]BESS 10B'!E:E,'[4]BESS 10B'!B:B,J19)</f>
        <v>#VALUE!</v>
      </c>
      <c r="L19" s="2" t="e">
        <f>SUMIFS('[4]BESS 10B'!F:F,'[4]BESS 10B'!B:B,J19)</f>
        <v>#VALUE!</v>
      </c>
      <c r="M19" s="2" t="e">
        <f t="shared" si="4"/>
        <v>#VALUE!</v>
      </c>
      <c r="N19" s="63" t="s">
        <v>122</v>
      </c>
      <c r="O19" s="424" t="str">
        <f t="shared" si="1"/>
        <v>-</v>
      </c>
      <c r="P19" s="58" t="s">
        <v>164</v>
      </c>
      <c r="Q19" s="240">
        <v>10</v>
      </c>
      <c r="R19" s="241">
        <v>4</v>
      </c>
      <c r="S19" s="242" t="e">
        <f>(M19*R19)/Q19</f>
        <v>#VALUE!</v>
      </c>
      <c r="T19" s="375"/>
      <c r="Y19" s="181" t="s">
        <v>198</v>
      </c>
      <c r="Z19" s="66"/>
      <c r="AA19" s="260"/>
    </row>
    <row r="20" spans="2:27">
      <c r="B20" s="473"/>
      <c r="C20" s="476"/>
      <c r="D20" s="513"/>
      <c r="E20" s="445"/>
      <c r="F20" s="456"/>
      <c r="G20" s="456"/>
      <c r="H20" s="456"/>
      <c r="I20" s="59">
        <f>I19+0.01</f>
        <v>1.1400000000000001</v>
      </c>
      <c r="J20" s="57" t="s">
        <v>28</v>
      </c>
      <c r="K20" s="2" t="e">
        <f>SUMIFS('[4]BESS 10B'!E:E,'[4]BESS 10B'!B:B,J20)</f>
        <v>#VALUE!</v>
      </c>
      <c r="L20" s="2" t="e">
        <f>SUMIFS('[4]BESS 10B'!F:F,'[4]BESS 10B'!B:B,J20)</f>
        <v>#VALUE!</v>
      </c>
      <c r="M20" s="2" t="e">
        <f t="shared" si="4"/>
        <v>#VALUE!</v>
      </c>
      <c r="N20" s="63" t="s">
        <v>122</v>
      </c>
      <c r="O20" s="424" t="str">
        <f t="shared" si="1"/>
        <v>-</v>
      </c>
      <c r="P20" s="58" t="s">
        <v>164</v>
      </c>
      <c r="Q20" s="240">
        <v>5</v>
      </c>
      <c r="R20" s="241">
        <v>4</v>
      </c>
      <c r="S20" s="242" t="e">
        <f>(M20*R20)/Q20</f>
        <v>#VALUE!</v>
      </c>
      <c r="T20" s="375"/>
      <c r="Y20" s="109" t="s">
        <v>221</v>
      </c>
      <c r="Z20" s="66">
        <v>5</v>
      </c>
      <c r="AA20" s="109"/>
    </row>
    <row r="21" spans="2:27" ht="25.5">
      <c r="B21" s="473"/>
      <c r="C21" s="476"/>
      <c r="D21" s="513"/>
      <c r="E21" s="445"/>
      <c r="F21" s="456"/>
      <c r="G21" s="456"/>
      <c r="H21" s="456"/>
      <c r="I21" s="59">
        <f t="shared" ref="I21:I49" si="5">I20+0.01</f>
        <v>1.1500000000000001</v>
      </c>
      <c r="J21" s="57" t="s">
        <v>29</v>
      </c>
      <c r="K21" s="2" t="e">
        <f>SUMIFS('[4]BESS 10B'!E:E,'[4]BESS 10B'!B:B,J21)</f>
        <v>#VALUE!</v>
      </c>
      <c r="L21" s="2" t="e">
        <f>SUMIFS('[4]BESS 10B'!F:F,'[4]BESS 10B'!B:B,J21)</f>
        <v>#VALUE!</v>
      </c>
      <c r="M21" s="2" t="e">
        <f t="shared" si="4"/>
        <v>#VALUE!</v>
      </c>
      <c r="N21" s="63" t="s">
        <v>122</v>
      </c>
      <c r="O21" s="424" t="str">
        <f t="shared" si="1"/>
        <v>-</v>
      </c>
      <c r="P21" s="58" t="s">
        <v>164</v>
      </c>
      <c r="Q21" s="240">
        <v>20</v>
      </c>
      <c r="R21" s="591">
        <v>4</v>
      </c>
      <c r="S21" s="621">
        <v>4</v>
      </c>
      <c r="T21" s="375"/>
      <c r="Y21" s="109" t="s">
        <v>200</v>
      </c>
      <c r="Z21" s="66">
        <v>1</v>
      </c>
      <c r="AA21" s="109"/>
    </row>
    <row r="22" spans="2:27">
      <c r="B22" s="473"/>
      <c r="C22" s="476"/>
      <c r="D22" s="513"/>
      <c r="E22" s="445"/>
      <c r="F22" s="456"/>
      <c r="G22" s="456"/>
      <c r="H22" s="456"/>
      <c r="I22" s="59">
        <f t="shared" si="5"/>
        <v>1.1600000000000001</v>
      </c>
      <c r="J22" s="57" t="s">
        <v>33</v>
      </c>
      <c r="K22" s="2" t="e">
        <f>SUMIFS('[4]BESS 10B'!E:E,'[4]BESS 10B'!B:B,J22)</f>
        <v>#VALUE!</v>
      </c>
      <c r="L22" s="2" t="e">
        <f>SUMIFS('[4]BESS 10B'!F:F,'[4]BESS 10B'!B:B,J22)</f>
        <v>#VALUE!</v>
      </c>
      <c r="M22" s="2" t="e">
        <f t="shared" si="4"/>
        <v>#VALUE!</v>
      </c>
      <c r="N22" s="63" t="s">
        <v>122</v>
      </c>
      <c r="O22" s="424" t="str">
        <f t="shared" si="1"/>
        <v>-</v>
      </c>
      <c r="P22" s="58" t="s">
        <v>164</v>
      </c>
      <c r="Q22" s="240">
        <v>10</v>
      </c>
      <c r="R22" s="591"/>
      <c r="S22" s="621"/>
      <c r="T22" s="375"/>
      <c r="Y22" s="109" t="s">
        <v>201</v>
      </c>
      <c r="Z22" s="66">
        <v>1</v>
      </c>
      <c r="AA22" s="109"/>
    </row>
    <row r="23" spans="2:27">
      <c r="B23" s="473"/>
      <c r="C23" s="476"/>
      <c r="D23" s="513"/>
      <c r="E23" s="445"/>
      <c r="F23" s="456"/>
      <c r="G23" s="456"/>
      <c r="H23" s="456"/>
      <c r="I23" s="59">
        <f t="shared" si="5"/>
        <v>1.1700000000000002</v>
      </c>
      <c r="J23" s="57" t="s">
        <v>36</v>
      </c>
      <c r="K23" s="2" t="e">
        <f>SUMIFS('[4]BESS 10B'!E:E,'[4]BESS 10B'!B:B,J23)</f>
        <v>#VALUE!</v>
      </c>
      <c r="L23" s="2" t="e">
        <f>SUMIFS('[4]BESS 10B'!F:F,'[4]BESS 10B'!B:B,J23)</f>
        <v>#VALUE!</v>
      </c>
      <c r="M23" s="2" t="e">
        <f t="shared" si="4"/>
        <v>#VALUE!</v>
      </c>
      <c r="N23" s="63" t="s">
        <v>122</v>
      </c>
      <c r="O23" s="424" t="str">
        <f t="shared" si="1"/>
        <v>-</v>
      </c>
      <c r="P23" s="58" t="s">
        <v>164</v>
      </c>
      <c r="Q23" s="240">
        <v>10</v>
      </c>
      <c r="R23" s="591"/>
      <c r="S23" s="621"/>
      <c r="T23" s="375"/>
      <c r="Y23" s="109" t="s">
        <v>202</v>
      </c>
      <c r="Z23" s="66">
        <v>1</v>
      </c>
      <c r="AA23" s="260"/>
    </row>
    <row r="24" spans="2:27">
      <c r="B24" s="473"/>
      <c r="C24" s="476"/>
      <c r="D24" s="513"/>
      <c r="E24" s="445"/>
      <c r="F24" s="456"/>
      <c r="G24" s="456"/>
      <c r="H24" s="456"/>
      <c r="I24" s="59">
        <f t="shared" si="5"/>
        <v>1.1800000000000002</v>
      </c>
      <c r="J24" s="57" t="s">
        <v>39</v>
      </c>
      <c r="K24" s="2" t="e">
        <f>SUMIFS('[4]BESS 10B'!E:E,'[4]BESS 10B'!B:B,J24)</f>
        <v>#VALUE!</v>
      </c>
      <c r="L24" s="2" t="e">
        <f>SUMIFS('[4]BESS 10B'!F:F,'[4]BESS 10B'!B:B,J24)</f>
        <v>#VALUE!</v>
      </c>
      <c r="M24" s="2" t="e">
        <f t="shared" si="4"/>
        <v>#VALUE!</v>
      </c>
      <c r="N24" s="362" t="s">
        <v>122</v>
      </c>
      <c r="O24" s="424" t="str">
        <f t="shared" si="1"/>
        <v>-</v>
      </c>
      <c r="P24" s="58" t="s">
        <v>164</v>
      </c>
      <c r="Q24" s="240">
        <v>10</v>
      </c>
      <c r="R24" s="591"/>
      <c r="S24" s="621"/>
      <c r="T24" s="375"/>
      <c r="Y24" s="109" t="s">
        <v>203</v>
      </c>
      <c r="Z24" s="66">
        <v>1</v>
      </c>
      <c r="AA24" s="260"/>
    </row>
    <row r="25" spans="2:27" ht="25.5">
      <c r="B25" s="547" t="s">
        <v>186</v>
      </c>
      <c r="C25" s="548"/>
      <c r="D25" s="548"/>
      <c r="E25" s="548"/>
      <c r="F25" s="548"/>
      <c r="G25" s="548"/>
      <c r="H25" s="549"/>
      <c r="I25" s="6">
        <f t="shared" si="5"/>
        <v>1.1900000000000002</v>
      </c>
      <c r="J25" s="8" t="s">
        <v>41</v>
      </c>
      <c r="K25" s="1" t="e">
        <f>SUMIFS('[4]BESS 10B'!E:E,'[4]BESS 10B'!B:B,J25)</f>
        <v>#VALUE!</v>
      </c>
      <c r="L25" s="2" t="e">
        <f>SUMIFS('[4]BESS 10B'!F:F,'[4]BESS 10B'!B:B,J25)</f>
        <v>#VALUE!</v>
      </c>
      <c r="M25" s="7" t="e">
        <f t="shared" si="4"/>
        <v>#VALUE!</v>
      </c>
      <c r="N25" s="20" t="s">
        <v>747</v>
      </c>
      <c r="O25" s="424">
        <f t="shared" si="1"/>
        <v>46234</v>
      </c>
      <c r="P25" s="5" t="s">
        <v>181</v>
      </c>
      <c r="Q25" s="240">
        <v>20</v>
      </c>
      <c r="R25" s="591"/>
      <c r="S25" s="621"/>
      <c r="T25" s="375"/>
      <c r="Y25" s="109" t="s">
        <v>204</v>
      </c>
      <c r="Z25" s="66">
        <v>1</v>
      </c>
      <c r="AA25" s="260"/>
    </row>
    <row r="26" spans="2:27" ht="25.5">
      <c r="B26" s="550"/>
      <c r="C26" s="551"/>
      <c r="D26" s="551"/>
      <c r="E26" s="551"/>
      <c r="F26" s="551"/>
      <c r="G26" s="551"/>
      <c r="H26" s="552"/>
      <c r="I26" s="6">
        <f t="shared" si="5"/>
        <v>1.2000000000000002</v>
      </c>
      <c r="J26" s="8" t="s">
        <v>43</v>
      </c>
      <c r="K26" s="1" t="e">
        <f>SUMIFS('[4]BESS 10B'!E:E,'[4]BESS 10B'!B:B,J26)</f>
        <v>#VALUE!</v>
      </c>
      <c r="L26" s="2" t="e">
        <f>SUMIFS('[4]BESS 10B'!F:F,'[4]BESS 10B'!B:B,J26)</f>
        <v>#VALUE!</v>
      </c>
      <c r="M26" s="7" t="e">
        <f t="shared" si="4"/>
        <v>#VALUE!</v>
      </c>
      <c r="N26" s="20" t="s">
        <v>748</v>
      </c>
      <c r="O26" s="424">
        <f t="shared" si="1"/>
        <v>46235</v>
      </c>
      <c r="P26" s="5" t="s">
        <v>181</v>
      </c>
      <c r="Q26" s="240">
        <v>0.66666666666666663</v>
      </c>
      <c r="R26" s="241">
        <v>0</v>
      </c>
      <c r="S26" s="242" t="e">
        <f t="shared" ref="S26:S38" si="6">(M26*R26)/Q26</f>
        <v>#VALUE!</v>
      </c>
      <c r="T26" s="375"/>
      <c r="Y26" s="109" t="s">
        <v>205</v>
      </c>
      <c r="Z26" s="66">
        <v>2</v>
      </c>
      <c r="AA26" s="260"/>
    </row>
    <row r="27" spans="2:27">
      <c r="B27" s="550"/>
      <c r="C27" s="551"/>
      <c r="D27" s="551"/>
      <c r="E27" s="551"/>
      <c r="F27" s="551"/>
      <c r="G27" s="551"/>
      <c r="H27" s="552"/>
      <c r="I27" s="59">
        <f t="shared" si="5"/>
        <v>1.2100000000000002</v>
      </c>
      <c r="J27" s="57" t="s">
        <v>21</v>
      </c>
      <c r="K27" s="2" t="e">
        <f>SUMIFS('[4]BESS 10B'!E:E,'[4]BESS 10B'!B:B,J27)</f>
        <v>#VALUE!</v>
      </c>
      <c r="L27" s="2" t="e">
        <f>SUMIFS('[4]BESS 10B'!F:F,'[4]BESS 10B'!B:B,J27)</f>
        <v>#VALUE!</v>
      </c>
      <c r="M27" s="2" t="e">
        <f t="shared" si="4"/>
        <v>#VALUE!</v>
      </c>
      <c r="N27" s="362" t="s">
        <v>122</v>
      </c>
      <c r="O27" s="429" t="str">
        <f t="shared" si="1"/>
        <v>-</v>
      </c>
      <c r="P27" s="58" t="s">
        <v>164</v>
      </c>
      <c r="Q27" s="240">
        <v>10</v>
      </c>
      <c r="R27" s="241">
        <v>4</v>
      </c>
      <c r="S27" s="242" t="e">
        <f t="shared" si="6"/>
        <v>#VALUE!</v>
      </c>
      <c r="T27" s="375"/>
      <c r="Y27" s="109" t="s">
        <v>206</v>
      </c>
      <c r="Z27" s="66">
        <v>1</v>
      </c>
      <c r="AA27" s="109"/>
    </row>
    <row r="28" spans="2:27">
      <c r="B28" s="550"/>
      <c r="C28" s="551"/>
      <c r="D28" s="551"/>
      <c r="E28" s="551"/>
      <c r="F28" s="551"/>
      <c r="G28" s="551"/>
      <c r="H28" s="552"/>
      <c r="I28" s="59">
        <f t="shared" si="5"/>
        <v>1.2200000000000002</v>
      </c>
      <c r="J28" s="57" t="s">
        <v>47</v>
      </c>
      <c r="K28" s="2" t="e">
        <f>SUMIFS('[4]BESS 10B'!E:E,'[4]BESS 10B'!B:B,J28)</f>
        <v>#VALUE!</v>
      </c>
      <c r="L28" s="2" t="e">
        <f>SUMIFS('[4]BESS 10B'!F:F,'[4]BESS 10B'!B:B,J28)</f>
        <v>#VALUE!</v>
      </c>
      <c r="M28" s="2" t="e">
        <f t="shared" si="4"/>
        <v>#VALUE!</v>
      </c>
      <c r="N28" s="362" t="s">
        <v>122</v>
      </c>
      <c r="O28" s="424" t="str">
        <f t="shared" si="1"/>
        <v>-</v>
      </c>
      <c r="P28" s="58" t="s">
        <v>164</v>
      </c>
      <c r="Q28" s="240">
        <v>1500</v>
      </c>
      <c r="R28" s="241">
        <v>48</v>
      </c>
      <c r="S28" s="242" t="e">
        <f t="shared" si="6"/>
        <v>#VALUE!</v>
      </c>
      <c r="T28" s="401"/>
      <c r="V28" s="60"/>
      <c r="W28" s="60"/>
      <c r="Y28" s="109" t="s">
        <v>207</v>
      </c>
      <c r="Z28" s="66">
        <v>1</v>
      </c>
      <c r="AA28" s="109"/>
    </row>
    <row r="29" spans="2:27" ht="25.5">
      <c r="B29" s="550"/>
      <c r="C29" s="551"/>
      <c r="D29" s="551"/>
      <c r="E29" s="551"/>
      <c r="F29" s="551"/>
      <c r="G29" s="551"/>
      <c r="H29" s="552"/>
      <c r="I29" s="6">
        <f t="shared" si="5"/>
        <v>1.2300000000000002</v>
      </c>
      <c r="J29" s="8" t="s">
        <v>48</v>
      </c>
      <c r="K29" s="1" t="e">
        <f>SUMIFS('[4]BESS 10B'!E:E,'[4]BESS 10B'!B:B,J29)</f>
        <v>#VALUE!</v>
      </c>
      <c r="L29" s="2" t="e">
        <f>SUMIFS('[4]BESS 10B'!F:F,'[4]BESS 10B'!B:B,J29)</f>
        <v>#VALUE!</v>
      </c>
      <c r="M29" s="7" t="e">
        <f t="shared" si="4"/>
        <v>#VALUE!</v>
      </c>
      <c r="N29" s="20" t="s">
        <v>569</v>
      </c>
      <c r="O29" s="424">
        <f t="shared" si="1"/>
        <v>46235</v>
      </c>
      <c r="P29" s="5" t="s">
        <v>164</v>
      </c>
      <c r="Q29" s="240">
        <v>8</v>
      </c>
      <c r="R29" s="241">
        <v>6</v>
      </c>
      <c r="S29" s="242" t="e">
        <f t="shared" si="6"/>
        <v>#VALUE!</v>
      </c>
      <c r="T29" s="401" t="s">
        <v>699</v>
      </c>
      <c r="Y29" s="109" t="s">
        <v>208</v>
      </c>
      <c r="Z29" s="66">
        <v>1</v>
      </c>
      <c r="AA29" s="109"/>
    </row>
    <row r="30" spans="2:27">
      <c r="B30" s="550"/>
      <c r="C30" s="551"/>
      <c r="D30" s="551"/>
      <c r="E30" s="551"/>
      <c r="F30" s="551"/>
      <c r="G30" s="551"/>
      <c r="H30" s="552"/>
      <c r="I30" s="59">
        <f t="shared" si="5"/>
        <v>1.2400000000000002</v>
      </c>
      <c r="J30" s="57" t="s">
        <v>126</v>
      </c>
      <c r="K30" s="2" t="e">
        <f>SUMIFS('[4]BESS 10B'!E:E,'[4]BESS 10B'!B:B,J30)</f>
        <v>#VALUE!</v>
      </c>
      <c r="L30" s="2" t="e">
        <f>SUMIFS('[4]BESS 10B'!F:F,'[4]BESS 10B'!B:B,J30)</f>
        <v>#VALUE!</v>
      </c>
      <c r="M30" s="2" t="e">
        <f t="shared" si="4"/>
        <v>#VALUE!</v>
      </c>
      <c r="N30" s="63" t="s">
        <v>122</v>
      </c>
      <c r="O30" s="424" t="str">
        <f t="shared" si="1"/>
        <v>-</v>
      </c>
      <c r="P30" s="58" t="s">
        <v>164</v>
      </c>
      <c r="Q30" s="240">
        <v>600</v>
      </c>
      <c r="R30" s="241">
        <v>10</v>
      </c>
      <c r="S30" s="242" t="e">
        <f t="shared" si="6"/>
        <v>#VALUE!</v>
      </c>
      <c r="T30" s="401"/>
      <c r="V30" s="60"/>
      <c r="W30" s="60"/>
      <c r="Y30" s="339" t="s">
        <v>209</v>
      </c>
      <c r="Z30" s="312">
        <v>1</v>
      </c>
      <c r="AA30" s="109"/>
    </row>
    <row r="31" spans="2:27" ht="27">
      <c r="B31" s="550"/>
      <c r="C31" s="551"/>
      <c r="D31" s="551"/>
      <c r="E31" s="551"/>
      <c r="F31" s="551"/>
      <c r="G31" s="551"/>
      <c r="H31" s="552"/>
      <c r="I31" s="59">
        <f t="shared" si="5"/>
        <v>1.2500000000000002</v>
      </c>
      <c r="J31" s="57" t="s">
        <v>127</v>
      </c>
      <c r="K31" s="2" t="e">
        <f>SUMIFS('[4]BESS 10B'!E:E,'[4]BESS 10B'!B:B,J31)</f>
        <v>#VALUE!</v>
      </c>
      <c r="L31" s="2" t="e">
        <f>SUMIFS('[4]BESS 10B'!F:F,'[4]BESS 10B'!B:B,J31)</f>
        <v>#VALUE!</v>
      </c>
      <c r="M31" s="2" t="e">
        <f t="shared" si="4"/>
        <v>#VALUE!</v>
      </c>
      <c r="N31" s="63" t="s">
        <v>122</v>
      </c>
      <c r="O31" s="429" t="str">
        <f t="shared" si="1"/>
        <v>-</v>
      </c>
      <c r="P31" s="58" t="s">
        <v>164</v>
      </c>
      <c r="Q31" s="240">
        <v>600</v>
      </c>
      <c r="R31" s="241">
        <v>10</v>
      </c>
      <c r="S31" s="242" t="e">
        <f t="shared" si="6"/>
        <v>#VALUE!</v>
      </c>
      <c r="T31" s="401"/>
      <c r="V31" s="60"/>
      <c r="W31" s="60"/>
      <c r="Y31" s="337" t="s">
        <v>215</v>
      </c>
      <c r="Z31" s="312">
        <v>1</v>
      </c>
      <c r="AA31" s="109">
        <v>1</v>
      </c>
    </row>
    <row r="32" spans="2:27" ht="27">
      <c r="B32" s="550"/>
      <c r="C32" s="551"/>
      <c r="D32" s="551"/>
      <c r="E32" s="551"/>
      <c r="F32" s="551"/>
      <c r="G32" s="551"/>
      <c r="H32" s="552"/>
      <c r="I32" s="6">
        <f t="shared" si="5"/>
        <v>1.2600000000000002</v>
      </c>
      <c r="J32" s="8" t="s">
        <v>128</v>
      </c>
      <c r="K32" s="1" t="e">
        <f>SUMIFS('[4]BESS 10B'!E:E,'[4]BESS 10B'!B:B,J32)</f>
        <v>#VALUE!</v>
      </c>
      <c r="L32" s="2" t="e">
        <f>SUMIFS('[4]BESS 10B'!F:F,'[4]BESS 10B'!B:B,J32)</f>
        <v>#VALUE!</v>
      </c>
      <c r="M32" s="7" t="e">
        <f t="shared" si="4"/>
        <v>#VALUE!</v>
      </c>
      <c r="N32" s="20" t="s">
        <v>570</v>
      </c>
      <c r="O32" s="424">
        <f t="shared" si="1"/>
        <v>46235</v>
      </c>
      <c r="P32" s="5" t="s">
        <v>164</v>
      </c>
      <c r="Q32" s="240">
        <v>30</v>
      </c>
      <c r="R32" s="241">
        <v>18</v>
      </c>
      <c r="S32" s="242" t="e">
        <f t="shared" si="6"/>
        <v>#VALUE!</v>
      </c>
      <c r="T32" s="401" t="s">
        <v>705</v>
      </c>
      <c r="Y32" s="109" t="s">
        <v>210</v>
      </c>
      <c r="Z32" s="66">
        <v>1</v>
      </c>
      <c r="AA32" s="109"/>
    </row>
    <row r="33" spans="2:28" ht="27">
      <c r="B33" s="550"/>
      <c r="C33" s="551"/>
      <c r="D33" s="551"/>
      <c r="E33" s="551"/>
      <c r="F33" s="551"/>
      <c r="G33" s="551"/>
      <c r="H33" s="552"/>
      <c r="I33" s="6">
        <f t="shared" si="5"/>
        <v>1.2700000000000002</v>
      </c>
      <c r="J33" s="8" t="s">
        <v>129</v>
      </c>
      <c r="K33" s="1" t="e">
        <f>SUMIFS('[4]BESS 10B'!E:E,'[4]BESS 10B'!B:B,J33)</f>
        <v>#VALUE!</v>
      </c>
      <c r="L33" s="2" t="e">
        <f>SUMIFS('[4]BESS 10B'!F:F,'[4]BESS 10B'!B:B,J33)</f>
        <v>#VALUE!</v>
      </c>
      <c r="M33" s="7" t="e">
        <f t="shared" si="4"/>
        <v>#VALUE!</v>
      </c>
      <c r="N33" s="20" t="s">
        <v>570</v>
      </c>
      <c r="O33" s="424">
        <f t="shared" si="1"/>
        <v>46235</v>
      </c>
      <c r="P33" s="5" t="s">
        <v>164</v>
      </c>
      <c r="Q33" s="240">
        <v>30</v>
      </c>
      <c r="R33" s="241">
        <v>18</v>
      </c>
      <c r="S33" s="242" t="e">
        <f t="shared" si="6"/>
        <v>#VALUE!</v>
      </c>
      <c r="T33" s="401" t="s">
        <v>750</v>
      </c>
      <c r="Y33" s="109" t="s">
        <v>211</v>
      </c>
      <c r="Z33" s="66">
        <v>1</v>
      </c>
      <c r="AA33" s="109"/>
    </row>
    <row r="34" spans="2:28" ht="25.5">
      <c r="B34" s="550"/>
      <c r="C34" s="551"/>
      <c r="D34" s="551"/>
      <c r="E34" s="551"/>
      <c r="F34" s="551"/>
      <c r="G34" s="551"/>
      <c r="H34" s="552"/>
      <c r="I34" s="6">
        <f t="shared" si="5"/>
        <v>1.2800000000000002</v>
      </c>
      <c r="J34" s="138" t="s">
        <v>130</v>
      </c>
      <c r="K34" s="35" t="e">
        <f>SUMIFS('[4]BESS 10B'!E:E,'[4]BESS 10B'!B:B,J34)</f>
        <v>#VALUE!</v>
      </c>
      <c r="L34" s="36" t="e">
        <f>SUMIFS('[4]BESS 10B'!F:F,'[4]BESS 10B'!B:B,J34)</f>
        <v>#VALUE!</v>
      </c>
      <c r="M34" s="139" t="e">
        <f t="shared" si="4"/>
        <v>#VALUE!</v>
      </c>
      <c r="N34" s="20" t="s">
        <v>733</v>
      </c>
      <c r="O34" s="424">
        <f t="shared" si="1"/>
        <v>46233</v>
      </c>
      <c r="P34" s="140" t="s">
        <v>164</v>
      </c>
      <c r="Q34" s="240">
        <v>1000</v>
      </c>
      <c r="R34" s="241">
        <v>10</v>
      </c>
      <c r="S34" s="242" t="e">
        <f t="shared" si="6"/>
        <v>#VALUE!</v>
      </c>
      <c r="T34" s="401"/>
      <c r="V34" s="60"/>
      <c r="W34" s="60"/>
      <c r="Y34" s="109" t="s">
        <v>212</v>
      </c>
      <c r="Z34" s="66">
        <v>2</v>
      </c>
      <c r="AA34" s="109"/>
    </row>
    <row r="35" spans="2:28" ht="25.5">
      <c r="B35" s="550"/>
      <c r="C35" s="551"/>
      <c r="D35" s="551"/>
      <c r="E35" s="551"/>
      <c r="F35" s="551"/>
      <c r="G35" s="551"/>
      <c r="H35" s="552"/>
      <c r="I35" s="6">
        <f t="shared" si="5"/>
        <v>1.2900000000000003</v>
      </c>
      <c r="J35" s="138" t="s">
        <v>131</v>
      </c>
      <c r="K35" s="35" t="e">
        <f>SUMIFS('[4]BESS 10B'!E:E,'[4]BESS 10B'!B:B,J35)</f>
        <v>#VALUE!</v>
      </c>
      <c r="L35" s="36" t="e">
        <f>SUMIFS('[4]BESS 10B'!F:F,'[4]BESS 10B'!B:B,J35)</f>
        <v>#VALUE!</v>
      </c>
      <c r="M35" s="139" t="e">
        <f t="shared" si="4"/>
        <v>#VALUE!</v>
      </c>
      <c r="N35" s="20" t="s">
        <v>734</v>
      </c>
      <c r="O35" s="424">
        <f t="shared" si="1"/>
        <v>46233</v>
      </c>
      <c r="P35" s="140" t="s">
        <v>164</v>
      </c>
      <c r="Q35" s="240">
        <v>1000</v>
      </c>
      <c r="R35" s="241">
        <v>10</v>
      </c>
      <c r="S35" s="242" t="e">
        <f t="shared" si="6"/>
        <v>#VALUE!</v>
      </c>
      <c r="T35" s="401"/>
      <c r="V35" s="60"/>
      <c r="W35" s="60"/>
      <c r="Y35" s="109" t="s">
        <v>213</v>
      </c>
      <c r="Z35" s="66">
        <v>3</v>
      </c>
      <c r="AA35" s="109">
        <v>2</v>
      </c>
      <c r="AB35" s="60"/>
    </row>
    <row r="36" spans="2:28" ht="25.5">
      <c r="B36" s="550"/>
      <c r="C36" s="551"/>
      <c r="D36" s="551"/>
      <c r="E36" s="551"/>
      <c r="F36" s="551"/>
      <c r="G36" s="551"/>
      <c r="H36" s="552"/>
      <c r="I36" s="6">
        <f t="shared" si="5"/>
        <v>1.3000000000000003</v>
      </c>
      <c r="J36" s="138" t="s">
        <v>132</v>
      </c>
      <c r="K36" s="35" t="e">
        <f>SUMIFS('[4]BESS 10B'!E:E,'[4]BESS 10B'!B:B,J36)</f>
        <v>#VALUE!</v>
      </c>
      <c r="L36" s="36" t="e">
        <f>SUMIFS('[4]BESS 10B'!F:F,'[4]BESS 10B'!B:B,J36)</f>
        <v>#VALUE!</v>
      </c>
      <c r="M36" s="139" t="e">
        <f t="shared" si="4"/>
        <v>#VALUE!</v>
      </c>
      <c r="N36" s="414" t="s">
        <v>735</v>
      </c>
      <c r="O36" s="424">
        <f t="shared" si="1"/>
        <v>46233</v>
      </c>
      <c r="P36" s="140" t="s">
        <v>164</v>
      </c>
      <c r="Q36" s="240">
        <v>500</v>
      </c>
      <c r="R36" s="241">
        <v>10</v>
      </c>
      <c r="S36" s="242" t="e">
        <f t="shared" si="6"/>
        <v>#VALUE!</v>
      </c>
      <c r="T36" s="401"/>
      <c r="V36" s="60"/>
      <c r="W36" s="60"/>
      <c r="Y36" s="109" t="s">
        <v>214</v>
      </c>
      <c r="Z36" s="66">
        <v>2</v>
      </c>
      <c r="AA36" s="109"/>
      <c r="AB36" s="60"/>
    </row>
    <row r="37" spans="2:28" ht="25.5">
      <c r="B37" s="550"/>
      <c r="C37" s="551"/>
      <c r="D37" s="551"/>
      <c r="E37" s="551"/>
      <c r="F37" s="551"/>
      <c r="G37" s="551"/>
      <c r="H37" s="552"/>
      <c r="I37" s="6">
        <f t="shared" si="5"/>
        <v>1.3100000000000003</v>
      </c>
      <c r="J37" s="8" t="s">
        <v>133</v>
      </c>
      <c r="K37" s="35" t="e">
        <f>SUMIFS('[4]BESS 10B'!E:E,'[4]BESS 10B'!B:B,J37)</f>
        <v>#VALUE!</v>
      </c>
      <c r="L37" s="36" t="e">
        <f>SUMIFS('[4]BESS 10B'!F:F,'[4]BESS 10B'!B:B,J37)</f>
        <v>#VALUE!</v>
      </c>
      <c r="M37" s="139" t="e">
        <f t="shared" ref="M37:M48" si="7">K37-L37</f>
        <v>#VALUE!</v>
      </c>
      <c r="N37" s="20" t="s">
        <v>736</v>
      </c>
      <c r="O37" s="424">
        <f t="shared" si="1"/>
        <v>46235</v>
      </c>
      <c r="P37" s="5" t="s">
        <v>164</v>
      </c>
      <c r="Q37" s="240">
        <v>30</v>
      </c>
      <c r="R37" s="241">
        <v>6</v>
      </c>
      <c r="S37" s="242" t="e">
        <f t="shared" si="6"/>
        <v>#VALUE!</v>
      </c>
      <c r="T37" s="401"/>
      <c r="V37" s="60"/>
      <c r="W37" s="60"/>
      <c r="Y37" s="260"/>
      <c r="Z37" s="102"/>
      <c r="AA37" s="109"/>
      <c r="AB37" s="60"/>
    </row>
    <row r="38" spans="2:28" ht="25.5">
      <c r="B38" s="550"/>
      <c r="C38" s="551"/>
      <c r="D38" s="551"/>
      <c r="E38" s="551"/>
      <c r="F38" s="551"/>
      <c r="G38" s="551"/>
      <c r="H38" s="552"/>
      <c r="I38" s="6">
        <f t="shared" si="5"/>
        <v>1.3200000000000003</v>
      </c>
      <c r="J38" s="8" t="s">
        <v>134</v>
      </c>
      <c r="K38" s="35" t="e">
        <f>SUMIFS('[4]BESS 10B'!E:E,'[4]BESS 10B'!B:B,J38)</f>
        <v>#VALUE!</v>
      </c>
      <c r="L38" s="36" t="e">
        <f>SUMIFS('[4]BESS 10B'!F:F,'[4]BESS 10B'!B:B,J38)</f>
        <v>#VALUE!</v>
      </c>
      <c r="M38" s="139" t="e">
        <f t="shared" si="7"/>
        <v>#VALUE!</v>
      </c>
      <c r="N38" s="20" t="s">
        <v>756</v>
      </c>
      <c r="O38" s="424">
        <f t="shared" si="1"/>
        <v>46235</v>
      </c>
      <c r="P38" s="5" t="s">
        <v>187</v>
      </c>
      <c r="Q38" s="240">
        <v>30</v>
      </c>
      <c r="R38" s="241">
        <v>4</v>
      </c>
      <c r="S38" s="242" t="e">
        <f t="shared" si="6"/>
        <v>#VALUE!</v>
      </c>
      <c r="T38" s="401"/>
      <c r="V38" s="60"/>
      <c r="W38" s="60"/>
      <c r="Y38" s="112" t="s">
        <v>216</v>
      </c>
      <c r="Z38" s="102"/>
      <c r="AA38" s="109"/>
      <c r="AB38" s="60"/>
    </row>
    <row r="39" spans="2:28" ht="25.5">
      <c r="B39" s="550"/>
      <c r="C39" s="551"/>
      <c r="D39" s="551"/>
      <c r="E39" s="551"/>
      <c r="F39" s="551"/>
      <c r="G39" s="551"/>
      <c r="H39" s="552"/>
      <c r="I39" s="6">
        <f t="shared" si="5"/>
        <v>1.3300000000000003</v>
      </c>
      <c r="J39" s="8" t="s">
        <v>136</v>
      </c>
      <c r="K39" s="35" t="e">
        <f>SUMIFS('[4]BESS 10B'!E:E,'[4]BESS 10B'!B:B,J39)</f>
        <v>#VALUE!</v>
      </c>
      <c r="L39" s="36" t="e">
        <f>SUMIFS('[4]BESS 10B'!F:F,'[4]BESS 10B'!B:B,J39)</f>
        <v>#VALUE!</v>
      </c>
      <c r="M39" s="139" t="e">
        <f t="shared" si="7"/>
        <v>#VALUE!</v>
      </c>
      <c r="N39" s="20" t="s">
        <v>756</v>
      </c>
      <c r="O39" s="424">
        <f t="shared" si="1"/>
        <v>46235</v>
      </c>
      <c r="P39" s="5" t="s">
        <v>187</v>
      </c>
      <c r="Q39" s="240" t="s">
        <v>89</v>
      </c>
      <c r="R39" s="241" t="s">
        <v>89</v>
      </c>
      <c r="S39" s="242" t="s">
        <v>89</v>
      </c>
      <c r="T39" s="401"/>
      <c r="U39">
        <f ca="1">O39-$T$1</f>
        <v>2</v>
      </c>
      <c r="V39" s="97" t="e">
        <f>SUM(S18:S49)</f>
        <v>#VALUE!</v>
      </c>
      <c r="W39" s="97"/>
      <c r="X39" s="97" t="e">
        <f ca="1">V39/U39</f>
        <v>#VALUE!</v>
      </c>
      <c r="Y39" s="109" t="s">
        <v>191</v>
      </c>
      <c r="Z39" s="66">
        <v>60</v>
      </c>
      <c r="AA39" s="109"/>
      <c r="AB39" s="60"/>
    </row>
    <row r="40" spans="2:28" ht="38.25">
      <c r="B40" s="550"/>
      <c r="C40" s="551"/>
      <c r="D40" s="551"/>
      <c r="E40" s="551"/>
      <c r="F40" s="551"/>
      <c r="G40" s="551"/>
      <c r="H40" s="552"/>
      <c r="I40" s="6">
        <f t="shared" si="5"/>
        <v>1.3400000000000003</v>
      </c>
      <c r="J40" s="8" t="s">
        <v>137</v>
      </c>
      <c r="K40" s="35" t="e">
        <f>SUMIFS('[4]BESS 10B'!E:E,'[4]BESS 10B'!B:B,J40)</f>
        <v>#VALUE!</v>
      </c>
      <c r="L40" s="36" t="e">
        <f>SUMIFS('[4]BESS 10B'!F:F,'[4]BESS 10B'!B:B,J40)</f>
        <v>#VALUE!</v>
      </c>
      <c r="M40" s="139" t="e">
        <f t="shared" si="7"/>
        <v>#VALUE!</v>
      </c>
      <c r="N40" s="20" t="s">
        <v>737</v>
      </c>
      <c r="O40" s="424">
        <f t="shared" si="1"/>
        <v>46233</v>
      </c>
      <c r="P40" s="5" t="s">
        <v>164</v>
      </c>
      <c r="Q40" s="620">
        <v>2</v>
      </c>
      <c r="R40" s="591">
        <v>8</v>
      </c>
      <c r="S40" s="621">
        <v>12</v>
      </c>
      <c r="T40" s="401"/>
      <c r="Y40" s="109" t="s">
        <v>217</v>
      </c>
      <c r="Z40" s="102">
        <v>10</v>
      </c>
      <c r="AA40" s="109"/>
      <c r="AB40" s="60"/>
    </row>
    <row r="41" spans="2:28" ht="25.5">
      <c r="B41" s="550"/>
      <c r="C41" s="551"/>
      <c r="D41" s="551"/>
      <c r="E41" s="551"/>
      <c r="F41" s="551"/>
      <c r="G41" s="551"/>
      <c r="H41" s="552"/>
      <c r="I41" s="6">
        <f t="shared" si="5"/>
        <v>1.3500000000000003</v>
      </c>
      <c r="J41" s="8" t="s">
        <v>139</v>
      </c>
      <c r="K41" s="35" t="e">
        <f>SUMIFS('[4]BESS 10B'!E:E,'[4]BESS 10B'!B:B,J41)</f>
        <v>#VALUE!</v>
      </c>
      <c r="L41" s="36" t="e">
        <f>SUMIFS('[4]BESS 10B'!F:F,'[4]BESS 10B'!B:B,J41)</f>
        <v>#VALUE!</v>
      </c>
      <c r="M41" s="139" t="e">
        <f t="shared" si="7"/>
        <v>#VALUE!</v>
      </c>
      <c r="N41" s="20" t="s">
        <v>738</v>
      </c>
      <c r="O41" s="424">
        <f t="shared" si="1"/>
        <v>46233</v>
      </c>
      <c r="P41" s="5" t="s">
        <v>164</v>
      </c>
      <c r="Q41" s="620"/>
      <c r="R41" s="591"/>
      <c r="S41" s="621"/>
      <c r="T41" s="401"/>
      <c r="Y41" s="109" t="s">
        <v>218</v>
      </c>
      <c r="Z41" s="102">
        <v>10</v>
      </c>
      <c r="AA41" s="260"/>
      <c r="AB41" s="60"/>
    </row>
    <row r="42" spans="2:28">
      <c r="B42" s="550"/>
      <c r="C42" s="551"/>
      <c r="D42" s="551"/>
      <c r="E42" s="551"/>
      <c r="F42" s="551"/>
      <c r="G42" s="551"/>
      <c r="H42" s="552"/>
      <c r="I42" s="6">
        <f t="shared" si="5"/>
        <v>1.3600000000000003</v>
      </c>
      <c r="J42" s="8" t="s">
        <v>140</v>
      </c>
      <c r="K42" s="35" t="e">
        <f>SUMIFS('[4]BESS 10B'!E:E,'[4]BESS 10B'!B:B,J42)</f>
        <v>#VALUE!</v>
      </c>
      <c r="L42" s="36" t="e">
        <f>SUMIFS('[4]BESS 10B'!F:F,'[4]BESS 10B'!B:B,J42)</f>
        <v>#VALUE!</v>
      </c>
      <c r="M42" s="139" t="e">
        <f t="shared" si="7"/>
        <v>#VALUE!</v>
      </c>
      <c r="N42" s="3" t="s">
        <v>558</v>
      </c>
      <c r="O42" s="424">
        <f t="shared" si="1"/>
        <v>46238</v>
      </c>
      <c r="P42" s="5" t="s">
        <v>164</v>
      </c>
      <c r="Q42" s="240">
        <v>2</v>
      </c>
      <c r="R42" s="241">
        <v>4</v>
      </c>
      <c r="S42" s="242" t="e">
        <f t="shared" ref="S42:S49" si="8">(M42*R42)/Q42</f>
        <v>#VALUE!</v>
      </c>
      <c r="T42" s="401"/>
      <c r="U42">
        <f ca="1">O42-$T$1</f>
        <v>5</v>
      </c>
      <c r="V42" s="97" t="e">
        <f>SUM(S18:S49)</f>
        <v>#VALUE!</v>
      </c>
      <c r="W42" s="97"/>
      <c r="X42" s="97" t="e">
        <f ca="1">V42/(U42-3)</f>
        <v>#VALUE!</v>
      </c>
      <c r="Y42" s="109" t="s">
        <v>223</v>
      </c>
      <c r="Z42" s="102">
        <v>10</v>
      </c>
      <c r="AA42" s="109"/>
      <c r="AB42" s="60"/>
    </row>
    <row r="43" spans="2:28" ht="25.5">
      <c r="B43" s="550"/>
      <c r="C43" s="551"/>
      <c r="D43" s="551"/>
      <c r="E43" s="551"/>
      <c r="F43" s="551"/>
      <c r="G43" s="551"/>
      <c r="H43" s="552"/>
      <c r="I43" s="59">
        <f t="shared" si="5"/>
        <v>1.3700000000000003</v>
      </c>
      <c r="J43" s="57" t="s">
        <v>141</v>
      </c>
      <c r="K43" s="2" t="e">
        <f>SUMIFS('[4]BESS 10B'!E:E,'[4]BESS 10B'!B:B,J43)</f>
        <v>#VALUE!</v>
      </c>
      <c r="L43" s="2" t="e">
        <f>SUMIFS('[4]BESS 10B'!F:F,'[4]BESS 10B'!B:B,J43)</f>
        <v>#VALUE!</v>
      </c>
      <c r="M43" s="2" t="e">
        <f t="shared" si="7"/>
        <v>#VALUE!</v>
      </c>
      <c r="N43" s="63" t="s">
        <v>122</v>
      </c>
      <c r="O43" s="424" t="str">
        <f t="shared" si="1"/>
        <v>-</v>
      </c>
      <c r="P43" s="58" t="s">
        <v>164</v>
      </c>
      <c r="Q43" s="240">
        <v>0.5</v>
      </c>
      <c r="R43" s="241">
        <v>4</v>
      </c>
      <c r="S43" s="242" t="e">
        <f t="shared" si="8"/>
        <v>#VALUE!</v>
      </c>
      <c r="T43" s="401"/>
    </row>
    <row r="44" spans="2:28">
      <c r="B44" s="550"/>
      <c r="C44" s="551"/>
      <c r="D44" s="551"/>
      <c r="E44" s="551"/>
      <c r="F44" s="551"/>
      <c r="G44" s="551"/>
      <c r="H44" s="552"/>
      <c r="I44" s="6">
        <f t="shared" si="5"/>
        <v>1.3800000000000003</v>
      </c>
      <c r="J44" s="8" t="s">
        <v>142</v>
      </c>
      <c r="K44" s="35" t="e">
        <f>SUMIFS('[4]BESS 10B'!E:E,'[4]BESS 10B'!B:B,J44)</f>
        <v>#VALUE!</v>
      </c>
      <c r="L44" s="36" t="e">
        <f>SUMIFS('[4]BESS 10B'!F:F,'[4]BESS 10B'!B:B,J44)</f>
        <v>#VALUE!</v>
      </c>
      <c r="M44" s="139" t="e">
        <f t="shared" si="7"/>
        <v>#VALUE!</v>
      </c>
      <c r="N44" s="3" t="s">
        <v>559</v>
      </c>
      <c r="O44" s="424">
        <f t="shared" si="1"/>
        <v>46237</v>
      </c>
      <c r="P44" s="5" t="s">
        <v>164</v>
      </c>
      <c r="Q44" s="240">
        <v>6</v>
      </c>
      <c r="R44" s="241">
        <v>4</v>
      </c>
      <c r="S44" s="242" t="e">
        <f t="shared" si="8"/>
        <v>#VALUE!</v>
      </c>
      <c r="T44" s="401"/>
      <c r="AB44" s="60"/>
    </row>
    <row r="45" spans="2:28" ht="25.5">
      <c r="B45" s="550"/>
      <c r="C45" s="551"/>
      <c r="D45" s="551"/>
      <c r="E45" s="551"/>
      <c r="F45" s="551"/>
      <c r="G45" s="551"/>
      <c r="H45" s="552"/>
      <c r="I45" s="6">
        <f t="shared" si="5"/>
        <v>1.3900000000000003</v>
      </c>
      <c r="J45" s="8" t="s">
        <v>143</v>
      </c>
      <c r="K45" s="35" t="e">
        <f>SUMIFS('[4]BESS 10B'!E:E,'[4]BESS 10B'!B:B,J45)</f>
        <v>#VALUE!</v>
      </c>
      <c r="L45" s="36" t="e">
        <f>SUMIFS('[4]BESS 10B'!F:F,'[4]BESS 10B'!B:B,J45)</f>
        <v>#VALUE!</v>
      </c>
      <c r="M45" s="139" t="e">
        <f t="shared" si="7"/>
        <v>#VALUE!</v>
      </c>
      <c r="N45" s="20" t="s">
        <v>571</v>
      </c>
      <c r="O45" s="424">
        <f t="shared" si="1"/>
        <v>46236</v>
      </c>
      <c r="P45" s="5" t="s">
        <v>164</v>
      </c>
      <c r="Q45" s="240">
        <v>6</v>
      </c>
      <c r="R45" s="241">
        <v>5</v>
      </c>
      <c r="S45" s="242" t="e">
        <f t="shared" si="8"/>
        <v>#VALUE!</v>
      </c>
      <c r="T45" s="401"/>
      <c r="AB45" s="60"/>
    </row>
    <row r="46" spans="2:28" ht="25.5">
      <c r="B46" s="550"/>
      <c r="C46" s="551"/>
      <c r="D46" s="551"/>
      <c r="E46" s="551"/>
      <c r="F46" s="551"/>
      <c r="G46" s="551"/>
      <c r="H46" s="552"/>
      <c r="I46" s="6">
        <f t="shared" si="5"/>
        <v>1.4000000000000004</v>
      </c>
      <c r="J46" s="8" t="s">
        <v>144</v>
      </c>
      <c r="K46" s="35" t="e">
        <f>SUMIFS('[4]BESS 10B'!E:E,'[4]BESS 10B'!B:B,J46)</f>
        <v>#VALUE!</v>
      </c>
      <c r="L46" s="36" t="e">
        <f>SUMIFS('[4]BESS 10B'!F:F,'[4]BESS 10B'!B:B,J46)</f>
        <v>#VALUE!</v>
      </c>
      <c r="M46" s="139" t="e">
        <f t="shared" si="7"/>
        <v>#VALUE!</v>
      </c>
      <c r="N46" s="20" t="s">
        <v>749</v>
      </c>
      <c r="O46" s="424">
        <f t="shared" si="1"/>
        <v>46234</v>
      </c>
      <c r="P46" s="5" t="s">
        <v>164</v>
      </c>
      <c r="Q46" s="240">
        <v>1</v>
      </c>
      <c r="R46" s="241">
        <v>5</v>
      </c>
      <c r="S46" s="242" t="e">
        <f t="shared" si="8"/>
        <v>#VALUE!</v>
      </c>
      <c r="T46" s="401"/>
    </row>
    <row r="47" spans="2:28">
      <c r="B47" s="550"/>
      <c r="C47" s="551"/>
      <c r="D47" s="551"/>
      <c r="E47" s="551"/>
      <c r="F47" s="551"/>
      <c r="G47" s="551"/>
      <c r="H47" s="552"/>
      <c r="I47" s="59">
        <f t="shared" si="5"/>
        <v>1.4100000000000004</v>
      </c>
      <c r="J47" s="57" t="s">
        <v>145</v>
      </c>
      <c r="K47" s="2" t="e">
        <f>SUMIFS('[4]BESS 10B'!E:E,'[4]BESS 10B'!B:B,J47)</f>
        <v>#VALUE!</v>
      </c>
      <c r="L47" s="2" t="e">
        <f>SUMIFS('[4]BESS 10B'!F:F,'[4]BESS 10B'!B:B,J47)</f>
        <v>#VALUE!</v>
      </c>
      <c r="M47" s="2" t="e">
        <f t="shared" si="7"/>
        <v>#VALUE!</v>
      </c>
      <c r="N47" s="63" t="s">
        <v>122</v>
      </c>
      <c r="O47" s="424" t="str">
        <f t="shared" si="1"/>
        <v>-</v>
      </c>
      <c r="P47" s="58" t="s">
        <v>164</v>
      </c>
      <c r="Q47" s="240">
        <v>3</v>
      </c>
      <c r="R47" s="241">
        <v>5</v>
      </c>
      <c r="S47" s="242" t="e">
        <f t="shared" si="8"/>
        <v>#VALUE!</v>
      </c>
      <c r="T47" s="401"/>
    </row>
    <row r="48" spans="2:28" ht="25.5">
      <c r="B48" s="550"/>
      <c r="C48" s="551"/>
      <c r="D48" s="551"/>
      <c r="E48" s="551"/>
      <c r="F48" s="551"/>
      <c r="G48" s="551"/>
      <c r="H48" s="552"/>
      <c r="I48" s="6">
        <f t="shared" si="5"/>
        <v>1.4200000000000004</v>
      </c>
      <c r="J48" s="8" t="s">
        <v>54</v>
      </c>
      <c r="K48" s="35" t="e">
        <f>SUMIFS('[4]BESS 10B'!E:E,'[4]BESS 10B'!B:B,J48)</f>
        <v>#VALUE!</v>
      </c>
      <c r="L48" s="36" t="e">
        <f>SUMIFS('[4]BESS 10B'!F:F,'[4]BESS 10B'!B:B,J48)</f>
        <v>#VALUE!</v>
      </c>
      <c r="M48" s="139" t="e">
        <f t="shared" si="7"/>
        <v>#VALUE!</v>
      </c>
      <c r="N48" s="20" t="s">
        <v>572</v>
      </c>
      <c r="O48" s="424">
        <f t="shared" si="1"/>
        <v>46236</v>
      </c>
      <c r="P48" s="5" t="s">
        <v>164</v>
      </c>
      <c r="Q48" s="240">
        <v>150</v>
      </c>
      <c r="R48" s="241">
        <v>6</v>
      </c>
      <c r="S48" s="242" t="e">
        <f t="shared" si="8"/>
        <v>#VALUE!</v>
      </c>
      <c r="T48" s="401"/>
      <c r="AB48" s="60"/>
    </row>
    <row r="49" spans="2:28" ht="26.25" thickBot="1">
      <c r="B49" s="593"/>
      <c r="C49" s="594"/>
      <c r="D49" s="594"/>
      <c r="E49" s="594"/>
      <c r="F49" s="594"/>
      <c r="G49" s="594"/>
      <c r="H49" s="595"/>
      <c r="I49" s="22">
        <f t="shared" si="5"/>
        <v>1.4300000000000004</v>
      </c>
      <c r="J49" s="23" t="s">
        <v>55</v>
      </c>
      <c r="K49" s="24" t="e">
        <f>SUMIFS('[4]BESS 10B'!E:E,'[4]BESS 10B'!B:B,J49)</f>
        <v>#VALUE!</v>
      </c>
      <c r="L49" s="25" t="e">
        <f>SUMIFS('[4]BESS 10B'!F:F,'[4]BESS 10B'!B:B,J49)</f>
        <v>#VALUE!</v>
      </c>
      <c r="M49" s="294" t="e">
        <f t="shared" si="4"/>
        <v>#VALUE!</v>
      </c>
      <c r="N49" s="406" t="s">
        <v>724</v>
      </c>
      <c r="O49" s="427">
        <f t="shared" si="1"/>
        <v>46234</v>
      </c>
      <c r="P49" s="28" t="s">
        <v>164</v>
      </c>
      <c r="Q49" s="249">
        <v>5</v>
      </c>
      <c r="R49" s="250">
        <v>6</v>
      </c>
      <c r="S49" s="251" t="e">
        <f t="shared" si="8"/>
        <v>#VALUE!</v>
      </c>
      <c r="T49" s="404"/>
      <c r="AB49" s="60"/>
    </row>
    <row r="50" spans="2:28" s="70" customFormat="1" ht="15">
      <c r="B50" s="472" t="s">
        <v>159</v>
      </c>
      <c r="C50" s="475">
        <v>2</v>
      </c>
      <c r="D50" s="512" t="s">
        <v>422</v>
      </c>
      <c r="E50" s="524" t="s">
        <v>165</v>
      </c>
      <c r="F50" s="478">
        <v>46245</v>
      </c>
      <c r="G50" s="478">
        <v>46250</v>
      </c>
      <c r="H50" s="478">
        <v>46253</v>
      </c>
      <c r="I50" s="254"/>
      <c r="J50" s="50"/>
      <c r="K50" s="50"/>
      <c r="L50" s="52" t="s">
        <v>121</v>
      </c>
      <c r="M50" s="50"/>
      <c r="N50" s="50"/>
      <c r="O50" s="424"/>
      <c r="P50" s="95"/>
      <c r="Q50" s="298"/>
      <c r="R50" s="299"/>
      <c r="S50" s="300"/>
      <c r="T50" s="375"/>
      <c r="U50" s="73"/>
    </row>
    <row r="51" spans="2:28">
      <c r="B51" s="473"/>
      <c r="C51" s="476"/>
      <c r="D51" s="516"/>
      <c r="E51" s="445"/>
      <c r="F51" s="456"/>
      <c r="G51" s="456"/>
      <c r="H51" s="456"/>
      <c r="I51" s="56">
        <f>C50+0.1</f>
        <v>2.1</v>
      </c>
      <c r="J51" s="57" t="s">
        <v>19</v>
      </c>
      <c r="K51" s="2" t="e">
        <f>SUMIFS('[4]BESS 10B'!I:I,'[4]BESS 10B'!B:B,J51)</f>
        <v>#VALUE!</v>
      </c>
      <c r="L51" s="89" t="e">
        <f>SUMIFS('[4]BESS 10B'!J:J,'[4]BESS 10B'!B:B,J51)</f>
        <v>#VALUE!</v>
      </c>
      <c r="M51" s="2" t="e">
        <f t="shared" ref="M51:M61" si="9">K51-L51</f>
        <v>#VALUE!</v>
      </c>
      <c r="N51" s="63" t="s">
        <v>122</v>
      </c>
      <c r="O51" s="424" t="str">
        <f t="shared" si="1"/>
        <v>-</v>
      </c>
      <c r="P51" s="58" t="s">
        <v>161</v>
      </c>
      <c r="Q51" s="240">
        <v>1</v>
      </c>
      <c r="R51" s="241">
        <v>2</v>
      </c>
      <c r="S51" s="242" t="e">
        <f t="shared" ref="S51:S60" si="10">(K51*R51)/Q51</f>
        <v>#VALUE!</v>
      </c>
      <c r="T51" s="375"/>
      <c r="V51" s="60"/>
      <c r="W51" s="60"/>
    </row>
    <row r="52" spans="2:28">
      <c r="B52" s="473"/>
      <c r="C52" s="476"/>
      <c r="D52" s="516"/>
      <c r="E52" s="445"/>
      <c r="F52" s="456"/>
      <c r="G52" s="456"/>
      <c r="H52" s="456"/>
      <c r="I52" s="56">
        <f>I51+0.1</f>
        <v>2.2000000000000002</v>
      </c>
      <c r="J52" s="57" t="s">
        <v>23</v>
      </c>
      <c r="K52" s="2" t="e">
        <f>SUMIFS('[4]BESS 10B'!I:I,'[4]BESS 10B'!B:B,J52)</f>
        <v>#VALUE!</v>
      </c>
      <c r="L52" s="2" t="e">
        <f>SUMIFS('[4]BESS 10B'!J:J,'[4]BESS 10B'!B:B,J52)</f>
        <v>#VALUE!</v>
      </c>
      <c r="M52" s="2" t="e">
        <f t="shared" si="9"/>
        <v>#VALUE!</v>
      </c>
      <c r="N52" s="63" t="s">
        <v>122</v>
      </c>
      <c r="O52" s="424" t="str">
        <f t="shared" si="1"/>
        <v>-</v>
      </c>
      <c r="P52" s="58" t="s">
        <v>20</v>
      </c>
      <c r="Q52" s="240">
        <v>1</v>
      </c>
      <c r="R52" s="241">
        <v>16</v>
      </c>
      <c r="S52" s="242" t="e">
        <f t="shared" si="10"/>
        <v>#VALUE!</v>
      </c>
      <c r="T52" s="375"/>
    </row>
    <row r="53" spans="2:28">
      <c r="B53" s="473"/>
      <c r="C53" s="476"/>
      <c r="D53" s="516"/>
      <c r="E53" s="445"/>
      <c r="F53" s="456"/>
      <c r="G53" s="456"/>
      <c r="H53" s="456"/>
      <c r="I53" s="56">
        <f t="shared" ref="I53:I59" si="11">I52+0.1</f>
        <v>2.3000000000000003</v>
      </c>
      <c r="J53" s="57" t="s">
        <v>26</v>
      </c>
      <c r="K53" s="2" t="e">
        <f>SUMIFS('[4]BESS 10B'!I:I,'[4]BESS 10B'!B:B,J53)</f>
        <v>#VALUE!</v>
      </c>
      <c r="L53" s="2" t="e">
        <f>SUMIFS('[4]BESS 10B'!J:J,'[4]BESS 10B'!B:B,J53)</f>
        <v>#VALUE!</v>
      </c>
      <c r="M53" s="2" t="e">
        <f t="shared" si="9"/>
        <v>#VALUE!</v>
      </c>
      <c r="N53" s="63" t="s">
        <v>122</v>
      </c>
      <c r="O53" s="424" t="str">
        <f t="shared" si="1"/>
        <v>-</v>
      </c>
      <c r="P53" s="58" t="s">
        <v>166</v>
      </c>
      <c r="Q53" s="240">
        <v>1</v>
      </c>
      <c r="R53" s="241">
        <v>39</v>
      </c>
      <c r="S53" s="242" t="e">
        <f t="shared" si="10"/>
        <v>#VALUE!</v>
      </c>
      <c r="T53" s="375"/>
      <c r="V53" s="60"/>
      <c r="W53" s="60"/>
      <c r="Y53" s="60"/>
    </row>
    <row r="54" spans="2:28">
      <c r="B54" s="473"/>
      <c r="C54" s="476"/>
      <c r="D54" s="516"/>
      <c r="E54" s="445"/>
      <c r="F54" s="456"/>
      <c r="G54" s="456"/>
      <c r="H54" s="456"/>
      <c r="I54" s="56">
        <f t="shared" si="11"/>
        <v>2.4000000000000004</v>
      </c>
      <c r="J54" s="57" t="s">
        <v>32</v>
      </c>
      <c r="K54" s="2" t="e">
        <f>SUMIFS('[4]BESS 10B'!I:I,'[4]BESS 10B'!B:B,J54)</f>
        <v>#VALUE!</v>
      </c>
      <c r="L54" s="2" t="e">
        <f>SUMIFS('[4]BESS 10B'!J:J,'[4]BESS 10B'!B:B,J54)</f>
        <v>#VALUE!</v>
      </c>
      <c r="M54" s="2" t="e">
        <f t="shared" si="9"/>
        <v>#VALUE!</v>
      </c>
      <c r="N54" s="63" t="s">
        <v>122</v>
      </c>
      <c r="O54" s="424" t="str">
        <f t="shared" si="1"/>
        <v>-</v>
      </c>
      <c r="P54" s="58" t="s">
        <v>20</v>
      </c>
      <c r="Q54" s="240">
        <v>1</v>
      </c>
      <c r="R54" s="241">
        <v>37</v>
      </c>
      <c r="S54" s="242" t="e">
        <f t="shared" si="10"/>
        <v>#VALUE!</v>
      </c>
      <c r="T54" s="375"/>
      <c r="Y54" s="60"/>
    </row>
    <row r="55" spans="2:28">
      <c r="B55" s="473"/>
      <c r="C55" s="476"/>
      <c r="D55" s="516"/>
      <c r="E55" s="445"/>
      <c r="F55" s="456"/>
      <c r="G55" s="456"/>
      <c r="H55" s="456"/>
      <c r="I55" s="56">
        <f t="shared" si="11"/>
        <v>2.5000000000000004</v>
      </c>
      <c r="J55" s="57" t="s">
        <v>35</v>
      </c>
      <c r="K55" s="2" t="e">
        <f>SUMIFS('[4]BESS 10B'!I:I,'[4]BESS 10B'!B:B,J55)</f>
        <v>#VALUE!</v>
      </c>
      <c r="L55" s="2" t="e">
        <f>SUMIFS('[4]BESS 10B'!J:J,'[4]BESS 10B'!B:B,J55)</f>
        <v>#VALUE!</v>
      </c>
      <c r="M55" s="2" t="e">
        <f t="shared" si="9"/>
        <v>#VALUE!</v>
      </c>
      <c r="N55" s="63" t="s">
        <v>122</v>
      </c>
      <c r="O55" s="424" t="str">
        <f t="shared" si="1"/>
        <v>-</v>
      </c>
      <c r="P55" s="58" t="s">
        <v>20</v>
      </c>
      <c r="Q55" s="240">
        <v>1</v>
      </c>
      <c r="R55" s="241">
        <v>34</v>
      </c>
      <c r="S55" s="242" t="e">
        <f t="shared" si="10"/>
        <v>#VALUE!</v>
      </c>
      <c r="T55" s="375"/>
      <c r="V55" s="60"/>
      <c r="W55" s="60"/>
    </row>
    <row r="56" spans="2:28">
      <c r="B56" s="473"/>
      <c r="C56" s="476"/>
      <c r="D56" s="516"/>
      <c r="E56" s="445"/>
      <c r="F56" s="456"/>
      <c r="G56" s="456"/>
      <c r="H56" s="456"/>
      <c r="I56" s="4">
        <f t="shared" si="11"/>
        <v>2.6000000000000005</v>
      </c>
      <c r="J56" s="8" t="s">
        <v>38</v>
      </c>
      <c r="K56" s="1" t="e">
        <f>SUMIFS('[4]BESS 10B'!I:I,'[4]BESS 10B'!B:B,J56)</f>
        <v>#VALUE!</v>
      </c>
      <c r="L56" s="2" t="e">
        <f>SUMIFS('[4]BESS 10B'!J:J,'[4]BESS 10B'!B:B,J56)</f>
        <v>#VALUE!</v>
      </c>
      <c r="M56" s="7" t="e">
        <f t="shared" si="9"/>
        <v>#VALUE!</v>
      </c>
      <c r="N56" s="432">
        <v>46233</v>
      </c>
      <c r="O56" s="424">
        <f t="shared" si="1"/>
        <v>46233</v>
      </c>
      <c r="P56" s="5" t="s">
        <v>20</v>
      </c>
      <c r="Q56" s="240">
        <v>1</v>
      </c>
      <c r="R56" s="241">
        <v>54</v>
      </c>
      <c r="S56" s="242" t="e">
        <f t="shared" si="10"/>
        <v>#VALUE!</v>
      </c>
      <c r="T56" s="375"/>
      <c r="V56" s="60"/>
      <c r="W56" s="60"/>
      <c r="Y56" s="60"/>
      <c r="AB56" t="s">
        <v>760</v>
      </c>
    </row>
    <row r="57" spans="2:28">
      <c r="B57" s="473"/>
      <c r="C57" s="476"/>
      <c r="D57" s="516"/>
      <c r="E57" s="445"/>
      <c r="F57" s="456"/>
      <c r="G57" s="456"/>
      <c r="H57" s="456"/>
      <c r="I57" s="56">
        <f t="shared" si="11"/>
        <v>2.7000000000000006</v>
      </c>
      <c r="J57" s="57" t="s">
        <v>44</v>
      </c>
      <c r="K57" s="2" t="e">
        <f>SUMIFS('[4]BESS 10B'!I:I,'[4]BESS 10B'!B:B,J57)</f>
        <v>#VALUE!</v>
      </c>
      <c r="L57" s="2" t="e">
        <f>SUMIFS('[4]BESS 10B'!J:J,'[4]BESS 10B'!B:B,J57)</f>
        <v>#VALUE!</v>
      </c>
      <c r="M57" s="2" t="e">
        <f t="shared" si="9"/>
        <v>#VALUE!</v>
      </c>
      <c r="N57" s="63" t="s">
        <v>122</v>
      </c>
      <c r="O57" s="424" t="str">
        <f t="shared" si="1"/>
        <v>-</v>
      </c>
      <c r="P57" s="58" t="s">
        <v>45</v>
      </c>
      <c r="Q57" s="240">
        <v>3</v>
      </c>
      <c r="R57" s="241">
        <v>5</v>
      </c>
      <c r="S57" s="242" t="e">
        <f t="shared" si="10"/>
        <v>#VALUE!</v>
      </c>
      <c r="T57" s="375"/>
    </row>
    <row r="58" spans="2:28">
      <c r="B58" s="473"/>
      <c r="C58" s="476"/>
      <c r="D58" s="516"/>
      <c r="E58" s="445"/>
      <c r="F58" s="456"/>
      <c r="G58" s="456"/>
      <c r="H58" s="456"/>
      <c r="I58" s="56">
        <f t="shared" si="11"/>
        <v>2.8000000000000007</v>
      </c>
      <c r="J58" s="57" t="s">
        <v>40</v>
      </c>
      <c r="K58" s="2" t="e">
        <f>SUMIFS('[4]BESS 10B'!I:I,'[4]BESS 10B'!B:B,J58)</f>
        <v>#VALUE!</v>
      </c>
      <c r="L58" s="2" t="e">
        <f>SUMIFS('[4]BESS 10B'!J:J,'[4]BESS 10B'!B:B,J58)</f>
        <v>#VALUE!</v>
      </c>
      <c r="M58" s="2" t="e">
        <f t="shared" si="9"/>
        <v>#VALUE!</v>
      </c>
      <c r="N58" s="63" t="s">
        <v>122</v>
      </c>
      <c r="O58" s="424" t="str">
        <f t="shared" si="1"/>
        <v>-</v>
      </c>
      <c r="P58" s="58" t="s">
        <v>20</v>
      </c>
      <c r="Q58" s="240">
        <v>1</v>
      </c>
      <c r="R58" s="241">
        <v>5</v>
      </c>
      <c r="S58" s="242" t="e">
        <f t="shared" si="10"/>
        <v>#VALUE!</v>
      </c>
      <c r="T58" s="375"/>
      <c r="Y58" s="60"/>
    </row>
    <row r="59" spans="2:28">
      <c r="B59" s="473"/>
      <c r="C59" s="476"/>
      <c r="D59" s="516"/>
      <c r="E59" s="445"/>
      <c r="F59" s="456"/>
      <c r="G59" s="456"/>
      <c r="H59" s="456"/>
      <c r="I59" s="56">
        <f t="shared" si="11"/>
        <v>2.9000000000000008</v>
      </c>
      <c r="J59" s="57" t="s">
        <v>30</v>
      </c>
      <c r="K59" s="2" t="e">
        <f>SUMIFS('[4]BESS 10B'!I:I,'[4]BESS 10B'!B:B,J59)</f>
        <v>#VALUE!</v>
      </c>
      <c r="L59" s="2" t="e">
        <f>SUMIFS('[4]BESS 10B'!J:J,'[4]BESS 10B'!B:B,J59)</f>
        <v>#VALUE!</v>
      </c>
      <c r="M59" s="2" t="e">
        <f t="shared" si="9"/>
        <v>#VALUE!</v>
      </c>
      <c r="N59" s="63" t="s">
        <v>122</v>
      </c>
      <c r="O59" s="424" t="str">
        <f t="shared" si="1"/>
        <v>-</v>
      </c>
      <c r="P59" s="58" t="s">
        <v>162</v>
      </c>
      <c r="Q59" s="240">
        <v>1</v>
      </c>
      <c r="R59" s="241">
        <v>27</v>
      </c>
      <c r="S59" s="242" t="e">
        <f t="shared" si="10"/>
        <v>#VALUE!</v>
      </c>
      <c r="T59" s="375"/>
      <c r="V59" s="60"/>
      <c r="W59" s="60"/>
    </row>
    <row r="60" spans="2:28" ht="25.5">
      <c r="B60" s="473"/>
      <c r="C60" s="476"/>
      <c r="D60" s="516"/>
      <c r="E60" s="445"/>
      <c r="F60" s="456"/>
      <c r="G60" s="456"/>
      <c r="H60" s="456"/>
      <c r="I60" s="6">
        <f>C50+0.1</f>
        <v>2.1</v>
      </c>
      <c r="J60" s="8" t="s">
        <v>34</v>
      </c>
      <c r="K60" s="1" t="e">
        <f>SUMIFS('[4]BESS 10B'!I:I,'[4]BESS 10B'!B:B,J60)</f>
        <v>#VALUE!</v>
      </c>
      <c r="L60" s="2" t="e">
        <f>SUMIFS('[4]BESS 10B'!J:J,'[4]BESS 10B'!B:B,J60)</f>
        <v>#VALUE!</v>
      </c>
      <c r="M60" s="7" t="e">
        <f t="shared" si="9"/>
        <v>#VALUE!</v>
      </c>
      <c r="N60" s="438" t="s">
        <v>538</v>
      </c>
      <c r="O60" s="424">
        <f t="shared" si="1"/>
        <v>46233</v>
      </c>
      <c r="P60" s="5" t="s">
        <v>31</v>
      </c>
      <c r="Q60" s="240">
        <v>1</v>
      </c>
      <c r="R60" s="241">
        <v>25</v>
      </c>
      <c r="S60" s="242" t="e">
        <f t="shared" si="10"/>
        <v>#VALUE!</v>
      </c>
      <c r="T60" s="375"/>
    </row>
    <row r="61" spans="2:28">
      <c r="B61" s="473"/>
      <c r="C61" s="476"/>
      <c r="D61" s="516"/>
      <c r="E61" s="445"/>
      <c r="F61" s="456"/>
      <c r="G61" s="456"/>
      <c r="H61" s="456"/>
      <c r="I61" s="59">
        <f>I60+0.01</f>
        <v>2.11</v>
      </c>
      <c r="J61" s="57" t="s">
        <v>37</v>
      </c>
      <c r="K61" s="2" t="e">
        <f>SUMIFS('[4]BESS 10B'!I:I,'[4]BESS 10B'!B:B,J61)</f>
        <v>#VALUE!</v>
      </c>
      <c r="L61" s="2" t="e">
        <f>SUMIFS('[4]BESS 10B'!J:J,'[4]BESS 10B'!B:B,J61)</f>
        <v>#VALUE!</v>
      </c>
      <c r="M61" s="2" t="e">
        <f t="shared" si="9"/>
        <v>#VALUE!</v>
      </c>
      <c r="N61" s="63" t="s">
        <v>122</v>
      </c>
      <c r="O61" s="429" t="str">
        <f t="shared" si="1"/>
        <v>-</v>
      </c>
      <c r="P61" s="58" t="s">
        <v>163</v>
      </c>
      <c r="Q61" s="240" t="s">
        <v>89</v>
      </c>
      <c r="R61" s="241" t="s">
        <v>89</v>
      </c>
      <c r="S61" s="242" t="s">
        <v>89</v>
      </c>
      <c r="T61" s="375"/>
    </row>
    <row r="62" spans="2:28">
      <c r="B62" s="473"/>
      <c r="C62" s="476"/>
      <c r="D62" s="516"/>
      <c r="E62" s="445"/>
      <c r="F62" s="456"/>
      <c r="G62" s="456"/>
      <c r="H62" s="456"/>
      <c r="I62" s="44"/>
      <c r="J62" s="46"/>
      <c r="K62" s="46"/>
      <c r="L62" s="47" t="s">
        <v>124</v>
      </c>
      <c r="M62" s="46"/>
      <c r="N62" s="46"/>
      <c r="O62" s="424"/>
      <c r="P62" s="95"/>
      <c r="Q62" s="240"/>
      <c r="R62" s="241"/>
      <c r="S62" s="242"/>
      <c r="T62" s="375"/>
    </row>
    <row r="63" spans="2:28">
      <c r="B63" s="473"/>
      <c r="C63" s="476"/>
      <c r="D63" s="516"/>
      <c r="E63" s="445"/>
      <c r="F63" s="456"/>
      <c r="G63" s="456"/>
      <c r="H63" s="456"/>
      <c r="I63" s="59">
        <f>I61+0.01</f>
        <v>2.1199999999999997</v>
      </c>
      <c r="J63" s="57" t="s">
        <v>24</v>
      </c>
      <c r="K63" s="2" t="e">
        <f>SUMIFS('[4]BESS 10B'!I:I,'[4]BESS 10B'!B:B,J63)</f>
        <v>#VALUE!</v>
      </c>
      <c r="L63" s="2" t="e">
        <f>SUMIFS('[4]BESS 10B'!J:J,'[4]BESS 10B'!B:B,J63)</f>
        <v>#VALUE!</v>
      </c>
      <c r="M63" s="2" t="e">
        <f t="shared" ref="M63:M94" si="12">K63-L63</f>
        <v>#VALUE!</v>
      </c>
      <c r="N63" s="63" t="s">
        <v>122</v>
      </c>
      <c r="O63" s="424" t="str">
        <f t="shared" si="1"/>
        <v>-</v>
      </c>
      <c r="P63" s="58" t="s">
        <v>164</v>
      </c>
      <c r="Q63" s="240">
        <v>2</v>
      </c>
      <c r="R63" s="241">
        <v>4</v>
      </c>
      <c r="S63" s="242" t="e">
        <f t="shared" ref="S63:S65" si="13">(K63*R63)/Q63</f>
        <v>#VALUE!</v>
      </c>
      <c r="T63" s="375"/>
    </row>
    <row r="64" spans="2:28" ht="25.5">
      <c r="B64" s="473"/>
      <c r="C64" s="476"/>
      <c r="D64" s="516"/>
      <c r="E64" s="445"/>
      <c r="F64" s="456"/>
      <c r="G64" s="456"/>
      <c r="H64" s="456"/>
      <c r="I64" s="6">
        <f>I63+0.01</f>
        <v>2.1299999999999994</v>
      </c>
      <c r="J64" s="138" t="s">
        <v>27</v>
      </c>
      <c r="K64" s="35" t="e">
        <f>SUMIFS('[4]BESS 10B'!I:I,'[4]BESS 10B'!B:B,J64)</f>
        <v>#VALUE!</v>
      </c>
      <c r="L64" s="36" t="e">
        <f>SUMIFS('[4]BESS 10B'!J:J,'[4]BESS 10B'!B:B,J64)</f>
        <v>#VALUE!</v>
      </c>
      <c r="M64" s="139" t="e">
        <f t="shared" si="12"/>
        <v>#VALUE!</v>
      </c>
      <c r="N64" s="432" t="s">
        <v>365</v>
      </c>
      <c r="O64" s="424">
        <f t="shared" si="1"/>
        <v>46228</v>
      </c>
      <c r="P64" s="140" t="s">
        <v>164</v>
      </c>
      <c r="Q64" s="240">
        <v>10</v>
      </c>
      <c r="R64" s="241">
        <v>4</v>
      </c>
      <c r="S64" s="242" t="e">
        <f t="shared" si="13"/>
        <v>#VALUE!</v>
      </c>
      <c r="T64" s="375" t="s">
        <v>170</v>
      </c>
    </row>
    <row r="65" spans="2:25" ht="27">
      <c r="B65" s="473"/>
      <c r="C65" s="476"/>
      <c r="D65" s="516"/>
      <c r="E65" s="445"/>
      <c r="F65" s="456"/>
      <c r="G65" s="456"/>
      <c r="H65" s="456"/>
      <c r="I65" s="6">
        <f>I64+0.01</f>
        <v>2.1399999999999992</v>
      </c>
      <c r="J65" s="138" t="s">
        <v>28</v>
      </c>
      <c r="K65" s="35" t="e">
        <f>SUMIFS('[4]BESS 10B'!I:I,'[4]BESS 10B'!B:B,J65)</f>
        <v>#VALUE!</v>
      </c>
      <c r="L65" s="36" t="e">
        <f>SUMIFS('[4]BESS 10B'!J:J,'[4]BESS 10B'!B:B,J65)</f>
        <v>#VALUE!</v>
      </c>
      <c r="M65" s="139" t="e">
        <f t="shared" si="12"/>
        <v>#VALUE!</v>
      </c>
      <c r="N65" s="436" t="s">
        <v>573</v>
      </c>
      <c r="O65" s="424">
        <f t="shared" si="1"/>
        <v>46228</v>
      </c>
      <c r="P65" s="140" t="s">
        <v>164</v>
      </c>
      <c r="Q65" s="240">
        <v>5</v>
      </c>
      <c r="R65" s="241">
        <v>4</v>
      </c>
      <c r="S65" s="242" t="e">
        <f t="shared" si="13"/>
        <v>#VALUE!</v>
      </c>
      <c r="T65" s="375" t="s">
        <v>560</v>
      </c>
      <c r="Y65" s="60">
        <v>46220</v>
      </c>
    </row>
    <row r="66" spans="2:25" ht="25.5">
      <c r="B66" s="473"/>
      <c r="C66" s="476"/>
      <c r="D66" s="516"/>
      <c r="E66" s="445"/>
      <c r="F66" s="456"/>
      <c r="G66" s="456"/>
      <c r="H66" s="456"/>
      <c r="I66" s="6">
        <f t="shared" ref="I66:I94" si="14">I65+0.01</f>
        <v>2.149999999999999</v>
      </c>
      <c r="J66" s="138" t="s">
        <v>29</v>
      </c>
      <c r="K66" s="35" t="e">
        <f>SUMIFS('[4]BESS 10B'!I:I,'[4]BESS 10B'!B:B,J66)</f>
        <v>#VALUE!</v>
      </c>
      <c r="L66" s="36" t="e">
        <f>SUMIFS('[4]BESS 10B'!J:J,'[4]BESS 10B'!B:B,J66)</f>
        <v>#VALUE!</v>
      </c>
      <c r="M66" s="139" t="e">
        <f t="shared" si="12"/>
        <v>#VALUE!</v>
      </c>
      <c r="N66" s="436" t="s">
        <v>364</v>
      </c>
      <c r="O66" s="424">
        <f t="shared" si="1"/>
        <v>46228</v>
      </c>
      <c r="P66" s="140" t="s">
        <v>164</v>
      </c>
      <c r="Q66" s="240">
        <v>20</v>
      </c>
      <c r="R66" s="591">
        <v>4</v>
      </c>
      <c r="S66" s="621">
        <v>4</v>
      </c>
      <c r="T66" s="375"/>
      <c r="Y66" s="60">
        <v>46220</v>
      </c>
    </row>
    <row r="67" spans="2:25">
      <c r="B67" s="473"/>
      <c r="C67" s="476"/>
      <c r="D67" s="516"/>
      <c r="E67" s="445"/>
      <c r="F67" s="456"/>
      <c r="G67" s="456"/>
      <c r="H67" s="456"/>
      <c r="I67" s="6">
        <f t="shared" si="14"/>
        <v>2.1599999999999988</v>
      </c>
      <c r="J67" s="138" t="s">
        <v>33</v>
      </c>
      <c r="K67" s="35" t="e">
        <f>SUMIFS('[4]BESS 10B'!I:I,'[4]BESS 10B'!B:B,J67)</f>
        <v>#VALUE!</v>
      </c>
      <c r="L67" s="36" t="e">
        <f>SUMIFS('[4]BESS 10B'!J:J,'[4]BESS 10B'!B:B,J67)</f>
        <v>#VALUE!</v>
      </c>
      <c r="M67" s="139" t="e">
        <f t="shared" si="12"/>
        <v>#VALUE!</v>
      </c>
      <c r="N67" s="436" t="s">
        <v>363</v>
      </c>
      <c r="O67" s="424">
        <f t="shared" si="1"/>
        <v>46228</v>
      </c>
      <c r="P67" s="140" t="s">
        <v>164</v>
      </c>
      <c r="Q67" s="240">
        <v>10</v>
      </c>
      <c r="R67" s="591"/>
      <c r="S67" s="621"/>
      <c r="T67" s="375" t="s">
        <v>170</v>
      </c>
    </row>
    <row r="68" spans="2:25" ht="25.5">
      <c r="B68" s="473"/>
      <c r="C68" s="476"/>
      <c r="D68" s="516"/>
      <c r="E68" s="445"/>
      <c r="F68" s="456"/>
      <c r="G68" s="456"/>
      <c r="H68" s="456"/>
      <c r="I68" s="6">
        <f t="shared" si="14"/>
        <v>2.1699999999999986</v>
      </c>
      <c r="J68" s="138" t="s">
        <v>36</v>
      </c>
      <c r="K68" s="35" t="e">
        <f>SUMIFS('[4]BESS 10B'!I:I,'[4]BESS 10B'!B:B,J68)</f>
        <v>#VALUE!</v>
      </c>
      <c r="L68" s="36" t="e">
        <f>SUMIFS('[4]BESS 10B'!J:J,'[4]BESS 10B'!B:B,J68)</f>
        <v>#VALUE!</v>
      </c>
      <c r="M68" s="139" t="e">
        <f t="shared" si="12"/>
        <v>#VALUE!</v>
      </c>
      <c r="N68" s="432" t="s">
        <v>574</v>
      </c>
      <c r="O68" s="424">
        <f t="shared" si="1"/>
        <v>46236</v>
      </c>
      <c r="P68" s="140" t="s">
        <v>164</v>
      </c>
      <c r="Q68" s="240">
        <v>10</v>
      </c>
      <c r="R68" s="591"/>
      <c r="S68" s="621"/>
      <c r="T68" s="375"/>
    </row>
    <row r="69" spans="2:25">
      <c r="B69" s="473"/>
      <c r="C69" s="476"/>
      <c r="D69" s="516"/>
      <c r="E69" s="445"/>
      <c r="F69" s="456"/>
      <c r="G69" s="456"/>
      <c r="H69" s="456"/>
      <c r="I69" s="6">
        <f t="shared" si="14"/>
        <v>2.1799999999999984</v>
      </c>
      <c r="J69" s="138" t="s">
        <v>39</v>
      </c>
      <c r="K69" s="35" t="e">
        <f>SUMIFS('[4]BESS 10B'!I:I,'[4]BESS 10B'!B:B,J69)</f>
        <v>#VALUE!</v>
      </c>
      <c r="L69" s="36" t="e">
        <f>SUMIFS('[4]BESS 10B'!J:J,'[4]BESS 10B'!B:B,J69)</f>
        <v>#VALUE!</v>
      </c>
      <c r="M69" s="139" t="e">
        <f t="shared" si="12"/>
        <v>#VALUE!</v>
      </c>
      <c r="N69" s="436" t="s">
        <v>362</v>
      </c>
      <c r="O69" s="424">
        <f t="shared" ref="O69:O132" si="15">IF(LEN(N69)=5,N69,(IF(N69="Completed","-",DATEVALUE(RIGHT(N69,6)))))</f>
        <v>46233</v>
      </c>
      <c r="P69" s="140" t="s">
        <v>164</v>
      </c>
      <c r="Q69" s="240">
        <v>10</v>
      </c>
      <c r="R69" s="591"/>
      <c r="S69" s="621"/>
      <c r="T69" s="375"/>
      <c r="V69" s="60"/>
      <c r="W69" s="60"/>
    </row>
    <row r="70" spans="2:25" ht="25.5">
      <c r="B70" s="473"/>
      <c r="C70" s="476"/>
      <c r="D70" s="516"/>
      <c r="E70" s="445"/>
      <c r="F70" s="456"/>
      <c r="G70" s="456"/>
      <c r="H70" s="456"/>
      <c r="I70" s="6">
        <f t="shared" si="14"/>
        <v>2.1899999999999982</v>
      </c>
      <c r="J70" s="8" t="s">
        <v>41</v>
      </c>
      <c r="K70" s="1" t="e">
        <f>SUMIFS('[4]BESS 10B'!I:I,'[4]BESS 10B'!B:B,J70)</f>
        <v>#VALUE!</v>
      </c>
      <c r="L70" s="2" t="e">
        <f>SUMIFS('[4]BESS 10B'!J:J,'[4]BESS 10B'!B:B,J70)</f>
        <v>#VALUE!</v>
      </c>
      <c r="M70" s="7" t="e">
        <f t="shared" si="12"/>
        <v>#VALUE!</v>
      </c>
      <c r="N70" s="432" t="s">
        <v>575</v>
      </c>
      <c r="O70" s="424">
        <f t="shared" si="15"/>
        <v>46234</v>
      </c>
      <c r="P70" s="5" t="s">
        <v>181</v>
      </c>
      <c r="Q70" s="240">
        <v>20</v>
      </c>
      <c r="R70" s="591"/>
      <c r="S70" s="621"/>
      <c r="T70" s="375"/>
    </row>
    <row r="71" spans="2:25" ht="25.5">
      <c r="B71" s="473"/>
      <c r="C71" s="476"/>
      <c r="D71" s="516"/>
      <c r="E71" s="445"/>
      <c r="F71" s="456"/>
      <c r="G71" s="456"/>
      <c r="H71" s="456"/>
      <c r="I71" s="6">
        <f t="shared" si="14"/>
        <v>2.199999999999998</v>
      </c>
      <c r="J71" s="8" t="s">
        <v>43</v>
      </c>
      <c r="K71" s="1" t="e">
        <f>SUMIFS('[4]BESS 10B'!I:I,'[4]BESS 10B'!B:B,J71)</f>
        <v>#VALUE!</v>
      </c>
      <c r="L71" s="2" t="e">
        <f>SUMIFS('[4]BESS 10B'!J:J,'[4]BESS 10B'!B:B,J71)</f>
        <v>#VALUE!</v>
      </c>
      <c r="M71" s="7" t="e">
        <f t="shared" si="12"/>
        <v>#VALUE!</v>
      </c>
      <c r="N71" s="432" t="s">
        <v>576</v>
      </c>
      <c r="O71" s="424">
        <f t="shared" si="15"/>
        <v>46237</v>
      </c>
      <c r="P71" s="5" t="s">
        <v>181</v>
      </c>
      <c r="Q71" s="240">
        <v>0.66666666666666663</v>
      </c>
      <c r="R71" s="241">
        <v>0</v>
      </c>
      <c r="S71" s="242" t="e">
        <f>(K71*R71)/Q71</f>
        <v>#VALUE!</v>
      </c>
      <c r="T71" s="375"/>
    </row>
    <row r="72" spans="2:25">
      <c r="B72" s="473"/>
      <c r="C72" s="476"/>
      <c r="D72" s="516"/>
      <c r="E72" s="445"/>
      <c r="F72" s="456"/>
      <c r="G72" s="456"/>
      <c r="H72" s="456"/>
      <c r="I72" s="6">
        <f t="shared" si="14"/>
        <v>2.2099999999999977</v>
      </c>
      <c r="J72" s="8" t="s">
        <v>21</v>
      </c>
      <c r="K72" s="1" t="e">
        <f>SUMIFS('[4]BESS 10B'!I:I,'[4]BESS 10B'!B:B,J72)</f>
        <v>#VALUE!</v>
      </c>
      <c r="L72" s="2" t="e">
        <f>SUMIFS('[4]BESS 10B'!J:J,'[4]BESS 10B'!B:B,J72)</f>
        <v>#VALUE!</v>
      </c>
      <c r="M72" s="7" t="e">
        <f t="shared" si="12"/>
        <v>#VALUE!</v>
      </c>
      <c r="N72" s="432" t="s">
        <v>366</v>
      </c>
      <c r="O72" s="424">
        <f t="shared" si="15"/>
        <v>46233</v>
      </c>
      <c r="P72" s="5" t="s">
        <v>164</v>
      </c>
      <c r="Q72" s="240">
        <v>10</v>
      </c>
      <c r="R72" s="241">
        <v>4</v>
      </c>
      <c r="S72" s="242" t="e">
        <f>(K72*R72)/Q72</f>
        <v>#VALUE!</v>
      </c>
      <c r="T72" s="375"/>
    </row>
    <row r="73" spans="2:25" ht="25.5">
      <c r="B73" s="473"/>
      <c r="C73" s="476"/>
      <c r="D73" s="516"/>
      <c r="E73" s="445"/>
      <c r="F73" s="456"/>
      <c r="G73" s="456"/>
      <c r="H73" s="456"/>
      <c r="I73" s="6">
        <f t="shared" si="14"/>
        <v>2.2199999999999975</v>
      </c>
      <c r="J73" s="138" t="s">
        <v>47</v>
      </c>
      <c r="K73" s="35" t="e">
        <f>SUMIFS('[4]BESS 10B'!I:I,'[4]BESS 10B'!B:B,J73)</f>
        <v>#VALUE!</v>
      </c>
      <c r="L73" s="36" t="e">
        <f>SUMIFS('[4]BESS 10B'!J:J,'[4]BESS 10B'!B:B,J73)</f>
        <v>#VALUE!</v>
      </c>
      <c r="M73" s="139" t="e">
        <f t="shared" si="12"/>
        <v>#VALUE!</v>
      </c>
      <c r="N73" s="432" t="s">
        <v>380</v>
      </c>
      <c r="O73" s="424">
        <f t="shared" si="15"/>
        <v>46233</v>
      </c>
      <c r="P73" s="140" t="s">
        <v>164</v>
      </c>
      <c r="Q73" s="240">
        <v>1500</v>
      </c>
      <c r="R73" s="241">
        <v>48</v>
      </c>
      <c r="S73" s="242" t="e">
        <f t="shared" ref="S73:S83" si="16">(K73*R73)/Q73</f>
        <v>#VALUE!</v>
      </c>
      <c r="T73" s="375"/>
      <c r="V73" s="60"/>
      <c r="W73" s="60"/>
      <c r="Y73" s="60"/>
    </row>
    <row r="74" spans="2:25">
      <c r="B74" s="473"/>
      <c r="C74" s="476"/>
      <c r="D74" s="516"/>
      <c r="E74" s="445"/>
      <c r="F74" s="456"/>
      <c r="G74" s="456"/>
      <c r="H74" s="456"/>
      <c r="I74" s="6">
        <f t="shared" si="14"/>
        <v>2.2299999999999973</v>
      </c>
      <c r="J74" s="138" t="s">
        <v>48</v>
      </c>
      <c r="K74" s="35" t="e">
        <f>SUMIFS('[4]BESS 10B'!I:I,'[4]BESS 10B'!B:B,J74)</f>
        <v>#VALUE!</v>
      </c>
      <c r="L74" s="36" t="e">
        <f>SUMIFS('[4]BESS 10B'!J:J,'[4]BESS 10B'!B:B,J74)</f>
        <v>#VALUE!</v>
      </c>
      <c r="M74" s="139" t="e">
        <f t="shared" si="12"/>
        <v>#VALUE!</v>
      </c>
      <c r="N74" s="436" t="s">
        <v>540</v>
      </c>
      <c r="O74" s="424">
        <f t="shared" si="15"/>
        <v>46234</v>
      </c>
      <c r="P74" s="140" t="s">
        <v>164</v>
      </c>
      <c r="Q74" s="240">
        <v>8</v>
      </c>
      <c r="R74" s="241">
        <v>6</v>
      </c>
      <c r="S74" s="242" t="e">
        <f t="shared" si="16"/>
        <v>#VALUE!</v>
      </c>
      <c r="T74" s="375"/>
      <c r="Y74" s="60"/>
    </row>
    <row r="75" spans="2:25">
      <c r="B75" s="473"/>
      <c r="C75" s="476"/>
      <c r="D75" s="516"/>
      <c r="E75" s="445"/>
      <c r="F75" s="456"/>
      <c r="G75" s="456"/>
      <c r="H75" s="456"/>
      <c r="I75" s="59">
        <f t="shared" si="14"/>
        <v>2.2399999999999971</v>
      </c>
      <c r="J75" s="57" t="s">
        <v>126</v>
      </c>
      <c r="K75" s="2" t="e">
        <f>SUMIFS('[4]BESS 10B'!I:I,'[4]BESS 10B'!B:B,J75)</f>
        <v>#VALUE!</v>
      </c>
      <c r="L75" s="2" t="e">
        <f>SUMIFS('[4]BESS 10B'!J:J,'[4]BESS 10B'!B:B,J75)</f>
        <v>#VALUE!</v>
      </c>
      <c r="M75" s="2" t="e">
        <f t="shared" si="12"/>
        <v>#VALUE!</v>
      </c>
      <c r="N75" s="362" t="s">
        <v>122</v>
      </c>
      <c r="O75" s="424" t="str">
        <f t="shared" si="15"/>
        <v>-</v>
      </c>
      <c r="P75" s="58" t="s">
        <v>164</v>
      </c>
      <c r="Q75" s="240">
        <v>600</v>
      </c>
      <c r="R75" s="241">
        <v>10</v>
      </c>
      <c r="S75" s="242" t="e">
        <f t="shared" si="16"/>
        <v>#VALUE!</v>
      </c>
      <c r="T75" s="375"/>
      <c r="V75" s="60"/>
      <c r="W75" s="60"/>
      <c r="Y75" s="60"/>
    </row>
    <row r="76" spans="2:25">
      <c r="B76" s="473"/>
      <c r="C76" s="476"/>
      <c r="D76" s="516"/>
      <c r="E76" s="445"/>
      <c r="F76" s="456"/>
      <c r="G76" s="456"/>
      <c r="H76" s="456"/>
      <c r="I76" s="59">
        <f t="shared" si="14"/>
        <v>2.2499999999999969</v>
      </c>
      <c r="J76" s="57" t="s">
        <v>127</v>
      </c>
      <c r="K76" s="2" t="e">
        <f>SUMIFS('[4]BESS 10B'!I:I,'[4]BESS 10B'!B:B,J76)</f>
        <v>#VALUE!</v>
      </c>
      <c r="L76" s="2" t="e">
        <f>SUMIFS('[4]BESS 10B'!J:J,'[4]BESS 10B'!B:B,J76)</f>
        <v>#VALUE!</v>
      </c>
      <c r="M76" s="2" t="e">
        <f t="shared" si="12"/>
        <v>#VALUE!</v>
      </c>
      <c r="N76" s="362" t="s">
        <v>122</v>
      </c>
      <c r="O76" s="429" t="str">
        <f t="shared" si="15"/>
        <v>-</v>
      </c>
      <c r="P76" s="58" t="s">
        <v>164</v>
      </c>
      <c r="Q76" s="240">
        <v>600</v>
      </c>
      <c r="R76" s="241">
        <v>10</v>
      </c>
      <c r="S76" s="242" t="e">
        <f t="shared" si="16"/>
        <v>#VALUE!</v>
      </c>
      <c r="T76" s="375"/>
      <c r="V76" s="60"/>
      <c r="W76" s="60"/>
      <c r="Y76" s="60"/>
    </row>
    <row r="77" spans="2:25">
      <c r="B77" s="473"/>
      <c r="C77" s="476"/>
      <c r="D77" s="516"/>
      <c r="E77" s="445"/>
      <c r="F77" s="456"/>
      <c r="G77" s="456"/>
      <c r="H77" s="456"/>
      <c r="I77" s="6">
        <f t="shared" si="14"/>
        <v>2.2599999999999967</v>
      </c>
      <c r="J77" s="138" t="s">
        <v>128</v>
      </c>
      <c r="K77" s="35" t="e">
        <f>SUMIFS('[4]BESS 10B'!I:I,'[4]BESS 10B'!B:B,J77)</f>
        <v>#VALUE!</v>
      </c>
      <c r="L77" s="36" t="e">
        <f>SUMIFS('[4]BESS 10B'!J:J,'[4]BESS 10B'!B:B,J77)</f>
        <v>#VALUE!</v>
      </c>
      <c r="M77" s="139" t="e">
        <f t="shared" si="12"/>
        <v>#VALUE!</v>
      </c>
      <c r="N77" s="436" t="s">
        <v>539</v>
      </c>
      <c r="O77" s="424">
        <f t="shared" si="15"/>
        <v>46239</v>
      </c>
      <c r="P77" s="140" t="s">
        <v>164</v>
      </c>
      <c r="Q77" s="240">
        <v>30</v>
      </c>
      <c r="R77" s="241">
        <v>18</v>
      </c>
      <c r="S77" s="242" t="e">
        <f t="shared" si="16"/>
        <v>#VALUE!</v>
      </c>
      <c r="T77" s="375"/>
      <c r="Y77" s="60"/>
    </row>
    <row r="78" spans="2:25">
      <c r="B78" s="473"/>
      <c r="C78" s="476"/>
      <c r="D78" s="516"/>
      <c r="E78" s="445"/>
      <c r="F78" s="456"/>
      <c r="G78" s="456"/>
      <c r="H78" s="456"/>
      <c r="I78" s="6">
        <f t="shared" si="14"/>
        <v>2.2699999999999965</v>
      </c>
      <c r="J78" s="138" t="s">
        <v>129</v>
      </c>
      <c r="K78" s="35" t="e">
        <f>SUMIFS('[4]BESS 10B'!I:I,'[4]BESS 10B'!B:B,J78)</f>
        <v>#VALUE!</v>
      </c>
      <c r="L78" s="36" t="e">
        <f>SUMIFS('[4]BESS 10B'!J:J,'[4]BESS 10B'!B:B,J78)</f>
        <v>#VALUE!</v>
      </c>
      <c r="M78" s="139" t="e">
        <f t="shared" si="12"/>
        <v>#VALUE!</v>
      </c>
      <c r="N78" s="436" t="s">
        <v>539</v>
      </c>
      <c r="O78" s="424">
        <f t="shared" si="15"/>
        <v>46239</v>
      </c>
      <c r="P78" s="140" t="s">
        <v>164</v>
      </c>
      <c r="Q78" s="240">
        <v>30</v>
      </c>
      <c r="R78" s="241">
        <v>18</v>
      </c>
      <c r="S78" s="242" t="e">
        <f t="shared" si="16"/>
        <v>#VALUE!</v>
      </c>
      <c r="T78" s="375"/>
      <c r="Y78" s="60"/>
    </row>
    <row r="79" spans="2:25">
      <c r="B79" s="473"/>
      <c r="C79" s="476"/>
      <c r="D79" s="516"/>
      <c r="E79" s="445"/>
      <c r="F79" s="456"/>
      <c r="G79" s="456"/>
      <c r="H79" s="456"/>
      <c r="I79" s="6">
        <f t="shared" si="14"/>
        <v>2.2799999999999963</v>
      </c>
      <c r="J79" s="138" t="s">
        <v>130</v>
      </c>
      <c r="K79" s="35" t="e">
        <f>SUMIFS('[4]BESS 10B'!I:I,'[4]BESS 10B'!B:B,J79)</f>
        <v>#VALUE!</v>
      </c>
      <c r="L79" s="36" t="e">
        <f>SUMIFS('[4]BESS 10B'!J:J,'[4]BESS 10B'!B:B,J79)</f>
        <v>#VALUE!</v>
      </c>
      <c r="M79" s="139" t="e">
        <f t="shared" si="12"/>
        <v>#VALUE!</v>
      </c>
      <c r="N79" s="436" t="s">
        <v>379</v>
      </c>
      <c r="O79" s="424">
        <f t="shared" si="15"/>
        <v>46232</v>
      </c>
      <c r="P79" s="140" t="s">
        <v>164</v>
      </c>
      <c r="Q79" s="240">
        <v>1000</v>
      </c>
      <c r="R79" s="241">
        <v>10</v>
      </c>
      <c r="S79" s="242" t="e">
        <f t="shared" si="16"/>
        <v>#VALUE!</v>
      </c>
      <c r="T79" s="375"/>
      <c r="V79" s="60"/>
      <c r="W79" s="60"/>
      <c r="Y79" s="60"/>
    </row>
    <row r="80" spans="2:25">
      <c r="B80" s="473"/>
      <c r="C80" s="476"/>
      <c r="D80" s="516"/>
      <c r="E80" s="445"/>
      <c r="F80" s="456"/>
      <c r="G80" s="456"/>
      <c r="H80" s="456"/>
      <c r="I80" s="6">
        <f t="shared" si="14"/>
        <v>2.289999999999996</v>
      </c>
      <c r="J80" s="138" t="s">
        <v>131</v>
      </c>
      <c r="K80" s="35" t="e">
        <f>SUMIFS('[4]BESS 10B'!I:I,'[4]BESS 10B'!B:B,J80)</f>
        <v>#VALUE!</v>
      </c>
      <c r="L80" s="36" t="e">
        <f>SUMIFS('[4]BESS 10B'!J:J,'[4]BESS 10B'!B:B,J80)</f>
        <v>#VALUE!</v>
      </c>
      <c r="M80" s="139" t="e">
        <f t="shared" si="12"/>
        <v>#VALUE!</v>
      </c>
      <c r="N80" s="436" t="s">
        <v>378</v>
      </c>
      <c r="O80" s="424">
        <f t="shared" si="15"/>
        <v>46234</v>
      </c>
      <c r="P80" s="140" t="s">
        <v>164</v>
      </c>
      <c r="Q80" s="240">
        <v>1000</v>
      </c>
      <c r="R80" s="241">
        <v>10</v>
      </c>
      <c r="S80" s="242" t="e">
        <f t="shared" si="16"/>
        <v>#VALUE!</v>
      </c>
      <c r="T80" s="375"/>
      <c r="V80" s="60"/>
      <c r="W80" s="60"/>
      <c r="Y80" s="60"/>
    </row>
    <row r="81" spans="2:28">
      <c r="B81" s="473"/>
      <c r="C81" s="476"/>
      <c r="D81" s="516"/>
      <c r="E81" s="445"/>
      <c r="F81" s="456"/>
      <c r="G81" s="456"/>
      <c r="H81" s="456"/>
      <c r="I81" s="6">
        <f t="shared" si="14"/>
        <v>2.2999999999999958</v>
      </c>
      <c r="J81" s="138" t="s">
        <v>132</v>
      </c>
      <c r="K81" s="35" t="e">
        <f>SUMIFS('[4]BESS 10B'!I:I,'[4]BESS 10B'!B:B,J81)</f>
        <v>#VALUE!</v>
      </c>
      <c r="L81" s="36" t="e">
        <f>SUMIFS('[4]BESS 10B'!J:J,'[4]BESS 10B'!B:B,J81)</f>
        <v>#VALUE!</v>
      </c>
      <c r="M81" s="139" t="e">
        <f t="shared" ref="M81:M93" si="17">K81-L81</f>
        <v>#VALUE!</v>
      </c>
      <c r="N81" s="436" t="s">
        <v>378</v>
      </c>
      <c r="O81" s="424">
        <f t="shared" si="15"/>
        <v>46234</v>
      </c>
      <c r="P81" s="140" t="s">
        <v>164</v>
      </c>
      <c r="Q81" s="240">
        <v>500</v>
      </c>
      <c r="R81" s="241">
        <v>10</v>
      </c>
      <c r="S81" s="242" t="e">
        <f t="shared" si="16"/>
        <v>#VALUE!</v>
      </c>
      <c r="T81" s="375"/>
      <c r="V81" s="60"/>
      <c r="W81" s="60"/>
      <c r="Y81" s="60"/>
    </row>
    <row r="82" spans="2:28">
      <c r="B82" s="473"/>
      <c r="C82" s="476"/>
      <c r="D82" s="516"/>
      <c r="E82" s="445"/>
      <c r="F82" s="456"/>
      <c r="G82" s="456"/>
      <c r="H82" s="456"/>
      <c r="I82" s="6">
        <f t="shared" si="14"/>
        <v>2.3099999999999956</v>
      </c>
      <c r="J82" s="138" t="s">
        <v>133</v>
      </c>
      <c r="K82" s="35" t="e">
        <f>SUMIFS('[4]BESS 10B'!I:I,'[4]BESS 10B'!B:B,J82)</f>
        <v>#VALUE!</v>
      </c>
      <c r="L82" s="36" t="e">
        <f>SUMIFS('[4]BESS 10B'!J:J,'[4]BESS 10B'!B:B,J82)</f>
        <v>#VALUE!</v>
      </c>
      <c r="M82" s="139" t="e">
        <f t="shared" si="17"/>
        <v>#VALUE!</v>
      </c>
      <c r="N82" s="432" t="s">
        <v>377</v>
      </c>
      <c r="O82" s="424">
        <f t="shared" si="15"/>
        <v>46235</v>
      </c>
      <c r="P82" s="140" t="s">
        <v>164</v>
      </c>
      <c r="Q82" s="240">
        <v>30</v>
      </c>
      <c r="R82" s="241">
        <v>6</v>
      </c>
      <c r="S82" s="242" t="e">
        <f t="shared" si="16"/>
        <v>#VALUE!</v>
      </c>
      <c r="T82" s="375"/>
      <c r="V82" s="60"/>
      <c r="W82" s="60"/>
      <c r="Y82" s="60"/>
    </row>
    <row r="83" spans="2:28">
      <c r="B83" s="473"/>
      <c r="C83" s="476"/>
      <c r="D83" s="516"/>
      <c r="E83" s="445"/>
      <c r="F83" s="456"/>
      <c r="G83" s="456"/>
      <c r="H83" s="456"/>
      <c r="I83" s="6">
        <f t="shared" si="14"/>
        <v>2.3199999999999954</v>
      </c>
      <c r="J83" s="138" t="s">
        <v>134</v>
      </c>
      <c r="K83" s="35" t="e">
        <f>SUMIFS('[4]BESS 10B'!I:I,'[4]BESS 10B'!B:B,J83)</f>
        <v>#VALUE!</v>
      </c>
      <c r="L83" s="36" t="e">
        <f>SUMIFS('[4]BESS 10B'!J:J,'[4]BESS 10B'!B:B,J83)</f>
        <v>#VALUE!</v>
      </c>
      <c r="M83" s="139" t="e">
        <f t="shared" si="17"/>
        <v>#VALUE!</v>
      </c>
      <c r="N83" s="432" t="s">
        <v>376</v>
      </c>
      <c r="O83" s="424">
        <f t="shared" si="15"/>
        <v>46237</v>
      </c>
      <c r="P83" s="140" t="s">
        <v>187</v>
      </c>
      <c r="Q83" s="240">
        <v>30</v>
      </c>
      <c r="R83" s="241">
        <v>4</v>
      </c>
      <c r="S83" s="242" t="e">
        <f t="shared" si="16"/>
        <v>#VALUE!</v>
      </c>
      <c r="T83" s="375"/>
      <c r="V83" s="60"/>
      <c r="W83" s="60"/>
      <c r="Y83" s="60"/>
    </row>
    <row r="84" spans="2:28">
      <c r="B84" s="473"/>
      <c r="C84" s="476"/>
      <c r="D84" s="516"/>
      <c r="E84" s="445"/>
      <c r="F84" s="456"/>
      <c r="G84" s="456"/>
      <c r="H84" s="456"/>
      <c r="I84" s="6">
        <f t="shared" si="14"/>
        <v>2.3299999999999952</v>
      </c>
      <c r="J84" s="8" t="s">
        <v>136</v>
      </c>
      <c r="K84" s="35" t="e">
        <f>SUMIFS('[4]BESS 10B'!I:I,'[4]BESS 10B'!B:B,J84)</f>
        <v>#VALUE!</v>
      </c>
      <c r="L84" s="36" t="e">
        <f>SUMIFS('[4]BESS 10B'!J:J,'[4]BESS 10B'!B:B,J84)</f>
        <v>#VALUE!</v>
      </c>
      <c r="M84" s="139" t="e">
        <f t="shared" si="17"/>
        <v>#VALUE!</v>
      </c>
      <c r="N84" s="432" t="s">
        <v>375</v>
      </c>
      <c r="O84" s="424">
        <f t="shared" si="15"/>
        <v>46237</v>
      </c>
      <c r="P84" s="5" t="s">
        <v>187</v>
      </c>
      <c r="Q84" s="240" t="s">
        <v>89</v>
      </c>
      <c r="R84" s="241" t="s">
        <v>89</v>
      </c>
      <c r="S84" s="242" t="s">
        <v>89</v>
      </c>
      <c r="T84" s="375"/>
      <c r="U84">
        <f ca="1">O84-$T$1</f>
        <v>4</v>
      </c>
      <c r="V84" s="97" t="e">
        <f>SUM(S63:S94)</f>
        <v>#VALUE!</v>
      </c>
      <c r="W84" s="97"/>
      <c r="X84" s="97" t="e">
        <f ca="1">V84/U84</f>
        <v>#VALUE!</v>
      </c>
      <c r="Y84" s="60"/>
    </row>
    <row r="85" spans="2:28">
      <c r="B85" s="473"/>
      <c r="C85" s="476"/>
      <c r="D85" s="516"/>
      <c r="E85" s="445"/>
      <c r="F85" s="456"/>
      <c r="G85" s="456"/>
      <c r="H85" s="456"/>
      <c r="I85" s="59">
        <f t="shared" si="14"/>
        <v>2.339999999999995</v>
      </c>
      <c r="J85" s="57" t="s">
        <v>137</v>
      </c>
      <c r="K85" s="2" t="e">
        <f>SUMIFS('[4]BESS 10B'!I:I,'[4]BESS 10B'!B:B,J85)</f>
        <v>#VALUE!</v>
      </c>
      <c r="L85" s="2" t="e">
        <f>SUMIFS('[4]BESS 10B'!J:J,'[4]BESS 10B'!B:B,J85)</f>
        <v>#VALUE!</v>
      </c>
      <c r="M85" s="2" t="e">
        <f t="shared" si="17"/>
        <v>#VALUE!</v>
      </c>
      <c r="N85" s="63" t="s">
        <v>122</v>
      </c>
      <c r="O85" s="424" t="str">
        <f t="shared" si="15"/>
        <v>-</v>
      </c>
      <c r="P85" s="58" t="s">
        <v>164</v>
      </c>
      <c r="Q85" s="620">
        <v>2</v>
      </c>
      <c r="R85" s="591">
        <v>8</v>
      </c>
      <c r="S85" s="621">
        <v>12</v>
      </c>
      <c r="T85" s="375"/>
      <c r="Y85" s="60"/>
    </row>
    <row r="86" spans="2:28">
      <c r="B86" s="473"/>
      <c r="C86" s="476"/>
      <c r="D86" s="516"/>
      <c r="E86" s="445"/>
      <c r="F86" s="456"/>
      <c r="G86" s="456"/>
      <c r="H86" s="456"/>
      <c r="I86" s="59">
        <f t="shared" si="14"/>
        <v>2.3499999999999948</v>
      </c>
      <c r="J86" s="57" t="s">
        <v>139</v>
      </c>
      <c r="K86" s="2" t="e">
        <f>SUMIFS('[4]BESS 10B'!I:I,'[4]BESS 10B'!B:B,J86)</f>
        <v>#VALUE!</v>
      </c>
      <c r="L86" s="2" t="e">
        <f>SUMIFS('[4]BESS 10B'!J:J,'[4]BESS 10B'!B:B,J86)</f>
        <v>#VALUE!</v>
      </c>
      <c r="M86" s="2" t="e">
        <f t="shared" si="17"/>
        <v>#VALUE!</v>
      </c>
      <c r="N86" s="63" t="s">
        <v>122</v>
      </c>
      <c r="O86" s="424" t="str">
        <f t="shared" si="15"/>
        <v>-</v>
      </c>
      <c r="P86" s="58" t="s">
        <v>164</v>
      </c>
      <c r="Q86" s="620"/>
      <c r="R86" s="591"/>
      <c r="S86" s="621"/>
      <c r="T86" s="375"/>
      <c r="Y86" s="60"/>
    </row>
    <row r="87" spans="2:28">
      <c r="B87" s="473"/>
      <c r="C87" s="476"/>
      <c r="D87" s="516"/>
      <c r="E87" s="445"/>
      <c r="F87" s="456"/>
      <c r="G87" s="456"/>
      <c r="H87" s="456"/>
      <c r="I87" s="6">
        <f t="shared" si="14"/>
        <v>2.3599999999999945</v>
      </c>
      <c r="J87" s="138" t="s">
        <v>140</v>
      </c>
      <c r="K87" s="35" t="e">
        <f>SUMIFS('[4]BESS 10B'!I:I,'[4]BESS 10B'!B:B,J87)</f>
        <v>#VALUE!</v>
      </c>
      <c r="L87" s="36" t="e">
        <f>SUMIFS('[4]BESS 10B'!J:J,'[4]BESS 10B'!B:B,J87)</f>
        <v>#VALUE!</v>
      </c>
      <c r="M87" s="139" t="e">
        <f t="shared" si="17"/>
        <v>#VALUE!</v>
      </c>
      <c r="N87" s="440">
        <v>46242</v>
      </c>
      <c r="O87" s="424">
        <f t="shared" si="15"/>
        <v>46242</v>
      </c>
      <c r="P87" s="140" t="s">
        <v>164</v>
      </c>
      <c r="Q87" s="240">
        <v>2</v>
      </c>
      <c r="R87" s="241">
        <v>4</v>
      </c>
      <c r="S87" s="242" t="e">
        <f t="shared" ref="S87:S94" si="18">(K87*R87)/Q87</f>
        <v>#VALUE!</v>
      </c>
      <c r="T87" s="375"/>
      <c r="U87">
        <f ca="1">O87-$T$1</f>
        <v>9</v>
      </c>
      <c r="V87" s="97" t="e">
        <f>SUM(S63:S94)</f>
        <v>#VALUE!</v>
      </c>
      <c r="W87" s="97"/>
      <c r="X87" s="97" t="e">
        <f ca="1">V87/(U87-3)</f>
        <v>#VALUE!</v>
      </c>
      <c r="Y87" s="60"/>
    </row>
    <row r="88" spans="2:28" ht="25.5">
      <c r="B88" s="473"/>
      <c r="C88" s="476"/>
      <c r="D88" s="516"/>
      <c r="E88" s="445"/>
      <c r="F88" s="456"/>
      <c r="G88" s="456"/>
      <c r="H88" s="456"/>
      <c r="I88" s="6">
        <f t="shared" si="14"/>
        <v>2.3699999999999943</v>
      </c>
      <c r="J88" s="138" t="s">
        <v>141</v>
      </c>
      <c r="K88" s="35" t="e">
        <f>SUMIFS('[4]BESS 10B'!I:I,'[4]BESS 10B'!B:B,J88)</f>
        <v>#VALUE!</v>
      </c>
      <c r="L88" s="36" t="e">
        <f>SUMIFS('[4]BESS 10B'!J:J,'[4]BESS 10B'!B:B,J88)</f>
        <v>#VALUE!</v>
      </c>
      <c r="M88" s="139" t="e">
        <f t="shared" si="17"/>
        <v>#VALUE!</v>
      </c>
      <c r="N88" s="436" t="s">
        <v>577</v>
      </c>
      <c r="O88" s="424">
        <f t="shared" si="15"/>
        <v>46235</v>
      </c>
      <c r="P88" s="140" t="s">
        <v>164</v>
      </c>
      <c r="Q88" s="240">
        <v>0.5</v>
      </c>
      <c r="R88" s="241">
        <v>4</v>
      </c>
      <c r="S88" s="242" t="e">
        <f t="shared" si="18"/>
        <v>#VALUE!</v>
      </c>
      <c r="T88" s="375"/>
      <c r="Y88" s="60"/>
    </row>
    <row r="89" spans="2:28">
      <c r="B89" s="473"/>
      <c r="C89" s="476"/>
      <c r="D89" s="516"/>
      <c r="E89" s="445"/>
      <c r="F89" s="456"/>
      <c r="G89" s="456"/>
      <c r="H89" s="456"/>
      <c r="I89" s="6">
        <f t="shared" si="14"/>
        <v>2.3799999999999941</v>
      </c>
      <c r="J89" s="138" t="s">
        <v>142</v>
      </c>
      <c r="K89" s="35" t="e">
        <f>SUMIFS('[4]BESS 10B'!I:I,'[4]BESS 10B'!B:B,J89)</f>
        <v>#VALUE!</v>
      </c>
      <c r="L89" s="36" t="e">
        <f>SUMIFS('[4]BESS 10B'!J:J,'[4]BESS 10B'!B:B,J89)</f>
        <v>#VALUE!</v>
      </c>
      <c r="M89" s="139" t="e">
        <f t="shared" si="17"/>
        <v>#VALUE!</v>
      </c>
      <c r="N89" s="440">
        <v>46242</v>
      </c>
      <c r="O89" s="424">
        <f t="shared" si="15"/>
        <v>46242</v>
      </c>
      <c r="P89" s="140" t="s">
        <v>164</v>
      </c>
      <c r="Q89" s="240">
        <v>6</v>
      </c>
      <c r="R89" s="241">
        <v>4</v>
      </c>
      <c r="S89" s="242" t="e">
        <f t="shared" si="18"/>
        <v>#VALUE!</v>
      </c>
      <c r="T89" s="375"/>
      <c r="Y89" s="60"/>
    </row>
    <row r="90" spans="2:28" ht="25.5">
      <c r="B90" s="473"/>
      <c r="C90" s="476"/>
      <c r="D90" s="516"/>
      <c r="E90" s="445"/>
      <c r="F90" s="456"/>
      <c r="G90" s="456"/>
      <c r="H90" s="456"/>
      <c r="I90" s="6">
        <f t="shared" si="14"/>
        <v>2.3899999999999939</v>
      </c>
      <c r="J90" s="138" t="s">
        <v>143</v>
      </c>
      <c r="K90" s="35" t="e">
        <f>SUMIFS('[4]BESS 10B'!I:I,'[4]BESS 10B'!B:B,J90)</f>
        <v>#VALUE!</v>
      </c>
      <c r="L90" s="36" t="e">
        <f>SUMIFS('[4]BESS 10B'!J:J,'[4]BESS 10B'!B:B,J90)</f>
        <v>#VALUE!</v>
      </c>
      <c r="M90" s="139" t="e">
        <f t="shared" si="17"/>
        <v>#VALUE!</v>
      </c>
      <c r="N90" s="432" t="s">
        <v>578</v>
      </c>
      <c r="O90" s="424">
        <f t="shared" si="15"/>
        <v>46238</v>
      </c>
      <c r="P90" s="140" t="s">
        <v>164</v>
      </c>
      <c r="Q90" s="240">
        <v>6</v>
      </c>
      <c r="R90" s="241">
        <v>5</v>
      </c>
      <c r="S90" s="242" t="e">
        <f t="shared" si="18"/>
        <v>#VALUE!</v>
      </c>
      <c r="T90" s="375"/>
      <c r="Y90" s="60"/>
    </row>
    <row r="91" spans="2:28">
      <c r="B91" s="473"/>
      <c r="C91" s="476"/>
      <c r="D91" s="516"/>
      <c r="E91" s="445"/>
      <c r="F91" s="456"/>
      <c r="G91" s="456"/>
      <c r="H91" s="456"/>
      <c r="I91" s="6">
        <f t="shared" si="14"/>
        <v>2.3999999999999937</v>
      </c>
      <c r="J91" s="138" t="s">
        <v>144</v>
      </c>
      <c r="K91" s="35" t="e">
        <f>SUMIFS('[4]BESS 10B'!I:I,'[4]BESS 10B'!B:B,J91)</f>
        <v>#VALUE!</v>
      </c>
      <c r="L91" s="36" t="e">
        <f>SUMIFS('[4]BESS 10B'!J:J,'[4]BESS 10B'!B:B,J91)</f>
        <v>#VALUE!</v>
      </c>
      <c r="M91" s="139" t="e">
        <f t="shared" si="17"/>
        <v>#VALUE!</v>
      </c>
      <c r="N91" s="436" t="s">
        <v>374</v>
      </c>
      <c r="O91" s="424">
        <f t="shared" si="15"/>
        <v>46236</v>
      </c>
      <c r="P91" s="140" t="s">
        <v>164</v>
      </c>
      <c r="Q91" s="240">
        <v>1</v>
      </c>
      <c r="R91" s="241">
        <v>5</v>
      </c>
      <c r="S91" s="242" t="e">
        <f t="shared" si="18"/>
        <v>#VALUE!</v>
      </c>
      <c r="T91" s="399"/>
      <c r="Y91" s="60"/>
    </row>
    <row r="92" spans="2:28">
      <c r="B92" s="473"/>
      <c r="C92" s="476"/>
      <c r="D92" s="516"/>
      <c r="E92" s="445"/>
      <c r="F92" s="456"/>
      <c r="G92" s="456"/>
      <c r="H92" s="456"/>
      <c r="I92" s="6">
        <f t="shared" si="14"/>
        <v>2.4099999999999935</v>
      </c>
      <c r="J92" s="138" t="s">
        <v>145</v>
      </c>
      <c r="K92" s="35" t="e">
        <f>SUMIFS('[4]BESS 10B'!I:I,'[4]BESS 10B'!B:B,J92)</f>
        <v>#VALUE!</v>
      </c>
      <c r="L92" s="36" t="e">
        <f>SUMIFS('[4]BESS 10B'!J:J,'[4]BESS 10B'!B:B,J92)</f>
        <v>#VALUE!</v>
      </c>
      <c r="M92" s="139" t="e">
        <f t="shared" si="17"/>
        <v>#VALUE!</v>
      </c>
      <c r="N92" s="436" t="s">
        <v>373</v>
      </c>
      <c r="O92" s="424">
        <f t="shared" si="15"/>
        <v>46231</v>
      </c>
      <c r="P92" s="140" t="s">
        <v>164</v>
      </c>
      <c r="Q92" s="240">
        <v>3</v>
      </c>
      <c r="R92" s="241">
        <v>5</v>
      </c>
      <c r="S92" s="242" t="e">
        <f t="shared" si="18"/>
        <v>#VALUE!</v>
      </c>
      <c r="T92" s="399"/>
      <c r="Y92" s="60"/>
    </row>
    <row r="93" spans="2:28">
      <c r="B93" s="473"/>
      <c r="C93" s="476"/>
      <c r="D93" s="516"/>
      <c r="E93" s="445"/>
      <c r="F93" s="456"/>
      <c r="G93" s="456"/>
      <c r="H93" s="456"/>
      <c r="I93" s="6">
        <f t="shared" si="14"/>
        <v>2.4199999999999933</v>
      </c>
      <c r="J93" s="138" t="s">
        <v>54</v>
      </c>
      <c r="K93" s="35" t="e">
        <f>SUMIFS('[4]BESS 10B'!I:I,'[4]BESS 10B'!B:B,J93)</f>
        <v>#VALUE!</v>
      </c>
      <c r="L93" s="36" t="e">
        <f>SUMIFS('[4]BESS 10B'!J:J,'[4]BESS 10B'!B:B,J93)</f>
        <v>#VALUE!</v>
      </c>
      <c r="M93" s="139" t="e">
        <f t="shared" si="17"/>
        <v>#VALUE!</v>
      </c>
      <c r="N93" s="436" t="s">
        <v>372</v>
      </c>
      <c r="O93" s="424">
        <f t="shared" si="15"/>
        <v>46239</v>
      </c>
      <c r="P93" s="140" t="s">
        <v>164</v>
      </c>
      <c r="Q93" s="240">
        <v>150</v>
      </c>
      <c r="R93" s="241">
        <v>6</v>
      </c>
      <c r="S93" s="242" t="e">
        <f t="shared" si="18"/>
        <v>#VALUE!</v>
      </c>
      <c r="T93" s="399"/>
      <c r="Y93" s="60"/>
    </row>
    <row r="94" spans="2:28" ht="14.25" thickBot="1">
      <c r="B94" s="474"/>
      <c r="C94" s="477"/>
      <c r="D94" s="517"/>
      <c r="E94" s="479"/>
      <c r="F94" s="515"/>
      <c r="G94" s="515"/>
      <c r="H94" s="515"/>
      <c r="I94" s="137">
        <f t="shared" si="14"/>
        <v>2.4299999999999931</v>
      </c>
      <c r="J94" s="296" t="s">
        <v>55</v>
      </c>
      <c r="K94" s="37" t="e">
        <f>SUMIFS('[4]BESS 10B'!I:I,'[4]BESS 10B'!B:B,J94)</f>
        <v>#VALUE!</v>
      </c>
      <c r="L94" s="38" t="e">
        <f>SUMIFS('[4]BESS 10B'!J:J,'[4]BESS 10B'!B:B,J94)</f>
        <v>#VALUE!</v>
      </c>
      <c r="M94" s="294" t="e">
        <f t="shared" si="12"/>
        <v>#VALUE!</v>
      </c>
      <c r="N94" s="441" t="s">
        <v>371</v>
      </c>
      <c r="O94" s="427">
        <f t="shared" si="15"/>
        <v>46234</v>
      </c>
      <c r="P94" s="349" t="s">
        <v>164</v>
      </c>
      <c r="Q94" s="249">
        <v>5</v>
      </c>
      <c r="R94" s="250">
        <v>6</v>
      </c>
      <c r="S94" s="251" t="e">
        <f t="shared" si="18"/>
        <v>#VALUE!</v>
      </c>
      <c r="T94" s="400"/>
      <c r="Y94" s="60"/>
    </row>
    <row r="95" spans="2:28" s="70" customFormat="1" ht="15">
      <c r="B95" s="472" t="s">
        <v>159</v>
      </c>
      <c r="C95" s="475">
        <v>5</v>
      </c>
      <c r="D95" s="512" t="s">
        <v>428</v>
      </c>
      <c r="E95" s="524" t="s">
        <v>165</v>
      </c>
      <c r="F95" s="512" t="s">
        <v>700</v>
      </c>
      <c r="G95" s="512" t="s">
        <v>701</v>
      </c>
      <c r="H95" s="512" t="s">
        <v>702</v>
      </c>
      <c r="I95" s="254"/>
      <c r="J95" s="50"/>
      <c r="K95" s="50"/>
      <c r="L95" s="52" t="s">
        <v>121</v>
      </c>
      <c r="M95" s="50"/>
      <c r="N95" s="50"/>
      <c r="O95" s="424"/>
      <c r="P95" s="95"/>
      <c r="Q95" s="298"/>
      <c r="R95" s="299"/>
      <c r="S95" s="300"/>
      <c r="T95" s="375"/>
      <c r="U95" s="73"/>
      <c r="AB95"/>
    </row>
    <row r="96" spans="2:28">
      <c r="B96" s="473"/>
      <c r="C96" s="476"/>
      <c r="D96" s="516"/>
      <c r="E96" s="445"/>
      <c r="F96" s="456"/>
      <c r="G96" s="456"/>
      <c r="H96" s="456"/>
      <c r="I96" s="56">
        <f>C95+0.1</f>
        <v>5.0999999999999996</v>
      </c>
      <c r="J96" s="57" t="s">
        <v>19</v>
      </c>
      <c r="K96" s="2" t="e">
        <f>SUMIFS('[4]BESS 10B'!U:U,'[4]BESS 10B'!B:B,J96)</f>
        <v>#VALUE!</v>
      </c>
      <c r="L96" s="89" t="e">
        <f>SUMIFS('[4]BESS 10B'!V:V,'[4]BESS 10B'!B:B,J96)</f>
        <v>#VALUE!</v>
      </c>
      <c r="M96" s="2" t="e">
        <f t="shared" ref="M96:M106" si="19">K96-L96</f>
        <v>#VALUE!</v>
      </c>
      <c r="N96" s="63" t="s">
        <v>122</v>
      </c>
      <c r="O96" s="424" t="str">
        <f t="shared" si="15"/>
        <v>-</v>
      </c>
      <c r="P96" s="58" t="s">
        <v>161</v>
      </c>
      <c r="Q96" s="240">
        <v>1</v>
      </c>
      <c r="R96" s="241">
        <v>2</v>
      </c>
      <c r="S96" s="242" t="e">
        <f t="shared" ref="S96:S105" si="20">(K96*R96)/Q96</f>
        <v>#VALUE!</v>
      </c>
      <c r="T96" s="375"/>
      <c r="V96" s="60"/>
      <c r="W96" s="60"/>
    </row>
    <row r="97" spans="2:30" ht="25.5">
      <c r="B97" s="473"/>
      <c r="C97" s="476"/>
      <c r="D97" s="516"/>
      <c r="E97" s="445"/>
      <c r="F97" s="456"/>
      <c r="G97" s="456"/>
      <c r="H97" s="456"/>
      <c r="I97" s="4">
        <f>I96+0.1</f>
        <v>5.1999999999999993</v>
      </c>
      <c r="J97" s="8" t="s">
        <v>23</v>
      </c>
      <c r="K97" s="1" t="e">
        <f>SUMIFS('[4]BESS 10B'!U:U,'[4]BESS 10B'!B:B,J97)</f>
        <v>#VALUE!</v>
      </c>
      <c r="L97" s="2" t="e">
        <f>SUMIFS('[4]BESS 10B'!V:V,'[4]BESS 10B'!B:B,J97)</f>
        <v>#VALUE!</v>
      </c>
      <c r="M97" s="7" t="e">
        <f t="shared" si="19"/>
        <v>#VALUE!</v>
      </c>
      <c r="N97" s="432" t="s">
        <v>531</v>
      </c>
      <c r="O97" s="424">
        <f t="shared" si="15"/>
        <v>46232</v>
      </c>
      <c r="P97" s="5" t="s">
        <v>20</v>
      </c>
      <c r="Q97" s="240">
        <v>1</v>
      </c>
      <c r="R97" s="241">
        <v>16</v>
      </c>
      <c r="S97" s="242" t="e">
        <f t="shared" si="20"/>
        <v>#VALUE!</v>
      </c>
      <c r="T97" s="375"/>
      <c r="Y97" s="60"/>
      <c r="AB97" s="60" t="s">
        <v>763</v>
      </c>
    </row>
    <row r="98" spans="2:30">
      <c r="B98" s="473"/>
      <c r="C98" s="476"/>
      <c r="D98" s="516"/>
      <c r="E98" s="445"/>
      <c r="F98" s="456"/>
      <c r="G98" s="456"/>
      <c r="H98" s="456"/>
      <c r="I98" s="56">
        <f t="shared" ref="I98:I104" si="21">I97+0.1</f>
        <v>5.2999999999999989</v>
      </c>
      <c r="J98" s="57" t="s">
        <v>26</v>
      </c>
      <c r="K98" s="2" t="e">
        <f>SUMIFS('[4]BESS 10B'!U:U,'[4]BESS 10B'!B:B,J98)</f>
        <v>#VALUE!</v>
      </c>
      <c r="L98" s="2" t="e">
        <f>SUMIFS('[4]BESS 10B'!V:V,'[4]BESS 10B'!B:B,J98)</f>
        <v>#VALUE!</v>
      </c>
      <c r="M98" s="2" t="e">
        <f t="shared" si="19"/>
        <v>#VALUE!</v>
      </c>
      <c r="N98" s="362" t="s">
        <v>122</v>
      </c>
      <c r="O98" s="424" t="str">
        <f t="shared" si="15"/>
        <v>-</v>
      </c>
      <c r="P98" s="58" t="s">
        <v>20</v>
      </c>
      <c r="Q98" s="240">
        <v>1</v>
      </c>
      <c r="R98" s="241">
        <v>39</v>
      </c>
      <c r="S98" s="242" t="e">
        <f t="shared" si="20"/>
        <v>#VALUE!</v>
      </c>
      <c r="T98" s="375"/>
      <c r="V98" s="60"/>
      <c r="W98" s="60"/>
      <c r="Y98" t="s">
        <v>233</v>
      </c>
      <c r="AB98" s="60"/>
    </row>
    <row r="99" spans="2:30">
      <c r="B99" s="473"/>
      <c r="C99" s="476"/>
      <c r="D99" s="516"/>
      <c r="E99" s="445"/>
      <c r="F99" s="456"/>
      <c r="G99" s="456"/>
      <c r="H99" s="456"/>
      <c r="I99" s="4">
        <f t="shared" si="21"/>
        <v>5.3999999999999986</v>
      </c>
      <c r="J99" s="8" t="s">
        <v>32</v>
      </c>
      <c r="K99" s="1" t="e">
        <f>SUMIFS('[4]BESS 10B'!U:U,'[4]BESS 10B'!B:B,J99)</f>
        <v>#VALUE!</v>
      </c>
      <c r="L99" s="2" t="e">
        <f>SUMIFS('[4]BESS 10B'!V:V,'[4]BESS 10B'!B:B,J99)</f>
        <v>#VALUE!</v>
      </c>
      <c r="M99" s="7" t="e">
        <f t="shared" si="19"/>
        <v>#VALUE!</v>
      </c>
      <c r="N99" s="432" t="s">
        <v>252</v>
      </c>
      <c r="O99" s="424">
        <f t="shared" si="15"/>
        <v>46231</v>
      </c>
      <c r="P99" s="5" t="s">
        <v>20</v>
      </c>
      <c r="Q99" s="240">
        <v>1</v>
      </c>
      <c r="R99" s="241">
        <v>37</v>
      </c>
      <c r="S99" s="242" t="e">
        <f t="shared" si="20"/>
        <v>#VALUE!</v>
      </c>
      <c r="T99" s="375"/>
      <c r="V99" s="60"/>
      <c r="W99" s="60"/>
      <c r="Y99" s="60"/>
      <c r="AB99" t="s">
        <v>762</v>
      </c>
    </row>
    <row r="100" spans="2:30">
      <c r="B100" s="473"/>
      <c r="C100" s="476"/>
      <c r="D100" s="516"/>
      <c r="E100" s="445"/>
      <c r="F100" s="456"/>
      <c r="G100" s="456"/>
      <c r="H100" s="456"/>
      <c r="I100" s="56">
        <f t="shared" si="21"/>
        <v>5.4999999999999982</v>
      </c>
      <c r="J100" s="57" t="s">
        <v>35</v>
      </c>
      <c r="K100" s="2" t="e">
        <f>SUMIFS('[4]BESS 10B'!U:U,'[4]BESS 10B'!B:B,J100)</f>
        <v>#VALUE!</v>
      </c>
      <c r="L100" s="2" t="e">
        <f>SUMIFS('[4]BESS 10B'!V:V,'[4]BESS 10B'!B:B,J100)</f>
        <v>#VALUE!</v>
      </c>
      <c r="M100" s="2" t="e">
        <f t="shared" si="19"/>
        <v>#VALUE!</v>
      </c>
      <c r="N100" s="362" t="s">
        <v>122</v>
      </c>
      <c r="O100" s="424" t="str">
        <f t="shared" si="15"/>
        <v>-</v>
      </c>
      <c r="P100" s="58" t="s">
        <v>20</v>
      </c>
      <c r="Q100" s="240">
        <v>1</v>
      </c>
      <c r="R100" s="241">
        <v>34</v>
      </c>
      <c r="S100" s="242" t="e">
        <f t="shared" si="20"/>
        <v>#VALUE!</v>
      </c>
      <c r="T100" s="375"/>
      <c r="V100" s="60"/>
      <c r="W100" s="60"/>
      <c r="Y100" s="60"/>
    </row>
    <row r="101" spans="2:30" ht="25.5">
      <c r="B101" s="473"/>
      <c r="C101" s="476"/>
      <c r="D101" s="516"/>
      <c r="E101" s="445"/>
      <c r="F101" s="456"/>
      <c r="G101" s="456"/>
      <c r="H101" s="456"/>
      <c r="I101" s="4">
        <f t="shared" si="21"/>
        <v>5.5999999999999979</v>
      </c>
      <c r="J101" s="8" t="s">
        <v>38</v>
      </c>
      <c r="K101" s="1" t="e">
        <f>SUMIFS('[4]BESS 10B'!U:U,'[4]BESS 10B'!B:B,J101)</f>
        <v>#VALUE!</v>
      </c>
      <c r="L101" s="2" t="e">
        <f>SUMIFS('[4]BESS 10B'!V:V,'[4]BESS 10B'!B:B,J101)</f>
        <v>#VALUE!</v>
      </c>
      <c r="M101" s="7" t="e">
        <f t="shared" si="19"/>
        <v>#VALUE!</v>
      </c>
      <c r="N101" s="432" t="s">
        <v>533</v>
      </c>
      <c r="O101" s="424">
        <f t="shared" si="15"/>
        <v>46236</v>
      </c>
      <c r="P101" s="5" t="s">
        <v>20</v>
      </c>
      <c r="Q101" s="240">
        <v>1</v>
      </c>
      <c r="R101" s="241">
        <v>54</v>
      </c>
      <c r="S101" s="242" t="e">
        <f t="shared" si="20"/>
        <v>#VALUE!</v>
      </c>
      <c r="T101" s="375"/>
      <c r="V101" s="60"/>
      <c r="W101" s="60"/>
      <c r="AB101" s="60" t="s">
        <v>764</v>
      </c>
    </row>
    <row r="102" spans="2:30">
      <c r="B102" s="473"/>
      <c r="C102" s="476"/>
      <c r="D102" s="516"/>
      <c r="E102" s="445"/>
      <c r="F102" s="456"/>
      <c r="G102" s="456"/>
      <c r="H102" s="456"/>
      <c r="I102" s="56">
        <f t="shared" si="21"/>
        <v>5.6999999999999975</v>
      </c>
      <c r="J102" s="57" t="s">
        <v>44</v>
      </c>
      <c r="K102" s="2" t="e">
        <f>SUMIFS('[4]BESS 10B'!U:U,'[4]BESS 10B'!B:B,J102)</f>
        <v>#VALUE!</v>
      </c>
      <c r="L102" s="2" t="e">
        <f>SUMIFS('[4]BESS 10B'!V:V,'[4]BESS 10B'!B:B,J102)</f>
        <v>#VALUE!</v>
      </c>
      <c r="M102" s="2" t="e">
        <f t="shared" si="19"/>
        <v>#VALUE!</v>
      </c>
      <c r="N102" s="63" t="s">
        <v>122</v>
      </c>
      <c r="O102" s="424" t="str">
        <f t="shared" si="15"/>
        <v>-</v>
      </c>
      <c r="P102" s="58" t="s">
        <v>45</v>
      </c>
      <c r="Q102" s="240">
        <v>3</v>
      </c>
      <c r="R102" s="241">
        <v>5</v>
      </c>
      <c r="S102" s="242" t="e">
        <f t="shared" si="20"/>
        <v>#VALUE!</v>
      </c>
      <c r="T102" s="375"/>
      <c r="V102" s="60"/>
      <c r="W102" s="60"/>
    </row>
    <row r="103" spans="2:30" ht="25.5">
      <c r="B103" s="473"/>
      <c r="C103" s="476"/>
      <c r="D103" s="516"/>
      <c r="E103" s="445"/>
      <c r="F103" s="456"/>
      <c r="G103" s="456"/>
      <c r="H103" s="456"/>
      <c r="I103" s="4">
        <f t="shared" si="21"/>
        <v>5.7999999999999972</v>
      </c>
      <c r="J103" s="8" t="s">
        <v>40</v>
      </c>
      <c r="K103" s="1" t="e">
        <f>SUMIFS('[4]BESS 10B'!U:U,'[4]BESS 10B'!B:B,J103)</f>
        <v>#VALUE!</v>
      </c>
      <c r="L103" s="2" t="e">
        <f>SUMIFS('[4]BESS 10B'!V:V,'[4]BESS 10B'!B:B,J103)</f>
        <v>#VALUE!</v>
      </c>
      <c r="M103" s="7" t="e">
        <f t="shared" si="19"/>
        <v>#VALUE!</v>
      </c>
      <c r="N103" s="432" t="s">
        <v>534</v>
      </c>
      <c r="O103" s="424">
        <f t="shared" si="15"/>
        <v>46231</v>
      </c>
      <c r="P103" s="5" t="s">
        <v>20</v>
      </c>
      <c r="Q103" s="240">
        <v>1</v>
      </c>
      <c r="R103" s="241">
        <v>5</v>
      </c>
      <c r="S103" s="242" t="e">
        <f t="shared" si="20"/>
        <v>#VALUE!</v>
      </c>
      <c r="T103" s="375"/>
      <c r="Y103" s="60"/>
      <c r="AB103" s="60" t="s">
        <v>765</v>
      </c>
    </row>
    <row r="104" spans="2:30" ht="25.5">
      <c r="B104" s="473"/>
      <c r="C104" s="476"/>
      <c r="D104" s="516"/>
      <c r="E104" s="445"/>
      <c r="F104" s="456"/>
      <c r="G104" s="456"/>
      <c r="H104" s="456"/>
      <c r="I104" s="4">
        <f t="shared" si="21"/>
        <v>5.8999999999999968</v>
      </c>
      <c r="J104" s="8" t="s">
        <v>30</v>
      </c>
      <c r="K104" s="1" t="e">
        <f>SUMIFS('[4]BESS 10B'!U:U,'[4]BESS 10B'!B:B,J104)</f>
        <v>#VALUE!</v>
      </c>
      <c r="L104" s="2" t="e">
        <f>SUMIFS('[4]BESS 10B'!V:V,'[4]BESS 10B'!B:B,J104)</f>
        <v>#VALUE!</v>
      </c>
      <c r="M104" s="7" t="e">
        <f t="shared" si="19"/>
        <v>#VALUE!</v>
      </c>
      <c r="N104" s="432" t="s">
        <v>535</v>
      </c>
      <c r="O104" s="424">
        <f t="shared" si="15"/>
        <v>46242</v>
      </c>
      <c r="P104" s="5" t="s">
        <v>162</v>
      </c>
      <c r="Q104" s="240">
        <v>1</v>
      </c>
      <c r="R104" s="241">
        <v>27</v>
      </c>
      <c r="S104" s="242" t="e">
        <f t="shared" si="20"/>
        <v>#VALUE!</v>
      </c>
      <c r="T104" s="375"/>
    </row>
    <row r="105" spans="2:30" ht="25.5">
      <c r="B105" s="473"/>
      <c r="C105" s="476"/>
      <c r="D105" s="516"/>
      <c r="E105" s="445"/>
      <c r="F105" s="456"/>
      <c r="G105" s="456"/>
      <c r="H105" s="456"/>
      <c r="I105" s="6">
        <f>C95+0.1</f>
        <v>5.0999999999999996</v>
      </c>
      <c r="J105" s="8" t="s">
        <v>34</v>
      </c>
      <c r="K105" s="1" t="e">
        <f>SUMIFS('[4]BESS 10B'!U:U,'[4]BESS 10B'!B:B,J105)</f>
        <v>#VALUE!</v>
      </c>
      <c r="L105" s="2" t="e">
        <f>SUMIFS('[4]BESS 10B'!V:V,'[4]BESS 10B'!B:B,J105)</f>
        <v>#VALUE!</v>
      </c>
      <c r="M105" s="7" t="e">
        <f t="shared" si="19"/>
        <v>#VALUE!</v>
      </c>
      <c r="N105" s="432" t="s">
        <v>536</v>
      </c>
      <c r="O105" s="424">
        <f t="shared" si="15"/>
        <v>46234</v>
      </c>
      <c r="P105" s="5" t="s">
        <v>31</v>
      </c>
      <c r="Q105" s="240">
        <v>1</v>
      </c>
      <c r="R105" s="241">
        <v>25</v>
      </c>
      <c r="S105" s="242" t="e">
        <f t="shared" si="20"/>
        <v>#VALUE!</v>
      </c>
      <c r="T105" s="375"/>
    </row>
    <row r="106" spans="2:30" ht="25.5">
      <c r="B106" s="473"/>
      <c r="C106" s="476"/>
      <c r="D106" s="516"/>
      <c r="E106" s="445"/>
      <c r="F106" s="456"/>
      <c r="G106" s="456"/>
      <c r="H106" s="456"/>
      <c r="I106" s="6">
        <f>I105+0.01</f>
        <v>5.1099999999999994</v>
      </c>
      <c r="J106" s="8" t="s">
        <v>37</v>
      </c>
      <c r="K106" s="1" t="e">
        <f>SUMIFS('[4]BESS 10B'!U:U,'[4]BESS 10B'!B:B,J106)</f>
        <v>#VALUE!</v>
      </c>
      <c r="L106" s="2" t="e">
        <f>SUMIFS('[4]BESS 10B'!V:V,'[4]BESS 10B'!B:B,J106)</f>
        <v>#VALUE!</v>
      </c>
      <c r="M106" s="7" t="e">
        <f t="shared" si="19"/>
        <v>#VALUE!</v>
      </c>
      <c r="N106" s="432" t="s">
        <v>537</v>
      </c>
      <c r="O106" s="424">
        <f t="shared" si="15"/>
        <v>46234</v>
      </c>
      <c r="P106" s="5" t="s">
        <v>163</v>
      </c>
      <c r="Q106" s="240" t="s">
        <v>89</v>
      </c>
      <c r="R106" s="241" t="s">
        <v>89</v>
      </c>
      <c r="S106" s="242" t="s">
        <v>89</v>
      </c>
      <c r="T106" s="375"/>
    </row>
    <row r="107" spans="2:30">
      <c r="B107" s="473"/>
      <c r="C107" s="476"/>
      <c r="D107" s="516"/>
      <c r="E107" s="445"/>
      <c r="F107" s="456"/>
      <c r="G107" s="456"/>
      <c r="H107" s="456"/>
      <c r="I107" s="44"/>
      <c r="J107" s="46"/>
      <c r="K107" s="46"/>
      <c r="L107" s="47" t="s">
        <v>124</v>
      </c>
      <c r="M107" s="46"/>
      <c r="N107" s="46"/>
      <c r="O107" s="424"/>
      <c r="P107" s="95"/>
      <c r="Q107" s="240"/>
      <c r="R107" s="241"/>
      <c r="S107" s="242"/>
      <c r="T107" s="375"/>
      <c r="AB107" s="60"/>
      <c r="AC107" s="60"/>
      <c r="AD107" s="60"/>
    </row>
    <row r="108" spans="2:30" ht="25.5">
      <c r="B108" s="473"/>
      <c r="C108" s="476"/>
      <c r="D108" s="516"/>
      <c r="E108" s="445"/>
      <c r="F108" s="456"/>
      <c r="G108" s="456"/>
      <c r="H108" s="456"/>
      <c r="I108" s="6">
        <f>I106+0.01</f>
        <v>5.1199999999999992</v>
      </c>
      <c r="J108" s="138" t="s">
        <v>24</v>
      </c>
      <c r="K108" s="35" t="e">
        <f>SUMIFS('[4]BESS 10B'!U:U,'[4]BESS 10B'!B:B,J108)</f>
        <v>#VALUE!</v>
      </c>
      <c r="L108" s="36" t="e">
        <f>SUMIFS('[4]BESS 10B'!V:V,'[4]BESS 10B'!B:B,J108)</f>
        <v>#VALUE!</v>
      </c>
      <c r="M108" s="139" t="e">
        <f t="shared" ref="M108:M139" si="22">K108-L108</f>
        <v>#VALUE!</v>
      </c>
      <c r="N108" s="432" t="s">
        <v>579</v>
      </c>
      <c r="O108" s="424">
        <f t="shared" si="15"/>
        <v>46242</v>
      </c>
      <c r="P108" s="140" t="s">
        <v>164</v>
      </c>
      <c r="Q108" s="240">
        <v>2</v>
      </c>
      <c r="R108" s="241">
        <v>4</v>
      </c>
      <c r="S108" s="242" t="e">
        <f>(K108*R108)/Q108</f>
        <v>#VALUE!</v>
      </c>
      <c r="T108" s="375"/>
      <c r="AB108" s="60"/>
    </row>
    <row r="109" spans="2:30" ht="25.5">
      <c r="B109" s="473"/>
      <c r="C109" s="476"/>
      <c r="D109" s="516"/>
      <c r="E109" s="445"/>
      <c r="F109" s="456"/>
      <c r="G109" s="456"/>
      <c r="H109" s="456"/>
      <c r="I109" s="6">
        <f>I108+0.01</f>
        <v>5.129999999999999</v>
      </c>
      <c r="J109" s="138" t="s">
        <v>27</v>
      </c>
      <c r="K109" s="35" t="e">
        <f>SUMIFS('[4]BESS 10B'!U:U,'[4]BESS 10B'!B:B,J109)</f>
        <v>#VALUE!</v>
      </c>
      <c r="L109" s="36" t="e">
        <f>SUMIFS('[4]BESS 10B'!V:V,'[4]BESS 10B'!B:B,J109)</f>
        <v>#VALUE!</v>
      </c>
      <c r="M109" s="139" t="e">
        <f t="shared" si="22"/>
        <v>#VALUE!</v>
      </c>
      <c r="N109" s="432" t="s">
        <v>580</v>
      </c>
      <c r="O109" s="424">
        <f t="shared" si="15"/>
        <v>46242</v>
      </c>
      <c r="P109" s="140" t="s">
        <v>164</v>
      </c>
      <c r="Q109" s="240">
        <v>10</v>
      </c>
      <c r="R109" s="241">
        <v>4</v>
      </c>
      <c r="S109" s="242" t="e">
        <f>(K109*R109)/Q109</f>
        <v>#VALUE!</v>
      </c>
      <c r="T109" s="375"/>
      <c r="AB109" s="60"/>
    </row>
    <row r="110" spans="2:30" ht="25.5">
      <c r="B110" s="473"/>
      <c r="C110" s="476"/>
      <c r="D110" s="516"/>
      <c r="E110" s="445"/>
      <c r="F110" s="456"/>
      <c r="G110" s="456"/>
      <c r="H110" s="456"/>
      <c r="I110" s="6">
        <f>I109+0.01</f>
        <v>5.1399999999999988</v>
      </c>
      <c r="J110" s="138" t="s">
        <v>28</v>
      </c>
      <c r="K110" s="35" t="e">
        <f>SUMIFS('[4]BESS 10B'!U:U,'[4]BESS 10B'!B:B,J110)</f>
        <v>#VALUE!</v>
      </c>
      <c r="L110" s="36" t="e">
        <f>SUMIFS('[4]BESS 10B'!V:V,'[4]BESS 10B'!B:B,J110)</f>
        <v>#VALUE!</v>
      </c>
      <c r="M110" s="139" t="e">
        <f t="shared" si="22"/>
        <v>#VALUE!</v>
      </c>
      <c r="N110" s="432" t="s">
        <v>583</v>
      </c>
      <c r="O110" s="424">
        <f t="shared" si="15"/>
        <v>46242</v>
      </c>
      <c r="P110" s="140" t="s">
        <v>164</v>
      </c>
      <c r="Q110" s="240">
        <v>5</v>
      </c>
      <c r="R110" s="241">
        <v>4</v>
      </c>
      <c r="S110" s="242" t="e">
        <f>(K110*R110)/Q110</f>
        <v>#VALUE!</v>
      </c>
      <c r="T110" s="375"/>
      <c r="V110" s="60"/>
      <c r="W110" s="60"/>
      <c r="Y110" s="60">
        <v>46227</v>
      </c>
      <c r="AB110" s="60"/>
    </row>
    <row r="111" spans="2:30" ht="25.5">
      <c r="B111" s="473"/>
      <c r="C111" s="476"/>
      <c r="D111" s="516"/>
      <c r="E111" s="445"/>
      <c r="F111" s="456"/>
      <c r="G111" s="456"/>
      <c r="H111" s="456"/>
      <c r="I111" s="6">
        <f t="shared" ref="I111:I139" si="23">I110+0.01</f>
        <v>5.1499999999999986</v>
      </c>
      <c r="J111" s="138" t="s">
        <v>29</v>
      </c>
      <c r="K111" s="35" t="e">
        <f>SUMIFS('[4]BESS 10B'!U:U,'[4]BESS 10B'!B:B,J111)</f>
        <v>#VALUE!</v>
      </c>
      <c r="L111" s="36" t="e">
        <f>SUMIFS('[4]BESS 10B'!V:V,'[4]BESS 10B'!B:B,J111)</f>
        <v>#VALUE!</v>
      </c>
      <c r="M111" s="139" t="e">
        <f t="shared" si="22"/>
        <v>#VALUE!</v>
      </c>
      <c r="N111" s="442" t="s">
        <v>584</v>
      </c>
      <c r="O111" s="424">
        <f t="shared" si="15"/>
        <v>46242</v>
      </c>
      <c r="P111" s="140" t="s">
        <v>164</v>
      </c>
      <c r="Q111" s="240">
        <v>20</v>
      </c>
      <c r="R111" s="591">
        <v>4</v>
      </c>
      <c r="S111" s="621">
        <v>4</v>
      </c>
      <c r="T111" s="375"/>
      <c r="Y111" s="60">
        <v>46227</v>
      </c>
      <c r="AB111" s="60"/>
    </row>
    <row r="112" spans="2:30" ht="25.5">
      <c r="B112" s="473"/>
      <c r="C112" s="476"/>
      <c r="D112" s="516"/>
      <c r="E112" s="445"/>
      <c r="F112" s="456"/>
      <c r="G112" s="456"/>
      <c r="H112" s="456"/>
      <c r="I112" s="6">
        <f t="shared" si="23"/>
        <v>5.1599999999999984</v>
      </c>
      <c r="J112" s="138" t="s">
        <v>33</v>
      </c>
      <c r="K112" s="35" t="e">
        <f>SUMIFS('[4]BESS 10B'!U:U,'[4]BESS 10B'!B:B,J112)</f>
        <v>#VALUE!</v>
      </c>
      <c r="L112" s="36" t="e">
        <f>SUMIFS('[4]BESS 10B'!V:V,'[4]BESS 10B'!B:B,J112)</f>
        <v>#VALUE!</v>
      </c>
      <c r="M112" s="139" t="e">
        <f t="shared" si="22"/>
        <v>#VALUE!</v>
      </c>
      <c r="N112" s="432" t="s">
        <v>585</v>
      </c>
      <c r="O112" s="424">
        <f t="shared" si="15"/>
        <v>46238</v>
      </c>
      <c r="P112" s="140" t="s">
        <v>164</v>
      </c>
      <c r="Q112" s="240">
        <v>10</v>
      </c>
      <c r="R112" s="591"/>
      <c r="S112" s="621"/>
      <c r="T112" s="375"/>
      <c r="V112" s="60"/>
      <c r="W112" s="60"/>
      <c r="Y112" s="60">
        <v>46227</v>
      </c>
      <c r="AB112" s="60"/>
    </row>
    <row r="113" spans="2:28" ht="25.5">
      <c r="B113" s="473"/>
      <c r="C113" s="476"/>
      <c r="D113" s="516"/>
      <c r="E113" s="445"/>
      <c r="F113" s="456"/>
      <c r="G113" s="456"/>
      <c r="H113" s="456"/>
      <c r="I113" s="6">
        <f t="shared" si="23"/>
        <v>5.1699999999999982</v>
      </c>
      <c r="J113" s="138" t="s">
        <v>36</v>
      </c>
      <c r="K113" s="35" t="e">
        <f>SUMIFS('[4]BESS 10B'!U:U,'[4]BESS 10B'!B:B,J113)</f>
        <v>#VALUE!</v>
      </c>
      <c r="L113" s="36" t="e">
        <f>SUMIFS('[4]BESS 10B'!V:V,'[4]BESS 10B'!B:B,J113)</f>
        <v>#VALUE!</v>
      </c>
      <c r="M113" s="139" t="e">
        <f t="shared" si="22"/>
        <v>#VALUE!</v>
      </c>
      <c r="N113" s="432" t="s">
        <v>586</v>
      </c>
      <c r="O113" s="424">
        <f t="shared" si="15"/>
        <v>46238</v>
      </c>
      <c r="P113" s="140" t="s">
        <v>164</v>
      </c>
      <c r="Q113" s="240">
        <v>10</v>
      </c>
      <c r="R113" s="591"/>
      <c r="S113" s="621"/>
      <c r="T113" s="375"/>
      <c r="Y113" s="60">
        <v>46227</v>
      </c>
      <c r="AB113" s="60"/>
    </row>
    <row r="114" spans="2:28" ht="25.5">
      <c r="B114" s="473"/>
      <c r="C114" s="476"/>
      <c r="D114" s="516"/>
      <c r="E114" s="445"/>
      <c r="F114" s="456"/>
      <c r="G114" s="456"/>
      <c r="H114" s="456"/>
      <c r="I114" s="6">
        <f t="shared" si="23"/>
        <v>5.1799999999999979</v>
      </c>
      <c r="J114" s="138" t="s">
        <v>39</v>
      </c>
      <c r="K114" s="35" t="e">
        <f>SUMIFS('[4]BESS 10B'!U:U,'[4]BESS 10B'!B:B,J114)</f>
        <v>#VALUE!</v>
      </c>
      <c r="L114" s="36" t="e">
        <f>SUMIFS('[4]BESS 10B'!V:V,'[4]BESS 10B'!B:B,J114)</f>
        <v>#VALUE!</v>
      </c>
      <c r="M114" s="139" t="e">
        <f t="shared" si="22"/>
        <v>#VALUE!</v>
      </c>
      <c r="N114" s="432" t="s">
        <v>587</v>
      </c>
      <c r="O114" s="424">
        <f t="shared" si="15"/>
        <v>46242</v>
      </c>
      <c r="P114" s="140" t="s">
        <v>164</v>
      </c>
      <c r="Q114" s="240">
        <v>10</v>
      </c>
      <c r="R114" s="591"/>
      <c r="S114" s="621"/>
      <c r="T114" s="375"/>
      <c r="V114" s="60"/>
      <c r="W114" s="60"/>
      <c r="Y114" s="60">
        <v>46228</v>
      </c>
      <c r="AB114" s="60"/>
    </row>
    <row r="115" spans="2:28" ht="25.5">
      <c r="B115" s="473"/>
      <c r="C115" s="476"/>
      <c r="D115" s="516"/>
      <c r="E115" s="445"/>
      <c r="F115" s="456"/>
      <c r="G115" s="456"/>
      <c r="H115" s="456"/>
      <c r="I115" s="6">
        <f t="shared" si="23"/>
        <v>5.1899999999999977</v>
      </c>
      <c r="J115" s="8" t="s">
        <v>41</v>
      </c>
      <c r="K115" s="1" t="e">
        <f>SUMIFS('[4]BESS 10B'!U:U,'[4]BESS 10B'!B:B,J115)</f>
        <v>#VALUE!</v>
      </c>
      <c r="L115" s="2" t="e">
        <f>SUMIFS('[4]BESS 10B'!V:V,'[4]BESS 10B'!B:B,J115)</f>
        <v>#VALUE!</v>
      </c>
      <c r="M115" s="7" t="e">
        <f t="shared" si="22"/>
        <v>#VALUE!</v>
      </c>
      <c r="N115" s="432" t="s">
        <v>588</v>
      </c>
      <c r="O115" s="424">
        <f t="shared" si="15"/>
        <v>46238</v>
      </c>
      <c r="P115" s="5" t="s">
        <v>182</v>
      </c>
      <c r="Q115" s="240">
        <v>20</v>
      </c>
      <c r="R115" s="591"/>
      <c r="S115" s="621"/>
      <c r="T115" s="375"/>
      <c r="V115" s="60"/>
      <c r="W115" s="60"/>
      <c r="AB115" s="60"/>
    </row>
    <row r="116" spans="2:28" ht="25.5">
      <c r="B116" s="473"/>
      <c r="C116" s="476"/>
      <c r="D116" s="516"/>
      <c r="E116" s="445"/>
      <c r="F116" s="456"/>
      <c r="G116" s="456"/>
      <c r="H116" s="456"/>
      <c r="I116" s="6">
        <f t="shared" si="23"/>
        <v>5.1999999999999975</v>
      </c>
      <c r="J116" s="8" t="s">
        <v>43</v>
      </c>
      <c r="K116" s="1" t="e">
        <f>SUMIFS('[4]BESS 10B'!U:U,'[4]BESS 10B'!B:B,J116)</f>
        <v>#VALUE!</v>
      </c>
      <c r="L116" s="2" t="e">
        <f>SUMIFS('[4]BESS 10B'!V:V,'[4]BESS 10B'!B:B,J116)</f>
        <v>#VALUE!</v>
      </c>
      <c r="M116" s="7" t="e">
        <f t="shared" si="22"/>
        <v>#VALUE!</v>
      </c>
      <c r="N116" s="432" t="s">
        <v>589</v>
      </c>
      <c r="O116" s="424">
        <f t="shared" si="15"/>
        <v>46242</v>
      </c>
      <c r="P116" s="5" t="s">
        <v>182</v>
      </c>
      <c r="Q116" s="240">
        <v>0.66666666666666663</v>
      </c>
      <c r="R116" s="241">
        <v>0</v>
      </c>
      <c r="S116" s="242" t="e">
        <f>(K116*R116)/Q116</f>
        <v>#VALUE!</v>
      </c>
      <c r="T116" s="375"/>
      <c r="V116" s="60"/>
      <c r="W116" s="60"/>
      <c r="AB116" s="60"/>
    </row>
    <row r="117" spans="2:28" ht="25.5">
      <c r="B117" s="473"/>
      <c r="C117" s="476"/>
      <c r="D117" s="516"/>
      <c r="E117" s="445"/>
      <c r="F117" s="456"/>
      <c r="G117" s="456"/>
      <c r="H117" s="456"/>
      <c r="I117" s="6">
        <f t="shared" si="23"/>
        <v>5.2099999999999973</v>
      </c>
      <c r="J117" s="8" t="s">
        <v>21</v>
      </c>
      <c r="K117" s="1" t="e">
        <f>SUMIFS('[4]BESS 10B'!U:U,'[4]BESS 10B'!B:B,J117)</f>
        <v>#VALUE!</v>
      </c>
      <c r="L117" s="2" t="e">
        <f>SUMIFS('[4]BESS 10B'!V:V,'[4]BESS 10B'!B:B,J117)</f>
        <v>#VALUE!</v>
      </c>
      <c r="M117" s="7" t="e">
        <f t="shared" si="22"/>
        <v>#VALUE!</v>
      </c>
      <c r="N117" s="432" t="s">
        <v>590</v>
      </c>
      <c r="O117" s="424">
        <f t="shared" si="15"/>
        <v>46242</v>
      </c>
      <c r="P117" s="140" t="s">
        <v>164</v>
      </c>
      <c r="Q117" s="240">
        <v>10</v>
      </c>
      <c r="R117" s="241">
        <v>4</v>
      </c>
      <c r="S117" s="242" t="e">
        <f>(K117*R117)/Q117</f>
        <v>#VALUE!</v>
      </c>
      <c r="T117" s="375"/>
      <c r="AB117" s="60"/>
    </row>
    <row r="118" spans="2:28" ht="25.5">
      <c r="B118" s="473"/>
      <c r="C118" s="476"/>
      <c r="D118" s="516"/>
      <c r="E118" s="445"/>
      <c r="F118" s="456"/>
      <c r="G118" s="456"/>
      <c r="H118" s="456"/>
      <c r="I118" s="6">
        <f t="shared" si="23"/>
        <v>5.2199999999999971</v>
      </c>
      <c r="J118" s="138" t="s">
        <v>47</v>
      </c>
      <c r="K118" s="35" t="e">
        <f>SUMIFS('[4]BESS 10B'!U:U,'[4]BESS 10B'!B:B,J118)</f>
        <v>#VALUE!</v>
      </c>
      <c r="L118" s="36" t="e">
        <f>SUMIFS('[4]BESS 10B'!V:V,'[4]BESS 10B'!B:B,J118)</f>
        <v>#VALUE!</v>
      </c>
      <c r="M118" s="139" t="e">
        <f t="shared" si="22"/>
        <v>#VALUE!</v>
      </c>
      <c r="N118" s="432" t="s">
        <v>591</v>
      </c>
      <c r="O118" s="424">
        <f t="shared" si="15"/>
        <v>46242</v>
      </c>
      <c r="P118" s="140" t="s">
        <v>164</v>
      </c>
      <c r="Q118" s="240">
        <v>1500</v>
      </c>
      <c r="R118" s="241">
        <v>48</v>
      </c>
      <c r="S118" s="242" t="e">
        <f t="shared" ref="S118:S128" si="24">(K118*R118)/Q118</f>
        <v>#VALUE!</v>
      </c>
      <c r="T118" s="375"/>
      <c r="W118" s="60"/>
      <c r="AB118" s="60"/>
    </row>
    <row r="119" spans="2:28" ht="25.5">
      <c r="B119" s="473"/>
      <c r="C119" s="476"/>
      <c r="D119" s="516"/>
      <c r="E119" s="445"/>
      <c r="F119" s="456"/>
      <c r="G119" s="456"/>
      <c r="H119" s="456"/>
      <c r="I119" s="6">
        <f t="shared" si="23"/>
        <v>5.2299999999999969</v>
      </c>
      <c r="J119" s="138" t="s">
        <v>48</v>
      </c>
      <c r="K119" s="35" t="e">
        <f>SUMIFS('[4]BESS 10B'!U:U,'[4]BESS 10B'!B:B,J119)</f>
        <v>#VALUE!</v>
      </c>
      <c r="L119" s="36" t="e">
        <f>SUMIFS('[4]BESS 10B'!V:V,'[4]BESS 10B'!B:B,J119)</f>
        <v>#VALUE!</v>
      </c>
      <c r="M119" s="139" t="e">
        <f t="shared" si="22"/>
        <v>#VALUE!</v>
      </c>
      <c r="N119" s="20" t="s">
        <v>592</v>
      </c>
      <c r="O119" s="424">
        <f t="shared" si="15"/>
        <v>46249</v>
      </c>
      <c r="P119" s="140" t="s">
        <v>164</v>
      </c>
      <c r="Q119" s="240">
        <v>8</v>
      </c>
      <c r="R119" s="241">
        <v>6</v>
      </c>
      <c r="S119" s="242" t="e">
        <f t="shared" si="24"/>
        <v>#VALUE!</v>
      </c>
      <c r="T119" s="375"/>
      <c r="W119" s="60"/>
      <c r="AB119" s="60"/>
    </row>
    <row r="120" spans="2:28" ht="25.5">
      <c r="B120" s="473"/>
      <c r="C120" s="476"/>
      <c r="D120" s="516"/>
      <c r="E120" s="445"/>
      <c r="F120" s="456"/>
      <c r="G120" s="456"/>
      <c r="H120" s="456"/>
      <c r="I120" s="6">
        <f t="shared" si="23"/>
        <v>5.2399999999999967</v>
      </c>
      <c r="J120" s="138" t="s">
        <v>126</v>
      </c>
      <c r="K120" s="35" t="e">
        <f>SUMIFS('[4]BESS 10B'!U:U,'[4]BESS 10B'!B:B,J120)</f>
        <v>#VALUE!</v>
      </c>
      <c r="L120" s="36" t="e">
        <f>SUMIFS('[4]BESS 10B'!V:V,'[4]BESS 10B'!B:B,J120)</f>
        <v>#VALUE!</v>
      </c>
      <c r="M120" s="139" t="e">
        <f t="shared" si="22"/>
        <v>#VALUE!</v>
      </c>
      <c r="N120" s="432" t="s">
        <v>593</v>
      </c>
      <c r="O120" s="424">
        <f t="shared" si="15"/>
        <v>46244</v>
      </c>
      <c r="P120" s="140" t="s">
        <v>164</v>
      </c>
      <c r="Q120" s="240">
        <v>600</v>
      </c>
      <c r="R120" s="241">
        <v>10</v>
      </c>
      <c r="S120" s="242" t="e">
        <f t="shared" si="24"/>
        <v>#VALUE!</v>
      </c>
      <c r="T120" s="375"/>
      <c r="W120" s="60"/>
      <c r="AB120" s="60"/>
    </row>
    <row r="121" spans="2:28" ht="25.5">
      <c r="B121" s="473"/>
      <c r="C121" s="476"/>
      <c r="D121" s="516"/>
      <c r="E121" s="445"/>
      <c r="F121" s="456"/>
      <c r="G121" s="456"/>
      <c r="H121" s="456"/>
      <c r="I121" s="6">
        <f t="shared" si="23"/>
        <v>5.2499999999999964</v>
      </c>
      <c r="J121" s="138" t="s">
        <v>127</v>
      </c>
      <c r="K121" s="35" t="e">
        <f>SUMIFS('[4]BESS 10B'!U:U,'[4]BESS 10B'!B:B,J121)</f>
        <v>#VALUE!</v>
      </c>
      <c r="L121" s="36" t="e">
        <f>SUMIFS('[4]BESS 10B'!V:V,'[4]BESS 10B'!B:B,J121)</f>
        <v>#VALUE!</v>
      </c>
      <c r="M121" s="139" t="e">
        <f t="shared" si="22"/>
        <v>#VALUE!</v>
      </c>
      <c r="N121" s="432" t="s">
        <v>594</v>
      </c>
      <c r="O121" s="424">
        <f t="shared" si="15"/>
        <v>46244</v>
      </c>
      <c r="P121" s="140" t="s">
        <v>164</v>
      </c>
      <c r="Q121" s="240">
        <v>600</v>
      </c>
      <c r="R121" s="241">
        <v>10</v>
      </c>
      <c r="S121" s="242" t="e">
        <f t="shared" si="24"/>
        <v>#VALUE!</v>
      </c>
      <c r="T121" s="375"/>
      <c r="W121" s="60"/>
      <c r="AB121" s="60"/>
    </row>
    <row r="122" spans="2:28" ht="25.5">
      <c r="B122" s="473"/>
      <c r="C122" s="476"/>
      <c r="D122" s="516"/>
      <c r="E122" s="445"/>
      <c r="F122" s="456"/>
      <c r="G122" s="456"/>
      <c r="H122" s="456"/>
      <c r="I122" s="6">
        <f t="shared" si="23"/>
        <v>5.2599999999999962</v>
      </c>
      <c r="J122" s="138" t="s">
        <v>128</v>
      </c>
      <c r="K122" s="35" t="e">
        <f>SUMIFS('[4]BESS 10B'!U:U,'[4]BESS 10B'!B:B,J122)</f>
        <v>#VALUE!</v>
      </c>
      <c r="L122" s="36" t="e">
        <f>SUMIFS('[4]BESS 10B'!V:V,'[4]BESS 10B'!B:B,J122)</f>
        <v>#VALUE!</v>
      </c>
      <c r="M122" s="139" t="e">
        <f t="shared" si="22"/>
        <v>#VALUE!</v>
      </c>
      <c r="N122" s="20" t="s">
        <v>595</v>
      </c>
      <c r="O122" s="424">
        <f t="shared" si="15"/>
        <v>46250</v>
      </c>
      <c r="P122" s="140" t="s">
        <v>164</v>
      </c>
      <c r="Q122" s="240">
        <v>30</v>
      </c>
      <c r="R122" s="241">
        <v>18</v>
      </c>
      <c r="S122" s="242" t="e">
        <f t="shared" si="24"/>
        <v>#VALUE!</v>
      </c>
      <c r="T122" s="375"/>
      <c r="W122" s="60"/>
      <c r="AB122" s="60"/>
    </row>
    <row r="123" spans="2:28" ht="25.5">
      <c r="B123" s="473"/>
      <c r="C123" s="476"/>
      <c r="D123" s="516"/>
      <c r="E123" s="445"/>
      <c r="F123" s="456"/>
      <c r="G123" s="456"/>
      <c r="H123" s="456"/>
      <c r="I123" s="6">
        <f t="shared" si="23"/>
        <v>5.269999999999996</v>
      </c>
      <c r="J123" s="138" t="s">
        <v>129</v>
      </c>
      <c r="K123" s="35" t="e">
        <f>SUMIFS('[4]BESS 10B'!U:U,'[4]BESS 10B'!B:B,J123)</f>
        <v>#VALUE!</v>
      </c>
      <c r="L123" s="36" t="e">
        <f>SUMIFS('[4]BESS 10B'!V:V,'[4]BESS 10B'!B:B,J123)</f>
        <v>#VALUE!</v>
      </c>
      <c r="M123" s="139" t="e">
        <f t="shared" si="22"/>
        <v>#VALUE!</v>
      </c>
      <c r="N123" s="432" t="s">
        <v>385</v>
      </c>
      <c r="O123" s="424">
        <f t="shared" si="15"/>
        <v>46239</v>
      </c>
      <c r="P123" s="140" t="s">
        <v>164</v>
      </c>
      <c r="Q123" s="240">
        <v>30</v>
      </c>
      <c r="R123" s="241">
        <v>18</v>
      </c>
      <c r="S123" s="242" t="e">
        <f t="shared" si="24"/>
        <v>#VALUE!</v>
      </c>
      <c r="T123" s="375"/>
      <c r="W123" s="60"/>
      <c r="AB123" s="60"/>
    </row>
    <row r="124" spans="2:28" ht="25.5">
      <c r="B124" s="473"/>
      <c r="C124" s="476"/>
      <c r="D124" s="516"/>
      <c r="E124" s="445"/>
      <c r="F124" s="456"/>
      <c r="G124" s="456"/>
      <c r="H124" s="456"/>
      <c r="I124" s="6">
        <f t="shared" si="23"/>
        <v>5.2799999999999958</v>
      </c>
      <c r="J124" s="138" t="s">
        <v>130</v>
      </c>
      <c r="K124" s="35" t="e">
        <f>SUMIFS('[4]BESS 10B'!U:U,'[4]BESS 10B'!B:B,J124)</f>
        <v>#VALUE!</v>
      </c>
      <c r="L124" s="36" t="e">
        <f>SUMIFS('[4]BESS 10B'!V:V,'[4]BESS 10B'!B:B,J124)</f>
        <v>#VALUE!</v>
      </c>
      <c r="M124" s="139" t="e">
        <f t="shared" si="22"/>
        <v>#VALUE!</v>
      </c>
      <c r="N124" s="20" t="s">
        <v>596</v>
      </c>
      <c r="O124" s="424">
        <f t="shared" si="15"/>
        <v>46246</v>
      </c>
      <c r="P124" s="140" t="s">
        <v>164</v>
      </c>
      <c r="Q124" s="240">
        <v>1000</v>
      </c>
      <c r="R124" s="241">
        <v>10</v>
      </c>
      <c r="S124" s="242" t="e">
        <f t="shared" si="24"/>
        <v>#VALUE!</v>
      </c>
      <c r="T124" s="375"/>
      <c r="W124" s="60"/>
      <c r="AB124" s="60"/>
    </row>
    <row r="125" spans="2:28" ht="25.5">
      <c r="B125" s="473"/>
      <c r="C125" s="476"/>
      <c r="D125" s="516"/>
      <c r="E125" s="445"/>
      <c r="F125" s="456"/>
      <c r="G125" s="456"/>
      <c r="H125" s="456"/>
      <c r="I125" s="6">
        <f t="shared" si="23"/>
        <v>5.2899999999999956</v>
      </c>
      <c r="J125" s="138" t="s">
        <v>131</v>
      </c>
      <c r="K125" s="35" t="e">
        <f>SUMIFS('[4]BESS 10B'!U:U,'[4]BESS 10B'!B:B,J125)</f>
        <v>#VALUE!</v>
      </c>
      <c r="L125" s="36" t="e">
        <f>SUMIFS('[4]BESS 10B'!V:V,'[4]BESS 10B'!B:B,J125)</f>
        <v>#VALUE!</v>
      </c>
      <c r="M125" s="139" t="e">
        <f t="shared" ref="M125:M138" si="25">K125-L125</f>
        <v>#VALUE!</v>
      </c>
      <c r="N125" s="20" t="s">
        <v>596</v>
      </c>
      <c r="O125" s="424">
        <f t="shared" si="15"/>
        <v>46246</v>
      </c>
      <c r="P125" s="140" t="s">
        <v>164</v>
      </c>
      <c r="Q125" s="240">
        <v>1000</v>
      </c>
      <c r="R125" s="241">
        <v>10</v>
      </c>
      <c r="S125" s="242" t="e">
        <f t="shared" si="24"/>
        <v>#VALUE!</v>
      </c>
      <c r="T125" s="375"/>
      <c r="W125" s="60"/>
      <c r="AB125" s="60"/>
    </row>
    <row r="126" spans="2:28" ht="25.5">
      <c r="B126" s="473"/>
      <c r="C126" s="476"/>
      <c r="D126" s="516"/>
      <c r="E126" s="445"/>
      <c r="F126" s="456"/>
      <c r="G126" s="456"/>
      <c r="H126" s="456"/>
      <c r="I126" s="6">
        <f t="shared" si="23"/>
        <v>5.2999999999999954</v>
      </c>
      <c r="J126" s="138" t="s">
        <v>132</v>
      </c>
      <c r="K126" s="35" t="e">
        <f>SUMIFS('[4]BESS 10B'!U:U,'[4]BESS 10B'!B:B,J126)</f>
        <v>#VALUE!</v>
      </c>
      <c r="L126" s="36" t="e">
        <f>SUMIFS('[4]BESS 10B'!V:V,'[4]BESS 10B'!B:B,J126)</f>
        <v>#VALUE!</v>
      </c>
      <c r="M126" s="139" t="e">
        <f t="shared" si="25"/>
        <v>#VALUE!</v>
      </c>
      <c r="N126" s="20" t="s">
        <v>596</v>
      </c>
      <c r="O126" s="424">
        <f t="shared" si="15"/>
        <v>46246</v>
      </c>
      <c r="P126" s="140" t="s">
        <v>164</v>
      </c>
      <c r="Q126" s="240">
        <v>500</v>
      </c>
      <c r="R126" s="241">
        <v>10</v>
      </c>
      <c r="S126" s="242" t="e">
        <f t="shared" si="24"/>
        <v>#VALUE!</v>
      </c>
      <c r="T126" s="375"/>
      <c r="W126" s="60"/>
      <c r="AB126" s="60"/>
    </row>
    <row r="127" spans="2:28" ht="25.5">
      <c r="B127" s="473"/>
      <c r="C127" s="476"/>
      <c r="D127" s="516"/>
      <c r="E127" s="445"/>
      <c r="F127" s="456"/>
      <c r="G127" s="456"/>
      <c r="H127" s="456"/>
      <c r="I127" s="6">
        <f t="shared" si="23"/>
        <v>5.3099999999999952</v>
      </c>
      <c r="J127" s="138" t="s">
        <v>133</v>
      </c>
      <c r="K127" s="35" t="e">
        <f>SUMIFS('[4]BESS 10B'!U:U,'[4]BESS 10B'!B:B,J127)</f>
        <v>#VALUE!</v>
      </c>
      <c r="L127" s="36" t="e">
        <f>SUMIFS('[4]BESS 10B'!V:V,'[4]BESS 10B'!B:B,J127)</f>
        <v>#VALUE!</v>
      </c>
      <c r="M127" s="139" t="e">
        <f t="shared" si="25"/>
        <v>#VALUE!</v>
      </c>
      <c r="N127" s="20" t="s">
        <v>597</v>
      </c>
      <c r="O127" s="424">
        <f t="shared" si="15"/>
        <v>46251</v>
      </c>
      <c r="P127" s="140" t="s">
        <v>164</v>
      </c>
      <c r="Q127" s="240">
        <v>30</v>
      </c>
      <c r="R127" s="241">
        <v>6</v>
      </c>
      <c r="S127" s="242" t="e">
        <f t="shared" si="24"/>
        <v>#VALUE!</v>
      </c>
      <c r="T127" s="375"/>
      <c r="W127" s="60"/>
      <c r="AB127" s="60"/>
    </row>
    <row r="128" spans="2:28" ht="25.5">
      <c r="B128" s="473"/>
      <c r="C128" s="476"/>
      <c r="D128" s="516"/>
      <c r="E128" s="445"/>
      <c r="F128" s="456"/>
      <c r="G128" s="456"/>
      <c r="H128" s="456"/>
      <c r="I128" s="6">
        <f t="shared" si="23"/>
        <v>5.319999999999995</v>
      </c>
      <c r="J128" s="138" t="s">
        <v>134</v>
      </c>
      <c r="K128" s="35" t="e">
        <f>SUMIFS('[4]BESS 10B'!U:U,'[4]BESS 10B'!B:B,J128)</f>
        <v>#VALUE!</v>
      </c>
      <c r="L128" s="36" t="e">
        <f>SUMIFS('[4]BESS 10B'!V:V,'[4]BESS 10B'!B:B,J128)</f>
        <v>#VALUE!</v>
      </c>
      <c r="M128" s="139" t="e">
        <f t="shared" si="25"/>
        <v>#VALUE!</v>
      </c>
      <c r="N128" s="20" t="s">
        <v>597</v>
      </c>
      <c r="O128" s="424">
        <f t="shared" si="15"/>
        <v>46251</v>
      </c>
      <c r="P128" s="140" t="s">
        <v>187</v>
      </c>
      <c r="Q128" s="240">
        <v>30</v>
      </c>
      <c r="R128" s="241">
        <v>4</v>
      </c>
      <c r="S128" s="242" t="e">
        <f t="shared" si="24"/>
        <v>#VALUE!</v>
      </c>
      <c r="T128" s="375"/>
      <c r="W128" s="60"/>
      <c r="AB128" s="60"/>
    </row>
    <row r="129" spans="2:28" ht="25.5">
      <c r="B129" s="473"/>
      <c r="C129" s="476"/>
      <c r="D129" s="516"/>
      <c r="E129" s="445"/>
      <c r="F129" s="456"/>
      <c r="G129" s="456"/>
      <c r="H129" s="456"/>
      <c r="I129" s="6">
        <f t="shared" si="23"/>
        <v>5.3299999999999947</v>
      </c>
      <c r="J129" s="8" t="s">
        <v>136</v>
      </c>
      <c r="K129" s="35" t="e">
        <f>SUMIFS('[4]BESS 10B'!U:U,'[4]BESS 10B'!B:B,J129)</f>
        <v>#VALUE!</v>
      </c>
      <c r="L129" s="36" t="e">
        <f>SUMIFS('[4]BESS 10B'!V:V,'[4]BESS 10B'!B:B,J129)</f>
        <v>#VALUE!</v>
      </c>
      <c r="M129" s="139" t="e">
        <f t="shared" si="25"/>
        <v>#VALUE!</v>
      </c>
      <c r="N129" s="20" t="s">
        <v>597</v>
      </c>
      <c r="O129" s="424">
        <f t="shared" si="15"/>
        <v>46251</v>
      </c>
      <c r="P129" s="5" t="s">
        <v>187</v>
      </c>
      <c r="Q129" s="240" t="s">
        <v>89</v>
      </c>
      <c r="R129" s="241" t="s">
        <v>89</v>
      </c>
      <c r="S129" s="242" t="s">
        <v>89</v>
      </c>
      <c r="T129" s="375"/>
      <c r="U129">
        <f ca="1">O129-$T$1</f>
        <v>18</v>
      </c>
      <c r="V129" s="97" t="e">
        <f>SUM(S108:S139)</f>
        <v>#VALUE!</v>
      </c>
      <c r="W129" s="60"/>
      <c r="X129" s="97" t="e">
        <f ca="1">V129/U129</f>
        <v>#VALUE!</v>
      </c>
      <c r="AB129" s="60"/>
    </row>
    <row r="130" spans="2:28" ht="25.5">
      <c r="B130" s="473"/>
      <c r="C130" s="476"/>
      <c r="D130" s="516"/>
      <c r="E130" s="445"/>
      <c r="F130" s="456"/>
      <c r="G130" s="456"/>
      <c r="H130" s="456"/>
      <c r="I130" s="6">
        <f t="shared" si="23"/>
        <v>5.3399999999999945</v>
      </c>
      <c r="J130" s="138" t="s">
        <v>137</v>
      </c>
      <c r="K130" s="35" t="e">
        <f>SUMIFS('[4]BESS 10B'!U:U,'[4]BESS 10B'!B:B,J130)</f>
        <v>#VALUE!</v>
      </c>
      <c r="L130" s="36" t="e">
        <f>SUMIFS('[4]BESS 10B'!V:V,'[4]BESS 10B'!B:B,J130)</f>
        <v>#VALUE!</v>
      </c>
      <c r="M130" s="139" t="e">
        <f t="shared" si="25"/>
        <v>#VALUE!</v>
      </c>
      <c r="N130" s="20" t="s">
        <v>598</v>
      </c>
      <c r="O130" s="424">
        <f t="shared" si="15"/>
        <v>46246</v>
      </c>
      <c r="P130" s="140" t="s">
        <v>164</v>
      </c>
      <c r="Q130" s="620">
        <v>2</v>
      </c>
      <c r="R130" s="591">
        <v>8</v>
      </c>
      <c r="S130" s="621">
        <v>12</v>
      </c>
      <c r="T130" s="375"/>
      <c r="W130" s="60"/>
      <c r="AB130" s="60"/>
    </row>
    <row r="131" spans="2:28" ht="25.5">
      <c r="B131" s="473"/>
      <c r="C131" s="476"/>
      <c r="D131" s="516"/>
      <c r="E131" s="445"/>
      <c r="F131" s="456"/>
      <c r="G131" s="456"/>
      <c r="H131" s="456"/>
      <c r="I131" s="6">
        <f t="shared" si="23"/>
        <v>5.3499999999999943</v>
      </c>
      <c r="J131" s="138" t="s">
        <v>139</v>
      </c>
      <c r="K131" s="35" t="e">
        <f>SUMIFS('[4]BESS 10B'!U:U,'[4]BESS 10B'!B:B,J131)</f>
        <v>#VALUE!</v>
      </c>
      <c r="L131" s="36" t="e">
        <f>SUMIFS('[4]BESS 10B'!V:V,'[4]BESS 10B'!B:B,J131)</f>
        <v>#VALUE!</v>
      </c>
      <c r="M131" s="139" t="e">
        <f t="shared" si="25"/>
        <v>#VALUE!</v>
      </c>
      <c r="N131" s="20" t="s">
        <v>599</v>
      </c>
      <c r="O131" s="424">
        <f t="shared" si="15"/>
        <v>46250</v>
      </c>
      <c r="P131" s="140" t="s">
        <v>164</v>
      </c>
      <c r="Q131" s="620"/>
      <c r="R131" s="591"/>
      <c r="S131" s="621"/>
      <c r="T131" s="375"/>
      <c r="W131" s="60"/>
      <c r="AB131" s="60"/>
    </row>
    <row r="132" spans="2:28" ht="25.5">
      <c r="B132" s="473"/>
      <c r="C132" s="476"/>
      <c r="D132" s="516"/>
      <c r="E132" s="445"/>
      <c r="F132" s="456"/>
      <c r="G132" s="456"/>
      <c r="H132" s="456"/>
      <c r="I132" s="6">
        <f t="shared" si="23"/>
        <v>5.3599999999999941</v>
      </c>
      <c r="J132" s="138" t="s">
        <v>140</v>
      </c>
      <c r="K132" s="35" t="e">
        <f>SUMIFS('[4]BESS 10B'!U:U,'[4]BESS 10B'!B:B,J132)</f>
        <v>#VALUE!</v>
      </c>
      <c r="L132" s="36" t="e">
        <f>SUMIFS('[4]BESS 10B'!V:V,'[4]BESS 10B'!B:B,J132)</f>
        <v>#VALUE!</v>
      </c>
      <c r="M132" s="139" t="e">
        <f t="shared" si="25"/>
        <v>#VALUE!</v>
      </c>
      <c r="N132" s="20" t="s">
        <v>601</v>
      </c>
      <c r="O132" s="424">
        <f t="shared" si="15"/>
        <v>46255</v>
      </c>
      <c r="P132" s="140" t="s">
        <v>164</v>
      </c>
      <c r="Q132" s="240">
        <v>2</v>
      </c>
      <c r="R132" s="241">
        <v>4</v>
      </c>
      <c r="S132" s="242" t="e">
        <f t="shared" ref="S132:S139" si="26">(K132*R132)/Q132</f>
        <v>#VALUE!</v>
      </c>
      <c r="T132" s="375"/>
      <c r="U132">
        <f ca="1">O132-$T$1</f>
        <v>22</v>
      </c>
      <c r="V132" s="97" t="e">
        <f>SUM(S108:S139)</f>
        <v>#VALUE!</v>
      </c>
      <c r="W132" s="60"/>
      <c r="X132" s="97" t="e">
        <f ca="1">V132/(U132-3)</f>
        <v>#VALUE!</v>
      </c>
      <c r="AB132" s="60"/>
    </row>
    <row r="133" spans="2:28" ht="25.5">
      <c r="B133" s="473"/>
      <c r="C133" s="476"/>
      <c r="D133" s="516"/>
      <c r="E133" s="445"/>
      <c r="F133" s="456"/>
      <c r="G133" s="456"/>
      <c r="H133" s="456"/>
      <c r="I133" s="6">
        <f t="shared" si="23"/>
        <v>5.3699999999999939</v>
      </c>
      <c r="J133" s="138" t="s">
        <v>141</v>
      </c>
      <c r="K133" s="35" t="e">
        <f>SUMIFS('[4]BESS 10B'!U:U,'[4]BESS 10B'!B:B,J133)</f>
        <v>#VALUE!</v>
      </c>
      <c r="L133" s="36" t="e">
        <f>SUMIFS('[4]BESS 10B'!V:V,'[4]BESS 10B'!B:B,J133)</f>
        <v>#VALUE!</v>
      </c>
      <c r="M133" s="139" t="e">
        <f t="shared" si="25"/>
        <v>#VALUE!</v>
      </c>
      <c r="N133" s="20" t="s">
        <v>600</v>
      </c>
      <c r="O133" s="424">
        <f t="shared" ref="O133:O196" si="27">IF(LEN(N133)=5,N133,(IF(N133="Completed","-",DATEVALUE(RIGHT(N133,6)))))</f>
        <v>46246</v>
      </c>
      <c r="P133" s="140" t="s">
        <v>164</v>
      </c>
      <c r="Q133" s="240">
        <v>0.5</v>
      </c>
      <c r="R133" s="241">
        <v>4</v>
      </c>
      <c r="S133" s="242" t="e">
        <f t="shared" si="26"/>
        <v>#VALUE!</v>
      </c>
      <c r="T133" s="375"/>
      <c r="W133" s="60"/>
      <c r="AB133" s="60"/>
    </row>
    <row r="134" spans="2:28" ht="25.5">
      <c r="B134" s="473"/>
      <c r="C134" s="476"/>
      <c r="D134" s="516"/>
      <c r="E134" s="445"/>
      <c r="F134" s="456"/>
      <c r="G134" s="456"/>
      <c r="H134" s="456"/>
      <c r="I134" s="6">
        <f t="shared" si="23"/>
        <v>5.3799999999999937</v>
      </c>
      <c r="J134" s="138" t="s">
        <v>142</v>
      </c>
      <c r="K134" s="35" t="e">
        <f>SUMIFS('[4]BESS 10B'!U:U,'[4]BESS 10B'!B:B,J134)</f>
        <v>#VALUE!</v>
      </c>
      <c r="L134" s="36" t="e">
        <f>SUMIFS('[4]BESS 10B'!V:V,'[4]BESS 10B'!B:B,J134)</f>
        <v>#VALUE!</v>
      </c>
      <c r="M134" s="139" t="e">
        <f t="shared" si="25"/>
        <v>#VALUE!</v>
      </c>
      <c r="N134" s="20" t="s">
        <v>602</v>
      </c>
      <c r="O134" s="424">
        <f t="shared" si="27"/>
        <v>46253</v>
      </c>
      <c r="P134" s="140" t="s">
        <v>164</v>
      </c>
      <c r="Q134" s="240">
        <v>6</v>
      </c>
      <c r="R134" s="241">
        <v>4</v>
      </c>
      <c r="S134" s="242" t="e">
        <f t="shared" si="26"/>
        <v>#VALUE!</v>
      </c>
      <c r="T134" s="375"/>
      <c r="W134" s="60"/>
      <c r="AB134" s="60"/>
    </row>
    <row r="135" spans="2:28" ht="25.5">
      <c r="B135" s="473"/>
      <c r="C135" s="476"/>
      <c r="D135" s="516"/>
      <c r="E135" s="445"/>
      <c r="F135" s="456"/>
      <c r="G135" s="456"/>
      <c r="H135" s="456"/>
      <c r="I135" s="6">
        <f t="shared" si="23"/>
        <v>5.3899999999999935</v>
      </c>
      <c r="J135" s="138" t="s">
        <v>143</v>
      </c>
      <c r="K135" s="35" t="e">
        <f>SUMIFS('[4]BESS 10B'!U:U,'[4]BESS 10B'!B:B,J135)</f>
        <v>#VALUE!</v>
      </c>
      <c r="L135" s="36" t="e">
        <f>SUMIFS('[4]BESS 10B'!V:V,'[4]BESS 10B'!B:B,J135)</f>
        <v>#VALUE!</v>
      </c>
      <c r="M135" s="139" t="e">
        <f t="shared" si="25"/>
        <v>#VALUE!</v>
      </c>
      <c r="N135" s="20" t="s">
        <v>603</v>
      </c>
      <c r="O135" s="424">
        <f t="shared" si="27"/>
        <v>46251</v>
      </c>
      <c r="P135" s="140" t="s">
        <v>164</v>
      </c>
      <c r="Q135" s="240">
        <v>6</v>
      </c>
      <c r="R135" s="241">
        <v>5</v>
      </c>
      <c r="S135" s="242" t="e">
        <f t="shared" si="26"/>
        <v>#VALUE!</v>
      </c>
      <c r="T135" s="375"/>
      <c r="W135" s="60"/>
      <c r="AB135" s="60"/>
    </row>
    <row r="136" spans="2:28" ht="25.5">
      <c r="B136" s="473"/>
      <c r="C136" s="476"/>
      <c r="D136" s="516"/>
      <c r="E136" s="445"/>
      <c r="F136" s="456"/>
      <c r="G136" s="456"/>
      <c r="H136" s="456"/>
      <c r="I136" s="6">
        <f t="shared" si="23"/>
        <v>5.3999999999999932</v>
      </c>
      <c r="J136" s="138" t="s">
        <v>144</v>
      </c>
      <c r="K136" s="35" t="e">
        <f>SUMIFS('[4]BESS 10B'!U:U,'[4]BESS 10B'!B:B,J136)</f>
        <v>#VALUE!</v>
      </c>
      <c r="L136" s="36" t="e">
        <f>SUMIFS('[4]BESS 10B'!V:V,'[4]BESS 10B'!B:B,J136)</f>
        <v>#VALUE!</v>
      </c>
      <c r="M136" s="139" t="e">
        <f t="shared" si="25"/>
        <v>#VALUE!</v>
      </c>
      <c r="N136" s="20" t="s">
        <v>604</v>
      </c>
      <c r="O136" s="424">
        <f t="shared" si="27"/>
        <v>46249</v>
      </c>
      <c r="P136" s="140" t="s">
        <v>164</v>
      </c>
      <c r="Q136" s="240">
        <v>1</v>
      </c>
      <c r="R136" s="241">
        <v>5</v>
      </c>
      <c r="S136" s="242" t="e">
        <f t="shared" si="26"/>
        <v>#VALUE!</v>
      </c>
      <c r="T136" s="399"/>
      <c r="W136" s="60"/>
      <c r="AB136" s="60"/>
    </row>
    <row r="137" spans="2:28" ht="25.5">
      <c r="B137" s="473"/>
      <c r="C137" s="476"/>
      <c r="D137" s="516"/>
      <c r="E137" s="445"/>
      <c r="F137" s="456"/>
      <c r="G137" s="456"/>
      <c r="H137" s="456"/>
      <c r="I137" s="6">
        <f t="shared" si="23"/>
        <v>5.409999999999993</v>
      </c>
      <c r="J137" s="138" t="s">
        <v>145</v>
      </c>
      <c r="K137" s="35" t="e">
        <f>SUMIFS('[4]BESS 10B'!U:U,'[4]BESS 10B'!B:B,J137)</f>
        <v>#VALUE!</v>
      </c>
      <c r="L137" s="36" t="e">
        <f>SUMIFS('[4]BESS 10B'!V:V,'[4]BESS 10B'!B:B,J137)</f>
        <v>#VALUE!</v>
      </c>
      <c r="M137" s="139" t="e">
        <f t="shared" si="25"/>
        <v>#VALUE!</v>
      </c>
      <c r="N137" s="20" t="s">
        <v>605</v>
      </c>
      <c r="O137" s="424">
        <f t="shared" si="27"/>
        <v>46249</v>
      </c>
      <c r="P137" s="140" t="s">
        <v>164</v>
      </c>
      <c r="Q137" s="240">
        <v>3</v>
      </c>
      <c r="R137" s="241">
        <v>5</v>
      </c>
      <c r="S137" s="242" t="e">
        <f t="shared" si="26"/>
        <v>#VALUE!</v>
      </c>
      <c r="T137" s="399"/>
      <c r="W137" s="60"/>
      <c r="AB137" s="60"/>
    </row>
    <row r="138" spans="2:28" ht="25.5">
      <c r="B138" s="473"/>
      <c r="C138" s="476"/>
      <c r="D138" s="516"/>
      <c r="E138" s="445"/>
      <c r="F138" s="456"/>
      <c r="G138" s="456"/>
      <c r="H138" s="456"/>
      <c r="I138" s="6">
        <f t="shared" si="23"/>
        <v>5.4199999999999928</v>
      </c>
      <c r="J138" s="138" t="s">
        <v>54</v>
      </c>
      <c r="K138" s="35" t="e">
        <f>SUMIFS('[4]BESS 10B'!U:U,'[4]BESS 10B'!B:B,J138)</f>
        <v>#VALUE!</v>
      </c>
      <c r="L138" s="36" t="e">
        <f>SUMIFS('[4]BESS 10B'!V:V,'[4]BESS 10B'!B:B,J138)</f>
        <v>#VALUE!</v>
      </c>
      <c r="M138" s="139" t="e">
        <f t="shared" si="25"/>
        <v>#VALUE!</v>
      </c>
      <c r="N138" s="20" t="s">
        <v>606</v>
      </c>
      <c r="O138" s="424">
        <f t="shared" si="27"/>
        <v>46250</v>
      </c>
      <c r="P138" s="140" t="s">
        <v>164</v>
      </c>
      <c r="Q138" s="240">
        <v>150</v>
      </c>
      <c r="R138" s="241">
        <v>6</v>
      </c>
      <c r="S138" s="242" t="e">
        <f t="shared" si="26"/>
        <v>#VALUE!</v>
      </c>
      <c r="T138" s="399"/>
      <c r="W138" s="60"/>
      <c r="AB138" s="60"/>
    </row>
    <row r="139" spans="2:28" ht="26.25" thickBot="1">
      <c r="B139" s="474"/>
      <c r="C139" s="477"/>
      <c r="D139" s="517"/>
      <c r="E139" s="479"/>
      <c r="F139" s="515"/>
      <c r="G139" s="515"/>
      <c r="H139" s="515"/>
      <c r="I139" s="22">
        <f t="shared" si="23"/>
        <v>5.4299999999999926</v>
      </c>
      <c r="J139" s="296" t="s">
        <v>55</v>
      </c>
      <c r="K139" s="37" t="e">
        <f>SUMIFS('[4]BESS 10B'!U:U,'[4]BESS 10B'!B:B,J139)</f>
        <v>#VALUE!</v>
      </c>
      <c r="L139" s="38" t="e">
        <f>SUMIFS('[4]BESS 10B'!V:V,'[4]BESS 10B'!B:B,J139)</f>
        <v>#VALUE!</v>
      </c>
      <c r="M139" s="294" t="e">
        <f t="shared" si="22"/>
        <v>#VALUE!</v>
      </c>
      <c r="N139" s="406" t="s">
        <v>597</v>
      </c>
      <c r="O139" s="427">
        <f t="shared" si="27"/>
        <v>46251</v>
      </c>
      <c r="P139" s="349" t="s">
        <v>164</v>
      </c>
      <c r="Q139" s="249">
        <v>5</v>
      </c>
      <c r="R139" s="250">
        <v>6</v>
      </c>
      <c r="S139" s="251" t="e">
        <f t="shared" si="26"/>
        <v>#VALUE!</v>
      </c>
      <c r="T139" s="400"/>
      <c r="W139" s="60"/>
      <c r="AB139" s="60"/>
    </row>
    <row r="140" spans="2:28" s="70" customFormat="1" ht="15">
      <c r="B140" s="472" t="s">
        <v>159</v>
      </c>
      <c r="C140" s="475">
        <v>3</v>
      </c>
      <c r="D140" s="512" t="s">
        <v>429</v>
      </c>
      <c r="E140" s="524" t="s">
        <v>165</v>
      </c>
      <c r="F140" s="512" t="s">
        <v>430</v>
      </c>
      <c r="G140" s="512" t="s">
        <v>431</v>
      </c>
      <c r="H140" s="512" t="s">
        <v>432</v>
      </c>
      <c r="I140" s="74"/>
      <c r="J140" s="48"/>
      <c r="K140" s="48"/>
      <c r="L140" s="75" t="s">
        <v>121</v>
      </c>
      <c r="M140" s="48"/>
      <c r="N140" s="48"/>
      <c r="O140" s="424"/>
      <c r="P140" s="76"/>
      <c r="Q140" s="255"/>
      <c r="R140" s="256"/>
      <c r="S140" s="257"/>
      <c r="T140" s="403"/>
      <c r="U140" s="73"/>
      <c r="AB140"/>
    </row>
    <row r="141" spans="2:28">
      <c r="B141" s="473"/>
      <c r="C141" s="476"/>
      <c r="D141" s="516"/>
      <c r="E141" s="445"/>
      <c r="F141" s="456"/>
      <c r="G141" s="456"/>
      <c r="H141" s="456"/>
      <c r="I141" s="56">
        <f>C140+0.1</f>
        <v>3.1</v>
      </c>
      <c r="J141" s="57" t="s">
        <v>19</v>
      </c>
      <c r="K141" s="2" t="e">
        <f>SUMIFS('[4]BESS 10B'!M:M,'[4]BESS 10B'!B:B,J141)</f>
        <v>#VALUE!</v>
      </c>
      <c r="L141" s="89" t="e">
        <f>SUMIFS('[4]BESS 10B'!N:N,'[4]BESS 10B'!B:B,J141)</f>
        <v>#VALUE!</v>
      </c>
      <c r="M141" s="2" t="e">
        <f>K141-L141</f>
        <v>#VALUE!</v>
      </c>
      <c r="N141" s="63" t="s">
        <v>122</v>
      </c>
      <c r="O141" s="424" t="str">
        <f t="shared" si="27"/>
        <v>-</v>
      </c>
      <c r="P141" s="58" t="s">
        <v>161</v>
      </c>
      <c r="Q141" s="240">
        <v>1</v>
      </c>
      <c r="R141" s="241">
        <v>2</v>
      </c>
      <c r="S141" s="242" t="e">
        <f t="shared" ref="S141:S150" si="28">(K141*R141)/Q141</f>
        <v>#VALUE!</v>
      </c>
      <c r="T141" s="375"/>
    </row>
    <row r="142" spans="2:28" ht="25.5">
      <c r="B142" s="473"/>
      <c r="C142" s="476"/>
      <c r="D142" s="516"/>
      <c r="E142" s="445"/>
      <c r="F142" s="456"/>
      <c r="G142" s="456"/>
      <c r="H142" s="456"/>
      <c r="I142" s="4">
        <f>I141+0.1</f>
        <v>3.2</v>
      </c>
      <c r="J142" s="8" t="s">
        <v>23</v>
      </c>
      <c r="K142" s="1" t="e">
        <f>SUMIFS('[4]BESS 10B'!M:M,'[4]BESS 10B'!B:B,J142)</f>
        <v>#VALUE!</v>
      </c>
      <c r="L142" s="2" t="e">
        <f>SUMIFS('[4]BESS 10B'!N:N,'[4]BESS 10B'!B:B,J142)</f>
        <v>#VALUE!</v>
      </c>
      <c r="M142" s="7" t="e">
        <f t="shared" ref="M142:M151" si="29">K142-L142</f>
        <v>#VALUE!</v>
      </c>
      <c r="N142" s="432" t="s">
        <v>514</v>
      </c>
      <c r="O142" s="424">
        <f t="shared" si="27"/>
        <v>46240</v>
      </c>
      <c r="P142" s="5" t="s">
        <v>20</v>
      </c>
      <c r="Q142" s="240">
        <v>1</v>
      </c>
      <c r="R142" s="241">
        <v>16</v>
      </c>
      <c r="S142" s="242" t="e">
        <f t="shared" si="28"/>
        <v>#VALUE!</v>
      </c>
      <c r="T142" s="375"/>
      <c r="AB142" s="60"/>
    </row>
    <row r="143" spans="2:28" ht="25.5">
      <c r="B143" s="473"/>
      <c r="C143" s="476"/>
      <c r="D143" s="516"/>
      <c r="E143" s="445"/>
      <c r="F143" s="456"/>
      <c r="G143" s="456"/>
      <c r="H143" s="456"/>
      <c r="I143" s="4">
        <f t="shared" ref="I143:I149" si="30">I142+0.1</f>
        <v>3.3000000000000003</v>
      </c>
      <c r="J143" s="8" t="s">
        <v>26</v>
      </c>
      <c r="K143" s="1" t="e">
        <f>SUMIFS('[4]BESS 10B'!M:M,'[4]BESS 10B'!B:B,J143)</f>
        <v>#VALUE!</v>
      </c>
      <c r="L143" s="2" t="e">
        <f>SUMIFS('[4]BESS 10B'!N:N,'[4]BESS 10B'!B:B,J143)</f>
        <v>#VALUE!</v>
      </c>
      <c r="M143" s="7" t="e">
        <f t="shared" si="29"/>
        <v>#VALUE!</v>
      </c>
      <c r="N143" s="432" t="s">
        <v>532</v>
      </c>
      <c r="O143" s="424">
        <f t="shared" si="27"/>
        <v>46231</v>
      </c>
      <c r="P143" s="5" t="s">
        <v>167</v>
      </c>
      <c r="Q143" s="240">
        <v>1</v>
      </c>
      <c r="R143" s="241">
        <v>39</v>
      </c>
      <c r="S143" s="242" t="e">
        <f t="shared" si="28"/>
        <v>#VALUE!</v>
      </c>
      <c r="T143" s="375"/>
      <c r="AB143" s="60" t="s">
        <v>766</v>
      </c>
    </row>
    <row r="144" spans="2:28">
      <c r="B144" s="473"/>
      <c r="C144" s="476"/>
      <c r="D144" s="516"/>
      <c r="E144" s="445"/>
      <c r="F144" s="456"/>
      <c r="G144" s="456"/>
      <c r="H144" s="456"/>
      <c r="I144" s="56">
        <f t="shared" si="30"/>
        <v>3.4000000000000004</v>
      </c>
      <c r="J144" s="57" t="s">
        <v>32</v>
      </c>
      <c r="K144" s="2" t="e">
        <f>SUMIFS('[4]BESS 10B'!M:M,'[4]BESS 10B'!B:B,J144)</f>
        <v>#VALUE!</v>
      </c>
      <c r="L144" s="2" t="e">
        <f>SUMIFS('[4]BESS 10B'!N:N,'[4]BESS 10B'!B:B,J144)</f>
        <v>#VALUE!</v>
      </c>
      <c r="M144" s="2" t="e">
        <f t="shared" si="29"/>
        <v>#VALUE!</v>
      </c>
      <c r="N144" s="362" t="s">
        <v>122</v>
      </c>
      <c r="O144" s="424" t="str">
        <f t="shared" si="27"/>
        <v>-</v>
      </c>
      <c r="P144" s="58" t="s">
        <v>167</v>
      </c>
      <c r="Q144" s="240">
        <v>1</v>
      </c>
      <c r="R144" s="241">
        <v>37</v>
      </c>
      <c r="S144" s="242" t="e">
        <f t="shared" si="28"/>
        <v>#VALUE!</v>
      </c>
      <c r="T144" s="375"/>
      <c r="AB144" s="60"/>
    </row>
    <row r="145" spans="2:30">
      <c r="B145" s="473"/>
      <c r="C145" s="476"/>
      <c r="D145" s="516"/>
      <c r="E145" s="445"/>
      <c r="F145" s="456"/>
      <c r="G145" s="456"/>
      <c r="H145" s="456"/>
      <c r="I145" s="56">
        <f t="shared" si="30"/>
        <v>3.5000000000000004</v>
      </c>
      <c r="J145" s="57" t="s">
        <v>35</v>
      </c>
      <c r="K145" s="2" t="e">
        <f>SUMIFS('[4]BESS 10B'!M:M,'[4]BESS 10B'!B:B,J145)</f>
        <v>#VALUE!</v>
      </c>
      <c r="L145" s="2" t="e">
        <f>SUMIFS('[4]BESS 10B'!N:N,'[4]BESS 10B'!B:B,J145)</f>
        <v>#VALUE!</v>
      </c>
      <c r="M145" s="2" t="e">
        <f t="shared" si="29"/>
        <v>#VALUE!</v>
      </c>
      <c r="N145" s="362" t="s">
        <v>122</v>
      </c>
      <c r="O145" s="424" t="str">
        <f t="shared" si="27"/>
        <v>-</v>
      </c>
      <c r="P145" s="58" t="s">
        <v>167</v>
      </c>
      <c r="Q145" s="240">
        <v>1</v>
      </c>
      <c r="R145" s="241">
        <v>34</v>
      </c>
      <c r="S145" s="242" t="e">
        <f t="shared" si="28"/>
        <v>#VALUE!</v>
      </c>
      <c r="T145" s="375"/>
      <c r="AB145" s="60"/>
    </row>
    <row r="146" spans="2:30" ht="25.5">
      <c r="B146" s="473"/>
      <c r="C146" s="476"/>
      <c r="D146" s="516"/>
      <c r="E146" s="445"/>
      <c r="F146" s="456"/>
      <c r="G146" s="456"/>
      <c r="H146" s="456"/>
      <c r="I146" s="4">
        <f t="shared" si="30"/>
        <v>3.6000000000000005</v>
      </c>
      <c r="J146" s="8" t="s">
        <v>38</v>
      </c>
      <c r="K146" s="1" t="e">
        <f>SUMIFS('[4]BESS 10B'!M:M,'[4]BESS 10B'!B:B,J146)</f>
        <v>#VALUE!</v>
      </c>
      <c r="L146" s="2" t="e">
        <f>SUMIFS('[4]BESS 10B'!N:N,'[4]BESS 10B'!B:B,J146)</f>
        <v>#VALUE!</v>
      </c>
      <c r="M146" s="7" t="e">
        <f t="shared" si="29"/>
        <v>#VALUE!</v>
      </c>
      <c r="N146" s="432" t="s">
        <v>582</v>
      </c>
      <c r="O146" s="424">
        <f t="shared" si="27"/>
        <v>46240</v>
      </c>
      <c r="P146" s="5" t="s">
        <v>167</v>
      </c>
      <c r="Q146" s="240">
        <v>1</v>
      </c>
      <c r="R146" s="241">
        <v>54</v>
      </c>
      <c r="S146" s="242" t="e">
        <f t="shared" si="28"/>
        <v>#VALUE!</v>
      </c>
      <c r="T146" s="375"/>
      <c r="AB146" s="60" t="s">
        <v>767</v>
      </c>
    </row>
    <row r="147" spans="2:30">
      <c r="B147" s="473"/>
      <c r="C147" s="476"/>
      <c r="D147" s="516"/>
      <c r="E147" s="445"/>
      <c r="F147" s="456"/>
      <c r="G147" s="456"/>
      <c r="H147" s="456"/>
      <c r="I147" s="56">
        <f t="shared" si="30"/>
        <v>3.7000000000000006</v>
      </c>
      <c r="J147" s="57" t="s">
        <v>44</v>
      </c>
      <c r="K147" s="2" t="e">
        <f>SUMIFS('[4]BESS 10B'!M:M,'[4]BESS 10B'!B:B,J147)</f>
        <v>#VALUE!</v>
      </c>
      <c r="L147" s="2" t="e">
        <f>SUMIFS('[4]BESS 10B'!N:N,'[4]BESS 10B'!B:B,J147)</f>
        <v>#VALUE!</v>
      </c>
      <c r="M147" s="2" t="e">
        <f t="shared" si="29"/>
        <v>#VALUE!</v>
      </c>
      <c r="N147" s="63" t="s">
        <v>122</v>
      </c>
      <c r="O147" s="424" t="str">
        <f t="shared" si="27"/>
        <v>-</v>
      </c>
      <c r="P147" s="58" t="s">
        <v>45</v>
      </c>
      <c r="Q147" s="240">
        <v>3</v>
      </c>
      <c r="R147" s="241">
        <v>5</v>
      </c>
      <c r="S147" s="242" t="e">
        <f t="shared" si="28"/>
        <v>#VALUE!</v>
      </c>
      <c r="T147" s="375"/>
    </row>
    <row r="148" spans="2:30" ht="25.5">
      <c r="B148" s="473"/>
      <c r="C148" s="476"/>
      <c r="D148" s="516"/>
      <c r="E148" s="445"/>
      <c r="F148" s="456"/>
      <c r="G148" s="456"/>
      <c r="H148" s="456"/>
      <c r="I148" s="4">
        <f t="shared" si="30"/>
        <v>3.8000000000000007</v>
      </c>
      <c r="J148" s="8" t="s">
        <v>40</v>
      </c>
      <c r="K148" s="1" t="e">
        <f>SUMIFS('[4]BESS 10B'!M:M,'[4]BESS 10B'!B:B,J148)</f>
        <v>#VALUE!</v>
      </c>
      <c r="L148" s="2" t="e">
        <f>SUMIFS('[4]BESS 10B'!N:N,'[4]BESS 10B'!B:B,J148)</f>
        <v>#VALUE!</v>
      </c>
      <c r="M148" s="7" t="e">
        <f t="shared" si="29"/>
        <v>#VALUE!</v>
      </c>
      <c r="N148" s="432" t="s">
        <v>517</v>
      </c>
      <c r="O148" s="424">
        <f t="shared" si="27"/>
        <v>46240</v>
      </c>
      <c r="P148" s="5" t="s">
        <v>167</v>
      </c>
      <c r="Q148" s="240">
        <v>1</v>
      </c>
      <c r="R148" s="241">
        <v>5</v>
      </c>
      <c r="S148" s="242" t="e">
        <f t="shared" si="28"/>
        <v>#VALUE!</v>
      </c>
      <c r="T148" s="375"/>
      <c r="AB148" s="60" t="s">
        <v>768</v>
      </c>
    </row>
    <row r="149" spans="2:30">
      <c r="B149" s="473"/>
      <c r="C149" s="476"/>
      <c r="D149" s="516"/>
      <c r="E149" s="445"/>
      <c r="F149" s="456"/>
      <c r="G149" s="456"/>
      <c r="H149" s="456"/>
      <c r="I149" s="4">
        <f t="shared" si="30"/>
        <v>3.9000000000000008</v>
      </c>
      <c r="J149" s="8" t="s">
        <v>30</v>
      </c>
      <c r="K149" s="1" t="e">
        <f>SUMIFS('[4]BESS 10B'!M:M,'[4]BESS 10B'!B:B,J149)</f>
        <v>#VALUE!</v>
      </c>
      <c r="L149" s="2" t="e">
        <f>SUMIFS('[4]BESS 10B'!N:N,'[4]BESS 10B'!B:B,J149)</f>
        <v>#VALUE!</v>
      </c>
      <c r="M149" s="7" t="e">
        <f t="shared" si="29"/>
        <v>#VALUE!</v>
      </c>
      <c r="N149" s="3" t="s">
        <v>519</v>
      </c>
      <c r="O149" s="424">
        <f t="shared" si="27"/>
        <v>46249</v>
      </c>
      <c r="P149" s="5" t="s">
        <v>162</v>
      </c>
      <c r="Q149" s="240">
        <v>1</v>
      </c>
      <c r="R149" s="241">
        <v>27</v>
      </c>
      <c r="S149" s="242" t="e">
        <f t="shared" si="28"/>
        <v>#VALUE!</v>
      </c>
      <c r="T149" s="375"/>
      <c r="U149" s="60"/>
    </row>
    <row r="150" spans="2:30">
      <c r="B150" s="473"/>
      <c r="C150" s="476"/>
      <c r="D150" s="516"/>
      <c r="E150" s="445"/>
      <c r="F150" s="456"/>
      <c r="G150" s="456"/>
      <c r="H150" s="456"/>
      <c r="I150" s="6">
        <f>C140+0.1</f>
        <v>3.1</v>
      </c>
      <c r="J150" s="8" t="s">
        <v>34</v>
      </c>
      <c r="K150" s="1" t="e">
        <f>SUMIFS('[4]BESS 10B'!M:M,'[4]BESS 10B'!B:B,J150)</f>
        <v>#VALUE!</v>
      </c>
      <c r="L150" s="2" t="e">
        <f>SUMIFS('[4]BESS 10B'!N:N,'[4]BESS 10B'!B:B,J150)</f>
        <v>#VALUE!</v>
      </c>
      <c r="M150" s="7" t="e">
        <f t="shared" si="29"/>
        <v>#VALUE!</v>
      </c>
      <c r="N150" s="3" t="s">
        <v>518</v>
      </c>
      <c r="O150" s="424">
        <f t="shared" si="27"/>
        <v>46249</v>
      </c>
      <c r="P150" s="5" t="s">
        <v>31</v>
      </c>
      <c r="Q150" s="240">
        <v>1</v>
      </c>
      <c r="R150" s="241">
        <v>25</v>
      </c>
      <c r="S150" s="242" t="e">
        <f t="shared" si="28"/>
        <v>#VALUE!</v>
      </c>
      <c r="T150" s="375"/>
    </row>
    <row r="151" spans="2:30">
      <c r="B151" s="473"/>
      <c r="C151" s="476"/>
      <c r="D151" s="516"/>
      <c r="E151" s="445"/>
      <c r="F151" s="456"/>
      <c r="G151" s="456"/>
      <c r="H151" s="456"/>
      <c r="I151" s="6">
        <f>I150+0.01</f>
        <v>3.11</v>
      </c>
      <c r="J151" s="8" t="s">
        <v>37</v>
      </c>
      <c r="K151" s="1" t="e">
        <f>SUMIFS('[4]BESS 10B'!M:M,'[4]BESS 10B'!B:B,J151)</f>
        <v>#VALUE!</v>
      </c>
      <c r="L151" s="2" t="e">
        <f>SUMIFS('[4]BESS 10B'!N:N,'[4]BESS 10B'!B:B,J151)</f>
        <v>#VALUE!</v>
      </c>
      <c r="M151" s="7" t="e">
        <f t="shared" si="29"/>
        <v>#VALUE!</v>
      </c>
      <c r="N151" s="3" t="s">
        <v>520</v>
      </c>
      <c r="O151" s="424">
        <f t="shared" si="27"/>
        <v>46249</v>
      </c>
      <c r="P151" s="5" t="s">
        <v>163</v>
      </c>
      <c r="Q151" s="240" t="s">
        <v>89</v>
      </c>
      <c r="R151" s="241" t="s">
        <v>89</v>
      </c>
      <c r="S151" s="242" t="s">
        <v>89</v>
      </c>
      <c r="T151" s="375"/>
    </row>
    <row r="152" spans="2:30">
      <c r="B152" s="473"/>
      <c r="C152" s="476"/>
      <c r="D152" s="516"/>
      <c r="E152" s="445"/>
      <c r="F152" s="456"/>
      <c r="G152" s="456"/>
      <c r="H152" s="456"/>
      <c r="I152" s="44"/>
      <c r="J152" s="46"/>
      <c r="K152" s="46"/>
      <c r="L152" s="47" t="s">
        <v>124</v>
      </c>
      <c r="M152" s="46"/>
      <c r="N152" s="46"/>
      <c r="O152" s="424"/>
      <c r="P152" s="95"/>
      <c r="Q152" s="240"/>
      <c r="R152" s="241"/>
      <c r="S152" s="242"/>
      <c r="T152" s="375"/>
      <c r="AB152" s="60"/>
      <c r="AC152" s="60"/>
      <c r="AD152" s="60"/>
    </row>
    <row r="153" spans="2:30" ht="25.5">
      <c r="B153" s="473"/>
      <c r="C153" s="476"/>
      <c r="D153" s="516"/>
      <c r="E153" s="445"/>
      <c r="F153" s="456"/>
      <c r="G153" s="456"/>
      <c r="H153" s="456"/>
      <c r="I153" s="92">
        <f>I151+0.01</f>
        <v>3.1199999999999997</v>
      </c>
      <c r="J153" s="138" t="s">
        <v>24</v>
      </c>
      <c r="K153" s="35" t="e">
        <f>SUMIFS('[4]BESS 10B'!M:M,'[4]BESS 10B'!B:B,J153)</f>
        <v>#VALUE!</v>
      </c>
      <c r="L153" s="36" t="e">
        <f>SUMIFS('[4]BESS 10B'!N:N,'[4]BESS 10B'!B:B,J153)</f>
        <v>#VALUE!</v>
      </c>
      <c r="M153" s="139" t="e">
        <f t="shared" ref="M153:M184" si="31">K153-L153</f>
        <v>#VALUE!</v>
      </c>
      <c r="N153" s="20" t="s">
        <v>607</v>
      </c>
      <c r="O153" s="424">
        <f t="shared" si="27"/>
        <v>46250</v>
      </c>
      <c r="P153" s="140" t="s">
        <v>164</v>
      </c>
      <c r="Q153" s="240">
        <v>2</v>
      </c>
      <c r="R153" s="241">
        <v>4</v>
      </c>
      <c r="S153" s="242" t="e">
        <f>(K153*R153)/Q153</f>
        <v>#VALUE!</v>
      </c>
      <c r="T153" s="375"/>
      <c r="AB153" s="60"/>
    </row>
    <row r="154" spans="2:30" ht="25.5">
      <c r="B154" s="473"/>
      <c r="C154" s="476"/>
      <c r="D154" s="516"/>
      <c r="E154" s="445"/>
      <c r="F154" s="456"/>
      <c r="G154" s="456"/>
      <c r="H154" s="456"/>
      <c r="I154" s="92">
        <f>I153+0.01</f>
        <v>3.1299999999999994</v>
      </c>
      <c r="J154" s="138" t="s">
        <v>27</v>
      </c>
      <c r="K154" s="35" t="e">
        <f>SUMIFS('[4]BESS 10B'!M:M,'[4]BESS 10B'!B:B,J154)</f>
        <v>#VALUE!</v>
      </c>
      <c r="L154" s="36" t="e">
        <f>SUMIFS('[4]BESS 10B'!N:N,'[4]BESS 10B'!B:B,J154)</f>
        <v>#VALUE!</v>
      </c>
      <c r="M154" s="139" t="e">
        <f t="shared" si="31"/>
        <v>#VALUE!</v>
      </c>
      <c r="N154" s="20" t="s">
        <v>608</v>
      </c>
      <c r="O154" s="424">
        <f t="shared" si="27"/>
        <v>46251</v>
      </c>
      <c r="P154" s="140" t="s">
        <v>164</v>
      </c>
      <c r="Q154" s="240">
        <v>10</v>
      </c>
      <c r="R154" s="241">
        <v>4</v>
      </c>
      <c r="S154" s="242" t="e">
        <f>(K154*R154)/Q154</f>
        <v>#VALUE!</v>
      </c>
      <c r="T154" s="375"/>
      <c r="AB154" s="60"/>
    </row>
    <row r="155" spans="2:30" ht="25.5">
      <c r="B155" s="473"/>
      <c r="C155" s="476"/>
      <c r="D155" s="516"/>
      <c r="E155" s="445"/>
      <c r="F155" s="456"/>
      <c r="G155" s="456"/>
      <c r="H155" s="456"/>
      <c r="I155" s="92">
        <f>I154+0.01</f>
        <v>3.1399999999999992</v>
      </c>
      <c r="J155" s="138" t="s">
        <v>28</v>
      </c>
      <c r="K155" s="35" t="e">
        <f>SUMIFS('[4]BESS 10B'!M:M,'[4]BESS 10B'!B:B,J155)</f>
        <v>#VALUE!</v>
      </c>
      <c r="L155" s="36" t="e">
        <f>SUMIFS('[4]BESS 10B'!N:N,'[4]BESS 10B'!B:B,J155)</f>
        <v>#VALUE!</v>
      </c>
      <c r="M155" s="139" t="e">
        <f t="shared" si="31"/>
        <v>#VALUE!</v>
      </c>
      <c r="N155" s="20" t="s">
        <v>609</v>
      </c>
      <c r="O155" s="424">
        <f t="shared" si="27"/>
        <v>46251</v>
      </c>
      <c r="P155" s="140" t="s">
        <v>164</v>
      </c>
      <c r="Q155" s="240">
        <v>5</v>
      </c>
      <c r="R155" s="241">
        <v>4</v>
      </c>
      <c r="S155" s="242" t="e">
        <f>(K155*R155)/Q155</f>
        <v>#VALUE!</v>
      </c>
      <c r="T155" s="375"/>
      <c r="AB155" s="60"/>
    </row>
    <row r="156" spans="2:30" ht="25.5">
      <c r="B156" s="473"/>
      <c r="C156" s="476"/>
      <c r="D156" s="516"/>
      <c r="E156" s="445"/>
      <c r="F156" s="456"/>
      <c r="G156" s="456"/>
      <c r="H156" s="456"/>
      <c r="I156" s="92">
        <f t="shared" ref="I156:I184" si="32">I155+0.01</f>
        <v>3.149999999999999</v>
      </c>
      <c r="J156" s="138" t="s">
        <v>29</v>
      </c>
      <c r="K156" s="35" t="e">
        <f>SUMIFS('[4]BESS 10B'!M:M,'[4]BESS 10B'!B:B,J156)</f>
        <v>#VALUE!</v>
      </c>
      <c r="L156" s="36" t="e">
        <f>SUMIFS('[4]BESS 10B'!N:N,'[4]BESS 10B'!B:B,J156)</f>
        <v>#VALUE!</v>
      </c>
      <c r="M156" s="139" t="e">
        <f t="shared" si="31"/>
        <v>#VALUE!</v>
      </c>
      <c r="N156" s="20" t="s">
        <v>610</v>
      </c>
      <c r="O156" s="424">
        <f t="shared" si="27"/>
        <v>46251</v>
      </c>
      <c r="P156" s="140" t="s">
        <v>164</v>
      </c>
      <c r="Q156" s="240">
        <v>20</v>
      </c>
      <c r="R156" s="591">
        <v>4</v>
      </c>
      <c r="S156" s="621">
        <v>4</v>
      </c>
      <c r="T156" s="375"/>
      <c r="AB156" s="60"/>
    </row>
    <row r="157" spans="2:30" ht="25.5">
      <c r="B157" s="473"/>
      <c r="C157" s="476"/>
      <c r="D157" s="516"/>
      <c r="E157" s="445"/>
      <c r="F157" s="456"/>
      <c r="G157" s="456"/>
      <c r="H157" s="456"/>
      <c r="I157" s="92">
        <f t="shared" si="32"/>
        <v>3.1599999999999988</v>
      </c>
      <c r="J157" s="138" t="s">
        <v>33</v>
      </c>
      <c r="K157" s="35" t="e">
        <f>SUMIFS('[4]BESS 10B'!M:M,'[4]BESS 10B'!B:B,J157)</f>
        <v>#VALUE!</v>
      </c>
      <c r="L157" s="36" t="e">
        <f>SUMIFS('[4]BESS 10B'!N:N,'[4]BESS 10B'!B:B,J157)</f>
        <v>#VALUE!</v>
      </c>
      <c r="M157" s="139" t="e">
        <f t="shared" si="31"/>
        <v>#VALUE!</v>
      </c>
      <c r="N157" s="20" t="s">
        <v>611</v>
      </c>
      <c r="O157" s="424"/>
      <c r="P157" s="140" t="s">
        <v>164</v>
      </c>
      <c r="Q157" s="240">
        <v>10</v>
      </c>
      <c r="R157" s="591"/>
      <c r="S157" s="621"/>
      <c r="T157" s="375"/>
      <c r="AB157" s="60"/>
    </row>
    <row r="158" spans="2:30">
      <c r="B158" s="473"/>
      <c r="C158" s="476"/>
      <c r="D158" s="516"/>
      <c r="E158" s="445"/>
      <c r="F158" s="456"/>
      <c r="G158" s="456"/>
      <c r="H158" s="456"/>
      <c r="I158" s="92">
        <f t="shared" si="32"/>
        <v>3.1699999999999986</v>
      </c>
      <c r="J158" s="138" t="s">
        <v>36</v>
      </c>
      <c r="K158" s="35" t="e">
        <f>SUMIFS('[4]BESS 10B'!M:M,'[4]BESS 10B'!B:B,J158)</f>
        <v>#VALUE!</v>
      </c>
      <c r="L158" s="36" t="e">
        <f>SUMIFS('[4]BESS 10B'!N:N,'[4]BESS 10B'!B:B,J158)</f>
        <v>#VALUE!</v>
      </c>
      <c r="M158" s="139" t="e">
        <f t="shared" si="31"/>
        <v>#VALUE!</v>
      </c>
      <c r="N158" s="3" t="s">
        <v>612</v>
      </c>
      <c r="O158" s="424">
        <f t="shared" si="27"/>
        <v>46251</v>
      </c>
      <c r="P158" s="140" t="s">
        <v>164</v>
      </c>
      <c r="Q158" s="240">
        <v>10</v>
      </c>
      <c r="R158" s="591"/>
      <c r="S158" s="621"/>
      <c r="T158" s="375"/>
      <c r="AB158" s="60"/>
    </row>
    <row r="159" spans="2:30">
      <c r="B159" s="473"/>
      <c r="C159" s="476"/>
      <c r="D159" s="516"/>
      <c r="E159" s="445"/>
      <c r="F159" s="456"/>
      <c r="G159" s="456"/>
      <c r="H159" s="456"/>
      <c r="I159" s="92">
        <f t="shared" si="32"/>
        <v>3.1799999999999984</v>
      </c>
      <c r="J159" s="138" t="s">
        <v>39</v>
      </c>
      <c r="K159" s="35" t="e">
        <f>SUMIFS('[4]BESS 10B'!M:M,'[4]BESS 10B'!B:B,J159)</f>
        <v>#VALUE!</v>
      </c>
      <c r="L159" s="36" t="e">
        <f>SUMIFS('[4]BESS 10B'!N:N,'[4]BESS 10B'!B:B,J159)</f>
        <v>#VALUE!</v>
      </c>
      <c r="M159" s="139" t="e">
        <f t="shared" si="31"/>
        <v>#VALUE!</v>
      </c>
      <c r="N159" s="3" t="s">
        <v>612</v>
      </c>
      <c r="O159" s="424">
        <f t="shared" si="27"/>
        <v>46251</v>
      </c>
      <c r="P159" s="140" t="s">
        <v>164</v>
      </c>
      <c r="Q159" s="240">
        <v>10</v>
      </c>
      <c r="R159" s="591"/>
      <c r="S159" s="621"/>
      <c r="T159" s="375"/>
      <c r="AB159" s="60"/>
    </row>
    <row r="160" spans="2:30" ht="25.5">
      <c r="B160" s="473"/>
      <c r="C160" s="476"/>
      <c r="D160" s="516"/>
      <c r="E160" s="445"/>
      <c r="F160" s="456"/>
      <c r="G160" s="456"/>
      <c r="H160" s="456"/>
      <c r="I160" s="92">
        <f t="shared" si="32"/>
        <v>3.1899999999999982</v>
      </c>
      <c r="J160" s="138" t="s">
        <v>41</v>
      </c>
      <c r="K160" s="35" t="e">
        <f>SUMIFS('[4]BESS 10B'!M:M,'[4]BESS 10B'!B:B,J160)</f>
        <v>#VALUE!</v>
      </c>
      <c r="L160" s="36" t="e">
        <f>SUMIFS('[4]BESS 10B'!N:N,'[4]BESS 10B'!B:B,J160)</f>
        <v>#VALUE!</v>
      </c>
      <c r="M160" s="139" t="e">
        <f t="shared" si="31"/>
        <v>#VALUE!</v>
      </c>
      <c r="N160" s="432" t="s">
        <v>613</v>
      </c>
      <c r="O160" s="424">
        <f t="shared" si="27"/>
        <v>46244</v>
      </c>
      <c r="P160" s="5" t="s">
        <v>182</v>
      </c>
      <c r="Q160" s="240">
        <v>20</v>
      </c>
      <c r="R160" s="591"/>
      <c r="S160" s="621"/>
      <c r="T160" s="375"/>
      <c r="AB160" s="60"/>
    </row>
    <row r="161" spans="2:28" ht="25.5">
      <c r="B161" s="473"/>
      <c r="C161" s="476"/>
      <c r="D161" s="516"/>
      <c r="E161" s="445"/>
      <c r="F161" s="456"/>
      <c r="G161" s="456"/>
      <c r="H161" s="456"/>
      <c r="I161" s="92">
        <f t="shared" si="32"/>
        <v>3.199999999999998</v>
      </c>
      <c r="J161" s="138" t="s">
        <v>43</v>
      </c>
      <c r="K161" s="35" t="e">
        <f>SUMIFS('[4]BESS 10B'!M:M,'[4]BESS 10B'!B:B,J161)</f>
        <v>#VALUE!</v>
      </c>
      <c r="L161" s="36" t="e">
        <f>SUMIFS('[4]BESS 10B'!N:N,'[4]BESS 10B'!B:B,J161)</f>
        <v>#VALUE!</v>
      </c>
      <c r="M161" s="139" t="e">
        <f t="shared" si="31"/>
        <v>#VALUE!</v>
      </c>
      <c r="N161" s="20" t="s">
        <v>614</v>
      </c>
      <c r="O161" s="424">
        <f t="shared" si="27"/>
        <v>46250</v>
      </c>
      <c r="P161" s="5" t="s">
        <v>182</v>
      </c>
      <c r="Q161" s="240">
        <v>0.66666666666666663</v>
      </c>
      <c r="R161" s="241">
        <v>0</v>
      </c>
      <c r="S161" s="242" t="e">
        <f>(K161*R161)/Q161</f>
        <v>#VALUE!</v>
      </c>
      <c r="T161" s="375"/>
      <c r="AB161" s="60"/>
    </row>
    <row r="162" spans="2:28" ht="25.5">
      <c r="B162" s="473"/>
      <c r="C162" s="476"/>
      <c r="D162" s="516"/>
      <c r="E162" s="445"/>
      <c r="F162" s="456"/>
      <c r="G162" s="456"/>
      <c r="H162" s="456"/>
      <c r="I162" s="92">
        <f t="shared" si="32"/>
        <v>3.2099999999999977</v>
      </c>
      <c r="J162" s="138" t="s">
        <v>21</v>
      </c>
      <c r="K162" s="35" t="e">
        <f>SUMIFS('[4]BESS 10B'!M:M,'[4]BESS 10B'!B:B,J162)</f>
        <v>#VALUE!</v>
      </c>
      <c r="L162" s="36" t="e">
        <f>SUMIFS('[4]BESS 10B'!N:N,'[4]BESS 10B'!B:B,J162)</f>
        <v>#VALUE!</v>
      </c>
      <c r="M162" s="139" t="e">
        <f t="shared" si="31"/>
        <v>#VALUE!</v>
      </c>
      <c r="N162" s="20" t="s">
        <v>521</v>
      </c>
      <c r="O162" s="424">
        <f t="shared" si="27"/>
        <v>46269</v>
      </c>
      <c r="P162" s="140" t="s">
        <v>164</v>
      </c>
      <c r="Q162" s="240">
        <v>10</v>
      </c>
      <c r="R162" s="241">
        <v>4</v>
      </c>
      <c r="S162" s="242" t="e">
        <f>(K162*R162)/Q162</f>
        <v>#VALUE!</v>
      </c>
      <c r="T162" s="375"/>
    </row>
    <row r="163" spans="2:28">
      <c r="B163" s="473"/>
      <c r="C163" s="476"/>
      <c r="D163" s="516"/>
      <c r="E163" s="445"/>
      <c r="F163" s="456"/>
      <c r="G163" s="456"/>
      <c r="H163" s="456"/>
      <c r="I163" s="92">
        <f t="shared" si="32"/>
        <v>3.2199999999999975</v>
      </c>
      <c r="J163" s="138" t="s">
        <v>47</v>
      </c>
      <c r="K163" s="35" t="e">
        <f>SUMIFS('[4]BESS 10B'!M:M,'[4]BESS 10B'!B:B,J163)</f>
        <v>#VALUE!</v>
      </c>
      <c r="L163" s="36" t="e">
        <f>SUMIFS('[4]BESS 10B'!N:N,'[4]BESS 10B'!B:B,J163)</f>
        <v>#VALUE!</v>
      </c>
      <c r="M163" s="139" t="e">
        <f t="shared" si="31"/>
        <v>#VALUE!</v>
      </c>
      <c r="N163" s="436" t="s">
        <v>389</v>
      </c>
      <c r="O163" s="424">
        <f t="shared" si="27"/>
        <v>46242</v>
      </c>
      <c r="P163" s="140" t="s">
        <v>164</v>
      </c>
      <c r="Q163" s="240">
        <v>1500</v>
      </c>
      <c r="R163" s="241">
        <v>48</v>
      </c>
      <c r="S163" s="242" t="e">
        <f t="shared" ref="S163:S173" si="33">(K163*R163)/Q163</f>
        <v>#VALUE!</v>
      </c>
      <c r="T163" s="375"/>
      <c r="W163" s="60"/>
    </row>
    <row r="164" spans="2:28">
      <c r="B164" s="473"/>
      <c r="C164" s="476"/>
      <c r="D164" s="516"/>
      <c r="E164" s="445"/>
      <c r="F164" s="456"/>
      <c r="G164" s="456"/>
      <c r="H164" s="456"/>
      <c r="I164" s="92">
        <f t="shared" si="32"/>
        <v>3.2299999999999973</v>
      </c>
      <c r="J164" s="138" t="s">
        <v>48</v>
      </c>
      <c r="K164" s="35" t="e">
        <f>SUMIFS('[4]BESS 10B'!M:M,'[4]BESS 10B'!B:B,J164)</f>
        <v>#VALUE!</v>
      </c>
      <c r="L164" s="36" t="e">
        <f>SUMIFS('[4]BESS 10B'!N:N,'[4]BESS 10B'!B:B,J164)</f>
        <v>#VALUE!</v>
      </c>
      <c r="M164" s="139" t="e">
        <f t="shared" si="31"/>
        <v>#VALUE!</v>
      </c>
      <c r="N164" s="3" t="s">
        <v>615</v>
      </c>
      <c r="O164" s="424">
        <f t="shared" si="27"/>
        <v>46257</v>
      </c>
      <c r="P164" s="140" t="s">
        <v>164</v>
      </c>
      <c r="Q164" s="240">
        <v>8</v>
      </c>
      <c r="R164" s="241">
        <v>6</v>
      </c>
      <c r="S164" s="242" t="e">
        <f t="shared" si="33"/>
        <v>#VALUE!</v>
      </c>
      <c r="T164" s="375"/>
      <c r="W164" s="60"/>
      <c r="AB164" s="60"/>
    </row>
    <row r="165" spans="2:28">
      <c r="B165" s="473"/>
      <c r="C165" s="476"/>
      <c r="D165" s="516"/>
      <c r="E165" s="445"/>
      <c r="F165" s="456"/>
      <c r="G165" s="456"/>
      <c r="H165" s="456"/>
      <c r="I165" s="92">
        <f t="shared" si="32"/>
        <v>3.2399999999999971</v>
      </c>
      <c r="J165" s="138" t="s">
        <v>126</v>
      </c>
      <c r="K165" s="35" t="e">
        <f>SUMIFS('[4]BESS 10B'!M:M,'[4]BESS 10B'!B:B,J165)</f>
        <v>#VALUE!</v>
      </c>
      <c r="L165" s="36" t="e">
        <f>SUMIFS('[4]BESS 10B'!N:N,'[4]BESS 10B'!B:B,J165)</f>
        <v>#VALUE!</v>
      </c>
      <c r="M165" s="139" t="e">
        <f t="shared" si="31"/>
        <v>#VALUE!</v>
      </c>
      <c r="N165" s="3" t="s">
        <v>388</v>
      </c>
      <c r="O165" s="424">
        <f t="shared" si="27"/>
        <v>46246</v>
      </c>
      <c r="P165" s="140" t="s">
        <v>164</v>
      </c>
      <c r="Q165" s="240">
        <v>600</v>
      </c>
      <c r="R165" s="241">
        <v>10</v>
      </c>
      <c r="S165" s="242" t="e">
        <f t="shared" si="33"/>
        <v>#VALUE!</v>
      </c>
      <c r="T165" s="375"/>
      <c r="W165" s="60"/>
    </row>
    <row r="166" spans="2:28">
      <c r="B166" s="473"/>
      <c r="C166" s="476"/>
      <c r="D166" s="516"/>
      <c r="E166" s="445"/>
      <c r="F166" s="456"/>
      <c r="G166" s="456"/>
      <c r="H166" s="456"/>
      <c r="I166" s="92">
        <f t="shared" si="32"/>
        <v>3.2499999999999969</v>
      </c>
      <c r="J166" s="138" t="s">
        <v>127</v>
      </c>
      <c r="K166" s="35" t="e">
        <f>SUMIFS('[4]BESS 10B'!M:M,'[4]BESS 10B'!B:B,J166)</f>
        <v>#VALUE!</v>
      </c>
      <c r="L166" s="36" t="e">
        <f>SUMIFS('[4]BESS 10B'!N:N,'[4]BESS 10B'!B:B,J166)</f>
        <v>#VALUE!</v>
      </c>
      <c r="M166" s="139" t="e">
        <f t="shared" ref="M166:M183" si="34">K166-L166</f>
        <v>#VALUE!</v>
      </c>
      <c r="N166" s="3" t="s">
        <v>387</v>
      </c>
      <c r="O166" s="424">
        <f t="shared" si="27"/>
        <v>46247</v>
      </c>
      <c r="P166" s="140" t="s">
        <v>164</v>
      </c>
      <c r="Q166" s="240">
        <v>600</v>
      </c>
      <c r="R166" s="241">
        <v>10</v>
      </c>
      <c r="S166" s="242" t="e">
        <f t="shared" si="33"/>
        <v>#VALUE!</v>
      </c>
      <c r="T166" s="375"/>
      <c r="W166" s="60"/>
    </row>
    <row r="167" spans="2:28" ht="25.5">
      <c r="B167" s="473"/>
      <c r="C167" s="476"/>
      <c r="D167" s="516"/>
      <c r="E167" s="445"/>
      <c r="F167" s="456"/>
      <c r="G167" s="456"/>
      <c r="H167" s="456"/>
      <c r="I167" s="92">
        <f t="shared" si="32"/>
        <v>3.2599999999999967</v>
      </c>
      <c r="J167" s="138" t="s">
        <v>128</v>
      </c>
      <c r="K167" s="35" t="e">
        <f>SUMIFS('[4]BESS 10B'!M:M,'[4]BESS 10B'!B:B,J167)</f>
        <v>#VALUE!</v>
      </c>
      <c r="L167" s="36" t="e">
        <f>SUMIFS('[4]BESS 10B'!N:N,'[4]BESS 10B'!B:B,J167)</f>
        <v>#VALUE!</v>
      </c>
      <c r="M167" s="139" t="e">
        <f t="shared" si="34"/>
        <v>#VALUE!</v>
      </c>
      <c r="N167" s="20" t="s">
        <v>524</v>
      </c>
      <c r="O167" s="424">
        <f t="shared" si="27"/>
        <v>46277</v>
      </c>
      <c r="P167" s="140" t="s">
        <v>164</v>
      </c>
      <c r="Q167" s="240">
        <v>30</v>
      </c>
      <c r="R167" s="241">
        <v>18</v>
      </c>
      <c r="S167" s="242" t="e">
        <f t="shared" si="33"/>
        <v>#VALUE!</v>
      </c>
      <c r="T167" s="375"/>
      <c r="W167" s="60"/>
    </row>
    <row r="168" spans="2:28">
      <c r="B168" s="473"/>
      <c r="C168" s="476"/>
      <c r="D168" s="516"/>
      <c r="E168" s="445"/>
      <c r="F168" s="456"/>
      <c r="G168" s="456"/>
      <c r="H168" s="456"/>
      <c r="I168" s="92">
        <f t="shared" si="32"/>
        <v>3.2699999999999965</v>
      </c>
      <c r="J168" s="138" t="s">
        <v>129</v>
      </c>
      <c r="K168" s="35" t="e">
        <f>SUMIFS('[4]BESS 10B'!M:M,'[4]BESS 10B'!B:B,J168)</f>
        <v>#VALUE!</v>
      </c>
      <c r="L168" s="36" t="e">
        <f>SUMIFS('[4]BESS 10B'!N:N,'[4]BESS 10B'!B:B,J168)</f>
        <v>#VALUE!</v>
      </c>
      <c r="M168" s="139" t="e">
        <f t="shared" si="34"/>
        <v>#VALUE!</v>
      </c>
      <c r="N168" s="3" t="s">
        <v>525</v>
      </c>
      <c r="O168" s="424">
        <f t="shared" si="27"/>
        <v>46275</v>
      </c>
      <c r="P168" s="140" t="s">
        <v>164</v>
      </c>
      <c r="Q168" s="240">
        <v>30</v>
      </c>
      <c r="R168" s="241">
        <v>18</v>
      </c>
      <c r="S168" s="242" t="e">
        <f t="shared" si="33"/>
        <v>#VALUE!</v>
      </c>
      <c r="T168" s="375"/>
      <c r="W168" s="60"/>
    </row>
    <row r="169" spans="2:28">
      <c r="B169" s="473"/>
      <c r="C169" s="476"/>
      <c r="D169" s="516"/>
      <c r="E169" s="445"/>
      <c r="F169" s="456"/>
      <c r="G169" s="456"/>
      <c r="H169" s="456"/>
      <c r="I169" s="92">
        <f t="shared" si="32"/>
        <v>3.2799999999999963</v>
      </c>
      <c r="J169" s="138" t="s">
        <v>130</v>
      </c>
      <c r="K169" s="35" t="e">
        <f>SUMIFS('[4]BESS 10B'!M:M,'[4]BESS 10B'!B:B,J169)</f>
        <v>#VALUE!</v>
      </c>
      <c r="L169" s="36" t="e">
        <f>SUMIFS('[4]BESS 10B'!N:N,'[4]BESS 10B'!B:B,J169)</f>
        <v>#VALUE!</v>
      </c>
      <c r="M169" s="139" t="e">
        <f t="shared" si="34"/>
        <v>#VALUE!</v>
      </c>
      <c r="N169" s="3" t="s">
        <v>386</v>
      </c>
      <c r="O169" s="424">
        <f t="shared" si="27"/>
        <v>46254</v>
      </c>
      <c r="P169" s="140" t="s">
        <v>164</v>
      </c>
      <c r="Q169" s="240">
        <v>1000</v>
      </c>
      <c r="R169" s="241">
        <v>10</v>
      </c>
      <c r="S169" s="242" t="e">
        <f t="shared" si="33"/>
        <v>#VALUE!</v>
      </c>
      <c r="T169" s="375"/>
      <c r="W169" s="60"/>
    </row>
    <row r="170" spans="2:28">
      <c r="B170" s="473"/>
      <c r="C170" s="476"/>
      <c r="D170" s="516"/>
      <c r="E170" s="445"/>
      <c r="F170" s="456"/>
      <c r="G170" s="456"/>
      <c r="H170" s="456"/>
      <c r="I170" s="92">
        <f t="shared" si="32"/>
        <v>3.289999999999996</v>
      </c>
      <c r="J170" s="138" t="s">
        <v>131</v>
      </c>
      <c r="K170" s="35" t="e">
        <f>SUMIFS('[4]BESS 10B'!M:M,'[4]BESS 10B'!B:B,J170)</f>
        <v>#VALUE!</v>
      </c>
      <c r="L170" s="36" t="e">
        <f>SUMIFS('[4]BESS 10B'!N:N,'[4]BESS 10B'!B:B,J170)</f>
        <v>#VALUE!</v>
      </c>
      <c r="M170" s="139" t="e">
        <f t="shared" si="34"/>
        <v>#VALUE!</v>
      </c>
      <c r="N170" s="3" t="s">
        <v>386</v>
      </c>
      <c r="O170" s="424">
        <f t="shared" si="27"/>
        <v>46254</v>
      </c>
      <c r="P170" s="140" t="s">
        <v>164</v>
      </c>
      <c r="Q170" s="240">
        <v>1000</v>
      </c>
      <c r="R170" s="241">
        <v>10</v>
      </c>
      <c r="S170" s="242" t="e">
        <f t="shared" si="33"/>
        <v>#VALUE!</v>
      </c>
      <c r="T170" s="375"/>
      <c r="W170" s="60"/>
    </row>
    <row r="171" spans="2:28">
      <c r="B171" s="473"/>
      <c r="C171" s="476"/>
      <c r="D171" s="516"/>
      <c r="E171" s="445"/>
      <c r="F171" s="456"/>
      <c r="G171" s="456"/>
      <c r="H171" s="456"/>
      <c r="I171" s="92">
        <f t="shared" si="32"/>
        <v>3.2999999999999958</v>
      </c>
      <c r="J171" s="138" t="s">
        <v>132</v>
      </c>
      <c r="K171" s="35" t="e">
        <f>SUMIFS('[4]BESS 10B'!M:M,'[4]BESS 10B'!B:B,J171)</f>
        <v>#VALUE!</v>
      </c>
      <c r="L171" s="36" t="e">
        <f>SUMIFS('[4]BESS 10B'!N:N,'[4]BESS 10B'!B:B,J171)</f>
        <v>#VALUE!</v>
      </c>
      <c r="M171" s="139" t="e">
        <f t="shared" si="34"/>
        <v>#VALUE!</v>
      </c>
      <c r="N171" s="3" t="s">
        <v>386</v>
      </c>
      <c r="O171" s="424">
        <f t="shared" si="27"/>
        <v>46254</v>
      </c>
      <c r="P171" s="140" t="s">
        <v>164</v>
      </c>
      <c r="Q171" s="240">
        <v>500</v>
      </c>
      <c r="R171" s="241">
        <v>10</v>
      </c>
      <c r="S171" s="242" t="e">
        <f t="shared" si="33"/>
        <v>#VALUE!</v>
      </c>
      <c r="T171" s="375"/>
      <c r="W171" s="60"/>
    </row>
    <row r="172" spans="2:28" ht="25.5">
      <c r="B172" s="473"/>
      <c r="C172" s="476"/>
      <c r="D172" s="516"/>
      <c r="E172" s="445"/>
      <c r="F172" s="456"/>
      <c r="G172" s="456"/>
      <c r="H172" s="456"/>
      <c r="I172" s="92">
        <f t="shared" si="32"/>
        <v>3.3099999999999956</v>
      </c>
      <c r="J172" s="138" t="s">
        <v>133</v>
      </c>
      <c r="K172" s="35" t="e">
        <f>SUMIFS('[4]BESS 10B'!M:M,'[4]BESS 10B'!B:B,J172)</f>
        <v>#VALUE!</v>
      </c>
      <c r="L172" s="36" t="e">
        <f>SUMIFS('[4]BESS 10B'!N:N,'[4]BESS 10B'!B:B,J172)</f>
        <v>#VALUE!</v>
      </c>
      <c r="M172" s="139" t="e">
        <f t="shared" si="34"/>
        <v>#VALUE!</v>
      </c>
      <c r="N172" s="20" t="s">
        <v>524</v>
      </c>
      <c r="O172" s="424">
        <f t="shared" si="27"/>
        <v>46277</v>
      </c>
      <c r="P172" s="140" t="s">
        <v>164</v>
      </c>
      <c r="Q172" s="240">
        <v>30</v>
      </c>
      <c r="R172" s="241">
        <v>6</v>
      </c>
      <c r="S172" s="242" t="e">
        <f t="shared" si="33"/>
        <v>#VALUE!</v>
      </c>
      <c r="T172" s="375"/>
      <c r="W172" s="60"/>
    </row>
    <row r="173" spans="2:28" ht="25.5">
      <c r="B173" s="473"/>
      <c r="C173" s="476"/>
      <c r="D173" s="516"/>
      <c r="E173" s="445"/>
      <c r="F173" s="456"/>
      <c r="G173" s="456"/>
      <c r="H173" s="456"/>
      <c r="I173" s="92">
        <f t="shared" si="32"/>
        <v>3.3199999999999954</v>
      </c>
      <c r="J173" s="138" t="s">
        <v>134</v>
      </c>
      <c r="K173" s="35" t="e">
        <f>SUMIFS('[4]BESS 10B'!M:M,'[4]BESS 10B'!B:B,J173)</f>
        <v>#VALUE!</v>
      </c>
      <c r="L173" s="36" t="e">
        <f>SUMIFS('[4]BESS 10B'!N:N,'[4]BESS 10B'!B:B,J173)</f>
        <v>#VALUE!</v>
      </c>
      <c r="M173" s="139" t="e">
        <f t="shared" si="34"/>
        <v>#VALUE!</v>
      </c>
      <c r="N173" s="20" t="s">
        <v>524</v>
      </c>
      <c r="O173" s="424">
        <f t="shared" si="27"/>
        <v>46277</v>
      </c>
      <c r="P173" s="140" t="s">
        <v>187</v>
      </c>
      <c r="Q173" s="240">
        <v>30</v>
      </c>
      <c r="R173" s="241">
        <v>4</v>
      </c>
      <c r="S173" s="242" t="e">
        <f t="shared" si="33"/>
        <v>#VALUE!</v>
      </c>
      <c r="T173" s="375"/>
      <c r="W173" s="60"/>
    </row>
    <row r="174" spans="2:28" ht="25.5">
      <c r="B174" s="473"/>
      <c r="C174" s="476"/>
      <c r="D174" s="516"/>
      <c r="E174" s="445"/>
      <c r="F174" s="456"/>
      <c r="G174" s="456"/>
      <c r="H174" s="456"/>
      <c r="I174" s="6">
        <f t="shared" si="32"/>
        <v>3.3299999999999952</v>
      </c>
      <c r="J174" s="8" t="s">
        <v>136</v>
      </c>
      <c r="K174" s="35" t="e">
        <f>SUMIFS('[4]BESS 10B'!M:M,'[4]BESS 10B'!B:B,J174)</f>
        <v>#VALUE!</v>
      </c>
      <c r="L174" s="36" t="e">
        <f>SUMIFS('[4]BESS 10B'!N:N,'[4]BESS 10B'!B:B,J174)</f>
        <v>#VALUE!</v>
      </c>
      <c r="M174" s="139" t="e">
        <f t="shared" si="34"/>
        <v>#VALUE!</v>
      </c>
      <c r="N174" s="20" t="s">
        <v>524</v>
      </c>
      <c r="O174" s="424">
        <f t="shared" si="27"/>
        <v>46277</v>
      </c>
      <c r="P174" s="5" t="s">
        <v>187</v>
      </c>
      <c r="Q174" s="240" t="s">
        <v>89</v>
      </c>
      <c r="R174" s="241" t="s">
        <v>89</v>
      </c>
      <c r="S174" s="242" t="s">
        <v>89</v>
      </c>
      <c r="T174" s="375"/>
      <c r="U174">
        <f ca="1">O174-$T$1</f>
        <v>44</v>
      </c>
      <c r="V174" s="97" t="e">
        <f>SUM(S153:S184)</f>
        <v>#VALUE!</v>
      </c>
      <c r="W174" s="60"/>
      <c r="X174" s="97" t="e">
        <f ca="1">V174/U174</f>
        <v>#VALUE!</v>
      </c>
    </row>
    <row r="175" spans="2:28" ht="25.5">
      <c r="B175" s="473"/>
      <c r="C175" s="476"/>
      <c r="D175" s="516"/>
      <c r="E175" s="445"/>
      <c r="F175" s="456"/>
      <c r="G175" s="456"/>
      <c r="H175" s="456"/>
      <c r="I175" s="6">
        <f t="shared" si="32"/>
        <v>3.339999999999995</v>
      </c>
      <c r="J175" s="138" t="s">
        <v>137</v>
      </c>
      <c r="K175" s="35" t="e">
        <f>SUMIFS('[4]BESS 10B'!M:M,'[4]BESS 10B'!B:B,J175)</f>
        <v>#VALUE!</v>
      </c>
      <c r="L175" s="36" t="e">
        <f>SUMIFS('[4]BESS 10B'!N:N,'[4]BESS 10B'!B:B,J175)</f>
        <v>#VALUE!</v>
      </c>
      <c r="M175" s="139" t="e">
        <f t="shared" si="34"/>
        <v>#VALUE!</v>
      </c>
      <c r="N175" s="20" t="s">
        <v>616</v>
      </c>
      <c r="O175" s="424">
        <f t="shared" si="27"/>
        <v>46260</v>
      </c>
      <c r="P175" s="140" t="s">
        <v>164</v>
      </c>
      <c r="Q175" s="620">
        <v>2</v>
      </c>
      <c r="R175" s="591">
        <v>8</v>
      </c>
      <c r="S175" s="621">
        <v>12</v>
      </c>
      <c r="T175" s="375"/>
      <c r="W175" s="60"/>
      <c r="AB175" s="60"/>
    </row>
    <row r="176" spans="2:28" ht="25.5">
      <c r="B176" s="473"/>
      <c r="C176" s="476"/>
      <c r="D176" s="516"/>
      <c r="E176" s="445"/>
      <c r="F176" s="456"/>
      <c r="G176" s="456"/>
      <c r="H176" s="456"/>
      <c r="I176" s="6">
        <f t="shared" si="32"/>
        <v>3.3499999999999948</v>
      </c>
      <c r="J176" s="138" t="s">
        <v>139</v>
      </c>
      <c r="K176" s="35" t="e">
        <f>SUMIFS('[4]BESS 10B'!M:M,'[4]BESS 10B'!B:B,J176)</f>
        <v>#VALUE!</v>
      </c>
      <c r="L176" s="36" t="e">
        <f>SUMIFS('[4]BESS 10B'!N:N,'[4]BESS 10B'!B:B,J176)</f>
        <v>#VALUE!</v>
      </c>
      <c r="M176" s="139" t="e">
        <f t="shared" si="34"/>
        <v>#VALUE!</v>
      </c>
      <c r="N176" s="20" t="s">
        <v>617</v>
      </c>
      <c r="O176" s="424">
        <f t="shared" si="27"/>
        <v>46266</v>
      </c>
      <c r="P176" s="140" t="s">
        <v>164</v>
      </c>
      <c r="Q176" s="620"/>
      <c r="R176" s="591"/>
      <c r="S176" s="621"/>
      <c r="T176" s="375"/>
      <c r="W176" s="60"/>
      <c r="AB176" s="60"/>
    </row>
    <row r="177" spans="2:28">
      <c r="B177" s="473"/>
      <c r="C177" s="476"/>
      <c r="D177" s="516"/>
      <c r="E177" s="445"/>
      <c r="F177" s="456"/>
      <c r="G177" s="456"/>
      <c r="H177" s="456"/>
      <c r="I177" s="6">
        <f t="shared" si="32"/>
        <v>3.3599999999999945</v>
      </c>
      <c r="J177" s="138" t="s">
        <v>140</v>
      </c>
      <c r="K177" s="35" t="e">
        <f>SUMIFS('[4]BESS 10B'!M:M,'[4]BESS 10B'!B:B,J177)</f>
        <v>#VALUE!</v>
      </c>
      <c r="L177" s="36" t="e">
        <f>SUMIFS('[4]BESS 10B'!N:N,'[4]BESS 10B'!B:B,J177)</f>
        <v>#VALUE!</v>
      </c>
      <c r="M177" s="139" t="e">
        <f t="shared" si="34"/>
        <v>#VALUE!</v>
      </c>
      <c r="N177" s="3" t="s">
        <v>522</v>
      </c>
      <c r="O177" s="424">
        <f t="shared" si="27"/>
        <v>46283</v>
      </c>
      <c r="P177" s="140" t="s">
        <v>164</v>
      </c>
      <c r="Q177" s="240">
        <v>2</v>
      </c>
      <c r="R177" s="241">
        <v>4</v>
      </c>
      <c r="S177" s="242" t="e">
        <f t="shared" ref="S177:S184" si="35">(K177*R177)/Q177</f>
        <v>#VALUE!</v>
      </c>
      <c r="T177" s="375"/>
      <c r="U177">
        <f ca="1">O177-$T$1</f>
        <v>50</v>
      </c>
      <c r="V177" s="97" t="e">
        <f>SUM(S153:S184)</f>
        <v>#VALUE!</v>
      </c>
      <c r="W177" s="60"/>
      <c r="X177" s="97" t="e">
        <f ca="1">V177/(U177-3)</f>
        <v>#VALUE!</v>
      </c>
    </row>
    <row r="178" spans="2:28" ht="25.5">
      <c r="B178" s="473"/>
      <c r="C178" s="476"/>
      <c r="D178" s="516"/>
      <c r="E178" s="445"/>
      <c r="F178" s="456"/>
      <c r="G178" s="456"/>
      <c r="H178" s="456"/>
      <c r="I178" s="6">
        <f t="shared" si="32"/>
        <v>3.3699999999999943</v>
      </c>
      <c r="J178" s="138" t="s">
        <v>141</v>
      </c>
      <c r="K178" s="35" t="e">
        <f>SUMIFS('[4]BESS 10B'!M:M,'[4]BESS 10B'!B:B,J178)</f>
        <v>#VALUE!</v>
      </c>
      <c r="L178" s="36" t="e">
        <f>SUMIFS('[4]BESS 10B'!N:N,'[4]BESS 10B'!B:B,J178)</f>
        <v>#VALUE!</v>
      </c>
      <c r="M178" s="139" t="e">
        <f t="shared" si="34"/>
        <v>#VALUE!</v>
      </c>
      <c r="N178" s="3" t="s">
        <v>618</v>
      </c>
      <c r="O178" s="424">
        <f t="shared" si="27"/>
        <v>46260</v>
      </c>
      <c r="P178" s="140" t="s">
        <v>164</v>
      </c>
      <c r="Q178" s="240">
        <v>0.5</v>
      </c>
      <c r="R178" s="241">
        <v>4</v>
      </c>
      <c r="S178" s="242" t="e">
        <f t="shared" si="35"/>
        <v>#VALUE!</v>
      </c>
      <c r="T178" s="375"/>
      <c r="W178" s="60"/>
      <c r="AB178" s="60"/>
    </row>
    <row r="179" spans="2:28">
      <c r="B179" s="473"/>
      <c r="C179" s="476"/>
      <c r="D179" s="516"/>
      <c r="E179" s="445"/>
      <c r="F179" s="456"/>
      <c r="G179" s="456"/>
      <c r="H179" s="456"/>
      <c r="I179" s="6">
        <f t="shared" si="32"/>
        <v>3.3799999999999941</v>
      </c>
      <c r="J179" s="138" t="s">
        <v>142</v>
      </c>
      <c r="K179" s="35" t="e">
        <f>SUMIFS('[4]BESS 10B'!M:M,'[4]BESS 10B'!B:B,J179)</f>
        <v>#VALUE!</v>
      </c>
      <c r="L179" s="36" t="e">
        <f>SUMIFS('[4]BESS 10B'!N:N,'[4]BESS 10B'!B:B,J179)</f>
        <v>#VALUE!</v>
      </c>
      <c r="M179" s="139" t="e">
        <f t="shared" si="34"/>
        <v>#VALUE!</v>
      </c>
      <c r="N179" s="3" t="s">
        <v>523</v>
      </c>
      <c r="O179" s="424">
        <f t="shared" si="27"/>
        <v>46281</v>
      </c>
      <c r="P179" s="140" t="s">
        <v>164</v>
      </c>
      <c r="Q179" s="240">
        <v>6</v>
      </c>
      <c r="R179" s="241">
        <v>4</v>
      </c>
      <c r="S179" s="242" t="e">
        <f t="shared" si="35"/>
        <v>#VALUE!</v>
      </c>
      <c r="T179" s="375"/>
      <c r="W179" s="60"/>
    </row>
    <row r="180" spans="2:28" ht="25.5">
      <c r="B180" s="473"/>
      <c r="C180" s="476"/>
      <c r="D180" s="516"/>
      <c r="E180" s="445"/>
      <c r="F180" s="456"/>
      <c r="G180" s="456"/>
      <c r="H180" s="456"/>
      <c r="I180" s="6">
        <f t="shared" si="32"/>
        <v>3.3899999999999939</v>
      </c>
      <c r="J180" s="138" t="s">
        <v>143</v>
      </c>
      <c r="K180" s="35" t="e">
        <f>SUMIFS('[4]BESS 10B'!M:M,'[4]BESS 10B'!B:B,J180)</f>
        <v>#VALUE!</v>
      </c>
      <c r="L180" s="36" t="e">
        <f>SUMIFS('[4]BESS 10B'!N:N,'[4]BESS 10B'!B:B,J180)</f>
        <v>#VALUE!</v>
      </c>
      <c r="M180" s="139" t="e">
        <f t="shared" si="34"/>
        <v>#VALUE!</v>
      </c>
      <c r="N180" s="20" t="s">
        <v>619</v>
      </c>
      <c r="O180" s="424"/>
      <c r="P180" s="140" t="s">
        <v>164</v>
      </c>
      <c r="Q180" s="240">
        <v>6</v>
      </c>
      <c r="R180" s="241">
        <v>5</v>
      </c>
      <c r="S180" s="242" t="e">
        <f t="shared" si="35"/>
        <v>#VALUE!</v>
      </c>
      <c r="T180" s="375"/>
      <c r="W180" s="60"/>
      <c r="AB180" s="60"/>
    </row>
    <row r="181" spans="2:28">
      <c r="B181" s="473"/>
      <c r="C181" s="476"/>
      <c r="D181" s="516"/>
      <c r="E181" s="445"/>
      <c r="F181" s="456"/>
      <c r="G181" s="456"/>
      <c r="H181" s="456"/>
      <c r="I181" s="6">
        <f t="shared" si="32"/>
        <v>3.3999999999999937</v>
      </c>
      <c r="J181" s="138" t="s">
        <v>144</v>
      </c>
      <c r="K181" s="35" t="e">
        <f>SUMIFS('[4]BESS 10B'!M:M,'[4]BESS 10B'!B:B,J181)</f>
        <v>#VALUE!</v>
      </c>
      <c r="L181" s="36" t="e">
        <f>SUMIFS('[4]BESS 10B'!N:N,'[4]BESS 10B'!B:B,J181)</f>
        <v>#VALUE!</v>
      </c>
      <c r="M181" s="139" t="e">
        <f t="shared" si="34"/>
        <v>#VALUE!</v>
      </c>
      <c r="N181" s="3" t="s">
        <v>620</v>
      </c>
      <c r="O181" s="424">
        <f t="shared" si="27"/>
        <v>46261</v>
      </c>
      <c r="P181" s="140" t="s">
        <v>164</v>
      </c>
      <c r="Q181" s="240">
        <v>1</v>
      </c>
      <c r="R181" s="241">
        <v>5</v>
      </c>
      <c r="S181" s="242" t="e">
        <f t="shared" si="35"/>
        <v>#VALUE!</v>
      </c>
      <c r="T181" s="399"/>
      <c r="W181" s="60"/>
      <c r="AB181" s="60"/>
    </row>
    <row r="182" spans="2:28">
      <c r="B182" s="473"/>
      <c r="C182" s="476"/>
      <c r="D182" s="516"/>
      <c r="E182" s="445"/>
      <c r="F182" s="456"/>
      <c r="G182" s="456"/>
      <c r="H182" s="456"/>
      <c r="I182" s="6">
        <f t="shared" si="32"/>
        <v>3.4099999999999935</v>
      </c>
      <c r="J182" s="138" t="s">
        <v>145</v>
      </c>
      <c r="K182" s="35" t="e">
        <f>SUMIFS('[4]BESS 10B'!M:M,'[4]BESS 10B'!B:B,J182)</f>
        <v>#VALUE!</v>
      </c>
      <c r="L182" s="36" t="e">
        <f>SUMIFS('[4]BESS 10B'!N:N,'[4]BESS 10B'!B:B,J182)</f>
        <v>#VALUE!</v>
      </c>
      <c r="M182" s="139" t="e">
        <f t="shared" si="34"/>
        <v>#VALUE!</v>
      </c>
      <c r="N182" s="3" t="s">
        <v>620</v>
      </c>
      <c r="O182" s="424">
        <f t="shared" si="27"/>
        <v>46261</v>
      </c>
      <c r="P182" s="140" t="s">
        <v>164</v>
      </c>
      <c r="Q182" s="240">
        <v>3</v>
      </c>
      <c r="R182" s="241">
        <v>5</v>
      </c>
      <c r="S182" s="242" t="e">
        <f t="shared" si="35"/>
        <v>#VALUE!</v>
      </c>
      <c r="T182" s="399"/>
      <c r="W182" s="60"/>
      <c r="AB182" s="60"/>
    </row>
    <row r="183" spans="2:28" ht="25.5">
      <c r="B183" s="473"/>
      <c r="C183" s="476"/>
      <c r="D183" s="516"/>
      <c r="E183" s="445"/>
      <c r="F183" s="456"/>
      <c r="G183" s="456"/>
      <c r="H183" s="456"/>
      <c r="I183" s="6">
        <f t="shared" si="32"/>
        <v>3.4199999999999933</v>
      </c>
      <c r="J183" s="138" t="s">
        <v>54</v>
      </c>
      <c r="K183" s="35" t="e">
        <f>SUMIFS('[4]BESS 10B'!M:M,'[4]BESS 10B'!B:B,J183)</f>
        <v>#VALUE!</v>
      </c>
      <c r="L183" s="36" t="e">
        <f>SUMIFS('[4]BESS 10B'!N:N,'[4]BESS 10B'!B:B,J183)</f>
        <v>#VALUE!</v>
      </c>
      <c r="M183" s="139" t="e">
        <f t="shared" si="34"/>
        <v>#VALUE!</v>
      </c>
      <c r="N183" s="20" t="s">
        <v>529</v>
      </c>
      <c r="O183" s="424">
        <f t="shared" si="27"/>
        <v>46271</v>
      </c>
      <c r="P183" s="140" t="s">
        <v>164</v>
      </c>
      <c r="Q183" s="240">
        <v>150</v>
      </c>
      <c r="R183" s="241">
        <v>6</v>
      </c>
      <c r="S183" s="242" t="e">
        <f t="shared" si="35"/>
        <v>#VALUE!</v>
      </c>
      <c r="T183" s="399"/>
      <c r="W183" s="60"/>
      <c r="AB183" s="60"/>
    </row>
    <row r="184" spans="2:28" ht="26.25" thickBot="1">
      <c r="B184" s="474"/>
      <c r="C184" s="477"/>
      <c r="D184" s="517"/>
      <c r="E184" s="479"/>
      <c r="F184" s="515"/>
      <c r="G184" s="515"/>
      <c r="H184" s="515"/>
      <c r="I184" s="55">
        <f t="shared" si="32"/>
        <v>3.4299999999999931</v>
      </c>
      <c r="J184" s="296" t="s">
        <v>55</v>
      </c>
      <c r="K184" s="37" t="e">
        <f>SUMIFS('[4]BESS 10B'!M:M,'[4]BESS 10B'!B:B,J184)</f>
        <v>#VALUE!</v>
      </c>
      <c r="L184" s="38" t="e">
        <f>SUMIFS('[4]BESS 10B'!N:N,'[4]BESS 10B'!B:B,J184)</f>
        <v>#VALUE!</v>
      </c>
      <c r="M184" s="294" t="e">
        <f t="shared" si="31"/>
        <v>#VALUE!</v>
      </c>
      <c r="N184" s="406" t="s">
        <v>530</v>
      </c>
      <c r="O184" s="427">
        <f t="shared" si="27"/>
        <v>46272</v>
      </c>
      <c r="P184" s="349" t="s">
        <v>164</v>
      </c>
      <c r="Q184" s="249">
        <v>5</v>
      </c>
      <c r="R184" s="250">
        <v>6</v>
      </c>
      <c r="S184" s="251" t="e">
        <f t="shared" si="35"/>
        <v>#VALUE!</v>
      </c>
      <c r="T184" s="400"/>
      <c r="W184" s="60"/>
    </row>
    <row r="185" spans="2:28" s="70" customFormat="1" ht="15">
      <c r="B185" s="472" t="s">
        <v>159</v>
      </c>
      <c r="C185" s="475">
        <v>4</v>
      </c>
      <c r="D185" s="512" t="s">
        <v>433</v>
      </c>
      <c r="E185" s="524" t="s">
        <v>165</v>
      </c>
      <c r="F185" s="512" t="s">
        <v>434</v>
      </c>
      <c r="G185" s="512" t="s">
        <v>435</v>
      </c>
      <c r="H185" s="512" t="s">
        <v>436</v>
      </c>
      <c r="I185" s="74"/>
      <c r="J185" s="48"/>
      <c r="K185" s="48"/>
      <c r="L185" s="75" t="s">
        <v>121</v>
      </c>
      <c r="M185" s="48"/>
      <c r="N185" s="48"/>
      <c r="O185" s="431"/>
      <c r="P185" s="76"/>
      <c r="Q185" s="255"/>
      <c r="R185" s="256"/>
      <c r="S185" s="257"/>
      <c r="T185" s="403"/>
      <c r="AB185"/>
    </row>
    <row r="186" spans="2:28">
      <c r="B186" s="473"/>
      <c r="C186" s="476"/>
      <c r="D186" s="516"/>
      <c r="E186" s="445"/>
      <c r="F186" s="456"/>
      <c r="G186" s="456"/>
      <c r="H186" s="456"/>
      <c r="I186" s="56">
        <f>C185+0.1</f>
        <v>4.0999999999999996</v>
      </c>
      <c r="J186" s="57" t="s">
        <v>19</v>
      </c>
      <c r="K186" s="2" t="e">
        <f>SUMIFS('[4]BESS 10B'!Q:Q,'[4]BESS 10B'!B:B,J186)</f>
        <v>#VALUE!</v>
      </c>
      <c r="L186" s="89" t="e">
        <f>SUMIFS('[4]BESS 10B'!R:R,'[4]BESS 10B'!B:B,J186)</f>
        <v>#VALUE!</v>
      </c>
      <c r="M186" s="2" t="e">
        <f t="shared" ref="M186:M196" si="36">K186-L186</f>
        <v>#VALUE!</v>
      </c>
      <c r="N186" s="63" t="s">
        <v>122</v>
      </c>
      <c r="O186" s="424" t="str">
        <f t="shared" si="27"/>
        <v>-</v>
      </c>
      <c r="P186" s="58" t="s">
        <v>161</v>
      </c>
      <c r="Q186" s="240">
        <v>1</v>
      </c>
      <c r="R186" s="241">
        <v>2</v>
      </c>
      <c r="S186" s="242" t="e">
        <f t="shared" ref="S186:S195" si="37">(K186*R186)/Q186</f>
        <v>#VALUE!</v>
      </c>
      <c r="T186" s="375"/>
    </row>
    <row r="187" spans="2:28" ht="25.5">
      <c r="B187" s="473"/>
      <c r="C187" s="476"/>
      <c r="D187" s="516"/>
      <c r="E187" s="445"/>
      <c r="F187" s="456"/>
      <c r="G187" s="456"/>
      <c r="H187" s="456"/>
      <c r="I187" s="4">
        <f>I186+0.1</f>
        <v>4.1999999999999993</v>
      </c>
      <c r="J187" s="8" t="s">
        <v>23</v>
      </c>
      <c r="K187" s="1" t="e">
        <f>SUMIFS('[4]BESS 10B'!Q:Q,'[4]BESS 10B'!B:B,J187)</f>
        <v>#VALUE!</v>
      </c>
      <c r="L187" s="2" t="e">
        <f>SUMIFS('[4]BESS 10B'!R:R,'[4]BESS 10B'!B:B,J187)</f>
        <v>#VALUE!</v>
      </c>
      <c r="M187" s="7" t="e">
        <f t="shared" si="36"/>
        <v>#VALUE!</v>
      </c>
      <c r="N187" s="432" t="s">
        <v>526</v>
      </c>
      <c r="O187" s="424">
        <f t="shared" si="27"/>
        <v>46240</v>
      </c>
      <c r="P187" s="5" t="s">
        <v>20</v>
      </c>
      <c r="Q187" s="240">
        <v>1</v>
      </c>
      <c r="R187" s="241">
        <v>16</v>
      </c>
      <c r="S187" s="242" t="e">
        <f t="shared" si="37"/>
        <v>#VALUE!</v>
      </c>
      <c r="T187" s="375"/>
      <c r="AB187" t="s">
        <v>769</v>
      </c>
    </row>
    <row r="188" spans="2:28" ht="25.5">
      <c r="B188" s="473"/>
      <c r="C188" s="476"/>
      <c r="D188" s="516"/>
      <c r="E188" s="445"/>
      <c r="F188" s="456"/>
      <c r="G188" s="456"/>
      <c r="H188" s="456"/>
      <c r="I188" s="4">
        <f t="shared" ref="I188:I194" si="38">I187+0.1</f>
        <v>4.2999999999999989</v>
      </c>
      <c r="J188" s="8" t="s">
        <v>26</v>
      </c>
      <c r="K188" s="1" t="e">
        <f>SUMIFS('[4]BESS 10B'!Q:Q,'[4]BESS 10B'!B:B,J188)</f>
        <v>#VALUE!</v>
      </c>
      <c r="L188" s="2" t="e">
        <f>SUMIFS('[4]BESS 10B'!R:R,'[4]BESS 10B'!B:B,J188)</f>
        <v>#VALUE!</v>
      </c>
      <c r="M188" s="7" t="e">
        <f t="shared" si="36"/>
        <v>#VALUE!</v>
      </c>
      <c r="N188" s="432" t="s">
        <v>515</v>
      </c>
      <c r="O188" s="424">
        <f t="shared" si="27"/>
        <v>46242</v>
      </c>
      <c r="P188" s="5" t="s">
        <v>20</v>
      </c>
      <c r="Q188" s="240">
        <v>1</v>
      </c>
      <c r="R188" s="241">
        <v>39</v>
      </c>
      <c r="S188" s="242" t="e">
        <f t="shared" si="37"/>
        <v>#VALUE!</v>
      </c>
      <c r="T188" s="375"/>
      <c r="AB188" t="s">
        <v>770</v>
      </c>
    </row>
    <row r="189" spans="2:28" ht="25.5">
      <c r="B189" s="473"/>
      <c r="C189" s="476"/>
      <c r="D189" s="516"/>
      <c r="E189" s="445"/>
      <c r="F189" s="456"/>
      <c r="G189" s="456"/>
      <c r="H189" s="456"/>
      <c r="I189" s="4">
        <f t="shared" si="38"/>
        <v>4.3999999999999986</v>
      </c>
      <c r="J189" s="8" t="s">
        <v>32</v>
      </c>
      <c r="K189" s="1" t="e">
        <f>SUMIFS('[4]BESS 10B'!Q:Q,'[4]BESS 10B'!B:B,J189)</f>
        <v>#VALUE!</v>
      </c>
      <c r="L189" s="2" t="e">
        <f>SUMIFS('[4]BESS 10B'!R:R,'[4]BESS 10B'!B:B,J189)</f>
        <v>#VALUE!</v>
      </c>
      <c r="M189" s="7" t="e">
        <f t="shared" si="36"/>
        <v>#VALUE!</v>
      </c>
      <c r="N189" s="432" t="s">
        <v>516</v>
      </c>
      <c r="O189" s="424">
        <f t="shared" si="27"/>
        <v>46242</v>
      </c>
      <c r="P189" s="5" t="s">
        <v>20</v>
      </c>
      <c r="Q189" s="240">
        <v>1</v>
      </c>
      <c r="R189" s="241">
        <v>37</v>
      </c>
      <c r="S189" s="242" t="e">
        <f t="shared" si="37"/>
        <v>#VALUE!</v>
      </c>
      <c r="T189" s="375"/>
      <c r="AB189" t="s">
        <v>771</v>
      </c>
    </row>
    <row r="190" spans="2:28" ht="25.5">
      <c r="B190" s="473"/>
      <c r="C190" s="476"/>
      <c r="D190" s="516"/>
      <c r="E190" s="445"/>
      <c r="F190" s="456"/>
      <c r="G190" s="456"/>
      <c r="H190" s="456"/>
      <c r="I190" s="4">
        <f t="shared" si="38"/>
        <v>4.4999999999999982</v>
      </c>
      <c r="J190" s="8" t="s">
        <v>35</v>
      </c>
      <c r="K190" s="1" t="e">
        <f>SUMIFS('[4]BESS 10B'!Q:Q,'[4]BESS 10B'!B:B,J190)</f>
        <v>#VALUE!</v>
      </c>
      <c r="L190" s="2" t="e">
        <f>SUMIFS('[4]BESS 10B'!R:R,'[4]BESS 10B'!B:B,J190)</f>
        <v>#VALUE!</v>
      </c>
      <c r="M190" s="7" t="e">
        <f t="shared" si="36"/>
        <v>#VALUE!</v>
      </c>
      <c r="N190" s="432" t="s">
        <v>581</v>
      </c>
      <c r="O190" s="424">
        <f t="shared" si="27"/>
        <v>46242</v>
      </c>
      <c r="P190" s="5" t="s">
        <v>20</v>
      </c>
      <c r="Q190" s="240">
        <v>1</v>
      </c>
      <c r="R190" s="241">
        <v>34</v>
      </c>
      <c r="S190" s="242" t="e">
        <f t="shared" si="37"/>
        <v>#VALUE!</v>
      </c>
      <c r="T190" s="375"/>
      <c r="AB190" t="s">
        <v>772</v>
      </c>
    </row>
    <row r="191" spans="2:28">
      <c r="B191" s="473"/>
      <c r="C191" s="476"/>
      <c r="D191" s="516"/>
      <c r="E191" s="445"/>
      <c r="F191" s="456"/>
      <c r="G191" s="456"/>
      <c r="H191" s="456"/>
      <c r="I191" s="4">
        <f t="shared" si="38"/>
        <v>4.5999999999999979</v>
      </c>
      <c r="J191" s="8" t="s">
        <v>38</v>
      </c>
      <c r="K191" s="1" t="e">
        <f>SUMIFS('[4]BESS 10B'!Q:Q,'[4]BESS 10B'!B:B,J191)</f>
        <v>#VALUE!</v>
      </c>
      <c r="L191" s="2" t="e">
        <f>SUMIFS('[4]BESS 10B'!R:R,'[4]BESS 10B'!B:B,J191)</f>
        <v>#VALUE!</v>
      </c>
      <c r="M191" s="7" t="e">
        <f t="shared" si="36"/>
        <v>#VALUE!</v>
      </c>
      <c r="N191" s="436" t="s">
        <v>527</v>
      </c>
      <c r="O191" s="424">
        <f t="shared" si="27"/>
        <v>46237</v>
      </c>
      <c r="P191" s="5" t="s">
        <v>20</v>
      </c>
      <c r="Q191" s="240">
        <v>1</v>
      </c>
      <c r="R191" s="241">
        <v>54</v>
      </c>
      <c r="S191" s="242" t="e">
        <f t="shared" si="37"/>
        <v>#VALUE!</v>
      </c>
      <c r="T191" s="375"/>
      <c r="AB191" s="60" t="s">
        <v>776</v>
      </c>
    </row>
    <row r="192" spans="2:28">
      <c r="B192" s="473"/>
      <c r="C192" s="476"/>
      <c r="D192" s="516"/>
      <c r="E192" s="445"/>
      <c r="F192" s="456"/>
      <c r="G192" s="456"/>
      <c r="H192" s="456"/>
      <c r="I192" s="56">
        <f t="shared" si="38"/>
        <v>4.6999999999999975</v>
      </c>
      <c r="J192" s="57" t="s">
        <v>44</v>
      </c>
      <c r="K192" s="2" t="e">
        <f>SUMIFS('[4]BESS 10B'!Q:Q,'[4]BESS 10B'!B:B,J192)</f>
        <v>#VALUE!</v>
      </c>
      <c r="L192" s="2" t="e">
        <f>SUMIFS('[4]BESS 10B'!R:R,'[4]BESS 10B'!B:B,J192)</f>
        <v>#VALUE!</v>
      </c>
      <c r="M192" s="2" t="e">
        <f t="shared" si="36"/>
        <v>#VALUE!</v>
      </c>
      <c r="N192" s="63" t="s">
        <v>122</v>
      </c>
      <c r="O192" s="424" t="str">
        <f t="shared" si="27"/>
        <v>-</v>
      </c>
      <c r="P192" s="58" t="s">
        <v>45</v>
      </c>
      <c r="Q192" s="240">
        <v>3</v>
      </c>
      <c r="R192" s="241">
        <v>5</v>
      </c>
      <c r="S192" s="242" t="e">
        <f t="shared" si="37"/>
        <v>#VALUE!</v>
      </c>
      <c r="T192" s="375"/>
    </row>
    <row r="193" spans="2:30">
      <c r="B193" s="473"/>
      <c r="C193" s="476"/>
      <c r="D193" s="516"/>
      <c r="E193" s="445"/>
      <c r="F193" s="456"/>
      <c r="G193" s="456"/>
      <c r="H193" s="456"/>
      <c r="I193" s="4">
        <f t="shared" si="38"/>
        <v>4.7999999999999972</v>
      </c>
      <c r="J193" s="8" t="s">
        <v>40</v>
      </c>
      <c r="K193" s="1" t="e">
        <f>SUMIFS('[4]BESS 10B'!Q:Q,'[4]BESS 10B'!B:B,J193)</f>
        <v>#VALUE!</v>
      </c>
      <c r="L193" s="2" t="e">
        <f>SUMIFS('[4]BESS 10B'!R:R,'[4]BESS 10B'!B:B,J193)</f>
        <v>#VALUE!</v>
      </c>
      <c r="M193" s="7" t="e">
        <f t="shared" si="36"/>
        <v>#VALUE!</v>
      </c>
      <c r="N193" s="436" t="s">
        <v>528</v>
      </c>
      <c r="O193" s="424">
        <f t="shared" si="27"/>
        <v>46231</v>
      </c>
      <c r="P193" s="5" t="s">
        <v>20</v>
      </c>
      <c r="Q193" s="240">
        <v>1</v>
      </c>
      <c r="R193" s="241">
        <v>5</v>
      </c>
      <c r="S193" s="242" t="e">
        <f t="shared" si="37"/>
        <v>#VALUE!</v>
      </c>
      <c r="T193" s="375"/>
      <c r="AB193" s="60" t="s">
        <v>777</v>
      </c>
    </row>
    <row r="194" spans="2:30">
      <c r="B194" s="473"/>
      <c r="C194" s="476"/>
      <c r="D194" s="516"/>
      <c r="E194" s="445"/>
      <c r="F194" s="456"/>
      <c r="G194" s="456"/>
      <c r="H194" s="456"/>
      <c r="I194" s="4">
        <f t="shared" si="38"/>
        <v>4.8999999999999968</v>
      </c>
      <c r="J194" s="8" t="s">
        <v>30</v>
      </c>
      <c r="K194" s="1" t="e">
        <f>SUMIFS('[4]BESS 10B'!Q:Q,'[4]BESS 10B'!B:B,J194)</f>
        <v>#VALUE!</v>
      </c>
      <c r="L194" s="2" t="e">
        <f>SUMIFS('[4]BESS 10B'!R:R,'[4]BESS 10B'!B:B,J194)</f>
        <v>#VALUE!</v>
      </c>
      <c r="M194" s="7" t="e">
        <f t="shared" si="36"/>
        <v>#VALUE!</v>
      </c>
      <c r="N194" s="436">
        <v>46244</v>
      </c>
      <c r="O194" s="424">
        <f t="shared" si="27"/>
        <v>46244</v>
      </c>
      <c r="P194" s="5" t="s">
        <v>162</v>
      </c>
      <c r="Q194" s="240">
        <v>1</v>
      </c>
      <c r="R194" s="241">
        <v>27</v>
      </c>
      <c r="S194" s="242" t="e">
        <f t="shared" si="37"/>
        <v>#VALUE!</v>
      </c>
      <c r="T194" s="375"/>
      <c r="V194" s="60"/>
      <c r="W194" s="60"/>
    </row>
    <row r="195" spans="2:30">
      <c r="B195" s="473"/>
      <c r="C195" s="476"/>
      <c r="D195" s="516"/>
      <c r="E195" s="445"/>
      <c r="F195" s="456"/>
      <c r="G195" s="456"/>
      <c r="H195" s="456"/>
      <c r="I195" s="6">
        <f>C185+0.1</f>
        <v>4.0999999999999996</v>
      </c>
      <c r="J195" s="8" t="s">
        <v>34</v>
      </c>
      <c r="K195" s="1" t="e">
        <f>SUMIFS('[4]BESS 10B'!Q:Q,'[4]BESS 10B'!B:B,J195)</f>
        <v>#VALUE!</v>
      </c>
      <c r="L195" s="2" t="e">
        <f>SUMIFS('[4]BESS 10B'!R:R,'[4]BESS 10B'!B:B,J195)</f>
        <v>#VALUE!</v>
      </c>
      <c r="M195" s="7" t="e">
        <f t="shared" si="36"/>
        <v>#VALUE!</v>
      </c>
      <c r="N195" s="436">
        <v>46238</v>
      </c>
      <c r="O195" s="424">
        <f t="shared" si="27"/>
        <v>46238</v>
      </c>
      <c r="P195" s="5" t="s">
        <v>31</v>
      </c>
      <c r="Q195" s="240">
        <v>1</v>
      </c>
      <c r="R195" s="241">
        <v>25</v>
      </c>
      <c r="S195" s="242" t="e">
        <f t="shared" si="37"/>
        <v>#VALUE!</v>
      </c>
      <c r="T195" s="375"/>
    </row>
    <row r="196" spans="2:30">
      <c r="B196" s="473"/>
      <c r="C196" s="476"/>
      <c r="D196" s="516"/>
      <c r="E196" s="445"/>
      <c r="F196" s="456"/>
      <c r="G196" s="456"/>
      <c r="H196" s="456"/>
      <c r="I196" s="6">
        <f>I195+0.01</f>
        <v>4.1099999999999994</v>
      </c>
      <c r="J196" s="8" t="s">
        <v>37</v>
      </c>
      <c r="K196" s="1" t="e">
        <f>SUMIFS('[4]BESS 10B'!Q:Q,'[4]BESS 10B'!B:B,J196)</f>
        <v>#VALUE!</v>
      </c>
      <c r="L196" s="2" t="e">
        <f>SUMIFS('[4]BESS 10B'!R:R,'[4]BESS 10B'!B:B,J196)</f>
        <v>#VALUE!</v>
      </c>
      <c r="M196" s="7" t="e">
        <f t="shared" si="36"/>
        <v>#VALUE!</v>
      </c>
      <c r="N196" s="436">
        <v>46239</v>
      </c>
      <c r="O196" s="424">
        <f t="shared" si="27"/>
        <v>46239</v>
      </c>
      <c r="P196" s="5" t="s">
        <v>163</v>
      </c>
      <c r="Q196" s="240" t="s">
        <v>89</v>
      </c>
      <c r="R196" s="241" t="s">
        <v>89</v>
      </c>
      <c r="S196" s="242" t="s">
        <v>89</v>
      </c>
      <c r="T196" s="375"/>
    </row>
    <row r="197" spans="2:30">
      <c r="B197" s="473"/>
      <c r="C197" s="476"/>
      <c r="D197" s="516"/>
      <c r="E197" s="445"/>
      <c r="F197" s="456"/>
      <c r="G197" s="456"/>
      <c r="H197" s="456"/>
      <c r="I197" s="44"/>
      <c r="J197" s="46"/>
      <c r="K197" s="46"/>
      <c r="L197" s="47" t="s">
        <v>124</v>
      </c>
      <c r="M197" s="46"/>
      <c r="N197" s="46"/>
      <c r="O197" s="424"/>
      <c r="P197" s="95"/>
      <c r="Q197" s="240"/>
      <c r="R197" s="241"/>
      <c r="S197" s="242"/>
      <c r="T197" s="375"/>
    </row>
    <row r="198" spans="2:30" ht="25.5">
      <c r="B198" s="473"/>
      <c r="C198" s="476"/>
      <c r="D198" s="516"/>
      <c r="E198" s="445"/>
      <c r="F198" s="456"/>
      <c r="G198" s="456"/>
      <c r="H198" s="456"/>
      <c r="I198" s="92">
        <f>I196+0.01</f>
        <v>4.1199999999999992</v>
      </c>
      <c r="J198" s="138" t="s">
        <v>24</v>
      </c>
      <c r="K198" s="35" t="e">
        <f>SUMIFS('[4]BESS 10B'!Q:Q,'[4]BESS 10B'!B:B,J198)</f>
        <v>#VALUE!</v>
      </c>
      <c r="L198" s="36" t="e">
        <f>SUMIFS('[4]BESS 10B'!R:R,'[4]BESS 10B'!B:B,J198)</f>
        <v>#VALUE!</v>
      </c>
      <c r="M198" s="139" t="e">
        <f t="shared" ref="M198:M229" si="39">K198-L198</f>
        <v>#VALUE!</v>
      </c>
      <c r="N198" s="20" t="s">
        <v>628</v>
      </c>
      <c r="O198" s="424">
        <f t="shared" ref="O198:O229" si="40">IF(LEN(N198)=5,N198,(IF(N198="Completed","-",DATEVALUE(RIGHT(N198,6)))))</f>
        <v>46255</v>
      </c>
      <c r="P198" s="140" t="s">
        <v>164</v>
      </c>
      <c r="Q198" s="240">
        <v>2</v>
      </c>
      <c r="R198" s="241">
        <v>4</v>
      </c>
      <c r="S198" s="242" t="e">
        <f>(K198*R198)/Q198</f>
        <v>#VALUE!</v>
      </c>
      <c r="T198" s="375"/>
    </row>
    <row r="199" spans="2:30" ht="25.5">
      <c r="B199" s="473"/>
      <c r="C199" s="476"/>
      <c r="D199" s="516"/>
      <c r="E199" s="445"/>
      <c r="F199" s="456"/>
      <c r="G199" s="456"/>
      <c r="H199" s="456"/>
      <c r="I199" s="92">
        <f>I198+0.01</f>
        <v>4.129999999999999</v>
      </c>
      <c r="J199" s="138" t="s">
        <v>27</v>
      </c>
      <c r="K199" s="35" t="e">
        <f>SUMIFS('[4]BESS 10B'!Q:Q,'[4]BESS 10B'!B:B,J199)</f>
        <v>#VALUE!</v>
      </c>
      <c r="L199" s="36" t="e">
        <f>SUMIFS('[4]BESS 10B'!R:R,'[4]BESS 10B'!B:B,J199)</f>
        <v>#VALUE!</v>
      </c>
      <c r="M199" s="139" t="e">
        <f t="shared" si="39"/>
        <v>#VALUE!</v>
      </c>
      <c r="N199" s="20" t="s">
        <v>621</v>
      </c>
      <c r="O199" s="424">
        <f t="shared" si="40"/>
        <v>46259</v>
      </c>
      <c r="P199" s="140" t="s">
        <v>164</v>
      </c>
      <c r="Q199" s="240">
        <v>10</v>
      </c>
      <c r="R199" s="241">
        <v>4</v>
      </c>
      <c r="S199" s="242" t="e">
        <f>(K199*R199)/Q199</f>
        <v>#VALUE!</v>
      </c>
      <c r="T199" s="375"/>
    </row>
    <row r="200" spans="2:30" ht="25.5">
      <c r="B200" s="473"/>
      <c r="C200" s="476"/>
      <c r="D200" s="516"/>
      <c r="E200" s="445"/>
      <c r="F200" s="456"/>
      <c r="G200" s="456"/>
      <c r="H200" s="456"/>
      <c r="I200" s="92">
        <f>I199+0.01</f>
        <v>4.1399999999999988</v>
      </c>
      <c r="J200" s="138" t="s">
        <v>28</v>
      </c>
      <c r="K200" s="35" t="e">
        <f>SUMIFS('[4]BESS 10B'!Q:Q,'[4]BESS 10B'!B:B,J200)</f>
        <v>#VALUE!</v>
      </c>
      <c r="L200" s="36" t="e">
        <f>SUMIFS('[4]BESS 10B'!R:R,'[4]BESS 10B'!B:B,J200)</f>
        <v>#VALUE!</v>
      </c>
      <c r="M200" s="139" t="e">
        <f t="shared" si="39"/>
        <v>#VALUE!</v>
      </c>
      <c r="N200" s="20" t="s">
        <v>622</v>
      </c>
      <c r="O200" s="424">
        <f t="shared" si="40"/>
        <v>46259</v>
      </c>
      <c r="P200" s="140" t="s">
        <v>164</v>
      </c>
      <c r="Q200" s="240">
        <v>5</v>
      </c>
      <c r="R200" s="241">
        <v>4</v>
      </c>
      <c r="S200" s="242" t="e">
        <f>(K200*R200)/Q200</f>
        <v>#VALUE!</v>
      </c>
      <c r="T200" s="375"/>
    </row>
    <row r="201" spans="2:30" ht="25.5">
      <c r="B201" s="473"/>
      <c r="C201" s="476"/>
      <c r="D201" s="516"/>
      <c r="E201" s="445"/>
      <c r="F201" s="456"/>
      <c r="G201" s="456"/>
      <c r="H201" s="456"/>
      <c r="I201" s="92">
        <f t="shared" ref="I201:I229" si="41">I200+0.01</f>
        <v>4.1499999999999986</v>
      </c>
      <c r="J201" s="138" t="s">
        <v>29</v>
      </c>
      <c r="K201" s="35" t="e">
        <f>SUMIFS('[4]BESS 10B'!Q:Q,'[4]BESS 10B'!B:B,J201)</f>
        <v>#VALUE!</v>
      </c>
      <c r="L201" s="36" t="e">
        <f>SUMIFS('[4]BESS 10B'!R:R,'[4]BESS 10B'!B:B,J201)</f>
        <v>#VALUE!</v>
      </c>
      <c r="M201" s="139" t="e">
        <f t="shared" si="39"/>
        <v>#VALUE!</v>
      </c>
      <c r="N201" s="20" t="s">
        <v>623</v>
      </c>
      <c r="O201" s="424">
        <f t="shared" si="40"/>
        <v>46258</v>
      </c>
      <c r="P201" s="140" t="s">
        <v>164</v>
      </c>
      <c r="Q201" s="240">
        <v>20</v>
      </c>
      <c r="R201" s="591">
        <v>4</v>
      </c>
      <c r="S201" s="621">
        <v>4</v>
      </c>
      <c r="T201" s="375"/>
    </row>
    <row r="202" spans="2:30" ht="25.5">
      <c r="B202" s="473"/>
      <c r="C202" s="476"/>
      <c r="D202" s="516"/>
      <c r="E202" s="445"/>
      <c r="F202" s="456"/>
      <c r="G202" s="456"/>
      <c r="H202" s="456"/>
      <c r="I202" s="92">
        <f t="shared" si="41"/>
        <v>4.1599999999999984</v>
      </c>
      <c r="J202" s="138" t="s">
        <v>33</v>
      </c>
      <c r="K202" s="35" t="e">
        <f>SUMIFS('[4]BESS 10B'!Q:Q,'[4]BESS 10B'!B:B,J202)</f>
        <v>#VALUE!</v>
      </c>
      <c r="L202" s="36" t="e">
        <f>SUMIFS('[4]BESS 10B'!R:R,'[4]BESS 10B'!B:B,J202)</f>
        <v>#VALUE!</v>
      </c>
      <c r="M202" s="139" t="e">
        <f t="shared" si="39"/>
        <v>#VALUE!</v>
      </c>
      <c r="N202" s="20" t="s">
        <v>624</v>
      </c>
      <c r="O202" s="424">
        <f t="shared" si="40"/>
        <v>46258</v>
      </c>
      <c r="P202" s="140" t="s">
        <v>164</v>
      </c>
      <c r="Q202" s="240">
        <v>10</v>
      </c>
      <c r="R202" s="591"/>
      <c r="S202" s="621"/>
      <c r="T202" s="375"/>
      <c r="AB202" s="60"/>
      <c r="AC202" s="60"/>
      <c r="AD202" s="60"/>
    </row>
    <row r="203" spans="2:30">
      <c r="B203" s="473"/>
      <c r="C203" s="476"/>
      <c r="D203" s="516"/>
      <c r="E203" s="445"/>
      <c r="F203" s="456"/>
      <c r="G203" s="456"/>
      <c r="H203" s="456"/>
      <c r="I203" s="92">
        <f t="shared" si="41"/>
        <v>4.1699999999999982</v>
      </c>
      <c r="J203" s="138" t="s">
        <v>36</v>
      </c>
      <c r="K203" s="35" t="e">
        <f>SUMIFS('[4]BESS 10B'!Q:Q,'[4]BESS 10B'!B:B,J203)</f>
        <v>#VALUE!</v>
      </c>
      <c r="L203" s="36" t="e">
        <f>SUMIFS('[4]BESS 10B'!R:R,'[4]BESS 10B'!B:B,J203)</f>
        <v>#VALUE!</v>
      </c>
      <c r="M203" s="139" t="e">
        <f t="shared" si="39"/>
        <v>#VALUE!</v>
      </c>
      <c r="N203" s="3" t="s">
        <v>626</v>
      </c>
      <c r="O203" s="424">
        <f t="shared" si="40"/>
        <v>46256</v>
      </c>
      <c r="P203" s="140" t="s">
        <v>164</v>
      </c>
      <c r="Q203" s="240">
        <v>10</v>
      </c>
      <c r="R203" s="591"/>
      <c r="S203" s="621"/>
      <c r="T203" s="375"/>
    </row>
    <row r="204" spans="2:30">
      <c r="B204" s="473"/>
      <c r="C204" s="476"/>
      <c r="D204" s="516"/>
      <c r="E204" s="445"/>
      <c r="F204" s="456"/>
      <c r="G204" s="456"/>
      <c r="H204" s="456"/>
      <c r="I204" s="92">
        <f t="shared" si="41"/>
        <v>4.1799999999999979</v>
      </c>
      <c r="J204" s="138" t="s">
        <v>39</v>
      </c>
      <c r="K204" s="35" t="e">
        <f>SUMIFS('[4]BESS 10B'!Q:Q,'[4]BESS 10B'!B:B,J204)</f>
        <v>#VALUE!</v>
      </c>
      <c r="L204" s="36" t="e">
        <f>SUMIFS('[4]BESS 10B'!R:R,'[4]BESS 10B'!B:B,J204)</f>
        <v>#VALUE!</v>
      </c>
      <c r="M204" s="139" t="e">
        <f t="shared" si="39"/>
        <v>#VALUE!</v>
      </c>
      <c r="N204" s="3" t="s">
        <v>625</v>
      </c>
      <c r="O204" s="424">
        <f t="shared" si="40"/>
        <v>46257</v>
      </c>
      <c r="P204" s="140" t="s">
        <v>164</v>
      </c>
      <c r="Q204" s="240">
        <v>10</v>
      </c>
      <c r="R204" s="591"/>
      <c r="S204" s="621"/>
      <c r="T204" s="375"/>
    </row>
    <row r="205" spans="2:30">
      <c r="B205" s="473"/>
      <c r="C205" s="476"/>
      <c r="D205" s="516"/>
      <c r="E205" s="445"/>
      <c r="F205" s="456"/>
      <c r="G205" s="456"/>
      <c r="H205" s="456"/>
      <c r="I205" s="92">
        <f t="shared" si="41"/>
        <v>4.1899999999999977</v>
      </c>
      <c r="J205" s="138" t="s">
        <v>41</v>
      </c>
      <c r="K205" s="35" t="e">
        <f>SUMIFS('[4]BESS 10B'!Q:Q,'[4]BESS 10B'!B:B,J205)</f>
        <v>#VALUE!</v>
      </c>
      <c r="L205" s="36" t="e">
        <f>SUMIFS('[4]BESS 10B'!R:R,'[4]BESS 10B'!B:B,J205)</f>
        <v>#VALUE!</v>
      </c>
      <c r="M205" s="139" t="e">
        <f t="shared" si="39"/>
        <v>#VALUE!</v>
      </c>
      <c r="N205" s="3" t="s">
        <v>627</v>
      </c>
      <c r="O205" s="424">
        <f t="shared" si="40"/>
        <v>46249</v>
      </c>
      <c r="P205" s="5" t="s">
        <v>181</v>
      </c>
      <c r="Q205" s="240">
        <v>20</v>
      </c>
      <c r="R205" s="591"/>
      <c r="S205" s="621"/>
      <c r="T205" s="375"/>
    </row>
    <row r="206" spans="2:30">
      <c r="B206" s="473"/>
      <c r="C206" s="476"/>
      <c r="D206" s="516"/>
      <c r="E206" s="445"/>
      <c r="F206" s="456"/>
      <c r="G206" s="456"/>
      <c r="H206" s="456"/>
      <c r="I206" s="6">
        <f t="shared" si="41"/>
        <v>4.1999999999999975</v>
      </c>
      <c r="J206" s="8" t="s">
        <v>43</v>
      </c>
      <c r="K206" s="1" t="e">
        <f>SUMIFS('[4]BESS 10B'!Q:Q,'[4]BESS 10B'!B:B,J206)</f>
        <v>#VALUE!</v>
      </c>
      <c r="L206" s="2" t="e">
        <f>SUMIFS('[4]BESS 10B'!R:R,'[4]BESS 10B'!B:B,J206)</f>
        <v>#VALUE!</v>
      </c>
      <c r="M206" s="7" t="e">
        <f t="shared" si="39"/>
        <v>#VALUE!</v>
      </c>
      <c r="N206" s="3" t="s">
        <v>629</v>
      </c>
      <c r="O206" s="424">
        <f t="shared" si="40"/>
        <v>46257</v>
      </c>
      <c r="P206" s="5" t="s">
        <v>181</v>
      </c>
      <c r="Q206" s="240">
        <v>0.66666666666666663</v>
      </c>
      <c r="R206" s="241">
        <v>0</v>
      </c>
      <c r="S206" s="242" t="e">
        <f>(K206*R206)/Q206</f>
        <v>#VALUE!</v>
      </c>
      <c r="T206" s="375"/>
    </row>
    <row r="207" spans="2:30" ht="25.5">
      <c r="B207" s="473"/>
      <c r="C207" s="476"/>
      <c r="D207" s="516"/>
      <c r="E207" s="445"/>
      <c r="F207" s="456"/>
      <c r="G207" s="456"/>
      <c r="H207" s="456"/>
      <c r="I207" s="92">
        <f t="shared" si="41"/>
        <v>4.2099999999999973</v>
      </c>
      <c r="J207" s="138" t="s">
        <v>21</v>
      </c>
      <c r="K207" s="35" t="e">
        <f>SUMIFS('[4]BESS 10B'!Q:Q,'[4]BESS 10B'!B:B,J207)</f>
        <v>#VALUE!</v>
      </c>
      <c r="L207" s="36" t="e">
        <f>SUMIFS('[4]BESS 10B'!R:R,'[4]BESS 10B'!B:B,J207)</f>
        <v>#VALUE!</v>
      </c>
      <c r="M207" s="139" t="e">
        <f t="shared" si="39"/>
        <v>#VALUE!</v>
      </c>
      <c r="N207" s="20" t="s">
        <v>507</v>
      </c>
      <c r="O207" s="424">
        <f t="shared" si="40"/>
        <v>46278</v>
      </c>
      <c r="P207" s="140" t="s">
        <v>164</v>
      </c>
      <c r="Q207" s="240">
        <v>10</v>
      </c>
      <c r="R207" s="241">
        <v>4</v>
      </c>
      <c r="S207" s="242" t="e">
        <f>(K207*R207)/Q207</f>
        <v>#VALUE!</v>
      </c>
      <c r="T207" s="375"/>
    </row>
    <row r="208" spans="2:30">
      <c r="B208" s="473"/>
      <c r="C208" s="476"/>
      <c r="D208" s="516"/>
      <c r="E208" s="445"/>
      <c r="F208" s="456"/>
      <c r="G208" s="456"/>
      <c r="H208" s="456"/>
      <c r="I208" s="92">
        <f t="shared" si="41"/>
        <v>4.2199999999999971</v>
      </c>
      <c r="J208" s="138" t="s">
        <v>47</v>
      </c>
      <c r="K208" s="35" t="e">
        <f>SUMIFS('[4]BESS 10B'!Q:Q,'[4]BESS 10B'!B:B,J208)</f>
        <v>#VALUE!</v>
      </c>
      <c r="L208" s="36" t="e">
        <f>SUMIFS('[4]BESS 10B'!R:R,'[4]BESS 10B'!B:B,J208)</f>
        <v>#VALUE!</v>
      </c>
      <c r="M208" s="139" t="e">
        <f t="shared" si="39"/>
        <v>#VALUE!</v>
      </c>
      <c r="N208" s="3" t="s">
        <v>394</v>
      </c>
      <c r="O208" s="424">
        <f t="shared" si="40"/>
        <v>46249</v>
      </c>
      <c r="P208" s="140" t="s">
        <v>164</v>
      </c>
      <c r="Q208" s="240">
        <v>1500</v>
      </c>
      <c r="R208" s="241">
        <v>48</v>
      </c>
      <c r="S208" s="242" t="e">
        <f t="shared" ref="S208:S218" si="42">(K208*R208)/Q208</f>
        <v>#VALUE!</v>
      </c>
      <c r="T208" s="375"/>
      <c r="W208" s="60"/>
    </row>
    <row r="209" spans="2:24">
      <c r="B209" s="473"/>
      <c r="C209" s="476"/>
      <c r="D209" s="516"/>
      <c r="E209" s="445"/>
      <c r="F209" s="456"/>
      <c r="G209" s="456"/>
      <c r="H209" s="456"/>
      <c r="I209" s="92">
        <f t="shared" si="41"/>
        <v>4.2299999999999969</v>
      </c>
      <c r="J209" s="138" t="s">
        <v>48</v>
      </c>
      <c r="K209" s="35" t="e">
        <f>SUMIFS('[4]BESS 10B'!Q:Q,'[4]BESS 10B'!B:B,J209)</f>
        <v>#VALUE!</v>
      </c>
      <c r="L209" s="36" t="e">
        <f>SUMIFS('[4]BESS 10B'!R:R,'[4]BESS 10B'!B:B,J209)</f>
        <v>#VALUE!</v>
      </c>
      <c r="M209" s="139" t="e">
        <f t="shared" si="39"/>
        <v>#VALUE!</v>
      </c>
      <c r="N209" s="3" t="s">
        <v>632</v>
      </c>
      <c r="O209" s="424">
        <f t="shared" si="40"/>
        <v>46262</v>
      </c>
      <c r="P209" s="140" t="s">
        <v>164</v>
      </c>
      <c r="Q209" s="240">
        <v>8</v>
      </c>
      <c r="R209" s="241">
        <v>6</v>
      </c>
      <c r="S209" s="242" t="e">
        <f t="shared" si="42"/>
        <v>#VALUE!</v>
      </c>
      <c r="T209" s="375"/>
      <c r="W209" s="60"/>
    </row>
    <row r="210" spans="2:24">
      <c r="B210" s="473"/>
      <c r="C210" s="476"/>
      <c r="D210" s="516"/>
      <c r="E210" s="445"/>
      <c r="F210" s="456"/>
      <c r="G210" s="456"/>
      <c r="H210" s="456"/>
      <c r="I210" s="92">
        <f t="shared" si="41"/>
        <v>4.2399999999999967</v>
      </c>
      <c r="J210" s="138" t="s">
        <v>126</v>
      </c>
      <c r="K210" s="35" t="e">
        <f>SUMIFS('[4]BESS 10B'!Q:Q,'[4]BESS 10B'!B:B,J210)</f>
        <v>#VALUE!</v>
      </c>
      <c r="L210" s="36" t="e">
        <f>SUMIFS('[4]BESS 10B'!R:R,'[4]BESS 10B'!B:B,J210)</f>
        <v>#VALUE!</v>
      </c>
      <c r="M210" s="139" t="e">
        <f t="shared" si="39"/>
        <v>#VALUE!</v>
      </c>
      <c r="N210" s="3" t="s">
        <v>393</v>
      </c>
      <c r="O210" s="424">
        <f t="shared" si="40"/>
        <v>46254</v>
      </c>
      <c r="P210" s="140" t="s">
        <v>164</v>
      </c>
      <c r="Q210" s="240">
        <v>600</v>
      </c>
      <c r="R210" s="241">
        <v>10</v>
      </c>
      <c r="S210" s="242" t="e">
        <f t="shared" si="42"/>
        <v>#VALUE!</v>
      </c>
      <c r="T210" s="375"/>
      <c r="W210" s="60"/>
    </row>
    <row r="211" spans="2:24">
      <c r="B211" s="473"/>
      <c r="C211" s="476"/>
      <c r="D211" s="516"/>
      <c r="E211" s="445"/>
      <c r="F211" s="456"/>
      <c r="G211" s="456"/>
      <c r="H211" s="456"/>
      <c r="I211" s="92">
        <f t="shared" si="41"/>
        <v>4.2499999999999964</v>
      </c>
      <c r="J211" s="138" t="s">
        <v>127</v>
      </c>
      <c r="K211" s="35" t="e">
        <f>SUMIFS('[4]BESS 10B'!Q:Q,'[4]BESS 10B'!B:B,J211)</f>
        <v>#VALUE!</v>
      </c>
      <c r="L211" s="36" t="e">
        <f>SUMIFS('[4]BESS 10B'!R:R,'[4]BESS 10B'!B:B,J211)</f>
        <v>#VALUE!</v>
      </c>
      <c r="M211" s="139" t="e">
        <f t="shared" si="39"/>
        <v>#VALUE!</v>
      </c>
      <c r="N211" s="3" t="s">
        <v>392</v>
      </c>
      <c r="O211" s="424">
        <f t="shared" si="40"/>
        <v>46254</v>
      </c>
      <c r="P211" s="140" t="s">
        <v>164</v>
      </c>
      <c r="Q211" s="240">
        <v>600</v>
      </c>
      <c r="R211" s="241">
        <v>10</v>
      </c>
      <c r="S211" s="242" t="e">
        <f t="shared" si="42"/>
        <v>#VALUE!</v>
      </c>
      <c r="T211" s="375"/>
      <c r="W211" s="60"/>
    </row>
    <row r="212" spans="2:24" ht="25.5">
      <c r="B212" s="473"/>
      <c r="C212" s="476"/>
      <c r="D212" s="516"/>
      <c r="E212" s="445"/>
      <c r="F212" s="456"/>
      <c r="G212" s="456"/>
      <c r="H212" s="456"/>
      <c r="I212" s="92">
        <f t="shared" si="41"/>
        <v>4.2599999999999962</v>
      </c>
      <c r="J212" s="138" t="s">
        <v>128</v>
      </c>
      <c r="K212" s="35" t="e">
        <f>SUMIFS('[4]BESS 10B'!Q:Q,'[4]BESS 10B'!B:B,J212)</f>
        <v>#VALUE!</v>
      </c>
      <c r="L212" s="36" t="e">
        <f>SUMIFS('[4]BESS 10B'!R:R,'[4]BESS 10B'!B:B,J212)</f>
        <v>#VALUE!</v>
      </c>
      <c r="M212" s="139" t="e">
        <f t="shared" ref="M212:M228" si="43">K212-L212</f>
        <v>#VALUE!</v>
      </c>
      <c r="N212" s="20" t="s">
        <v>508</v>
      </c>
      <c r="O212" s="424">
        <f t="shared" si="40"/>
        <v>46285</v>
      </c>
      <c r="P212" s="140" t="s">
        <v>164</v>
      </c>
      <c r="Q212" s="240">
        <v>30</v>
      </c>
      <c r="R212" s="241">
        <v>18</v>
      </c>
      <c r="S212" s="242" t="e">
        <f t="shared" si="42"/>
        <v>#VALUE!</v>
      </c>
      <c r="T212" s="375"/>
      <c r="W212" s="60"/>
    </row>
    <row r="213" spans="2:24">
      <c r="B213" s="473"/>
      <c r="C213" s="476"/>
      <c r="D213" s="516"/>
      <c r="E213" s="445"/>
      <c r="F213" s="456"/>
      <c r="G213" s="456"/>
      <c r="H213" s="456"/>
      <c r="I213" s="92">
        <f t="shared" si="41"/>
        <v>4.269999999999996</v>
      </c>
      <c r="J213" s="138" t="s">
        <v>129</v>
      </c>
      <c r="K213" s="35" t="e">
        <f>SUMIFS('[4]BESS 10B'!Q:Q,'[4]BESS 10B'!B:B,J213)</f>
        <v>#VALUE!</v>
      </c>
      <c r="L213" s="36" t="e">
        <f>SUMIFS('[4]BESS 10B'!R:R,'[4]BESS 10B'!B:B,J213)</f>
        <v>#VALUE!</v>
      </c>
      <c r="M213" s="139" t="e">
        <f t="shared" si="43"/>
        <v>#VALUE!</v>
      </c>
      <c r="N213" s="3" t="s">
        <v>509</v>
      </c>
      <c r="O213" s="424">
        <f t="shared" si="40"/>
        <v>46280</v>
      </c>
      <c r="P213" s="140" t="s">
        <v>164</v>
      </c>
      <c r="Q213" s="240">
        <v>30</v>
      </c>
      <c r="R213" s="241">
        <v>18</v>
      </c>
      <c r="S213" s="242" t="e">
        <f t="shared" si="42"/>
        <v>#VALUE!</v>
      </c>
      <c r="T213" s="375"/>
      <c r="W213" s="60"/>
    </row>
    <row r="214" spans="2:24">
      <c r="B214" s="473"/>
      <c r="C214" s="476"/>
      <c r="D214" s="516"/>
      <c r="E214" s="445"/>
      <c r="F214" s="456"/>
      <c r="G214" s="456"/>
      <c r="H214" s="456"/>
      <c r="I214" s="92">
        <f t="shared" si="41"/>
        <v>4.2799999999999958</v>
      </c>
      <c r="J214" s="138" t="s">
        <v>130</v>
      </c>
      <c r="K214" s="35" t="e">
        <f>SUMIFS('[4]BESS 10B'!Q:Q,'[4]BESS 10B'!B:B,J214)</f>
        <v>#VALUE!</v>
      </c>
      <c r="L214" s="36" t="e">
        <f>SUMIFS('[4]BESS 10B'!R:R,'[4]BESS 10B'!B:B,J214)</f>
        <v>#VALUE!</v>
      </c>
      <c r="M214" s="139" t="e">
        <f t="shared" si="43"/>
        <v>#VALUE!</v>
      </c>
      <c r="N214" s="3" t="s">
        <v>390</v>
      </c>
      <c r="O214" s="424">
        <f t="shared" si="40"/>
        <v>46257</v>
      </c>
      <c r="P214" s="140" t="s">
        <v>164</v>
      </c>
      <c r="Q214" s="240">
        <v>1000</v>
      </c>
      <c r="R214" s="241">
        <v>10</v>
      </c>
      <c r="S214" s="242" t="e">
        <f t="shared" si="42"/>
        <v>#VALUE!</v>
      </c>
      <c r="T214" s="375"/>
      <c r="W214" s="60"/>
    </row>
    <row r="215" spans="2:24">
      <c r="B215" s="473"/>
      <c r="C215" s="476"/>
      <c r="D215" s="516"/>
      <c r="E215" s="445"/>
      <c r="F215" s="456"/>
      <c r="G215" s="456"/>
      <c r="H215" s="456"/>
      <c r="I215" s="92">
        <f t="shared" si="41"/>
        <v>4.2899999999999956</v>
      </c>
      <c r="J215" s="138" t="s">
        <v>131</v>
      </c>
      <c r="K215" s="35" t="e">
        <f>SUMIFS('[4]BESS 10B'!Q:Q,'[4]BESS 10B'!B:B,J215)</f>
        <v>#VALUE!</v>
      </c>
      <c r="L215" s="36" t="e">
        <f>SUMIFS('[4]BESS 10B'!R:R,'[4]BESS 10B'!B:B,J215)</f>
        <v>#VALUE!</v>
      </c>
      <c r="M215" s="139" t="e">
        <f t="shared" si="43"/>
        <v>#VALUE!</v>
      </c>
      <c r="N215" s="3" t="s">
        <v>391</v>
      </c>
      <c r="O215" s="424">
        <f t="shared" si="40"/>
        <v>46257</v>
      </c>
      <c r="P215" s="140" t="s">
        <v>164</v>
      </c>
      <c r="Q215" s="240">
        <v>1000</v>
      </c>
      <c r="R215" s="241">
        <v>10</v>
      </c>
      <c r="S215" s="242" t="e">
        <f t="shared" si="42"/>
        <v>#VALUE!</v>
      </c>
      <c r="T215" s="375"/>
      <c r="W215" s="60"/>
    </row>
    <row r="216" spans="2:24">
      <c r="B216" s="473"/>
      <c r="C216" s="476"/>
      <c r="D216" s="516"/>
      <c r="E216" s="445"/>
      <c r="F216" s="456"/>
      <c r="G216" s="456"/>
      <c r="H216" s="456"/>
      <c r="I216" s="92">
        <f t="shared" si="41"/>
        <v>4.2999999999999954</v>
      </c>
      <c r="J216" s="138" t="s">
        <v>132</v>
      </c>
      <c r="K216" s="35" t="e">
        <f>SUMIFS('[4]BESS 10B'!Q:Q,'[4]BESS 10B'!B:B,J216)</f>
        <v>#VALUE!</v>
      </c>
      <c r="L216" s="36" t="e">
        <f>SUMIFS('[4]BESS 10B'!R:R,'[4]BESS 10B'!B:B,J216)</f>
        <v>#VALUE!</v>
      </c>
      <c r="M216" s="139" t="e">
        <f t="shared" si="43"/>
        <v>#VALUE!</v>
      </c>
      <c r="N216" s="3" t="s">
        <v>390</v>
      </c>
      <c r="O216" s="424">
        <f t="shared" si="40"/>
        <v>46257</v>
      </c>
      <c r="P216" s="140" t="s">
        <v>164</v>
      </c>
      <c r="Q216" s="240">
        <v>500</v>
      </c>
      <c r="R216" s="241">
        <v>10</v>
      </c>
      <c r="S216" s="242" t="e">
        <f t="shared" si="42"/>
        <v>#VALUE!</v>
      </c>
      <c r="T216" s="375"/>
      <c r="W216" s="60"/>
    </row>
    <row r="217" spans="2:24" ht="25.5">
      <c r="B217" s="473"/>
      <c r="C217" s="476"/>
      <c r="D217" s="516"/>
      <c r="E217" s="445"/>
      <c r="F217" s="456"/>
      <c r="G217" s="456"/>
      <c r="H217" s="456"/>
      <c r="I217" s="92">
        <f t="shared" si="41"/>
        <v>4.3099999999999952</v>
      </c>
      <c r="J217" s="138" t="s">
        <v>133</v>
      </c>
      <c r="K217" s="35" t="e">
        <f>SUMIFS('[4]BESS 10B'!Q:Q,'[4]BESS 10B'!B:B,J217)</f>
        <v>#VALUE!</v>
      </c>
      <c r="L217" s="36" t="e">
        <f>SUMIFS('[4]BESS 10B'!R:R,'[4]BESS 10B'!B:B,J217)</f>
        <v>#VALUE!</v>
      </c>
      <c r="M217" s="139" t="e">
        <f t="shared" si="43"/>
        <v>#VALUE!</v>
      </c>
      <c r="N217" s="20" t="s">
        <v>508</v>
      </c>
      <c r="O217" s="424">
        <f t="shared" si="40"/>
        <v>46285</v>
      </c>
      <c r="P217" s="140" t="s">
        <v>164</v>
      </c>
      <c r="Q217" s="240">
        <v>30</v>
      </c>
      <c r="R217" s="241">
        <v>6</v>
      </c>
      <c r="S217" s="242" t="e">
        <f t="shared" si="42"/>
        <v>#VALUE!</v>
      </c>
      <c r="T217" s="375"/>
      <c r="W217" s="60"/>
    </row>
    <row r="218" spans="2:24" ht="25.5">
      <c r="B218" s="473"/>
      <c r="C218" s="476"/>
      <c r="D218" s="516"/>
      <c r="E218" s="445"/>
      <c r="F218" s="456"/>
      <c r="G218" s="456"/>
      <c r="H218" s="456"/>
      <c r="I218" s="92">
        <f t="shared" si="41"/>
        <v>4.319999999999995</v>
      </c>
      <c r="J218" s="138" t="s">
        <v>134</v>
      </c>
      <c r="K218" s="35" t="e">
        <f>SUMIFS('[4]BESS 10B'!Q:Q,'[4]BESS 10B'!B:B,J218)</f>
        <v>#VALUE!</v>
      </c>
      <c r="L218" s="36" t="e">
        <f>SUMIFS('[4]BESS 10B'!R:R,'[4]BESS 10B'!B:B,J218)</f>
        <v>#VALUE!</v>
      </c>
      <c r="M218" s="139" t="e">
        <f t="shared" si="43"/>
        <v>#VALUE!</v>
      </c>
      <c r="N218" s="20" t="s">
        <v>508</v>
      </c>
      <c r="O218" s="424">
        <f t="shared" si="40"/>
        <v>46285</v>
      </c>
      <c r="P218" s="140" t="s">
        <v>187</v>
      </c>
      <c r="Q218" s="240">
        <v>30</v>
      </c>
      <c r="R218" s="241">
        <v>4</v>
      </c>
      <c r="S218" s="242" t="e">
        <f t="shared" si="42"/>
        <v>#VALUE!</v>
      </c>
      <c r="T218" s="375"/>
      <c r="W218" s="60"/>
    </row>
    <row r="219" spans="2:24" ht="25.5">
      <c r="B219" s="473"/>
      <c r="C219" s="476"/>
      <c r="D219" s="516"/>
      <c r="E219" s="445"/>
      <c r="F219" s="456"/>
      <c r="G219" s="456"/>
      <c r="H219" s="456"/>
      <c r="I219" s="92">
        <f t="shared" si="41"/>
        <v>4.3299999999999947</v>
      </c>
      <c r="J219" s="138" t="s">
        <v>136</v>
      </c>
      <c r="K219" s="35" t="e">
        <f>SUMIFS('[4]BESS 10B'!Q:Q,'[4]BESS 10B'!B:B,J219)</f>
        <v>#VALUE!</v>
      </c>
      <c r="L219" s="36" t="e">
        <f>SUMIFS('[4]BESS 10B'!R:R,'[4]BESS 10B'!B:B,J219)</f>
        <v>#VALUE!</v>
      </c>
      <c r="M219" s="139" t="e">
        <f t="shared" si="43"/>
        <v>#VALUE!</v>
      </c>
      <c r="N219" s="20" t="s">
        <v>508</v>
      </c>
      <c r="O219" s="424">
        <f t="shared" si="40"/>
        <v>46285</v>
      </c>
      <c r="P219" s="5" t="s">
        <v>187</v>
      </c>
      <c r="Q219" s="240" t="s">
        <v>89</v>
      </c>
      <c r="R219" s="241" t="s">
        <v>89</v>
      </c>
      <c r="S219" s="242" t="s">
        <v>89</v>
      </c>
      <c r="T219" s="375"/>
      <c r="U219">
        <f ca="1">O219-$T$1</f>
        <v>52</v>
      </c>
      <c r="V219" s="97" t="e">
        <f>SUM(S198:S229)</f>
        <v>#VALUE!</v>
      </c>
      <c r="W219" s="60"/>
      <c r="X219" s="97" t="e">
        <f ca="1">V219/U219</f>
        <v>#VALUE!</v>
      </c>
    </row>
    <row r="220" spans="2:24" ht="25.5">
      <c r="B220" s="473"/>
      <c r="C220" s="476"/>
      <c r="D220" s="516"/>
      <c r="E220" s="445"/>
      <c r="F220" s="456"/>
      <c r="G220" s="456"/>
      <c r="H220" s="456"/>
      <c r="I220" s="6">
        <f t="shared" si="41"/>
        <v>4.3399999999999945</v>
      </c>
      <c r="J220" s="138" t="s">
        <v>137</v>
      </c>
      <c r="K220" s="35" t="e">
        <f>SUMIFS('[4]BESS 10B'!Q:Q,'[4]BESS 10B'!B:B,J220)</f>
        <v>#VALUE!</v>
      </c>
      <c r="L220" s="36" t="e">
        <f>SUMIFS('[4]BESS 10B'!R:R,'[4]BESS 10B'!B:B,J220)</f>
        <v>#VALUE!</v>
      </c>
      <c r="M220" s="139" t="e">
        <f t="shared" si="43"/>
        <v>#VALUE!</v>
      </c>
      <c r="N220" s="20" t="s">
        <v>630</v>
      </c>
      <c r="O220" s="424">
        <f t="shared" si="40"/>
        <v>46265</v>
      </c>
      <c r="P220" s="140" t="s">
        <v>164</v>
      </c>
      <c r="Q220" s="620">
        <v>2</v>
      </c>
      <c r="R220" s="591">
        <v>8</v>
      </c>
      <c r="S220" s="621">
        <v>12</v>
      </c>
      <c r="T220" s="375"/>
      <c r="W220" s="60"/>
    </row>
    <row r="221" spans="2:24" ht="25.5">
      <c r="B221" s="473"/>
      <c r="C221" s="476"/>
      <c r="D221" s="516"/>
      <c r="E221" s="445"/>
      <c r="F221" s="456"/>
      <c r="G221" s="456"/>
      <c r="H221" s="456"/>
      <c r="I221" s="6">
        <f t="shared" si="41"/>
        <v>4.3499999999999943</v>
      </c>
      <c r="J221" s="138" t="s">
        <v>139</v>
      </c>
      <c r="K221" s="35" t="e">
        <f>SUMIFS('[4]BESS 10B'!Q:Q,'[4]BESS 10B'!B:B,J221)</f>
        <v>#VALUE!</v>
      </c>
      <c r="L221" s="36" t="e">
        <f>SUMIFS('[4]BESS 10B'!R:R,'[4]BESS 10B'!B:B,J221)</f>
        <v>#VALUE!</v>
      </c>
      <c r="M221" s="139" t="e">
        <f t="shared" si="43"/>
        <v>#VALUE!</v>
      </c>
      <c r="N221" s="20" t="s">
        <v>631</v>
      </c>
      <c r="O221" s="424">
        <f t="shared" si="40"/>
        <v>46270</v>
      </c>
      <c r="P221" s="140" t="s">
        <v>164</v>
      </c>
      <c r="Q221" s="620"/>
      <c r="R221" s="591"/>
      <c r="S221" s="621"/>
      <c r="T221" s="375"/>
      <c r="W221" s="60"/>
    </row>
    <row r="222" spans="2:24" ht="25.5">
      <c r="B222" s="473"/>
      <c r="C222" s="476"/>
      <c r="D222" s="516"/>
      <c r="E222" s="445"/>
      <c r="F222" s="456"/>
      <c r="G222" s="456"/>
      <c r="H222" s="456"/>
      <c r="I222" s="6">
        <f t="shared" si="41"/>
        <v>4.3599999999999941</v>
      </c>
      <c r="J222" s="138" t="s">
        <v>140</v>
      </c>
      <c r="K222" s="35" t="e">
        <f>SUMIFS('[4]BESS 10B'!Q:Q,'[4]BESS 10B'!B:B,J222)</f>
        <v>#VALUE!</v>
      </c>
      <c r="L222" s="36" t="e">
        <f>SUMIFS('[4]BESS 10B'!R:R,'[4]BESS 10B'!B:B,J222)</f>
        <v>#VALUE!</v>
      </c>
      <c r="M222" s="139" t="e">
        <f t="shared" si="43"/>
        <v>#VALUE!</v>
      </c>
      <c r="N222" s="20" t="s">
        <v>510</v>
      </c>
      <c r="O222" s="424">
        <f t="shared" si="40"/>
        <v>46292</v>
      </c>
      <c r="P222" s="140" t="s">
        <v>164</v>
      </c>
      <c r="Q222" s="240">
        <v>2</v>
      </c>
      <c r="R222" s="241">
        <v>4</v>
      </c>
      <c r="S222" s="242" t="e">
        <f t="shared" ref="S222:S229" si="44">(K222*R222)/Q222</f>
        <v>#VALUE!</v>
      </c>
      <c r="T222" s="375"/>
      <c r="W222" s="60"/>
    </row>
    <row r="223" spans="2:24" ht="25.5">
      <c r="B223" s="473"/>
      <c r="C223" s="476"/>
      <c r="D223" s="516"/>
      <c r="E223" s="445"/>
      <c r="F223" s="456"/>
      <c r="G223" s="456"/>
      <c r="H223" s="456"/>
      <c r="I223" s="6">
        <f t="shared" si="41"/>
        <v>4.3699999999999939</v>
      </c>
      <c r="J223" s="138" t="s">
        <v>141</v>
      </c>
      <c r="K223" s="35" t="e">
        <f>SUMIFS('[4]BESS 10B'!Q:Q,'[4]BESS 10B'!B:B,J223)</f>
        <v>#VALUE!</v>
      </c>
      <c r="L223" s="36" t="e">
        <f>SUMIFS('[4]BESS 10B'!R:R,'[4]BESS 10B'!B:B,J223)</f>
        <v>#VALUE!</v>
      </c>
      <c r="M223" s="139" t="e">
        <f t="shared" si="43"/>
        <v>#VALUE!</v>
      </c>
      <c r="N223" s="3" t="s">
        <v>492</v>
      </c>
      <c r="O223" s="424">
        <f t="shared" si="40"/>
        <v>46269</v>
      </c>
      <c r="P223" s="140" t="s">
        <v>164</v>
      </c>
      <c r="Q223" s="240">
        <v>0.5</v>
      </c>
      <c r="R223" s="241">
        <v>4</v>
      </c>
      <c r="S223" s="242" t="e">
        <f t="shared" si="44"/>
        <v>#VALUE!</v>
      </c>
      <c r="T223" s="375"/>
      <c r="W223" s="60"/>
    </row>
    <row r="224" spans="2:24" ht="25.5">
      <c r="B224" s="473"/>
      <c r="C224" s="476"/>
      <c r="D224" s="516"/>
      <c r="E224" s="445"/>
      <c r="F224" s="456"/>
      <c r="G224" s="456"/>
      <c r="H224" s="456"/>
      <c r="I224" s="6">
        <f t="shared" si="41"/>
        <v>4.3799999999999937</v>
      </c>
      <c r="J224" s="138" t="s">
        <v>142</v>
      </c>
      <c r="K224" s="35" t="e">
        <f>SUMIFS('[4]BESS 10B'!Q:Q,'[4]BESS 10B'!B:B,J224)</f>
        <v>#VALUE!</v>
      </c>
      <c r="L224" s="36" t="e">
        <f>SUMIFS('[4]BESS 10B'!R:R,'[4]BESS 10B'!B:B,J224)</f>
        <v>#VALUE!</v>
      </c>
      <c r="M224" s="139" t="e">
        <f t="shared" si="43"/>
        <v>#VALUE!</v>
      </c>
      <c r="N224" s="20" t="s">
        <v>511</v>
      </c>
      <c r="O224" s="424">
        <f t="shared" si="40"/>
        <v>46290</v>
      </c>
      <c r="P224" s="140" t="s">
        <v>164</v>
      </c>
      <c r="Q224" s="240">
        <v>6</v>
      </c>
      <c r="R224" s="241">
        <v>4</v>
      </c>
      <c r="S224" s="242" t="e">
        <f t="shared" si="44"/>
        <v>#VALUE!</v>
      </c>
      <c r="T224" s="375"/>
      <c r="W224" s="60"/>
    </row>
    <row r="225" spans="2:28" ht="25.5">
      <c r="B225" s="473"/>
      <c r="C225" s="476"/>
      <c r="D225" s="516"/>
      <c r="E225" s="445"/>
      <c r="F225" s="456"/>
      <c r="G225" s="456"/>
      <c r="H225" s="456"/>
      <c r="I225" s="6">
        <f t="shared" si="41"/>
        <v>4.3899999999999935</v>
      </c>
      <c r="J225" s="138" t="s">
        <v>143</v>
      </c>
      <c r="K225" s="35" t="e">
        <f>SUMIFS('[4]BESS 10B'!Q:Q,'[4]BESS 10B'!B:B,J225)</f>
        <v>#VALUE!</v>
      </c>
      <c r="L225" s="36" t="e">
        <f>SUMIFS('[4]BESS 10B'!R:R,'[4]BESS 10B'!B:B,J225)</f>
        <v>#VALUE!</v>
      </c>
      <c r="M225" s="139" t="e">
        <f t="shared" si="43"/>
        <v>#VALUE!</v>
      </c>
      <c r="N225" s="20" t="s">
        <v>633</v>
      </c>
      <c r="O225" s="424">
        <f t="shared" si="40"/>
        <v>46268</v>
      </c>
      <c r="P225" s="140" t="s">
        <v>164</v>
      </c>
      <c r="Q225" s="240">
        <v>6</v>
      </c>
      <c r="R225" s="241">
        <v>5</v>
      </c>
      <c r="S225" s="242" t="e">
        <f t="shared" si="44"/>
        <v>#VALUE!</v>
      </c>
      <c r="T225" s="375"/>
      <c r="W225" s="60"/>
    </row>
    <row r="226" spans="2:28">
      <c r="B226" s="473"/>
      <c r="C226" s="476"/>
      <c r="D226" s="516"/>
      <c r="E226" s="445"/>
      <c r="F226" s="456"/>
      <c r="G226" s="456"/>
      <c r="H226" s="456"/>
      <c r="I226" s="6">
        <f t="shared" si="41"/>
        <v>4.3999999999999932</v>
      </c>
      <c r="J226" s="138" t="s">
        <v>144</v>
      </c>
      <c r="K226" s="35" t="e">
        <f>SUMIFS('[4]BESS 10B'!Q:Q,'[4]BESS 10B'!B:B,J226)</f>
        <v>#VALUE!</v>
      </c>
      <c r="L226" s="36" t="e">
        <f>SUMIFS('[4]BESS 10B'!R:R,'[4]BESS 10B'!B:B,J226)</f>
        <v>#VALUE!</v>
      </c>
      <c r="M226" s="139" t="e">
        <f t="shared" si="43"/>
        <v>#VALUE!</v>
      </c>
      <c r="N226" s="3" t="s">
        <v>634</v>
      </c>
      <c r="O226" s="424">
        <f t="shared" si="40"/>
        <v>46267</v>
      </c>
      <c r="P226" s="140" t="s">
        <v>164</v>
      </c>
      <c r="Q226" s="240">
        <v>1</v>
      </c>
      <c r="R226" s="241">
        <v>5</v>
      </c>
      <c r="S226" s="242" t="e">
        <f t="shared" si="44"/>
        <v>#VALUE!</v>
      </c>
      <c r="T226" s="399"/>
      <c r="W226" s="60"/>
    </row>
    <row r="227" spans="2:28">
      <c r="B227" s="473"/>
      <c r="C227" s="476"/>
      <c r="D227" s="516"/>
      <c r="E227" s="445"/>
      <c r="F227" s="456"/>
      <c r="G227" s="456"/>
      <c r="H227" s="456"/>
      <c r="I227" s="6">
        <f t="shared" si="41"/>
        <v>4.409999999999993</v>
      </c>
      <c r="J227" s="138" t="s">
        <v>145</v>
      </c>
      <c r="K227" s="35" t="e">
        <f>SUMIFS('[4]BESS 10B'!Q:Q,'[4]BESS 10B'!B:B,J227)</f>
        <v>#VALUE!</v>
      </c>
      <c r="L227" s="36" t="e">
        <f>SUMIFS('[4]BESS 10B'!R:R,'[4]BESS 10B'!B:B,J227)</f>
        <v>#VALUE!</v>
      </c>
      <c r="M227" s="139" t="e">
        <f t="shared" si="43"/>
        <v>#VALUE!</v>
      </c>
      <c r="N227" s="3" t="s">
        <v>634</v>
      </c>
      <c r="O227" s="424">
        <f t="shared" si="40"/>
        <v>46267</v>
      </c>
      <c r="P227" s="140" t="s">
        <v>164</v>
      </c>
      <c r="Q227" s="240">
        <v>3</v>
      </c>
      <c r="R227" s="241">
        <v>5</v>
      </c>
      <c r="S227" s="242" t="e">
        <f t="shared" si="44"/>
        <v>#VALUE!</v>
      </c>
      <c r="T227" s="399"/>
      <c r="W227" s="60"/>
    </row>
    <row r="228" spans="2:28" ht="25.5">
      <c r="B228" s="473"/>
      <c r="C228" s="476"/>
      <c r="D228" s="516"/>
      <c r="E228" s="445"/>
      <c r="F228" s="456"/>
      <c r="G228" s="456"/>
      <c r="H228" s="456"/>
      <c r="I228" s="6">
        <f t="shared" si="41"/>
        <v>4.4199999999999928</v>
      </c>
      <c r="J228" s="138" t="s">
        <v>54</v>
      </c>
      <c r="K228" s="35" t="e">
        <f>SUMIFS('[4]BESS 10B'!Q:Q,'[4]BESS 10B'!B:B,J228)</f>
        <v>#VALUE!</v>
      </c>
      <c r="L228" s="36" t="e">
        <f>SUMIFS('[4]BESS 10B'!R:R,'[4]BESS 10B'!B:B,J228)</f>
        <v>#VALUE!</v>
      </c>
      <c r="M228" s="139" t="e">
        <f t="shared" si="43"/>
        <v>#VALUE!</v>
      </c>
      <c r="N228" s="20" t="s">
        <v>513</v>
      </c>
      <c r="O228" s="424">
        <f t="shared" si="40"/>
        <v>46278</v>
      </c>
      <c r="P228" s="140" t="s">
        <v>164</v>
      </c>
      <c r="Q228" s="240">
        <v>150</v>
      </c>
      <c r="R228" s="241">
        <v>6</v>
      </c>
      <c r="S228" s="242" t="e">
        <f t="shared" si="44"/>
        <v>#VALUE!</v>
      </c>
      <c r="T228" s="399"/>
      <c r="W228" s="60"/>
    </row>
    <row r="229" spans="2:28" ht="26.25" thickBot="1">
      <c r="B229" s="474"/>
      <c r="C229" s="477"/>
      <c r="D229" s="517"/>
      <c r="E229" s="479"/>
      <c r="F229" s="515"/>
      <c r="G229" s="515"/>
      <c r="H229" s="515"/>
      <c r="I229" s="55">
        <f t="shared" si="41"/>
        <v>4.4299999999999926</v>
      </c>
      <c r="J229" s="296" t="s">
        <v>55</v>
      </c>
      <c r="K229" s="37" t="e">
        <f>SUMIFS('[4]BESS 10B'!Q:Q,'[4]BESS 10B'!B:B,J229)</f>
        <v>#VALUE!</v>
      </c>
      <c r="L229" s="38" t="e">
        <f>SUMIFS('[4]BESS 10B'!R:R,'[4]BESS 10B'!B:B,J229)</f>
        <v>#VALUE!</v>
      </c>
      <c r="M229" s="294" t="e">
        <f t="shared" si="39"/>
        <v>#VALUE!</v>
      </c>
      <c r="N229" s="406" t="s">
        <v>512</v>
      </c>
      <c r="O229" s="427">
        <f t="shared" si="40"/>
        <v>46279</v>
      </c>
      <c r="P229" s="349" t="s">
        <v>164</v>
      </c>
      <c r="Q229" s="249">
        <v>5</v>
      </c>
      <c r="R229" s="250">
        <v>6</v>
      </c>
      <c r="S229" s="251" t="e">
        <f t="shared" si="44"/>
        <v>#VALUE!</v>
      </c>
      <c r="T229" s="400"/>
      <c r="W229" s="60"/>
      <c r="AB229" s="60"/>
    </row>
    <row r="230" spans="2:28">
      <c r="B230" s="535" t="s">
        <v>151</v>
      </c>
      <c r="C230" s="536"/>
      <c r="D230" s="536"/>
      <c r="E230" s="536"/>
      <c r="F230" s="536"/>
      <c r="G230" s="536"/>
      <c r="H230" s="536"/>
      <c r="I230" s="536"/>
      <c r="J230" s="536"/>
      <c r="K230" s="536"/>
      <c r="L230" s="536"/>
      <c r="M230" s="536"/>
      <c r="N230" s="536"/>
      <c r="O230" s="537"/>
      <c r="P230" s="536"/>
      <c r="Q230" s="536"/>
      <c r="R230" s="536"/>
      <c r="S230" s="536"/>
      <c r="T230" s="597"/>
    </row>
    <row r="231" spans="2:28">
      <c r="B231" s="538" t="s">
        <v>152</v>
      </c>
      <c r="C231" s="539"/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96"/>
    </row>
    <row r="232" spans="2:28">
      <c r="B232" s="538" t="s">
        <v>153</v>
      </c>
      <c r="C232" s="539"/>
      <c r="D232" s="539"/>
      <c r="E232" s="539"/>
      <c r="F232" s="539"/>
      <c r="G232" s="539"/>
      <c r="H232" s="539"/>
      <c r="I232" s="539"/>
      <c r="J232" s="539"/>
      <c r="K232" s="539"/>
      <c r="L232" s="539"/>
      <c r="M232" s="539"/>
      <c r="N232" s="539"/>
      <c r="O232" s="539"/>
      <c r="P232" s="539"/>
      <c r="Q232" s="539"/>
      <c r="R232" s="539"/>
      <c r="S232" s="539"/>
      <c r="T232" s="596"/>
    </row>
    <row r="233" spans="2:28">
      <c r="B233" s="538" t="s">
        <v>154</v>
      </c>
      <c r="C233" s="539"/>
      <c r="D233" s="539"/>
      <c r="E233" s="539"/>
      <c r="F233" s="539"/>
      <c r="G233" s="539"/>
      <c r="H233" s="539"/>
      <c r="I233" s="539"/>
      <c r="J233" s="539"/>
      <c r="K233" s="539"/>
      <c r="L233" s="539"/>
      <c r="M233" s="539"/>
      <c r="N233" s="539"/>
      <c r="O233" s="539"/>
      <c r="P233" s="539"/>
      <c r="Q233" s="539"/>
      <c r="R233" s="539"/>
      <c r="S233" s="539"/>
      <c r="T233" s="596"/>
    </row>
    <row r="234" spans="2:28">
      <c r="B234" s="538" t="s">
        <v>155</v>
      </c>
      <c r="C234" s="539"/>
      <c r="D234" s="539"/>
      <c r="E234" s="539"/>
      <c r="F234" s="539"/>
      <c r="G234" s="539"/>
      <c r="H234" s="539"/>
      <c r="I234" s="539"/>
      <c r="J234" s="539"/>
      <c r="K234" s="539"/>
      <c r="L234" s="539"/>
      <c r="M234" s="539"/>
      <c r="N234" s="539"/>
      <c r="O234" s="539"/>
      <c r="P234" s="539"/>
      <c r="Q234" s="539"/>
      <c r="R234" s="539"/>
      <c r="S234" s="539"/>
      <c r="T234" s="596"/>
    </row>
    <row r="235" spans="2:28">
      <c r="B235" s="538" t="s">
        <v>156</v>
      </c>
      <c r="C235" s="539"/>
      <c r="D235" s="539"/>
      <c r="E235" s="539"/>
      <c r="F235" s="539"/>
      <c r="G235" s="539"/>
      <c r="H235" s="539"/>
      <c r="I235" s="539"/>
      <c r="J235" s="539"/>
      <c r="K235" s="539"/>
      <c r="L235" s="539"/>
      <c r="M235" s="539"/>
      <c r="N235" s="539"/>
      <c r="O235" s="539"/>
      <c r="P235" s="539"/>
      <c r="Q235" s="539"/>
      <c r="R235" s="539"/>
      <c r="S235" s="539"/>
      <c r="T235" s="596"/>
    </row>
    <row r="236" spans="2:28" ht="14.25" thickBot="1">
      <c r="B236" s="525" t="s">
        <v>157</v>
      </c>
      <c r="C236" s="526"/>
      <c r="D236" s="526"/>
      <c r="E236" s="526"/>
      <c r="F236" s="526"/>
      <c r="G236" s="526"/>
      <c r="H236" s="526"/>
      <c r="I236" s="526"/>
      <c r="J236" s="526"/>
      <c r="K236" s="526"/>
      <c r="L236" s="526"/>
      <c r="M236" s="526"/>
      <c r="N236" s="526"/>
      <c r="O236" s="526"/>
      <c r="P236" s="526"/>
      <c r="Q236" s="526"/>
      <c r="R236" s="526"/>
      <c r="S236" s="526"/>
      <c r="T236" s="589"/>
    </row>
  </sheetData>
  <autoFilter ref="A4:AD236" xr:uid="{A756FE30-343F-4F6C-917B-39E9B4A47647}"/>
  <mergeCells count="91">
    <mergeCell ref="Y1:AA1"/>
    <mergeCell ref="Y2:Y4"/>
    <mergeCell ref="Z2:Z4"/>
    <mergeCell ref="AA2:AA4"/>
    <mergeCell ref="S220:S221"/>
    <mergeCell ref="S201:S205"/>
    <mergeCell ref="S175:S176"/>
    <mergeCell ref="T2:T4"/>
    <mergeCell ref="R111:R115"/>
    <mergeCell ref="S111:S115"/>
    <mergeCell ref="Q130:Q131"/>
    <mergeCell ref="R130:R131"/>
    <mergeCell ref="S130:S131"/>
    <mergeCell ref="R156:R160"/>
    <mergeCell ref="S156:S160"/>
    <mergeCell ref="B1:P1"/>
    <mergeCell ref="B2:B4"/>
    <mergeCell ref="C2:C4"/>
    <mergeCell ref="D2:D4"/>
    <mergeCell ref="E2:E4"/>
    <mergeCell ref="F2:F4"/>
    <mergeCell ref="G2:G4"/>
    <mergeCell ref="H2:H4"/>
    <mergeCell ref="I2:P2"/>
    <mergeCell ref="O3:O4"/>
    <mergeCell ref="I3:I4"/>
    <mergeCell ref="J3:J4"/>
    <mergeCell ref="K3:M3"/>
    <mergeCell ref="N3:N4"/>
    <mergeCell ref="P3:P4"/>
    <mergeCell ref="Q2:Q4"/>
    <mergeCell ref="R2:R4"/>
    <mergeCell ref="S2:S4"/>
    <mergeCell ref="R21:R25"/>
    <mergeCell ref="Q40:Q41"/>
    <mergeCell ref="R40:R41"/>
    <mergeCell ref="S40:S41"/>
    <mergeCell ref="S21:S25"/>
    <mergeCell ref="G5:G24"/>
    <mergeCell ref="H5:H24"/>
    <mergeCell ref="F5:F24"/>
    <mergeCell ref="B25:H49"/>
    <mergeCell ref="F50:F94"/>
    <mergeCell ref="G50:G94"/>
    <mergeCell ref="H50:H94"/>
    <mergeCell ref="B50:B94"/>
    <mergeCell ref="C50:C94"/>
    <mergeCell ref="D50:D94"/>
    <mergeCell ref="E50:E94"/>
    <mergeCell ref="B5:B24"/>
    <mergeCell ref="C5:C24"/>
    <mergeCell ref="D5:D24"/>
    <mergeCell ref="E5:E24"/>
    <mergeCell ref="R66:R70"/>
    <mergeCell ref="S66:S70"/>
    <mergeCell ref="Q85:Q86"/>
    <mergeCell ref="R85:R86"/>
    <mergeCell ref="S85:S86"/>
    <mergeCell ref="B236:T236"/>
    <mergeCell ref="B230:T230"/>
    <mergeCell ref="B231:T231"/>
    <mergeCell ref="B232:T232"/>
    <mergeCell ref="B233:T233"/>
    <mergeCell ref="B234:T234"/>
    <mergeCell ref="B235:T235"/>
    <mergeCell ref="B185:B229"/>
    <mergeCell ref="Q220:Q221"/>
    <mergeCell ref="R220:R221"/>
    <mergeCell ref="Q175:Q176"/>
    <mergeCell ref="R175:R176"/>
    <mergeCell ref="R201:R205"/>
    <mergeCell ref="C185:C229"/>
    <mergeCell ref="D185:D229"/>
    <mergeCell ref="E185:E229"/>
    <mergeCell ref="F185:F229"/>
    <mergeCell ref="G185:G229"/>
    <mergeCell ref="H185:H229"/>
    <mergeCell ref="G95:G139"/>
    <mergeCell ref="H95:H139"/>
    <mergeCell ref="B140:B184"/>
    <mergeCell ref="C140:C184"/>
    <mergeCell ref="D140:D184"/>
    <mergeCell ref="E140:E184"/>
    <mergeCell ref="F140:F184"/>
    <mergeCell ref="G140:G184"/>
    <mergeCell ref="H140:H184"/>
    <mergeCell ref="B95:B139"/>
    <mergeCell ref="C95:C139"/>
    <mergeCell ref="D95:D139"/>
    <mergeCell ref="E95:E139"/>
    <mergeCell ref="F95:F139"/>
  </mergeCells>
  <printOptions horizontalCentered="1"/>
  <pageMargins left="0.23622047244094491" right="0.23622047244094491" top="0.35433070866141736" bottom="0.35433070866141736" header="0.31496062992125984" footer="0.31496062992125984"/>
  <pageSetup paperSize="8" scale="55" fitToHeight="0" orientation="portrait" r:id="rId1"/>
  <rowBreaks count="2" manualBreakCount="2">
    <brk id="94" max="16383" man="1"/>
    <brk id="184" min="1" max="1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2146-31C9-45D6-992C-1EB7214E2621}">
  <sheetPr>
    <pageSetUpPr fitToPage="1"/>
  </sheetPr>
  <dimension ref="B1:AA418"/>
  <sheetViews>
    <sheetView showGridLines="0" view="pageBreakPreview" zoomScale="85" zoomScaleNormal="100" zoomScaleSheetLayoutView="85" workbookViewId="0">
      <pane xSplit="8" ySplit="4" topLeftCell="I109" activePane="bottomRight" state="frozen"/>
      <selection pane="topRight" activeCell="I1" sqref="I1"/>
      <selection pane="bottomLeft" activeCell="A5" sqref="A5"/>
      <selection pane="bottomRight" activeCell="K197" sqref="K197"/>
    </sheetView>
  </sheetViews>
  <sheetFormatPr defaultRowHeight="13.5"/>
  <cols>
    <col min="1" max="1" width="2.33203125" customWidth="1"/>
    <col min="2" max="2" width="9" customWidth="1"/>
    <col min="3" max="3" width="6.88671875" customWidth="1"/>
    <col min="4" max="4" width="8.6640625" customWidth="1"/>
    <col min="5" max="5" width="9" style="9" customWidth="1"/>
    <col min="6" max="6" width="11.5546875" customWidth="1"/>
    <col min="7" max="7" width="7.6640625" customWidth="1"/>
    <col min="8" max="8" width="7.33203125" customWidth="1"/>
    <col min="9" max="9" width="5.33203125" style="53" customWidth="1"/>
    <col min="10" max="10" width="21" style="9" customWidth="1"/>
    <col min="11" max="11" width="8.109375" customWidth="1"/>
    <col min="12" max="12" width="6.6640625" customWidth="1"/>
    <col min="13" max="13" width="6.33203125" customWidth="1"/>
    <col min="14" max="14" width="11.5546875" customWidth="1"/>
    <col min="15" max="15" width="10.5546875" hidden="1" customWidth="1"/>
    <col min="16" max="16" width="14.5546875" customWidth="1"/>
    <col min="17" max="17" width="12.6640625" hidden="1" customWidth="1"/>
    <col min="18" max="18" width="11.5546875" hidden="1" customWidth="1"/>
    <col min="19" max="19" width="15.33203125" hidden="1" customWidth="1"/>
    <col min="20" max="20" width="27.88671875" style="9" customWidth="1"/>
    <col min="21" max="22" width="8.88671875" hidden="1" customWidth="1"/>
    <col min="23" max="23" width="25" hidden="1" customWidth="1"/>
    <col min="24" max="24" width="14.33203125" style="100" hidden="1" customWidth="1"/>
    <col min="25" max="25" width="12.5546875" style="99" hidden="1" customWidth="1"/>
    <col min="26" max="26" width="8.88671875" bestFit="1" customWidth="1"/>
    <col min="29" max="29" width="12.33203125" customWidth="1"/>
    <col min="30" max="30" width="13.33203125" customWidth="1"/>
    <col min="31" max="31" width="13.5546875" customWidth="1"/>
  </cols>
  <sheetData>
    <row r="1" spans="2:27" ht="15.75" thickBot="1">
      <c r="B1" s="626" t="s">
        <v>114</v>
      </c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8"/>
      <c r="Q1" s="88"/>
      <c r="R1" s="88"/>
      <c r="S1" s="88"/>
      <c r="T1" s="381">
        <f ca="1">TODAY()</f>
        <v>46233</v>
      </c>
      <c r="W1" s="577" t="s">
        <v>199</v>
      </c>
      <c r="X1" s="578"/>
      <c r="Y1" s="579"/>
    </row>
    <row r="2" spans="2:27" ht="14.25" thickBot="1">
      <c r="B2" s="468" t="s">
        <v>0</v>
      </c>
      <c r="C2" s="546" t="s">
        <v>1</v>
      </c>
      <c r="D2" s="546" t="s">
        <v>115</v>
      </c>
      <c r="E2" s="546" t="s">
        <v>116</v>
      </c>
      <c r="F2" s="546" t="s">
        <v>4</v>
      </c>
      <c r="G2" s="546" t="s">
        <v>117</v>
      </c>
      <c r="H2" s="546" t="s">
        <v>6</v>
      </c>
      <c r="I2" s="482" t="s">
        <v>7</v>
      </c>
      <c r="J2" s="482"/>
      <c r="K2" s="482"/>
      <c r="L2" s="482"/>
      <c r="M2" s="482"/>
      <c r="N2" s="482"/>
      <c r="O2" s="482"/>
      <c r="P2" s="482"/>
      <c r="Q2" s="562" t="s">
        <v>95</v>
      </c>
      <c r="R2" s="562" t="s">
        <v>96</v>
      </c>
      <c r="S2" s="568" t="s">
        <v>118</v>
      </c>
      <c r="T2" s="562" t="s">
        <v>8</v>
      </c>
      <c r="W2" s="568" t="s">
        <v>192</v>
      </c>
      <c r="X2" s="574" t="s">
        <v>227</v>
      </c>
      <c r="Y2" s="571" t="s">
        <v>189</v>
      </c>
      <c r="Z2" s="380">
        <f ca="1">TODAY()</f>
        <v>46233</v>
      </c>
    </row>
    <row r="3" spans="2:27" ht="14.25" thickBot="1">
      <c r="B3" s="468"/>
      <c r="C3" s="546"/>
      <c r="D3" s="546"/>
      <c r="E3" s="546"/>
      <c r="F3" s="546"/>
      <c r="G3" s="546"/>
      <c r="H3" s="546"/>
      <c r="I3" s="629" t="s">
        <v>9</v>
      </c>
      <c r="J3" s="629" t="s">
        <v>10</v>
      </c>
      <c r="K3" s="630" t="s">
        <v>11</v>
      </c>
      <c r="L3" s="630"/>
      <c r="M3" s="630"/>
      <c r="N3" s="629" t="s">
        <v>12</v>
      </c>
      <c r="O3" s="629" t="s">
        <v>119</v>
      </c>
      <c r="P3" s="631" t="s">
        <v>13</v>
      </c>
      <c r="Q3" s="562"/>
      <c r="R3" s="562"/>
      <c r="S3" s="569"/>
      <c r="T3" s="562"/>
      <c r="W3" s="569"/>
      <c r="X3" s="575"/>
      <c r="Y3" s="572"/>
    </row>
    <row r="4" spans="2:27" ht="14.25" thickBot="1">
      <c r="B4" s="468"/>
      <c r="C4" s="546"/>
      <c r="D4" s="546"/>
      <c r="E4" s="546"/>
      <c r="F4" s="546"/>
      <c r="G4" s="546"/>
      <c r="H4" s="546"/>
      <c r="I4" s="629"/>
      <c r="J4" s="629"/>
      <c r="K4" s="382" t="s">
        <v>14</v>
      </c>
      <c r="L4" s="382" t="s">
        <v>15</v>
      </c>
      <c r="M4" s="382" t="s">
        <v>16</v>
      </c>
      <c r="N4" s="629"/>
      <c r="O4" s="629"/>
      <c r="P4" s="631"/>
      <c r="Q4" s="562"/>
      <c r="R4" s="562"/>
      <c r="S4" s="569"/>
      <c r="T4" s="562"/>
      <c r="W4" s="570"/>
      <c r="X4" s="576"/>
      <c r="Y4" s="573"/>
    </row>
    <row r="5" spans="2:27">
      <c r="B5" s="472" t="s">
        <v>17</v>
      </c>
      <c r="C5" s="475">
        <v>4</v>
      </c>
      <c r="D5" s="636" t="s">
        <v>236</v>
      </c>
      <c r="E5" s="524" t="s">
        <v>120</v>
      </c>
      <c r="F5" s="586">
        <v>46225</v>
      </c>
      <c r="G5" s="586">
        <v>46230</v>
      </c>
      <c r="H5" s="586">
        <v>46233</v>
      </c>
      <c r="I5" s="363"/>
      <c r="J5" s="364"/>
      <c r="K5" s="365"/>
      <c r="L5" s="366" t="s">
        <v>121</v>
      </c>
      <c r="M5" s="364"/>
      <c r="N5" s="365"/>
      <c r="O5" s="365"/>
      <c r="P5" s="320"/>
      <c r="Q5" s="268"/>
      <c r="R5" s="269"/>
      <c r="S5" s="270"/>
      <c r="T5" s="316"/>
      <c r="W5" s="360" t="s">
        <v>190</v>
      </c>
      <c r="X5" s="229"/>
      <c r="Y5" s="370"/>
    </row>
    <row r="6" spans="2:27" ht="25.5">
      <c r="B6" s="473"/>
      <c r="C6" s="476"/>
      <c r="D6" s="637"/>
      <c r="E6" s="445"/>
      <c r="F6" s="456"/>
      <c r="G6" s="456"/>
      <c r="H6" s="456"/>
      <c r="I6" s="336">
        <v>4.0999999999999996</v>
      </c>
      <c r="J6" s="358" t="s">
        <v>19</v>
      </c>
      <c r="K6" s="36">
        <f>SUMIFS('[2]BESS 11'!P:P,'[2]BESS 11'!$B:$B,$J6)</f>
        <v>48</v>
      </c>
      <c r="L6" s="36">
        <f>SUMIFS('[2]BESS 11'!Q:Q,'[2]BESS 11'!$B:$B,$J6)</f>
        <v>48</v>
      </c>
      <c r="M6" s="36">
        <f t="shared" ref="M6:M16" si="0">K6-L6</f>
        <v>0</v>
      </c>
      <c r="N6" s="297" t="s">
        <v>122</v>
      </c>
      <c r="O6" s="344" t="s">
        <v>89</v>
      </c>
      <c r="P6" s="357" t="s">
        <v>20</v>
      </c>
      <c r="Q6" s="96">
        <v>1</v>
      </c>
      <c r="R6" s="93">
        <v>2</v>
      </c>
      <c r="S6" s="94">
        <f t="shared" ref="S6:S15" si="1">(M6*R6)/Q6</f>
        <v>0</v>
      </c>
      <c r="T6" s="304"/>
      <c r="W6" s="109" t="s">
        <v>193</v>
      </c>
      <c r="X6" s="66">
        <v>6</v>
      </c>
      <c r="Y6" s="101"/>
    </row>
    <row r="7" spans="2:27">
      <c r="B7" s="473"/>
      <c r="C7" s="476"/>
      <c r="D7" s="637"/>
      <c r="E7" s="445"/>
      <c r="F7" s="456"/>
      <c r="G7" s="456"/>
      <c r="H7" s="456"/>
      <c r="I7" s="336">
        <v>4.1999999999999993</v>
      </c>
      <c r="J7" s="358" t="s">
        <v>23</v>
      </c>
      <c r="K7" s="36">
        <f>SUMIFS('[2]BESS 11'!P:P,'[2]BESS 11'!$B:$B,$J7)</f>
        <v>6</v>
      </c>
      <c r="L7" s="36">
        <f>SUMIFS('[2]BESS 11'!Q:Q,'[2]BESS 11'!$B:$B,$J7)</f>
        <v>6</v>
      </c>
      <c r="M7" s="36">
        <f t="shared" si="0"/>
        <v>0</v>
      </c>
      <c r="N7" s="297" t="s">
        <v>122</v>
      </c>
      <c r="O7" s="344" t="s">
        <v>89</v>
      </c>
      <c r="P7" s="357" t="s">
        <v>20</v>
      </c>
      <c r="Q7" s="96">
        <v>1</v>
      </c>
      <c r="R7" s="93">
        <v>16</v>
      </c>
      <c r="S7" s="94">
        <f t="shared" si="1"/>
        <v>0</v>
      </c>
      <c r="T7" s="307"/>
      <c r="W7" s="109" t="s">
        <v>194</v>
      </c>
      <c r="X7" s="66">
        <v>6</v>
      </c>
      <c r="Y7" s="101"/>
    </row>
    <row r="8" spans="2:27">
      <c r="B8" s="473"/>
      <c r="C8" s="476"/>
      <c r="D8" s="637"/>
      <c r="E8" s="445"/>
      <c r="F8" s="456"/>
      <c r="G8" s="456"/>
      <c r="H8" s="456"/>
      <c r="I8" s="336">
        <v>4.2999999999999989</v>
      </c>
      <c r="J8" s="358" t="s">
        <v>26</v>
      </c>
      <c r="K8" s="36">
        <f>SUMIFS('[2]BESS 11'!P:P,'[2]BESS 11'!$B:$B,$J8)</f>
        <v>6</v>
      </c>
      <c r="L8" s="36">
        <f>SUMIFS('[2]BESS 11'!Q:Q,'[2]BESS 11'!$B:$B,$J8)</f>
        <v>6</v>
      </c>
      <c r="M8" s="36">
        <f t="shared" si="0"/>
        <v>0</v>
      </c>
      <c r="N8" s="297" t="s">
        <v>122</v>
      </c>
      <c r="O8" s="344" t="s">
        <v>89</v>
      </c>
      <c r="P8" s="357" t="s">
        <v>20</v>
      </c>
      <c r="Q8" s="96">
        <v>1</v>
      </c>
      <c r="R8" s="93">
        <v>39</v>
      </c>
      <c r="S8" s="94">
        <f t="shared" si="1"/>
        <v>0</v>
      </c>
      <c r="T8" s="304"/>
      <c r="W8" s="109" t="s">
        <v>195</v>
      </c>
      <c r="X8" s="66">
        <v>1</v>
      </c>
      <c r="Y8" s="101"/>
    </row>
    <row r="9" spans="2:27">
      <c r="B9" s="473"/>
      <c r="C9" s="476"/>
      <c r="D9" s="637"/>
      <c r="E9" s="445"/>
      <c r="F9" s="456"/>
      <c r="G9" s="456"/>
      <c r="H9" s="456"/>
      <c r="I9" s="336">
        <v>4.3999999999999986</v>
      </c>
      <c r="J9" s="358" t="s">
        <v>32</v>
      </c>
      <c r="K9" s="36">
        <f>SUMIFS('[2]BESS 11'!P:P,'[2]BESS 11'!$B:$B,$J9)</f>
        <v>1</v>
      </c>
      <c r="L9" s="36">
        <f>SUMIFS('[2]BESS 11'!Q:Q,'[2]BESS 11'!$B:$B,$J9)</f>
        <v>1</v>
      </c>
      <c r="M9" s="36">
        <f t="shared" si="0"/>
        <v>0</v>
      </c>
      <c r="N9" s="297" t="s">
        <v>122</v>
      </c>
      <c r="O9" s="344" t="s">
        <v>89</v>
      </c>
      <c r="P9" s="357" t="s">
        <v>20</v>
      </c>
      <c r="Q9" s="96">
        <v>1</v>
      </c>
      <c r="R9" s="93">
        <v>37</v>
      </c>
      <c r="S9" s="94">
        <f t="shared" si="1"/>
        <v>0</v>
      </c>
      <c r="T9" s="304"/>
      <c r="W9" s="109" t="s">
        <v>196</v>
      </c>
      <c r="X9" s="66">
        <v>6</v>
      </c>
      <c r="Y9" s="101"/>
    </row>
    <row r="10" spans="2:27">
      <c r="B10" s="473"/>
      <c r="C10" s="476"/>
      <c r="D10" s="637"/>
      <c r="E10" s="445"/>
      <c r="F10" s="456"/>
      <c r="G10" s="456"/>
      <c r="H10" s="456"/>
      <c r="I10" s="336">
        <v>4.4999999999999982</v>
      </c>
      <c r="J10" s="358" t="s">
        <v>35</v>
      </c>
      <c r="K10" s="36">
        <f>SUMIFS('[2]BESS 11'!P:P,'[2]BESS 11'!$B:$B,$J10)</f>
        <v>1</v>
      </c>
      <c r="L10" s="36">
        <f>SUMIFS('[2]BESS 11'!Q:Q,'[2]BESS 11'!$B:$B,$J10)</f>
        <v>1</v>
      </c>
      <c r="M10" s="36">
        <f t="shared" si="0"/>
        <v>0</v>
      </c>
      <c r="N10" s="297" t="s">
        <v>122</v>
      </c>
      <c r="O10" s="344" t="s">
        <v>89</v>
      </c>
      <c r="P10" s="357" t="s">
        <v>20</v>
      </c>
      <c r="Q10" s="358">
        <v>1</v>
      </c>
      <c r="R10" s="36">
        <v>34</v>
      </c>
      <c r="S10" s="36">
        <f t="shared" si="1"/>
        <v>0</v>
      </c>
      <c r="T10" s="304"/>
      <c r="W10" s="109" t="s">
        <v>222</v>
      </c>
      <c r="X10" s="66">
        <v>8</v>
      </c>
      <c r="Y10" s="101"/>
    </row>
    <row r="11" spans="2:27">
      <c r="B11" s="473"/>
      <c r="C11" s="476"/>
      <c r="D11" s="637"/>
      <c r="E11" s="445"/>
      <c r="F11" s="456"/>
      <c r="G11" s="456"/>
      <c r="H11" s="456"/>
      <c r="I11" s="336">
        <v>4.5999999999999979</v>
      </c>
      <c r="J11" s="358" t="s">
        <v>38</v>
      </c>
      <c r="K11" s="36">
        <f>SUMIFS('[2]BESS 11'!P:P,'[2]BESS 11'!$B:$B,$J11)</f>
        <v>1</v>
      </c>
      <c r="L11" s="36">
        <f>SUMIFS('[2]BESS 11'!Q:Q,'[2]BESS 11'!$B:$B,$J11)</f>
        <v>1</v>
      </c>
      <c r="M11" s="36">
        <f t="shared" si="0"/>
        <v>0</v>
      </c>
      <c r="N11" s="297" t="s">
        <v>122</v>
      </c>
      <c r="O11" s="344" t="s">
        <v>89</v>
      </c>
      <c r="P11" s="357" t="s">
        <v>20</v>
      </c>
      <c r="Q11" s="96">
        <v>1</v>
      </c>
      <c r="R11" s="93">
        <v>54</v>
      </c>
      <c r="S11" s="94">
        <f t="shared" si="1"/>
        <v>0</v>
      </c>
      <c r="T11" s="307"/>
      <c r="W11" s="109" t="s">
        <v>197</v>
      </c>
      <c r="X11" s="66">
        <v>10</v>
      </c>
      <c r="Y11" s="101"/>
    </row>
    <row r="12" spans="2:27">
      <c r="B12" s="473"/>
      <c r="C12" s="476"/>
      <c r="D12" s="637"/>
      <c r="E12" s="445"/>
      <c r="F12" s="456"/>
      <c r="G12" s="456"/>
      <c r="H12" s="456"/>
      <c r="I12" s="336">
        <v>4.6999999999999975</v>
      </c>
      <c r="J12" s="358" t="s">
        <v>46</v>
      </c>
      <c r="K12" s="36">
        <f>SUMIFS('[2]BESS 11'!P:P,'[2]BESS 11'!$B:$B,$J12)</f>
        <v>3</v>
      </c>
      <c r="L12" s="36">
        <f>SUMIFS('[2]BESS 11'!Q:Q,'[2]BESS 11'!$B:$B,$J12)</f>
        <v>3</v>
      </c>
      <c r="M12" s="36">
        <f t="shared" si="0"/>
        <v>0</v>
      </c>
      <c r="N12" s="297" t="s">
        <v>122</v>
      </c>
      <c r="O12" s="344" t="s">
        <v>89</v>
      </c>
      <c r="P12" s="357" t="s">
        <v>20</v>
      </c>
      <c r="Q12" s="96">
        <v>1</v>
      </c>
      <c r="R12" s="93">
        <v>5</v>
      </c>
      <c r="S12" s="94">
        <f t="shared" si="1"/>
        <v>0</v>
      </c>
      <c r="T12" s="261"/>
      <c r="W12" s="109" t="s">
        <v>219</v>
      </c>
      <c r="X12" s="66">
        <v>20</v>
      </c>
      <c r="Y12" s="101"/>
    </row>
    <row r="13" spans="2:27">
      <c r="B13" s="473"/>
      <c r="C13" s="476"/>
      <c r="D13" s="637"/>
      <c r="E13" s="445"/>
      <c r="F13" s="456"/>
      <c r="G13" s="456"/>
      <c r="H13" s="456"/>
      <c r="I13" s="336">
        <v>4.7999999999999972</v>
      </c>
      <c r="J13" s="358" t="s">
        <v>40</v>
      </c>
      <c r="K13" s="36">
        <f>SUMIFS('[2]BESS 11'!P:P,'[2]BESS 11'!$B:$B,$J13)</f>
        <v>6</v>
      </c>
      <c r="L13" s="36">
        <f>SUMIFS('[2]BESS 11'!Q:Q,'[2]BESS 11'!$B:$B,$J13)</f>
        <v>6</v>
      </c>
      <c r="M13" s="36">
        <f t="shared" si="0"/>
        <v>0</v>
      </c>
      <c r="N13" s="297" t="s">
        <v>122</v>
      </c>
      <c r="O13" s="344" t="s">
        <v>89</v>
      </c>
      <c r="P13" s="357" t="s">
        <v>20</v>
      </c>
      <c r="Q13" s="96">
        <v>1</v>
      </c>
      <c r="R13" s="93">
        <v>5</v>
      </c>
      <c r="S13" s="94">
        <f t="shared" si="1"/>
        <v>0</v>
      </c>
      <c r="T13" s="261"/>
      <c r="W13" s="109" t="s">
        <v>220</v>
      </c>
      <c r="X13" s="66">
        <v>10</v>
      </c>
      <c r="Y13" s="101"/>
      <c r="AA13" s="67"/>
    </row>
    <row r="14" spans="2:27">
      <c r="B14" s="473"/>
      <c r="C14" s="476"/>
      <c r="D14" s="637"/>
      <c r="E14" s="445"/>
      <c r="F14" s="456"/>
      <c r="G14" s="456"/>
      <c r="H14" s="456"/>
      <c r="I14" s="336">
        <v>4.8999999999999968</v>
      </c>
      <c r="J14" s="358" t="s">
        <v>30</v>
      </c>
      <c r="K14" s="36">
        <f>SUMIFS('[2]BESS 11'!P:P,'[2]BESS 11'!$B:$B,$J14)</f>
        <v>6</v>
      </c>
      <c r="L14" s="36">
        <f>SUMIFS('[2]BESS 11'!Q:Q,'[2]BESS 11'!$B:$B,$J14)</f>
        <v>6</v>
      </c>
      <c r="M14" s="36">
        <f t="shared" si="0"/>
        <v>0</v>
      </c>
      <c r="N14" s="297" t="s">
        <v>122</v>
      </c>
      <c r="O14" s="344" t="s">
        <v>89</v>
      </c>
      <c r="P14" s="357" t="s">
        <v>31</v>
      </c>
      <c r="Q14" s="96">
        <v>1</v>
      </c>
      <c r="R14" s="93">
        <v>27</v>
      </c>
      <c r="S14" s="94">
        <f t="shared" si="1"/>
        <v>0</v>
      </c>
      <c r="T14" s="261"/>
      <c r="W14" s="109" t="s">
        <v>224</v>
      </c>
      <c r="X14" s="66">
        <v>5</v>
      </c>
      <c r="Y14" s="101"/>
    </row>
    <row r="15" spans="2:27">
      <c r="B15" s="473"/>
      <c r="C15" s="476"/>
      <c r="D15" s="637"/>
      <c r="E15" s="445"/>
      <c r="F15" s="456"/>
      <c r="G15" s="456"/>
      <c r="H15" s="456"/>
      <c r="I15" s="334">
        <v>4.0999999999999996</v>
      </c>
      <c r="J15" s="358" t="s">
        <v>34</v>
      </c>
      <c r="K15" s="36">
        <f>SUMIFS('[2]BESS 11'!P:P,'[2]BESS 11'!$B:$B,$J15)</f>
        <v>1</v>
      </c>
      <c r="L15" s="36">
        <v>1</v>
      </c>
      <c r="M15" s="36">
        <f t="shared" si="0"/>
        <v>0</v>
      </c>
      <c r="N15" s="297" t="s">
        <v>122</v>
      </c>
      <c r="O15" s="344" t="s">
        <v>89</v>
      </c>
      <c r="P15" s="357" t="s">
        <v>31</v>
      </c>
      <c r="Q15" s="96">
        <v>1</v>
      </c>
      <c r="R15" s="93">
        <v>25</v>
      </c>
      <c r="S15" s="94">
        <f t="shared" si="1"/>
        <v>0</v>
      </c>
      <c r="T15" s="307"/>
      <c r="W15" s="109" t="s">
        <v>225</v>
      </c>
      <c r="X15" s="66">
        <v>2</v>
      </c>
      <c r="Y15" s="101"/>
    </row>
    <row r="16" spans="2:27">
      <c r="B16" s="473"/>
      <c r="C16" s="476"/>
      <c r="D16" s="637"/>
      <c r="E16" s="445"/>
      <c r="F16" s="456"/>
      <c r="G16" s="456"/>
      <c r="H16" s="456"/>
      <c r="I16" s="334">
        <v>4.1099999999999994</v>
      </c>
      <c r="J16" s="358" t="s">
        <v>37</v>
      </c>
      <c r="K16" s="36">
        <f>SUMIFS('[2]BESS 11'!P:P,'[2]BESS 11'!$B:$B,$J16)</f>
        <v>1</v>
      </c>
      <c r="L16" s="36">
        <f>SUMIFS('[2]BESS 11'!Q:Q,'[2]BESS 11'!$B:$B,$J16)</f>
        <v>1</v>
      </c>
      <c r="M16" s="36">
        <f t="shared" si="0"/>
        <v>0</v>
      </c>
      <c r="N16" s="297" t="s">
        <v>122</v>
      </c>
      <c r="O16" s="297" t="s">
        <v>89</v>
      </c>
      <c r="P16" s="357" t="s">
        <v>123</v>
      </c>
      <c r="Q16" s="96"/>
      <c r="R16" s="93"/>
      <c r="S16" s="94"/>
      <c r="T16" s="307"/>
      <c r="W16" s="109" t="s">
        <v>226</v>
      </c>
      <c r="X16" s="66">
        <v>1</v>
      </c>
      <c r="Y16" s="101"/>
    </row>
    <row r="17" spans="2:26">
      <c r="B17" s="473"/>
      <c r="C17" s="476"/>
      <c r="D17" s="637"/>
      <c r="E17" s="445"/>
      <c r="F17" s="456"/>
      <c r="G17" s="456"/>
      <c r="H17" s="456"/>
      <c r="I17" s="254"/>
      <c r="J17" s="50"/>
      <c r="K17" s="51"/>
      <c r="L17" s="52" t="s">
        <v>124</v>
      </c>
      <c r="M17" s="51"/>
      <c r="N17" s="51"/>
      <c r="O17" s="51"/>
      <c r="P17" s="351"/>
      <c r="Q17" s="96"/>
      <c r="R17" s="93"/>
      <c r="S17" s="94"/>
      <c r="T17" s="307"/>
      <c r="W17" s="109" t="s">
        <v>228</v>
      </c>
      <c r="X17" s="66">
        <v>2</v>
      </c>
      <c r="Y17" s="101"/>
    </row>
    <row r="18" spans="2:26">
      <c r="B18" s="473"/>
      <c r="C18" s="476"/>
      <c r="D18" s="637"/>
      <c r="E18" s="445"/>
      <c r="F18" s="456"/>
      <c r="G18" s="456"/>
      <c r="H18" s="456"/>
      <c r="I18" s="336">
        <v>4.1199999999999992</v>
      </c>
      <c r="J18" s="358" t="s">
        <v>24</v>
      </c>
      <c r="K18" s="36">
        <f>SUMIFS('[2]BESS 11'!P:P,'[2]BESS 11'!$B:$B,$J18)</f>
        <v>6</v>
      </c>
      <c r="L18" s="36">
        <f>SUMIFS('[2]BESS 11'!Q:Q,'[2]BESS 11'!$B:$B,$J18)</f>
        <v>6</v>
      </c>
      <c r="M18" s="36">
        <f t="shared" ref="M18:M49" si="2">K18-L18</f>
        <v>0</v>
      </c>
      <c r="N18" s="297" t="s">
        <v>122</v>
      </c>
      <c r="O18" s="344" t="s">
        <v>89</v>
      </c>
      <c r="P18" s="357" t="s">
        <v>25</v>
      </c>
      <c r="Q18" s="96">
        <v>2</v>
      </c>
      <c r="R18" s="93">
        <v>8</v>
      </c>
      <c r="S18" s="94">
        <f>(M18*R18)/Q18</f>
        <v>0</v>
      </c>
      <c r="T18" s="307"/>
      <c r="W18" s="109" t="s">
        <v>229</v>
      </c>
      <c r="X18" s="66">
        <v>2</v>
      </c>
      <c r="Y18" s="165"/>
    </row>
    <row r="19" spans="2:26">
      <c r="B19" s="473"/>
      <c r="C19" s="476"/>
      <c r="D19" s="637"/>
      <c r="E19" s="445"/>
      <c r="F19" s="456"/>
      <c r="G19" s="456"/>
      <c r="H19" s="456"/>
      <c r="I19" s="334">
        <v>4.129999999999999</v>
      </c>
      <c r="J19" s="358" t="s">
        <v>27</v>
      </c>
      <c r="K19" s="36">
        <f>SUMIFS('[2]BESS 11'!P:P,'[2]BESS 11'!$B:$B,$J19)</f>
        <v>48</v>
      </c>
      <c r="L19" s="36">
        <f>SUMIFS('[2]BESS 11'!Q:Q,'[2]BESS 11'!$B:$B,$J19)</f>
        <v>48</v>
      </c>
      <c r="M19" s="36">
        <f t="shared" si="2"/>
        <v>0</v>
      </c>
      <c r="N19" s="297" t="s">
        <v>122</v>
      </c>
      <c r="O19" s="344" t="s">
        <v>89</v>
      </c>
      <c r="P19" s="357" t="s">
        <v>25</v>
      </c>
      <c r="Q19" s="96">
        <v>10</v>
      </c>
      <c r="R19" s="93">
        <v>8</v>
      </c>
      <c r="S19" s="94">
        <f>(M19*R19)/Q19</f>
        <v>0</v>
      </c>
      <c r="T19" s="307"/>
      <c r="W19" s="181" t="s">
        <v>198</v>
      </c>
      <c r="X19" s="66"/>
      <c r="Y19" s="165"/>
    </row>
    <row r="20" spans="2:26">
      <c r="B20" s="473"/>
      <c r="C20" s="476"/>
      <c r="D20" s="637"/>
      <c r="E20" s="445"/>
      <c r="F20" s="456"/>
      <c r="G20" s="456"/>
      <c r="H20" s="456"/>
      <c r="I20" s="336">
        <v>4.1399999999999988</v>
      </c>
      <c r="J20" s="358" t="s">
        <v>28</v>
      </c>
      <c r="K20" s="36">
        <f>SUMIFS('[2]BESS 11'!P:P,'[2]BESS 11'!$B:$B,$J20)</f>
        <v>6</v>
      </c>
      <c r="L20" s="36">
        <f>SUMIFS('[2]BESS 11'!Q:Q,'[2]BESS 11'!$B:$B,$J20)</f>
        <v>6</v>
      </c>
      <c r="M20" s="36">
        <f t="shared" si="2"/>
        <v>0</v>
      </c>
      <c r="N20" s="297" t="s">
        <v>122</v>
      </c>
      <c r="O20" s="344" t="s">
        <v>89</v>
      </c>
      <c r="P20" s="357" t="s">
        <v>25</v>
      </c>
      <c r="Q20" s="96">
        <v>5</v>
      </c>
      <c r="R20" s="93">
        <v>4</v>
      </c>
      <c r="S20" s="94">
        <f>(M20*R20)/Q20</f>
        <v>0</v>
      </c>
      <c r="T20" s="307"/>
      <c r="W20" s="109" t="s">
        <v>221</v>
      </c>
      <c r="X20" s="66">
        <v>5</v>
      </c>
      <c r="Y20" s="101"/>
    </row>
    <row r="21" spans="2:26" ht="25.5">
      <c r="B21" s="473"/>
      <c r="C21" s="476"/>
      <c r="D21" s="637"/>
      <c r="E21" s="445"/>
      <c r="F21" s="456"/>
      <c r="G21" s="456"/>
      <c r="H21" s="456"/>
      <c r="I21" s="334">
        <v>4.1499999999999986</v>
      </c>
      <c r="J21" s="358" t="s">
        <v>29</v>
      </c>
      <c r="K21" s="36">
        <f>SUMIFS('[2]BESS 11'!P:P,'[2]BESS 11'!$B:$B,$J21)</f>
        <v>6</v>
      </c>
      <c r="L21" s="36">
        <f>SUMIFS('[2]BESS 11'!Q:Q,'[2]BESS 11'!$B:$B,$J21)</f>
        <v>6</v>
      </c>
      <c r="M21" s="36">
        <f t="shared" si="2"/>
        <v>0</v>
      </c>
      <c r="N21" s="297" t="s">
        <v>122</v>
      </c>
      <c r="O21" s="297" t="s">
        <v>89</v>
      </c>
      <c r="P21" s="357" t="s">
        <v>25</v>
      </c>
      <c r="Q21" s="96">
        <v>6</v>
      </c>
      <c r="R21" s="527">
        <v>8</v>
      </c>
      <c r="S21" s="530">
        <v>4</v>
      </c>
      <c r="T21" s="322"/>
      <c r="W21" s="109" t="s">
        <v>200</v>
      </c>
      <c r="X21" s="66">
        <v>1</v>
      </c>
      <c r="Y21" s="101"/>
    </row>
    <row r="22" spans="2:26">
      <c r="B22" s="473"/>
      <c r="C22" s="476"/>
      <c r="D22" s="637"/>
      <c r="E22" s="445"/>
      <c r="F22" s="456"/>
      <c r="G22" s="456"/>
      <c r="H22" s="456"/>
      <c r="I22" s="334">
        <v>4.1599999999999984</v>
      </c>
      <c r="J22" s="358" t="s">
        <v>33</v>
      </c>
      <c r="K22" s="36">
        <f>SUMIFS('[2]BESS 11'!P:P,'[2]BESS 11'!$B:$B,$J22)</f>
        <v>2</v>
      </c>
      <c r="L22" s="36">
        <f>SUMIFS('[2]BESS 11'!Q:Q,'[2]BESS 11'!$B:$B,$J22)</f>
        <v>2</v>
      </c>
      <c r="M22" s="36">
        <f t="shared" si="2"/>
        <v>0</v>
      </c>
      <c r="N22" s="297" t="s">
        <v>122</v>
      </c>
      <c r="O22" s="344" t="s">
        <v>89</v>
      </c>
      <c r="P22" s="357" t="s">
        <v>25</v>
      </c>
      <c r="Q22" s="96">
        <v>1</v>
      </c>
      <c r="R22" s="528"/>
      <c r="S22" s="531"/>
      <c r="T22" s="307"/>
      <c r="W22" s="109" t="s">
        <v>201</v>
      </c>
      <c r="X22" s="66">
        <v>1</v>
      </c>
      <c r="Y22" s="101"/>
    </row>
    <row r="23" spans="2:26">
      <c r="B23" s="473"/>
      <c r="C23" s="476"/>
      <c r="D23" s="637"/>
      <c r="E23" s="445"/>
      <c r="F23" s="456"/>
      <c r="G23" s="456"/>
      <c r="H23" s="456"/>
      <c r="I23" s="334">
        <v>4.1699999999999982</v>
      </c>
      <c r="J23" s="358" t="s">
        <v>36</v>
      </c>
      <c r="K23" s="36">
        <f>SUMIFS('[2]BESS 11'!P:P,'[2]BESS 11'!$B:$B,$J23)</f>
        <v>1</v>
      </c>
      <c r="L23" s="36">
        <f>SUMIFS('[2]BESS 11'!Q:Q,'[2]BESS 11'!$B:$B,$J23)</f>
        <v>1</v>
      </c>
      <c r="M23" s="36">
        <f t="shared" si="2"/>
        <v>0</v>
      </c>
      <c r="N23" s="297" t="s">
        <v>122</v>
      </c>
      <c r="O23" s="297" t="s">
        <v>89</v>
      </c>
      <c r="P23" s="357" t="s">
        <v>25</v>
      </c>
      <c r="Q23" s="96">
        <v>1</v>
      </c>
      <c r="R23" s="528"/>
      <c r="S23" s="531"/>
      <c r="T23" s="307"/>
      <c r="W23" s="109" t="s">
        <v>202</v>
      </c>
      <c r="X23" s="66">
        <v>1</v>
      </c>
      <c r="Y23" s="165"/>
    </row>
    <row r="24" spans="2:26">
      <c r="B24" s="473"/>
      <c r="C24" s="476"/>
      <c r="D24" s="637"/>
      <c r="E24" s="445"/>
      <c r="F24" s="456"/>
      <c r="G24" s="456"/>
      <c r="H24" s="456"/>
      <c r="I24" s="334">
        <v>4.1799999999999979</v>
      </c>
      <c r="J24" s="358" t="s">
        <v>39</v>
      </c>
      <c r="K24" s="36">
        <f>SUMIFS('[2]BESS 11'!P:P,'[2]BESS 11'!$B:$B,$J24)</f>
        <v>1</v>
      </c>
      <c r="L24" s="36">
        <f>SUMIFS('[2]BESS 11'!Q:Q,'[2]BESS 11'!$B:$B,$J24)</f>
        <v>1</v>
      </c>
      <c r="M24" s="36">
        <f t="shared" si="2"/>
        <v>0</v>
      </c>
      <c r="N24" s="297" t="s">
        <v>122</v>
      </c>
      <c r="O24" s="350" t="s">
        <v>89</v>
      </c>
      <c r="P24" s="357" t="s">
        <v>25</v>
      </c>
      <c r="Q24" s="96">
        <v>1</v>
      </c>
      <c r="R24" s="528"/>
      <c r="S24" s="531"/>
      <c r="T24" s="307"/>
      <c r="W24" s="109" t="s">
        <v>203</v>
      </c>
      <c r="X24" s="66">
        <v>1</v>
      </c>
      <c r="Y24" s="165"/>
    </row>
    <row r="25" spans="2:26">
      <c r="B25" s="632" t="s">
        <v>407</v>
      </c>
      <c r="C25" s="633"/>
      <c r="D25" s="633"/>
      <c r="E25" s="633"/>
      <c r="F25" s="633"/>
      <c r="G25" s="633"/>
      <c r="H25" s="633"/>
      <c r="I25" s="383">
        <v>4.1899999999999977</v>
      </c>
      <c r="J25" s="358" t="s">
        <v>41</v>
      </c>
      <c r="K25" s="36">
        <f>SUMIFS('[2]BESS 11'!P:P,'[2]BESS 11'!$B:$B,$J25)</f>
        <v>6</v>
      </c>
      <c r="L25" s="36">
        <f>SUMIFS('[2]BESS 11'!Q:Q,'[2]BESS 11'!$B:$B,$J25)</f>
        <v>6</v>
      </c>
      <c r="M25" s="36">
        <f t="shared" si="2"/>
        <v>0</v>
      </c>
      <c r="N25" s="297" t="s">
        <v>122</v>
      </c>
      <c r="O25" s="344" t="s">
        <v>89</v>
      </c>
      <c r="P25" s="357" t="s">
        <v>125</v>
      </c>
      <c r="Q25" s="96">
        <v>6</v>
      </c>
      <c r="R25" s="93" t="s">
        <v>89</v>
      </c>
      <c r="S25" s="94" t="s">
        <v>89</v>
      </c>
      <c r="T25" s="307"/>
      <c r="W25" s="109" t="s">
        <v>204</v>
      </c>
      <c r="X25" s="66">
        <v>1</v>
      </c>
      <c r="Y25" s="165"/>
    </row>
    <row r="26" spans="2:26">
      <c r="B26" s="632"/>
      <c r="C26" s="633"/>
      <c r="D26" s="633"/>
      <c r="E26" s="633"/>
      <c r="F26" s="633"/>
      <c r="G26" s="633"/>
      <c r="H26" s="633"/>
      <c r="I26" s="383">
        <v>4.1999999999999975</v>
      </c>
      <c r="J26" s="358" t="s">
        <v>43</v>
      </c>
      <c r="K26" s="36">
        <f>SUMIFS('[2]BESS 11'!P:P,'[2]BESS 11'!$B:$B,$J26)</f>
        <v>6</v>
      </c>
      <c r="L26" s="36">
        <f>SUMIFS('[2]BESS 11'!Q:Q,'[2]BESS 11'!$B:$B,$J26)</f>
        <v>6</v>
      </c>
      <c r="M26" s="36">
        <f t="shared" si="2"/>
        <v>0</v>
      </c>
      <c r="N26" s="297" t="s">
        <v>122</v>
      </c>
      <c r="O26" s="344" t="s">
        <v>89</v>
      </c>
      <c r="P26" s="357" t="s">
        <v>125</v>
      </c>
      <c r="Q26" s="96">
        <v>0.66666666666666663</v>
      </c>
      <c r="R26" s="93">
        <v>0</v>
      </c>
      <c r="S26" s="94">
        <f t="shared" ref="S26:S38" si="3">(M26*R26)/Q26</f>
        <v>0</v>
      </c>
      <c r="T26" s="307"/>
      <c r="W26" s="109" t="s">
        <v>205</v>
      </c>
      <c r="X26" s="66">
        <v>2</v>
      </c>
      <c r="Y26" s="165"/>
    </row>
    <row r="27" spans="2:26">
      <c r="B27" s="632"/>
      <c r="C27" s="633"/>
      <c r="D27" s="633"/>
      <c r="E27" s="633"/>
      <c r="F27" s="633"/>
      <c r="G27" s="633"/>
      <c r="H27" s="633"/>
      <c r="I27" s="383">
        <v>4.2099999999999973</v>
      </c>
      <c r="J27" s="358" t="s">
        <v>21</v>
      </c>
      <c r="K27" s="36">
        <f>SUMIFS('[2]BESS 11'!P:P,'[2]BESS 11'!$B:$B,$J27)</f>
        <v>48</v>
      </c>
      <c r="L27" s="36">
        <f>SUMIFS('[2]BESS 11'!Q:Q,'[2]BESS 11'!$B:$B,$J27)</f>
        <v>48</v>
      </c>
      <c r="M27" s="36">
        <f t="shared" si="2"/>
        <v>0</v>
      </c>
      <c r="N27" s="297" t="s">
        <v>122</v>
      </c>
      <c r="O27" s="344" t="s">
        <v>89</v>
      </c>
      <c r="P27" s="357" t="s">
        <v>22</v>
      </c>
      <c r="Q27" s="96">
        <v>10</v>
      </c>
      <c r="R27" s="93">
        <v>4</v>
      </c>
      <c r="S27" s="94">
        <f t="shared" si="3"/>
        <v>0</v>
      </c>
      <c r="T27" s="309"/>
      <c r="W27" s="109" t="s">
        <v>206</v>
      </c>
      <c r="X27" s="66">
        <v>1</v>
      </c>
      <c r="Y27" s="101"/>
    </row>
    <row r="28" spans="2:26">
      <c r="B28" s="632"/>
      <c r="C28" s="633"/>
      <c r="D28" s="633"/>
      <c r="E28" s="633"/>
      <c r="F28" s="633"/>
      <c r="G28" s="633"/>
      <c r="H28" s="633"/>
      <c r="I28" s="383">
        <f t="shared" ref="I28:I49" si="4">I27+0.01</f>
        <v>4.2199999999999971</v>
      </c>
      <c r="J28" s="358" t="s">
        <v>47</v>
      </c>
      <c r="K28" s="36">
        <f>SUMIFS('[2]BESS 11'!P:P,'[2]BESS 11'!$B:$B,$J28)</f>
        <v>6909</v>
      </c>
      <c r="L28" s="36">
        <f>SUMIFS('[2]BESS 11'!Q:Q,'[2]BESS 11'!$B:$B,$J28)</f>
        <v>6909</v>
      </c>
      <c r="M28" s="36">
        <f t="shared" si="2"/>
        <v>0</v>
      </c>
      <c r="N28" s="297" t="s">
        <v>122</v>
      </c>
      <c r="O28" s="293" t="s">
        <v>89</v>
      </c>
      <c r="P28" s="357" t="s">
        <v>25</v>
      </c>
      <c r="Q28" s="96">
        <v>1500</v>
      </c>
      <c r="R28" s="93">
        <v>48</v>
      </c>
      <c r="S28" s="94">
        <f t="shared" si="3"/>
        <v>0</v>
      </c>
      <c r="T28" s="318"/>
      <c r="W28" s="109" t="s">
        <v>207</v>
      </c>
      <c r="X28" s="66">
        <v>1</v>
      </c>
      <c r="Y28" s="101"/>
    </row>
    <row r="29" spans="2:26" ht="25.5">
      <c r="B29" s="632"/>
      <c r="C29" s="633"/>
      <c r="D29" s="633"/>
      <c r="E29" s="633"/>
      <c r="F29" s="633"/>
      <c r="G29" s="633"/>
      <c r="H29" s="633"/>
      <c r="I29" s="384">
        <f t="shared" si="4"/>
        <v>4.2299999999999969</v>
      </c>
      <c r="J29" s="138" t="s">
        <v>48</v>
      </c>
      <c r="K29" s="35">
        <f>SUMIFS('[2]BESS 11'!P:P,'[2]BESS 11'!$B:$B,$J29)</f>
        <v>28</v>
      </c>
      <c r="L29" s="36">
        <f>SUMIFS('[2]BESS 11'!Q:Q,'[2]BESS 11'!$B:$B,$J29)</f>
        <v>28</v>
      </c>
      <c r="M29" s="139">
        <f t="shared" si="2"/>
        <v>0</v>
      </c>
      <c r="N29" s="91" t="s">
        <v>274</v>
      </c>
      <c r="O29" s="68" t="str">
        <f ca="1">IFERROR(DATEVALUE(TRIM(_xlfn.TEXTAFTER(N29,",",-1))&amp;"-"&amp;YEAR(TODAY())),N29)</f>
        <v>05 Jul, 09 Jul,
18 Jul</v>
      </c>
      <c r="P29" s="357" t="s">
        <v>25</v>
      </c>
      <c r="Q29" s="96">
        <v>8</v>
      </c>
      <c r="R29" s="93">
        <v>6</v>
      </c>
      <c r="S29" s="94">
        <f t="shared" si="3"/>
        <v>0</v>
      </c>
      <c r="T29" s="318" t="s">
        <v>275</v>
      </c>
      <c r="W29" s="109" t="s">
        <v>208</v>
      </c>
      <c r="X29" s="66">
        <v>1</v>
      </c>
      <c r="Y29" s="101"/>
      <c r="Z29" s="60"/>
    </row>
    <row r="30" spans="2:26">
      <c r="B30" s="632"/>
      <c r="C30" s="633"/>
      <c r="D30" s="633"/>
      <c r="E30" s="633"/>
      <c r="F30" s="633"/>
      <c r="G30" s="633"/>
      <c r="H30" s="633"/>
      <c r="I30" s="383">
        <f t="shared" si="4"/>
        <v>4.2399999999999967</v>
      </c>
      <c r="J30" s="358" t="s">
        <v>126</v>
      </c>
      <c r="K30" s="36">
        <f>SUMIFS('[2]BESS 11'!P:P,'[2]BESS 11'!$B:$B,$J30)</f>
        <v>13556</v>
      </c>
      <c r="L30" s="36">
        <f>SUMIFS('[2]BESS 11'!Q:Q,'[2]BESS 11'!$B:$B,$J30)</f>
        <v>13556</v>
      </c>
      <c r="M30" s="36">
        <f t="shared" si="2"/>
        <v>0</v>
      </c>
      <c r="N30" s="297" t="s">
        <v>122</v>
      </c>
      <c r="O30" s="344" t="s">
        <v>89</v>
      </c>
      <c r="P30" s="357" t="s">
        <v>25</v>
      </c>
      <c r="Q30" s="96">
        <v>600</v>
      </c>
      <c r="R30" s="93">
        <v>10</v>
      </c>
      <c r="S30" s="94">
        <f t="shared" si="3"/>
        <v>0</v>
      </c>
      <c r="T30" s="307"/>
      <c r="W30" s="339" t="s">
        <v>209</v>
      </c>
      <c r="X30" s="312">
        <v>1</v>
      </c>
      <c r="Y30" s="101"/>
    </row>
    <row r="31" spans="2:26" ht="27">
      <c r="B31" s="632"/>
      <c r="C31" s="633"/>
      <c r="D31" s="633"/>
      <c r="E31" s="633"/>
      <c r="F31" s="633"/>
      <c r="G31" s="633"/>
      <c r="H31" s="633"/>
      <c r="I31" s="383">
        <f t="shared" si="4"/>
        <v>4.2499999999999964</v>
      </c>
      <c r="J31" s="358" t="s">
        <v>127</v>
      </c>
      <c r="K31" s="36">
        <f>SUMIFS('[2]BESS 11'!P:P,'[2]BESS 11'!$B:$B,$J31)</f>
        <v>44160</v>
      </c>
      <c r="L31" s="36">
        <f>SUMIFS('[2]BESS 11'!Q:Q,'[2]BESS 11'!$B:$B,$J31)</f>
        <v>44160</v>
      </c>
      <c r="M31" s="36">
        <f t="shared" si="2"/>
        <v>0</v>
      </c>
      <c r="N31" s="297" t="s">
        <v>122</v>
      </c>
      <c r="O31" s="344" t="s">
        <v>89</v>
      </c>
      <c r="P31" s="357" t="s">
        <v>25</v>
      </c>
      <c r="Q31" s="96">
        <v>600</v>
      </c>
      <c r="R31" s="93">
        <v>10</v>
      </c>
      <c r="S31" s="94">
        <f t="shared" si="3"/>
        <v>0</v>
      </c>
      <c r="T31" s="307"/>
      <c r="W31" s="337" t="s">
        <v>215</v>
      </c>
      <c r="X31" s="312">
        <v>1</v>
      </c>
      <c r="Y31" s="101">
        <v>1</v>
      </c>
    </row>
    <row r="32" spans="2:26" ht="27">
      <c r="B32" s="632"/>
      <c r="C32" s="633"/>
      <c r="D32" s="633"/>
      <c r="E32" s="633"/>
      <c r="F32" s="633"/>
      <c r="G32" s="633"/>
      <c r="H32" s="633"/>
      <c r="I32" s="384">
        <f t="shared" si="4"/>
        <v>4.2599999999999962</v>
      </c>
      <c r="J32" s="138" t="s">
        <v>128</v>
      </c>
      <c r="K32" s="35">
        <f>SUMIFS('[2]BESS 11'!P:P,'[2]BESS 11'!$B:$B,$J32)</f>
        <v>1536</v>
      </c>
      <c r="L32" s="36">
        <f>SUMIFS('[2]BESS 11'!Q:Q,'[2]BESS 11'!$B:$B,$J32)</f>
        <v>1536</v>
      </c>
      <c r="M32" s="139">
        <f t="shared" si="2"/>
        <v>0</v>
      </c>
      <c r="N32" s="91" t="s">
        <v>416</v>
      </c>
      <c r="O32" s="68" t="str">
        <f ca="1">IFERROR(DATEVALUE(TRIM(_xlfn.TEXTAFTER(N32,",",-1))&amp;"-"&amp;YEAR(TODAY())),N32)</f>
        <v xml:space="preserve">
18 Jul</v>
      </c>
      <c r="P32" s="140" t="s">
        <v>25</v>
      </c>
      <c r="Q32" s="96">
        <v>30</v>
      </c>
      <c r="R32" s="93">
        <v>18</v>
      </c>
      <c r="S32" s="94">
        <f t="shared" si="3"/>
        <v>0</v>
      </c>
      <c r="T32" s="304" t="s">
        <v>395</v>
      </c>
      <c r="W32" s="109" t="s">
        <v>210</v>
      </c>
      <c r="X32" s="66">
        <v>1</v>
      </c>
      <c r="Y32" s="101"/>
      <c r="Z32" s="60" t="e">
        <f ca="1">N32-Z2</f>
        <v>#VALUE!</v>
      </c>
    </row>
    <row r="33" spans="2:26" ht="27">
      <c r="B33" s="632"/>
      <c r="C33" s="633"/>
      <c r="D33" s="633"/>
      <c r="E33" s="633"/>
      <c r="F33" s="633"/>
      <c r="G33" s="633"/>
      <c r="H33" s="633"/>
      <c r="I33" s="384">
        <f t="shared" si="4"/>
        <v>4.269999999999996</v>
      </c>
      <c r="J33" s="138" t="s">
        <v>129</v>
      </c>
      <c r="K33" s="35">
        <f>SUMIFS('[2]BESS 11'!P:P,'[2]BESS 11'!$B:$B,$J33)</f>
        <v>2304</v>
      </c>
      <c r="L33" s="36">
        <f>SUMIFS('[2]BESS 11'!Q:Q,'[2]BESS 11'!$B:$B,$J33)</f>
        <v>2304</v>
      </c>
      <c r="M33" s="139">
        <f t="shared" si="2"/>
        <v>0</v>
      </c>
      <c r="N33" s="91" t="s">
        <v>417</v>
      </c>
      <c r="O33" s="68" t="str">
        <f ca="1">IFERROR(DATEVALUE(TRIM(_xlfn.TEXTAFTER(N33,",",-1))&amp;"-"&amp;YEAR(TODAY())),N33)</f>
        <v xml:space="preserve">
20 Jul</v>
      </c>
      <c r="P33" s="140" t="s">
        <v>25</v>
      </c>
      <c r="Q33" s="96">
        <v>30</v>
      </c>
      <c r="R33" s="93">
        <v>18</v>
      </c>
      <c r="S33" s="94">
        <f t="shared" si="3"/>
        <v>0</v>
      </c>
      <c r="T33" s="304" t="s">
        <v>396</v>
      </c>
      <c r="W33" s="109" t="s">
        <v>211</v>
      </c>
      <c r="X33" s="66">
        <v>1</v>
      </c>
      <c r="Y33" s="101"/>
      <c r="Z33" s="60"/>
    </row>
    <row r="34" spans="2:26">
      <c r="B34" s="632"/>
      <c r="C34" s="633"/>
      <c r="D34" s="633"/>
      <c r="E34" s="633"/>
      <c r="F34" s="633"/>
      <c r="G34" s="633"/>
      <c r="H34" s="633"/>
      <c r="I34" s="384">
        <f t="shared" si="4"/>
        <v>4.2799999999999958</v>
      </c>
      <c r="J34" s="138" t="s">
        <v>130</v>
      </c>
      <c r="K34" s="35">
        <f>SUMIFS('[2]BESS 11'!P:P,'[2]BESS 11'!$B:$B,$J34)</f>
        <v>7701</v>
      </c>
      <c r="L34" s="36">
        <f>SUMIFS('[2]BESS 11'!Q:Q,'[2]BESS 11'!$B:$B,$J34)</f>
        <v>7701</v>
      </c>
      <c r="M34" s="139">
        <f t="shared" si="2"/>
        <v>0</v>
      </c>
      <c r="N34" s="385">
        <v>46219</v>
      </c>
      <c r="O34" s="68">
        <v>46212</v>
      </c>
      <c r="P34" s="140" t="s">
        <v>25</v>
      </c>
      <c r="Q34" s="96">
        <v>800</v>
      </c>
      <c r="R34" s="93">
        <v>10</v>
      </c>
      <c r="S34" s="94">
        <f t="shared" si="3"/>
        <v>0</v>
      </c>
      <c r="T34" s="317"/>
      <c r="W34" s="109" t="s">
        <v>212</v>
      </c>
      <c r="X34" s="66">
        <v>2</v>
      </c>
      <c r="Y34" s="101"/>
      <c r="Z34" s="60"/>
    </row>
    <row r="35" spans="2:26">
      <c r="B35" s="632"/>
      <c r="C35" s="633"/>
      <c r="D35" s="633"/>
      <c r="E35" s="633"/>
      <c r="F35" s="633"/>
      <c r="G35" s="633"/>
      <c r="H35" s="633"/>
      <c r="I35" s="384">
        <f t="shared" si="4"/>
        <v>4.2899999999999956</v>
      </c>
      <c r="J35" s="138" t="s">
        <v>131</v>
      </c>
      <c r="K35" s="35">
        <f>SUMIFS('[2]BESS 11'!P:P,'[2]BESS 11'!$B:$B,$J35)</f>
        <v>13198</v>
      </c>
      <c r="L35" s="36">
        <f>SUMIFS('[2]BESS 11'!Q:Q,'[2]BESS 11'!$B:$B,$J35)</f>
        <v>13198</v>
      </c>
      <c r="M35" s="139">
        <f t="shared" si="2"/>
        <v>0</v>
      </c>
      <c r="N35" s="91">
        <v>46220</v>
      </c>
      <c r="O35" s="68">
        <v>46212</v>
      </c>
      <c r="P35" s="140" t="s">
        <v>25</v>
      </c>
      <c r="Q35" s="96">
        <v>1000</v>
      </c>
      <c r="R35" s="93">
        <v>10</v>
      </c>
      <c r="S35" s="94">
        <f t="shared" si="3"/>
        <v>0</v>
      </c>
      <c r="T35" s="317"/>
      <c r="W35" s="109" t="s">
        <v>213</v>
      </c>
      <c r="X35" s="66">
        <v>3</v>
      </c>
      <c r="Y35" s="101">
        <v>2</v>
      </c>
      <c r="Z35" s="60"/>
    </row>
    <row r="36" spans="2:26">
      <c r="B36" s="632"/>
      <c r="C36" s="633"/>
      <c r="D36" s="633"/>
      <c r="E36" s="633"/>
      <c r="F36" s="633"/>
      <c r="G36" s="633"/>
      <c r="H36" s="633"/>
      <c r="I36" s="384">
        <f t="shared" si="4"/>
        <v>4.2999999999999954</v>
      </c>
      <c r="J36" s="138" t="s">
        <v>132</v>
      </c>
      <c r="K36" s="35">
        <f>SUMIFS('[2]BESS 11'!P:P,'[2]BESS 11'!$B:$B,$J36)</f>
        <v>5175</v>
      </c>
      <c r="L36" s="36">
        <f>SUMIFS('[2]BESS 11'!Q:Q,'[2]BESS 11'!$B:$B,$J36)</f>
        <v>5175</v>
      </c>
      <c r="M36" s="139">
        <f t="shared" si="2"/>
        <v>0</v>
      </c>
      <c r="N36" s="91">
        <v>46219</v>
      </c>
      <c r="O36" s="68">
        <v>46212</v>
      </c>
      <c r="P36" s="140" t="s">
        <v>25</v>
      </c>
      <c r="Q36" s="96">
        <v>600</v>
      </c>
      <c r="R36" s="93">
        <v>10</v>
      </c>
      <c r="S36" s="94">
        <f t="shared" si="3"/>
        <v>0</v>
      </c>
      <c r="T36" s="317"/>
      <c r="W36" s="109" t="s">
        <v>214</v>
      </c>
      <c r="X36" s="66">
        <v>2</v>
      </c>
      <c r="Y36" s="101"/>
      <c r="Z36" s="60"/>
    </row>
    <row r="37" spans="2:26" ht="25.5">
      <c r="B37" s="632"/>
      <c r="C37" s="633"/>
      <c r="D37" s="633"/>
      <c r="E37" s="633"/>
      <c r="F37" s="633"/>
      <c r="G37" s="633"/>
      <c r="H37" s="633"/>
      <c r="I37" s="384">
        <f t="shared" si="4"/>
        <v>4.3099999999999952</v>
      </c>
      <c r="J37" s="138" t="s">
        <v>133</v>
      </c>
      <c r="K37" s="35">
        <f>SUMIFS('[2]BESS 11'!P:P,'[2]BESS 11'!$B:$B,$J37)</f>
        <v>284</v>
      </c>
      <c r="L37" s="36">
        <f>SUMIFS('[2]BESS 11'!Q:Q,'[2]BESS 11'!$B:$B,$J37)</f>
        <v>284</v>
      </c>
      <c r="M37" s="139">
        <f t="shared" si="2"/>
        <v>0</v>
      </c>
      <c r="N37" s="91" t="s">
        <v>417</v>
      </c>
      <c r="O37" s="68" t="str">
        <f ca="1">IFERROR(DATEVALUE(TRIM(_xlfn.TEXTAFTER(N37,",",-1))&amp;"-"&amp;YEAR(TODAY())),N37)</f>
        <v xml:space="preserve">
20 Jul</v>
      </c>
      <c r="P37" s="140" t="s">
        <v>25</v>
      </c>
      <c r="Q37" s="96">
        <v>30</v>
      </c>
      <c r="R37" s="93">
        <v>6</v>
      </c>
      <c r="S37" s="94">
        <f t="shared" si="3"/>
        <v>0</v>
      </c>
      <c r="T37" s="317"/>
      <c r="W37" s="260"/>
      <c r="X37" s="102"/>
      <c r="Y37" s="101"/>
      <c r="Z37" s="60"/>
    </row>
    <row r="38" spans="2:26" ht="25.5">
      <c r="B38" s="632"/>
      <c r="C38" s="633"/>
      <c r="D38" s="633"/>
      <c r="E38" s="633"/>
      <c r="F38" s="633"/>
      <c r="G38" s="633"/>
      <c r="H38" s="633"/>
      <c r="I38" s="384">
        <f t="shared" si="4"/>
        <v>4.319999999999995</v>
      </c>
      <c r="J38" s="138" t="s">
        <v>134</v>
      </c>
      <c r="K38" s="35">
        <f>SUMIFS('[2]BESS 11'!P:P,'[2]BESS 11'!$B:$B,$J38)</f>
        <v>504</v>
      </c>
      <c r="L38" s="36">
        <f>SUMIFS('[2]BESS 11'!Q:Q,'[2]BESS 11'!$B:$B,$J38)</f>
        <v>504</v>
      </c>
      <c r="M38" s="139">
        <f t="shared" si="2"/>
        <v>0</v>
      </c>
      <c r="N38" s="91" t="s">
        <v>417</v>
      </c>
      <c r="O38" s="68" t="str">
        <f ca="1">IFERROR(DATEVALUE(TRIM(_xlfn.TEXTAFTER(N38,",",-1))&amp;"-"&amp;YEAR(TODAY())),N38)</f>
        <v xml:space="preserve">
20 Jul</v>
      </c>
      <c r="P38" s="140" t="s">
        <v>135</v>
      </c>
      <c r="Q38" s="96">
        <v>30</v>
      </c>
      <c r="R38" s="93">
        <v>4</v>
      </c>
      <c r="S38" s="94">
        <f t="shared" si="3"/>
        <v>0</v>
      </c>
      <c r="T38" s="317" t="s">
        <v>337</v>
      </c>
      <c r="W38" s="112" t="s">
        <v>216</v>
      </c>
      <c r="X38" s="102"/>
      <c r="Y38" s="101"/>
      <c r="Z38" s="60"/>
    </row>
    <row r="39" spans="2:26" ht="25.5">
      <c r="B39" s="632"/>
      <c r="C39" s="633"/>
      <c r="D39" s="633"/>
      <c r="E39" s="633"/>
      <c r="F39" s="633"/>
      <c r="G39" s="633"/>
      <c r="H39" s="633"/>
      <c r="I39" s="384">
        <f t="shared" si="4"/>
        <v>4.3299999999999947</v>
      </c>
      <c r="J39" s="138" t="s">
        <v>136</v>
      </c>
      <c r="K39" s="35">
        <f>SUMIFS('[2]BESS 11'!P:P,'[2]BESS 11'!$B:$B,$J39)</f>
        <v>380</v>
      </c>
      <c r="L39" s="36">
        <f>SUMIFS('[2]BESS 11'!Q:Q,'[2]BESS 11'!$B:$B,$J39)</f>
        <v>380</v>
      </c>
      <c r="M39" s="139">
        <f t="shared" si="2"/>
        <v>0</v>
      </c>
      <c r="N39" s="91" t="s">
        <v>271</v>
      </c>
      <c r="O39" s="68" t="str">
        <f ca="1">IFERROR(DATEVALUE(TRIM(_xlfn.TEXTAFTER(N39,",",-1))&amp;"-"&amp;YEAR(TODAY())),N39)</f>
        <v>09 Jul, 15 Jul,
20 Jul</v>
      </c>
      <c r="P39" s="140" t="s">
        <v>135</v>
      </c>
      <c r="Q39" s="96" t="s">
        <v>89</v>
      </c>
      <c r="R39" s="93" t="s">
        <v>89</v>
      </c>
      <c r="S39" s="94" t="s">
        <v>89</v>
      </c>
      <c r="T39" s="317" t="s">
        <v>337</v>
      </c>
      <c r="U39" t="e">
        <f ca="1">O39-$T$1</f>
        <v>#VALUE!</v>
      </c>
      <c r="V39" s="97">
        <f>SUM(S18:S49)</f>
        <v>4.0040000000000147</v>
      </c>
      <c r="W39" s="109" t="s">
        <v>191</v>
      </c>
      <c r="X39" s="66">
        <v>60</v>
      </c>
      <c r="Y39" s="101"/>
      <c r="Z39" s="60"/>
    </row>
    <row r="40" spans="2:26">
      <c r="B40" s="632"/>
      <c r="C40" s="633"/>
      <c r="D40" s="633"/>
      <c r="E40" s="633"/>
      <c r="F40" s="633"/>
      <c r="G40" s="633"/>
      <c r="H40" s="633"/>
      <c r="I40" s="383">
        <f t="shared" si="4"/>
        <v>4.3399999999999945</v>
      </c>
      <c r="J40" s="358" t="s">
        <v>137</v>
      </c>
      <c r="K40" s="36">
        <f>SUMIFS('[2]BESS 11'!P:P,'[2]BESS 11'!$B:$B,$J40)</f>
        <v>6</v>
      </c>
      <c r="L40" s="36">
        <f>SUMIFS('[2]BESS 11'!Q:Q,'[2]BESS 11'!$B:$B,$J40)</f>
        <v>6</v>
      </c>
      <c r="M40" s="36">
        <f t="shared" si="2"/>
        <v>0</v>
      </c>
      <c r="N40" s="297" t="s">
        <v>122</v>
      </c>
      <c r="O40" s="68" t="s">
        <v>89</v>
      </c>
      <c r="P40" s="357" t="s">
        <v>138</v>
      </c>
      <c r="Q40" s="96" t="s">
        <v>89</v>
      </c>
      <c r="R40" s="93" t="s">
        <v>89</v>
      </c>
      <c r="S40" s="94" t="s">
        <v>89</v>
      </c>
      <c r="T40" s="317"/>
      <c r="W40" s="109" t="s">
        <v>217</v>
      </c>
      <c r="X40" s="102">
        <v>10</v>
      </c>
      <c r="Y40" s="101"/>
    </row>
    <row r="41" spans="2:26">
      <c r="B41" s="632"/>
      <c r="C41" s="633"/>
      <c r="D41" s="633"/>
      <c r="E41" s="633"/>
      <c r="F41" s="633"/>
      <c r="G41" s="633"/>
      <c r="H41" s="633"/>
      <c r="I41" s="383">
        <f t="shared" si="4"/>
        <v>4.3499999999999943</v>
      </c>
      <c r="J41" s="358" t="s">
        <v>139</v>
      </c>
      <c r="K41" s="36">
        <f>SUMIFS('[2]BESS 11'!P:P,'[2]BESS 11'!$B:$B,$J41)</f>
        <v>6</v>
      </c>
      <c r="L41" s="36">
        <f>SUMIFS('[2]BESS 11'!Q:Q,'[2]BESS 11'!$B:$B,$J41)</f>
        <v>6</v>
      </c>
      <c r="M41" s="36">
        <f t="shared" si="2"/>
        <v>0</v>
      </c>
      <c r="N41" s="297" t="s">
        <v>122</v>
      </c>
      <c r="O41" s="297" t="s">
        <v>89</v>
      </c>
      <c r="P41" s="357" t="s">
        <v>25</v>
      </c>
      <c r="Q41" s="264">
        <v>2</v>
      </c>
      <c r="R41" s="35">
        <v>8</v>
      </c>
      <c r="S41" s="94">
        <f t="shared" ref="S41:S49" si="5">(M41*R41)/Q41</f>
        <v>0</v>
      </c>
      <c r="T41" s="304"/>
      <c r="W41" s="109" t="s">
        <v>218</v>
      </c>
      <c r="X41" s="102">
        <v>10</v>
      </c>
      <c r="Y41" s="165"/>
    </row>
    <row r="42" spans="2:26" ht="25.5">
      <c r="B42" s="632"/>
      <c r="C42" s="633"/>
      <c r="D42" s="633"/>
      <c r="E42" s="633"/>
      <c r="F42" s="633"/>
      <c r="G42" s="633"/>
      <c r="H42" s="633"/>
      <c r="I42" s="384">
        <f t="shared" si="4"/>
        <v>4.3599999999999941</v>
      </c>
      <c r="J42" s="138" t="s">
        <v>140</v>
      </c>
      <c r="K42" s="35">
        <f>SUMIFS('[2]BESS 11'!P:P,'[2]BESS 11'!$B:$B,$J42)</f>
        <v>6</v>
      </c>
      <c r="L42" s="36">
        <f>SUMIFS('[2]BESS 11'!Q:Q,'[2]BESS 11'!$B:$B,$J42)</f>
        <v>6</v>
      </c>
      <c r="M42" s="139">
        <f t="shared" si="2"/>
        <v>0</v>
      </c>
      <c r="N42" s="68" t="s">
        <v>353</v>
      </c>
      <c r="O42" s="68">
        <f t="shared" ref="O42:O49" ca="1" si="6">IFERROR(DATEVALUE(TRIM(_xlfn.TEXTAFTER(N42,",",-1))&amp;"-"&amp;YEAR(TODAY())),N42)</f>
        <v>46225</v>
      </c>
      <c r="P42" s="140" t="s">
        <v>25</v>
      </c>
      <c r="Q42" s="96">
        <v>2</v>
      </c>
      <c r="R42" s="93">
        <v>4</v>
      </c>
      <c r="S42" s="94">
        <f t="shared" si="5"/>
        <v>0</v>
      </c>
      <c r="T42" s="317"/>
      <c r="U42">
        <f ca="1">O42-$T$1</f>
        <v>-8</v>
      </c>
      <c r="V42" s="97">
        <f>SUM(S18:S49)</f>
        <v>4.0040000000000147</v>
      </c>
      <c r="W42" s="109" t="s">
        <v>223</v>
      </c>
      <c r="X42" s="102">
        <v>10</v>
      </c>
      <c r="Y42" s="101"/>
    </row>
    <row r="43" spans="2:26" ht="27">
      <c r="B43" s="632"/>
      <c r="C43" s="633"/>
      <c r="D43" s="633"/>
      <c r="E43" s="633"/>
      <c r="F43" s="633"/>
      <c r="G43" s="633"/>
      <c r="H43" s="633"/>
      <c r="I43" s="384">
        <f t="shared" si="4"/>
        <v>4.3699999999999939</v>
      </c>
      <c r="J43" s="138" t="s">
        <v>141</v>
      </c>
      <c r="K43" s="35">
        <f>SUMIFS('[2]BESS 11'!P:P,'[2]BESS 11'!$B:$B,$J43)</f>
        <v>12</v>
      </c>
      <c r="L43" s="36">
        <f>SUMIFS('[2]BESS 11'!Q:Q,'[2]BESS 11'!$B:$B,$J43)</f>
        <v>12</v>
      </c>
      <c r="M43" s="139">
        <f t="shared" si="2"/>
        <v>0</v>
      </c>
      <c r="N43" s="91" t="s">
        <v>264</v>
      </c>
      <c r="O43" s="68" t="str">
        <f t="shared" ca="1" si="6"/>
        <v>05 Jul, 09 Jul,
16 Jul</v>
      </c>
      <c r="P43" s="140" t="s">
        <v>25</v>
      </c>
      <c r="Q43" s="96">
        <v>0.5</v>
      </c>
      <c r="R43" s="93">
        <v>4</v>
      </c>
      <c r="S43" s="94">
        <f t="shared" si="5"/>
        <v>0</v>
      </c>
      <c r="T43" s="317" t="s">
        <v>408</v>
      </c>
      <c r="X43"/>
    </row>
    <row r="44" spans="2:26">
      <c r="B44" s="632"/>
      <c r="C44" s="633"/>
      <c r="D44" s="633"/>
      <c r="E44" s="633"/>
      <c r="F44" s="633"/>
      <c r="G44" s="633"/>
      <c r="H44" s="633"/>
      <c r="I44" s="92">
        <f t="shared" si="4"/>
        <v>4.3799999999999937</v>
      </c>
      <c r="J44" s="138" t="s">
        <v>142</v>
      </c>
      <c r="K44" s="35">
        <f>SUMIFS('[2]BESS 11'!P:P,'[2]BESS 11'!$B:$B,$J44)</f>
        <v>16</v>
      </c>
      <c r="L44" s="36">
        <f>SUMIFS('[2]BESS 11'!Q:Q,'[2]BESS 11'!$B:$B,$J44)</f>
        <v>16</v>
      </c>
      <c r="M44" s="139">
        <f t="shared" si="2"/>
        <v>0</v>
      </c>
      <c r="N44" s="68" t="s">
        <v>352</v>
      </c>
      <c r="O44" s="68">
        <f t="shared" ca="1" si="6"/>
        <v>46224</v>
      </c>
      <c r="P44" s="140" t="s">
        <v>25</v>
      </c>
      <c r="Q44" s="96">
        <v>6</v>
      </c>
      <c r="R44" s="93">
        <v>4</v>
      </c>
      <c r="S44" s="94">
        <f t="shared" si="5"/>
        <v>0</v>
      </c>
      <c r="T44" s="317"/>
      <c r="X44"/>
    </row>
    <row r="45" spans="2:26">
      <c r="B45" s="632"/>
      <c r="C45" s="633"/>
      <c r="D45" s="633"/>
      <c r="E45" s="633"/>
      <c r="F45" s="633"/>
      <c r="G45" s="633"/>
      <c r="H45" s="633"/>
      <c r="I45" s="334">
        <f t="shared" si="4"/>
        <v>4.3899999999999935</v>
      </c>
      <c r="J45" s="358" t="s">
        <v>143</v>
      </c>
      <c r="K45" s="36">
        <f>SUMIFS('[2]BESS 11'!P:P,'[2]BESS 11'!$B:$B,$J45)</f>
        <v>14</v>
      </c>
      <c r="L45" s="36">
        <f>SUMIFS('[2]BESS 11'!Q:Q,'[2]BESS 11'!$B:$B,$J45)</f>
        <v>14</v>
      </c>
      <c r="M45" s="36">
        <f t="shared" si="2"/>
        <v>0</v>
      </c>
      <c r="N45" s="297" t="s">
        <v>122</v>
      </c>
      <c r="O45" s="297" t="str">
        <f t="shared" ca="1" si="6"/>
        <v>Completed</v>
      </c>
      <c r="P45" s="357" t="s">
        <v>25</v>
      </c>
      <c r="Q45" s="96">
        <v>6</v>
      </c>
      <c r="R45" s="93">
        <v>5</v>
      </c>
      <c r="S45" s="94">
        <f t="shared" si="5"/>
        <v>0</v>
      </c>
      <c r="T45" s="317"/>
      <c r="X45"/>
    </row>
    <row r="46" spans="2:26" ht="25.5">
      <c r="B46" s="632"/>
      <c r="C46" s="633"/>
      <c r="D46" s="633"/>
      <c r="E46" s="633"/>
      <c r="F46" s="633"/>
      <c r="G46" s="633"/>
      <c r="H46" s="633"/>
      <c r="I46" s="92">
        <f t="shared" si="4"/>
        <v>4.3999999999999932</v>
      </c>
      <c r="J46" s="138" t="s">
        <v>144</v>
      </c>
      <c r="K46" s="35">
        <f>SUMIFS('[2]BESS 11'!P:P,'[2]BESS 11'!$B:$B,$J46)</f>
        <v>1</v>
      </c>
      <c r="L46" s="36">
        <f>SUMIFS('[2]BESS 11'!Q:Q,'[2]BESS 11'!$B:$B,$J46)</f>
        <v>1</v>
      </c>
      <c r="M46" s="139">
        <f t="shared" si="2"/>
        <v>0</v>
      </c>
      <c r="N46" s="91" t="s">
        <v>265</v>
      </c>
      <c r="O46" s="68" t="str">
        <f t="shared" ca="1" si="6"/>
        <v>05 Jul, 09 Jul,
17 Jul</v>
      </c>
      <c r="P46" s="140" t="s">
        <v>25</v>
      </c>
      <c r="Q46" s="96">
        <v>1</v>
      </c>
      <c r="R46" s="93">
        <v>5</v>
      </c>
      <c r="S46" s="94">
        <f t="shared" si="5"/>
        <v>0</v>
      </c>
      <c r="T46" s="317" t="s">
        <v>185</v>
      </c>
      <c r="X46"/>
    </row>
    <row r="47" spans="2:26">
      <c r="B47" s="632" t="s">
        <v>400</v>
      </c>
      <c r="C47" s="633"/>
      <c r="D47" s="633"/>
      <c r="E47" s="633"/>
      <c r="F47" s="633"/>
      <c r="G47" s="633"/>
      <c r="H47" s="633"/>
      <c r="I47" s="334">
        <f t="shared" si="4"/>
        <v>4.409999999999993</v>
      </c>
      <c r="J47" s="358" t="s">
        <v>145</v>
      </c>
      <c r="K47" s="36">
        <f>SUMIFS('[2]BESS 11'!P:P,'[2]BESS 11'!$B:$B,$J47)</f>
        <v>6</v>
      </c>
      <c r="L47" s="36">
        <f>SUMIFS('[2]BESS 11'!Q:Q,'[2]BESS 11'!$B:$B,$J47)</f>
        <v>6</v>
      </c>
      <c r="M47" s="36">
        <f t="shared" si="2"/>
        <v>0</v>
      </c>
      <c r="N47" s="297" t="s">
        <v>122</v>
      </c>
      <c r="O47" s="68" t="str">
        <f t="shared" ca="1" si="6"/>
        <v>Completed</v>
      </c>
      <c r="P47" s="357" t="s">
        <v>25</v>
      </c>
      <c r="Q47" s="96">
        <v>3</v>
      </c>
      <c r="R47" s="93">
        <v>5</v>
      </c>
      <c r="S47" s="94">
        <f t="shared" si="5"/>
        <v>0</v>
      </c>
      <c r="T47" s="317" t="s">
        <v>184</v>
      </c>
      <c r="X47"/>
    </row>
    <row r="48" spans="2:26" ht="25.5">
      <c r="B48" s="632"/>
      <c r="C48" s="633"/>
      <c r="D48" s="633"/>
      <c r="E48" s="633"/>
      <c r="F48" s="633"/>
      <c r="G48" s="633"/>
      <c r="H48" s="633"/>
      <c r="I48" s="92">
        <f t="shared" si="4"/>
        <v>4.4199999999999928</v>
      </c>
      <c r="J48" s="138" t="s">
        <v>54</v>
      </c>
      <c r="K48" s="35">
        <f>SUMIFS('[2]BESS 11'!P:P,'[2]BESS 11'!$B:$B,$J48)</f>
        <v>5069.8</v>
      </c>
      <c r="L48" s="36">
        <f>SUMIFS('[2]BESS 11'!Q:Q,'[2]BESS 11'!$B:$B,$J48)</f>
        <v>5069.7</v>
      </c>
      <c r="M48" s="139">
        <f t="shared" si="2"/>
        <v>0.1000000000003638</v>
      </c>
      <c r="N48" s="386" t="s">
        <v>254</v>
      </c>
      <c r="O48" s="68" t="str">
        <f t="shared" ca="1" si="6"/>
        <v>07 Jul, 09 Jul,
18 Jul</v>
      </c>
      <c r="P48" s="140" t="s">
        <v>25</v>
      </c>
      <c r="Q48" s="96">
        <v>150</v>
      </c>
      <c r="R48" s="93">
        <v>6</v>
      </c>
      <c r="S48" s="94">
        <f t="shared" si="5"/>
        <v>4.0000000000145518E-3</v>
      </c>
      <c r="T48" s="317"/>
      <c r="X48"/>
    </row>
    <row r="49" spans="2:26" ht="26.25" thickBot="1">
      <c r="B49" s="634"/>
      <c r="C49" s="635"/>
      <c r="D49" s="635"/>
      <c r="E49" s="635"/>
      <c r="F49" s="635"/>
      <c r="G49" s="635"/>
      <c r="H49" s="635"/>
      <c r="I49" s="137">
        <f t="shared" si="4"/>
        <v>4.4299999999999926</v>
      </c>
      <c r="J49" s="296" t="s">
        <v>55</v>
      </c>
      <c r="K49" s="37">
        <f>SUMIFS('[2]BESS 11'!P:P,'[2]BESS 11'!$B:$B,$J49)</f>
        <v>10</v>
      </c>
      <c r="L49" s="38">
        <f>SUMIFS('[2]BESS 11'!Q:Q,'[2]BESS 11'!$B:$B,$J49)</f>
        <v>10</v>
      </c>
      <c r="M49" s="294">
        <f t="shared" si="2"/>
        <v>0</v>
      </c>
      <c r="N49" s="387" t="s">
        <v>255</v>
      </c>
      <c r="O49" s="295" t="str">
        <f t="shared" ca="1" si="6"/>
        <v>09 Jul, 12 Jul,
20 Jul</v>
      </c>
      <c r="P49" s="378" t="s">
        <v>25</v>
      </c>
      <c r="Q49" s="265">
        <v>5</v>
      </c>
      <c r="R49" s="266">
        <v>6</v>
      </c>
      <c r="S49" s="267">
        <f t="shared" si="5"/>
        <v>0</v>
      </c>
      <c r="T49" s="306"/>
      <c r="X49"/>
      <c r="Z49" s="60"/>
    </row>
    <row r="50" spans="2:26">
      <c r="B50" s="472" t="s">
        <v>17</v>
      </c>
      <c r="C50" s="475">
        <v>3</v>
      </c>
      <c r="D50" s="636" t="s">
        <v>249</v>
      </c>
      <c r="E50" s="524" t="s">
        <v>120</v>
      </c>
      <c r="F50" s="586">
        <v>46231</v>
      </c>
      <c r="G50" s="586">
        <v>46236</v>
      </c>
      <c r="H50" s="586">
        <v>46239</v>
      </c>
      <c r="I50" s="363"/>
      <c r="J50" s="364"/>
      <c r="K50" s="365"/>
      <c r="L50" s="366" t="s">
        <v>121</v>
      </c>
      <c r="M50" s="364"/>
      <c r="N50" s="365"/>
      <c r="O50" s="367"/>
      <c r="P50" s="320"/>
      <c r="Q50" s="268"/>
      <c r="R50" s="269"/>
      <c r="S50" s="270"/>
      <c r="T50" s="368"/>
      <c r="X50"/>
    </row>
    <row r="51" spans="2:26" ht="25.5">
      <c r="B51" s="473"/>
      <c r="C51" s="476"/>
      <c r="D51" s="637"/>
      <c r="E51" s="445"/>
      <c r="F51" s="456"/>
      <c r="G51" s="456"/>
      <c r="H51" s="456"/>
      <c r="I51" s="336">
        <v>3.1</v>
      </c>
      <c r="J51" s="358" t="s">
        <v>19</v>
      </c>
      <c r="K51" s="36">
        <f>SUMIFS('[2]BESS 11'!L:L,'[2]BESS 11'!$B:$B,$J51)</f>
        <v>48</v>
      </c>
      <c r="L51" s="36">
        <f>SUMIFS('[2]BESS 11'!M:M,'[2]BESS 11'!$B:$B,$J51)</f>
        <v>48</v>
      </c>
      <c r="M51" s="36">
        <f t="shared" ref="M51:M62" si="7">K51-L51</f>
        <v>0</v>
      </c>
      <c r="N51" s="297" t="s">
        <v>122</v>
      </c>
      <c r="O51" s="68" t="s">
        <v>89</v>
      </c>
      <c r="P51" s="357" t="s">
        <v>20</v>
      </c>
      <c r="Q51" s="96">
        <v>1</v>
      </c>
      <c r="R51" s="93">
        <v>2</v>
      </c>
      <c r="S51" s="94">
        <f t="shared" ref="S51:S61" si="8">(M51*R51)/Q51</f>
        <v>0</v>
      </c>
      <c r="T51" s="307"/>
      <c r="X51"/>
    </row>
    <row r="52" spans="2:26">
      <c r="B52" s="473"/>
      <c r="C52" s="476"/>
      <c r="D52" s="637"/>
      <c r="E52" s="445"/>
      <c r="F52" s="456"/>
      <c r="G52" s="456"/>
      <c r="H52" s="456"/>
      <c r="I52" s="336">
        <v>3.2</v>
      </c>
      <c r="J52" s="358" t="s">
        <v>23</v>
      </c>
      <c r="K52" s="36">
        <f>SUMIFS('[2]BESS 11'!L:L,'[2]BESS 11'!$B:$B,$J52)</f>
        <v>6</v>
      </c>
      <c r="L52" s="36">
        <f>SUMIFS('[2]BESS 11'!M:M,'[2]BESS 11'!$B:$B,$J52)</f>
        <v>6</v>
      </c>
      <c r="M52" s="36">
        <f t="shared" si="7"/>
        <v>0</v>
      </c>
      <c r="N52" s="297" t="s">
        <v>122</v>
      </c>
      <c r="O52" s="68" t="s">
        <v>89</v>
      </c>
      <c r="P52" s="357" t="s">
        <v>20</v>
      </c>
      <c r="Q52" s="96">
        <v>1</v>
      </c>
      <c r="R52" s="93">
        <v>16</v>
      </c>
      <c r="S52" s="94">
        <f t="shared" si="8"/>
        <v>0</v>
      </c>
      <c r="T52" s="307"/>
      <c r="X52"/>
    </row>
    <row r="53" spans="2:26">
      <c r="B53" s="473"/>
      <c r="C53" s="476"/>
      <c r="D53" s="637"/>
      <c r="E53" s="445"/>
      <c r="F53" s="456"/>
      <c r="G53" s="456"/>
      <c r="H53" s="456"/>
      <c r="I53" s="336">
        <v>3.3000000000000003</v>
      </c>
      <c r="J53" s="358" t="s">
        <v>26</v>
      </c>
      <c r="K53" s="36">
        <f>SUMIFS('[2]BESS 11'!L:L,'[2]BESS 11'!$B:$B,$J53)</f>
        <v>6</v>
      </c>
      <c r="L53" s="36">
        <f>SUMIFS('[2]BESS 11'!M:M,'[2]BESS 11'!$B:$B,$J53)</f>
        <v>6</v>
      </c>
      <c r="M53" s="36">
        <f t="shared" si="7"/>
        <v>0</v>
      </c>
      <c r="N53" s="297" t="s">
        <v>122</v>
      </c>
      <c r="O53" s="68" t="s">
        <v>89</v>
      </c>
      <c r="P53" s="357" t="s">
        <v>20</v>
      </c>
      <c r="Q53" s="96">
        <v>1</v>
      </c>
      <c r="R53" s="93">
        <v>39</v>
      </c>
      <c r="S53" s="94">
        <f t="shared" si="8"/>
        <v>0</v>
      </c>
      <c r="T53" s="582"/>
      <c r="X53"/>
    </row>
    <row r="54" spans="2:26">
      <c r="B54" s="473"/>
      <c r="C54" s="476"/>
      <c r="D54" s="637"/>
      <c r="E54" s="445"/>
      <c r="F54" s="456"/>
      <c r="G54" s="456"/>
      <c r="H54" s="456"/>
      <c r="I54" s="336">
        <v>3.4000000000000004</v>
      </c>
      <c r="J54" s="358" t="s">
        <v>32</v>
      </c>
      <c r="K54" s="36">
        <f>SUMIFS('[2]BESS 11'!L:L,'[2]BESS 11'!$B:$B,$J54)</f>
        <v>1</v>
      </c>
      <c r="L54" s="36">
        <f>SUMIFS('[2]BESS 11'!M:M,'[2]BESS 11'!$B:$B,$J54)</f>
        <v>1</v>
      </c>
      <c r="M54" s="36">
        <f t="shared" si="7"/>
        <v>0</v>
      </c>
      <c r="N54" s="297" t="s">
        <v>122</v>
      </c>
      <c r="O54" s="68" t="s">
        <v>89</v>
      </c>
      <c r="P54" s="357" t="s">
        <v>20</v>
      </c>
      <c r="Q54" s="96">
        <v>1</v>
      </c>
      <c r="R54" s="93">
        <v>37</v>
      </c>
      <c r="S54" s="94">
        <f t="shared" si="8"/>
        <v>0</v>
      </c>
      <c r="T54" s="582"/>
      <c r="X54"/>
    </row>
    <row r="55" spans="2:26">
      <c r="B55" s="473"/>
      <c r="C55" s="476"/>
      <c r="D55" s="637"/>
      <c r="E55" s="445"/>
      <c r="F55" s="456"/>
      <c r="G55" s="456"/>
      <c r="H55" s="456"/>
      <c r="I55" s="336">
        <v>3.5000000000000004</v>
      </c>
      <c r="J55" s="358" t="s">
        <v>35</v>
      </c>
      <c r="K55" s="36">
        <f>SUMIFS('[2]BESS 11'!L:L,'[2]BESS 11'!$B:$B,$J55)</f>
        <v>1</v>
      </c>
      <c r="L55" s="36">
        <f>SUMIFS('[2]BESS 11'!M:M,'[2]BESS 11'!$B:$B,$J55)</f>
        <v>1</v>
      </c>
      <c r="M55" s="36">
        <f t="shared" si="7"/>
        <v>0</v>
      </c>
      <c r="N55" s="297" t="s">
        <v>122</v>
      </c>
      <c r="O55" s="68" t="s">
        <v>89</v>
      </c>
      <c r="P55" s="357" t="s">
        <v>20</v>
      </c>
      <c r="Q55" s="96">
        <v>1</v>
      </c>
      <c r="R55" s="93">
        <v>34</v>
      </c>
      <c r="S55" s="94">
        <f t="shared" si="8"/>
        <v>0</v>
      </c>
      <c r="T55" s="582"/>
      <c r="X55"/>
    </row>
    <row r="56" spans="2:26">
      <c r="B56" s="473"/>
      <c r="C56" s="476"/>
      <c r="D56" s="637"/>
      <c r="E56" s="445"/>
      <c r="F56" s="456"/>
      <c r="G56" s="456"/>
      <c r="H56" s="456"/>
      <c r="I56" s="336">
        <v>3.6000000000000005</v>
      </c>
      <c r="J56" s="358" t="s">
        <v>38</v>
      </c>
      <c r="K56" s="36">
        <f>SUMIFS('[2]BESS 11'!L:L,'[2]BESS 11'!$B:$B,$J56)</f>
        <v>1</v>
      </c>
      <c r="L56" s="36">
        <f>SUMIFS('[2]BESS 11'!M:M,'[2]BESS 11'!$B:$B,$J56)</f>
        <v>1</v>
      </c>
      <c r="M56" s="36">
        <f t="shared" si="7"/>
        <v>0</v>
      </c>
      <c r="N56" s="297" t="s">
        <v>122</v>
      </c>
      <c r="O56" s="68" t="s">
        <v>89</v>
      </c>
      <c r="P56" s="357" t="s">
        <v>20</v>
      </c>
      <c r="Q56" s="96">
        <v>1</v>
      </c>
      <c r="R56" s="93">
        <v>54</v>
      </c>
      <c r="S56" s="94">
        <f t="shared" si="8"/>
        <v>0</v>
      </c>
      <c r="T56" s="582"/>
      <c r="X56"/>
    </row>
    <row r="57" spans="2:26">
      <c r="B57" s="473"/>
      <c r="C57" s="476"/>
      <c r="D57" s="637"/>
      <c r="E57" s="445"/>
      <c r="F57" s="456"/>
      <c r="G57" s="456"/>
      <c r="H57" s="456"/>
      <c r="I57" s="336">
        <v>3.7000000000000006</v>
      </c>
      <c r="J57" s="358" t="s">
        <v>46</v>
      </c>
      <c r="K57" s="36">
        <f>SUMIFS('[2]BESS 11'!L:L,'[2]BESS 11'!$B:$B,$J57)</f>
        <v>2</v>
      </c>
      <c r="L57" s="36">
        <f>SUMIFS('[2]BESS 11'!M:M,'[2]BESS 11'!$B:$B,$J57)</f>
        <v>2</v>
      </c>
      <c r="M57" s="36">
        <f t="shared" si="7"/>
        <v>0</v>
      </c>
      <c r="N57" s="297" t="s">
        <v>122</v>
      </c>
      <c r="O57" s="68" t="s">
        <v>89</v>
      </c>
      <c r="P57" s="357" t="s">
        <v>20</v>
      </c>
      <c r="Q57" s="96">
        <v>1</v>
      </c>
      <c r="R57" s="93">
        <v>5</v>
      </c>
      <c r="S57" s="94">
        <f t="shared" si="8"/>
        <v>0</v>
      </c>
      <c r="T57" s="582"/>
      <c r="X57"/>
    </row>
    <row r="58" spans="2:26">
      <c r="B58" s="473"/>
      <c r="C58" s="476"/>
      <c r="D58" s="637"/>
      <c r="E58" s="445"/>
      <c r="F58" s="456"/>
      <c r="G58" s="456"/>
      <c r="H58" s="456"/>
      <c r="I58" s="336">
        <v>3.8000000000000007</v>
      </c>
      <c r="J58" s="358" t="s">
        <v>44</v>
      </c>
      <c r="K58" s="36">
        <f>SUMIFS('[2]BESS 11'!L:L,'[2]BESS 11'!$B:$B,$J58)</f>
        <v>1</v>
      </c>
      <c r="L58" s="36">
        <f>SUMIFS('[2]BESS 11'!M:M,'[2]BESS 11'!$B:$B,$J58)</f>
        <v>1</v>
      </c>
      <c r="M58" s="36">
        <f t="shared" si="7"/>
        <v>0</v>
      </c>
      <c r="N58" s="297" t="s">
        <v>122</v>
      </c>
      <c r="O58" s="68" t="s">
        <v>89</v>
      </c>
      <c r="P58" s="357" t="s">
        <v>45</v>
      </c>
      <c r="Q58" s="96">
        <v>3</v>
      </c>
      <c r="R58" s="93">
        <v>5</v>
      </c>
      <c r="S58" s="94">
        <f t="shared" si="8"/>
        <v>0</v>
      </c>
      <c r="T58" s="582"/>
      <c r="X58"/>
    </row>
    <row r="59" spans="2:26">
      <c r="B59" s="473"/>
      <c r="C59" s="476"/>
      <c r="D59" s="637"/>
      <c r="E59" s="445"/>
      <c r="F59" s="456"/>
      <c r="G59" s="456"/>
      <c r="H59" s="456"/>
      <c r="I59" s="336">
        <v>3.9000000000000008</v>
      </c>
      <c r="J59" s="358" t="s">
        <v>40</v>
      </c>
      <c r="K59" s="36">
        <f>SUMIFS('[2]BESS 11'!L:L,'[2]BESS 11'!$B:$B,$J59)</f>
        <v>6</v>
      </c>
      <c r="L59" s="36">
        <f>SUMIFS('[2]BESS 11'!M:M,'[2]BESS 11'!$B:$B,$J59)</f>
        <v>6</v>
      </c>
      <c r="M59" s="36">
        <f t="shared" si="7"/>
        <v>0</v>
      </c>
      <c r="N59" s="297" t="s">
        <v>122</v>
      </c>
      <c r="O59" s="68" t="s">
        <v>89</v>
      </c>
      <c r="P59" s="357" t="s">
        <v>20</v>
      </c>
      <c r="Q59" s="96">
        <v>1</v>
      </c>
      <c r="R59" s="93">
        <v>5</v>
      </c>
      <c r="S59" s="94">
        <f t="shared" si="8"/>
        <v>0</v>
      </c>
      <c r="T59" s="582"/>
      <c r="X59"/>
    </row>
    <row r="60" spans="2:26">
      <c r="B60" s="473"/>
      <c r="C60" s="476"/>
      <c r="D60" s="637"/>
      <c r="E60" s="445"/>
      <c r="F60" s="456"/>
      <c r="G60" s="456"/>
      <c r="H60" s="456"/>
      <c r="I60" s="334">
        <v>3.1</v>
      </c>
      <c r="J60" s="358" t="s">
        <v>30</v>
      </c>
      <c r="K60" s="36">
        <f>SUMIFS('[2]BESS 11'!L:L,'[2]BESS 11'!$B:$B,$J60)</f>
        <v>6</v>
      </c>
      <c r="L60" s="36">
        <f>SUMIFS('[2]BESS 11'!M:M,'[2]BESS 11'!$B:$B,$J60)</f>
        <v>6</v>
      </c>
      <c r="M60" s="36">
        <f t="shared" si="7"/>
        <v>0</v>
      </c>
      <c r="N60" s="297" t="s">
        <v>122</v>
      </c>
      <c r="O60" s="68" t="s">
        <v>89</v>
      </c>
      <c r="P60" s="357" t="s">
        <v>31</v>
      </c>
      <c r="Q60" s="96">
        <v>1</v>
      </c>
      <c r="R60" s="93">
        <v>27</v>
      </c>
      <c r="S60" s="94">
        <f t="shared" si="8"/>
        <v>0</v>
      </c>
      <c r="T60" s="307"/>
      <c r="X60"/>
    </row>
    <row r="61" spans="2:26">
      <c r="B61" s="473"/>
      <c r="C61" s="476"/>
      <c r="D61" s="637"/>
      <c r="E61" s="445"/>
      <c r="F61" s="456"/>
      <c r="G61" s="456"/>
      <c r="H61" s="456"/>
      <c r="I61" s="336">
        <v>3.11</v>
      </c>
      <c r="J61" s="358" t="s">
        <v>34</v>
      </c>
      <c r="K61" s="36">
        <f>SUMIFS('[2]BESS 11'!L:L,'[2]BESS 11'!$B:$B,$J61)</f>
        <v>1</v>
      </c>
      <c r="L61" s="36">
        <f>SUMIFS('[2]BESS 11'!M:M,'[2]BESS 11'!$B:$B,$J61)</f>
        <v>1</v>
      </c>
      <c r="M61" s="36">
        <f t="shared" si="7"/>
        <v>0</v>
      </c>
      <c r="N61" s="297" t="s">
        <v>122</v>
      </c>
      <c r="O61" s="68" t="s">
        <v>89</v>
      </c>
      <c r="P61" s="357" t="s">
        <v>31</v>
      </c>
      <c r="Q61" s="96">
        <v>1</v>
      </c>
      <c r="R61" s="93">
        <v>25</v>
      </c>
      <c r="S61" s="94">
        <f t="shared" si="8"/>
        <v>0</v>
      </c>
      <c r="T61" s="307"/>
      <c r="X61"/>
    </row>
    <row r="62" spans="2:26" ht="25.5">
      <c r="B62" s="473"/>
      <c r="C62" s="476"/>
      <c r="D62" s="637"/>
      <c r="E62" s="445"/>
      <c r="F62" s="456"/>
      <c r="G62" s="456"/>
      <c r="H62" s="456"/>
      <c r="I62" s="92">
        <v>3.1199999999999997</v>
      </c>
      <c r="J62" s="138" t="s">
        <v>37</v>
      </c>
      <c r="K62" s="35">
        <f>SUMIFS('[2]BESS 11'!L:L,'[2]BESS 11'!$B:$B,$J62)</f>
        <v>1</v>
      </c>
      <c r="L62" s="36">
        <f>SUMIFS('[2]BESS 11'!M:M,'[2]BESS 11'!$B:$B,$J62)</f>
        <v>1</v>
      </c>
      <c r="M62" s="139">
        <f t="shared" si="7"/>
        <v>0</v>
      </c>
      <c r="N62" s="385" t="s">
        <v>293</v>
      </c>
      <c r="O62" s="68">
        <v>46214</v>
      </c>
      <c r="P62" s="140" t="s">
        <v>123</v>
      </c>
      <c r="Q62" s="96" t="s">
        <v>89</v>
      </c>
      <c r="R62" s="93" t="s">
        <v>89</v>
      </c>
      <c r="S62" s="94" t="s">
        <v>89</v>
      </c>
      <c r="T62" s="309" t="s">
        <v>238</v>
      </c>
      <c r="X62"/>
    </row>
    <row r="63" spans="2:26">
      <c r="B63" s="473"/>
      <c r="C63" s="476"/>
      <c r="D63" s="637"/>
      <c r="E63" s="445"/>
      <c r="F63" s="456"/>
      <c r="G63" s="456"/>
      <c r="H63" s="456"/>
      <c r="I63" s="92"/>
      <c r="J63" s="50"/>
      <c r="K63" s="51"/>
      <c r="L63" s="52" t="s">
        <v>124</v>
      </c>
      <c r="M63" s="51"/>
      <c r="N63" s="51"/>
      <c r="O63" s="68"/>
      <c r="P63" s="351"/>
      <c r="Q63" s="96"/>
      <c r="R63" s="93"/>
      <c r="S63" s="94"/>
      <c r="T63" s="307"/>
      <c r="X63"/>
    </row>
    <row r="64" spans="2:26">
      <c r="B64" s="473"/>
      <c r="C64" s="476"/>
      <c r="D64" s="637"/>
      <c r="E64" s="445"/>
      <c r="F64" s="456"/>
      <c r="G64" s="456"/>
      <c r="H64" s="456"/>
      <c r="I64" s="334">
        <v>3.1299999999999994</v>
      </c>
      <c r="J64" s="358" t="s">
        <v>24</v>
      </c>
      <c r="K64" s="36">
        <f>SUMIFS('[2]BESS 11'!L:L,'[2]BESS 11'!$B:$B,$J64)</f>
        <v>6</v>
      </c>
      <c r="L64" s="36">
        <f>SUMIFS('[2]BESS 11'!M:M,'[2]BESS 11'!$B:$B,$J64)</f>
        <v>6</v>
      </c>
      <c r="M64" s="36">
        <f t="shared" ref="M64:M95" si="9">K64-L64</f>
        <v>0</v>
      </c>
      <c r="N64" s="297" t="s">
        <v>122</v>
      </c>
      <c r="O64" s="68" t="s">
        <v>89</v>
      </c>
      <c r="P64" s="357" t="s">
        <v>25</v>
      </c>
      <c r="Q64" s="96">
        <v>2</v>
      </c>
      <c r="R64" s="93">
        <v>4</v>
      </c>
      <c r="S64" s="94">
        <f>(M64*R64)/Q64</f>
        <v>0</v>
      </c>
      <c r="T64" s="307"/>
      <c r="X64"/>
    </row>
    <row r="65" spans="2:26">
      <c r="B65" s="473"/>
      <c r="C65" s="476"/>
      <c r="D65" s="637"/>
      <c r="E65" s="445"/>
      <c r="F65" s="456"/>
      <c r="G65" s="456"/>
      <c r="H65" s="456"/>
      <c r="I65" s="334">
        <v>3.1399999999999992</v>
      </c>
      <c r="J65" s="358" t="s">
        <v>27</v>
      </c>
      <c r="K65" s="36">
        <f>SUMIFS('[2]BESS 11'!L:L,'[2]BESS 11'!$B:$B,$J65)</f>
        <v>48</v>
      </c>
      <c r="L65" s="36">
        <f>SUMIFS('[2]BESS 11'!M:M,'[2]BESS 11'!$B:$B,$J65)</f>
        <v>48</v>
      </c>
      <c r="M65" s="36">
        <f t="shared" si="9"/>
        <v>0</v>
      </c>
      <c r="N65" s="297" t="s">
        <v>122</v>
      </c>
      <c r="O65" s="68" t="s">
        <v>89</v>
      </c>
      <c r="P65" s="357" t="s">
        <v>25</v>
      </c>
      <c r="Q65" s="96">
        <v>10</v>
      </c>
      <c r="R65" s="93">
        <v>4</v>
      </c>
      <c r="S65" s="94">
        <f>(M65*R65)/Q65</f>
        <v>0</v>
      </c>
      <c r="T65" s="307"/>
      <c r="X65"/>
    </row>
    <row r="66" spans="2:26">
      <c r="B66" s="473"/>
      <c r="C66" s="476"/>
      <c r="D66" s="637"/>
      <c r="E66" s="445"/>
      <c r="F66" s="456"/>
      <c r="G66" s="456"/>
      <c r="H66" s="456"/>
      <c r="I66" s="336">
        <v>3.149999999999999</v>
      </c>
      <c r="J66" s="358" t="s">
        <v>28</v>
      </c>
      <c r="K66" s="36">
        <f>SUMIFS('[2]BESS 11'!L:L,'[2]BESS 11'!$B:$B,$J66)</f>
        <v>6</v>
      </c>
      <c r="L66" s="36">
        <f>SUMIFS('[2]BESS 11'!M:M,'[2]BESS 11'!$B:$B,$J66)</f>
        <v>6</v>
      </c>
      <c r="M66" s="36">
        <f t="shared" si="9"/>
        <v>0</v>
      </c>
      <c r="N66" s="297" t="s">
        <v>122</v>
      </c>
      <c r="O66" s="68" t="s">
        <v>89</v>
      </c>
      <c r="P66" s="357" t="s">
        <v>25</v>
      </c>
      <c r="Q66" s="96">
        <v>5</v>
      </c>
      <c r="R66" s="93">
        <v>4</v>
      </c>
      <c r="S66" s="94">
        <f>(M66*R66)/Q66</f>
        <v>0</v>
      </c>
      <c r="T66" s="307"/>
      <c r="X66"/>
    </row>
    <row r="67" spans="2:26" ht="25.5">
      <c r="B67" s="473"/>
      <c r="C67" s="476"/>
      <c r="D67" s="637"/>
      <c r="E67" s="445"/>
      <c r="F67" s="456"/>
      <c r="G67" s="456"/>
      <c r="H67" s="456"/>
      <c r="I67" s="92">
        <v>3.1599999999999988</v>
      </c>
      <c r="J67" s="138" t="s">
        <v>29</v>
      </c>
      <c r="K67" s="35">
        <f>SUMIFS('[2]BESS 11'!L:L,'[2]BESS 11'!$B:$B,$J67)</f>
        <v>6</v>
      </c>
      <c r="L67" s="36">
        <f>SUMIFS('[2]BESS 11'!M:M,'[2]BESS 11'!$B:$B,$J67)</f>
        <v>6</v>
      </c>
      <c r="M67" s="139">
        <f t="shared" si="9"/>
        <v>0</v>
      </c>
      <c r="N67" s="385" t="s">
        <v>256</v>
      </c>
      <c r="O67" s="68">
        <f ca="1">IFERROR(DATEVALUE(TRIM(_xlfn.TEXTAFTER(N67,",",-1))&amp;"-"&amp;YEAR(TODAY())),N67)</f>
        <v>46220</v>
      </c>
      <c r="P67" s="140" t="s">
        <v>25</v>
      </c>
      <c r="Q67" s="96">
        <v>20</v>
      </c>
      <c r="R67" s="527">
        <v>4</v>
      </c>
      <c r="S67" s="530">
        <v>4</v>
      </c>
      <c r="T67" s="322" t="s">
        <v>170</v>
      </c>
      <c r="X67"/>
      <c r="Z67" s="60"/>
    </row>
    <row r="68" spans="2:26">
      <c r="B68" s="473"/>
      <c r="C68" s="476"/>
      <c r="D68" s="637"/>
      <c r="E68" s="445"/>
      <c r="F68" s="456"/>
      <c r="G68" s="456"/>
      <c r="H68" s="456"/>
      <c r="I68" s="334">
        <v>3.1699999999999986</v>
      </c>
      <c r="J68" s="358" t="s">
        <v>33</v>
      </c>
      <c r="K68" s="36">
        <f>SUMIFS('[2]BESS 11'!L:L,'[2]BESS 11'!$B:$B,$J68)</f>
        <v>2</v>
      </c>
      <c r="L68" s="36">
        <f>SUMIFS('[2]BESS 11'!M:M,'[2]BESS 11'!$B:$B,$J68)</f>
        <v>2</v>
      </c>
      <c r="M68" s="36">
        <f t="shared" si="9"/>
        <v>0</v>
      </c>
      <c r="N68" s="297" t="s">
        <v>122</v>
      </c>
      <c r="O68" s="68" t="s">
        <v>89</v>
      </c>
      <c r="P68" s="357" t="s">
        <v>25</v>
      </c>
      <c r="Q68" s="96">
        <v>10</v>
      </c>
      <c r="R68" s="528"/>
      <c r="S68" s="531"/>
      <c r="T68" s="313"/>
      <c r="X68"/>
      <c r="Z68" s="60"/>
    </row>
    <row r="69" spans="2:26" ht="25.5">
      <c r="B69" s="473"/>
      <c r="C69" s="476"/>
      <c r="D69" s="637"/>
      <c r="E69" s="445"/>
      <c r="F69" s="456"/>
      <c r="G69" s="456"/>
      <c r="H69" s="456"/>
      <c r="I69" s="92">
        <v>3.1799999999999984</v>
      </c>
      <c r="J69" s="138" t="s">
        <v>36</v>
      </c>
      <c r="K69" s="35">
        <f>SUMIFS('[2]BESS 11'!L:L,'[2]BESS 11'!$B:$B,$J69)</f>
        <v>1</v>
      </c>
      <c r="L69" s="36">
        <f>SUMIFS('[2]BESS 11'!M:M,'[2]BESS 11'!$B:$B,$J69)</f>
        <v>0</v>
      </c>
      <c r="M69" s="139">
        <f t="shared" si="9"/>
        <v>1</v>
      </c>
      <c r="N69" s="385" t="s">
        <v>257</v>
      </c>
      <c r="O69" s="68">
        <v>46214</v>
      </c>
      <c r="P69" s="140" t="s">
        <v>25</v>
      </c>
      <c r="Q69" s="96">
        <v>10</v>
      </c>
      <c r="R69" s="528"/>
      <c r="S69" s="531"/>
      <c r="T69" s="313"/>
      <c r="X69"/>
      <c r="Z69" s="60"/>
    </row>
    <row r="70" spans="2:26">
      <c r="B70" s="638" t="s">
        <v>403</v>
      </c>
      <c r="C70" s="639"/>
      <c r="D70" s="639"/>
      <c r="E70" s="639"/>
      <c r="F70" s="639"/>
      <c r="G70" s="639"/>
      <c r="H70" s="639"/>
      <c r="I70" s="388">
        <v>3.1899999999999982</v>
      </c>
      <c r="J70" s="358" t="s">
        <v>39</v>
      </c>
      <c r="K70" s="36">
        <f>SUMIFS('[2]BESS 11'!L:L,'[2]BESS 11'!$B:$B,$J70)</f>
        <v>1</v>
      </c>
      <c r="L70" s="36">
        <f>SUMIFS('[2]BESS 11'!M:M,'[2]BESS 11'!$B:$B,$J70)</f>
        <v>1</v>
      </c>
      <c r="M70" s="36">
        <f t="shared" si="9"/>
        <v>0</v>
      </c>
      <c r="N70" s="297" t="s">
        <v>122</v>
      </c>
      <c r="O70" s="68" t="s">
        <v>89</v>
      </c>
      <c r="P70" s="357" t="s">
        <v>25</v>
      </c>
      <c r="Q70" s="96">
        <v>10</v>
      </c>
      <c r="R70" s="528"/>
      <c r="S70" s="531"/>
      <c r="T70" s="307"/>
      <c r="X70"/>
    </row>
    <row r="71" spans="2:26">
      <c r="B71" s="638"/>
      <c r="C71" s="639"/>
      <c r="D71" s="639"/>
      <c r="E71" s="639"/>
      <c r="F71" s="639"/>
      <c r="G71" s="639"/>
      <c r="H71" s="639"/>
      <c r="I71" s="383">
        <v>3.199999999999998</v>
      </c>
      <c r="J71" s="358" t="s">
        <v>41</v>
      </c>
      <c r="K71" s="36">
        <f>SUMIFS('[2]BESS 11'!L:L,'[2]BESS 11'!$B:$B,$J71)</f>
        <v>6</v>
      </c>
      <c r="L71" s="36">
        <f>SUMIFS('[2]BESS 11'!M:M,'[2]BESS 11'!$B:$B,$J71)</f>
        <v>6</v>
      </c>
      <c r="M71" s="36">
        <f t="shared" si="9"/>
        <v>0</v>
      </c>
      <c r="N71" s="297" t="s">
        <v>122</v>
      </c>
      <c r="O71" s="68" t="s">
        <v>89</v>
      </c>
      <c r="P71" s="357" t="s">
        <v>125</v>
      </c>
      <c r="Q71" s="96">
        <v>20</v>
      </c>
      <c r="R71" s="529"/>
      <c r="S71" s="532"/>
      <c r="T71" s="304"/>
      <c r="X71"/>
    </row>
    <row r="72" spans="2:26">
      <c r="B72" s="638"/>
      <c r="C72" s="639"/>
      <c r="D72" s="639"/>
      <c r="E72" s="639"/>
      <c r="F72" s="639"/>
      <c r="G72" s="639"/>
      <c r="H72" s="639"/>
      <c r="I72" s="384">
        <v>3.2099999999999977</v>
      </c>
      <c r="J72" s="138" t="s">
        <v>43</v>
      </c>
      <c r="K72" s="35">
        <f>SUMIFS('[2]BESS 11'!L:L,'[2]BESS 11'!$B:$B,$J72)</f>
        <v>6</v>
      </c>
      <c r="L72" s="36">
        <f>SUMIFS('[2]BESS 11'!M:M,'[2]BESS 11'!$B:$B,$J72)</f>
        <v>6</v>
      </c>
      <c r="M72" s="139">
        <f t="shared" si="9"/>
        <v>0</v>
      </c>
      <c r="N72" s="68" t="s">
        <v>232</v>
      </c>
      <c r="O72" s="68">
        <f ca="1">IFERROR(DATEVALUE(TRIM(_xlfn.TEXTAFTER(N72,",",-1))&amp;"-"&amp;YEAR(TODAY())),N72)</f>
        <v>46221</v>
      </c>
      <c r="P72" s="140" t="s">
        <v>125</v>
      </c>
      <c r="Q72" s="96">
        <v>0.66666666666666663</v>
      </c>
      <c r="R72" s="93">
        <v>0</v>
      </c>
      <c r="S72" s="94">
        <f t="shared" ref="S72:S84" si="10">(M72*R72)/Q72</f>
        <v>0</v>
      </c>
      <c r="T72" s="304"/>
      <c r="X72"/>
    </row>
    <row r="73" spans="2:26" ht="25.5">
      <c r="B73" s="638"/>
      <c r="C73" s="639"/>
      <c r="D73" s="639"/>
      <c r="E73" s="639"/>
      <c r="F73" s="639"/>
      <c r="G73" s="639"/>
      <c r="H73" s="639"/>
      <c r="I73" s="384">
        <v>3.2199999999999975</v>
      </c>
      <c r="J73" s="138" t="s">
        <v>21</v>
      </c>
      <c r="K73" s="35">
        <f>SUMIFS('[2]BESS 11'!L:L,'[2]BESS 11'!$B:$B,$J73)</f>
        <v>48</v>
      </c>
      <c r="L73" s="36">
        <f>SUMIFS('[2]BESS 11'!M:M,'[2]BESS 11'!$B:$B,$J73)</f>
        <v>48</v>
      </c>
      <c r="M73" s="139">
        <f t="shared" si="9"/>
        <v>0</v>
      </c>
      <c r="N73" s="91" t="s">
        <v>303</v>
      </c>
      <c r="O73" s="68" t="str">
        <f ca="1">IFERROR(DATEVALUE(TRIM(_xlfn.TEXTAFTER(N73,",",-1))&amp;"-"&amp;YEAR(TODAY())),N73)</f>
        <v>09 Jul, 13 Jul,
19 Jul</v>
      </c>
      <c r="P73" s="140" t="s">
        <v>22</v>
      </c>
      <c r="Q73" s="96">
        <v>10</v>
      </c>
      <c r="R73" s="93">
        <v>4</v>
      </c>
      <c r="S73" s="94">
        <f t="shared" si="10"/>
        <v>0</v>
      </c>
      <c r="T73" s="304" t="s">
        <v>188</v>
      </c>
      <c r="X73"/>
      <c r="Z73" s="60"/>
    </row>
    <row r="74" spans="2:26">
      <c r="B74" s="638"/>
      <c r="C74" s="639"/>
      <c r="D74" s="639"/>
      <c r="E74" s="639"/>
      <c r="F74" s="639"/>
      <c r="G74" s="639"/>
      <c r="H74" s="639"/>
      <c r="I74" s="383">
        <v>3.2299999999999973</v>
      </c>
      <c r="J74" s="358" t="s">
        <v>47</v>
      </c>
      <c r="K74" s="36">
        <f>SUMIFS('[2]BESS 11'!L:L,'[2]BESS 11'!$B:$B,$J74)</f>
        <v>7650</v>
      </c>
      <c r="L74" s="36">
        <f>SUMIFS('[2]BESS 11'!M:M,'[2]BESS 11'!$B:$B,$J74)</f>
        <v>7650</v>
      </c>
      <c r="M74" s="36">
        <f t="shared" si="9"/>
        <v>0</v>
      </c>
      <c r="N74" s="297" t="s">
        <v>122</v>
      </c>
      <c r="O74" s="68" t="s">
        <v>89</v>
      </c>
      <c r="P74" s="357" t="s">
        <v>25</v>
      </c>
      <c r="Q74" s="96">
        <v>1500</v>
      </c>
      <c r="R74" s="93">
        <v>48</v>
      </c>
      <c r="S74" s="94">
        <f t="shared" si="10"/>
        <v>0</v>
      </c>
      <c r="T74" s="304"/>
      <c r="X74"/>
    </row>
    <row r="75" spans="2:26" ht="27">
      <c r="B75" s="638"/>
      <c r="C75" s="639"/>
      <c r="D75" s="639"/>
      <c r="E75" s="639"/>
      <c r="F75" s="639"/>
      <c r="G75" s="639"/>
      <c r="H75" s="639"/>
      <c r="I75" s="384">
        <f t="shared" ref="I75:I95" si="11">I74+0.01</f>
        <v>3.2399999999999971</v>
      </c>
      <c r="J75" s="138" t="s">
        <v>48</v>
      </c>
      <c r="K75" s="35">
        <f>SUMIFS('[2]BESS 11'!L:L,'[2]BESS 11'!$B:$B,$J75)</f>
        <v>28</v>
      </c>
      <c r="L75" s="36">
        <f>SUMIFS('[2]BESS 11'!M:M,'[2]BESS 11'!$B:$B,$J75)</f>
        <v>28</v>
      </c>
      <c r="M75" s="139">
        <f t="shared" si="9"/>
        <v>0</v>
      </c>
      <c r="N75" s="385" t="s">
        <v>262</v>
      </c>
      <c r="O75" s="68" t="str">
        <f ca="1">IFERROR(DATEVALUE(TRIM(_xlfn.TEXTAFTER(N75,",",-1))&amp;"-"&amp;YEAR(TODAY())),N75)</f>
        <v>11 Jul, 12 Jul,
22 Jul</v>
      </c>
      <c r="P75" s="140" t="s">
        <v>25</v>
      </c>
      <c r="Q75" s="96">
        <v>8</v>
      </c>
      <c r="R75" s="93">
        <v>6</v>
      </c>
      <c r="S75" s="94">
        <f t="shared" si="10"/>
        <v>0</v>
      </c>
      <c r="T75" s="304" t="s">
        <v>401</v>
      </c>
      <c r="X75"/>
      <c r="Z75" s="60"/>
    </row>
    <row r="76" spans="2:26">
      <c r="B76" s="638"/>
      <c r="C76" s="639"/>
      <c r="D76" s="639"/>
      <c r="E76" s="639"/>
      <c r="F76" s="639"/>
      <c r="G76" s="639"/>
      <c r="H76" s="639"/>
      <c r="I76" s="383">
        <f t="shared" si="11"/>
        <v>3.2499999999999969</v>
      </c>
      <c r="J76" s="358" t="s">
        <v>126</v>
      </c>
      <c r="K76" s="36">
        <f>SUMIFS('[2]BESS 11'!L:L,'[2]BESS 11'!$B:$B,$J76)</f>
        <v>13780</v>
      </c>
      <c r="L76" s="36">
        <f>SUMIFS('[2]BESS 11'!M:M,'[2]BESS 11'!$B:$B,$J76)</f>
        <v>13780</v>
      </c>
      <c r="M76" s="36">
        <f t="shared" si="9"/>
        <v>0</v>
      </c>
      <c r="N76" s="297" t="s">
        <v>122</v>
      </c>
      <c r="O76" s="68" t="s">
        <v>89</v>
      </c>
      <c r="P76" s="357" t="s">
        <v>25</v>
      </c>
      <c r="Q76" s="96">
        <v>600</v>
      </c>
      <c r="R76" s="93">
        <v>10</v>
      </c>
      <c r="S76" s="94">
        <f t="shared" si="10"/>
        <v>0</v>
      </c>
      <c r="T76" s="304"/>
      <c r="X76"/>
    </row>
    <row r="77" spans="2:26">
      <c r="B77" s="638"/>
      <c r="C77" s="639"/>
      <c r="D77" s="639"/>
      <c r="E77" s="639"/>
      <c r="F77" s="639"/>
      <c r="G77" s="639"/>
      <c r="H77" s="639"/>
      <c r="I77" s="383">
        <f t="shared" si="11"/>
        <v>3.2599999999999967</v>
      </c>
      <c r="J77" s="358" t="s">
        <v>127</v>
      </c>
      <c r="K77" s="36">
        <f>SUMIFS('[2]BESS 11'!L:L,'[2]BESS 11'!$B:$B,$J77)</f>
        <v>45596</v>
      </c>
      <c r="L77" s="36">
        <f>SUMIFS('[2]BESS 11'!M:M,'[2]BESS 11'!$B:$B,$J77)</f>
        <v>45596</v>
      </c>
      <c r="M77" s="36">
        <f t="shared" si="9"/>
        <v>0</v>
      </c>
      <c r="N77" s="297" t="s">
        <v>122</v>
      </c>
      <c r="O77" s="68" t="s">
        <v>89</v>
      </c>
      <c r="P77" s="357" t="s">
        <v>25</v>
      </c>
      <c r="Q77" s="96">
        <v>600</v>
      </c>
      <c r="R77" s="93">
        <v>10</v>
      </c>
      <c r="S77" s="94">
        <f t="shared" si="10"/>
        <v>0</v>
      </c>
      <c r="T77" s="304"/>
      <c r="X77"/>
    </row>
    <row r="78" spans="2:26" ht="25.5">
      <c r="B78" s="638"/>
      <c r="C78" s="639"/>
      <c r="D78" s="639"/>
      <c r="E78" s="639"/>
      <c r="F78" s="639"/>
      <c r="G78" s="639"/>
      <c r="H78" s="639"/>
      <c r="I78" s="384">
        <f t="shared" si="11"/>
        <v>3.2699999999999965</v>
      </c>
      <c r="J78" s="138" t="s">
        <v>128</v>
      </c>
      <c r="K78" s="35">
        <f>SUMIFS('[2]BESS 11'!L:L,'[2]BESS 11'!$B:$B,$J78)</f>
        <v>1536</v>
      </c>
      <c r="L78" s="36">
        <f>SUMIFS('[2]BESS 11'!M:M,'[2]BESS 11'!$B:$B,$J78)</f>
        <v>1536</v>
      </c>
      <c r="M78" s="139">
        <f t="shared" si="9"/>
        <v>0</v>
      </c>
      <c r="N78" s="91" t="s">
        <v>258</v>
      </c>
      <c r="O78" s="68" t="str">
        <f t="shared" ref="O78:O85" ca="1" si="12">IFERROR(DATEVALUE(TRIM(_xlfn.TEXTAFTER(N78,",",-1))&amp;"-"&amp;YEAR(TODAY())),N78)</f>
        <v>15 Jul, 18 Jul,
25 Jul</v>
      </c>
      <c r="P78" s="140" t="s">
        <v>25</v>
      </c>
      <c r="Q78" s="96">
        <v>30</v>
      </c>
      <c r="R78" s="93">
        <v>18</v>
      </c>
      <c r="S78" s="94">
        <f t="shared" si="10"/>
        <v>0</v>
      </c>
      <c r="T78" s="304"/>
      <c r="X78"/>
      <c r="Z78" s="60"/>
    </row>
    <row r="79" spans="2:26" ht="25.5">
      <c r="B79" s="638"/>
      <c r="C79" s="639"/>
      <c r="D79" s="639"/>
      <c r="E79" s="639"/>
      <c r="F79" s="639"/>
      <c r="G79" s="639"/>
      <c r="H79" s="639"/>
      <c r="I79" s="384">
        <f t="shared" si="11"/>
        <v>3.2799999999999963</v>
      </c>
      <c r="J79" s="138" t="s">
        <v>129</v>
      </c>
      <c r="K79" s="35">
        <f>SUMIFS('[2]BESS 11'!L:L,'[2]BESS 11'!$B:$B,$J79)</f>
        <v>2304</v>
      </c>
      <c r="L79" s="36">
        <f>SUMIFS('[2]BESS 11'!M:M,'[2]BESS 11'!$B:$B,$J79)</f>
        <v>2304</v>
      </c>
      <c r="M79" s="139">
        <f t="shared" si="9"/>
        <v>0</v>
      </c>
      <c r="N79" s="91" t="s">
        <v>258</v>
      </c>
      <c r="O79" s="68" t="str">
        <f t="shared" ca="1" si="12"/>
        <v>15 Jul, 18 Jul,
25 Jul</v>
      </c>
      <c r="P79" s="140" t="s">
        <v>25</v>
      </c>
      <c r="Q79" s="96">
        <v>30</v>
      </c>
      <c r="R79" s="93">
        <v>18</v>
      </c>
      <c r="S79" s="94">
        <f t="shared" si="10"/>
        <v>0</v>
      </c>
      <c r="T79" s="304" t="s">
        <v>237</v>
      </c>
      <c r="X79"/>
      <c r="Z79" s="60"/>
    </row>
    <row r="80" spans="2:26" ht="25.5">
      <c r="B80" s="638"/>
      <c r="C80" s="639"/>
      <c r="D80" s="639"/>
      <c r="E80" s="639"/>
      <c r="F80" s="639"/>
      <c r="G80" s="639"/>
      <c r="H80" s="639"/>
      <c r="I80" s="384">
        <f t="shared" si="11"/>
        <v>3.289999999999996</v>
      </c>
      <c r="J80" s="138" t="s">
        <v>130</v>
      </c>
      <c r="K80" s="35">
        <f>SUMIFS('[2]BESS 11'!L:L,'[2]BESS 11'!$B:$B,$J80)</f>
        <v>8355</v>
      </c>
      <c r="L80" s="36">
        <f>SUMIFS('[2]BESS 11'!M:M,'[2]BESS 11'!$B:$B,$J80)</f>
        <v>6186</v>
      </c>
      <c r="M80" s="139">
        <f t="shared" si="9"/>
        <v>2169</v>
      </c>
      <c r="N80" s="91" t="s">
        <v>259</v>
      </c>
      <c r="O80" s="68" t="str">
        <f t="shared" ca="1" si="12"/>
        <v>05 Jul, 10 Jul,
20 Jul</v>
      </c>
      <c r="P80" s="140" t="s">
        <v>25</v>
      </c>
      <c r="Q80" s="96">
        <v>1000</v>
      </c>
      <c r="R80" s="93">
        <v>10</v>
      </c>
      <c r="S80" s="94">
        <f t="shared" si="10"/>
        <v>21.69</v>
      </c>
      <c r="T80" s="304"/>
      <c r="X80"/>
      <c r="Z80" s="60"/>
    </row>
    <row r="81" spans="2:26" ht="25.5">
      <c r="B81" s="638"/>
      <c r="C81" s="639"/>
      <c r="D81" s="639"/>
      <c r="E81" s="639"/>
      <c r="F81" s="639"/>
      <c r="G81" s="639"/>
      <c r="H81" s="639"/>
      <c r="I81" s="384">
        <f t="shared" si="11"/>
        <v>3.2999999999999958</v>
      </c>
      <c r="J81" s="138" t="s">
        <v>131</v>
      </c>
      <c r="K81" s="35">
        <f>SUMIFS('[2]BESS 11'!L:L,'[2]BESS 11'!$B:$B,$J81)</f>
        <v>13076</v>
      </c>
      <c r="L81" s="36">
        <f>SUMIFS('[2]BESS 11'!M:M,'[2]BESS 11'!$B:$B,$J81)</f>
        <v>9308</v>
      </c>
      <c r="M81" s="139">
        <f t="shared" si="9"/>
        <v>3768</v>
      </c>
      <c r="N81" s="91" t="s">
        <v>260</v>
      </c>
      <c r="O81" s="68" t="str">
        <f t="shared" ca="1" si="12"/>
        <v>05 Jul, 11 Jul,
22 Jul</v>
      </c>
      <c r="P81" s="140" t="s">
        <v>25</v>
      </c>
      <c r="Q81" s="96">
        <v>1000</v>
      </c>
      <c r="R81" s="93">
        <v>10</v>
      </c>
      <c r="S81" s="94">
        <f t="shared" si="10"/>
        <v>37.68</v>
      </c>
      <c r="T81" s="304"/>
      <c r="X81"/>
      <c r="Z81" s="60"/>
    </row>
    <row r="82" spans="2:26" ht="25.5">
      <c r="B82" s="638"/>
      <c r="C82" s="639"/>
      <c r="D82" s="639"/>
      <c r="E82" s="639"/>
      <c r="F82" s="639"/>
      <c r="G82" s="639"/>
      <c r="H82" s="639"/>
      <c r="I82" s="384">
        <f t="shared" si="11"/>
        <v>3.3099999999999956</v>
      </c>
      <c r="J82" s="138" t="s">
        <v>132</v>
      </c>
      <c r="K82" s="35">
        <f>SUMIFS('[2]BESS 11'!L:L,'[2]BESS 11'!$B:$B,$J82)</f>
        <v>4792</v>
      </c>
      <c r="L82" s="36">
        <f>SUMIFS('[2]BESS 11'!M:M,'[2]BESS 11'!$B:$B,$J82)</f>
        <v>0</v>
      </c>
      <c r="M82" s="139">
        <f t="shared" si="9"/>
        <v>4792</v>
      </c>
      <c r="N82" s="91" t="s">
        <v>261</v>
      </c>
      <c r="O82" s="68" t="str">
        <f t="shared" ca="1" si="12"/>
        <v>05 Jul, 12 Jul,
22 Jul</v>
      </c>
      <c r="P82" s="140" t="s">
        <v>25</v>
      </c>
      <c r="Q82" s="96">
        <v>500</v>
      </c>
      <c r="R82" s="93">
        <v>10</v>
      </c>
      <c r="S82" s="94">
        <f t="shared" si="10"/>
        <v>95.84</v>
      </c>
      <c r="T82" s="304"/>
      <c r="X82"/>
      <c r="Z82" s="60"/>
    </row>
    <row r="83" spans="2:26">
      <c r="B83" s="638"/>
      <c r="C83" s="639"/>
      <c r="D83" s="639"/>
      <c r="E83" s="639"/>
      <c r="F83" s="639"/>
      <c r="G83" s="639"/>
      <c r="H83" s="639"/>
      <c r="I83" s="384">
        <f t="shared" si="11"/>
        <v>3.3199999999999954</v>
      </c>
      <c r="J83" s="138" t="s">
        <v>133</v>
      </c>
      <c r="K83" s="35">
        <f>SUMIFS('[2]BESS 11'!L:L,'[2]BESS 11'!$B:$B,$J83)</f>
        <v>286</v>
      </c>
      <c r="L83" s="36">
        <f>SUMIFS('[2]BESS 11'!M:M,'[2]BESS 11'!$B:$B,$J83)</f>
        <v>0</v>
      </c>
      <c r="M83" s="139">
        <f t="shared" si="9"/>
        <v>286</v>
      </c>
      <c r="N83" s="68" t="s">
        <v>235</v>
      </c>
      <c r="O83" s="68">
        <f t="shared" ca="1" si="12"/>
        <v>46228</v>
      </c>
      <c r="P83" s="140" t="s">
        <v>25</v>
      </c>
      <c r="Q83" s="96">
        <v>30</v>
      </c>
      <c r="R83" s="93">
        <v>6</v>
      </c>
      <c r="S83" s="94">
        <f t="shared" si="10"/>
        <v>57.2</v>
      </c>
      <c r="T83" s="304"/>
      <c r="X83"/>
      <c r="Z83" s="60"/>
    </row>
    <row r="84" spans="2:26">
      <c r="B84" s="638"/>
      <c r="C84" s="639"/>
      <c r="D84" s="639"/>
      <c r="E84" s="639"/>
      <c r="F84" s="639"/>
      <c r="G84" s="639"/>
      <c r="H84" s="639"/>
      <c r="I84" s="384">
        <f t="shared" si="11"/>
        <v>3.3299999999999952</v>
      </c>
      <c r="J84" s="138" t="s">
        <v>134</v>
      </c>
      <c r="K84" s="35">
        <f>SUMIFS('[2]BESS 11'!L:L,'[2]BESS 11'!$B:$B,$J84)</f>
        <v>524</v>
      </c>
      <c r="L84" s="36">
        <f>SUMIFS('[2]BESS 11'!M:M,'[2]BESS 11'!$B:$B,$J84)</f>
        <v>0</v>
      </c>
      <c r="M84" s="139">
        <f t="shared" si="9"/>
        <v>524</v>
      </c>
      <c r="N84" s="68" t="s">
        <v>235</v>
      </c>
      <c r="O84" s="68">
        <f t="shared" ca="1" si="12"/>
        <v>46228</v>
      </c>
      <c r="P84" s="140" t="s">
        <v>135</v>
      </c>
      <c r="Q84" s="96">
        <v>30</v>
      </c>
      <c r="R84" s="93">
        <v>4</v>
      </c>
      <c r="S84" s="94">
        <f t="shared" si="10"/>
        <v>69.86666666666666</v>
      </c>
      <c r="T84" s="583"/>
      <c r="X84"/>
      <c r="Z84" s="60"/>
    </row>
    <row r="85" spans="2:26" ht="25.5">
      <c r="B85" s="638"/>
      <c r="C85" s="639"/>
      <c r="D85" s="639"/>
      <c r="E85" s="639"/>
      <c r="F85" s="639"/>
      <c r="G85" s="639"/>
      <c r="H85" s="639"/>
      <c r="I85" s="384">
        <f t="shared" si="11"/>
        <v>3.339999999999995</v>
      </c>
      <c r="J85" s="138" t="s">
        <v>136</v>
      </c>
      <c r="K85" s="35">
        <f>SUMIFS('[2]BESS 11'!L:L,'[2]BESS 11'!$B:$B,$J85)</f>
        <v>384</v>
      </c>
      <c r="L85" s="36">
        <f>SUMIFS('[2]BESS 11'!M:M,'[2]BESS 11'!$B:$B,$J85)</f>
        <v>0</v>
      </c>
      <c r="M85" s="139">
        <f t="shared" si="9"/>
        <v>384</v>
      </c>
      <c r="N85" s="68" t="s">
        <v>235</v>
      </c>
      <c r="O85" s="68">
        <f t="shared" ca="1" si="12"/>
        <v>46228</v>
      </c>
      <c r="P85" s="140" t="s">
        <v>135</v>
      </c>
      <c r="Q85" s="96" t="s">
        <v>89</v>
      </c>
      <c r="R85" s="93" t="s">
        <v>89</v>
      </c>
      <c r="S85" s="94" t="s">
        <v>89</v>
      </c>
      <c r="T85" s="583"/>
      <c r="U85">
        <f ca="1">O85-$T$1</f>
        <v>-5</v>
      </c>
      <c r="V85" s="97">
        <f>SUM(S64:S95)</f>
        <v>507.94333333333338</v>
      </c>
      <c r="X85"/>
      <c r="Z85" s="60"/>
    </row>
    <row r="86" spans="2:26">
      <c r="B86" s="638"/>
      <c r="C86" s="639"/>
      <c r="D86" s="639"/>
      <c r="E86" s="639"/>
      <c r="F86" s="639"/>
      <c r="G86" s="639"/>
      <c r="H86" s="639"/>
      <c r="I86" s="383">
        <f t="shared" si="11"/>
        <v>3.3499999999999948</v>
      </c>
      <c r="J86" s="358" t="s">
        <v>137</v>
      </c>
      <c r="K86" s="36">
        <f>SUMIFS('[2]BESS 11'!L:L,'[2]BESS 11'!$B:$B,$J86)</f>
        <v>6</v>
      </c>
      <c r="L86" s="36">
        <f>SUMIFS('[2]BESS 11'!M:M,'[2]BESS 11'!$B:$B,$J86)</f>
        <v>6</v>
      </c>
      <c r="M86" s="36">
        <f t="shared" si="9"/>
        <v>0</v>
      </c>
      <c r="N86" s="297" t="s">
        <v>122</v>
      </c>
      <c r="O86" s="68" t="s">
        <v>89</v>
      </c>
      <c r="P86" s="357" t="s">
        <v>138</v>
      </c>
      <c r="Q86" s="533">
        <v>2</v>
      </c>
      <c r="R86" s="527">
        <v>8</v>
      </c>
      <c r="S86" s="94" t="s">
        <v>89</v>
      </c>
      <c r="T86" s="304"/>
      <c r="X86"/>
    </row>
    <row r="87" spans="2:26">
      <c r="B87" s="638"/>
      <c r="C87" s="639"/>
      <c r="D87" s="639"/>
      <c r="E87" s="639"/>
      <c r="F87" s="639"/>
      <c r="G87" s="639"/>
      <c r="H87" s="639"/>
      <c r="I87" s="383">
        <f t="shared" si="11"/>
        <v>3.3599999999999945</v>
      </c>
      <c r="J87" s="358" t="s">
        <v>139</v>
      </c>
      <c r="K87" s="36">
        <f>SUMIFS('[2]BESS 11'!L:L,'[2]BESS 11'!$B:$B,$J87)</f>
        <v>6</v>
      </c>
      <c r="L87" s="36">
        <f>SUMIFS('[2]BESS 11'!M:M,'[2]BESS 11'!$B:$B,$J87)</f>
        <v>6</v>
      </c>
      <c r="M87" s="36">
        <f t="shared" si="9"/>
        <v>0</v>
      </c>
      <c r="N87" s="297" t="s">
        <v>122</v>
      </c>
      <c r="O87" s="297" t="s">
        <v>89</v>
      </c>
      <c r="P87" s="357" t="s">
        <v>25</v>
      </c>
      <c r="Q87" s="534"/>
      <c r="R87" s="529"/>
      <c r="S87" s="94">
        <v>12</v>
      </c>
      <c r="T87" s="304"/>
      <c r="X87"/>
    </row>
    <row r="88" spans="2:26" ht="25.5">
      <c r="B88" s="638"/>
      <c r="C88" s="639"/>
      <c r="D88" s="639"/>
      <c r="E88" s="639"/>
      <c r="F88" s="639"/>
      <c r="G88" s="639"/>
      <c r="H88" s="639"/>
      <c r="I88" s="384">
        <f t="shared" si="11"/>
        <v>3.3699999999999943</v>
      </c>
      <c r="J88" s="138" t="s">
        <v>140</v>
      </c>
      <c r="K88" s="35">
        <f>SUMIFS('[2]BESS 11'!L:L,'[2]BESS 11'!$B:$B,$J88)</f>
        <v>6</v>
      </c>
      <c r="L88" s="36">
        <f>SUMIFS('[2]BESS 11'!M:M,'[2]BESS 11'!$B:$B,$J88)</f>
        <v>0</v>
      </c>
      <c r="M88" s="139">
        <f t="shared" si="9"/>
        <v>6</v>
      </c>
      <c r="N88" s="68" t="s">
        <v>354</v>
      </c>
      <c r="O88" s="68">
        <f t="shared" ref="O88:O95" ca="1" si="13">IFERROR(DATEVALUE(TRIM(_xlfn.TEXTAFTER(N88,",",-1))&amp;"-"&amp;YEAR(TODAY())),N88)</f>
        <v>46231</v>
      </c>
      <c r="P88" s="140" t="s">
        <v>25</v>
      </c>
      <c r="Q88" s="96">
        <v>2</v>
      </c>
      <c r="R88" s="93">
        <v>4</v>
      </c>
      <c r="S88" s="94">
        <f t="shared" ref="S88:S95" si="14">(M88*R88)/Q88</f>
        <v>12</v>
      </c>
      <c r="T88" s="317"/>
      <c r="U88">
        <f ca="1">O88-$T$1</f>
        <v>-2</v>
      </c>
      <c r="V88" s="97">
        <f>SUM(S64:S95)</f>
        <v>507.94333333333338</v>
      </c>
      <c r="X88"/>
    </row>
    <row r="89" spans="2:26" ht="25.5">
      <c r="B89" s="638"/>
      <c r="C89" s="639"/>
      <c r="D89" s="639"/>
      <c r="E89" s="639"/>
      <c r="F89" s="639"/>
      <c r="G89" s="639"/>
      <c r="H89" s="639"/>
      <c r="I89" s="384">
        <f t="shared" si="11"/>
        <v>3.3799999999999941</v>
      </c>
      <c r="J89" s="138" t="s">
        <v>141</v>
      </c>
      <c r="K89" s="35">
        <f>SUMIFS('[2]BESS 11'!L:L,'[2]BESS 11'!$B:$B,$J89)</f>
        <v>12</v>
      </c>
      <c r="L89" s="36">
        <f>SUMIFS('[2]BESS 11'!M:M,'[2]BESS 11'!$B:$B,$J89)</f>
        <v>0</v>
      </c>
      <c r="M89" s="139">
        <f t="shared" si="9"/>
        <v>12</v>
      </c>
      <c r="N89" s="68" t="s">
        <v>267</v>
      </c>
      <c r="O89" s="68">
        <f t="shared" ca="1" si="13"/>
        <v>46222</v>
      </c>
      <c r="P89" s="140" t="s">
        <v>25</v>
      </c>
      <c r="Q89" s="96">
        <v>0.5</v>
      </c>
      <c r="R89" s="93">
        <v>4</v>
      </c>
      <c r="S89" s="94">
        <f t="shared" si="14"/>
        <v>96</v>
      </c>
      <c r="T89" s="317" t="s">
        <v>266</v>
      </c>
      <c r="X89"/>
    </row>
    <row r="90" spans="2:26">
      <c r="B90" s="638"/>
      <c r="C90" s="639"/>
      <c r="D90" s="639"/>
      <c r="E90" s="639"/>
      <c r="F90" s="639"/>
      <c r="G90" s="639"/>
      <c r="H90" s="639"/>
      <c r="I90" s="384">
        <f t="shared" si="11"/>
        <v>3.3899999999999939</v>
      </c>
      <c r="J90" s="138" t="s">
        <v>142</v>
      </c>
      <c r="K90" s="35">
        <f>SUMIFS('[2]BESS 11'!L:L,'[2]BESS 11'!$B:$B,$J90)</f>
        <v>16</v>
      </c>
      <c r="L90" s="36">
        <f>SUMIFS('[2]BESS 11'!M:M,'[2]BESS 11'!$B:$B,$J90)</f>
        <v>0</v>
      </c>
      <c r="M90" s="139">
        <f t="shared" si="9"/>
        <v>16</v>
      </c>
      <c r="N90" s="68" t="s">
        <v>355</v>
      </c>
      <c r="O90" s="68">
        <f t="shared" ca="1" si="13"/>
        <v>46230</v>
      </c>
      <c r="P90" s="140" t="s">
        <v>25</v>
      </c>
      <c r="Q90" s="96">
        <v>6</v>
      </c>
      <c r="R90" s="93">
        <v>4</v>
      </c>
      <c r="S90" s="94">
        <f t="shared" si="14"/>
        <v>10.666666666666666</v>
      </c>
      <c r="T90" s="304"/>
      <c r="X90"/>
    </row>
    <row r="91" spans="2:26">
      <c r="B91" s="638"/>
      <c r="C91" s="639"/>
      <c r="D91" s="639"/>
      <c r="E91" s="639"/>
      <c r="F91" s="639"/>
      <c r="G91" s="639"/>
      <c r="H91" s="639"/>
      <c r="I91" s="384">
        <f t="shared" si="11"/>
        <v>3.3999999999999937</v>
      </c>
      <c r="J91" s="138" t="s">
        <v>143</v>
      </c>
      <c r="K91" s="35">
        <f>SUMIFS('[2]BESS 11'!L:L,'[2]BESS 11'!$B:$B,$J91)</f>
        <v>14</v>
      </c>
      <c r="L91" s="36">
        <f>SUMIFS('[2]BESS 11'!M:M,'[2]BESS 11'!$B:$B,$J91)</f>
        <v>14</v>
      </c>
      <c r="M91" s="139">
        <f t="shared" si="9"/>
        <v>0</v>
      </c>
      <c r="N91" s="68" t="s">
        <v>231</v>
      </c>
      <c r="O91" s="68">
        <f t="shared" ca="1" si="13"/>
        <v>46221</v>
      </c>
      <c r="P91" s="140" t="s">
        <v>25</v>
      </c>
      <c r="Q91" s="96">
        <v>6</v>
      </c>
      <c r="R91" s="93">
        <v>5</v>
      </c>
      <c r="S91" s="94">
        <f t="shared" si="14"/>
        <v>0</v>
      </c>
      <c r="T91" s="304"/>
      <c r="X91"/>
    </row>
    <row r="92" spans="2:26">
      <c r="B92" s="640" t="s">
        <v>399</v>
      </c>
      <c r="C92" s="641"/>
      <c r="D92" s="641"/>
      <c r="E92" s="641"/>
      <c r="F92" s="641"/>
      <c r="G92" s="641"/>
      <c r="H92" s="642"/>
      <c r="I92" s="384">
        <f t="shared" si="11"/>
        <v>3.4099999999999935</v>
      </c>
      <c r="J92" s="138" t="s">
        <v>144</v>
      </c>
      <c r="K92" s="35">
        <f>SUMIFS('[2]BESS 11'!L:L,'[2]BESS 11'!$B:$B,$J92)</f>
        <v>1</v>
      </c>
      <c r="L92" s="36">
        <f>SUMIFS('[2]BESS 11'!M:M,'[2]BESS 11'!$B:$B,$J92)</f>
        <v>0</v>
      </c>
      <c r="M92" s="139">
        <f t="shared" si="9"/>
        <v>1</v>
      </c>
      <c r="N92" s="68" t="s">
        <v>268</v>
      </c>
      <c r="O92" s="68">
        <f t="shared" ca="1" si="13"/>
        <v>46223</v>
      </c>
      <c r="P92" s="140" t="s">
        <v>25</v>
      </c>
      <c r="Q92" s="96">
        <v>1</v>
      </c>
      <c r="R92" s="93">
        <v>5</v>
      </c>
      <c r="S92" s="94">
        <f t="shared" si="14"/>
        <v>5</v>
      </c>
      <c r="T92" s="317" t="s">
        <v>185</v>
      </c>
      <c r="X92"/>
    </row>
    <row r="93" spans="2:26">
      <c r="B93" s="643"/>
      <c r="C93" s="644"/>
      <c r="D93" s="644"/>
      <c r="E93" s="644"/>
      <c r="F93" s="644"/>
      <c r="G93" s="644"/>
      <c r="H93" s="645"/>
      <c r="I93" s="384">
        <f t="shared" si="11"/>
        <v>3.4199999999999933</v>
      </c>
      <c r="J93" s="138" t="s">
        <v>145</v>
      </c>
      <c r="K93" s="35">
        <f>SUMIFS('[2]BESS 11'!L:L,'[2]BESS 11'!$B:$B,$J93)</f>
        <v>6</v>
      </c>
      <c r="L93" s="36">
        <f>SUMIFS('[2]BESS 11'!M:M,'[2]BESS 11'!$B:$B,$J93)</f>
        <v>6</v>
      </c>
      <c r="M93" s="139">
        <f t="shared" si="9"/>
        <v>0</v>
      </c>
      <c r="N93" s="68" t="s">
        <v>269</v>
      </c>
      <c r="O93" s="68">
        <f t="shared" ca="1" si="13"/>
        <v>46224</v>
      </c>
      <c r="P93" s="140" t="s">
        <v>25</v>
      </c>
      <c r="Q93" s="96">
        <v>3</v>
      </c>
      <c r="R93" s="93">
        <v>5</v>
      </c>
      <c r="S93" s="94">
        <f t="shared" si="14"/>
        <v>0</v>
      </c>
      <c r="T93" s="317" t="s">
        <v>184</v>
      </c>
      <c r="X93"/>
    </row>
    <row r="94" spans="2:26">
      <c r="B94" s="643"/>
      <c r="C94" s="644"/>
      <c r="D94" s="644"/>
      <c r="E94" s="644"/>
      <c r="F94" s="644"/>
      <c r="G94" s="644"/>
      <c r="H94" s="645"/>
      <c r="I94" s="384">
        <f t="shared" si="11"/>
        <v>3.4299999999999931</v>
      </c>
      <c r="J94" s="138" t="s">
        <v>54</v>
      </c>
      <c r="K94" s="35">
        <f>SUMIFS('[2]BESS 11'!L:L,'[2]BESS 11'!$B:$B,$J94)</f>
        <v>4284</v>
      </c>
      <c r="L94" s="36">
        <f>SUMIFS('[2]BESS 11'!M:M,'[2]BESS 11'!$B:$B,$J94)</f>
        <v>2434</v>
      </c>
      <c r="M94" s="139">
        <f t="shared" si="9"/>
        <v>1850</v>
      </c>
      <c r="N94" s="68" t="s">
        <v>304</v>
      </c>
      <c r="O94" s="68">
        <f t="shared" ca="1" si="13"/>
        <v>46222</v>
      </c>
      <c r="P94" s="140" t="s">
        <v>25</v>
      </c>
      <c r="Q94" s="96">
        <v>150</v>
      </c>
      <c r="R94" s="93">
        <v>6</v>
      </c>
      <c r="S94" s="94">
        <f t="shared" si="14"/>
        <v>74</v>
      </c>
      <c r="T94" s="307"/>
      <c r="X94"/>
      <c r="Z94" s="60"/>
    </row>
    <row r="95" spans="2:26" ht="14.25" thickBot="1">
      <c r="B95" s="646"/>
      <c r="C95" s="647"/>
      <c r="D95" s="647"/>
      <c r="E95" s="647"/>
      <c r="F95" s="647"/>
      <c r="G95" s="647"/>
      <c r="H95" s="648"/>
      <c r="I95" s="389">
        <f t="shared" si="11"/>
        <v>3.4399999999999928</v>
      </c>
      <c r="J95" s="296" t="s">
        <v>55</v>
      </c>
      <c r="K95" s="37">
        <f>SUMIFS('[2]BESS 11'!L:L,'[2]BESS 11'!$B:$B,$J95)</f>
        <v>10</v>
      </c>
      <c r="L95" s="38">
        <f>SUMIFS('[2]BESS 11'!M:M,'[2]BESS 11'!$B:$B,$J95)</f>
        <v>0</v>
      </c>
      <c r="M95" s="294">
        <f t="shared" si="9"/>
        <v>10</v>
      </c>
      <c r="N95" s="295" t="s">
        <v>235</v>
      </c>
      <c r="O95" s="295">
        <f t="shared" ca="1" si="13"/>
        <v>46228</v>
      </c>
      <c r="P95" s="378" t="s">
        <v>25</v>
      </c>
      <c r="Q95" s="265">
        <v>5</v>
      </c>
      <c r="R95" s="266">
        <v>6</v>
      </c>
      <c r="S95" s="267">
        <f t="shared" si="14"/>
        <v>12</v>
      </c>
      <c r="T95" s="329"/>
      <c r="X95"/>
      <c r="Z95" s="60"/>
    </row>
    <row r="96" spans="2:26">
      <c r="B96" s="472" t="s">
        <v>17</v>
      </c>
      <c r="C96" s="475">
        <v>2</v>
      </c>
      <c r="D96" s="586" t="s">
        <v>409</v>
      </c>
      <c r="E96" s="524" t="s">
        <v>120</v>
      </c>
      <c r="F96" s="586">
        <v>46240</v>
      </c>
      <c r="G96" s="586">
        <v>46245</v>
      </c>
      <c r="H96" s="478">
        <v>46248</v>
      </c>
      <c r="I96" s="363"/>
      <c r="J96" s="364"/>
      <c r="K96" s="365"/>
      <c r="L96" s="366" t="s">
        <v>121</v>
      </c>
      <c r="M96" s="364"/>
      <c r="N96" s="365"/>
      <c r="O96" s="367"/>
      <c r="P96" s="320"/>
      <c r="Q96" s="268"/>
      <c r="R96" s="269"/>
      <c r="S96" s="270"/>
      <c r="T96" s="368"/>
      <c r="X96"/>
    </row>
    <row r="97" spans="2:24" ht="25.5">
      <c r="B97" s="473"/>
      <c r="C97" s="476"/>
      <c r="D97" s="587"/>
      <c r="E97" s="445"/>
      <c r="F97" s="456"/>
      <c r="G97" s="456"/>
      <c r="H97" s="456"/>
      <c r="I97" s="336">
        <v>2.1</v>
      </c>
      <c r="J97" s="358" t="s">
        <v>19</v>
      </c>
      <c r="K97" s="36">
        <f>SUMIFS('[2]BESS 11'!H:H,'[2]BESS 11'!$B:$B,$J97)</f>
        <v>48</v>
      </c>
      <c r="L97" s="36">
        <f>SUMIFS('[2]BESS 11'!I:I,'[2]BESS 11'!$B:$B,$J97)</f>
        <v>48</v>
      </c>
      <c r="M97" s="36">
        <f t="shared" ref="M97:M108" si="15">K97-L97</f>
        <v>0</v>
      </c>
      <c r="N97" s="297" t="s">
        <v>122</v>
      </c>
      <c r="O97" s="68" t="s">
        <v>89</v>
      </c>
      <c r="P97" s="357" t="s">
        <v>20</v>
      </c>
      <c r="Q97" s="96">
        <v>1</v>
      </c>
      <c r="R97" s="93">
        <v>2</v>
      </c>
      <c r="S97" s="94">
        <f t="shared" ref="S97:S107" si="16">(M97*R97)/Q97</f>
        <v>0</v>
      </c>
      <c r="T97" s="307"/>
      <c r="X97"/>
    </row>
    <row r="98" spans="2:24">
      <c r="B98" s="473"/>
      <c r="C98" s="476"/>
      <c r="D98" s="587"/>
      <c r="E98" s="445"/>
      <c r="F98" s="456"/>
      <c r="G98" s="456"/>
      <c r="H98" s="456"/>
      <c r="I98" s="336">
        <v>2.2000000000000002</v>
      </c>
      <c r="J98" s="358" t="s">
        <v>23</v>
      </c>
      <c r="K98" s="36">
        <f>SUMIFS('[2]BESS 11'!H:H,'[2]BESS 11'!$B:$B,$J98)</f>
        <v>6</v>
      </c>
      <c r="L98" s="36">
        <f>SUMIFS('[2]BESS 11'!I:I,'[2]BESS 11'!$B:$B,$J98)</f>
        <v>6</v>
      </c>
      <c r="M98" s="36">
        <f t="shared" si="15"/>
        <v>0</v>
      </c>
      <c r="N98" s="297" t="s">
        <v>122</v>
      </c>
      <c r="O98" s="68" t="s">
        <v>89</v>
      </c>
      <c r="P98" s="357" t="s">
        <v>20</v>
      </c>
      <c r="Q98" s="96">
        <v>1</v>
      </c>
      <c r="R98" s="93">
        <v>16</v>
      </c>
      <c r="S98" s="94">
        <f t="shared" si="16"/>
        <v>0</v>
      </c>
      <c r="T98" s="307"/>
      <c r="X98"/>
    </row>
    <row r="99" spans="2:24">
      <c r="B99" s="473"/>
      <c r="C99" s="476"/>
      <c r="D99" s="587"/>
      <c r="E99" s="445"/>
      <c r="F99" s="456"/>
      <c r="G99" s="456"/>
      <c r="H99" s="456"/>
      <c r="I99" s="336">
        <v>2.3000000000000003</v>
      </c>
      <c r="J99" s="358" t="s">
        <v>26</v>
      </c>
      <c r="K99" s="36">
        <f>SUMIFS('[2]BESS 11'!H:H,'[2]BESS 11'!$B:$B,$J99)</f>
        <v>6</v>
      </c>
      <c r="L99" s="36">
        <f>SUMIFS('[2]BESS 11'!I:I,'[2]BESS 11'!$B:$B,$J99)</f>
        <v>6</v>
      </c>
      <c r="M99" s="36">
        <f t="shared" si="15"/>
        <v>0</v>
      </c>
      <c r="N99" s="297" t="s">
        <v>122</v>
      </c>
      <c r="O99" s="68" t="s">
        <v>89</v>
      </c>
      <c r="P99" s="357" t="s">
        <v>20</v>
      </c>
      <c r="Q99" s="96">
        <v>1</v>
      </c>
      <c r="R99" s="93">
        <v>39</v>
      </c>
      <c r="S99" s="94">
        <f t="shared" si="16"/>
        <v>0</v>
      </c>
      <c r="T99" s="307"/>
      <c r="X99"/>
    </row>
    <row r="100" spans="2:24">
      <c r="B100" s="473"/>
      <c r="C100" s="476"/>
      <c r="D100" s="587"/>
      <c r="E100" s="445"/>
      <c r="F100" s="456"/>
      <c r="G100" s="456"/>
      <c r="H100" s="456"/>
      <c r="I100" s="336">
        <v>2.4000000000000004</v>
      </c>
      <c r="J100" s="358" t="s">
        <v>32</v>
      </c>
      <c r="K100" s="36">
        <f>SUMIFS('[2]BESS 11'!H:H,'[2]BESS 11'!$B:$B,$J100)</f>
        <v>1</v>
      </c>
      <c r="L100" s="36">
        <f>SUMIFS('[2]BESS 11'!I:I,'[2]BESS 11'!$B:$B,$J100)</f>
        <v>1</v>
      </c>
      <c r="M100" s="36">
        <f t="shared" si="15"/>
        <v>0</v>
      </c>
      <c r="N100" s="297" t="s">
        <v>122</v>
      </c>
      <c r="O100" s="68" t="s">
        <v>89</v>
      </c>
      <c r="P100" s="357" t="s">
        <v>20</v>
      </c>
      <c r="Q100" s="96">
        <v>1</v>
      </c>
      <c r="R100" s="93">
        <v>37</v>
      </c>
      <c r="S100" s="94">
        <f t="shared" si="16"/>
        <v>0</v>
      </c>
      <c r="T100" s="307"/>
      <c r="X100"/>
    </row>
    <row r="101" spans="2:24">
      <c r="B101" s="473"/>
      <c r="C101" s="476"/>
      <c r="D101" s="587"/>
      <c r="E101" s="445"/>
      <c r="F101" s="456"/>
      <c r="G101" s="456"/>
      <c r="H101" s="456"/>
      <c r="I101" s="336">
        <v>2.5000000000000004</v>
      </c>
      <c r="J101" s="358" t="s">
        <v>35</v>
      </c>
      <c r="K101" s="36">
        <f>SUMIFS('[2]BESS 11'!H:H,'[2]BESS 11'!$B:$B,$J101)</f>
        <v>1</v>
      </c>
      <c r="L101" s="36">
        <f>SUMIFS('[2]BESS 11'!I:I,'[2]BESS 11'!$B:$B,$J101)</f>
        <v>1</v>
      </c>
      <c r="M101" s="36">
        <f t="shared" si="15"/>
        <v>0</v>
      </c>
      <c r="N101" s="297" t="s">
        <v>122</v>
      </c>
      <c r="O101" s="68" t="s">
        <v>89</v>
      </c>
      <c r="P101" s="357" t="s">
        <v>20</v>
      </c>
      <c r="Q101" s="96">
        <v>1</v>
      </c>
      <c r="R101" s="93">
        <v>34</v>
      </c>
      <c r="S101" s="94">
        <f t="shared" si="16"/>
        <v>0</v>
      </c>
      <c r="T101" s="307"/>
      <c r="X101"/>
    </row>
    <row r="102" spans="2:24">
      <c r="B102" s="473"/>
      <c r="C102" s="476"/>
      <c r="D102" s="587"/>
      <c r="E102" s="445"/>
      <c r="F102" s="456"/>
      <c r="G102" s="456"/>
      <c r="H102" s="456"/>
      <c r="I102" s="336">
        <v>2.6000000000000005</v>
      </c>
      <c r="J102" s="358" t="s">
        <v>38</v>
      </c>
      <c r="K102" s="36">
        <f>SUMIFS('[2]BESS 11'!H:H,'[2]BESS 11'!$B:$B,$J102)</f>
        <v>1</v>
      </c>
      <c r="L102" s="36">
        <f>SUMIFS('[2]BESS 11'!I:I,'[2]BESS 11'!$B:$B,$J102)</f>
        <v>1</v>
      </c>
      <c r="M102" s="36">
        <f t="shared" si="15"/>
        <v>0</v>
      </c>
      <c r="N102" s="297" t="s">
        <v>122</v>
      </c>
      <c r="O102" s="68" t="s">
        <v>89</v>
      </c>
      <c r="P102" s="357" t="s">
        <v>20</v>
      </c>
      <c r="Q102" s="96">
        <v>1</v>
      </c>
      <c r="R102" s="93">
        <v>54</v>
      </c>
      <c r="S102" s="94">
        <f t="shared" si="16"/>
        <v>0</v>
      </c>
      <c r="T102" s="261"/>
      <c r="X102"/>
    </row>
    <row r="103" spans="2:24">
      <c r="B103" s="473"/>
      <c r="C103" s="476"/>
      <c r="D103" s="587"/>
      <c r="E103" s="445"/>
      <c r="F103" s="456"/>
      <c r="G103" s="456"/>
      <c r="H103" s="456"/>
      <c r="I103" s="336">
        <v>2.7000000000000006</v>
      </c>
      <c r="J103" s="358" t="s">
        <v>46</v>
      </c>
      <c r="K103" s="36">
        <f>SUMIFS('[2]BESS 11'!H:H,'[2]BESS 11'!$B:$B,$J103)</f>
        <v>1</v>
      </c>
      <c r="L103" s="36">
        <f>SUMIFS('[2]BESS 11'!I:I,'[2]BESS 11'!$B:$B,$J103)</f>
        <v>1</v>
      </c>
      <c r="M103" s="36">
        <f t="shared" si="15"/>
        <v>0</v>
      </c>
      <c r="N103" s="297" t="s">
        <v>122</v>
      </c>
      <c r="O103" s="68" t="s">
        <v>89</v>
      </c>
      <c r="P103" s="357" t="s">
        <v>20</v>
      </c>
      <c r="Q103" s="96">
        <v>1</v>
      </c>
      <c r="R103" s="93">
        <v>5</v>
      </c>
      <c r="S103" s="94">
        <f t="shared" si="16"/>
        <v>0</v>
      </c>
      <c r="T103" s="261"/>
      <c r="X103"/>
    </row>
    <row r="104" spans="2:24">
      <c r="B104" s="473"/>
      <c r="C104" s="476"/>
      <c r="D104" s="587"/>
      <c r="E104" s="445"/>
      <c r="F104" s="456"/>
      <c r="G104" s="456"/>
      <c r="H104" s="456"/>
      <c r="I104" s="336">
        <v>2.8000000000000007</v>
      </c>
      <c r="J104" s="358" t="s">
        <v>44</v>
      </c>
      <c r="K104" s="36">
        <f>SUMIFS('[2]BESS 11'!H:H,'[2]BESS 11'!$B:$B,$J104)</f>
        <v>2</v>
      </c>
      <c r="L104" s="36">
        <f>SUMIFS('[2]BESS 11'!I:I,'[2]BESS 11'!$B:$B,$J104)</f>
        <v>2</v>
      </c>
      <c r="M104" s="36">
        <f t="shared" si="15"/>
        <v>0</v>
      </c>
      <c r="N104" s="297" t="s">
        <v>122</v>
      </c>
      <c r="O104" s="68" t="s">
        <v>89</v>
      </c>
      <c r="P104" s="357" t="s">
        <v>45</v>
      </c>
      <c r="Q104" s="96">
        <v>3</v>
      </c>
      <c r="R104" s="93">
        <v>5</v>
      </c>
      <c r="S104" s="94">
        <f t="shared" si="16"/>
        <v>0</v>
      </c>
      <c r="T104" s="261"/>
      <c r="X104"/>
    </row>
    <row r="105" spans="2:24" ht="27">
      <c r="B105" s="473"/>
      <c r="C105" s="476"/>
      <c r="D105" s="587"/>
      <c r="E105" s="445"/>
      <c r="F105" s="456"/>
      <c r="G105" s="456"/>
      <c r="H105" s="456"/>
      <c r="I105" s="390">
        <v>2.9000000000000008</v>
      </c>
      <c r="J105" s="138" t="s">
        <v>40</v>
      </c>
      <c r="K105" s="35">
        <f>SUMIFS('[2]BESS 11'!H:H,'[2]BESS 11'!$B:$B,$J105)</f>
        <v>6</v>
      </c>
      <c r="L105" s="36">
        <f>SUMIFS('[2]BESS 11'!I:I,'[2]BESS 11'!$B:$B,$J105)</f>
        <v>5</v>
      </c>
      <c r="M105" s="139">
        <f t="shared" si="15"/>
        <v>1</v>
      </c>
      <c r="N105" s="385" t="s">
        <v>285</v>
      </c>
      <c r="O105" s="68">
        <f ca="1">IFERROR(DATEVALUE(TRIM(_xlfn.TEXTAFTER(N105,",",-1))&amp;"-"&amp;YEAR(TODAY())),N105)</f>
        <v>46223</v>
      </c>
      <c r="P105" s="140" t="s">
        <v>20</v>
      </c>
      <c r="Q105" s="96">
        <v>1</v>
      </c>
      <c r="R105" s="93">
        <v>5</v>
      </c>
      <c r="S105" s="94">
        <f t="shared" si="16"/>
        <v>5</v>
      </c>
      <c r="T105" s="261" t="s">
        <v>169</v>
      </c>
      <c r="X105"/>
    </row>
    <row r="106" spans="2:24">
      <c r="B106" s="473"/>
      <c r="C106" s="476"/>
      <c r="D106" s="587"/>
      <c r="E106" s="445"/>
      <c r="F106" s="456"/>
      <c r="G106" s="456"/>
      <c r="H106" s="456"/>
      <c r="I106" s="334">
        <v>2.1</v>
      </c>
      <c r="J106" s="358" t="s">
        <v>30</v>
      </c>
      <c r="K106" s="36">
        <f>SUMIFS('[2]BESS 11'!H:H,'[2]BESS 11'!$B:$B,$J106)</f>
        <v>6</v>
      </c>
      <c r="L106" s="36">
        <f>SUMIFS('[2]BESS 11'!I:I,'[2]BESS 11'!$B:$B,$J106)</f>
        <v>6</v>
      </c>
      <c r="M106" s="36">
        <f t="shared" si="15"/>
        <v>0</v>
      </c>
      <c r="N106" s="297" t="s">
        <v>122</v>
      </c>
      <c r="O106" s="68" t="s">
        <v>89</v>
      </c>
      <c r="P106" s="357" t="s">
        <v>31</v>
      </c>
      <c r="Q106" s="96">
        <v>1</v>
      </c>
      <c r="R106" s="93">
        <v>27</v>
      </c>
      <c r="S106" s="94">
        <f t="shared" si="16"/>
        <v>0</v>
      </c>
      <c r="T106" s="261"/>
      <c r="X106"/>
    </row>
    <row r="107" spans="2:24">
      <c r="B107" s="473"/>
      <c r="C107" s="476"/>
      <c r="D107" s="587"/>
      <c r="E107" s="445"/>
      <c r="F107" s="456"/>
      <c r="G107" s="456"/>
      <c r="H107" s="456"/>
      <c r="I107" s="336">
        <v>2.11</v>
      </c>
      <c r="J107" s="358" t="s">
        <v>34</v>
      </c>
      <c r="K107" s="36">
        <f>SUMIFS('[2]BESS 11'!H:H,'[2]BESS 11'!$B:$B,$J107)</f>
        <v>1</v>
      </c>
      <c r="L107" s="36">
        <f>SUMIFS('[2]BESS 11'!I:I,'[2]BESS 11'!$B:$B,$J107)</f>
        <v>1</v>
      </c>
      <c r="M107" s="36">
        <f t="shared" si="15"/>
        <v>0</v>
      </c>
      <c r="N107" s="297" t="s">
        <v>122</v>
      </c>
      <c r="O107" s="68" t="s">
        <v>89</v>
      </c>
      <c r="P107" s="357" t="s">
        <v>31</v>
      </c>
      <c r="Q107" s="96">
        <v>1</v>
      </c>
      <c r="R107" s="93">
        <v>25</v>
      </c>
      <c r="S107" s="94">
        <f t="shared" si="16"/>
        <v>0</v>
      </c>
      <c r="T107" s="261"/>
      <c r="X107"/>
    </row>
    <row r="108" spans="2:24" ht="25.5">
      <c r="B108" s="473"/>
      <c r="C108" s="476"/>
      <c r="D108" s="587"/>
      <c r="E108" s="445"/>
      <c r="F108" s="456"/>
      <c r="G108" s="456"/>
      <c r="H108" s="456"/>
      <c r="I108" s="92">
        <v>2.1199999999999997</v>
      </c>
      <c r="J108" s="138" t="s">
        <v>37</v>
      </c>
      <c r="K108" s="35">
        <f>SUMIFS('[2]BESS 11'!H:H,'[2]BESS 11'!$B:$B,$J108)</f>
        <v>1</v>
      </c>
      <c r="L108" s="36">
        <f>SUMIFS('[2]BESS 11'!I:I,'[2]BESS 11'!$B:$B,$J108)</f>
        <v>1</v>
      </c>
      <c r="M108" s="139">
        <f t="shared" si="15"/>
        <v>0</v>
      </c>
      <c r="N108" s="385" t="s">
        <v>294</v>
      </c>
      <c r="O108" s="68">
        <v>46217</v>
      </c>
      <c r="P108" s="140" t="s">
        <v>123</v>
      </c>
      <c r="Q108" s="96" t="s">
        <v>89</v>
      </c>
      <c r="R108" s="93" t="s">
        <v>89</v>
      </c>
      <c r="S108" s="94" t="s">
        <v>89</v>
      </c>
      <c r="T108" s="307"/>
      <c r="X108"/>
    </row>
    <row r="109" spans="2:24">
      <c r="B109" s="473"/>
      <c r="C109" s="476"/>
      <c r="D109" s="587"/>
      <c r="E109" s="445"/>
      <c r="F109" s="456"/>
      <c r="G109" s="456"/>
      <c r="H109" s="456"/>
      <c r="I109" s="92"/>
      <c r="J109" s="50"/>
      <c r="K109" s="51"/>
      <c r="L109" s="52" t="s">
        <v>124</v>
      </c>
      <c r="M109" s="51"/>
      <c r="N109" s="51"/>
      <c r="O109" s="68"/>
      <c r="P109" s="351"/>
      <c r="Q109" s="96"/>
      <c r="R109" s="93"/>
      <c r="S109" s="94"/>
      <c r="T109" s="307"/>
      <c r="X109"/>
    </row>
    <row r="110" spans="2:24">
      <c r="B110" s="473"/>
      <c r="C110" s="476"/>
      <c r="D110" s="587"/>
      <c r="E110" s="445"/>
      <c r="F110" s="456"/>
      <c r="G110" s="456"/>
      <c r="H110" s="456"/>
      <c r="I110" s="334">
        <v>2.1299999999999994</v>
      </c>
      <c r="J110" s="358" t="s">
        <v>24</v>
      </c>
      <c r="K110" s="36">
        <f>SUMIFS('[2]BESS 11'!H:H,'[2]BESS 11'!$B:$B,$J110)</f>
        <v>6</v>
      </c>
      <c r="L110" s="36">
        <f>SUMIFS('[2]BESS 11'!I:I,'[2]BESS 11'!$B:$B,$J110)</f>
        <v>6</v>
      </c>
      <c r="M110" s="36">
        <f t="shared" ref="M110:M141" si="17">K110-L110</f>
        <v>0</v>
      </c>
      <c r="N110" s="297" t="s">
        <v>122</v>
      </c>
      <c r="O110" s="68" t="s">
        <v>89</v>
      </c>
      <c r="P110" s="357" t="s">
        <v>25</v>
      </c>
      <c r="Q110" s="96">
        <v>2</v>
      </c>
      <c r="R110" s="93">
        <v>4</v>
      </c>
      <c r="S110" s="94">
        <f>(M110*R110)/Q110</f>
        <v>0</v>
      </c>
      <c r="T110" s="307"/>
      <c r="X110"/>
    </row>
    <row r="111" spans="2:24">
      <c r="B111" s="473"/>
      <c r="C111" s="476"/>
      <c r="D111" s="587"/>
      <c r="E111" s="445"/>
      <c r="F111" s="456"/>
      <c r="G111" s="456"/>
      <c r="H111" s="456"/>
      <c r="I111" s="334">
        <v>2.1399999999999992</v>
      </c>
      <c r="J111" s="358" t="s">
        <v>27</v>
      </c>
      <c r="K111" s="36">
        <f>SUMIFS('[2]BESS 11'!H:H,'[2]BESS 11'!$B:$B,$J111)</f>
        <v>48</v>
      </c>
      <c r="L111" s="36">
        <f>SUMIFS('[2]BESS 11'!I:I,'[2]BESS 11'!$B:$B,$J111)</f>
        <v>48</v>
      </c>
      <c r="M111" s="36">
        <f t="shared" si="17"/>
        <v>0</v>
      </c>
      <c r="N111" s="297" t="s">
        <v>122</v>
      </c>
      <c r="O111" s="68" t="str">
        <f ca="1">IFERROR(DATEVALUE(TRIM(_xlfn.TEXTAFTER(N111,",",-1))&amp;"-"&amp;YEAR(TODAY())),N111)</f>
        <v>Completed</v>
      </c>
      <c r="P111" s="357" t="s">
        <v>25</v>
      </c>
      <c r="Q111" s="96">
        <v>10</v>
      </c>
      <c r="R111" s="93">
        <v>4</v>
      </c>
      <c r="S111" s="94">
        <f>(M111*R111)/Q111</f>
        <v>0</v>
      </c>
      <c r="T111" s="307"/>
      <c r="W111" s="60"/>
      <c r="X111"/>
    </row>
    <row r="112" spans="2:24">
      <c r="B112" s="473"/>
      <c r="C112" s="476"/>
      <c r="D112" s="587"/>
      <c r="E112" s="445"/>
      <c r="F112" s="456"/>
      <c r="G112" s="456"/>
      <c r="H112" s="456"/>
      <c r="I112" s="334">
        <v>2.149999999999999</v>
      </c>
      <c r="J112" s="358" t="s">
        <v>28</v>
      </c>
      <c r="K112" s="36">
        <f>SUMIFS('[2]BESS 11'!H:H,'[2]BESS 11'!$B:$B,$J112)</f>
        <v>6</v>
      </c>
      <c r="L112" s="36">
        <f>SUMIFS('[2]BESS 11'!I:I,'[2]BESS 11'!$B:$B,$J112)</f>
        <v>6</v>
      </c>
      <c r="M112" s="36">
        <f t="shared" si="17"/>
        <v>0</v>
      </c>
      <c r="N112" s="297" t="s">
        <v>122</v>
      </c>
      <c r="O112" s="297" t="s">
        <v>89</v>
      </c>
      <c r="P112" s="357" t="s">
        <v>25</v>
      </c>
      <c r="Q112" s="96">
        <v>5</v>
      </c>
      <c r="R112" s="93">
        <v>4</v>
      </c>
      <c r="S112" s="94">
        <f>(M112*R112)/Q112</f>
        <v>0</v>
      </c>
      <c r="T112" s="307" t="s">
        <v>188</v>
      </c>
      <c r="X112"/>
    </row>
    <row r="113" spans="2:26" ht="25.5">
      <c r="B113" s="473"/>
      <c r="C113" s="476"/>
      <c r="D113" s="587"/>
      <c r="E113" s="445"/>
      <c r="F113" s="456"/>
      <c r="G113" s="456"/>
      <c r="H113" s="456"/>
      <c r="I113" s="92">
        <v>2.1599999999999988</v>
      </c>
      <c r="J113" s="138" t="s">
        <v>29</v>
      </c>
      <c r="K113" s="35">
        <f>SUMIFS('[2]BESS 11'!H:H,'[2]BESS 11'!$B:$B,$J113)</f>
        <v>6</v>
      </c>
      <c r="L113" s="36">
        <f>SUMIFS('[2]BESS 11'!I:I,'[2]BESS 11'!$B:$B,$J113)</f>
        <v>0</v>
      </c>
      <c r="M113" s="139">
        <f t="shared" si="17"/>
        <v>6</v>
      </c>
      <c r="N113" s="91" t="s">
        <v>263</v>
      </c>
      <c r="O113" s="68" t="str">
        <f ca="1">IFERROR(DATEVALUE(TRIM(_xlfn.TEXTAFTER(N113,",",-1))&amp;"-"&amp;YEAR(TODAY())),N113)</f>
        <v>06 Jul, 10 Jul,
25 Jul</v>
      </c>
      <c r="P113" s="140" t="s">
        <v>25</v>
      </c>
      <c r="Q113" s="96">
        <v>20</v>
      </c>
      <c r="R113" s="527">
        <v>4</v>
      </c>
      <c r="S113" s="530">
        <v>4</v>
      </c>
      <c r="T113" s="307" t="s">
        <v>170</v>
      </c>
      <c r="X113"/>
      <c r="Z113" s="60"/>
    </row>
    <row r="114" spans="2:26">
      <c r="B114" s="473"/>
      <c r="C114" s="476"/>
      <c r="D114" s="587"/>
      <c r="E114" s="445"/>
      <c r="F114" s="456"/>
      <c r="G114" s="456"/>
      <c r="H114" s="456"/>
      <c r="I114" s="334">
        <v>2.1699999999999986</v>
      </c>
      <c r="J114" s="358" t="s">
        <v>33</v>
      </c>
      <c r="K114" s="36">
        <f>SUMIFS('[2]BESS 11'!H:H,'[2]BESS 11'!$B:$B,$J114)</f>
        <v>2</v>
      </c>
      <c r="L114" s="36">
        <f>SUMIFS('[2]BESS 11'!I:I,'[2]BESS 11'!$B:$B,$J114)</f>
        <v>2</v>
      </c>
      <c r="M114" s="36">
        <f t="shared" si="17"/>
        <v>0</v>
      </c>
      <c r="N114" s="297" t="s">
        <v>122</v>
      </c>
      <c r="O114" s="68" t="s">
        <v>89</v>
      </c>
      <c r="P114" s="357" t="s">
        <v>25</v>
      </c>
      <c r="Q114" s="96">
        <v>10</v>
      </c>
      <c r="R114" s="528"/>
      <c r="S114" s="531"/>
      <c r="T114" s="307"/>
      <c r="X114"/>
    </row>
    <row r="115" spans="2:26" ht="25.5">
      <c r="B115" s="473"/>
      <c r="C115" s="476"/>
      <c r="D115" s="587"/>
      <c r="E115" s="445"/>
      <c r="F115" s="456"/>
      <c r="G115" s="456"/>
      <c r="H115" s="456"/>
      <c r="I115" s="92">
        <v>2.1799999999999984</v>
      </c>
      <c r="J115" s="138" t="s">
        <v>36</v>
      </c>
      <c r="K115" s="35">
        <f>SUMIFS('[2]BESS 11'!H:H,'[2]BESS 11'!$B:$B,$J115)</f>
        <v>1</v>
      </c>
      <c r="L115" s="36">
        <f>SUMIFS('[2]BESS 11'!I:I,'[2]BESS 11'!$B:$B,$J115)</f>
        <v>1</v>
      </c>
      <c r="M115" s="139">
        <f t="shared" si="17"/>
        <v>0</v>
      </c>
      <c r="N115" s="91" t="s">
        <v>292</v>
      </c>
      <c r="O115" s="68" t="str">
        <f ca="1">IFERROR(DATEVALUE(TRIM(_xlfn.TEXTAFTER(N115,",",-1))&amp;"-"&amp;YEAR(TODAY())),N115)</f>
        <v>05 Jul, 11 Jul,
20 Jul</v>
      </c>
      <c r="P115" s="140" t="s">
        <v>25</v>
      </c>
      <c r="Q115" s="96">
        <v>10</v>
      </c>
      <c r="R115" s="528"/>
      <c r="S115" s="531"/>
      <c r="T115" s="307"/>
      <c r="X115"/>
      <c r="Z115" s="60"/>
    </row>
    <row r="116" spans="2:26">
      <c r="B116" s="638" t="s">
        <v>404</v>
      </c>
      <c r="C116" s="639"/>
      <c r="D116" s="639"/>
      <c r="E116" s="639"/>
      <c r="F116" s="639"/>
      <c r="G116" s="639"/>
      <c r="H116" s="639"/>
      <c r="I116" s="334">
        <v>2.1899999999999982</v>
      </c>
      <c r="J116" s="358" t="s">
        <v>39</v>
      </c>
      <c r="K116" s="36">
        <f>SUMIFS('[2]BESS 11'!H:H,'[2]BESS 11'!$B:$B,$J116)</f>
        <v>1</v>
      </c>
      <c r="L116" s="36">
        <f>SUMIFS('[2]BESS 11'!I:I,'[2]BESS 11'!$B:$B,$J116)</f>
        <v>1</v>
      </c>
      <c r="M116" s="36">
        <f t="shared" si="17"/>
        <v>0</v>
      </c>
      <c r="N116" s="297" t="s">
        <v>122</v>
      </c>
      <c r="O116" s="68" t="s">
        <v>89</v>
      </c>
      <c r="P116" s="357" t="s">
        <v>25</v>
      </c>
      <c r="Q116" s="96">
        <v>10</v>
      </c>
      <c r="R116" s="528"/>
      <c r="S116" s="531"/>
      <c r="T116" s="307"/>
      <c r="X116"/>
    </row>
    <row r="117" spans="2:26" ht="25.5">
      <c r="B117" s="638"/>
      <c r="C117" s="639"/>
      <c r="D117" s="639"/>
      <c r="E117" s="639"/>
      <c r="F117" s="639"/>
      <c r="G117" s="639"/>
      <c r="H117" s="639"/>
      <c r="I117" s="92">
        <v>2.199999999999998</v>
      </c>
      <c r="J117" s="138" t="s">
        <v>41</v>
      </c>
      <c r="K117" s="35">
        <f>SUMIFS('[2]BESS 11'!H:H,'[2]BESS 11'!$B:$B,$J117)</f>
        <v>6</v>
      </c>
      <c r="L117" s="36">
        <f>SUMIFS('[2]BESS 11'!I:I,'[2]BESS 11'!$B:$B,$J117)</f>
        <v>0</v>
      </c>
      <c r="M117" s="139">
        <f t="shared" si="17"/>
        <v>6</v>
      </c>
      <c r="N117" s="91" t="s">
        <v>310</v>
      </c>
      <c r="O117" s="68" t="str">
        <f ca="1">IFERROR(DATEVALUE(TRIM(_xlfn.TEXTAFTER(N117,",",-1))&amp;"-"&amp;YEAR(TODAY())),N117)</f>
        <v>11 Jul, 16 Jul,
23 Jul</v>
      </c>
      <c r="P117" s="140" t="s">
        <v>125</v>
      </c>
      <c r="Q117" s="96">
        <v>20</v>
      </c>
      <c r="R117" s="529"/>
      <c r="S117" s="532"/>
      <c r="T117" s="307"/>
      <c r="X117"/>
    </row>
    <row r="118" spans="2:26" ht="25.5">
      <c r="B118" s="638"/>
      <c r="C118" s="639"/>
      <c r="D118" s="639"/>
      <c r="E118" s="639"/>
      <c r="F118" s="639"/>
      <c r="G118" s="639"/>
      <c r="H118" s="639"/>
      <c r="I118" s="92">
        <v>2.2099999999999977</v>
      </c>
      <c r="J118" s="138" t="s">
        <v>43</v>
      </c>
      <c r="K118" s="35">
        <f>SUMIFS('[2]BESS 11'!H:H,'[2]BESS 11'!$B:$B,$J118)</f>
        <v>6</v>
      </c>
      <c r="L118" s="36">
        <f>SUMIFS('[2]BESS 11'!I:I,'[2]BESS 11'!$B:$B,$J118)</f>
        <v>0</v>
      </c>
      <c r="M118" s="139">
        <f t="shared" si="17"/>
        <v>6</v>
      </c>
      <c r="N118" s="91" t="s">
        <v>258</v>
      </c>
      <c r="O118" s="68" t="str">
        <f ca="1">IFERROR(DATEVALUE(TRIM(_xlfn.TEXTAFTER(N118,",",-1))&amp;"-"&amp;YEAR(TODAY())),N118)</f>
        <v>15 Jul, 18 Jul,
25 Jul</v>
      </c>
      <c r="P118" s="140" t="s">
        <v>125</v>
      </c>
      <c r="Q118" s="96">
        <v>0.66666666666666663</v>
      </c>
      <c r="R118" s="93">
        <v>0</v>
      </c>
      <c r="S118" s="94">
        <f t="shared" ref="S118:S130" si="18">(M118*R118)/Q118</f>
        <v>0</v>
      </c>
      <c r="T118" s="307"/>
      <c r="X118"/>
    </row>
    <row r="119" spans="2:26">
      <c r="B119" s="638"/>
      <c r="C119" s="639"/>
      <c r="D119" s="639"/>
      <c r="E119" s="639"/>
      <c r="F119" s="639"/>
      <c r="G119" s="639"/>
      <c r="H119" s="639"/>
      <c r="I119" s="92">
        <v>2.2199999999999975</v>
      </c>
      <c r="J119" s="138" t="s">
        <v>21</v>
      </c>
      <c r="K119" s="35">
        <f>SUMIFS('[2]BESS 11'!H:H,'[2]BESS 11'!$B:$B,$J119)</f>
        <v>48</v>
      </c>
      <c r="L119" s="36">
        <f>SUMIFS('[2]BESS 11'!I:I,'[2]BESS 11'!$B:$B,$J119)</f>
        <v>48</v>
      </c>
      <c r="M119" s="139">
        <f t="shared" si="17"/>
        <v>0</v>
      </c>
      <c r="N119" s="91" t="s">
        <v>281</v>
      </c>
      <c r="O119" s="68">
        <f ca="1">IFERROR(DATEVALUE(TRIM(_xlfn.TEXTAFTER(N119,",",-1))&amp;"-"&amp;YEAR(TODAY())),N119)</f>
        <v>46228</v>
      </c>
      <c r="P119" s="140" t="s">
        <v>22</v>
      </c>
      <c r="Q119" s="96">
        <v>10</v>
      </c>
      <c r="R119" s="93">
        <v>4</v>
      </c>
      <c r="S119" s="94">
        <f t="shared" si="18"/>
        <v>0</v>
      </c>
      <c r="T119" s="307"/>
      <c r="X119"/>
      <c r="Z119" s="60"/>
    </row>
    <row r="120" spans="2:26">
      <c r="B120" s="638"/>
      <c r="C120" s="639"/>
      <c r="D120" s="639"/>
      <c r="E120" s="639"/>
      <c r="F120" s="639"/>
      <c r="G120" s="639"/>
      <c r="H120" s="639"/>
      <c r="I120" s="334">
        <v>2.2299999999999973</v>
      </c>
      <c r="J120" s="358" t="s">
        <v>47</v>
      </c>
      <c r="K120" s="36">
        <f>SUMIFS('[2]BESS 11'!H:H,'[2]BESS 11'!$B:$B,$J120)</f>
        <v>8171</v>
      </c>
      <c r="L120" s="36">
        <f>SUMIFS('[2]BESS 11'!I:I,'[2]BESS 11'!$B:$B,$J120)</f>
        <v>8171</v>
      </c>
      <c r="M120" s="36">
        <f t="shared" si="17"/>
        <v>0</v>
      </c>
      <c r="N120" s="297" t="s">
        <v>122</v>
      </c>
      <c r="O120" s="68" t="s">
        <v>89</v>
      </c>
      <c r="P120" s="357" t="s">
        <v>25</v>
      </c>
      <c r="Q120" s="96">
        <v>1500</v>
      </c>
      <c r="R120" s="93">
        <v>48</v>
      </c>
      <c r="S120" s="94">
        <f t="shared" si="18"/>
        <v>0</v>
      </c>
      <c r="T120" s="307"/>
      <c r="X120"/>
    </row>
    <row r="121" spans="2:26" ht="27">
      <c r="B121" s="638"/>
      <c r="C121" s="639"/>
      <c r="D121" s="639"/>
      <c r="E121" s="639"/>
      <c r="F121" s="639"/>
      <c r="G121" s="639"/>
      <c r="H121" s="639"/>
      <c r="I121" s="92">
        <v>2.2399999999999971</v>
      </c>
      <c r="J121" s="138" t="s">
        <v>48</v>
      </c>
      <c r="K121" s="35">
        <f>SUMIFS('[2]BESS 11'!H:H,'[2]BESS 11'!$B:$B,$J121)</f>
        <v>28</v>
      </c>
      <c r="L121" s="36">
        <f>SUMIFS('[2]BESS 11'!I:I,'[2]BESS 11'!$B:$B,$J121)</f>
        <v>28</v>
      </c>
      <c r="M121" s="139">
        <f t="shared" si="17"/>
        <v>0</v>
      </c>
      <c r="N121" s="68" t="s">
        <v>327</v>
      </c>
      <c r="O121" s="68">
        <f ca="1">IFERROR(DATEVALUE(TRIM(_xlfn.TEXTAFTER(N121,",",-1))&amp;"-"&amp;YEAR(TODAY())),N121)</f>
        <v>46229</v>
      </c>
      <c r="P121" s="140" t="s">
        <v>25</v>
      </c>
      <c r="Q121" s="96">
        <v>8</v>
      </c>
      <c r="R121" s="93">
        <v>6</v>
      </c>
      <c r="S121" s="94">
        <f t="shared" si="18"/>
        <v>0</v>
      </c>
      <c r="T121" s="307" t="s">
        <v>253</v>
      </c>
      <c r="X121"/>
    </row>
    <row r="122" spans="2:26">
      <c r="B122" s="638"/>
      <c r="C122" s="639"/>
      <c r="D122" s="639"/>
      <c r="E122" s="639"/>
      <c r="F122" s="639"/>
      <c r="G122" s="639"/>
      <c r="H122" s="639"/>
      <c r="I122" s="334">
        <f t="shared" ref="I122:I141" si="19">I121+0.01</f>
        <v>2.2499999999999969</v>
      </c>
      <c r="J122" s="358" t="s">
        <v>126</v>
      </c>
      <c r="K122" s="36">
        <f>SUMIFS('[2]BESS 11'!H:H,'[2]BESS 11'!$B:$B,$J122)</f>
        <v>13292</v>
      </c>
      <c r="L122" s="36">
        <f>SUMIFS('[2]BESS 11'!I:I,'[2]BESS 11'!$B:$B,$J122)</f>
        <v>13292</v>
      </c>
      <c r="M122" s="36">
        <f t="shared" si="17"/>
        <v>0</v>
      </c>
      <c r="N122" s="297" t="s">
        <v>122</v>
      </c>
      <c r="O122" s="68" t="str">
        <f ca="1">IFERROR(DATEVALUE(TRIM(_xlfn.TEXTAFTER(N122,",",-1))&amp;"-"&amp;YEAR(TODAY())),N122)</f>
        <v>Completed</v>
      </c>
      <c r="P122" s="357" t="s">
        <v>25</v>
      </c>
      <c r="Q122" s="96">
        <v>600</v>
      </c>
      <c r="R122" s="93">
        <v>10</v>
      </c>
      <c r="S122" s="94">
        <f t="shared" si="18"/>
        <v>0</v>
      </c>
      <c r="T122" s="307"/>
      <c r="X122"/>
    </row>
    <row r="123" spans="2:26">
      <c r="B123" s="638"/>
      <c r="C123" s="639"/>
      <c r="D123" s="639"/>
      <c r="E123" s="639"/>
      <c r="F123" s="639"/>
      <c r="G123" s="639"/>
      <c r="H123" s="639"/>
      <c r="I123" s="334">
        <f t="shared" si="19"/>
        <v>2.2599999999999967</v>
      </c>
      <c r="J123" s="358" t="s">
        <v>127</v>
      </c>
      <c r="K123" s="36">
        <f>SUMIFS('[2]BESS 11'!H:H,'[2]BESS 11'!$B:$B,$J123)</f>
        <v>46080</v>
      </c>
      <c r="L123" s="36">
        <f>SUMIFS('[2]BESS 11'!I:I,'[2]BESS 11'!$B:$B,$J123)</f>
        <v>46080</v>
      </c>
      <c r="M123" s="36">
        <f t="shared" si="17"/>
        <v>0</v>
      </c>
      <c r="N123" s="297" t="s">
        <v>122</v>
      </c>
      <c r="O123" s="68" t="s">
        <v>89</v>
      </c>
      <c r="P123" s="357" t="s">
        <v>25</v>
      </c>
      <c r="Q123" s="96">
        <v>600</v>
      </c>
      <c r="R123" s="93">
        <v>10</v>
      </c>
      <c r="S123" s="94">
        <f t="shared" si="18"/>
        <v>0</v>
      </c>
      <c r="T123" s="307"/>
      <c r="X123"/>
    </row>
    <row r="124" spans="2:26">
      <c r="B124" s="638"/>
      <c r="C124" s="639"/>
      <c r="D124" s="639"/>
      <c r="E124" s="639"/>
      <c r="F124" s="639"/>
      <c r="G124" s="639"/>
      <c r="H124" s="639"/>
      <c r="I124" s="92">
        <f t="shared" si="19"/>
        <v>2.2699999999999965</v>
      </c>
      <c r="J124" s="138" t="s">
        <v>128</v>
      </c>
      <c r="K124" s="35">
        <f>SUMIFS('[2]BESS 11'!H:H,'[2]BESS 11'!$B:$B,$J124)</f>
        <v>1536</v>
      </c>
      <c r="L124" s="36">
        <f>SUMIFS('[2]BESS 11'!I:I,'[2]BESS 11'!$B:$B,$J124)</f>
        <v>0</v>
      </c>
      <c r="M124" s="139">
        <f t="shared" si="17"/>
        <v>1536</v>
      </c>
      <c r="N124" s="68" t="s">
        <v>302</v>
      </c>
      <c r="O124" s="68">
        <f ca="1">IFERROR(DATEVALUE(TRIM(_xlfn.TEXTAFTER(N124,",",-1))&amp;"-"&amp;YEAR(TODAY())),N124)</f>
        <v>46237</v>
      </c>
      <c r="P124" s="140" t="s">
        <v>25</v>
      </c>
      <c r="Q124" s="96">
        <v>30</v>
      </c>
      <c r="R124" s="93">
        <v>18</v>
      </c>
      <c r="S124" s="94">
        <f t="shared" si="18"/>
        <v>921.6</v>
      </c>
      <c r="T124" s="304"/>
      <c r="X124"/>
      <c r="Z124" s="60"/>
    </row>
    <row r="125" spans="2:26">
      <c r="B125" s="638"/>
      <c r="C125" s="639"/>
      <c r="D125" s="639"/>
      <c r="E125" s="639"/>
      <c r="F125" s="639"/>
      <c r="G125" s="639"/>
      <c r="H125" s="639"/>
      <c r="I125" s="92">
        <f t="shared" si="19"/>
        <v>2.2799999999999963</v>
      </c>
      <c r="J125" s="138" t="s">
        <v>129</v>
      </c>
      <c r="K125" s="35">
        <f>SUMIFS('[2]BESS 11'!H:H,'[2]BESS 11'!$B:$B,$J125)</f>
        <v>2304</v>
      </c>
      <c r="L125" s="36">
        <f>SUMIFS('[2]BESS 11'!I:I,'[2]BESS 11'!$B:$B,$J125)</f>
        <v>0</v>
      </c>
      <c r="M125" s="139">
        <f t="shared" si="17"/>
        <v>2304</v>
      </c>
      <c r="N125" s="68" t="s">
        <v>302</v>
      </c>
      <c r="O125" s="68">
        <f ca="1">IFERROR(DATEVALUE(TRIM(_xlfn.TEXTAFTER(N125,",",-1))&amp;"-"&amp;YEAR(TODAY())),N125)</f>
        <v>46237</v>
      </c>
      <c r="P125" s="140" t="s">
        <v>25</v>
      </c>
      <c r="Q125" s="96">
        <v>30</v>
      </c>
      <c r="R125" s="93">
        <v>18</v>
      </c>
      <c r="S125" s="94">
        <f t="shared" si="18"/>
        <v>1382.4</v>
      </c>
      <c r="T125" s="307"/>
      <c r="X125"/>
      <c r="Z125" s="60"/>
    </row>
    <row r="126" spans="2:26" ht="25.5">
      <c r="B126" s="638"/>
      <c r="C126" s="639"/>
      <c r="D126" s="639"/>
      <c r="E126" s="639"/>
      <c r="F126" s="639"/>
      <c r="G126" s="639"/>
      <c r="H126" s="639"/>
      <c r="I126" s="92">
        <f t="shared" si="19"/>
        <v>2.289999999999996</v>
      </c>
      <c r="J126" s="138" t="s">
        <v>130</v>
      </c>
      <c r="K126" s="35">
        <f>SUMIFS('[2]BESS 11'!H:H,'[2]BESS 11'!$B:$B,$J126)</f>
        <v>8391</v>
      </c>
      <c r="L126" s="36">
        <f>SUMIFS('[2]BESS 11'!I:I,'[2]BESS 11'!$B:$B,$J126)</f>
        <v>4672</v>
      </c>
      <c r="M126" s="139">
        <f t="shared" si="17"/>
        <v>3719</v>
      </c>
      <c r="N126" s="91" t="s">
        <v>282</v>
      </c>
      <c r="O126" s="68">
        <v>46215</v>
      </c>
      <c r="P126" s="140" t="s">
        <v>25</v>
      </c>
      <c r="Q126" s="96">
        <v>1000</v>
      </c>
      <c r="R126" s="93">
        <v>10</v>
      </c>
      <c r="S126" s="94">
        <f t="shared" si="18"/>
        <v>37.19</v>
      </c>
      <c r="T126" s="323"/>
      <c r="X126"/>
      <c r="Z126" s="60"/>
    </row>
    <row r="127" spans="2:26">
      <c r="B127" s="638"/>
      <c r="C127" s="639"/>
      <c r="D127" s="639"/>
      <c r="E127" s="639"/>
      <c r="F127" s="639"/>
      <c r="G127" s="639"/>
      <c r="H127" s="639"/>
      <c r="I127" s="92">
        <f t="shared" si="19"/>
        <v>2.2999999999999958</v>
      </c>
      <c r="J127" s="138" t="s">
        <v>131</v>
      </c>
      <c r="K127" s="35">
        <f>SUMIFS('[2]BESS 11'!H:H,'[2]BESS 11'!$B:$B,$J127)</f>
        <v>14355</v>
      </c>
      <c r="L127" s="36">
        <f>SUMIFS('[2]BESS 11'!I:I,'[2]BESS 11'!$B:$B,$J127)</f>
        <v>2528</v>
      </c>
      <c r="M127" s="139">
        <f t="shared" si="17"/>
        <v>11827</v>
      </c>
      <c r="N127" s="68" t="s">
        <v>283</v>
      </c>
      <c r="O127" s="68">
        <f ca="1">IFERROR(DATEVALUE(TRIM(_xlfn.TEXTAFTER(N127,",",-1))&amp;"-"&amp;YEAR(TODAY())),N127)</f>
        <v>46233</v>
      </c>
      <c r="P127" s="140" t="s">
        <v>25</v>
      </c>
      <c r="Q127" s="96">
        <v>1000</v>
      </c>
      <c r="R127" s="93">
        <v>10</v>
      </c>
      <c r="S127" s="94">
        <f t="shared" si="18"/>
        <v>118.27</v>
      </c>
      <c r="T127" s="307"/>
      <c r="X127"/>
      <c r="Z127" s="60"/>
    </row>
    <row r="128" spans="2:26">
      <c r="B128" s="638"/>
      <c r="C128" s="639"/>
      <c r="D128" s="639"/>
      <c r="E128" s="639"/>
      <c r="F128" s="639"/>
      <c r="G128" s="639"/>
      <c r="H128" s="639"/>
      <c r="I128" s="92">
        <f t="shared" si="19"/>
        <v>2.3099999999999956</v>
      </c>
      <c r="J128" s="138" t="s">
        <v>132</v>
      </c>
      <c r="K128" s="35">
        <f>SUMIFS('[2]BESS 11'!H:H,'[2]BESS 11'!$B:$B,$J128)</f>
        <v>4792</v>
      </c>
      <c r="L128" s="36">
        <f>SUMIFS('[2]BESS 11'!I:I,'[2]BESS 11'!$B:$B,$J128)</f>
        <v>0</v>
      </c>
      <c r="M128" s="139">
        <f t="shared" si="17"/>
        <v>4792</v>
      </c>
      <c r="N128" s="68" t="s">
        <v>283</v>
      </c>
      <c r="O128" s="68">
        <f ca="1">IFERROR(DATEVALUE(TRIM(_xlfn.TEXTAFTER(N128,",",-1))&amp;"-"&amp;YEAR(TODAY())),N128)</f>
        <v>46233</v>
      </c>
      <c r="P128" s="140" t="s">
        <v>25</v>
      </c>
      <c r="Q128" s="96">
        <v>500</v>
      </c>
      <c r="R128" s="93">
        <v>10</v>
      </c>
      <c r="S128" s="94">
        <f t="shared" si="18"/>
        <v>95.84</v>
      </c>
      <c r="T128" s="567"/>
      <c r="X128"/>
      <c r="Z128" s="60"/>
    </row>
    <row r="129" spans="2:26">
      <c r="B129" s="638"/>
      <c r="C129" s="639"/>
      <c r="D129" s="639"/>
      <c r="E129" s="639"/>
      <c r="F129" s="639"/>
      <c r="G129" s="639"/>
      <c r="H129" s="639"/>
      <c r="I129" s="92">
        <f t="shared" si="19"/>
        <v>2.3199999999999954</v>
      </c>
      <c r="J129" s="138" t="s">
        <v>133</v>
      </c>
      <c r="K129" s="35">
        <f>SUMIFS('[2]BESS 11'!H:H,'[2]BESS 11'!$B:$B,$J129)</f>
        <v>286</v>
      </c>
      <c r="L129" s="36">
        <f>SUMIFS('[2]BESS 11'!I:I,'[2]BESS 11'!$B:$B,$J129)</f>
        <v>0</v>
      </c>
      <c r="M129" s="139">
        <f t="shared" si="17"/>
        <v>286</v>
      </c>
      <c r="N129" s="68" t="s">
        <v>284</v>
      </c>
      <c r="O129" s="68">
        <f ca="1">IFERROR(DATEVALUE(TRIM(_xlfn.TEXTAFTER(N129,",",-1))&amp;"-"&amp;YEAR(TODAY())),N129)</f>
        <v>46237</v>
      </c>
      <c r="P129" s="140" t="s">
        <v>25</v>
      </c>
      <c r="Q129" s="96">
        <v>30</v>
      </c>
      <c r="R129" s="93">
        <v>6</v>
      </c>
      <c r="S129" s="94">
        <f t="shared" si="18"/>
        <v>57.2</v>
      </c>
      <c r="T129" s="567"/>
      <c r="X129"/>
      <c r="Z129" s="60"/>
    </row>
    <row r="130" spans="2:26">
      <c r="B130" s="638"/>
      <c r="C130" s="639"/>
      <c r="D130" s="639"/>
      <c r="E130" s="639"/>
      <c r="F130" s="639"/>
      <c r="G130" s="639"/>
      <c r="H130" s="639"/>
      <c r="I130" s="92">
        <f t="shared" si="19"/>
        <v>2.3299999999999952</v>
      </c>
      <c r="J130" s="138" t="s">
        <v>134</v>
      </c>
      <c r="K130" s="35">
        <f>SUMIFS('[2]BESS 11'!H:H,'[2]BESS 11'!$B:$B,$J130)</f>
        <v>524</v>
      </c>
      <c r="L130" s="36">
        <f>SUMIFS('[2]BESS 11'!I:I,'[2]BESS 11'!$B:$B,$J130)</f>
        <v>0</v>
      </c>
      <c r="M130" s="139">
        <f t="shared" si="17"/>
        <v>524</v>
      </c>
      <c r="N130" s="68" t="s">
        <v>284</v>
      </c>
      <c r="O130" s="68">
        <f ca="1">IFERROR(DATEVALUE(TRIM(_xlfn.TEXTAFTER(N130,",",-1))&amp;"-"&amp;YEAR(TODAY())),N130)</f>
        <v>46237</v>
      </c>
      <c r="P130" s="140" t="s">
        <v>135</v>
      </c>
      <c r="Q130" s="96">
        <v>30</v>
      </c>
      <c r="R130" s="93">
        <v>4</v>
      </c>
      <c r="S130" s="94">
        <f t="shared" si="18"/>
        <v>69.86666666666666</v>
      </c>
      <c r="T130" s="567"/>
      <c r="X130"/>
      <c r="Z130" s="60"/>
    </row>
    <row r="131" spans="2:26" ht="25.5">
      <c r="B131" s="638"/>
      <c r="C131" s="639"/>
      <c r="D131" s="639"/>
      <c r="E131" s="639"/>
      <c r="F131" s="639"/>
      <c r="G131" s="639"/>
      <c r="H131" s="639"/>
      <c r="I131" s="92">
        <f t="shared" si="19"/>
        <v>2.339999999999995</v>
      </c>
      <c r="J131" s="138" t="s">
        <v>136</v>
      </c>
      <c r="K131" s="35">
        <f>SUMIFS('[2]BESS 11'!H:H,'[2]BESS 11'!$B:$B,$J131)</f>
        <v>384</v>
      </c>
      <c r="L131" s="36">
        <f>SUMIFS('[2]BESS 11'!I:I,'[2]BESS 11'!$B:$B,$J131)</f>
        <v>0</v>
      </c>
      <c r="M131" s="139">
        <f t="shared" si="17"/>
        <v>384</v>
      </c>
      <c r="N131" s="68" t="s">
        <v>284</v>
      </c>
      <c r="O131" s="68">
        <f ca="1">IFERROR(DATEVALUE(TRIM(_xlfn.TEXTAFTER(N131,",",-1))&amp;"-"&amp;YEAR(TODAY())),N131)</f>
        <v>46237</v>
      </c>
      <c r="P131" s="140" t="s">
        <v>135</v>
      </c>
      <c r="Q131" s="96" t="s">
        <v>89</v>
      </c>
      <c r="R131" s="93" t="s">
        <v>89</v>
      </c>
      <c r="S131" s="94" t="s">
        <v>89</v>
      </c>
      <c r="T131" s="307"/>
      <c r="U131">
        <f ca="1">O131-$T$1</f>
        <v>4</v>
      </c>
      <c r="V131" s="97">
        <f>SUM(S110:S141)</f>
        <v>3004.18</v>
      </c>
      <c r="X131"/>
      <c r="Z131" s="60"/>
    </row>
    <row r="132" spans="2:26">
      <c r="B132" s="638"/>
      <c r="C132" s="639"/>
      <c r="D132" s="639"/>
      <c r="E132" s="639"/>
      <c r="F132" s="639"/>
      <c r="G132" s="639"/>
      <c r="H132" s="639"/>
      <c r="I132" s="336">
        <f t="shared" si="19"/>
        <v>2.3499999999999948</v>
      </c>
      <c r="J132" s="358" t="s">
        <v>137</v>
      </c>
      <c r="K132" s="36">
        <f>SUMIFS('[2]BESS 11'!H:H,'[2]BESS 11'!$B:$B,$J132)</f>
        <v>6</v>
      </c>
      <c r="L132" s="36">
        <f>SUMIFS('[2]BESS 11'!I:I,'[2]BESS 11'!$B:$B,$J132)</f>
        <v>6</v>
      </c>
      <c r="M132" s="36">
        <f t="shared" si="17"/>
        <v>0</v>
      </c>
      <c r="N132" s="297" t="s">
        <v>122</v>
      </c>
      <c r="O132" s="68" t="s">
        <v>89</v>
      </c>
      <c r="P132" s="357" t="s">
        <v>138</v>
      </c>
      <c r="Q132" s="533">
        <v>2</v>
      </c>
      <c r="R132" s="527">
        <v>8</v>
      </c>
      <c r="S132" s="94" t="s">
        <v>89</v>
      </c>
      <c r="T132" s="307"/>
      <c r="X132"/>
    </row>
    <row r="133" spans="2:26">
      <c r="B133" s="638"/>
      <c r="C133" s="639"/>
      <c r="D133" s="639"/>
      <c r="E133" s="639"/>
      <c r="F133" s="639"/>
      <c r="G133" s="639"/>
      <c r="H133" s="639"/>
      <c r="I133" s="92">
        <f t="shared" si="19"/>
        <v>2.3599999999999945</v>
      </c>
      <c r="J133" s="138" t="s">
        <v>139</v>
      </c>
      <c r="K133" s="35">
        <f>SUMIFS('[2]BESS 11'!H:H,'[2]BESS 11'!$B:$B,$J133)</f>
        <v>6</v>
      </c>
      <c r="L133" s="36">
        <f>SUMIFS('[2]BESS 11'!I:I,'[2]BESS 11'!$B:$B,$J133)</f>
        <v>0</v>
      </c>
      <c r="M133" s="139">
        <f t="shared" si="17"/>
        <v>6</v>
      </c>
      <c r="N133" s="68" t="s">
        <v>330</v>
      </c>
      <c r="O133" s="68">
        <f t="shared" ref="O133:O141" ca="1" si="20">IFERROR(DATEVALUE(TRIM(_xlfn.TEXTAFTER(N133,",",-1))&amp;"-"&amp;YEAR(TODAY())),N133)</f>
        <v>46233</v>
      </c>
      <c r="P133" s="140" t="s">
        <v>25</v>
      </c>
      <c r="Q133" s="534"/>
      <c r="R133" s="529"/>
      <c r="S133" s="94">
        <v>12</v>
      </c>
      <c r="T133" s="309"/>
      <c r="X133"/>
      <c r="Z133" s="60"/>
    </row>
    <row r="134" spans="2:26" ht="25.5">
      <c r="B134" s="638"/>
      <c r="C134" s="639"/>
      <c r="D134" s="639"/>
      <c r="E134" s="639"/>
      <c r="F134" s="639"/>
      <c r="G134" s="639"/>
      <c r="H134" s="639"/>
      <c r="I134" s="92">
        <f t="shared" si="19"/>
        <v>2.3699999999999943</v>
      </c>
      <c r="J134" s="138" t="s">
        <v>140</v>
      </c>
      <c r="K134" s="35">
        <f>SUMIFS('[2]BESS 11'!H:H,'[2]BESS 11'!$B:$B,$J134)</f>
        <v>6</v>
      </c>
      <c r="L134" s="36">
        <f>SUMIFS('[2]BESS 11'!I:I,'[2]BESS 11'!$B:$B,$J134)</f>
        <v>0</v>
      </c>
      <c r="M134" s="139">
        <f t="shared" si="17"/>
        <v>6</v>
      </c>
      <c r="N134" s="68" t="s">
        <v>356</v>
      </c>
      <c r="O134" s="68">
        <f t="shared" ca="1" si="20"/>
        <v>46240</v>
      </c>
      <c r="P134" s="140" t="s">
        <v>25</v>
      </c>
      <c r="Q134" s="96">
        <v>2</v>
      </c>
      <c r="R134" s="93">
        <v>4</v>
      </c>
      <c r="S134" s="94">
        <f t="shared" ref="S134:S141" si="21">(M134*R134)/Q134</f>
        <v>12</v>
      </c>
      <c r="T134" s="317" t="s">
        <v>185</v>
      </c>
      <c r="U134">
        <f ca="1">O134-$T$1</f>
        <v>7</v>
      </c>
      <c r="V134" s="97">
        <f>SUM(S110:S141)</f>
        <v>3004.18</v>
      </c>
      <c r="X134"/>
      <c r="Z134" s="60"/>
    </row>
    <row r="135" spans="2:26" ht="25.5">
      <c r="B135" s="638"/>
      <c r="C135" s="639"/>
      <c r="D135" s="639"/>
      <c r="E135" s="639"/>
      <c r="F135" s="639"/>
      <c r="G135" s="639"/>
      <c r="H135" s="639"/>
      <c r="I135" s="92">
        <f t="shared" si="19"/>
        <v>2.3799999999999941</v>
      </c>
      <c r="J135" s="138" t="s">
        <v>141</v>
      </c>
      <c r="K135" s="35">
        <f>SUMIFS('[2]BESS 11'!H:H,'[2]BESS 11'!$B:$B,$J135)</f>
        <v>12</v>
      </c>
      <c r="L135" s="36">
        <f>SUMIFS('[2]BESS 11'!I:I,'[2]BESS 11'!$B:$B,$J135)</f>
        <v>0</v>
      </c>
      <c r="M135" s="139">
        <f t="shared" si="17"/>
        <v>12</v>
      </c>
      <c r="N135" s="68" t="s">
        <v>331</v>
      </c>
      <c r="O135" s="68">
        <f t="shared" ca="1" si="20"/>
        <v>46232</v>
      </c>
      <c r="P135" s="140" t="s">
        <v>25</v>
      </c>
      <c r="Q135" s="96">
        <v>0.5</v>
      </c>
      <c r="R135" s="93">
        <v>4</v>
      </c>
      <c r="S135" s="94">
        <f t="shared" si="21"/>
        <v>96</v>
      </c>
      <c r="T135" s="317" t="s">
        <v>184</v>
      </c>
      <c r="X135"/>
      <c r="Z135" s="60"/>
    </row>
    <row r="136" spans="2:26">
      <c r="B136" s="638"/>
      <c r="C136" s="639"/>
      <c r="D136" s="639"/>
      <c r="E136" s="639"/>
      <c r="F136" s="639"/>
      <c r="G136" s="639"/>
      <c r="H136" s="639"/>
      <c r="I136" s="92">
        <f t="shared" si="19"/>
        <v>2.3899999999999939</v>
      </c>
      <c r="J136" s="138" t="s">
        <v>142</v>
      </c>
      <c r="K136" s="35">
        <f>SUMIFS('[2]BESS 11'!H:H,'[2]BESS 11'!$B:$B,$J136)</f>
        <v>16</v>
      </c>
      <c r="L136" s="36">
        <f>SUMIFS('[2]BESS 11'!I:I,'[2]BESS 11'!$B:$B,$J136)</f>
        <v>0</v>
      </c>
      <c r="M136" s="139">
        <f t="shared" si="17"/>
        <v>16</v>
      </c>
      <c r="N136" s="68" t="s">
        <v>357</v>
      </c>
      <c r="O136" s="68">
        <f t="shared" ca="1" si="20"/>
        <v>46239</v>
      </c>
      <c r="P136" s="140" t="s">
        <v>25</v>
      </c>
      <c r="Q136" s="96">
        <v>6</v>
      </c>
      <c r="R136" s="93">
        <v>4</v>
      </c>
      <c r="S136" s="94">
        <f t="shared" si="21"/>
        <v>10.666666666666666</v>
      </c>
      <c r="T136" s="307"/>
      <c r="X136"/>
      <c r="Z136" s="60"/>
    </row>
    <row r="137" spans="2:26">
      <c r="B137" s="638"/>
      <c r="C137" s="639"/>
      <c r="D137" s="639"/>
      <c r="E137" s="639"/>
      <c r="F137" s="639"/>
      <c r="G137" s="639"/>
      <c r="H137" s="639"/>
      <c r="I137" s="92">
        <f t="shared" si="19"/>
        <v>2.3999999999999937</v>
      </c>
      <c r="J137" s="138" t="s">
        <v>143</v>
      </c>
      <c r="K137" s="35">
        <f>SUMIFS('[2]BESS 11'!H:H,'[2]BESS 11'!$B:$B,$J137)</f>
        <v>14</v>
      </c>
      <c r="L137" s="36">
        <f>SUMIFS('[2]BESS 11'!I:I,'[2]BESS 11'!$B:$B,$J137)</f>
        <v>0</v>
      </c>
      <c r="M137" s="139">
        <f t="shared" si="17"/>
        <v>14</v>
      </c>
      <c r="N137" s="68" t="s">
        <v>234</v>
      </c>
      <c r="O137" s="68">
        <f t="shared" ca="1" si="20"/>
        <v>46228</v>
      </c>
      <c r="P137" s="140" t="s">
        <v>25</v>
      </c>
      <c r="Q137" s="96">
        <v>6</v>
      </c>
      <c r="R137" s="93">
        <v>5</v>
      </c>
      <c r="S137" s="94">
        <f t="shared" si="21"/>
        <v>11.666666666666666</v>
      </c>
      <c r="T137" s="307"/>
      <c r="X137"/>
      <c r="Z137" s="60"/>
    </row>
    <row r="138" spans="2:26">
      <c r="B138" s="649" t="s">
        <v>398</v>
      </c>
      <c r="C138" s="650"/>
      <c r="D138" s="650"/>
      <c r="E138" s="650"/>
      <c r="F138" s="650"/>
      <c r="G138" s="650"/>
      <c r="H138" s="650"/>
      <c r="I138" s="92">
        <f t="shared" si="19"/>
        <v>2.4099999999999935</v>
      </c>
      <c r="J138" s="138" t="s">
        <v>144</v>
      </c>
      <c r="K138" s="35">
        <f>SUMIFS('[2]BESS 11'!H:H,'[2]BESS 11'!$B:$B,$J138)</f>
        <v>1</v>
      </c>
      <c r="L138" s="36">
        <f>SUMIFS('[2]BESS 11'!I:I,'[2]BESS 11'!$B:$B,$J138)</f>
        <v>0</v>
      </c>
      <c r="M138" s="139">
        <f t="shared" si="17"/>
        <v>1</v>
      </c>
      <c r="N138" s="68" t="s">
        <v>332</v>
      </c>
      <c r="O138" s="68">
        <f t="shared" ca="1" si="20"/>
        <v>46233</v>
      </c>
      <c r="P138" s="140" t="s">
        <v>25</v>
      </c>
      <c r="Q138" s="96">
        <v>1</v>
      </c>
      <c r="R138" s="93">
        <v>5</v>
      </c>
      <c r="S138" s="94">
        <f t="shared" si="21"/>
        <v>5</v>
      </c>
      <c r="T138" s="583"/>
      <c r="X138"/>
      <c r="Z138" s="60"/>
    </row>
    <row r="139" spans="2:26">
      <c r="B139" s="649"/>
      <c r="C139" s="650"/>
      <c r="D139" s="650"/>
      <c r="E139" s="650"/>
      <c r="F139" s="650"/>
      <c r="G139" s="650"/>
      <c r="H139" s="650"/>
      <c r="I139" s="92">
        <f t="shared" si="19"/>
        <v>2.4199999999999933</v>
      </c>
      <c r="J139" s="138" t="s">
        <v>145</v>
      </c>
      <c r="K139" s="35">
        <f>SUMIFS('[2]BESS 11'!H:H,'[2]BESS 11'!$B:$B,$J139)</f>
        <v>6</v>
      </c>
      <c r="L139" s="36">
        <f>SUMIFS('[2]BESS 11'!I:I,'[2]BESS 11'!$B:$B,$J139)</f>
        <v>0</v>
      </c>
      <c r="M139" s="139">
        <f t="shared" si="17"/>
        <v>6</v>
      </c>
      <c r="N139" s="68" t="s">
        <v>331</v>
      </c>
      <c r="O139" s="68">
        <f t="shared" ca="1" si="20"/>
        <v>46232</v>
      </c>
      <c r="P139" s="140" t="s">
        <v>25</v>
      </c>
      <c r="Q139" s="96">
        <v>3</v>
      </c>
      <c r="R139" s="93">
        <v>5</v>
      </c>
      <c r="S139" s="94">
        <f t="shared" si="21"/>
        <v>10</v>
      </c>
      <c r="T139" s="583"/>
      <c r="X139"/>
      <c r="Z139" s="60"/>
    </row>
    <row r="140" spans="2:26">
      <c r="B140" s="649"/>
      <c r="C140" s="650"/>
      <c r="D140" s="650"/>
      <c r="E140" s="650"/>
      <c r="F140" s="650"/>
      <c r="G140" s="650"/>
      <c r="H140" s="650"/>
      <c r="I140" s="92">
        <f t="shared" si="19"/>
        <v>2.4299999999999931</v>
      </c>
      <c r="J140" s="138" t="s">
        <v>54</v>
      </c>
      <c r="K140" s="35">
        <f>SUMIFS('[2]BESS 11'!H:H,'[2]BESS 11'!$B:$B,$J140)</f>
        <v>4284</v>
      </c>
      <c r="L140" s="36">
        <f>SUMIFS('[2]BESS 11'!I:I,'[2]BESS 11'!$B:$B,$J140)</f>
        <v>572</v>
      </c>
      <c r="M140" s="139">
        <f t="shared" si="17"/>
        <v>3712</v>
      </c>
      <c r="N140" s="68" t="s">
        <v>328</v>
      </c>
      <c r="O140" s="68">
        <f t="shared" ca="1" si="20"/>
        <v>46235</v>
      </c>
      <c r="P140" s="140" t="s">
        <v>25</v>
      </c>
      <c r="Q140" s="96">
        <v>150</v>
      </c>
      <c r="R140" s="93">
        <v>6</v>
      </c>
      <c r="S140" s="94">
        <f t="shared" si="21"/>
        <v>148.47999999999999</v>
      </c>
      <c r="T140" s="583"/>
      <c r="X140"/>
    </row>
    <row r="141" spans="2:26" ht="14.25" thickBot="1">
      <c r="B141" s="651"/>
      <c r="C141" s="652"/>
      <c r="D141" s="652"/>
      <c r="E141" s="652"/>
      <c r="F141" s="652"/>
      <c r="G141" s="652"/>
      <c r="H141" s="652"/>
      <c r="I141" s="137">
        <f t="shared" si="19"/>
        <v>2.4399999999999928</v>
      </c>
      <c r="J141" s="391" t="s">
        <v>55</v>
      </c>
      <c r="K141" s="37">
        <f>SUMIFS('[2]BESS 11'!H:H,'[2]BESS 11'!$B:$B,$J141)</f>
        <v>10</v>
      </c>
      <c r="L141" s="38">
        <f>SUMIFS('[2]BESS 11'!I:I,'[2]BESS 11'!$B:$B,$J141)</f>
        <v>0</v>
      </c>
      <c r="M141" s="294">
        <f t="shared" si="17"/>
        <v>10</v>
      </c>
      <c r="N141" s="295" t="s">
        <v>328</v>
      </c>
      <c r="O141" s="345">
        <f t="shared" ca="1" si="20"/>
        <v>46235</v>
      </c>
      <c r="P141" s="378" t="s">
        <v>25</v>
      </c>
      <c r="Q141" s="265">
        <v>5</v>
      </c>
      <c r="R141" s="266">
        <v>6</v>
      </c>
      <c r="S141" s="267">
        <f t="shared" si="21"/>
        <v>12</v>
      </c>
      <c r="T141" s="653"/>
      <c r="X141"/>
    </row>
    <row r="142" spans="2:26">
      <c r="B142" s="472" t="s">
        <v>17</v>
      </c>
      <c r="C142" s="475">
        <v>1</v>
      </c>
      <c r="D142" s="586" t="s">
        <v>410</v>
      </c>
      <c r="E142" s="524" t="s">
        <v>120</v>
      </c>
      <c r="F142" s="586">
        <v>46243</v>
      </c>
      <c r="G142" s="478">
        <v>46248</v>
      </c>
      <c r="H142" s="478">
        <v>46251</v>
      </c>
      <c r="I142" s="363"/>
      <c r="J142" s="364"/>
      <c r="K142" s="364"/>
      <c r="L142" s="366" t="s">
        <v>121</v>
      </c>
      <c r="M142" s="364"/>
      <c r="N142" s="364"/>
      <c r="O142" s="367"/>
      <c r="P142" s="392"/>
      <c r="Q142" s="268"/>
      <c r="R142" s="269"/>
      <c r="S142" s="270"/>
      <c r="T142" s="324"/>
      <c r="X142"/>
    </row>
    <row r="143" spans="2:26" ht="25.5">
      <c r="B143" s="473"/>
      <c r="C143" s="476"/>
      <c r="D143" s="587"/>
      <c r="E143" s="445"/>
      <c r="F143" s="456"/>
      <c r="G143" s="456"/>
      <c r="H143" s="456"/>
      <c r="I143" s="336">
        <v>1.1000000000000001</v>
      </c>
      <c r="J143" s="358" t="s">
        <v>19</v>
      </c>
      <c r="K143" s="36">
        <f>SUMIFS('[2]BESS 11'!D:D,'[2]BESS 11'!$B:$B,$J143)</f>
        <v>48</v>
      </c>
      <c r="L143" s="36">
        <f>SUMIFS('[2]BESS 11'!E:E,'[2]BESS 11'!$B:$B,$J143)</f>
        <v>48</v>
      </c>
      <c r="M143" s="36">
        <f t="shared" ref="M143:M153" si="22">K143-L143</f>
        <v>0</v>
      </c>
      <c r="N143" s="297" t="s">
        <v>122</v>
      </c>
      <c r="O143" s="68" t="s">
        <v>89</v>
      </c>
      <c r="P143" s="357" t="s">
        <v>20</v>
      </c>
      <c r="Q143" s="96">
        <v>1</v>
      </c>
      <c r="R143" s="93">
        <v>2</v>
      </c>
      <c r="S143" s="94">
        <f t="shared" ref="S143:S152" si="23">(M143*R143)/Q143</f>
        <v>0</v>
      </c>
      <c r="T143" s="325"/>
      <c r="X143"/>
    </row>
    <row r="144" spans="2:26">
      <c r="B144" s="473"/>
      <c r="C144" s="476"/>
      <c r="D144" s="587"/>
      <c r="E144" s="445"/>
      <c r="F144" s="456"/>
      <c r="G144" s="456"/>
      <c r="H144" s="456"/>
      <c r="I144" s="336">
        <v>1.2000000000000002</v>
      </c>
      <c r="J144" s="358" t="s">
        <v>23</v>
      </c>
      <c r="K144" s="36">
        <f>SUMIFS('[2]BESS 11'!D:D,'[2]BESS 11'!$B:$B,$J144)</f>
        <v>6</v>
      </c>
      <c r="L144" s="36">
        <f>SUMIFS('[2]BESS 11'!E:E,'[2]BESS 11'!$B:$B,$J144)</f>
        <v>6</v>
      </c>
      <c r="M144" s="36">
        <f t="shared" si="22"/>
        <v>0</v>
      </c>
      <c r="N144" s="297" t="s">
        <v>122</v>
      </c>
      <c r="O144" s="68" t="s">
        <v>89</v>
      </c>
      <c r="P144" s="357" t="s">
        <v>20</v>
      </c>
      <c r="Q144" s="96">
        <v>1</v>
      </c>
      <c r="R144" s="93">
        <v>16</v>
      </c>
      <c r="S144" s="94">
        <f t="shared" si="23"/>
        <v>0</v>
      </c>
      <c r="T144" s="325"/>
      <c r="X144"/>
    </row>
    <row r="145" spans="2:26">
      <c r="B145" s="473"/>
      <c r="C145" s="476"/>
      <c r="D145" s="587"/>
      <c r="E145" s="445"/>
      <c r="F145" s="456"/>
      <c r="G145" s="456"/>
      <c r="H145" s="456"/>
      <c r="I145" s="336">
        <v>1.3000000000000003</v>
      </c>
      <c r="J145" s="358" t="s">
        <v>26</v>
      </c>
      <c r="K145" s="36">
        <f>SUMIFS('[2]BESS 11'!D:D,'[2]BESS 11'!$B:$B,$J145)</f>
        <v>6</v>
      </c>
      <c r="L145" s="36">
        <f>SUMIFS('[2]BESS 11'!E:E,'[2]BESS 11'!$B:$B,$J145)</f>
        <v>6</v>
      </c>
      <c r="M145" s="36">
        <f t="shared" si="22"/>
        <v>0</v>
      </c>
      <c r="N145" s="297" t="s">
        <v>122</v>
      </c>
      <c r="O145" s="68" t="s">
        <v>89</v>
      </c>
      <c r="P145" s="357" t="s">
        <v>20</v>
      </c>
      <c r="Q145" s="96">
        <v>1</v>
      </c>
      <c r="R145" s="93">
        <v>39</v>
      </c>
      <c r="S145" s="94">
        <f t="shared" si="23"/>
        <v>0</v>
      </c>
      <c r="T145" s="325"/>
      <c r="X145"/>
    </row>
    <row r="146" spans="2:26">
      <c r="B146" s="473"/>
      <c r="C146" s="476"/>
      <c r="D146" s="587"/>
      <c r="E146" s="445"/>
      <c r="F146" s="456"/>
      <c r="G146" s="456"/>
      <c r="H146" s="456"/>
      <c r="I146" s="336">
        <v>1.4000000000000004</v>
      </c>
      <c r="J146" s="358" t="s">
        <v>32</v>
      </c>
      <c r="K146" s="36">
        <f>SUMIFS('[2]BESS 11'!D:D,'[2]BESS 11'!$B:$B,$J146)</f>
        <v>1</v>
      </c>
      <c r="L146" s="36">
        <f>SUMIFS('[2]BESS 11'!E:E,'[2]BESS 11'!$B:$B,$J146)</f>
        <v>1</v>
      </c>
      <c r="M146" s="36">
        <f t="shared" si="22"/>
        <v>0</v>
      </c>
      <c r="N146" s="297" t="s">
        <v>122</v>
      </c>
      <c r="O146" s="68" t="s">
        <v>89</v>
      </c>
      <c r="P146" s="357" t="s">
        <v>20</v>
      </c>
      <c r="Q146" s="96">
        <v>1</v>
      </c>
      <c r="R146" s="93">
        <v>37</v>
      </c>
      <c r="S146" s="94">
        <f t="shared" si="23"/>
        <v>0</v>
      </c>
      <c r="T146" s="325"/>
      <c r="X146"/>
    </row>
    <row r="147" spans="2:26">
      <c r="B147" s="473"/>
      <c r="C147" s="476"/>
      <c r="D147" s="587"/>
      <c r="E147" s="445"/>
      <c r="F147" s="456"/>
      <c r="G147" s="456"/>
      <c r="H147" s="456"/>
      <c r="I147" s="336">
        <v>1.5000000000000004</v>
      </c>
      <c r="J147" s="358" t="s">
        <v>35</v>
      </c>
      <c r="K147" s="36">
        <f>SUMIFS('[2]BESS 11'!D:D,'[2]BESS 11'!$B:$B,$J147)</f>
        <v>1</v>
      </c>
      <c r="L147" s="36">
        <f>SUMIFS('[2]BESS 11'!E:E,'[2]BESS 11'!$B:$B,$J147)</f>
        <v>1</v>
      </c>
      <c r="M147" s="36">
        <f t="shared" si="22"/>
        <v>0</v>
      </c>
      <c r="N147" s="297" t="s">
        <v>122</v>
      </c>
      <c r="O147" s="68" t="s">
        <v>89</v>
      </c>
      <c r="P147" s="357" t="s">
        <v>20</v>
      </c>
      <c r="Q147" s="96">
        <v>1</v>
      </c>
      <c r="R147" s="93">
        <v>34</v>
      </c>
      <c r="S147" s="94">
        <f t="shared" si="23"/>
        <v>0</v>
      </c>
      <c r="T147" s="325"/>
      <c r="X147"/>
    </row>
    <row r="148" spans="2:26">
      <c r="B148" s="473"/>
      <c r="C148" s="476"/>
      <c r="D148" s="587"/>
      <c r="E148" s="445"/>
      <c r="F148" s="456"/>
      <c r="G148" s="456"/>
      <c r="H148" s="456"/>
      <c r="I148" s="336">
        <v>1.6000000000000005</v>
      </c>
      <c r="J148" s="358" t="s">
        <v>38</v>
      </c>
      <c r="K148" s="36">
        <f>SUMIFS('[2]BESS 11'!D:D,'[2]BESS 11'!$B:$B,$J148)</f>
        <v>1</v>
      </c>
      <c r="L148" s="36">
        <f>SUMIFS('[2]BESS 11'!E:E,'[2]BESS 11'!$B:$B,$J148)</f>
        <v>1</v>
      </c>
      <c r="M148" s="36">
        <f t="shared" si="22"/>
        <v>0</v>
      </c>
      <c r="N148" s="297" t="s">
        <v>122</v>
      </c>
      <c r="O148" s="68" t="s">
        <v>89</v>
      </c>
      <c r="P148" s="357" t="s">
        <v>20</v>
      </c>
      <c r="Q148" s="96">
        <v>1</v>
      </c>
      <c r="R148" s="93">
        <v>54</v>
      </c>
      <c r="S148" s="94">
        <f t="shared" si="23"/>
        <v>0</v>
      </c>
      <c r="T148" s="325"/>
      <c r="X148"/>
    </row>
    <row r="149" spans="2:26">
      <c r="B149" s="473"/>
      <c r="C149" s="476"/>
      <c r="D149" s="587"/>
      <c r="E149" s="445"/>
      <c r="F149" s="456"/>
      <c r="G149" s="456"/>
      <c r="H149" s="456"/>
      <c r="I149" s="336">
        <v>1.7000000000000006</v>
      </c>
      <c r="J149" s="358" t="s">
        <v>46</v>
      </c>
      <c r="K149" s="36">
        <f>SUMIFS('[2]BESS 11'!D:D,'[2]BESS 11'!$B:$B,$J149)</f>
        <v>3</v>
      </c>
      <c r="L149" s="36">
        <f>SUMIFS('[2]BESS 11'!E:E,'[2]BESS 11'!$B:$B,$J149)</f>
        <v>3</v>
      </c>
      <c r="M149" s="36">
        <f t="shared" si="22"/>
        <v>0</v>
      </c>
      <c r="N149" s="297" t="s">
        <v>122</v>
      </c>
      <c r="O149" s="68" t="s">
        <v>89</v>
      </c>
      <c r="P149" s="357" t="s">
        <v>20</v>
      </c>
      <c r="Q149" s="96">
        <v>1</v>
      </c>
      <c r="R149" s="93">
        <v>5</v>
      </c>
      <c r="S149" s="94">
        <f t="shared" si="23"/>
        <v>0</v>
      </c>
      <c r="T149" s="325"/>
      <c r="X149"/>
    </row>
    <row r="150" spans="2:26" ht="27">
      <c r="B150" s="473"/>
      <c r="C150" s="476"/>
      <c r="D150" s="587"/>
      <c r="E150" s="445"/>
      <c r="F150" s="456"/>
      <c r="G150" s="456"/>
      <c r="H150" s="456"/>
      <c r="I150" s="390">
        <v>1.8000000000000007</v>
      </c>
      <c r="J150" s="138" t="s">
        <v>40</v>
      </c>
      <c r="K150" s="35">
        <f>SUMIFS('[2]BESS 11'!D:D,'[2]BESS 11'!$B:$B,$J150)</f>
        <v>6</v>
      </c>
      <c r="L150" s="36">
        <f>SUMIFS('[2]BESS 11'!E:E,'[2]BESS 11'!$B:$B,$J150)</f>
        <v>5</v>
      </c>
      <c r="M150" s="139">
        <f t="shared" si="22"/>
        <v>1</v>
      </c>
      <c r="N150" s="91" t="s">
        <v>286</v>
      </c>
      <c r="O150" s="68">
        <v>46218</v>
      </c>
      <c r="P150" s="140" t="s">
        <v>20</v>
      </c>
      <c r="Q150" s="96">
        <v>1</v>
      </c>
      <c r="R150" s="93">
        <v>5</v>
      </c>
      <c r="S150" s="94">
        <f t="shared" si="23"/>
        <v>5</v>
      </c>
      <c r="T150" s="261" t="s">
        <v>169</v>
      </c>
      <c r="X150"/>
    </row>
    <row r="151" spans="2:26">
      <c r="B151" s="473"/>
      <c r="C151" s="476"/>
      <c r="D151" s="587"/>
      <c r="E151" s="445"/>
      <c r="F151" s="456"/>
      <c r="G151" s="456"/>
      <c r="H151" s="456"/>
      <c r="I151" s="336">
        <v>1.9000000000000008</v>
      </c>
      <c r="J151" s="358" t="s">
        <v>30</v>
      </c>
      <c r="K151" s="36">
        <f>SUMIFS('[2]BESS 11'!D:D,'[2]BESS 11'!$B:$B,$J151)</f>
        <v>6</v>
      </c>
      <c r="L151" s="36">
        <f>SUMIFS('[2]BESS 11'!E:E,'[2]BESS 11'!$B:$B,$J151)</f>
        <v>6</v>
      </c>
      <c r="M151" s="36">
        <f t="shared" si="22"/>
        <v>0</v>
      </c>
      <c r="N151" s="297" t="s">
        <v>122</v>
      </c>
      <c r="O151" s="68" t="s">
        <v>89</v>
      </c>
      <c r="P151" s="357" t="s">
        <v>31</v>
      </c>
      <c r="Q151" s="96">
        <v>1</v>
      </c>
      <c r="R151" s="93">
        <v>27</v>
      </c>
      <c r="S151" s="94">
        <f t="shared" si="23"/>
        <v>0</v>
      </c>
      <c r="T151" s="325"/>
      <c r="X151"/>
    </row>
    <row r="152" spans="2:26">
      <c r="B152" s="473"/>
      <c r="C152" s="476"/>
      <c r="D152" s="587"/>
      <c r="E152" s="445"/>
      <c r="F152" s="456"/>
      <c r="G152" s="456"/>
      <c r="H152" s="456"/>
      <c r="I152" s="336">
        <v>1.1000000000000001</v>
      </c>
      <c r="J152" s="358" t="s">
        <v>34</v>
      </c>
      <c r="K152" s="36">
        <f>SUMIFS('[2]BESS 11'!D:D,'[2]BESS 11'!$B:$B,$J152)</f>
        <v>1</v>
      </c>
      <c r="L152" s="36">
        <f>SUMIFS('[2]BESS 11'!E:E,'[2]BESS 11'!$B:$B,$J152)</f>
        <v>1</v>
      </c>
      <c r="M152" s="36">
        <f t="shared" si="22"/>
        <v>0</v>
      </c>
      <c r="N152" s="297" t="s">
        <v>122</v>
      </c>
      <c r="O152" s="68" t="s">
        <v>89</v>
      </c>
      <c r="P152" s="357" t="s">
        <v>31</v>
      </c>
      <c r="Q152" s="96">
        <v>1</v>
      </c>
      <c r="R152" s="93">
        <v>25</v>
      </c>
      <c r="S152" s="94">
        <f t="shared" si="23"/>
        <v>0</v>
      </c>
      <c r="T152" s="325"/>
      <c r="X152"/>
    </row>
    <row r="153" spans="2:26" ht="25.5">
      <c r="B153" s="473"/>
      <c r="C153" s="476"/>
      <c r="D153" s="587"/>
      <c r="E153" s="445"/>
      <c r="F153" s="456"/>
      <c r="G153" s="456"/>
      <c r="H153" s="456"/>
      <c r="I153" s="92">
        <v>1.1100000000000001</v>
      </c>
      <c r="J153" s="138" t="s">
        <v>37</v>
      </c>
      <c r="K153" s="35">
        <f>SUMIFS('[2]BESS 11'!D:D,'[2]BESS 11'!$B:$B,$J153)</f>
        <v>1</v>
      </c>
      <c r="L153" s="36">
        <f>SUMIFS('[2]BESS 11'!E:E,'[2]BESS 11'!$B:$B,$J153)</f>
        <v>1</v>
      </c>
      <c r="M153" s="139">
        <f t="shared" si="22"/>
        <v>0</v>
      </c>
      <c r="N153" s="91" t="s">
        <v>295</v>
      </c>
      <c r="O153" s="68" t="str">
        <f ca="1">IFERROR(DATEVALUE(TRIM(_xlfn.TEXTAFTER(N153,",",-1))&amp;"-"&amp;YEAR(TODAY())),N153)</f>
        <v>01 Jul, 12 Jul,
22 Jul</v>
      </c>
      <c r="P153" s="140" t="s">
        <v>123</v>
      </c>
      <c r="Q153" s="96" t="s">
        <v>89</v>
      </c>
      <c r="R153" s="93" t="s">
        <v>89</v>
      </c>
      <c r="S153" s="94" t="s">
        <v>89</v>
      </c>
      <c r="T153" s="307"/>
      <c r="X153"/>
    </row>
    <row r="154" spans="2:26">
      <c r="B154" s="473"/>
      <c r="C154" s="476"/>
      <c r="D154" s="587"/>
      <c r="E154" s="445"/>
      <c r="F154" s="456"/>
      <c r="G154" s="456"/>
      <c r="H154" s="456"/>
      <c r="I154" s="254"/>
      <c r="J154" s="50"/>
      <c r="K154" s="50"/>
      <c r="L154" s="52" t="s">
        <v>124</v>
      </c>
      <c r="M154" s="139"/>
      <c r="N154" s="50"/>
      <c r="O154" s="68"/>
      <c r="P154" s="393"/>
      <c r="Q154" s="96"/>
      <c r="R154" s="93"/>
      <c r="S154" s="94"/>
      <c r="T154" s="325"/>
      <c r="X154"/>
    </row>
    <row r="155" spans="2:26">
      <c r="B155" s="473"/>
      <c r="C155" s="476"/>
      <c r="D155" s="587"/>
      <c r="E155" s="445"/>
      <c r="F155" s="456"/>
      <c r="G155" s="456"/>
      <c r="H155" s="456"/>
      <c r="I155" s="334">
        <v>1.1200000000000001</v>
      </c>
      <c r="J155" s="358" t="s">
        <v>24</v>
      </c>
      <c r="K155" s="36">
        <f>SUMIFS('[2]BESS 11'!D:D,'[2]BESS 11'!$B:$B,$J155)</f>
        <v>6</v>
      </c>
      <c r="L155" s="36">
        <f>SUMIFS('[2]BESS 11'!E:E,'[2]BESS 11'!$B:$B,$J155)</f>
        <v>6</v>
      </c>
      <c r="M155" s="36">
        <f t="shared" ref="M155:M186" si="24">K155-L155</f>
        <v>0</v>
      </c>
      <c r="N155" s="297" t="s">
        <v>122</v>
      </c>
      <c r="O155" s="68" t="s">
        <v>89</v>
      </c>
      <c r="P155" s="357" t="s">
        <v>25</v>
      </c>
      <c r="Q155" s="96">
        <v>2</v>
      </c>
      <c r="R155" s="93">
        <v>4</v>
      </c>
      <c r="S155" s="94">
        <f>(M155*R155)/Q155</f>
        <v>0</v>
      </c>
      <c r="T155" s="325"/>
      <c r="X155"/>
    </row>
    <row r="156" spans="2:26">
      <c r="B156" s="473"/>
      <c r="C156" s="476"/>
      <c r="D156" s="587"/>
      <c r="E156" s="445"/>
      <c r="F156" s="456"/>
      <c r="G156" s="456"/>
      <c r="H156" s="456"/>
      <c r="I156" s="334">
        <v>1.1300000000000001</v>
      </c>
      <c r="J156" s="358" t="s">
        <v>27</v>
      </c>
      <c r="K156" s="36">
        <f>SUMIFS('[2]BESS 11'!D:D,'[2]BESS 11'!$B:$B,$J156)</f>
        <v>48</v>
      </c>
      <c r="L156" s="36">
        <f>SUMIFS('[2]BESS 11'!E:E,'[2]BESS 11'!$B:$B,$J156)</f>
        <v>48</v>
      </c>
      <c r="M156" s="36">
        <f t="shared" si="24"/>
        <v>0</v>
      </c>
      <c r="N156" s="297" t="s">
        <v>122</v>
      </c>
      <c r="O156" s="68" t="str">
        <f ca="1">IFERROR(DATEVALUE(TRIM(_xlfn.TEXTAFTER(N156,",",-1))&amp;"-"&amp;YEAR(TODAY())),N156)</f>
        <v>Completed</v>
      </c>
      <c r="P156" s="357" t="s">
        <v>25</v>
      </c>
      <c r="Q156" s="96">
        <v>10</v>
      </c>
      <c r="R156" s="93">
        <v>4</v>
      </c>
      <c r="S156" s="94">
        <f>(M156*R156)/Q156</f>
        <v>0</v>
      </c>
      <c r="T156" s="322"/>
      <c r="X156"/>
    </row>
    <row r="157" spans="2:26">
      <c r="B157" s="473"/>
      <c r="C157" s="476"/>
      <c r="D157" s="587"/>
      <c r="E157" s="445"/>
      <c r="F157" s="456"/>
      <c r="G157" s="456"/>
      <c r="H157" s="456"/>
      <c r="I157" s="334">
        <v>1.1400000000000001</v>
      </c>
      <c r="J157" s="358" t="s">
        <v>28</v>
      </c>
      <c r="K157" s="36">
        <f>SUMIFS('[2]BESS 11'!D:D,'[2]BESS 11'!$B:$B,$J157)</f>
        <v>6</v>
      </c>
      <c r="L157" s="36">
        <f>SUMIFS('[2]BESS 11'!E:E,'[2]BESS 11'!$B:$B,$J157)</f>
        <v>6</v>
      </c>
      <c r="M157" s="36">
        <f t="shared" si="24"/>
        <v>0</v>
      </c>
      <c r="N157" s="297" t="s">
        <v>122</v>
      </c>
      <c r="O157" s="297" t="s">
        <v>89</v>
      </c>
      <c r="P157" s="357" t="s">
        <v>25</v>
      </c>
      <c r="Q157" s="96">
        <v>5</v>
      </c>
      <c r="R157" s="93">
        <v>4</v>
      </c>
      <c r="S157" s="94">
        <f>(M157*R157)/Q157</f>
        <v>0</v>
      </c>
      <c r="T157" s="318"/>
      <c r="X157"/>
    </row>
    <row r="158" spans="2:26" ht="25.5">
      <c r="B158" s="473"/>
      <c r="C158" s="476"/>
      <c r="D158" s="587"/>
      <c r="E158" s="445"/>
      <c r="F158" s="456"/>
      <c r="G158" s="456"/>
      <c r="H158" s="456"/>
      <c r="I158" s="92">
        <v>1.1500000000000001</v>
      </c>
      <c r="J158" s="138" t="s">
        <v>29</v>
      </c>
      <c r="K158" s="35">
        <f>SUMIFS('[2]BESS 11'!D:D,'[2]BESS 11'!$B:$B,$J158)</f>
        <v>6</v>
      </c>
      <c r="L158" s="36">
        <f>SUMIFS('[2]BESS 11'!E:E,'[2]BESS 11'!$B:$B,$J158)</f>
        <v>0</v>
      </c>
      <c r="M158" s="139">
        <f t="shared" si="24"/>
        <v>6</v>
      </c>
      <c r="N158" s="297" t="s">
        <v>122</v>
      </c>
      <c r="O158" s="68" t="str">
        <f ca="1">IFERROR(DATEVALUE(TRIM(_xlfn.TEXTAFTER(N158,",",-1))&amp;"-"&amp;YEAR(TODAY())),N158)</f>
        <v>Completed</v>
      </c>
      <c r="P158" s="140" t="s">
        <v>25</v>
      </c>
      <c r="Q158" s="96">
        <v>20</v>
      </c>
      <c r="R158" s="527">
        <v>4</v>
      </c>
      <c r="S158" s="530">
        <v>4</v>
      </c>
      <c r="T158" s="318" t="s">
        <v>170</v>
      </c>
      <c r="X158"/>
    </row>
    <row r="159" spans="2:26">
      <c r="B159" s="473"/>
      <c r="C159" s="476"/>
      <c r="D159" s="587"/>
      <c r="E159" s="445"/>
      <c r="F159" s="456"/>
      <c r="G159" s="456"/>
      <c r="H159" s="456"/>
      <c r="I159" s="334">
        <v>1.1600000000000001</v>
      </c>
      <c r="J159" s="358" t="s">
        <v>33</v>
      </c>
      <c r="K159" s="36">
        <f>SUMIFS('[2]BESS 11'!D:D,'[2]BESS 11'!$B:$B,$J159)</f>
        <v>2</v>
      </c>
      <c r="L159" s="36">
        <f>SUMIFS('[2]BESS 11'!E:E,'[2]BESS 11'!$B:$B,$J159)</f>
        <v>2</v>
      </c>
      <c r="M159" s="36">
        <f t="shared" si="24"/>
        <v>0</v>
      </c>
      <c r="N159" s="297" t="s">
        <v>122</v>
      </c>
      <c r="O159" s="297" t="s">
        <v>89</v>
      </c>
      <c r="P159" s="357" t="s">
        <v>25</v>
      </c>
      <c r="Q159" s="96">
        <v>10</v>
      </c>
      <c r="R159" s="528"/>
      <c r="S159" s="531"/>
      <c r="T159" s="567"/>
      <c r="X159"/>
    </row>
    <row r="160" spans="2:26" ht="25.5">
      <c r="B160" s="473"/>
      <c r="C160" s="476"/>
      <c r="D160" s="587"/>
      <c r="E160" s="445"/>
      <c r="F160" s="456"/>
      <c r="G160" s="456"/>
      <c r="H160" s="456"/>
      <c r="I160" s="92">
        <v>1.1700000000000002</v>
      </c>
      <c r="J160" s="138" t="s">
        <v>36</v>
      </c>
      <c r="K160" s="35">
        <f>SUMIFS('[2]BESS 11'!D:D,'[2]BESS 11'!$B:$B,$J160)</f>
        <v>1</v>
      </c>
      <c r="L160" s="36">
        <f>SUMIFS('[2]BESS 11'!E:E,'[2]BESS 11'!$B:$B,$J160)</f>
        <v>0</v>
      </c>
      <c r="M160" s="139">
        <f t="shared" si="24"/>
        <v>1</v>
      </c>
      <c r="N160" s="91" t="s">
        <v>329</v>
      </c>
      <c r="O160" s="68" t="str">
        <f ca="1">IFERROR(DATEVALUE(TRIM(_xlfn.TEXTAFTER(N160,",",-1))&amp;"-"&amp;YEAR(TODAY())),N160)</f>
        <v>05 Jul, 13 Jul,
22 Jul</v>
      </c>
      <c r="P160" s="140" t="s">
        <v>25</v>
      </c>
      <c r="Q160" s="96">
        <v>10</v>
      </c>
      <c r="R160" s="528"/>
      <c r="S160" s="531"/>
      <c r="T160" s="567"/>
      <c r="X160"/>
      <c r="Z160" s="60"/>
    </row>
    <row r="161" spans="2:26">
      <c r="B161" s="473"/>
      <c r="C161" s="476"/>
      <c r="D161" s="587"/>
      <c r="E161" s="445"/>
      <c r="F161" s="456"/>
      <c r="G161" s="456"/>
      <c r="H161" s="456"/>
      <c r="I161" s="334">
        <v>1.1800000000000002</v>
      </c>
      <c r="J161" s="358" t="s">
        <v>39</v>
      </c>
      <c r="K161" s="36">
        <f>SUMIFS('[2]BESS 11'!D:D,'[2]BESS 11'!$B:$B,$J161)</f>
        <v>1</v>
      </c>
      <c r="L161" s="36">
        <f>SUMIFS('[2]BESS 11'!E:E,'[2]BESS 11'!$B:$B,$J161)</f>
        <v>1</v>
      </c>
      <c r="M161" s="36">
        <f t="shared" si="24"/>
        <v>0</v>
      </c>
      <c r="N161" s="297" t="s">
        <v>122</v>
      </c>
      <c r="O161" s="297" t="s">
        <v>89</v>
      </c>
      <c r="P161" s="357" t="s">
        <v>25</v>
      </c>
      <c r="Q161" s="96">
        <v>10</v>
      </c>
      <c r="R161" s="528"/>
      <c r="S161" s="531"/>
      <c r="T161" s="567"/>
      <c r="X161"/>
    </row>
    <row r="162" spans="2:26" ht="25.5">
      <c r="B162" s="638" t="s">
        <v>405</v>
      </c>
      <c r="C162" s="639"/>
      <c r="D162" s="639"/>
      <c r="E162" s="639"/>
      <c r="F162" s="639"/>
      <c r="G162" s="639"/>
      <c r="H162" s="639"/>
      <c r="I162" s="92">
        <v>1.1900000000000002</v>
      </c>
      <c r="J162" s="138" t="s">
        <v>41</v>
      </c>
      <c r="K162" s="35">
        <f>SUMIFS('[2]BESS 11'!D:D,'[2]BESS 11'!$B:$B,$J162)</f>
        <v>6</v>
      </c>
      <c r="L162" s="36">
        <f>SUMIFS('[2]BESS 11'!E:E,'[2]BESS 11'!$B:$B,$J162)</f>
        <v>0</v>
      </c>
      <c r="M162" s="139">
        <f t="shared" si="24"/>
        <v>6</v>
      </c>
      <c r="N162" s="91" t="s">
        <v>311</v>
      </c>
      <c r="O162" s="68" t="str">
        <f ca="1">IFERROR(DATEVALUE(TRIM(_xlfn.TEXTAFTER(N162,",",-1))&amp;"-"&amp;YEAR(TODAY())),N162)</f>
        <v>15 Jul, 17 Jul,
25 Jul</v>
      </c>
      <c r="P162" s="140" t="s">
        <v>125</v>
      </c>
      <c r="Q162" s="96">
        <v>20</v>
      </c>
      <c r="R162" s="529"/>
      <c r="S162" s="532"/>
      <c r="T162" s="325"/>
      <c r="X162"/>
    </row>
    <row r="163" spans="2:26">
      <c r="B163" s="638"/>
      <c r="C163" s="639"/>
      <c r="D163" s="639"/>
      <c r="E163" s="639"/>
      <c r="F163" s="639"/>
      <c r="G163" s="639"/>
      <c r="H163" s="639"/>
      <c r="I163" s="92">
        <v>1.2000000000000002</v>
      </c>
      <c r="J163" s="138" t="s">
        <v>43</v>
      </c>
      <c r="K163" s="35">
        <f>SUMIFS('[2]BESS 11'!D:D,'[2]BESS 11'!$B:$B,$J163)</f>
        <v>6</v>
      </c>
      <c r="L163" s="36">
        <f>SUMIFS('[2]BESS 11'!E:E,'[2]BESS 11'!$B:$B,$J163)</f>
        <v>0</v>
      </c>
      <c r="M163" s="139">
        <f t="shared" si="24"/>
        <v>6</v>
      </c>
      <c r="N163" s="68" t="s">
        <v>312</v>
      </c>
      <c r="O163" s="68">
        <f ca="1">IFERROR(DATEVALUE(TRIM(_xlfn.TEXTAFTER(N163,",",-1))&amp;"-"&amp;YEAR(TODAY())),N163)</f>
        <v>46230</v>
      </c>
      <c r="P163" s="140" t="s">
        <v>125</v>
      </c>
      <c r="Q163" s="96">
        <v>0.66666666666666663</v>
      </c>
      <c r="R163" s="93">
        <v>0</v>
      </c>
      <c r="S163" s="94">
        <f t="shared" ref="S163:S175" si="25">(M163*R163)/Q163</f>
        <v>0</v>
      </c>
      <c r="T163" s="325"/>
      <c r="X163"/>
    </row>
    <row r="164" spans="2:26">
      <c r="B164" s="638"/>
      <c r="C164" s="639"/>
      <c r="D164" s="639"/>
      <c r="E164" s="639"/>
      <c r="F164" s="639"/>
      <c r="G164" s="639"/>
      <c r="H164" s="639"/>
      <c r="I164" s="92">
        <v>1.2100000000000002</v>
      </c>
      <c r="J164" s="138" t="s">
        <v>21</v>
      </c>
      <c r="K164" s="35">
        <f>SUMIFS('[2]BESS 11'!D:D,'[2]BESS 11'!$B:$B,$J164)</f>
        <v>48</v>
      </c>
      <c r="L164" s="36">
        <f>SUMIFS('[2]BESS 11'!E:E,'[2]BESS 11'!$B:$B,$J164)</f>
        <v>48</v>
      </c>
      <c r="M164" s="139">
        <f t="shared" si="24"/>
        <v>0</v>
      </c>
      <c r="N164" s="91" t="s">
        <v>280</v>
      </c>
      <c r="O164" s="68">
        <f ca="1">IFERROR(DATEVALUE(TRIM(_xlfn.TEXTAFTER(N164,",",-1))&amp;"-"&amp;YEAR(TODAY())),N164)</f>
        <v>46231</v>
      </c>
      <c r="P164" s="140" t="s">
        <v>22</v>
      </c>
      <c r="Q164" s="96">
        <v>10</v>
      </c>
      <c r="R164" s="93">
        <v>4</v>
      </c>
      <c r="S164" s="94">
        <f t="shared" si="25"/>
        <v>0</v>
      </c>
      <c r="T164" s="325"/>
      <c r="X164"/>
      <c r="Z164" s="60"/>
    </row>
    <row r="165" spans="2:26">
      <c r="B165" s="638"/>
      <c r="C165" s="639"/>
      <c r="D165" s="639"/>
      <c r="E165" s="639"/>
      <c r="F165" s="639"/>
      <c r="G165" s="639"/>
      <c r="H165" s="639"/>
      <c r="I165" s="334">
        <v>1.2200000000000002</v>
      </c>
      <c r="J165" s="358" t="s">
        <v>47</v>
      </c>
      <c r="K165" s="36">
        <f>SUMIFS('[2]BESS 11'!D:D,'[2]BESS 11'!$B:$B,$J165)</f>
        <v>8865</v>
      </c>
      <c r="L165" s="36">
        <f>SUMIFS('[2]BESS 11'!E:E,'[2]BESS 11'!$B:$B,$J165)</f>
        <v>8865</v>
      </c>
      <c r="M165" s="36">
        <f t="shared" si="24"/>
        <v>0</v>
      </c>
      <c r="N165" s="297" t="s">
        <v>122</v>
      </c>
      <c r="O165" s="297" t="s">
        <v>89</v>
      </c>
      <c r="P165" s="357" t="s">
        <v>25</v>
      </c>
      <c r="Q165" s="96">
        <v>1500</v>
      </c>
      <c r="R165" s="93">
        <v>48</v>
      </c>
      <c r="S165" s="94">
        <f t="shared" si="25"/>
        <v>0</v>
      </c>
      <c r="T165" s="261"/>
      <c r="X165"/>
    </row>
    <row r="166" spans="2:26" ht="25.5">
      <c r="B166" s="638"/>
      <c r="C166" s="639"/>
      <c r="D166" s="639"/>
      <c r="E166" s="639"/>
      <c r="F166" s="639"/>
      <c r="G166" s="639"/>
      <c r="H166" s="639"/>
      <c r="I166" s="92">
        <v>1.2300000000000002</v>
      </c>
      <c r="J166" s="138" t="s">
        <v>48</v>
      </c>
      <c r="K166" s="35">
        <f>SUMIFS('[2]BESS 11'!D:D,'[2]BESS 11'!$B:$B,$J166)</f>
        <v>28</v>
      </c>
      <c r="L166" s="36">
        <f>SUMIFS('[2]BESS 11'!E:E,'[2]BESS 11'!$B:$B,$J166)</f>
        <v>28</v>
      </c>
      <c r="M166" s="139">
        <f t="shared" si="24"/>
        <v>0</v>
      </c>
      <c r="N166" s="91" t="s">
        <v>279</v>
      </c>
      <c r="O166" s="68" t="str">
        <f t="shared" ref="O166:O176" ca="1" si="26">IFERROR(DATEVALUE(TRIM(_xlfn.TEXTAFTER(N166,",",-1))&amp;"-"&amp;YEAR(TODAY())),N166)</f>
        <v xml:space="preserve">12 Jul, 20 Jul,
05 Aug </v>
      </c>
      <c r="P166" s="140" t="s">
        <v>25</v>
      </c>
      <c r="Q166" s="96">
        <v>8</v>
      </c>
      <c r="R166" s="93">
        <v>6</v>
      </c>
      <c r="S166" s="94">
        <f t="shared" si="25"/>
        <v>0</v>
      </c>
      <c r="T166" s="307"/>
      <c r="X166"/>
      <c r="Z166" s="60"/>
    </row>
    <row r="167" spans="2:26">
      <c r="B167" s="638"/>
      <c r="C167" s="639"/>
      <c r="D167" s="639"/>
      <c r="E167" s="639"/>
      <c r="F167" s="639"/>
      <c r="G167" s="639"/>
      <c r="H167" s="639"/>
      <c r="I167" s="334">
        <f t="shared" ref="I167:I186" si="27">I166+0.01</f>
        <v>1.2400000000000002</v>
      </c>
      <c r="J167" s="358" t="s">
        <v>126</v>
      </c>
      <c r="K167" s="36">
        <f>SUMIFS('[2]BESS 11'!D:D,'[2]BESS 11'!$B:$B,$J167)</f>
        <v>13120</v>
      </c>
      <c r="L167" s="36">
        <f>SUMIFS('[2]BESS 11'!E:E,'[2]BESS 11'!$B:$B,$J167)</f>
        <v>13120</v>
      </c>
      <c r="M167" s="36">
        <f t="shared" si="24"/>
        <v>0</v>
      </c>
      <c r="N167" s="297" t="s">
        <v>122</v>
      </c>
      <c r="O167" s="68" t="str">
        <f t="shared" ca="1" si="26"/>
        <v>Completed</v>
      </c>
      <c r="P167" s="357" t="s">
        <v>25</v>
      </c>
      <c r="Q167" s="96">
        <v>600</v>
      </c>
      <c r="R167" s="93">
        <v>10</v>
      </c>
      <c r="S167" s="94">
        <f t="shared" si="25"/>
        <v>0</v>
      </c>
      <c r="T167" s="307"/>
      <c r="X167"/>
      <c r="Z167" s="60"/>
    </row>
    <row r="168" spans="2:26">
      <c r="B168" s="638"/>
      <c r="C168" s="639"/>
      <c r="D168" s="639"/>
      <c r="E168" s="639"/>
      <c r="F168" s="639"/>
      <c r="G168" s="639"/>
      <c r="H168" s="639"/>
      <c r="I168" s="334">
        <f t="shared" si="27"/>
        <v>1.2500000000000002</v>
      </c>
      <c r="J168" s="358" t="s">
        <v>127</v>
      </c>
      <c r="K168" s="36">
        <f>SUMIFS('[2]BESS 11'!D:D,'[2]BESS 11'!$B:$B,$J168)</f>
        <v>44784</v>
      </c>
      <c r="L168" s="36">
        <f>SUMIFS('[2]BESS 11'!E:E,'[2]BESS 11'!$B:$B,$J168)</f>
        <v>44784</v>
      </c>
      <c r="M168" s="36">
        <f t="shared" si="24"/>
        <v>0</v>
      </c>
      <c r="N168" s="297" t="s">
        <v>122</v>
      </c>
      <c r="O168" s="68" t="str">
        <f t="shared" ca="1" si="26"/>
        <v>Completed</v>
      </c>
      <c r="P168" s="357" t="s">
        <v>25</v>
      </c>
      <c r="Q168" s="96">
        <v>600</v>
      </c>
      <c r="R168" s="93">
        <v>10</v>
      </c>
      <c r="S168" s="94">
        <f t="shared" si="25"/>
        <v>0</v>
      </c>
      <c r="T168" s="307"/>
      <c r="X168"/>
    </row>
    <row r="169" spans="2:26">
      <c r="B169" s="638"/>
      <c r="C169" s="639"/>
      <c r="D169" s="639"/>
      <c r="E169" s="639"/>
      <c r="F169" s="639"/>
      <c r="G169" s="639"/>
      <c r="H169" s="639"/>
      <c r="I169" s="92">
        <f t="shared" si="27"/>
        <v>1.2600000000000002</v>
      </c>
      <c r="J169" s="138" t="s">
        <v>128</v>
      </c>
      <c r="K169" s="35">
        <f>SUMIFS('[2]BESS 11'!D:D,'[2]BESS 11'!$B:$B,$J169)</f>
        <v>1536</v>
      </c>
      <c r="L169" s="36">
        <f>SUMIFS('[2]BESS 11'!E:E,'[2]BESS 11'!$B:$B,$J169)</f>
        <v>0</v>
      </c>
      <c r="M169" s="139">
        <f t="shared" si="24"/>
        <v>1536</v>
      </c>
      <c r="N169" s="68" t="s">
        <v>270</v>
      </c>
      <c r="O169" s="68">
        <f t="shared" ca="1" si="26"/>
        <v>46239</v>
      </c>
      <c r="P169" s="140" t="s">
        <v>25</v>
      </c>
      <c r="Q169" s="96">
        <v>30</v>
      </c>
      <c r="R169" s="93">
        <v>18</v>
      </c>
      <c r="S169" s="94">
        <f t="shared" si="25"/>
        <v>921.6</v>
      </c>
      <c r="T169" s="304"/>
      <c r="X169"/>
      <c r="Z169" s="60"/>
    </row>
    <row r="170" spans="2:26">
      <c r="B170" s="638"/>
      <c r="C170" s="639"/>
      <c r="D170" s="639"/>
      <c r="E170" s="639"/>
      <c r="F170" s="639"/>
      <c r="G170" s="639"/>
      <c r="H170" s="639"/>
      <c r="I170" s="92">
        <f t="shared" si="27"/>
        <v>1.2700000000000002</v>
      </c>
      <c r="J170" s="138" t="s">
        <v>129</v>
      </c>
      <c r="K170" s="35">
        <f>SUMIFS('[2]BESS 11'!D:D,'[2]BESS 11'!$B:$B,$J170)</f>
        <v>2304</v>
      </c>
      <c r="L170" s="36">
        <f>SUMIFS('[2]BESS 11'!E:E,'[2]BESS 11'!$B:$B,$J170)</f>
        <v>0</v>
      </c>
      <c r="M170" s="139">
        <f t="shared" si="24"/>
        <v>2304</v>
      </c>
      <c r="N170" s="68" t="s">
        <v>270</v>
      </c>
      <c r="O170" s="68">
        <f t="shared" ca="1" si="26"/>
        <v>46239</v>
      </c>
      <c r="P170" s="140" t="s">
        <v>25</v>
      </c>
      <c r="Q170" s="96">
        <v>30</v>
      </c>
      <c r="R170" s="93">
        <v>18</v>
      </c>
      <c r="S170" s="94">
        <f t="shared" si="25"/>
        <v>1382.4</v>
      </c>
      <c r="T170" s="261"/>
      <c r="X170"/>
      <c r="Z170" s="60"/>
    </row>
    <row r="171" spans="2:26">
      <c r="B171" s="638"/>
      <c r="C171" s="639"/>
      <c r="D171" s="639"/>
      <c r="E171" s="639"/>
      <c r="F171" s="639"/>
      <c r="G171" s="639"/>
      <c r="H171" s="639"/>
      <c r="I171" s="92">
        <f t="shared" si="27"/>
        <v>1.2800000000000002</v>
      </c>
      <c r="J171" s="138" t="s">
        <v>130</v>
      </c>
      <c r="K171" s="35">
        <f>SUMIFS('[2]BESS 11'!D:D,'[2]BESS 11'!$B:$B,$J171)</f>
        <v>8282</v>
      </c>
      <c r="L171" s="36">
        <f>SUMIFS('[2]BESS 11'!E:E,'[2]BESS 11'!$B:$B,$J171)</f>
        <v>4573</v>
      </c>
      <c r="M171" s="139">
        <f t="shared" si="24"/>
        <v>3709</v>
      </c>
      <c r="N171" s="68" t="s">
        <v>272</v>
      </c>
      <c r="O171" s="68">
        <f t="shared" ca="1" si="26"/>
        <v>46237</v>
      </c>
      <c r="P171" s="140" t="s">
        <v>25</v>
      </c>
      <c r="Q171" s="96">
        <v>1000</v>
      </c>
      <c r="R171" s="93">
        <v>10</v>
      </c>
      <c r="S171" s="94">
        <f t="shared" si="25"/>
        <v>37.090000000000003</v>
      </c>
      <c r="T171" s="261"/>
      <c r="X171"/>
      <c r="Z171" s="60"/>
    </row>
    <row r="172" spans="2:26">
      <c r="B172" s="638"/>
      <c r="C172" s="639"/>
      <c r="D172" s="639"/>
      <c r="E172" s="639"/>
      <c r="F172" s="639"/>
      <c r="G172" s="639"/>
      <c r="H172" s="639"/>
      <c r="I172" s="92">
        <f t="shared" si="27"/>
        <v>1.2900000000000003</v>
      </c>
      <c r="J172" s="138" t="s">
        <v>131</v>
      </c>
      <c r="K172" s="35">
        <f>SUMIFS('[2]BESS 11'!D:D,'[2]BESS 11'!$B:$B,$J172)</f>
        <v>14490</v>
      </c>
      <c r="L172" s="36">
        <f>SUMIFS('[2]BESS 11'!E:E,'[2]BESS 11'!$B:$B,$J172)</f>
        <v>0</v>
      </c>
      <c r="M172" s="139">
        <f t="shared" si="24"/>
        <v>14490</v>
      </c>
      <c r="N172" s="68" t="s">
        <v>272</v>
      </c>
      <c r="O172" s="68">
        <f t="shared" ca="1" si="26"/>
        <v>46237</v>
      </c>
      <c r="P172" s="140" t="s">
        <v>25</v>
      </c>
      <c r="Q172" s="96">
        <v>1000</v>
      </c>
      <c r="R172" s="93">
        <v>10</v>
      </c>
      <c r="S172" s="94">
        <f t="shared" si="25"/>
        <v>144.9</v>
      </c>
      <c r="T172" s="317"/>
      <c r="X172"/>
      <c r="Z172" s="60"/>
    </row>
    <row r="173" spans="2:26">
      <c r="B173" s="638"/>
      <c r="C173" s="639"/>
      <c r="D173" s="639"/>
      <c r="E173" s="639"/>
      <c r="F173" s="639"/>
      <c r="G173" s="639"/>
      <c r="H173" s="639"/>
      <c r="I173" s="92">
        <f t="shared" si="27"/>
        <v>1.3000000000000003</v>
      </c>
      <c r="J173" s="138" t="s">
        <v>132</v>
      </c>
      <c r="K173" s="35">
        <f>SUMIFS('[2]BESS 11'!D:D,'[2]BESS 11'!$B:$B,$J173)</f>
        <v>4792</v>
      </c>
      <c r="L173" s="36">
        <f>SUMIFS('[2]BESS 11'!E:E,'[2]BESS 11'!$B:$B,$J173)</f>
        <v>0</v>
      </c>
      <c r="M173" s="139">
        <f t="shared" si="24"/>
        <v>4792</v>
      </c>
      <c r="N173" s="68" t="s">
        <v>272</v>
      </c>
      <c r="O173" s="68">
        <f t="shared" ca="1" si="26"/>
        <v>46237</v>
      </c>
      <c r="P173" s="140" t="s">
        <v>25</v>
      </c>
      <c r="Q173" s="96">
        <v>500</v>
      </c>
      <c r="R173" s="93">
        <v>10</v>
      </c>
      <c r="S173" s="94">
        <f t="shared" si="25"/>
        <v>95.84</v>
      </c>
      <c r="T173" s="317"/>
      <c r="X173"/>
      <c r="Z173" s="60"/>
    </row>
    <row r="174" spans="2:26">
      <c r="B174" s="638"/>
      <c r="C174" s="639"/>
      <c r="D174" s="639"/>
      <c r="E174" s="639"/>
      <c r="F174" s="639"/>
      <c r="G174" s="639"/>
      <c r="H174" s="639"/>
      <c r="I174" s="92">
        <f t="shared" si="27"/>
        <v>1.3100000000000003</v>
      </c>
      <c r="J174" s="138" t="s">
        <v>133</v>
      </c>
      <c r="K174" s="35">
        <f>SUMIFS('[2]BESS 11'!D:D,'[2]BESS 11'!$B:$B,$J174)</f>
        <v>286</v>
      </c>
      <c r="L174" s="36">
        <f>SUMIFS('[2]BESS 11'!E:E,'[2]BESS 11'!$B:$B,$J174)</f>
        <v>0</v>
      </c>
      <c r="M174" s="139">
        <f t="shared" si="24"/>
        <v>286</v>
      </c>
      <c r="N174" s="68" t="s">
        <v>273</v>
      </c>
      <c r="O174" s="68">
        <f t="shared" ca="1" si="26"/>
        <v>46239</v>
      </c>
      <c r="P174" s="140" t="s">
        <v>25</v>
      </c>
      <c r="Q174" s="96">
        <v>30</v>
      </c>
      <c r="R174" s="93">
        <v>6</v>
      </c>
      <c r="S174" s="94">
        <f t="shared" si="25"/>
        <v>57.2</v>
      </c>
      <c r="T174" s="325"/>
      <c r="X174"/>
      <c r="Z174" s="60"/>
    </row>
    <row r="175" spans="2:26">
      <c r="B175" s="638"/>
      <c r="C175" s="639"/>
      <c r="D175" s="639"/>
      <c r="E175" s="639"/>
      <c r="F175" s="639"/>
      <c r="G175" s="639"/>
      <c r="H175" s="639"/>
      <c r="I175" s="92">
        <f t="shared" si="27"/>
        <v>1.3200000000000003</v>
      </c>
      <c r="J175" s="138" t="s">
        <v>134</v>
      </c>
      <c r="K175" s="35">
        <f>SUMIFS('[2]BESS 11'!D:D,'[2]BESS 11'!$B:$B,$J175)</f>
        <v>536</v>
      </c>
      <c r="L175" s="36">
        <f>SUMIFS('[2]BESS 11'!E:E,'[2]BESS 11'!$B:$B,$J175)</f>
        <v>0</v>
      </c>
      <c r="M175" s="139">
        <f t="shared" si="24"/>
        <v>536</v>
      </c>
      <c r="N175" s="68" t="s">
        <v>276</v>
      </c>
      <c r="O175" s="68">
        <f t="shared" ca="1" si="26"/>
        <v>46239</v>
      </c>
      <c r="P175" s="140" t="s">
        <v>135</v>
      </c>
      <c r="Q175" s="96">
        <v>30</v>
      </c>
      <c r="R175" s="93">
        <v>4</v>
      </c>
      <c r="S175" s="94">
        <f t="shared" si="25"/>
        <v>71.466666666666669</v>
      </c>
      <c r="T175" s="325"/>
      <c r="X175"/>
      <c r="Z175" s="60"/>
    </row>
    <row r="176" spans="2:26" ht="25.5">
      <c r="B176" s="638"/>
      <c r="C176" s="639"/>
      <c r="D176" s="639"/>
      <c r="E176" s="639"/>
      <c r="F176" s="639"/>
      <c r="G176" s="639"/>
      <c r="H176" s="639"/>
      <c r="I176" s="92">
        <f t="shared" si="27"/>
        <v>1.3300000000000003</v>
      </c>
      <c r="J176" s="138" t="s">
        <v>136</v>
      </c>
      <c r="K176" s="35">
        <f>SUMIFS('[2]BESS 11'!D:D,'[2]BESS 11'!$B:$B,$J176)</f>
        <v>384</v>
      </c>
      <c r="L176" s="36">
        <f>SUMIFS('[2]BESS 11'!E:E,'[2]BESS 11'!$B:$B,$J176)</f>
        <v>0</v>
      </c>
      <c r="M176" s="139">
        <f t="shared" si="24"/>
        <v>384</v>
      </c>
      <c r="N176" s="68" t="s">
        <v>276</v>
      </c>
      <c r="O176" s="68">
        <f t="shared" ca="1" si="26"/>
        <v>46239</v>
      </c>
      <c r="P176" s="140" t="s">
        <v>135</v>
      </c>
      <c r="Q176" s="96" t="s">
        <v>89</v>
      </c>
      <c r="R176" s="93" t="s">
        <v>89</v>
      </c>
      <c r="S176" s="94" t="s">
        <v>89</v>
      </c>
      <c r="T176" s="325"/>
      <c r="U176">
        <f ca="1">O176-$T$1</f>
        <v>6</v>
      </c>
      <c r="V176" s="97">
        <f>SUM(S155:S186)</f>
        <v>3037.91</v>
      </c>
      <c r="X176"/>
      <c r="Z176" s="60"/>
    </row>
    <row r="177" spans="2:26">
      <c r="B177" s="638"/>
      <c r="C177" s="639"/>
      <c r="D177" s="639"/>
      <c r="E177" s="639"/>
      <c r="F177" s="639"/>
      <c r="G177" s="639"/>
      <c r="H177" s="639"/>
      <c r="I177" s="334">
        <f t="shared" si="27"/>
        <v>1.3400000000000003</v>
      </c>
      <c r="J177" s="358" t="s">
        <v>137</v>
      </c>
      <c r="K177" s="36">
        <f>SUMIFS('[2]BESS 11'!D:D,'[2]BESS 11'!$B:$B,$J177)</f>
        <v>6</v>
      </c>
      <c r="L177" s="36">
        <f>SUMIFS('[2]BESS 11'!E:E,'[2]BESS 11'!$B:$B,$J177)</f>
        <v>6</v>
      </c>
      <c r="M177" s="36">
        <f t="shared" si="24"/>
        <v>0</v>
      </c>
      <c r="N177" s="297" t="s">
        <v>122</v>
      </c>
      <c r="O177" s="68" t="s">
        <v>89</v>
      </c>
      <c r="P177" s="357" t="s">
        <v>138</v>
      </c>
      <c r="Q177" s="533">
        <v>2</v>
      </c>
      <c r="R177" s="527">
        <v>8</v>
      </c>
      <c r="S177" s="94" t="s">
        <v>89</v>
      </c>
      <c r="T177" s="325"/>
      <c r="X177"/>
    </row>
    <row r="178" spans="2:26">
      <c r="B178" s="638"/>
      <c r="C178" s="639"/>
      <c r="D178" s="639"/>
      <c r="E178" s="639"/>
      <c r="F178" s="639"/>
      <c r="G178" s="639"/>
      <c r="H178" s="639"/>
      <c r="I178" s="92">
        <f t="shared" si="27"/>
        <v>1.3500000000000003</v>
      </c>
      <c r="J178" s="138" t="s">
        <v>139</v>
      </c>
      <c r="K178" s="35">
        <f>SUMIFS('[2]BESS 11'!D:D,'[2]BESS 11'!$B:$B,$J178)</f>
        <v>6</v>
      </c>
      <c r="L178" s="36">
        <f>SUMIFS('[2]BESS 11'!E:E,'[2]BESS 11'!$B:$B,$J178)</f>
        <v>0</v>
      </c>
      <c r="M178" s="139">
        <f t="shared" si="24"/>
        <v>6</v>
      </c>
      <c r="N178" s="68" t="s">
        <v>333</v>
      </c>
      <c r="O178" s="68">
        <f t="shared" ref="O178:O186" ca="1" si="28">IFERROR(DATEVALUE(TRIM(_xlfn.TEXTAFTER(N178,",",-1))&amp;"-"&amp;YEAR(TODAY())),N178)</f>
        <v>46237</v>
      </c>
      <c r="P178" s="140" t="s">
        <v>25</v>
      </c>
      <c r="Q178" s="534"/>
      <c r="R178" s="529"/>
      <c r="S178" s="94">
        <v>12</v>
      </c>
      <c r="T178" s="325"/>
      <c r="X178"/>
      <c r="Z178" s="60"/>
    </row>
    <row r="179" spans="2:26" ht="25.5">
      <c r="B179" s="638"/>
      <c r="C179" s="639"/>
      <c r="D179" s="639"/>
      <c r="E179" s="639"/>
      <c r="F179" s="639"/>
      <c r="G179" s="639"/>
      <c r="H179" s="639"/>
      <c r="I179" s="92">
        <f t="shared" si="27"/>
        <v>1.3600000000000003</v>
      </c>
      <c r="J179" s="138" t="s">
        <v>140</v>
      </c>
      <c r="K179" s="35">
        <f>SUMIFS('[2]BESS 11'!D:D,'[2]BESS 11'!$B:$B,$J179)</f>
        <v>6</v>
      </c>
      <c r="L179" s="36">
        <f>SUMIFS('[2]BESS 11'!E:E,'[2]BESS 11'!$B:$B,$J179)</f>
        <v>0</v>
      </c>
      <c r="M179" s="139">
        <f t="shared" si="24"/>
        <v>6</v>
      </c>
      <c r="N179" s="68" t="s">
        <v>358</v>
      </c>
      <c r="O179" s="68">
        <f t="shared" ca="1" si="28"/>
        <v>46243</v>
      </c>
      <c r="P179" s="140" t="s">
        <v>25</v>
      </c>
      <c r="Q179" s="96">
        <v>2</v>
      </c>
      <c r="R179" s="93">
        <v>4</v>
      </c>
      <c r="S179" s="94">
        <f t="shared" ref="S179:S186" si="29">(M179*R179)/Q179</f>
        <v>12</v>
      </c>
      <c r="T179" s="313"/>
      <c r="U179">
        <f ca="1">O179-$T$1</f>
        <v>10</v>
      </c>
      <c r="V179" s="97">
        <f>SUM(S155:S186)</f>
        <v>3037.91</v>
      </c>
      <c r="X179"/>
    </row>
    <row r="180" spans="2:26" ht="25.5">
      <c r="B180" s="638"/>
      <c r="C180" s="639"/>
      <c r="D180" s="639"/>
      <c r="E180" s="639"/>
      <c r="F180" s="639"/>
      <c r="G180" s="639"/>
      <c r="H180" s="639"/>
      <c r="I180" s="92">
        <f t="shared" si="27"/>
        <v>1.3700000000000003</v>
      </c>
      <c r="J180" s="138" t="s">
        <v>141</v>
      </c>
      <c r="K180" s="35">
        <f>SUMIFS('[2]BESS 11'!D:D,'[2]BESS 11'!$B:$B,$J180)</f>
        <v>12</v>
      </c>
      <c r="L180" s="36">
        <f>SUMIFS('[2]BESS 11'!E:E,'[2]BESS 11'!$B:$B,$J180)</f>
        <v>0</v>
      </c>
      <c r="M180" s="139">
        <f t="shared" si="24"/>
        <v>12</v>
      </c>
      <c r="N180" s="68" t="s">
        <v>334</v>
      </c>
      <c r="O180" s="68">
        <f t="shared" ca="1" si="28"/>
        <v>46237</v>
      </c>
      <c r="P180" s="140" t="s">
        <v>25</v>
      </c>
      <c r="Q180" s="96">
        <v>0.5</v>
      </c>
      <c r="R180" s="93">
        <v>4</v>
      </c>
      <c r="S180" s="94">
        <f t="shared" si="29"/>
        <v>96</v>
      </c>
      <c r="T180" s="317"/>
      <c r="X180"/>
      <c r="Z180" s="60"/>
    </row>
    <row r="181" spans="2:26">
      <c r="B181" s="638"/>
      <c r="C181" s="639"/>
      <c r="D181" s="639"/>
      <c r="E181" s="639"/>
      <c r="F181" s="639"/>
      <c r="G181" s="639"/>
      <c r="H181" s="639"/>
      <c r="I181" s="92">
        <f t="shared" si="27"/>
        <v>1.3800000000000003</v>
      </c>
      <c r="J181" s="138" t="s">
        <v>142</v>
      </c>
      <c r="K181" s="35">
        <f>SUMIFS('[2]BESS 11'!D:D,'[2]BESS 11'!$B:$B,$J181)</f>
        <v>16</v>
      </c>
      <c r="L181" s="36">
        <f>SUMIFS('[2]BESS 11'!E:E,'[2]BESS 11'!$B:$B,$J181)</f>
        <v>0</v>
      </c>
      <c r="M181" s="139">
        <f t="shared" si="24"/>
        <v>16</v>
      </c>
      <c r="N181" s="68" t="s">
        <v>359</v>
      </c>
      <c r="O181" s="68">
        <f t="shared" ca="1" si="28"/>
        <v>46242</v>
      </c>
      <c r="P181" s="140" t="s">
        <v>25</v>
      </c>
      <c r="Q181" s="96">
        <v>6</v>
      </c>
      <c r="R181" s="93">
        <v>4</v>
      </c>
      <c r="S181" s="94">
        <f t="shared" si="29"/>
        <v>10.666666666666666</v>
      </c>
      <c r="T181" s="317"/>
      <c r="X181"/>
    </row>
    <row r="182" spans="2:26">
      <c r="B182" s="638"/>
      <c r="C182" s="639"/>
      <c r="D182" s="639"/>
      <c r="E182" s="639"/>
      <c r="F182" s="639"/>
      <c r="G182" s="639"/>
      <c r="H182" s="639"/>
      <c r="I182" s="92">
        <f t="shared" si="27"/>
        <v>1.3900000000000003</v>
      </c>
      <c r="J182" s="138" t="s">
        <v>143</v>
      </c>
      <c r="K182" s="35">
        <f>SUMIFS('[2]BESS 11'!D:D,'[2]BESS 11'!$B:$B,$J182)</f>
        <v>14</v>
      </c>
      <c r="L182" s="36">
        <f>SUMIFS('[2]BESS 11'!E:E,'[2]BESS 11'!$B:$B,$J182)</f>
        <v>0</v>
      </c>
      <c r="M182" s="139">
        <f t="shared" si="24"/>
        <v>14</v>
      </c>
      <c r="N182" s="68" t="s">
        <v>315</v>
      </c>
      <c r="O182" s="68">
        <f t="shared" ca="1" si="28"/>
        <v>46233</v>
      </c>
      <c r="P182" s="140" t="s">
        <v>25</v>
      </c>
      <c r="Q182" s="96">
        <v>6</v>
      </c>
      <c r="R182" s="93">
        <v>5</v>
      </c>
      <c r="S182" s="94">
        <f t="shared" si="29"/>
        <v>11.666666666666666</v>
      </c>
      <c r="T182" s="313"/>
      <c r="X182"/>
      <c r="Z182" s="60"/>
    </row>
    <row r="183" spans="2:26">
      <c r="B183" s="638"/>
      <c r="C183" s="639"/>
      <c r="D183" s="639"/>
      <c r="E183" s="639"/>
      <c r="F183" s="639"/>
      <c r="G183" s="639"/>
      <c r="H183" s="639"/>
      <c r="I183" s="92">
        <f t="shared" si="27"/>
        <v>1.4000000000000004</v>
      </c>
      <c r="J183" s="138" t="s">
        <v>144</v>
      </c>
      <c r="K183" s="35">
        <f>SUMIFS('[2]BESS 11'!D:D,'[2]BESS 11'!$B:$B,$J183)</f>
        <v>1</v>
      </c>
      <c r="L183" s="36">
        <f>SUMIFS('[2]BESS 11'!E:E,'[2]BESS 11'!$B:$B,$J183)</f>
        <v>0</v>
      </c>
      <c r="M183" s="139">
        <f t="shared" si="24"/>
        <v>1</v>
      </c>
      <c r="N183" s="68" t="s">
        <v>335</v>
      </c>
      <c r="O183" s="68">
        <f t="shared" ca="1" si="28"/>
        <v>46237</v>
      </c>
      <c r="P183" s="140" t="s">
        <v>25</v>
      </c>
      <c r="Q183" s="96">
        <v>1</v>
      </c>
      <c r="R183" s="93">
        <v>5</v>
      </c>
      <c r="S183" s="94">
        <f t="shared" si="29"/>
        <v>5</v>
      </c>
      <c r="T183" s="317" t="s">
        <v>185</v>
      </c>
      <c r="X183"/>
      <c r="Z183" s="60"/>
    </row>
    <row r="184" spans="2:26">
      <c r="B184" s="632" t="s">
        <v>397</v>
      </c>
      <c r="C184" s="633"/>
      <c r="D184" s="633"/>
      <c r="E184" s="633"/>
      <c r="F184" s="633"/>
      <c r="G184" s="633"/>
      <c r="H184" s="633"/>
      <c r="I184" s="92">
        <f t="shared" si="27"/>
        <v>1.4100000000000004</v>
      </c>
      <c r="J184" s="138" t="s">
        <v>145</v>
      </c>
      <c r="K184" s="35">
        <f>SUMIFS('[2]BESS 11'!D:D,'[2]BESS 11'!$B:$B,$J184)</f>
        <v>6</v>
      </c>
      <c r="L184" s="36">
        <f>SUMIFS('[2]BESS 11'!E:E,'[2]BESS 11'!$B:$B,$J184)</f>
        <v>0</v>
      </c>
      <c r="M184" s="139">
        <f t="shared" si="24"/>
        <v>6</v>
      </c>
      <c r="N184" s="68" t="s">
        <v>336</v>
      </c>
      <c r="O184" s="68">
        <f t="shared" ca="1" si="28"/>
        <v>46238</v>
      </c>
      <c r="P184" s="140" t="s">
        <v>25</v>
      </c>
      <c r="Q184" s="96">
        <v>3</v>
      </c>
      <c r="R184" s="93">
        <v>5</v>
      </c>
      <c r="S184" s="94">
        <f t="shared" si="29"/>
        <v>10</v>
      </c>
      <c r="T184" s="317" t="s">
        <v>184</v>
      </c>
      <c r="Z184" s="60"/>
    </row>
    <row r="185" spans="2:26">
      <c r="B185" s="632"/>
      <c r="C185" s="633"/>
      <c r="D185" s="633"/>
      <c r="E185" s="633"/>
      <c r="F185" s="633"/>
      <c r="G185" s="633"/>
      <c r="H185" s="633"/>
      <c r="I185" s="92">
        <f t="shared" si="27"/>
        <v>1.4200000000000004</v>
      </c>
      <c r="J185" s="138" t="s">
        <v>54</v>
      </c>
      <c r="K185" s="35">
        <f>SUMIFS('[2]BESS 11'!D:D,'[2]BESS 11'!$B:$B,$J185)</f>
        <v>4284</v>
      </c>
      <c r="L185" s="36">
        <f>SUMIFS('[2]BESS 11'!E:E,'[2]BESS 11'!$B:$B,$J185)</f>
        <v>432</v>
      </c>
      <c r="M185" s="139">
        <f t="shared" si="24"/>
        <v>3852</v>
      </c>
      <c r="N185" s="68" t="s">
        <v>277</v>
      </c>
      <c r="O185" s="68">
        <f t="shared" ca="1" si="28"/>
        <v>46241</v>
      </c>
      <c r="P185" s="140" t="s">
        <v>25</v>
      </c>
      <c r="Q185" s="96">
        <v>150</v>
      </c>
      <c r="R185" s="93">
        <v>6</v>
      </c>
      <c r="S185" s="94">
        <f t="shared" si="29"/>
        <v>154.08000000000001</v>
      </c>
      <c r="T185" s="317"/>
      <c r="Z185" s="60"/>
    </row>
    <row r="186" spans="2:26" ht="14.25" thickBot="1">
      <c r="B186" s="634"/>
      <c r="C186" s="635"/>
      <c r="D186" s="635"/>
      <c r="E186" s="635"/>
      <c r="F186" s="635"/>
      <c r="G186" s="635"/>
      <c r="H186" s="635"/>
      <c r="I186" s="394">
        <f t="shared" si="27"/>
        <v>1.4300000000000004</v>
      </c>
      <c r="J186" s="296" t="s">
        <v>55</v>
      </c>
      <c r="K186" s="37">
        <f>SUMIFS('[2]BESS 11'!D:D,'[2]BESS 11'!$B:$B,$J186)</f>
        <v>10</v>
      </c>
      <c r="L186" s="38">
        <f>SUMIFS('[2]BESS 11'!E:E,'[2]BESS 11'!$B:$B,$J186)</f>
        <v>0</v>
      </c>
      <c r="M186" s="294">
        <f t="shared" si="24"/>
        <v>10</v>
      </c>
      <c r="N186" s="295" t="s">
        <v>278</v>
      </c>
      <c r="O186" s="295">
        <f t="shared" ca="1" si="28"/>
        <v>46241</v>
      </c>
      <c r="P186" s="378" t="s">
        <v>25</v>
      </c>
      <c r="Q186" s="265">
        <v>5</v>
      </c>
      <c r="R186" s="266">
        <v>6</v>
      </c>
      <c r="S186" s="267">
        <f t="shared" si="29"/>
        <v>12</v>
      </c>
      <c r="T186" s="306"/>
      <c r="Z186" s="60"/>
    </row>
    <row r="187" spans="2:26">
      <c r="B187" s="472" t="s">
        <v>17</v>
      </c>
      <c r="C187" s="475">
        <v>5</v>
      </c>
      <c r="D187" s="586" t="s">
        <v>411</v>
      </c>
      <c r="E187" s="524" t="s">
        <v>120</v>
      </c>
      <c r="F187" s="478">
        <v>46262</v>
      </c>
      <c r="G187" s="478">
        <v>46267</v>
      </c>
      <c r="H187" s="478">
        <v>46270</v>
      </c>
      <c r="I187" s="363"/>
      <c r="J187" s="364"/>
      <c r="K187" s="365"/>
      <c r="L187" s="366" t="s">
        <v>121</v>
      </c>
      <c r="M187" s="364"/>
      <c r="N187" s="365"/>
      <c r="O187" s="367"/>
      <c r="P187" s="320"/>
      <c r="Q187" s="268"/>
      <c r="R187" s="269"/>
      <c r="S187" s="270"/>
      <c r="T187" s="368"/>
      <c r="W187" s="97"/>
    </row>
    <row r="188" spans="2:26" ht="25.5">
      <c r="B188" s="473"/>
      <c r="C188" s="476"/>
      <c r="D188" s="587"/>
      <c r="E188" s="445"/>
      <c r="F188" s="456"/>
      <c r="G188" s="456"/>
      <c r="H188" s="456"/>
      <c r="I188" s="336">
        <v>5.0999999999999996</v>
      </c>
      <c r="J188" s="358" t="s">
        <v>19</v>
      </c>
      <c r="K188" s="36">
        <f>SUMIFS('[2]BESS 11'!T:T,'[2]BESS 11'!$B:$B,$J188)</f>
        <v>48</v>
      </c>
      <c r="L188" s="36">
        <f>SUMIFS('[2]BESS 11'!U:U,'[2]BESS 11'!$B:$B,$J188)</f>
        <v>48</v>
      </c>
      <c r="M188" s="36">
        <f t="shared" ref="M188:M198" si="30">K188-L188</f>
        <v>0</v>
      </c>
      <c r="N188" s="297" t="s">
        <v>122</v>
      </c>
      <c r="O188" s="68" t="s">
        <v>89</v>
      </c>
      <c r="P188" s="357" t="s">
        <v>20</v>
      </c>
      <c r="Q188" s="96">
        <v>1</v>
      </c>
      <c r="R188" s="93">
        <v>2</v>
      </c>
      <c r="S188" s="94">
        <f t="shared" ref="S188:S197" si="31">(M188*R188)/Q188</f>
        <v>0</v>
      </c>
      <c r="T188" s="307"/>
    </row>
    <row r="189" spans="2:26">
      <c r="B189" s="473"/>
      <c r="C189" s="476"/>
      <c r="D189" s="587"/>
      <c r="E189" s="445"/>
      <c r="F189" s="456"/>
      <c r="G189" s="456"/>
      <c r="H189" s="456"/>
      <c r="I189" s="336">
        <v>5.1999999999999993</v>
      </c>
      <c r="J189" s="358" t="s">
        <v>23</v>
      </c>
      <c r="K189" s="36">
        <f>SUMIFS('[2]BESS 11'!T:T,'[2]BESS 11'!$B:$B,$J189)</f>
        <v>6</v>
      </c>
      <c r="L189" s="36">
        <f>SUMIFS('[2]BESS 11'!U:U,'[2]BESS 11'!$B:$B,$J189)</f>
        <v>6</v>
      </c>
      <c r="M189" s="36">
        <f t="shared" si="30"/>
        <v>0</v>
      </c>
      <c r="N189" s="297" t="s">
        <v>122</v>
      </c>
      <c r="O189" s="68" t="s">
        <v>89</v>
      </c>
      <c r="P189" s="357" t="s">
        <v>20</v>
      </c>
      <c r="Q189" s="96">
        <v>1</v>
      </c>
      <c r="R189" s="93">
        <v>16</v>
      </c>
      <c r="S189" s="94">
        <f t="shared" si="31"/>
        <v>0</v>
      </c>
      <c r="T189" s="307"/>
    </row>
    <row r="190" spans="2:26">
      <c r="B190" s="473"/>
      <c r="C190" s="476"/>
      <c r="D190" s="587"/>
      <c r="E190" s="445"/>
      <c r="F190" s="456"/>
      <c r="G190" s="456"/>
      <c r="H190" s="456"/>
      <c r="I190" s="336">
        <v>5.2999999999999989</v>
      </c>
      <c r="J190" s="358" t="s">
        <v>26</v>
      </c>
      <c r="K190" s="36">
        <f>SUMIFS('[2]BESS 11'!T:T,'[2]BESS 11'!$B:$B,$J190)</f>
        <v>6</v>
      </c>
      <c r="L190" s="36">
        <f>SUMIFS('[2]BESS 11'!U:U,'[2]BESS 11'!$B:$B,$J190)</f>
        <v>6</v>
      </c>
      <c r="M190" s="36">
        <f t="shared" si="30"/>
        <v>0</v>
      </c>
      <c r="N190" s="297" t="s">
        <v>122</v>
      </c>
      <c r="O190" s="68" t="s">
        <v>89</v>
      </c>
      <c r="P190" s="357" t="s">
        <v>20</v>
      </c>
      <c r="Q190" s="96">
        <v>1</v>
      </c>
      <c r="R190" s="93">
        <v>39</v>
      </c>
      <c r="S190" s="94">
        <f t="shared" si="31"/>
        <v>0</v>
      </c>
      <c r="T190" s="307"/>
      <c r="W190" s="97"/>
    </row>
    <row r="191" spans="2:26" ht="25.5">
      <c r="B191" s="473"/>
      <c r="C191" s="476"/>
      <c r="D191" s="587"/>
      <c r="E191" s="445"/>
      <c r="F191" s="456"/>
      <c r="G191" s="456"/>
      <c r="H191" s="456"/>
      <c r="I191" s="390">
        <v>5.3999999999999986</v>
      </c>
      <c r="J191" s="138" t="s">
        <v>32</v>
      </c>
      <c r="K191" s="35">
        <f>SUMIFS('[2]BESS 11'!T:T,'[2]BESS 11'!$B:$B,$J191)</f>
        <v>1</v>
      </c>
      <c r="L191" s="36">
        <f>SUMIFS('[2]BESS 11'!U:U,'[2]BESS 11'!$B:$B,$J191)</f>
        <v>1</v>
      </c>
      <c r="M191" s="139">
        <f t="shared" si="30"/>
        <v>0</v>
      </c>
      <c r="N191" s="91" t="s">
        <v>240</v>
      </c>
      <c r="O191" s="68">
        <v>46216</v>
      </c>
      <c r="P191" s="140" t="s">
        <v>20</v>
      </c>
      <c r="Q191" s="96">
        <v>1</v>
      </c>
      <c r="R191" s="93">
        <v>37</v>
      </c>
      <c r="S191" s="94">
        <f t="shared" si="31"/>
        <v>0</v>
      </c>
      <c r="T191" s="307"/>
      <c r="W191" s="60"/>
    </row>
    <row r="192" spans="2:26">
      <c r="B192" s="473"/>
      <c r="C192" s="476"/>
      <c r="D192" s="587"/>
      <c r="E192" s="445"/>
      <c r="F192" s="456"/>
      <c r="G192" s="456"/>
      <c r="H192" s="456"/>
      <c r="I192" s="336">
        <v>5.4999999999999982</v>
      </c>
      <c r="J192" s="358" t="s">
        <v>35</v>
      </c>
      <c r="K192" s="36">
        <f>SUMIFS('[2]BESS 11'!T:T,'[2]BESS 11'!$B:$B,$J192)</f>
        <v>1</v>
      </c>
      <c r="L192" s="36">
        <f>SUMIFS('[2]BESS 11'!U:U,'[2]BESS 11'!$B:$B,$J192)</f>
        <v>1</v>
      </c>
      <c r="M192" s="36">
        <f t="shared" si="30"/>
        <v>0</v>
      </c>
      <c r="N192" s="297" t="s">
        <v>122</v>
      </c>
      <c r="O192" s="68">
        <v>46216</v>
      </c>
      <c r="P192" s="357" t="s">
        <v>20</v>
      </c>
      <c r="Q192" s="96">
        <v>1</v>
      </c>
      <c r="R192" s="93">
        <v>34</v>
      </c>
      <c r="S192" s="94">
        <f t="shared" si="31"/>
        <v>0</v>
      </c>
      <c r="T192" s="307"/>
      <c r="W192" s="60"/>
    </row>
    <row r="193" spans="2:26">
      <c r="B193" s="473"/>
      <c r="C193" s="476"/>
      <c r="D193" s="587"/>
      <c r="E193" s="445"/>
      <c r="F193" s="456"/>
      <c r="G193" s="456"/>
      <c r="H193" s="456"/>
      <c r="I193" s="336">
        <v>5.5999999999999979</v>
      </c>
      <c r="J193" s="358" t="s">
        <v>38</v>
      </c>
      <c r="K193" s="36">
        <f>SUMIFS('[2]BESS 11'!T:T,'[2]BESS 11'!$B:$B,$J193)</f>
        <v>1</v>
      </c>
      <c r="L193" s="36">
        <f>SUMIFS('[2]BESS 11'!U:U,'[2]BESS 11'!$B:$B,$J193)</f>
        <v>1</v>
      </c>
      <c r="M193" s="36">
        <f t="shared" si="30"/>
        <v>0</v>
      </c>
      <c r="N193" s="395" t="s">
        <v>122</v>
      </c>
      <c r="O193" s="68" t="s">
        <v>89</v>
      </c>
      <c r="P193" s="357" t="s">
        <v>20</v>
      </c>
      <c r="Q193" s="96">
        <v>1</v>
      </c>
      <c r="R193" s="93">
        <v>54</v>
      </c>
      <c r="S193" s="94">
        <f t="shared" si="31"/>
        <v>0</v>
      </c>
      <c r="T193" s="307"/>
    </row>
    <row r="194" spans="2:26">
      <c r="B194" s="473"/>
      <c r="C194" s="476"/>
      <c r="D194" s="587"/>
      <c r="E194" s="445"/>
      <c r="F194" s="456"/>
      <c r="G194" s="456"/>
      <c r="H194" s="456"/>
      <c r="I194" s="336">
        <v>5.6999999999999975</v>
      </c>
      <c r="J194" s="358" t="s">
        <v>44</v>
      </c>
      <c r="K194" s="36">
        <f>SUMIFS('[2]BESS 11'!T:T,'[2]BESS 11'!$B:$B,$J194)</f>
        <v>3</v>
      </c>
      <c r="L194" s="36">
        <f>SUMIFS('[2]BESS 11'!U:U,'[2]BESS 11'!$B:$B,$J194)</f>
        <v>3</v>
      </c>
      <c r="M194" s="36">
        <f t="shared" si="30"/>
        <v>0</v>
      </c>
      <c r="N194" s="297" t="s">
        <v>122</v>
      </c>
      <c r="O194" s="68" t="s">
        <v>89</v>
      </c>
      <c r="P194" s="357" t="s">
        <v>45</v>
      </c>
      <c r="Q194" s="96">
        <v>3</v>
      </c>
      <c r="R194" s="93">
        <v>5</v>
      </c>
      <c r="S194" s="94">
        <f t="shared" si="31"/>
        <v>0</v>
      </c>
      <c r="T194" s="307"/>
    </row>
    <row r="195" spans="2:26">
      <c r="B195" s="473"/>
      <c r="C195" s="476"/>
      <c r="D195" s="587"/>
      <c r="E195" s="445"/>
      <c r="F195" s="456"/>
      <c r="G195" s="456"/>
      <c r="H195" s="456"/>
      <c r="I195" s="336">
        <v>5.7999999999999972</v>
      </c>
      <c r="J195" s="358" t="s">
        <v>40</v>
      </c>
      <c r="K195" s="36">
        <f>SUMIFS('[2]BESS 11'!T:T,'[2]BESS 11'!$B:$B,$J195)</f>
        <v>6</v>
      </c>
      <c r="L195" s="36">
        <f>SUMIFS('[2]BESS 11'!U:U,'[2]BESS 11'!$B:$B,$J195)</f>
        <v>6</v>
      </c>
      <c r="M195" s="36">
        <f t="shared" si="30"/>
        <v>0</v>
      </c>
      <c r="N195" s="297" t="s">
        <v>122</v>
      </c>
      <c r="O195" s="68" t="s">
        <v>89</v>
      </c>
      <c r="P195" s="357" t="s">
        <v>20</v>
      </c>
      <c r="Q195" s="96">
        <v>1</v>
      </c>
      <c r="R195" s="93">
        <v>5</v>
      </c>
      <c r="S195" s="94">
        <f t="shared" si="31"/>
        <v>0</v>
      </c>
      <c r="T195" s="307"/>
    </row>
    <row r="196" spans="2:26">
      <c r="B196" s="473"/>
      <c r="C196" s="476"/>
      <c r="D196" s="587"/>
      <c r="E196" s="445"/>
      <c r="F196" s="456"/>
      <c r="G196" s="456"/>
      <c r="H196" s="456"/>
      <c r="I196" s="336">
        <v>5.8999999999999968</v>
      </c>
      <c r="J196" s="358" t="s">
        <v>30</v>
      </c>
      <c r="K196" s="36">
        <f>SUMIFS('[2]BESS 11'!T:T,'[2]BESS 11'!$B:$B,$J196)</f>
        <v>6</v>
      </c>
      <c r="L196" s="36">
        <f>SUMIFS('[2]BESS 11'!U:U,'[2]BESS 11'!$B:$B,$J196)</f>
        <v>6</v>
      </c>
      <c r="M196" s="36">
        <f t="shared" si="30"/>
        <v>0</v>
      </c>
      <c r="N196" s="297" t="s">
        <v>122</v>
      </c>
      <c r="O196" s="68" t="s">
        <v>89</v>
      </c>
      <c r="P196" s="357" t="s">
        <v>31</v>
      </c>
      <c r="Q196" s="96">
        <v>1</v>
      </c>
      <c r="R196" s="93">
        <v>27</v>
      </c>
      <c r="S196" s="94">
        <f t="shared" si="31"/>
        <v>0</v>
      </c>
      <c r="T196" s="307"/>
    </row>
    <row r="197" spans="2:26" ht="25.5">
      <c r="B197" s="473"/>
      <c r="C197" s="476"/>
      <c r="D197" s="587"/>
      <c r="E197" s="445"/>
      <c r="F197" s="456"/>
      <c r="G197" s="456"/>
      <c r="H197" s="456"/>
      <c r="I197" s="92">
        <v>5.0999999999999996</v>
      </c>
      <c r="J197" s="138" t="s">
        <v>34</v>
      </c>
      <c r="K197" s="35">
        <f>SUMIFS('[2]BESS 11'!T:T,'[2]BESS 11'!$B:$B,$J197)</f>
        <v>1</v>
      </c>
      <c r="L197" s="36">
        <f>SUMIFS('[2]BESS 11'!U:U,'[2]BESS 11'!$B:$B,$J197)</f>
        <v>0</v>
      </c>
      <c r="M197" s="139">
        <f t="shared" si="30"/>
        <v>1</v>
      </c>
      <c r="N197" s="91" t="s">
        <v>306</v>
      </c>
      <c r="O197" s="68" t="str">
        <f ca="1">IFERROR(DATEVALUE(TRIM(_xlfn.TEXTAFTER(N197,",",-1))&amp;"-"&amp;YEAR(TODAY())),N197)</f>
        <v>05 Jul, 20 Jul,
30 Jul</v>
      </c>
      <c r="P197" s="140" t="s">
        <v>31</v>
      </c>
      <c r="Q197" s="96">
        <v>1</v>
      </c>
      <c r="R197" s="93">
        <v>25</v>
      </c>
      <c r="S197" s="94">
        <f t="shared" si="31"/>
        <v>25</v>
      </c>
      <c r="T197" s="307"/>
    </row>
    <row r="198" spans="2:26" ht="25.5">
      <c r="B198" s="473"/>
      <c r="C198" s="476"/>
      <c r="D198" s="587"/>
      <c r="E198" s="445"/>
      <c r="F198" s="456"/>
      <c r="G198" s="456"/>
      <c r="H198" s="456"/>
      <c r="I198" s="92">
        <v>5.1099999999999994</v>
      </c>
      <c r="J198" s="138" t="s">
        <v>37</v>
      </c>
      <c r="K198" s="35">
        <f>SUMIFS('[2]BESS 11'!T:T,'[2]BESS 11'!$B:$B,$J198)</f>
        <v>1</v>
      </c>
      <c r="L198" s="36">
        <f>SUMIFS('[2]BESS 11'!U:U,'[2]BESS 11'!$B:$B,$J198)</f>
        <v>0</v>
      </c>
      <c r="M198" s="139">
        <f t="shared" si="30"/>
        <v>1</v>
      </c>
      <c r="N198" s="91" t="s">
        <v>296</v>
      </c>
      <c r="O198" s="68">
        <f ca="1">IFERROR(DATEVALUE(TRIM(_xlfn.TEXTAFTER(N198,",",-1))&amp;"-"&amp;YEAR(TODAY())),N198)</f>
        <v>46229</v>
      </c>
      <c r="P198" s="140" t="s">
        <v>123</v>
      </c>
      <c r="Q198" s="96" t="s">
        <v>89</v>
      </c>
      <c r="R198" s="93" t="s">
        <v>89</v>
      </c>
      <c r="S198" s="94" t="s">
        <v>89</v>
      </c>
      <c r="T198" s="307"/>
    </row>
    <row r="199" spans="2:26">
      <c r="B199" s="473"/>
      <c r="C199" s="476"/>
      <c r="D199" s="587"/>
      <c r="E199" s="445"/>
      <c r="F199" s="456"/>
      <c r="G199" s="456"/>
      <c r="H199" s="456"/>
      <c r="I199" s="254"/>
      <c r="J199" s="50"/>
      <c r="K199" s="51"/>
      <c r="L199" s="52" t="s">
        <v>124</v>
      </c>
      <c r="M199" s="51"/>
      <c r="N199" s="51"/>
      <c r="O199" s="68"/>
      <c r="P199" s="351"/>
      <c r="S199" s="271"/>
      <c r="T199" s="307"/>
    </row>
    <row r="200" spans="2:26">
      <c r="B200" s="473"/>
      <c r="C200" s="476"/>
      <c r="D200" s="587"/>
      <c r="E200" s="445"/>
      <c r="F200" s="456"/>
      <c r="G200" s="456"/>
      <c r="H200" s="456"/>
      <c r="I200" s="334">
        <v>5.1199999999999992</v>
      </c>
      <c r="J200" s="358" t="s">
        <v>24</v>
      </c>
      <c r="K200" s="36">
        <f>SUMIFS('[2]BESS 11'!T:T,'[2]BESS 11'!$B:$B,$J200)</f>
        <v>6</v>
      </c>
      <c r="L200" s="36">
        <f>SUMIFS('[2]BESS 11'!U:U,'[2]BESS 11'!$B:$B,$J200)</f>
        <v>6</v>
      </c>
      <c r="M200" s="36">
        <f t="shared" ref="M200:M231" si="32">K200-L200</f>
        <v>0</v>
      </c>
      <c r="N200" s="297" t="s">
        <v>122</v>
      </c>
      <c r="O200" s="68" t="s">
        <v>89</v>
      </c>
      <c r="P200" s="357" t="s">
        <v>25</v>
      </c>
      <c r="Q200" s="96">
        <v>2</v>
      </c>
      <c r="R200" s="93">
        <v>4</v>
      </c>
      <c r="S200" s="94">
        <f>(M200*R200)/Q200</f>
        <v>0</v>
      </c>
      <c r="T200" s="261"/>
    </row>
    <row r="201" spans="2:26">
      <c r="B201" s="473"/>
      <c r="C201" s="476"/>
      <c r="D201" s="587"/>
      <c r="E201" s="445"/>
      <c r="F201" s="456"/>
      <c r="G201" s="456"/>
      <c r="H201" s="456"/>
      <c r="I201" s="92">
        <v>5.129999999999999</v>
      </c>
      <c r="J201" s="138" t="s">
        <v>27</v>
      </c>
      <c r="K201" s="35">
        <f>SUMIFS('[2]BESS 11'!T:T,'[2]BESS 11'!$B:$B,$J201)</f>
        <v>48</v>
      </c>
      <c r="L201" s="36">
        <f>SUMIFS('[2]BESS 11'!U:U,'[2]BESS 11'!$B:$B,$J201)</f>
        <v>0</v>
      </c>
      <c r="M201" s="139">
        <f t="shared" si="32"/>
        <v>48</v>
      </c>
      <c r="N201" s="68" t="s">
        <v>307</v>
      </c>
      <c r="O201" s="68">
        <f t="shared" ref="O201:O231" ca="1" si="33">IFERROR(DATEVALUE(TRIM(_xlfn.TEXTAFTER(N201,",",-1))&amp;"-"&amp;YEAR(TODAY())),N201)</f>
        <v>46228</v>
      </c>
      <c r="P201" s="140" t="s">
        <v>25</v>
      </c>
      <c r="Q201" s="96">
        <v>10</v>
      </c>
      <c r="R201" s="93">
        <v>4</v>
      </c>
      <c r="S201" s="94">
        <f>(M201*R201)/Q201</f>
        <v>19.2</v>
      </c>
      <c r="T201" s="307" t="s">
        <v>183</v>
      </c>
      <c r="Z201" s="60"/>
    </row>
    <row r="202" spans="2:26">
      <c r="B202" s="473"/>
      <c r="C202" s="476"/>
      <c r="D202" s="587"/>
      <c r="E202" s="445"/>
      <c r="F202" s="456"/>
      <c r="G202" s="456"/>
      <c r="H202" s="456"/>
      <c r="I202" s="92">
        <v>5.1399999999999988</v>
      </c>
      <c r="J202" s="138" t="s">
        <v>28</v>
      </c>
      <c r="K202" s="35">
        <f>SUMIFS('[2]BESS 11'!T:T,'[2]BESS 11'!$B:$B,$J202)</f>
        <v>6</v>
      </c>
      <c r="L202" s="36">
        <f>SUMIFS('[2]BESS 11'!U:U,'[2]BESS 11'!$B:$B,$J202)</f>
        <v>0</v>
      </c>
      <c r="M202" s="139">
        <f t="shared" si="32"/>
        <v>6</v>
      </c>
      <c r="N202" s="68" t="s">
        <v>308</v>
      </c>
      <c r="O202" s="68">
        <f t="shared" ca="1" si="33"/>
        <v>46228</v>
      </c>
      <c r="P202" s="140" t="s">
        <v>25</v>
      </c>
      <c r="Q202" s="96">
        <v>5</v>
      </c>
      <c r="R202" s="93">
        <v>4</v>
      </c>
      <c r="S202" s="94">
        <f>(M202*R202)/Q202</f>
        <v>4.8</v>
      </c>
      <c r="T202" s="261"/>
      <c r="Z202" s="60"/>
    </row>
    <row r="203" spans="2:26" ht="25.5">
      <c r="B203" s="473"/>
      <c r="C203" s="476"/>
      <c r="D203" s="587"/>
      <c r="E203" s="445"/>
      <c r="F203" s="456"/>
      <c r="G203" s="456"/>
      <c r="H203" s="456"/>
      <c r="I203" s="92">
        <v>5.1499999999999986</v>
      </c>
      <c r="J203" s="138" t="s">
        <v>29</v>
      </c>
      <c r="K203" s="35">
        <f>SUMIFS('[2]BESS 11'!T:T,'[2]BESS 11'!$B:$B,$J203)</f>
        <v>6</v>
      </c>
      <c r="L203" s="36">
        <f>SUMIFS('[2]BESS 11'!U:U,'[2]BESS 11'!$B:$B,$J203)</f>
        <v>0</v>
      </c>
      <c r="M203" s="139">
        <f t="shared" si="32"/>
        <v>6</v>
      </c>
      <c r="N203" s="68" t="s">
        <v>308</v>
      </c>
      <c r="O203" s="68">
        <f t="shared" ca="1" si="33"/>
        <v>46228</v>
      </c>
      <c r="P203" s="140" t="s">
        <v>25</v>
      </c>
      <c r="Q203" s="96">
        <v>20</v>
      </c>
      <c r="R203" s="527">
        <v>4</v>
      </c>
      <c r="S203" s="530">
        <v>4</v>
      </c>
      <c r="T203" s="261"/>
      <c r="Z203" s="60"/>
    </row>
    <row r="204" spans="2:26" ht="25.5">
      <c r="B204" s="473"/>
      <c r="C204" s="476"/>
      <c r="D204" s="587"/>
      <c r="E204" s="445"/>
      <c r="F204" s="456"/>
      <c r="G204" s="456"/>
      <c r="H204" s="456"/>
      <c r="I204" s="92">
        <v>5.1599999999999984</v>
      </c>
      <c r="J204" s="138" t="s">
        <v>33</v>
      </c>
      <c r="K204" s="35">
        <f>SUMIFS('[2]BESS 11'!T:T,'[2]BESS 11'!$B:$B,$J204)</f>
        <v>2</v>
      </c>
      <c r="L204" s="36">
        <f>SUMIFS('[2]BESS 11'!U:U,'[2]BESS 11'!$B:$B,$J204)</f>
        <v>0</v>
      </c>
      <c r="M204" s="139">
        <f t="shared" si="32"/>
        <v>2</v>
      </c>
      <c r="N204" s="91" t="s">
        <v>305</v>
      </c>
      <c r="O204" s="68" t="str">
        <f t="shared" ca="1" si="33"/>
        <v>07 Jul, 17 Jul,
28 Jul</v>
      </c>
      <c r="P204" s="140" t="s">
        <v>25</v>
      </c>
      <c r="Q204" s="96">
        <v>10</v>
      </c>
      <c r="R204" s="528"/>
      <c r="S204" s="531"/>
      <c r="T204" s="261"/>
      <c r="W204" s="60"/>
      <c r="Y204" s="371"/>
      <c r="Z204" s="60"/>
    </row>
    <row r="205" spans="2:26" ht="25.5">
      <c r="B205" s="473"/>
      <c r="C205" s="476"/>
      <c r="D205" s="587"/>
      <c r="E205" s="445"/>
      <c r="F205" s="456"/>
      <c r="G205" s="456"/>
      <c r="H205" s="456"/>
      <c r="I205" s="92">
        <v>5.1699999999999982</v>
      </c>
      <c r="J205" s="138" t="s">
        <v>36</v>
      </c>
      <c r="K205" s="35">
        <f>SUMIFS('[2]BESS 11'!T:T,'[2]BESS 11'!$B:$B,$J205)</f>
        <v>1</v>
      </c>
      <c r="L205" s="36">
        <f>SUMIFS('[2]BESS 11'!U:U,'[2]BESS 11'!$B:$B,$J205)</f>
        <v>0</v>
      </c>
      <c r="M205" s="139">
        <f t="shared" si="32"/>
        <v>1</v>
      </c>
      <c r="N205" s="91" t="s">
        <v>309</v>
      </c>
      <c r="O205" s="68">
        <f t="shared" ca="1" si="33"/>
        <v>46235</v>
      </c>
      <c r="P205" s="140" t="s">
        <v>25</v>
      </c>
      <c r="Q205" s="96">
        <v>10</v>
      </c>
      <c r="R205" s="528"/>
      <c r="S205" s="531"/>
      <c r="T205" s="261"/>
      <c r="Z205" s="60"/>
    </row>
    <row r="206" spans="2:26" ht="25.5">
      <c r="B206" s="473"/>
      <c r="C206" s="476"/>
      <c r="D206" s="587"/>
      <c r="E206" s="445"/>
      <c r="F206" s="456"/>
      <c r="G206" s="456"/>
      <c r="H206" s="456"/>
      <c r="I206" s="92">
        <v>5.1799999999999979</v>
      </c>
      <c r="J206" s="138" t="s">
        <v>39</v>
      </c>
      <c r="K206" s="35">
        <f>SUMIFS('[2]BESS 11'!T:T,'[2]BESS 11'!$B:$B,$J206)</f>
        <v>1</v>
      </c>
      <c r="L206" s="36">
        <f>SUMIFS('[2]BESS 11'!U:U,'[2]BESS 11'!$B:$B,$J206)</f>
        <v>0</v>
      </c>
      <c r="M206" s="139">
        <f t="shared" si="32"/>
        <v>1</v>
      </c>
      <c r="N206" s="91" t="s">
        <v>326</v>
      </c>
      <c r="O206" s="68" t="str">
        <f t="shared" ca="1" si="33"/>
        <v>10 Jul, 15 Jul,
25 Jul</v>
      </c>
      <c r="P206" s="140" t="s">
        <v>25</v>
      </c>
      <c r="Q206" s="96">
        <v>10</v>
      </c>
      <c r="R206" s="528"/>
      <c r="S206" s="531"/>
      <c r="T206" s="261"/>
      <c r="Z206" s="60"/>
    </row>
    <row r="207" spans="2:26">
      <c r="B207" s="638" t="s">
        <v>176</v>
      </c>
      <c r="C207" s="639"/>
      <c r="D207" s="639"/>
      <c r="E207" s="639"/>
      <c r="F207" s="639"/>
      <c r="G207" s="639"/>
      <c r="H207" s="639"/>
      <c r="I207" s="92">
        <v>5.1899999999999977</v>
      </c>
      <c r="J207" s="138" t="s">
        <v>41</v>
      </c>
      <c r="K207" s="35">
        <f>SUMIFS('[2]BESS 11'!T:T,'[2]BESS 11'!$B:$B,$J207)</f>
        <v>6</v>
      </c>
      <c r="L207" s="36">
        <f>SUMIFS('[2]BESS 11'!U:U,'[2]BESS 11'!$B:$B,$J207)</f>
        <v>0</v>
      </c>
      <c r="M207" s="139">
        <f t="shared" si="32"/>
        <v>6</v>
      </c>
      <c r="N207" s="68" t="s">
        <v>313</v>
      </c>
      <c r="O207" s="68">
        <f t="shared" ca="1" si="33"/>
        <v>46230</v>
      </c>
      <c r="P207" s="140" t="s">
        <v>125</v>
      </c>
      <c r="Q207" s="96">
        <v>20</v>
      </c>
      <c r="R207" s="529"/>
      <c r="S207" s="532"/>
      <c r="T207" s="307"/>
    </row>
    <row r="208" spans="2:26">
      <c r="B208" s="638"/>
      <c r="C208" s="639"/>
      <c r="D208" s="639"/>
      <c r="E208" s="639"/>
      <c r="F208" s="639"/>
      <c r="G208" s="639"/>
      <c r="H208" s="639"/>
      <c r="I208" s="92">
        <v>5.1999999999999975</v>
      </c>
      <c r="J208" s="138" t="s">
        <v>43</v>
      </c>
      <c r="K208" s="35">
        <f>SUMIFS('[2]BESS 11'!T:T,'[2]BESS 11'!$B:$B,$J208)</f>
        <v>6</v>
      </c>
      <c r="L208" s="36">
        <f>SUMIFS('[2]BESS 11'!U:U,'[2]BESS 11'!$B:$B,$J208)</f>
        <v>0</v>
      </c>
      <c r="M208" s="139">
        <f t="shared" si="32"/>
        <v>6</v>
      </c>
      <c r="N208" s="68" t="s">
        <v>314</v>
      </c>
      <c r="O208" s="68">
        <f t="shared" ca="1" si="33"/>
        <v>46233</v>
      </c>
      <c r="P208" s="140" t="s">
        <v>125</v>
      </c>
      <c r="Q208" s="96">
        <v>0.66666666666666663</v>
      </c>
      <c r="R208" s="93">
        <v>0</v>
      </c>
      <c r="S208" s="94">
        <f t="shared" ref="S208:S220" si="34">(M208*R208)/Q208</f>
        <v>0</v>
      </c>
      <c r="T208" s="307"/>
    </row>
    <row r="209" spans="2:23">
      <c r="B209" s="638"/>
      <c r="C209" s="639"/>
      <c r="D209" s="639"/>
      <c r="E209" s="639"/>
      <c r="F209" s="639"/>
      <c r="G209" s="639"/>
      <c r="H209" s="639"/>
      <c r="I209" s="92">
        <v>5.2099999999999973</v>
      </c>
      <c r="J209" s="138" t="s">
        <v>21</v>
      </c>
      <c r="K209" s="35">
        <f>SUMIFS('[2]BESS 11'!T:T,'[2]BESS 11'!$B:$B,$J209)</f>
        <v>48</v>
      </c>
      <c r="L209" s="36">
        <f>SUMIFS('[2]BESS 11'!U:U,'[2]BESS 11'!$B:$B,$J209)</f>
        <v>0</v>
      </c>
      <c r="M209" s="139">
        <f t="shared" si="32"/>
        <v>48</v>
      </c>
      <c r="N209" s="91" t="s">
        <v>360</v>
      </c>
      <c r="O209" s="68">
        <f t="shared" ca="1" si="33"/>
        <v>46254</v>
      </c>
      <c r="P209" s="140" t="s">
        <v>22</v>
      </c>
      <c r="Q209" s="96">
        <v>10</v>
      </c>
      <c r="R209" s="93">
        <v>4</v>
      </c>
      <c r="S209" s="94">
        <f t="shared" si="34"/>
        <v>19.2</v>
      </c>
      <c r="T209" s="307"/>
    </row>
    <row r="210" spans="2:23">
      <c r="B210" s="638"/>
      <c r="C210" s="639"/>
      <c r="D210" s="639"/>
      <c r="E210" s="639"/>
      <c r="F210" s="639"/>
      <c r="G210" s="639"/>
      <c r="H210" s="639"/>
      <c r="I210" s="92">
        <v>5.2199999999999971</v>
      </c>
      <c r="J210" s="138" t="s">
        <v>47</v>
      </c>
      <c r="K210" s="35">
        <f>SUMIFS('[2]BESS 11'!T:T,'[2]BESS 11'!$B:$B,$J210)</f>
        <v>5680.75</v>
      </c>
      <c r="L210" s="36">
        <f>SUMIFS('[2]BESS 11'!U:U,'[2]BESS 11'!$B:$B,$J210)</f>
        <v>603</v>
      </c>
      <c r="M210" s="139">
        <f t="shared" si="32"/>
        <v>5077.75</v>
      </c>
      <c r="N210" s="68">
        <v>46229</v>
      </c>
      <c r="O210" s="68">
        <f t="shared" ca="1" si="33"/>
        <v>46229</v>
      </c>
      <c r="P210" s="140" t="s">
        <v>25</v>
      </c>
      <c r="Q210" s="96">
        <v>1500</v>
      </c>
      <c r="R210" s="93">
        <v>48</v>
      </c>
      <c r="S210" s="94">
        <f t="shared" si="34"/>
        <v>162.488</v>
      </c>
      <c r="T210" s="307"/>
    </row>
    <row r="211" spans="2:23">
      <c r="B211" s="638"/>
      <c r="C211" s="639"/>
      <c r="D211" s="639"/>
      <c r="E211" s="639"/>
      <c r="F211" s="639"/>
      <c r="G211" s="639"/>
      <c r="H211" s="639"/>
      <c r="I211" s="92">
        <v>5.2299999999999969</v>
      </c>
      <c r="J211" s="138" t="s">
        <v>48</v>
      </c>
      <c r="K211" s="35">
        <f>SUMIFS('[2]BESS 11'!T:T,'[2]BESS 11'!$B:$B,$J211)</f>
        <v>28</v>
      </c>
      <c r="L211" s="36">
        <f>SUMIFS('[2]BESS 11'!U:U,'[2]BESS 11'!$B:$B,$J211)</f>
        <v>0</v>
      </c>
      <c r="M211" s="139">
        <f t="shared" si="32"/>
        <v>28</v>
      </c>
      <c r="N211" s="68">
        <v>46245</v>
      </c>
      <c r="O211" s="68">
        <f t="shared" ca="1" si="33"/>
        <v>46245</v>
      </c>
      <c r="P211" s="140" t="s">
        <v>25</v>
      </c>
      <c r="Q211" s="96">
        <v>8</v>
      </c>
      <c r="R211" s="93">
        <v>6</v>
      </c>
      <c r="S211" s="94">
        <f t="shared" si="34"/>
        <v>21</v>
      </c>
      <c r="T211" s="307"/>
    </row>
    <row r="212" spans="2:23">
      <c r="B212" s="638"/>
      <c r="C212" s="639"/>
      <c r="D212" s="639"/>
      <c r="E212" s="639"/>
      <c r="F212" s="639"/>
      <c r="G212" s="639"/>
      <c r="H212" s="639"/>
      <c r="I212" s="92">
        <f t="shared" ref="I212:I231" si="35">I211+0.01</f>
        <v>5.2399999999999967</v>
      </c>
      <c r="J212" s="138" t="s">
        <v>126</v>
      </c>
      <c r="K212" s="35">
        <f>SUMIFS('[2]BESS 11'!T:T,'[2]BESS 11'!$B:$B,$J212)</f>
        <v>14290</v>
      </c>
      <c r="L212" s="36">
        <f>SUMIFS('[2]BESS 11'!U:U,'[2]BESS 11'!$B:$B,$J212)</f>
        <v>0</v>
      </c>
      <c r="M212" s="139">
        <f t="shared" si="32"/>
        <v>14290</v>
      </c>
      <c r="N212" s="68">
        <v>46235</v>
      </c>
      <c r="O212" s="68">
        <f t="shared" ca="1" si="33"/>
        <v>46235</v>
      </c>
      <c r="P212" s="140" t="s">
        <v>25</v>
      </c>
      <c r="Q212" s="96">
        <v>600</v>
      </c>
      <c r="R212" s="93">
        <v>10</v>
      </c>
      <c r="S212" s="94">
        <f t="shared" si="34"/>
        <v>238.16666666666666</v>
      </c>
      <c r="T212" s="307"/>
    </row>
    <row r="213" spans="2:23">
      <c r="B213" s="638"/>
      <c r="C213" s="639"/>
      <c r="D213" s="639"/>
      <c r="E213" s="639"/>
      <c r="F213" s="639"/>
      <c r="G213" s="639"/>
      <c r="H213" s="639"/>
      <c r="I213" s="92">
        <f t="shared" si="35"/>
        <v>5.2499999999999964</v>
      </c>
      <c r="J213" s="138" t="s">
        <v>127</v>
      </c>
      <c r="K213" s="35">
        <f>SUMIFS('[2]BESS 11'!T:T,'[2]BESS 11'!$B:$B,$J213)</f>
        <v>47399</v>
      </c>
      <c r="L213" s="36">
        <f>SUMIFS('[2]BESS 11'!U:U,'[2]BESS 11'!$B:$B,$J213)</f>
        <v>0</v>
      </c>
      <c r="M213" s="139">
        <f t="shared" si="32"/>
        <v>47399</v>
      </c>
      <c r="N213" s="68">
        <v>46229</v>
      </c>
      <c r="O213" s="68">
        <f t="shared" ca="1" si="33"/>
        <v>46229</v>
      </c>
      <c r="P213" s="140" t="s">
        <v>25</v>
      </c>
      <c r="Q213" s="96">
        <v>600</v>
      </c>
      <c r="R213" s="93">
        <v>10</v>
      </c>
      <c r="S213" s="94">
        <f t="shared" si="34"/>
        <v>789.98333333333335</v>
      </c>
      <c r="T213" s="307"/>
    </row>
    <row r="214" spans="2:23">
      <c r="B214" s="638"/>
      <c r="C214" s="639"/>
      <c r="D214" s="639"/>
      <c r="E214" s="639"/>
      <c r="F214" s="639"/>
      <c r="G214" s="639"/>
      <c r="H214" s="639"/>
      <c r="I214" s="92">
        <f t="shared" si="35"/>
        <v>5.2599999999999962</v>
      </c>
      <c r="J214" s="138" t="s">
        <v>128</v>
      </c>
      <c r="K214" s="35">
        <f>SUMIFS('[2]BESS 11'!T:T,'[2]BESS 11'!$B:$B,$J214)</f>
        <v>1536</v>
      </c>
      <c r="L214" s="36">
        <f>SUMIFS('[2]BESS 11'!U:U,'[2]BESS 11'!$B:$B,$J214)</f>
        <v>0</v>
      </c>
      <c r="M214" s="139">
        <f t="shared" si="32"/>
        <v>1536</v>
      </c>
      <c r="N214" s="68" t="s">
        <v>361</v>
      </c>
      <c r="O214" s="68">
        <f t="shared" ca="1" si="33"/>
        <v>46254</v>
      </c>
      <c r="P214" s="140" t="s">
        <v>25</v>
      </c>
      <c r="Q214" s="96">
        <v>30</v>
      </c>
      <c r="R214" s="93">
        <v>18</v>
      </c>
      <c r="S214" s="94">
        <f t="shared" si="34"/>
        <v>921.6</v>
      </c>
      <c r="T214" s="307"/>
    </row>
    <row r="215" spans="2:23">
      <c r="B215" s="638"/>
      <c r="C215" s="639"/>
      <c r="D215" s="639"/>
      <c r="E215" s="639"/>
      <c r="F215" s="639"/>
      <c r="G215" s="639"/>
      <c r="H215" s="639"/>
      <c r="I215" s="92">
        <f t="shared" si="35"/>
        <v>5.269999999999996</v>
      </c>
      <c r="J215" s="138" t="s">
        <v>129</v>
      </c>
      <c r="K215" s="35">
        <f>SUMIFS('[2]BESS 11'!T:T,'[2]BESS 11'!$B:$B,$J215)</f>
        <v>2304</v>
      </c>
      <c r="L215" s="36">
        <f>SUMIFS('[2]BESS 11'!U:U,'[2]BESS 11'!$B:$B,$J215)</f>
        <v>0</v>
      </c>
      <c r="M215" s="139">
        <f t="shared" si="32"/>
        <v>2304</v>
      </c>
      <c r="N215" s="68">
        <v>46249</v>
      </c>
      <c r="O215" s="68">
        <f t="shared" ca="1" si="33"/>
        <v>46249</v>
      </c>
      <c r="P215" s="140" t="s">
        <v>25</v>
      </c>
      <c r="Q215" s="96">
        <v>30</v>
      </c>
      <c r="R215" s="93">
        <v>18</v>
      </c>
      <c r="S215" s="94">
        <f t="shared" si="34"/>
        <v>1382.4</v>
      </c>
      <c r="T215" s="307"/>
      <c r="W215" s="60"/>
    </row>
    <row r="216" spans="2:23">
      <c r="B216" s="638"/>
      <c r="C216" s="639"/>
      <c r="D216" s="639"/>
      <c r="E216" s="639"/>
      <c r="F216" s="639"/>
      <c r="G216" s="639"/>
      <c r="H216" s="639"/>
      <c r="I216" s="92">
        <f t="shared" si="35"/>
        <v>5.2799999999999958</v>
      </c>
      <c r="J216" s="138" t="s">
        <v>130</v>
      </c>
      <c r="K216" s="35">
        <f>SUMIFS('[2]BESS 11'!T:T,'[2]BESS 11'!$B:$B,$J216)</f>
        <v>8232</v>
      </c>
      <c r="L216" s="36">
        <f>SUMIFS('[2]BESS 11'!U:U,'[2]BESS 11'!$B:$B,$J216)</f>
        <v>0</v>
      </c>
      <c r="M216" s="139">
        <f t="shared" si="32"/>
        <v>8232</v>
      </c>
      <c r="N216" s="68">
        <v>46239</v>
      </c>
      <c r="O216" s="68">
        <f t="shared" ca="1" si="33"/>
        <v>46239</v>
      </c>
      <c r="P216" s="140" t="s">
        <v>25</v>
      </c>
      <c r="Q216" s="96">
        <v>1000</v>
      </c>
      <c r="R216" s="93">
        <v>10</v>
      </c>
      <c r="S216" s="94">
        <f t="shared" si="34"/>
        <v>82.32</v>
      </c>
      <c r="T216" s="307"/>
    </row>
    <row r="217" spans="2:23">
      <c r="B217" s="638"/>
      <c r="C217" s="639"/>
      <c r="D217" s="639"/>
      <c r="E217" s="639"/>
      <c r="F217" s="639"/>
      <c r="G217" s="639"/>
      <c r="H217" s="639"/>
      <c r="I217" s="92">
        <f t="shared" si="35"/>
        <v>5.2899999999999956</v>
      </c>
      <c r="J217" s="138" t="s">
        <v>131</v>
      </c>
      <c r="K217" s="35">
        <f>SUMIFS('[2]BESS 11'!T:T,'[2]BESS 11'!$B:$B,$J217)</f>
        <v>14448</v>
      </c>
      <c r="L217" s="36">
        <f>SUMIFS('[2]BESS 11'!U:U,'[2]BESS 11'!$B:$B,$J217)</f>
        <v>0</v>
      </c>
      <c r="M217" s="139">
        <f t="shared" si="32"/>
        <v>14448</v>
      </c>
      <c r="N217" s="68">
        <v>46239</v>
      </c>
      <c r="O217" s="68">
        <f t="shared" ca="1" si="33"/>
        <v>46239</v>
      </c>
      <c r="P217" s="140" t="s">
        <v>25</v>
      </c>
      <c r="Q217" s="96">
        <v>1000</v>
      </c>
      <c r="R217" s="93">
        <v>10</v>
      </c>
      <c r="S217" s="94">
        <f t="shared" si="34"/>
        <v>144.47999999999999</v>
      </c>
      <c r="T217" s="307"/>
    </row>
    <row r="218" spans="2:23">
      <c r="B218" s="638"/>
      <c r="C218" s="639"/>
      <c r="D218" s="639"/>
      <c r="E218" s="639"/>
      <c r="F218" s="639"/>
      <c r="G218" s="639"/>
      <c r="H218" s="639"/>
      <c r="I218" s="92">
        <f t="shared" si="35"/>
        <v>5.2999999999999954</v>
      </c>
      <c r="J218" s="138" t="s">
        <v>132</v>
      </c>
      <c r="K218" s="35">
        <f>SUMIFS('[2]BESS 11'!T:T,'[2]BESS 11'!$B:$B,$J218)</f>
        <v>4792</v>
      </c>
      <c r="L218" s="36">
        <f>SUMIFS('[2]BESS 11'!U:U,'[2]BESS 11'!$B:$B,$J218)</f>
        <v>0</v>
      </c>
      <c r="M218" s="139">
        <f t="shared" si="32"/>
        <v>4792</v>
      </c>
      <c r="N218" s="68">
        <v>46239</v>
      </c>
      <c r="O218" s="68">
        <f t="shared" ca="1" si="33"/>
        <v>46239</v>
      </c>
      <c r="P218" s="140" t="s">
        <v>25</v>
      </c>
      <c r="Q218" s="96">
        <v>500</v>
      </c>
      <c r="R218" s="93">
        <v>10</v>
      </c>
      <c r="S218" s="94">
        <f t="shared" si="34"/>
        <v>95.84</v>
      </c>
      <c r="T218" s="307"/>
    </row>
    <row r="219" spans="2:23">
      <c r="B219" s="638"/>
      <c r="C219" s="639"/>
      <c r="D219" s="639"/>
      <c r="E219" s="639"/>
      <c r="F219" s="639"/>
      <c r="G219" s="639"/>
      <c r="H219" s="639"/>
      <c r="I219" s="92">
        <f t="shared" si="35"/>
        <v>5.3099999999999952</v>
      </c>
      <c r="J219" s="138" t="s">
        <v>133</v>
      </c>
      <c r="K219" s="35">
        <f>SUMIFS('[2]BESS 11'!T:T,'[2]BESS 11'!$B:$B,$J219)</f>
        <v>286</v>
      </c>
      <c r="L219" s="36">
        <f>SUMIFS('[2]BESS 11'!U:U,'[2]BESS 11'!$B:$B,$J219)</f>
        <v>0</v>
      </c>
      <c r="M219" s="139">
        <f t="shared" si="32"/>
        <v>286</v>
      </c>
      <c r="N219" s="68" t="s">
        <v>361</v>
      </c>
      <c r="O219" s="68">
        <f t="shared" ca="1" si="33"/>
        <v>46254</v>
      </c>
      <c r="P219" s="140" t="s">
        <v>25</v>
      </c>
      <c r="Q219" s="96">
        <v>30</v>
      </c>
      <c r="R219" s="93">
        <v>6</v>
      </c>
      <c r="S219" s="94">
        <f t="shared" si="34"/>
        <v>57.2</v>
      </c>
      <c r="T219" s="307"/>
    </row>
    <row r="220" spans="2:23">
      <c r="B220" s="638"/>
      <c r="C220" s="639"/>
      <c r="D220" s="639"/>
      <c r="E220" s="639"/>
      <c r="F220" s="639"/>
      <c r="G220" s="639"/>
      <c r="H220" s="639"/>
      <c r="I220" s="92">
        <f t="shared" si="35"/>
        <v>5.319999999999995</v>
      </c>
      <c r="J220" s="138" t="s">
        <v>134</v>
      </c>
      <c r="K220" s="35">
        <f>SUMIFS('[2]BESS 11'!T:T,'[2]BESS 11'!$B:$B,$J220)</f>
        <v>536</v>
      </c>
      <c r="L220" s="36">
        <f>SUMIFS('[2]BESS 11'!U:U,'[2]BESS 11'!$B:$B,$J220)</f>
        <v>0</v>
      </c>
      <c r="M220" s="139">
        <f t="shared" si="32"/>
        <v>536</v>
      </c>
      <c r="N220" s="68" t="s">
        <v>361</v>
      </c>
      <c r="O220" s="68">
        <f t="shared" ca="1" si="33"/>
        <v>46254</v>
      </c>
      <c r="P220" s="140" t="s">
        <v>135</v>
      </c>
      <c r="Q220" s="96">
        <v>30</v>
      </c>
      <c r="R220" s="93">
        <v>4</v>
      </c>
      <c r="S220" s="94">
        <f t="shared" si="34"/>
        <v>71.466666666666669</v>
      </c>
      <c r="T220" s="307"/>
    </row>
    <row r="221" spans="2:23" ht="25.5">
      <c r="B221" s="638"/>
      <c r="C221" s="639"/>
      <c r="D221" s="639"/>
      <c r="E221" s="639"/>
      <c r="F221" s="639"/>
      <c r="G221" s="639"/>
      <c r="H221" s="639"/>
      <c r="I221" s="92">
        <f t="shared" si="35"/>
        <v>5.3299999999999947</v>
      </c>
      <c r="J221" s="138" t="s">
        <v>136</v>
      </c>
      <c r="K221" s="35">
        <f>SUMIFS('[2]BESS 11'!T:T,'[2]BESS 11'!$B:$B,$J221)</f>
        <v>384</v>
      </c>
      <c r="L221" s="36">
        <f>SUMIFS('[2]BESS 11'!U:U,'[2]BESS 11'!$B:$B,$J221)</f>
        <v>0</v>
      </c>
      <c r="M221" s="139">
        <f t="shared" si="32"/>
        <v>384</v>
      </c>
      <c r="N221" s="68" t="s">
        <v>361</v>
      </c>
      <c r="O221" s="68">
        <f t="shared" ca="1" si="33"/>
        <v>46254</v>
      </c>
      <c r="P221" s="140" t="s">
        <v>135</v>
      </c>
      <c r="Q221" s="96" t="s">
        <v>89</v>
      </c>
      <c r="R221" s="93" t="s">
        <v>89</v>
      </c>
      <c r="S221" s="94" t="s">
        <v>89</v>
      </c>
      <c r="T221" s="307"/>
      <c r="U221">
        <f ca="1">O221-$T$1</f>
        <v>21</v>
      </c>
      <c r="V221" s="97">
        <f>SUM(S200:S231)</f>
        <v>4354.8380000000006</v>
      </c>
    </row>
    <row r="222" spans="2:23">
      <c r="B222" s="638"/>
      <c r="C222" s="639"/>
      <c r="D222" s="639"/>
      <c r="E222" s="639"/>
      <c r="F222" s="639"/>
      <c r="G222" s="639"/>
      <c r="H222" s="639"/>
      <c r="I222" s="92">
        <f t="shared" si="35"/>
        <v>5.3399999999999945</v>
      </c>
      <c r="J222" s="138" t="s">
        <v>137</v>
      </c>
      <c r="K222" s="35">
        <f>SUMIFS('[2]BESS 11'!T:T,'[2]BESS 11'!$B:$B,$J222)</f>
        <v>6</v>
      </c>
      <c r="L222" s="36">
        <f>SUMIFS('[2]BESS 11'!U:U,'[2]BESS 11'!$B:$B,$J222)</f>
        <v>0</v>
      </c>
      <c r="M222" s="139">
        <f t="shared" si="32"/>
        <v>6</v>
      </c>
      <c r="N222" s="68">
        <v>46234</v>
      </c>
      <c r="O222" s="68">
        <f t="shared" ca="1" si="33"/>
        <v>46234</v>
      </c>
      <c r="P222" s="140" t="s">
        <v>138</v>
      </c>
      <c r="Q222" s="533">
        <v>2</v>
      </c>
      <c r="R222" s="527">
        <v>8</v>
      </c>
      <c r="S222" s="94" t="s">
        <v>89</v>
      </c>
      <c r="T222" s="307"/>
    </row>
    <row r="223" spans="2:23">
      <c r="B223" s="638"/>
      <c r="C223" s="639"/>
      <c r="D223" s="639"/>
      <c r="E223" s="639"/>
      <c r="F223" s="639"/>
      <c r="G223" s="639"/>
      <c r="H223" s="639"/>
      <c r="I223" s="92">
        <f t="shared" si="35"/>
        <v>5.3499999999999943</v>
      </c>
      <c r="J223" s="138" t="s">
        <v>139</v>
      </c>
      <c r="K223" s="35">
        <f>SUMIFS('[2]BESS 11'!T:T,'[2]BESS 11'!$B:$B,$J223)</f>
        <v>6</v>
      </c>
      <c r="L223" s="36">
        <f>SUMIFS('[2]BESS 11'!U:U,'[2]BESS 11'!$B:$B,$J223)</f>
        <v>0</v>
      </c>
      <c r="M223" s="139">
        <f t="shared" si="32"/>
        <v>6</v>
      </c>
      <c r="N223" s="68">
        <v>46238</v>
      </c>
      <c r="O223" s="68">
        <f t="shared" ca="1" si="33"/>
        <v>46238</v>
      </c>
      <c r="P223" s="140" t="s">
        <v>25</v>
      </c>
      <c r="Q223" s="534"/>
      <c r="R223" s="529"/>
      <c r="S223" s="94">
        <v>12</v>
      </c>
      <c r="T223" s="307"/>
    </row>
    <row r="224" spans="2:23" ht="25.5">
      <c r="B224" s="638"/>
      <c r="C224" s="639"/>
      <c r="D224" s="639"/>
      <c r="E224" s="639"/>
      <c r="F224" s="639"/>
      <c r="G224" s="639"/>
      <c r="H224" s="639"/>
      <c r="I224" s="92">
        <f t="shared" si="35"/>
        <v>5.3599999999999941</v>
      </c>
      <c r="J224" s="138" t="s">
        <v>140</v>
      </c>
      <c r="K224" s="35">
        <f>SUMIFS('[2]BESS 11'!T:T,'[2]BESS 11'!$B:$B,$J224)</f>
        <v>6</v>
      </c>
      <c r="L224" s="36">
        <f>SUMIFS('[2]BESS 11'!U:U,'[2]BESS 11'!$B:$B,$J224)</f>
        <v>0</v>
      </c>
      <c r="M224" s="139">
        <f t="shared" si="32"/>
        <v>6</v>
      </c>
      <c r="N224" s="68">
        <v>46259</v>
      </c>
      <c r="O224" s="68">
        <f t="shared" ca="1" si="33"/>
        <v>46259</v>
      </c>
      <c r="P224" s="140" t="s">
        <v>25</v>
      </c>
      <c r="Q224" s="96">
        <v>2</v>
      </c>
      <c r="R224" s="93">
        <v>4</v>
      </c>
      <c r="S224" s="94">
        <f t="shared" ref="S224:S231" si="36">(M224*R224)/Q224</f>
        <v>12</v>
      </c>
      <c r="T224" s="313"/>
      <c r="U224">
        <f ca="1">O224-$T$1</f>
        <v>26</v>
      </c>
      <c r="V224" s="97">
        <f>SUM(S200:S231)</f>
        <v>4354.8380000000006</v>
      </c>
    </row>
    <row r="225" spans="2:23" ht="25.5">
      <c r="B225" s="638"/>
      <c r="C225" s="639"/>
      <c r="D225" s="639"/>
      <c r="E225" s="639"/>
      <c r="F225" s="639"/>
      <c r="G225" s="639"/>
      <c r="H225" s="639"/>
      <c r="I225" s="92">
        <f t="shared" si="35"/>
        <v>5.3699999999999939</v>
      </c>
      <c r="J225" s="138" t="s">
        <v>141</v>
      </c>
      <c r="K225" s="35">
        <f>SUMIFS('[2]BESS 11'!T:T,'[2]BESS 11'!$B:$B,$J225)</f>
        <v>12</v>
      </c>
      <c r="L225" s="36">
        <f>SUMIFS('[2]BESS 11'!U:U,'[2]BESS 11'!$B:$B,$J225)</f>
        <v>0</v>
      </c>
      <c r="M225" s="139">
        <f t="shared" si="32"/>
        <v>12</v>
      </c>
      <c r="N225" s="68">
        <v>46245</v>
      </c>
      <c r="O225" s="68">
        <f t="shared" ca="1" si="33"/>
        <v>46245</v>
      </c>
      <c r="P225" s="140" t="s">
        <v>25</v>
      </c>
      <c r="Q225" s="96">
        <v>0.5</v>
      </c>
      <c r="R225" s="93">
        <v>4</v>
      </c>
      <c r="S225" s="94">
        <f t="shared" si="36"/>
        <v>96</v>
      </c>
      <c r="T225" s="567"/>
    </row>
    <row r="226" spans="2:23">
      <c r="B226" s="638"/>
      <c r="C226" s="639"/>
      <c r="D226" s="639"/>
      <c r="E226" s="639"/>
      <c r="F226" s="639"/>
      <c r="G226" s="639"/>
      <c r="H226" s="639"/>
      <c r="I226" s="92">
        <f t="shared" si="35"/>
        <v>5.3799999999999937</v>
      </c>
      <c r="J226" s="138" t="s">
        <v>142</v>
      </c>
      <c r="K226" s="35">
        <f>SUMIFS('[2]BESS 11'!T:T,'[2]BESS 11'!$B:$B,$J226)</f>
        <v>16</v>
      </c>
      <c r="L226" s="36">
        <f>SUMIFS('[2]BESS 11'!U:U,'[2]BESS 11'!$B:$B,$J226)</f>
        <v>0</v>
      </c>
      <c r="M226" s="139">
        <f t="shared" si="32"/>
        <v>16</v>
      </c>
      <c r="N226" s="68">
        <v>46257</v>
      </c>
      <c r="O226" s="68">
        <f t="shared" ca="1" si="33"/>
        <v>46257</v>
      </c>
      <c r="P226" s="140" t="s">
        <v>25</v>
      </c>
      <c r="Q226" s="96">
        <v>6</v>
      </c>
      <c r="R226" s="93">
        <v>4</v>
      </c>
      <c r="S226" s="94">
        <f t="shared" si="36"/>
        <v>10.666666666666666</v>
      </c>
      <c r="T226" s="567"/>
    </row>
    <row r="227" spans="2:23">
      <c r="B227" s="638"/>
      <c r="C227" s="639"/>
      <c r="D227" s="639"/>
      <c r="E227" s="639"/>
      <c r="F227" s="639"/>
      <c r="G227" s="639"/>
      <c r="H227" s="639"/>
      <c r="I227" s="92">
        <f t="shared" si="35"/>
        <v>5.3899999999999935</v>
      </c>
      <c r="J227" s="138" t="s">
        <v>143</v>
      </c>
      <c r="K227" s="35">
        <f>SUMIFS('[2]BESS 11'!T:T,'[2]BESS 11'!$B:$B,$J227)</f>
        <v>14</v>
      </c>
      <c r="L227" s="36">
        <f>SUMIFS('[2]BESS 11'!U:U,'[2]BESS 11'!$B:$B,$J227)</f>
        <v>0</v>
      </c>
      <c r="M227" s="139">
        <f t="shared" si="32"/>
        <v>14</v>
      </c>
      <c r="N227" s="68">
        <v>46245</v>
      </c>
      <c r="O227" s="68">
        <f t="shared" ca="1" si="33"/>
        <v>46245</v>
      </c>
      <c r="P227" s="140" t="s">
        <v>25</v>
      </c>
      <c r="Q227" s="96">
        <v>6</v>
      </c>
      <c r="R227" s="93">
        <v>5</v>
      </c>
      <c r="S227" s="94">
        <f t="shared" si="36"/>
        <v>11.666666666666666</v>
      </c>
      <c r="T227" s="567"/>
    </row>
    <row r="228" spans="2:23">
      <c r="B228" s="638"/>
      <c r="C228" s="639"/>
      <c r="D228" s="639"/>
      <c r="E228" s="639"/>
      <c r="F228" s="639"/>
      <c r="G228" s="639"/>
      <c r="H228" s="639"/>
      <c r="I228" s="92">
        <f t="shared" si="35"/>
        <v>5.3999999999999932</v>
      </c>
      <c r="J228" s="138" t="s">
        <v>144</v>
      </c>
      <c r="K228" s="35">
        <f>SUMIFS('[2]BESS 11'!T:T,'[2]BESS 11'!$B:$B,$J228)</f>
        <v>1</v>
      </c>
      <c r="L228" s="36">
        <f>SUMIFS('[2]BESS 11'!U:U,'[2]BESS 11'!$B:$B,$J228)</f>
        <v>0</v>
      </c>
      <c r="M228" s="139">
        <f t="shared" si="32"/>
        <v>1</v>
      </c>
      <c r="N228" s="68">
        <v>46245</v>
      </c>
      <c r="O228" s="68">
        <f t="shared" ca="1" si="33"/>
        <v>46245</v>
      </c>
      <c r="P228" s="140" t="s">
        <v>25</v>
      </c>
      <c r="Q228" s="96">
        <v>1</v>
      </c>
      <c r="R228" s="93">
        <v>5</v>
      </c>
      <c r="S228" s="94">
        <f t="shared" si="36"/>
        <v>5</v>
      </c>
      <c r="T228" s="307"/>
    </row>
    <row r="229" spans="2:23">
      <c r="B229" s="649" t="s">
        <v>146</v>
      </c>
      <c r="C229" s="650"/>
      <c r="D229" s="650"/>
      <c r="E229" s="650"/>
      <c r="F229" s="650"/>
      <c r="G229" s="650"/>
      <c r="H229" s="650"/>
      <c r="I229" s="92">
        <f t="shared" si="35"/>
        <v>5.409999999999993</v>
      </c>
      <c r="J229" s="138" t="s">
        <v>145</v>
      </c>
      <c r="K229" s="35">
        <f>SUMIFS('[2]BESS 11'!T:T,'[2]BESS 11'!$B:$B,$J229)</f>
        <v>6</v>
      </c>
      <c r="L229" s="36">
        <f>SUMIFS('[2]BESS 11'!U:U,'[2]BESS 11'!$B:$B,$J229)</f>
        <v>0</v>
      </c>
      <c r="M229" s="139">
        <f t="shared" si="32"/>
        <v>6</v>
      </c>
      <c r="N229" s="68">
        <v>46245</v>
      </c>
      <c r="O229" s="68">
        <f t="shared" ca="1" si="33"/>
        <v>46245</v>
      </c>
      <c r="P229" s="140" t="s">
        <v>25</v>
      </c>
      <c r="Q229" s="96">
        <v>3</v>
      </c>
      <c r="R229" s="93">
        <v>5</v>
      </c>
      <c r="S229" s="94">
        <f t="shared" si="36"/>
        <v>10</v>
      </c>
      <c r="T229" s="307"/>
    </row>
    <row r="230" spans="2:23">
      <c r="B230" s="649"/>
      <c r="C230" s="650"/>
      <c r="D230" s="650"/>
      <c r="E230" s="650"/>
      <c r="F230" s="650"/>
      <c r="G230" s="650"/>
      <c r="H230" s="650"/>
      <c r="I230" s="92">
        <f t="shared" si="35"/>
        <v>5.4199999999999928</v>
      </c>
      <c r="J230" s="138" t="s">
        <v>54</v>
      </c>
      <c r="K230" s="35">
        <f>SUMIFS('[2]BESS 11'!T:T,'[2]BESS 11'!$B:$B,$J230)</f>
        <v>4284</v>
      </c>
      <c r="L230" s="36">
        <f>SUMIFS('[2]BESS 11'!U:U,'[2]BESS 11'!$B:$B,$J230)</f>
        <v>0</v>
      </c>
      <c r="M230" s="139">
        <f t="shared" si="32"/>
        <v>4284</v>
      </c>
      <c r="N230" s="68">
        <v>46247</v>
      </c>
      <c r="O230" s="68">
        <f t="shared" ca="1" si="33"/>
        <v>46247</v>
      </c>
      <c r="P230" s="140" t="s">
        <v>25</v>
      </c>
      <c r="Q230" s="96">
        <v>150</v>
      </c>
      <c r="R230" s="93">
        <v>6</v>
      </c>
      <c r="S230" s="94">
        <f t="shared" si="36"/>
        <v>171.36</v>
      </c>
      <c r="T230" s="307"/>
    </row>
    <row r="231" spans="2:23" ht="14.25" thickBot="1">
      <c r="B231" s="651"/>
      <c r="C231" s="652"/>
      <c r="D231" s="652"/>
      <c r="E231" s="652"/>
      <c r="F231" s="652"/>
      <c r="G231" s="652"/>
      <c r="H231" s="652"/>
      <c r="I231" s="396">
        <f t="shared" si="35"/>
        <v>5.4299999999999926</v>
      </c>
      <c r="J231" s="296" t="s">
        <v>55</v>
      </c>
      <c r="K231" s="37">
        <f>SUMIFS('[2]BESS 11'!T:T,'[2]BESS 11'!$B:$B,$J231)</f>
        <v>10</v>
      </c>
      <c r="L231" s="38">
        <f>SUMIFS('[2]BESS 11'!U:U,'[2]BESS 11'!$B:$B,$J231)</f>
        <v>0</v>
      </c>
      <c r="M231" s="294">
        <f t="shared" si="32"/>
        <v>10</v>
      </c>
      <c r="N231" s="295">
        <v>46249</v>
      </c>
      <c r="O231" s="295">
        <f t="shared" ca="1" si="33"/>
        <v>46249</v>
      </c>
      <c r="P231" s="378" t="s">
        <v>25</v>
      </c>
      <c r="Q231" s="265">
        <v>5</v>
      </c>
      <c r="R231" s="266">
        <v>6</v>
      </c>
      <c r="S231" s="267">
        <f t="shared" si="36"/>
        <v>12</v>
      </c>
      <c r="T231" s="326"/>
    </row>
    <row r="232" spans="2:23">
      <c r="B232" s="472" t="s">
        <v>17</v>
      </c>
      <c r="C232" s="475">
        <v>6</v>
      </c>
      <c r="D232" s="586" t="s">
        <v>412</v>
      </c>
      <c r="E232" s="524" t="s">
        <v>120</v>
      </c>
      <c r="F232" s="478">
        <v>46267</v>
      </c>
      <c r="G232" s="478">
        <v>46272</v>
      </c>
      <c r="H232" s="478">
        <v>46275</v>
      </c>
      <c r="I232" s="363"/>
      <c r="J232" s="364"/>
      <c r="K232" s="365"/>
      <c r="L232" s="366" t="s">
        <v>121</v>
      </c>
      <c r="M232" s="364"/>
      <c r="N232" s="365"/>
      <c r="O232" s="367"/>
      <c r="P232" s="320"/>
      <c r="Q232" s="268"/>
      <c r="R232" s="269"/>
      <c r="S232" s="270"/>
      <c r="T232" s="368"/>
      <c r="W232" s="97"/>
    </row>
    <row r="233" spans="2:23" ht="25.5">
      <c r="B233" s="473"/>
      <c r="C233" s="476"/>
      <c r="D233" s="587"/>
      <c r="E233" s="445"/>
      <c r="F233" s="456"/>
      <c r="G233" s="456"/>
      <c r="H233" s="456"/>
      <c r="I233" s="336">
        <v>6.1</v>
      </c>
      <c r="J233" s="358" t="s">
        <v>19</v>
      </c>
      <c r="K233" s="36">
        <f>SUMIFS('[2]BESS 11'!X:X,'[2]BESS 11'!$B:$B,$J233)</f>
        <v>48</v>
      </c>
      <c r="L233" s="36">
        <f>SUMIFS('[2]BESS 11'!Y:Y,'[2]BESS 11'!$B:$B,$J233)</f>
        <v>48</v>
      </c>
      <c r="M233" s="36">
        <f t="shared" ref="M233:M243" si="37">K233-L233</f>
        <v>0</v>
      </c>
      <c r="N233" s="297" t="s">
        <v>122</v>
      </c>
      <c r="O233" s="68" t="s">
        <v>89</v>
      </c>
      <c r="P233" s="357" t="s">
        <v>20</v>
      </c>
      <c r="Q233" s="96">
        <v>1</v>
      </c>
      <c r="R233" s="93">
        <v>2</v>
      </c>
      <c r="S233" s="94">
        <f t="shared" ref="S233:S242" si="38">(M233*R233)/Q233</f>
        <v>0</v>
      </c>
      <c r="T233" s="307"/>
    </row>
    <row r="234" spans="2:23">
      <c r="B234" s="473"/>
      <c r="C234" s="476"/>
      <c r="D234" s="587"/>
      <c r="E234" s="445"/>
      <c r="F234" s="456"/>
      <c r="G234" s="456"/>
      <c r="H234" s="456"/>
      <c r="I234" s="336">
        <v>6.1999999999999993</v>
      </c>
      <c r="J234" s="358" t="s">
        <v>23</v>
      </c>
      <c r="K234" s="36">
        <f>SUMIFS('[2]BESS 11'!X:X,'[2]BESS 11'!$B:$B,$J234)</f>
        <v>6</v>
      </c>
      <c r="L234" s="36">
        <f>SUMIFS('[2]BESS 11'!Y:Y,'[2]BESS 11'!$B:$B,$J234)</f>
        <v>6</v>
      </c>
      <c r="M234" s="36">
        <f t="shared" si="37"/>
        <v>0</v>
      </c>
      <c r="N234" s="297" t="s">
        <v>122</v>
      </c>
      <c r="O234" s="68" t="s">
        <v>89</v>
      </c>
      <c r="P234" s="357" t="s">
        <v>20</v>
      </c>
      <c r="Q234" s="96">
        <v>1</v>
      </c>
      <c r="R234" s="93">
        <v>16</v>
      </c>
      <c r="S234" s="94">
        <f t="shared" si="38"/>
        <v>0</v>
      </c>
      <c r="T234" s="307"/>
    </row>
    <row r="235" spans="2:23">
      <c r="B235" s="473"/>
      <c r="C235" s="476"/>
      <c r="D235" s="587"/>
      <c r="E235" s="445"/>
      <c r="F235" s="456"/>
      <c r="G235" s="456"/>
      <c r="H235" s="456"/>
      <c r="I235" s="336">
        <v>6.2999999999999989</v>
      </c>
      <c r="J235" s="358" t="s">
        <v>26</v>
      </c>
      <c r="K235" s="36">
        <f>SUMIFS('[2]BESS 11'!X:X,'[2]BESS 11'!$B:$B,$J235)</f>
        <v>6</v>
      </c>
      <c r="L235" s="36">
        <f>SUMIFS('[2]BESS 11'!Y:Y,'[2]BESS 11'!$B:$B,$J235)</f>
        <v>6</v>
      </c>
      <c r="M235" s="36">
        <f t="shared" si="37"/>
        <v>0</v>
      </c>
      <c r="N235" s="297" t="s">
        <v>122</v>
      </c>
      <c r="O235" s="68" t="s">
        <v>89</v>
      </c>
      <c r="P235" s="357" t="s">
        <v>20</v>
      </c>
      <c r="Q235" s="96">
        <v>1</v>
      </c>
      <c r="R235" s="93">
        <v>39</v>
      </c>
      <c r="S235" s="94">
        <f t="shared" si="38"/>
        <v>0</v>
      </c>
      <c r="T235" s="307"/>
      <c r="W235" s="97"/>
    </row>
    <row r="236" spans="2:23">
      <c r="B236" s="473"/>
      <c r="C236" s="476"/>
      <c r="D236" s="587"/>
      <c r="E236" s="445"/>
      <c r="F236" s="456"/>
      <c r="G236" s="456"/>
      <c r="H236" s="456"/>
      <c r="I236" s="336">
        <v>6.3999999999999986</v>
      </c>
      <c r="J236" s="358" t="s">
        <v>32</v>
      </c>
      <c r="K236" s="36">
        <f>SUMIFS('[2]BESS 11'!X:X,'[2]BESS 11'!$B:$B,$J236)</f>
        <v>1</v>
      </c>
      <c r="L236" s="36">
        <f>SUMIFS('[2]BESS 11'!Y:Y,'[2]BESS 11'!$B:$B,$J236)</f>
        <v>1</v>
      </c>
      <c r="M236" s="36">
        <f t="shared" si="37"/>
        <v>0</v>
      </c>
      <c r="N236" s="297" t="s">
        <v>122</v>
      </c>
      <c r="O236" s="68" t="s">
        <v>89</v>
      </c>
      <c r="P236" s="357" t="s">
        <v>20</v>
      </c>
      <c r="Q236" s="96">
        <v>1</v>
      </c>
      <c r="R236" s="93">
        <v>37</v>
      </c>
      <c r="S236" s="94">
        <f t="shared" si="38"/>
        <v>0</v>
      </c>
      <c r="T236" s="307"/>
    </row>
    <row r="237" spans="2:23">
      <c r="B237" s="473"/>
      <c r="C237" s="476"/>
      <c r="D237" s="587"/>
      <c r="E237" s="445"/>
      <c r="F237" s="456"/>
      <c r="G237" s="456"/>
      <c r="H237" s="456"/>
      <c r="I237" s="336">
        <v>6.4999999999999982</v>
      </c>
      <c r="J237" s="358" t="s">
        <v>35</v>
      </c>
      <c r="K237" s="36">
        <f>SUMIFS('[2]BESS 11'!X:X,'[2]BESS 11'!$B:$B,$J237)</f>
        <v>1</v>
      </c>
      <c r="L237" s="36">
        <f>SUMIFS('[2]BESS 11'!Y:Y,'[2]BESS 11'!$B:$B,$J237)</f>
        <v>1</v>
      </c>
      <c r="M237" s="36">
        <f t="shared" si="37"/>
        <v>0</v>
      </c>
      <c r="N237" s="297" t="s">
        <v>122</v>
      </c>
      <c r="O237" s="68" t="s">
        <v>89</v>
      </c>
      <c r="P237" s="357" t="s">
        <v>20</v>
      </c>
      <c r="Q237" s="96">
        <v>1</v>
      </c>
      <c r="R237" s="93">
        <v>34</v>
      </c>
      <c r="S237" s="94">
        <f t="shared" si="38"/>
        <v>0</v>
      </c>
      <c r="T237" s="307"/>
    </row>
    <row r="238" spans="2:23" ht="25.5">
      <c r="B238" s="473"/>
      <c r="C238" s="476"/>
      <c r="D238" s="587"/>
      <c r="E238" s="445"/>
      <c r="F238" s="456"/>
      <c r="G238" s="456"/>
      <c r="H238" s="456"/>
      <c r="I238" s="390">
        <v>6.5999999999999979</v>
      </c>
      <c r="J238" s="138" t="s">
        <v>38</v>
      </c>
      <c r="K238" s="35">
        <f>SUMIFS('[2]BESS 11'!X:X,'[2]BESS 11'!$B:$B,$J238)</f>
        <v>1</v>
      </c>
      <c r="L238" s="36">
        <f>SUMIFS('[2]BESS 11'!Y:Y,'[2]BESS 11'!$B:$B,$J238)</f>
        <v>1</v>
      </c>
      <c r="M238" s="139">
        <f t="shared" si="37"/>
        <v>0</v>
      </c>
      <c r="N238" s="91" t="s">
        <v>241</v>
      </c>
      <c r="O238" s="68">
        <v>46212</v>
      </c>
      <c r="P238" s="140" t="s">
        <v>20</v>
      </c>
      <c r="Q238" s="96">
        <v>1</v>
      </c>
      <c r="R238" s="93">
        <v>54</v>
      </c>
      <c r="S238" s="94">
        <f t="shared" si="38"/>
        <v>0</v>
      </c>
      <c r="T238" s="307"/>
    </row>
    <row r="239" spans="2:23">
      <c r="B239" s="473"/>
      <c r="C239" s="476"/>
      <c r="D239" s="587"/>
      <c r="E239" s="445"/>
      <c r="F239" s="456"/>
      <c r="G239" s="456"/>
      <c r="H239" s="456"/>
      <c r="I239" s="336">
        <v>6.6999999999999975</v>
      </c>
      <c r="J239" s="358" t="s">
        <v>44</v>
      </c>
      <c r="K239" s="36">
        <f>SUMIFS('[2]BESS 11'!X:X,'[2]BESS 11'!$B:$B,$J239)</f>
        <v>3</v>
      </c>
      <c r="L239" s="36">
        <f>SUMIFS('[2]BESS 11'!Y:Y,'[2]BESS 11'!$B:$B,$J239)</f>
        <v>3</v>
      </c>
      <c r="M239" s="36">
        <f t="shared" si="37"/>
        <v>0</v>
      </c>
      <c r="N239" s="297" t="s">
        <v>122</v>
      </c>
      <c r="O239" s="68" t="s">
        <v>89</v>
      </c>
      <c r="P239" s="357" t="s">
        <v>45</v>
      </c>
      <c r="Q239" s="96">
        <v>3</v>
      </c>
      <c r="R239" s="93">
        <v>5</v>
      </c>
      <c r="S239" s="94">
        <f t="shared" si="38"/>
        <v>0</v>
      </c>
      <c r="T239" s="307"/>
    </row>
    <row r="240" spans="2:23">
      <c r="B240" s="473"/>
      <c r="C240" s="476"/>
      <c r="D240" s="587"/>
      <c r="E240" s="445"/>
      <c r="F240" s="456"/>
      <c r="G240" s="456"/>
      <c r="H240" s="456"/>
      <c r="I240" s="336">
        <v>6.7999999999999972</v>
      </c>
      <c r="J240" s="358" t="s">
        <v>40</v>
      </c>
      <c r="K240" s="36">
        <f>SUMIFS('[2]BESS 11'!X:X,'[2]BESS 11'!$B:$B,$J240)</f>
        <v>6</v>
      </c>
      <c r="L240" s="36">
        <f>SUMIFS('[2]BESS 11'!Y:Y,'[2]BESS 11'!$B:$B,$J240)</f>
        <v>6</v>
      </c>
      <c r="M240" s="36">
        <f t="shared" si="37"/>
        <v>0</v>
      </c>
      <c r="N240" s="297" t="s">
        <v>122</v>
      </c>
      <c r="O240" s="68" t="s">
        <v>89</v>
      </c>
      <c r="P240" s="357" t="s">
        <v>20</v>
      </c>
      <c r="Q240" s="96">
        <v>1</v>
      </c>
      <c r="R240" s="93">
        <v>5</v>
      </c>
      <c r="S240" s="94">
        <f t="shared" si="38"/>
        <v>0</v>
      </c>
      <c r="T240" s="307"/>
    </row>
    <row r="241" spans="2:26">
      <c r="B241" s="473"/>
      <c r="C241" s="476"/>
      <c r="D241" s="587"/>
      <c r="E241" s="445"/>
      <c r="F241" s="456"/>
      <c r="G241" s="456"/>
      <c r="H241" s="456"/>
      <c r="I241" s="336">
        <v>6.8999999999999968</v>
      </c>
      <c r="J241" s="358" t="s">
        <v>30</v>
      </c>
      <c r="K241" s="36">
        <f>SUMIFS('[2]BESS 11'!X:X,'[2]BESS 11'!$B:$B,$J241)</f>
        <v>6</v>
      </c>
      <c r="L241" s="36">
        <f>SUMIFS('[2]BESS 11'!Y:Y,'[2]BESS 11'!$B:$B,$J241)</f>
        <v>6</v>
      </c>
      <c r="M241" s="36">
        <f t="shared" si="37"/>
        <v>0</v>
      </c>
      <c r="N241" s="297" t="s">
        <v>122</v>
      </c>
      <c r="O241" s="68" t="s">
        <v>89</v>
      </c>
      <c r="P241" s="357" t="s">
        <v>31</v>
      </c>
      <c r="Q241" s="96">
        <v>1</v>
      </c>
      <c r="R241" s="93">
        <v>27</v>
      </c>
      <c r="S241" s="94">
        <f t="shared" si="38"/>
        <v>0</v>
      </c>
      <c r="T241" s="307"/>
    </row>
    <row r="242" spans="2:26" ht="25.5">
      <c r="B242" s="473"/>
      <c r="C242" s="476"/>
      <c r="D242" s="587"/>
      <c r="E242" s="445"/>
      <c r="F242" s="456"/>
      <c r="G242" s="456"/>
      <c r="H242" s="456"/>
      <c r="I242" s="92">
        <v>6.1</v>
      </c>
      <c r="J242" s="138" t="s">
        <v>34</v>
      </c>
      <c r="K242" s="35">
        <f>SUMIFS('[2]BESS 11'!X:X,'[2]BESS 11'!$B:$B,$J242)</f>
        <v>1</v>
      </c>
      <c r="L242" s="36">
        <f>SUMIFS('[2]BESS 11'!Y:Y,'[2]BESS 11'!$B:$B,$J242)</f>
        <v>0</v>
      </c>
      <c r="M242" s="139">
        <f t="shared" si="37"/>
        <v>1</v>
      </c>
      <c r="N242" s="91" t="s">
        <v>306</v>
      </c>
      <c r="O242" s="68" t="str">
        <f ca="1">IFERROR(DATEVALUE(TRIM(_xlfn.TEXTAFTER(N242,",",-1))&amp;"-"&amp;YEAR(TODAY())),N242)</f>
        <v>05 Jul, 20 Jul,
30 Jul</v>
      </c>
      <c r="P242" s="140" t="s">
        <v>31</v>
      </c>
      <c r="Q242" s="96">
        <v>1</v>
      </c>
      <c r="R242" s="93">
        <v>25</v>
      </c>
      <c r="S242" s="94">
        <f t="shared" si="38"/>
        <v>25</v>
      </c>
      <c r="T242" s="307"/>
    </row>
    <row r="243" spans="2:26" ht="25.5">
      <c r="B243" s="473"/>
      <c r="C243" s="476"/>
      <c r="D243" s="587"/>
      <c r="E243" s="445"/>
      <c r="F243" s="456"/>
      <c r="G243" s="456"/>
      <c r="H243" s="456"/>
      <c r="I243" s="92">
        <v>6.1099999999999994</v>
      </c>
      <c r="J243" s="138" t="s">
        <v>37</v>
      </c>
      <c r="K243" s="35">
        <f>SUMIFS('[2]BESS 11'!X:X,'[2]BESS 11'!$B:$B,$J243)</f>
        <v>1</v>
      </c>
      <c r="L243" s="36">
        <f>SUMIFS('[2]BESS 11'!Y:Y,'[2]BESS 11'!$B:$B,$J243)</f>
        <v>0</v>
      </c>
      <c r="M243" s="139">
        <f t="shared" si="37"/>
        <v>1</v>
      </c>
      <c r="N243" s="91" t="s">
        <v>297</v>
      </c>
      <c r="O243" s="68" t="str">
        <f ca="1">IFERROR(DATEVALUE(TRIM(_xlfn.TEXTAFTER(N243,",",-1))&amp;"-"&amp;YEAR(TODAY())),N243)</f>
        <v>05 Jul, 15 Jul,
29 Jul</v>
      </c>
      <c r="P243" s="140" t="s">
        <v>123</v>
      </c>
      <c r="Q243" s="96" t="s">
        <v>89</v>
      </c>
      <c r="R243" s="93" t="s">
        <v>89</v>
      </c>
      <c r="S243" s="94" t="s">
        <v>89</v>
      </c>
      <c r="T243" s="307"/>
    </row>
    <row r="244" spans="2:26">
      <c r="B244" s="473"/>
      <c r="C244" s="476"/>
      <c r="D244" s="587"/>
      <c r="E244" s="445"/>
      <c r="F244" s="456"/>
      <c r="G244" s="456"/>
      <c r="H244" s="456"/>
      <c r="I244" s="254"/>
      <c r="J244" s="50"/>
      <c r="K244" s="51"/>
      <c r="L244" s="52" t="s">
        <v>124</v>
      </c>
      <c r="M244" s="51"/>
      <c r="N244" s="51"/>
      <c r="O244" s="68"/>
      <c r="P244" s="351"/>
      <c r="Q244" s="96"/>
      <c r="R244" s="93"/>
      <c r="S244" s="94"/>
      <c r="T244" s="261"/>
    </row>
    <row r="245" spans="2:26">
      <c r="B245" s="473"/>
      <c r="C245" s="476"/>
      <c r="D245" s="587"/>
      <c r="E245" s="445"/>
      <c r="F245" s="456"/>
      <c r="G245" s="456"/>
      <c r="H245" s="456"/>
      <c r="I245" s="334">
        <v>6.1199999999999992</v>
      </c>
      <c r="J245" s="358" t="s">
        <v>24</v>
      </c>
      <c r="K245" s="36">
        <f>SUMIFS('[2]BESS 11'!X:X,'[2]BESS 11'!$B:$B,$J245)</f>
        <v>6</v>
      </c>
      <c r="L245" s="36">
        <f>SUMIFS('[2]BESS 11'!Y:Y,'[2]BESS 11'!$B:$B,$J245)</f>
        <v>6</v>
      </c>
      <c r="M245" s="36">
        <f t="shared" ref="M245:M276" si="39">K245-L245</f>
        <v>0</v>
      </c>
      <c r="N245" s="297" t="s">
        <v>122</v>
      </c>
      <c r="O245" s="68" t="s">
        <v>89</v>
      </c>
      <c r="P245" s="357" t="s">
        <v>25</v>
      </c>
      <c r="Q245" s="96">
        <v>2</v>
      </c>
      <c r="R245" s="93">
        <v>4</v>
      </c>
      <c r="S245" s="94">
        <f>(M245*R245)/Q245</f>
        <v>0</v>
      </c>
      <c r="T245" s="261"/>
    </row>
    <row r="246" spans="2:26">
      <c r="B246" s="473"/>
      <c r="C246" s="476"/>
      <c r="D246" s="587"/>
      <c r="E246" s="445"/>
      <c r="F246" s="456"/>
      <c r="G246" s="456"/>
      <c r="H246" s="456"/>
      <c r="I246" s="92">
        <v>6.129999999999999</v>
      </c>
      <c r="J246" s="138" t="s">
        <v>27</v>
      </c>
      <c r="K246" s="35">
        <f>SUMIFS('[2]BESS 11'!X:X,'[2]BESS 11'!$B:$B,$J246)</f>
        <v>48</v>
      </c>
      <c r="L246" s="36">
        <f>SUMIFS('[2]BESS 11'!Y:Y,'[2]BESS 11'!$B:$B,$J246)</f>
        <v>0</v>
      </c>
      <c r="M246" s="139">
        <f t="shared" si="39"/>
        <v>48</v>
      </c>
      <c r="N246" s="68">
        <v>46236</v>
      </c>
      <c r="O246" s="68">
        <f ca="1">IFERROR(DATEVALUE(TRIM(_xlfn.TEXTAFTER(N246,",",-1))&amp;"-"&amp;YEAR(TODAY())),N246)</f>
        <v>46236</v>
      </c>
      <c r="P246" s="140" t="s">
        <v>25</v>
      </c>
      <c r="Q246" s="96">
        <v>10</v>
      </c>
      <c r="R246" s="93">
        <v>4</v>
      </c>
      <c r="S246" s="94">
        <f>(M246*R246)/Q246</f>
        <v>19.2</v>
      </c>
      <c r="T246" s="307" t="s">
        <v>183</v>
      </c>
    </row>
    <row r="247" spans="2:26">
      <c r="B247" s="473"/>
      <c r="C247" s="476"/>
      <c r="D247" s="587"/>
      <c r="E247" s="445"/>
      <c r="F247" s="456"/>
      <c r="G247" s="456"/>
      <c r="H247" s="456"/>
      <c r="I247" s="92">
        <v>6.1399999999999988</v>
      </c>
      <c r="J247" s="138" t="s">
        <v>28</v>
      </c>
      <c r="K247" s="35">
        <f>SUMIFS('[2]BESS 11'!X:X,'[2]BESS 11'!$B:$B,$J247)</f>
        <v>6</v>
      </c>
      <c r="L247" s="36">
        <f>SUMIFS('[2]BESS 11'!Y:Y,'[2]BESS 11'!$B:$B,$J247)</f>
        <v>0</v>
      </c>
      <c r="M247" s="139">
        <f t="shared" si="39"/>
        <v>6</v>
      </c>
      <c r="N247" s="68">
        <v>46239</v>
      </c>
      <c r="O247" s="68">
        <f ca="1">IFERROR(DATEVALUE(TRIM(_xlfn.TEXTAFTER(N247,",",-1))&amp;"-"&amp;YEAR(TODAY())),N247)</f>
        <v>46239</v>
      </c>
      <c r="P247" s="140" t="s">
        <v>25</v>
      </c>
      <c r="Q247" s="96">
        <v>5</v>
      </c>
      <c r="R247" s="93">
        <v>4</v>
      </c>
      <c r="S247" s="94">
        <f>(M247*R247)/Q247</f>
        <v>4.8</v>
      </c>
      <c r="T247" s="261"/>
    </row>
    <row r="248" spans="2:26" ht="25.5">
      <c r="B248" s="473"/>
      <c r="C248" s="476"/>
      <c r="D248" s="587"/>
      <c r="E248" s="445"/>
      <c r="F248" s="456"/>
      <c r="G248" s="456"/>
      <c r="H248" s="456"/>
      <c r="I248" s="92">
        <v>6.1499999999999986</v>
      </c>
      <c r="J248" s="138" t="s">
        <v>29</v>
      </c>
      <c r="K248" s="35">
        <f>SUMIFS('[2]BESS 11'!X:X,'[2]BESS 11'!$B:$B,$J248)</f>
        <v>6</v>
      </c>
      <c r="L248" s="36">
        <f>SUMIFS('[2]BESS 11'!Y:Y,'[2]BESS 11'!$B:$B,$J248)</f>
        <v>0</v>
      </c>
      <c r="M248" s="139">
        <f t="shared" si="39"/>
        <v>6</v>
      </c>
      <c r="N248" s="91">
        <v>46236</v>
      </c>
      <c r="O248" s="68">
        <f ca="1">IFERROR(DATEVALUE(TRIM(_xlfn.TEXTAFTER(N248,",",-1))&amp;"-"&amp;YEAR(TODAY())),N248)</f>
        <v>46236</v>
      </c>
      <c r="P248" s="140" t="s">
        <v>25</v>
      </c>
      <c r="Q248" s="96">
        <v>20</v>
      </c>
      <c r="R248" s="527">
        <v>4</v>
      </c>
      <c r="S248" s="530">
        <v>4</v>
      </c>
      <c r="T248" s="261"/>
    </row>
    <row r="249" spans="2:26" ht="25.5">
      <c r="B249" s="473"/>
      <c r="C249" s="476"/>
      <c r="D249" s="587"/>
      <c r="E249" s="445"/>
      <c r="F249" s="456"/>
      <c r="G249" s="456"/>
      <c r="H249" s="456"/>
      <c r="I249" s="92">
        <v>6.1599999999999984</v>
      </c>
      <c r="J249" s="138" t="s">
        <v>33</v>
      </c>
      <c r="K249" s="35">
        <f>SUMIFS('[2]BESS 11'!X:X,'[2]BESS 11'!$B:$B,$J249)</f>
        <v>2</v>
      </c>
      <c r="L249" s="36">
        <f>SUMIFS('[2]BESS 11'!Y:Y,'[2]BESS 11'!$B:$B,$J249)</f>
        <v>0</v>
      </c>
      <c r="M249" s="139">
        <f t="shared" si="39"/>
        <v>2</v>
      </c>
      <c r="N249" s="91" t="s">
        <v>323</v>
      </c>
      <c r="O249" s="68">
        <v>46218</v>
      </c>
      <c r="P249" s="140" t="s">
        <v>25</v>
      </c>
      <c r="Q249" s="96">
        <v>10</v>
      </c>
      <c r="R249" s="528"/>
      <c r="S249" s="531"/>
      <c r="T249" s="261"/>
      <c r="W249" s="60"/>
      <c r="Z249" s="60"/>
    </row>
    <row r="250" spans="2:26" ht="25.5">
      <c r="B250" s="473"/>
      <c r="C250" s="476"/>
      <c r="D250" s="587"/>
      <c r="E250" s="445"/>
      <c r="F250" s="456"/>
      <c r="G250" s="456"/>
      <c r="H250" s="456"/>
      <c r="I250" s="92">
        <v>6.1699999999999982</v>
      </c>
      <c r="J250" s="138" t="s">
        <v>36</v>
      </c>
      <c r="K250" s="35">
        <f>SUMIFS('[2]BESS 11'!X:X,'[2]BESS 11'!$B:$B,$J250)</f>
        <v>1</v>
      </c>
      <c r="L250" s="36">
        <f>SUMIFS('[2]BESS 11'!Y:Y,'[2]BESS 11'!$B:$B,$J250)</f>
        <v>0</v>
      </c>
      <c r="M250" s="139">
        <f t="shared" si="39"/>
        <v>1</v>
      </c>
      <c r="N250" s="91" t="s">
        <v>324</v>
      </c>
      <c r="O250" s="68" t="str">
        <f t="shared" ref="O250:O276" ca="1" si="40">IFERROR(DATEVALUE(TRIM(_xlfn.TEXTAFTER(N250,",",-1))&amp;"-"&amp;YEAR(TODAY())),N250)</f>
        <v>09 Jul, 18 Jul,
30 Jul</v>
      </c>
      <c r="P250" s="140" t="s">
        <v>25</v>
      </c>
      <c r="Q250" s="96">
        <v>10</v>
      </c>
      <c r="R250" s="528"/>
      <c r="S250" s="531"/>
      <c r="T250" s="261"/>
      <c r="Z250" s="60"/>
    </row>
    <row r="251" spans="2:26">
      <c r="B251" s="473"/>
      <c r="C251" s="476"/>
      <c r="D251" s="587"/>
      <c r="E251" s="445"/>
      <c r="F251" s="456"/>
      <c r="G251" s="456"/>
      <c r="H251" s="456"/>
      <c r="I251" s="92">
        <v>6.1799999999999979</v>
      </c>
      <c r="J251" s="138" t="s">
        <v>39</v>
      </c>
      <c r="K251" s="35">
        <f>SUMIFS('[2]BESS 11'!X:X,'[2]BESS 11'!$B:$B,$J251)</f>
        <v>1</v>
      </c>
      <c r="L251" s="36">
        <f>SUMIFS('[2]BESS 11'!Y:Y,'[2]BESS 11'!$B:$B,$J251)</f>
        <v>0</v>
      </c>
      <c r="M251" s="139">
        <f t="shared" si="39"/>
        <v>1</v>
      </c>
      <c r="N251" s="68" t="s">
        <v>325</v>
      </c>
      <c r="O251" s="68">
        <f t="shared" ca="1" si="40"/>
        <v>46233</v>
      </c>
      <c r="P251" s="140" t="s">
        <v>25</v>
      </c>
      <c r="Q251" s="96">
        <v>10</v>
      </c>
      <c r="R251" s="528"/>
      <c r="S251" s="531"/>
      <c r="T251" s="307"/>
      <c r="Z251" s="60"/>
    </row>
    <row r="252" spans="2:26">
      <c r="B252" s="638" t="s">
        <v>177</v>
      </c>
      <c r="C252" s="639"/>
      <c r="D252" s="639"/>
      <c r="E252" s="639"/>
      <c r="F252" s="639"/>
      <c r="G252" s="639"/>
      <c r="H252" s="639"/>
      <c r="I252" s="92">
        <v>6.1899999999999977</v>
      </c>
      <c r="J252" s="138" t="s">
        <v>41</v>
      </c>
      <c r="K252" s="35">
        <f>SUMIFS('[2]BESS 11'!X:X,'[2]BESS 11'!$B:$B,$J252)</f>
        <v>6</v>
      </c>
      <c r="L252" s="36">
        <f>SUMIFS('[2]BESS 11'!Y:Y,'[2]BESS 11'!$B:$B,$J252)</f>
        <v>0</v>
      </c>
      <c r="M252" s="139">
        <f t="shared" si="39"/>
        <v>6</v>
      </c>
      <c r="N252" s="68" t="s">
        <v>315</v>
      </c>
      <c r="O252" s="68">
        <f t="shared" ca="1" si="40"/>
        <v>46233</v>
      </c>
      <c r="P252" s="140" t="s">
        <v>125</v>
      </c>
      <c r="Q252" s="96">
        <v>20</v>
      </c>
      <c r="R252" s="529"/>
      <c r="S252" s="532"/>
      <c r="T252" s="307"/>
    </row>
    <row r="253" spans="2:26">
      <c r="B253" s="638"/>
      <c r="C253" s="639"/>
      <c r="D253" s="639"/>
      <c r="E253" s="639"/>
      <c r="F253" s="639"/>
      <c r="G253" s="639"/>
      <c r="H253" s="639"/>
      <c r="I253" s="92">
        <v>6.1999999999999975</v>
      </c>
      <c r="J253" s="138" t="s">
        <v>43</v>
      </c>
      <c r="K253" s="35">
        <f>SUMIFS('[2]BESS 11'!X:X,'[2]BESS 11'!$B:$B,$J253)</f>
        <v>6</v>
      </c>
      <c r="L253" s="36">
        <f>SUMIFS('[2]BESS 11'!Y:Y,'[2]BESS 11'!$B:$B,$J253)</f>
        <v>0</v>
      </c>
      <c r="M253" s="139">
        <f t="shared" si="39"/>
        <v>6</v>
      </c>
      <c r="N253" s="68" t="s">
        <v>316</v>
      </c>
      <c r="O253" s="68">
        <f t="shared" ca="1" si="40"/>
        <v>46239</v>
      </c>
      <c r="P253" s="140" t="s">
        <v>125</v>
      </c>
      <c r="Q253" s="96">
        <v>0.66666666666666663</v>
      </c>
      <c r="R253" s="93">
        <v>0</v>
      </c>
      <c r="S253" s="94">
        <f t="shared" ref="S253:S265" si="41">(M253*R253)/Q253</f>
        <v>0</v>
      </c>
      <c r="T253" s="307"/>
    </row>
    <row r="254" spans="2:26">
      <c r="B254" s="638"/>
      <c r="C254" s="639"/>
      <c r="D254" s="639"/>
      <c r="E254" s="639"/>
      <c r="F254" s="639"/>
      <c r="G254" s="639"/>
      <c r="H254" s="639"/>
      <c r="I254" s="92">
        <v>6.2099999999999973</v>
      </c>
      <c r="J254" s="138" t="s">
        <v>21</v>
      </c>
      <c r="K254" s="35">
        <f>SUMIFS('[2]BESS 11'!X:X,'[2]BESS 11'!$B:$B,$J254)</f>
        <v>48</v>
      </c>
      <c r="L254" s="36">
        <f>SUMIFS('[2]BESS 11'!Y:Y,'[2]BESS 11'!$B:$B,$J254)</f>
        <v>0</v>
      </c>
      <c r="M254" s="139">
        <f t="shared" si="39"/>
        <v>48</v>
      </c>
      <c r="N254" s="68" t="s">
        <v>367</v>
      </c>
      <c r="O254" s="68">
        <f t="shared" ca="1" si="40"/>
        <v>46255</v>
      </c>
      <c r="P254" s="140" t="s">
        <v>22</v>
      </c>
      <c r="Q254" s="96">
        <v>10</v>
      </c>
      <c r="R254" s="93">
        <v>4</v>
      </c>
      <c r="S254" s="94">
        <f t="shared" si="41"/>
        <v>19.2</v>
      </c>
      <c r="T254" s="307"/>
    </row>
    <row r="255" spans="2:26">
      <c r="B255" s="638"/>
      <c r="C255" s="639"/>
      <c r="D255" s="639"/>
      <c r="E255" s="639"/>
      <c r="F255" s="639"/>
      <c r="G255" s="639"/>
      <c r="H255" s="639"/>
      <c r="I255" s="92">
        <v>6.2199999999999971</v>
      </c>
      <c r="J255" s="138" t="s">
        <v>47</v>
      </c>
      <c r="K255" s="35">
        <f>SUMIFS('[2]BESS 11'!X:X,'[2]BESS 11'!$B:$B,$J255)</f>
        <v>4879.09</v>
      </c>
      <c r="L255" s="36">
        <f>SUMIFS('[2]BESS 11'!Y:Y,'[2]BESS 11'!$B:$B,$J255)</f>
        <v>0</v>
      </c>
      <c r="M255" s="139">
        <f t="shared" si="39"/>
        <v>4879.09</v>
      </c>
      <c r="N255" s="68">
        <v>46234</v>
      </c>
      <c r="O255" s="68">
        <f t="shared" ca="1" si="40"/>
        <v>46234</v>
      </c>
      <c r="P255" s="140" t="s">
        <v>25</v>
      </c>
      <c r="Q255" s="96">
        <v>1500</v>
      </c>
      <c r="R255" s="93">
        <v>48</v>
      </c>
      <c r="S255" s="94">
        <f t="shared" si="41"/>
        <v>156.13087999999999</v>
      </c>
      <c r="T255" s="307"/>
    </row>
    <row r="256" spans="2:26">
      <c r="B256" s="638"/>
      <c r="C256" s="639"/>
      <c r="D256" s="639"/>
      <c r="E256" s="639"/>
      <c r="F256" s="639"/>
      <c r="G256" s="639"/>
      <c r="H256" s="639"/>
      <c r="I256" s="92">
        <v>6.2299999999999969</v>
      </c>
      <c r="J256" s="138" t="s">
        <v>48</v>
      </c>
      <c r="K256" s="35">
        <f>SUMIFS('[2]BESS 11'!X:X,'[2]BESS 11'!$B:$B,$J256)</f>
        <v>28</v>
      </c>
      <c r="L256" s="36">
        <f>SUMIFS('[2]BESS 11'!Y:Y,'[2]BESS 11'!$B:$B,$J256)</f>
        <v>0</v>
      </c>
      <c r="M256" s="139">
        <f t="shared" si="39"/>
        <v>28</v>
      </c>
      <c r="N256" s="68">
        <v>46250</v>
      </c>
      <c r="O256" s="68">
        <f t="shared" ca="1" si="40"/>
        <v>46250</v>
      </c>
      <c r="P256" s="140" t="s">
        <v>25</v>
      </c>
      <c r="Q256" s="96">
        <v>8</v>
      </c>
      <c r="R256" s="93">
        <v>6</v>
      </c>
      <c r="S256" s="94">
        <f t="shared" si="41"/>
        <v>21</v>
      </c>
      <c r="T256" s="307"/>
    </row>
    <row r="257" spans="2:22">
      <c r="B257" s="638"/>
      <c r="C257" s="639"/>
      <c r="D257" s="639"/>
      <c r="E257" s="639"/>
      <c r="F257" s="639"/>
      <c r="G257" s="639"/>
      <c r="H257" s="639"/>
      <c r="I257" s="92">
        <f t="shared" ref="I257:I276" si="42">I256+0.01</f>
        <v>6.2399999999999967</v>
      </c>
      <c r="J257" s="138" t="s">
        <v>126</v>
      </c>
      <c r="K257" s="35">
        <f>SUMIFS('[2]BESS 11'!X:X,'[2]BESS 11'!$B:$B,$J257)</f>
        <v>14288</v>
      </c>
      <c r="L257" s="36">
        <f>SUMIFS('[2]BESS 11'!Y:Y,'[2]BESS 11'!$B:$B,$J257)</f>
        <v>0</v>
      </c>
      <c r="M257" s="139">
        <f t="shared" si="39"/>
        <v>14288</v>
      </c>
      <c r="N257" s="68">
        <v>46240</v>
      </c>
      <c r="O257" s="68">
        <f t="shared" ca="1" si="40"/>
        <v>46240</v>
      </c>
      <c r="P257" s="140" t="s">
        <v>25</v>
      </c>
      <c r="Q257" s="96">
        <v>600</v>
      </c>
      <c r="R257" s="93">
        <v>10</v>
      </c>
      <c r="S257" s="94">
        <f t="shared" si="41"/>
        <v>238.13333333333333</v>
      </c>
      <c r="T257" s="307"/>
    </row>
    <row r="258" spans="2:22">
      <c r="B258" s="638"/>
      <c r="C258" s="639"/>
      <c r="D258" s="639"/>
      <c r="E258" s="639"/>
      <c r="F258" s="639"/>
      <c r="G258" s="639"/>
      <c r="H258" s="639"/>
      <c r="I258" s="92">
        <f t="shared" si="42"/>
        <v>6.2499999999999964</v>
      </c>
      <c r="J258" s="138" t="s">
        <v>127</v>
      </c>
      <c r="K258" s="35">
        <f>SUMIFS('[2]BESS 11'!X:X,'[2]BESS 11'!$B:$B,$J258)</f>
        <v>47399</v>
      </c>
      <c r="L258" s="36">
        <f>SUMIFS('[2]BESS 11'!Y:Y,'[2]BESS 11'!$B:$B,$J258)</f>
        <v>0</v>
      </c>
      <c r="M258" s="139">
        <f t="shared" si="39"/>
        <v>47399</v>
      </c>
      <c r="N258" s="68">
        <v>46234</v>
      </c>
      <c r="O258" s="68">
        <f t="shared" ca="1" si="40"/>
        <v>46234</v>
      </c>
      <c r="P258" s="140" t="s">
        <v>25</v>
      </c>
      <c r="Q258" s="96">
        <v>600</v>
      </c>
      <c r="R258" s="93">
        <v>10</v>
      </c>
      <c r="S258" s="94">
        <f t="shared" si="41"/>
        <v>789.98333333333335</v>
      </c>
      <c r="T258" s="307"/>
    </row>
    <row r="259" spans="2:22">
      <c r="B259" s="638"/>
      <c r="C259" s="639"/>
      <c r="D259" s="639"/>
      <c r="E259" s="639"/>
      <c r="F259" s="639"/>
      <c r="G259" s="639"/>
      <c r="H259" s="639"/>
      <c r="I259" s="92">
        <f t="shared" si="42"/>
        <v>6.2599999999999962</v>
      </c>
      <c r="J259" s="138" t="s">
        <v>128</v>
      </c>
      <c r="K259" s="35">
        <f>SUMIFS('[2]BESS 11'!X:X,'[2]BESS 11'!$B:$B,$J259)</f>
        <v>1536</v>
      </c>
      <c r="L259" s="36">
        <f>SUMIFS('[2]BESS 11'!Y:Y,'[2]BESS 11'!$B:$B,$J259)</f>
        <v>0</v>
      </c>
      <c r="M259" s="139">
        <f t="shared" si="39"/>
        <v>1536</v>
      </c>
      <c r="N259" s="68">
        <v>46254</v>
      </c>
      <c r="O259" s="68">
        <f t="shared" ca="1" si="40"/>
        <v>46254</v>
      </c>
      <c r="P259" s="140" t="s">
        <v>25</v>
      </c>
      <c r="Q259" s="96">
        <v>30</v>
      </c>
      <c r="R259" s="93">
        <v>18</v>
      </c>
      <c r="S259" s="94">
        <f t="shared" si="41"/>
        <v>921.6</v>
      </c>
      <c r="T259" s="307"/>
    </row>
    <row r="260" spans="2:22">
      <c r="B260" s="638"/>
      <c r="C260" s="639"/>
      <c r="D260" s="639"/>
      <c r="E260" s="639"/>
      <c r="F260" s="639"/>
      <c r="G260" s="639"/>
      <c r="H260" s="639"/>
      <c r="I260" s="92">
        <f t="shared" si="42"/>
        <v>6.269999999999996</v>
      </c>
      <c r="J260" s="138" t="s">
        <v>129</v>
      </c>
      <c r="K260" s="35">
        <f>SUMIFS('[2]BESS 11'!X:X,'[2]BESS 11'!$B:$B,$J260)</f>
        <v>2304</v>
      </c>
      <c r="L260" s="36">
        <f>SUMIFS('[2]BESS 11'!Y:Y,'[2]BESS 11'!$B:$B,$J260)</f>
        <v>0</v>
      </c>
      <c r="M260" s="139">
        <f t="shared" si="39"/>
        <v>2304</v>
      </c>
      <c r="N260" s="68">
        <v>46254</v>
      </c>
      <c r="O260" s="68">
        <f t="shared" ca="1" si="40"/>
        <v>46254</v>
      </c>
      <c r="P260" s="140" t="s">
        <v>25</v>
      </c>
      <c r="Q260" s="96">
        <v>30</v>
      </c>
      <c r="R260" s="93">
        <v>18</v>
      </c>
      <c r="S260" s="94">
        <f t="shared" si="41"/>
        <v>1382.4</v>
      </c>
      <c r="T260" s="307"/>
    </row>
    <row r="261" spans="2:22">
      <c r="B261" s="638"/>
      <c r="C261" s="639"/>
      <c r="D261" s="639"/>
      <c r="E261" s="639"/>
      <c r="F261" s="639"/>
      <c r="G261" s="639"/>
      <c r="H261" s="639"/>
      <c r="I261" s="92">
        <f t="shared" si="42"/>
        <v>6.2799999999999958</v>
      </c>
      <c r="J261" s="138" t="s">
        <v>130</v>
      </c>
      <c r="K261" s="35">
        <f>SUMIFS('[2]BESS 11'!X:X,'[2]BESS 11'!$B:$B,$J261)</f>
        <v>8232</v>
      </c>
      <c r="L261" s="36">
        <f>SUMIFS('[2]BESS 11'!Y:Y,'[2]BESS 11'!$B:$B,$J261)</f>
        <v>0</v>
      </c>
      <c r="M261" s="139">
        <f t="shared" si="39"/>
        <v>8232</v>
      </c>
      <c r="N261" s="68">
        <v>46244</v>
      </c>
      <c r="O261" s="68">
        <f t="shared" ca="1" si="40"/>
        <v>46244</v>
      </c>
      <c r="P261" s="140" t="s">
        <v>25</v>
      </c>
      <c r="Q261" s="96">
        <v>1000</v>
      </c>
      <c r="R261" s="93">
        <v>10</v>
      </c>
      <c r="S261" s="94">
        <f t="shared" si="41"/>
        <v>82.32</v>
      </c>
      <c r="T261" s="307"/>
    </row>
    <row r="262" spans="2:22">
      <c r="B262" s="638"/>
      <c r="C262" s="639"/>
      <c r="D262" s="639"/>
      <c r="E262" s="639"/>
      <c r="F262" s="639"/>
      <c r="G262" s="639"/>
      <c r="H262" s="639"/>
      <c r="I262" s="92">
        <f t="shared" si="42"/>
        <v>6.2899999999999956</v>
      </c>
      <c r="J262" s="138" t="s">
        <v>131</v>
      </c>
      <c r="K262" s="35">
        <f>SUMIFS('[2]BESS 11'!X:X,'[2]BESS 11'!$B:$B,$J262)</f>
        <v>14448</v>
      </c>
      <c r="L262" s="36">
        <f>SUMIFS('[2]BESS 11'!Y:Y,'[2]BESS 11'!$B:$B,$J262)</f>
        <v>0</v>
      </c>
      <c r="M262" s="139">
        <f t="shared" si="39"/>
        <v>14448</v>
      </c>
      <c r="N262" s="68">
        <v>46244</v>
      </c>
      <c r="O262" s="68">
        <f t="shared" ca="1" si="40"/>
        <v>46244</v>
      </c>
      <c r="P262" s="140" t="s">
        <v>25</v>
      </c>
      <c r="Q262" s="96">
        <v>1000</v>
      </c>
      <c r="R262" s="93">
        <v>10</v>
      </c>
      <c r="S262" s="94">
        <f t="shared" si="41"/>
        <v>144.47999999999999</v>
      </c>
      <c r="T262" s="307"/>
    </row>
    <row r="263" spans="2:22">
      <c r="B263" s="638"/>
      <c r="C263" s="639"/>
      <c r="D263" s="639"/>
      <c r="E263" s="639"/>
      <c r="F263" s="639"/>
      <c r="G263" s="639"/>
      <c r="H263" s="639"/>
      <c r="I263" s="92">
        <f t="shared" si="42"/>
        <v>6.2999999999999954</v>
      </c>
      <c r="J263" s="138" t="s">
        <v>132</v>
      </c>
      <c r="K263" s="35">
        <f>SUMIFS('[2]BESS 11'!X:X,'[2]BESS 11'!$B:$B,$J263)</f>
        <v>4792</v>
      </c>
      <c r="L263" s="36">
        <f>SUMIFS('[2]BESS 11'!Y:Y,'[2]BESS 11'!$B:$B,$J263)</f>
        <v>0</v>
      </c>
      <c r="M263" s="139">
        <f t="shared" si="39"/>
        <v>4792</v>
      </c>
      <c r="N263" s="68">
        <v>46244</v>
      </c>
      <c r="O263" s="68">
        <f t="shared" ca="1" si="40"/>
        <v>46244</v>
      </c>
      <c r="P263" s="140" t="s">
        <v>25</v>
      </c>
      <c r="Q263" s="96">
        <v>500</v>
      </c>
      <c r="R263" s="93">
        <v>10</v>
      </c>
      <c r="S263" s="94">
        <f t="shared" si="41"/>
        <v>95.84</v>
      </c>
      <c r="T263" s="307"/>
    </row>
    <row r="264" spans="2:22">
      <c r="B264" s="638"/>
      <c r="C264" s="639"/>
      <c r="D264" s="639"/>
      <c r="E264" s="639"/>
      <c r="F264" s="639"/>
      <c r="G264" s="639"/>
      <c r="H264" s="639"/>
      <c r="I264" s="92">
        <f t="shared" si="42"/>
        <v>6.3099999999999952</v>
      </c>
      <c r="J264" s="138" t="s">
        <v>133</v>
      </c>
      <c r="K264" s="35">
        <f>SUMIFS('[2]BESS 11'!X:X,'[2]BESS 11'!$B:$B,$J264)</f>
        <v>286</v>
      </c>
      <c r="L264" s="36">
        <f>SUMIFS('[2]BESS 11'!Y:Y,'[2]BESS 11'!$B:$B,$J264)</f>
        <v>0</v>
      </c>
      <c r="M264" s="139">
        <f t="shared" si="39"/>
        <v>286</v>
      </c>
      <c r="N264" s="68">
        <v>46254</v>
      </c>
      <c r="O264" s="68">
        <f t="shared" ca="1" si="40"/>
        <v>46254</v>
      </c>
      <c r="P264" s="140" t="s">
        <v>25</v>
      </c>
      <c r="Q264" s="96">
        <v>30</v>
      </c>
      <c r="R264" s="93">
        <v>6</v>
      </c>
      <c r="S264" s="94">
        <f t="shared" si="41"/>
        <v>57.2</v>
      </c>
      <c r="T264" s="307"/>
    </row>
    <row r="265" spans="2:22">
      <c r="B265" s="638"/>
      <c r="C265" s="639"/>
      <c r="D265" s="639"/>
      <c r="E265" s="639"/>
      <c r="F265" s="639"/>
      <c r="G265" s="639"/>
      <c r="H265" s="639"/>
      <c r="I265" s="92">
        <f t="shared" si="42"/>
        <v>6.319999999999995</v>
      </c>
      <c r="J265" s="138" t="s">
        <v>134</v>
      </c>
      <c r="K265" s="35">
        <f>SUMIFS('[2]BESS 11'!X:X,'[2]BESS 11'!$B:$B,$J265)</f>
        <v>536</v>
      </c>
      <c r="L265" s="36">
        <f>SUMIFS('[2]BESS 11'!Y:Y,'[2]BESS 11'!$B:$B,$J265)</f>
        <v>0</v>
      </c>
      <c r="M265" s="139">
        <f t="shared" si="39"/>
        <v>536</v>
      </c>
      <c r="N265" s="68">
        <v>46254</v>
      </c>
      <c r="O265" s="68">
        <f t="shared" ca="1" si="40"/>
        <v>46254</v>
      </c>
      <c r="P265" s="140" t="s">
        <v>135</v>
      </c>
      <c r="Q265" s="96">
        <v>30</v>
      </c>
      <c r="R265" s="93">
        <v>4</v>
      </c>
      <c r="S265" s="94">
        <f t="shared" si="41"/>
        <v>71.466666666666669</v>
      </c>
      <c r="T265" s="307"/>
    </row>
    <row r="266" spans="2:22" ht="25.5">
      <c r="B266" s="638"/>
      <c r="C266" s="639"/>
      <c r="D266" s="639"/>
      <c r="E266" s="639"/>
      <c r="F266" s="639"/>
      <c r="G266" s="639"/>
      <c r="H266" s="639"/>
      <c r="I266" s="92">
        <f t="shared" si="42"/>
        <v>6.3299999999999947</v>
      </c>
      <c r="J266" s="138" t="s">
        <v>136</v>
      </c>
      <c r="K266" s="35">
        <f>SUMIFS('[2]BESS 11'!X:X,'[2]BESS 11'!$B:$B,$J266)</f>
        <v>384</v>
      </c>
      <c r="L266" s="36">
        <f>SUMIFS('[2]BESS 11'!Y:Y,'[2]BESS 11'!$B:$B,$J266)</f>
        <v>0</v>
      </c>
      <c r="M266" s="139">
        <f t="shared" si="39"/>
        <v>384</v>
      </c>
      <c r="N266" s="68">
        <v>46254</v>
      </c>
      <c r="O266" s="68">
        <f t="shared" ca="1" si="40"/>
        <v>46254</v>
      </c>
      <c r="P266" s="140" t="s">
        <v>135</v>
      </c>
      <c r="Q266" s="96" t="s">
        <v>89</v>
      </c>
      <c r="R266" s="93" t="s">
        <v>89</v>
      </c>
      <c r="S266" s="94" t="s">
        <v>89</v>
      </c>
      <c r="T266" s="307"/>
      <c r="U266">
        <f ca="1">O266-$T$1</f>
        <v>21</v>
      </c>
      <c r="V266" s="97">
        <f>SUM(S245:S276)</f>
        <v>4348.4475466666672</v>
      </c>
    </row>
    <row r="267" spans="2:22">
      <c r="B267" s="638"/>
      <c r="C267" s="639"/>
      <c r="D267" s="639"/>
      <c r="E267" s="639"/>
      <c r="F267" s="639"/>
      <c r="G267" s="639"/>
      <c r="H267" s="639"/>
      <c r="I267" s="92">
        <f t="shared" si="42"/>
        <v>6.3399999999999945</v>
      </c>
      <c r="J267" s="138" t="s">
        <v>137</v>
      </c>
      <c r="K267" s="35">
        <f>SUMIFS('[2]BESS 11'!X:X,'[2]BESS 11'!$B:$B,$J267)</f>
        <v>6</v>
      </c>
      <c r="L267" s="36">
        <f>SUMIFS('[2]BESS 11'!Y:Y,'[2]BESS 11'!$B:$B,$J267)</f>
        <v>0</v>
      </c>
      <c r="M267" s="139">
        <f t="shared" si="39"/>
        <v>6</v>
      </c>
      <c r="N267" s="68">
        <v>46239</v>
      </c>
      <c r="O267" s="68">
        <f t="shared" ca="1" si="40"/>
        <v>46239</v>
      </c>
      <c r="P267" s="140" t="s">
        <v>138</v>
      </c>
      <c r="Q267" s="533">
        <v>2</v>
      </c>
      <c r="R267" s="527">
        <v>8</v>
      </c>
      <c r="S267" s="94" t="s">
        <v>89</v>
      </c>
      <c r="T267" s="307"/>
    </row>
    <row r="268" spans="2:22">
      <c r="B268" s="638"/>
      <c r="C268" s="639"/>
      <c r="D268" s="639"/>
      <c r="E268" s="639"/>
      <c r="F268" s="639"/>
      <c r="G268" s="639"/>
      <c r="H268" s="639"/>
      <c r="I268" s="92">
        <f t="shared" si="42"/>
        <v>6.3499999999999943</v>
      </c>
      <c r="J268" s="138" t="s">
        <v>139</v>
      </c>
      <c r="K268" s="35">
        <f>SUMIFS('[2]BESS 11'!X:X,'[2]BESS 11'!$B:$B,$J268)</f>
        <v>6</v>
      </c>
      <c r="L268" s="36">
        <f>SUMIFS('[2]BESS 11'!Y:Y,'[2]BESS 11'!$B:$B,$J268)</f>
        <v>0</v>
      </c>
      <c r="M268" s="139">
        <f t="shared" si="39"/>
        <v>6</v>
      </c>
      <c r="N268" s="68">
        <v>46243</v>
      </c>
      <c r="O268" s="68">
        <f t="shared" ca="1" si="40"/>
        <v>46243</v>
      </c>
      <c r="P268" s="140" t="s">
        <v>25</v>
      </c>
      <c r="Q268" s="534"/>
      <c r="R268" s="529"/>
      <c r="S268" s="94">
        <v>12</v>
      </c>
      <c r="T268" s="307"/>
    </row>
    <row r="269" spans="2:22" ht="25.5">
      <c r="B269" s="638"/>
      <c r="C269" s="639"/>
      <c r="D269" s="639"/>
      <c r="E269" s="639"/>
      <c r="F269" s="639"/>
      <c r="G269" s="639"/>
      <c r="H269" s="639"/>
      <c r="I269" s="92">
        <f t="shared" si="42"/>
        <v>6.3599999999999941</v>
      </c>
      <c r="J269" s="138" t="s">
        <v>140</v>
      </c>
      <c r="K269" s="35">
        <f>SUMIFS('[2]BESS 11'!X:X,'[2]BESS 11'!$B:$B,$J269)</f>
        <v>6</v>
      </c>
      <c r="L269" s="36">
        <f>SUMIFS('[2]BESS 11'!Y:Y,'[2]BESS 11'!$B:$B,$J269)</f>
        <v>0</v>
      </c>
      <c r="M269" s="139">
        <f t="shared" si="39"/>
        <v>6</v>
      </c>
      <c r="N269" s="68">
        <v>46264</v>
      </c>
      <c r="O269" s="68">
        <f t="shared" ca="1" si="40"/>
        <v>46264</v>
      </c>
      <c r="P269" s="140" t="s">
        <v>25</v>
      </c>
      <c r="Q269" s="96">
        <v>2</v>
      </c>
      <c r="R269" s="93">
        <v>4</v>
      </c>
      <c r="S269" s="94">
        <f t="shared" ref="S269:S276" si="43">(M269*R269)/Q269</f>
        <v>12</v>
      </c>
      <c r="T269" s="313"/>
      <c r="U269">
        <f ca="1">O269-$T$1</f>
        <v>31</v>
      </c>
      <c r="V269" s="97">
        <f>SUM(S245:S276)</f>
        <v>4348.4475466666672</v>
      </c>
    </row>
    <row r="270" spans="2:22" ht="25.5">
      <c r="B270" s="638"/>
      <c r="C270" s="639"/>
      <c r="D270" s="639"/>
      <c r="E270" s="639"/>
      <c r="F270" s="639"/>
      <c r="G270" s="639"/>
      <c r="H270" s="639"/>
      <c r="I270" s="92">
        <f t="shared" si="42"/>
        <v>6.3699999999999939</v>
      </c>
      <c r="J270" s="138" t="s">
        <v>141</v>
      </c>
      <c r="K270" s="35">
        <f>SUMIFS('[2]BESS 11'!X:X,'[2]BESS 11'!$B:$B,$J270)</f>
        <v>12</v>
      </c>
      <c r="L270" s="36">
        <f>SUMIFS('[2]BESS 11'!Y:Y,'[2]BESS 11'!$B:$B,$J270)</f>
        <v>0</v>
      </c>
      <c r="M270" s="139">
        <f t="shared" si="39"/>
        <v>12</v>
      </c>
      <c r="N270" s="68">
        <v>46250</v>
      </c>
      <c r="O270" s="68">
        <f t="shared" ca="1" si="40"/>
        <v>46250</v>
      </c>
      <c r="P270" s="140" t="s">
        <v>25</v>
      </c>
      <c r="Q270" s="96">
        <v>0.5</v>
      </c>
      <c r="R270" s="93">
        <v>4</v>
      </c>
      <c r="S270" s="94">
        <f t="shared" si="43"/>
        <v>96</v>
      </c>
      <c r="T270" s="567"/>
    </row>
    <row r="271" spans="2:22">
      <c r="B271" s="638"/>
      <c r="C271" s="639"/>
      <c r="D271" s="639"/>
      <c r="E271" s="639"/>
      <c r="F271" s="639"/>
      <c r="G271" s="639"/>
      <c r="H271" s="639"/>
      <c r="I271" s="92">
        <f t="shared" si="42"/>
        <v>6.3799999999999937</v>
      </c>
      <c r="J271" s="138" t="s">
        <v>142</v>
      </c>
      <c r="K271" s="35">
        <f>SUMIFS('[2]BESS 11'!X:X,'[2]BESS 11'!$B:$B,$J271)</f>
        <v>16</v>
      </c>
      <c r="L271" s="36">
        <f>SUMIFS('[2]BESS 11'!Y:Y,'[2]BESS 11'!$B:$B,$J271)</f>
        <v>0</v>
      </c>
      <c r="M271" s="139">
        <f t="shared" si="39"/>
        <v>16</v>
      </c>
      <c r="N271" s="68">
        <v>46262</v>
      </c>
      <c r="O271" s="68">
        <f t="shared" ca="1" si="40"/>
        <v>46262</v>
      </c>
      <c r="P271" s="140" t="s">
        <v>25</v>
      </c>
      <c r="Q271" s="96">
        <v>6</v>
      </c>
      <c r="R271" s="93">
        <v>4</v>
      </c>
      <c r="S271" s="94">
        <f t="shared" si="43"/>
        <v>10.666666666666666</v>
      </c>
      <c r="T271" s="567"/>
    </row>
    <row r="272" spans="2:22">
      <c r="B272" s="638"/>
      <c r="C272" s="639"/>
      <c r="D272" s="639"/>
      <c r="E272" s="639"/>
      <c r="F272" s="639"/>
      <c r="G272" s="639"/>
      <c r="H272" s="639"/>
      <c r="I272" s="92">
        <f t="shared" si="42"/>
        <v>6.3899999999999935</v>
      </c>
      <c r="J272" s="138" t="s">
        <v>143</v>
      </c>
      <c r="K272" s="35">
        <f>SUMIFS('[2]BESS 11'!X:X,'[2]BESS 11'!$B:$B,$J272)</f>
        <v>14</v>
      </c>
      <c r="L272" s="36">
        <f>SUMIFS('[2]BESS 11'!Y:Y,'[2]BESS 11'!$B:$B,$J272)</f>
        <v>0</v>
      </c>
      <c r="M272" s="139">
        <f t="shared" si="39"/>
        <v>14</v>
      </c>
      <c r="N272" s="68">
        <v>46250</v>
      </c>
      <c r="O272" s="68">
        <f t="shared" ca="1" si="40"/>
        <v>46250</v>
      </c>
      <c r="P272" s="140" t="s">
        <v>25</v>
      </c>
      <c r="Q272" s="96">
        <v>6</v>
      </c>
      <c r="R272" s="93">
        <v>5</v>
      </c>
      <c r="S272" s="94">
        <f t="shared" si="43"/>
        <v>11.666666666666666</v>
      </c>
      <c r="T272" s="567"/>
    </row>
    <row r="273" spans="2:23">
      <c r="B273" s="638"/>
      <c r="C273" s="639"/>
      <c r="D273" s="639"/>
      <c r="E273" s="639"/>
      <c r="F273" s="639"/>
      <c r="G273" s="639"/>
      <c r="H273" s="639"/>
      <c r="I273" s="92">
        <f t="shared" si="42"/>
        <v>6.3999999999999932</v>
      </c>
      <c r="J273" s="138" t="s">
        <v>144</v>
      </c>
      <c r="K273" s="35">
        <f>SUMIFS('[2]BESS 11'!X:X,'[2]BESS 11'!$B:$B,$J273)</f>
        <v>1</v>
      </c>
      <c r="L273" s="36">
        <f>SUMIFS('[2]BESS 11'!Y:Y,'[2]BESS 11'!$B:$B,$J273)</f>
        <v>0</v>
      </c>
      <c r="M273" s="139">
        <f t="shared" si="39"/>
        <v>1</v>
      </c>
      <c r="N273" s="68">
        <v>46250</v>
      </c>
      <c r="O273" s="68">
        <f t="shared" ca="1" si="40"/>
        <v>46250</v>
      </c>
      <c r="P273" s="140" t="s">
        <v>25</v>
      </c>
      <c r="Q273" s="96">
        <v>1</v>
      </c>
      <c r="R273" s="93">
        <v>5</v>
      </c>
      <c r="S273" s="94">
        <f t="shared" si="43"/>
        <v>5</v>
      </c>
      <c r="T273" s="307"/>
    </row>
    <row r="274" spans="2:23">
      <c r="B274" s="649" t="s">
        <v>147</v>
      </c>
      <c r="C274" s="650"/>
      <c r="D274" s="650"/>
      <c r="E274" s="650"/>
      <c r="F274" s="650"/>
      <c r="G274" s="650"/>
      <c r="H274" s="650"/>
      <c r="I274" s="92">
        <f t="shared" si="42"/>
        <v>6.409999999999993</v>
      </c>
      <c r="J274" s="138" t="s">
        <v>145</v>
      </c>
      <c r="K274" s="35">
        <f>SUMIFS('[2]BESS 11'!X:X,'[2]BESS 11'!$B:$B,$J274)</f>
        <v>6</v>
      </c>
      <c r="L274" s="36">
        <f>SUMIFS('[2]BESS 11'!Y:Y,'[2]BESS 11'!$B:$B,$J274)</f>
        <v>0</v>
      </c>
      <c r="M274" s="139">
        <f t="shared" si="39"/>
        <v>6</v>
      </c>
      <c r="N274" s="68">
        <v>46250</v>
      </c>
      <c r="O274" s="68">
        <f t="shared" ca="1" si="40"/>
        <v>46250</v>
      </c>
      <c r="P274" s="140" t="s">
        <v>25</v>
      </c>
      <c r="Q274" s="96">
        <v>3</v>
      </c>
      <c r="R274" s="93">
        <v>5</v>
      </c>
      <c r="S274" s="94">
        <f t="shared" si="43"/>
        <v>10</v>
      </c>
      <c r="T274" s="307"/>
    </row>
    <row r="275" spans="2:23">
      <c r="B275" s="649"/>
      <c r="C275" s="650"/>
      <c r="D275" s="650"/>
      <c r="E275" s="650"/>
      <c r="F275" s="650"/>
      <c r="G275" s="650"/>
      <c r="H275" s="650"/>
      <c r="I275" s="92">
        <f t="shared" si="42"/>
        <v>6.4199999999999928</v>
      </c>
      <c r="J275" s="138" t="s">
        <v>54</v>
      </c>
      <c r="K275" s="35">
        <f>SUMIFS('[2]BESS 11'!X:X,'[2]BESS 11'!$B:$B,$J275)</f>
        <v>4284</v>
      </c>
      <c r="L275" s="36">
        <f>SUMIFS('[2]BESS 11'!Y:Y,'[2]BESS 11'!$B:$B,$J275)</f>
        <v>0</v>
      </c>
      <c r="M275" s="139">
        <f t="shared" si="39"/>
        <v>4284</v>
      </c>
      <c r="N275" s="68">
        <v>46252</v>
      </c>
      <c r="O275" s="68">
        <f t="shared" ca="1" si="40"/>
        <v>46252</v>
      </c>
      <c r="P275" s="140" t="s">
        <v>25</v>
      </c>
      <c r="Q275" s="96">
        <v>150</v>
      </c>
      <c r="R275" s="93">
        <v>6</v>
      </c>
      <c r="S275" s="94">
        <f t="shared" si="43"/>
        <v>171.36</v>
      </c>
      <c r="T275" s="307"/>
    </row>
    <row r="276" spans="2:23" ht="14.25" thickBot="1">
      <c r="B276" s="651"/>
      <c r="C276" s="652"/>
      <c r="D276" s="652"/>
      <c r="E276" s="652"/>
      <c r="F276" s="652"/>
      <c r="G276" s="652"/>
      <c r="H276" s="652"/>
      <c r="I276" s="396">
        <f t="shared" si="42"/>
        <v>6.4299999999999926</v>
      </c>
      <c r="J276" s="296" t="s">
        <v>55</v>
      </c>
      <c r="K276" s="37">
        <f>SUMIFS('[2]BESS 11'!X:X,'[2]BESS 11'!$B:$B,$J276)</f>
        <v>10</v>
      </c>
      <c r="L276" s="38">
        <f>SUMIFS('[2]BESS 11'!Y:Y,'[2]BESS 11'!$B:$B,$J276)</f>
        <v>0</v>
      </c>
      <c r="M276" s="294">
        <f t="shared" si="39"/>
        <v>10</v>
      </c>
      <c r="N276" s="295">
        <v>46254</v>
      </c>
      <c r="O276" s="295">
        <f t="shared" ca="1" si="40"/>
        <v>46254</v>
      </c>
      <c r="P276" s="378" t="s">
        <v>25</v>
      </c>
      <c r="Q276" s="265">
        <v>5</v>
      </c>
      <c r="R276" s="266">
        <v>6</v>
      </c>
      <c r="S276" s="267">
        <f t="shared" si="43"/>
        <v>12</v>
      </c>
      <c r="T276" s="326"/>
    </row>
    <row r="277" spans="2:23">
      <c r="B277" s="472" t="s">
        <v>17</v>
      </c>
      <c r="C277" s="475">
        <v>7</v>
      </c>
      <c r="D277" s="586" t="s">
        <v>413</v>
      </c>
      <c r="E277" s="524" t="s">
        <v>120</v>
      </c>
      <c r="F277" s="478">
        <v>46277</v>
      </c>
      <c r="G277" s="478">
        <v>46282</v>
      </c>
      <c r="H277" s="478">
        <v>46285</v>
      </c>
      <c r="I277" s="363"/>
      <c r="J277" s="364"/>
      <c r="K277" s="365"/>
      <c r="L277" s="366" t="s">
        <v>121</v>
      </c>
      <c r="M277" s="364"/>
      <c r="N277" s="365"/>
      <c r="O277" s="367"/>
      <c r="P277" s="320"/>
      <c r="Q277" s="268"/>
      <c r="R277" s="269"/>
      <c r="S277" s="270"/>
      <c r="T277" s="368"/>
      <c r="W277" s="97"/>
    </row>
    <row r="278" spans="2:23" ht="25.5">
      <c r="B278" s="473"/>
      <c r="C278" s="476"/>
      <c r="D278" s="587"/>
      <c r="E278" s="445"/>
      <c r="F278" s="456"/>
      <c r="G278" s="456"/>
      <c r="H278" s="456"/>
      <c r="I278" s="336">
        <v>7.1</v>
      </c>
      <c r="J278" s="358" t="s">
        <v>19</v>
      </c>
      <c r="K278" s="36">
        <f>SUMIFS('[2]BESS 11'!AB:AB,'[2]BESS 11'!$B:$B,$J278)</f>
        <v>48</v>
      </c>
      <c r="L278" s="36">
        <f>SUMIFS('[2]BESS 11'!AC:AC,'[2]BESS 11'!$B:$B,$J278)</f>
        <v>48</v>
      </c>
      <c r="M278" s="36">
        <f t="shared" ref="M278:M288" si="44">K278-L278</f>
        <v>0</v>
      </c>
      <c r="N278" s="297" t="s">
        <v>122</v>
      </c>
      <c r="O278" s="68" t="s">
        <v>89</v>
      </c>
      <c r="P278" s="357" t="s">
        <v>20</v>
      </c>
      <c r="Q278" s="96">
        <v>1</v>
      </c>
      <c r="R278" s="93">
        <v>2</v>
      </c>
      <c r="S278" s="94">
        <f t="shared" ref="S278:S287" si="45">(M278*R278)/Q278</f>
        <v>0</v>
      </c>
      <c r="T278" s="307"/>
    </row>
    <row r="279" spans="2:23">
      <c r="B279" s="473"/>
      <c r="C279" s="476"/>
      <c r="D279" s="587"/>
      <c r="E279" s="445"/>
      <c r="F279" s="456"/>
      <c r="G279" s="456"/>
      <c r="H279" s="456"/>
      <c r="I279" s="336">
        <v>7.1999999999999993</v>
      </c>
      <c r="J279" s="358" t="s">
        <v>23</v>
      </c>
      <c r="K279" s="36">
        <f>SUMIFS('[2]BESS 11'!AB:AB,'[2]BESS 11'!$B:$B,$J279)</f>
        <v>6</v>
      </c>
      <c r="L279" s="36">
        <f>SUMIFS('[2]BESS 11'!AC:AC,'[2]BESS 11'!$B:$B,$J279)</f>
        <v>6</v>
      </c>
      <c r="M279" s="36">
        <f t="shared" si="44"/>
        <v>0</v>
      </c>
      <c r="N279" s="297" t="s">
        <v>122</v>
      </c>
      <c r="O279" s="68" t="s">
        <v>89</v>
      </c>
      <c r="P279" s="357" t="s">
        <v>20</v>
      </c>
      <c r="Q279" s="96">
        <v>1</v>
      </c>
      <c r="R279" s="93">
        <v>16</v>
      </c>
      <c r="S279" s="94">
        <f t="shared" si="45"/>
        <v>0</v>
      </c>
      <c r="T279" s="307"/>
    </row>
    <row r="280" spans="2:23">
      <c r="B280" s="473"/>
      <c r="C280" s="476"/>
      <c r="D280" s="587"/>
      <c r="E280" s="445"/>
      <c r="F280" s="456"/>
      <c r="G280" s="456"/>
      <c r="H280" s="456"/>
      <c r="I280" s="336">
        <v>7.2999999999999989</v>
      </c>
      <c r="J280" s="358" t="s">
        <v>26</v>
      </c>
      <c r="K280" s="36">
        <f>SUMIFS('[2]BESS 11'!AB:AB,'[2]BESS 11'!$B:$B,$J280)</f>
        <v>6</v>
      </c>
      <c r="L280" s="36">
        <f>SUMIFS('[2]BESS 11'!AC:AC,'[2]BESS 11'!$B:$B,$J280)</f>
        <v>6</v>
      </c>
      <c r="M280" s="36">
        <f t="shared" si="44"/>
        <v>0</v>
      </c>
      <c r="N280" s="297" t="s">
        <v>122</v>
      </c>
      <c r="O280" s="68" t="s">
        <v>89</v>
      </c>
      <c r="P280" s="357" t="s">
        <v>20</v>
      </c>
      <c r="Q280" s="96">
        <v>1</v>
      </c>
      <c r="R280" s="93">
        <v>39</v>
      </c>
      <c r="S280" s="94">
        <f t="shared" si="45"/>
        <v>0</v>
      </c>
      <c r="T280" s="307"/>
      <c r="W280" s="97"/>
    </row>
    <row r="281" spans="2:23">
      <c r="B281" s="473"/>
      <c r="C281" s="476"/>
      <c r="D281" s="587"/>
      <c r="E281" s="445"/>
      <c r="F281" s="456"/>
      <c r="G281" s="456"/>
      <c r="H281" s="456"/>
      <c r="I281" s="336">
        <v>7.3999999999999986</v>
      </c>
      <c r="J281" s="358" t="s">
        <v>32</v>
      </c>
      <c r="K281" s="36">
        <f>SUMIFS('[2]BESS 11'!AB:AB,'[2]BESS 11'!$B:$B,$J281)</f>
        <v>1</v>
      </c>
      <c r="L281" s="36">
        <f>SUMIFS('[2]BESS 11'!AC:AC,'[2]BESS 11'!$B:$B,$J281)</f>
        <v>1</v>
      </c>
      <c r="M281" s="36">
        <f t="shared" si="44"/>
        <v>0</v>
      </c>
      <c r="N281" s="297" t="s">
        <v>122</v>
      </c>
      <c r="O281" s="68" t="s">
        <v>89</v>
      </c>
      <c r="P281" s="357" t="s">
        <v>20</v>
      </c>
      <c r="Q281" s="96">
        <v>1</v>
      </c>
      <c r="R281" s="93">
        <v>37</v>
      </c>
      <c r="S281" s="94">
        <f t="shared" si="45"/>
        <v>0</v>
      </c>
      <c r="T281" s="307"/>
    </row>
    <row r="282" spans="2:23">
      <c r="B282" s="473"/>
      <c r="C282" s="476"/>
      <c r="D282" s="587"/>
      <c r="E282" s="445"/>
      <c r="F282" s="456"/>
      <c r="G282" s="456"/>
      <c r="H282" s="456"/>
      <c r="I282" s="336">
        <v>7.4999999999999982</v>
      </c>
      <c r="J282" s="358" t="s">
        <v>35</v>
      </c>
      <c r="K282" s="36">
        <f>SUMIFS('[2]BESS 11'!AB:AB,'[2]BESS 11'!$B:$B,$J282)</f>
        <v>1</v>
      </c>
      <c r="L282" s="36">
        <f>SUMIFS('[2]BESS 11'!AC:AC,'[2]BESS 11'!$B:$B,$J282)</f>
        <v>1</v>
      </c>
      <c r="M282" s="36">
        <f t="shared" si="44"/>
        <v>0</v>
      </c>
      <c r="N282" s="297" t="s">
        <v>122</v>
      </c>
      <c r="O282" s="68" t="s">
        <v>89</v>
      </c>
      <c r="P282" s="357" t="s">
        <v>20</v>
      </c>
      <c r="Q282" s="96">
        <v>1</v>
      </c>
      <c r="R282" s="93">
        <v>34</v>
      </c>
      <c r="S282" s="94">
        <f t="shared" si="45"/>
        <v>0</v>
      </c>
      <c r="T282" s="307"/>
    </row>
    <row r="283" spans="2:23">
      <c r="B283" s="473"/>
      <c r="C283" s="476"/>
      <c r="D283" s="587"/>
      <c r="E283" s="445"/>
      <c r="F283" s="456"/>
      <c r="G283" s="456"/>
      <c r="H283" s="456"/>
      <c r="I283" s="336">
        <v>7.5999999999999979</v>
      </c>
      <c r="J283" s="358" t="s">
        <v>38</v>
      </c>
      <c r="K283" s="36">
        <f>SUMIFS('[2]BESS 11'!AB:AB,'[2]BESS 11'!$B:$B,$J283)</f>
        <v>1</v>
      </c>
      <c r="L283" s="36">
        <f>SUMIFS('[2]BESS 11'!AC:AC,'[2]BESS 11'!$B:$B,$J283)</f>
        <v>1</v>
      </c>
      <c r="M283" s="36">
        <f t="shared" si="44"/>
        <v>0</v>
      </c>
      <c r="N283" s="297" t="s">
        <v>122</v>
      </c>
      <c r="O283" s="68">
        <v>46216</v>
      </c>
      <c r="P283" s="357" t="s">
        <v>20</v>
      </c>
      <c r="Q283" s="96">
        <v>1</v>
      </c>
      <c r="R283" s="93">
        <v>54</v>
      </c>
      <c r="S283" s="94">
        <f t="shared" si="45"/>
        <v>0</v>
      </c>
      <c r="T283" s="307"/>
      <c r="W283" s="60"/>
    </row>
    <row r="284" spans="2:23">
      <c r="B284" s="473"/>
      <c r="C284" s="476"/>
      <c r="D284" s="587"/>
      <c r="E284" s="445"/>
      <c r="F284" s="456"/>
      <c r="G284" s="456"/>
      <c r="H284" s="456"/>
      <c r="I284" s="336">
        <v>7.6999999999999975</v>
      </c>
      <c r="J284" s="358" t="s">
        <v>44</v>
      </c>
      <c r="K284" s="36">
        <f>SUMIFS('[2]BESS 11'!AB:AB,'[2]BESS 11'!$B:$B,$J284)</f>
        <v>3</v>
      </c>
      <c r="L284" s="36">
        <f>SUMIFS('[2]BESS 11'!AC:AC,'[2]BESS 11'!$B:$B,$J284)</f>
        <v>3</v>
      </c>
      <c r="M284" s="36">
        <f t="shared" si="44"/>
        <v>0</v>
      </c>
      <c r="N284" s="297" t="s">
        <v>122</v>
      </c>
      <c r="O284" s="68" t="s">
        <v>89</v>
      </c>
      <c r="P284" s="357" t="s">
        <v>45</v>
      </c>
      <c r="Q284" s="96">
        <v>3</v>
      </c>
      <c r="R284" s="93">
        <v>5</v>
      </c>
      <c r="S284" s="94">
        <f t="shared" si="45"/>
        <v>0</v>
      </c>
      <c r="T284" s="261"/>
    </row>
    <row r="285" spans="2:23">
      <c r="B285" s="473"/>
      <c r="C285" s="476"/>
      <c r="D285" s="587"/>
      <c r="E285" s="445"/>
      <c r="F285" s="456"/>
      <c r="G285" s="456"/>
      <c r="H285" s="456"/>
      <c r="I285" s="336">
        <v>7.7999999999999972</v>
      </c>
      <c r="J285" s="358" t="s">
        <v>40</v>
      </c>
      <c r="K285" s="36">
        <f>SUMIFS('[2]BESS 11'!AB:AB,'[2]BESS 11'!$B:$B,$J285)</f>
        <v>6</v>
      </c>
      <c r="L285" s="36">
        <f>SUMIFS('[2]BESS 11'!AC:AC,'[2]BESS 11'!$B:$B,$J285)</f>
        <v>6</v>
      </c>
      <c r="M285" s="36">
        <f t="shared" si="44"/>
        <v>0</v>
      </c>
      <c r="N285" s="297" t="s">
        <v>122</v>
      </c>
      <c r="O285" s="68" t="s">
        <v>89</v>
      </c>
      <c r="P285" s="357" t="s">
        <v>20</v>
      </c>
      <c r="Q285" s="96">
        <v>1</v>
      </c>
      <c r="R285" s="93">
        <v>5</v>
      </c>
      <c r="S285" s="94">
        <f t="shared" si="45"/>
        <v>0</v>
      </c>
      <c r="T285" s="261"/>
    </row>
    <row r="286" spans="2:23">
      <c r="B286" s="473"/>
      <c r="C286" s="476"/>
      <c r="D286" s="587"/>
      <c r="E286" s="445"/>
      <c r="F286" s="456"/>
      <c r="G286" s="456"/>
      <c r="H286" s="456"/>
      <c r="I286" s="336">
        <v>7.8999999999999968</v>
      </c>
      <c r="J286" s="358" t="s">
        <v>30</v>
      </c>
      <c r="K286" s="36">
        <f>SUMIFS('[2]BESS 11'!AB:AB,'[2]BESS 11'!$B:$B,$J286)</f>
        <v>6</v>
      </c>
      <c r="L286" s="36">
        <f>SUMIFS('[2]BESS 11'!AC:AC,'[2]BESS 11'!$B:$B,$J286)</f>
        <v>6</v>
      </c>
      <c r="M286" s="36">
        <f t="shared" si="44"/>
        <v>0</v>
      </c>
      <c r="N286" s="297" t="s">
        <v>122</v>
      </c>
      <c r="O286" s="68" t="s">
        <v>89</v>
      </c>
      <c r="P286" s="357" t="s">
        <v>31</v>
      </c>
      <c r="Q286" s="96">
        <v>1</v>
      </c>
      <c r="R286" s="93">
        <v>27</v>
      </c>
      <c r="S286" s="94">
        <f t="shared" si="45"/>
        <v>0</v>
      </c>
      <c r="T286" s="261"/>
    </row>
    <row r="287" spans="2:23" ht="25.5">
      <c r="B287" s="473"/>
      <c r="C287" s="476"/>
      <c r="D287" s="587"/>
      <c r="E287" s="445"/>
      <c r="F287" s="456"/>
      <c r="G287" s="456"/>
      <c r="H287" s="456"/>
      <c r="I287" s="92">
        <v>7.1</v>
      </c>
      <c r="J287" s="138" t="s">
        <v>34</v>
      </c>
      <c r="K287" s="35">
        <f>SUMIFS('[2]BESS 11'!AB:AB,'[2]BESS 11'!$B:$B,$J287)</f>
        <v>1</v>
      </c>
      <c r="L287" s="36">
        <f>SUMIFS('[2]BESS 11'!AC:AC,'[2]BESS 11'!$B:$B,$J287)</f>
        <v>0</v>
      </c>
      <c r="M287" s="139">
        <f t="shared" si="44"/>
        <v>1</v>
      </c>
      <c r="N287" s="91" t="s">
        <v>287</v>
      </c>
      <c r="O287" s="68" t="str">
        <f ca="1">IFERROR(DATEVALUE(TRIM(_xlfn.TEXTAFTER(N287,",",-1))&amp;"-"&amp;YEAR(TODAY())),N287)</f>
        <v>10 Jul, 20 Jul,
07 Aug</v>
      </c>
      <c r="P287" s="140" t="s">
        <v>31</v>
      </c>
      <c r="Q287" s="96">
        <v>1</v>
      </c>
      <c r="R287" s="93">
        <v>25</v>
      </c>
      <c r="S287" s="94">
        <f t="shared" si="45"/>
        <v>25</v>
      </c>
      <c r="T287" s="261"/>
    </row>
    <row r="288" spans="2:23" ht="25.5">
      <c r="B288" s="473"/>
      <c r="C288" s="476"/>
      <c r="D288" s="587"/>
      <c r="E288" s="445"/>
      <c r="F288" s="456"/>
      <c r="G288" s="456"/>
      <c r="H288" s="456"/>
      <c r="I288" s="92">
        <v>7.1099999999999994</v>
      </c>
      <c r="J288" s="138" t="s">
        <v>37</v>
      </c>
      <c r="K288" s="35">
        <f>SUMIFS('[2]BESS 11'!AB:AB,'[2]BESS 11'!$B:$B,$J288)</f>
        <v>1</v>
      </c>
      <c r="L288" s="36">
        <f>SUMIFS('[2]BESS 11'!AC:AC,'[2]BESS 11'!$B:$B,$J288)</f>
        <v>0</v>
      </c>
      <c r="M288" s="139">
        <f t="shared" si="44"/>
        <v>1</v>
      </c>
      <c r="N288" s="91" t="s">
        <v>298</v>
      </c>
      <c r="O288" s="68" t="str">
        <f ca="1">IFERROR(DATEVALUE(TRIM(_xlfn.TEXTAFTER(N288,",",-1))&amp;"-"&amp;YEAR(TODAY())),N288)</f>
        <v>11 Jul, 15 Jul,
01 Aug</v>
      </c>
      <c r="P288" s="140" t="s">
        <v>123</v>
      </c>
      <c r="Q288" s="96" t="s">
        <v>89</v>
      </c>
      <c r="R288" s="93" t="s">
        <v>89</v>
      </c>
      <c r="S288" s="94" t="s">
        <v>89</v>
      </c>
      <c r="T288" s="261"/>
    </row>
    <row r="289" spans="2:25">
      <c r="B289" s="473"/>
      <c r="C289" s="476"/>
      <c r="D289" s="587"/>
      <c r="E289" s="445"/>
      <c r="F289" s="456"/>
      <c r="G289" s="456"/>
      <c r="H289" s="456"/>
      <c r="I289" s="254"/>
      <c r="J289" s="50"/>
      <c r="K289" s="51"/>
      <c r="L289" s="52" t="s">
        <v>124</v>
      </c>
      <c r="M289" s="51"/>
      <c r="N289" s="51"/>
      <c r="O289" s="68"/>
      <c r="P289" s="351"/>
      <c r="Q289" s="96"/>
      <c r="R289" s="93"/>
      <c r="S289" s="94"/>
      <c r="T289" s="261"/>
    </row>
    <row r="290" spans="2:25">
      <c r="B290" s="473"/>
      <c r="C290" s="476"/>
      <c r="D290" s="587"/>
      <c r="E290" s="445"/>
      <c r="F290" s="456"/>
      <c r="G290" s="456"/>
      <c r="H290" s="456"/>
      <c r="I290" s="92">
        <v>7.1199999999999992</v>
      </c>
      <c r="J290" s="138" t="s">
        <v>24</v>
      </c>
      <c r="K290" s="35">
        <f>SUMIFS('[2]BESS 11'!AB:AB,'[2]BESS 11'!$B:$B,$J290)</f>
        <v>6</v>
      </c>
      <c r="L290" s="36">
        <f>SUMIFS('[2]BESS 11'!AC:AC,'[2]BESS 11'!$B:$B,$J290)</f>
        <v>0</v>
      </c>
      <c r="M290" s="139">
        <f t="shared" ref="M290:M321" si="46">K290-L290</f>
        <v>6</v>
      </c>
      <c r="N290" s="91">
        <v>46228</v>
      </c>
      <c r="O290" s="68">
        <f t="shared" ref="O290:O321" ca="1" si="47">IFERROR(DATEVALUE(TRIM(_xlfn.TEXTAFTER(N290,",",-1))&amp;"-"&amp;YEAR(TODAY())),N290)</f>
        <v>46228</v>
      </c>
      <c r="P290" s="140" t="s">
        <v>25</v>
      </c>
      <c r="Q290" s="96">
        <v>2</v>
      </c>
      <c r="R290" s="93">
        <v>4</v>
      </c>
      <c r="S290" s="94">
        <f>(M290*R290)/Q290</f>
        <v>12</v>
      </c>
      <c r="T290" s="261"/>
    </row>
    <row r="291" spans="2:25">
      <c r="B291" s="473"/>
      <c r="C291" s="476"/>
      <c r="D291" s="587"/>
      <c r="E291" s="445"/>
      <c r="F291" s="456"/>
      <c r="G291" s="456"/>
      <c r="H291" s="456"/>
      <c r="I291" s="92">
        <v>7.129999999999999</v>
      </c>
      <c r="J291" s="138" t="s">
        <v>27</v>
      </c>
      <c r="K291" s="35">
        <f>SUMIFS('[2]BESS 11'!AB:AB,'[2]BESS 11'!$B:$B,$J291)</f>
        <v>48</v>
      </c>
      <c r="L291" s="36">
        <f>SUMIFS('[2]BESS 11'!AC:AC,'[2]BESS 11'!$B:$B,$J291)</f>
        <v>0</v>
      </c>
      <c r="M291" s="139">
        <f t="shared" si="46"/>
        <v>48</v>
      </c>
      <c r="N291" s="68">
        <v>46228</v>
      </c>
      <c r="O291" s="68">
        <f t="shared" ca="1" si="47"/>
        <v>46228</v>
      </c>
      <c r="P291" s="140" t="s">
        <v>25</v>
      </c>
      <c r="Q291" s="96">
        <v>10</v>
      </c>
      <c r="R291" s="93">
        <v>4</v>
      </c>
      <c r="S291" s="94">
        <f>(M291*R291)/Q291</f>
        <v>19.2</v>
      </c>
      <c r="T291" s="307"/>
      <c r="W291" s="60"/>
    </row>
    <row r="292" spans="2:25">
      <c r="B292" s="473"/>
      <c r="C292" s="476"/>
      <c r="D292" s="587"/>
      <c r="E292" s="445"/>
      <c r="F292" s="456"/>
      <c r="G292" s="456"/>
      <c r="H292" s="456"/>
      <c r="I292" s="92">
        <v>7.1399999999999988</v>
      </c>
      <c r="J292" s="138" t="s">
        <v>28</v>
      </c>
      <c r="K292" s="35">
        <f>SUMIFS('[2]BESS 11'!AB:AB,'[2]BESS 11'!$B:$B,$J292)</f>
        <v>6</v>
      </c>
      <c r="L292" s="36">
        <f>SUMIFS('[2]BESS 11'!AC:AC,'[2]BESS 11'!$B:$B,$J292)</f>
        <v>0</v>
      </c>
      <c r="M292" s="139">
        <f t="shared" si="46"/>
        <v>6</v>
      </c>
      <c r="N292" s="68">
        <v>46233</v>
      </c>
      <c r="O292" s="68">
        <f t="shared" ca="1" si="47"/>
        <v>46233</v>
      </c>
      <c r="P292" s="140" t="s">
        <v>25</v>
      </c>
      <c r="Q292" s="96">
        <v>5</v>
      </c>
      <c r="R292" s="93">
        <v>4</v>
      </c>
      <c r="S292" s="94">
        <f>(M292*R292)/Q292</f>
        <v>4.8</v>
      </c>
      <c r="T292" s="307"/>
      <c r="W292" s="60"/>
    </row>
    <row r="293" spans="2:25" ht="25.5">
      <c r="B293" s="473"/>
      <c r="C293" s="476"/>
      <c r="D293" s="587"/>
      <c r="E293" s="445"/>
      <c r="F293" s="456"/>
      <c r="G293" s="456"/>
      <c r="H293" s="456"/>
      <c r="I293" s="92">
        <v>7.1499999999999986</v>
      </c>
      <c r="J293" s="138" t="s">
        <v>29</v>
      </c>
      <c r="K293" s="35">
        <f>SUMIFS('[2]BESS 11'!AB:AB,'[2]BESS 11'!$B:$B,$J293)</f>
        <v>6</v>
      </c>
      <c r="L293" s="36">
        <f>SUMIFS('[2]BESS 11'!AC:AC,'[2]BESS 11'!$B:$B,$J293)</f>
        <v>0</v>
      </c>
      <c r="M293" s="139">
        <f t="shared" si="46"/>
        <v>6</v>
      </c>
      <c r="N293" s="91">
        <v>46233</v>
      </c>
      <c r="O293" s="68">
        <f t="shared" ca="1" si="47"/>
        <v>46233</v>
      </c>
      <c r="P293" s="140" t="s">
        <v>25</v>
      </c>
      <c r="Q293" s="96">
        <v>20</v>
      </c>
      <c r="R293" s="527">
        <v>4</v>
      </c>
      <c r="S293" s="530">
        <v>4</v>
      </c>
      <c r="T293" s="307"/>
      <c r="W293" s="60"/>
    </row>
    <row r="294" spans="2:25">
      <c r="B294" s="473"/>
      <c r="C294" s="476"/>
      <c r="D294" s="587"/>
      <c r="E294" s="445"/>
      <c r="F294" s="456"/>
      <c r="G294" s="456"/>
      <c r="H294" s="456"/>
      <c r="I294" s="92">
        <v>7.1599999999999984</v>
      </c>
      <c r="J294" s="138" t="s">
        <v>33</v>
      </c>
      <c r="K294" s="35">
        <f>SUMIFS('[2]BESS 11'!AB:AB,'[2]BESS 11'!$B:$B,$J294)</f>
        <v>2</v>
      </c>
      <c r="L294" s="36">
        <f>SUMIFS('[2]BESS 11'!AC:AC,'[2]BESS 11'!$B:$B,$J294)</f>
        <v>0</v>
      </c>
      <c r="M294" s="139">
        <f t="shared" si="46"/>
        <v>2</v>
      </c>
      <c r="N294" s="68">
        <v>46239</v>
      </c>
      <c r="O294" s="68">
        <f t="shared" ca="1" si="47"/>
        <v>46239</v>
      </c>
      <c r="P294" s="140" t="s">
        <v>25</v>
      </c>
      <c r="Q294" s="96">
        <v>10</v>
      </c>
      <c r="R294" s="528"/>
      <c r="S294" s="531"/>
      <c r="T294" s="307"/>
      <c r="W294" s="60"/>
      <c r="Y294" s="371"/>
    </row>
    <row r="295" spans="2:25">
      <c r="B295" s="473"/>
      <c r="C295" s="476"/>
      <c r="D295" s="587"/>
      <c r="E295" s="445"/>
      <c r="F295" s="456"/>
      <c r="G295" s="456"/>
      <c r="H295" s="456"/>
      <c r="I295" s="92">
        <v>7.1699999999999982</v>
      </c>
      <c r="J295" s="138" t="s">
        <v>36</v>
      </c>
      <c r="K295" s="35">
        <f>SUMIFS('[2]BESS 11'!AB:AB,'[2]BESS 11'!$B:$B,$J295)</f>
        <v>1</v>
      </c>
      <c r="L295" s="36">
        <f>SUMIFS('[2]BESS 11'!AC:AC,'[2]BESS 11'!$B:$B,$J295)</f>
        <v>0</v>
      </c>
      <c r="M295" s="139">
        <f t="shared" si="46"/>
        <v>1</v>
      </c>
      <c r="N295" s="68">
        <v>46233</v>
      </c>
      <c r="O295" s="68">
        <f t="shared" ca="1" si="47"/>
        <v>46233</v>
      </c>
      <c r="P295" s="140" t="s">
        <v>25</v>
      </c>
      <c r="Q295" s="96">
        <v>10</v>
      </c>
      <c r="R295" s="528"/>
      <c r="S295" s="531"/>
      <c r="T295" s="307"/>
    </row>
    <row r="296" spans="2:25">
      <c r="B296" s="473"/>
      <c r="C296" s="476"/>
      <c r="D296" s="587"/>
      <c r="E296" s="445"/>
      <c r="F296" s="456"/>
      <c r="G296" s="456"/>
      <c r="H296" s="456"/>
      <c r="I296" s="92">
        <v>7.1799999999999979</v>
      </c>
      <c r="J296" s="138" t="s">
        <v>39</v>
      </c>
      <c r="K296" s="35">
        <f>SUMIFS('[2]BESS 11'!AB:AB,'[2]BESS 11'!$B:$B,$J296)</f>
        <v>1</v>
      </c>
      <c r="L296" s="36">
        <f>SUMIFS('[2]BESS 11'!AC:AC,'[2]BESS 11'!$B:$B,$J296)</f>
        <v>0</v>
      </c>
      <c r="M296" s="139">
        <f t="shared" si="46"/>
        <v>1</v>
      </c>
      <c r="N296" s="68">
        <v>46223</v>
      </c>
      <c r="O296" s="68">
        <f t="shared" ca="1" si="47"/>
        <v>46223</v>
      </c>
      <c r="P296" s="140" t="s">
        <v>25</v>
      </c>
      <c r="Q296" s="96">
        <v>10</v>
      </c>
      <c r="R296" s="528"/>
      <c r="S296" s="531"/>
      <c r="T296" s="307"/>
    </row>
    <row r="297" spans="2:25">
      <c r="B297" s="638" t="s">
        <v>178</v>
      </c>
      <c r="C297" s="639"/>
      <c r="D297" s="639"/>
      <c r="E297" s="639"/>
      <c r="F297" s="639"/>
      <c r="G297" s="639"/>
      <c r="H297" s="639"/>
      <c r="I297" s="92">
        <v>7.1899999999999977</v>
      </c>
      <c r="J297" s="138" t="s">
        <v>41</v>
      </c>
      <c r="K297" s="35">
        <f>SUMIFS('[2]BESS 11'!AB:AB,'[2]BESS 11'!$B:$B,$J297)</f>
        <v>6</v>
      </c>
      <c r="L297" s="36">
        <f>SUMIFS('[2]BESS 11'!AC:AC,'[2]BESS 11'!$B:$B,$J297)</f>
        <v>0</v>
      </c>
      <c r="M297" s="139">
        <f t="shared" si="46"/>
        <v>6</v>
      </c>
      <c r="N297" s="68" t="s">
        <v>317</v>
      </c>
      <c r="O297" s="68">
        <f t="shared" ca="1" si="47"/>
        <v>46241</v>
      </c>
      <c r="P297" s="140" t="s">
        <v>125</v>
      </c>
      <c r="Q297" s="96">
        <v>20</v>
      </c>
      <c r="R297" s="529"/>
      <c r="S297" s="532"/>
      <c r="T297" s="307"/>
    </row>
    <row r="298" spans="2:25">
      <c r="B298" s="638"/>
      <c r="C298" s="639"/>
      <c r="D298" s="639"/>
      <c r="E298" s="639"/>
      <c r="F298" s="639"/>
      <c r="G298" s="639"/>
      <c r="H298" s="639"/>
      <c r="I298" s="92">
        <v>7.1999999999999975</v>
      </c>
      <c r="J298" s="138" t="s">
        <v>43</v>
      </c>
      <c r="K298" s="35">
        <f>SUMIFS('[2]BESS 11'!AB:AB,'[2]BESS 11'!$B:$B,$J298)</f>
        <v>6</v>
      </c>
      <c r="L298" s="36">
        <f>SUMIFS('[2]BESS 11'!AC:AC,'[2]BESS 11'!$B:$B,$J298)</f>
        <v>0</v>
      </c>
      <c r="M298" s="139">
        <f t="shared" si="46"/>
        <v>6</v>
      </c>
      <c r="N298" s="68" t="s">
        <v>318</v>
      </c>
      <c r="O298" s="68">
        <f t="shared" ca="1" si="47"/>
        <v>46246</v>
      </c>
      <c r="P298" s="140" t="s">
        <v>125</v>
      </c>
      <c r="Q298" s="96">
        <v>0.66666666666666663</v>
      </c>
      <c r="R298" s="93">
        <v>0</v>
      </c>
      <c r="S298" s="94">
        <f t="shared" ref="S298:S310" si="48">(M298*R298)/Q298</f>
        <v>0</v>
      </c>
      <c r="T298" s="307"/>
    </row>
    <row r="299" spans="2:25">
      <c r="B299" s="638"/>
      <c r="C299" s="639"/>
      <c r="D299" s="639"/>
      <c r="E299" s="639"/>
      <c r="F299" s="639"/>
      <c r="G299" s="639"/>
      <c r="H299" s="639"/>
      <c r="I299" s="92">
        <v>7.2099999999999973</v>
      </c>
      <c r="J299" s="138" t="s">
        <v>21</v>
      </c>
      <c r="K299" s="35">
        <f>SUMIFS('[2]BESS 11'!AB:AB,'[2]BESS 11'!$B:$B,$J299)</f>
        <v>48</v>
      </c>
      <c r="L299" s="36">
        <f>SUMIFS('[2]BESS 11'!AC:AC,'[2]BESS 11'!$B:$B,$J299)</f>
        <v>0</v>
      </c>
      <c r="M299" s="139">
        <f t="shared" si="46"/>
        <v>48</v>
      </c>
      <c r="N299" s="68" t="s">
        <v>368</v>
      </c>
      <c r="O299" s="68">
        <f t="shared" ca="1" si="47"/>
        <v>46261</v>
      </c>
      <c r="P299" s="140" t="s">
        <v>22</v>
      </c>
      <c r="Q299" s="96">
        <v>10</v>
      </c>
      <c r="R299" s="93">
        <v>4</v>
      </c>
      <c r="S299" s="94">
        <f t="shared" si="48"/>
        <v>19.2</v>
      </c>
      <c r="T299" s="307"/>
    </row>
    <row r="300" spans="2:25">
      <c r="B300" s="638"/>
      <c r="C300" s="639"/>
      <c r="D300" s="639"/>
      <c r="E300" s="639"/>
      <c r="F300" s="639"/>
      <c r="G300" s="639"/>
      <c r="H300" s="639"/>
      <c r="I300" s="92">
        <v>7.2199999999999971</v>
      </c>
      <c r="J300" s="138" t="s">
        <v>47</v>
      </c>
      <c r="K300" s="35">
        <f>SUMIFS('[2]BESS 11'!AB:AB,'[2]BESS 11'!$B:$B,$J300)</f>
        <v>4445.09</v>
      </c>
      <c r="L300" s="36">
        <f>SUMIFS('[2]BESS 11'!AC:AC,'[2]BESS 11'!$B:$B,$J300)</f>
        <v>0</v>
      </c>
      <c r="M300" s="139">
        <f t="shared" si="46"/>
        <v>4445.09</v>
      </c>
      <c r="N300" s="68">
        <v>46244</v>
      </c>
      <c r="O300" s="68">
        <f t="shared" ca="1" si="47"/>
        <v>46244</v>
      </c>
      <c r="P300" s="140" t="s">
        <v>25</v>
      </c>
      <c r="Q300" s="96">
        <v>1500</v>
      </c>
      <c r="R300" s="93">
        <v>48</v>
      </c>
      <c r="S300" s="94">
        <f t="shared" si="48"/>
        <v>142.24288000000001</v>
      </c>
      <c r="T300" s="307"/>
    </row>
    <row r="301" spans="2:25">
      <c r="B301" s="638"/>
      <c r="C301" s="639"/>
      <c r="D301" s="639"/>
      <c r="E301" s="639"/>
      <c r="F301" s="639"/>
      <c r="G301" s="639"/>
      <c r="H301" s="639"/>
      <c r="I301" s="92">
        <v>7.2299999999999969</v>
      </c>
      <c r="J301" s="138" t="s">
        <v>48</v>
      </c>
      <c r="K301" s="35">
        <f>SUMIFS('[2]BESS 11'!AB:AB,'[2]BESS 11'!$B:$B,$J301)</f>
        <v>28</v>
      </c>
      <c r="L301" s="36">
        <f>SUMIFS('[2]BESS 11'!AC:AC,'[2]BESS 11'!$B:$B,$J301)</f>
        <v>0</v>
      </c>
      <c r="M301" s="139">
        <f t="shared" si="46"/>
        <v>28</v>
      </c>
      <c r="N301" s="68">
        <v>46260</v>
      </c>
      <c r="O301" s="68">
        <f t="shared" ca="1" si="47"/>
        <v>46260</v>
      </c>
      <c r="P301" s="140" t="s">
        <v>25</v>
      </c>
      <c r="Q301" s="96">
        <v>8</v>
      </c>
      <c r="R301" s="93">
        <v>6</v>
      </c>
      <c r="S301" s="94">
        <f t="shared" si="48"/>
        <v>21</v>
      </c>
      <c r="T301" s="307"/>
    </row>
    <row r="302" spans="2:25">
      <c r="B302" s="638"/>
      <c r="C302" s="639"/>
      <c r="D302" s="639"/>
      <c r="E302" s="639"/>
      <c r="F302" s="639"/>
      <c r="G302" s="639"/>
      <c r="H302" s="639"/>
      <c r="I302" s="92">
        <f t="shared" ref="I302:I321" si="49">I301+0.01</f>
        <v>7.2399999999999967</v>
      </c>
      <c r="J302" s="138" t="s">
        <v>126</v>
      </c>
      <c r="K302" s="35">
        <f>SUMIFS('[2]BESS 11'!AB:AB,'[2]BESS 11'!$B:$B,$J302)</f>
        <v>14288</v>
      </c>
      <c r="L302" s="36">
        <f>SUMIFS('[2]BESS 11'!AC:AC,'[2]BESS 11'!$B:$B,$J302)</f>
        <v>0</v>
      </c>
      <c r="M302" s="139">
        <f t="shared" si="46"/>
        <v>14288</v>
      </c>
      <c r="N302" s="68">
        <v>46250</v>
      </c>
      <c r="O302" s="68">
        <f t="shared" ca="1" si="47"/>
        <v>46250</v>
      </c>
      <c r="P302" s="140" t="s">
        <v>25</v>
      </c>
      <c r="Q302" s="96">
        <v>600</v>
      </c>
      <c r="R302" s="93">
        <v>10</v>
      </c>
      <c r="S302" s="94">
        <f t="shared" si="48"/>
        <v>238.13333333333333</v>
      </c>
      <c r="T302" s="307"/>
    </row>
    <row r="303" spans="2:25">
      <c r="B303" s="638"/>
      <c r="C303" s="639"/>
      <c r="D303" s="639"/>
      <c r="E303" s="639"/>
      <c r="F303" s="639"/>
      <c r="G303" s="639"/>
      <c r="H303" s="639"/>
      <c r="I303" s="92">
        <f t="shared" si="49"/>
        <v>7.2499999999999964</v>
      </c>
      <c r="J303" s="138" t="s">
        <v>127</v>
      </c>
      <c r="K303" s="35">
        <f>SUMIFS('[2]BESS 11'!AB:AB,'[2]BESS 11'!$B:$B,$J303)</f>
        <v>47399</v>
      </c>
      <c r="L303" s="36">
        <f>SUMIFS('[2]BESS 11'!AC:AC,'[2]BESS 11'!$B:$B,$J303)</f>
        <v>0</v>
      </c>
      <c r="M303" s="139">
        <f t="shared" si="46"/>
        <v>47399</v>
      </c>
      <c r="N303" s="68">
        <v>46244</v>
      </c>
      <c r="O303" s="68">
        <f t="shared" ca="1" si="47"/>
        <v>46244</v>
      </c>
      <c r="P303" s="140" t="s">
        <v>25</v>
      </c>
      <c r="Q303" s="96">
        <v>600</v>
      </c>
      <c r="R303" s="93">
        <v>10</v>
      </c>
      <c r="S303" s="94">
        <f t="shared" si="48"/>
        <v>789.98333333333335</v>
      </c>
      <c r="T303" s="307"/>
    </row>
    <row r="304" spans="2:25">
      <c r="B304" s="638"/>
      <c r="C304" s="639"/>
      <c r="D304" s="639"/>
      <c r="E304" s="639"/>
      <c r="F304" s="639"/>
      <c r="G304" s="639"/>
      <c r="H304" s="639"/>
      <c r="I304" s="92">
        <f t="shared" si="49"/>
        <v>7.2599999999999962</v>
      </c>
      <c r="J304" s="138" t="s">
        <v>128</v>
      </c>
      <c r="K304" s="35">
        <f>SUMIFS('[2]BESS 11'!AB:AB,'[2]BESS 11'!$B:$B,$J304)</f>
        <v>1536</v>
      </c>
      <c r="L304" s="36">
        <f>SUMIFS('[2]BESS 11'!AC:AC,'[2]BESS 11'!$B:$B,$J304)</f>
        <v>0</v>
      </c>
      <c r="M304" s="139">
        <f t="shared" si="46"/>
        <v>1536</v>
      </c>
      <c r="N304" s="68">
        <v>46264</v>
      </c>
      <c r="O304" s="68">
        <f t="shared" ca="1" si="47"/>
        <v>46264</v>
      </c>
      <c r="P304" s="140" t="s">
        <v>25</v>
      </c>
      <c r="Q304" s="96">
        <v>30</v>
      </c>
      <c r="R304" s="93">
        <v>18</v>
      </c>
      <c r="S304" s="94">
        <f t="shared" si="48"/>
        <v>921.6</v>
      </c>
      <c r="T304" s="307"/>
    </row>
    <row r="305" spans="2:22">
      <c r="B305" s="638"/>
      <c r="C305" s="639"/>
      <c r="D305" s="639"/>
      <c r="E305" s="639"/>
      <c r="F305" s="639"/>
      <c r="G305" s="639"/>
      <c r="H305" s="639"/>
      <c r="I305" s="92">
        <f t="shared" si="49"/>
        <v>7.269999999999996</v>
      </c>
      <c r="J305" s="138" t="s">
        <v>129</v>
      </c>
      <c r="K305" s="35">
        <f>SUMIFS('[2]BESS 11'!AB:AB,'[2]BESS 11'!$B:$B,$J305)</f>
        <v>2304</v>
      </c>
      <c r="L305" s="36">
        <f>SUMIFS('[2]BESS 11'!AC:AC,'[2]BESS 11'!$B:$B,$J305)</f>
        <v>0</v>
      </c>
      <c r="M305" s="139">
        <f t="shared" si="46"/>
        <v>2304</v>
      </c>
      <c r="N305" s="68">
        <v>46264</v>
      </c>
      <c r="O305" s="68">
        <f t="shared" ca="1" si="47"/>
        <v>46264</v>
      </c>
      <c r="P305" s="140" t="s">
        <v>25</v>
      </c>
      <c r="Q305" s="96">
        <v>30</v>
      </c>
      <c r="R305" s="93">
        <v>18</v>
      </c>
      <c r="S305" s="94">
        <f t="shared" si="48"/>
        <v>1382.4</v>
      </c>
      <c r="T305" s="307"/>
    </row>
    <row r="306" spans="2:22">
      <c r="B306" s="638"/>
      <c r="C306" s="639"/>
      <c r="D306" s="639"/>
      <c r="E306" s="639"/>
      <c r="F306" s="639"/>
      <c r="G306" s="639"/>
      <c r="H306" s="639"/>
      <c r="I306" s="92">
        <f t="shared" si="49"/>
        <v>7.2799999999999958</v>
      </c>
      <c r="J306" s="138" t="s">
        <v>130</v>
      </c>
      <c r="K306" s="35">
        <f>SUMIFS('[2]BESS 11'!AB:AB,'[2]BESS 11'!$B:$B,$J306)</f>
        <v>8232</v>
      </c>
      <c r="L306" s="36">
        <f>SUMIFS('[2]BESS 11'!AC:AC,'[2]BESS 11'!$B:$B,$J306)</f>
        <v>0</v>
      </c>
      <c r="M306" s="139">
        <f t="shared" si="46"/>
        <v>8232</v>
      </c>
      <c r="N306" s="68">
        <v>46254</v>
      </c>
      <c r="O306" s="68">
        <f t="shared" ca="1" si="47"/>
        <v>46254</v>
      </c>
      <c r="P306" s="140" t="s">
        <v>25</v>
      </c>
      <c r="Q306" s="96">
        <v>1000</v>
      </c>
      <c r="R306" s="93">
        <v>10</v>
      </c>
      <c r="S306" s="94">
        <f t="shared" si="48"/>
        <v>82.32</v>
      </c>
      <c r="T306" s="307"/>
    </row>
    <row r="307" spans="2:22">
      <c r="B307" s="638"/>
      <c r="C307" s="639"/>
      <c r="D307" s="639"/>
      <c r="E307" s="639"/>
      <c r="F307" s="639"/>
      <c r="G307" s="639"/>
      <c r="H307" s="639"/>
      <c r="I307" s="92">
        <f t="shared" si="49"/>
        <v>7.2899999999999956</v>
      </c>
      <c r="J307" s="138" t="s">
        <v>131</v>
      </c>
      <c r="K307" s="35">
        <f>SUMIFS('[2]BESS 11'!AB:AB,'[2]BESS 11'!$B:$B,$J307)</f>
        <v>14448</v>
      </c>
      <c r="L307" s="36">
        <f>SUMIFS('[2]BESS 11'!AC:AC,'[2]BESS 11'!$B:$B,$J307)</f>
        <v>0</v>
      </c>
      <c r="M307" s="139">
        <f t="shared" si="46"/>
        <v>14448</v>
      </c>
      <c r="N307" s="68">
        <v>46254</v>
      </c>
      <c r="O307" s="68">
        <f t="shared" ca="1" si="47"/>
        <v>46254</v>
      </c>
      <c r="P307" s="140" t="s">
        <v>25</v>
      </c>
      <c r="Q307" s="96">
        <v>1000</v>
      </c>
      <c r="R307" s="93">
        <v>10</v>
      </c>
      <c r="S307" s="94">
        <f t="shared" si="48"/>
        <v>144.47999999999999</v>
      </c>
      <c r="T307" s="307"/>
    </row>
    <row r="308" spans="2:22">
      <c r="B308" s="638"/>
      <c r="C308" s="639"/>
      <c r="D308" s="639"/>
      <c r="E308" s="639"/>
      <c r="F308" s="639"/>
      <c r="G308" s="639"/>
      <c r="H308" s="639"/>
      <c r="I308" s="92">
        <f t="shared" si="49"/>
        <v>7.2999999999999954</v>
      </c>
      <c r="J308" s="138" t="s">
        <v>132</v>
      </c>
      <c r="K308" s="35">
        <f>SUMIFS('[2]BESS 11'!AB:AB,'[2]BESS 11'!$B:$B,$J308)</f>
        <v>4792</v>
      </c>
      <c r="L308" s="36">
        <f>SUMIFS('[2]BESS 11'!AC:AC,'[2]BESS 11'!$B:$B,$J308)</f>
        <v>0</v>
      </c>
      <c r="M308" s="139">
        <f t="shared" si="46"/>
        <v>4792</v>
      </c>
      <c r="N308" s="68">
        <v>46254</v>
      </c>
      <c r="O308" s="68">
        <f t="shared" ca="1" si="47"/>
        <v>46254</v>
      </c>
      <c r="P308" s="140" t="s">
        <v>25</v>
      </c>
      <c r="Q308" s="96">
        <v>500</v>
      </c>
      <c r="R308" s="93">
        <v>10</v>
      </c>
      <c r="S308" s="94">
        <f t="shared" si="48"/>
        <v>95.84</v>
      </c>
      <c r="T308" s="307"/>
    </row>
    <row r="309" spans="2:22">
      <c r="B309" s="638"/>
      <c r="C309" s="639"/>
      <c r="D309" s="639"/>
      <c r="E309" s="639"/>
      <c r="F309" s="639"/>
      <c r="G309" s="639"/>
      <c r="H309" s="639"/>
      <c r="I309" s="92">
        <f t="shared" si="49"/>
        <v>7.3099999999999952</v>
      </c>
      <c r="J309" s="138" t="s">
        <v>133</v>
      </c>
      <c r="K309" s="35">
        <f>SUMIFS('[2]BESS 11'!AB:AB,'[2]BESS 11'!$B:$B,$J309)</f>
        <v>286</v>
      </c>
      <c r="L309" s="36">
        <f>SUMIFS('[2]BESS 11'!AC:AC,'[2]BESS 11'!$B:$B,$J309)</f>
        <v>0</v>
      </c>
      <c r="M309" s="139">
        <f t="shared" si="46"/>
        <v>286</v>
      </c>
      <c r="N309" s="68">
        <v>46264</v>
      </c>
      <c r="O309" s="68">
        <f t="shared" ca="1" si="47"/>
        <v>46264</v>
      </c>
      <c r="P309" s="140" t="s">
        <v>25</v>
      </c>
      <c r="Q309" s="96">
        <v>30</v>
      </c>
      <c r="R309" s="93">
        <v>6</v>
      </c>
      <c r="S309" s="94">
        <f t="shared" si="48"/>
        <v>57.2</v>
      </c>
      <c r="T309" s="307"/>
    </row>
    <row r="310" spans="2:22">
      <c r="B310" s="638"/>
      <c r="C310" s="639"/>
      <c r="D310" s="639"/>
      <c r="E310" s="639"/>
      <c r="F310" s="639"/>
      <c r="G310" s="639"/>
      <c r="H310" s="639"/>
      <c r="I310" s="92">
        <f t="shared" si="49"/>
        <v>7.319999999999995</v>
      </c>
      <c r="J310" s="138" t="s">
        <v>134</v>
      </c>
      <c r="K310" s="35">
        <f>SUMIFS('[2]BESS 11'!AB:AB,'[2]BESS 11'!$B:$B,$J310)</f>
        <v>536</v>
      </c>
      <c r="L310" s="36">
        <f>SUMIFS('[2]BESS 11'!AC:AC,'[2]BESS 11'!$B:$B,$J310)</f>
        <v>0</v>
      </c>
      <c r="M310" s="139">
        <f t="shared" si="46"/>
        <v>536</v>
      </c>
      <c r="N310" s="68">
        <v>46264</v>
      </c>
      <c r="O310" s="68">
        <f t="shared" ca="1" si="47"/>
        <v>46264</v>
      </c>
      <c r="P310" s="140" t="s">
        <v>135</v>
      </c>
      <c r="Q310" s="96">
        <v>30</v>
      </c>
      <c r="R310" s="93">
        <v>4</v>
      </c>
      <c r="S310" s="94">
        <f t="shared" si="48"/>
        <v>71.466666666666669</v>
      </c>
      <c r="T310" s="307"/>
    </row>
    <row r="311" spans="2:22" ht="25.5">
      <c r="B311" s="638"/>
      <c r="C311" s="639"/>
      <c r="D311" s="639"/>
      <c r="E311" s="639"/>
      <c r="F311" s="639"/>
      <c r="G311" s="639"/>
      <c r="H311" s="639"/>
      <c r="I311" s="92">
        <f t="shared" si="49"/>
        <v>7.3299999999999947</v>
      </c>
      <c r="J311" s="138" t="s">
        <v>136</v>
      </c>
      <c r="K311" s="35">
        <f>SUMIFS('[2]BESS 11'!AB:AB,'[2]BESS 11'!$B:$B,$J311)</f>
        <v>384</v>
      </c>
      <c r="L311" s="36">
        <f>SUMIFS('[2]BESS 11'!AC:AC,'[2]BESS 11'!$B:$B,$J311)</f>
        <v>0</v>
      </c>
      <c r="M311" s="139">
        <f t="shared" si="46"/>
        <v>384</v>
      </c>
      <c r="N311" s="68">
        <v>46264</v>
      </c>
      <c r="O311" s="68">
        <f t="shared" ca="1" si="47"/>
        <v>46264</v>
      </c>
      <c r="P311" s="140" t="s">
        <v>135</v>
      </c>
      <c r="Q311" s="96" t="s">
        <v>89</v>
      </c>
      <c r="R311" s="93" t="s">
        <v>89</v>
      </c>
      <c r="S311" s="94" t="s">
        <v>89</v>
      </c>
      <c r="T311" s="307"/>
      <c r="U311">
        <f ca="1">O311-$T$1</f>
        <v>31</v>
      </c>
      <c r="V311" s="97">
        <f>SUM(S290:S321)</f>
        <v>4346.5595466666673</v>
      </c>
    </row>
    <row r="312" spans="2:22">
      <c r="B312" s="638"/>
      <c r="C312" s="639"/>
      <c r="D312" s="639"/>
      <c r="E312" s="639"/>
      <c r="F312" s="639"/>
      <c r="G312" s="639"/>
      <c r="H312" s="639"/>
      <c r="I312" s="92">
        <f t="shared" si="49"/>
        <v>7.3399999999999945</v>
      </c>
      <c r="J312" s="138" t="s">
        <v>137</v>
      </c>
      <c r="K312" s="35">
        <f>SUMIFS('[2]BESS 11'!AB:AB,'[2]BESS 11'!$B:$B,$J312)</f>
        <v>6</v>
      </c>
      <c r="L312" s="36">
        <f>SUMIFS('[2]BESS 11'!AC:AC,'[2]BESS 11'!$B:$B,$J312)</f>
        <v>0</v>
      </c>
      <c r="M312" s="139">
        <f t="shared" si="46"/>
        <v>6</v>
      </c>
      <c r="N312" s="68">
        <v>46249</v>
      </c>
      <c r="O312" s="68">
        <f t="shared" ca="1" si="47"/>
        <v>46249</v>
      </c>
      <c r="P312" s="140" t="s">
        <v>138</v>
      </c>
      <c r="Q312" s="533">
        <v>2</v>
      </c>
      <c r="R312" s="527">
        <v>8</v>
      </c>
      <c r="S312" s="94" t="s">
        <v>89</v>
      </c>
      <c r="T312" s="307"/>
    </row>
    <row r="313" spans="2:22">
      <c r="B313" s="638"/>
      <c r="C313" s="639"/>
      <c r="D313" s="639"/>
      <c r="E313" s="639"/>
      <c r="F313" s="639"/>
      <c r="G313" s="639"/>
      <c r="H313" s="639"/>
      <c r="I313" s="92">
        <f t="shared" si="49"/>
        <v>7.3499999999999943</v>
      </c>
      <c r="J313" s="138" t="s">
        <v>139</v>
      </c>
      <c r="K313" s="35">
        <f>SUMIFS('[2]BESS 11'!AB:AB,'[2]BESS 11'!$B:$B,$J313)</f>
        <v>6</v>
      </c>
      <c r="L313" s="36">
        <f>SUMIFS('[2]BESS 11'!AC:AC,'[2]BESS 11'!$B:$B,$J313)</f>
        <v>0</v>
      </c>
      <c r="M313" s="139">
        <f t="shared" si="46"/>
        <v>6</v>
      </c>
      <c r="N313" s="68">
        <v>46253</v>
      </c>
      <c r="O313" s="68">
        <f t="shared" ca="1" si="47"/>
        <v>46253</v>
      </c>
      <c r="P313" s="140" t="s">
        <v>25</v>
      </c>
      <c r="Q313" s="534"/>
      <c r="R313" s="529"/>
      <c r="S313" s="94">
        <v>12</v>
      </c>
      <c r="T313" s="307"/>
    </row>
    <row r="314" spans="2:22" ht="25.5">
      <c r="B314" s="638"/>
      <c r="C314" s="639"/>
      <c r="D314" s="639"/>
      <c r="E314" s="639"/>
      <c r="F314" s="639"/>
      <c r="G314" s="639"/>
      <c r="H314" s="639"/>
      <c r="I314" s="92">
        <f t="shared" si="49"/>
        <v>7.3599999999999941</v>
      </c>
      <c r="J314" s="138" t="s">
        <v>140</v>
      </c>
      <c r="K314" s="35">
        <f>SUMIFS('[2]BESS 11'!AB:AB,'[2]BESS 11'!$B:$B,$J314)</f>
        <v>6</v>
      </c>
      <c r="L314" s="36">
        <f>SUMIFS('[2]BESS 11'!AC:AC,'[2]BESS 11'!$B:$B,$J314)</f>
        <v>0</v>
      </c>
      <c r="M314" s="139">
        <f t="shared" si="46"/>
        <v>6</v>
      </c>
      <c r="N314" s="68">
        <v>46274</v>
      </c>
      <c r="O314" s="68">
        <f t="shared" ca="1" si="47"/>
        <v>46274</v>
      </c>
      <c r="P314" s="140" t="s">
        <v>25</v>
      </c>
      <c r="Q314" s="96">
        <v>2</v>
      </c>
      <c r="R314" s="93">
        <v>4</v>
      </c>
      <c r="S314" s="94">
        <f t="shared" ref="S314:S321" si="50">(M314*R314)/Q314</f>
        <v>12</v>
      </c>
      <c r="T314" s="313"/>
      <c r="U314">
        <f ca="1">O314-$T$1</f>
        <v>41</v>
      </c>
      <c r="V314" s="97">
        <f>SUM(S290:S321)</f>
        <v>4346.5595466666673</v>
      </c>
    </row>
    <row r="315" spans="2:22" ht="25.5">
      <c r="B315" s="638"/>
      <c r="C315" s="639"/>
      <c r="D315" s="639"/>
      <c r="E315" s="639"/>
      <c r="F315" s="639"/>
      <c r="G315" s="639"/>
      <c r="H315" s="639"/>
      <c r="I315" s="92">
        <f t="shared" si="49"/>
        <v>7.3699999999999939</v>
      </c>
      <c r="J315" s="138" t="s">
        <v>141</v>
      </c>
      <c r="K315" s="35">
        <f>SUMIFS('[2]BESS 11'!AB:AB,'[2]BESS 11'!$B:$B,$J315)</f>
        <v>12</v>
      </c>
      <c r="L315" s="36">
        <f>SUMIFS('[2]BESS 11'!AC:AC,'[2]BESS 11'!$B:$B,$J315)</f>
        <v>0</v>
      </c>
      <c r="M315" s="139">
        <f t="shared" si="46"/>
        <v>12</v>
      </c>
      <c r="N315" s="68">
        <v>46260</v>
      </c>
      <c r="O315" s="68">
        <f t="shared" ca="1" si="47"/>
        <v>46260</v>
      </c>
      <c r="P315" s="140" t="s">
        <v>25</v>
      </c>
      <c r="Q315" s="96">
        <v>0.5</v>
      </c>
      <c r="R315" s="93">
        <v>4</v>
      </c>
      <c r="S315" s="94">
        <f t="shared" si="50"/>
        <v>96</v>
      </c>
      <c r="T315" s="567"/>
    </row>
    <row r="316" spans="2:22">
      <c r="B316" s="638"/>
      <c r="C316" s="639"/>
      <c r="D316" s="639"/>
      <c r="E316" s="639"/>
      <c r="F316" s="639"/>
      <c r="G316" s="639"/>
      <c r="H316" s="639"/>
      <c r="I316" s="92">
        <f t="shared" si="49"/>
        <v>7.3799999999999937</v>
      </c>
      <c r="J316" s="138" t="s">
        <v>142</v>
      </c>
      <c r="K316" s="35">
        <f>SUMIFS('[2]BESS 11'!AB:AB,'[2]BESS 11'!$B:$B,$J316)</f>
        <v>16</v>
      </c>
      <c r="L316" s="36">
        <f>SUMIFS('[2]BESS 11'!AC:AC,'[2]BESS 11'!$B:$B,$J316)</f>
        <v>0</v>
      </c>
      <c r="M316" s="139">
        <f t="shared" si="46"/>
        <v>16</v>
      </c>
      <c r="N316" s="68">
        <v>46272</v>
      </c>
      <c r="O316" s="68">
        <f t="shared" ca="1" si="47"/>
        <v>46272</v>
      </c>
      <c r="P316" s="140" t="s">
        <v>25</v>
      </c>
      <c r="Q316" s="96">
        <v>6</v>
      </c>
      <c r="R316" s="93">
        <v>4</v>
      </c>
      <c r="S316" s="94">
        <f t="shared" si="50"/>
        <v>10.666666666666666</v>
      </c>
      <c r="T316" s="567"/>
    </row>
    <row r="317" spans="2:22">
      <c r="B317" s="638"/>
      <c r="C317" s="639"/>
      <c r="D317" s="639"/>
      <c r="E317" s="639"/>
      <c r="F317" s="639"/>
      <c r="G317" s="639"/>
      <c r="H317" s="639"/>
      <c r="I317" s="92">
        <f t="shared" si="49"/>
        <v>7.3899999999999935</v>
      </c>
      <c r="J317" s="138" t="s">
        <v>143</v>
      </c>
      <c r="K317" s="35">
        <f>SUMIFS('[2]BESS 11'!AB:AB,'[2]BESS 11'!$B:$B,$J317)</f>
        <v>14</v>
      </c>
      <c r="L317" s="36">
        <f>SUMIFS('[2]BESS 11'!AC:AC,'[2]BESS 11'!$B:$B,$J317)</f>
        <v>0</v>
      </c>
      <c r="M317" s="139">
        <f t="shared" si="46"/>
        <v>14</v>
      </c>
      <c r="N317" s="68">
        <v>46260</v>
      </c>
      <c r="O317" s="68">
        <f t="shared" ca="1" si="47"/>
        <v>46260</v>
      </c>
      <c r="P317" s="140" t="s">
        <v>25</v>
      </c>
      <c r="Q317" s="96">
        <v>6</v>
      </c>
      <c r="R317" s="93">
        <v>5</v>
      </c>
      <c r="S317" s="94">
        <f t="shared" si="50"/>
        <v>11.666666666666666</v>
      </c>
      <c r="T317" s="567"/>
    </row>
    <row r="318" spans="2:22">
      <c r="B318" s="638"/>
      <c r="C318" s="639"/>
      <c r="D318" s="639"/>
      <c r="E318" s="639"/>
      <c r="F318" s="639"/>
      <c r="G318" s="639"/>
      <c r="H318" s="639"/>
      <c r="I318" s="92">
        <f t="shared" si="49"/>
        <v>7.3999999999999932</v>
      </c>
      <c r="J318" s="138" t="s">
        <v>144</v>
      </c>
      <c r="K318" s="35">
        <f>SUMIFS('[2]BESS 11'!AB:AB,'[2]BESS 11'!$B:$B,$J318)</f>
        <v>1</v>
      </c>
      <c r="L318" s="36">
        <f>SUMIFS('[2]BESS 11'!AC:AC,'[2]BESS 11'!$B:$B,$J318)</f>
        <v>0</v>
      </c>
      <c r="M318" s="139">
        <f t="shared" si="46"/>
        <v>1</v>
      </c>
      <c r="N318" s="68">
        <v>46260</v>
      </c>
      <c r="O318" s="68">
        <f t="shared" ca="1" si="47"/>
        <v>46260</v>
      </c>
      <c r="P318" s="140" t="s">
        <v>25</v>
      </c>
      <c r="Q318" s="96">
        <v>1</v>
      </c>
      <c r="R318" s="93">
        <v>5</v>
      </c>
      <c r="S318" s="94">
        <f t="shared" si="50"/>
        <v>5</v>
      </c>
      <c r="T318" s="307"/>
    </row>
    <row r="319" spans="2:22">
      <c r="B319" s="649" t="s">
        <v>148</v>
      </c>
      <c r="C319" s="650"/>
      <c r="D319" s="650"/>
      <c r="E319" s="650"/>
      <c r="F319" s="650"/>
      <c r="G319" s="650"/>
      <c r="H319" s="650"/>
      <c r="I319" s="92">
        <f t="shared" si="49"/>
        <v>7.409999999999993</v>
      </c>
      <c r="J319" s="138" t="s">
        <v>145</v>
      </c>
      <c r="K319" s="35">
        <f>SUMIFS('[2]BESS 11'!AB:AB,'[2]BESS 11'!$B:$B,$J319)</f>
        <v>6</v>
      </c>
      <c r="L319" s="36">
        <f>SUMIFS('[2]BESS 11'!AC:AC,'[2]BESS 11'!$B:$B,$J319)</f>
        <v>0</v>
      </c>
      <c r="M319" s="139">
        <f t="shared" si="46"/>
        <v>6</v>
      </c>
      <c r="N319" s="68">
        <v>46260</v>
      </c>
      <c r="O319" s="68">
        <f t="shared" ca="1" si="47"/>
        <v>46260</v>
      </c>
      <c r="P319" s="140" t="s">
        <v>25</v>
      </c>
      <c r="Q319" s="96">
        <v>3</v>
      </c>
      <c r="R319" s="93">
        <v>5</v>
      </c>
      <c r="S319" s="94">
        <f t="shared" si="50"/>
        <v>10</v>
      </c>
      <c r="T319" s="307"/>
    </row>
    <row r="320" spans="2:22">
      <c r="B320" s="649"/>
      <c r="C320" s="650"/>
      <c r="D320" s="650"/>
      <c r="E320" s="650"/>
      <c r="F320" s="650"/>
      <c r="G320" s="650"/>
      <c r="H320" s="650"/>
      <c r="I320" s="92">
        <f t="shared" si="49"/>
        <v>7.4199999999999928</v>
      </c>
      <c r="J320" s="138" t="s">
        <v>54</v>
      </c>
      <c r="K320" s="35">
        <f>SUMIFS('[2]BESS 11'!AB:AB,'[2]BESS 11'!$B:$B,$J320)</f>
        <v>4284</v>
      </c>
      <c r="L320" s="36">
        <f>SUMIFS('[2]BESS 11'!AC:AC,'[2]BESS 11'!$B:$B,$J320)</f>
        <v>0</v>
      </c>
      <c r="M320" s="139">
        <f t="shared" si="46"/>
        <v>4284</v>
      </c>
      <c r="N320" s="68">
        <v>46262</v>
      </c>
      <c r="O320" s="68">
        <f t="shared" ca="1" si="47"/>
        <v>46262</v>
      </c>
      <c r="P320" s="140" t="s">
        <v>25</v>
      </c>
      <c r="Q320" s="96">
        <v>150</v>
      </c>
      <c r="R320" s="93">
        <v>6</v>
      </c>
      <c r="S320" s="94">
        <f t="shared" si="50"/>
        <v>171.36</v>
      </c>
      <c r="T320" s="307"/>
    </row>
    <row r="321" spans="2:25" ht="14.25" thickBot="1">
      <c r="B321" s="651"/>
      <c r="C321" s="652"/>
      <c r="D321" s="652"/>
      <c r="E321" s="652"/>
      <c r="F321" s="652"/>
      <c r="G321" s="652"/>
      <c r="H321" s="652"/>
      <c r="I321" s="396">
        <f t="shared" si="49"/>
        <v>7.4299999999999926</v>
      </c>
      <c r="J321" s="296" t="s">
        <v>55</v>
      </c>
      <c r="K321" s="37">
        <f>SUMIFS('[2]BESS 11'!AB:AB,'[2]BESS 11'!$B:$B,$J321)</f>
        <v>10</v>
      </c>
      <c r="L321" s="38">
        <f>SUMIFS('[2]BESS 11'!AC:AC,'[2]BESS 11'!$B:$B,$J321)</f>
        <v>0</v>
      </c>
      <c r="M321" s="294">
        <f t="shared" si="46"/>
        <v>10</v>
      </c>
      <c r="N321" s="295">
        <v>46264</v>
      </c>
      <c r="O321" s="295">
        <f t="shared" ca="1" si="47"/>
        <v>46264</v>
      </c>
      <c r="P321" s="378" t="s">
        <v>25</v>
      </c>
      <c r="Q321" s="265">
        <v>5</v>
      </c>
      <c r="R321" s="266">
        <v>6</v>
      </c>
      <c r="S321" s="267">
        <f t="shared" si="50"/>
        <v>12</v>
      </c>
      <c r="T321" s="326"/>
    </row>
    <row r="322" spans="2:25">
      <c r="B322" s="472" t="s">
        <v>17</v>
      </c>
      <c r="C322" s="475">
        <v>8</v>
      </c>
      <c r="D322" s="586" t="s">
        <v>414</v>
      </c>
      <c r="E322" s="524" t="s">
        <v>120</v>
      </c>
      <c r="F322" s="478">
        <v>46279</v>
      </c>
      <c r="G322" s="478">
        <v>46284</v>
      </c>
      <c r="H322" s="478">
        <v>46287</v>
      </c>
      <c r="I322" s="363"/>
      <c r="J322" s="364"/>
      <c r="K322" s="365"/>
      <c r="L322" s="366" t="s">
        <v>121</v>
      </c>
      <c r="M322" s="364"/>
      <c r="N322" s="365"/>
      <c r="O322" s="367"/>
      <c r="P322" s="320"/>
      <c r="Q322" s="268"/>
      <c r="R322" s="269"/>
      <c r="S322" s="270"/>
      <c r="T322" s="368"/>
      <c r="W322" s="97"/>
    </row>
    <row r="323" spans="2:25" ht="25.5">
      <c r="B323" s="473"/>
      <c r="C323" s="476"/>
      <c r="D323" s="587"/>
      <c r="E323" s="445"/>
      <c r="F323" s="456"/>
      <c r="G323" s="456"/>
      <c r="H323" s="456"/>
      <c r="I323" s="336">
        <v>8.1</v>
      </c>
      <c r="J323" s="358" t="s">
        <v>19</v>
      </c>
      <c r="K323" s="36">
        <f>SUMIFS('[2]BESS 11'!AF:AF,'[2]BESS 11'!$B:$B,$J323)</f>
        <v>48</v>
      </c>
      <c r="L323" s="36">
        <f>SUMIFS('[2]BESS 11'!AG:AG,'[2]BESS 11'!$B:$B,$J323)</f>
        <v>48</v>
      </c>
      <c r="M323" s="36">
        <f t="shared" ref="M323:M333" si="51">K323-L323</f>
        <v>0</v>
      </c>
      <c r="N323" s="297" t="s">
        <v>122</v>
      </c>
      <c r="O323" s="68" t="s">
        <v>89</v>
      </c>
      <c r="P323" s="357" t="s">
        <v>20</v>
      </c>
      <c r="Q323" s="96">
        <v>1</v>
      </c>
      <c r="R323" s="93">
        <v>2</v>
      </c>
      <c r="S323" s="94">
        <f t="shared" ref="S323:S332" si="52">(M323*R323)/Q323</f>
        <v>0</v>
      </c>
      <c r="T323" s="307"/>
    </row>
    <row r="324" spans="2:25">
      <c r="B324" s="473"/>
      <c r="C324" s="476"/>
      <c r="D324" s="587"/>
      <c r="E324" s="445"/>
      <c r="F324" s="456"/>
      <c r="G324" s="456"/>
      <c r="H324" s="456"/>
      <c r="I324" s="336">
        <v>8.1999999999999993</v>
      </c>
      <c r="J324" s="358" t="s">
        <v>23</v>
      </c>
      <c r="K324" s="36">
        <f>SUMIFS('[2]BESS 11'!AF:AF,'[2]BESS 11'!$B:$B,$J324)</f>
        <v>6</v>
      </c>
      <c r="L324" s="36">
        <f>SUMIFS('[2]BESS 11'!AG:AG,'[2]BESS 11'!$B:$B,$J324)</f>
        <v>6</v>
      </c>
      <c r="M324" s="36">
        <f t="shared" si="51"/>
        <v>0</v>
      </c>
      <c r="N324" s="297" t="s">
        <v>122</v>
      </c>
      <c r="O324" s="68" t="s">
        <v>89</v>
      </c>
      <c r="P324" s="357" t="s">
        <v>20</v>
      </c>
      <c r="Q324" s="96">
        <v>1</v>
      </c>
      <c r="R324" s="93">
        <v>16</v>
      </c>
      <c r="S324" s="94">
        <f t="shared" si="52"/>
        <v>0</v>
      </c>
      <c r="T324" s="307"/>
    </row>
    <row r="325" spans="2:25">
      <c r="B325" s="473"/>
      <c r="C325" s="476"/>
      <c r="D325" s="587"/>
      <c r="E325" s="445"/>
      <c r="F325" s="456"/>
      <c r="G325" s="456"/>
      <c r="H325" s="456"/>
      <c r="I325" s="336">
        <v>8.2999999999999989</v>
      </c>
      <c r="J325" s="358" t="s">
        <v>26</v>
      </c>
      <c r="K325" s="36">
        <f>SUMIFS('[2]BESS 11'!AF:AF,'[2]BESS 11'!$B:$B,$J325)</f>
        <v>6</v>
      </c>
      <c r="L325" s="36">
        <f>SUMIFS('[2]BESS 11'!AG:AG,'[2]BESS 11'!$B:$B,$J325)</f>
        <v>6</v>
      </c>
      <c r="M325" s="36">
        <f t="shared" si="51"/>
        <v>0</v>
      </c>
      <c r="N325" s="395" t="s">
        <v>122</v>
      </c>
      <c r="O325" s="68">
        <v>46212</v>
      </c>
      <c r="P325" s="357" t="s">
        <v>20</v>
      </c>
      <c r="Q325" s="96">
        <v>1</v>
      </c>
      <c r="R325" s="93">
        <v>39</v>
      </c>
      <c r="S325" s="94">
        <f t="shared" si="52"/>
        <v>0</v>
      </c>
      <c r="T325" s="307"/>
      <c r="W325" s="68"/>
    </row>
    <row r="326" spans="2:25">
      <c r="B326" s="473"/>
      <c r="C326" s="476"/>
      <c r="D326" s="587"/>
      <c r="E326" s="445"/>
      <c r="F326" s="456"/>
      <c r="G326" s="456"/>
      <c r="H326" s="456"/>
      <c r="I326" s="336">
        <v>8.3999999999999986</v>
      </c>
      <c r="J326" s="358" t="s">
        <v>32</v>
      </c>
      <c r="K326" s="36">
        <f>SUMIFS('[2]BESS 11'!AF:AF,'[2]BESS 11'!$B:$B,$J326)</f>
        <v>1</v>
      </c>
      <c r="L326" s="36">
        <f>SUMIFS('[2]BESS 11'!AG:AG,'[2]BESS 11'!$B:$B,$J326)</f>
        <v>1</v>
      </c>
      <c r="M326" s="36">
        <f t="shared" si="51"/>
        <v>0</v>
      </c>
      <c r="N326" s="395" t="s">
        <v>122</v>
      </c>
      <c r="O326" s="68">
        <v>46212</v>
      </c>
      <c r="P326" s="357" t="s">
        <v>20</v>
      </c>
      <c r="Q326" s="96">
        <v>1</v>
      </c>
      <c r="R326" s="93">
        <v>37</v>
      </c>
      <c r="S326" s="94">
        <f t="shared" si="52"/>
        <v>0</v>
      </c>
      <c r="T326" s="307"/>
      <c r="W326" s="68"/>
    </row>
    <row r="327" spans="2:25">
      <c r="B327" s="473"/>
      <c r="C327" s="476"/>
      <c r="D327" s="587"/>
      <c r="E327" s="445"/>
      <c r="F327" s="456"/>
      <c r="G327" s="456"/>
      <c r="H327" s="456"/>
      <c r="I327" s="336">
        <v>8.4999999999999982</v>
      </c>
      <c r="J327" s="358" t="s">
        <v>35</v>
      </c>
      <c r="K327" s="36">
        <f>SUMIFS('[2]BESS 11'!AF:AF,'[2]BESS 11'!$B:$B,$J327)</f>
        <v>1</v>
      </c>
      <c r="L327" s="36">
        <f>SUMIFS('[2]BESS 11'!AG:AG,'[2]BESS 11'!$B:$B,$J327)</f>
        <v>1</v>
      </c>
      <c r="M327" s="36">
        <f t="shared" si="51"/>
        <v>0</v>
      </c>
      <c r="N327" s="297" t="s">
        <v>122</v>
      </c>
      <c r="O327" s="297" t="s">
        <v>89</v>
      </c>
      <c r="P327" s="357" t="s">
        <v>20</v>
      </c>
      <c r="Q327" s="96">
        <v>1</v>
      </c>
      <c r="R327" s="93">
        <v>34</v>
      </c>
      <c r="S327" s="94">
        <f t="shared" si="52"/>
        <v>0</v>
      </c>
      <c r="T327" s="307"/>
      <c r="W327" s="68"/>
    </row>
    <row r="328" spans="2:25" ht="25.5">
      <c r="B328" s="473"/>
      <c r="C328" s="476"/>
      <c r="D328" s="587"/>
      <c r="E328" s="445"/>
      <c r="F328" s="456"/>
      <c r="G328" s="456"/>
      <c r="H328" s="456"/>
      <c r="I328" s="390">
        <v>8.5999999999999979</v>
      </c>
      <c r="J328" s="138" t="s">
        <v>38</v>
      </c>
      <c r="K328" s="35">
        <f>SUMIFS('[2]BESS 11'!AF:AF,'[2]BESS 11'!$B:$B,$J328)</f>
        <v>1</v>
      </c>
      <c r="L328" s="36">
        <f>SUMIFS('[2]BESS 11'!AG:AG,'[2]BESS 11'!$B:$B,$J328)</f>
        <v>1</v>
      </c>
      <c r="M328" s="139">
        <f t="shared" si="51"/>
        <v>0</v>
      </c>
      <c r="N328" s="385" t="s">
        <v>242</v>
      </c>
      <c r="O328" s="68">
        <v>46214</v>
      </c>
      <c r="P328" s="140" t="s">
        <v>20</v>
      </c>
      <c r="Q328" s="96">
        <v>1</v>
      </c>
      <c r="R328" s="93">
        <v>54</v>
      </c>
      <c r="S328" s="94">
        <f t="shared" si="52"/>
        <v>0</v>
      </c>
      <c r="T328" s="307"/>
      <c r="W328" s="68"/>
    </row>
    <row r="329" spans="2:25">
      <c r="B329" s="473"/>
      <c r="C329" s="476"/>
      <c r="D329" s="587"/>
      <c r="E329" s="445"/>
      <c r="F329" s="456"/>
      <c r="G329" s="456"/>
      <c r="H329" s="456"/>
      <c r="I329" s="336">
        <v>8.6999999999999975</v>
      </c>
      <c r="J329" s="358" t="s">
        <v>44</v>
      </c>
      <c r="K329" s="36">
        <f>SUMIFS('[2]BESS 11'!AF:AF,'[2]BESS 11'!$B:$B,$J329)</f>
        <v>3</v>
      </c>
      <c r="L329" s="36">
        <f>SUMIFS('[2]BESS 11'!AG:AG,'[2]BESS 11'!$B:$B,$J329)</f>
        <v>3</v>
      </c>
      <c r="M329" s="36">
        <f t="shared" si="51"/>
        <v>0</v>
      </c>
      <c r="N329" s="297" t="s">
        <v>122</v>
      </c>
      <c r="O329" s="68" t="s">
        <v>89</v>
      </c>
      <c r="P329" s="357" t="s">
        <v>45</v>
      </c>
      <c r="Q329" s="96">
        <v>3</v>
      </c>
      <c r="R329" s="93">
        <v>5</v>
      </c>
      <c r="S329" s="94">
        <f t="shared" si="52"/>
        <v>0</v>
      </c>
      <c r="T329" s="307"/>
      <c r="W329" s="68"/>
    </row>
    <row r="330" spans="2:25">
      <c r="B330" s="473"/>
      <c r="C330" s="476"/>
      <c r="D330" s="587"/>
      <c r="E330" s="445"/>
      <c r="F330" s="456"/>
      <c r="G330" s="456"/>
      <c r="H330" s="456"/>
      <c r="I330" s="336">
        <v>8.7999999999999972</v>
      </c>
      <c r="J330" s="358" t="s">
        <v>40</v>
      </c>
      <c r="K330" s="36">
        <f>SUMIFS('[2]BESS 11'!AF:AF,'[2]BESS 11'!$B:$B,$J330)</f>
        <v>6</v>
      </c>
      <c r="L330" s="36">
        <f>SUMIFS('[2]BESS 11'!AG:AG,'[2]BESS 11'!$B:$B,$J330)</f>
        <v>6</v>
      </c>
      <c r="M330" s="36">
        <f t="shared" si="51"/>
        <v>0</v>
      </c>
      <c r="N330" s="297" t="s">
        <v>122</v>
      </c>
      <c r="O330" s="68" t="s">
        <v>89</v>
      </c>
      <c r="P330" s="357" t="s">
        <v>20</v>
      </c>
      <c r="Q330" s="96">
        <v>1</v>
      </c>
      <c r="R330" s="93">
        <v>5</v>
      </c>
      <c r="S330" s="94">
        <f t="shared" si="52"/>
        <v>0</v>
      </c>
      <c r="T330" s="307"/>
      <c r="W330" s="68"/>
    </row>
    <row r="331" spans="2:25">
      <c r="B331" s="473"/>
      <c r="C331" s="476"/>
      <c r="D331" s="587"/>
      <c r="E331" s="445"/>
      <c r="F331" s="456"/>
      <c r="G331" s="456"/>
      <c r="H331" s="456"/>
      <c r="I331" s="390">
        <v>8.8999999999999968</v>
      </c>
      <c r="J331" s="138" t="s">
        <v>30</v>
      </c>
      <c r="K331" s="35">
        <f>SUMIFS('[2]BESS 11'!AF:AF,'[2]BESS 11'!$B:$B,$J331)</f>
        <v>6</v>
      </c>
      <c r="L331" s="36">
        <f>SUMIFS('[2]BESS 11'!AG:AG,'[2]BESS 11'!$B:$B,$J331)</f>
        <v>0</v>
      </c>
      <c r="M331" s="139">
        <f t="shared" si="51"/>
        <v>6</v>
      </c>
      <c r="N331" s="68" t="s">
        <v>289</v>
      </c>
      <c r="O331" s="68">
        <f ca="1">IFERROR(DATEVALUE(TRIM(_xlfn.TEXTAFTER(N331,",",-1))&amp;"-"&amp;YEAR(TODAY())),N331)</f>
        <v>46234</v>
      </c>
      <c r="P331" s="140" t="s">
        <v>31</v>
      </c>
      <c r="Q331" s="96">
        <v>1</v>
      </c>
      <c r="R331" s="93">
        <v>27</v>
      </c>
      <c r="S331" s="94">
        <f t="shared" si="52"/>
        <v>162</v>
      </c>
      <c r="T331" s="307"/>
      <c r="W331" s="68"/>
    </row>
    <row r="332" spans="2:25">
      <c r="B332" s="473"/>
      <c r="C332" s="476"/>
      <c r="D332" s="587"/>
      <c r="E332" s="445"/>
      <c r="F332" s="456"/>
      <c r="G332" s="456"/>
      <c r="H332" s="456"/>
      <c r="I332" s="92">
        <v>8.1</v>
      </c>
      <c r="J332" s="138" t="s">
        <v>34</v>
      </c>
      <c r="K332" s="35">
        <f>SUMIFS('[2]BESS 11'!AF:AF,'[2]BESS 11'!$B:$B,$J332)</f>
        <v>1</v>
      </c>
      <c r="L332" s="36">
        <f>SUMIFS('[2]BESS 11'!AG:AG,'[2]BESS 11'!$B:$B,$J332)</f>
        <v>0</v>
      </c>
      <c r="M332" s="139">
        <f t="shared" si="51"/>
        <v>1</v>
      </c>
      <c r="N332" s="68" t="s">
        <v>288</v>
      </c>
      <c r="O332" s="68">
        <f ca="1">IFERROR(DATEVALUE(TRIM(_xlfn.TEXTAFTER(N332,",",-1))&amp;"-"&amp;YEAR(TODAY())),N332)</f>
        <v>46241</v>
      </c>
      <c r="P332" s="140" t="s">
        <v>31</v>
      </c>
      <c r="Q332" s="96">
        <v>1</v>
      </c>
      <c r="R332" s="93">
        <v>25</v>
      </c>
      <c r="S332" s="94">
        <f t="shared" si="52"/>
        <v>25</v>
      </c>
      <c r="T332" s="307"/>
      <c r="W332" s="68"/>
    </row>
    <row r="333" spans="2:25">
      <c r="B333" s="473"/>
      <c r="C333" s="476"/>
      <c r="D333" s="587"/>
      <c r="E333" s="445"/>
      <c r="F333" s="456"/>
      <c r="G333" s="456"/>
      <c r="H333" s="456"/>
      <c r="I333" s="92">
        <v>8.11</v>
      </c>
      <c r="J333" s="138" t="s">
        <v>37</v>
      </c>
      <c r="K333" s="35">
        <f>SUMIFS('[2]BESS 11'!AF:AF,'[2]BESS 11'!$B:$B,$J333)</f>
        <v>1</v>
      </c>
      <c r="L333" s="36">
        <f>SUMIFS('[2]BESS 11'!AG:AG,'[2]BESS 11'!$B:$B,$J333)</f>
        <v>0</v>
      </c>
      <c r="M333" s="139">
        <f t="shared" si="51"/>
        <v>1</v>
      </c>
      <c r="N333" s="68" t="s">
        <v>299</v>
      </c>
      <c r="O333" s="68">
        <f ca="1">IFERROR(DATEVALUE(TRIM(_xlfn.TEXTAFTER(N333,",",-1))&amp;"-"&amp;YEAR(TODAY())),N333)</f>
        <v>46238</v>
      </c>
      <c r="P333" s="140" t="s">
        <v>123</v>
      </c>
      <c r="Q333" s="96" t="s">
        <v>89</v>
      </c>
      <c r="R333" s="93" t="s">
        <v>89</v>
      </c>
      <c r="S333" s="94" t="s">
        <v>89</v>
      </c>
      <c r="T333" s="261"/>
      <c r="W333" s="68"/>
    </row>
    <row r="334" spans="2:25">
      <c r="B334" s="473"/>
      <c r="C334" s="476"/>
      <c r="D334" s="587"/>
      <c r="E334" s="445"/>
      <c r="F334" s="456"/>
      <c r="G334" s="456"/>
      <c r="H334" s="456"/>
      <c r="I334" s="254"/>
      <c r="J334" s="50"/>
      <c r="K334" s="51"/>
      <c r="L334" s="52" t="s">
        <v>124</v>
      </c>
      <c r="M334" s="51"/>
      <c r="N334" s="51"/>
      <c r="O334" s="68"/>
      <c r="P334" s="351"/>
      <c r="Q334" s="96"/>
      <c r="R334" s="93"/>
      <c r="S334" s="94"/>
      <c r="T334" s="261"/>
      <c r="W334" s="68"/>
    </row>
    <row r="335" spans="2:25">
      <c r="B335" s="473"/>
      <c r="C335" s="476"/>
      <c r="D335" s="587"/>
      <c r="E335" s="445"/>
      <c r="F335" s="456"/>
      <c r="G335" s="456"/>
      <c r="H335" s="456"/>
      <c r="I335" s="92">
        <v>8.1199999999999992</v>
      </c>
      <c r="J335" s="138" t="s">
        <v>24</v>
      </c>
      <c r="K335" s="35">
        <f>SUMIFS('[2]BESS 11'!AF:AF,'[2]BESS 11'!$B:$B,$J335)</f>
        <v>6</v>
      </c>
      <c r="L335" s="36">
        <f>SUMIFS('[2]BESS 11'!AG:AG,'[2]BESS 11'!$B:$B,$J335)</f>
        <v>0</v>
      </c>
      <c r="M335" s="139">
        <f t="shared" ref="M335:M366" si="53">K335-L335</f>
        <v>6</v>
      </c>
      <c r="N335" s="91">
        <v>46233</v>
      </c>
      <c r="O335" s="68">
        <f t="shared" ref="O335:O366" ca="1" si="54">IFERROR(DATEVALUE(TRIM(_xlfn.TEXTAFTER(N335,",",-1))&amp;"-"&amp;YEAR(TODAY())),N335)</f>
        <v>46233</v>
      </c>
      <c r="P335" s="140" t="s">
        <v>25</v>
      </c>
      <c r="Q335" s="96">
        <v>2</v>
      </c>
      <c r="R335" s="93">
        <v>4</v>
      </c>
      <c r="S335" s="94">
        <f>(M335*R335)/Q335</f>
        <v>12</v>
      </c>
      <c r="T335" s="261"/>
      <c r="W335" s="68"/>
      <c r="Y335" s="371"/>
    </row>
    <row r="336" spans="2:25">
      <c r="B336" s="473"/>
      <c r="C336" s="476"/>
      <c r="D336" s="587"/>
      <c r="E336" s="445"/>
      <c r="F336" s="456"/>
      <c r="G336" s="456"/>
      <c r="H336" s="456"/>
      <c r="I336" s="92">
        <v>8.129999999999999</v>
      </c>
      <c r="J336" s="138" t="s">
        <v>27</v>
      </c>
      <c r="K336" s="35">
        <f>SUMIFS('[2]BESS 11'!AF:AF,'[2]BESS 11'!$B:$B,$J336)</f>
        <v>48</v>
      </c>
      <c r="L336" s="36">
        <f>SUMIFS('[2]BESS 11'!AG:AG,'[2]BESS 11'!$B:$B,$J336)</f>
        <v>0</v>
      </c>
      <c r="M336" s="139">
        <f t="shared" si="53"/>
        <v>48</v>
      </c>
      <c r="N336" s="68">
        <v>46239</v>
      </c>
      <c r="O336" s="68">
        <f t="shared" ca="1" si="54"/>
        <v>46239</v>
      </c>
      <c r="P336" s="140" t="s">
        <v>25</v>
      </c>
      <c r="Q336" s="96">
        <v>10</v>
      </c>
      <c r="R336" s="93">
        <v>4</v>
      </c>
      <c r="S336" s="94">
        <f>(M336*R336)/Q336</f>
        <v>19.2</v>
      </c>
      <c r="T336" s="261"/>
      <c r="W336" s="60"/>
    </row>
    <row r="337" spans="2:23">
      <c r="B337" s="473"/>
      <c r="C337" s="476"/>
      <c r="D337" s="587"/>
      <c r="E337" s="445"/>
      <c r="F337" s="456"/>
      <c r="G337" s="456"/>
      <c r="H337" s="456"/>
      <c r="I337" s="92">
        <v>8.1399999999999988</v>
      </c>
      <c r="J337" s="138" t="s">
        <v>28</v>
      </c>
      <c r="K337" s="35">
        <f>SUMIFS('[2]BESS 11'!AF:AF,'[2]BESS 11'!$B:$B,$J337)</f>
        <v>6</v>
      </c>
      <c r="L337" s="36">
        <f>SUMIFS('[2]BESS 11'!AG:AG,'[2]BESS 11'!$B:$B,$J337)</f>
        <v>0</v>
      </c>
      <c r="M337" s="139">
        <f t="shared" si="53"/>
        <v>6</v>
      </c>
      <c r="N337" s="68">
        <v>46240</v>
      </c>
      <c r="O337" s="68">
        <f t="shared" ca="1" si="54"/>
        <v>46240</v>
      </c>
      <c r="P337" s="140" t="s">
        <v>25</v>
      </c>
      <c r="Q337" s="96">
        <v>5</v>
      </c>
      <c r="R337" s="93">
        <v>4</v>
      </c>
      <c r="S337" s="94">
        <f>(M337*R337)/Q337</f>
        <v>4.8</v>
      </c>
      <c r="T337" s="261"/>
      <c r="W337" s="60"/>
    </row>
    <row r="338" spans="2:23" ht="25.5">
      <c r="B338" s="473"/>
      <c r="C338" s="476"/>
      <c r="D338" s="587"/>
      <c r="E338" s="445"/>
      <c r="F338" s="456"/>
      <c r="G338" s="456"/>
      <c r="H338" s="456"/>
      <c r="I338" s="92">
        <v>8.1499999999999986</v>
      </c>
      <c r="J338" s="138" t="s">
        <v>29</v>
      </c>
      <c r="K338" s="35">
        <f>SUMIFS('[2]BESS 11'!AF:AF,'[2]BESS 11'!$B:$B,$J338)</f>
        <v>6</v>
      </c>
      <c r="L338" s="36">
        <f>SUMIFS('[2]BESS 11'!AG:AG,'[2]BESS 11'!$B:$B,$J338)</f>
        <v>0</v>
      </c>
      <c r="M338" s="139">
        <f t="shared" si="53"/>
        <v>6</v>
      </c>
      <c r="N338" s="91">
        <v>46240</v>
      </c>
      <c r="O338" s="68">
        <f t="shared" ca="1" si="54"/>
        <v>46240</v>
      </c>
      <c r="P338" s="140" t="s">
        <v>25</v>
      </c>
      <c r="Q338" s="96">
        <v>20</v>
      </c>
      <c r="R338" s="527">
        <v>4</v>
      </c>
      <c r="S338" s="530">
        <v>4</v>
      </c>
      <c r="T338" s="261"/>
    </row>
    <row r="339" spans="2:23">
      <c r="B339" s="473"/>
      <c r="C339" s="476"/>
      <c r="D339" s="587"/>
      <c r="E339" s="445"/>
      <c r="F339" s="456"/>
      <c r="G339" s="456"/>
      <c r="H339" s="456"/>
      <c r="I339" s="92">
        <v>8.1599999999999984</v>
      </c>
      <c r="J339" s="138" t="s">
        <v>33</v>
      </c>
      <c r="K339" s="35">
        <f>SUMIFS('[2]BESS 11'!AF:AF,'[2]BESS 11'!$B:$B,$J339)</f>
        <v>2</v>
      </c>
      <c r="L339" s="36">
        <f>SUMIFS('[2]BESS 11'!AG:AG,'[2]BESS 11'!$B:$B,$J339)</f>
        <v>0</v>
      </c>
      <c r="M339" s="139">
        <f t="shared" si="53"/>
        <v>2</v>
      </c>
      <c r="N339" s="68">
        <v>46239</v>
      </c>
      <c r="O339" s="68">
        <f t="shared" ca="1" si="54"/>
        <v>46239</v>
      </c>
      <c r="P339" s="140" t="s">
        <v>25</v>
      </c>
      <c r="Q339" s="96">
        <v>10</v>
      </c>
      <c r="R339" s="528"/>
      <c r="S339" s="531"/>
      <c r="T339" s="261"/>
    </row>
    <row r="340" spans="2:23">
      <c r="B340" s="473"/>
      <c r="C340" s="476"/>
      <c r="D340" s="587"/>
      <c r="E340" s="445"/>
      <c r="F340" s="456"/>
      <c r="G340" s="456"/>
      <c r="H340" s="456"/>
      <c r="I340" s="92">
        <v>8.1699999999999982</v>
      </c>
      <c r="J340" s="138" t="s">
        <v>36</v>
      </c>
      <c r="K340" s="35">
        <f>SUMIFS('[2]BESS 11'!AF:AF,'[2]BESS 11'!$B:$B,$J340)</f>
        <v>1</v>
      </c>
      <c r="L340" s="36">
        <f>SUMIFS('[2]BESS 11'!AG:AG,'[2]BESS 11'!$B:$B,$J340)</f>
        <v>0</v>
      </c>
      <c r="M340" s="139">
        <f t="shared" si="53"/>
        <v>1</v>
      </c>
      <c r="N340" s="68">
        <v>46234</v>
      </c>
      <c r="O340" s="68">
        <f t="shared" ca="1" si="54"/>
        <v>46234</v>
      </c>
      <c r="P340" s="140" t="s">
        <v>25</v>
      </c>
      <c r="Q340" s="96">
        <v>10</v>
      </c>
      <c r="R340" s="528"/>
      <c r="S340" s="531"/>
      <c r="T340" s="307"/>
    </row>
    <row r="341" spans="2:23">
      <c r="B341" s="473"/>
      <c r="C341" s="476"/>
      <c r="D341" s="587"/>
      <c r="E341" s="445"/>
      <c r="F341" s="456"/>
      <c r="G341" s="456"/>
      <c r="H341" s="456"/>
      <c r="I341" s="92">
        <v>8.1799999999999979</v>
      </c>
      <c r="J341" s="138" t="s">
        <v>39</v>
      </c>
      <c r="K341" s="35">
        <f>SUMIFS('[2]BESS 11'!AF:AF,'[2]BESS 11'!$B:$B,$J341)</f>
        <v>1</v>
      </c>
      <c r="L341" s="36">
        <f>SUMIFS('[2]BESS 11'!AG:AG,'[2]BESS 11'!$B:$B,$J341)</f>
        <v>0</v>
      </c>
      <c r="M341" s="139">
        <f t="shared" si="53"/>
        <v>1</v>
      </c>
      <c r="N341" s="68">
        <v>46244</v>
      </c>
      <c r="O341" s="68">
        <f t="shared" ca="1" si="54"/>
        <v>46244</v>
      </c>
      <c r="P341" s="140" t="s">
        <v>25</v>
      </c>
      <c r="Q341" s="96">
        <v>10</v>
      </c>
      <c r="R341" s="528"/>
      <c r="S341" s="531"/>
      <c r="T341" s="307"/>
      <c r="W341" s="60"/>
    </row>
    <row r="342" spans="2:23">
      <c r="B342" s="638" t="s">
        <v>179</v>
      </c>
      <c r="C342" s="639"/>
      <c r="D342" s="639"/>
      <c r="E342" s="639"/>
      <c r="F342" s="639"/>
      <c r="G342" s="639"/>
      <c r="H342" s="639"/>
      <c r="I342" s="92">
        <v>8.1899999999999977</v>
      </c>
      <c r="J342" s="138" t="s">
        <v>41</v>
      </c>
      <c r="K342" s="35">
        <f>SUMIFS('[2]BESS 11'!AF:AF,'[2]BESS 11'!$B:$B,$J342)</f>
        <v>6</v>
      </c>
      <c r="L342" s="36">
        <f>SUMIFS('[2]BESS 11'!AG:AG,'[2]BESS 11'!$B:$B,$J342)</f>
        <v>0</v>
      </c>
      <c r="M342" s="139">
        <f t="shared" si="53"/>
        <v>6</v>
      </c>
      <c r="N342" s="68" t="s">
        <v>319</v>
      </c>
      <c r="O342" s="68">
        <f t="shared" ca="1" si="54"/>
        <v>46249</v>
      </c>
      <c r="P342" s="140" t="s">
        <v>125</v>
      </c>
      <c r="Q342" s="96">
        <v>20</v>
      </c>
      <c r="R342" s="529"/>
      <c r="S342" s="532"/>
      <c r="T342" s="307"/>
    </row>
    <row r="343" spans="2:23">
      <c r="B343" s="638"/>
      <c r="C343" s="639"/>
      <c r="D343" s="639"/>
      <c r="E343" s="639"/>
      <c r="F343" s="639"/>
      <c r="G343" s="639"/>
      <c r="H343" s="639"/>
      <c r="I343" s="92">
        <v>8.1999999999999975</v>
      </c>
      <c r="J343" s="138" t="s">
        <v>43</v>
      </c>
      <c r="K343" s="35">
        <f>SUMIFS('[2]BESS 11'!AF:AF,'[2]BESS 11'!$B:$B,$J343)</f>
        <v>6</v>
      </c>
      <c r="L343" s="36">
        <f>SUMIFS('[2]BESS 11'!AG:AG,'[2]BESS 11'!$B:$B,$J343)</f>
        <v>0</v>
      </c>
      <c r="M343" s="139">
        <f t="shared" si="53"/>
        <v>6</v>
      </c>
      <c r="N343" s="68" t="s">
        <v>320</v>
      </c>
      <c r="O343" s="68">
        <f t="shared" ca="1" si="54"/>
        <v>46254</v>
      </c>
      <c r="P343" s="140" t="s">
        <v>125</v>
      </c>
      <c r="Q343" s="96">
        <v>0.66666666666666663</v>
      </c>
      <c r="R343" s="93">
        <v>0</v>
      </c>
      <c r="S343" s="94">
        <f t="shared" ref="S343:S355" si="55">(M343*R343)/Q343</f>
        <v>0</v>
      </c>
      <c r="T343" s="307"/>
    </row>
    <row r="344" spans="2:23">
      <c r="B344" s="638"/>
      <c r="C344" s="639"/>
      <c r="D344" s="639"/>
      <c r="E344" s="639"/>
      <c r="F344" s="639"/>
      <c r="G344" s="639"/>
      <c r="H344" s="639"/>
      <c r="I344" s="92">
        <v>8.2099999999999973</v>
      </c>
      <c r="J344" s="397" t="s">
        <v>21</v>
      </c>
      <c r="K344" s="35">
        <f>SUMIFS('[2]BESS 11'!AF:AF,'[2]BESS 11'!$B:$B,$J344)</f>
        <v>48</v>
      </c>
      <c r="L344" s="36">
        <f>SUMIFS('[2]BESS 11'!AG:AG,'[2]BESS 11'!$B:$B,$J344)</f>
        <v>0</v>
      </c>
      <c r="M344" s="139">
        <f t="shared" si="53"/>
        <v>48</v>
      </c>
      <c r="N344" s="68" t="s">
        <v>369</v>
      </c>
      <c r="O344" s="68">
        <f t="shared" ca="1" si="54"/>
        <v>46263</v>
      </c>
      <c r="P344" s="140" t="s">
        <v>22</v>
      </c>
      <c r="Q344" s="96">
        <v>10</v>
      </c>
      <c r="R344" s="93">
        <v>4</v>
      </c>
      <c r="S344" s="94">
        <f t="shared" si="55"/>
        <v>19.2</v>
      </c>
      <c r="T344" s="307"/>
    </row>
    <row r="345" spans="2:23">
      <c r="B345" s="638"/>
      <c r="C345" s="639"/>
      <c r="D345" s="639"/>
      <c r="E345" s="639"/>
      <c r="F345" s="639"/>
      <c r="G345" s="639"/>
      <c r="H345" s="639"/>
      <c r="I345" s="92">
        <v>8.2199999999999971</v>
      </c>
      <c r="J345" s="138" t="s">
        <v>47</v>
      </c>
      <c r="K345" s="35">
        <f>SUMIFS('[2]BESS 11'!AF:AF,'[2]BESS 11'!$B:$B,$J345)</f>
        <v>3549.12</v>
      </c>
      <c r="L345" s="36">
        <f>SUMIFS('[2]BESS 11'!AG:AG,'[2]BESS 11'!$B:$B,$J345)</f>
        <v>0</v>
      </c>
      <c r="M345" s="139">
        <f t="shared" si="53"/>
        <v>3549.12</v>
      </c>
      <c r="N345" s="68">
        <v>46246</v>
      </c>
      <c r="O345" s="68">
        <f t="shared" ca="1" si="54"/>
        <v>46246</v>
      </c>
      <c r="P345" s="140" t="s">
        <v>25</v>
      </c>
      <c r="Q345" s="96">
        <v>1500</v>
      </c>
      <c r="R345" s="93">
        <v>48</v>
      </c>
      <c r="S345" s="94">
        <f t="shared" si="55"/>
        <v>113.57184000000001</v>
      </c>
      <c r="T345" s="307"/>
    </row>
    <row r="346" spans="2:23">
      <c r="B346" s="638"/>
      <c r="C346" s="639"/>
      <c r="D346" s="639"/>
      <c r="E346" s="639"/>
      <c r="F346" s="639"/>
      <c r="G346" s="639"/>
      <c r="H346" s="639"/>
      <c r="I346" s="92">
        <v>8.2299999999999969</v>
      </c>
      <c r="J346" s="138" t="s">
        <v>48</v>
      </c>
      <c r="K346" s="35">
        <f>SUMIFS('[2]BESS 11'!AF:AF,'[2]BESS 11'!$B:$B,$J346)</f>
        <v>28</v>
      </c>
      <c r="L346" s="36">
        <f>SUMIFS('[2]BESS 11'!AG:AG,'[2]BESS 11'!$B:$B,$J346)</f>
        <v>0</v>
      </c>
      <c r="M346" s="139">
        <f t="shared" si="53"/>
        <v>28</v>
      </c>
      <c r="N346" s="68">
        <v>46262</v>
      </c>
      <c r="O346" s="68">
        <f t="shared" ca="1" si="54"/>
        <v>46262</v>
      </c>
      <c r="P346" s="140" t="s">
        <v>25</v>
      </c>
      <c r="Q346" s="96">
        <v>8</v>
      </c>
      <c r="R346" s="93">
        <v>6</v>
      </c>
      <c r="S346" s="94">
        <f t="shared" si="55"/>
        <v>21</v>
      </c>
      <c r="T346" s="307"/>
    </row>
    <row r="347" spans="2:23">
      <c r="B347" s="638"/>
      <c r="C347" s="639"/>
      <c r="D347" s="639"/>
      <c r="E347" s="639"/>
      <c r="F347" s="639"/>
      <c r="G347" s="639"/>
      <c r="H347" s="639"/>
      <c r="I347" s="92">
        <f t="shared" ref="I347:I366" si="56">I346+0.01</f>
        <v>8.2399999999999967</v>
      </c>
      <c r="J347" s="138" t="s">
        <v>126</v>
      </c>
      <c r="K347" s="35">
        <f>SUMIFS('[2]BESS 11'!AF:AF,'[2]BESS 11'!$B:$B,$J347)</f>
        <v>14288</v>
      </c>
      <c r="L347" s="36">
        <f>SUMIFS('[2]BESS 11'!AG:AG,'[2]BESS 11'!$B:$B,$J347)</f>
        <v>0</v>
      </c>
      <c r="M347" s="139">
        <f t="shared" si="53"/>
        <v>14288</v>
      </c>
      <c r="N347" s="68">
        <v>46252</v>
      </c>
      <c r="O347" s="68">
        <f t="shared" ca="1" si="54"/>
        <v>46252</v>
      </c>
      <c r="P347" s="140" t="s">
        <v>25</v>
      </c>
      <c r="Q347" s="96">
        <v>600</v>
      </c>
      <c r="R347" s="93">
        <v>10</v>
      </c>
      <c r="S347" s="94">
        <f t="shared" si="55"/>
        <v>238.13333333333333</v>
      </c>
      <c r="T347" s="307"/>
    </row>
    <row r="348" spans="2:23">
      <c r="B348" s="638"/>
      <c r="C348" s="639"/>
      <c r="D348" s="639"/>
      <c r="E348" s="639"/>
      <c r="F348" s="639"/>
      <c r="G348" s="639"/>
      <c r="H348" s="639"/>
      <c r="I348" s="92">
        <f t="shared" si="56"/>
        <v>8.2499999999999964</v>
      </c>
      <c r="J348" s="138" t="s">
        <v>127</v>
      </c>
      <c r="K348" s="35">
        <f>SUMIFS('[2]BESS 11'!AF:AF,'[2]BESS 11'!$B:$B,$J348)</f>
        <v>47399</v>
      </c>
      <c r="L348" s="36">
        <f>SUMIFS('[2]BESS 11'!AG:AG,'[2]BESS 11'!$B:$B,$J348)</f>
        <v>0</v>
      </c>
      <c r="M348" s="139">
        <f t="shared" si="53"/>
        <v>47399</v>
      </c>
      <c r="N348" s="68">
        <v>46246</v>
      </c>
      <c r="O348" s="68">
        <f t="shared" ca="1" si="54"/>
        <v>46246</v>
      </c>
      <c r="P348" s="140" t="s">
        <v>25</v>
      </c>
      <c r="Q348" s="96">
        <v>600</v>
      </c>
      <c r="R348" s="93">
        <v>10</v>
      </c>
      <c r="S348" s="94">
        <f t="shared" si="55"/>
        <v>789.98333333333335</v>
      </c>
      <c r="T348" s="307"/>
    </row>
    <row r="349" spans="2:23">
      <c r="B349" s="638"/>
      <c r="C349" s="639"/>
      <c r="D349" s="639"/>
      <c r="E349" s="639"/>
      <c r="F349" s="639"/>
      <c r="G349" s="639"/>
      <c r="H349" s="639"/>
      <c r="I349" s="92">
        <f t="shared" si="56"/>
        <v>8.2599999999999962</v>
      </c>
      <c r="J349" s="138" t="s">
        <v>128</v>
      </c>
      <c r="K349" s="35">
        <f>SUMIFS('[2]BESS 11'!AF:AF,'[2]BESS 11'!$B:$B,$J349)</f>
        <v>1536</v>
      </c>
      <c r="L349" s="36">
        <f>SUMIFS('[2]BESS 11'!AG:AG,'[2]BESS 11'!$B:$B,$J349)</f>
        <v>0</v>
      </c>
      <c r="M349" s="139">
        <f t="shared" si="53"/>
        <v>1536</v>
      </c>
      <c r="N349" s="68">
        <v>46266</v>
      </c>
      <c r="O349" s="68">
        <f t="shared" ca="1" si="54"/>
        <v>46266</v>
      </c>
      <c r="P349" s="140" t="s">
        <v>25</v>
      </c>
      <c r="Q349" s="96">
        <v>30</v>
      </c>
      <c r="R349" s="93">
        <v>18</v>
      </c>
      <c r="S349" s="94">
        <f t="shared" si="55"/>
        <v>921.6</v>
      </c>
      <c r="T349" s="307"/>
    </row>
    <row r="350" spans="2:23">
      <c r="B350" s="638"/>
      <c r="C350" s="639"/>
      <c r="D350" s="639"/>
      <c r="E350" s="639"/>
      <c r="F350" s="639"/>
      <c r="G350" s="639"/>
      <c r="H350" s="639"/>
      <c r="I350" s="92">
        <f t="shared" si="56"/>
        <v>8.269999999999996</v>
      </c>
      <c r="J350" s="138" t="s">
        <v>129</v>
      </c>
      <c r="K350" s="35">
        <f>SUMIFS('[2]BESS 11'!AF:AF,'[2]BESS 11'!$B:$B,$J350)</f>
        <v>2304</v>
      </c>
      <c r="L350" s="36">
        <f>SUMIFS('[2]BESS 11'!AG:AG,'[2]BESS 11'!$B:$B,$J350)</f>
        <v>0</v>
      </c>
      <c r="M350" s="139">
        <f t="shared" si="53"/>
        <v>2304</v>
      </c>
      <c r="N350" s="68">
        <v>46266</v>
      </c>
      <c r="O350" s="68">
        <f t="shared" ca="1" si="54"/>
        <v>46266</v>
      </c>
      <c r="P350" s="140" t="s">
        <v>25</v>
      </c>
      <c r="Q350" s="96">
        <v>30</v>
      </c>
      <c r="R350" s="93">
        <v>18</v>
      </c>
      <c r="S350" s="94">
        <f t="shared" si="55"/>
        <v>1382.4</v>
      </c>
      <c r="T350" s="307"/>
    </row>
    <row r="351" spans="2:23">
      <c r="B351" s="638"/>
      <c r="C351" s="639"/>
      <c r="D351" s="639"/>
      <c r="E351" s="639"/>
      <c r="F351" s="639"/>
      <c r="G351" s="639"/>
      <c r="H351" s="639"/>
      <c r="I351" s="92">
        <f t="shared" si="56"/>
        <v>8.2799999999999958</v>
      </c>
      <c r="J351" s="138" t="s">
        <v>130</v>
      </c>
      <c r="K351" s="35">
        <f>SUMIFS('[2]BESS 11'!AF:AF,'[2]BESS 11'!$B:$B,$J351)</f>
        <v>8232</v>
      </c>
      <c r="L351" s="36">
        <f>SUMIFS('[2]BESS 11'!AG:AG,'[2]BESS 11'!$B:$B,$J351)</f>
        <v>0</v>
      </c>
      <c r="M351" s="139">
        <f t="shared" si="53"/>
        <v>8232</v>
      </c>
      <c r="N351" s="68">
        <v>46256</v>
      </c>
      <c r="O351" s="68">
        <f t="shared" ca="1" si="54"/>
        <v>46256</v>
      </c>
      <c r="P351" s="140" t="s">
        <v>25</v>
      </c>
      <c r="Q351" s="96">
        <v>1000</v>
      </c>
      <c r="R351" s="93">
        <v>10</v>
      </c>
      <c r="S351" s="94">
        <f t="shared" si="55"/>
        <v>82.32</v>
      </c>
      <c r="T351" s="307"/>
    </row>
    <row r="352" spans="2:23">
      <c r="B352" s="638"/>
      <c r="C352" s="639"/>
      <c r="D352" s="639"/>
      <c r="E352" s="639"/>
      <c r="F352" s="639"/>
      <c r="G352" s="639"/>
      <c r="H352" s="639"/>
      <c r="I352" s="92">
        <f t="shared" si="56"/>
        <v>8.2899999999999956</v>
      </c>
      <c r="J352" s="138" t="s">
        <v>131</v>
      </c>
      <c r="K352" s="35">
        <f>SUMIFS('[2]BESS 11'!AF:AF,'[2]BESS 11'!$B:$B,$J352)</f>
        <v>14448</v>
      </c>
      <c r="L352" s="36">
        <f>SUMIFS('[2]BESS 11'!AG:AG,'[2]BESS 11'!$B:$B,$J352)</f>
        <v>0</v>
      </c>
      <c r="M352" s="139">
        <f t="shared" si="53"/>
        <v>14448</v>
      </c>
      <c r="N352" s="68">
        <v>46256</v>
      </c>
      <c r="O352" s="68">
        <f t="shared" ca="1" si="54"/>
        <v>46256</v>
      </c>
      <c r="P352" s="140" t="s">
        <v>25</v>
      </c>
      <c r="Q352" s="96">
        <v>1000</v>
      </c>
      <c r="R352" s="93">
        <v>10</v>
      </c>
      <c r="S352" s="94">
        <f t="shared" si="55"/>
        <v>144.47999999999999</v>
      </c>
      <c r="T352" s="307"/>
    </row>
    <row r="353" spans="2:23">
      <c r="B353" s="638"/>
      <c r="C353" s="639"/>
      <c r="D353" s="639"/>
      <c r="E353" s="639"/>
      <c r="F353" s="639"/>
      <c r="G353" s="639"/>
      <c r="H353" s="639"/>
      <c r="I353" s="92">
        <f t="shared" si="56"/>
        <v>8.2999999999999954</v>
      </c>
      <c r="J353" s="138" t="s">
        <v>132</v>
      </c>
      <c r="K353" s="35">
        <f>SUMIFS('[2]BESS 11'!AF:AF,'[2]BESS 11'!$B:$B,$J353)</f>
        <v>4792</v>
      </c>
      <c r="L353" s="36">
        <f>SUMIFS('[2]BESS 11'!AG:AG,'[2]BESS 11'!$B:$B,$J353)</f>
        <v>0</v>
      </c>
      <c r="M353" s="139">
        <f t="shared" si="53"/>
        <v>4792</v>
      </c>
      <c r="N353" s="68">
        <v>46256</v>
      </c>
      <c r="O353" s="68">
        <f t="shared" ca="1" si="54"/>
        <v>46256</v>
      </c>
      <c r="P353" s="140" t="s">
        <v>25</v>
      </c>
      <c r="Q353" s="96">
        <v>500</v>
      </c>
      <c r="R353" s="93">
        <v>10</v>
      </c>
      <c r="S353" s="94">
        <f t="shared" si="55"/>
        <v>95.84</v>
      </c>
      <c r="T353" s="307"/>
    </row>
    <row r="354" spans="2:23">
      <c r="B354" s="638"/>
      <c r="C354" s="639"/>
      <c r="D354" s="639"/>
      <c r="E354" s="639"/>
      <c r="F354" s="639"/>
      <c r="G354" s="639"/>
      <c r="H354" s="639"/>
      <c r="I354" s="92">
        <f t="shared" si="56"/>
        <v>8.3099999999999952</v>
      </c>
      <c r="J354" s="138" t="s">
        <v>133</v>
      </c>
      <c r="K354" s="35">
        <f>SUMIFS('[2]BESS 11'!AF:AF,'[2]BESS 11'!$B:$B,$J354)</f>
        <v>286</v>
      </c>
      <c r="L354" s="36">
        <f>SUMIFS('[2]BESS 11'!AG:AG,'[2]BESS 11'!$B:$B,$J354)</f>
        <v>0</v>
      </c>
      <c r="M354" s="139">
        <f t="shared" si="53"/>
        <v>286</v>
      </c>
      <c r="N354" s="68">
        <v>46266</v>
      </c>
      <c r="O354" s="68">
        <f t="shared" ca="1" si="54"/>
        <v>46266</v>
      </c>
      <c r="P354" s="140" t="s">
        <v>25</v>
      </c>
      <c r="Q354" s="96">
        <v>30</v>
      </c>
      <c r="R354" s="93">
        <v>6</v>
      </c>
      <c r="S354" s="94">
        <f t="shared" si="55"/>
        <v>57.2</v>
      </c>
      <c r="T354" s="307"/>
    </row>
    <row r="355" spans="2:23">
      <c r="B355" s="638"/>
      <c r="C355" s="639"/>
      <c r="D355" s="639"/>
      <c r="E355" s="639"/>
      <c r="F355" s="639"/>
      <c r="G355" s="639"/>
      <c r="H355" s="639"/>
      <c r="I355" s="92">
        <f t="shared" si="56"/>
        <v>8.319999999999995</v>
      </c>
      <c r="J355" s="138" t="s">
        <v>134</v>
      </c>
      <c r="K355" s="35">
        <f>SUMIFS('[2]BESS 11'!AF:AF,'[2]BESS 11'!$B:$B,$J355)</f>
        <v>536</v>
      </c>
      <c r="L355" s="36">
        <f>SUMIFS('[2]BESS 11'!AG:AG,'[2]BESS 11'!$B:$B,$J355)</f>
        <v>0</v>
      </c>
      <c r="M355" s="139">
        <f t="shared" si="53"/>
        <v>536</v>
      </c>
      <c r="N355" s="68">
        <v>46266</v>
      </c>
      <c r="O355" s="68">
        <f t="shared" ca="1" si="54"/>
        <v>46266</v>
      </c>
      <c r="P355" s="140" t="s">
        <v>135</v>
      </c>
      <c r="Q355" s="96">
        <v>30</v>
      </c>
      <c r="R355" s="93">
        <v>4</v>
      </c>
      <c r="S355" s="94">
        <f t="shared" si="55"/>
        <v>71.466666666666669</v>
      </c>
      <c r="T355" s="307"/>
    </row>
    <row r="356" spans="2:23" ht="25.5">
      <c r="B356" s="638"/>
      <c r="C356" s="639"/>
      <c r="D356" s="639"/>
      <c r="E356" s="639"/>
      <c r="F356" s="639"/>
      <c r="G356" s="639"/>
      <c r="H356" s="639"/>
      <c r="I356" s="92">
        <f t="shared" si="56"/>
        <v>8.3299999999999947</v>
      </c>
      <c r="J356" s="138" t="s">
        <v>136</v>
      </c>
      <c r="K356" s="35">
        <f>SUMIFS('[2]BESS 11'!AF:AF,'[2]BESS 11'!$B:$B,$J356)</f>
        <v>384</v>
      </c>
      <c r="L356" s="36">
        <f>SUMIFS('[2]BESS 11'!AG:AG,'[2]BESS 11'!$B:$B,$J356)</f>
        <v>0</v>
      </c>
      <c r="M356" s="139">
        <f t="shared" si="53"/>
        <v>384</v>
      </c>
      <c r="N356" s="68">
        <v>46266</v>
      </c>
      <c r="O356" s="68">
        <f t="shared" ca="1" si="54"/>
        <v>46266</v>
      </c>
      <c r="P356" s="140" t="s">
        <v>135</v>
      </c>
      <c r="Q356" s="96" t="s">
        <v>89</v>
      </c>
      <c r="R356" s="93" t="s">
        <v>89</v>
      </c>
      <c r="S356" s="94" t="s">
        <v>89</v>
      </c>
      <c r="T356" s="307"/>
      <c r="U356">
        <f ca="1">O356-$T$1</f>
        <v>33</v>
      </c>
      <c r="V356" s="97">
        <f>SUM(S335:S366)</f>
        <v>4317.8885066666671</v>
      </c>
    </row>
    <row r="357" spans="2:23">
      <c r="B357" s="638"/>
      <c r="C357" s="639"/>
      <c r="D357" s="639"/>
      <c r="E357" s="639"/>
      <c r="F357" s="639"/>
      <c r="G357" s="639"/>
      <c r="H357" s="639"/>
      <c r="I357" s="92">
        <f t="shared" si="56"/>
        <v>8.3399999999999945</v>
      </c>
      <c r="J357" s="138" t="s">
        <v>137</v>
      </c>
      <c r="K357" s="35">
        <f>SUMIFS('[2]BESS 11'!AF:AF,'[2]BESS 11'!$B:$B,$J357)</f>
        <v>6</v>
      </c>
      <c r="L357" s="36">
        <f>SUMIFS('[2]BESS 11'!AG:AG,'[2]BESS 11'!$B:$B,$J357)</f>
        <v>0</v>
      </c>
      <c r="M357" s="139">
        <f t="shared" si="53"/>
        <v>6</v>
      </c>
      <c r="N357" s="68">
        <v>46251</v>
      </c>
      <c r="O357" s="68">
        <f t="shared" ca="1" si="54"/>
        <v>46251</v>
      </c>
      <c r="P357" s="140" t="s">
        <v>138</v>
      </c>
      <c r="Q357" s="533">
        <v>2</v>
      </c>
      <c r="R357" s="527">
        <v>8</v>
      </c>
      <c r="S357" s="94" t="s">
        <v>89</v>
      </c>
      <c r="T357" s="307"/>
    </row>
    <row r="358" spans="2:23">
      <c r="B358" s="638"/>
      <c r="C358" s="639"/>
      <c r="D358" s="639"/>
      <c r="E358" s="639"/>
      <c r="F358" s="639"/>
      <c r="G358" s="639"/>
      <c r="H358" s="639"/>
      <c r="I358" s="92">
        <f t="shared" si="56"/>
        <v>8.3499999999999943</v>
      </c>
      <c r="J358" s="138" t="s">
        <v>139</v>
      </c>
      <c r="K358" s="35">
        <f>SUMIFS('[2]BESS 11'!AF:AF,'[2]BESS 11'!$B:$B,$J358)</f>
        <v>6</v>
      </c>
      <c r="L358" s="36">
        <f>SUMIFS('[2]BESS 11'!AG:AG,'[2]BESS 11'!$B:$B,$J358)</f>
        <v>0</v>
      </c>
      <c r="M358" s="139">
        <f t="shared" si="53"/>
        <v>6</v>
      </c>
      <c r="N358" s="68">
        <v>46255</v>
      </c>
      <c r="O358" s="68">
        <f t="shared" ca="1" si="54"/>
        <v>46255</v>
      </c>
      <c r="P358" s="140" t="s">
        <v>25</v>
      </c>
      <c r="Q358" s="534"/>
      <c r="R358" s="529"/>
      <c r="S358" s="94">
        <v>12</v>
      </c>
      <c r="T358" s="307"/>
    </row>
    <row r="359" spans="2:23" ht="25.5">
      <c r="B359" s="638"/>
      <c r="C359" s="639"/>
      <c r="D359" s="639"/>
      <c r="E359" s="639"/>
      <c r="F359" s="639"/>
      <c r="G359" s="639"/>
      <c r="H359" s="639"/>
      <c r="I359" s="92">
        <f t="shared" si="56"/>
        <v>8.3599999999999941</v>
      </c>
      <c r="J359" s="138" t="s">
        <v>140</v>
      </c>
      <c r="K359" s="35">
        <f>SUMIFS('[2]BESS 11'!AF:AF,'[2]BESS 11'!$B:$B,$J359)</f>
        <v>6</v>
      </c>
      <c r="L359" s="36">
        <f>SUMIFS('[2]BESS 11'!AG:AG,'[2]BESS 11'!$B:$B,$J359)</f>
        <v>0</v>
      </c>
      <c r="M359" s="139">
        <f t="shared" si="53"/>
        <v>6</v>
      </c>
      <c r="N359" s="68">
        <v>46276</v>
      </c>
      <c r="O359" s="68">
        <f t="shared" ca="1" si="54"/>
        <v>46276</v>
      </c>
      <c r="P359" s="140" t="s">
        <v>25</v>
      </c>
      <c r="Q359" s="96">
        <v>2</v>
      </c>
      <c r="R359" s="93">
        <v>4</v>
      </c>
      <c r="S359" s="94">
        <f t="shared" ref="S359:S366" si="57">(M359*R359)/Q359</f>
        <v>12</v>
      </c>
      <c r="T359" s="313"/>
      <c r="U359">
        <f ca="1">O359-$T$1</f>
        <v>43</v>
      </c>
      <c r="V359" s="97">
        <f>SUM(S335:S366)</f>
        <v>4317.8885066666671</v>
      </c>
    </row>
    <row r="360" spans="2:23" ht="25.5">
      <c r="B360" s="638"/>
      <c r="C360" s="639"/>
      <c r="D360" s="639"/>
      <c r="E360" s="639"/>
      <c r="F360" s="639"/>
      <c r="G360" s="639"/>
      <c r="H360" s="639"/>
      <c r="I360" s="92">
        <f t="shared" si="56"/>
        <v>8.3699999999999939</v>
      </c>
      <c r="J360" s="138" t="s">
        <v>141</v>
      </c>
      <c r="K360" s="35">
        <f>SUMIFS('[2]BESS 11'!AF:AF,'[2]BESS 11'!$B:$B,$J360)</f>
        <v>12</v>
      </c>
      <c r="L360" s="36">
        <f>SUMIFS('[2]BESS 11'!AG:AG,'[2]BESS 11'!$B:$B,$J360)</f>
        <v>0</v>
      </c>
      <c r="M360" s="139">
        <f t="shared" si="53"/>
        <v>12</v>
      </c>
      <c r="N360" s="68">
        <v>46262</v>
      </c>
      <c r="O360" s="68">
        <f t="shared" ca="1" si="54"/>
        <v>46262</v>
      </c>
      <c r="P360" s="140" t="s">
        <v>25</v>
      </c>
      <c r="Q360" s="96">
        <v>0.5</v>
      </c>
      <c r="R360" s="93">
        <v>4</v>
      </c>
      <c r="S360" s="94">
        <f t="shared" si="57"/>
        <v>96</v>
      </c>
      <c r="T360" s="567"/>
    </row>
    <row r="361" spans="2:23">
      <c r="B361" s="638"/>
      <c r="C361" s="639"/>
      <c r="D361" s="639"/>
      <c r="E361" s="639"/>
      <c r="F361" s="639"/>
      <c r="G361" s="639"/>
      <c r="H361" s="639"/>
      <c r="I361" s="92">
        <f t="shared" si="56"/>
        <v>8.3799999999999937</v>
      </c>
      <c r="J361" s="138" t="s">
        <v>142</v>
      </c>
      <c r="K361" s="35">
        <f>SUMIFS('[2]BESS 11'!AF:AF,'[2]BESS 11'!$B:$B,$J361)</f>
        <v>16</v>
      </c>
      <c r="L361" s="36">
        <f>SUMIFS('[2]BESS 11'!AG:AG,'[2]BESS 11'!$B:$B,$J361)</f>
        <v>0</v>
      </c>
      <c r="M361" s="139">
        <f t="shared" si="53"/>
        <v>16</v>
      </c>
      <c r="N361" s="68">
        <v>46274</v>
      </c>
      <c r="O361" s="68">
        <f t="shared" ca="1" si="54"/>
        <v>46274</v>
      </c>
      <c r="P361" s="140" t="s">
        <v>25</v>
      </c>
      <c r="Q361" s="96">
        <v>6</v>
      </c>
      <c r="R361" s="93">
        <v>4</v>
      </c>
      <c r="S361" s="94">
        <f t="shared" si="57"/>
        <v>10.666666666666666</v>
      </c>
      <c r="T361" s="567"/>
    </row>
    <row r="362" spans="2:23">
      <c r="B362" s="638"/>
      <c r="C362" s="639"/>
      <c r="D362" s="639"/>
      <c r="E362" s="639"/>
      <c r="F362" s="639"/>
      <c r="G362" s="639"/>
      <c r="H362" s="639"/>
      <c r="I362" s="92">
        <f t="shared" si="56"/>
        <v>8.3899999999999935</v>
      </c>
      <c r="J362" s="138" t="s">
        <v>143</v>
      </c>
      <c r="K362" s="35">
        <f>SUMIFS('[2]BESS 11'!AF:AF,'[2]BESS 11'!$B:$B,$J362)</f>
        <v>14</v>
      </c>
      <c r="L362" s="36">
        <f>SUMIFS('[2]BESS 11'!AG:AG,'[2]BESS 11'!$B:$B,$J362)</f>
        <v>0</v>
      </c>
      <c r="M362" s="139">
        <f t="shared" si="53"/>
        <v>14</v>
      </c>
      <c r="N362" s="68">
        <v>46262</v>
      </c>
      <c r="O362" s="68">
        <f t="shared" ca="1" si="54"/>
        <v>46262</v>
      </c>
      <c r="P362" s="140" t="s">
        <v>25</v>
      </c>
      <c r="Q362" s="96">
        <v>6</v>
      </c>
      <c r="R362" s="93">
        <v>5</v>
      </c>
      <c r="S362" s="94">
        <f t="shared" si="57"/>
        <v>11.666666666666666</v>
      </c>
      <c r="T362" s="567"/>
    </row>
    <row r="363" spans="2:23">
      <c r="B363" s="638"/>
      <c r="C363" s="639"/>
      <c r="D363" s="639"/>
      <c r="E363" s="639"/>
      <c r="F363" s="639"/>
      <c r="G363" s="639"/>
      <c r="H363" s="639"/>
      <c r="I363" s="92">
        <f t="shared" si="56"/>
        <v>8.3999999999999932</v>
      </c>
      <c r="J363" s="138" t="s">
        <v>144</v>
      </c>
      <c r="K363" s="35">
        <f>SUMIFS('[2]BESS 11'!AF:AF,'[2]BESS 11'!$B:$B,$J363)</f>
        <v>1</v>
      </c>
      <c r="L363" s="36">
        <f>SUMIFS('[2]BESS 11'!AG:AG,'[2]BESS 11'!$B:$B,$J363)</f>
        <v>0</v>
      </c>
      <c r="M363" s="139">
        <f t="shared" si="53"/>
        <v>1</v>
      </c>
      <c r="N363" s="68">
        <v>46262</v>
      </c>
      <c r="O363" s="68">
        <f t="shared" ca="1" si="54"/>
        <v>46262</v>
      </c>
      <c r="P363" s="140" t="s">
        <v>25</v>
      </c>
      <c r="Q363" s="96">
        <v>1</v>
      </c>
      <c r="R363" s="93">
        <v>5</v>
      </c>
      <c r="S363" s="94">
        <f t="shared" si="57"/>
        <v>5</v>
      </c>
      <c r="T363" s="307"/>
    </row>
    <row r="364" spans="2:23">
      <c r="B364" s="649" t="s">
        <v>149</v>
      </c>
      <c r="C364" s="650"/>
      <c r="D364" s="650"/>
      <c r="E364" s="650"/>
      <c r="F364" s="650"/>
      <c r="G364" s="650"/>
      <c r="H364" s="650"/>
      <c r="I364" s="92">
        <f t="shared" si="56"/>
        <v>8.409999999999993</v>
      </c>
      <c r="J364" s="138" t="s">
        <v>145</v>
      </c>
      <c r="K364" s="35">
        <f>SUMIFS('[2]BESS 11'!AF:AF,'[2]BESS 11'!$B:$B,$J364)</f>
        <v>6</v>
      </c>
      <c r="L364" s="36">
        <f>SUMIFS('[2]BESS 11'!AG:AG,'[2]BESS 11'!$B:$B,$J364)</f>
        <v>0</v>
      </c>
      <c r="M364" s="139">
        <f t="shared" si="53"/>
        <v>6</v>
      </c>
      <c r="N364" s="68">
        <v>46262</v>
      </c>
      <c r="O364" s="68">
        <f t="shared" ca="1" si="54"/>
        <v>46262</v>
      </c>
      <c r="P364" s="140" t="s">
        <v>25</v>
      </c>
      <c r="Q364" s="96">
        <v>3</v>
      </c>
      <c r="R364" s="93">
        <v>5</v>
      </c>
      <c r="S364" s="94">
        <f t="shared" si="57"/>
        <v>10</v>
      </c>
      <c r="T364" s="307"/>
    </row>
    <row r="365" spans="2:23">
      <c r="B365" s="649"/>
      <c r="C365" s="650"/>
      <c r="D365" s="650"/>
      <c r="E365" s="650"/>
      <c r="F365" s="650"/>
      <c r="G365" s="650"/>
      <c r="H365" s="650"/>
      <c r="I365" s="92">
        <f t="shared" si="56"/>
        <v>8.4199999999999928</v>
      </c>
      <c r="J365" s="138" t="s">
        <v>54</v>
      </c>
      <c r="K365" s="35">
        <f>SUMIFS('[2]BESS 11'!AF:AF,'[2]BESS 11'!$B:$B,$J365)</f>
        <v>4284</v>
      </c>
      <c r="L365" s="36">
        <f>SUMIFS('[2]BESS 11'!AG:AG,'[2]BESS 11'!$B:$B,$J365)</f>
        <v>0</v>
      </c>
      <c r="M365" s="139">
        <f t="shared" si="53"/>
        <v>4284</v>
      </c>
      <c r="N365" s="68">
        <v>46264</v>
      </c>
      <c r="O365" s="68">
        <f t="shared" ca="1" si="54"/>
        <v>46264</v>
      </c>
      <c r="P365" s="140" t="s">
        <v>25</v>
      </c>
      <c r="Q365" s="96">
        <v>150</v>
      </c>
      <c r="R365" s="93">
        <v>6</v>
      </c>
      <c r="S365" s="94">
        <f t="shared" si="57"/>
        <v>171.36</v>
      </c>
      <c r="T365" s="307"/>
    </row>
    <row r="366" spans="2:23" ht="14.25" thickBot="1">
      <c r="B366" s="651"/>
      <c r="C366" s="652"/>
      <c r="D366" s="652"/>
      <c r="E366" s="652"/>
      <c r="F366" s="652"/>
      <c r="G366" s="652"/>
      <c r="H366" s="652"/>
      <c r="I366" s="396">
        <f t="shared" si="56"/>
        <v>8.4299999999999926</v>
      </c>
      <c r="J366" s="296" t="s">
        <v>55</v>
      </c>
      <c r="K366" s="37">
        <f>SUMIFS('[2]BESS 11'!AF:AF,'[2]BESS 11'!$B:$B,$J366)</f>
        <v>10</v>
      </c>
      <c r="L366" s="38">
        <f>SUMIFS('[2]BESS 11'!AG:AG,'[2]BESS 11'!$B:$B,$J366)</f>
        <v>0</v>
      </c>
      <c r="M366" s="294">
        <f t="shared" si="53"/>
        <v>10</v>
      </c>
      <c r="N366" s="295">
        <v>46266</v>
      </c>
      <c r="O366" s="295">
        <f t="shared" ca="1" si="54"/>
        <v>46266</v>
      </c>
      <c r="P366" s="378" t="s">
        <v>25</v>
      </c>
      <c r="Q366" s="265">
        <v>5</v>
      </c>
      <c r="R366" s="266">
        <v>6</v>
      </c>
      <c r="S366" s="267">
        <f t="shared" si="57"/>
        <v>12</v>
      </c>
      <c r="T366" s="326"/>
    </row>
    <row r="367" spans="2:23">
      <c r="B367" s="472" t="s">
        <v>17</v>
      </c>
      <c r="C367" s="475">
        <v>9</v>
      </c>
      <c r="D367" s="586" t="s">
        <v>415</v>
      </c>
      <c r="E367" s="524" t="s">
        <v>120</v>
      </c>
      <c r="F367" s="478">
        <v>46280</v>
      </c>
      <c r="G367" s="478">
        <v>46285</v>
      </c>
      <c r="H367" s="478">
        <v>46288</v>
      </c>
      <c r="I367" s="363"/>
      <c r="J367" s="364"/>
      <c r="K367" s="365"/>
      <c r="L367" s="366" t="s">
        <v>121</v>
      </c>
      <c r="M367" s="364"/>
      <c r="N367" s="365"/>
      <c r="O367" s="367"/>
      <c r="P367" s="320"/>
      <c r="Q367" s="268"/>
      <c r="R367" s="269"/>
      <c r="S367" s="270"/>
      <c r="T367" s="368"/>
      <c r="W367" s="97"/>
    </row>
    <row r="368" spans="2:23" ht="25.5">
      <c r="B368" s="473"/>
      <c r="C368" s="476"/>
      <c r="D368" s="587"/>
      <c r="E368" s="445"/>
      <c r="F368" s="456"/>
      <c r="G368" s="456"/>
      <c r="H368" s="456"/>
      <c r="I368" s="336">
        <v>9.1</v>
      </c>
      <c r="J368" s="358" t="s">
        <v>19</v>
      </c>
      <c r="K368" s="36">
        <f>SUMIFS('[2]BESS 11'!AJ:AJ,'[2]BESS 11'!$B:$B,$J368)</f>
        <v>48</v>
      </c>
      <c r="L368" s="36">
        <f>SUMIFS('[2]BESS 11'!AK:AK,'[2]BESS 11'!$B:$B,$J368)</f>
        <v>48</v>
      </c>
      <c r="M368" s="36">
        <f t="shared" ref="M368:M378" si="58">K368-L368</f>
        <v>0</v>
      </c>
      <c r="N368" s="297" t="s">
        <v>122</v>
      </c>
      <c r="O368" s="68" t="s">
        <v>89</v>
      </c>
      <c r="P368" s="357" t="s">
        <v>20</v>
      </c>
      <c r="Q368" s="96">
        <v>1</v>
      </c>
      <c r="R368" s="93">
        <v>2</v>
      </c>
      <c r="S368" s="94">
        <f t="shared" ref="S368:S377" si="59">(M368*R368)/Q368</f>
        <v>0</v>
      </c>
      <c r="T368" s="307"/>
    </row>
    <row r="369" spans="2:23" ht="25.5">
      <c r="B369" s="473"/>
      <c r="C369" s="476"/>
      <c r="D369" s="587"/>
      <c r="E369" s="445"/>
      <c r="F369" s="456"/>
      <c r="G369" s="456"/>
      <c r="H369" s="456"/>
      <c r="I369" s="390">
        <v>9.1999999999999993</v>
      </c>
      <c r="J369" s="138" t="s">
        <v>23</v>
      </c>
      <c r="K369" s="35">
        <f>SUMIFS('[2]BESS 11'!AJ:AJ,'[2]BESS 11'!$B:$B,$J369)</f>
        <v>6</v>
      </c>
      <c r="L369" s="36">
        <f>SUMIFS('[2]BESS 11'!AK:AK,'[2]BESS 11'!$B:$B,$J369)</f>
        <v>0</v>
      </c>
      <c r="M369" s="139">
        <f t="shared" si="58"/>
        <v>6</v>
      </c>
      <c r="N369" s="385" t="s">
        <v>246</v>
      </c>
      <c r="O369" s="68">
        <v>46218</v>
      </c>
      <c r="P369" s="140" t="s">
        <v>20</v>
      </c>
      <c r="Q369" s="96">
        <v>1</v>
      </c>
      <c r="R369" s="93">
        <v>16</v>
      </c>
      <c r="S369" s="94">
        <f t="shared" si="59"/>
        <v>96</v>
      </c>
      <c r="T369" s="307"/>
      <c r="W369" s="60"/>
    </row>
    <row r="370" spans="2:23" ht="25.5">
      <c r="B370" s="473"/>
      <c r="C370" s="476"/>
      <c r="D370" s="587"/>
      <c r="E370" s="445"/>
      <c r="F370" s="456"/>
      <c r="G370" s="456"/>
      <c r="H370" s="456"/>
      <c r="I370" s="390">
        <v>9.2999999999999989</v>
      </c>
      <c r="J370" s="138" t="s">
        <v>26</v>
      </c>
      <c r="K370" s="35">
        <f>SUMIFS('[2]BESS 11'!AJ:AJ,'[2]BESS 11'!$B:$B,$J370)</f>
        <v>6</v>
      </c>
      <c r="L370" s="36">
        <f>SUMIFS('[2]BESS 11'!AK:AK,'[2]BESS 11'!$B:$B,$J370)</f>
        <v>3</v>
      </c>
      <c r="M370" s="139">
        <f t="shared" si="58"/>
        <v>3</v>
      </c>
      <c r="N370" s="91" t="s">
        <v>244</v>
      </c>
      <c r="O370" s="68">
        <v>46223</v>
      </c>
      <c r="P370" s="140" t="s">
        <v>20</v>
      </c>
      <c r="Q370" s="96">
        <v>1</v>
      </c>
      <c r="R370" s="93">
        <v>39</v>
      </c>
      <c r="S370" s="94">
        <f t="shared" si="59"/>
        <v>117</v>
      </c>
      <c r="T370" s="307"/>
      <c r="W370" s="60"/>
    </row>
    <row r="371" spans="2:23" ht="25.5">
      <c r="B371" s="473"/>
      <c r="C371" s="476"/>
      <c r="D371" s="587"/>
      <c r="E371" s="445"/>
      <c r="F371" s="456"/>
      <c r="G371" s="456"/>
      <c r="H371" s="456"/>
      <c r="I371" s="390">
        <v>9.3999999999999986</v>
      </c>
      <c r="J371" s="138" t="s">
        <v>32</v>
      </c>
      <c r="K371" s="35">
        <f>SUMIFS('[2]BESS 11'!AJ:AJ,'[2]BESS 11'!$B:$B,$J371)</f>
        <v>1</v>
      </c>
      <c r="L371" s="36">
        <f>SUMIFS('[2]BESS 11'!AK:AK,'[2]BESS 11'!$B:$B,$J371)</f>
        <v>0</v>
      </c>
      <c r="M371" s="139">
        <f t="shared" si="58"/>
        <v>1</v>
      </c>
      <c r="N371" s="91" t="s">
        <v>239</v>
      </c>
      <c r="O371" s="68">
        <v>46221</v>
      </c>
      <c r="P371" s="140" t="s">
        <v>20</v>
      </c>
      <c r="Q371" s="96">
        <v>1</v>
      </c>
      <c r="R371" s="93">
        <v>37</v>
      </c>
      <c r="S371" s="94">
        <f t="shared" si="59"/>
        <v>37</v>
      </c>
      <c r="T371" s="307"/>
      <c r="W371" s="60"/>
    </row>
    <row r="372" spans="2:23" ht="25.5">
      <c r="B372" s="473"/>
      <c r="C372" s="476"/>
      <c r="D372" s="587"/>
      <c r="E372" s="445"/>
      <c r="F372" s="456"/>
      <c r="G372" s="456"/>
      <c r="H372" s="456"/>
      <c r="I372" s="390">
        <v>9.4999999999999982</v>
      </c>
      <c r="J372" s="138" t="s">
        <v>35</v>
      </c>
      <c r="K372" s="35">
        <f>SUMIFS('[2]BESS 11'!AJ:AJ,'[2]BESS 11'!$B:$B,$J372)</f>
        <v>1</v>
      </c>
      <c r="L372" s="36">
        <f>SUMIFS('[2]BESS 11'!AK:AK,'[2]BESS 11'!$B:$B,$J372)</f>
        <v>0</v>
      </c>
      <c r="M372" s="139">
        <f t="shared" si="58"/>
        <v>1</v>
      </c>
      <c r="N372" s="91" t="s">
        <v>245</v>
      </c>
      <c r="O372" s="68" t="str">
        <f ca="1">IFERROR(DATEVALUE(TRIM(_xlfn.TEXTAFTER(N372,",",-1))&amp;"-"&amp;YEAR(TODAY())),N372)</f>
        <v>07 Jul, 18 Jul,
28 Jul</v>
      </c>
      <c r="P372" s="140" t="s">
        <v>20</v>
      </c>
      <c r="Q372" s="96">
        <v>1</v>
      </c>
      <c r="R372" s="93">
        <v>34</v>
      </c>
      <c r="S372" s="94">
        <f t="shared" si="59"/>
        <v>34</v>
      </c>
      <c r="T372" s="307"/>
      <c r="W372" s="60"/>
    </row>
    <row r="373" spans="2:23" ht="25.5">
      <c r="B373" s="473"/>
      <c r="C373" s="476"/>
      <c r="D373" s="587"/>
      <c r="E373" s="445"/>
      <c r="F373" s="456"/>
      <c r="G373" s="456"/>
      <c r="H373" s="456"/>
      <c r="I373" s="390">
        <v>9.5999999999999979</v>
      </c>
      <c r="J373" s="138" t="s">
        <v>38</v>
      </c>
      <c r="K373" s="35">
        <f>SUMIFS('[2]BESS 11'!AJ:AJ,'[2]BESS 11'!$B:$B,$J373)</f>
        <v>1</v>
      </c>
      <c r="L373" s="36">
        <f>SUMIFS('[2]BESS 11'!AK:AK,'[2]BESS 11'!$B:$B,$J373)</f>
        <v>0</v>
      </c>
      <c r="M373" s="139">
        <f t="shared" si="58"/>
        <v>1</v>
      </c>
      <c r="N373" s="91" t="s">
        <v>243</v>
      </c>
      <c r="O373" s="68" t="str">
        <f ca="1">IFERROR(DATEVALUE(TRIM(_xlfn.TEXTAFTER(N373,",",-1))&amp;"-"&amp;YEAR(TODAY())),N373)</f>
        <v>10 Jul, 20 Jul,
28 Jul</v>
      </c>
      <c r="P373" s="140" t="s">
        <v>20</v>
      </c>
      <c r="Q373" s="96">
        <v>1</v>
      </c>
      <c r="R373" s="93">
        <v>54</v>
      </c>
      <c r="S373" s="94">
        <f t="shared" si="59"/>
        <v>54</v>
      </c>
      <c r="T373" s="307"/>
      <c r="W373" s="60"/>
    </row>
    <row r="374" spans="2:23">
      <c r="B374" s="473"/>
      <c r="C374" s="476"/>
      <c r="D374" s="587"/>
      <c r="E374" s="445"/>
      <c r="F374" s="456"/>
      <c r="G374" s="456"/>
      <c r="H374" s="456"/>
      <c r="I374" s="336">
        <v>9.6999999999999975</v>
      </c>
      <c r="J374" s="358" t="s">
        <v>44</v>
      </c>
      <c r="K374" s="36">
        <f>SUMIFS('[2]BESS 11'!AJ:AJ,'[2]BESS 11'!$B:$B,$J374)</f>
        <v>3</v>
      </c>
      <c r="L374" s="36">
        <f>SUMIFS('[2]BESS 11'!AK:AK,'[2]BESS 11'!$B:$B,$J374)</f>
        <v>3</v>
      </c>
      <c r="M374" s="36">
        <f t="shared" si="58"/>
        <v>0</v>
      </c>
      <c r="N374" s="297" t="s">
        <v>122</v>
      </c>
      <c r="O374" s="68" t="s">
        <v>89</v>
      </c>
      <c r="P374" s="357" t="s">
        <v>45</v>
      </c>
      <c r="Q374" s="96">
        <v>3</v>
      </c>
      <c r="R374" s="93">
        <v>5</v>
      </c>
      <c r="S374" s="94">
        <f t="shared" si="59"/>
        <v>0</v>
      </c>
      <c r="T374" s="307"/>
    </row>
    <row r="375" spans="2:23" ht="25.5">
      <c r="B375" s="473"/>
      <c r="C375" s="476"/>
      <c r="D375" s="587"/>
      <c r="E375" s="445"/>
      <c r="F375" s="456"/>
      <c r="G375" s="456"/>
      <c r="H375" s="456"/>
      <c r="I375" s="390">
        <v>9.7999999999999972</v>
      </c>
      <c r="J375" s="138" t="s">
        <v>40</v>
      </c>
      <c r="K375" s="35">
        <f>SUMIFS('[2]BESS 11'!AJ:AJ,'[2]BESS 11'!$B:$B,$J375)</f>
        <v>6</v>
      </c>
      <c r="L375" s="36">
        <f>SUMIFS('[2]BESS 11'!AK:AK,'[2]BESS 11'!$B:$B,$J375)</f>
        <v>0</v>
      </c>
      <c r="M375" s="139">
        <f t="shared" si="58"/>
        <v>6</v>
      </c>
      <c r="N375" s="91" t="s">
        <v>247</v>
      </c>
      <c r="O375" s="68">
        <v>46218</v>
      </c>
      <c r="P375" s="140" t="s">
        <v>20</v>
      </c>
      <c r="Q375" s="96">
        <v>1</v>
      </c>
      <c r="R375" s="93">
        <v>5</v>
      </c>
      <c r="S375" s="94">
        <f t="shared" si="59"/>
        <v>30</v>
      </c>
      <c r="T375" s="307"/>
      <c r="W375" s="60"/>
    </row>
    <row r="376" spans="2:23">
      <c r="B376" s="473"/>
      <c r="C376" s="476"/>
      <c r="D376" s="587"/>
      <c r="E376" s="445"/>
      <c r="F376" s="456"/>
      <c r="G376" s="456"/>
      <c r="H376" s="456"/>
      <c r="I376" s="390">
        <v>9.8999999999999968</v>
      </c>
      <c r="J376" s="138" t="s">
        <v>30</v>
      </c>
      <c r="K376" s="35">
        <f>SUMIFS('[2]BESS 11'!AJ:AJ,'[2]BESS 11'!$B:$B,$J376)</f>
        <v>6</v>
      </c>
      <c r="L376" s="36">
        <f>SUMIFS('[2]BESS 11'!AK:AK,'[2]BESS 11'!$B:$B,$J376)</f>
        <v>0</v>
      </c>
      <c r="M376" s="139">
        <f t="shared" si="58"/>
        <v>6</v>
      </c>
      <c r="N376" s="68" t="s">
        <v>290</v>
      </c>
      <c r="O376" s="68">
        <f ca="1">IFERROR(DATEVALUE(TRIM(_xlfn.TEXTAFTER(N376,",",-1))&amp;"-"&amp;YEAR(TODAY())),N376)</f>
        <v>46242</v>
      </c>
      <c r="P376" s="140" t="s">
        <v>31</v>
      </c>
      <c r="Q376" s="96">
        <v>1</v>
      </c>
      <c r="R376" s="93">
        <v>27</v>
      </c>
      <c r="S376" s="94">
        <f t="shared" si="59"/>
        <v>162</v>
      </c>
      <c r="T376" s="307"/>
    </row>
    <row r="377" spans="2:23">
      <c r="B377" s="473"/>
      <c r="C377" s="476"/>
      <c r="D377" s="587"/>
      <c r="E377" s="445"/>
      <c r="F377" s="456"/>
      <c r="G377" s="456"/>
      <c r="H377" s="456"/>
      <c r="I377" s="92">
        <v>9.1</v>
      </c>
      <c r="J377" s="138" t="s">
        <v>34</v>
      </c>
      <c r="K377" s="35">
        <f>SUMIFS('[2]BESS 11'!AJ:AJ,'[2]BESS 11'!$B:$B,$J377)</f>
        <v>1</v>
      </c>
      <c r="L377" s="36">
        <f>SUMIFS('[2]BESS 11'!AK:AK,'[2]BESS 11'!$B:$B,$J377)</f>
        <v>0</v>
      </c>
      <c r="M377" s="139">
        <f t="shared" si="58"/>
        <v>1</v>
      </c>
      <c r="N377" s="68" t="s">
        <v>291</v>
      </c>
      <c r="O377" s="68">
        <f ca="1">IFERROR(DATEVALUE(TRIM(_xlfn.TEXTAFTER(N377,",",-1))&amp;"-"&amp;YEAR(TODAY())),N377)</f>
        <v>46251</v>
      </c>
      <c r="P377" s="140" t="s">
        <v>31</v>
      </c>
      <c r="Q377" s="96">
        <v>1</v>
      </c>
      <c r="R377" s="93">
        <v>25</v>
      </c>
      <c r="S377" s="94">
        <f t="shared" si="59"/>
        <v>25</v>
      </c>
      <c r="T377" s="261"/>
    </row>
    <row r="378" spans="2:23">
      <c r="B378" s="473"/>
      <c r="C378" s="476"/>
      <c r="D378" s="587"/>
      <c r="E378" s="445"/>
      <c r="F378" s="456"/>
      <c r="G378" s="456"/>
      <c r="H378" s="456"/>
      <c r="I378" s="92">
        <v>9.11</v>
      </c>
      <c r="J378" s="138" t="s">
        <v>37</v>
      </c>
      <c r="K378" s="35">
        <f>SUMIFS('[2]BESS 11'!AJ:AJ,'[2]BESS 11'!$B:$B,$J378)</f>
        <v>1</v>
      </c>
      <c r="L378" s="36">
        <f>SUMIFS('[2]BESS 11'!AK:AK,'[2]BESS 11'!$B:$B,$J378)</f>
        <v>0</v>
      </c>
      <c r="M378" s="139">
        <f t="shared" si="58"/>
        <v>1</v>
      </c>
      <c r="N378" s="68" t="s">
        <v>300</v>
      </c>
      <c r="O378" s="68">
        <f ca="1">IFERROR(DATEVALUE(TRIM(_xlfn.TEXTAFTER(N378,",",-1))&amp;"-"&amp;YEAR(TODAY())),N378)</f>
        <v>46241</v>
      </c>
      <c r="P378" s="140" t="s">
        <v>123</v>
      </c>
      <c r="Q378" s="96" t="s">
        <v>89</v>
      </c>
      <c r="R378" s="93" t="s">
        <v>89</v>
      </c>
      <c r="S378" s="94" t="s">
        <v>89</v>
      </c>
      <c r="T378" s="261"/>
    </row>
    <row r="379" spans="2:23">
      <c r="B379" s="473"/>
      <c r="C379" s="476"/>
      <c r="D379" s="587"/>
      <c r="E379" s="445"/>
      <c r="F379" s="456"/>
      <c r="G379" s="456"/>
      <c r="H379" s="456"/>
      <c r="I379" s="254"/>
      <c r="J379" s="50"/>
      <c r="K379" s="51"/>
      <c r="L379" s="52" t="s">
        <v>124</v>
      </c>
      <c r="M379" s="51"/>
      <c r="N379" s="51"/>
      <c r="O379" s="68"/>
      <c r="P379" s="351"/>
      <c r="Q379" s="96"/>
      <c r="R379" s="93"/>
      <c r="S379" s="94"/>
      <c r="T379" s="261"/>
    </row>
    <row r="380" spans="2:23">
      <c r="B380" s="473"/>
      <c r="C380" s="476"/>
      <c r="D380" s="587"/>
      <c r="E380" s="445"/>
      <c r="F380" s="456"/>
      <c r="G380" s="456"/>
      <c r="H380" s="456"/>
      <c r="I380" s="92">
        <v>9.1199999999999992</v>
      </c>
      <c r="J380" s="138" t="s">
        <v>24</v>
      </c>
      <c r="K380" s="35">
        <f>SUMIFS('[2]BESS 11'!AJ:AJ,'[2]BESS 11'!$B:$B,$J380)</f>
        <v>6</v>
      </c>
      <c r="L380" s="36">
        <f>SUMIFS('[2]BESS 11'!AK:AK,'[2]BESS 11'!$B:$B,$J380)</f>
        <v>0</v>
      </c>
      <c r="M380" s="139">
        <f t="shared" ref="M380:M411" si="60">K380-L380</f>
        <v>6</v>
      </c>
      <c r="N380" s="91">
        <v>46249</v>
      </c>
      <c r="O380" s="68">
        <f t="shared" ref="O380:O411" ca="1" si="61">IFERROR(DATEVALUE(TRIM(_xlfn.TEXTAFTER(N380,",",-1))&amp;"-"&amp;YEAR(TODAY())),N380)</f>
        <v>46249</v>
      </c>
      <c r="P380" s="140" t="s">
        <v>25</v>
      </c>
      <c r="Q380" s="96">
        <v>2</v>
      </c>
      <c r="R380" s="93">
        <v>8</v>
      </c>
      <c r="S380" s="94">
        <f>(M380*R380)/Q380</f>
        <v>24</v>
      </c>
      <c r="T380" s="261"/>
    </row>
    <row r="381" spans="2:23">
      <c r="B381" s="473"/>
      <c r="C381" s="476"/>
      <c r="D381" s="587"/>
      <c r="E381" s="445"/>
      <c r="F381" s="456"/>
      <c r="G381" s="456"/>
      <c r="H381" s="456"/>
      <c r="I381" s="92">
        <v>9.129999999999999</v>
      </c>
      <c r="J381" s="138" t="s">
        <v>27</v>
      </c>
      <c r="K381" s="35">
        <f>SUMIFS('[2]BESS 11'!AJ:AJ,'[2]BESS 11'!$B:$B,$J381)</f>
        <v>48</v>
      </c>
      <c r="L381" s="36">
        <f>SUMIFS('[2]BESS 11'!AK:AK,'[2]BESS 11'!$B:$B,$J381)</f>
        <v>0</v>
      </c>
      <c r="M381" s="139">
        <f t="shared" si="60"/>
        <v>48</v>
      </c>
      <c r="N381" s="68">
        <v>46249</v>
      </c>
      <c r="O381" s="68">
        <f t="shared" ca="1" si="61"/>
        <v>46249</v>
      </c>
      <c r="P381" s="140" t="s">
        <v>25</v>
      </c>
      <c r="Q381" s="96">
        <v>10</v>
      </c>
      <c r="R381" s="93">
        <v>8</v>
      </c>
      <c r="S381" s="94">
        <f>(M381*R381)/Q381</f>
        <v>38.4</v>
      </c>
      <c r="T381" s="261"/>
    </row>
    <row r="382" spans="2:23">
      <c r="B382" s="473"/>
      <c r="C382" s="476"/>
      <c r="D382" s="587"/>
      <c r="E382" s="445"/>
      <c r="F382" s="456"/>
      <c r="G382" s="456"/>
      <c r="H382" s="456"/>
      <c r="I382" s="92">
        <v>9.1399999999999988</v>
      </c>
      <c r="J382" s="138" t="s">
        <v>28</v>
      </c>
      <c r="K382" s="35">
        <f>SUMIFS('[2]BESS 11'!AJ:AJ,'[2]BESS 11'!$B:$B,$J382)</f>
        <v>6</v>
      </c>
      <c r="L382" s="36">
        <f>SUMIFS('[2]BESS 11'!AK:AK,'[2]BESS 11'!$B:$B,$J382)</f>
        <v>0</v>
      </c>
      <c r="M382" s="139">
        <f t="shared" si="60"/>
        <v>6</v>
      </c>
      <c r="N382" s="68">
        <v>46252</v>
      </c>
      <c r="O382" s="68">
        <f t="shared" ca="1" si="61"/>
        <v>46252</v>
      </c>
      <c r="P382" s="140" t="s">
        <v>25</v>
      </c>
      <c r="Q382" s="96">
        <v>5</v>
      </c>
      <c r="R382" s="93">
        <v>4</v>
      </c>
      <c r="S382" s="94">
        <f>(M382*R382)/Q382</f>
        <v>4.8</v>
      </c>
      <c r="T382" s="261"/>
    </row>
    <row r="383" spans="2:23" ht="25.5">
      <c r="B383" s="473"/>
      <c r="C383" s="476"/>
      <c r="D383" s="587"/>
      <c r="E383" s="445"/>
      <c r="F383" s="456"/>
      <c r="G383" s="456"/>
      <c r="H383" s="456"/>
      <c r="I383" s="92">
        <v>9.1499999999999986</v>
      </c>
      <c r="J383" s="138" t="s">
        <v>29</v>
      </c>
      <c r="K383" s="35">
        <f>SUMIFS('[2]BESS 11'!AJ:AJ,'[2]BESS 11'!$B:$B,$J383)</f>
        <v>6</v>
      </c>
      <c r="L383" s="36">
        <f>SUMIFS('[2]BESS 11'!AK:AK,'[2]BESS 11'!$B:$B,$J383)</f>
        <v>0</v>
      </c>
      <c r="M383" s="139">
        <f t="shared" si="60"/>
        <v>6</v>
      </c>
      <c r="N383" s="68">
        <v>46249</v>
      </c>
      <c r="O383" s="68">
        <f t="shared" ca="1" si="61"/>
        <v>46249</v>
      </c>
      <c r="P383" s="140" t="s">
        <v>25</v>
      </c>
      <c r="Q383" s="96">
        <v>20</v>
      </c>
      <c r="R383" s="527">
        <v>8</v>
      </c>
      <c r="S383" s="527">
        <v>4</v>
      </c>
      <c r="T383" s="261"/>
    </row>
    <row r="384" spans="2:23">
      <c r="B384" s="473"/>
      <c r="C384" s="476"/>
      <c r="D384" s="587"/>
      <c r="E384" s="445"/>
      <c r="F384" s="456"/>
      <c r="G384" s="456"/>
      <c r="H384" s="456"/>
      <c r="I384" s="92">
        <v>9.1599999999999984</v>
      </c>
      <c r="J384" s="138" t="s">
        <v>33</v>
      </c>
      <c r="K384" s="35">
        <f>SUMIFS('[2]BESS 11'!AJ:AJ,'[2]BESS 11'!$B:$B,$J384)</f>
        <v>2</v>
      </c>
      <c r="L384" s="36">
        <f>SUMIFS('[2]BESS 11'!AK:AK,'[2]BESS 11'!$B:$B,$J384)</f>
        <v>0</v>
      </c>
      <c r="M384" s="139">
        <f t="shared" si="60"/>
        <v>2</v>
      </c>
      <c r="N384" s="68">
        <v>46249</v>
      </c>
      <c r="O384" s="68">
        <f t="shared" ca="1" si="61"/>
        <v>46249</v>
      </c>
      <c r="P384" s="140" t="s">
        <v>25</v>
      </c>
      <c r="Q384" s="96">
        <v>10</v>
      </c>
      <c r="R384" s="528"/>
      <c r="S384" s="528"/>
      <c r="T384" s="307"/>
    </row>
    <row r="385" spans="2:20">
      <c r="B385" s="473"/>
      <c r="C385" s="476"/>
      <c r="D385" s="587"/>
      <c r="E385" s="445"/>
      <c r="F385" s="456"/>
      <c r="G385" s="456"/>
      <c r="H385" s="456"/>
      <c r="I385" s="92">
        <v>9.1699999999999982</v>
      </c>
      <c r="J385" s="138" t="s">
        <v>36</v>
      </c>
      <c r="K385" s="35">
        <f>SUMIFS('[2]BESS 11'!AJ:AJ,'[2]BESS 11'!$B:$B,$J385)</f>
        <v>1</v>
      </c>
      <c r="L385" s="36">
        <f>SUMIFS('[2]BESS 11'!AK:AK,'[2]BESS 11'!$B:$B,$J385)</f>
        <v>0</v>
      </c>
      <c r="M385" s="139">
        <f t="shared" si="60"/>
        <v>1</v>
      </c>
      <c r="N385" s="68">
        <v>46256</v>
      </c>
      <c r="O385" s="68">
        <f t="shared" ca="1" si="61"/>
        <v>46256</v>
      </c>
      <c r="P385" s="140" t="s">
        <v>25</v>
      </c>
      <c r="Q385" s="96">
        <v>10</v>
      </c>
      <c r="R385" s="528"/>
      <c r="S385" s="528"/>
      <c r="T385" s="307"/>
    </row>
    <row r="386" spans="2:20">
      <c r="B386" s="473"/>
      <c r="C386" s="476"/>
      <c r="D386" s="587"/>
      <c r="E386" s="445"/>
      <c r="F386" s="456"/>
      <c r="G386" s="456"/>
      <c r="H386" s="456"/>
      <c r="I386" s="92">
        <v>9.1799999999999979</v>
      </c>
      <c r="J386" s="138" t="s">
        <v>39</v>
      </c>
      <c r="K386" s="35">
        <f>SUMIFS('[2]BESS 11'!AJ:AJ,'[2]BESS 11'!$B:$B,$J386)</f>
        <v>1</v>
      </c>
      <c r="L386" s="36">
        <f>SUMIFS('[2]BESS 11'!AK:AK,'[2]BESS 11'!$B:$B,$J386)</f>
        <v>0</v>
      </c>
      <c r="M386" s="139">
        <f t="shared" si="60"/>
        <v>1</v>
      </c>
      <c r="N386" s="68">
        <v>46256</v>
      </c>
      <c r="O386" s="68">
        <f t="shared" ca="1" si="61"/>
        <v>46256</v>
      </c>
      <c r="P386" s="140" t="s">
        <v>25</v>
      </c>
      <c r="Q386" s="96">
        <v>10</v>
      </c>
      <c r="R386" s="528"/>
      <c r="S386" s="528"/>
      <c r="T386" s="307"/>
    </row>
    <row r="387" spans="2:20">
      <c r="B387" s="638" t="s">
        <v>180</v>
      </c>
      <c r="C387" s="639"/>
      <c r="D387" s="639"/>
      <c r="E387" s="639"/>
      <c r="F387" s="639"/>
      <c r="G387" s="639"/>
      <c r="H387" s="639"/>
      <c r="I387" s="92">
        <v>9.1899999999999977</v>
      </c>
      <c r="J387" s="138" t="s">
        <v>41</v>
      </c>
      <c r="K387" s="35">
        <f>SUMIFS('[2]BESS 11'!AJ:AJ,'[2]BESS 11'!$B:$B,$J387)</f>
        <v>6</v>
      </c>
      <c r="L387" s="36">
        <f>SUMIFS('[2]BESS 11'!AK:AK,'[2]BESS 11'!$B:$B,$J387)</f>
        <v>0</v>
      </c>
      <c r="M387" s="139">
        <f t="shared" si="60"/>
        <v>6</v>
      </c>
      <c r="N387" s="68" t="s">
        <v>321</v>
      </c>
      <c r="O387" s="68">
        <f t="shared" ca="1" si="61"/>
        <v>46254</v>
      </c>
      <c r="P387" s="140" t="s">
        <v>125</v>
      </c>
      <c r="Q387" s="96">
        <v>20</v>
      </c>
      <c r="R387" s="529"/>
      <c r="S387" s="529"/>
      <c r="T387" s="307"/>
    </row>
    <row r="388" spans="2:20">
      <c r="B388" s="638"/>
      <c r="C388" s="639"/>
      <c r="D388" s="639"/>
      <c r="E388" s="639"/>
      <c r="F388" s="639"/>
      <c r="G388" s="639"/>
      <c r="H388" s="639"/>
      <c r="I388" s="92">
        <v>9.1999999999999975</v>
      </c>
      <c r="J388" s="138" t="s">
        <v>43</v>
      </c>
      <c r="K388" s="35">
        <f>SUMIFS('[2]BESS 11'!AJ:AJ,'[2]BESS 11'!$B:$B,$J388)</f>
        <v>6</v>
      </c>
      <c r="L388" s="36">
        <f>SUMIFS('[2]BESS 11'!AK:AK,'[2]BESS 11'!$B:$B,$J388)</f>
        <v>0</v>
      </c>
      <c r="M388" s="139">
        <f t="shared" si="60"/>
        <v>6</v>
      </c>
      <c r="N388" s="68" t="s">
        <v>322</v>
      </c>
      <c r="O388" s="68">
        <f t="shared" ca="1" si="61"/>
        <v>46259</v>
      </c>
      <c r="P388" s="140" t="s">
        <v>125</v>
      </c>
      <c r="Q388" s="96">
        <v>0.66666666666666663</v>
      </c>
      <c r="R388" s="93">
        <v>0</v>
      </c>
      <c r="S388" s="94">
        <f t="shared" ref="S388:S400" si="62">(M388*R388)/Q388</f>
        <v>0</v>
      </c>
      <c r="T388" s="307"/>
    </row>
    <row r="389" spans="2:20">
      <c r="B389" s="638"/>
      <c r="C389" s="639"/>
      <c r="D389" s="639"/>
      <c r="E389" s="639"/>
      <c r="F389" s="639"/>
      <c r="G389" s="639"/>
      <c r="H389" s="639"/>
      <c r="I389" s="92">
        <v>9.2099999999999973</v>
      </c>
      <c r="J389" s="138" t="s">
        <v>21</v>
      </c>
      <c r="K389" s="35">
        <f>SUMIFS('[2]BESS 11'!AJ:AJ,'[2]BESS 11'!$B:$B,$J389)</f>
        <v>48</v>
      </c>
      <c r="L389" s="36">
        <f>SUMIFS('[2]BESS 11'!AK:AK,'[2]BESS 11'!$B:$B,$J389)</f>
        <v>0</v>
      </c>
      <c r="M389" s="139">
        <f t="shared" si="60"/>
        <v>48</v>
      </c>
      <c r="N389" s="68" t="s">
        <v>370</v>
      </c>
      <c r="O389" s="68">
        <f t="shared" ca="1" si="61"/>
        <v>46265</v>
      </c>
      <c r="P389" s="140" t="s">
        <v>22</v>
      </c>
      <c r="Q389" s="96">
        <v>10</v>
      </c>
      <c r="R389" s="93">
        <v>4</v>
      </c>
      <c r="S389" s="94">
        <f t="shared" si="62"/>
        <v>19.2</v>
      </c>
      <c r="T389" s="307"/>
    </row>
    <row r="390" spans="2:20">
      <c r="B390" s="638"/>
      <c r="C390" s="639"/>
      <c r="D390" s="639"/>
      <c r="E390" s="639"/>
      <c r="F390" s="639"/>
      <c r="G390" s="639"/>
      <c r="H390" s="639"/>
      <c r="I390" s="92">
        <v>9.2199999999999971</v>
      </c>
      <c r="J390" s="138" t="s">
        <v>47</v>
      </c>
      <c r="K390" s="35">
        <f>SUMIFS('[2]BESS 11'!AJ:AJ,'[2]BESS 11'!$B:$B,$J390)</f>
        <v>4518.4799999999996</v>
      </c>
      <c r="L390" s="36">
        <f>SUMIFS('[2]BESS 11'!AK:AK,'[2]BESS 11'!$B:$B,$J390)</f>
        <v>0</v>
      </c>
      <c r="M390" s="139">
        <f t="shared" si="60"/>
        <v>4518.4799999999996</v>
      </c>
      <c r="N390" s="68">
        <v>46247</v>
      </c>
      <c r="O390" s="68">
        <f t="shared" ca="1" si="61"/>
        <v>46247</v>
      </c>
      <c r="P390" s="140" t="s">
        <v>25</v>
      </c>
      <c r="Q390" s="96">
        <v>1500</v>
      </c>
      <c r="R390" s="93">
        <v>48</v>
      </c>
      <c r="S390" s="94">
        <f t="shared" si="62"/>
        <v>144.59135999999998</v>
      </c>
      <c r="T390" s="307"/>
    </row>
    <row r="391" spans="2:20">
      <c r="B391" s="638"/>
      <c r="C391" s="639"/>
      <c r="D391" s="639"/>
      <c r="E391" s="639"/>
      <c r="F391" s="639"/>
      <c r="G391" s="639"/>
      <c r="H391" s="639"/>
      <c r="I391" s="92">
        <v>9.2299999999999969</v>
      </c>
      <c r="J391" s="138" t="s">
        <v>48</v>
      </c>
      <c r="K391" s="35">
        <f>SUMIFS('[2]BESS 11'!AJ:AJ,'[2]BESS 11'!$B:$B,$J391)</f>
        <v>28</v>
      </c>
      <c r="L391" s="36">
        <f>SUMIFS('[2]BESS 11'!AK:AK,'[2]BESS 11'!$B:$B,$J391)</f>
        <v>0</v>
      </c>
      <c r="M391" s="139">
        <f t="shared" si="60"/>
        <v>28</v>
      </c>
      <c r="N391" s="68">
        <v>46263</v>
      </c>
      <c r="O391" s="68">
        <f t="shared" ca="1" si="61"/>
        <v>46263</v>
      </c>
      <c r="P391" s="140" t="s">
        <v>25</v>
      </c>
      <c r="Q391" s="96">
        <v>8</v>
      </c>
      <c r="R391" s="93">
        <v>6</v>
      </c>
      <c r="S391" s="94">
        <f t="shared" si="62"/>
        <v>21</v>
      </c>
      <c r="T391" s="307"/>
    </row>
    <row r="392" spans="2:20">
      <c r="B392" s="638"/>
      <c r="C392" s="639"/>
      <c r="D392" s="639"/>
      <c r="E392" s="639"/>
      <c r="F392" s="639"/>
      <c r="G392" s="639"/>
      <c r="H392" s="639"/>
      <c r="I392" s="92">
        <f t="shared" ref="I392:I411" si="63">I391+0.01</f>
        <v>9.2399999999999967</v>
      </c>
      <c r="J392" s="138" t="s">
        <v>126</v>
      </c>
      <c r="K392" s="35">
        <f>SUMIFS('[2]BESS 11'!AJ:AJ,'[2]BESS 11'!$B:$B,$J392)</f>
        <v>14288</v>
      </c>
      <c r="L392" s="36">
        <f>SUMIFS('[2]BESS 11'!AK:AK,'[2]BESS 11'!$B:$B,$J392)</f>
        <v>0</v>
      </c>
      <c r="M392" s="139">
        <f t="shared" si="60"/>
        <v>14288</v>
      </c>
      <c r="N392" s="68">
        <v>46253</v>
      </c>
      <c r="O392" s="68">
        <f t="shared" ca="1" si="61"/>
        <v>46253</v>
      </c>
      <c r="P392" s="140" t="s">
        <v>25</v>
      </c>
      <c r="Q392" s="96">
        <v>600</v>
      </c>
      <c r="R392" s="93">
        <v>10</v>
      </c>
      <c r="S392" s="94">
        <f t="shared" si="62"/>
        <v>238.13333333333333</v>
      </c>
      <c r="T392" s="307"/>
    </row>
    <row r="393" spans="2:20">
      <c r="B393" s="638"/>
      <c r="C393" s="639"/>
      <c r="D393" s="639"/>
      <c r="E393" s="639"/>
      <c r="F393" s="639"/>
      <c r="G393" s="639"/>
      <c r="H393" s="639"/>
      <c r="I393" s="92">
        <f t="shared" si="63"/>
        <v>9.2499999999999964</v>
      </c>
      <c r="J393" s="138" t="s">
        <v>127</v>
      </c>
      <c r="K393" s="35">
        <f>SUMIFS('[2]BESS 11'!AJ:AJ,'[2]BESS 11'!$B:$B,$J393)</f>
        <v>47492</v>
      </c>
      <c r="L393" s="36">
        <f>SUMIFS('[2]BESS 11'!AK:AK,'[2]BESS 11'!$B:$B,$J393)</f>
        <v>0</v>
      </c>
      <c r="M393" s="139">
        <f t="shared" si="60"/>
        <v>47492</v>
      </c>
      <c r="N393" s="68">
        <v>46247</v>
      </c>
      <c r="O393" s="68">
        <f t="shared" ca="1" si="61"/>
        <v>46247</v>
      </c>
      <c r="P393" s="140" t="s">
        <v>25</v>
      </c>
      <c r="Q393" s="96">
        <v>600</v>
      </c>
      <c r="R393" s="93">
        <v>10</v>
      </c>
      <c r="S393" s="94">
        <f t="shared" si="62"/>
        <v>791.5333333333333</v>
      </c>
      <c r="T393" s="307"/>
    </row>
    <row r="394" spans="2:20">
      <c r="B394" s="638"/>
      <c r="C394" s="639"/>
      <c r="D394" s="639"/>
      <c r="E394" s="639"/>
      <c r="F394" s="639"/>
      <c r="G394" s="639"/>
      <c r="H394" s="639"/>
      <c r="I394" s="92">
        <f t="shared" si="63"/>
        <v>9.2599999999999962</v>
      </c>
      <c r="J394" s="138" t="s">
        <v>128</v>
      </c>
      <c r="K394" s="35">
        <f>SUMIFS('[2]BESS 11'!AJ:AJ,'[2]BESS 11'!$B:$B,$J394)</f>
        <v>1536</v>
      </c>
      <c r="L394" s="36">
        <f>SUMIFS('[2]BESS 11'!AK:AK,'[2]BESS 11'!$B:$B,$J394)</f>
        <v>0</v>
      </c>
      <c r="M394" s="139">
        <f t="shared" si="60"/>
        <v>1536</v>
      </c>
      <c r="N394" s="68">
        <v>46267</v>
      </c>
      <c r="O394" s="68">
        <f t="shared" ca="1" si="61"/>
        <v>46267</v>
      </c>
      <c r="P394" s="140" t="s">
        <v>25</v>
      </c>
      <c r="Q394" s="96">
        <v>30</v>
      </c>
      <c r="R394" s="93">
        <v>18</v>
      </c>
      <c r="S394" s="94">
        <f t="shared" si="62"/>
        <v>921.6</v>
      </c>
      <c r="T394" s="307"/>
    </row>
    <row r="395" spans="2:20">
      <c r="B395" s="638"/>
      <c r="C395" s="639"/>
      <c r="D395" s="639"/>
      <c r="E395" s="639"/>
      <c r="F395" s="639"/>
      <c r="G395" s="639"/>
      <c r="H395" s="639"/>
      <c r="I395" s="92">
        <f t="shared" si="63"/>
        <v>9.269999999999996</v>
      </c>
      <c r="J395" s="138" t="s">
        <v>129</v>
      </c>
      <c r="K395" s="35">
        <f>SUMIFS('[2]BESS 11'!AJ:AJ,'[2]BESS 11'!$B:$B,$J395)</f>
        <v>2304</v>
      </c>
      <c r="L395" s="36">
        <f>SUMIFS('[2]BESS 11'!AK:AK,'[2]BESS 11'!$B:$B,$J395)</f>
        <v>0</v>
      </c>
      <c r="M395" s="139">
        <f t="shared" si="60"/>
        <v>2304</v>
      </c>
      <c r="N395" s="68">
        <v>46267</v>
      </c>
      <c r="O395" s="68">
        <f t="shared" ca="1" si="61"/>
        <v>46267</v>
      </c>
      <c r="P395" s="140" t="s">
        <v>25</v>
      </c>
      <c r="Q395" s="96">
        <v>30</v>
      </c>
      <c r="R395" s="93">
        <v>18</v>
      </c>
      <c r="S395" s="94">
        <f t="shared" si="62"/>
        <v>1382.4</v>
      </c>
      <c r="T395" s="307"/>
    </row>
    <row r="396" spans="2:20">
      <c r="B396" s="638"/>
      <c r="C396" s="639"/>
      <c r="D396" s="639"/>
      <c r="E396" s="639"/>
      <c r="F396" s="639"/>
      <c r="G396" s="639"/>
      <c r="H396" s="639"/>
      <c r="I396" s="92">
        <f t="shared" si="63"/>
        <v>9.2799999999999958</v>
      </c>
      <c r="J396" s="138" t="s">
        <v>130</v>
      </c>
      <c r="K396" s="35">
        <f>SUMIFS('[2]BESS 11'!AJ:AJ,'[2]BESS 11'!$B:$B,$J396)</f>
        <v>8232</v>
      </c>
      <c r="L396" s="36">
        <f>SUMIFS('[2]BESS 11'!AK:AK,'[2]BESS 11'!$B:$B,$J396)</f>
        <v>0</v>
      </c>
      <c r="M396" s="139">
        <f t="shared" si="60"/>
        <v>8232</v>
      </c>
      <c r="N396" s="68">
        <v>46257</v>
      </c>
      <c r="O396" s="68">
        <f t="shared" ca="1" si="61"/>
        <v>46257</v>
      </c>
      <c r="P396" s="140" t="s">
        <v>25</v>
      </c>
      <c r="Q396" s="96">
        <v>800</v>
      </c>
      <c r="R396" s="93">
        <v>10</v>
      </c>
      <c r="S396" s="94">
        <f t="shared" si="62"/>
        <v>102.9</v>
      </c>
      <c r="T396" s="307"/>
    </row>
    <row r="397" spans="2:20">
      <c r="B397" s="638"/>
      <c r="C397" s="639"/>
      <c r="D397" s="639"/>
      <c r="E397" s="639"/>
      <c r="F397" s="639"/>
      <c r="G397" s="639"/>
      <c r="H397" s="639"/>
      <c r="I397" s="92">
        <f t="shared" si="63"/>
        <v>9.2899999999999956</v>
      </c>
      <c r="J397" s="138" t="s">
        <v>131</v>
      </c>
      <c r="K397" s="35">
        <f>SUMIFS('[2]BESS 11'!AJ:AJ,'[2]BESS 11'!$B:$B,$J397)</f>
        <v>14448</v>
      </c>
      <c r="L397" s="36">
        <f>SUMIFS('[2]BESS 11'!AK:AK,'[2]BESS 11'!$B:$B,$J397)</f>
        <v>0</v>
      </c>
      <c r="M397" s="139">
        <f t="shared" si="60"/>
        <v>14448</v>
      </c>
      <c r="N397" s="68">
        <v>46257</v>
      </c>
      <c r="O397" s="68">
        <f t="shared" ca="1" si="61"/>
        <v>46257</v>
      </c>
      <c r="P397" s="140" t="s">
        <v>25</v>
      </c>
      <c r="Q397" s="96">
        <v>1000</v>
      </c>
      <c r="R397" s="93">
        <v>10</v>
      </c>
      <c r="S397" s="94">
        <f t="shared" si="62"/>
        <v>144.47999999999999</v>
      </c>
      <c r="T397" s="307"/>
    </row>
    <row r="398" spans="2:20">
      <c r="B398" s="638"/>
      <c r="C398" s="639"/>
      <c r="D398" s="639"/>
      <c r="E398" s="639"/>
      <c r="F398" s="639"/>
      <c r="G398" s="639"/>
      <c r="H398" s="639"/>
      <c r="I398" s="92">
        <f t="shared" si="63"/>
        <v>9.2999999999999954</v>
      </c>
      <c r="J398" s="138" t="s">
        <v>132</v>
      </c>
      <c r="K398" s="35">
        <f>SUMIFS('[2]BESS 11'!AJ:AJ,'[2]BESS 11'!$B:$B,$J398)</f>
        <v>4792</v>
      </c>
      <c r="L398" s="36">
        <f>SUMIFS('[2]BESS 11'!AK:AK,'[2]BESS 11'!$B:$B,$J398)</f>
        <v>0</v>
      </c>
      <c r="M398" s="139">
        <f t="shared" si="60"/>
        <v>4792</v>
      </c>
      <c r="N398" s="68">
        <v>46257</v>
      </c>
      <c r="O398" s="68">
        <f t="shared" ca="1" si="61"/>
        <v>46257</v>
      </c>
      <c r="P398" s="140" t="s">
        <v>25</v>
      </c>
      <c r="Q398" s="96">
        <v>500</v>
      </c>
      <c r="R398" s="93">
        <v>10</v>
      </c>
      <c r="S398" s="94">
        <f t="shared" si="62"/>
        <v>95.84</v>
      </c>
      <c r="T398" s="307"/>
    </row>
    <row r="399" spans="2:20">
      <c r="B399" s="638"/>
      <c r="C399" s="639"/>
      <c r="D399" s="639"/>
      <c r="E399" s="639"/>
      <c r="F399" s="639"/>
      <c r="G399" s="639"/>
      <c r="H399" s="639"/>
      <c r="I399" s="92">
        <f t="shared" si="63"/>
        <v>9.3099999999999952</v>
      </c>
      <c r="J399" s="138" t="s">
        <v>133</v>
      </c>
      <c r="K399" s="35">
        <f>SUMIFS('[2]BESS 11'!AJ:AJ,'[2]BESS 11'!$B:$B,$J399)</f>
        <v>286</v>
      </c>
      <c r="L399" s="36">
        <f>SUMIFS('[2]BESS 11'!AK:AK,'[2]BESS 11'!$B:$B,$J399)</f>
        <v>0</v>
      </c>
      <c r="M399" s="139">
        <f t="shared" si="60"/>
        <v>286</v>
      </c>
      <c r="N399" s="68">
        <v>46267</v>
      </c>
      <c r="O399" s="68">
        <f t="shared" ca="1" si="61"/>
        <v>46267</v>
      </c>
      <c r="P399" s="140" t="s">
        <v>25</v>
      </c>
      <c r="Q399" s="96">
        <v>30</v>
      </c>
      <c r="R399" s="93">
        <v>6</v>
      </c>
      <c r="S399" s="94">
        <f t="shared" si="62"/>
        <v>57.2</v>
      </c>
      <c r="T399" s="307"/>
    </row>
    <row r="400" spans="2:20">
      <c r="B400" s="638"/>
      <c r="C400" s="639"/>
      <c r="D400" s="639"/>
      <c r="E400" s="639"/>
      <c r="F400" s="639"/>
      <c r="G400" s="639"/>
      <c r="H400" s="639"/>
      <c r="I400" s="92">
        <f t="shared" si="63"/>
        <v>9.319999999999995</v>
      </c>
      <c r="J400" s="138" t="s">
        <v>134</v>
      </c>
      <c r="K400" s="35">
        <f>SUMIFS('[2]BESS 11'!AJ:AJ,'[2]BESS 11'!$B:$B,$J400)</f>
        <v>536</v>
      </c>
      <c r="L400" s="36">
        <f>SUMIFS('[2]BESS 11'!AK:AK,'[2]BESS 11'!$B:$B,$J400)</f>
        <v>0</v>
      </c>
      <c r="M400" s="139">
        <f t="shared" si="60"/>
        <v>536</v>
      </c>
      <c r="N400" s="68">
        <v>46267</v>
      </c>
      <c r="O400" s="68">
        <f t="shared" ca="1" si="61"/>
        <v>46267</v>
      </c>
      <c r="P400" s="140" t="s">
        <v>135</v>
      </c>
      <c r="Q400" s="96">
        <v>30</v>
      </c>
      <c r="R400" s="93">
        <v>4</v>
      </c>
      <c r="S400" s="94">
        <f t="shared" si="62"/>
        <v>71.466666666666669</v>
      </c>
      <c r="T400" s="307"/>
    </row>
    <row r="401" spans="2:22" ht="25.5">
      <c r="B401" s="638"/>
      <c r="C401" s="639"/>
      <c r="D401" s="639"/>
      <c r="E401" s="639"/>
      <c r="F401" s="639"/>
      <c r="G401" s="639"/>
      <c r="H401" s="639"/>
      <c r="I401" s="92">
        <f t="shared" si="63"/>
        <v>9.3299999999999947</v>
      </c>
      <c r="J401" s="138" t="s">
        <v>136</v>
      </c>
      <c r="K401" s="35">
        <f>SUMIFS('[2]BESS 11'!AJ:AJ,'[2]BESS 11'!$B:$B,$J401)</f>
        <v>384</v>
      </c>
      <c r="L401" s="36">
        <f>SUMIFS('[2]BESS 11'!AK:AK,'[2]BESS 11'!$B:$B,$J401)</f>
        <v>0</v>
      </c>
      <c r="M401" s="139">
        <f t="shared" si="60"/>
        <v>384</v>
      </c>
      <c r="N401" s="68">
        <v>46267</v>
      </c>
      <c r="O401" s="68">
        <f t="shared" ca="1" si="61"/>
        <v>46267</v>
      </c>
      <c r="P401" s="140" t="s">
        <v>135</v>
      </c>
      <c r="Q401" s="96" t="s">
        <v>89</v>
      </c>
      <c r="R401" s="93" t="s">
        <v>89</v>
      </c>
      <c r="S401" s="94" t="s">
        <v>89</v>
      </c>
      <c r="T401" s="307"/>
      <c r="U401">
        <f ca="1">O401-$T$1</f>
        <v>34</v>
      </c>
      <c r="V401" s="97">
        <f>SUM(S380:S411)</f>
        <v>4402.2380266666669</v>
      </c>
    </row>
    <row r="402" spans="2:22">
      <c r="B402" s="638"/>
      <c r="C402" s="639"/>
      <c r="D402" s="639"/>
      <c r="E402" s="639"/>
      <c r="F402" s="639"/>
      <c r="G402" s="639"/>
      <c r="H402" s="639"/>
      <c r="I402" s="92">
        <f t="shared" si="63"/>
        <v>9.3399999999999945</v>
      </c>
      <c r="J402" s="138" t="s">
        <v>137</v>
      </c>
      <c r="K402" s="35">
        <f>SUMIFS('[2]BESS 11'!AJ:AJ,'[2]BESS 11'!$B:$B,$J402)</f>
        <v>6</v>
      </c>
      <c r="L402" s="36">
        <f>SUMIFS('[2]BESS 11'!AK:AK,'[2]BESS 11'!$B:$B,$J402)</f>
        <v>0</v>
      </c>
      <c r="M402" s="139">
        <f t="shared" si="60"/>
        <v>6</v>
      </c>
      <c r="N402" s="68">
        <v>46252</v>
      </c>
      <c r="O402" s="68">
        <f t="shared" ca="1" si="61"/>
        <v>46252</v>
      </c>
      <c r="P402" s="140" t="s">
        <v>138</v>
      </c>
      <c r="Q402" s="533">
        <v>2</v>
      </c>
      <c r="R402" s="527">
        <v>8</v>
      </c>
      <c r="S402" s="94" t="s">
        <v>89</v>
      </c>
      <c r="T402" s="307"/>
    </row>
    <row r="403" spans="2:22">
      <c r="B403" s="638"/>
      <c r="C403" s="639"/>
      <c r="D403" s="639"/>
      <c r="E403" s="639"/>
      <c r="F403" s="639"/>
      <c r="G403" s="639"/>
      <c r="H403" s="639"/>
      <c r="I403" s="92">
        <f t="shared" si="63"/>
        <v>9.3499999999999943</v>
      </c>
      <c r="J403" s="138" t="s">
        <v>139</v>
      </c>
      <c r="K403" s="35">
        <f>SUMIFS('[2]BESS 11'!AJ:AJ,'[2]BESS 11'!$B:$B,$J403)</f>
        <v>6</v>
      </c>
      <c r="L403" s="36">
        <f>SUMIFS('[2]BESS 11'!AK:AK,'[2]BESS 11'!$B:$B,$J403)</f>
        <v>0</v>
      </c>
      <c r="M403" s="139">
        <f t="shared" si="60"/>
        <v>6</v>
      </c>
      <c r="N403" s="68">
        <v>46256</v>
      </c>
      <c r="O403" s="68">
        <f t="shared" ca="1" si="61"/>
        <v>46256</v>
      </c>
      <c r="P403" s="140" t="s">
        <v>25</v>
      </c>
      <c r="Q403" s="534"/>
      <c r="R403" s="529"/>
      <c r="S403" s="94">
        <v>12</v>
      </c>
      <c r="T403" s="307"/>
    </row>
    <row r="404" spans="2:22" ht="25.5">
      <c r="B404" s="638"/>
      <c r="C404" s="639"/>
      <c r="D404" s="639"/>
      <c r="E404" s="639"/>
      <c r="F404" s="639"/>
      <c r="G404" s="639"/>
      <c r="H404" s="639"/>
      <c r="I404" s="92">
        <f t="shared" si="63"/>
        <v>9.3599999999999941</v>
      </c>
      <c r="J404" s="138" t="s">
        <v>140</v>
      </c>
      <c r="K404" s="35">
        <f>SUMIFS('[2]BESS 11'!AJ:AJ,'[2]BESS 11'!$B:$B,$J404)</f>
        <v>6</v>
      </c>
      <c r="L404" s="36">
        <f>SUMIFS('[2]BESS 11'!AK:AK,'[2]BESS 11'!$B:$B,$J404)</f>
        <v>0</v>
      </c>
      <c r="M404" s="139">
        <f t="shared" si="60"/>
        <v>6</v>
      </c>
      <c r="N404" s="68">
        <v>46277</v>
      </c>
      <c r="O404" s="68">
        <f t="shared" ca="1" si="61"/>
        <v>46277</v>
      </c>
      <c r="P404" s="140" t="s">
        <v>25</v>
      </c>
      <c r="Q404" s="96">
        <v>2</v>
      </c>
      <c r="R404" s="93">
        <v>4</v>
      </c>
      <c r="S404" s="94">
        <f t="shared" ref="S404:S411" si="64">(M404*R404)/Q404</f>
        <v>12</v>
      </c>
      <c r="T404" s="313"/>
      <c r="U404">
        <f ca="1">O404-$T$1</f>
        <v>44</v>
      </c>
      <c r="V404" s="97">
        <f>SUM(S380:S411)</f>
        <v>4402.2380266666669</v>
      </c>
    </row>
    <row r="405" spans="2:22" ht="25.5">
      <c r="B405" s="638"/>
      <c r="C405" s="639"/>
      <c r="D405" s="639"/>
      <c r="E405" s="639"/>
      <c r="F405" s="639"/>
      <c r="G405" s="639"/>
      <c r="H405" s="639"/>
      <c r="I405" s="92">
        <f t="shared" si="63"/>
        <v>9.3699999999999939</v>
      </c>
      <c r="J405" s="138" t="s">
        <v>141</v>
      </c>
      <c r="K405" s="35">
        <f>SUMIFS('[2]BESS 11'!AJ:AJ,'[2]BESS 11'!$B:$B,$J405)</f>
        <v>12</v>
      </c>
      <c r="L405" s="36">
        <f>SUMIFS('[2]BESS 11'!AK:AK,'[2]BESS 11'!$B:$B,$J405)</f>
        <v>0</v>
      </c>
      <c r="M405" s="139">
        <f t="shared" si="60"/>
        <v>12</v>
      </c>
      <c r="N405" s="68">
        <v>46263</v>
      </c>
      <c r="O405" s="68">
        <f t="shared" ca="1" si="61"/>
        <v>46263</v>
      </c>
      <c r="P405" s="140" t="s">
        <v>25</v>
      </c>
      <c r="Q405" s="96">
        <v>0.5</v>
      </c>
      <c r="R405" s="93">
        <v>4</v>
      </c>
      <c r="S405" s="94">
        <f t="shared" si="64"/>
        <v>96</v>
      </c>
      <c r="T405" s="567"/>
    </row>
    <row r="406" spans="2:22">
      <c r="B406" s="638"/>
      <c r="C406" s="639"/>
      <c r="D406" s="639"/>
      <c r="E406" s="639"/>
      <c r="F406" s="639"/>
      <c r="G406" s="639"/>
      <c r="H406" s="639"/>
      <c r="I406" s="92">
        <f t="shared" si="63"/>
        <v>9.3799999999999937</v>
      </c>
      <c r="J406" s="138" t="s">
        <v>142</v>
      </c>
      <c r="K406" s="35">
        <f>SUMIFS('[2]BESS 11'!AJ:AJ,'[2]BESS 11'!$B:$B,$J406)</f>
        <v>16</v>
      </c>
      <c r="L406" s="36">
        <f>SUMIFS('[2]BESS 11'!AK:AK,'[2]BESS 11'!$B:$B,$J406)</f>
        <v>0</v>
      </c>
      <c r="M406" s="139">
        <f t="shared" si="60"/>
        <v>16</v>
      </c>
      <c r="N406" s="68">
        <v>46275</v>
      </c>
      <c r="O406" s="68">
        <f t="shared" ca="1" si="61"/>
        <v>46275</v>
      </c>
      <c r="P406" s="140" t="s">
        <v>25</v>
      </c>
      <c r="Q406" s="96">
        <v>6</v>
      </c>
      <c r="R406" s="93">
        <v>4</v>
      </c>
      <c r="S406" s="94">
        <f t="shared" si="64"/>
        <v>10.666666666666666</v>
      </c>
      <c r="T406" s="567"/>
    </row>
    <row r="407" spans="2:22">
      <c r="B407" s="638"/>
      <c r="C407" s="639"/>
      <c r="D407" s="639"/>
      <c r="E407" s="639"/>
      <c r="F407" s="639"/>
      <c r="G407" s="639"/>
      <c r="H407" s="639"/>
      <c r="I407" s="92">
        <f t="shared" si="63"/>
        <v>9.3899999999999935</v>
      </c>
      <c r="J407" s="138" t="s">
        <v>143</v>
      </c>
      <c r="K407" s="35">
        <f>SUMIFS('[2]BESS 11'!AJ:AJ,'[2]BESS 11'!$B:$B,$J407)</f>
        <v>14</v>
      </c>
      <c r="L407" s="36">
        <f>SUMIFS('[2]BESS 11'!AK:AK,'[2]BESS 11'!$B:$B,$J407)</f>
        <v>0</v>
      </c>
      <c r="M407" s="139">
        <f t="shared" si="60"/>
        <v>14</v>
      </c>
      <c r="N407" s="68">
        <v>46263</v>
      </c>
      <c r="O407" s="68">
        <f t="shared" ca="1" si="61"/>
        <v>46263</v>
      </c>
      <c r="P407" s="140" t="s">
        <v>25</v>
      </c>
      <c r="Q407" s="96">
        <v>6</v>
      </c>
      <c r="R407" s="93">
        <v>5</v>
      </c>
      <c r="S407" s="94">
        <f t="shared" si="64"/>
        <v>11.666666666666666</v>
      </c>
      <c r="T407" s="567"/>
    </row>
    <row r="408" spans="2:22">
      <c r="B408" s="638"/>
      <c r="C408" s="639"/>
      <c r="D408" s="639"/>
      <c r="E408" s="639"/>
      <c r="F408" s="639"/>
      <c r="G408" s="639"/>
      <c r="H408" s="639"/>
      <c r="I408" s="92">
        <f t="shared" si="63"/>
        <v>9.3999999999999932</v>
      </c>
      <c r="J408" s="138" t="s">
        <v>144</v>
      </c>
      <c r="K408" s="35">
        <f>SUMIFS('[2]BESS 11'!AJ:AJ,'[2]BESS 11'!$B:$B,$J408)</f>
        <v>1</v>
      </c>
      <c r="L408" s="36">
        <f>SUMIFS('[2]BESS 11'!AK:AK,'[2]BESS 11'!$B:$B,$J408)</f>
        <v>0</v>
      </c>
      <c r="M408" s="139">
        <f t="shared" si="60"/>
        <v>1</v>
      </c>
      <c r="N408" s="68">
        <v>46263</v>
      </c>
      <c r="O408" s="68">
        <f t="shared" ca="1" si="61"/>
        <v>46263</v>
      </c>
      <c r="P408" s="140" t="s">
        <v>25</v>
      </c>
      <c r="Q408" s="96">
        <v>1</v>
      </c>
      <c r="R408" s="93">
        <v>5</v>
      </c>
      <c r="S408" s="94">
        <f t="shared" si="64"/>
        <v>5</v>
      </c>
      <c r="T408" s="307"/>
    </row>
    <row r="409" spans="2:22">
      <c r="B409" s="649" t="s">
        <v>150</v>
      </c>
      <c r="C409" s="650"/>
      <c r="D409" s="650"/>
      <c r="E409" s="650"/>
      <c r="F409" s="650"/>
      <c r="G409" s="650"/>
      <c r="H409" s="650"/>
      <c r="I409" s="92">
        <f t="shared" si="63"/>
        <v>9.409999999999993</v>
      </c>
      <c r="J409" s="138" t="s">
        <v>145</v>
      </c>
      <c r="K409" s="35">
        <f>SUMIFS('[2]BESS 11'!AJ:AJ,'[2]BESS 11'!$B:$B,$J409)</f>
        <v>6</v>
      </c>
      <c r="L409" s="36">
        <f>SUMIFS('[2]BESS 11'!AK:AK,'[2]BESS 11'!$B:$B,$J409)</f>
        <v>0</v>
      </c>
      <c r="M409" s="139">
        <f t="shared" si="60"/>
        <v>6</v>
      </c>
      <c r="N409" s="68">
        <v>46263</v>
      </c>
      <c r="O409" s="68">
        <f t="shared" ca="1" si="61"/>
        <v>46263</v>
      </c>
      <c r="P409" s="140" t="s">
        <v>25</v>
      </c>
      <c r="Q409" s="96">
        <v>3</v>
      </c>
      <c r="R409" s="93">
        <v>5</v>
      </c>
      <c r="S409" s="94">
        <f t="shared" si="64"/>
        <v>10</v>
      </c>
      <c r="T409" s="307"/>
    </row>
    <row r="410" spans="2:22">
      <c r="B410" s="649"/>
      <c r="C410" s="650"/>
      <c r="D410" s="650"/>
      <c r="E410" s="650"/>
      <c r="F410" s="650"/>
      <c r="G410" s="650"/>
      <c r="H410" s="650"/>
      <c r="I410" s="92">
        <f t="shared" si="63"/>
        <v>9.4199999999999928</v>
      </c>
      <c r="J410" s="138" t="s">
        <v>54</v>
      </c>
      <c r="K410" s="35">
        <f>SUMIFS('[2]BESS 11'!AJ:AJ,'[2]BESS 11'!$B:$B,$J410)</f>
        <v>4284</v>
      </c>
      <c r="L410" s="36">
        <f>SUMIFS('[2]BESS 11'!AK:AK,'[2]BESS 11'!$B:$B,$J410)</f>
        <v>0</v>
      </c>
      <c r="M410" s="139">
        <f t="shared" si="60"/>
        <v>4284</v>
      </c>
      <c r="N410" s="68">
        <v>46265</v>
      </c>
      <c r="O410" s="68">
        <f t="shared" ca="1" si="61"/>
        <v>46265</v>
      </c>
      <c r="P410" s="140" t="s">
        <v>25</v>
      </c>
      <c r="Q410" s="96">
        <v>150</v>
      </c>
      <c r="R410" s="93">
        <v>6</v>
      </c>
      <c r="S410" s="94">
        <f t="shared" si="64"/>
        <v>171.36</v>
      </c>
      <c r="T410" s="307"/>
    </row>
    <row r="411" spans="2:22" ht="14.25" thickBot="1">
      <c r="B411" s="651"/>
      <c r="C411" s="652"/>
      <c r="D411" s="652"/>
      <c r="E411" s="652"/>
      <c r="F411" s="652"/>
      <c r="G411" s="652"/>
      <c r="H411" s="652"/>
      <c r="I411" s="137">
        <f t="shared" si="63"/>
        <v>9.4299999999999926</v>
      </c>
      <c r="J411" s="391" t="s">
        <v>55</v>
      </c>
      <c r="K411" s="37">
        <f>SUMIFS('[2]BESS 11'!AJ:AJ,'[2]BESS 11'!$B:$B,$J411)</f>
        <v>10</v>
      </c>
      <c r="L411" s="38">
        <f>SUMIFS('[2]BESS 11'!AK:AK,'[2]BESS 11'!$B:$B,$J411)</f>
        <v>0</v>
      </c>
      <c r="M411" s="398">
        <f t="shared" si="60"/>
        <v>10</v>
      </c>
      <c r="N411" s="295">
        <v>46267</v>
      </c>
      <c r="O411" s="295">
        <f t="shared" ca="1" si="61"/>
        <v>46267</v>
      </c>
      <c r="P411" s="378" t="s">
        <v>25</v>
      </c>
      <c r="Q411" s="265">
        <v>5</v>
      </c>
      <c r="R411" s="266">
        <v>6</v>
      </c>
      <c r="S411" s="267">
        <f t="shared" si="64"/>
        <v>12</v>
      </c>
      <c r="T411" s="326"/>
    </row>
    <row r="412" spans="2:22" hidden="1">
      <c r="B412" s="658" t="s">
        <v>151</v>
      </c>
      <c r="C412" s="659"/>
      <c r="D412" s="659"/>
      <c r="E412" s="659"/>
      <c r="F412" s="659"/>
      <c r="G412" s="659"/>
      <c r="H412" s="659"/>
      <c r="I412" s="659"/>
      <c r="J412" s="660"/>
      <c r="K412" s="660"/>
      <c r="L412" s="660"/>
      <c r="M412" s="660"/>
      <c r="N412" s="660"/>
      <c r="O412" s="660"/>
      <c r="P412" s="660"/>
      <c r="Q412" s="659"/>
      <c r="R412" s="659"/>
      <c r="S412" s="659"/>
      <c r="T412" s="325"/>
    </row>
    <row r="413" spans="2:22" hidden="1">
      <c r="B413" s="654" t="s">
        <v>152</v>
      </c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325"/>
    </row>
    <row r="414" spans="2:22" hidden="1">
      <c r="B414" s="654" t="s">
        <v>153</v>
      </c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5"/>
      <c r="P414" s="655"/>
      <c r="Q414" s="655"/>
      <c r="R414" s="655"/>
      <c r="S414" s="655"/>
      <c r="T414" s="325"/>
    </row>
    <row r="415" spans="2:22" hidden="1">
      <c r="B415" s="654" t="s">
        <v>154</v>
      </c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5"/>
      <c r="P415" s="655"/>
      <c r="Q415" s="655"/>
      <c r="R415" s="655"/>
      <c r="S415" s="655"/>
      <c r="T415" s="325"/>
    </row>
    <row r="416" spans="2:22" hidden="1">
      <c r="B416" s="654" t="s">
        <v>155</v>
      </c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325"/>
    </row>
    <row r="417" spans="2:20" hidden="1">
      <c r="B417" s="654" t="s">
        <v>156</v>
      </c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5"/>
      <c r="P417" s="655"/>
      <c r="Q417" s="655"/>
      <c r="R417" s="655"/>
      <c r="S417" s="655"/>
      <c r="T417" s="325"/>
    </row>
    <row r="418" spans="2:20" ht="14.25" hidden="1" thickBot="1">
      <c r="B418" s="656" t="s">
        <v>157</v>
      </c>
      <c r="C418" s="657"/>
      <c r="D418" s="657"/>
      <c r="E418" s="657"/>
      <c r="F418" s="657"/>
      <c r="G418" s="657"/>
      <c r="H418" s="657"/>
      <c r="I418" s="657"/>
      <c r="J418" s="657"/>
      <c r="K418" s="657"/>
      <c r="L418" s="657"/>
      <c r="M418" s="657"/>
      <c r="N418" s="657"/>
      <c r="O418" s="657"/>
      <c r="P418" s="657"/>
      <c r="Q418" s="657"/>
      <c r="R418" s="657"/>
      <c r="S418" s="657"/>
      <c r="T418" s="327"/>
    </row>
  </sheetData>
  <autoFilter ref="B4:AA418" xr:uid="{29D69470-FBF4-49FB-9020-671B6A4651D3}"/>
  <mergeCells count="155">
    <mergeCell ref="B416:S416"/>
    <mergeCell ref="B417:S417"/>
    <mergeCell ref="B418:S418"/>
    <mergeCell ref="T405:T407"/>
    <mergeCell ref="B409:H411"/>
    <mergeCell ref="B412:S412"/>
    <mergeCell ref="B413:S413"/>
    <mergeCell ref="B414:S414"/>
    <mergeCell ref="B415:S415"/>
    <mergeCell ref="H367:H386"/>
    <mergeCell ref="R383:R387"/>
    <mergeCell ref="S383:S387"/>
    <mergeCell ref="B387:H408"/>
    <mergeCell ref="Q402:Q403"/>
    <mergeCell ref="R402:R403"/>
    <mergeCell ref="B367:B386"/>
    <mergeCell ref="C367:C386"/>
    <mergeCell ref="D367:D386"/>
    <mergeCell ref="E367:E386"/>
    <mergeCell ref="F367:F386"/>
    <mergeCell ref="G367:G386"/>
    <mergeCell ref="S338:S342"/>
    <mergeCell ref="B342:H363"/>
    <mergeCell ref="Q357:Q358"/>
    <mergeCell ref="R357:R358"/>
    <mergeCell ref="T360:T362"/>
    <mergeCell ref="B364:H366"/>
    <mergeCell ref="T315:T317"/>
    <mergeCell ref="B319:H321"/>
    <mergeCell ref="B322:B341"/>
    <mergeCell ref="C322:C341"/>
    <mergeCell ref="D322:D341"/>
    <mergeCell ref="E322:E341"/>
    <mergeCell ref="F322:F341"/>
    <mergeCell ref="G322:G341"/>
    <mergeCell ref="H322:H341"/>
    <mergeCell ref="R338:R342"/>
    <mergeCell ref="H277:H296"/>
    <mergeCell ref="R293:R297"/>
    <mergeCell ref="S293:S297"/>
    <mergeCell ref="B297:H318"/>
    <mergeCell ref="Q312:Q313"/>
    <mergeCell ref="R312:R313"/>
    <mergeCell ref="B277:B296"/>
    <mergeCell ref="C277:C296"/>
    <mergeCell ref="D277:D296"/>
    <mergeCell ref="E277:E296"/>
    <mergeCell ref="F277:F296"/>
    <mergeCell ref="G277:G296"/>
    <mergeCell ref="S248:S252"/>
    <mergeCell ref="B252:H273"/>
    <mergeCell ref="Q267:Q268"/>
    <mergeCell ref="R267:R268"/>
    <mergeCell ref="T270:T272"/>
    <mergeCell ref="B274:H276"/>
    <mergeCell ref="T225:T227"/>
    <mergeCell ref="B229:H231"/>
    <mergeCell ref="B232:B251"/>
    <mergeCell ref="C232:C251"/>
    <mergeCell ref="D232:D251"/>
    <mergeCell ref="E232:E251"/>
    <mergeCell ref="F232:F251"/>
    <mergeCell ref="G232:G251"/>
    <mergeCell ref="H232:H251"/>
    <mergeCell ref="R248:R252"/>
    <mergeCell ref="H187:H206"/>
    <mergeCell ref="R203:R207"/>
    <mergeCell ref="S203:S207"/>
    <mergeCell ref="B207:H228"/>
    <mergeCell ref="Q222:Q223"/>
    <mergeCell ref="R222:R223"/>
    <mergeCell ref="B187:B206"/>
    <mergeCell ref="C187:C206"/>
    <mergeCell ref="D187:D206"/>
    <mergeCell ref="E187:E206"/>
    <mergeCell ref="F187:F206"/>
    <mergeCell ref="G187:G206"/>
    <mergeCell ref="S158:S162"/>
    <mergeCell ref="T159:T161"/>
    <mergeCell ref="B162:H183"/>
    <mergeCell ref="Q177:Q178"/>
    <mergeCell ref="R177:R178"/>
    <mergeCell ref="B184:H186"/>
    <mergeCell ref="B138:H141"/>
    <mergeCell ref="T138:T141"/>
    <mergeCell ref="B142:B161"/>
    <mergeCell ref="C142:C161"/>
    <mergeCell ref="D142:D161"/>
    <mergeCell ref="E142:E161"/>
    <mergeCell ref="F142:F161"/>
    <mergeCell ref="G142:G161"/>
    <mergeCell ref="H142:H161"/>
    <mergeCell ref="R158:R162"/>
    <mergeCell ref="T53:T59"/>
    <mergeCell ref="R67:R71"/>
    <mergeCell ref="S67:S71"/>
    <mergeCell ref="B70:H91"/>
    <mergeCell ref="T84:T85"/>
    <mergeCell ref="Q86:Q87"/>
    <mergeCell ref="R86:R87"/>
    <mergeCell ref="R113:R117"/>
    <mergeCell ref="S113:S117"/>
    <mergeCell ref="B116:H137"/>
    <mergeCell ref="T128:T130"/>
    <mergeCell ref="Q132:Q133"/>
    <mergeCell ref="R132:R133"/>
    <mergeCell ref="B92:H95"/>
    <mergeCell ref="B96:B115"/>
    <mergeCell ref="C96:C115"/>
    <mergeCell ref="D96:D115"/>
    <mergeCell ref="E96:E115"/>
    <mergeCell ref="F96:F115"/>
    <mergeCell ref="G96:G115"/>
    <mergeCell ref="H96:H115"/>
    <mergeCell ref="H5:H24"/>
    <mergeCell ref="R21:R24"/>
    <mergeCell ref="S21:S24"/>
    <mergeCell ref="B25:H46"/>
    <mergeCell ref="B47:H49"/>
    <mergeCell ref="B50:B69"/>
    <mergeCell ref="C50:C69"/>
    <mergeCell ref="D50:D69"/>
    <mergeCell ref="E50:E69"/>
    <mergeCell ref="F50:F69"/>
    <mergeCell ref="B5:B24"/>
    <mergeCell ref="C5:C24"/>
    <mergeCell ref="D5:D24"/>
    <mergeCell ref="E5:E24"/>
    <mergeCell ref="F5:F24"/>
    <mergeCell ref="G5:G24"/>
    <mergeCell ref="G50:G69"/>
    <mergeCell ref="H50:H69"/>
    <mergeCell ref="B1:P1"/>
    <mergeCell ref="W1:Y1"/>
    <mergeCell ref="B2:B4"/>
    <mergeCell ref="C2:C4"/>
    <mergeCell ref="D2:D4"/>
    <mergeCell ref="E2:E4"/>
    <mergeCell ref="F2:F4"/>
    <mergeCell ref="G2:G4"/>
    <mergeCell ref="H2:H4"/>
    <mergeCell ref="I2:P2"/>
    <mergeCell ref="Y2:Y4"/>
    <mergeCell ref="I3:I4"/>
    <mergeCell ref="J3:J4"/>
    <mergeCell ref="K3:M3"/>
    <mergeCell ref="N3:N4"/>
    <mergeCell ref="O3:O4"/>
    <mergeCell ref="P3:P4"/>
    <mergeCell ref="Q2:Q4"/>
    <mergeCell ref="R2:R4"/>
    <mergeCell ref="S2:S4"/>
    <mergeCell ref="T2:T4"/>
    <mergeCell ref="W2:W4"/>
    <mergeCell ref="X2:X4"/>
  </mergeCells>
  <printOptions horizontalCentered="1"/>
  <pageMargins left="0.23622047244094491" right="0.23622047244094491" top="0.35433070866141736" bottom="0.19685039370078741" header="0.31496062992125984" footer="0.31496062992125984"/>
  <pageSetup paperSize="8" scale="70" fitToHeight="0" orientation="portrait" r:id="rId1"/>
  <rowBreaks count="4" manualBreakCount="4">
    <brk id="95" max="19" man="1"/>
    <brk id="186" max="19" man="1"/>
    <brk id="276" max="19" man="1"/>
    <brk id="366" max="19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8AFEA-3299-4E0F-A071-35009E95FDEB}">
  <sheetPr>
    <pageSetUpPr fitToPage="1"/>
  </sheetPr>
  <dimension ref="A1:GY114"/>
  <sheetViews>
    <sheetView zoomScale="93" zoomScaleNormal="93" zoomScaleSheetLayoutView="112" workbookViewId="0">
      <pane xSplit="4" ySplit="2" topLeftCell="E50" activePane="bottomRight" state="frozen"/>
      <selection pane="topRight" activeCell="E1" sqref="E1"/>
      <selection pane="bottomLeft" activeCell="A2" sqref="A2"/>
      <selection pane="bottomRight" activeCell="E51" sqref="E51"/>
    </sheetView>
  </sheetViews>
  <sheetFormatPr defaultColWidth="8.88671875" defaultRowHeight="13.5"/>
  <cols>
    <col min="1" max="1" width="8.88671875" style="191"/>
    <col min="2" max="2" width="15.88671875" style="187" bestFit="1" customWidth="1"/>
    <col min="3" max="3" width="15.109375" style="187" bestFit="1" customWidth="1"/>
    <col min="4" max="4" width="11.88671875" style="187" customWidth="1"/>
    <col min="5" max="5" width="14.33203125" style="187" customWidth="1"/>
    <col min="6" max="6" width="8.88671875" style="187"/>
    <col min="7" max="7" width="10.109375" style="187" customWidth="1"/>
    <col min="8" max="8" width="9.33203125" style="187" bestFit="1" customWidth="1"/>
    <col min="9" max="9" width="8.88671875" style="187"/>
    <col min="10" max="10" width="12.44140625" style="187" bestFit="1" customWidth="1"/>
    <col min="11" max="12" width="9.88671875" style="232" customWidth="1"/>
    <col min="13" max="14" width="10.109375" style="187" customWidth="1"/>
    <col min="15" max="16" width="8.88671875" style="187" bestFit="1" customWidth="1"/>
    <col min="17" max="20" width="8.88671875" style="187"/>
    <col min="21" max="21" width="11.109375" style="187" customWidth="1"/>
    <col min="22" max="31" width="8.88671875" style="187"/>
    <col min="32" max="54" width="8.5546875" style="187" bestFit="1" customWidth="1"/>
    <col min="55" max="101" width="9.33203125" style="187" bestFit="1" customWidth="1"/>
    <col min="102" max="145" width="8.88671875" style="187"/>
    <col min="146" max="146" width="14.44140625" style="187" bestFit="1" customWidth="1"/>
    <col min="147" max="147" width="12" style="187" bestFit="1" customWidth="1"/>
    <col min="148" max="206" width="8.88671875" style="187"/>
    <col min="207" max="207" width="10.109375" style="187" customWidth="1"/>
    <col min="208" max="16384" width="8.88671875" style="187"/>
  </cols>
  <sheetData>
    <row r="1" spans="1:207" ht="19.5" customHeight="1">
      <c r="A1" s="461" t="s">
        <v>77</v>
      </c>
      <c r="B1" s="461"/>
      <c r="C1" s="461"/>
      <c r="D1" s="461"/>
      <c r="E1" s="461"/>
      <c r="F1" s="461"/>
      <c r="G1" s="461"/>
      <c r="H1" s="461"/>
      <c r="I1" s="461"/>
      <c r="J1" s="338"/>
      <c r="K1" s="462">
        <v>46196</v>
      </c>
      <c r="L1" s="463"/>
    </row>
    <row r="2" spans="1:207" s="180" customFormat="1" ht="40.5" customHeight="1">
      <c r="A2" s="179"/>
      <c r="B2" s="233" t="s">
        <v>57</v>
      </c>
      <c r="C2" s="226" t="str">
        <f>'BESS 11'!$G$2</f>
        <v>Trial-Run End Date</v>
      </c>
      <c r="D2" s="226" t="str">
        <f>'BESS 11'!$H$2</f>
        <v>COD</v>
      </c>
      <c r="E2" s="226" t="s">
        <v>10</v>
      </c>
      <c r="F2" s="217" t="s">
        <v>58</v>
      </c>
      <c r="G2" s="217" t="s">
        <v>78</v>
      </c>
      <c r="H2" s="217" t="s">
        <v>79</v>
      </c>
      <c r="I2" s="217" t="s">
        <v>59</v>
      </c>
      <c r="J2" s="216" t="s">
        <v>230</v>
      </c>
      <c r="K2" s="216" t="s">
        <v>80</v>
      </c>
      <c r="L2" s="216" t="s">
        <v>62</v>
      </c>
      <c r="M2" s="218">
        <v>46195</v>
      </c>
      <c r="N2" s="218">
        <v>46196</v>
      </c>
      <c r="O2" s="218">
        <v>46197</v>
      </c>
      <c r="P2" s="218">
        <v>46198</v>
      </c>
      <c r="Q2" s="218">
        <v>46199</v>
      </c>
      <c r="R2" s="218">
        <v>46200</v>
      </c>
      <c r="S2" s="218">
        <v>46201</v>
      </c>
      <c r="T2" s="218">
        <v>46202</v>
      </c>
      <c r="U2" s="218">
        <v>46203</v>
      </c>
      <c r="V2" s="218">
        <v>46204</v>
      </c>
      <c r="W2" s="218">
        <v>46205</v>
      </c>
      <c r="X2" s="218">
        <v>46206</v>
      </c>
      <c r="Y2" s="218">
        <v>46207</v>
      </c>
      <c r="Z2" s="218">
        <f t="shared" ref="Z2:CK2" si="0">Y2+1</f>
        <v>46208</v>
      </c>
      <c r="AA2" s="218">
        <f t="shared" si="0"/>
        <v>46209</v>
      </c>
      <c r="AB2" s="218">
        <f t="shared" si="0"/>
        <v>46210</v>
      </c>
      <c r="AC2" s="218">
        <f t="shared" si="0"/>
        <v>46211</v>
      </c>
      <c r="AD2" s="218">
        <f t="shared" si="0"/>
        <v>46212</v>
      </c>
      <c r="AE2" s="218">
        <f t="shared" si="0"/>
        <v>46213</v>
      </c>
      <c r="AF2" s="218">
        <f t="shared" si="0"/>
        <v>46214</v>
      </c>
      <c r="AG2" s="218">
        <f t="shared" si="0"/>
        <v>46215</v>
      </c>
      <c r="AH2" s="218">
        <f t="shared" si="0"/>
        <v>46216</v>
      </c>
      <c r="AI2" s="218">
        <f t="shared" si="0"/>
        <v>46217</v>
      </c>
      <c r="AJ2" s="218">
        <f t="shared" si="0"/>
        <v>46218</v>
      </c>
      <c r="AK2" s="218">
        <f t="shared" si="0"/>
        <v>46219</v>
      </c>
      <c r="AL2" s="218">
        <f t="shared" si="0"/>
        <v>46220</v>
      </c>
      <c r="AM2" s="218">
        <f t="shared" si="0"/>
        <v>46221</v>
      </c>
      <c r="AN2" s="218">
        <f t="shared" si="0"/>
        <v>46222</v>
      </c>
      <c r="AO2" s="218">
        <f t="shared" si="0"/>
        <v>46223</v>
      </c>
      <c r="AP2" s="218">
        <f t="shared" si="0"/>
        <v>46224</v>
      </c>
      <c r="AQ2" s="218">
        <f t="shared" si="0"/>
        <v>46225</v>
      </c>
      <c r="AR2" s="218">
        <f t="shared" si="0"/>
        <v>46226</v>
      </c>
      <c r="AS2" s="218">
        <f t="shared" si="0"/>
        <v>46227</v>
      </c>
      <c r="AT2" s="218">
        <f t="shared" si="0"/>
        <v>46228</v>
      </c>
      <c r="AU2" s="218">
        <f t="shared" si="0"/>
        <v>46229</v>
      </c>
      <c r="AV2" s="218">
        <f t="shared" si="0"/>
        <v>46230</v>
      </c>
      <c r="AW2" s="218">
        <f t="shared" si="0"/>
        <v>46231</v>
      </c>
      <c r="AX2" s="218">
        <f t="shared" si="0"/>
        <v>46232</v>
      </c>
      <c r="AY2" s="218">
        <f t="shared" si="0"/>
        <v>46233</v>
      </c>
      <c r="AZ2" s="218">
        <f t="shared" si="0"/>
        <v>46234</v>
      </c>
      <c r="BA2" s="218">
        <f t="shared" si="0"/>
        <v>46235</v>
      </c>
      <c r="BB2" s="218">
        <f t="shared" si="0"/>
        <v>46236</v>
      </c>
      <c r="BC2" s="218">
        <f t="shared" si="0"/>
        <v>46237</v>
      </c>
      <c r="BD2" s="218">
        <f t="shared" si="0"/>
        <v>46238</v>
      </c>
      <c r="BE2" s="218">
        <f t="shared" si="0"/>
        <v>46239</v>
      </c>
      <c r="BF2" s="218">
        <f t="shared" si="0"/>
        <v>46240</v>
      </c>
      <c r="BG2" s="218">
        <f t="shared" si="0"/>
        <v>46241</v>
      </c>
      <c r="BH2" s="218">
        <f t="shared" si="0"/>
        <v>46242</v>
      </c>
      <c r="BI2" s="218">
        <f t="shared" si="0"/>
        <v>46243</v>
      </c>
      <c r="BJ2" s="218">
        <f t="shared" si="0"/>
        <v>46244</v>
      </c>
      <c r="BK2" s="218">
        <f t="shared" si="0"/>
        <v>46245</v>
      </c>
      <c r="BL2" s="218">
        <f t="shared" si="0"/>
        <v>46246</v>
      </c>
      <c r="BM2" s="218">
        <f t="shared" si="0"/>
        <v>46247</v>
      </c>
      <c r="BN2" s="218">
        <f t="shared" si="0"/>
        <v>46248</v>
      </c>
      <c r="BO2" s="218">
        <f t="shared" si="0"/>
        <v>46249</v>
      </c>
      <c r="BP2" s="218">
        <f t="shared" si="0"/>
        <v>46250</v>
      </c>
      <c r="BQ2" s="218">
        <f t="shared" si="0"/>
        <v>46251</v>
      </c>
      <c r="BR2" s="218">
        <f t="shared" si="0"/>
        <v>46252</v>
      </c>
      <c r="BS2" s="218">
        <f t="shared" si="0"/>
        <v>46253</v>
      </c>
      <c r="BT2" s="218">
        <f t="shared" si="0"/>
        <v>46254</v>
      </c>
      <c r="BU2" s="218">
        <f t="shared" si="0"/>
        <v>46255</v>
      </c>
      <c r="BV2" s="218">
        <f t="shared" si="0"/>
        <v>46256</v>
      </c>
      <c r="BW2" s="218">
        <f t="shared" si="0"/>
        <v>46257</v>
      </c>
      <c r="BX2" s="218">
        <f t="shared" si="0"/>
        <v>46258</v>
      </c>
      <c r="BY2" s="218">
        <f t="shared" si="0"/>
        <v>46259</v>
      </c>
      <c r="BZ2" s="218">
        <f t="shared" si="0"/>
        <v>46260</v>
      </c>
      <c r="CA2" s="218">
        <f t="shared" si="0"/>
        <v>46261</v>
      </c>
      <c r="CB2" s="218">
        <f t="shared" si="0"/>
        <v>46262</v>
      </c>
      <c r="CC2" s="218">
        <f t="shared" si="0"/>
        <v>46263</v>
      </c>
      <c r="CD2" s="218">
        <f t="shared" si="0"/>
        <v>46264</v>
      </c>
      <c r="CE2" s="218">
        <f t="shared" si="0"/>
        <v>46265</v>
      </c>
      <c r="CF2" s="218">
        <f t="shared" si="0"/>
        <v>46266</v>
      </c>
      <c r="CG2" s="218">
        <f t="shared" si="0"/>
        <v>46267</v>
      </c>
      <c r="CH2" s="218">
        <f t="shared" si="0"/>
        <v>46268</v>
      </c>
      <c r="CI2" s="218">
        <f t="shared" si="0"/>
        <v>46269</v>
      </c>
      <c r="CJ2" s="218">
        <f t="shared" si="0"/>
        <v>46270</v>
      </c>
      <c r="CK2" s="218">
        <f t="shared" si="0"/>
        <v>46271</v>
      </c>
      <c r="CL2" s="218">
        <f t="shared" ref="CL2:EO2" si="1">CK2+1</f>
        <v>46272</v>
      </c>
      <c r="CM2" s="218">
        <f t="shared" si="1"/>
        <v>46273</v>
      </c>
      <c r="CN2" s="218">
        <f t="shared" si="1"/>
        <v>46274</v>
      </c>
      <c r="CO2" s="218">
        <f t="shared" si="1"/>
        <v>46275</v>
      </c>
      <c r="CP2" s="218">
        <f t="shared" si="1"/>
        <v>46276</v>
      </c>
      <c r="CQ2" s="218">
        <f t="shared" si="1"/>
        <v>46277</v>
      </c>
      <c r="CR2" s="218">
        <f t="shared" si="1"/>
        <v>46278</v>
      </c>
      <c r="CS2" s="218">
        <f t="shared" si="1"/>
        <v>46279</v>
      </c>
      <c r="CT2" s="218">
        <f t="shared" si="1"/>
        <v>46280</v>
      </c>
      <c r="CU2" s="218">
        <f t="shared" si="1"/>
        <v>46281</v>
      </c>
      <c r="CV2" s="218">
        <f t="shared" si="1"/>
        <v>46282</v>
      </c>
      <c r="CW2" s="218">
        <f t="shared" si="1"/>
        <v>46283</v>
      </c>
      <c r="CX2" s="218">
        <f t="shared" si="1"/>
        <v>46284</v>
      </c>
      <c r="CY2" s="218">
        <f t="shared" si="1"/>
        <v>46285</v>
      </c>
      <c r="CZ2" s="218">
        <f t="shared" si="1"/>
        <v>46286</v>
      </c>
      <c r="DA2" s="218">
        <f t="shared" si="1"/>
        <v>46287</v>
      </c>
      <c r="DB2" s="218">
        <f t="shared" si="1"/>
        <v>46288</v>
      </c>
      <c r="DC2" s="218">
        <f t="shared" si="1"/>
        <v>46289</v>
      </c>
      <c r="DD2" s="218">
        <f t="shared" si="1"/>
        <v>46290</v>
      </c>
      <c r="DE2" s="218">
        <f t="shared" si="1"/>
        <v>46291</v>
      </c>
      <c r="DF2" s="218">
        <f t="shared" si="1"/>
        <v>46292</v>
      </c>
      <c r="DG2" s="218">
        <f t="shared" si="1"/>
        <v>46293</v>
      </c>
      <c r="DH2" s="218">
        <f t="shared" si="1"/>
        <v>46294</v>
      </c>
      <c r="DI2" s="218">
        <f t="shared" si="1"/>
        <v>46295</v>
      </c>
      <c r="DJ2" s="218">
        <f t="shared" si="1"/>
        <v>46296</v>
      </c>
      <c r="DK2" s="218">
        <f t="shared" si="1"/>
        <v>46297</v>
      </c>
      <c r="DL2" s="218">
        <f t="shared" si="1"/>
        <v>46298</v>
      </c>
      <c r="DM2" s="218">
        <f t="shared" si="1"/>
        <v>46299</v>
      </c>
      <c r="DN2" s="218">
        <f t="shared" si="1"/>
        <v>46300</v>
      </c>
      <c r="DO2" s="218">
        <f t="shared" si="1"/>
        <v>46301</v>
      </c>
      <c r="DP2" s="218">
        <f t="shared" si="1"/>
        <v>46302</v>
      </c>
      <c r="DQ2" s="218">
        <f t="shared" si="1"/>
        <v>46303</v>
      </c>
      <c r="DR2" s="218">
        <f t="shared" si="1"/>
        <v>46304</v>
      </c>
      <c r="DS2" s="218">
        <f t="shared" si="1"/>
        <v>46305</v>
      </c>
      <c r="DT2" s="218">
        <f t="shared" si="1"/>
        <v>46306</v>
      </c>
      <c r="DU2" s="218">
        <f t="shared" si="1"/>
        <v>46307</v>
      </c>
      <c r="DV2" s="218">
        <f t="shared" si="1"/>
        <v>46308</v>
      </c>
      <c r="DW2" s="218">
        <f t="shared" si="1"/>
        <v>46309</v>
      </c>
      <c r="DX2" s="218">
        <f t="shared" si="1"/>
        <v>46310</v>
      </c>
      <c r="DY2" s="218">
        <f t="shared" si="1"/>
        <v>46311</v>
      </c>
      <c r="DZ2" s="218">
        <f t="shared" si="1"/>
        <v>46312</v>
      </c>
      <c r="EA2" s="218">
        <f t="shared" si="1"/>
        <v>46313</v>
      </c>
      <c r="EB2" s="218">
        <f t="shared" si="1"/>
        <v>46314</v>
      </c>
      <c r="EC2" s="218">
        <f t="shared" si="1"/>
        <v>46315</v>
      </c>
      <c r="ED2" s="218">
        <f t="shared" si="1"/>
        <v>46316</v>
      </c>
      <c r="EE2" s="218">
        <f t="shared" si="1"/>
        <v>46317</v>
      </c>
      <c r="EF2" s="218">
        <f t="shared" si="1"/>
        <v>46318</v>
      </c>
      <c r="EG2" s="218">
        <f t="shared" si="1"/>
        <v>46319</v>
      </c>
      <c r="EH2" s="218">
        <f t="shared" si="1"/>
        <v>46320</v>
      </c>
      <c r="EI2" s="218">
        <f t="shared" si="1"/>
        <v>46321</v>
      </c>
      <c r="EJ2" s="218">
        <f t="shared" si="1"/>
        <v>46322</v>
      </c>
      <c r="EK2" s="218">
        <f t="shared" si="1"/>
        <v>46323</v>
      </c>
      <c r="EL2" s="218">
        <f t="shared" si="1"/>
        <v>46324</v>
      </c>
      <c r="EM2" s="218">
        <f t="shared" si="1"/>
        <v>46325</v>
      </c>
      <c r="EN2" s="218">
        <f t="shared" si="1"/>
        <v>46326</v>
      </c>
      <c r="EO2" s="218">
        <f t="shared" si="1"/>
        <v>46327</v>
      </c>
      <c r="EP2" s="234"/>
      <c r="EQ2" s="234"/>
      <c r="ER2" s="234"/>
      <c r="ES2" s="234"/>
      <c r="ET2" s="234"/>
      <c r="EU2" s="234"/>
      <c r="EV2" s="234"/>
      <c r="EW2" s="234"/>
      <c r="EX2" s="234"/>
      <c r="EY2" s="234"/>
      <c r="EZ2" s="234"/>
      <c r="FA2" s="234"/>
      <c r="FB2" s="234"/>
      <c r="FC2" s="234"/>
      <c r="FD2" s="234"/>
      <c r="FE2" s="234"/>
      <c r="FF2" s="234"/>
      <c r="FG2" s="234"/>
      <c r="FH2" s="234"/>
      <c r="FI2" s="234"/>
      <c r="FJ2" s="234"/>
      <c r="FK2" s="234"/>
      <c r="FL2" s="234"/>
      <c r="FM2" s="234"/>
      <c r="FN2" s="234"/>
      <c r="FO2" s="234"/>
      <c r="FP2" s="234"/>
      <c r="FQ2" s="234"/>
      <c r="FR2" s="234"/>
      <c r="FS2" s="234"/>
      <c r="FT2" s="234"/>
      <c r="FU2" s="234"/>
      <c r="FV2" s="234"/>
      <c r="FW2" s="234"/>
      <c r="FX2" s="234"/>
      <c r="FY2" s="234"/>
      <c r="FZ2" s="234"/>
      <c r="GA2" s="234"/>
      <c r="GB2" s="234"/>
      <c r="GC2" s="234"/>
      <c r="GD2" s="234"/>
      <c r="GE2" s="234"/>
      <c r="GF2" s="234"/>
      <c r="GG2" s="234"/>
      <c r="GH2" s="234"/>
      <c r="GI2" s="234"/>
      <c r="GJ2" s="234"/>
      <c r="GK2" s="234"/>
      <c r="GL2" s="234"/>
      <c r="GM2" s="234"/>
      <c r="GN2" s="234"/>
      <c r="GO2" s="234"/>
      <c r="GP2" s="234"/>
      <c r="GQ2" s="234"/>
      <c r="GR2" s="234"/>
      <c r="GS2" s="234"/>
      <c r="GT2" s="234">
        <v>46382</v>
      </c>
      <c r="GU2" s="234">
        <v>46383</v>
      </c>
      <c r="GV2" s="234">
        <v>46384</v>
      </c>
      <c r="GW2" s="234">
        <v>46385</v>
      </c>
      <c r="GX2" s="234">
        <v>46386</v>
      </c>
      <c r="GY2" s="234">
        <v>46387</v>
      </c>
    </row>
    <row r="3" spans="1:207">
      <c r="A3" s="464" t="s">
        <v>71</v>
      </c>
      <c r="B3" s="465">
        <f>IF(LEN('BESS 11'!F5)=5,'BESS 11'!F5,(IF('BESS 11'!F5="Completed"," ",DATEVALUE(RIGHT('BESS 11'!F5,6)))))</f>
        <v>46231</v>
      </c>
      <c r="C3" s="467">
        <f>IF(LEN('BESS 11'!G5)=5,'BESS 11'!G5,(IF('BESS 11'!G5="Completed"," ",DATEVALUE(RIGHT('BESS 11'!G5,6)))))</f>
        <v>46236</v>
      </c>
      <c r="D3" s="467">
        <f>IF(LEN('BESS 11'!H5)=5,'BESS 11'!H5,(IF('BESS 11'!H5="Completed"," ",DATEVALUE(RIGHT('BESS 11'!H5,6)))))</f>
        <v>46239</v>
      </c>
      <c r="E3" s="185" t="s">
        <v>64</v>
      </c>
      <c r="F3" s="66">
        <f>SUM('BESS 11'!S18:S25,'BESS 11'!S27)</f>
        <v>0</v>
      </c>
      <c r="G3" s="182">
        <f ca="1">TODAY()</f>
        <v>46233</v>
      </c>
      <c r="H3" s="182">
        <f ca="1">G3</f>
        <v>46233</v>
      </c>
      <c r="I3" s="65">
        <f ca="1">H3-G3</f>
        <v>0</v>
      </c>
      <c r="J3" s="444">
        <f ca="1">K3*1.2</f>
        <v>10</v>
      </c>
      <c r="K3" s="444">
        <f ca="1">AVERAGEIF(M8:EO8,"&gt;0")</f>
        <v>8.3333333333333339</v>
      </c>
      <c r="L3" s="444">
        <f ca="1">MAX(M8:EO8)</f>
        <v>30</v>
      </c>
      <c r="M3" s="65" t="str">
        <f t="shared" ref="M3:AB6" ca="1" si="2">IF(AND(M$2&gt;=$G3,M$2&lt;($G3+$I3)),ROUND($F3/$I3,0),"-")</f>
        <v>-</v>
      </c>
      <c r="N3" s="65" t="str">
        <f t="shared" ca="1" si="2"/>
        <v>-</v>
      </c>
      <c r="O3" s="65" t="str">
        <f t="shared" ca="1" si="2"/>
        <v>-</v>
      </c>
      <c r="P3" s="65" t="str">
        <f t="shared" ca="1" si="2"/>
        <v>-</v>
      </c>
      <c r="Q3" s="65" t="str">
        <f t="shared" ca="1" si="2"/>
        <v>-</v>
      </c>
      <c r="R3" s="65" t="str">
        <f t="shared" ca="1" si="2"/>
        <v>-</v>
      </c>
      <c r="S3" s="65" t="str">
        <f t="shared" ca="1" si="2"/>
        <v>-</v>
      </c>
      <c r="T3" s="65" t="str">
        <f t="shared" ca="1" si="2"/>
        <v>-</v>
      </c>
      <c r="U3" s="65" t="str">
        <f t="shared" ca="1" si="2"/>
        <v>-</v>
      </c>
      <c r="V3" s="65" t="str">
        <f t="shared" ca="1" si="2"/>
        <v>-</v>
      </c>
      <c r="W3" s="65" t="str">
        <f t="shared" ca="1" si="2"/>
        <v>-</v>
      </c>
      <c r="X3" s="65" t="str">
        <f t="shared" ca="1" si="2"/>
        <v>-</v>
      </c>
      <c r="Y3" s="65" t="str">
        <f t="shared" ca="1" si="2"/>
        <v>-</v>
      </c>
      <c r="Z3" s="65" t="str">
        <f t="shared" ca="1" si="2"/>
        <v>-</v>
      </c>
      <c r="AA3" s="65" t="str">
        <f t="shared" ca="1" si="2"/>
        <v>-</v>
      </c>
      <c r="AB3" s="65" t="str">
        <f t="shared" ca="1" si="2"/>
        <v>-</v>
      </c>
      <c r="AC3" s="65" t="str">
        <f t="shared" ref="AC3:AR6" ca="1" si="3">IF(AND(AC$2&gt;=$G3,AC$2&lt;($G3+$I3)),ROUND($F3/$I3,0),"-")</f>
        <v>-</v>
      </c>
      <c r="AD3" s="65" t="str">
        <f t="shared" ca="1" si="3"/>
        <v>-</v>
      </c>
      <c r="AE3" s="65" t="str">
        <f t="shared" ca="1" si="3"/>
        <v>-</v>
      </c>
      <c r="AF3" s="65" t="str">
        <f t="shared" ca="1" si="3"/>
        <v>-</v>
      </c>
      <c r="AG3" s="65" t="str">
        <f t="shared" ca="1" si="3"/>
        <v>-</v>
      </c>
      <c r="AH3" s="65" t="str">
        <f t="shared" ca="1" si="3"/>
        <v>-</v>
      </c>
      <c r="AI3" s="65" t="str">
        <f t="shared" ca="1" si="3"/>
        <v>-</v>
      </c>
      <c r="AJ3" s="65" t="str">
        <f t="shared" ca="1" si="3"/>
        <v>-</v>
      </c>
      <c r="AK3" s="65" t="str">
        <f t="shared" ca="1" si="3"/>
        <v>-</v>
      </c>
      <c r="AL3" s="65" t="str">
        <f t="shared" ca="1" si="3"/>
        <v>-</v>
      </c>
      <c r="AM3" s="65" t="str">
        <f t="shared" ca="1" si="3"/>
        <v>-</v>
      </c>
      <c r="AN3" s="65" t="str">
        <f t="shared" ca="1" si="3"/>
        <v>-</v>
      </c>
      <c r="AO3" s="65" t="str">
        <f t="shared" ca="1" si="3"/>
        <v>-</v>
      </c>
      <c r="AP3" s="65" t="str">
        <f t="shared" ca="1" si="3"/>
        <v>-</v>
      </c>
      <c r="AQ3" s="65" t="str">
        <f t="shared" ca="1" si="3"/>
        <v>-</v>
      </c>
      <c r="AR3" s="65" t="str">
        <f t="shared" ca="1" si="3"/>
        <v>-</v>
      </c>
      <c r="AS3" s="65" t="str">
        <f t="shared" ref="AS3:BH6" ca="1" si="4">IF(AND(AS$2&gt;=$G3,AS$2&lt;($G3+$I3)),ROUND($F3/$I3,0),"-")</f>
        <v>-</v>
      </c>
      <c r="AT3" s="65" t="str">
        <f t="shared" ca="1" si="4"/>
        <v>-</v>
      </c>
      <c r="AU3" s="65" t="str">
        <f t="shared" ca="1" si="4"/>
        <v>-</v>
      </c>
      <c r="AV3" s="65" t="str">
        <f t="shared" ca="1" si="4"/>
        <v>-</v>
      </c>
      <c r="AW3" s="65" t="str">
        <f t="shared" ca="1" si="4"/>
        <v>-</v>
      </c>
      <c r="AX3" s="65" t="str">
        <f t="shared" ca="1" si="4"/>
        <v>-</v>
      </c>
      <c r="AY3" s="65" t="str">
        <f t="shared" ca="1" si="4"/>
        <v>-</v>
      </c>
      <c r="AZ3" s="65" t="str">
        <f t="shared" ca="1" si="4"/>
        <v>-</v>
      </c>
      <c r="BA3" s="65" t="str">
        <f t="shared" ca="1" si="4"/>
        <v>-</v>
      </c>
      <c r="BB3" s="65" t="str">
        <f t="shared" ca="1" si="4"/>
        <v>-</v>
      </c>
      <c r="BC3" s="65" t="str">
        <f t="shared" ca="1" si="4"/>
        <v>-</v>
      </c>
      <c r="BD3" s="65" t="str">
        <f t="shared" ca="1" si="4"/>
        <v>-</v>
      </c>
      <c r="BE3" s="65" t="str">
        <f t="shared" ca="1" si="4"/>
        <v>-</v>
      </c>
      <c r="BF3" s="65" t="str">
        <f t="shared" ca="1" si="4"/>
        <v>-</v>
      </c>
      <c r="BG3" s="65" t="str">
        <f t="shared" ca="1" si="4"/>
        <v>-</v>
      </c>
      <c r="BH3" s="65" t="str">
        <f t="shared" ca="1" si="4"/>
        <v>-</v>
      </c>
      <c r="BI3" s="65" t="str">
        <f t="shared" ref="BI3:BX6" ca="1" si="5">IF(AND(BI$2&gt;=$G3,BI$2&lt;($G3+$I3)),ROUND($F3/$I3,0),"-")</f>
        <v>-</v>
      </c>
      <c r="BJ3" s="65" t="str">
        <f t="shared" ca="1" si="5"/>
        <v>-</v>
      </c>
      <c r="BK3" s="65" t="str">
        <f t="shared" ca="1" si="5"/>
        <v>-</v>
      </c>
      <c r="BL3" s="65" t="str">
        <f t="shared" ca="1" si="5"/>
        <v>-</v>
      </c>
      <c r="BM3" s="65" t="str">
        <f t="shared" ca="1" si="5"/>
        <v>-</v>
      </c>
      <c r="BN3" s="65" t="str">
        <f t="shared" ca="1" si="5"/>
        <v>-</v>
      </c>
      <c r="BO3" s="65" t="str">
        <f t="shared" ca="1" si="5"/>
        <v>-</v>
      </c>
      <c r="BP3" s="65" t="str">
        <f t="shared" ca="1" si="5"/>
        <v>-</v>
      </c>
      <c r="BQ3" s="65" t="str">
        <f t="shared" ca="1" si="5"/>
        <v>-</v>
      </c>
      <c r="BR3" s="65" t="str">
        <f t="shared" ca="1" si="5"/>
        <v>-</v>
      </c>
      <c r="BS3" s="65" t="str">
        <f t="shared" ca="1" si="5"/>
        <v>-</v>
      </c>
      <c r="BT3" s="65" t="str">
        <f t="shared" ca="1" si="5"/>
        <v>-</v>
      </c>
      <c r="BU3" s="65" t="str">
        <f t="shared" ca="1" si="5"/>
        <v>-</v>
      </c>
      <c r="BV3" s="65" t="str">
        <f t="shared" ca="1" si="5"/>
        <v>-</v>
      </c>
      <c r="BW3" s="65" t="str">
        <f t="shared" ca="1" si="5"/>
        <v>-</v>
      </c>
      <c r="BX3" s="65" t="str">
        <f t="shared" ca="1" si="5"/>
        <v>-</v>
      </c>
      <c r="BY3" s="65" t="str">
        <f t="shared" ref="BY3:CN6" ca="1" si="6">IF(AND(BY$2&gt;=$G3,BY$2&lt;($G3+$I3)),ROUND($F3/$I3,0),"-")</f>
        <v>-</v>
      </c>
      <c r="BZ3" s="65" t="str">
        <f t="shared" ca="1" si="6"/>
        <v>-</v>
      </c>
      <c r="CA3" s="65" t="str">
        <f t="shared" ca="1" si="6"/>
        <v>-</v>
      </c>
      <c r="CB3" s="65" t="str">
        <f t="shared" ca="1" si="6"/>
        <v>-</v>
      </c>
      <c r="CC3" s="65" t="str">
        <f t="shared" ca="1" si="6"/>
        <v>-</v>
      </c>
      <c r="CD3" s="65" t="str">
        <f t="shared" ca="1" si="6"/>
        <v>-</v>
      </c>
      <c r="CE3" s="65" t="str">
        <f t="shared" ca="1" si="6"/>
        <v>-</v>
      </c>
      <c r="CF3" s="65" t="str">
        <f t="shared" ca="1" si="6"/>
        <v>-</v>
      </c>
      <c r="CG3" s="65" t="str">
        <f t="shared" ca="1" si="6"/>
        <v>-</v>
      </c>
      <c r="CH3" s="65" t="str">
        <f t="shared" ca="1" si="6"/>
        <v>-</v>
      </c>
      <c r="CI3" s="65" t="str">
        <f t="shared" ca="1" si="6"/>
        <v>-</v>
      </c>
      <c r="CJ3" s="65" t="str">
        <f t="shared" ca="1" si="6"/>
        <v>-</v>
      </c>
      <c r="CK3" s="65" t="str">
        <f t="shared" ca="1" si="6"/>
        <v>-</v>
      </c>
      <c r="CL3" s="65" t="str">
        <f t="shared" ca="1" si="6"/>
        <v>-</v>
      </c>
      <c r="CM3" s="65" t="str">
        <f t="shared" ca="1" si="6"/>
        <v>-</v>
      </c>
      <c r="CN3" s="65" t="str">
        <f t="shared" ca="1" si="6"/>
        <v>-</v>
      </c>
      <c r="CO3" s="65" t="str">
        <f t="shared" ref="CO3:DD6" ca="1" si="7">IF(AND(CO$2&gt;=$G3,CO$2&lt;($G3+$I3)),ROUND($F3/$I3,0),"-")</f>
        <v>-</v>
      </c>
      <c r="CP3" s="65" t="str">
        <f t="shared" ca="1" si="7"/>
        <v>-</v>
      </c>
      <c r="CQ3" s="65" t="str">
        <f t="shared" ca="1" si="7"/>
        <v>-</v>
      </c>
      <c r="CR3" s="65" t="str">
        <f t="shared" ca="1" si="7"/>
        <v>-</v>
      </c>
      <c r="CS3" s="65" t="str">
        <f t="shared" ca="1" si="7"/>
        <v>-</v>
      </c>
      <c r="CT3" s="65" t="str">
        <f t="shared" ca="1" si="7"/>
        <v>-</v>
      </c>
      <c r="CU3" s="65" t="str">
        <f t="shared" ca="1" si="7"/>
        <v>-</v>
      </c>
      <c r="CV3" s="65" t="str">
        <f t="shared" ca="1" si="7"/>
        <v>-</v>
      </c>
      <c r="CW3" s="65" t="str">
        <f t="shared" ca="1" si="7"/>
        <v>-</v>
      </c>
      <c r="CX3" s="65" t="str">
        <f t="shared" ca="1" si="7"/>
        <v>-</v>
      </c>
      <c r="CY3" s="65" t="str">
        <f t="shared" ca="1" si="7"/>
        <v>-</v>
      </c>
      <c r="CZ3" s="65" t="str">
        <f t="shared" ca="1" si="7"/>
        <v>-</v>
      </c>
      <c r="DA3" s="65" t="str">
        <f t="shared" ca="1" si="7"/>
        <v>-</v>
      </c>
      <c r="DB3" s="65" t="str">
        <f t="shared" ca="1" si="7"/>
        <v>-</v>
      </c>
      <c r="DC3" s="65" t="str">
        <f t="shared" ca="1" si="7"/>
        <v>-</v>
      </c>
      <c r="DD3" s="65" t="str">
        <f t="shared" ca="1" si="7"/>
        <v>-</v>
      </c>
      <c r="DE3" s="65" t="str">
        <f t="shared" ref="DE3:DT6" ca="1" si="8">IF(AND(DE$2&gt;=$G3,DE$2&lt;($G3+$I3)),ROUND($F3/$I3,0),"-")</f>
        <v>-</v>
      </c>
      <c r="DF3" s="65" t="str">
        <f t="shared" ca="1" si="8"/>
        <v>-</v>
      </c>
      <c r="DG3" s="65" t="str">
        <f t="shared" ca="1" si="8"/>
        <v>-</v>
      </c>
      <c r="DH3" s="65" t="str">
        <f t="shared" ca="1" si="8"/>
        <v>-</v>
      </c>
      <c r="DI3" s="65" t="str">
        <f t="shared" ca="1" si="8"/>
        <v>-</v>
      </c>
      <c r="DJ3" s="65" t="str">
        <f t="shared" ca="1" si="8"/>
        <v>-</v>
      </c>
      <c r="DK3" s="65" t="str">
        <f t="shared" ca="1" si="8"/>
        <v>-</v>
      </c>
      <c r="DL3" s="65" t="str">
        <f t="shared" ca="1" si="8"/>
        <v>-</v>
      </c>
      <c r="DM3" s="65" t="str">
        <f t="shared" ca="1" si="8"/>
        <v>-</v>
      </c>
      <c r="DN3" s="65" t="str">
        <f t="shared" ca="1" si="8"/>
        <v>-</v>
      </c>
      <c r="DO3" s="65" t="str">
        <f t="shared" ca="1" si="8"/>
        <v>-</v>
      </c>
      <c r="DP3" s="65" t="str">
        <f t="shared" ca="1" si="8"/>
        <v>-</v>
      </c>
      <c r="DQ3" s="65" t="str">
        <f t="shared" ca="1" si="8"/>
        <v>-</v>
      </c>
      <c r="DR3" s="65" t="str">
        <f t="shared" ca="1" si="8"/>
        <v>-</v>
      </c>
      <c r="DS3" s="65" t="str">
        <f t="shared" ca="1" si="8"/>
        <v>-</v>
      </c>
      <c r="DT3" s="65" t="str">
        <f t="shared" ca="1" si="8"/>
        <v>-</v>
      </c>
      <c r="DU3" s="65" t="str">
        <f t="shared" ref="DU3:EJ6" ca="1" si="9">IF(AND(DU$2&gt;=$G3,DU$2&lt;($G3+$I3)),ROUND($F3/$I3,0),"-")</f>
        <v>-</v>
      </c>
      <c r="DV3" s="65" t="str">
        <f t="shared" ca="1" si="9"/>
        <v>-</v>
      </c>
      <c r="DW3" s="65" t="str">
        <f t="shared" ca="1" si="9"/>
        <v>-</v>
      </c>
      <c r="DX3" s="65" t="str">
        <f t="shared" ca="1" si="9"/>
        <v>-</v>
      </c>
      <c r="DY3" s="65" t="str">
        <f t="shared" ca="1" si="9"/>
        <v>-</v>
      </c>
      <c r="DZ3" s="65" t="str">
        <f t="shared" ca="1" si="9"/>
        <v>-</v>
      </c>
      <c r="EA3" s="65" t="str">
        <f t="shared" ca="1" si="9"/>
        <v>-</v>
      </c>
      <c r="EB3" s="65" t="str">
        <f t="shared" ca="1" si="9"/>
        <v>-</v>
      </c>
      <c r="EC3" s="65" t="str">
        <f t="shared" ca="1" si="9"/>
        <v>-</v>
      </c>
      <c r="ED3" s="65" t="str">
        <f t="shared" ca="1" si="9"/>
        <v>-</v>
      </c>
      <c r="EE3" s="65" t="str">
        <f t="shared" ca="1" si="9"/>
        <v>-</v>
      </c>
      <c r="EF3" s="65" t="str">
        <f t="shared" ca="1" si="9"/>
        <v>-</v>
      </c>
      <c r="EG3" s="65" t="str">
        <f t="shared" ca="1" si="9"/>
        <v>-</v>
      </c>
      <c r="EH3" s="65" t="str">
        <f t="shared" ca="1" si="9"/>
        <v>-</v>
      </c>
      <c r="EI3" s="65" t="str">
        <f t="shared" ca="1" si="9"/>
        <v>-</v>
      </c>
      <c r="EJ3" s="65" t="str">
        <f t="shared" ca="1" si="9"/>
        <v>-</v>
      </c>
      <c r="EK3" s="65" t="str">
        <f t="shared" ref="EK3:EO6" ca="1" si="10">IF(AND(EK$2&gt;=$G3,EK$2&lt;($G3+$I3)),ROUND($F3/$I3,0),"-")</f>
        <v>-</v>
      </c>
      <c r="EL3" s="65" t="str">
        <f t="shared" ca="1" si="10"/>
        <v>-</v>
      </c>
      <c r="EM3" s="65" t="str">
        <f t="shared" ca="1" si="10"/>
        <v>-</v>
      </c>
      <c r="EN3" s="65" t="str">
        <f t="shared" ca="1" si="10"/>
        <v>-</v>
      </c>
      <c r="EO3" s="65" t="str">
        <f t="shared" ca="1" si="10"/>
        <v>-</v>
      </c>
    </row>
    <row r="4" spans="1:207">
      <c r="A4" s="464"/>
      <c r="B4" s="466"/>
      <c r="C4" s="466"/>
      <c r="D4" s="466"/>
      <c r="E4" s="185" t="s">
        <v>65</v>
      </c>
      <c r="F4" s="66">
        <f>'BESS 11'!S28+'BESS 11'!S30+'BESS 11'!S31+'BESS 11'!S34+'BESS 11'!S35+'BESS 11'!S36</f>
        <v>0</v>
      </c>
      <c r="G4" s="182">
        <f ca="1">TODAY()</f>
        <v>46233</v>
      </c>
      <c r="H4" s="182">
        <f ca="1">G4</f>
        <v>46233</v>
      </c>
      <c r="I4" s="65">
        <f ca="1">H4-G4</f>
        <v>0</v>
      </c>
      <c r="J4" s="453"/>
      <c r="K4" s="453"/>
      <c r="L4" s="445"/>
      <c r="M4" s="65" t="str">
        <f t="shared" ca="1" si="2"/>
        <v>-</v>
      </c>
      <c r="N4" s="65" t="str">
        <f t="shared" ca="1" si="2"/>
        <v>-</v>
      </c>
      <c r="O4" s="65" t="str">
        <f t="shared" ca="1" si="2"/>
        <v>-</v>
      </c>
      <c r="P4" s="65" t="str">
        <f t="shared" ca="1" si="2"/>
        <v>-</v>
      </c>
      <c r="Q4" s="65" t="str">
        <f t="shared" ca="1" si="2"/>
        <v>-</v>
      </c>
      <c r="R4" s="65" t="str">
        <f t="shared" ca="1" si="2"/>
        <v>-</v>
      </c>
      <c r="S4" s="65" t="str">
        <f t="shared" ca="1" si="2"/>
        <v>-</v>
      </c>
      <c r="T4" s="65" t="str">
        <f t="shared" ca="1" si="2"/>
        <v>-</v>
      </c>
      <c r="U4" s="65" t="str">
        <f t="shared" ca="1" si="2"/>
        <v>-</v>
      </c>
      <c r="V4" s="65" t="str">
        <f t="shared" ca="1" si="2"/>
        <v>-</v>
      </c>
      <c r="W4" s="65" t="str">
        <f t="shared" ca="1" si="2"/>
        <v>-</v>
      </c>
      <c r="X4" s="65" t="str">
        <f t="shared" ca="1" si="2"/>
        <v>-</v>
      </c>
      <c r="Y4" s="65" t="str">
        <f t="shared" ca="1" si="2"/>
        <v>-</v>
      </c>
      <c r="Z4" s="65" t="str">
        <f t="shared" ca="1" si="2"/>
        <v>-</v>
      </c>
      <c r="AA4" s="65" t="str">
        <f t="shared" ca="1" si="2"/>
        <v>-</v>
      </c>
      <c r="AB4" s="65" t="str">
        <f t="shared" ca="1" si="2"/>
        <v>-</v>
      </c>
      <c r="AC4" s="65" t="str">
        <f t="shared" ca="1" si="3"/>
        <v>-</v>
      </c>
      <c r="AD4" s="65" t="str">
        <f t="shared" ca="1" si="3"/>
        <v>-</v>
      </c>
      <c r="AE4" s="65" t="str">
        <f t="shared" ca="1" si="3"/>
        <v>-</v>
      </c>
      <c r="AF4" s="65" t="str">
        <f t="shared" ca="1" si="3"/>
        <v>-</v>
      </c>
      <c r="AG4" s="65" t="str">
        <f t="shared" ca="1" si="3"/>
        <v>-</v>
      </c>
      <c r="AH4" s="65" t="str">
        <f t="shared" ca="1" si="3"/>
        <v>-</v>
      </c>
      <c r="AI4" s="65" t="str">
        <f t="shared" ca="1" si="3"/>
        <v>-</v>
      </c>
      <c r="AJ4" s="65" t="str">
        <f t="shared" ca="1" si="3"/>
        <v>-</v>
      </c>
      <c r="AK4" s="65" t="str">
        <f t="shared" ca="1" si="3"/>
        <v>-</v>
      </c>
      <c r="AL4" s="65" t="str">
        <f t="shared" ca="1" si="3"/>
        <v>-</v>
      </c>
      <c r="AM4" s="65" t="str">
        <f t="shared" ca="1" si="3"/>
        <v>-</v>
      </c>
      <c r="AN4" s="65" t="str">
        <f t="shared" ca="1" si="3"/>
        <v>-</v>
      </c>
      <c r="AO4" s="65" t="str">
        <f t="shared" ca="1" si="3"/>
        <v>-</v>
      </c>
      <c r="AP4" s="65" t="str">
        <f t="shared" ca="1" si="3"/>
        <v>-</v>
      </c>
      <c r="AQ4" s="65" t="str">
        <f t="shared" ca="1" si="3"/>
        <v>-</v>
      </c>
      <c r="AR4" s="65" t="str">
        <f t="shared" ca="1" si="3"/>
        <v>-</v>
      </c>
      <c r="AS4" s="65" t="str">
        <f t="shared" ca="1" si="4"/>
        <v>-</v>
      </c>
      <c r="AT4" s="65" t="str">
        <f t="shared" ca="1" si="4"/>
        <v>-</v>
      </c>
      <c r="AU4" s="65" t="str">
        <f t="shared" ca="1" si="4"/>
        <v>-</v>
      </c>
      <c r="AV4" s="65" t="str">
        <f t="shared" ca="1" si="4"/>
        <v>-</v>
      </c>
      <c r="AW4" s="65" t="str">
        <f t="shared" ca="1" si="4"/>
        <v>-</v>
      </c>
      <c r="AX4" s="65" t="str">
        <f t="shared" ca="1" si="4"/>
        <v>-</v>
      </c>
      <c r="AY4" s="65" t="str">
        <f t="shared" ca="1" si="4"/>
        <v>-</v>
      </c>
      <c r="AZ4" s="65" t="str">
        <f t="shared" ca="1" si="4"/>
        <v>-</v>
      </c>
      <c r="BA4" s="65" t="str">
        <f t="shared" ca="1" si="4"/>
        <v>-</v>
      </c>
      <c r="BB4" s="65" t="str">
        <f t="shared" ca="1" si="4"/>
        <v>-</v>
      </c>
      <c r="BC4" s="65" t="str">
        <f t="shared" ca="1" si="4"/>
        <v>-</v>
      </c>
      <c r="BD4" s="65" t="str">
        <f t="shared" ca="1" si="4"/>
        <v>-</v>
      </c>
      <c r="BE4" s="65" t="str">
        <f t="shared" ca="1" si="4"/>
        <v>-</v>
      </c>
      <c r="BF4" s="65" t="str">
        <f t="shared" ca="1" si="4"/>
        <v>-</v>
      </c>
      <c r="BG4" s="65" t="str">
        <f t="shared" ca="1" si="4"/>
        <v>-</v>
      </c>
      <c r="BH4" s="65" t="str">
        <f t="shared" ca="1" si="4"/>
        <v>-</v>
      </c>
      <c r="BI4" s="65" t="str">
        <f t="shared" ca="1" si="5"/>
        <v>-</v>
      </c>
      <c r="BJ4" s="65" t="str">
        <f t="shared" ca="1" si="5"/>
        <v>-</v>
      </c>
      <c r="BK4" s="65" t="str">
        <f t="shared" ca="1" si="5"/>
        <v>-</v>
      </c>
      <c r="BL4" s="65" t="str">
        <f t="shared" ca="1" si="5"/>
        <v>-</v>
      </c>
      <c r="BM4" s="65" t="str">
        <f t="shared" ca="1" si="5"/>
        <v>-</v>
      </c>
      <c r="BN4" s="65" t="str">
        <f t="shared" ca="1" si="5"/>
        <v>-</v>
      </c>
      <c r="BO4" s="65" t="str">
        <f t="shared" ca="1" si="5"/>
        <v>-</v>
      </c>
      <c r="BP4" s="65" t="str">
        <f t="shared" ca="1" si="5"/>
        <v>-</v>
      </c>
      <c r="BQ4" s="65" t="str">
        <f t="shared" ca="1" si="5"/>
        <v>-</v>
      </c>
      <c r="BR4" s="65" t="str">
        <f t="shared" ca="1" si="5"/>
        <v>-</v>
      </c>
      <c r="BS4" s="65" t="str">
        <f t="shared" ca="1" si="5"/>
        <v>-</v>
      </c>
      <c r="BT4" s="65" t="str">
        <f t="shared" ca="1" si="5"/>
        <v>-</v>
      </c>
      <c r="BU4" s="65" t="str">
        <f t="shared" ca="1" si="5"/>
        <v>-</v>
      </c>
      <c r="BV4" s="65" t="str">
        <f t="shared" ca="1" si="5"/>
        <v>-</v>
      </c>
      <c r="BW4" s="65" t="str">
        <f t="shared" ca="1" si="5"/>
        <v>-</v>
      </c>
      <c r="BX4" s="65" t="str">
        <f t="shared" ca="1" si="5"/>
        <v>-</v>
      </c>
      <c r="BY4" s="65" t="str">
        <f t="shared" ca="1" si="6"/>
        <v>-</v>
      </c>
      <c r="BZ4" s="65" t="str">
        <f t="shared" ca="1" si="6"/>
        <v>-</v>
      </c>
      <c r="CA4" s="65" t="str">
        <f t="shared" ca="1" si="6"/>
        <v>-</v>
      </c>
      <c r="CB4" s="65" t="str">
        <f t="shared" ca="1" si="6"/>
        <v>-</v>
      </c>
      <c r="CC4" s="65" t="str">
        <f t="shared" ca="1" si="6"/>
        <v>-</v>
      </c>
      <c r="CD4" s="65" t="str">
        <f t="shared" ca="1" si="6"/>
        <v>-</v>
      </c>
      <c r="CE4" s="65" t="str">
        <f t="shared" ca="1" si="6"/>
        <v>-</v>
      </c>
      <c r="CF4" s="65" t="str">
        <f t="shared" ca="1" si="6"/>
        <v>-</v>
      </c>
      <c r="CG4" s="65" t="str">
        <f t="shared" ca="1" si="6"/>
        <v>-</v>
      </c>
      <c r="CH4" s="65" t="str">
        <f t="shared" ca="1" si="6"/>
        <v>-</v>
      </c>
      <c r="CI4" s="65" t="str">
        <f t="shared" ca="1" si="6"/>
        <v>-</v>
      </c>
      <c r="CJ4" s="65" t="str">
        <f t="shared" ca="1" si="6"/>
        <v>-</v>
      </c>
      <c r="CK4" s="65" t="str">
        <f t="shared" ca="1" si="6"/>
        <v>-</v>
      </c>
      <c r="CL4" s="65" t="str">
        <f t="shared" ca="1" si="6"/>
        <v>-</v>
      </c>
      <c r="CM4" s="65" t="str">
        <f t="shared" ca="1" si="6"/>
        <v>-</v>
      </c>
      <c r="CN4" s="65" t="str">
        <f t="shared" ca="1" si="6"/>
        <v>-</v>
      </c>
      <c r="CO4" s="65" t="str">
        <f t="shared" ca="1" si="7"/>
        <v>-</v>
      </c>
      <c r="CP4" s="65" t="str">
        <f t="shared" ca="1" si="7"/>
        <v>-</v>
      </c>
      <c r="CQ4" s="65" t="str">
        <f t="shared" ca="1" si="7"/>
        <v>-</v>
      </c>
      <c r="CR4" s="65" t="str">
        <f t="shared" ca="1" si="7"/>
        <v>-</v>
      </c>
      <c r="CS4" s="65" t="str">
        <f t="shared" ca="1" si="7"/>
        <v>-</v>
      </c>
      <c r="CT4" s="65" t="str">
        <f t="shared" ca="1" si="7"/>
        <v>-</v>
      </c>
      <c r="CU4" s="65" t="str">
        <f t="shared" ca="1" si="7"/>
        <v>-</v>
      </c>
      <c r="CV4" s="65" t="str">
        <f t="shared" ca="1" si="7"/>
        <v>-</v>
      </c>
      <c r="CW4" s="65" t="str">
        <f t="shared" ca="1" si="7"/>
        <v>-</v>
      </c>
      <c r="CX4" s="65" t="str">
        <f t="shared" ca="1" si="7"/>
        <v>-</v>
      </c>
      <c r="CY4" s="65" t="str">
        <f t="shared" ca="1" si="7"/>
        <v>-</v>
      </c>
      <c r="CZ4" s="65" t="str">
        <f t="shared" ca="1" si="7"/>
        <v>-</v>
      </c>
      <c r="DA4" s="65" t="str">
        <f t="shared" ca="1" si="7"/>
        <v>-</v>
      </c>
      <c r="DB4" s="65" t="str">
        <f t="shared" ca="1" si="7"/>
        <v>-</v>
      </c>
      <c r="DC4" s="65" t="str">
        <f t="shared" ca="1" si="7"/>
        <v>-</v>
      </c>
      <c r="DD4" s="65" t="str">
        <f t="shared" ca="1" si="7"/>
        <v>-</v>
      </c>
      <c r="DE4" s="65" t="str">
        <f t="shared" ca="1" si="8"/>
        <v>-</v>
      </c>
      <c r="DF4" s="65" t="str">
        <f t="shared" ca="1" si="8"/>
        <v>-</v>
      </c>
      <c r="DG4" s="65" t="str">
        <f t="shared" ca="1" si="8"/>
        <v>-</v>
      </c>
      <c r="DH4" s="65" t="str">
        <f t="shared" ca="1" si="8"/>
        <v>-</v>
      </c>
      <c r="DI4" s="65" t="str">
        <f t="shared" ca="1" si="8"/>
        <v>-</v>
      </c>
      <c r="DJ4" s="65" t="str">
        <f t="shared" ca="1" si="8"/>
        <v>-</v>
      </c>
      <c r="DK4" s="65" t="str">
        <f t="shared" ca="1" si="8"/>
        <v>-</v>
      </c>
      <c r="DL4" s="65" t="str">
        <f t="shared" ca="1" si="8"/>
        <v>-</v>
      </c>
      <c r="DM4" s="65" t="str">
        <f t="shared" ca="1" si="8"/>
        <v>-</v>
      </c>
      <c r="DN4" s="65" t="str">
        <f t="shared" ca="1" si="8"/>
        <v>-</v>
      </c>
      <c r="DO4" s="65" t="str">
        <f t="shared" ca="1" si="8"/>
        <v>-</v>
      </c>
      <c r="DP4" s="65" t="str">
        <f t="shared" ca="1" si="8"/>
        <v>-</v>
      </c>
      <c r="DQ4" s="65" t="str">
        <f t="shared" ca="1" si="8"/>
        <v>-</v>
      </c>
      <c r="DR4" s="65" t="str">
        <f t="shared" ca="1" si="8"/>
        <v>-</v>
      </c>
      <c r="DS4" s="65" t="str">
        <f t="shared" ca="1" si="8"/>
        <v>-</v>
      </c>
      <c r="DT4" s="65" t="str">
        <f t="shared" ca="1" si="8"/>
        <v>-</v>
      </c>
      <c r="DU4" s="65" t="str">
        <f t="shared" ca="1" si="9"/>
        <v>-</v>
      </c>
      <c r="DV4" s="65" t="str">
        <f t="shared" ca="1" si="9"/>
        <v>-</v>
      </c>
      <c r="DW4" s="65" t="str">
        <f t="shared" ca="1" si="9"/>
        <v>-</v>
      </c>
      <c r="DX4" s="65" t="str">
        <f t="shared" ca="1" si="9"/>
        <v>-</v>
      </c>
      <c r="DY4" s="65" t="str">
        <f t="shared" ca="1" si="9"/>
        <v>-</v>
      </c>
      <c r="DZ4" s="65" t="str">
        <f t="shared" ca="1" si="9"/>
        <v>-</v>
      </c>
      <c r="EA4" s="65" t="str">
        <f t="shared" ca="1" si="9"/>
        <v>-</v>
      </c>
      <c r="EB4" s="65" t="str">
        <f t="shared" ca="1" si="9"/>
        <v>-</v>
      </c>
      <c r="EC4" s="65" t="str">
        <f t="shared" ca="1" si="9"/>
        <v>-</v>
      </c>
      <c r="ED4" s="65" t="str">
        <f t="shared" ca="1" si="9"/>
        <v>-</v>
      </c>
      <c r="EE4" s="65" t="str">
        <f t="shared" ca="1" si="9"/>
        <v>-</v>
      </c>
      <c r="EF4" s="65" t="str">
        <f t="shared" ca="1" si="9"/>
        <v>-</v>
      </c>
      <c r="EG4" s="65" t="str">
        <f t="shared" ca="1" si="9"/>
        <v>-</v>
      </c>
      <c r="EH4" s="65" t="str">
        <f t="shared" ca="1" si="9"/>
        <v>-</v>
      </c>
      <c r="EI4" s="65" t="str">
        <f t="shared" ca="1" si="9"/>
        <v>-</v>
      </c>
      <c r="EJ4" s="65" t="str">
        <f t="shared" ca="1" si="9"/>
        <v>-</v>
      </c>
      <c r="EK4" s="65" t="str">
        <f t="shared" ca="1" si="10"/>
        <v>-</v>
      </c>
      <c r="EL4" s="65" t="str">
        <f t="shared" ca="1" si="10"/>
        <v>-</v>
      </c>
      <c r="EM4" s="65" t="str">
        <f t="shared" ca="1" si="10"/>
        <v>-</v>
      </c>
      <c r="EN4" s="65" t="str">
        <f t="shared" ca="1" si="10"/>
        <v>-</v>
      </c>
      <c r="EO4" s="65" t="str">
        <f t="shared" ca="1" si="10"/>
        <v>-</v>
      </c>
    </row>
    <row r="5" spans="1:207">
      <c r="A5" s="464"/>
      <c r="B5" s="466"/>
      <c r="C5" s="466"/>
      <c r="D5" s="466"/>
      <c r="E5" s="185" t="s">
        <v>66</v>
      </c>
      <c r="F5" s="66">
        <f>'BESS 11'!S29+'BESS 11'!S32+'BESS 11'!S33+'BESS 11'!S38+'BESS 11'!S37</f>
        <v>0</v>
      </c>
      <c r="G5" s="182">
        <f ca="1">G3+1</f>
        <v>46234</v>
      </c>
      <c r="H5" s="182">
        <f ca="1">G5</f>
        <v>46234</v>
      </c>
      <c r="I5" s="65">
        <f ca="1">H5-G5</f>
        <v>0</v>
      </c>
      <c r="J5" s="453"/>
      <c r="K5" s="453"/>
      <c r="L5" s="445"/>
      <c r="M5" s="65" t="str">
        <f t="shared" ca="1" si="2"/>
        <v>-</v>
      </c>
      <c r="N5" s="65" t="str">
        <f t="shared" ca="1" si="2"/>
        <v>-</v>
      </c>
      <c r="O5" s="65" t="str">
        <f t="shared" ca="1" si="2"/>
        <v>-</v>
      </c>
      <c r="P5" s="65" t="str">
        <f t="shared" ca="1" si="2"/>
        <v>-</v>
      </c>
      <c r="Q5" s="65" t="str">
        <f t="shared" ca="1" si="2"/>
        <v>-</v>
      </c>
      <c r="R5" s="65" t="str">
        <f t="shared" ca="1" si="2"/>
        <v>-</v>
      </c>
      <c r="S5" s="65" t="str">
        <f t="shared" ca="1" si="2"/>
        <v>-</v>
      </c>
      <c r="T5" s="65" t="str">
        <f t="shared" ca="1" si="2"/>
        <v>-</v>
      </c>
      <c r="U5" s="65" t="str">
        <f t="shared" ca="1" si="2"/>
        <v>-</v>
      </c>
      <c r="V5" s="65" t="str">
        <f t="shared" ca="1" si="2"/>
        <v>-</v>
      </c>
      <c r="W5" s="65" t="str">
        <f t="shared" ca="1" si="2"/>
        <v>-</v>
      </c>
      <c r="X5" s="65" t="str">
        <f t="shared" ca="1" si="2"/>
        <v>-</v>
      </c>
      <c r="Y5" s="65" t="str">
        <f t="shared" ca="1" si="2"/>
        <v>-</v>
      </c>
      <c r="Z5" s="65" t="str">
        <f t="shared" ca="1" si="2"/>
        <v>-</v>
      </c>
      <c r="AA5" s="65" t="str">
        <f t="shared" ca="1" si="2"/>
        <v>-</v>
      </c>
      <c r="AB5" s="65" t="str">
        <f t="shared" ca="1" si="2"/>
        <v>-</v>
      </c>
      <c r="AC5" s="65" t="str">
        <f t="shared" ca="1" si="3"/>
        <v>-</v>
      </c>
      <c r="AD5" s="65" t="str">
        <f t="shared" ca="1" si="3"/>
        <v>-</v>
      </c>
      <c r="AE5" s="65" t="str">
        <f t="shared" ca="1" si="3"/>
        <v>-</v>
      </c>
      <c r="AF5" s="65" t="str">
        <f t="shared" ca="1" si="3"/>
        <v>-</v>
      </c>
      <c r="AG5" s="65" t="str">
        <f t="shared" ca="1" si="3"/>
        <v>-</v>
      </c>
      <c r="AH5" s="65" t="str">
        <f t="shared" ca="1" si="3"/>
        <v>-</v>
      </c>
      <c r="AI5" s="65" t="str">
        <f t="shared" ca="1" si="3"/>
        <v>-</v>
      </c>
      <c r="AJ5" s="65" t="str">
        <f t="shared" ca="1" si="3"/>
        <v>-</v>
      </c>
      <c r="AK5" s="65" t="str">
        <f t="shared" ca="1" si="3"/>
        <v>-</v>
      </c>
      <c r="AL5" s="65" t="str">
        <f t="shared" ca="1" si="3"/>
        <v>-</v>
      </c>
      <c r="AM5" s="65" t="str">
        <f t="shared" ca="1" si="3"/>
        <v>-</v>
      </c>
      <c r="AN5" s="65" t="str">
        <f t="shared" ca="1" si="3"/>
        <v>-</v>
      </c>
      <c r="AO5" s="65" t="str">
        <f t="shared" ca="1" si="3"/>
        <v>-</v>
      </c>
      <c r="AP5" s="65" t="str">
        <f t="shared" ca="1" si="3"/>
        <v>-</v>
      </c>
      <c r="AQ5" s="65" t="str">
        <f t="shared" ca="1" si="3"/>
        <v>-</v>
      </c>
      <c r="AR5" s="65" t="str">
        <f t="shared" ca="1" si="3"/>
        <v>-</v>
      </c>
      <c r="AS5" s="65" t="str">
        <f t="shared" ca="1" si="4"/>
        <v>-</v>
      </c>
      <c r="AT5" s="65" t="str">
        <f t="shared" ca="1" si="4"/>
        <v>-</v>
      </c>
      <c r="AU5" s="65" t="str">
        <f t="shared" ca="1" si="4"/>
        <v>-</v>
      </c>
      <c r="AV5" s="65" t="str">
        <f t="shared" ca="1" si="4"/>
        <v>-</v>
      </c>
      <c r="AW5" s="65" t="str">
        <f t="shared" ca="1" si="4"/>
        <v>-</v>
      </c>
      <c r="AX5" s="65" t="str">
        <f t="shared" ca="1" si="4"/>
        <v>-</v>
      </c>
      <c r="AY5" s="65" t="str">
        <f t="shared" ca="1" si="4"/>
        <v>-</v>
      </c>
      <c r="AZ5" s="65" t="str">
        <f t="shared" ca="1" si="4"/>
        <v>-</v>
      </c>
      <c r="BA5" s="65" t="str">
        <f t="shared" ca="1" si="4"/>
        <v>-</v>
      </c>
      <c r="BB5" s="65" t="str">
        <f t="shared" ca="1" si="4"/>
        <v>-</v>
      </c>
      <c r="BC5" s="65" t="str">
        <f t="shared" ca="1" si="4"/>
        <v>-</v>
      </c>
      <c r="BD5" s="65" t="str">
        <f t="shared" ca="1" si="4"/>
        <v>-</v>
      </c>
      <c r="BE5" s="65" t="str">
        <f t="shared" ca="1" si="4"/>
        <v>-</v>
      </c>
      <c r="BF5" s="65" t="str">
        <f t="shared" ca="1" si="4"/>
        <v>-</v>
      </c>
      <c r="BG5" s="65" t="str">
        <f t="shared" ca="1" si="4"/>
        <v>-</v>
      </c>
      <c r="BH5" s="65" t="str">
        <f t="shared" ca="1" si="4"/>
        <v>-</v>
      </c>
      <c r="BI5" s="65" t="str">
        <f t="shared" ca="1" si="5"/>
        <v>-</v>
      </c>
      <c r="BJ5" s="65" t="str">
        <f t="shared" ca="1" si="5"/>
        <v>-</v>
      </c>
      <c r="BK5" s="65" t="str">
        <f t="shared" ca="1" si="5"/>
        <v>-</v>
      </c>
      <c r="BL5" s="65" t="str">
        <f t="shared" ca="1" si="5"/>
        <v>-</v>
      </c>
      <c r="BM5" s="65" t="str">
        <f t="shared" ca="1" si="5"/>
        <v>-</v>
      </c>
      <c r="BN5" s="65" t="str">
        <f t="shared" ca="1" si="5"/>
        <v>-</v>
      </c>
      <c r="BO5" s="65" t="str">
        <f t="shared" ca="1" si="5"/>
        <v>-</v>
      </c>
      <c r="BP5" s="65" t="str">
        <f t="shared" ca="1" si="5"/>
        <v>-</v>
      </c>
      <c r="BQ5" s="65" t="str">
        <f t="shared" ca="1" si="5"/>
        <v>-</v>
      </c>
      <c r="BR5" s="65" t="str">
        <f t="shared" ca="1" si="5"/>
        <v>-</v>
      </c>
      <c r="BS5" s="65" t="str">
        <f t="shared" ca="1" si="5"/>
        <v>-</v>
      </c>
      <c r="BT5" s="65" t="str">
        <f t="shared" ca="1" si="5"/>
        <v>-</v>
      </c>
      <c r="BU5" s="65" t="str">
        <f t="shared" ca="1" si="5"/>
        <v>-</v>
      </c>
      <c r="BV5" s="65" t="str">
        <f t="shared" ca="1" si="5"/>
        <v>-</v>
      </c>
      <c r="BW5" s="65" t="str">
        <f t="shared" ca="1" si="5"/>
        <v>-</v>
      </c>
      <c r="BX5" s="65" t="str">
        <f t="shared" ca="1" si="5"/>
        <v>-</v>
      </c>
      <c r="BY5" s="65" t="str">
        <f t="shared" ca="1" si="6"/>
        <v>-</v>
      </c>
      <c r="BZ5" s="65" t="str">
        <f t="shared" ca="1" si="6"/>
        <v>-</v>
      </c>
      <c r="CA5" s="65" t="str">
        <f t="shared" ca="1" si="6"/>
        <v>-</v>
      </c>
      <c r="CB5" s="65" t="str">
        <f t="shared" ca="1" si="6"/>
        <v>-</v>
      </c>
      <c r="CC5" s="65" t="str">
        <f t="shared" ca="1" si="6"/>
        <v>-</v>
      </c>
      <c r="CD5" s="65" t="str">
        <f t="shared" ca="1" si="6"/>
        <v>-</v>
      </c>
      <c r="CE5" s="65" t="str">
        <f t="shared" ca="1" si="6"/>
        <v>-</v>
      </c>
      <c r="CF5" s="65" t="str">
        <f t="shared" ca="1" si="6"/>
        <v>-</v>
      </c>
      <c r="CG5" s="65" t="str">
        <f t="shared" ca="1" si="6"/>
        <v>-</v>
      </c>
      <c r="CH5" s="65" t="str">
        <f t="shared" ca="1" si="6"/>
        <v>-</v>
      </c>
      <c r="CI5" s="65" t="str">
        <f t="shared" ca="1" si="6"/>
        <v>-</v>
      </c>
      <c r="CJ5" s="65" t="str">
        <f t="shared" ca="1" si="6"/>
        <v>-</v>
      </c>
      <c r="CK5" s="65" t="str">
        <f t="shared" ca="1" si="6"/>
        <v>-</v>
      </c>
      <c r="CL5" s="65" t="str">
        <f t="shared" ca="1" si="6"/>
        <v>-</v>
      </c>
      <c r="CM5" s="65" t="str">
        <f t="shared" ca="1" si="6"/>
        <v>-</v>
      </c>
      <c r="CN5" s="65" t="str">
        <f t="shared" ca="1" si="6"/>
        <v>-</v>
      </c>
      <c r="CO5" s="65" t="str">
        <f t="shared" ca="1" si="7"/>
        <v>-</v>
      </c>
      <c r="CP5" s="65" t="str">
        <f t="shared" ca="1" si="7"/>
        <v>-</v>
      </c>
      <c r="CQ5" s="65" t="str">
        <f t="shared" ca="1" si="7"/>
        <v>-</v>
      </c>
      <c r="CR5" s="65" t="str">
        <f t="shared" ca="1" si="7"/>
        <v>-</v>
      </c>
      <c r="CS5" s="65" t="str">
        <f t="shared" ca="1" si="7"/>
        <v>-</v>
      </c>
      <c r="CT5" s="65" t="str">
        <f t="shared" ca="1" si="7"/>
        <v>-</v>
      </c>
      <c r="CU5" s="65" t="str">
        <f t="shared" ca="1" si="7"/>
        <v>-</v>
      </c>
      <c r="CV5" s="65" t="str">
        <f t="shared" ca="1" si="7"/>
        <v>-</v>
      </c>
      <c r="CW5" s="65" t="str">
        <f t="shared" ca="1" si="7"/>
        <v>-</v>
      </c>
      <c r="CX5" s="65" t="str">
        <f t="shared" ca="1" si="7"/>
        <v>-</v>
      </c>
      <c r="CY5" s="65" t="str">
        <f t="shared" ca="1" si="7"/>
        <v>-</v>
      </c>
      <c r="CZ5" s="65" t="str">
        <f t="shared" ca="1" si="7"/>
        <v>-</v>
      </c>
      <c r="DA5" s="65" t="str">
        <f t="shared" ca="1" si="7"/>
        <v>-</v>
      </c>
      <c r="DB5" s="65" t="str">
        <f t="shared" ca="1" si="7"/>
        <v>-</v>
      </c>
      <c r="DC5" s="65" t="str">
        <f t="shared" ca="1" si="7"/>
        <v>-</v>
      </c>
      <c r="DD5" s="65" t="str">
        <f t="shared" ca="1" si="7"/>
        <v>-</v>
      </c>
      <c r="DE5" s="65" t="str">
        <f t="shared" ca="1" si="8"/>
        <v>-</v>
      </c>
      <c r="DF5" s="65" t="str">
        <f t="shared" ca="1" si="8"/>
        <v>-</v>
      </c>
      <c r="DG5" s="65" t="str">
        <f t="shared" ca="1" si="8"/>
        <v>-</v>
      </c>
      <c r="DH5" s="65" t="str">
        <f t="shared" ca="1" si="8"/>
        <v>-</v>
      </c>
      <c r="DI5" s="65" t="str">
        <f t="shared" ca="1" si="8"/>
        <v>-</v>
      </c>
      <c r="DJ5" s="65" t="str">
        <f t="shared" ca="1" si="8"/>
        <v>-</v>
      </c>
      <c r="DK5" s="65" t="str">
        <f t="shared" ca="1" si="8"/>
        <v>-</v>
      </c>
      <c r="DL5" s="65" t="str">
        <f t="shared" ca="1" si="8"/>
        <v>-</v>
      </c>
      <c r="DM5" s="65" t="str">
        <f t="shared" ca="1" si="8"/>
        <v>-</v>
      </c>
      <c r="DN5" s="65" t="str">
        <f t="shared" ca="1" si="8"/>
        <v>-</v>
      </c>
      <c r="DO5" s="65" t="str">
        <f t="shared" ca="1" si="8"/>
        <v>-</v>
      </c>
      <c r="DP5" s="65" t="str">
        <f t="shared" ca="1" si="8"/>
        <v>-</v>
      </c>
      <c r="DQ5" s="65" t="str">
        <f t="shared" ca="1" si="8"/>
        <v>-</v>
      </c>
      <c r="DR5" s="65" t="str">
        <f t="shared" ca="1" si="8"/>
        <v>-</v>
      </c>
      <c r="DS5" s="65" t="str">
        <f t="shared" ca="1" si="8"/>
        <v>-</v>
      </c>
      <c r="DT5" s="65" t="str">
        <f t="shared" ca="1" si="8"/>
        <v>-</v>
      </c>
      <c r="DU5" s="65" t="str">
        <f t="shared" ca="1" si="9"/>
        <v>-</v>
      </c>
      <c r="DV5" s="65" t="str">
        <f t="shared" ca="1" si="9"/>
        <v>-</v>
      </c>
      <c r="DW5" s="65" t="str">
        <f t="shared" ca="1" si="9"/>
        <v>-</v>
      </c>
      <c r="DX5" s="65" t="str">
        <f t="shared" ca="1" si="9"/>
        <v>-</v>
      </c>
      <c r="DY5" s="65" t="str">
        <f t="shared" ca="1" si="9"/>
        <v>-</v>
      </c>
      <c r="DZ5" s="65" t="str">
        <f t="shared" ca="1" si="9"/>
        <v>-</v>
      </c>
      <c r="EA5" s="65" t="str">
        <f t="shared" ca="1" si="9"/>
        <v>-</v>
      </c>
      <c r="EB5" s="65" t="str">
        <f t="shared" ca="1" si="9"/>
        <v>-</v>
      </c>
      <c r="EC5" s="65" t="str">
        <f t="shared" ca="1" si="9"/>
        <v>-</v>
      </c>
      <c r="ED5" s="65" t="str">
        <f t="shared" ca="1" si="9"/>
        <v>-</v>
      </c>
      <c r="EE5" s="65" t="str">
        <f t="shared" ca="1" si="9"/>
        <v>-</v>
      </c>
      <c r="EF5" s="65" t="str">
        <f t="shared" ca="1" si="9"/>
        <v>-</v>
      </c>
      <c r="EG5" s="65" t="str">
        <f t="shared" ca="1" si="9"/>
        <v>-</v>
      </c>
      <c r="EH5" s="65" t="str">
        <f t="shared" ca="1" si="9"/>
        <v>-</v>
      </c>
      <c r="EI5" s="65" t="str">
        <f t="shared" ca="1" si="9"/>
        <v>-</v>
      </c>
      <c r="EJ5" s="65" t="str">
        <f t="shared" ca="1" si="9"/>
        <v>-</v>
      </c>
      <c r="EK5" s="65" t="str">
        <f t="shared" ca="1" si="10"/>
        <v>-</v>
      </c>
      <c r="EL5" s="65" t="str">
        <f t="shared" ca="1" si="10"/>
        <v>-</v>
      </c>
      <c r="EM5" s="65" t="str">
        <f t="shared" ca="1" si="10"/>
        <v>-</v>
      </c>
      <c r="EN5" s="65" t="str">
        <f t="shared" ca="1" si="10"/>
        <v>-</v>
      </c>
      <c r="EO5" s="65" t="str">
        <f t="shared" ca="1" si="10"/>
        <v>-</v>
      </c>
    </row>
    <row r="6" spans="1:207">
      <c r="A6" s="464"/>
      <c r="B6" s="466"/>
      <c r="C6" s="466"/>
      <c r="D6" s="466"/>
      <c r="E6" s="185" t="s">
        <v>67</v>
      </c>
      <c r="F6" s="66">
        <f>SUM('BESS 11'!S40:S49)</f>
        <v>4.0000000000145518E-3</v>
      </c>
      <c r="G6" s="182">
        <f ca="1">TODAY()</f>
        <v>46233</v>
      </c>
      <c r="H6" s="182">
        <f ca="1">G6</f>
        <v>46233</v>
      </c>
      <c r="I6" s="65">
        <f ca="1">H6-G6</f>
        <v>0</v>
      </c>
      <c r="J6" s="453"/>
      <c r="K6" s="453"/>
      <c r="L6" s="445"/>
      <c r="M6" s="65" t="str">
        <f t="shared" ca="1" si="2"/>
        <v>-</v>
      </c>
      <c r="N6" s="65" t="str">
        <f t="shared" ca="1" si="2"/>
        <v>-</v>
      </c>
      <c r="O6" s="65" t="str">
        <f t="shared" ca="1" si="2"/>
        <v>-</v>
      </c>
      <c r="P6" s="65" t="str">
        <f t="shared" ca="1" si="2"/>
        <v>-</v>
      </c>
      <c r="Q6" s="65" t="str">
        <f t="shared" ca="1" si="2"/>
        <v>-</v>
      </c>
      <c r="R6" s="65" t="str">
        <f t="shared" ca="1" si="2"/>
        <v>-</v>
      </c>
      <c r="S6" s="65" t="str">
        <f t="shared" ca="1" si="2"/>
        <v>-</v>
      </c>
      <c r="T6" s="65" t="str">
        <f t="shared" ca="1" si="2"/>
        <v>-</v>
      </c>
      <c r="U6" s="65" t="str">
        <f t="shared" ca="1" si="2"/>
        <v>-</v>
      </c>
      <c r="V6" s="65" t="str">
        <f t="shared" ca="1" si="2"/>
        <v>-</v>
      </c>
      <c r="W6" s="65" t="str">
        <f t="shared" ca="1" si="2"/>
        <v>-</v>
      </c>
      <c r="X6" s="65" t="str">
        <f t="shared" ca="1" si="2"/>
        <v>-</v>
      </c>
      <c r="Y6" s="65" t="str">
        <f t="shared" ca="1" si="2"/>
        <v>-</v>
      </c>
      <c r="Z6" s="65" t="str">
        <f t="shared" ca="1" si="2"/>
        <v>-</v>
      </c>
      <c r="AA6" s="65" t="str">
        <f t="shared" ca="1" si="2"/>
        <v>-</v>
      </c>
      <c r="AB6" s="65" t="str">
        <f t="shared" ca="1" si="2"/>
        <v>-</v>
      </c>
      <c r="AC6" s="65" t="str">
        <f t="shared" ca="1" si="3"/>
        <v>-</v>
      </c>
      <c r="AD6" s="65" t="str">
        <f t="shared" ca="1" si="3"/>
        <v>-</v>
      </c>
      <c r="AE6" s="65" t="str">
        <f t="shared" ca="1" si="3"/>
        <v>-</v>
      </c>
      <c r="AF6" s="65" t="str">
        <f t="shared" ca="1" si="3"/>
        <v>-</v>
      </c>
      <c r="AG6" s="65" t="str">
        <f t="shared" ca="1" si="3"/>
        <v>-</v>
      </c>
      <c r="AH6" s="65" t="str">
        <f t="shared" ca="1" si="3"/>
        <v>-</v>
      </c>
      <c r="AI6" s="65" t="str">
        <f t="shared" ca="1" si="3"/>
        <v>-</v>
      </c>
      <c r="AJ6" s="65" t="str">
        <f t="shared" ca="1" si="3"/>
        <v>-</v>
      </c>
      <c r="AK6" s="65" t="str">
        <f t="shared" ca="1" si="3"/>
        <v>-</v>
      </c>
      <c r="AL6" s="65" t="str">
        <f t="shared" ca="1" si="3"/>
        <v>-</v>
      </c>
      <c r="AM6" s="65" t="str">
        <f t="shared" ca="1" si="3"/>
        <v>-</v>
      </c>
      <c r="AN6" s="65" t="str">
        <f t="shared" ca="1" si="3"/>
        <v>-</v>
      </c>
      <c r="AO6" s="65" t="str">
        <f t="shared" ca="1" si="3"/>
        <v>-</v>
      </c>
      <c r="AP6" s="65" t="str">
        <f t="shared" ca="1" si="3"/>
        <v>-</v>
      </c>
      <c r="AQ6" s="65" t="str">
        <f t="shared" ca="1" si="3"/>
        <v>-</v>
      </c>
      <c r="AR6" s="65" t="str">
        <f t="shared" ca="1" si="3"/>
        <v>-</v>
      </c>
      <c r="AS6" s="65" t="str">
        <f t="shared" ca="1" si="4"/>
        <v>-</v>
      </c>
      <c r="AT6" s="65" t="str">
        <f t="shared" ca="1" si="4"/>
        <v>-</v>
      </c>
      <c r="AU6" s="65" t="str">
        <f t="shared" ca="1" si="4"/>
        <v>-</v>
      </c>
      <c r="AV6" s="65" t="str">
        <f t="shared" ca="1" si="4"/>
        <v>-</v>
      </c>
      <c r="AW6" s="65" t="str">
        <f t="shared" ca="1" si="4"/>
        <v>-</v>
      </c>
      <c r="AX6" s="65" t="str">
        <f t="shared" ca="1" si="4"/>
        <v>-</v>
      </c>
      <c r="AY6" s="65" t="str">
        <f t="shared" ca="1" si="4"/>
        <v>-</v>
      </c>
      <c r="AZ6" s="65" t="str">
        <f t="shared" ca="1" si="4"/>
        <v>-</v>
      </c>
      <c r="BA6" s="65" t="str">
        <f t="shared" ca="1" si="4"/>
        <v>-</v>
      </c>
      <c r="BB6" s="65" t="str">
        <f t="shared" ca="1" si="4"/>
        <v>-</v>
      </c>
      <c r="BC6" s="65" t="str">
        <f t="shared" ca="1" si="4"/>
        <v>-</v>
      </c>
      <c r="BD6" s="65" t="str">
        <f t="shared" ca="1" si="4"/>
        <v>-</v>
      </c>
      <c r="BE6" s="65" t="str">
        <f t="shared" ca="1" si="4"/>
        <v>-</v>
      </c>
      <c r="BF6" s="65" t="str">
        <f t="shared" ca="1" si="4"/>
        <v>-</v>
      </c>
      <c r="BG6" s="65" t="str">
        <f t="shared" ca="1" si="4"/>
        <v>-</v>
      </c>
      <c r="BH6" s="65" t="str">
        <f t="shared" ca="1" si="4"/>
        <v>-</v>
      </c>
      <c r="BI6" s="65" t="str">
        <f t="shared" ca="1" si="5"/>
        <v>-</v>
      </c>
      <c r="BJ6" s="65" t="str">
        <f t="shared" ca="1" si="5"/>
        <v>-</v>
      </c>
      <c r="BK6" s="65" t="str">
        <f t="shared" ca="1" si="5"/>
        <v>-</v>
      </c>
      <c r="BL6" s="65" t="str">
        <f t="shared" ca="1" si="5"/>
        <v>-</v>
      </c>
      <c r="BM6" s="65" t="str">
        <f t="shared" ca="1" si="5"/>
        <v>-</v>
      </c>
      <c r="BN6" s="65" t="str">
        <f t="shared" ca="1" si="5"/>
        <v>-</v>
      </c>
      <c r="BO6" s="65" t="str">
        <f t="shared" ca="1" si="5"/>
        <v>-</v>
      </c>
      <c r="BP6" s="65" t="str">
        <f t="shared" ca="1" si="5"/>
        <v>-</v>
      </c>
      <c r="BQ6" s="65" t="str">
        <f t="shared" ca="1" si="5"/>
        <v>-</v>
      </c>
      <c r="BR6" s="65" t="str">
        <f t="shared" ca="1" si="5"/>
        <v>-</v>
      </c>
      <c r="BS6" s="65" t="str">
        <f t="shared" ca="1" si="5"/>
        <v>-</v>
      </c>
      <c r="BT6" s="65" t="str">
        <f t="shared" ca="1" si="5"/>
        <v>-</v>
      </c>
      <c r="BU6" s="65" t="str">
        <f t="shared" ca="1" si="5"/>
        <v>-</v>
      </c>
      <c r="BV6" s="65" t="str">
        <f t="shared" ca="1" si="5"/>
        <v>-</v>
      </c>
      <c r="BW6" s="65" t="str">
        <f t="shared" ca="1" si="5"/>
        <v>-</v>
      </c>
      <c r="BX6" s="65" t="str">
        <f t="shared" ca="1" si="5"/>
        <v>-</v>
      </c>
      <c r="BY6" s="65" t="str">
        <f t="shared" ca="1" si="6"/>
        <v>-</v>
      </c>
      <c r="BZ6" s="65" t="str">
        <f t="shared" ca="1" si="6"/>
        <v>-</v>
      </c>
      <c r="CA6" s="65" t="str">
        <f t="shared" ca="1" si="6"/>
        <v>-</v>
      </c>
      <c r="CB6" s="65" t="str">
        <f t="shared" ca="1" si="6"/>
        <v>-</v>
      </c>
      <c r="CC6" s="65" t="str">
        <f t="shared" ca="1" si="6"/>
        <v>-</v>
      </c>
      <c r="CD6" s="65" t="str">
        <f t="shared" ca="1" si="6"/>
        <v>-</v>
      </c>
      <c r="CE6" s="65" t="str">
        <f t="shared" ca="1" si="6"/>
        <v>-</v>
      </c>
      <c r="CF6" s="65" t="str">
        <f t="shared" ca="1" si="6"/>
        <v>-</v>
      </c>
      <c r="CG6" s="65" t="str">
        <f t="shared" ca="1" si="6"/>
        <v>-</v>
      </c>
      <c r="CH6" s="65" t="str">
        <f t="shared" ca="1" si="6"/>
        <v>-</v>
      </c>
      <c r="CI6" s="65" t="str">
        <f t="shared" ca="1" si="6"/>
        <v>-</v>
      </c>
      <c r="CJ6" s="65" t="str">
        <f t="shared" ca="1" si="6"/>
        <v>-</v>
      </c>
      <c r="CK6" s="65" t="str">
        <f t="shared" ca="1" si="6"/>
        <v>-</v>
      </c>
      <c r="CL6" s="65" t="str">
        <f t="shared" ca="1" si="6"/>
        <v>-</v>
      </c>
      <c r="CM6" s="65" t="str">
        <f t="shared" ca="1" si="6"/>
        <v>-</v>
      </c>
      <c r="CN6" s="65" t="str">
        <f t="shared" ca="1" si="6"/>
        <v>-</v>
      </c>
      <c r="CO6" s="65" t="str">
        <f t="shared" ca="1" si="7"/>
        <v>-</v>
      </c>
      <c r="CP6" s="65" t="str">
        <f t="shared" ca="1" si="7"/>
        <v>-</v>
      </c>
      <c r="CQ6" s="65" t="str">
        <f t="shared" ca="1" si="7"/>
        <v>-</v>
      </c>
      <c r="CR6" s="65" t="str">
        <f t="shared" ca="1" si="7"/>
        <v>-</v>
      </c>
      <c r="CS6" s="65" t="str">
        <f t="shared" ca="1" si="7"/>
        <v>-</v>
      </c>
      <c r="CT6" s="65" t="str">
        <f t="shared" ca="1" si="7"/>
        <v>-</v>
      </c>
      <c r="CU6" s="65" t="str">
        <f t="shared" ca="1" si="7"/>
        <v>-</v>
      </c>
      <c r="CV6" s="65" t="str">
        <f t="shared" ca="1" si="7"/>
        <v>-</v>
      </c>
      <c r="CW6" s="65" t="str">
        <f t="shared" ca="1" si="7"/>
        <v>-</v>
      </c>
      <c r="CX6" s="65" t="str">
        <f t="shared" ca="1" si="7"/>
        <v>-</v>
      </c>
      <c r="CY6" s="65" t="str">
        <f t="shared" ca="1" si="7"/>
        <v>-</v>
      </c>
      <c r="CZ6" s="65" t="str">
        <f t="shared" ca="1" si="7"/>
        <v>-</v>
      </c>
      <c r="DA6" s="65" t="str">
        <f t="shared" ca="1" si="7"/>
        <v>-</v>
      </c>
      <c r="DB6" s="65" t="str">
        <f t="shared" ca="1" si="7"/>
        <v>-</v>
      </c>
      <c r="DC6" s="65" t="str">
        <f t="shared" ca="1" si="7"/>
        <v>-</v>
      </c>
      <c r="DD6" s="65" t="str">
        <f t="shared" ca="1" si="7"/>
        <v>-</v>
      </c>
      <c r="DE6" s="65" t="str">
        <f t="shared" ca="1" si="8"/>
        <v>-</v>
      </c>
      <c r="DF6" s="65" t="str">
        <f t="shared" ca="1" si="8"/>
        <v>-</v>
      </c>
      <c r="DG6" s="65" t="str">
        <f t="shared" ca="1" si="8"/>
        <v>-</v>
      </c>
      <c r="DH6" s="65" t="str">
        <f t="shared" ca="1" si="8"/>
        <v>-</v>
      </c>
      <c r="DI6" s="65" t="str">
        <f t="shared" ca="1" si="8"/>
        <v>-</v>
      </c>
      <c r="DJ6" s="65" t="str">
        <f t="shared" ca="1" si="8"/>
        <v>-</v>
      </c>
      <c r="DK6" s="65" t="str">
        <f t="shared" ca="1" si="8"/>
        <v>-</v>
      </c>
      <c r="DL6" s="65" t="str">
        <f t="shared" ca="1" si="8"/>
        <v>-</v>
      </c>
      <c r="DM6" s="65" t="str">
        <f t="shared" ca="1" si="8"/>
        <v>-</v>
      </c>
      <c r="DN6" s="65" t="str">
        <f t="shared" ca="1" si="8"/>
        <v>-</v>
      </c>
      <c r="DO6" s="65" t="str">
        <f t="shared" ca="1" si="8"/>
        <v>-</v>
      </c>
      <c r="DP6" s="65" t="str">
        <f t="shared" ca="1" si="8"/>
        <v>-</v>
      </c>
      <c r="DQ6" s="65" t="str">
        <f t="shared" ca="1" si="8"/>
        <v>-</v>
      </c>
      <c r="DR6" s="65" t="str">
        <f t="shared" ca="1" si="8"/>
        <v>-</v>
      </c>
      <c r="DS6" s="65" t="str">
        <f t="shared" ca="1" si="8"/>
        <v>-</v>
      </c>
      <c r="DT6" s="65" t="str">
        <f t="shared" ca="1" si="8"/>
        <v>-</v>
      </c>
      <c r="DU6" s="65" t="str">
        <f t="shared" ca="1" si="9"/>
        <v>-</v>
      </c>
      <c r="DV6" s="65" t="str">
        <f t="shared" ca="1" si="9"/>
        <v>-</v>
      </c>
      <c r="DW6" s="65" t="str">
        <f t="shared" ca="1" si="9"/>
        <v>-</v>
      </c>
      <c r="DX6" s="65" t="str">
        <f t="shared" ca="1" si="9"/>
        <v>-</v>
      </c>
      <c r="DY6" s="65" t="str">
        <f t="shared" ca="1" si="9"/>
        <v>-</v>
      </c>
      <c r="DZ6" s="65" t="str">
        <f t="shared" ca="1" si="9"/>
        <v>-</v>
      </c>
      <c r="EA6" s="65" t="str">
        <f t="shared" ca="1" si="9"/>
        <v>-</v>
      </c>
      <c r="EB6" s="65" t="str">
        <f t="shared" ca="1" si="9"/>
        <v>-</v>
      </c>
      <c r="EC6" s="65" t="str">
        <f t="shared" ca="1" si="9"/>
        <v>-</v>
      </c>
      <c r="ED6" s="65" t="str">
        <f t="shared" ca="1" si="9"/>
        <v>-</v>
      </c>
      <c r="EE6" s="65" t="str">
        <f t="shared" ca="1" si="9"/>
        <v>-</v>
      </c>
      <c r="EF6" s="65" t="str">
        <f t="shared" ca="1" si="9"/>
        <v>-</v>
      </c>
      <c r="EG6" s="65" t="str">
        <f t="shared" ca="1" si="9"/>
        <v>-</v>
      </c>
      <c r="EH6" s="65" t="str">
        <f t="shared" ca="1" si="9"/>
        <v>-</v>
      </c>
      <c r="EI6" s="65" t="str">
        <f t="shared" ca="1" si="9"/>
        <v>-</v>
      </c>
      <c r="EJ6" s="65" t="str">
        <f t="shared" ca="1" si="9"/>
        <v>-</v>
      </c>
      <c r="EK6" s="65" t="str">
        <f t="shared" ca="1" si="10"/>
        <v>-</v>
      </c>
      <c r="EL6" s="65" t="str">
        <f t="shared" ca="1" si="10"/>
        <v>-</v>
      </c>
      <c r="EM6" s="65" t="str">
        <f t="shared" ca="1" si="10"/>
        <v>-</v>
      </c>
      <c r="EN6" s="65" t="str">
        <f t="shared" ca="1" si="10"/>
        <v>-</v>
      </c>
      <c r="EO6" s="65" t="str">
        <f t="shared" ca="1" si="10"/>
        <v>-</v>
      </c>
    </row>
    <row r="7" spans="1:207">
      <c r="A7" s="464"/>
      <c r="B7" s="466"/>
      <c r="C7" s="466"/>
      <c r="D7" s="466"/>
      <c r="E7" s="185" t="s">
        <v>68</v>
      </c>
      <c r="F7" s="65">
        <v>250</v>
      </c>
      <c r="G7" s="185"/>
      <c r="H7" s="182">
        <f>B3-3</f>
        <v>46228</v>
      </c>
      <c r="I7" s="65">
        <v>30</v>
      </c>
      <c r="J7" s="454"/>
      <c r="K7" s="454"/>
      <c r="L7" s="446"/>
      <c r="M7" s="65" t="str">
        <f>IF(AND(M$2&gt;=$B3-26,M$2&lt;=$B3-3),5,IF(OR(M$2=$B3-2,M$2=$B3-1,M$2=$B3,M$2=$B3+1),30,IF(OR(M$2=$B3+2,M$2=$B3+3),5,"")))</f>
        <v/>
      </c>
      <c r="N7" s="65" t="str">
        <f t="shared" ref="N7:BY7" si="11">IF(AND(N$2&gt;=$B$3-26,N$2&lt;=$B$3-3),5,IF(OR(N$2=$B$3-2,N$2=$B$3-1,N$2=$B$3,N$2=$B$3+1),30,IF(OR(N$2=$B$3+2,N$2=$B$3+3),5,"")))</f>
        <v/>
      </c>
      <c r="O7" s="65" t="str">
        <f t="shared" si="11"/>
        <v/>
      </c>
      <c r="P7" s="65" t="str">
        <f t="shared" si="11"/>
        <v/>
      </c>
      <c r="Q7" s="65" t="str">
        <f t="shared" si="11"/>
        <v/>
      </c>
      <c r="R7" s="65" t="str">
        <f t="shared" si="11"/>
        <v/>
      </c>
      <c r="S7" s="65" t="str">
        <f t="shared" si="11"/>
        <v/>
      </c>
      <c r="T7" s="65" t="str">
        <f t="shared" si="11"/>
        <v/>
      </c>
      <c r="U7" s="65" t="str">
        <f t="shared" si="11"/>
        <v/>
      </c>
      <c r="V7" s="65" t="str">
        <f t="shared" si="11"/>
        <v/>
      </c>
      <c r="W7" s="65">
        <f t="shared" si="11"/>
        <v>5</v>
      </c>
      <c r="X7" s="65">
        <f t="shared" si="11"/>
        <v>5</v>
      </c>
      <c r="Y7" s="65">
        <f t="shared" si="11"/>
        <v>5</v>
      </c>
      <c r="Z7" s="65">
        <f t="shared" si="11"/>
        <v>5</v>
      </c>
      <c r="AA7" s="65">
        <f t="shared" si="11"/>
        <v>5</v>
      </c>
      <c r="AB7" s="65">
        <f t="shared" si="11"/>
        <v>5</v>
      </c>
      <c r="AC7" s="65">
        <f t="shared" si="11"/>
        <v>5</v>
      </c>
      <c r="AD7" s="65">
        <f t="shared" si="11"/>
        <v>5</v>
      </c>
      <c r="AE7" s="65">
        <f t="shared" si="11"/>
        <v>5</v>
      </c>
      <c r="AF7" s="65">
        <f t="shared" si="11"/>
        <v>5</v>
      </c>
      <c r="AG7" s="65">
        <f t="shared" si="11"/>
        <v>5</v>
      </c>
      <c r="AH7" s="65">
        <f t="shared" si="11"/>
        <v>5</v>
      </c>
      <c r="AI7" s="65">
        <f t="shared" si="11"/>
        <v>5</v>
      </c>
      <c r="AJ7" s="65">
        <f t="shared" si="11"/>
        <v>5</v>
      </c>
      <c r="AK7" s="65">
        <f t="shared" si="11"/>
        <v>5</v>
      </c>
      <c r="AL7" s="65">
        <f t="shared" si="11"/>
        <v>5</v>
      </c>
      <c r="AM7" s="65">
        <f t="shared" si="11"/>
        <v>5</v>
      </c>
      <c r="AN7" s="65">
        <f t="shared" si="11"/>
        <v>5</v>
      </c>
      <c r="AO7" s="65">
        <f t="shared" si="11"/>
        <v>5</v>
      </c>
      <c r="AP7" s="65">
        <f t="shared" si="11"/>
        <v>5</v>
      </c>
      <c r="AQ7" s="65">
        <f t="shared" si="11"/>
        <v>5</v>
      </c>
      <c r="AR7" s="65">
        <f t="shared" si="11"/>
        <v>5</v>
      </c>
      <c r="AS7" s="65">
        <f t="shared" si="11"/>
        <v>5</v>
      </c>
      <c r="AT7" s="65">
        <f t="shared" si="11"/>
        <v>5</v>
      </c>
      <c r="AU7" s="65">
        <f t="shared" si="11"/>
        <v>30</v>
      </c>
      <c r="AV7" s="65">
        <f t="shared" si="11"/>
        <v>30</v>
      </c>
      <c r="AW7" s="65">
        <f t="shared" si="11"/>
        <v>30</v>
      </c>
      <c r="AX7" s="65">
        <f t="shared" si="11"/>
        <v>30</v>
      </c>
      <c r="AY7" s="65">
        <f t="shared" si="11"/>
        <v>5</v>
      </c>
      <c r="AZ7" s="65">
        <f t="shared" si="11"/>
        <v>5</v>
      </c>
      <c r="BA7" s="65" t="str">
        <f t="shared" si="11"/>
        <v/>
      </c>
      <c r="BB7" s="65" t="str">
        <f t="shared" si="11"/>
        <v/>
      </c>
      <c r="BC7" s="65" t="str">
        <f t="shared" si="11"/>
        <v/>
      </c>
      <c r="BD7" s="65" t="str">
        <f t="shared" si="11"/>
        <v/>
      </c>
      <c r="BE7" s="65" t="str">
        <f t="shared" si="11"/>
        <v/>
      </c>
      <c r="BF7" s="65" t="str">
        <f t="shared" si="11"/>
        <v/>
      </c>
      <c r="BG7" s="65" t="str">
        <f t="shared" si="11"/>
        <v/>
      </c>
      <c r="BH7" s="65" t="str">
        <f t="shared" si="11"/>
        <v/>
      </c>
      <c r="BI7" s="65" t="str">
        <f t="shared" si="11"/>
        <v/>
      </c>
      <c r="BJ7" s="65" t="str">
        <f t="shared" si="11"/>
        <v/>
      </c>
      <c r="BK7" s="65" t="str">
        <f t="shared" si="11"/>
        <v/>
      </c>
      <c r="BL7" s="65" t="str">
        <f t="shared" si="11"/>
        <v/>
      </c>
      <c r="BM7" s="65" t="str">
        <f t="shared" si="11"/>
        <v/>
      </c>
      <c r="BN7" s="65" t="str">
        <f t="shared" si="11"/>
        <v/>
      </c>
      <c r="BO7" s="65" t="str">
        <f t="shared" si="11"/>
        <v/>
      </c>
      <c r="BP7" s="65" t="str">
        <f t="shared" si="11"/>
        <v/>
      </c>
      <c r="BQ7" s="65" t="str">
        <f t="shared" si="11"/>
        <v/>
      </c>
      <c r="BR7" s="65" t="str">
        <f t="shared" si="11"/>
        <v/>
      </c>
      <c r="BS7" s="65" t="str">
        <f t="shared" si="11"/>
        <v/>
      </c>
      <c r="BT7" s="65" t="str">
        <f t="shared" si="11"/>
        <v/>
      </c>
      <c r="BU7" s="65" t="str">
        <f t="shared" si="11"/>
        <v/>
      </c>
      <c r="BV7" s="65" t="str">
        <f t="shared" si="11"/>
        <v/>
      </c>
      <c r="BW7" s="65" t="str">
        <f t="shared" si="11"/>
        <v/>
      </c>
      <c r="BX7" s="65" t="str">
        <f t="shared" si="11"/>
        <v/>
      </c>
      <c r="BY7" s="65" t="str">
        <f t="shared" si="11"/>
        <v/>
      </c>
      <c r="BZ7" s="65" t="str">
        <f t="shared" ref="BZ7:EK7" si="12">IF(AND(BZ$2&gt;=$B$3-26,BZ$2&lt;=$B$3-3),5,IF(OR(BZ$2=$B$3-2,BZ$2=$B$3-1,BZ$2=$B$3,BZ$2=$B$3+1),30,IF(OR(BZ$2=$B$3+2,BZ$2=$B$3+3),5,"")))</f>
        <v/>
      </c>
      <c r="CA7" s="65" t="str">
        <f t="shared" si="12"/>
        <v/>
      </c>
      <c r="CB7" s="65" t="str">
        <f t="shared" si="12"/>
        <v/>
      </c>
      <c r="CC7" s="65" t="str">
        <f t="shared" si="12"/>
        <v/>
      </c>
      <c r="CD7" s="65" t="str">
        <f t="shared" si="12"/>
        <v/>
      </c>
      <c r="CE7" s="65" t="str">
        <f t="shared" si="12"/>
        <v/>
      </c>
      <c r="CF7" s="65" t="str">
        <f t="shared" si="12"/>
        <v/>
      </c>
      <c r="CG7" s="65" t="str">
        <f t="shared" si="12"/>
        <v/>
      </c>
      <c r="CH7" s="65" t="str">
        <f t="shared" si="12"/>
        <v/>
      </c>
      <c r="CI7" s="65" t="str">
        <f t="shared" si="12"/>
        <v/>
      </c>
      <c r="CJ7" s="65" t="str">
        <f t="shared" si="12"/>
        <v/>
      </c>
      <c r="CK7" s="65" t="str">
        <f t="shared" si="12"/>
        <v/>
      </c>
      <c r="CL7" s="65" t="str">
        <f t="shared" si="12"/>
        <v/>
      </c>
      <c r="CM7" s="65" t="str">
        <f t="shared" si="12"/>
        <v/>
      </c>
      <c r="CN7" s="65" t="str">
        <f t="shared" si="12"/>
        <v/>
      </c>
      <c r="CO7" s="65" t="str">
        <f t="shared" si="12"/>
        <v/>
      </c>
      <c r="CP7" s="65" t="str">
        <f t="shared" si="12"/>
        <v/>
      </c>
      <c r="CQ7" s="65" t="str">
        <f t="shared" si="12"/>
        <v/>
      </c>
      <c r="CR7" s="65" t="str">
        <f t="shared" si="12"/>
        <v/>
      </c>
      <c r="CS7" s="65" t="str">
        <f t="shared" si="12"/>
        <v/>
      </c>
      <c r="CT7" s="65" t="str">
        <f t="shared" si="12"/>
        <v/>
      </c>
      <c r="CU7" s="65" t="str">
        <f t="shared" si="12"/>
        <v/>
      </c>
      <c r="CV7" s="65" t="str">
        <f t="shared" si="12"/>
        <v/>
      </c>
      <c r="CW7" s="65" t="str">
        <f t="shared" si="12"/>
        <v/>
      </c>
      <c r="CX7" s="65" t="str">
        <f t="shared" si="12"/>
        <v/>
      </c>
      <c r="CY7" s="65" t="str">
        <f t="shared" si="12"/>
        <v/>
      </c>
      <c r="CZ7" s="65" t="str">
        <f t="shared" si="12"/>
        <v/>
      </c>
      <c r="DA7" s="65" t="str">
        <f t="shared" si="12"/>
        <v/>
      </c>
      <c r="DB7" s="65" t="str">
        <f t="shared" si="12"/>
        <v/>
      </c>
      <c r="DC7" s="65" t="str">
        <f t="shared" si="12"/>
        <v/>
      </c>
      <c r="DD7" s="65" t="str">
        <f t="shared" si="12"/>
        <v/>
      </c>
      <c r="DE7" s="65" t="str">
        <f t="shared" si="12"/>
        <v/>
      </c>
      <c r="DF7" s="65" t="str">
        <f t="shared" si="12"/>
        <v/>
      </c>
      <c r="DG7" s="65" t="str">
        <f t="shared" si="12"/>
        <v/>
      </c>
      <c r="DH7" s="65" t="str">
        <f t="shared" si="12"/>
        <v/>
      </c>
      <c r="DI7" s="65" t="str">
        <f t="shared" si="12"/>
        <v/>
      </c>
      <c r="DJ7" s="65" t="str">
        <f t="shared" si="12"/>
        <v/>
      </c>
      <c r="DK7" s="65" t="str">
        <f t="shared" si="12"/>
        <v/>
      </c>
      <c r="DL7" s="65" t="str">
        <f t="shared" si="12"/>
        <v/>
      </c>
      <c r="DM7" s="65" t="str">
        <f t="shared" si="12"/>
        <v/>
      </c>
      <c r="DN7" s="65" t="str">
        <f t="shared" si="12"/>
        <v/>
      </c>
      <c r="DO7" s="65" t="str">
        <f t="shared" si="12"/>
        <v/>
      </c>
      <c r="DP7" s="65" t="str">
        <f t="shared" si="12"/>
        <v/>
      </c>
      <c r="DQ7" s="65" t="str">
        <f t="shared" si="12"/>
        <v/>
      </c>
      <c r="DR7" s="65" t="str">
        <f t="shared" si="12"/>
        <v/>
      </c>
      <c r="DS7" s="65" t="str">
        <f t="shared" si="12"/>
        <v/>
      </c>
      <c r="DT7" s="65" t="str">
        <f t="shared" si="12"/>
        <v/>
      </c>
      <c r="DU7" s="65" t="str">
        <f t="shared" si="12"/>
        <v/>
      </c>
      <c r="DV7" s="65" t="str">
        <f t="shared" si="12"/>
        <v/>
      </c>
      <c r="DW7" s="65" t="str">
        <f t="shared" si="12"/>
        <v/>
      </c>
      <c r="DX7" s="65" t="str">
        <f t="shared" si="12"/>
        <v/>
      </c>
      <c r="DY7" s="65" t="str">
        <f t="shared" si="12"/>
        <v/>
      </c>
      <c r="DZ7" s="65" t="str">
        <f t="shared" si="12"/>
        <v/>
      </c>
      <c r="EA7" s="65" t="str">
        <f t="shared" si="12"/>
        <v/>
      </c>
      <c r="EB7" s="65" t="str">
        <f t="shared" si="12"/>
        <v/>
      </c>
      <c r="EC7" s="65" t="str">
        <f t="shared" si="12"/>
        <v/>
      </c>
      <c r="ED7" s="65" t="str">
        <f t="shared" si="12"/>
        <v/>
      </c>
      <c r="EE7" s="65" t="str">
        <f t="shared" si="12"/>
        <v/>
      </c>
      <c r="EF7" s="65" t="str">
        <f t="shared" si="12"/>
        <v/>
      </c>
      <c r="EG7" s="65" t="str">
        <f t="shared" si="12"/>
        <v/>
      </c>
      <c r="EH7" s="65" t="str">
        <f t="shared" si="12"/>
        <v/>
      </c>
      <c r="EI7" s="65" t="str">
        <f t="shared" si="12"/>
        <v/>
      </c>
      <c r="EJ7" s="65" t="str">
        <f t="shared" si="12"/>
        <v/>
      </c>
      <c r="EK7" s="65" t="str">
        <f t="shared" si="12"/>
        <v/>
      </c>
      <c r="EL7" s="65" t="str">
        <f t="shared" ref="EL7:EO7" si="13">IF(AND(EL$2&gt;=$B$3-26,EL$2&lt;=$B$3-3),5,IF(OR(EL$2=$B$3-2,EL$2=$B$3-1,EL$2=$B$3,EL$2=$B$3+1),30,IF(OR(EL$2=$B$3+2,EL$2=$B$3+3),5,"")))</f>
        <v/>
      </c>
      <c r="EM7" s="65" t="str">
        <f t="shared" si="13"/>
        <v/>
      </c>
      <c r="EN7" s="65" t="str">
        <f t="shared" si="13"/>
        <v/>
      </c>
      <c r="EO7" s="65" t="str">
        <f t="shared" si="13"/>
        <v/>
      </c>
    </row>
    <row r="8" spans="1:207" s="207" customFormat="1" ht="13.5" customHeight="1">
      <c r="A8" s="235"/>
      <c r="B8" s="202"/>
      <c r="C8" s="202"/>
      <c r="D8" s="201"/>
      <c r="E8" s="201"/>
      <c r="F8" s="201"/>
      <c r="G8" s="204" t="s">
        <v>69</v>
      </c>
      <c r="H8" s="203"/>
      <c r="I8" s="203"/>
      <c r="J8" s="203"/>
      <c r="K8" s="230"/>
      <c r="L8" s="230"/>
      <c r="M8" s="205">
        <f ca="1">SUM(M3:M7)</f>
        <v>0</v>
      </c>
      <c r="N8" s="205">
        <f ca="1">SUM(N3:N7)</f>
        <v>0</v>
      </c>
      <c r="O8" s="205">
        <f ca="1">SUM(O3:O7)</f>
        <v>0</v>
      </c>
      <c r="P8" s="205">
        <f t="shared" ref="P8:CA8" ca="1" si="14">SUM(P3:P7)</f>
        <v>0</v>
      </c>
      <c r="Q8" s="205">
        <f t="shared" ca="1" si="14"/>
        <v>0</v>
      </c>
      <c r="R8" s="205">
        <f t="shared" ca="1" si="14"/>
        <v>0</v>
      </c>
      <c r="S8" s="205">
        <f t="shared" ca="1" si="14"/>
        <v>0</v>
      </c>
      <c r="T8" s="205">
        <f t="shared" ca="1" si="14"/>
        <v>0</v>
      </c>
      <c r="U8" s="205">
        <f t="shared" ca="1" si="14"/>
        <v>0</v>
      </c>
      <c r="V8" s="205">
        <f t="shared" ca="1" si="14"/>
        <v>0</v>
      </c>
      <c r="W8" s="205">
        <f t="shared" ca="1" si="14"/>
        <v>5</v>
      </c>
      <c r="X8" s="205">
        <f t="shared" ca="1" si="14"/>
        <v>5</v>
      </c>
      <c r="Y8" s="205">
        <f t="shared" ca="1" si="14"/>
        <v>5</v>
      </c>
      <c r="Z8" s="205">
        <f t="shared" ca="1" si="14"/>
        <v>5</v>
      </c>
      <c r="AA8" s="205">
        <f t="shared" ca="1" si="14"/>
        <v>5</v>
      </c>
      <c r="AB8" s="205">
        <f t="shared" ca="1" si="14"/>
        <v>5</v>
      </c>
      <c r="AC8" s="205">
        <f t="shared" ca="1" si="14"/>
        <v>5</v>
      </c>
      <c r="AD8" s="205">
        <f t="shared" ca="1" si="14"/>
        <v>5</v>
      </c>
      <c r="AE8" s="205">
        <f t="shared" ca="1" si="14"/>
        <v>5</v>
      </c>
      <c r="AF8" s="205">
        <f t="shared" ca="1" si="14"/>
        <v>5</v>
      </c>
      <c r="AG8" s="205">
        <f t="shared" ca="1" si="14"/>
        <v>5</v>
      </c>
      <c r="AH8" s="205">
        <f t="shared" ca="1" si="14"/>
        <v>5</v>
      </c>
      <c r="AI8" s="205">
        <f t="shared" ca="1" si="14"/>
        <v>5</v>
      </c>
      <c r="AJ8" s="205">
        <f t="shared" ca="1" si="14"/>
        <v>5</v>
      </c>
      <c r="AK8" s="205">
        <f t="shared" ca="1" si="14"/>
        <v>5</v>
      </c>
      <c r="AL8" s="205">
        <f t="shared" ca="1" si="14"/>
        <v>5</v>
      </c>
      <c r="AM8" s="205">
        <f t="shared" ca="1" si="14"/>
        <v>5</v>
      </c>
      <c r="AN8" s="205">
        <f t="shared" ca="1" si="14"/>
        <v>5</v>
      </c>
      <c r="AO8" s="205">
        <f t="shared" ca="1" si="14"/>
        <v>5</v>
      </c>
      <c r="AP8" s="205">
        <f t="shared" ca="1" si="14"/>
        <v>5</v>
      </c>
      <c r="AQ8" s="205">
        <f t="shared" ca="1" si="14"/>
        <v>5</v>
      </c>
      <c r="AR8" s="205">
        <f t="shared" ca="1" si="14"/>
        <v>5</v>
      </c>
      <c r="AS8" s="205">
        <f t="shared" ca="1" si="14"/>
        <v>5</v>
      </c>
      <c r="AT8" s="205">
        <f t="shared" ca="1" si="14"/>
        <v>5</v>
      </c>
      <c r="AU8" s="205">
        <f t="shared" ca="1" si="14"/>
        <v>30</v>
      </c>
      <c r="AV8" s="205">
        <f t="shared" ca="1" si="14"/>
        <v>30</v>
      </c>
      <c r="AW8" s="205">
        <f t="shared" ca="1" si="14"/>
        <v>30</v>
      </c>
      <c r="AX8" s="205">
        <f t="shared" ca="1" si="14"/>
        <v>30</v>
      </c>
      <c r="AY8" s="205">
        <f t="shared" ca="1" si="14"/>
        <v>5</v>
      </c>
      <c r="AZ8" s="205">
        <f t="shared" ca="1" si="14"/>
        <v>5</v>
      </c>
      <c r="BA8" s="205">
        <f t="shared" ca="1" si="14"/>
        <v>0</v>
      </c>
      <c r="BB8" s="205">
        <f t="shared" ca="1" si="14"/>
        <v>0</v>
      </c>
      <c r="BC8" s="205">
        <f t="shared" ca="1" si="14"/>
        <v>0</v>
      </c>
      <c r="BD8" s="205">
        <f t="shared" ca="1" si="14"/>
        <v>0</v>
      </c>
      <c r="BE8" s="205">
        <f t="shared" ca="1" si="14"/>
        <v>0</v>
      </c>
      <c r="BF8" s="205">
        <f t="shared" ca="1" si="14"/>
        <v>0</v>
      </c>
      <c r="BG8" s="205">
        <f t="shared" ca="1" si="14"/>
        <v>0</v>
      </c>
      <c r="BH8" s="205">
        <f t="shared" ca="1" si="14"/>
        <v>0</v>
      </c>
      <c r="BI8" s="205">
        <f t="shared" ca="1" si="14"/>
        <v>0</v>
      </c>
      <c r="BJ8" s="205">
        <f t="shared" ca="1" si="14"/>
        <v>0</v>
      </c>
      <c r="BK8" s="205">
        <f t="shared" ca="1" si="14"/>
        <v>0</v>
      </c>
      <c r="BL8" s="205">
        <f t="shared" ca="1" si="14"/>
        <v>0</v>
      </c>
      <c r="BM8" s="205">
        <f t="shared" ca="1" si="14"/>
        <v>0</v>
      </c>
      <c r="BN8" s="205">
        <f t="shared" ca="1" si="14"/>
        <v>0</v>
      </c>
      <c r="BO8" s="205">
        <f t="shared" ca="1" si="14"/>
        <v>0</v>
      </c>
      <c r="BP8" s="205">
        <f t="shared" ca="1" si="14"/>
        <v>0</v>
      </c>
      <c r="BQ8" s="205">
        <f t="shared" ca="1" si="14"/>
        <v>0</v>
      </c>
      <c r="BR8" s="205">
        <f t="shared" ca="1" si="14"/>
        <v>0</v>
      </c>
      <c r="BS8" s="205">
        <f t="shared" ca="1" si="14"/>
        <v>0</v>
      </c>
      <c r="BT8" s="205">
        <f t="shared" ca="1" si="14"/>
        <v>0</v>
      </c>
      <c r="BU8" s="205">
        <f t="shared" ca="1" si="14"/>
        <v>0</v>
      </c>
      <c r="BV8" s="205">
        <f t="shared" ca="1" si="14"/>
        <v>0</v>
      </c>
      <c r="BW8" s="205">
        <f t="shared" ca="1" si="14"/>
        <v>0</v>
      </c>
      <c r="BX8" s="205">
        <f t="shared" ca="1" si="14"/>
        <v>0</v>
      </c>
      <c r="BY8" s="205">
        <f t="shared" ca="1" si="14"/>
        <v>0</v>
      </c>
      <c r="BZ8" s="205">
        <f t="shared" ca="1" si="14"/>
        <v>0</v>
      </c>
      <c r="CA8" s="205">
        <f t="shared" ca="1" si="14"/>
        <v>0</v>
      </c>
      <c r="CB8" s="205">
        <f t="shared" ref="CB8:EM8" ca="1" si="15">SUM(CB3:CB7)</f>
        <v>0</v>
      </c>
      <c r="CC8" s="205">
        <f t="shared" ca="1" si="15"/>
        <v>0</v>
      </c>
      <c r="CD8" s="205">
        <f t="shared" ca="1" si="15"/>
        <v>0</v>
      </c>
      <c r="CE8" s="205">
        <f t="shared" ca="1" si="15"/>
        <v>0</v>
      </c>
      <c r="CF8" s="205">
        <f t="shared" ca="1" si="15"/>
        <v>0</v>
      </c>
      <c r="CG8" s="205">
        <f t="shared" ca="1" si="15"/>
        <v>0</v>
      </c>
      <c r="CH8" s="205">
        <f t="shared" ca="1" si="15"/>
        <v>0</v>
      </c>
      <c r="CI8" s="205">
        <f t="shared" ca="1" si="15"/>
        <v>0</v>
      </c>
      <c r="CJ8" s="205">
        <f t="shared" ca="1" si="15"/>
        <v>0</v>
      </c>
      <c r="CK8" s="205">
        <f t="shared" ca="1" si="15"/>
        <v>0</v>
      </c>
      <c r="CL8" s="205">
        <f t="shared" ca="1" si="15"/>
        <v>0</v>
      </c>
      <c r="CM8" s="205">
        <f t="shared" ca="1" si="15"/>
        <v>0</v>
      </c>
      <c r="CN8" s="205">
        <f t="shared" ca="1" si="15"/>
        <v>0</v>
      </c>
      <c r="CO8" s="205">
        <f t="shared" ca="1" si="15"/>
        <v>0</v>
      </c>
      <c r="CP8" s="205">
        <f t="shared" ca="1" si="15"/>
        <v>0</v>
      </c>
      <c r="CQ8" s="205">
        <f t="shared" ca="1" si="15"/>
        <v>0</v>
      </c>
      <c r="CR8" s="205">
        <f t="shared" ca="1" si="15"/>
        <v>0</v>
      </c>
      <c r="CS8" s="205">
        <f t="shared" ca="1" si="15"/>
        <v>0</v>
      </c>
      <c r="CT8" s="205">
        <f t="shared" ca="1" si="15"/>
        <v>0</v>
      </c>
      <c r="CU8" s="205">
        <f t="shared" ca="1" si="15"/>
        <v>0</v>
      </c>
      <c r="CV8" s="205">
        <f t="shared" ca="1" si="15"/>
        <v>0</v>
      </c>
      <c r="CW8" s="205">
        <f t="shared" ca="1" si="15"/>
        <v>0</v>
      </c>
      <c r="CX8" s="205">
        <f t="shared" ca="1" si="15"/>
        <v>0</v>
      </c>
      <c r="CY8" s="205">
        <f t="shared" ca="1" si="15"/>
        <v>0</v>
      </c>
      <c r="CZ8" s="205">
        <f t="shared" ca="1" si="15"/>
        <v>0</v>
      </c>
      <c r="DA8" s="205">
        <f t="shared" ca="1" si="15"/>
        <v>0</v>
      </c>
      <c r="DB8" s="205">
        <f t="shared" ca="1" si="15"/>
        <v>0</v>
      </c>
      <c r="DC8" s="205">
        <f t="shared" ca="1" si="15"/>
        <v>0</v>
      </c>
      <c r="DD8" s="205">
        <f t="shared" ca="1" si="15"/>
        <v>0</v>
      </c>
      <c r="DE8" s="205">
        <f t="shared" ca="1" si="15"/>
        <v>0</v>
      </c>
      <c r="DF8" s="205">
        <f t="shared" ca="1" si="15"/>
        <v>0</v>
      </c>
      <c r="DG8" s="205">
        <f t="shared" ca="1" si="15"/>
        <v>0</v>
      </c>
      <c r="DH8" s="205">
        <f t="shared" ca="1" si="15"/>
        <v>0</v>
      </c>
      <c r="DI8" s="205">
        <f t="shared" ca="1" si="15"/>
        <v>0</v>
      </c>
      <c r="DJ8" s="205">
        <f t="shared" ca="1" si="15"/>
        <v>0</v>
      </c>
      <c r="DK8" s="205">
        <f t="shared" ca="1" si="15"/>
        <v>0</v>
      </c>
      <c r="DL8" s="205">
        <f t="shared" ca="1" si="15"/>
        <v>0</v>
      </c>
      <c r="DM8" s="205">
        <f t="shared" ca="1" si="15"/>
        <v>0</v>
      </c>
      <c r="DN8" s="205">
        <f t="shared" ca="1" si="15"/>
        <v>0</v>
      </c>
      <c r="DO8" s="205">
        <f t="shared" ca="1" si="15"/>
        <v>0</v>
      </c>
      <c r="DP8" s="205">
        <f t="shared" ca="1" si="15"/>
        <v>0</v>
      </c>
      <c r="DQ8" s="205">
        <f t="shared" ca="1" si="15"/>
        <v>0</v>
      </c>
      <c r="DR8" s="205">
        <f t="shared" ca="1" si="15"/>
        <v>0</v>
      </c>
      <c r="DS8" s="205">
        <f t="shared" ca="1" si="15"/>
        <v>0</v>
      </c>
      <c r="DT8" s="205">
        <f t="shared" ca="1" si="15"/>
        <v>0</v>
      </c>
      <c r="DU8" s="205">
        <f t="shared" ca="1" si="15"/>
        <v>0</v>
      </c>
      <c r="DV8" s="205">
        <f t="shared" ca="1" si="15"/>
        <v>0</v>
      </c>
      <c r="DW8" s="205">
        <f t="shared" ca="1" si="15"/>
        <v>0</v>
      </c>
      <c r="DX8" s="205">
        <f t="shared" ca="1" si="15"/>
        <v>0</v>
      </c>
      <c r="DY8" s="205">
        <f t="shared" ca="1" si="15"/>
        <v>0</v>
      </c>
      <c r="DZ8" s="205">
        <f t="shared" ca="1" si="15"/>
        <v>0</v>
      </c>
      <c r="EA8" s="205">
        <f t="shared" ca="1" si="15"/>
        <v>0</v>
      </c>
      <c r="EB8" s="205">
        <f t="shared" ca="1" si="15"/>
        <v>0</v>
      </c>
      <c r="EC8" s="205">
        <f t="shared" ca="1" si="15"/>
        <v>0</v>
      </c>
      <c r="ED8" s="205">
        <f t="shared" ca="1" si="15"/>
        <v>0</v>
      </c>
      <c r="EE8" s="205">
        <f t="shared" ca="1" si="15"/>
        <v>0</v>
      </c>
      <c r="EF8" s="205">
        <f t="shared" ca="1" si="15"/>
        <v>0</v>
      </c>
      <c r="EG8" s="205">
        <f t="shared" ca="1" si="15"/>
        <v>0</v>
      </c>
      <c r="EH8" s="205">
        <f t="shared" ca="1" si="15"/>
        <v>0</v>
      </c>
      <c r="EI8" s="205">
        <f t="shared" ca="1" si="15"/>
        <v>0</v>
      </c>
      <c r="EJ8" s="205">
        <f t="shared" ca="1" si="15"/>
        <v>0</v>
      </c>
      <c r="EK8" s="205">
        <f t="shared" ca="1" si="15"/>
        <v>0</v>
      </c>
      <c r="EL8" s="205">
        <f t="shared" ca="1" si="15"/>
        <v>0</v>
      </c>
      <c r="EM8" s="205">
        <f t="shared" ca="1" si="15"/>
        <v>0</v>
      </c>
      <c r="EN8" s="205">
        <f t="shared" ref="EN8:EO8" ca="1" si="16">SUM(EN3:EN7)</f>
        <v>0</v>
      </c>
      <c r="EO8" s="205">
        <f t="shared" ca="1" si="16"/>
        <v>0</v>
      </c>
      <c r="EP8" s="206">
        <f ca="1">AVERAGE(M8:AV8)</f>
        <v>5</v>
      </c>
      <c r="EQ8" s="206">
        <f ca="1">MAX(M8:AV8)</f>
        <v>30</v>
      </c>
    </row>
    <row r="9" spans="1:207">
      <c r="F9" s="53"/>
      <c r="G9" s="53"/>
      <c r="H9" s="53"/>
      <c r="I9" s="53"/>
      <c r="J9" s="53"/>
      <c r="K9" s="231"/>
      <c r="L9" s="231"/>
      <c r="M9" s="53"/>
      <c r="N9" s="5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</row>
    <row r="10" spans="1:207" s="180" customFormat="1" ht="27">
      <c r="A10" s="447" t="s">
        <v>72</v>
      </c>
      <c r="B10" s="458">
        <f>IF(LEN('BESS 11'!F50)=5,'BESS 11'!F50,(IF('BESS 11'!F50="Completed"," ",DATEVALUE(RIGHT('BESS 11'!F50,6)))))</f>
        <v>46240</v>
      </c>
      <c r="C10" s="450">
        <f>IF(LEN('BESS 11'!G50)=5,'BESS 11'!G50,(IF('BESS 11'!G50="Completed"," ",DATEVALUE(RIGHT('BESS 11'!G50,6)))))</f>
        <v>46244</v>
      </c>
      <c r="D10" s="455">
        <f>IF(LEN('BESS 11'!H50)=5,'BESS 11'!H50,(IF('BESS 11'!H50="Completed"," ",DATEVALUE(RIGHT('BESS 11'!H50,6)))))</f>
        <v>46247</v>
      </c>
      <c r="E10" s="226" t="s">
        <v>10</v>
      </c>
      <c r="F10" s="217" t="s">
        <v>58</v>
      </c>
      <c r="G10" s="217" t="s">
        <v>78</v>
      </c>
      <c r="H10" s="217" t="s">
        <v>79</v>
      </c>
      <c r="I10" s="217" t="s">
        <v>59</v>
      </c>
      <c r="J10" s="217"/>
      <c r="K10" s="216" t="s">
        <v>80</v>
      </c>
      <c r="L10" s="216" t="s">
        <v>62</v>
      </c>
      <c r="M10" s="430">
        <v>46195</v>
      </c>
      <c r="N10" s="218">
        <v>46196</v>
      </c>
      <c r="O10" s="218">
        <v>46197</v>
      </c>
      <c r="P10" s="218">
        <v>46198</v>
      </c>
      <c r="Q10" s="218">
        <v>46199</v>
      </c>
      <c r="R10" s="218">
        <v>46200</v>
      </c>
      <c r="S10" s="218">
        <v>46201</v>
      </c>
      <c r="T10" s="218">
        <f t="shared" ref="T10:CE10" si="17">S10+1</f>
        <v>46202</v>
      </c>
      <c r="U10" s="218">
        <f t="shared" si="17"/>
        <v>46203</v>
      </c>
      <c r="V10" s="218">
        <f t="shared" si="17"/>
        <v>46204</v>
      </c>
      <c r="W10" s="218">
        <f t="shared" si="17"/>
        <v>46205</v>
      </c>
      <c r="X10" s="218">
        <f t="shared" si="17"/>
        <v>46206</v>
      </c>
      <c r="Y10" s="218">
        <f t="shared" si="17"/>
        <v>46207</v>
      </c>
      <c r="Z10" s="218">
        <f t="shared" si="17"/>
        <v>46208</v>
      </c>
      <c r="AA10" s="218">
        <f t="shared" si="17"/>
        <v>46209</v>
      </c>
      <c r="AB10" s="218">
        <f t="shared" si="17"/>
        <v>46210</v>
      </c>
      <c r="AC10" s="218">
        <f t="shared" si="17"/>
        <v>46211</v>
      </c>
      <c r="AD10" s="218">
        <f t="shared" si="17"/>
        <v>46212</v>
      </c>
      <c r="AE10" s="218">
        <f t="shared" si="17"/>
        <v>46213</v>
      </c>
      <c r="AF10" s="218">
        <f t="shared" si="17"/>
        <v>46214</v>
      </c>
      <c r="AG10" s="218">
        <f t="shared" si="17"/>
        <v>46215</v>
      </c>
      <c r="AH10" s="218">
        <f t="shared" si="17"/>
        <v>46216</v>
      </c>
      <c r="AI10" s="218">
        <f t="shared" si="17"/>
        <v>46217</v>
      </c>
      <c r="AJ10" s="218">
        <f t="shared" si="17"/>
        <v>46218</v>
      </c>
      <c r="AK10" s="218">
        <f t="shared" si="17"/>
        <v>46219</v>
      </c>
      <c r="AL10" s="218">
        <f t="shared" si="17"/>
        <v>46220</v>
      </c>
      <c r="AM10" s="218">
        <f t="shared" si="17"/>
        <v>46221</v>
      </c>
      <c r="AN10" s="218">
        <f t="shared" si="17"/>
        <v>46222</v>
      </c>
      <c r="AO10" s="218">
        <f t="shared" si="17"/>
        <v>46223</v>
      </c>
      <c r="AP10" s="218">
        <f t="shared" si="17"/>
        <v>46224</v>
      </c>
      <c r="AQ10" s="218">
        <f t="shared" si="17"/>
        <v>46225</v>
      </c>
      <c r="AR10" s="218">
        <f t="shared" si="17"/>
        <v>46226</v>
      </c>
      <c r="AS10" s="218">
        <f t="shared" si="17"/>
        <v>46227</v>
      </c>
      <c r="AT10" s="218">
        <f t="shared" si="17"/>
        <v>46228</v>
      </c>
      <c r="AU10" s="218">
        <f t="shared" si="17"/>
        <v>46229</v>
      </c>
      <c r="AV10" s="218">
        <f t="shared" si="17"/>
        <v>46230</v>
      </c>
      <c r="AW10" s="218">
        <f t="shared" si="17"/>
        <v>46231</v>
      </c>
      <c r="AX10" s="218">
        <f t="shared" si="17"/>
        <v>46232</v>
      </c>
      <c r="AY10" s="218">
        <f t="shared" si="17"/>
        <v>46233</v>
      </c>
      <c r="AZ10" s="218">
        <f t="shared" si="17"/>
        <v>46234</v>
      </c>
      <c r="BA10" s="218">
        <f t="shared" si="17"/>
        <v>46235</v>
      </c>
      <c r="BB10" s="218">
        <f t="shared" si="17"/>
        <v>46236</v>
      </c>
      <c r="BC10" s="218">
        <f t="shared" si="17"/>
        <v>46237</v>
      </c>
      <c r="BD10" s="218">
        <f t="shared" si="17"/>
        <v>46238</v>
      </c>
      <c r="BE10" s="218">
        <f t="shared" si="17"/>
        <v>46239</v>
      </c>
      <c r="BF10" s="218">
        <f t="shared" si="17"/>
        <v>46240</v>
      </c>
      <c r="BG10" s="218">
        <f t="shared" si="17"/>
        <v>46241</v>
      </c>
      <c r="BH10" s="218">
        <f t="shared" si="17"/>
        <v>46242</v>
      </c>
      <c r="BI10" s="218">
        <f t="shared" si="17"/>
        <v>46243</v>
      </c>
      <c r="BJ10" s="218">
        <f t="shared" si="17"/>
        <v>46244</v>
      </c>
      <c r="BK10" s="218">
        <f t="shared" si="17"/>
        <v>46245</v>
      </c>
      <c r="BL10" s="218">
        <f t="shared" si="17"/>
        <v>46246</v>
      </c>
      <c r="BM10" s="218">
        <f t="shared" si="17"/>
        <v>46247</v>
      </c>
      <c r="BN10" s="218">
        <f t="shared" si="17"/>
        <v>46248</v>
      </c>
      <c r="BO10" s="218">
        <f t="shared" si="17"/>
        <v>46249</v>
      </c>
      <c r="BP10" s="218">
        <f t="shared" si="17"/>
        <v>46250</v>
      </c>
      <c r="BQ10" s="218">
        <f t="shared" si="17"/>
        <v>46251</v>
      </c>
      <c r="BR10" s="218">
        <f t="shared" si="17"/>
        <v>46252</v>
      </c>
      <c r="BS10" s="218">
        <f t="shared" si="17"/>
        <v>46253</v>
      </c>
      <c r="BT10" s="218">
        <f t="shared" si="17"/>
        <v>46254</v>
      </c>
      <c r="BU10" s="218">
        <f t="shared" si="17"/>
        <v>46255</v>
      </c>
      <c r="BV10" s="218">
        <f t="shared" si="17"/>
        <v>46256</v>
      </c>
      <c r="BW10" s="218">
        <f t="shared" si="17"/>
        <v>46257</v>
      </c>
      <c r="BX10" s="218">
        <f t="shared" si="17"/>
        <v>46258</v>
      </c>
      <c r="BY10" s="218">
        <f t="shared" si="17"/>
        <v>46259</v>
      </c>
      <c r="BZ10" s="218">
        <f t="shared" si="17"/>
        <v>46260</v>
      </c>
      <c r="CA10" s="218">
        <f t="shared" si="17"/>
        <v>46261</v>
      </c>
      <c r="CB10" s="218">
        <f t="shared" si="17"/>
        <v>46262</v>
      </c>
      <c r="CC10" s="218">
        <f t="shared" si="17"/>
        <v>46263</v>
      </c>
      <c r="CD10" s="218">
        <f t="shared" si="17"/>
        <v>46264</v>
      </c>
      <c r="CE10" s="218">
        <f t="shared" si="17"/>
        <v>46265</v>
      </c>
      <c r="CF10" s="218">
        <f t="shared" ref="CF10:EO10" si="18">CE10+1</f>
        <v>46266</v>
      </c>
      <c r="CG10" s="218">
        <f t="shared" si="18"/>
        <v>46267</v>
      </c>
      <c r="CH10" s="218">
        <f t="shared" si="18"/>
        <v>46268</v>
      </c>
      <c r="CI10" s="218">
        <f t="shared" si="18"/>
        <v>46269</v>
      </c>
      <c r="CJ10" s="218">
        <f t="shared" si="18"/>
        <v>46270</v>
      </c>
      <c r="CK10" s="218">
        <f t="shared" si="18"/>
        <v>46271</v>
      </c>
      <c r="CL10" s="218">
        <f t="shared" si="18"/>
        <v>46272</v>
      </c>
      <c r="CM10" s="218">
        <f t="shared" si="18"/>
        <v>46273</v>
      </c>
      <c r="CN10" s="218">
        <f t="shared" si="18"/>
        <v>46274</v>
      </c>
      <c r="CO10" s="218">
        <f t="shared" si="18"/>
        <v>46275</v>
      </c>
      <c r="CP10" s="218">
        <f t="shared" si="18"/>
        <v>46276</v>
      </c>
      <c r="CQ10" s="218">
        <f t="shared" si="18"/>
        <v>46277</v>
      </c>
      <c r="CR10" s="218">
        <f t="shared" si="18"/>
        <v>46278</v>
      </c>
      <c r="CS10" s="218">
        <f t="shared" si="18"/>
        <v>46279</v>
      </c>
      <c r="CT10" s="218">
        <f t="shared" si="18"/>
        <v>46280</v>
      </c>
      <c r="CU10" s="218">
        <f t="shared" si="18"/>
        <v>46281</v>
      </c>
      <c r="CV10" s="218">
        <f t="shared" si="18"/>
        <v>46282</v>
      </c>
      <c r="CW10" s="218">
        <f t="shared" si="18"/>
        <v>46283</v>
      </c>
      <c r="CX10" s="218">
        <f t="shared" si="18"/>
        <v>46284</v>
      </c>
      <c r="CY10" s="218">
        <f t="shared" si="18"/>
        <v>46285</v>
      </c>
      <c r="CZ10" s="218">
        <f t="shared" si="18"/>
        <v>46286</v>
      </c>
      <c r="DA10" s="218">
        <f t="shared" si="18"/>
        <v>46287</v>
      </c>
      <c r="DB10" s="218">
        <f t="shared" si="18"/>
        <v>46288</v>
      </c>
      <c r="DC10" s="218">
        <f t="shared" si="18"/>
        <v>46289</v>
      </c>
      <c r="DD10" s="218">
        <f t="shared" si="18"/>
        <v>46290</v>
      </c>
      <c r="DE10" s="218">
        <f t="shared" si="18"/>
        <v>46291</v>
      </c>
      <c r="DF10" s="218">
        <f t="shared" si="18"/>
        <v>46292</v>
      </c>
      <c r="DG10" s="218">
        <f t="shared" si="18"/>
        <v>46293</v>
      </c>
      <c r="DH10" s="218">
        <f t="shared" si="18"/>
        <v>46294</v>
      </c>
      <c r="DI10" s="218">
        <f t="shared" si="18"/>
        <v>46295</v>
      </c>
      <c r="DJ10" s="218">
        <f t="shared" si="18"/>
        <v>46296</v>
      </c>
      <c r="DK10" s="218">
        <f t="shared" si="18"/>
        <v>46297</v>
      </c>
      <c r="DL10" s="218">
        <f t="shared" si="18"/>
        <v>46298</v>
      </c>
      <c r="DM10" s="218">
        <f t="shared" si="18"/>
        <v>46299</v>
      </c>
      <c r="DN10" s="218">
        <f t="shared" si="18"/>
        <v>46300</v>
      </c>
      <c r="DO10" s="218">
        <f t="shared" si="18"/>
        <v>46301</v>
      </c>
      <c r="DP10" s="218">
        <f t="shared" si="18"/>
        <v>46302</v>
      </c>
      <c r="DQ10" s="218">
        <f t="shared" si="18"/>
        <v>46303</v>
      </c>
      <c r="DR10" s="218">
        <f t="shared" si="18"/>
        <v>46304</v>
      </c>
      <c r="DS10" s="218">
        <f t="shared" si="18"/>
        <v>46305</v>
      </c>
      <c r="DT10" s="218">
        <f t="shared" si="18"/>
        <v>46306</v>
      </c>
      <c r="DU10" s="218">
        <f t="shared" si="18"/>
        <v>46307</v>
      </c>
      <c r="DV10" s="218">
        <f t="shared" si="18"/>
        <v>46308</v>
      </c>
      <c r="DW10" s="218">
        <f t="shared" si="18"/>
        <v>46309</v>
      </c>
      <c r="DX10" s="218">
        <f t="shared" si="18"/>
        <v>46310</v>
      </c>
      <c r="DY10" s="218">
        <f t="shared" si="18"/>
        <v>46311</v>
      </c>
      <c r="DZ10" s="218">
        <f t="shared" si="18"/>
        <v>46312</v>
      </c>
      <c r="EA10" s="218">
        <f t="shared" si="18"/>
        <v>46313</v>
      </c>
      <c r="EB10" s="218">
        <f t="shared" si="18"/>
        <v>46314</v>
      </c>
      <c r="EC10" s="218">
        <f t="shared" si="18"/>
        <v>46315</v>
      </c>
      <c r="ED10" s="218">
        <f t="shared" si="18"/>
        <v>46316</v>
      </c>
      <c r="EE10" s="218">
        <f t="shared" si="18"/>
        <v>46317</v>
      </c>
      <c r="EF10" s="218">
        <f t="shared" si="18"/>
        <v>46318</v>
      </c>
      <c r="EG10" s="218">
        <f t="shared" si="18"/>
        <v>46319</v>
      </c>
      <c r="EH10" s="218">
        <f t="shared" si="18"/>
        <v>46320</v>
      </c>
      <c r="EI10" s="218">
        <f t="shared" si="18"/>
        <v>46321</v>
      </c>
      <c r="EJ10" s="218">
        <f t="shared" si="18"/>
        <v>46322</v>
      </c>
      <c r="EK10" s="218">
        <f t="shared" si="18"/>
        <v>46323</v>
      </c>
      <c r="EL10" s="218">
        <f t="shared" si="18"/>
        <v>46324</v>
      </c>
      <c r="EM10" s="218">
        <f t="shared" si="18"/>
        <v>46325</v>
      </c>
      <c r="EN10" s="218">
        <f t="shared" si="18"/>
        <v>46326</v>
      </c>
      <c r="EO10" s="218">
        <f t="shared" si="18"/>
        <v>46327</v>
      </c>
    </row>
    <row r="11" spans="1:207">
      <c r="A11" s="448"/>
      <c r="B11" s="459"/>
      <c r="C11" s="451"/>
      <c r="D11" s="456"/>
      <c r="E11" s="185" t="s">
        <v>64</v>
      </c>
      <c r="F11" s="66">
        <f>SUM('BESS 11'!S64:S71,'BESS 11'!S73)</f>
        <v>4</v>
      </c>
      <c r="G11" s="182">
        <f ca="1">TODAY()</f>
        <v>46233</v>
      </c>
      <c r="H11" s="182">
        <f>MAX('BESS 11'!O64:O70,'BESS 11'!O73)</f>
        <v>46233</v>
      </c>
      <c r="I11" s="65">
        <f ca="1">H11-G11</f>
        <v>0</v>
      </c>
      <c r="J11" s="444">
        <f ca="1">K11*1.2</f>
        <v>17.7</v>
      </c>
      <c r="K11" s="444">
        <f ca="1">AVERAGEIF(M16:EO16,"&gt;0")</f>
        <v>14.75</v>
      </c>
      <c r="L11" s="444">
        <f ca="1">MAX(M16:EO16)</f>
        <v>66</v>
      </c>
      <c r="M11" s="65" t="str">
        <f ca="1">IF(AND(M$2&gt;=$G11,M$2&lt;($G11+$I11)),ROUND($F11/$I11,0),"-")</f>
        <v>-</v>
      </c>
      <c r="N11" s="65" t="str">
        <f t="shared" ref="M11:AB14" ca="1" si="19">IF(AND(N$2&gt;=$G11,N$2&lt;($G11+$I11)),ROUND($F11/$I11,0),"-")</f>
        <v>-</v>
      </c>
      <c r="O11" s="65" t="str">
        <f t="shared" ca="1" si="19"/>
        <v>-</v>
      </c>
      <c r="P11" s="65" t="str">
        <f t="shared" ca="1" si="19"/>
        <v>-</v>
      </c>
      <c r="Q11" s="65" t="str">
        <f t="shared" ca="1" si="19"/>
        <v>-</v>
      </c>
      <c r="R11" s="65" t="str">
        <f t="shared" ca="1" si="19"/>
        <v>-</v>
      </c>
      <c r="S11" s="65" t="str">
        <f t="shared" ca="1" si="19"/>
        <v>-</v>
      </c>
      <c r="T11" s="65" t="str">
        <f t="shared" ca="1" si="19"/>
        <v>-</v>
      </c>
      <c r="U11" s="65" t="str">
        <f t="shared" ca="1" si="19"/>
        <v>-</v>
      </c>
      <c r="V11" s="65" t="str">
        <f t="shared" ca="1" si="19"/>
        <v>-</v>
      </c>
      <c r="W11" s="65" t="str">
        <f t="shared" ca="1" si="19"/>
        <v>-</v>
      </c>
      <c r="X11" s="65" t="str">
        <f t="shared" ca="1" si="19"/>
        <v>-</v>
      </c>
      <c r="Y11" s="65" t="str">
        <f t="shared" ca="1" si="19"/>
        <v>-</v>
      </c>
      <c r="Z11" s="65" t="str">
        <f t="shared" ca="1" si="19"/>
        <v>-</v>
      </c>
      <c r="AA11" s="65" t="str">
        <f t="shared" ca="1" si="19"/>
        <v>-</v>
      </c>
      <c r="AB11" s="65" t="str">
        <f t="shared" ca="1" si="19"/>
        <v>-</v>
      </c>
      <c r="AC11" s="65" t="str">
        <f t="shared" ref="AC11:AR14" ca="1" si="20">IF(AND(AC$2&gt;=$G11,AC$2&lt;($G11+$I11)),ROUND($F11/$I11,0),"-")</f>
        <v>-</v>
      </c>
      <c r="AD11" s="65" t="str">
        <f t="shared" ca="1" si="20"/>
        <v>-</v>
      </c>
      <c r="AE11" s="65" t="str">
        <f t="shared" ca="1" si="20"/>
        <v>-</v>
      </c>
      <c r="AF11" s="65" t="str">
        <f t="shared" ca="1" si="20"/>
        <v>-</v>
      </c>
      <c r="AG11" s="65" t="str">
        <f t="shared" ca="1" si="20"/>
        <v>-</v>
      </c>
      <c r="AH11" s="65" t="str">
        <f t="shared" ca="1" si="20"/>
        <v>-</v>
      </c>
      <c r="AI11" s="65" t="str">
        <f t="shared" ca="1" si="20"/>
        <v>-</v>
      </c>
      <c r="AJ11" s="65" t="str">
        <f t="shared" ca="1" si="20"/>
        <v>-</v>
      </c>
      <c r="AK11" s="65" t="str">
        <f t="shared" ca="1" si="20"/>
        <v>-</v>
      </c>
      <c r="AL11" s="65" t="str">
        <f t="shared" ca="1" si="20"/>
        <v>-</v>
      </c>
      <c r="AM11" s="65" t="str">
        <f t="shared" ca="1" si="20"/>
        <v>-</v>
      </c>
      <c r="AN11" s="65" t="str">
        <f t="shared" ca="1" si="20"/>
        <v>-</v>
      </c>
      <c r="AO11" s="65" t="str">
        <f t="shared" ca="1" si="20"/>
        <v>-</v>
      </c>
      <c r="AP11" s="65" t="str">
        <f t="shared" ca="1" si="20"/>
        <v>-</v>
      </c>
      <c r="AQ11" s="65" t="str">
        <f t="shared" ca="1" si="20"/>
        <v>-</v>
      </c>
      <c r="AR11" s="65" t="str">
        <f t="shared" ca="1" si="20"/>
        <v>-</v>
      </c>
      <c r="AS11" s="65" t="str">
        <f t="shared" ref="AS11:BH14" ca="1" si="21">IF(AND(AS$2&gt;=$G11,AS$2&lt;($G11+$I11)),ROUND($F11/$I11,0),"-")</f>
        <v>-</v>
      </c>
      <c r="AT11" s="65" t="str">
        <f t="shared" ca="1" si="21"/>
        <v>-</v>
      </c>
      <c r="AU11" s="65" t="str">
        <f t="shared" ca="1" si="21"/>
        <v>-</v>
      </c>
      <c r="AV11" s="65" t="str">
        <f t="shared" ca="1" si="21"/>
        <v>-</v>
      </c>
      <c r="AW11" s="65" t="str">
        <f t="shared" ca="1" si="21"/>
        <v>-</v>
      </c>
      <c r="AX11" s="65" t="str">
        <f t="shared" ca="1" si="21"/>
        <v>-</v>
      </c>
      <c r="AY11" s="65" t="str">
        <f t="shared" ca="1" si="21"/>
        <v>-</v>
      </c>
      <c r="AZ11" s="65" t="str">
        <f t="shared" ca="1" si="21"/>
        <v>-</v>
      </c>
      <c r="BA11" s="65" t="str">
        <f t="shared" ca="1" si="21"/>
        <v>-</v>
      </c>
      <c r="BB11" s="65" t="str">
        <f t="shared" ca="1" si="21"/>
        <v>-</v>
      </c>
      <c r="BC11" s="65" t="str">
        <f t="shared" ca="1" si="21"/>
        <v>-</v>
      </c>
      <c r="BD11" s="65" t="str">
        <f t="shared" ca="1" si="21"/>
        <v>-</v>
      </c>
      <c r="BE11" s="65" t="str">
        <f t="shared" ca="1" si="21"/>
        <v>-</v>
      </c>
      <c r="BF11" s="65" t="str">
        <f t="shared" ca="1" si="21"/>
        <v>-</v>
      </c>
      <c r="BG11" s="65" t="str">
        <f t="shared" ca="1" si="21"/>
        <v>-</v>
      </c>
      <c r="BH11" s="65" t="str">
        <f t="shared" ca="1" si="21"/>
        <v>-</v>
      </c>
      <c r="BI11" s="65" t="str">
        <f t="shared" ref="BI11:BX14" ca="1" si="22">IF(AND(BI$2&gt;=$G11,BI$2&lt;($G11+$I11)),ROUND($F11/$I11,0),"-")</f>
        <v>-</v>
      </c>
      <c r="BJ11" s="65" t="str">
        <f t="shared" ca="1" si="22"/>
        <v>-</v>
      </c>
      <c r="BK11" s="65" t="str">
        <f t="shared" ca="1" si="22"/>
        <v>-</v>
      </c>
      <c r="BL11" s="65" t="str">
        <f t="shared" ca="1" si="22"/>
        <v>-</v>
      </c>
      <c r="BM11" s="65" t="str">
        <f t="shared" ca="1" si="22"/>
        <v>-</v>
      </c>
      <c r="BN11" s="65" t="str">
        <f t="shared" ca="1" si="22"/>
        <v>-</v>
      </c>
      <c r="BO11" s="65" t="str">
        <f t="shared" ca="1" si="22"/>
        <v>-</v>
      </c>
      <c r="BP11" s="65" t="str">
        <f t="shared" ca="1" si="22"/>
        <v>-</v>
      </c>
      <c r="BQ11" s="65" t="str">
        <f t="shared" ca="1" si="22"/>
        <v>-</v>
      </c>
      <c r="BR11" s="65" t="str">
        <f t="shared" ca="1" si="22"/>
        <v>-</v>
      </c>
      <c r="BS11" s="65" t="str">
        <f t="shared" ca="1" si="22"/>
        <v>-</v>
      </c>
      <c r="BT11" s="65" t="str">
        <f t="shared" ca="1" si="22"/>
        <v>-</v>
      </c>
      <c r="BU11" s="65" t="str">
        <f t="shared" ca="1" si="22"/>
        <v>-</v>
      </c>
      <c r="BV11" s="65" t="str">
        <f t="shared" ca="1" si="22"/>
        <v>-</v>
      </c>
      <c r="BW11" s="65" t="str">
        <f t="shared" ca="1" si="22"/>
        <v>-</v>
      </c>
      <c r="BX11" s="65" t="str">
        <f t="shared" ca="1" si="22"/>
        <v>-</v>
      </c>
      <c r="BY11" s="65" t="str">
        <f t="shared" ref="BY11:CN14" ca="1" si="23">IF(AND(BY$2&gt;=$G11,BY$2&lt;($G11+$I11)),ROUND($F11/$I11,0),"-")</f>
        <v>-</v>
      </c>
      <c r="BZ11" s="65" t="str">
        <f t="shared" ca="1" si="23"/>
        <v>-</v>
      </c>
      <c r="CA11" s="65" t="str">
        <f t="shared" ca="1" si="23"/>
        <v>-</v>
      </c>
      <c r="CB11" s="65" t="str">
        <f t="shared" ca="1" si="23"/>
        <v>-</v>
      </c>
      <c r="CC11" s="65" t="str">
        <f t="shared" ca="1" si="23"/>
        <v>-</v>
      </c>
      <c r="CD11" s="65" t="str">
        <f t="shared" ca="1" si="23"/>
        <v>-</v>
      </c>
      <c r="CE11" s="65" t="str">
        <f t="shared" ca="1" si="23"/>
        <v>-</v>
      </c>
      <c r="CF11" s="65" t="str">
        <f t="shared" ca="1" si="23"/>
        <v>-</v>
      </c>
      <c r="CG11" s="65" t="str">
        <f t="shared" ca="1" si="23"/>
        <v>-</v>
      </c>
      <c r="CH11" s="65" t="str">
        <f t="shared" ca="1" si="23"/>
        <v>-</v>
      </c>
      <c r="CI11" s="65" t="str">
        <f t="shared" ca="1" si="23"/>
        <v>-</v>
      </c>
      <c r="CJ11" s="65" t="str">
        <f t="shared" ca="1" si="23"/>
        <v>-</v>
      </c>
      <c r="CK11" s="65" t="str">
        <f t="shared" ca="1" si="23"/>
        <v>-</v>
      </c>
      <c r="CL11" s="65" t="str">
        <f t="shared" ca="1" si="23"/>
        <v>-</v>
      </c>
      <c r="CM11" s="65" t="str">
        <f t="shared" ca="1" si="23"/>
        <v>-</v>
      </c>
      <c r="CN11" s="65" t="str">
        <f t="shared" ca="1" si="23"/>
        <v>-</v>
      </c>
      <c r="CO11" s="65" t="str">
        <f t="shared" ref="CO11:DD14" ca="1" si="24">IF(AND(CO$2&gt;=$G11,CO$2&lt;($G11+$I11)),ROUND($F11/$I11,0),"-")</f>
        <v>-</v>
      </c>
      <c r="CP11" s="65" t="str">
        <f t="shared" ca="1" si="24"/>
        <v>-</v>
      </c>
      <c r="CQ11" s="65" t="str">
        <f t="shared" ca="1" si="24"/>
        <v>-</v>
      </c>
      <c r="CR11" s="65" t="str">
        <f t="shared" ca="1" si="24"/>
        <v>-</v>
      </c>
      <c r="CS11" s="65" t="str">
        <f t="shared" ca="1" si="24"/>
        <v>-</v>
      </c>
      <c r="CT11" s="65" t="str">
        <f t="shared" ca="1" si="24"/>
        <v>-</v>
      </c>
      <c r="CU11" s="65" t="str">
        <f t="shared" ca="1" si="24"/>
        <v>-</v>
      </c>
      <c r="CV11" s="65" t="str">
        <f t="shared" ca="1" si="24"/>
        <v>-</v>
      </c>
      <c r="CW11" s="65" t="str">
        <f t="shared" ca="1" si="24"/>
        <v>-</v>
      </c>
      <c r="CX11" s="65" t="str">
        <f t="shared" ca="1" si="24"/>
        <v>-</v>
      </c>
      <c r="CY11" s="65" t="str">
        <f t="shared" ca="1" si="24"/>
        <v>-</v>
      </c>
      <c r="CZ11" s="65" t="str">
        <f t="shared" ca="1" si="24"/>
        <v>-</v>
      </c>
      <c r="DA11" s="65" t="str">
        <f t="shared" ca="1" si="24"/>
        <v>-</v>
      </c>
      <c r="DB11" s="65" t="str">
        <f t="shared" ca="1" si="24"/>
        <v>-</v>
      </c>
      <c r="DC11" s="65" t="str">
        <f t="shared" ca="1" si="24"/>
        <v>-</v>
      </c>
      <c r="DD11" s="65" t="str">
        <f t="shared" ca="1" si="24"/>
        <v>-</v>
      </c>
      <c r="DE11" s="65" t="str">
        <f t="shared" ref="DE11:DT14" ca="1" si="25">IF(AND(DE$2&gt;=$G11,DE$2&lt;($G11+$I11)),ROUND($F11/$I11,0),"-")</f>
        <v>-</v>
      </c>
      <c r="DF11" s="65" t="str">
        <f t="shared" ca="1" si="25"/>
        <v>-</v>
      </c>
      <c r="DG11" s="65" t="str">
        <f t="shared" ca="1" si="25"/>
        <v>-</v>
      </c>
      <c r="DH11" s="65" t="str">
        <f t="shared" ca="1" si="25"/>
        <v>-</v>
      </c>
      <c r="DI11" s="65" t="str">
        <f t="shared" ca="1" si="25"/>
        <v>-</v>
      </c>
      <c r="DJ11" s="65" t="str">
        <f t="shared" ca="1" si="25"/>
        <v>-</v>
      </c>
      <c r="DK11" s="65" t="str">
        <f t="shared" ca="1" si="25"/>
        <v>-</v>
      </c>
      <c r="DL11" s="65" t="str">
        <f t="shared" ca="1" si="25"/>
        <v>-</v>
      </c>
      <c r="DM11" s="65" t="str">
        <f t="shared" ca="1" si="25"/>
        <v>-</v>
      </c>
      <c r="DN11" s="65" t="str">
        <f t="shared" ca="1" si="25"/>
        <v>-</v>
      </c>
      <c r="DO11" s="65" t="str">
        <f t="shared" ca="1" si="25"/>
        <v>-</v>
      </c>
      <c r="DP11" s="65" t="str">
        <f t="shared" ca="1" si="25"/>
        <v>-</v>
      </c>
      <c r="DQ11" s="65" t="str">
        <f t="shared" ca="1" si="25"/>
        <v>-</v>
      </c>
      <c r="DR11" s="65" t="str">
        <f t="shared" ca="1" si="25"/>
        <v>-</v>
      </c>
      <c r="DS11" s="65" t="str">
        <f t="shared" ca="1" si="25"/>
        <v>-</v>
      </c>
      <c r="DT11" s="65" t="str">
        <f t="shared" ca="1" si="25"/>
        <v>-</v>
      </c>
      <c r="DU11" s="65" t="str">
        <f t="shared" ref="DU11:EJ14" ca="1" si="26">IF(AND(DU$2&gt;=$G11,DU$2&lt;($G11+$I11)),ROUND($F11/$I11,0),"-")</f>
        <v>-</v>
      </c>
      <c r="DV11" s="65" t="str">
        <f t="shared" ca="1" si="26"/>
        <v>-</v>
      </c>
      <c r="DW11" s="65" t="str">
        <f t="shared" ca="1" si="26"/>
        <v>-</v>
      </c>
      <c r="DX11" s="65" t="str">
        <f t="shared" ca="1" si="26"/>
        <v>-</v>
      </c>
      <c r="DY11" s="65" t="str">
        <f t="shared" ca="1" si="26"/>
        <v>-</v>
      </c>
      <c r="DZ11" s="65" t="str">
        <f t="shared" ca="1" si="26"/>
        <v>-</v>
      </c>
      <c r="EA11" s="65" t="str">
        <f t="shared" ca="1" si="26"/>
        <v>-</v>
      </c>
      <c r="EB11" s="65" t="str">
        <f t="shared" ca="1" si="26"/>
        <v>-</v>
      </c>
      <c r="EC11" s="65" t="str">
        <f t="shared" ca="1" si="26"/>
        <v>-</v>
      </c>
      <c r="ED11" s="65" t="str">
        <f t="shared" ca="1" si="26"/>
        <v>-</v>
      </c>
      <c r="EE11" s="65" t="str">
        <f t="shared" ca="1" si="26"/>
        <v>-</v>
      </c>
      <c r="EF11" s="65" t="str">
        <f t="shared" ca="1" si="26"/>
        <v>-</v>
      </c>
      <c r="EG11" s="65" t="str">
        <f t="shared" ca="1" si="26"/>
        <v>-</v>
      </c>
      <c r="EH11" s="65" t="str">
        <f t="shared" ca="1" si="26"/>
        <v>-</v>
      </c>
      <c r="EI11" s="65" t="str">
        <f t="shared" ca="1" si="26"/>
        <v>-</v>
      </c>
      <c r="EJ11" s="65" t="str">
        <f t="shared" ca="1" si="26"/>
        <v>-</v>
      </c>
      <c r="EK11" s="65" t="str">
        <f t="shared" ref="EK11:EO14" ca="1" si="27">IF(AND(EK$2&gt;=$G11,EK$2&lt;($G11+$I11)),ROUND($F11/$I11,0),"-")</f>
        <v>-</v>
      </c>
      <c r="EL11" s="65" t="str">
        <f t="shared" ca="1" si="27"/>
        <v>-</v>
      </c>
      <c r="EM11" s="65" t="str">
        <f t="shared" ca="1" si="27"/>
        <v>-</v>
      </c>
      <c r="EN11" s="65" t="str">
        <f t="shared" ca="1" si="27"/>
        <v>-</v>
      </c>
      <c r="EO11" s="65" t="str">
        <f t="shared" ca="1" si="27"/>
        <v>-</v>
      </c>
    </row>
    <row r="12" spans="1:207">
      <c r="A12" s="448"/>
      <c r="B12" s="459"/>
      <c r="C12" s="451"/>
      <c r="D12" s="456"/>
      <c r="E12" s="185" t="s">
        <v>65</v>
      </c>
      <c r="F12" s="66">
        <f>SUM('BESS 11'!S74,'BESS 11'!S76,'BESS 11'!S77,'BESS 11'!S80:S82)</f>
        <v>155.21</v>
      </c>
      <c r="G12" s="182">
        <f ca="1">TODAY()</f>
        <v>46233</v>
      </c>
      <c r="H12" s="182">
        <f>MAX('BESS 11'!O74,'BESS 11'!O76,'BESS 11'!O77,'BESS 11'!O80:O82)</f>
        <v>46233</v>
      </c>
      <c r="I12" s="65">
        <f ca="1">H12-G12</f>
        <v>0</v>
      </c>
      <c r="J12" s="453"/>
      <c r="K12" s="453"/>
      <c r="L12" s="445"/>
      <c r="M12" s="65" t="str">
        <f ca="1">IF(AND(M$2&gt;=$G12,M$2&lt;($G12+$I12)),ROUND($F12/$I12,0),"-")</f>
        <v>-</v>
      </c>
      <c r="N12" s="65" t="str">
        <f t="shared" ca="1" si="19"/>
        <v>-</v>
      </c>
      <c r="O12" s="65" t="str">
        <f t="shared" ca="1" si="19"/>
        <v>-</v>
      </c>
      <c r="P12" s="65" t="str">
        <f t="shared" ca="1" si="19"/>
        <v>-</v>
      </c>
      <c r="Q12" s="65" t="str">
        <f t="shared" ca="1" si="19"/>
        <v>-</v>
      </c>
      <c r="R12" s="65" t="str">
        <f t="shared" ca="1" si="19"/>
        <v>-</v>
      </c>
      <c r="S12" s="65" t="str">
        <f t="shared" ca="1" si="19"/>
        <v>-</v>
      </c>
      <c r="T12" s="65" t="str">
        <f t="shared" ca="1" si="19"/>
        <v>-</v>
      </c>
      <c r="U12" s="65" t="str">
        <f t="shared" ca="1" si="19"/>
        <v>-</v>
      </c>
      <c r="V12" s="65" t="str">
        <f t="shared" ca="1" si="19"/>
        <v>-</v>
      </c>
      <c r="W12" s="65" t="str">
        <f t="shared" ca="1" si="19"/>
        <v>-</v>
      </c>
      <c r="X12" s="65" t="str">
        <f t="shared" ca="1" si="19"/>
        <v>-</v>
      </c>
      <c r="Y12" s="65" t="str">
        <f t="shared" ca="1" si="19"/>
        <v>-</v>
      </c>
      <c r="Z12" s="65" t="str">
        <f t="shared" ca="1" si="19"/>
        <v>-</v>
      </c>
      <c r="AA12" s="65" t="str">
        <f t="shared" ca="1" si="19"/>
        <v>-</v>
      </c>
      <c r="AB12" s="65" t="str">
        <f t="shared" ca="1" si="19"/>
        <v>-</v>
      </c>
      <c r="AC12" s="65" t="str">
        <f t="shared" ca="1" si="20"/>
        <v>-</v>
      </c>
      <c r="AD12" s="65" t="str">
        <f t="shared" ca="1" si="20"/>
        <v>-</v>
      </c>
      <c r="AE12" s="65" t="str">
        <f t="shared" ca="1" si="20"/>
        <v>-</v>
      </c>
      <c r="AF12" s="65" t="str">
        <f t="shared" ca="1" si="20"/>
        <v>-</v>
      </c>
      <c r="AG12" s="65" t="str">
        <f t="shared" ca="1" si="20"/>
        <v>-</v>
      </c>
      <c r="AH12" s="65" t="str">
        <f t="shared" ca="1" si="20"/>
        <v>-</v>
      </c>
      <c r="AI12" s="65" t="str">
        <f t="shared" ca="1" si="20"/>
        <v>-</v>
      </c>
      <c r="AJ12" s="65" t="str">
        <f t="shared" ca="1" si="20"/>
        <v>-</v>
      </c>
      <c r="AK12" s="65" t="str">
        <f t="shared" ca="1" si="20"/>
        <v>-</v>
      </c>
      <c r="AL12" s="65" t="str">
        <f t="shared" ca="1" si="20"/>
        <v>-</v>
      </c>
      <c r="AM12" s="65" t="str">
        <f t="shared" ca="1" si="20"/>
        <v>-</v>
      </c>
      <c r="AN12" s="65" t="str">
        <f t="shared" ca="1" si="20"/>
        <v>-</v>
      </c>
      <c r="AO12" s="65" t="str">
        <f t="shared" ca="1" si="20"/>
        <v>-</v>
      </c>
      <c r="AP12" s="65" t="str">
        <f t="shared" ca="1" si="20"/>
        <v>-</v>
      </c>
      <c r="AQ12" s="65" t="str">
        <f t="shared" ca="1" si="20"/>
        <v>-</v>
      </c>
      <c r="AR12" s="65" t="str">
        <f t="shared" ca="1" si="20"/>
        <v>-</v>
      </c>
      <c r="AS12" s="65" t="str">
        <f t="shared" ca="1" si="21"/>
        <v>-</v>
      </c>
      <c r="AT12" s="65" t="str">
        <f t="shared" ca="1" si="21"/>
        <v>-</v>
      </c>
      <c r="AU12" s="65" t="str">
        <f t="shared" ca="1" si="21"/>
        <v>-</v>
      </c>
      <c r="AV12" s="65" t="str">
        <f t="shared" ca="1" si="21"/>
        <v>-</v>
      </c>
      <c r="AW12" s="65" t="str">
        <f t="shared" ca="1" si="21"/>
        <v>-</v>
      </c>
      <c r="AX12" s="65" t="str">
        <f t="shared" ca="1" si="21"/>
        <v>-</v>
      </c>
      <c r="AY12" s="65" t="str">
        <f t="shared" ca="1" si="21"/>
        <v>-</v>
      </c>
      <c r="AZ12" s="65" t="str">
        <f t="shared" ca="1" si="21"/>
        <v>-</v>
      </c>
      <c r="BA12" s="65" t="str">
        <f t="shared" ca="1" si="21"/>
        <v>-</v>
      </c>
      <c r="BB12" s="65" t="str">
        <f t="shared" ca="1" si="21"/>
        <v>-</v>
      </c>
      <c r="BC12" s="65" t="str">
        <f t="shared" ca="1" si="21"/>
        <v>-</v>
      </c>
      <c r="BD12" s="65" t="str">
        <f t="shared" ca="1" si="21"/>
        <v>-</v>
      </c>
      <c r="BE12" s="65" t="str">
        <f t="shared" ca="1" si="21"/>
        <v>-</v>
      </c>
      <c r="BF12" s="65" t="str">
        <f t="shared" ca="1" si="21"/>
        <v>-</v>
      </c>
      <c r="BG12" s="65" t="str">
        <f t="shared" ca="1" si="21"/>
        <v>-</v>
      </c>
      <c r="BH12" s="65" t="str">
        <f t="shared" ca="1" si="21"/>
        <v>-</v>
      </c>
      <c r="BI12" s="65" t="str">
        <f t="shared" ca="1" si="22"/>
        <v>-</v>
      </c>
      <c r="BJ12" s="65" t="str">
        <f t="shared" ca="1" si="22"/>
        <v>-</v>
      </c>
      <c r="BK12" s="65" t="str">
        <f t="shared" ca="1" si="22"/>
        <v>-</v>
      </c>
      <c r="BL12" s="65" t="str">
        <f t="shared" ca="1" si="22"/>
        <v>-</v>
      </c>
      <c r="BM12" s="65" t="str">
        <f t="shared" ca="1" si="22"/>
        <v>-</v>
      </c>
      <c r="BN12" s="65" t="str">
        <f t="shared" ca="1" si="22"/>
        <v>-</v>
      </c>
      <c r="BO12" s="65" t="str">
        <f t="shared" ca="1" si="22"/>
        <v>-</v>
      </c>
      <c r="BP12" s="65" t="str">
        <f t="shared" ca="1" si="22"/>
        <v>-</v>
      </c>
      <c r="BQ12" s="65" t="str">
        <f t="shared" ca="1" si="22"/>
        <v>-</v>
      </c>
      <c r="BR12" s="65" t="str">
        <f t="shared" ca="1" si="22"/>
        <v>-</v>
      </c>
      <c r="BS12" s="65" t="str">
        <f t="shared" ca="1" si="22"/>
        <v>-</v>
      </c>
      <c r="BT12" s="65" t="str">
        <f t="shared" ca="1" si="22"/>
        <v>-</v>
      </c>
      <c r="BU12" s="65" t="str">
        <f t="shared" ca="1" si="22"/>
        <v>-</v>
      </c>
      <c r="BV12" s="65" t="str">
        <f t="shared" ca="1" si="22"/>
        <v>-</v>
      </c>
      <c r="BW12" s="65" t="str">
        <f t="shared" ca="1" si="22"/>
        <v>-</v>
      </c>
      <c r="BX12" s="65" t="str">
        <f t="shared" ca="1" si="22"/>
        <v>-</v>
      </c>
      <c r="BY12" s="65" t="str">
        <f t="shared" ca="1" si="23"/>
        <v>-</v>
      </c>
      <c r="BZ12" s="65" t="str">
        <f t="shared" ca="1" si="23"/>
        <v>-</v>
      </c>
      <c r="CA12" s="65" t="str">
        <f t="shared" ca="1" si="23"/>
        <v>-</v>
      </c>
      <c r="CB12" s="65" t="str">
        <f t="shared" ca="1" si="23"/>
        <v>-</v>
      </c>
      <c r="CC12" s="65" t="str">
        <f t="shared" ca="1" si="23"/>
        <v>-</v>
      </c>
      <c r="CD12" s="65" t="str">
        <f t="shared" ca="1" si="23"/>
        <v>-</v>
      </c>
      <c r="CE12" s="65" t="str">
        <f t="shared" ca="1" si="23"/>
        <v>-</v>
      </c>
      <c r="CF12" s="65" t="str">
        <f t="shared" ca="1" si="23"/>
        <v>-</v>
      </c>
      <c r="CG12" s="65" t="str">
        <f t="shared" ca="1" si="23"/>
        <v>-</v>
      </c>
      <c r="CH12" s="65" t="str">
        <f t="shared" ca="1" si="23"/>
        <v>-</v>
      </c>
      <c r="CI12" s="65" t="str">
        <f t="shared" ca="1" si="23"/>
        <v>-</v>
      </c>
      <c r="CJ12" s="65" t="str">
        <f t="shared" ca="1" si="23"/>
        <v>-</v>
      </c>
      <c r="CK12" s="65" t="str">
        <f t="shared" ca="1" si="23"/>
        <v>-</v>
      </c>
      <c r="CL12" s="65" t="str">
        <f t="shared" ca="1" si="23"/>
        <v>-</v>
      </c>
      <c r="CM12" s="65" t="str">
        <f t="shared" ca="1" si="23"/>
        <v>-</v>
      </c>
      <c r="CN12" s="65" t="str">
        <f t="shared" ca="1" si="23"/>
        <v>-</v>
      </c>
      <c r="CO12" s="65" t="str">
        <f t="shared" ca="1" si="24"/>
        <v>-</v>
      </c>
      <c r="CP12" s="65" t="str">
        <f t="shared" ca="1" si="24"/>
        <v>-</v>
      </c>
      <c r="CQ12" s="65" t="str">
        <f t="shared" ca="1" si="24"/>
        <v>-</v>
      </c>
      <c r="CR12" s="65" t="str">
        <f t="shared" ca="1" si="24"/>
        <v>-</v>
      </c>
      <c r="CS12" s="65" t="str">
        <f t="shared" ca="1" si="24"/>
        <v>-</v>
      </c>
      <c r="CT12" s="65" t="str">
        <f t="shared" ca="1" si="24"/>
        <v>-</v>
      </c>
      <c r="CU12" s="65" t="str">
        <f t="shared" ca="1" si="24"/>
        <v>-</v>
      </c>
      <c r="CV12" s="65" t="str">
        <f t="shared" ca="1" si="24"/>
        <v>-</v>
      </c>
      <c r="CW12" s="65" t="str">
        <f t="shared" ca="1" si="24"/>
        <v>-</v>
      </c>
      <c r="CX12" s="65" t="str">
        <f t="shared" ca="1" si="24"/>
        <v>-</v>
      </c>
      <c r="CY12" s="65" t="str">
        <f t="shared" ca="1" si="24"/>
        <v>-</v>
      </c>
      <c r="CZ12" s="65" t="str">
        <f t="shared" ca="1" si="24"/>
        <v>-</v>
      </c>
      <c r="DA12" s="65" t="str">
        <f t="shared" ca="1" si="24"/>
        <v>-</v>
      </c>
      <c r="DB12" s="65" t="str">
        <f t="shared" ca="1" si="24"/>
        <v>-</v>
      </c>
      <c r="DC12" s="65" t="str">
        <f t="shared" ca="1" si="24"/>
        <v>-</v>
      </c>
      <c r="DD12" s="65" t="str">
        <f t="shared" ca="1" si="24"/>
        <v>-</v>
      </c>
      <c r="DE12" s="65" t="str">
        <f t="shared" ca="1" si="25"/>
        <v>-</v>
      </c>
      <c r="DF12" s="65" t="str">
        <f t="shared" ca="1" si="25"/>
        <v>-</v>
      </c>
      <c r="DG12" s="65" t="str">
        <f t="shared" ca="1" si="25"/>
        <v>-</v>
      </c>
      <c r="DH12" s="65" t="str">
        <f t="shared" ca="1" si="25"/>
        <v>-</v>
      </c>
      <c r="DI12" s="65" t="str">
        <f t="shared" ca="1" si="25"/>
        <v>-</v>
      </c>
      <c r="DJ12" s="65" t="str">
        <f t="shared" ca="1" si="25"/>
        <v>-</v>
      </c>
      <c r="DK12" s="65" t="str">
        <f t="shared" ca="1" si="25"/>
        <v>-</v>
      </c>
      <c r="DL12" s="65" t="str">
        <f t="shared" ca="1" si="25"/>
        <v>-</v>
      </c>
      <c r="DM12" s="65" t="str">
        <f t="shared" ca="1" si="25"/>
        <v>-</v>
      </c>
      <c r="DN12" s="65" t="str">
        <f t="shared" ca="1" si="25"/>
        <v>-</v>
      </c>
      <c r="DO12" s="65" t="str">
        <f t="shared" ca="1" si="25"/>
        <v>-</v>
      </c>
      <c r="DP12" s="65" t="str">
        <f t="shared" ca="1" si="25"/>
        <v>-</v>
      </c>
      <c r="DQ12" s="65" t="str">
        <f t="shared" ca="1" si="25"/>
        <v>-</v>
      </c>
      <c r="DR12" s="65" t="str">
        <f t="shared" ca="1" si="25"/>
        <v>-</v>
      </c>
      <c r="DS12" s="65" t="str">
        <f t="shared" ca="1" si="25"/>
        <v>-</v>
      </c>
      <c r="DT12" s="65" t="str">
        <f t="shared" ca="1" si="25"/>
        <v>-</v>
      </c>
      <c r="DU12" s="65" t="str">
        <f t="shared" ca="1" si="26"/>
        <v>-</v>
      </c>
      <c r="DV12" s="65" t="str">
        <f t="shared" ca="1" si="26"/>
        <v>-</v>
      </c>
      <c r="DW12" s="65" t="str">
        <f t="shared" ca="1" si="26"/>
        <v>-</v>
      </c>
      <c r="DX12" s="65" t="str">
        <f t="shared" ca="1" si="26"/>
        <v>-</v>
      </c>
      <c r="DY12" s="65" t="str">
        <f t="shared" ca="1" si="26"/>
        <v>-</v>
      </c>
      <c r="DZ12" s="65" t="str">
        <f t="shared" ca="1" si="26"/>
        <v>-</v>
      </c>
      <c r="EA12" s="65" t="str">
        <f t="shared" ca="1" si="26"/>
        <v>-</v>
      </c>
      <c r="EB12" s="65" t="str">
        <f t="shared" ca="1" si="26"/>
        <v>-</v>
      </c>
      <c r="EC12" s="65" t="str">
        <f t="shared" ca="1" si="26"/>
        <v>-</v>
      </c>
      <c r="ED12" s="65" t="str">
        <f t="shared" ca="1" si="26"/>
        <v>-</v>
      </c>
      <c r="EE12" s="65" t="str">
        <f t="shared" ca="1" si="26"/>
        <v>-</v>
      </c>
      <c r="EF12" s="65" t="str">
        <f t="shared" ca="1" si="26"/>
        <v>-</v>
      </c>
      <c r="EG12" s="65" t="str">
        <f t="shared" ca="1" si="26"/>
        <v>-</v>
      </c>
      <c r="EH12" s="65" t="str">
        <f t="shared" ca="1" si="26"/>
        <v>-</v>
      </c>
      <c r="EI12" s="65" t="str">
        <f t="shared" ca="1" si="26"/>
        <v>-</v>
      </c>
      <c r="EJ12" s="65" t="str">
        <f t="shared" ca="1" si="26"/>
        <v>-</v>
      </c>
      <c r="EK12" s="65" t="str">
        <f t="shared" ca="1" si="27"/>
        <v>-</v>
      </c>
      <c r="EL12" s="65" t="str">
        <f t="shared" ca="1" si="27"/>
        <v>-</v>
      </c>
      <c r="EM12" s="65" t="str">
        <f t="shared" ca="1" si="27"/>
        <v>-</v>
      </c>
      <c r="EN12" s="65" t="str">
        <f t="shared" ca="1" si="27"/>
        <v>-</v>
      </c>
      <c r="EO12" s="65" t="str">
        <f t="shared" ca="1" si="27"/>
        <v>-</v>
      </c>
    </row>
    <row r="13" spans="1:207">
      <c r="A13" s="448"/>
      <c r="B13" s="459"/>
      <c r="C13" s="451"/>
      <c r="D13" s="456"/>
      <c r="E13" s="185" t="s">
        <v>66</v>
      </c>
      <c r="F13" s="66">
        <f>SUM('BESS 11'!S75,'BESS 11'!S78:S79,'BESS 11'!S83:S84)</f>
        <v>127.06666666666666</v>
      </c>
      <c r="G13" s="182">
        <f ca="1">G11+1</f>
        <v>46234</v>
      </c>
      <c r="H13" s="182">
        <f ca="1">G13+20</f>
        <v>46254</v>
      </c>
      <c r="I13" s="65">
        <f ca="1">H13-G13</f>
        <v>20</v>
      </c>
      <c r="J13" s="453"/>
      <c r="K13" s="453"/>
      <c r="L13" s="445"/>
      <c r="M13" s="65" t="str">
        <f ca="1">IF(AND(M$2&gt;=$G13,M$2&lt;($G13+$I13)),ROUND($F13/$I13,0),"-")</f>
        <v>-</v>
      </c>
      <c r="N13" s="65" t="str">
        <f t="shared" ca="1" si="19"/>
        <v>-</v>
      </c>
      <c r="O13" s="65" t="str">
        <f t="shared" ca="1" si="19"/>
        <v>-</v>
      </c>
      <c r="P13" s="65" t="str">
        <f t="shared" ca="1" si="19"/>
        <v>-</v>
      </c>
      <c r="Q13" s="65" t="str">
        <f t="shared" ca="1" si="19"/>
        <v>-</v>
      </c>
      <c r="R13" s="65" t="str">
        <f t="shared" ca="1" si="19"/>
        <v>-</v>
      </c>
      <c r="S13" s="65" t="str">
        <f t="shared" ca="1" si="19"/>
        <v>-</v>
      </c>
      <c r="T13" s="65" t="str">
        <f t="shared" ca="1" si="19"/>
        <v>-</v>
      </c>
      <c r="U13" s="65" t="str">
        <f t="shared" ca="1" si="19"/>
        <v>-</v>
      </c>
      <c r="V13" s="65" t="str">
        <f t="shared" ca="1" si="19"/>
        <v>-</v>
      </c>
      <c r="W13" s="65" t="str">
        <f t="shared" ca="1" si="19"/>
        <v>-</v>
      </c>
      <c r="X13" s="65" t="str">
        <f t="shared" ca="1" si="19"/>
        <v>-</v>
      </c>
      <c r="Y13" s="65" t="str">
        <f t="shared" ca="1" si="19"/>
        <v>-</v>
      </c>
      <c r="Z13" s="65" t="str">
        <f t="shared" ca="1" si="19"/>
        <v>-</v>
      </c>
      <c r="AA13" s="65" t="str">
        <f t="shared" ca="1" si="19"/>
        <v>-</v>
      </c>
      <c r="AB13" s="65" t="str">
        <f t="shared" ca="1" si="19"/>
        <v>-</v>
      </c>
      <c r="AC13" s="65" t="str">
        <f t="shared" ca="1" si="20"/>
        <v>-</v>
      </c>
      <c r="AD13" s="65" t="str">
        <f t="shared" ca="1" si="20"/>
        <v>-</v>
      </c>
      <c r="AE13" s="65" t="str">
        <f t="shared" ca="1" si="20"/>
        <v>-</v>
      </c>
      <c r="AF13" s="65" t="str">
        <f t="shared" ca="1" si="20"/>
        <v>-</v>
      </c>
      <c r="AG13" s="65" t="str">
        <f t="shared" ca="1" si="20"/>
        <v>-</v>
      </c>
      <c r="AH13" s="65" t="str">
        <f t="shared" ca="1" si="20"/>
        <v>-</v>
      </c>
      <c r="AI13" s="65" t="str">
        <f t="shared" ca="1" si="20"/>
        <v>-</v>
      </c>
      <c r="AJ13" s="65" t="str">
        <f t="shared" ca="1" si="20"/>
        <v>-</v>
      </c>
      <c r="AK13" s="65" t="str">
        <f t="shared" ca="1" si="20"/>
        <v>-</v>
      </c>
      <c r="AL13" s="65" t="str">
        <f t="shared" ca="1" si="20"/>
        <v>-</v>
      </c>
      <c r="AM13" s="65" t="str">
        <f t="shared" ca="1" si="20"/>
        <v>-</v>
      </c>
      <c r="AN13" s="65" t="str">
        <f t="shared" ca="1" si="20"/>
        <v>-</v>
      </c>
      <c r="AO13" s="65" t="str">
        <f t="shared" ca="1" si="20"/>
        <v>-</v>
      </c>
      <c r="AP13" s="65" t="str">
        <f t="shared" ca="1" si="20"/>
        <v>-</v>
      </c>
      <c r="AQ13" s="65" t="str">
        <f t="shared" ca="1" si="20"/>
        <v>-</v>
      </c>
      <c r="AR13" s="65" t="str">
        <f t="shared" ca="1" si="20"/>
        <v>-</v>
      </c>
      <c r="AS13" s="65" t="str">
        <f t="shared" ca="1" si="21"/>
        <v>-</v>
      </c>
      <c r="AT13" s="65" t="str">
        <f t="shared" ca="1" si="21"/>
        <v>-</v>
      </c>
      <c r="AU13" s="65" t="str">
        <f t="shared" ca="1" si="21"/>
        <v>-</v>
      </c>
      <c r="AV13" s="65" t="str">
        <f t="shared" ca="1" si="21"/>
        <v>-</v>
      </c>
      <c r="AW13" s="65" t="str">
        <f t="shared" ca="1" si="21"/>
        <v>-</v>
      </c>
      <c r="AX13" s="65" t="str">
        <f t="shared" ca="1" si="21"/>
        <v>-</v>
      </c>
      <c r="AY13" s="65" t="str">
        <f t="shared" ca="1" si="21"/>
        <v>-</v>
      </c>
      <c r="AZ13" s="65">
        <f ca="1">IF(AND(AZ$2&gt;=$G13,AZ$2&lt;($G13+$I13)),ROUND($F13/$I13,0),"-")</f>
        <v>6</v>
      </c>
      <c r="BA13" s="65">
        <f t="shared" ca="1" si="21"/>
        <v>6</v>
      </c>
      <c r="BB13" s="65">
        <f t="shared" ca="1" si="21"/>
        <v>6</v>
      </c>
      <c r="BC13" s="65">
        <f t="shared" ca="1" si="21"/>
        <v>6</v>
      </c>
      <c r="BD13" s="65">
        <f t="shared" ca="1" si="21"/>
        <v>6</v>
      </c>
      <c r="BE13" s="65">
        <f t="shared" ca="1" si="21"/>
        <v>6</v>
      </c>
      <c r="BF13" s="65">
        <f t="shared" ca="1" si="21"/>
        <v>6</v>
      </c>
      <c r="BG13" s="65">
        <f t="shared" ca="1" si="21"/>
        <v>6</v>
      </c>
      <c r="BH13" s="65">
        <f t="shared" ca="1" si="21"/>
        <v>6</v>
      </c>
      <c r="BI13" s="65">
        <f t="shared" ca="1" si="22"/>
        <v>6</v>
      </c>
      <c r="BJ13" s="65">
        <f t="shared" ca="1" si="22"/>
        <v>6</v>
      </c>
      <c r="BK13" s="65">
        <f t="shared" ca="1" si="22"/>
        <v>6</v>
      </c>
      <c r="BL13" s="65">
        <f t="shared" ca="1" si="22"/>
        <v>6</v>
      </c>
      <c r="BM13" s="65">
        <f t="shared" ca="1" si="22"/>
        <v>6</v>
      </c>
      <c r="BN13" s="65">
        <f t="shared" ca="1" si="22"/>
        <v>6</v>
      </c>
      <c r="BO13" s="65">
        <f t="shared" ca="1" si="22"/>
        <v>6</v>
      </c>
      <c r="BP13" s="65">
        <f t="shared" ca="1" si="22"/>
        <v>6</v>
      </c>
      <c r="BQ13" s="65">
        <f t="shared" ca="1" si="22"/>
        <v>6</v>
      </c>
      <c r="BR13" s="65">
        <f t="shared" ca="1" si="22"/>
        <v>6</v>
      </c>
      <c r="BS13" s="65">
        <f t="shared" ca="1" si="22"/>
        <v>6</v>
      </c>
      <c r="BT13" s="65" t="str">
        <f t="shared" ca="1" si="22"/>
        <v>-</v>
      </c>
      <c r="BU13" s="65" t="str">
        <f t="shared" ca="1" si="22"/>
        <v>-</v>
      </c>
      <c r="BV13" s="65" t="str">
        <f t="shared" ca="1" si="22"/>
        <v>-</v>
      </c>
      <c r="BW13" s="65" t="str">
        <f t="shared" ca="1" si="22"/>
        <v>-</v>
      </c>
      <c r="BX13" s="65" t="str">
        <f t="shared" ca="1" si="22"/>
        <v>-</v>
      </c>
      <c r="BY13" s="65" t="str">
        <f t="shared" ca="1" si="23"/>
        <v>-</v>
      </c>
      <c r="BZ13" s="65" t="str">
        <f t="shared" ca="1" si="23"/>
        <v>-</v>
      </c>
      <c r="CA13" s="65" t="str">
        <f t="shared" ca="1" si="23"/>
        <v>-</v>
      </c>
      <c r="CB13" s="65" t="str">
        <f t="shared" ca="1" si="23"/>
        <v>-</v>
      </c>
      <c r="CC13" s="65" t="str">
        <f t="shared" ca="1" si="23"/>
        <v>-</v>
      </c>
      <c r="CD13" s="65" t="str">
        <f t="shared" ca="1" si="23"/>
        <v>-</v>
      </c>
      <c r="CE13" s="65" t="str">
        <f t="shared" ca="1" si="23"/>
        <v>-</v>
      </c>
      <c r="CF13" s="65" t="str">
        <f t="shared" ca="1" si="23"/>
        <v>-</v>
      </c>
      <c r="CG13" s="65" t="str">
        <f t="shared" ca="1" si="23"/>
        <v>-</v>
      </c>
      <c r="CH13" s="65" t="str">
        <f t="shared" ca="1" si="23"/>
        <v>-</v>
      </c>
      <c r="CI13" s="65" t="str">
        <f t="shared" ca="1" si="23"/>
        <v>-</v>
      </c>
      <c r="CJ13" s="65" t="str">
        <f t="shared" ca="1" si="23"/>
        <v>-</v>
      </c>
      <c r="CK13" s="65" t="str">
        <f t="shared" ca="1" si="23"/>
        <v>-</v>
      </c>
      <c r="CL13" s="65" t="str">
        <f t="shared" ca="1" si="23"/>
        <v>-</v>
      </c>
      <c r="CM13" s="65" t="str">
        <f t="shared" ca="1" si="23"/>
        <v>-</v>
      </c>
      <c r="CN13" s="65" t="str">
        <f t="shared" ca="1" si="23"/>
        <v>-</v>
      </c>
      <c r="CO13" s="65" t="str">
        <f t="shared" ca="1" si="24"/>
        <v>-</v>
      </c>
      <c r="CP13" s="65" t="str">
        <f t="shared" ca="1" si="24"/>
        <v>-</v>
      </c>
      <c r="CQ13" s="65" t="str">
        <f t="shared" ca="1" si="24"/>
        <v>-</v>
      </c>
      <c r="CR13" s="65" t="str">
        <f t="shared" ca="1" si="24"/>
        <v>-</v>
      </c>
      <c r="CS13" s="65" t="str">
        <f t="shared" ca="1" si="24"/>
        <v>-</v>
      </c>
      <c r="CT13" s="65" t="str">
        <f t="shared" ca="1" si="24"/>
        <v>-</v>
      </c>
      <c r="CU13" s="65" t="str">
        <f t="shared" ca="1" si="24"/>
        <v>-</v>
      </c>
      <c r="CV13" s="65" t="str">
        <f t="shared" ca="1" si="24"/>
        <v>-</v>
      </c>
      <c r="CW13" s="65" t="str">
        <f t="shared" ca="1" si="24"/>
        <v>-</v>
      </c>
      <c r="CX13" s="65" t="str">
        <f t="shared" ca="1" si="24"/>
        <v>-</v>
      </c>
      <c r="CY13" s="65" t="str">
        <f t="shared" ca="1" si="24"/>
        <v>-</v>
      </c>
      <c r="CZ13" s="65" t="str">
        <f t="shared" ca="1" si="24"/>
        <v>-</v>
      </c>
      <c r="DA13" s="65" t="str">
        <f t="shared" ca="1" si="24"/>
        <v>-</v>
      </c>
      <c r="DB13" s="65" t="str">
        <f t="shared" ca="1" si="24"/>
        <v>-</v>
      </c>
      <c r="DC13" s="65" t="str">
        <f t="shared" ca="1" si="24"/>
        <v>-</v>
      </c>
      <c r="DD13" s="65" t="str">
        <f t="shared" ca="1" si="24"/>
        <v>-</v>
      </c>
      <c r="DE13" s="65" t="str">
        <f t="shared" ca="1" si="25"/>
        <v>-</v>
      </c>
      <c r="DF13" s="65" t="str">
        <f t="shared" ca="1" si="25"/>
        <v>-</v>
      </c>
      <c r="DG13" s="65" t="str">
        <f t="shared" ca="1" si="25"/>
        <v>-</v>
      </c>
      <c r="DH13" s="65" t="str">
        <f t="shared" ca="1" si="25"/>
        <v>-</v>
      </c>
      <c r="DI13" s="65" t="str">
        <f t="shared" ca="1" si="25"/>
        <v>-</v>
      </c>
      <c r="DJ13" s="65" t="str">
        <f t="shared" ca="1" si="25"/>
        <v>-</v>
      </c>
      <c r="DK13" s="65" t="str">
        <f t="shared" ca="1" si="25"/>
        <v>-</v>
      </c>
      <c r="DL13" s="65" t="str">
        <f t="shared" ca="1" si="25"/>
        <v>-</v>
      </c>
      <c r="DM13" s="65" t="str">
        <f t="shared" ca="1" si="25"/>
        <v>-</v>
      </c>
      <c r="DN13" s="65" t="str">
        <f t="shared" ca="1" si="25"/>
        <v>-</v>
      </c>
      <c r="DO13" s="65" t="str">
        <f t="shared" ca="1" si="25"/>
        <v>-</v>
      </c>
      <c r="DP13" s="65" t="str">
        <f t="shared" ca="1" si="25"/>
        <v>-</v>
      </c>
      <c r="DQ13" s="65" t="str">
        <f t="shared" ca="1" si="25"/>
        <v>-</v>
      </c>
      <c r="DR13" s="65" t="str">
        <f t="shared" ca="1" si="25"/>
        <v>-</v>
      </c>
      <c r="DS13" s="65" t="str">
        <f t="shared" ca="1" si="25"/>
        <v>-</v>
      </c>
      <c r="DT13" s="65" t="str">
        <f t="shared" ca="1" si="25"/>
        <v>-</v>
      </c>
      <c r="DU13" s="65" t="str">
        <f t="shared" ca="1" si="26"/>
        <v>-</v>
      </c>
      <c r="DV13" s="65" t="str">
        <f t="shared" ca="1" si="26"/>
        <v>-</v>
      </c>
      <c r="DW13" s="65" t="str">
        <f t="shared" ca="1" si="26"/>
        <v>-</v>
      </c>
      <c r="DX13" s="65" t="str">
        <f t="shared" ca="1" si="26"/>
        <v>-</v>
      </c>
      <c r="DY13" s="65" t="str">
        <f t="shared" ca="1" si="26"/>
        <v>-</v>
      </c>
      <c r="DZ13" s="65" t="str">
        <f t="shared" ca="1" si="26"/>
        <v>-</v>
      </c>
      <c r="EA13" s="65" t="str">
        <f t="shared" ca="1" si="26"/>
        <v>-</v>
      </c>
      <c r="EB13" s="65" t="str">
        <f t="shared" ca="1" si="26"/>
        <v>-</v>
      </c>
      <c r="EC13" s="65" t="str">
        <f t="shared" ca="1" si="26"/>
        <v>-</v>
      </c>
      <c r="ED13" s="65" t="str">
        <f t="shared" ca="1" si="26"/>
        <v>-</v>
      </c>
      <c r="EE13" s="65" t="str">
        <f t="shared" ca="1" si="26"/>
        <v>-</v>
      </c>
      <c r="EF13" s="65" t="str">
        <f t="shared" ca="1" si="26"/>
        <v>-</v>
      </c>
      <c r="EG13" s="65" t="str">
        <f t="shared" ca="1" si="26"/>
        <v>-</v>
      </c>
      <c r="EH13" s="65" t="str">
        <f t="shared" ca="1" si="26"/>
        <v>-</v>
      </c>
      <c r="EI13" s="65" t="str">
        <f t="shared" ca="1" si="26"/>
        <v>-</v>
      </c>
      <c r="EJ13" s="65" t="str">
        <f t="shared" ca="1" si="26"/>
        <v>-</v>
      </c>
      <c r="EK13" s="65" t="str">
        <f t="shared" ca="1" si="27"/>
        <v>-</v>
      </c>
      <c r="EL13" s="65" t="str">
        <f t="shared" ca="1" si="27"/>
        <v>-</v>
      </c>
      <c r="EM13" s="65" t="str">
        <f t="shared" ca="1" si="27"/>
        <v>-</v>
      </c>
      <c r="EN13" s="65" t="str">
        <f t="shared" ca="1" si="27"/>
        <v>-</v>
      </c>
      <c r="EO13" s="65" t="str">
        <f t="shared" ca="1" si="27"/>
        <v>-</v>
      </c>
    </row>
    <row r="14" spans="1:207">
      <c r="A14" s="448"/>
      <c r="B14" s="459"/>
      <c r="C14" s="451"/>
      <c r="D14" s="456"/>
      <c r="E14" s="185" t="s">
        <v>67</v>
      </c>
      <c r="F14" s="66">
        <f>SUM('BESS 11'!S87:S95)</f>
        <v>221.66666666666666</v>
      </c>
      <c r="G14" s="182">
        <f ca="1">TODAY()</f>
        <v>46233</v>
      </c>
      <c r="H14" s="182">
        <f>B10-3</f>
        <v>46237</v>
      </c>
      <c r="I14" s="65">
        <f ca="1">H14-G14</f>
        <v>4</v>
      </c>
      <c r="J14" s="453"/>
      <c r="K14" s="453"/>
      <c r="L14" s="445"/>
      <c r="M14" s="65" t="str">
        <f t="shared" ca="1" si="19"/>
        <v>-</v>
      </c>
      <c r="N14" s="65" t="str">
        <f t="shared" ca="1" si="19"/>
        <v>-</v>
      </c>
      <c r="O14" s="65" t="str">
        <f t="shared" ca="1" si="19"/>
        <v>-</v>
      </c>
      <c r="P14" s="65" t="str">
        <f t="shared" ca="1" si="19"/>
        <v>-</v>
      </c>
      <c r="Q14" s="65" t="str">
        <f t="shared" ca="1" si="19"/>
        <v>-</v>
      </c>
      <c r="R14" s="65" t="str">
        <f t="shared" ca="1" si="19"/>
        <v>-</v>
      </c>
      <c r="S14" s="65" t="str">
        <f t="shared" ca="1" si="19"/>
        <v>-</v>
      </c>
      <c r="T14" s="65" t="str">
        <f t="shared" ca="1" si="19"/>
        <v>-</v>
      </c>
      <c r="U14" s="65" t="str">
        <f t="shared" ca="1" si="19"/>
        <v>-</v>
      </c>
      <c r="V14" s="65" t="str">
        <f t="shared" ca="1" si="19"/>
        <v>-</v>
      </c>
      <c r="W14" s="65" t="str">
        <f t="shared" ca="1" si="19"/>
        <v>-</v>
      </c>
      <c r="X14" s="65" t="str">
        <f t="shared" ca="1" si="19"/>
        <v>-</v>
      </c>
      <c r="Y14" s="65" t="str">
        <f t="shared" ca="1" si="19"/>
        <v>-</v>
      </c>
      <c r="Z14" s="65" t="str">
        <f t="shared" ca="1" si="19"/>
        <v>-</v>
      </c>
      <c r="AA14" s="65" t="str">
        <f t="shared" ca="1" si="19"/>
        <v>-</v>
      </c>
      <c r="AB14" s="65" t="str">
        <f t="shared" ca="1" si="19"/>
        <v>-</v>
      </c>
      <c r="AC14" s="65" t="str">
        <f t="shared" ca="1" si="20"/>
        <v>-</v>
      </c>
      <c r="AD14" s="65" t="str">
        <f t="shared" ca="1" si="20"/>
        <v>-</v>
      </c>
      <c r="AE14" s="65" t="str">
        <f t="shared" ca="1" si="20"/>
        <v>-</v>
      </c>
      <c r="AF14" s="65" t="str">
        <f t="shared" ca="1" si="20"/>
        <v>-</v>
      </c>
      <c r="AG14" s="65" t="str">
        <f t="shared" ca="1" si="20"/>
        <v>-</v>
      </c>
      <c r="AH14" s="65" t="str">
        <f t="shared" ca="1" si="20"/>
        <v>-</v>
      </c>
      <c r="AI14" s="65" t="str">
        <f t="shared" ca="1" si="20"/>
        <v>-</v>
      </c>
      <c r="AJ14" s="65" t="str">
        <f t="shared" ca="1" si="20"/>
        <v>-</v>
      </c>
      <c r="AK14" s="65" t="str">
        <f t="shared" ca="1" si="20"/>
        <v>-</v>
      </c>
      <c r="AL14" s="65" t="str">
        <f t="shared" ca="1" si="20"/>
        <v>-</v>
      </c>
      <c r="AM14" s="65" t="str">
        <f t="shared" ca="1" si="20"/>
        <v>-</v>
      </c>
      <c r="AN14" s="65" t="str">
        <f t="shared" ca="1" si="20"/>
        <v>-</v>
      </c>
      <c r="AO14" s="65" t="str">
        <f t="shared" ca="1" si="20"/>
        <v>-</v>
      </c>
      <c r="AP14" s="65" t="str">
        <f t="shared" ca="1" si="20"/>
        <v>-</v>
      </c>
      <c r="AQ14" s="65" t="str">
        <f t="shared" ca="1" si="20"/>
        <v>-</v>
      </c>
      <c r="AR14" s="65" t="str">
        <f t="shared" ca="1" si="20"/>
        <v>-</v>
      </c>
      <c r="AS14" s="65" t="str">
        <f t="shared" ca="1" si="21"/>
        <v>-</v>
      </c>
      <c r="AT14" s="65" t="str">
        <f t="shared" ca="1" si="21"/>
        <v>-</v>
      </c>
      <c r="AU14" s="65" t="str">
        <f t="shared" ca="1" si="21"/>
        <v>-</v>
      </c>
      <c r="AV14" s="65" t="str">
        <f t="shared" ca="1" si="21"/>
        <v>-</v>
      </c>
      <c r="AW14" s="65" t="str">
        <f t="shared" ca="1" si="21"/>
        <v>-</v>
      </c>
      <c r="AX14" s="65" t="str">
        <f t="shared" ca="1" si="21"/>
        <v>-</v>
      </c>
      <c r="AY14" s="65">
        <f t="shared" ca="1" si="21"/>
        <v>55</v>
      </c>
      <c r="AZ14" s="65">
        <f t="shared" ca="1" si="21"/>
        <v>55</v>
      </c>
      <c r="BA14" s="65">
        <f t="shared" ca="1" si="21"/>
        <v>55</v>
      </c>
      <c r="BB14" s="65">
        <f t="shared" ca="1" si="21"/>
        <v>55</v>
      </c>
      <c r="BC14" s="65" t="str">
        <f t="shared" ca="1" si="21"/>
        <v>-</v>
      </c>
      <c r="BD14" s="65" t="str">
        <f t="shared" ca="1" si="21"/>
        <v>-</v>
      </c>
      <c r="BE14" s="65" t="str">
        <f t="shared" ca="1" si="21"/>
        <v>-</v>
      </c>
      <c r="BF14" s="65" t="str">
        <f t="shared" ca="1" si="21"/>
        <v>-</v>
      </c>
      <c r="BG14" s="65" t="str">
        <f t="shared" ca="1" si="21"/>
        <v>-</v>
      </c>
      <c r="BH14" s="65" t="str">
        <f t="shared" ca="1" si="21"/>
        <v>-</v>
      </c>
      <c r="BI14" s="65" t="str">
        <f t="shared" ca="1" si="22"/>
        <v>-</v>
      </c>
      <c r="BJ14" s="65" t="str">
        <f t="shared" ca="1" si="22"/>
        <v>-</v>
      </c>
      <c r="BK14" s="65" t="str">
        <f t="shared" ca="1" si="22"/>
        <v>-</v>
      </c>
      <c r="BL14" s="65" t="str">
        <f t="shared" ca="1" si="22"/>
        <v>-</v>
      </c>
      <c r="BM14" s="65" t="str">
        <f t="shared" ca="1" si="22"/>
        <v>-</v>
      </c>
      <c r="BN14" s="65" t="str">
        <f t="shared" ca="1" si="22"/>
        <v>-</v>
      </c>
      <c r="BO14" s="65" t="str">
        <f t="shared" ca="1" si="22"/>
        <v>-</v>
      </c>
      <c r="BP14" s="65" t="str">
        <f t="shared" ca="1" si="22"/>
        <v>-</v>
      </c>
      <c r="BQ14" s="65" t="str">
        <f t="shared" ca="1" si="22"/>
        <v>-</v>
      </c>
      <c r="BR14" s="65" t="str">
        <f t="shared" ca="1" si="22"/>
        <v>-</v>
      </c>
      <c r="BS14" s="65" t="str">
        <f t="shared" ca="1" si="22"/>
        <v>-</v>
      </c>
      <c r="BT14" s="65" t="str">
        <f t="shared" ca="1" si="22"/>
        <v>-</v>
      </c>
      <c r="BU14" s="65" t="str">
        <f t="shared" ca="1" si="22"/>
        <v>-</v>
      </c>
      <c r="BV14" s="65" t="str">
        <f t="shared" ca="1" si="22"/>
        <v>-</v>
      </c>
      <c r="BW14" s="65" t="str">
        <f t="shared" ca="1" si="22"/>
        <v>-</v>
      </c>
      <c r="BX14" s="65" t="str">
        <f t="shared" ca="1" si="22"/>
        <v>-</v>
      </c>
      <c r="BY14" s="65" t="str">
        <f t="shared" ca="1" si="23"/>
        <v>-</v>
      </c>
      <c r="BZ14" s="65" t="str">
        <f t="shared" ca="1" si="23"/>
        <v>-</v>
      </c>
      <c r="CA14" s="65" t="str">
        <f t="shared" ca="1" si="23"/>
        <v>-</v>
      </c>
      <c r="CB14" s="65" t="str">
        <f t="shared" ca="1" si="23"/>
        <v>-</v>
      </c>
      <c r="CC14" s="65" t="str">
        <f t="shared" ca="1" si="23"/>
        <v>-</v>
      </c>
      <c r="CD14" s="65" t="str">
        <f t="shared" ca="1" si="23"/>
        <v>-</v>
      </c>
      <c r="CE14" s="65" t="str">
        <f t="shared" ca="1" si="23"/>
        <v>-</v>
      </c>
      <c r="CF14" s="65" t="str">
        <f t="shared" ca="1" si="23"/>
        <v>-</v>
      </c>
      <c r="CG14" s="65" t="str">
        <f t="shared" ca="1" si="23"/>
        <v>-</v>
      </c>
      <c r="CH14" s="65" t="str">
        <f t="shared" ca="1" si="23"/>
        <v>-</v>
      </c>
      <c r="CI14" s="65" t="str">
        <f t="shared" ca="1" si="23"/>
        <v>-</v>
      </c>
      <c r="CJ14" s="65" t="str">
        <f t="shared" ca="1" si="23"/>
        <v>-</v>
      </c>
      <c r="CK14" s="65" t="str">
        <f t="shared" ca="1" si="23"/>
        <v>-</v>
      </c>
      <c r="CL14" s="65" t="str">
        <f t="shared" ca="1" si="23"/>
        <v>-</v>
      </c>
      <c r="CM14" s="65" t="str">
        <f t="shared" ca="1" si="23"/>
        <v>-</v>
      </c>
      <c r="CN14" s="65" t="str">
        <f t="shared" ca="1" si="23"/>
        <v>-</v>
      </c>
      <c r="CO14" s="65" t="str">
        <f t="shared" ca="1" si="24"/>
        <v>-</v>
      </c>
      <c r="CP14" s="65" t="str">
        <f t="shared" ca="1" si="24"/>
        <v>-</v>
      </c>
      <c r="CQ14" s="65" t="str">
        <f t="shared" ca="1" si="24"/>
        <v>-</v>
      </c>
      <c r="CR14" s="65" t="str">
        <f t="shared" ca="1" si="24"/>
        <v>-</v>
      </c>
      <c r="CS14" s="65" t="str">
        <f t="shared" ca="1" si="24"/>
        <v>-</v>
      </c>
      <c r="CT14" s="65" t="str">
        <f t="shared" ca="1" si="24"/>
        <v>-</v>
      </c>
      <c r="CU14" s="65" t="str">
        <f t="shared" ca="1" si="24"/>
        <v>-</v>
      </c>
      <c r="CV14" s="65" t="str">
        <f t="shared" ca="1" si="24"/>
        <v>-</v>
      </c>
      <c r="CW14" s="65" t="str">
        <f t="shared" ca="1" si="24"/>
        <v>-</v>
      </c>
      <c r="CX14" s="65" t="str">
        <f t="shared" ca="1" si="24"/>
        <v>-</v>
      </c>
      <c r="CY14" s="65" t="str">
        <f t="shared" ca="1" si="24"/>
        <v>-</v>
      </c>
      <c r="CZ14" s="65" t="str">
        <f t="shared" ca="1" si="24"/>
        <v>-</v>
      </c>
      <c r="DA14" s="65" t="str">
        <f t="shared" ca="1" si="24"/>
        <v>-</v>
      </c>
      <c r="DB14" s="65" t="str">
        <f t="shared" ca="1" si="24"/>
        <v>-</v>
      </c>
      <c r="DC14" s="65" t="str">
        <f t="shared" ca="1" si="24"/>
        <v>-</v>
      </c>
      <c r="DD14" s="65" t="str">
        <f t="shared" ca="1" si="24"/>
        <v>-</v>
      </c>
      <c r="DE14" s="65" t="str">
        <f t="shared" ca="1" si="25"/>
        <v>-</v>
      </c>
      <c r="DF14" s="65" t="str">
        <f t="shared" ca="1" si="25"/>
        <v>-</v>
      </c>
      <c r="DG14" s="65" t="str">
        <f t="shared" ca="1" si="25"/>
        <v>-</v>
      </c>
      <c r="DH14" s="65" t="str">
        <f t="shared" ca="1" si="25"/>
        <v>-</v>
      </c>
      <c r="DI14" s="65" t="str">
        <f t="shared" ca="1" si="25"/>
        <v>-</v>
      </c>
      <c r="DJ14" s="65" t="str">
        <f t="shared" ca="1" si="25"/>
        <v>-</v>
      </c>
      <c r="DK14" s="65" t="str">
        <f t="shared" ca="1" si="25"/>
        <v>-</v>
      </c>
      <c r="DL14" s="65" t="str">
        <f t="shared" ca="1" si="25"/>
        <v>-</v>
      </c>
      <c r="DM14" s="65" t="str">
        <f t="shared" ca="1" si="25"/>
        <v>-</v>
      </c>
      <c r="DN14" s="65" t="str">
        <f t="shared" ca="1" si="25"/>
        <v>-</v>
      </c>
      <c r="DO14" s="65" t="str">
        <f t="shared" ca="1" si="25"/>
        <v>-</v>
      </c>
      <c r="DP14" s="65" t="str">
        <f t="shared" ca="1" si="25"/>
        <v>-</v>
      </c>
      <c r="DQ14" s="65" t="str">
        <f t="shared" ca="1" si="25"/>
        <v>-</v>
      </c>
      <c r="DR14" s="65" t="str">
        <f t="shared" ca="1" si="25"/>
        <v>-</v>
      </c>
      <c r="DS14" s="65" t="str">
        <f t="shared" ca="1" si="25"/>
        <v>-</v>
      </c>
      <c r="DT14" s="65" t="str">
        <f t="shared" ca="1" si="25"/>
        <v>-</v>
      </c>
      <c r="DU14" s="65" t="str">
        <f t="shared" ca="1" si="26"/>
        <v>-</v>
      </c>
      <c r="DV14" s="65" t="str">
        <f t="shared" ca="1" si="26"/>
        <v>-</v>
      </c>
      <c r="DW14" s="65" t="str">
        <f t="shared" ca="1" si="26"/>
        <v>-</v>
      </c>
      <c r="DX14" s="65" t="str">
        <f t="shared" ca="1" si="26"/>
        <v>-</v>
      </c>
      <c r="DY14" s="65" t="str">
        <f t="shared" ca="1" si="26"/>
        <v>-</v>
      </c>
      <c r="DZ14" s="65" t="str">
        <f t="shared" ca="1" si="26"/>
        <v>-</v>
      </c>
      <c r="EA14" s="65" t="str">
        <f t="shared" ca="1" si="26"/>
        <v>-</v>
      </c>
      <c r="EB14" s="65" t="str">
        <f t="shared" ca="1" si="26"/>
        <v>-</v>
      </c>
      <c r="EC14" s="65" t="str">
        <f t="shared" ca="1" si="26"/>
        <v>-</v>
      </c>
      <c r="ED14" s="65" t="str">
        <f t="shared" ca="1" si="26"/>
        <v>-</v>
      </c>
      <c r="EE14" s="65" t="str">
        <f t="shared" ca="1" si="26"/>
        <v>-</v>
      </c>
      <c r="EF14" s="65" t="str">
        <f t="shared" ca="1" si="26"/>
        <v>-</v>
      </c>
      <c r="EG14" s="65" t="str">
        <f t="shared" ca="1" si="26"/>
        <v>-</v>
      </c>
      <c r="EH14" s="65" t="str">
        <f t="shared" ca="1" si="26"/>
        <v>-</v>
      </c>
      <c r="EI14" s="65" t="str">
        <f t="shared" ca="1" si="26"/>
        <v>-</v>
      </c>
      <c r="EJ14" s="65" t="str">
        <f t="shared" ca="1" si="26"/>
        <v>-</v>
      </c>
      <c r="EK14" s="65" t="str">
        <f t="shared" ca="1" si="27"/>
        <v>-</v>
      </c>
      <c r="EL14" s="65" t="str">
        <f t="shared" ca="1" si="27"/>
        <v>-</v>
      </c>
      <c r="EM14" s="65" t="str">
        <f t="shared" ca="1" si="27"/>
        <v>-</v>
      </c>
      <c r="EN14" s="65" t="str">
        <f t="shared" ca="1" si="27"/>
        <v>-</v>
      </c>
      <c r="EO14" s="65" t="str">
        <f t="shared" ca="1" si="27"/>
        <v>-</v>
      </c>
    </row>
    <row r="15" spans="1:207" ht="16.5">
      <c r="A15" s="449"/>
      <c r="B15" s="460"/>
      <c r="C15" s="452"/>
      <c r="D15" s="457"/>
      <c r="E15" s="185" t="s">
        <v>68</v>
      </c>
      <c r="F15" s="65">
        <v>250</v>
      </c>
      <c r="G15" s="185"/>
      <c r="H15" s="182">
        <f>B10-3</f>
        <v>46237</v>
      </c>
      <c r="I15" s="65">
        <v>30</v>
      </c>
      <c r="J15" s="454"/>
      <c r="K15" s="454"/>
      <c r="L15" s="446"/>
      <c r="M15" s="443" t="str">
        <f>IF(AND(M$2&gt;=$B$10-26,M$2&lt;=$B$10-3),5,IF(OR(M$2=$B$10-2,M$2=$B$10-1,M$2=$B$10,M$2=$B$10+1),30,IF(OR(M$2=$B$10+2,M$2=$B$10+3),5,"")))</f>
        <v/>
      </c>
      <c r="N15" s="443" t="str">
        <f t="shared" ref="N15:BY15" si="28">IF(AND(N$2&gt;=$B$10-26,N$2&lt;=$B$10-3),5,IF(OR(N$2=$B$10-2,N$2=$B$10-1,N$2=$B$10,N$2=$B$10+1),30,IF(OR(N$2=$B$10+2,N$2=$B$10+3),5,"")))</f>
        <v/>
      </c>
      <c r="O15" s="443" t="str">
        <f t="shared" si="28"/>
        <v/>
      </c>
      <c r="P15" s="443" t="str">
        <f t="shared" si="28"/>
        <v/>
      </c>
      <c r="Q15" s="443" t="str">
        <f t="shared" si="28"/>
        <v/>
      </c>
      <c r="R15" s="443" t="str">
        <f t="shared" si="28"/>
        <v/>
      </c>
      <c r="S15" s="443" t="str">
        <f t="shared" si="28"/>
        <v/>
      </c>
      <c r="T15" s="443" t="str">
        <f t="shared" si="28"/>
        <v/>
      </c>
      <c r="U15" s="443" t="str">
        <f t="shared" si="28"/>
        <v/>
      </c>
      <c r="V15" s="443" t="str">
        <f t="shared" si="28"/>
        <v/>
      </c>
      <c r="W15" s="443" t="str">
        <f t="shared" si="28"/>
        <v/>
      </c>
      <c r="X15" s="443" t="str">
        <f t="shared" si="28"/>
        <v/>
      </c>
      <c r="Y15" s="443" t="str">
        <f t="shared" si="28"/>
        <v/>
      </c>
      <c r="Z15" s="443" t="str">
        <f t="shared" si="28"/>
        <v/>
      </c>
      <c r="AA15" s="443" t="str">
        <f t="shared" si="28"/>
        <v/>
      </c>
      <c r="AB15" s="443" t="str">
        <f t="shared" si="28"/>
        <v/>
      </c>
      <c r="AC15" s="443" t="str">
        <f t="shared" si="28"/>
        <v/>
      </c>
      <c r="AD15" s="443" t="str">
        <f t="shared" si="28"/>
        <v/>
      </c>
      <c r="AE15" s="443" t="str">
        <f t="shared" si="28"/>
        <v/>
      </c>
      <c r="AF15" s="443">
        <f t="shared" si="28"/>
        <v>5</v>
      </c>
      <c r="AG15" s="443">
        <f t="shared" si="28"/>
        <v>5</v>
      </c>
      <c r="AH15" s="443">
        <f t="shared" si="28"/>
        <v>5</v>
      </c>
      <c r="AI15" s="443">
        <f t="shared" si="28"/>
        <v>5</v>
      </c>
      <c r="AJ15" s="443">
        <f t="shared" si="28"/>
        <v>5</v>
      </c>
      <c r="AK15" s="443">
        <f t="shared" si="28"/>
        <v>5</v>
      </c>
      <c r="AL15" s="443">
        <f t="shared" si="28"/>
        <v>5</v>
      </c>
      <c r="AM15" s="443">
        <f t="shared" si="28"/>
        <v>5</v>
      </c>
      <c r="AN15" s="443">
        <f t="shared" si="28"/>
        <v>5</v>
      </c>
      <c r="AO15" s="443">
        <f t="shared" si="28"/>
        <v>5</v>
      </c>
      <c r="AP15" s="443">
        <f t="shared" si="28"/>
        <v>5</v>
      </c>
      <c r="AQ15" s="443">
        <f t="shared" si="28"/>
        <v>5</v>
      </c>
      <c r="AR15" s="443">
        <f t="shared" si="28"/>
        <v>5</v>
      </c>
      <c r="AS15" s="443">
        <f t="shared" si="28"/>
        <v>5</v>
      </c>
      <c r="AT15" s="443">
        <f t="shared" si="28"/>
        <v>5</v>
      </c>
      <c r="AU15" s="443">
        <f t="shared" si="28"/>
        <v>5</v>
      </c>
      <c r="AV15" s="443">
        <f t="shared" si="28"/>
        <v>5</v>
      </c>
      <c r="AW15" s="443">
        <f t="shared" si="28"/>
        <v>5</v>
      </c>
      <c r="AX15" s="443">
        <f t="shared" si="28"/>
        <v>5</v>
      </c>
      <c r="AY15" s="443">
        <f t="shared" si="28"/>
        <v>5</v>
      </c>
      <c r="AZ15" s="443">
        <f t="shared" si="28"/>
        <v>5</v>
      </c>
      <c r="BA15" s="443">
        <f t="shared" si="28"/>
        <v>5</v>
      </c>
      <c r="BB15" s="443">
        <f t="shared" si="28"/>
        <v>5</v>
      </c>
      <c r="BC15" s="443">
        <f t="shared" si="28"/>
        <v>5</v>
      </c>
      <c r="BD15" s="443">
        <f t="shared" si="28"/>
        <v>30</v>
      </c>
      <c r="BE15" s="443">
        <f t="shared" si="28"/>
        <v>30</v>
      </c>
      <c r="BF15" s="443">
        <f t="shared" si="28"/>
        <v>30</v>
      </c>
      <c r="BG15" s="443">
        <f t="shared" si="28"/>
        <v>30</v>
      </c>
      <c r="BH15" s="443">
        <f t="shared" si="28"/>
        <v>5</v>
      </c>
      <c r="BI15" s="443">
        <f t="shared" si="28"/>
        <v>5</v>
      </c>
      <c r="BJ15" s="443" t="str">
        <f t="shared" si="28"/>
        <v/>
      </c>
      <c r="BK15" s="443" t="str">
        <f t="shared" si="28"/>
        <v/>
      </c>
      <c r="BL15" s="443" t="str">
        <f t="shared" si="28"/>
        <v/>
      </c>
      <c r="BM15" s="443" t="str">
        <f t="shared" si="28"/>
        <v/>
      </c>
      <c r="BN15" s="443" t="str">
        <f t="shared" si="28"/>
        <v/>
      </c>
      <c r="BO15" s="443" t="str">
        <f t="shared" si="28"/>
        <v/>
      </c>
      <c r="BP15" s="443" t="str">
        <f t="shared" si="28"/>
        <v/>
      </c>
      <c r="BQ15" s="443" t="str">
        <f t="shared" si="28"/>
        <v/>
      </c>
      <c r="BR15" s="443" t="str">
        <f t="shared" si="28"/>
        <v/>
      </c>
      <c r="BS15" s="443" t="str">
        <f t="shared" si="28"/>
        <v/>
      </c>
      <c r="BT15" s="443" t="str">
        <f t="shared" si="28"/>
        <v/>
      </c>
      <c r="BU15" s="443" t="str">
        <f t="shared" si="28"/>
        <v/>
      </c>
      <c r="BV15" s="443" t="str">
        <f t="shared" si="28"/>
        <v/>
      </c>
      <c r="BW15" s="443" t="str">
        <f t="shared" si="28"/>
        <v/>
      </c>
      <c r="BX15" s="443" t="str">
        <f t="shared" si="28"/>
        <v/>
      </c>
      <c r="BY15" s="443" t="str">
        <f t="shared" si="28"/>
        <v/>
      </c>
      <c r="BZ15" s="443" t="str">
        <f t="shared" ref="BZ15:EK15" si="29">IF(AND(BZ$2&gt;=$B$10-26,BZ$2&lt;=$B$10-3),5,IF(OR(BZ$2=$B$10-2,BZ$2=$B$10-1,BZ$2=$B$10,BZ$2=$B$10+1),30,IF(OR(BZ$2=$B$10+2,BZ$2=$B$10+3),5,"")))</f>
        <v/>
      </c>
      <c r="CA15" s="443" t="str">
        <f t="shared" si="29"/>
        <v/>
      </c>
      <c r="CB15" s="443" t="str">
        <f t="shared" si="29"/>
        <v/>
      </c>
      <c r="CC15" s="443" t="str">
        <f t="shared" si="29"/>
        <v/>
      </c>
      <c r="CD15" s="443" t="str">
        <f t="shared" si="29"/>
        <v/>
      </c>
      <c r="CE15" s="443" t="str">
        <f t="shared" si="29"/>
        <v/>
      </c>
      <c r="CF15" s="443" t="str">
        <f t="shared" si="29"/>
        <v/>
      </c>
      <c r="CG15" s="443" t="str">
        <f t="shared" si="29"/>
        <v/>
      </c>
      <c r="CH15" s="443" t="str">
        <f t="shared" si="29"/>
        <v/>
      </c>
      <c r="CI15" s="443" t="str">
        <f t="shared" si="29"/>
        <v/>
      </c>
      <c r="CJ15" s="443" t="str">
        <f t="shared" si="29"/>
        <v/>
      </c>
      <c r="CK15" s="443" t="str">
        <f t="shared" si="29"/>
        <v/>
      </c>
      <c r="CL15" s="443" t="str">
        <f t="shared" si="29"/>
        <v/>
      </c>
      <c r="CM15" s="443" t="str">
        <f t="shared" si="29"/>
        <v/>
      </c>
      <c r="CN15" s="443" t="str">
        <f t="shared" si="29"/>
        <v/>
      </c>
      <c r="CO15" s="443" t="str">
        <f t="shared" si="29"/>
        <v/>
      </c>
      <c r="CP15" s="443" t="str">
        <f t="shared" si="29"/>
        <v/>
      </c>
      <c r="CQ15" s="443" t="str">
        <f t="shared" si="29"/>
        <v/>
      </c>
      <c r="CR15" s="443" t="str">
        <f t="shared" si="29"/>
        <v/>
      </c>
      <c r="CS15" s="443" t="str">
        <f t="shared" si="29"/>
        <v/>
      </c>
      <c r="CT15" s="443" t="str">
        <f t="shared" si="29"/>
        <v/>
      </c>
      <c r="CU15" s="443" t="str">
        <f t="shared" si="29"/>
        <v/>
      </c>
      <c r="CV15" s="443" t="str">
        <f t="shared" si="29"/>
        <v/>
      </c>
      <c r="CW15" s="443" t="str">
        <f t="shared" si="29"/>
        <v/>
      </c>
      <c r="CX15" s="443" t="str">
        <f t="shared" si="29"/>
        <v/>
      </c>
      <c r="CY15" s="443" t="str">
        <f t="shared" si="29"/>
        <v/>
      </c>
      <c r="CZ15" s="443" t="str">
        <f t="shared" si="29"/>
        <v/>
      </c>
      <c r="DA15" s="443" t="str">
        <f t="shared" si="29"/>
        <v/>
      </c>
      <c r="DB15" s="443" t="str">
        <f t="shared" si="29"/>
        <v/>
      </c>
      <c r="DC15" s="443" t="str">
        <f t="shared" si="29"/>
        <v/>
      </c>
      <c r="DD15" s="443" t="str">
        <f t="shared" si="29"/>
        <v/>
      </c>
      <c r="DE15" s="443" t="str">
        <f t="shared" si="29"/>
        <v/>
      </c>
      <c r="DF15" s="443" t="str">
        <f t="shared" si="29"/>
        <v/>
      </c>
      <c r="DG15" s="443" t="str">
        <f t="shared" si="29"/>
        <v/>
      </c>
      <c r="DH15" s="443" t="str">
        <f t="shared" si="29"/>
        <v/>
      </c>
      <c r="DI15" s="443" t="str">
        <f t="shared" si="29"/>
        <v/>
      </c>
      <c r="DJ15" s="443" t="str">
        <f t="shared" si="29"/>
        <v/>
      </c>
      <c r="DK15" s="443" t="str">
        <f t="shared" si="29"/>
        <v/>
      </c>
      <c r="DL15" s="443" t="str">
        <f t="shared" si="29"/>
        <v/>
      </c>
      <c r="DM15" s="443" t="str">
        <f t="shared" si="29"/>
        <v/>
      </c>
      <c r="DN15" s="443" t="str">
        <f t="shared" si="29"/>
        <v/>
      </c>
      <c r="DO15" s="443" t="str">
        <f t="shared" si="29"/>
        <v/>
      </c>
      <c r="DP15" s="443" t="str">
        <f t="shared" si="29"/>
        <v/>
      </c>
      <c r="DQ15" s="443" t="str">
        <f t="shared" si="29"/>
        <v/>
      </c>
      <c r="DR15" s="443" t="str">
        <f t="shared" si="29"/>
        <v/>
      </c>
      <c r="DS15" s="443" t="str">
        <f t="shared" si="29"/>
        <v/>
      </c>
      <c r="DT15" s="443" t="str">
        <f t="shared" si="29"/>
        <v/>
      </c>
      <c r="DU15" s="443" t="str">
        <f t="shared" si="29"/>
        <v/>
      </c>
      <c r="DV15" s="443" t="str">
        <f t="shared" si="29"/>
        <v/>
      </c>
      <c r="DW15" s="443" t="str">
        <f t="shared" si="29"/>
        <v/>
      </c>
      <c r="DX15" s="443" t="str">
        <f t="shared" si="29"/>
        <v/>
      </c>
      <c r="DY15" s="443" t="str">
        <f t="shared" si="29"/>
        <v/>
      </c>
      <c r="DZ15" s="443" t="str">
        <f t="shared" si="29"/>
        <v/>
      </c>
      <c r="EA15" s="443" t="str">
        <f t="shared" si="29"/>
        <v/>
      </c>
      <c r="EB15" s="443" t="str">
        <f t="shared" si="29"/>
        <v/>
      </c>
      <c r="EC15" s="443" t="str">
        <f t="shared" si="29"/>
        <v/>
      </c>
      <c r="ED15" s="443" t="str">
        <f t="shared" si="29"/>
        <v/>
      </c>
      <c r="EE15" s="443" t="str">
        <f t="shared" si="29"/>
        <v/>
      </c>
      <c r="EF15" s="443" t="str">
        <f t="shared" si="29"/>
        <v/>
      </c>
      <c r="EG15" s="443" t="str">
        <f t="shared" si="29"/>
        <v/>
      </c>
      <c r="EH15" s="443" t="str">
        <f t="shared" si="29"/>
        <v/>
      </c>
      <c r="EI15" s="443" t="str">
        <f t="shared" si="29"/>
        <v/>
      </c>
      <c r="EJ15" s="443" t="str">
        <f t="shared" si="29"/>
        <v/>
      </c>
      <c r="EK15" s="443" t="str">
        <f t="shared" si="29"/>
        <v/>
      </c>
      <c r="EL15" s="443" t="str">
        <f t="shared" ref="EL15:EO15" si="30">IF(AND(EL$2&gt;=$B$10-26,EL$2&lt;=$B$10-3),5,IF(OR(EL$2=$B$10-2,EL$2=$B$10-1,EL$2=$B$10,EL$2=$B$10+1),30,IF(OR(EL$2=$B$10+2,EL$2=$B$10+3),5,"")))</f>
        <v/>
      </c>
      <c r="EM15" s="443" t="str">
        <f t="shared" si="30"/>
        <v/>
      </c>
      <c r="EN15" s="443" t="str">
        <f t="shared" si="30"/>
        <v/>
      </c>
      <c r="EO15" s="443" t="str">
        <f t="shared" si="30"/>
        <v/>
      </c>
    </row>
    <row r="16" spans="1:207" s="207" customFormat="1" ht="13.5" customHeight="1">
      <c r="A16" s="236"/>
      <c r="B16" s="208"/>
      <c r="E16" s="201"/>
      <c r="F16" s="201"/>
      <c r="G16" s="204" t="s">
        <v>69</v>
      </c>
      <c r="H16" s="203"/>
      <c r="I16" s="203"/>
      <c r="J16" s="203"/>
      <c r="K16" s="230"/>
      <c r="L16" s="230"/>
      <c r="M16" s="205">
        <f ca="1">SUM(M11:M15)</f>
        <v>0</v>
      </c>
      <c r="N16" s="205">
        <f ca="1">SUM(N11:N15)</f>
        <v>0</v>
      </c>
      <c r="O16" s="205">
        <f ca="1">SUM(O11:O15)</f>
        <v>0</v>
      </c>
      <c r="P16" s="205">
        <f t="shared" ref="P16:CA16" ca="1" si="31">SUM(P11:P15)</f>
        <v>0</v>
      </c>
      <c r="Q16" s="205">
        <f t="shared" ca="1" si="31"/>
        <v>0</v>
      </c>
      <c r="R16" s="205">
        <f t="shared" ca="1" si="31"/>
        <v>0</v>
      </c>
      <c r="S16" s="205">
        <f t="shared" ca="1" si="31"/>
        <v>0</v>
      </c>
      <c r="T16" s="205">
        <f t="shared" ca="1" si="31"/>
        <v>0</v>
      </c>
      <c r="U16" s="205">
        <f t="shared" ca="1" si="31"/>
        <v>0</v>
      </c>
      <c r="V16" s="205">
        <f t="shared" ca="1" si="31"/>
        <v>0</v>
      </c>
      <c r="W16" s="205">
        <f t="shared" ca="1" si="31"/>
        <v>0</v>
      </c>
      <c r="X16" s="205">
        <f t="shared" ca="1" si="31"/>
        <v>0</v>
      </c>
      <c r="Y16" s="205">
        <f t="shared" ca="1" si="31"/>
        <v>0</v>
      </c>
      <c r="Z16" s="205">
        <f t="shared" ca="1" si="31"/>
        <v>0</v>
      </c>
      <c r="AA16" s="205">
        <f t="shared" ca="1" si="31"/>
        <v>0</v>
      </c>
      <c r="AB16" s="205">
        <f t="shared" ca="1" si="31"/>
        <v>0</v>
      </c>
      <c r="AC16" s="205">
        <f t="shared" ca="1" si="31"/>
        <v>0</v>
      </c>
      <c r="AD16" s="205">
        <f t="shared" ca="1" si="31"/>
        <v>0</v>
      </c>
      <c r="AE16" s="205">
        <f t="shared" ca="1" si="31"/>
        <v>0</v>
      </c>
      <c r="AF16" s="205">
        <f t="shared" ca="1" si="31"/>
        <v>5</v>
      </c>
      <c r="AG16" s="205">
        <f t="shared" ca="1" si="31"/>
        <v>5</v>
      </c>
      <c r="AH16" s="205">
        <f t="shared" ca="1" si="31"/>
        <v>5</v>
      </c>
      <c r="AI16" s="205">
        <f t="shared" ca="1" si="31"/>
        <v>5</v>
      </c>
      <c r="AJ16" s="205">
        <f t="shared" ca="1" si="31"/>
        <v>5</v>
      </c>
      <c r="AK16" s="205">
        <f t="shared" ca="1" si="31"/>
        <v>5</v>
      </c>
      <c r="AL16" s="205">
        <f t="shared" ca="1" si="31"/>
        <v>5</v>
      </c>
      <c r="AM16" s="205">
        <f t="shared" ca="1" si="31"/>
        <v>5</v>
      </c>
      <c r="AN16" s="205">
        <f t="shared" ca="1" si="31"/>
        <v>5</v>
      </c>
      <c r="AO16" s="205">
        <f t="shared" ca="1" si="31"/>
        <v>5</v>
      </c>
      <c r="AP16" s="205">
        <f t="shared" ca="1" si="31"/>
        <v>5</v>
      </c>
      <c r="AQ16" s="205">
        <f t="shared" ca="1" si="31"/>
        <v>5</v>
      </c>
      <c r="AR16" s="205">
        <f t="shared" ca="1" si="31"/>
        <v>5</v>
      </c>
      <c r="AS16" s="205">
        <f t="shared" ca="1" si="31"/>
        <v>5</v>
      </c>
      <c r="AT16" s="205">
        <f t="shared" ca="1" si="31"/>
        <v>5</v>
      </c>
      <c r="AU16" s="205">
        <f t="shared" ca="1" si="31"/>
        <v>5</v>
      </c>
      <c r="AV16" s="205">
        <f t="shared" ca="1" si="31"/>
        <v>5</v>
      </c>
      <c r="AW16" s="205">
        <f t="shared" ca="1" si="31"/>
        <v>5</v>
      </c>
      <c r="AX16" s="205">
        <f t="shared" ca="1" si="31"/>
        <v>5</v>
      </c>
      <c r="AY16" s="205">
        <f t="shared" ca="1" si="31"/>
        <v>60</v>
      </c>
      <c r="AZ16" s="205">
        <f t="shared" ca="1" si="31"/>
        <v>66</v>
      </c>
      <c r="BA16" s="205">
        <f t="shared" ca="1" si="31"/>
        <v>66</v>
      </c>
      <c r="BB16" s="205">
        <f t="shared" ca="1" si="31"/>
        <v>66</v>
      </c>
      <c r="BC16" s="205">
        <f t="shared" ca="1" si="31"/>
        <v>11</v>
      </c>
      <c r="BD16" s="205">
        <f t="shared" ca="1" si="31"/>
        <v>36</v>
      </c>
      <c r="BE16" s="205">
        <f t="shared" ca="1" si="31"/>
        <v>36</v>
      </c>
      <c r="BF16" s="205">
        <f t="shared" ca="1" si="31"/>
        <v>36</v>
      </c>
      <c r="BG16" s="205">
        <f t="shared" ca="1" si="31"/>
        <v>36</v>
      </c>
      <c r="BH16" s="205">
        <f t="shared" ca="1" si="31"/>
        <v>11</v>
      </c>
      <c r="BI16" s="205">
        <f t="shared" ca="1" si="31"/>
        <v>11</v>
      </c>
      <c r="BJ16" s="205">
        <f t="shared" ca="1" si="31"/>
        <v>6</v>
      </c>
      <c r="BK16" s="205">
        <f t="shared" ca="1" si="31"/>
        <v>6</v>
      </c>
      <c r="BL16" s="205">
        <f t="shared" ca="1" si="31"/>
        <v>6</v>
      </c>
      <c r="BM16" s="205">
        <f t="shared" ca="1" si="31"/>
        <v>6</v>
      </c>
      <c r="BN16" s="205">
        <f t="shared" ca="1" si="31"/>
        <v>6</v>
      </c>
      <c r="BO16" s="205">
        <f t="shared" ca="1" si="31"/>
        <v>6</v>
      </c>
      <c r="BP16" s="205">
        <f t="shared" ca="1" si="31"/>
        <v>6</v>
      </c>
      <c r="BQ16" s="205">
        <f t="shared" ca="1" si="31"/>
        <v>6</v>
      </c>
      <c r="BR16" s="205">
        <f t="shared" ca="1" si="31"/>
        <v>6</v>
      </c>
      <c r="BS16" s="205">
        <f t="shared" ca="1" si="31"/>
        <v>6</v>
      </c>
      <c r="BT16" s="205">
        <f t="shared" ca="1" si="31"/>
        <v>0</v>
      </c>
      <c r="BU16" s="205">
        <f t="shared" ca="1" si="31"/>
        <v>0</v>
      </c>
      <c r="BV16" s="205">
        <f t="shared" ca="1" si="31"/>
        <v>0</v>
      </c>
      <c r="BW16" s="205">
        <f t="shared" ca="1" si="31"/>
        <v>0</v>
      </c>
      <c r="BX16" s="205">
        <f t="shared" ca="1" si="31"/>
        <v>0</v>
      </c>
      <c r="BY16" s="205">
        <f t="shared" ca="1" si="31"/>
        <v>0</v>
      </c>
      <c r="BZ16" s="205">
        <f t="shared" ca="1" si="31"/>
        <v>0</v>
      </c>
      <c r="CA16" s="205">
        <f t="shared" ca="1" si="31"/>
        <v>0</v>
      </c>
      <c r="CB16" s="205">
        <f t="shared" ref="CB16:EM16" ca="1" si="32">SUM(CB11:CB15)</f>
        <v>0</v>
      </c>
      <c r="CC16" s="205">
        <f t="shared" ca="1" si="32"/>
        <v>0</v>
      </c>
      <c r="CD16" s="205">
        <f t="shared" ca="1" si="32"/>
        <v>0</v>
      </c>
      <c r="CE16" s="205">
        <f t="shared" ca="1" si="32"/>
        <v>0</v>
      </c>
      <c r="CF16" s="205">
        <f t="shared" ca="1" si="32"/>
        <v>0</v>
      </c>
      <c r="CG16" s="205">
        <f t="shared" ca="1" si="32"/>
        <v>0</v>
      </c>
      <c r="CH16" s="205">
        <f t="shared" ca="1" si="32"/>
        <v>0</v>
      </c>
      <c r="CI16" s="205">
        <f t="shared" ca="1" si="32"/>
        <v>0</v>
      </c>
      <c r="CJ16" s="205">
        <f t="shared" ca="1" si="32"/>
        <v>0</v>
      </c>
      <c r="CK16" s="205">
        <f t="shared" ca="1" si="32"/>
        <v>0</v>
      </c>
      <c r="CL16" s="205">
        <f t="shared" ca="1" si="32"/>
        <v>0</v>
      </c>
      <c r="CM16" s="205">
        <f t="shared" ca="1" si="32"/>
        <v>0</v>
      </c>
      <c r="CN16" s="205">
        <f t="shared" ca="1" si="32"/>
        <v>0</v>
      </c>
      <c r="CO16" s="205">
        <f t="shared" ca="1" si="32"/>
        <v>0</v>
      </c>
      <c r="CP16" s="205">
        <f t="shared" ca="1" si="32"/>
        <v>0</v>
      </c>
      <c r="CQ16" s="205">
        <f t="shared" ca="1" si="32"/>
        <v>0</v>
      </c>
      <c r="CR16" s="205">
        <f t="shared" ca="1" si="32"/>
        <v>0</v>
      </c>
      <c r="CS16" s="205">
        <f t="shared" ca="1" si="32"/>
        <v>0</v>
      </c>
      <c r="CT16" s="205">
        <f t="shared" ca="1" si="32"/>
        <v>0</v>
      </c>
      <c r="CU16" s="205">
        <f t="shared" ca="1" si="32"/>
        <v>0</v>
      </c>
      <c r="CV16" s="205">
        <f t="shared" ca="1" si="32"/>
        <v>0</v>
      </c>
      <c r="CW16" s="205">
        <f t="shared" ca="1" si="32"/>
        <v>0</v>
      </c>
      <c r="CX16" s="205">
        <f t="shared" ca="1" si="32"/>
        <v>0</v>
      </c>
      <c r="CY16" s="205">
        <f t="shared" ca="1" si="32"/>
        <v>0</v>
      </c>
      <c r="CZ16" s="205">
        <f t="shared" ca="1" si="32"/>
        <v>0</v>
      </c>
      <c r="DA16" s="205">
        <f t="shared" ca="1" si="32"/>
        <v>0</v>
      </c>
      <c r="DB16" s="205">
        <f t="shared" ca="1" si="32"/>
        <v>0</v>
      </c>
      <c r="DC16" s="205">
        <f t="shared" ca="1" si="32"/>
        <v>0</v>
      </c>
      <c r="DD16" s="205">
        <f t="shared" ca="1" si="32"/>
        <v>0</v>
      </c>
      <c r="DE16" s="205">
        <f t="shared" ca="1" si="32"/>
        <v>0</v>
      </c>
      <c r="DF16" s="205">
        <f t="shared" ca="1" si="32"/>
        <v>0</v>
      </c>
      <c r="DG16" s="205">
        <f t="shared" ca="1" si="32"/>
        <v>0</v>
      </c>
      <c r="DH16" s="205">
        <f t="shared" ca="1" si="32"/>
        <v>0</v>
      </c>
      <c r="DI16" s="205">
        <f t="shared" ca="1" si="32"/>
        <v>0</v>
      </c>
      <c r="DJ16" s="205">
        <f t="shared" ca="1" si="32"/>
        <v>0</v>
      </c>
      <c r="DK16" s="205">
        <f t="shared" ca="1" si="32"/>
        <v>0</v>
      </c>
      <c r="DL16" s="205">
        <f t="shared" ca="1" si="32"/>
        <v>0</v>
      </c>
      <c r="DM16" s="205">
        <f t="shared" ca="1" si="32"/>
        <v>0</v>
      </c>
      <c r="DN16" s="205">
        <f t="shared" ca="1" si="32"/>
        <v>0</v>
      </c>
      <c r="DO16" s="205">
        <f t="shared" ca="1" si="32"/>
        <v>0</v>
      </c>
      <c r="DP16" s="205">
        <f t="shared" ca="1" si="32"/>
        <v>0</v>
      </c>
      <c r="DQ16" s="205">
        <f t="shared" ca="1" si="32"/>
        <v>0</v>
      </c>
      <c r="DR16" s="205">
        <f t="shared" ca="1" si="32"/>
        <v>0</v>
      </c>
      <c r="DS16" s="205">
        <f t="shared" ca="1" si="32"/>
        <v>0</v>
      </c>
      <c r="DT16" s="205">
        <f t="shared" ca="1" si="32"/>
        <v>0</v>
      </c>
      <c r="DU16" s="205">
        <f t="shared" ca="1" si="32"/>
        <v>0</v>
      </c>
      <c r="DV16" s="205">
        <f t="shared" ca="1" si="32"/>
        <v>0</v>
      </c>
      <c r="DW16" s="205">
        <f t="shared" ca="1" si="32"/>
        <v>0</v>
      </c>
      <c r="DX16" s="205">
        <f t="shared" ca="1" si="32"/>
        <v>0</v>
      </c>
      <c r="DY16" s="205">
        <f t="shared" ca="1" si="32"/>
        <v>0</v>
      </c>
      <c r="DZ16" s="205">
        <f t="shared" ca="1" si="32"/>
        <v>0</v>
      </c>
      <c r="EA16" s="205">
        <f t="shared" ca="1" si="32"/>
        <v>0</v>
      </c>
      <c r="EB16" s="205">
        <f t="shared" ca="1" si="32"/>
        <v>0</v>
      </c>
      <c r="EC16" s="205">
        <f t="shared" ca="1" si="32"/>
        <v>0</v>
      </c>
      <c r="ED16" s="205">
        <f t="shared" ca="1" si="32"/>
        <v>0</v>
      </c>
      <c r="EE16" s="205">
        <f t="shared" ca="1" si="32"/>
        <v>0</v>
      </c>
      <c r="EF16" s="205">
        <f t="shared" ca="1" si="32"/>
        <v>0</v>
      </c>
      <c r="EG16" s="205">
        <f t="shared" ca="1" si="32"/>
        <v>0</v>
      </c>
      <c r="EH16" s="205">
        <f t="shared" ca="1" si="32"/>
        <v>0</v>
      </c>
      <c r="EI16" s="205">
        <f t="shared" ca="1" si="32"/>
        <v>0</v>
      </c>
      <c r="EJ16" s="205">
        <f t="shared" ca="1" si="32"/>
        <v>0</v>
      </c>
      <c r="EK16" s="205">
        <f t="shared" ca="1" si="32"/>
        <v>0</v>
      </c>
      <c r="EL16" s="205">
        <f t="shared" ca="1" si="32"/>
        <v>0</v>
      </c>
      <c r="EM16" s="205">
        <f t="shared" ca="1" si="32"/>
        <v>0</v>
      </c>
      <c r="EN16" s="205">
        <f t="shared" ref="EN16:EO16" ca="1" si="33">SUM(EN11:EN15)</f>
        <v>0</v>
      </c>
      <c r="EO16" s="205">
        <f t="shared" ca="1" si="33"/>
        <v>0</v>
      </c>
      <c r="EP16" s="206">
        <f ca="1">AVERAGE(M16:BB16)</f>
        <v>8.4047619047619051</v>
      </c>
      <c r="EQ16" s="206">
        <f ca="1">MAX(M16:BB16)</f>
        <v>66</v>
      </c>
    </row>
    <row r="17" spans="1:147">
      <c r="F17" s="53"/>
      <c r="G17" s="183"/>
      <c r="H17" s="53"/>
      <c r="I17" s="53"/>
      <c r="J17" s="53"/>
      <c r="K17" s="231"/>
      <c r="L17" s="231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6"/>
      <c r="AX17" s="196"/>
      <c r="AY17" s="196"/>
      <c r="AZ17" s="196"/>
      <c r="BA17" s="196"/>
      <c r="BR17" s="119"/>
    </row>
    <row r="18" spans="1:147" s="180" customFormat="1" ht="27">
      <c r="A18" s="447" t="s">
        <v>70</v>
      </c>
      <c r="B18" s="450">
        <f>IF(LEN('BESS 11'!F96)=5,'BESS 11'!F96,(IF('BESS 11'!F96="Completed"," ",DATEVALUE(RIGHT('BESS 11'!F96,6)))))</f>
        <v>46240</v>
      </c>
      <c r="C18" s="450">
        <f>IF(LEN('BESS 11'!G96)=5,'BESS 11'!G96,(IF('BESS 11'!G96="Completed"," ",DATEVALUE(RIGHT('BESS 11'!G96,6)))))</f>
        <v>46245</v>
      </c>
      <c r="D18" s="455">
        <f>IF(LEN('BESS 11'!H96)=5,'BESS 11'!H96,(IF('BESS 11'!H96="Completed"," ",DATEVALUE(RIGHT('BESS 11'!H96,6)))))</f>
        <v>46248</v>
      </c>
      <c r="E18" s="226" t="s">
        <v>10</v>
      </c>
      <c r="F18" s="217" t="s">
        <v>58</v>
      </c>
      <c r="G18" s="217" t="s">
        <v>78</v>
      </c>
      <c r="H18" s="217" t="s">
        <v>79</v>
      </c>
      <c r="I18" s="217" t="s">
        <v>59</v>
      </c>
      <c r="J18" s="217"/>
      <c r="K18" s="216" t="s">
        <v>80</v>
      </c>
      <c r="L18" s="216" t="s">
        <v>62</v>
      </c>
      <c r="M18" s="218">
        <v>46195</v>
      </c>
      <c r="N18" s="218">
        <v>46196</v>
      </c>
      <c r="O18" s="218">
        <v>46197</v>
      </c>
      <c r="P18" s="218">
        <f t="shared" ref="P18:CA18" si="34">O18+1</f>
        <v>46198</v>
      </c>
      <c r="Q18" s="218">
        <f t="shared" si="34"/>
        <v>46199</v>
      </c>
      <c r="R18" s="218">
        <f t="shared" si="34"/>
        <v>46200</v>
      </c>
      <c r="S18" s="218">
        <f t="shared" si="34"/>
        <v>46201</v>
      </c>
      <c r="T18" s="218">
        <f t="shared" si="34"/>
        <v>46202</v>
      </c>
      <c r="U18" s="218">
        <f t="shared" si="34"/>
        <v>46203</v>
      </c>
      <c r="V18" s="218">
        <f t="shared" si="34"/>
        <v>46204</v>
      </c>
      <c r="W18" s="218">
        <f t="shared" si="34"/>
        <v>46205</v>
      </c>
      <c r="X18" s="218">
        <f t="shared" si="34"/>
        <v>46206</v>
      </c>
      <c r="Y18" s="218">
        <f t="shared" si="34"/>
        <v>46207</v>
      </c>
      <c r="Z18" s="218">
        <f t="shared" si="34"/>
        <v>46208</v>
      </c>
      <c r="AA18" s="218">
        <f t="shared" si="34"/>
        <v>46209</v>
      </c>
      <c r="AB18" s="218">
        <f t="shared" si="34"/>
        <v>46210</v>
      </c>
      <c r="AC18" s="218">
        <f t="shared" si="34"/>
        <v>46211</v>
      </c>
      <c r="AD18" s="218">
        <f t="shared" si="34"/>
        <v>46212</v>
      </c>
      <c r="AE18" s="218">
        <f t="shared" si="34"/>
        <v>46213</v>
      </c>
      <c r="AF18" s="218">
        <f t="shared" si="34"/>
        <v>46214</v>
      </c>
      <c r="AG18" s="218">
        <f t="shared" si="34"/>
        <v>46215</v>
      </c>
      <c r="AH18" s="218">
        <f t="shared" si="34"/>
        <v>46216</v>
      </c>
      <c r="AI18" s="218">
        <f t="shared" si="34"/>
        <v>46217</v>
      </c>
      <c r="AJ18" s="218">
        <f t="shared" si="34"/>
        <v>46218</v>
      </c>
      <c r="AK18" s="218">
        <f t="shared" si="34"/>
        <v>46219</v>
      </c>
      <c r="AL18" s="218">
        <f t="shared" si="34"/>
        <v>46220</v>
      </c>
      <c r="AM18" s="218">
        <f t="shared" si="34"/>
        <v>46221</v>
      </c>
      <c r="AN18" s="218">
        <f t="shared" si="34"/>
        <v>46222</v>
      </c>
      <c r="AO18" s="218">
        <f t="shared" si="34"/>
        <v>46223</v>
      </c>
      <c r="AP18" s="218">
        <f t="shared" si="34"/>
        <v>46224</v>
      </c>
      <c r="AQ18" s="218">
        <f t="shared" si="34"/>
        <v>46225</v>
      </c>
      <c r="AR18" s="218">
        <f t="shared" si="34"/>
        <v>46226</v>
      </c>
      <c r="AS18" s="218">
        <f t="shared" si="34"/>
        <v>46227</v>
      </c>
      <c r="AT18" s="218">
        <f t="shared" si="34"/>
        <v>46228</v>
      </c>
      <c r="AU18" s="218">
        <f t="shared" si="34"/>
        <v>46229</v>
      </c>
      <c r="AV18" s="218">
        <f t="shared" si="34"/>
        <v>46230</v>
      </c>
      <c r="AW18" s="218">
        <f t="shared" si="34"/>
        <v>46231</v>
      </c>
      <c r="AX18" s="218">
        <f t="shared" si="34"/>
        <v>46232</v>
      </c>
      <c r="AY18" s="218">
        <f t="shared" si="34"/>
        <v>46233</v>
      </c>
      <c r="AZ18" s="218">
        <f t="shared" si="34"/>
        <v>46234</v>
      </c>
      <c r="BA18" s="218">
        <f t="shared" si="34"/>
        <v>46235</v>
      </c>
      <c r="BB18" s="218">
        <f t="shared" si="34"/>
        <v>46236</v>
      </c>
      <c r="BC18" s="218">
        <f t="shared" si="34"/>
        <v>46237</v>
      </c>
      <c r="BD18" s="218">
        <f t="shared" si="34"/>
        <v>46238</v>
      </c>
      <c r="BE18" s="218">
        <f t="shared" si="34"/>
        <v>46239</v>
      </c>
      <c r="BF18" s="218">
        <f t="shared" si="34"/>
        <v>46240</v>
      </c>
      <c r="BG18" s="218">
        <f t="shared" si="34"/>
        <v>46241</v>
      </c>
      <c r="BH18" s="218">
        <f t="shared" si="34"/>
        <v>46242</v>
      </c>
      <c r="BI18" s="218">
        <f t="shared" si="34"/>
        <v>46243</v>
      </c>
      <c r="BJ18" s="218">
        <f t="shared" si="34"/>
        <v>46244</v>
      </c>
      <c r="BK18" s="218">
        <f t="shared" si="34"/>
        <v>46245</v>
      </c>
      <c r="BL18" s="218">
        <f t="shared" si="34"/>
        <v>46246</v>
      </c>
      <c r="BM18" s="218">
        <f t="shared" si="34"/>
        <v>46247</v>
      </c>
      <c r="BN18" s="218">
        <f t="shared" si="34"/>
        <v>46248</v>
      </c>
      <c r="BO18" s="218">
        <f t="shared" si="34"/>
        <v>46249</v>
      </c>
      <c r="BP18" s="218">
        <f t="shared" si="34"/>
        <v>46250</v>
      </c>
      <c r="BQ18" s="218">
        <f t="shared" si="34"/>
        <v>46251</v>
      </c>
      <c r="BR18" s="218">
        <f t="shared" si="34"/>
        <v>46252</v>
      </c>
      <c r="BS18" s="218">
        <f t="shared" si="34"/>
        <v>46253</v>
      </c>
      <c r="BT18" s="218">
        <f t="shared" si="34"/>
        <v>46254</v>
      </c>
      <c r="BU18" s="218">
        <f t="shared" si="34"/>
        <v>46255</v>
      </c>
      <c r="BV18" s="218">
        <f t="shared" si="34"/>
        <v>46256</v>
      </c>
      <c r="BW18" s="218">
        <f t="shared" si="34"/>
        <v>46257</v>
      </c>
      <c r="BX18" s="218">
        <f t="shared" si="34"/>
        <v>46258</v>
      </c>
      <c r="BY18" s="218">
        <f t="shared" si="34"/>
        <v>46259</v>
      </c>
      <c r="BZ18" s="218">
        <f t="shared" si="34"/>
        <v>46260</v>
      </c>
      <c r="CA18" s="218">
        <f t="shared" si="34"/>
        <v>46261</v>
      </c>
      <c r="CB18" s="218">
        <f t="shared" ref="CB18:EM18" si="35">CA18+1</f>
        <v>46262</v>
      </c>
      <c r="CC18" s="218">
        <f t="shared" si="35"/>
        <v>46263</v>
      </c>
      <c r="CD18" s="218">
        <f t="shared" si="35"/>
        <v>46264</v>
      </c>
      <c r="CE18" s="218">
        <f t="shared" si="35"/>
        <v>46265</v>
      </c>
      <c r="CF18" s="218">
        <f t="shared" si="35"/>
        <v>46266</v>
      </c>
      <c r="CG18" s="218">
        <f t="shared" si="35"/>
        <v>46267</v>
      </c>
      <c r="CH18" s="218">
        <f t="shared" si="35"/>
        <v>46268</v>
      </c>
      <c r="CI18" s="218">
        <f t="shared" si="35"/>
        <v>46269</v>
      </c>
      <c r="CJ18" s="218">
        <f t="shared" si="35"/>
        <v>46270</v>
      </c>
      <c r="CK18" s="218">
        <f t="shared" si="35"/>
        <v>46271</v>
      </c>
      <c r="CL18" s="218">
        <f t="shared" si="35"/>
        <v>46272</v>
      </c>
      <c r="CM18" s="218">
        <f t="shared" si="35"/>
        <v>46273</v>
      </c>
      <c r="CN18" s="218">
        <f t="shared" si="35"/>
        <v>46274</v>
      </c>
      <c r="CO18" s="218">
        <f t="shared" si="35"/>
        <v>46275</v>
      </c>
      <c r="CP18" s="218">
        <f t="shared" si="35"/>
        <v>46276</v>
      </c>
      <c r="CQ18" s="218">
        <f t="shared" si="35"/>
        <v>46277</v>
      </c>
      <c r="CR18" s="218">
        <f t="shared" si="35"/>
        <v>46278</v>
      </c>
      <c r="CS18" s="218">
        <f t="shared" si="35"/>
        <v>46279</v>
      </c>
      <c r="CT18" s="218">
        <f t="shared" si="35"/>
        <v>46280</v>
      </c>
      <c r="CU18" s="218">
        <f t="shared" si="35"/>
        <v>46281</v>
      </c>
      <c r="CV18" s="218">
        <f t="shared" si="35"/>
        <v>46282</v>
      </c>
      <c r="CW18" s="218">
        <f t="shared" si="35"/>
        <v>46283</v>
      </c>
      <c r="CX18" s="218">
        <f t="shared" si="35"/>
        <v>46284</v>
      </c>
      <c r="CY18" s="218">
        <f t="shared" si="35"/>
        <v>46285</v>
      </c>
      <c r="CZ18" s="218">
        <f t="shared" si="35"/>
        <v>46286</v>
      </c>
      <c r="DA18" s="218">
        <f t="shared" si="35"/>
        <v>46287</v>
      </c>
      <c r="DB18" s="218">
        <f t="shared" si="35"/>
        <v>46288</v>
      </c>
      <c r="DC18" s="218">
        <f t="shared" si="35"/>
        <v>46289</v>
      </c>
      <c r="DD18" s="218">
        <f t="shared" si="35"/>
        <v>46290</v>
      </c>
      <c r="DE18" s="218">
        <f t="shared" si="35"/>
        <v>46291</v>
      </c>
      <c r="DF18" s="218">
        <f t="shared" si="35"/>
        <v>46292</v>
      </c>
      <c r="DG18" s="218">
        <f t="shared" si="35"/>
        <v>46293</v>
      </c>
      <c r="DH18" s="218">
        <f t="shared" si="35"/>
        <v>46294</v>
      </c>
      <c r="DI18" s="218">
        <f t="shared" si="35"/>
        <v>46295</v>
      </c>
      <c r="DJ18" s="218">
        <f t="shared" si="35"/>
        <v>46296</v>
      </c>
      <c r="DK18" s="218">
        <f t="shared" si="35"/>
        <v>46297</v>
      </c>
      <c r="DL18" s="218">
        <f t="shared" si="35"/>
        <v>46298</v>
      </c>
      <c r="DM18" s="218">
        <f t="shared" si="35"/>
        <v>46299</v>
      </c>
      <c r="DN18" s="218">
        <f t="shared" si="35"/>
        <v>46300</v>
      </c>
      <c r="DO18" s="218">
        <f t="shared" si="35"/>
        <v>46301</v>
      </c>
      <c r="DP18" s="218">
        <f t="shared" si="35"/>
        <v>46302</v>
      </c>
      <c r="DQ18" s="218">
        <f t="shared" si="35"/>
        <v>46303</v>
      </c>
      <c r="DR18" s="218">
        <f t="shared" si="35"/>
        <v>46304</v>
      </c>
      <c r="DS18" s="218">
        <f t="shared" si="35"/>
        <v>46305</v>
      </c>
      <c r="DT18" s="218">
        <f t="shared" si="35"/>
        <v>46306</v>
      </c>
      <c r="DU18" s="218">
        <f t="shared" si="35"/>
        <v>46307</v>
      </c>
      <c r="DV18" s="218">
        <f t="shared" si="35"/>
        <v>46308</v>
      </c>
      <c r="DW18" s="218">
        <f t="shared" si="35"/>
        <v>46309</v>
      </c>
      <c r="DX18" s="218">
        <f t="shared" si="35"/>
        <v>46310</v>
      </c>
      <c r="DY18" s="218">
        <f t="shared" si="35"/>
        <v>46311</v>
      </c>
      <c r="DZ18" s="218">
        <f t="shared" si="35"/>
        <v>46312</v>
      </c>
      <c r="EA18" s="218">
        <f t="shared" si="35"/>
        <v>46313</v>
      </c>
      <c r="EB18" s="218">
        <f t="shared" si="35"/>
        <v>46314</v>
      </c>
      <c r="EC18" s="218">
        <f t="shared" si="35"/>
        <v>46315</v>
      </c>
      <c r="ED18" s="218">
        <f t="shared" si="35"/>
        <v>46316</v>
      </c>
      <c r="EE18" s="218">
        <f t="shared" si="35"/>
        <v>46317</v>
      </c>
      <c r="EF18" s="218">
        <f t="shared" si="35"/>
        <v>46318</v>
      </c>
      <c r="EG18" s="218">
        <f t="shared" si="35"/>
        <v>46319</v>
      </c>
      <c r="EH18" s="218">
        <f t="shared" si="35"/>
        <v>46320</v>
      </c>
      <c r="EI18" s="218">
        <f t="shared" si="35"/>
        <v>46321</v>
      </c>
      <c r="EJ18" s="218">
        <f t="shared" si="35"/>
        <v>46322</v>
      </c>
      <c r="EK18" s="218">
        <f t="shared" si="35"/>
        <v>46323</v>
      </c>
      <c r="EL18" s="218">
        <f t="shared" si="35"/>
        <v>46324</v>
      </c>
      <c r="EM18" s="218">
        <f t="shared" si="35"/>
        <v>46325</v>
      </c>
      <c r="EN18" s="218">
        <f t="shared" ref="EN18:EO18" si="36">EM18+1</f>
        <v>46326</v>
      </c>
      <c r="EO18" s="218">
        <f t="shared" si="36"/>
        <v>46327</v>
      </c>
    </row>
    <row r="19" spans="1:147">
      <c r="A19" s="448"/>
      <c r="B19" s="451"/>
      <c r="C19" s="451"/>
      <c r="D19" s="456"/>
      <c r="E19" s="185" t="s">
        <v>64</v>
      </c>
      <c r="F19" s="66">
        <f>SUM('BESS 11'!S110:S117,'BESS 11'!S119)</f>
        <v>4</v>
      </c>
      <c r="G19" s="182">
        <f ca="1">TODAY()</f>
        <v>46233</v>
      </c>
      <c r="H19" s="182">
        <f>MAX('BESS 11'!O110:O116)</f>
        <v>46228</v>
      </c>
      <c r="I19" s="65">
        <f ca="1">H19-G19</f>
        <v>-5</v>
      </c>
      <c r="J19" s="444">
        <f ca="1">K19*1.2</f>
        <v>119.88</v>
      </c>
      <c r="K19" s="444">
        <f ca="1">AVERAGEIF(M24:EO24,"&gt;0")</f>
        <v>99.9</v>
      </c>
      <c r="L19" s="444">
        <f ca="1">MAX(M24:EO24)</f>
        <v>658</v>
      </c>
      <c r="M19" s="65" t="str">
        <f t="shared" ref="M19:AB22" ca="1" si="37">IF(AND(M$2&gt;=$G19,M$2&lt;($G19+$I19)),ROUND($F19/$I19,0),"-")</f>
        <v>-</v>
      </c>
      <c r="N19" s="65" t="str">
        <f t="shared" ca="1" si="37"/>
        <v>-</v>
      </c>
      <c r="O19" s="65" t="str">
        <f t="shared" ca="1" si="37"/>
        <v>-</v>
      </c>
      <c r="P19" s="65" t="str">
        <f t="shared" ca="1" si="37"/>
        <v>-</v>
      </c>
      <c r="Q19" s="65" t="str">
        <f t="shared" ca="1" si="37"/>
        <v>-</v>
      </c>
      <c r="R19" s="65" t="str">
        <f t="shared" ca="1" si="37"/>
        <v>-</v>
      </c>
      <c r="S19" s="65" t="str">
        <f t="shared" ca="1" si="37"/>
        <v>-</v>
      </c>
      <c r="T19" s="65" t="str">
        <f t="shared" ca="1" si="37"/>
        <v>-</v>
      </c>
      <c r="U19" s="65" t="str">
        <f t="shared" ca="1" si="37"/>
        <v>-</v>
      </c>
      <c r="V19" s="65" t="str">
        <f t="shared" ca="1" si="37"/>
        <v>-</v>
      </c>
      <c r="W19" s="65" t="str">
        <f t="shared" ca="1" si="37"/>
        <v>-</v>
      </c>
      <c r="X19" s="65" t="str">
        <f t="shared" ca="1" si="37"/>
        <v>-</v>
      </c>
      <c r="Y19" s="65" t="str">
        <f t="shared" ca="1" si="37"/>
        <v>-</v>
      </c>
      <c r="Z19" s="65" t="str">
        <f t="shared" ca="1" si="37"/>
        <v>-</v>
      </c>
      <c r="AA19" s="65" t="str">
        <f t="shared" ca="1" si="37"/>
        <v>-</v>
      </c>
      <c r="AB19" s="65" t="str">
        <f t="shared" ca="1" si="37"/>
        <v>-</v>
      </c>
      <c r="AC19" s="65" t="str">
        <f t="shared" ref="AC19:AR22" ca="1" si="38">IF(AND(AC$2&gt;=$G19,AC$2&lt;($G19+$I19)),ROUND($F19/$I19,0),"-")</f>
        <v>-</v>
      </c>
      <c r="AD19" s="65" t="str">
        <f t="shared" ca="1" si="38"/>
        <v>-</v>
      </c>
      <c r="AE19" s="65" t="str">
        <f t="shared" ca="1" si="38"/>
        <v>-</v>
      </c>
      <c r="AF19" s="65" t="str">
        <f t="shared" ca="1" si="38"/>
        <v>-</v>
      </c>
      <c r="AG19" s="65" t="str">
        <f t="shared" ca="1" si="38"/>
        <v>-</v>
      </c>
      <c r="AH19" s="65" t="str">
        <f t="shared" ca="1" si="38"/>
        <v>-</v>
      </c>
      <c r="AI19" s="65" t="str">
        <f t="shared" ca="1" si="38"/>
        <v>-</v>
      </c>
      <c r="AJ19" s="65" t="str">
        <f t="shared" ca="1" si="38"/>
        <v>-</v>
      </c>
      <c r="AK19" s="65" t="str">
        <f t="shared" ca="1" si="38"/>
        <v>-</v>
      </c>
      <c r="AL19" s="65" t="str">
        <f t="shared" ca="1" si="38"/>
        <v>-</v>
      </c>
      <c r="AM19" s="65" t="str">
        <f t="shared" ca="1" si="38"/>
        <v>-</v>
      </c>
      <c r="AN19" s="65" t="str">
        <f t="shared" ca="1" si="38"/>
        <v>-</v>
      </c>
      <c r="AO19" s="65" t="str">
        <f t="shared" ca="1" si="38"/>
        <v>-</v>
      </c>
      <c r="AP19" s="65" t="str">
        <f t="shared" ca="1" si="38"/>
        <v>-</v>
      </c>
      <c r="AQ19" s="65" t="str">
        <f t="shared" ca="1" si="38"/>
        <v>-</v>
      </c>
      <c r="AR19" s="65" t="str">
        <f t="shared" ca="1" si="38"/>
        <v>-</v>
      </c>
      <c r="AS19" s="65" t="str">
        <f t="shared" ref="AS19:BH22" ca="1" si="39">IF(AND(AS$2&gt;=$G19,AS$2&lt;($G19+$I19)),ROUND($F19/$I19,0),"-")</f>
        <v>-</v>
      </c>
      <c r="AT19" s="65" t="str">
        <f t="shared" ca="1" si="39"/>
        <v>-</v>
      </c>
      <c r="AU19" s="65" t="str">
        <f t="shared" ca="1" si="39"/>
        <v>-</v>
      </c>
      <c r="AV19" s="65" t="str">
        <f t="shared" ca="1" si="39"/>
        <v>-</v>
      </c>
      <c r="AW19" s="65" t="str">
        <f t="shared" ca="1" si="39"/>
        <v>-</v>
      </c>
      <c r="AX19" s="65" t="str">
        <f t="shared" ca="1" si="39"/>
        <v>-</v>
      </c>
      <c r="AY19" s="65" t="str">
        <f t="shared" ca="1" si="39"/>
        <v>-</v>
      </c>
      <c r="AZ19" s="65" t="str">
        <f t="shared" ca="1" si="39"/>
        <v>-</v>
      </c>
      <c r="BA19" s="65" t="str">
        <f t="shared" ca="1" si="39"/>
        <v>-</v>
      </c>
      <c r="BB19" s="65" t="str">
        <f t="shared" ca="1" si="39"/>
        <v>-</v>
      </c>
      <c r="BC19" s="65" t="str">
        <f t="shared" ca="1" si="39"/>
        <v>-</v>
      </c>
      <c r="BD19" s="65" t="str">
        <f t="shared" ca="1" si="39"/>
        <v>-</v>
      </c>
      <c r="BE19" s="65" t="str">
        <f t="shared" ca="1" si="39"/>
        <v>-</v>
      </c>
      <c r="BF19" s="65" t="str">
        <f t="shared" ca="1" si="39"/>
        <v>-</v>
      </c>
      <c r="BG19" s="65" t="str">
        <f t="shared" ca="1" si="39"/>
        <v>-</v>
      </c>
      <c r="BH19" s="65" t="str">
        <f t="shared" ca="1" si="39"/>
        <v>-</v>
      </c>
      <c r="BI19" s="65" t="str">
        <f t="shared" ref="BI19:BX22" ca="1" si="40">IF(AND(BI$2&gt;=$G19,BI$2&lt;($G19+$I19)),ROUND($F19/$I19,0),"-")</f>
        <v>-</v>
      </c>
      <c r="BJ19" s="65" t="str">
        <f t="shared" ca="1" si="40"/>
        <v>-</v>
      </c>
      <c r="BK19" s="65" t="str">
        <f t="shared" ca="1" si="40"/>
        <v>-</v>
      </c>
      <c r="BL19" s="65" t="str">
        <f t="shared" ca="1" si="40"/>
        <v>-</v>
      </c>
      <c r="BM19" s="65" t="str">
        <f t="shared" ca="1" si="40"/>
        <v>-</v>
      </c>
      <c r="BN19" s="65" t="str">
        <f t="shared" ca="1" si="40"/>
        <v>-</v>
      </c>
      <c r="BO19" s="65" t="str">
        <f t="shared" ca="1" si="40"/>
        <v>-</v>
      </c>
      <c r="BP19" s="65" t="str">
        <f t="shared" ca="1" si="40"/>
        <v>-</v>
      </c>
      <c r="BQ19" s="65" t="str">
        <f t="shared" ca="1" si="40"/>
        <v>-</v>
      </c>
      <c r="BR19" s="65" t="str">
        <f t="shared" ca="1" si="40"/>
        <v>-</v>
      </c>
      <c r="BS19" s="65" t="str">
        <f t="shared" ca="1" si="40"/>
        <v>-</v>
      </c>
      <c r="BT19" s="65" t="str">
        <f t="shared" ca="1" si="40"/>
        <v>-</v>
      </c>
      <c r="BU19" s="65" t="str">
        <f t="shared" ca="1" si="40"/>
        <v>-</v>
      </c>
      <c r="BV19" s="65" t="str">
        <f t="shared" ca="1" si="40"/>
        <v>-</v>
      </c>
      <c r="BW19" s="65" t="str">
        <f t="shared" ca="1" si="40"/>
        <v>-</v>
      </c>
      <c r="BX19" s="65" t="str">
        <f t="shared" ca="1" si="40"/>
        <v>-</v>
      </c>
      <c r="BY19" s="65" t="str">
        <f t="shared" ref="BY19:CN22" ca="1" si="41">IF(AND(BY$2&gt;=$G19,BY$2&lt;($G19+$I19)),ROUND($F19/$I19,0),"-")</f>
        <v>-</v>
      </c>
      <c r="BZ19" s="65" t="str">
        <f t="shared" ca="1" si="41"/>
        <v>-</v>
      </c>
      <c r="CA19" s="65" t="str">
        <f t="shared" ca="1" si="41"/>
        <v>-</v>
      </c>
      <c r="CB19" s="65" t="str">
        <f t="shared" ca="1" si="41"/>
        <v>-</v>
      </c>
      <c r="CC19" s="65" t="str">
        <f t="shared" ca="1" si="41"/>
        <v>-</v>
      </c>
      <c r="CD19" s="65" t="str">
        <f t="shared" ca="1" si="41"/>
        <v>-</v>
      </c>
      <c r="CE19" s="65" t="str">
        <f t="shared" ca="1" si="41"/>
        <v>-</v>
      </c>
      <c r="CF19" s="65" t="str">
        <f t="shared" ca="1" si="41"/>
        <v>-</v>
      </c>
      <c r="CG19" s="65" t="str">
        <f t="shared" ca="1" si="41"/>
        <v>-</v>
      </c>
      <c r="CH19" s="65" t="str">
        <f t="shared" ca="1" si="41"/>
        <v>-</v>
      </c>
      <c r="CI19" s="65" t="str">
        <f t="shared" ca="1" si="41"/>
        <v>-</v>
      </c>
      <c r="CJ19" s="65" t="str">
        <f t="shared" ca="1" si="41"/>
        <v>-</v>
      </c>
      <c r="CK19" s="65" t="str">
        <f t="shared" ca="1" si="41"/>
        <v>-</v>
      </c>
      <c r="CL19" s="65" t="str">
        <f t="shared" ca="1" si="41"/>
        <v>-</v>
      </c>
      <c r="CM19" s="65" t="str">
        <f t="shared" ca="1" si="41"/>
        <v>-</v>
      </c>
      <c r="CN19" s="65" t="str">
        <f t="shared" ca="1" si="41"/>
        <v>-</v>
      </c>
      <c r="CO19" s="65" t="str">
        <f t="shared" ref="CO19:DD22" ca="1" si="42">IF(AND(CO$2&gt;=$G19,CO$2&lt;($G19+$I19)),ROUND($F19/$I19,0),"-")</f>
        <v>-</v>
      </c>
      <c r="CP19" s="65" t="str">
        <f t="shared" ca="1" si="42"/>
        <v>-</v>
      </c>
      <c r="CQ19" s="65" t="str">
        <f t="shared" ca="1" si="42"/>
        <v>-</v>
      </c>
      <c r="CR19" s="65" t="str">
        <f t="shared" ca="1" si="42"/>
        <v>-</v>
      </c>
      <c r="CS19" s="65" t="str">
        <f t="shared" ca="1" si="42"/>
        <v>-</v>
      </c>
      <c r="CT19" s="65" t="str">
        <f t="shared" ca="1" si="42"/>
        <v>-</v>
      </c>
      <c r="CU19" s="65" t="str">
        <f t="shared" ca="1" si="42"/>
        <v>-</v>
      </c>
      <c r="CV19" s="65" t="str">
        <f t="shared" ca="1" si="42"/>
        <v>-</v>
      </c>
      <c r="CW19" s="65" t="str">
        <f t="shared" ca="1" si="42"/>
        <v>-</v>
      </c>
      <c r="CX19" s="65" t="str">
        <f t="shared" ca="1" si="42"/>
        <v>-</v>
      </c>
      <c r="CY19" s="65" t="str">
        <f t="shared" ca="1" si="42"/>
        <v>-</v>
      </c>
      <c r="CZ19" s="65" t="str">
        <f t="shared" ca="1" si="42"/>
        <v>-</v>
      </c>
      <c r="DA19" s="65" t="str">
        <f t="shared" ca="1" si="42"/>
        <v>-</v>
      </c>
      <c r="DB19" s="65" t="str">
        <f t="shared" ca="1" si="42"/>
        <v>-</v>
      </c>
      <c r="DC19" s="65" t="str">
        <f t="shared" ca="1" si="42"/>
        <v>-</v>
      </c>
      <c r="DD19" s="65" t="str">
        <f t="shared" ca="1" si="42"/>
        <v>-</v>
      </c>
      <c r="DE19" s="65" t="str">
        <f t="shared" ref="DE19:DT22" ca="1" si="43">IF(AND(DE$2&gt;=$G19,DE$2&lt;($G19+$I19)),ROUND($F19/$I19,0),"-")</f>
        <v>-</v>
      </c>
      <c r="DF19" s="65" t="str">
        <f t="shared" ca="1" si="43"/>
        <v>-</v>
      </c>
      <c r="DG19" s="65" t="str">
        <f t="shared" ca="1" si="43"/>
        <v>-</v>
      </c>
      <c r="DH19" s="65" t="str">
        <f t="shared" ca="1" si="43"/>
        <v>-</v>
      </c>
      <c r="DI19" s="65" t="str">
        <f t="shared" ca="1" si="43"/>
        <v>-</v>
      </c>
      <c r="DJ19" s="65" t="str">
        <f t="shared" ca="1" si="43"/>
        <v>-</v>
      </c>
      <c r="DK19" s="65" t="str">
        <f t="shared" ca="1" si="43"/>
        <v>-</v>
      </c>
      <c r="DL19" s="65" t="str">
        <f t="shared" ca="1" si="43"/>
        <v>-</v>
      </c>
      <c r="DM19" s="65" t="str">
        <f t="shared" ca="1" si="43"/>
        <v>-</v>
      </c>
      <c r="DN19" s="65" t="str">
        <f t="shared" ca="1" si="43"/>
        <v>-</v>
      </c>
      <c r="DO19" s="65" t="str">
        <f t="shared" ca="1" si="43"/>
        <v>-</v>
      </c>
      <c r="DP19" s="65" t="str">
        <f t="shared" ca="1" si="43"/>
        <v>-</v>
      </c>
      <c r="DQ19" s="65" t="str">
        <f t="shared" ca="1" si="43"/>
        <v>-</v>
      </c>
      <c r="DR19" s="65" t="str">
        <f t="shared" ca="1" si="43"/>
        <v>-</v>
      </c>
      <c r="DS19" s="65" t="str">
        <f t="shared" ca="1" si="43"/>
        <v>-</v>
      </c>
      <c r="DT19" s="65" t="str">
        <f t="shared" ca="1" si="43"/>
        <v>-</v>
      </c>
      <c r="DU19" s="65" t="str">
        <f t="shared" ref="DU19:EJ22" ca="1" si="44">IF(AND(DU$2&gt;=$G19,DU$2&lt;($G19+$I19)),ROUND($F19/$I19,0),"-")</f>
        <v>-</v>
      </c>
      <c r="DV19" s="65" t="str">
        <f t="shared" ca="1" si="44"/>
        <v>-</v>
      </c>
      <c r="DW19" s="65" t="str">
        <f t="shared" ca="1" si="44"/>
        <v>-</v>
      </c>
      <c r="DX19" s="65" t="str">
        <f t="shared" ca="1" si="44"/>
        <v>-</v>
      </c>
      <c r="DY19" s="65" t="str">
        <f t="shared" ca="1" si="44"/>
        <v>-</v>
      </c>
      <c r="DZ19" s="65" t="str">
        <f t="shared" ca="1" si="44"/>
        <v>-</v>
      </c>
      <c r="EA19" s="65" t="str">
        <f t="shared" ca="1" si="44"/>
        <v>-</v>
      </c>
      <c r="EB19" s="65" t="str">
        <f t="shared" ca="1" si="44"/>
        <v>-</v>
      </c>
      <c r="EC19" s="65" t="str">
        <f t="shared" ca="1" si="44"/>
        <v>-</v>
      </c>
      <c r="ED19" s="65" t="str">
        <f t="shared" ca="1" si="44"/>
        <v>-</v>
      </c>
      <c r="EE19" s="65" t="str">
        <f t="shared" ca="1" si="44"/>
        <v>-</v>
      </c>
      <c r="EF19" s="65" t="str">
        <f t="shared" ca="1" si="44"/>
        <v>-</v>
      </c>
      <c r="EG19" s="65" t="str">
        <f t="shared" ca="1" si="44"/>
        <v>-</v>
      </c>
      <c r="EH19" s="65" t="str">
        <f t="shared" ca="1" si="44"/>
        <v>-</v>
      </c>
      <c r="EI19" s="65" t="str">
        <f t="shared" ca="1" si="44"/>
        <v>-</v>
      </c>
      <c r="EJ19" s="65" t="str">
        <f t="shared" ca="1" si="44"/>
        <v>-</v>
      </c>
      <c r="EK19" s="65" t="str">
        <f t="shared" ref="EK19:EO22" ca="1" si="45">IF(AND(EK$2&gt;=$G19,EK$2&lt;($G19+$I19)),ROUND($F19/$I19,0),"-")</f>
        <v>-</v>
      </c>
      <c r="EL19" s="65" t="str">
        <f t="shared" ca="1" si="45"/>
        <v>-</v>
      </c>
      <c r="EM19" s="65" t="str">
        <f t="shared" ca="1" si="45"/>
        <v>-</v>
      </c>
      <c r="EN19" s="65" t="str">
        <f t="shared" ca="1" si="45"/>
        <v>-</v>
      </c>
      <c r="EO19" s="65" t="str">
        <f t="shared" ca="1" si="45"/>
        <v>-</v>
      </c>
    </row>
    <row r="20" spans="1:147">
      <c r="A20" s="448"/>
      <c r="B20" s="451"/>
      <c r="C20" s="451"/>
      <c r="D20" s="456"/>
      <c r="E20" s="185" t="s">
        <v>65</v>
      </c>
      <c r="F20" s="66">
        <f>SUM('BESS 11'!S120,'BESS 11'!S122:S123,'BESS 11'!S126:S128)</f>
        <v>251.29999999999998</v>
      </c>
      <c r="G20" s="182">
        <f ca="1">TODAY()</f>
        <v>46233</v>
      </c>
      <c r="H20" s="182">
        <f>MAX('BESS 11'!O120,'BESS 11'!O122:O123,'BESS 11'!O126:O128)</f>
        <v>46233</v>
      </c>
      <c r="I20" s="65">
        <f ca="1">H20-G20</f>
        <v>0</v>
      </c>
      <c r="J20" s="453"/>
      <c r="K20" s="453"/>
      <c r="L20" s="445"/>
      <c r="M20" s="65" t="str">
        <f t="shared" ca="1" si="37"/>
        <v>-</v>
      </c>
      <c r="N20" s="65" t="str">
        <f t="shared" ca="1" si="37"/>
        <v>-</v>
      </c>
      <c r="O20" s="65" t="str">
        <f t="shared" ca="1" si="37"/>
        <v>-</v>
      </c>
      <c r="P20" s="65" t="str">
        <f t="shared" ca="1" si="37"/>
        <v>-</v>
      </c>
      <c r="Q20" s="65" t="str">
        <f t="shared" ca="1" si="37"/>
        <v>-</v>
      </c>
      <c r="R20" s="65" t="str">
        <f t="shared" ca="1" si="37"/>
        <v>-</v>
      </c>
      <c r="S20" s="65" t="str">
        <f t="shared" ca="1" si="37"/>
        <v>-</v>
      </c>
      <c r="T20" s="65" t="str">
        <f t="shared" ca="1" si="37"/>
        <v>-</v>
      </c>
      <c r="U20" s="65" t="str">
        <f t="shared" ca="1" si="37"/>
        <v>-</v>
      </c>
      <c r="V20" s="65" t="str">
        <f t="shared" ca="1" si="37"/>
        <v>-</v>
      </c>
      <c r="W20" s="65" t="str">
        <f t="shared" ca="1" si="37"/>
        <v>-</v>
      </c>
      <c r="X20" s="65" t="str">
        <f t="shared" ca="1" si="37"/>
        <v>-</v>
      </c>
      <c r="Y20" s="65" t="str">
        <f t="shared" ca="1" si="37"/>
        <v>-</v>
      </c>
      <c r="Z20" s="65" t="str">
        <f t="shared" ca="1" si="37"/>
        <v>-</v>
      </c>
      <c r="AA20" s="65" t="str">
        <f t="shared" ca="1" si="37"/>
        <v>-</v>
      </c>
      <c r="AB20" s="65" t="str">
        <f t="shared" ca="1" si="37"/>
        <v>-</v>
      </c>
      <c r="AC20" s="65" t="str">
        <f t="shared" ca="1" si="38"/>
        <v>-</v>
      </c>
      <c r="AD20" s="65" t="str">
        <f t="shared" ca="1" si="38"/>
        <v>-</v>
      </c>
      <c r="AE20" s="65" t="str">
        <f t="shared" ca="1" si="38"/>
        <v>-</v>
      </c>
      <c r="AF20" s="65" t="str">
        <f t="shared" ca="1" si="38"/>
        <v>-</v>
      </c>
      <c r="AG20" s="65" t="str">
        <f t="shared" ca="1" si="38"/>
        <v>-</v>
      </c>
      <c r="AH20" s="65" t="str">
        <f t="shared" ca="1" si="38"/>
        <v>-</v>
      </c>
      <c r="AI20" s="65" t="str">
        <f t="shared" ca="1" si="38"/>
        <v>-</v>
      </c>
      <c r="AJ20" s="65" t="str">
        <f t="shared" ca="1" si="38"/>
        <v>-</v>
      </c>
      <c r="AK20" s="65" t="str">
        <f t="shared" ca="1" si="38"/>
        <v>-</v>
      </c>
      <c r="AL20" s="65" t="str">
        <f t="shared" ca="1" si="38"/>
        <v>-</v>
      </c>
      <c r="AM20" s="65" t="str">
        <f t="shared" ca="1" si="38"/>
        <v>-</v>
      </c>
      <c r="AN20" s="65" t="str">
        <f t="shared" ca="1" si="38"/>
        <v>-</v>
      </c>
      <c r="AO20" s="65" t="str">
        <f t="shared" ca="1" si="38"/>
        <v>-</v>
      </c>
      <c r="AP20" s="65" t="str">
        <f t="shared" ca="1" si="38"/>
        <v>-</v>
      </c>
      <c r="AQ20" s="65" t="str">
        <f t="shared" ca="1" si="38"/>
        <v>-</v>
      </c>
      <c r="AR20" s="65" t="str">
        <f t="shared" ca="1" si="38"/>
        <v>-</v>
      </c>
      <c r="AS20" s="65" t="str">
        <f t="shared" ca="1" si="39"/>
        <v>-</v>
      </c>
      <c r="AT20" s="65" t="str">
        <f t="shared" ca="1" si="39"/>
        <v>-</v>
      </c>
      <c r="AU20" s="65" t="str">
        <f t="shared" ca="1" si="39"/>
        <v>-</v>
      </c>
      <c r="AV20" s="65" t="str">
        <f t="shared" ca="1" si="39"/>
        <v>-</v>
      </c>
      <c r="AW20" s="65" t="str">
        <f t="shared" ca="1" si="39"/>
        <v>-</v>
      </c>
      <c r="AX20" s="65" t="str">
        <f t="shared" ca="1" si="39"/>
        <v>-</v>
      </c>
      <c r="AY20" s="65" t="str">
        <f t="shared" ca="1" si="39"/>
        <v>-</v>
      </c>
      <c r="AZ20" s="65" t="str">
        <f t="shared" ca="1" si="39"/>
        <v>-</v>
      </c>
      <c r="BA20" s="65" t="str">
        <f t="shared" ca="1" si="39"/>
        <v>-</v>
      </c>
      <c r="BB20" s="65" t="str">
        <f t="shared" ca="1" si="39"/>
        <v>-</v>
      </c>
      <c r="BC20" s="65" t="str">
        <f t="shared" ca="1" si="39"/>
        <v>-</v>
      </c>
      <c r="BD20" s="65" t="str">
        <f t="shared" ca="1" si="39"/>
        <v>-</v>
      </c>
      <c r="BE20" s="65" t="str">
        <f t="shared" ca="1" si="39"/>
        <v>-</v>
      </c>
      <c r="BF20" s="65" t="str">
        <f t="shared" ca="1" si="39"/>
        <v>-</v>
      </c>
      <c r="BG20" s="65" t="str">
        <f t="shared" ca="1" si="39"/>
        <v>-</v>
      </c>
      <c r="BH20" s="65" t="str">
        <f t="shared" ca="1" si="39"/>
        <v>-</v>
      </c>
      <c r="BI20" s="65" t="str">
        <f t="shared" ca="1" si="40"/>
        <v>-</v>
      </c>
      <c r="BJ20" s="65" t="str">
        <f t="shared" ca="1" si="40"/>
        <v>-</v>
      </c>
      <c r="BK20" s="65" t="str">
        <f t="shared" ca="1" si="40"/>
        <v>-</v>
      </c>
      <c r="BL20" s="65" t="str">
        <f t="shared" ca="1" si="40"/>
        <v>-</v>
      </c>
      <c r="BM20" s="65" t="str">
        <f t="shared" ca="1" si="40"/>
        <v>-</v>
      </c>
      <c r="BN20" s="65" t="str">
        <f t="shared" ca="1" si="40"/>
        <v>-</v>
      </c>
      <c r="BO20" s="65" t="str">
        <f t="shared" ca="1" si="40"/>
        <v>-</v>
      </c>
      <c r="BP20" s="65" t="str">
        <f t="shared" ca="1" si="40"/>
        <v>-</v>
      </c>
      <c r="BQ20" s="65" t="str">
        <f t="shared" ca="1" si="40"/>
        <v>-</v>
      </c>
      <c r="BR20" s="65" t="str">
        <f t="shared" ca="1" si="40"/>
        <v>-</v>
      </c>
      <c r="BS20" s="65" t="str">
        <f t="shared" ca="1" si="40"/>
        <v>-</v>
      </c>
      <c r="BT20" s="65" t="str">
        <f t="shared" ca="1" si="40"/>
        <v>-</v>
      </c>
      <c r="BU20" s="65" t="str">
        <f t="shared" ca="1" si="40"/>
        <v>-</v>
      </c>
      <c r="BV20" s="65" t="str">
        <f t="shared" ca="1" si="40"/>
        <v>-</v>
      </c>
      <c r="BW20" s="65" t="str">
        <f t="shared" ca="1" si="40"/>
        <v>-</v>
      </c>
      <c r="BX20" s="65" t="str">
        <f t="shared" ca="1" si="40"/>
        <v>-</v>
      </c>
      <c r="BY20" s="65" t="str">
        <f t="shared" ca="1" si="41"/>
        <v>-</v>
      </c>
      <c r="BZ20" s="65" t="str">
        <f t="shared" ca="1" si="41"/>
        <v>-</v>
      </c>
      <c r="CA20" s="65" t="str">
        <f t="shared" ca="1" si="41"/>
        <v>-</v>
      </c>
      <c r="CB20" s="65" t="str">
        <f t="shared" ca="1" si="41"/>
        <v>-</v>
      </c>
      <c r="CC20" s="65" t="str">
        <f t="shared" ca="1" si="41"/>
        <v>-</v>
      </c>
      <c r="CD20" s="65" t="str">
        <f t="shared" ca="1" si="41"/>
        <v>-</v>
      </c>
      <c r="CE20" s="65" t="str">
        <f t="shared" ca="1" si="41"/>
        <v>-</v>
      </c>
      <c r="CF20" s="65" t="str">
        <f t="shared" ca="1" si="41"/>
        <v>-</v>
      </c>
      <c r="CG20" s="65" t="str">
        <f t="shared" ca="1" si="41"/>
        <v>-</v>
      </c>
      <c r="CH20" s="65" t="str">
        <f t="shared" ca="1" si="41"/>
        <v>-</v>
      </c>
      <c r="CI20" s="65" t="str">
        <f t="shared" ca="1" si="41"/>
        <v>-</v>
      </c>
      <c r="CJ20" s="65" t="str">
        <f t="shared" ca="1" si="41"/>
        <v>-</v>
      </c>
      <c r="CK20" s="65" t="str">
        <f t="shared" ca="1" si="41"/>
        <v>-</v>
      </c>
      <c r="CL20" s="65" t="str">
        <f t="shared" ca="1" si="41"/>
        <v>-</v>
      </c>
      <c r="CM20" s="65" t="str">
        <f t="shared" ca="1" si="41"/>
        <v>-</v>
      </c>
      <c r="CN20" s="65" t="str">
        <f t="shared" ca="1" si="41"/>
        <v>-</v>
      </c>
      <c r="CO20" s="65" t="str">
        <f t="shared" ca="1" si="42"/>
        <v>-</v>
      </c>
      <c r="CP20" s="65" t="str">
        <f t="shared" ca="1" si="42"/>
        <v>-</v>
      </c>
      <c r="CQ20" s="65" t="str">
        <f t="shared" ca="1" si="42"/>
        <v>-</v>
      </c>
      <c r="CR20" s="65" t="str">
        <f t="shared" ca="1" si="42"/>
        <v>-</v>
      </c>
      <c r="CS20" s="65" t="str">
        <f t="shared" ca="1" si="42"/>
        <v>-</v>
      </c>
      <c r="CT20" s="65" t="str">
        <f t="shared" ca="1" si="42"/>
        <v>-</v>
      </c>
      <c r="CU20" s="65" t="str">
        <f t="shared" ca="1" si="42"/>
        <v>-</v>
      </c>
      <c r="CV20" s="65" t="str">
        <f t="shared" ca="1" si="42"/>
        <v>-</v>
      </c>
      <c r="CW20" s="65" t="str">
        <f t="shared" ca="1" si="42"/>
        <v>-</v>
      </c>
      <c r="CX20" s="65" t="str">
        <f t="shared" ca="1" si="42"/>
        <v>-</v>
      </c>
      <c r="CY20" s="65" t="str">
        <f t="shared" ca="1" si="42"/>
        <v>-</v>
      </c>
      <c r="CZ20" s="65" t="str">
        <f t="shared" ca="1" si="42"/>
        <v>-</v>
      </c>
      <c r="DA20" s="65" t="str">
        <f t="shared" ca="1" si="42"/>
        <v>-</v>
      </c>
      <c r="DB20" s="65" t="str">
        <f t="shared" ca="1" si="42"/>
        <v>-</v>
      </c>
      <c r="DC20" s="65" t="str">
        <f t="shared" ca="1" si="42"/>
        <v>-</v>
      </c>
      <c r="DD20" s="65" t="str">
        <f t="shared" ca="1" si="42"/>
        <v>-</v>
      </c>
      <c r="DE20" s="65" t="str">
        <f t="shared" ca="1" si="43"/>
        <v>-</v>
      </c>
      <c r="DF20" s="65" t="str">
        <f t="shared" ca="1" si="43"/>
        <v>-</v>
      </c>
      <c r="DG20" s="65" t="str">
        <f t="shared" ca="1" si="43"/>
        <v>-</v>
      </c>
      <c r="DH20" s="65" t="str">
        <f t="shared" ca="1" si="43"/>
        <v>-</v>
      </c>
      <c r="DI20" s="65" t="str">
        <f t="shared" ca="1" si="43"/>
        <v>-</v>
      </c>
      <c r="DJ20" s="65" t="str">
        <f t="shared" ca="1" si="43"/>
        <v>-</v>
      </c>
      <c r="DK20" s="65" t="str">
        <f t="shared" ca="1" si="43"/>
        <v>-</v>
      </c>
      <c r="DL20" s="65" t="str">
        <f t="shared" ca="1" si="43"/>
        <v>-</v>
      </c>
      <c r="DM20" s="65" t="str">
        <f t="shared" ca="1" si="43"/>
        <v>-</v>
      </c>
      <c r="DN20" s="65" t="str">
        <f t="shared" ca="1" si="43"/>
        <v>-</v>
      </c>
      <c r="DO20" s="65" t="str">
        <f t="shared" ca="1" si="43"/>
        <v>-</v>
      </c>
      <c r="DP20" s="65" t="str">
        <f t="shared" ca="1" si="43"/>
        <v>-</v>
      </c>
      <c r="DQ20" s="65" t="str">
        <f t="shared" ca="1" si="43"/>
        <v>-</v>
      </c>
      <c r="DR20" s="65" t="str">
        <f t="shared" ca="1" si="43"/>
        <v>-</v>
      </c>
      <c r="DS20" s="65" t="str">
        <f t="shared" ca="1" si="43"/>
        <v>-</v>
      </c>
      <c r="DT20" s="65" t="str">
        <f t="shared" ca="1" si="43"/>
        <v>-</v>
      </c>
      <c r="DU20" s="65" t="str">
        <f t="shared" ca="1" si="44"/>
        <v>-</v>
      </c>
      <c r="DV20" s="65" t="str">
        <f t="shared" ca="1" si="44"/>
        <v>-</v>
      </c>
      <c r="DW20" s="65" t="str">
        <f t="shared" ca="1" si="44"/>
        <v>-</v>
      </c>
      <c r="DX20" s="65" t="str">
        <f t="shared" ca="1" si="44"/>
        <v>-</v>
      </c>
      <c r="DY20" s="65" t="str">
        <f t="shared" ca="1" si="44"/>
        <v>-</v>
      </c>
      <c r="DZ20" s="65" t="str">
        <f t="shared" ca="1" si="44"/>
        <v>-</v>
      </c>
      <c r="EA20" s="65" t="str">
        <f t="shared" ca="1" si="44"/>
        <v>-</v>
      </c>
      <c r="EB20" s="65" t="str">
        <f t="shared" ca="1" si="44"/>
        <v>-</v>
      </c>
      <c r="EC20" s="65" t="str">
        <f t="shared" ca="1" si="44"/>
        <v>-</v>
      </c>
      <c r="ED20" s="65" t="str">
        <f t="shared" ca="1" si="44"/>
        <v>-</v>
      </c>
      <c r="EE20" s="65" t="str">
        <f t="shared" ca="1" si="44"/>
        <v>-</v>
      </c>
      <c r="EF20" s="65" t="str">
        <f t="shared" ca="1" si="44"/>
        <v>-</v>
      </c>
      <c r="EG20" s="65" t="str">
        <f t="shared" ca="1" si="44"/>
        <v>-</v>
      </c>
      <c r="EH20" s="65" t="str">
        <f t="shared" ca="1" si="44"/>
        <v>-</v>
      </c>
      <c r="EI20" s="65" t="str">
        <f t="shared" ca="1" si="44"/>
        <v>-</v>
      </c>
      <c r="EJ20" s="65" t="str">
        <f t="shared" ca="1" si="44"/>
        <v>-</v>
      </c>
      <c r="EK20" s="65" t="str">
        <f t="shared" ca="1" si="45"/>
        <v>-</v>
      </c>
      <c r="EL20" s="65" t="str">
        <f t="shared" ca="1" si="45"/>
        <v>-</v>
      </c>
      <c r="EM20" s="65" t="str">
        <f t="shared" ca="1" si="45"/>
        <v>-</v>
      </c>
      <c r="EN20" s="65" t="str">
        <f t="shared" ca="1" si="45"/>
        <v>-</v>
      </c>
      <c r="EO20" s="65" t="str">
        <f t="shared" ca="1" si="45"/>
        <v>-</v>
      </c>
    </row>
    <row r="21" spans="1:147">
      <c r="A21" s="448"/>
      <c r="B21" s="451"/>
      <c r="C21" s="451"/>
      <c r="D21" s="456"/>
      <c r="E21" s="185" t="s">
        <v>66</v>
      </c>
      <c r="F21" s="66">
        <f>SUM('BESS 11'!S121,'BESS 11'!S124,'BESS 11'!S125,'BESS 11'!S129,'BESS 11'!S130)</f>
        <v>2431.0666666666666</v>
      </c>
      <c r="G21" s="182">
        <f ca="1">TODAY()</f>
        <v>46233</v>
      </c>
      <c r="H21" s="182">
        <f>MAX('BESS 11'!O121,'BESS 11'!O124,'BESS 11'!O125,'BESS 11'!O129,'BESS 11'!O130)</f>
        <v>46237</v>
      </c>
      <c r="I21" s="65">
        <f ca="1">H21-G21</f>
        <v>4</v>
      </c>
      <c r="J21" s="453"/>
      <c r="K21" s="453"/>
      <c r="L21" s="445"/>
      <c r="M21" s="65" t="str">
        <f t="shared" ca="1" si="37"/>
        <v>-</v>
      </c>
      <c r="N21" s="65" t="str">
        <f t="shared" ca="1" si="37"/>
        <v>-</v>
      </c>
      <c r="O21" s="65" t="str">
        <f t="shared" ca="1" si="37"/>
        <v>-</v>
      </c>
      <c r="P21" s="65" t="str">
        <f t="shared" ca="1" si="37"/>
        <v>-</v>
      </c>
      <c r="Q21" s="65" t="str">
        <f t="shared" ca="1" si="37"/>
        <v>-</v>
      </c>
      <c r="R21" s="65" t="str">
        <f t="shared" ca="1" si="37"/>
        <v>-</v>
      </c>
      <c r="S21" s="65" t="str">
        <f t="shared" ca="1" si="37"/>
        <v>-</v>
      </c>
      <c r="T21" s="65" t="str">
        <f t="shared" ca="1" si="37"/>
        <v>-</v>
      </c>
      <c r="U21" s="65" t="str">
        <f t="shared" ca="1" si="37"/>
        <v>-</v>
      </c>
      <c r="V21" s="65" t="str">
        <f t="shared" ca="1" si="37"/>
        <v>-</v>
      </c>
      <c r="W21" s="65" t="str">
        <f t="shared" ca="1" si="37"/>
        <v>-</v>
      </c>
      <c r="X21" s="65" t="str">
        <f t="shared" ca="1" si="37"/>
        <v>-</v>
      </c>
      <c r="Y21" s="65" t="str">
        <f t="shared" ca="1" si="37"/>
        <v>-</v>
      </c>
      <c r="Z21" s="65" t="str">
        <f t="shared" ca="1" si="37"/>
        <v>-</v>
      </c>
      <c r="AA21" s="65" t="str">
        <f t="shared" ca="1" si="37"/>
        <v>-</v>
      </c>
      <c r="AB21" s="65" t="str">
        <f t="shared" ca="1" si="37"/>
        <v>-</v>
      </c>
      <c r="AC21" s="65" t="str">
        <f t="shared" ca="1" si="38"/>
        <v>-</v>
      </c>
      <c r="AD21" s="65" t="str">
        <f t="shared" ca="1" si="38"/>
        <v>-</v>
      </c>
      <c r="AE21" s="65" t="str">
        <f t="shared" ca="1" si="38"/>
        <v>-</v>
      </c>
      <c r="AF21" s="65" t="str">
        <f t="shared" ca="1" si="38"/>
        <v>-</v>
      </c>
      <c r="AG21" s="65" t="str">
        <f t="shared" ca="1" si="38"/>
        <v>-</v>
      </c>
      <c r="AH21" s="65" t="str">
        <f t="shared" ca="1" si="38"/>
        <v>-</v>
      </c>
      <c r="AI21" s="65" t="str">
        <f t="shared" ca="1" si="38"/>
        <v>-</v>
      </c>
      <c r="AJ21" s="65" t="str">
        <f t="shared" ca="1" si="38"/>
        <v>-</v>
      </c>
      <c r="AK21" s="65" t="str">
        <f t="shared" ca="1" si="38"/>
        <v>-</v>
      </c>
      <c r="AL21" s="65" t="str">
        <f t="shared" ca="1" si="38"/>
        <v>-</v>
      </c>
      <c r="AM21" s="65" t="str">
        <f t="shared" ca="1" si="38"/>
        <v>-</v>
      </c>
      <c r="AN21" s="65" t="str">
        <f t="shared" ca="1" si="38"/>
        <v>-</v>
      </c>
      <c r="AO21" s="65" t="str">
        <f t="shared" ca="1" si="38"/>
        <v>-</v>
      </c>
      <c r="AP21" s="65" t="str">
        <f t="shared" ca="1" si="38"/>
        <v>-</v>
      </c>
      <c r="AQ21" s="65" t="str">
        <f t="shared" ca="1" si="38"/>
        <v>-</v>
      </c>
      <c r="AR21" s="65" t="str">
        <f t="shared" ca="1" si="38"/>
        <v>-</v>
      </c>
      <c r="AS21" s="65" t="str">
        <f t="shared" ca="1" si="39"/>
        <v>-</v>
      </c>
      <c r="AT21" s="65" t="str">
        <f t="shared" ca="1" si="39"/>
        <v>-</v>
      </c>
      <c r="AU21" s="65" t="str">
        <f t="shared" ca="1" si="39"/>
        <v>-</v>
      </c>
      <c r="AV21" s="65" t="str">
        <f t="shared" ca="1" si="39"/>
        <v>-</v>
      </c>
      <c r="AW21" s="65" t="str">
        <f t="shared" ca="1" si="39"/>
        <v>-</v>
      </c>
      <c r="AX21" s="65" t="str">
        <f t="shared" ca="1" si="39"/>
        <v>-</v>
      </c>
      <c r="AY21" s="65">
        <f t="shared" ca="1" si="39"/>
        <v>608</v>
      </c>
      <c r="AZ21" s="65">
        <f t="shared" ca="1" si="39"/>
        <v>608</v>
      </c>
      <c r="BA21" s="65">
        <f t="shared" ca="1" si="39"/>
        <v>608</v>
      </c>
      <c r="BB21" s="65">
        <f t="shared" ca="1" si="39"/>
        <v>608</v>
      </c>
      <c r="BC21" s="65" t="str">
        <f t="shared" ca="1" si="39"/>
        <v>-</v>
      </c>
      <c r="BD21" s="65" t="str">
        <f t="shared" ca="1" si="39"/>
        <v>-</v>
      </c>
      <c r="BE21" s="65" t="str">
        <f t="shared" ca="1" si="39"/>
        <v>-</v>
      </c>
      <c r="BF21" s="65" t="str">
        <f t="shared" ca="1" si="39"/>
        <v>-</v>
      </c>
      <c r="BG21" s="65" t="str">
        <f t="shared" ca="1" si="39"/>
        <v>-</v>
      </c>
      <c r="BH21" s="65" t="str">
        <f t="shared" ca="1" si="39"/>
        <v>-</v>
      </c>
      <c r="BI21" s="65" t="str">
        <f t="shared" ca="1" si="40"/>
        <v>-</v>
      </c>
      <c r="BJ21" s="65" t="str">
        <f t="shared" ca="1" si="40"/>
        <v>-</v>
      </c>
      <c r="BK21" s="65" t="str">
        <f t="shared" ca="1" si="40"/>
        <v>-</v>
      </c>
      <c r="BL21" s="65" t="str">
        <f t="shared" ca="1" si="40"/>
        <v>-</v>
      </c>
      <c r="BM21" s="65" t="str">
        <f t="shared" ca="1" si="40"/>
        <v>-</v>
      </c>
      <c r="BN21" s="65" t="str">
        <f t="shared" ca="1" si="40"/>
        <v>-</v>
      </c>
      <c r="BO21" s="65" t="str">
        <f t="shared" ca="1" si="40"/>
        <v>-</v>
      </c>
      <c r="BP21" s="65" t="str">
        <f t="shared" ca="1" si="40"/>
        <v>-</v>
      </c>
      <c r="BQ21" s="65" t="str">
        <f t="shared" ca="1" si="40"/>
        <v>-</v>
      </c>
      <c r="BR21" s="65" t="str">
        <f t="shared" ca="1" si="40"/>
        <v>-</v>
      </c>
      <c r="BS21" s="65" t="str">
        <f t="shared" ca="1" si="40"/>
        <v>-</v>
      </c>
      <c r="BT21" s="65" t="str">
        <f t="shared" ca="1" si="40"/>
        <v>-</v>
      </c>
      <c r="BU21" s="65" t="str">
        <f t="shared" ca="1" si="40"/>
        <v>-</v>
      </c>
      <c r="BV21" s="65" t="str">
        <f t="shared" ca="1" si="40"/>
        <v>-</v>
      </c>
      <c r="BW21" s="65" t="str">
        <f t="shared" ca="1" si="40"/>
        <v>-</v>
      </c>
      <c r="BX21" s="65" t="str">
        <f t="shared" ca="1" si="40"/>
        <v>-</v>
      </c>
      <c r="BY21" s="65" t="str">
        <f t="shared" ca="1" si="41"/>
        <v>-</v>
      </c>
      <c r="BZ21" s="65" t="str">
        <f t="shared" ca="1" si="41"/>
        <v>-</v>
      </c>
      <c r="CA21" s="65" t="str">
        <f t="shared" ca="1" si="41"/>
        <v>-</v>
      </c>
      <c r="CB21" s="65" t="str">
        <f t="shared" ca="1" si="41"/>
        <v>-</v>
      </c>
      <c r="CC21" s="65" t="str">
        <f t="shared" ca="1" si="41"/>
        <v>-</v>
      </c>
      <c r="CD21" s="65" t="str">
        <f t="shared" ca="1" si="41"/>
        <v>-</v>
      </c>
      <c r="CE21" s="65" t="str">
        <f t="shared" ca="1" si="41"/>
        <v>-</v>
      </c>
      <c r="CF21" s="65" t="str">
        <f t="shared" ca="1" si="41"/>
        <v>-</v>
      </c>
      <c r="CG21" s="65" t="str">
        <f t="shared" ca="1" si="41"/>
        <v>-</v>
      </c>
      <c r="CH21" s="65" t="str">
        <f t="shared" ca="1" si="41"/>
        <v>-</v>
      </c>
      <c r="CI21" s="65" t="str">
        <f t="shared" ca="1" si="41"/>
        <v>-</v>
      </c>
      <c r="CJ21" s="65" t="str">
        <f t="shared" ca="1" si="41"/>
        <v>-</v>
      </c>
      <c r="CK21" s="65" t="str">
        <f t="shared" ca="1" si="41"/>
        <v>-</v>
      </c>
      <c r="CL21" s="65" t="str">
        <f t="shared" ca="1" si="41"/>
        <v>-</v>
      </c>
      <c r="CM21" s="65" t="str">
        <f t="shared" ca="1" si="41"/>
        <v>-</v>
      </c>
      <c r="CN21" s="65" t="str">
        <f t="shared" ca="1" si="41"/>
        <v>-</v>
      </c>
      <c r="CO21" s="65" t="str">
        <f t="shared" ca="1" si="42"/>
        <v>-</v>
      </c>
      <c r="CP21" s="65" t="str">
        <f t="shared" ca="1" si="42"/>
        <v>-</v>
      </c>
      <c r="CQ21" s="65" t="str">
        <f t="shared" ca="1" si="42"/>
        <v>-</v>
      </c>
      <c r="CR21" s="65" t="str">
        <f t="shared" ca="1" si="42"/>
        <v>-</v>
      </c>
      <c r="CS21" s="65" t="str">
        <f t="shared" ca="1" si="42"/>
        <v>-</v>
      </c>
      <c r="CT21" s="65" t="str">
        <f t="shared" ca="1" si="42"/>
        <v>-</v>
      </c>
      <c r="CU21" s="65" t="str">
        <f t="shared" ca="1" si="42"/>
        <v>-</v>
      </c>
      <c r="CV21" s="65" t="str">
        <f t="shared" ca="1" si="42"/>
        <v>-</v>
      </c>
      <c r="CW21" s="65" t="str">
        <f t="shared" ca="1" si="42"/>
        <v>-</v>
      </c>
      <c r="CX21" s="65" t="str">
        <f t="shared" ca="1" si="42"/>
        <v>-</v>
      </c>
      <c r="CY21" s="65" t="str">
        <f t="shared" ca="1" si="42"/>
        <v>-</v>
      </c>
      <c r="CZ21" s="65" t="str">
        <f t="shared" ca="1" si="42"/>
        <v>-</v>
      </c>
      <c r="DA21" s="65" t="str">
        <f t="shared" ca="1" si="42"/>
        <v>-</v>
      </c>
      <c r="DB21" s="65" t="str">
        <f t="shared" ca="1" si="42"/>
        <v>-</v>
      </c>
      <c r="DC21" s="65" t="str">
        <f t="shared" ca="1" si="42"/>
        <v>-</v>
      </c>
      <c r="DD21" s="65" t="str">
        <f t="shared" ca="1" si="42"/>
        <v>-</v>
      </c>
      <c r="DE21" s="65" t="str">
        <f t="shared" ca="1" si="43"/>
        <v>-</v>
      </c>
      <c r="DF21" s="65" t="str">
        <f t="shared" ca="1" si="43"/>
        <v>-</v>
      </c>
      <c r="DG21" s="65" t="str">
        <f t="shared" ca="1" si="43"/>
        <v>-</v>
      </c>
      <c r="DH21" s="65" t="str">
        <f t="shared" ca="1" si="43"/>
        <v>-</v>
      </c>
      <c r="DI21" s="65" t="str">
        <f t="shared" ca="1" si="43"/>
        <v>-</v>
      </c>
      <c r="DJ21" s="65" t="str">
        <f t="shared" ca="1" si="43"/>
        <v>-</v>
      </c>
      <c r="DK21" s="65" t="str">
        <f t="shared" ca="1" si="43"/>
        <v>-</v>
      </c>
      <c r="DL21" s="65" t="str">
        <f t="shared" ca="1" si="43"/>
        <v>-</v>
      </c>
      <c r="DM21" s="65" t="str">
        <f t="shared" ca="1" si="43"/>
        <v>-</v>
      </c>
      <c r="DN21" s="65" t="str">
        <f t="shared" ca="1" si="43"/>
        <v>-</v>
      </c>
      <c r="DO21" s="65" t="str">
        <f t="shared" ca="1" si="43"/>
        <v>-</v>
      </c>
      <c r="DP21" s="65" t="str">
        <f t="shared" ca="1" si="43"/>
        <v>-</v>
      </c>
      <c r="DQ21" s="65" t="str">
        <f t="shared" ca="1" si="43"/>
        <v>-</v>
      </c>
      <c r="DR21" s="65" t="str">
        <f t="shared" ca="1" si="43"/>
        <v>-</v>
      </c>
      <c r="DS21" s="65" t="str">
        <f t="shared" ca="1" si="43"/>
        <v>-</v>
      </c>
      <c r="DT21" s="65" t="str">
        <f t="shared" ca="1" si="43"/>
        <v>-</v>
      </c>
      <c r="DU21" s="65" t="str">
        <f t="shared" ca="1" si="44"/>
        <v>-</v>
      </c>
      <c r="DV21" s="65" t="str">
        <f t="shared" ca="1" si="44"/>
        <v>-</v>
      </c>
      <c r="DW21" s="65" t="str">
        <f t="shared" ca="1" si="44"/>
        <v>-</v>
      </c>
      <c r="DX21" s="65" t="str">
        <f t="shared" ca="1" si="44"/>
        <v>-</v>
      </c>
      <c r="DY21" s="65" t="str">
        <f t="shared" ca="1" si="44"/>
        <v>-</v>
      </c>
      <c r="DZ21" s="65" t="str">
        <f t="shared" ca="1" si="44"/>
        <v>-</v>
      </c>
      <c r="EA21" s="65" t="str">
        <f t="shared" ca="1" si="44"/>
        <v>-</v>
      </c>
      <c r="EB21" s="65" t="str">
        <f t="shared" ca="1" si="44"/>
        <v>-</v>
      </c>
      <c r="EC21" s="65" t="str">
        <f t="shared" ca="1" si="44"/>
        <v>-</v>
      </c>
      <c r="ED21" s="65" t="str">
        <f t="shared" ca="1" si="44"/>
        <v>-</v>
      </c>
      <c r="EE21" s="65" t="str">
        <f t="shared" ca="1" si="44"/>
        <v>-</v>
      </c>
      <c r="EF21" s="65" t="str">
        <f t="shared" ca="1" si="44"/>
        <v>-</v>
      </c>
      <c r="EG21" s="65" t="str">
        <f t="shared" ca="1" si="44"/>
        <v>-</v>
      </c>
      <c r="EH21" s="65" t="str">
        <f t="shared" ca="1" si="44"/>
        <v>-</v>
      </c>
      <c r="EI21" s="65" t="str">
        <f t="shared" ca="1" si="44"/>
        <v>-</v>
      </c>
      <c r="EJ21" s="65" t="str">
        <f t="shared" ca="1" si="44"/>
        <v>-</v>
      </c>
      <c r="EK21" s="65" t="str">
        <f t="shared" ca="1" si="45"/>
        <v>-</v>
      </c>
      <c r="EL21" s="65" t="str">
        <f t="shared" ca="1" si="45"/>
        <v>-</v>
      </c>
      <c r="EM21" s="65" t="str">
        <f t="shared" ca="1" si="45"/>
        <v>-</v>
      </c>
      <c r="EN21" s="65" t="str">
        <f t="shared" ca="1" si="45"/>
        <v>-</v>
      </c>
      <c r="EO21" s="65" t="str">
        <f t="shared" ca="1" si="45"/>
        <v>-</v>
      </c>
    </row>
    <row r="22" spans="1:147">
      <c r="A22" s="448"/>
      <c r="B22" s="451"/>
      <c r="C22" s="451"/>
      <c r="D22" s="456"/>
      <c r="E22" s="185" t="s">
        <v>67</v>
      </c>
      <c r="F22" s="66">
        <f>SUM('BESS 11'!S132:S141)</f>
        <v>317.81333333333328</v>
      </c>
      <c r="G22" s="182">
        <f ca="1">TODAY()</f>
        <v>46233</v>
      </c>
      <c r="H22" s="182">
        <f>MAX('BESS 11'!O132:O141)</f>
        <v>46240</v>
      </c>
      <c r="I22" s="65">
        <f ca="1">H22-G22</f>
        <v>7</v>
      </c>
      <c r="J22" s="453"/>
      <c r="K22" s="453"/>
      <c r="L22" s="445"/>
      <c r="M22" s="65" t="str">
        <f t="shared" ca="1" si="37"/>
        <v>-</v>
      </c>
      <c r="N22" s="65" t="str">
        <f t="shared" ca="1" si="37"/>
        <v>-</v>
      </c>
      <c r="O22" s="65" t="str">
        <f t="shared" ca="1" si="37"/>
        <v>-</v>
      </c>
      <c r="P22" s="65" t="str">
        <f t="shared" ca="1" si="37"/>
        <v>-</v>
      </c>
      <c r="Q22" s="65" t="str">
        <f t="shared" ca="1" si="37"/>
        <v>-</v>
      </c>
      <c r="R22" s="65" t="str">
        <f t="shared" ca="1" si="37"/>
        <v>-</v>
      </c>
      <c r="S22" s="65" t="str">
        <f t="shared" ca="1" si="37"/>
        <v>-</v>
      </c>
      <c r="T22" s="65" t="str">
        <f t="shared" ca="1" si="37"/>
        <v>-</v>
      </c>
      <c r="U22" s="65" t="str">
        <f t="shared" ca="1" si="37"/>
        <v>-</v>
      </c>
      <c r="V22" s="65" t="str">
        <f t="shared" ca="1" si="37"/>
        <v>-</v>
      </c>
      <c r="W22" s="65" t="str">
        <f t="shared" ca="1" si="37"/>
        <v>-</v>
      </c>
      <c r="X22" s="65" t="str">
        <f t="shared" ca="1" si="37"/>
        <v>-</v>
      </c>
      <c r="Y22" s="65" t="str">
        <f t="shared" ca="1" si="37"/>
        <v>-</v>
      </c>
      <c r="Z22" s="65" t="str">
        <f t="shared" ca="1" si="37"/>
        <v>-</v>
      </c>
      <c r="AA22" s="65" t="str">
        <f t="shared" ca="1" si="37"/>
        <v>-</v>
      </c>
      <c r="AB22" s="65" t="str">
        <f t="shared" ca="1" si="37"/>
        <v>-</v>
      </c>
      <c r="AC22" s="65" t="str">
        <f t="shared" ca="1" si="38"/>
        <v>-</v>
      </c>
      <c r="AD22" s="65" t="str">
        <f t="shared" ca="1" si="38"/>
        <v>-</v>
      </c>
      <c r="AE22" s="65" t="str">
        <f t="shared" ca="1" si="38"/>
        <v>-</v>
      </c>
      <c r="AF22" s="65" t="str">
        <f t="shared" ca="1" si="38"/>
        <v>-</v>
      </c>
      <c r="AG22" s="65" t="str">
        <f t="shared" ca="1" si="38"/>
        <v>-</v>
      </c>
      <c r="AH22" s="65" t="str">
        <f t="shared" ca="1" si="38"/>
        <v>-</v>
      </c>
      <c r="AI22" s="65" t="str">
        <f t="shared" ca="1" si="38"/>
        <v>-</v>
      </c>
      <c r="AJ22" s="65" t="str">
        <f t="shared" ca="1" si="38"/>
        <v>-</v>
      </c>
      <c r="AK22" s="65" t="str">
        <f t="shared" ca="1" si="38"/>
        <v>-</v>
      </c>
      <c r="AL22" s="65" t="str">
        <f t="shared" ca="1" si="38"/>
        <v>-</v>
      </c>
      <c r="AM22" s="65" t="str">
        <f t="shared" ca="1" si="38"/>
        <v>-</v>
      </c>
      <c r="AN22" s="65" t="str">
        <f t="shared" ca="1" si="38"/>
        <v>-</v>
      </c>
      <c r="AO22" s="65" t="str">
        <f t="shared" ca="1" si="38"/>
        <v>-</v>
      </c>
      <c r="AP22" s="65" t="str">
        <f t="shared" ca="1" si="38"/>
        <v>-</v>
      </c>
      <c r="AQ22" s="65" t="str">
        <f t="shared" ca="1" si="38"/>
        <v>-</v>
      </c>
      <c r="AR22" s="65" t="str">
        <f t="shared" ca="1" si="38"/>
        <v>-</v>
      </c>
      <c r="AS22" s="65" t="str">
        <f t="shared" ca="1" si="39"/>
        <v>-</v>
      </c>
      <c r="AT22" s="65" t="str">
        <f t="shared" ca="1" si="39"/>
        <v>-</v>
      </c>
      <c r="AU22" s="65" t="str">
        <f t="shared" ca="1" si="39"/>
        <v>-</v>
      </c>
      <c r="AV22" s="65" t="str">
        <f t="shared" ca="1" si="39"/>
        <v>-</v>
      </c>
      <c r="AW22" s="65" t="str">
        <f t="shared" ca="1" si="39"/>
        <v>-</v>
      </c>
      <c r="AX22" s="65" t="str">
        <f t="shared" ca="1" si="39"/>
        <v>-</v>
      </c>
      <c r="AY22" s="65">
        <f t="shared" ca="1" si="39"/>
        <v>45</v>
      </c>
      <c r="AZ22" s="65">
        <f t="shared" ca="1" si="39"/>
        <v>45</v>
      </c>
      <c r="BA22" s="65">
        <f t="shared" ca="1" si="39"/>
        <v>45</v>
      </c>
      <c r="BB22" s="65">
        <f t="shared" ca="1" si="39"/>
        <v>45</v>
      </c>
      <c r="BC22" s="65">
        <f t="shared" ca="1" si="39"/>
        <v>45</v>
      </c>
      <c r="BD22" s="65">
        <f t="shared" ca="1" si="39"/>
        <v>45</v>
      </c>
      <c r="BE22" s="65">
        <f t="shared" ca="1" si="39"/>
        <v>45</v>
      </c>
      <c r="BF22" s="65" t="str">
        <f t="shared" ca="1" si="39"/>
        <v>-</v>
      </c>
      <c r="BG22" s="65" t="str">
        <f t="shared" ca="1" si="39"/>
        <v>-</v>
      </c>
      <c r="BH22" s="65" t="str">
        <f t="shared" ca="1" si="39"/>
        <v>-</v>
      </c>
      <c r="BI22" s="65" t="str">
        <f t="shared" ca="1" si="40"/>
        <v>-</v>
      </c>
      <c r="BJ22" s="65" t="str">
        <f t="shared" ca="1" si="40"/>
        <v>-</v>
      </c>
      <c r="BK22" s="65" t="str">
        <f t="shared" ca="1" si="40"/>
        <v>-</v>
      </c>
      <c r="BL22" s="65" t="str">
        <f t="shared" ca="1" si="40"/>
        <v>-</v>
      </c>
      <c r="BM22" s="65" t="str">
        <f t="shared" ca="1" si="40"/>
        <v>-</v>
      </c>
      <c r="BN22" s="65" t="str">
        <f t="shared" ca="1" si="40"/>
        <v>-</v>
      </c>
      <c r="BO22" s="65" t="str">
        <f t="shared" ca="1" si="40"/>
        <v>-</v>
      </c>
      <c r="BP22" s="65" t="str">
        <f t="shared" ca="1" si="40"/>
        <v>-</v>
      </c>
      <c r="BQ22" s="65" t="str">
        <f t="shared" ca="1" si="40"/>
        <v>-</v>
      </c>
      <c r="BR22" s="65" t="str">
        <f t="shared" ca="1" si="40"/>
        <v>-</v>
      </c>
      <c r="BS22" s="65" t="str">
        <f t="shared" ca="1" si="40"/>
        <v>-</v>
      </c>
      <c r="BT22" s="65" t="str">
        <f t="shared" ca="1" si="40"/>
        <v>-</v>
      </c>
      <c r="BU22" s="65" t="str">
        <f t="shared" ca="1" si="40"/>
        <v>-</v>
      </c>
      <c r="BV22" s="65" t="str">
        <f t="shared" ca="1" si="40"/>
        <v>-</v>
      </c>
      <c r="BW22" s="65" t="str">
        <f t="shared" ca="1" si="40"/>
        <v>-</v>
      </c>
      <c r="BX22" s="65" t="str">
        <f t="shared" ca="1" si="40"/>
        <v>-</v>
      </c>
      <c r="BY22" s="65" t="str">
        <f t="shared" ca="1" si="41"/>
        <v>-</v>
      </c>
      <c r="BZ22" s="65" t="str">
        <f t="shared" ca="1" si="41"/>
        <v>-</v>
      </c>
      <c r="CA22" s="65" t="str">
        <f t="shared" ca="1" si="41"/>
        <v>-</v>
      </c>
      <c r="CB22" s="65" t="str">
        <f t="shared" ca="1" si="41"/>
        <v>-</v>
      </c>
      <c r="CC22" s="65" t="str">
        <f t="shared" ca="1" si="41"/>
        <v>-</v>
      </c>
      <c r="CD22" s="65" t="str">
        <f t="shared" ca="1" si="41"/>
        <v>-</v>
      </c>
      <c r="CE22" s="65" t="str">
        <f t="shared" ca="1" si="41"/>
        <v>-</v>
      </c>
      <c r="CF22" s="65" t="str">
        <f t="shared" ca="1" si="41"/>
        <v>-</v>
      </c>
      <c r="CG22" s="65" t="str">
        <f t="shared" ca="1" si="41"/>
        <v>-</v>
      </c>
      <c r="CH22" s="65" t="str">
        <f t="shared" ca="1" si="41"/>
        <v>-</v>
      </c>
      <c r="CI22" s="65" t="str">
        <f t="shared" ca="1" si="41"/>
        <v>-</v>
      </c>
      <c r="CJ22" s="65" t="str">
        <f t="shared" ca="1" si="41"/>
        <v>-</v>
      </c>
      <c r="CK22" s="65" t="str">
        <f t="shared" ca="1" si="41"/>
        <v>-</v>
      </c>
      <c r="CL22" s="65" t="str">
        <f t="shared" ca="1" si="41"/>
        <v>-</v>
      </c>
      <c r="CM22" s="65" t="str">
        <f t="shared" ca="1" si="41"/>
        <v>-</v>
      </c>
      <c r="CN22" s="65" t="str">
        <f t="shared" ca="1" si="41"/>
        <v>-</v>
      </c>
      <c r="CO22" s="65" t="str">
        <f t="shared" ca="1" si="42"/>
        <v>-</v>
      </c>
      <c r="CP22" s="65" t="str">
        <f t="shared" ca="1" si="42"/>
        <v>-</v>
      </c>
      <c r="CQ22" s="65" t="str">
        <f t="shared" ca="1" si="42"/>
        <v>-</v>
      </c>
      <c r="CR22" s="65" t="str">
        <f t="shared" ca="1" si="42"/>
        <v>-</v>
      </c>
      <c r="CS22" s="65" t="str">
        <f t="shared" ca="1" si="42"/>
        <v>-</v>
      </c>
      <c r="CT22" s="65" t="str">
        <f t="shared" ca="1" si="42"/>
        <v>-</v>
      </c>
      <c r="CU22" s="65" t="str">
        <f t="shared" ca="1" si="42"/>
        <v>-</v>
      </c>
      <c r="CV22" s="65" t="str">
        <f t="shared" ca="1" si="42"/>
        <v>-</v>
      </c>
      <c r="CW22" s="65" t="str">
        <f t="shared" ca="1" si="42"/>
        <v>-</v>
      </c>
      <c r="CX22" s="65" t="str">
        <f t="shared" ca="1" si="42"/>
        <v>-</v>
      </c>
      <c r="CY22" s="65" t="str">
        <f t="shared" ca="1" si="42"/>
        <v>-</v>
      </c>
      <c r="CZ22" s="65" t="str">
        <f t="shared" ca="1" si="42"/>
        <v>-</v>
      </c>
      <c r="DA22" s="65" t="str">
        <f t="shared" ca="1" si="42"/>
        <v>-</v>
      </c>
      <c r="DB22" s="65" t="str">
        <f t="shared" ca="1" si="42"/>
        <v>-</v>
      </c>
      <c r="DC22" s="65" t="str">
        <f t="shared" ca="1" si="42"/>
        <v>-</v>
      </c>
      <c r="DD22" s="65" t="str">
        <f t="shared" ca="1" si="42"/>
        <v>-</v>
      </c>
      <c r="DE22" s="65" t="str">
        <f t="shared" ca="1" si="43"/>
        <v>-</v>
      </c>
      <c r="DF22" s="65" t="str">
        <f t="shared" ca="1" si="43"/>
        <v>-</v>
      </c>
      <c r="DG22" s="65" t="str">
        <f t="shared" ca="1" si="43"/>
        <v>-</v>
      </c>
      <c r="DH22" s="65" t="str">
        <f t="shared" ca="1" si="43"/>
        <v>-</v>
      </c>
      <c r="DI22" s="65" t="str">
        <f t="shared" ca="1" si="43"/>
        <v>-</v>
      </c>
      <c r="DJ22" s="65" t="str">
        <f t="shared" ca="1" si="43"/>
        <v>-</v>
      </c>
      <c r="DK22" s="65" t="str">
        <f t="shared" ca="1" si="43"/>
        <v>-</v>
      </c>
      <c r="DL22" s="65" t="str">
        <f t="shared" ca="1" si="43"/>
        <v>-</v>
      </c>
      <c r="DM22" s="65" t="str">
        <f t="shared" ca="1" si="43"/>
        <v>-</v>
      </c>
      <c r="DN22" s="65" t="str">
        <f t="shared" ca="1" si="43"/>
        <v>-</v>
      </c>
      <c r="DO22" s="65" t="str">
        <f t="shared" ca="1" si="43"/>
        <v>-</v>
      </c>
      <c r="DP22" s="65" t="str">
        <f t="shared" ca="1" si="43"/>
        <v>-</v>
      </c>
      <c r="DQ22" s="65" t="str">
        <f t="shared" ca="1" si="43"/>
        <v>-</v>
      </c>
      <c r="DR22" s="65" t="str">
        <f t="shared" ca="1" si="43"/>
        <v>-</v>
      </c>
      <c r="DS22" s="65" t="str">
        <f t="shared" ca="1" si="43"/>
        <v>-</v>
      </c>
      <c r="DT22" s="65" t="str">
        <f t="shared" ca="1" si="43"/>
        <v>-</v>
      </c>
      <c r="DU22" s="65" t="str">
        <f t="shared" ca="1" si="44"/>
        <v>-</v>
      </c>
      <c r="DV22" s="65" t="str">
        <f t="shared" ca="1" si="44"/>
        <v>-</v>
      </c>
      <c r="DW22" s="65" t="str">
        <f t="shared" ca="1" si="44"/>
        <v>-</v>
      </c>
      <c r="DX22" s="65" t="str">
        <f t="shared" ca="1" si="44"/>
        <v>-</v>
      </c>
      <c r="DY22" s="65" t="str">
        <f t="shared" ca="1" si="44"/>
        <v>-</v>
      </c>
      <c r="DZ22" s="65" t="str">
        <f t="shared" ca="1" si="44"/>
        <v>-</v>
      </c>
      <c r="EA22" s="65" t="str">
        <f t="shared" ca="1" si="44"/>
        <v>-</v>
      </c>
      <c r="EB22" s="65" t="str">
        <f t="shared" ca="1" si="44"/>
        <v>-</v>
      </c>
      <c r="EC22" s="65" t="str">
        <f t="shared" ca="1" si="44"/>
        <v>-</v>
      </c>
      <c r="ED22" s="65" t="str">
        <f t="shared" ca="1" si="44"/>
        <v>-</v>
      </c>
      <c r="EE22" s="65" t="str">
        <f t="shared" ca="1" si="44"/>
        <v>-</v>
      </c>
      <c r="EF22" s="65" t="str">
        <f t="shared" ca="1" si="44"/>
        <v>-</v>
      </c>
      <c r="EG22" s="65" t="str">
        <f t="shared" ca="1" si="44"/>
        <v>-</v>
      </c>
      <c r="EH22" s="65" t="str">
        <f t="shared" ca="1" si="44"/>
        <v>-</v>
      </c>
      <c r="EI22" s="65" t="str">
        <f t="shared" ca="1" si="44"/>
        <v>-</v>
      </c>
      <c r="EJ22" s="65" t="str">
        <f t="shared" ca="1" si="44"/>
        <v>-</v>
      </c>
      <c r="EK22" s="65" t="str">
        <f t="shared" ca="1" si="45"/>
        <v>-</v>
      </c>
      <c r="EL22" s="65" t="str">
        <f t="shared" ca="1" si="45"/>
        <v>-</v>
      </c>
      <c r="EM22" s="65" t="str">
        <f t="shared" ca="1" si="45"/>
        <v>-</v>
      </c>
      <c r="EN22" s="65" t="str">
        <f t="shared" ca="1" si="45"/>
        <v>-</v>
      </c>
      <c r="EO22" s="65" t="str">
        <f t="shared" ca="1" si="45"/>
        <v>-</v>
      </c>
    </row>
    <row r="23" spans="1:147" ht="16.5">
      <c r="A23" s="449"/>
      <c r="B23" s="452"/>
      <c r="C23" s="452"/>
      <c r="D23" s="457"/>
      <c r="E23" s="185" t="s">
        <v>68</v>
      </c>
      <c r="F23" s="65">
        <v>250</v>
      </c>
      <c r="G23" s="185"/>
      <c r="H23" s="182">
        <f>B18-3</f>
        <v>46237</v>
      </c>
      <c r="I23" s="65">
        <v>30</v>
      </c>
      <c r="J23" s="454"/>
      <c r="K23" s="454"/>
      <c r="L23" s="446"/>
      <c r="M23" s="443" t="str">
        <f>IF(AND(M$2&gt;=$B$18-26,M$2&lt;=$B$18-3),5,IF(OR(M$2=$B$18-2,M$2=$B$18-1,M$2=$B$18,M$2=$B$18+1),30,IF(OR(M$2=$B$18+2,M$2=$B$18+3),5,"")))</f>
        <v/>
      </c>
      <c r="N23" s="443" t="str">
        <f t="shared" ref="N23:BY23" si="46">IF(AND(N$2&gt;=$B$18-26,N$2&lt;=$B$18-3),5,IF(OR(N$2=$B$18-2,N$2=$B$18-1,N$2=$B$18,N$2=$B$18+1),30,IF(OR(N$2=$B$18+2,N$2=$B$18+3),5,"")))</f>
        <v/>
      </c>
      <c r="O23" s="443" t="str">
        <f t="shared" si="46"/>
        <v/>
      </c>
      <c r="P23" s="443" t="str">
        <f t="shared" si="46"/>
        <v/>
      </c>
      <c r="Q23" s="443" t="str">
        <f t="shared" si="46"/>
        <v/>
      </c>
      <c r="R23" s="443" t="str">
        <f t="shared" si="46"/>
        <v/>
      </c>
      <c r="S23" s="443" t="str">
        <f t="shared" si="46"/>
        <v/>
      </c>
      <c r="T23" s="443" t="str">
        <f t="shared" si="46"/>
        <v/>
      </c>
      <c r="U23" s="443" t="str">
        <f t="shared" si="46"/>
        <v/>
      </c>
      <c r="V23" s="443" t="str">
        <f t="shared" si="46"/>
        <v/>
      </c>
      <c r="W23" s="443" t="str">
        <f t="shared" si="46"/>
        <v/>
      </c>
      <c r="X23" s="443" t="str">
        <f t="shared" si="46"/>
        <v/>
      </c>
      <c r="Y23" s="443" t="str">
        <f t="shared" si="46"/>
        <v/>
      </c>
      <c r="Z23" s="443" t="str">
        <f t="shared" si="46"/>
        <v/>
      </c>
      <c r="AA23" s="443" t="str">
        <f t="shared" si="46"/>
        <v/>
      </c>
      <c r="AB23" s="443" t="str">
        <f t="shared" si="46"/>
        <v/>
      </c>
      <c r="AC23" s="443" t="str">
        <f t="shared" si="46"/>
        <v/>
      </c>
      <c r="AD23" s="443" t="str">
        <f t="shared" si="46"/>
        <v/>
      </c>
      <c r="AE23" s="443" t="str">
        <f t="shared" si="46"/>
        <v/>
      </c>
      <c r="AF23" s="443">
        <f t="shared" si="46"/>
        <v>5</v>
      </c>
      <c r="AG23" s="443">
        <f t="shared" si="46"/>
        <v>5</v>
      </c>
      <c r="AH23" s="443">
        <f t="shared" si="46"/>
        <v>5</v>
      </c>
      <c r="AI23" s="443">
        <f t="shared" si="46"/>
        <v>5</v>
      </c>
      <c r="AJ23" s="443">
        <f t="shared" si="46"/>
        <v>5</v>
      </c>
      <c r="AK23" s="443">
        <f t="shared" si="46"/>
        <v>5</v>
      </c>
      <c r="AL23" s="443">
        <f t="shared" si="46"/>
        <v>5</v>
      </c>
      <c r="AM23" s="443">
        <f t="shared" si="46"/>
        <v>5</v>
      </c>
      <c r="AN23" s="443">
        <f t="shared" si="46"/>
        <v>5</v>
      </c>
      <c r="AO23" s="443">
        <f t="shared" si="46"/>
        <v>5</v>
      </c>
      <c r="AP23" s="443">
        <f t="shared" si="46"/>
        <v>5</v>
      </c>
      <c r="AQ23" s="443">
        <f t="shared" si="46"/>
        <v>5</v>
      </c>
      <c r="AR23" s="443">
        <f t="shared" si="46"/>
        <v>5</v>
      </c>
      <c r="AS23" s="443">
        <f t="shared" si="46"/>
        <v>5</v>
      </c>
      <c r="AT23" s="443">
        <f t="shared" si="46"/>
        <v>5</v>
      </c>
      <c r="AU23" s="443">
        <f t="shared" si="46"/>
        <v>5</v>
      </c>
      <c r="AV23" s="443">
        <f t="shared" si="46"/>
        <v>5</v>
      </c>
      <c r="AW23" s="443">
        <f t="shared" si="46"/>
        <v>5</v>
      </c>
      <c r="AX23" s="443">
        <f t="shared" si="46"/>
        <v>5</v>
      </c>
      <c r="AY23" s="443">
        <f t="shared" si="46"/>
        <v>5</v>
      </c>
      <c r="AZ23" s="443">
        <f t="shared" si="46"/>
        <v>5</v>
      </c>
      <c r="BA23" s="443">
        <f t="shared" si="46"/>
        <v>5</v>
      </c>
      <c r="BB23" s="443">
        <f t="shared" si="46"/>
        <v>5</v>
      </c>
      <c r="BC23" s="443">
        <f t="shared" si="46"/>
        <v>5</v>
      </c>
      <c r="BD23" s="443">
        <f t="shared" si="46"/>
        <v>30</v>
      </c>
      <c r="BE23" s="443">
        <f t="shared" si="46"/>
        <v>30</v>
      </c>
      <c r="BF23" s="443">
        <f t="shared" si="46"/>
        <v>30</v>
      </c>
      <c r="BG23" s="443">
        <f t="shared" si="46"/>
        <v>30</v>
      </c>
      <c r="BH23" s="443">
        <f t="shared" si="46"/>
        <v>5</v>
      </c>
      <c r="BI23" s="443">
        <f t="shared" si="46"/>
        <v>5</v>
      </c>
      <c r="BJ23" s="443" t="str">
        <f t="shared" si="46"/>
        <v/>
      </c>
      <c r="BK23" s="443" t="str">
        <f t="shared" si="46"/>
        <v/>
      </c>
      <c r="BL23" s="443" t="str">
        <f t="shared" si="46"/>
        <v/>
      </c>
      <c r="BM23" s="443" t="str">
        <f t="shared" si="46"/>
        <v/>
      </c>
      <c r="BN23" s="443" t="str">
        <f t="shared" si="46"/>
        <v/>
      </c>
      <c r="BO23" s="443" t="str">
        <f t="shared" si="46"/>
        <v/>
      </c>
      <c r="BP23" s="443" t="str">
        <f t="shared" si="46"/>
        <v/>
      </c>
      <c r="BQ23" s="443" t="str">
        <f t="shared" si="46"/>
        <v/>
      </c>
      <c r="BR23" s="443" t="str">
        <f t="shared" si="46"/>
        <v/>
      </c>
      <c r="BS23" s="443" t="str">
        <f t="shared" si="46"/>
        <v/>
      </c>
      <c r="BT23" s="443" t="str">
        <f t="shared" si="46"/>
        <v/>
      </c>
      <c r="BU23" s="443" t="str">
        <f t="shared" si="46"/>
        <v/>
      </c>
      <c r="BV23" s="443" t="str">
        <f t="shared" si="46"/>
        <v/>
      </c>
      <c r="BW23" s="443" t="str">
        <f t="shared" si="46"/>
        <v/>
      </c>
      <c r="BX23" s="443" t="str">
        <f t="shared" si="46"/>
        <v/>
      </c>
      <c r="BY23" s="443" t="str">
        <f t="shared" si="46"/>
        <v/>
      </c>
      <c r="BZ23" s="443" t="str">
        <f t="shared" ref="BZ23:CI23" si="47">IF(AND(BZ$2&gt;=$B$18-26,BZ$2&lt;=$B$18-3),5,IF(OR(BZ$2=$B$18-2,BZ$2=$B$18-1,BZ$2=$B$18,BZ$2=$B$18+1),30,IF(OR(BZ$2=$B$18+2,BZ$2=$B$18+3),5,"")))</f>
        <v/>
      </c>
      <c r="CA23" s="443" t="str">
        <f t="shared" si="47"/>
        <v/>
      </c>
      <c r="CB23" s="443" t="str">
        <f t="shared" si="47"/>
        <v/>
      </c>
      <c r="CC23" s="443" t="str">
        <f t="shared" si="47"/>
        <v/>
      </c>
      <c r="CD23" s="443" t="str">
        <f t="shared" si="47"/>
        <v/>
      </c>
      <c r="CE23" s="443" t="str">
        <f t="shared" si="47"/>
        <v/>
      </c>
      <c r="CF23" s="443" t="str">
        <f t="shared" si="47"/>
        <v/>
      </c>
      <c r="CG23" s="443" t="str">
        <f t="shared" si="47"/>
        <v/>
      </c>
      <c r="CH23" s="443" t="str">
        <f t="shared" si="47"/>
        <v/>
      </c>
      <c r="CI23" s="443" t="str">
        <f t="shared" si="47"/>
        <v/>
      </c>
      <c r="CJ23" s="443" t="str">
        <f>IF(AND(CJ$2&gt;=$B$18-26,CJ$2&lt;=$B$18-3),5,IF(OR(CJ$2=$B$18-2,CJ$2=$B$18-1,CJ$2=$B$18,CJ$2=$B$18+1),30,IF(OR(CJ$2=$B$18+2,CJ$2=$B$18+3),5,"")))</f>
        <v/>
      </c>
      <c r="CK23" s="443" t="str">
        <f t="shared" ref="CK23:EO23" si="48">IF(AND(CK$2&gt;=$B$18-26,CK$2&lt;=$B$18-3),5,IF(OR(CK$2=$B$18-2,CK$2=$B$18-1,CK$2=$B$18,CK$2=$B$18+1),30,IF(OR(CK$2=$B$18+2,CK$2=$B$18+3),5,"")))</f>
        <v/>
      </c>
      <c r="CL23" s="443" t="str">
        <f t="shared" si="48"/>
        <v/>
      </c>
      <c r="CM23" s="443" t="str">
        <f t="shared" si="48"/>
        <v/>
      </c>
      <c r="CN23" s="443" t="str">
        <f t="shared" si="48"/>
        <v/>
      </c>
      <c r="CO23" s="443" t="str">
        <f t="shared" si="48"/>
        <v/>
      </c>
      <c r="CP23" s="443" t="str">
        <f t="shared" si="48"/>
        <v/>
      </c>
      <c r="CQ23" s="443" t="str">
        <f t="shared" si="48"/>
        <v/>
      </c>
      <c r="CR23" s="443" t="str">
        <f t="shared" si="48"/>
        <v/>
      </c>
      <c r="CS23" s="443" t="str">
        <f t="shared" si="48"/>
        <v/>
      </c>
      <c r="CT23" s="443" t="str">
        <f t="shared" si="48"/>
        <v/>
      </c>
      <c r="CU23" s="443" t="str">
        <f t="shared" si="48"/>
        <v/>
      </c>
      <c r="CV23" s="443" t="str">
        <f t="shared" si="48"/>
        <v/>
      </c>
      <c r="CW23" s="443" t="str">
        <f t="shared" si="48"/>
        <v/>
      </c>
      <c r="CX23" s="443" t="str">
        <f t="shared" si="48"/>
        <v/>
      </c>
      <c r="CY23" s="443" t="str">
        <f t="shared" si="48"/>
        <v/>
      </c>
      <c r="CZ23" s="443" t="str">
        <f t="shared" si="48"/>
        <v/>
      </c>
      <c r="DA23" s="443" t="str">
        <f t="shared" si="48"/>
        <v/>
      </c>
      <c r="DB23" s="443" t="str">
        <f t="shared" si="48"/>
        <v/>
      </c>
      <c r="DC23" s="443" t="str">
        <f t="shared" si="48"/>
        <v/>
      </c>
      <c r="DD23" s="443" t="str">
        <f t="shared" si="48"/>
        <v/>
      </c>
      <c r="DE23" s="443" t="str">
        <f t="shared" si="48"/>
        <v/>
      </c>
      <c r="DF23" s="443" t="str">
        <f t="shared" si="48"/>
        <v/>
      </c>
      <c r="DG23" s="443" t="str">
        <f t="shared" si="48"/>
        <v/>
      </c>
      <c r="DH23" s="443" t="str">
        <f t="shared" si="48"/>
        <v/>
      </c>
      <c r="DI23" s="443" t="str">
        <f t="shared" si="48"/>
        <v/>
      </c>
      <c r="DJ23" s="443" t="str">
        <f t="shared" si="48"/>
        <v/>
      </c>
      <c r="DK23" s="443" t="str">
        <f t="shared" si="48"/>
        <v/>
      </c>
      <c r="DL23" s="443" t="str">
        <f t="shared" si="48"/>
        <v/>
      </c>
      <c r="DM23" s="443" t="str">
        <f t="shared" si="48"/>
        <v/>
      </c>
      <c r="DN23" s="443" t="str">
        <f t="shared" si="48"/>
        <v/>
      </c>
      <c r="DO23" s="443" t="str">
        <f t="shared" si="48"/>
        <v/>
      </c>
      <c r="DP23" s="443" t="str">
        <f t="shared" si="48"/>
        <v/>
      </c>
      <c r="DQ23" s="443" t="str">
        <f t="shared" si="48"/>
        <v/>
      </c>
      <c r="DR23" s="443" t="str">
        <f t="shared" si="48"/>
        <v/>
      </c>
      <c r="DS23" s="443" t="str">
        <f t="shared" si="48"/>
        <v/>
      </c>
      <c r="DT23" s="443" t="str">
        <f t="shared" si="48"/>
        <v/>
      </c>
      <c r="DU23" s="443" t="str">
        <f t="shared" si="48"/>
        <v/>
      </c>
      <c r="DV23" s="443" t="str">
        <f t="shared" si="48"/>
        <v/>
      </c>
      <c r="DW23" s="443" t="str">
        <f t="shared" si="48"/>
        <v/>
      </c>
      <c r="DX23" s="443" t="str">
        <f t="shared" si="48"/>
        <v/>
      </c>
      <c r="DY23" s="443" t="str">
        <f t="shared" si="48"/>
        <v/>
      </c>
      <c r="DZ23" s="443" t="str">
        <f t="shared" si="48"/>
        <v/>
      </c>
      <c r="EA23" s="443" t="str">
        <f t="shared" si="48"/>
        <v/>
      </c>
      <c r="EB23" s="443" t="str">
        <f t="shared" si="48"/>
        <v/>
      </c>
      <c r="EC23" s="443" t="str">
        <f t="shared" si="48"/>
        <v/>
      </c>
      <c r="ED23" s="443" t="str">
        <f t="shared" si="48"/>
        <v/>
      </c>
      <c r="EE23" s="443" t="str">
        <f t="shared" si="48"/>
        <v/>
      </c>
      <c r="EF23" s="443" t="str">
        <f t="shared" si="48"/>
        <v/>
      </c>
      <c r="EG23" s="443" t="str">
        <f t="shared" si="48"/>
        <v/>
      </c>
      <c r="EH23" s="443" t="str">
        <f t="shared" si="48"/>
        <v/>
      </c>
      <c r="EI23" s="443" t="str">
        <f t="shared" si="48"/>
        <v/>
      </c>
      <c r="EJ23" s="443" t="str">
        <f t="shared" si="48"/>
        <v/>
      </c>
      <c r="EK23" s="443" t="str">
        <f t="shared" si="48"/>
        <v/>
      </c>
      <c r="EL23" s="443" t="str">
        <f t="shared" si="48"/>
        <v/>
      </c>
      <c r="EM23" s="443" t="str">
        <f t="shared" si="48"/>
        <v/>
      </c>
      <c r="EN23" s="443" t="str">
        <f t="shared" si="48"/>
        <v/>
      </c>
      <c r="EO23" s="443" t="str">
        <f t="shared" si="48"/>
        <v/>
      </c>
    </row>
    <row r="24" spans="1:147" s="207" customFormat="1" ht="13.5" customHeight="1">
      <c r="A24" s="236"/>
      <c r="E24" s="201"/>
      <c r="F24" s="201"/>
      <c r="G24" s="204" t="s">
        <v>69</v>
      </c>
      <c r="H24" s="203"/>
      <c r="I24" s="203"/>
      <c r="J24" s="203"/>
      <c r="K24" s="230"/>
      <c r="L24" s="230"/>
      <c r="M24" s="205">
        <f ca="1">SUM(M19:M23)</f>
        <v>0</v>
      </c>
      <c r="N24" s="205">
        <f ca="1">SUM(N19:N23)</f>
        <v>0</v>
      </c>
      <c r="O24" s="205">
        <f ca="1">SUM(O19:O23)</f>
        <v>0</v>
      </c>
      <c r="P24" s="205">
        <f t="shared" ref="P24:CA24" ca="1" si="49">SUM(P19:P23)</f>
        <v>0</v>
      </c>
      <c r="Q24" s="205">
        <f t="shared" ca="1" si="49"/>
        <v>0</v>
      </c>
      <c r="R24" s="205">
        <f t="shared" ca="1" si="49"/>
        <v>0</v>
      </c>
      <c r="S24" s="205">
        <f t="shared" ca="1" si="49"/>
        <v>0</v>
      </c>
      <c r="T24" s="205">
        <f t="shared" ca="1" si="49"/>
        <v>0</v>
      </c>
      <c r="U24" s="205">
        <f t="shared" ca="1" si="49"/>
        <v>0</v>
      </c>
      <c r="V24" s="205">
        <f t="shared" ca="1" si="49"/>
        <v>0</v>
      </c>
      <c r="W24" s="205">
        <f t="shared" ca="1" si="49"/>
        <v>0</v>
      </c>
      <c r="X24" s="205">
        <f t="shared" ca="1" si="49"/>
        <v>0</v>
      </c>
      <c r="Y24" s="205">
        <f t="shared" ca="1" si="49"/>
        <v>0</v>
      </c>
      <c r="Z24" s="205">
        <f t="shared" ca="1" si="49"/>
        <v>0</v>
      </c>
      <c r="AA24" s="205">
        <f t="shared" ca="1" si="49"/>
        <v>0</v>
      </c>
      <c r="AB24" s="205">
        <f t="shared" ca="1" si="49"/>
        <v>0</v>
      </c>
      <c r="AC24" s="205">
        <f t="shared" ca="1" si="49"/>
        <v>0</v>
      </c>
      <c r="AD24" s="205">
        <f t="shared" ca="1" si="49"/>
        <v>0</v>
      </c>
      <c r="AE24" s="205">
        <f t="shared" ca="1" si="49"/>
        <v>0</v>
      </c>
      <c r="AF24" s="205">
        <f t="shared" ca="1" si="49"/>
        <v>5</v>
      </c>
      <c r="AG24" s="205">
        <f t="shared" ca="1" si="49"/>
        <v>5</v>
      </c>
      <c r="AH24" s="205">
        <f t="shared" ca="1" si="49"/>
        <v>5</v>
      </c>
      <c r="AI24" s="205">
        <f t="shared" ca="1" si="49"/>
        <v>5</v>
      </c>
      <c r="AJ24" s="205">
        <f t="shared" ca="1" si="49"/>
        <v>5</v>
      </c>
      <c r="AK24" s="205">
        <f t="shared" ca="1" si="49"/>
        <v>5</v>
      </c>
      <c r="AL24" s="205">
        <f t="shared" ca="1" si="49"/>
        <v>5</v>
      </c>
      <c r="AM24" s="205">
        <f t="shared" ca="1" si="49"/>
        <v>5</v>
      </c>
      <c r="AN24" s="205">
        <f t="shared" ca="1" si="49"/>
        <v>5</v>
      </c>
      <c r="AO24" s="205">
        <f t="shared" ca="1" si="49"/>
        <v>5</v>
      </c>
      <c r="AP24" s="205">
        <f t="shared" ca="1" si="49"/>
        <v>5</v>
      </c>
      <c r="AQ24" s="205">
        <f t="shared" ca="1" si="49"/>
        <v>5</v>
      </c>
      <c r="AR24" s="205">
        <f t="shared" ca="1" si="49"/>
        <v>5</v>
      </c>
      <c r="AS24" s="205">
        <f t="shared" ca="1" si="49"/>
        <v>5</v>
      </c>
      <c r="AT24" s="205">
        <f t="shared" ca="1" si="49"/>
        <v>5</v>
      </c>
      <c r="AU24" s="205">
        <f t="shared" ca="1" si="49"/>
        <v>5</v>
      </c>
      <c r="AV24" s="205">
        <f t="shared" ca="1" si="49"/>
        <v>5</v>
      </c>
      <c r="AW24" s="205">
        <f t="shared" ca="1" si="49"/>
        <v>5</v>
      </c>
      <c r="AX24" s="205">
        <f t="shared" ca="1" si="49"/>
        <v>5</v>
      </c>
      <c r="AY24" s="205">
        <f t="shared" ca="1" si="49"/>
        <v>658</v>
      </c>
      <c r="AZ24" s="205">
        <f t="shared" ca="1" si="49"/>
        <v>658</v>
      </c>
      <c r="BA24" s="205">
        <f t="shared" ca="1" si="49"/>
        <v>658</v>
      </c>
      <c r="BB24" s="205">
        <f t="shared" ca="1" si="49"/>
        <v>658</v>
      </c>
      <c r="BC24" s="205">
        <f t="shared" ca="1" si="49"/>
        <v>50</v>
      </c>
      <c r="BD24" s="205">
        <f t="shared" ca="1" si="49"/>
        <v>75</v>
      </c>
      <c r="BE24" s="205">
        <f t="shared" ca="1" si="49"/>
        <v>75</v>
      </c>
      <c r="BF24" s="205">
        <f t="shared" ca="1" si="49"/>
        <v>30</v>
      </c>
      <c r="BG24" s="205">
        <f t="shared" ca="1" si="49"/>
        <v>30</v>
      </c>
      <c r="BH24" s="205">
        <f t="shared" ca="1" si="49"/>
        <v>5</v>
      </c>
      <c r="BI24" s="205">
        <f t="shared" ca="1" si="49"/>
        <v>5</v>
      </c>
      <c r="BJ24" s="205">
        <f t="shared" ca="1" si="49"/>
        <v>0</v>
      </c>
      <c r="BK24" s="205">
        <f t="shared" ca="1" si="49"/>
        <v>0</v>
      </c>
      <c r="BL24" s="205">
        <f t="shared" ca="1" si="49"/>
        <v>0</v>
      </c>
      <c r="BM24" s="205">
        <f t="shared" ca="1" si="49"/>
        <v>0</v>
      </c>
      <c r="BN24" s="205">
        <f t="shared" ca="1" si="49"/>
        <v>0</v>
      </c>
      <c r="BO24" s="205">
        <f t="shared" ca="1" si="49"/>
        <v>0</v>
      </c>
      <c r="BP24" s="205">
        <f t="shared" ca="1" si="49"/>
        <v>0</v>
      </c>
      <c r="BQ24" s="205">
        <f t="shared" ca="1" si="49"/>
        <v>0</v>
      </c>
      <c r="BR24" s="205">
        <f t="shared" ca="1" si="49"/>
        <v>0</v>
      </c>
      <c r="BS24" s="205">
        <f t="shared" ca="1" si="49"/>
        <v>0</v>
      </c>
      <c r="BT24" s="205">
        <f t="shared" ca="1" si="49"/>
        <v>0</v>
      </c>
      <c r="BU24" s="205">
        <f t="shared" ca="1" si="49"/>
        <v>0</v>
      </c>
      <c r="BV24" s="205">
        <f t="shared" ca="1" si="49"/>
        <v>0</v>
      </c>
      <c r="BW24" s="205">
        <f t="shared" ca="1" si="49"/>
        <v>0</v>
      </c>
      <c r="BX24" s="205">
        <f t="shared" ca="1" si="49"/>
        <v>0</v>
      </c>
      <c r="BY24" s="205">
        <f t="shared" ca="1" si="49"/>
        <v>0</v>
      </c>
      <c r="BZ24" s="205">
        <f t="shared" ca="1" si="49"/>
        <v>0</v>
      </c>
      <c r="CA24" s="205">
        <f t="shared" ca="1" si="49"/>
        <v>0</v>
      </c>
      <c r="CB24" s="205">
        <f t="shared" ref="CB24:EM24" ca="1" si="50">SUM(CB19:CB23)</f>
        <v>0</v>
      </c>
      <c r="CC24" s="205">
        <f t="shared" ca="1" si="50"/>
        <v>0</v>
      </c>
      <c r="CD24" s="205">
        <f t="shared" ca="1" si="50"/>
        <v>0</v>
      </c>
      <c r="CE24" s="205">
        <f t="shared" ca="1" si="50"/>
        <v>0</v>
      </c>
      <c r="CF24" s="205">
        <f t="shared" ca="1" si="50"/>
        <v>0</v>
      </c>
      <c r="CG24" s="205">
        <f t="shared" ca="1" si="50"/>
        <v>0</v>
      </c>
      <c r="CH24" s="205">
        <f t="shared" ca="1" si="50"/>
        <v>0</v>
      </c>
      <c r="CI24" s="205">
        <f t="shared" ca="1" si="50"/>
        <v>0</v>
      </c>
      <c r="CJ24" s="205">
        <f t="shared" ca="1" si="50"/>
        <v>0</v>
      </c>
      <c r="CK24" s="205">
        <f t="shared" ca="1" si="50"/>
        <v>0</v>
      </c>
      <c r="CL24" s="205">
        <f t="shared" ca="1" si="50"/>
        <v>0</v>
      </c>
      <c r="CM24" s="205">
        <f t="shared" ca="1" si="50"/>
        <v>0</v>
      </c>
      <c r="CN24" s="205">
        <f t="shared" ca="1" si="50"/>
        <v>0</v>
      </c>
      <c r="CO24" s="205">
        <f t="shared" ca="1" si="50"/>
        <v>0</v>
      </c>
      <c r="CP24" s="205">
        <f t="shared" ca="1" si="50"/>
        <v>0</v>
      </c>
      <c r="CQ24" s="205">
        <f t="shared" ca="1" si="50"/>
        <v>0</v>
      </c>
      <c r="CR24" s="205">
        <f t="shared" ca="1" si="50"/>
        <v>0</v>
      </c>
      <c r="CS24" s="205">
        <f t="shared" ca="1" si="50"/>
        <v>0</v>
      </c>
      <c r="CT24" s="205">
        <f t="shared" ca="1" si="50"/>
        <v>0</v>
      </c>
      <c r="CU24" s="205">
        <f t="shared" ca="1" si="50"/>
        <v>0</v>
      </c>
      <c r="CV24" s="205">
        <f t="shared" ca="1" si="50"/>
        <v>0</v>
      </c>
      <c r="CW24" s="205">
        <f t="shared" ca="1" si="50"/>
        <v>0</v>
      </c>
      <c r="CX24" s="205">
        <f t="shared" ca="1" si="50"/>
        <v>0</v>
      </c>
      <c r="CY24" s="205">
        <f t="shared" ca="1" si="50"/>
        <v>0</v>
      </c>
      <c r="CZ24" s="205">
        <f t="shared" ca="1" si="50"/>
        <v>0</v>
      </c>
      <c r="DA24" s="205">
        <f t="shared" ca="1" si="50"/>
        <v>0</v>
      </c>
      <c r="DB24" s="205">
        <f t="shared" ca="1" si="50"/>
        <v>0</v>
      </c>
      <c r="DC24" s="205">
        <f t="shared" ca="1" si="50"/>
        <v>0</v>
      </c>
      <c r="DD24" s="205">
        <f t="shared" ca="1" si="50"/>
        <v>0</v>
      </c>
      <c r="DE24" s="205">
        <f t="shared" ca="1" si="50"/>
        <v>0</v>
      </c>
      <c r="DF24" s="205">
        <f t="shared" ca="1" si="50"/>
        <v>0</v>
      </c>
      <c r="DG24" s="205">
        <f t="shared" ca="1" si="50"/>
        <v>0</v>
      </c>
      <c r="DH24" s="205">
        <f t="shared" ca="1" si="50"/>
        <v>0</v>
      </c>
      <c r="DI24" s="205">
        <f t="shared" ca="1" si="50"/>
        <v>0</v>
      </c>
      <c r="DJ24" s="205">
        <f t="shared" ca="1" si="50"/>
        <v>0</v>
      </c>
      <c r="DK24" s="205">
        <f t="shared" ca="1" si="50"/>
        <v>0</v>
      </c>
      <c r="DL24" s="205">
        <f t="shared" ca="1" si="50"/>
        <v>0</v>
      </c>
      <c r="DM24" s="205">
        <f t="shared" ca="1" si="50"/>
        <v>0</v>
      </c>
      <c r="DN24" s="205">
        <f t="shared" ca="1" si="50"/>
        <v>0</v>
      </c>
      <c r="DO24" s="205">
        <f t="shared" ca="1" si="50"/>
        <v>0</v>
      </c>
      <c r="DP24" s="205">
        <f t="shared" ca="1" si="50"/>
        <v>0</v>
      </c>
      <c r="DQ24" s="205">
        <f t="shared" ca="1" si="50"/>
        <v>0</v>
      </c>
      <c r="DR24" s="205">
        <f t="shared" ca="1" si="50"/>
        <v>0</v>
      </c>
      <c r="DS24" s="205">
        <f t="shared" ca="1" si="50"/>
        <v>0</v>
      </c>
      <c r="DT24" s="205">
        <f t="shared" ca="1" si="50"/>
        <v>0</v>
      </c>
      <c r="DU24" s="205">
        <f t="shared" ca="1" si="50"/>
        <v>0</v>
      </c>
      <c r="DV24" s="205">
        <f t="shared" ca="1" si="50"/>
        <v>0</v>
      </c>
      <c r="DW24" s="205">
        <f t="shared" ca="1" si="50"/>
        <v>0</v>
      </c>
      <c r="DX24" s="205">
        <f t="shared" ca="1" si="50"/>
        <v>0</v>
      </c>
      <c r="DY24" s="205">
        <f t="shared" ca="1" si="50"/>
        <v>0</v>
      </c>
      <c r="DZ24" s="205">
        <f t="shared" ca="1" si="50"/>
        <v>0</v>
      </c>
      <c r="EA24" s="205">
        <f t="shared" ca="1" si="50"/>
        <v>0</v>
      </c>
      <c r="EB24" s="205">
        <f t="shared" ca="1" si="50"/>
        <v>0</v>
      </c>
      <c r="EC24" s="205">
        <f t="shared" ca="1" si="50"/>
        <v>0</v>
      </c>
      <c r="ED24" s="205">
        <f t="shared" ca="1" si="50"/>
        <v>0</v>
      </c>
      <c r="EE24" s="205">
        <f t="shared" ca="1" si="50"/>
        <v>0</v>
      </c>
      <c r="EF24" s="205">
        <f t="shared" ca="1" si="50"/>
        <v>0</v>
      </c>
      <c r="EG24" s="205">
        <f t="shared" ca="1" si="50"/>
        <v>0</v>
      </c>
      <c r="EH24" s="205">
        <f t="shared" ca="1" si="50"/>
        <v>0</v>
      </c>
      <c r="EI24" s="205">
        <f t="shared" ca="1" si="50"/>
        <v>0</v>
      </c>
      <c r="EJ24" s="205">
        <f t="shared" ca="1" si="50"/>
        <v>0</v>
      </c>
      <c r="EK24" s="205">
        <f t="shared" ca="1" si="50"/>
        <v>0</v>
      </c>
      <c r="EL24" s="205">
        <f t="shared" ca="1" si="50"/>
        <v>0</v>
      </c>
      <c r="EM24" s="205">
        <f t="shared" ca="1" si="50"/>
        <v>0</v>
      </c>
      <c r="EN24" s="205">
        <f t="shared" ref="EN24:EO24" ca="1" si="51">SUM(EN19:EN23)</f>
        <v>0</v>
      </c>
      <c r="EO24" s="205">
        <f t="shared" ca="1" si="51"/>
        <v>0</v>
      </c>
      <c r="EP24" s="206">
        <f ca="1">AVERAGE(M24:BK24)</f>
        <v>58.764705882352942</v>
      </c>
      <c r="EQ24" s="206">
        <f ca="1">MAX(M24:BK24)</f>
        <v>658</v>
      </c>
    </row>
    <row r="25" spans="1:147">
      <c r="B25" s="198"/>
      <c r="F25" s="53"/>
      <c r="G25" s="183"/>
      <c r="H25" s="53"/>
      <c r="I25" s="53"/>
      <c r="J25" s="53"/>
      <c r="K25" s="231"/>
      <c r="L25" s="231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  <c r="BA25" s="183"/>
      <c r="BB25" s="183"/>
      <c r="BC25" s="183"/>
      <c r="BD25" s="183"/>
      <c r="BE25" s="183"/>
      <c r="BF25" s="183"/>
      <c r="BG25" s="183"/>
      <c r="BH25" s="183"/>
      <c r="BI25" s="183"/>
      <c r="BJ25" s="183"/>
      <c r="BT25" s="119"/>
    </row>
    <row r="26" spans="1:147" s="180" customFormat="1" ht="27">
      <c r="A26" s="447" t="s">
        <v>63</v>
      </c>
      <c r="B26" s="450">
        <f>IF(LEN('BESS 11'!F142)=5,'BESS 11'!F142,(IF('BESS 11'!F142="Completed"," ",DATEVALUE(RIGHT('BESS 11'!F142,6)))))</f>
        <v>46243</v>
      </c>
      <c r="C26" s="450">
        <f>IF(LEN('BESS 11'!G142)=5,'BESS 11'!G142,(IF('BESS 11'!G142="Completed"," ",DATEVALUE(RIGHT('BESS 11'!G142,6)))))</f>
        <v>46248</v>
      </c>
      <c r="D26" s="455">
        <f>IF(LEN('BESS 11'!H142)=5,'BESS 11'!H142,(IF('BESS 11'!H142="Completed"," ",DATEVALUE(RIGHT('BESS 11'!H142,6)))))</f>
        <v>46251</v>
      </c>
      <c r="E26" s="226" t="s">
        <v>10</v>
      </c>
      <c r="F26" s="217" t="s">
        <v>58</v>
      </c>
      <c r="G26" s="217" t="s">
        <v>78</v>
      </c>
      <c r="H26" s="217" t="s">
        <v>79</v>
      </c>
      <c r="I26" s="217" t="s">
        <v>59</v>
      </c>
      <c r="J26" s="217"/>
      <c r="K26" s="216" t="s">
        <v>80</v>
      </c>
      <c r="L26" s="216" t="s">
        <v>62</v>
      </c>
      <c r="M26" s="218">
        <v>46195</v>
      </c>
      <c r="N26" s="218">
        <v>46196</v>
      </c>
      <c r="O26" s="218">
        <v>46197</v>
      </c>
      <c r="P26" s="218">
        <f t="shared" ref="P26:CA26" si="52">O26+1</f>
        <v>46198</v>
      </c>
      <c r="Q26" s="218">
        <f t="shared" si="52"/>
        <v>46199</v>
      </c>
      <c r="R26" s="218">
        <f t="shared" si="52"/>
        <v>46200</v>
      </c>
      <c r="S26" s="218">
        <f t="shared" si="52"/>
        <v>46201</v>
      </c>
      <c r="T26" s="218">
        <f t="shared" si="52"/>
        <v>46202</v>
      </c>
      <c r="U26" s="218">
        <f t="shared" si="52"/>
        <v>46203</v>
      </c>
      <c r="V26" s="218">
        <f t="shared" si="52"/>
        <v>46204</v>
      </c>
      <c r="W26" s="218">
        <f t="shared" si="52"/>
        <v>46205</v>
      </c>
      <c r="X26" s="218">
        <f t="shared" si="52"/>
        <v>46206</v>
      </c>
      <c r="Y26" s="218">
        <f t="shared" si="52"/>
        <v>46207</v>
      </c>
      <c r="Z26" s="218">
        <f t="shared" si="52"/>
        <v>46208</v>
      </c>
      <c r="AA26" s="218">
        <f t="shared" si="52"/>
        <v>46209</v>
      </c>
      <c r="AB26" s="218">
        <f t="shared" si="52"/>
        <v>46210</v>
      </c>
      <c r="AC26" s="218">
        <f t="shared" si="52"/>
        <v>46211</v>
      </c>
      <c r="AD26" s="218">
        <f t="shared" si="52"/>
        <v>46212</v>
      </c>
      <c r="AE26" s="218">
        <f t="shared" si="52"/>
        <v>46213</v>
      </c>
      <c r="AF26" s="218">
        <f t="shared" si="52"/>
        <v>46214</v>
      </c>
      <c r="AG26" s="218">
        <f t="shared" si="52"/>
        <v>46215</v>
      </c>
      <c r="AH26" s="218">
        <f t="shared" si="52"/>
        <v>46216</v>
      </c>
      <c r="AI26" s="218">
        <f t="shared" si="52"/>
        <v>46217</v>
      </c>
      <c r="AJ26" s="218">
        <f t="shared" si="52"/>
        <v>46218</v>
      </c>
      <c r="AK26" s="218">
        <f t="shared" si="52"/>
        <v>46219</v>
      </c>
      <c r="AL26" s="218">
        <f t="shared" si="52"/>
        <v>46220</v>
      </c>
      <c r="AM26" s="218">
        <f t="shared" si="52"/>
        <v>46221</v>
      </c>
      <c r="AN26" s="218">
        <f t="shared" si="52"/>
        <v>46222</v>
      </c>
      <c r="AO26" s="218">
        <f t="shared" si="52"/>
        <v>46223</v>
      </c>
      <c r="AP26" s="218">
        <f t="shared" si="52"/>
        <v>46224</v>
      </c>
      <c r="AQ26" s="218">
        <f t="shared" si="52"/>
        <v>46225</v>
      </c>
      <c r="AR26" s="218">
        <f t="shared" si="52"/>
        <v>46226</v>
      </c>
      <c r="AS26" s="218">
        <f t="shared" si="52"/>
        <v>46227</v>
      </c>
      <c r="AT26" s="218">
        <f t="shared" si="52"/>
        <v>46228</v>
      </c>
      <c r="AU26" s="218">
        <f t="shared" si="52"/>
        <v>46229</v>
      </c>
      <c r="AV26" s="218">
        <f t="shared" si="52"/>
        <v>46230</v>
      </c>
      <c r="AW26" s="218">
        <f t="shared" si="52"/>
        <v>46231</v>
      </c>
      <c r="AX26" s="218">
        <f t="shared" si="52"/>
        <v>46232</v>
      </c>
      <c r="AY26" s="218">
        <f t="shared" si="52"/>
        <v>46233</v>
      </c>
      <c r="AZ26" s="218">
        <f t="shared" si="52"/>
        <v>46234</v>
      </c>
      <c r="BA26" s="218">
        <f t="shared" si="52"/>
        <v>46235</v>
      </c>
      <c r="BB26" s="218">
        <f t="shared" si="52"/>
        <v>46236</v>
      </c>
      <c r="BC26" s="218">
        <f t="shared" si="52"/>
        <v>46237</v>
      </c>
      <c r="BD26" s="218">
        <f t="shared" si="52"/>
        <v>46238</v>
      </c>
      <c r="BE26" s="218">
        <f t="shared" si="52"/>
        <v>46239</v>
      </c>
      <c r="BF26" s="218">
        <f t="shared" si="52"/>
        <v>46240</v>
      </c>
      <c r="BG26" s="218">
        <f t="shared" si="52"/>
        <v>46241</v>
      </c>
      <c r="BH26" s="218">
        <f t="shared" si="52"/>
        <v>46242</v>
      </c>
      <c r="BI26" s="218">
        <f t="shared" si="52"/>
        <v>46243</v>
      </c>
      <c r="BJ26" s="218">
        <f t="shared" si="52"/>
        <v>46244</v>
      </c>
      <c r="BK26" s="218">
        <f t="shared" si="52"/>
        <v>46245</v>
      </c>
      <c r="BL26" s="218">
        <f t="shared" si="52"/>
        <v>46246</v>
      </c>
      <c r="BM26" s="218">
        <f t="shared" si="52"/>
        <v>46247</v>
      </c>
      <c r="BN26" s="218">
        <f t="shared" si="52"/>
        <v>46248</v>
      </c>
      <c r="BO26" s="218">
        <f t="shared" si="52"/>
        <v>46249</v>
      </c>
      <c r="BP26" s="218">
        <f t="shared" si="52"/>
        <v>46250</v>
      </c>
      <c r="BQ26" s="218">
        <f t="shared" si="52"/>
        <v>46251</v>
      </c>
      <c r="BR26" s="218">
        <f t="shared" si="52"/>
        <v>46252</v>
      </c>
      <c r="BS26" s="218">
        <f t="shared" si="52"/>
        <v>46253</v>
      </c>
      <c r="BT26" s="218">
        <f t="shared" si="52"/>
        <v>46254</v>
      </c>
      <c r="BU26" s="218">
        <f t="shared" si="52"/>
        <v>46255</v>
      </c>
      <c r="BV26" s="218">
        <f t="shared" si="52"/>
        <v>46256</v>
      </c>
      <c r="BW26" s="218">
        <f t="shared" si="52"/>
        <v>46257</v>
      </c>
      <c r="BX26" s="218">
        <f t="shared" si="52"/>
        <v>46258</v>
      </c>
      <c r="BY26" s="218">
        <f t="shared" si="52"/>
        <v>46259</v>
      </c>
      <c r="BZ26" s="218">
        <f t="shared" si="52"/>
        <v>46260</v>
      </c>
      <c r="CA26" s="218">
        <f t="shared" si="52"/>
        <v>46261</v>
      </c>
      <c r="CB26" s="218">
        <f t="shared" ref="CB26:EM26" si="53">CA26+1</f>
        <v>46262</v>
      </c>
      <c r="CC26" s="218">
        <f t="shared" si="53"/>
        <v>46263</v>
      </c>
      <c r="CD26" s="218">
        <f t="shared" si="53"/>
        <v>46264</v>
      </c>
      <c r="CE26" s="218">
        <f t="shared" si="53"/>
        <v>46265</v>
      </c>
      <c r="CF26" s="218">
        <f t="shared" si="53"/>
        <v>46266</v>
      </c>
      <c r="CG26" s="218">
        <f t="shared" si="53"/>
        <v>46267</v>
      </c>
      <c r="CH26" s="218">
        <f t="shared" si="53"/>
        <v>46268</v>
      </c>
      <c r="CI26" s="218">
        <f t="shared" si="53"/>
        <v>46269</v>
      </c>
      <c r="CJ26" s="218">
        <f t="shared" si="53"/>
        <v>46270</v>
      </c>
      <c r="CK26" s="218">
        <f t="shared" si="53"/>
        <v>46271</v>
      </c>
      <c r="CL26" s="218">
        <f t="shared" si="53"/>
        <v>46272</v>
      </c>
      <c r="CM26" s="218">
        <f t="shared" si="53"/>
        <v>46273</v>
      </c>
      <c r="CN26" s="218">
        <f t="shared" si="53"/>
        <v>46274</v>
      </c>
      <c r="CO26" s="218">
        <f t="shared" si="53"/>
        <v>46275</v>
      </c>
      <c r="CP26" s="218">
        <f t="shared" si="53"/>
        <v>46276</v>
      </c>
      <c r="CQ26" s="218">
        <f t="shared" si="53"/>
        <v>46277</v>
      </c>
      <c r="CR26" s="218">
        <f t="shared" si="53"/>
        <v>46278</v>
      </c>
      <c r="CS26" s="218">
        <f t="shared" si="53"/>
        <v>46279</v>
      </c>
      <c r="CT26" s="218">
        <f t="shared" si="53"/>
        <v>46280</v>
      </c>
      <c r="CU26" s="218">
        <f t="shared" si="53"/>
        <v>46281</v>
      </c>
      <c r="CV26" s="218">
        <f t="shared" si="53"/>
        <v>46282</v>
      </c>
      <c r="CW26" s="218">
        <f t="shared" si="53"/>
        <v>46283</v>
      </c>
      <c r="CX26" s="218">
        <f t="shared" si="53"/>
        <v>46284</v>
      </c>
      <c r="CY26" s="218">
        <f t="shared" si="53"/>
        <v>46285</v>
      </c>
      <c r="CZ26" s="218">
        <f t="shared" si="53"/>
        <v>46286</v>
      </c>
      <c r="DA26" s="218">
        <f t="shared" si="53"/>
        <v>46287</v>
      </c>
      <c r="DB26" s="218">
        <f t="shared" si="53"/>
        <v>46288</v>
      </c>
      <c r="DC26" s="218">
        <f t="shared" si="53"/>
        <v>46289</v>
      </c>
      <c r="DD26" s="218">
        <f t="shared" si="53"/>
        <v>46290</v>
      </c>
      <c r="DE26" s="218">
        <f t="shared" si="53"/>
        <v>46291</v>
      </c>
      <c r="DF26" s="218">
        <f t="shared" si="53"/>
        <v>46292</v>
      </c>
      <c r="DG26" s="218">
        <f t="shared" si="53"/>
        <v>46293</v>
      </c>
      <c r="DH26" s="218">
        <f t="shared" si="53"/>
        <v>46294</v>
      </c>
      <c r="DI26" s="218">
        <f t="shared" si="53"/>
        <v>46295</v>
      </c>
      <c r="DJ26" s="218">
        <f t="shared" si="53"/>
        <v>46296</v>
      </c>
      <c r="DK26" s="218">
        <f t="shared" si="53"/>
        <v>46297</v>
      </c>
      <c r="DL26" s="218">
        <f t="shared" si="53"/>
        <v>46298</v>
      </c>
      <c r="DM26" s="218">
        <f t="shared" si="53"/>
        <v>46299</v>
      </c>
      <c r="DN26" s="218">
        <f t="shared" si="53"/>
        <v>46300</v>
      </c>
      <c r="DO26" s="218">
        <f t="shared" si="53"/>
        <v>46301</v>
      </c>
      <c r="DP26" s="218">
        <f t="shared" si="53"/>
        <v>46302</v>
      </c>
      <c r="DQ26" s="218">
        <f t="shared" si="53"/>
        <v>46303</v>
      </c>
      <c r="DR26" s="218">
        <f t="shared" si="53"/>
        <v>46304</v>
      </c>
      <c r="DS26" s="218">
        <f t="shared" si="53"/>
        <v>46305</v>
      </c>
      <c r="DT26" s="218">
        <f t="shared" si="53"/>
        <v>46306</v>
      </c>
      <c r="DU26" s="218">
        <f t="shared" si="53"/>
        <v>46307</v>
      </c>
      <c r="DV26" s="218">
        <f t="shared" si="53"/>
        <v>46308</v>
      </c>
      <c r="DW26" s="218">
        <f t="shared" si="53"/>
        <v>46309</v>
      </c>
      <c r="DX26" s="218">
        <f t="shared" si="53"/>
        <v>46310</v>
      </c>
      <c r="DY26" s="218">
        <f t="shared" si="53"/>
        <v>46311</v>
      </c>
      <c r="DZ26" s="218">
        <f t="shared" si="53"/>
        <v>46312</v>
      </c>
      <c r="EA26" s="218">
        <f t="shared" si="53"/>
        <v>46313</v>
      </c>
      <c r="EB26" s="218">
        <f t="shared" si="53"/>
        <v>46314</v>
      </c>
      <c r="EC26" s="218">
        <f t="shared" si="53"/>
        <v>46315</v>
      </c>
      <c r="ED26" s="218">
        <f t="shared" si="53"/>
        <v>46316</v>
      </c>
      <c r="EE26" s="218">
        <f t="shared" si="53"/>
        <v>46317</v>
      </c>
      <c r="EF26" s="218">
        <f t="shared" si="53"/>
        <v>46318</v>
      </c>
      <c r="EG26" s="218">
        <f t="shared" si="53"/>
        <v>46319</v>
      </c>
      <c r="EH26" s="218">
        <f t="shared" si="53"/>
        <v>46320</v>
      </c>
      <c r="EI26" s="218">
        <f t="shared" si="53"/>
        <v>46321</v>
      </c>
      <c r="EJ26" s="218">
        <f t="shared" si="53"/>
        <v>46322</v>
      </c>
      <c r="EK26" s="218">
        <f t="shared" si="53"/>
        <v>46323</v>
      </c>
      <c r="EL26" s="218">
        <f t="shared" si="53"/>
        <v>46324</v>
      </c>
      <c r="EM26" s="218">
        <f t="shared" si="53"/>
        <v>46325</v>
      </c>
      <c r="EN26" s="218">
        <f t="shared" ref="EN26:EO26" si="54">EM26+1</f>
        <v>46326</v>
      </c>
      <c r="EO26" s="218">
        <f t="shared" si="54"/>
        <v>46327</v>
      </c>
    </row>
    <row r="27" spans="1:147">
      <c r="A27" s="448"/>
      <c r="B27" s="451"/>
      <c r="C27" s="451"/>
      <c r="D27" s="456"/>
      <c r="E27" s="185" t="s">
        <v>64</v>
      </c>
      <c r="F27" s="66">
        <f>SUM('BESS 11'!S155:S162,'BESS 11'!S164)</f>
        <v>4</v>
      </c>
      <c r="G27" s="182">
        <f ca="1">TODAY()</f>
        <v>46233</v>
      </c>
      <c r="H27" s="182">
        <f>MAX('BESS 11'!O155:O161,'BESS 11'!O164)</f>
        <v>46234</v>
      </c>
      <c r="I27" s="65">
        <f ca="1">H27-G27</f>
        <v>1</v>
      </c>
      <c r="J27" s="444">
        <f ca="1">K27*1.2</f>
        <v>109.66666666666666</v>
      </c>
      <c r="K27" s="444">
        <f ca="1">AVERAGEIF(M32:EO32,"&gt;0")</f>
        <v>91.388888888888886</v>
      </c>
      <c r="L27" s="444">
        <f ca="1">MAX(M32:EO32)</f>
        <v>232</v>
      </c>
      <c r="M27" s="65" t="str">
        <f t="shared" ref="M27:AB30" ca="1" si="55">IF(AND(M$2&gt;=$G27,M$2&lt;($G27+$I27)),ROUND($F27/$I27,0),"-")</f>
        <v>-</v>
      </c>
      <c r="N27" s="65" t="str">
        <f t="shared" ca="1" si="55"/>
        <v>-</v>
      </c>
      <c r="O27" s="65" t="str">
        <f t="shared" ca="1" si="55"/>
        <v>-</v>
      </c>
      <c r="P27" s="65" t="str">
        <f t="shared" ca="1" si="55"/>
        <v>-</v>
      </c>
      <c r="Q27" s="65" t="str">
        <f t="shared" ca="1" si="55"/>
        <v>-</v>
      </c>
      <c r="R27" s="65" t="str">
        <f t="shared" ca="1" si="55"/>
        <v>-</v>
      </c>
      <c r="S27" s="65" t="str">
        <f t="shared" ca="1" si="55"/>
        <v>-</v>
      </c>
      <c r="T27" s="65" t="str">
        <f t="shared" ca="1" si="55"/>
        <v>-</v>
      </c>
      <c r="U27" s="65" t="str">
        <f t="shared" ca="1" si="55"/>
        <v>-</v>
      </c>
      <c r="V27" s="65" t="str">
        <f t="shared" ca="1" si="55"/>
        <v>-</v>
      </c>
      <c r="W27" s="65" t="str">
        <f t="shared" ca="1" si="55"/>
        <v>-</v>
      </c>
      <c r="X27" s="65" t="str">
        <f t="shared" ca="1" si="55"/>
        <v>-</v>
      </c>
      <c r="Y27" s="65" t="str">
        <f t="shared" ca="1" si="55"/>
        <v>-</v>
      </c>
      <c r="Z27" s="65" t="str">
        <f t="shared" ca="1" si="55"/>
        <v>-</v>
      </c>
      <c r="AA27" s="65" t="str">
        <f t="shared" ca="1" si="55"/>
        <v>-</v>
      </c>
      <c r="AB27" s="65" t="str">
        <f t="shared" ca="1" si="55"/>
        <v>-</v>
      </c>
      <c r="AC27" s="65" t="str">
        <f t="shared" ref="AC27:AR30" ca="1" si="56">IF(AND(AC$2&gt;=$G27,AC$2&lt;($G27+$I27)),ROUND($F27/$I27,0),"-")</f>
        <v>-</v>
      </c>
      <c r="AD27" s="65" t="str">
        <f t="shared" ca="1" si="56"/>
        <v>-</v>
      </c>
      <c r="AE27" s="65" t="str">
        <f t="shared" ca="1" si="56"/>
        <v>-</v>
      </c>
      <c r="AF27" s="65" t="str">
        <f t="shared" ca="1" si="56"/>
        <v>-</v>
      </c>
      <c r="AG27" s="65" t="str">
        <f t="shared" ca="1" si="56"/>
        <v>-</v>
      </c>
      <c r="AH27" s="65" t="str">
        <f t="shared" ca="1" si="56"/>
        <v>-</v>
      </c>
      <c r="AI27" s="65" t="str">
        <f t="shared" ca="1" si="56"/>
        <v>-</v>
      </c>
      <c r="AJ27" s="65" t="str">
        <f t="shared" ca="1" si="56"/>
        <v>-</v>
      </c>
      <c r="AK27" s="65" t="str">
        <f t="shared" ca="1" si="56"/>
        <v>-</v>
      </c>
      <c r="AL27" s="65" t="str">
        <f t="shared" ca="1" si="56"/>
        <v>-</v>
      </c>
      <c r="AM27" s="65" t="str">
        <f t="shared" ca="1" si="56"/>
        <v>-</v>
      </c>
      <c r="AN27" s="65" t="str">
        <f t="shared" ca="1" si="56"/>
        <v>-</v>
      </c>
      <c r="AO27" s="65" t="str">
        <f t="shared" ca="1" si="56"/>
        <v>-</v>
      </c>
      <c r="AP27" s="65" t="str">
        <f t="shared" ca="1" si="56"/>
        <v>-</v>
      </c>
      <c r="AQ27" s="65" t="str">
        <f t="shared" ca="1" si="56"/>
        <v>-</v>
      </c>
      <c r="AR27" s="65" t="str">
        <f t="shared" ca="1" si="56"/>
        <v>-</v>
      </c>
      <c r="AS27" s="65" t="str">
        <f t="shared" ref="AS27:BH30" ca="1" si="57">IF(AND(AS$2&gt;=$G27,AS$2&lt;($G27+$I27)),ROUND($F27/$I27,0),"-")</f>
        <v>-</v>
      </c>
      <c r="AT27" s="65" t="str">
        <f t="shared" ca="1" si="57"/>
        <v>-</v>
      </c>
      <c r="AU27" s="65" t="str">
        <f t="shared" ca="1" si="57"/>
        <v>-</v>
      </c>
      <c r="AV27" s="65" t="str">
        <f t="shared" ca="1" si="57"/>
        <v>-</v>
      </c>
      <c r="AW27" s="65" t="str">
        <f t="shared" ca="1" si="57"/>
        <v>-</v>
      </c>
      <c r="AX27" s="65" t="str">
        <f t="shared" ca="1" si="57"/>
        <v>-</v>
      </c>
      <c r="AY27" s="65">
        <f t="shared" ca="1" si="57"/>
        <v>4</v>
      </c>
      <c r="AZ27" s="65" t="str">
        <f t="shared" ca="1" si="57"/>
        <v>-</v>
      </c>
      <c r="BA27" s="65" t="str">
        <f t="shared" ca="1" si="57"/>
        <v>-</v>
      </c>
      <c r="BB27" s="65" t="str">
        <f t="shared" ca="1" si="57"/>
        <v>-</v>
      </c>
      <c r="BC27" s="65" t="str">
        <f t="shared" ca="1" si="57"/>
        <v>-</v>
      </c>
      <c r="BD27" s="65" t="str">
        <f t="shared" ca="1" si="57"/>
        <v>-</v>
      </c>
      <c r="BE27" s="65" t="str">
        <f t="shared" ca="1" si="57"/>
        <v>-</v>
      </c>
      <c r="BF27" s="65" t="str">
        <f t="shared" ca="1" si="57"/>
        <v>-</v>
      </c>
      <c r="BG27" s="65" t="str">
        <f t="shared" ca="1" si="57"/>
        <v>-</v>
      </c>
      <c r="BH27" s="65" t="str">
        <f t="shared" ca="1" si="57"/>
        <v>-</v>
      </c>
      <c r="BI27" s="65" t="str">
        <f t="shared" ref="BI27:BX30" ca="1" si="58">IF(AND(BI$2&gt;=$G27,BI$2&lt;($G27+$I27)),ROUND($F27/$I27,0),"-")</f>
        <v>-</v>
      </c>
      <c r="BJ27" s="65" t="str">
        <f t="shared" ca="1" si="58"/>
        <v>-</v>
      </c>
      <c r="BK27" s="65" t="str">
        <f t="shared" ca="1" si="58"/>
        <v>-</v>
      </c>
      <c r="BL27" s="65" t="str">
        <f t="shared" ca="1" si="58"/>
        <v>-</v>
      </c>
      <c r="BM27" s="65" t="str">
        <f t="shared" ca="1" si="58"/>
        <v>-</v>
      </c>
      <c r="BN27" s="65" t="str">
        <f t="shared" ca="1" si="58"/>
        <v>-</v>
      </c>
      <c r="BO27" s="65" t="str">
        <f t="shared" ca="1" si="58"/>
        <v>-</v>
      </c>
      <c r="BP27" s="65" t="str">
        <f t="shared" ca="1" si="58"/>
        <v>-</v>
      </c>
      <c r="BQ27" s="65" t="str">
        <f t="shared" ca="1" si="58"/>
        <v>-</v>
      </c>
      <c r="BR27" s="65" t="str">
        <f t="shared" ca="1" si="58"/>
        <v>-</v>
      </c>
      <c r="BS27" s="65" t="str">
        <f t="shared" ca="1" si="58"/>
        <v>-</v>
      </c>
      <c r="BT27" s="65" t="str">
        <f t="shared" ca="1" si="58"/>
        <v>-</v>
      </c>
      <c r="BU27" s="65" t="str">
        <f t="shared" ca="1" si="58"/>
        <v>-</v>
      </c>
      <c r="BV27" s="65" t="str">
        <f t="shared" ca="1" si="58"/>
        <v>-</v>
      </c>
      <c r="BW27" s="65" t="str">
        <f t="shared" ca="1" si="58"/>
        <v>-</v>
      </c>
      <c r="BX27" s="65" t="str">
        <f t="shared" ca="1" si="58"/>
        <v>-</v>
      </c>
      <c r="BY27" s="65" t="str">
        <f t="shared" ref="BY27:CN30" ca="1" si="59">IF(AND(BY$2&gt;=$G27,BY$2&lt;($G27+$I27)),ROUND($F27/$I27,0),"-")</f>
        <v>-</v>
      </c>
      <c r="BZ27" s="65" t="str">
        <f t="shared" ca="1" si="59"/>
        <v>-</v>
      </c>
      <c r="CA27" s="65" t="str">
        <f t="shared" ca="1" si="59"/>
        <v>-</v>
      </c>
      <c r="CB27" s="65" t="str">
        <f t="shared" ca="1" si="59"/>
        <v>-</v>
      </c>
      <c r="CC27" s="65" t="str">
        <f t="shared" ca="1" si="59"/>
        <v>-</v>
      </c>
      <c r="CD27" s="65" t="str">
        <f t="shared" ca="1" si="59"/>
        <v>-</v>
      </c>
      <c r="CE27" s="65" t="str">
        <f t="shared" ca="1" si="59"/>
        <v>-</v>
      </c>
      <c r="CF27" s="65" t="str">
        <f t="shared" ca="1" si="59"/>
        <v>-</v>
      </c>
      <c r="CG27" s="65" t="str">
        <f t="shared" ca="1" si="59"/>
        <v>-</v>
      </c>
      <c r="CH27" s="65" t="str">
        <f t="shared" ca="1" si="59"/>
        <v>-</v>
      </c>
      <c r="CI27" s="65" t="str">
        <f t="shared" ca="1" si="59"/>
        <v>-</v>
      </c>
      <c r="CJ27" s="65" t="str">
        <f t="shared" ca="1" si="59"/>
        <v>-</v>
      </c>
      <c r="CK27" s="65" t="str">
        <f t="shared" ca="1" si="59"/>
        <v>-</v>
      </c>
      <c r="CL27" s="65" t="str">
        <f t="shared" ca="1" si="59"/>
        <v>-</v>
      </c>
      <c r="CM27" s="65" t="str">
        <f t="shared" ca="1" si="59"/>
        <v>-</v>
      </c>
      <c r="CN27" s="65" t="str">
        <f t="shared" ca="1" si="59"/>
        <v>-</v>
      </c>
      <c r="CO27" s="65" t="str">
        <f t="shared" ref="CO27:DD30" ca="1" si="60">IF(AND(CO$2&gt;=$G27,CO$2&lt;($G27+$I27)),ROUND($F27/$I27,0),"-")</f>
        <v>-</v>
      </c>
      <c r="CP27" s="65" t="str">
        <f t="shared" ca="1" si="60"/>
        <v>-</v>
      </c>
      <c r="CQ27" s="65" t="str">
        <f t="shared" ca="1" si="60"/>
        <v>-</v>
      </c>
      <c r="CR27" s="65" t="str">
        <f t="shared" ca="1" si="60"/>
        <v>-</v>
      </c>
      <c r="CS27" s="65" t="str">
        <f t="shared" ca="1" si="60"/>
        <v>-</v>
      </c>
      <c r="CT27" s="65" t="str">
        <f t="shared" ca="1" si="60"/>
        <v>-</v>
      </c>
      <c r="CU27" s="65" t="str">
        <f t="shared" ca="1" si="60"/>
        <v>-</v>
      </c>
      <c r="CV27" s="65" t="str">
        <f t="shared" ca="1" si="60"/>
        <v>-</v>
      </c>
      <c r="CW27" s="65" t="str">
        <f t="shared" ca="1" si="60"/>
        <v>-</v>
      </c>
      <c r="CX27" s="65" t="str">
        <f t="shared" ca="1" si="60"/>
        <v>-</v>
      </c>
      <c r="CY27" s="65" t="str">
        <f t="shared" ca="1" si="60"/>
        <v>-</v>
      </c>
      <c r="CZ27" s="65" t="str">
        <f t="shared" ca="1" si="60"/>
        <v>-</v>
      </c>
      <c r="DA27" s="65" t="str">
        <f t="shared" ca="1" si="60"/>
        <v>-</v>
      </c>
      <c r="DB27" s="65" t="str">
        <f t="shared" ca="1" si="60"/>
        <v>-</v>
      </c>
      <c r="DC27" s="65" t="str">
        <f t="shared" ca="1" si="60"/>
        <v>-</v>
      </c>
      <c r="DD27" s="65" t="str">
        <f t="shared" ca="1" si="60"/>
        <v>-</v>
      </c>
      <c r="DE27" s="65" t="str">
        <f t="shared" ref="DE27:DT30" ca="1" si="61">IF(AND(DE$2&gt;=$G27,DE$2&lt;($G27+$I27)),ROUND($F27/$I27,0),"-")</f>
        <v>-</v>
      </c>
      <c r="DF27" s="65" t="str">
        <f t="shared" ca="1" si="61"/>
        <v>-</v>
      </c>
      <c r="DG27" s="65" t="str">
        <f t="shared" ca="1" si="61"/>
        <v>-</v>
      </c>
      <c r="DH27" s="65" t="str">
        <f t="shared" ca="1" si="61"/>
        <v>-</v>
      </c>
      <c r="DI27" s="65" t="str">
        <f t="shared" ca="1" si="61"/>
        <v>-</v>
      </c>
      <c r="DJ27" s="65" t="str">
        <f t="shared" ca="1" si="61"/>
        <v>-</v>
      </c>
      <c r="DK27" s="65" t="str">
        <f t="shared" ca="1" si="61"/>
        <v>-</v>
      </c>
      <c r="DL27" s="65" t="str">
        <f t="shared" ca="1" si="61"/>
        <v>-</v>
      </c>
      <c r="DM27" s="65" t="str">
        <f t="shared" ca="1" si="61"/>
        <v>-</v>
      </c>
      <c r="DN27" s="65" t="str">
        <f t="shared" ca="1" si="61"/>
        <v>-</v>
      </c>
      <c r="DO27" s="65" t="str">
        <f t="shared" ca="1" si="61"/>
        <v>-</v>
      </c>
      <c r="DP27" s="65" t="str">
        <f t="shared" ca="1" si="61"/>
        <v>-</v>
      </c>
      <c r="DQ27" s="65" t="str">
        <f t="shared" ca="1" si="61"/>
        <v>-</v>
      </c>
      <c r="DR27" s="65" t="str">
        <f t="shared" ca="1" si="61"/>
        <v>-</v>
      </c>
      <c r="DS27" s="65" t="str">
        <f t="shared" ca="1" si="61"/>
        <v>-</v>
      </c>
      <c r="DT27" s="65" t="str">
        <f t="shared" ca="1" si="61"/>
        <v>-</v>
      </c>
      <c r="DU27" s="65" t="str">
        <f t="shared" ref="DU27:EJ30" ca="1" si="62">IF(AND(DU$2&gt;=$G27,DU$2&lt;($G27+$I27)),ROUND($F27/$I27,0),"-")</f>
        <v>-</v>
      </c>
      <c r="DV27" s="65" t="str">
        <f t="shared" ca="1" si="62"/>
        <v>-</v>
      </c>
      <c r="DW27" s="65" t="str">
        <f t="shared" ca="1" si="62"/>
        <v>-</v>
      </c>
      <c r="DX27" s="65" t="str">
        <f t="shared" ca="1" si="62"/>
        <v>-</v>
      </c>
      <c r="DY27" s="65" t="str">
        <f t="shared" ca="1" si="62"/>
        <v>-</v>
      </c>
      <c r="DZ27" s="65" t="str">
        <f t="shared" ca="1" si="62"/>
        <v>-</v>
      </c>
      <c r="EA27" s="65" t="str">
        <f t="shared" ca="1" si="62"/>
        <v>-</v>
      </c>
      <c r="EB27" s="65" t="str">
        <f t="shared" ca="1" si="62"/>
        <v>-</v>
      </c>
      <c r="EC27" s="65" t="str">
        <f t="shared" ca="1" si="62"/>
        <v>-</v>
      </c>
      <c r="ED27" s="65" t="str">
        <f t="shared" ca="1" si="62"/>
        <v>-</v>
      </c>
      <c r="EE27" s="65" t="str">
        <f t="shared" ca="1" si="62"/>
        <v>-</v>
      </c>
      <c r="EF27" s="65" t="str">
        <f t="shared" ca="1" si="62"/>
        <v>-</v>
      </c>
      <c r="EG27" s="65" t="str">
        <f t="shared" ca="1" si="62"/>
        <v>-</v>
      </c>
      <c r="EH27" s="65" t="str">
        <f t="shared" ca="1" si="62"/>
        <v>-</v>
      </c>
      <c r="EI27" s="65" t="str">
        <f t="shared" ca="1" si="62"/>
        <v>-</v>
      </c>
      <c r="EJ27" s="65" t="str">
        <f t="shared" ca="1" si="62"/>
        <v>-</v>
      </c>
      <c r="EK27" s="65" t="str">
        <f t="shared" ref="EK27:EO30" ca="1" si="63">IF(AND(EK$2&gt;=$G27,EK$2&lt;($G27+$I27)),ROUND($F27/$I27,0),"-")</f>
        <v>-</v>
      </c>
      <c r="EL27" s="65" t="str">
        <f t="shared" ca="1" si="63"/>
        <v>-</v>
      </c>
      <c r="EM27" s="65" t="str">
        <f t="shared" ca="1" si="63"/>
        <v>-</v>
      </c>
      <c r="EN27" s="65" t="str">
        <f t="shared" ca="1" si="63"/>
        <v>-</v>
      </c>
      <c r="EO27" s="65" t="str">
        <f t="shared" ca="1" si="63"/>
        <v>-</v>
      </c>
    </row>
    <row r="28" spans="1:147">
      <c r="A28" s="448"/>
      <c r="B28" s="451"/>
      <c r="C28" s="451"/>
      <c r="D28" s="456"/>
      <c r="E28" s="185" t="s">
        <v>65</v>
      </c>
      <c r="F28" s="66">
        <f>SUM('BESS 11'!S165,'BESS 11'!S167:S168,'BESS 11'!S171:S173)</f>
        <v>277.83000000000004</v>
      </c>
      <c r="G28" s="182">
        <f ca="1">TODAY()</f>
        <v>46233</v>
      </c>
      <c r="H28" s="182">
        <f>MAX('BESS 11'!O165,'BESS 11'!O167:O168,'BESS 11'!O171:O173)</f>
        <v>46237</v>
      </c>
      <c r="I28" s="65">
        <f ca="1">H28-G28</f>
        <v>4</v>
      </c>
      <c r="J28" s="453"/>
      <c r="K28" s="453"/>
      <c r="L28" s="445"/>
      <c r="M28" s="65" t="str">
        <f t="shared" ca="1" si="55"/>
        <v>-</v>
      </c>
      <c r="N28" s="65" t="str">
        <f t="shared" ca="1" si="55"/>
        <v>-</v>
      </c>
      <c r="O28" s="65" t="str">
        <f t="shared" ca="1" si="55"/>
        <v>-</v>
      </c>
      <c r="P28" s="65" t="str">
        <f t="shared" ca="1" si="55"/>
        <v>-</v>
      </c>
      <c r="Q28" s="65" t="str">
        <f t="shared" ca="1" si="55"/>
        <v>-</v>
      </c>
      <c r="R28" s="65" t="str">
        <f t="shared" ca="1" si="55"/>
        <v>-</v>
      </c>
      <c r="S28" s="65" t="str">
        <f t="shared" ca="1" si="55"/>
        <v>-</v>
      </c>
      <c r="T28" s="65" t="str">
        <f t="shared" ca="1" si="55"/>
        <v>-</v>
      </c>
      <c r="U28" s="65" t="str">
        <f t="shared" ca="1" si="55"/>
        <v>-</v>
      </c>
      <c r="V28" s="65" t="str">
        <f t="shared" ca="1" si="55"/>
        <v>-</v>
      </c>
      <c r="W28" s="65" t="str">
        <f t="shared" ca="1" si="55"/>
        <v>-</v>
      </c>
      <c r="X28" s="65" t="str">
        <f t="shared" ca="1" si="55"/>
        <v>-</v>
      </c>
      <c r="Y28" s="65" t="str">
        <f t="shared" ca="1" si="55"/>
        <v>-</v>
      </c>
      <c r="Z28" s="65" t="str">
        <f t="shared" ca="1" si="55"/>
        <v>-</v>
      </c>
      <c r="AA28" s="65" t="str">
        <f t="shared" ca="1" si="55"/>
        <v>-</v>
      </c>
      <c r="AB28" s="65" t="str">
        <f t="shared" ca="1" si="55"/>
        <v>-</v>
      </c>
      <c r="AC28" s="65" t="str">
        <f t="shared" ca="1" si="56"/>
        <v>-</v>
      </c>
      <c r="AD28" s="65" t="str">
        <f t="shared" ca="1" si="56"/>
        <v>-</v>
      </c>
      <c r="AE28" s="65" t="str">
        <f t="shared" ca="1" si="56"/>
        <v>-</v>
      </c>
      <c r="AF28" s="65" t="str">
        <f t="shared" ca="1" si="56"/>
        <v>-</v>
      </c>
      <c r="AG28" s="65" t="str">
        <f t="shared" ca="1" si="56"/>
        <v>-</v>
      </c>
      <c r="AH28" s="65" t="str">
        <f t="shared" ca="1" si="56"/>
        <v>-</v>
      </c>
      <c r="AI28" s="65" t="str">
        <f t="shared" ca="1" si="56"/>
        <v>-</v>
      </c>
      <c r="AJ28" s="65" t="str">
        <f t="shared" ca="1" si="56"/>
        <v>-</v>
      </c>
      <c r="AK28" s="65" t="str">
        <f t="shared" ca="1" si="56"/>
        <v>-</v>
      </c>
      <c r="AL28" s="65" t="str">
        <f t="shared" ca="1" si="56"/>
        <v>-</v>
      </c>
      <c r="AM28" s="65" t="str">
        <f t="shared" ca="1" si="56"/>
        <v>-</v>
      </c>
      <c r="AN28" s="65" t="str">
        <f t="shared" ca="1" si="56"/>
        <v>-</v>
      </c>
      <c r="AO28" s="65" t="str">
        <f t="shared" ca="1" si="56"/>
        <v>-</v>
      </c>
      <c r="AP28" s="65" t="str">
        <f t="shared" ca="1" si="56"/>
        <v>-</v>
      </c>
      <c r="AQ28" s="65" t="str">
        <f t="shared" ca="1" si="56"/>
        <v>-</v>
      </c>
      <c r="AR28" s="65" t="str">
        <f t="shared" ca="1" si="56"/>
        <v>-</v>
      </c>
      <c r="AS28" s="65" t="str">
        <f t="shared" ca="1" si="57"/>
        <v>-</v>
      </c>
      <c r="AT28" s="65" t="str">
        <f t="shared" ca="1" si="57"/>
        <v>-</v>
      </c>
      <c r="AU28" s="65" t="str">
        <f t="shared" ca="1" si="57"/>
        <v>-</v>
      </c>
      <c r="AV28" s="65" t="str">
        <f t="shared" ca="1" si="57"/>
        <v>-</v>
      </c>
      <c r="AW28" s="65" t="str">
        <f t="shared" ca="1" si="57"/>
        <v>-</v>
      </c>
      <c r="AX28" s="65" t="str">
        <f t="shared" ca="1" si="57"/>
        <v>-</v>
      </c>
      <c r="AY28" s="65">
        <f t="shared" ca="1" si="57"/>
        <v>69</v>
      </c>
      <c r="AZ28" s="65">
        <f t="shared" ca="1" si="57"/>
        <v>69</v>
      </c>
      <c r="BA28" s="65">
        <f t="shared" ca="1" si="57"/>
        <v>69</v>
      </c>
      <c r="BB28" s="65">
        <f t="shared" ca="1" si="57"/>
        <v>69</v>
      </c>
      <c r="BC28" s="65" t="str">
        <f t="shared" ca="1" si="57"/>
        <v>-</v>
      </c>
      <c r="BD28" s="65" t="str">
        <f t="shared" ca="1" si="57"/>
        <v>-</v>
      </c>
      <c r="BE28" s="65" t="str">
        <f t="shared" ca="1" si="57"/>
        <v>-</v>
      </c>
      <c r="BF28" s="65" t="str">
        <f t="shared" ca="1" si="57"/>
        <v>-</v>
      </c>
      <c r="BG28" s="65" t="str">
        <f t="shared" ca="1" si="57"/>
        <v>-</v>
      </c>
      <c r="BH28" s="65" t="str">
        <f t="shared" ca="1" si="57"/>
        <v>-</v>
      </c>
      <c r="BI28" s="65" t="str">
        <f t="shared" ca="1" si="58"/>
        <v>-</v>
      </c>
      <c r="BJ28" s="65" t="str">
        <f t="shared" ca="1" si="58"/>
        <v>-</v>
      </c>
      <c r="BK28" s="65" t="str">
        <f t="shared" ca="1" si="58"/>
        <v>-</v>
      </c>
      <c r="BL28" s="65" t="str">
        <f t="shared" ca="1" si="58"/>
        <v>-</v>
      </c>
      <c r="BM28" s="65" t="str">
        <f t="shared" ca="1" si="58"/>
        <v>-</v>
      </c>
      <c r="BN28" s="65" t="str">
        <f t="shared" ca="1" si="58"/>
        <v>-</v>
      </c>
      <c r="BO28" s="65" t="str">
        <f t="shared" ca="1" si="58"/>
        <v>-</v>
      </c>
      <c r="BP28" s="65" t="str">
        <f t="shared" ca="1" si="58"/>
        <v>-</v>
      </c>
      <c r="BQ28" s="65" t="str">
        <f t="shared" ca="1" si="58"/>
        <v>-</v>
      </c>
      <c r="BR28" s="65" t="str">
        <f t="shared" ca="1" si="58"/>
        <v>-</v>
      </c>
      <c r="BS28" s="65" t="str">
        <f t="shared" ca="1" si="58"/>
        <v>-</v>
      </c>
      <c r="BT28" s="65" t="str">
        <f t="shared" ca="1" si="58"/>
        <v>-</v>
      </c>
      <c r="BU28" s="65" t="str">
        <f t="shared" ca="1" si="58"/>
        <v>-</v>
      </c>
      <c r="BV28" s="65" t="str">
        <f t="shared" ca="1" si="58"/>
        <v>-</v>
      </c>
      <c r="BW28" s="65" t="str">
        <f t="shared" ca="1" si="58"/>
        <v>-</v>
      </c>
      <c r="BX28" s="65" t="str">
        <f t="shared" ca="1" si="58"/>
        <v>-</v>
      </c>
      <c r="BY28" s="65" t="str">
        <f t="shared" ca="1" si="59"/>
        <v>-</v>
      </c>
      <c r="BZ28" s="65" t="str">
        <f t="shared" ca="1" si="59"/>
        <v>-</v>
      </c>
      <c r="CA28" s="65" t="str">
        <f t="shared" ca="1" si="59"/>
        <v>-</v>
      </c>
      <c r="CB28" s="65" t="str">
        <f t="shared" ca="1" si="59"/>
        <v>-</v>
      </c>
      <c r="CC28" s="65" t="str">
        <f t="shared" ca="1" si="59"/>
        <v>-</v>
      </c>
      <c r="CD28" s="65" t="str">
        <f t="shared" ca="1" si="59"/>
        <v>-</v>
      </c>
      <c r="CE28" s="65" t="str">
        <f t="shared" ca="1" si="59"/>
        <v>-</v>
      </c>
      <c r="CF28" s="65" t="str">
        <f t="shared" ca="1" si="59"/>
        <v>-</v>
      </c>
      <c r="CG28" s="65" t="str">
        <f t="shared" ca="1" si="59"/>
        <v>-</v>
      </c>
      <c r="CH28" s="65" t="str">
        <f t="shared" ca="1" si="59"/>
        <v>-</v>
      </c>
      <c r="CI28" s="65" t="str">
        <f t="shared" ca="1" si="59"/>
        <v>-</v>
      </c>
      <c r="CJ28" s="65" t="str">
        <f t="shared" ca="1" si="59"/>
        <v>-</v>
      </c>
      <c r="CK28" s="65" t="str">
        <f t="shared" ca="1" si="59"/>
        <v>-</v>
      </c>
      <c r="CL28" s="65" t="str">
        <f t="shared" ca="1" si="59"/>
        <v>-</v>
      </c>
      <c r="CM28" s="65" t="str">
        <f t="shared" ca="1" si="59"/>
        <v>-</v>
      </c>
      <c r="CN28" s="65" t="str">
        <f t="shared" ca="1" si="59"/>
        <v>-</v>
      </c>
      <c r="CO28" s="65" t="str">
        <f t="shared" ca="1" si="60"/>
        <v>-</v>
      </c>
      <c r="CP28" s="65" t="str">
        <f t="shared" ca="1" si="60"/>
        <v>-</v>
      </c>
      <c r="CQ28" s="65" t="str">
        <f t="shared" ca="1" si="60"/>
        <v>-</v>
      </c>
      <c r="CR28" s="65" t="str">
        <f t="shared" ca="1" si="60"/>
        <v>-</v>
      </c>
      <c r="CS28" s="65" t="str">
        <f t="shared" ca="1" si="60"/>
        <v>-</v>
      </c>
      <c r="CT28" s="65" t="str">
        <f t="shared" ca="1" si="60"/>
        <v>-</v>
      </c>
      <c r="CU28" s="65" t="str">
        <f t="shared" ca="1" si="60"/>
        <v>-</v>
      </c>
      <c r="CV28" s="65" t="str">
        <f t="shared" ca="1" si="60"/>
        <v>-</v>
      </c>
      <c r="CW28" s="65" t="str">
        <f t="shared" ca="1" si="60"/>
        <v>-</v>
      </c>
      <c r="CX28" s="65" t="str">
        <f t="shared" ca="1" si="60"/>
        <v>-</v>
      </c>
      <c r="CY28" s="65" t="str">
        <f t="shared" ca="1" si="60"/>
        <v>-</v>
      </c>
      <c r="CZ28" s="65" t="str">
        <f t="shared" ca="1" si="60"/>
        <v>-</v>
      </c>
      <c r="DA28" s="65" t="str">
        <f t="shared" ca="1" si="60"/>
        <v>-</v>
      </c>
      <c r="DB28" s="65" t="str">
        <f t="shared" ca="1" si="60"/>
        <v>-</v>
      </c>
      <c r="DC28" s="65" t="str">
        <f t="shared" ca="1" si="60"/>
        <v>-</v>
      </c>
      <c r="DD28" s="65" t="str">
        <f t="shared" ca="1" si="60"/>
        <v>-</v>
      </c>
      <c r="DE28" s="65" t="str">
        <f t="shared" ca="1" si="61"/>
        <v>-</v>
      </c>
      <c r="DF28" s="65" t="str">
        <f t="shared" ca="1" si="61"/>
        <v>-</v>
      </c>
      <c r="DG28" s="65" t="str">
        <f t="shared" ca="1" si="61"/>
        <v>-</v>
      </c>
      <c r="DH28" s="65" t="str">
        <f t="shared" ca="1" si="61"/>
        <v>-</v>
      </c>
      <c r="DI28" s="65" t="str">
        <f t="shared" ca="1" si="61"/>
        <v>-</v>
      </c>
      <c r="DJ28" s="65" t="str">
        <f t="shared" ca="1" si="61"/>
        <v>-</v>
      </c>
      <c r="DK28" s="65" t="str">
        <f t="shared" ca="1" si="61"/>
        <v>-</v>
      </c>
      <c r="DL28" s="65" t="str">
        <f t="shared" ca="1" si="61"/>
        <v>-</v>
      </c>
      <c r="DM28" s="65" t="str">
        <f t="shared" ca="1" si="61"/>
        <v>-</v>
      </c>
      <c r="DN28" s="65" t="str">
        <f t="shared" ca="1" si="61"/>
        <v>-</v>
      </c>
      <c r="DO28" s="65" t="str">
        <f t="shared" ca="1" si="61"/>
        <v>-</v>
      </c>
      <c r="DP28" s="65" t="str">
        <f t="shared" ca="1" si="61"/>
        <v>-</v>
      </c>
      <c r="DQ28" s="65" t="str">
        <f t="shared" ca="1" si="61"/>
        <v>-</v>
      </c>
      <c r="DR28" s="65" t="str">
        <f t="shared" ca="1" si="61"/>
        <v>-</v>
      </c>
      <c r="DS28" s="65" t="str">
        <f t="shared" ca="1" si="61"/>
        <v>-</v>
      </c>
      <c r="DT28" s="65" t="str">
        <f t="shared" ca="1" si="61"/>
        <v>-</v>
      </c>
      <c r="DU28" s="65" t="str">
        <f t="shared" ca="1" si="62"/>
        <v>-</v>
      </c>
      <c r="DV28" s="65" t="str">
        <f t="shared" ca="1" si="62"/>
        <v>-</v>
      </c>
      <c r="DW28" s="65" t="str">
        <f t="shared" ca="1" si="62"/>
        <v>-</v>
      </c>
      <c r="DX28" s="65" t="str">
        <f t="shared" ca="1" si="62"/>
        <v>-</v>
      </c>
      <c r="DY28" s="65" t="str">
        <f t="shared" ca="1" si="62"/>
        <v>-</v>
      </c>
      <c r="DZ28" s="65" t="str">
        <f t="shared" ca="1" si="62"/>
        <v>-</v>
      </c>
      <c r="EA28" s="65" t="str">
        <f t="shared" ca="1" si="62"/>
        <v>-</v>
      </c>
      <c r="EB28" s="65" t="str">
        <f t="shared" ca="1" si="62"/>
        <v>-</v>
      </c>
      <c r="EC28" s="65" t="str">
        <f t="shared" ca="1" si="62"/>
        <v>-</v>
      </c>
      <c r="ED28" s="65" t="str">
        <f t="shared" ca="1" si="62"/>
        <v>-</v>
      </c>
      <c r="EE28" s="65" t="str">
        <f t="shared" ca="1" si="62"/>
        <v>-</v>
      </c>
      <c r="EF28" s="65" t="str">
        <f t="shared" ca="1" si="62"/>
        <v>-</v>
      </c>
      <c r="EG28" s="65" t="str">
        <f t="shared" ca="1" si="62"/>
        <v>-</v>
      </c>
      <c r="EH28" s="65" t="str">
        <f t="shared" ca="1" si="62"/>
        <v>-</v>
      </c>
      <c r="EI28" s="65" t="str">
        <f t="shared" ca="1" si="62"/>
        <v>-</v>
      </c>
      <c r="EJ28" s="65" t="str">
        <f t="shared" ca="1" si="62"/>
        <v>-</v>
      </c>
      <c r="EK28" s="65" t="str">
        <f t="shared" ca="1" si="63"/>
        <v>-</v>
      </c>
      <c r="EL28" s="65" t="str">
        <f t="shared" ca="1" si="63"/>
        <v>-</v>
      </c>
      <c r="EM28" s="65" t="str">
        <f t="shared" ca="1" si="63"/>
        <v>-</v>
      </c>
      <c r="EN28" s="65" t="str">
        <f t="shared" ca="1" si="63"/>
        <v>-</v>
      </c>
      <c r="EO28" s="65" t="str">
        <f t="shared" ca="1" si="63"/>
        <v>-</v>
      </c>
    </row>
    <row r="29" spans="1:147">
      <c r="A29" s="448"/>
      <c r="B29" s="451"/>
      <c r="C29" s="451"/>
      <c r="D29" s="456"/>
      <c r="E29" s="185" t="s">
        <v>66</v>
      </c>
      <c r="F29" s="66">
        <f>SUM('BESS 11'!S166,'BESS 11'!S169:S170,'BESS 11'!S174:S175)</f>
        <v>2432.6666666666665</v>
      </c>
      <c r="G29" s="182">
        <f ca="1">TODAY()</f>
        <v>46233</v>
      </c>
      <c r="H29" s="182">
        <f ca="1">G29+20</f>
        <v>46253</v>
      </c>
      <c r="I29" s="65">
        <f ca="1">H29-G29</f>
        <v>20</v>
      </c>
      <c r="J29" s="453"/>
      <c r="K29" s="453"/>
      <c r="L29" s="445"/>
      <c r="M29" s="65" t="str">
        <f t="shared" ca="1" si="55"/>
        <v>-</v>
      </c>
      <c r="N29" s="65" t="str">
        <f t="shared" ca="1" si="55"/>
        <v>-</v>
      </c>
      <c r="O29" s="65" t="str">
        <f t="shared" ca="1" si="55"/>
        <v>-</v>
      </c>
      <c r="P29" s="65" t="str">
        <f t="shared" ca="1" si="55"/>
        <v>-</v>
      </c>
      <c r="Q29" s="65" t="str">
        <f t="shared" ca="1" si="55"/>
        <v>-</v>
      </c>
      <c r="R29" s="65" t="str">
        <f t="shared" ca="1" si="55"/>
        <v>-</v>
      </c>
      <c r="S29" s="65" t="str">
        <f t="shared" ca="1" si="55"/>
        <v>-</v>
      </c>
      <c r="T29" s="65" t="str">
        <f t="shared" ca="1" si="55"/>
        <v>-</v>
      </c>
      <c r="U29" s="65" t="str">
        <f t="shared" ca="1" si="55"/>
        <v>-</v>
      </c>
      <c r="V29" s="65" t="str">
        <f t="shared" ca="1" si="55"/>
        <v>-</v>
      </c>
      <c r="W29" s="65" t="str">
        <f t="shared" ca="1" si="55"/>
        <v>-</v>
      </c>
      <c r="X29" s="65" t="str">
        <f t="shared" ca="1" si="55"/>
        <v>-</v>
      </c>
      <c r="Y29" s="65" t="str">
        <f t="shared" ca="1" si="55"/>
        <v>-</v>
      </c>
      <c r="Z29" s="65" t="str">
        <f t="shared" ca="1" si="55"/>
        <v>-</v>
      </c>
      <c r="AA29" s="65" t="str">
        <f t="shared" ca="1" si="55"/>
        <v>-</v>
      </c>
      <c r="AB29" s="65" t="str">
        <f t="shared" ca="1" si="55"/>
        <v>-</v>
      </c>
      <c r="AC29" s="65" t="str">
        <f t="shared" ca="1" si="56"/>
        <v>-</v>
      </c>
      <c r="AD29" s="65" t="str">
        <f t="shared" ca="1" si="56"/>
        <v>-</v>
      </c>
      <c r="AE29" s="65" t="str">
        <f t="shared" ca="1" si="56"/>
        <v>-</v>
      </c>
      <c r="AF29" s="65" t="str">
        <f t="shared" ca="1" si="56"/>
        <v>-</v>
      </c>
      <c r="AG29" s="65" t="str">
        <f t="shared" ca="1" si="56"/>
        <v>-</v>
      </c>
      <c r="AH29" s="65" t="str">
        <f t="shared" ca="1" si="56"/>
        <v>-</v>
      </c>
      <c r="AI29" s="65" t="str">
        <f t="shared" ca="1" si="56"/>
        <v>-</v>
      </c>
      <c r="AJ29" s="65" t="str">
        <f t="shared" ca="1" si="56"/>
        <v>-</v>
      </c>
      <c r="AK29" s="65" t="str">
        <f t="shared" ca="1" si="56"/>
        <v>-</v>
      </c>
      <c r="AL29" s="65" t="str">
        <f t="shared" ca="1" si="56"/>
        <v>-</v>
      </c>
      <c r="AM29" s="65" t="str">
        <f t="shared" ca="1" si="56"/>
        <v>-</v>
      </c>
      <c r="AN29" s="65" t="str">
        <f t="shared" ca="1" si="56"/>
        <v>-</v>
      </c>
      <c r="AO29" s="65" t="str">
        <f t="shared" ca="1" si="56"/>
        <v>-</v>
      </c>
      <c r="AP29" s="65" t="str">
        <f t="shared" ca="1" si="56"/>
        <v>-</v>
      </c>
      <c r="AQ29" s="65" t="str">
        <f t="shared" ca="1" si="56"/>
        <v>-</v>
      </c>
      <c r="AR29" s="65" t="str">
        <f t="shared" ca="1" si="56"/>
        <v>-</v>
      </c>
      <c r="AS29" s="65" t="str">
        <f t="shared" ca="1" si="57"/>
        <v>-</v>
      </c>
      <c r="AT29" s="65" t="str">
        <f t="shared" ca="1" si="57"/>
        <v>-</v>
      </c>
      <c r="AU29" s="65" t="str">
        <f t="shared" ca="1" si="57"/>
        <v>-</v>
      </c>
      <c r="AV29" s="65" t="str">
        <f t="shared" ca="1" si="57"/>
        <v>-</v>
      </c>
      <c r="AW29" s="65" t="str">
        <f t="shared" ca="1" si="57"/>
        <v>-</v>
      </c>
      <c r="AX29" s="65" t="str">
        <f t="shared" ca="1" si="57"/>
        <v>-</v>
      </c>
      <c r="AY29" s="65">
        <f t="shared" ca="1" si="57"/>
        <v>122</v>
      </c>
      <c r="AZ29" s="65">
        <f t="shared" ca="1" si="57"/>
        <v>122</v>
      </c>
      <c r="BA29" s="65">
        <f t="shared" ca="1" si="57"/>
        <v>122</v>
      </c>
      <c r="BB29" s="65">
        <f t="shared" ca="1" si="57"/>
        <v>122</v>
      </c>
      <c r="BC29" s="65">
        <f t="shared" ca="1" si="57"/>
        <v>122</v>
      </c>
      <c r="BD29" s="65">
        <f t="shared" ca="1" si="57"/>
        <v>122</v>
      </c>
      <c r="BE29" s="65">
        <f t="shared" ca="1" si="57"/>
        <v>122</v>
      </c>
      <c r="BF29" s="65">
        <f t="shared" ca="1" si="57"/>
        <v>122</v>
      </c>
      <c r="BG29" s="65">
        <f t="shared" ca="1" si="57"/>
        <v>122</v>
      </c>
      <c r="BH29" s="65">
        <f t="shared" ca="1" si="57"/>
        <v>122</v>
      </c>
      <c r="BI29" s="65">
        <f t="shared" ca="1" si="58"/>
        <v>122</v>
      </c>
      <c r="BJ29" s="65">
        <f t="shared" ca="1" si="58"/>
        <v>122</v>
      </c>
      <c r="BK29" s="65">
        <f t="shared" ca="1" si="58"/>
        <v>122</v>
      </c>
      <c r="BL29" s="65">
        <f t="shared" ca="1" si="58"/>
        <v>122</v>
      </c>
      <c r="BM29" s="65">
        <f t="shared" ca="1" si="58"/>
        <v>122</v>
      </c>
      <c r="BN29" s="65">
        <f t="shared" ca="1" si="58"/>
        <v>122</v>
      </c>
      <c r="BO29" s="65">
        <f t="shared" ca="1" si="58"/>
        <v>122</v>
      </c>
      <c r="BP29" s="65">
        <f t="shared" ca="1" si="58"/>
        <v>122</v>
      </c>
      <c r="BQ29" s="65">
        <f t="shared" ca="1" si="58"/>
        <v>122</v>
      </c>
      <c r="BR29" s="65">
        <f t="shared" ca="1" si="58"/>
        <v>122</v>
      </c>
      <c r="BS29" s="65" t="str">
        <f t="shared" ca="1" si="58"/>
        <v>-</v>
      </c>
      <c r="BT29" s="65" t="str">
        <f t="shared" ca="1" si="58"/>
        <v>-</v>
      </c>
      <c r="BU29" s="65" t="str">
        <f t="shared" ca="1" si="58"/>
        <v>-</v>
      </c>
      <c r="BV29" s="65" t="str">
        <f t="shared" ca="1" si="58"/>
        <v>-</v>
      </c>
      <c r="BW29" s="65" t="str">
        <f t="shared" ca="1" si="58"/>
        <v>-</v>
      </c>
      <c r="BX29" s="65" t="str">
        <f t="shared" ca="1" si="58"/>
        <v>-</v>
      </c>
      <c r="BY29" s="65" t="str">
        <f t="shared" ca="1" si="59"/>
        <v>-</v>
      </c>
      <c r="BZ29" s="65" t="str">
        <f t="shared" ca="1" si="59"/>
        <v>-</v>
      </c>
      <c r="CA29" s="65" t="str">
        <f t="shared" ca="1" si="59"/>
        <v>-</v>
      </c>
      <c r="CB29" s="65" t="str">
        <f t="shared" ca="1" si="59"/>
        <v>-</v>
      </c>
      <c r="CC29" s="65" t="str">
        <f t="shared" ca="1" si="59"/>
        <v>-</v>
      </c>
      <c r="CD29" s="65" t="str">
        <f t="shared" ca="1" si="59"/>
        <v>-</v>
      </c>
      <c r="CE29" s="65" t="str">
        <f t="shared" ca="1" si="59"/>
        <v>-</v>
      </c>
      <c r="CF29" s="65" t="str">
        <f t="shared" ca="1" si="59"/>
        <v>-</v>
      </c>
      <c r="CG29" s="65" t="str">
        <f t="shared" ca="1" si="59"/>
        <v>-</v>
      </c>
      <c r="CH29" s="65" t="str">
        <f t="shared" ca="1" si="59"/>
        <v>-</v>
      </c>
      <c r="CI29" s="65" t="str">
        <f t="shared" ca="1" si="59"/>
        <v>-</v>
      </c>
      <c r="CJ29" s="65" t="str">
        <f t="shared" ca="1" si="59"/>
        <v>-</v>
      </c>
      <c r="CK29" s="65" t="str">
        <f t="shared" ca="1" si="59"/>
        <v>-</v>
      </c>
      <c r="CL29" s="65" t="str">
        <f t="shared" ca="1" si="59"/>
        <v>-</v>
      </c>
      <c r="CM29" s="65" t="str">
        <f t="shared" ca="1" si="59"/>
        <v>-</v>
      </c>
      <c r="CN29" s="65" t="str">
        <f t="shared" ca="1" si="59"/>
        <v>-</v>
      </c>
      <c r="CO29" s="65" t="str">
        <f t="shared" ca="1" si="60"/>
        <v>-</v>
      </c>
      <c r="CP29" s="65" t="str">
        <f t="shared" ca="1" si="60"/>
        <v>-</v>
      </c>
      <c r="CQ29" s="65" t="str">
        <f t="shared" ca="1" si="60"/>
        <v>-</v>
      </c>
      <c r="CR29" s="65" t="str">
        <f t="shared" ca="1" si="60"/>
        <v>-</v>
      </c>
      <c r="CS29" s="65" t="str">
        <f t="shared" ca="1" si="60"/>
        <v>-</v>
      </c>
      <c r="CT29" s="65" t="str">
        <f t="shared" ca="1" si="60"/>
        <v>-</v>
      </c>
      <c r="CU29" s="65" t="str">
        <f t="shared" ca="1" si="60"/>
        <v>-</v>
      </c>
      <c r="CV29" s="65" t="str">
        <f t="shared" ca="1" si="60"/>
        <v>-</v>
      </c>
      <c r="CW29" s="65" t="str">
        <f t="shared" ca="1" si="60"/>
        <v>-</v>
      </c>
      <c r="CX29" s="65" t="str">
        <f t="shared" ca="1" si="60"/>
        <v>-</v>
      </c>
      <c r="CY29" s="65" t="str">
        <f t="shared" ca="1" si="60"/>
        <v>-</v>
      </c>
      <c r="CZ29" s="65" t="str">
        <f t="shared" ca="1" si="60"/>
        <v>-</v>
      </c>
      <c r="DA29" s="65" t="str">
        <f t="shared" ca="1" si="60"/>
        <v>-</v>
      </c>
      <c r="DB29" s="65" t="str">
        <f t="shared" ca="1" si="60"/>
        <v>-</v>
      </c>
      <c r="DC29" s="65" t="str">
        <f t="shared" ca="1" si="60"/>
        <v>-</v>
      </c>
      <c r="DD29" s="65" t="str">
        <f t="shared" ca="1" si="60"/>
        <v>-</v>
      </c>
      <c r="DE29" s="65" t="str">
        <f t="shared" ca="1" si="61"/>
        <v>-</v>
      </c>
      <c r="DF29" s="65" t="str">
        <f t="shared" ca="1" si="61"/>
        <v>-</v>
      </c>
      <c r="DG29" s="65" t="str">
        <f t="shared" ca="1" si="61"/>
        <v>-</v>
      </c>
      <c r="DH29" s="65" t="str">
        <f t="shared" ca="1" si="61"/>
        <v>-</v>
      </c>
      <c r="DI29" s="65" t="str">
        <f t="shared" ca="1" si="61"/>
        <v>-</v>
      </c>
      <c r="DJ29" s="65" t="str">
        <f t="shared" ca="1" si="61"/>
        <v>-</v>
      </c>
      <c r="DK29" s="65" t="str">
        <f t="shared" ca="1" si="61"/>
        <v>-</v>
      </c>
      <c r="DL29" s="65" t="str">
        <f t="shared" ca="1" si="61"/>
        <v>-</v>
      </c>
      <c r="DM29" s="65" t="str">
        <f t="shared" ca="1" si="61"/>
        <v>-</v>
      </c>
      <c r="DN29" s="65" t="str">
        <f t="shared" ca="1" si="61"/>
        <v>-</v>
      </c>
      <c r="DO29" s="65" t="str">
        <f t="shared" ca="1" si="61"/>
        <v>-</v>
      </c>
      <c r="DP29" s="65" t="str">
        <f t="shared" ca="1" si="61"/>
        <v>-</v>
      </c>
      <c r="DQ29" s="65" t="str">
        <f t="shared" ca="1" si="61"/>
        <v>-</v>
      </c>
      <c r="DR29" s="65" t="str">
        <f t="shared" ca="1" si="61"/>
        <v>-</v>
      </c>
      <c r="DS29" s="65" t="str">
        <f t="shared" ca="1" si="61"/>
        <v>-</v>
      </c>
      <c r="DT29" s="65" t="str">
        <f t="shared" ca="1" si="61"/>
        <v>-</v>
      </c>
      <c r="DU29" s="65" t="str">
        <f t="shared" ca="1" si="62"/>
        <v>-</v>
      </c>
      <c r="DV29" s="65" t="str">
        <f t="shared" ca="1" si="62"/>
        <v>-</v>
      </c>
      <c r="DW29" s="65" t="str">
        <f t="shared" ca="1" si="62"/>
        <v>-</v>
      </c>
      <c r="DX29" s="65" t="str">
        <f t="shared" ca="1" si="62"/>
        <v>-</v>
      </c>
      <c r="DY29" s="65" t="str">
        <f t="shared" ca="1" si="62"/>
        <v>-</v>
      </c>
      <c r="DZ29" s="65" t="str">
        <f t="shared" ca="1" si="62"/>
        <v>-</v>
      </c>
      <c r="EA29" s="65" t="str">
        <f t="shared" ca="1" si="62"/>
        <v>-</v>
      </c>
      <c r="EB29" s="65" t="str">
        <f t="shared" ca="1" si="62"/>
        <v>-</v>
      </c>
      <c r="EC29" s="65" t="str">
        <f t="shared" ca="1" si="62"/>
        <v>-</v>
      </c>
      <c r="ED29" s="65" t="str">
        <f t="shared" ca="1" si="62"/>
        <v>-</v>
      </c>
      <c r="EE29" s="65" t="str">
        <f t="shared" ca="1" si="62"/>
        <v>-</v>
      </c>
      <c r="EF29" s="65" t="str">
        <f t="shared" ca="1" si="62"/>
        <v>-</v>
      </c>
      <c r="EG29" s="65" t="str">
        <f t="shared" ca="1" si="62"/>
        <v>-</v>
      </c>
      <c r="EH29" s="65" t="str">
        <f t="shared" ca="1" si="62"/>
        <v>-</v>
      </c>
      <c r="EI29" s="65" t="str">
        <f t="shared" ca="1" si="62"/>
        <v>-</v>
      </c>
      <c r="EJ29" s="65" t="str">
        <f t="shared" ca="1" si="62"/>
        <v>-</v>
      </c>
      <c r="EK29" s="65" t="str">
        <f t="shared" ca="1" si="63"/>
        <v>-</v>
      </c>
      <c r="EL29" s="65" t="str">
        <f t="shared" ca="1" si="63"/>
        <v>-</v>
      </c>
      <c r="EM29" s="65" t="str">
        <f t="shared" ca="1" si="63"/>
        <v>-</v>
      </c>
      <c r="EN29" s="65" t="str">
        <f t="shared" ca="1" si="63"/>
        <v>-</v>
      </c>
      <c r="EO29" s="65" t="str">
        <f t="shared" ca="1" si="63"/>
        <v>-</v>
      </c>
    </row>
    <row r="30" spans="1:147">
      <c r="A30" s="448"/>
      <c r="B30" s="451"/>
      <c r="C30" s="451"/>
      <c r="D30" s="456"/>
      <c r="E30" s="185" t="s">
        <v>67</v>
      </c>
      <c r="F30" s="66">
        <f>SUM('BESS 11'!S178:S186)</f>
        <v>323.4133333333333</v>
      </c>
      <c r="G30" s="182">
        <f ca="1">TODAY()</f>
        <v>46233</v>
      </c>
      <c r="H30" s="182">
        <f>MAX('BESS 11'!O178:O186)</f>
        <v>46243</v>
      </c>
      <c r="I30" s="65">
        <f ca="1">H30-G30</f>
        <v>10</v>
      </c>
      <c r="J30" s="453"/>
      <c r="K30" s="453"/>
      <c r="L30" s="445"/>
      <c r="M30" s="65" t="str">
        <f t="shared" ca="1" si="55"/>
        <v>-</v>
      </c>
      <c r="N30" s="65" t="str">
        <f t="shared" ca="1" si="55"/>
        <v>-</v>
      </c>
      <c r="O30" s="65" t="str">
        <f t="shared" ca="1" si="55"/>
        <v>-</v>
      </c>
      <c r="P30" s="65" t="str">
        <f t="shared" ca="1" si="55"/>
        <v>-</v>
      </c>
      <c r="Q30" s="65" t="str">
        <f t="shared" ca="1" si="55"/>
        <v>-</v>
      </c>
      <c r="R30" s="65" t="str">
        <f t="shared" ca="1" si="55"/>
        <v>-</v>
      </c>
      <c r="S30" s="65" t="str">
        <f t="shared" ca="1" si="55"/>
        <v>-</v>
      </c>
      <c r="T30" s="65" t="str">
        <f t="shared" ca="1" si="55"/>
        <v>-</v>
      </c>
      <c r="U30" s="65" t="str">
        <f t="shared" ca="1" si="55"/>
        <v>-</v>
      </c>
      <c r="V30" s="65" t="str">
        <f t="shared" ca="1" si="55"/>
        <v>-</v>
      </c>
      <c r="W30" s="65" t="str">
        <f t="shared" ca="1" si="55"/>
        <v>-</v>
      </c>
      <c r="X30" s="65" t="str">
        <f t="shared" ca="1" si="55"/>
        <v>-</v>
      </c>
      <c r="Y30" s="65" t="str">
        <f t="shared" ca="1" si="55"/>
        <v>-</v>
      </c>
      <c r="Z30" s="65" t="str">
        <f t="shared" ca="1" si="55"/>
        <v>-</v>
      </c>
      <c r="AA30" s="65" t="str">
        <f t="shared" ca="1" si="55"/>
        <v>-</v>
      </c>
      <c r="AB30" s="65" t="str">
        <f t="shared" ca="1" si="55"/>
        <v>-</v>
      </c>
      <c r="AC30" s="65" t="str">
        <f t="shared" ca="1" si="56"/>
        <v>-</v>
      </c>
      <c r="AD30" s="65" t="str">
        <f t="shared" ca="1" si="56"/>
        <v>-</v>
      </c>
      <c r="AE30" s="65" t="str">
        <f t="shared" ca="1" si="56"/>
        <v>-</v>
      </c>
      <c r="AF30" s="65" t="str">
        <f t="shared" ca="1" si="56"/>
        <v>-</v>
      </c>
      <c r="AG30" s="65" t="str">
        <f t="shared" ca="1" si="56"/>
        <v>-</v>
      </c>
      <c r="AH30" s="65" t="str">
        <f t="shared" ca="1" si="56"/>
        <v>-</v>
      </c>
      <c r="AI30" s="65" t="str">
        <f t="shared" ca="1" si="56"/>
        <v>-</v>
      </c>
      <c r="AJ30" s="65" t="str">
        <f t="shared" ca="1" si="56"/>
        <v>-</v>
      </c>
      <c r="AK30" s="65" t="str">
        <f t="shared" ca="1" si="56"/>
        <v>-</v>
      </c>
      <c r="AL30" s="65" t="str">
        <f t="shared" ca="1" si="56"/>
        <v>-</v>
      </c>
      <c r="AM30" s="65" t="str">
        <f t="shared" ca="1" si="56"/>
        <v>-</v>
      </c>
      <c r="AN30" s="65" t="str">
        <f t="shared" ca="1" si="56"/>
        <v>-</v>
      </c>
      <c r="AO30" s="65" t="str">
        <f t="shared" ca="1" si="56"/>
        <v>-</v>
      </c>
      <c r="AP30" s="65" t="str">
        <f t="shared" ca="1" si="56"/>
        <v>-</v>
      </c>
      <c r="AQ30" s="65" t="str">
        <f t="shared" ca="1" si="56"/>
        <v>-</v>
      </c>
      <c r="AR30" s="65" t="str">
        <f t="shared" ca="1" si="56"/>
        <v>-</v>
      </c>
      <c r="AS30" s="65" t="str">
        <f t="shared" ca="1" si="57"/>
        <v>-</v>
      </c>
      <c r="AT30" s="65" t="str">
        <f t="shared" ca="1" si="57"/>
        <v>-</v>
      </c>
      <c r="AU30" s="65" t="str">
        <f t="shared" ca="1" si="57"/>
        <v>-</v>
      </c>
      <c r="AV30" s="65" t="str">
        <f t="shared" ca="1" si="57"/>
        <v>-</v>
      </c>
      <c r="AW30" s="65" t="str">
        <f t="shared" ca="1" si="57"/>
        <v>-</v>
      </c>
      <c r="AX30" s="65" t="str">
        <f t="shared" ca="1" si="57"/>
        <v>-</v>
      </c>
      <c r="AY30" s="65">
        <f t="shared" ca="1" si="57"/>
        <v>32</v>
      </c>
      <c r="AZ30" s="65">
        <f t="shared" ca="1" si="57"/>
        <v>32</v>
      </c>
      <c r="BA30" s="65">
        <f t="shared" ca="1" si="57"/>
        <v>32</v>
      </c>
      <c r="BB30" s="65">
        <f t="shared" ca="1" si="57"/>
        <v>32</v>
      </c>
      <c r="BC30" s="65">
        <f t="shared" ca="1" si="57"/>
        <v>32</v>
      </c>
      <c r="BD30" s="65">
        <f t="shared" ca="1" si="57"/>
        <v>32</v>
      </c>
      <c r="BE30" s="65">
        <f t="shared" ca="1" si="57"/>
        <v>32</v>
      </c>
      <c r="BF30" s="65">
        <f t="shared" ca="1" si="57"/>
        <v>32</v>
      </c>
      <c r="BG30" s="65">
        <f t="shared" ca="1" si="57"/>
        <v>32</v>
      </c>
      <c r="BH30" s="65">
        <f t="shared" ca="1" si="57"/>
        <v>32</v>
      </c>
      <c r="BI30" s="65" t="str">
        <f t="shared" ca="1" si="58"/>
        <v>-</v>
      </c>
      <c r="BJ30" s="65" t="str">
        <f t="shared" ca="1" si="58"/>
        <v>-</v>
      </c>
      <c r="BK30" s="65" t="str">
        <f t="shared" ca="1" si="58"/>
        <v>-</v>
      </c>
      <c r="BL30" s="65" t="str">
        <f t="shared" ca="1" si="58"/>
        <v>-</v>
      </c>
      <c r="BM30" s="65" t="str">
        <f t="shared" ca="1" si="58"/>
        <v>-</v>
      </c>
      <c r="BN30" s="65" t="str">
        <f t="shared" ca="1" si="58"/>
        <v>-</v>
      </c>
      <c r="BO30" s="65" t="str">
        <f t="shared" ca="1" si="58"/>
        <v>-</v>
      </c>
      <c r="BP30" s="65" t="str">
        <f t="shared" ca="1" si="58"/>
        <v>-</v>
      </c>
      <c r="BQ30" s="65" t="str">
        <f t="shared" ca="1" si="58"/>
        <v>-</v>
      </c>
      <c r="BR30" s="65" t="str">
        <f t="shared" ca="1" si="58"/>
        <v>-</v>
      </c>
      <c r="BS30" s="65" t="str">
        <f t="shared" ca="1" si="58"/>
        <v>-</v>
      </c>
      <c r="BT30" s="65" t="str">
        <f t="shared" ca="1" si="58"/>
        <v>-</v>
      </c>
      <c r="BU30" s="65" t="str">
        <f t="shared" ca="1" si="58"/>
        <v>-</v>
      </c>
      <c r="BV30" s="65" t="str">
        <f t="shared" ca="1" si="58"/>
        <v>-</v>
      </c>
      <c r="BW30" s="65" t="str">
        <f t="shared" ca="1" si="58"/>
        <v>-</v>
      </c>
      <c r="BX30" s="65" t="str">
        <f t="shared" ca="1" si="58"/>
        <v>-</v>
      </c>
      <c r="BY30" s="65" t="str">
        <f t="shared" ca="1" si="59"/>
        <v>-</v>
      </c>
      <c r="BZ30" s="65" t="str">
        <f t="shared" ca="1" si="59"/>
        <v>-</v>
      </c>
      <c r="CA30" s="65" t="str">
        <f t="shared" ca="1" si="59"/>
        <v>-</v>
      </c>
      <c r="CB30" s="65" t="str">
        <f t="shared" ca="1" si="59"/>
        <v>-</v>
      </c>
      <c r="CC30" s="65" t="str">
        <f t="shared" ca="1" si="59"/>
        <v>-</v>
      </c>
      <c r="CD30" s="65" t="str">
        <f t="shared" ca="1" si="59"/>
        <v>-</v>
      </c>
      <c r="CE30" s="65" t="str">
        <f t="shared" ca="1" si="59"/>
        <v>-</v>
      </c>
      <c r="CF30" s="65" t="str">
        <f t="shared" ca="1" si="59"/>
        <v>-</v>
      </c>
      <c r="CG30" s="65" t="str">
        <f t="shared" ca="1" si="59"/>
        <v>-</v>
      </c>
      <c r="CH30" s="65" t="str">
        <f t="shared" ca="1" si="59"/>
        <v>-</v>
      </c>
      <c r="CI30" s="65" t="str">
        <f t="shared" ca="1" si="59"/>
        <v>-</v>
      </c>
      <c r="CJ30" s="65" t="str">
        <f t="shared" ca="1" si="59"/>
        <v>-</v>
      </c>
      <c r="CK30" s="65" t="str">
        <f t="shared" ca="1" si="59"/>
        <v>-</v>
      </c>
      <c r="CL30" s="65" t="str">
        <f t="shared" ca="1" si="59"/>
        <v>-</v>
      </c>
      <c r="CM30" s="65" t="str">
        <f t="shared" ca="1" si="59"/>
        <v>-</v>
      </c>
      <c r="CN30" s="65" t="str">
        <f t="shared" ca="1" si="59"/>
        <v>-</v>
      </c>
      <c r="CO30" s="65" t="str">
        <f t="shared" ca="1" si="60"/>
        <v>-</v>
      </c>
      <c r="CP30" s="65" t="str">
        <f t="shared" ca="1" si="60"/>
        <v>-</v>
      </c>
      <c r="CQ30" s="65" t="str">
        <f t="shared" ca="1" si="60"/>
        <v>-</v>
      </c>
      <c r="CR30" s="65" t="str">
        <f t="shared" ca="1" si="60"/>
        <v>-</v>
      </c>
      <c r="CS30" s="65" t="str">
        <f t="shared" ca="1" si="60"/>
        <v>-</v>
      </c>
      <c r="CT30" s="65" t="str">
        <f t="shared" ca="1" si="60"/>
        <v>-</v>
      </c>
      <c r="CU30" s="65" t="str">
        <f t="shared" ca="1" si="60"/>
        <v>-</v>
      </c>
      <c r="CV30" s="65" t="str">
        <f t="shared" ca="1" si="60"/>
        <v>-</v>
      </c>
      <c r="CW30" s="65" t="str">
        <f t="shared" ca="1" si="60"/>
        <v>-</v>
      </c>
      <c r="CX30" s="65" t="str">
        <f t="shared" ca="1" si="60"/>
        <v>-</v>
      </c>
      <c r="CY30" s="65" t="str">
        <f t="shared" ca="1" si="60"/>
        <v>-</v>
      </c>
      <c r="CZ30" s="65" t="str">
        <f t="shared" ca="1" si="60"/>
        <v>-</v>
      </c>
      <c r="DA30" s="65" t="str">
        <f t="shared" ca="1" si="60"/>
        <v>-</v>
      </c>
      <c r="DB30" s="65" t="str">
        <f t="shared" ca="1" si="60"/>
        <v>-</v>
      </c>
      <c r="DC30" s="65" t="str">
        <f t="shared" ca="1" si="60"/>
        <v>-</v>
      </c>
      <c r="DD30" s="65" t="str">
        <f t="shared" ca="1" si="60"/>
        <v>-</v>
      </c>
      <c r="DE30" s="65" t="str">
        <f t="shared" ca="1" si="61"/>
        <v>-</v>
      </c>
      <c r="DF30" s="65" t="str">
        <f t="shared" ca="1" si="61"/>
        <v>-</v>
      </c>
      <c r="DG30" s="65" t="str">
        <f t="shared" ca="1" si="61"/>
        <v>-</v>
      </c>
      <c r="DH30" s="65" t="str">
        <f t="shared" ca="1" si="61"/>
        <v>-</v>
      </c>
      <c r="DI30" s="65" t="str">
        <f t="shared" ca="1" si="61"/>
        <v>-</v>
      </c>
      <c r="DJ30" s="65" t="str">
        <f t="shared" ca="1" si="61"/>
        <v>-</v>
      </c>
      <c r="DK30" s="65" t="str">
        <f t="shared" ca="1" si="61"/>
        <v>-</v>
      </c>
      <c r="DL30" s="65" t="str">
        <f t="shared" ca="1" si="61"/>
        <v>-</v>
      </c>
      <c r="DM30" s="65" t="str">
        <f t="shared" ca="1" si="61"/>
        <v>-</v>
      </c>
      <c r="DN30" s="65" t="str">
        <f t="shared" ca="1" si="61"/>
        <v>-</v>
      </c>
      <c r="DO30" s="65" t="str">
        <f t="shared" ca="1" si="61"/>
        <v>-</v>
      </c>
      <c r="DP30" s="65" t="str">
        <f t="shared" ca="1" si="61"/>
        <v>-</v>
      </c>
      <c r="DQ30" s="65" t="str">
        <f t="shared" ca="1" si="61"/>
        <v>-</v>
      </c>
      <c r="DR30" s="65" t="str">
        <f t="shared" ca="1" si="61"/>
        <v>-</v>
      </c>
      <c r="DS30" s="65" t="str">
        <f t="shared" ca="1" si="61"/>
        <v>-</v>
      </c>
      <c r="DT30" s="65" t="str">
        <f t="shared" ca="1" si="61"/>
        <v>-</v>
      </c>
      <c r="DU30" s="65" t="str">
        <f t="shared" ca="1" si="62"/>
        <v>-</v>
      </c>
      <c r="DV30" s="65" t="str">
        <f t="shared" ca="1" si="62"/>
        <v>-</v>
      </c>
      <c r="DW30" s="65" t="str">
        <f t="shared" ca="1" si="62"/>
        <v>-</v>
      </c>
      <c r="DX30" s="65" t="str">
        <f t="shared" ca="1" si="62"/>
        <v>-</v>
      </c>
      <c r="DY30" s="65" t="str">
        <f t="shared" ca="1" si="62"/>
        <v>-</v>
      </c>
      <c r="DZ30" s="65" t="str">
        <f t="shared" ca="1" si="62"/>
        <v>-</v>
      </c>
      <c r="EA30" s="65" t="str">
        <f t="shared" ca="1" si="62"/>
        <v>-</v>
      </c>
      <c r="EB30" s="65" t="str">
        <f t="shared" ca="1" si="62"/>
        <v>-</v>
      </c>
      <c r="EC30" s="65" t="str">
        <f t="shared" ca="1" si="62"/>
        <v>-</v>
      </c>
      <c r="ED30" s="65" t="str">
        <f t="shared" ca="1" si="62"/>
        <v>-</v>
      </c>
      <c r="EE30" s="65" t="str">
        <f t="shared" ca="1" si="62"/>
        <v>-</v>
      </c>
      <c r="EF30" s="65" t="str">
        <f t="shared" ca="1" si="62"/>
        <v>-</v>
      </c>
      <c r="EG30" s="65" t="str">
        <f t="shared" ca="1" si="62"/>
        <v>-</v>
      </c>
      <c r="EH30" s="65" t="str">
        <f t="shared" ca="1" si="62"/>
        <v>-</v>
      </c>
      <c r="EI30" s="65" t="str">
        <f t="shared" ca="1" si="62"/>
        <v>-</v>
      </c>
      <c r="EJ30" s="65" t="str">
        <f t="shared" ca="1" si="62"/>
        <v>-</v>
      </c>
      <c r="EK30" s="65" t="str">
        <f t="shared" ca="1" si="63"/>
        <v>-</v>
      </c>
      <c r="EL30" s="65" t="str">
        <f t="shared" ca="1" si="63"/>
        <v>-</v>
      </c>
      <c r="EM30" s="65" t="str">
        <f t="shared" ca="1" si="63"/>
        <v>-</v>
      </c>
      <c r="EN30" s="65" t="str">
        <f t="shared" ca="1" si="63"/>
        <v>-</v>
      </c>
      <c r="EO30" s="65" t="str">
        <f t="shared" ca="1" si="63"/>
        <v>-</v>
      </c>
    </row>
    <row r="31" spans="1:147">
      <c r="A31" s="449"/>
      <c r="B31" s="452"/>
      <c r="C31" s="452"/>
      <c r="D31" s="457"/>
      <c r="E31" s="185" t="s">
        <v>68</v>
      </c>
      <c r="F31" s="65">
        <v>250</v>
      </c>
      <c r="G31" s="185"/>
      <c r="H31" s="182">
        <f>B26-3</f>
        <v>46240</v>
      </c>
      <c r="I31" s="65">
        <v>30</v>
      </c>
      <c r="J31" s="454"/>
      <c r="K31" s="454"/>
      <c r="L31" s="446"/>
      <c r="M31" s="65" t="str">
        <f>IF(AND(M$2&gt;=$B$26-26,M$2&lt;=$B$26-3),5,IF(OR(M$2=$B$26-2,M$2=$B$26-1,M$2=$B$26,M$2=$B$26+1),30,IF(OR(M$2=$B$26+2,M$2=$B$26+3),5,"")))</f>
        <v/>
      </c>
      <c r="N31" s="65" t="str">
        <f t="shared" ref="N31:BY31" si="64">IF(AND(N$2&gt;=$B$26-26,N$2&lt;=$B$26-3),5,IF(OR(N$2=$B$26-2,N$2=$B$26-1,N$2=$B$26,N$2=$B$26+1),30,IF(OR(N$2=$B$26+2,N$2=$B$26+3),5,"")))</f>
        <v/>
      </c>
      <c r="O31" s="65" t="str">
        <f t="shared" si="64"/>
        <v/>
      </c>
      <c r="P31" s="65" t="str">
        <f t="shared" si="64"/>
        <v/>
      </c>
      <c r="Q31" s="65" t="str">
        <f t="shared" si="64"/>
        <v/>
      </c>
      <c r="R31" s="65" t="str">
        <f t="shared" si="64"/>
        <v/>
      </c>
      <c r="S31" s="65" t="str">
        <f t="shared" si="64"/>
        <v/>
      </c>
      <c r="T31" s="65" t="str">
        <f t="shared" si="64"/>
        <v/>
      </c>
      <c r="U31" s="65" t="str">
        <f t="shared" si="64"/>
        <v/>
      </c>
      <c r="V31" s="65" t="str">
        <f t="shared" si="64"/>
        <v/>
      </c>
      <c r="W31" s="65" t="str">
        <f t="shared" si="64"/>
        <v/>
      </c>
      <c r="X31" s="65" t="str">
        <f t="shared" si="64"/>
        <v/>
      </c>
      <c r="Y31" s="65" t="str">
        <f t="shared" si="64"/>
        <v/>
      </c>
      <c r="Z31" s="65" t="str">
        <f t="shared" si="64"/>
        <v/>
      </c>
      <c r="AA31" s="65" t="str">
        <f t="shared" si="64"/>
        <v/>
      </c>
      <c r="AB31" s="65" t="str">
        <f t="shared" si="64"/>
        <v/>
      </c>
      <c r="AC31" s="65" t="str">
        <f t="shared" si="64"/>
        <v/>
      </c>
      <c r="AD31" s="65" t="str">
        <f t="shared" si="64"/>
        <v/>
      </c>
      <c r="AE31" s="65" t="str">
        <f t="shared" si="64"/>
        <v/>
      </c>
      <c r="AF31" s="65" t="str">
        <f t="shared" si="64"/>
        <v/>
      </c>
      <c r="AG31" s="65" t="str">
        <f t="shared" si="64"/>
        <v/>
      </c>
      <c r="AH31" s="65" t="str">
        <f t="shared" si="64"/>
        <v/>
      </c>
      <c r="AI31" s="65">
        <f t="shared" si="64"/>
        <v>5</v>
      </c>
      <c r="AJ31" s="65">
        <f t="shared" si="64"/>
        <v>5</v>
      </c>
      <c r="AK31" s="65">
        <f t="shared" si="64"/>
        <v>5</v>
      </c>
      <c r="AL31" s="65">
        <f t="shared" si="64"/>
        <v>5</v>
      </c>
      <c r="AM31" s="65">
        <f t="shared" si="64"/>
        <v>5</v>
      </c>
      <c r="AN31" s="65">
        <f t="shared" si="64"/>
        <v>5</v>
      </c>
      <c r="AO31" s="65">
        <f t="shared" si="64"/>
        <v>5</v>
      </c>
      <c r="AP31" s="65">
        <f t="shared" si="64"/>
        <v>5</v>
      </c>
      <c r="AQ31" s="65">
        <f t="shared" si="64"/>
        <v>5</v>
      </c>
      <c r="AR31" s="65">
        <f t="shared" si="64"/>
        <v>5</v>
      </c>
      <c r="AS31" s="65">
        <f t="shared" si="64"/>
        <v>5</v>
      </c>
      <c r="AT31" s="65">
        <f t="shared" si="64"/>
        <v>5</v>
      </c>
      <c r="AU31" s="65">
        <f t="shared" si="64"/>
        <v>5</v>
      </c>
      <c r="AV31" s="65">
        <f t="shared" si="64"/>
        <v>5</v>
      </c>
      <c r="AW31" s="65">
        <f t="shared" si="64"/>
        <v>5</v>
      </c>
      <c r="AX31" s="65">
        <f t="shared" si="64"/>
        <v>5</v>
      </c>
      <c r="AY31" s="65">
        <f t="shared" si="64"/>
        <v>5</v>
      </c>
      <c r="AZ31" s="65">
        <f t="shared" si="64"/>
        <v>5</v>
      </c>
      <c r="BA31" s="65">
        <f t="shared" si="64"/>
        <v>5</v>
      </c>
      <c r="BB31" s="65">
        <f t="shared" si="64"/>
        <v>5</v>
      </c>
      <c r="BC31" s="65">
        <f t="shared" si="64"/>
        <v>5</v>
      </c>
      <c r="BD31" s="65">
        <f t="shared" si="64"/>
        <v>5</v>
      </c>
      <c r="BE31" s="65">
        <f t="shared" si="64"/>
        <v>5</v>
      </c>
      <c r="BF31" s="65">
        <f t="shared" si="64"/>
        <v>5</v>
      </c>
      <c r="BG31" s="65">
        <f t="shared" si="64"/>
        <v>30</v>
      </c>
      <c r="BH31" s="65">
        <f t="shared" si="64"/>
        <v>30</v>
      </c>
      <c r="BI31" s="65">
        <f t="shared" si="64"/>
        <v>30</v>
      </c>
      <c r="BJ31" s="65">
        <f t="shared" si="64"/>
        <v>30</v>
      </c>
      <c r="BK31" s="65">
        <f t="shared" si="64"/>
        <v>5</v>
      </c>
      <c r="BL31" s="65">
        <f t="shared" si="64"/>
        <v>5</v>
      </c>
      <c r="BM31" s="65" t="str">
        <f t="shared" si="64"/>
        <v/>
      </c>
      <c r="BN31" s="65" t="str">
        <f t="shared" si="64"/>
        <v/>
      </c>
      <c r="BO31" s="65" t="str">
        <f t="shared" si="64"/>
        <v/>
      </c>
      <c r="BP31" s="65" t="str">
        <f t="shared" si="64"/>
        <v/>
      </c>
      <c r="BQ31" s="65" t="str">
        <f t="shared" si="64"/>
        <v/>
      </c>
      <c r="BR31" s="65" t="str">
        <f t="shared" si="64"/>
        <v/>
      </c>
      <c r="BS31" s="65" t="str">
        <f t="shared" si="64"/>
        <v/>
      </c>
      <c r="BT31" s="65" t="str">
        <f t="shared" si="64"/>
        <v/>
      </c>
      <c r="BU31" s="65" t="str">
        <f t="shared" si="64"/>
        <v/>
      </c>
      <c r="BV31" s="65" t="str">
        <f t="shared" si="64"/>
        <v/>
      </c>
      <c r="BW31" s="65" t="str">
        <f t="shared" si="64"/>
        <v/>
      </c>
      <c r="BX31" s="65" t="str">
        <f t="shared" si="64"/>
        <v/>
      </c>
      <c r="BY31" s="65" t="str">
        <f t="shared" si="64"/>
        <v/>
      </c>
      <c r="BZ31" s="65" t="str">
        <f t="shared" ref="BZ31:EK31" si="65">IF(AND(BZ$2&gt;=$B$26-26,BZ$2&lt;=$B$26-3),5,IF(OR(BZ$2=$B$26-2,BZ$2=$B$26-1,BZ$2=$B$26,BZ$2=$B$26+1),30,IF(OR(BZ$2=$B$26+2,BZ$2=$B$26+3),5,"")))</f>
        <v/>
      </c>
      <c r="CA31" s="65" t="str">
        <f t="shared" si="65"/>
        <v/>
      </c>
      <c r="CB31" s="65" t="str">
        <f t="shared" si="65"/>
        <v/>
      </c>
      <c r="CC31" s="65" t="str">
        <f t="shared" si="65"/>
        <v/>
      </c>
      <c r="CD31" s="65" t="str">
        <f t="shared" si="65"/>
        <v/>
      </c>
      <c r="CE31" s="65" t="str">
        <f t="shared" si="65"/>
        <v/>
      </c>
      <c r="CF31" s="65" t="str">
        <f t="shared" si="65"/>
        <v/>
      </c>
      <c r="CG31" s="65" t="str">
        <f t="shared" si="65"/>
        <v/>
      </c>
      <c r="CH31" s="65" t="str">
        <f t="shared" si="65"/>
        <v/>
      </c>
      <c r="CI31" s="65" t="str">
        <f t="shared" si="65"/>
        <v/>
      </c>
      <c r="CJ31" s="65" t="str">
        <f t="shared" si="65"/>
        <v/>
      </c>
      <c r="CK31" s="65" t="str">
        <f t="shared" si="65"/>
        <v/>
      </c>
      <c r="CL31" s="65" t="str">
        <f t="shared" si="65"/>
        <v/>
      </c>
      <c r="CM31" s="65" t="str">
        <f t="shared" si="65"/>
        <v/>
      </c>
      <c r="CN31" s="65" t="str">
        <f t="shared" si="65"/>
        <v/>
      </c>
      <c r="CO31" s="65" t="str">
        <f t="shared" si="65"/>
        <v/>
      </c>
      <c r="CP31" s="65" t="str">
        <f t="shared" si="65"/>
        <v/>
      </c>
      <c r="CQ31" s="65" t="str">
        <f t="shared" si="65"/>
        <v/>
      </c>
      <c r="CR31" s="65" t="str">
        <f t="shared" si="65"/>
        <v/>
      </c>
      <c r="CS31" s="65" t="str">
        <f t="shared" si="65"/>
        <v/>
      </c>
      <c r="CT31" s="65" t="str">
        <f t="shared" si="65"/>
        <v/>
      </c>
      <c r="CU31" s="65" t="str">
        <f t="shared" si="65"/>
        <v/>
      </c>
      <c r="CV31" s="65" t="str">
        <f t="shared" si="65"/>
        <v/>
      </c>
      <c r="CW31" s="65" t="str">
        <f t="shared" si="65"/>
        <v/>
      </c>
      <c r="CX31" s="65" t="str">
        <f t="shared" si="65"/>
        <v/>
      </c>
      <c r="CY31" s="65" t="str">
        <f t="shared" si="65"/>
        <v/>
      </c>
      <c r="CZ31" s="65" t="str">
        <f t="shared" si="65"/>
        <v/>
      </c>
      <c r="DA31" s="65" t="str">
        <f t="shared" si="65"/>
        <v/>
      </c>
      <c r="DB31" s="65" t="str">
        <f t="shared" si="65"/>
        <v/>
      </c>
      <c r="DC31" s="65" t="str">
        <f t="shared" si="65"/>
        <v/>
      </c>
      <c r="DD31" s="65" t="str">
        <f t="shared" si="65"/>
        <v/>
      </c>
      <c r="DE31" s="65" t="str">
        <f t="shared" si="65"/>
        <v/>
      </c>
      <c r="DF31" s="65" t="str">
        <f t="shared" si="65"/>
        <v/>
      </c>
      <c r="DG31" s="65" t="str">
        <f t="shared" si="65"/>
        <v/>
      </c>
      <c r="DH31" s="65" t="str">
        <f t="shared" si="65"/>
        <v/>
      </c>
      <c r="DI31" s="65" t="str">
        <f t="shared" si="65"/>
        <v/>
      </c>
      <c r="DJ31" s="65" t="str">
        <f t="shared" si="65"/>
        <v/>
      </c>
      <c r="DK31" s="65" t="str">
        <f t="shared" si="65"/>
        <v/>
      </c>
      <c r="DL31" s="65" t="str">
        <f t="shared" si="65"/>
        <v/>
      </c>
      <c r="DM31" s="65" t="str">
        <f t="shared" si="65"/>
        <v/>
      </c>
      <c r="DN31" s="65" t="str">
        <f t="shared" si="65"/>
        <v/>
      </c>
      <c r="DO31" s="65" t="str">
        <f t="shared" si="65"/>
        <v/>
      </c>
      <c r="DP31" s="65" t="str">
        <f t="shared" si="65"/>
        <v/>
      </c>
      <c r="DQ31" s="65" t="str">
        <f t="shared" si="65"/>
        <v/>
      </c>
      <c r="DR31" s="65" t="str">
        <f t="shared" si="65"/>
        <v/>
      </c>
      <c r="DS31" s="65" t="str">
        <f t="shared" si="65"/>
        <v/>
      </c>
      <c r="DT31" s="65" t="str">
        <f t="shared" si="65"/>
        <v/>
      </c>
      <c r="DU31" s="65" t="str">
        <f t="shared" si="65"/>
        <v/>
      </c>
      <c r="DV31" s="65" t="str">
        <f t="shared" si="65"/>
        <v/>
      </c>
      <c r="DW31" s="65" t="str">
        <f t="shared" si="65"/>
        <v/>
      </c>
      <c r="DX31" s="65" t="str">
        <f t="shared" si="65"/>
        <v/>
      </c>
      <c r="DY31" s="65" t="str">
        <f t="shared" si="65"/>
        <v/>
      </c>
      <c r="DZ31" s="65" t="str">
        <f t="shared" si="65"/>
        <v/>
      </c>
      <c r="EA31" s="65" t="str">
        <f t="shared" si="65"/>
        <v/>
      </c>
      <c r="EB31" s="65" t="str">
        <f t="shared" si="65"/>
        <v/>
      </c>
      <c r="EC31" s="65" t="str">
        <f t="shared" si="65"/>
        <v/>
      </c>
      <c r="ED31" s="65" t="str">
        <f t="shared" si="65"/>
        <v/>
      </c>
      <c r="EE31" s="65" t="str">
        <f t="shared" si="65"/>
        <v/>
      </c>
      <c r="EF31" s="65" t="str">
        <f t="shared" si="65"/>
        <v/>
      </c>
      <c r="EG31" s="65" t="str">
        <f t="shared" si="65"/>
        <v/>
      </c>
      <c r="EH31" s="65" t="str">
        <f t="shared" si="65"/>
        <v/>
      </c>
      <c r="EI31" s="65" t="str">
        <f t="shared" si="65"/>
        <v/>
      </c>
      <c r="EJ31" s="65" t="str">
        <f t="shared" si="65"/>
        <v/>
      </c>
      <c r="EK31" s="65" t="str">
        <f t="shared" si="65"/>
        <v/>
      </c>
      <c r="EL31" s="65" t="str">
        <f t="shared" ref="EL31:EO31" si="66">IF(AND(EL$2&gt;=$B$26-26,EL$2&lt;=$B$26-3),5,IF(OR(EL$2=$B$26-2,EL$2=$B$26-1,EL$2=$B$26,EL$2=$B$26+1),30,IF(OR(EL$2=$B$26+2,EL$2=$B$26+3),5,"")))</f>
        <v/>
      </c>
      <c r="EM31" s="65" t="str">
        <f t="shared" si="66"/>
        <v/>
      </c>
      <c r="EN31" s="65" t="str">
        <f t="shared" si="66"/>
        <v/>
      </c>
      <c r="EO31" s="65" t="str">
        <f t="shared" si="66"/>
        <v/>
      </c>
    </row>
    <row r="32" spans="1:147" s="207" customFormat="1" ht="13.5" customHeight="1">
      <c r="A32" s="236"/>
      <c r="B32" s="209"/>
      <c r="E32" s="201"/>
      <c r="F32" s="201"/>
      <c r="G32" s="204" t="s">
        <v>69</v>
      </c>
      <c r="H32" s="203"/>
      <c r="I32" s="203"/>
      <c r="J32" s="203"/>
      <c r="K32" s="230"/>
      <c r="L32" s="230"/>
      <c r="M32" s="182" t="str">
        <f>IF(AND(M$2&gt;=$B$26-26,M$2&lt;=$B$26-3),5,IF(OR(M$2=$B$26-2,M$2=$B$26-1,M$2=$B$26,M$2=$B$26+1),30,IF(OR(M$2=$B$26+2,M$2=$B$26+3),5,"")))</f>
        <v/>
      </c>
      <c r="N32" s="205">
        <f ca="1">SUM(N27:N31)</f>
        <v>0</v>
      </c>
      <c r="O32" s="205">
        <f ca="1">SUM(O27:O31)</f>
        <v>0</v>
      </c>
      <c r="P32" s="205">
        <f t="shared" ref="P32:CA32" ca="1" si="67">SUM(P27:P31)</f>
        <v>0</v>
      </c>
      <c r="Q32" s="205">
        <f t="shared" ca="1" si="67"/>
        <v>0</v>
      </c>
      <c r="R32" s="205">
        <f t="shared" ca="1" si="67"/>
        <v>0</v>
      </c>
      <c r="S32" s="205">
        <f t="shared" ca="1" si="67"/>
        <v>0</v>
      </c>
      <c r="T32" s="205">
        <f t="shared" ca="1" si="67"/>
        <v>0</v>
      </c>
      <c r="U32" s="205">
        <f t="shared" ca="1" si="67"/>
        <v>0</v>
      </c>
      <c r="V32" s="205">
        <f t="shared" ca="1" si="67"/>
        <v>0</v>
      </c>
      <c r="W32" s="205">
        <f t="shared" ca="1" si="67"/>
        <v>0</v>
      </c>
      <c r="X32" s="205">
        <f t="shared" ca="1" si="67"/>
        <v>0</v>
      </c>
      <c r="Y32" s="205">
        <f t="shared" ca="1" si="67"/>
        <v>0</v>
      </c>
      <c r="Z32" s="205">
        <f t="shared" ca="1" si="67"/>
        <v>0</v>
      </c>
      <c r="AA32" s="205">
        <f t="shared" ca="1" si="67"/>
        <v>0</v>
      </c>
      <c r="AB32" s="205">
        <f t="shared" ca="1" si="67"/>
        <v>0</v>
      </c>
      <c r="AC32" s="205">
        <f t="shared" ca="1" si="67"/>
        <v>0</v>
      </c>
      <c r="AD32" s="205">
        <f t="shared" ca="1" si="67"/>
        <v>0</v>
      </c>
      <c r="AE32" s="205">
        <f t="shared" ca="1" si="67"/>
        <v>0</v>
      </c>
      <c r="AF32" s="205">
        <f t="shared" ca="1" si="67"/>
        <v>0</v>
      </c>
      <c r="AG32" s="205">
        <f t="shared" ca="1" si="67"/>
        <v>0</v>
      </c>
      <c r="AH32" s="205">
        <f t="shared" ca="1" si="67"/>
        <v>0</v>
      </c>
      <c r="AI32" s="205">
        <f t="shared" ca="1" si="67"/>
        <v>5</v>
      </c>
      <c r="AJ32" s="205">
        <f t="shared" ca="1" si="67"/>
        <v>5</v>
      </c>
      <c r="AK32" s="205">
        <f t="shared" ca="1" si="67"/>
        <v>5</v>
      </c>
      <c r="AL32" s="205">
        <f t="shared" ca="1" si="67"/>
        <v>5</v>
      </c>
      <c r="AM32" s="205">
        <f t="shared" ca="1" si="67"/>
        <v>5</v>
      </c>
      <c r="AN32" s="205">
        <f t="shared" ca="1" si="67"/>
        <v>5</v>
      </c>
      <c r="AO32" s="205">
        <f t="shared" ca="1" si="67"/>
        <v>5</v>
      </c>
      <c r="AP32" s="205">
        <f t="shared" ca="1" si="67"/>
        <v>5</v>
      </c>
      <c r="AQ32" s="205">
        <f t="shared" ca="1" si="67"/>
        <v>5</v>
      </c>
      <c r="AR32" s="205">
        <f t="shared" ca="1" si="67"/>
        <v>5</v>
      </c>
      <c r="AS32" s="205">
        <f t="shared" ca="1" si="67"/>
        <v>5</v>
      </c>
      <c r="AT32" s="205">
        <f t="shared" ca="1" si="67"/>
        <v>5</v>
      </c>
      <c r="AU32" s="205">
        <f t="shared" ca="1" si="67"/>
        <v>5</v>
      </c>
      <c r="AV32" s="205">
        <f t="shared" ca="1" si="67"/>
        <v>5</v>
      </c>
      <c r="AW32" s="205">
        <f t="shared" ca="1" si="67"/>
        <v>5</v>
      </c>
      <c r="AX32" s="205">
        <f t="shared" ca="1" si="67"/>
        <v>5</v>
      </c>
      <c r="AY32" s="205">
        <f t="shared" ca="1" si="67"/>
        <v>232</v>
      </c>
      <c r="AZ32" s="205">
        <f t="shared" ca="1" si="67"/>
        <v>228</v>
      </c>
      <c r="BA32" s="205">
        <f t="shared" ca="1" si="67"/>
        <v>228</v>
      </c>
      <c r="BB32" s="205">
        <f t="shared" ca="1" si="67"/>
        <v>228</v>
      </c>
      <c r="BC32" s="205">
        <f t="shared" ca="1" si="67"/>
        <v>159</v>
      </c>
      <c r="BD32" s="205">
        <f t="shared" ca="1" si="67"/>
        <v>159</v>
      </c>
      <c r="BE32" s="205">
        <f t="shared" ca="1" si="67"/>
        <v>159</v>
      </c>
      <c r="BF32" s="205">
        <f t="shared" ca="1" si="67"/>
        <v>159</v>
      </c>
      <c r="BG32" s="205">
        <f t="shared" ca="1" si="67"/>
        <v>184</v>
      </c>
      <c r="BH32" s="205">
        <f t="shared" ca="1" si="67"/>
        <v>184</v>
      </c>
      <c r="BI32" s="205">
        <f t="shared" ca="1" si="67"/>
        <v>152</v>
      </c>
      <c r="BJ32" s="205">
        <f t="shared" ca="1" si="67"/>
        <v>152</v>
      </c>
      <c r="BK32" s="205">
        <f t="shared" ca="1" si="67"/>
        <v>127</v>
      </c>
      <c r="BL32" s="205">
        <f t="shared" ca="1" si="67"/>
        <v>127</v>
      </c>
      <c r="BM32" s="205">
        <f t="shared" ca="1" si="67"/>
        <v>122</v>
      </c>
      <c r="BN32" s="205">
        <f t="shared" ca="1" si="67"/>
        <v>122</v>
      </c>
      <c r="BO32" s="205">
        <f t="shared" ca="1" si="67"/>
        <v>122</v>
      </c>
      <c r="BP32" s="205">
        <f t="shared" ca="1" si="67"/>
        <v>122</v>
      </c>
      <c r="BQ32" s="205">
        <f t="shared" ca="1" si="67"/>
        <v>122</v>
      </c>
      <c r="BR32" s="205">
        <f t="shared" ca="1" si="67"/>
        <v>122</v>
      </c>
      <c r="BS32" s="205">
        <f t="shared" ca="1" si="67"/>
        <v>0</v>
      </c>
      <c r="BT32" s="205">
        <f t="shared" ca="1" si="67"/>
        <v>0</v>
      </c>
      <c r="BU32" s="205">
        <f t="shared" ca="1" si="67"/>
        <v>0</v>
      </c>
      <c r="BV32" s="205">
        <f t="shared" ca="1" si="67"/>
        <v>0</v>
      </c>
      <c r="BW32" s="205">
        <f t="shared" ca="1" si="67"/>
        <v>0</v>
      </c>
      <c r="BX32" s="205">
        <f t="shared" ca="1" si="67"/>
        <v>0</v>
      </c>
      <c r="BY32" s="205">
        <f t="shared" ca="1" si="67"/>
        <v>0</v>
      </c>
      <c r="BZ32" s="205">
        <f t="shared" ca="1" si="67"/>
        <v>0</v>
      </c>
      <c r="CA32" s="205">
        <f t="shared" ca="1" si="67"/>
        <v>0</v>
      </c>
      <c r="CB32" s="205">
        <f t="shared" ref="CB32:EM32" ca="1" si="68">SUM(CB27:CB31)</f>
        <v>0</v>
      </c>
      <c r="CC32" s="205">
        <f t="shared" ca="1" si="68"/>
        <v>0</v>
      </c>
      <c r="CD32" s="205">
        <f t="shared" ca="1" si="68"/>
        <v>0</v>
      </c>
      <c r="CE32" s="205">
        <f t="shared" ca="1" si="68"/>
        <v>0</v>
      </c>
      <c r="CF32" s="205">
        <f t="shared" ca="1" si="68"/>
        <v>0</v>
      </c>
      <c r="CG32" s="205">
        <f t="shared" ca="1" si="68"/>
        <v>0</v>
      </c>
      <c r="CH32" s="205">
        <f t="shared" ca="1" si="68"/>
        <v>0</v>
      </c>
      <c r="CI32" s="205">
        <f t="shared" ca="1" si="68"/>
        <v>0</v>
      </c>
      <c r="CJ32" s="205">
        <f t="shared" ca="1" si="68"/>
        <v>0</v>
      </c>
      <c r="CK32" s="205">
        <f t="shared" ca="1" si="68"/>
        <v>0</v>
      </c>
      <c r="CL32" s="205">
        <f t="shared" ca="1" si="68"/>
        <v>0</v>
      </c>
      <c r="CM32" s="205">
        <f t="shared" ca="1" si="68"/>
        <v>0</v>
      </c>
      <c r="CN32" s="205">
        <f t="shared" ca="1" si="68"/>
        <v>0</v>
      </c>
      <c r="CO32" s="205">
        <f t="shared" ca="1" si="68"/>
        <v>0</v>
      </c>
      <c r="CP32" s="205">
        <f t="shared" ca="1" si="68"/>
        <v>0</v>
      </c>
      <c r="CQ32" s="205">
        <f t="shared" ca="1" si="68"/>
        <v>0</v>
      </c>
      <c r="CR32" s="205">
        <f t="shared" ca="1" si="68"/>
        <v>0</v>
      </c>
      <c r="CS32" s="205">
        <f t="shared" ca="1" si="68"/>
        <v>0</v>
      </c>
      <c r="CT32" s="205">
        <f t="shared" ca="1" si="68"/>
        <v>0</v>
      </c>
      <c r="CU32" s="205">
        <f t="shared" ca="1" si="68"/>
        <v>0</v>
      </c>
      <c r="CV32" s="205">
        <f t="shared" ca="1" si="68"/>
        <v>0</v>
      </c>
      <c r="CW32" s="205">
        <f t="shared" ca="1" si="68"/>
        <v>0</v>
      </c>
      <c r="CX32" s="205">
        <f t="shared" ca="1" si="68"/>
        <v>0</v>
      </c>
      <c r="CY32" s="205">
        <f t="shared" ca="1" si="68"/>
        <v>0</v>
      </c>
      <c r="CZ32" s="205">
        <f t="shared" ca="1" si="68"/>
        <v>0</v>
      </c>
      <c r="DA32" s="205">
        <f t="shared" ca="1" si="68"/>
        <v>0</v>
      </c>
      <c r="DB32" s="205">
        <f t="shared" ca="1" si="68"/>
        <v>0</v>
      </c>
      <c r="DC32" s="205">
        <f t="shared" ca="1" si="68"/>
        <v>0</v>
      </c>
      <c r="DD32" s="205">
        <f t="shared" ca="1" si="68"/>
        <v>0</v>
      </c>
      <c r="DE32" s="205">
        <f t="shared" ca="1" si="68"/>
        <v>0</v>
      </c>
      <c r="DF32" s="205">
        <f t="shared" ca="1" si="68"/>
        <v>0</v>
      </c>
      <c r="DG32" s="205">
        <f t="shared" ca="1" si="68"/>
        <v>0</v>
      </c>
      <c r="DH32" s="205">
        <f t="shared" ca="1" si="68"/>
        <v>0</v>
      </c>
      <c r="DI32" s="205">
        <f t="shared" ca="1" si="68"/>
        <v>0</v>
      </c>
      <c r="DJ32" s="205">
        <f t="shared" ca="1" si="68"/>
        <v>0</v>
      </c>
      <c r="DK32" s="205">
        <f t="shared" ca="1" si="68"/>
        <v>0</v>
      </c>
      <c r="DL32" s="205">
        <f t="shared" ca="1" si="68"/>
        <v>0</v>
      </c>
      <c r="DM32" s="205">
        <f t="shared" ca="1" si="68"/>
        <v>0</v>
      </c>
      <c r="DN32" s="205">
        <f t="shared" ca="1" si="68"/>
        <v>0</v>
      </c>
      <c r="DO32" s="205">
        <f t="shared" ca="1" si="68"/>
        <v>0</v>
      </c>
      <c r="DP32" s="205">
        <f t="shared" ca="1" si="68"/>
        <v>0</v>
      </c>
      <c r="DQ32" s="205">
        <f t="shared" ca="1" si="68"/>
        <v>0</v>
      </c>
      <c r="DR32" s="205">
        <f t="shared" ca="1" si="68"/>
        <v>0</v>
      </c>
      <c r="DS32" s="205">
        <f t="shared" ca="1" si="68"/>
        <v>0</v>
      </c>
      <c r="DT32" s="205">
        <f t="shared" ca="1" si="68"/>
        <v>0</v>
      </c>
      <c r="DU32" s="205">
        <f t="shared" ca="1" si="68"/>
        <v>0</v>
      </c>
      <c r="DV32" s="205">
        <f t="shared" ca="1" si="68"/>
        <v>0</v>
      </c>
      <c r="DW32" s="205">
        <f t="shared" ca="1" si="68"/>
        <v>0</v>
      </c>
      <c r="DX32" s="205">
        <f t="shared" ca="1" si="68"/>
        <v>0</v>
      </c>
      <c r="DY32" s="205">
        <f t="shared" ca="1" si="68"/>
        <v>0</v>
      </c>
      <c r="DZ32" s="205">
        <f t="shared" ca="1" si="68"/>
        <v>0</v>
      </c>
      <c r="EA32" s="205">
        <f t="shared" ca="1" si="68"/>
        <v>0</v>
      </c>
      <c r="EB32" s="205">
        <f t="shared" ca="1" si="68"/>
        <v>0</v>
      </c>
      <c r="EC32" s="205">
        <f t="shared" ca="1" si="68"/>
        <v>0</v>
      </c>
      <c r="ED32" s="205">
        <f t="shared" ca="1" si="68"/>
        <v>0</v>
      </c>
      <c r="EE32" s="205">
        <f t="shared" ca="1" si="68"/>
        <v>0</v>
      </c>
      <c r="EF32" s="205">
        <f t="shared" ca="1" si="68"/>
        <v>0</v>
      </c>
      <c r="EG32" s="205">
        <f t="shared" ca="1" si="68"/>
        <v>0</v>
      </c>
      <c r="EH32" s="205">
        <f t="shared" ca="1" si="68"/>
        <v>0</v>
      </c>
      <c r="EI32" s="205">
        <f t="shared" ca="1" si="68"/>
        <v>0</v>
      </c>
      <c r="EJ32" s="205">
        <f t="shared" ca="1" si="68"/>
        <v>0</v>
      </c>
      <c r="EK32" s="205">
        <f t="shared" ca="1" si="68"/>
        <v>0</v>
      </c>
      <c r="EL32" s="205">
        <f t="shared" ca="1" si="68"/>
        <v>0</v>
      </c>
      <c r="EM32" s="205">
        <f t="shared" ca="1" si="68"/>
        <v>0</v>
      </c>
      <c r="EN32" s="205">
        <f t="shared" ref="EN32:EO32" ca="1" si="69">SUM(EN27:EN31)</f>
        <v>0</v>
      </c>
      <c r="EO32" s="205">
        <f t="shared" ca="1" si="69"/>
        <v>0</v>
      </c>
      <c r="EP32" s="206">
        <f ca="1">AVERAGE(M32:BN32)</f>
        <v>52.867924528301884</v>
      </c>
      <c r="EQ32" s="206">
        <f ca="1">MAX(M32:BN32)</f>
        <v>232</v>
      </c>
    </row>
    <row r="34" spans="1:147" s="180" customFormat="1" ht="27">
      <c r="A34" s="447" t="s">
        <v>73</v>
      </c>
      <c r="B34" s="450">
        <f>IF(LEN('BESS 11'!F187)=5,'BESS 11'!F187,(IF('BESS 11'!F187="Completed"," ",DATEVALUE(RIGHT('BESS 11'!F187,6)))))</f>
        <v>46279</v>
      </c>
      <c r="C34" s="450">
        <f>IF(LEN('BESS 11'!G187)=5,'BESS 11'!G187,(IF('BESS 11'!G187="Completed"," ",DATEVALUE(RIGHT('BESS 11'!G187,6)))))</f>
        <v>46284</v>
      </c>
      <c r="D34" s="455">
        <f>IF(LEN('BESS 11'!H187)=5,'BESS 11'!H187,(IF('BESS 11'!H187="Completed"," ",DATEVALUE(RIGHT('BESS 11'!H187,6)))))</f>
        <v>46287</v>
      </c>
      <c r="E34" s="226" t="s">
        <v>10</v>
      </c>
      <c r="F34" s="217" t="s">
        <v>58</v>
      </c>
      <c r="G34" s="217" t="s">
        <v>78</v>
      </c>
      <c r="H34" s="217" t="s">
        <v>79</v>
      </c>
      <c r="I34" s="217" t="s">
        <v>59</v>
      </c>
      <c r="J34" s="217"/>
      <c r="K34" s="216" t="s">
        <v>80</v>
      </c>
      <c r="L34" s="216" t="s">
        <v>62</v>
      </c>
      <c r="M34" s="218">
        <v>46195</v>
      </c>
      <c r="N34" s="218">
        <v>46196</v>
      </c>
      <c r="O34" s="218">
        <v>46197</v>
      </c>
      <c r="P34" s="218">
        <f t="shared" ref="P34:CA34" si="70">O34+1</f>
        <v>46198</v>
      </c>
      <c r="Q34" s="218">
        <f t="shared" si="70"/>
        <v>46199</v>
      </c>
      <c r="R34" s="218">
        <f t="shared" si="70"/>
        <v>46200</v>
      </c>
      <c r="S34" s="218">
        <f t="shared" si="70"/>
        <v>46201</v>
      </c>
      <c r="T34" s="218">
        <f t="shared" si="70"/>
        <v>46202</v>
      </c>
      <c r="U34" s="218">
        <f t="shared" si="70"/>
        <v>46203</v>
      </c>
      <c r="V34" s="218">
        <f t="shared" si="70"/>
        <v>46204</v>
      </c>
      <c r="W34" s="218">
        <f t="shared" si="70"/>
        <v>46205</v>
      </c>
      <c r="X34" s="218">
        <f t="shared" si="70"/>
        <v>46206</v>
      </c>
      <c r="Y34" s="218">
        <f t="shared" si="70"/>
        <v>46207</v>
      </c>
      <c r="Z34" s="218">
        <f t="shared" si="70"/>
        <v>46208</v>
      </c>
      <c r="AA34" s="218">
        <f t="shared" si="70"/>
        <v>46209</v>
      </c>
      <c r="AB34" s="218">
        <f t="shared" si="70"/>
        <v>46210</v>
      </c>
      <c r="AC34" s="218">
        <f t="shared" si="70"/>
        <v>46211</v>
      </c>
      <c r="AD34" s="218">
        <f t="shared" si="70"/>
        <v>46212</v>
      </c>
      <c r="AE34" s="218">
        <f t="shared" si="70"/>
        <v>46213</v>
      </c>
      <c r="AF34" s="218">
        <f t="shared" si="70"/>
        <v>46214</v>
      </c>
      <c r="AG34" s="218">
        <f t="shared" si="70"/>
        <v>46215</v>
      </c>
      <c r="AH34" s="218">
        <f t="shared" si="70"/>
        <v>46216</v>
      </c>
      <c r="AI34" s="218">
        <f t="shared" si="70"/>
        <v>46217</v>
      </c>
      <c r="AJ34" s="218">
        <f t="shared" si="70"/>
        <v>46218</v>
      </c>
      <c r="AK34" s="218">
        <f t="shared" si="70"/>
        <v>46219</v>
      </c>
      <c r="AL34" s="218">
        <f t="shared" si="70"/>
        <v>46220</v>
      </c>
      <c r="AM34" s="218">
        <f t="shared" si="70"/>
        <v>46221</v>
      </c>
      <c r="AN34" s="218">
        <f t="shared" si="70"/>
        <v>46222</v>
      </c>
      <c r="AO34" s="218">
        <f t="shared" si="70"/>
        <v>46223</v>
      </c>
      <c r="AP34" s="218">
        <f t="shared" si="70"/>
        <v>46224</v>
      </c>
      <c r="AQ34" s="218">
        <f t="shared" si="70"/>
        <v>46225</v>
      </c>
      <c r="AR34" s="218">
        <f t="shared" si="70"/>
        <v>46226</v>
      </c>
      <c r="AS34" s="218">
        <f t="shared" si="70"/>
        <v>46227</v>
      </c>
      <c r="AT34" s="218">
        <f t="shared" si="70"/>
        <v>46228</v>
      </c>
      <c r="AU34" s="218">
        <f t="shared" si="70"/>
        <v>46229</v>
      </c>
      <c r="AV34" s="218">
        <f t="shared" si="70"/>
        <v>46230</v>
      </c>
      <c r="AW34" s="218">
        <f t="shared" si="70"/>
        <v>46231</v>
      </c>
      <c r="AX34" s="218">
        <f t="shared" si="70"/>
        <v>46232</v>
      </c>
      <c r="AY34" s="218">
        <f t="shared" si="70"/>
        <v>46233</v>
      </c>
      <c r="AZ34" s="218">
        <f t="shared" si="70"/>
        <v>46234</v>
      </c>
      <c r="BA34" s="218">
        <f t="shared" si="70"/>
        <v>46235</v>
      </c>
      <c r="BB34" s="218">
        <f t="shared" si="70"/>
        <v>46236</v>
      </c>
      <c r="BC34" s="218">
        <f t="shared" si="70"/>
        <v>46237</v>
      </c>
      <c r="BD34" s="218">
        <f t="shared" si="70"/>
        <v>46238</v>
      </c>
      <c r="BE34" s="218">
        <f t="shared" si="70"/>
        <v>46239</v>
      </c>
      <c r="BF34" s="218">
        <f t="shared" si="70"/>
        <v>46240</v>
      </c>
      <c r="BG34" s="218">
        <f t="shared" si="70"/>
        <v>46241</v>
      </c>
      <c r="BH34" s="218">
        <f t="shared" si="70"/>
        <v>46242</v>
      </c>
      <c r="BI34" s="218">
        <f t="shared" si="70"/>
        <v>46243</v>
      </c>
      <c r="BJ34" s="218">
        <f t="shared" si="70"/>
        <v>46244</v>
      </c>
      <c r="BK34" s="218">
        <f t="shared" si="70"/>
        <v>46245</v>
      </c>
      <c r="BL34" s="218">
        <f t="shared" si="70"/>
        <v>46246</v>
      </c>
      <c r="BM34" s="218">
        <f t="shared" si="70"/>
        <v>46247</v>
      </c>
      <c r="BN34" s="218">
        <f t="shared" si="70"/>
        <v>46248</v>
      </c>
      <c r="BO34" s="218">
        <f t="shared" si="70"/>
        <v>46249</v>
      </c>
      <c r="BP34" s="218">
        <f t="shared" si="70"/>
        <v>46250</v>
      </c>
      <c r="BQ34" s="218">
        <f t="shared" si="70"/>
        <v>46251</v>
      </c>
      <c r="BR34" s="218">
        <f t="shared" si="70"/>
        <v>46252</v>
      </c>
      <c r="BS34" s="218">
        <f t="shared" si="70"/>
        <v>46253</v>
      </c>
      <c r="BT34" s="218">
        <f t="shared" si="70"/>
        <v>46254</v>
      </c>
      <c r="BU34" s="218">
        <f t="shared" si="70"/>
        <v>46255</v>
      </c>
      <c r="BV34" s="218">
        <f t="shared" si="70"/>
        <v>46256</v>
      </c>
      <c r="BW34" s="218">
        <f t="shared" si="70"/>
        <v>46257</v>
      </c>
      <c r="BX34" s="218">
        <f t="shared" si="70"/>
        <v>46258</v>
      </c>
      <c r="BY34" s="218">
        <f t="shared" si="70"/>
        <v>46259</v>
      </c>
      <c r="BZ34" s="218">
        <f t="shared" si="70"/>
        <v>46260</v>
      </c>
      <c r="CA34" s="218">
        <f t="shared" si="70"/>
        <v>46261</v>
      </c>
      <c r="CB34" s="218">
        <f t="shared" ref="CB34:EM34" si="71">CA34+1</f>
        <v>46262</v>
      </c>
      <c r="CC34" s="218">
        <f t="shared" si="71"/>
        <v>46263</v>
      </c>
      <c r="CD34" s="218">
        <f t="shared" si="71"/>
        <v>46264</v>
      </c>
      <c r="CE34" s="218">
        <f t="shared" si="71"/>
        <v>46265</v>
      </c>
      <c r="CF34" s="218">
        <f t="shared" si="71"/>
        <v>46266</v>
      </c>
      <c r="CG34" s="218">
        <f t="shared" si="71"/>
        <v>46267</v>
      </c>
      <c r="CH34" s="218">
        <f t="shared" si="71"/>
        <v>46268</v>
      </c>
      <c r="CI34" s="218">
        <f t="shared" si="71"/>
        <v>46269</v>
      </c>
      <c r="CJ34" s="218">
        <f t="shared" si="71"/>
        <v>46270</v>
      </c>
      <c r="CK34" s="218">
        <f t="shared" si="71"/>
        <v>46271</v>
      </c>
      <c r="CL34" s="218">
        <f t="shared" si="71"/>
        <v>46272</v>
      </c>
      <c r="CM34" s="218">
        <f t="shared" si="71"/>
        <v>46273</v>
      </c>
      <c r="CN34" s="218">
        <f t="shared" si="71"/>
        <v>46274</v>
      </c>
      <c r="CO34" s="218">
        <f t="shared" si="71"/>
        <v>46275</v>
      </c>
      <c r="CP34" s="218">
        <f t="shared" si="71"/>
        <v>46276</v>
      </c>
      <c r="CQ34" s="218">
        <f t="shared" si="71"/>
        <v>46277</v>
      </c>
      <c r="CR34" s="218">
        <f t="shared" si="71"/>
        <v>46278</v>
      </c>
      <c r="CS34" s="218">
        <f t="shared" si="71"/>
        <v>46279</v>
      </c>
      <c r="CT34" s="218">
        <f t="shared" si="71"/>
        <v>46280</v>
      </c>
      <c r="CU34" s="218">
        <f t="shared" si="71"/>
        <v>46281</v>
      </c>
      <c r="CV34" s="218">
        <f t="shared" si="71"/>
        <v>46282</v>
      </c>
      <c r="CW34" s="218">
        <f t="shared" si="71"/>
        <v>46283</v>
      </c>
      <c r="CX34" s="218">
        <f t="shared" si="71"/>
        <v>46284</v>
      </c>
      <c r="CY34" s="218">
        <f t="shared" si="71"/>
        <v>46285</v>
      </c>
      <c r="CZ34" s="218">
        <f t="shared" si="71"/>
        <v>46286</v>
      </c>
      <c r="DA34" s="218">
        <f t="shared" si="71"/>
        <v>46287</v>
      </c>
      <c r="DB34" s="218">
        <f t="shared" si="71"/>
        <v>46288</v>
      </c>
      <c r="DC34" s="218">
        <f t="shared" si="71"/>
        <v>46289</v>
      </c>
      <c r="DD34" s="218">
        <f t="shared" si="71"/>
        <v>46290</v>
      </c>
      <c r="DE34" s="218">
        <f t="shared" si="71"/>
        <v>46291</v>
      </c>
      <c r="DF34" s="218">
        <f t="shared" si="71"/>
        <v>46292</v>
      </c>
      <c r="DG34" s="218">
        <f t="shared" si="71"/>
        <v>46293</v>
      </c>
      <c r="DH34" s="218">
        <f t="shared" si="71"/>
        <v>46294</v>
      </c>
      <c r="DI34" s="218">
        <f t="shared" si="71"/>
        <v>46295</v>
      </c>
      <c r="DJ34" s="218">
        <f t="shared" si="71"/>
        <v>46296</v>
      </c>
      <c r="DK34" s="218">
        <f t="shared" si="71"/>
        <v>46297</v>
      </c>
      <c r="DL34" s="218">
        <f t="shared" si="71"/>
        <v>46298</v>
      </c>
      <c r="DM34" s="218">
        <f t="shared" si="71"/>
        <v>46299</v>
      </c>
      <c r="DN34" s="218">
        <f t="shared" si="71"/>
        <v>46300</v>
      </c>
      <c r="DO34" s="218">
        <f t="shared" si="71"/>
        <v>46301</v>
      </c>
      <c r="DP34" s="218">
        <f t="shared" si="71"/>
        <v>46302</v>
      </c>
      <c r="DQ34" s="218">
        <f t="shared" si="71"/>
        <v>46303</v>
      </c>
      <c r="DR34" s="218">
        <f t="shared" si="71"/>
        <v>46304</v>
      </c>
      <c r="DS34" s="218">
        <f t="shared" si="71"/>
        <v>46305</v>
      </c>
      <c r="DT34" s="218">
        <f t="shared" si="71"/>
        <v>46306</v>
      </c>
      <c r="DU34" s="218">
        <f t="shared" si="71"/>
        <v>46307</v>
      </c>
      <c r="DV34" s="218">
        <f t="shared" si="71"/>
        <v>46308</v>
      </c>
      <c r="DW34" s="218">
        <f t="shared" si="71"/>
        <v>46309</v>
      </c>
      <c r="DX34" s="218">
        <f t="shared" si="71"/>
        <v>46310</v>
      </c>
      <c r="DY34" s="218">
        <f t="shared" si="71"/>
        <v>46311</v>
      </c>
      <c r="DZ34" s="218">
        <f t="shared" si="71"/>
        <v>46312</v>
      </c>
      <c r="EA34" s="218">
        <f t="shared" si="71"/>
        <v>46313</v>
      </c>
      <c r="EB34" s="218">
        <f t="shared" si="71"/>
        <v>46314</v>
      </c>
      <c r="EC34" s="218">
        <f t="shared" si="71"/>
        <v>46315</v>
      </c>
      <c r="ED34" s="218">
        <f t="shared" si="71"/>
        <v>46316</v>
      </c>
      <c r="EE34" s="218">
        <f t="shared" si="71"/>
        <v>46317</v>
      </c>
      <c r="EF34" s="218">
        <f t="shared" si="71"/>
        <v>46318</v>
      </c>
      <c r="EG34" s="218">
        <f t="shared" si="71"/>
        <v>46319</v>
      </c>
      <c r="EH34" s="218">
        <f t="shared" si="71"/>
        <v>46320</v>
      </c>
      <c r="EI34" s="218">
        <f t="shared" si="71"/>
        <v>46321</v>
      </c>
      <c r="EJ34" s="218">
        <f t="shared" si="71"/>
        <v>46322</v>
      </c>
      <c r="EK34" s="218">
        <f t="shared" si="71"/>
        <v>46323</v>
      </c>
      <c r="EL34" s="218">
        <f t="shared" si="71"/>
        <v>46324</v>
      </c>
      <c r="EM34" s="218">
        <f t="shared" si="71"/>
        <v>46325</v>
      </c>
      <c r="EN34" s="218">
        <f t="shared" ref="EN34:EO34" si="72">EM34+1</f>
        <v>46326</v>
      </c>
      <c r="EO34" s="218">
        <f t="shared" si="72"/>
        <v>46327</v>
      </c>
    </row>
    <row r="35" spans="1:147">
      <c r="A35" s="448"/>
      <c r="B35" s="451"/>
      <c r="C35" s="451"/>
      <c r="D35" s="456"/>
      <c r="E35" s="185" t="s">
        <v>64</v>
      </c>
      <c r="F35" s="66">
        <f>SUM('BESS 11'!S200:S207,'BESS 11'!S209)</f>
        <v>47.2</v>
      </c>
      <c r="G35" s="182">
        <f>H35-10</f>
        <v>46253</v>
      </c>
      <c r="H35" s="182">
        <f>MAX('BESS 11'!O200:O206,'BESS 11'!O209)</f>
        <v>46263</v>
      </c>
      <c r="I35" s="65">
        <f>H35-G35</f>
        <v>10</v>
      </c>
      <c r="J35" s="444">
        <f ca="1">K35*1.2</f>
        <v>135.04390243902438</v>
      </c>
      <c r="K35" s="444">
        <f ca="1">AVERAGEIF(M40:EO40,"&gt;0")</f>
        <v>112.53658536585365</v>
      </c>
      <c r="L35" s="444">
        <f ca="1">MAX(M40:EO40)</f>
        <v>157</v>
      </c>
      <c r="M35" s="65" t="str">
        <f t="shared" ref="M35:AB38" si="73">IF(AND(M$2&gt;=$G35,M$2&lt;($G35+$I35)),ROUND($F35/$I35,0),"-")</f>
        <v>-</v>
      </c>
      <c r="N35" s="65" t="str">
        <f t="shared" si="73"/>
        <v>-</v>
      </c>
      <c r="O35" s="65" t="str">
        <f t="shared" si="73"/>
        <v>-</v>
      </c>
      <c r="P35" s="65" t="str">
        <f t="shared" si="73"/>
        <v>-</v>
      </c>
      <c r="Q35" s="65" t="str">
        <f t="shared" si="73"/>
        <v>-</v>
      </c>
      <c r="R35" s="65" t="str">
        <f t="shared" si="73"/>
        <v>-</v>
      </c>
      <c r="S35" s="65" t="str">
        <f t="shared" si="73"/>
        <v>-</v>
      </c>
      <c r="T35" s="65" t="str">
        <f t="shared" si="73"/>
        <v>-</v>
      </c>
      <c r="U35" s="65" t="str">
        <f t="shared" si="73"/>
        <v>-</v>
      </c>
      <c r="V35" s="65" t="str">
        <f t="shared" si="73"/>
        <v>-</v>
      </c>
      <c r="W35" s="65" t="str">
        <f t="shared" si="73"/>
        <v>-</v>
      </c>
      <c r="X35" s="65" t="str">
        <f t="shared" si="73"/>
        <v>-</v>
      </c>
      <c r="Y35" s="65" t="str">
        <f t="shared" si="73"/>
        <v>-</v>
      </c>
      <c r="Z35" s="65" t="str">
        <f t="shared" si="73"/>
        <v>-</v>
      </c>
      <c r="AA35" s="65" t="str">
        <f t="shared" si="73"/>
        <v>-</v>
      </c>
      <c r="AB35" s="65" t="str">
        <f t="shared" si="73"/>
        <v>-</v>
      </c>
      <c r="AC35" s="65" t="str">
        <f t="shared" ref="AC35:AR38" si="74">IF(AND(AC$2&gt;=$G35,AC$2&lt;($G35+$I35)),ROUND($F35/$I35,0),"-")</f>
        <v>-</v>
      </c>
      <c r="AD35" s="65" t="str">
        <f t="shared" si="74"/>
        <v>-</v>
      </c>
      <c r="AE35" s="65" t="str">
        <f t="shared" si="74"/>
        <v>-</v>
      </c>
      <c r="AF35" s="65" t="str">
        <f t="shared" si="74"/>
        <v>-</v>
      </c>
      <c r="AG35" s="65" t="str">
        <f t="shared" si="74"/>
        <v>-</v>
      </c>
      <c r="AH35" s="65" t="str">
        <f t="shared" si="74"/>
        <v>-</v>
      </c>
      <c r="AI35" s="65" t="str">
        <f t="shared" si="74"/>
        <v>-</v>
      </c>
      <c r="AJ35" s="65" t="str">
        <f t="shared" si="74"/>
        <v>-</v>
      </c>
      <c r="AK35" s="65" t="str">
        <f t="shared" si="74"/>
        <v>-</v>
      </c>
      <c r="AL35" s="65" t="str">
        <f t="shared" si="74"/>
        <v>-</v>
      </c>
      <c r="AM35" s="65" t="str">
        <f t="shared" si="74"/>
        <v>-</v>
      </c>
      <c r="AN35" s="65" t="str">
        <f t="shared" si="74"/>
        <v>-</v>
      </c>
      <c r="AO35" s="65" t="str">
        <f t="shared" si="74"/>
        <v>-</v>
      </c>
      <c r="AP35" s="65" t="str">
        <f t="shared" si="74"/>
        <v>-</v>
      </c>
      <c r="AQ35" s="65" t="str">
        <f t="shared" si="74"/>
        <v>-</v>
      </c>
      <c r="AR35" s="65" t="str">
        <f t="shared" si="74"/>
        <v>-</v>
      </c>
      <c r="AS35" s="65" t="str">
        <f t="shared" ref="AS35:BH38" si="75">IF(AND(AS$2&gt;=$G35,AS$2&lt;($G35+$I35)),ROUND($F35/$I35,0),"-")</f>
        <v>-</v>
      </c>
      <c r="AT35" s="65" t="str">
        <f t="shared" si="75"/>
        <v>-</v>
      </c>
      <c r="AU35" s="65" t="str">
        <f t="shared" si="75"/>
        <v>-</v>
      </c>
      <c r="AV35" s="65" t="str">
        <f t="shared" si="75"/>
        <v>-</v>
      </c>
      <c r="AW35" s="65" t="str">
        <f t="shared" si="75"/>
        <v>-</v>
      </c>
      <c r="AX35" s="65" t="str">
        <f t="shared" si="75"/>
        <v>-</v>
      </c>
      <c r="AY35" s="65" t="str">
        <f t="shared" si="75"/>
        <v>-</v>
      </c>
      <c r="AZ35" s="65" t="str">
        <f t="shared" si="75"/>
        <v>-</v>
      </c>
      <c r="BA35" s="65" t="str">
        <f t="shared" si="75"/>
        <v>-</v>
      </c>
      <c r="BB35" s="65" t="str">
        <f t="shared" si="75"/>
        <v>-</v>
      </c>
      <c r="BC35" s="65" t="str">
        <f t="shared" si="75"/>
        <v>-</v>
      </c>
      <c r="BD35" s="65" t="str">
        <f t="shared" si="75"/>
        <v>-</v>
      </c>
      <c r="BE35" s="65" t="str">
        <f t="shared" si="75"/>
        <v>-</v>
      </c>
      <c r="BF35" s="65" t="str">
        <f t="shared" si="75"/>
        <v>-</v>
      </c>
      <c r="BG35" s="65" t="str">
        <f t="shared" si="75"/>
        <v>-</v>
      </c>
      <c r="BH35" s="65" t="str">
        <f t="shared" si="75"/>
        <v>-</v>
      </c>
      <c r="BI35" s="65" t="str">
        <f t="shared" ref="BI35:BX38" si="76">IF(AND(BI$2&gt;=$G35,BI$2&lt;($G35+$I35)),ROUND($F35/$I35,0),"-")</f>
        <v>-</v>
      </c>
      <c r="BJ35" s="65" t="str">
        <f t="shared" si="76"/>
        <v>-</v>
      </c>
      <c r="BK35" s="65" t="str">
        <f t="shared" si="76"/>
        <v>-</v>
      </c>
      <c r="BL35" s="65" t="str">
        <f t="shared" si="76"/>
        <v>-</v>
      </c>
      <c r="BM35" s="65" t="str">
        <f t="shared" si="76"/>
        <v>-</v>
      </c>
      <c r="BN35" s="65" t="str">
        <f t="shared" si="76"/>
        <v>-</v>
      </c>
      <c r="BO35" s="65" t="str">
        <f t="shared" si="76"/>
        <v>-</v>
      </c>
      <c r="BP35" s="65" t="str">
        <f t="shared" si="76"/>
        <v>-</v>
      </c>
      <c r="BQ35" s="65" t="str">
        <f t="shared" si="76"/>
        <v>-</v>
      </c>
      <c r="BR35" s="65" t="str">
        <f t="shared" si="76"/>
        <v>-</v>
      </c>
      <c r="BS35" s="65">
        <f t="shared" si="76"/>
        <v>5</v>
      </c>
      <c r="BT35" s="65">
        <f t="shared" si="76"/>
        <v>5</v>
      </c>
      <c r="BU35" s="65">
        <f t="shared" si="76"/>
        <v>5</v>
      </c>
      <c r="BV35" s="65">
        <f t="shared" si="76"/>
        <v>5</v>
      </c>
      <c r="BW35" s="65">
        <f t="shared" si="76"/>
        <v>5</v>
      </c>
      <c r="BX35" s="65">
        <f t="shared" si="76"/>
        <v>5</v>
      </c>
      <c r="BY35" s="65">
        <f t="shared" ref="BY35:CN38" si="77">IF(AND(BY$2&gt;=$G35,BY$2&lt;($G35+$I35)),ROUND($F35/$I35,0),"-")</f>
        <v>5</v>
      </c>
      <c r="BZ35" s="65">
        <f t="shared" si="77"/>
        <v>5</v>
      </c>
      <c r="CA35" s="65">
        <f t="shared" si="77"/>
        <v>5</v>
      </c>
      <c r="CB35" s="65">
        <f t="shared" si="77"/>
        <v>5</v>
      </c>
      <c r="CC35" s="65" t="str">
        <f t="shared" si="77"/>
        <v>-</v>
      </c>
      <c r="CD35" s="65" t="str">
        <f t="shared" si="77"/>
        <v>-</v>
      </c>
      <c r="CE35" s="65" t="str">
        <f t="shared" si="77"/>
        <v>-</v>
      </c>
      <c r="CF35" s="65" t="str">
        <f t="shared" si="77"/>
        <v>-</v>
      </c>
      <c r="CG35" s="65" t="str">
        <f t="shared" si="77"/>
        <v>-</v>
      </c>
      <c r="CH35" s="65" t="str">
        <f t="shared" si="77"/>
        <v>-</v>
      </c>
      <c r="CI35" s="65" t="str">
        <f t="shared" si="77"/>
        <v>-</v>
      </c>
      <c r="CJ35" s="65" t="str">
        <f t="shared" si="77"/>
        <v>-</v>
      </c>
      <c r="CK35" s="65" t="str">
        <f t="shared" si="77"/>
        <v>-</v>
      </c>
      <c r="CL35" s="65" t="str">
        <f t="shared" si="77"/>
        <v>-</v>
      </c>
      <c r="CM35" s="65" t="str">
        <f t="shared" si="77"/>
        <v>-</v>
      </c>
      <c r="CN35" s="65" t="str">
        <f t="shared" si="77"/>
        <v>-</v>
      </c>
      <c r="CO35" s="65" t="str">
        <f t="shared" ref="CO35:DD38" si="78">IF(AND(CO$2&gt;=$G35,CO$2&lt;($G35+$I35)),ROUND($F35/$I35,0),"-")</f>
        <v>-</v>
      </c>
      <c r="CP35" s="65" t="str">
        <f t="shared" si="78"/>
        <v>-</v>
      </c>
      <c r="CQ35" s="65" t="str">
        <f t="shared" si="78"/>
        <v>-</v>
      </c>
      <c r="CR35" s="65" t="str">
        <f t="shared" si="78"/>
        <v>-</v>
      </c>
      <c r="CS35" s="65" t="str">
        <f t="shared" si="78"/>
        <v>-</v>
      </c>
      <c r="CT35" s="65" t="str">
        <f t="shared" si="78"/>
        <v>-</v>
      </c>
      <c r="CU35" s="65" t="str">
        <f t="shared" si="78"/>
        <v>-</v>
      </c>
      <c r="CV35" s="65" t="str">
        <f t="shared" si="78"/>
        <v>-</v>
      </c>
      <c r="CW35" s="65" t="str">
        <f t="shared" si="78"/>
        <v>-</v>
      </c>
      <c r="CX35" s="65" t="str">
        <f t="shared" si="78"/>
        <v>-</v>
      </c>
      <c r="CY35" s="65" t="str">
        <f t="shared" si="78"/>
        <v>-</v>
      </c>
      <c r="CZ35" s="65" t="str">
        <f t="shared" si="78"/>
        <v>-</v>
      </c>
      <c r="DA35" s="65" t="str">
        <f t="shared" si="78"/>
        <v>-</v>
      </c>
      <c r="DB35" s="65" t="str">
        <f t="shared" si="78"/>
        <v>-</v>
      </c>
      <c r="DC35" s="65" t="str">
        <f t="shared" si="78"/>
        <v>-</v>
      </c>
      <c r="DD35" s="65" t="str">
        <f t="shared" si="78"/>
        <v>-</v>
      </c>
      <c r="DE35" s="65" t="str">
        <f t="shared" ref="DE35:DT38" si="79">IF(AND(DE$2&gt;=$G35,DE$2&lt;($G35+$I35)),ROUND($F35/$I35,0),"-")</f>
        <v>-</v>
      </c>
      <c r="DF35" s="65" t="str">
        <f t="shared" si="79"/>
        <v>-</v>
      </c>
      <c r="DG35" s="65" t="str">
        <f t="shared" si="79"/>
        <v>-</v>
      </c>
      <c r="DH35" s="65" t="str">
        <f t="shared" si="79"/>
        <v>-</v>
      </c>
      <c r="DI35" s="65" t="str">
        <f t="shared" si="79"/>
        <v>-</v>
      </c>
      <c r="DJ35" s="65" t="str">
        <f t="shared" si="79"/>
        <v>-</v>
      </c>
      <c r="DK35" s="65" t="str">
        <f t="shared" si="79"/>
        <v>-</v>
      </c>
      <c r="DL35" s="65" t="str">
        <f t="shared" si="79"/>
        <v>-</v>
      </c>
      <c r="DM35" s="65" t="str">
        <f t="shared" si="79"/>
        <v>-</v>
      </c>
      <c r="DN35" s="65" t="str">
        <f t="shared" si="79"/>
        <v>-</v>
      </c>
      <c r="DO35" s="65" t="str">
        <f t="shared" si="79"/>
        <v>-</v>
      </c>
      <c r="DP35" s="65" t="str">
        <f t="shared" si="79"/>
        <v>-</v>
      </c>
      <c r="DQ35" s="65" t="str">
        <f t="shared" si="79"/>
        <v>-</v>
      </c>
      <c r="DR35" s="65" t="str">
        <f t="shared" si="79"/>
        <v>-</v>
      </c>
      <c r="DS35" s="65" t="str">
        <f t="shared" si="79"/>
        <v>-</v>
      </c>
      <c r="DT35" s="65" t="str">
        <f t="shared" si="79"/>
        <v>-</v>
      </c>
      <c r="DU35" s="65" t="str">
        <f t="shared" ref="DU35:EJ38" si="80">IF(AND(DU$2&gt;=$G35,DU$2&lt;($G35+$I35)),ROUND($F35/$I35,0),"-")</f>
        <v>-</v>
      </c>
      <c r="DV35" s="65" t="str">
        <f t="shared" si="80"/>
        <v>-</v>
      </c>
      <c r="DW35" s="65" t="str">
        <f t="shared" si="80"/>
        <v>-</v>
      </c>
      <c r="DX35" s="65" t="str">
        <f t="shared" si="80"/>
        <v>-</v>
      </c>
      <c r="DY35" s="65" t="str">
        <f t="shared" si="80"/>
        <v>-</v>
      </c>
      <c r="DZ35" s="65" t="str">
        <f t="shared" si="80"/>
        <v>-</v>
      </c>
      <c r="EA35" s="65" t="str">
        <f t="shared" si="80"/>
        <v>-</v>
      </c>
      <c r="EB35" s="65" t="str">
        <f t="shared" si="80"/>
        <v>-</v>
      </c>
      <c r="EC35" s="65" t="str">
        <f t="shared" si="80"/>
        <v>-</v>
      </c>
      <c r="ED35" s="65" t="str">
        <f t="shared" si="80"/>
        <v>-</v>
      </c>
      <c r="EE35" s="65" t="str">
        <f t="shared" si="80"/>
        <v>-</v>
      </c>
      <c r="EF35" s="65" t="str">
        <f t="shared" si="80"/>
        <v>-</v>
      </c>
      <c r="EG35" s="65" t="str">
        <f t="shared" si="80"/>
        <v>-</v>
      </c>
      <c r="EH35" s="65" t="str">
        <f t="shared" si="80"/>
        <v>-</v>
      </c>
      <c r="EI35" s="65" t="str">
        <f t="shared" si="80"/>
        <v>-</v>
      </c>
      <c r="EJ35" s="65" t="str">
        <f t="shared" si="80"/>
        <v>-</v>
      </c>
      <c r="EK35" s="65" t="str">
        <f t="shared" ref="EK35:EO38" si="81">IF(AND(EK$2&gt;=$G35,EK$2&lt;($G35+$I35)),ROUND($F35/$I35,0),"-")</f>
        <v>-</v>
      </c>
      <c r="EL35" s="65" t="str">
        <f t="shared" si="81"/>
        <v>-</v>
      </c>
      <c r="EM35" s="65" t="str">
        <f t="shared" si="81"/>
        <v>-</v>
      </c>
      <c r="EN35" s="65" t="str">
        <f t="shared" si="81"/>
        <v>-</v>
      </c>
      <c r="EO35" s="65" t="str">
        <f t="shared" si="81"/>
        <v>-</v>
      </c>
    </row>
    <row r="36" spans="1:147">
      <c r="A36" s="448"/>
      <c r="B36" s="451"/>
      <c r="C36" s="451"/>
      <c r="D36" s="456"/>
      <c r="E36" s="185" t="s">
        <v>65</v>
      </c>
      <c r="F36" s="66">
        <f>SUM('BESS 11'!S210,'BESS 11'!S212:S213,'BESS 11'!S216:S218)</f>
        <v>1513.2779999999998</v>
      </c>
      <c r="G36" s="182">
        <f ca="1">TODAY()</f>
        <v>46233</v>
      </c>
      <c r="H36" s="182">
        <f>MAX('BESS 11'!O210,'BESS 11'!O212:O213,'BESS 11'!O216:O218)</f>
        <v>46244</v>
      </c>
      <c r="I36" s="65">
        <f ca="1">H36-G36</f>
        <v>11</v>
      </c>
      <c r="J36" s="453"/>
      <c r="K36" s="453"/>
      <c r="L36" s="445"/>
      <c r="M36" s="65" t="str">
        <f t="shared" ca="1" si="73"/>
        <v>-</v>
      </c>
      <c r="N36" s="65" t="str">
        <f t="shared" ca="1" si="73"/>
        <v>-</v>
      </c>
      <c r="O36" s="65" t="str">
        <f t="shared" ca="1" si="73"/>
        <v>-</v>
      </c>
      <c r="P36" s="65" t="str">
        <f t="shared" ca="1" si="73"/>
        <v>-</v>
      </c>
      <c r="Q36" s="65" t="str">
        <f t="shared" ca="1" si="73"/>
        <v>-</v>
      </c>
      <c r="R36" s="65" t="str">
        <f t="shared" ca="1" si="73"/>
        <v>-</v>
      </c>
      <c r="S36" s="65" t="str">
        <f t="shared" ca="1" si="73"/>
        <v>-</v>
      </c>
      <c r="T36" s="65" t="str">
        <f t="shared" ca="1" si="73"/>
        <v>-</v>
      </c>
      <c r="U36" s="65" t="str">
        <f t="shared" ca="1" si="73"/>
        <v>-</v>
      </c>
      <c r="V36" s="65" t="str">
        <f t="shared" ca="1" si="73"/>
        <v>-</v>
      </c>
      <c r="W36" s="65" t="str">
        <f t="shared" ca="1" si="73"/>
        <v>-</v>
      </c>
      <c r="X36" s="65" t="str">
        <f t="shared" ca="1" si="73"/>
        <v>-</v>
      </c>
      <c r="Y36" s="65" t="str">
        <f t="shared" ca="1" si="73"/>
        <v>-</v>
      </c>
      <c r="Z36" s="65" t="str">
        <f t="shared" ca="1" si="73"/>
        <v>-</v>
      </c>
      <c r="AA36" s="65" t="str">
        <f t="shared" ca="1" si="73"/>
        <v>-</v>
      </c>
      <c r="AB36" s="65" t="str">
        <f t="shared" ca="1" si="73"/>
        <v>-</v>
      </c>
      <c r="AC36" s="65" t="str">
        <f t="shared" ca="1" si="74"/>
        <v>-</v>
      </c>
      <c r="AD36" s="65" t="str">
        <f t="shared" ca="1" si="74"/>
        <v>-</v>
      </c>
      <c r="AE36" s="65" t="str">
        <f t="shared" ca="1" si="74"/>
        <v>-</v>
      </c>
      <c r="AF36" s="65" t="str">
        <f t="shared" ca="1" si="74"/>
        <v>-</v>
      </c>
      <c r="AG36" s="65" t="str">
        <f t="shared" ca="1" si="74"/>
        <v>-</v>
      </c>
      <c r="AH36" s="65" t="str">
        <f t="shared" ca="1" si="74"/>
        <v>-</v>
      </c>
      <c r="AI36" s="65" t="str">
        <f t="shared" ca="1" si="74"/>
        <v>-</v>
      </c>
      <c r="AJ36" s="65" t="str">
        <f t="shared" ca="1" si="74"/>
        <v>-</v>
      </c>
      <c r="AK36" s="65" t="str">
        <f t="shared" ca="1" si="74"/>
        <v>-</v>
      </c>
      <c r="AL36" s="65" t="str">
        <f t="shared" ca="1" si="74"/>
        <v>-</v>
      </c>
      <c r="AM36" s="65" t="str">
        <f t="shared" ca="1" si="74"/>
        <v>-</v>
      </c>
      <c r="AN36" s="65" t="str">
        <f t="shared" ca="1" si="74"/>
        <v>-</v>
      </c>
      <c r="AO36" s="65" t="str">
        <f t="shared" ca="1" si="74"/>
        <v>-</v>
      </c>
      <c r="AP36" s="65" t="str">
        <f t="shared" ca="1" si="74"/>
        <v>-</v>
      </c>
      <c r="AQ36" s="65" t="str">
        <f t="shared" ca="1" si="74"/>
        <v>-</v>
      </c>
      <c r="AR36" s="65" t="str">
        <f t="shared" ca="1" si="74"/>
        <v>-</v>
      </c>
      <c r="AS36" s="65" t="str">
        <f t="shared" ca="1" si="75"/>
        <v>-</v>
      </c>
      <c r="AT36" s="65" t="str">
        <f t="shared" ca="1" si="75"/>
        <v>-</v>
      </c>
      <c r="AU36" s="65" t="str">
        <f t="shared" ca="1" si="75"/>
        <v>-</v>
      </c>
      <c r="AV36" s="65" t="str">
        <f t="shared" ca="1" si="75"/>
        <v>-</v>
      </c>
      <c r="AW36" s="65" t="str">
        <f t="shared" ca="1" si="75"/>
        <v>-</v>
      </c>
      <c r="AX36" s="65" t="str">
        <f t="shared" ca="1" si="75"/>
        <v>-</v>
      </c>
      <c r="AY36" s="65">
        <f t="shared" ca="1" si="75"/>
        <v>138</v>
      </c>
      <c r="AZ36" s="65">
        <f t="shared" ca="1" si="75"/>
        <v>138</v>
      </c>
      <c r="BA36" s="65">
        <f t="shared" ca="1" si="75"/>
        <v>138</v>
      </c>
      <c r="BB36" s="65">
        <f t="shared" ca="1" si="75"/>
        <v>138</v>
      </c>
      <c r="BC36" s="65">
        <f t="shared" ca="1" si="75"/>
        <v>138</v>
      </c>
      <c r="BD36" s="65">
        <f t="shared" ca="1" si="75"/>
        <v>138</v>
      </c>
      <c r="BE36" s="65">
        <f t="shared" ca="1" si="75"/>
        <v>138</v>
      </c>
      <c r="BF36" s="65">
        <f t="shared" ca="1" si="75"/>
        <v>138</v>
      </c>
      <c r="BG36" s="65">
        <f t="shared" ca="1" si="75"/>
        <v>138</v>
      </c>
      <c r="BH36" s="65">
        <f t="shared" ca="1" si="75"/>
        <v>138</v>
      </c>
      <c r="BI36" s="65">
        <f t="shared" ca="1" si="76"/>
        <v>138</v>
      </c>
      <c r="BJ36" s="65" t="str">
        <f t="shared" ca="1" si="76"/>
        <v>-</v>
      </c>
      <c r="BK36" s="65" t="str">
        <f t="shared" ca="1" si="76"/>
        <v>-</v>
      </c>
      <c r="BL36" s="65" t="str">
        <f t="shared" ca="1" si="76"/>
        <v>-</v>
      </c>
      <c r="BM36" s="65" t="str">
        <f t="shared" ca="1" si="76"/>
        <v>-</v>
      </c>
      <c r="BN36" s="65" t="str">
        <f t="shared" ca="1" si="76"/>
        <v>-</v>
      </c>
      <c r="BO36" s="65" t="str">
        <f t="shared" ca="1" si="76"/>
        <v>-</v>
      </c>
      <c r="BP36" s="65" t="str">
        <f t="shared" ca="1" si="76"/>
        <v>-</v>
      </c>
      <c r="BQ36" s="65" t="str">
        <f t="shared" ca="1" si="76"/>
        <v>-</v>
      </c>
      <c r="BR36" s="65" t="str">
        <f t="shared" ca="1" si="76"/>
        <v>-</v>
      </c>
      <c r="BS36" s="65" t="str">
        <f t="shared" ca="1" si="76"/>
        <v>-</v>
      </c>
      <c r="BT36" s="65" t="str">
        <f t="shared" ca="1" si="76"/>
        <v>-</v>
      </c>
      <c r="BU36" s="65" t="str">
        <f t="shared" ca="1" si="76"/>
        <v>-</v>
      </c>
      <c r="BV36" s="65" t="str">
        <f t="shared" ca="1" si="76"/>
        <v>-</v>
      </c>
      <c r="BW36" s="65" t="str">
        <f t="shared" ca="1" si="76"/>
        <v>-</v>
      </c>
      <c r="BX36" s="65" t="str">
        <f t="shared" ca="1" si="76"/>
        <v>-</v>
      </c>
      <c r="BY36" s="65" t="str">
        <f t="shared" ca="1" si="77"/>
        <v>-</v>
      </c>
      <c r="BZ36" s="65" t="str">
        <f t="shared" ca="1" si="77"/>
        <v>-</v>
      </c>
      <c r="CA36" s="65" t="str">
        <f t="shared" ca="1" si="77"/>
        <v>-</v>
      </c>
      <c r="CB36" s="65" t="str">
        <f t="shared" ca="1" si="77"/>
        <v>-</v>
      </c>
      <c r="CC36" s="65" t="str">
        <f t="shared" ca="1" si="77"/>
        <v>-</v>
      </c>
      <c r="CD36" s="65" t="str">
        <f t="shared" ca="1" si="77"/>
        <v>-</v>
      </c>
      <c r="CE36" s="65" t="str">
        <f t="shared" ca="1" si="77"/>
        <v>-</v>
      </c>
      <c r="CF36" s="65" t="str">
        <f t="shared" ca="1" si="77"/>
        <v>-</v>
      </c>
      <c r="CG36" s="65" t="str">
        <f t="shared" ca="1" si="77"/>
        <v>-</v>
      </c>
      <c r="CH36" s="65" t="str">
        <f t="shared" ca="1" si="77"/>
        <v>-</v>
      </c>
      <c r="CI36" s="65" t="str">
        <f t="shared" ca="1" si="77"/>
        <v>-</v>
      </c>
      <c r="CJ36" s="65" t="str">
        <f t="shared" ca="1" si="77"/>
        <v>-</v>
      </c>
      <c r="CK36" s="65" t="str">
        <f t="shared" ca="1" si="77"/>
        <v>-</v>
      </c>
      <c r="CL36" s="65" t="str">
        <f t="shared" ca="1" si="77"/>
        <v>-</v>
      </c>
      <c r="CM36" s="65" t="str">
        <f t="shared" ca="1" si="77"/>
        <v>-</v>
      </c>
      <c r="CN36" s="65" t="str">
        <f t="shared" ca="1" si="77"/>
        <v>-</v>
      </c>
      <c r="CO36" s="65" t="str">
        <f t="shared" ca="1" si="78"/>
        <v>-</v>
      </c>
      <c r="CP36" s="65" t="str">
        <f t="shared" ca="1" si="78"/>
        <v>-</v>
      </c>
      <c r="CQ36" s="65" t="str">
        <f t="shared" ca="1" si="78"/>
        <v>-</v>
      </c>
      <c r="CR36" s="65" t="str">
        <f t="shared" ca="1" si="78"/>
        <v>-</v>
      </c>
      <c r="CS36" s="65" t="str">
        <f t="shared" ca="1" si="78"/>
        <v>-</v>
      </c>
      <c r="CT36" s="65" t="str">
        <f t="shared" ca="1" si="78"/>
        <v>-</v>
      </c>
      <c r="CU36" s="65" t="str">
        <f t="shared" ca="1" si="78"/>
        <v>-</v>
      </c>
      <c r="CV36" s="65" t="str">
        <f t="shared" ca="1" si="78"/>
        <v>-</v>
      </c>
      <c r="CW36" s="65" t="str">
        <f t="shared" ca="1" si="78"/>
        <v>-</v>
      </c>
      <c r="CX36" s="65" t="str">
        <f t="shared" ca="1" si="78"/>
        <v>-</v>
      </c>
      <c r="CY36" s="65" t="str">
        <f t="shared" ca="1" si="78"/>
        <v>-</v>
      </c>
      <c r="CZ36" s="65" t="str">
        <f t="shared" ca="1" si="78"/>
        <v>-</v>
      </c>
      <c r="DA36" s="65" t="str">
        <f t="shared" ca="1" si="78"/>
        <v>-</v>
      </c>
      <c r="DB36" s="65" t="str">
        <f t="shared" ca="1" si="78"/>
        <v>-</v>
      </c>
      <c r="DC36" s="65" t="str">
        <f t="shared" ca="1" si="78"/>
        <v>-</v>
      </c>
      <c r="DD36" s="65" t="str">
        <f t="shared" ca="1" si="78"/>
        <v>-</v>
      </c>
      <c r="DE36" s="65" t="str">
        <f t="shared" ca="1" si="79"/>
        <v>-</v>
      </c>
      <c r="DF36" s="65" t="str">
        <f t="shared" ca="1" si="79"/>
        <v>-</v>
      </c>
      <c r="DG36" s="65" t="str">
        <f t="shared" ca="1" si="79"/>
        <v>-</v>
      </c>
      <c r="DH36" s="65" t="str">
        <f t="shared" ca="1" si="79"/>
        <v>-</v>
      </c>
      <c r="DI36" s="65" t="str">
        <f t="shared" ca="1" si="79"/>
        <v>-</v>
      </c>
      <c r="DJ36" s="65" t="str">
        <f t="shared" ca="1" si="79"/>
        <v>-</v>
      </c>
      <c r="DK36" s="65" t="str">
        <f t="shared" ca="1" si="79"/>
        <v>-</v>
      </c>
      <c r="DL36" s="65" t="str">
        <f t="shared" ca="1" si="79"/>
        <v>-</v>
      </c>
      <c r="DM36" s="65" t="str">
        <f t="shared" ca="1" si="79"/>
        <v>-</v>
      </c>
      <c r="DN36" s="65" t="str">
        <f t="shared" ca="1" si="79"/>
        <v>-</v>
      </c>
      <c r="DO36" s="65" t="str">
        <f t="shared" ca="1" si="79"/>
        <v>-</v>
      </c>
      <c r="DP36" s="65" t="str">
        <f t="shared" ca="1" si="79"/>
        <v>-</v>
      </c>
      <c r="DQ36" s="65" t="str">
        <f t="shared" ca="1" si="79"/>
        <v>-</v>
      </c>
      <c r="DR36" s="65" t="str">
        <f t="shared" ca="1" si="79"/>
        <v>-</v>
      </c>
      <c r="DS36" s="65" t="str">
        <f t="shared" ca="1" si="79"/>
        <v>-</v>
      </c>
      <c r="DT36" s="65" t="str">
        <f t="shared" ca="1" si="79"/>
        <v>-</v>
      </c>
      <c r="DU36" s="65" t="str">
        <f t="shared" ca="1" si="80"/>
        <v>-</v>
      </c>
      <c r="DV36" s="65" t="str">
        <f t="shared" ca="1" si="80"/>
        <v>-</v>
      </c>
      <c r="DW36" s="65" t="str">
        <f t="shared" ca="1" si="80"/>
        <v>-</v>
      </c>
      <c r="DX36" s="65" t="str">
        <f t="shared" ca="1" si="80"/>
        <v>-</v>
      </c>
      <c r="DY36" s="65" t="str">
        <f t="shared" ca="1" si="80"/>
        <v>-</v>
      </c>
      <c r="DZ36" s="65" t="str">
        <f t="shared" ca="1" si="80"/>
        <v>-</v>
      </c>
      <c r="EA36" s="65" t="str">
        <f t="shared" ca="1" si="80"/>
        <v>-</v>
      </c>
      <c r="EB36" s="65" t="str">
        <f t="shared" ca="1" si="80"/>
        <v>-</v>
      </c>
      <c r="EC36" s="65" t="str">
        <f t="shared" ca="1" si="80"/>
        <v>-</v>
      </c>
      <c r="ED36" s="65" t="str">
        <f t="shared" ca="1" si="80"/>
        <v>-</v>
      </c>
      <c r="EE36" s="65" t="str">
        <f t="shared" ca="1" si="80"/>
        <v>-</v>
      </c>
      <c r="EF36" s="65" t="str">
        <f t="shared" ca="1" si="80"/>
        <v>-</v>
      </c>
      <c r="EG36" s="65" t="str">
        <f t="shared" ca="1" si="80"/>
        <v>-</v>
      </c>
      <c r="EH36" s="65" t="str">
        <f t="shared" ca="1" si="80"/>
        <v>-</v>
      </c>
      <c r="EI36" s="65" t="str">
        <f t="shared" ca="1" si="80"/>
        <v>-</v>
      </c>
      <c r="EJ36" s="65" t="str">
        <f t="shared" ca="1" si="80"/>
        <v>-</v>
      </c>
      <c r="EK36" s="65" t="str">
        <f t="shared" ca="1" si="81"/>
        <v>-</v>
      </c>
      <c r="EL36" s="65" t="str">
        <f t="shared" ca="1" si="81"/>
        <v>-</v>
      </c>
      <c r="EM36" s="65" t="str">
        <f t="shared" ca="1" si="81"/>
        <v>-</v>
      </c>
      <c r="EN36" s="65" t="str">
        <f t="shared" ca="1" si="81"/>
        <v>-</v>
      </c>
      <c r="EO36" s="65" t="str">
        <f t="shared" ca="1" si="81"/>
        <v>-</v>
      </c>
    </row>
    <row r="37" spans="1:147">
      <c r="A37" s="448"/>
      <c r="B37" s="451"/>
      <c r="C37" s="451"/>
      <c r="D37" s="456"/>
      <c r="E37" s="185" t="s">
        <v>66</v>
      </c>
      <c r="F37" s="66">
        <f>SUM('BESS 11'!S211,'BESS 11'!S214:S215,'BESS 11'!S219:S220)</f>
        <v>2453.6666666666665</v>
      </c>
      <c r="G37" s="182">
        <f>G35+1</f>
        <v>46254</v>
      </c>
      <c r="H37" s="182">
        <f>G37+20</f>
        <v>46274</v>
      </c>
      <c r="I37" s="65">
        <f>H37-G37</f>
        <v>20</v>
      </c>
      <c r="J37" s="453"/>
      <c r="K37" s="453"/>
      <c r="L37" s="445"/>
      <c r="M37" s="65" t="str">
        <f t="shared" si="73"/>
        <v>-</v>
      </c>
      <c r="N37" s="65" t="str">
        <f t="shared" si="73"/>
        <v>-</v>
      </c>
      <c r="O37" s="65" t="str">
        <f t="shared" si="73"/>
        <v>-</v>
      </c>
      <c r="P37" s="65" t="str">
        <f t="shared" si="73"/>
        <v>-</v>
      </c>
      <c r="Q37" s="65" t="str">
        <f t="shared" si="73"/>
        <v>-</v>
      </c>
      <c r="R37" s="65" t="str">
        <f t="shared" si="73"/>
        <v>-</v>
      </c>
      <c r="S37" s="65" t="str">
        <f t="shared" si="73"/>
        <v>-</v>
      </c>
      <c r="T37" s="65" t="str">
        <f t="shared" si="73"/>
        <v>-</v>
      </c>
      <c r="U37" s="65" t="str">
        <f t="shared" si="73"/>
        <v>-</v>
      </c>
      <c r="V37" s="65" t="str">
        <f t="shared" si="73"/>
        <v>-</v>
      </c>
      <c r="W37" s="65" t="str">
        <f t="shared" si="73"/>
        <v>-</v>
      </c>
      <c r="X37" s="65" t="str">
        <f t="shared" si="73"/>
        <v>-</v>
      </c>
      <c r="Y37" s="65" t="str">
        <f t="shared" si="73"/>
        <v>-</v>
      </c>
      <c r="Z37" s="65" t="str">
        <f t="shared" si="73"/>
        <v>-</v>
      </c>
      <c r="AA37" s="65" t="str">
        <f t="shared" si="73"/>
        <v>-</v>
      </c>
      <c r="AB37" s="65" t="str">
        <f t="shared" si="73"/>
        <v>-</v>
      </c>
      <c r="AC37" s="65" t="str">
        <f t="shared" si="74"/>
        <v>-</v>
      </c>
      <c r="AD37" s="65" t="str">
        <f t="shared" si="74"/>
        <v>-</v>
      </c>
      <c r="AE37" s="65" t="str">
        <f t="shared" si="74"/>
        <v>-</v>
      </c>
      <c r="AF37" s="65" t="str">
        <f t="shared" si="74"/>
        <v>-</v>
      </c>
      <c r="AG37" s="65" t="str">
        <f t="shared" si="74"/>
        <v>-</v>
      </c>
      <c r="AH37" s="65" t="str">
        <f t="shared" si="74"/>
        <v>-</v>
      </c>
      <c r="AI37" s="65" t="str">
        <f t="shared" si="74"/>
        <v>-</v>
      </c>
      <c r="AJ37" s="65" t="str">
        <f t="shared" si="74"/>
        <v>-</v>
      </c>
      <c r="AK37" s="65" t="str">
        <f t="shared" si="74"/>
        <v>-</v>
      </c>
      <c r="AL37" s="65" t="str">
        <f t="shared" si="74"/>
        <v>-</v>
      </c>
      <c r="AM37" s="65" t="str">
        <f t="shared" si="74"/>
        <v>-</v>
      </c>
      <c r="AN37" s="65" t="str">
        <f t="shared" si="74"/>
        <v>-</v>
      </c>
      <c r="AO37" s="65" t="str">
        <f t="shared" si="74"/>
        <v>-</v>
      </c>
      <c r="AP37" s="65" t="str">
        <f t="shared" si="74"/>
        <v>-</v>
      </c>
      <c r="AQ37" s="65" t="str">
        <f t="shared" si="74"/>
        <v>-</v>
      </c>
      <c r="AR37" s="65" t="str">
        <f t="shared" si="74"/>
        <v>-</v>
      </c>
      <c r="AS37" s="65" t="str">
        <f t="shared" si="75"/>
        <v>-</v>
      </c>
      <c r="AT37" s="65" t="str">
        <f t="shared" si="75"/>
        <v>-</v>
      </c>
      <c r="AU37" s="65" t="str">
        <f t="shared" si="75"/>
        <v>-</v>
      </c>
      <c r="AV37" s="65" t="str">
        <f t="shared" si="75"/>
        <v>-</v>
      </c>
      <c r="AW37" s="65" t="str">
        <f t="shared" si="75"/>
        <v>-</v>
      </c>
      <c r="AX37" s="65" t="str">
        <f t="shared" si="75"/>
        <v>-</v>
      </c>
      <c r="AY37" s="65" t="str">
        <f t="shared" si="75"/>
        <v>-</v>
      </c>
      <c r="AZ37" s="65" t="str">
        <f t="shared" si="75"/>
        <v>-</v>
      </c>
      <c r="BA37" s="65" t="str">
        <f t="shared" si="75"/>
        <v>-</v>
      </c>
      <c r="BB37" s="65" t="str">
        <f t="shared" si="75"/>
        <v>-</v>
      </c>
      <c r="BC37" s="65" t="str">
        <f t="shared" si="75"/>
        <v>-</v>
      </c>
      <c r="BD37" s="65" t="str">
        <f t="shared" si="75"/>
        <v>-</v>
      </c>
      <c r="BE37" s="65" t="str">
        <f t="shared" si="75"/>
        <v>-</v>
      </c>
      <c r="BF37" s="65" t="str">
        <f t="shared" si="75"/>
        <v>-</v>
      </c>
      <c r="BG37" s="65" t="str">
        <f t="shared" si="75"/>
        <v>-</v>
      </c>
      <c r="BH37" s="65" t="str">
        <f t="shared" si="75"/>
        <v>-</v>
      </c>
      <c r="BI37" s="65" t="str">
        <f t="shared" si="76"/>
        <v>-</v>
      </c>
      <c r="BJ37" s="65" t="str">
        <f t="shared" si="76"/>
        <v>-</v>
      </c>
      <c r="BK37" s="65" t="str">
        <f t="shared" si="76"/>
        <v>-</v>
      </c>
      <c r="BL37" s="65" t="str">
        <f t="shared" si="76"/>
        <v>-</v>
      </c>
      <c r="BM37" s="65" t="str">
        <f t="shared" si="76"/>
        <v>-</v>
      </c>
      <c r="BN37" s="65" t="str">
        <f t="shared" si="76"/>
        <v>-</v>
      </c>
      <c r="BO37" s="65" t="str">
        <f t="shared" si="76"/>
        <v>-</v>
      </c>
      <c r="BP37" s="65" t="str">
        <f t="shared" si="76"/>
        <v>-</v>
      </c>
      <c r="BQ37" s="65" t="str">
        <f t="shared" si="76"/>
        <v>-</v>
      </c>
      <c r="BR37" s="65" t="str">
        <f t="shared" si="76"/>
        <v>-</v>
      </c>
      <c r="BS37" s="65" t="str">
        <f t="shared" si="76"/>
        <v>-</v>
      </c>
      <c r="BT37" s="65">
        <f t="shared" si="76"/>
        <v>123</v>
      </c>
      <c r="BU37" s="65">
        <f t="shared" si="76"/>
        <v>123</v>
      </c>
      <c r="BV37" s="65">
        <f t="shared" si="76"/>
        <v>123</v>
      </c>
      <c r="BW37" s="65">
        <f t="shared" si="76"/>
        <v>123</v>
      </c>
      <c r="BX37" s="65">
        <f t="shared" si="76"/>
        <v>123</v>
      </c>
      <c r="BY37" s="65">
        <f t="shared" si="77"/>
        <v>123</v>
      </c>
      <c r="BZ37" s="65">
        <f t="shared" si="77"/>
        <v>123</v>
      </c>
      <c r="CA37" s="65">
        <f t="shared" si="77"/>
        <v>123</v>
      </c>
      <c r="CB37" s="65">
        <f t="shared" si="77"/>
        <v>123</v>
      </c>
      <c r="CC37" s="65">
        <f t="shared" si="77"/>
        <v>123</v>
      </c>
      <c r="CD37" s="65">
        <f t="shared" si="77"/>
        <v>123</v>
      </c>
      <c r="CE37" s="65">
        <f t="shared" si="77"/>
        <v>123</v>
      </c>
      <c r="CF37" s="65">
        <f t="shared" si="77"/>
        <v>123</v>
      </c>
      <c r="CG37" s="65">
        <f t="shared" si="77"/>
        <v>123</v>
      </c>
      <c r="CH37" s="65">
        <f t="shared" si="77"/>
        <v>123</v>
      </c>
      <c r="CI37" s="65">
        <f t="shared" si="77"/>
        <v>123</v>
      </c>
      <c r="CJ37" s="65">
        <f t="shared" si="77"/>
        <v>123</v>
      </c>
      <c r="CK37" s="65">
        <f t="shared" si="77"/>
        <v>123</v>
      </c>
      <c r="CL37" s="65">
        <f t="shared" si="77"/>
        <v>123</v>
      </c>
      <c r="CM37" s="65">
        <f t="shared" si="77"/>
        <v>123</v>
      </c>
      <c r="CN37" s="65" t="str">
        <f t="shared" si="77"/>
        <v>-</v>
      </c>
      <c r="CO37" s="65" t="str">
        <f t="shared" si="78"/>
        <v>-</v>
      </c>
      <c r="CP37" s="65" t="str">
        <f t="shared" si="78"/>
        <v>-</v>
      </c>
      <c r="CQ37" s="65" t="str">
        <f t="shared" si="78"/>
        <v>-</v>
      </c>
      <c r="CR37" s="65" t="str">
        <f t="shared" si="78"/>
        <v>-</v>
      </c>
      <c r="CS37" s="65" t="str">
        <f t="shared" si="78"/>
        <v>-</v>
      </c>
      <c r="CT37" s="65" t="str">
        <f t="shared" si="78"/>
        <v>-</v>
      </c>
      <c r="CU37" s="65" t="str">
        <f t="shared" si="78"/>
        <v>-</v>
      </c>
      <c r="CV37" s="65" t="str">
        <f t="shared" si="78"/>
        <v>-</v>
      </c>
      <c r="CW37" s="65" t="str">
        <f t="shared" si="78"/>
        <v>-</v>
      </c>
      <c r="CX37" s="65" t="str">
        <f t="shared" si="78"/>
        <v>-</v>
      </c>
      <c r="CY37" s="65" t="str">
        <f t="shared" si="78"/>
        <v>-</v>
      </c>
      <c r="CZ37" s="65" t="str">
        <f t="shared" si="78"/>
        <v>-</v>
      </c>
      <c r="DA37" s="65" t="str">
        <f t="shared" si="78"/>
        <v>-</v>
      </c>
      <c r="DB37" s="65" t="str">
        <f t="shared" si="78"/>
        <v>-</v>
      </c>
      <c r="DC37" s="65" t="str">
        <f t="shared" si="78"/>
        <v>-</v>
      </c>
      <c r="DD37" s="65" t="str">
        <f t="shared" si="78"/>
        <v>-</v>
      </c>
      <c r="DE37" s="65" t="str">
        <f t="shared" si="79"/>
        <v>-</v>
      </c>
      <c r="DF37" s="65" t="str">
        <f t="shared" si="79"/>
        <v>-</v>
      </c>
      <c r="DG37" s="65" t="str">
        <f t="shared" si="79"/>
        <v>-</v>
      </c>
      <c r="DH37" s="65" t="str">
        <f t="shared" si="79"/>
        <v>-</v>
      </c>
      <c r="DI37" s="65" t="str">
        <f t="shared" si="79"/>
        <v>-</v>
      </c>
      <c r="DJ37" s="65" t="str">
        <f t="shared" si="79"/>
        <v>-</v>
      </c>
      <c r="DK37" s="65" t="str">
        <f t="shared" si="79"/>
        <v>-</v>
      </c>
      <c r="DL37" s="65" t="str">
        <f t="shared" si="79"/>
        <v>-</v>
      </c>
      <c r="DM37" s="65" t="str">
        <f t="shared" si="79"/>
        <v>-</v>
      </c>
      <c r="DN37" s="65" t="str">
        <f t="shared" si="79"/>
        <v>-</v>
      </c>
      <c r="DO37" s="65" t="str">
        <f t="shared" si="79"/>
        <v>-</v>
      </c>
      <c r="DP37" s="65" t="str">
        <f t="shared" si="79"/>
        <v>-</v>
      </c>
      <c r="DQ37" s="65" t="str">
        <f t="shared" si="79"/>
        <v>-</v>
      </c>
      <c r="DR37" s="65" t="str">
        <f t="shared" si="79"/>
        <v>-</v>
      </c>
      <c r="DS37" s="65" t="str">
        <f t="shared" si="79"/>
        <v>-</v>
      </c>
      <c r="DT37" s="65" t="str">
        <f t="shared" si="79"/>
        <v>-</v>
      </c>
      <c r="DU37" s="65" t="str">
        <f t="shared" si="80"/>
        <v>-</v>
      </c>
      <c r="DV37" s="65" t="str">
        <f t="shared" si="80"/>
        <v>-</v>
      </c>
      <c r="DW37" s="65" t="str">
        <f t="shared" si="80"/>
        <v>-</v>
      </c>
      <c r="DX37" s="65" t="str">
        <f t="shared" si="80"/>
        <v>-</v>
      </c>
      <c r="DY37" s="65" t="str">
        <f t="shared" si="80"/>
        <v>-</v>
      </c>
      <c r="DZ37" s="65" t="str">
        <f t="shared" si="80"/>
        <v>-</v>
      </c>
      <c r="EA37" s="65" t="str">
        <f t="shared" si="80"/>
        <v>-</v>
      </c>
      <c r="EB37" s="65" t="str">
        <f t="shared" si="80"/>
        <v>-</v>
      </c>
      <c r="EC37" s="65" t="str">
        <f t="shared" si="80"/>
        <v>-</v>
      </c>
      <c r="ED37" s="65" t="str">
        <f t="shared" si="80"/>
        <v>-</v>
      </c>
      <c r="EE37" s="65" t="str">
        <f t="shared" si="80"/>
        <v>-</v>
      </c>
      <c r="EF37" s="65" t="str">
        <f t="shared" si="80"/>
        <v>-</v>
      </c>
      <c r="EG37" s="65" t="str">
        <f t="shared" si="80"/>
        <v>-</v>
      </c>
      <c r="EH37" s="65" t="str">
        <f t="shared" si="80"/>
        <v>-</v>
      </c>
      <c r="EI37" s="65" t="str">
        <f t="shared" si="80"/>
        <v>-</v>
      </c>
      <c r="EJ37" s="65" t="str">
        <f t="shared" si="80"/>
        <v>-</v>
      </c>
      <c r="EK37" s="65" t="str">
        <f t="shared" si="81"/>
        <v>-</v>
      </c>
      <c r="EL37" s="65" t="str">
        <f t="shared" si="81"/>
        <v>-</v>
      </c>
      <c r="EM37" s="65" t="str">
        <f t="shared" si="81"/>
        <v>-</v>
      </c>
      <c r="EN37" s="65" t="str">
        <f t="shared" si="81"/>
        <v>-</v>
      </c>
      <c r="EO37" s="65" t="str">
        <f t="shared" si="81"/>
        <v>-</v>
      </c>
    </row>
    <row r="38" spans="1:147">
      <c r="A38" s="448"/>
      <c r="B38" s="451"/>
      <c r="C38" s="451"/>
      <c r="D38" s="456"/>
      <c r="E38" s="185" t="s">
        <v>67</v>
      </c>
      <c r="F38" s="66">
        <f>SUM('BESS 11'!S222:S231)</f>
        <v>340.69333333333333</v>
      </c>
      <c r="G38" s="182">
        <f>H38-14</f>
        <v>46262</v>
      </c>
      <c r="H38" s="182">
        <f>MAX('BESS 11'!O222:O231)</f>
        <v>46276</v>
      </c>
      <c r="I38" s="65">
        <f>H38-G38</f>
        <v>14</v>
      </c>
      <c r="J38" s="453"/>
      <c r="K38" s="453"/>
      <c r="L38" s="445"/>
      <c r="M38" s="65" t="str">
        <f t="shared" si="73"/>
        <v>-</v>
      </c>
      <c r="N38" s="65" t="str">
        <f t="shared" si="73"/>
        <v>-</v>
      </c>
      <c r="O38" s="65" t="str">
        <f t="shared" si="73"/>
        <v>-</v>
      </c>
      <c r="P38" s="65" t="str">
        <f t="shared" si="73"/>
        <v>-</v>
      </c>
      <c r="Q38" s="65" t="str">
        <f t="shared" si="73"/>
        <v>-</v>
      </c>
      <c r="R38" s="65" t="str">
        <f t="shared" si="73"/>
        <v>-</v>
      </c>
      <c r="S38" s="65" t="str">
        <f t="shared" si="73"/>
        <v>-</v>
      </c>
      <c r="T38" s="65" t="str">
        <f t="shared" si="73"/>
        <v>-</v>
      </c>
      <c r="U38" s="65" t="str">
        <f t="shared" si="73"/>
        <v>-</v>
      </c>
      <c r="V38" s="65" t="str">
        <f t="shared" si="73"/>
        <v>-</v>
      </c>
      <c r="W38" s="65" t="str">
        <f t="shared" si="73"/>
        <v>-</v>
      </c>
      <c r="X38" s="65" t="str">
        <f t="shared" si="73"/>
        <v>-</v>
      </c>
      <c r="Y38" s="65" t="str">
        <f t="shared" si="73"/>
        <v>-</v>
      </c>
      <c r="Z38" s="65" t="str">
        <f t="shared" si="73"/>
        <v>-</v>
      </c>
      <c r="AA38" s="65" t="str">
        <f t="shared" si="73"/>
        <v>-</v>
      </c>
      <c r="AB38" s="65" t="str">
        <f t="shared" si="73"/>
        <v>-</v>
      </c>
      <c r="AC38" s="65" t="str">
        <f t="shared" si="74"/>
        <v>-</v>
      </c>
      <c r="AD38" s="65" t="str">
        <f t="shared" si="74"/>
        <v>-</v>
      </c>
      <c r="AE38" s="65" t="str">
        <f t="shared" si="74"/>
        <v>-</v>
      </c>
      <c r="AF38" s="65" t="str">
        <f t="shared" si="74"/>
        <v>-</v>
      </c>
      <c r="AG38" s="65" t="str">
        <f t="shared" si="74"/>
        <v>-</v>
      </c>
      <c r="AH38" s="65" t="str">
        <f t="shared" si="74"/>
        <v>-</v>
      </c>
      <c r="AI38" s="65" t="str">
        <f t="shared" si="74"/>
        <v>-</v>
      </c>
      <c r="AJ38" s="65" t="str">
        <f t="shared" si="74"/>
        <v>-</v>
      </c>
      <c r="AK38" s="65" t="str">
        <f t="shared" si="74"/>
        <v>-</v>
      </c>
      <c r="AL38" s="65" t="str">
        <f t="shared" si="74"/>
        <v>-</v>
      </c>
      <c r="AM38" s="65" t="str">
        <f t="shared" si="74"/>
        <v>-</v>
      </c>
      <c r="AN38" s="65" t="str">
        <f t="shared" si="74"/>
        <v>-</v>
      </c>
      <c r="AO38" s="65" t="str">
        <f t="shared" si="74"/>
        <v>-</v>
      </c>
      <c r="AP38" s="65" t="str">
        <f t="shared" si="74"/>
        <v>-</v>
      </c>
      <c r="AQ38" s="65" t="str">
        <f t="shared" si="74"/>
        <v>-</v>
      </c>
      <c r="AR38" s="65" t="str">
        <f t="shared" si="74"/>
        <v>-</v>
      </c>
      <c r="AS38" s="65" t="str">
        <f t="shared" si="75"/>
        <v>-</v>
      </c>
      <c r="AT38" s="65" t="str">
        <f t="shared" si="75"/>
        <v>-</v>
      </c>
      <c r="AU38" s="65" t="str">
        <f t="shared" si="75"/>
        <v>-</v>
      </c>
      <c r="AV38" s="65" t="str">
        <f t="shared" si="75"/>
        <v>-</v>
      </c>
      <c r="AW38" s="65" t="str">
        <f t="shared" si="75"/>
        <v>-</v>
      </c>
      <c r="AX38" s="65" t="str">
        <f t="shared" si="75"/>
        <v>-</v>
      </c>
      <c r="AY38" s="65" t="str">
        <f t="shared" si="75"/>
        <v>-</v>
      </c>
      <c r="AZ38" s="65" t="str">
        <f t="shared" si="75"/>
        <v>-</v>
      </c>
      <c r="BA38" s="65" t="str">
        <f t="shared" si="75"/>
        <v>-</v>
      </c>
      <c r="BB38" s="65" t="str">
        <f t="shared" si="75"/>
        <v>-</v>
      </c>
      <c r="BC38" s="65" t="str">
        <f t="shared" si="75"/>
        <v>-</v>
      </c>
      <c r="BD38" s="65" t="str">
        <f t="shared" si="75"/>
        <v>-</v>
      </c>
      <c r="BE38" s="65" t="str">
        <f t="shared" si="75"/>
        <v>-</v>
      </c>
      <c r="BF38" s="65" t="str">
        <f t="shared" si="75"/>
        <v>-</v>
      </c>
      <c r="BG38" s="65" t="str">
        <f t="shared" si="75"/>
        <v>-</v>
      </c>
      <c r="BH38" s="65" t="str">
        <f t="shared" si="75"/>
        <v>-</v>
      </c>
      <c r="BI38" s="65" t="str">
        <f t="shared" si="76"/>
        <v>-</v>
      </c>
      <c r="BJ38" s="65" t="str">
        <f t="shared" si="76"/>
        <v>-</v>
      </c>
      <c r="BK38" s="65" t="str">
        <f t="shared" si="76"/>
        <v>-</v>
      </c>
      <c r="BL38" s="65" t="str">
        <f t="shared" si="76"/>
        <v>-</v>
      </c>
      <c r="BM38" s="65" t="str">
        <f t="shared" si="76"/>
        <v>-</v>
      </c>
      <c r="BN38" s="65" t="str">
        <f t="shared" si="76"/>
        <v>-</v>
      </c>
      <c r="BO38" s="65" t="str">
        <f t="shared" si="76"/>
        <v>-</v>
      </c>
      <c r="BP38" s="65" t="str">
        <f t="shared" si="76"/>
        <v>-</v>
      </c>
      <c r="BQ38" s="65" t="str">
        <f t="shared" si="76"/>
        <v>-</v>
      </c>
      <c r="BR38" s="65" t="str">
        <f t="shared" si="76"/>
        <v>-</v>
      </c>
      <c r="BS38" s="65" t="str">
        <f t="shared" si="76"/>
        <v>-</v>
      </c>
      <c r="BT38" s="65" t="str">
        <f t="shared" si="76"/>
        <v>-</v>
      </c>
      <c r="BU38" s="65" t="str">
        <f t="shared" si="76"/>
        <v>-</v>
      </c>
      <c r="BV38" s="65" t="str">
        <f t="shared" si="76"/>
        <v>-</v>
      </c>
      <c r="BW38" s="65" t="str">
        <f t="shared" si="76"/>
        <v>-</v>
      </c>
      <c r="BX38" s="65" t="str">
        <f t="shared" si="76"/>
        <v>-</v>
      </c>
      <c r="BY38" s="65" t="str">
        <f t="shared" si="77"/>
        <v>-</v>
      </c>
      <c r="BZ38" s="65" t="str">
        <f t="shared" si="77"/>
        <v>-</v>
      </c>
      <c r="CA38" s="65" t="str">
        <f t="shared" si="77"/>
        <v>-</v>
      </c>
      <c r="CB38" s="65">
        <f t="shared" si="77"/>
        <v>24</v>
      </c>
      <c r="CC38" s="65">
        <f t="shared" si="77"/>
        <v>24</v>
      </c>
      <c r="CD38" s="65">
        <f t="shared" si="77"/>
        <v>24</v>
      </c>
      <c r="CE38" s="65">
        <f t="shared" si="77"/>
        <v>24</v>
      </c>
      <c r="CF38" s="65">
        <f t="shared" si="77"/>
        <v>24</v>
      </c>
      <c r="CG38" s="65">
        <f t="shared" si="77"/>
        <v>24</v>
      </c>
      <c r="CH38" s="65">
        <f t="shared" si="77"/>
        <v>24</v>
      </c>
      <c r="CI38" s="65">
        <f t="shared" si="77"/>
        <v>24</v>
      </c>
      <c r="CJ38" s="65">
        <f t="shared" si="77"/>
        <v>24</v>
      </c>
      <c r="CK38" s="65">
        <f t="shared" si="77"/>
        <v>24</v>
      </c>
      <c r="CL38" s="65">
        <f t="shared" si="77"/>
        <v>24</v>
      </c>
      <c r="CM38" s="65">
        <f t="shared" si="77"/>
        <v>24</v>
      </c>
      <c r="CN38" s="65">
        <f t="shared" si="77"/>
        <v>24</v>
      </c>
      <c r="CO38" s="65">
        <f t="shared" si="78"/>
        <v>24</v>
      </c>
      <c r="CP38" s="65" t="str">
        <f t="shared" si="78"/>
        <v>-</v>
      </c>
      <c r="CQ38" s="65" t="str">
        <f t="shared" si="78"/>
        <v>-</v>
      </c>
      <c r="CR38" s="65" t="str">
        <f t="shared" si="78"/>
        <v>-</v>
      </c>
      <c r="CS38" s="65" t="str">
        <f t="shared" si="78"/>
        <v>-</v>
      </c>
      <c r="CT38" s="65" t="str">
        <f t="shared" si="78"/>
        <v>-</v>
      </c>
      <c r="CU38" s="164" t="str">
        <f t="shared" si="78"/>
        <v>-</v>
      </c>
      <c r="CV38" s="164" t="str">
        <f t="shared" si="78"/>
        <v>-</v>
      </c>
      <c r="CW38" s="164" t="str">
        <f t="shared" si="78"/>
        <v>-</v>
      </c>
      <c r="CX38" s="164" t="str">
        <f t="shared" si="78"/>
        <v>-</v>
      </c>
      <c r="CY38" s="164" t="str">
        <f t="shared" si="78"/>
        <v>-</v>
      </c>
      <c r="CZ38" s="164" t="str">
        <f t="shared" si="78"/>
        <v>-</v>
      </c>
      <c r="DA38" s="164" t="str">
        <f t="shared" si="78"/>
        <v>-</v>
      </c>
      <c r="DB38" s="164" t="str">
        <f t="shared" si="78"/>
        <v>-</v>
      </c>
      <c r="DC38" s="164" t="str">
        <f t="shared" si="78"/>
        <v>-</v>
      </c>
      <c r="DD38" s="164" t="str">
        <f t="shared" si="78"/>
        <v>-</v>
      </c>
      <c r="DE38" s="164" t="str">
        <f t="shared" si="79"/>
        <v>-</v>
      </c>
      <c r="DF38" s="164" t="str">
        <f t="shared" si="79"/>
        <v>-</v>
      </c>
      <c r="DG38" s="164" t="str">
        <f t="shared" si="79"/>
        <v>-</v>
      </c>
      <c r="DH38" s="164" t="str">
        <f t="shared" si="79"/>
        <v>-</v>
      </c>
      <c r="DI38" s="164" t="str">
        <f t="shared" si="79"/>
        <v>-</v>
      </c>
      <c r="DJ38" s="164" t="str">
        <f t="shared" si="79"/>
        <v>-</v>
      </c>
      <c r="DK38" s="164" t="str">
        <f t="shared" si="79"/>
        <v>-</v>
      </c>
      <c r="DL38" s="164" t="str">
        <f t="shared" si="79"/>
        <v>-</v>
      </c>
      <c r="DM38" s="164" t="str">
        <f t="shared" si="79"/>
        <v>-</v>
      </c>
      <c r="DN38" s="164" t="str">
        <f t="shared" si="79"/>
        <v>-</v>
      </c>
      <c r="DO38" s="164" t="str">
        <f t="shared" si="79"/>
        <v>-</v>
      </c>
      <c r="DP38" s="164" t="str">
        <f t="shared" si="79"/>
        <v>-</v>
      </c>
      <c r="DQ38" s="164" t="str">
        <f t="shared" si="79"/>
        <v>-</v>
      </c>
      <c r="DR38" s="164" t="str">
        <f t="shared" si="79"/>
        <v>-</v>
      </c>
      <c r="DS38" s="164" t="str">
        <f t="shared" si="79"/>
        <v>-</v>
      </c>
      <c r="DT38" s="65" t="str">
        <f t="shared" si="79"/>
        <v>-</v>
      </c>
      <c r="DU38" s="65" t="str">
        <f t="shared" si="80"/>
        <v>-</v>
      </c>
      <c r="DV38" s="65" t="str">
        <f t="shared" si="80"/>
        <v>-</v>
      </c>
      <c r="DW38" s="65" t="str">
        <f t="shared" si="80"/>
        <v>-</v>
      </c>
      <c r="DX38" s="65" t="str">
        <f t="shared" si="80"/>
        <v>-</v>
      </c>
      <c r="DY38" s="65" t="str">
        <f t="shared" si="80"/>
        <v>-</v>
      </c>
      <c r="DZ38" s="65" t="str">
        <f t="shared" si="80"/>
        <v>-</v>
      </c>
      <c r="EA38" s="65" t="str">
        <f t="shared" si="80"/>
        <v>-</v>
      </c>
      <c r="EB38" s="65" t="str">
        <f t="shared" si="80"/>
        <v>-</v>
      </c>
      <c r="EC38" s="65" t="str">
        <f t="shared" si="80"/>
        <v>-</v>
      </c>
      <c r="ED38" s="65" t="str">
        <f t="shared" si="80"/>
        <v>-</v>
      </c>
      <c r="EE38" s="65" t="str">
        <f t="shared" si="80"/>
        <v>-</v>
      </c>
      <c r="EF38" s="65" t="str">
        <f t="shared" si="80"/>
        <v>-</v>
      </c>
      <c r="EG38" s="65" t="str">
        <f t="shared" si="80"/>
        <v>-</v>
      </c>
      <c r="EH38" s="65" t="str">
        <f t="shared" si="80"/>
        <v>-</v>
      </c>
      <c r="EI38" s="65" t="str">
        <f t="shared" si="80"/>
        <v>-</v>
      </c>
      <c r="EJ38" s="65" t="str">
        <f t="shared" si="80"/>
        <v>-</v>
      </c>
      <c r="EK38" s="65" t="str">
        <f t="shared" si="81"/>
        <v>-</v>
      </c>
      <c r="EL38" s="65" t="str">
        <f t="shared" si="81"/>
        <v>-</v>
      </c>
      <c r="EM38" s="65" t="str">
        <f t="shared" si="81"/>
        <v>-</v>
      </c>
      <c r="EN38" s="65" t="str">
        <f t="shared" si="81"/>
        <v>-</v>
      </c>
      <c r="EO38" s="65" t="str">
        <f t="shared" si="81"/>
        <v>-</v>
      </c>
    </row>
    <row r="39" spans="1:147">
      <c r="A39" s="449"/>
      <c r="B39" s="452"/>
      <c r="C39" s="452"/>
      <c r="D39" s="457"/>
      <c r="E39" s="185" t="s">
        <v>68</v>
      </c>
      <c r="F39" s="65">
        <v>250</v>
      </c>
      <c r="G39" s="185"/>
      <c r="H39" s="182">
        <f>B34-3</f>
        <v>46276</v>
      </c>
      <c r="I39" s="65">
        <v>30</v>
      </c>
      <c r="J39" s="454"/>
      <c r="K39" s="454"/>
      <c r="L39" s="446"/>
      <c r="M39" s="65" t="str">
        <f>IF(AND(M$2&gt;=$B$34-26,M$2&lt;=$B$34-3),5,IF(OR(M$2=$B$34-2,M$2=$B$34-1,M$2=$B$34,M$2=$B$34+1),30,IF(OR(M$2=$B$34+2,M$2=$B$34+3),5,"")))</f>
        <v/>
      </c>
      <c r="N39" s="65" t="str">
        <f t="shared" ref="N39:BY39" si="82">IF(AND(N$2&gt;=$B$34-26,N$2&lt;=$B$34-3),5,IF(OR(N$2=$B$34-2,N$2=$B$34-1,N$2=$B$34,N$2=$B$34+1),30,IF(OR(N$2=$B$34+2,N$2=$B$34+3),5,"")))</f>
        <v/>
      </c>
      <c r="O39" s="65" t="str">
        <f t="shared" si="82"/>
        <v/>
      </c>
      <c r="P39" s="65" t="str">
        <f t="shared" si="82"/>
        <v/>
      </c>
      <c r="Q39" s="65" t="str">
        <f t="shared" si="82"/>
        <v/>
      </c>
      <c r="R39" s="65" t="str">
        <f t="shared" si="82"/>
        <v/>
      </c>
      <c r="S39" s="65" t="str">
        <f t="shared" si="82"/>
        <v/>
      </c>
      <c r="T39" s="65" t="str">
        <f t="shared" si="82"/>
        <v/>
      </c>
      <c r="U39" s="65" t="str">
        <f t="shared" si="82"/>
        <v/>
      </c>
      <c r="V39" s="65" t="str">
        <f t="shared" si="82"/>
        <v/>
      </c>
      <c r="W39" s="65" t="str">
        <f t="shared" si="82"/>
        <v/>
      </c>
      <c r="X39" s="65" t="str">
        <f t="shared" si="82"/>
        <v/>
      </c>
      <c r="Y39" s="65" t="str">
        <f t="shared" si="82"/>
        <v/>
      </c>
      <c r="Z39" s="65" t="str">
        <f t="shared" si="82"/>
        <v/>
      </c>
      <c r="AA39" s="65" t="str">
        <f t="shared" si="82"/>
        <v/>
      </c>
      <c r="AB39" s="65" t="str">
        <f t="shared" si="82"/>
        <v/>
      </c>
      <c r="AC39" s="65" t="str">
        <f t="shared" si="82"/>
        <v/>
      </c>
      <c r="AD39" s="65" t="str">
        <f t="shared" si="82"/>
        <v/>
      </c>
      <c r="AE39" s="65" t="str">
        <f t="shared" si="82"/>
        <v/>
      </c>
      <c r="AF39" s="65" t="str">
        <f t="shared" si="82"/>
        <v/>
      </c>
      <c r="AG39" s="65" t="str">
        <f t="shared" si="82"/>
        <v/>
      </c>
      <c r="AH39" s="65" t="str">
        <f t="shared" si="82"/>
        <v/>
      </c>
      <c r="AI39" s="65" t="str">
        <f t="shared" si="82"/>
        <v/>
      </c>
      <c r="AJ39" s="65" t="str">
        <f t="shared" si="82"/>
        <v/>
      </c>
      <c r="AK39" s="65" t="str">
        <f t="shared" si="82"/>
        <v/>
      </c>
      <c r="AL39" s="65" t="str">
        <f t="shared" si="82"/>
        <v/>
      </c>
      <c r="AM39" s="65" t="str">
        <f t="shared" si="82"/>
        <v/>
      </c>
      <c r="AN39" s="65" t="str">
        <f t="shared" si="82"/>
        <v/>
      </c>
      <c r="AO39" s="65" t="str">
        <f t="shared" si="82"/>
        <v/>
      </c>
      <c r="AP39" s="65" t="str">
        <f t="shared" si="82"/>
        <v/>
      </c>
      <c r="AQ39" s="65" t="str">
        <f t="shared" si="82"/>
        <v/>
      </c>
      <c r="AR39" s="65" t="str">
        <f t="shared" si="82"/>
        <v/>
      </c>
      <c r="AS39" s="65" t="str">
        <f t="shared" si="82"/>
        <v/>
      </c>
      <c r="AT39" s="65" t="str">
        <f t="shared" si="82"/>
        <v/>
      </c>
      <c r="AU39" s="65" t="str">
        <f t="shared" si="82"/>
        <v/>
      </c>
      <c r="AV39" s="65" t="str">
        <f t="shared" si="82"/>
        <v/>
      </c>
      <c r="AW39" s="65" t="str">
        <f t="shared" si="82"/>
        <v/>
      </c>
      <c r="AX39" s="65" t="str">
        <f t="shared" si="82"/>
        <v/>
      </c>
      <c r="AY39" s="65" t="str">
        <f t="shared" si="82"/>
        <v/>
      </c>
      <c r="AZ39" s="65" t="str">
        <f t="shared" si="82"/>
        <v/>
      </c>
      <c r="BA39" s="65" t="str">
        <f t="shared" si="82"/>
        <v/>
      </c>
      <c r="BB39" s="65" t="str">
        <f t="shared" si="82"/>
        <v/>
      </c>
      <c r="BC39" s="65" t="str">
        <f t="shared" si="82"/>
        <v/>
      </c>
      <c r="BD39" s="65" t="str">
        <f t="shared" si="82"/>
        <v/>
      </c>
      <c r="BE39" s="65" t="str">
        <f t="shared" si="82"/>
        <v/>
      </c>
      <c r="BF39" s="65" t="str">
        <f t="shared" si="82"/>
        <v/>
      </c>
      <c r="BG39" s="65" t="str">
        <f t="shared" si="82"/>
        <v/>
      </c>
      <c r="BH39" s="65" t="str">
        <f t="shared" si="82"/>
        <v/>
      </c>
      <c r="BI39" s="65" t="str">
        <f t="shared" si="82"/>
        <v/>
      </c>
      <c r="BJ39" s="65" t="str">
        <f t="shared" si="82"/>
        <v/>
      </c>
      <c r="BK39" s="65" t="str">
        <f t="shared" si="82"/>
        <v/>
      </c>
      <c r="BL39" s="65" t="str">
        <f t="shared" si="82"/>
        <v/>
      </c>
      <c r="BM39" s="65" t="str">
        <f t="shared" si="82"/>
        <v/>
      </c>
      <c r="BN39" s="65" t="str">
        <f t="shared" si="82"/>
        <v/>
      </c>
      <c r="BO39" s="65" t="str">
        <f t="shared" si="82"/>
        <v/>
      </c>
      <c r="BP39" s="65" t="str">
        <f t="shared" si="82"/>
        <v/>
      </c>
      <c r="BQ39" s="65" t="str">
        <f t="shared" si="82"/>
        <v/>
      </c>
      <c r="BR39" s="65" t="str">
        <f t="shared" si="82"/>
        <v/>
      </c>
      <c r="BS39" s="65">
        <f t="shared" si="82"/>
        <v>5</v>
      </c>
      <c r="BT39" s="65">
        <f t="shared" si="82"/>
        <v>5</v>
      </c>
      <c r="BU39" s="65">
        <f t="shared" si="82"/>
        <v>5</v>
      </c>
      <c r="BV39" s="65">
        <f t="shared" si="82"/>
        <v>5</v>
      </c>
      <c r="BW39" s="65">
        <f t="shared" si="82"/>
        <v>5</v>
      </c>
      <c r="BX39" s="65">
        <f t="shared" si="82"/>
        <v>5</v>
      </c>
      <c r="BY39" s="65">
        <f t="shared" si="82"/>
        <v>5</v>
      </c>
      <c r="BZ39" s="65">
        <f t="shared" ref="BZ39:EK39" si="83">IF(AND(BZ$2&gt;=$B$34-26,BZ$2&lt;=$B$34-3),5,IF(OR(BZ$2=$B$34-2,BZ$2=$B$34-1,BZ$2=$B$34,BZ$2=$B$34+1),30,IF(OR(BZ$2=$B$34+2,BZ$2=$B$34+3),5,"")))</f>
        <v>5</v>
      </c>
      <c r="CA39" s="65">
        <f t="shared" si="83"/>
        <v>5</v>
      </c>
      <c r="CB39" s="65">
        <f t="shared" si="83"/>
        <v>5</v>
      </c>
      <c r="CC39" s="65">
        <f t="shared" si="83"/>
        <v>5</v>
      </c>
      <c r="CD39" s="65">
        <f t="shared" si="83"/>
        <v>5</v>
      </c>
      <c r="CE39" s="65">
        <f t="shared" si="83"/>
        <v>5</v>
      </c>
      <c r="CF39" s="65">
        <f t="shared" si="83"/>
        <v>5</v>
      </c>
      <c r="CG39" s="65">
        <f t="shared" si="83"/>
        <v>5</v>
      </c>
      <c r="CH39" s="65">
        <f t="shared" si="83"/>
        <v>5</v>
      </c>
      <c r="CI39" s="65">
        <f t="shared" si="83"/>
        <v>5</v>
      </c>
      <c r="CJ39" s="65">
        <f t="shared" si="83"/>
        <v>5</v>
      </c>
      <c r="CK39" s="65">
        <f t="shared" si="83"/>
        <v>5</v>
      </c>
      <c r="CL39" s="65">
        <f t="shared" si="83"/>
        <v>5</v>
      </c>
      <c r="CM39" s="65">
        <f t="shared" si="83"/>
        <v>5</v>
      </c>
      <c r="CN39" s="65">
        <f t="shared" si="83"/>
        <v>5</v>
      </c>
      <c r="CO39" s="65">
        <f t="shared" si="83"/>
        <v>5</v>
      </c>
      <c r="CP39" s="65">
        <f t="shared" si="83"/>
        <v>5</v>
      </c>
      <c r="CQ39" s="65">
        <f t="shared" si="83"/>
        <v>30</v>
      </c>
      <c r="CR39" s="65">
        <f t="shared" si="83"/>
        <v>30</v>
      </c>
      <c r="CS39" s="65">
        <f t="shared" si="83"/>
        <v>30</v>
      </c>
      <c r="CT39" s="65">
        <f t="shared" si="83"/>
        <v>30</v>
      </c>
      <c r="CU39" s="65">
        <f t="shared" si="83"/>
        <v>5</v>
      </c>
      <c r="CV39" s="65">
        <f t="shared" si="83"/>
        <v>5</v>
      </c>
      <c r="CW39" s="65" t="str">
        <f t="shared" si="83"/>
        <v/>
      </c>
      <c r="CX39" s="65" t="str">
        <f t="shared" si="83"/>
        <v/>
      </c>
      <c r="CY39" s="65" t="str">
        <f t="shared" si="83"/>
        <v/>
      </c>
      <c r="CZ39" s="65" t="str">
        <f t="shared" si="83"/>
        <v/>
      </c>
      <c r="DA39" s="65" t="str">
        <f t="shared" si="83"/>
        <v/>
      </c>
      <c r="DB39" s="65" t="str">
        <f t="shared" si="83"/>
        <v/>
      </c>
      <c r="DC39" s="65" t="str">
        <f t="shared" si="83"/>
        <v/>
      </c>
      <c r="DD39" s="65" t="str">
        <f t="shared" si="83"/>
        <v/>
      </c>
      <c r="DE39" s="65" t="str">
        <f t="shared" si="83"/>
        <v/>
      </c>
      <c r="DF39" s="65" t="str">
        <f t="shared" si="83"/>
        <v/>
      </c>
      <c r="DG39" s="65" t="str">
        <f t="shared" si="83"/>
        <v/>
      </c>
      <c r="DH39" s="65" t="str">
        <f t="shared" si="83"/>
        <v/>
      </c>
      <c r="DI39" s="65" t="str">
        <f t="shared" si="83"/>
        <v/>
      </c>
      <c r="DJ39" s="65" t="str">
        <f t="shared" si="83"/>
        <v/>
      </c>
      <c r="DK39" s="65" t="str">
        <f t="shared" si="83"/>
        <v/>
      </c>
      <c r="DL39" s="65" t="str">
        <f t="shared" si="83"/>
        <v/>
      </c>
      <c r="DM39" s="65" t="str">
        <f t="shared" si="83"/>
        <v/>
      </c>
      <c r="DN39" s="65" t="str">
        <f t="shared" si="83"/>
        <v/>
      </c>
      <c r="DO39" s="65" t="str">
        <f t="shared" si="83"/>
        <v/>
      </c>
      <c r="DP39" s="65" t="str">
        <f t="shared" si="83"/>
        <v/>
      </c>
      <c r="DQ39" s="65" t="str">
        <f t="shared" si="83"/>
        <v/>
      </c>
      <c r="DR39" s="65" t="str">
        <f t="shared" si="83"/>
        <v/>
      </c>
      <c r="DS39" s="65" t="str">
        <f t="shared" si="83"/>
        <v/>
      </c>
      <c r="DT39" s="65" t="str">
        <f t="shared" si="83"/>
        <v/>
      </c>
      <c r="DU39" s="65" t="str">
        <f t="shared" si="83"/>
        <v/>
      </c>
      <c r="DV39" s="65" t="str">
        <f t="shared" si="83"/>
        <v/>
      </c>
      <c r="DW39" s="65" t="str">
        <f t="shared" si="83"/>
        <v/>
      </c>
      <c r="DX39" s="65" t="str">
        <f t="shared" si="83"/>
        <v/>
      </c>
      <c r="DY39" s="65" t="str">
        <f t="shared" si="83"/>
        <v/>
      </c>
      <c r="DZ39" s="65" t="str">
        <f t="shared" si="83"/>
        <v/>
      </c>
      <c r="EA39" s="65" t="str">
        <f t="shared" si="83"/>
        <v/>
      </c>
      <c r="EB39" s="65" t="str">
        <f t="shared" si="83"/>
        <v/>
      </c>
      <c r="EC39" s="65" t="str">
        <f t="shared" si="83"/>
        <v/>
      </c>
      <c r="ED39" s="65" t="str">
        <f t="shared" si="83"/>
        <v/>
      </c>
      <c r="EE39" s="65" t="str">
        <f t="shared" si="83"/>
        <v/>
      </c>
      <c r="EF39" s="65" t="str">
        <f t="shared" si="83"/>
        <v/>
      </c>
      <c r="EG39" s="65" t="str">
        <f t="shared" si="83"/>
        <v/>
      </c>
      <c r="EH39" s="65" t="str">
        <f t="shared" si="83"/>
        <v/>
      </c>
      <c r="EI39" s="65" t="str">
        <f t="shared" si="83"/>
        <v/>
      </c>
      <c r="EJ39" s="65" t="str">
        <f t="shared" si="83"/>
        <v/>
      </c>
      <c r="EK39" s="65" t="str">
        <f t="shared" si="83"/>
        <v/>
      </c>
      <c r="EL39" s="65" t="str">
        <f t="shared" ref="EL39:EO39" si="84">IF(AND(EL$2&gt;=$B$34-26,EL$2&lt;=$B$34-3),5,IF(OR(EL$2=$B$34-2,EL$2=$B$34-1,EL$2=$B$34,EL$2=$B$34+1),30,IF(OR(EL$2=$B$34+2,EL$2=$B$34+3),5,"")))</f>
        <v/>
      </c>
      <c r="EM39" s="65" t="str">
        <f t="shared" si="84"/>
        <v/>
      </c>
      <c r="EN39" s="65" t="str">
        <f t="shared" si="84"/>
        <v/>
      </c>
      <c r="EO39" s="65" t="str">
        <f t="shared" si="84"/>
        <v/>
      </c>
    </row>
    <row r="40" spans="1:147" s="207" customFormat="1" ht="13.5" customHeight="1">
      <c r="A40" s="236"/>
      <c r="B40" s="209"/>
      <c r="E40" s="201"/>
      <c r="F40" s="201"/>
      <c r="G40" s="204" t="s">
        <v>69</v>
      </c>
      <c r="H40" s="203"/>
      <c r="I40" s="203"/>
      <c r="J40" s="203"/>
      <c r="K40" s="230"/>
      <c r="L40" s="230"/>
      <c r="M40" s="205">
        <f ca="1">SUM(M35:M39)</f>
        <v>0</v>
      </c>
      <c r="N40" s="205">
        <f ca="1">SUM(N35:N39)</f>
        <v>0</v>
      </c>
      <c r="O40" s="205">
        <f ca="1">SUM(O35:O39)</f>
        <v>0</v>
      </c>
      <c r="P40" s="205">
        <f t="shared" ref="P40:CA40" ca="1" si="85">SUM(P35:P39)</f>
        <v>0</v>
      </c>
      <c r="Q40" s="205">
        <f t="shared" ca="1" si="85"/>
        <v>0</v>
      </c>
      <c r="R40" s="205">
        <f t="shared" ca="1" si="85"/>
        <v>0</v>
      </c>
      <c r="S40" s="205">
        <f t="shared" ca="1" si="85"/>
        <v>0</v>
      </c>
      <c r="T40" s="205">
        <f t="shared" ca="1" si="85"/>
        <v>0</v>
      </c>
      <c r="U40" s="205">
        <f t="shared" ca="1" si="85"/>
        <v>0</v>
      </c>
      <c r="V40" s="205">
        <f t="shared" ca="1" si="85"/>
        <v>0</v>
      </c>
      <c r="W40" s="205">
        <f t="shared" ca="1" si="85"/>
        <v>0</v>
      </c>
      <c r="X40" s="205">
        <f t="shared" ca="1" si="85"/>
        <v>0</v>
      </c>
      <c r="Y40" s="205">
        <f t="shared" ca="1" si="85"/>
        <v>0</v>
      </c>
      <c r="Z40" s="205">
        <f t="shared" ca="1" si="85"/>
        <v>0</v>
      </c>
      <c r="AA40" s="205">
        <f t="shared" ca="1" si="85"/>
        <v>0</v>
      </c>
      <c r="AB40" s="205">
        <f t="shared" ca="1" si="85"/>
        <v>0</v>
      </c>
      <c r="AC40" s="205">
        <f t="shared" ca="1" si="85"/>
        <v>0</v>
      </c>
      <c r="AD40" s="205">
        <f t="shared" ca="1" si="85"/>
        <v>0</v>
      </c>
      <c r="AE40" s="205">
        <f t="shared" ca="1" si="85"/>
        <v>0</v>
      </c>
      <c r="AF40" s="205">
        <f t="shared" ca="1" si="85"/>
        <v>0</v>
      </c>
      <c r="AG40" s="205">
        <f t="shared" ca="1" si="85"/>
        <v>0</v>
      </c>
      <c r="AH40" s="205">
        <f t="shared" ca="1" si="85"/>
        <v>0</v>
      </c>
      <c r="AI40" s="205">
        <f t="shared" ca="1" si="85"/>
        <v>0</v>
      </c>
      <c r="AJ40" s="205">
        <f t="shared" ca="1" si="85"/>
        <v>0</v>
      </c>
      <c r="AK40" s="205">
        <f t="shared" ca="1" si="85"/>
        <v>0</v>
      </c>
      <c r="AL40" s="205">
        <f t="shared" ca="1" si="85"/>
        <v>0</v>
      </c>
      <c r="AM40" s="205">
        <f t="shared" ca="1" si="85"/>
        <v>0</v>
      </c>
      <c r="AN40" s="205">
        <f t="shared" ca="1" si="85"/>
        <v>0</v>
      </c>
      <c r="AO40" s="205">
        <f t="shared" ca="1" si="85"/>
        <v>0</v>
      </c>
      <c r="AP40" s="205">
        <f t="shared" ca="1" si="85"/>
        <v>0</v>
      </c>
      <c r="AQ40" s="205">
        <f t="shared" ca="1" si="85"/>
        <v>0</v>
      </c>
      <c r="AR40" s="205">
        <f t="shared" ca="1" si="85"/>
        <v>0</v>
      </c>
      <c r="AS40" s="205">
        <f t="shared" ca="1" si="85"/>
        <v>0</v>
      </c>
      <c r="AT40" s="205">
        <f t="shared" ca="1" si="85"/>
        <v>0</v>
      </c>
      <c r="AU40" s="205">
        <f t="shared" ca="1" si="85"/>
        <v>0</v>
      </c>
      <c r="AV40" s="205">
        <f t="shared" ca="1" si="85"/>
        <v>0</v>
      </c>
      <c r="AW40" s="205">
        <f t="shared" ca="1" si="85"/>
        <v>0</v>
      </c>
      <c r="AX40" s="205">
        <f t="shared" ca="1" si="85"/>
        <v>0</v>
      </c>
      <c r="AY40" s="205">
        <f t="shared" ca="1" si="85"/>
        <v>138</v>
      </c>
      <c r="AZ40" s="205">
        <f t="shared" ca="1" si="85"/>
        <v>138</v>
      </c>
      <c r="BA40" s="205">
        <f t="shared" ca="1" si="85"/>
        <v>138</v>
      </c>
      <c r="BB40" s="205">
        <f t="shared" ca="1" si="85"/>
        <v>138</v>
      </c>
      <c r="BC40" s="205">
        <f t="shared" ca="1" si="85"/>
        <v>138</v>
      </c>
      <c r="BD40" s="205">
        <f t="shared" ca="1" si="85"/>
        <v>138</v>
      </c>
      <c r="BE40" s="205">
        <f t="shared" ca="1" si="85"/>
        <v>138</v>
      </c>
      <c r="BF40" s="205">
        <f t="shared" ca="1" si="85"/>
        <v>138</v>
      </c>
      <c r="BG40" s="205">
        <f t="shared" ca="1" si="85"/>
        <v>138</v>
      </c>
      <c r="BH40" s="205">
        <f t="shared" ca="1" si="85"/>
        <v>138</v>
      </c>
      <c r="BI40" s="205">
        <f t="shared" ca="1" si="85"/>
        <v>138</v>
      </c>
      <c r="BJ40" s="205">
        <f t="shared" ca="1" si="85"/>
        <v>0</v>
      </c>
      <c r="BK40" s="205">
        <f t="shared" ca="1" si="85"/>
        <v>0</v>
      </c>
      <c r="BL40" s="205">
        <f t="shared" ca="1" si="85"/>
        <v>0</v>
      </c>
      <c r="BM40" s="205">
        <f t="shared" ca="1" si="85"/>
        <v>0</v>
      </c>
      <c r="BN40" s="205">
        <f t="shared" ca="1" si="85"/>
        <v>0</v>
      </c>
      <c r="BO40" s="205">
        <f t="shared" ca="1" si="85"/>
        <v>0</v>
      </c>
      <c r="BP40" s="205">
        <f t="shared" ca="1" si="85"/>
        <v>0</v>
      </c>
      <c r="BQ40" s="205">
        <f t="shared" ca="1" si="85"/>
        <v>0</v>
      </c>
      <c r="BR40" s="205">
        <f t="shared" ca="1" si="85"/>
        <v>0</v>
      </c>
      <c r="BS40" s="205">
        <f t="shared" ca="1" si="85"/>
        <v>10</v>
      </c>
      <c r="BT40" s="205">
        <f t="shared" ca="1" si="85"/>
        <v>133</v>
      </c>
      <c r="BU40" s="205">
        <f t="shared" ca="1" si="85"/>
        <v>133</v>
      </c>
      <c r="BV40" s="205">
        <f t="shared" ca="1" si="85"/>
        <v>133</v>
      </c>
      <c r="BW40" s="205">
        <f t="shared" ca="1" si="85"/>
        <v>133</v>
      </c>
      <c r="BX40" s="205">
        <f t="shared" ca="1" si="85"/>
        <v>133</v>
      </c>
      <c r="BY40" s="205">
        <f t="shared" ca="1" si="85"/>
        <v>133</v>
      </c>
      <c r="BZ40" s="205">
        <f t="shared" ca="1" si="85"/>
        <v>133</v>
      </c>
      <c r="CA40" s="205">
        <f t="shared" ca="1" si="85"/>
        <v>133</v>
      </c>
      <c r="CB40" s="205">
        <f t="shared" ref="CB40:EM40" ca="1" si="86">SUM(CB35:CB39)</f>
        <v>157</v>
      </c>
      <c r="CC40" s="205">
        <f t="shared" ca="1" si="86"/>
        <v>152</v>
      </c>
      <c r="CD40" s="205">
        <f t="shared" ca="1" si="86"/>
        <v>152</v>
      </c>
      <c r="CE40" s="205">
        <f t="shared" ca="1" si="86"/>
        <v>152</v>
      </c>
      <c r="CF40" s="205">
        <f t="shared" ca="1" si="86"/>
        <v>152</v>
      </c>
      <c r="CG40" s="205">
        <f t="shared" ca="1" si="86"/>
        <v>152</v>
      </c>
      <c r="CH40" s="205">
        <f t="shared" ca="1" si="86"/>
        <v>152</v>
      </c>
      <c r="CI40" s="205">
        <f t="shared" ca="1" si="86"/>
        <v>152</v>
      </c>
      <c r="CJ40" s="205">
        <f t="shared" ca="1" si="86"/>
        <v>152</v>
      </c>
      <c r="CK40" s="205">
        <f t="shared" ca="1" si="86"/>
        <v>152</v>
      </c>
      <c r="CL40" s="205">
        <f t="shared" ca="1" si="86"/>
        <v>152</v>
      </c>
      <c r="CM40" s="205">
        <f t="shared" ca="1" si="86"/>
        <v>152</v>
      </c>
      <c r="CN40" s="205">
        <f t="shared" ca="1" si="86"/>
        <v>29</v>
      </c>
      <c r="CO40" s="205">
        <f t="shared" ca="1" si="86"/>
        <v>29</v>
      </c>
      <c r="CP40" s="205">
        <f t="shared" ca="1" si="86"/>
        <v>5</v>
      </c>
      <c r="CQ40" s="205">
        <f t="shared" ca="1" si="86"/>
        <v>30</v>
      </c>
      <c r="CR40" s="205">
        <f t="shared" ca="1" si="86"/>
        <v>30</v>
      </c>
      <c r="CS40" s="205">
        <f t="shared" ca="1" si="86"/>
        <v>30</v>
      </c>
      <c r="CT40" s="205">
        <f t="shared" ca="1" si="86"/>
        <v>30</v>
      </c>
      <c r="CU40" s="205">
        <f t="shared" ca="1" si="86"/>
        <v>5</v>
      </c>
      <c r="CV40" s="205">
        <f t="shared" ca="1" si="86"/>
        <v>5</v>
      </c>
      <c r="CW40" s="205">
        <f t="shared" ca="1" si="86"/>
        <v>0</v>
      </c>
      <c r="CX40" s="205">
        <f t="shared" ca="1" si="86"/>
        <v>0</v>
      </c>
      <c r="CY40" s="205">
        <f t="shared" ca="1" si="86"/>
        <v>0</v>
      </c>
      <c r="CZ40" s="205">
        <f t="shared" ca="1" si="86"/>
        <v>0</v>
      </c>
      <c r="DA40" s="205">
        <f t="shared" ca="1" si="86"/>
        <v>0</v>
      </c>
      <c r="DB40" s="205">
        <f t="shared" ca="1" si="86"/>
        <v>0</v>
      </c>
      <c r="DC40" s="205">
        <f t="shared" ca="1" si="86"/>
        <v>0</v>
      </c>
      <c r="DD40" s="205">
        <f t="shared" ca="1" si="86"/>
        <v>0</v>
      </c>
      <c r="DE40" s="205">
        <f t="shared" ca="1" si="86"/>
        <v>0</v>
      </c>
      <c r="DF40" s="205">
        <f t="shared" ca="1" si="86"/>
        <v>0</v>
      </c>
      <c r="DG40" s="205">
        <f t="shared" ca="1" si="86"/>
        <v>0</v>
      </c>
      <c r="DH40" s="205">
        <f t="shared" ca="1" si="86"/>
        <v>0</v>
      </c>
      <c r="DI40" s="205">
        <f t="shared" ca="1" si="86"/>
        <v>0</v>
      </c>
      <c r="DJ40" s="205">
        <f t="shared" ca="1" si="86"/>
        <v>0</v>
      </c>
      <c r="DK40" s="205">
        <f t="shared" ca="1" si="86"/>
        <v>0</v>
      </c>
      <c r="DL40" s="205">
        <f t="shared" ca="1" si="86"/>
        <v>0</v>
      </c>
      <c r="DM40" s="205">
        <f t="shared" ca="1" si="86"/>
        <v>0</v>
      </c>
      <c r="DN40" s="205">
        <f t="shared" ca="1" si="86"/>
        <v>0</v>
      </c>
      <c r="DO40" s="205">
        <f t="shared" ca="1" si="86"/>
        <v>0</v>
      </c>
      <c r="DP40" s="205">
        <f t="shared" ca="1" si="86"/>
        <v>0</v>
      </c>
      <c r="DQ40" s="205">
        <f t="shared" ca="1" si="86"/>
        <v>0</v>
      </c>
      <c r="DR40" s="205">
        <f t="shared" ca="1" si="86"/>
        <v>0</v>
      </c>
      <c r="DS40" s="205">
        <f t="shared" ca="1" si="86"/>
        <v>0</v>
      </c>
      <c r="DT40" s="205">
        <f t="shared" ca="1" si="86"/>
        <v>0</v>
      </c>
      <c r="DU40" s="205">
        <f t="shared" ca="1" si="86"/>
        <v>0</v>
      </c>
      <c r="DV40" s="205">
        <f t="shared" ca="1" si="86"/>
        <v>0</v>
      </c>
      <c r="DW40" s="205">
        <f t="shared" ca="1" si="86"/>
        <v>0</v>
      </c>
      <c r="DX40" s="205">
        <f t="shared" ca="1" si="86"/>
        <v>0</v>
      </c>
      <c r="DY40" s="205">
        <f t="shared" ca="1" si="86"/>
        <v>0</v>
      </c>
      <c r="DZ40" s="205">
        <f t="shared" ca="1" si="86"/>
        <v>0</v>
      </c>
      <c r="EA40" s="205">
        <f t="shared" ca="1" si="86"/>
        <v>0</v>
      </c>
      <c r="EB40" s="205">
        <f t="shared" ca="1" si="86"/>
        <v>0</v>
      </c>
      <c r="EC40" s="205">
        <f t="shared" ca="1" si="86"/>
        <v>0</v>
      </c>
      <c r="ED40" s="205">
        <f t="shared" ca="1" si="86"/>
        <v>0</v>
      </c>
      <c r="EE40" s="205">
        <f t="shared" ca="1" si="86"/>
        <v>0</v>
      </c>
      <c r="EF40" s="205">
        <f t="shared" ca="1" si="86"/>
        <v>0</v>
      </c>
      <c r="EG40" s="205">
        <f t="shared" ca="1" si="86"/>
        <v>0</v>
      </c>
      <c r="EH40" s="205">
        <f t="shared" ca="1" si="86"/>
        <v>0</v>
      </c>
      <c r="EI40" s="205">
        <f t="shared" ca="1" si="86"/>
        <v>0</v>
      </c>
      <c r="EJ40" s="205">
        <f t="shared" ca="1" si="86"/>
        <v>0</v>
      </c>
      <c r="EK40" s="205">
        <f t="shared" ca="1" si="86"/>
        <v>0</v>
      </c>
      <c r="EL40" s="205">
        <f t="shared" ca="1" si="86"/>
        <v>0</v>
      </c>
      <c r="EM40" s="205">
        <f t="shared" ca="1" si="86"/>
        <v>0</v>
      </c>
      <c r="EN40" s="205">
        <f t="shared" ref="EN40:EO40" ca="1" si="87">SUM(EN35:EN39)</f>
        <v>0</v>
      </c>
      <c r="EO40" s="205">
        <f t="shared" ca="1" si="87"/>
        <v>0</v>
      </c>
      <c r="EP40" s="206">
        <f ca="1">AVERAGE(Y40:CG40)</f>
        <v>57.524590163934427</v>
      </c>
      <c r="EQ40" s="206">
        <f ca="1">MAX(Y40:CG40)</f>
        <v>157</v>
      </c>
    </row>
    <row r="42" spans="1:147" s="180" customFormat="1" ht="27">
      <c r="A42" s="447" t="s">
        <v>74</v>
      </c>
      <c r="B42" s="450">
        <f>IF(LEN('BESS 11'!F232)=5,'BESS 11'!F232,(IF('BESS 11'!F232="Completed"," ",DATEVALUE(RIGHT('BESS 11'!F232,6)))))</f>
        <v>46288</v>
      </c>
      <c r="C42" s="450">
        <f>IF(LEN('BESS 11'!G232)=5,'BESS 11'!G232,(IF('BESS 11'!G232="Completed"," ",DATEVALUE(RIGHT('BESS 11'!G232,6)))))</f>
        <v>46292</v>
      </c>
      <c r="D42" s="455">
        <f>IF(LEN('BESS 11'!H232)=5,'BESS 11'!H232,(IF('BESS 11'!H232="Completed"," ",DATEVALUE(RIGHT('BESS 11'!H232,6)))))</f>
        <v>46295</v>
      </c>
      <c r="E42" s="226" t="s">
        <v>10</v>
      </c>
      <c r="F42" s="217" t="s">
        <v>58</v>
      </c>
      <c r="G42" s="217" t="s">
        <v>78</v>
      </c>
      <c r="H42" s="217" t="s">
        <v>79</v>
      </c>
      <c r="I42" s="217" t="s">
        <v>59</v>
      </c>
      <c r="J42" s="217"/>
      <c r="K42" s="216" t="s">
        <v>80</v>
      </c>
      <c r="L42" s="216" t="s">
        <v>62</v>
      </c>
      <c r="M42" s="218">
        <v>46195</v>
      </c>
      <c r="N42" s="218">
        <v>46196</v>
      </c>
      <c r="O42" s="218">
        <v>46197</v>
      </c>
      <c r="P42" s="218">
        <f t="shared" ref="P42:CA42" si="88">O42+1</f>
        <v>46198</v>
      </c>
      <c r="Q42" s="218">
        <f t="shared" si="88"/>
        <v>46199</v>
      </c>
      <c r="R42" s="218">
        <f t="shared" si="88"/>
        <v>46200</v>
      </c>
      <c r="S42" s="218">
        <f t="shared" si="88"/>
        <v>46201</v>
      </c>
      <c r="T42" s="218">
        <f t="shared" si="88"/>
        <v>46202</v>
      </c>
      <c r="U42" s="218">
        <f t="shared" si="88"/>
        <v>46203</v>
      </c>
      <c r="V42" s="218">
        <f t="shared" si="88"/>
        <v>46204</v>
      </c>
      <c r="W42" s="218">
        <f t="shared" si="88"/>
        <v>46205</v>
      </c>
      <c r="X42" s="218">
        <f t="shared" si="88"/>
        <v>46206</v>
      </c>
      <c r="Y42" s="218">
        <f t="shared" si="88"/>
        <v>46207</v>
      </c>
      <c r="Z42" s="218">
        <f t="shared" si="88"/>
        <v>46208</v>
      </c>
      <c r="AA42" s="218">
        <f t="shared" si="88"/>
        <v>46209</v>
      </c>
      <c r="AB42" s="218">
        <f t="shared" si="88"/>
        <v>46210</v>
      </c>
      <c r="AC42" s="218">
        <f t="shared" si="88"/>
        <v>46211</v>
      </c>
      <c r="AD42" s="218">
        <f t="shared" si="88"/>
        <v>46212</v>
      </c>
      <c r="AE42" s="218">
        <f t="shared" si="88"/>
        <v>46213</v>
      </c>
      <c r="AF42" s="218">
        <f t="shared" si="88"/>
        <v>46214</v>
      </c>
      <c r="AG42" s="218">
        <f t="shared" si="88"/>
        <v>46215</v>
      </c>
      <c r="AH42" s="218">
        <f t="shared" si="88"/>
        <v>46216</v>
      </c>
      <c r="AI42" s="218">
        <f t="shared" si="88"/>
        <v>46217</v>
      </c>
      <c r="AJ42" s="218">
        <f t="shared" si="88"/>
        <v>46218</v>
      </c>
      <c r="AK42" s="218">
        <f t="shared" si="88"/>
        <v>46219</v>
      </c>
      <c r="AL42" s="218">
        <f t="shared" si="88"/>
        <v>46220</v>
      </c>
      <c r="AM42" s="218">
        <f t="shared" si="88"/>
        <v>46221</v>
      </c>
      <c r="AN42" s="218">
        <f t="shared" si="88"/>
        <v>46222</v>
      </c>
      <c r="AO42" s="218">
        <f t="shared" si="88"/>
        <v>46223</v>
      </c>
      <c r="AP42" s="218">
        <f t="shared" si="88"/>
        <v>46224</v>
      </c>
      <c r="AQ42" s="218">
        <f t="shared" si="88"/>
        <v>46225</v>
      </c>
      <c r="AR42" s="218">
        <f t="shared" si="88"/>
        <v>46226</v>
      </c>
      <c r="AS42" s="218">
        <f t="shared" si="88"/>
        <v>46227</v>
      </c>
      <c r="AT42" s="218">
        <f t="shared" si="88"/>
        <v>46228</v>
      </c>
      <c r="AU42" s="218">
        <f t="shared" si="88"/>
        <v>46229</v>
      </c>
      <c r="AV42" s="218">
        <f t="shared" si="88"/>
        <v>46230</v>
      </c>
      <c r="AW42" s="218">
        <f t="shared" si="88"/>
        <v>46231</v>
      </c>
      <c r="AX42" s="218">
        <f t="shared" si="88"/>
        <v>46232</v>
      </c>
      <c r="AY42" s="218">
        <f t="shared" si="88"/>
        <v>46233</v>
      </c>
      <c r="AZ42" s="218">
        <f t="shared" si="88"/>
        <v>46234</v>
      </c>
      <c r="BA42" s="218">
        <f t="shared" si="88"/>
        <v>46235</v>
      </c>
      <c r="BB42" s="218">
        <f t="shared" si="88"/>
        <v>46236</v>
      </c>
      <c r="BC42" s="218">
        <f t="shared" si="88"/>
        <v>46237</v>
      </c>
      <c r="BD42" s="218">
        <f t="shared" si="88"/>
        <v>46238</v>
      </c>
      <c r="BE42" s="218">
        <f t="shared" si="88"/>
        <v>46239</v>
      </c>
      <c r="BF42" s="218">
        <f t="shared" si="88"/>
        <v>46240</v>
      </c>
      <c r="BG42" s="218">
        <f t="shared" si="88"/>
        <v>46241</v>
      </c>
      <c r="BH42" s="218">
        <f t="shared" si="88"/>
        <v>46242</v>
      </c>
      <c r="BI42" s="218">
        <f t="shared" si="88"/>
        <v>46243</v>
      </c>
      <c r="BJ42" s="218">
        <f t="shared" si="88"/>
        <v>46244</v>
      </c>
      <c r="BK42" s="218">
        <f t="shared" si="88"/>
        <v>46245</v>
      </c>
      <c r="BL42" s="218">
        <f t="shared" si="88"/>
        <v>46246</v>
      </c>
      <c r="BM42" s="218">
        <f t="shared" si="88"/>
        <v>46247</v>
      </c>
      <c r="BN42" s="218">
        <f t="shared" si="88"/>
        <v>46248</v>
      </c>
      <c r="BO42" s="218">
        <f t="shared" si="88"/>
        <v>46249</v>
      </c>
      <c r="BP42" s="218">
        <f t="shared" si="88"/>
        <v>46250</v>
      </c>
      <c r="BQ42" s="218">
        <f t="shared" si="88"/>
        <v>46251</v>
      </c>
      <c r="BR42" s="218">
        <f t="shared" si="88"/>
        <v>46252</v>
      </c>
      <c r="BS42" s="218">
        <f t="shared" si="88"/>
        <v>46253</v>
      </c>
      <c r="BT42" s="218">
        <f t="shared" si="88"/>
        <v>46254</v>
      </c>
      <c r="BU42" s="218">
        <f t="shared" si="88"/>
        <v>46255</v>
      </c>
      <c r="BV42" s="218">
        <f t="shared" si="88"/>
        <v>46256</v>
      </c>
      <c r="BW42" s="218">
        <f t="shared" si="88"/>
        <v>46257</v>
      </c>
      <c r="BX42" s="218">
        <f t="shared" si="88"/>
        <v>46258</v>
      </c>
      <c r="BY42" s="218">
        <f t="shared" si="88"/>
        <v>46259</v>
      </c>
      <c r="BZ42" s="218">
        <f t="shared" si="88"/>
        <v>46260</v>
      </c>
      <c r="CA42" s="218">
        <f t="shared" si="88"/>
        <v>46261</v>
      </c>
      <c r="CB42" s="218">
        <f t="shared" ref="CB42:EM42" si="89">CA42+1</f>
        <v>46262</v>
      </c>
      <c r="CC42" s="218">
        <f t="shared" si="89"/>
        <v>46263</v>
      </c>
      <c r="CD42" s="218">
        <f t="shared" si="89"/>
        <v>46264</v>
      </c>
      <c r="CE42" s="218">
        <f t="shared" si="89"/>
        <v>46265</v>
      </c>
      <c r="CF42" s="218">
        <f t="shared" si="89"/>
        <v>46266</v>
      </c>
      <c r="CG42" s="218">
        <f t="shared" si="89"/>
        <v>46267</v>
      </c>
      <c r="CH42" s="218">
        <f t="shared" si="89"/>
        <v>46268</v>
      </c>
      <c r="CI42" s="218">
        <f t="shared" si="89"/>
        <v>46269</v>
      </c>
      <c r="CJ42" s="218">
        <f t="shared" si="89"/>
        <v>46270</v>
      </c>
      <c r="CK42" s="218">
        <f t="shared" si="89"/>
        <v>46271</v>
      </c>
      <c r="CL42" s="218">
        <f t="shared" si="89"/>
        <v>46272</v>
      </c>
      <c r="CM42" s="218">
        <f t="shared" si="89"/>
        <v>46273</v>
      </c>
      <c r="CN42" s="218">
        <f t="shared" si="89"/>
        <v>46274</v>
      </c>
      <c r="CO42" s="218">
        <f t="shared" si="89"/>
        <v>46275</v>
      </c>
      <c r="CP42" s="218">
        <f t="shared" si="89"/>
        <v>46276</v>
      </c>
      <c r="CQ42" s="218">
        <f t="shared" si="89"/>
        <v>46277</v>
      </c>
      <c r="CR42" s="218">
        <f t="shared" si="89"/>
        <v>46278</v>
      </c>
      <c r="CS42" s="218">
        <f t="shared" si="89"/>
        <v>46279</v>
      </c>
      <c r="CT42" s="218">
        <f t="shared" si="89"/>
        <v>46280</v>
      </c>
      <c r="CU42" s="218">
        <f t="shared" si="89"/>
        <v>46281</v>
      </c>
      <c r="CV42" s="218">
        <f t="shared" si="89"/>
        <v>46282</v>
      </c>
      <c r="CW42" s="218">
        <f t="shared" si="89"/>
        <v>46283</v>
      </c>
      <c r="CX42" s="218">
        <f t="shared" si="89"/>
        <v>46284</v>
      </c>
      <c r="CY42" s="218">
        <f t="shared" si="89"/>
        <v>46285</v>
      </c>
      <c r="CZ42" s="218">
        <f t="shared" si="89"/>
        <v>46286</v>
      </c>
      <c r="DA42" s="218">
        <f t="shared" si="89"/>
        <v>46287</v>
      </c>
      <c r="DB42" s="218">
        <f t="shared" si="89"/>
        <v>46288</v>
      </c>
      <c r="DC42" s="218">
        <f t="shared" si="89"/>
        <v>46289</v>
      </c>
      <c r="DD42" s="218">
        <f t="shared" si="89"/>
        <v>46290</v>
      </c>
      <c r="DE42" s="218">
        <f t="shared" si="89"/>
        <v>46291</v>
      </c>
      <c r="DF42" s="218">
        <f t="shared" si="89"/>
        <v>46292</v>
      </c>
      <c r="DG42" s="218">
        <f t="shared" si="89"/>
        <v>46293</v>
      </c>
      <c r="DH42" s="218">
        <f t="shared" si="89"/>
        <v>46294</v>
      </c>
      <c r="DI42" s="218">
        <f t="shared" si="89"/>
        <v>46295</v>
      </c>
      <c r="DJ42" s="218">
        <f t="shared" si="89"/>
        <v>46296</v>
      </c>
      <c r="DK42" s="218">
        <f t="shared" si="89"/>
        <v>46297</v>
      </c>
      <c r="DL42" s="218">
        <f t="shared" si="89"/>
        <v>46298</v>
      </c>
      <c r="DM42" s="218">
        <f t="shared" si="89"/>
        <v>46299</v>
      </c>
      <c r="DN42" s="218">
        <f t="shared" si="89"/>
        <v>46300</v>
      </c>
      <c r="DO42" s="218">
        <f t="shared" si="89"/>
        <v>46301</v>
      </c>
      <c r="DP42" s="218">
        <f t="shared" si="89"/>
        <v>46302</v>
      </c>
      <c r="DQ42" s="218">
        <f t="shared" si="89"/>
        <v>46303</v>
      </c>
      <c r="DR42" s="218">
        <f t="shared" si="89"/>
        <v>46304</v>
      </c>
      <c r="DS42" s="218">
        <f t="shared" si="89"/>
        <v>46305</v>
      </c>
      <c r="DT42" s="218">
        <f t="shared" si="89"/>
        <v>46306</v>
      </c>
      <c r="DU42" s="218">
        <f t="shared" si="89"/>
        <v>46307</v>
      </c>
      <c r="DV42" s="218">
        <f t="shared" si="89"/>
        <v>46308</v>
      </c>
      <c r="DW42" s="218">
        <f t="shared" si="89"/>
        <v>46309</v>
      </c>
      <c r="DX42" s="218">
        <f t="shared" si="89"/>
        <v>46310</v>
      </c>
      <c r="DY42" s="218">
        <f t="shared" si="89"/>
        <v>46311</v>
      </c>
      <c r="DZ42" s="218">
        <f t="shared" si="89"/>
        <v>46312</v>
      </c>
      <c r="EA42" s="218">
        <f t="shared" si="89"/>
        <v>46313</v>
      </c>
      <c r="EB42" s="218">
        <f t="shared" si="89"/>
        <v>46314</v>
      </c>
      <c r="EC42" s="218">
        <f t="shared" si="89"/>
        <v>46315</v>
      </c>
      <c r="ED42" s="218">
        <f t="shared" si="89"/>
        <v>46316</v>
      </c>
      <c r="EE42" s="218">
        <f t="shared" si="89"/>
        <v>46317</v>
      </c>
      <c r="EF42" s="218">
        <f t="shared" si="89"/>
        <v>46318</v>
      </c>
      <c r="EG42" s="218">
        <f t="shared" si="89"/>
        <v>46319</v>
      </c>
      <c r="EH42" s="218">
        <f t="shared" si="89"/>
        <v>46320</v>
      </c>
      <c r="EI42" s="218">
        <f t="shared" si="89"/>
        <v>46321</v>
      </c>
      <c r="EJ42" s="218">
        <f t="shared" si="89"/>
        <v>46322</v>
      </c>
      <c r="EK42" s="218">
        <f t="shared" si="89"/>
        <v>46323</v>
      </c>
      <c r="EL42" s="218">
        <f t="shared" si="89"/>
        <v>46324</v>
      </c>
      <c r="EM42" s="218">
        <f t="shared" si="89"/>
        <v>46325</v>
      </c>
      <c r="EN42" s="218">
        <f t="shared" ref="EN42:EO42" si="90">EM42+1</f>
        <v>46326</v>
      </c>
      <c r="EO42" s="218">
        <f t="shared" si="90"/>
        <v>46327</v>
      </c>
    </row>
    <row r="43" spans="1:147">
      <c r="A43" s="448"/>
      <c r="B43" s="451"/>
      <c r="C43" s="451"/>
      <c r="D43" s="456"/>
      <c r="E43" s="185" t="s">
        <v>64</v>
      </c>
      <c r="F43" s="66">
        <f>SUM('BESS 11'!S245:S252,'BESS 11'!S254)</f>
        <v>47.2</v>
      </c>
      <c r="G43" s="182">
        <v>46239</v>
      </c>
      <c r="H43" s="182">
        <f>MAX('BESS 11'!O245:O251,'BESS 11'!O254)</f>
        <v>46275</v>
      </c>
      <c r="I43" s="65">
        <f>H43-G43</f>
        <v>36</v>
      </c>
      <c r="J43" s="444">
        <f ca="1">K43*1.2</f>
        <v>93.193220338983039</v>
      </c>
      <c r="K43" s="444">
        <f ca="1">AVERAGEIF(M48:EO48,"&gt;0")</f>
        <v>77.66101694915254</v>
      </c>
      <c r="L43" s="444">
        <f ca="1">MAX(M48:EO48)</f>
        <v>224</v>
      </c>
      <c r="M43" s="65" t="str">
        <f t="shared" ref="M43:AB46" si="91">IF(AND(M$2&gt;=$G43,M$2&lt;($G43+$I43)),ROUND($F43/$I43,0),"-")</f>
        <v>-</v>
      </c>
      <c r="N43" s="65" t="str">
        <f t="shared" si="91"/>
        <v>-</v>
      </c>
      <c r="O43" s="65" t="str">
        <f t="shared" si="91"/>
        <v>-</v>
      </c>
      <c r="P43" s="65" t="str">
        <f t="shared" si="91"/>
        <v>-</v>
      </c>
      <c r="Q43" s="65" t="str">
        <f t="shared" si="91"/>
        <v>-</v>
      </c>
      <c r="R43" s="65" t="str">
        <f t="shared" si="91"/>
        <v>-</v>
      </c>
      <c r="S43" s="65" t="str">
        <f t="shared" si="91"/>
        <v>-</v>
      </c>
      <c r="T43" s="65" t="str">
        <f t="shared" si="91"/>
        <v>-</v>
      </c>
      <c r="U43" s="65" t="str">
        <f t="shared" si="91"/>
        <v>-</v>
      </c>
      <c r="V43" s="65" t="str">
        <f t="shared" si="91"/>
        <v>-</v>
      </c>
      <c r="W43" s="65" t="str">
        <f t="shared" si="91"/>
        <v>-</v>
      </c>
      <c r="X43" s="65" t="str">
        <f t="shared" si="91"/>
        <v>-</v>
      </c>
      <c r="Y43" s="65" t="str">
        <f t="shared" si="91"/>
        <v>-</v>
      </c>
      <c r="Z43" s="65" t="str">
        <f t="shared" si="91"/>
        <v>-</v>
      </c>
      <c r="AA43" s="65" t="str">
        <f t="shared" si="91"/>
        <v>-</v>
      </c>
      <c r="AB43" s="65" t="str">
        <f t="shared" si="91"/>
        <v>-</v>
      </c>
      <c r="AC43" s="65" t="str">
        <f t="shared" ref="AC43:AR46" si="92">IF(AND(AC$2&gt;=$G43,AC$2&lt;($G43+$I43)),ROUND($F43/$I43,0),"-")</f>
        <v>-</v>
      </c>
      <c r="AD43" s="65" t="str">
        <f t="shared" si="92"/>
        <v>-</v>
      </c>
      <c r="AE43" s="65" t="str">
        <f t="shared" si="92"/>
        <v>-</v>
      </c>
      <c r="AF43" s="65" t="str">
        <f t="shared" si="92"/>
        <v>-</v>
      </c>
      <c r="AG43" s="65" t="str">
        <f t="shared" si="92"/>
        <v>-</v>
      </c>
      <c r="AH43" s="65" t="str">
        <f t="shared" si="92"/>
        <v>-</v>
      </c>
      <c r="AI43" s="65" t="str">
        <f t="shared" si="92"/>
        <v>-</v>
      </c>
      <c r="AJ43" s="65" t="str">
        <f t="shared" si="92"/>
        <v>-</v>
      </c>
      <c r="AK43" s="65" t="str">
        <f t="shared" si="92"/>
        <v>-</v>
      </c>
      <c r="AL43" s="65" t="str">
        <f t="shared" si="92"/>
        <v>-</v>
      </c>
      <c r="AM43" s="65" t="str">
        <f t="shared" si="92"/>
        <v>-</v>
      </c>
      <c r="AN43" s="65" t="str">
        <f t="shared" si="92"/>
        <v>-</v>
      </c>
      <c r="AO43" s="65" t="str">
        <f t="shared" si="92"/>
        <v>-</v>
      </c>
      <c r="AP43" s="65" t="str">
        <f t="shared" si="92"/>
        <v>-</v>
      </c>
      <c r="AQ43" s="65" t="str">
        <f t="shared" si="92"/>
        <v>-</v>
      </c>
      <c r="AR43" s="65" t="str">
        <f t="shared" si="92"/>
        <v>-</v>
      </c>
      <c r="AS43" s="65" t="str">
        <f t="shared" ref="AS43:BH46" si="93">IF(AND(AS$2&gt;=$G43,AS$2&lt;($G43+$I43)),ROUND($F43/$I43,0),"-")</f>
        <v>-</v>
      </c>
      <c r="AT43" s="65" t="str">
        <f t="shared" si="93"/>
        <v>-</v>
      </c>
      <c r="AU43" s="65" t="str">
        <f t="shared" si="93"/>
        <v>-</v>
      </c>
      <c r="AV43" s="65" t="str">
        <f t="shared" si="93"/>
        <v>-</v>
      </c>
      <c r="AW43" s="65" t="str">
        <f t="shared" si="93"/>
        <v>-</v>
      </c>
      <c r="AX43" s="65" t="str">
        <f t="shared" si="93"/>
        <v>-</v>
      </c>
      <c r="AY43" s="65" t="str">
        <f t="shared" si="93"/>
        <v>-</v>
      </c>
      <c r="AZ43" s="65" t="str">
        <f t="shared" si="93"/>
        <v>-</v>
      </c>
      <c r="BA43" s="65" t="str">
        <f t="shared" si="93"/>
        <v>-</v>
      </c>
      <c r="BB43" s="65" t="str">
        <f t="shared" si="93"/>
        <v>-</v>
      </c>
      <c r="BC43" s="65" t="str">
        <f t="shared" si="93"/>
        <v>-</v>
      </c>
      <c r="BD43" s="65" t="str">
        <f t="shared" si="93"/>
        <v>-</v>
      </c>
      <c r="BE43" s="65">
        <f t="shared" si="93"/>
        <v>1</v>
      </c>
      <c r="BF43" s="65">
        <f t="shared" si="93"/>
        <v>1</v>
      </c>
      <c r="BG43" s="65">
        <f t="shared" si="93"/>
        <v>1</v>
      </c>
      <c r="BH43" s="65">
        <f t="shared" si="93"/>
        <v>1</v>
      </c>
      <c r="BI43" s="65">
        <f t="shared" ref="BI43:BX46" si="94">IF(AND(BI$2&gt;=$G43,BI$2&lt;($G43+$I43)),ROUND($F43/$I43,0),"-")</f>
        <v>1</v>
      </c>
      <c r="BJ43" s="65">
        <f t="shared" si="94"/>
        <v>1</v>
      </c>
      <c r="BK43" s="65">
        <f t="shared" si="94"/>
        <v>1</v>
      </c>
      <c r="BL43" s="65">
        <f t="shared" si="94"/>
        <v>1</v>
      </c>
      <c r="BM43" s="65">
        <f t="shared" si="94"/>
        <v>1</v>
      </c>
      <c r="BN43" s="65">
        <f t="shared" si="94"/>
        <v>1</v>
      </c>
      <c r="BO43" s="65">
        <f t="shared" si="94"/>
        <v>1</v>
      </c>
      <c r="BP43" s="65">
        <f t="shared" si="94"/>
        <v>1</v>
      </c>
      <c r="BQ43" s="65">
        <f t="shared" si="94"/>
        <v>1</v>
      </c>
      <c r="BR43" s="65">
        <f t="shared" si="94"/>
        <v>1</v>
      </c>
      <c r="BS43" s="65">
        <f t="shared" si="94"/>
        <v>1</v>
      </c>
      <c r="BT43" s="65">
        <f t="shared" si="94"/>
        <v>1</v>
      </c>
      <c r="BU43" s="65">
        <f t="shared" si="94"/>
        <v>1</v>
      </c>
      <c r="BV43" s="65">
        <f t="shared" si="94"/>
        <v>1</v>
      </c>
      <c r="BW43" s="65">
        <f t="shared" si="94"/>
        <v>1</v>
      </c>
      <c r="BX43" s="65">
        <f t="shared" si="94"/>
        <v>1</v>
      </c>
      <c r="BY43" s="65">
        <f t="shared" ref="BY43:CN46" si="95">IF(AND(BY$2&gt;=$G43,BY$2&lt;($G43+$I43)),ROUND($F43/$I43,0),"-")</f>
        <v>1</v>
      </c>
      <c r="BZ43" s="65">
        <f t="shared" si="95"/>
        <v>1</v>
      </c>
      <c r="CA43" s="65">
        <f t="shared" si="95"/>
        <v>1</v>
      </c>
      <c r="CB43" s="65">
        <f t="shared" si="95"/>
        <v>1</v>
      </c>
      <c r="CC43" s="65">
        <f t="shared" si="95"/>
        <v>1</v>
      </c>
      <c r="CD43" s="65">
        <f t="shared" si="95"/>
        <v>1</v>
      </c>
      <c r="CE43" s="65">
        <f t="shared" si="95"/>
        <v>1</v>
      </c>
      <c r="CF43" s="65">
        <f t="shared" si="95"/>
        <v>1</v>
      </c>
      <c r="CG43" s="65">
        <f t="shared" si="95"/>
        <v>1</v>
      </c>
      <c r="CH43" s="65">
        <f t="shared" si="95"/>
        <v>1</v>
      </c>
      <c r="CI43" s="65">
        <f t="shared" si="95"/>
        <v>1</v>
      </c>
      <c r="CJ43" s="65">
        <f t="shared" si="95"/>
        <v>1</v>
      </c>
      <c r="CK43" s="65">
        <f t="shared" si="95"/>
        <v>1</v>
      </c>
      <c r="CL43" s="65">
        <f t="shared" si="95"/>
        <v>1</v>
      </c>
      <c r="CM43" s="65">
        <f t="shared" si="95"/>
        <v>1</v>
      </c>
      <c r="CN43" s="65">
        <f t="shared" si="95"/>
        <v>1</v>
      </c>
      <c r="CO43" s="65" t="str">
        <f t="shared" ref="CO43:DD46" si="96">IF(AND(CO$2&gt;=$G43,CO$2&lt;($G43+$I43)),ROUND($F43/$I43,0),"-")</f>
        <v>-</v>
      </c>
      <c r="CP43" s="65" t="str">
        <f t="shared" si="96"/>
        <v>-</v>
      </c>
      <c r="CQ43" s="65" t="str">
        <f t="shared" si="96"/>
        <v>-</v>
      </c>
      <c r="CR43" s="65" t="str">
        <f t="shared" si="96"/>
        <v>-</v>
      </c>
      <c r="CS43" s="65" t="str">
        <f t="shared" si="96"/>
        <v>-</v>
      </c>
      <c r="CT43" s="65" t="str">
        <f t="shared" si="96"/>
        <v>-</v>
      </c>
      <c r="CU43" s="65" t="str">
        <f t="shared" si="96"/>
        <v>-</v>
      </c>
      <c r="CV43" s="65" t="str">
        <f t="shared" si="96"/>
        <v>-</v>
      </c>
      <c r="CW43" s="65" t="str">
        <f t="shared" si="96"/>
        <v>-</v>
      </c>
      <c r="CX43" s="65" t="str">
        <f t="shared" si="96"/>
        <v>-</v>
      </c>
      <c r="CY43" s="65" t="str">
        <f t="shared" si="96"/>
        <v>-</v>
      </c>
      <c r="CZ43" s="65" t="str">
        <f t="shared" si="96"/>
        <v>-</v>
      </c>
      <c r="DA43" s="65" t="str">
        <f t="shared" si="96"/>
        <v>-</v>
      </c>
      <c r="DB43" s="65" t="str">
        <f t="shared" si="96"/>
        <v>-</v>
      </c>
      <c r="DC43" s="65" t="str">
        <f t="shared" si="96"/>
        <v>-</v>
      </c>
      <c r="DD43" s="65" t="str">
        <f t="shared" si="96"/>
        <v>-</v>
      </c>
      <c r="DE43" s="65" t="str">
        <f t="shared" ref="DE43:DT46" si="97">IF(AND(DE$2&gt;=$G43,DE$2&lt;($G43+$I43)),ROUND($F43/$I43,0),"-")</f>
        <v>-</v>
      </c>
      <c r="DF43" s="65" t="str">
        <f t="shared" si="97"/>
        <v>-</v>
      </c>
      <c r="DG43" s="65" t="str">
        <f t="shared" si="97"/>
        <v>-</v>
      </c>
      <c r="DH43" s="65" t="str">
        <f t="shared" si="97"/>
        <v>-</v>
      </c>
      <c r="DI43" s="65" t="str">
        <f t="shared" si="97"/>
        <v>-</v>
      </c>
      <c r="DJ43" s="65" t="str">
        <f t="shared" si="97"/>
        <v>-</v>
      </c>
      <c r="DK43" s="65" t="str">
        <f t="shared" si="97"/>
        <v>-</v>
      </c>
      <c r="DL43" s="65" t="str">
        <f t="shared" si="97"/>
        <v>-</v>
      </c>
      <c r="DM43" s="65" t="str">
        <f t="shared" si="97"/>
        <v>-</v>
      </c>
      <c r="DN43" s="65" t="str">
        <f t="shared" si="97"/>
        <v>-</v>
      </c>
      <c r="DO43" s="65" t="str">
        <f t="shared" si="97"/>
        <v>-</v>
      </c>
      <c r="DP43" s="65" t="str">
        <f t="shared" si="97"/>
        <v>-</v>
      </c>
      <c r="DQ43" s="65" t="str">
        <f t="shared" si="97"/>
        <v>-</v>
      </c>
      <c r="DR43" s="65" t="str">
        <f t="shared" si="97"/>
        <v>-</v>
      </c>
      <c r="DS43" s="65" t="str">
        <f t="shared" si="97"/>
        <v>-</v>
      </c>
      <c r="DT43" s="65" t="str">
        <f t="shared" si="97"/>
        <v>-</v>
      </c>
      <c r="DU43" s="65" t="str">
        <f t="shared" ref="DU43:EJ46" si="98">IF(AND(DU$2&gt;=$G43,DU$2&lt;($G43+$I43)),ROUND($F43/$I43,0),"-")</f>
        <v>-</v>
      </c>
      <c r="DV43" s="65" t="str">
        <f t="shared" si="98"/>
        <v>-</v>
      </c>
      <c r="DW43" s="65" t="str">
        <f t="shared" si="98"/>
        <v>-</v>
      </c>
      <c r="DX43" s="65" t="str">
        <f t="shared" si="98"/>
        <v>-</v>
      </c>
      <c r="DY43" s="65" t="str">
        <f t="shared" si="98"/>
        <v>-</v>
      </c>
      <c r="DZ43" s="65" t="str">
        <f t="shared" si="98"/>
        <v>-</v>
      </c>
      <c r="EA43" s="65" t="str">
        <f t="shared" si="98"/>
        <v>-</v>
      </c>
      <c r="EB43" s="65" t="str">
        <f t="shared" si="98"/>
        <v>-</v>
      </c>
      <c r="EC43" s="65" t="str">
        <f t="shared" si="98"/>
        <v>-</v>
      </c>
      <c r="ED43" s="65" t="str">
        <f t="shared" si="98"/>
        <v>-</v>
      </c>
      <c r="EE43" s="65" t="str">
        <f t="shared" si="98"/>
        <v>-</v>
      </c>
      <c r="EF43" s="65" t="str">
        <f t="shared" si="98"/>
        <v>-</v>
      </c>
      <c r="EG43" s="65" t="str">
        <f t="shared" si="98"/>
        <v>-</v>
      </c>
      <c r="EH43" s="65" t="str">
        <f t="shared" si="98"/>
        <v>-</v>
      </c>
      <c r="EI43" s="65" t="str">
        <f t="shared" si="98"/>
        <v>-</v>
      </c>
      <c r="EJ43" s="65" t="str">
        <f t="shared" si="98"/>
        <v>-</v>
      </c>
      <c r="EK43" s="65" t="str">
        <f t="shared" ref="EK43:EO46" si="99">IF(AND(EK$2&gt;=$G43,EK$2&lt;($G43+$I43)),ROUND($F43/$I43,0),"-")</f>
        <v>-</v>
      </c>
      <c r="EL43" s="65" t="str">
        <f t="shared" si="99"/>
        <v>-</v>
      </c>
      <c r="EM43" s="65" t="str">
        <f t="shared" si="99"/>
        <v>-</v>
      </c>
      <c r="EN43" s="65" t="str">
        <f t="shared" si="99"/>
        <v>-</v>
      </c>
      <c r="EO43" s="65" t="str">
        <f t="shared" si="99"/>
        <v>-</v>
      </c>
    </row>
    <row r="44" spans="1:147">
      <c r="A44" s="448"/>
      <c r="B44" s="451"/>
      <c r="C44" s="451"/>
      <c r="D44" s="456"/>
      <c r="E44" s="185" t="s">
        <v>65</v>
      </c>
      <c r="F44" s="66">
        <f>SUM('BESS 11'!S255,'BESS 11'!S257:S258,'BESS 11'!S261:S263)</f>
        <v>1506.8875466666666</v>
      </c>
      <c r="G44" s="182">
        <f ca="1">TODAY()</f>
        <v>46233</v>
      </c>
      <c r="H44" s="182">
        <f>MAX('BESS 11'!O255,'BESS 11'!O257:O258,'BESS 11'!O261:O263)</f>
        <v>46248</v>
      </c>
      <c r="I44" s="65">
        <f ca="1">H44-G44</f>
        <v>15</v>
      </c>
      <c r="J44" s="453"/>
      <c r="K44" s="453"/>
      <c r="L44" s="445"/>
      <c r="M44" s="65" t="str">
        <f t="shared" ca="1" si="91"/>
        <v>-</v>
      </c>
      <c r="N44" s="65" t="str">
        <f t="shared" ca="1" si="91"/>
        <v>-</v>
      </c>
      <c r="O44" s="65" t="str">
        <f t="shared" ca="1" si="91"/>
        <v>-</v>
      </c>
      <c r="P44" s="65" t="str">
        <f t="shared" ca="1" si="91"/>
        <v>-</v>
      </c>
      <c r="Q44" s="65" t="str">
        <f t="shared" ca="1" si="91"/>
        <v>-</v>
      </c>
      <c r="R44" s="65" t="str">
        <f t="shared" ca="1" si="91"/>
        <v>-</v>
      </c>
      <c r="S44" s="65" t="str">
        <f t="shared" ca="1" si="91"/>
        <v>-</v>
      </c>
      <c r="T44" s="65" t="str">
        <f t="shared" ca="1" si="91"/>
        <v>-</v>
      </c>
      <c r="U44" s="65" t="str">
        <f t="shared" ca="1" si="91"/>
        <v>-</v>
      </c>
      <c r="V44" s="65" t="str">
        <f t="shared" ca="1" si="91"/>
        <v>-</v>
      </c>
      <c r="W44" s="65" t="str">
        <f t="shared" ca="1" si="91"/>
        <v>-</v>
      </c>
      <c r="X44" s="65" t="str">
        <f t="shared" ca="1" si="91"/>
        <v>-</v>
      </c>
      <c r="Y44" s="65" t="str">
        <f t="shared" ca="1" si="91"/>
        <v>-</v>
      </c>
      <c r="Z44" s="65" t="str">
        <f t="shared" ca="1" si="91"/>
        <v>-</v>
      </c>
      <c r="AA44" s="65" t="str">
        <f t="shared" ca="1" si="91"/>
        <v>-</v>
      </c>
      <c r="AB44" s="65" t="str">
        <f t="shared" ca="1" si="91"/>
        <v>-</v>
      </c>
      <c r="AC44" s="65" t="str">
        <f t="shared" ca="1" si="92"/>
        <v>-</v>
      </c>
      <c r="AD44" s="65" t="str">
        <f t="shared" ca="1" si="92"/>
        <v>-</v>
      </c>
      <c r="AE44" s="65" t="str">
        <f t="shared" ca="1" si="92"/>
        <v>-</v>
      </c>
      <c r="AF44" s="65" t="str">
        <f t="shared" ca="1" si="92"/>
        <v>-</v>
      </c>
      <c r="AG44" s="65" t="str">
        <f t="shared" ca="1" si="92"/>
        <v>-</v>
      </c>
      <c r="AH44" s="65" t="str">
        <f t="shared" ca="1" si="92"/>
        <v>-</v>
      </c>
      <c r="AI44" s="65" t="str">
        <f t="shared" ca="1" si="92"/>
        <v>-</v>
      </c>
      <c r="AJ44" s="65" t="str">
        <f t="shared" ca="1" si="92"/>
        <v>-</v>
      </c>
      <c r="AK44" s="65" t="str">
        <f t="shared" ca="1" si="92"/>
        <v>-</v>
      </c>
      <c r="AL44" s="65" t="str">
        <f t="shared" ca="1" si="92"/>
        <v>-</v>
      </c>
      <c r="AM44" s="65" t="str">
        <f t="shared" ca="1" si="92"/>
        <v>-</v>
      </c>
      <c r="AN44" s="65" t="str">
        <f t="shared" ca="1" si="92"/>
        <v>-</v>
      </c>
      <c r="AO44" s="65" t="str">
        <f t="shared" ca="1" si="92"/>
        <v>-</v>
      </c>
      <c r="AP44" s="65" t="str">
        <f t="shared" ca="1" si="92"/>
        <v>-</v>
      </c>
      <c r="AQ44" s="65" t="str">
        <f t="shared" ca="1" si="92"/>
        <v>-</v>
      </c>
      <c r="AR44" s="65" t="str">
        <f t="shared" ca="1" si="92"/>
        <v>-</v>
      </c>
      <c r="AS44" s="65" t="str">
        <f t="shared" ca="1" si="93"/>
        <v>-</v>
      </c>
      <c r="AT44" s="65" t="str">
        <f t="shared" ca="1" si="93"/>
        <v>-</v>
      </c>
      <c r="AU44" s="65" t="str">
        <f t="shared" ca="1" si="93"/>
        <v>-</v>
      </c>
      <c r="AV44" s="65" t="str">
        <f t="shared" ca="1" si="93"/>
        <v>-</v>
      </c>
      <c r="AW44" s="65" t="str">
        <f t="shared" ca="1" si="93"/>
        <v>-</v>
      </c>
      <c r="AX44" s="65" t="str">
        <f t="shared" ca="1" si="93"/>
        <v>-</v>
      </c>
      <c r="AY44" s="65">
        <f t="shared" ca="1" si="93"/>
        <v>100</v>
      </c>
      <c r="AZ44" s="65">
        <f t="shared" ca="1" si="93"/>
        <v>100</v>
      </c>
      <c r="BA44" s="65">
        <f t="shared" ca="1" si="93"/>
        <v>100</v>
      </c>
      <c r="BB44" s="65">
        <f t="shared" ca="1" si="93"/>
        <v>100</v>
      </c>
      <c r="BC44" s="65">
        <f t="shared" ca="1" si="93"/>
        <v>100</v>
      </c>
      <c r="BD44" s="65">
        <f t="shared" ca="1" si="93"/>
        <v>100</v>
      </c>
      <c r="BE44" s="65">
        <f t="shared" ca="1" si="93"/>
        <v>100</v>
      </c>
      <c r="BF44" s="65">
        <f t="shared" ca="1" si="93"/>
        <v>100</v>
      </c>
      <c r="BG44" s="65">
        <f t="shared" ca="1" si="93"/>
        <v>100</v>
      </c>
      <c r="BH44" s="65">
        <f t="shared" ca="1" si="93"/>
        <v>100</v>
      </c>
      <c r="BI44" s="65">
        <f t="shared" ca="1" si="94"/>
        <v>100</v>
      </c>
      <c r="BJ44" s="65">
        <f t="shared" ca="1" si="94"/>
        <v>100</v>
      </c>
      <c r="BK44" s="65">
        <f t="shared" ca="1" si="94"/>
        <v>100</v>
      </c>
      <c r="BL44" s="65">
        <f t="shared" ca="1" si="94"/>
        <v>100</v>
      </c>
      <c r="BM44" s="65">
        <f t="shared" ca="1" si="94"/>
        <v>100</v>
      </c>
      <c r="BN44" s="65" t="str">
        <f t="shared" ca="1" si="94"/>
        <v>-</v>
      </c>
      <c r="BO44" s="65" t="str">
        <f t="shared" ca="1" si="94"/>
        <v>-</v>
      </c>
      <c r="BP44" s="65" t="str">
        <f t="shared" ca="1" si="94"/>
        <v>-</v>
      </c>
      <c r="BQ44" s="65" t="str">
        <f t="shared" ca="1" si="94"/>
        <v>-</v>
      </c>
      <c r="BR44" s="65" t="str">
        <f t="shared" ca="1" si="94"/>
        <v>-</v>
      </c>
      <c r="BS44" s="65" t="str">
        <f t="shared" ca="1" si="94"/>
        <v>-</v>
      </c>
      <c r="BT44" s="65" t="str">
        <f t="shared" ca="1" si="94"/>
        <v>-</v>
      </c>
      <c r="BU44" s="65" t="str">
        <f t="shared" ca="1" si="94"/>
        <v>-</v>
      </c>
      <c r="BV44" s="65" t="str">
        <f t="shared" ca="1" si="94"/>
        <v>-</v>
      </c>
      <c r="BW44" s="65" t="str">
        <f t="shared" ca="1" si="94"/>
        <v>-</v>
      </c>
      <c r="BX44" s="65" t="str">
        <f t="shared" ca="1" si="94"/>
        <v>-</v>
      </c>
      <c r="BY44" s="65" t="str">
        <f t="shared" ca="1" si="95"/>
        <v>-</v>
      </c>
      <c r="BZ44" s="65" t="str">
        <f t="shared" ca="1" si="95"/>
        <v>-</v>
      </c>
      <c r="CA44" s="65" t="str">
        <f t="shared" ca="1" si="95"/>
        <v>-</v>
      </c>
      <c r="CB44" s="65" t="str">
        <f t="shared" ca="1" si="95"/>
        <v>-</v>
      </c>
      <c r="CC44" s="65" t="str">
        <f t="shared" ca="1" si="95"/>
        <v>-</v>
      </c>
      <c r="CD44" s="65" t="str">
        <f t="shared" ca="1" si="95"/>
        <v>-</v>
      </c>
      <c r="CE44" s="65" t="str">
        <f t="shared" ca="1" si="95"/>
        <v>-</v>
      </c>
      <c r="CF44" s="65" t="str">
        <f t="shared" ca="1" si="95"/>
        <v>-</v>
      </c>
      <c r="CG44" s="65" t="str">
        <f t="shared" ca="1" si="95"/>
        <v>-</v>
      </c>
      <c r="CH44" s="65" t="str">
        <f t="shared" ca="1" si="95"/>
        <v>-</v>
      </c>
      <c r="CI44" s="65" t="str">
        <f t="shared" ca="1" si="95"/>
        <v>-</v>
      </c>
      <c r="CJ44" s="65" t="str">
        <f t="shared" ca="1" si="95"/>
        <v>-</v>
      </c>
      <c r="CK44" s="65" t="str">
        <f t="shared" ca="1" si="95"/>
        <v>-</v>
      </c>
      <c r="CL44" s="65" t="str">
        <f t="shared" ca="1" si="95"/>
        <v>-</v>
      </c>
      <c r="CM44" s="65" t="str">
        <f t="shared" ca="1" si="95"/>
        <v>-</v>
      </c>
      <c r="CN44" s="65" t="str">
        <f t="shared" ca="1" si="95"/>
        <v>-</v>
      </c>
      <c r="CO44" s="65" t="str">
        <f t="shared" ca="1" si="96"/>
        <v>-</v>
      </c>
      <c r="CP44" s="65" t="str">
        <f t="shared" ca="1" si="96"/>
        <v>-</v>
      </c>
      <c r="CQ44" s="65" t="str">
        <f t="shared" ca="1" si="96"/>
        <v>-</v>
      </c>
      <c r="CR44" s="65" t="str">
        <f t="shared" ca="1" si="96"/>
        <v>-</v>
      </c>
      <c r="CS44" s="65" t="str">
        <f t="shared" ca="1" si="96"/>
        <v>-</v>
      </c>
      <c r="CT44" s="65" t="str">
        <f t="shared" ca="1" si="96"/>
        <v>-</v>
      </c>
      <c r="CU44" s="65" t="str">
        <f t="shared" ca="1" si="96"/>
        <v>-</v>
      </c>
      <c r="CV44" s="65" t="str">
        <f t="shared" ca="1" si="96"/>
        <v>-</v>
      </c>
      <c r="CW44" s="65" t="str">
        <f t="shared" ca="1" si="96"/>
        <v>-</v>
      </c>
      <c r="CX44" s="65" t="str">
        <f t="shared" ca="1" si="96"/>
        <v>-</v>
      </c>
      <c r="CY44" s="65" t="str">
        <f t="shared" ca="1" si="96"/>
        <v>-</v>
      </c>
      <c r="CZ44" s="65" t="str">
        <f t="shared" ca="1" si="96"/>
        <v>-</v>
      </c>
      <c r="DA44" s="65" t="str">
        <f t="shared" ca="1" si="96"/>
        <v>-</v>
      </c>
      <c r="DB44" s="65" t="str">
        <f t="shared" ca="1" si="96"/>
        <v>-</v>
      </c>
      <c r="DC44" s="65" t="str">
        <f t="shared" ca="1" si="96"/>
        <v>-</v>
      </c>
      <c r="DD44" s="65" t="str">
        <f t="shared" ca="1" si="96"/>
        <v>-</v>
      </c>
      <c r="DE44" s="65" t="str">
        <f t="shared" ca="1" si="97"/>
        <v>-</v>
      </c>
      <c r="DF44" s="65" t="str">
        <f t="shared" ca="1" si="97"/>
        <v>-</v>
      </c>
      <c r="DG44" s="65" t="str">
        <f t="shared" ca="1" si="97"/>
        <v>-</v>
      </c>
      <c r="DH44" s="65" t="str">
        <f t="shared" ca="1" si="97"/>
        <v>-</v>
      </c>
      <c r="DI44" s="65" t="str">
        <f t="shared" ca="1" si="97"/>
        <v>-</v>
      </c>
      <c r="DJ44" s="65" t="str">
        <f t="shared" ca="1" si="97"/>
        <v>-</v>
      </c>
      <c r="DK44" s="65" t="str">
        <f t="shared" ca="1" si="97"/>
        <v>-</v>
      </c>
      <c r="DL44" s="65" t="str">
        <f t="shared" ca="1" si="97"/>
        <v>-</v>
      </c>
      <c r="DM44" s="65" t="str">
        <f t="shared" ca="1" si="97"/>
        <v>-</v>
      </c>
      <c r="DN44" s="65" t="str">
        <f t="shared" ca="1" si="97"/>
        <v>-</v>
      </c>
      <c r="DO44" s="65" t="str">
        <f t="shared" ca="1" si="97"/>
        <v>-</v>
      </c>
      <c r="DP44" s="65" t="str">
        <f t="shared" ca="1" si="97"/>
        <v>-</v>
      </c>
      <c r="DQ44" s="65" t="str">
        <f t="shared" ca="1" si="97"/>
        <v>-</v>
      </c>
      <c r="DR44" s="65" t="str">
        <f t="shared" ca="1" si="97"/>
        <v>-</v>
      </c>
      <c r="DS44" s="65" t="str">
        <f t="shared" ca="1" si="97"/>
        <v>-</v>
      </c>
      <c r="DT44" s="65" t="str">
        <f t="shared" ca="1" si="97"/>
        <v>-</v>
      </c>
      <c r="DU44" s="65" t="str">
        <f t="shared" ca="1" si="98"/>
        <v>-</v>
      </c>
      <c r="DV44" s="65" t="str">
        <f t="shared" ca="1" si="98"/>
        <v>-</v>
      </c>
      <c r="DW44" s="65" t="str">
        <f t="shared" ca="1" si="98"/>
        <v>-</v>
      </c>
      <c r="DX44" s="65" t="str">
        <f t="shared" ca="1" si="98"/>
        <v>-</v>
      </c>
      <c r="DY44" s="65" t="str">
        <f t="shared" ca="1" si="98"/>
        <v>-</v>
      </c>
      <c r="DZ44" s="65" t="str">
        <f t="shared" ca="1" si="98"/>
        <v>-</v>
      </c>
      <c r="EA44" s="65" t="str">
        <f t="shared" ca="1" si="98"/>
        <v>-</v>
      </c>
      <c r="EB44" s="65" t="str">
        <f t="shared" ca="1" si="98"/>
        <v>-</v>
      </c>
      <c r="EC44" s="65" t="str">
        <f t="shared" ca="1" si="98"/>
        <v>-</v>
      </c>
      <c r="ED44" s="65" t="str">
        <f t="shared" ca="1" si="98"/>
        <v>-</v>
      </c>
      <c r="EE44" s="65" t="str">
        <f t="shared" ca="1" si="98"/>
        <v>-</v>
      </c>
      <c r="EF44" s="65" t="str">
        <f t="shared" ca="1" si="98"/>
        <v>-</v>
      </c>
      <c r="EG44" s="65" t="str">
        <f t="shared" ca="1" si="98"/>
        <v>-</v>
      </c>
      <c r="EH44" s="65" t="str">
        <f t="shared" ca="1" si="98"/>
        <v>-</v>
      </c>
      <c r="EI44" s="65" t="str">
        <f t="shared" ca="1" si="98"/>
        <v>-</v>
      </c>
      <c r="EJ44" s="65" t="str">
        <f t="shared" ca="1" si="98"/>
        <v>-</v>
      </c>
      <c r="EK44" s="65" t="str">
        <f t="shared" ca="1" si="99"/>
        <v>-</v>
      </c>
      <c r="EL44" s="65" t="str">
        <f t="shared" ca="1" si="99"/>
        <v>-</v>
      </c>
      <c r="EM44" s="65" t="str">
        <f t="shared" ca="1" si="99"/>
        <v>-</v>
      </c>
      <c r="EN44" s="65" t="str">
        <f t="shared" ca="1" si="99"/>
        <v>-</v>
      </c>
      <c r="EO44" s="65" t="str">
        <f t="shared" ca="1" si="99"/>
        <v>-</v>
      </c>
    </row>
    <row r="45" spans="1:147">
      <c r="A45" s="448"/>
      <c r="B45" s="451"/>
      <c r="C45" s="451"/>
      <c r="D45" s="456"/>
      <c r="E45" s="185" t="s">
        <v>66</v>
      </c>
      <c r="F45" s="66">
        <f>SUM('BESS 11'!S256,'BESS 11'!S259:S260,'BESS 11'!S264:S265)</f>
        <v>2453.6666666666665</v>
      </c>
      <c r="G45" s="182">
        <f>G43+1</f>
        <v>46240</v>
      </c>
      <c r="H45" s="182">
        <f>G45+20</f>
        <v>46260</v>
      </c>
      <c r="I45" s="65">
        <f>H45-G45</f>
        <v>20</v>
      </c>
      <c r="J45" s="453"/>
      <c r="K45" s="453"/>
      <c r="L45" s="445"/>
      <c r="M45" s="65" t="str">
        <f t="shared" si="91"/>
        <v>-</v>
      </c>
      <c r="N45" s="65" t="str">
        <f t="shared" si="91"/>
        <v>-</v>
      </c>
      <c r="O45" s="65" t="str">
        <f t="shared" si="91"/>
        <v>-</v>
      </c>
      <c r="P45" s="65" t="str">
        <f t="shared" si="91"/>
        <v>-</v>
      </c>
      <c r="Q45" s="65" t="str">
        <f t="shared" si="91"/>
        <v>-</v>
      </c>
      <c r="R45" s="65" t="str">
        <f t="shared" si="91"/>
        <v>-</v>
      </c>
      <c r="S45" s="65" t="str">
        <f t="shared" si="91"/>
        <v>-</v>
      </c>
      <c r="T45" s="65" t="str">
        <f t="shared" si="91"/>
        <v>-</v>
      </c>
      <c r="U45" s="65" t="str">
        <f t="shared" si="91"/>
        <v>-</v>
      </c>
      <c r="V45" s="65" t="str">
        <f t="shared" si="91"/>
        <v>-</v>
      </c>
      <c r="W45" s="65" t="str">
        <f t="shared" si="91"/>
        <v>-</v>
      </c>
      <c r="X45" s="65" t="str">
        <f t="shared" si="91"/>
        <v>-</v>
      </c>
      <c r="Y45" s="65" t="str">
        <f t="shared" si="91"/>
        <v>-</v>
      </c>
      <c r="Z45" s="65" t="str">
        <f t="shared" si="91"/>
        <v>-</v>
      </c>
      <c r="AA45" s="65" t="str">
        <f t="shared" si="91"/>
        <v>-</v>
      </c>
      <c r="AB45" s="65" t="str">
        <f t="shared" si="91"/>
        <v>-</v>
      </c>
      <c r="AC45" s="65" t="str">
        <f t="shared" si="92"/>
        <v>-</v>
      </c>
      <c r="AD45" s="65" t="str">
        <f t="shared" si="92"/>
        <v>-</v>
      </c>
      <c r="AE45" s="65" t="str">
        <f t="shared" si="92"/>
        <v>-</v>
      </c>
      <c r="AF45" s="65" t="str">
        <f t="shared" si="92"/>
        <v>-</v>
      </c>
      <c r="AG45" s="65" t="str">
        <f t="shared" si="92"/>
        <v>-</v>
      </c>
      <c r="AH45" s="65" t="str">
        <f t="shared" si="92"/>
        <v>-</v>
      </c>
      <c r="AI45" s="65" t="str">
        <f t="shared" si="92"/>
        <v>-</v>
      </c>
      <c r="AJ45" s="65" t="str">
        <f t="shared" si="92"/>
        <v>-</v>
      </c>
      <c r="AK45" s="65" t="str">
        <f t="shared" si="92"/>
        <v>-</v>
      </c>
      <c r="AL45" s="65" t="str">
        <f t="shared" si="92"/>
        <v>-</v>
      </c>
      <c r="AM45" s="65" t="str">
        <f t="shared" si="92"/>
        <v>-</v>
      </c>
      <c r="AN45" s="65" t="str">
        <f t="shared" si="92"/>
        <v>-</v>
      </c>
      <c r="AO45" s="65" t="str">
        <f t="shared" si="92"/>
        <v>-</v>
      </c>
      <c r="AP45" s="65" t="str">
        <f t="shared" si="92"/>
        <v>-</v>
      </c>
      <c r="AQ45" s="65" t="str">
        <f t="shared" si="92"/>
        <v>-</v>
      </c>
      <c r="AR45" s="65" t="str">
        <f t="shared" si="92"/>
        <v>-</v>
      </c>
      <c r="AS45" s="65" t="str">
        <f t="shared" si="93"/>
        <v>-</v>
      </c>
      <c r="AT45" s="65" t="str">
        <f t="shared" si="93"/>
        <v>-</v>
      </c>
      <c r="AU45" s="65" t="str">
        <f t="shared" si="93"/>
        <v>-</v>
      </c>
      <c r="AV45" s="65" t="str">
        <f t="shared" si="93"/>
        <v>-</v>
      </c>
      <c r="AW45" s="65" t="str">
        <f t="shared" si="93"/>
        <v>-</v>
      </c>
      <c r="AX45" s="65" t="str">
        <f t="shared" si="93"/>
        <v>-</v>
      </c>
      <c r="AY45" s="65" t="str">
        <f t="shared" si="93"/>
        <v>-</v>
      </c>
      <c r="AZ45" s="65" t="str">
        <f t="shared" si="93"/>
        <v>-</v>
      </c>
      <c r="BA45" s="65" t="str">
        <f t="shared" si="93"/>
        <v>-</v>
      </c>
      <c r="BB45" s="65" t="str">
        <f t="shared" si="93"/>
        <v>-</v>
      </c>
      <c r="BC45" s="65" t="str">
        <f t="shared" si="93"/>
        <v>-</v>
      </c>
      <c r="BD45" s="65" t="str">
        <f t="shared" si="93"/>
        <v>-</v>
      </c>
      <c r="BE45" s="65" t="str">
        <f t="shared" si="93"/>
        <v>-</v>
      </c>
      <c r="BF45" s="65">
        <f t="shared" si="93"/>
        <v>123</v>
      </c>
      <c r="BG45" s="65">
        <f t="shared" si="93"/>
        <v>123</v>
      </c>
      <c r="BH45" s="65">
        <f t="shared" si="93"/>
        <v>123</v>
      </c>
      <c r="BI45" s="65">
        <f t="shared" si="94"/>
        <v>123</v>
      </c>
      <c r="BJ45" s="65">
        <f t="shared" si="94"/>
        <v>123</v>
      </c>
      <c r="BK45" s="65">
        <f t="shared" si="94"/>
        <v>123</v>
      </c>
      <c r="BL45" s="65">
        <f t="shared" si="94"/>
        <v>123</v>
      </c>
      <c r="BM45" s="65">
        <f t="shared" si="94"/>
        <v>123</v>
      </c>
      <c r="BN45" s="65">
        <f t="shared" si="94"/>
        <v>123</v>
      </c>
      <c r="BO45" s="65">
        <f t="shared" si="94"/>
        <v>123</v>
      </c>
      <c r="BP45" s="65">
        <f t="shared" si="94"/>
        <v>123</v>
      </c>
      <c r="BQ45" s="65">
        <f t="shared" si="94"/>
        <v>123</v>
      </c>
      <c r="BR45" s="65">
        <f t="shared" si="94"/>
        <v>123</v>
      </c>
      <c r="BS45" s="65">
        <f t="shared" si="94"/>
        <v>123</v>
      </c>
      <c r="BT45" s="65">
        <f t="shared" si="94"/>
        <v>123</v>
      </c>
      <c r="BU45" s="65">
        <f t="shared" si="94"/>
        <v>123</v>
      </c>
      <c r="BV45" s="65">
        <f t="shared" si="94"/>
        <v>123</v>
      </c>
      <c r="BW45" s="65">
        <f t="shared" si="94"/>
        <v>123</v>
      </c>
      <c r="BX45" s="65">
        <f t="shared" si="94"/>
        <v>123</v>
      </c>
      <c r="BY45" s="65">
        <f t="shared" si="95"/>
        <v>123</v>
      </c>
      <c r="BZ45" s="65" t="str">
        <f t="shared" si="95"/>
        <v>-</v>
      </c>
      <c r="CA45" s="65" t="str">
        <f t="shared" si="95"/>
        <v>-</v>
      </c>
      <c r="CB45" s="65" t="str">
        <f t="shared" si="95"/>
        <v>-</v>
      </c>
      <c r="CC45" s="65" t="str">
        <f t="shared" si="95"/>
        <v>-</v>
      </c>
      <c r="CD45" s="65" t="str">
        <f t="shared" si="95"/>
        <v>-</v>
      </c>
      <c r="CE45" s="65" t="str">
        <f t="shared" si="95"/>
        <v>-</v>
      </c>
      <c r="CF45" s="65" t="str">
        <f t="shared" si="95"/>
        <v>-</v>
      </c>
      <c r="CG45" s="65" t="str">
        <f t="shared" si="95"/>
        <v>-</v>
      </c>
      <c r="CH45" s="65" t="str">
        <f t="shared" si="95"/>
        <v>-</v>
      </c>
      <c r="CI45" s="65" t="str">
        <f t="shared" si="95"/>
        <v>-</v>
      </c>
      <c r="CJ45" s="65" t="str">
        <f t="shared" si="95"/>
        <v>-</v>
      </c>
      <c r="CK45" s="65" t="str">
        <f t="shared" si="95"/>
        <v>-</v>
      </c>
      <c r="CL45" s="65" t="str">
        <f t="shared" si="95"/>
        <v>-</v>
      </c>
      <c r="CM45" s="65" t="str">
        <f t="shared" si="95"/>
        <v>-</v>
      </c>
      <c r="CN45" s="65" t="str">
        <f t="shared" si="95"/>
        <v>-</v>
      </c>
      <c r="CO45" s="65" t="str">
        <f t="shared" si="96"/>
        <v>-</v>
      </c>
      <c r="CP45" s="65" t="str">
        <f t="shared" si="96"/>
        <v>-</v>
      </c>
      <c r="CQ45" s="65" t="str">
        <f t="shared" si="96"/>
        <v>-</v>
      </c>
      <c r="CR45" s="65" t="str">
        <f t="shared" si="96"/>
        <v>-</v>
      </c>
      <c r="CS45" s="65" t="str">
        <f t="shared" si="96"/>
        <v>-</v>
      </c>
      <c r="CT45" s="65" t="str">
        <f t="shared" si="96"/>
        <v>-</v>
      </c>
      <c r="CU45" s="65" t="str">
        <f t="shared" si="96"/>
        <v>-</v>
      </c>
      <c r="CV45" s="65" t="str">
        <f t="shared" si="96"/>
        <v>-</v>
      </c>
      <c r="CW45" s="65" t="str">
        <f t="shared" si="96"/>
        <v>-</v>
      </c>
      <c r="CX45" s="65" t="str">
        <f t="shared" si="96"/>
        <v>-</v>
      </c>
      <c r="CY45" s="65" t="str">
        <f t="shared" si="96"/>
        <v>-</v>
      </c>
      <c r="CZ45" s="65" t="str">
        <f t="shared" si="96"/>
        <v>-</v>
      </c>
      <c r="DA45" s="65" t="str">
        <f t="shared" si="96"/>
        <v>-</v>
      </c>
      <c r="DB45" s="65" t="str">
        <f t="shared" si="96"/>
        <v>-</v>
      </c>
      <c r="DC45" s="65" t="str">
        <f t="shared" si="96"/>
        <v>-</v>
      </c>
      <c r="DD45" s="65" t="str">
        <f t="shared" si="96"/>
        <v>-</v>
      </c>
      <c r="DE45" s="65" t="str">
        <f t="shared" si="97"/>
        <v>-</v>
      </c>
      <c r="DF45" s="65" t="str">
        <f t="shared" si="97"/>
        <v>-</v>
      </c>
      <c r="DG45" s="65" t="str">
        <f t="shared" si="97"/>
        <v>-</v>
      </c>
      <c r="DH45" s="65" t="str">
        <f t="shared" si="97"/>
        <v>-</v>
      </c>
      <c r="DI45" s="65" t="str">
        <f t="shared" si="97"/>
        <v>-</v>
      </c>
      <c r="DJ45" s="65" t="str">
        <f t="shared" si="97"/>
        <v>-</v>
      </c>
      <c r="DK45" s="65" t="str">
        <f t="shared" si="97"/>
        <v>-</v>
      </c>
      <c r="DL45" s="65" t="str">
        <f t="shared" si="97"/>
        <v>-</v>
      </c>
      <c r="DM45" s="65" t="str">
        <f t="shared" si="97"/>
        <v>-</v>
      </c>
      <c r="DN45" s="65" t="str">
        <f t="shared" si="97"/>
        <v>-</v>
      </c>
      <c r="DO45" s="65" t="str">
        <f t="shared" si="97"/>
        <v>-</v>
      </c>
      <c r="DP45" s="65" t="str">
        <f t="shared" si="97"/>
        <v>-</v>
      </c>
      <c r="DQ45" s="65" t="str">
        <f t="shared" si="97"/>
        <v>-</v>
      </c>
      <c r="DR45" s="65" t="str">
        <f t="shared" si="97"/>
        <v>-</v>
      </c>
      <c r="DS45" s="65" t="str">
        <f t="shared" si="97"/>
        <v>-</v>
      </c>
      <c r="DT45" s="65" t="str">
        <f t="shared" si="97"/>
        <v>-</v>
      </c>
      <c r="DU45" s="65" t="str">
        <f t="shared" si="98"/>
        <v>-</v>
      </c>
      <c r="DV45" s="65" t="str">
        <f t="shared" si="98"/>
        <v>-</v>
      </c>
      <c r="DW45" s="65" t="str">
        <f t="shared" si="98"/>
        <v>-</v>
      </c>
      <c r="DX45" s="65" t="str">
        <f t="shared" si="98"/>
        <v>-</v>
      </c>
      <c r="DY45" s="65" t="str">
        <f t="shared" si="98"/>
        <v>-</v>
      </c>
      <c r="DZ45" s="65" t="str">
        <f t="shared" si="98"/>
        <v>-</v>
      </c>
      <c r="EA45" s="65" t="str">
        <f t="shared" si="98"/>
        <v>-</v>
      </c>
      <c r="EB45" s="65" t="str">
        <f t="shared" si="98"/>
        <v>-</v>
      </c>
      <c r="EC45" s="65" t="str">
        <f t="shared" si="98"/>
        <v>-</v>
      </c>
      <c r="ED45" s="65" t="str">
        <f t="shared" si="98"/>
        <v>-</v>
      </c>
      <c r="EE45" s="65" t="str">
        <f t="shared" si="98"/>
        <v>-</v>
      </c>
      <c r="EF45" s="65" t="str">
        <f t="shared" si="98"/>
        <v>-</v>
      </c>
      <c r="EG45" s="65" t="str">
        <f t="shared" si="98"/>
        <v>-</v>
      </c>
      <c r="EH45" s="65" t="str">
        <f t="shared" si="98"/>
        <v>-</v>
      </c>
      <c r="EI45" s="65" t="str">
        <f t="shared" si="98"/>
        <v>-</v>
      </c>
      <c r="EJ45" s="65" t="str">
        <f t="shared" si="98"/>
        <v>-</v>
      </c>
      <c r="EK45" s="65" t="str">
        <f t="shared" si="99"/>
        <v>-</v>
      </c>
      <c r="EL45" s="65" t="str">
        <f t="shared" si="99"/>
        <v>-</v>
      </c>
      <c r="EM45" s="65" t="str">
        <f t="shared" si="99"/>
        <v>-</v>
      </c>
      <c r="EN45" s="65" t="str">
        <f t="shared" si="99"/>
        <v>-</v>
      </c>
      <c r="EO45" s="65" t="str">
        <f t="shared" si="99"/>
        <v>-</v>
      </c>
    </row>
    <row r="46" spans="1:147">
      <c r="A46" s="448"/>
      <c r="B46" s="451"/>
      <c r="C46" s="451"/>
      <c r="D46" s="456"/>
      <c r="E46" s="185" t="s">
        <v>67</v>
      </c>
      <c r="F46" s="66">
        <f>SUM('BESS 11'!S268:S276)</f>
        <v>340.69333333333333</v>
      </c>
      <c r="G46" s="182">
        <f>H46-14</f>
        <v>46272</v>
      </c>
      <c r="H46" s="182">
        <f>MAX('BESS 11'!O268:O276)</f>
        <v>46286</v>
      </c>
      <c r="I46" s="65">
        <f>H46-G46</f>
        <v>14</v>
      </c>
      <c r="J46" s="453"/>
      <c r="K46" s="453"/>
      <c r="L46" s="445"/>
      <c r="M46" s="164" t="str">
        <f t="shared" si="91"/>
        <v>-</v>
      </c>
      <c r="N46" s="164" t="str">
        <f t="shared" si="91"/>
        <v>-</v>
      </c>
      <c r="O46" s="164" t="str">
        <f t="shared" si="91"/>
        <v>-</v>
      </c>
      <c r="P46" s="164" t="str">
        <f t="shared" si="91"/>
        <v>-</v>
      </c>
      <c r="Q46" s="164" t="str">
        <f t="shared" si="91"/>
        <v>-</v>
      </c>
      <c r="R46" s="164" t="str">
        <f t="shared" si="91"/>
        <v>-</v>
      </c>
      <c r="S46" s="164" t="str">
        <f t="shared" si="91"/>
        <v>-</v>
      </c>
      <c r="T46" s="164" t="str">
        <f t="shared" si="91"/>
        <v>-</v>
      </c>
      <c r="U46" s="164" t="str">
        <f t="shared" si="91"/>
        <v>-</v>
      </c>
      <c r="V46" s="164" t="str">
        <f t="shared" si="91"/>
        <v>-</v>
      </c>
      <c r="W46" s="164" t="str">
        <f t="shared" si="91"/>
        <v>-</v>
      </c>
      <c r="X46" s="164" t="str">
        <f t="shared" si="91"/>
        <v>-</v>
      </c>
      <c r="Y46" s="164" t="str">
        <f t="shared" si="91"/>
        <v>-</v>
      </c>
      <c r="Z46" s="164" t="str">
        <f t="shared" si="91"/>
        <v>-</v>
      </c>
      <c r="AA46" s="164" t="str">
        <f t="shared" si="91"/>
        <v>-</v>
      </c>
      <c r="AB46" s="164" t="str">
        <f t="shared" si="91"/>
        <v>-</v>
      </c>
      <c r="AC46" s="164" t="str">
        <f t="shared" si="92"/>
        <v>-</v>
      </c>
      <c r="AD46" s="164" t="str">
        <f t="shared" si="92"/>
        <v>-</v>
      </c>
      <c r="AE46" s="164" t="str">
        <f t="shared" si="92"/>
        <v>-</v>
      </c>
      <c r="AF46" s="164" t="str">
        <f t="shared" si="92"/>
        <v>-</v>
      </c>
      <c r="AG46" s="164" t="str">
        <f t="shared" si="92"/>
        <v>-</v>
      </c>
      <c r="AH46" s="164" t="str">
        <f t="shared" si="92"/>
        <v>-</v>
      </c>
      <c r="AI46" s="164" t="str">
        <f t="shared" si="92"/>
        <v>-</v>
      </c>
      <c r="AJ46" s="164" t="str">
        <f t="shared" si="92"/>
        <v>-</v>
      </c>
      <c r="AK46" s="164" t="str">
        <f t="shared" si="92"/>
        <v>-</v>
      </c>
      <c r="AL46" s="164" t="str">
        <f t="shared" si="92"/>
        <v>-</v>
      </c>
      <c r="AM46" s="164" t="str">
        <f t="shared" si="92"/>
        <v>-</v>
      </c>
      <c r="AN46" s="164" t="str">
        <f t="shared" si="92"/>
        <v>-</v>
      </c>
      <c r="AO46" s="164" t="str">
        <f t="shared" si="92"/>
        <v>-</v>
      </c>
      <c r="AP46" s="164" t="str">
        <f t="shared" si="92"/>
        <v>-</v>
      </c>
      <c r="AQ46" s="164" t="str">
        <f t="shared" si="92"/>
        <v>-</v>
      </c>
      <c r="AR46" s="164" t="str">
        <f t="shared" si="92"/>
        <v>-</v>
      </c>
      <c r="AS46" s="164" t="str">
        <f t="shared" si="93"/>
        <v>-</v>
      </c>
      <c r="AT46" s="164" t="str">
        <f t="shared" si="93"/>
        <v>-</v>
      </c>
      <c r="AU46" s="164" t="str">
        <f t="shared" si="93"/>
        <v>-</v>
      </c>
      <c r="AV46" s="164" t="str">
        <f t="shared" si="93"/>
        <v>-</v>
      </c>
      <c r="AW46" s="164" t="str">
        <f t="shared" si="93"/>
        <v>-</v>
      </c>
      <c r="AX46" s="164" t="str">
        <f t="shared" si="93"/>
        <v>-</v>
      </c>
      <c r="AY46" s="164" t="str">
        <f t="shared" si="93"/>
        <v>-</v>
      </c>
      <c r="AZ46" s="164" t="str">
        <f t="shared" si="93"/>
        <v>-</v>
      </c>
      <c r="BA46" s="164" t="str">
        <f t="shared" si="93"/>
        <v>-</v>
      </c>
      <c r="BB46" s="164" t="str">
        <f t="shared" si="93"/>
        <v>-</v>
      </c>
      <c r="BC46" s="164" t="str">
        <f t="shared" si="93"/>
        <v>-</v>
      </c>
      <c r="BD46" s="164" t="str">
        <f t="shared" si="93"/>
        <v>-</v>
      </c>
      <c r="BE46" s="164" t="str">
        <f t="shared" si="93"/>
        <v>-</v>
      </c>
      <c r="BF46" s="164" t="str">
        <f t="shared" si="93"/>
        <v>-</v>
      </c>
      <c r="BG46" s="164" t="str">
        <f t="shared" si="93"/>
        <v>-</v>
      </c>
      <c r="BH46" s="164" t="str">
        <f t="shared" si="93"/>
        <v>-</v>
      </c>
      <c r="BI46" s="164" t="str">
        <f t="shared" si="94"/>
        <v>-</v>
      </c>
      <c r="BJ46" s="164" t="str">
        <f t="shared" si="94"/>
        <v>-</v>
      </c>
      <c r="BK46" s="164" t="str">
        <f t="shared" si="94"/>
        <v>-</v>
      </c>
      <c r="BL46" s="164" t="str">
        <f t="shared" si="94"/>
        <v>-</v>
      </c>
      <c r="BM46" s="164" t="str">
        <f t="shared" si="94"/>
        <v>-</v>
      </c>
      <c r="BN46" s="164" t="str">
        <f t="shared" si="94"/>
        <v>-</v>
      </c>
      <c r="BO46" s="164" t="str">
        <f t="shared" si="94"/>
        <v>-</v>
      </c>
      <c r="BP46" s="164" t="str">
        <f t="shared" si="94"/>
        <v>-</v>
      </c>
      <c r="BQ46" s="164" t="str">
        <f t="shared" si="94"/>
        <v>-</v>
      </c>
      <c r="BR46" s="164" t="str">
        <f t="shared" si="94"/>
        <v>-</v>
      </c>
      <c r="BS46" s="164" t="str">
        <f t="shared" si="94"/>
        <v>-</v>
      </c>
      <c r="BT46" s="164" t="str">
        <f t="shared" si="94"/>
        <v>-</v>
      </c>
      <c r="BU46" s="164" t="str">
        <f t="shared" si="94"/>
        <v>-</v>
      </c>
      <c r="BV46" s="164" t="str">
        <f t="shared" si="94"/>
        <v>-</v>
      </c>
      <c r="BW46" s="164" t="str">
        <f t="shared" si="94"/>
        <v>-</v>
      </c>
      <c r="BX46" s="164" t="str">
        <f t="shared" si="94"/>
        <v>-</v>
      </c>
      <c r="BY46" s="164" t="str">
        <f t="shared" si="95"/>
        <v>-</v>
      </c>
      <c r="BZ46" s="164" t="str">
        <f t="shared" si="95"/>
        <v>-</v>
      </c>
      <c r="CA46" s="164" t="str">
        <f t="shared" si="95"/>
        <v>-</v>
      </c>
      <c r="CB46" s="164" t="str">
        <f t="shared" si="95"/>
        <v>-</v>
      </c>
      <c r="CC46" s="164" t="str">
        <f t="shared" si="95"/>
        <v>-</v>
      </c>
      <c r="CD46" s="164" t="str">
        <f t="shared" si="95"/>
        <v>-</v>
      </c>
      <c r="CE46" s="164" t="str">
        <f t="shared" si="95"/>
        <v>-</v>
      </c>
      <c r="CF46" s="164" t="str">
        <f t="shared" si="95"/>
        <v>-</v>
      </c>
      <c r="CG46" s="164" t="str">
        <f t="shared" si="95"/>
        <v>-</v>
      </c>
      <c r="CH46" s="164" t="str">
        <f t="shared" si="95"/>
        <v>-</v>
      </c>
      <c r="CI46" s="164" t="str">
        <f t="shared" si="95"/>
        <v>-</v>
      </c>
      <c r="CJ46" s="164" t="str">
        <f t="shared" si="95"/>
        <v>-</v>
      </c>
      <c r="CK46" s="164" t="str">
        <f t="shared" si="95"/>
        <v>-</v>
      </c>
      <c r="CL46" s="164">
        <f t="shared" si="95"/>
        <v>24</v>
      </c>
      <c r="CM46" s="164">
        <f t="shared" si="95"/>
        <v>24</v>
      </c>
      <c r="CN46" s="164">
        <f t="shared" si="95"/>
        <v>24</v>
      </c>
      <c r="CO46" s="164">
        <f t="shared" si="96"/>
        <v>24</v>
      </c>
      <c r="CP46" s="164">
        <f t="shared" si="96"/>
        <v>24</v>
      </c>
      <c r="CQ46" s="164">
        <f t="shared" si="96"/>
        <v>24</v>
      </c>
      <c r="CR46" s="164">
        <f t="shared" si="96"/>
        <v>24</v>
      </c>
      <c r="CS46" s="164">
        <f t="shared" si="96"/>
        <v>24</v>
      </c>
      <c r="CT46" s="164">
        <f t="shared" si="96"/>
        <v>24</v>
      </c>
      <c r="CU46" s="164">
        <f t="shared" si="96"/>
        <v>24</v>
      </c>
      <c r="CV46" s="164">
        <f t="shared" si="96"/>
        <v>24</v>
      </c>
      <c r="CW46" s="164">
        <f t="shared" si="96"/>
        <v>24</v>
      </c>
      <c r="CX46" s="164">
        <f t="shared" si="96"/>
        <v>24</v>
      </c>
      <c r="CY46" s="164">
        <f t="shared" si="96"/>
        <v>24</v>
      </c>
      <c r="CZ46" s="164" t="str">
        <f t="shared" si="96"/>
        <v>-</v>
      </c>
      <c r="DA46" s="164" t="str">
        <f t="shared" si="96"/>
        <v>-</v>
      </c>
      <c r="DB46" s="164" t="str">
        <f t="shared" si="96"/>
        <v>-</v>
      </c>
      <c r="DC46" s="164" t="str">
        <f t="shared" si="96"/>
        <v>-</v>
      </c>
      <c r="DD46" s="164" t="str">
        <f t="shared" si="96"/>
        <v>-</v>
      </c>
      <c r="DE46" s="164" t="str">
        <f t="shared" si="97"/>
        <v>-</v>
      </c>
      <c r="DF46" s="164" t="str">
        <f t="shared" si="97"/>
        <v>-</v>
      </c>
      <c r="DG46" s="164" t="str">
        <f t="shared" si="97"/>
        <v>-</v>
      </c>
      <c r="DH46" s="164" t="str">
        <f t="shared" si="97"/>
        <v>-</v>
      </c>
      <c r="DI46" s="164" t="str">
        <f t="shared" si="97"/>
        <v>-</v>
      </c>
      <c r="DJ46" s="164" t="str">
        <f t="shared" si="97"/>
        <v>-</v>
      </c>
      <c r="DK46" s="164" t="str">
        <f t="shared" si="97"/>
        <v>-</v>
      </c>
      <c r="DL46" s="164" t="str">
        <f t="shared" si="97"/>
        <v>-</v>
      </c>
      <c r="DM46" s="164" t="str">
        <f t="shared" si="97"/>
        <v>-</v>
      </c>
      <c r="DN46" s="164" t="str">
        <f t="shared" si="97"/>
        <v>-</v>
      </c>
      <c r="DO46" s="164" t="str">
        <f t="shared" si="97"/>
        <v>-</v>
      </c>
      <c r="DP46" s="164" t="str">
        <f t="shared" si="97"/>
        <v>-</v>
      </c>
      <c r="DQ46" s="164" t="str">
        <f t="shared" si="97"/>
        <v>-</v>
      </c>
      <c r="DR46" s="164" t="str">
        <f t="shared" si="97"/>
        <v>-</v>
      </c>
      <c r="DS46" s="164" t="str">
        <f t="shared" si="97"/>
        <v>-</v>
      </c>
      <c r="DT46" s="164" t="str">
        <f t="shared" si="97"/>
        <v>-</v>
      </c>
      <c r="DU46" s="164" t="str">
        <f t="shared" si="98"/>
        <v>-</v>
      </c>
      <c r="DV46" s="164" t="str">
        <f t="shared" si="98"/>
        <v>-</v>
      </c>
      <c r="DW46" s="164" t="str">
        <f t="shared" si="98"/>
        <v>-</v>
      </c>
      <c r="DX46" s="164" t="str">
        <f t="shared" si="98"/>
        <v>-</v>
      </c>
      <c r="DY46" s="164" t="str">
        <f t="shared" si="98"/>
        <v>-</v>
      </c>
      <c r="DZ46" s="164" t="str">
        <f t="shared" si="98"/>
        <v>-</v>
      </c>
      <c r="EA46" s="164" t="str">
        <f t="shared" si="98"/>
        <v>-</v>
      </c>
      <c r="EB46" s="164" t="str">
        <f t="shared" si="98"/>
        <v>-</v>
      </c>
      <c r="EC46" s="164" t="str">
        <f t="shared" si="98"/>
        <v>-</v>
      </c>
      <c r="ED46" s="164" t="str">
        <f t="shared" si="98"/>
        <v>-</v>
      </c>
      <c r="EE46" s="164" t="str">
        <f t="shared" si="98"/>
        <v>-</v>
      </c>
      <c r="EF46" s="164" t="str">
        <f t="shared" si="98"/>
        <v>-</v>
      </c>
      <c r="EG46" s="164" t="str">
        <f t="shared" si="98"/>
        <v>-</v>
      </c>
      <c r="EH46" s="164" t="str">
        <f t="shared" si="98"/>
        <v>-</v>
      </c>
      <c r="EI46" s="164" t="str">
        <f t="shared" si="98"/>
        <v>-</v>
      </c>
      <c r="EJ46" s="164" t="str">
        <f t="shared" si="98"/>
        <v>-</v>
      </c>
      <c r="EK46" s="164" t="str">
        <f t="shared" si="99"/>
        <v>-</v>
      </c>
      <c r="EL46" s="164" t="str">
        <f t="shared" si="99"/>
        <v>-</v>
      </c>
      <c r="EM46" s="164" t="str">
        <f t="shared" si="99"/>
        <v>-</v>
      </c>
      <c r="EN46" s="164" t="str">
        <f t="shared" si="99"/>
        <v>-</v>
      </c>
      <c r="EO46" s="164" t="str">
        <f t="shared" si="99"/>
        <v>-</v>
      </c>
    </row>
    <row r="47" spans="1:147">
      <c r="A47" s="449"/>
      <c r="B47" s="452"/>
      <c r="C47" s="452"/>
      <c r="D47" s="457"/>
      <c r="E47" s="185" t="s">
        <v>68</v>
      </c>
      <c r="F47" s="65">
        <v>250</v>
      </c>
      <c r="G47" s="185"/>
      <c r="H47" s="182">
        <f>B42-3</f>
        <v>46285</v>
      </c>
      <c r="I47" s="65">
        <v>30</v>
      </c>
      <c r="J47" s="454"/>
      <c r="K47" s="454"/>
      <c r="L47" s="446"/>
      <c r="M47" s="109" t="str">
        <f>IF(AND(M$2&gt;=$B$42-26,M$2&lt;=$B$42-3),5,IF(OR(M$2=$B$42-2,M$2=$B$42-1,M$2=$B$42,M$2=$B$42+1),30,IF(OR(M$2=$B$42+2,M$2=$B$42+3),5,"")))</f>
        <v/>
      </c>
      <c r="N47" s="109" t="str">
        <f t="shared" ref="N47:BY47" si="100">IF(AND(N$2&gt;=$B$42-26,N$2&lt;=$B$42-3),5,IF(OR(N$2=$B$42-2,N$2=$B$42-1,N$2=$B$42,N$2=$B$42+1),30,IF(OR(N$2=$B$42+2,N$2=$B$42+3),5,"")))</f>
        <v/>
      </c>
      <c r="O47" s="109" t="str">
        <f t="shared" si="100"/>
        <v/>
      </c>
      <c r="P47" s="109" t="str">
        <f t="shared" si="100"/>
        <v/>
      </c>
      <c r="Q47" s="109" t="str">
        <f t="shared" si="100"/>
        <v/>
      </c>
      <c r="R47" s="109" t="str">
        <f t="shared" si="100"/>
        <v/>
      </c>
      <c r="S47" s="109" t="str">
        <f t="shared" si="100"/>
        <v/>
      </c>
      <c r="T47" s="109" t="str">
        <f t="shared" si="100"/>
        <v/>
      </c>
      <c r="U47" s="109" t="str">
        <f t="shared" si="100"/>
        <v/>
      </c>
      <c r="V47" s="109" t="str">
        <f t="shared" si="100"/>
        <v/>
      </c>
      <c r="W47" s="109" t="str">
        <f t="shared" si="100"/>
        <v/>
      </c>
      <c r="X47" s="109" t="str">
        <f t="shared" si="100"/>
        <v/>
      </c>
      <c r="Y47" s="109" t="str">
        <f t="shared" si="100"/>
        <v/>
      </c>
      <c r="Z47" s="109" t="str">
        <f t="shared" si="100"/>
        <v/>
      </c>
      <c r="AA47" s="109" t="str">
        <f t="shared" si="100"/>
        <v/>
      </c>
      <c r="AB47" s="109" t="str">
        <f t="shared" si="100"/>
        <v/>
      </c>
      <c r="AC47" s="109" t="str">
        <f t="shared" si="100"/>
        <v/>
      </c>
      <c r="AD47" s="109" t="str">
        <f t="shared" si="100"/>
        <v/>
      </c>
      <c r="AE47" s="109" t="str">
        <f t="shared" si="100"/>
        <v/>
      </c>
      <c r="AF47" s="109" t="str">
        <f t="shared" si="100"/>
        <v/>
      </c>
      <c r="AG47" s="109" t="str">
        <f t="shared" si="100"/>
        <v/>
      </c>
      <c r="AH47" s="109" t="str">
        <f t="shared" si="100"/>
        <v/>
      </c>
      <c r="AI47" s="109" t="str">
        <f t="shared" si="100"/>
        <v/>
      </c>
      <c r="AJ47" s="109" t="str">
        <f t="shared" si="100"/>
        <v/>
      </c>
      <c r="AK47" s="109" t="str">
        <f t="shared" si="100"/>
        <v/>
      </c>
      <c r="AL47" s="109" t="str">
        <f t="shared" si="100"/>
        <v/>
      </c>
      <c r="AM47" s="109" t="str">
        <f t="shared" si="100"/>
        <v/>
      </c>
      <c r="AN47" s="109" t="str">
        <f t="shared" si="100"/>
        <v/>
      </c>
      <c r="AO47" s="109" t="str">
        <f t="shared" si="100"/>
        <v/>
      </c>
      <c r="AP47" s="109" t="str">
        <f t="shared" si="100"/>
        <v/>
      </c>
      <c r="AQ47" s="109" t="str">
        <f t="shared" si="100"/>
        <v/>
      </c>
      <c r="AR47" s="109" t="str">
        <f t="shared" si="100"/>
        <v/>
      </c>
      <c r="AS47" s="109" t="str">
        <f t="shared" si="100"/>
        <v/>
      </c>
      <c r="AT47" s="109" t="str">
        <f t="shared" si="100"/>
        <v/>
      </c>
      <c r="AU47" s="109" t="str">
        <f t="shared" si="100"/>
        <v/>
      </c>
      <c r="AV47" s="109" t="str">
        <f t="shared" si="100"/>
        <v/>
      </c>
      <c r="AW47" s="109" t="str">
        <f t="shared" si="100"/>
        <v/>
      </c>
      <c r="AX47" s="109" t="str">
        <f t="shared" si="100"/>
        <v/>
      </c>
      <c r="AY47" s="109" t="str">
        <f t="shared" si="100"/>
        <v/>
      </c>
      <c r="AZ47" s="109" t="str">
        <f t="shared" si="100"/>
        <v/>
      </c>
      <c r="BA47" s="109" t="str">
        <f t="shared" si="100"/>
        <v/>
      </c>
      <c r="BB47" s="109" t="str">
        <f t="shared" si="100"/>
        <v/>
      </c>
      <c r="BC47" s="109" t="str">
        <f t="shared" si="100"/>
        <v/>
      </c>
      <c r="BD47" s="109" t="str">
        <f t="shared" si="100"/>
        <v/>
      </c>
      <c r="BE47" s="109" t="str">
        <f t="shared" si="100"/>
        <v/>
      </c>
      <c r="BF47" s="109" t="str">
        <f t="shared" si="100"/>
        <v/>
      </c>
      <c r="BG47" s="109" t="str">
        <f t="shared" si="100"/>
        <v/>
      </c>
      <c r="BH47" s="109" t="str">
        <f t="shared" si="100"/>
        <v/>
      </c>
      <c r="BI47" s="109" t="str">
        <f t="shared" si="100"/>
        <v/>
      </c>
      <c r="BJ47" s="109" t="str">
        <f t="shared" si="100"/>
        <v/>
      </c>
      <c r="BK47" s="109" t="str">
        <f t="shared" si="100"/>
        <v/>
      </c>
      <c r="BL47" s="109" t="str">
        <f t="shared" si="100"/>
        <v/>
      </c>
      <c r="BM47" s="109" t="str">
        <f t="shared" si="100"/>
        <v/>
      </c>
      <c r="BN47" s="109" t="str">
        <f t="shared" si="100"/>
        <v/>
      </c>
      <c r="BO47" s="109" t="str">
        <f t="shared" si="100"/>
        <v/>
      </c>
      <c r="BP47" s="109" t="str">
        <f t="shared" si="100"/>
        <v/>
      </c>
      <c r="BQ47" s="109" t="str">
        <f t="shared" si="100"/>
        <v/>
      </c>
      <c r="BR47" s="109" t="str">
        <f t="shared" si="100"/>
        <v/>
      </c>
      <c r="BS47" s="109" t="str">
        <f t="shared" si="100"/>
        <v/>
      </c>
      <c r="BT47" s="109" t="str">
        <f t="shared" si="100"/>
        <v/>
      </c>
      <c r="BU47" s="109" t="str">
        <f t="shared" si="100"/>
        <v/>
      </c>
      <c r="BV47" s="109" t="str">
        <f t="shared" si="100"/>
        <v/>
      </c>
      <c r="BW47" s="109" t="str">
        <f t="shared" si="100"/>
        <v/>
      </c>
      <c r="BX47" s="109" t="str">
        <f t="shared" si="100"/>
        <v/>
      </c>
      <c r="BY47" s="109" t="str">
        <f t="shared" si="100"/>
        <v/>
      </c>
      <c r="BZ47" s="109" t="str">
        <f t="shared" ref="BZ47:EK47" si="101">IF(AND(BZ$2&gt;=$B$42-26,BZ$2&lt;=$B$42-3),5,IF(OR(BZ$2=$B$42-2,BZ$2=$B$42-1,BZ$2=$B$42,BZ$2=$B$42+1),30,IF(OR(BZ$2=$B$42+2,BZ$2=$B$42+3),5,"")))</f>
        <v/>
      </c>
      <c r="CA47" s="109" t="str">
        <f t="shared" si="101"/>
        <v/>
      </c>
      <c r="CB47" s="109">
        <f t="shared" si="101"/>
        <v>5</v>
      </c>
      <c r="CC47" s="109">
        <f t="shared" si="101"/>
        <v>5</v>
      </c>
      <c r="CD47" s="109">
        <f t="shared" si="101"/>
        <v>5</v>
      </c>
      <c r="CE47" s="109">
        <f t="shared" si="101"/>
        <v>5</v>
      </c>
      <c r="CF47" s="109">
        <f t="shared" si="101"/>
        <v>5</v>
      </c>
      <c r="CG47" s="109">
        <f t="shared" si="101"/>
        <v>5</v>
      </c>
      <c r="CH47" s="109">
        <f t="shared" si="101"/>
        <v>5</v>
      </c>
      <c r="CI47" s="109">
        <f t="shared" si="101"/>
        <v>5</v>
      </c>
      <c r="CJ47" s="109">
        <f t="shared" si="101"/>
        <v>5</v>
      </c>
      <c r="CK47" s="109">
        <f t="shared" si="101"/>
        <v>5</v>
      </c>
      <c r="CL47" s="109">
        <f t="shared" si="101"/>
        <v>5</v>
      </c>
      <c r="CM47" s="109">
        <f t="shared" si="101"/>
        <v>5</v>
      </c>
      <c r="CN47" s="109">
        <f t="shared" si="101"/>
        <v>5</v>
      </c>
      <c r="CO47" s="109">
        <f t="shared" si="101"/>
        <v>5</v>
      </c>
      <c r="CP47" s="109">
        <f t="shared" si="101"/>
        <v>5</v>
      </c>
      <c r="CQ47" s="109">
        <f t="shared" si="101"/>
        <v>5</v>
      </c>
      <c r="CR47" s="109">
        <f t="shared" si="101"/>
        <v>5</v>
      </c>
      <c r="CS47" s="109">
        <f t="shared" si="101"/>
        <v>5</v>
      </c>
      <c r="CT47" s="109">
        <f t="shared" si="101"/>
        <v>5</v>
      </c>
      <c r="CU47" s="109">
        <f t="shared" si="101"/>
        <v>5</v>
      </c>
      <c r="CV47" s="109">
        <f t="shared" si="101"/>
        <v>5</v>
      </c>
      <c r="CW47" s="109">
        <f t="shared" si="101"/>
        <v>5</v>
      </c>
      <c r="CX47" s="109">
        <f t="shared" si="101"/>
        <v>5</v>
      </c>
      <c r="CY47" s="109">
        <f t="shared" si="101"/>
        <v>5</v>
      </c>
      <c r="CZ47" s="109">
        <f t="shared" si="101"/>
        <v>30</v>
      </c>
      <c r="DA47" s="109">
        <f t="shared" si="101"/>
        <v>30</v>
      </c>
      <c r="DB47" s="109">
        <f t="shared" si="101"/>
        <v>30</v>
      </c>
      <c r="DC47" s="109">
        <f t="shared" si="101"/>
        <v>30</v>
      </c>
      <c r="DD47" s="109">
        <f t="shared" si="101"/>
        <v>5</v>
      </c>
      <c r="DE47" s="109">
        <f t="shared" si="101"/>
        <v>5</v>
      </c>
      <c r="DF47" s="109" t="str">
        <f t="shared" si="101"/>
        <v/>
      </c>
      <c r="DG47" s="109" t="str">
        <f t="shared" si="101"/>
        <v/>
      </c>
      <c r="DH47" s="109" t="str">
        <f t="shared" si="101"/>
        <v/>
      </c>
      <c r="DI47" s="109" t="str">
        <f t="shared" si="101"/>
        <v/>
      </c>
      <c r="DJ47" s="109" t="str">
        <f t="shared" si="101"/>
        <v/>
      </c>
      <c r="DK47" s="109" t="str">
        <f t="shared" si="101"/>
        <v/>
      </c>
      <c r="DL47" s="109" t="str">
        <f t="shared" si="101"/>
        <v/>
      </c>
      <c r="DM47" s="109" t="str">
        <f t="shared" si="101"/>
        <v/>
      </c>
      <c r="DN47" s="109" t="str">
        <f t="shared" si="101"/>
        <v/>
      </c>
      <c r="DO47" s="109" t="str">
        <f t="shared" si="101"/>
        <v/>
      </c>
      <c r="DP47" s="109" t="str">
        <f t="shared" si="101"/>
        <v/>
      </c>
      <c r="DQ47" s="109" t="str">
        <f t="shared" si="101"/>
        <v/>
      </c>
      <c r="DR47" s="109" t="str">
        <f t="shared" si="101"/>
        <v/>
      </c>
      <c r="DS47" s="109" t="str">
        <f t="shared" si="101"/>
        <v/>
      </c>
      <c r="DT47" s="109" t="str">
        <f t="shared" si="101"/>
        <v/>
      </c>
      <c r="DU47" s="109" t="str">
        <f t="shared" si="101"/>
        <v/>
      </c>
      <c r="DV47" s="109" t="str">
        <f t="shared" si="101"/>
        <v/>
      </c>
      <c r="DW47" s="109" t="str">
        <f t="shared" si="101"/>
        <v/>
      </c>
      <c r="DX47" s="109" t="str">
        <f t="shared" si="101"/>
        <v/>
      </c>
      <c r="DY47" s="109" t="str">
        <f t="shared" si="101"/>
        <v/>
      </c>
      <c r="DZ47" s="109" t="str">
        <f t="shared" si="101"/>
        <v/>
      </c>
      <c r="EA47" s="109" t="str">
        <f t="shared" si="101"/>
        <v/>
      </c>
      <c r="EB47" s="109" t="str">
        <f t="shared" si="101"/>
        <v/>
      </c>
      <c r="EC47" s="109" t="str">
        <f t="shared" si="101"/>
        <v/>
      </c>
      <c r="ED47" s="109" t="str">
        <f t="shared" si="101"/>
        <v/>
      </c>
      <c r="EE47" s="109" t="str">
        <f t="shared" si="101"/>
        <v/>
      </c>
      <c r="EF47" s="109" t="str">
        <f t="shared" si="101"/>
        <v/>
      </c>
      <c r="EG47" s="109" t="str">
        <f t="shared" si="101"/>
        <v/>
      </c>
      <c r="EH47" s="109" t="str">
        <f t="shared" si="101"/>
        <v/>
      </c>
      <c r="EI47" s="109" t="str">
        <f t="shared" si="101"/>
        <v/>
      </c>
      <c r="EJ47" s="109" t="str">
        <f t="shared" si="101"/>
        <v/>
      </c>
      <c r="EK47" s="109" t="str">
        <f t="shared" si="101"/>
        <v/>
      </c>
      <c r="EL47" s="109" t="str">
        <f t="shared" ref="EL47:EO47" si="102">IF(AND(EL$2&gt;=$B$42-26,EL$2&lt;=$B$42-3),5,IF(OR(EL$2=$B$42-2,EL$2=$B$42-1,EL$2=$B$42,EL$2=$B$42+1),30,IF(OR(EL$2=$B$42+2,EL$2=$B$42+3),5,"")))</f>
        <v/>
      </c>
      <c r="EM47" s="109" t="str">
        <f t="shared" si="102"/>
        <v/>
      </c>
      <c r="EN47" s="109" t="str">
        <f t="shared" si="102"/>
        <v/>
      </c>
      <c r="EO47" s="109" t="str">
        <f t="shared" si="102"/>
        <v/>
      </c>
    </row>
    <row r="48" spans="1:147" s="207" customFormat="1" ht="13.5" customHeight="1">
      <c r="A48" s="236"/>
      <c r="B48" s="209"/>
      <c r="E48" s="201"/>
      <c r="F48" s="201"/>
      <c r="G48" s="204" t="s">
        <v>69</v>
      </c>
      <c r="H48" s="203"/>
      <c r="I48" s="203"/>
      <c r="J48" s="203"/>
      <c r="K48" s="230"/>
      <c r="L48" s="230"/>
      <c r="M48" s="205">
        <f ca="1">SUM(M43:M47)</f>
        <v>0</v>
      </c>
      <c r="N48" s="205">
        <f ca="1">SUM(N43:N47)</f>
        <v>0</v>
      </c>
      <c r="O48" s="205">
        <f ca="1">SUM(O43:O47)</f>
        <v>0</v>
      </c>
      <c r="P48" s="205">
        <f t="shared" ref="P48:CA48" ca="1" si="103">SUM(P43:P47)</f>
        <v>0</v>
      </c>
      <c r="Q48" s="205">
        <f t="shared" ca="1" si="103"/>
        <v>0</v>
      </c>
      <c r="R48" s="205">
        <f t="shared" ca="1" si="103"/>
        <v>0</v>
      </c>
      <c r="S48" s="205">
        <f t="shared" ca="1" si="103"/>
        <v>0</v>
      </c>
      <c r="T48" s="205">
        <f t="shared" ca="1" si="103"/>
        <v>0</v>
      </c>
      <c r="U48" s="205">
        <f t="shared" ca="1" si="103"/>
        <v>0</v>
      </c>
      <c r="V48" s="205">
        <f t="shared" ca="1" si="103"/>
        <v>0</v>
      </c>
      <c r="W48" s="205">
        <f t="shared" ca="1" si="103"/>
        <v>0</v>
      </c>
      <c r="X48" s="205">
        <f t="shared" ca="1" si="103"/>
        <v>0</v>
      </c>
      <c r="Y48" s="205">
        <f t="shared" ca="1" si="103"/>
        <v>0</v>
      </c>
      <c r="Z48" s="205">
        <f t="shared" ca="1" si="103"/>
        <v>0</v>
      </c>
      <c r="AA48" s="205">
        <f t="shared" ca="1" si="103"/>
        <v>0</v>
      </c>
      <c r="AB48" s="205">
        <f t="shared" ca="1" si="103"/>
        <v>0</v>
      </c>
      <c r="AC48" s="205">
        <f t="shared" ca="1" si="103"/>
        <v>0</v>
      </c>
      <c r="AD48" s="205">
        <f t="shared" ca="1" si="103"/>
        <v>0</v>
      </c>
      <c r="AE48" s="205">
        <f t="shared" ca="1" si="103"/>
        <v>0</v>
      </c>
      <c r="AF48" s="205">
        <f t="shared" ca="1" si="103"/>
        <v>0</v>
      </c>
      <c r="AG48" s="205">
        <f t="shared" ca="1" si="103"/>
        <v>0</v>
      </c>
      <c r="AH48" s="205">
        <f t="shared" ca="1" si="103"/>
        <v>0</v>
      </c>
      <c r="AI48" s="205">
        <f t="shared" ca="1" si="103"/>
        <v>0</v>
      </c>
      <c r="AJ48" s="205">
        <f t="shared" ca="1" si="103"/>
        <v>0</v>
      </c>
      <c r="AK48" s="205">
        <f t="shared" ca="1" si="103"/>
        <v>0</v>
      </c>
      <c r="AL48" s="205">
        <f t="shared" ca="1" si="103"/>
        <v>0</v>
      </c>
      <c r="AM48" s="205">
        <f t="shared" ca="1" si="103"/>
        <v>0</v>
      </c>
      <c r="AN48" s="205">
        <f t="shared" ca="1" si="103"/>
        <v>0</v>
      </c>
      <c r="AO48" s="205">
        <f t="shared" ca="1" si="103"/>
        <v>0</v>
      </c>
      <c r="AP48" s="205">
        <f t="shared" ca="1" si="103"/>
        <v>0</v>
      </c>
      <c r="AQ48" s="205">
        <f t="shared" ca="1" si="103"/>
        <v>0</v>
      </c>
      <c r="AR48" s="205">
        <f t="shared" ca="1" si="103"/>
        <v>0</v>
      </c>
      <c r="AS48" s="205">
        <f t="shared" ca="1" si="103"/>
        <v>0</v>
      </c>
      <c r="AT48" s="205">
        <f t="shared" ca="1" si="103"/>
        <v>0</v>
      </c>
      <c r="AU48" s="205">
        <f t="shared" ca="1" si="103"/>
        <v>0</v>
      </c>
      <c r="AV48" s="205">
        <f t="shared" ca="1" si="103"/>
        <v>0</v>
      </c>
      <c r="AW48" s="205">
        <f t="shared" ca="1" si="103"/>
        <v>0</v>
      </c>
      <c r="AX48" s="205">
        <f t="shared" ca="1" si="103"/>
        <v>0</v>
      </c>
      <c r="AY48" s="205">
        <f t="shared" ca="1" si="103"/>
        <v>100</v>
      </c>
      <c r="AZ48" s="211">
        <f t="shared" ca="1" si="103"/>
        <v>100</v>
      </c>
      <c r="BA48" s="205">
        <f t="shared" ca="1" si="103"/>
        <v>100</v>
      </c>
      <c r="BB48" s="205">
        <f t="shared" ca="1" si="103"/>
        <v>100</v>
      </c>
      <c r="BC48" s="205">
        <f t="shared" ca="1" si="103"/>
        <v>100</v>
      </c>
      <c r="BD48" s="205">
        <f t="shared" ca="1" si="103"/>
        <v>100</v>
      </c>
      <c r="BE48" s="205">
        <f t="shared" ca="1" si="103"/>
        <v>101</v>
      </c>
      <c r="BF48" s="205">
        <f t="shared" ca="1" si="103"/>
        <v>224</v>
      </c>
      <c r="BG48" s="205">
        <f t="shared" ca="1" si="103"/>
        <v>224</v>
      </c>
      <c r="BH48" s="205">
        <f t="shared" ca="1" si="103"/>
        <v>224</v>
      </c>
      <c r="BI48" s="205">
        <f t="shared" ca="1" si="103"/>
        <v>224</v>
      </c>
      <c r="BJ48" s="205">
        <f t="shared" ca="1" si="103"/>
        <v>224</v>
      </c>
      <c r="BK48" s="205">
        <f t="shared" ca="1" si="103"/>
        <v>224</v>
      </c>
      <c r="BL48" s="205">
        <f t="shared" ca="1" si="103"/>
        <v>224</v>
      </c>
      <c r="BM48" s="205">
        <f t="shared" ca="1" si="103"/>
        <v>224</v>
      </c>
      <c r="BN48" s="205">
        <f t="shared" ca="1" si="103"/>
        <v>124</v>
      </c>
      <c r="BO48" s="205">
        <f t="shared" ca="1" si="103"/>
        <v>124</v>
      </c>
      <c r="BP48" s="205">
        <f t="shared" ca="1" si="103"/>
        <v>124</v>
      </c>
      <c r="BQ48" s="205">
        <f t="shared" ca="1" si="103"/>
        <v>124</v>
      </c>
      <c r="BR48" s="205">
        <f t="shared" ca="1" si="103"/>
        <v>124</v>
      </c>
      <c r="BS48" s="205">
        <f t="shared" ca="1" si="103"/>
        <v>124</v>
      </c>
      <c r="BT48" s="205">
        <f t="shared" ca="1" si="103"/>
        <v>124</v>
      </c>
      <c r="BU48" s="205">
        <f t="shared" ca="1" si="103"/>
        <v>124</v>
      </c>
      <c r="BV48" s="205">
        <f t="shared" ca="1" si="103"/>
        <v>124</v>
      </c>
      <c r="BW48" s="205">
        <f t="shared" ca="1" si="103"/>
        <v>124</v>
      </c>
      <c r="BX48" s="205">
        <f t="shared" ca="1" si="103"/>
        <v>124</v>
      </c>
      <c r="BY48" s="205">
        <f t="shared" ca="1" si="103"/>
        <v>124</v>
      </c>
      <c r="BZ48" s="205">
        <f t="shared" ca="1" si="103"/>
        <v>1</v>
      </c>
      <c r="CA48" s="205">
        <f t="shared" ca="1" si="103"/>
        <v>1</v>
      </c>
      <c r="CB48" s="205">
        <f t="shared" ref="CB48:EM48" ca="1" si="104">SUM(CB43:CB47)</f>
        <v>6</v>
      </c>
      <c r="CC48" s="205">
        <f t="shared" ca="1" si="104"/>
        <v>6</v>
      </c>
      <c r="CD48" s="205">
        <f t="shared" ca="1" si="104"/>
        <v>6</v>
      </c>
      <c r="CE48" s="205">
        <f t="shared" ca="1" si="104"/>
        <v>6</v>
      </c>
      <c r="CF48" s="205">
        <f t="shared" ca="1" si="104"/>
        <v>6</v>
      </c>
      <c r="CG48" s="205">
        <f t="shared" ca="1" si="104"/>
        <v>6</v>
      </c>
      <c r="CH48" s="205">
        <f t="shared" ca="1" si="104"/>
        <v>6</v>
      </c>
      <c r="CI48" s="205">
        <f t="shared" ca="1" si="104"/>
        <v>6</v>
      </c>
      <c r="CJ48" s="205">
        <f t="shared" ca="1" si="104"/>
        <v>6</v>
      </c>
      <c r="CK48" s="205">
        <f t="shared" ca="1" si="104"/>
        <v>6</v>
      </c>
      <c r="CL48" s="205">
        <f t="shared" ca="1" si="104"/>
        <v>30</v>
      </c>
      <c r="CM48" s="205">
        <f t="shared" ca="1" si="104"/>
        <v>30</v>
      </c>
      <c r="CN48" s="205">
        <f t="shared" ca="1" si="104"/>
        <v>30</v>
      </c>
      <c r="CO48" s="205">
        <f t="shared" ca="1" si="104"/>
        <v>29</v>
      </c>
      <c r="CP48" s="205">
        <f t="shared" ca="1" si="104"/>
        <v>29</v>
      </c>
      <c r="CQ48" s="205">
        <f t="shared" ca="1" si="104"/>
        <v>29</v>
      </c>
      <c r="CR48" s="205">
        <f t="shared" ca="1" si="104"/>
        <v>29</v>
      </c>
      <c r="CS48" s="205">
        <f t="shared" ca="1" si="104"/>
        <v>29</v>
      </c>
      <c r="CT48" s="205">
        <f t="shared" ca="1" si="104"/>
        <v>29</v>
      </c>
      <c r="CU48" s="205">
        <f t="shared" ca="1" si="104"/>
        <v>29</v>
      </c>
      <c r="CV48" s="205">
        <f t="shared" ca="1" si="104"/>
        <v>29</v>
      </c>
      <c r="CW48" s="205">
        <f t="shared" ca="1" si="104"/>
        <v>29</v>
      </c>
      <c r="CX48" s="205">
        <f t="shared" ca="1" si="104"/>
        <v>29</v>
      </c>
      <c r="CY48" s="205">
        <f t="shared" ca="1" si="104"/>
        <v>29</v>
      </c>
      <c r="CZ48" s="205">
        <f t="shared" ca="1" si="104"/>
        <v>30</v>
      </c>
      <c r="DA48" s="205">
        <f t="shared" ca="1" si="104"/>
        <v>30</v>
      </c>
      <c r="DB48" s="205">
        <f t="shared" ca="1" si="104"/>
        <v>30</v>
      </c>
      <c r="DC48" s="205">
        <f t="shared" ca="1" si="104"/>
        <v>30</v>
      </c>
      <c r="DD48" s="205">
        <f t="shared" ca="1" si="104"/>
        <v>5</v>
      </c>
      <c r="DE48" s="205">
        <f t="shared" ca="1" si="104"/>
        <v>5</v>
      </c>
      <c r="DF48" s="205">
        <f t="shared" ca="1" si="104"/>
        <v>0</v>
      </c>
      <c r="DG48" s="205">
        <f t="shared" ca="1" si="104"/>
        <v>0</v>
      </c>
      <c r="DH48" s="205">
        <f t="shared" ca="1" si="104"/>
        <v>0</v>
      </c>
      <c r="DI48" s="205">
        <f t="shared" ca="1" si="104"/>
        <v>0</v>
      </c>
      <c r="DJ48" s="205">
        <f t="shared" ca="1" si="104"/>
        <v>0</v>
      </c>
      <c r="DK48" s="205">
        <f t="shared" ca="1" si="104"/>
        <v>0</v>
      </c>
      <c r="DL48" s="205">
        <f t="shared" ca="1" si="104"/>
        <v>0</v>
      </c>
      <c r="DM48" s="205">
        <f t="shared" ca="1" si="104"/>
        <v>0</v>
      </c>
      <c r="DN48" s="205">
        <f t="shared" ca="1" si="104"/>
        <v>0</v>
      </c>
      <c r="DO48" s="205">
        <f t="shared" ca="1" si="104"/>
        <v>0</v>
      </c>
      <c r="DP48" s="205">
        <f t="shared" ca="1" si="104"/>
        <v>0</v>
      </c>
      <c r="DQ48" s="205">
        <f t="shared" ca="1" si="104"/>
        <v>0</v>
      </c>
      <c r="DR48" s="205">
        <f t="shared" ca="1" si="104"/>
        <v>0</v>
      </c>
      <c r="DS48" s="205">
        <f t="shared" ca="1" si="104"/>
        <v>0</v>
      </c>
      <c r="DT48" s="205">
        <f t="shared" ca="1" si="104"/>
        <v>0</v>
      </c>
      <c r="DU48" s="205">
        <f t="shared" ca="1" si="104"/>
        <v>0</v>
      </c>
      <c r="DV48" s="205">
        <f t="shared" ca="1" si="104"/>
        <v>0</v>
      </c>
      <c r="DW48" s="205">
        <f t="shared" ca="1" si="104"/>
        <v>0</v>
      </c>
      <c r="DX48" s="205">
        <f t="shared" ca="1" si="104"/>
        <v>0</v>
      </c>
      <c r="DY48" s="205">
        <f t="shared" ca="1" si="104"/>
        <v>0</v>
      </c>
      <c r="DZ48" s="205">
        <f t="shared" ca="1" si="104"/>
        <v>0</v>
      </c>
      <c r="EA48" s="205">
        <f t="shared" ca="1" si="104"/>
        <v>0</v>
      </c>
      <c r="EB48" s="205">
        <f t="shared" ca="1" si="104"/>
        <v>0</v>
      </c>
      <c r="EC48" s="205">
        <f t="shared" ca="1" si="104"/>
        <v>0</v>
      </c>
      <c r="ED48" s="205">
        <f t="shared" ca="1" si="104"/>
        <v>0</v>
      </c>
      <c r="EE48" s="205">
        <f t="shared" ca="1" si="104"/>
        <v>0</v>
      </c>
      <c r="EF48" s="205">
        <f t="shared" ca="1" si="104"/>
        <v>0</v>
      </c>
      <c r="EG48" s="205">
        <f t="shared" ca="1" si="104"/>
        <v>0</v>
      </c>
      <c r="EH48" s="205">
        <f t="shared" ca="1" si="104"/>
        <v>0</v>
      </c>
      <c r="EI48" s="205">
        <f t="shared" ca="1" si="104"/>
        <v>0</v>
      </c>
      <c r="EJ48" s="205">
        <f t="shared" ca="1" si="104"/>
        <v>0</v>
      </c>
      <c r="EK48" s="205">
        <f t="shared" ca="1" si="104"/>
        <v>0</v>
      </c>
      <c r="EL48" s="205">
        <f t="shared" ca="1" si="104"/>
        <v>0</v>
      </c>
      <c r="EM48" s="205">
        <f t="shared" ca="1" si="104"/>
        <v>0</v>
      </c>
      <c r="EN48" s="205">
        <f t="shared" ref="EN48:EO48" ca="1" si="105">SUM(EN43:EN47)</f>
        <v>0</v>
      </c>
      <c r="EO48" s="205">
        <f t="shared" ca="1" si="105"/>
        <v>0</v>
      </c>
      <c r="EP48" s="206"/>
      <c r="EQ48" s="206"/>
    </row>
    <row r="50" spans="1:147" s="180" customFormat="1" ht="27">
      <c r="A50" s="447" t="s">
        <v>75</v>
      </c>
      <c r="B50" s="450">
        <f>IF(LEN('BESS 11'!F277)=5,'BESS 11'!F277,(IF('BESS 11'!F277="Completed"," ",DATEVALUE(RIGHT('BESS 11'!F277,6)))))</f>
        <v>46288</v>
      </c>
      <c r="C50" s="450">
        <f>IF(LEN('BESS 11'!G277)=5,'BESS 11'!G277,(IF('BESS 11'!G277="Completed"," ",DATEVALUE(RIGHT('BESS 11'!G277,6)))))</f>
        <v>46292</v>
      </c>
      <c r="D50" s="455">
        <f>IF(LEN('BESS 11'!H277)=5,'BESS 11'!H277,(IF('BESS 11'!H277="Completed"," ",DATEVALUE(RIGHT('BESS 11'!H277,6)))))</f>
        <v>46295</v>
      </c>
      <c r="E50" s="226" t="s">
        <v>10</v>
      </c>
      <c r="F50" s="217" t="s">
        <v>58</v>
      </c>
      <c r="G50" s="217" t="s">
        <v>78</v>
      </c>
      <c r="H50" s="217" t="s">
        <v>79</v>
      </c>
      <c r="I50" s="217" t="s">
        <v>59</v>
      </c>
      <c r="J50" s="217"/>
      <c r="K50" s="216" t="s">
        <v>80</v>
      </c>
      <c r="L50" s="216" t="s">
        <v>62</v>
      </c>
      <c r="M50" s="218">
        <v>46195</v>
      </c>
      <c r="N50" s="218">
        <v>46196</v>
      </c>
      <c r="O50" s="218">
        <v>46197</v>
      </c>
      <c r="P50" s="218">
        <f t="shared" ref="P50:CA50" si="106">O50+1</f>
        <v>46198</v>
      </c>
      <c r="Q50" s="218">
        <f t="shared" si="106"/>
        <v>46199</v>
      </c>
      <c r="R50" s="218">
        <f t="shared" si="106"/>
        <v>46200</v>
      </c>
      <c r="S50" s="218">
        <f t="shared" si="106"/>
        <v>46201</v>
      </c>
      <c r="T50" s="218">
        <f t="shared" si="106"/>
        <v>46202</v>
      </c>
      <c r="U50" s="218">
        <f t="shared" si="106"/>
        <v>46203</v>
      </c>
      <c r="V50" s="218">
        <f t="shared" si="106"/>
        <v>46204</v>
      </c>
      <c r="W50" s="218">
        <f t="shared" si="106"/>
        <v>46205</v>
      </c>
      <c r="X50" s="218">
        <f t="shared" si="106"/>
        <v>46206</v>
      </c>
      <c r="Y50" s="218">
        <f t="shared" si="106"/>
        <v>46207</v>
      </c>
      <c r="Z50" s="218">
        <f t="shared" si="106"/>
        <v>46208</v>
      </c>
      <c r="AA50" s="218">
        <f t="shared" si="106"/>
        <v>46209</v>
      </c>
      <c r="AB50" s="218">
        <f t="shared" si="106"/>
        <v>46210</v>
      </c>
      <c r="AC50" s="218">
        <f t="shared" si="106"/>
        <v>46211</v>
      </c>
      <c r="AD50" s="218">
        <f t="shared" si="106"/>
        <v>46212</v>
      </c>
      <c r="AE50" s="218">
        <f t="shared" si="106"/>
        <v>46213</v>
      </c>
      <c r="AF50" s="218">
        <f t="shared" si="106"/>
        <v>46214</v>
      </c>
      <c r="AG50" s="218">
        <f t="shared" si="106"/>
        <v>46215</v>
      </c>
      <c r="AH50" s="218">
        <f t="shared" si="106"/>
        <v>46216</v>
      </c>
      <c r="AI50" s="218">
        <f t="shared" si="106"/>
        <v>46217</v>
      </c>
      <c r="AJ50" s="218">
        <f t="shared" si="106"/>
        <v>46218</v>
      </c>
      <c r="AK50" s="218">
        <f t="shared" si="106"/>
        <v>46219</v>
      </c>
      <c r="AL50" s="218">
        <f t="shared" si="106"/>
        <v>46220</v>
      </c>
      <c r="AM50" s="218">
        <f t="shared" si="106"/>
        <v>46221</v>
      </c>
      <c r="AN50" s="218">
        <f t="shared" si="106"/>
        <v>46222</v>
      </c>
      <c r="AO50" s="218">
        <f t="shared" si="106"/>
        <v>46223</v>
      </c>
      <c r="AP50" s="218">
        <f t="shared" si="106"/>
        <v>46224</v>
      </c>
      <c r="AQ50" s="218">
        <f t="shared" si="106"/>
        <v>46225</v>
      </c>
      <c r="AR50" s="218">
        <f t="shared" si="106"/>
        <v>46226</v>
      </c>
      <c r="AS50" s="218">
        <f t="shared" si="106"/>
        <v>46227</v>
      </c>
      <c r="AT50" s="218">
        <f t="shared" si="106"/>
        <v>46228</v>
      </c>
      <c r="AU50" s="218">
        <f t="shared" si="106"/>
        <v>46229</v>
      </c>
      <c r="AV50" s="218">
        <f t="shared" si="106"/>
        <v>46230</v>
      </c>
      <c r="AW50" s="218">
        <f t="shared" si="106"/>
        <v>46231</v>
      </c>
      <c r="AX50" s="218">
        <f t="shared" si="106"/>
        <v>46232</v>
      </c>
      <c r="AY50" s="218">
        <f t="shared" si="106"/>
        <v>46233</v>
      </c>
      <c r="AZ50" s="218">
        <f t="shared" si="106"/>
        <v>46234</v>
      </c>
      <c r="BA50" s="218">
        <f t="shared" si="106"/>
        <v>46235</v>
      </c>
      <c r="BB50" s="218">
        <f t="shared" si="106"/>
        <v>46236</v>
      </c>
      <c r="BC50" s="218">
        <f t="shared" si="106"/>
        <v>46237</v>
      </c>
      <c r="BD50" s="218">
        <f t="shared" si="106"/>
        <v>46238</v>
      </c>
      <c r="BE50" s="218">
        <f t="shared" si="106"/>
        <v>46239</v>
      </c>
      <c r="BF50" s="218">
        <f t="shared" si="106"/>
        <v>46240</v>
      </c>
      <c r="BG50" s="218">
        <f t="shared" si="106"/>
        <v>46241</v>
      </c>
      <c r="BH50" s="218">
        <f t="shared" si="106"/>
        <v>46242</v>
      </c>
      <c r="BI50" s="218">
        <f t="shared" si="106"/>
        <v>46243</v>
      </c>
      <c r="BJ50" s="218">
        <f t="shared" si="106"/>
        <v>46244</v>
      </c>
      <c r="BK50" s="218">
        <f t="shared" si="106"/>
        <v>46245</v>
      </c>
      <c r="BL50" s="218">
        <f t="shared" si="106"/>
        <v>46246</v>
      </c>
      <c r="BM50" s="218">
        <f t="shared" si="106"/>
        <v>46247</v>
      </c>
      <c r="BN50" s="218">
        <f t="shared" si="106"/>
        <v>46248</v>
      </c>
      <c r="BO50" s="218">
        <f t="shared" si="106"/>
        <v>46249</v>
      </c>
      <c r="BP50" s="218">
        <f t="shared" si="106"/>
        <v>46250</v>
      </c>
      <c r="BQ50" s="218">
        <f t="shared" si="106"/>
        <v>46251</v>
      </c>
      <c r="BR50" s="218">
        <f t="shared" si="106"/>
        <v>46252</v>
      </c>
      <c r="BS50" s="218">
        <f t="shared" si="106"/>
        <v>46253</v>
      </c>
      <c r="BT50" s="218">
        <f t="shared" si="106"/>
        <v>46254</v>
      </c>
      <c r="BU50" s="218">
        <f t="shared" si="106"/>
        <v>46255</v>
      </c>
      <c r="BV50" s="218">
        <f t="shared" si="106"/>
        <v>46256</v>
      </c>
      <c r="BW50" s="218">
        <f t="shared" si="106"/>
        <v>46257</v>
      </c>
      <c r="BX50" s="218">
        <f t="shared" si="106"/>
        <v>46258</v>
      </c>
      <c r="BY50" s="218">
        <f t="shared" si="106"/>
        <v>46259</v>
      </c>
      <c r="BZ50" s="218">
        <f t="shared" si="106"/>
        <v>46260</v>
      </c>
      <c r="CA50" s="218">
        <f t="shared" si="106"/>
        <v>46261</v>
      </c>
      <c r="CB50" s="218">
        <f t="shared" ref="CB50:EM50" si="107">CA50+1</f>
        <v>46262</v>
      </c>
      <c r="CC50" s="218">
        <f t="shared" si="107"/>
        <v>46263</v>
      </c>
      <c r="CD50" s="218">
        <f t="shared" si="107"/>
        <v>46264</v>
      </c>
      <c r="CE50" s="218">
        <f t="shared" si="107"/>
        <v>46265</v>
      </c>
      <c r="CF50" s="218">
        <f t="shared" si="107"/>
        <v>46266</v>
      </c>
      <c r="CG50" s="218">
        <f t="shared" si="107"/>
        <v>46267</v>
      </c>
      <c r="CH50" s="218">
        <f t="shared" si="107"/>
        <v>46268</v>
      </c>
      <c r="CI50" s="218">
        <f t="shared" si="107"/>
        <v>46269</v>
      </c>
      <c r="CJ50" s="218">
        <f t="shared" si="107"/>
        <v>46270</v>
      </c>
      <c r="CK50" s="218">
        <f t="shared" si="107"/>
        <v>46271</v>
      </c>
      <c r="CL50" s="218">
        <f t="shared" si="107"/>
        <v>46272</v>
      </c>
      <c r="CM50" s="218">
        <f t="shared" si="107"/>
        <v>46273</v>
      </c>
      <c r="CN50" s="218">
        <f t="shared" si="107"/>
        <v>46274</v>
      </c>
      <c r="CO50" s="218">
        <f t="shared" si="107"/>
        <v>46275</v>
      </c>
      <c r="CP50" s="218">
        <f t="shared" si="107"/>
        <v>46276</v>
      </c>
      <c r="CQ50" s="218">
        <f t="shared" si="107"/>
        <v>46277</v>
      </c>
      <c r="CR50" s="218">
        <f t="shared" si="107"/>
        <v>46278</v>
      </c>
      <c r="CS50" s="218">
        <f t="shared" si="107"/>
        <v>46279</v>
      </c>
      <c r="CT50" s="218">
        <f t="shared" si="107"/>
        <v>46280</v>
      </c>
      <c r="CU50" s="218">
        <f t="shared" si="107"/>
        <v>46281</v>
      </c>
      <c r="CV50" s="218">
        <f t="shared" si="107"/>
        <v>46282</v>
      </c>
      <c r="CW50" s="218">
        <f t="shared" si="107"/>
        <v>46283</v>
      </c>
      <c r="CX50" s="218">
        <f t="shared" si="107"/>
        <v>46284</v>
      </c>
      <c r="CY50" s="218">
        <f t="shared" si="107"/>
        <v>46285</v>
      </c>
      <c r="CZ50" s="218">
        <f t="shared" si="107"/>
        <v>46286</v>
      </c>
      <c r="DA50" s="218">
        <f t="shared" si="107"/>
        <v>46287</v>
      </c>
      <c r="DB50" s="218">
        <f t="shared" si="107"/>
        <v>46288</v>
      </c>
      <c r="DC50" s="218">
        <f t="shared" si="107"/>
        <v>46289</v>
      </c>
      <c r="DD50" s="218">
        <f t="shared" si="107"/>
        <v>46290</v>
      </c>
      <c r="DE50" s="218">
        <f t="shared" si="107"/>
        <v>46291</v>
      </c>
      <c r="DF50" s="218">
        <f t="shared" si="107"/>
        <v>46292</v>
      </c>
      <c r="DG50" s="218">
        <f t="shared" si="107"/>
        <v>46293</v>
      </c>
      <c r="DH50" s="218">
        <f t="shared" si="107"/>
        <v>46294</v>
      </c>
      <c r="DI50" s="218">
        <f t="shared" si="107"/>
        <v>46295</v>
      </c>
      <c r="DJ50" s="218">
        <f t="shared" si="107"/>
        <v>46296</v>
      </c>
      <c r="DK50" s="218">
        <f t="shared" si="107"/>
        <v>46297</v>
      </c>
      <c r="DL50" s="218">
        <f t="shared" si="107"/>
        <v>46298</v>
      </c>
      <c r="DM50" s="218">
        <f t="shared" si="107"/>
        <v>46299</v>
      </c>
      <c r="DN50" s="218">
        <f t="shared" si="107"/>
        <v>46300</v>
      </c>
      <c r="DO50" s="218">
        <f t="shared" si="107"/>
        <v>46301</v>
      </c>
      <c r="DP50" s="218">
        <f t="shared" si="107"/>
        <v>46302</v>
      </c>
      <c r="DQ50" s="218">
        <f t="shared" si="107"/>
        <v>46303</v>
      </c>
      <c r="DR50" s="218">
        <f t="shared" si="107"/>
        <v>46304</v>
      </c>
      <c r="DS50" s="218">
        <f t="shared" si="107"/>
        <v>46305</v>
      </c>
      <c r="DT50" s="218">
        <f t="shared" si="107"/>
        <v>46306</v>
      </c>
      <c r="DU50" s="218">
        <f t="shared" si="107"/>
        <v>46307</v>
      </c>
      <c r="DV50" s="218">
        <f t="shared" si="107"/>
        <v>46308</v>
      </c>
      <c r="DW50" s="218">
        <f t="shared" si="107"/>
        <v>46309</v>
      </c>
      <c r="DX50" s="218">
        <f t="shared" si="107"/>
        <v>46310</v>
      </c>
      <c r="DY50" s="218">
        <f t="shared" si="107"/>
        <v>46311</v>
      </c>
      <c r="DZ50" s="218">
        <f t="shared" si="107"/>
        <v>46312</v>
      </c>
      <c r="EA50" s="218">
        <f t="shared" si="107"/>
        <v>46313</v>
      </c>
      <c r="EB50" s="218">
        <f t="shared" si="107"/>
        <v>46314</v>
      </c>
      <c r="EC50" s="218">
        <f t="shared" si="107"/>
        <v>46315</v>
      </c>
      <c r="ED50" s="218">
        <f t="shared" si="107"/>
        <v>46316</v>
      </c>
      <c r="EE50" s="218">
        <f t="shared" si="107"/>
        <v>46317</v>
      </c>
      <c r="EF50" s="218">
        <f t="shared" si="107"/>
        <v>46318</v>
      </c>
      <c r="EG50" s="218">
        <f t="shared" si="107"/>
        <v>46319</v>
      </c>
      <c r="EH50" s="218">
        <f t="shared" si="107"/>
        <v>46320</v>
      </c>
      <c r="EI50" s="218">
        <f t="shared" si="107"/>
        <v>46321</v>
      </c>
      <c r="EJ50" s="218">
        <f t="shared" si="107"/>
        <v>46322</v>
      </c>
      <c r="EK50" s="218">
        <f t="shared" si="107"/>
        <v>46323</v>
      </c>
      <c r="EL50" s="218">
        <f t="shared" si="107"/>
        <v>46324</v>
      </c>
      <c r="EM50" s="218">
        <f t="shared" si="107"/>
        <v>46325</v>
      </c>
      <c r="EN50" s="218">
        <f t="shared" ref="EN50:EO50" si="108">EM50+1</f>
        <v>46326</v>
      </c>
      <c r="EO50" s="218">
        <f t="shared" si="108"/>
        <v>46327</v>
      </c>
    </row>
    <row r="51" spans="1:147">
      <c r="A51" s="448"/>
      <c r="B51" s="451"/>
      <c r="C51" s="451"/>
      <c r="D51" s="456"/>
      <c r="E51" s="185" t="s">
        <v>64</v>
      </c>
      <c r="F51" s="66">
        <f>SUM('BESS 11'!S290:S297,'BESS 11'!S299)</f>
        <v>59.2</v>
      </c>
      <c r="G51" s="182">
        <f>H51-10</f>
        <v>46265</v>
      </c>
      <c r="H51" s="182">
        <f>MAX('BESS 11'!O290:O296,'BESS 11'!O299)</f>
        <v>46275</v>
      </c>
      <c r="I51" s="65">
        <f>H51-G51</f>
        <v>10</v>
      </c>
      <c r="J51" s="444">
        <f>K51*1.2</f>
        <v>110.544</v>
      </c>
      <c r="K51" s="444">
        <f>AVERAGEIF(M56:EO56,"&gt;0")</f>
        <v>92.12</v>
      </c>
      <c r="L51" s="444">
        <f>MAX(M56:EO56)</f>
        <v>158</v>
      </c>
      <c r="M51" s="65" t="str">
        <f t="shared" ref="M51:AB54" si="109">IF(AND(M$2&gt;=$G51,M$2&lt;($G51+$I51)),ROUND($F51/$I51,0),"-")</f>
        <v>-</v>
      </c>
      <c r="N51" s="65" t="str">
        <f t="shared" si="109"/>
        <v>-</v>
      </c>
      <c r="O51" s="65" t="str">
        <f t="shared" si="109"/>
        <v>-</v>
      </c>
      <c r="P51" s="65" t="str">
        <f t="shared" si="109"/>
        <v>-</v>
      </c>
      <c r="Q51" s="65" t="str">
        <f t="shared" si="109"/>
        <v>-</v>
      </c>
      <c r="R51" s="65" t="str">
        <f t="shared" si="109"/>
        <v>-</v>
      </c>
      <c r="S51" s="65" t="str">
        <f t="shared" si="109"/>
        <v>-</v>
      </c>
      <c r="T51" s="65" t="str">
        <f t="shared" si="109"/>
        <v>-</v>
      </c>
      <c r="U51" s="65" t="str">
        <f t="shared" si="109"/>
        <v>-</v>
      </c>
      <c r="V51" s="65" t="str">
        <f t="shared" si="109"/>
        <v>-</v>
      </c>
      <c r="W51" s="65" t="str">
        <f t="shared" si="109"/>
        <v>-</v>
      </c>
      <c r="X51" s="65" t="str">
        <f t="shared" si="109"/>
        <v>-</v>
      </c>
      <c r="Y51" s="65" t="str">
        <f t="shared" si="109"/>
        <v>-</v>
      </c>
      <c r="Z51" s="65" t="str">
        <f t="shared" si="109"/>
        <v>-</v>
      </c>
      <c r="AA51" s="65" t="str">
        <f t="shared" si="109"/>
        <v>-</v>
      </c>
      <c r="AB51" s="65" t="str">
        <f t="shared" si="109"/>
        <v>-</v>
      </c>
      <c r="AC51" s="65" t="str">
        <f t="shared" ref="AC51:AR54" si="110">IF(AND(AC$2&gt;=$G51,AC$2&lt;($G51+$I51)),ROUND($F51/$I51,0),"-")</f>
        <v>-</v>
      </c>
      <c r="AD51" s="65" t="str">
        <f t="shared" si="110"/>
        <v>-</v>
      </c>
      <c r="AE51" s="65" t="str">
        <f t="shared" si="110"/>
        <v>-</v>
      </c>
      <c r="AF51" s="65" t="str">
        <f t="shared" si="110"/>
        <v>-</v>
      </c>
      <c r="AG51" s="65" t="str">
        <f t="shared" si="110"/>
        <v>-</v>
      </c>
      <c r="AH51" s="65" t="str">
        <f t="shared" si="110"/>
        <v>-</v>
      </c>
      <c r="AI51" s="65" t="str">
        <f t="shared" si="110"/>
        <v>-</v>
      </c>
      <c r="AJ51" s="65" t="str">
        <f t="shared" si="110"/>
        <v>-</v>
      </c>
      <c r="AK51" s="65" t="str">
        <f t="shared" si="110"/>
        <v>-</v>
      </c>
      <c r="AL51" s="65" t="str">
        <f t="shared" si="110"/>
        <v>-</v>
      </c>
      <c r="AM51" s="65" t="str">
        <f t="shared" si="110"/>
        <v>-</v>
      </c>
      <c r="AN51" s="65" t="str">
        <f t="shared" si="110"/>
        <v>-</v>
      </c>
      <c r="AO51" s="65" t="str">
        <f t="shared" si="110"/>
        <v>-</v>
      </c>
      <c r="AP51" s="65" t="str">
        <f t="shared" si="110"/>
        <v>-</v>
      </c>
      <c r="AQ51" s="65" t="str">
        <f t="shared" si="110"/>
        <v>-</v>
      </c>
      <c r="AR51" s="65" t="str">
        <f t="shared" si="110"/>
        <v>-</v>
      </c>
      <c r="AS51" s="65" t="str">
        <f t="shared" ref="AS51:BH54" si="111">IF(AND(AS$2&gt;=$G51,AS$2&lt;($G51+$I51)),ROUND($F51/$I51,0),"-")</f>
        <v>-</v>
      </c>
      <c r="AT51" s="65" t="str">
        <f t="shared" si="111"/>
        <v>-</v>
      </c>
      <c r="AU51" s="65" t="str">
        <f t="shared" si="111"/>
        <v>-</v>
      </c>
      <c r="AV51" s="65" t="str">
        <f t="shared" si="111"/>
        <v>-</v>
      </c>
      <c r="AW51" s="65" t="str">
        <f t="shared" si="111"/>
        <v>-</v>
      </c>
      <c r="AX51" s="65" t="str">
        <f t="shared" si="111"/>
        <v>-</v>
      </c>
      <c r="AY51" s="65" t="str">
        <f t="shared" si="111"/>
        <v>-</v>
      </c>
      <c r="AZ51" s="65" t="str">
        <f t="shared" si="111"/>
        <v>-</v>
      </c>
      <c r="BA51" s="65" t="str">
        <f t="shared" si="111"/>
        <v>-</v>
      </c>
      <c r="BB51" s="65" t="str">
        <f t="shared" si="111"/>
        <v>-</v>
      </c>
      <c r="BC51" s="65" t="str">
        <f t="shared" si="111"/>
        <v>-</v>
      </c>
      <c r="BD51" s="65" t="str">
        <f t="shared" si="111"/>
        <v>-</v>
      </c>
      <c r="BE51" s="65" t="str">
        <f t="shared" si="111"/>
        <v>-</v>
      </c>
      <c r="BF51" s="65" t="str">
        <f t="shared" si="111"/>
        <v>-</v>
      </c>
      <c r="BG51" s="65" t="str">
        <f t="shared" si="111"/>
        <v>-</v>
      </c>
      <c r="BH51" s="65" t="str">
        <f t="shared" si="111"/>
        <v>-</v>
      </c>
      <c r="BI51" s="65" t="str">
        <f t="shared" ref="BI51:BX54" si="112">IF(AND(BI$2&gt;=$G51,BI$2&lt;($G51+$I51)),ROUND($F51/$I51,0),"-")</f>
        <v>-</v>
      </c>
      <c r="BJ51" s="65" t="str">
        <f t="shared" si="112"/>
        <v>-</v>
      </c>
      <c r="BK51" s="65" t="str">
        <f t="shared" si="112"/>
        <v>-</v>
      </c>
      <c r="BL51" s="65" t="str">
        <f t="shared" si="112"/>
        <v>-</v>
      </c>
      <c r="BM51" s="65" t="str">
        <f t="shared" si="112"/>
        <v>-</v>
      </c>
      <c r="BN51" s="65" t="str">
        <f t="shared" si="112"/>
        <v>-</v>
      </c>
      <c r="BO51" s="65" t="str">
        <f t="shared" si="112"/>
        <v>-</v>
      </c>
      <c r="BP51" s="65" t="str">
        <f t="shared" si="112"/>
        <v>-</v>
      </c>
      <c r="BQ51" s="65" t="str">
        <f t="shared" si="112"/>
        <v>-</v>
      </c>
      <c r="BR51" s="65" t="str">
        <f t="shared" si="112"/>
        <v>-</v>
      </c>
      <c r="BS51" s="65" t="str">
        <f t="shared" si="112"/>
        <v>-</v>
      </c>
      <c r="BT51" s="65" t="str">
        <f t="shared" si="112"/>
        <v>-</v>
      </c>
      <c r="BU51" s="65" t="str">
        <f t="shared" si="112"/>
        <v>-</v>
      </c>
      <c r="BV51" s="65" t="str">
        <f t="shared" si="112"/>
        <v>-</v>
      </c>
      <c r="BW51" s="65" t="str">
        <f t="shared" si="112"/>
        <v>-</v>
      </c>
      <c r="BX51" s="65" t="str">
        <f t="shared" si="112"/>
        <v>-</v>
      </c>
      <c r="BY51" s="65" t="str">
        <f t="shared" ref="BY51:CN54" si="113">IF(AND(BY$2&gt;=$G51,BY$2&lt;($G51+$I51)),ROUND($F51/$I51,0),"-")</f>
        <v>-</v>
      </c>
      <c r="BZ51" s="65" t="str">
        <f t="shared" si="113"/>
        <v>-</v>
      </c>
      <c r="CA51" s="65" t="str">
        <f t="shared" si="113"/>
        <v>-</v>
      </c>
      <c r="CB51" s="65" t="str">
        <f t="shared" si="113"/>
        <v>-</v>
      </c>
      <c r="CC51" s="65" t="str">
        <f t="shared" si="113"/>
        <v>-</v>
      </c>
      <c r="CD51" s="65" t="str">
        <f t="shared" si="113"/>
        <v>-</v>
      </c>
      <c r="CE51" s="65">
        <f t="shared" si="113"/>
        <v>6</v>
      </c>
      <c r="CF51" s="65">
        <f t="shared" si="113"/>
        <v>6</v>
      </c>
      <c r="CG51" s="65">
        <f t="shared" si="113"/>
        <v>6</v>
      </c>
      <c r="CH51" s="65">
        <f t="shared" si="113"/>
        <v>6</v>
      </c>
      <c r="CI51" s="65">
        <f t="shared" si="113"/>
        <v>6</v>
      </c>
      <c r="CJ51" s="65">
        <f t="shared" si="113"/>
        <v>6</v>
      </c>
      <c r="CK51" s="65">
        <f t="shared" si="113"/>
        <v>6</v>
      </c>
      <c r="CL51" s="65">
        <f t="shared" si="113"/>
        <v>6</v>
      </c>
      <c r="CM51" s="65">
        <f t="shared" si="113"/>
        <v>6</v>
      </c>
      <c r="CN51" s="65">
        <f t="shared" si="113"/>
        <v>6</v>
      </c>
      <c r="CO51" s="65" t="str">
        <f t="shared" ref="CO51:DD54" si="114">IF(AND(CO$2&gt;=$G51,CO$2&lt;($G51+$I51)),ROUND($F51/$I51,0),"-")</f>
        <v>-</v>
      </c>
      <c r="CP51" s="65" t="str">
        <f t="shared" si="114"/>
        <v>-</v>
      </c>
      <c r="CQ51" s="65" t="str">
        <f t="shared" si="114"/>
        <v>-</v>
      </c>
      <c r="CR51" s="65" t="str">
        <f t="shared" si="114"/>
        <v>-</v>
      </c>
      <c r="CS51" s="65" t="str">
        <f t="shared" si="114"/>
        <v>-</v>
      </c>
      <c r="CT51" s="65" t="str">
        <f t="shared" si="114"/>
        <v>-</v>
      </c>
      <c r="CU51" s="65" t="str">
        <f t="shared" si="114"/>
        <v>-</v>
      </c>
      <c r="CV51" s="65" t="str">
        <f t="shared" si="114"/>
        <v>-</v>
      </c>
      <c r="CW51" s="65" t="str">
        <f t="shared" si="114"/>
        <v>-</v>
      </c>
      <c r="CX51" s="65" t="str">
        <f t="shared" si="114"/>
        <v>-</v>
      </c>
      <c r="CY51" s="65" t="str">
        <f t="shared" si="114"/>
        <v>-</v>
      </c>
      <c r="CZ51" s="65" t="str">
        <f t="shared" si="114"/>
        <v>-</v>
      </c>
      <c r="DA51" s="65" t="str">
        <f t="shared" si="114"/>
        <v>-</v>
      </c>
      <c r="DB51" s="65" t="str">
        <f t="shared" si="114"/>
        <v>-</v>
      </c>
      <c r="DC51" s="65" t="str">
        <f t="shared" si="114"/>
        <v>-</v>
      </c>
      <c r="DD51" s="65" t="str">
        <f t="shared" si="114"/>
        <v>-</v>
      </c>
      <c r="DE51" s="65" t="str">
        <f t="shared" ref="DE51:DT54" si="115">IF(AND(DE$2&gt;=$G51,DE$2&lt;($G51+$I51)),ROUND($F51/$I51,0),"-")</f>
        <v>-</v>
      </c>
      <c r="DF51" s="65" t="str">
        <f t="shared" si="115"/>
        <v>-</v>
      </c>
      <c r="DG51" s="65" t="str">
        <f t="shared" si="115"/>
        <v>-</v>
      </c>
      <c r="DH51" s="65" t="str">
        <f t="shared" si="115"/>
        <v>-</v>
      </c>
      <c r="DI51" s="65" t="str">
        <f t="shared" si="115"/>
        <v>-</v>
      </c>
      <c r="DJ51" s="65" t="str">
        <f t="shared" si="115"/>
        <v>-</v>
      </c>
      <c r="DK51" s="65" t="str">
        <f t="shared" si="115"/>
        <v>-</v>
      </c>
      <c r="DL51" s="65" t="str">
        <f t="shared" si="115"/>
        <v>-</v>
      </c>
      <c r="DM51" s="65" t="str">
        <f t="shared" si="115"/>
        <v>-</v>
      </c>
      <c r="DN51" s="65" t="str">
        <f t="shared" si="115"/>
        <v>-</v>
      </c>
      <c r="DO51" s="65" t="str">
        <f t="shared" si="115"/>
        <v>-</v>
      </c>
      <c r="DP51" s="65" t="str">
        <f t="shared" si="115"/>
        <v>-</v>
      </c>
      <c r="DQ51" s="65" t="str">
        <f t="shared" si="115"/>
        <v>-</v>
      </c>
      <c r="DR51" s="65" t="str">
        <f t="shared" si="115"/>
        <v>-</v>
      </c>
      <c r="DS51" s="65" t="str">
        <f t="shared" si="115"/>
        <v>-</v>
      </c>
      <c r="DT51" s="65" t="str">
        <f t="shared" si="115"/>
        <v>-</v>
      </c>
      <c r="DU51" s="65" t="str">
        <f t="shared" ref="DU51:EJ54" si="116">IF(AND(DU$2&gt;=$G51,DU$2&lt;($G51+$I51)),ROUND($F51/$I51,0),"-")</f>
        <v>-</v>
      </c>
      <c r="DV51" s="65" t="str">
        <f t="shared" si="116"/>
        <v>-</v>
      </c>
      <c r="DW51" s="65" t="str">
        <f t="shared" si="116"/>
        <v>-</v>
      </c>
      <c r="DX51" s="65" t="str">
        <f t="shared" si="116"/>
        <v>-</v>
      </c>
      <c r="DY51" s="65" t="str">
        <f t="shared" si="116"/>
        <v>-</v>
      </c>
      <c r="DZ51" s="65" t="str">
        <f t="shared" si="116"/>
        <v>-</v>
      </c>
      <c r="EA51" s="65" t="str">
        <f t="shared" si="116"/>
        <v>-</v>
      </c>
      <c r="EB51" s="65" t="str">
        <f t="shared" si="116"/>
        <v>-</v>
      </c>
      <c r="EC51" s="65" t="str">
        <f t="shared" si="116"/>
        <v>-</v>
      </c>
      <c r="ED51" s="65" t="str">
        <f t="shared" si="116"/>
        <v>-</v>
      </c>
      <c r="EE51" s="65" t="str">
        <f t="shared" si="116"/>
        <v>-</v>
      </c>
      <c r="EF51" s="65" t="str">
        <f t="shared" si="116"/>
        <v>-</v>
      </c>
      <c r="EG51" s="65" t="str">
        <f t="shared" si="116"/>
        <v>-</v>
      </c>
      <c r="EH51" s="65" t="str">
        <f t="shared" si="116"/>
        <v>-</v>
      </c>
      <c r="EI51" s="65" t="str">
        <f t="shared" si="116"/>
        <v>-</v>
      </c>
      <c r="EJ51" s="65" t="str">
        <f t="shared" si="116"/>
        <v>-</v>
      </c>
      <c r="EK51" s="65" t="str">
        <f t="shared" ref="EK51:EO54" si="117">IF(AND(EK$2&gt;=$G51,EK$2&lt;($G51+$I51)),ROUND($F51/$I51,0),"-")</f>
        <v>-</v>
      </c>
      <c r="EL51" s="65" t="str">
        <f t="shared" si="117"/>
        <v>-</v>
      </c>
      <c r="EM51" s="65" t="str">
        <f t="shared" si="117"/>
        <v>-</v>
      </c>
      <c r="EN51" s="65" t="str">
        <f t="shared" si="117"/>
        <v>-</v>
      </c>
      <c r="EO51" s="65" t="str">
        <f t="shared" si="117"/>
        <v>-</v>
      </c>
    </row>
    <row r="52" spans="1:147">
      <c r="A52" s="448"/>
      <c r="B52" s="451"/>
      <c r="C52" s="451"/>
      <c r="D52" s="456"/>
      <c r="E52" s="185" t="s">
        <v>65</v>
      </c>
      <c r="F52" s="66">
        <f>SUM('BESS 11'!S300,'BESS 11'!S302:S303,'BESS 11'!S306:S308)</f>
        <v>1492.9995466666664</v>
      </c>
      <c r="G52" s="182">
        <f>H52-20</f>
        <v>46234</v>
      </c>
      <c r="H52" s="182">
        <f>MAX('BESS 11'!O300,'BESS 11'!O302:O303,'BESS 11'!O306:O308)</f>
        <v>46254</v>
      </c>
      <c r="I52" s="65">
        <f>H52-G52</f>
        <v>20</v>
      </c>
      <c r="J52" s="453"/>
      <c r="K52" s="453"/>
      <c r="L52" s="445"/>
      <c r="M52" s="65" t="str">
        <f t="shared" si="109"/>
        <v>-</v>
      </c>
      <c r="N52" s="65" t="str">
        <f t="shared" si="109"/>
        <v>-</v>
      </c>
      <c r="O52" s="65" t="str">
        <f t="shared" si="109"/>
        <v>-</v>
      </c>
      <c r="P52" s="65" t="str">
        <f t="shared" si="109"/>
        <v>-</v>
      </c>
      <c r="Q52" s="65" t="str">
        <f t="shared" si="109"/>
        <v>-</v>
      </c>
      <c r="R52" s="65" t="str">
        <f t="shared" si="109"/>
        <v>-</v>
      </c>
      <c r="S52" s="65" t="str">
        <f t="shared" si="109"/>
        <v>-</v>
      </c>
      <c r="T52" s="65" t="str">
        <f t="shared" si="109"/>
        <v>-</v>
      </c>
      <c r="U52" s="65" t="str">
        <f t="shared" si="109"/>
        <v>-</v>
      </c>
      <c r="V52" s="65" t="str">
        <f t="shared" si="109"/>
        <v>-</v>
      </c>
      <c r="W52" s="65" t="str">
        <f t="shared" si="109"/>
        <v>-</v>
      </c>
      <c r="X52" s="65" t="str">
        <f t="shared" si="109"/>
        <v>-</v>
      </c>
      <c r="Y52" s="65" t="str">
        <f t="shared" si="109"/>
        <v>-</v>
      </c>
      <c r="Z52" s="65" t="str">
        <f t="shared" si="109"/>
        <v>-</v>
      </c>
      <c r="AA52" s="65" t="str">
        <f t="shared" si="109"/>
        <v>-</v>
      </c>
      <c r="AB52" s="65" t="str">
        <f t="shared" si="109"/>
        <v>-</v>
      </c>
      <c r="AC52" s="65" t="str">
        <f t="shared" si="110"/>
        <v>-</v>
      </c>
      <c r="AD52" s="65" t="str">
        <f t="shared" si="110"/>
        <v>-</v>
      </c>
      <c r="AE52" s="65" t="str">
        <f t="shared" si="110"/>
        <v>-</v>
      </c>
      <c r="AF52" s="65" t="str">
        <f t="shared" si="110"/>
        <v>-</v>
      </c>
      <c r="AG52" s="65" t="str">
        <f t="shared" si="110"/>
        <v>-</v>
      </c>
      <c r="AH52" s="65" t="str">
        <f t="shared" si="110"/>
        <v>-</v>
      </c>
      <c r="AI52" s="65" t="str">
        <f t="shared" si="110"/>
        <v>-</v>
      </c>
      <c r="AJ52" s="65" t="str">
        <f t="shared" si="110"/>
        <v>-</v>
      </c>
      <c r="AK52" s="65" t="str">
        <f t="shared" si="110"/>
        <v>-</v>
      </c>
      <c r="AL52" s="65" t="str">
        <f t="shared" si="110"/>
        <v>-</v>
      </c>
      <c r="AM52" s="65" t="str">
        <f t="shared" si="110"/>
        <v>-</v>
      </c>
      <c r="AN52" s="65" t="str">
        <f t="shared" si="110"/>
        <v>-</v>
      </c>
      <c r="AO52" s="65" t="str">
        <f t="shared" si="110"/>
        <v>-</v>
      </c>
      <c r="AP52" s="65" t="str">
        <f t="shared" si="110"/>
        <v>-</v>
      </c>
      <c r="AQ52" s="65" t="str">
        <f t="shared" si="110"/>
        <v>-</v>
      </c>
      <c r="AR52" s="65" t="str">
        <f t="shared" si="110"/>
        <v>-</v>
      </c>
      <c r="AS52" s="65" t="str">
        <f t="shared" si="111"/>
        <v>-</v>
      </c>
      <c r="AT52" s="65" t="str">
        <f t="shared" si="111"/>
        <v>-</v>
      </c>
      <c r="AU52" s="65" t="str">
        <f t="shared" si="111"/>
        <v>-</v>
      </c>
      <c r="AV52" s="65" t="str">
        <f t="shared" si="111"/>
        <v>-</v>
      </c>
      <c r="AW52" s="65" t="str">
        <f t="shared" si="111"/>
        <v>-</v>
      </c>
      <c r="AX52" s="65" t="str">
        <f t="shared" si="111"/>
        <v>-</v>
      </c>
      <c r="AY52" s="65" t="str">
        <f t="shared" si="111"/>
        <v>-</v>
      </c>
      <c r="AZ52" s="65">
        <f t="shared" si="111"/>
        <v>75</v>
      </c>
      <c r="BA52" s="65">
        <f t="shared" si="111"/>
        <v>75</v>
      </c>
      <c r="BB52" s="65">
        <f t="shared" si="111"/>
        <v>75</v>
      </c>
      <c r="BC52" s="65">
        <f t="shared" si="111"/>
        <v>75</v>
      </c>
      <c r="BD52" s="65">
        <f t="shared" si="111"/>
        <v>75</v>
      </c>
      <c r="BE52" s="65">
        <f t="shared" si="111"/>
        <v>75</v>
      </c>
      <c r="BF52" s="65">
        <f t="shared" si="111"/>
        <v>75</v>
      </c>
      <c r="BG52" s="65">
        <f t="shared" si="111"/>
        <v>75</v>
      </c>
      <c r="BH52" s="65">
        <f t="shared" si="111"/>
        <v>75</v>
      </c>
      <c r="BI52" s="65">
        <f t="shared" si="112"/>
        <v>75</v>
      </c>
      <c r="BJ52" s="65">
        <f t="shared" si="112"/>
        <v>75</v>
      </c>
      <c r="BK52" s="65">
        <f t="shared" si="112"/>
        <v>75</v>
      </c>
      <c r="BL52" s="65">
        <f t="shared" si="112"/>
        <v>75</v>
      </c>
      <c r="BM52" s="65">
        <f t="shared" si="112"/>
        <v>75</v>
      </c>
      <c r="BN52" s="65">
        <f t="shared" si="112"/>
        <v>75</v>
      </c>
      <c r="BO52" s="65">
        <f t="shared" si="112"/>
        <v>75</v>
      </c>
      <c r="BP52" s="65">
        <f t="shared" si="112"/>
        <v>75</v>
      </c>
      <c r="BQ52" s="65">
        <f t="shared" si="112"/>
        <v>75</v>
      </c>
      <c r="BR52" s="65">
        <f t="shared" si="112"/>
        <v>75</v>
      </c>
      <c r="BS52" s="65">
        <f t="shared" si="112"/>
        <v>75</v>
      </c>
      <c r="BT52" s="65" t="str">
        <f t="shared" si="112"/>
        <v>-</v>
      </c>
      <c r="BU52" s="65" t="str">
        <f t="shared" si="112"/>
        <v>-</v>
      </c>
      <c r="BV52" s="65" t="str">
        <f t="shared" si="112"/>
        <v>-</v>
      </c>
      <c r="BW52" s="65" t="str">
        <f t="shared" si="112"/>
        <v>-</v>
      </c>
      <c r="BX52" s="65" t="str">
        <f t="shared" si="112"/>
        <v>-</v>
      </c>
      <c r="BY52" s="65" t="str">
        <f t="shared" si="113"/>
        <v>-</v>
      </c>
      <c r="BZ52" s="65" t="str">
        <f t="shared" si="113"/>
        <v>-</v>
      </c>
      <c r="CA52" s="65" t="str">
        <f t="shared" si="113"/>
        <v>-</v>
      </c>
      <c r="CB52" s="65" t="str">
        <f t="shared" si="113"/>
        <v>-</v>
      </c>
      <c r="CC52" s="65" t="str">
        <f t="shared" si="113"/>
        <v>-</v>
      </c>
      <c r="CD52" s="65" t="str">
        <f t="shared" si="113"/>
        <v>-</v>
      </c>
      <c r="CE52" s="65" t="str">
        <f t="shared" si="113"/>
        <v>-</v>
      </c>
      <c r="CF52" s="65" t="str">
        <f t="shared" si="113"/>
        <v>-</v>
      </c>
      <c r="CG52" s="65" t="str">
        <f t="shared" si="113"/>
        <v>-</v>
      </c>
      <c r="CH52" s="65" t="str">
        <f t="shared" si="113"/>
        <v>-</v>
      </c>
      <c r="CI52" s="65" t="str">
        <f t="shared" si="113"/>
        <v>-</v>
      </c>
      <c r="CJ52" s="65" t="str">
        <f t="shared" si="113"/>
        <v>-</v>
      </c>
      <c r="CK52" s="65" t="str">
        <f t="shared" si="113"/>
        <v>-</v>
      </c>
      <c r="CL52" s="65" t="str">
        <f t="shared" si="113"/>
        <v>-</v>
      </c>
      <c r="CM52" s="65" t="str">
        <f t="shared" si="113"/>
        <v>-</v>
      </c>
      <c r="CN52" s="65" t="str">
        <f t="shared" si="113"/>
        <v>-</v>
      </c>
      <c r="CO52" s="65" t="str">
        <f t="shared" si="114"/>
        <v>-</v>
      </c>
      <c r="CP52" s="65" t="str">
        <f t="shared" si="114"/>
        <v>-</v>
      </c>
      <c r="CQ52" s="65" t="str">
        <f t="shared" si="114"/>
        <v>-</v>
      </c>
      <c r="CR52" s="65" t="str">
        <f t="shared" si="114"/>
        <v>-</v>
      </c>
      <c r="CS52" s="65" t="str">
        <f t="shared" si="114"/>
        <v>-</v>
      </c>
      <c r="CT52" s="65" t="str">
        <f t="shared" si="114"/>
        <v>-</v>
      </c>
      <c r="CU52" s="65" t="str">
        <f t="shared" si="114"/>
        <v>-</v>
      </c>
      <c r="CV52" s="65" t="str">
        <f t="shared" si="114"/>
        <v>-</v>
      </c>
      <c r="CW52" s="65" t="str">
        <f t="shared" si="114"/>
        <v>-</v>
      </c>
      <c r="CX52" s="65" t="str">
        <f t="shared" si="114"/>
        <v>-</v>
      </c>
      <c r="CY52" s="65" t="str">
        <f t="shared" si="114"/>
        <v>-</v>
      </c>
      <c r="CZ52" s="65" t="str">
        <f t="shared" si="114"/>
        <v>-</v>
      </c>
      <c r="DA52" s="65" t="str">
        <f t="shared" si="114"/>
        <v>-</v>
      </c>
      <c r="DB52" s="65" t="str">
        <f t="shared" si="114"/>
        <v>-</v>
      </c>
      <c r="DC52" s="65" t="str">
        <f t="shared" si="114"/>
        <v>-</v>
      </c>
      <c r="DD52" s="65" t="str">
        <f t="shared" si="114"/>
        <v>-</v>
      </c>
      <c r="DE52" s="65" t="str">
        <f t="shared" si="115"/>
        <v>-</v>
      </c>
      <c r="DF52" s="65" t="str">
        <f t="shared" si="115"/>
        <v>-</v>
      </c>
      <c r="DG52" s="65" t="str">
        <f t="shared" si="115"/>
        <v>-</v>
      </c>
      <c r="DH52" s="65" t="str">
        <f t="shared" si="115"/>
        <v>-</v>
      </c>
      <c r="DI52" s="65" t="str">
        <f t="shared" si="115"/>
        <v>-</v>
      </c>
      <c r="DJ52" s="65" t="str">
        <f t="shared" si="115"/>
        <v>-</v>
      </c>
      <c r="DK52" s="65" t="str">
        <f t="shared" si="115"/>
        <v>-</v>
      </c>
      <c r="DL52" s="65" t="str">
        <f t="shared" si="115"/>
        <v>-</v>
      </c>
      <c r="DM52" s="65" t="str">
        <f t="shared" si="115"/>
        <v>-</v>
      </c>
      <c r="DN52" s="65" t="str">
        <f t="shared" si="115"/>
        <v>-</v>
      </c>
      <c r="DO52" s="65" t="str">
        <f t="shared" si="115"/>
        <v>-</v>
      </c>
      <c r="DP52" s="65" t="str">
        <f t="shared" si="115"/>
        <v>-</v>
      </c>
      <c r="DQ52" s="65" t="str">
        <f t="shared" si="115"/>
        <v>-</v>
      </c>
      <c r="DR52" s="65" t="str">
        <f t="shared" si="115"/>
        <v>-</v>
      </c>
      <c r="DS52" s="65" t="str">
        <f t="shared" si="115"/>
        <v>-</v>
      </c>
      <c r="DT52" s="65" t="str">
        <f t="shared" si="115"/>
        <v>-</v>
      </c>
      <c r="DU52" s="65" t="str">
        <f t="shared" si="116"/>
        <v>-</v>
      </c>
      <c r="DV52" s="65" t="str">
        <f t="shared" si="116"/>
        <v>-</v>
      </c>
      <c r="DW52" s="65" t="str">
        <f t="shared" si="116"/>
        <v>-</v>
      </c>
      <c r="DX52" s="65" t="str">
        <f t="shared" si="116"/>
        <v>-</v>
      </c>
      <c r="DY52" s="65" t="str">
        <f t="shared" si="116"/>
        <v>-</v>
      </c>
      <c r="DZ52" s="65" t="str">
        <f t="shared" si="116"/>
        <v>-</v>
      </c>
      <c r="EA52" s="65" t="str">
        <f t="shared" si="116"/>
        <v>-</v>
      </c>
      <c r="EB52" s="65" t="str">
        <f t="shared" si="116"/>
        <v>-</v>
      </c>
      <c r="EC52" s="65" t="str">
        <f t="shared" si="116"/>
        <v>-</v>
      </c>
      <c r="ED52" s="65" t="str">
        <f t="shared" si="116"/>
        <v>-</v>
      </c>
      <c r="EE52" s="65" t="str">
        <f t="shared" si="116"/>
        <v>-</v>
      </c>
      <c r="EF52" s="65" t="str">
        <f t="shared" si="116"/>
        <v>-</v>
      </c>
      <c r="EG52" s="65" t="str">
        <f t="shared" si="116"/>
        <v>-</v>
      </c>
      <c r="EH52" s="65" t="str">
        <f t="shared" si="116"/>
        <v>-</v>
      </c>
      <c r="EI52" s="65" t="str">
        <f t="shared" si="116"/>
        <v>-</v>
      </c>
      <c r="EJ52" s="65" t="str">
        <f t="shared" si="116"/>
        <v>-</v>
      </c>
      <c r="EK52" s="65" t="str">
        <f t="shared" si="117"/>
        <v>-</v>
      </c>
      <c r="EL52" s="65" t="str">
        <f t="shared" si="117"/>
        <v>-</v>
      </c>
      <c r="EM52" s="65" t="str">
        <f t="shared" si="117"/>
        <v>-</v>
      </c>
      <c r="EN52" s="65" t="str">
        <f t="shared" si="117"/>
        <v>-</v>
      </c>
      <c r="EO52" s="65" t="str">
        <f t="shared" si="117"/>
        <v>-</v>
      </c>
    </row>
    <row r="53" spans="1:147">
      <c r="A53" s="448"/>
      <c r="B53" s="451"/>
      <c r="C53" s="451"/>
      <c r="D53" s="456"/>
      <c r="E53" s="185" t="s">
        <v>66</v>
      </c>
      <c r="F53" s="66">
        <f>SUM('BESS 11'!S301,'BESS 11'!S304:S305,'BESS 11'!S309:S310)</f>
        <v>2453.6666666666665</v>
      </c>
      <c r="G53" s="182">
        <f>G51+1</f>
        <v>46266</v>
      </c>
      <c r="H53" s="182">
        <f>G53+20</f>
        <v>46286</v>
      </c>
      <c r="I53" s="65">
        <f>H53-G53</f>
        <v>20</v>
      </c>
      <c r="J53" s="453"/>
      <c r="K53" s="453"/>
      <c r="L53" s="445"/>
      <c r="M53" s="65" t="str">
        <f t="shared" si="109"/>
        <v>-</v>
      </c>
      <c r="N53" s="65" t="str">
        <f t="shared" si="109"/>
        <v>-</v>
      </c>
      <c r="O53" s="65" t="str">
        <f t="shared" si="109"/>
        <v>-</v>
      </c>
      <c r="P53" s="65" t="str">
        <f t="shared" si="109"/>
        <v>-</v>
      </c>
      <c r="Q53" s="65" t="str">
        <f t="shared" si="109"/>
        <v>-</v>
      </c>
      <c r="R53" s="65" t="str">
        <f t="shared" si="109"/>
        <v>-</v>
      </c>
      <c r="S53" s="65" t="str">
        <f t="shared" si="109"/>
        <v>-</v>
      </c>
      <c r="T53" s="65" t="str">
        <f t="shared" si="109"/>
        <v>-</v>
      </c>
      <c r="U53" s="65" t="str">
        <f t="shared" si="109"/>
        <v>-</v>
      </c>
      <c r="V53" s="65" t="str">
        <f t="shared" si="109"/>
        <v>-</v>
      </c>
      <c r="W53" s="65" t="str">
        <f t="shared" si="109"/>
        <v>-</v>
      </c>
      <c r="X53" s="65" t="str">
        <f t="shared" si="109"/>
        <v>-</v>
      </c>
      <c r="Y53" s="65" t="str">
        <f t="shared" si="109"/>
        <v>-</v>
      </c>
      <c r="Z53" s="65" t="str">
        <f t="shared" si="109"/>
        <v>-</v>
      </c>
      <c r="AA53" s="65" t="str">
        <f t="shared" si="109"/>
        <v>-</v>
      </c>
      <c r="AB53" s="65" t="str">
        <f t="shared" si="109"/>
        <v>-</v>
      </c>
      <c r="AC53" s="65" t="str">
        <f t="shared" si="110"/>
        <v>-</v>
      </c>
      <c r="AD53" s="65" t="str">
        <f t="shared" si="110"/>
        <v>-</v>
      </c>
      <c r="AE53" s="65" t="str">
        <f t="shared" si="110"/>
        <v>-</v>
      </c>
      <c r="AF53" s="65" t="str">
        <f t="shared" si="110"/>
        <v>-</v>
      </c>
      <c r="AG53" s="65" t="str">
        <f t="shared" si="110"/>
        <v>-</v>
      </c>
      <c r="AH53" s="65" t="str">
        <f t="shared" si="110"/>
        <v>-</v>
      </c>
      <c r="AI53" s="65" t="str">
        <f t="shared" si="110"/>
        <v>-</v>
      </c>
      <c r="AJ53" s="65" t="str">
        <f t="shared" si="110"/>
        <v>-</v>
      </c>
      <c r="AK53" s="65" t="str">
        <f t="shared" si="110"/>
        <v>-</v>
      </c>
      <c r="AL53" s="65" t="str">
        <f t="shared" si="110"/>
        <v>-</v>
      </c>
      <c r="AM53" s="65" t="str">
        <f t="shared" si="110"/>
        <v>-</v>
      </c>
      <c r="AN53" s="65" t="str">
        <f t="shared" si="110"/>
        <v>-</v>
      </c>
      <c r="AO53" s="65" t="str">
        <f t="shared" si="110"/>
        <v>-</v>
      </c>
      <c r="AP53" s="65" t="str">
        <f t="shared" si="110"/>
        <v>-</v>
      </c>
      <c r="AQ53" s="65" t="str">
        <f t="shared" si="110"/>
        <v>-</v>
      </c>
      <c r="AR53" s="65" t="str">
        <f t="shared" si="110"/>
        <v>-</v>
      </c>
      <c r="AS53" s="65" t="str">
        <f t="shared" si="111"/>
        <v>-</v>
      </c>
      <c r="AT53" s="65" t="str">
        <f t="shared" si="111"/>
        <v>-</v>
      </c>
      <c r="AU53" s="65" t="str">
        <f t="shared" si="111"/>
        <v>-</v>
      </c>
      <c r="AV53" s="65" t="str">
        <f t="shared" si="111"/>
        <v>-</v>
      </c>
      <c r="AW53" s="65" t="str">
        <f t="shared" si="111"/>
        <v>-</v>
      </c>
      <c r="AX53" s="65" t="str">
        <f t="shared" si="111"/>
        <v>-</v>
      </c>
      <c r="AY53" s="65" t="str">
        <f t="shared" si="111"/>
        <v>-</v>
      </c>
      <c r="AZ53" s="65" t="str">
        <f t="shared" si="111"/>
        <v>-</v>
      </c>
      <c r="BA53" s="65" t="str">
        <f t="shared" si="111"/>
        <v>-</v>
      </c>
      <c r="BB53" s="65" t="str">
        <f t="shared" si="111"/>
        <v>-</v>
      </c>
      <c r="BC53" s="65" t="str">
        <f t="shared" si="111"/>
        <v>-</v>
      </c>
      <c r="BD53" s="65" t="str">
        <f t="shared" si="111"/>
        <v>-</v>
      </c>
      <c r="BE53" s="65" t="str">
        <f t="shared" si="111"/>
        <v>-</v>
      </c>
      <c r="BF53" s="65" t="str">
        <f t="shared" si="111"/>
        <v>-</v>
      </c>
      <c r="BG53" s="65" t="str">
        <f t="shared" si="111"/>
        <v>-</v>
      </c>
      <c r="BH53" s="65" t="str">
        <f t="shared" si="111"/>
        <v>-</v>
      </c>
      <c r="BI53" s="65" t="str">
        <f t="shared" si="112"/>
        <v>-</v>
      </c>
      <c r="BJ53" s="65" t="str">
        <f t="shared" si="112"/>
        <v>-</v>
      </c>
      <c r="BK53" s="65" t="str">
        <f t="shared" si="112"/>
        <v>-</v>
      </c>
      <c r="BL53" s="65" t="str">
        <f t="shared" si="112"/>
        <v>-</v>
      </c>
      <c r="BM53" s="65" t="str">
        <f t="shared" si="112"/>
        <v>-</v>
      </c>
      <c r="BN53" s="65" t="str">
        <f t="shared" si="112"/>
        <v>-</v>
      </c>
      <c r="BO53" s="65" t="str">
        <f t="shared" si="112"/>
        <v>-</v>
      </c>
      <c r="BP53" s="65" t="str">
        <f t="shared" si="112"/>
        <v>-</v>
      </c>
      <c r="BQ53" s="65" t="str">
        <f t="shared" si="112"/>
        <v>-</v>
      </c>
      <c r="BR53" s="65" t="str">
        <f t="shared" si="112"/>
        <v>-</v>
      </c>
      <c r="BS53" s="65" t="str">
        <f t="shared" si="112"/>
        <v>-</v>
      </c>
      <c r="BT53" s="65" t="str">
        <f t="shared" si="112"/>
        <v>-</v>
      </c>
      <c r="BU53" s="65" t="str">
        <f t="shared" si="112"/>
        <v>-</v>
      </c>
      <c r="BV53" s="65" t="str">
        <f t="shared" si="112"/>
        <v>-</v>
      </c>
      <c r="BW53" s="65" t="str">
        <f t="shared" si="112"/>
        <v>-</v>
      </c>
      <c r="BX53" s="65" t="str">
        <f t="shared" si="112"/>
        <v>-</v>
      </c>
      <c r="BY53" s="65" t="str">
        <f t="shared" si="113"/>
        <v>-</v>
      </c>
      <c r="BZ53" s="65" t="str">
        <f t="shared" si="113"/>
        <v>-</v>
      </c>
      <c r="CA53" s="65" t="str">
        <f t="shared" si="113"/>
        <v>-</v>
      </c>
      <c r="CB53" s="65" t="str">
        <f t="shared" si="113"/>
        <v>-</v>
      </c>
      <c r="CC53" s="65" t="str">
        <f t="shared" si="113"/>
        <v>-</v>
      </c>
      <c r="CD53" s="65" t="str">
        <f t="shared" si="113"/>
        <v>-</v>
      </c>
      <c r="CE53" s="65" t="str">
        <f t="shared" si="113"/>
        <v>-</v>
      </c>
      <c r="CF53" s="65">
        <f t="shared" si="113"/>
        <v>123</v>
      </c>
      <c r="CG53" s="65">
        <f t="shared" si="113"/>
        <v>123</v>
      </c>
      <c r="CH53" s="65">
        <f t="shared" si="113"/>
        <v>123</v>
      </c>
      <c r="CI53" s="65">
        <f t="shared" si="113"/>
        <v>123</v>
      </c>
      <c r="CJ53" s="65">
        <f t="shared" si="113"/>
        <v>123</v>
      </c>
      <c r="CK53" s="65">
        <f t="shared" si="113"/>
        <v>123</v>
      </c>
      <c r="CL53" s="65">
        <f t="shared" si="113"/>
        <v>123</v>
      </c>
      <c r="CM53" s="65">
        <f t="shared" si="113"/>
        <v>123</v>
      </c>
      <c r="CN53" s="65">
        <f t="shared" si="113"/>
        <v>123</v>
      </c>
      <c r="CO53" s="65">
        <f t="shared" si="114"/>
        <v>123</v>
      </c>
      <c r="CP53" s="65">
        <f t="shared" si="114"/>
        <v>123</v>
      </c>
      <c r="CQ53" s="65">
        <f t="shared" si="114"/>
        <v>123</v>
      </c>
      <c r="CR53" s="65">
        <f t="shared" si="114"/>
        <v>123</v>
      </c>
      <c r="CS53" s="65">
        <f t="shared" si="114"/>
        <v>123</v>
      </c>
      <c r="CT53" s="65">
        <f t="shared" si="114"/>
        <v>123</v>
      </c>
      <c r="CU53" s="65">
        <f t="shared" si="114"/>
        <v>123</v>
      </c>
      <c r="CV53" s="65">
        <f t="shared" si="114"/>
        <v>123</v>
      </c>
      <c r="CW53" s="65">
        <f t="shared" si="114"/>
        <v>123</v>
      </c>
      <c r="CX53" s="65">
        <f t="shared" si="114"/>
        <v>123</v>
      </c>
      <c r="CY53" s="65">
        <f t="shared" si="114"/>
        <v>123</v>
      </c>
      <c r="CZ53" s="65" t="str">
        <f t="shared" si="114"/>
        <v>-</v>
      </c>
      <c r="DA53" s="65" t="str">
        <f t="shared" si="114"/>
        <v>-</v>
      </c>
      <c r="DB53" s="65" t="str">
        <f t="shared" si="114"/>
        <v>-</v>
      </c>
      <c r="DC53" s="65" t="str">
        <f t="shared" si="114"/>
        <v>-</v>
      </c>
      <c r="DD53" s="65" t="str">
        <f t="shared" si="114"/>
        <v>-</v>
      </c>
      <c r="DE53" s="65" t="str">
        <f t="shared" si="115"/>
        <v>-</v>
      </c>
      <c r="DF53" s="65" t="str">
        <f t="shared" si="115"/>
        <v>-</v>
      </c>
      <c r="DG53" s="65" t="str">
        <f t="shared" si="115"/>
        <v>-</v>
      </c>
      <c r="DH53" s="65" t="str">
        <f t="shared" si="115"/>
        <v>-</v>
      </c>
      <c r="DI53" s="65" t="str">
        <f t="shared" si="115"/>
        <v>-</v>
      </c>
      <c r="DJ53" s="65" t="str">
        <f t="shared" si="115"/>
        <v>-</v>
      </c>
      <c r="DK53" s="65" t="str">
        <f t="shared" si="115"/>
        <v>-</v>
      </c>
      <c r="DL53" s="65" t="str">
        <f t="shared" si="115"/>
        <v>-</v>
      </c>
      <c r="DM53" s="65" t="str">
        <f t="shared" si="115"/>
        <v>-</v>
      </c>
      <c r="DN53" s="65" t="str">
        <f t="shared" si="115"/>
        <v>-</v>
      </c>
      <c r="DO53" s="65" t="str">
        <f t="shared" si="115"/>
        <v>-</v>
      </c>
      <c r="DP53" s="65" t="str">
        <f t="shared" si="115"/>
        <v>-</v>
      </c>
      <c r="DQ53" s="65" t="str">
        <f t="shared" si="115"/>
        <v>-</v>
      </c>
      <c r="DR53" s="65" t="str">
        <f t="shared" si="115"/>
        <v>-</v>
      </c>
      <c r="DS53" s="65" t="str">
        <f t="shared" si="115"/>
        <v>-</v>
      </c>
      <c r="DT53" s="65" t="str">
        <f t="shared" si="115"/>
        <v>-</v>
      </c>
      <c r="DU53" s="65" t="str">
        <f t="shared" si="116"/>
        <v>-</v>
      </c>
      <c r="DV53" s="65" t="str">
        <f t="shared" si="116"/>
        <v>-</v>
      </c>
      <c r="DW53" s="65" t="str">
        <f t="shared" si="116"/>
        <v>-</v>
      </c>
      <c r="DX53" s="65" t="str">
        <f t="shared" si="116"/>
        <v>-</v>
      </c>
      <c r="DY53" s="65" t="str">
        <f t="shared" si="116"/>
        <v>-</v>
      </c>
      <c r="DZ53" s="65" t="str">
        <f t="shared" si="116"/>
        <v>-</v>
      </c>
      <c r="EA53" s="65" t="str">
        <f t="shared" si="116"/>
        <v>-</v>
      </c>
      <c r="EB53" s="65" t="str">
        <f t="shared" si="116"/>
        <v>-</v>
      </c>
      <c r="EC53" s="65" t="str">
        <f t="shared" si="116"/>
        <v>-</v>
      </c>
      <c r="ED53" s="65" t="str">
        <f t="shared" si="116"/>
        <v>-</v>
      </c>
      <c r="EE53" s="65" t="str">
        <f t="shared" si="116"/>
        <v>-</v>
      </c>
      <c r="EF53" s="65" t="str">
        <f t="shared" si="116"/>
        <v>-</v>
      </c>
      <c r="EG53" s="65" t="str">
        <f t="shared" si="116"/>
        <v>-</v>
      </c>
      <c r="EH53" s="65" t="str">
        <f t="shared" si="116"/>
        <v>-</v>
      </c>
      <c r="EI53" s="65" t="str">
        <f t="shared" si="116"/>
        <v>-</v>
      </c>
      <c r="EJ53" s="65" t="str">
        <f t="shared" si="116"/>
        <v>-</v>
      </c>
      <c r="EK53" s="65" t="str">
        <f t="shared" si="117"/>
        <v>-</v>
      </c>
      <c r="EL53" s="65" t="str">
        <f t="shared" si="117"/>
        <v>-</v>
      </c>
      <c r="EM53" s="65" t="str">
        <f t="shared" si="117"/>
        <v>-</v>
      </c>
      <c r="EN53" s="65" t="str">
        <f t="shared" si="117"/>
        <v>-</v>
      </c>
      <c r="EO53" s="65" t="str">
        <f t="shared" si="117"/>
        <v>-</v>
      </c>
    </row>
    <row r="54" spans="1:147">
      <c r="A54" s="448"/>
      <c r="B54" s="451"/>
      <c r="C54" s="451"/>
      <c r="D54" s="456"/>
      <c r="E54" s="185" t="s">
        <v>67</v>
      </c>
      <c r="F54" s="66">
        <f>SUM('BESS 11'!S313:S321)</f>
        <v>340.69333333333333</v>
      </c>
      <c r="G54" s="182">
        <f>H54-14</f>
        <v>46272</v>
      </c>
      <c r="H54" s="182">
        <f>MAX('BESS 11'!O313:O321)</f>
        <v>46286</v>
      </c>
      <c r="I54" s="65">
        <f>H54-G54</f>
        <v>14</v>
      </c>
      <c r="J54" s="453"/>
      <c r="K54" s="453"/>
      <c r="L54" s="445"/>
      <c r="M54" s="164" t="str">
        <f t="shared" si="109"/>
        <v>-</v>
      </c>
      <c r="N54" s="164" t="str">
        <f t="shared" si="109"/>
        <v>-</v>
      </c>
      <c r="O54" s="164" t="str">
        <f t="shared" si="109"/>
        <v>-</v>
      </c>
      <c r="P54" s="164" t="str">
        <f t="shared" si="109"/>
        <v>-</v>
      </c>
      <c r="Q54" s="164" t="str">
        <f t="shared" si="109"/>
        <v>-</v>
      </c>
      <c r="R54" s="164" t="str">
        <f t="shared" si="109"/>
        <v>-</v>
      </c>
      <c r="S54" s="164" t="str">
        <f t="shared" si="109"/>
        <v>-</v>
      </c>
      <c r="T54" s="164" t="str">
        <f t="shared" si="109"/>
        <v>-</v>
      </c>
      <c r="U54" s="164" t="str">
        <f t="shared" si="109"/>
        <v>-</v>
      </c>
      <c r="V54" s="164" t="str">
        <f t="shared" si="109"/>
        <v>-</v>
      </c>
      <c r="W54" s="164" t="str">
        <f t="shared" si="109"/>
        <v>-</v>
      </c>
      <c r="X54" s="164" t="str">
        <f t="shared" si="109"/>
        <v>-</v>
      </c>
      <c r="Y54" s="164" t="str">
        <f t="shared" si="109"/>
        <v>-</v>
      </c>
      <c r="Z54" s="164" t="str">
        <f t="shared" si="109"/>
        <v>-</v>
      </c>
      <c r="AA54" s="164" t="str">
        <f t="shared" si="109"/>
        <v>-</v>
      </c>
      <c r="AB54" s="164" t="str">
        <f t="shared" si="109"/>
        <v>-</v>
      </c>
      <c r="AC54" s="164" t="str">
        <f t="shared" si="110"/>
        <v>-</v>
      </c>
      <c r="AD54" s="164" t="str">
        <f t="shared" si="110"/>
        <v>-</v>
      </c>
      <c r="AE54" s="164" t="str">
        <f t="shared" si="110"/>
        <v>-</v>
      </c>
      <c r="AF54" s="164" t="str">
        <f t="shared" si="110"/>
        <v>-</v>
      </c>
      <c r="AG54" s="164" t="str">
        <f t="shared" si="110"/>
        <v>-</v>
      </c>
      <c r="AH54" s="164" t="str">
        <f t="shared" si="110"/>
        <v>-</v>
      </c>
      <c r="AI54" s="164" t="str">
        <f t="shared" si="110"/>
        <v>-</v>
      </c>
      <c r="AJ54" s="164" t="str">
        <f t="shared" si="110"/>
        <v>-</v>
      </c>
      <c r="AK54" s="164" t="str">
        <f t="shared" si="110"/>
        <v>-</v>
      </c>
      <c r="AL54" s="164" t="str">
        <f t="shared" si="110"/>
        <v>-</v>
      </c>
      <c r="AM54" s="164" t="str">
        <f t="shared" si="110"/>
        <v>-</v>
      </c>
      <c r="AN54" s="164" t="str">
        <f t="shared" si="110"/>
        <v>-</v>
      </c>
      <c r="AO54" s="164" t="str">
        <f t="shared" si="110"/>
        <v>-</v>
      </c>
      <c r="AP54" s="164" t="str">
        <f t="shared" si="110"/>
        <v>-</v>
      </c>
      <c r="AQ54" s="164" t="str">
        <f t="shared" si="110"/>
        <v>-</v>
      </c>
      <c r="AR54" s="164" t="str">
        <f t="shared" si="110"/>
        <v>-</v>
      </c>
      <c r="AS54" s="164" t="str">
        <f t="shared" si="111"/>
        <v>-</v>
      </c>
      <c r="AT54" s="164" t="str">
        <f t="shared" si="111"/>
        <v>-</v>
      </c>
      <c r="AU54" s="164" t="str">
        <f t="shared" si="111"/>
        <v>-</v>
      </c>
      <c r="AV54" s="164" t="str">
        <f t="shared" si="111"/>
        <v>-</v>
      </c>
      <c r="AW54" s="164" t="str">
        <f t="shared" si="111"/>
        <v>-</v>
      </c>
      <c r="AX54" s="164" t="str">
        <f t="shared" si="111"/>
        <v>-</v>
      </c>
      <c r="AY54" s="164" t="str">
        <f t="shared" si="111"/>
        <v>-</v>
      </c>
      <c r="AZ54" s="164" t="str">
        <f t="shared" si="111"/>
        <v>-</v>
      </c>
      <c r="BA54" s="164" t="str">
        <f t="shared" si="111"/>
        <v>-</v>
      </c>
      <c r="BB54" s="164" t="str">
        <f t="shared" si="111"/>
        <v>-</v>
      </c>
      <c r="BC54" s="164" t="str">
        <f t="shared" si="111"/>
        <v>-</v>
      </c>
      <c r="BD54" s="164" t="str">
        <f t="shared" si="111"/>
        <v>-</v>
      </c>
      <c r="BE54" s="164" t="str">
        <f t="shared" si="111"/>
        <v>-</v>
      </c>
      <c r="BF54" s="164" t="str">
        <f t="shared" si="111"/>
        <v>-</v>
      </c>
      <c r="BG54" s="164" t="str">
        <f t="shared" si="111"/>
        <v>-</v>
      </c>
      <c r="BH54" s="164" t="str">
        <f t="shared" si="111"/>
        <v>-</v>
      </c>
      <c r="BI54" s="164" t="str">
        <f t="shared" si="112"/>
        <v>-</v>
      </c>
      <c r="BJ54" s="164" t="str">
        <f t="shared" si="112"/>
        <v>-</v>
      </c>
      <c r="BK54" s="164" t="str">
        <f t="shared" si="112"/>
        <v>-</v>
      </c>
      <c r="BL54" s="164" t="str">
        <f t="shared" si="112"/>
        <v>-</v>
      </c>
      <c r="BM54" s="164" t="str">
        <f t="shared" si="112"/>
        <v>-</v>
      </c>
      <c r="BN54" s="164" t="str">
        <f t="shared" si="112"/>
        <v>-</v>
      </c>
      <c r="BO54" s="164" t="str">
        <f t="shared" si="112"/>
        <v>-</v>
      </c>
      <c r="BP54" s="164" t="str">
        <f t="shared" si="112"/>
        <v>-</v>
      </c>
      <c r="BQ54" s="164" t="str">
        <f t="shared" si="112"/>
        <v>-</v>
      </c>
      <c r="BR54" s="164" t="str">
        <f t="shared" si="112"/>
        <v>-</v>
      </c>
      <c r="BS54" s="164" t="str">
        <f t="shared" si="112"/>
        <v>-</v>
      </c>
      <c r="BT54" s="164" t="str">
        <f t="shared" si="112"/>
        <v>-</v>
      </c>
      <c r="BU54" s="164" t="str">
        <f t="shared" si="112"/>
        <v>-</v>
      </c>
      <c r="BV54" s="164" t="str">
        <f t="shared" si="112"/>
        <v>-</v>
      </c>
      <c r="BW54" s="164" t="str">
        <f t="shared" si="112"/>
        <v>-</v>
      </c>
      <c r="BX54" s="164" t="str">
        <f t="shared" si="112"/>
        <v>-</v>
      </c>
      <c r="BY54" s="164" t="str">
        <f t="shared" si="113"/>
        <v>-</v>
      </c>
      <c r="BZ54" s="164" t="str">
        <f t="shared" si="113"/>
        <v>-</v>
      </c>
      <c r="CA54" s="164" t="str">
        <f t="shared" si="113"/>
        <v>-</v>
      </c>
      <c r="CB54" s="164" t="str">
        <f t="shared" si="113"/>
        <v>-</v>
      </c>
      <c r="CC54" s="164" t="str">
        <f t="shared" si="113"/>
        <v>-</v>
      </c>
      <c r="CD54" s="164" t="str">
        <f t="shared" si="113"/>
        <v>-</v>
      </c>
      <c r="CE54" s="164" t="str">
        <f t="shared" si="113"/>
        <v>-</v>
      </c>
      <c r="CF54" s="164" t="str">
        <f t="shared" si="113"/>
        <v>-</v>
      </c>
      <c r="CG54" s="164" t="str">
        <f t="shared" si="113"/>
        <v>-</v>
      </c>
      <c r="CH54" s="164" t="str">
        <f t="shared" si="113"/>
        <v>-</v>
      </c>
      <c r="CI54" s="164" t="str">
        <f t="shared" si="113"/>
        <v>-</v>
      </c>
      <c r="CJ54" s="164" t="str">
        <f t="shared" si="113"/>
        <v>-</v>
      </c>
      <c r="CK54" s="164" t="str">
        <f t="shared" si="113"/>
        <v>-</v>
      </c>
      <c r="CL54" s="164">
        <f t="shared" si="113"/>
        <v>24</v>
      </c>
      <c r="CM54" s="164">
        <f t="shared" si="113"/>
        <v>24</v>
      </c>
      <c r="CN54" s="164">
        <f t="shared" si="113"/>
        <v>24</v>
      </c>
      <c r="CO54" s="164">
        <f t="shared" si="114"/>
        <v>24</v>
      </c>
      <c r="CP54" s="164">
        <f t="shared" si="114"/>
        <v>24</v>
      </c>
      <c r="CQ54" s="164">
        <f t="shared" si="114"/>
        <v>24</v>
      </c>
      <c r="CR54" s="164">
        <f t="shared" si="114"/>
        <v>24</v>
      </c>
      <c r="CS54" s="164">
        <f t="shared" si="114"/>
        <v>24</v>
      </c>
      <c r="CT54" s="164">
        <f t="shared" si="114"/>
        <v>24</v>
      </c>
      <c r="CU54" s="164">
        <f t="shared" si="114"/>
        <v>24</v>
      </c>
      <c r="CV54" s="164">
        <f t="shared" si="114"/>
        <v>24</v>
      </c>
      <c r="CW54" s="164">
        <f t="shared" si="114"/>
        <v>24</v>
      </c>
      <c r="CX54" s="164">
        <f t="shared" si="114"/>
        <v>24</v>
      </c>
      <c r="CY54" s="164">
        <f t="shared" si="114"/>
        <v>24</v>
      </c>
      <c r="CZ54" s="164" t="str">
        <f t="shared" si="114"/>
        <v>-</v>
      </c>
      <c r="DA54" s="164" t="str">
        <f t="shared" si="114"/>
        <v>-</v>
      </c>
      <c r="DB54" s="164" t="str">
        <f t="shared" si="114"/>
        <v>-</v>
      </c>
      <c r="DC54" s="164" t="str">
        <f t="shared" si="114"/>
        <v>-</v>
      </c>
      <c r="DD54" s="164" t="str">
        <f t="shared" si="114"/>
        <v>-</v>
      </c>
      <c r="DE54" s="164" t="str">
        <f t="shared" si="115"/>
        <v>-</v>
      </c>
      <c r="DF54" s="164" t="str">
        <f t="shared" si="115"/>
        <v>-</v>
      </c>
      <c r="DG54" s="164" t="str">
        <f t="shared" si="115"/>
        <v>-</v>
      </c>
      <c r="DH54" s="164" t="str">
        <f t="shared" si="115"/>
        <v>-</v>
      </c>
      <c r="DI54" s="164" t="str">
        <f t="shared" si="115"/>
        <v>-</v>
      </c>
      <c r="DJ54" s="164" t="str">
        <f t="shared" si="115"/>
        <v>-</v>
      </c>
      <c r="DK54" s="164" t="str">
        <f t="shared" si="115"/>
        <v>-</v>
      </c>
      <c r="DL54" s="164" t="str">
        <f t="shared" si="115"/>
        <v>-</v>
      </c>
      <c r="DM54" s="164" t="str">
        <f t="shared" si="115"/>
        <v>-</v>
      </c>
      <c r="DN54" s="164" t="str">
        <f t="shared" si="115"/>
        <v>-</v>
      </c>
      <c r="DO54" s="164" t="str">
        <f t="shared" si="115"/>
        <v>-</v>
      </c>
      <c r="DP54" s="164" t="str">
        <f t="shared" si="115"/>
        <v>-</v>
      </c>
      <c r="DQ54" s="164" t="str">
        <f t="shared" si="115"/>
        <v>-</v>
      </c>
      <c r="DR54" s="164" t="str">
        <f t="shared" si="115"/>
        <v>-</v>
      </c>
      <c r="DS54" s="164" t="str">
        <f t="shared" si="115"/>
        <v>-</v>
      </c>
      <c r="DT54" s="164" t="str">
        <f t="shared" si="115"/>
        <v>-</v>
      </c>
      <c r="DU54" s="164" t="str">
        <f t="shared" si="116"/>
        <v>-</v>
      </c>
      <c r="DV54" s="164" t="str">
        <f t="shared" si="116"/>
        <v>-</v>
      </c>
      <c r="DW54" s="164" t="str">
        <f t="shared" si="116"/>
        <v>-</v>
      </c>
      <c r="DX54" s="164" t="str">
        <f t="shared" si="116"/>
        <v>-</v>
      </c>
      <c r="DY54" s="164" t="str">
        <f t="shared" si="116"/>
        <v>-</v>
      </c>
      <c r="DZ54" s="164" t="str">
        <f t="shared" si="116"/>
        <v>-</v>
      </c>
      <c r="EA54" s="164" t="str">
        <f t="shared" si="116"/>
        <v>-</v>
      </c>
      <c r="EB54" s="164" t="str">
        <f t="shared" si="116"/>
        <v>-</v>
      </c>
      <c r="EC54" s="164" t="str">
        <f t="shared" si="116"/>
        <v>-</v>
      </c>
      <c r="ED54" s="164" t="str">
        <f t="shared" si="116"/>
        <v>-</v>
      </c>
      <c r="EE54" s="164" t="str">
        <f t="shared" si="116"/>
        <v>-</v>
      </c>
      <c r="EF54" s="164" t="str">
        <f t="shared" si="116"/>
        <v>-</v>
      </c>
      <c r="EG54" s="164" t="str">
        <f t="shared" si="116"/>
        <v>-</v>
      </c>
      <c r="EH54" s="164" t="str">
        <f t="shared" si="116"/>
        <v>-</v>
      </c>
      <c r="EI54" s="164" t="str">
        <f t="shared" si="116"/>
        <v>-</v>
      </c>
      <c r="EJ54" s="164" t="str">
        <f t="shared" si="116"/>
        <v>-</v>
      </c>
      <c r="EK54" s="164" t="str">
        <f t="shared" si="117"/>
        <v>-</v>
      </c>
      <c r="EL54" s="164" t="str">
        <f t="shared" si="117"/>
        <v>-</v>
      </c>
      <c r="EM54" s="164" t="str">
        <f t="shared" si="117"/>
        <v>-</v>
      </c>
      <c r="EN54" s="164" t="str">
        <f t="shared" si="117"/>
        <v>-</v>
      </c>
      <c r="EO54" s="164" t="str">
        <f t="shared" si="117"/>
        <v>-</v>
      </c>
    </row>
    <row r="55" spans="1:147" ht="16.5">
      <c r="A55" s="449"/>
      <c r="B55" s="452"/>
      <c r="C55" s="452"/>
      <c r="D55" s="457"/>
      <c r="E55" s="185" t="s">
        <v>68</v>
      </c>
      <c r="F55" s="65">
        <v>250</v>
      </c>
      <c r="G55" s="185"/>
      <c r="H55" s="182">
        <f>B50-3</f>
        <v>46285</v>
      </c>
      <c r="I55" s="65">
        <v>30</v>
      </c>
      <c r="J55" s="454"/>
      <c r="K55" s="454"/>
      <c r="L55" s="446"/>
      <c r="M55" s="443" t="str">
        <f>IF(AND(M$2&gt;=$B$50-26,M$2&lt;=$B$50-3),5,IF(OR(M$2=$B$50-2,M$2=$B$50-1,M$2=$B$50,M$2=$B$50+1),30,IF(OR(M$2=$B$50+2,M$2=$B$50+3),5,"")))</f>
        <v/>
      </c>
      <c r="N55" s="443" t="str">
        <f t="shared" ref="N55:BY55" si="118">IF(AND(N$2&gt;=$B$50-26,N$2&lt;=$B$50-3),5,IF(OR(N$2=$B$50-2,N$2=$B$50-1,N$2=$B$50,N$2=$B$50+1),30,IF(OR(N$2=$B$50+2,N$2=$B$50+3),5,"")))</f>
        <v/>
      </c>
      <c r="O55" s="443" t="str">
        <f t="shared" si="118"/>
        <v/>
      </c>
      <c r="P55" s="443" t="str">
        <f t="shared" si="118"/>
        <v/>
      </c>
      <c r="Q55" s="443" t="str">
        <f t="shared" si="118"/>
        <v/>
      </c>
      <c r="R55" s="443" t="str">
        <f t="shared" si="118"/>
        <v/>
      </c>
      <c r="S55" s="443" t="str">
        <f t="shared" si="118"/>
        <v/>
      </c>
      <c r="T55" s="443" t="str">
        <f t="shared" si="118"/>
        <v/>
      </c>
      <c r="U55" s="443" t="str">
        <f t="shared" si="118"/>
        <v/>
      </c>
      <c r="V55" s="443" t="str">
        <f t="shared" si="118"/>
        <v/>
      </c>
      <c r="W55" s="443" t="str">
        <f t="shared" si="118"/>
        <v/>
      </c>
      <c r="X55" s="443" t="str">
        <f t="shared" si="118"/>
        <v/>
      </c>
      <c r="Y55" s="443" t="str">
        <f t="shared" si="118"/>
        <v/>
      </c>
      <c r="Z55" s="443" t="str">
        <f t="shared" si="118"/>
        <v/>
      </c>
      <c r="AA55" s="443" t="str">
        <f t="shared" si="118"/>
        <v/>
      </c>
      <c r="AB55" s="443" t="str">
        <f t="shared" si="118"/>
        <v/>
      </c>
      <c r="AC55" s="443" t="str">
        <f t="shared" si="118"/>
        <v/>
      </c>
      <c r="AD55" s="443" t="str">
        <f t="shared" si="118"/>
        <v/>
      </c>
      <c r="AE55" s="443" t="str">
        <f t="shared" si="118"/>
        <v/>
      </c>
      <c r="AF55" s="443" t="str">
        <f t="shared" si="118"/>
        <v/>
      </c>
      <c r="AG55" s="443" t="str">
        <f t="shared" si="118"/>
        <v/>
      </c>
      <c r="AH55" s="443" t="str">
        <f t="shared" si="118"/>
        <v/>
      </c>
      <c r="AI55" s="443" t="str">
        <f t="shared" si="118"/>
        <v/>
      </c>
      <c r="AJ55" s="443" t="str">
        <f t="shared" si="118"/>
        <v/>
      </c>
      <c r="AK55" s="443" t="str">
        <f t="shared" si="118"/>
        <v/>
      </c>
      <c r="AL55" s="443" t="str">
        <f t="shared" si="118"/>
        <v/>
      </c>
      <c r="AM55" s="443" t="str">
        <f t="shared" si="118"/>
        <v/>
      </c>
      <c r="AN55" s="443" t="str">
        <f t="shared" si="118"/>
        <v/>
      </c>
      <c r="AO55" s="443" t="str">
        <f t="shared" si="118"/>
        <v/>
      </c>
      <c r="AP55" s="443" t="str">
        <f t="shared" si="118"/>
        <v/>
      </c>
      <c r="AQ55" s="443" t="str">
        <f t="shared" si="118"/>
        <v/>
      </c>
      <c r="AR55" s="443" t="str">
        <f t="shared" si="118"/>
        <v/>
      </c>
      <c r="AS55" s="443" t="str">
        <f t="shared" si="118"/>
        <v/>
      </c>
      <c r="AT55" s="443" t="str">
        <f t="shared" si="118"/>
        <v/>
      </c>
      <c r="AU55" s="443" t="str">
        <f t="shared" si="118"/>
        <v/>
      </c>
      <c r="AV55" s="443" t="str">
        <f t="shared" si="118"/>
        <v/>
      </c>
      <c r="AW55" s="443" t="str">
        <f t="shared" si="118"/>
        <v/>
      </c>
      <c r="AX55" s="443" t="str">
        <f t="shared" si="118"/>
        <v/>
      </c>
      <c r="AY55" s="443" t="str">
        <f t="shared" si="118"/>
        <v/>
      </c>
      <c r="AZ55" s="443" t="str">
        <f t="shared" si="118"/>
        <v/>
      </c>
      <c r="BA55" s="443" t="str">
        <f t="shared" si="118"/>
        <v/>
      </c>
      <c r="BB55" s="443" t="str">
        <f t="shared" si="118"/>
        <v/>
      </c>
      <c r="BC55" s="443" t="str">
        <f t="shared" si="118"/>
        <v/>
      </c>
      <c r="BD55" s="443" t="str">
        <f t="shared" si="118"/>
        <v/>
      </c>
      <c r="BE55" s="443" t="str">
        <f t="shared" si="118"/>
        <v/>
      </c>
      <c r="BF55" s="443" t="str">
        <f t="shared" si="118"/>
        <v/>
      </c>
      <c r="BG55" s="443" t="str">
        <f t="shared" si="118"/>
        <v/>
      </c>
      <c r="BH55" s="443" t="str">
        <f t="shared" si="118"/>
        <v/>
      </c>
      <c r="BI55" s="443" t="str">
        <f t="shared" si="118"/>
        <v/>
      </c>
      <c r="BJ55" s="443" t="str">
        <f t="shared" si="118"/>
        <v/>
      </c>
      <c r="BK55" s="443" t="str">
        <f t="shared" si="118"/>
        <v/>
      </c>
      <c r="BL55" s="443" t="str">
        <f t="shared" si="118"/>
        <v/>
      </c>
      <c r="BM55" s="443" t="str">
        <f t="shared" si="118"/>
        <v/>
      </c>
      <c r="BN55" s="443" t="str">
        <f t="shared" si="118"/>
        <v/>
      </c>
      <c r="BO55" s="443" t="str">
        <f t="shared" si="118"/>
        <v/>
      </c>
      <c r="BP55" s="443" t="str">
        <f t="shared" si="118"/>
        <v/>
      </c>
      <c r="BQ55" s="443" t="str">
        <f t="shared" si="118"/>
        <v/>
      </c>
      <c r="BR55" s="443" t="str">
        <f t="shared" si="118"/>
        <v/>
      </c>
      <c r="BS55" s="443" t="str">
        <f t="shared" si="118"/>
        <v/>
      </c>
      <c r="BT55" s="443" t="str">
        <f t="shared" si="118"/>
        <v/>
      </c>
      <c r="BU55" s="443" t="str">
        <f t="shared" si="118"/>
        <v/>
      </c>
      <c r="BV55" s="443" t="str">
        <f t="shared" si="118"/>
        <v/>
      </c>
      <c r="BW55" s="443" t="str">
        <f t="shared" si="118"/>
        <v/>
      </c>
      <c r="BX55" s="443" t="str">
        <f t="shared" si="118"/>
        <v/>
      </c>
      <c r="BY55" s="443" t="str">
        <f t="shared" si="118"/>
        <v/>
      </c>
      <c r="BZ55" s="443" t="str">
        <f t="shared" ref="BZ55:EK55" si="119">IF(AND(BZ$2&gt;=$B$50-26,BZ$2&lt;=$B$50-3),5,IF(OR(BZ$2=$B$50-2,BZ$2=$B$50-1,BZ$2=$B$50,BZ$2=$B$50+1),30,IF(OR(BZ$2=$B$50+2,BZ$2=$B$50+3),5,"")))</f>
        <v/>
      </c>
      <c r="CA55" s="443" t="str">
        <f t="shared" si="119"/>
        <v/>
      </c>
      <c r="CB55" s="443">
        <f t="shared" si="119"/>
        <v>5</v>
      </c>
      <c r="CC55" s="443">
        <f t="shared" si="119"/>
        <v>5</v>
      </c>
      <c r="CD55" s="443">
        <f t="shared" si="119"/>
        <v>5</v>
      </c>
      <c r="CE55" s="443">
        <f t="shared" si="119"/>
        <v>5</v>
      </c>
      <c r="CF55" s="443">
        <f t="shared" si="119"/>
        <v>5</v>
      </c>
      <c r="CG55" s="443">
        <f t="shared" si="119"/>
        <v>5</v>
      </c>
      <c r="CH55" s="443">
        <f t="shared" si="119"/>
        <v>5</v>
      </c>
      <c r="CI55" s="443">
        <f t="shared" si="119"/>
        <v>5</v>
      </c>
      <c r="CJ55" s="443">
        <f t="shared" si="119"/>
        <v>5</v>
      </c>
      <c r="CK55" s="443">
        <f t="shared" si="119"/>
        <v>5</v>
      </c>
      <c r="CL55" s="443">
        <f t="shared" si="119"/>
        <v>5</v>
      </c>
      <c r="CM55" s="443">
        <f t="shared" si="119"/>
        <v>5</v>
      </c>
      <c r="CN55" s="443">
        <f t="shared" si="119"/>
        <v>5</v>
      </c>
      <c r="CO55" s="443">
        <f t="shared" si="119"/>
        <v>5</v>
      </c>
      <c r="CP55" s="443">
        <f t="shared" si="119"/>
        <v>5</v>
      </c>
      <c r="CQ55" s="443">
        <f t="shared" si="119"/>
        <v>5</v>
      </c>
      <c r="CR55" s="443">
        <f t="shared" si="119"/>
        <v>5</v>
      </c>
      <c r="CS55" s="443">
        <f t="shared" si="119"/>
        <v>5</v>
      </c>
      <c r="CT55" s="443">
        <f t="shared" si="119"/>
        <v>5</v>
      </c>
      <c r="CU55" s="443">
        <f t="shared" si="119"/>
        <v>5</v>
      </c>
      <c r="CV55" s="443">
        <f t="shared" si="119"/>
        <v>5</v>
      </c>
      <c r="CW55" s="443">
        <f t="shared" si="119"/>
        <v>5</v>
      </c>
      <c r="CX55" s="443">
        <f t="shared" si="119"/>
        <v>5</v>
      </c>
      <c r="CY55" s="443">
        <f t="shared" si="119"/>
        <v>5</v>
      </c>
      <c r="CZ55" s="443">
        <f t="shared" si="119"/>
        <v>30</v>
      </c>
      <c r="DA55" s="443">
        <f t="shared" si="119"/>
        <v>30</v>
      </c>
      <c r="DB55" s="443">
        <f t="shared" si="119"/>
        <v>30</v>
      </c>
      <c r="DC55" s="443">
        <f t="shared" si="119"/>
        <v>30</v>
      </c>
      <c r="DD55" s="443">
        <f t="shared" si="119"/>
        <v>5</v>
      </c>
      <c r="DE55" s="443">
        <f t="shared" si="119"/>
        <v>5</v>
      </c>
      <c r="DF55" s="443" t="str">
        <f t="shared" si="119"/>
        <v/>
      </c>
      <c r="DG55" s="443" t="str">
        <f t="shared" si="119"/>
        <v/>
      </c>
      <c r="DH55" s="443" t="str">
        <f t="shared" si="119"/>
        <v/>
      </c>
      <c r="DI55" s="443" t="str">
        <f t="shared" si="119"/>
        <v/>
      </c>
      <c r="DJ55" s="443" t="str">
        <f t="shared" si="119"/>
        <v/>
      </c>
      <c r="DK55" s="443" t="str">
        <f t="shared" si="119"/>
        <v/>
      </c>
      <c r="DL55" s="443" t="str">
        <f t="shared" si="119"/>
        <v/>
      </c>
      <c r="DM55" s="443" t="str">
        <f t="shared" si="119"/>
        <v/>
      </c>
      <c r="DN55" s="443" t="str">
        <f t="shared" si="119"/>
        <v/>
      </c>
      <c r="DO55" s="443" t="str">
        <f t="shared" si="119"/>
        <v/>
      </c>
      <c r="DP55" s="443" t="str">
        <f t="shared" si="119"/>
        <v/>
      </c>
      <c r="DQ55" s="443" t="str">
        <f t="shared" si="119"/>
        <v/>
      </c>
      <c r="DR55" s="443" t="str">
        <f t="shared" si="119"/>
        <v/>
      </c>
      <c r="DS55" s="443" t="str">
        <f t="shared" si="119"/>
        <v/>
      </c>
      <c r="DT55" s="443" t="str">
        <f t="shared" si="119"/>
        <v/>
      </c>
      <c r="DU55" s="443" t="str">
        <f t="shared" si="119"/>
        <v/>
      </c>
      <c r="DV55" s="443" t="str">
        <f t="shared" si="119"/>
        <v/>
      </c>
      <c r="DW55" s="443" t="str">
        <f t="shared" si="119"/>
        <v/>
      </c>
      <c r="DX55" s="443" t="str">
        <f t="shared" si="119"/>
        <v/>
      </c>
      <c r="DY55" s="443" t="str">
        <f t="shared" si="119"/>
        <v/>
      </c>
      <c r="DZ55" s="443" t="str">
        <f t="shared" si="119"/>
        <v/>
      </c>
      <c r="EA55" s="443" t="str">
        <f t="shared" si="119"/>
        <v/>
      </c>
      <c r="EB55" s="443" t="str">
        <f t="shared" si="119"/>
        <v/>
      </c>
      <c r="EC55" s="443" t="str">
        <f t="shared" si="119"/>
        <v/>
      </c>
      <c r="ED55" s="443" t="str">
        <f t="shared" si="119"/>
        <v/>
      </c>
      <c r="EE55" s="443" t="str">
        <f t="shared" si="119"/>
        <v/>
      </c>
      <c r="EF55" s="443" t="str">
        <f t="shared" si="119"/>
        <v/>
      </c>
      <c r="EG55" s="443" t="str">
        <f t="shared" si="119"/>
        <v/>
      </c>
      <c r="EH55" s="443" t="str">
        <f t="shared" si="119"/>
        <v/>
      </c>
      <c r="EI55" s="443" t="str">
        <f t="shared" si="119"/>
        <v/>
      </c>
      <c r="EJ55" s="443" t="str">
        <f t="shared" si="119"/>
        <v/>
      </c>
      <c r="EK55" s="443" t="str">
        <f t="shared" si="119"/>
        <v/>
      </c>
      <c r="EL55" s="443" t="str">
        <f t="shared" ref="EL55:EO55" si="120">IF(AND(EL$2&gt;=$B$50-26,EL$2&lt;=$B$50-3),5,IF(OR(EL$2=$B$50-2,EL$2=$B$50-1,EL$2=$B$50,EL$2=$B$50+1),30,IF(OR(EL$2=$B$50+2,EL$2=$B$50+3),5,"")))</f>
        <v/>
      </c>
      <c r="EM55" s="443" t="str">
        <f t="shared" si="120"/>
        <v/>
      </c>
      <c r="EN55" s="443" t="str">
        <f t="shared" si="120"/>
        <v/>
      </c>
      <c r="EO55" s="443" t="str">
        <f t="shared" si="120"/>
        <v/>
      </c>
    </row>
    <row r="56" spans="1:147" s="207" customFormat="1" ht="13.5" customHeight="1">
      <c r="A56" s="236"/>
      <c r="B56" s="209"/>
      <c r="E56" s="201"/>
      <c r="F56" s="201"/>
      <c r="G56" s="204" t="s">
        <v>69</v>
      </c>
      <c r="H56" s="203"/>
      <c r="I56" s="203"/>
      <c r="J56" s="203"/>
      <c r="K56" s="230"/>
      <c r="L56" s="230"/>
      <c r="M56" s="205">
        <f>SUM(M51:M55)</f>
        <v>0</v>
      </c>
      <c r="N56" s="205">
        <f>SUM(N51:N55)</f>
        <v>0</v>
      </c>
      <c r="O56" s="205">
        <f>SUM(O51:O55)</f>
        <v>0</v>
      </c>
      <c r="P56" s="205">
        <f t="shared" ref="P56:CA56" si="121">SUM(P51:P55)</f>
        <v>0</v>
      </c>
      <c r="Q56" s="205">
        <f t="shared" si="121"/>
        <v>0</v>
      </c>
      <c r="R56" s="205">
        <f t="shared" si="121"/>
        <v>0</v>
      </c>
      <c r="S56" s="205">
        <f t="shared" si="121"/>
        <v>0</v>
      </c>
      <c r="T56" s="205">
        <f t="shared" si="121"/>
        <v>0</v>
      </c>
      <c r="U56" s="205">
        <f t="shared" si="121"/>
        <v>0</v>
      </c>
      <c r="V56" s="205">
        <f t="shared" si="121"/>
        <v>0</v>
      </c>
      <c r="W56" s="205">
        <f t="shared" si="121"/>
        <v>0</v>
      </c>
      <c r="X56" s="205">
        <f t="shared" si="121"/>
        <v>0</v>
      </c>
      <c r="Y56" s="205">
        <f t="shared" si="121"/>
        <v>0</v>
      </c>
      <c r="Z56" s="205">
        <f t="shared" si="121"/>
        <v>0</v>
      </c>
      <c r="AA56" s="205">
        <f t="shared" si="121"/>
        <v>0</v>
      </c>
      <c r="AB56" s="205">
        <f t="shared" si="121"/>
        <v>0</v>
      </c>
      <c r="AC56" s="205">
        <f t="shared" si="121"/>
        <v>0</v>
      </c>
      <c r="AD56" s="205">
        <f t="shared" si="121"/>
        <v>0</v>
      </c>
      <c r="AE56" s="205">
        <f t="shared" si="121"/>
        <v>0</v>
      </c>
      <c r="AF56" s="205">
        <f t="shared" si="121"/>
        <v>0</v>
      </c>
      <c r="AG56" s="205">
        <f t="shared" si="121"/>
        <v>0</v>
      </c>
      <c r="AH56" s="205">
        <f t="shared" si="121"/>
        <v>0</v>
      </c>
      <c r="AI56" s="205">
        <f t="shared" si="121"/>
        <v>0</v>
      </c>
      <c r="AJ56" s="205">
        <f t="shared" si="121"/>
        <v>0</v>
      </c>
      <c r="AK56" s="205">
        <f t="shared" si="121"/>
        <v>0</v>
      </c>
      <c r="AL56" s="205">
        <f t="shared" si="121"/>
        <v>0</v>
      </c>
      <c r="AM56" s="205">
        <f t="shared" si="121"/>
        <v>0</v>
      </c>
      <c r="AN56" s="205">
        <f t="shared" si="121"/>
        <v>0</v>
      </c>
      <c r="AO56" s="205">
        <f t="shared" si="121"/>
        <v>0</v>
      </c>
      <c r="AP56" s="205">
        <f t="shared" si="121"/>
        <v>0</v>
      </c>
      <c r="AQ56" s="205">
        <f t="shared" si="121"/>
        <v>0</v>
      </c>
      <c r="AR56" s="205">
        <f t="shared" si="121"/>
        <v>0</v>
      </c>
      <c r="AS56" s="205">
        <f t="shared" si="121"/>
        <v>0</v>
      </c>
      <c r="AT56" s="205">
        <f t="shared" si="121"/>
        <v>0</v>
      </c>
      <c r="AU56" s="205">
        <f t="shared" si="121"/>
        <v>0</v>
      </c>
      <c r="AV56" s="205">
        <f t="shared" si="121"/>
        <v>0</v>
      </c>
      <c r="AW56" s="205">
        <f t="shared" si="121"/>
        <v>0</v>
      </c>
      <c r="AX56" s="205">
        <f t="shared" si="121"/>
        <v>0</v>
      </c>
      <c r="AY56" s="205">
        <f t="shared" si="121"/>
        <v>0</v>
      </c>
      <c r="AZ56" s="205">
        <f t="shared" si="121"/>
        <v>75</v>
      </c>
      <c r="BA56" s="205">
        <f t="shared" si="121"/>
        <v>75</v>
      </c>
      <c r="BB56" s="205">
        <f t="shared" si="121"/>
        <v>75</v>
      </c>
      <c r="BC56" s="205">
        <f t="shared" si="121"/>
        <v>75</v>
      </c>
      <c r="BD56" s="205">
        <f t="shared" si="121"/>
        <v>75</v>
      </c>
      <c r="BE56" s="205">
        <f t="shared" si="121"/>
        <v>75</v>
      </c>
      <c r="BF56" s="205">
        <f t="shared" si="121"/>
        <v>75</v>
      </c>
      <c r="BG56" s="205">
        <f t="shared" si="121"/>
        <v>75</v>
      </c>
      <c r="BH56" s="205">
        <f t="shared" si="121"/>
        <v>75</v>
      </c>
      <c r="BI56" s="205">
        <f t="shared" si="121"/>
        <v>75</v>
      </c>
      <c r="BJ56" s="205">
        <f t="shared" si="121"/>
        <v>75</v>
      </c>
      <c r="BK56" s="205">
        <f t="shared" si="121"/>
        <v>75</v>
      </c>
      <c r="BL56" s="205">
        <f t="shared" si="121"/>
        <v>75</v>
      </c>
      <c r="BM56" s="205">
        <f t="shared" si="121"/>
        <v>75</v>
      </c>
      <c r="BN56" s="205">
        <f t="shared" si="121"/>
        <v>75</v>
      </c>
      <c r="BO56" s="205">
        <f t="shared" si="121"/>
        <v>75</v>
      </c>
      <c r="BP56" s="205">
        <f t="shared" si="121"/>
        <v>75</v>
      </c>
      <c r="BQ56" s="205">
        <f t="shared" si="121"/>
        <v>75</v>
      </c>
      <c r="BR56" s="205">
        <f t="shared" si="121"/>
        <v>75</v>
      </c>
      <c r="BS56" s="205">
        <f t="shared" si="121"/>
        <v>75</v>
      </c>
      <c r="BT56" s="205">
        <f t="shared" si="121"/>
        <v>0</v>
      </c>
      <c r="BU56" s="205">
        <f t="shared" si="121"/>
        <v>0</v>
      </c>
      <c r="BV56" s="205">
        <f t="shared" si="121"/>
        <v>0</v>
      </c>
      <c r="BW56" s="205">
        <f t="shared" si="121"/>
        <v>0</v>
      </c>
      <c r="BX56" s="205">
        <f t="shared" si="121"/>
        <v>0</v>
      </c>
      <c r="BY56" s="205">
        <f t="shared" si="121"/>
        <v>0</v>
      </c>
      <c r="BZ56" s="205">
        <f t="shared" si="121"/>
        <v>0</v>
      </c>
      <c r="CA56" s="205">
        <f t="shared" si="121"/>
        <v>0</v>
      </c>
      <c r="CB56" s="205">
        <f t="shared" ref="CB56:EM56" si="122">SUM(CB51:CB55)</f>
        <v>5</v>
      </c>
      <c r="CC56" s="205">
        <f t="shared" si="122"/>
        <v>5</v>
      </c>
      <c r="CD56" s="205">
        <f t="shared" si="122"/>
        <v>5</v>
      </c>
      <c r="CE56" s="205">
        <f t="shared" si="122"/>
        <v>11</v>
      </c>
      <c r="CF56" s="205">
        <f t="shared" si="122"/>
        <v>134</v>
      </c>
      <c r="CG56" s="205">
        <f t="shared" si="122"/>
        <v>134</v>
      </c>
      <c r="CH56" s="205">
        <f t="shared" si="122"/>
        <v>134</v>
      </c>
      <c r="CI56" s="205">
        <f t="shared" si="122"/>
        <v>134</v>
      </c>
      <c r="CJ56" s="205">
        <f t="shared" si="122"/>
        <v>134</v>
      </c>
      <c r="CK56" s="205">
        <f t="shared" si="122"/>
        <v>134</v>
      </c>
      <c r="CL56" s="205">
        <f t="shared" si="122"/>
        <v>158</v>
      </c>
      <c r="CM56" s="205">
        <f t="shared" si="122"/>
        <v>158</v>
      </c>
      <c r="CN56" s="205">
        <f t="shared" si="122"/>
        <v>158</v>
      </c>
      <c r="CO56" s="205">
        <f t="shared" si="122"/>
        <v>152</v>
      </c>
      <c r="CP56" s="205">
        <f t="shared" si="122"/>
        <v>152</v>
      </c>
      <c r="CQ56" s="205">
        <f t="shared" si="122"/>
        <v>152</v>
      </c>
      <c r="CR56" s="205">
        <f t="shared" si="122"/>
        <v>152</v>
      </c>
      <c r="CS56" s="205">
        <f t="shared" si="122"/>
        <v>152</v>
      </c>
      <c r="CT56" s="205">
        <f t="shared" si="122"/>
        <v>152</v>
      </c>
      <c r="CU56" s="205">
        <f t="shared" si="122"/>
        <v>152</v>
      </c>
      <c r="CV56" s="205">
        <f t="shared" si="122"/>
        <v>152</v>
      </c>
      <c r="CW56" s="205">
        <f t="shared" si="122"/>
        <v>152</v>
      </c>
      <c r="CX56" s="205">
        <f t="shared" si="122"/>
        <v>152</v>
      </c>
      <c r="CY56" s="205">
        <f t="shared" si="122"/>
        <v>152</v>
      </c>
      <c r="CZ56" s="205">
        <f t="shared" si="122"/>
        <v>30</v>
      </c>
      <c r="DA56" s="205">
        <f t="shared" si="122"/>
        <v>30</v>
      </c>
      <c r="DB56" s="205">
        <f t="shared" si="122"/>
        <v>30</v>
      </c>
      <c r="DC56" s="205">
        <f t="shared" si="122"/>
        <v>30</v>
      </c>
      <c r="DD56" s="205">
        <f t="shared" si="122"/>
        <v>5</v>
      </c>
      <c r="DE56" s="205">
        <f t="shared" si="122"/>
        <v>5</v>
      </c>
      <c r="DF56" s="205">
        <f t="shared" si="122"/>
        <v>0</v>
      </c>
      <c r="DG56" s="205">
        <f t="shared" si="122"/>
        <v>0</v>
      </c>
      <c r="DH56" s="205">
        <f t="shared" si="122"/>
        <v>0</v>
      </c>
      <c r="DI56" s="205">
        <f t="shared" si="122"/>
        <v>0</v>
      </c>
      <c r="DJ56" s="205">
        <f t="shared" si="122"/>
        <v>0</v>
      </c>
      <c r="DK56" s="205">
        <f t="shared" si="122"/>
        <v>0</v>
      </c>
      <c r="DL56" s="205">
        <f t="shared" si="122"/>
        <v>0</v>
      </c>
      <c r="DM56" s="205">
        <f t="shared" si="122"/>
        <v>0</v>
      </c>
      <c r="DN56" s="205">
        <f t="shared" si="122"/>
        <v>0</v>
      </c>
      <c r="DO56" s="205">
        <f t="shared" si="122"/>
        <v>0</v>
      </c>
      <c r="DP56" s="205">
        <f t="shared" si="122"/>
        <v>0</v>
      </c>
      <c r="DQ56" s="205">
        <f t="shared" si="122"/>
        <v>0</v>
      </c>
      <c r="DR56" s="205">
        <f t="shared" si="122"/>
        <v>0</v>
      </c>
      <c r="DS56" s="205">
        <f t="shared" si="122"/>
        <v>0</v>
      </c>
      <c r="DT56" s="205">
        <f t="shared" si="122"/>
        <v>0</v>
      </c>
      <c r="DU56" s="205">
        <f t="shared" si="122"/>
        <v>0</v>
      </c>
      <c r="DV56" s="205">
        <f t="shared" si="122"/>
        <v>0</v>
      </c>
      <c r="DW56" s="205">
        <f t="shared" si="122"/>
        <v>0</v>
      </c>
      <c r="DX56" s="205">
        <f t="shared" si="122"/>
        <v>0</v>
      </c>
      <c r="DY56" s="205">
        <f t="shared" si="122"/>
        <v>0</v>
      </c>
      <c r="DZ56" s="205">
        <f t="shared" si="122"/>
        <v>0</v>
      </c>
      <c r="EA56" s="205">
        <f t="shared" si="122"/>
        <v>0</v>
      </c>
      <c r="EB56" s="205">
        <f t="shared" si="122"/>
        <v>0</v>
      </c>
      <c r="EC56" s="205">
        <f t="shared" si="122"/>
        <v>0</v>
      </c>
      <c r="ED56" s="205">
        <f t="shared" si="122"/>
        <v>0</v>
      </c>
      <c r="EE56" s="205">
        <f t="shared" si="122"/>
        <v>0</v>
      </c>
      <c r="EF56" s="205">
        <f t="shared" si="122"/>
        <v>0</v>
      </c>
      <c r="EG56" s="205">
        <f t="shared" si="122"/>
        <v>0</v>
      </c>
      <c r="EH56" s="205">
        <f t="shared" si="122"/>
        <v>0</v>
      </c>
      <c r="EI56" s="205">
        <f t="shared" si="122"/>
        <v>0</v>
      </c>
      <c r="EJ56" s="205">
        <f t="shared" si="122"/>
        <v>0</v>
      </c>
      <c r="EK56" s="205">
        <f t="shared" si="122"/>
        <v>0</v>
      </c>
      <c r="EL56" s="205">
        <f t="shared" si="122"/>
        <v>0</v>
      </c>
      <c r="EM56" s="205">
        <f t="shared" si="122"/>
        <v>0</v>
      </c>
      <c r="EN56" s="205">
        <f t="shared" ref="EN56:EO56" si="123">SUM(EN51:EN55)</f>
        <v>0</v>
      </c>
      <c r="EO56" s="205">
        <f t="shared" si="123"/>
        <v>0</v>
      </c>
      <c r="EP56" s="206"/>
      <c r="EQ56" s="206"/>
    </row>
    <row r="58" spans="1:147" s="180" customFormat="1" ht="27">
      <c r="A58" s="447" t="s">
        <v>76</v>
      </c>
      <c r="B58" s="450">
        <f>IF(LEN('BESS 11'!F322)=5,'BESS 11'!F322,(IF('BESS 11'!F322="Completed"," ",DATEVALUE(RIGHT('BESS 11'!F322,6)))))</f>
        <v>46288</v>
      </c>
      <c r="C58" s="450">
        <f>IF(LEN('BESS 11'!G322)=5,'BESS 11'!G322,(IF('BESS 11'!G322="Completed"," ",DATEVALUE(RIGHT('BESS 11'!G322,6)))))</f>
        <v>46292</v>
      </c>
      <c r="D58" s="455">
        <f>IF(LEN('BESS 11'!H322)=5,'BESS 11'!H322,(IF('BESS 11'!H322="Completed"," ",DATEVALUE(RIGHT('BESS 11'!H322,6)))))</f>
        <v>46295</v>
      </c>
      <c r="E58" s="226" t="s">
        <v>10</v>
      </c>
      <c r="F58" s="217" t="s">
        <v>58</v>
      </c>
      <c r="G58" s="217" t="s">
        <v>78</v>
      </c>
      <c r="H58" s="217" t="s">
        <v>79</v>
      </c>
      <c r="I58" s="217" t="s">
        <v>59</v>
      </c>
      <c r="J58" s="217"/>
      <c r="K58" s="216" t="s">
        <v>80</v>
      </c>
      <c r="L58" s="216" t="s">
        <v>62</v>
      </c>
      <c r="M58" s="218">
        <v>46195</v>
      </c>
      <c r="N58" s="218">
        <v>46196</v>
      </c>
      <c r="O58" s="218">
        <v>46197</v>
      </c>
      <c r="P58" s="218">
        <f t="shared" ref="P58:CA58" si="124">O58+1</f>
        <v>46198</v>
      </c>
      <c r="Q58" s="218">
        <f t="shared" si="124"/>
        <v>46199</v>
      </c>
      <c r="R58" s="218">
        <f t="shared" si="124"/>
        <v>46200</v>
      </c>
      <c r="S58" s="218">
        <f t="shared" si="124"/>
        <v>46201</v>
      </c>
      <c r="T58" s="218">
        <f t="shared" si="124"/>
        <v>46202</v>
      </c>
      <c r="U58" s="218">
        <f t="shared" si="124"/>
        <v>46203</v>
      </c>
      <c r="V58" s="218">
        <f t="shared" si="124"/>
        <v>46204</v>
      </c>
      <c r="W58" s="218">
        <f t="shared" si="124"/>
        <v>46205</v>
      </c>
      <c r="X58" s="218">
        <f t="shared" si="124"/>
        <v>46206</v>
      </c>
      <c r="Y58" s="218">
        <f t="shared" si="124"/>
        <v>46207</v>
      </c>
      <c r="Z58" s="218">
        <f t="shared" si="124"/>
        <v>46208</v>
      </c>
      <c r="AA58" s="218">
        <f t="shared" si="124"/>
        <v>46209</v>
      </c>
      <c r="AB58" s="218">
        <f t="shared" si="124"/>
        <v>46210</v>
      </c>
      <c r="AC58" s="218">
        <f t="shared" si="124"/>
        <v>46211</v>
      </c>
      <c r="AD58" s="218">
        <f t="shared" si="124"/>
        <v>46212</v>
      </c>
      <c r="AE58" s="218">
        <f t="shared" si="124"/>
        <v>46213</v>
      </c>
      <c r="AF58" s="218">
        <f t="shared" si="124"/>
        <v>46214</v>
      </c>
      <c r="AG58" s="218">
        <f t="shared" si="124"/>
        <v>46215</v>
      </c>
      <c r="AH58" s="218">
        <f t="shared" si="124"/>
        <v>46216</v>
      </c>
      <c r="AI58" s="218">
        <f t="shared" si="124"/>
        <v>46217</v>
      </c>
      <c r="AJ58" s="218">
        <f t="shared" si="124"/>
        <v>46218</v>
      </c>
      <c r="AK58" s="218">
        <f t="shared" si="124"/>
        <v>46219</v>
      </c>
      <c r="AL58" s="218">
        <f t="shared" si="124"/>
        <v>46220</v>
      </c>
      <c r="AM58" s="218">
        <f t="shared" si="124"/>
        <v>46221</v>
      </c>
      <c r="AN58" s="218">
        <f t="shared" si="124"/>
        <v>46222</v>
      </c>
      <c r="AO58" s="218">
        <f t="shared" si="124"/>
        <v>46223</v>
      </c>
      <c r="AP58" s="218">
        <f t="shared" si="124"/>
        <v>46224</v>
      </c>
      <c r="AQ58" s="218">
        <f t="shared" si="124"/>
        <v>46225</v>
      </c>
      <c r="AR58" s="218">
        <f t="shared" si="124"/>
        <v>46226</v>
      </c>
      <c r="AS58" s="218">
        <f t="shared" si="124"/>
        <v>46227</v>
      </c>
      <c r="AT58" s="218">
        <f t="shared" si="124"/>
        <v>46228</v>
      </c>
      <c r="AU58" s="218">
        <f t="shared" si="124"/>
        <v>46229</v>
      </c>
      <c r="AV58" s="218">
        <f t="shared" si="124"/>
        <v>46230</v>
      </c>
      <c r="AW58" s="218">
        <f t="shared" si="124"/>
        <v>46231</v>
      </c>
      <c r="AX58" s="218">
        <f t="shared" si="124"/>
        <v>46232</v>
      </c>
      <c r="AY58" s="218">
        <f t="shared" si="124"/>
        <v>46233</v>
      </c>
      <c r="AZ58" s="218">
        <f t="shared" si="124"/>
        <v>46234</v>
      </c>
      <c r="BA58" s="218">
        <f t="shared" si="124"/>
        <v>46235</v>
      </c>
      <c r="BB58" s="218">
        <f t="shared" si="124"/>
        <v>46236</v>
      </c>
      <c r="BC58" s="218">
        <f t="shared" si="124"/>
        <v>46237</v>
      </c>
      <c r="BD58" s="218">
        <f t="shared" si="124"/>
        <v>46238</v>
      </c>
      <c r="BE58" s="218">
        <f t="shared" si="124"/>
        <v>46239</v>
      </c>
      <c r="BF58" s="218">
        <f t="shared" si="124"/>
        <v>46240</v>
      </c>
      <c r="BG58" s="218">
        <f t="shared" si="124"/>
        <v>46241</v>
      </c>
      <c r="BH58" s="218">
        <f t="shared" si="124"/>
        <v>46242</v>
      </c>
      <c r="BI58" s="218">
        <f t="shared" si="124"/>
        <v>46243</v>
      </c>
      <c r="BJ58" s="218">
        <f t="shared" si="124"/>
        <v>46244</v>
      </c>
      <c r="BK58" s="218">
        <f t="shared" si="124"/>
        <v>46245</v>
      </c>
      <c r="BL58" s="218">
        <f t="shared" si="124"/>
        <v>46246</v>
      </c>
      <c r="BM58" s="218">
        <f t="shared" si="124"/>
        <v>46247</v>
      </c>
      <c r="BN58" s="218">
        <f t="shared" si="124"/>
        <v>46248</v>
      </c>
      <c r="BO58" s="218">
        <f t="shared" si="124"/>
        <v>46249</v>
      </c>
      <c r="BP58" s="218">
        <f t="shared" si="124"/>
        <v>46250</v>
      </c>
      <c r="BQ58" s="218">
        <f t="shared" si="124"/>
        <v>46251</v>
      </c>
      <c r="BR58" s="218">
        <f t="shared" si="124"/>
        <v>46252</v>
      </c>
      <c r="BS58" s="218">
        <f t="shared" si="124"/>
        <v>46253</v>
      </c>
      <c r="BT58" s="218">
        <f t="shared" si="124"/>
        <v>46254</v>
      </c>
      <c r="BU58" s="218">
        <f t="shared" si="124"/>
        <v>46255</v>
      </c>
      <c r="BV58" s="218">
        <f t="shared" si="124"/>
        <v>46256</v>
      </c>
      <c r="BW58" s="218">
        <f t="shared" si="124"/>
        <v>46257</v>
      </c>
      <c r="BX58" s="218">
        <f t="shared" si="124"/>
        <v>46258</v>
      </c>
      <c r="BY58" s="218">
        <f t="shared" si="124"/>
        <v>46259</v>
      </c>
      <c r="BZ58" s="218">
        <f t="shared" si="124"/>
        <v>46260</v>
      </c>
      <c r="CA58" s="218">
        <f t="shared" si="124"/>
        <v>46261</v>
      </c>
      <c r="CB58" s="218">
        <f t="shared" ref="CB58:EM58" si="125">CA58+1</f>
        <v>46262</v>
      </c>
      <c r="CC58" s="218">
        <f t="shared" si="125"/>
        <v>46263</v>
      </c>
      <c r="CD58" s="218">
        <f t="shared" si="125"/>
        <v>46264</v>
      </c>
      <c r="CE58" s="218">
        <f t="shared" si="125"/>
        <v>46265</v>
      </c>
      <c r="CF58" s="218">
        <f t="shared" si="125"/>
        <v>46266</v>
      </c>
      <c r="CG58" s="218">
        <f t="shared" si="125"/>
        <v>46267</v>
      </c>
      <c r="CH58" s="218">
        <f t="shared" si="125"/>
        <v>46268</v>
      </c>
      <c r="CI58" s="218">
        <f t="shared" si="125"/>
        <v>46269</v>
      </c>
      <c r="CJ58" s="218">
        <f t="shared" si="125"/>
        <v>46270</v>
      </c>
      <c r="CK58" s="218">
        <f t="shared" si="125"/>
        <v>46271</v>
      </c>
      <c r="CL58" s="218">
        <f t="shared" si="125"/>
        <v>46272</v>
      </c>
      <c r="CM58" s="218">
        <f t="shared" si="125"/>
        <v>46273</v>
      </c>
      <c r="CN58" s="218">
        <f t="shared" si="125"/>
        <v>46274</v>
      </c>
      <c r="CO58" s="218">
        <f t="shared" si="125"/>
        <v>46275</v>
      </c>
      <c r="CP58" s="218">
        <f t="shared" si="125"/>
        <v>46276</v>
      </c>
      <c r="CQ58" s="218">
        <f t="shared" si="125"/>
        <v>46277</v>
      </c>
      <c r="CR58" s="218">
        <f t="shared" si="125"/>
        <v>46278</v>
      </c>
      <c r="CS58" s="218">
        <f t="shared" si="125"/>
        <v>46279</v>
      </c>
      <c r="CT58" s="218">
        <f t="shared" si="125"/>
        <v>46280</v>
      </c>
      <c r="CU58" s="218">
        <f t="shared" si="125"/>
        <v>46281</v>
      </c>
      <c r="CV58" s="218">
        <f t="shared" si="125"/>
        <v>46282</v>
      </c>
      <c r="CW58" s="218">
        <f t="shared" si="125"/>
        <v>46283</v>
      </c>
      <c r="CX58" s="218">
        <f t="shared" si="125"/>
        <v>46284</v>
      </c>
      <c r="CY58" s="218">
        <f t="shared" si="125"/>
        <v>46285</v>
      </c>
      <c r="CZ58" s="218">
        <f t="shared" si="125"/>
        <v>46286</v>
      </c>
      <c r="DA58" s="218">
        <f t="shared" si="125"/>
        <v>46287</v>
      </c>
      <c r="DB58" s="218">
        <f t="shared" si="125"/>
        <v>46288</v>
      </c>
      <c r="DC58" s="218">
        <f t="shared" si="125"/>
        <v>46289</v>
      </c>
      <c r="DD58" s="218">
        <f t="shared" si="125"/>
        <v>46290</v>
      </c>
      <c r="DE58" s="218">
        <f t="shared" si="125"/>
        <v>46291</v>
      </c>
      <c r="DF58" s="218">
        <f t="shared" si="125"/>
        <v>46292</v>
      </c>
      <c r="DG58" s="218">
        <f t="shared" si="125"/>
        <v>46293</v>
      </c>
      <c r="DH58" s="218">
        <f t="shared" si="125"/>
        <v>46294</v>
      </c>
      <c r="DI58" s="218">
        <f t="shared" si="125"/>
        <v>46295</v>
      </c>
      <c r="DJ58" s="218">
        <f t="shared" si="125"/>
        <v>46296</v>
      </c>
      <c r="DK58" s="218">
        <f t="shared" si="125"/>
        <v>46297</v>
      </c>
      <c r="DL58" s="218">
        <f t="shared" si="125"/>
        <v>46298</v>
      </c>
      <c r="DM58" s="218">
        <f t="shared" si="125"/>
        <v>46299</v>
      </c>
      <c r="DN58" s="218">
        <f t="shared" si="125"/>
        <v>46300</v>
      </c>
      <c r="DO58" s="218">
        <f t="shared" si="125"/>
        <v>46301</v>
      </c>
      <c r="DP58" s="218">
        <f t="shared" si="125"/>
        <v>46302</v>
      </c>
      <c r="DQ58" s="218">
        <f t="shared" si="125"/>
        <v>46303</v>
      </c>
      <c r="DR58" s="218">
        <f t="shared" si="125"/>
        <v>46304</v>
      </c>
      <c r="DS58" s="218">
        <f t="shared" si="125"/>
        <v>46305</v>
      </c>
      <c r="DT58" s="218">
        <f t="shared" si="125"/>
        <v>46306</v>
      </c>
      <c r="DU58" s="218">
        <f t="shared" si="125"/>
        <v>46307</v>
      </c>
      <c r="DV58" s="218">
        <f t="shared" si="125"/>
        <v>46308</v>
      </c>
      <c r="DW58" s="218">
        <f t="shared" si="125"/>
        <v>46309</v>
      </c>
      <c r="DX58" s="218">
        <f t="shared" si="125"/>
        <v>46310</v>
      </c>
      <c r="DY58" s="218">
        <f t="shared" si="125"/>
        <v>46311</v>
      </c>
      <c r="DZ58" s="218">
        <f t="shared" si="125"/>
        <v>46312</v>
      </c>
      <c r="EA58" s="218">
        <f t="shared" si="125"/>
        <v>46313</v>
      </c>
      <c r="EB58" s="218">
        <f t="shared" si="125"/>
        <v>46314</v>
      </c>
      <c r="EC58" s="218">
        <f t="shared" si="125"/>
        <v>46315</v>
      </c>
      <c r="ED58" s="218">
        <f t="shared" si="125"/>
        <v>46316</v>
      </c>
      <c r="EE58" s="218">
        <f t="shared" si="125"/>
        <v>46317</v>
      </c>
      <c r="EF58" s="218">
        <f t="shared" si="125"/>
        <v>46318</v>
      </c>
      <c r="EG58" s="218">
        <f t="shared" si="125"/>
        <v>46319</v>
      </c>
      <c r="EH58" s="218">
        <f t="shared" si="125"/>
        <v>46320</v>
      </c>
      <c r="EI58" s="218">
        <f t="shared" si="125"/>
        <v>46321</v>
      </c>
      <c r="EJ58" s="218">
        <f t="shared" si="125"/>
        <v>46322</v>
      </c>
      <c r="EK58" s="218">
        <f t="shared" si="125"/>
        <v>46323</v>
      </c>
      <c r="EL58" s="218">
        <f t="shared" si="125"/>
        <v>46324</v>
      </c>
      <c r="EM58" s="218">
        <f t="shared" si="125"/>
        <v>46325</v>
      </c>
      <c r="EN58" s="218">
        <f t="shared" ref="EN58:EO58" si="126">EM58+1</f>
        <v>46326</v>
      </c>
      <c r="EO58" s="218">
        <f t="shared" si="126"/>
        <v>46327</v>
      </c>
    </row>
    <row r="59" spans="1:147">
      <c r="A59" s="448"/>
      <c r="B59" s="451"/>
      <c r="C59" s="451"/>
      <c r="D59" s="456"/>
      <c r="E59" s="185" t="s">
        <v>64</v>
      </c>
      <c r="F59" s="66">
        <f>SUM('BESS 11'!S335:S342,'BESS 11'!S344)</f>
        <v>59.2</v>
      </c>
      <c r="G59" s="182">
        <f>H59-7</f>
        <v>46268</v>
      </c>
      <c r="H59" s="182">
        <f>MAX('BESS 11'!O335:O341,'BESS 11'!O344)</f>
        <v>46275</v>
      </c>
      <c r="I59" s="65">
        <f>H59-G59</f>
        <v>7</v>
      </c>
      <c r="J59" s="444">
        <f>K59*1.2</f>
        <v>105.6</v>
      </c>
      <c r="K59" s="444">
        <f>AVERAGEIF(M64:EO64,"&gt;0")</f>
        <v>88</v>
      </c>
      <c r="L59" s="444">
        <f>MAX(M64:EO64)</f>
        <v>160</v>
      </c>
      <c r="M59" s="65" t="str">
        <f t="shared" ref="M59:AB62" si="127">IF(AND(M$2&gt;=$G59,M$2&lt;($G59+$I59)),ROUND($F59/$I59,0),"-")</f>
        <v>-</v>
      </c>
      <c r="N59" s="65" t="str">
        <f t="shared" si="127"/>
        <v>-</v>
      </c>
      <c r="O59" s="65" t="str">
        <f t="shared" si="127"/>
        <v>-</v>
      </c>
      <c r="P59" s="65" t="str">
        <f t="shared" si="127"/>
        <v>-</v>
      </c>
      <c r="Q59" s="65" t="str">
        <f t="shared" si="127"/>
        <v>-</v>
      </c>
      <c r="R59" s="65" t="str">
        <f t="shared" si="127"/>
        <v>-</v>
      </c>
      <c r="S59" s="65" t="str">
        <f t="shared" si="127"/>
        <v>-</v>
      </c>
      <c r="T59" s="65" t="str">
        <f t="shared" si="127"/>
        <v>-</v>
      </c>
      <c r="U59" s="65" t="str">
        <f t="shared" si="127"/>
        <v>-</v>
      </c>
      <c r="V59" s="65" t="str">
        <f t="shared" si="127"/>
        <v>-</v>
      </c>
      <c r="W59" s="65" t="str">
        <f t="shared" si="127"/>
        <v>-</v>
      </c>
      <c r="X59" s="65" t="str">
        <f t="shared" si="127"/>
        <v>-</v>
      </c>
      <c r="Y59" s="65" t="str">
        <f t="shared" si="127"/>
        <v>-</v>
      </c>
      <c r="Z59" s="65" t="str">
        <f t="shared" si="127"/>
        <v>-</v>
      </c>
      <c r="AA59" s="65" t="str">
        <f t="shared" si="127"/>
        <v>-</v>
      </c>
      <c r="AB59" s="65" t="str">
        <f t="shared" si="127"/>
        <v>-</v>
      </c>
      <c r="AC59" s="65" t="str">
        <f t="shared" ref="AC59:AR62" si="128">IF(AND(AC$2&gt;=$G59,AC$2&lt;($G59+$I59)),ROUND($F59/$I59,0),"-")</f>
        <v>-</v>
      </c>
      <c r="AD59" s="65" t="str">
        <f t="shared" si="128"/>
        <v>-</v>
      </c>
      <c r="AE59" s="65" t="str">
        <f t="shared" si="128"/>
        <v>-</v>
      </c>
      <c r="AF59" s="65" t="str">
        <f t="shared" si="128"/>
        <v>-</v>
      </c>
      <c r="AG59" s="65" t="str">
        <f t="shared" si="128"/>
        <v>-</v>
      </c>
      <c r="AH59" s="65" t="str">
        <f t="shared" si="128"/>
        <v>-</v>
      </c>
      <c r="AI59" s="65" t="str">
        <f t="shared" si="128"/>
        <v>-</v>
      </c>
      <c r="AJ59" s="65" t="str">
        <f t="shared" si="128"/>
        <v>-</v>
      </c>
      <c r="AK59" s="65" t="str">
        <f t="shared" si="128"/>
        <v>-</v>
      </c>
      <c r="AL59" s="65" t="str">
        <f t="shared" si="128"/>
        <v>-</v>
      </c>
      <c r="AM59" s="65" t="str">
        <f t="shared" si="128"/>
        <v>-</v>
      </c>
      <c r="AN59" s="65" t="str">
        <f t="shared" si="128"/>
        <v>-</v>
      </c>
      <c r="AO59" s="65" t="str">
        <f t="shared" si="128"/>
        <v>-</v>
      </c>
      <c r="AP59" s="65" t="str">
        <f t="shared" si="128"/>
        <v>-</v>
      </c>
      <c r="AQ59" s="65" t="str">
        <f t="shared" si="128"/>
        <v>-</v>
      </c>
      <c r="AR59" s="65" t="str">
        <f t="shared" si="128"/>
        <v>-</v>
      </c>
      <c r="AS59" s="65" t="str">
        <f t="shared" ref="AS59:BH62" si="129">IF(AND(AS$2&gt;=$G59,AS$2&lt;($G59+$I59)),ROUND($F59/$I59,0),"-")</f>
        <v>-</v>
      </c>
      <c r="AT59" s="65" t="str">
        <f t="shared" si="129"/>
        <v>-</v>
      </c>
      <c r="AU59" s="65" t="str">
        <f t="shared" si="129"/>
        <v>-</v>
      </c>
      <c r="AV59" s="65" t="str">
        <f t="shared" si="129"/>
        <v>-</v>
      </c>
      <c r="AW59" s="65" t="str">
        <f t="shared" si="129"/>
        <v>-</v>
      </c>
      <c r="AX59" s="65" t="str">
        <f t="shared" si="129"/>
        <v>-</v>
      </c>
      <c r="AY59" s="65" t="str">
        <f t="shared" si="129"/>
        <v>-</v>
      </c>
      <c r="AZ59" s="65" t="str">
        <f t="shared" si="129"/>
        <v>-</v>
      </c>
      <c r="BA59" s="65" t="str">
        <f t="shared" si="129"/>
        <v>-</v>
      </c>
      <c r="BB59" s="65" t="str">
        <f t="shared" si="129"/>
        <v>-</v>
      </c>
      <c r="BC59" s="65" t="str">
        <f t="shared" si="129"/>
        <v>-</v>
      </c>
      <c r="BD59" s="65" t="str">
        <f t="shared" si="129"/>
        <v>-</v>
      </c>
      <c r="BE59" s="65" t="str">
        <f t="shared" si="129"/>
        <v>-</v>
      </c>
      <c r="BF59" s="65" t="str">
        <f t="shared" si="129"/>
        <v>-</v>
      </c>
      <c r="BG59" s="65" t="str">
        <f t="shared" si="129"/>
        <v>-</v>
      </c>
      <c r="BH59" s="65" t="str">
        <f t="shared" si="129"/>
        <v>-</v>
      </c>
      <c r="BI59" s="65" t="str">
        <f t="shared" ref="BI59:BX62" si="130">IF(AND(BI$2&gt;=$G59,BI$2&lt;($G59+$I59)),ROUND($F59/$I59,0),"-")</f>
        <v>-</v>
      </c>
      <c r="BJ59" s="65" t="str">
        <f t="shared" si="130"/>
        <v>-</v>
      </c>
      <c r="BK59" s="65" t="str">
        <f t="shared" si="130"/>
        <v>-</v>
      </c>
      <c r="BL59" s="65" t="str">
        <f t="shared" si="130"/>
        <v>-</v>
      </c>
      <c r="BM59" s="65" t="str">
        <f t="shared" si="130"/>
        <v>-</v>
      </c>
      <c r="BN59" s="65" t="str">
        <f t="shared" si="130"/>
        <v>-</v>
      </c>
      <c r="BO59" s="65" t="str">
        <f t="shared" si="130"/>
        <v>-</v>
      </c>
      <c r="BP59" s="65" t="str">
        <f t="shared" si="130"/>
        <v>-</v>
      </c>
      <c r="BQ59" s="65" t="str">
        <f t="shared" si="130"/>
        <v>-</v>
      </c>
      <c r="BR59" s="65" t="str">
        <f t="shared" si="130"/>
        <v>-</v>
      </c>
      <c r="BS59" s="65" t="str">
        <f t="shared" si="130"/>
        <v>-</v>
      </c>
      <c r="BT59" s="65" t="str">
        <f t="shared" si="130"/>
        <v>-</v>
      </c>
      <c r="BU59" s="65" t="str">
        <f t="shared" si="130"/>
        <v>-</v>
      </c>
      <c r="BV59" s="65" t="str">
        <f t="shared" si="130"/>
        <v>-</v>
      </c>
      <c r="BW59" s="65" t="str">
        <f t="shared" si="130"/>
        <v>-</v>
      </c>
      <c r="BX59" s="65" t="str">
        <f t="shared" si="130"/>
        <v>-</v>
      </c>
      <c r="BY59" s="65" t="str">
        <f t="shared" ref="BY59:CN62" si="131">IF(AND(BY$2&gt;=$G59,BY$2&lt;($G59+$I59)),ROUND($F59/$I59,0),"-")</f>
        <v>-</v>
      </c>
      <c r="BZ59" s="65" t="str">
        <f t="shared" si="131"/>
        <v>-</v>
      </c>
      <c r="CA59" s="65" t="str">
        <f t="shared" si="131"/>
        <v>-</v>
      </c>
      <c r="CB59" s="65" t="str">
        <f t="shared" si="131"/>
        <v>-</v>
      </c>
      <c r="CC59" s="65" t="str">
        <f t="shared" si="131"/>
        <v>-</v>
      </c>
      <c r="CD59" s="65" t="str">
        <f t="shared" si="131"/>
        <v>-</v>
      </c>
      <c r="CE59" s="65" t="str">
        <f t="shared" si="131"/>
        <v>-</v>
      </c>
      <c r="CF59" s="65" t="str">
        <f t="shared" si="131"/>
        <v>-</v>
      </c>
      <c r="CG59" s="65" t="str">
        <f t="shared" si="131"/>
        <v>-</v>
      </c>
      <c r="CH59" s="65">
        <f t="shared" si="131"/>
        <v>8</v>
      </c>
      <c r="CI59" s="65">
        <f t="shared" si="131"/>
        <v>8</v>
      </c>
      <c r="CJ59" s="65">
        <f t="shared" si="131"/>
        <v>8</v>
      </c>
      <c r="CK59" s="65">
        <f t="shared" si="131"/>
        <v>8</v>
      </c>
      <c r="CL59" s="65">
        <f t="shared" si="131"/>
        <v>8</v>
      </c>
      <c r="CM59" s="65">
        <f t="shared" si="131"/>
        <v>8</v>
      </c>
      <c r="CN59" s="65">
        <f t="shared" si="131"/>
        <v>8</v>
      </c>
      <c r="CO59" s="65" t="str">
        <f t="shared" ref="CO59:DD62" si="132">IF(AND(CO$2&gt;=$G59,CO$2&lt;($G59+$I59)),ROUND($F59/$I59,0),"-")</f>
        <v>-</v>
      </c>
      <c r="CP59" s="65" t="str">
        <f t="shared" si="132"/>
        <v>-</v>
      </c>
      <c r="CQ59" s="65" t="str">
        <f t="shared" si="132"/>
        <v>-</v>
      </c>
      <c r="CR59" s="65" t="str">
        <f t="shared" si="132"/>
        <v>-</v>
      </c>
      <c r="CS59" s="65" t="str">
        <f t="shared" si="132"/>
        <v>-</v>
      </c>
      <c r="CT59" s="65" t="str">
        <f t="shared" si="132"/>
        <v>-</v>
      </c>
      <c r="CU59" s="65" t="str">
        <f t="shared" si="132"/>
        <v>-</v>
      </c>
      <c r="CV59" s="65" t="str">
        <f t="shared" si="132"/>
        <v>-</v>
      </c>
      <c r="CW59" s="65" t="str">
        <f t="shared" si="132"/>
        <v>-</v>
      </c>
      <c r="CX59" s="65" t="str">
        <f t="shared" si="132"/>
        <v>-</v>
      </c>
      <c r="CY59" s="65" t="str">
        <f t="shared" si="132"/>
        <v>-</v>
      </c>
      <c r="CZ59" s="65" t="str">
        <f t="shared" si="132"/>
        <v>-</v>
      </c>
      <c r="DA59" s="65" t="str">
        <f t="shared" si="132"/>
        <v>-</v>
      </c>
      <c r="DB59" s="65" t="str">
        <f t="shared" si="132"/>
        <v>-</v>
      </c>
      <c r="DC59" s="65" t="str">
        <f t="shared" si="132"/>
        <v>-</v>
      </c>
      <c r="DD59" s="65" t="str">
        <f t="shared" si="132"/>
        <v>-</v>
      </c>
      <c r="DE59" s="65" t="str">
        <f t="shared" ref="DE59:DT62" si="133">IF(AND(DE$2&gt;=$G59,DE$2&lt;($G59+$I59)),ROUND($F59/$I59,0),"-")</f>
        <v>-</v>
      </c>
      <c r="DF59" s="65" t="str">
        <f t="shared" si="133"/>
        <v>-</v>
      </c>
      <c r="DG59" s="65" t="str">
        <f t="shared" si="133"/>
        <v>-</v>
      </c>
      <c r="DH59" s="65" t="str">
        <f t="shared" si="133"/>
        <v>-</v>
      </c>
      <c r="DI59" s="65" t="str">
        <f t="shared" si="133"/>
        <v>-</v>
      </c>
      <c r="DJ59" s="65" t="str">
        <f t="shared" si="133"/>
        <v>-</v>
      </c>
      <c r="DK59" s="65" t="str">
        <f t="shared" si="133"/>
        <v>-</v>
      </c>
      <c r="DL59" s="65" t="str">
        <f t="shared" si="133"/>
        <v>-</v>
      </c>
      <c r="DM59" s="65" t="str">
        <f t="shared" si="133"/>
        <v>-</v>
      </c>
      <c r="DN59" s="65" t="str">
        <f t="shared" si="133"/>
        <v>-</v>
      </c>
      <c r="DO59" s="65" t="str">
        <f t="shared" si="133"/>
        <v>-</v>
      </c>
      <c r="DP59" s="65" t="str">
        <f t="shared" si="133"/>
        <v>-</v>
      </c>
      <c r="DQ59" s="65" t="str">
        <f t="shared" si="133"/>
        <v>-</v>
      </c>
      <c r="DR59" s="65" t="str">
        <f t="shared" si="133"/>
        <v>-</v>
      </c>
      <c r="DS59" s="65" t="str">
        <f t="shared" si="133"/>
        <v>-</v>
      </c>
      <c r="DT59" s="65" t="str">
        <f t="shared" si="133"/>
        <v>-</v>
      </c>
      <c r="DU59" s="65" t="str">
        <f t="shared" ref="DU59:EJ62" si="134">IF(AND(DU$2&gt;=$G59,DU$2&lt;($G59+$I59)),ROUND($F59/$I59,0),"-")</f>
        <v>-</v>
      </c>
      <c r="DV59" s="65" t="str">
        <f t="shared" si="134"/>
        <v>-</v>
      </c>
      <c r="DW59" s="65" t="str">
        <f t="shared" si="134"/>
        <v>-</v>
      </c>
      <c r="DX59" s="65" t="str">
        <f t="shared" si="134"/>
        <v>-</v>
      </c>
      <c r="DY59" s="65" t="str">
        <f t="shared" si="134"/>
        <v>-</v>
      </c>
      <c r="DZ59" s="65" t="str">
        <f t="shared" si="134"/>
        <v>-</v>
      </c>
      <c r="EA59" s="65" t="str">
        <f t="shared" si="134"/>
        <v>-</v>
      </c>
      <c r="EB59" s="65" t="str">
        <f t="shared" si="134"/>
        <v>-</v>
      </c>
      <c r="EC59" s="65" t="str">
        <f t="shared" si="134"/>
        <v>-</v>
      </c>
      <c r="ED59" s="65" t="str">
        <f t="shared" si="134"/>
        <v>-</v>
      </c>
      <c r="EE59" s="65" t="str">
        <f t="shared" si="134"/>
        <v>-</v>
      </c>
      <c r="EF59" s="65" t="str">
        <f t="shared" si="134"/>
        <v>-</v>
      </c>
      <c r="EG59" s="65" t="str">
        <f t="shared" si="134"/>
        <v>-</v>
      </c>
      <c r="EH59" s="65" t="str">
        <f t="shared" si="134"/>
        <v>-</v>
      </c>
      <c r="EI59" s="65" t="str">
        <f t="shared" si="134"/>
        <v>-</v>
      </c>
      <c r="EJ59" s="65" t="str">
        <f t="shared" si="134"/>
        <v>-</v>
      </c>
      <c r="EK59" s="65" t="str">
        <f t="shared" ref="EK59:EO62" si="135">IF(AND(EK$2&gt;=$G59,EK$2&lt;($G59+$I59)),ROUND($F59/$I59,0),"-")</f>
        <v>-</v>
      </c>
      <c r="EL59" s="65" t="str">
        <f t="shared" si="135"/>
        <v>-</v>
      </c>
      <c r="EM59" s="65" t="str">
        <f t="shared" si="135"/>
        <v>-</v>
      </c>
      <c r="EN59" s="65" t="str">
        <f t="shared" si="135"/>
        <v>-</v>
      </c>
      <c r="EO59" s="65" t="str">
        <f t="shared" si="135"/>
        <v>-</v>
      </c>
    </row>
    <row r="60" spans="1:147">
      <c r="A60" s="448"/>
      <c r="B60" s="451"/>
      <c r="C60" s="451"/>
      <c r="D60" s="456"/>
      <c r="E60" s="185" t="s">
        <v>65</v>
      </c>
      <c r="F60" s="66">
        <f>SUM('BESS 11'!S345,'BESS 11'!S347:S348,'BESS 11'!S351:S353)</f>
        <v>1464.3285066666665</v>
      </c>
      <c r="G60" s="182">
        <v>46234</v>
      </c>
      <c r="H60" s="182">
        <f>MAX('BESS 11'!O345,'BESS 11'!O347:O348,'BESS 11'!O351:O353)</f>
        <v>46256</v>
      </c>
      <c r="I60" s="65">
        <f>H60-G60</f>
        <v>22</v>
      </c>
      <c r="J60" s="453"/>
      <c r="K60" s="453"/>
      <c r="L60" s="445"/>
      <c r="M60" s="65" t="str">
        <f t="shared" si="127"/>
        <v>-</v>
      </c>
      <c r="N60" s="65" t="str">
        <f t="shared" si="127"/>
        <v>-</v>
      </c>
      <c r="O60" s="65" t="str">
        <f t="shared" si="127"/>
        <v>-</v>
      </c>
      <c r="P60" s="65" t="str">
        <f t="shared" si="127"/>
        <v>-</v>
      </c>
      <c r="Q60" s="65" t="str">
        <f t="shared" si="127"/>
        <v>-</v>
      </c>
      <c r="R60" s="65" t="str">
        <f t="shared" si="127"/>
        <v>-</v>
      </c>
      <c r="S60" s="65" t="str">
        <f t="shared" si="127"/>
        <v>-</v>
      </c>
      <c r="T60" s="65" t="str">
        <f t="shared" si="127"/>
        <v>-</v>
      </c>
      <c r="U60" s="65" t="str">
        <f t="shared" si="127"/>
        <v>-</v>
      </c>
      <c r="V60" s="65" t="str">
        <f t="shared" si="127"/>
        <v>-</v>
      </c>
      <c r="W60" s="65" t="str">
        <f t="shared" si="127"/>
        <v>-</v>
      </c>
      <c r="X60" s="65" t="str">
        <f t="shared" si="127"/>
        <v>-</v>
      </c>
      <c r="Y60" s="65" t="str">
        <f t="shared" si="127"/>
        <v>-</v>
      </c>
      <c r="Z60" s="65" t="str">
        <f t="shared" si="127"/>
        <v>-</v>
      </c>
      <c r="AA60" s="65" t="str">
        <f t="shared" si="127"/>
        <v>-</v>
      </c>
      <c r="AB60" s="65" t="str">
        <f t="shared" si="127"/>
        <v>-</v>
      </c>
      <c r="AC60" s="65" t="str">
        <f t="shared" si="128"/>
        <v>-</v>
      </c>
      <c r="AD60" s="65" t="str">
        <f t="shared" si="128"/>
        <v>-</v>
      </c>
      <c r="AE60" s="65" t="str">
        <f t="shared" si="128"/>
        <v>-</v>
      </c>
      <c r="AF60" s="65" t="str">
        <f t="shared" si="128"/>
        <v>-</v>
      </c>
      <c r="AG60" s="65" t="str">
        <f t="shared" si="128"/>
        <v>-</v>
      </c>
      <c r="AH60" s="65" t="str">
        <f t="shared" si="128"/>
        <v>-</v>
      </c>
      <c r="AI60" s="65" t="str">
        <f t="shared" si="128"/>
        <v>-</v>
      </c>
      <c r="AJ60" s="65" t="str">
        <f t="shared" si="128"/>
        <v>-</v>
      </c>
      <c r="AK60" s="65" t="str">
        <f t="shared" si="128"/>
        <v>-</v>
      </c>
      <c r="AL60" s="65" t="str">
        <f t="shared" si="128"/>
        <v>-</v>
      </c>
      <c r="AM60" s="65" t="str">
        <f t="shared" si="128"/>
        <v>-</v>
      </c>
      <c r="AN60" s="65" t="str">
        <f t="shared" si="128"/>
        <v>-</v>
      </c>
      <c r="AO60" s="65" t="str">
        <f t="shared" si="128"/>
        <v>-</v>
      </c>
      <c r="AP60" s="65" t="str">
        <f t="shared" si="128"/>
        <v>-</v>
      </c>
      <c r="AQ60" s="65" t="str">
        <f t="shared" si="128"/>
        <v>-</v>
      </c>
      <c r="AR60" s="65" t="str">
        <f t="shared" si="128"/>
        <v>-</v>
      </c>
      <c r="AS60" s="65" t="str">
        <f t="shared" si="129"/>
        <v>-</v>
      </c>
      <c r="AT60" s="65" t="str">
        <f t="shared" si="129"/>
        <v>-</v>
      </c>
      <c r="AU60" s="65" t="str">
        <f t="shared" si="129"/>
        <v>-</v>
      </c>
      <c r="AV60" s="65" t="str">
        <f t="shared" si="129"/>
        <v>-</v>
      </c>
      <c r="AW60" s="65" t="str">
        <f t="shared" si="129"/>
        <v>-</v>
      </c>
      <c r="AX60" s="65" t="str">
        <f t="shared" si="129"/>
        <v>-</v>
      </c>
      <c r="AY60" s="65" t="str">
        <f t="shared" si="129"/>
        <v>-</v>
      </c>
      <c r="AZ60" s="65">
        <f t="shared" si="129"/>
        <v>67</v>
      </c>
      <c r="BA60" s="65">
        <f t="shared" si="129"/>
        <v>67</v>
      </c>
      <c r="BB60" s="65">
        <f t="shared" si="129"/>
        <v>67</v>
      </c>
      <c r="BC60" s="65">
        <f t="shared" si="129"/>
        <v>67</v>
      </c>
      <c r="BD60" s="65">
        <f t="shared" si="129"/>
        <v>67</v>
      </c>
      <c r="BE60" s="65">
        <f t="shared" si="129"/>
        <v>67</v>
      </c>
      <c r="BF60" s="65">
        <f t="shared" si="129"/>
        <v>67</v>
      </c>
      <c r="BG60" s="65">
        <f t="shared" si="129"/>
        <v>67</v>
      </c>
      <c r="BH60" s="65">
        <f t="shared" si="129"/>
        <v>67</v>
      </c>
      <c r="BI60" s="65">
        <f t="shared" si="130"/>
        <v>67</v>
      </c>
      <c r="BJ60" s="65">
        <f t="shared" si="130"/>
        <v>67</v>
      </c>
      <c r="BK60" s="65">
        <f t="shared" si="130"/>
        <v>67</v>
      </c>
      <c r="BL60" s="65">
        <f t="shared" si="130"/>
        <v>67</v>
      </c>
      <c r="BM60" s="65">
        <f t="shared" si="130"/>
        <v>67</v>
      </c>
      <c r="BN60" s="65">
        <f t="shared" si="130"/>
        <v>67</v>
      </c>
      <c r="BO60" s="65">
        <f t="shared" si="130"/>
        <v>67</v>
      </c>
      <c r="BP60" s="65">
        <f t="shared" si="130"/>
        <v>67</v>
      </c>
      <c r="BQ60" s="65">
        <f t="shared" si="130"/>
        <v>67</v>
      </c>
      <c r="BR60" s="65">
        <f t="shared" si="130"/>
        <v>67</v>
      </c>
      <c r="BS60" s="65">
        <f t="shared" si="130"/>
        <v>67</v>
      </c>
      <c r="BT60" s="65">
        <f t="shared" si="130"/>
        <v>67</v>
      </c>
      <c r="BU60" s="65">
        <f t="shared" si="130"/>
        <v>67</v>
      </c>
      <c r="BV60" s="65" t="str">
        <f t="shared" si="130"/>
        <v>-</v>
      </c>
      <c r="BW60" s="65" t="str">
        <f t="shared" si="130"/>
        <v>-</v>
      </c>
      <c r="BX60" s="65" t="str">
        <f t="shared" si="130"/>
        <v>-</v>
      </c>
      <c r="BY60" s="65" t="str">
        <f t="shared" si="131"/>
        <v>-</v>
      </c>
      <c r="BZ60" s="65" t="str">
        <f t="shared" si="131"/>
        <v>-</v>
      </c>
      <c r="CA60" s="65" t="str">
        <f t="shared" si="131"/>
        <v>-</v>
      </c>
      <c r="CB60" s="65" t="str">
        <f t="shared" si="131"/>
        <v>-</v>
      </c>
      <c r="CC60" s="65" t="str">
        <f t="shared" si="131"/>
        <v>-</v>
      </c>
      <c r="CD60" s="65" t="str">
        <f t="shared" si="131"/>
        <v>-</v>
      </c>
      <c r="CE60" s="65" t="str">
        <f t="shared" si="131"/>
        <v>-</v>
      </c>
      <c r="CF60" s="65" t="str">
        <f t="shared" si="131"/>
        <v>-</v>
      </c>
      <c r="CG60" s="65" t="str">
        <f t="shared" si="131"/>
        <v>-</v>
      </c>
      <c r="CH60" s="65" t="str">
        <f t="shared" si="131"/>
        <v>-</v>
      </c>
      <c r="CI60" s="65" t="str">
        <f t="shared" si="131"/>
        <v>-</v>
      </c>
      <c r="CJ60" s="65" t="str">
        <f t="shared" si="131"/>
        <v>-</v>
      </c>
      <c r="CK60" s="65" t="str">
        <f t="shared" si="131"/>
        <v>-</v>
      </c>
      <c r="CL60" s="65" t="str">
        <f t="shared" si="131"/>
        <v>-</v>
      </c>
      <c r="CM60" s="65" t="str">
        <f t="shared" si="131"/>
        <v>-</v>
      </c>
      <c r="CN60" s="65" t="str">
        <f t="shared" si="131"/>
        <v>-</v>
      </c>
      <c r="CO60" s="65" t="str">
        <f t="shared" si="132"/>
        <v>-</v>
      </c>
      <c r="CP60" s="65" t="str">
        <f t="shared" si="132"/>
        <v>-</v>
      </c>
      <c r="CQ60" s="65" t="str">
        <f t="shared" si="132"/>
        <v>-</v>
      </c>
      <c r="CR60" s="65" t="str">
        <f t="shared" si="132"/>
        <v>-</v>
      </c>
      <c r="CS60" s="65" t="str">
        <f t="shared" si="132"/>
        <v>-</v>
      </c>
      <c r="CT60" s="65" t="str">
        <f t="shared" si="132"/>
        <v>-</v>
      </c>
      <c r="CU60" s="65" t="str">
        <f t="shared" si="132"/>
        <v>-</v>
      </c>
      <c r="CV60" s="65" t="str">
        <f t="shared" si="132"/>
        <v>-</v>
      </c>
      <c r="CW60" s="65" t="str">
        <f t="shared" si="132"/>
        <v>-</v>
      </c>
      <c r="CX60" s="65" t="str">
        <f t="shared" si="132"/>
        <v>-</v>
      </c>
      <c r="CY60" s="65" t="str">
        <f t="shared" si="132"/>
        <v>-</v>
      </c>
      <c r="CZ60" s="65" t="str">
        <f t="shared" si="132"/>
        <v>-</v>
      </c>
      <c r="DA60" s="65" t="str">
        <f t="shared" si="132"/>
        <v>-</v>
      </c>
      <c r="DB60" s="65" t="str">
        <f t="shared" si="132"/>
        <v>-</v>
      </c>
      <c r="DC60" s="65" t="str">
        <f t="shared" si="132"/>
        <v>-</v>
      </c>
      <c r="DD60" s="65" t="str">
        <f t="shared" si="132"/>
        <v>-</v>
      </c>
      <c r="DE60" s="65" t="str">
        <f t="shared" si="133"/>
        <v>-</v>
      </c>
      <c r="DF60" s="65" t="str">
        <f t="shared" si="133"/>
        <v>-</v>
      </c>
      <c r="DG60" s="65" t="str">
        <f t="shared" si="133"/>
        <v>-</v>
      </c>
      <c r="DH60" s="65" t="str">
        <f t="shared" si="133"/>
        <v>-</v>
      </c>
      <c r="DI60" s="65" t="str">
        <f t="shared" si="133"/>
        <v>-</v>
      </c>
      <c r="DJ60" s="65" t="str">
        <f t="shared" si="133"/>
        <v>-</v>
      </c>
      <c r="DK60" s="65" t="str">
        <f t="shared" si="133"/>
        <v>-</v>
      </c>
      <c r="DL60" s="65" t="str">
        <f t="shared" si="133"/>
        <v>-</v>
      </c>
      <c r="DM60" s="65" t="str">
        <f t="shared" si="133"/>
        <v>-</v>
      </c>
      <c r="DN60" s="65" t="str">
        <f t="shared" si="133"/>
        <v>-</v>
      </c>
      <c r="DO60" s="65" t="str">
        <f t="shared" si="133"/>
        <v>-</v>
      </c>
      <c r="DP60" s="65" t="str">
        <f t="shared" si="133"/>
        <v>-</v>
      </c>
      <c r="DQ60" s="65" t="str">
        <f t="shared" si="133"/>
        <v>-</v>
      </c>
      <c r="DR60" s="65" t="str">
        <f t="shared" si="133"/>
        <v>-</v>
      </c>
      <c r="DS60" s="65" t="str">
        <f t="shared" si="133"/>
        <v>-</v>
      </c>
      <c r="DT60" s="65" t="str">
        <f t="shared" si="133"/>
        <v>-</v>
      </c>
      <c r="DU60" s="65" t="str">
        <f t="shared" si="134"/>
        <v>-</v>
      </c>
      <c r="DV60" s="65" t="str">
        <f t="shared" si="134"/>
        <v>-</v>
      </c>
      <c r="DW60" s="65" t="str">
        <f t="shared" si="134"/>
        <v>-</v>
      </c>
      <c r="DX60" s="65" t="str">
        <f t="shared" si="134"/>
        <v>-</v>
      </c>
      <c r="DY60" s="65" t="str">
        <f t="shared" si="134"/>
        <v>-</v>
      </c>
      <c r="DZ60" s="65" t="str">
        <f t="shared" si="134"/>
        <v>-</v>
      </c>
      <c r="EA60" s="65" t="str">
        <f t="shared" si="134"/>
        <v>-</v>
      </c>
      <c r="EB60" s="65" t="str">
        <f t="shared" si="134"/>
        <v>-</v>
      </c>
      <c r="EC60" s="65" t="str">
        <f t="shared" si="134"/>
        <v>-</v>
      </c>
      <c r="ED60" s="65" t="str">
        <f t="shared" si="134"/>
        <v>-</v>
      </c>
      <c r="EE60" s="65" t="str">
        <f t="shared" si="134"/>
        <v>-</v>
      </c>
      <c r="EF60" s="65" t="str">
        <f t="shared" si="134"/>
        <v>-</v>
      </c>
      <c r="EG60" s="65" t="str">
        <f t="shared" si="134"/>
        <v>-</v>
      </c>
      <c r="EH60" s="65" t="str">
        <f t="shared" si="134"/>
        <v>-</v>
      </c>
      <c r="EI60" s="65" t="str">
        <f t="shared" si="134"/>
        <v>-</v>
      </c>
      <c r="EJ60" s="65" t="str">
        <f t="shared" si="134"/>
        <v>-</v>
      </c>
      <c r="EK60" s="65" t="str">
        <f t="shared" si="135"/>
        <v>-</v>
      </c>
      <c r="EL60" s="65" t="str">
        <f t="shared" si="135"/>
        <v>-</v>
      </c>
      <c r="EM60" s="65" t="str">
        <f t="shared" si="135"/>
        <v>-</v>
      </c>
      <c r="EN60" s="65" t="str">
        <f t="shared" si="135"/>
        <v>-</v>
      </c>
      <c r="EO60" s="65" t="str">
        <f t="shared" si="135"/>
        <v>-</v>
      </c>
    </row>
    <row r="61" spans="1:147">
      <c r="A61" s="448"/>
      <c r="B61" s="451"/>
      <c r="C61" s="451"/>
      <c r="D61" s="456"/>
      <c r="E61" s="185" t="s">
        <v>66</v>
      </c>
      <c r="F61" s="66">
        <f>SUM('BESS 11'!S346,'BESS 11'!S349:S350,'BESS 11'!S354:S355)</f>
        <v>2453.6666666666665</v>
      </c>
      <c r="G61" s="182">
        <f>G59+1</f>
        <v>46269</v>
      </c>
      <c r="H61" s="182">
        <f>G61+20</f>
        <v>46289</v>
      </c>
      <c r="I61" s="65">
        <f>H61-G61</f>
        <v>20</v>
      </c>
      <c r="J61" s="453"/>
      <c r="K61" s="453"/>
      <c r="L61" s="445"/>
      <c r="M61" s="65" t="str">
        <f t="shared" si="127"/>
        <v>-</v>
      </c>
      <c r="N61" s="65" t="str">
        <f t="shared" si="127"/>
        <v>-</v>
      </c>
      <c r="O61" s="65" t="str">
        <f t="shared" si="127"/>
        <v>-</v>
      </c>
      <c r="P61" s="65" t="str">
        <f t="shared" si="127"/>
        <v>-</v>
      </c>
      <c r="Q61" s="65" t="str">
        <f t="shared" si="127"/>
        <v>-</v>
      </c>
      <c r="R61" s="65" t="str">
        <f t="shared" si="127"/>
        <v>-</v>
      </c>
      <c r="S61" s="65" t="str">
        <f t="shared" si="127"/>
        <v>-</v>
      </c>
      <c r="T61" s="65" t="str">
        <f t="shared" si="127"/>
        <v>-</v>
      </c>
      <c r="U61" s="65" t="str">
        <f t="shared" si="127"/>
        <v>-</v>
      </c>
      <c r="V61" s="65" t="str">
        <f t="shared" si="127"/>
        <v>-</v>
      </c>
      <c r="W61" s="65" t="str">
        <f t="shared" si="127"/>
        <v>-</v>
      </c>
      <c r="X61" s="65" t="str">
        <f t="shared" si="127"/>
        <v>-</v>
      </c>
      <c r="Y61" s="65" t="str">
        <f t="shared" si="127"/>
        <v>-</v>
      </c>
      <c r="Z61" s="65" t="str">
        <f t="shared" si="127"/>
        <v>-</v>
      </c>
      <c r="AA61" s="65" t="str">
        <f t="shared" si="127"/>
        <v>-</v>
      </c>
      <c r="AB61" s="65" t="str">
        <f t="shared" si="127"/>
        <v>-</v>
      </c>
      <c r="AC61" s="65" t="str">
        <f t="shared" si="128"/>
        <v>-</v>
      </c>
      <c r="AD61" s="65" t="str">
        <f t="shared" si="128"/>
        <v>-</v>
      </c>
      <c r="AE61" s="65" t="str">
        <f t="shared" si="128"/>
        <v>-</v>
      </c>
      <c r="AF61" s="65" t="str">
        <f t="shared" si="128"/>
        <v>-</v>
      </c>
      <c r="AG61" s="65" t="str">
        <f t="shared" si="128"/>
        <v>-</v>
      </c>
      <c r="AH61" s="65" t="str">
        <f t="shared" si="128"/>
        <v>-</v>
      </c>
      <c r="AI61" s="65" t="str">
        <f t="shared" si="128"/>
        <v>-</v>
      </c>
      <c r="AJ61" s="65" t="str">
        <f t="shared" si="128"/>
        <v>-</v>
      </c>
      <c r="AK61" s="65" t="str">
        <f t="shared" si="128"/>
        <v>-</v>
      </c>
      <c r="AL61" s="65" t="str">
        <f t="shared" si="128"/>
        <v>-</v>
      </c>
      <c r="AM61" s="65" t="str">
        <f t="shared" si="128"/>
        <v>-</v>
      </c>
      <c r="AN61" s="65" t="str">
        <f t="shared" si="128"/>
        <v>-</v>
      </c>
      <c r="AO61" s="65" t="str">
        <f t="shared" si="128"/>
        <v>-</v>
      </c>
      <c r="AP61" s="65" t="str">
        <f t="shared" si="128"/>
        <v>-</v>
      </c>
      <c r="AQ61" s="65" t="str">
        <f t="shared" si="128"/>
        <v>-</v>
      </c>
      <c r="AR61" s="65" t="str">
        <f t="shared" si="128"/>
        <v>-</v>
      </c>
      <c r="AS61" s="65" t="str">
        <f t="shared" si="129"/>
        <v>-</v>
      </c>
      <c r="AT61" s="65" t="str">
        <f t="shared" si="129"/>
        <v>-</v>
      </c>
      <c r="AU61" s="65" t="str">
        <f t="shared" si="129"/>
        <v>-</v>
      </c>
      <c r="AV61" s="65" t="str">
        <f t="shared" si="129"/>
        <v>-</v>
      </c>
      <c r="AW61" s="65" t="str">
        <f t="shared" si="129"/>
        <v>-</v>
      </c>
      <c r="AX61" s="65" t="str">
        <f t="shared" si="129"/>
        <v>-</v>
      </c>
      <c r="AY61" s="65" t="str">
        <f t="shared" si="129"/>
        <v>-</v>
      </c>
      <c r="AZ61" s="65" t="str">
        <f t="shared" si="129"/>
        <v>-</v>
      </c>
      <c r="BA61" s="65" t="str">
        <f t="shared" si="129"/>
        <v>-</v>
      </c>
      <c r="BB61" s="65" t="str">
        <f t="shared" si="129"/>
        <v>-</v>
      </c>
      <c r="BC61" s="65" t="str">
        <f t="shared" si="129"/>
        <v>-</v>
      </c>
      <c r="BD61" s="65" t="str">
        <f t="shared" si="129"/>
        <v>-</v>
      </c>
      <c r="BE61" s="65" t="str">
        <f t="shared" si="129"/>
        <v>-</v>
      </c>
      <c r="BF61" s="65" t="str">
        <f t="shared" si="129"/>
        <v>-</v>
      </c>
      <c r="BG61" s="65" t="str">
        <f t="shared" si="129"/>
        <v>-</v>
      </c>
      <c r="BH61" s="65" t="str">
        <f t="shared" si="129"/>
        <v>-</v>
      </c>
      <c r="BI61" s="65" t="str">
        <f t="shared" si="130"/>
        <v>-</v>
      </c>
      <c r="BJ61" s="65" t="str">
        <f t="shared" si="130"/>
        <v>-</v>
      </c>
      <c r="BK61" s="65" t="str">
        <f t="shared" si="130"/>
        <v>-</v>
      </c>
      <c r="BL61" s="65" t="str">
        <f t="shared" si="130"/>
        <v>-</v>
      </c>
      <c r="BM61" s="65" t="str">
        <f t="shared" si="130"/>
        <v>-</v>
      </c>
      <c r="BN61" s="65" t="str">
        <f t="shared" si="130"/>
        <v>-</v>
      </c>
      <c r="BO61" s="65" t="str">
        <f t="shared" si="130"/>
        <v>-</v>
      </c>
      <c r="BP61" s="65" t="str">
        <f t="shared" si="130"/>
        <v>-</v>
      </c>
      <c r="BQ61" s="65" t="str">
        <f t="shared" si="130"/>
        <v>-</v>
      </c>
      <c r="BR61" s="65" t="str">
        <f t="shared" si="130"/>
        <v>-</v>
      </c>
      <c r="BS61" s="65" t="str">
        <f t="shared" si="130"/>
        <v>-</v>
      </c>
      <c r="BT61" s="65" t="str">
        <f t="shared" si="130"/>
        <v>-</v>
      </c>
      <c r="BU61" s="65" t="str">
        <f t="shared" si="130"/>
        <v>-</v>
      </c>
      <c r="BV61" s="65" t="str">
        <f t="shared" si="130"/>
        <v>-</v>
      </c>
      <c r="BW61" s="65" t="str">
        <f t="shared" si="130"/>
        <v>-</v>
      </c>
      <c r="BX61" s="65" t="str">
        <f t="shared" si="130"/>
        <v>-</v>
      </c>
      <c r="BY61" s="65" t="str">
        <f t="shared" si="131"/>
        <v>-</v>
      </c>
      <c r="BZ61" s="65" t="str">
        <f t="shared" si="131"/>
        <v>-</v>
      </c>
      <c r="CA61" s="65" t="str">
        <f t="shared" si="131"/>
        <v>-</v>
      </c>
      <c r="CB61" s="65" t="str">
        <f t="shared" si="131"/>
        <v>-</v>
      </c>
      <c r="CC61" s="65" t="str">
        <f t="shared" si="131"/>
        <v>-</v>
      </c>
      <c r="CD61" s="65" t="str">
        <f t="shared" si="131"/>
        <v>-</v>
      </c>
      <c r="CE61" s="65" t="str">
        <f t="shared" si="131"/>
        <v>-</v>
      </c>
      <c r="CF61" s="65" t="str">
        <f t="shared" si="131"/>
        <v>-</v>
      </c>
      <c r="CG61" s="65" t="str">
        <f t="shared" si="131"/>
        <v>-</v>
      </c>
      <c r="CH61" s="65" t="str">
        <f t="shared" si="131"/>
        <v>-</v>
      </c>
      <c r="CI61" s="65">
        <f t="shared" si="131"/>
        <v>123</v>
      </c>
      <c r="CJ61" s="65">
        <f t="shared" si="131"/>
        <v>123</v>
      </c>
      <c r="CK61" s="65">
        <f t="shared" si="131"/>
        <v>123</v>
      </c>
      <c r="CL61" s="65">
        <f t="shared" si="131"/>
        <v>123</v>
      </c>
      <c r="CM61" s="65">
        <f t="shared" si="131"/>
        <v>123</v>
      </c>
      <c r="CN61" s="65">
        <f t="shared" si="131"/>
        <v>123</v>
      </c>
      <c r="CO61" s="65">
        <f t="shared" si="132"/>
        <v>123</v>
      </c>
      <c r="CP61" s="65">
        <f t="shared" si="132"/>
        <v>123</v>
      </c>
      <c r="CQ61" s="65">
        <f t="shared" si="132"/>
        <v>123</v>
      </c>
      <c r="CR61" s="65">
        <f t="shared" si="132"/>
        <v>123</v>
      </c>
      <c r="CS61" s="65">
        <f t="shared" si="132"/>
        <v>123</v>
      </c>
      <c r="CT61" s="65">
        <f t="shared" si="132"/>
        <v>123</v>
      </c>
      <c r="CU61" s="65">
        <f t="shared" si="132"/>
        <v>123</v>
      </c>
      <c r="CV61" s="65">
        <f t="shared" si="132"/>
        <v>123</v>
      </c>
      <c r="CW61" s="65">
        <f t="shared" si="132"/>
        <v>123</v>
      </c>
      <c r="CX61" s="65">
        <f t="shared" si="132"/>
        <v>123</v>
      </c>
      <c r="CY61" s="65">
        <f t="shared" si="132"/>
        <v>123</v>
      </c>
      <c r="CZ61" s="65">
        <f t="shared" si="132"/>
        <v>123</v>
      </c>
      <c r="DA61" s="65">
        <f t="shared" si="132"/>
        <v>123</v>
      </c>
      <c r="DB61" s="65">
        <f t="shared" si="132"/>
        <v>123</v>
      </c>
      <c r="DC61" s="65" t="str">
        <f t="shared" si="132"/>
        <v>-</v>
      </c>
      <c r="DD61" s="65" t="str">
        <f t="shared" si="132"/>
        <v>-</v>
      </c>
      <c r="DE61" s="65" t="str">
        <f t="shared" si="133"/>
        <v>-</v>
      </c>
      <c r="DF61" s="65" t="str">
        <f t="shared" si="133"/>
        <v>-</v>
      </c>
      <c r="DG61" s="65" t="str">
        <f t="shared" si="133"/>
        <v>-</v>
      </c>
      <c r="DH61" s="65" t="str">
        <f t="shared" si="133"/>
        <v>-</v>
      </c>
      <c r="DI61" s="65" t="str">
        <f t="shared" si="133"/>
        <v>-</v>
      </c>
      <c r="DJ61" s="65" t="str">
        <f t="shared" si="133"/>
        <v>-</v>
      </c>
      <c r="DK61" s="65" t="str">
        <f t="shared" si="133"/>
        <v>-</v>
      </c>
      <c r="DL61" s="65" t="str">
        <f t="shared" si="133"/>
        <v>-</v>
      </c>
      <c r="DM61" s="65" t="str">
        <f t="shared" si="133"/>
        <v>-</v>
      </c>
      <c r="DN61" s="65" t="str">
        <f t="shared" si="133"/>
        <v>-</v>
      </c>
      <c r="DO61" s="65" t="str">
        <f t="shared" si="133"/>
        <v>-</v>
      </c>
      <c r="DP61" s="65" t="str">
        <f t="shared" si="133"/>
        <v>-</v>
      </c>
      <c r="DQ61" s="65" t="str">
        <f t="shared" si="133"/>
        <v>-</v>
      </c>
      <c r="DR61" s="65" t="str">
        <f t="shared" si="133"/>
        <v>-</v>
      </c>
      <c r="DS61" s="65" t="str">
        <f t="shared" si="133"/>
        <v>-</v>
      </c>
      <c r="DT61" s="65" t="str">
        <f t="shared" si="133"/>
        <v>-</v>
      </c>
      <c r="DU61" s="65" t="str">
        <f t="shared" si="134"/>
        <v>-</v>
      </c>
      <c r="DV61" s="65" t="str">
        <f t="shared" si="134"/>
        <v>-</v>
      </c>
      <c r="DW61" s="65" t="str">
        <f t="shared" si="134"/>
        <v>-</v>
      </c>
      <c r="DX61" s="65" t="str">
        <f t="shared" si="134"/>
        <v>-</v>
      </c>
      <c r="DY61" s="65" t="str">
        <f t="shared" si="134"/>
        <v>-</v>
      </c>
      <c r="DZ61" s="65" t="str">
        <f t="shared" si="134"/>
        <v>-</v>
      </c>
      <c r="EA61" s="65" t="str">
        <f t="shared" si="134"/>
        <v>-</v>
      </c>
      <c r="EB61" s="65" t="str">
        <f t="shared" si="134"/>
        <v>-</v>
      </c>
      <c r="EC61" s="65" t="str">
        <f t="shared" si="134"/>
        <v>-</v>
      </c>
      <c r="ED61" s="65" t="str">
        <f t="shared" si="134"/>
        <v>-</v>
      </c>
      <c r="EE61" s="65" t="str">
        <f t="shared" si="134"/>
        <v>-</v>
      </c>
      <c r="EF61" s="65" t="str">
        <f t="shared" si="134"/>
        <v>-</v>
      </c>
      <c r="EG61" s="65" t="str">
        <f t="shared" si="134"/>
        <v>-</v>
      </c>
      <c r="EH61" s="65" t="str">
        <f t="shared" si="134"/>
        <v>-</v>
      </c>
      <c r="EI61" s="65" t="str">
        <f t="shared" si="134"/>
        <v>-</v>
      </c>
      <c r="EJ61" s="65" t="str">
        <f t="shared" si="134"/>
        <v>-</v>
      </c>
      <c r="EK61" s="65" t="str">
        <f t="shared" si="135"/>
        <v>-</v>
      </c>
      <c r="EL61" s="65" t="str">
        <f t="shared" si="135"/>
        <v>-</v>
      </c>
      <c r="EM61" s="65" t="str">
        <f t="shared" si="135"/>
        <v>-</v>
      </c>
      <c r="EN61" s="65" t="str">
        <f t="shared" si="135"/>
        <v>-</v>
      </c>
      <c r="EO61" s="65" t="str">
        <f t="shared" si="135"/>
        <v>-</v>
      </c>
    </row>
    <row r="62" spans="1:147">
      <c r="A62" s="448"/>
      <c r="B62" s="451"/>
      <c r="C62" s="451"/>
      <c r="D62" s="456"/>
      <c r="E62" s="185" t="s">
        <v>67</v>
      </c>
      <c r="F62" s="66">
        <f>SUM('BESS 11'!S358:S366)</f>
        <v>340.69333333333333</v>
      </c>
      <c r="G62" s="182">
        <f>H62-14</f>
        <v>46272</v>
      </c>
      <c r="H62" s="182">
        <f>MAX('BESS 11'!O358:O366)</f>
        <v>46286</v>
      </c>
      <c r="I62" s="65">
        <f>H62-G62</f>
        <v>14</v>
      </c>
      <c r="J62" s="453"/>
      <c r="K62" s="453"/>
      <c r="L62" s="445"/>
      <c r="M62" s="65" t="str">
        <f t="shared" si="127"/>
        <v>-</v>
      </c>
      <c r="N62" s="65" t="str">
        <f t="shared" si="127"/>
        <v>-</v>
      </c>
      <c r="O62" s="65" t="str">
        <f t="shared" si="127"/>
        <v>-</v>
      </c>
      <c r="P62" s="65" t="str">
        <f t="shared" si="127"/>
        <v>-</v>
      </c>
      <c r="Q62" s="65" t="str">
        <f t="shared" si="127"/>
        <v>-</v>
      </c>
      <c r="R62" s="65" t="str">
        <f t="shared" si="127"/>
        <v>-</v>
      </c>
      <c r="S62" s="65" t="str">
        <f t="shared" si="127"/>
        <v>-</v>
      </c>
      <c r="T62" s="65" t="str">
        <f t="shared" si="127"/>
        <v>-</v>
      </c>
      <c r="U62" s="65" t="str">
        <f t="shared" si="127"/>
        <v>-</v>
      </c>
      <c r="V62" s="65" t="str">
        <f t="shared" si="127"/>
        <v>-</v>
      </c>
      <c r="W62" s="65" t="str">
        <f t="shared" si="127"/>
        <v>-</v>
      </c>
      <c r="X62" s="65" t="str">
        <f t="shared" si="127"/>
        <v>-</v>
      </c>
      <c r="Y62" s="65" t="str">
        <f t="shared" si="127"/>
        <v>-</v>
      </c>
      <c r="Z62" s="65" t="str">
        <f t="shared" si="127"/>
        <v>-</v>
      </c>
      <c r="AA62" s="65" t="str">
        <f t="shared" si="127"/>
        <v>-</v>
      </c>
      <c r="AB62" s="65" t="str">
        <f t="shared" si="127"/>
        <v>-</v>
      </c>
      <c r="AC62" s="65" t="str">
        <f t="shared" si="128"/>
        <v>-</v>
      </c>
      <c r="AD62" s="65" t="str">
        <f t="shared" si="128"/>
        <v>-</v>
      </c>
      <c r="AE62" s="65" t="str">
        <f t="shared" si="128"/>
        <v>-</v>
      </c>
      <c r="AF62" s="65" t="str">
        <f t="shared" si="128"/>
        <v>-</v>
      </c>
      <c r="AG62" s="65" t="str">
        <f t="shared" si="128"/>
        <v>-</v>
      </c>
      <c r="AH62" s="65" t="str">
        <f t="shared" si="128"/>
        <v>-</v>
      </c>
      <c r="AI62" s="65" t="str">
        <f t="shared" si="128"/>
        <v>-</v>
      </c>
      <c r="AJ62" s="65" t="str">
        <f t="shared" si="128"/>
        <v>-</v>
      </c>
      <c r="AK62" s="65" t="str">
        <f t="shared" si="128"/>
        <v>-</v>
      </c>
      <c r="AL62" s="65" t="str">
        <f t="shared" si="128"/>
        <v>-</v>
      </c>
      <c r="AM62" s="65" t="str">
        <f t="shared" si="128"/>
        <v>-</v>
      </c>
      <c r="AN62" s="65" t="str">
        <f t="shared" si="128"/>
        <v>-</v>
      </c>
      <c r="AO62" s="65" t="str">
        <f t="shared" si="128"/>
        <v>-</v>
      </c>
      <c r="AP62" s="65" t="str">
        <f t="shared" si="128"/>
        <v>-</v>
      </c>
      <c r="AQ62" s="65" t="str">
        <f t="shared" si="128"/>
        <v>-</v>
      </c>
      <c r="AR62" s="65" t="str">
        <f t="shared" si="128"/>
        <v>-</v>
      </c>
      <c r="AS62" s="65" t="str">
        <f t="shared" si="129"/>
        <v>-</v>
      </c>
      <c r="AT62" s="65" t="str">
        <f t="shared" si="129"/>
        <v>-</v>
      </c>
      <c r="AU62" s="65" t="str">
        <f t="shared" si="129"/>
        <v>-</v>
      </c>
      <c r="AV62" s="65" t="str">
        <f t="shared" si="129"/>
        <v>-</v>
      </c>
      <c r="AW62" s="65" t="str">
        <f t="shared" si="129"/>
        <v>-</v>
      </c>
      <c r="AX62" s="65" t="str">
        <f t="shared" si="129"/>
        <v>-</v>
      </c>
      <c r="AY62" s="65" t="str">
        <f t="shared" si="129"/>
        <v>-</v>
      </c>
      <c r="AZ62" s="65" t="str">
        <f t="shared" si="129"/>
        <v>-</v>
      </c>
      <c r="BA62" s="65" t="str">
        <f t="shared" si="129"/>
        <v>-</v>
      </c>
      <c r="BB62" s="65" t="str">
        <f t="shared" si="129"/>
        <v>-</v>
      </c>
      <c r="BC62" s="65" t="str">
        <f t="shared" si="129"/>
        <v>-</v>
      </c>
      <c r="BD62" s="65" t="str">
        <f t="shared" si="129"/>
        <v>-</v>
      </c>
      <c r="BE62" s="65" t="str">
        <f t="shared" si="129"/>
        <v>-</v>
      </c>
      <c r="BF62" s="65" t="str">
        <f t="shared" si="129"/>
        <v>-</v>
      </c>
      <c r="BG62" s="65" t="str">
        <f t="shared" si="129"/>
        <v>-</v>
      </c>
      <c r="BH62" s="65" t="str">
        <f t="shared" si="129"/>
        <v>-</v>
      </c>
      <c r="BI62" s="65" t="str">
        <f t="shared" si="130"/>
        <v>-</v>
      </c>
      <c r="BJ62" s="65" t="str">
        <f t="shared" si="130"/>
        <v>-</v>
      </c>
      <c r="BK62" s="65" t="str">
        <f t="shared" si="130"/>
        <v>-</v>
      </c>
      <c r="BL62" s="65" t="str">
        <f t="shared" si="130"/>
        <v>-</v>
      </c>
      <c r="BM62" s="65" t="str">
        <f t="shared" si="130"/>
        <v>-</v>
      </c>
      <c r="BN62" s="65" t="str">
        <f t="shared" si="130"/>
        <v>-</v>
      </c>
      <c r="BO62" s="65" t="str">
        <f t="shared" si="130"/>
        <v>-</v>
      </c>
      <c r="BP62" s="65" t="str">
        <f t="shared" si="130"/>
        <v>-</v>
      </c>
      <c r="BQ62" s="65" t="str">
        <f t="shared" si="130"/>
        <v>-</v>
      </c>
      <c r="BR62" s="65" t="str">
        <f t="shared" si="130"/>
        <v>-</v>
      </c>
      <c r="BS62" s="65" t="str">
        <f t="shared" si="130"/>
        <v>-</v>
      </c>
      <c r="BT62" s="65" t="str">
        <f t="shared" si="130"/>
        <v>-</v>
      </c>
      <c r="BU62" s="65" t="str">
        <f t="shared" si="130"/>
        <v>-</v>
      </c>
      <c r="BV62" s="65" t="str">
        <f t="shared" si="130"/>
        <v>-</v>
      </c>
      <c r="BW62" s="65" t="str">
        <f t="shared" si="130"/>
        <v>-</v>
      </c>
      <c r="BX62" s="65" t="str">
        <f t="shared" si="130"/>
        <v>-</v>
      </c>
      <c r="BY62" s="65" t="str">
        <f t="shared" si="131"/>
        <v>-</v>
      </c>
      <c r="BZ62" s="65" t="str">
        <f t="shared" si="131"/>
        <v>-</v>
      </c>
      <c r="CA62" s="65" t="str">
        <f t="shared" si="131"/>
        <v>-</v>
      </c>
      <c r="CB62" s="65" t="str">
        <f t="shared" si="131"/>
        <v>-</v>
      </c>
      <c r="CC62" s="65" t="str">
        <f t="shared" si="131"/>
        <v>-</v>
      </c>
      <c r="CD62" s="65" t="str">
        <f t="shared" si="131"/>
        <v>-</v>
      </c>
      <c r="CE62" s="65" t="str">
        <f t="shared" si="131"/>
        <v>-</v>
      </c>
      <c r="CF62" s="65" t="str">
        <f t="shared" si="131"/>
        <v>-</v>
      </c>
      <c r="CG62" s="65" t="str">
        <f t="shared" si="131"/>
        <v>-</v>
      </c>
      <c r="CH62" s="65" t="str">
        <f t="shared" si="131"/>
        <v>-</v>
      </c>
      <c r="CI62" s="65" t="str">
        <f t="shared" si="131"/>
        <v>-</v>
      </c>
      <c r="CJ62" s="65" t="str">
        <f t="shared" si="131"/>
        <v>-</v>
      </c>
      <c r="CK62" s="164" t="str">
        <f t="shared" si="131"/>
        <v>-</v>
      </c>
      <c r="CL62" s="164">
        <f t="shared" si="131"/>
        <v>24</v>
      </c>
      <c r="CM62" s="164">
        <f t="shared" si="131"/>
        <v>24</v>
      </c>
      <c r="CN62" s="164">
        <f t="shared" si="131"/>
        <v>24</v>
      </c>
      <c r="CO62" s="164">
        <f t="shared" si="132"/>
        <v>24</v>
      </c>
      <c r="CP62" s="164">
        <f t="shared" si="132"/>
        <v>24</v>
      </c>
      <c r="CQ62" s="164">
        <f t="shared" si="132"/>
        <v>24</v>
      </c>
      <c r="CR62" s="164">
        <f t="shared" si="132"/>
        <v>24</v>
      </c>
      <c r="CS62" s="164">
        <f t="shared" si="132"/>
        <v>24</v>
      </c>
      <c r="CT62" s="164">
        <f t="shared" si="132"/>
        <v>24</v>
      </c>
      <c r="CU62" s="164">
        <f t="shared" si="132"/>
        <v>24</v>
      </c>
      <c r="CV62" s="164">
        <f t="shared" si="132"/>
        <v>24</v>
      </c>
      <c r="CW62" s="164">
        <f t="shared" si="132"/>
        <v>24</v>
      </c>
      <c r="CX62" s="164">
        <f t="shared" si="132"/>
        <v>24</v>
      </c>
      <c r="CY62" s="164">
        <f t="shared" si="132"/>
        <v>24</v>
      </c>
      <c r="CZ62" s="164" t="str">
        <f t="shared" si="132"/>
        <v>-</v>
      </c>
      <c r="DA62" s="164" t="str">
        <f t="shared" si="132"/>
        <v>-</v>
      </c>
      <c r="DB62" s="164" t="str">
        <f t="shared" si="132"/>
        <v>-</v>
      </c>
      <c r="DC62" s="164" t="str">
        <f t="shared" si="132"/>
        <v>-</v>
      </c>
      <c r="DD62" s="164" t="str">
        <f t="shared" si="132"/>
        <v>-</v>
      </c>
      <c r="DE62" s="164" t="str">
        <f t="shared" si="133"/>
        <v>-</v>
      </c>
      <c r="DF62" s="164" t="str">
        <f t="shared" si="133"/>
        <v>-</v>
      </c>
      <c r="DG62" s="164" t="str">
        <f t="shared" si="133"/>
        <v>-</v>
      </c>
      <c r="DH62" s="164" t="str">
        <f t="shared" si="133"/>
        <v>-</v>
      </c>
      <c r="DI62" s="164" t="str">
        <f t="shared" si="133"/>
        <v>-</v>
      </c>
      <c r="DJ62" s="164" t="str">
        <f t="shared" si="133"/>
        <v>-</v>
      </c>
      <c r="DK62" s="164" t="str">
        <f t="shared" si="133"/>
        <v>-</v>
      </c>
      <c r="DL62" s="164" t="str">
        <f t="shared" si="133"/>
        <v>-</v>
      </c>
      <c r="DM62" s="164" t="str">
        <f t="shared" si="133"/>
        <v>-</v>
      </c>
      <c r="DN62" s="164" t="str">
        <f t="shared" si="133"/>
        <v>-</v>
      </c>
      <c r="DO62" s="164" t="str">
        <f t="shared" si="133"/>
        <v>-</v>
      </c>
      <c r="DP62" s="164" t="str">
        <f t="shared" si="133"/>
        <v>-</v>
      </c>
      <c r="DQ62" s="164" t="str">
        <f t="shared" si="133"/>
        <v>-</v>
      </c>
      <c r="DR62" s="164" t="str">
        <f t="shared" si="133"/>
        <v>-</v>
      </c>
      <c r="DS62" s="164" t="str">
        <f t="shared" si="133"/>
        <v>-</v>
      </c>
      <c r="DT62" s="164" t="str">
        <f t="shared" si="133"/>
        <v>-</v>
      </c>
      <c r="DU62" s="164" t="str">
        <f t="shared" si="134"/>
        <v>-</v>
      </c>
      <c r="DV62" s="164" t="str">
        <f t="shared" si="134"/>
        <v>-</v>
      </c>
      <c r="DW62" s="164" t="str">
        <f t="shared" si="134"/>
        <v>-</v>
      </c>
      <c r="DX62" s="164" t="str">
        <f t="shared" si="134"/>
        <v>-</v>
      </c>
      <c r="DY62" s="164" t="str">
        <f t="shared" si="134"/>
        <v>-</v>
      </c>
      <c r="DZ62" s="164" t="str">
        <f t="shared" si="134"/>
        <v>-</v>
      </c>
      <c r="EA62" s="164" t="str">
        <f t="shared" si="134"/>
        <v>-</v>
      </c>
      <c r="EB62" s="164" t="str">
        <f t="shared" si="134"/>
        <v>-</v>
      </c>
      <c r="EC62" s="164" t="str">
        <f t="shared" si="134"/>
        <v>-</v>
      </c>
      <c r="ED62" s="164" t="str">
        <f t="shared" si="134"/>
        <v>-</v>
      </c>
      <c r="EE62" s="164" t="str">
        <f t="shared" si="134"/>
        <v>-</v>
      </c>
      <c r="EF62" s="164" t="str">
        <f t="shared" si="134"/>
        <v>-</v>
      </c>
      <c r="EG62" s="164" t="str">
        <f t="shared" si="134"/>
        <v>-</v>
      </c>
      <c r="EH62" s="164" t="str">
        <f t="shared" si="134"/>
        <v>-</v>
      </c>
      <c r="EI62" s="164" t="str">
        <f t="shared" si="134"/>
        <v>-</v>
      </c>
      <c r="EJ62" s="164" t="str">
        <f t="shared" si="134"/>
        <v>-</v>
      </c>
      <c r="EK62" s="164" t="str">
        <f t="shared" si="135"/>
        <v>-</v>
      </c>
      <c r="EL62" s="164" t="str">
        <f t="shared" si="135"/>
        <v>-</v>
      </c>
      <c r="EM62" s="164" t="str">
        <f t="shared" si="135"/>
        <v>-</v>
      </c>
      <c r="EN62" s="164" t="str">
        <f t="shared" si="135"/>
        <v>-</v>
      </c>
      <c r="EO62" s="164" t="str">
        <f t="shared" si="135"/>
        <v>-</v>
      </c>
    </row>
    <row r="63" spans="1:147">
      <c r="A63" s="449"/>
      <c r="B63" s="452"/>
      <c r="C63" s="452"/>
      <c r="D63" s="457"/>
      <c r="E63" s="185" t="s">
        <v>68</v>
      </c>
      <c r="F63" s="65">
        <v>250</v>
      </c>
      <c r="G63" s="185"/>
      <c r="H63" s="182">
        <f>B58-3</f>
        <v>46285</v>
      </c>
      <c r="I63" s="65">
        <v>30</v>
      </c>
      <c r="J63" s="454"/>
      <c r="K63" s="454"/>
      <c r="L63" s="446"/>
      <c r="M63" s="65" t="str">
        <f>IF(AND(M$2&gt;=$B$58-26,M$2&lt;=$B$58-3),5,IF(OR(M$2=$B$58-2,M$2=$B$58-1,M$2=$B$58,M$2=$B$58+1),30,IF(OR(M$2=$B$58+2,M$2=$B$58+3),5,"")))</f>
        <v/>
      </c>
      <c r="N63" s="65" t="str">
        <f t="shared" ref="N63:BY63" si="136">IF(AND(N$2&gt;=$B$58-26,N$2&lt;=$B$58-3),5,IF(OR(N$2=$B$58-2,N$2=$B$58-1,N$2=$B$58,N$2=$B$58+1),30,IF(OR(N$2=$B$58+2,N$2=$B$58+3),5,"")))</f>
        <v/>
      </c>
      <c r="O63" s="65" t="str">
        <f t="shared" si="136"/>
        <v/>
      </c>
      <c r="P63" s="65" t="str">
        <f t="shared" si="136"/>
        <v/>
      </c>
      <c r="Q63" s="65" t="str">
        <f t="shared" si="136"/>
        <v/>
      </c>
      <c r="R63" s="65" t="str">
        <f t="shared" si="136"/>
        <v/>
      </c>
      <c r="S63" s="65" t="str">
        <f t="shared" si="136"/>
        <v/>
      </c>
      <c r="T63" s="65" t="str">
        <f t="shared" si="136"/>
        <v/>
      </c>
      <c r="U63" s="65" t="str">
        <f t="shared" si="136"/>
        <v/>
      </c>
      <c r="V63" s="65" t="str">
        <f t="shared" si="136"/>
        <v/>
      </c>
      <c r="W63" s="65" t="str">
        <f t="shared" si="136"/>
        <v/>
      </c>
      <c r="X63" s="65" t="str">
        <f t="shared" si="136"/>
        <v/>
      </c>
      <c r="Y63" s="65" t="str">
        <f t="shared" si="136"/>
        <v/>
      </c>
      <c r="Z63" s="65" t="str">
        <f t="shared" si="136"/>
        <v/>
      </c>
      <c r="AA63" s="65" t="str">
        <f t="shared" si="136"/>
        <v/>
      </c>
      <c r="AB63" s="65" t="str">
        <f t="shared" si="136"/>
        <v/>
      </c>
      <c r="AC63" s="65" t="str">
        <f t="shared" si="136"/>
        <v/>
      </c>
      <c r="AD63" s="65" t="str">
        <f t="shared" si="136"/>
        <v/>
      </c>
      <c r="AE63" s="65" t="str">
        <f t="shared" si="136"/>
        <v/>
      </c>
      <c r="AF63" s="65" t="str">
        <f t="shared" si="136"/>
        <v/>
      </c>
      <c r="AG63" s="65" t="str">
        <f t="shared" si="136"/>
        <v/>
      </c>
      <c r="AH63" s="65" t="str">
        <f t="shared" si="136"/>
        <v/>
      </c>
      <c r="AI63" s="65" t="str">
        <f t="shared" si="136"/>
        <v/>
      </c>
      <c r="AJ63" s="65" t="str">
        <f t="shared" si="136"/>
        <v/>
      </c>
      <c r="AK63" s="65" t="str">
        <f t="shared" si="136"/>
        <v/>
      </c>
      <c r="AL63" s="65" t="str">
        <f t="shared" si="136"/>
        <v/>
      </c>
      <c r="AM63" s="65" t="str">
        <f t="shared" si="136"/>
        <v/>
      </c>
      <c r="AN63" s="65" t="str">
        <f t="shared" si="136"/>
        <v/>
      </c>
      <c r="AO63" s="65" t="str">
        <f t="shared" si="136"/>
        <v/>
      </c>
      <c r="AP63" s="65" t="str">
        <f t="shared" si="136"/>
        <v/>
      </c>
      <c r="AQ63" s="65" t="str">
        <f t="shared" si="136"/>
        <v/>
      </c>
      <c r="AR63" s="65" t="str">
        <f t="shared" si="136"/>
        <v/>
      </c>
      <c r="AS63" s="65" t="str">
        <f t="shared" si="136"/>
        <v/>
      </c>
      <c r="AT63" s="65" t="str">
        <f t="shared" si="136"/>
        <v/>
      </c>
      <c r="AU63" s="65" t="str">
        <f t="shared" si="136"/>
        <v/>
      </c>
      <c r="AV63" s="65" t="str">
        <f t="shared" si="136"/>
        <v/>
      </c>
      <c r="AW63" s="65" t="str">
        <f t="shared" si="136"/>
        <v/>
      </c>
      <c r="AX63" s="65" t="str">
        <f t="shared" si="136"/>
        <v/>
      </c>
      <c r="AY63" s="65" t="str">
        <f t="shared" si="136"/>
        <v/>
      </c>
      <c r="AZ63" s="65" t="str">
        <f t="shared" si="136"/>
        <v/>
      </c>
      <c r="BA63" s="65" t="str">
        <f t="shared" si="136"/>
        <v/>
      </c>
      <c r="BB63" s="65" t="str">
        <f t="shared" si="136"/>
        <v/>
      </c>
      <c r="BC63" s="65" t="str">
        <f t="shared" si="136"/>
        <v/>
      </c>
      <c r="BD63" s="65" t="str">
        <f t="shared" si="136"/>
        <v/>
      </c>
      <c r="BE63" s="65" t="str">
        <f t="shared" si="136"/>
        <v/>
      </c>
      <c r="BF63" s="65" t="str">
        <f t="shared" si="136"/>
        <v/>
      </c>
      <c r="BG63" s="65" t="str">
        <f t="shared" si="136"/>
        <v/>
      </c>
      <c r="BH63" s="65" t="str">
        <f t="shared" si="136"/>
        <v/>
      </c>
      <c r="BI63" s="65" t="str">
        <f t="shared" si="136"/>
        <v/>
      </c>
      <c r="BJ63" s="65" t="str">
        <f t="shared" si="136"/>
        <v/>
      </c>
      <c r="BK63" s="65" t="str">
        <f t="shared" si="136"/>
        <v/>
      </c>
      <c r="BL63" s="65" t="str">
        <f t="shared" si="136"/>
        <v/>
      </c>
      <c r="BM63" s="65" t="str">
        <f t="shared" si="136"/>
        <v/>
      </c>
      <c r="BN63" s="65" t="str">
        <f t="shared" si="136"/>
        <v/>
      </c>
      <c r="BO63" s="65" t="str">
        <f t="shared" si="136"/>
        <v/>
      </c>
      <c r="BP63" s="65" t="str">
        <f t="shared" si="136"/>
        <v/>
      </c>
      <c r="BQ63" s="65" t="str">
        <f t="shared" si="136"/>
        <v/>
      </c>
      <c r="BR63" s="65" t="str">
        <f t="shared" si="136"/>
        <v/>
      </c>
      <c r="BS63" s="65" t="str">
        <f t="shared" si="136"/>
        <v/>
      </c>
      <c r="BT63" s="65" t="str">
        <f t="shared" si="136"/>
        <v/>
      </c>
      <c r="BU63" s="65" t="str">
        <f t="shared" si="136"/>
        <v/>
      </c>
      <c r="BV63" s="65" t="str">
        <f t="shared" si="136"/>
        <v/>
      </c>
      <c r="BW63" s="65" t="str">
        <f t="shared" si="136"/>
        <v/>
      </c>
      <c r="BX63" s="65" t="str">
        <f t="shared" si="136"/>
        <v/>
      </c>
      <c r="BY63" s="65" t="str">
        <f t="shared" si="136"/>
        <v/>
      </c>
      <c r="BZ63" s="65" t="str">
        <f t="shared" ref="BZ63:EK63" si="137">IF(AND(BZ$2&gt;=$B$58-26,BZ$2&lt;=$B$58-3),5,IF(OR(BZ$2=$B$58-2,BZ$2=$B$58-1,BZ$2=$B$58,BZ$2=$B$58+1),30,IF(OR(BZ$2=$B$58+2,BZ$2=$B$58+3),5,"")))</f>
        <v/>
      </c>
      <c r="CA63" s="65" t="str">
        <f t="shared" si="137"/>
        <v/>
      </c>
      <c r="CB63" s="65">
        <f t="shared" si="137"/>
        <v>5</v>
      </c>
      <c r="CC63" s="65">
        <f t="shared" si="137"/>
        <v>5</v>
      </c>
      <c r="CD63" s="65">
        <f t="shared" si="137"/>
        <v>5</v>
      </c>
      <c r="CE63" s="65">
        <f t="shared" si="137"/>
        <v>5</v>
      </c>
      <c r="CF63" s="65">
        <f t="shared" si="137"/>
        <v>5</v>
      </c>
      <c r="CG63" s="65">
        <f t="shared" si="137"/>
        <v>5</v>
      </c>
      <c r="CH63" s="65">
        <f t="shared" si="137"/>
        <v>5</v>
      </c>
      <c r="CI63" s="65">
        <f t="shared" si="137"/>
        <v>5</v>
      </c>
      <c r="CJ63" s="65">
        <f t="shared" si="137"/>
        <v>5</v>
      </c>
      <c r="CK63" s="65">
        <f t="shared" si="137"/>
        <v>5</v>
      </c>
      <c r="CL63" s="65">
        <f t="shared" si="137"/>
        <v>5</v>
      </c>
      <c r="CM63" s="65">
        <f t="shared" si="137"/>
        <v>5</v>
      </c>
      <c r="CN63" s="65">
        <f t="shared" si="137"/>
        <v>5</v>
      </c>
      <c r="CO63" s="65">
        <f t="shared" si="137"/>
        <v>5</v>
      </c>
      <c r="CP63" s="65">
        <f t="shared" si="137"/>
        <v>5</v>
      </c>
      <c r="CQ63" s="65">
        <f t="shared" si="137"/>
        <v>5</v>
      </c>
      <c r="CR63" s="65">
        <f t="shared" si="137"/>
        <v>5</v>
      </c>
      <c r="CS63" s="65">
        <f t="shared" si="137"/>
        <v>5</v>
      </c>
      <c r="CT63" s="65">
        <f t="shared" si="137"/>
        <v>5</v>
      </c>
      <c r="CU63" s="65">
        <f t="shared" si="137"/>
        <v>5</v>
      </c>
      <c r="CV63" s="65">
        <f t="shared" si="137"/>
        <v>5</v>
      </c>
      <c r="CW63" s="65">
        <f t="shared" si="137"/>
        <v>5</v>
      </c>
      <c r="CX63" s="65">
        <f t="shared" si="137"/>
        <v>5</v>
      </c>
      <c r="CY63" s="65">
        <f t="shared" si="137"/>
        <v>5</v>
      </c>
      <c r="CZ63" s="65">
        <f t="shared" si="137"/>
        <v>30</v>
      </c>
      <c r="DA63" s="65">
        <f t="shared" si="137"/>
        <v>30</v>
      </c>
      <c r="DB63" s="65">
        <f t="shared" si="137"/>
        <v>30</v>
      </c>
      <c r="DC63" s="65">
        <f t="shared" si="137"/>
        <v>30</v>
      </c>
      <c r="DD63" s="65">
        <f t="shared" si="137"/>
        <v>5</v>
      </c>
      <c r="DE63" s="65">
        <f t="shared" si="137"/>
        <v>5</v>
      </c>
      <c r="DF63" s="65" t="str">
        <f t="shared" si="137"/>
        <v/>
      </c>
      <c r="DG63" s="65" t="str">
        <f t="shared" si="137"/>
        <v/>
      </c>
      <c r="DH63" s="65" t="str">
        <f t="shared" si="137"/>
        <v/>
      </c>
      <c r="DI63" s="65" t="str">
        <f t="shared" si="137"/>
        <v/>
      </c>
      <c r="DJ63" s="65" t="str">
        <f t="shared" si="137"/>
        <v/>
      </c>
      <c r="DK63" s="65" t="str">
        <f t="shared" si="137"/>
        <v/>
      </c>
      <c r="DL63" s="65" t="str">
        <f t="shared" si="137"/>
        <v/>
      </c>
      <c r="DM63" s="65" t="str">
        <f t="shared" si="137"/>
        <v/>
      </c>
      <c r="DN63" s="65" t="str">
        <f t="shared" si="137"/>
        <v/>
      </c>
      <c r="DO63" s="65" t="str">
        <f t="shared" si="137"/>
        <v/>
      </c>
      <c r="DP63" s="65" t="str">
        <f t="shared" si="137"/>
        <v/>
      </c>
      <c r="DQ63" s="65" t="str">
        <f t="shared" si="137"/>
        <v/>
      </c>
      <c r="DR63" s="65" t="str">
        <f t="shared" si="137"/>
        <v/>
      </c>
      <c r="DS63" s="65" t="str">
        <f t="shared" si="137"/>
        <v/>
      </c>
      <c r="DT63" s="65" t="str">
        <f t="shared" si="137"/>
        <v/>
      </c>
      <c r="DU63" s="65" t="str">
        <f t="shared" si="137"/>
        <v/>
      </c>
      <c r="DV63" s="65" t="str">
        <f t="shared" si="137"/>
        <v/>
      </c>
      <c r="DW63" s="65" t="str">
        <f t="shared" si="137"/>
        <v/>
      </c>
      <c r="DX63" s="65" t="str">
        <f t="shared" si="137"/>
        <v/>
      </c>
      <c r="DY63" s="65" t="str">
        <f t="shared" si="137"/>
        <v/>
      </c>
      <c r="DZ63" s="65" t="str">
        <f t="shared" si="137"/>
        <v/>
      </c>
      <c r="EA63" s="65" t="str">
        <f t="shared" si="137"/>
        <v/>
      </c>
      <c r="EB63" s="65" t="str">
        <f t="shared" si="137"/>
        <v/>
      </c>
      <c r="EC63" s="65" t="str">
        <f t="shared" si="137"/>
        <v/>
      </c>
      <c r="ED63" s="65" t="str">
        <f t="shared" si="137"/>
        <v/>
      </c>
      <c r="EE63" s="65" t="str">
        <f t="shared" si="137"/>
        <v/>
      </c>
      <c r="EF63" s="65" t="str">
        <f t="shared" si="137"/>
        <v/>
      </c>
      <c r="EG63" s="65" t="str">
        <f t="shared" si="137"/>
        <v/>
      </c>
      <c r="EH63" s="65" t="str">
        <f t="shared" si="137"/>
        <v/>
      </c>
      <c r="EI63" s="65" t="str">
        <f t="shared" si="137"/>
        <v/>
      </c>
      <c r="EJ63" s="65" t="str">
        <f t="shared" si="137"/>
        <v/>
      </c>
      <c r="EK63" s="65" t="str">
        <f t="shared" si="137"/>
        <v/>
      </c>
      <c r="EL63" s="65" t="str">
        <f t="shared" ref="EL63:EO63" si="138">IF(AND(EL$2&gt;=$B$58-26,EL$2&lt;=$B$58-3),5,IF(OR(EL$2=$B$58-2,EL$2=$B$58-1,EL$2=$B$58,EL$2=$B$58+1),30,IF(OR(EL$2=$B$58+2,EL$2=$B$58+3),5,"")))</f>
        <v/>
      </c>
      <c r="EM63" s="65" t="str">
        <f t="shared" si="138"/>
        <v/>
      </c>
      <c r="EN63" s="65" t="str">
        <f t="shared" si="138"/>
        <v/>
      </c>
      <c r="EO63" s="65" t="str">
        <f t="shared" si="138"/>
        <v/>
      </c>
    </row>
    <row r="64" spans="1:147" s="207" customFormat="1" ht="13.5" customHeight="1">
      <c r="A64" s="236"/>
      <c r="B64" s="209"/>
      <c r="E64" s="201"/>
      <c r="F64" s="201"/>
      <c r="G64" s="204" t="s">
        <v>69</v>
      </c>
      <c r="H64" s="203"/>
      <c r="I64" s="203"/>
      <c r="J64" s="203"/>
      <c r="K64" s="230"/>
      <c r="L64" s="230"/>
      <c r="M64" s="205">
        <f>SUM(M59:M63)</f>
        <v>0</v>
      </c>
      <c r="N64" s="205">
        <f>SUM(N59:N63)</f>
        <v>0</v>
      </c>
      <c r="O64" s="205">
        <f>SUM(O59:O63)</f>
        <v>0</v>
      </c>
      <c r="P64" s="205">
        <f t="shared" ref="P64:CA64" si="139">SUM(P59:P63)</f>
        <v>0</v>
      </c>
      <c r="Q64" s="205">
        <f t="shared" si="139"/>
        <v>0</v>
      </c>
      <c r="R64" s="205">
        <f t="shared" si="139"/>
        <v>0</v>
      </c>
      <c r="S64" s="205">
        <f t="shared" si="139"/>
        <v>0</v>
      </c>
      <c r="T64" s="205">
        <f t="shared" si="139"/>
        <v>0</v>
      </c>
      <c r="U64" s="205">
        <f t="shared" si="139"/>
        <v>0</v>
      </c>
      <c r="V64" s="205">
        <f t="shared" si="139"/>
        <v>0</v>
      </c>
      <c r="W64" s="205">
        <f t="shared" si="139"/>
        <v>0</v>
      </c>
      <c r="X64" s="205">
        <f t="shared" si="139"/>
        <v>0</v>
      </c>
      <c r="Y64" s="205">
        <f t="shared" si="139"/>
        <v>0</v>
      </c>
      <c r="Z64" s="205">
        <f t="shared" si="139"/>
        <v>0</v>
      </c>
      <c r="AA64" s="205">
        <f t="shared" si="139"/>
        <v>0</v>
      </c>
      <c r="AB64" s="205">
        <f t="shared" si="139"/>
        <v>0</v>
      </c>
      <c r="AC64" s="205">
        <f t="shared" si="139"/>
        <v>0</v>
      </c>
      <c r="AD64" s="205">
        <f t="shared" si="139"/>
        <v>0</v>
      </c>
      <c r="AE64" s="205">
        <f t="shared" si="139"/>
        <v>0</v>
      </c>
      <c r="AF64" s="205">
        <f t="shared" si="139"/>
        <v>0</v>
      </c>
      <c r="AG64" s="205">
        <f t="shared" si="139"/>
        <v>0</v>
      </c>
      <c r="AH64" s="205">
        <f t="shared" si="139"/>
        <v>0</v>
      </c>
      <c r="AI64" s="205">
        <f t="shared" si="139"/>
        <v>0</v>
      </c>
      <c r="AJ64" s="205">
        <f t="shared" si="139"/>
        <v>0</v>
      </c>
      <c r="AK64" s="205">
        <f t="shared" si="139"/>
        <v>0</v>
      </c>
      <c r="AL64" s="205">
        <f t="shared" si="139"/>
        <v>0</v>
      </c>
      <c r="AM64" s="205">
        <f t="shared" si="139"/>
        <v>0</v>
      </c>
      <c r="AN64" s="205">
        <f t="shared" si="139"/>
        <v>0</v>
      </c>
      <c r="AO64" s="205">
        <f t="shared" si="139"/>
        <v>0</v>
      </c>
      <c r="AP64" s="205">
        <f t="shared" si="139"/>
        <v>0</v>
      </c>
      <c r="AQ64" s="205">
        <f t="shared" si="139"/>
        <v>0</v>
      </c>
      <c r="AR64" s="205">
        <f t="shared" si="139"/>
        <v>0</v>
      </c>
      <c r="AS64" s="205">
        <f t="shared" si="139"/>
        <v>0</v>
      </c>
      <c r="AT64" s="205">
        <f t="shared" si="139"/>
        <v>0</v>
      </c>
      <c r="AU64" s="205">
        <f t="shared" si="139"/>
        <v>0</v>
      </c>
      <c r="AV64" s="205">
        <f t="shared" si="139"/>
        <v>0</v>
      </c>
      <c r="AW64" s="205">
        <f t="shared" si="139"/>
        <v>0</v>
      </c>
      <c r="AX64" s="205">
        <f t="shared" si="139"/>
        <v>0</v>
      </c>
      <c r="AY64" s="205">
        <f t="shared" si="139"/>
        <v>0</v>
      </c>
      <c r="AZ64" s="205">
        <f t="shared" si="139"/>
        <v>67</v>
      </c>
      <c r="BA64" s="205">
        <f t="shared" si="139"/>
        <v>67</v>
      </c>
      <c r="BB64" s="205">
        <f t="shared" si="139"/>
        <v>67</v>
      </c>
      <c r="BC64" s="205">
        <f t="shared" si="139"/>
        <v>67</v>
      </c>
      <c r="BD64" s="205">
        <f t="shared" si="139"/>
        <v>67</v>
      </c>
      <c r="BE64" s="205">
        <f t="shared" si="139"/>
        <v>67</v>
      </c>
      <c r="BF64" s="205">
        <f t="shared" si="139"/>
        <v>67</v>
      </c>
      <c r="BG64" s="205">
        <f t="shared" si="139"/>
        <v>67</v>
      </c>
      <c r="BH64" s="205">
        <f t="shared" si="139"/>
        <v>67</v>
      </c>
      <c r="BI64" s="205">
        <f t="shared" si="139"/>
        <v>67</v>
      </c>
      <c r="BJ64" s="205">
        <f t="shared" si="139"/>
        <v>67</v>
      </c>
      <c r="BK64" s="205">
        <f t="shared" si="139"/>
        <v>67</v>
      </c>
      <c r="BL64" s="205">
        <f t="shared" si="139"/>
        <v>67</v>
      </c>
      <c r="BM64" s="205">
        <f t="shared" si="139"/>
        <v>67</v>
      </c>
      <c r="BN64" s="205">
        <f t="shared" si="139"/>
        <v>67</v>
      </c>
      <c r="BO64" s="205">
        <f t="shared" si="139"/>
        <v>67</v>
      </c>
      <c r="BP64" s="205">
        <f t="shared" si="139"/>
        <v>67</v>
      </c>
      <c r="BQ64" s="205">
        <f t="shared" si="139"/>
        <v>67</v>
      </c>
      <c r="BR64" s="205">
        <f t="shared" si="139"/>
        <v>67</v>
      </c>
      <c r="BS64" s="205">
        <f t="shared" si="139"/>
        <v>67</v>
      </c>
      <c r="BT64" s="205">
        <f t="shared" si="139"/>
        <v>67</v>
      </c>
      <c r="BU64" s="205">
        <f t="shared" si="139"/>
        <v>67</v>
      </c>
      <c r="BV64" s="205">
        <f t="shared" si="139"/>
        <v>0</v>
      </c>
      <c r="BW64" s="205">
        <f t="shared" si="139"/>
        <v>0</v>
      </c>
      <c r="BX64" s="205">
        <f t="shared" si="139"/>
        <v>0</v>
      </c>
      <c r="BY64" s="205">
        <f t="shared" si="139"/>
        <v>0</v>
      </c>
      <c r="BZ64" s="205">
        <f t="shared" si="139"/>
        <v>0</v>
      </c>
      <c r="CA64" s="205">
        <f t="shared" si="139"/>
        <v>0</v>
      </c>
      <c r="CB64" s="205">
        <f t="shared" ref="CB64:EM64" si="140">SUM(CB59:CB63)</f>
        <v>5</v>
      </c>
      <c r="CC64" s="205">
        <f t="shared" si="140"/>
        <v>5</v>
      </c>
      <c r="CD64" s="205">
        <f t="shared" si="140"/>
        <v>5</v>
      </c>
      <c r="CE64" s="205">
        <f t="shared" si="140"/>
        <v>5</v>
      </c>
      <c r="CF64" s="205">
        <f t="shared" si="140"/>
        <v>5</v>
      </c>
      <c r="CG64" s="205">
        <f t="shared" si="140"/>
        <v>5</v>
      </c>
      <c r="CH64" s="205">
        <f t="shared" si="140"/>
        <v>13</v>
      </c>
      <c r="CI64" s="205">
        <f t="shared" si="140"/>
        <v>136</v>
      </c>
      <c r="CJ64" s="205">
        <f t="shared" si="140"/>
        <v>136</v>
      </c>
      <c r="CK64" s="205">
        <f t="shared" si="140"/>
        <v>136</v>
      </c>
      <c r="CL64" s="205">
        <f t="shared" si="140"/>
        <v>160</v>
      </c>
      <c r="CM64" s="205">
        <f t="shared" si="140"/>
        <v>160</v>
      </c>
      <c r="CN64" s="205">
        <f t="shared" si="140"/>
        <v>160</v>
      </c>
      <c r="CO64" s="205">
        <f t="shared" si="140"/>
        <v>152</v>
      </c>
      <c r="CP64" s="205">
        <f t="shared" si="140"/>
        <v>152</v>
      </c>
      <c r="CQ64" s="205">
        <f t="shared" si="140"/>
        <v>152</v>
      </c>
      <c r="CR64" s="205">
        <f t="shared" si="140"/>
        <v>152</v>
      </c>
      <c r="CS64" s="205">
        <f t="shared" si="140"/>
        <v>152</v>
      </c>
      <c r="CT64" s="205">
        <f t="shared" si="140"/>
        <v>152</v>
      </c>
      <c r="CU64" s="205">
        <f t="shared" si="140"/>
        <v>152</v>
      </c>
      <c r="CV64" s="205">
        <f t="shared" si="140"/>
        <v>152</v>
      </c>
      <c r="CW64" s="205">
        <f t="shared" si="140"/>
        <v>152</v>
      </c>
      <c r="CX64" s="205">
        <f t="shared" si="140"/>
        <v>152</v>
      </c>
      <c r="CY64" s="205">
        <f t="shared" si="140"/>
        <v>152</v>
      </c>
      <c r="CZ64" s="205">
        <f t="shared" si="140"/>
        <v>153</v>
      </c>
      <c r="DA64" s="205">
        <f t="shared" si="140"/>
        <v>153</v>
      </c>
      <c r="DB64" s="205">
        <f t="shared" si="140"/>
        <v>153</v>
      </c>
      <c r="DC64" s="205">
        <f t="shared" si="140"/>
        <v>30</v>
      </c>
      <c r="DD64" s="205">
        <f t="shared" si="140"/>
        <v>5</v>
      </c>
      <c r="DE64" s="205">
        <f t="shared" si="140"/>
        <v>5</v>
      </c>
      <c r="DF64" s="205">
        <f t="shared" si="140"/>
        <v>0</v>
      </c>
      <c r="DG64" s="205">
        <f t="shared" si="140"/>
        <v>0</v>
      </c>
      <c r="DH64" s="205">
        <f t="shared" si="140"/>
        <v>0</v>
      </c>
      <c r="DI64" s="205">
        <f t="shared" si="140"/>
        <v>0</v>
      </c>
      <c r="DJ64" s="205">
        <f t="shared" si="140"/>
        <v>0</v>
      </c>
      <c r="DK64" s="205">
        <f t="shared" si="140"/>
        <v>0</v>
      </c>
      <c r="DL64" s="205">
        <f t="shared" si="140"/>
        <v>0</v>
      </c>
      <c r="DM64" s="205">
        <f t="shared" si="140"/>
        <v>0</v>
      </c>
      <c r="DN64" s="205">
        <f t="shared" si="140"/>
        <v>0</v>
      </c>
      <c r="DO64" s="205">
        <f t="shared" si="140"/>
        <v>0</v>
      </c>
      <c r="DP64" s="205">
        <f t="shared" si="140"/>
        <v>0</v>
      </c>
      <c r="DQ64" s="205">
        <f t="shared" si="140"/>
        <v>0</v>
      </c>
      <c r="DR64" s="205">
        <f t="shared" si="140"/>
        <v>0</v>
      </c>
      <c r="DS64" s="205">
        <f t="shared" si="140"/>
        <v>0</v>
      </c>
      <c r="DT64" s="205">
        <f t="shared" si="140"/>
        <v>0</v>
      </c>
      <c r="DU64" s="205">
        <f t="shared" si="140"/>
        <v>0</v>
      </c>
      <c r="DV64" s="205">
        <f t="shared" si="140"/>
        <v>0</v>
      </c>
      <c r="DW64" s="205">
        <f t="shared" si="140"/>
        <v>0</v>
      </c>
      <c r="DX64" s="205">
        <f t="shared" si="140"/>
        <v>0</v>
      </c>
      <c r="DY64" s="205">
        <f t="shared" si="140"/>
        <v>0</v>
      </c>
      <c r="DZ64" s="205">
        <f t="shared" si="140"/>
        <v>0</v>
      </c>
      <c r="EA64" s="205">
        <f t="shared" si="140"/>
        <v>0</v>
      </c>
      <c r="EB64" s="212">
        <f t="shared" si="140"/>
        <v>0</v>
      </c>
      <c r="EC64" s="212">
        <f t="shared" si="140"/>
        <v>0</v>
      </c>
      <c r="ED64" s="212">
        <f t="shared" si="140"/>
        <v>0</v>
      </c>
      <c r="EE64" s="212">
        <f t="shared" si="140"/>
        <v>0</v>
      </c>
      <c r="EF64" s="212">
        <f t="shared" si="140"/>
        <v>0</v>
      </c>
      <c r="EG64" s="212">
        <f t="shared" si="140"/>
        <v>0</v>
      </c>
      <c r="EH64" s="212">
        <f t="shared" si="140"/>
        <v>0</v>
      </c>
      <c r="EI64" s="212">
        <f t="shared" si="140"/>
        <v>0</v>
      </c>
      <c r="EJ64" s="212">
        <f t="shared" si="140"/>
        <v>0</v>
      </c>
      <c r="EK64" s="212">
        <f t="shared" si="140"/>
        <v>0</v>
      </c>
      <c r="EL64" s="212">
        <f t="shared" si="140"/>
        <v>0</v>
      </c>
      <c r="EM64" s="212">
        <f t="shared" si="140"/>
        <v>0</v>
      </c>
      <c r="EN64" s="212">
        <f t="shared" ref="EN64:EO64" si="141">SUM(EN59:EN63)</f>
        <v>0</v>
      </c>
      <c r="EO64" s="212">
        <f t="shared" si="141"/>
        <v>0</v>
      </c>
      <c r="EP64" s="206"/>
      <c r="EQ64" s="206"/>
    </row>
    <row r="66" spans="1:147" s="180" customFormat="1" ht="27">
      <c r="A66" s="447" t="s">
        <v>81</v>
      </c>
      <c r="B66" s="450">
        <f>IF(LEN('BESS 11'!F367)=5,'BESS 11'!F367,(IF('BESS 11'!F367="Completed"," ",DATEVALUE(RIGHT('BESS 11'!F367,6)))))</f>
        <v>46288</v>
      </c>
      <c r="C66" s="450">
        <f>IF(LEN('BESS 11'!G367)=5,'BESS 11'!G367,(IF('BESS 11'!G367="Completed"," ",DATEVALUE(RIGHT('BESS 11'!G367,6)))))</f>
        <v>46292</v>
      </c>
      <c r="D66" s="455">
        <f>IF(LEN('BESS 11'!H367)=5,'BESS 11'!H367,(IF('BESS 11'!H367="Completed"," ",DATEVALUE(RIGHT('BESS 11'!H367,6)))))</f>
        <v>46295</v>
      </c>
      <c r="E66" s="226" t="s">
        <v>10</v>
      </c>
      <c r="F66" s="217" t="s">
        <v>58</v>
      </c>
      <c r="G66" s="217" t="s">
        <v>78</v>
      </c>
      <c r="H66" s="217" t="s">
        <v>79</v>
      </c>
      <c r="I66" s="217" t="s">
        <v>59</v>
      </c>
      <c r="J66" s="217"/>
      <c r="K66" s="216" t="s">
        <v>80</v>
      </c>
      <c r="L66" s="216" t="s">
        <v>62</v>
      </c>
      <c r="M66" s="218">
        <v>46195</v>
      </c>
      <c r="N66" s="218">
        <v>46196</v>
      </c>
      <c r="O66" s="218">
        <v>46197</v>
      </c>
      <c r="P66" s="218">
        <f t="shared" ref="P66:CA66" si="142">O66+1</f>
        <v>46198</v>
      </c>
      <c r="Q66" s="218">
        <f t="shared" si="142"/>
        <v>46199</v>
      </c>
      <c r="R66" s="218">
        <f t="shared" si="142"/>
        <v>46200</v>
      </c>
      <c r="S66" s="218">
        <f t="shared" si="142"/>
        <v>46201</v>
      </c>
      <c r="T66" s="218">
        <f t="shared" si="142"/>
        <v>46202</v>
      </c>
      <c r="U66" s="218">
        <f t="shared" si="142"/>
        <v>46203</v>
      </c>
      <c r="V66" s="218">
        <f t="shared" si="142"/>
        <v>46204</v>
      </c>
      <c r="W66" s="218">
        <f t="shared" si="142"/>
        <v>46205</v>
      </c>
      <c r="X66" s="218">
        <f t="shared" si="142"/>
        <v>46206</v>
      </c>
      <c r="Y66" s="218">
        <f t="shared" si="142"/>
        <v>46207</v>
      </c>
      <c r="Z66" s="218">
        <f t="shared" si="142"/>
        <v>46208</v>
      </c>
      <c r="AA66" s="218">
        <f t="shared" si="142"/>
        <v>46209</v>
      </c>
      <c r="AB66" s="218">
        <f t="shared" si="142"/>
        <v>46210</v>
      </c>
      <c r="AC66" s="218">
        <f t="shared" si="142"/>
        <v>46211</v>
      </c>
      <c r="AD66" s="218">
        <f t="shared" si="142"/>
        <v>46212</v>
      </c>
      <c r="AE66" s="218">
        <f t="shared" si="142"/>
        <v>46213</v>
      </c>
      <c r="AF66" s="218">
        <f t="shared" si="142"/>
        <v>46214</v>
      </c>
      <c r="AG66" s="218">
        <f t="shared" si="142"/>
        <v>46215</v>
      </c>
      <c r="AH66" s="218">
        <f t="shared" si="142"/>
        <v>46216</v>
      </c>
      <c r="AI66" s="218">
        <f t="shared" si="142"/>
        <v>46217</v>
      </c>
      <c r="AJ66" s="218">
        <f t="shared" si="142"/>
        <v>46218</v>
      </c>
      <c r="AK66" s="218">
        <f t="shared" si="142"/>
        <v>46219</v>
      </c>
      <c r="AL66" s="218">
        <f t="shared" si="142"/>
        <v>46220</v>
      </c>
      <c r="AM66" s="218">
        <f t="shared" si="142"/>
        <v>46221</v>
      </c>
      <c r="AN66" s="218">
        <f t="shared" si="142"/>
        <v>46222</v>
      </c>
      <c r="AO66" s="218">
        <f t="shared" si="142"/>
        <v>46223</v>
      </c>
      <c r="AP66" s="218">
        <f t="shared" si="142"/>
        <v>46224</v>
      </c>
      <c r="AQ66" s="218">
        <f t="shared" si="142"/>
        <v>46225</v>
      </c>
      <c r="AR66" s="218">
        <f t="shared" si="142"/>
        <v>46226</v>
      </c>
      <c r="AS66" s="218">
        <f t="shared" si="142"/>
        <v>46227</v>
      </c>
      <c r="AT66" s="218">
        <f t="shared" si="142"/>
        <v>46228</v>
      </c>
      <c r="AU66" s="218">
        <f t="shared" si="142"/>
        <v>46229</v>
      </c>
      <c r="AV66" s="218">
        <f t="shared" si="142"/>
        <v>46230</v>
      </c>
      <c r="AW66" s="218">
        <f t="shared" si="142"/>
        <v>46231</v>
      </c>
      <c r="AX66" s="218">
        <f t="shared" si="142"/>
        <v>46232</v>
      </c>
      <c r="AY66" s="218">
        <f t="shared" si="142"/>
        <v>46233</v>
      </c>
      <c r="AZ66" s="218">
        <f t="shared" si="142"/>
        <v>46234</v>
      </c>
      <c r="BA66" s="218">
        <f t="shared" si="142"/>
        <v>46235</v>
      </c>
      <c r="BB66" s="218">
        <f t="shared" si="142"/>
        <v>46236</v>
      </c>
      <c r="BC66" s="218">
        <f t="shared" si="142"/>
        <v>46237</v>
      </c>
      <c r="BD66" s="218">
        <f t="shared" si="142"/>
        <v>46238</v>
      </c>
      <c r="BE66" s="218">
        <f t="shared" si="142"/>
        <v>46239</v>
      </c>
      <c r="BF66" s="218">
        <f t="shared" si="142"/>
        <v>46240</v>
      </c>
      <c r="BG66" s="218">
        <f t="shared" si="142"/>
        <v>46241</v>
      </c>
      <c r="BH66" s="218">
        <f t="shared" si="142"/>
        <v>46242</v>
      </c>
      <c r="BI66" s="218">
        <f t="shared" si="142"/>
        <v>46243</v>
      </c>
      <c r="BJ66" s="218">
        <f t="shared" si="142"/>
        <v>46244</v>
      </c>
      <c r="BK66" s="218">
        <f t="shared" si="142"/>
        <v>46245</v>
      </c>
      <c r="BL66" s="218">
        <f t="shared" si="142"/>
        <v>46246</v>
      </c>
      <c r="BM66" s="218">
        <f t="shared" si="142"/>
        <v>46247</v>
      </c>
      <c r="BN66" s="218">
        <f t="shared" si="142"/>
        <v>46248</v>
      </c>
      <c r="BO66" s="218">
        <f t="shared" si="142"/>
        <v>46249</v>
      </c>
      <c r="BP66" s="218">
        <f t="shared" si="142"/>
        <v>46250</v>
      </c>
      <c r="BQ66" s="218">
        <f t="shared" si="142"/>
        <v>46251</v>
      </c>
      <c r="BR66" s="218">
        <f t="shared" si="142"/>
        <v>46252</v>
      </c>
      <c r="BS66" s="218">
        <f t="shared" si="142"/>
        <v>46253</v>
      </c>
      <c r="BT66" s="218">
        <f t="shared" si="142"/>
        <v>46254</v>
      </c>
      <c r="BU66" s="218">
        <f t="shared" si="142"/>
        <v>46255</v>
      </c>
      <c r="BV66" s="218">
        <f t="shared" si="142"/>
        <v>46256</v>
      </c>
      <c r="BW66" s="218">
        <f t="shared" si="142"/>
        <v>46257</v>
      </c>
      <c r="BX66" s="218">
        <f t="shared" si="142"/>
        <v>46258</v>
      </c>
      <c r="BY66" s="218">
        <f t="shared" si="142"/>
        <v>46259</v>
      </c>
      <c r="BZ66" s="218">
        <f t="shared" si="142"/>
        <v>46260</v>
      </c>
      <c r="CA66" s="218">
        <f t="shared" si="142"/>
        <v>46261</v>
      </c>
      <c r="CB66" s="218">
        <f t="shared" ref="CB66:EM66" si="143">CA66+1</f>
        <v>46262</v>
      </c>
      <c r="CC66" s="218">
        <f t="shared" si="143"/>
        <v>46263</v>
      </c>
      <c r="CD66" s="218">
        <f t="shared" si="143"/>
        <v>46264</v>
      </c>
      <c r="CE66" s="218">
        <f t="shared" si="143"/>
        <v>46265</v>
      </c>
      <c r="CF66" s="218">
        <f t="shared" si="143"/>
        <v>46266</v>
      </c>
      <c r="CG66" s="218">
        <f t="shared" si="143"/>
        <v>46267</v>
      </c>
      <c r="CH66" s="218">
        <f t="shared" si="143"/>
        <v>46268</v>
      </c>
      <c r="CI66" s="218">
        <f t="shared" si="143"/>
        <v>46269</v>
      </c>
      <c r="CJ66" s="218">
        <f t="shared" si="143"/>
        <v>46270</v>
      </c>
      <c r="CK66" s="218">
        <f t="shared" si="143"/>
        <v>46271</v>
      </c>
      <c r="CL66" s="218">
        <f t="shared" si="143"/>
        <v>46272</v>
      </c>
      <c r="CM66" s="218">
        <f t="shared" si="143"/>
        <v>46273</v>
      </c>
      <c r="CN66" s="218">
        <f t="shared" si="143"/>
        <v>46274</v>
      </c>
      <c r="CO66" s="218">
        <f t="shared" si="143"/>
        <v>46275</v>
      </c>
      <c r="CP66" s="218">
        <f t="shared" si="143"/>
        <v>46276</v>
      </c>
      <c r="CQ66" s="218">
        <f t="shared" si="143"/>
        <v>46277</v>
      </c>
      <c r="CR66" s="218">
        <f t="shared" si="143"/>
        <v>46278</v>
      </c>
      <c r="CS66" s="218">
        <f t="shared" si="143"/>
        <v>46279</v>
      </c>
      <c r="CT66" s="218">
        <f t="shared" si="143"/>
        <v>46280</v>
      </c>
      <c r="CU66" s="218">
        <f t="shared" si="143"/>
        <v>46281</v>
      </c>
      <c r="CV66" s="218">
        <f t="shared" si="143"/>
        <v>46282</v>
      </c>
      <c r="CW66" s="218">
        <f t="shared" si="143"/>
        <v>46283</v>
      </c>
      <c r="CX66" s="218">
        <f t="shared" si="143"/>
        <v>46284</v>
      </c>
      <c r="CY66" s="218">
        <f t="shared" si="143"/>
        <v>46285</v>
      </c>
      <c r="CZ66" s="218">
        <f t="shared" si="143"/>
        <v>46286</v>
      </c>
      <c r="DA66" s="218">
        <f t="shared" si="143"/>
        <v>46287</v>
      </c>
      <c r="DB66" s="218">
        <f t="shared" si="143"/>
        <v>46288</v>
      </c>
      <c r="DC66" s="218">
        <f t="shared" si="143"/>
        <v>46289</v>
      </c>
      <c r="DD66" s="218">
        <f t="shared" si="143"/>
        <v>46290</v>
      </c>
      <c r="DE66" s="218">
        <f t="shared" si="143"/>
        <v>46291</v>
      </c>
      <c r="DF66" s="218">
        <f t="shared" si="143"/>
        <v>46292</v>
      </c>
      <c r="DG66" s="218">
        <f t="shared" si="143"/>
        <v>46293</v>
      </c>
      <c r="DH66" s="218">
        <f t="shared" si="143"/>
        <v>46294</v>
      </c>
      <c r="DI66" s="218">
        <f t="shared" si="143"/>
        <v>46295</v>
      </c>
      <c r="DJ66" s="218">
        <f t="shared" si="143"/>
        <v>46296</v>
      </c>
      <c r="DK66" s="218">
        <f t="shared" si="143"/>
        <v>46297</v>
      </c>
      <c r="DL66" s="218">
        <f t="shared" si="143"/>
        <v>46298</v>
      </c>
      <c r="DM66" s="218">
        <f t="shared" si="143"/>
        <v>46299</v>
      </c>
      <c r="DN66" s="218">
        <f t="shared" si="143"/>
        <v>46300</v>
      </c>
      <c r="DO66" s="218">
        <f t="shared" si="143"/>
        <v>46301</v>
      </c>
      <c r="DP66" s="218">
        <f t="shared" si="143"/>
        <v>46302</v>
      </c>
      <c r="DQ66" s="218">
        <f t="shared" si="143"/>
        <v>46303</v>
      </c>
      <c r="DR66" s="218">
        <f t="shared" si="143"/>
        <v>46304</v>
      </c>
      <c r="DS66" s="218">
        <f t="shared" si="143"/>
        <v>46305</v>
      </c>
      <c r="DT66" s="218">
        <f t="shared" si="143"/>
        <v>46306</v>
      </c>
      <c r="DU66" s="218">
        <f t="shared" si="143"/>
        <v>46307</v>
      </c>
      <c r="DV66" s="218">
        <f t="shared" si="143"/>
        <v>46308</v>
      </c>
      <c r="DW66" s="218">
        <f t="shared" si="143"/>
        <v>46309</v>
      </c>
      <c r="DX66" s="218">
        <f t="shared" si="143"/>
        <v>46310</v>
      </c>
      <c r="DY66" s="218">
        <f t="shared" si="143"/>
        <v>46311</v>
      </c>
      <c r="DZ66" s="218">
        <f t="shared" si="143"/>
        <v>46312</v>
      </c>
      <c r="EA66" s="218">
        <f t="shared" si="143"/>
        <v>46313</v>
      </c>
      <c r="EB66" s="218">
        <f t="shared" si="143"/>
        <v>46314</v>
      </c>
      <c r="EC66" s="218">
        <f t="shared" si="143"/>
        <v>46315</v>
      </c>
      <c r="ED66" s="218">
        <f t="shared" si="143"/>
        <v>46316</v>
      </c>
      <c r="EE66" s="218">
        <f t="shared" si="143"/>
        <v>46317</v>
      </c>
      <c r="EF66" s="218">
        <f t="shared" si="143"/>
        <v>46318</v>
      </c>
      <c r="EG66" s="218">
        <f t="shared" si="143"/>
        <v>46319</v>
      </c>
      <c r="EH66" s="218">
        <f t="shared" si="143"/>
        <v>46320</v>
      </c>
      <c r="EI66" s="218">
        <f t="shared" si="143"/>
        <v>46321</v>
      </c>
      <c r="EJ66" s="218">
        <f t="shared" si="143"/>
        <v>46322</v>
      </c>
      <c r="EK66" s="218">
        <f t="shared" si="143"/>
        <v>46323</v>
      </c>
      <c r="EL66" s="218">
        <f t="shared" si="143"/>
        <v>46324</v>
      </c>
      <c r="EM66" s="218">
        <f t="shared" si="143"/>
        <v>46325</v>
      </c>
      <c r="EN66" s="218">
        <f t="shared" ref="EN66:EO66" si="144">EM66+1</f>
        <v>46326</v>
      </c>
      <c r="EO66" s="218">
        <f t="shared" si="144"/>
        <v>46327</v>
      </c>
    </row>
    <row r="67" spans="1:147">
      <c r="A67" s="448"/>
      <c r="B67" s="451"/>
      <c r="C67" s="451"/>
      <c r="D67" s="456"/>
      <c r="E67" s="185" t="s">
        <v>64</v>
      </c>
      <c r="F67" s="66">
        <f>SUM('BESS 11'!S380:S387,'BESS 11'!S389)</f>
        <v>90.4</v>
      </c>
      <c r="G67" s="182">
        <f>H67-7</f>
        <v>46268</v>
      </c>
      <c r="H67" s="182">
        <f>MAX('BESS 11'!O380:O386,'BESS 11'!O389)</f>
        <v>46275</v>
      </c>
      <c r="I67" s="65">
        <f>H67-G67</f>
        <v>7</v>
      </c>
      <c r="J67" s="444">
        <f>K67*1.2</f>
        <v>105.39622641509433</v>
      </c>
      <c r="K67" s="444">
        <f>AVERAGEIF(M72:EO72,"&gt;0")</f>
        <v>87.830188679245282</v>
      </c>
      <c r="L67" s="444">
        <f>MAX(M72:EO72)</f>
        <v>165</v>
      </c>
      <c r="M67" s="65" t="str">
        <f t="shared" ref="M67:AB70" si="145">IF(AND(M$2&gt;=$G67,M$2&lt;($G67+$I67)),ROUND($F67/$I67,0),"-")</f>
        <v>-</v>
      </c>
      <c r="N67" s="65" t="str">
        <f t="shared" si="145"/>
        <v>-</v>
      </c>
      <c r="O67" s="65" t="str">
        <f t="shared" si="145"/>
        <v>-</v>
      </c>
      <c r="P67" s="65" t="str">
        <f t="shared" si="145"/>
        <v>-</v>
      </c>
      <c r="Q67" s="65" t="str">
        <f t="shared" si="145"/>
        <v>-</v>
      </c>
      <c r="R67" s="65" t="str">
        <f t="shared" si="145"/>
        <v>-</v>
      </c>
      <c r="S67" s="65" t="str">
        <f t="shared" si="145"/>
        <v>-</v>
      </c>
      <c r="T67" s="65" t="str">
        <f t="shared" si="145"/>
        <v>-</v>
      </c>
      <c r="U67" s="65" t="str">
        <f t="shared" si="145"/>
        <v>-</v>
      </c>
      <c r="V67" s="65" t="str">
        <f t="shared" si="145"/>
        <v>-</v>
      </c>
      <c r="W67" s="65" t="str">
        <f t="shared" si="145"/>
        <v>-</v>
      </c>
      <c r="X67" s="65" t="str">
        <f t="shared" si="145"/>
        <v>-</v>
      </c>
      <c r="Y67" s="65" t="str">
        <f t="shared" si="145"/>
        <v>-</v>
      </c>
      <c r="Z67" s="65" t="str">
        <f t="shared" si="145"/>
        <v>-</v>
      </c>
      <c r="AA67" s="65" t="str">
        <f t="shared" si="145"/>
        <v>-</v>
      </c>
      <c r="AB67" s="65" t="str">
        <f t="shared" si="145"/>
        <v>-</v>
      </c>
      <c r="AC67" s="65" t="str">
        <f t="shared" ref="AC67:AR70" si="146">IF(AND(AC$2&gt;=$G67,AC$2&lt;($G67+$I67)),ROUND($F67/$I67,0),"-")</f>
        <v>-</v>
      </c>
      <c r="AD67" s="65" t="str">
        <f t="shared" si="146"/>
        <v>-</v>
      </c>
      <c r="AE67" s="65" t="str">
        <f t="shared" si="146"/>
        <v>-</v>
      </c>
      <c r="AF67" s="65" t="str">
        <f t="shared" si="146"/>
        <v>-</v>
      </c>
      <c r="AG67" s="65" t="str">
        <f t="shared" si="146"/>
        <v>-</v>
      </c>
      <c r="AH67" s="65" t="str">
        <f t="shared" si="146"/>
        <v>-</v>
      </c>
      <c r="AI67" s="65" t="str">
        <f t="shared" si="146"/>
        <v>-</v>
      </c>
      <c r="AJ67" s="65" t="str">
        <f t="shared" si="146"/>
        <v>-</v>
      </c>
      <c r="AK67" s="65" t="str">
        <f t="shared" si="146"/>
        <v>-</v>
      </c>
      <c r="AL67" s="65" t="str">
        <f t="shared" si="146"/>
        <v>-</v>
      </c>
      <c r="AM67" s="65" t="str">
        <f t="shared" si="146"/>
        <v>-</v>
      </c>
      <c r="AN67" s="65" t="str">
        <f t="shared" si="146"/>
        <v>-</v>
      </c>
      <c r="AO67" s="65" t="str">
        <f t="shared" si="146"/>
        <v>-</v>
      </c>
      <c r="AP67" s="65" t="str">
        <f t="shared" si="146"/>
        <v>-</v>
      </c>
      <c r="AQ67" s="65" t="str">
        <f t="shared" si="146"/>
        <v>-</v>
      </c>
      <c r="AR67" s="65" t="str">
        <f t="shared" si="146"/>
        <v>-</v>
      </c>
      <c r="AS67" s="65" t="str">
        <f t="shared" ref="AS67:BH70" si="147">IF(AND(AS$2&gt;=$G67,AS$2&lt;($G67+$I67)),ROUND($F67/$I67,0),"-")</f>
        <v>-</v>
      </c>
      <c r="AT67" s="65" t="str">
        <f t="shared" si="147"/>
        <v>-</v>
      </c>
      <c r="AU67" s="65" t="str">
        <f t="shared" si="147"/>
        <v>-</v>
      </c>
      <c r="AV67" s="65" t="str">
        <f t="shared" si="147"/>
        <v>-</v>
      </c>
      <c r="AW67" s="65" t="str">
        <f t="shared" si="147"/>
        <v>-</v>
      </c>
      <c r="AX67" s="65" t="str">
        <f t="shared" si="147"/>
        <v>-</v>
      </c>
      <c r="AY67" s="65" t="str">
        <f t="shared" si="147"/>
        <v>-</v>
      </c>
      <c r="AZ67" s="65" t="str">
        <f t="shared" si="147"/>
        <v>-</v>
      </c>
      <c r="BA67" s="65" t="str">
        <f t="shared" si="147"/>
        <v>-</v>
      </c>
      <c r="BB67" s="65" t="str">
        <f t="shared" si="147"/>
        <v>-</v>
      </c>
      <c r="BC67" s="65" t="str">
        <f t="shared" si="147"/>
        <v>-</v>
      </c>
      <c r="BD67" s="65" t="str">
        <f t="shared" si="147"/>
        <v>-</v>
      </c>
      <c r="BE67" s="65" t="str">
        <f t="shared" si="147"/>
        <v>-</v>
      </c>
      <c r="BF67" s="65" t="str">
        <f t="shared" si="147"/>
        <v>-</v>
      </c>
      <c r="BG67" s="65" t="str">
        <f t="shared" si="147"/>
        <v>-</v>
      </c>
      <c r="BH67" s="65" t="str">
        <f t="shared" si="147"/>
        <v>-</v>
      </c>
      <c r="BI67" s="65" t="str">
        <f t="shared" ref="BI67:BX70" si="148">IF(AND(BI$2&gt;=$G67,BI$2&lt;($G67+$I67)),ROUND($F67/$I67,0),"-")</f>
        <v>-</v>
      </c>
      <c r="BJ67" s="65" t="str">
        <f t="shared" si="148"/>
        <v>-</v>
      </c>
      <c r="BK67" s="65" t="str">
        <f t="shared" si="148"/>
        <v>-</v>
      </c>
      <c r="BL67" s="65" t="str">
        <f t="shared" si="148"/>
        <v>-</v>
      </c>
      <c r="BM67" s="65" t="str">
        <f t="shared" si="148"/>
        <v>-</v>
      </c>
      <c r="BN67" s="65" t="str">
        <f t="shared" si="148"/>
        <v>-</v>
      </c>
      <c r="BO67" s="65" t="str">
        <f t="shared" si="148"/>
        <v>-</v>
      </c>
      <c r="BP67" s="65" t="str">
        <f t="shared" si="148"/>
        <v>-</v>
      </c>
      <c r="BQ67" s="65" t="str">
        <f t="shared" si="148"/>
        <v>-</v>
      </c>
      <c r="BR67" s="65" t="str">
        <f t="shared" si="148"/>
        <v>-</v>
      </c>
      <c r="BS67" s="65" t="str">
        <f t="shared" si="148"/>
        <v>-</v>
      </c>
      <c r="BT67" s="65" t="str">
        <f t="shared" si="148"/>
        <v>-</v>
      </c>
      <c r="BU67" s="65" t="str">
        <f t="shared" si="148"/>
        <v>-</v>
      </c>
      <c r="BV67" s="65" t="str">
        <f t="shared" si="148"/>
        <v>-</v>
      </c>
      <c r="BW67" s="65" t="str">
        <f t="shared" si="148"/>
        <v>-</v>
      </c>
      <c r="BX67" s="65" t="str">
        <f t="shared" si="148"/>
        <v>-</v>
      </c>
      <c r="BY67" s="65" t="str">
        <f t="shared" ref="BY67:CN70" si="149">IF(AND(BY$2&gt;=$G67,BY$2&lt;($G67+$I67)),ROUND($F67/$I67,0),"-")</f>
        <v>-</v>
      </c>
      <c r="BZ67" s="65" t="str">
        <f t="shared" si="149"/>
        <v>-</v>
      </c>
      <c r="CA67" s="65" t="str">
        <f t="shared" si="149"/>
        <v>-</v>
      </c>
      <c r="CB67" s="65" t="str">
        <f t="shared" si="149"/>
        <v>-</v>
      </c>
      <c r="CC67" s="65" t="str">
        <f t="shared" si="149"/>
        <v>-</v>
      </c>
      <c r="CD67" s="65" t="str">
        <f t="shared" si="149"/>
        <v>-</v>
      </c>
      <c r="CE67" s="65" t="str">
        <f t="shared" si="149"/>
        <v>-</v>
      </c>
      <c r="CF67" s="65" t="str">
        <f t="shared" si="149"/>
        <v>-</v>
      </c>
      <c r="CG67" s="65" t="str">
        <f t="shared" si="149"/>
        <v>-</v>
      </c>
      <c r="CH67" s="65">
        <f t="shared" si="149"/>
        <v>13</v>
      </c>
      <c r="CI67" s="65">
        <f t="shared" si="149"/>
        <v>13</v>
      </c>
      <c r="CJ67" s="65">
        <f t="shared" si="149"/>
        <v>13</v>
      </c>
      <c r="CK67" s="65">
        <f t="shared" si="149"/>
        <v>13</v>
      </c>
      <c r="CL67" s="65">
        <f t="shared" si="149"/>
        <v>13</v>
      </c>
      <c r="CM67" s="65">
        <f t="shared" si="149"/>
        <v>13</v>
      </c>
      <c r="CN67" s="65">
        <f t="shared" si="149"/>
        <v>13</v>
      </c>
      <c r="CO67" s="65" t="str">
        <f t="shared" ref="CO67:DD70" si="150">IF(AND(CO$2&gt;=$G67,CO$2&lt;($G67+$I67)),ROUND($F67/$I67,0),"-")</f>
        <v>-</v>
      </c>
      <c r="CP67" s="65" t="str">
        <f t="shared" si="150"/>
        <v>-</v>
      </c>
      <c r="CQ67" s="65" t="str">
        <f t="shared" si="150"/>
        <v>-</v>
      </c>
      <c r="CR67" s="65" t="str">
        <f t="shared" si="150"/>
        <v>-</v>
      </c>
      <c r="CS67" s="65" t="str">
        <f t="shared" si="150"/>
        <v>-</v>
      </c>
      <c r="CT67" s="65" t="str">
        <f t="shared" si="150"/>
        <v>-</v>
      </c>
      <c r="CU67" s="65" t="str">
        <f t="shared" si="150"/>
        <v>-</v>
      </c>
      <c r="CV67" s="65" t="str">
        <f t="shared" si="150"/>
        <v>-</v>
      </c>
      <c r="CW67" s="65" t="str">
        <f t="shared" si="150"/>
        <v>-</v>
      </c>
      <c r="CX67" s="65" t="str">
        <f t="shared" si="150"/>
        <v>-</v>
      </c>
      <c r="CY67" s="65" t="str">
        <f t="shared" si="150"/>
        <v>-</v>
      </c>
      <c r="CZ67" s="65" t="str">
        <f t="shared" si="150"/>
        <v>-</v>
      </c>
      <c r="DA67" s="65" t="str">
        <f t="shared" si="150"/>
        <v>-</v>
      </c>
      <c r="DB67" s="65" t="str">
        <f t="shared" si="150"/>
        <v>-</v>
      </c>
      <c r="DC67" s="65" t="str">
        <f t="shared" si="150"/>
        <v>-</v>
      </c>
      <c r="DD67" s="65" t="str">
        <f t="shared" si="150"/>
        <v>-</v>
      </c>
      <c r="DE67" s="65" t="str">
        <f t="shared" ref="DE67:DT70" si="151">IF(AND(DE$2&gt;=$G67,DE$2&lt;($G67+$I67)),ROUND($F67/$I67,0),"-")</f>
        <v>-</v>
      </c>
      <c r="DF67" s="65" t="str">
        <f t="shared" si="151"/>
        <v>-</v>
      </c>
      <c r="DG67" s="65" t="str">
        <f t="shared" si="151"/>
        <v>-</v>
      </c>
      <c r="DH67" s="65" t="str">
        <f t="shared" si="151"/>
        <v>-</v>
      </c>
      <c r="DI67" s="65" t="str">
        <f t="shared" si="151"/>
        <v>-</v>
      </c>
      <c r="DJ67" s="65" t="str">
        <f t="shared" si="151"/>
        <v>-</v>
      </c>
      <c r="DK67" s="65" t="str">
        <f t="shared" si="151"/>
        <v>-</v>
      </c>
      <c r="DL67" s="65" t="str">
        <f t="shared" si="151"/>
        <v>-</v>
      </c>
      <c r="DM67" s="65" t="str">
        <f t="shared" si="151"/>
        <v>-</v>
      </c>
      <c r="DN67" s="65" t="str">
        <f t="shared" si="151"/>
        <v>-</v>
      </c>
      <c r="DO67" s="65" t="str">
        <f t="shared" si="151"/>
        <v>-</v>
      </c>
      <c r="DP67" s="65" t="str">
        <f t="shared" si="151"/>
        <v>-</v>
      </c>
      <c r="DQ67" s="65" t="str">
        <f t="shared" si="151"/>
        <v>-</v>
      </c>
      <c r="DR67" s="65" t="str">
        <f t="shared" si="151"/>
        <v>-</v>
      </c>
      <c r="DS67" s="65" t="str">
        <f t="shared" si="151"/>
        <v>-</v>
      </c>
      <c r="DT67" s="65" t="str">
        <f t="shared" si="151"/>
        <v>-</v>
      </c>
      <c r="DU67" s="65" t="str">
        <f t="shared" ref="DU67:EJ70" si="152">IF(AND(DU$2&gt;=$G67,DU$2&lt;($G67+$I67)),ROUND($F67/$I67,0),"-")</f>
        <v>-</v>
      </c>
      <c r="DV67" s="65" t="str">
        <f t="shared" si="152"/>
        <v>-</v>
      </c>
      <c r="DW67" s="65" t="str">
        <f t="shared" si="152"/>
        <v>-</v>
      </c>
      <c r="DX67" s="65" t="str">
        <f t="shared" si="152"/>
        <v>-</v>
      </c>
      <c r="DY67" s="65" t="str">
        <f t="shared" si="152"/>
        <v>-</v>
      </c>
      <c r="DZ67" s="65" t="str">
        <f t="shared" si="152"/>
        <v>-</v>
      </c>
      <c r="EA67" s="65" t="str">
        <f t="shared" si="152"/>
        <v>-</v>
      </c>
      <c r="EB67" s="65" t="str">
        <f t="shared" si="152"/>
        <v>-</v>
      </c>
      <c r="EC67" s="65" t="str">
        <f t="shared" si="152"/>
        <v>-</v>
      </c>
      <c r="ED67" s="65" t="str">
        <f t="shared" si="152"/>
        <v>-</v>
      </c>
      <c r="EE67" s="65" t="str">
        <f t="shared" si="152"/>
        <v>-</v>
      </c>
      <c r="EF67" s="65" t="str">
        <f t="shared" si="152"/>
        <v>-</v>
      </c>
      <c r="EG67" s="65" t="str">
        <f t="shared" si="152"/>
        <v>-</v>
      </c>
      <c r="EH67" s="65" t="str">
        <f t="shared" si="152"/>
        <v>-</v>
      </c>
      <c r="EI67" s="65" t="str">
        <f t="shared" si="152"/>
        <v>-</v>
      </c>
      <c r="EJ67" s="65" t="str">
        <f t="shared" si="152"/>
        <v>-</v>
      </c>
      <c r="EK67" s="65" t="str">
        <f t="shared" ref="EK67:EO70" si="153">IF(AND(EK$2&gt;=$G67,EK$2&lt;($G67+$I67)),ROUND($F67/$I67,0),"-")</f>
        <v>-</v>
      </c>
      <c r="EL67" s="65" t="str">
        <f t="shared" si="153"/>
        <v>-</v>
      </c>
      <c r="EM67" s="65" t="str">
        <f t="shared" si="153"/>
        <v>-</v>
      </c>
      <c r="EN67" s="65" t="str">
        <f t="shared" si="153"/>
        <v>-</v>
      </c>
      <c r="EO67" s="65" t="str">
        <f t="shared" si="153"/>
        <v>-</v>
      </c>
    </row>
    <row r="68" spans="1:147">
      <c r="A68" s="448"/>
      <c r="B68" s="451"/>
      <c r="C68" s="451"/>
      <c r="D68" s="456"/>
      <c r="E68" s="185" t="s">
        <v>65</v>
      </c>
      <c r="F68" s="66">
        <f>SUM('BESS 11'!S390,'BESS 11'!S392:S393,'BESS 11'!S396:S398)</f>
        <v>1517.4780266666667</v>
      </c>
      <c r="G68" s="182">
        <v>46234</v>
      </c>
      <c r="H68" s="182">
        <f>MAX('BESS 11'!O390,'BESS 11'!O392:O393,'BESS 11'!O396:O398)</f>
        <v>46257</v>
      </c>
      <c r="I68" s="65">
        <f>H68-G68</f>
        <v>23</v>
      </c>
      <c r="J68" s="453"/>
      <c r="K68" s="453"/>
      <c r="L68" s="445"/>
      <c r="M68" s="65" t="str">
        <f t="shared" si="145"/>
        <v>-</v>
      </c>
      <c r="N68" s="65" t="str">
        <f t="shared" si="145"/>
        <v>-</v>
      </c>
      <c r="O68" s="65" t="str">
        <f t="shared" si="145"/>
        <v>-</v>
      </c>
      <c r="P68" s="65" t="str">
        <f t="shared" si="145"/>
        <v>-</v>
      </c>
      <c r="Q68" s="65" t="str">
        <f t="shared" si="145"/>
        <v>-</v>
      </c>
      <c r="R68" s="65" t="str">
        <f t="shared" si="145"/>
        <v>-</v>
      </c>
      <c r="S68" s="65" t="str">
        <f t="shared" si="145"/>
        <v>-</v>
      </c>
      <c r="T68" s="65" t="str">
        <f t="shared" si="145"/>
        <v>-</v>
      </c>
      <c r="U68" s="65" t="str">
        <f t="shared" si="145"/>
        <v>-</v>
      </c>
      <c r="V68" s="65" t="str">
        <f t="shared" si="145"/>
        <v>-</v>
      </c>
      <c r="W68" s="65" t="str">
        <f t="shared" si="145"/>
        <v>-</v>
      </c>
      <c r="X68" s="65" t="str">
        <f t="shared" si="145"/>
        <v>-</v>
      </c>
      <c r="Y68" s="65" t="str">
        <f t="shared" si="145"/>
        <v>-</v>
      </c>
      <c r="Z68" s="65" t="str">
        <f t="shared" si="145"/>
        <v>-</v>
      </c>
      <c r="AA68" s="65" t="str">
        <f t="shared" si="145"/>
        <v>-</v>
      </c>
      <c r="AB68" s="65" t="str">
        <f t="shared" si="145"/>
        <v>-</v>
      </c>
      <c r="AC68" s="65" t="str">
        <f t="shared" si="146"/>
        <v>-</v>
      </c>
      <c r="AD68" s="65" t="str">
        <f t="shared" si="146"/>
        <v>-</v>
      </c>
      <c r="AE68" s="65" t="str">
        <f t="shared" si="146"/>
        <v>-</v>
      </c>
      <c r="AF68" s="65" t="str">
        <f t="shared" si="146"/>
        <v>-</v>
      </c>
      <c r="AG68" s="65" t="str">
        <f t="shared" si="146"/>
        <v>-</v>
      </c>
      <c r="AH68" s="65" t="str">
        <f t="shared" si="146"/>
        <v>-</v>
      </c>
      <c r="AI68" s="65" t="str">
        <f t="shared" si="146"/>
        <v>-</v>
      </c>
      <c r="AJ68" s="65" t="str">
        <f t="shared" si="146"/>
        <v>-</v>
      </c>
      <c r="AK68" s="65" t="str">
        <f t="shared" si="146"/>
        <v>-</v>
      </c>
      <c r="AL68" s="65" t="str">
        <f t="shared" si="146"/>
        <v>-</v>
      </c>
      <c r="AM68" s="65" t="str">
        <f t="shared" si="146"/>
        <v>-</v>
      </c>
      <c r="AN68" s="65" t="str">
        <f t="shared" si="146"/>
        <v>-</v>
      </c>
      <c r="AO68" s="65" t="str">
        <f t="shared" si="146"/>
        <v>-</v>
      </c>
      <c r="AP68" s="65" t="str">
        <f t="shared" si="146"/>
        <v>-</v>
      </c>
      <c r="AQ68" s="65" t="str">
        <f t="shared" si="146"/>
        <v>-</v>
      </c>
      <c r="AR68" s="65" t="str">
        <f t="shared" si="146"/>
        <v>-</v>
      </c>
      <c r="AS68" s="65" t="str">
        <f t="shared" si="147"/>
        <v>-</v>
      </c>
      <c r="AT68" s="65" t="str">
        <f t="shared" si="147"/>
        <v>-</v>
      </c>
      <c r="AU68" s="65" t="str">
        <f t="shared" si="147"/>
        <v>-</v>
      </c>
      <c r="AV68" s="65" t="str">
        <f t="shared" si="147"/>
        <v>-</v>
      </c>
      <c r="AW68" s="65" t="str">
        <f t="shared" si="147"/>
        <v>-</v>
      </c>
      <c r="AX68" s="65" t="str">
        <f t="shared" si="147"/>
        <v>-</v>
      </c>
      <c r="AY68" s="65" t="str">
        <f t="shared" si="147"/>
        <v>-</v>
      </c>
      <c r="AZ68" s="65">
        <f t="shared" si="147"/>
        <v>66</v>
      </c>
      <c r="BA68" s="65">
        <f t="shared" si="147"/>
        <v>66</v>
      </c>
      <c r="BB68" s="65">
        <f t="shared" si="147"/>
        <v>66</v>
      </c>
      <c r="BC68" s="65">
        <f t="shared" si="147"/>
        <v>66</v>
      </c>
      <c r="BD68" s="65">
        <f t="shared" si="147"/>
        <v>66</v>
      </c>
      <c r="BE68" s="65">
        <f t="shared" si="147"/>
        <v>66</v>
      </c>
      <c r="BF68" s="65">
        <f t="shared" si="147"/>
        <v>66</v>
      </c>
      <c r="BG68" s="65">
        <f t="shared" si="147"/>
        <v>66</v>
      </c>
      <c r="BH68" s="65">
        <f t="shared" si="147"/>
        <v>66</v>
      </c>
      <c r="BI68" s="65">
        <f t="shared" si="148"/>
        <v>66</v>
      </c>
      <c r="BJ68" s="65">
        <f t="shared" si="148"/>
        <v>66</v>
      </c>
      <c r="BK68" s="65">
        <f t="shared" si="148"/>
        <v>66</v>
      </c>
      <c r="BL68" s="65">
        <f t="shared" si="148"/>
        <v>66</v>
      </c>
      <c r="BM68" s="65">
        <f t="shared" si="148"/>
        <v>66</v>
      </c>
      <c r="BN68" s="65">
        <f t="shared" si="148"/>
        <v>66</v>
      </c>
      <c r="BO68" s="65">
        <f t="shared" si="148"/>
        <v>66</v>
      </c>
      <c r="BP68" s="65">
        <f t="shared" si="148"/>
        <v>66</v>
      </c>
      <c r="BQ68" s="65">
        <f t="shared" si="148"/>
        <v>66</v>
      </c>
      <c r="BR68" s="65">
        <f t="shared" si="148"/>
        <v>66</v>
      </c>
      <c r="BS68" s="65">
        <f t="shared" si="148"/>
        <v>66</v>
      </c>
      <c r="BT68" s="65">
        <f t="shared" si="148"/>
        <v>66</v>
      </c>
      <c r="BU68" s="65">
        <f t="shared" si="148"/>
        <v>66</v>
      </c>
      <c r="BV68" s="65">
        <f t="shared" si="148"/>
        <v>66</v>
      </c>
      <c r="BW68" s="65" t="str">
        <f t="shared" si="148"/>
        <v>-</v>
      </c>
      <c r="BX68" s="65" t="str">
        <f t="shared" si="148"/>
        <v>-</v>
      </c>
      <c r="BY68" s="65" t="str">
        <f t="shared" si="149"/>
        <v>-</v>
      </c>
      <c r="BZ68" s="65" t="str">
        <f t="shared" si="149"/>
        <v>-</v>
      </c>
      <c r="CA68" s="65" t="str">
        <f t="shared" si="149"/>
        <v>-</v>
      </c>
      <c r="CB68" s="65" t="str">
        <f t="shared" si="149"/>
        <v>-</v>
      </c>
      <c r="CC68" s="65" t="str">
        <f t="shared" si="149"/>
        <v>-</v>
      </c>
      <c r="CD68" s="65" t="str">
        <f t="shared" si="149"/>
        <v>-</v>
      </c>
      <c r="CE68" s="65" t="str">
        <f t="shared" si="149"/>
        <v>-</v>
      </c>
      <c r="CF68" s="65" t="str">
        <f t="shared" si="149"/>
        <v>-</v>
      </c>
      <c r="CG68" s="65" t="str">
        <f t="shared" si="149"/>
        <v>-</v>
      </c>
      <c r="CH68" s="65" t="str">
        <f t="shared" si="149"/>
        <v>-</v>
      </c>
      <c r="CI68" s="65" t="str">
        <f t="shared" si="149"/>
        <v>-</v>
      </c>
      <c r="CJ68" s="65" t="str">
        <f t="shared" si="149"/>
        <v>-</v>
      </c>
      <c r="CK68" s="65" t="str">
        <f t="shared" si="149"/>
        <v>-</v>
      </c>
      <c r="CL68" s="65" t="str">
        <f t="shared" si="149"/>
        <v>-</v>
      </c>
      <c r="CM68" s="65" t="str">
        <f t="shared" si="149"/>
        <v>-</v>
      </c>
      <c r="CN68" s="65" t="str">
        <f t="shared" si="149"/>
        <v>-</v>
      </c>
      <c r="CO68" s="65" t="str">
        <f t="shared" si="150"/>
        <v>-</v>
      </c>
      <c r="CP68" s="65" t="str">
        <f t="shared" si="150"/>
        <v>-</v>
      </c>
      <c r="CQ68" s="65" t="str">
        <f t="shared" si="150"/>
        <v>-</v>
      </c>
      <c r="CR68" s="65" t="str">
        <f t="shared" si="150"/>
        <v>-</v>
      </c>
      <c r="CS68" s="65" t="str">
        <f t="shared" si="150"/>
        <v>-</v>
      </c>
      <c r="CT68" s="65" t="str">
        <f t="shared" si="150"/>
        <v>-</v>
      </c>
      <c r="CU68" s="65" t="str">
        <f t="shared" si="150"/>
        <v>-</v>
      </c>
      <c r="CV68" s="65" t="str">
        <f t="shared" si="150"/>
        <v>-</v>
      </c>
      <c r="CW68" s="65" t="str">
        <f t="shared" si="150"/>
        <v>-</v>
      </c>
      <c r="CX68" s="65" t="str">
        <f t="shared" si="150"/>
        <v>-</v>
      </c>
      <c r="CY68" s="65" t="str">
        <f t="shared" si="150"/>
        <v>-</v>
      </c>
      <c r="CZ68" s="65" t="str">
        <f t="shared" si="150"/>
        <v>-</v>
      </c>
      <c r="DA68" s="65" t="str">
        <f t="shared" si="150"/>
        <v>-</v>
      </c>
      <c r="DB68" s="65" t="str">
        <f t="shared" si="150"/>
        <v>-</v>
      </c>
      <c r="DC68" s="65" t="str">
        <f t="shared" si="150"/>
        <v>-</v>
      </c>
      <c r="DD68" s="65" t="str">
        <f t="shared" si="150"/>
        <v>-</v>
      </c>
      <c r="DE68" s="65" t="str">
        <f t="shared" si="151"/>
        <v>-</v>
      </c>
      <c r="DF68" s="65" t="str">
        <f t="shared" si="151"/>
        <v>-</v>
      </c>
      <c r="DG68" s="65" t="str">
        <f t="shared" si="151"/>
        <v>-</v>
      </c>
      <c r="DH68" s="65" t="str">
        <f t="shared" si="151"/>
        <v>-</v>
      </c>
      <c r="DI68" s="65" t="str">
        <f t="shared" si="151"/>
        <v>-</v>
      </c>
      <c r="DJ68" s="65" t="str">
        <f t="shared" si="151"/>
        <v>-</v>
      </c>
      <c r="DK68" s="65" t="str">
        <f t="shared" si="151"/>
        <v>-</v>
      </c>
      <c r="DL68" s="65" t="str">
        <f t="shared" si="151"/>
        <v>-</v>
      </c>
      <c r="DM68" s="65" t="str">
        <f t="shared" si="151"/>
        <v>-</v>
      </c>
      <c r="DN68" s="65" t="str">
        <f t="shared" si="151"/>
        <v>-</v>
      </c>
      <c r="DO68" s="65" t="str">
        <f t="shared" si="151"/>
        <v>-</v>
      </c>
      <c r="DP68" s="65" t="str">
        <f t="shared" si="151"/>
        <v>-</v>
      </c>
      <c r="DQ68" s="65" t="str">
        <f t="shared" si="151"/>
        <v>-</v>
      </c>
      <c r="DR68" s="65" t="str">
        <f t="shared" si="151"/>
        <v>-</v>
      </c>
      <c r="DS68" s="65" t="str">
        <f t="shared" si="151"/>
        <v>-</v>
      </c>
      <c r="DT68" s="65" t="str">
        <f t="shared" si="151"/>
        <v>-</v>
      </c>
      <c r="DU68" s="65" t="str">
        <f t="shared" si="152"/>
        <v>-</v>
      </c>
      <c r="DV68" s="65" t="str">
        <f t="shared" si="152"/>
        <v>-</v>
      </c>
      <c r="DW68" s="65" t="str">
        <f t="shared" si="152"/>
        <v>-</v>
      </c>
      <c r="DX68" s="65" t="str">
        <f t="shared" si="152"/>
        <v>-</v>
      </c>
      <c r="DY68" s="65" t="str">
        <f t="shared" si="152"/>
        <v>-</v>
      </c>
      <c r="DZ68" s="65" t="str">
        <f t="shared" si="152"/>
        <v>-</v>
      </c>
      <c r="EA68" s="65" t="str">
        <f t="shared" si="152"/>
        <v>-</v>
      </c>
      <c r="EB68" s="65" t="str">
        <f t="shared" si="152"/>
        <v>-</v>
      </c>
      <c r="EC68" s="65" t="str">
        <f t="shared" si="152"/>
        <v>-</v>
      </c>
      <c r="ED68" s="65" t="str">
        <f t="shared" si="152"/>
        <v>-</v>
      </c>
      <c r="EE68" s="65" t="str">
        <f t="shared" si="152"/>
        <v>-</v>
      </c>
      <c r="EF68" s="65" t="str">
        <f t="shared" si="152"/>
        <v>-</v>
      </c>
      <c r="EG68" s="65" t="str">
        <f t="shared" si="152"/>
        <v>-</v>
      </c>
      <c r="EH68" s="65" t="str">
        <f t="shared" si="152"/>
        <v>-</v>
      </c>
      <c r="EI68" s="65" t="str">
        <f t="shared" si="152"/>
        <v>-</v>
      </c>
      <c r="EJ68" s="65" t="str">
        <f t="shared" si="152"/>
        <v>-</v>
      </c>
      <c r="EK68" s="65" t="str">
        <f t="shared" si="153"/>
        <v>-</v>
      </c>
      <c r="EL68" s="65" t="str">
        <f t="shared" si="153"/>
        <v>-</v>
      </c>
      <c r="EM68" s="65" t="str">
        <f t="shared" si="153"/>
        <v>-</v>
      </c>
      <c r="EN68" s="65" t="str">
        <f t="shared" si="153"/>
        <v>-</v>
      </c>
      <c r="EO68" s="65" t="str">
        <f t="shared" si="153"/>
        <v>-</v>
      </c>
    </row>
    <row r="69" spans="1:147">
      <c r="A69" s="448"/>
      <c r="B69" s="451"/>
      <c r="C69" s="451"/>
      <c r="D69" s="456"/>
      <c r="E69" s="185" t="s">
        <v>66</v>
      </c>
      <c r="F69" s="66">
        <f>SUM('BESS 11'!S391,'BESS 11'!S394:S395,'BESS 11'!S399:S400)</f>
        <v>2453.6666666666665</v>
      </c>
      <c r="G69" s="182">
        <f>G67+1</f>
        <v>46269</v>
      </c>
      <c r="H69" s="182">
        <f>G69+20</f>
        <v>46289</v>
      </c>
      <c r="I69" s="65">
        <f>H69-G69</f>
        <v>20</v>
      </c>
      <c r="J69" s="453"/>
      <c r="K69" s="453"/>
      <c r="L69" s="445"/>
      <c r="M69" s="65" t="str">
        <f t="shared" si="145"/>
        <v>-</v>
      </c>
      <c r="N69" s="65" t="str">
        <f t="shared" si="145"/>
        <v>-</v>
      </c>
      <c r="O69" s="65" t="str">
        <f t="shared" si="145"/>
        <v>-</v>
      </c>
      <c r="P69" s="65" t="str">
        <f t="shared" si="145"/>
        <v>-</v>
      </c>
      <c r="Q69" s="65" t="str">
        <f t="shared" si="145"/>
        <v>-</v>
      </c>
      <c r="R69" s="65" t="str">
        <f t="shared" si="145"/>
        <v>-</v>
      </c>
      <c r="S69" s="65" t="str">
        <f t="shared" si="145"/>
        <v>-</v>
      </c>
      <c r="T69" s="65" t="str">
        <f t="shared" si="145"/>
        <v>-</v>
      </c>
      <c r="U69" s="65" t="str">
        <f t="shared" si="145"/>
        <v>-</v>
      </c>
      <c r="V69" s="65" t="str">
        <f t="shared" si="145"/>
        <v>-</v>
      </c>
      <c r="W69" s="65" t="str">
        <f t="shared" si="145"/>
        <v>-</v>
      </c>
      <c r="X69" s="65" t="str">
        <f t="shared" si="145"/>
        <v>-</v>
      </c>
      <c r="Y69" s="65" t="str">
        <f t="shared" si="145"/>
        <v>-</v>
      </c>
      <c r="Z69" s="65" t="str">
        <f t="shared" si="145"/>
        <v>-</v>
      </c>
      <c r="AA69" s="65" t="str">
        <f t="shared" si="145"/>
        <v>-</v>
      </c>
      <c r="AB69" s="65" t="str">
        <f t="shared" si="145"/>
        <v>-</v>
      </c>
      <c r="AC69" s="65" t="str">
        <f t="shared" si="146"/>
        <v>-</v>
      </c>
      <c r="AD69" s="65" t="str">
        <f t="shared" si="146"/>
        <v>-</v>
      </c>
      <c r="AE69" s="65" t="str">
        <f t="shared" si="146"/>
        <v>-</v>
      </c>
      <c r="AF69" s="65" t="str">
        <f t="shared" si="146"/>
        <v>-</v>
      </c>
      <c r="AG69" s="65" t="str">
        <f t="shared" si="146"/>
        <v>-</v>
      </c>
      <c r="AH69" s="65" t="str">
        <f t="shared" si="146"/>
        <v>-</v>
      </c>
      <c r="AI69" s="65" t="str">
        <f t="shared" si="146"/>
        <v>-</v>
      </c>
      <c r="AJ69" s="65" t="str">
        <f t="shared" si="146"/>
        <v>-</v>
      </c>
      <c r="AK69" s="65" t="str">
        <f t="shared" si="146"/>
        <v>-</v>
      </c>
      <c r="AL69" s="65" t="str">
        <f t="shared" si="146"/>
        <v>-</v>
      </c>
      <c r="AM69" s="65" t="str">
        <f t="shared" si="146"/>
        <v>-</v>
      </c>
      <c r="AN69" s="65" t="str">
        <f t="shared" si="146"/>
        <v>-</v>
      </c>
      <c r="AO69" s="65" t="str">
        <f t="shared" si="146"/>
        <v>-</v>
      </c>
      <c r="AP69" s="65" t="str">
        <f t="shared" si="146"/>
        <v>-</v>
      </c>
      <c r="AQ69" s="65" t="str">
        <f t="shared" si="146"/>
        <v>-</v>
      </c>
      <c r="AR69" s="65" t="str">
        <f t="shared" si="146"/>
        <v>-</v>
      </c>
      <c r="AS69" s="65" t="str">
        <f t="shared" si="147"/>
        <v>-</v>
      </c>
      <c r="AT69" s="65" t="str">
        <f t="shared" si="147"/>
        <v>-</v>
      </c>
      <c r="AU69" s="65" t="str">
        <f t="shared" si="147"/>
        <v>-</v>
      </c>
      <c r="AV69" s="65" t="str">
        <f t="shared" si="147"/>
        <v>-</v>
      </c>
      <c r="AW69" s="65" t="str">
        <f t="shared" si="147"/>
        <v>-</v>
      </c>
      <c r="AX69" s="65" t="str">
        <f t="shared" si="147"/>
        <v>-</v>
      </c>
      <c r="AY69" s="65" t="str">
        <f t="shared" si="147"/>
        <v>-</v>
      </c>
      <c r="AZ69" s="65" t="str">
        <f t="shared" si="147"/>
        <v>-</v>
      </c>
      <c r="BA69" s="65" t="str">
        <f t="shared" si="147"/>
        <v>-</v>
      </c>
      <c r="BB69" s="65" t="str">
        <f t="shared" si="147"/>
        <v>-</v>
      </c>
      <c r="BC69" s="65" t="str">
        <f t="shared" si="147"/>
        <v>-</v>
      </c>
      <c r="BD69" s="65" t="str">
        <f t="shared" si="147"/>
        <v>-</v>
      </c>
      <c r="BE69" s="65" t="str">
        <f t="shared" si="147"/>
        <v>-</v>
      </c>
      <c r="BF69" s="65" t="str">
        <f t="shared" si="147"/>
        <v>-</v>
      </c>
      <c r="BG69" s="65" t="str">
        <f t="shared" si="147"/>
        <v>-</v>
      </c>
      <c r="BH69" s="65" t="str">
        <f t="shared" si="147"/>
        <v>-</v>
      </c>
      <c r="BI69" s="65" t="str">
        <f t="shared" si="148"/>
        <v>-</v>
      </c>
      <c r="BJ69" s="65" t="str">
        <f t="shared" si="148"/>
        <v>-</v>
      </c>
      <c r="BK69" s="65" t="str">
        <f t="shared" si="148"/>
        <v>-</v>
      </c>
      <c r="BL69" s="65" t="str">
        <f t="shared" si="148"/>
        <v>-</v>
      </c>
      <c r="BM69" s="65" t="str">
        <f t="shared" si="148"/>
        <v>-</v>
      </c>
      <c r="BN69" s="65" t="str">
        <f t="shared" si="148"/>
        <v>-</v>
      </c>
      <c r="BO69" s="65" t="str">
        <f t="shared" si="148"/>
        <v>-</v>
      </c>
      <c r="BP69" s="65" t="str">
        <f t="shared" si="148"/>
        <v>-</v>
      </c>
      <c r="BQ69" s="65" t="str">
        <f t="shared" si="148"/>
        <v>-</v>
      </c>
      <c r="BR69" s="65" t="str">
        <f t="shared" si="148"/>
        <v>-</v>
      </c>
      <c r="BS69" s="65" t="str">
        <f t="shared" si="148"/>
        <v>-</v>
      </c>
      <c r="BT69" s="65" t="str">
        <f t="shared" si="148"/>
        <v>-</v>
      </c>
      <c r="BU69" s="65" t="str">
        <f t="shared" si="148"/>
        <v>-</v>
      </c>
      <c r="BV69" s="65" t="str">
        <f t="shared" si="148"/>
        <v>-</v>
      </c>
      <c r="BW69" s="65" t="str">
        <f t="shared" si="148"/>
        <v>-</v>
      </c>
      <c r="BX69" s="65" t="str">
        <f t="shared" si="148"/>
        <v>-</v>
      </c>
      <c r="BY69" s="65" t="str">
        <f t="shared" si="149"/>
        <v>-</v>
      </c>
      <c r="BZ69" s="65" t="str">
        <f t="shared" si="149"/>
        <v>-</v>
      </c>
      <c r="CA69" s="65" t="str">
        <f t="shared" si="149"/>
        <v>-</v>
      </c>
      <c r="CB69" s="65" t="str">
        <f t="shared" si="149"/>
        <v>-</v>
      </c>
      <c r="CC69" s="65" t="str">
        <f t="shared" si="149"/>
        <v>-</v>
      </c>
      <c r="CD69" s="65" t="str">
        <f t="shared" si="149"/>
        <v>-</v>
      </c>
      <c r="CE69" s="65" t="str">
        <f t="shared" si="149"/>
        <v>-</v>
      </c>
      <c r="CF69" s="65" t="str">
        <f t="shared" si="149"/>
        <v>-</v>
      </c>
      <c r="CG69" s="65" t="str">
        <f t="shared" si="149"/>
        <v>-</v>
      </c>
      <c r="CH69" s="65" t="str">
        <f t="shared" si="149"/>
        <v>-</v>
      </c>
      <c r="CI69" s="65">
        <f t="shared" si="149"/>
        <v>123</v>
      </c>
      <c r="CJ69" s="65">
        <f t="shared" si="149"/>
        <v>123</v>
      </c>
      <c r="CK69" s="65">
        <f t="shared" si="149"/>
        <v>123</v>
      </c>
      <c r="CL69" s="65">
        <f t="shared" si="149"/>
        <v>123</v>
      </c>
      <c r="CM69" s="65">
        <f t="shared" si="149"/>
        <v>123</v>
      </c>
      <c r="CN69" s="65">
        <f t="shared" si="149"/>
        <v>123</v>
      </c>
      <c r="CO69" s="65">
        <f t="shared" si="150"/>
        <v>123</v>
      </c>
      <c r="CP69" s="65">
        <f t="shared" si="150"/>
        <v>123</v>
      </c>
      <c r="CQ69" s="65">
        <f t="shared" si="150"/>
        <v>123</v>
      </c>
      <c r="CR69" s="65">
        <f t="shared" si="150"/>
        <v>123</v>
      </c>
      <c r="CS69" s="65">
        <f t="shared" si="150"/>
        <v>123</v>
      </c>
      <c r="CT69" s="65">
        <f t="shared" si="150"/>
        <v>123</v>
      </c>
      <c r="CU69" s="65">
        <f t="shared" si="150"/>
        <v>123</v>
      </c>
      <c r="CV69" s="65">
        <f t="shared" si="150"/>
        <v>123</v>
      </c>
      <c r="CW69" s="65">
        <f t="shared" si="150"/>
        <v>123</v>
      </c>
      <c r="CX69" s="65">
        <f t="shared" si="150"/>
        <v>123</v>
      </c>
      <c r="CY69" s="65">
        <f t="shared" si="150"/>
        <v>123</v>
      </c>
      <c r="CZ69" s="65">
        <f t="shared" si="150"/>
        <v>123</v>
      </c>
      <c r="DA69" s="65">
        <f t="shared" si="150"/>
        <v>123</v>
      </c>
      <c r="DB69" s="65">
        <f t="shared" si="150"/>
        <v>123</v>
      </c>
      <c r="DC69" s="65" t="str">
        <f t="shared" si="150"/>
        <v>-</v>
      </c>
      <c r="DD69" s="65" t="str">
        <f t="shared" si="150"/>
        <v>-</v>
      </c>
      <c r="DE69" s="65" t="str">
        <f t="shared" si="151"/>
        <v>-</v>
      </c>
      <c r="DF69" s="65" t="str">
        <f t="shared" si="151"/>
        <v>-</v>
      </c>
      <c r="DG69" s="65" t="str">
        <f t="shared" si="151"/>
        <v>-</v>
      </c>
      <c r="DH69" s="65" t="str">
        <f t="shared" si="151"/>
        <v>-</v>
      </c>
      <c r="DI69" s="65" t="str">
        <f t="shared" si="151"/>
        <v>-</v>
      </c>
      <c r="DJ69" s="65" t="str">
        <f t="shared" si="151"/>
        <v>-</v>
      </c>
      <c r="DK69" s="65" t="str">
        <f t="shared" si="151"/>
        <v>-</v>
      </c>
      <c r="DL69" s="65" t="str">
        <f t="shared" si="151"/>
        <v>-</v>
      </c>
      <c r="DM69" s="65" t="str">
        <f t="shared" si="151"/>
        <v>-</v>
      </c>
      <c r="DN69" s="65" t="str">
        <f t="shared" si="151"/>
        <v>-</v>
      </c>
      <c r="DO69" s="65" t="str">
        <f t="shared" si="151"/>
        <v>-</v>
      </c>
      <c r="DP69" s="65" t="str">
        <f t="shared" si="151"/>
        <v>-</v>
      </c>
      <c r="DQ69" s="65" t="str">
        <f t="shared" si="151"/>
        <v>-</v>
      </c>
      <c r="DR69" s="65" t="str">
        <f t="shared" si="151"/>
        <v>-</v>
      </c>
      <c r="DS69" s="65" t="str">
        <f t="shared" si="151"/>
        <v>-</v>
      </c>
      <c r="DT69" s="65" t="str">
        <f t="shared" si="151"/>
        <v>-</v>
      </c>
      <c r="DU69" s="65" t="str">
        <f t="shared" si="152"/>
        <v>-</v>
      </c>
      <c r="DV69" s="65" t="str">
        <f t="shared" si="152"/>
        <v>-</v>
      </c>
      <c r="DW69" s="65" t="str">
        <f t="shared" si="152"/>
        <v>-</v>
      </c>
      <c r="DX69" s="65" t="str">
        <f t="shared" si="152"/>
        <v>-</v>
      </c>
      <c r="DY69" s="65" t="str">
        <f t="shared" si="152"/>
        <v>-</v>
      </c>
      <c r="DZ69" s="65" t="str">
        <f t="shared" si="152"/>
        <v>-</v>
      </c>
      <c r="EA69" s="65" t="str">
        <f t="shared" si="152"/>
        <v>-</v>
      </c>
      <c r="EB69" s="65" t="str">
        <f t="shared" si="152"/>
        <v>-</v>
      </c>
      <c r="EC69" s="65" t="str">
        <f t="shared" si="152"/>
        <v>-</v>
      </c>
      <c r="ED69" s="65" t="str">
        <f t="shared" si="152"/>
        <v>-</v>
      </c>
      <c r="EE69" s="65" t="str">
        <f t="shared" si="152"/>
        <v>-</v>
      </c>
      <c r="EF69" s="65" t="str">
        <f t="shared" si="152"/>
        <v>-</v>
      </c>
      <c r="EG69" s="65" t="str">
        <f t="shared" si="152"/>
        <v>-</v>
      </c>
      <c r="EH69" s="65" t="str">
        <f t="shared" si="152"/>
        <v>-</v>
      </c>
      <c r="EI69" s="65" t="str">
        <f t="shared" si="152"/>
        <v>-</v>
      </c>
      <c r="EJ69" s="65" t="str">
        <f t="shared" si="152"/>
        <v>-</v>
      </c>
      <c r="EK69" s="65" t="str">
        <f t="shared" si="153"/>
        <v>-</v>
      </c>
      <c r="EL69" s="65" t="str">
        <f t="shared" si="153"/>
        <v>-</v>
      </c>
      <c r="EM69" s="65" t="str">
        <f t="shared" si="153"/>
        <v>-</v>
      </c>
      <c r="EN69" s="65" t="str">
        <f t="shared" si="153"/>
        <v>-</v>
      </c>
      <c r="EO69" s="65" t="str">
        <f t="shared" si="153"/>
        <v>-</v>
      </c>
    </row>
    <row r="70" spans="1:147">
      <c r="A70" s="448"/>
      <c r="B70" s="451"/>
      <c r="C70" s="451"/>
      <c r="D70" s="456"/>
      <c r="E70" s="185" t="s">
        <v>67</v>
      </c>
      <c r="F70" s="66">
        <f>SUM('BESS 11'!S402:S411)</f>
        <v>340.69333333333333</v>
      </c>
      <c r="G70" s="182">
        <f>H70-14</f>
        <v>46272</v>
      </c>
      <c r="H70" s="182">
        <f>MAX('BESS 11'!O402:O411)</f>
        <v>46286</v>
      </c>
      <c r="I70" s="65">
        <f>H70-G70</f>
        <v>14</v>
      </c>
      <c r="J70" s="453"/>
      <c r="K70" s="453"/>
      <c r="L70" s="445"/>
      <c r="M70" s="65" t="str">
        <f t="shared" si="145"/>
        <v>-</v>
      </c>
      <c r="N70" s="164" t="str">
        <f t="shared" si="145"/>
        <v>-</v>
      </c>
      <c r="O70" s="164" t="str">
        <f t="shared" si="145"/>
        <v>-</v>
      </c>
      <c r="P70" s="164" t="str">
        <f t="shared" si="145"/>
        <v>-</v>
      </c>
      <c r="Q70" s="164" t="str">
        <f t="shared" si="145"/>
        <v>-</v>
      </c>
      <c r="R70" s="164" t="str">
        <f t="shared" si="145"/>
        <v>-</v>
      </c>
      <c r="S70" s="164" t="str">
        <f t="shared" si="145"/>
        <v>-</v>
      </c>
      <c r="T70" s="164" t="str">
        <f t="shared" si="145"/>
        <v>-</v>
      </c>
      <c r="U70" s="164" t="str">
        <f t="shared" si="145"/>
        <v>-</v>
      </c>
      <c r="V70" s="164" t="str">
        <f t="shared" si="145"/>
        <v>-</v>
      </c>
      <c r="W70" s="164" t="str">
        <f t="shared" si="145"/>
        <v>-</v>
      </c>
      <c r="X70" s="164" t="str">
        <f t="shared" si="145"/>
        <v>-</v>
      </c>
      <c r="Y70" s="164" t="str">
        <f t="shared" si="145"/>
        <v>-</v>
      </c>
      <c r="Z70" s="164" t="str">
        <f t="shared" si="145"/>
        <v>-</v>
      </c>
      <c r="AA70" s="164" t="str">
        <f t="shared" si="145"/>
        <v>-</v>
      </c>
      <c r="AB70" s="164" t="str">
        <f t="shared" si="145"/>
        <v>-</v>
      </c>
      <c r="AC70" s="164" t="str">
        <f t="shared" si="146"/>
        <v>-</v>
      </c>
      <c r="AD70" s="164" t="str">
        <f t="shared" si="146"/>
        <v>-</v>
      </c>
      <c r="AE70" s="164" t="str">
        <f t="shared" si="146"/>
        <v>-</v>
      </c>
      <c r="AF70" s="164" t="str">
        <f t="shared" si="146"/>
        <v>-</v>
      </c>
      <c r="AG70" s="164" t="str">
        <f t="shared" si="146"/>
        <v>-</v>
      </c>
      <c r="AH70" s="164" t="str">
        <f t="shared" si="146"/>
        <v>-</v>
      </c>
      <c r="AI70" s="164" t="str">
        <f t="shared" si="146"/>
        <v>-</v>
      </c>
      <c r="AJ70" s="164" t="str">
        <f t="shared" si="146"/>
        <v>-</v>
      </c>
      <c r="AK70" s="164" t="str">
        <f t="shared" si="146"/>
        <v>-</v>
      </c>
      <c r="AL70" s="164" t="str">
        <f t="shared" si="146"/>
        <v>-</v>
      </c>
      <c r="AM70" s="164" t="str">
        <f t="shared" si="146"/>
        <v>-</v>
      </c>
      <c r="AN70" s="164" t="str">
        <f t="shared" si="146"/>
        <v>-</v>
      </c>
      <c r="AO70" s="164" t="str">
        <f t="shared" si="146"/>
        <v>-</v>
      </c>
      <c r="AP70" s="164" t="str">
        <f t="shared" si="146"/>
        <v>-</v>
      </c>
      <c r="AQ70" s="164" t="str">
        <f t="shared" si="146"/>
        <v>-</v>
      </c>
      <c r="AR70" s="164" t="str">
        <f t="shared" si="146"/>
        <v>-</v>
      </c>
      <c r="AS70" s="164" t="str">
        <f t="shared" si="147"/>
        <v>-</v>
      </c>
      <c r="AT70" s="164" t="str">
        <f t="shared" si="147"/>
        <v>-</v>
      </c>
      <c r="AU70" s="164" t="str">
        <f t="shared" si="147"/>
        <v>-</v>
      </c>
      <c r="AV70" s="164" t="str">
        <f t="shared" si="147"/>
        <v>-</v>
      </c>
      <c r="AW70" s="164" t="str">
        <f t="shared" si="147"/>
        <v>-</v>
      </c>
      <c r="AX70" s="164" t="str">
        <f t="shared" si="147"/>
        <v>-</v>
      </c>
      <c r="AY70" s="164" t="str">
        <f t="shared" si="147"/>
        <v>-</v>
      </c>
      <c r="AZ70" s="164" t="str">
        <f t="shared" si="147"/>
        <v>-</v>
      </c>
      <c r="BA70" s="164" t="str">
        <f t="shared" si="147"/>
        <v>-</v>
      </c>
      <c r="BB70" s="164" t="str">
        <f t="shared" si="147"/>
        <v>-</v>
      </c>
      <c r="BC70" s="164" t="str">
        <f t="shared" si="147"/>
        <v>-</v>
      </c>
      <c r="BD70" s="164" t="str">
        <f t="shared" si="147"/>
        <v>-</v>
      </c>
      <c r="BE70" s="164" t="str">
        <f t="shared" si="147"/>
        <v>-</v>
      </c>
      <c r="BF70" s="164" t="str">
        <f t="shared" si="147"/>
        <v>-</v>
      </c>
      <c r="BG70" s="164" t="str">
        <f t="shared" si="147"/>
        <v>-</v>
      </c>
      <c r="BH70" s="164" t="str">
        <f t="shared" si="147"/>
        <v>-</v>
      </c>
      <c r="BI70" s="164" t="str">
        <f t="shared" si="148"/>
        <v>-</v>
      </c>
      <c r="BJ70" s="164" t="str">
        <f t="shared" si="148"/>
        <v>-</v>
      </c>
      <c r="BK70" s="164" t="str">
        <f t="shared" si="148"/>
        <v>-</v>
      </c>
      <c r="BL70" s="164" t="str">
        <f t="shared" si="148"/>
        <v>-</v>
      </c>
      <c r="BM70" s="164" t="str">
        <f t="shared" si="148"/>
        <v>-</v>
      </c>
      <c r="BN70" s="164" t="str">
        <f t="shared" si="148"/>
        <v>-</v>
      </c>
      <c r="BO70" s="164" t="str">
        <f t="shared" si="148"/>
        <v>-</v>
      </c>
      <c r="BP70" s="164" t="str">
        <f t="shared" si="148"/>
        <v>-</v>
      </c>
      <c r="BQ70" s="164" t="str">
        <f t="shared" si="148"/>
        <v>-</v>
      </c>
      <c r="BR70" s="164" t="str">
        <f t="shared" si="148"/>
        <v>-</v>
      </c>
      <c r="BS70" s="164" t="str">
        <f t="shared" si="148"/>
        <v>-</v>
      </c>
      <c r="BT70" s="164" t="str">
        <f t="shared" si="148"/>
        <v>-</v>
      </c>
      <c r="BU70" s="164" t="str">
        <f t="shared" si="148"/>
        <v>-</v>
      </c>
      <c r="BV70" s="164" t="str">
        <f t="shared" si="148"/>
        <v>-</v>
      </c>
      <c r="BW70" s="164" t="str">
        <f t="shared" si="148"/>
        <v>-</v>
      </c>
      <c r="BX70" s="164" t="str">
        <f t="shared" si="148"/>
        <v>-</v>
      </c>
      <c r="BY70" s="164" t="str">
        <f t="shared" si="149"/>
        <v>-</v>
      </c>
      <c r="BZ70" s="164" t="str">
        <f t="shared" si="149"/>
        <v>-</v>
      </c>
      <c r="CA70" s="164" t="str">
        <f t="shared" si="149"/>
        <v>-</v>
      </c>
      <c r="CB70" s="164" t="str">
        <f t="shared" si="149"/>
        <v>-</v>
      </c>
      <c r="CC70" s="164" t="str">
        <f t="shared" si="149"/>
        <v>-</v>
      </c>
      <c r="CD70" s="164" t="str">
        <f t="shared" si="149"/>
        <v>-</v>
      </c>
      <c r="CE70" s="164" t="str">
        <f t="shared" si="149"/>
        <v>-</v>
      </c>
      <c r="CF70" s="164" t="str">
        <f t="shared" si="149"/>
        <v>-</v>
      </c>
      <c r="CG70" s="164" t="str">
        <f t="shared" si="149"/>
        <v>-</v>
      </c>
      <c r="CH70" s="164" t="str">
        <f t="shared" si="149"/>
        <v>-</v>
      </c>
      <c r="CI70" s="164" t="str">
        <f t="shared" si="149"/>
        <v>-</v>
      </c>
      <c r="CJ70" s="164" t="str">
        <f t="shared" si="149"/>
        <v>-</v>
      </c>
      <c r="CK70" s="164" t="str">
        <f t="shared" si="149"/>
        <v>-</v>
      </c>
      <c r="CL70" s="164">
        <f t="shared" si="149"/>
        <v>24</v>
      </c>
      <c r="CM70" s="164">
        <f t="shared" si="149"/>
        <v>24</v>
      </c>
      <c r="CN70" s="164">
        <f t="shared" si="149"/>
        <v>24</v>
      </c>
      <c r="CO70" s="164">
        <f t="shared" si="150"/>
        <v>24</v>
      </c>
      <c r="CP70" s="164">
        <f t="shared" si="150"/>
        <v>24</v>
      </c>
      <c r="CQ70" s="164">
        <f t="shared" si="150"/>
        <v>24</v>
      </c>
      <c r="CR70" s="164">
        <f t="shared" si="150"/>
        <v>24</v>
      </c>
      <c r="CS70" s="164">
        <f t="shared" si="150"/>
        <v>24</v>
      </c>
      <c r="CT70" s="164">
        <f t="shared" si="150"/>
        <v>24</v>
      </c>
      <c r="CU70" s="164">
        <f t="shared" si="150"/>
        <v>24</v>
      </c>
      <c r="CV70" s="164">
        <f t="shared" si="150"/>
        <v>24</v>
      </c>
      <c r="CW70" s="164">
        <f t="shared" si="150"/>
        <v>24</v>
      </c>
      <c r="CX70" s="164">
        <f t="shared" si="150"/>
        <v>24</v>
      </c>
      <c r="CY70" s="164">
        <f t="shared" si="150"/>
        <v>24</v>
      </c>
      <c r="CZ70" s="164" t="str">
        <f t="shared" si="150"/>
        <v>-</v>
      </c>
      <c r="DA70" s="164" t="str">
        <f t="shared" si="150"/>
        <v>-</v>
      </c>
      <c r="DB70" s="164" t="str">
        <f t="shared" si="150"/>
        <v>-</v>
      </c>
      <c r="DC70" s="164" t="str">
        <f t="shared" si="150"/>
        <v>-</v>
      </c>
      <c r="DD70" s="164" t="str">
        <f t="shared" si="150"/>
        <v>-</v>
      </c>
      <c r="DE70" s="164" t="str">
        <f t="shared" si="151"/>
        <v>-</v>
      </c>
      <c r="DF70" s="164" t="str">
        <f t="shared" si="151"/>
        <v>-</v>
      </c>
      <c r="DG70" s="164" t="str">
        <f t="shared" si="151"/>
        <v>-</v>
      </c>
      <c r="DH70" s="164" t="str">
        <f t="shared" si="151"/>
        <v>-</v>
      </c>
      <c r="DI70" s="164" t="str">
        <f t="shared" si="151"/>
        <v>-</v>
      </c>
      <c r="DJ70" s="164" t="str">
        <f t="shared" si="151"/>
        <v>-</v>
      </c>
      <c r="DK70" s="164" t="str">
        <f t="shared" si="151"/>
        <v>-</v>
      </c>
      <c r="DL70" s="164" t="str">
        <f t="shared" si="151"/>
        <v>-</v>
      </c>
      <c r="DM70" s="164" t="str">
        <f t="shared" si="151"/>
        <v>-</v>
      </c>
      <c r="DN70" s="164" t="str">
        <f t="shared" si="151"/>
        <v>-</v>
      </c>
      <c r="DO70" s="164" t="str">
        <f t="shared" si="151"/>
        <v>-</v>
      </c>
      <c r="DP70" s="164" t="str">
        <f t="shared" si="151"/>
        <v>-</v>
      </c>
      <c r="DQ70" s="164" t="str">
        <f t="shared" si="151"/>
        <v>-</v>
      </c>
      <c r="DR70" s="164" t="str">
        <f t="shared" si="151"/>
        <v>-</v>
      </c>
      <c r="DS70" s="164" t="str">
        <f t="shared" si="151"/>
        <v>-</v>
      </c>
      <c r="DT70" s="164" t="str">
        <f t="shared" si="151"/>
        <v>-</v>
      </c>
      <c r="DU70" s="164" t="str">
        <f t="shared" si="152"/>
        <v>-</v>
      </c>
      <c r="DV70" s="164" t="str">
        <f t="shared" si="152"/>
        <v>-</v>
      </c>
      <c r="DW70" s="164" t="str">
        <f t="shared" si="152"/>
        <v>-</v>
      </c>
      <c r="DX70" s="164" t="str">
        <f t="shared" si="152"/>
        <v>-</v>
      </c>
      <c r="DY70" s="164" t="str">
        <f t="shared" si="152"/>
        <v>-</v>
      </c>
      <c r="DZ70" s="164" t="str">
        <f t="shared" si="152"/>
        <v>-</v>
      </c>
      <c r="EA70" s="164" t="str">
        <f t="shared" si="152"/>
        <v>-</v>
      </c>
      <c r="EB70" s="164" t="str">
        <f t="shared" si="152"/>
        <v>-</v>
      </c>
      <c r="EC70" s="164" t="str">
        <f t="shared" si="152"/>
        <v>-</v>
      </c>
      <c r="ED70" s="164" t="str">
        <f t="shared" si="152"/>
        <v>-</v>
      </c>
      <c r="EE70" s="164" t="str">
        <f t="shared" si="152"/>
        <v>-</v>
      </c>
      <c r="EF70" s="164" t="str">
        <f t="shared" si="152"/>
        <v>-</v>
      </c>
      <c r="EG70" s="164" t="str">
        <f t="shared" si="152"/>
        <v>-</v>
      </c>
      <c r="EH70" s="164" t="str">
        <f t="shared" si="152"/>
        <v>-</v>
      </c>
      <c r="EI70" s="164" t="str">
        <f t="shared" si="152"/>
        <v>-</v>
      </c>
      <c r="EJ70" s="164" t="str">
        <f t="shared" si="152"/>
        <v>-</v>
      </c>
      <c r="EK70" s="164" t="str">
        <f t="shared" si="153"/>
        <v>-</v>
      </c>
      <c r="EL70" s="164" t="str">
        <f t="shared" si="153"/>
        <v>-</v>
      </c>
      <c r="EM70" s="164" t="str">
        <f t="shared" si="153"/>
        <v>-</v>
      </c>
      <c r="EN70" s="164" t="str">
        <f t="shared" si="153"/>
        <v>-</v>
      </c>
      <c r="EO70" s="164" t="str">
        <f t="shared" si="153"/>
        <v>-</v>
      </c>
    </row>
    <row r="71" spans="1:147">
      <c r="A71" s="449"/>
      <c r="B71" s="452"/>
      <c r="C71" s="452"/>
      <c r="D71" s="457"/>
      <c r="E71" s="185" t="s">
        <v>68</v>
      </c>
      <c r="F71" s="65">
        <v>250</v>
      </c>
      <c r="G71" s="185"/>
      <c r="H71" s="182">
        <f>B66-3</f>
        <v>46285</v>
      </c>
      <c r="I71" s="65">
        <v>30</v>
      </c>
      <c r="J71" s="454"/>
      <c r="K71" s="454"/>
      <c r="L71" s="446"/>
      <c r="M71" s="186" t="str">
        <f>IF(AND(M$2&gt;=$B$66-26,M$2&lt;=$B$66-3),5,IF(OR(M$2=$B$66-2,M$2=$B$66-1,M$2=$B$66,M$2=$B$66+1),30,IF(OR(M$2=$B$66+2,M$2=$B$66+3),5,"")))</f>
        <v/>
      </c>
      <c r="N71" s="186" t="str">
        <f t="shared" ref="N71:BY71" si="154">IF(AND(N$2&gt;=$B$66-26,N$2&lt;=$B$66-3),5,IF(OR(N$2=$B$66-2,N$2=$B$66-1,N$2=$B$66,N$2=$B$66+1),30,IF(OR(N$2=$B$66+2,N$2=$B$66+3),5,"")))</f>
        <v/>
      </c>
      <c r="O71" s="186" t="str">
        <f t="shared" si="154"/>
        <v/>
      </c>
      <c r="P71" s="186" t="str">
        <f t="shared" si="154"/>
        <v/>
      </c>
      <c r="Q71" s="186" t="str">
        <f t="shared" si="154"/>
        <v/>
      </c>
      <c r="R71" s="186" t="str">
        <f t="shared" si="154"/>
        <v/>
      </c>
      <c r="S71" s="186" t="str">
        <f t="shared" si="154"/>
        <v/>
      </c>
      <c r="T71" s="186" t="str">
        <f t="shared" si="154"/>
        <v/>
      </c>
      <c r="U71" s="186" t="str">
        <f t="shared" si="154"/>
        <v/>
      </c>
      <c r="V71" s="186" t="str">
        <f t="shared" si="154"/>
        <v/>
      </c>
      <c r="W71" s="186" t="str">
        <f t="shared" si="154"/>
        <v/>
      </c>
      <c r="X71" s="186" t="str">
        <f t="shared" si="154"/>
        <v/>
      </c>
      <c r="Y71" s="186" t="str">
        <f t="shared" si="154"/>
        <v/>
      </c>
      <c r="Z71" s="186" t="str">
        <f t="shared" si="154"/>
        <v/>
      </c>
      <c r="AA71" s="186" t="str">
        <f t="shared" si="154"/>
        <v/>
      </c>
      <c r="AB71" s="186" t="str">
        <f t="shared" si="154"/>
        <v/>
      </c>
      <c r="AC71" s="186" t="str">
        <f t="shared" si="154"/>
        <v/>
      </c>
      <c r="AD71" s="186" t="str">
        <f t="shared" si="154"/>
        <v/>
      </c>
      <c r="AE71" s="186" t="str">
        <f t="shared" si="154"/>
        <v/>
      </c>
      <c r="AF71" s="186" t="str">
        <f t="shared" si="154"/>
        <v/>
      </c>
      <c r="AG71" s="186" t="str">
        <f t="shared" si="154"/>
        <v/>
      </c>
      <c r="AH71" s="186" t="str">
        <f t="shared" si="154"/>
        <v/>
      </c>
      <c r="AI71" s="186" t="str">
        <f t="shared" si="154"/>
        <v/>
      </c>
      <c r="AJ71" s="186" t="str">
        <f t="shared" si="154"/>
        <v/>
      </c>
      <c r="AK71" s="186" t="str">
        <f t="shared" si="154"/>
        <v/>
      </c>
      <c r="AL71" s="186" t="str">
        <f t="shared" si="154"/>
        <v/>
      </c>
      <c r="AM71" s="186" t="str">
        <f t="shared" si="154"/>
        <v/>
      </c>
      <c r="AN71" s="186" t="str">
        <f t="shared" si="154"/>
        <v/>
      </c>
      <c r="AO71" s="186" t="str">
        <f t="shared" si="154"/>
        <v/>
      </c>
      <c r="AP71" s="186" t="str">
        <f t="shared" si="154"/>
        <v/>
      </c>
      <c r="AQ71" s="186" t="str">
        <f t="shared" si="154"/>
        <v/>
      </c>
      <c r="AR71" s="186" t="str">
        <f t="shared" si="154"/>
        <v/>
      </c>
      <c r="AS71" s="186" t="str">
        <f t="shared" si="154"/>
        <v/>
      </c>
      <c r="AT71" s="186" t="str">
        <f t="shared" si="154"/>
        <v/>
      </c>
      <c r="AU71" s="186" t="str">
        <f t="shared" si="154"/>
        <v/>
      </c>
      <c r="AV71" s="186" t="str">
        <f t="shared" si="154"/>
        <v/>
      </c>
      <c r="AW71" s="186" t="str">
        <f t="shared" si="154"/>
        <v/>
      </c>
      <c r="AX71" s="186" t="str">
        <f t="shared" si="154"/>
        <v/>
      </c>
      <c r="AY71" s="186" t="str">
        <f t="shared" si="154"/>
        <v/>
      </c>
      <c r="AZ71" s="186" t="str">
        <f t="shared" si="154"/>
        <v/>
      </c>
      <c r="BA71" s="186" t="str">
        <f t="shared" si="154"/>
        <v/>
      </c>
      <c r="BB71" s="186" t="str">
        <f t="shared" si="154"/>
        <v/>
      </c>
      <c r="BC71" s="186" t="str">
        <f t="shared" si="154"/>
        <v/>
      </c>
      <c r="BD71" s="186" t="str">
        <f t="shared" si="154"/>
        <v/>
      </c>
      <c r="BE71" s="186" t="str">
        <f t="shared" si="154"/>
        <v/>
      </c>
      <c r="BF71" s="186" t="str">
        <f t="shared" si="154"/>
        <v/>
      </c>
      <c r="BG71" s="186" t="str">
        <f t="shared" si="154"/>
        <v/>
      </c>
      <c r="BH71" s="186" t="str">
        <f t="shared" si="154"/>
        <v/>
      </c>
      <c r="BI71" s="186" t="str">
        <f t="shared" si="154"/>
        <v/>
      </c>
      <c r="BJ71" s="186" t="str">
        <f t="shared" si="154"/>
        <v/>
      </c>
      <c r="BK71" s="186" t="str">
        <f t="shared" si="154"/>
        <v/>
      </c>
      <c r="BL71" s="186" t="str">
        <f t="shared" si="154"/>
        <v/>
      </c>
      <c r="BM71" s="186" t="str">
        <f t="shared" si="154"/>
        <v/>
      </c>
      <c r="BN71" s="186" t="str">
        <f t="shared" si="154"/>
        <v/>
      </c>
      <c r="BO71" s="186" t="str">
        <f t="shared" si="154"/>
        <v/>
      </c>
      <c r="BP71" s="186" t="str">
        <f t="shared" si="154"/>
        <v/>
      </c>
      <c r="BQ71" s="186" t="str">
        <f t="shared" si="154"/>
        <v/>
      </c>
      <c r="BR71" s="186" t="str">
        <f t="shared" si="154"/>
        <v/>
      </c>
      <c r="BS71" s="186" t="str">
        <f t="shared" si="154"/>
        <v/>
      </c>
      <c r="BT71" s="186" t="str">
        <f t="shared" si="154"/>
        <v/>
      </c>
      <c r="BU71" s="186" t="str">
        <f t="shared" si="154"/>
        <v/>
      </c>
      <c r="BV71" s="186" t="str">
        <f t="shared" si="154"/>
        <v/>
      </c>
      <c r="BW71" s="186" t="str">
        <f t="shared" si="154"/>
        <v/>
      </c>
      <c r="BX71" s="186" t="str">
        <f t="shared" si="154"/>
        <v/>
      </c>
      <c r="BY71" s="186" t="str">
        <f t="shared" si="154"/>
        <v/>
      </c>
      <c r="BZ71" s="186" t="str">
        <f t="shared" ref="BZ71:EK71" si="155">IF(AND(BZ$2&gt;=$B$66-26,BZ$2&lt;=$B$66-3),5,IF(OR(BZ$2=$B$66-2,BZ$2=$B$66-1,BZ$2=$B$66,BZ$2=$B$66+1),30,IF(OR(BZ$2=$B$66+2,BZ$2=$B$66+3),5,"")))</f>
        <v/>
      </c>
      <c r="CA71" s="186" t="str">
        <f t="shared" si="155"/>
        <v/>
      </c>
      <c r="CB71" s="186">
        <f t="shared" si="155"/>
        <v>5</v>
      </c>
      <c r="CC71" s="186">
        <f t="shared" si="155"/>
        <v>5</v>
      </c>
      <c r="CD71" s="186">
        <f t="shared" si="155"/>
        <v>5</v>
      </c>
      <c r="CE71" s="186">
        <f t="shared" si="155"/>
        <v>5</v>
      </c>
      <c r="CF71" s="186">
        <f t="shared" si="155"/>
        <v>5</v>
      </c>
      <c r="CG71" s="186">
        <f t="shared" si="155"/>
        <v>5</v>
      </c>
      <c r="CH71" s="186">
        <f t="shared" si="155"/>
        <v>5</v>
      </c>
      <c r="CI71" s="186">
        <f t="shared" si="155"/>
        <v>5</v>
      </c>
      <c r="CJ71" s="186">
        <f t="shared" si="155"/>
        <v>5</v>
      </c>
      <c r="CK71" s="186">
        <f t="shared" si="155"/>
        <v>5</v>
      </c>
      <c r="CL71" s="186">
        <f t="shared" si="155"/>
        <v>5</v>
      </c>
      <c r="CM71" s="186">
        <f t="shared" si="155"/>
        <v>5</v>
      </c>
      <c r="CN71" s="186">
        <f t="shared" si="155"/>
        <v>5</v>
      </c>
      <c r="CO71" s="186">
        <f t="shared" si="155"/>
        <v>5</v>
      </c>
      <c r="CP71" s="186">
        <f t="shared" si="155"/>
        <v>5</v>
      </c>
      <c r="CQ71" s="186">
        <f t="shared" si="155"/>
        <v>5</v>
      </c>
      <c r="CR71" s="186">
        <f t="shared" si="155"/>
        <v>5</v>
      </c>
      <c r="CS71" s="186">
        <f t="shared" si="155"/>
        <v>5</v>
      </c>
      <c r="CT71" s="186">
        <f t="shared" si="155"/>
        <v>5</v>
      </c>
      <c r="CU71" s="186">
        <f t="shared" si="155"/>
        <v>5</v>
      </c>
      <c r="CV71" s="186">
        <f t="shared" si="155"/>
        <v>5</v>
      </c>
      <c r="CW71" s="186">
        <f t="shared" si="155"/>
        <v>5</v>
      </c>
      <c r="CX71" s="186">
        <f t="shared" si="155"/>
        <v>5</v>
      </c>
      <c r="CY71" s="186">
        <f t="shared" si="155"/>
        <v>5</v>
      </c>
      <c r="CZ71" s="186">
        <f t="shared" si="155"/>
        <v>30</v>
      </c>
      <c r="DA71" s="186">
        <f t="shared" si="155"/>
        <v>30</v>
      </c>
      <c r="DB71" s="186">
        <f t="shared" si="155"/>
        <v>30</v>
      </c>
      <c r="DC71" s="186">
        <f t="shared" si="155"/>
        <v>30</v>
      </c>
      <c r="DD71" s="186">
        <f t="shared" si="155"/>
        <v>5</v>
      </c>
      <c r="DE71" s="186">
        <f t="shared" si="155"/>
        <v>5</v>
      </c>
      <c r="DF71" s="186" t="str">
        <f t="shared" si="155"/>
        <v/>
      </c>
      <c r="DG71" s="186" t="str">
        <f t="shared" si="155"/>
        <v/>
      </c>
      <c r="DH71" s="186" t="str">
        <f t="shared" si="155"/>
        <v/>
      </c>
      <c r="DI71" s="186" t="str">
        <f t="shared" si="155"/>
        <v/>
      </c>
      <c r="DJ71" s="186" t="str">
        <f t="shared" si="155"/>
        <v/>
      </c>
      <c r="DK71" s="186" t="str">
        <f t="shared" si="155"/>
        <v/>
      </c>
      <c r="DL71" s="186" t="str">
        <f t="shared" si="155"/>
        <v/>
      </c>
      <c r="DM71" s="186" t="str">
        <f t="shared" si="155"/>
        <v/>
      </c>
      <c r="DN71" s="186" t="str">
        <f t="shared" si="155"/>
        <v/>
      </c>
      <c r="DO71" s="186" t="str">
        <f t="shared" si="155"/>
        <v/>
      </c>
      <c r="DP71" s="186" t="str">
        <f t="shared" si="155"/>
        <v/>
      </c>
      <c r="DQ71" s="186" t="str">
        <f t="shared" si="155"/>
        <v/>
      </c>
      <c r="DR71" s="186" t="str">
        <f t="shared" si="155"/>
        <v/>
      </c>
      <c r="DS71" s="186" t="str">
        <f t="shared" si="155"/>
        <v/>
      </c>
      <c r="DT71" s="186" t="str">
        <f t="shared" si="155"/>
        <v/>
      </c>
      <c r="DU71" s="186" t="str">
        <f t="shared" si="155"/>
        <v/>
      </c>
      <c r="DV71" s="186" t="str">
        <f t="shared" si="155"/>
        <v/>
      </c>
      <c r="DW71" s="186" t="str">
        <f t="shared" si="155"/>
        <v/>
      </c>
      <c r="DX71" s="186" t="str">
        <f t="shared" si="155"/>
        <v/>
      </c>
      <c r="DY71" s="186" t="str">
        <f t="shared" si="155"/>
        <v/>
      </c>
      <c r="DZ71" s="186" t="str">
        <f t="shared" si="155"/>
        <v/>
      </c>
      <c r="EA71" s="186" t="str">
        <f t="shared" si="155"/>
        <v/>
      </c>
      <c r="EB71" s="186" t="str">
        <f t="shared" si="155"/>
        <v/>
      </c>
      <c r="EC71" s="186" t="str">
        <f t="shared" si="155"/>
        <v/>
      </c>
      <c r="ED71" s="186" t="str">
        <f t="shared" si="155"/>
        <v/>
      </c>
      <c r="EE71" s="186" t="str">
        <f t="shared" si="155"/>
        <v/>
      </c>
      <c r="EF71" s="186" t="str">
        <f t="shared" si="155"/>
        <v/>
      </c>
      <c r="EG71" s="186" t="str">
        <f t="shared" si="155"/>
        <v/>
      </c>
      <c r="EH71" s="186" t="str">
        <f t="shared" si="155"/>
        <v/>
      </c>
      <c r="EI71" s="186" t="str">
        <f t="shared" si="155"/>
        <v/>
      </c>
      <c r="EJ71" s="186" t="str">
        <f t="shared" si="155"/>
        <v/>
      </c>
      <c r="EK71" s="186" t="str">
        <f t="shared" si="155"/>
        <v/>
      </c>
      <c r="EL71" s="186" t="str">
        <f t="shared" ref="EL71:EO71" si="156">IF(AND(EL$2&gt;=$B$66-26,EL$2&lt;=$B$66-3),5,IF(OR(EL$2=$B$66-2,EL$2=$B$66-1,EL$2=$B$66,EL$2=$B$66+1),30,IF(OR(EL$2=$B$66+2,EL$2=$B$66+3),5,"")))</f>
        <v/>
      </c>
      <c r="EM71" s="186" t="str">
        <f t="shared" si="156"/>
        <v/>
      </c>
      <c r="EN71" s="186" t="str">
        <f t="shared" si="156"/>
        <v/>
      </c>
      <c r="EO71" s="186" t="str">
        <f t="shared" si="156"/>
        <v/>
      </c>
    </row>
    <row r="72" spans="1:147" s="207" customFormat="1" ht="13.5" customHeight="1">
      <c r="A72" s="236"/>
      <c r="B72" s="209"/>
      <c r="E72" s="201"/>
      <c r="F72" s="201"/>
      <c r="G72" s="204" t="s">
        <v>69</v>
      </c>
      <c r="H72" s="203"/>
      <c r="I72" s="203"/>
      <c r="J72" s="203"/>
      <c r="K72" s="230"/>
      <c r="L72" s="230"/>
      <c r="M72" s="205">
        <f>SUM(M67:M71)</f>
        <v>0</v>
      </c>
      <c r="N72" s="205">
        <f>SUM(N67:N71)</f>
        <v>0</v>
      </c>
      <c r="O72" s="212">
        <f>SUM(O67:O71)</f>
        <v>0</v>
      </c>
      <c r="P72" s="212">
        <f t="shared" ref="P72:CA72" si="157">SUM(P67:P71)</f>
        <v>0</v>
      </c>
      <c r="Q72" s="212">
        <f t="shared" si="157"/>
        <v>0</v>
      </c>
      <c r="R72" s="212">
        <f t="shared" si="157"/>
        <v>0</v>
      </c>
      <c r="S72" s="212">
        <f t="shared" si="157"/>
        <v>0</v>
      </c>
      <c r="T72" s="212">
        <f t="shared" si="157"/>
        <v>0</v>
      </c>
      <c r="U72" s="212">
        <f t="shared" si="157"/>
        <v>0</v>
      </c>
      <c r="V72" s="212">
        <f t="shared" si="157"/>
        <v>0</v>
      </c>
      <c r="W72" s="212">
        <f t="shared" si="157"/>
        <v>0</v>
      </c>
      <c r="X72" s="212">
        <f t="shared" si="157"/>
        <v>0</v>
      </c>
      <c r="Y72" s="212">
        <f t="shared" si="157"/>
        <v>0</v>
      </c>
      <c r="Z72" s="212">
        <f t="shared" si="157"/>
        <v>0</v>
      </c>
      <c r="AA72" s="212">
        <f t="shared" si="157"/>
        <v>0</v>
      </c>
      <c r="AB72" s="212">
        <f t="shared" si="157"/>
        <v>0</v>
      </c>
      <c r="AC72" s="212">
        <f t="shared" si="157"/>
        <v>0</v>
      </c>
      <c r="AD72" s="212">
        <f t="shared" si="157"/>
        <v>0</v>
      </c>
      <c r="AE72" s="212">
        <f t="shared" si="157"/>
        <v>0</v>
      </c>
      <c r="AF72" s="212">
        <f t="shared" si="157"/>
        <v>0</v>
      </c>
      <c r="AG72" s="212">
        <f t="shared" si="157"/>
        <v>0</v>
      </c>
      <c r="AH72" s="212">
        <f t="shared" si="157"/>
        <v>0</v>
      </c>
      <c r="AI72" s="212">
        <f t="shared" si="157"/>
        <v>0</v>
      </c>
      <c r="AJ72" s="212">
        <f t="shared" si="157"/>
        <v>0</v>
      </c>
      <c r="AK72" s="212">
        <f t="shared" si="157"/>
        <v>0</v>
      </c>
      <c r="AL72" s="212">
        <f t="shared" si="157"/>
        <v>0</v>
      </c>
      <c r="AM72" s="212">
        <f t="shared" si="157"/>
        <v>0</v>
      </c>
      <c r="AN72" s="212">
        <f t="shared" si="157"/>
        <v>0</v>
      </c>
      <c r="AO72" s="212">
        <f t="shared" si="157"/>
        <v>0</v>
      </c>
      <c r="AP72" s="212">
        <f t="shared" si="157"/>
        <v>0</v>
      </c>
      <c r="AQ72" s="212">
        <f t="shared" si="157"/>
        <v>0</v>
      </c>
      <c r="AR72" s="212">
        <f t="shared" si="157"/>
        <v>0</v>
      </c>
      <c r="AS72" s="212">
        <f t="shared" si="157"/>
        <v>0</v>
      </c>
      <c r="AT72" s="212">
        <f t="shared" si="157"/>
        <v>0</v>
      </c>
      <c r="AU72" s="212">
        <f t="shared" si="157"/>
        <v>0</v>
      </c>
      <c r="AV72" s="212">
        <f t="shared" si="157"/>
        <v>0</v>
      </c>
      <c r="AW72" s="212">
        <f t="shared" si="157"/>
        <v>0</v>
      </c>
      <c r="AX72" s="212">
        <f t="shared" si="157"/>
        <v>0</v>
      </c>
      <c r="AY72" s="212">
        <f t="shared" si="157"/>
        <v>0</v>
      </c>
      <c r="AZ72" s="212">
        <f t="shared" si="157"/>
        <v>66</v>
      </c>
      <c r="BA72" s="212">
        <f t="shared" si="157"/>
        <v>66</v>
      </c>
      <c r="BB72" s="212">
        <f t="shared" si="157"/>
        <v>66</v>
      </c>
      <c r="BC72" s="212">
        <f t="shared" si="157"/>
        <v>66</v>
      </c>
      <c r="BD72" s="212">
        <f t="shared" si="157"/>
        <v>66</v>
      </c>
      <c r="BE72" s="212">
        <f t="shared" si="157"/>
        <v>66</v>
      </c>
      <c r="BF72" s="212">
        <f t="shared" si="157"/>
        <v>66</v>
      </c>
      <c r="BG72" s="212">
        <f t="shared" si="157"/>
        <v>66</v>
      </c>
      <c r="BH72" s="212">
        <f t="shared" si="157"/>
        <v>66</v>
      </c>
      <c r="BI72" s="212">
        <f t="shared" si="157"/>
        <v>66</v>
      </c>
      <c r="BJ72" s="212">
        <f t="shared" si="157"/>
        <v>66</v>
      </c>
      <c r="BK72" s="212">
        <f t="shared" si="157"/>
        <v>66</v>
      </c>
      <c r="BL72" s="212">
        <f t="shared" si="157"/>
        <v>66</v>
      </c>
      <c r="BM72" s="212">
        <f t="shared" si="157"/>
        <v>66</v>
      </c>
      <c r="BN72" s="212">
        <f t="shared" si="157"/>
        <v>66</v>
      </c>
      <c r="BO72" s="212">
        <f t="shared" si="157"/>
        <v>66</v>
      </c>
      <c r="BP72" s="212">
        <f t="shared" si="157"/>
        <v>66</v>
      </c>
      <c r="BQ72" s="212">
        <f t="shared" si="157"/>
        <v>66</v>
      </c>
      <c r="BR72" s="212">
        <f t="shared" si="157"/>
        <v>66</v>
      </c>
      <c r="BS72" s="212">
        <f t="shared" si="157"/>
        <v>66</v>
      </c>
      <c r="BT72" s="212">
        <f t="shared" si="157"/>
        <v>66</v>
      </c>
      <c r="BU72" s="212">
        <f t="shared" si="157"/>
        <v>66</v>
      </c>
      <c r="BV72" s="212">
        <f t="shared" si="157"/>
        <v>66</v>
      </c>
      <c r="BW72" s="212">
        <f t="shared" si="157"/>
        <v>0</v>
      </c>
      <c r="BX72" s="212">
        <f t="shared" si="157"/>
        <v>0</v>
      </c>
      <c r="BY72" s="212">
        <f t="shared" si="157"/>
        <v>0</v>
      </c>
      <c r="BZ72" s="212">
        <f t="shared" si="157"/>
        <v>0</v>
      </c>
      <c r="CA72" s="212">
        <f t="shared" si="157"/>
        <v>0</v>
      </c>
      <c r="CB72" s="212">
        <f t="shared" ref="CB72:EM72" si="158">SUM(CB67:CB71)</f>
        <v>5</v>
      </c>
      <c r="CC72" s="212">
        <f t="shared" si="158"/>
        <v>5</v>
      </c>
      <c r="CD72" s="212">
        <f t="shared" si="158"/>
        <v>5</v>
      </c>
      <c r="CE72" s="212">
        <f t="shared" si="158"/>
        <v>5</v>
      </c>
      <c r="CF72" s="212">
        <f t="shared" si="158"/>
        <v>5</v>
      </c>
      <c r="CG72" s="212">
        <f t="shared" si="158"/>
        <v>5</v>
      </c>
      <c r="CH72" s="212">
        <f t="shared" si="158"/>
        <v>18</v>
      </c>
      <c r="CI72" s="212">
        <f t="shared" si="158"/>
        <v>141</v>
      </c>
      <c r="CJ72" s="212">
        <f t="shared" si="158"/>
        <v>141</v>
      </c>
      <c r="CK72" s="212">
        <f t="shared" si="158"/>
        <v>141</v>
      </c>
      <c r="CL72" s="212">
        <f t="shared" si="158"/>
        <v>165</v>
      </c>
      <c r="CM72" s="212">
        <f t="shared" si="158"/>
        <v>165</v>
      </c>
      <c r="CN72" s="212">
        <f t="shared" si="158"/>
        <v>165</v>
      </c>
      <c r="CO72" s="212">
        <f t="shared" si="158"/>
        <v>152</v>
      </c>
      <c r="CP72" s="212">
        <f t="shared" si="158"/>
        <v>152</v>
      </c>
      <c r="CQ72" s="212">
        <f t="shared" si="158"/>
        <v>152</v>
      </c>
      <c r="CR72" s="212">
        <f t="shared" si="158"/>
        <v>152</v>
      </c>
      <c r="CS72" s="212">
        <f t="shared" si="158"/>
        <v>152</v>
      </c>
      <c r="CT72" s="212">
        <f t="shared" si="158"/>
        <v>152</v>
      </c>
      <c r="CU72" s="212">
        <f t="shared" si="158"/>
        <v>152</v>
      </c>
      <c r="CV72" s="212">
        <f t="shared" si="158"/>
        <v>152</v>
      </c>
      <c r="CW72" s="212">
        <f t="shared" si="158"/>
        <v>152</v>
      </c>
      <c r="CX72" s="212">
        <f t="shared" si="158"/>
        <v>152</v>
      </c>
      <c r="CY72" s="212">
        <f t="shared" si="158"/>
        <v>152</v>
      </c>
      <c r="CZ72" s="212">
        <f t="shared" si="158"/>
        <v>153</v>
      </c>
      <c r="DA72" s="212">
        <f t="shared" si="158"/>
        <v>153</v>
      </c>
      <c r="DB72" s="212">
        <f t="shared" si="158"/>
        <v>153</v>
      </c>
      <c r="DC72" s="212">
        <f t="shared" si="158"/>
        <v>30</v>
      </c>
      <c r="DD72" s="212">
        <f t="shared" si="158"/>
        <v>5</v>
      </c>
      <c r="DE72" s="212">
        <f t="shared" si="158"/>
        <v>5</v>
      </c>
      <c r="DF72" s="212">
        <f t="shared" si="158"/>
        <v>0</v>
      </c>
      <c r="DG72" s="212">
        <f t="shared" si="158"/>
        <v>0</v>
      </c>
      <c r="DH72" s="212">
        <f t="shared" si="158"/>
        <v>0</v>
      </c>
      <c r="DI72" s="212">
        <f t="shared" si="158"/>
        <v>0</v>
      </c>
      <c r="DJ72" s="212">
        <f t="shared" si="158"/>
        <v>0</v>
      </c>
      <c r="DK72" s="212">
        <f t="shared" si="158"/>
        <v>0</v>
      </c>
      <c r="DL72" s="212">
        <f t="shared" si="158"/>
        <v>0</v>
      </c>
      <c r="DM72" s="212">
        <f t="shared" si="158"/>
        <v>0</v>
      </c>
      <c r="DN72" s="212">
        <f t="shared" si="158"/>
        <v>0</v>
      </c>
      <c r="DO72" s="212">
        <f t="shared" si="158"/>
        <v>0</v>
      </c>
      <c r="DP72" s="212">
        <f t="shared" si="158"/>
        <v>0</v>
      </c>
      <c r="DQ72" s="212">
        <f t="shared" si="158"/>
        <v>0</v>
      </c>
      <c r="DR72" s="212">
        <f t="shared" si="158"/>
        <v>0</v>
      </c>
      <c r="DS72" s="212">
        <f t="shared" si="158"/>
        <v>0</v>
      </c>
      <c r="DT72" s="212">
        <f t="shared" si="158"/>
        <v>0</v>
      </c>
      <c r="DU72" s="212">
        <f t="shared" si="158"/>
        <v>0</v>
      </c>
      <c r="DV72" s="212">
        <f t="shared" si="158"/>
        <v>0</v>
      </c>
      <c r="DW72" s="212">
        <f t="shared" si="158"/>
        <v>0</v>
      </c>
      <c r="DX72" s="212">
        <f t="shared" si="158"/>
        <v>0</v>
      </c>
      <c r="DY72" s="212">
        <f t="shared" si="158"/>
        <v>0</v>
      </c>
      <c r="DZ72" s="212">
        <f t="shared" si="158"/>
        <v>0</v>
      </c>
      <c r="EA72" s="212">
        <f t="shared" si="158"/>
        <v>0</v>
      </c>
      <c r="EB72" s="212">
        <f t="shared" si="158"/>
        <v>0</v>
      </c>
      <c r="EC72" s="212">
        <f t="shared" si="158"/>
        <v>0</v>
      </c>
      <c r="ED72" s="212">
        <f t="shared" si="158"/>
        <v>0</v>
      </c>
      <c r="EE72" s="212">
        <f t="shared" si="158"/>
        <v>0</v>
      </c>
      <c r="EF72" s="212">
        <f t="shared" si="158"/>
        <v>0</v>
      </c>
      <c r="EG72" s="212">
        <f t="shared" si="158"/>
        <v>0</v>
      </c>
      <c r="EH72" s="212">
        <f t="shared" si="158"/>
        <v>0</v>
      </c>
      <c r="EI72" s="212">
        <f t="shared" si="158"/>
        <v>0</v>
      </c>
      <c r="EJ72" s="212">
        <f t="shared" si="158"/>
        <v>0</v>
      </c>
      <c r="EK72" s="212">
        <f t="shared" si="158"/>
        <v>0</v>
      </c>
      <c r="EL72" s="212">
        <f t="shared" si="158"/>
        <v>0</v>
      </c>
      <c r="EM72" s="212">
        <f t="shared" si="158"/>
        <v>0</v>
      </c>
      <c r="EN72" s="212">
        <f t="shared" ref="EN72:EO72" si="159">SUM(EN67:EN71)</f>
        <v>0</v>
      </c>
      <c r="EO72" s="212">
        <f t="shared" si="159"/>
        <v>0</v>
      </c>
      <c r="EP72" s="206"/>
      <c r="EQ72" s="206"/>
    </row>
    <row r="75" spans="1:147" ht="27">
      <c r="I75" s="177" t="s">
        <v>82</v>
      </c>
      <c r="J75" s="177"/>
      <c r="M75" s="184">
        <f ca="1">SUM(M8,M16,M24,M32,M40,M48,M56,M64,M72)</f>
        <v>0</v>
      </c>
      <c r="N75" s="184">
        <f t="shared" ref="N75:BY75" ca="1" si="160">SUM(N8,N16,N24,N32,N40,N48,N56,N64,N72)</f>
        <v>0</v>
      </c>
      <c r="O75" s="184">
        <f t="shared" ca="1" si="160"/>
        <v>0</v>
      </c>
      <c r="P75" s="184">
        <f t="shared" ca="1" si="160"/>
        <v>0</v>
      </c>
      <c r="Q75" s="184">
        <f t="shared" ca="1" si="160"/>
        <v>0</v>
      </c>
      <c r="R75" s="184">
        <f t="shared" ca="1" si="160"/>
        <v>0</v>
      </c>
      <c r="S75" s="184">
        <f t="shared" ca="1" si="160"/>
        <v>0</v>
      </c>
      <c r="T75" s="184">
        <f t="shared" ca="1" si="160"/>
        <v>0</v>
      </c>
      <c r="U75" s="184">
        <f t="shared" ca="1" si="160"/>
        <v>0</v>
      </c>
      <c r="V75" s="184">
        <f t="shared" ca="1" si="160"/>
        <v>0</v>
      </c>
      <c r="W75" s="184">
        <f t="shared" ca="1" si="160"/>
        <v>5</v>
      </c>
      <c r="X75" s="184">
        <f t="shared" ca="1" si="160"/>
        <v>5</v>
      </c>
      <c r="Y75" s="184">
        <f t="shared" ca="1" si="160"/>
        <v>5</v>
      </c>
      <c r="Z75" s="184">
        <f t="shared" ca="1" si="160"/>
        <v>5</v>
      </c>
      <c r="AA75" s="184">
        <f t="shared" ca="1" si="160"/>
        <v>5</v>
      </c>
      <c r="AB75" s="184">
        <f t="shared" ca="1" si="160"/>
        <v>5</v>
      </c>
      <c r="AC75" s="184">
        <f t="shared" ca="1" si="160"/>
        <v>5</v>
      </c>
      <c r="AD75" s="184">
        <f t="shared" ca="1" si="160"/>
        <v>5</v>
      </c>
      <c r="AE75" s="184">
        <f t="shared" ca="1" si="160"/>
        <v>5</v>
      </c>
      <c r="AF75" s="184">
        <f t="shared" ca="1" si="160"/>
        <v>15</v>
      </c>
      <c r="AG75" s="184">
        <f t="shared" ca="1" si="160"/>
        <v>15</v>
      </c>
      <c r="AH75" s="184">
        <f t="shared" ca="1" si="160"/>
        <v>15</v>
      </c>
      <c r="AI75" s="184">
        <f t="shared" ca="1" si="160"/>
        <v>20</v>
      </c>
      <c r="AJ75" s="184">
        <f t="shared" ca="1" si="160"/>
        <v>20</v>
      </c>
      <c r="AK75" s="184">
        <f t="shared" ca="1" si="160"/>
        <v>20</v>
      </c>
      <c r="AL75" s="184">
        <f t="shared" ca="1" si="160"/>
        <v>20</v>
      </c>
      <c r="AM75" s="184">
        <f t="shared" ca="1" si="160"/>
        <v>20</v>
      </c>
      <c r="AN75" s="184">
        <f t="shared" ca="1" si="160"/>
        <v>20</v>
      </c>
      <c r="AO75" s="184">
        <f t="shared" ca="1" si="160"/>
        <v>20</v>
      </c>
      <c r="AP75" s="184">
        <f t="shared" ca="1" si="160"/>
        <v>20</v>
      </c>
      <c r="AQ75" s="184">
        <f t="shared" ca="1" si="160"/>
        <v>20</v>
      </c>
      <c r="AR75" s="184">
        <f t="shared" ca="1" si="160"/>
        <v>20</v>
      </c>
      <c r="AS75" s="184">
        <f t="shared" ca="1" si="160"/>
        <v>20</v>
      </c>
      <c r="AT75" s="184">
        <f t="shared" ca="1" si="160"/>
        <v>20</v>
      </c>
      <c r="AU75" s="184">
        <f t="shared" ca="1" si="160"/>
        <v>45</v>
      </c>
      <c r="AV75" s="184">
        <f t="shared" ca="1" si="160"/>
        <v>45</v>
      </c>
      <c r="AW75" s="184">
        <f t="shared" ca="1" si="160"/>
        <v>45</v>
      </c>
      <c r="AX75" s="184">
        <f t="shared" ca="1" si="160"/>
        <v>45</v>
      </c>
      <c r="AY75" s="184">
        <f t="shared" ca="1" si="160"/>
        <v>1193</v>
      </c>
      <c r="AZ75" s="184">
        <f t="shared" ca="1" si="160"/>
        <v>1403</v>
      </c>
      <c r="BA75" s="184">
        <f t="shared" ca="1" si="160"/>
        <v>1398</v>
      </c>
      <c r="BB75" s="184">
        <f t="shared" ca="1" si="160"/>
        <v>1398</v>
      </c>
      <c r="BC75" s="184">
        <f t="shared" ca="1" si="160"/>
        <v>666</v>
      </c>
      <c r="BD75" s="184">
        <f t="shared" ca="1" si="160"/>
        <v>716</v>
      </c>
      <c r="BE75" s="184">
        <f t="shared" ca="1" si="160"/>
        <v>717</v>
      </c>
      <c r="BF75" s="184">
        <f t="shared" ca="1" si="160"/>
        <v>795</v>
      </c>
      <c r="BG75" s="184">
        <f t="shared" ca="1" si="160"/>
        <v>820</v>
      </c>
      <c r="BH75" s="184">
        <f t="shared" ca="1" si="160"/>
        <v>770</v>
      </c>
      <c r="BI75" s="184">
        <f t="shared" ca="1" si="160"/>
        <v>738</v>
      </c>
      <c r="BJ75" s="184">
        <f t="shared" ca="1" si="160"/>
        <v>590</v>
      </c>
      <c r="BK75" s="184">
        <f t="shared" ca="1" si="160"/>
        <v>565</v>
      </c>
      <c r="BL75" s="184">
        <f t="shared" ca="1" si="160"/>
        <v>565</v>
      </c>
      <c r="BM75" s="184">
        <f t="shared" ca="1" si="160"/>
        <v>560</v>
      </c>
      <c r="BN75" s="184">
        <f t="shared" ca="1" si="160"/>
        <v>460</v>
      </c>
      <c r="BO75" s="184">
        <f t="shared" ca="1" si="160"/>
        <v>460</v>
      </c>
      <c r="BP75" s="184">
        <f t="shared" ca="1" si="160"/>
        <v>460</v>
      </c>
      <c r="BQ75" s="184">
        <f t="shared" ca="1" si="160"/>
        <v>460</v>
      </c>
      <c r="BR75" s="184">
        <f t="shared" ca="1" si="160"/>
        <v>460</v>
      </c>
      <c r="BS75" s="184">
        <f t="shared" ca="1" si="160"/>
        <v>348</v>
      </c>
      <c r="BT75" s="184">
        <f t="shared" ca="1" si="160"/>
        <v>390</v>
      </c>
      <c r="BU75" s="184">
        <f t="shared" ca="1" si="160"/>
        <v>390</v>
      </c>
      <c r="BV75" s="184">
        <f t="shared" ca="1" si="160"/>
        <v>323</v>
      </c>
      <c r="BW75" s="184">
        <f t="shared" ca="1" si="160"/>
        <v>257</v>
      </c>
      <c r="BX75" s="184">
        <f t="shared" ca="1" si="160"/>
        <v>257</v>
      </c>
      <c r="BY75" s="184">
        <f t="shared" ca="1" si="160"/>
        <v>257</v>
      </c>
      <c r="BZ75" s="184">
        <f t="shared" ref="BZ75:EK75" ca="1" si="161">SUM(BZ8,BZ16,BZ24,BZ32,BZ40,BZ48,BZ56,BZ64,BZ72)</f>
        <v>134</v>
      </c>
      <c r="CA75" s="184">
        <f t="shared" ca="1" si="161"/>
        <v>134</v>
      </c>
      <c r="CB75" s="184">
        <f t="shared" ca="1" si="161"/>
        <v>178</v>
      </c>
      <c r="CC75" s="184">
        <f t="shared" ca="1" si="161"/>
        <v>173</v>
      </c>
      <c r="CD75" s="184">
        <f t="shared" ca="1" si="161"/>
        <v>173</v>
      </c>
      <c r="CE75" s="184">
        <f t="shared" ca="1" si="161"/>
        <v>179</v>
      </c>
      <c r="CF75" s="184">
        <f t="shared" ca="1" si="161"/>
        <v>302</v>
      </c>
      <c r="CG75" s="184">
        <f t="shared" ca="1" si="161"/>
        <v>302</v>
      </c>
      <c r="CH75" s="184">
        <f t="shared" ca="1" si="161"/>
        <v>323</v>
      </c>
      <c r="CI75" s="184">
        <f t="shared" ca="1" si="161"/>
        <v>569</v>
      </c>
      <c r="CJ75" s="184">
        <f t="shared" ca="1" si="161"/>
        <v>569</v>
      </c>
      <c r="CK75" s="184">
        <f t="shared" ca="1" si="161"/>
        <v>569</v>
      </c>
      <c r="CL75" s="184">
        <f t="shared" ca="1" si="161"/>
        <v>665</v>
      </c>
      <c r="CM75" s="184">
        <f t="shared" ca="1" si="161"/>
        <v>665</v>
      </c>
      <c r="CN75" s="184">
        <f t="shared" ca="1" si="161"/>
        <v>542</v>
      </c>
      <c r="CO75" s="184">
        <f t="shared" ca="1" si="161"/>
        <v>514</v>
      </c>
      <c r="CP75" s="184">
        <f t="shared" ca="1" si="161"/>
        <v>490</v>
      </c>
      <c r="CQ75" s="184">
        <f t="shared" ca="1" si="161"/>
        <v>515</v>
      </c>
      <c r="CR75" s="184">
        <f t="shared" ca="1" si="161"/>
        <v>515</v>
      </c>
      <c r="CS75" s="184">
        <f t="shared" ca="1" si="161"/>
        <v>515</v>
      </c>
      <c r="CT75" s="184">
        <f t="shared" ca="1" si="161"/>
        <v>515</v>
      </c>
      <c r="CU75" s="184">
        <f t="shared" ca="1" si="161"/>
        <v>490</v>
      </c>
      <c r="CV75" s="184">
        <f t="shared" ca="1" si="161"/>
        <v>490</v>
      </c>
      <c r="CW75" s="184">
        <f t="shared" ca="1" si="161"/>
        <v>485</v>
      </c>
      <c r="CX75" s="184">
        <f t="shared" ca="1" si="161"/>
        <v>485</v>
      </c>
      <c r="CY75" s="184">
        <f t="shared" ca="1" si="161"/>
        <v>485</v>
      </c>
      <c r="CZ75" s="184">
        <f t="shared" ca="1" si="161"/>
        <v>366</v>
      </c>
      <c r="DA75" s="184">
        <f t="shared" ca="1" si="161"/>
        <v>366</v>
      </c>
      <c r="DB75" s="184">
        <f t="shared" ca="1" si="161"/>
        <v>366</v>
      </c>
      <c r="DC75" s="184">
        <f t="shared" ca="1" si="161"/>
        <v>120</v>
      </c>
      <c r="DD75" s="184">
        <f t="shared" ca="1" si="161"/>
        <v>20</v>
      </c>
      <c r="DE75" s="184">
        <f t="shared" ca="1" si="161"/>
        <v>20</v>
      </c>
      <c r="DF75" s="184">
        <f t="shared" ca="1" si="161"/>
        <v>0</v>
      </c>
      <c r="DG75" s="184">
        <f t="shared" ca="1" si="161"/>
        <v>0</v>
      </c>
      <c r="DH75" s="184">
        <f t="shared" ca="1" si="161"/>
        <v>0</v>
      </c>
      <c r="DI75" s="184">
        <f t="shared" ca="1" si="161"/>
        <v>0</v>
      </c>
      <c r="DJ75" s="184">
        <f t="shared" ca="1" si="161"/>
        <v>0</v>
      </c>
      <c r="DK75" s="184">
        <f t="shared" ca="1" si="161"/>
        <v>0</v>
      </c>
      <c r="DL75" s="184">
        <f t="shared" ca="1" si="161"/>
        <v>0</v>
      </c>
      <c r="DM75" s="184">
        <f t="shared" ca="1" si="161"/>
        <v>0</v>
      </c>
      <c r="DN75" s="184">
        <f t="shared" ca="1" si="161"/>
        <v>0</v>
      </c>
      <c r="DO75" s="184">
        <f t="shared" ca="1" si="161"/>
        <v>0</v>
      </c>
      <c r="DP75" s="184">
        <f t="shared" ca="1" si="161"/>
        <v>0</v>
      </c>
      <c r="DQ75" s="184">
        <f t="shared" ca="1" si="161"/>
        <v>0</v>
      </c>
      <c r="DR75" s="184">
        <f t="shared" ca="1" si="161"/>
        <v>0</v>
      </c>
      <c r="DS75" s="184">
        <f t="shared" ca="1" si="161"/>
        <v>0</v>
      </c>
      <c r="DT75" s="184">
        <f t="shared" ca="1" si="161"/>
        <v>0</v>
      </c>
      <c r="DU75" s="184">
        <f t="shared" ca="1" si="161"/>
        <v>0</v>
      </c>
      <c r="DV75" s="184">
        <f t="shared" ca="1" si="161"/>
        <v>0</v>
      </c>
      <c r="DW75" s="184">
        <f t="shared" ca="1" si="161"/>
        <v>0</v>
      </c>
      <c r="DX75" s="184">
        <f t="shared" ca="1" si="161"/>
        <v>0</v>
      </c>
      <c r="DY75" s="184">
        <f t="shared" ca="1" si="161"/>
        <v>0</v>
      </c>
      <c r="DZ75" s="184">
        <f t="shared" ca="1" si="161"/>
        <v>0</v>
      </c>
      <c r="EA75" s="184">
        <f t="shared" ca="1" si="161"/>
        <v>0</v>
      </c>
      <c r="EB75" s="184">
        <f t="shared" ca="1" si="161"/>
        <v>0</v>
      </c>
      <c r="EC75" s="184">
        <f t="shared" ca="1" si="161"/>
        <v>0</v>
      </c>
      <c r="ED75" s="184">
        <f t="shared" ca="1" si="161"/>
        <v>0</v>
      </c>
      <c r="EE75" s="184">
        <f t="shared" ca="1" si="161"/>
        <v>0</v>
      </c>
      <c r="EF75" s="184">
        <f t="shared" ca="1" si="161"/>
        <v>0</v>
      </c>
      <c r="EG75" s="184">
        <f t="shared" ca="1" si="161"/>
        <v>0</v>
      </c>
      <c r="EH75" s="184">
        <f t="shared" ca="1" si="161"/>
        <v>0</v>
      </c>
      <c r="EI75" s="184">
        <f t="shared" ca="1" si="161"/>
        <v>0</v>
      </c>
      <c r="EJ75" s="184">
        <f t="shared" ca="1" si="161"/>
        <v>0</v>
      </c>
      <c r="EK75" s="184">
        <f t="shared" ca="1" si="161"/>
        <v>0</v>
      </c>
      <c r="EL75" s="184">
        <f t="shared" ref="EL75:EO75" ca="1" si="162">SUM(EL8,EL16,EL24,EL32,EL40,EL48,EL56,EL64,EL72)</f>
        <v>0</v>
      </c>
      <c r="EM75" s="184">
        <f t="shared" ca="1" si="162"/>
        <v>0</v>
      </c>
      <c r="EN75" s="184">
        <f t="shared" ca="1" si="162"/>
        <v>0</v>
      </c>
      <c r="EO75" s="184">
        <f t="shared" ca="1" si="162"/>
        <v>0</v>
      </c>
    </row>
    <row r="77" spans="1:147">
      <c r="I77" s="176" t="s">
        <v>83</v>
      </c>
      <c r="J77" s="176"/>
      <c r="M77" s="175">
        <f ca="1">AVERAGE(M75:EO75)</f>
        <v>226.76691729323309</v>
      </c>
      <c r="N77" s="175">
        <f ca="1">M77*1.2</f>
        <v>272.12030075187971</v>
      </c>
    </row>
    <row r="78" spans="1:147">
      <c r="I78" s="176" t="s">
        <v>84</v>
      </c>
      <c r="J78" s="176"/>
      <c r="M78" s="175">
        <f ca="1">MAX(M75:EO75)</f>
        <v>1403</v>
      </c>
      <c r="N78" s="175">
        <f ca="1">M78*1.2</f>
        <v>1683.6</v>
      </c>
    </row>
    <row r="103" spans="7:7">
      <c r="G103" s="214"/>
    </row>
    <row r="104" spans="7:7">
      <c r="G104" s="215"/>
    </row>
    <row r="114" spans="3:3">
      <c r="C114" s="215"/>
    </row>
  </sheetData>
  <mergeCells count="65">
    <mergeCell ref="A1:I1"/>
    <mergeCell ref="K1:L1"/>
    <mergeCell ref="A3:A7"/>
    <mergeCell ref="B3:B7"/>
    <mergeCell ref="C3:C7"/>
    <mergeCell ref="D3:D7"/>
    <mergeCell ref="K3:K7"/>
    <mergeCell ref="L3:L7"/>
    <mergeCell ref="J3:J7"/>
    <mergeCell ref="L19:L23"/>
    <mergeCell ref="A10:A15"/>
    <mergeCell ref="B10:B15"/>
    <mergeCell ref="C10:C15"/>
    <mergeCell ref="K11:K15"/>
    <mergeCell ref="L11:L15"/>
    <mergeCell ref="A18:A23"/>
    <mergeCell ref="B18:B23"/>
    <mergeCell ref="C18:C23"/>
    <mergeCell ref="K19:K23"/>
    <mergeCell ref="J11:J15"/>
    <mergeCell ref="J19:J23"/>
    <mergeCell ref="D10:D15"/>
    <mergeCell ref="D18:D23"/>
    <mergeCell ref="L35:L39"/>
    <mergeCell ref="A26:A31"/>
    <mergeCell ref="B26:B31"/>
    <mergeCell ref="C26:C31"/>
    <mergeCell ref="K27:K31"/>
    <mergeCell ref="L27:L31"/>
    <mergeCell ref="A34:A39"/>
    <mergeCell ref="B34:B39"/>
    <mergeCell ref="C34:C39"/>
    <mergeCell ref="K35:K39"/>
    <mergeCell ref="J27:J31"/>
    <mergeCell ref="J35:J39"/>
    <mergeCell ref="D26:D31"/>
    <mergeCell ref="D34:D39"/>
    <mergeCell ref="L51:L55"/>
    <mergeCell ref="A42:A47"/>
    <mergeCell ref="B42:B47"/>
    <mergeCell ref="C42:C47"/>
    <mergeCell ref="K43:K47"/>
    <mergeCell ref="L43:L47"/>
    <mergeCell ref="A50:A55"/>
    <mergeCell ref="B50:B55"/>
    <mergeCell ref="C50:C55"/>
    <mergeCell ref="K51:K55"/>
    <mergeCell ref="J43:J47"/>
    <mergeCell ref="J51:J55"/>
    <mergeCell ref="D42:D47"/>
    <mergeCell ref="D50:D55"/>
    <mergeCell ref="L67:L71"/>
    <mergeCell ref="A58:A63"/>
    <mergeCell ref="B58:B63"/>
    <mergeCell ref="C58:C63"/>
    <mergeCell ref="K59:K63"/>
    <mergeCell ref="L59:L63"/>
    <mergeCell ref="A66:A71"/>
    <mergeCell ref="B66:B71"/>
    <mergeCell ref="C66:C71"/>
    <mergeCell ref="K67:K71"/>
    <mergeCell ref="J59:J63"/>
    <mergeCell ref="J67:J71"/>
    <mergeCell ref="D58:D63"/>
    <mergeCell ref="D66:D71"/>
  </mergeCells>
  <pageMargins left="0.7" right="0.7" top="0.75" bottom="0.75" header="0.3" footer="0.3"/>
  <pageSetup paperSize="8" scale="78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D876-4FF0-48A1-A2D1-F6A01E72B92E}">
  <sheetPr>
    <pageSetUpPr fitToPage="1"/>
  </sheetPr>
  <dimension ref="A1:GY78"/>
  <sheetViews>
    <sheetView zoomScaleNormal="100" workbookViewId="0">
      <pane xSplit="4" ySplit="2" topLeftCell="E40" activePane="bottomRight" state="frozen"/>
      <selection pane="topRight" activeCell="E1" sqref="E1"/>
      <selection pane="bottomLeft" activeCell="A2" sqref="A2"/>
      <selection pane="bottomRight" activeCell="Q80" sqref="Q80"/>
    </sheetView>
  </sheetViews>
  <sheetFormatPr defaultColWidth="8.88671875" defaultRowHeight="13.5"/>
  <cols>
    <col min="1" max="1" width="8.88671875" style="191"/>
    <col min="2" max="2" width="15.88671875" style="187" bestFit="1" customWidth="1"/>
    <col min="3" max="3" width="15.109375" style="187" bestFit="1" customWidth="1"/>
    <col min="4" max="4" width="13.33203125" style="187" customWidth="1"/>
    <col min="5" max="5" width="14.33203125" style="187" customWidth="1"/>
    <col min="6" max="6" width="9.44140625" style="187" customWidth="1"/>
    <col min="7" max="7" width="10.109375" style="187" bestFit="1" customWidth="1"/>
    <col min="8" max="8" width="14.33203125" style="187" customWidth="1"/>
    <col min="9" max="9" width="9.5546875" style="187" bestFit="1" customWidth="1"/>
    <col min="10" max="10" width="12.6640625" style="187" bestFit="1" customWidth="1"/>
    <col min="11" max="12" width="10.44140625" style="187" customWidth="1"/>
    <col min="13" max="14" width="10.109375" style="187" customWidth="1"/>
    <col min="15" max="31" width="8.88671875" style="187" customWidth="1"/>
    <col min="32" max="54" width="8.5546875" style="187" customWidth="1"/>
    <col min="55" max="99" width="9.33203125" style="187" customWidth="1"/>
    <col min="100" max="204" width="8.88671875" style="187" customWidth="1"/>
    <col min="205" max="205" width="10.109375" style="187" customWidth="1"/>
    <col min="206" max="16384" width="8.88671875" style="187"/>
  </cols>
  <sheetData>
    <row r="1" spans="1:207" ht="24.75" customHeight="1">
      <c r="A1" s="461" t="s">
        <v>85</v>
      </c>
      <c r="B1" s="461"/>
      <c r="C1" s="461"/>
      <c r="D1" s="461"/>
      <c r="E1" s="461"/>
      <c r="F1" s="461"/>
      <c r="G1" s="461"/>
      <c r="H1" s="461"/>
      <c r="I1" s="461"/>
      <c r="J1" s="338"/>
      <c r="K1" s="511">
        <v>46196</v>
      </c>
      <c r="L1" s="510"/>
    </row>
    <row r="2" spans="1:207" s="173" customFormat="1" ht="40.5" customHeight="1">
      <c r="A2" s="179"/>
      <c r="B2" s="216" t="s">
        <v>57</v>
      </c>
      <c r="C2" s="217" t="str">
        <f>'BESS 11'!$G$2</f>
        <v>Trial-Run End Date</v>
      </c>
      <c r="D2" s="217" t="str">
        <f>'BESS 11'!$H$2</f>
        <v>COD</v>
      </c>
      <c r="E2" s="217" t="s">
        <v>10</v>
      </c>
      <c r="F2" s="217" t="s">
        <v>58</v>
      </c>
      <c r="G2" s="217" t="s">
        <v>86</v>
      </c>
      <c r="H2" s="217" t="s">
        <v>79</v>
      </c>
      <c r="I2" s="217" t="s">
        <v>59</v>
      </c>
      <c r="J2" s="128" t="s">
        <v>230</v>
      </c>
      <c r="K2" s="216" t="s">
        <v>80</v>
      </c>
      <c r="L2" s="216" t="s">
        <v>62</v>
      </c>
      <c r="M2" s="218">
        <v>46195</v>
      </c>
      <c r="N2" s="218">
        <v>46196</v>
      </c>
      <c r="O2" s="218">
        <v>46197</v>
      </c>
      <c r="P2" s="218">
        <v>46198</v>
      </c>
      <c r="Q2" s="218">
        <v>46199</v>
      </c>
      <c r="R2" s="218">
        <v>46200</v>
      </c>
      <c r="S2" s="218">
        <f t="shared" ref="S2:CD2" si="0">R2+1</f>
        <v>46201</v>
      </c>
      <c r="T2" s="218">
        <f t="shared" si="0"/>
        <v>46202</v>
      </c>
      <c r="U2" s="218">
        <f t="shared" si="0"/>
        <v>46203</v>
      </c>
      <c r="V2" s="218">
        <f t="shared" si="0"/>
        <v>46204</v>
      </c>
      <c r="W2" s="218">
        <f t="shared" si="0"/>
        <v>46205</v>
      </c>
      <c r="X2" s="218">
        <f t="shared" si="0"/>
        <v>46206</v>
      </c>
      <c r="Y2" s="218">
        <f t="shared" si="0"/>
        <v>46207</v>
      </c>
      <c r="Z2" s="218">
        <f t="shared" si="0"/>
        <v>46208</v>
      </c>
      <c r="AA2" s="218">
        <f t="shared" si="0"/>
        <v>46209</v>
      </c>
      <c r="AB2" s="218">
        <f t="shared" si="0"/>
        <v>46210</v>
      </c>
      <c r="AC2" s="218">
        <f t="shared" si="0"/>
        <v>46211</v>
      </c>
      <c r="AD2" s="218">
        <f t="shared" si="0"/>
        <v>46212</v>
      </c>
      <c r="AE2" s="218">
        <f t="shared" si="0"/>
        <v>46213</v>
      </c>
      <c r="AF2" s="218">
        <f t="shared" si="0"/>
        <v>46214</v>
      </c>
      <c r="AG2" s="218">
        <f t="shared" si="0"/>
        <v>46215</v>
      </c>
      <c r="AH2" s="218">
        <f t="shared" si="0"/>
        <v>46216</v>
      </c>
      <c r="AI2" s="218">
        <f t="shared" si="0"/>
        <v>46217</v>
      </c>
      <c r="AJ2" s="218">
        <f t="shared" si="0"/>
        <v>46218</v>
      </c>
      <c r="AK2" s="218">
        <f t="shared" si="0"/>
        <v>46219</v>
      </c>
      <c r="AL2" s="218">
        <f t="shared" si="0"/>
        <v>46220</v>
      </c>
      <c r="AM2" s="218">
        <f t="shared" si="0"/>
        <v>46221</v>
      </c>
      <c r="AN2" s="218">
        <f t="shared" si="0"/>
        <v>46222</v>
      </c>
      <c r="AO2" s="218">
        <f t="shared" si="0"/>
        <v>46223</v>
      </c>
      <c r="AP2" s="218">
        <f t="shared" si="0"/>
        <v>46224</v>
      </c>
      <c r="AQ2" s="218">
        <f t="shared" si="0"/>
        <v>46225</v>
      </c>
      <c r="AR2" s="218">
        <f t="shared" si="0"/>
        <v>46226</v>
      </c>
      <c r="AS2" s="218">
        <f t="shared" si="0"/>
        <v>46227</v>
      </c>
      <c r="AT2" s="218">
        <f t="shared" si="0"/>
        <v>46228</v>
      </c>
      <c r="AU2" s="218">
        <f t="shared" si="0"/>
        <v>46229</v>
      </c>
      <c r="AV2" s="218">
        <f t="shared" si="0"/>
        <v>46230</v>
      </c>
      <c r="AW2" s="218">
        <f t="shared" si="0"/>
        <v>46231</v>
      </c>
      <c r="AX2" s="218">
        <f t="shared" si="0"/>
        <v>46232</v>
      </c>
      <c r="AY2" s="218">
        <f t="shared" si="0"/>
        <v>46233</v>
      </c>
      <c r="AZ2" s="218">
        <f t="shared" si="0"/>
        <v>46234</v>
      </c>
      <c r="BA2" s="218">
        <f t="shared" si="0"/>
        <v>46235</v>
      </c>
      <c r="BB2" s="218">
        <f t="shared" si="0"/>
        <v>46236</v>
      </c>
      <c r="BC2" s="218">
        <f t="shared" si="0"/>
        <v>46237</v>
      </c>
      <c r="BD2" s="218">
        <f t="shared" si="0"/>
        <v>46238</v>
      </c>
      <c r="BE2" s="218">
        <f t="shared" si="0"/>
        <v>46239</v>
      </c>
      <c r="BF2" s="218">
        <f t="shared" si="0"/>
        <v>46240</v>
      </c>
      <c r="BG2" s="218">
        <f t="shared" si="0"/>
        <v>46241</v>
      </c>
      <c r="BH2" s="218">
        <f t="shared" si="0"/>
        <v>46242</v>
      </c>
      <c r="BI2" s="218">
        <f t="shared" si="0"/>
        <v>46243</v>
      </c>
      <c r="BJ2" s="218">
        <f t="shared" si="0"/>
        <v>46244</v>
      </c>
      <c r="BK2" s="218">
        <f t="shared" si="0"/>
        <v>46245</v>
      </c>
      <c r="BL2" s="218">
        <f t="shared" si="0"/>
        <v>46246</v>
      </c>
      <c r="BM2" s="218">
        <f t="shared" si="0"/>
        <v>46247</v>
      </c>
      <c r="BN2" s="218">
        <f t="shared" si="0"/>
        <v>46248</v>
      </c>
      <c r="BO2" s="218">
        <f t="shared" si="0"/>
        <v>46249</v>
      </c>
      <c r="BP2" s="218">
        <f t="shared" si="0"/>
        <v>46250</v>
      </c>
      <c r="BQ2" s="218">
        <f t="shared" si="0"/>
        <v>46251</v>
      </c>
      <c r="BR2" s="218">
        <f t="shared" si="0"/>
        <v>46252</v>
      </c>
      <c r="BS2" s="218">
        <f t="shared" si="0"/>
        <v>46253</v>
      </c>
      <c r="BT2" s="218">
        <f t="shared" si="0"/>
        <v>46254</v>
      </c>
      <c r="BU2" s="218">
        <f t="shared" si="0"/>
        <v>46255</v>
      </c>
      <c r="BV2" s="218">
        <f t="shared" si="0"/>
        <v>46256</v>
      </c>
      <c r="BW2" s="218">
        <f t="shared" si="0"/>
        <v>46257</v>
      </c>
      <c r="BX2" s="218">
        <f t="shared" si="0"/>
        <v>46258</v>
      </c>
      <c r="BY2" s="218">
        <f t="shared" si="0"/>
        <v>46259</v>
      </c>
      <c r="BZ2" s="218">
        <f t="shared" si="0"/>
        <v>46260</v>
      </c>
      <c r="CA2" s="218">
        <f t="shared" si="0"/>
        <v>46261</v>
      </c>
      <c r="CB2" s="218">
        <f t="shared" si="0"/>
        <v>46262</v>
      </c>
      <c r="CC2" s="218">
        <f t="shared" si="0"/>
        <v>46263</v>
      </c>
      <c r="CD2" s="218">
        <f t="shared" si="0"/>
        <v>46264</v>
      </c>
      <c r="CE2" s="218">
        <f t="shared" ref="CE2:CT2" si="1">CD2+1</f>
        <v>46265</v>
      </c>
      <c r="CF2" s="218">
        <f t="shared" si="1"/>
        <v>46266</v>
      </c>
      <c r="CG2" s="218">
        <f t="shared" si="1"/>
        <v>46267</v>
      </c>
      <c r="CH2" s="218">
        <f t="shared" si="1"/>
        <v>46268</v>
      </c>
      <c r="CI2" s="218">
        <f t="shared" si="1"/>
        <v>46269</v>
      </c>
      <c r="CJ2" s="218">
        <f t="shared" si="1"/>
        <v>46270</v>
      </c>
      <c r="CK2" s="218">
        <f t="shared" si="1"/>
        <v>46271</v>
      </c>
      <c r="CL2" s="218">
        <f t="shared" si="1"/>
        <v>46272</v>
      </c>
      <c r="CM2" s="218">
        <f t="shared" si="1"/>
        <v>46273</v>
      </c>
      <c r="CN2" s="218">
        <f t="shared" si="1"/>
        <v>46274</v>
      </c>
      <c r="CO2" s="218">
        <f t="shared" si="1"/>
        <v>46275</v>
      </c>
      <c r="CP2" s="218">
        <f t="shared" si="1"/>
        <v>46276</v>
      </c>
      <c r="CQ2" s="218">
        <f t="shared" si="1"/>
        <v>46277</v>
      </c>
      <c r="CR2" s="218">
        <f t="shared" si="1"/>
        <v>46278</v>
      </c>
      <c r="CS2" s="218">
        <f t="shared" si="1"/>
        <v>46279</v>
      </c>
      <c r="CT2" s="218">
        <f t="shared" si="1"/>
        <v>46280</v>
      </c>
      <c r="CU2" s="218">
        <f t="shared" ref="CU2" si="2">CT2+1</f>
        <v>46281</v>
      </c>
      <c r="CV2" s="218">
        <f t="shared" ref="CV2" si="3">CU2+1</f>
        <v>46282</v>
      </c>
      <c r="CW2" s="218">
        <f t="shared" ref="CW2" si="4">CV2+1</f>
        <v>46283</v>
      </c>
      <c r="CX2" s="218">
        <f t="shared" ref="CX2" si="5">CW2+1</f>
        <v>46284</v>
      </c>
      <c r="CY2" s="218">
        <f t="shared" ref="CY2" si="6">CX2+1</f>
        <v>46285</v>
      </c>
      <c r="CZ2" s="218">
        <f t="shared" ref="CZ2" si="7">CY2+1</f>
        <v>46286</v>
      </c>
      <c r="DA2" s="218">
        <f t="shared" ref="DA2" si="8">CZ2+1</f>
        <v>46287</v>
      </c>
      <c r="DB2" s="218">
        <f t="shared" ref="DB2" si="9">DA2+1</f>
        <v>46288</v>
      </c>
      <c r="DC2" s="218">
        <f t="shared" ref="DC2" si="10">DB2+1</f>
        <v>46289</v>
      </c>
      <c r="DD2" s="218">
        <f t="shared" ref="DD2" si="11">DC2+1</f>
        <v>46290</v>
      </c>
      <c r="DE2" s="218">
        <f t="shared" ref="DE2" si="12">DD2+1</f>
        <v>46291</v>
      </c>
      <c r="DF2" s="218">
        <f t="shared" ref="DF2" si="13">DE2+1</f>
        <v>46292</v>
      </c>
      <c r="DG2" s="218">
        <f t="shared" ref="DG2" si="14">DF2+1</f>
        <v>46293</v>
      </c>
      <c r="DH2" s="218">
        <f t="shared" ref="DH2" si="15">DG2+1</f>
        <v>46294</v>
      </c>
      <c r="DI2" s="218">
        <f t="shared" ref="DI2" si="16">DH2+1</f>
        <v>46295</v>
      </c>
      <c r="DJ2" s="218">
        <f t="shared" ref="DJ2" si="17">DI2+1</f>
        <v>46296</v>
      </c>
      <c r="DK2" s="218">
        <f t="shared" ref="DK2" si="18">DJ2+1</f>
        <v>46297</v>
      </c>
      <c r="DL2" s="218">
        <f t="shared" ref="DL2" si="19">DK2+1</f>
        <v>46298</v>
      </c>
      <c r="DM2" s="218">
        <f t="shared" ref="DM2" si="20">DL2+1</f>
        <v>46299</v>
      </c>
      <c r="DN2" s="218">
        <f t="shared" ref="DN2" si="21">DM2+1</f>
        <v>46300</v>
      </c>
      <c r="DO2" s="218">
        <f t="shared" ref="DO2" si="22">DN2+1</f>
        <v>46301</v>
      </c>
      <c r="DP2" s="218">
        <f t="shared" ref="DP2" si="23">DO2+1</f>
        <v>46302</v>
      </c>
      <c r="DQ2" s="218">
        <f t="shared" ref="DQ2" si="24">DP2+1</f>
        <v>46303</v>
      </c>
      <c r="DR2" s="218">
        <f t="shared" ref="DR2" si="25">DQ2+1</f>
        <v>46304</v>
      </c>
      <c r="DS2" s="218">
        <f t="shared" ref="DS2" si="26">DR2+1</f>
        <v>46305</v>
      </c>
      <c r="DT2" s="218">
        <f t="shared" ref="DT2" si="27">DS2+1</f>
        <v>46306</v>
      </c>
      <c r="DU2" s="218">
        <f t="shared" ref="DU2" si="28">DT2+1</f>
        <v>46307</v>
      </c>
      <c r="DV2" s="218">
        <f t="shared" ref="DV2" si="29">DU2+1</f>
        <v>46308</v>
      </c>
      <c r="DW2" s="218">
        <f t="shared" ref="DW2" si="30">DV2+1</f>
        <v>46309</v>
      </c>
      <c r="DX2" s="218">
        <f t="shared" ref="DX2" si="31">DW2+1</f>
        <v>46310</v>
      </c>
      <c r="DY2" s="218">
        <f t="shared" ref="DY2" si="32">DX2+1</f>
        <v>46311</v>
      </c>
      <c r="DZ2" s="218">
        <f t="shared" ref="DZ2" si="33">DY2+1</f>
        <v>46312</v>
      </c>
      <c r="EA2" s="218">
        <f t="shared" ref="EA2" si="34">DZ2+1</f>
        <v>46313</v>
      </c>
      <c r="EB2" s="218">
        <f t="shared" ref="EB2" si="35">EA2+1</f>
        <v>46314</v>
      </c>
      <c r="EC2" s="218">
        <f t="shared" ref="EC2" si="36">EB2+1</f>
        <v>46315</v>
      </c>
      <c r="ED2" s="218">
        <f t="shared" ref="ED2" si="37">EC2+1</f>
        <v>46316</v>
      </c>
      <c r="EE2" s="218">
        <f t="shared" ref="EE2" si="38">ED2+1</f>
        <v>46317</v>
      </c>
      <c r="EF2" s="218">
        <f t="shared" ref="EF2" si="39">EE2+1</f>
        <v>46318</v>
      </c>
      <c r="EG2" s="218">
        <f t="shared" ref="EG2" si="40">EF2+1</f>
        <v>46319</v>
      </c>
      <c r="EH2" s="218">
        <f t="shared" ref="EH2" si="41">EG2+1</f>
        <v>46320</v>
      </c>
      <c r="EI2" s="218">
        <f t="shared" ref="EI2" si="42">EH2+1</f>
        <v>46321</v>
      </c>
      <c r="EJ2" s="218">
        <f t="shared" ref="EJ2" si="43">EI2+1</f>
        <v>46322</v>
      </c>
      <c r="EK2" s="218">
        <f t="shared" ref="EK2" si="44">EJ2+1</f>
        <v>46323</v>
      </c>
      <c r="EL2" s="218">
        <f t="shared" ref="EL2" si="45">EK2+1</f>
        <v>46324</v>
      </c>
      <c r="EM2" s="218">
        <f t="shared" ref="EM2" si="46">EL2+1</f>
        <v>46325</v>
      </c>
      <c r="EN2" s="218">
        <f t="shared" ref="EN2" si="47">EM2+1</f>
        <v>46326</v>
      </c>
      <c r="EO2" s="218">
        <f t="shared" ref="EO2" si="48">EN2+1</f>
        <v>46327</v>
      </c>
      <c r="EP2" s="218">
        <f t="shared" ref="EP2" si="49">EO2+1</f>
        <v>46328</v>
      </c>
      <c r="EQ2" s="218">
        <f t="shared" ref="EQ2" si="50">EP2+1</f>
        <v>46329</v>
      </c>
      <c r="ER2" s="218">
        <f t="shared" ref="ER2" si="51">EQ2+1</f>
        <v>46330</v>
      </c>
      <c r="ES2" s="218">
        <f t="shared" ref="ES2" si="52">ER2+1</f>
        <v>46331</v>
      </c>
      <c r="ET2" s="218">
        <f t="shared" ref="ET2" si="53">ES2+1</f>
        <v>46332</v>
      </c>
      <c r="EU2" s="218">
        <f t="shared" ref="EU2" si="54">ET2+1</f>
        <v>46333</v>
      </c>
      <c r="EV2" s="218">
        <f t="shared" ref="EV2" si="55">EU2+1</f>
        <v>46334</v>
      </c>
      <c r="EW2" s="218">
        <f t="shared" ref="EW2" si="56">EV2+1</f>
        <v>46335</v>
      </c>
      <c r="EX2" s="218">
        <f t="shared" ref="EX2" si="57">EW2+1</f>
        <v>46336</v>
      </c>
      <c r="EY2" s="218">
        <f t="shared" ref="EY2" si="58">EX2+1</f>
        <v>46337</v>
      </c>
      <c r="EZ2" s="218">
        <f t="shared" ref="EZ2" si="59">EY2+1</f>
        <v>46338</v>
      </c>
      <c r="FA2" s="218">
        <f t="shared" ref="FA2" si="60">EZ2+1</f>
        <v>46339</v>
      </c>
      <c r="FB2" s="218">
        <f t="shared" ref="FB2" si="61">FA2+1</f>
        <v>46340</v>
      </c>
      <c r="FC2" s="219">
        <v>46341</v>
      </c>
      <c r="FD2" s="219">
        <v>46342</v>
      </c>
      <c r="FE2" s="219">
        <v>46343</v>
      </c>
      <c r="FF2" s="219">
        <v>46344</v>
      </c>
      <c r="FG2" s="219">
        <v>46345</v>
      </c>
      <c r="FH2" s="219">
        <v>46346</v>
      </c>
      <c r="FI2" s="219">
        <v>46347</v>
      </c>
      <c r="FJ2" s="219">
        <v>46348</v>
      </c>
      <c r="FK2" s="219">
        <v>46349</v>
      </c>
      <c r="FL2" s="219">
        <v>46350</v>
      </c>
      <c r="FM2" s="219">
        <v>46351</v>
      </c>
      <c r="FN2" s="219">
        <v>46352</v>
      </c>
      <c r="FO2" s="219">
        <v>46353</v>
      </c>
      <c r="FP2" s="219">
        <v>46354</v>
      </c>
      <c r="FQ2" s="219">
        <v>46355</v>
      </c>
      <c r="FR2" s="219">
        <v>46356</v>
      </c>
      <c r="FS2" s="219">
        <v>46357</v>
      </c>
      <c r="FT2" s="219">
        <v>46358</v>
      </c>
      <c r="FU2" s="219">
        <v>46359</v>
      </c>
      <c r="FV2" s="219">
        <v>46360</v>
      </c>
      <c r="FW2" s="219">
        <v>46361</v>
      </c>
      <c r="FX2" s="219">
        <v>46362</v>
      </c>
      <c r="FY2" s="219">
        <v>46363</v>
      </c>
      <c r="FZ2" s="219">
        <v>46364</v>
      </c>
      <c r="GA2" s="219">
        <v>46365</v>
      </c>
      <c r="GB2" s="219">
        <v>46366</v>
      </c>
      <c r="GC2" s="219">
        <v>46367</v>
      </c>
      <c r="GD2" s="219">
        <v>46368</v>
      </c>
      <c r="GE2" s="219">
        <v>46369</v>
      </c>
      <c r="GF2" s="219">
        <v>46370</v>
      </c>
      <c r="GG2" s="219">
        <v>46371</v>
      </c>
      <c r="GH2" s="219">
        <v>46372</v>
      </c>
      <c r="GI2" s="219">
        <v>46373</v>
      </c>
      <c r="GJ2" s="219">
        <v>46374</v>
      </c>
      <c r="GK2" s="219">
        <v>46375</v>
      </c>
      <c r="GL2" s="219">
        <v>46376</v>
      </c>
      <c r="GM2" s="219">
        <v>46377</v>
      </c>
      <c r="GN2" s="219">
        <v>46378</v>
      </c>
      <c r="GO2" s="219">
        <v>46379</v>
      </c>
      <c r="GP2" s="219">
        <v>46380</v>
      </c>
      <c r="GQ2" s="219">
        <v>46381</v>
      </c>
      <c r="GR2" s="219">
        <v>46382</v>
      </c>
      <c r="GS2" s="219">
        <v>46383</v>
      </c>
      <c r="GT2" s="219">
        <v>46384</v>
      </c>
      <c r="GU2" s="219">
        <v>46385</v>
      </c>
      <c r="GV2" s="219">
        <v>46386</v>
      </c>
      <c r="GW2" s="219">
        <v>46387</v>
      </c>
      <c r="GY2" s="220"/>
    </row>
    <row r="3" spans="1:207">
      <c r="A3" s="464" t="s">
        <v>63</v>
      </c>
      <c r="B3" s="465">
        <f>IF(LEN('BESS 12'!F51)=5,'BESS 12'!F51,(IF('BESS 12'!F51="Completed"," ",DATEVALUE(RIGHT('BESS 12'!F51,6)))))</f>
        <v>46231</v>
      </c>
      <c r="C3" s="465">
        <f>IF(LEN('BESS 12'!G51)=5,'BESS 12'!G51,(IF('BESS 12'!G51="Completed"," ",DATEVALUE(RIGHT('BESS 12'!G51,6)))))</f>
        <v>46236</v>
      </c>
      <c r="D3" s="467">
        <f>IF(LEN('BESS 12'!H51)=5,'BESS 12'!H51,(IF('BESS 12'!H51="Completed"," ",DATEVALUE(RIGHT('BESS 12'!H51,6)))))</f>
        <v>46239</v>
      </c>
      <c r="E3" s="185" t="s">
        <v>64</v>
      </c>
      <c r="F3" s="66" t="e">
        <f>SUM('BESS 12'!S64:S71,'BESS 12'!S73)</f>
        <v>#VALUE!</v>
      </c>
      <c r="G3" s="182">
        <f ca="1">TODAY()</f>
        <v>46233</v>
      </c>
      <c r="H3" s="162">
        <f ca="1">G3</f>
        <v>46233</v>
      </c>
      <c r="I3" s="66">
        <f ca="1">H3-G3</f>
        <v>0</v>
      </c>
      <c r="J3" s="444">
        <f ca="1">K3*1.2</f>
        <v>10</v>
      </c>
      <c r="K3" s="506">
        <f ca="1">AVERAGEIF(M8:CT8,"&gt;0")</f>
        <v>8.3333333333333339</v>
      </c>
      <c r="L3" s="506">
        <f ca="1">MAX(M8:CT8)</f>
        <v>30</v>
      </c>
      <c r="M3" s="65" t="str">
        <f t="shared" ref="M3:AB6" ca="1" si="62">IF(AND(M$2&gt;=$G3,M$2&lt;($G3+$I3)),ROUND($F3/$I3,0),"-")</f>
        <v>-</v>
      </c>
      <c r="N3" s="65" t="str">
        <f t="shared" ca="1" si="62"/>
        <v>-</v>
      </c>
      <c r="O3" s="65" t="str">
        <f t="shared" ca="1" si="62"/>
        <v>-</v>
      </c>
      <c r="P3" s="65" t="str">
        <f t="shared" ca="1" si="62"/>
        <v>-</v>
      </c>
      <c r="Q3" s="65" t="str">
        <f t="shared" ca="1" si="62"/>
        <v>-</v>
      </c>
      <c r="R3" s="65" t="str">
        <f t="shared" ca="1" si="62"/>
        <v>-</v>
      </c>
      <c r="S3" s="65" t="str">
        <f t="shared" ca="1" si="62"/>
        <v>-</v>
      </c>
      <c r="T3" s="65" t="str">
        <f t="shared" ca="1" si="62"/>
        <v>-</v>
      </c>
      <c r="U3" s="65" t="str">
        <f t="shared" ca="1" si="62"/>
        <v>-</v>
      </c>
      <c r="V3" s="65" t="str">
        <f t="shared" ca="1" si="62"/>
        <v>-</v>
      </c>
      <c r="W3" s="65" t="str">
        <f t="shared" ca="1" si="62"/>
        <v>-</v>
      </c>
      <c r="X3" s="65" t="str">
        <f t="shared" ca="1" si="62"/>
        <v>-</v>
      </c>
      <c r="Y3" s="65" t="str">
        <f t="shared" ca="1" si="62"/>
        <v>-</v>
      </c>
      <c r="Z3" s="65" t="str">
        <f t="shared" ca="1" si="62"/>
        <v>-</v>
      </c>
      <c r="AA3" s="65" t="str">
        <f t="shared" ca="1" si="62"/>
        <v>-</v>
      </c>
      <c r="AB3" s="65" t="str">
        <f t="shared" ca="1" si="62"/>
        <v>-</v>
      </c>
      <c r="AC3" s="65" t="str">
        <f t="shared" ref="AC3:AR6" ca="1" si="63">IF(AND(AC$2&gt;=$G3,AC$2&lt;($G3+$I3)),ROUND($F3/$I3,0),"-")</f>
        <v>-</v>
      </c>
      <c r="AD3" s="65" t="str">
        <f t="shared" ca="1" si="63"/>
        <v>-</v>
      </c>
      <c r="AE3" s="65" t="str">
        <f t="shared" ca="1" si="63"/>
        <v>-</v>
      </c>
      <c r="AF3" s="65" t="str">
        <f t="shared" ca="1" si="63"/>
        <v>-</v>
      </c>
      <c r="AG3" s="65" t="str">
        <f t="shared" ca="1" si="63"/>
        <v>-</v>
      </c>
      <c r="AH3" s="65" t="str">
        <f t="shared" ca="1" si="63"/>
        <v>-</v>
      </c>
      <c r="AI3" s="65" t="str">
        <f t="shared" ca="1" si="63"/>
        <v>-</v>
      </c>
      <c r="AJ3" s="65" t="str">
        <f t="shared" ca="1" si="63"/>
        <v>-</v>
      </c>
      <c r="AK3" s="65" t="str">
        <f t="shared" ca="1" si="63"/>
        <v>-</v>
      </c>
      <c r="AL3" s="65" t="str">
        <f t="shared" ca="1" si="63"/>
        <v>-</v>
      </c>
      <c r="AM3" s="65" t="str">
        <f t="shared" ca="1" si="63"/>
        <v>-</v>
      </c>
      <c r="AN3" s="65" t="str">
        <f t="shared" ca="1" si="63"/>
        <v>-</v>
      </c>
      <c r="AO3" s="65" t="str">
        <f t="shared" ca="1" si="63"/>
        <v>-</v>
      </c>
      <c r="AP3" s="65" t="str">
        <f t="shared" ca="1" si="63"/>
        <v>-</v>
      </c>
      <c r="AQ3" s="65" t="str">
        <f t="shared" ca="1" si="63"/>
        <v>-</v>
      </c>
      <c r="AR3" s="65" t="str">
        <f t="shared" ca="1" si="63"/>
        <v>-</v>
      </c>
      <c r="AS3" s="65" t="str">
        <f t="shared" ref="AS3:BH6" ca="1" si="64">IF(AND(AS$2&gt;=$G3,AS$2&lt;($G3+$I3)),ROUND($F3/$I3,0),"-")</f>
        <v>-</v>
      </c>
      <c r="AT3" s="65" t="str">
        <f t="shared" ca="1" si="64"/>
        <v>-</v>
      </c>
      <c r="AU3" s="65" t="str">
        <f t="shared" ca="1" si="64"/>
        <v>-</v>
      </c>
      <c r="AV3" s="65" t="str">
        <f t="shared" ca="1" si="64"/>
        <v>-</v>
      </c>
      <c r="AW3" s="65" t="str">
        <f t="shared" ca="1" si="64"/>
        <v>-</v>
      </c>
      <c r="AX3" s="65" t="str">
        <f t="shared" ca="1" si="64"/>
        <v>-</v>
      </c>
      <c r="AY3" s="65" t="str">
        <f t="shared" ca="1" si="64"/>
        <v>-</v>
      </c>
      <c r="AZ3" s="65" t="str">
        <f t="shared" ca="1" si="64"/>
        <v>-</v>
      </c>
      <c r="BA3" s="65" t="str">
        <f t="shared" ca="1" si="64"/>
        <v>-</v>
      </c>
      <c r="BB3" s="65" t="str">
        <f t="shared" ca="1" si="64"/>
        <v>-</v>
      </c>
      <c r="BC3" s="65" t="str">
        <f t="shared" ca="1" si="64"/>
        <v>-</v>
      </c>
      <c r="BD3" s="65" t="str">
        <f t="shared" ca="1" si="64"/>
        <v>-</v>
      </c>
      <c r="BE3" s="65" t="str">
        <f t="shared" ca="1" si="64"/>
        <v>-</v>
      </c>
      <c r="BF3" s="65" t="str">
        <f t="shared" ca="1" si="64"/>
        <v>-</v>
      </c>
      <c r="BG3" s="65" t="str">
        <f t="shared" ca="1" si="64"/>
        <v>-</v>
      </c>
      <c r="BH3" s="65" t="str">
        <f t="shared" ca="1" si="64"/>
        <v>-</v>
      </c>
      <c r="BI3" s="65" t="str">
        <f t="shared" ref="BI3:BX6" ca="1" si="65">IF(AND(BI$2&gt;=$G3,BI$2&lt;($G3+$I3)),ROUND($F3/$I3,0),"-")</f>
        <v>-</v>
      </c>
      <c r="BJ3" s="65" t="str">
        <f t="shared" ca="1" si="65"/>
        <v>-</v>
      </c>
      <c r="BK3" s="65" t="str">
        <f t="shared" ca="1" si="65"/>
        <v>-</v>
      </c>
      <c r="BL3" s="65" t="str">
        <f t="shared" ca="1" si="65"/>
        <v>-</v>
      </c>
      <c r="BM3" s="65" t="str">
        <f t="shared" ca="1" si="65"/>
        <v>-</v>
      </c>
      <c r="BN3" s="65" t="str">
        <f t="shared" ca="1" si="65"/>
        <v>-</v>
      </c>
      <c r="BO3" s="65" t="str">
        <f t="shared" ca="1" si="65"/>
        <v>-</v>
      </c>
      <c r="BP3" s="65" t="str">
        <f t="shared" ca="1" si="65"/>
        <v>-</v>
      </c>
      <c r="BQ3" s="65" t="str">
        <f t="shared" ca="1" si="65"/>
        <v>-</v>
      </c>
      <c r="BR3" s="65" t="str">
        <f t="shared" ca="1" si="65"/>
        <v>-</v>
      </c>
      <c r="BS3" s="65" t="str">
        <f t="shared" ca="1" si="65"/>
        <v>-</v>
      </c>
      <c r="BT3" s="65" t="str">
        <f t="shared" ca="1" si="65"/>
        <v>-</v>
      </c>
      <c r="BU3" s="65" t="str">
        <f t="shared" ca="1" si="65"/>
        <v>-</v>
      </c>
      <c r="BV3" s="65" t="str">
        <f t="shared" ca="1" si="65"/>
        <v>-</v>
      </c>
      <c r="BW3" s="65" t="str">
        <f t="shared" ca="1" si="65"/>
        <v>-</v>
      </c>
      <c r="BX3" s="65" t="str">
        <f t="shared" ca="1" si="65"/>
        <v>-</v>
      </c>
      <c r="BY3" s="65" t="str">
        <f t="shared" ref="BY3:CN6" ca="1" si="66">IF(AND(BY$2&gt;=$G3,BY$2&lt;($G3+$I3)),ROUND($F3/$I3,0),"-")</f>
        <v>-</v>
      </c>
      <c r="BZ3" s="65" t="str">
        <f t="shared" ca="1" si="66"/>
        <v>-</v>
      </c>
      <c r="CA3" s="65" t="str">
        <f t="shared" ca="1" si="66"/>
        <v>-</v>
      </c>
      <c r="CB3" s="65" t="str">
        <f t="shared" ca="1" si="66"/>
        <v>-</v>
      </c>
      <c r="CC3" s="65" t="str">
        <f t="shared" ca="1" si="66"/>
        <v>-</v>
      </c>
      <c r="CD3" s="65" t="str">
        <f t="shared" ca="1" si="66"/>
        <v>-</v>
      </c>
      <c r="CE3" s="65" t="str">
        <f t="shared" ca="1" si="66"/>
        <v>-</v>
      </c>
      <c r="CF3" s="65" t="str">
        <f t="shared" ca="1" si="66"/>
        <v>-</v>
      </c>
      <c r="CG3" s="65" t="str">
        <f t="shared" ca="1" si="66"/>
        <v>-</v>
      </c>
      <c r="CH3" s="65" t="str">
        <f t="shared" ca="1" si="66"/>
        <v>-</v>
      </c>
      <c r="CI3" s="65" t="str">
        <f t="shared" ca="1" si="66"/>
        <v>-</v>
      </c>
      <c r="CJ3" s="65" t="str">
        <f t="shared" ca="1" si="66"/>
        <v>-</v>
      </c>
      <c r="CK3" s="65" t="str">
        <f t="shared" ca="1" si="66"/>
        <v>-</v>
      </c>
      <c r="CL3" s="65" t="str">
        <f t="shared" ca="1" si="66"/>
        <v>-</v>
      </c>
      <c r="CM3" s="65" t="str">
        <f t="shared" ca="1" si="66"/>
        <v>-</v>
      </c>
      <c r="CN3" s="65" t="str">
        <f t="shared" ca="1" si="66"/>
        <v>-</v>
      </c>
      <c r="CO3" s="65" t="str">
        <f t="shared" ref="CO3:DD6" ca="1" si="67">IF(AND(CO$2&gt;=$G3,CO$2&lt;($G3+$I3)),ROUND($F3/$I3,0),"-")</f>
        <v>-</v>
      </c>
      <c r="CP3" s="65" t="str">
        <f t="shared" ca="1" si="67"/>
        <v>-</v>
      </c>
      <c r="CQ3" s="65" t="str">
        <f t="shared" ca="1" si="67"/>
        <v>-</v>
      </c>
      <c r="CR3" s="65" t="str">
        <f t="shared" ca="1" si="67"/>
        <v>-</v>
      </c>
      <c r="CS3" s="65" t="str">
        <f t="shared" ca="1" si="67"/>
        <v>-</v>
      </c>
      <c r="CT3" s="65" t="str">
        <f t="shared" ca="1" si="67"/>
        <v>-</v>
      </c>
      <c r="CU3" s="65" t="str">
        <f t="shared" ca="1" si="67"/>
        <v>-</v>
      </c>
      <c r="CV3" s="65" t="str">
        <f t="shared" ca="1" si="67"/>
        <v>-</v>
      </c>
      <c r="CW3" s="65" t="str">
        <f t="shared" ca="1" si="67"/>
        <v>-</v>
      </c>
      <c r="CX3" s="65" t="str">
        <f t="shared" ca="1" si="67"/>
        <v>-</v>
      </c>
      <c r="CY3" s="65" t="str">
        <f t="shared" ca="1" si="67"/>
        <v>-</v>
      </c>
      <c r="CZ3" s="65" t="str">
        <f t="shared" ca="1" si="67"/>
        <v>-</v>
      </c>
      <c r="DA3" s="65" t="str">
        <f t="shared" ca="1" si="67"/>
        <v>-</v>
      </c>
      <c r="DB3" s="65" t="str">
        <f t="shared" ca="1" si="67"/>
        <v>-</v>
      </c>
      <c r="DC3" s="65" t="str">
        <f t="shared" ca="1" si="67"/>
        <v>-</v>
      </c>
      <c r="DD3" s="65" t="str">
        <f t="shared" ca="1" si="67"/>
        <v>-</v>
      </c>
      <c r="DE3" s="65" t="str">
        <f t="shared" ref="CU3:DV6" ca="1" si="68">IF(AND(DE$2&gt;=$G3,DE$2&lt;($G3+$I3)),ROUND($F3/$I3,0),"-")</f>
        <v>-</v>
      </c>
      <c r="DF3" s="65" t="str">
        <f t="shared" ca="1" si="68"/>
        <v>-</v>
      </c>
      <c r="DG3" s="65" t="str">
        <f t="shared" ca="1" si="68"/>
        <v>-</v>
      </c>
      <c r="DH3" s="65" t="str">
        <f t="shared" ca="1" si="68"/>
        <v>-</v>
      </c>
      <c r="DI3" s="65" t="str">
        <f t="shared" ca="1" si="68"/>
        <v>-</v>
      </c>
      <c r="DJ3" s="65" t="str">
        <f t="shared" ca="1" si="68"/>
        <v>-</v>
      </c>
      <c r="DK3" s="65" t="str">
        <f t="shared" ca="1" si="68"/>
        <v>-</v>
      </c>
      <c r="DL3" s="65" t="str">
        <f t="shared" ca="1" si="68"/>
        <v>-</v>
      </c>
      <c r="DM3" s="65" t="str">
        <f t="shared" ca="1" si="68"/>
        <v>-</v>
      </c>
      <c r="DN3" s="65" t="str">
        <f t="shared" ca="1" si="68"/>
        <v>-</v>
      </c>
      <c r="DO3" s="65" t="str">
        <f t="shared" ca="1" si="68"/>
        <v>-</v>
      </c>
      <c r="DP3" s="65" t="str">
        <f t="shared" ca="1" si="68"/>
        <v>-</v>
      </c>
      <c r="DQ3" s="65" t="str">
        <f t="shared" ca="1" si="68"/>
        <v>-</v>
      </c>
      <c r="DR3" s="65" t="str">
        <f t="shared" ca="1" si="68"/>
        <v>-</v>
      </c>
      <c r="DS3" s="65" t="str">
        <f t="shared" ca="1" si="68"/>
        <v>-</v>
      </c>
      <c r="DT3" s="65" t="str">
        <f t="shared" ca="1" si="68"/>
        <v>-</v>
      </c>
      <c r="DU3" s="65" t="str">
        <f t="shared" ca="1" si="68"/>
        <v>-</v>
      </c>
      <c r="DV3" s="65" t="str">
        <f t="shared" ca="1" si="68"/>
        <v>-</v>
      </c>
      <c r="GY3" s="221"/>
    </row>
    <row r="4" spans="1:207">
      <c r="A4" s="464"/>
      <c r="B4" s="466"/>
      <c r="C4" s="466"/>
      <c r="D4" s="466"/>
      <c r="E4" s="185" t="s">
        <v>65</v>
      </c>
      <c r="F4" s="66" t="e">
        <f>SUM('BESS 12'!S74,'BESS 12'!S76:S77,'BESS 12'!S80:S82)</f>
        <v>#VALUE!</v>
      </c>
      <c r="G4" s="182">
        <f ca="1">TODAY()</f>
        <v>46233</v>
      </c>
      <c r="H4" s="162">
        <f ca="1">G4</f>
        <v>46233</v>
      </c>
      <c r="I4" s="66">
        <f ca="1">H4-G4</f>
        <v>0</v>
      </c>
      <c r="J4" s="453"/>
      <c r="K4" s="507"/>
      <c r="L4" s="476"/>
      <c r="M4" s="65" t="str">
        <f t="shared" ca="1" si="62"/>
        <v>-</v>
      </c>
      <c r="N4" s="65" t="str">
        <f t="shared" ca="1" si="62"/>
        <v>-</v>
      </c>
      <c r="O4" s="65" t="str">
        <f t="shared" ca="1" si="62"/>
        <v>-</v>
      </c>
      <c r="P4" s="65" t="str">
        <f t="shared" ca="1" si="62"/>
        <v>-</v>
      </c>
      <c r="Q4" s="65" t="str">
        <f t="shared" ca="1" si="62"/>
        <v>-</v>
      </c>
      <c r="R4" s="65" t="str">
        <f t="shared" ca="1" si="62"/>
        <v>-</v>
      </c>
      <c r="S4" s="65" t="str">
        <f t="shared" ca="1" si="62"/>
        <v>-</v>
      </c>
      <c r="T4" s="65" t="str">
        <f t="shared" ca="1" si="62"/>
        <v>-</v>
      </c>
      <c r="U4" s="65" t="str">
        <f t="shared" ca="1" si="62"/>
        <v>-</v>
      </c>
      <c r="V4" s="65" t="str">
        <f t="shared" ca="1" si="62"/>
        <v>-</v>
      </c>
      <c r="W4" s="65" t="str">
        <f t="shared" ca="1" si="62"/>
        <v>-</v>
      </c>
      <c r="X4" s="65" t="str">
        <f t="shared" ca="1" si="62"/>
        <v>-</v>
      </c>
      <c r="Y4" s="65" t="str">
        <f t="shared" ca="1" si="62"/>
        <v>-</v>
      </c>
      <c r="Z4" s="65" t="str">
        <f t="shared" ca="1" si="62"/>
        <v>-</v>
      </c>
      <c r="AA4" s="65" t="str">
        <f t="shared" ca="1" si="62"/>
        <v>-</v>
      </c>
      <c r="AB4" s="65" t="str">
        <f t="shared" ca="1" si="62"/>
        <v>-</v>
      </c>
      <c r="AC4" s="65" t="str">
        <f t="shared" ca="1" si="63"/>
        <v>-</v>
      </c>
      <c r="AD4" s="65" t="str">
        <f t="shared" ca="1" si="63"/>
        <v>-</v>
      </c>
      <c r="AE4" s="65" t="str">
        <f t="shared" ca="1" si="63"/>
        <v>-</v>
      </c>
      <c r="AF4" s="65" t="str">
        <f t="shared" ca="1" si="63"/>
        <v>-</v>
      </c>
      <c r="AG4" s="65" t="str">
        <f t="shared" ca="1" si="63"/>
        <v>-</v>
      </c>
      <c r="AH4" s="65" t="str">
        <f t="shared" ca="1" si="63"/>
        <v>-</v>
      </c>
      <c r="AI4" s="65" t="str">
        <f t="shared" ca="1" si="63"/>
        <v>-</v>
      </c>
      <c r="AJ4" s="65" t="str">
        <f t="shared" ca="1" si="63"/>
        <v>-</v>
      </c>
      <c r="AK4" s="65" t="str">
        <f t="shared" ca="1" si="63"/>
        <v>-</v>
      </c>
      <c r="AL4" s="65" t="str">
        <f t="shared" ca="1" si="63"/>
        <v>-</v>
      </c>
      <c r="AM4" s="65" t="str">
        <f t="shared" ca="1" si="63"/>
        <v>-</v>
      </c>
      <c r="AN4" s="65" t="str">
        <f t="shared" ca="1" si="63"/>
        <v>-</v>
      </c>
      <c r="AO4" s="65" t="str">
        <f t="shared" ca="1" si="63"/>
        <v>-</v>
      </c>
      <c r="AP4" s="65" t="str">
        <f t="shared" ca="1" si="63"/>
        <v>-</v>
      </c>
      <c r="AQ4" s="65" t="str">
        <f t="shared" ca="1" si="63"/>
        <v>-</v>
      </c>
      <c r="AR4" s="65" t="str">
        <f t="shared" ca="1" si="63"/>
        <v>-</v>
      </c>
      <c r="AS4" s="65" t="str">
        <f t="shared" ca="1" si="64"/>
        <v>-</v>
      </c>
      <c r="AT4" s="65" t="str">
        <f t="shared" ca="1" si="64"/>
        <v>-</v>
      </c>
      <c r="AU4" s="65" t="str">
        <f t="shared" ca="1" si="64"/>
        <v>-</v>
      </c>
      <c r="AV4" s="65" t="str">
        <f t="shared" ca="1" si="64"/>
        <v>-</v>
      </c>
      <c r="AW4" s="65" t="str">
        <f t="shared" ca="1" si="64"/>
        <v>-</v>
      </c>
      <c r="AX4" s="65" t="str">
        <f t="shared" ca="1" si="64"/>
        <v>-</v>
      </c>
      <c r="AY4" s="65" t="str">
        <f t="shared" ca="1" si="64"/>
        <v>-</v>
      </c>
      <c r="AZ4" s="65" t="str">
        <f t="shared" ca="1" si="64"/>
        <v>-</v>
      </c>
      <c r="BA4" s="65" t="str">
        <f t="shared" ca="1" si="64"/>
        <v>-</v>
      </c>
      <c r="BB4" s="65" t="str">
        <f t="shared" ca="1" si="64"/>
        <v>-</v>
      </c>
      <c r="BC4" s="65" t="str">
        <f t="shared" ca="1" si="64"/>
        <v>-</v>
      </c>
      <c r="BD4" s="65" t="str">
        <f t="shared" ca="1" si="64"/>
        <v>-</v>
      </c>
      <c r="BE4" s="65" t="str">
        <f t="shared" ca="1" si="64"/>
        <v>-</v>
      </c>
      <c r="BF4" s="65" t="str">
        <f t="shared" ca="1" si="64"/>
        <v>-</v>
      </c>
      <c r="BG4" s="65" t="str">
        <f t="shared" ca="1" si="64"/>
        <v>-</v>
      </c>
      <c r="BH4" s="65" t="str">
        <f t="shared" ca="1" si="64"/>
        <v>-</v>
      </c>
      <c r="BI4" s="65" t="str">
        <f t="shared" ca="1" si="65"/>
        <v>-</v>
      </c>
      <c r="BJ4" s="65" t="str">
        <f t="shared" ca="1" si="65"/>
        <v>-</v>
      </c>
      <c r="BK4" s="65" t="str">
        <f t="shared" ca="1" si="65"/>
        <v>-</v>
      </c>
      <c r="BL4" s="65" t="str">
        <f t="shared" ca="1" si="65"/>
        <v>-</v>
      </c>
      <c r="BM4" s="65" t="str">
        <f t="shared" ca="1" si="65"/>
        <v>-</v>
      </c>
      <c r="BN4" s="65" t="str">
        <f t="shared" ca="1" si="65"/>
        <v>-</v>
      </c>
      <c r="BO4" s="65" t="str">
        <f t="shared" ca="1" si="65"/>
        <v>-</v>
      </c>
      <c r="BP4" s="65" t="str">
        <f t="shared" ca="1" si="65"/>
        <v>-</v>
      </c>
      <c r="BQ4" s="65" t="str">
        <f t="shared" ca="1" si="65"/>
        <v>-</v>
      </c>
      <c r="BR4" s="65" t="str">
        <f t="shared" ca="1" si="65"/>
        <v>-</v>
      </c>
      <c r="BS4" s="65" t="str">
        <f t="shared" ca="1" si="65"/>
        <v>-</v>
      </c>
      <c r="BT4" s="65" t="str">
        <f t="shared" ca="1" si="65"/>
        <v>-</v>
      </c>
      <c r="BU4" s="65" t="str">
        <f t="shared" ca="1" si="65"/>
        <v>-</v>
      </c>
      <c r="BV4" s="65" t="str">
        <f t="shared" ca="1" si="65"/>
        <v>-</v>
      </c>
      <c r="BW4" s="65" t="str">
        <f t="shared" ca="1" si="65"/>
        <v>-</v>
      </c>
      <c r="BX4" s="65" t="str">
        <f t="shared" ca="1" si="65"/>
        <v>-</v>
      </c>
      <c r="BY4" s="65" t="str">
        <f t="shared" ca="1" si="66"/>
        <v>-</v>
      </c>
      <c r="BZ4" s="65" t="str">
        <f t="shared" ca="1" si="66"/>
        <v>-</v>
      </c>
      <c r="CA4" s="65" t="str">
        <f t="shared" ca="1" si="66"/>
        <v>-</v>
      </c>
      <c r="CB4" s="65" t="str">
        <f t="shared" ca="1" si="66"/>
        <v>-</v>
      </c>
      <c r="CC4" s="65" t="str">
        <f t="shared" ca="1" si="66"/>
        <v>-</v>
      </c>
      <c r="CD4" s="65" t="str">
        <f t="shared" ca="1" si="66"/>
        <v>-</v>
      </c>
      <c r="CE4" s="65" t="str">
        <f t="shared" ca="1" si="66"/>
        <v>-</v>
      </c>
      <c r="CF4" s="65" t="str">
        <f t="shared" ca="1" si="66"/>
        <v>-</v>
      </c>
      <c r="CG4" s="65" t="str">
        <f t="shared" ca="1" si="66"/>
        <v>-</v>
      </c>
      <c r="CH4" s="65" t="str">
        <f t="shared" ca="1" si="66"/>
        <v>-</v>
      </c>
      <c r="CI4" s="65" t="str">
        <f t="shared" ca="1" si="66"/>
        <v>-</v>
      </c>
      <c r="CJ4" s="65" t="str">
        <f t="shared" ca="1" si="66"/>
        <v>-</v>
      </c>
      <c r="CK4" s="65" t="str">
        <f t="shared" ca="1" si="66"/>
        <v>-</v>
      </c>
      <c r="CL4" s="65" t="str">
        <f t="shared" ca="1" si="66"/>
        <v>-</v>
      </c>
      <c r="CM4" s="65" t="str">
        <f t="shared" ca="1" si="66"/>
        <v>-</v>
      </c>
      <c r="CN4" s="65" t="str">
        <f t="shared" ca="1" si="66"/>
        <v>-</v>
      </c>
      <c r="CO4" s="65" t="str">
        <f t="shared" ca="1" si="67"/>
        <v>-</v>
      </c>
      <c r="CP4" s="65" t="str">
        <f t="shared" ca="1" si="67"/>
        <v>-</v>
      </c>
      <c r="CQ4" s="65" t="str">
        <f t="shared" ca="1" si="67"/>
        <v>-</v>
      </c>
      <c r="CR4" s="65" t="str">
        <f t="shared" ca="1" si="67"/>
        <v>-</v>
      </c>
      <c r="CS4" s="65" t="str">
        <f t="shared" ca="1" si="67"/>
        <v>-</v>
      </c>
      <c r="CT4" s="65" t="str">
        <f t="shared" ca="1" si="67"/>
        <v>-</v>
      </c>
      <c r="CU4" s="65" t="str">
        <f t="shared" ca="1" si="68"/>
        <v>-</v>
      </c>
      <c r="CV4" s="65" t="str">
        <f t="shared" ca="1" si="68"/>
        <v>-</v>
      </c>
      <c r="CW4" s="65" t="str">
        <f t="shared" ca="1" si="68"/>
        <v>-</v>
      </c>
      <c r="CX4" s="65" t="str">
        <f t="shared" ca="1" si="68"/>
        <v>-</v>
      </c>
      <c r="CY4" s="65" t="str">
        <f t="shared" ca="1" si="68"/>
        <v>-</v>
      </c>
      <c r="CZ4" s="65" t="str">
        <f t="shared" ca="1" si="68"/>
        <v>-</v>
      </c>
      <c r="DA4" s="65" t="str">
        <f t="shared" ca="1" si="68"/>
        <v>-</v>
      </c>
      <c r="DB4" s="65" t="str">
        <f t="shared" ca="1" si="68"/>
        <v>-</v>
      </c>
      <c r="DC4" s="65" t="str">
        <f t="shared" ca="1" si="68"/>
        <v>-</v>
      </c>
      <c r="DD4" s="65" t="str">
        <f t="shared" ca="1" si="68"/>
        <v>-</v>
      </c>
      <c r="DE4" s="65" t="str">
        <f t="shared" ca="1" si="68"/>
        <v>-</v>
      </c>
      <c r="DF4" s="65" t="str">
        <f t="shared" ca="1" si="68"/>
        <v>-</v>
      </c>
      <c r="DG4" s="65" t="str">
        <f t="shared" ca="1" si="68"/>
        <v>-</v>
      </c>
      <c r="DH4" s="65" t="str">
        <f t="shared" ca="1" si="68"/>
        <v>-</v>
      </c>
      <c r="DI4" s="65" t="str">
        <f t="shared" ca="1" si="68"/>
        <v>-</v>
      </c>
      <c r="DJ4" s="65" t="str">
        <f t="shared" ca="1" si="68"/>
        <v>-</v>
      </c>
      <c r="DK4" s="65" t="str">
        <f t="shared" ca="1" si="68"/>
        <v>-</v>
      </c>
      <c r="DL4" s="65" t="str">
        <f t="shared" ca="1" si="68"/>
        <v>-</v>
      </c>
      <c r="DM4" s="65" t="str">
        <f t="shared" ca="1" si="68"/>
        <v>-</v>
      </c>
      <c r="DN4" s="65" t="str">
        <f t="shared" ca="1" si="68"/>
        <v>-</v>
      </c>
      <c r="DO4" s="65" t="str">
        <f t="shared" ca="1" si="68"/>
        <v>-</v>
      </c>
      <c r="DP4" s="65" t="str">
        <f t="shared" ca="1" si="68"/>
        <v>-</v>
      </c>
      <c r="DQ4" s="65" t="str">
        <f t="shared" ca="1" si="68"/>
        <v>-</v>
      </c>
      <c r="DR4" s="65" t="str">
        <f t="shared" ca="1" si="68"/>
        <v>-</v>
      </c>
      <c r="DS4" s="65" t="str">
        <f t="shared" ca="1" si="68"/>
        <v>-</v>
      </c>
      <c r="DT4" s="65" t="str">
        <f t="shared" ca="1" si="68"/>
        <v>-</v>
      </c>
      <c r="DU4" s="65" t="str">
        <f t="shared" ca="1" si="68"/>
        <v>-</v>
      </c>
      <c r="DV4" s="65" t="str">
        <f t="shared" ca="1" si="68"/>
        <v>-</v>
      </c>
    </row>
    <row r="5" spans="1:207">
      <c r="A5" s="464"/>
      <c r="B5" s="466"/>
      <c r="C5" s="466"/>
      <c r="D5" s="466"/>
      <c r="E5" s="185" t="s">
        <v>66</v>
      </c>
      <c r="F5" s="66" t="e">
        <f>SUM('BESS 12'!S75,'BESS 12'!S78:S79,'BESS 12'!S83:S84)</f>
        <v>#VALUE!</v>
      </c>
      <c r="G5" s="182">
        <f ca="1">TODAY()</f>
        <v>46233</v>
      </c>
      <c r="H5" s="162">
        <f>MAX('BESS 12'!O75,'BESS 12'!O78:O79,'BESS 12'!O83:O84)</f>
        <v>46233</v>
      </c>
      <c r="I5" s="66">
        <f ca="1">H5-G5</f>
        <v>0</v>
      </c>
      <c r="J5" s="453"/>
      <c r="K5" s="507"/>
      <c r="L5" s="476"/>
      <c r="M5" s="65" t="str">
        <f t="shared" ca="1" si="62"/>
        <v>-</v>
      </c>
      <c r="N5" s="65" t="str">
        <f t="shared" ca="1" si="62"/>
        <v>-</v>
      </c>
      <c r="O5" s="65" t="str">
        <f t="shared" ca="1" si="62"/>
        <v>-</v>
      </c>
      <c r="P5" s="65" t="str">
        <f t="shared" ca="1" si="62"/>
        <v>-</v>
      </c>
      <c r="Q5" s="65" t="str">
        <f t="shared" ca="1" si="62"/>
        <v>-</v>
      </c>
      <c r="R5" s="65" t="str">
        <f t="shared" ca="1" si="62"/>
        <v>-</v>
      </c>
      <c r="S5" s="65" t="str">
        <f t="shared" ca="1" si="62"/>
        <v>-</v>
      </c>
      <c r="T5" s="65" t="str">
        <f t="shared" ca="1" si="62"/>
        <v>-</v>
      </c>
      <c r="U5" s="65" t="str">
        <f t="shared" ca="1" si="62"/>
        <v>-</v>
      </c>
      <c r="V5" s="65" t="str">
        <f t="shared" ca="1" si="62"/>
        <v>-</v>
      </c>
      <c r="W5" s="65" t="str">
        <f t="shared" ca="1" si="62"/>
        <v>-</v>
      </c>
      <c r="X5" s="65" t="str">
        <f t="shared" ca="1" si="62"/>
        <v>-</v>
      </c>
      <c r="Y5" s="65" t="str">
        <f t="shared" ca="1" si="62"/>
        <v>-</v>
      </c>
      <c r="Z5" s="65" t="str">
        <f t="shared" ca="1" si="62"/>
        <v>-</v>
      </c>
      <c r="AA5" s="65" t="str">
        <f t="shared" ca="1" si="62"/>
        <v>-</v>
      </c>
      <c r="AB5" s="65" t="str">
        <f t="shared" ca="1" si="62"/>
        <v>-</v>
      </c>
      <c r="AC5" s="65" t="str">
        <f t="shared" ca="1" si="63"/>
        <v>-</v>
      </c>
      <c r="AD5" s="65" t="str">
        <f t="shared" ca="1" si="63"/>
        <v>-</v>
      </c>
      <c r="AE5" s="65" t="str">
        <f t="shared" ca="1" si="63"/>
        <v>-</v>
      </c>
      <c r="AF5" s="65" t="str">
        <f t="shared" ca="1" si="63"/>
        <v>-</v>
      </c>
      <c r="AG5" s="65" t="str">
        <f t="shared" ca="1" si="63"/>
        <v>-</v>
      </c>
      <c r="AH5" s="65" t="str">
        <f t="shared" ca="1" si="63"/>
        <v>-</v>
      </c>
      <c r="AI5" s="65" t="str">
        <f t="shared" ca="1" si="63"/>
        <v>-</v>
      </c>
      <c r="AJ5" s="65" t="str">
        <f t="shared" ca="1" si="63"/>
        <v>-</v>
      </c>
      <c r="AK5" s="65" t="str">
        <f t="shared" ca="1" si="63"/>
        <v>-</v>
      </c>
      <c r="AL5" s="65" t="str">
        <f t="shared" ca="1" si="63"/>
        <v>-</v>
      </c>
      <c r="AM5" s="65" t="str">
        <f t="shared" ca="1" si="63"/>
        <v>-</v>
      </c>
      <c r="AN5" s="65" t="str">
        <f t="shared" ca="1" si="63"/>
        <v>-</v>
      </c>
      <c r="AO5" s="65" t="str">
        <f t="shared" ca="1" si="63"/>
        <v>-</v>
      </c>
      <c r="AP5" s="65" t="str">
        <f t="shared" ca="1" si="63"/>
        <v>-</v>
      </c>
      <c r="AQ5" s="65" t="str">
        <f t="shared" ca="1" si="63"/>
        <v>-</v>
      </c>
      <c r="AR5" s="65" t="str">
        <f t="shared" ca="1" si="63"/>
        <v>-</v>
      </c>
      <c r="AS5" s="65" t="str">
        <f t="shared" ca="1" si="64"/>
        <v>-</v>
      </c>
      <c r="AT5" s="65" t="str">
        <f t="shared" ca="1" si="64"/>
        <v>-</v>
      </c>
      <c r="AU5" s="65" t="str">
        <f t="shared" ca="1" si="64"/>
        <v>-</v>
      </c>
      <c r="AV5" s="65" t="str">
        <f t="shared" ca="1" si="64"/>
        <v>-</v>
      </c>
      <c r="AW5" s="65" t="str">
        <f t="shared" ca="1" si="64"/>
        <v>-</v>
      </c>
      <c r="AX5" s="65" t="str">
        <f t="shared" ca="1" si="64"/>
        <v>-</v>
      </c>
      <c r="AY5" s="65" t="str">
        <f t="shared" ca="1" si="64"/>
        <v>-</v>
      </c>
      <c r="AZ5" s="65" t="str">
        <f t="shared" ca="1" si="64"/>
        <v>-</v>
      </c>
      <c r="BA5" s="65" t="str">
        <f t="shared" ca="1" si="64"/>
        <v>-</v>
      </c>
      <c r="BB5" s="65" t="str">
        <f t="shared" ca="1" si="64"/>
        <v>-</v>
      </c>
      <c r="BC5" s="65" t="str">
        <f t="shared" ca="1" si="64"/>
        <v>-</v>
      </c>
      <c r="BD5" s="65" t="str">
        <f t="shared" ca="1" si="64"/>
        <v>-</v>
      </c>
      <c r="BE5" s="65" t="str">
        <f t="shared" ca="1" si="64"/>
        <v>-</v>
      </c>
      <c r="BF5" s="65" t="str">
        <f t="shared" ca="1" si="64"/>
        <v>-</v>
      </c>
      <c r="BG5" s="65" t="str">
        <f t="shared" ca="1" si="64"/>
        <v>-</v>
      </c>
      <c r="BH5" s="65" t="str">
        <f t="shared" ca="1" si="64"/>
        <v>-</v>
      </c>
      <c r="BI5" s="65" t="str">
        <f t="shared" ca="1" si="65"/>
        <v>-</v>
      </c>
      <c r="BJ5" s="65" t="str">
        <f t="shared" ca="1" si="65"/>
        <v>-</v>
      </c>
      <c r="BK5" s="65" t="str">
        <f t="shared" ca="1" si="65"/>
        <v>-</v>
      </c>
      <c r="BL5" s="65" t="str">
        <f t="shared" ca="1" si="65"/>
        <v>-</v>
      </c>
      <c r="BM5" s="65" t="str">
        <f t="shared" ca="1" si="65"/>
        <v>-</v>
      </c>
      <c r="BN5" s="65" t="str">
        <f t="shared" ca="1" si="65"/>
        <v>-</v>
      </c>
      <c r="BO5" s="65" t="str">
        <f t="shared" ca="1" si="65"/>
        <v>-</v>
      </c>
      <c r="BP5" s="65" t="str">
        <f t="shared" ca="1" si="65"/>
        <v>-</v>
      </c>
      <c r="BQ5" s="65" t="str">
        <f t="shared" ca="1" si="65"/>
        <v>-</v>
      </c>
      <c r="BR5" s="65" t="str">
        <f t="shared" ca="1" si="65"/>
        <v>-</v>
      </c>
      <c r="BS5" s="65" t="str">
        <f t="shared" ca="1" si="65"/>
        <v>-</v>
      </c>
      <c r="BT5" s="65" t="str">
        <f t="shared" ca="1" si="65"/>
        <v>-</v>
      </c>
      <c r="BU5" s="65" t="str">
        <f t="shared" ca="1" si="65"/>
        <v>-</v>
      </c>
      <c r="BV5" s="65" t="str">
        <f t="shared" ca="1" si="65"/>
        <v>-</v>
      </c>
      <c r="BW5" s="65" t="str">
        <f t="shared" ca="1" si="65"/>
        <v>-</v>
      </c>
      <c r="BX5" s="65" t="str">
        <f t="shared" ca="1" si="65"/>
        <v>-</v>
      </c>
      <c r="BY5" s="65" t="str">
        <f t="shared" ca="1" si="66"/>
        <v>-</v>
      </c>
      <c r="BZ5" s="65" t="str">
        <f t="shared" ca="1" si="66"/>
        <v>-</v>
      </c>
      <c r="CA5" s="65" t="str">
        <f t="shared" ca="1" si="66"/>
        <v>-</v>
      </c>
      <c r="CB5" s="65" t="str">
        <f t="shared" ca="1" si="66"/>
        <v>-</v>
      </c>
      <c r="CC5" s="65" t="str">
        <f t="shared" ca="1" si="66"/>
        <v>-</v>
      </c>
      <c r="CD5" s="65" t="str">
        <f t="shared" ca="1" si="66"/>
        <v>-</v>
      </c>
      <c r="CE5" s="65" t="str">
        <f t="shared" ca="1" si="66"/>
        <v>-</v>
      </c>
      <c r="CF5" s="65" t="str">
        <f t="shared" ca="1" si="66"/>
        <v>-</v>
      </c>
      <c r="CG5" s="65" t="str">
        <f t="shared" ca="1" si="66"/>
        <v>-</v>
      </c>
      <c r="CH5" s="65" t="str">
        <f t="shared" ca="1" si="66"/>
        <v>-</v>
      </c>
      <c r="CI5" s="65" t="str">
        <f t="shared" ca="1" si="66"/>
        <v>-</v>
      </c>
      <c r="CJ5" s="65" t="str">
        <f t="shared" ca="1" si="66"/>
        <v>-</v>
      </c>
      <c r="CK5" s="65" t="str">
        <f t="shared" ca="1" si="66"/>
        <v>-</v>
      </c>
      <c r="CL5" s="65" t="str">
        <f t="shared" ca="1" si="66"/>
        <v>-</v>
      </c>
      <c r="CM5" s="65" t="str">
        <f t="shared" ca="1" si="66"/>
        <v>-</v>
      </c>
      <c r="CN5" s="65" t="str">
        <f t="shared" ca="1" si="66"/>
        <v>-</v>
      </c>
      <c r="CO5" s="65" t="str">
        <f t="shared" ca="1" si="67"/>
        <v>-</v>
      </c>
      <c r="CP5" s="65" t="str">
        <f t="shared" ca="1" si="67"/>
        <v>-</v>
      </c>
      <c r="CQ5" s="65" t="str">
        <f t="shared" ca="1" si="67"/>
        <v>-</v>
      </c>
      <c r="CR5" s="65" t="str">
        <f t="shared" ca="1" si="67"/>
        <v>-</v>
      </c>
      <c r="CS5" s="65" t="str">
        <f t="shared" ca="1" si="67"/>
        <v>-</v>
      </c>
      <c r="CT5" s="65" t="str">
        <f t="shared" ca="1" si="67"/>
        <v>-</v>
      </c>
      <c r="CU5" s="65" t="str">
        <f t="shared" ca="1" si="68"/>
        <v>-</v>
      </c>
      <c r="CV5" s="65" t="str">
        <f t="shared" ca="1" si="68"/>
        <v>-</v>
      </c>
      <c r="CW5" s="65" t="str">
        <f t="shared" ca="1" si="68"/>
        <v>-</v>
      </c>
      <c r="CX5" s="65" t="str">
        <f t="shared" ca="1" si="68"/>
        <v>-</v>
      </c>
      <c r="CY5" s="65" t="str">
        <f t="shared" ca="1" si="68"/>
        <v>-</v>
      </c>
      <c r="CZ5" s="65" t="str">
        <f t="shared" ca="1" si="68"/>
        <v>-</v>
      </c>
      <c r="DA5" s="65" t="str">
        <f t="shared" ca="1" si="68"/>
        <v>-</v>
      </c>
      <c r="DB5" s="65" t="str">
        <f t="shared" ca="1" si="68"/>
        <v>-</v>
      </c>
      <c r="DC5" s="65" t="str">
        <f t="shared" ca="1" si="68"/>
        <v>-</v>
      </c>
      <c r="DD5" s="65" t="str">
        <f t="shared" ca="1" si="68"/>
        <v>-</v>
      </c>
      <c r="DE5" s="65" t="str">
        <f t="shared" ca="1" si="68"/>
        <v>-</v>
      </c>
      <c r="DF5" s="65" t="str">
        <f t="shared" ca="1" si="68"/>
        <v>-</v>
      </c>
      <c r="DG5" s="65" t="str">
        <f t="shared" ca="1" si="68"/>
        <v>-</v>
      </c>
      <c r="DH5" s="65" t="str">
        <f t="shared" ca="1" si="68"/>
        <v>-</v>
      </c>
      <c r="DI5" s="65" t="str">
        <f t="shared" ca="1" si="68"/>
        <v>-</v>
      </c>
      <c r="DJ5" s="65" t="str">
        <f t="shared" ca="1" si="68"/>
        <v>-</v>
      </c>
      <c r="DK5" s="65" t="str">
        <f t="shared" ca="1" si="68"/>
        <v>-</v>
      </c>
      <c r="DL5" s="65" t="str">
        <f t="shared" ca="1" si="68"/>
        <v>-</v>
      </c>
      <c r="DM5" s="65" t="str">
        <f t="shared" ca="1" si="68"/>
        <v>-</v>
      </c>
      <c r="DN5" s="65" t="str">
        <f t="shared" ca="1" si="68"/>
        <v>-</v>
      </c>
      <c r="DO5" s="65" t="str">
        <f t="shared" ca="1" si="68"/>
        <v>-</v>
      </c>
      <c r="DP5" s="65" t="str">
        <f t="shared" ca="1" si="68"/>
        <v>-</v>
      </c>
      <c r="DQ5" s="65" t="str">
        <f t="shared" ca="1" si="68"/>
        <v>-</v>
      </c>
      <c r="DR5" s="65" t="str">
        <f t="shared" ca="1" si="68"/>
        <v>-</v>
      </c>
      <c r="DS5" s="65" t="str">
        <f t="shared" ca="1" si="68"/>
        <v>-</v>
      </c>
      <c r="DT5" s="65" t="str">
        <f t="shared" ca="1" si="68"/>
        <v>-</v>
      </c>
      <c r="DU5" s="65" t="str">
        <f t="shared" ca="1" si="68"/>
        <v>-</v>
      </c>
      <c r="DV5" s="65" t="str">
        <f t="shared" ca="1" si="68"/>
        <v>-</v>
      </c>
    </row>
    <row r="6" spans="1:207">
      <c r="A6" s="464"/>
      <c r="B6" s="466"/>
      <c r="C6" s="466"/>
      <c r="D6" s="466"/>
      <c r="E6" s="185" t="s">
        <v>67</v>
      </c>
      <c r="F6" s="66" t="e">
        <f>SUM('BESS 12'!S88:S95)</f>
        <v>#VALUE!</v>
      </c>
      <c r="G6" s="182">
        <f ca="1">TODAY()</f>
        <v>46233</v>
      </c>
      <c r="H6" s="162">
        <f>MAX('BESS 12'!O88:O95)</f>
        <v>46233</v>
      </c>
      <c r="I6" s="66">
        <f ca="1">H6-G6</f>
        <v>0</v>
      </c>
      <c r="J6" s="453"/>
      <c r="K6" s="507"/>
      <c r="L6" s="476"/>
      <c r="M6" s="65" t="str">
        <f t="shared" ca="1" si="62"/>
        <v>-</v>
      </c>
      <c r="N6" s="65" t="str">
        <f t="shared" ca="1" si="62"/>
        <v>-</v>
      </c>
      <c r="O6" s="65" t="str">
        <f t="shared" ca="1" si="62"/>
        <v>-</v>
      </c>
      <c r="P6" s="65" t="str">
        <f t="shared" ca="1" si="62"/>
        <v>-</v>
      </c>
      <c r="Q6" s="65" t="str">
        <f t="shared" ca="1" si="62"/>
        <v>-</v>
      </c>
      <c r="R6" s="65" t="str">
        <f t="shared" ca="1" si="62"/>
        <v>-</v>
      </c>
      <c r="S6" s="65" t="str">
        <f t="shared" ca="1" si="62"/>
        <v>-</v>
      </c>
      <c r="T6" s="65" t="str">
        <f t="shared" ca="1" si="62"/>
        <v>-</v>
      </c>
      <c r="U6" s="65" t="str">
        <f t="shared" ca="1" si="62"/>
        <v>-</v>
      </c>
      <c r="V6" s="65" t="str">
        <f t="shared" ca="1" si="62"/>
        <v>-</v>
      </c>
      <c r="W6" s="65" t="str">
        <f t="shared" ca="1" si="62"/>
        <v>-</v>
      </c>
      <c r="X6" s="65" t="str">
        <f t="shared" ca="1" si="62"/>
        <v>-</v>
      </c>
      <c r="Y6" s="65" t="str">
        <f t="shared" ca="1" si="62"/>
        <v>-</v>
      </c>
      <c r="Z6" s="65" t="str">
        <f t="shared" ca="1" si="62"/>
        <v>-</v>
      </c>
      <c r="AA6" s="65" t="str">
        <f t="shared" ca="1" si="62"/>
        <v>-</v>
      </c>
      <c r="AB6" s="65" t="str">
        <f t="shared" ca="1" si="62"/>
        <v>-</v>
      </c>
      <c r="AC6" s="65" t="str">
        <f t="shared" ca="1" si="63"/>
        <v>-</v>
      </c>
      <c r="AD6" s="65" t="str">
        <f t="shared" ca="1" si="63"/>
        <v>-</v>
      </c>
      <c r="AE6" s="65" t="str">
        <f t="shared" ca="1" si="63"/>
        <v>-</v>
      </c>
      <c r="AF6" s="65" t="str">
        <f t="shared" ca="1" si="63"/>
        <v>-</v>
      </c>
      <c r="AG6" s="65" t="str">
        <f t="shared" ca="1" si="63"/>
        <v>-</v>
      </c>
      <c r="AH6" s="65" t="str">
        <f t="shared" ca="1" si="63"/>
        <v>-</v>
      </c>
      <c r="AI6" s="65" t="str">
        <f t="shared" ca="1" si="63"/>
        <v>-</v>
      </c>
      <c r="AJ6" s="65" t="str">
        <f t="shared" ca="1" si="63"/>
        <v>-</v>
      </c>
      <c r="AK6" s="65" t="str">
        <f t="shared" ca="1" si="63"/>
        <v>-</v>
      </c>
      <c r="AL6" s="65" t="str">
        <f t="shared" ca="1" si="63"/>
        <v>-</v>
      </c>
      <c r="AM6" s="65" t="str">
        <f t="shared" ca="1" si="63"/>
        <v>-</v>
      </c>
      <c r="AN6" s="65" t="str">
        <f t="shared" ca="1" si="63"/>
        <v>-</v>
      </c>
      <c r="AO6" s="65" t="str">
        <f t="shared" ca="1" si="63"/>
        <v>-</v>
      </c>
      <c r="AP6" s="65" t="str">
        <f t="shared" ca="1" si="63"/>
        <v>-</v>
      </c>
      <c r="AQ6" s="65" t="str">
        <f t="shared" ca="1" si="63"/>
        <v>-</v>
      </c>
      <c r="AR6" s="65" t="str">
        <f t="shared" ca="1" si="63"/>
        <v>-</v>
      </c>
      <c r="AS6" s="65" t="str">
        <f t="shared" ca="1" si="64"/>
        <v>-</v>
      </c>
      <c r="AT6" s="65" t="str">
        <f t="shared" ca="1" si="64"/>
        <v>-</v>
      </c>
      <c r="AU6" s="65" t="str">
        <f t="shared" ca="1" si="64"/>
        <v>-</v>
      </c>
      <c r="AV6" s="65" t="str">
        <f t="shared" ca="1" si="64"/>
        <v>-</v>
      </c>
      <c r="AW6" s="65" t="str">
        <f t="shared" ca="1" si="64"/>
        <v>-</v>
      </c>
      <c r="AX6" s="65" t="str">
        <f t="shared" ca="1" si="64"/>
        <v>-</v>
      </c>
      <c r="AY6" s="65" t="str">
        <f t="shared" ca="1" si="64"/>
        <v>-</v>
      </c>
      <c r="AZ6" s="65" t="str">
        <f t="shared" ca="1" si="64"/>
        <v>-</v>
      </c>
      <c r="BA6" s="65" t="str">
        <f t="shared" ca="1" si="64"/>
        <v>-</v>
      </c>
      <c r="BB6" s="65" t="str">
        <f t="shared" ca="1" si="64"/>
        <v>-</v>
      </c>
      <c r="BC6" s="65" t="str">
        <f t="shared" ca="1" si="64"/>
        <v>-</v>
      </c>
      <c r="BD6" s="65" t="str">
        <f t="shared" ca="1" si="64"/>
        <v>-</v>
      </c>
      <c r="BE6" s="65" t="str">
        <f t="shared" ca="1" si="64"/>
        <v>-</v>
      </c>
      <c r="BF6" s="65" t="str">
        <f t="shared" ca="1" si="64"/>
        <v>-</v>
      </c>
      <c r="BG6" s="65" t="str">
        <f t="shared" ca="1" si="64"/>
        <v>-</v>
      </c>
      <c r="BH6" s="65" t="str">
        <f t="shared" ca="1" si="64"/>
        <v>-</v>
      </c>
      <c r="BI6" s="65" t="str">
        <f t="shared" ca="1" si="65"/>
        <v>-</v>
      </c>
      <c r="BJ6" s="65" t="str">
        <f t="shared" ca="1" si="65"/>
        <v>-</v>
      </c>
      <c r="BK6" s="65" t="str">
        <f t="shared" ca="1" si="65"/>
        <v>-</v>
      </c>
      <c r="BL6" s="65" t="str">
        <f t="shared" ca="1" si="65"/>
        <v>-</v>
      </c>
      <c r="BM6" s="65" t="str">
        <f t="shared" ca="1" si="65"/>
        <v>-</v>
      </c>
      <c r="BN6" s="65" t="str">
        <f t="shared" ca="1" si="65"/>
        <v>-</v>
      </c>
      <c r="BO6" s="65" t="str">
        <f t="shared" ca="1" si="65"/>
        <v>-</v>
      </c>
      <c r="BP6" s="65" t="str">
        <f t="shared" ca="1" si="65"/>
        <v>-</v>
      </c>
      <c r="BQ6" s="65" t="str">
        <f t="shared" ca="1" si="65"/>
        <v>-</v>
      </c>
      <c r="BR6" s="65" t="str">
        <f t="shared" ca="1" si="65"/>
        <v>-</v>
      </c>
      <c r="BS6" s="65" t="str">
        <f t="shared" ca="1" si="65"/>
        <v>-</v>
      </c>
      <c r="BT6" s="65" t="str">
        <f t="shared" ca="1" si="65"/>
        <v>-</v>
      </c>
      <c r="BU6" s="65" t="str">
        <f t="shared" ca="1" si="65"/>
        <v>-</v>
      </c>
      <c r="BV6" s="65" t="str">
        <f t="shared" ca="1" si="65"/>
        <v>-</v>
      </c>
      <c r="BW6" s="65" t="str">
        <f t="shared" ca="1" si="65"/>
        <v>-</v>
      </c>
      <c r="BX6" s="65" t="str">
        <f t="shared" ca="1" si="65"/>
        <v>-</v>
      </c>
      <c r="BY6" s="65" t="str">
        <f t="shared" ca="1" si="66"/>
        <v>-</v>
      </c>
      <c r="BZ6" s="65" t="str">
        <f t="shared" ca="1" si="66"/>
        <v>-</v>
      </c>
      <c r="CA6" s="65" t="str">
        <f t="shared" ca="1" si="66"/>
        <v>-</v>
      </c>
      <c r="CB6" s="65" t="str">
        <f t="shared" ca="1" si="66"/>
        <v>-</v>
      </c>
      <c r="CC6" s="65" t="str">
        <f t="shared" ca="1" si="66"/>
        <v>-</v>
      </c>
      <c r="CD6" s="65" t="str">
        <f t="shared" ca="1" si="66"/>
        <v>-</v>
      </c>
      <c r="CE6" s="65" t="str">
        <f t="shared" ca="1" si="66"/>
        <v>-</v>
      </c>
      <c r="CF6" s="65" t="str">
        <f t="shared" ca="1" si="66"/>
        <v>-</v>
      </c>
      <c r="CG6" s="65" t="str">
        <f t="shared" ca="1" si="66"/>
        <v>-</v>
      </c>
      <c r="CH6" s="65" t="str">
        <f t="shared" ca="1" si="66"/>
        <v>-</v>
      </c>
      <c r="CI6" s="65" t="str">
        <f t="shared" ca="1" si="66"/>
        <v>-</v>
      </c>
      <c r="CJ6" s="65" t="str">
        <f t="shared" ca="1" si="66"/>
        <v>-</v>
      </c>
      <c r="CK6" s="65" t="str">
        <f t="shared" ca="1" si="66"/>
        <v>-</v>
      </c>
      <c r="CL6" s="65" t="str">
        <f t="shared" ca="1" si="66"/>
        <v>-</v>
      </c>
      <c r="CM6" s="65" t="str">
        <f t="shared" ca="1" si="66"/>
        <v>-</v>
      </c>
      <c r="CN6" s="65" t="str">
        <f t="shared" ca="1" si="66"/>
        <v>-</v>
      </c>
      <c r="CO6" s="65" t="str">
        <f t="shared" ca="1" si="67"/>
        <v>-</v>
      </c>
      <c r="CP6" s="65" t="str">
        <f t="shared" ca="1" si="67"/>
        <v>-</v>
      </c>
      <c r="CQ6" s="65" t="str">
        <f t="shared" ca="1" si="67"/>
        <v>-</v>
      </c>
      <c r="CR6" s="65" t="str">
        <f t="shared" ca="1" si="67"/>
        <v>-</v>
      </c>
      <c r="CS6" s="65" t="str">
        <f t="shared" ca="1" si="67"/>
        <v>-</v>
      </c>
      <c r="CT6" s="65" t="str">
        <f t="shared" ca="1" si="67"/>
        <v>-</v>
      </c>
      <c r="CU6" s="65" t="str">
        <f t="shared" ca="1" si="68"/>
        <v>-</v>
      </c>
      <c r="CV6" s="65" t="str">
        <f t="shared" ca="1" si="68"/>
        <v>-</v>
      </c>
      <c r="CW6" s="65" t="str">
        <f t="shared" ca="1" si="68"/>
        <v>-</v>
      </c>
      <c r="CX6" s="65" t="str">
        <f t="shared" ca="1" si="68"/>
        <v>-</v>
      </c>
      <c r="CY6" s="65" t="str">
        <f t="shared" ca="1" si="68"/>
        <v>-</v>
      </c>
      <c r="CZ6" s="65" t="str">
        <f t="shared" ca="1" si="68"/>
        <v>-</v>
      </c>
      <c r="DA6" s="65" t="str">
        <f t="shared" ca="1" si="68"/>
        <v>-</v>
      </c>
      <c r="DB6" s="65" t="str">
        <f t="shared" ca="1" si="68"/>
        <v>-</v>
      </c>
      <c r="DC6" s="65" t="str">
        <f t="shared" ca="1" si="68"/>
        <v>-</v>
      </c>
      <c r="DD6" s="65" t="str">
        <f t="shared" ca="1" si="68"/>
        <v>-</v>
      </c>
      <c r="DE6" s="65" t="str">
        <f t="shared" ca="1" si="68"/>
        <v>-</v>
      </c>
      <c r="DF6" s="65" t="str">
        <f t="shared" ca="1" si="68"/>
        <v>-</v>
      </c>
      <c r="DG6" s="65" t="str">
        <f t="shared" ca="1" si="68"/>
        <v>-</v>
      </c>
      <c r="DH6" s="65" t="str">
        <f t="shared" ca="1" si="68"/>
        <v>-</v>
      </c>
      <c r="DI6" s="65" t="str">
        <f t="shared" ca="1" si="68"/>
        <v>-</v>
      </c>
      <c r="DJ6" s="65" t="str">
        <f t="shared" ca="1" si="68"/>
        <v>-</v>
      </c>
      <c r="DK6" s="65" t="str">
        <f t="shared" ca="1" si="68"/>
        <v>-</v>
      </c>
      <c r="DL6" s="65" t="str">
        <f t="shared" ca="1" si="68"/>
        <v>-</v>
      </c>
      <c r="DM6" s="65" t="str">
        <f t="shared" ca="1" si="68"/>
        <v>-</v>
      </c>
      <c r="DN6" s="65" t="str">
        <f t="shared" ca="1" si="68"/>
        <v>-</v>
      </c>
      <c r="DO6" s="65" t="str">
        <f t="shared" ca="1" si="68"/>
        <v>-</v>
      </c>
      <c r="DP6" s="65" t="str">
        <f t="shared" ca="1" si="68"/>
        <v>-</v>
      </c>
      <c r="DQ6" s="65" t="str">
        <f t="shared" ca="1" si="68"/>
        <v>-</v>
      </c>
      <c r="DR6" s="65" t="str">
        <f t="shared" ca="1" si="68"/>
        <v>-</v>
      </c>
      <c r="DS6" s="65" t="str">
        <f t="shared" ca="1" si="68"/>
        <v>-</v>
      </c>
      <c r="DT6" s="65" t="str">
        <f t="shared" ca="1" si="68"/>
        <v>-</v>
      </c>
      <c r="DU6" s="65" t="str">
        <f t="shared" ca="1" si="68"/>
        <v>-</v>
      </c>
      <c r="DV6" s="65" t="str">
        <f t="shared" ca="1" si="68"/>
        <v>-</v>
      </c>
    </row>
    <row r="7" spans="1:207">
      <c r="A7" s="464"/>
      <c r="B7" s="466"/>
      <c r="C7" s="466"/>
      <c r="D7" s="466"/>
      <c r="E7" s="185" t="s">
        <v>68</v>
      </c>
      <c r="F7" s="65">
        <v>250</v>
      </c>
      <c r="G7" s="182"/>
      <c r="H7" s="162">
        <f>B3-3</f>
        <v>46228</v>
      </c>
      <c r="I7" s="65">
        <v>30</v>
      </c>
      <c r="J7" s="454"/>
      <c r="K7" s="508"/>
      <c r="L7" s="504"/>
      <c r="M7" s="65" t="str">
        <f>IF(AND(M$2&gt;=$B3-26,M$2&lt;=$B3-3),5,IF(OR(M$2=$B3-2,M$2=$B3-1,M$2=$B3,M$2=$B3+1),30,IF(OR(M$2=$B3+2,M$2=$B3+3),5,"")))</f>
        <v/>
      </c>
      <c r="N7" s="65" t="str">
        <f t="shared" ref="N7:BY7" si="69">IF(AND(N$2&gt;=$B3-26,N$2&lt;=$B3-3),5,IF(OR(N$2=$B3-2,N$2=$B3-1,N$2=$B3,N$2=$B3+1),30,IF(OR(N$2=$B3+2,N$2=$B3+3),5,"")))</f>
        <v/>
      </c>
      <c r="O7" s="65" t="str">
        <f t="shared" si="69"/>
        <v/>
      </c>
      <c r="P7" s="65" t="str">
        <f t="shared" si="69"/>
        <v/>
      </c>
      <c r="Q7" s="65" t="str">
        <f t="shared" si="69"/>
        <v/>
      </c>
      <c r="R7" s="65" t="str">
        <f t="shared" si="69"/>
        <v/>
      </c>
      <c r="S7" s="65" t="str">
        <f t="shared" si="69"/>
        <v/>
      </c>
      <c r="T7" s="65" t="str">
        <f t="shared" si="69"/>
        <v/>
      </c>
      <c r="U7" s="65" t="str">
        <f t="shared" si="69"/>
        <v/>
      </c>
      <c r="V7" s="65" t="str">
        <f t="shared" si="69"/>
        <v/>
      </c>
      <c r="W7" s="65">
        <f t="shared" si="69"/>
        <v>5</v>
      </c>
      <c r="X7" s="65">
        <f t="shared" si="69"/>
        <v>5</v>
      </c>
      <c r="Y7" s="65">
        <f t="shared" si="69"/>
        <v>5</v>
      </c>
      <c r="Z7" s="65">
        <f t="shared" si="69"/>
        <v>5</v>
      </c>
      <c r="AA7" s="65">
        <f t="shared" si="69"/>
        <v>5</v>
      </c>
      <c r="AB7" s="65">
        <f t="shared" si="69"/>
        <v>5</v>
      </c>
      <c r="AC7" s="65">
        <f t="shared" si="69"/>
        <v>5</v>
      </c>
      <c r="AD7" s="65">
        <f t="shared" si="69"/>
        <v>5</v>
      </c>
      <c r="AE7" s="65">
        <f t="shared" si="69"/>
        <v>5</v>
      </c>
      <c r="AF7" s="65">
        <f t="shared" si="69"/>
        <v>5</v>
      </c>
      <c r="AG7" s="65">
        <f t="shared" si="69"/>
        <v>5</v>
      </c>
      <c r="AH7" s="65">
        <f t="shared" si="69"/>
        <v>5</v>
      </c>
      <c r="AI7" s="65">
        <f t="shared" si="69"/>
        <v>5</v>
      </c>
      <c r="AJ7" s="65">
        <f t="shared" si="69"/>
        <v>5</v>
      </c>
      <c r="AK7" s="65">
        <f t="shared" si="69"/>
        <v>5</v>
      </c>
      <c r="AL7" s="65">
        <f t="shared" si="69"/>
        <v>5</v>
      </c>
      <c r="AM7" s="65">
        <f t="shared" si="69"/>
        <v>5</v>
      </c>
      <c r="AN7" s="65">
        <f t="shared" si="69"/>
        <v>5</v>
      </c>
      <c r="AO7" s="65">
        <f t="shared" si="69"/>
        <v>5</v>
      </c>
      <c r="AP7" s="65">
        <f t="shared" si="69"/>
        <v>5</v>
      </c>
      <c r="AQ7" s="65">
        <f t="shared" si="69"/>
        <v>5</v>
      </c>
      <c r="AR7" s="65">
        <f t="shared" si="69"/>
        <v>5</v>
      </c>
      <c r="AS7" s="65">
        <f t="shared" si="69"/>
        <v>5</v>
      </c>
      <c r="AT7" s="65">
        <f t="shared" si="69"/>
        <v>5</v>
      </c>
      <c r="AU7" s="65">
        <f t="shared" si="69"/>
        <v>30</v>
      </c>
      <c r="AV7" s="65">
        <f t="shared" si="69"/>
        <v>30</v>
      </c>
      <c r="AW7" s="65">
        <f t="shared" si="69"/>
        <v>30</v>
      </c>
      <c r="AX7" s="65">
        <f t="shared" si="69"/>
        <v>30</v>
      </c>
      <c r="AY7" s="65">
        <f t="shared" si="69"/>
        <v>5</v>
      </c>
      <c r="AZ7" s="65">
        <f t="shared" si="69"/>
        <v>5</v>
      </c>
      <c r="BA7" s="65" t="str">
        <f t="shared" si="69"/>
        <v/>
      </c>
      <c r="BB7" s="65" t="str">
        <f t="shared" si="69"/>
        <v/>
      </c>
      <c r="BC7" s="65" t="str">
        <f t="shared" si="69"/>
        <v/>
      </c>
      <c r="BD7" s="65" t="str">
        <f t="shared" si="69"/>
        <v/>
      </c>
      <c r="BE7" s="65" t="str">
        <f t="shared" si="69"/>
        <v/>
      </c>
      <c r="BF7" s="65" t="str">
        <f t="shared" si="69"/>
        <v/>
      </c>
      <c r="BG7" s="65" t="str">
        <f t="shared" si="69"/>
        <v/>
      </c>
      <c r="BH7" s="65" t="str">
        <f t="shared" si="69"/>
        <v/>
      </c>
      <c r="BI7" s="65" t="str">
        <f t="shared" si="69"/>
        <v/>
      </c>
      <c r="BJ7" s="65" t="str">
        <f t="shared" si="69"/>
        <v/>
      </c>
      <c r="BK7" s="65" t="str">
        <f t="shared" si="69"/>
        <v/>
      </c>
      <c r="BL7" s="65" t="str">
        <f t="shared" si="69"/>
        <v/>
      </c>
      <c r="BM7" s="65" t="str">
        <f t="shared" si="69"/>
        <v/>
      </c>
      <c r="BN7" s="65" t="str">
        <f t="shared" si="69"/>
        <v/>
      </c>
      <c r="BO7" s="65" t="str">
        <f t="shared" si="69"/>
        <v/>
      </c>
      <c r="BP7" s="65" t="str">
        <f t="shared" si="69"/>
        <v/>
      </c>
      <c r="BQ7" s="65" t="str">
        <f t="shared" si="69"/>
        <v/>
      </c>
      <c r="BR7" s="65" t="str">
        <f t="shared" si="69"/>
        <v/>
      </c>
      <c r="BS7" s="65" t="str">
        <f t="shared" si="69"/>
        <v/>
      </c>
      <c r="BT7" s="65" t="str">
        <f t="shared" si="69"/>
        <v/>
      </c>
      <c r="BU7" s="65" t="str">
        <f t="shared" si="69"/>
        <v/>
      </c>
      <c r="BV7" s="65" t="str">
        <f t="shared" si="69"/>
        <v/>
      </c>
      <c r="BW7" s="65" t="str">
        <f t="shared" si="69"/>
        <v/>
      </c>
      <c r="BX7" s="65" t="str">
        <f t="shared" si="69"/>
        <v/>
      </c>
      <c r="BY7" s="65" t="str">
        <f t="shared" si="69"/>
        <v/>
      </c>
      <c r="BZ7" s="65" t="str">
        <f t="shared" ref="BZ7:CT7" si="70">IF(AND(BZ$2&gt;=$B3-26,BZ$2&lt;=$B3-3),5,IF(OR(BZ$2=$B3-2,BZ$2=$B3-1,BZ$2=$B3,BZ$2=$B3+1),30,IF(OR(BZ$2=$B3+2,BZ$2=$B3+3),5,"")))</f>
        <v/>
      </c>
      <c r="CA7" s="65" t="str">
        <f t="shared" si="70"/>
        <v/>
      </c>
      <c r="CB7" s="65" t="str">
        <f t="shared" si="70"/>
        <v/>
      </c>
      <c r="CC7" s="65" t="str">
        <f t="shared" si="70"/>
        <v/>
      </c>
      <c r="CD7" s="65" t="str">
        <f t="shared" si="70"/>
        <v/>
      </c>
      <c r="CE7" s="65" t="str">
        <f t="shared" si="70"/>
        <v/>
      </c>
      <c r="CF7" s="65" t="str">
        <f t="shared" si="70"/>
        <v/>
      </c>
      <c r="CG7" s="65" t="str">
        <f t="shared" si="70"/>
        <v/>
      </c>
      <c r="CH7" s="65" t="str">
        <f t="shared" si="70"/>
        <v/>
      </c>
      <c r="CI7" s="65" t="str">
        <f t="shared" si="70"/>
        <v/>
      </c>
      <c r="CJ7" s="65" t="str">
        <f t="shared" si="70"/>
        <v/>
      </c>
      <c r="CK7" s="65" t="str">
        <f t="shared" si="70"/>
        <v/>
      </c>
      <c r="CL7" s="65" t="str">
        <f t="shared" si="70"/>
        <v/>
      </c>
      <c r="CM7" s="65" t="str">
        <f t="shared" si="70"/>
        <v/>
      </c>
      <c r="CN7" s="65" t="str">
        <f t="shared" si="70"/>
        <v/>
      </c>
      <c r="CO7" s="65" t="str">
        <f t="shared" si="70"/>
        <v/>
      </c>
      <c r="CP7" s="65" t="str">
        <f t="shared" si="70"/>
        <v/>
      </c>
      <c r="CQ7" s="65" t="str">
        <f t="shared" si="70"/>
        <v/>
      </c>
      <c r="CR7" s="65" t="str">
        <f t="shared" si="70"/>
        <v/>
      </c>
      <c r="CS7" s="65" t="str">
        <f t="shared" si="70"/>
        <v/>
      </c>
      <c r="CT7" s="65" t="str">
        <f t="shared" si="70"/>
        <v/>
      </c>
      <c r="CU7" s="65" t="str">
        <f t="shared" ref="CU7:DV7" si="71">IF(AND(CU$2&gt;=$B3-26,CU$2&lt;=$B3-3),5,IF(OR(CU$2=$B3-2,CU$2=$B3-1,CU$2=$B3,CU$2=$B3+1),30,IF(OR(CU$2=$B3+2,CU$2=$B3+3),5,"")))</f>
        <v/>
      </c>
      <c r="CV7" s="65" t="str">
        <f t="shared" si="71"/>
        <v/>
      </c>
      <c r="CW7" s="65" t="str">
        <f t="shared" si="71"/>
        <v/>
      </c>
      <c r="CX7" s="65" t="str">
        <f t="shared" si="71"/>
        <v/>
      </c>
      <c r="CY7" s="65" t="str">
        <f t="shared" si="71"/>
        <v/>
      </c>
      <c r="CZ7" s="65" t="str">
        <f t="shared" si="71"/>
        <v/>
      </c>
      <c r="DA7" s="65" t="str">
        <f t="shared" si="71"/>
        <v/>
      </c>
      <c r="DB7" s="65" t="str">
        <f t="shared" si="71"/>
        <v/>
      </c>
      <c r="DC7" s="65" t="str">
        <f t="shared" si="71"/>
        <v/>
      </c>
      <c r="DD7" s="65" t="str">
        <f t="shared" si="71"/>
        <v/>
      </c>
      <c r="DE7" s="65" t="str">
        <f t="shared" si="71"/>
        <v/>
      </c>
      <c r="DF7" s="65" t="str">
        <f t="shared" si="71"/>
        <v/>
      </c>
      <c r="DG7" s="65" t="str">
        <f t="shared" si="71"/>
        <v/>
      </c>
      <c r="DH7" s="65" t="str">
        <f t="shared" si="71"/>
        <v/>
      </c>
      <c r="DI7" s="65" t="str">
        <f t="shared" si="71"/>
        <v/>
      </c>
      <c r="DJ7" s="65" t="str">
        <f t="shared" si="71"/>
        <v/>
      </c>
      <c r="DK7" s="65" t="str">
        <f t="shared" si="71"/>
        <v/>
      </c>
      <c r="DL7" s="65" t="str">
        <f t="shared" si="71"/>
        <v/>
      </c>
      <c r="DM7" s="65" t="str">
        <f t="shared" si="71"/>
        <v/>
      </c>
      <c r="DN7" s="65" t="str">
        <f t="shared" si="71"/>
        <v/>
      </c>
      <c r="DO7" s="65" t="str">
        <f t="shared" si="71"/>
        <v/>
      </c>
      <c r="DP7" s="65" t="str">
        <f t="shared" si="71"/>
        <v/>
      </c>
      <c r="DQ7" s="65" t="str">
        <f t="shared" si="71"/>
        <v/>
      </c>
      <c r="DR7" s="65" t="str">
        <f t="shared" si="71"/>
        <v/>
      </c>
      <c r="DS7" s="65" t="str">
        <f t="shared" si="71"/>
        <v/>
      </c>
      <c r="DT7" s="65" t="str">
        <f t="shared" si="71"/>
        <v/>
      </c>
      <c r="DU7" s="65" t="str">
        <f t="shared" si="71"/>
        <v/>
      </c>
      <c r="DV7" s="65" t="str">
        <f t="shared" si="71"/>
        <v/>
      </c>
    </row>
    <row r="8" spans="1:207" ht="13.5" customHeight="1">
      <c r="A8" s="188"/>
      <c r="B8" s="222"/>
      <c r="C8" s="222"/>
      <c r="D8" s="199"/>
      <c r="E8" s="199"/>
      <c r="F8" s="223"/>
      <c r="G8" s="181" t="s">
        <v>69</v>
      </c>
      <c r="H8" s="199"/>
      <c r="I8" s="224"/>
      <c r="J8" s="203"/>
      <c r="K8" s="199"/>
      <c r="L8" s="199"/>
      <c r="M8" s="190">
        <f t="shared" ref="M8:BX8" ca="1" si="72">SUM(M3:M7)</f>
        <v>0</v>
      </c>
      <c r="N8" s="190">
        <f t="shared" ca="1" si="72"/>
        <v>0</v>
      </c>
      <c r="O8" s="190">
        <f t="shared" ca="1" si="72"/>
        <v>0</v>
      </c>
      <c r="P8" s="190">
        <f t="shared" ca="1" si="72"/>
        <v>0</v>
      </c>
      <c r="Q8" s="190">
        <f t="shared" ca="1" si="72"/>
        <v>0</v>
      </c>
      <c r="R8" s="190">
        <f t="shared" ca="1" si="72"/>
        <v>0</v>
      </c>
      <c r="S8" s="190">
        <f t="shared" ca="1" si="72"/>
        <v>0</v>
      </c>
      <c r="T8" s="190">
        <f t="shared" ca="1" si="72"/>
        <v>0</v>
      </c>
      <c r="U8" s="190">
        <f t="shared" ca="1" si="72"/>
        <v>0</v>
      </c>
      <c r="V8" s="190">
        <f t="shared" ca="1" si="72"/>
        <v>0</v>
      </c>
      <c r="W8" s="190">
        <f t="shared" ca="1" si="72"/>
        <v>5</v>
      </c>
      <c r="X8" s="190">
        <f t="shared" ca="1" si="72"/>
        <v>5</v>
      </c>
      <c r="Y8" s="190">
        <f t="shared" ca="1" si="72"/>
        <v>5</v>
      </c>
      <c r="Z8" s="190">
        <f t="shared" ca="1" si="72"/>
        <v>5</v>
      </c>
      <c r="AA8" s="190">
        <f t="shared" ca="1" si="72"/>
        <v>5</v>
      </c>
      <c r="AB8" s="190">
        <f t="shared" ca="1" si="72"/>
        <v>5</v>
      </c>
      <c r="AC8" s="190">
        <f t="shared" ca="1" si="72"/>
        <v>5</v>
      </c>
      <c r="AD8" s="190">
        <f t="shared" ca="1" si="72"/>
        <v>5</v>
      </c>
      <c r="AE8" s="190">
        <f t="shared" ca="1" si="72"/>
        <v>5</v>
      </c>
      <c r="AF8" s="190">
        <f t="shared" ca="1" si="72"/>
        <v>5</v>
      </c>
      <c r="AG8" s="190">
        <f t="shared" ca="1" si="72"/>
        <v>5</v>
      </c>
      <c r="AH8" s="190">
        <f t="shared" ca="1" si="72"/>
        <v>5</v>
      </c>
      <c r="AI8" s="190">
        <f t="shared" ca="1" si="72"/>
        <v>5</v>
      </c>
      <c r="AJ8" s="190">
        <f t="shared" ca="1" si="72"/>
        <v>5</v>
      </c>
      <c r="AK8" s="190">
        <f t="shared" ca="1" si="72"/>
        <v>5</v>
      </c>
      <c r="AL8" s="190">
        <f t="shared" ca="1" si="72"/>
        <v>5</v>
      </c>
      <c r="AM8" s="190">
        <f t="shared" ca="1" si="72"/>
        <v>5</v>
      </c>
      <c r="AN8" s="190">
        <f t="shared" ca="1" si="72"/>
        <v>5</v>
      </c>
      <c r="AO8" s="190">
        <f t="shared" ca="1" si="72"/>
        <v>5</v>
      </c>
      <c r="AP8" s="190">
        <f t="shared" ca="1" si="72"/>
        <v>5</v>
      </c>
      <c r="AQ8" s="190">
        <f t="shared" ca="1" si="72"/>
        <v>5</v>
      </c>
      <c r="AR8" s="190">
        <f t="shared" ca="1" si="72"/>
        <v>5</v>
      </c>
      <c r="AS8" s="190">
        <f t="shared" ca="1" si="72"/>
        <v>5</v>
      </c>
      <c r="AT8" s="190">
        <f t="shared" ca="1" si="72"/>
        <v>5</v>
      </c>
      <c r="AU8" s="190">
        <f t="shared" ca="1" si="72"/>
        <v>30</v>
      </c>
      <c r="AV8" s="190">
        <f t="shared" ca="1" si="72"/>
        <v>30</v>
      </c>
      <c r="AW8" s="190">
        <f t="shared" ca="1" si="72"/>
        <v>30</v>
      </c>
      <c r="AX8" s="190">
        <f t="shared" ca="1" si="72"/>
        <v>30</v>
      </c>
      <c r="AY8" s="190">
        <f t="shared" ca="1" si="72"/>
        <v>5</v>
      </c>
      <c r="AZ8" s="190">
        <f t="shared" ca="1" si="72"/>
        <v>5</v>
      </c>
      <c r="BA8" s="190">
        <f t="shared" ca="1" si="72"/>
        <v>0</v>
      </c>
      <c r="BB8" s="190">
        <f t="shared" ca="1" si="72"/>
        <v>0</v>
      </c>
      <c r="BC8" s="190">
        <f t="shared" ca="1" si="72"/>
        <v>0</v>
      </c>
      <c r="BD8" s="190">
        <f t="shared" ca="1" si="72"/>
        <v>0</v>
      </c>
      <c r="BE8" s="190">
        <f t="shared" ca="1" si="72"/>
        <v>0</v>
      </c>
      <c r="BF8" s="190">
        <f t="shared" ca="1" si="72"/>
        <v>0</v>
      </c>
      <c r="BG8" s="190">
        <f t="shared" ca="1" si="72"/>
        <v>0</v>
      </c>
      <c r="BH8" s="190">
        <f t="shared" ca="1" si="72"/>
        <v>0</v>
      </c>
      <c r="BI8" s="190">
        <f t="shared" ca="1" si="72"/>
        <v>0</v>
      </c>
      <c r="BJ8" s="190">
        <f t="shared" ca="1" si="72"/>
        <v>0</v>
      </c>
      <c r="BK8" s="190">
        <f t="shared" ca="1" si="72"/>
        <v>0</v>
      </c>
      <c r="BL8" s="190">
        <f t="shared" ca="1" si="72"/>
        <v>0</v>
      </c>
      <c r="BM8" s="190">
        <f t="shared" ca="1" si="72"/>
        <v>0</v>
      </c>
      <c r="BN8" s="190">
        <f t="shared" ca="1" si="72"/>
        <v>0</v>
      </c>
      <c r="BO8" s="190">
        <f t="shared" ca="1" si="72"/>
        <v>0</v>
      </c>
      <c r="BP8" s="190">
        <f t="shared" ca="1" si="72"/>
        <v>0</v>
      </c>
      <c r="BQ8" s="190">
        <f t="shared" ca="1" si="72"/>
        <v>0</v>
      </c>
      <c r="BR8" s="190">
        <f t="shared" ca="1" si="72"/>
        <v>0</v>
      </c>
      <c r="BS8" s="190">
        <f t="shared" ca="1" si="72"/>
        <v>0</v>
      </c>
      <c r="BT8" s="190">
        <f t="shared" ca="1" si="72"/>
        <v>0</v>
      </c>
      <c r="BU8" s="190">
        <f t="shared" ca="1" si="72"/>
        <v>0</v>
      </c>
      <c r="BV8" s="190">
        <f t="shared" ca="1" si="72"/>
        <v>0</v>
      </c>
      <c r="BW8" s="190">
        <f t="shared" ca="1" si="72"/>
        <v>0</v>
      </c>
      <c r="BX8" s="190">
        <f t="shared" ca="1" si="72"/>
        <v>0</v>
      </c>
      <c r="BY8" s="190">
        <f t="shared" ref="BY8:DV8" ca="1" si="73">SUM(BY3:BY7)</f>
        <v>0</v>
      </c>
      <c r="BZ8" s="190">
        <f t="shared" ca="1" si="73"/>
        <v>0</v>
      </c>
      <c r="CA8" s="190">
        <f t="shared" ca="1" si="73"/>
        <v>0</v>
      </c>
      <c r="CB8" s="190">
        <f t="shared" ca="1" si="73"/>
        <v>0</v>
      </c>
      <c r="CC8" s="190">
        <f t="shared" ca="1" si="73"/>
        <v>0</v>
      </c>
      <c r="CD8" s="190">
        <f t="shared" ca="1" si="73"/>
        <v>0</v>
      </c>
      <c r="CE8" s="190">
        <f t="shared" ca="1" si="73"/>
        <v>0</v>
      </c>
      <c r="CF8" s="190">
        <f t="shared" ca="1" si="73"/>
        <v>0</v>
      </c>
      <c r="CG8" s="190">
        <f t="shared" ca="1" si="73"/>
        <v>0</v>
      </c>
      <c r="CH8" s="190">
        <f t="shared" ca="1" si="73"/>
        <v>0</v>
      </c>
      <c r="CI8" s="190">
        <f t="shared" ca="1" si="73"/>
        <v>0</v>
      </c>
      <c r="CJ8" s="190">
        <f t="shared" ca="1" si="73"/>
        <v>0</v>
      </c>
      <c r="CK8" s="190">
        <f t="shared" ca="1" si="73"/>
        <v>0</v>
      </c>
      <c r="CL8" s="190">
        <f t="shared" ca="1" si="73"/>
        <v>0</v>
      </c>
      <c r="CM8" s="190">
        <f t="shared" ca="1" si="73"/>
        <v>0</v>
      </c>
      <c r="CN8" s="190">
        <f t="shared" ca="1" si="73"/>
        <v>0</v>
      </c>
      <c r="CO8" s="190">
        <f t="shared" ca="1" si="73"/>
        <v>0</v>
      </c>
      <c r="CP8" s="190">
        <f t="shared" ca="1" si="73"/>
        <v>0</v>
      </c>
      <c r="CQ8" s="190">
        <f t="shared" ca="1" si="73"/>
        <v>0</v>
      </c>
      <c r="CR8" s="190">
        <f t="shared" ca="1" si="73"/>
        <v>0</v>
      </c>
      <c r="CS8" s="190">
        <f t="shared" ca="1" si="73"/>
        <v>0</v>
      </c>
      <c r="CT8" s="190">
        <f t="shared" ca="1" si="73"/>
        <v>0</v>
      </c>
      <c r="CU8" s="190">
        <f t="shared" ca="1" si="73"/>
        <v>0</v>
      </c>
      <c r="CV8" s="190">
        <f t="shared" ca="1" si="73"/>
        <v>0</v>
      </c>
      <c r="CW8" s="190">
        <f t="shared" ca="1" si="73"/>
        <v>0</v>
      </c>
      <c r="CX8" s="190">
        <f t="shared" ca="1" si="73"/>
        <v>0</v>
      </c>
      <c r="CY8" s="190">
        <f t="shared" ca="1" si="73"/>
        <v>0</v>
      </c>
      <c r="CZ8" s="190">
        <f t="shared" ca="1" si="73"/>
        <v>0</v>
      </c>
      <c r="DA8" s="190">
        <f t="shared" ca="1" si="73"/>
        <v>0</v>
      </c>
      <c r="DB8" s="190">
        <f t="shared" ca="1" si="73"/>
        <v>0</v>
      </c>
      <c r="DC8" s="190">
        <f t="shared" ca="1" si="73"/>
        <v>0</v>
      </c>
      <c r="DD8" s="190">
        <f t="shared" ca="1" si="73"/>
        <v>0</v>
      </c>
      <c r="DE8" s="190">
        <f t="shared" ca="1" si="73"/>
        <v>0</v>
      </c>
      <c r="DF8" s="190">
        <f t="shared" ca="1" si="73"/>
        <v>0</v>
      </c>
      <c r="DG8" s="190">
        <f t="shared" ca="1" si="73"/>
        <v>0</v>
      </c>
      <c r="DH8" s="190">
        <f t="shared" ca="1" si="73"/>
        <v>0</v>
      </c>
      <c r="DI8" s="190">
        <f t="shared" ca="1" si="73"/>
        <v>0</v>
      </c>
      <c r="DJ8" s="190">
        <f t="shared" ca="1" si="73"/>
        <v>0</v>
      </c>
      <c r="DK8" s="190">
        <f t="shared" ca="1" si="73"/>
        <v>0</v>
      </c>
      <c r="DL8" s="190">
        <f t="shared" ca="1" si="73"/>
        <v>0</v>
      </c>
      <c r="DM8" s="190">
        <f t="shared" ca="1" si="73"/>
        <v>0</v>
      </c>
      <c r="DN8" s="190">
        <f t="shared" ca="1" si="73"/>
        <v>0</v>
      </c>
      <c r="DO8" s="190">
        <f t="shared" ca="1" si="73"/>
        <v>0</v>
      </c>
      <c r="DP8" s="190">
        <f t="shared" ca="1" si="73"/>
        <v>0</v>
      </c>
      <c r="DQ8" s="190">
        <f t="shared" ca="1" si="73"/>
        <v>0</v>
      </c>
      <c r="DR8" s="190">
        <f t="shared" ca="1" si="73"/>
        <v>0</v>
      </c>
      <c r="DS8" s="190">
        <f t="shared" ca="1" si="73"/>
        <v>0</v>
      </c>
      <c r="DT8" s="190">
        <f t="shared" ca="1" si="73"/>
        <v>0</v>
      </c>
      <c r="DU8" s="190">
        <f t="shared" ca="1" si="73"/>
        <v>0</v>
      </c>
      <c r="DV8" s="190">
        <f t="shared" ca="1" si="73"/>
        <v>0</v>
      </c>
    </row>
    <row r="9" spans="1:207">
      <c r="A9" s="188"/>
      <c r="B9" s="222"/>
      <c r="C9" s="222"/>
      <c r="D9" s="199"/>
      <c r="E9" s="199"/>
      <c r="F9" s="223"/>
      <c r="G9" s="181"/>
      <c r="H9" s="199"/>
      <c r="I9" s="224"/>
      <c r="J9" s="53"/>
      <c r="K9" s="199"/>
      <c r="L9" s="199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  <c r="AT9" s="190"/>
      <c r="AU9" s="190"/>
      <c r="AV9" s="190"/>
      <c r="AW9" s="190"/>
      <c r="AX9" s="190"/>
      <c r="AY9" s="190"/>
      <c r="AZ9" s="190"/>
      <c r="BA9" s="190"/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5"/>
      <c r="DH9" s="185"/>
      <c r="DI9" s="185"/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</row>
    <row r="10" spans="1:207" s="180" customFormat="1" ht="27">
      <c r="A10" s="447" t="s">
        <v>70</v>
      </c>
      <c r="B10" s="458">
        <f>IF(LEN('BESS 12'!F96)=5,'BESS 12'!F96,(IF('BESS 12'!F96="Completed"," ",DATEVALUE(RIGHT('BESS 12'!F96,6)))))</f>
        <v>46236</v>
      </c>
      <c r="C10" s="458">
        <f>IF(LEN('BESS 12'!G96)=5,'BESS 12'!G96,(IF('BESS 12'!G96="Completed"," ",DATEVALUE(RIGHT('BESS 12'!G96,6)))))</f>
        <v>46241</v>
      </c>
      <c r="D10" s="458">
        <f>IF(LEN('BESS 12'!H96)=5,'BESS 12'!H96,(IF('BESS 12'!H96="Completed"," ",DATEVALUE(RIGHT('BESS 12'!H96,6)))))</f>
        <v>46244</v>
      </c>
      <c r="E10" s="226" t="s">
        <v>10</v>
      </c>
      <c r="F10" s="217" t="s">
        <v>58</v>
      </c>
      <c r="G10" s="217" t="s">
        <v>78</v>
      </c>
      <c r="H10" s="217" t="s">
        <v>87</v>
      </c>
      <c r="I10" s="217" t="s">
        <v>59</v>
      </c>
      <c r="J10" s="129"/>
      <c r="K10" s="216" t="s">
        <v>80</v>
      </c>
      <c r="L10" s="216" t="s">
        <v>62</v>
      </c>
      <c r="M10" s="218">
        <v>46195</v>
      </c>
      <c r="N10" s="218">
        <v>46196</v>
      </c>
      <c r="O10" s="218">
        <v>46197</v>
      </c>
      <c r="P10" s="218">
        <v>46198</v>
      </c>
      <c r="Q10" s="218">
        <v>46199</v>
      </c>
      <c r="R10" s="218">
        <v>46200</v>
      </c>
      <c r="S10" s="218">
        <f t="shared" ref="S10:CD10" si="74">R10+1</f>
        <v>46201</v>
      </c>
      <c r="T10" s="218">
        <f t="shared" si="74"/>
        <v>46202</v>
      </c>
      <c r="U10" s="218">
        <f t="shared" si="74"/>
        <v>46203</v>
      </c>
      <c r="V10" s="218">
        <f t="shared" si="74"/>
        <v>46204</v>
      </c>
      <c r="W10" s="218">
        <f t="shared" si="74"/>
        <v>46205</v>
      </c>
      <c r="X10" s="218">
        <f t="shared" si="74"/>
        <v>46206</v>
      </c>
      <c r="Y10" s="218">
        <f t="shared" si="74"/>
        <v>46207</v>
      </c>
      <c r="Z10" s="218">
        <f t="shared" si="74"/>
        <v>46208</v>
      </c>
      <c r="AA10" s="218">
        <f t="shared" si="74"/>
        <v>46209</v>
      </c>
      <c r="AB10" s="218">
        <f t="shared" si="74"/>
        <v>46210</v>
      </c>
      <c r="AC10" s="218">
        <f t="shared" si="74"/>
        <v>46211</v>
      </c>
      <c r="AD10" s="218">
        <f t="shared" si="74"/>
        <v>46212</v>
      </c>
      <c r="AE10" s="218">
        <f t="shared" si="74"/>
        <v>46213</v>
      </c>
      <c r="AF10" s="218">
        <f t="shared" si="74"/>
        <v>46214</v>
      </c>
      <c r="AG10" s="218">
        <f t="shared" si="74"/>
        <v>46215</v>
      </c>
      <c r="AH10" s="218">
        <f t="shared" si="74"/>
        <v>46216</v>
      </c>
      <c r="AI10" s="218">
        <f t="shared" si="74"/>
        <v>46217</v>
      </c>
      <c r="AJ10" s="218">
        <f t="shared" si="74"/>
        <v>46218</v>
      </c>
      <c r="AK10" s="218">
        <f t="shared" si="74"/>
        <v>46219</v>
      </c>
      <c r="AL10" s="218">
        <f t="shared" si="74"/>
        <v>46220</v>
      </c>
      <c r="AM10" s="218">
        <f t="shared" si="74"/>
        <v>46221</v>
      </c>
      <c r="AN10" s="218">
        <f t="shared" si="74"/>
        <v>46222</v>
      </c>
      <c r="AO10" s="218">
        <f t="shared" si="74"/>
        <v>46223</v>
      </c>
      <c r="AP10" s="218">
        <f t="shared" si="74"/>
        <v>46224</v>
      </c>
      <c r="AQ10" s="218">
        <f t="shared" si="74"/>
        <v>46225</v>
      </c>
      <c r="AR10" s="218">
        <f t="shared" si="74"/>
        <v>46226</v>
      </c>
      <c r="AS10" s="218">
        <f t="shared" si="74"/>
        <v>46227</v>
      </c>
      <c r="AT10" s="218">
        <f t="shared" si="74"/>
        <v>46228</v>
      </c>
      <c r="AU10" s="218">
        <f t="shared" si="74"/>
        <v>46229</v>
      </c>
      <c r="AV10" s="218">
        <f t="shared" si="74"/>
        <v>46230</v>
      </c>
      <c r="AW10" s="218">
        <f t="shared" si="74"/>
        <v>46231</v>
      </c>
      <c r="AX10" s="218">
        <f t="shared" si="74"/>
        <v>46232</v>
      </c>
      <c r="AY10" s="218">
        <f t="shared" si="74"/>
        <v>46233</v>
      </c>
      <c r="AZ10" s="218">
        <f t="shared" si="74"/>
        <v>46234</v>
      </c>
      <c r="BA10" s="218">
        <f t="shared" si="74"/>
        <v>46235</v>
      </c>
      <c r="BB10" s="218">
        <f t="shared" si="74"/>
        <v>46236</v>
      </c>
      <c r="BC10" s="218">
        <f t="shared" si="74"/>
        <v>46237</v>
      </c>
      <c r="BD10" s="218">
        <f t="shared" si="74"/>
        <v>46238</v>
      </c>
      <c r="BE10" s="218">
        <f t="shared" si="74"/>
        <v>46239</v>
      </c>
      <c r="BF10" s="218">
        <f t="shared" si="74"/>
        <v>46240</v>
      </c>
      <c r="BG10" s="218">
        <f t="shared" si="74"/>
        <v>46241</v>
      </c>
      <c r="BH10" s="218">
        <f t="shared" si="74"/>
        <v>46242</v>
      </c>
      <c r="BI10" s="218">
        <f t="shared" si="74"/>
        <v>46243</v>
      </c>
      <c r="BJ10" s="218">
        <f t="shared" si="74"/>
        <v>46244</v>
      </c>
      <c r="BK10" s="218">
        <f t="shared" si="74"/>
        <v>46245</v>
      </c>
      <c r="BL10" s="218">
        <f t="shared" si="74"/>
        <v>46246</v>
      </c>
      <c r="BM10" s="218">
        <f t="shared" si="74"/>
        <v>46247</v>
      </c>
      <c r="BN10" s="218">
        <f t="shared" si="74"/>
        <v>46248</v>
      </c>
      <c r="BO10" s="218">
        <f t="shared" si="74"/>
        <v>46249</v>
      </c>
      <c r="BP10" s="218">
        <f t="shared" si="74"/>
        <v>46250</v>
      </c>
      <c r="BQ10" s="218">
        <f t="shared" si="74"/>
        <v>46251</v>
      </c>
      <c r="BR10" s="218">
        <f t="shared" si="74"/>
        <v>46252</v>
      </c>
      <c r="BS10" s="218">
        <f t="shared" si="74"/>
        <v>46253</v>
      </c>
      <c r="BT10" s="218">
        <f t="shared" si="74"/>
        <v>46254</v>
      </c>
      <c r="BU10" s="218">
        <f t="shared" si="74"/>
        <v>46255</v>
      </c>
      <c r="BV10" s="218">
        <f t="shared" si="74"/>
        <v>46256</v>
      </c>
      <c r="BW10" s="218">
        <f t="shared" si="74"/>
        <v>46257</v>
      </c>
      <c r="BX10" s="218">
        <f t="shared" si="74"/>
        <v>46258</v>
      </c>
      <c r="BY10" s="218">
        <f t="shared" si="74"/>
        <v>46259</v>
      </c>
      <c r="BZ10" s="218">
        <f t="shared" si="74"/>
        <v>46260</v>
      </c>
      <c r="CA10" s="218">
        <f t="shared" si="74"/>
        <v>46261</v>
      </c>
      <c r="CB10" s="218">
        <f t="shared" si="74"/>
        <v>46262</v>
      </c>
      <c r="CC10" s="218">
        <f t="shared" si="74"/>
        <v>46263</v>
      </c>
      <c r="CD10" s="218">
        <f t="shared" si="74"/>
        <v>46264</v>
      </c>
      <c r="CE10" s="218">
        <f t="shared" ref="CE10:CT10" si="75">CD10+1</f>
        <v>46265</v>
      </c>
      <c r="CF10" s="218">
        <f t="shared" si="75"/>
        <v>46266</v>
      </c>
      <c r="CG10" s="218">
        <f t="shared" si="75"/>
        <v>46267</v>
      </c>
      <c r="CH10" s="218">
        <f t="shared" si="75"/>
        <v>46268</v>
      </c>
      <c r="CI10" s="218">
        <f t="shared" si="75"/>
        <v>46269</v>
      </c>
      <c r="CJ10" s="218">
        <f t="shared" si="75"/>
        <v>46270</v>
      </c>
      <c r="CK10" s="218">
        <f t="shared" si="75"/>
        <v>46271</v>
      </c>
      <c r="CL10" s="218">
        <f t="shared" si="75"/>
        <v>46272</v>
      </c>
      <c r="CM10" s="218">
        <f t="shared" si="75"/>
        <v>46273</v>
      </c>
      <c r="CN10" s="218">
        <f t="shared" si="75"/>
        <v>46274</v>
      </c>
      <c r="CO10" s="218">
        <f t="shared" si="75"/>
        <v>46275</v>
      </c>
      <c r="CP10" s="218">
        <f t="shared" si="75"/>
        <v>46276</v>
      </c>
      <c r="CQ10" s="218">
        <f t="shared" si="75"/>
        <v>46277</v>
      </c>
      <c r="CR10" s="218">
        <f t="shared" si="75"/>
        <v>46278</v>
      </c>
      <c r="CS10" s="218">
        <f t="shared" si="75"/>
        <v>46279</v>
      </c>
      <c r="CT10" s="218">
        <f t="shared" si="75"/>
        <v>46280</v>
      </c>
      <c r="CU10" s="218">
        <f t="shared" ref="CU10" si="76">CT10+1</f>
        <v>46281</v>
      </c>
      <c r="CV10" s="218">
        <f t="shared" ref="CV10" si="77">CU10+1</f>
        <v>46282</v>
      </c>
      <c r="CW10" s="218">
        <f t="shared" ref="CW10" si="78">CV10+1</f>
        <v>46283</v>
      </c>
      <c r="CX10" s="218">
        <f t="shared" ref="CX10" si="79">CW10+1</f>
        <v>46284</v>
      </c>
      <c r="CY10" s="218">
        <f t="shared" ref="CY10" si="80">CX10+1</f>
        <v>46285</v>
      </c>
      <c r="CZ10" s="218">
        <f t="shared" ref="CZ10" si="81">CY10+1</f>
        <v>46286</v>
      </c>
      <c r="DA10" s="218">
        <f t="shared" ref="DA10" si="82">CZ10+1</f>
        <v>46287</v>
      </c>
      <c r="DB10" s="218">
        <f t="shared" ref="DB10" si="83">DA10+1</f>
        <v>46288</v>
      </c>
      <c r="DC10" s="218">
        <f t="shared" ref="DC10" si="84">DB10+1</f>
        <v>46289</v>
      </c>
      <c r="DD10" s="218">
        <f t="shared" ref="DD10" si="85">DC10+1</f>
        <v>46290</v>
      </c>
      <c r="DE10" s="218">
        <f t="shared" ref="DE10" si="86">DD10+1</f>
        <v>46291</v>
      </c>
      <c r="DF10" s="218">
        <f t="shared" ref="DF10" si="87">DE10+1</f>
        <v>46292</v>
      </c>
      <c r="DG10" s="218">
        <f t="shared" ref="DG10" si="88">DF10+1</f>
        <v>46293</v>
      </c>
      <c r="DH10" s="218">
        <f t="shared" ref="DH10" si="89">DG10+1</f>
        <v>46294</v>
      </c>
      <c r="DI10" s="218">
        <f t="shared" ref="DI10" si="90">DH10+1</f>
        <v>46295</v>
      </c>
      <c r="DJ10" s="218">
        <f t="shared" ref="DJ10" si="91">DI10+1</f>
        <v>46296</v>
      </c>
      <c r="DK10" s="218">
        <f t="shared" ref="DK10" si="92">DJ10+1</f>
        <v>46297</v>
      </c>
      <c r="DL10" s="218">
        <f t="shared" ref="DL10" si="93">DK10+1</f>
        <v>46298</v>
      </c>
      <c r="DM10" s="218">
        <f t="shared" ref="DM10" si="94">DL10+1</f>
        <v>46299</v>
      </c>
      <c r="DN10" s="218">
        <f t="shared" ref="DN10" si="95">DM10+1</f>
        <v>46300</v>
      </c>
      <c r="DO10" s="218">
        <f t="shared" ref="DO10" si="96">DN10+1</f>
        <v>46301</v>
      </c>
      <c r="DP10" s="218">
        <f t="shared" ref="DP10" si="97">DO10+1</f>
        <v>46302</v>
      </c>
      <c r="DQ10" s="218">
        <f t="shared" ref="DQ10" si="98">DP10+1</f>
        <v>46303</v>
      </c>
      <c r="DR10" s="218">
        <f t="shared" ref="DR10" si="99">DQ10+1</f>
        <v>46304</v>
      </c>
      <c r="DS10" s="218">
        <f t="shared" ref="DS10" si="100">DR10+1</f>
        <v>46305</v>
      </c>
      <c r="DT10" s="218">
        <f t="shared" ref="DT10" si="101">DS10+1</f>
        <v>46306</v>
      </c>
      <c r="DU10" s="218">
        <f t="shared" ref="DU10" si="102">DT10+1</f>
        <v>46307</v>
      </c>
      <c r="DV10" s="218">
        <f t="shared" ref="DV10" si="103">DU10+1</f>
        <v>46308</v>
      </c>
    </row>
    <row r="11" spans="1:207">
      <c r="A11" s="448"/>
      <c r="B11" s="459"/>
      <c r="C11" s="459"/>
      <c r="D11" s="459"/>
      <c r="E11" s="185" t="s">
        <v>64</v>
      </c>
      <c r="F11" s="66" t="e">
        <f>SUM('BESS 12'!S109:S116,'BESS 12'!S118)</f>
        <v>#VALUE!</v>
      </c>
      <c r="G11" s="182">
        <f ca="1">TODAY()</f>
        <v>46233</v>
      </c>
      <c r="H11" s="162">
        <f>MAX('BESS 12'!O109:O115)</f>
        <v>46233</v>
      </c>
      <c r="I11" s="66">
        <f t="shared" ref="I11:I13" ca="1" si="104">H11-G11</f>
        <v>0</v>
      </c>
      <c r="J11" s="444">
        <f ca="1">K11*1.2</f>
        <v>6</v>
      </c>
      <c r="K11" s="506">
        <f ca="1">AVERAGEIF(M16:CT16,"&gt;0")</f>
        <v>5</v>
      </c>
      <c r="L11" s="506" t="e">
        <f ca="1">MAX(M16:CT16)</f>
        <v>#VALUE!</v>
      </c>
      <c r="M11" s="65" t="str">
        <f t="shared" ref="M11:AB14" ca="1" si="105">IF(AND(M$2&gt;=$G11,M$2&lt;($G11+$I11)),ROUND($F11/$I11,0),"-")</f>
        <v>-</v>
      </c>
      <c r="N11" s="65" t="str">
        <f t="shared" ca="1" si="105"/>
        <v>-</v>
      </c>
      <c r="O11" s="65" t="str">
        <f t="shared" ca="1" si="105"/>
        <v>-</v>
      </c>
      <c r="P11" s="65" t="str">
        <f t="shared" ca="1" si="105"/>
        <v>-</v>
      </c>
      <c r="Q11" s="65" t="str">
        <f t="shared" ca="1" si="105"/>
        <v>-</v>
      </c>
      <c r="R11" s="65" t="str">
        <f t="shared" ca="1" si="105"/>
        <v>-</v>
      </c>
      <c r="S11" s="65" t="str">
        <f t="shared" ca="1" si="105"/>
        <v>-</v>
      </c>
      <c r="T11" s="65" t="str">
        <f t="shared" ca="1" si="105"/>
        <v>-</v>
      </c>
      <c r="U11" s="65" t="str">
        <f t="shared" ca="1" si="105"/>
        <v>-</v>
      </c>
      <c r="V11" s="65" t="str">
        <f t="shared" ca="1" si="105"/>
        <v>-</v>
      </c>
      <c r="W11" s="65" t="str">
        <f t="shared" ca="1" si="105"/>
        <v>-</v>
      </c>
      <c r="X11" s="65" t="str">
        <f t="shared" ca="1" si="105"/>
        <v>-</v>
      </c>
      <c r="Y11" s="65" t="str">
        <f t="shared" ca="1" si="105"/>
        <v>-</v>
      </c>
      <c r="Z11" s="65" t="str">
        <f t="shared" ca="1" si="105"/>
        <v>-</v>
      </c>
      <c r="AA11" s="65" t="str">
        <f t="shared" ca="1" si="105"/>
        <v>-</v>
      </c>
      <c r="AB11" s="65" t="str">
        <f t="shared" ca="1" si="105"/>
        <v>-</v>
      </c>
      <c r="AC11" s="65" t="str">
        <f t="shared" ref="AC11:AR14" ca="1" si="106">IF(AND(AC$2&gt;=$G11,AC$2&lt;($G11+$I11)),ROUND($F11/$I11,0),"-")</f>
        <v>-</v>
      </c>
      <c r="AD11" s="65" t="str">
        <f t="shared" ca="1" si="106"/>
        <v>-</v>
      </c>
      <c r="AE11" s="65" t="str">
        <f t="shared" ca="1" si="106"/>
        <v>-</v>
      </c>
      <c r="AF11" s="65" t="str">
        <f t="shared" ca="1" si="106"/>
        <v>-</v>
      </c>
      <c r="AG11" s="65" t="str">
        <f t="shared" ca="1" si="106"/>
        <v>-</v>
      </c>
      <c r="AH11" s="65" t="str">
        <f t="shared" ca="1" si="106"/>
        <v>-</v>
      </c>
      <c r="AI11" s="65" t="str">
        <f t="shared" ca="1" si="106"/>
        <v>-</v>
      </c>
      <c r="AJ11" s="65" t="str">
        <f t="shared" ca="1" si="106"/>
        <v>-</v>
      </c>
      <c r="AK11" s="65" t="str">
        <f t="shared" ca="1" si="106"/>
        <v>-</v>
      </c>
      <c r="AL11" s="65" t="str">
        <f t="shared" ca="1" si="106"/>
        <v>-</v>
      </c>
      <c r="AM11" s="65" t="str">
        <f t="shared" ca="1" si="106"/>
        <v>-</v>
      </c>
      <c r="AN11" s="65" t="str">
        <f t="shared" ca="1" si="106"/>
        <v>-</v>
      </c>
      <c r="AO11" s="65" t="str">
        <f t="shared" ca="1" si="106"/>
        <v>-</v>
      </c>
      <c r="AP11" s="65" t="str">
        <f t="shared" ca="1" si="106"/>
        <v>-</v>
      </c>
      <c r="AQ11" s="65" t="str">
        <f t="shared" ca="1" si="106"/>
        <v>-</v>
      </c>
      <c r="AR11" s="65" t="str">
        <f t="shared" ca="1" si="106"/>
        <v>-</v>
      </c>
      <c r="AS11" s="65" t="str">
        <f t="shared" ref="AS11:BH14" ca="1" si="107">IF(AND(AS$2&gt;=$G11,AS$2&lt;($G11+$I11)),ROUND($F11/$I11,0),"-")</f>
        <v>-</v>
      </c>
      <c r="AT11" s="65" t="str">
        <f t="shared" ca="1" si="107"/>
        <v>-</v>
      </c>
      <c r="AU11" s="65" t="str">
        <f t="shared" ca="1" si="107"/>
        <v>-</v>
      </c>
      <c r="AV11" s="65" t="str">
        <f t="shared" ca="1" si="107"/>
        <v>-</v>
      </c>
      <c r="AW11" s="65" t="str">
        <f t="shared" ca="1" si="107"/>
        <v>-</v>
      </c>
      <c r="AX11" s="65" t="str">
        <f t="shared" ca="1" si="107"/>
        <v>-</v>
      </c>
      <c r="AY11" s="65" t="str">
        <f t="shared" ca="1" si="107"/>
        <v>-</v>
      </c>
      <c r="AZ11" s="65" t="str">
        <f t="shared" ca="1" si="107"/>
        <v>-</v>
      </c>
      <c r="BA11" s="65" t="str">
        <f t="shared" ca="1" si="107"/>
        <v>-</v>
      </c>
      <c r="BB11" s="65" t="str">
        <f t="shared" ca="1" si="107"/>
        <v>-</v>
      </c>
      <c r="BC11" s="65" t="str">
        <f t="shared" ca="1" si="107"/>
        <v>-</v>
      </c>
      <c r="BD11" s="65" t="str">
        <f t="shared" ca="1" si="107"/>
        <v>-</v>
      </c>
      <c r="BE11" s="65" t="str">
        <f t="shared" ca="1" si="107"/>
        <v>-</v>
      </c>
      <c r="BF11" s="65" t="str">
        <f t="shared" ca="1" si="107"/>
        <v>-</v>
      </c>
      <c r="BG11" s="65" t="str">
        <f t="shared" ca="1" si="107"/>
        <v>-</v>
      </c>
      <c r="BH11" s="65" t="str">
        <f t="shared" ca="1" si="107"/>
        <v>-</v>
      </c>
      <c r="BI11" s="65" t="str">
        <f t="shared" ref="BI11:BX14" ca="1" si="108">IF(AND(BI$2&gt;=$G11,BI$2&lt;($G11+$I11)),ROUND($F11/$I11,0),"-")</f>
        <v>-</v>
      </c>
      <c r="BJ11" s="65" t="str">
        <f t="shared" ca="1" si="108"/>
        <v>-</v>
      </c>
      <c r="BK11" s="65" t="str">
        <f t="shared" ca="1" si="108"/>
        <v>-</v>
      </c>
      <c r="BL11" s="65" t="str">
        <f t="shared" ca="1" si="108"/>
        <v>-</v>
      </c>
      <c r="BM11" s="65" t="str">
        <f t="shared" ca="1" si="108"/>
        <v>-</v>
      </c>
      <c r="BN11" s="65" t="str">
        <f t="shared" ca="1" si="108"/>
        <v>-</v>
      </c>
      <c r="BO11" s="65" t="str">
        <f t="shared" ca="1" si="108"/>
        <v>-</v>
      </c>
      <c r="BP11" s="65" t="str">
        <f t="shared" ca="1" si="108"/>
        <v>-</v>
      </c>
      <c r="BQ11" s="65" t="str">
        <f t="shared" ca="1" si="108"/>
        <v>-</v>
      </c>
      <c r="BR11" s="65" t="str">
        <f t="shared" ca="1" si="108"/>
        <v>-</v>
      </c>
      <c r="BS11" s="65" t="str">
        <f t="shared" ca="1" si="108"/>
        <v>-</v>
      </c>
      <c r="BT11" s="65" t="str">
        <f t="shared" ca="1" si="108"/>
        <v>-</v>
      </c>
      <c r="BU11" s="65" t="str">
        <f t="shared" ca="1" si="108"/>
        <v>-</v>
      </c>
      <c r="BV11" s="65" t="str">
        <f t="shared" ca="1" si="108"/>
        <v>-</v>
      </c>
      <c r="BW11" s="65" t="str">
        <f t="shared" ca="1" si="108"/>
        <v>-</v>
      </c>
      <c r="BX11" s="65" t="str">
        <f t="shared" ca="1" si="108"/>
        <v>-</v>
      </c>
      <c r="BY11" s="65" t="str">
        <f t="shared" ref="BY11:CN14" ca="1" si="109">IF(AND(BY$2&gt;=$G11,BY$2&lt;($G11+$I11)),ROUND($F11/$I11,0),"-")</f>
        <v>-</v>
      </c>
      <c r="BZ11" s="65" t="str">
        <f t="shared" ca="1" si="109"/>
        <v>-</v>
      </c>
      <c r="CA11" s="65" t="str">
        <f t="shared" ca="1" si="109"/>
        <v>-</v>
      </c>
      <c r="CB11" s="65" t="str">
        <f t="shared" ca="1" si="109"/>
        <v>-</v>
      </c>
      <c r="CC11" s="65" t="str">
        <f t="shared" ca="1" si="109"/>
        <v>-</v>
      </c>
      <c r="CD11" s="65" t="str">
        <f t="shared" ca="1" si="109"/>
        <v>-</v>
      </c>
      <c r="CE11" s="65" t="str">
        <f t="shared" ca="1" si="109"/>
        <v>-</v>
      </c>
      <c r="CF11" s="65" t="str">
        <f t="shared" ca="1" si="109"/>
        <v>-</v>
      </c>
      <c r="CG11" s="65" t="str">
        <f t="shared" ca="1" si="109"/>
        <v>-</v>
      </c>
      <c r="CH11" s="65" t="str">
        <f t="shared" ca="1" si="109"/>
        <v>-</v>
      </c>
      <c r="CI11" s="65" t="str">
        <f t="shared" ca="1" si="109"/>
        <v>-</v>
      </c>
      <c r="CJ11" s="65" t="str">
        <f t="shared" ca="1" si="109"/>
        <v>-</v>
      </c>
      <c r="CK11" s="65" t="str">
        <f t="shared" ca="1" si="109"/>
        <v>-</v>
      </c>
      <c r="CL11" s="65" t="str">
        <f t="shared" ca="1" si="109"/>
        <v>-</v>
      </c>
      <c r="CM11" s="65" t="str">
        <f t="shared" ca="1" si="109"/>
        <v>-</v>
      </c>
      <c r="CN11" s="65" t="str">
        <f t="shared" ca="1" si="109"/>
        <v>-</v>
      </c>
      <c r="CO11" s="65" t="str">
        <f t="shared" ref="CO11:DD14" ca="1" si="110">IF(AND(CO$2&gt;=$G11,CO$2&lt;($G11+$I11)),ROUND($F11/$I11,0),"-")</f>
        <v>-</v>
      </c>
      <c r="CP11" s="65" t="str">
        <f t="shared" ca="1" si="110"/>
        <v>-</v>
      </c>
      <c r="CQ11" s="65" t="str">
        <f t="shared" ca="1" si="110"/>
        <v>-</v>
      </c>
      <c r="CR11" s="65" t="str">
        <f t="shared" ca="1" si="110"/>
        <v>-</v>
      </c>
      <c r="CS11" s="65" t="str">
        <f t="shared" ca="1" si="110"/>
        <v>-</v>
      </c>
      <c r="CT11" s="65" t="str">
        <f t="shared" ca="1" si="110"/>
        <v>-</v>
      </c>
      <c r="CU11" s="65" t="str">
        <f t="shared" ca="1" si="110"/>
        <v>-</v>
      </c>
      <c r="CV11" s="65" t="str">
        <f t="shared" ca="1" si="110"/>
        <v>-</v>
      </c>
      <c r="CW11" s="65" t="str">
        <f t="shared" ca="1" si="110"/>
        <v>-</v>
      </c>
      <c r="CX11" s="65" t="str">
        <f t="shared" ca="1" si="110"/>
        <v>-</v>
      </c>
      <c r="CY11" s="65" t="str">
        <f t="shared" ca="1" si="110"/>
        <v>-</v>
      </c>
      <c r="CZ11" s="65" t="str">
        <f t="shared" ca="1" si="110"/>
        <v>-</v>
      </c>
      <c r="DA11" s="65" t="str">
        <f t="shared" ca="1" si="110"/>
        <v>-</v>
      </c>
      <c r="DB11" s="65" t="str">
        <f t="shared" ca="1" si="110"/>
        <v>-</v>
      </c>
      <c r="DC11" s="65" t="str">
        <f t="shared" ca="1" si="110"/>
        <v>-</v>
      </c>
      <c r="DD11" s="65" t="str">
        <f t="shared" ca="1" si="110"/>
        <v>-</v>
      </c>
      <c r="DE11" s="65" t="str">
        <f t="shared" ref="CU11:DV14" ca="1" si="111">IF(AND(DE$2&gt;=$G11,DE$2&lt;($G11+$I11)),ROUND($F11/$I11,0),"-")</f>
        <v>-</v>
      </c>
      <c r="DF11" s="65" t="str">
        <f t="shared" ca="1" si="111"/>
        <v>-</v>
      </c>
      <c r="DG11" s="65" t="str">
        <f t="shared" ca="1" si="111"/>
        <v>-</v>
      </c>
      <c r="DH11" s="65" t="str">
        <f t="shared" ca="1" si="111"/>
        <v>-</v>
      </c>
      <c r="DI11" s="65" t="str">
        <f t="shared" ca="1" si="111"/>
        <v>-</v>
      </c>
      <c r="DJ11" s="65" t="str">
        <f t="shared" ca="1" si="111"/>
        <v>-</v>
      </c>
      <c r="DK11" s="65" t="str">
        <f t="shared" ca="1" si="111"/>
        <v>-</v>
      </c>
      <c r="DL11" s="65" t="str">
        <f t="shared" ca="1" si="111"/>
        <v>-</v>
      </c>
      <c r="DM11" s="65" t="str">
        <f t="shared" ca="1" si="111"/>
        <v>-</v>
      </c>
      <c r="DN11" s="65" t="str">
        <f t="shared" ca="1" si="111"/>
        <v>-</v>
      </c>
      <c r="DO11" s="65" t="str">
        <f t="shared" ca="1" si="111"/>
        <v>-</v>
      </c>
      <c r="DP11" s="65" t="str">
        <f t="shared" ca="1" si="111"/>
        <v>-</v>
      </c>
      <c r="DQ11" s="65" t="str">
        <f t="shared" ca="1" si="111"/>
        <v>-</v>
      </c>
      <c r="DR11" s="65" t="str">
        <f t="shared" ca="1" si="111"/>
        <v>-</v>
      </c>
      <c r="DS11" s="65" t="str">
        <f t="shared" ca="1" si="111"/>
        <v>-</v>
      </c>
      <c r="DT11" s="65" t="str">
        <f t="shared" ca="1" si="111"/>
        <v>-</v>
      </c>
      <c r="DU11" s="65" t="str">
        <f t="shared" ca="1" si="111"/>
        <v>-</v>
      </c>
      <c r="DV11" s="65" t="str">
        <f t="shared" ca="1" si="111"/>
        <v>-</v>
      </c>
    </row>
    <row r="12" spans="1:207">
      <c r="A12" s="448"/>
      <c r="B12" s="459"/>
      <c r="C12" s="459"/>
      <c r="D12" s="459"/>
      <c r="E12" s="185" t="s">
        <v>65</v>
      </c>
      <c r="F12" s="66" t="e">
        <f>SUM('BESS 12'!S119,'BESS 12'!S121:S122,'BESS 12'!S125:S127)</f>
        <v>#VALUE!</v>
      </c>
      <c r="G12" s="182">
        <f ca="1">TODAY()</f>
        <v>46233</v>
      </c>
      <c r="H12" s="162">
        <f>MAX('BESS 12'!O119,'BESS 12'!O121:O122,'BESS 12'!O125:O127)</f>
        <v>46233</v>
      </c>
      <c r="I12" s="66">
        <f t="shared" ca="1" si="104"/>
        <v>0</v>
      </c>
      <c r="J12" s="453"/>
      <c r="K12" s="507"/>
      <c r="L12" s="476"/>
      <c r="M12" s="65" t="str">
        <f t="shared" ca="1" si="105"/>
        <v>-</v>
      </c>
      <c r="N12" s="65" t="str">
        <f t="shared" ca="1" si="105"/>
        <v>-</v>
      </c>
      <c r="O12" s="65" t="str">
        <f t="shared" ca="1" si="105"/>
        <v>-</v>
      </c>
      <c r="P12" s="65" t="str">
        <f t="shared" ca="1" si="105"/>
        <v>-</v>
      </c>
      <c r="Q12" s="65" t="str">
        <f t="shared" ca="1" si="105"/>
        <v>-</v>
      </c>
      <c r="R12" s="65" t="str">
        <f t="shared" ca="1" si="105"/>
        <v>-</v>
      </c>
      <c r="S12" s="65" t="str">
        <f t="shared" ca="1" si="105"/>
        <v>-</v>
      </c>
      <c r="T12" s="65" t="str">
        <f t="shared" ca="1" si="105"/>
        <v>-</v>
      </c>
      <c r="U12" s="65" t="str">
        <f t="shared" ca="1" si="105"/>
        <v>-</v>
      </c>
      <c r="V12" s="65" t="str">
        <f t="shared" ca="1" si="105"/>
        <v>-</v>
      </c>
      <c r="W12" s="65" t="str">
        <f t="shared" ca="1" si="105"/>
        <v>-</v>
      </c>
      <c r="X12" s="65" t="str">
        <f t="shared" ca="1" si="105"/>
        <v>-</v>
      </c>
      <c r="Y12" s="65" t="str">
        <f t="shared" ca="1" si="105"/>
        <v>-</v>
      </c>
      <c r="Z12" s="65" t="str">
        <f t="shared" ca="1" si="105"/>
        <v>-</v>
      </c>
      <c r="AA12" s="65" t="str">
        <f t="shared" ca="1" si="105"/>
        <v>-</v>
      </c>
      <c r="AB12" s="65" t="str">
        <f t="shared" ca="1" si="105"/>
        <v>-</v>
      </c>
      <c r="AC12" s="65" t="str">
        <f t="shared" ca="1" si="106"/>
        <v>-</v>
      </c>
      <c r="AD12" s="65" t="str">
        <f t="shared" ca="1" si="106"/>
        <v>-</v>
      </c>
      <c r="AE12" s="65" t="str">
        <f t="shared" ca="1" si="106"/>
        <v>-</v>
      </c>
      <c r="AF12" s="65" t="str">
        <f t="shared" ca="1" si="106"/>
        <v>-</v>
      </c>
      <c r="AG12" s="65" t="str">
        <f t="shared" ca="1" si="106"/>
        <v>-</v>
      </c>
      <c r="AH12" s="65" t="str">
        <f t="shared" ca="1" si="106"/>
        <v>-</v>
      </c>
      <c r="AI12" s="65" t="str">
        <f t="shared" ca="1" si="106"/>
        <v>-</v>
      </c>
      <c r="AJ12" s="65" t="str">
        <f t="shared" ca="1" si="106"/>
        <v>-</v>
      </c>
      <c r="AK12" s="65" t="str">
        <f t="shared" ca="1" si="106"/>
        <v>-</v>
      </c>
      <c r="AL12" s="65" t="str">
        <f t="shared" ca="1" si="106"/>
        <v>-</v>
      </c>
      <c r="AM12" s="65" t="str">
        <f t="shared" ca="1" si="106"/>
        <v>-</v>
      </c>
      <c r="AN12" s="65" t="str">
        <f t="shared" ca="1" si="106"/>
        <v>-</v>
      </c>
      <c r="AO12" s="65" t="str">
        <f t="shared" ca="1" si="106"/>
        <v>-</v>
      </c>
      <c r="AP12" s="65" t="str">
        <f t="shared" ca="1" si="106"/>
        <v>-</v>
      </c>
      <c r="AQ12" s="65" t="str">
        <f t="shared" ca="1" si="106"/>
        <v>-</v>
      </c>
      <c r="AR12" s="65" t="str">
        <f t="shared" ca="1" si="106"/>
        <v>-</v>
      </c>
      <c r="AS12" s="65" t="str">
        <f t="shared" ca="1" si="107"/>
        <v>-</v>
      </c>
      <c r="AT12" s="65" t="str">
        <f t="shared" ca="1" si="107"/>
        <v>-</v>
      </c>
      <c r="AU12" s="65" t="str">
        <f t="shared" ca="1" si="107"/>
        <v>-</v>
      </c>
      <c r="AV12" s="65" t="str">
        <f t="shared" ca="1" si="107"/>
        <v>-</v>
      </c>
      <c r="AW12" s="65" t="str">
        <f t="shared" ca="1" si="107"/>
        <v>-</v>
      </c>
      <c r="AX12" s="65" t="str">
        <f t="shared" ca="1" si="107"/>
        <v>-</v>
      </c>
      <c r="AY12" s="65" t="str">
        <f t="shared" ca="1" si="107"/>
        <v>-</v>
      </c>
      <c r="AZ12" s="65" t="str">
        <f t="shared" ca="1" si="107"/>
        <v>-</v>
      </c>
      <c r="BA12" s="65" t="str">
        <f t="shared" ca="1" si="107"/>
        <v>-</v>
      </c>
      <c r="BB12" s="65" t="str">
        <f t="shared" ca="1" si="107"/>
        <v>-</v>
      </c>
      <c r="BC12" s="65" t="str">
        <f t="shared" ca="1" si="107"/>
        <v>-</v>
      </c>
      <c r="BD12" s="65" t="str">
        <f t="shared" ca="1" si="107"/>
        <v>-</v>
      </c>
      <c r="BE12" s="65" t="str">
        <f t="shared" ca="1" si="107"/>
        <v>-</v>
      </c>
      <c r="BF12" s="65" t="str">
        <f t="shared" ca="1" si="107"/>
        <v>-</v>
      </c>
      <c r="BG12" s="65" t="str">
        <f t="shared" ca="1" si="107"/>
        <v>-</v>
      </c>
      <c r="BH12" s="65" t="str">
        <f t="shared" ca="1" si="107"/>
        <v>-</v>
      </c>
      <c r="BI12" s="65" t="str">
        <f t="shared" ca="1" si="108"/>
        <v>-</v>
      </c>
      <c r="BJ12" s="65" t="str">
        <f t="shared" ca="1" si="108"/>
        <v>-</v>
      </c>
      <c r="BK12" s="65" t="str">
        <f t="shared" ca="1" si="108"/>
        <v>-</v>
      </c>
      <c r="BL12" s="65" t="str">
        <f t="shared" ca="1" si="108"/>
        <v>-</v>
      </c>
      <c r="BM12" s="65" t="str">
        <f t="shared" ca="1" si="108"/>
        <v>-</v>
      </c>
      <c r="BN12" s="65" t="str">
        <f t="shared" ca="1" si="108"/>
        <v>-</v>
      </c>
      <c r="BO12" s="65" t="str">
        <f t="shared" ca="1" si="108"/>
        <v>-</v>
      </c>
      <c r="BP12" s="65" t="str">
        <f t="shared" ca="1" si="108"/>
        <v>-</v>
      </c>
      <c r="BQ12" s="65" t="str">
        <f t="shared" ca="1" si="108"/>
        <v>-</v>
      </c>
      <c r="BR12" s="65" t="str">
        <f t="shared" ca="1" si="108"/>
        <v>-</v>
      </c>
      <c r="BS12" s="65" t="str">
        <f t="shared" ca="1" si="108"/>
        <v>-</v>
      </c>
      <c r="BT12" s="65" t="str">
        <f t="shared" ca="1" si="108"/>
        <v>-</v>
      </c>
      <c r="BU12" s="65" t="str">
        <f t="shared" ca="1" si="108"/>
        <v>-</v>
      </c>
      <c r="BV12" s="65" t="str">
        <f t="shared" ca="1" si="108"/>
        <v>-</v>
      </c>
      <c r="BW12" s="65" t="str">
        <f t="shared" ca="1" si="108"/>
        <v>-</v>
      </c>
      <c r="BX12" s="65" t="str">
        <f t="shared" ca="1" si="108"/>
        <v>-</v>
      </c>
      <c r="BY12" s="65" t="str">
        <f t="shared" ca="1" si="109"/>
        <v>-</v>
      </c>
      <c r="BZ12" s="65" t="str">
        <f t="shared" ca="1" si="109"/>
        <v>-</v>
      </c>
      <c r="CA12" s="65" t="str">
        <f t="shared" ca="1" si="109"/>
        <v>-</v>
      </c>
      <c r="CB12" s="65" t="str">
        <f t="shared" ca="1" si="109"/>
        <v>-</v>
      </c>
      <c r="CC12" s="65" t="str">
        <f t="shared" ca="1" si="109"/>
        <v>-</v>
      </c>
      <c r="CD12" s="65" t="str">
        <f t="shared" ca="1" si="109"/>
        <v>-</v>
      </c>
      <c r="CE12" s="65" t="str">
        <f t="shared" ca="1" si="109"/>
        <v>-</v>
      </c>
      <c r="CF12" s="65" t="str">
        <f t="shared" ca="1" si="109"/>
        <v>-</v>
      </c>
      <c r="CG12" s="65" t="str">
        <f t="shared" ca="1" si="109"/>
        <v>-</v>
      </c>
      <c r="CH12" s="65" t="str">
        <f t="shared" ca="1" si="109"/>
        <v>-</v>
      </c>
      <c r="CI12" s="65" t="str">
        <f t="shared" ca="1" si="109"/>
        <v>-</v>
      </c>
      <c r="CJ12" s="65" t="str">
        <f t="shared" ca="1" si="109"/>
        <v>-</v>
      </c>
      <c r="CK12" s="65" t="str">
        <f t="shared" ca="1" si="109"/>
        <v>-</v>
      </c>
      <c r="CL12" s="65" t="str">
        <f t="shared" ca="1" si="109"/>
        <v>-</v>
      </c>
      <c r="CM12" s="65" t="str">
        <f t="shared" ca="1" si="109"/>
        <v>-</v>
      </c>
      <c r="CN12" s="65" t="str">
        <f t="shared" ca="1" si="109"/>
        <v>-</v>
      </c>
      <c r="CO12" s="65" t="str">
        <f t="shared" ca="1" si="110"/>
        <v>-</v>
      </c>
      <c r="CP12" s="65" t="str">
        <f t="shared" ca="1" si="110"/>
        <v>-</v>
      </c>
      <c r="CQ12" s="65" t="str">
        <f t="shared" ca="1" si="110"/>
        <v>-</v>
      </c>
      <c r="CR12" s="65" t="str">
        <f t="shared" ca="1" si="110"/>
        <v>-</v>
      </c>
      <c r="CS12" s="65" t="str">
        <f t="shared" ca="1" si="110"/>
        <v>-</v>
      </c>
      <c r="CT12" s="65" t="str">
        <f t="shared" ca="1" si="110"/>
        <v>-</v>
      </c>
      <c r="CU12" s="65" t="str">
        <f t="shared" ca="1" si="111"/>
        <v>-</v>
      </c>
      <c r="CV12" s="65" t="str">
        <f t="shared" ca="1" si="111"/>
        <v>-</v>
      </c>
      <c r="CW12" s="65" t="str">
        <f t="shared" ca="1" si="111"/>
        <v>-</v>
      </c>
      <c r="CX12" s="65" t="str">
        <f t="shared" ca="1" si="111"/>
        <v>-</v>
      </c>
      <c r="CY12" s="65" t="str">
        <f t="shared" ca="1" si="111"/>
        <v>-</v>
      </c>
      <c r="CZ12" s="65" t="str">
        <f t="shared" ca="1" si="111"/>
        <v>-</v>
      </c>
      <c r="DA12" s="65" t="str">
        <f t="shared" ca="1" si="111"/>
        <v>-</v>
      </c>
      <c r="DB12" s="65" t="str">
        <f t="shared" ca="1" si="111"/>
        <v>-</v>
      </c>
      <c r="DC12" s="65" t="str">
        <f t="shared" ca="1" si="111"/>
        <v>-</v>
      </c>
      <c r="DD12" s="65" t="str">
        <f t="shared" ca="1" si="111"/>
        <v>-</v>
      </c>
      <c r="DE12" s="65" t="str">
        <f t="shared" ca="1" si="111"/>
        <v>-</v>
      </c>
      <c r="DF12" s="65" t="str">
        <f t="shared" ca="1" si="111"/>
        <v>-</v>
      </c>
      <c r="DG12" s="65" t="str">
        <f t="shared" ca="1" si="111"/>
        <v>-</v>
      </c>
      <c r="DH12" s="65" t="str">
        <f t="shared" ca="1" si="111"/>
        <v>-</v>
      </c>
      <c r="DI12" s="65" t="str">
        <f t="shared" ca="1" si="111"/>
        <v>-</v>
      </c>
      <c r="DJ12" s="65" t="str">
        <f t="shared" ca="1" si="111"/>
        <v>-</v>
      </c>
      <c r="DK12" s="65" t="str">
        <f t="shared" ca="1" si="111"/>
        <v>-</v>
      </c>
      <c r="DL12" s="65" t="str">
        <f t="shared" ca="1" si="111"/>
        <v>-</v>
      </c>
      <c r="DM12" s="65" t="str">
        <f t="shared" ca="1" si="111"/>
        <v>-</v>
      </c>
      <c r="DN12" s="65" t="str">
        <f t="shared" ca="1" si="111"/>
        <v>-</v>
      </c>
      <c r="DO12" s="65" t="str">
        <f t="shared" ca="1" si="111"/>
        <v>-</v>
      </c>
      <c r="DP12" s="65" t="str">
        <f t="shared" ca="1" si="111"/>
        <v>-</v>
      </c>
      <c r="DQ12" s="65" t="str">
        <f t="shared" ca="1" si="111"/>
        <v>-</v>
      </c>
      <c r="DR12" s="65" t="str">
        <f t="shared" ca="1" si="111"/>
        <v>-</v>
      </c>
      <c r="DS12" s="65" t="str">
        <f t="shared" ca="1" si="111"/>
        <v>-</v>
      </c>
      <c r="DT12" s="65" t="str">
        <f t="shared" ca="1" si="111"/>
        <v>-</v>
      </c>
      <c r="DU12" s="65" t="str">
        <f t="shared" ca="1" si="111"/>
        <v>-</v>
      </c>
      <c r="DV12" s="65" t="str">
        <f t="shared" ca="1" si="111"/>
        <v>-</v>
      </c>
    </row>
    <row r="13" spans="1:207">
      <c r="A13" s="448"/>
      <c r="B13" s="459"/>
      <c r="C13" s="459"/>
      <c r="D13" s="459"/>
      <c r="E13" s="185" t="s">
        <v>66</v>
      </c>
      <c r="F13" s="66" t="e">
        <f>SUM('BESS 12'!S120,'BESS 12'!S123:S124,'BESS 12'!S128:S129)</f>
        <v>#VALUE!</v>
      </c>
      <c r="G13" s="182">
        <f ca="1">TODAY()</f>
        <v>46233</v>
      </c>
      <c r="H13" s="162">
        <f>MAX('BESS 12'!O120,'BESS 12'!O123:O124,'BESS 12'!O128:O129)</f>
        <v>46265</v>
      </c>
      <c r="I13" s="66">
        <f t="shared" ca="1" si="104"/>
        <v>32</v>
      </c>
      <c r="J13" s="453"/>
      <c r="K13" s="507"/>
      <c r="L13" s="476"/>
      <c r="M13" s="65" t="str">
        <f t="shared" ca="1" si="105"/>
        <v>-</v>
      </c>
      <c r="N13" s="65" t="str">
        <f t="shared" ca="1" si="105"/>
        <v>-</v>
      </c>
      <c r="O13" s="65" t="str">
        <f t="shared" ca="1" si="105"/>
        <v>-</v>
      </c>
      <c r="P13" s="65" t="str">
        <f t="shared" ca="1" si="105"/>
        <v>-</v>
      </c>
      <c r="Q13" s="65" t="str">
        <f t="shared" ca="1" si="105"/>
        <v>-</v>
      </c>
      <c r="R13" s="65" t="str">
        <f t="shared" ca="1" si="105"/>
        <v>-</v>
      </c>
      <c r="S13" s="65" t="str">
        <f t="shared" ca="1" si="105"/>
        <v>-</v>
      </c>
      <c r="T13" s="65" t="str">
        <f t="shared" ca="1" si="105"/>
        <v>-</v>
      </c>
      <c r="U13" s="65" t="str">
        <f t="shared" ca="1" si="105"/>
        <v>-</v>
      </c>
      <c r="V13" s="65" t="str">
        <f t="shared" ca="1" si="105"/>
        <v>-</v>
      </c>
      <c r="W13" s="65" t="str">
        <f t="shared" ca="1" si="105"/>
        <v>-</v>
      </c>
      <c r="X13" s="65" t="str">
        <f t="shared" ca="1" si="105"/>
        <v>-</v>
      </c>
      <c r="Y13" s="65" t="str">
        <f t="shared" ca="1" si="105"/>
        <v>-</v>
      </c>
      <c r="Z13" s="65" t="str">
        <f t="shared" ca="1" si="105"/>
        <v>-</v>
      </c>
      <c r="AA13" s="65" t="str">
        <f t="shared" ca="1" si="105"/>
        <v>-</v>
      </c>
      <c r="AB13" s="65" t="str">
        <f t="shared" ca="1" si="105"/>
        <v>-</v>
      </c>
      <c r="AC13" s="65" t="str">
        <f t="shared" ca="1" si="106"/>
        <v>-</v>
      </c>
      <c r="AD13" s="65" t="str">
        <f t="shared" ca="1" si="106"/>
        <v>-</v>
      </c>
      <c r="AE13" s="65" t="str">
        <f t="shared" ca="1" si="106"/>
        <v>-</v>
      </c>
      <c r="AF13" s="65" t="str">
        <f t="shared" ca="1" si="106"/>
        <v>-</v>
      </c>
      <c r="AG13" s="65" t="str">
        <f t="shared" ca="1" si="106"/>
        <v>-</v>
      </c>
      <c r="AH13" s="65" t="str">
        <f t="shared" ca="1" si="106"/>
        <v>-</v>
      </c>
      <c r="AI13" s="65" t="str">
        <f t="shared" ca="1" si="106"/>
        <v>-</v>
      </c>
      <c r="AJ13" s="65" t="str">
        <f t="shared" ca="1" si="106"/>
        <v>-</v>
      </c>
      <c r="AK13" s="65" t="str">
        <f t="shared" ca="1" si="106"/>
        <v>-</v>
      </c>
      <c r="AL13" s="65" t="str">
        <f t="shared" ca="1" si="106"/>
        <v>-</v>
      </c>
      <c r="AM13" s="65" t="str">
        <f t="shared" ca="1" si="106"/>
        <v>-</v>
      </c>
      <c r="AN13" s="65" t="str">
        <f t="shared" ca="1" si="106"/>
        <v>-</v>
      </c>
      <c r="AO13" s="65" t="str">
        <f t="shared" ca="1" si="106"/>
        <v>-</v>
      </c>
      <c r="AP13" s="65" t="str">
        <f t="shared" ca="1" si="106"/>
        <v>-</v>
      </c>
      <c r="AQ13" s="65" t="str">
        <f t="shared" ca="1" si="106"/>
        <v>-</v>
      </c>
      <c r="AR13" s="65" t="str">
        <f t="shared" ca="1" si="106"/>
        <v>-</v>
      </c>
      <c r="AS13" s="65" t="str">
        <f t="shared" ca="1" si="107"/>
        <v>-</v>
      </c>
      <c r="AT13" s="65" t="str">
        <f t="shared" ca="1" si="107"/>
        <v>-</v>
      </c>
      <c r="AU13" s="65" t="str">
        <f t="shared" ca="1" si="107"/>
        <v>-</v>
      </c>
      <c r="AV13" s="65" t="str">
        <f t="shared" ca="1" si="107"/>
        <v>-</v>
      </c>
      <c r="AW13" s="65" t="str">
        <f t="shared" ca="1" si="107"/>
        <v>-</v>
      </c>
      <c r="AX13" s="65" t="str">
        <f t="shared" ca="1" si="107"/>
        <v>-</v>
      </c>
      <c r="AY13" s="65" t="e">
        <f t="shared" ca="1" si="107"/>
        <v>#VALUE!</v>
      </c>
      <c r="AZ13" s="65" t="e">
        <f t="shared" ca="1" si="107"/>
        <v>#VALUE!</v>
      </c>
      <c r="BA13" s="65" t="e">
        <f t="shared" ca="1" si="107"/>
        <v>#VALUE!</v>
      </c>
      <c r="BB13" s="65" t="e">
        <f t="shared" ca="1" si="107"/>
        <v>#VALUE!</v>
      </c>
      <c r="BC13" s="65" t="e">
        <f t="shared" ca="1" si="107"/>
        <v>#VALUE!</v>
      </c>
      <c r="BD13" s="65" t="e">
        <f t="shared" ca="1" si="107"/>
        <v>#VALUE!</v>
      </c>
      <c r="BE13" s="65" t="e">
        <f t="shared" ca="1" si="107"/>
        <v>#VALUE!</v>
      </c>
      <c r="BF13" s="65" t="e">
        <f t="shared" ca="1" si="107"/>
        <v>#VALUE!</v>
      </c>
      <c r="BG13" s="65" t="e">
        <f t="shared" ca="1" si="107"/>
        <v>#VALUE!</v>
      </c>
      <c r="BH13" s="65" t="e">
        <f t="shared" ca="1" si="107"/>
        <v>#VALUE!</v>
      </c>
      <c r="BI13" s="65" t="e">
        <f t="shared" ca="1" si="108"/>
        <v>#VALUE!</v>
      </c>
      <c r="BJ13" s="65" t="e">
        <f t="shared" ca="1" si="108"/>
        <v>#VALUE!</v>
      </c>
      <c r="BK13" s="65" t="e">
        <f t="shared" ca="1" si="108"/>
        <v>#VALUE!</v>
      </c>
      <c r="BL13" s="65" t="e">
        <f t="shared" ca="1" si="108"/>
        <v>#VALUE!</v>
      </c>
      <c r="BM13" s="65" t="e">
        <f t="shared" ca="1" si="108"/>
        <v>#VALUE!</v>
      </c>
      <c r="BN13" s="65" t="e">
        <f t="shared" ca="1" si="108"/>
        <v>#VALUE!</v>
      </c>
      <c r="BO13" s="65" t="e">
        <f t="shared" ca="1" si="108"/>
        <v>#VALUE!</v>
      </c>
      <c r="BP13" s="65" t="e">
        <f t="shared" ca="1" si="108"/>
        <v>#VALUE!</v>
      </c>
      <c r="BQ13" s="65" t="e">
        <f t="shared" ca="1" si="108"/>
        <v>#VALUE!</v>
      </c>
      <c r="BR13" s="65" t="e">
        <f t="shared" ca="1" si="108"/>
        <v>#VALUE!</v>
      </c>
      <c r="BS13" s="65" t="e">
        <f t="shared" ca="1" si="108"/>
        <v>#VALUE!</v>
      </c>
      <c r="BT13" s="65" t="e">
        <f t="shared" ca="1" si="108"/>
        <v>#VALUE!</v>
      </c>
      <c r="BU13" s="65" t="e">
        <f t="shared" ca="1" si="108"/>
        <v>#VALUE!</v>
      </c>
      <c r="BV13" s="65" t="e">
        <f t="shared" ca="1" si="108"/>
        <v>#VALUE!</v>
      </c>
      <c r="BW13" s="65" t="e">
        <f t="shared" ca="1" si="108"/>
        <v>#VALUE!</v>
      </c>
      <c r="BX13" s="65" t="e">
        <f t="shared" ca="1" si="108"/>
        <v>#VALUE!</v>
      </c>
      <c r="BY13" s="65" t="e">
        <f t="shared" ca="1" si="109"/>
        <v>#VALUE!</v>
      </c>
      <c r="BZ13" s="65" t="e">
        <f t="shared" ca="1" si="109"/>
        <v>#VALUE!</v>
      </c>
      <c r="CA13" s="65" t="e">
        <f t="shared" ca="1" si="109"/>
        <v>#VALUE!</v>
      </c>
      <c r="CB13" s="65" t="e">
        <f t="shared" ca="1" si="109"/>
        <v>#VALUE!</v>
      </c>
      <c r="CC13" s="65" t="e">
        <f t="shared" ca="1" si="109"/>
        <v>#VALUE!</v>
      </c>
      <c r="CD13" s="65" t="e">
        <f t="shared" ca="1" si="109"/>
        <v>#VALUE!</v>
      </c>
      <c r="CE13" s="65" t="str">
        <f t="shared" ca="1" si="109"/>
        <v>-</v>
      </c>
      <c r="CF13" s="65" t="str">
        <f t="shared" ca="1" si="109"/>
        <v>-</v>
      </c>
      <c r="CG13" s="65" t="str">
        <f t="shared" ca="1" si="109"/>
        <v>-</v>
      </c>
      <c r="CH13" s="65" t="str">
        <f t="shared" ca="1" si="109"/>
        <v>-</v>
      </c>
      <c r="CI13" s="65" t="str">
        <f t="shared" ca="1" si="109"/>
        <v>-</v>
      </c>
      <c r="CJ13" s="65" t="str">
        <f t="shared" ca="1" si="109"/>
        <v>-</v>
      </c>
      <c r="CK13" s="65" t="str">
        <f t="shared" ca="1" si="109"/>
        <v>-</v>
      </c>
      <c r="CL13" s="65" t="str">
        <f t="shared" ca="1" si="109"/>
        <v>-</v>
      </c>
      <c r="CM13" s="65" t="str">
        <f t="shared" ca="1" si="109"/>
        <v>-</v>
      </c>
      <c r="CN13" s="65" t="str">
        <f t="shared" ca="1" si="109"/>
        <v>-</v>
      </c>
      <c r="CO13" s="65" t="str">
        <f t="shared" ca="1" si="110"/>
        <v>-</v>
      </c>
      <c r="CP13" s="65" t="str">
        <f t="shared" ca="1" si="110"/>
        <v>-</v>
      </c>
      <c r="CQ13" s="65" t="str">
        <f t="shared" ca="1" si="110"/>
        <v>-</v>
      </c>
      <c r="CR13" s="65" t="str">
        <f t="shared" ca="1" si="110"/>
        <v>-</v>
      </c>
      <c r="CS13" s="65" t="str">
        <f t="shared" ca="1" si="110"/>
        <v>-</v>
      </c>
      <c r="CT13" s="65" t="str">
        <f t="shared" ca="1" si="110"/>
        <v>-</v>
      </c>
      <c r="CU13" s="65" t="str">
        <f t="shared" ca="1" si="111"/>
        <v>-</v>
      </c>
      <c r="CV13" s="65" t="str">
        <f t="shared" ca="1" si="111"/>
        <v>-</v>
      </c>
      <c r="CW13" s="65" t="str">
        <f t="shared" ca="1" si="111"/>
        <v>-</v>
      </c>
      <c r="CX13" s="65" t="str">
        <f t="shared" ca="1" si="111"/>
        <v>-</v>
      </c>
      <c r="CY13" s="65" t="str">
        <f t="shared" ca="1" si="111"/>
        <v>-</v>
      </c>
      <c r="CZ13" s="65" t="str">
        <f t="shared" ca="1" si="111"/>
        <v>-</v>
      </c>
      <c r="DA13" s="65" t="str">
        <f t="shared" ca="1" si="111"/>
        <v>-</v>
      </c>
      <c r="DB13" s="65" t="str">
        <f t="shared" ca="1" si="111"/>
        <v>-</v>
      </c>
      <c r="DC13" s="65" t="str">
        <f t="shared" ca="1" si="111"/>
        <v>-</v>
      </c>
      <c r="DD13" s="65" t="str">
        <f t="shared" ca="1" si="111"/>
        <v>-</v>
      </c>
      <c r="DE13" s="65" t="str">
        <f t="shared" ca="1" si="111"/>
        <v>-</v>
      </c>
      <c r="DF13" s="65" t="str">
        <f t="shared" ca="1" si="111"/>
        <v>-</v>
      </c>
      <c r="DG13" s="65" t="str">
        <f t="shared" ca="1" si="111"/>
        <v>-</v>
      </c>
      <c r="DH13" s="65" t="str">
        <f t="shared" ca="1" si="111"/>
        <v>-</v>
      </c>
      <c r="DI13" s="65" t="str">
        <f t="shared" ca="1" si="111"/>
        <v>-</v>
      </c>
      <c r="DJ13" s="65" t="str">
        <f t="shared" ca="1" si="111"/>
        <v>-</v>
      </c>
      <c r="DK13" s="65" t="str">
        <f t="shared" ca="1" si="111"/>
        <v>-</v>
      </c>
      <c r="DL13" s="65" t="str">
        <f t="shared" ca="1" si="111"/>
        <v>-</v>
      </c>
      <c r="DM13" s="65" t="str">
        <f t="shared" ca="1" si="111"/>
        <v>-</v>
      </c>
      <c r="DN13" s="65" t="str">
        <f t="shared" ca="1" si="111"/>
        <v>-</v>
      </c>
      <c r="DO13" s="65" t="str">
        <f t="shared" ca="1" si="111"/>
        <v>-</v>
      </c>
      <c r="DP13" s="65" t="str">
        <f t="shared" ca="1" si="111"/>
        <v>-</v>
      </c>
      <c r="DQ13" s="65" t="str">
        <f t="shared" ca="1" si="111"/>
        <v>-</v>
      </c>
      <c r="DR13" s="65" t="str">
        <f t="shared" ca="1" si="111"/>
        <v>-</v>
      </c>
      <c r="DS13" s="65" t="str">
        <f t="shared" ca="1" si="111"/>
        <v>-</v>
      </c>
      <c r="DT13" s="65" t="str">
        <f t="shared" ca="1" si="111"/>
        <v>-</v>
      </c>
      <c r="DU13" s="65" t="str">
        <f t="shared" ca="1" si="111"/>
        <v>-</v>
      </c>
      <c r="DV13" s="65" t="str">
        <f t="shared" ca="1" si="111"/>
        <v>-</v>
      </c>
    </row>
    <row r="14" spans="1:207">
      <c r="A14" s="448"/>
      <c r="B14" s="459"/>
      <c r="C14" s="459"/>
      <c r="D14" s="459"/>
      <c r="E14" s="185" t="s">
        <v>67</v>
      </c>
      <c r="F14" s="66" t="e">
        <f>SUM('BESS 12'!S133:S140)</f>
        <v>#VALUE!</v>
      </c>
      <c r="G14" s="182">
        <f ca="1">TODAY()</f>
        <v>46233</v>
      </c>
      <c r="H14" s="162">
        <f>MAX('BESS 12'!O132:O140)</f>
        <v>46236</v>
      </c>
      <c r="I14" s="66">
        <f ca="1">H14-G14</f>
        <v>3</v>
      </c>
      <c r="J14" s="453"/>
      <c r="K14" s="507"/>
      <c r="L14" s="476"/>
      <c r="M14" s="65" t="str">
        <f t="shared" ca="1" si="105"/>
        <v>-</v>
      </c>
      <c r="N14" s="65" t="str">
        <f t="shared" ca="1" si="105"/>
        <v>-</v>
      </c>
      <c r="O14" s="65" t="str">
        <f t="shared" ca="1" si="105"/>
        <v>-</v>
      </c>
      <c r="P14" s="65" t="str">
        <f t="shared" ca="1" si="105"/>
        <v>-</v>
      </c>
      <c r="Q14" s="65" t="str">
        <f t="shared" ca="1" si="105"/>
        <v>-</v>
      </c>
      <c r="R14" s="65" t="str">
        <f t="shared" ca="1" si="105"/>
        <v>-</v>
      </c>
      <c r="S14" s="65" t="str">
        <f t="shared" ca="1" si="105"/>
        <v>-</v>
      </c>
      <c r="T14" s="65" t="str">
        <f t="shared" ca="1" si="105"/>
        <v>-</v>
      </c>
      <c r="U14" s="65" t="str">
        <f t="shared" ca="1" si="105"/>
        <v>-</v>
      </c>
      <c r="V14" s="65" t="str">
        <f t="shared" ca="1" si="105"/>
        <v>-</v>
      </c>
      <c r="W14" s="65" t="str">
        <f t="shared" ca="1" si="105"/>
        <v>-</v>
      </c>
      <c r="X14" s="65" t="str">
        <f t="shared" ca="1" si="105"/>
        <v>-</v>
      </c>
      <c r="Y14" s="65" t="str">
        <f t="shared" ca="1" si="105"/>
        <v>-</v>
      </c>
      <c r="Z14" s="65" t="str">
        <f t="shared" ca="1" si="105"/>
        <v>-</v>
      </c>
      <c r="AA14" s="65" t="str">
        <f t="shared" ca="1" si="105"/>
        <v>-</v>
      </c>
      <c r="AB14" s="65" t="str">
        <f t="shared" ca="1" si="105"/>
        <v>-</v>
      </c>
      <c r="AC14" s="65" t="str">
        <f t="shared" ca="1" si="106"/>
        <v>-</v>
      </c>
      <c r="AD14" s="65" t="str">
        <f t="shared" ca="1" si="106"/>
        <v>-</v>
      </c>
      <c r="AE14" s="65" t="str">
        <f t="shared" ca="1" si="106"/>
        <v>-</v>
      </c>
      <c r="AF14" s="65" t="str">
        <f t="shared" ca="1" si="106"/>
        <v>-</v>
      </c>
      <c r="AG14" s="65" t="str">
        <f t="shared" ca="1" si="106"/>
        <v>-</v>
      </c>
      <c r="AH14" s="65" t="str">
        <f t="shared" ca="1" si="106"/>
        <v>-</v>
      </c>
      <c r="AI14" s="65" t="str">
        <f t="shared" ca="1" si="106"/>
        <v>-</v>
      </c>
      <c r="AJ14" s="65" t="str">
        <f t="shared" ca="1" si="106"/>
        <v>-</v>
      </c>
      <c r="AK14" s="65" t="str">
        <f t="shared" ca="1" si="106"/>
        <v>-</v>
      </c>
      <c r="AL14" s="65" t="str">
        <f t="shared" ca="1" si="106"/>
        <v>-</v>
      </c>
      <c r="AM14" s="65" t="str">
        <f t="shared" ca="1" si="106"/>
        <v>-</v>
      </c>
      <c r="AN14" s="65" t="str">
        <f t="shared" ca="1" si="106"/>
        <v>-</v>
      </c>
      <c r="AO14" s="65" t="str">
        <f t="shared" ca="1" si="106"/>
        <v>-</v>
      </c>
      <c r="AP14" s="65" t="str">
        <f t="shared" ca="1" si="106"/>
        <v>-</v>
      </c>
      <c r="AQ14" s="65" t="str">
        <f t="shared" ca="1" si="106"/>
        <v>-</v>
      </c>
      <c r="AR14" s="65" t="str">
        <f t="shared" ca="1" si="106"/>
        <v>-</v>
      </c>
      <c r="AS14" s="65" t="str">
        <f t="shared" ca="1" si="107"/>
        <v>-</v>
      </c>
      <c r="AT14" s="65" t="str">
        <f t="shared" ca="1" si="107"/>
        <v>-</v>
      </c>
      <c r="AU14" s="65" t="str">
        <f t="shared" ca="1" si="107"/>
        <v>-</v>
      </c>
      <c r="AV14" s="65" t="str">
        <f t="shared" ca="1" si="107"/>
        <v>-</v>
      </c>
      <c r="AW14" s="65" t="str">
        <f t="shared" ca="1" si="107"/>
        <v>-</v>
      </c>
      <c r="AX14" s="65" t="str">
        <f t="shared" ca="1" si="107"/>
        <v>-</v>
      </c>
      <c r="AY14" s="65" t="e">
        <f t="shared" ca="1" si="107"/>
        <v>#VALUE!</v>
      </c>
      <c r="AZ14" s="65" t="e">
        <f t="shared" ca="1" si="107"/>
        <v>#VALUE!</v>
      </c>
      <c r="BA14" s="65" t="e">
        <f t="shared" ca="1" si="107"/>
        <v>#VALUE!</v>
      </c>
      <c r="BB14" s="65" t="str">
        <f t="shared" ca="1" si="107"/>
        <v>-</v>
      </c>
      <c r="BC14" s="65" t="str">
        <f t="shared" ca="1" si="107"/>
        <v>-</v>
      </c>
      <c r="BD14" s="65" t="str">
        <f t="shared" ca="1" si="107"/>
        <v>-</v>
      </c>
      <c r="BE14" s="65" t="str">
        <f t="shared" ca="1" si="107"/>
        <v>-</v>
      </c>
      <c r="BF14" s="65" t="str">
        <f t="shared" ca="1" si="107"/>
        <v>-</v>
      </c>
      <c r="BG14" s="65" t="str">
        <f t="shared" ca="1" si="107"/>
        <v>-</v>
      </c>
      <c r="BH14" s="65" t="str">
        <f t="shared" ca="1" si="107"/>
        <v>-</v>
      </c>
      <c r="BI14" s="65" t="str">
        <f t="shared" ca="1" si="108"/>
        <v>-</v>
      </c>
      <c r="BJ14" s="65" t="str">
        <f t="shared" ca="1" si="108"/>
        <v>-</v>
      </c>
      <c r="BK14" s="65" t="str">
        <f t="shared" ca="1" si="108"/>
        <v>-</v>
      </c>
      <c r="BL14" s="65" t="str">
        <f t="shared" ca="1" si="108"/>
        <v>-</v>
      </c>
      <c r="BM14" s="65" t="str">
        <f t="shared" ca="1" si="108"/>
        <v>-</v>
      </c>
      <c r="BN14" s="65" t="str">
        <f t="shared" ca="1" si="108"/>
        <v>-</v>
      </c>
      <c r="BO14" s="65" t="str">
        <f t="shared" ca="1" si="108"/>
        <v>-</v>
      </c>
      <c r="BP14" s="65" t="str">
        <f t="shared" ca="1" si="108"/>
        <v>-</v>
      </c>
      <c r="BQ14" s="65" t="str">
        <f t="shared" ca="1" si="108"/>
        <v>-</v>
      </c>
      <c r="BR14" s="65" t="str">
        <f t="shared" ca="1" si="108"/>
        <v>-</v>
      </c>
      <c r="BS14" s="65" t="str">
        <f t="shared" ca="1" si="108"/>
        <v>-</v>
      </c>
      <c r="BT14" s="65" t="str">
        <f t="shared" ca="1" si="108"/>
        <v>-</v>
      </c>
      <c r="BU14" s="65" t="str">
        <f t="shared" ca="1" si="108"/>
        <v>-</v>
      </c>
      <c r="BV14" s="65" t="str">
        <f t="shared" ca="1" si="108"/>
        <v>-</v>
      </c>
      <c r="BW14" s="65" t="str">
        <f t="shared" ca="1" si="108"/>
        <v>-</v>
      </c>
      <c r="BX14" s="65" t="str">
        <f t="shared" ca="1" si="108"/>
        <v>-</v>
      </c>
      <c r="BY14" s="65" t="str">
        <f t="shared" ca="1" si="109"/>
        <v>-</v>
      </c>
      <c r="BZ14" s="65" t="str">
        <f t="shared" ca="1" si="109"/>
        <v>-</v>
      </c>
      <c r="CA14" s="65" t="str">
        <f t="shared" ca="1" si="109"/>
        <v>-</v>
      </c>
      <c r="CB14" s="65" t="str">
        <f t="shared" ca="1" si="109"/>
        <v>-</v>
      </c>
      <c r="CC14" s="65" t="str">
        <f t="shared" ca="1" si="109"/>
        <v>-</v>
      </c>
      <c r="CD14" s="65" t="str">
        <f t="shared" ca="1" si="109"/>
        <v>-</v>
      </c>
      <c r="CE14" s="65" t="str">
        <f t="shared" ca="1" si="109"/>
        <v>-</v>
      </c>
      <c r="CF14" s="65" t="str">
        <f t="shared" ca="1" si="109"/>
        <v>-</v>
      </c>
      <c r="CG14" s="65" t="str">
        <f t="shared" ca="1" si="109"/>
        <v>-</v>
      </c>
      <c r="CH14" s="65" t="str">
        <f t="shared" ca="1" si="109"/>
        <v>-</v>
      </c>
      <c r="CI14" s="65" t="str">
        <f t="shared" ca="1" si="109"/>
        <v>-</v>
      </c>
      <c r="CJ14" s="65" t="str">
        <f t="shared" ca="1" si="109"/>
        <v>-</v>
      </c>
      <c r="CK14" s="65" t="str">
        <f t="shared" ca="1" si="109"/>
        <v>-</v>
      </c>
      <c r="CL14" s="65" t="str">
        <f t="shared" ca="1" si="109"/>
        <v>-</v>
      </c>
      <c r="CM14" s="65" t="str">
        <f t="shared" ca="1" si="109"/>
        <v>-</v>
      </c>
      <c r="CN14" s="65" t="str">
        <f t="shared" ca="1" si="109"/>
        <v>-</v>
      </c>
      <c r="CO14" s="65" t="str">
        <f t="shared" ca="1" si="110"/>
        <v>-</v>
      </c>
      <c r="CP14" s="65" t="str">
        <f t="shared" ca="1" si="110"/>
        <v>-</v>
      </c>
      <c r="CQ14" s="65" t="str">
        <f t="shared" ca="1" si="110"/>
        <v>-</v>
      </c>
      <c r="CR14" s="65" t="str">
        <f t="shared" ca="1" si="110"/>
        <v>-</v>
      </c>
      <c r="CS14" s="65" t="str">
        <f t="shared" ca="1" si="110"/>
        <v>-</v>
      </c>
      <c r="CT14" s="65" t="str">
        <f t="shared" ca="1" si="110"/>
        <v>-</v>
      </c>
      <c r="CU14" s="65" t="str">
        <f t="shared" ca="1" si="111"/>
        <v>-</v>
      </c>
      <c r="CV14" s="65" t="str">
        <f t="shared" ca="1" si="111"/>
        <v>-</v>
      </c>
      <c r="CW14" s="65" t="str">
        <f t="shared" ca="1" si="111"/>
        <v>-</v>
      </c>
      <c r="CX14" s="65" t="str">
        <f t="shared" ca="1" si="111"/>
        <v>-</v>
      </c>
      <c r="CY14" s="65" t="str">
        <f t="shared" ca="1" si="111"/>
        <v>-</v>
      </c>
      <c r="CZ14" s="65" t="str">
        <f t="shared" ca="1" si="111"/>
        <v>-</v>
      </c>
      <c r="DA14" s="65" t="str">
        <f t="shared" ca="1" si="111"/>
        <v>-</v>
      </c>
      <c r="DB14" s="65" t="str">
        <f t="shared" ca="1" si="111"/>
        <v>-</v>
      </c>
      <c r="DC14" s="65" t="str">
        <f t="shared" ca="1" si="111"/>
        <v>-</v>
      </c>
      <c r="DD14" s="65" t="str">
        <f t="shared" ca="1" si="111"/>
        <v>-</v>
      </c>
      <c r="DE14" s="65" t="str">
        <f t="shared" ca="1" si="111"/>
        <v>-</v>
      </c>
      <c r="DF14" s="65" t="str">
        <f t="shared" ca="1" si="111"/>
        <v>-</v>
      </c>
      <c r="DG14" s="65" t="str">
        <f t="shared" ca="1" si="111"/>
        <v>-</v>
      </c>
      <c r="DH14" s="65" t="str">
        <f t="shared" ca="1" si="111"/>
        <v>-</v>
      </c>
      <c r="DI14" s="65" t="str">
        <f t="shared" ca="1" si="111"/>
        <v>-</v>
      </c>
      <c r="DJ14" s="65" t="str">
        <f t="shared" ca="1" si="111"/>
        <v>-</v>
      </c>
      <c r="DK14" s="65" t="str">
        <f t="shared" ca="1" si="111"/>
        <v>-</v>
      </c>
      <c r="DL14" s="65" t="str">
        <f t="shared" ca="1" si="111"/>
        <v>-</v>
      </c>
      <c r="DM14" s="65" t="str">
        <f t="shared" ca="1" si="111"/>
        <v>-</v>
      </c>
      <c r="DN14" s="65" t="str">
        <f t="shared" ca="1" si="111"/>
        <v>-</v>
      </c>
      <c r="DO14" s="65" t="str">
        <f t="shared" ca="1" si="111"/>
        <v>-</v>
      </c>
      <c r="DP14" s="65" t="str">
        <f t="shared" ca="1" si="111"/>
        <v>-</v>
      </c>
      <c r="DQ14" s="65" t="str">
        <f t="shared" ca="1" si="111"/>
        <v>-</v>
      </c>
      <c r="DR14" s="65" t="str">
        <f t="shared" ca="1" si="111"/>
        <v>-</v>
      </c>
      <c r="DS14" s="65" t="str">
        <f t="shared" ca="1" si="111"/>
        <v>-</v>
      </c>
      <c r="DT14" s="65" t="str">
        <f t="shared" ca="1" si="111"/>
        <v>-</v>
      </c>
      <c r="DU14" s="65" t="str">
        <f t="shared" ca="1" si="111"/>
        <v>-</v>
      </c>
      <c r="DV14" s="65" t="str">
        <f t="shared" ca="1" si="111"/>
        <v>-</v>
      </c>
    </row>
    <row r="15" spans="1:207" ht="16.5">
      <c r="A15" s="449"/>
      <c r="B15" s="460"/>
      <c r="C15" s="460"/>
      <c r="D15" s="460"/>
      <c r="E15" s="185" t="s">
        <v>68</v>
      </c>
      <c r="F15" s="65">
        <v>250</v>
      </c>
      <c r="G15" s="182"/>
      <c r="H15" s="162">
        <f>B10-3</f>
        <v>46233</v>
      </c>
      <c r="I15" s="65">
        <v>30</v>
      </c>
      <c r="J15" s="454"/>
      <c r="K15" s="508"/>
      <c r="L15" s="504"/>
      <c r="M15" s="443" t="str">
        <f>IF(AND(M$2&gt;=$B$10-26,M$2&lt;=$B$10-3),5,IF(OR(M$2=$B$10-2,M$2=$B$10-1,M$2=$B$10,M$2=$B$10+1),30,IF(OR(M$2=$B$10+2,M$2=$B$10+3),5,"")))</f>
        <v/>
      </c>
      <c r="N15" s="443" t="str">
        <f t="shared" ref="N15:BY15" si="112">IF(AND(N$2&gt;=$B$10-26,N$2&lt;=$B$10-3),5,IF(OR(N$2=$B$10-2,N$2=$B$10-1,N$2=$B$10,N$2=$B$10+1),30,IF(OR(N$2=$B$10+2,N$2=$B$10+3),5,"")))</f>
        <v/>
      </c>
      <c r="O15" s="443" t="str">
        <f t="shared" si="112"/>
        <v/>
      </c>
      <c r="P15" s="443" t="str">
        <f t="shared" si="112"/>
        <v/>
      </c>
      <c r="Q15" s="443" t="str">
        <f t="shared" si="112"/>
        <v/>
      </c>
      <c r="R15" s="443" t="str">
        <f t="shared" si="112"/>
        <v/>
      </c>
      <c r="S15" s="443" t="str">
        <f t="shared" si="112"/>
        <v/>
      </c>
      <c r="T15" s="443" t="str">
        <f t="shared" si="112"/>
        <v/>
      </c>
      <c r="U15" s="443" t="str">
        <f t="shared" si="112"/>
        <v/>
      </c>
      <c r="V15" s="443" t="str">
        <f t="shared" si="112"/>
        <v/>
      </c>
      <c r="W15" s="443" t="str">
        <f t="shared" si="112"/>
        <v/>
      </c>
      <c r="X15" s="443" t="str">
        <f t="shared" si="112"/>
        <v/>
      </c>
      <c r="Y15" s="443" t="str">
        <f t="shared" si="112"/>
        <v/>
      </c>
      <c r="Z15" s="443" t="str">
        <f t="shared" si="112"/>
        <v/>
      </c>
      <c r="AA15" s="443" t="str">
        <f t="shared" si="112"/>
        <v/>
      </c>
      <c r="AB15" s="443">
        <f t="shared" si="112"/>
        <v>5</v>
      </c>
      <c r="AC15" s="443">
        <f t="shared" si="112"/>
        <v>5</v>
      </c>
      <c r="AD15" s="443">
        <f t="shared" si="112"/>
        <v>5</v>
      </c>
      <c r="AE15" s="443">
        <f t="shared" si="112"/>
        <v>5</v>
      </c>
      <c r="AF15" s="443">
        <f t="shared" si="112"/>
        <v>5</v>
      </c>
      <c r="AG15" s="443">
        <f t="shared" si="112"/>
        <v>5</v>
      </c>
      <c r="AH15" s="443">
        <f t="shared" si="112"/>
        <v>5</v>
      </c>
      <c r="AI15" s="443">
        <f t="shared" si="112"/>
        <v>5</v>
      </c>
      <c r="AJ15" s="443">
        <f t="shared" si="112"/>
        <v>5</v>
      </c>
      <c r="AK15" s="443">
        <f t="shared" si="112"/>
        <v>5</v>
      </c>
      <c r="AL15" s="443">
        <f t="shared" si="112"/>
        <v>5</v>
      </c>
      <c r="AM15" s="443">
        <f t="shared" si="112"/>
        <v>5</v>
      </c>
      <c r="AN15" s="443">
        <f t="shared" si="112"/>
        <v>5</v>
      </c>
      <c r="AO15" s="443">
        <f t="shared" si="112"/>
        <v>5</v>
      </c>
      <c r="AP15" s="443">
        <f t="shared" si="112"/>
        <v>5</v>
      </c>
      <c r="AQ15" s="443">
        <f t="shared" si="112"/>
        <v>5</v>
      </c>
      <c r="AR15" s="443">
        <f t="shared" si="112"/>
        <v>5</v>
      </c>
      <c r="AS15" s="443">
        <f t="shared" si="112"/>
        <v>5</v>
      </c>
      <c r="AT15" s="443">
        <f t="shared" si="112"/>
        <v>5</v>
      </c>
      <c r="AU15" s="443">
        <f t="shared" si="112"/>
        <v>5</v>
      </c>
      <c r="AV15" s="443">
        <f t="shared" si="112"/>
        <v>5</v>
      </c>
      <c r="AW15" s="443">
        <f t="shared" si="112"/>
        <v>5</v>
      </c>
      <c r="AX15" s="443">
        <f t="shared" si="112"/>
        <v>5</v>
      </c>
      <c r="AY15" s="443">
        <f t="shared" si="112"/>
        <v>5</v>
      </c>
      <c r="AZ15" s="443">
        <f t="shared" si="112"/>
        <v>30</v>
      </c>
      <c r="BA15" s="443">
        <f t="shared" si="112"/>
        <v>30</v>
      </c>
      <c r="BB15" s="443">
        <f t="shared" si="112"/>
        <v>30</v>
      </c>
      <c r="BC15" s="443">
        <f t="shared" si="112"/>
        <v>30</v>
      </c>
      <c r="BD15" s="443">
        <f t="shared" si="112"/>
        <v>5</v>
      </c>
      <c r="BE15" s="443">
        <f t="shared" si="112"/>
        <v>5</v>
      </c>
      <c r="BF15" s="443" t="str">
        <f t="shared" si="112"/>
        <v/>
      </c>
      <c r="BG15" s="443" t="str">
        <f t="shared" si="112"/>
        <v/>
      </c>
      <c r="BH15" s="443" t="str">
        <f t="shared" si="112"/>
        <v/>
      </c>
      <c r="BI15" s="443" t="str">
        <f t="shared" si="112"/>
        <v/>
      </c>
      <c r="BJ15" s="443" t="str">
        <f t="shared" si="112"/>
        <v/>
      </c>
      <c r="BK15" s="443" t="str">
        <f t="shared" si="112"/>
        <v/>
      </c>
      <c r="BL15" s="443" t="str">
        <f t="shared" si="112"/>
        <v/>
      </c>
      <c r="BM15" s="443" t="str">
        <f t="shared" si="112"/>
        <v/>
      </c>
      <c r="BN15" s="443" t="str">
        <f t="shared" si="112"/>
        <v/>
      </c>
      <c r="BO15" s="443" t="str">
        <f t="shared" si="112"/>
        <v/>
      </c>
      <c r="BP15" s="443" t="str">
        <f t="shared" si="112"/>
        <v/>
      </c>
      <c r="BQ15" s="443" t="str">
        <f t="shared" si="112"/>
        <v/>
      </c>
      <c r="BR15" s="443" t="str">
        <f t="shared" si="112"/>
        <v/>
      </c>
      <c r="BS15" s="443" t="str">
        <f t="shared" si="112"/>
        <v/>
      </c>
      <c r="BT15" s="443" t="str">
        <f t="shared" si="112"/>
        <v/>
      </c>
      <c r="BU15" s="443" t="str">
        <f t="shared" si="112"/>
        <v/>
      </c>
      <c r="BV15" s="443" t="str">
        <f t="shared" si="112"/>
        <v/>
      </c>
      <c r="BW15" s="443" t="str">
        <f t="shared" si="112"/>
        <v/>
      </c>
      <c r="BX15" s="443" t="str">
        <f t="shared" si="112"/>
        <v/>
      </c>
      <c r="BY15" s="443" t="str">
        <f t="shared" si="112"/>
        <v/>
      </c>
      <c r="BZ15" s="443" t="str">
        <f t="shared" ref="BZ15:DV15" si="113">IF(AND(BZ$2&gt;=$B$10-26,BZ$2&lt;=$B$10-3),5,IF(OR(BZ$2=$B$10-2,BZ$2=$B$10-1,BZ$2=$B$10,BZ$2=$B$10+1),30,IF(OR(BZ$2=$B$10+2,BZ$2=$B$10+3),5,"")))</f>
        <v/>
      </c>
      <c r="CA15" s="443" t="str">
        <f t="shared" si="113"/>
        <v/>
      </c>
      <c r="CB15" s="443" t="str">
        <f t="shared" si="113"/>
        <v/>
      </c>
      <c r="CC15" s="443" t="str">
        <f t="shared" si="113"/>
        <v/>
      </c>
      <c r="CD15" s="443" t="str">
        <f t="shared" si="113"/>
        <v/>
      </c>
      <c r="CE15" s="443" t="str">
        <f t="shared" si="113"/>
        <v/>
      </c>
      <c r="CF15" s="443" t="str">
        <f t="shared" si="113"/>
        <v/>
      </c>
      <c r="CG15" s="443" t="str">
        <f t="shared" si="113"/>
        <v/>
      </c>
      <c r="CH15" s="443" t="str">
        <f t="shared" si="113"/>
        <v/>
      </c>
      <c r="CI15" s="443" t="str">
        <f t="shared" si="113"/>
        <v/>
      </c>
      <c r="CJ15" s="443" t="str">
        <f t="shared" si="113"/>
        <v/>
      </c>
      <c r="CK15" s="443" t="str">
        <f t="shared" si="113"/>
        <v/>
      </c>
      <c r="CL15" s="443" t="str">
        <f t="shared" si="113"/>
        <v/>
      </c>
      <c r="CM15" s="443" t="str">
        <f t="shared" si="113"/>
        <v/>
      </c>
      <c r="CN15" s="443" t="str">
        <f t="shared" si="113"/>
        <v/>
      </c>
      <c r="CO15" s="443" t="str">
        <f t="shared" si="113"/>
        <v/>
      </c>
      <c r="CP15" s="443" t="str">
        <f t="shared" si="113"/>
        <v/>
      </c>
      <c r="CQ15" s="443" t="str">
        <f t="shared" si="113"/>
        <v/>
      </c>
      <c r="CR15" s="443" t="str">
        <f t="shared" si="113"/>
        <v/>
      </c>
      <c r="CS15" s="443" t="str">
        <f t="shared" si="113"/>
        <v/>
      </c>
      <c r="CT15" s="443" t="str">
        <f t="shared" si="113"/>
        <v/>
      </c>
      <c r="CU15" s="443" t="str">
        <f t="shared" si="113"/>
        <v/>
      </c>
      <c r="CV15" s="443" t="str">
        <f t="shared" si="113"/>
        <v/>
      </c>
      <c r="CW15" s="443" t="str">
        <f t="shared" si="113"/>
        <v/>
      </c>
      <c r="CX15" s="443" t="str">
        <f t="shared" si="113"/>
        <v/>
      </c>
      <c r="CY15" s="443" t="str">
        <f t="shared" si="113"/>
        <v/>
      </c>
      <c r="CZ15" s="443" t="str">
        <f t="shared" si="113"/>
        <v/>
      </c>
      <c r="DA15" s="443" t="str">
        <f t="shared" si="113"/>
        <v/>
      </c>
      <c r="DB15" s="443" t="str">
        <f t="shared" si="113"/>
        <v/>
      </c>
      <c r="DC15" s="443" t="str">
        <f t="shared" si="113"/>
        <v/>
      </c>
      <c r="DD15" s="443" t="str">
        <f t="shared" si="113"/>
        <v/>
      </c>
      <c r="DE15" s="443" t="str">
        <f t="shared" si="113"/>
        <v/>
      </c>
      <c r="DF15" s="443" t="str">
        <f t="shared" si="113"/>
        <v/>
      </c>
      <c r="DG15" s="443" t="str">
        <f t="shared" si="113"/>
        <v/>
      </c>
      <c r="DH15" s="443" t="str">
        <f t="shared" si="113"/>
        <v/>
      </c>
      <c r="DI15" s="443" t="str">
        <f t="shared" si="113"/>
        <v/>
      </c>
      <c r="DJ15" s="443" t="str">
        <f t="shared" si="113"/>
        <v/>
      </c>
      <c r="DK15" s="443" t="str">
        <f t="shared" si="113"/>
        <v/>
      </c>
      <c r="DL15" s="443" t="str">
        <f t="shared" si="113"/>
        <v/>
      </c>
      <c r="DM15" s="443" t="str">
        <f t="shared" si="113"/>
        <v/>
      </c>
      <c r="DN15" s="443" t="str">
        <f t="shared" si="113"/>
        <v/>
      </c>
      <c r="DO15" s="443" t="str">
        <f t="shared" si="113"/>
        <v/>
      </c>
      <c r="DP15" s="443" t="str">
        <f t="shared" si="113"/>
        <v/>
      </c>
      <c r="DQ15" s="443" t="str">
        <f t="shared" si="113"/>
        <v/>
      </c>
      <c r="DR15" s="443" t="str">
        <f t="shared" si="113"/>
        <v/>
      </c>
      <c r="DS15" s="443" t="str">
        <f t="shared" si="113"/>
        <v/>
      </c>
      <c r="DT15" s="443" t="str">
        <f t="shared" si="113"/>
        <v/>
      </c>
      <c r="DU15" s="443" t="str">
        <f t="shared" si="113"/>
        <v/>
      </c>
      <c r="DV15" s="443" t="str">
        <f t="shared" si="113"/>
        <v/>
      </c>
    </row>
    <row r="16" spans="1:207" ht="13.5" customHeight="1">
      <c r="B16" s="221"/>
      <c r="E16" s="199"/>
      <c r="F16" s="199"/>
      <c r="G16" s="181" t="s">
        <v>69</v>
      </c>
      <c r="H16" s="199"/>
      <c r="I16" s="224"/>
      <c r="J16" s="203"/>
      <c r="K16" s="199"/>
      <c r="L16" s="199"/>
      <c r="M16" s="190">
        <f t="shared" ref="M16:BX16" ca="1" si="114">SUM(M11:M15)</f>
        <v>0</v>
      </c>
      <c r="N16" s="190">
        <f t="shared" ca="1" si="114"/>
        <v>0</v>
      </c>
      <c r="O16" s="190">
        <f t="shared" ca="1" si="114"/>
        <v>0</v>
      </c>
      <c r="P16" s="190">
        <f t="shared" ca="1" si="114"/>
        <v>0</v>
      </c>
      <c r="Q16" s="190">
        <f t="shared" ca="1" si="114"/>
        <v>0</v>
      </c>
      <c r="R16" s="190">
        <f t="shared" ca="1" si="114"/>
        <v>0</v>
      </c>
      <c r="S16" s="190">
        <f t="shared" ca="1" si="114"/>
        <v>0</v>
      </c>
      <c r="T16" s="190">
        <f t="shared" ca="1" si="114"/>
        <v>0</v>
      </c>
      <c r="U16" s="190">
        <f t="shared" ca="1" si="114"/>
        <v>0</v>
      </c>
      <c r="V16" s="190">
        <f t="shared" ca="1" si="114"/>
        <v>0</v>
      </c>
      <c r="W16" s="190">
        <f t="shared" ca="1" si="114"/>
        <v>0</v>
      </c>
      <c r="X16" s="190">
        <f t="shared" ca="1" si="114"/>
        <v>0</v>
      </c>
      <c r="Y16" s="190">
        <f t="shared" ca="1" si="114"/>
        <v>0</v>
      </c>
      <c r="Z16" s="190">
        <f t="shared" ca="1" si="114"/>
        <v>0</v>
      </c>
      <c r="AA16" s="190">
        <f t="shared" ca="1" si="114"/>
        <v>0</v>
      </c>
      <c r="AB16" s="190">
        <f t="shared" ca="1" si="114"/>
        <v>5</v>
      </c>
      <c r="AC16" s="190">
        <f t="shared" ca="1" si="114"/>
        <v>5</v>
      </c>
      <c r="AD16" s="190">
        <f t="shared" ca="1" si="114"/>
        <v>5</v>
      </c>
      <c r="AE16" s="190">
        <f t="shared" ca="1" si="114"/>
        <v>5</v>
      </c>
      <c r="AF16" s="190">
        <f t="shared" ca="1" si="114"/>
        <v>5</v>
      </c>
      <c r="AG16" s="190">
        <f t="shared" ca="1" si="114"/>
        <v>5</v>
      </c>
      <c r="AH16" s="190">
        <f t="shared" ca="1" si="114"/>
        <v>5</v>
      </c>
      <c r="AI16" s="190">
        <f t="shared" ca="1" si="114"/>
        <v>5</v>
      </c>
      <c r="AJ16" s="190">
        <f t="shared" ca="1" si="114"/>
        <v>5</v>
      </c>
      <c r="AK16" s="190">
        <f t="shared" ca="1" si="114"/>
        <v>5</v>
      </c>
      <c r="AL16" s="190">
        <f t="shared" ca="1" si="114"/>
        <v>5</v>
      </c>
      <c r="AM16" s="190">
        <f t="shared" ca="1" si="114"/>
        <v>5</v>
      </c>
      <c r="AN16" s="190">
        <f t="shared" ca="1" si="114"/>
        <v>5</v>
      </c>
      <c r="AO16" s="190">
        <f t="shared" ca="1" si="114"/>
        <v>5</v>
      </c>
      <c r="AP16" s="190">
        <f t="shared" ca="1" si="114"/>
        <v>5</v>
      </c>
      <c r="AQ16" s="190">
        <f t="shared" ca="1" si="114"/>
        <v>5</v>
      </c>
      <c r="AR16" s="190">
        <f t="shared" ca="1" si="114"/>
        <v>5</v>
      </c>
      <c r="AS16" s="190">
        <f t="shared" ca="1" si="114"/>
        <v>5</v>
      </c>
      <c r="AT16" s="190">
        <f t="shared" ca="1" si="114"/>
        <v>5</v>
      </c>
      <c r="AU16" s="190">
        <f t="shared" ca="1" si="114"/>
        <v>5</v>
      </c>
      <c r="AV16" s="190">
        <f t="shared" ca="1" si="114"/>
        <v>5</v>
      </c>
      <c r="AW16" s="190">
        <f t="shared" ca="1" si="114"/>
        <v>5</v>
      </c>
      <c r="AX16" s="190">
        <f t="shared" ca="1" si="114"/>
        <v>5</v>
      </c>
      <c r="AY16" s="190" t="e">
        <f t="shared" ca="1" si="114"/>
        <v>#VALUE!</v>
      </c>
      <c r="AZ16" s="190" t="e">
        <f t="shared" ca="1" si="114"/>
        <v>#VALUE!</v>
      </c>
      <c r="BA16" s="190" t="e">
        <f t="shared" ca="1" si="114"/>
        <v>#VALUE!</v>
      </c>
      <c r="BB16" s="190" t="e">
        <f t="shared" ca="1" si="114"/>
        <v>#VALUE!</v>
      </c>
      <c r="BC16" s="190" t="e">
        <f t="shared" ca="1" si="114"/>
        <v>#VALUE!</v>
      </c>
      <c r="BD16" s="190" t="e">
        <f t="shared" ca="1" si="114"/>
        <v>#VALUE!</v>
      </c>
      <c r="BE16" s="190" t="e">
        <f t="shared" ca="1" si="114"/>
        <v>#VALUE!</v>
      </c>
      <c r="BF16" s="190" t="e">
        <f t="shared" ca="1" si="114"/>
        <v>#VALUE!</v>
      </c>
      <c r="BG16" s="190" t="e">
        <f t="shared" ca="1" si="114"/>
        <v>#VALUE!</v>
      </c>
      <c r="BH16" s="190" t="e">
        <f t="shared" ca="1" si="114"/>
        <v>#VALUE!</v>
      </c>
      <c r="BI16" s="190" t="e">
        <f t="shared" ca="1" si="114"/>
        <v>#VALUE!</v>
      </c>
      <c r="BJ16" s="190" t="e">
        <f t="shared" ca="1" si="114"/>
        <v>#VALUE!</v>
      </c>
      <c r="BK16" s="190" t="e">
        <f t="shared" ca="1" si="114"/>
        <v>#VALUE!</v>
      </c>
      <c r="BL16" s="190" t="e">
        <f t="shared" ca="1" si="114"/>
        <v>#VALUE!</v>
      </c>
      <c r="BM16" s="190" t="e">
        <f t="shared" ca="1" si="114"/>
        <v>#VALUE!</v>
      </c>
      <c r="BN16" s="190" t="e">
        <f t="shared" ca="1" si="114"/>
        <v>#VALUE!</v>
      </c>
      <c r="BO16" s="190" t="e">
        <f t="shared" ca="1" si="114"/>
        <v>#VALUE!</v>
      </c>
      <c r="BP16" s="190" t="e">
        <f t="shared" ca="1" si="114"/>
        <v>#VALUE!</v>
      </c>
      <c r="BQ16" s="190" t="e">
        <f t="shared" ca="1" si="114"/>
        <v>#VALUE!</v>
      </c>
      <c r="BR16" s="190" t="e">
        <f t="shared" ca="1" si="114"/>
        <v>#VALUE!</v>
      </c>
      <c r="BS16" s="190" t="e">
        <f t="shared" ca="1" si="114"/>
        <v>#VALUE!</v>
      </c>
      <c r="BT16" s="190" t="e">
        <f t="shared" ca="1" si="114"/>
        <v>#VALUE!</v>
      </c>
      <c r="BU16" s="190" t="e">
        <f t="shared" ca="1" si="114"/>
        <v>#VALUE!</v>
      </c>
      <c r="BV16" s="190" t="e">
        <f t="shared" ca="1" si="114"/>
        <v>#VALUE!</v>
      </c>
      <c r="BW16" s="190" t="e">
        <f t="shared" ca="1" si="114"/>
        <v>#VALUE!</v>
      </c>
      <c r="BX16" s="190" t="e">
        <f t="shared" ca="1" si="114"/>
        <v>#VALUE!</v>
      </c>
      <c r="BY16" s="190" t="e">
        <f t="shared" ref="BY16:DV16" ca="1" si="115">SUM(BY11:BY15)</f>
        <v>#VALUE!</v>
      </c>
      <c r="BZ16" s="190" t="e">
        <f t="shared" ca="1" si="115"/>
        <v>#VALUE!</v>
      </c>
      <c r="CA16" s="190" t="e">
        <f t="shared" ca="1" si="115"/>
        <v>#VALUE!</v>
      </c>
      <c r="CB16" s="190" t="e">
        <f t="shared" ca="1" si="115"/>
        <v>#VALUE!</v>
      </c>
      <c r="CC16" s="190" t="e">
        <f t="shared" ca="1" si="115"/>
        <v>#VALUE!</v>
      </c>
      <c r="CD16" s="190" t="e">
        <f t="shared" ca="1" si="115"/>
        <v>#VALUE!</v>
      </c>
      <c r="CE16" s="190">
        <f t="shared" ca="1" si="115"/>
        <v>0</v>
      </c>
      <c r="CF16" s="190">
        <f t="shared" ca="1" si="115"/>
        <v>0</v>
      </c>
      <c r="CG16" s="190">
        <f t="shared" ca="1" si="115"/>
        <v>0</v>
      </c>
      <c r="CH16" s="190">
        <f t="shared" ca="1" si="115"/>
        <v>0</v>
      </c>
      <c r="CI16" s="190">
        <f t="shared" ca="1" si="115"/>
        <v>0</v>
      </c>
      <c r="CJ16" s="190">
        <f t="shared" ca="1" si="115"/>
        <v>0</v>
      </c>
      <c r="CK16" s="190">
        <f t="shared" ca="1" si="115"/>
        <v>0</v>
      </c>
      <c r="CL16" s="190">
        <f t="shared" ca="1" si="115"/>
        <v>0</v>
      </c>
      <c r="CM16" s="190">
        <f t="shared" ca="1" si="115"/>
        <v>0</v>
      </c>
      <c r="CN16" s="190">
        <f t="shared" ca="1" si="115"/>
        <v>0</v>
      </c>
      <c r="CO16" s="190">
        <f t="shared" ca="1" si="115"/>
        <v>0</v>
      </c>
      <c r="CP16" s="190">
        <f t="shared" ca="1" si="115"/>
        <v>0</v>
      </c>
      <c r="CQ16" s="190">
        <f t="shared" ca="1" si="115"/>
        <v>0</v>
      </c>
      <c r="CR16" s="190">
        <f t="shared" ca="1" si="115"/>
        <v>0</v>
      </c>
      <c r="CS16" s="190">
        <f t="shared" ca="1" si="115"/>
        <v>0</v>
      </c>
      <c r="CT16" s="190">
        <f t="shared" ca="1" si="115"/>
        <v>0</v>
      </c>
      <c r="CU16" s="190">
        <f t="shared" ca="1" si="115"/>
        <v>0</v>
      </c>
      <c r="CV16" s="190">
        <f t="shared" ca="1" si="115"/>
        <v>0</v>
      </c>
      <c r="CW16" s="190">
        <f t="shared" ca="1" si="115"/>
        <v>0</v>
      </c>
      <c r="CX16" s="190">
        <f t="shared" ca="1" si="115"/>
        <v>0</v>
      </c>
      <c r="CY16" s="190">
        <f t="shared" ca="1" si="115"/>
        <v>0</v>
      </c>
      <c r="CZ16" s="190">
        <f t="shared" ca="1" si="115"/>
        <v>0</v>
      </c>
      <c r="DA16" s="190">
        <f t="shared" ca="1" si="115"/>
        <v>0</v>
      </c>
      <c r="DB16" s="190">
        <f t="shared" ca="1" si="115"/>
        <v>0</v>
      </c>
      <c r="DC16" s="190">
        <f t="shared" ca="1" si="115"/>
        <v>0</v>
      </c>
      <c r="DD16" s="190">
        <f t="shared" ca="1" si="115"/>
        <v>0</v>
      </c>
      <c r="DE16" s="190">
        <f t="shared" ca="1" si="115"/>
        <v>0</v>
      </c>
      <c r="DF16" s="190">
        <f t="shared" ca="1" si="115"/>
        <v>0</v>
      </c>
      <c r="DG16" s="190">
        <f t="shared" ca="1" si="115"/>
        <v>0</v>
      </c>
      <c r="DH16" s="190">
        <f t="shared" ca="1" si="115"/>
        <v>0</v>
      </c>
      <c r="DI16" s="190">
        <f t="shared" ca="1" si="115"/>
        <v>0</v>
      </c>
      <c r="DJ16" s="190">
        <f t="shared" ca="1" si="115"/>
        <v>0</v>
      </c>
      <c r="DK16" s="190">
        <f t="shared" ca="1" si="115"/>
        <v>0</v>
      </c>
      <c r="DL16" s="190">
        <f t="shared" ca="1" si="115"/>
        <v>0</v>
      </c>
      <c r="DM16" s="190">
        <f t="shared" ca="1" si="115"/>
        <v>0</v>
      </c>
      <c r="DN16" s="190">
        <f t="shared" ca="1" si="115"/>
        <v>0</v>
      </c>
      <c r="DO16" s="190">
        <f t="shared" ca="1" si="115"/>
        <v>0</v>
      </c>
      <c r="DP16" s="190">
        <f t="shared" ca="1" si="115"/>
        <v>0</v>
      </c>
      <c r="DQ16" s="190">
        <f t="shared" ca="1" si="115"/>
        <v>0</v>
      </c>
      <c r="DR16" s="190">
        <f t="shared" ca="1" si="115"/>
        <v>0</v>
      </c>
      <c r="DS16" s="190">
        <f t="shared" ca="1" si="115"/>
        <v>0</v>
      </c>
      <c r="DT16" s="190">
        <f t="shared" ca="1" si="115"/>
        <v>0</v>
      </c>
      <c r="DU16" s="190">
        <f t="shared" ca="1" si="115"/>
        <v>0</v>
      </c>
      <c r="DV16" s="190">
        <f t="shared" ca="1" si="115"/>
        <v>0</v>
      </c>
    </row>
    <row r="17" spans="1:126">
      <c r="F17" s="53"/>
      <c r="G17" s="183"/>
      <c r="I17" s="53"/>
      <c r="J17" s="53"/>
      <c r="K17" s="53"/>
      <c r="L17" s="5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6"/>
      <c r="AX17" s="196"/>
      <c r="AY17" s="196"/>
      <c r="AZ17" s="196"/>
      <c r="BA17" s="196"/>
      <c r="BR17" s="119"/>
    </row>
    <row r="18" spans="1:126" s="180" customFormat="1" ht="27">
      <c r="A18" s="447" t="s">
        <v>71</v>
      </c>
      <c r="B18" s="450">
        <f>IF(LEN('BESS 12'!F5)=5,'BESS 12'!F5,(IF('BESS 12'!F5="Completed"," ",DATEVALUE(RIGHT('BESS 12'!F5,6)))))</f>
        <v>46231</v>
      </c>
      <c r="C18" s="450">
        <f>IF(LEN('BESS 12'!G5)=5,'BESS 12'!G5,(IF('BESS 12'!G5="Completed"," ",DATEVALUE(RIGHT('BESS 12'!G5,6)))))</f>
        <v>46236</v>
      </c>
      <c r="D18" s="455">
        <f>IF(LEN('BESS 12'!H5)=5,'BESS 12'!H5,(IF('BESS 12'!H5="Completed"," ",DATEVALUE(RIGHT('BESS 12'!H5,6)))))</f>
        <v>46239</v>
      </c>
      <c r="E18" s="226" t="s">
        <v>10</v>
      </c>
      <c r="F18" s="217" t="s">
        <v>58</v>
      </c>
      <c r="G18" s="217" t="s">
        <v>78</v>
      </c>
      <c r="H18" s="217" t="s">
        <v>87</v>
      </c>
      <c r="I18" s="217" t="s">
        <v>59</v>
      </c>
      <c r="J18" s="129"/>
      <c r="K18" s="216" t="s">
        <v>80</v>
      </c>
      <c r="L18" s="216" t="s">
        <v>62</v>
      </c>
      <c r="M18" s="218">
        <v>46195</v>
      </c>
      <c r="N18" s="218">
        <v>46196</v>
      </c>
      <c r="O18" s="218">
        <v>46197</v>
      </c>
      <c r="P18" s="218">
        <v>46198</v>
      </c>
      <c r="Q18" s="218">
        <v>46199</v>
      </c>
      <c r="R18" s="218">
        <v>46200</v>
      </c>
      <c r="S18" s="218">
        <f t="shared" ref="S18:CD18" si="116">R18+1</f>
        <v>46201</v>
      </c>
      <c r="T18" s="218">
        <f t="shared" si="116"/>
        <v>46202</v>
      </c>
      <c r="U18" s="218">
        <f t="shared" si="116"/>
        <v>46203</v>
      </c>
      <c r="V18" s="218">
        <f t="shared" si="116"/>
        <v>46204</v>
      </c>
      <c r="W18" s="218">
        <f t="shared" si="116"/>
        <v>46205</v>
      </c>
      <c r="X18" s="218">
        <f t="shared" si="116"/>
        <v>46206</v>
      </c>
      <c r="Y18" s="218">
        <f t="shared" si="116"/>
        <v>46207</v>
      </c>
      <c r="Z18" s="218">
        <f t="shared" si="116"/>
        <v>46208</v>
      </c>
      <c r="AA18" s="218">
        <f t="shared" si="116"/>
        <v>46209</v>
      </c>
      <c r="AB18" s="218">
        <f t="shared" si="116"/>
        <v>46210</v>
      </c>
      <c r="AC18" s="218">
        <f t="shared" si="116"/>
        <v>46211</v>
      </c>
      <c r="AD18" s="218">
        <f t="shared" si="116"/>
        <v>46212</v>
      </c>
      <c r="AE18" s="218">
        <f t="shared" si="116"/>
        <v>46213</v>
      </c>
      <c r="AF18" s="218">
        <f t="shared" si="116"/>
        <v>46214</v>
      </c>
      <c r="AG18" s="218">
        <f t="shared" si="116"/>
        <v>46215</v>
      </c>
      <c r="AH18" s="218">
        <f t="shared" si="116"/>
        <v>46216</v>
      </c>
      <c r="AI18" s="218">
        <f t="shared" si="116"/>
        <v>46217</v>
      </c>
      <c r="AJ18" s="218">
        <f t="shared" si="116"/>
        <v>46218</v>
      </c>
      <c r="AK18" s="218">
        <f t="shared" si="116"/>
        <v>46219</v>
      </c>
      <c r="AL18" s="218">
        <f t="shared" si="116"/>
        <v>46220</v>
      </c>
      <c r="AM18" s="218">
        <f t="shared" si="116"/>
        <v>46221</v>
      </c>
      <c r="AN18" s="218">
        <f t="shared" si="116"/>
        <v>46222</v>
      </c>
      <c r="AO18" s="218">
        <f t="shared" si="116"/>
        <v>46223</v>
      </c>
      <c r="AP18" s="218">
        <f t="shared" si="116"/>
        <v>46224</v>
      </c>
      <c r="AQ18" s="218">
        <f t="shared" si="116"/>
        <v>46225</v>
      </c>
      <c r="AR18" s="218">
        <f t="shared" si="116"/>
        <v>46226</v>
      </c>
      <c r="AS18" s="218">
        <f t="shared" si="116"/>
        <v>46227</v>
      </c>
      <c r="AT18" s="218">
        <f t="shared" si="116"/>
        <v>46228</v>
      </c>
      <c r="AU18" s="218">
        <f t="shared" si="116"/>
        <v>46229</v>
      </c>
      <c r="AV18" s="218">
        <f t="shared" si="116"/>
        <v>46230</v>
      </c>
      <c r="AW18" s="218">
        <f t="shared" si="116"/>
        <v>46231</v>
      </c>
      <c r="AX18" s="218">
        <f t="shared" si="116"/>
        <v>46232</v>
      </c>
      <c r="AY18" s="218">
        <f t="shared" si="116"/>
        <v>46233</v>
      </c>
      <c r="AZ18" s="218">
        <f t="shared" si="116"/>
        <v>46234</v>
      </c>
      <c r="BA18" s="218">
        <f t="shared" si="116"/>
        <v>46235</v>
      </c>
      <c r="BB18" s="218">
        <f t="shared" si="116"/>
        <v>46236</v>
      </c>
      <c r="BC18" s="218">
        <f t="shared" si="116"/>
        <v>46237</v>
      </c>
      <c r="BD18" s="218">
        <f t="shared" si="116"/>
        <v>46238</v>
      </c>
      <c r="BE18" s="218">
        <f t="shared" si="116"/>
        <v>46239</v>
      </c>
      <c r="BF18" s="218">
        <f t="shared" si="116"/>
        <v>46240</v>
      </c>
      <c r="BG18" s="218">
        <f t="shared" si="116"/>
        <v>46241</v>
      </c>
      <c r="BH18" s="218">
        <f t="shared" si="116"/>
        <v>46242</v>
      </c>
      <c r="BI18" s="218">
        <f t="shared" si="116"/>
        <v>46243</v>
      </c>
      <c r="BJ18" s="218">
        <f t="shared" si="116"/>
        <v>46244</v>
      </c>
      <c r="BK18" s="218">
        <f t="shared" si="116"/>
        <v>46245</v>
      </c>
      <c r="BL18" s="218">
        <f t="shared" si="116"/>
        <v>46246</v>
      </c>
      <c r="BM18" s="218">
        <f t="shared" si="116"/>
        <v>46247</v>
      </c>
      <c r="BN18" s="218">
        <f t="shared" si="116"/>
        <v>46248</v>
      </c>
      <c r="BO18" s="218">
        <f t="shared" si="116"/>
        <v>46249</v>
      </c>
      <c r="BP18" s="218">
        <f t="shared" si="116"/>
        <v>46250</v>
      </c>
      <c r="BQ18" s="218">
        <f t="shared" si="116"/>
        <v>46251</v>
      </c>
      <c r="BR18" s="218">
        <f t="shared" si="116"/>
        <v>46252</v>
      </c>
      <c r="BS18" s="218">
        <f t="shared" si="116"/>
        <v>46253</v>
      </c>
      <c r="BT18" s="218">
        <f t="shared" si="116"/>
        <v>46254</v>
      </c>
      <c r="BU18" s="218">
        <f t="shared" si="116"/>
        <v>46255</v>
      </c>
      <c r="BV18" s="218">
        <f t="shared" si="116"/>
        <v>46256</v>
      </c>
      <c r="BW18" s="218">
        <f t="shared" si="116"/>
        <v>46257</v>
      </c>
      <c r="BX18" s="218">
        <f t="shared" si="116"/>
        <v>46258</v>
      </c>
      <c r="BY18" s="218">
        <f t="shared" si="116"/>
        <v>46259</v>
      </c>
      <c r="BZ18" s="218">
        <f t="shared" si="116"/>
        <v>46260</v>
      </c>
      <c r="CA18" s="218">
        <f t="shared" si="116"/>
        <v>46261</v>
      </c>
      <c r="CB18" s="218">
        <f t="shared" si="116"/>
        <v>46262</v>
      </c>
      <c r="CC18" s="218">
        <f t="shared" si="116"/>
        <v>46263</v>
      </c>
      <c r="CD18" s="218">
        <f t="shared" si="116"/>
        <v>46264</v>
      </c>
      <c r="CE18" s="218">
        <f t="shared" ref="CE18:CT18" si="117">CD18+1</f>
        <v>46265</v>
      </c>
      <c r="CF18" s="218">
        <f t="shared" si="117"/>
        <v>46266</v>
      </c>
      <c r="CG18" s="218">
        <f t="shared" si="117"/>
        <v>46267</v>
      </c>
      <c r="CH18" s="218">
        <f t="shared" si="117"/>
        <v>46268</v>
      </c>
      <c r="CI18" s="218">
        <f t="shared" si="117"/>
        <v>46269</v>
      </c>
      <c r="CJ18" s="218">
        <f t="shared" si="117"/>
        <v>46270</v>
      </c>
      <c r="CK18" s="218">
        <f t="shared" si="117"/>
        <v>46271</v>
      </c>
      <c r="CL18" s="218">
        <f t="shared" si="117"/>
        <v>46272</v>
      </c>
      <c r="CM18" s="218">
        <f t="shared" si="117"/>
        <v>46273</v>
      </c>
      <c r="CN18" s="218">
        <f t="shared" si="117"/>
        <v>46274</v>
      </c>
      <c r="CO18" s="218">
        <f t="shared" si="117"/>
        <v>46275</v>
      </c>
      <c r="CP18" s="218">
        <f t="shared" si="117"/>
        <v>46276</v>
      </c>
      <c r="CQ18" s="218">
        <f t="shared" si="117"/>
        <v>46277</v>
      </c>
      <c r="CR18" s="218">
        <f t="shared" si="117"/>
        <v>46278</v>
      </c>
      <c r="CS18" s="218">
        <f t="shared" si="117"/>
        <v>46279</v>
      </c>
      <c r="CT18" s="218">
        <f t="shared" si="117"/>
        <v>46280</v>
      </c>
      <c r="CU18" s="218">
        <f t="shared" ref="CU18" si="118">CT18+1</f>
        <v>46281</v>
      </c>
      <c r="CV18" s="218">
        <f t="shared" ref="CV18" si="119">CU18+1</f>
        <v>46282</v>
      </c>
      <c r="CW18" s="218">
        <f t="shared" ref="CW18" si="120">CV18+1</f>
        <v>46283</v>
      </c>
      <c r="CX18" s="218">
        <f t="shared" ref="CX18" si="121">CW18+1</f>
        <v>46284</v>
      </c>
      <c r="CY18" s="218">
        <f t="shared" ref="CY18" si="122">CX18+1</f>
        <v>46285</v>
      </c>
      <c r="CZ18" s="218">
        <f t="shared" ref="CZ18" si="123">CY18+1</f>
        <v>46286</v>
      </c>
      <c r="DA18" s="218">
        <f t="shared" ref="DA18" si="124">CZ18+1</f>
        <v>46287</v>
      </c>
      <c r="DB18" s="218">
        <f t="shared" ref="DB18" si="125">DA18+1</f>
        <v>46288</v>
      </c>
      <c r="DC18" s="218">
        <f t="shared" ref="DC18" si="126">DB18+1</f>
        <v>46289</v>
      </c>
      <c r="DD18" s="218">
        <f t="shared" ref="DD18" si="127">DC18+1</f>
        <v>46290</v>
      </c>
      <c r="DE18" s="218">
        <f t="shared" ref="DE18" si="128">DD18+1</f>
        <v>46291</v>
      </c>
      <c r="DF18" s="218">
        <f t="shared" ref="DF18" si="129">DE18+1</f>
        <v>46292</v>
      </c>
      <c r="DG18" s="218">
        <f t="shared" ref="DG18" si="130">DF18+1</f>
        <v>46293</v>
      </c>
      <c r="DH18" s="218">
        <f t="shared" ref="DH18" si="131">DG18+1</f>
        <v>46294</v>
      </c>
      <c r="DI18" s="218">
        <f t="shared" ref="DI18" si="132">DH18+1</f>
        <v>46295</v>
      </c>
      <c r="DJ18" s="218">
        <f t="shared" ref="DJ18" si="133">DI18+1</f>
        <v>46296</v>
      </c>
      <c r="DK18" s="218">
        <f t="shared" ref="DK18" si="134">DJ18+1</f>
        <v>46297</v>
      </c>
      <c r="DL18" s="218">
        <f t="shared" ref="DL18" si="135">DK18+1</f>
        <v>46298</v>
      </c>
      <c r="DM18" s="218">
        <f t="shared" ref="DM18" si="136">DL18+1</f>
        <v>46299</v>
      </c>
      <c r="DN18" s="218">
        <f t="shared" ref="DN18" si="137">DM18+1</f>
        <v>46300</v>
      </c>
      <c r="DO18" s="218">
        <f t="shared" ref="DO18" si="138">DN18+1</f>
        <v>46301</v>
      </c>
      <c r="DP18" s="218">
        <f t="shared" ref="DP18" si="139">DO18+1</f>
        <v>46302</v>
      </c>
      <c r="DQ18" s="218">
        <f t="shared" ref="DQ18" si="140">DP18+1</f>
        <v>46303</v>
      </c>
      <c r="DR18" s="218">
        <f t="shared" ref="DR18" si="141">DQ18+1</f>
        <v>46304</v>
      </c>
      <c r="DS18" s="218">
        <f t="shared" ref="DS18" si="142">DR18+1</f>
        <v>46305</v>
      </c>
      <c r="DT18" s="218">
        <f t="shared" ref="DT18" si="143">DS18+1</f>
        <v>46306</v>
      </c>
      <c r="DU18" s="218">
        <f t="shared" ref="DU18" si="144">DT18+1</f>
        <v>46307</v>
      </c>
      <c r="DV18" s="218">
        <f t="shared" ref="DV18" si="145">DU18+1</f>
        <v>46308</v>
      </c>
    </row>
    <row r="19" spans="1:126">
      <c r="A19" s="448"/>
      <c r="B19" s="451"/>
      <c r="C19" s="451"/>
      <c r="D19" s="456"/>
      <c r="E19" s="185" t="s">
        <v>64</v>
      </c>
      <c r="F19" s="66" t="e">
        <f>SUM('BESS 12'!S19:S26,'BESS 12'!S28)</f>
        <v>#VALUE!</v>
      </c>
      <c r="G19" s="182">
        <f ca="1">TODAY()</f>
        <v>46233</v>
      </c>
      <c r="H19" s="162">
        <f ca="1">G19</f>
        <v>46233</v>
      </c>
      <c r="I19" s="66">
        <f t="shared" ref="I19:I22" ca="1" si="146">H19-G19</f>
        <v>0</v>
      </c>
      <c r="J19" s="444">
        <f ca="1">K19*1.2</f>
        <v>10</v>
      </c>
      <c r="K19" s="506">
        <f ca="1">AVERAGEIF(M24:CT24,"&gt;0")</f>
        <v>8.3333333333333339</v>
      </c>
      <c r="L19" s="506">
        <f ca="1">MAX(M24:CT24)</f>
        <v>30</v>
      </c>
      <c r="M19" s="65" t="str">
        <f t="shared" ref="M19:AB22" ca="1" si="147">IF(AND(M$2&gt;=$G19,M$2&lt;($G19+$I19)),ROUND($F19/$I19,0),"-")</f>
        <v>-</v>
      </c>
      <c r="N19" s="65" t="str">
        <f t="shared" ca="1" si="147"/>
        <v>-</v>
      </c>
      <c r="O19" s="65" t="str">
        <f t="shared" ca="1" si="147"/>
        <v>-</v>
      </c>
      <c r="P19" s="65" t="str">
        <f t="shared" ca="1" si="147"/>
        <v>-</v>
      </c>
      <c r="Q19" s="65" t="str">
        <f t="shared" ca="1" si="147"/>
        <v>-</v>
      </c>
      <c r="R19" s="65" t="str">
        <f t="shared" ca="1" si="147"/>
        <v>-</v>
      </c>
      <c r="S19" s="65" t="str">
        <f t="shared" ca="1" si="147"/>
        <v>-</v>
      </c>
      <c r="T19" s="65" t="str">
        <f t="shared" ca="1" si="147"/>
        <v>-</v>
      </c>
      <c r="U19" s="65" t="str">
        <f t="shared" ca="1" si="147"/>
        <v>-</v>
      </c>
      <c r="V19" s="65" t="str">
        <f t="shared" ca="1" si="147"/>
        <v>-</v>
      </c>
      <c r="W19" s="65" t="str">
        <f t="shared" ca="1" si="147"/>
        <v>-</v>
      </c>
      <c r="X19" s="65" t="str">
        <f t="shared" ca="1" si="147"/>
        <v>-</v>
      </c>
      <c r="Y19" s="65" t="str">
        <f t="shared" ca="1" si="147"/>
        <v>-</v>
      </c>
      <c r="Z19" s="65" t="str">
        <f t="shared" ca="1" si="147"/>
        <v>-</v>
      </c>
      <c r="AA19" s="65" t="str">
        <f t="shared" ca="1" si="147"/>
        <v>-</v>
      </c>
      <c r="AB19" s="65" t="str">
        <f t="shared" ca="1" si="147"/>
        <v>-</v>
      </c>
      <c r="AC19" s="65" t="str">
        <f t="shared" ref="AC19:AR22" ca="1" si="148">IF(AND(AC$2&gt;=$G19,AC$2&lt;($G19+$I19)),ROUND($F19/$I19,0),"-")</f>
        <v>-</v>
      </c>
      <c r="AD19" s="65" t="str">
        <f t="shared" ca="1" si="148"/>
        <v>-</v>
      </c>
      <c r="AE19" s="65" t="str">
        <f t="shared" ca="1" si="148"/>
        <v>-</v>
      </c>
      <c r="AF19" s="65" t="str">
        <f t="shared" ca="1" si="148"/>
        <v>-</v>
      </c>
      <c r="AG19" s="65" t="str">
        <f t="shared" ca="1" si="148"/>
        <v>-</v>
      </c>
      <c r="AH19" s="65" t="str">
        <f t="shared" ca="1" si="148"/>
        <v>-</v>
      </c>
      <c r="AI19" s="65" t="str">
        <f t="shared" ca="1" si="148"/>
        <v>-</v>
      </c>
      <c r="AJ19" s="65" t="str">
        <f t="shared" ca="1" si="148"/>
        <v>-</v>
      </c>
      <c r="AK19" s="65" t="str">
        <f t="shared" ca="1" si="148"/>
        <v>-</v>
      </c>
      <c r="AL19" s="65" t="str">
        <f t="shared" ca="1" si="148"/>
        <v>-</v>
      </c>
      <c r="AM19" s="65" t="str">
        <f t="shared" ca="1" si="148"/>
        <v>-</v>
      </c>
      <c r="AN19" s="65" t="str">
        <f t="shared" ca="1" si="148"/>
        <v>-</v>
      </c>
      <c r="AO19" s="65" t="str">
        <f t="shared" ca="1" si="148"/>
        <v>-</v>
      </c>
      <c r="AP19" s="65" t="str">
        <f t="shared" ca="1" si="148"/>
        <v>-</v>
      </c>
      <c r="AQ19" s="65" t="str">
        <f t="shared" ca="1" si="148"/>
        <v>-</v>
      </c>
      <c r="AR19" s="65" t="str">
        <f t="shared" ca="1" si="148"/>
        <v>-</v>
      </c>
      <c r="AS19" s="65" t="str">
        <f t="shared" ref="AS19:BH22" ca="1" si="149">IF(AND(AS$2&gt;=$G19,AS$2&lt;($G19+$I19)),ROUND($F19/$I19,0),"-")</f>
        <v>-</v>
      </c>
      <c r="AT19" s="65" t="str">
        <f t="shared" ca="1" si="149"/>
        <v>-</v>
      </c>
      <c r="AU19" s="65" t="str">
        <f t="shared" ca="1" si="149"/>
        <v>-</v>
      </c>
      <c r="AV19" s="65" t="str">
        <f t="shared" ca="1" si="149"/>
        <v>-</v>
      </c>
      <c r="AW19" s="65" t="str">
        <f t="shared" ca="1" si="149"/>
        <v>-</v>
      </c>
      <c r="AX19" s="65" t="str">
        <f t="shared" ca="1" si="149"/>
        <v>-</v>
      </c>
      <c r="AY19" s="65" t="str">
        <f t="shared" ca="1" si="149"/>
        <v>-</v>
      </c>
      <c r="AZ19" s="65" t="str">
        <f t="shared" ca="1" si="149"/>
        <v>-</v>
      </c>
      <c r="BA19" s="65" t="str">
        <f t="shared" ca="1" si="149"/>
        <v>-</v>
      </c>
      <c r="BB19" s="65" t="str">
        <f t="shared" ca="1" si="149"/>
        <v>-</v>
      </c>
      <c r="BC19" s="65" t="str">
        <f t="shared" ca="1" si="149"/>
        <v>-</v>
      </c>
      <c r="BD19" s="65" t="str">
        <f t="shared" ca="1" si="149"/>
        <v>-</v>
      </c>
      <c r="BE19" s="65" t="str">
        <f t="shared" ca="1" si="149"/>
        <v>-</v>
      </c>
      <c r="BF19" s="65" t="str">
        <f t="shared" ca="1" si="149"/>
        <v>-</v>
      </c>
      <c r="BG19" s="65" t="str">
        <f t="shared" ca="1" si="149"/>
        <v>-</v>
      </c>
      <c r="BH19" s="65" t="str">
        <f t="shared" ca="1" si="149"/>
        <v>-</v>
      </c>
      <c r="BI19" s="65" t="str">
        <f t="shared" ref="BI19:BX22" ca="1" si="150">IF(AND(BI$2&gt;=$G19,BI$2&lt;($G19+$I19)),ROUND($F19/$I19,0),"-")</f>
        <v>-</v>
      </c>
      <c r="BJ19" s="65" t="str">
        <f t="shared" ca="1" si="150"/>
        <v>-</v>
      </c>
      <c r="BK19" s="65" t="str">
        <f t="shared" ca="1" si="150"/>
        <v>-</v>
      </c>
      <c r="BL19" s="65" t="str">
        <f t="shared" ca="1" si="150"/>
        <v>-</v>
      </c>
      <c r="BM19" s="65" t="str">
        <f t="shared" ca="1" si="150"/>
        <v>-</v>
      </c>
      <c r="BN19" s="65" t="str">
        <f t="shared" ca="1" si="150"/>
        <v>-</v>
      </c>
      <c r="BO19" s="65" t="str">
        <f t="shared" ca="1" si="150"/>
        <v>-</v>
      </c>
      <c r="BP19" s="65" t="str">
        <f t="shared" ca="1" si="150"/>
        <v>-</v>
      </c>
      <c r="BQ19" s="65" t="str">
        <f t="shared" ca="1" si="150"/>
        <v>-</v>
      </c>
      <c r="BR19" s="65" t="str">
        <f t="shared" ca="1" si="150"/>
        <v>-</v>
      </c>
      <c r="BS19" s="65" t="str">
        <f t="shared" ca="1" si="150"/>
        <v>-</v>
      </c>
      <c r="BT19" s="65" t="str">
        <f t="shared" ca="1" si="150"/>
        <v>-</v>
      </c>
      <c r="BU19" s="65" t="str">
        <f t="shared" ca="1" si="150"/>
        <v>-</v>
      </c>
      <c r="BV19" s="65" t="str">
        <f t="shared" ca="1" si="150"/>
        <v>-</v>
      </c>
      <c r="BW19" s="65" t="str">
        <f t="shared" ca="1" si="150"/>
        <v>-</v>
      </c>
      <c r="BX19" s="65" t="str">
        <f t="shared" ca="1" si="150"/>
        <v>-</v>
      </c>
      <c r="BY19" s="65" t="str">
        <f t="shared" ref="BY19:CN22" ca="1" si="151">IF(AND(BY$2&gt;=$G19,BY$2&lt;($G19+$I19)),ROUND($F19/$I19,0),"-")</f>
        <v>-</v>
      </c>
      <c r="BZ19" s="65" t="str">
        <f t="shared" ca="1" si="151"/>
        <v>-</v>
      </c>
      <c r="CA19" s="65" t="str">
        <f t="shared" ca="1" si="151"/>
        <v>-</v>
      </c>
      <c r="CB19" s="65" t="str">
        <f t="shared" ca="1" si="151"/>
        <v>-</v>
      </c>
      <c r="CC19" s="65" t="str">
        <f t="shared" ca="1" si="151"/>
        <v>-</v>
      </c>
      <c r="CD19" s="65" t="str">
        <f t="shared" ca="1" si="151"/>
        <v>-</v>
      </c>
      <c r="CE19" s="65" t="str">
        <f t="shared" ca="1" si="151"/>
        <v>-</v>
      </c>
      <c r="CF19" s="65" t="str">
        <f t="shared" ca="1" si="151"/>
        <v>-</v>
      </c>
      <c r="CG19" s="65" t="str">
        <f t="shared" ca="1" si="151"/>
        <v>-</v>
      </c>
      <c r="CH19" s="65" t="str">
        <f t="shared" ca="1" si="151"/>
        <v>-</v>
      </c>
      <c r="CI19" s="65" t="str">
        <f t="shared" ca="1" si="151"/>
        <v>-</v>
      </c>
      <c r="CJ19" s="65" t="str">
        <f t="shared" ca="1" si="151"/>
        <v>-</v>
      </c>
      <c r="CK19" s="65" t="str">
        <f t="shared" ca="1" si="151"/>
        <v>-</v>
      </c>
      <c r="CL19" s="65" t="str">
        <f t="shared" ca="1" si="151"/>
        <v>-</v>
      </c>
      <c r="CM19" s="65" t="str">
        <f t="shared" ca="1" si="151"/>
        <v>-</v>
      </c>
      <c r="CN19" s="65" t="str">
        <f t="shared" ca="1" si="151"/>
        <v>-</v>
      </c>
      <c r="CO19" s="65" t="str">
        <f t="shared" ref="CO19:DD22" ca="1" si="152">IF(AND(CO$2&gt;=$G19,CO$2&lt;($G19+$I19)),ROUND($F19/$I19,0),"-")</f>
        <v>-</v>
      </c>
      <c r="CP19" s="65" t="str">
        <f t="shared" ca="1" si="152"/>
        <v>-</v>
      </c>
      <c r="CQ19" s="65" t="str">
        <f t="shared" ca="1" si="152"/>
        <v>-</v>
      </c>
      <c r="CR19" s="65" t="str">
        <f t="shared" ca="1" si="152"/>
        <v>-</v>
      </c>
      <c r="CS19" s="65" t="str">
        <f t="shared" ca="1" si="152"/>
        <v>-</v>
      </c>
      <c r="CT19" s="65" t="str">
        <f t="shared" ca="1" si="152"/>
        <v>-</v>
      </c>
      <c r="CU19" s="65" t="str">
        <f t="shared" ca="1" si="152"/>
        <v>-</v>
      </c>
      <c r="CV19" s="65" t="str">
        <f t="shared" ca="1" si="152"/>
        <v>-</v>
      </c>
      <c r="CW19" s="65" t="str">
        <f t="shared" ca="1" si="152"/>
        <v>-</v>
      </c>
      <c r="CX19" s="65" t="str">
        <f t="shared" ca="1" si="152"/>
        <v>-</v>
      </c>
      <c r="CY19" s="65" t="str">
        <f t="shared" ca="1" si="152"/>
        <v>-</v>
      </c>
      <c r="CZ19" s="65" t="str">
        <f t="shared" ca="1" si="152"/>
        <v>-</v>
      </c>
      <c r="DA19" s="65" t="str">
        <f t="shared" ca="1" si="152"/>
        <v>-</v>
      </c>
      <c r="DB19" s="65" t="str">
        <f t="shared" ca="1" si="152"/>
        <v>-</v>
      </c>
      <c r="DC19" s="65" t="str">
        <f t="shared" ca="1" si="152"/>
        <v>-</v>
      </c>
      <c r="DD19" s="65" t="str">
        <f t="shared" ca="1" si="152"/>
        <v>-</v>
      </c>
      <c r="DE19" s="65" t="str">
        <f t="shared" ref="CU19:DV22" ca="1" si="153">IF(AND(DE$2&gt;=$G19,DE$2&lt;($G19+$I19)),ROUND($F19/$I19,0),"-")</f>
        <v>-</v>
      </c>
      <c r="DF19" s="65" t="str">
        <f t="shared" ca="1" si="153"/>
        <v>-</v>
      </c>
      <c r="DG19" s="65" t="str">
        <f t="shared" ca="1" si="153"/>
        <v>-</v>
      </c>
      <c r="DH19" s="65" t="str">
        <f t="shared" ca="1" si="153"/>
        <v>-</v>
      </c>
      <c r="DI19" s="65" t="str">
        <f t="shared" ca="1" si="153"/>
        <v>-</v>
      </c>
      <c r="DJ19" s="65" t="str">
        <f t="shared" ca="1" si="153"/>
        <v>-</v>
      </c>
      <c r="DK19" s="65" t="str">
        <f t="shared" ca="1" si="153"/>
        <v>-</v>
      </c>
      <c r="DL19" s="65" t="str">
        <f t="shared" ca="1" si="153"/>
        <v>-</v>
      </c>
      <c r="DM19" s="65" t="str">
        <f t="shared" ca="1" si="153"/>
        <v>-</v>
      </c>
      <c r="DN19" s="65" t="str">
        <f t="shared" ca="1" si="153"/>
        <v>-</v>
      </c>
      <c r="DO19" s="65" t="str">
        <f t="shared" ca="1" si="153"/>
        <v>-</v>
      </c>
      <c r="DP19" s="65" t="str">
        <f t="shared" ca="1" si="153"/>
        <v>-</v>
      </c>
      <c r="DQ19" s="65" t="str">
        <f t="shared" ca="1" si="153"/>
        <v>-</v>
      </c>
      <c r="DR19" s="65" t="str">
        <f t="shared" ca="1" si="153"/>
        <v>-</v>
      </c>
      <c r="DS19" s="65" t="str">
        <f t="shared" ca="1" si="153"/>
        <v>-</v>
      </c>
      <c r="DT19" s="65" t="str">
        <f t="shared" ca="1" si="153"/>
        <v>-</v>
      </c>
      <c r="DU19" s="65" t="str">
        <f t="shared" ca="1" si="153"/>
        <v>-</v>
      </c>
      <c r="DV19" s="65" t="str">
        <f t="shared" ca="1" si="153"/>
        <v>-</v>
      </c>
    </row>
    <row r="20" spans="1:126">
      <c r="A20" s="448"/>
      <c r="B20" s="451"/>
      <c r="C20" s="451"/>
      <c r="D20" s="456"/>
      <c r="E20" s="185" t="s">
        <v>65</v>
      </c>
      <c r="F20" s="66" t="e">
        <f>SUM('BESS 12'!S29,'BESS 12'!S31,'BESS 12'!S32,'BESS 12'!S35:S37)</f>
        <v>#VALUE!</v>
      </c>
      <c r="G20" s="182">
        <f ca="1">TODAY()</f>
        <v>46233</v>
      </c>
      <c r="H20" s="162">
        <f ca="1">G20</f>
        <v>46233</v>
      </c>
      <c r="I20" s="66">
        <f t="shared" ca="1" si="146"/>
        <v>0</v>
      </c>
      <c r="J20" s="453"/>
      <c r="K20" s="507"/>
      <c r="L20" s="476"/>
      <c r="M20" s="65" t="str">
        <f t="shared" ca="1" si="147"/>
        <v>-</v>
      </c>
      <c r="N20" s="65" t="str">
        <f t="shared" ca="1" si="147"/>
        <v>-</v>
      </c>
      <c r="O20" s="65" t="str">
        <f t="shared" ca="1" si="147"/>
        <v>-</v>
      </c>
      <c r="P20" s="65" t="str">
        <f t="shared" ca="1" si="147"/>
        <v>-</v>
      </c>
      <c r="Q20" s="65" t="str">
        <f t="shared" ca="1" si="147"/>
        <v>-</v>
      </c>
      <c r="R20" s="65" t="str">
        <f t="shared" ca="1" si="147"/>
        <v>-</v>
      </c>
      <c r="S20" s="65" t="str">
        <f t="shared" ca="1" si="147"/>
        <v>-</v>
      </c>
      <c r="T20" s="65" t="str">
        <f t="shared" ca="1" si="147"/>
        <v>-</v>
      </c>
      <c r="U20" s="65" t="str">
        <f t="shared" ca="1" si="147"/>
        <v>-</v>
      </c>
      <c r="V20" s="65" t="str">
        <f t="shared" ca="1" si="147"/>
        <v>-</v>
      </c>
      <c r="W20" s="65" t="str">
        <f t="shared" ca="1" si="147"/>
        <v>-</v>
      </c>
      <c r="X20" s="65" t="str">
        <f t="shared" ca="1" si="147"/>
        <v>-</v>
      </c>
      <c r="Y20" s="65" t="str">
        <f t="shared" ca="1" si="147"/>
        <v>-</v>
      </c>
      <c r="Z20" s="65" t="str">
        <f t="shared" ca="1" si="147"/>
        <v>-</v>
      </c>
      <c r="AA20" s="65" t="str">
        <f t="shared" ca="1" si="147"/>
        <v>-</v>
      </c>
      <c r="AB20" s="65" t="str">
        <f t="shared" ca="1" si="147"/>
        <v>-</v>
      </c>
      <c r="AC20" s="65" t="str">
        <f t="shared" ca="1" si="148"/>
        <v>-</v>
      </c>
      <c r="AD20" s="65" t="str">
        <f t="shared" ca="1" si="148"/>
        <v>-</v>
      </c>
      <c r="AE20" s="65" t="str">
        <f t="shared" ca="1" si="148"/>
        <v>-</v>
      </c>
      <c r="AF20" s="65" t="str">
        <f t="shared" ca="1" si="148"/>
        <v>-</v>
      </c>
      <c r="AG20" s="65" t="str">
        <f t="shared" ca="1" si="148"/>
        <v>-</v>
      </c>
      <c r="AH20" s="65" t="str">
        <f t="shared" ca="1" si="148"/>
        <v>-</v>
      </c>
      <c r="AI20" s="65" t="str">
        <f t="shared" ca="1" si="148"/>
        <v>-</v>
      </c>
      <c r="AJ20" s="65" t="str">
        <f t="shared" ca="1" si="148"/>
        <v>-</v>
      </c>
      <c r="AK20" s="65" t="str">
        <f t="shared" ca="1" si="148"/>
        <v>-</v>
      </c>
      <c r="AL20" s="65" t="str">
        <f t="shared" ca="1" si="148"/>
        <v>-</v>
      </c>
      <c r="AM20" s="65" t="str">
        <f t="shared" ca="1" si="148"/>
        <v>-</v>
      </c>
      <c r="AN20" s="65" t="str">
        <f t="shared" ca="1" si="148"/>
        <v>-</v>
      </c>
      <c r="AO20" s="65" t="str">
        <f t="shared" ca="1" si="148"/>
        <v>-</v>
      </c>
      <c r="AP20" s="65" t="str">
        <f t="shared" ca="1" si="148"/>
        <v>-</v>
      </c>
      <c r="AQ20" s="65" t="str">
        <f t="shared" ca="1" si="148"/>
        <v>-</v>
      </c>
      <c r="AR20" s="65" t="str">
        <f t="shared" ca="1" si="148"/>
        <v>-</v>
      </c>
      <c r="AS20" s="65" t="str">
        <f t="shared" ca="1" si="149"/>
        <v>-</v>
      </c>
      <c r="AT20" s="65" t="str">
        <f t="shared" ca="1" si="149"/>
        <v>-</v>
      </c>
      <c r="AU20" s="65" t="str">
        <f t="shared" ca="1" si="149"/>
        <v>-</v>
      </c>
      <c r="AV20" s="65" t="str">
        <f t="shared" ca="1" si="149"/>
        <v>-</v>
      </c>
      <c r="AW20" s="65" t="str">
        <f t="shared" ca="1" si="149"/>
        <v>-</v>
      </c>
      <c r="AX20" s="65" t="str">
        <f t="shared" ca="1" si="149"/>
        <v>-</v>
      </c>
      <c r="AY20" s="65" t="str">
        <f t="shared" ca="1" si="149"/>
        <v>-</v>
      </c>
      <c r="AZ20" s="65" t="str">
        <f t="shared" ca="1" si="149"/>
        <v>-</v>
      </c>
      <c r="BA20" s="65" t="str">
        <f t="shared" ca="1" si="149"/>
        <v>-</v>
      </c>
      <c r="BB20" s="65" t="str">
        <f t="shared" ca="1" si="149"/>
        <v>-</v>
      </c>
      <c r="BC20" s="65" t="str">
        <f t="shared" ca="1" si="149"/>
        <v>-</v>
      </c>
      <c r="BD20" s="65" t="str">
        <f t="shared" ca="1" si="149"/>
        <v>-</v>
      </c>
      <c r="BE20" s="65" t="str">
        <f t="shared" ca="1" si="149"/>
        <v>-</v>
      </c>
      <c r="BF20" s="65" t="str">
        <f t="shared" ca="1" si="149"/>
        <v>-</v>
      </c>
      <c r="BG20" s="65" t="str">
        <f t="shared" ca="1" si="149"/>
        <v>-</v>
      </c>
      <c r="BH20" s="65" t="str">
        <f t="shared" ca="1" si="149"/>
        <v>-</v>
      </c>
      <c r="BI20" s="65" t="str">
        <f t="shared" ca="1" si="150"/>
        <v>-</v>
      </c>
      <c r="BJ20" s="65" t="str">
        <f t="shared" ca="1" si="150"/>
        <v>-</v>
      </c>
      <c r="BK20" s="65" t="str">
        <f t="shared" ca="1" si="150"/>
        <v>-</v>
      </c>
      <c r="BL20" s="65" t="str">
        <f t="shared" ca="1" si="150"/>
        <v>-</v>
      </c>
      <c r="BM20" s="65" t="str">
        <f t="shared" ca="1" si="150"/>
        <v>-</v>
      </c>
      <c r="BN20" s="65" t="str">
        <f t="shared" ca="1" si="150"/>
        <v>-</v>
      </c>
      <c r="BO20" s="65" t="str">
        <f t="shared" ca="1" si="150"/>
        <v>-</v>
      </c>
      <c r="BP20" s="65" t="str">
        <f t="shared" ca="1" si="150"/>
        <v>-</v>
      </c>
      <c r="BQ20" s="65" t="str">
        <f t="shared" ca="1" si="150"/>
        <v>-</v>
      </c>
      <c r="BR20" s="65" t="str">
        <f t="shared" ca="1" si="150"/>
        <v>-</v>
      </c>
      <c r="BS20" s="65" t="str">
        <f t="shared" ca="1" si="150"/>
        <v>-</v>
      </c>
      <c r="BT20" s="65" t="str">
        <f t="shared" ca="1" si="150"/>
        <v>-</v>
      </c>
      <c r="BU20" s="65" t="str">
        <f t="shared" ca="1" si="150"/>
        <v>-</v>
      </c>
      <c r="BV20" s="65" t="str">
        <f t="shared" ca="1" si="150"/>
        <v>-</v>
      </c>
      <c r="BW20" s="65" t="str">
        <f t="shared" ca="1" si="150"/>
        <v>-</v>
      </c>
      <c r="BX20" s="65" t="str">
        <f t="shared" ca="1" si="150"/>
        <v>-</v>
      </c>
      <c r="BY20" s="65" t="str">
        <f t="shared" ca="1" si="151"/>
        <v>-</v>
      </c>
      <c r="BZ20" s="65" t="str">
        <f t="shared" ca="1" si="151"/>
        <v>-</v>
      </c>
      <c r="CA20" s="65" t="str">
        <f t="shared" ca="1" si="151"/>
        <v>-</v>
      </c>
      <c r="CB20" s="65" t="str">
        <f t="shared" ca="1" si="151"/>
        <v>-</v>
      </c>
      <c r="CC20" s="65" t="str">
        <f t="shared" ca="1" si="151"/>
        <v>-</v>
      </c>
      <c r="CD20" s="65" t="str">
        <f t="shared" ca="1" si="151"/>
        <v>-</v>
      </c>
      <c r="CE20" s="65" t="str">
        <f t="shared" ca="1" si="151"/>
        <v>-</v>
      </c>
      <c r="CF20" s="65" t="str">
        <f t="shared" ca="1" si="151"/>
        <v>-</v>
      </c>
      <c r="CG20" s="65" t="str">
        <f t="shared" ca="1" si="151"/>
        <v>-</v>
      </c>
      <c r="CH20" s="65" t="str">
        <f t="shared" ca="1" si="151"/>
        <v>-</v>
      </c>
      <c r="CI20" s="65" t="str">
        <f t="shared" ca="1" si="151"/>
        <v>-</v>
      </c>
      <c r="CJ20" s="65" t="str">
        <f t="shared" ca="1" si="151"/>
        <v>-</v>
      </c>
      <c r="CK20" s="65" t="str">
        <f t="shared" ca="1" si="151"/>
        <v>-</v>
      </c>
      <c r="CL20" s="65" t="str">
        <f t="shared" ca="1" si="151"/>
        <v>-</v>
      </c>
      <c r="CM20" s="65" t="str">
        <f t="shared" ca="1" si="151"/>
        <v>-</v>
      </c>
      <c r="CN20" s="65" t="str">
        <f t="shared" ca="1" si="151"/>
        <v>-</v>
      </c>
      <c r="CO20" s="65" t="str">
        <f t="shared" ca="1" si="152"/>
        <v>-</v>
      </c>
      <c r="CP20" s="65" t="str">
        <f t="shared" ca="1" si="152"/>
        <v>-</v>
      </c>
      <c r="CQ20" s="65" t="str">
        <f t="shared" ca="1" si="152"/>
        <v>-</v>
      </c>
      <c r="CR20" s="65" t="str">
        <f t="shared" ca="1" si="152"/>
        <v>-</v>
      </c>
      <c r="CS20" s="65" t="str">
        <f t="shared" ca="1" si="152"/>
        <v>-</v>
      </c>
      <c r="CT20" s="65" t="str">
        <f t="shared" ca="1" si="152"/>
        <v>-</v>
      </c>
      <c r="CU20" s="65" t="str">
        <f t="shared" ca="1" si="153"/>
        <v>-</v>
      </c>
      <c r="CV20" s="65" t="str">
        <f t="shared" ca="1" si="153"/>
        <v>-</v>
      </c>
      <c r="CW20" s="65" t="str">
        <f t="shared" ca="1" si="153"/>
        <v>-</v>
      </c>
      <c r="CX20" s="65" t="str">
        <f t="shared" ca="1" si="153"/>
        <v>-</v>
      </c>
      <c r="CY20" s="65" t="str">
        <f t="shared" ca="1" si="153"/>
        <v>-</v>
      </c>
      <c r="CZ20" s="65" t="str">
        <f t="shared" ca="1" si="153"/>
        <v>-</v>
      </c>
      <c r="DA20" s="65" t="str">
        <f t="shared" ca="1" si="153"/>
        <v>-</v>
      </c>
      <c r="DB20" s="65" t="str">
        <f t="shared" ca="1" si="153"/>
        <v>-</v>
      </c>
      <c r="DC20" s="65" t="str">
        <f t="shared" ca="1" si="153"/>
        <v>-</v>
      </c>
      <c r="DD20" s="65" t="str">
        <f t="shared" ca="1" si="153"/>
        <v>-</v>
      </c>
      <c r="DE20" s="65" t="str">
        <f t="shared" ca="1" si="153"/>
        <v>-</v>
      </c>
      <c r="DF20" s="65" t="str">
        <f t="shared" ca="1" si="153"/>
        <v>-</v>
      </c>
      <c r="DG20" s="65" t="str">
        <f t="shared" ca="1" si="153"/>
        <v>-</v>
      </c>
      <c r="DH20" s="65" t="str">
        <f t="shared" ca="1" si="153"/>
        <v>-</v>
      </c>
      <c r="DI20" s="65" t="str">
        <f t="shared" ca="1" si="153"/>
        <v>-</v>
      </c>
      <c r="DJ20" s="65" t="str">
        <f t="shared" ca="1" si="153"/>
        <v>-</v>
      </c>
      <c r="DK20" s="65" t="str">
        <f t="shared" ca="1" si="153"/>
        <v>-</v>
      </c>
      <c r="DL20" s="65" t="str">
        <f t="shared" ca="1" si="153"/>
        <v>-</v>
      </c>
      <c r="DM20" s="65" t="str">
        <f t="shared" ca="1" si="153"/>
        <v>-</v>
      </c>
      <c r="DN20" s="65" t="str">
        <f t="shared" ca="1" si="153"/>
        <v>-</v>
      </c>
      <c r="DO20" s="65" t="str">
        <f t="shared" ca="1" si="153"/>
        <v>-</v>
      </c>
      <c r="DP20" s="65" t="str">
        <f t="shared" ca="1" si="153"/>
        <v>-</v>
      </c>
      <c r="DQ20" s="65" t="str">
        <f t="shared" ca="1" si="153"/>
        <v>-</v>
      </c>
      <c r="DR20" s="65" t="str">
        <f t="shared" ca="1" si="153"/>
        <v>-</v>
      </c>
      <c r="DS20" s="65" t="str">
        <f t="shared" ca="1" si="153"/>
        <v>-</v>
      </c>
      <c r="DT20" s="65" t="str">
        <f t="shared" ca="1" si="153"/>
        <v>-</v>
      </c>
      <c r="DU20" s="65" t="str">
        <f t="shared" ca="1" si="153"/>
        <v>-</v>
      </c>
      <c r="DV20" s="65" t="str">
        <f t="shared" ca="1" si="153"/>
        <v>-</v>
      </c>
    </row>
    <row r="21" spans="1:126">
      <c r="A21" s="448"/>
      <c r="B21" s="451"/>
      <c r="C21" s="451"/>
      <c r="D21" s="456"/>
      <c r="E21" s="185" t="s">
        <v>66</v>
      </c>
      <c r="F21" s="66" t="e">
        <f>SUM('BESS 12'!S30,'BESS 12'!S33:S34,'BESS 12'!S38:S39)</f>
        <v>#VALUE!</v>
      </c>
      <c r="G21" s="182">
        <f ca="1">TODAY()</f>
        <v>46233</v>
      </c>
      <c r="H21" s="162">
        <f ca="1">G21</f>
        <v>46233</v>
      </c>
      <c r="I21" s="66">
        <f t="shared" ca="1" si="146"/>
        <v>0</v>
      </c>
      <c r="J21" s="453"/>
      <c r="K21" s="507"/>
      <c r="L21" s="476"/>
      <c r="M21" s="65" t="str">
        <f t="shared" ca="1" si="147"/>
        <v>-</v>
      </c>
      <c r="N21" s="65" t="str">
        <f t="shared" ca="1" si="147"/>
        <v>-</v>
      </c>
      <c r="O21" s="65" t="str">
        <f t="shared" ca="1" si="147"/>
        <v>-</v>
      </c>
      <c r="P21" s="65" t="str">
        <f t="shared" ca="1" si="147"/>
        <v>-</v>
      </c>
      <c r="Q21" s="65" t="str">
        <f t="shared" ca="1" si="147"/>
        <v>-</v>
      </c>
      <c r="R21" s="65" t="str">
        <f t="shared" ca="1" si="147"/>
        <v>-</v>
      </c>
      <c r="S21" s="65" t="str">
        <f t="shared" ca="1" si="147"/>
        <v>-</v>
      </c>
      <c r="T21" s="65" t="str">
        <f t="shared" ca="1" si="147"/>
        <v>-</v>
      </c>
      <c r="U21" s="65" t="str">
        <f t="shared" ca="1" si="147"/>
        <v>-</v>
      </c>
      <c r="V21" s="65" t="str">
        <f t="shared" ca="1" si="147"/>
        <v>-</v>
      </c>
      <c r="W21" s="65" t="str">
        <f t="shared" ca="1" si="147"/>
        <v>-</v>
      </c>
      <c r="X21" s="65" t="str">
        <f t="shared" ca="1" si="147"/>
        <v>-</v>
      </c>
      <c r="Y21" s="65" t="str">
        <f t="shared" ca="1" si="147"/>
        <v>-</v>
      </c>
      <c r="Z21" s="65" t="str">
        <f t="shared" ca="1" si="147"/>
        <v>-</v>
      </c>
      <c r="AA21" s="65" t="str">
        <f t="shared" ca="1" si="147"/>
        <v>-</v>
      </c>
      <c r="AB21" s="65" t="str">
        <f t="shared" ca="1" si="147"/>
        <v>-</v>
      </c>
      <c r="AC21" s="65" t="str">
        <f t="shared" ca="1" si="148"/>
        <v>-</v>
      </c>
      <c r="AD21" s="65" t="str">
        <f t="shared" ca="1" si="148"/>
        <v>-</v>
      </c>
      <c r="AE21" s="65" t="str">
        <f t="shared" ca="1" si="148"/>
        <v>-</v>
      </c>
      <c r="AF21" s="65" t="str">
        <f t="shared" ca="1" si="148"/>
        <v>-</v>
      </c>
      <c r="AG21" s="65" t="str">
        <f t="shared" ca="1" si="148"/>
        <v>-</v>
      </c>
      <c r="AH21" s="65" t="str">
        <f t="shared" ca="1" si="148"/>
        <v>-</v>
      </c>
      <c r="AI21" s="65" t="str">
        <f t="shared" ca="1" si="148"/>
        <v>-</v>
      </c>
      <c r="AJ21" s="65" t="str">
        <f t="shared" ca="1" si="148"/>
        <v>-</v>
      </c>
      <c r="AK21" s="65" t="str">
        <f t="shared" ca="1" si="148"/>
        <v>-</v>
      </c>
      <c r="AL21" s="65" t="str">
        <f t="shared" ca="1" si="148"/>
        <v>-</v>
      </c>
      <c r="AM21" s="65" t="str">
        <f t="shared" ca="1" si="148"/>
        <v>-</v>
      </c>
      <c r="AN21" s="65" t="str">
        <f t="shared" ca="1" si="148"/>
        <v>-</v>
      </c>
      <c r="AO21" s="65" t="str">
        <f t="shared" ca="1" si="148"/>
        <v>-</v>
      </c>
      <c r="AP21" s="65" t="str">
        <f t="shared" ca="1" si="148"/>
        <v>-</v>
      </c>
      <c r="AQ21" s="65" t="str">
        <f t="shared" ca="1" si="148"/>
        <v>-</v>
      </c>
      <c r="AR21" s="65" t="str">
        <f t="shared" ca="1" si="148"/>
        <v>-</v>
      </c>
      <c r="AS21" s="65" t="str">
        <f t="shared" ca="1" si="149"/>
        <v>-</v>
      </c>
      <c r="AT21" s="65" t="str">
        <f t="shared" ca="1" si="149"/>
        <v>-</v>
      </c>
      <c r="AU21" s="65" t="str">
        <f t="shared" ca="1" si="149"/>
        <v>-</v>
      </c>
      <c r="AV21" s="65" t="str">
        <f t="shared" ca="1" si="149"/>
        <v>-</v>
      </c>
      <c r="AW21" s="65" t="str">
        <f t="shared" ca="1" si="149"/>
        <v>-</v>
      </c>
      <c r="AX21" s="65" t="str">
        <f t="shared" ca="1" si="149"/>
        <v>-</v>
      </c>
      <c r="AY21" s="65" t="str">
        <f t="shared" ca="1" si="149"/>
        <v>-</v>
      </c>
      <c r="AZ21" s="65" t="str">
        <f t="shared" ca="1" si="149"/>
        <v>-</v>
      </c>
      <c r="BA21" s="65" t="str">
        <f t="shared" ca="1" si="149"/>
        <v>-</v>
      </c>
      <c r="BB21" s="65" t="str">
        <f t="shared" ca="1" si="149"/>
        <v>-</v>
      </c>
      <c r="BC21" s="65" t="str">
        <f t="shared" ca="1" si="149"/>
        <v>-</v>
      </c>
      <c r="BD21" s="65" t="str">
        <f t="shared" ca="1" si="149"/>
        <v>-</v>
      </c>
      <c r="BE21" s="65" t="str">
        <f t="shared" ca="1" si="149"/>
        <v>-</v>
      </c>
      <c r="BF21" s="65" t="str">
        <f t="shared" ca="1" si="149"/>
        <v>-</v>
      </c>
      <c r="BG21" s="65" t="str">
        <f t="shared" ca="1" si="149"/>
        <v>-</v>
      </c>
      <c r="BH21" s="65" t="str">
        <f t="shared" ca="1" si="149"/>
        <v>-</v>
      </c>
      <c r="BI21" s="65" t="str">
        <f t="shared" ca="1" si="150"/>
        <v>-</v>
      </c>
      <c r="BJ21" s="65" t="str">
        <f t="shared" ca="1" si="150"/>
        <v>-</v>
      </c>
      <c r="BK21" s="65" t="str">
        <f t="shared" ca="1" si="150"/>
        <v>-</v>
      </c>
      <c r="BL21" s="65" t="str">
        <f t="shared" ca="1" si="150"/>
        <v>-</v>
      </c>
      <c r="BM21" s="65" t="str">
        <f t="shared" ca="1" si="150"/>
        <v>-</v>
      </c>
      <c r="BN21" s="65" t="str">
        <f t="shared" ca="1" si="150"/>
        <v>-</v>
      </c>
      <c r="BO21" s="65" t="str">
        <f t="shared" ca="1" si="150"/>
        <v>-</v>
      </c>
      <c r="BP21" s="65" t="str">
        <f t="shared" ca="1" si="150"/>
        <v>-</v>
      </c>
      <c r="BQ21" s="65" t="str">
        <f t="shared" ca="1" si="150"/>
        <v>-</v>
      </c>
      <c r="BR21" s="65" t="str">
        <f t="shared" ca="1" si="150"/>
        <v>-</v>
      </c>
      <c r="BS21" s="65" t="str">
        <f t="shared" ca="1" si="150"/>
        <v>-</v>
      </c>
      <c r="BT21" s="65" t="str">
        <f t="shared" ca="1" si="150"/>
        <v>-</v>
      </c>
      <c r="BU21" s="65" t="str">
        <f t="shared" ca="1" si="150"/>
        <v>-</v>
      </c>
      <c r="BV21" s="65" t="str">
        <f t="shared" ca="1" si="150"/>
        <v>-</v>
      </c>
      <c r="BW21" s="65" t="str">
        <f t="shared" ca="1" si="150"/>
        <v>-</v>
      </c>
      <c r="BX21" s="65" t="str">
        <f t="shared" ca="1" si="150"/>
        <v>-</v>
      </c>
      <c r="BY21" s="65" t="str">
        <f t="shared" ca="1" si="151"/>
        <v>-</v>
      </c>
      <c r="BZ21" s="65" t="str">
        <f t="shared" ca="1" si="151"/>
        <v>-</v>
      </c>
      <c r="CA21" s="65" t="str">
        <f t="shared" ca="1" si="151"/>
        <v>-</v>
      </c>
      <c r="CB21" s="65" t="str">
        <f t="shared" ca="1" si="151"/>
        <v>-</v>
      </c>
      <c r="CC21" s="65" t="str">
        <f t="shared" ca="1" si="151"/>
        <v>-</v>
      </c>
      <c r="CD21" s="65" t="str">
        <f t="shared" ca="1" si="151"/>
        <v>-</v>
      </c>
      <c r="CE21" s="65" t="str">
        <f t="shared" ca="1" si="151"/>
        <v>-</v>
      </c>
      <c r="CF21" s="65" t="str">
        <f t="shared" ca="1" si="151"/>
        <v>-</v>
      </c>
      <c r="CG21" s="65" t="str">
        <f t="shared" ca="1" si="151"/>
        <v>-</v>
      </c>
      <c r="CH21" s="65" t="str">
        <f t="shared" ca="1" si="151"/>
        <v>-</v>
      </c>
      <c r="CI21" s="65" t="str">
        <f t="shared" ca="1" si="151"/>
        <v>-</v>
      </c>
      <c r="CJ21" s="65" t="str">
        <f t="shared" ca="1" si="151"/>
        <v>-</v>
      </c>
      <c r="CK21" s="65" t="str">
        <f t="shared" ca="1" si="151"/>
        <v>-</v>
      </c>
      <c r="CL21" s="65" t="str">
        <f t="shared" ca="1" si="151"/>
        <v>-</v>
      </c>
      <c r="CM21" s="65" t="str">
        <f t="shared" ca="1" si="151"/>
        <v>-</v>
      </c>
      <c r="CN21" s="65" t="str">
        <f t="shared" ca="1" si="151"/>
        <v>-</v>
      </c>
      <c r="CO21" s="65" t="str">
        <f t="shared" ca="1" si="152"/>
        <v>-</v>
      </c>
      <c r="CP21" s="65" t="str">
        <f t="shared" ca="1" si="152"/>
        <v>-</v>
      </c>
      <c r="CQ21" s="65" t="str">
        <f t="shared" ca="1" si="152"/>
        <v>-</v>
      </c>
      <c r="CR21" s="65" t="str">
        <f t="shared" ca="1" si="152"/>
        <v>-</v>
      </c>
      <c r="CS21" s="65" t="str">
        <f t="shared" ca="1" si="152"/>
        <v>-</v>
      </c>
      <c r="CT21" s="65" t="str">
        <f t="shared" ca="1" si="152"/>
        <v>-</v>
      </c>
      <c r="CU21" s="65" t="str">
        <f t="shared" ca="1" si="153"/>
        <v>-</v>
      </c>
      <c r="CV21" s="65" t="str">
        <f t="shared" ca="1" si="153"/>
        <v>-</v>
      </c>
      <c r="CW21" s="65" t="str">
        <f t="shared" ca="1" si="153"/>
        <v>-</v>
      </c>
      <c r="CX21" s="65" t="str">
        <f t="shared" ca="1" si="153"/>
        <v>-</v>
      </c>
      <c r="CY21" s="65" t="str">
        <f t="shared" ca="1" si="153"/>
        <v>-</v>
      </c>
      <c r="CZ21" s="65" t="str">
        <f t="shared" ca="1" si="153"/>
        <v>-</v>
      </c>
      <c r="DA21" s="65" t="str">
        <f t="shared" ca="1" si="153"/>
        <v>-</v>
      </c>
      <c r="DB21" s="65" t="str">
        <f t="shared" ca="1" si="153"/>
        <v>-</v>
      </c>
      <c r="DC21" s="65" t="str">
        <f t="shared" ca="1" si="153"/>
        <v>-</v>
      </c>
      <c r="DD21" s="65" t="str">
        <f t="shared" ca="1" si="153"/>
        <v>-</v>
      </c>
      <c r="DE21" s="65" t="str">
        <f t="shared" ca="1" si="153"/>
        <v>-</v>
      </c>
      <c r="DF21" s="65" t="str">
        <f t="shared" ca="1" si="153"/>
        <v>-</v>
      </c>
      <c r="DG21" s="65" t="str">
        <f t="shared" ca="1" si="153"/>
        <v>-</v>
      </c>
      <c r="DH21" s="65" t="str">
        <f t="shared" ca="1" si="153"/>
        <v>-</v>
      </c>
      <c r="DI21" s="65" t="str">
        <f t="shared" ca="1" si="153"/>
        <v>-</v>
      </c>
      <c r="DJ21" s="65" t="str">
        <f t="shared" ca="1" si="153"/>
        <v>-</v>
      </c>
      <c r="DK21" s="65" t="str">
        <f t="shared" ca="1" si="153"/>
        <v>-</v>
      </c>
      <c r="DL21" s="65" t="str">
        <f t="shared" ca="1" si="153"/>
        <v>-</v>
      </c>
      <c r="DM21" s="65" t="str">
        <f t="shared" ca="1" si="153"/>
        <v>-</v>
      </c>
      <c r="DN21" s="65" t="str">
        <f t="shared" ca="1" si="153"/>
        <v>-</v>
      </c>
      <c r="DO21" s="65" t="str">
        <f t="shared" ca="1" si="153"/>
        <v>-</v>
      </c>
      <c r="DP21" s="65" t="str">
        <f t="shared" ca="1" si="153"/>
        <v>-</v>
      </c>
      <c r="DQ21" s="65" t="str">
        <f t="shared" ca="1" si="153"/>
        <v>-</v>
      </c>
      <c r="DR21" s="65" t="str">
        <f t="shared" ca="1" si="153"/>
        <v>-</v>
      </c>
      <c r="DS21" s="65" t="str">
        <f t="shared" ca="1" si="153"/>
        <v>-</v>
      </c>
      <c r="DT21" s="65" t="str">
        <f t="shared" ca="1" si="153"/>
        <v>-</v>
      </c>
      <c r="DU21" s="65" t="str">
        <f t="shared" ca="1" si="153"/>
        <v>-</v>
      </c>
      <c r="DV21" s="65" t="str">
        <f t="shared" ca="1" si="153"/>
        <v>-</v>
      </c>
    </row>
    <row r="22" spans="1:126">
      <c r="A22" s="448"/>
      <c r="B22" s="451"/>
      <c r="C22" s="451"/>
      <c r="D22" s="456"/>
      <c r="E22" s="185" t="s">
        <v>67</v>
      </c>
      <c r="F22" s="66" t="e">
        <f>SUM('BESS 12'!S43:S50)</f>
        <v>#VALUE!</v>
      </c>
      <c r="G22" s="182">
        <f ca="1">TODAY()</f>
        <v>46233</v>
      </c>
      <c r="H22" s="162">
        <f ca="1">G22</f>
        <v>46233</v>
      </c>
      <c r="I22" s="66">
        <f t="shared" ca="1" si="146"/>
        <v>0</v>
      </c>
      <c r="J22" s="453"/>
      <c r="K22" s="507"/>
      <c r="L22" s="476"/>
      <c r="M22" s="65" t="str">
        <f t="shared" ca="1" si="147"/>
        <v>-</v>
      </c>
      <c r="N22" s="65" t="str">
        <f t="shared" ca="1" si="147"/>
        <v>-</v>
      </c>
      <c r="O22" s="65" t="str">
        <f t="shared" ca="1" si="147"/>
        <v>-</v>
      </c>
      <c r="P22" s="65" t="str">
        <f t="shared" ca="1" si="147"/>
        <v>-</v>
      </c>
      <c r="Q22" s="65" t="str">
        <f t="shared" ca="1" si="147"/>
        <v>-</v>
      </c>
      <c r="R22" s="65" t="str">
        <f t="shared" ca="1" si="147"/>
        <v>-</v>
      </c>
      <c r="S22" s="65" t="str">
        <f t="shared" ca="1" si="147"/>
        <v>-</v>
      </c>
      <c r="T22" s="65" t="str">
        <f t="shared" ca="1" si="147"/>
        <v>-</v>
      </c>
      <c r="U22" s="65" t="str">
        <f t="shared" ca="1" si="147"/>
        <v>-</v>
      </c>
      <c r="V22" s="65" t="str">
        <f t="shared" ca="1" si="147"/>
        <v>-</v>
      </c>
      <c r="W22" s="65" t="str">
        <f t="shared" ca="1" si="147"/>
        <v>-</v>
      </c>
      <c r="X22" s="65" t="str">
        <f t="shared" ca="1" si="147"/>
        <v>-</v>
      </c>
      <c r="Y22" s="65" t="str">
        <f t="shared" ca="1" si="147"/>
        <v>-</v>
      </c>
      <c r="Z22" s="65" t="str">
        <f t="shared" ca="1" si="147"/>
        <v>-</v>
      </c>
      <c r="AA22" s="65" t="str">
        <f t="shared" ca="1" si="147"/>
        <v>-</v>
      </c>
      <c r="AB22" s="65" t="str">
        <f t="shared" ca="1" si="147"/>
        <v>-</v>
      </c>
      <c r="AC22" s="65" t="str">
        <f t="shared" ca="1" si="148"/>
        <v>-</v>
      </c>
      <c r="AD22" s="65" t="str">
        <f t="shared" ca="1" si="148"/>
        <v>-</v>
      </c>
      <c r="AE22" s="65" t="str">
        <f t="shared" ca="1" si="148"/>
        <v>-</v>
      </c>
      <c r="AF22" s="65" t="str">
        <f t="shared" ca="1" si="148"/>
        <v>-</v>
      </c>
      <c r="AG22" s="65" t="str">
        <f t="shared" ca="1" si="148"/>
        <v>-</v>
      </c>
      <c r="AH22" s="65" t="str">
        <f t="shared" ca="1" si="148"/>
        <v>-</v>
      </c>
      <c r="AI22" s="65" t="str">
        <f t="shared" ca="1" si="148"/>
        <v>-</v>
      </c>
      <c r="AJ22" s="65" t="str">
        <f t="shared" ca="1" si="148"/>
        <v>-</v>
      </c>
      <c r="AK22" s="65" t="str">
        <f t="shared" ca="1" si="148"/>
        <v>-</v>
      </c>
      <c r="AL22" s="65" t="str">
        <f t="shared" ca="1" si="148"/>
        <v>-</v>
      </c>
      <c r="AM22" s="65" t="str">
        <f t="shared" ca="1" si="148"/>
        <v>-</v>
      </c>
      <c r="AN22" s="65" t="str">
        <f t="shared" ca="1" si="148"/>
        <v>-</v>
      </c>
      <c r="AO22" s="65" t="str">
        <f t="shared" ca="1" si="148"/>
        <v>-</v>
      </c>
      <c r="AP22" s="65" t="str">
        <f t="shared" ca="1" si="148"/>
        <v>-</v>
      </c>
      <c r="AQ22" s="65" t="str">
        <f t="shared" ca="1" si="148"/>
        <v>-</v>
      </c>
      <c r="AR22" s="65" t="str">
        <f t="shared" ca="1" si="148"/>
        <v>-</v>
      </c>
      <c r="AS22" s="65" t="str">
        <f t="shared" ca="1" si="149"/>
        <v>-</v>
      </c>
      <c r="AT22" s="65" t="str">
        <f t="shared" ca="1" si="149"/>
        <v>-</v>
      </c>
      <c r="AU22" s="65" t="str">
        <f t="shared" ca="1" si="149"/>
        <v>-</v>
      </c>
      <c r="AV22" s="65" t="str">
        <f t="shared" ca="1" si="149"/>
        <v>-</v>
      </c>
      <c r="AW22" s="65" t="str">
        <f t="shared" ca="1" si="149"/>
        <v>-</v>
      </c>
      <c r="AX22" s="65" t="str">
        <f t="shared" ca="1" si="149"/>
        <v>-</v>
      </c>
      <c r="AY22" s="65" t="str">
        <f t="shared" ca="1" si="149"/>
        <v>-</v>
      </c>
      <c r="AZ22" s="65" t="str">
        <f t="shared" ca="1" si="149"/>
        <v>-</v>
      </c>
      <c r="BA22" s="65" t="str">
        <f t="shared" ca="1" si="149"/>
        <v>-</v>
      </c>
      <c r="BB22" s="65" t="str">
        <f t="shared" ca="1" si="149"/>
        <v>-</v>
      </c>
      <c r="BC22" s="65" t="str">
        <f t="shared" ca="1" si="149"/>
        <v>-</v>
      </c>
      <c r="BD22" s="65" t="str">
        <f t="shared" ca="1" si="149"/>
        <v>-</v>
      </c>
      <c r="BE22" s="65" t="str">
        <f t="shared" ca="1" si="149"/>
        <v>-</v>
      </c>
      <c r="BF22" s="65" t="str">
        <f t="shared" ca="1" si="149"/>
        <v>-</v>
      </c>
      <c r="BG22" s="65" t="str">
        <f t="shared" ca="1" si="149"/>
        <v>-</v>
      </c>
      <c r="BH22" s="65" t="str">
        <f t="shared" ca="1" si="149"/>
        <v>-</v>
      </c>
      <c r="BI22" s="65" t="str">
        <f t="shared" ca="1" si="150"/>
        <v>-</v>
      </c>
      <c r="BJ22" s="65" t="str">
        <f t="shared" ca="1" si="150"/>
        <v>-</v>
      </c>
      <c r="BK22" s="65" t="str">
        <f t="shared" ca="1" si="150"/>
        <v>-</v>
      </c>
      <c r="BL22" s="65" t="str">
        <f t="shared" ca="1" si="150"/>
        <v>-</v>
      </c>
      <c r="BM22" s="65" t="str">
        <f t="shared" ca="1" si="150"/>
        <v>-</v>
      </c>
      <c r="BN22" s="65" t="str">
        <f t="shared" ca="1" si="150"/>
        <v>-</v>
      </c>
      <c r="BO22" s="65" t="str">
        <f t="shared" ca="1" si="150"/>
        <v>-</v>
      </c>
      <c r="BP22" s="65" t="str">
        <f t="shared" ca="1" si="150"/>
        <v>-</v>
      </c>
      <c r="BQ22" s="65" t="str">
        <f t="shared" ca="1" si="150"/>
        <v>-</v>
      </c>
      <c r="BR22" s="65" t="str">
        <f t="shared" ca="1" si="150"/>
        <v>-</v>
      </c>
      <c r="BS22" s="65" t="str">
        <f t="shared" ca="1" si="150"/>
        <v>-</v>
      </c>
      <c r="BT22" s="65" t="str">
        <f t="shared" ca="1" si="150"/>
        <v>-</v>
      </c>
      <c r="BU22" s="65" t="str">
        <f t="shared" ca="1" si="150"/>
        <v>-</v>
      </c>
      <c r="BV22" s="65" t="str">
        <f t="shared" ca="1" si="150"/>
        <v>-</v>
      </c>
      <c r="BW22" s="65" t="str">
        <f t="shared" ca="1" si="150"/>
        <v>-</v>
      </c>
      <c r="BX22" s="65" t="str">
        <f t="shared" ca="1" si="150"/>
        <v>-</v>
      </c>
      <c r="BY22" s="65" t="str">
        <f t="shared" ca="1" si="151"/>
        <v>-</v>
      </c>
      <c r="BZ22" s="65" t="str">
        <f t="shared" ca="1" si="151"/>
        <v>-</v>
      </c>
      <c r="CA22" s="65" t="str">
        <f t="shared" ca="1" si="151"/>
        <v>-</v>
      </c>
      <c r="CB22" s="65" t="str">
        <f t="shared" ca="1" si="151"/>
        <v>-</v>
      </c>
      <c r="CC22" s="65" t="str">
        <f t="shared" ca="1" si="151"/>
        <v>-</v>
      </c>
      <c r="CD22" s="65" t="str">
        <f t="shared" ca="1" si="151"/>
        <v>-</v>
      </c>
      <c r="CE22" s="65" t="str">
        <f t="shared" ca="1" si="151"/>
        <v>-</v>
      </c>
      <c r="CF22" s="65" t="str">
        <f t="shared" ca="1" si="151"/>
        <v>-</v>
      </c>
      <c r="CG22" s="65" t="str">
        <f t="shared" ca="1" si="151"/>
        <v>-</v>
      </c>
      <c r="CH22" s="65" t="str">
        <f t="shared" ca="1" si="151"/>
        <v>-</v>
      </c>
      <c r="CI22" s="65" t="str">
        <f t="shared" ca="1" si="151"/>
        <v>-</v>
      </c>
      <c r="CJ22" s="65" t="str">
        <f t="shared" ca="1" si="151"/>
        <v>-</v>
      </c>
      <c r="CK22" s="65" t="str">
        <f t="shared" ca="1" si="151"/>
        <v>-</v>
      </c>
      <c r="CL22" s="65" t="str">
        <f t="shared" ca="1" si="151"/>
        <v>-</v>
      </c>
      <c r="CM22" s="65" t="str">
        <f t="shared" ca="1" si="151"/>
        <v>-</v>
      </c>
      <c r="CN22" s="65" t="str">
        <f t="shared" ca="1" si="151"/>
        <v>-</v>
      </c>
      <c r="CO22" s="65" t="str">
        <f t="shared" ca="1" si="152"/>
        <v>-</v>
      </c>
      <c r="CP22" s="65" t="str">
        <f t="shared" ca="1" si="152"/>
        <v>-</v>
      </c>
      <c r="CQ22" s="65" t="str">
        <f t="shared" ca="1" si="152"/>
        <v>-</v>
      </c>
      <c r="CR22" s="65" t="str">
        <f t="shared" ca="1" si="152"/>
        <v>-</v>
      </c>
      <c r="CS22" s="65" t="str">
        <f t="shared" ca="1" si="152"/>
        <v>-</v>
      </c>
      <c r="CT22" s="65" t="str">
        <f t="shared" ca="1" si="152"/>
        <v>-</v>
      </c>
      <c r="CU22" s="65" t="str">
        <f t="shared" ca="1" si="153"/>
        <v>-</v>
      </c>
      <c r="CV22" s="65" t="str">
        <f t="shared" ca="1" si="153"/>
        <v>-</v>
      </c>
      <c r="CW22" s="65" t="str">
        <f t="shared" ca="1" si="153"/>
        <v>-</v>
      </c>
      <c r="CX22" s="65" t="str">
        <f t="shared" ca="1" si="153"/>
        <v>-</v>
      </c>
      <c r="CY22" s="65" t="str">
        <f t="shared" ca="1" si="153"/>
        <v>-</v>
      </c>
      <c r="CZ22" s="65" t="str">
        <f t="shared" ca="1" si="153"/>
        <v>-</v>
      </c>
      <c r="DA22" s="65" t="str">
        <f t="shared" ca="1" si="153"/>
        <v>-</v>
      </c>
      <c r="DB22" s="65" t="str">
        <f t="shared" ca="1" si="153"/>
        <v>-</v>
      </c>
      <c r="DC22" s="65" t="str">
        <f t="shared" ca="1" si="153"/>
        <v>-</v>
      </c>
      <c r="DD22" s="65" t="str">
        <f t="shared" ca="1" si="153"/>
        <v>-</v>
      </c>
      <c r="DE22" s="65" t="str">
        <f t="shared" ca="1" si="153"/>
        <v>-</v>
      </c>
      <c r="DF22" s="65" t="str">
        <f t="shared" ca="1" si="153"/>
        <v>-</v>
      </c>
      <c r="DG22" s="65" t="str">
        <f t="shared" ca="1" si="153"/>
        <v>-</v>
      </c>
      <c r="DH22" s="65" t="str">
        <f t="shared" ca="1" si="153"/>
        <v>-</v>
      </c>
      <c r="DI22" s="65" t="str">
        <f t="shared" ca="1" si="153"/>
        <v>-</v>
      </c>
      <c r="DJ22" s="65" t="str">
        <f t="shared" ca="1" si="153"/>
        <v>-</v>
      </c>
      <c r="DK22" s="65" t="str">
        <f t="shared" ca="1" si="153"/>
        <v>-</v>
      </c>
      <c r="DL22" s="65" t="str">
        <f t="shared" ca="1" si="153"/>
        <v>-</v>
      </c>
      <c r="DM22" s="65" t="str">
        <f t="shared" ca="1" si="153"/>
        <v>-</v>
      </c>
      <c r="DN22" s="65" t="str">
        <f t="shared" ca="1" si="153"/>
        <v>-</v>
      </c>
      <c r="DO22" s="65" t="str">
        <f t="shared" ca="1" si="153"/>
        <v>-</v>
      </c>
      <c r="DP22" s="65" t="str">
        <f t="shared" ca="1" si="153"/>
        <v>-</v>
      </c>
      <c r="DQ22" s="65" t="str">
        <f t="shared" ca="1" si="153"/>
        <v>-</v>
      </c>
      <c r="DR22" s="65" t="str">
        <f t="shared" ca="1" si="153"/>
        <v>-</v>
      </c>
      <c r="DS22" s="65" t="str">
        <f t="shared" ca="1" si="153"/>
        <v>-</v>
      </c>
      <c r="DT22" s="65" t="str">
        <f t="shared" ca="1" si="153"/>
        <v>-</v>
      </c>
      <c r="DU22" s="65" t="str">
        <f t="shared" ca="1" si="153"/>
        <v>-</v>
      </c>
      <c r="DV22" s="65" t="str">
        <f t="shared" ca="1" si="153"/>
        <v>-</v>
      </c>
    </row>
    <row r="23" spans="1:126" ht="16.5">
      <c r="A23" s="449"/>
      <c r="B23" s="452"/>
      <c r="C23" s="452"/>
      <c r="D23" s="457"/>
      <c r="E23" s="185" t="s">
        <v>68</v>
      </c>
      <c r="F23" s="65">
        <v>250</v>
      </c>
      <c r="G23" s="182"/>
      <c r="H23" s="162">
        <f>B18-3</f>
        <v>46228</v>
      </c>
      <c r="I23" s="66">
        <v>30</v>
      </c>
      <c r="J23" s="454"/>
      <c r="K23" s="508"/>
      <c r="L23" s="504"/>
      <c r="M23" s="443" t="str">
        <f>IF(AND(M$2&gt;=$B$18-26,M$2&lt;=$B$18-3),5,IF(OR(M$2=$B$18-2,M$2=$B$18-1,M$2=$B$18,M$2=$B$18+1),30,IF(OR(M$2=$B$18+2,M$2=$B$18+3),5,"")))</f>
        <v/>
      </c>
      <c r="N23" s="443" t="str">
        <f t="shared" ref="N23:BY23" si="154">IF(AND(N$2&gt;=$B$18-26,N$2&lt;=$B$18-3),5,IF(OR(N$2=$B$18-2,N$2=$B$18-1,N$2=$B$18,N$2=$B$18+1),30,IF(OR(N$2=$B$18+2,N$2=$B$18+3),5,"")))</f>
        <v/>
      </c>
      <c r="O23" s="443" t="str">
        <f t="shared" si="154"/>
        <v/>
      </c>
      <c r="P23" s="443" t="str">
        <f t="shared" si="154"/>
        <v/>
      </c>
      <c r="Q23" s="443" t="str">
        <f t="shared" si="154"/>
        <v/>
      </c>
      <c r="R23" s="443" t="str">
        <f t="shared" si="154"/>
        <v/>
      </c>
      <c r="S23" s="443" t="str">
        <f t="shared" si="154"/>
        <v/>
      </c>
      <c r="T23" s="443" t="str">
        <f t="shared" si="154"/>
        <v/>
      </c>
      <c r="U23" s="443" t="str">
        <f t="shared" si="154"/>
        <v/>
      </c>
      <c r="V23" s="443" t="str">
        <f t="shared" si="154"/>
        <v/>
      </c>
      <c r="W23" s="443">
        <f t="shared" si="154"/>
        <v>5</v>
      </c>
      <c r="X23" s="443">
        <f t="shared" si="154"/>
        <v>5</v>
      </c>
      <c r="Y23" s="443">
        <f t="shared" si="154"/>
        <v>5</v>
      </c>
      <c r="Z23" s="443">
        <f t="shared" si="154"/>
        <v>5</v>
      </c>
      <c r="AA23" s="443">
        <f t="shared" si="154"/>
        <v>5</v>
      </c>
      <c r="AB23" s="443">
        <f t="shared" si="154"/>
        <v>5</v>
      </c>
      <c r="AC23" s="443">
        <f t="shared" si="154"/>
        <v>5</v>
      </c>
      <c r="AD23" s="443">
        <f t="shared" si="154"/>
        <v>5</v>
      </c>
      <c r="AE23" s="443">
        <f t="shared" si="154"/>
        <v>5</v>
      </c>
      <c r="AF23" s="443">
        <f t="shared" si="154"/>
        <v>5</v>
      </c>
      <c r="AG23" s="443">
        <f t="shared" si="154"/>
        <v>5</v>
      </c>
      <c r="AH23" s="443">
        <f t="shared" si="154"/>
        <v>5</v>
      </c>
      <c r="AI23" s="443">
        <f t="shared" si="154"/>
        <v>5</v>
      </c>
      <c r="AJ23" s="443">
        <f t="shared" si="154"/>
        <v>5</v>
      </c>
      <c r="AK23" s="443">
        <f t="shared" si="154"/>
        <v>5</v>
      </c>
      <c r="AL23" s="443">
        <f t="shared" si="154"/>
        <v>5</v>
      </c>
      <c r="AM23" s="443">
        <f t="shared" si="154"/>
        <v>5</v>
      </c>
      <c r="AN23" s="443">
        <f t="shared" si="154"/>
        <v>5</v>
      </c>
      <c r="AO23" s="443">
        <f t="shared" si="154"/>
        <v>5</v>
      </c>
      <c r="AP23" s="443">
        <f t="shared" si="154"/>
        <v>5</v>
      </c>
      <c r="AQ23" s="443">
        <f t="shared" si="154"/>
        <v>5</v>
      </c>
      <c r="AR23" s="443">
        <f t="shared" si="154"/>
        <v>5</v>
      </c>
      <c r="AS23" s="443">
        <f t="shared" si="154"/>
        <v>5</v>
      </c>
      <c r="AT23" s="443">
        <f t="shared" si="154"/>
        <v>5</v>
      </c>
      <c r="AU23" s="443">
        <f t="shared" si="154"/>
        <v>30</v>
      </c>
      <c r="AV23" s="443">
        <f t="shared" si="154"/>
        <v>30</v>
      </c>
      <c r="AW23" s="443">
        <f t="shared" si="154"/>
        <v>30</v>
      </c>
      <c r="AX23" s="443">
        <f t="shared" si="154"/>
        <v>30</v>
      </c>
      <c r="AY23" s="443">
        <f t="shared" si="154"/>
        <v>5</v>
      </c>
      <c r="AZ23" s="443">
        <f t="shared" si="154"/>
        <v>5</v>
      </c>
      <c r="BA23" s="443" t="str">
        <f t="shared" si="154"/>
        <v/>
      </c>
      <c r="BB23" s="443" t="str">
        <f t="shared" si="154"/>
        <v/>
      </c>
      <c r="BC23" s="443" t="str">
        <f t="shared" si="154"/>
        <v/>
      </c>
      <c r="BD23" s="443" t="str">
        <f t="shared" si="154"/>
        <v/>
      </c>
      <c r="BE23" s="443" t="str">
        <f t="shared" si="154"/>
        <v/>
      </c>
      <c r="BF23" s="443" t="str">
        <f t="shared" si="154"/>
        <v/>
      </c>
      <c r="BG23" s="443" t="str">
        <f t="shared" si="154"/>
        <v/>
      </c>
      <c r="BH23" s="443" t="str">
        <f t="shared" si="154"/>
        <v/>
      </c>
      <c r="BI23" s="443" t="str">
        <f t="shared" si="154"/>
        <v/>
      </c>
      <c r="BJ23" s="443" t="str">
        <f t="shared" si="154"/>
        <v/>
      </c>
      <c r="BK23" s="443" t="str">
        <f t="shared" si="154"/>
        <v/>
      </c>
      <c r="BL23" s="443" t="str">
        <f t="shared" si="154"/>
        <v/>
      </c>
      <c r="BM23" s="443" t="str">
        <f t="shared" si="154"/>
        <v/>
      </c>
      <c r="BN23" s="443" t="str">
        <f t="shared" si="154"/>
        <v/>
      </c>
      <c r="BO23" s="443" t="str">
        <f t="shared" si="154"/>
        <v/>
      </c>
      <c r="BP23" s="443" t="str">
        <f t="shared" si="154"/>
        <v/>
      </c>
      <c r="BQ23" s="443" t="str">
        <f t="shared" si="154"/>
        <v/>
      </c>
      <c r="BR23" s="443" t="str">
        <f t="shared" si="154"/>
        <v/>
      </c>
      <c r="BS23" s="443" t="str">
        <f t="shared" si="154"/>
        <v/>
      </c>
      <c r="BT23" s="443" t="str">
        <f t="shared" si="154"/>
        <v/>
      </c>
      <c r="BU23" s="443" t="str">
        <f t="shared" si="154"/>
        <v/>
      </c>
      <c r="BV23" s="443" t="str">
        <f t="shared" si="154"/>
        <v/>
      </c>
      <c r="BW23" s="443" t="str">
        <f t="shared" si="154"/>
        <v/>
      </c>
      <c r="BX23" s="443" t="str">
        <f t="shared" si="154"/>
        <v/>
      </c>
      <c r="BY23" s="443" t="str">
        <f t="shared" si="154"/>
        <v/>
      </c>
      <c r="BZ23" s="443" t="str">
        <f t="shared" ref="BZ23:DV23" si="155">IF(AND(BZ$2&gt;=$B$18-26,BZ$2&lt;=$B$18-3),5,IF(OR(BZ$2=$B$18-2,BZ$2=$B$18-1,BZ$2=$B$18,BZ$2=$B$18+1),30,IF(OR(BZ$2=$B$18+2,BZ$2=$B$18+3),5,"")))</f>
        <v/>
      </c>
      <c r="CA23" s="443" t="str">
        <f t="shared" si="155"/>
        <v/>
      </c>
      <c r="CB23" s="443" t="str">
        <f t="shared" si="155"/>
        <v/>
      </c>
      <c r="CC23" s="443" t="str">
        <f t="shared" si="155"/>
        <v/>
      </c>
      <c r="CD23" s="443" t="str">
        <f t="shared" si="155"/>
        <v/>
      </c>
      <c r="CE23" s="443" t="str">
        <f t="shared" si="155"/>
        <v/>
      </c>
      <c r="CF23" s="443" t="str">
        <f t="shared" si="155"/>
        <v/>
      </c>
      <c r="CG23" s="443" t="str">
        <f t="shared" si="155"/>
        <v/>
      </c>
      <c r="CH23" s="443" t="str">
        <f t="shared" si="155"/>
        <v/>
      </c>
      <c r="CI23" s="443" t="str">
        <f t="shared" si="155"/>
        <v/>
      </c>
      <c r="CJ23" s="443" t="str">
        <f t="shared" si="155"/>
        <v/>
      </c>
      <c r="CK23" s="443" t="str">
        <f t="shared" si="155"/>
        <v/>
      </c>
      <c r="CL23" s="443" t="str">
        <f t="shared" si="155"/>
        <v/>
      </c>
      <c r="CM23" s="443" t="str">
        <f t="shared" si="155"/>
        <v/>
      </c>
      <c r="CN23" s="443" t="str">
        <f t="shared" si="155"/>
        <v/>
      </c>
      <c r="CO23" s="443" t="str">
        <f t="shared" si="155"/>
        <v/>
      </c>
      <c r="CP23" s="443" t="str">
        <f t="shared" si="155"/>
        <v/>
      </c>
      <c r="CQ23" s="443" t="str">
        <f t="shared" si="155"/>
        <v/>
      </c>
      <c r="CR23" s="443" t="str">
        <f t="shared" si="155"/>
        <v/>
      </c>
      <c r="CS23" s="443" t="str">
        <f t="shared" si="155"/>
        <v/>
      </c>
      <c r="CT23" s="443" t="str">
        <f t="shared" si="155"/>
        <v/>
      </c>
      <c r="CU23" s="443" t="str">
        <f t="shared" si="155"/>
        <v/>
      </c>
      <c r="CV23" s="443" t="str">
        <f t="shared" si="155"/>
        <v/>
      </c>
      <c r="CW23" s="443" t="str">
        <f t="shared" si="155"/>
        <v/>
      </c>
      <c r="CX23" s="443" t="str">
        <f t="shared" si="155"/>
        <v/>
      </c>
      <c r="CY23" s="443" t="str">
        <f t="shared" si="155"/>
        <v/>
      </c>
      <c r="CZ23" s="443" t="str">
        <f t="shared" si="155"/>
        <v/>
      </c>
      <c r="DA23" s="443" t="str">
        <f t="shared" si="155"/>
        <v/>
      </c>
      <c r="DB23" s="443" t="str">
        <f t="shared" si="155"/>
        <v/>
      </c>
      <c r="DC23" s="443" t="str">
        <f t="shared" si="155"/>
        <v/>
      </c>
      <c r="DD23" s="443" t="str">
        <f t="shared" si="155"/>
        <v/>
      </c>
      <c r="DE23" s="443" t="str">
        <f t="shared" si="155"/>
        <v/>
      </c>
      <c r="DF23" s="443" t="str">
        <f t="shared" si="155"/>
        <v/>
      </c>
      <c r="DG23" s="443" t="str">
        <f t="shared" si="155"/>
        <v/>
      </c>
      <c r="DH23" s="443" t="str">
        <f t="shared" si="155"/>
        <v/>
      </c>
      <c r="DI23" s="443" t="str">
        <f t="shared" si="155"/>
        <v/>
      </c>
      <c r="DJ23" s="443" t="str">
        <f t="shared" si="155"/>
        <v/>
      </c>
      <c r="DK23" s="443" t="str">
        <f t="shared" si="155"/>
        <v/>
      </c>
      <c r="DL23" s="443" t="str">
        <f t="shared" si="155"/>
        <v/>
      </c>
      <c r="DM23" s="443" t="str">
        <f t="shared" si="155"/>
        <v/>
      </c>
      <c r="DN23" s="443" t="str">
        <f t="shared" si="155"/>
        <v/>
      </c>
      <c r="DO23" s="443" t="str">
        <f t="shared" si="155"/>
        <v/>
      </c>
      <c r="DP23" s="443" t="str">
        <f t="shared" si="155"/>
        <v/>
      </c>
      <c r="DQ23" s="443" t="str">
        <f t="shared" si="155"/>
        <v/>
      </c>
      <c r="DR23" s="443" t="str">
        <f t="shared" si="155"/>
        <v/>
      </c>
      <c r="DS23" s="443" t="str">
        <f t="shared" si="155"/>
        <v/>
      </c>
      <c r="DT23" s="443" t="str">
        <f t="shared" si="155"/>
        <v/>
      </c>
      <c r="DU23" s="443" t="str">
        <f t="shared" si="155"/>
        <v/>
      </c>
      <c r="DV23" s="443" t="str">
        <f t="shared" si="155"/>
        <v/>
      </c>
    </row>
    <row r="24" spans="1:126" ht="13.5" customHeight="1">
      <c r="B24" s="198"/>
      <c r="E24" s="199"/>
      <c r="F24" s="199"/>
      <c r="G24" s="181" t="s">
        <v>69</v>
      </c>
      <c r="H24" s="199"/>
      <c r="I24" s="224"/>
      <c r="J24" s="203"/>
      <c r="K24" s="199"/>
      <c r="L24" s="199"/>
      <c r="M24" s="190">
        <f t="shared" ref="M24:BX24" ca="1" si="156">SUM(M19:M23)</f>
        <v>0</v>
      </c>
      <c r="N24" s="190">
        <f t="shared" ca="1" si="156"/>
        <v>0</v>
      </c>
      <c r="O24" s="190">
        <f t="shared" ca="1" si="156"/>
        <v>0</v>
      </c>
      <c r="P24" s="190">
        <f t="shared" ca="1" si="156"/>
        <v>0</v>
      </c>
      <c r="Q24" s="190">
        <f t="shared" ca="1" si="156"/>
        <v>0</v>
      </c>
      <c r="R24" s="190">
        <f t="shared" ca="1" si="156"/>
        <v>0</v>
      </c>
      <c r="S24" s="190">
        <f t="shared" ca="1" si="156"/>
        <v>0</v>
      </c>
      <c r="T24" s="190">
        <f t="shared" ca="1" si="156"/>
        <v>0</v>
      </c>
      <c r="U24" s="190">
        <f t="shared" ca="1" si="156"/>
        <v>0</v>
      </c>
      <c r="V24" s="190">
        <f t="shared" ca="1" si="156"/>
        <v>0</v>
      </c>
      <c r="W24" s="190">
        <f t="shared" ca="1" si="156"/>
        <v>5</v>
      </c>
      <c r="X24" s="190">
        <f t="shared" ca="1" si="156"/>
        <v>5</v>
      </c>
      <c r="Y24" s="190">
        <f t="shared" ca="1" si="156"/>
        <v>5</v>
      </c>
      <c r="Z24" s="190">
        <f t="shared" ca="1" si="156"/>
        <v>5</v>
      </c>
      <c r="AA24" s="190">
        <f t="shared" ca="1" si="156"/>
        <v>5</v>
      </c>
      <c r="AB24" s="190">
        <f t="shared" ca="1" si="156"/>
        <v>5</v>
      </c>
      <c r="AC24" s="190">
        <f t="shared" ca="1" si="156"/>
        <v>5</v>
      </c>
      <c r="AD24" s="190">
        <f t="shared" ca="1" si="156"/>
        <v>5</v>
      </c>
      <c r="AE24" s="190">
        <f t="shared" ca="1" si="156"/>
        <v>5</v>
      </c>
      <c r="AF24" s="190">
        <f t="shared" ca="1" si="156"/>
        <v>5</v>
      </c>
      <c r="AG24" s="190">
        <f t="shared" ca="1" si="156"/>
        <v>5</v>
      </c>
      <c r="AH24" s="190">
        <f t="shared" ca="1" si="156"/>
        <v>5</v>
      </c>
      <c r="AI24" s="190">
        <f t="shared" ca="1" si="156"/>
        <v>5</v>
      </c>
      <c r="AJ24" s="190">
        <f t="shared" ca="1" si="156"/>
        <v>5</v>
      </c>
      <c r="AK24" s="190">
        <f t="shared" ca="1" si="156"/>
        <v>5</v>
      </c>
      <c r="AL24" s="190">
        <f t="shared" ca="1" si="156"/>
        <v>5</v>
      </c>
      <c r="AM24" s="190">
        <f t="shared" ca="1" si="156"/>
        <v>5</v>
      </c>
      <c r="AN24" s="190">
        <f t="shared" ca="1" si="156"/>
        <v>5</v>
      </c>
      <c r="AO24" s="190">
        <f t="shared" ca="1" si="156"/>
        <v>5</v>
      </c>
      <c r="AP24" s="190">
        <f t="shared" ca="1" si="156"/>
        <v>5</v>
      </c>
      <c r="AQ24" s="190">
        <f t="shared" ca="1" si="156"/>
        <v>5</v>
      </c>
      <c r="AR24" s="190">
        <f t="shared" ca="1" si="156"/>
        <v>5</v>
      </c>
      <c r="AS24" s="190">
        <f t="shared" ca="1" si="156"/>
        <v>5</v>
      </c>
      <c r="AT24" s="190">
        <f t="shared" ca="1" si="156"/>
        <v>5</v>
      </c>
      <c r="AU24" s="190">
        <f t="shared" ca="1" si="156"/>
        <v>30</v>
      </c>
      <c r="AV24" s="190">
        <f t="shared" ca="1" si="156"/>
        <v>30</v>
      </c>
      <c r="AW24" s="190">
        <f t="shared" ca="1" si="156"/>
        <v>30</v>
      </c>
      <c r="AX24" s="190">
        <f t="shared" ca="1" si="156"/>
        <v>30</v>
      </c>
      <c r="AY24" s="190">
        <f t="shared" ca="1" si="156"/>
        <v>5</v>
      </c>
      <c r="AZ24" s="190">
        <f t="shared" ca="1" si="156"/>
        <v>5</v>
      </c>
      <c r="BA24" s="190">
        <f t="shared" ca="1" si="156"/>
        <v>0</v>
      </c>
      <c r="BB24" s="190">
        <f t="shared" ca="1" si="156"/>
        <v>0</v>
      </c>
      <c r="BC24" s="190">
        <f t="shared" ca="1" si="156"/>
        <v>0</v>
      </c>
      <c r="BD24" s="190">
        <f t="shared" ca="1" si="156"/>
        <v>0</v>
      </c>
      <c r="BE24" s="190">
        <f t="shared" ca="1" si="156"/>
        <v>0</v>
      </c>
      <c r="BF24" s="190">
        <f t="shared" ca="1" si="156"/>
        <v>0</v>
      </c>
      <c r="BG24" s="190">
        <f t="shared" ca="1" si="156"/>
        <v>0</v>
      </c>
      <c r="BH24" s="190">
        <f t="shared" ca="1" si="156"/>
        <v>0</v>
      </c>
      <c r="BI24" s="190">
        <f t="shared" ca="1" si="156"/>
        <v>0</v>
      </c>
      <c r="BJ24" s="190">
        <f t="shared" ca="1" si="156"/>
        <v>0</v>
      </c>
      <c r="BK24" s="190">
        <f t="shared" ca="1" si="156"/>
        <v>0</v>
      </c>
      <c r="BL24" s="190">
        <f t="shared" ca="1" si="156"/>
        <v>0</v>
      </c>
      <c r="BM24" s="190">
        <f t="shared" ca="1" si="156"/>
        <v>0</v>
      </c>
      <c r="BN24" s="190">
        <f t="shared" ca="1" si="156"/>
        <v>0</v>
      </c>
      <c r="BO24" s="190">
        <f t="shared" ca="1" si="156"/>
        <v>0</v>
      </c>
      <c r="BP24" s="190">
        <f t="shared" ca="1" si="156"/>
        <v>0</v>
      </c>
      <c r="BQ24" s="190">
        <f t="shared" ca="1" si="156"/>
        <v>0</v>
      </c>
      <c r="BR24" s="190">
        <f t="shared" ca="1" si="156"/>
        <v>0</v>
      </c>
      <c r="BS24" s="190">
        <f t="shared" ca="1" si="156"/>
        <v>0</v>
      </c>
      <c r="BT24" s="190">
        <f t="shared" ca="1" si="156"/>
        <v>0</v>
      </c>
      <c r="BU24" s="190">
        <f t="shared" ca="1" si="156"/>
        <v>0</v>
      </c>
      <c r="BV24" s="190">
        <f t="shared" ca="1" si="156"/>
        <v>0</v>
      </c>
      <c r="BW24" s="190">
        <f t="shared" ca="1" si="156"/>
        <v>0</v>
      </c>
      <c r="BX24" s="190">
        <f t="shared" ca="1" si="156"/>
        <v>0</v>
      </c>
      <c r="BY24" s="190">
        <f t="shared" ref="BY24:DV24" ca="1" si="157">SUM(BY19:BY23)</f>
        <v>0</v>
      </c>
      <c r="BZ24" s="190">
        <f t="shared" ca="1" si="157"/>
        <v>0</v>
      </c>
      <c r="CA24" s="190">
        <f t="shared" ca="1" si="157"/>
        <v>0</v>
      </c>
      <c r="CB24" s="190">
        <f t="shared" ca="1" si="157"/>
        <v>0</v>
      </c>
      <c r="CC24" s="190">
        <f t="shared" ca="1" si="157"/>
        <v>0</v>
      </c>
      <c r="CD24" s="190">
        <f t="shared" ca="1" si="157"/>
        <v>0</v>
      </c>
      <c r="CE24" s="190">
        <f t="shared" ca="1" si="157"/>
        <v>0</v>
      </c>
      <c r="CF24" s="190">
        <f t="shared" ca="1" si="157"/>
        <v>0</v>
      </c>
      <c r="CG24" s="190">
        <f t="shared" ca="1" si="157"/>
        <v>0</v>
      </c>
      <c r="CH24" s="190">
        <f t="shared" ca="1" si="157"/>
        <v>0</v>
      </c>
      <c r="CI24" s="190">
        <f t="shared" ca="1" si="157"/>
        <v>0</v>
      </c>
      <c r="CJ24" s="190">
        <f t="shared" ca="1" si="157"/>
        <v>0</v>
      </c>
      <c r="CK24" s="190">
        <f t="shared" ca="1" si="157"/>
        <v>0</v>
      </c>
      <c r="CL24" s="190">
        <f t="shared" ca="1" si="157"/>
        <v>0</v>
      </c>
      <c r="CM24" s="190">
        <f t="shared" ca="1" si="157"/>
        <v>0</v>
      </c>
      <c r="CN24" s="190">
        <f t="shared" ca="1" si="157"/>
        <v>0</v>
      </c>
      <c r="CO24" s="190">
        <f t="shared" ca="1" si="157"/>
        <v>0</v>
      </c>
      <c r="CP24" s="190">
        <f t="shared" ca="1" si="157"/>
        <v>0</v>
      </c>
      <c r="CQ24" s="190">
        <f t="shared" ca="1" si="157"/>
        <v>0</v>
      </c>
      <c r="CR24" s="190">
        <f t="shared" ca="1" si="157"/>
        <v>0</v>
      </c>
      <c r="CS24" s="190">
        <f t="shared" ca="1" si="157"/>
        <v>0</v>
      </c>
      <c r="CT24" s="190">
        <f t="shared" ca="1" si="157"/>
        <v>0</v>
      </c>
      <c r="CU24" s="190">
        <f t="shared" ca="1" si="157"/>
        <v>0</v>
      </c>
      <c r="CV24" s="190">
        <f t="shared" ca="1" si="157"/>
        <v>0</v>
      </c>
      <c r="CW24" s="190">
        <f t="shared" ca="1" si="157"/>
        <v>0</v>
      </c>
      <c r="CX24" s="190">
        <f t="shared" ca="1" si="157"/>
        <v>0</v>
      </c>
      <c r="CY24" s="190">
        <f t="shared" ca="1" si="157"/>
        <v>0</v>
      </c>
      <c r="CZ24" s="190">
        <f t="shared" ca="1" si="157"/>
        <v>0</v>
      </c>
      <c r="DA24" s="190">
        <f t="shared" ca="1" si="157"/>
        <v>0</v>
      </c>
      <c r="DB24" s="190">
        <f t="shared" ca="1" si="157"/>
        <v>0</v>
      </c>
      <c r="DC24" s="190">
        <f t="shared" ca="1" si="157"/>
        <v>0</v>
      </c>
      <c r="DD24" s="190">
        <f t="shared" ca="1" si="157"/>
        <v>0</v>
      </c>
      <c r="DE24" s="190">
        <f t="shared" ca="1" si="157"/>
        <v>0</v>
      </c>
      <c r="DF24" s="190">
        <f t="shared" ca="1" si="157"/>
        <v>0</v>
      </c>
      <c r="DG24" s="190">
        <f t="shared" ca="1" si="157"/>
        <v>0</v>
      </c>
      <c r="DH24" s="190">
        <f t="shared" ca="1" si="157"/>
        <v>0</v>
      </c>
      <c r="DI24" s="190">
        <f t="shared" ca="1" si="157"/>
        <v>0</v>
      </c>
      <c r="DJ24" s="190">
        <f t="shared" ca="1" si="157"/>
        <v>0</v>
      </c>
      <c r="DK24" s="190">
        <f t="shared" ca="1" si="157"/>
        <v>0</v>
      </c>
      <c r="DL24" s="190">
        <f t="shared" ca="1" si="157"/>
        <v>0</v>
      </c>
      <c r="DM24" s="190">
        <f t="shared" ca="1" si="157"/>
        <v>0</v>
      </c>
      <c r="DN24" s="190">
        <f t="shared" ca="1" si="157"/>
        <v>0</v>
      </c>
      <c r="DO24" s="190">
        <f t="shared" ca="1" si="157"/>
        <v>0</v>
      </c>
      <c r="DP24" s="190">
        <f t="shared" ca="1" si="157"/>
        <v>0</v>
      </c>
      <c r="DQ24" s="190">
        <f t="shared" ca="1" si="157"/>
        <v>0</v>
      </c>
      <c r="DR24" s="190">
        <f t="shared" ca="1" si="157"/>
        <v>0</v>
      </c>
      <c r="DS24" s="190">
        <f t="shared" ca="1" si="157"/>
        <v>0</v>
      </c>
      <c r="DT24" s="190">
        <f t="shared" ca="1" si="157"/>
        <v>0</v>
      </c>
      <c r="DU24" s="190">
        <f t="shared" ca="1" si="157"/>
        <v>0</v>
      </c>
      <c r="DV24" s="190">
        <f t="shared" ca="1" si="157"/>
        <v>0</v>
      </c>
    </row>
    <row r="25" spans="1:126">
      <c r="B25" s="198"/>
      <c r="F25" s="53"/>
      <c r="G25" s="183"/>
      <c r="I25" s="53"/>
      <c r="J25" s="53"/>
      <c r="K25" s="53"/>
      <c r="L25" s="5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  <c r="BA25" s="183"/>
      <c r="BB25" s="183"/>
      <c r="BC25" s="183"/>
      <c r="BD25" s="183"/>
      <c r="BE25" s="183"/>
      <c r="BF25" s="183"/>
      <c r="BG25" s="183"/>
      <c r="BH25" s="183"/>
      <c r="BI25" s="183"/>
      <c r="BJ25" s="183"/>
      <c r="BT25" s="119"/>
    </row>
    <row r="26" spans="1:126" s="180" customFormat="1" ht="27">
      <c r="A26" s="464" t="s">
        <v>72</v>
      </c>
      <c r="B26" s="509">
        <f>IF(LEN('BESS 12'!F141)=5,'BESS 12'!F141,(IF('BESS 12'!F141="Completed"," ",DATEVALUE(RIGHT('BESS 12'!F141,6)))))</f>
        <v>46240</v>
      </c>
      <c r="C26" s="509">
        <f>IF(LEN('BESS 12'!G141)=5,'BESS 12'!G141,(IF('BESS 12'!G141="Completed"," ",DATEVALUE(RIGHT('BESS 12'!G141,6)))))</f>
        <v>46245</v>
      </c>
      <c r="D26" s="455">
        <f>IF(LEN('BESS 12'!H141)=5,'BESS 12'!H141,(IF('BESS 12'!H141="Completed"," ",DATEVALUE(RIGHT('BESS 12'!H141,6)))))</f>
        <v>46248</v>
      </c>
      <c r="E26" s="226" t="s">
        <v>10</v>
      </c>
      <c r="F26" s="217" t="s">
        <v>58</v>
      </c>
      <c r="G26" s="217" t="s">
        <v>78</v>
      </c>
      <c r="H26" s="217" t="s">
        <v>87</v>
      </c>
      <c r="I26" s="217" t="s">
        <v>59</v>
      </c>
      <c r="J26" s="129"/>
      <c r="K26" s="216" t="s">
        <v>80</v>
      </c>
      <c r="L26" s="216" t="s">
        <v>62</v>
      </c>
      <c r="M26" s="218">
        <v>46195</v>
      </c>
      <c r="N26" s="218">
        <v>46196</v>
      </c>
      <c r="O26" s="218">
        <v>46197</v>
      </c>
      <c r="P26" s="218">
        <f t="shared" ref="P26:CA26" si="158">O26+1</f>
        <v>46198</v>
      </c>
      <c r="Q26" s="218">
        <f t="shared" si="158"/>
        <v>46199</v>
      </c>
      <c r="R26" s="218">
        <f t="shared" si="158"/>
        <v>46200</v>
      </c>
      <c r="S26" s="218">
        <f t="shared" si="158"/>
        <v>46201</v>
      </c>
      <c r="T26" s="218">
        <f t="shared" si="158"/>
        <v>46202</v>
      </c>
      <c r="U26" s="218">
        <f t="shared" si="158"/>
        <v>46203</v>
      </c>
      <c r="V26" s="218">
        <f t="shared" si="158"/>
        <v>46204</v>
      </c>
      <c r="W26" s="218">
        <f t="shared" si="158"/>
        <v>46205</v>
      </c>
      <c r="X26" s="218">
        <f t="shared" si="158"/>
        <v>46206</v>
      </c>
      <c r="Y26" s="218">
        <f t="shared" si="158"/>
        <v>46207</v>
      </c>
      <c r="Z26" s="218">
        <f t="shared" si="158"/>
        <v>46208</v>
      </c>
      <c r="AA26" s="218">
        <f t="shared" si="158"/>
        <v>46209</v>
      </c>
      <c r="AB26" s="218">
        <f t="shared" si="158"/>
        <v>46210</v>
      </c>
      <c r="AC26" s="218">
        <f t="shared" si="158"/>
        <v>46211</v>
      </c>
      <c r="AD26" s="218">
        <f t="shared" si="158"/>
        <v>46212</v>
      </c>
      <c r="AE26" s="218">
        <f t="shared" si="158"/>
        <v>46213</v>
      </c>
      <c r="AF26" s="218">
        <f t="shared" si="158"/>
        <v>46214</v>
      </c>
      <c r="AG26" s="218">
        <f t="shared" si="158"/>
        <v>46215</v>
      </c>
      <c r="AH26" s="218">
        <f t="shared" si="158"/>
        <v>46216</v>
      </c>
      <c r="AI26" s="218">
        <f t="shared" si="158"/>
        <v>46217</v>
      </c>
      <c r="AJ26" s="218">
        <f t="shared" si="158"/>
        <v>46218</v>
      </c>
      <c r="AK26" s="218">
        <f t="shared" si="158"/>
        <v>46219</v>
      </c>
      <c r="AL26" s="218">
        <f t="shared" si="158"/>
        <v>46220</v>
      </c>
      <c r="AM26" s="218">
        <f t="shared" si="158"/>
        <v>46221</v>
      </c>
      <c r="AN26" s="218">
        <f t="shared" si="158"/>
        <v>46222</v>
      </c>
      <c r="AO26" s="218">
        <f t="shared" si="158"/>
        <v>46223</v>
      </c>
      <c r="AP26" s="218">
        <f t="shared" si="158"/>
        <v>46224</v>
      </c>
      <c r="AQ26" s="218">
        <f t="shared" si="158"/>
        <v>46225</v>
      </c>
      <c r="AR26" s="218">
        <f t="shared" si="158"/>
        <v>46226</v>
      </c>
      <c r="AS26" s="218">
        <f t="shared" si="158"/>
        <v>46227</v>
      </c>
      <c r="AT26" s="218">
        <f t="shared" si="158"/>
        <v>46228</v>
      </c>
      <c r="AU26" s="218">
        <f t="shared" si="158"/>
        <v>46229</v>
      </c>
      <c r="AV26" s="218">
        <f t="shared" si="158"/>
        <v>46230</v>
      </c>
      <c r="AW26" s="218">
        <f t="shared" si="158"/>
        <v>46231</v>
      </c>
      <c r="AX26" s="218">
        <f t="shared" si="158"/>
        <v>46232</v>
      </c>
      <c r="AY26" s="218">
        <f t="shared" si="158"/>
        <v>46233</v>
      </c>
      <c r="AZ26" s="218">
        <f t="shared" si="158"/>
        <v>46234</v>
      </c>
      <c r="BA26" s="218">
        <f t="shared" si="158"/>
        <v>46235</v>
      </c>
      <c r="BB26" s="218">
        <f t="shared" si="158"/>
        <v>46236</v>
      </c>
      <c r="BC26" s="218">
        <f t="shared" si="158"/>
        <v>46237</v>
      </c>
      <c r="BD26" s="218">
        <f t="shared" si="158"/>
        <v>46238</v>
      </c>
      <c r="BE26" s="218">
        <f t="shared" si="158"/>
        <v>46239</v>
      </c>
      <c r="BF26" s="218">
        <f t="shared" si="158"/>
        <v>46240</v>
      </c>
      <c r="BG26" s="218">
        <f t="shared" si="158"/>
        <v>46241</v>
      </c>
      <c r="BH26" s="218">
        <f t="shared" si="158"/>
        <v>46242</v>
      </c>
      <c r="BI26" s="218">
        <f t="shared" si="158"/>
        <v>46243</v>
      </c>
      <c r="BJ26" s="218">
        <f t="shared" si="158"/>
        <v>46244</v>
      </c>
      <c r="BK26" s="218">
        <f t="shared" si="158"/>
        <v>46245</v>
      </c>
      <c r="BL26" s="218">
        <f t="shared" si="158"/>
        <v>46246</v>
      </c>
      <c r="BM26" s="218">
        <f t="shared" si="158"/>
        <v>46247</v>
      </c>
      <c r="BN26" s="218">
        <f t="shared" si="158"/>
        <v>46248</v>
      </c>
      <c r="BO26" s="218">
        <f t="shared" si="158"/>
        <v>46249</v>
      </c>
      <c r="BP26" s="218">
        <f t="shared" si="158"/>
        <v>46250</v>
      </c>
      <c r="BQ26" s="218">
        <f t="shared" si="158"/>
        <v>46251</v>
      </c>
      <c r="BR26" s="218">
        <f t="shared" si="158"/>
        <v>46252</v>
      </c>
      <c r="BS26" s="218">
        <f t="shared" si="158"/>
        <v>46253</v>
      </c>
      <c r="BT26" s="218">
        <f t="shared" si="158"/>
        <v>46254</v>
      </c>
      <c r="BU26" s="218">
        <f t="shared" si="158"/>
        <v>46255</v>
      </c>
      <c r="BV26" s="218">
        <f t="shared" si="158"/>
        <v>46256</v>
      </c>
      <c r="BW26" s="218">
        <f t="shared" si="158"/>
        <v>46257</v>
      </c>
      <c r="BX26" s="218">
        <f t="shared" si="158"/>
        <v>46258</v>
      </c>
      <c r="BY26" s="218">
        <f t="shared" si="158"/>
        <v>46259</v>
      </c>
      <c r="BZ26" s="218">
        <f t="shared" si="158"/>
        <v>46260</v>
      </c>
      <c r="CA26" s="218">
        <f t="shared" si="158"/>
        <v>46261</v>
      </c>
      <c r="CB26" s="218">
        <f t="shared" ref="CB26:CT26" si="159">CA26+1</f>
        <v>46262</v>
      </c>
      <c r="CC26" s="218">
        <f t="shared" si="159"/>
        <v>46263</v>
      </c>
      <c r="CD26" s="218">
        <f t="shared" si="159"/>
        <v>46264</v>
      </c>
      <c r="CE26" s="218">
        <f t="shared" si="159"/>
        <v>46265</v>
      </c>
      <c r="CF26" s="218">
        <f t="shared" si="159"/>
        <v>46266</v>
      </c>
      <c r="CG26" s="218">
        <f t="shared" si="159"/>
        <v>46267</v>
      </c>
      <c r="CH26" s="218">
        <f t="shared" si="159"/>
        <v>46268</v>
      </c>
      <c r="CI26" s="218">
        <f t="shared" si="159"/>
        <v>46269</v>
      </c>
      <c r="CJ26" s="218">
        <f t="shared" si="159"/>
        <v>46270</v>
      </c>
      <c r="CK26" s="218">
        <f t="shared" si="159"/>
        <v>46271</v>
      </c>
      <c r="CL26" s="218">
        <f t="shared" si="159"/>
        <v>46272</v>
      </c>
      <c r="CM26" s="218">
        <f t="shared" si="159"/>
        <v>46273</v>
      </c>
      <c r="CN26" s="218">
        <f t="shared" si="159"/>
        <v>46274</v>
      </c>
      <c r="CO26" s="218">
        <f t="shared" si="159"/>
        <v>46275</v>
      </c>
      <c r="CP26" s="218">
        <f t="shared" si="159"/>
        <v>46276</v>
      </c>
      <c r="CQ26" s="218">
        <f t="shared" si="159"/>
        <v>46277</v>
      </c>
      <c r="CR26" s="218">
        <f t="shared" si="159"/>
        <v>46278</v>
      </c>
      <c r="CS26" s="218">
        <f t="shared" si="159"/>
        <v>46279</v>
      </c>
      <c r="CT26" s="218">
        <f t="shared" si="159"/>
        <v>46280</v>
      </c>
      <c r="CU26" s="218">
        <f t="shared" ref="CU26" si="160">CT26+1</f>
        <v>46281</v>
      </c>
      <c r="CV26" s="218">
        <f t="shared" ref="CV26" si="161">CU26+1</f>
        <v>46282</v>
      </c>
      <c r="CW26" s="218">
        <f t="shared" ref="CW26" si="162">CV26+1</f>
        <v>46283</v>
      </c>
      <c r="CX26" s="218">
        <f t="shared" ref="CX26" si="163">CW26+1</f>
        <v>46284</v>
      </c>
      <c r="CY26" s="218">
        <f t="shared" ref="CY26" si="164">CX26+1</f>
        <v>46285</v>
      </c>
      <c r="CZ26" s="218">
        <f t="shared" ref="CZ26" si="165">CY26+1</f>
        <v>46286</v>
      </c>
      <c r="DA26" s="218">
        <f t="shared" ref="DA26" si="166">CZ26+1</f>
        <v>46287</v>
      </c>
      <c r="DB26" s="218">
        <f t="shared" ref="DB26" si="167">DA26+1</f>
        <v>46288</v>
      </c>
      <c r="DC26" s="218">
        <f t="shared" ref="DC26" si="168">DB26+1</f>
        <v>46289</v>
      </c>
      <c r="DD26" s="218">
        <f t="shared" ref="DD26" si="169">DC26+1</f>
        <v>46290</v>
      </c>
      <c r="DE26" s="218">
        <f t="shared" ref="DE26" si="170">DD26+1</f>
        <v>46291</v>
      </c>
      <c r="DF26" s="218">
        <f t="shared" ref="DF26" si="171">DE26+1</f>
        <v>46292</v>
      </c>
      <c r="DG26" s="218">
        <f t="shared" ref="DG26" si="172">DF26+1</f>
        <v>46293</v>
      </c>
      <c r="DH26" s="218">
        <f t="shared" ref="DH26" si="173">DG26+1</f>
        <v>46294</v>
      </c>
      <c r="DI26" s="218">
        <f t="shared" ref="DI26" si="174">DH26+1</f>
        <v>46295</v>
      </c>
      <c r="DJ26" s="218">
        <f t="shared" ref="DJ26" si="175">DI26+1</f>
        <v>46296</v>
      </c>
      <c r="DK26" s="218">
        <f t="shared" ref="DK26" si="176">DJ26+1</f>
        <v>46297</v>
      </c>
      <c r="DL26" s="218">
        <f t="shared" ref="DL26" si="177">DK26+1</f>
        <v>46298</v>
      </c>
      <c r="DM26" s="218">
        <f t="shared" ref="DM26" si="178">DL26+1</f>
        <v>46299</v>
      </c>
      <c r="DN26" s="218">
        <f t="shared" ref="DN26" si="179">DM26+1</f>
        <v>46300</v>
      </c>
      <c r="DO26" s="218">
        <f t="shared" ref="DO26" si="180">DN26+1</f>
        <v>46301</v>
      </c>
      <c r="DP26" s="218">
        <f t="shared" ref="DP26" si="181">DO26+1</f>
        <v>46302</v>
      </c>
      <c r="DQ26" s="218">
        <f t="shared" ref="DQ26" si="182">DP26+1</f>
        <v>46303</v>
      </c>
      <c r="DR26" s="218">
        <f t="shared" ref="DR26" si="183">DQ26+1</f>
        <v>46304</v>
      </c>
      <c r="DS26" s="218">
        <f t="shared" ref="DS26" si="184">DR26+1</f>
        <v>46305</v>
      </c>
      <c r="DT26" s="218">
        <f t="shared" ref="DT26" si="185">DS26+1</f>
        <v>46306</v>
      </c>
      <c r="DU26" s="218">
        <f t="shared" ref="DU26" si="186">DT26+1</f>
        <v>46307</v>
      </c>
      <c r="DV26" s="218">
        <f t="shared" ref="DV26" si="187">DU26+1</f>
        <v>46308</v>
      </c>
    </row>
    <row r="27" spans="1:126">
      <c r="A27" s="464"/>
      <c r="B27" s="509"/>
      <c r="C27" s="509"/>
      <c r="D27" s="456"/>
      <c r="E27" s="185" t="s">
        <v>64</v>
      </c>
      <c r="F27" s="66" t="e">
        <f>SUM('BESS 12'!S154:S161,'BESS 12'!S163)</f>
        <v>#VALUE!</v>
      </c>
      <c r="G27" s="182">
        <f ca="1">TODAY()</f>
        <v>46233</v>
      </c>
      <c r="H27" s="162">
        <f>MAX('BESS 12'!O154:O160)</f>
        <v>46232</v>
      </c>
      <c r="I27" s="66">
        <f t="shared" ref="I27:I30" ca="1" si="188">H27-G27</f>
        <v>-1</v>
      </c>
      <c r="J27" s="444">
        <f ca="1">K27*1.2</f>
        <v>10.615384615384615</v>
      </c>
      <c r="K27" s="506">
        <f ca="1">AVERAGEIF(M32:CT32,"&gt;0")</f>
        <v>8.8461538461538467</v>
      </c>
      <c r="L27" s="506" t="e">
        <f ca="1">MAX(M32:CT32)</f>
        <v>#VALUE!</v>
      </c>
      <c r="M27" s="65" t="str">
        <f t="shared" ref="M27:AB30" ca="1" si="189">IF(AND(M$2&gt;=$G27,M$2&lt;($G27+$I27)),ROUND($F27/$I27,0),"-")</f>
        <v>-</v>
      </c>
      <c r="N27" s="65" t="str">
        <f t="shared" ca="1" si="189"/>
        <v>-</v>
      </c>
      <c r="O27" s="65" t="str">
        <f t="shared" ca="1" si="189"/>
        <v>-</v>
      </c>
      <c r="P27" s="65" t="str">
        <f t="shared" ca="1" si="189"/>
        <v>-</v>
      </c>
      <c r="Q27" s="65" t="str">
        <f t="shared" ca="1" si="189"/>
        <v>-</v>
      </c>
      <c r="R27" s="65" t="str">
        <f t="shared" ca="1" si="189"/>
        <v>-</v>
      </c>
      <c r="S27" s="65" t="str">
        <f t="shared" ca="1" si="189"/>
        <v>-</v>
      </c>
      <c r="T27" s="65" t="str">
        <f t="shared" ca="1" si="189"/>
        <v>-</v>
      </c>
      <c r="U27" s="65" t="str">
        <f t="shared" ca="1" si="189"/>
        <v>-</v>
      </c>
      <c r="V27" s="65" t="str">
        <f t="shared" ca="1" si="189"/>
        <v>-</v>
      </c>
      <c r="W27" s="65" t="str">
        <f t="shared" ca="1" si="189"/>
        <v>-</v>
      </c>
      <c r="X27" s="65" t="str">
        <f t="shared" ca="1" si="189"/>
        <v>-</v>
      </c>
      <c r="Y27" s="65" t="str">
        <f t="shared" ca="1" si="189"/>
        <v>-</v>
      </c>
      <c r="Z27" s="65" t="str">
        <f t="shared" ca="1" si="189"/>
        <v>-</v>
      </c>
      <c r="AA27" s="65" t="str">
        <f t="shared" ca="1" si="189"/>
        <v>-</v>
      </c>
      <c r="AB27" s="65" t="str">
        <f t="shared" ca="1" si="189"/>
        <v>-</v>
      </c>
      <c r="AC27" s="65" t="str">
        <f t="shared" ref="AC27:AR30" ca="1" si="190">IF(AND(AC$2&gt;=$G27,AC$2&lt;($G27+$I27)),ROUND($F27/$I27,0),"-")</f>
        <v>-</v>
      </c>
      <c r="AD27" s="65" t="str">
        <f t="shared" ca="1" si="190"/>
        <v>-</v>
      </c>
      <c r="AE27" s="65" t="str">
        <f t="shared" ca="1" si="190"/>
        <v>-</v>
      </c>
      <c r="AF27" s="65" t="str">
        <f t="shared" ca="1" si="190"/>
        <v>-</v>
      </c>
      <c r="AG27" s="65" t="str">
        <f t="shared" ca="1" si="190"/>
        <v>-</v>
      </c>
      <c r="AH27" s="65" t="str">
        <f t="shared" ca="1" si="190"/>
        <v>-</v>
      </c>
      <c r="AI27" s="65" t="str">
        <f t="shared" ca="1" si="190"/>
        <v>-</v>
      </c>
      <c r="AJ27" s="65" t="str">
        <f t="shared" ca="1" si="190"/>
        <v>-</v>
      </c>
      <c r="AK27" s="65" t="str">
        <f t="shared" ca="1" si="190"/>
        <v>-</v>
      </c>
      <c r="AL27" s="65" t="str">
        <f t="shared" ca="1" si="190"/>
        <v>-</v>
      </c>
      <c r="AM27" s="65" t="str">
        <f t="shared" ca="1" si="190"/>
        <v>-</v>
      </c>
      <c r="AN27" s="65" t="str">
        <f t="shared" ca="1" si="190"/>
        <v>-</v>
      </c>
      <c r="AO27" s="65" t="str">
        <f t="shared" ca="1" si="190"/>
        <v>-</v>
      </c>
      <c r="AP27" s="65" t="str">
        <f t="shared" ca="1" si="190"/>
        <v>-</v>
      </c>
      <c r="AQ27" s="65" t="str">
        <f t="shared" ca="1" si="190"/>
        <v>-</v>
      </c>
      <c r="AR27" s="65" t="str">
        <f t="shared" ca="1" si="190"/>
        <v>-</v>
      </c>
      <c r="AS27" s="65" t="str">
        <f t="shared" ref="AS27:BH30" ca="1" si="191">IF(AND(AS$2&gt;=$G27,AS$2&lt;($G27+$I27)),ROUND($F27/$I27,0),"-")</f>
        <v>-</v>
      </c>
      <c r="AT27" s="65" t="str">
        <f t="shared" ca="1" si="191"/>
        <v>-</v>
      </c>
      <c r="AU27" s="65" t="str">
        <f t="shared" ca="1" si="191"/>
        <v>-</v>
      </c>
      <c r="AV27" s="65" t="str">
        <f t="shared" ca="1" si="191"/>
        <v>-</v>
      </c>
      <c r="AW27" s="65" t="str">
        <f t="shared" ca="1" si="191"/>
        <v>-</v>
      </c>
      <c r="AX27" s="65" t="str">
        <f t="shared" ca="1" si="191"/>
        <v>-</v>
      </c>
      <c r="AY27" s="65" t="str">
        <f t="shared" ca="1" si="191"/>
        <v>-</v>
      </c>
      <c r="AZ27" s="65" t="str">
        <f t="shared" ca="1" si="191"/>
        <v>-</v>
      </c>
      <c r="BA27" s="65" t="str">
        <f t="shared" ca="1" si="191"/>
        <v>-</v>
      </c>
      <c r="BB27" s="65" t="str">
        <f t="shared" ca="1" si="191"/>
        <v>-</v>
      </c>
      <c r="BC27" s="65" t="str">
        <f t="shared" ca="1" si="191"/>
        <v>-</v>
      </c>
      <c r="BD27" s="65" t="str">
        <f t="shared" ca="1" si="191"/>
        <v>-</v>
      </c>
      <c r="BE27" s="65" t="str">
        <f t="shared" ca="1" si="191"/>
        <v>-</v>
      </c>
      <c r="BF27" s="65" t="str">
        <f t="shared" ca="1" si="191"/>
        <v>-</v>
      </c>
      <c r="BG27" s="65" t="str">
        <f t="shared" ca="1" si="191"/>
        <v>-</v>
      </c>
      <c r="BH27" s="65" t="str">
        <f t="shared" ca="1" si="191"/>
        <v>-</v>
      </c>
      <c r="BI27" s="65" t="str">
        <f t="shared" ref="BI27:BX30" ca="1" si="192">IF(AND(BI$2&gt;=$G27,BI$2&lt;($G27+$I27)),ROUND($F27/$I27,0),"-")</f>
        <v>-</v>
      </c>
      <c r="BJ27" s="65" t="str">
        <f t="shared" ca="1" si="192"/>
        <v>-</v>
      </c>
      <c r="BK27" s="65" t="str">
        <f t="shared" ca="1" si="192"/>
        <v>-</v>
      </c>
      <c r="BL27" s="65" t="str">
        <f t="shared" ca="1" si="192"/>
        <v>-</v>
      </c>
      <c r="BM27" s="65" t="str">
        <f t="shared" ca="1" si="192"/>
        <v>-</v>
      </c>
      <c r="BN27" s="65" t="str">
        <f t="shared" ca="1" si="192"/>
        <v>-</v>
      </c>
      <c r="BO27" s="65" t="str">
        <f t="shared" ca="1" si="192"/>
        <v>-</v>
      </c>
      <c r="BP27" s="65" t="str">
        <f t="shared" ca="1" si="192"/>
        <v>-</v>
      </c>
      <c r="BQ27" s="65" t="str">
        <f t="shared" ca="1" si="192"/>
        <v>-</v>
      </c>
      <c r="BR27" s="65" t="str">
        <f t="shared" ca="1" si="192"/>
        <v>-</v>
      </c>
      <c r="BS27" s="65" t="str">
        <f t="shared" ca="1" si="192"/>
        <v>-</v>
      </c>
      <c r="BT27" s="65" t="str">
        <f t="shared" ca="1" si="192"/>
        <v>-</v>
      </c>
      <c r="BU27" s="65" t="str">
        <f t="shared" ca="1" si="192"/>
        <v>-</v>
      </c>
      <c r="BV27" s="65" t="str">
        <f t="shared" ca="1" si="192"/>
        <v>-</v>
      </c>
      <c r="BW27" s="65" t="str">
        <f t="shared" ca="1" si="192"/>
        <v>-</v>
      </c>
      <c r="BX27" s="65" t="str">
        <f t="shared" ca="1" si="192"/>
        <v>-</v>
      </c>
      <c r="BY27" s="65" t="str">
        <f t="shared" ref="BY27:CN30" ca="1" si="193">IF(AND(BY$2&gt;=$G27,BY$2&lt;($G27+$I27)),ROUND($F27/$I27,0),"-")</f>
        <v>-</v>
      </c>
      <c r="BZ27" s="65" t="str">
        <f t="shared" ca="1" si="193"/>
        <v>-</v>
      </c>
      <c r="CA27" s="65" t="str">
        <f t="shared" ca="1" si="193"/>
        <v>-</v>
      </c>
      <c r="CB27" s="65" t="str">
        <f t="shared" ca="1" si="193"/>
        <v>-</v>
      </c>
      <c r="CC27" s="65" t="str">
        <f t="shared" ca="1" si="193"/>
        <v>-</v>
      </c>
      <c r="CD27" s="65" t="str">
        <f t="shared" ca="1" si="193"/>
        <v>-</v>
      </c>
      <c r="CE27" s="65" t="str">
        <f t="shared" ca="1" si="193"/>
        <v>-</v>
      </c>
      <c r="CF27" s="65" t="str">
        <f t="shared" ca="1" si="193"/>
        <v>-</v>
      </c>
      <c r="CG27" s="65" t="str">
        <f t="shared" ca="1" si="193"/>
        <v>-</v>
      </c>
      <c r="CH27" s="65" t="str">
        <f t="shared" ca="1" si="193"/>
        <v>-</v>
      </c>
      <c r="CI27" s="65" t="str">
        <f t="shared" ca="1" si="193"/>
        <v>-</v>
      </c>
      <c r="CJ27" s="65" t="str">
        <f t="shared" ca="1" si="193"/>
        <v>-</v>
      </c>
      <c r="CK27" s="65" t="str">
        <f t="shared" ca="1" si="193"/>
        <v>-</v>
      </c>
      <c r="CL27" s="65" t="str">
        <f t="shared" ca="1" si="193"/>
        <v>-</v>
      </c>
      <c r="CM27" s="65" t="str">
        <f t="shared" ca="1" si="193"/>
        <v>-</v>
      </c>
      <c r="CN27" s="65" t="str">
        <f t="shared" ca="1" si="193"/>
        <v>-</v>
      </c>
      <c r="CO27" s="65" t="str">
        <f t="shared" ref="CO27:DD30" ca="1" si="194">IF(AND(CO$2&gt;=$G27,CO$2&lt;($G27+$I27)),ROUND($F27/$I27,0),"-")</f>
        <v>-</v>
      </c>
      <c r="CP27" s="65" t="str">
        <f t="shared" ca="1" si="194"/>
        <v>-</v>
      </c>
      <c r="CQ27" s="65" t="str">
        <f t="shared" ca="1" si="194"/>
        <v>-</v>
      </c>
      <c r="CR27" s="65" t="str">
        <f t="shared" ca="1" si="194"/>
        <v>-</v>
      </c>
      <c r="CS27" s="65" t="str">
        <f t="shared" ca="1" si="194"/>
        <v>-</v>
      </c>
      <c r="CT27" s="65" t="str">
        <f t="shared" ca="1" si="194"/>
        <v>-</v>
      </c>
      <c r="CU27" s="65" t="str">
        <f t="shared" ca="1" si="194"/>
        <v>-</v>
      </c>
      <c r="CV27" s="65" t="str">
        <f t="shared" ca="1" si="194"/>
        <v>-</v>
      </c>
      <c r="CW27" s="65" t="str">
        <f t="shared" ca="1" si="194"/>
        <v>-</v>
      </c>
      <c r="CX27" s="65" t="str">
        <f t="shared" ca="1" si="194"/>
        <v>-</v>
      </c>
      <c r="CY27" s="65" t="str">
        <f t="shared" ca="1" si="194"/>
        <v>-</v>
      </c>
      <c r="CZ27" s="65" t="str">
        <f t="shared" ca="1" si="194"/>
        <v>-</v>
      </c>
      <c r="DA27" s="65" t="str">
        <f t="shared" ca="1" si="194"/>
        <v>-</v>
      </c>
      <c r="DB27" s="65" t="str">
        <f t="shared" ca="1" si="194"/>
        <v>-</v>
      </c>
      <c r="DC27" s="65" t="str">
        <f t="shared" ca="1" si="194"/>
        <v>-</v>
      </c>
      <c r="DD27" s="65" t="str">
        <f t="shared" ca="1" si="194"/>
        <v>-</v>
      </c>
      <c r="DE27" s="65" t="str">
        <f t="shared" ref="CU27:DV30" ca="1" si="195">IF(AND(DE$2&gt;=$G27,DE$2&lt;($G27+$I27)),ROUND($F27/$I27,0),"-")</f>
        <v>-</v>
      </c>
      <c r="DF27" s="65" t="str">
        <f t="shared" ca="1" si="195"/>
        <v>-</v>
      </c>
      <c r="DG27" s="65" t="str">
        <f t="shared" ca="1" si="195"/>
        <v>-</v>
      </c>
      <c r="DH27" s="65" t="str">
        <f t="shared" ca="1" si="195"/>
        <v>-</v>
      </c>
      <c r="DI27" s="65" t="str">
        <f t="shared" ca="1" si="195"/>
        <v>-</v>
      </c>
      <c r="DJ27" s="65" t="str">
        <f t="shared" ca="1" si="195"/>
        <v>-</v>
      </c>
      <c r="DK27" s="65" t="str">
        <f t="shared" ca="1" si="195"/>
        <v>-</v>
      </c>
      <c r="DL27" s="65" t="str">
        <f t="shared" ca="1" si="195"/>
        <v>-</v>
      </c>
      <c r="DM27" s="65" t="str">
        <f t="shared" ca="1" si="195"/>
        <v>-</v>
      </c>
      <c r="DN27" s="65" t="str">
        <f t="shared" ca="1" si="195"/>
        <v>-</v>
      </c>
      <c r="DO27" s="65" t="str">
        <f t="shared" ca="1" si="195"/>
        <v>-</v>
      </c>
      <c r="DP27" s="65" t="str">
        <f t="shared" ca="1" si="195"/>
        <v>-</v>
      </c>
      <c r="DQ27" s="65" t="str">
        <f t="shared" ca="1" si="195"/>
        <v>-</v>
      </c>
      <c r="DR27" s="65" t="str">
        <f t="shared" ca="1" si="195"/>
        <v>-</v>
      </c>
      <c r="DS27" s="65" t="str">
        <f t="shared" ca="1" si="195"/>
        <v>-</v>
      </c>
      <c r="DT27" s="65" t="str">
        <f t="shared" ca="1" si="195"/>
        <v>-</v>
      </c>
      <c r="DU27" s="65" t="str">
        <f t="shared" ca="1" si="195"/>
        <v>-</v>
      </c>
      <c r="DV27" s="65" t="str">
        <f t="shared" ca="1" si="195"/>
        <v>-</v>
      </c>
    </row>
    <row r="28" spans="1:126">
      <c r="A28" s="464"/>
      <c r="B28" s="509"/>
      <c r="C28" s="509"/>
      <c r="D28" s="456"/>
      <c r="E28" s="185" t="s">
        <v>65</v>
      </c>
      <c r="F28" s="66" t="e">
        <f>SUM('BESS 12'!S164,'BESS 12'!S166:S167,'BESS 12'!S170:S172)</f>
        <v>#VALUE!</v>
      </c>
      <c r="G28" s="182">
        <f ca="1">TODAY()</f>
        <v>46233</v>
      </c>
      <c r="H28" s="162">
        <f>MAX('BESS 12'!O164,'BESS 12'!O166:O167,'BESS 12'!O170:O172)</f>
        <v>46232</v>
      </c>
      <c r="I28" s="66">
        <f t="shared" ca="1" si="188"/>
        <v>-1</v>
      </c>
      <c r="J28" s="453"/>
      <c r="K28" s="507"/>
      <c r="L28" s="476"/>
      <c r="M28" s="65" t="str">
        <f t="shared" ca="1" si="189"/>
        <v>-</v>
      </c>
      <c r="N28" s="65" t="str">
        <f t="shared" ca="1" si="189"/>
        <v>-</v>
      </c>
      <c r="O28" s="65" t="str">
        <f t="shared" ca="1" si="189"/>
        <v>-</v>
      </c>
      <c r="P28" s="65" t="str">
        <f t="shared" ca="1" si="189"/>
        <v>-</v>
      </c>
      <c r="Q28" s="65" t="str">
        <f t="shared" ca="1" si="189"/>
        <v>-</v>
      </c>
      <c r="R28" s="65" t="str">
        <f t="shared" ca="1" si="189"/>
        <v>-</v>
      </c>
      <c r="S28" s="65" t="str">
        <f t="shared" ca="1" si="189"/>
        <v>-</v>
      </c>
      <c r="T28" s="65" t="str">
        <f t="shared" ca="1" si="189"/>
        <v>-</v>
      </c>
      <c r="U28" s="65" t="str">
        <f t="shared" ca="1" si="189"/>
        <v>-</v>
      </c>
      <c r="V28" s="65" t="str">
        <f t="shared" ca="1" si="189"/>
        <v>-</v>
      </c>
      <c r="W28" s="65" t="str">
        <f t="shared" ca="1" si="189"/>
        <v>-</v>
      </c>
      <c r="X28" s="65" t="str">
        <f t="shared" ca="1" si="189"/>
        <v>-</v>
      </c>
      <c r="Y28" s="65" t="str">
        <f t="shared" ca="1" si="189"/>
        <v>-</v>
      </c>
      <c r="Z28" s="65" t="str">
        <f t="shared" ca="1" si="189"/>
        <v>-</v>
      </c>
      <c r="AA28" s="65" t="str">
        <f t="shared" ca="1" si="189"/>
        <v>-</v>
      </c>
      <c r="AB28" s="65" t="str">
        <f t="shared" ca="1" si="189"/>
        <v>-</v>
      </c>
      <c r="AC28" s="65" t="str">
        <f t="shared" ca="1" si="190"/>
        <v>-</v>
      </c>
      <c r="AD28" s="65" t="str">
        <f t="shared" ca="1" si="190"/>
        <v>-</v>
      </c>
      <c r="AE28" s="65" t="str">
        <f t="shared" ca="1" si="190"/>
        <v>-</v>
      </c>
      <c r="AF28" s="65" t="str">
        <f t="shared" ca="1" si="190"/>
        <v>-</v>
      </c>
      <c r="AG28" s="65" t="str">
        <f t="shared" ca="1" si="190"/>
        <v>-</v>
      </c>
      <c r="AH28" s="65" t="str">
        <f t="shared" ca="1" si="190"/>
        <v>-</v>
      </c>
      <c r="AI28" s="65" t="str">
        <f t="shared" ca="1" si="190"/>
        <v>-</v>
      </c>
      <c r="AJ28" s="65" t="str">
        <f t="shared" ca="1" si="190"/>
        <v>-</v>
      </c>
      <c r="AK28" s="65" t="str">
        <f t="shared" ca="1" si="190"/>
        <v>-</v>
      </c>
      <c r="AL28" s="65" t="str">
        <f t="shared" ca="1" si="190"/>
        <v>-</v>
      </c>
      <c r="AM28" s="65" t="str">
        <f t="shared" ca="1" si="190"/>
        <v>-</v>
      </c>
      <c r="AN28" s="65" t="str">
        <f t="shared" ca="1" si="190"/>
        <v>-</v>
      </c>
      <c r="AO28" s="65" t="str">
        <f t="shared" ca="1" si="190"/>
        <v>-</v>
      </c>
      <c r="AP28" s="65" t="str">
        <f t="shared" ca="1" si="190"/>
        <v>-</v>
      </c>
      <c r="AQ28" s="65" t="str">
        <f t="shared" ca="1" si="190"/>
        <v>-</v>
      </c>
      <c r="AR28" s="65" t="str">
        <f t="shared" ca="1" si="190"/>
        <v>-</v>
      </c>
      <c r="AS28" s="65" t="str">
        <f t="shared" ca="1" si="191"/>
        <v>-</v>
      </c>
      <c r="AT28" s="65" t="str">
        <f t="shared" ca="1" si="191"/>
        <v>-</v>
      </c>
      <c r="AU28" s="65" t="str">
        <f t="shared" ca="1" si="191"/>
        <v>-</v>
      </c>
      <c r="AV28" s="65" t="str">
        <f t="shared" ca="1" si="191"/>
        <v>-</v>
      </c>
      <c r="AW28" s="65" t="str">
        <f t="shared" ca="1" si="191"/>
        <v>-</v>
      </c>
      <c r="AX28" s="65" t="str">
        <f t="shared" ca="1" si="191"/>
        <v>-</v>
      </c>
      <c r="AY28" s="65" t="str">
        <f t="shared" ca="1" si="191"/>
        <v>-</v>
      </c>
      <c r="AZ28" s="65" t="str">
        <f t="shared" ca="1" si="191"/>
        <v>-</v>
      </c>
      <c r="BA28" s="65" t="str">
        <f t="shared" ca="1" si="191"/>
        <v>-</v>
      </c>
      <c r="BB28" s="65" t="str">
        <f t="shared" ca="1" si="191"/>
        <v>-</v>
      </c>
      <c r="BC28" s="65" t="str">
        <f t="shared" ca="1" si="191"/>
        <v>-</v>
      </c>
      <c r="BD28" s="65" t="str">
        <f t="shared" ca="1" si="191"/>
        <v>-</v>
      </c>
      <c r="BE28" s="65" t="str">
        <f t="shared" ca="1" si="191"/>
        <v>-</v>
      </c>
      <c r="BF28" s="65" t="str">
        <f t="shared" ca="1" si="191"/>
        <v>-</v>
      </c>
      <c r="BG28" s="65" t="str">
        <f t="shared" ca="1" si="191"/>
        <v>-</v>
      </c>
      <c r="BH28" s="65" t="str">
        <f t="shared" ca="1" si="191"/>
        <v>-</v>
      </c>
      <c r="BI28" s="65" t="str">
        <f t="shared" ca="1" si="192"/>
        <v>-</v>
      </c>
      <c r="BJ28" s="65" t="str">
        <f t="shared" ca="1" si="192"/>
        <v>-</v>
      </c>
      <c r="BK28" s="65" t="str">
        <f t="shared" ca="1" si="192"/>
        <v>-</v>
      </c>
      <c r="BL28" s="65" t="str">
        <f t="shared" ca="1" si="192"/>
        <v>-</v>
      </c>
      <c r="BM28" s="65" t="str">
        <f t="shared" ca="1" si="192"/>
        <v>-</v>
      </c>
      <c r="BN28" s="65" t="str">
        <f t="shared" ca="1" si="192"/>
        <v>-</v>
      </c>
      <c r="BO28" s="65" t="str">
        <f t="shared" ca="1" si="192"/>
        <v>-</v>
      </c>
      <c r="BP28" s="65" t="str">
        <f t="shared" ca="1" si="192"/>
        <v>-</v>
      </c>
      <c r="BQ28" s="65" t="str">
        <f t="shared" ca="1" si="192"/>
        <v>-</v>
      </c>
      <c r="BR28" s="65" t="str">
        <f t="shared" ca="1" si="192"/>
        <v>-</v>
      </c>
      <c r="BS28" s="65" t="str">
        <f t="shared" ca="1" si="192"/>
        <v>-</v>
      </c>
      <c r="BT28" s="65" t="str">
        <f t="shared" ca="1" si="192"/>
        <v>-</v>
      </c>
      <c r="BU28" s="65" t="str">
        <f t="shared" ca="1" si="192"/>
        <v>-</v>
      </c>
      <c r="BV28" s="65" t="str">
        <f t="shared" ca="1" si="192"/>
        <v>-</v>
      </c>
      <c r="BW28" s="65" t="str">
        <f t="shared" ca="1" si="192"/>
        <v>-</v>
      </c>
      <c r="BX28" s="65" t="str">
        <f t="shared" ca="1" si="192"/>
        <v>-</v>
      </c>
      <c r="BY28" s="65" t="str">
        <f t="shared" ca="1" si="193"/>
        <v>-</v>
      </c>
      <c r="BZ28" s="65" t="str">
        <f t="shared" ca="1" si="193"/>
        <v>-</v>
      </c>
      <c r="CA28" s="65" t="str">
        <f t="shared" ca="1" si="193"/>
        <v>-</v>
      </c>
      <c r="CB28" s="65" t="str">
        <f t="shared" ca="1" si="193"/>
        <v>-</v>
      </c>
      <c r="CC28" s="65" t="str">
        <f t="shared" ca="1" si="193"/>
        <v>-</v>
      </c>
      <c r="CD28" s="65" t="str">
        <f t="shared" ca="1" si="193"/>
        <v>-</v>
      </c>
      <c r="CE28" s="65" t="str">
        <f t="shared" ca="1" si="193"/>
        <v>-</v>
      </c>
      <c r="CF28" s="65" t="str">
        <f t="shared" ca="1" si="193"/>
        <v>-</v>
      </c>
      <c r="CG28" s="65" t="str">
        <f t="shared" ca="1" si="193"/>
        <v>-</v>
      </c>
      <c r="CH28" s="65" t="str">
        <f t="shared" ca="1" si="193"/>
        <v>-</v>
      </c>
      <c r="CI28" s="65" t="str">
        <f t="shared" ca="1" si="193"/>
        <v>-</v>
      </c>
      <c r="CJ28" s="65" t="str">
        <f t="shared" ca="1" si="193"/>
        <v>-</v>
      </c>
      <c r="CK28" s="65" t="str">
        <f t="shared" ca="1" si="193"/>
        <v>-</v>
      </c>
      <c r="CL28" s="65" t="str">
        <f t="shared" ca="1" si="193"/>
        <v>-</v>
      </c>
      <c r="CM28" s="65" t="str">
        <f t="shared" ca="1" si="193"/>
        <v>-</v>
      </c>
      <c r="CN28" s="65" t="str">
        <f t="shared" ca="1" si="193"/>
        <v>-</v>
      </c>
      <c r="CO28" s="65" t="str">
        <f t="shared" ca="1" si="194"/>
        <v>-</v>
      </c>
      <c r="CP28" s="65" t="str">
        <f t="shared" ca="1" si="194"/>
        <v>-</v>
      </c>
      <c r="CQ28" s="65" t="str">
        <f t="shared" ca="1" si="194"/>
        <v>-</v>
      </c>
      <c r="CR28" s="65" t="str">
        <f t="shared" ca="1" si="194"/>
        <v>-</v>
      </c>
      <c r="CS28" s="65" t="str">
        <f t="shared" ca="1" si="194"/>
        <v>-</v>
      </c>
      <c r="CT28" s="65" t="str">
        <f t="shared" ca="1" si="194"/>
        <v>-</v>
      </c>
      <c r="CU28" s="65" t="str">
        <f t="shared" ca="1" si="195"/>
        <v>-</v>
      </c>
      <c r="CV28" s="65" t="str">
        <f t="shared" ca="1" si="195"/>
        <v>-</v>
      </c>
      <c r="CW28" s="65" t="str">
        <f t="shared" ca="1" si="195"/>
        <v>-</v>
      </c>
      <c r="CX28" s="65" t="str">
        <f t="shared" ca="1" si="195"/>
        <v>-</v>
      </c>
      <c r="CY28" s="65" t="str">
        <f t="shared" ca="1" si="195"/>
        <v>-</v>
      </c>
      <c r="CZ28" s="65" t="str">
        <f t="shared" ca="1" si="195"/>
        <v>-</v>
      </c>
      <c r="DA28" s="65" t="str">
        <f t="shared" ca="1" si="195"/>
        <v>-</v>
      </c>
      <c r="DB28" s="65" t="str">
        <f t="shared" ca="1" si="195"/>
        <v>-</v>
      </c>
      <c r="DC28" s="65" t="str">
        <f t="shared" ca="1" si="195"/>
        <v>-</v>
      </c>
      <c r="DD28" s="65" t="str">
        <f t="shared" ca="1" si="195"/>
        <v>-</v>
      </c>
      <c r="DE28" s="65" t="str">
        <f t="shared" ca="1" si="195"/>
        <v>-</v>
      </c>
      <c r="DF28" s="65" t="str">
        <f t="shared" ca="1" si="195"/>
        <v>-</v>
      </c>
      <c r="DG28" s="65" t="str">
        <f t="shared" ca="1" si="195"/>
        <v>-</v>
      </c>
      <c r="DH28" s="65" t="str">
        <f t="shared" ca="1" si="195"/>
        <v>-</v>
      </c>
      <c r="DI28" s="65" t="str">
        <f t="shared" ca="1" si="195"/>
        <v>-</v>
      </c>
      <c r="DJ28" s="65" t="str">
        <f t="shared" ca="1" si="195"/>
        <v>-</v>
      </c>
      <c r="DK28" s="65" t="str">
        <f t="shared" ca="1" si="195"/>
        <v>-</v>
      </c>
      <c r="DL28" s="65" t="str">
        <f t="shared" ca="1" si="195"/>
        <v>-</v>
      </c>
      <c r="DM28" s="65" t="str">
        <f t="shared" ca="1" si="195"/>
        <v>-</v>
      </c>
      <c r="DN28" s="65" t="str">
        <f t="shared" ca="1" si="195"/>
        <v>-</v>
      </c>
      <c r="DO28" s="65" t="str">
        <f t="shared" ca="1" si="195"/>
        <v>-</v>
      </c>
      <c r="DP28" s="65" t="str">
        <f t="shared" ca="1" si="195"/>
        <v>-</v>
      </c>
      <c r="DQ28" s="65" t="str">
        <f t="shared" ca="1" si="195"/>
        <v>-</v>
      </c>
      <c r="DR28" s="65" t="str">
        <f t="shared" ca="1" si="195"/>
        <v>-</v>
      </c>
      <c r="DS28" s="65" t="str">
        <f t="shared" ca="1" si="195"/>
        <v>-</v>
      </c>
      <c r="DT28" s="65" t="str">
        <f t="shared" ca="1" si="195"/>
        <v>-</v>
      </c>
      <c r="DU28" s="65" t="str">
        <f t="shared" ca="1" si="195"/>
        <v>-</v>
      </c>
      <c r="DV28" s="65" t="str">
        <f t="shared" ca="1" si="195"/>
        <v>-</v>
      </c>
    </row>
    <row r="29" spans="1:126">
      <c r="A29" s="464"/>
      <c r="B29" s="509"/>
      <c r="C29" s="509"/>
      <c r="D29" s="456"/>
      <c r="E29" s="185" t="s">
        <v>66</v>
      </c>
      <c r="F29" s="66" t="e">
        <f>SUM('BESS 12'!S165,'BESS 12'!S168:S169,'BESS 12'!S173:S174)</f>
        <v>#VALUE!</v>
      </c>
      <c r="G29" s="182">
        <f ca="1">TODAY()</f>
        <v>46233</v>
      </c>
      <c r="H29" s="162">
        <f>MAX('BESS 12'!O165,'BESS 12'!O167:O168,'BESS 12'!O171:O173)</f>
        <v>46235</v>
      </c>
      <c r="I29" s="66">
        <f t="shared" ca="1" si="188"/>
        <v>2</v>
      </c>
      <c r="J29" s="453"/>
      <c r="K29" s="507"/>
      <c r="L29" s="476"/>
      <c r="M29" s="65" t="str">
        <f t="shared" ca="1" si="189"/>
        <v>-</v>
      </c>
      <c r="N29" s="65" t="str">
        <f t="shared" ca="1" si="189"/>
        <v>-</v>
      </c>
      <c r="O29" s="65" t="str">
        <f t="shared" ca="1" si="189"/>
        <v>-</v>
      </c>
      <c r="P29" s="65" t="str">
        <f t="shared" ca="1" si="189"/>
        <v>-</v>
      </c>
      <c r="Q29" s="65" t="str">
        <f t="shared" ca="1" si="189"/>
        <v>-</v>
      </c>
      <c r="R29" s="65" t="str">
        <f t="shared" ca="1" si="189"/>
        <v>-</v>
      </c>
      <c r="S29" s="65" t="str">
        <f t="shared" ca="1" si="189"/>
        <v>-</v>
      </c>
      <c r="T29" s="65" t="str">
        <f t="shared" ca="1" si="189"/>
        <v>-</v>
      </c>
      <c r="U29" s="65" t="str">
        <f t="shared" ca="1" si="189"/>
        <v>-</v>
      </c>
      <c r="V29" s="65" t="str">
        <f t="shared" ca="1" si="189"/>
        <v>-</v>
      </c>
      <c r="W29" s="65" t="str">
        <f t="shared" ca="1" si="189"/>
        <v>-</v>
      </c>
      <c r="X29" s="65" t="str">
        <f t="shared" ca="1" si="189"/>
        <v>-</v>
      </c>
      <c r="Y29" s="65" t="str">
        <f t="shared" ca="1" si="189"/>
        <v>-</v>
      </c>
      <c r="Z29" s="65" t="str">
        <f t="shared" ca="1" si="189"/>
        <v>-</v>
      </c>
      <c r="AA29" s="65" t="str">
        <f t="shared" ca="1" si="189"/>
        <v>-</v>
      </c>
      <c r="AB29" s="65" t="str">
        <f t="shared" ca="1" si="189"/>
        <v>-</v>
      </c>
      <c r="AC29" s="65" t="str">
        <f t="shared" ca="1" si="190"/>
        <v>-</v>
      </c>
      <c r="AD29" s="65" t="str">
        <f t="shared" ca="1" si="190"/>
        <v>-</v>
      </c>
      <c r="AE29" s="65" t="str">
        <f t="shared" ca="1" si="190"/>
        <v>-</v>
      </c>
      <c r="AF29" s="65" t="str">
        <f t="shared" ca="1" si="190"/>
        <v>-</v>
      </c>
      <c r="AG29" s="65" t="str">
        <f t="shared" ca="1" si="190"/>
        <v>-</v>
      </c>
      <c r="AH29" s="65" t="str">
        <f t="shared" ca="1" si="190"/>
        <v>-</v>
      </c>
      <c r="AI29" s="65" t="str">
        <f t="shared" ca="1" si="190"/>
        <v>-</v>
      </c>
      <c r="AJ29" s="65" t="str">
        <f t="shared" ca="1" si="190"/>
        <v>-</v>
      </c>
      <c r="AK29" s="65" t="str">
        <f t="shared" ca="1" si="190"/>
        <v>-</v>
      </c>
      <c r="AL29" s="65" t="str">
        <f t="shared" ca="1" si="190"/>
        <v>-</v>
      </c>
      <c r="AM29" s="65" t="str">
        <f t="shared" ca="1" si="190"/>
        <v>-</v>
      </c>
      <c r="AN29" s="65" t="str">
        <f t="shared" ca="1" si="190"/>
        <v>-</v>
      </c>
      <c r="AO29" s="65" t="str">
        <f t="shared" ca="1" si="190"/>
        <v>-</v>
      </c>
      <c r="AP29" s="65" t="str">
        <f t="shared" ca="1" si="190"/>
        <v>-</v>
      </c>
      <c r="AQ29" s="65" t="str">
        <f t="shared" ca="1" si="190"/>
        <v>-</v>
      </c>
      <c r="AR29" s="65" t="str">
        <f t="shared" ca="1" si="190"/>
        <v>-</v>
      </c>
      <c r="AS29" s="65" t="str">
        <f t="shared" ca="1" si="191"/>
        <v>-</v>
      </c>
      <c r="AT29" s="65" t="str">
        <f t="shared" ca="1" si="191"/>
        <v>-</v>
      </c>
      <c r="AU29" s="65" t="str">
        <f t="shared" ca="1" si="191"/>
        <v>-</v>
      </c>
      <c r="AV29" s="65" t="str">
        <f t="shared" ca="1" si="191"/>
        <v>-</v>
      </c>
      <c r="AW29" s="65" t="str">
        <f t="shared" ca="1" si="191"/>
        <v>-</v>
      </c>
      <c r="AX29" s="65" t="str">
        <f t="shared" ca="1" si="191"/>
        <v>-</v>
      </c>
      <c r="AY29" s="65" t="e">
        <f t="shared" ca="1" si="191"/>
        <v>#VALUE!</v>
      </c>
      <c r="AZ29" s="65" t="e">
        <f t="shared" ca="1" si="191"/>
        <v>#VALUE!</v>
      </c>
      <c r="BA29" s="65" t="str">
        <f t="shared" ca="1" si="191"/>
        <v>-</v>
      </c>
      <c r="BB29" s="65" t="str">
        <f t="shared" ca="1" si="191"/>
        <v>-</v>
      </c>
      <c r="BC29" s="65" t="str">
        <f t="shared" ca="1" si="191"/>
        <v>-</v>
      </c>
      <c r="BD29" s="65" t="str">
        <f t="shared" ca="1" si="191"/>
        <v>-</v>
      </c>
      <c r="BE29" s="65" t="str">
        <f t="shared" ca="1" si="191"/>
        <v>-</v>
      </c>
      <c r="BF29" s="65" t="str">
        <f t="shared" ca="1" si="191"/>
        <v>-</v>
      </c>
      <c r="BG29" s="65" t="str">
        <f t="shared" ca="1" si="191"/>
        <v>-</v>
      </c>
      <c r="BH29" s="65" t="str">
        <f t="shared" ca="1" si="191"/>
        <v>-</v>
      </c>
      <c r="BI29" s="65" t="str">
        <f t="shared" ca="1" si="192"/>
        <v>-</v>
      </c>
      <c r="BJ29" s="65" t="str">
        <f t="shared" ca="1" si="192"/>
        <v>-</v>
      </c>
      <c r="BK29" s="65" t="str">
        <f t="shared" ca="1" si="192"/>
        <v>-</v>
      </c>
      <c r="BL29" s="65" t="str">
        <f t="shared" ca="1" si="192"/>
        <v>-</v>
      </c>
      <c r="BM29" s="65" t="str">
        <f t="shared" ca="1" si="192"/>
        <v>-</v>
      </c>
      <c r="BN29" s="65" t="str">
        <f t="shared" ca="1" si="192"/>
        <v>-</v>
      </c>
      <c r="BO29" s="65" t="str">
        <f t="shared" ca="1" si="192"/>
        <v>-</v>
      </c>
      <c r="BP29" s="65" t="str">
        <f t="shared" ca="1" si="192"/>
        <v>-</v>
      </c>
      <c r="BQ29" s="65" t="str">
        <f t="shared" ca="1" si="192"/>
        <v>-</v>
      </c>
      <c r="BR29" s="65" t="str">
        <f t="shared" ca="1" si="192"/>
        <v>-</v>
      </c>
      <c r="BS29" s="65" t="str">
        <f t="shared" ca="1" si="192"/>
        <v>-</v>
      </c>
      <c r="BT29" s="65" t="str">
        <f t="shared" ca="1" si="192"/>
        <v>-</v>
      </c>
      <c r="BU29" s="65" t="str">
        <f t="shared" ca="1" si="192"/>
        <v>-</v>
      </c>
      <c r="BV29" s="65" t="str">
        <f t="shared" ca="1" si="192"/>
        <v>-</v>
      </c>
      <c r="BW29" s="65" t="str">
        <f t="shared" ca="1" si="192"/>
        <v>-</v>
      </c>
      <c r="BX29" s="65" t="str">
        <f t="shared" ca="1" si="192"/>
        <v>-</v>
      </c>
      <c r="BY29" s="65" t="str">
        <f t="shared" ca="1" si="193"/>
        <v>-</v>
      </c>
      <c r="BZ29" s="65" t="str">
        <f t="shared" ca="1" si="193"/>
        <v>-</v>
      </c>
      <c r="CA29" s="65" t="str">
        <f t="shared" ca="1" si="193"/>
        <v>-</v>
      </c>
      <c r="CB29" s="65" t="str">
        <f t="shared" ca="1" si="193"/>
        <v>-</v>
      </c>
      <c r="CC29" s="65" t="str">
        <f t="shared" ca="1" si="193"/>
        <v>-</v>
      </c>
      <c r="CD29" s="65" t="str">
        <f t="shared" ca="1" si="193"/>
        <v>-</v>
      </c>
      <c r="CE29" s="65" t="str">
        <f t="shared" ca="1" si="193"/>
        <v>-</v>
      </c>
      <c r="CF29" s="65" t="str">
        <f t="shared" ca="1" si="193"/>
        <v>-</v>
      </c>
      <c r="CG29" s="65" t="str">
        <f t="shared" ca="1" si="193"/>
        <v>-</v>
      </c>
      <c r="CH29" s="65" t="str">
        <f t="shared" ca="1" si="193"/>
        <v>-</v>
      </c>
      <c r="CI29" s="65" t="str">
        <f t="shared" ca="1" si="193"/>
        <v>-</v>
      </c>
      <c r="CJ29" s="65" t="str">
        <f t="shared" ca="1" si="193"/>
        <v>-</v>
      </c>
      <c r="CK29" s="65" t="str">
        <f t="shared" ca="1" si="193"/>
        <v>-</v>
      </c>
      <c r="CL29" s="65" t="str">
        <f t="shared" ca="1" si="193"/>
        <v>-</v>
      </c>
      <c r="CM29" s="65" t="str">
        <f t="shared" ca="1" si="193"/>
        <v>-</v>
      </c>
      <c r="CN29" s="65" t="str">
        <f t="shared" ca="1" si="193"/>
        <v>-</v>
      </c>
      <c r="CO29" s="65" t="str">
        <f t="shared" ca="1" si="194"/>
        <v>-</v>
      </c>
      <c r="CP29" s="65" t="str">
        <f t="shared" ca="1" si="194"/>
        <v>-</v>
      </c>
      <c r="CQ29" s="65" t="str">
        <f t="shared" ca="1" si="194"/>
        <v>-</v>
      </c>
      <c r="CR29" s="65" t="str">
        <f t="shared" ca="1" si="194"/>
        <v>-</v>
      </c>
      <c r="CS29" s="65" t="str">
        <f t="shared" ca="1" si="194"/>
        <v>-</v>
      </c>
      <c r="CT29" s="65" t="str">
        <f t="shared" ca="1" si="194"/>
        <v>-</v>
      </c>
      <c r="CU29" s="65" t="str">
        <f t="shared" ca="1" si="195"/>
        <v>-</v>
      </c>
      <c r="CV29" s="65" t="str">
        <f t="shared" ca="1" si="195"/>
        <v>-</v>
      </c>
      <c r="CW29" s="65" t="str">
        <f t="shared" ca="1" si="195"/>
        <v>-</v>
      </c>
      <c r="CX29" s="65" t="str">
        <f t="shared" ca="1" si="195"/>
        <v>-</v>
      </c>
      <c r="CY29" s="65" t="str">
        <f t="shared" ca="1" si="195"/>
        <v>-</v>
      </c>
      <c r="CZ29" s="65" t="str">
        <f t="shared" ca="1" si="195"/>
        <v>-</v>
      </c>
      <c r="DA29" s="65" t="str">
        <f t="shared" ca="1" si="195"/>
        <v>-</v>
      </c>
      <c r="DB29" s="65" t="str">
        <f t="shared" ca="1" si="195"/>
        <v>-</v>
      </c>
      <c r="DC29" s="65" t="str">
        <f t="shared" ca="1" si="195"/>
        <v>-</v>
      </c>
      <c r="DD29" s="65" t="str">
        <f t="shared" ca="1" si="195"/>
        <v>-</v>
      </c>
      <c r="DE29" s="65" t="str">
        <f t="shared" ca="1" si="195"/>
        <v>-</v>
      </c>
      <c r="DF29" s="65" t="str">
        <f t="shared" ca="1" si="195"/>
        <v>-</v>
      </c>
      <c r="DG29" s="65" t="str">
        <f t="shared" ca="1" si="195"/>
        <v>-</v>
      </c>
      <c r="DH29" s="65" t="str">
        <f t="shared" ca="1" si="195"/>
        <v>-</v>
      </c>
      <c r="DI29" s="65" t="str">
        <f t="shared" ca="1" si="195"/>
        <v>-</v>
      </c>
      <c r="DJ29" s="65" t="str">
        <f t="shared" ca="1" si="195"/>
        <v>-</v>
      </c>
      <c r="DK29" s="65" t="str">
        <f t="shared" ca="1" si="195"/>
        <v>-</v>
      </c>
      <c r="DL29" s="65" t="str">
        <f t="shared" ca="1" si="195"/>
        <v>-</v>
      </c>
      <c r="DM29" s="65" t="str">
        <f t="shared" ca="1" si="195"/>
        <v>-</v>
      </c>
      <c r="DN29" s="65" t="str">
        <f t="shared" ca="1" si="195"/>
        <v>-</v>
      </c>
      <c r="DO29" s="65" t="str">
        <f t="shared" ca="1" si="195"/>
        <v>-</v>
      </c>
      <c r="DP29" s="65" t="str">
        <f t="shared" ca="1" si="195"/>
        <v>-</v>
      </c>
      <c r="DQ29" s="65" t="str">
        <f t="shared" ca="1" si="195"/>
        <v>-</v>
      </c>
      <c r="DR29" s="65" t="str">
        <f t="shared" ca="1" si="195"/>
        <v>-</v>
      </c>
      <c r="DS29" s="65" t="str">
        <f t="shared" ca="1" si="195"/>
        <v>-</v>
      </c>
      <c r="DT29" s="65" t="str">
        <f t="shared" ca="1" si="195"/>
        <v>-</v>
      </c>
      <c r="DU29" s="65" t="str">
        <f t="shared" ca="1" si="195"/>
        <v>-</v>
      </c>
      <c r="DV29" s="65" t="str">
        <f t="shared" ca="1" si="195"/>
        <v>-</v>
      </c>
    </row>
    <row r="30" spans="1:126">
      <c r="A30" s="464"/>
      <c r="B30" s="509"/>
      <c r="C30" s="509"/>
      <c r="D30" s="456"/>
      <c r="E30" s="185" t="s">
        <v>67</v>
      </c>
      <c r="F30" s="66" t="e">
        <f>SUM('BESS 12'!S176:S185)</f>
        <v>#VALUE!</v>
      </c>
      <c r="G30" s="182">
        <f ca="1">TODAY()</f>
        <v>46233</v>
      </c>
      <c r="H30" s="162">
        <f>B26-3</f>
        <v>46237</v>
      </c>
      <c r="I30" s="66">
        <f t="shared" ca="1" si="188"/>
        <v>4</v>
      </c>
      <c r="J30" s="453"/>
      <c r="K30" s="507"/>
      <c r="L30" s="476"/>
      <c r="M30" s="65" t="str">
        <f t="shared" ca="1" si="189"/>
        <v>-</v>
      </c>
      <c r="N30" s="65" t="str">
        <f t="shared" ca="1" si="189"/>
        <v>-</v>
      </c>
      <c r="O30" s="65" t="str">
        <f t="shared" ca="1" si="189"/>
        <v>-</v>
      </c>
      <c r="P30" s="65" t="str">
        <f t="shared" ca="1" si="189"/>
        <v>-</v>
      </c>
      <c r="Q30" s="65" t="str">
        <f t="shared" ca="1" si="189"/>
        <v>-</v>
      </c>
      <c r="R30" s="65" t="str">
        <f t="shared" ca="1" si="189"/>
        <v>-</v>
      </c>
      <c r="S30" s="65" t="str">
        <f t="shared" ca="1" si="189"/>
        <v>-</v>
      </c>
      <c r="T30" s="65" t="str">
        <f t="shared" ca="1" si="189"/>
        <v>-</v>
      </c>
      <c r="U30" s="65" t="str">
        <f t="shared" ca="1" si="189"/>
        <v>-</v>
      </c>
      <c r="V30" s="65" t="str">
        <f t="shared" ca="1" si="189"/>
        <v>-</v>
      </c>
      <c r="W30" s="65" t="str">
        <f t="shared" ca="1" si="189"/>
        <v>-</v>
      </c>
      <c r="X30" s="65" t="str">
        <f t="shared" ca="1" si="189"/>
        <v>-</v>
      </c>
      <c r="Y30" s="65" t="str">
        <f t="shared" ca="1" si="189"/>
        <v>-</v>
      </c>
      <c r="Z30" s="65" t="str">
        <f t="shared" ca="1" si="189"/>
        <v>-</v>
      </c>
      <c r="AA30" s="65" t="str">
        <f t="shared" ca="1" si="189"/>
        <v>-</v>
      </c>
      <c r="AB30" s="65" t="str">
        <f t="shared" ca="1" si="189"/>
        <v>-</v>
      </c>
      <c r="AC30" s="65" t="str">
        <f t="shared" ca="1" si="190"/>
        <v>-</v>
      </c>
      <c r="AD30" s="65" t="str">
        <f t="shared" ca="1" si="190"/>
        <v>-</v>
      </c>
      <c r="AE30" s="65" t="str">
        <f t="shared" ca="1" si="190"/>
        <v>-</v>
      </c>
      <c r="AF30" s="65" t="str">
        <f t="shared" ca="1" si="190"/>
        <v>-</v>
      </c>
      <c r="AG30" s="65" t="str">
        <f t="shared" ca="1" si="190"/>
        <v>-</v>
      </c>
      <c r="AH30" s="65" t="str">
        <f t="shared" ca="1" si="190"/>
        <v>-</v>
      </c>
      <c r="AI30" s="65" t="str">
        <f t="shared" ca="1" si="190"/>
        <v>-</v>
      </c>
      <c r="AJ30" s="65" t="str">
        <f t="shared" ca="1" si="190"/>
        <v>-</v>
      </c>
      <c r="AK30" s="65" t="str">
        <f t="shared" ca="1" si="190"/>
        <v>-</v>
      </c>
      <c r="AL30" s="65" t="str">
        <f t="shared" ca="1" si="190"/>
        <v>-</v>
      </c>
      <c r="AM30" s="65" t="str">
        <f t="shared" ca="1" si="190"/>
        <v>-</v>
      </c>
      <c r="AN30" s="65" t="str">
        <f t="shared" ca="1" si="190"/>
        <v>-</v>
      </c>
      <c r="AO30" s="65" t="str">
        <f t="shared" ca="1" si="190"/>
        <v>-</v>
      </c>
      <c r="AP30" s="65" t="str">
        <f t="shared" ca="1" si="190"/>
        <v>-</v>
      </c>
      <c r="AQ30" s="65" t="str">
        <f t="shared" ca="1" si="190"/>
        <v>-</v>
      </c>
      <c r="AR30" s="65" t="str">
        <f t="shared" ca="1" si="190"/>
        <v>-</v>
      </c>
      <c r="AS30" s="65" t="str">
        <f t="shared" ca="1" si="191"/>
        <v>-</v>
      </c>
      <c r="AT30" s="65" t="str">
        <f t="shared" ca="1" si="191"/>
        <v>-</v>
      </c>
      <c r="AU30" s="65" t="str">
        <f t="shared" ca="1" si="191"/>
        <v>-</v>
      </c>
      <c r="AV30" s="65" t="str">
        <f t="shared" ca="1" si="191"/>
        <v>-</v>
      </c>
      <c r="AW30" s="65" t="str">
        <f t="shared" ca="1" si="191"/>
        <v>-</v>
      </c>
      <c r="AX30" s="65" t="str">
        <f t="shared" ca="1" si="191"/>
        <v>-</v>
      </c>
      <c r="AY30" s="65" t="e">
        <f t="shared" ca="1" si="191"/>
        <v>#VALUE!</v>
      </c>
      <c r="AZ30" s="65" t="e">
        <f t="shared" ca="1" si="191"/>
        <v>#VALUE!</v>
      </c>
      <c r="BA30" s="65" t="e">
        <f t="shared" ca="1" si="191"/>
        <v>#VALUE!</v>
      </c>
      <c r="BB30" s="65" t="e">
        <f t="shared" ca="1" si="191"/>
        <v>#VALUE!</v>
      </c>
      <c r="BC30" s="65" t="str">
        <f t="shared" ca="1" si="191"/>
        <v>-</v>
      </c>
      <c r="BD30" s="65" t="str">
        <f t="shared" ca="1" si="191"/>
        <v>-</v>
      </c>
      <c r="BE30" s="65" t="str">
        <f t="shared" ca="1" si="191"/>
        <v>-</v>
      </c>
      <c r="BF30" s="65" t="str">
        <f t="shared" ca="1" si="191"/>
        <v>-</v>
      </c>
      <c r="BG30" s="65" t="str">
        <f t="shared" ca="1" si="191"/>
        <v>-</v>
      </c>
      <c r="BH30" s="65" t="str">
        <f t="shared" ca="1" si="191"/>
        <v>-</v>
      </c>
      <c r="BI30" s="65" t="str">
        <f t="shared" ca="1" si="192"/>
        <v>-</v>
      </c>
      <c r="BJ30" s="65" t="str">
        <f t="shared" ca="1" si="192"/>
        <v>-</v>
      </c>
      <c r="BK30" s="65" t="str">
        <f t="shared" ca="1" si="192"/>
        <v>-</v>
      </c>
      <c r="BL30" s="65" t="str">
        <f t="shared" ca="1" si="192"/>
        <v>-</v>
      </c>
      <c r="BM30" s="65" t="str">
        <f t="shared" ca="1" si="192"/>
        <v>-</v>
      </c>
      <c r="BN30" s="65" t="str">
        <f t="shared" ca="1" si="192"/>
        <v>-</v>
      </c>
      <c r="BO30" s="65" t="str">
        <f t="shared" ca="1" si="192"/>
        <v>-</v>
      </c>
      <c r="BP30" s="65" t="str">
        <f t="shared" ca="1" si="192"/>
        <v>-</v>
      </c>
      <c r="BQ30" s="65" t="str">
        <f t="shared" ca="1" si="192"/>
        <v>-</v>
      </c>
      <c r="BR30" s="65" t="str">
        <f t="shared" ca="1" si="192"/>
        <v>-</v>
      </c>
      <c r="BS30" s="65" t="str">
        <f t="shared" ca="1" si="192"/>
        <v>-</v>
      </c>
      <c r="BT30" s="65" t="str">
        <f t="shared" ca="1" si="192"/>
        <v>-</v>
      </c>
      <c r="BU30" s="65" t="str">
        <f t="shared" ca="1" si="192"/>
        <v>-</v>
      </c>
      <c r="BV30" s="65" t="str">
        <f t="shared" ca="1" si="192"/>
        <v>-</v>
      </c>
      <c r="BW30" s="65" t="str">
        <f t="shared" ca="1" si="192"/>
        <v>-</v>
      </c>
      <c r="BX30" s="65" t="str">
        <f t="shared" ca="1" si="192"/>
        <v>-</v>
      </c>
      <c r="BY30" s="65" t="str">
        <f t="shared" ca="1" si="193"/>
        <v>-</v>
      </c>
      <c r="BZ30" s="65" t="str">
        <f t="shared" ca="1" si="193"/>
        <v>-</v>
      </c>
      <c r="CA30" s="65" t="str">
        <f t="shared" ca="1" si="193"/>
        <v>-</v>
      </c>
      <c r="CB30" s="65" t="str">
        <f t="shared" ca="1" si="193"/>
        <v>-</v>
      </c>
      <c r="CC30" s="65" t="str">
        <f t="shared" ca="1" si="193"/>
        <v>-</v>
      </c>
      <c r="CD30" s="65" t="str">
        <f t="shared" ca="1" si="193"/>
        <v>-</v>
      </c>
      <c r="CE30" s="65" t="str">
        <f t="shared" ca="1" si="193"/>
        <v>-</v>
      </c>
      <c r="CF30" s="65" t="str">
        <f t="shared" ca="1" si="193"/>
        <v>-</v>
      </c>
      <c r="CG30" s="65" t="str">
        <f t="shared" ca="1" si="193"/>
        <v>-</v>
      </c>
      <c r="CH30" s="65" t="str">
        <f t="shared" ca="1" si="193"/>
        <v>-</v>
      </c>
      <c r="CI30" s="65" t="str">
        <f t="shared" ca="1" si="193"/>
        <v>-</v>
      </c>
      <c r="CJ30" s="65" t="str">
        <f t="shared" ca="1" si="193"/>
        <v>-</v>
      </c>
      <c r="CK30" s="65" t="str">
        <f t="shared" ca="1" si="193"/>
        <v>-</v>
      </c>
      <c r="CL30" s="65" t="str">
        <f t="shared" ca="1" si="193"/>
        <v>-</v>
      </c>
      <c r="CM30" s="65" t="str">
        <f t="shared" ca="1" si="193"/>
        <v>-</v>
      </c>
      <c r="CN30" s="65" t="str">
        <f t="shared" ca="1" si="193"/>
        <v>-</v>
      </c>
      <c r="CO30" s="65" t="str">
        <f t="shared" ca="1" si="194"/>
        <v>-</v>
      </c>
      <c r="CP30" s="65" t="str">
        <f t="shared" ca="1" si="194"/>
        <v>-</v>
      </c>
      <c r="CQ30" s="65" t="str">
        <f t="shared" ca="1" si="194"/>
        <v>-</v>
      </c>
      <c r="CR30" s="65" t="str">
        <f t="shared" ca="1" si="194"/>
        <v>-</v>
      </c>
      <c r="CS30" s="65" t="str">
        <f t="shared" ca="1" si="194"/>
        <v>-</v>
      </c>
      <c r="CT30" s="65" t="str">
        <f t="shared" ca="1" si="194"/>
        <v>-</v>
      </c>
      <c r="CU30" s="65" t="str">
        <f t="shared" ca="1" si="195"/>
        <v>-</v>
      </c>
      <c r="CV30" s="65" t="str">
        <f t="shared" ca="1" si="195"/>
        <v>-</v>
      </c>
      <c r="CW30" s="65" t="str">
        <f t="shared" ca="1" si="195"/>
        <v>-</v>
      </c>
      <c r="CX30" s="65" t="str">
        <f t="shared" ca="1" si="195"/>
        <v>-</v>
      </c>
      <c r="CY30" s="65" t="str">
        <f t="shared" ca="1" si="195"/>
        <v>-</v>
      </c>
      <c r="CZ30" s="65" t="str">
        <f t="shared" ca="1" si="195"/>
        <v>-</v>
      </c>
      <c r="DA30" s="65" t="str">
        <f t="shared" ca="1" si="195"/>
        <v>-</v>
      </c>
      <c r="DB30" s="65" t="str">
        <f t="shared" ca="1" si="195"/>
        <v>-</v>
      </c>
      <c r="DC30" s="65" t="str">
        <f t="shared" ca="1" si="195"/>
        <v>-</v>
      </c>
      <c r="DD30" s="65" t="str">
        <f t="shared" ca="1" si="195"/>
        <v>-</v>
      </c>
      <c r="DE30" s="65" t="str">
        <f t="shared" ca="1" si="195"/>
        <v>-</v>
      </c>
      <c r="DF30" s="65" t="str">
        <f t="shared" ca="1" si="195"/>
        <v>-</v>
      </c>
      <c r="DG30" s="65" t="str">
        <f t="shared" ca="1" si="195"/>
        <v>-</v>
      </c>
      <c r="DH30" s="65" t="str">
        <f t="shared" ca="1" si="195"/>
        <v>-</v>
      </c>
      <c r="DI30" s="65" t="str">
        <f t="shared" ca="1" si="195"/>
        <v>-</v>
      </c>
      <c r="DJ30" s="65" t="str">
        <f t="shared" ca="1" si="195"/>
        <v>-</v>
      </c>
      <c r="DK30" s="65" t="str">
        <f t="shared" ca="1" si="195"/>
        <v>-</v>
      </c>
      <c r="DL30" s="65" t="str">
        <f t="shared" ca="1" si="195"/>
        <v>-</v>
      </c>
      <c r="DM30" s="65" t="str">
        <f t="shared" ca="1" si="195"/>
        <v>-</v>
      </c>
      <c r="DN30" s="65" t="str">
        <f t="shared" ca="1" si="195"/>
        <v>-</v>
      </c>
      <c r="DO30" s="65" t="str">
        <f t="shared" ca="1" si="195"/>
        <v>-</v>
      </c>
      <c r="DP30" s="65" t="str">
        <f t="shared" ca="1" si="195"/>
        <v>-</v>
      </c>
      <c r="DQ30" s="65" t="str">
        <f t="shared" ca="1" si="195"/>
        <v>-</v>
      </c>
      <c r="DR30" s="65" t="str">
        <f t="shared" ca="1" si="195"/>
        <v>-</v>
      </c>
      <c r="DS30" s="65" t="str">
        <f t="shared" ca="1" si="195"/>
        <v>-</v>
      </c>
      <c r="DT30" s="65" t="str">
        <f t="shared" ca="1" si="195"/>
        <v>-</v>
      </c>
      <c r="DU30" s="65" t="str">
        <f t="shared" ca="1" si="195"/>
        <v>-</v>
      </c>
      <c r="DV30" s="65" t="str">
        <f t="shared" ca="1" si="195"/>
        <v>-</v>
      </c>
    </row>
    <row r="31" spans="1:126">
      <c r="A31" s="464"/>
      <c r="B31" s="509"/>
      <c r="C31" s="509"/>
      <c r="D31" s="457"/>
      <c r="E31" s="185" t="s">
        <v>68</v>
      </c>
      <c r="F31" s="65">
        <v>250</v>
      </c>
      <c r="G31" s="182"/>
      <c r="H31" s="162">
        <f>B26-3</f>
        <v>46237</v>
      </c>
      <c r="I31" s="65">
        <v>30</v>
      </c>
      <c r="J31" s="454"/>
      <c r="K31" s="508"/>
      <c r="L31" s="504"/>
      <c r="M31" s="65" t="str">
        <f>IF(AND(M$2&gt;=$B$26-26,M$2&lt;=$B$26-3),5,IF(OR(M$2=$B$26-2,M$2=$B$26-1,M$2=$B$26,M$2=$B$26+1),30,IF(OR(M$2=$B$26+2,M$2=$B$26+3),5,"")))</f>
        <v/>
      </c>
      <c r="N31" s="65" t="str">
        <f t="shared" ref="N31:BY31" si="196">IF(AND(N$2&gt;=$B$26-26,N$2&lt;=$B$26-3),5,IF(OR(N$2=$B$26-2,N$2=$B$26-1,N$2=$B$26,N$2=$B$26+1),30,IF(OR(N$2=$B$26+2,N$2=$B$26+3),5,"")))</f>
        <v/>
      </c>
      <c r="O31" s="65" t="str">
        <f t="shared" si="196"/>
        <v/>
      </c>
      <c r="P31" s="65" t="str">
        <f t="shared" si="196"/>
        <v/>
      </c>
      <c r="Q31" s="65" t="str">
        <f t="shared" si="196"/>
        <v/>
      </c>
      <c r="R31" s="65" t="str">
        <f t="shared" si="196"/>
        <v/>
      </c>
      <c r="S31" s="65" t="str">
        <f t="shared" si="196"/>
        <v/>
      </c>
      <c r="T31" s="65" t="str">
        <f t="shared" si="196"/>
        <v/>
      </c>
      <c r="U31" s="65" t="str">
        <f t="shared" si="196"/>
        <v/>
      </c>
      <c r="V31" s="65" t="str">
        <f t="shared" si="196"/>
        <v/>
      </c>
      <c r="W31" s="65" t="str">
        <f t="shared" si="196"/>
        <v/>
      </c>
      <c r="X31" s="65" t="str">
        <f t="shared" si="196"/>
        <v/>
      </c>
      <c r="Y31" s="65" t="str">
        <f t="shared" si="196"/>
        <v/>
      </c>
      <c r="Z31" s="65" t="str">
        <f t="shared" si="196"/>
        <v/>
      </c>
      <c r="AA31" s="65" t="str">
        <f t="shared" si="196"/>
        <v/>
      </c>
      <c r="AB31" s="65" t="str">
        <f t="shared" si="196"/>
        <v/>
      </c>
      <c r="AC31" s="65" t="str">
        <f t="shared" si="196"/>
        <v/>
      </c>
      <c r="AD31" s="65" t="str">
        <f t="shared" si="196"/>
        <v/>
      </c>
      <c r="AE31" s="65" t="str">
        <f t="shared" si="196"/>
        <v/>
      </c>
      <c r="AF31" s="65">
        <f t="shared" si="196"/>
        <v>5</v>
      </c>
      <c r="AG31" s="65">
        <f t="shared" si="196"/>
        <v>5</v>
      </c>
      <c r="AH31" s="65">
        <f t="shared" si="196"/>
        <v>5</v>
      </c>
      <c r="AI31" s="65">
        <f t="shared" si="196"/>
        <v>5</v>
      </c>
      <c r="AJ31" s="65">
        <f t="shared" si="196"/>
        <v>5</v>
      </c>
      <c r="AK31" s="65">
        <f t="shared" si="196"/>
        <v>5</v>
      </c>
      <c r="AL31" s="65">
        <f t="shared" si="196"/>
        <v>5</v>
      </c>
      <c r="AM31" s="65">
        <f t="shared" si="196"/>
        <v>5</v>
      </c>
      <c r="AN31" s="65">
        <f t="shared" si="196"/>
        <v>5</v>
      </c>
      <c r="AO31" s="65">
        <f t="shared" si="196"/>
        <v>5</v>
      </c>
      <c r="AP31" s="65">
        <f t="shared" si="196"/>
        <v>5</v>
      </c>
      <c r="AQ31" s="65">
        <f t="shared" si="196"/>
        <v>5</v>
      </c>
      <c r="AR31" s="65">
        <f t="shared" si="196"/>
        <v>5</v>
      </c>
      <c r="AS31" s="65">
        <f t="shared" si="196"/>
        <v>5</v>
      </c>
      <c r="AT31" s="65">
        <f t="shared" si="196"/>
        <v>5</v>
      </c>
      <c r="AU31" s="65">
        <f t="shared" si="196"/>
        <v>5</v>
      </c>
      <c r="AV31" s="65">
        <f t="shared" si="196"/>
        <v>5</v>
      </c>
      <c r="AW31" s="65">
        <f t="shared" si="196"/>
        <v>5</v>
      </c>
      <c r="AX31" s="65">
        <f t="shared" si="196"/>
        <v>5</v>
      </c>
      <c r="AY31" s="65">
        <f t="shared" si="196"/>
        <v>5</v>
      </c>
      <c r="AZ31" s="65">
        <f t="shared" si="196"/>
        <v>5</v>
      </c>
      <c r="BA31" s="65">
        <f t="shared" si="196"/>
        <v>5</v>
      </c>
      <c r="BB31" s="65">
        <f t="shared" si="196"/>
        <v>5</v>
      </c>
      <c r="BC31" s="65">
        <f t="shared" si="196"/>
        <v>5</v>
      </c>
      <c r="BD31" s="65">
        <f t="shared" si="196"/>
        <v>30</v>
      </c>
      <c r="BE31" s="65">
        <f t="shared" si="196"/>
        <v>30</v>
      </c>
      <c r="BF31" s="65">
        <f t="shared" si="196"/>
        <v>30</v>
      </c>
      <c r="BG31" s="65">
        <f t="shared" si="196"/>
        <v>30</v>
      </c>
      <c r="BH31" s="65">
        <f t="shared" si="196"/>
        <v>5</v>
      </c>
      <c r="BI31" s="65">
        <f t="shared" si="196"/>
        <v>5</v>
      </c>
      <c r="BJ31" s="65" t="str">
        <f t="shared" si="196"/>
        <v/>
      </c>
      <c r="BK31" s="65" t="str">
        <f t="shared" si="196"/>
        <v/>
      </c>
      <c r="BL31" s="65" t="str">
        <f t="shared" si="196"/>
        <v/>
      </c>
      <c r="BM31" s="65" t="str">
        <f t="shared" si="196"/>
        <v/>
      </c>
      <c r="BN31" s="65" t="str">
        <f t="shared" si="196"/>
        <v/>
      </c>
      <c r="BO31" s="65" t="str">
        <f t="shared" si="196"/>
        <v/>
      </c>
      <c r="BP31" s="65" t="str">
        <f t="shared" si="196"/>
        <v/>
      </c>
      <c r="BQ31" s="65" t="str">
        <f t="shared" si="196"/>
        <v/>
      </c>
      <c r="BR31" s="65" t="str">
        <f t="shared" si="196"/>
        <v/>
      </c>
      <c r="BS31" s="65" t="str">
        <f t="shared" si="196"/>
        <v/>
      </c>
      <c r="BT31" s="65" t="str">
        <f t="shared" si="196"/>
        <v/>
      </c>
      <c r="BU31" s="65" t="str">
        <f t="shared" si="196"/>
        <v/>
      </c>
      <c r="BV31" s="65" t="str">
        <f t="shared" si="196"/>
        <v/>
      </c>
      <c r="BW31" s="65" t="str">
        <f t="shared" si="196"/>
        <v/>
      </c>
      <c r="BX31" s="65" t="str">
        <f t="shared" si="196"/>
        <v/>
      </c>
      <c r="BY31" s="65" t="str">
        <f t="shared" si="196"/>
        <v/>
      </c>
      <c r="BZ31" s="65" t="str">
        <f t="shared" ref="BZ31:DV31" si="197">IF(AND(BZ$2&gt;=$B$26-26,BZ$2&lt;=$B$26-3),5,IF(OR(BZ$2=$B$26-2,BZ$2=$B$26-1,BZ$2=$B$26,BZ$2=$B$26+1),30,IF(OR(BZ$2=$B$26+2,BZ$2=$B$26+3),5,"")))</f>
        <v/>
      </c>
      <c r="CA31" s="65" t="str">
        <f t="shared" si="197"/>
        <v/>
      </c>
      <c r="CB31" s="65" t="str">
        <f t="shared" si="197"/>
        <v/>
      </c>
      <c r="CC31" s="65" t="str">
        <f t="shared" si="197"/>
        <v/>
      </c>
      <c r="CD31" s="65" t="str">
        <f t="shared" si="197"/>
        <v/>
      </c>
      <c r="CE31" s="65" t="str">
        <f t="shared" si="197"/>
        <v/>
      </c>
      <c r="CF31" s="65" t="str">
        <f t="shared" si="197"/>
        <v/>
      </c>
      <c r="CG31" s="65" t="str">
        <f t="shared" si="197"/>
        <v/>
      </c>
      <c r="CH31" s="65" t="str">
        <f t="shared" si="197"/>
        <v/>
      </c>
      <c r="CI31" s="65" t="str">
        <f t="shared" si="197"/>
        <v/>
      </c>
      <c r="CJ31" s="65" t="str">
        <f t="shared" si="197"/>
        <v/>
      </c>
      <c r="CK31" s="65" t="str">
        <f t="shared" si="197"/>
        <v/>
      </c>
      <c r="CL31" s="65" t="str">
        <f t="shared" si="197"/>
        <v/>
      </c>
      <c r="CM31" s="65" t="str">
        <f t="shared" si="197"/>
        <v/>
      </c>
      <c r="CN31" s="65" t="str">
        <f t="shared" si="197"/>
        <v/>
      </c>
      <c r="CO31" s="65" t="str">
        <f t="shared" si="197"/>
        <v/>
      </c>
      <c r="CP31" s="65" t="str">
        <f t="shared" si="197"/>
        <v/>
      </c>
      <c r="CQ31" s="65" t="str">
        <f t="shared" si="197"/>
        <v/>
      </c>
      <c r="CR31" s="65" t="str">
        <f t="shared" si="197"/>
        <v/>
      </c>
      <c r="CS31" s="65" t="str">
        <f t="shared" si="197"/>
        <v/>
      </c>
      <c r="CT31" s="65" t="str">
        <f t="shared" si="197"/>
        <v/>
      </c>
      <c r="CU31" s="65" t="str">
        <f t="shared" si="197"/>
        <v/>
      </c>
      <c r="CV31" s="65" t="str">
        <f t="shared" si="197"/>
        <v/>
      </c>
      <c r="CW31" s="65" t="str">
        <f t="shared" si="197"/>
        <v/>
      </c>
      <c r="CX31" s="65" t="str">
        <f t="shared" si="197"/>
        <v/>
      </c>
      <c r="CY31" s="65" t="str">
        <f t="shared" si="197"/>
        <v/>
      </c>
      <c r="CZ31" s="65" t="str">
        <f t="shared" si="197"/>
        <v/>
      </c>
      <c r="DA31" s="65" t="str">
        <f t="shared" si="197"/>
        <v/>
      </c>
      <c r="DB31" s="65" t="str">
        <f t="shared" si="197"/>
        <v/>
      </c>
      <c r="DC31" s="65" t="str">
        <f t="shared" si="197"/>
        <v/>
      </c>
      <c r="DD31" s="65" t="str">
        <f t="shared" si="197"/>
        <v/>
      </c>
      <c r="DE31" s="65" t="str">
        <f t="shared" si="197"/>
        <v/>
      </c>
      <c r="DF31" s="65" t="str">
        <f t="shared" si="197"/>
        <v/>
      </c>
      <c r="DG31" s="65" t="str">
        <f t="shared" si="197"/>
        <v/>
      </c>
      <c r="DH31" s="65" t="str">
        <f t="shared" si="197"/>
        <v/>
      </c>
      <c r="DI31" s="65" t="str">
        <f t="shared" si="197"/>
        <v/>
      </c>
      <c r="DJ31" s="65" t="str">
        <f t="shared" si="197"/>
        <v/>
      </c>
      <c r="DK31" s="65" t="str">
        <f t="shared" si="197"/>
        <v/>
      </c>
      <c r="DL31" s="65" t="str">
        <f t="shared" si="197"/>
        <v/>
      </c>
      <c r="DM31" s="65" t="str">
        <f t="shared" si="197"/>
        <v/>
      </c>
      <c r="DN31" s="65" t="str">
        <f t="shared" si="197"/>
        <v/>
      </c>
      <c r="DO31" s="65" t="str">
        <f t="shared" si="197"/>
        <v/>
      </c>
      <c r="DP31" s="65" t="str">
        <f t="shared" si="197"/>
        <v/>
      </c>
      <c r="DQ31" s="65" t="str">
        <f t="shared" si="197"/>
        <v/>
      </c>
      <c r="DR31" s="65" t="str">
        <f t="shared" si="197"/>
        <v/>
      </c>
      <c r="DS31" s="65" t="str">
        <f t="shared" si="197"/>
        <v/>
      </c>
      <c r="DT31" s="65" t="str">
        <f t="shared" si="197"/>
        <v/>
      </c>
      <c r="DU31" s="65" t="str">
        <f t="shared" si="197"/>
        <v/>
      </c>
      <c r="DV31" s="65" t="str">
        <f t="shared" si="197"/>
        <v/>
      </c>
    </row>
    <row r="32" spans="1:126" ht="13.5" customHeight="1">
      <c r="B32" s="198"/>
      <c r="E32" s="199"/>
      <c r="F32" s="199"/>
      <c r="G32" s="181" t="s">
        <v>69</v>
      </c>
      <c r="H32" s="199"/>
      <c r="I32" s="224"/>
      <c r="J32" s="203"/>
      <c r="K32" s="199"/>
      <c r="L32" s="199"/>
      <c r="M32" s="190">
        <f t="shared" ref="M32:BX32" ca="1" si="198">SUM(M27:M31)</f>
        <v>0</v>
      </c>
      <c r="N32" s="190">
        <f t="shared" ca="1" si="198"/>
        <v>0</v>
      </c>
      <c r="O32" s="190">
        <f t="shared" ca="1" si="198"/>
        <v>0</v>
      </c>
      <c r="P32" s="190">
        <f t="shared" ca="1" si="198"/>
        <v>0</v>
      </c>
      <c r="Q32" s="190">
        <f t="shared" ca="1" si="198"/>
        <v>0</v>
      </c>
      <c r="R32" s="190">
        <f t="shared" ca="1" si="198"/>
        <v>0</v>
      </c>
      <c r="S32" s="190">
        <f t="shared" ca="1" si="198"/>
        <v>0</v>
      </c>
      <c r="T32" s="190">
        <f t="shared" ca="1" si="198"/>
        <v>0</v>
      </c>
      <c r="U32" s="190">
        <f t="shared" ca="1" si="198"/>
        <v>0</v>
      </c>
      <c r="V32" s="190">
        <f t="shared" ca="1" si="198"/>
        <v>0</v>
      </c>
      <c r="W32" s="190">
        <f t="shared" ca="1" si="198"/>
        <v>0</v>
      </c>
      <c r="X32" s="190">
        <f t="shared" ca="1" si="198"/>
        <v>0</v>
      </c>
      <c r="Y32" s="190">
        <f t="shared" ca="1" si="198"/>
        <v>0</v>
      </c>
      <c r="Z32" s="190">
        <f t="shared" ca="1" si="198"/>
        <v>0</v>
      </c>
      <c r="AA32" s="190">
        <f t="shared" ca="1" si="198"/>
        <v>0</v>
      </c>
      <c r="AB32" s="190">
        <f t="shared" ca="1" si="198"/>
        <v>0</v>
      </c>
      <c r="AC32" s="190">
        <f t="shared" ca="1" si="198"/>
        <v>0</v>
      </c>
      <c r="AD32" s="190">
        <f t="shared" ca="1" si="198"/>
        <v>0</v>
      </c>
      <c r="AE32" s="190">
        <f t="shared" ca="1" si="198"/>
        <v>0</v>
      </c>
      <c r="AF32" s="190">
        <f t="shared" ca="1" si="198"/>
        <v>5</v>
      </c>
      <c r="AG32" s="190">
        <f t="shared" ca="1" si="198"/>
        <v>5</v>
      </c>
      <c r="AH32" s="190">
        <f t="shared" ca="1" si="198"/>
        <v>5</v>
      </c>
      <c r="AI32" s="190">
        <f t="shared" ca="1" si="198"/>
        <v>5</v>
      </c>
      <c r="AJ32" s="190">
        <f t="shared" ca="1" si="198"/>
        <v>5</v>
      </c>
      <c r="AK32" s="190">
        <f t="shared" ca="1" si="198"/>
        <v>5</v>
      </c>
      <c r="AL32" s="190">
        <f t="shared" ca="1" si="198"/>
        <v>5</v>
      </c>
      <c r="AM32" s="190">
        <f t="shared" ca="1" si="198"/>
        <v>5</v>
      </c>
      <c r="AN32" s="190">
        <f t="shared" ca="1" si="198"/>
        <v>5</v>
      </c>
      <c r="AO32" s="190">
        <f t="shared" ca="1" si="198"/>
        <v>5</v>
      </c>
      <c r="AP32" s="190">
        <f t="shared" ca="1" si="198"/>
        <v>5</v>
      </c>
      <c r="AQ32" s="190">
        <f t="shared" ca="1" si="198"/>
        <v>5</v>
      </c>
      <c r="AR32" s="190">
        <f t="shared" ca="1" si="198"/>
        <v>5</v>
      </c>
      <c r="AS32" s="190">
        <f t="shared" ca="1" si="198"/>
        <v>5</v>
      </c>
      <c r="AT32" s="190">
        <f t="shared" ca="1" si="198"/>
        <v>5</v>
      </c>
      <c r="AU32" s="190">
        <f t="shared" ca="1" si="198"/>
        <v>5</v>
      </c>
      <c r="AV32" s="190">
        <f t="shared" ca="1" si="198"/>
        <v>5</v>
      </c>
      <c r="AW32" s="190">
        <f t="shared" ca="1" si="198"/>
        <v>5</v>
      </c>
      <c r="AX32" s="190">
        <f t="shared" ca="1" si="198"/>
        <v>5</v>
      </c>
      <c r="AY32" s="190" t="e">
        <f t="shared" ca="1" si="198"/>
        <v>#VALUE!</v>
      </c>
      <c r="AZ32" s="190" t="e">
        <f t="shared" ca="1" si="198"/>
        <v>#VALUE!</v>
      </c>
      <c r="BA32" s="190" t="e">
        <f t="shared" ca="1" si="198"/>
        <v>#VALUE!</v>
      </c>
      <c r="BB32" s="190" t="e">
        <f t="shared" ca="1" si="198"/>
        <v>#VALUE!</v>
      </c>
      <c r="BC32" s="190">
        <f t="shared" ca="1" si="198"/>
        <v>5</v>
      </c>
      <c r="BD32" s="190">
        <f t="shared" ca="1" si="198"/>
        <v>30</v>
      </c>
      <c r="BE32" s="190">
        <f t="shared" ca="1" si="198"/>
        <v>30</v>
      </c>
      <c r="BF32" s="190">
        <f t="shared" ca="1" si="198"/>
        <v>30</v>
      </c>
      <c r="BG32" s="190">
        <f t="shared" ca="1" si="198"/>
        <v>30</v>
      </c>
      <c r="BH32" s="190">
        <f t="shared" ca="1" si="198"/>
        <v>5</v>
      </c>
      <c r="BI32" s="190">
        <f t="shared" ca="1" si="198"/>
        <v>5</v>
      </c>
      <c r="BJ32" s="190">
        <f t="shared" ca="1" si="198"/>
        <v>0</v>
      </c>
      <c r="BK32" s="190">
        <f t="shared" ca="1" si="198"/>
        <v>0</v>
      </c>
      <c r="BL32" s="190">
        <f t="shared" ca="1" si="198"/>
        <v>0</v>
      </c>
      <c r="BM32" s="190">
        <f t="shared" ca="1" si="198"/>
        <v>0</v>
      </c>
      <c r="BN32" s="190">
        <f t="shared" ca="1" si="198"/>
        <v>0</v>
      </c>
      <c r="BO32" s="190">
        <f t="shared" ca="1" si="198"/>
        <v>0</v>
      </c>
      <c r="BP32" s="190">
        <f t="shared" ca="1" si="198"/>
        <v>0</v>
      </c>
      <c r="BQ32" s="190">
        <f t="shared" ca="1" si="198"/>
        <v>0</v>
      </c>
      <c r="BR32" s="190">
        <f t="shared" ca="1" si="198"/>
        <v>0</v>
      </c>
      <c r="BS32" s="190">
        <f t="shared" ca="1" si="198"/>
        <v>0</v>
      </c>
      <c r="BT32" s="190">
        <f t="shared" ca="1" si="198"/>
        <v>0</v>
      </c>
      <c r="BU32" s="190">
        <f t="shared" ca="1" si="198"/>
        <v>0</v>
      </c>
      <c r="BV32" s="190">
        <f t="shared" ca="1" si="198"/>
        <v>0</v>
      </c>
      <c r="BW32" s="190">
        <f t="shared" ca="1" si="198"/>
        <v>0</v>
      </c>
      <c r="BX32" s="190">
        <f t="shared" ca="1" si="198"/>
        <v>0</v>
      </c>
      <c r="BY32" s="190">
        <f t="shared" ref="BY32:DV32" ca="1" si="199">SUM(BY27:BY31)</f>
        <v>0</v>
      </c>
      <c r="BZ32" s="190">
        <f t="shared" ca="1" si="199"/>
        <v>0</v>
      </c>
      <c r="CA32" s="190">
        <f t="shared" ca="1" si="199"/>
        <v>0</v>
      </c>
      <c r="CB32" s="190">
        <f t="shared" ca="1" si="199"/>
        <v>0</v>
      </c>
      <c r="CC32" s="190">
        <f t="shared" ca="1" si="199"/>
        <v>0</v>
      </c>
      <c r="CD32" s="190">
        <f t="shared" ca="1" si="199"/>
        <v>0</v>
      </c>
      <c r="CE32" s="190">
        <f t="shared" ca="1" si="199"/>
        <v>0</v>
      </c>
      <c r="CF32" s="190">
        <f t="shared" ca="1" si="199"/>
        <v>0</v>
      </c>
      <c r="CG32" s="190">
        <f t="shared" ca="1" si="199"/>
        <v>0</v>
      </c>
      <c r="CH32" s="190">
        <f t="shared" ca="1" si="199"/>
        <v>0</v>
      </c>
      <c r="CI32" s="190">
        <f t="shared" ca="1" si="199"/>
        <v>0</v>
      </c>
      <c r="CJ32" s="190">
        <f t="shared" ca="1" si="199"/>
        <v>0</v>
      </c>
      <c r="CK32" s="190">
        <f t="shared" ca="1" si="199"/>
        <v>0</v>
      </c>
      <c r="CL32" s="190">
        <f t="shared" ca="1" si="199"/>
        <v>0</v>
      </c>
      <c r="CM32" s="190">
        <f t="shared" ca="1" si="199"/>
        <v>0</v>
      </c>
      <c r="CN32" s="190">
        <f t="shared" ca="1" si="199"/>
        <v>0</v>
      </c>
      <c r="CO32" s="190">
        <f t="shared" ca="1" si="199"/>
        <v>0</v>
      </c>
      <c r="CP32" s="190">
        <f t="shared" ca="1" si="199"/>
        <v>0</v>
      </c>
      <c r="CQ32" s="190">
        <f t="shared" ca="1" si="199"/>
        <v>0</v>
      </c>
      <c r="CR32" s="190">
        <f t="shared" ca="1" si="199"/>
        <v>0</v>
      </c>
      <c r="CS32" s="190">
        <f t="shared" ca="1" si="199"/>
        <v>0</v>
      </c>
      <c r="CT32" s="190">
        <f t="shared" ca="1" si="199"/>
        <v>0</v>
      </c>
      <c r="CU32" s="190">
        <f t="shared" ca="1" si="199"/>
        <v>0</v>
      </c>
      <c r="CV32" s="190">
        <f t="shared" ca="1" si="199"/>
        <v>0</v>
      </c>
      <c r="CW32" s="190">
        <f t="shared" ca="1" si="199"/>
        <v>0</v>
      </c>
      <c r="CX32" s="190">
        <f t="shared" ca="1" si="199"/>
        <v>0</v>
      </c>
      <c r="CY32" s="190">
        <f t="shared" ca="1" si="199"/>
        <v>0</v>
      </c>
      <c r="CZ32" s="190">
        <f t="shared" ca="1" si="199"/>
        <v>0</v>
      </c>
      <c r="DA32" s="190">
        <f t="shared" ca="1" si="199"/>
        <v>0</v>
      </c>
      <c r="DB32" s="190">
        <f t="shared" ca="1" si="199"/>
        <v>0</v>
      </c>
      <c r="DC32" s="190">
        <f t="shared" ca="1" si="199"/>
        <v>0</v>
      </c>
      <c r="DD32" s="190">
        <f t="shared" ca="1" si="199"/>
        <v>0</v>
      </c>
      <c r="DE32" s="190">
        <f t="shared" ca="1" si="199"/>
        <v>0</v>
      </c>
      <c r="DF32" s="190">
        <f t="shared" ca="1" si="199"/>
        <v>0</v>
      </c>
      <c r="DG32" s="190">
        <f t="shared" ca="1" si="199"/>
        <v>0</v>
      </c>
      <c r="DH32" s="190">
        <f t="shared" ca="1" si="199"/>
        <v>0</v>
      </c>
      <c r="DI32" s="190">
        <f t="shared" ca="1" si="199"/>
        <v>0</v>
      </c>
      <c r="DJ32" s="190">
        <f t="shared" ca="1" si="199"/>
        <v>0</v>
      </c>
      <c r="DK32" s="190">
        <f t="shared" ca="1" si="199"/>
        <v>0</v>
      </c>
      <c r="DL32" s="190">
        <f t="shared" ca="1" si="199"/>
        <v>0</v>
      </c>
      <c r="DM32" s="190">
        <f t="shared" ca="1" si="199"/>
        <v>0</v>
      </c>
      <c r="DN32" s="190">
        <f t="shared" ca="1" si="199"/>
        <v>0</v>
      </c>
      <c r="DO32" s="190">
        <f t="shared" ca="1" si="199"/>
        <v>0</v>
      </c>
      <c r="DP32" s="190">
        <f t="shared" ca="1" si="199"/>
        <v>0</v>
      </c>
      <c r="DQ32" s="190">
        <f t="shared" ca="1" si="199"/>
        <v>0</v>
      </c>
      <c r="DR32" s="190">
        <f t="shared" ca="1" si="199"/>
        <v>0</v>
      </c>
      <c r="DS32" s="190">
        <f t="shared" ca="1" si="199"/>
        <v>0</v>
      </c>
      <c r="DT32" s="190">
        <f t="shared" ca="1" si="199"/>
        <v>0</v>
      </c>
      <c r="DU32" s="190">
        <f t="shared" ca="1" si="199"/>
        <v>0</v>
      </c>
      <c r="DV32" s="190">
        <f t="shared" ca="1" si="199"/>
        <v>0</v>
      </c>
    </row>
    <row r="34" spans="1:126" s="180" customFormat="1" ht="27">
      <c r="A34" s="464" t="s">
        <v>73</v>
      </c>
      <c r="B34" s="509">
        <f>IF(LEN('BESS 12'!F186)=5,'BESS 12'!F186,(IF('BESS 12'!F186="Completed"," ",DATEVALUE(RIGHT('BESS 12'!F186,6)))))</f>
        <v>46241</v>
      </c>
      <c r="C34" s="509">
        <f>IF(LEN('BESS 12'!G186)=5,'BESS 12'!G186,(IF('BESS 12'!G186="Completed"," ",DATEVALUE(RIGHT('BESS 12'!G186,6)))))</f>
        <v>46246</v>
      </c>
      <c r="D34" s="455">
        <f>IF(LEN('BESS 12'!H186)=5,'BESS 12'!H186,(IF('BESS 12'!H186="Completed"," ",DATEVALUE(RIGHT('BESS 12'!H186,6)))))</f>
        <v>46249</v>
      </c>
      <c r="E34" s="226" t="s">
        <v>10</v>
      </c>
      <c r="F34" s="217" t="s">
        <v>58</v>
      </c>
      <c r="G34" s="217" t="s">
        <v>78</v>
      </c>
      <c r="H34" s="217" t="s">
        <v>87</v>
      </c>
      <c r="I34" s="217" t="s">
        <v>59</v>
      </c>
      <c r="J34" s="129"/>
      <c r="K34" s="216" t="s">
        <v>80</v>
      </c>
      <c r="L34" s="216" t="s">
        <v>62</v>
      </c>
      <c r="M34" s="218">
        <v>46195</v>
      </c>
      <c r="N34" s="218">
        <v>46196</v>
      </c>
      <c r="O34" s="218">
        <v>46197</v>
      </c>
      <c r="P34" s="218">
        <f t="shared" ref="P34:CA34" si="200">O34+1</f>
        <v>46198</v>
      </c>
      <c r="Q34" s="218">
        <f t="shared" si="200"/>
        <v>46199</v>
      </c>
      <c r="R34" s="218">
        <f t="shared" si="200"/>
        <v>46200</v>
      </c>
      <c r="S34" s="218">
        <f t="shared" si="200"/>
        <v>46201</v>
      </c>
      <c r="T34" s="218">
        <f t="shared" si="200"/>
        <v>46202</v>
      </c>
      <c r="U34" s="218">
        <f t="shared" si="200"/>
        <v>46203</v>
      </c>
      <c r="V34" s="218">
        <f t="shared" si="200"/>
        <v>46204</v>
      </c>
      <c r="W34" s="218">
        <f t="shared" si="200"/>
        <v>46205</v>
      </c>
      <c r="X34" s="218">
        <f t="shared" si="200"/>
        <v>46206</v>
      </c>
      <c r="Y34" s="218">
        <f t="shared" si="200"/>
        <v>46207</v>
      </c>
      <c r="Z34" s="218">
        <f t="shared" si="200"/>
        <v>46208</v>
      </c>
      <c r="AA34" s="218">
        <f t="shared" si="200"/>
        <v>46209</v>
      </c>
      <c r="AB34" s="218">
        <f t="shared" si="200"/>
        <v>46210</v>
      </c>
      <c r="AC34" s="218">
        <f t="shared" si="200"/>
        <v>46211</v>
      </c>
      <c r="AD34" s="218">
        <f t="shared" si="200"/>
        <v>46212</v>
      </c>
      <c r="AE34" s="218">
        <f t="shared" si="200"/>
        <v>46213</v>
      </c>
      <c r="AF34" s="218">
        <f t="shared" si="200"/>
        <v>46214</v>
      </c>
      <c r="AG34" s="218">
        <f t="shared" si="200"/>
        <v>46215</v>
      </c>
      <c r="AH34" s="218">
        <f t="shared" si="200"/>
        <v>46216</v>
      </c>
      <c r="AI34" s="218">
        <f t="shared" si="200"/>
        <v>46217</v>
      </c>
      <c r="AJ34" s="218">
        <f t="shared" si="200"/>
        <v>46218</v>
      </c>
      <c r="AK34" s="218">
        <f t="shared" si="200"/>
        <v>46219</v>
      </c>
      <c r="AL34" s="218">
        <f t="shared" si="200"/>
        <v>46220</v>
      </c>
      <c r="AM34" s="218">
        <f t="shared" si="200"/>
        <v>46221</v>
      </c>
      <c r="AN34" s="218">
        <f t="shared" si="200"/>
        <v>46222</v>
      </c>
      <c r="AO34" s="218">
        <f t="shared" si="200"/>
        <v>46223</v>
      </c>
      <c r="AP34" s="218">
        <f t="shared" si="200"/>
        <v>46224</v>
      </c>
      <c r="AQ34" s="218">
        <f t="shared" si="200"/>
        <v>46225</v>
      </c>
      <c r="AR34" s="218">
        <f t="shared" si="200"/>
        <v>46226</v>
      </c>
      <c r="AS34" s="218">
        <f t="shared" si="200"/>
        <v>46227</v>
      </c>
      <c r="AT34" s="218">
        <f t="shared" si="200"/>
        <v>46228</v>
      </c>
      <c r="AU34" s="218">
        <f t="shared" si="200"/>
        <v>46229</v>
      </c>
      <c r="AV34" s="218">
        <f t="shared" si="200"/>
        <v>46230</v>
      </c>
      <c r="AW34" s="218">
        <f t="shared" si="200"/>
        <v>46231</v>
      </c>
      <c r="AX34" s="218">
        <f t="shared" si="200"/>
        <v>46232</v>
      </c>
      <c r="AY34" s="218">
        <f t="shared" si="200"/>
        <v>46233</v>
      </c>
      <c r="AZ34" s="218">
        <f t="shared" si="200"/>
        <v>46234</v>
      </c>
      <c r="BA34" s="218">
        <f t="shared" si="200"/>
        <v>46235</v>
      </c>
      <c r="BB34" s="218">
        <f t="shared" si="200"/>
        <v>46236</v>
      </c>
      <c r="BC34" s="218">
        <f t="shared" si="200"/>
        <v>46237</v>
      </c>
      <c r="BD34" s="218">
        <f t="shared" si="200"/>
        <v>46238</v>
      </c>
      <c r="BE34" s="218">
        <f t="shared" si="200"/>
        <v>46239</v>
      </c>
      <c r="BF34" s="218">
        <f t="shared" si="200"/>
        <v>46240</v>
      </c>
      <c r="BG34" s="218">
        <f t="shared" si="200"/>
        <v>46241</v>
      </c>
      <c r="BH34" s="218">
        <f t="shared" si="200"/>
        <v>46242</v>
      </c>
      <c r="BI34" s="218">
        <f t="shared" si="200"/>
        <v>46243</v>
      </c>
      <c r="BJ34" s="218">
        <f t="shared" si="200"/>
        <v>46244</v>
      </c>
      <c r="BK34" s="218">
        <f t="shared" si="200"/>
        <v>46245</v>
      </c>
      <c r="BL34" s="218">
        <f t="shared" si="200"/>
        <v>46246</v>
      </c>
      <c r="BM34" s="218">
        <f t="shared" si="200"/>
        <v>46247</v>
      </c>
      <c r="BN34" s="218">
        <f t="shared" si="200"/>
        <v>46248</v>
      </c>
      <c r="BO34" s="218">
        <f t="shared" si="200"/>
        <v>46249</v>
      </c>
      <c r="BP34" s="218">
        <f t="shared" si="200"/>
        <v>46250</v>
      </c>
      <c r="BQ34" s="218">
        <f t="shared" si="200"/>
        <v>46251</v>
      </c>
      <c r="BR34" s="218">
        <f t="shared" si="200"/>
        <v>46252</v>
      </c>
      <c r="BS34" s="218">
        <f t="shared" si="200"/>
        <v>46253</v>
      </c>
      <c r="BT34" s="218">
        <f t="shared" si="200"/>
        <v>46254</v>
      </c>
      <c r="BU34" s="218">
        <f t="shared" si="200"/>
        <v>46255</v>
      </c>
      <c r="BV34" s="218">
        <f t="shared" si="200"/>
        <v>46256</v>
      </c>
      <c r="BW34" s="218">
        <f t="shared" si="200"/>
        <v>46257</v>
      </c>
      <c r="BX34" s="218">
        <f t="shared" si="200"/>
        <v>46258</v>
      </c>
      <c r="BY34" s="218">
        <f t="shared" si="200"/>
        <v>46259</v>
      </c>
      <c r="BZ34" s="218">
        <f t="shared" si="200"/>
        <v>46260</v>
      </c>
      <c r="CA34" s="218">
        <f t="shared" si="200"/>
        <v>46261</v>
      </c>
      <c r="CB34" s="218">
        <f t="shared" ref="CB34:CT34" si="201">CA34+1</f>
        <v>46262</v>
      </c>
      <c r="CC34" s="218">
        <f t="shared" si="201"/>
        <v>46263</v>
      </c>
      <c r="CD34" s="218">
        <f t="shared" si="201"/>
        <v>46264</v>
      </c>
      <c r="CE34" s="218">
        <f t="shared" si="201"/>
        <v>46265</v>
      </c>
      <c r="CF34" s="218">
        <f t="shared" si="201"/>
        <v>46266</v>
      </c>
      <c r="CG34" s="218">
        <f t="shared" si="201"/>
        <v>46267</v>
      </c>
      <c r="CH34" s="218">
        <f t="shared" si="201"/>
        <v>46268</v>
      </c>
      <c r="CI34" s="218">
        <f t="shared" si="201"/>
        <v>46269</v>
      </c>
      <c r="CJ34" s="218">
        <f t="shared" si="201"/>
        <v>46270</v>
      </c>
      <c r="CK34" s="218">
        <f t="shared" si="201"/>
        <v>46271</v>
      </c>
      <c r="CL34" s="218">
        <f t="shared" si="201"/>
        <v>46272</v>
      </c>
      <c r="CM34" s="218">
        <f t="shared" si="201"/>
        <v>46273</v>
      </c>
      <c r="CN34" s="218">
        <f t="shared" si="201"/>
        <v>46274</v>
      </c>
      <c r="CO34" s="218">
        <f t="shared" si="201"/>
        <v>46275</v>
      </c>
      <c r="CP34" s="218">
        <f t="shared" si="201"/>
        <v>46276</v>
      </c>
      <c r="CQ34" s="218">
        <f t="shared" si="201"/>
        <v>46277</v>
      </c>
      <c r="CR34" s="218">
        <f t="shared" si="201"/>
        <v>46278</v>
      </c>
      <c r="CS34" s="218">
        <f t="shared" si="201"/>
        <v>46279</v>
      </c>
      <c r="CT34" s="218">
        <f t="shared" si="201"/>
        <v>46280</v>
      </c>
      <c r="CU34" s="218">
        <f t="shared" ref="CU34" si="202">CT34+1</f>
        <v>46281</v>
      </c>
      <c r="CV34" s="218">
        <f t="shared" ref="CV34" si="203">CU34+1</f>
        <v>46282</v>
      </c>
      <c r="CW34" s="218">
        <f t="shared" ref="CW34" si="204">CV34+1</f>
        <v>46283</v>
      </c>
      <c r="CX34" s="218">
        <f t="shared" ref="CX34" si="205">CW34+1</f>
        <v>46284</v>
      </c>
      <c r="CY34" s="218">
        <f t="shared" ref="CY34" si="206">CX34+1</f>
        <v>46285</v>
      </c>
      <c r="CZ34" s="218">
        <f t="shared" ref="CZ34" si="207">CY34+1</f>
        <v>46286</v>
      </c>
      <c r="DA34" s="218">
        <f t="shared" ref="DA34" si="208">CZ34+1</f>
        <v>46287</v>
      </c>
      <c r="DB34" s="218">
        <f t="shared" ref="DB34" si="209">DA34+1</f>
        <v>46288</v>
      </c>
      <c r="DC34" s="218">
        <f t="shared" ref="DC34" si="210">DB34+1</f>
        <v>46289</v>
      </c>
      <c r="DD34" s="218">
        <f t="shared" ref="DD34" si="211">DC34+1</f>
        <v>46290</v>
      </c>
      <c r="DE34" s="218">
        <f t="shared" ref="DE34" si="212">DD34+1</f>
        <v>46291</v>
      </c>
      <c r="DF34" s="218">
        <f t="shared" ref="DF34" si="213">DE34+1</f>
        <v>46292</v>
      </c>
      <c r="DG34" s="218">
        <f t="shared" ref="DG34" si="214">DF34+1</f>
        <v>46293</v>
      </c>
      <c r="DH34" s="218">
        <f t="shared" ref="DH34" si="215">DG34+1</f>
        <v>46294</v>
      </c>
      <c r="DI34" s="218">
        <f t="shared" ref="DI34" si="216">DH34+1</f>
        <v>46295</v>
      </c>
      <c r="DJ34" s="218">
        <f t="shared" ref="DJ34" si="217">DI34+1</f>
        <v>46296</v>
      </c>
      <c r="DK34" s="218">
        <f t="shared" ref="DK34" si="218">DJ34+1</f>
        <v>46297</v>
      </c>
      <c r="DL34" s="218">
        <f t="shared" ref="DL34" si="219">DK34+1</f>
        <v>46298</v>
      </c>
      <c r="DM34" s="218">
        <f t="shared" ref="DM34" si="220">DL34+1</f>
        <v>46299</v>
      </c>
      <c r="DN34" s="218">
        <f t="shared" ref="DN34" si="221">DM34+1</f>
        <v>46300</v>
      </c>
      <c r="DO34" s="218">
        <f t="shared" ref="DO34" si="222">DN34+1</f>
        <v>46301</v>
      </c>
      <c r="DP34" s="218">
        <f t="shared" ref="DP34" si="223">DO34+1</f>
        <v>46302</v>
      </c>
      <c r="DQ34" s="218">
        <f t="shared" ref="DQ34" si="224">DP34+1</f>
        <v>46303</v>
      </c>
      <c r="DR34" s="218">
        <f t="shared" ref="DR34" si="225">DQ34+1</f>
        <v>46304</v>
      </c>
      <c r="DS34" s="218">
        <f t="shared" ref="DS34" si="226">DR34+1</f>
        <v>46305</v>
      </c>
      <c r="DT34" s="218">
        <f t="shared" ref="DT34" si="227">DS34+1</f>
        <v>46306</v>
      </c>
      <c r="DU34" s="218">
        <f t="shared" ref="DU34" si="228">DT34+1</f>
        <v>46307</v>
      </c>
      <c r="DV34" s="218">
        <f t="shared" ref="DV34" si="229">DU34+1</f>
        <v>46308</v>
      </c>
    </row>
    <row r="35" spans="1:126">
      <c r="A35" s="464"/>
      <c r="B35" s="509"/>
      <c r="C35" s="509"/>
      <c r="D35" s="456"/>
      <c r="E35" s="185" t="s">
        <v>64</v>
      </c>
      <c r="F35" s="66" t="e">
        <f>SUM('BESS 12'!S199:S206,'BESS 12'!S208)</f>
        <v>#VALUE!</v>
      </c>
      <c r="G35" s="182">
        <f ca="1">TODAY()</f>
        <v>46233</v>
      </c>
      <c r="H35" s="162">
        <f>MAX('BESS 12'!O199:O205)</f>
        <v>46233</v>
      </c>
      <c r="I35" s="66">
        <f t="shared" ref="I35:I38" ca="1" si="230">H35-G35</f>
        <v>0</v>
      </c>
      <c r="J35" s="444">
        <f ca="1">K35*1.2</f>
        <v>10.799999999999999</v>
      </c>
      <c r="K35" s="506">
        <f ca="1">AVERAGEIF(M40:CT40,"&gt;0")</f>
        <v>9</v>
      </c>
      <c r="L35" s="506" t="e">
        <f ca="1">MAX(M40:CT40)</f>
        <v>#VALUE!</v>
      </c>
      <c r="M35" s="65" t="str">
        <f t="shared" ref="M35:AB38" ca="1" si="231">IF(AND(M$2&gt;=$G35,M$2&lt;($G35+$I35)),ROUND($F35/$I35,0),"-")</f>
        <v>-</v>
      </c>
      <c r="N35" s="65" t="str">
        <f t="shared" ca="1" si="231"/>
        <v>-</v>
      </c>
      <c r="O35" s="65" t="str">
        <f t="shared" ca="1" si="231"/>
        <v>-</v>
      </c>
      <c r="P35" s="65" t="str">
        <f t="shared" ca="1" si="231"/>
        <v>-</v>
      </c>
      <c r="Q35" s="65" t="str">
        <f t="shared" ca="1" si="231"/>
        <v>-</v>
      </c>
      <c r="R35" s="65" t="str">
        <f t="shared" ca="1" si="231"/>
        <v>-</v>
      </c>
      <c r="S35" s="65" t="str">
        <f t="shared" ca="1" si="231"/>
        <v>-</v>
      </c>
      <c r="T35" s="65" t="str">
        <f t="shared" ca="1" si="231"/>
        <v>-</v>
      </c>
      <c r="U35" s="65" t="str">
        <f t="shared" ca="1" si="231"/>
        <v>-</v>
      </c>
      <c r="V35" s="65" t="str">
        <f t="shared" ca="1" si="231"/>
        <v>-</v>
      </c>
      <c r="W35" s="65" t="str">
        <f t="shared" ca="1" si="231"/>
        <v>-</v>
      </c>
      <c r="X35" s="65" t="str">
        <f t="shared" ca="1" si="231"/>
        <v>-</v>
      </c>
      <c r="Y35" s="65" t="str">
        <f t="shared" ca="1" si="231"/>
        <v>-</v>
      </c>
      <c r="Z35" s="65" t="str">
        <f t="shared" ca="1" si="231"/>
        <v>-</v>
      </c>
      <c r="AA35" s="65" t="str">
        <f t="shared" ca="1" si="231"/>
        <v>-</v>
      </c>
      <c r="AB35" s="65" t="str">
        <f t="shared" ca="1" si="231"/>
        <v>-</v>
      </c>
      <c r="AC35" s="65" t="str">
        <f t="shared" ref="AC35:AR38" ca="1" si="232">IF(AND(AC$2&gt;=$G35,AC$2&lt;($G35+$I35)),ROUND($F35/$I35,0),"-")</f>
        <v>-</v>
      </c>
      <c r="AD35" s="65" t="str">
        <f t="shared" ca="1" si="232"/>
        <v>-</v>
      </c>
      <c r="AE35" s="65" t="str">
        <f t="shared" ca="1" si="232"/>
        <v>-</v>
      </c>
      <c r="AF35" s="65" t="str">
        <f t="shared" ca="1" si="232"/>
        <v>-</v>
      </c>
      <c r="AG35" s="65" t="str">
        <f t="shared" ca="1" si="232"/>
        <v>-</v>
      </c>
      <c r="AH35" s="65" t="str">
        <f t="shared" ca="1" si="232"/>
        <v>-</v>
      </c>
      <c r="AI35" s="65" t="str">
        <f t="shared" ca="1" si="232"/>
        <v>-</v>
      </c>
      <c r="AJ35" s="65" t="str">
        <f t="shared" ca="1" si="232"/>
        <v>-</v>
      </c>
      <c r="AK35" s="65" t="str">
        <f t="shared" ca="1" si="232"/>
        <v>-</v>
      </c>
      <c r="AL35" s="65" t="str">
        <f t="shared" ca="1" si="232"/>
        <v>-</v>
      </c>
      <c r="AM35" s="65" t="str">
        <f t="shared" ca="1" si="232"/>
        <v>-</v>
      </c>
      <c r="AN35" s="65" t="str">
        <f t="shared" ca="1" si="232"/>
        <v>-</v>
      </c>
      <c r="AO35" s="65" t="str">
        <f t="shared" ca="1" si="232"/>
        <v>-</v>
      </c>
      <c r="AP35" s="65" t="str">
        <f t="shared" ca="1" si="232"/>
        <v>-</v>
      </c>
      <c r="AQ35" s="65" t="str">
        <f t="shared" ca="1" si="232"/>
        <v>-</v>
      </c>
      <c r="AR35" s="65" t="str">
        <f t="shared" ca="1" si="232"/>
        <v>-</v>
      </c>
      <c r="AS35" s="65" t="str">
        <f t="shared" ref="AS35:BH38" ca="1" si="233">IF(AND(AS$2&gt;=$G35,AS$2&lt;($G35+$I35)),ROUND($F35/$I35,0),"-")</f>
        <v>-</v>
      </c>
      <c r="AT35" s="65" t="str">
        <f t="shared" ca="1" si="233"/>
        <v>-</v>
      </c>
      <c r="AU35" s="65" t="str">
        <f t="shared" ca="1" si="233"/>
        <v>-</v>
      </c>
      <c r="AV35" s="65" t="str">
        <f t="shared" ca="1" si="233"/>
        <v>-</v>
      </c>
      <c r="AW35" s="65" t="str">
        <f t="shared" ca="1" si="233"/>
        <v>-</v>
      </c>
      <c r="AX35" s="65" t="str">
        <f t="shared" ca="1" si="233"/>
        <v>-</v>
      </c>
      <c r="AY35" s="65" t="str">
        <f t="shared" ca="1" si="233"/>
        <v>-</v>
      </c>
      <c r="AZ35" s="65" t="str">
        <f t="shared" ca="1" si="233"/>
        <v>-</v>
      </c>
      <c r="BA35" s="65" t="str">
        <f t="shared" ca="1" si="233"/>
        <v>-</v>
      </c>
      <c r="BB35" s="65" t="str">
        <f t="shared" ca="1" si="233"/>
        <v>-</v>
      </c>
      <c r="BC35" s="65" t="str">
        <f t="shared" ca="1" si="233"/>
        <v>-</v>
      </c>
      <c r="BD35" s="65" t="str">
        <f t="shared" ca="1" si="233"/>
        <v>-</v>
      </c>
      <c r="BE35" s="65" t="str">
        <f t="shared" ca="1" si="233"/>
        <v>-</v>
      </c>
      <c r="BF35" s="65" t="str">
        <f t="shared" ca="1" si="233"/>
        <v>-</v>
      </c>
      <c r="BG35" s="65" t="str">
        <f t="shared" ca="1" si="233"/>
        <v>-</v>
      </c>
      <c r="BH35" s="65" t="str">
        <f t="shared" ca="1" si="233"/>
        <v>-</v>
      </c>
      <c r="BI35" s="65" t="str">
        <f t="shared" ref="BI35:BX38" ca="1" si="234">IF(AND(BI$2&gt;=$G35,BI$2&lt;($G35+$I35)),ROUND($F35/$I35,0),"-")</f>
        <v>-</v>
      </c>
      <c r="BJ35" s="65" t="str">
        <f t="shared" ca="1" si="234"/>
        <v>-</v>
      </c>
      <c r="BK35" s="65" t="str">
        <f t="shared" ca="1" si="234"/>
        <v>-</v>
      </c>
      <c r="BL35" s="65" t="str">
        <f t="shared" ca="1" si="234"/>
        <v>-</v>
      </c>
      <c r="BM35" s="65" t="str">
        <f t="shared" ca="1" si="234"/>
        <v>-</v>
      </c>
      <c r="BN35" s="65" t="str">
        <f t="shared" ca="1" si="234"/>
        <v>-</v>
      </c>
      <c r="BO35" s="65" t="str">
        <f t="shared" ca="1" si="234"/>
        <v>-</v>
      </c>
      <c r="BP35" s="65" t="str">
        <f t="shared" ca="1" si="234"/>
        <v>-</v>
      </c>
      <c r="BQ35" s="65" t="str">
        <f t="shared" ca="1" si="234"/>
        <v>-</v>
      </c>
      <c r="BR35" s="65" t="str">
        <f t="shared" ca="1" si="234"/>
        <v>-</v>
      </c>
      <c r="BS35" s="65" t="str">
        <f t="shared" ca="1" si="234"/>
        <v>-</v>
      </c>
      <c r="BT35" s="65" t="str">
        <f t="shared" ca="1" si="234"/>
        <v>-</v>
      </c>
      <c r="BU35" s="65" t="str">
        <f t="shared" ca="1" si="234"/>
        <v>-</v>
      </c>
      <c r="BV35" s="65" t="str">
        <f t="shared" ca="1" si="234"/>
        <v>-</v>
      </c>
      <c r="BW35" s="65" t="str">
        <f t="shared" ca="1" si="234"/>
        <v>-</v>
      </c>
      <c r="BX35" s="65" t="str">
        <f t="shared" ca="1" si="234"/>
        <v>-</v>
      </c>
      <c r="BY35" s="65" t="str">
        <f t="shared" ref="BY35:CN38" ca="1" si="235">IF(AND(BY$2&gt;=$G35,BY$2&lt;($G35+$I35)),ROUND($F35/$I35,0),"-")</f>
        <v>-</v>
      </c>
      <c r="BZ35" s="65" t="str">
        <f t="shared" ca="1" si="235"/>
        <v>-</v>
      </c>
      <c r="CA35" s="65" t="str">
        <f t="shared" ca="1" si="235"/>
        <v>-</v>
      </c>
      <c r="CB35" s="65" t="str">
        <f t="shared" ca="1" si="235"/>
        <v>-</v>
      </c>
      <c r="CC35" s="65" t="str">
        <f t="shared" ca="1" si="235"/>
        <v>-</v>
      </c>
      <c r="CD35" s="65" t="str">
        <f t="shared" ca="1" si="235"/>
        <v>-</v>
      </c>
      <c r="CE35" s="65" t="str">
        <f t="shared" ca="1" si="235"/>
        <v>-</v>
      </c>
      <c r="CF35" s="65" t="str">
        <f t="shared" ca="1" si="235"/>
        <v>-</v>
      </c>
      <c r="CG35" s="65" t="str">
        <f t="shared" ca="1" si="235"/>
        <v>-</v>
      </c>
      <c r="CH35" s="65" t="str">
        <f t="shared" ca="1" si="235"/>
        <v>-</v>
      </c>
      <c r="CI35" s="65" t="str">
        <f t="shared" ca="1" si="235"/>
        <v>-</v>
      </c>
      <c r="CJ35" s="65" t="str">
        <f t="shared" ca="1" si="235"/>
        <v>-</v>
      </c>
      <c r="CK35" s="65" t="str">
        <f t="shared" ca="1" si="235"/>
        <v>-</v>
      </c>
      <c r="CL35" s="65" t="str">
        <f t="shared" ca="1" si="235"/>
        <v>-</v>
      </c>
      <c r="CM35" s="65" t="str">
        <f t="shared" ca="1" si="235"/>
        <v>-</v>
      </c>
      <c r="CN35" s="65" t="str">
        <f t="shared" ca="1" si="235"/>
        <v>-</v>
      </c>
      <c r="CO35" s="65" t="str">
        <f t="shared" ref="CO35:DD38" ca="1" si="236">IF(AND(CO$2&gt;=$G35,CO$2&lt;($G35+$I35)),ROUND($F35/$I35,0),"-")</f>
        <v>-</v>
      </c>
      <c r="CP35" s="65" t="str">
        <f t="shared" ca="1" si="236"/>
        <v>-</v>
      </c>
      <c r="CQ35" s="65" t="str">
        <f t="shared" ca="1" si="236"/>
        <v>-</v>
      </c>
      <c r="CR35" s="65" t="str">
        <f t="shared" ca="1" si="236"/>
        <v>-</v>
      </c>
      <c r="CS35" s="65" t="str">
        <f t="shared" ca="1" si="236"/>
        <v>-</v>
      </c>
      <c r="CT35" s="65" t="str">
        <f t="shared" ca="1" si="236"/>
        <v>-</v>
      </c>
      <c r="CU35" s="65" t="str">
        <f t="shared" ca="1" si="236"/>
        <v>-</v>
      </c>
      <c r="CV35" s="65" t="str">
        <f t="shared" ca="1" si="236"/>
        <v>-</v>
      </c>
      <c r="CW35" s="65" t="str">
        <f t="shared" ca="1" si="236"/>
        <v>-</v>
      </c>
      <c r="CX35" s="65" t="str">
        <f t="shared" ca="1" si="236"/>
        <v>-</v>
      </c>
      <c r="CY35" s="65" t="str">
        <f t="shared" ca="1" si="236"/>
        <v>-</v>
      </c>
      <c r="CZ35" s="65" t="str">
        <f t="shared" ca="1" si="236"/>
        <v>-</v>
      </c>
      <c r="DA35" s="65" t="str">
        <f t="shared" ca="1" si="236"/>
        <v>-</v>
      </c>
      <c r="DB35" s="65" t="str">
        <f t="shared" ca="1" si="236"/>
        <v>-</v>
      </c>
      <c r="DC35" s="65" t="str">
        <f t="shared" ca="1" si="236"/>
        <v>-</v>
      </c>
      <c r="DD35" s="65" t="str">
        <f t="shared" ca="1" si="236"/>
        <v>-</v>
      </c>
      <c r="DE35" s="65" t="str">
        <f t="shared" ref="CU35:DV38" ca="1" si="237">IF(AND(DE$2&gt;=$G35,DE$2&lt;($G35+$I35)),ROUND($F35/$I35,0),"-")</f>
        <v>-</v>
      </c>
      <c r="DF35" s="65" t="str">
        <f t="shared" ca="1" si="237"/>
        <v>-</v>
      </c>
      <c r="DG35" s="65" t="str">
        <f t="shared" ca="1" si="237"/>
        <v>-</v>
      </c>
      <c r="DH35" s="65" t="str">
        <f t="shared" ca="1" si="237"/>
        <v>-</v>
      </c>
      <c r="DI35" s="65" t="str">
        <f t="shared" ca="1" si="237"/>
        <v>-</v>
      </c>
      <c r="DJ35" s="65" t="str">
        <f t="shared" ca="1" si="237"/>
        <v>-</v>
      </c>
      <c r="DK35" s="65" t="str">
        <f t="shared" ca="1" si="237"/>
        <v>-</v>
      </c>
      <c r="DL35" s="65" t="str">
        <f t="shared" ca="1" si="237"/>
        <v>-</v>
      </c>
      <c r="DM35" s="65" t="str">
        <f t="shared" ca="1" si="237"/>
        <v>-</v>
      </c>
      <c r="DN35" s="65" t="str">
        <f t="shared" ca="1" si="237"/>
        <v>-</v>
      </c>
      <c r="DO35" s="65" t="str">
        <f t="shared" ca="1" si="237"/>
        <v>-</v>
      </c>
      <c r="DP35" s="65" t="str">
        <f t="shared" ca="1" si="237"/>
        <v>-</v>
      </c>
      <c r="DQ35" s="65" t="str">
        <f t="shared" ca="1" si="237"/>
        <v>-</v>
      </c>
      <c r="DR35" s="65" t="str">
        <f t="shared" ca="1" si="237"/>
        <v>-</v>
      </c>
      <c r="DS35" s="65" t="str">
        <f t="shared" ca="1" si="237"/>
        <v>-</v>
      </c>
      <c r="DT35" s="65" t="str">
        <f t="shared" ca="1" si="237"/>
        <v>-</v>
      </c>
      <c r="DU35" s="65" t="str">
        <f t="shared" ca="1" si="237"/>
        <v>-</v>
      </c>
      <c r="DV35" s="65" t="str">
        <f t="shared" ca="1" si="237"/>
        <v>-</v>
      </c>
    </row>
    <row r="36" spans="1:126">
      <c r="A36" s="464"/>
      <c r="B36" s="509"/>
      <c r="C36" s="509"/>
      <c r="D36" s="456"/>
      <c r="E36" s="185" t="s">
        <v>65</v>
      </c>
      <c r="F36" s="66" t="e">
        <f>SUM('BESS 12'!S209,'BESS 12'!S211:S212,'BESS 12'!S215:S217)</f>
        <v>#VALUE!</v>
      </c>
      <c r="G36" s="182">
        <f ca="1">TODAY()</f>
        <v>46233</v>
      </c>
      <c r="H36" s="162">
        <f>MAX('BESS 12'!O209,'BESS 12'!O211:O212,'BESS 12'!O215:O217)</f>
        <v>46233</v>
      </c>
      <c r="I36" s="66">
        <f t="shared" ca="1" si="230"/>
        <v>0</v>
      </c>
      <c r="J36" s="453"/>
      <c r="K36" s="507"/>
      <c r="L36" s="476"/>
      <c r="M36" s="65" t="str">
        <f t="shared" ca="1" si="231"/>
        <v>-</v>
      </c>
      <c r="N36" s="65" t="str">
        <f t="shared" ca="1" si="231"/>
        <v>-</v>
      </c>
      <c r="O36" s="65" t="str">
        <f t="shared" ca="1" si="231"/>
        <v>-</v>
      </c>
      <c r="P36" s="65" t="str">
        <f t="shared" ca="1" si="231"/>
        <v>-</v>
      </c>
      <c r="Q36" s="65" t="str">
        <f t="shared" ca="1" si="231"/>
        <v>-</v>
      </c>
      <c r="R36" s="65" t="str">
        <f t="shared" ca="1" si="231"/>
        <v>-</v>
      </c>
      <c r="S36" s="65" t="str">
        <f t="shared" ca="1" si="231"/>
        <v>-</v>
      </c>
      <c r="T36" s="65" t="str">
        <f t="shared" ca="1" si="231"/>
        <v>-</v>
      </c>
      <c r="U36" s="65" t="str">
        <f t="shared" ca="1" si="231"/>
        <v>-</v>
      </c>
      <c r="V36" s="65" t="str">
        <f t="shared" ca="1" si="231"/>
        <v>-</v>
      </c>
      <c r="W36" s="65" t="str">
        <f t="shared" ca="1" si="231"/>
        <v>-</v>
      </c>
      <c r="X36" s="65" t="str">
        <f t="shared" ca="1" si="231"/>
        <v>-</v>
      </c>
      <c r="Y36" s="65" t="str">
        <f t="shared" ca="1" si="231"/>
        <v>-</v>
      </c>
      <c r="Z36" s="65" t="str">
        <f t="shared" ca="1" si="231"/>
        <v>-</v>
      </c>
      <c r="AA36" s="65" t="str">
        <f t="shared" ca="1" si="231"/>
        <v>-</v>
      </c>
      <c r="AB36" s="65" t="str">
        <f t="shared" ca="1" si="231"/>
        <v>-</v>
      </c>
      <c r="AC36" s="65" t="str">
        <f t="shared" ca="1" si="232"/>
        <v>-</v>
      </c>
      <c r="AD36" s="65" t="str">
        <f t="shared" ca="1" si="232"/>
        <v>-</v>
      </c>
      <c r="AE36" s="65" t="str">
        <f t="shared" ca="1" si="232"/>
        <v>-</v>
      </c>
      <c r="AF36" s="65" t="str">
        <f t="shared" ca="1" si="232"/>
        <v>-</v>
      </c>
      <c r="AG36" s="65" t="str">
        <f t="shared" ca="1" si="232"/>
        <v>-</v>
      </c>
      <c r="AH36" s="65" t="str">
        <f t="shared" ca="1" si="232"/>
        <v>-</v>
      </c>
      <c r="AI36" s="65" t="str">
        <f t="shared" ca="1" si="232"/>
        <v>-</v>
      </c>
      <c r="AJ36" s="65" t="str">
        <f t="shared" ca="1" si="232"/>
        <v>-</v>
      </c>
      <c r="AK36" s="65" t="str">
        <f t="shared" ca="1" si="232"/>
        <v>-</v>
      </c>
      <c r="AL36" s="65" t="str">
        <f t="shared" ca="1" si="232"/>
        <v>-</v>
      </c>
      <c r="AM36" s="65" t="str">
        <f t="shared" ca="1" si="232"/>
        <v>-</v>
      </c>
      <c r="AN36" s="65" t="str">
        <f t="shared" ca="1" si="232"/>
        <v>-</v>
      </c>
      <c r="AO36" s="65" t="str">
        <f t="shared" ca="1" si="232"/>
        <v>-</v>
      </c>
      <c r="AP36" s="65" t="str">
        <f t="shared" ca="1" si="232"/>
        <v>-</v>
      </c>
      <c r="AQ36" s="65" t="str">
        <f t="shared" ca="1" si="232"/>
        <v>-</v>
      </c>
      <c r="AR36" s="65" t="str">
        <f t="shared" ca="1" si="232"/>
        <v>-</v>
      </c>
      <c r="AS36" s="65" t="str">
        <f t="shared" ca="1" si="233"/>
        <v>-</v>
      </c>
      <c r="AT36" s="65" t="str">
        <f t="shared" ca="1" si="233"/>
        <v>-</v>
      </c>
      <c r="AU36" s="65" t="str">
        <f t="shared" ca="1" si="233"/>
        <v>-</v>
      </c>
      <c r="AV36" s="65" t="str">
        <f t="shared" ca="1" si="233"/>
        <v>-</v>
      </c>
      <c r="AW36" s="65" t="str">
        <f t="shared" ca="1" si="233"/>
        <v>-</v>
      </c>
      <c r="AX36" s="65" t="str">
        <f t="shared" ca="1" si="233"/>
        <v>-</v>
      </c>
      <c r="AY36" s="65" t="str">
        <f t="shared" ca="1" si="233"/>
        <v>-</v>
      </c>
      <c r="AZ36" s="65" t="str">
        <f t="shared" ca="1" si="233"/>
        <v>-</v>
      </c>
      <c r="BA36" s="65" t="str">
        <f t="shared" ca="1" si="233"/>
        <v>-</v>
      </c>
      <c r="BB36" s="65" t="str">
        <f t="shared" ca="1" si="233"/>
        <v>-</v>
      </c>
      <c r="BC36" s="65" t="str">
        <f t="shared" ca="1" si="233"/>
        <v>-</v>
      </c>
      <c r="BD36" s="65" t="str">
        <f t="shared" ca="1" si="233"/>
        <v>-</v>
      </c>
      <c r="BE36" s="65" t="str">
        <f t="shared" ca="1" si="233"/>
        <v>-</v>
      </c>
      <c r="BF36" s="65" t="str">
        <f t="shared" ca="1" si="233"/>
        <v>-</v>
      </c>
      <c r="BG36" s="65" t="str">
        <f t="shared" ca="1" si="233"/>
        <v>-</v>
      </c>
      <c r="BH36" s="65" t="str">
        <f t="shared" ca="1" si="233"/>
        <v>-</v>
      </c>
      <c r="BI36" s="65" t="str">
        <f t="shared" ca="1" si="234"/>
        <v>-</v>
      </c>
      <c r="BJ36" s="65" t="str">
        <f t="shared" ca="1" si="234"/>
        <v>-</v>
      </c>
      <c r="BK36" s="65" t="str">
        <f t="shared" ca="1" si="234"/>
        <v>-</v>
      </c>
      <c r="BL36" s="65" t="str">
        <f t="shared" ca="1" si="234"/>
        <v>-</v>
      </c>
      <c r="BM36" s="65" t="str">
        <f t="shared" ca="1" si="234"/>
        <v>-</v>
      </c>
      <c r="BN36" s="65" t="str">
        <f t="shared" ca="1" si="234"/>
        <v>-</v>
      </c>
      <c r="BO36" s="65" t="str">
        <f t="shared" ca="1" si="234"/>
        <v>-</v>
      </c>
      <c r="BP36" s="65" t="str">
        <f t="shared" ca="1" si="234"/>
        <v>-</v>
      </c>
      <c r="BQ36" s="65" t="str">
        <f t="shared" ca="1" si="234"/>
        <v>-</v>
      </c>
      <c r="BR36" s="65" t="str">
        <f t="shared" ca="1" si="234"/>
        <v>-</v>
      </c>
      <c r="BS36" s="65" t="str">
        <f t="shared" ca="1" si="234"/>
        <v>-</v>
      </c>
      <c r="BT36" s="65" t="str">
        <f t="shared" ca="1" si="234"/>
        <v>-</v>
      </c>
      <c r="BU36" s="65" t="str">
        <f t="shared" ca="1" si="234"/>
        <v>-</v>
      </c>
      <c r="BV36" s="65" t="str">
        <f t="shared" ca="1" si="234"/>
        <v>-</v>
      </c>
      <c r="BW36" s="65" t="str">
        <f t="shared" ca="1" si="234"/>
        <v>-</v>
      </c>
      <c r="BX36" s="65" t="str">
        <f t="shared" ca="1" si="234"/>
        <v>-</v>
      </c>
      <c r="BY36" s="65" t="str">
        <f t="shared" ca="1" si="235"/>
        <v>-</v>
      </c>
      <c r="BZ36" s="65" t="str">
        <f t="shared" ca="1" si="235"/>
        <v>-</v>
      </c>
      <c r="CA36" s="65" t="str">
        <f t="shared" ca="1" si="235"/>
        <v>-</v>
      </c>
      <c r="CB36" s="65" t="str">
        <f t="shared" ca="1" si="235"/>
        <v>-</v>
      </c>
      <c r="CC36" s="65" t="str">
        <f t="shared" ca="1" si="235"/>
        <v>-</v>
      </c>
      <c r="CD36" s="65" t="str">
        <f t="shared" ca="1" si="235"/>
        <v>-</v>
      </c>
      <c r="CE36" s="65" t="str">
        <f t="shared" ca="1" si="235"/>
        <v>-</v>
      </c>
      <c r="CF36" s="65" t="str">
        <f t="shared" ca="1" si="235"/>
        <v>-</v>
      </c>
      <c r="CG36" s="65" t="str">
        <f t="shared" ca="1" si="235"/>
        <v>-</v>
      </c>
      <c r="CH36" s="65" t="str">
        <f t="shared" ca="1" si="235"/>
        <v>-</v>
      </c>
      <c r="CI36" s="65" t="str">
        <f t="shared" ca="1" si="235"/>
        <v>-</v>
      </c>
      <c r="CJ36" s="65" t="str">
        <f t="shared" ca="1" si="235"/>
        <v>-</v>
      </c>
      <c r="CK36" s="65" t="str">
        <f t="shared" ca="1" si="235"/>
        <v>-</v>
      </c>
      <c r="CL36" s="65" t="str">
        <f t="shared" ca="1" si="235"/>
        <v>-</v>
      </c>
      <c r="CM36" s="65" t="str">
        <f t="shared" ca="1" si="235"/>
        <v>-</v>
      </c>
      <c r="CN36" s="65" t="str">
        <f t="shared" ca="1" si="235"/>
        <v>-</v>
      </c>
      <c r="CO36" s="65" t="str">
        <f t="shared" ca="1" si="236"/>
        <v>-</v>
      </c>
      <c r="CP36" s="65" t="str">
        <f t="shared" ca="1" si="236"/>
        <v>-</v>
      </c>
      <c r="CQ36" s="65" t="str">
        <f t="shared" ca="1" si="236"/>
        <v>-</v>
      </c>
      <c r="CR36" s="65" t="str">
        <f t="shared" ca="1" si="236"/>
        <v>-</v>
      </c>
      <c r="CS36" s="65" t="str">
        <f t="shared" ca="1" si="236"/>
        <v>-</v>
      </c>
      <c r="CT36" s="65" t="str">
        <f t="shared" ca="1" si="236"/>
        <v>-</v>
      </c>
      <c r="CU36" s="65" t="str">
        <f t="shared" ca="1" si="237"/>
        <v>-</v>
      </c>
      <c r="CV36" s="65" t="str">
        <f t="shared" ca="1" si="237"/>
        <v>-</v>
      </c>
      <c r="CW36" s="65" t="str">
        <f t="shared" ca="1" si="237"/>
        <v>-</v>
      </c>
      <c r="CX36" s="65" t="str">
        <f t="shared" ca="1" si="237"/>
        <v>-</v>
      </c>
      <c r="CY36" s="65" t="str">
        <f t="shared" ca="1" si="237"/>
        <v>-</v>
      </c>
      <c r="CZ36" s="65" t="str">
        <f t="shared" ca="1" si="237"/>
        <v>-</v>
      </c>
      <c r="DA36" s="65" t="str">
        <f t="shared" ca="1" si="237"/>
        <v>-</v>
      </c>
      <c r="DB36" s="65" t="str">
        <f t="shared" ca="1" si="237"/>
        <v>-</v>
      </c>
      <c r="DC36" s="65" t="str">
        <f t="shared" ca="1" si="237"/>
        <v>-</v>
      </c>
      <c r="DD36" s="65" t="str">
        <f t="shared" ca="1" si="237"/>
        <v>-</v>
      </c>
      <c r="DE36" s="65" t="str">
        <f t="shared" ca="1" si="237"/>
        <v>-</v>
      </c>
      <c r="DF36" s="65" t="str">
        <f t="shared" ca="1" si="237"/>
        <v>-</v>
      </c>
      <c r="DG36" s="65" t="str">
        <f t="shared" ca="1" si="237"/>
        <v>-</v>
      </c>
      <c r="DH36" s="65" t="str">
        <f t="shared" ca="1" si="237"/>
        <v>-</v>
      </c>
      <c r="DI36" s="65" t="str">
        <f t="shared" ca="1" si="237"/>
        <v>-</v>
      </c>
      <c r="DJ36" s="65" t="str">
        <f t="shared" ca="1" si="237"/>
        <v>-</v>
      </c>
      <c r="DK36" s="65" t="str">
        <f t="shared" ca="1" si="237"/>
        <v>-</v>
      </c>
      <c r="DL36" s="65" t="str">
        <f t="shared" ca="1" si="237"/>
        <v>-</v>
      </c>
      <c r="DM36" s="65" t="str">
        <f t="shared" ca="1" si="237"/>
        <v>-</v>
      </c>
      <c r="DN36" s="65" t="str">
        <f t="shared" ca="1" si="237"/>
        <v>-</v>
      </c>
      <c r="DO36" s="65" t="str">
        <f t="shared" ca="1" si="237"/>
        <v>-</v>
      </c>
      <c r="DP36" s="65" t="str">
        <f t="shared" ca="1" si="237"/>
        <v>-</v>
      </c>
      <c r="DQ36" s="65" t="str">
        <f t="shared" ca="1" si="237"/>
        <v>-</v>
      </c>
      <c r="DR36" s="65" t="str">
        <f t="shared" ca="1" si="237"/>
        <v>-</v>
      </c>
      <c r="DS36" s="65" t="str">
        <f t="shared" ca="1" si="237"/>
        <v>-</v>
      </c>
      <c r="DT36" s="65" t="str">
        <f t="shared" ca="1" si="237"/>
        <v>-</v>
      </c>
      <c r="DU36" s="65" t="str">
        <f t="shared" ca="1" si="237"/>
        <v>-</v>
      </c>
      <c r="DV36" s="65" t="str">
        <f t="shared" ca="1" si="237"/>
        <v>-</v>
      </c>
    </row>
    <row r="37" spans="1:126">
      <c r="A37" s="464"/>
      <c r="B37" s="509"/>
      <c r="C37" s="509"/>
      <c r="D37" s="456"/>
      <c r="E37" s="185" t="s">
        <v>66</v>
      </c>
      <c r="F37" s="66" t="e">
        <f>SUM('BESS 12'!S210,'BESS 12'!S213:S214,'BESS 12'!S218:S219)</f>
        <v>#VALUE!</v>
      </c>
      <c r="G37" s="182">
        <f ca="1">TODAY()</f>
        <v>46233</v>
      </c>
      <c r="H37" s="162">
        <f>MAX('BESS 12'!O210,'BESS 12'!O212:O213,'BESS 12'!O216:O218)</f>
        <v>46236</v>
      </c>
      <c r="I37" s="66">
        <f t="shared" ca="1" si="230"/>
        <v>3</v>
      </c>
      <c r="J37" s="453"/>
      <c r="K37" s="507"/>
      <c r="L37" s="476"/>
      <c r="M37" s="65" t="str">
        <f t="shared" ca="1" si="231"/>
        <v>-</v>
      </c>
      <c r="N37" s="65" t="str">
        <f t="shared" ca="1" si="231"/>
        <v>-</v>
      </c>
      <c r="O37" s="65" t="str">
        <f t="shared" ca="1" si="231"/>
        <v>-</v>
      </c>
      <c r="P37" s="65" t="str">
        <f t="shared" ca="1" si="231"/>
        <v>-</v>
      </c>
      <c r="Q37" s="65" t="str">
        <f t="shared" ca="1" si="231"/>
        <v>-</v>
      </c>
      <c r="R37" s="65" t="str">
        <f t="shared" ca="1" si="231"/>
        <v>-</v>
      </c>
      <c r="S37" s="65" t="str">
        <f t="shared" ca="1" si="231"/>
        <v>-</v>
      </c>
      <c r="T37" s="65" t="str">
        <f t="shared" ca="1" si="231"/>
        <v>-</v>
      </c>
      <c r="U37" s="65" t="str">
        <f t="shared" ca="1" si="231"/>
        <v>-</v>
      </c>
      <c r="V37" s="65" t="str">
        <f t="shared" ca="1" si="231"/>
        <v>-</v>
      </c>
      <c r="W37" s="65" t="str">
        <f t="shared" ca="1" si="231"/>
        <v>-</v>
      </c>
      <c r="X37" s="65" t="str">
        <f t="shared" ca="1" si="231"/>
        <v>-</v>
      </c>
      <c r="Y37" s="65" t="str">
        <f t="shared" ca="1" si="231"/>
        <v>-</v>
      </c>
      <c r="Z37" s="65" t="str">
        <f t="shared" ca="1" si="231"/>
        <v>-</v>
      </c>
      <c r="AA37" s="65" t="str">
        <f t="shared" ca="1" si="231"/>
        <v>-</v>
      </c>
      <c r="AB37" s="65" t="str">
        <f t="shared" ca="1" si="231"/>
        <v>-</v>
      </c>
      <c r="AC37" s="65" t="str">
        <f t="shared" ca="1" si="232"/>
        <v>-</v>
      </c>
      <c r="AD37" s="65" t="str">
        <f t="shared" ca="1" si="232"/>
        <v>-</v>
      </c>
      <c r="AE37" s="65" t="str">
        <f t="shared" ca="1" si="232"/>
        <v>-</v>
      </c>
      <c r="AF37" s="65" t="str">
        <f t="shared" ca="1" si="232"/>
        <v>-</v>
      </c>
      <c r="AG37" s="65" t="str">
        <f t="shared" ca="1" si="232"/>
        <v>-</v>
      </c>
      <c r="AH37" s="65" t="str">
        <f t="shared" ca="1" si="232"/>
        <v>-</v>
      </c>
      <c r="AI37" s="65" t="str">
        <f t="shared" ca="1" si="232"/>
        <v>-</v>
      </c>
      <c r="AJ37" s="65" t="str">
        <f t="shared" ca="1" si="232"/>
        <v>-</v>
      </c>
      <c r="AK37" s="65" t="str">
        <f t="shared" ca="1" si="232"/>
        <v>-</v>
      </c>
      <c r="AL37" s="65" t="str">
        <f t="shared" ca="1" si="232"/>
        <v>-</v>
      </c>
      <c r="AM37" s="65" t="str">
        <f t="shared" ca="1" si="232"/>
        <v>-</v>
      </c>
      <c r="AN37" s="65" t="str">
        <f t="shared" ca="1" si="232"/>
        <v>-</v>
      </c>
      <c r="AO37" s="65" t="str">
        <f t="shared" ca="1" si="232"/>
        <v>-</v>
      </c>
      <c r="AP37" s="65" t="str">
        <f t="shared" ca="1" si="232"/>
        <v>-</v>
      </c>
      <c r="AQ37" s="65" t="str">
        <f t="shared" ca="1" si="232"/>
        <v>-</v>
      </c>
      <c r="AR37" s="65" t="str">
        <f t="shared" ca="1" si="232"/>
        <v>-</v>
      </c>
      <c r="AS37" s="65" t="str">
        <f t="shared" ca="1" si="233"/>
        <v>-</v>
      </c>
      <c r="AT37" s="65" t="str">
        <f t="shared" ca="1" si="233"/>
        <v>-</v>
      </c>
      <c r="AU37" s="65" t="str">
        <f t="shared" ca="1" si="233"/>
        <v>-</v>
      </c>
      <c r="AV37" s="65" t="str">
        <f t="shared" ca="1" si="233"/>
        <v>-</v>
      </c>
      <c r="AW37" s="65" t="str">
        <f t="shared" ca="1" si="233"/>
        <v>-</v>
      </c>
      <c r="AX37" s="65" t="str">
        <f t="shared" ca="1" si="233"/>
        <v>-</v>
      </c>
      <c r="AY37" s="65" t="e">
        <f t="shared" ca="1" si="233"/>
        <v>#VALUE!</v>
      </c>
      <c r="AZ37" s="65" t="e">
        <f t="shared" ca="1" si="233"/>
        <v>#VALUE!</v>
      </c>
      <c r="BA37" s="65" t="e">
        <f t="shared" ca="1" si="233"/>
        <v>#VALUE!</v>
      </c>
      <c r="BB37" s="65" t="str">
        <f t="shared" ca="1" si="233"/>
        <v>-</v>
      </c>
      <c r="BC37" s="65" t="str">
        <f t="shared" ca="1" si="233"/>
        <v>-</v>
      </c>
      <c r="BD37" s="65" t="str">
        <f t="shared" ca="1" si="233"/>
        <v>-</v>
      </c>
      <c r="BE37" s="65" t="str">
        <f t="shared" ca="1" si="233"/>
        <v>-</v>
      </c>
      <c r="BF37" s="65" t="str">
        <f t="shared" ca="1" si="233"/>
        <v>-</v>
      </c>
      <c r="BG37" s="65" t="str">
        <f t="shared" ca="1" si="233"/>
        <v>-</v>
      </c>
      <c r="BH37" s="65" t="str">
        <f t="shared" ca="1" si="233"/>
        <v>-</v>
      </c>
      <c r="BI37" s="65" t="str">
        <f t="shared" ca="1" si="234"/>
        <v>-</v>
      </c>
      <c r="BJ37" s="65" t="str">
        <f t="shared" ca="1" si="234"/>
        <v>-</v>
      </c>
      <c r="BK37" s="65" t="str">
        <f t="shared" ca="1" si="234"/>
        <v>-</v>
      </c>
      <c r="BL37" s="65" t="str">
        <f t="shared" ca="1" si="234"/>
        <v>-</v>
      </c>
      <c r="BM37" s="65" t="str">
        <f t="shared" ca="1" si="234"/>
        <v>-</v>
      </c>
      <c r="BN37" s="65" t="str">
        <f t="shared" ca="1" si="234"/>
        <v>-</v>
      </c>
      <c r="BO37" s="65" t="str">
        <f t="shared" ca="1" si="234"/>
        <v>-</v>
      </c>
      <c r="BP37" s="65" t="str">
        <f t="shared" ca="1" si="234"/>
        <v>-</v>
      </c>
      <c r="BQ37" s="65" t="str">
        <f t="shared" ca="1" si="234"/>
        <v>-</v>
      </c>
      <c r="BR37" s="65" t="str">
        <f t="shared" ca="1" si="234"/>
        <v>-</v>
      </c>
      <c r="BS37" s="65" t="str">
        <f t="shared" ca="1" si="234"/>
        <v>-</v>
      </c>
      <c r="BT37" s="65" t="str">
        <f t="shared" ca="1" si="234"/>
        <v>-</v>
      </c>
      <c r="BU37" s="65" t="str">
        <f t="shared" ca="1" si="234"/>
        <v>-</v>
      </c>
      <c r="BV37" s="65" t="str">
        <f t="shared" ca="1" si="234"/>
        <v>-</v>
      </c>
      <c r="BW37" s="65" t="str">
        <f t="shared" ca="1" si="234"/>
        <v>-</v>
      </c>
      <c r="BX37" s="65" t="str">
        <f t="shared" ca="1" si="234"/>
        <v>-</v>
      </c>
      <c r="BY37" s="65" t="str">
        <f t="shared" ca="1" si="235"/>
        <v>-</v>
      </c>
      <c r="BZ37" s="65" t="str">
        <f t="shared" ca="1" si="235"/>
        <v>-</v>
      </c>
      <c r="CA37" s="65" t="str">
        <f t="shared" ca="1" si="235"/>
        <v>-</v>
      </c>
      <c r="CB37" s="65" t="str">
        <f t="shared" ca="1" si="235"/>
        <v>-</v>
      </c>
      <c r="CC37" s="65" t="str">
        <f t="shared" ca="1" si="235"/>
        <v>-</v>
      </c>
      <c r="CD37" s="65" t="str">
        <f t="shared" ca="1" si="235"/>
        <v>-</v>
      </c>
      <c r="CE37" s="65" t="str">
        <f t="shared" ca="1" si="235"/>
        <v>-</v>
      </c>
      <c r="CF37" s="65" t="str">
        <f t="shared" ca="1" si="235"/>
        <v>-</v>
      </c>
      <c r="CG37" s="65" t="str">
        <f t="shared" ca="1" si="235"/>
        <v>-</v>
      </c>
      <c r="CH37" s="65" t="str">
        <f t="shared" ca="1" si="235"/>
        <v>-</v>
      </c>
      <c r="CI37" s="65" t="str">
        <f t="shared" ca="1" si="235"/>
        <v>-</v>
      </c>
      <c r="CJ37" s="65" t="str">
        <f t="shared" ca="1" si="235"/>
        <v>-</v>
      </c>
      <c r="CK37" s="65" t="str">
        <f t="shared" ca="1" si="235"/>
        <v>-</v>
      </c>
      <c r="CL37" s="65" t="str">
        <f t="shared" ca="1" si="235"/>
        <v>-</v>
      </c>
      <c r="CM37" s="65" t="str">
        <f t="shared" ca="1" si="235"/>
        <v>-</v>
      </c>
      <c r="CN37" s="65" t="str">
        <f t="shared" ca="1" si="235"/>
        <v>-</v>
      </c>
      <c r="CO37" s="65" t="str">
        <f t="shared" ca="1" si="236"/>
        <v>-</v>
      </c>
      <c r="CP37" s="65" t="str">
        <f t="shared" ca="1" si="236"/>
        <v>-</v>
      </c>
      <c r="CQ37" s="65" t="str">
        <f t="shared" ca="1" si="236"/>
        <v>-</v>
      </c>
      <c r="CR37" s="65" t="str">
        <f t="shared" ca="1" si="236"/>
        <v>-</v>
      </c>
      <c r="CS37" s="65" t="str">
        <f t="shared" ca="1" si="236"/>
        <v>-</v>
      </c>
      <c r="CT37" s="65" t="str">
        <f t="shared" ca="1" si="236"/>
        <v>-</v>
      </c>
      <c r="CU37" s="65" t="str">
        <f t="shared" ca="1" si="237"/>
        <v>-</v>
      </c>
      <c r="CV37" s="65" t="str">
        <f t="shared" ca="1" si="237"/>
        <v>-</v>
      </c>
      <c r="CW37" s="65" t="str">
        <f t="shared" ca="1" si="237"/>
        <v>-</v>
      </c>
      <c r="CX37" s="65" t="str">
        <f t="shared" ca="1" si="237"/>
        <v>-</v>
      </c>
      <c r="CY37" s="65" t="str">
        <f t="shared" ca="1" si="237"/>
        <v>-</v>
      </c>
      <c r="CZ37" s="65" t="str">
        <f t="shared" ca="1" si="237"/>
        <v>-</v>
      </c>
      <c r="DA37" s="65" t="str">
        <f t="shared" ca="1" si="237"/>
        <v>-</v>
      </c>
      <c r="DB37" s="65" t="str">
        <f t="shared" ca="1" si="237"/>
        <v>-</v>
      </c>
      <c r="DC37" s="65" t="str">
        <f t="shared" ca="1" si="237"/>
        <v>-</v>
      </c>
      <c r="DD37" s="65" t="str">
        <f t="shared" ca="1" si="237"/>
        <v>-</v>
      </c>
      <c r="DE37" s="65" t="str">
        <f t="shared" ca="1" si="237"/>
        <v>-</v>
      </c>
      <c r="DF37" s="65" t="str">
        <f t="shared" ca="1" si="237"/>
        <v>-</v>
      </c>
      <c r="DG37" s="65" t="str">
        <f t="shared" ca="1" si="237"/>
        <v>-</v>
      </c>
      <c r="DH37" s="65" t="str">
        <f t="shared" ca="1" si="237"/>
        <v>-</v>
      </c>
      <c r="DI37" s="65" t="str">
        <f t="shared" ca="1" si="237"/>
        <v>-</v>
      </c>
      <c r="DJ37" s="65" t="str">
        <f t="shared" ca="1" si="237"/>
        <v>-</v>
      </c>
      <c r="DK37" s="65" t="str">
        <f t="shared" ca="1" si="237"/>
        <v>-</v>
      </c>
      <c r="DL37" s="65" t="str">
        <f t="shared" ca="1" si="237"/>
        <v>-</v>
      </c>
      <c r="DM37" s="65" t="str">
        <f t="shared" ca="1" si="237"/>
        <v>-</v>
      </c>
      <c r="DN37" s="65" t="str">
        <f t="shared" ca="1" si="237"/>
        <v>-</v>
      </c>
      <c r="DO37" s="65" t="str">
        <f t="shared" ca="1" si="237"/>
        <v>-</v>
      </c>
      <c r="DP37" s="65" t="str">
        <f t="shared" ca="1" si="237"/>
        <v>-</v>
      </c>
      <c r="DQ37" s="65" t="str">
        <f t="shared" ca="1" si="237"/>
        <v>-</v>
      </c>
      <c r="DR37" s="65" t="str">
        <f t="shared" ca="1" si="237"/>
        <v>-</v>
      </c>
      <c r="DS37" s="65" t="str">
        <f t="shared" ca="1" si="237"/>
        <v>-</v>
      </c>
      <c r="DT37" s="65" t="str">
        <f t="shared" ca="1" si="237"/>
        <v>-</v>
      </c>
      <c r="DU37" s="65" t="str">
        <f t="shared" ca="1" si="237"/>
        <v>-</v>
      </c>
      <c r="DV37" s="65" t="str">
        <f t="shared" ca="1" si="237"/>
        <v>-</v>
      </c>
    </row>
    <row r="38" spans="1:126">
      <c r="A38" s="464"/>
      <c r="B38" s="509"/>
      <c r="C38" s="509"/>
      <c r="D38" s="456"/>
      <c r="E38" s="185" t="s">
        <v>67</v>
      </c>
      <c r="F38" s="66" t="e">
        <f>SUM('BESS 12'!S221:S230)</f>
        <v>#VALUE!</v>
      </c>
      <c r="G38" s="182">
        <f ca="1">TODAY()</f>
        <v>46233</v>
      </c>
      <c r="H38" s="162">
        <f>B34-3</f>
        <v>46238</v>
      </c>
      <c r="I38" s="66">
        <f t="shared" ca="1" si="230"/>
        <v>5</v>
      </c>
      <c r="J38" s="453"/>
      <c r="K38" s="507"/>
      <c r="L38" s="476"/>
      <c r="M38" s="65" t="str">
        <f t="shared" ca="1" si="231"/>
        <v>-</v>
      </c>
      <c r="N38" s="65" t="str">
        <f t="shared" ca="1" si="231"/>
        <v>-</v>
      </c>
      <c r="O38" s="65" t="str">
        <f t="shared" ca="1" si="231"/>
        <v>-</v>
      </c>
      <c r="P38" s="65" t="str">
        <f t="shared" ca="1" si="231"/>
        <v>-</v>
      </c>
      <c r="Q38" s="65" t="str">
        <f t="shared" ca="1" si="231"/>
        <v>-</v>
      </c>
      <c r="R38" s="65" t="str">
        <f t="shared" ca="1" si="231"/>
        <v>-</v>
      </c>
      <c r="S38" s="65" t="str">
        <f t="shared" ca="1" si="231"/>
        <v>-</v>
      </c>
      <c r="T38" s="65" t="str">
        <f t="shared" ca="1" si="231"/>
        <v>-</v>
      </c>
      <c r="U38" s="65" t="str">
        <f t="shared" ca="1" si="231"/>
        <v>-</v>
      </c>
      <c r="V38" s="65" t="str">
        <f t="shared" ca="1" si="231"/>
        <v>-</v>
      </c>
      <c r="W38" s="65" t="str">
        <f t="shared" ca="1" si="231"/>
        <v>-</v>
      </c>
      <c r="X38" s="65" t="str">
        <f t="shared" ca="1" si="231"/>
        <v>-</v>
      </c>
      <c r="Y38" s="65" t="str">
        <f t="shared" ca="1" si="231"/>
        <v>-</v>
      </c>
      <c r="Z38" s="65" t="str">
        <f t="shared" ca="1" si="231"/>
        <v>-</v>
      </c>
      <c r="AA38" s="65" t="str">
        <f t="shared" ca="1" si="231"/>
        <v>-</v>
      </c>
      <c r="AB38" s="65" t="str">
        <f t="shared" ca="1" si="231"/>
        <v>-</v>
      </c>
      <c r="AC38" s="65" t="str">
        <f t="shared" ca="1" si="232"/>
        <v>-</v>
      </c>
      <c r="AD38" s="65" t="str">
        <f t="shared" ca="1" si="232"/>
        <v>-</v>
      </c>
      <c r="AE38" s="65" t="str">
        <f t="shared" ca="1" si="232"/>
        <v>-</v>
      </c>
      <c r="AF38" s="65" t="str">
        <f t="shared" ca="1" si="232"/>
        <v>-</v>
      </c>
      <c r="AG38" s="65" t="str">
        <f t="shared" ca="1" si="232"/>
        <v>-</v>
      </c>
      <c r="AH38" s="65" t="str">
        <f t="shared" ca="1" si="232"/>
        <v>-</v>
      </c>
      <c r="AI38" s="65" t="str">
        <f t="shared" ca="1" si="232"/>
        <v>-</v>
      </c>
      <c r="AJ38" s="65" t="str">
        <f t="shared" ca="1" si="232"/>
        <v>-</v>
      </c>
      <c r="AK38" s="65" t="str">
        <f t="shared" ca="1" si="232"/>
        <v>-</v>
      </c>
      <c r="AL38" s="65" t="str">
        <f t="shared" ca="1" si="232"/>
        <v>-</v>
      </c>
      <c r="AM38" s="65" t="str">
        <f t="shared" ca="1" si="232"/>
        <v>-</v>
      </c>
      <c r="AN38" s="65" t="str">
        <f t="shared" ca="1" si="232"/>
        <v>-</v>
      </c>
      <c r="AO38" s="65" t="str">
        <f t="shared" ca="1" si="232"/>
        <v>-</v>
      </c>
      <c r="AP38" s="65" t="str">
        <f t="shared" ca="1" si="232"/>
        <v>-</v>
      </c>
      <c r="AQ38" s="65" t="str">
        <f t="shared" ca="1" si="232"/>
        <v>-</v>
      </c>
      <c r="AR38" s="65" t="str">
        <f t="shared" ca="1" si="232"/>
        <v>-</v>
      </c>
      <c r="AS38" s="65" t="str">
        <f t="shared" ca="1" si="233"/>
        <v>-</v>
      </c>
      <c r="AT38" s="65" t="str">
        <f t="shared" ca="1" si="233"/>
        <v>-</v>
      </c>
      <c r="AU38" s="65" t="str">
        <f t="shared" ca="1" si="233"/>
        <v>-</v>
      </c>
      <c r="AV38" s="65" t="str">
        <f t="shared" ca="1" si="233"/>
        <v>-</v>
      </c>
      <c r="AW38" s="65" t="str">
        <f t="shared" ca="1" si="233"/>
        <v>-</v>
      </c>
      <c r="AX38" s="65" t="str">
        <f t="shared" ca="1" si="233"/>
        <v>-</v>
      </c>
      <c r="AY38" s="65" t="e">
        <f t="shared" ca="1" si="233"/>
        <v>#VALUE!</v>
      </c>
      <c r="AZ38" s="65" t="e">
        <f t="shared" ca="1" si="233"/>
        <v>#VALUE!</v>
      </c>
      <c r="BA38" s="65" t="e">
        <f t="shared" ca="1" si="233"/>
        <v>#VALUE!</v>
      </c>
      <c r="BB38" s="65" t="e">
        <f t="shared" ca="1" si="233"/>
        <v>#VALUE!</v>
      </c>
      <c r="BC38" s="65" t="e">
        <f t="shared" ca="1" si="233"/>
        <v>#VALUE!</v>
      </c>
      <c r="BD38" s="65" t="str">
        <f t="shared" ca="1" si="233"/>
        <v>-</v>
      </c>
      <c r="BE38" s="65" t="str">
        <f t="shared" ca="1" si="233"/>
        <v>-</v>
      </c>
      <c r="BF38" s="65" t="str">
        <f t="shared" ca="1" si="233"/>
        <v>-</v>
      </c>
      <c r="BG38" s="65" t="str">
        <f t="shared" ca="1" si="233"/>
        <v>-</v>
      </c>
      <c r="BH38" s="65" t="str">
        <f t="shared" ca="1" si="233"/>
        <v>-</v>
      </c>
      <c r="BI38" s="65" t="str">
        <f t="shared" ca="1" si="234"/>
        <v>-</v>
      </c>
      <c r="BJ38" s="65" t="str">
        <f t="shared" ca="1" si="234"/>
        <v>-</v>
      </c>
      <c r="BK38" s="65" t="str">
        <f t="shared" ca="1" si="234"/>
        <v>-</v>
      </c>
      <c r="BL38" s="65" t="str">
        <f t="shared" ca="1" si="234"/>
        <v>-</v>
      </c>
      <c r="BM38" s="65" t="str">
        <f t="shared" ca="1" si="234"/>
        <v>-</v>
      </c>
      <c r="BN38" s="65" t="str">
        <f t="shared" ca="1" si="234"/>
        <v>-</v>
      </c>
      <c r="BO38" s="65" t="str">
        <f t="shared" ca="1" si="234"/>
        <v>-</v>
      </c>
      <c r="BP38" s="65" t="str">
        <f t="shared" ca="1" si="234"/>
        <v>-</v>
      </c>
      <c r="BQ38" s="65" t="str">
        <f t="shared" ca="1" si="234"/>
        <v>-</v>
      </c>
      <c r="BR38" s="65" t="str">
        <f t="shared" ca="1" si="234"/>
        <v>-</v>
      </c>
      <c r="BS38" s="65" t="str">
        <f t="shared" ca="1" si="234"/>
        <v>-</v>
      </c>
      <c r="BT38" s="65" t="str">
        <f t="shared" ca="1" si="234"/>
        <v>-</v>
      </c>
      <c r="BU38" s="65" t="str">
        <f t="shared" ca="1" si="234"/>
        <v>-</v>
      </c>
      <c r="BV38" s="65" t="str">
        <f t="shared" ca="1" si="234"/>
        <v>-</v>
      </c>
      <c r="BW38" s="65" t="str">
        <f t="shared" ca="1" si="234"/>
        <v>-</v>
      </c>
      <c r="BX38" s="65" t="str">
        <f t="shared" ca="1" si="234"/>
        <v>-</v>
      </c>
      <c r="BY38" s="65" t="str">
        <f t="shared" ca="1" si="235"/>
        <v>-</v>
      </c>
      <c r="BZ38" s="65" t="str">
        <f t="shared" ca="1" si="235"/>
        <v>-</v>
      </c>
      <c r="CA38" s="65" t="str">
        <f t="shared" ca="1" si="235"/>
        <v>-</v>
      </c>
      <c r="CB38" s="65" t="str">
        <f t="shared" ca="1" si="235"/>
        <v>-</v>
      </c>
      <c r="CC38" s="65" t="str">
        <f t="shared" ca="1" si="235"/>
        <v>-</v>
      </c>
      <c r="CD38" s="65" t="str">
        <f t="shared" ca="1" si="235"/>
        <v>-</v>
      </c>
      <c r="CE38" s="65" t="str">
        <f t="shared" ca="1" si="235"/>
        <v>-</v>
      </c>
      <c r="CF38" s="65" t="str">
        <f t="shared" ca="1" si="235"/>
        <v>-</v>
      </c>
      <c r="CG38" s="65" t="str">
        <f t="shared" ca="1" si="235"/>
        <v>-</v>
      </c>
      <c r="CH38" s="65" t="str">
        <f t="shared" ca="1" si="235"/>
        <v>-</v>
      </c>
      <c r="CI38" s="65" t="str">
        <f t="shared" ca="1" si="235"/>
        <v>-</v>
      </c>
      <c r="CJ38" s="65" t="str">
        <f t="shared" ca="1" si="235"/>
        <v>-</v>
      </c>
      <c r="CK38" s="65" t="str">
        <f t="shared" ca="1" si="235"/>
        <v>-</v>
      </c>
      <c r="CL38" s="65" t="str">
        <f t="shared" ca="1" si="235"/>
        <v>-</v>
      </c>
      <c r="CM38" s="65" t="str">
        <f t="shared" ca="1" si="235"/>
        <v>-</v>
      </c>
      <c r="CN38" s="65" t="str">
        <f t="shared" ca="1" si="235"/>
        <v>-</v>
      </c>
      <c r="CO38" s="65" t="str">
        <f t="shared" ca="1" si="236"/>
        <v>-</v>
      </c>
      <c r="CP38" s="65" t="str">
        <f t="shared" ca="1" si="236"/>
        <v>-</v>
      </c>
      <c r="CQ38" s="65" t="str">
        <f t="shared" ca="1" si="236"/>
        <v>-</v>
      </c>
      <c r="CR38" s="65" t="str">
        <f t="shared" ca="1" si="236"/>
        <v>-</v>
      </c>
      <c r="CS38" s="65" t="str">
        <f t="shared" ca="1" si="236"/>
        <v>-</v>
      </c>
      <c r="CT38" s="65" t="str">
        <f t="shared" ca="1" si="236"/>
        <v>-</v>
      </c>
      <c r="CU38" s="65" t="str">
        <f t="shared" ca="1" si="237"/>
        <v>-</v>
      </c>
      <c r="CV38" s="65" t="str">
        <f t="shared" ca="1" si="237"/>
        <v>-</v>
      </c>
      <c r="CW38" s="65" t="str">
        <f t="shared" ca="1" si="237"/>
        <v>-</v>
      </c>
      <c r="CX38" s="65" t="str">
        <f t="shared" ca="1" si="237"/>
        <v>-</v>
      </c>
      <c r="CY38" s="65" t="str">
        <f t="shared" ca="1" si="237"/>
        <v>-</v>
      </c>
      <c r="CZ38" s="65" t="str">
        <f t="shared" ca="1" si="237"/>
        <v>-</v>
      </c>
      <c r="DA38" s="65" t="str">
        <f t="shared" ca="1" si="237"/>
        <v>-</v>
      </c>
      <c r="DB38" s="65" t="str">
        <f t="shared" ca="1" si="237"/>
        <v>-</v>
      </c>
      <c r="DC38" s="65" t="str">
        <f t="shared" ca="1" si="237"/>
        <v>-</v>
      </c>
      <c r="DD38" s="65" t="str">
        <f t="shared" ca="1" si="237"/>
        <v>-</v>
      </c>
      <c r="DE38" s="65" t="str">
        <f t="shared" ca="1" si="237"/>
        <v>-</v>
      </c>
      <c r="DF38" s="65" t="str">
        <f t="shared" ca="1" si="237"/>
        <v>-</v>
      </c>
      <c r="DG38" s="65" t="str">
        <f t="shared" ca="1" si="237"/>
        <v>-</v>
      </c>
      <c r="DH38" s="65" t="str">
        <f t="shared" ca="1" si="237"/>
        <v>-</v>
      </c>
      <c r="DI38" s="65" t="str">
        <f t="shared" ca="1" si="237"/>
        <v>-</v>
      </c>
      <c r="DJ38" s="65" t="str">
        <f t="shared" ca="1" si="237"/>
        <v>-</v>
      </c>
      <c r="DK38" s="65" t="str">
        <f t="shared" ca="1" si="237"/>
        <v>-</v>
      </c>
      <c r="DL38" s="65" t="str">
        <f t="shared" ca="1" si="237"/>
        <v>-</v>
      </c>
      <c r="DM38" s="65" t="str">
        <f t="shared" ca="1" si="237"/>
        <v>-</v>
      </c>
      <c r="DN38" s="65" t="str">
        <f t="shared" ca="1" si="237"/>
        <v>-</v>
      </c>
      <c r="DO38" s="65" t="str">
        <f t="shared" ca="1" si="237"/>
        <v>-</v>
      </c>
      <c r="DP38" s="65" t="str">
        <f t="shared" ca="1" si="237"/>
        <v>-</v>
      </c>
      <c r="DQ38" s="65" t="str">
        <f t="shared" ca="1" si="237"/>
        <v>-</v>
      </c>
      <c r="DR38" s="65" t="str">
        <f t="shared" ca="1" si="237"/>
        <v>-</v>
      </c>
      <c r="DS38" s="65" t="str">
        <f t="shared" ca="1" si="237"/>
        <v>-</v>
      </c>
      <c r="DT38" s="65" t="str">
        <f t="shared" ca="1" si="237"/>
        <v>-</v>
      </c>
      <c r="DU38" s="65" t="str">
        <f t="shared" ca="1" si="237"/>
        <v>-</v>
      </c>
      <c r="DV38" s="65" t="str">
        <f t="shared" ca="1" si="237"/>
        <v>-</v>
      </c>
    </row>
    <row r="39" spans="1:126">
      <c r="A39" s="464"/>
      <c r="B39" s="509"/>
      <c r="C39" s="509"/>
      <c r="D39" s="457"/>
      <c r="E39" s="185" t="s">
        <v>68</v>
      </c>
      <c r="F39" s="65">
        <v>250</v>
      </c>
      <c r="G39" s="182"/>
      <c r="H39" s="162">
        <f>B34-3</f>
        <v>46238</v>
      </c>
      <c r="I39" s="65">
        <v>30</v>
      </c>
      <c r="J39" s="454"/>
      <c r="K39" s="508"/>
      <c r="L39" s="504"/>
      <c r="M39" s="65" t="str">
        <f>IF(AND(M$2&gt;=$B$34-26,M$2&lt;=$B$34-3),5,IF(OR(M$2=$B$34-2,M$2=$B$34-1,M$2=$B$34,M$2=$B$34+1),30,IF(OR(M$2=$B$34+2,M$2=$B$34+3),5,"")))</f>
        <v/>
      </c>
      <c r="N39" s="65" t="str">
        <f t="shared" ref="N39:BY39" si="238">IF(AND(N$2&gt;=$B$34-26,N$2&lt;=$B$34-3),5,IF(OR(N$2=$B$34-2,N$2=$B$34-1,N$2=$B$34,N$2=$B$34+1),30,IF(OR(N$2=$B$34+2,N$2=$B$34+3),5,"")))</f>
        <v/>
      </c>
      <c r="O39" s="65" t="str">
        <f t="shared" si="238"/>
        <v/>
      </c>
      <c r="P39" s="65" t="str">
        <f t="shared" si="238"/>
        <v/>
      </c>
      <c r="Q39" s="65" t="str">
        <f t="shared" si="238"/>
        <v/>
      </c>
      <c r="R39" s="65" t="str">
        <f t="shared" si="238"/>
        <v/>
      </c>
      <c r="S39" s="65" t="str">
        <f t="shared" si="238"/>
        <v/>
      </c>
      <c r="T39" s="65" t="str">
        <f t="shared" si="238"/>
        <v/>
      </c>
      <c r="U39" s="65" t="str">
        <f t="shared" si="238"/>
        <v/>
      </c>
      <c r="V39" s="65" t="str">
        <f t="shared" si="238"/>
        <v/>
      </c>
      <c r="W39" s="65" t="str">
        <f t="shared" si="238"/>
        <v/>
      </c>
      <c r="X39" s="65" t="str">
        <f t="shared" si="238"/>
        <v/>
      </c>
      <c r="Y39" s="65" t="str">
        <f t="shared" si="238"/>
        <v/>
      </c>
      <c r="Z39" s="65" t="str">
        <f t="shared" si="238"/>
        <v/>
      </c>
      <c r="AA39" s="65" t="str">
        <f t="shared" si="238"/>
        <v/>
      </c>
      <c r="AB39" s="65" t="str">
        <f t="shared" si="238"/>
        <v/>
      </c>
      <c r="AC39" s="65" t="str">
        <f t="shared" si="238"/>
        <v/>
      </c>
      <c r="AD39" s="65" t="str">
        <f t="shared" si="238"/>
        <v/>
      </c>
      <c r="AE39" s="65" t="str">
        <f t="shared" si="238"/>
        <v/>
      </c>
      <c r="AF39" s="65" t="str">
        <f t="shared" si="238"/>
        <v/>
      </c>
      <c r="AG39" s="65">
        <f t="shared" si="238"/>
        <v>5</v>
      </c>
      <c r="AH39" s="65">
        <f t="shared" si="238"/>
        <v>5</v>
      </c>
      <c r="AI39" s="65">
        <f t="shared" si="238"/>
        <v>5</v>
      </c>
      <c r="AJ39" s="65">
        <f t="shared" si="238"/>
        <v>5</v>
      </c>
      <c r="AK39" s="65">
        <f t="shared" si="238"/>
        <v>5</v>
      </c>
      <c r="AL39" s="65">
        <f t="shared" si="238"/>
        <v>5</v>
      </c>
      <c r="AM39" s="65">
        <f t="shared" si="238"/>
        <v>5</v>
      </c>
      <c r="AN39" s="65">
        <f t="shared" si="238"/>
        <v>5</v>
      </c>
      <c r="AO39" s="65">
        <f t="shared" si="238"/>
        <v>5</v>
      </c>
      <c r="AP39" s="65">
        <f t="shared" si="238"/>
        <v>5</v>
      </c>
      <c r="AQ39" s="65">
        <f t="shared" si="238"/>
        <v>5</v>
      </c>
      <c r="AR39" s="65">
        <f t="shared" si="238"/>
        <v>5</v>
      </c>
      <c r="AS39" s="65">
        <f t="shared" si="238"/>
        <v>5</v>
      </c>
      <c r="AT39" s="65">
        <f t="shared" si="238"/>
        <v>5</v>
      </c>
      <c r="AU39" s="65">
        <f t="shared" si="238"/>
        <v>5</v>
      </c>
      <c r="AV39" s="65">
        <f t="shared" si="238"/>
        <v>5</v>
      </c>
      <c r="AW39" s="65">
        <f t="shared" si="238"/>
        <v>5</v>
      </c>
      <c r="AX39" s="65">
        <f t="shared" si="238"/>
        <v>5</v>
      </c>
      <c r="AY39" s="65">
        <f t="shared" si="238"/>
        <v>5</v>
      </c>
      <c r="AZ39" s="65">
        <f t="shared" si="238"/>
        <v>5</v>
      </c>
      <c r="BA39" s="65">
        <f t="shared" si="238"/>
        <v>5</v>
      </c>
      <c r="BB39" s="65">
        <f t="shared" si="238"/>
        <v>5</v>
      </c>
      <c r="BC39" s="65">
        <f t="shared" si="238"/>
        <v>5</v>
      </c>
      <c r="BD39" s="65">
        <f t="shared" si="238"/>
        <v>5</v>
      </c>
      <c r="BE39" s="65">
        <f t="shared" si="238"/>
        <v>30</v>
      </c>
      <c r="BF39" s="65">
        <f t="shared" si="238"/>
        <v>30</v>
      </c>
      <c r="BG39" s="65">
        <f t="shared" si="238"/>
        <v>30</v>
      </c>
      <c r="BH39" s="65">
        <f t="shared" si="238"/>
        <v>30</v>
      </c>
      <c r="BI39" s="65">
        <f t="shared" si="238"/>
        <v>5</v>
      </c>
      <c r="BJ39" s="65">
        <f t="shared" si="238"/>
        <v>5</v>
      </c>
      <c r="BK39" s="65" t="str">
        <f t="shared" si="238"/>
        <v/>
      </c>
      <c r="BL39" s="65" t="str">
        <f t="shared" si="238"/>
        <v/>
      </c>
      <c r="BM39" s="65" t="str">
        <f t="shared" si="238"/>
        <v/>
      </c>
      <c r="BN39" s="65" t="str">
        <f t="shared" si="238"/>
        <v/>
      </c>
      <c r="BO39" s="65" t="str">
        <f t="shared" si="238"/>
        <v/>
      </c>
      <c r="BP39" s="65" t="str">
        <f t="shared" si="238"/>
        <v/>
      </c>
      <c r="BQ39" s="65" t="str">
        <f t="shared" si="238"/>
        <v/>
      </c>
      <c r="BR39" s="65" t="str">
        <f t="shared" si="238"/>
        <v/>
      </c>
      <c r="BS39" s="65" t="str">
        <f t="shared" si="238"/>
        <v/>
      </c>
      <c r="BT39" s="65" t="str">
        <f t="shared" si="238"/>
        <v/>
      </c>
      <c r="BU39" s="65" t="str">
        <f t="shared" si="238"/>
        <v/>
      </c>
      <c r="BV39" s="65" t="str">
        <f t="shared" si="238"/>
        <v/>
      </c>
      <c r="BW39" s="65" t="str">
        <f t="shared" si="238"/>
        <v/>
      </c>
      <c r="BX39" s="65" t="str">
        <f t="shared" si="238"/>
        <v/>
      </c>
      <c r="BY39" s="65" t="str">
        <f t="shared" si="238"/>
        <v/>
      </c>
      <c r="BZ39" s="65" t="str">
        <f t="shared" ref="BZ39:DV39" si="239">IF(AND(BZ$2&gt;=$B$34-26,BZ$2&lt;=$B$34-3),5,IF(OR(BZ$2=$B$34-2,BZ$2=$B$34-1,BZ$2=$B$34,BZ$2=$B$34+1),30,IF(OR(BZ$2=$B$34+2,BZ$2=$B$34+3),5,"")))</f>
        <v/>
      </c>
      <c r="CA39" s="65" t="str">
        <f t="shared" si="239"/>
        <v/>
      </c>
      <c r="CB39" s="65" t="str">
        <f t="shared" si="239"/>
        <v/>
      </c>
      <c r="CC39" s="65" t="str">
        <f t="shared" si="239"/>
        <v/>
      </c>
      <c r="CD39" s="65" t="str">
        <f t="shared" si="239"/>
        <v/>
      </c>
      <c r="CE39" s="65" t="str">
        <f t="shared" si="239"/>
        <v/>
      </c>
      <c r="CF39" s="65" t="str">
        <f t="shared" si="239"/>
        <v/>
      </c>
      <c r="CG39" s="65" t="str">
        <f t="shared" si="239"/>
        <v/>
      </c>
      <c r="CH39" s="65" t="str">
        <f t="shared" si="239"/>
        <v/>
      </c>
      <c r="CI39" s="65" t="str">
        <f t="shared" si="239"/>
        <v/>
      </c>
      <c r="CJ39" s="65" t="str">
        <f t="shared" si="239"/>
        <v/>
      </c>
      <c r="CK39" s="65" t="str">
        <f t="shared" si="239"/>
        <v/>
      </c>
      <c r="CL39" s="65" t="str">
        <f t="shared" si="239"/>
        <v/>
      </c>
      <c r="CM39" s="65" t="str">
        <f t="shared" si="239"/>
        <v/>
      </c>
      <c r="CN39" s="65" t="str">
        <f t="shared" si="239"/>
        <v/>
      </c>
      <c r="CO39" s="65" t="str">
        <f t="shared" si="239"/>
        <v/>
      </c>
      <c r="CP39" s="65" t="str">
        <f t="shared" si="239"/>
        <v/>
      </c>
      <c r="CQ39" s="65" t="str">
        <f t="shared" si="239"/>
        <v/>
      </c>
      <c r="CR39" s="65" t="str">
        <f t="shared" si="239"/>
        <v/>
      </c>
      <c r="CS39" s="65" t="str">
        <f t="shared" si="239"/>
        <v/>
      </c>
      <c r="CT39" s="65" t="str">
        <f t="shared" si="239"/>
        <v/>
      </c>
      <c r="CU39" s="65" t="str">
        <f t="shared" si="239"/>
        <v/>
      </c>
      <c r="CV39" s="65" t="str">
        <f t="shared" si="239"/>
        <v/>
      </c>
      <c r="CW39" s="65" t="str">
        <f t="shared" si="239"/>
        <v/>
      </c>
      <c r="CX39" s="65" t="str">
        <f t="shared" si="239"/>
        <v/>
      </c>
      <c r="CY39" s="65" t="str">
        <f t="shared" si="239"/>
        <v/>
      </c>
      <c r="CZ39" s="65" t="str">
        <f t="shared" si="239"/>
        <v/>
      </c>
      <c r="DA39" s="65" t="str">
        <f t="shared" si="239"/>
        <v/>
      </c>
      <c r="DB39" s="65" t="str">
        <f t="shared" si="239"/>
        <v/>
      </c>
      <c r="DC39" s="65" t="str">
        <f t="shared" si="239"/>
        <v/>
      </c>
      <c r="DD39" s="65" t="str">
        <f t="shared" si="239"/>
        <v/>
      </c>
      <c r="DE39" s="65" t="str">
        <f t="shared" si="239"/>
        <v/>
      </c>
      <c r="DF39" s="65" t="str">
        <f t="shared" si="239"/>
        <v/>
      </c>
      <c r="DG39" s="65" t="str">
        <f t="shared" si="239"/>
        <v/>
      </c>
      <c r="DH39" s="65" t="str">
        <f t="shared" si="239"/>
        <v/>
      </c>
      <c r="DI39" s="65" t="str">
        <f t="shared" si="239"/>
        <v/>
      </c>
      <c r="DJ39" s="65" t="str">
        <f t="shared" si="239"/>
        <v/>
      </c>
      <c r="DK39" s="65" t="str">
        <f t="shared" si="239"/>
        <v/>
      </c>
      <c r="DL39" s="65" t="str">
        <f t="shared" si="239"/>
        <v/>
      </c>
      <c r="DM39" s="65" t="str">
        <f t="shared" si="239"/>
        <v/>
      </c>
      <c r="DN39" s="65" t="str">
        <f t="shared" si="239"/>
        <v/>
      </c>
      <c r="DO39" s="65" t="str">
        <f t="shared" si="239"/>
        <v/>
      </c>
      <c r="DP39" s="65" t="str">
        <f t="shared" si="239"/>
        <v/>
      </c>
      <c r="DQ39" s="65" t="str">
        <f t="shared" si="239"/>
        <v/>
      </c>
      <c r="DR39" s="65" t="str">
        <f t="shared" si="239"/>
        <v/>
      </c>
      <c r="DS39" s="65" t="str">
        <f t="shared" si="239"/>
        <v/>
      </c>
      <c r="DT39" s="65" t="str">
        <f t="shared" si="239"/>
        <v/>
      </c>
      <c r="DU39" s="65" t="str">
        <f t="shared" si="239"/>
        <v/>
      </c>
      <c r="DV39" s="65" t="str">
        <f t="shared" si="239"/>
        <v/>
      </c>
    </row>
    <row r="40" spans="1:126" ht="13.5" customHeight="1">
      <c r="B40" s="198"/>
      <c r="E40" s="199"/>
      <c r="F40" s="199"/>
      <c r="G40" s="181" t="s">
        <v>69</v>
      </c>
      <c r="H40" s="199"/>
      <c r="I40" s="224"/>
      <c r="J40" s="203"/>
      <c r="K40" s="199"/>
      <c r="L40" s="199"/>
      <c r="M40" s="190">
        <f t="shared" ref="M40:BX40" ca="1" si="240">SUM(M35:M39)</f>
        <v>0</v>
      </c>
      <c r="N40" s="190">
        <f t="shared" ca="1" si="240"/>
        <v>0</v>
      </c>
      <c r="O40" s="190">
        <f t="shared" ca="1" si="240"/>
        <v>0</v>
      </c>
      <c r="P40" s="190">
        <f t="shared" ca="1" si="240"/>
        <v>0</v>
      </c>
      <c r="Q40" s="190">
        <f t="shared" ca="1" si="240"/>
        <v>0</v>
      </c>
      <c r="R40" s="190">
        <f t="shared" ca="1" si="240"/>
        <v>0</v>
      </c>
      <c r="S40" s="190">
        <f t="shared" ca="1" si="240"/>
        <v>0</v>
      </c>
      <c r="T40" s="190">
        <f t="shared" ca="1" si="240"/>
        <v>0</v>
      </c>
      <c r="U40" s="190">
        <f t="shared" ca="1" si="240"/>
        <v>0</v>
      </c>
      <c r="V40" s="190">
        <f t="shared" ca="1" si="240"/>
        <v>0</v>
      </c>
      <c r="W40" s="190">
        <f t="shared" ca="1" si="240"/>
        <v>0</v>
      </c>
      <c r="X40" s="190">
        <f t="shared" ca="1" si="240"/>
        <v>0</v>
      </c>
      <c r="Y40" s="190">
        <f t="shared" ca="1" si="240"/>
        <v>0</v>
      </c>
      <c r="Z40" s="190">
        <f t="shared" ca="1" si="240"/>
        <v>0</v>
      </c>
      <c r="AA40" s="190">
        <f t="shared" ca="1" si="240"/>
        <v>0</v>
      </c>
      <c r="AB40" s="190">
        <f t="shared" ca="1" si="240"/>
        <v>0</v>
      </c>
      <c r="AC40" s="190">
        <f t="shared" ca="1" si="240"/>
        <v>0</v>
      </c>
      <c r="AD40" s="190">
        <f t="shared" ca="1" si="240"/>
        <v>0</v>
      </c>
      <c r="AE40" s="190">
        <f t="shared" ca="1" si="240"/>
        <v>0</v>
      </c>
      <c r="AF40" s="190">
        <f t="shared" ca="1" si="240"/>
        <v>0</v>
      </c>
      <c r="AG40" s="190">
        <f t="shared" ca="1" si="240"/>
        <v>5</v>
      </c>
      <c r="AH40" s="190">
        <f t="shared" ca="1" si="240"/>
        <v>5</v>
      </c>
      <c r="AI40" s="190">
        <f t="shared" ca="1" si="240"/>
        <v>5</v>
      </c>
      <c r="AJ40" s="190">
        <f t="shared" ca="1" si="240"/>
        <v>5</v>
      </c>
      <c r="AK40" s="190">
        <f t="shared" ca="1" si="240"/>
        <v>5</v>
      </c>
      <c r="AL40" s="190">
        <f t="shared" ca="1" si="240"/>
        <v>5</v>
      </c>
      <c r="AM40" s="190">
        <f t="shared" ca="1" si="240"/>
        <v>5</v>
      </c>
      <c r="AN40" s="190">
        <f t="shared" ca="1" si="240"/>
        <v>5</v>
      </c>
      <c r="AO40" s="190">
        <f t="shared" ca="1" si="240"/>
        <v>5</v>
      </c>
      <c r="AP40" s="190">
        <f t="shared" ca="1" si="240"/>
        <v>5</v>
      </c>
      <c r="AQ40" s="190">
        <f t="shared" ca="1" si="240"/>
        <v>5</v>
      </c>
      <c r="AR40" s="190">
        <f t="shared" ca="1" si="240"/>
        <v>5</v>
      </c>
      <c r="AS40" s="190">
        <f t="shared" ca="1" si="240"/>
        <v>5</v>
      </c>
      <c r="AT40" s="190">
        <f t="shared" ca="1" si="240"/>
        <v>5</v>
      </c>
      <c r="AU40" s="190">
        <f t="shared" ca="1" si="240"/>
        <v>5</v>
      </c>
      <c r="AV40" s="190">
        <f t="shared" ca="1" si="240"/>
        <v>5</v>
      </c>
      <c r="AW40" s="190">
        <f t="shared" ca="1" si="240"/>
        <v>5</v>
      </c>
      <c r="AX40" s="190">
        <f t="shared" ca="1" si="240"/>
        <v>5</v>
      </c>
      <c r="AY40" s="190" t="e">
        <f t="shared" ca="1" si="240"/>
        <v>#VALUE!</v>
      </c>
      <c r="AZ40" s="190" t="e">
        <f t="shared" ca="1" si="240"/>
        <v>#VALUE!</v>
      </c>
      <c r="BA40" s="190" t="e">
        <f t="shared" ca="1" si="240"/>
        <v>#VALUE!</v>
      </c>
      <c r="BB40" s="190" t="e">
        <f t="shared" ca="1" si="240"/>
        <v>#VALUE!</v>
      </c>
      <c r="BC40" s="190" t="e">
        <f t="shared" ca="1" si="240"/>
        <v>#VALUE!</v>
      </c>
      <c r="BD40" s="190">
        <f t="shared" ca="1" si="240"/>
        <v>5</v>
      </c>
      <c r="BE40" s="190">
        <f t="shared" ca="1" si="240"/>
        <v>30</v>
      </c>
      <c r="BF40" s="190">
        <f t="shared" ca="1" si="240"/>
        <v>30</v>
      </c>
      <c r="BG40" s="190">
        <f t="shared" ca="1" si="240"/>
        <v>30</v>
      </c>
      <c r="BH40" s="190">
        <f t="shared" ca="1" si="240"/>
        <v>30</v>
      </c>
      <c r="BI40" s="190">
        <f t="shared" ca="1" si="240"/>
        <v>5</v>
      </c>
      <c r="BJ40" s="190">
        <f t="shared" ca="1" si="240"/>
        <v>5</v>
      </c>
      <c r="BK40" s="190">
        <f t="shared" ca="1" si="240"/>
        <v>0</v>
      </c>
      <c r="BL40" s="190">
        <f t="shared" ca="1" si="240"/>
        <v>0</v>
      </c>
      <c r="BM40" s="190">
        <f t="shared" ca="1" si="240"/>
        <v>0</v>
      </c>
      <c r="BN40" s="190">
        <f t="shared" ca="1" si="240"/>
        <v>0</v>
      </c>
      <c r="BO40" s="190">
        <f t="shared" ca="1" si="240"/>
        <v>0</v>
      </c>
      <c r="BP40" s="190">
        <f t="shared" ca="1" si="240"/>
        <v>0</v>
      </c>
      <c r="BQ40" s="190">
        <f t="shared" ca="1" si="240"/>
        <v>0</v>
      </c>
      <c r="BR40" s="190">
        <f t="shared" ca="1" si="240"/>
        <v>0</v>
      </c>
      <c r="BS40" s="190">
        <f t="shared" ca="1" si="240"/>
        <v>0</v>
      </c>
      <c r="BT40" s="190">
        <f t="shared" ca="1" si="240"/>
        <v>0</v>
      </c>
      <c r="BU40" s="190">
        <f t="shared" ca="1" si="240"/>
        <v>0</v>
      </c>
      <c r="BV40" s="190">
        <f t="shared" ca="1" si="240"/>
        <v>0</v>
      </c>
      <c r="BW40" s="190">
        <f t="shared" ca="1" si="240"/>
        <v>0</v>
      </c>
      <c r="BX40" s="190">
        <f t="shared" ca="1" si="240"/>
        <v>0</v>
      </c>
      <c r="BY40" s="190">
        <f t="shared" ref="BY40:DV40" ca="1" si="241">SUM(BY35:BY39)</f>
        <v>0</v>
      </c>
      <c r="BZ40" s="190">
        <f t="shared" ca="1" si="241"/>
        <v>0</v>
      </c>
      <c r="CA40" s="190">
        <f t="shared" ca="1" si="241"/>
        <v>0</v>
      </c>
      <c r="CB40" s="190">
        <f t="shared" ca="1" si="241"/>
        <v>0</v>
      </c>
      <c r="CC40" s="190">
        <f t="shared" ca="1" si="241"/>
        <v>0</v>
      </c>
      <c r="CD40" s="190">
        <f t="shared" ca="1" si="241"/>
        <v>0</v>
      </c>
      <c r="CE40" s="190">
        <f t="shared" ca="1" si="241"/>
        <v>0</v>
      </c>
      <c r="CF40" s="190">
        <f t="shared" ca="1" si="241"/>
        <v>0</v>
      </c>
      <c r="CG40" s="190">
        <f t="shared" ca="1" si="241"/>
        <v>0</v>
      </c>
      <c r="CH40" s="190">
        <f t="shared" ca="1" si="241"/>
        <v>0</v>
      </c>
      <c r="CI40" s="190">
        <f t="shared" ca="1" si="241"/>
        <v>0</v>
      </c>
      <c r="CJ40" s="190">
        <f t="shared" ca="1" si="241"/>
        <v>0</v>
      </c>
      <c r="CK40" s="190">
        <f t="shared" ca="1" si="241"/>
        <v>0</v>
      </c>
      <c r="CL40" s="190">
        <f t="shared" ca="1" si="241"/>
        <v>0</v>
      </c>
      <c r="CM40" s="190">
        <f t="shared" ca="1" si="241"/>
        <v>0</v>
      </c>
      <c r="CN40" s="190">
        <f t="shared" ca="1" si="241"/>
        <v>0</v>
      </c>
      <c r="CO40" s="190">
        <f t="shared" ca="1" si="241"/>
        <v>0</v>
      </c>
      <c r="CP40" s="190">
        <f t="shared" ca="1" si="241"/>
        <v>0</v>
      </c>
      <c r="CQ40" s="190">
        <f t="shared" ca="1" si="241"/>
        <v>0</v>
      </c>
      <c r="CR40" s="190">
        <f t="shared" ca="1" si="241"/>
        <v>0</v>
      </c>
      <c r="CS40" s="190">
        <f t="shared" ca="1" si="241"/>
        <v>0</v>
      </c>
      <c r="CT40" s="190">
        <f t="shared" ca="1" si="241"/>
        <v>0</v>
      </c>
      <c r="CU40" s="190">
        <f t="shared" ca="1" si="241"/>
        <v>0</v>
      </c>
      <c r="CV40" s="190">
        <f t="shared" ca="1" si="241"/>
        <v>0</v>
      </c>
      <c r="CW40" s="190">
        <f t="shared" ca="1" si="241"/>
        <v>0</v>
      </c>
      <c r="CX40" s="190">
        <f t="shared" ca="1" si="241"/>
        <v>0</v>
      </c>
      <c r="CY40" s="190">
        <f t="shared" ca="1" si="241"/>
        <v>0</v>
      </c>
      <c r="CZ40" s="190">
        <f t="shared" ca="1" si="241"/>
        <v>0</v>
      </c>
      <c r="DA40" s="190">
        <f t="shared" ca="1" si="241"/>
        <v>0</v>
      </c>
      <c r="DB40" s="190">
        <f t="shared" ca="1" si="241"/>
        <v>0</v>
      </c>
      <c r="DC40" s="190">
        <f t="shared" ca="1" si="241"/>
        <v>0</v>
      </c>
      <c r="DD40" s="190">
        <f t="shared" ca="1" si="241"/>
        <v>0</v>
      </c>
      <c r="DE40" s="190">
        <f t="shared" ca="1" si="241"/>
        <v>0</v>
      </c>
      <c r="DF40" s="190">
        <f t="shared" ca="1" si="241"/>
        <v>0</v>
      </c>
      <c r="DG40" s="190">
        <f t="shared" ca="1" si="241"/>
        <v>0</v>
      </c>
      <c r="DH40" s="190">
        <f t="shared" ca="1" si="241"/>
        <v>0</v>
      </c>
      <c r="DI40" s="190">
        <f t="shared" ca="1" si="241"/>
        <v>0</v>
      </c>
      <c r="DJ40" s="190">
        <f t="shared" ca="1" si="241"/>
        <v>0</v>
      </c>
      <c r="DK40" s="190">
        <f t="shared" ca="1" si="241"/>
        <v>0</v>
      </c>
      <c r="DL40" s="190">
        <f t="shared" ca="1" si="241"/>
        <v>0</v>
      </c>
      <c r="DM40" s="190">
        <f t="shared" ca="1" si="241"/>
        <v>0</v>
      </c>
      <c r="DN40" s="190">
        <f t="shared" ca="1" si="241"/>
        <v>0</v>
      </c>
      <c r="DO40" s="190">
        <f t="shared" ca="1" si="241"/>
        <v>0</v>
      </c>
      <c r="DP40" s="190">
        <f t="shared" ca="1" si="241"/>
        <v>0</v>
      </c>
      <c r="DQ40" s="190">
        <f t="shared" ca="1" si="241"/>
        <v>0</v>
      </c>
      <c r="DR40" s="190">
        <f t="shared" ca="1" si="241"/>
        <v>0</v>
      </c>
      <c r="DS40" s="190">
        <f t="shared" ca="1" si="241"/>
        <v>0</v>
      </c>
      <c r="DT40" s="190">
        <f t="shared" ca="1" si="241"/>
        <v>0</v>
      </c>
      <c r="DU40" s="190">
        <f t="shared" ca="1" si="241"/>
        <v>0</v>
      </c>
      <c r="DV40" s="190">
        <f t="shared" ca="1" si="241"/>
        <v>0</v>
      </c>
    </row>
    <row r="42" spans="1:126" s="180" customFormat="1" ht="27">
      <c r="A42" s="464" t="s">
        <v>74</v>
      </c>
      <c r="B42" s="509">
        <f>IF(LEN('BESS 12'!F231)=5,'BESS 12'!F231,(IF('BESS 12'!F231="Completed"," ",DATEVALUE(RIGHT('BESS 12'!F231,6)))))</f>
        <v>46258</v>
      </c>
      <c r="C42" s="509">
        <f>IF(LEN('BESS 12'!G231)=5,'BESS 12'!G231,(IF('BESS 12'!G231="Completed"," ",DATEVALUE(RIGHT('BESS 12'!G231,6)))))</f>
        <v>46262</v>
      </c>
      <c r="D42" s="455">
        <f>IF(LEN('BESS 12'!H231)=5,'BESS 12'!H231,(IF('BESS 12'!H231="Completed"," ",DATEVALUE(RIGHT('BESS 12'!H231,6)))))</f>
        <v>46265</v>
      </c>
      <c r="E42" s="226" t="s">
        <v>10</v>
      </c>
      <c r="F42" s="217" t="s">
        <v>58</v>
      </c>
      <c r="G42" s="217" t="s">
        <v>78</v>
      </c>
      <c r="H42" s="217" t="s">
        <v>87</v>
      </c>
      <c r="I42" s="217" t="s">
        <v>59</v>
      </c>
      <c r="J42" s="129"/>
      <c r="K42" s="216" t="s">
        <v>80</v>
      </c>
      <c r="L42" s="216" t="s">
        <v>62</v>
      </c>
      <c r="M42" s="218">
        <v>46195</v>
      </c>
      <c r="N42" s="218">
        <v>46196</v>
      </c>
      <c r="O42" s="218">
        <v>46197</v>
      </c>
      <c r="P42" s="218">
        <f t="shared" ref="P42:CA42" si="242">O42+1</f>
        <v>46198</v>
      </c>
      <c r="Q42" s="218">
        <f t="shared" si="242"/>
        <v>46199</v>
      </c>
      <c r="R42" s="218">
        <f t="shared" si="242"/>
        <v>46200</v>
      </c>
      <c r="S42" s="218">
        <f t="shared" si="242"/>
        <v>46201</v>
      </c>
      <c r="T42" s="218">
        <f t="shared" si="242"/>
        <v>46202</v>
      </c>
      <c r="U42" s="218">
        <f t="shared" si="242"/>
        <v>46203</v>
      </c>
      <c r="V42" s="218">
        <f t="shared" si="242"/>
        <v>46204</v>
      </c>
      <c r="W42" s="218">
        <f t="shared" si="242"/>
        <v>46205</v>
      </c>
      <c r="X42" s="218">
        <f t="shared" si="242"/>
        <v>46206</v>
      </c>
      <c r="Y42" s="218">
        <f t="shared" si="242"/>
        <v>46207</v>
      </c>
      <c r="Z42" s="218">
        <f t="shared" si="242"/>
        <v>46208</v>
      </c>
      <c r="AA42" s="218">
        <f t="shared" si="242"/>
        <v>46209</v>
      </c>
      <c r="AB42" s="218">
        <f t="shared" si="242"/>
        <v>46210</v>
      </c>
      <c r="AC42" s="218">
        <f t="shared" si="242"/>
        <v>46211</v>
      </c>
      <c r="AD42" s="218">
        <f t="shared" si="242"/>
        <v>46212</v>
      </c>
      <c r="AE42" s="218">
        <f t="shared" si="242"/>
        <v>46213</v>
      </c>
      <c r="AF42" s="218">
        <f t="shared" si="242"/>
        <v>46214</v>
      </c>
      <c r="AG42" s="218">
        <f t="shared" si="242"/>
        <v>46215</v>
      </c>
      <c r="AH42" s="218">
        <f t="shared" si="242"/>
        <v>46216</v>
      </c>
      <c r="AI42" s="218">
        <f t="shared" si="242"/>
        <v>46217</v>
      </c>
      <c r="AJ42" s="218">
        <f t="shared" si="242"/>
        <v>46218</v>
      </c>
      <c r="AK42" s="218">
        <f t="shared" si="242"/>
        <v>46219</v>
      </c>
      <c r="AL42" s="218">
        <f t="shared" si="242"/>
        <v>46220</v>
      </c>
      <c r="AM42" s="218">
        <f t="shared" si="242"/>
        <v>46221</v>
      </c>
      <c r="AN42" s="218">
        <f t="shared" si="242"/>
        <v>46222</v>
      </c>
      <c r="AO42" s="218">
        <f t="shared" si="242"/>
        <v>46223</v>
      </c>
      <c r="AP42" s="218">
        <f t="shared" si="242"/>
        <v>46224</v>
      </c>
      <c r="AQ42" s="218">
        <f t="shared" si="242"/>
        <v>46225</v>
      </c>
      <c r="AR42" s="218">
        <f t="shared" si="242"/>
        <v>46226</v>
      </c>
      <c r="AS42" s="218">
        <f t="shared" si="242"/>
        <v>46227</v>
      </c>
      <c r="AT42" s="218">
        <f t="shared" si="242"/>
        <v>46228</v>
      </c>
      <c r="AU42" s="218">
        <f t="shared" si="242"/>
        <v>46229</v>
      </c>
      <c r="AV42" s="218">
        <f t="shared" si="242"/>
        <v>46230</v>
      </c>
      <c r="AW42" s="218">
        <f t="shared" si="242"/>
        <v>46231</v>
      </c>
      <c r="AX42" s="218">
        <f t="shared" si="242"/>
        <v>46232</v>
      </c>
      <c r="AY42" s="218">
        <f t="shared" si="242"/>
        <v>46233</v>
      </c>
      <c r="AZ42" s="218">
        <f t="shared" si="242"/>
        <v>46234</v>
      </c>
      <c r="BA42" s="218">
        <f t="shared" si="242"/>
        <v>46235</v>
      </c>
      <c r="BB42" s="218">
        <f t="shared" si="242"/>
        <v>46236</v>
      </c>
      <c r="BC42" s="218">
        <f t="shared" si="242"/>
        <v>46237</v>
      </c>
      <c r="BD42" s="218">
        <f t="shared" si="242"/>
        <v>46238</v>
      </c>
      <c r="BE42" s="218">
        <f t="shared" si="242"/>
        <v>46239</v>
      </c>
      <c r="BF42" s="218">
        <f t="shared" si="242"/>
        <v>46240</v>
      </c>
      <c r="BG42" s="218">
        <f t="shared" si="242"/>
        <v>46241</v>
      </c>
      <c r="BH42" s="218">
        <f t="shared" si="242"/>
        <v>46242</v>
      </c>
      <c r="BI42" s="218">
        <f t="shared" si="242"/>
        <v>46243</v>
      </c>
      <c r="BJ42" s="218">
        <f t="shared" si="242"/>
        <v>46244</v>
      </c>
      <c r="BK42" s="218">
        <f t="shared" si="242"/>
        <v>46245</v>
      </c>
      <c r="BL42" s="218">
        <f t="shared" si="242"/>
        <v>46246</v>
      </c>
      <c r="BM42" s="218">
        <f t="shared" si="242"/>
        <v>46247</v>
      </c>
      <c r="BN42" s="218">
        <f t="shared" si="242"/>
        <v>46248</v>
      </c>
      <c r="BO42" s="218">
        <f t="shared" si="242"/>
        <v>46249</v>
      </c>
      <c r="BP42" s="218">
        <f t="shared" si="242"/>
        <v>46250</v>
      </c>
      <c r="BQ42" s="218">
        <f t="shared" si="242"/>
        <v>46251</v>
      </c>
      <c r="BR42" s="218">
        <f t="shared" si="242"/>
        <v>46252</v>
      </c>
      <c r="BS42" s="218">
        <f t="shared" si="242"/>
        <v>46253</v>
      </c>
      <c r="BT42" s="218">
        <f t="shared" si="242"/>
        <v>46254</v>
      </c>
      <c r="BU42" s="218">
        <f t="shared" si="242"/>
        <v>46255</v>
      </c>
      <c r="BV42" s="218">
        <f t="shared" si="242"/>
        <v>46256</v>
      </c>
      <c r="BW42" s="218">
        <f t="shared" si="242"/>
        <v>46257</v>
      </c>
      <c r="BX42" s="218">
        <f t="shared" si="242"/>
        <v>46258</v>
      </c>
      <c r="BY42" s="218">
        <f t="shared" si="242"/>
        <v>46259</v>
      </c>
      <c r="BZ42" s="218">
        <f t="shared" si="242"/>
        <v>46260</v>
      </c>
      <c r="CA42" s="218">
        <f t="shared" si="242"/>
        <v>46261</v>
      </c>
      <c r="CB42" s="218">
        <f t="shared" ref="CB42:CT42" si="243">CA42+1</f>
        <v>46262</v>
      </c>
      <c r="CC42" s="218">
        <f t="shared" si="243"/>
        <v>46263</v>
      </c>
      <c r="CD42" s="218">
        <f t="shared" si="243"/>
        <v>46264</v>
      </c>
      <c r="CE42" s="218">
        <f t="shared" si="243"/>
        <v>46265</v>
      </c>
      <c r="CF42" s="218">
        <f t="shared" si="243"/>
        <v>46266</v>
      </c>
      <c r="CG42" s="218">
        <f t="shared" si="243"/>
        <v>46267</v>
      </c>
      <c r="CH42" s="218">
        <f t="shared" si="243"/>
        <v>46268</v>
      </c>
      <c r="CI42" s="218">
        <f t="shared" si="243"/>
        <v>46269</v>
      </c>
      <c r="CJ42" s="218">
        <f t="shared" si="243"/>
        <v>46270</v>
      </c>
      <c r="CK42" s="218">
        <f t="shared" si="243"/>
        <v>46271</v>
      </c>
      <c r="CL42" s="218">
        <f t="shared" si="243"/>
        <v>46272</v>
      </c>
      <c r="CM42" s="218">
        <f t="shared" si="243"/>
        <v>46273</v>
      </c>
      <c r="CN42" s="218">
        <f t="shared" si="243"/>
        <v>46274</v>
      </c>
      <c r="CO42" s="218">
        <f t="shared" si="243"/>
        <v>46275</v>
      </c>
      <c r="CP42" s="218">
        <f t="shared" si="243"/>
        <v>46276</v>
      </c>
      <c r="CQ42" s="218">
        <f t="shared" si="243"/>
        <v>46277</v>
      </c>
      <c r="CR42" s="218">
        <f t="shared" si="243"/>
        <v>46278</v>
      </c>
      <c r="CS42" s="218">
        <f t="shared" si="243"/>
        <v>46279</v>
      </c>
      <c r="CT42" s="218">
        <f t="shared" si="243"/>
        <v>46280</v>
      </c>
      <c r="CU42" s="218">
        <f t="shared" ref="CU42" si="244">CT42+1</f>
        <v>46281</v>
      </c>
      <c r="CV42" s="218">
        <f t="shared" ref="CV42" si="245">CU42+1</f>
        <v>46282</v>
      </c>
      <c r="CW42" s="218">
        <f t="shared" ref="CW42" si="246">CV42+1</f>
        <v>46283</v>
      </c>
      <c r="CX42" s="218">
        <f t="shared" ref="CX42" si="247">CW42+1</f>
        <v>46284</v>
      </c>
      <c r="CY42" s="218">
        <f t="shared" ref="CY42" si="248">CX42+1</f>
        <v>46285</v>
      </c>
      <c r="CZ42" s="218">
        <f t="shared" ref="CZ42" si="249">CY42+1</f>
        <v>46286</v>
      </c>
      <c r="DA42" s="218">
        <f t="shared" ref="DA42" si="250">CZ42+1</f>
        <v>46287</v>
      </c>
      <c r="DB42" s="218">
        <f t="shared" ref="DB42" si="251">DA42+1</f>
        <v>46288</v>
      </c>
      <c r="DC42" s="218">
        <f t="shared" ref="DC42" si="252">DB42+1</f>
        <v>46289</v>
      </c>
      <c r="DD42" s="218">
        <f t="shared" ref="DD42" si="253">DC42+1</f>
        <v>46290</v>
      </c>
      <c r="DE42" s="218">
        <f t="shared" ref="DE42" si="254">DD42+1</f>
        <v>46291</v>
      </c>
      <c r="DF42" s="218">
        <f t="shared" ref="DF42" si="255">DE42+1</f>
        <v>46292</v>
      </c>
      <c r="DG42" s="218">
        <f t="shared" ref="DG42" si="256">DF42+1</f>
        <v>46293</v>
      </c>
      <c r="DH42" s="218">
        <f t="shared" ref="DH42" si="257">DG42+1</f>
        <v>46294</v>
      </c>
      <c r="DI42" s="218">
        <f t="shared" ref="DI42" si="258">DH42+1</f>
        <v>46295</v>
      </c>
      <c r="DJ42" s="218">
        <f t="shared" ref="DJ42" si="259">DI42+1</f>
        <v>46296</v>
      </c>
      <c r="DK42" s="218">
        <f t="shared" ref="DK42" si="260">DJ42+1</f>
        <v>46297</v>
      </c>
      <c r="DL42" s="218">
        <f t="shared" ref="DL42" si="261">DK42+1</f>
        <v>46298</v>
      </c>
      <c r="DM42" s="218">
        <f t="shared" ref="DM42" si="262">DL42+1</f>
        <v>46299</v>
      </c>
      <c r="DN42" s="218">
        <f t="shared" ref="DN42" si="263">DM42+1</f>
        <v>46300</v>
      </c>
      <c r="DO42" s="218">
        <f t="shared" ref="DO42" si="264">DN42+1</f>
        <v>46301</v>
      </c>
      <c r="DP42" s="218">
        <f t="shared" ref="DP42" si="265">DO42+1</f>
        <v>46302</v>
      </c>
      <c r="DQ42" s="218">
        <f t="shared" ref="DQ42" si="266">DP42+1</f>
        <v>46303</v>
      </c>
      <c r="DR42" s="218">
        <f t="shared" ref="DR42" si="267">DQ42+1</f>
        <v>46304</v>
      </c>
      <c r="DS42" s="218">
        <f t="shared" ref="DS42" si="268">DR42+1</f>
        <v>46305</v>
      </c>
      <c r="DT42" s="218">
        <f t="shared" ref="DT42" si="269">DS42+1</f>
        <v>46306</v>
      </c>
      <c r="DU42" s="218">
        <f t="shared" ref="DU42" si="270">DT42+1</f>
        <v>46307</v>
      </c>
      <c r="DV42" s="218">
        <f t="shared" ref="DV42" si="271">DU42+1</f>
        <v>46308</v>
      </c>
    </row>
    <row r="43" spans="1:126">
      <c r="A43" s="464"/>
      <c r="B43" s="509"/>
      <c r="C43" s="509"/>
      <c r="D43" s="456"/>
      <c r="E43" s="185" t="s">
        <v>64</v>
      </c>
      <c r="F43" s="66" t="e">
        <f>SUM('BESS 12'!S244:S251,'BESS 12'!S253)</f>
        <v>#VALUE!</v>
      </c>
      <c r="G43" s="182">
        <f ca="1">TODAY()</f>
        <v>46233</v>
      </c>
      <c r="H43" s="162">
        <f>MAX('BESS 12'!O244:O250)</f>
        <v>46241</v>
      </c>
      <c r="I43" s="66">
        <f t="shared" ref="I43:I45" ca="1" si="272">H43-G43</f>
        <v>8</v>
      </c>
      <c r="J43" s="444">
        <f ca="1">K43*1.2</f>
        <v>21</v>
      </c>
      <c r="K43" s="506">
        <f ca="1">AVERAGEIF(M48:CT48,"&gt;0")</f>
        <v>17.5</v>
      </c>
      <c r="L43" s="506" t="e">
        <f ca="1">MAX(M48:CT48)</f>
        <v>#VALUE!</v>
      </c>
      <c r="M43" s="65" t="str">
        <f t="shared" ref="M43:AB46" ca="1" si="273">IF(AND(M$2&gt;=$G43,M$2&lt;($G43+$I43)),ROUND($F43/$I43,0),"-")</f>
        <v>-</v>
      </c>
      <c r="N43" s="65" t="str">
        <f t="shared" ca="1" si="273"/>
        <v>-</v>
      </c>
      <c r="O43" s="65" t="str">
        <f t="shared" ca="1" si="273"/>
        <v>-</v>
      </c>
      <c r="P43" s="65" t="str">
        <f t="shared" ca="1" si="273"/>
        <v>-</v>
      </c>
      <c r="Q43" s="65" t="str">
        <f t="shared" ca="1" si="273"/>
        <v>-</v>
      </c>
      <c r="R43" s="65" t="str">
        <f t="shared" ca="1" si="273"/>
        <v>-</v>
      </c>
      <c r="S43" s="65" t="str">
        <f t="shared" ca="1" si="273"/>
        <v>-</v>
      </c>
      <c r="T43" s="65" t="str">
        <f t="shared" ca="1" si="273"/>
        <v>-</v>
      </c>
      <c r="U43" s="65" t="str">
        <f t="shared" ca="1" si="273"/>
        <v>-</v>
      </c>
      <c r="V43" s="65" t="str">
        <f t="shared" ca="1" si="273"/>
        <v>-</v>
      </c>
      <c r="W43" s="65" t="str">
        <f t="shared" ca="1" si="273"/>
        <v>-</v>
      </c>
      <c r="X43" s="65" t="str">
        <f t="shared" ca="1" si="273"/>
        <v>-</v>
      </c>
      <c r="Y43" s="65" t="str">
        <f t="shared" ca="1" si="273"/>
        <v>-</v>
      </c>
      <c r="Z43" s="65" t="str">
        <f t="shared" ca="1" si="273"/>
        <v>-</v>
      </c>
      <c r="AA43" s="65" t="str">
        <f t="shared" ca="1" si="273"/>
        <v>-</v>
      </c>
      <c r="AB43" s="65" t="str">
        <f t="shared" ca="1" si="273"/>
        <v>-</v>
      </c>
      <c r="AC43" s="65" t="str">
        <f t="shared" ref="AC43:AR46" ca="1" si="274">IF(AND(AC$2&gt;=$G43,AC$2&lt;($G43+$I43)),ROUND($F43/$I43,0),"-")</f>
        <v>-</v>
      </c>
      <c r="AD43" s="65" t="str">
        <f t="shared" ca="1" si="274"/>
        <v>-</v>
      </c>
      <c r="AE43" s="65" t="str">
        <f t="shared" ca="1" si="274"/>
        <v>-</v>
      </c>
      <c r="AF43" s="65" t="str">
        <f t="shared" ca="1" si="274"/>
        <v>-</v>
      </c>
      <c r="AG43" s="65" t="str">
        <f t="shared" ca="1" si="274"/>
        <v>-</v>
      </c>
      <c r="AH43" s="65" t="str">
        <f t="shared" ca="1" si="274"/>
        <v>-</v>
      </c>
      <c r="AI43" s="65" t="str">
        <f t="shared" ca="1" si="274"/>
        <v>-</v>
      </c>
      <c r="AJ43" s="65" t="str">
        <f t="shared" ca="1" si="274"/>
        <v>-</v>
      </c>
      <c r="AK43" s="65" t="str">
        <f t="shared" ca="1" si="274"/>
        <v>-</v>
      </c>
      <c r="AL43" s="65" t="str">
        <f t="shared" ca="1" si="274"/>
        <v>-</v>
      </c>
      <c r="AM43" s="65" t="str">
        <f t="shared" ca="1" si="274"/>
        <v>-</v>
      </c>
      <c r="AN43" s="65" t="str">
        <f t="shared" ca="1" si="274"/>
        <v>-</v>
      </c>
      <c r="AO43" s="65" t="str">
        <f t="shared" ca="1" si="274"/>
        <v>-</v>
      </c>
      <c r="AP43" s="65" t="str">
        <f t="shared" ca="1" si="274"/>
        <v>-</v>
      </c>
      <c r="AQ43" s="65" t="str">
        <f t="shared" ca="1" si="274"/>
        <v>-</v>
      </c>
      <c r="AR43" s="65" t="str">
        <f t="shared" ca="1" si="274"/>
        <v>-</v>
      </c>
      <c r="AS43" s="65" t="str">
        <f t="shared" ref="AS43:BH46" ca="1" si="275">IF(AND(AS$2&gt;=$G43,AS$2&lt;($G43+$I43)),ROUND($F43/$I43,0),"-")</f>
        <v>-</v>
      </c>
      <c r="AT43" s="65" t="str">
        <f t="shared" ca="1" si="275"/>
        <v>-</v>
      </c>
      <c r="AU43" s="65" t="str">
        <f t="shared" ca="1" si="275"/>
        <v>-</v>
      </c>
      <c r="AV43" s="65" t="str">
        <f t="shared" ca="1" si="275"/>
        <v>-</v>
      </c>
      <c r="AW43" s="65" t="str">
        <f t="shared" ca="1" si="275"/>
        <v>-</v>
      </c>
      <c r="AX43" s="65" t="str">
        <f t="shared" ca="1" si="275"/>
        <v>-</v>
      </c>
      <c r="AY43" s="65" t="e">
        <f t="shared" ca="1" si="275"/>
        <v>#VALUE!</v>
      </c>
      <c r="AZ43" s="65" t="e">
        <f t="shared" ca="1" si="275"/>
        <v>#VALUE!</v>
      </c>
      <c r="BA43" s="65" t="e">
        <f t="shared" ca="1" si="275"/>
        <v>#VALUE!</v>
      </c>
      <c r="BB43" s="65" t="e">
        <f t="shared" ca="1" si="275"/>
        <v>#VALUE!</v>
      </c>
      <c r="BC43" s="65" t="e">
        <f t="shared" ca="1" si="275"/>
        <v>#VALUE!</v>
      </c>
      <c r="BD43" s="65" t="e">
        <f t="shared" ca="1" si="275"/>
        <v>#VALUE!</v>
      </c>
      <c r="BE43" s="65" t="e">
        <f t="shared" ca="1" si="275"/>
        <v>#VALUE!</v>
      </c>
      <c r="BF43" s="65" t="e">
        <f t="shared" ca="1" si="275"/>
        <v>#VALUE!</v>
      </c>
      <c r="BG43" s="65" t="str">
        <f t="shared" ca="1" si="275"/>
        <v>-</v>
      </c>
      <c r="BH43" s="65" t="str">
        <f t="shared" ca="1" si="275"/>
        <v>-</v>
      </c>
      <c r="BI43" s="65" t="str">
        <f t="shared" ref="BI43:BX46" ca="1" si="276">IF(AND(BI$2&gt;=$G43,BI$2&lt;($G43+$I43)),ROUND($F43/$I43,0),"-")</f>
        <v>-</v>
      </c>
      <c r="BJ43" s="65" t="str">
        <f t="shared" ca="1" si="276"/>
        <v>-</v>
      </c>
      <c r="BK43" s="65" t="str">
        <f t="shared" ca="1" si="276"/>
        <v>-</v>
      </c>
      <c r="BL43" s="65" t="str">
        <f t="shared" ca="1" si="276"/>
        <v>-</v>
      </c>
      <c r="BM43" s="65" t="str">
        <f t="shared" ca="1" si="276"/>
        <v>-</v>
      </c>
      <c r="BN43" s="65" t="str">
        <f t="shared" ca="1" si="276"/>
        <v>-</v>
      </c>
      <c r="BO43" s="65" t="str">
        <f t="shared" ca="1" si="276"/>
        <v>-</v>
      </c>
      <c r="BP43" s="65" t="str">
        <f t="shared" ca="1" si="276"/>
        <v>-</v>
      </c>
      <c r="BQ43" s="65" t="str">
        <f t="shared" ca="1" si="276"/>
        <v>-</v>
      </c>
      <c r="BR43" s="65" t="str">
        <f t="shared" ca="1" si="276"/>
        <v>-</v>
      </c>
      <c r="BS43" s="65" t="str">
        <f t="shared" ca="1" si="276"/>
        <v>-</v>
      </c>
      <c r="BT43" s="65" t="str">
        <f t="shared" ca="1" si="276"/>
        <v>-</v>
      </c>
      <c r="BU43" s="65" t="str">
        <f t="shared" ca="1" si="276"/>
        <v>-</v>
      </c>
      <c r="BV43" s="65" t="str">
        <f t="shared" ca="1" si="276"/>
        <v>-</v>
      </c>
      <c r="BW43" s="65" t="str">
        <f t="shared" ca="1" si="276"/>
        <v>-</v>
      </c>
      <c r="BX43" s="65" t="str">
        <f t="shared" ca="1" si="276"/>
        <v>-</v>
      </c>
      <c r="BY43" s="65" t="str">
        <f t="shared" ref="BY43:CN46" ca="1" si="277">IF(AND(BY$2&gt;=$G43,BY$2&lt;($G43+$I43)),ROUND($F43/$I43,0),"-")</f>
        <v>-</v>
      </c>
      <c r="BZ43" s="65" t="str">
        <f t="shared" ca="1" si="277"/>
        <v>-</v>
      </c>
      <c r="CA43" s="65" t="str">
        <f t="shared" ca="1" si="277"/>
        <v>-</v>
      </c>
      <c r="CB43" s="65" t="str">
        <f t="shared" ca="1" si="277"/>
        <v>-</v>
      </c>
      <c r="CC43" s="65" t="str">
        <f t="shared" ca="1" si="277"/>
        <v>-</v>
      </c>
      <c r="CD43" s="65" t="str">
        <f t="shared" ca="1" si="277"/>
        <v>-</v>
      </c>
      <c r="CE43" s="65" t="str">
        <f t="shared" ca="1" si="277"/>
        <v>-</v>
      </c>
      <c r="CF43" s="65" t="str">
        <f t="shared" ca="1" si="277"/>
        <v>-</v>
      </c>
      <c r="CG43" s="65" t="str">
        <f t="shared" ca="1" si="277"/>
        <v>-</v>
      </c>
      <c r="CH43" s="65" t="str">
        <f t="shared" ca="1" si="277"/>
        <v>-</v>
      </c>
      <c r="CI43" s="65" t="str">
        <f t="shared" ca="1" si="277"/>
        <v>-</v>
      </c>
      <c r="CJ43" s="65" t="str">
        <f t="shared" ca="1" si="277"/>
        <v>-</v>
      </c>
      <c r="CK43" s="65" t="str">
        <f t="shared" ca="1" si="277"/>
        <v>-</v>
      </c>
      <c r="CL43" s="65" t="str">
        <f t="shared" ca="1" si="277"/>
        <v>-</v>
      </c>
      <c r="CM43" s="65" t="str">
        <f t="shared" ca="1" si="277"/>
        <v>-</v>
      </c>
      <c r="CN43" s="65" t="str">
        <f t="shared" ca="1" si="277"/>
        <v>-</v>
      </c>
      <c r="CO43" s="65" t="str">
        <f t="shared" ref="CO43:DD46" ca="1" si="278">IF(AND(CO$2&gt;=$G43,CO$2&lt;($G43+$I43)),ROUND($F43/$I43,0),"-")</f>
        <v>-</v>
      </c>
      <c r="CP43" s="65" t="str">
        <f t="shared" ca="1" si="278"/>
        <v>-</v>
      </c>
      <c r="CQ43" s="65" t="str">
        <f t="shared" ca="1" si="278"/>
        <v>-</v>
      </c>
      <c r="CR43" s="65" t="str">
        <f t="shared" ca="1" si="278"/>
        <v>-</v>
      </c>
      <c r="CS43" s="65" t="str">
        <f t="shared" ca="1" si="278"/>
        <v>-</v>
      </c>
      <c r="CT43" s="65" t="str">
        <f t="shared" ca="1" si="278"/>
        <v>-</v>
      </c>
      <c r="CU43" s="65" t="str">
        <f t="shared" ca="1" si="278"/>
        <v>-</v>
      </c>
      <c r="CV43" s="65" t="str">
        <f t="shared" ca="1" si="278"/>
        <v>-</v>
      </c>
      <c r="CW43" s="65" t="str">
        <f t="shared" ca="1" si="278"/>
        <v>-</v>
      </c>
      <c r="CX43" s="65" t="str">
        <f t="shared" ca="1" si="278"/>
        <v>-</v>
      </c>
      <c r="CY43" s="65" t="str">
        <f t="shared" ca="1" si="278"/>
        <v>-</v>
      </c>
      <c r="CZ43" s="65" t="str">
        <f t="shared" ca="1" si="278"/>
        <v>-</v>
      </c>
      <c r="DA43" s="65" t="str">
        <f t="shared" ca="1" si="278"/>
        <v>-</v>
      </c>
      <c r="DB43" s="65" t="str">
        <f t="shared" ca="1" si="278"/>
        <v>-</v>
      </c>
      <c r="DC43" s="65" t="str">
        <f t="shared" ca="1" si="278"/>
        <v>-</v>
      </c>
      <c r="DD43" s="65" t="str">
        <f t="shared" ca="1" si="278"/>
        <v>-</v>
      </c>
      <c r="DE43" s="65" t="str">
        <f t="shared" ref="CU43:DV46" ca="1" si="279">IF(AND(DE$2&gt;=$G43,DE$2&lt;($G43+$I43)),ROUND($F43/$I43,0),"-")</f>
        <v>-</v>
      </c>
      <c r="DF43" s="65" t="str">
        <f t="shared" ca="1" si="279"/>
        <v>-</v>
      </c>
      <c r="DG43" s="65" t="str">
        <f t="shared" ca="1" si="279"/>
        <v>-</v>
      </c>
      <c r="DH43" s="65" t="str">
        <f t="shared" ca="1" si="279"/>
        <v>-</v>
      </c>
      <c r="DI43" s="65" t="str">
        <f t="shared" ca="1" si="279"/>
        <v>-</v>
      </c>
      <c r="DJ43" s="65" t="str">
        <f t="shared" ca="1" si="279"/>
        <v>-</v>
      </c>
      <c r="DK43" s="65" t="str">
        <f t="shared" ca="1" si="279"/>
        <v>-</v>
      </c>
      <c r="DL43" s="65" t="str">
        <f t="shared" ca="1" si="279"/>
        <v>-</v>
      </c>
      <c r="DM43" s="65" t="str">
        <f t="shared" ca="1" si="279"/>
        <v>-</v>
      </c>
      <c r="DN43" s="65" t="str">
        <f t="shared" ca="1" si="279"/>
        <v>-</v>
      </c>
      <c r="DO43" s="65" t="str">
        <f t="shared" ca="1" si="279"/>
        <v>-</v>
      </c>
      <c r="DP43" s="65" t="str">
        <f t="shared" ca="1" si="279"/>
        <v>-</v>
      </c>
      <c r="DQ43" s="65" t="str">
        <f t="shared" ca="1" si="279"/>
        <v>-</v>
      </c>
      <c r="DR43" s="65" t="str">
        <f t="shared" ca="1" si="279"/>
        <v>-</v>
      </c>
      <c r="DS43" s="65" t="str">
        <f t="shared" ca="1" si="279"/>
        <v>-</v>
      </c>
      <c r="DT43" s="65" t="str">
        <f t="shared" ca="1" si="279"/>
        <v>-</v>
      </c>
      <c r="DU43" s="65" t="str">
        <f t="shared" ca="1" si="279"/>
        <v>-</v>
      </c>
      <c r="DV43" s="65" t="str">
        <f t="shared" ca="1" si="279"/>
        <v>-</v>
      </c>
    </row>
    <row r="44" spans="1:126">
      <c r="A44" s="464"/>
      <c r="B44" s="509"/>
      <c r="C44" s="509"/>
      <c r="D44" s="456"/>
      <c r="E44" s="185" t="s">
        <v>65</v>
      </c>
      <c r="F44" s="66" t="e">
        <f>SUM('BESS 12'!S254,'BESS 12'!S256:S257,'BESS 12'!S260:S262)</f>
        <v>#VALUE!</v>
      </c>
      <c r="G44" s="182">
        <f ca="1">TODAY()</f>
        <v>46233</v>
      </c>
      <c r="H44" s="162">
        <f>MAX('BESS 12'!O254,'BESS 12'!O256,'BESS 12'!O257,'BESS 12'!O260,'BESS 12'!O261:O262)</f>
        <v>46246</v>
      </c>
      <c r="I44" s="66">
        <f t="shared" ca="1" si="272"/>
        <v>13</v>
      </c>
      <c r="J44" s="453"/>
      <c r="K44" s="507"/>
      <c r="L44" s="476"/>
      <c r="M44" s="65" t="str">
        <f t="shared" ca="1" si="273"/>
        <v>-</v>
      </c>
      <c r="N44" s="65" t="str">
        <f t="shared" ca="1" si="273"/>
        <v>-</v>
      </c>
      <c r="O44" s="65" t="str">
        <f t="shared" ca="1" si="273"/>
        <v>-</v>
      </c>
      <c r="P44" s="65" t="str">
        <f t="shared" ca="1" si="273"/>
        <v>-</v>
      </c>
      <c r="Q44" s="65" t="str">
        <f t="shared" ca="1" si="273"/>
        <v>-</v>
      </c>
      <c r="R44" s="65" t="str">
        <f t="shared" ca="1" si="273"/>
        <v>-</v>
      </c>
      <c r="S44" s="65" t="str">
        <f t="shared" ca="1" si="273"/>
        <v>-</v>
      </c>
      <c r="T44" s="65" t="str">
        <f t="shared" ca="1" si="273"/>
        <v>-</v>
      </c>
      <c r="U44" s="65" t="str">
        <f t="shared" ca="1" si="273"/>
        <v>-</v>
      </c>
      <c r="V44" s="65" t="str">
        <f t="shared" ca="1" si="273"/>
        <v>-</v>
      </c>
      <c r="W44" s="65" t="str">
        <f t="shared" ca="1" si="273"/>
        <v>-</v>
      </c>
      <c r="X44" s="65" t="str">
        <f t="shared" ca="1" si="273"/>
        <v>-</v>
      </c>
      <c r="Y44" s="65" t="str">
        <f t="shared" ca="1" si="273"/>
        <v>-</v>
      </c>
      <c r="Z44" s="65" t="str">
        <f t="shared" ca="1" si="273"/>
        <v>-</v>
      </c>
      <c r="AA44" s="65" t="str">
        <f t="shared" ca="1" si="273"/>
        <v>-</v>
      </c>
      <c r="AB44" s="65" t="str">
        <f t="shared" ca="1" si="273"/>
        <v>-</v>
      </c>
      <c r="AC44" s="65" t="str">
        <f t="shared" ca="1" si="274"/>
        <v>-</v>
      </c>
      <c r="AD44" s="65" t="str">
        <f t="shared" ca="1" si="274"/>
        <v>-</v>
      </c>
      <c r="AE44" s="65" t="str">
        <f t="shared" ca="1" si="274"/>
        <v>-</v>
      </c>
      <c r="AF44" s="65" t="str">
        <f t="shared" ca="1" si="274"/>
        <v>-</v>
      </c>
      <c r="AG44" s="65" t="str">
        <f t="shared" ca="1" si="274"/>
        <v>-</v>
      </c>
      <c r="AH44" s="65" t="str">
        <f t="shared" ca="1" si="274"/>
        <v>-</v>
      </c>
      <c r="AI44" s="65" t="str">
        <f t="shared" ca="1" si="274"/>
        <v>-</v>
      </c>
      <c r="AJ44" s="65" t="str">
        <f t="shared" ca="1" si="274"/>
        <v>-</v>
      </c>
      <c r="AK44" s="65" t="str">
        <f t="shared" ca="1" si="274"/>
        <v>-</v>
      </c>
      <c r="AL44" s="65" t="str">
        <f t="shared" ca="1" si="274"/>
        <v>-</v>
      </c>
      <c r="AM44" s="65" t="str">
        <f t="shared" ca="1" si="274"/>
        <v>-</v>
      </c>
      <c r="AN44" s="65" t="str">
        <f t="shared" ca="1" si="274"/>
        <v>-</v>
      </c>
      <c r="AO44" s="65" t="str">
        <f t="shared" ca="1" si="274"/>
        <v>-</v>
      </c>
      <c r="AP44" s="65" t="str">
        <f t="shared" ca="1" si="274"/>
        <v>-</v>
      </c>
      <c r="AQ44" s="65" t="str">
        <f t="shared" ca="1" si="274"/>
        <v>-</v>
      </c>
      <c r="AR44" s="65" t="str">
        <f t="shared" ca="1" si="274"/>
        <v>-</v>
      </c>
      <c r="AS44" s="65" t="str">
        <f t="shared" ca="1" si="275"/>
        <v>-</v>
      </c>
      <c r="AT44" s="65" t="str">
        <f t="shared" ca="1" si="275"/>
        <v>-</v>
      </c>
      <c r="AU44" s="65" t="str">
        <f t="shared" ca="1" si="275"/>
        <v>-</v>
      </c>
      <c r="AV44" s="65" t="str">
        <f t="shared" ca="1" si="275"/>
        <v>-</v>
      </c>
      <c r="AW44" s="65" t="str">
        <f t="shared" ca="1" si="275"/>
        <v>-</v>
      </c>
      <c r="AX44" s="65" t="str">
        <f t="shared" ca="1" si="275"/>
        <v>-</v>
      </c>
      <c r="AY44" s="65" t="e">
        <f t="shared" ca="1" si="275"/>
        <v>#VALUE!</v>
      </c>
      <c r="AZ44" s="65" t="e">
        <f t="shared" ca="1" si="275"/>
        <v>#VALUE!</v>
      </c>
      <c r="BA44" s="65" t="e">
        <f t="shared" ca="1" si="275"/>
        <v>#VALUE!</v>
      </c>
      <c r="BB44" s="65" t="e">
        <f t="shared" ca="1" si="275"/>
        <v>#VALUE!</v>
      </c>
      <c r="BC44" s="65" t="e">
        <f t="shared" ca="1" si="275"/>
        <v>#VALUE!</v>
      </c>
      <c r="BD44" s="65" t="e">
        <f t="shared" ca="1" si="275"/>
        <v>#VALUE!</v>
      </c>
      <c r="BE44" s="65" t="e">
        <f t="shared" ca="1" si="275"/>
        <v>#VALUE!</v>
      </c>
      <c r="BF44" s="65" t="e">
        <f t="shared" ca="1" si="275"/>
        <v>#VALUE!</v>
      </c>
      <c r="BG44" s="65" t="e">
        <f t="shared" ca="1" si="275"/>
        <v>#VALUE!</v>
      </c>
      <c r="BH44" s="65" t="e">
        <f t="shared" ca="1" si="275"/>
        <v>#VALUE!</v>
      </c>
      <c r="BI44" s="65" t="e">
        <f t="shared" ca="1" si="276"/>
        <v>#VALUE!</v>
      </c>
      <c r="BJ44" s="65" t="e">
        <f t="shared" ca="1" si="276"/>
        <v>#VALUE!</v>
      </c>
      <c r="BK44" s="65" t="e">
        <f t="shared" ca="1" si="276"/>
        <v>#VALUE!</v>
      </c>
      <c r="BL44" s="65" t="str">
        <f t="shared" ca="1" si="276"/>
        <v>-</v>
      </c>
      <c r="BM44" s="65" t="str">
        <f t="shared" ca="1" si="276"/>
        <v>-</v>
      </c>
      <c r="BN44" s="65" t="str">
        <f t="shared" ca="1" si="276"/>
        <v>-</v>
      </c>
      <c r="BO44" s="65" t="str">
        <f t="shared" ca="1" si="276"/>
        <v>-</v>
      </c>
      <c r="BP44" s="65" t="str">
        <f t="shared" ca="1" si="276"/>
        <v>-</v>
      </c>
      <c r="BQ44" s="65" t="str">
        <f t="shared" ca="1" si="276"/>
        <v>-</v>
      </c>
      <c r="BR44" s="65" t="str">
        <f t="shared" ca="1" si="276"/>
        <v>-</v>
      </c>
      <c r="BS44" s="65" t="str">
        <f t="shared" ca="1" si="276"/>
        <v>-</v>
      </c>
      <c r="BT44" s="65" t="str">
        <f t="shared" ca="1" si="276"/>
        <v>-</v>
      </c>
      <c r="BU44" s="65" t="str">
        <f t="shared" ca="1" si="276"/>
        <v>-</v>
      </c>
      <c r="BV44" s="65" t="str">
        <f t="shared" ca="1" si="276"/>
        <v>-</v>
      </c>
      <c r="BW44" s="65" t="str">
        <f t="shared" ca="1" si="276"/>
        <v>-</v>
      </c>
      <c r="BX44" s="65" t="str">
        <f t="shared" ca="1" si="276"/>
        <v>-</v>
      </c>
      <c r="BY44" s="65" t="str">
        <f t="shared" ca="1" si="277"/>
        <v>-</v>
      </c>
      <c r="BZ44" s="65" t="str">
        <f t="shared" ca="1" si="277"/>
        <v>-</v>
      </c>
      <c r="CA44" s="65" t="str">
        <f t="shared" ca="1" si="277"/>
        <v>-</v>
      </c>
      <c r="CB44" s="65" t="str">
        <f t="shared" ca="1" si="277"/>
        <v>-</v>
      </c>
      <c r="CC44" s="65" t="str">
        <f t="shared" ca="1" si="277"/>
        <v>-</v>
      </c>
      <c r="CD44" s="65" t="str">
        <f t="shared" ca="1" si="277"/>
        <v>-</v>
      </c>
      <c r="CE44" s="65" t="str">
        <f t="shared" ca="1" si="277"/>
        <v>-</v>
      </c>
      <c r="CF44" s="65" t="str">
        <f t="shared" ca="1" si="277"/>
        <v>-</v>
      </c>
      <c r="CG44" s="65" t="str">
        <f t="shared" ca="1" si="277"/>
        <v>-</v>
      </c>
      <c r="CH44" s="65" t="str">
        <f t="shared" ca="1" si="277"/>
        <v>-</v>
      </c>
      <c r="CI44" s="65" t="str">
        <f t="shared" ca="1" si="277"/>
        <v>-</v>
      </c>
      <c r="CJ44" s="65" t="str">
        <f t="shared" ca="1" si="277"/>
        <v>-</v>
      </c>
      <c r="CK44" s="65" t="str">
        <f t="shared" ca="1" si="277"/>
        <v>-</v>
      </c>
      <c r="CL44" s="65" t="str">
        <f t="shared" ca="1" si="277"/>
        <v>-</v>
      </c>
      <c r="CM44" s="65" t="str">
        <f t="shared" ca="1" si="277"/>
        <v>-</v>
      </c>
      <c r="CN44" s="65" t="str">
        <f t="shared" ca="1" si="277"/>
        <v>-</v>
      </c>
      <c r="CO44" s="65" t="str">
        <f t="shared" ca="1" si="278"/>
        <v>-</v>
      </c>
      <c r="CP44" s="65" t="str">
        <f t="shared" ca="1" si="278"/>
        <v>-</v>
      </c>
      <c r="CQ44" s="65" t="str">
        <f t="shared" ca="1" si="278"/>
        <v>-</v>
      </c>
      <c r="CR44" s="65" t="str">
        <f t="shared" ca="1" si="278"/>
        <v>-</v>
      </c>
      <c r="CS44" s="65" t="str">
        <f t="shared" ca="1" si="278"/>
        <v>-</v>
      </c>
      <c r="CT44" s="65" t="str">
        <f t="shared" ca="1" si="278"/>
        <v>-</v>
      </c>
      <c r="CU44" s="65" t="str">
        <f t="shared" ca="1" si="279"/>
        <v>-</v>
      </c>
      <c r="CV44" s="65" t="str">
        <f t="shared" ca="1" si="279"/>
        <v>-</v>
      </c>
      <c r="CW44" s="65" t="str">
        <f t="shared" ca="1" si="279"/>
        <v>-</v>
      </c>
      <c r="CX44" s="65" t="str">
        <f t="shared" ca="1" si="279"/>
        <v>-</v>
      </c>
      <c r="CY44" s="65" t="str">
        <f t="shared" ca="1" si="279"/>
        <v>-</v>
      </c>
      <c r="CZ44" s="65" t="str">
        <f t="shared" ca="1" si="279"/>
        <v>-</v>
      </c>
      <c r="DA44" s="65" t="str">
        <f t="shared" ca="1" si="279"/>
        <v>-</v>
      </c>
      <c r="DB44" s="65" t="str">
        <f t="shared" ca="1" si="279"/>
        <v>-</v>
      </c>
      <c r="DC44" s="65" t="str">
        <f t="shared" ca="1" si="279"/>
        <v>-</v>
      </c>
      <c r="DD44" s="65" t="str">
        <f t="shared" ca="1" si="279"/>
        <v>-</v>
      </c>
      <c r="DE44" s="65" t="str">
        <f t="shared" ca="1" si="279"/>
        <v>-</v>
      </c>
      <c r="DF44" s="65" t="str">
        <f t="shared" ca="1" si="279"/>
        <v>-</v>
      </c>
      <c r="DG44" s="65" t="str">
        <f t="shared" ca="1" si="279"/>
        <v>-</v>
      </c>
      <c r="DH44" s="65" t="str">
        <f t="shared" ca="1" si="279"/>
        <v>-</v>
      </c>
      <c r="DI44" s="65" t="str">
        <f t="shared" ca="1" si="279"/>
        <v>-</v>
      </c>
      <c r="DJ44" s="65" t="str">
        <f t="shared" ca="1" si="279"/>
        <v>-</v>
      </c>
      <c r="DK44" s="65" t="str">
        <f t="shared" ca="1" si="279"/>
        <v>-</v>
      </c>
      <c r="DL44" s="65" t="str">
        <f t="shared" ca="1" si="279"/>
        <v>-</v>
      </c>
      <c r="DM44" s="65" t="str">
        <f t="shared" ca="1" si="279"/>
        <v>-</v>
      </c>
      <c r="DN44" s="65" t="str">
        <f t="shared" ca="1" si="279"/>
        <v>-</v>
      </c>
      <c r="DO44" s="65" t="str">
        <f t="shared" ca="1" si="279"/>
        <v>-</v>
      </c>
      <c r="DP44" s="65" t="str">
        <f t="shared" ca="1" si="279"/>
        <v>-</v>
      </c>
      <c r="DQ44" s="65" t="str">
        <f t="shared" ca="1" si="279"/>
        <v>-</v>
      </c>
      <c r="DR44" s="65" t="str">
        <f t="shared" ca="1" si="279"/>
        <v>-</v>
      </c>
      <c r="DS44" s="65" t="str">
        <f t="shared" ca="1" si="279"/>
        <v>-</v>
      </c>
      <c r="DT44" s="65" t="str">
        <f t="shared" ca="1" si="279"/>
        <v>-</v>
      </c>
      <c r="DU44" s="65" t="str">
        <f t="shared" ca="1" si="279"/>
        <v>-</v>
      </c>
      <c r="DV44" s="65" t="str">
        <f t="shared" ca="1" si="279"/>
        <v>-</v>
      </c>
    </row>
    <row r="45" spans="1:126">
      <c r="A45" s="464"/>
      <c r="B45" s="509"/>
      <c r="C45" s="509"/>
      <c r="D45" s="456"/>
      <c r="E45" s="185" t="s">
        <v>66</v>
      </c>
      <c r="F45" s="66" t="e">
        <f>SUM('BESS 12'!S255,'BESS 12'!S258:S259,'BESS 12'!S263:S264)</f>
        <v>#VALUE!</v>
      </c>
      <c r="G45" s="182">
        <f ca="1">TODAY()</f>
        <v>46233</v>
      </c>
      <c r="H45" s="162">
        <f>MAX('BESS 12'!O255,'BESS 12'!O258:O259,'BESS 12'!O263,'BESS 12'!O265)</f>
        <v>46250</v>
      </c>
      <c r="I45" s="66">
        <f t="shared" ca="1" si="272"/>
        <v>17</v>
      </c>
      <c r="J45" s="453"/>
      <c r="K45" s="507"/>
      <c r="L45" s="476"/>
      <c r="M45" s="65" t="str">
        <f t="shared" ca="1" si="273"/>
        <v>-</v>
      </c>
      <c r="N45" s="65" t="str">
        <f t="shared" ca="1" si="273"/>
        <v>-</v>
      </c>
      <c r="O45" s="65" t="str">
        <f t="shared" ca="1" si="273"/>
        <v>-</v>
      </c>
      <c r="P45" s="65" t="str">
        <f t="shared" ca="1" si="273"/>
        <v>-</v>
      </c>
      <c r="Q45" s="65" t="str">
        <f t="shared" ca="1" si="273"/>
        <v>-</v>
      </c>
      <c r="R45" s="65" t="str">
        <f t="shared" ca="1" si="273"/>
        <v>-</v>
      </c>
      <c r="S45" s="65" t="str">
        <f t="shared" ca="1" si="273"/>
        <v>-</v>
      </c>
      <c r="T45" s="65" t="str">
        <f t="shared" ca="1" si="273"/>
        <v>-</v>
      </c>
      <c r="U45" s="65" t="str">
        <f t="shared" ca="1" si="273"/>
        <v>-</v>
      </c>
      <c r="V45" s="65" t="str">
        <f t="shared" ca="1" si="273"/>
        <v>-</v>
      </c>
      <c r="W45" s="65" t="str">
        <f t="shared" ca="1" si="273"/>
        <v>-</v>
      </c>
      <c r="X45" s="65" t="str">
        <f t="shared" ca="1" si="273"/>
        <v>-</v>
      </c>
      <c r="Y45" s="65" t="str">
        <f t="shared" ca="1" si="273"/>
        <v>-</v>
      </c>
      <c r="Z45" s="65" t="str">
        <f t="shared" ca="1" si="273"/>
        <v>-</v>
      </c>
      <c r="AA45" s="65" t="str">
        <f t="shared" ca="1" si="273"/>
        <v>-</v>
      </c>
      <c r="AB45" s="65" t="str">
        <f t="shared" ca="1" si="273"/>
        <v>-</v>
      </c>
      <c r="AC45" s="65" t="str">
        <f t="shared" ca="1" si="274"/>
        <v>-</v>
      </c>
      <c r="AD45" s="65" t="str">
        <f t="shared" ca="1" si="274"/>
        <v>-</v>
      </c>
      <c r="AE45" s="65" t="str">
        <f t="shared" ca="1" si="274"/>
        <v>-</v>
      </c>
      <c r="AF45" s="65" t="str">
        <f t="shared" ca="1" si="274"/>
        <v>-</v>
      </c>
      <c r="AG45" s="65" t="str">
        <f t="shared" ca="1" si="274"/>
        <v>-</v>
      </c>
      <c r="AH45" s="65" t="str">
        <f t="shared" ca="1" si="274"/>
        <v>-</v>
      </c>
      <c r="AI45" s="65" t="str">
        <f t="shared" ca="1" si="274"/>
        <v>-</v>
      </c>
      <c r="AJ45" s="65" t="str">
        <f t="shared" ca="1" si="274"/>
        <v>-</v>
      </c>
      <c r="AK45" s="65" t="str">
        <f t="shared" ca="1" si="274"/>
        <v>-</v>
      </c>
      <c r="AL45" s="65" t="str">
        <f t="shared" ca="1" si="274"/>
        <v>-</v>
      </c>
      <c r="AM45" s="65" t="str">
        <f t="shared" ca="1" si="274"/>
        <v>-</v>
      </c>
      <c r="AN45" s="65" t="str">
        <f t="shared" ca="1" si="274"/>
        <v>-</v>
      </c>
      <c r="AO45" s="65" t="str">
        <f t="shared" ca="1" si="274"/>
        <v>-</v>
      </c>
      <c r="AP45" s="65" t="str">
        <f t="shared" ca="1" si="274"/>
        <v>-</v>
      </c>
      <c r="AQ45" s="65" t="str">
        <f t="shared" ca="1" si="274"/>
        <v>-</v>
      </c>
      <c r="AR45" s="65" t="str">
        <f t="shared" ca="1" si="274"/>
        <v>-</v>
      </c>
      <c r="AS45" s="65" t="str">
        <f t="shared" ca="1" si="275"/>
        <v>-</v>
      </c>
      <c r="AT45" s="65" t="str">
        <f t="shared" ca="1" si="275"/>
        <v>-</v>
      </c>
      <c r="AU45" s="65" t="str">
        <f t="shared" ca="1" si="275"/>
        <v>-</v>
      </c>
      <c r="AV45" s="65" t="str">
        <f t="shared" ca="1" si="275"/>
        <v>-</v>
      </c>
      <c r="AW45" s="65" t="str">
        <f t="shared" ca="1" si="275"/>
        <v>-</v>
      </c>
      <c r="AX45" s="65" t="str">
        <f t="shared" ca="1" si="275"/>
        <v>-</v>
      </c>
      <c r="AY45" s="65" t="e">
        <f t="shared" ca="1" si="275"/>
        <v>#VALUE!</v>
      </c>
      <c r="AZ45" s="65" t="e">
        <f t="shared" ca="1" si="275"/>
        <v>#VALUE!</v>
      </c>
      <c r="BA45" s="65" t="e">
        <f t="shared" ca="1" si="275"/>
        <v>#VALUE!</v>
      </c>
      <c r="BB45" s="65" t="e">
        <f t="shared" ca="1" si="275"/>
        <v>#VALUE!</v>
      </c>
      <c r="BC45" s="65" t="e">
        <f t="shared" ca="1" si="275"/>
        <v>#VALUE!</v>
      </c>
      <c r="BD45" s="65" t="e">
        <f t="shared" ca="1" si="275"/>
        <v>#VALUE!</v>
      </c>
      <c r="BE45" s="65" t="e">
        <f t="shared" ca="1" si="275"/>
        <v>#VALUE!</v>
      </c>
      <c r="BF45" s="65" t="e">
        <f t="shared" ca="1" si="275"/>
        <v>#VALUE!</v>
      </c>
      <c r="BG45" s="65" t="e">
        <f t="shared" ca="1" si="275"/>
        <v>#VALUE!</v>
      </c>
      <c r="BH45" s="65" t="e">
        <f t="shared" ca="1" si="275"/>
        <v>#VALUE!</v>
      </c>
      <c r="BI45" s="65" t="e">
        <f t="shared" ca="1" si="276"/>
        <v>#VALUE!</v>
      </c>
      <c r="BJ45" s="65" t="e">
        <f t="shared" ca="1" si="276"/>
        <v>#VALUE!</v>
      </c>
      <c r="BK45" s="65" t="e">
        <f t="shared" ca="1" si="276"/>
        <v>#VALUE!</v>
      </c>
      <c r="BL45" s="65" t="e">
        <f t="shared" ca="1" si="276"/>
        <v>#VALUE!</v>
      </c>
      <c r="BM45" s="65" t="e">
        <f t="shared" ca="1" si="276"/>
        <v>#VALUE!</v>
      </c>
      <c r="BN45" s="65" t="e">
        <f t="shared" ca="1" si="276"/>
        <v>#VALUE!</v>
      </c>
      <c r="BO45" s="65" t="e">
        <f t="shared" ca="1" si="276"/>
        <v>#VALUE!</v>
      </c>
      <c r="BP45" s="65" t="str">
        <f t="shared" ca="1" si="276"/>
        <v>-</v>
      </c>
      <c r="BQ45" s="65" t="str">
        <f t="shared" ca="1" si="276"/>
        <v>-</v>
      </c>
      <c r="BR45" s="65" t="str">
        <f t="shared" ca="1" si="276"/>
        <v>-</v>
      </c>
      <c r="BS45" s="65" t="str">
        <f t="shared" ca="1" si="276"/>
        <v>-</v>
      </c>
      <c r="BT45" s="65" t="str">
        <f t="shared" ca="1" si="276"/>
        <v>-</v>
      </c>
      <c r="BU45" s="65" t="str">
        <f t="shared" ca="1" si="276"/>
        <v>-</v>
      </c>
      <c r="BV45" s="65" t="str">
        <f t="shared" ca="1" si="276"/>
        <v>-</v>
      </c>
      <c r="BW45" s="65" t="str">
        <f t="shared" ca="1" si="276"/>
        <v>-</v>
      </c>
      <c r="BX45" s="65" t="str">
        <f t="shared" ca="1" si="276"/>
        <v>-</v>
      </c>
      <c r="BY45" s="65" t="str">
        <f t="shared" ca="1" si="277"/>
        <v>-</v>
      </c>
      <c r="BZ45" s="65" t="str">
        <f t="shared" ca="1" si="277"/>
        <v>-</v>
      </c>
      <c r="CA45" s="65" t="str">
        <f t="shared" ca="1" si="277"/>
        <v>-</v>
      </c>
      <c r="CB45" s="65" t="str">
        <f t="shared" ca="1" si="277"/>
        <v>-</v>
      </c>
      <c r="CC45" s="65" t="str">
        <f t="shared" ca="1" si="277"/>
        <v>-</v>
      </c>
      <c r="CD45" s="65" t="str">
        <f t="shared" ca="1" si="277"/>
        <v>-</v>
      </c>
      <c r="CE45" s="65" t="str">
        <f t="shared" ca="1" si="277"/>
        <v>-</v>
      </c>
      <c r="CF45" s="65" t="str">
        <f t="shared" ca="1" si="277"/>
        <v>-</v>
      </c>
      <c r="CG45" s="65" t="str">
        <f t="shared" ca="1" si="277"/>
        <v>-</v>
      </c>
      <c r="CH45" s="65" t="str">
        <f t="shared" ca="1" si="277"/>
        <v>-</v>
      </c>
      <c r="CI45" s="65" t="str">
        <f t="shared" ca="1" si="277"/>
        <v>-</v>
      </c>
      <c r="CJ45" s="65" t="str">
        <f t="shared" ca="1" si="277"/>
        <v>-</v>
      </c>
      <c r="CK45" s="65" t="str">
        <f t="shared" ca="1" si="277"/>
        <v>-</v>
      </c>
      <c r="CL45" s="65" t="str">
        <f t="shared" ca="1" si="277"/>
        <v>-</v>
      </c>
      <c r="CM45" s="65" t="str">
        <f t="shared" ca="1" si="277"/>
        <v>-</v>
      </c>
      <c r="CN45" s="65" t="str">
        <f t="shared" ca="1" si="277"/>
        <v>-</v>
      </c>
      <c r="CO45" s="65" t="str">
        <f t="shared" ca="1" si="278"/>
        <v>-</v>
      </c>
      <c r="CP45" s="65" t="str">
        <f t="shared" ca="1" si="278"/>
        <v>-</v>
      </c>
      <c r="CQ45" s="65" t="str">
        <f t="shared" ca="1" si="278"/>
        <v>-</v>
      </c>
      <c r="CR45" s="65" t="str">
        <f t="shared" ca="1" si="278"/>
        <v>-</v>
      </c>
      <c r="CS45" s="65" t="str">
        <f t="shared" ca="1" si="278"/>
        <v>-</v>
      </c>
      <c r="CT45" s="65" t="str">
        <f t="shared" ca="1" si="278"/>
        <v>-</v>
      </c>
      <c r="CU45" s="65" t="str">
        <f t="shared" ca="1" si="279"/>
        <v>-</v>
      </c>
      <c r="CV45" s="65" t="str">
        <f t="shared" ca="1" si="279"/>
        <v>-</v>
      </c>
      <c r="CW45" s="65" t="str">
        <f t="shared" ca="1" si="279"/>
        <v>-</v>
      </c>
      <c r="CX45" s="65" t="str">
        <f t="shared" ca="1" si="279"/>
        <v>-</v>
      </c>
      <c r="CY45" s="65" t="str">
        <f t="shared" ca="1" si="279"/>
        <v>-</v>
      </c>
      <c r="CZ45" s="65" t="str">
        <f t="shared" ca="1" si="279"/>
        <v>-</v>
      </c>
      <c r="DA45" s="65" t="str">
        <f t="shared" ca="1" si="279"/>
        <v>-</v>
      </c>
      <c r="DB45" s="65" t="str">
        <f t="shared" ca="1" si="279"/>
        <v>-</v>
      </c>
      <c r="DC45" s="65" t="str">
        <f t="shared" ca="1" si="279"/>
        <v>-</v>
      </c>
      <c r="DD45" s="65" t="str">
        <f t="shared" ca="1" si="279"/>
        <v>-</v>
      </c>
      <c r="DE45" s="65" t="str">
        <f t="shared" ca="1" si="279"/>
        <v>-</v>
      </c>
      <c r="DF45" s="65" t="str">
        <f t="shared" ca="1" si="279"/>
        <v>-</v>
      </c>
      <c r="DG45" s="65" t="str">
        <f t="shared" ca="1" si="279"/>
        <v>-</v>
      </c>
      <c r="DH45" s="65" t="str">
        <f t="shared" ca="1" si="279"/>
        <v>-</v>
      </c>
      <c r="DI45" s="65" t="str">
        <f t="shared" ca="1" si="279"/>
        <v>-</v>
      </c>
      <c r="DJ45" s="65" t="str">
        <f t="shared" ca="1" si="279"/>
        <v>-</v>
      </c>
      <c r="DK45" s="65" t="str">
        <f t="shared" ca="1" si="279"/>
        <v>-</v>
      </c>
      <c r="DL45" s="65" t="str">
        <f t="shared" ca="1" si="279"/>
        <v>-</v>
      </c>
      <c r="DM45" s="65" t="str">
        <f t="shared" ca="1" si="279"/>
        <v>-</v>
      </c>
      <c r="DN45" s="65" t="str">
        <f t="shared" ca="1" si="279"/>
        <v>-</v>
      </c>
      <c r="DO45" s="65" t="str">
        <f t="shared" ca="1" si="279"/>
        <v>-</v>
      </c>
      <c r="DP45" s="65" t="str">
        <f t="shared" ca="1" si="279"/>
        <v>-</v>
      </c>
      <c r="DQ45" s="65" t="str">
        <f t="shared" ca="1" si="279"/>
        <v>-</v>
      </c>
      <c r="DR45" s="65" t="str">
        <f t="shared" ca="1" si="279"/>
        <v>-</v>
      </c>
      <c r="DS45" s="65" t="str">
        <f t="shared" ca="1" si="279"/>
        <v>-</v>
      </c>
      <c r="DT45" s="65" t="str">
        <f t="shared" ca="1" si="279"/>
        <v>-</v>
      </c>
      <c r="DU45" s="65" t="str">
        <f t="shared" ca="1" si="279"/>
        <v>-</v>
      </c>
      <c r="DV45" s="65" t="str">
        <f t="shared" ca="1" si="279"/>
        <v>-</v>
      </c>
    </row>
    <row r="46" spans="1:126">
      <c r="A46" s="464"/>
      <c r="B46" s="509"/>
      <c r="C46" s="509"/>
      <c r="D46" s="456"/>
      <c r="E46" s="185" t="s">
        <v>67</v>
      </c>
      <c r="F46" s="66" t="e">
        <f>SUM('BESS 12'!S266:S275)</f>
        <v>#VALUE!</v>
      </c>
      <c r="G46" s="182">
        <f>H46-14</f>
        <v>46241</v>
      </c>
      <c r="H46" s="162">
        <f>B42-3</f>
        <v>46255</v>
      </c>
      <c r="I46" s="66">
        <f>H46-G46</f>
        <v>14</v>
      </c>
      <c r="J46" s="453"/>
      <c r="K46" s="507"/>
      <c r="L46" s="476"/>
      <c r="M46" s="65" t="str">
        <f t="shared" si="273"/>
        <v>-</v>
      </c>
      <c r="N46" s="65" t="str">
        <f t="shared" si="273"/>
        <v>-</v>
      </c>
      <c r="O46" s="65" t="str">
        <f t="shared" si="273"/>
        <v>-</v>
      </c>
      <c r="P46" s="65" t="str">
        <f t="shared" si="273"/>
        <v>-</v>
      </c>
      <c r="Q46" s="65" t="str">
        <f t="shared" si="273"/>
        <v>-</v>
      </c>
      <c r="R46" s="65" t="str">
        <f t="shared" si="273"/>
        <v>-</v>
      </c>
      <c r="S46" s="65" t="str">
        <f t="shared" si="273"/>
        <v>-</v>
      </c>
      <c r="T46" s="65" t="str">
        <f t="shared" si="273"/>
        <v>-</v>
      </c>
      <c r="U46" s="65" t="str">
        <f t="shared" si="273"/>
        <v>-</v>
      </c>
      <c r="V46" s="65" t="str">
        <f t="shared" si="273"/>
        <v>-</v>
      </c>
      <c r="W46" s="65" t="str">
        <f t="shared" si="273"/>
        <v>-</v>
      </c>
      <c r="X46" s="65" t="str">
        <f t="shared" si="273"/>
        <v>-</v>
      </c>
      <c r="Y46" s="65" t="str">
        <f t="shared" si="273"/>
        <v>-</v>
      </c>
      <c r="Z46" s="65" t="str">
        <f t="shared" si="273"/>
        <v>-</v>
      </c>
      <c r="AA46" s="65" t="str">
        <f t="shared" si="273"/>
        <v>-</v>
      </c>
      <c r="AB46" s="65" t="str">
        <f t="shared" si="273"/>
        <v>-</v>
      </c>
      <c r="AC46" s="65" t="str">
        <f t="shared" si="274"/>
        <v>-</v>
      </c>
      <c r="AD46" s="65" t="str">
        <f t="shared" si="274"/>
        <v>-</v>
      </c>
      <c r="AE46" s="65" t="str">
        <f t="shared" si="274"/>
        <v>-</v>
      </c>
      <c r="AF46" s="65" t="str">
        <f t="shared" si="274"/>
        <v>-</v>
      </c>
      <c r="AG46" s="65" t="str">
        <f t="shared" si="274"/>
        <v>-</v>
      </c>
      <c r="AH46" s="65" t="str">
        <f t="shared" si="274"/>
        <v>-</v>
      </c>
      <c r="AI46" s="65" t="str">
        <f t="shared" si="274"/>
        <v>-</v>
      </c>
      <c r="AJ46" s="65" t="str">
        <f t="shared" si="274"/>
        <v>-</v>
      </c>
      <c r="AK46" s="65" t="str">
        <f t="shared" si="274"/>
        <v>-</v>
      </c>
      <c r="AL46" s="65" t="str">
        <f t="shared" si="274"/>
        <v>-</v>
      </c>
      <c r="AM46" s="65" t="str">
        <f t="shared" si="274"/>
        <v>-</v>
      </c>
      <c r="AN46" s="65" t="str">
        <f t="shared" si="274"/>
        <v>-</v>
      </c>
      <c r="AO46" s="65" t="str">
        <f t="shared" si="274"/>
        <v>-</v>
      </c>
      <c r="AP46" s="65" t="str">
        <f t="shared" si="274"/>
        <v>-</v>
      </c>
      <c r="AQ46" s="65" t="str">
        <f t="shared" si="274"/>
        <v>-</v>
      </c>
      <c r="AR46" s="65" t="str">
        <f t="shared" si="274"/>
        <v>-</v>
      </c>
      <c r="AS46" s="65" t="str">
        <f t="shared" si="275"/>
        <v>-</v>
      </c>
      <c r="AT46" s="65" t="str">
        <f t="shared" si="275"/>
        <v>-</v>
      </c>
      <c r="AU46" s="65" t="str">
        <f t="shared" si="275"/>
        <v>-</v>
      </c>
      <c r="AV46" s="65" t="str">
        <f t="shared" si="275"/>
        <v>-</v>
      </c>
      <c r="AW46" s="65" t="str">
        <f t="shared" si="275"/>
        <v>-</v>
      </c>
      <c r="AX46" s="65" t="str">
        <f t="shared" si="275"/>
        <v>-</v>
      </c>
      <c r="AY46" s="65" t="str">
        <f t="shared" si="275"/>
        <v>-</v>
      </c>
      <c r="AZ46" s="65" t="str">
        <f t="shared" si="275"/>
        <v>-</v>
      </c>
      <c r="BA46" s="65" t="str">
        <f t="shared" si="275"/>
        <v>-</v>
      </c>
      <c r="BB46" s="65" t="str">
        <f t="shared" si="275"/>
        <v>-</v>
      </c>
      <c r="BC46" s="65" t="str">
        <f t="shared" si="275"/>
        <v>-</v>
      </c>
      <c r="BD46" s="65" t="str">
        <f t="shared" si="275"/>
        <v>-</v>
      </c>
      <c r="BE46" s="65" t="str">
        <f t="shared" si="275"/>
        <v>-</v>
      </c>
      <c r="BF46" s="65" t="str">
        <f t="shared" si="275"/>
        <v>-</v>
      </c>
      <c r="BG46" s="65" t="e">
        <f t="shared" si="275"/>
        <v>#VALUE!</v>
      </c>
      <c r="BH46" s="65" t="e">
        <f t="shared" si="275"/>
        <v>#VALUE!</v>
      </c>
      <c r="BI46" s="65" t="e">
        <f t="shared" si="276"/>
        <v>#VALUE!</v>
      </c>
      <c r="BJ46" s="65" t="e">
        <f t="shared" si="276"/>
        <v>#VALUE!</v>
      </c>
      <c r="BK46" s="65" t="e">
        <f t="shared" si="276"/>
        <v>#VALUE!</v>
      </c>
      <c r="BL46" s="65" t="e">
        <f t="shared" si="276"/>
        <v>#VALUE!</v>
      </c>
      <c r="BM46" s="65" t="e">
        <f t="shared" si="276"/>
        <v>#VALUE!</v>
      </c>
      <c r="BN46" s="65" t="e">
        <f t="shared" si="276"/>
        <v>#VALUE!</v>
      </c>
      <c r="BO46" s="65" t="e">
        <f t="shared" si="276"/>
        <v>#VALUE!</v>
      </c>
      <c r="BP46" s="65" t="e">
        <f t="shared" si="276"/>
        <v>#VALUE!</v>
      </c>
      <c r="BQ46" s="65" t="e">
        <f t="shared" si="276"/>
        <v>#VALUE!</v>
      </c>
      <c r="BR46" s="65" t="e">
        <f t="shared" si="276"/>
        <v>#VALUE!</v>
      </c>
      <c r="BS46" s="65" t="e">
        <f t="shared" si="276"/>
        <v>#VALUE!</v>
      </c>
      <c r="BT46" s="65" t="e">
        <f t="shared" si="276"/>
        <v>#VALUE!</v>
      </c>
      <c r="BU46" s="65" t="str">
        <f t="shared" si="276"/>
        <v>-</v>
      </c>
      <c r="BV46" s="65" t="str">
        <f t="shared" si="276"/>
        <v>-</v>
      </c>
      <c r="BW46" s="65" t="str">
        <f t="shared" si="276"/>
        <v>-</v>
      </c>
      <c r="BX46" s="65" t="str">
        <f t="shared" si="276"/>
        <v>-</v>
      </c>
      <c r="BY46" s="65" t="str">
        <f t="shared" si="277"/>
        <v>-</v>
      </c>
      <c r="BZ46" s="65" t="str">
        <f t="shared" si="277"/>
        <v>-</v>
      </c>
      <c r="CA46" s="65" t="str">
        <f t="shared" si="277"/>
        <v>-</v>
      </c>
      <c r="CB46" s="65" t="str">
        <f t="shared" si="277"/>
        <v>-</v>
      </c>
      <c r="CC46" s="65" t="str">
        <f t="shared" si="277"/>
        <v>-</v>
      </c>
      <c r="CD46" s="65" t="str">
        <f t="shared" si="277"/>
        <v>-</v>
      </c>
      <c r="CE46" s="65" t="str">
        <f t="shared" si="277"/>
        <v>-</v>
      </c>
      <c r="CF46" s="65" t="str">
        <f t="shared" si="277"/>
        <v>-</v>
      </c>
      <c r="CG46" s="164" t="str">
        <f t="shared" si="277"/>
        <v>-</v>
      </c>
      <c r="CH46" s="164" t="str">
        <f t="shared" si="277"/>
        <v>-</v>
      </c>
      <c r="CI46" s="164" t="str">
        <f t="shared" si="277"/>
        <v>-</v>
      </c>
      <c r="CJ46" s="164" t="str">
        <f t="shared" si="277"/>
        <v>-</v>
      </c>
      <c r="CK46" s="164" t="str">
        <f t="shared" si="277"/>
        <v>-</v>
      </c>
      <c r="CL46" s="164" t="str">
        <f t="shared" si="277"/>
        <v>-</v>
      </c>
      <c r="CM46" s="164" t="str">
        <f t="shared" si="277"/>
        <v>-</v>
      </c>
      <c r="CN46" s="164" t="str">
        <f t="shared" si="277"/>
        <v>-</v>
      </c>
      <c r="CO46" s="164" t="str">
        <f t="shared" si="278"/>
        <v>-</v>
      </c>
      <c r="CP46" s="164" t="str">
        <f t="shared" si="278"/>
        <v>-</v>
      </c>
      <c r="CQ46" s="164" t="str">
        <f t="shared" si="278"/>
        <v>-</v>
      </c>
      <c r="CR46" s="164" t="str">
        <f t="shared" si="278"/>
        <v>-</v>
      </c>
      <c r="CS46" s="164" t="str">
        <f t="shared" si="278"/>
        <v>-</v>
      </c>
      <c r="CT46" s="164" t="str">
        <f t="shared" si="278"/>
        <v>-</v>
      </c>
      <c r="CU46" s="164" t="str">
        <f t="shared" si="279"/>
        <v>-</v>
      </c>
      <c r="CV46" s="164" t="str">
        <f t="shared" si="279"/>
        <v>-</v>
      </c>
      <c r="CW46" s="164" t="str">
        <f t="shared" si="279"/>
        <v>-</v>
      </c>
      <c r="CX46" s="164" t="str">
        <f t="shared" si="279"/>
        <v>-</v>
      </c>
      <c r="CY46" s="164" t="str">
        <f t="shared" si="279"/>
        <v>-</v>
      </c>
      <c r="CZ46" s="164" t="str">
        <f t="shared" si="279"/>
        <v>-</v>
      </c>
      <c r="DA46" s="164" t="str">
        <f t="shared" si="279"/>
        <v>-</v>
      </c>
      <c r="DB46" s="164" t="str">
        <f t="shared" si="279"/>
        <v>-</v>
      </c>
      <c r="DC46" s="164" t="str">
        <f t="shared" si="279"/>
        <v>-</v>
      </c>
      <c r="DD46" s="164" t="str">
        <f t="shared" si="279"/>
        <v>-</v>
      </c>
      <c r="DE46" s="164" t="str">
        <f t="shared" si="279"/>
        <v>-</v>
      </c>
      <c r="DF46" s="164" t="str">
        <f t="shared" si="279"/>
        <v>-</v>
      </c>
      <c r="DG46" s="164" t="str">
        <f t="shared" si="279"/>
        <v>-</v>
      </c>
      <c r="DH46" s="164" t="str">
        <f t="shared" si="279"/>
        <v>-</v>
      </c>
      <c r="DI46" s="164" t="str">
        <f t="shared" si="279"/>
        <v>-</v>
      </c>
      <c r="DJ46" s="164" t="str">
        <f t="shared" si="279"/>
        <v>-</v>
      </c>
      <c r="DK46" s="164" t="str">
        <f t="shared" si="279"/>
        <v>-</v>
      </c>
      <c r="DL46" s="164" t="str">
        <f t="shared" si="279"/>
        <v>-</v>
      </c>
      <c r="DM46" s="164" t="str">
        <f t="shared" si="279"/>
        <v>-</v>
      </c>
      <c r="DN46" s="164" t="str">
        <f t="shared" si="279"/>
        <v>-</v>
      </c>
      <c r="DO46" s="164" t="str">
        <f t="shared" si="279"/>
        <v>-</v>
      </c>
      <c r="DP46" s="164" t="str">
        <f t="shared" si="279"/>
        <v>-</v>
      </c>
      <c r="DQ46" s="164" t="str">
        <f t="shared" si="279"/>
        <v>-</v>
      </c>
      <c r="DR46" s="164" t="str">
        <f t="shared" si="279"/>
        <v>-</v>
      </c>
      <c r="DS46" s="164" t="str">
        <f t="shared" si="279"/>
        <v>-</v>
      </c>
      <c r="DT46" s="164" t="str">
        <f t="shared" si="279"/>
        <v>-</v>
      </c>
      <c r="DU46" s="164" t="str">
        <f t="shared" si="279"/>
        <v>-</v>
      </c>
      <c r="DV46" s="164" t="str">
        <f t="shared" si="279"/>
        <v>-</v>
      </c>
    </row>
    <row r="47" spans="1:126">
      <c r="A47" s="464"/>
      <c r="B47" s="509"/>
      <c r="C47" s="509"/>
      <c r="D47" s="457"/>
      <c r="E47" s="185" t="s">
        <v>68</v>
      </c>
      <c r="F47" s="65">
        <v>250</v>
      </c>
      <c r="G47" s="182"/>
      <c r="H47" s="162">
        <f>B42-3</f>
        <v>46255</v>
      </c>
      <c r="I47" s="65">
        <v>30</v>
      </c>
      <c r="J47" s="454"/>
      <c r="K47" s="508"/>
      <c r="L47" s="504"/>
      <c r="M47" s="109" t="str">
        <f>IF(AND(M$2&gt;=$B$42-26,M$2&lt;=$B$42-3),5,IF(OR(M$2=$B$42-2,M$2=$B$42-1,M$2=$B$42,M$2=$B$42+1),30,IF(OR(M$2=$B$42+2,M$2=$B$42+3),5,"")))</f>
        <v/>
      </c>
      <c r="N47" s="109" t="str">
        <f t="shared" ref="N47:BY47" si="280">IF(AND(N$2&gt;=$B$42-26,N$2&lt;=$B$42-3),5,IF(OR(N$2=$B$42-2,N$2=$B$42-1,N$2=$B$42,N$2=$B$42+1),30,IF(OR(N$2=$B$42+2,N$2=$B$42+3),5,"")))</f>
        <v/>
      </c>
      <c r="O47" s="109" t="str">
        <f t="shared" si="280"/>
        <v/>
      </c>
      <c r="P47" s="109" t="str">
        <f t="shared" si="280"/>
        <v/>
      </c>
      <c r="Q47" s="109" t="str">
        <f t="shared" si="280"/>
        <v/>
      </c>
      <c r="R47" s="109" t="str">
        <f t="shared" si="280"/>
        <v/>
      </c>
      <c r="S47" s="109" t="str">
        <f t="shared" si="280"/>
        <v/>
      </c>
      <c r="T47" s="109" t="str">
        <f t="shared" si="280"/>
        <v/>
      </c>
      <c r="U47" s="109" t="str">
        <f t="shared" si="280"/>
        <v/>
      </c>
      <c r="V47" s="109" t="str">
        <f t="shared" si="280"/>
        <v/>
      </c>
      <c r="W47" s="109" t="str">
        <f t="shared" si="280"/>
        <v/>
      </c>
      <c r="X47" s="109" t="str">
        <f t="shared" si="280"/>
        <v/>
      </c>
      <c r="Y47" s="109" t="str">
        <f t="shared" si="280"/>
        <v/>
      </c>
      <c r="Z47" s="109" t="str">
        <f t="shared" si="280"/>
        <v/>
      </c>
      <c r="AA47" s="109" t="str">
        <f t="shared" si="280"/>
        <v/>
      </c>
      <c r="AB47" s="109" t="str">
        <f t="shared" si="280"/>
        <v/>
      </c>
      <c r="AC47" s="109" t="str">
        <f t="shared" si="280"/>
        <v/>
      </c>
      <c r="AD47" s="109" t="str">
        <f t="shared" si="280"/>
        <v/>
      </c>
      <c r="AE47" s="109" t="str">
        <f t="shared" si="280"/>
        <v/>
      </c>
      <c r="AF47" s="109" t="str">
        <f t="shared" si="280"/>
        <v/>
      </c>
      <c r="AG47" s="109" t="str">
        <f t="shared" si="280"/>
        <v/>
      </c>
      <c r="AH47" s="109" t="str">
        <f t="shared" si="280"/>
        <v/>
      </c>
      <c r="AI47" s="109" t="str">
        <f t="shared" si="280"/>
        <v/>
      </c>
      <c r="AJ47" s="109" t="str">
        <f t="shared" si="280"/>
        <v/>
      </c>
      <c r="AK47" s="109" t="str">
        <f t="shared" si="280"/>
        <v/>
      </c>
      <c r="AL47" s="109" t="str">
        <f t="shared" si="280"/>
        <v/>
      </c>
      <c r="AM47" s="109" t="str">
        <f t="shared" si="280"/>
        <v/>
      </c>
      <c r="AN47" s="109" t="str">
        <f t="shared" si="280"/>
        <v/>
      </c>
      <c r="AO47" s="109" t="str">
        <f t="shared" si="280"/>
        <v/>
      </c>
      <c r="AP47" s="109" t="str">
        <f t="shared" si="280"/>
        <v/>
      </c>
      <c r="AQ47" s="109" t="str">
        <f t="shared" si="280"/>
        <v/>
      </c>
      <c r="AR47" s="109" t="str">
        <f t="shared" si="280"/>
        <v/>
      </c>
      <c r="AS47" s="109" t="str">
        <f t="shared" si="280"/>
        <v/>
      </c>
      <c r="AT47" s="109" t="str">
        <f t="shared" si="280"/>
        <v/>
      </c>
      <c r="AU47" s="109" t="str">
        <f t="shared" si="280"/>
        <v/>
      </c>
      <c r="AV47" s="109" t="str">
        <f t="shared" si="280"/>
        <v/>
      </c>
      <c r="AW47" s="109" t="str">
        <f t="shared" si="280"/>
        <v/>
      </c>
      <c r="AX47" s="109">
        <f t="shared" si="280"/>
        <v>5</v>
      </c>
      <c r="AY47" s="109">
        <f t="shared" si="280"/>
        <v>5</v>
      </c>
      <c r="AZ47" s="109">
        <f t="shared" si="280"/>
        <v>5</v>
      </c>
      <c r="BA47" s="109">
        <f t="shared" si="280"/>
        <v>5</v>
      </c>
      <c r="BB47" s="109">
        <f t="shared" si="280"/>
        <v>5</v>
      </c>
      <c r="BC47" s="109">
        <f t="shared" si="280"/>
        <v>5</v>
      </c>
      <c r="BD47" s="109">
        <f t="shared" si="280"/>
        <v>5</v>
      </c>
      <c r="BE47" s="109">
        <f t="shared" si="280"/>
        <v>5</v>
      </c>
      <c r="BF47" s="109">
        <f t="shared" si="280"/>
        <v>5</v>
      </c>
      <c r="BG47" s="109">
        <f t="shared" si="280"/>
        <v>5</v>
      </c>
      <c r="BH47" s="109">
        <f t="shared" si="280"/>
        <v>5</v>
      </c>
      <c r="BI47" s="109">
        <f t="shared" si="280"/>
        <v>5</v>
      </c>
      <c r="BJ47" s="109">
        <f t="shared" si="280"/>
        <v>5</v>
      </c>
      <c r="BK47" s="109">
        <f t="shared" si="280"/>
        <v>5</v>
      </c>
      <c r="BL47" s="109">
        <f t="shared" si="280"/>
        <v>5</v>
      </c>
      <c r="BM47" s="109">
        <f t="shared" si="280"/>
        <v>5</v>
      </c>
      <c r="BN47" s="109">
        <f t="shared" si="280"/>
        <v>5</v>
      </c>
      <c r="BO47" s="109">
        <f t="shared" si="280"/>
        <v>5</v>
      </c>
      <c r="BP47" s="109">
        <f t="shared" si="280"/>
        <v>5</v>
      </c>
      <c r="BQ47" s="109">
        <f t="shared" si="280"/>
        <v>5</v>
      </c>
      <c r="BR47" s="109">
        <f t="shared" si="280"/>
        <v>5</v>
      </c>
      <c r="BS47" s="109">
        <f t="shared" si="280"/>
        <v>5</v>
      </c>
      <c r="BT47" s="109">
        <f t="shared" si="280"/>
        <v>5</v>
      </c>
      <c r="BU47" s="109">
        <f t="shared" si="280"/>
        <v>5</v>
      </c>
      <c r="BV47" s="109">
        <f t="shared" si="280"/>
        <v>30</v>
      </c>
      <c r="BW47" s="109">
        <f t="shared" si="280"/>
        <v>30</v>
      </c>
      <c r="BX47" s="109">
        <f t="shared" si="280"/>
        <v>30</v>
      </c>
      <c r="BY47" s="109">
        <f t="shared" si="280"/>
        <v>30</v>
      </c>
      <c r="BZ47" s="109">
        <f t="shared" ref="BZ47:DV47" si="281">IF(AND(BZ$2&gt;=$B$42-26,BZ$2&lt;=$B$42-3),5,IF(OR(BZ$2=$B$42-2,BZ$2=$B$42-1,BZ$2=$B$42,BZ$2=$B$42+1),30,IF(OR(BZ$2=$B$42+2,BZ$2=$B$42+3),5,"")))</f>
        <v>5</v>
      </c>
      <c r="CA47" s="109">
        <f t="shared" si="281"/>
        <v>5</v>
      </c>
      <c r="CB47" s="109" t="str">
        <f t="shared" si="281"/>
        <v/>
      </c>
      <c r="CC47" s="109" t="str">
        <f t="shared" si="281"/>
        <v/>
      </c>
      <c r="CD47" s="109" t="str">
        <f t="shared" si="281"/>
        <v/>
      </c>
      <c r="CE47" s="109" t="str">
        <f t="shared" si="281"/>
        <v/>
      </c>
      <c r="CF47" s="109" t="str">
        <f t="shared" si="281"/>
        <v/>
      </c>
      <c r="CG47" s="109" t="str">
        <f t="shared" si="281"/>
        <v/>
      </c>
      <c r="CH47" s="109" t="str">
        <f t="shared" si="281"/>
        <v/>
      </c>
      <c r="CI47" s="109" t="str">
        <f t="shared" si="281"/>
        <v/>
      </c>
      <c r="CJ47" s="109" t="str">
        <f t="shared" si="281"/>
        <v/>
      </c>
      <c r="CK47" s="109" t="str">
        <f t="shared" si="281"/>
        <v/>
      </c>
      <c r="CL47" s="109" t="str">
        <f t="shared" si="281"/>
        <v/>
      </c>
      <c r="CM47" s="109" t="str">
        <f t="shared" si="281"/>
        <v/>
      </c>
      <c r="CN47" s="109" t="str">
        <f t="shared" si="281"/>
        <v/>
      </c>
      <c r="CO47" s="109" t="str">
        <f t="shared" si="281"/>
        <v/>
      </c>
      <c r="CP47" s="109" t="str">
        <f t="shared" si="281"/>
        <v/>
      </c>
      <c r="CQ47" s="109" t="str">
        <f t="shared" si="281"/>
        <v/>
      </c>
      <c r="CR47" s="109" t="str">
        <f t="shared" si="281"/>
        <v/>
      </c>
      <c r="CS47" s="109" t="str">
        <f t="shared" si="281"/>
        <v/>
      </c>
      <c r="CT47" s="109" t="str">
        <f t="shared" si="281"/>
        <v/>
      </c>
      <c r="CU47" s="109" t="str">
        <f t="shared" si="281"/>
        <v/>
      </c>
      <c r="CV47" s="109" t="str">
        <f t="shared" si="281"/>
        <v/>
      </c>
      <c r="CW47" s="109" t="str">
        <f t="shared" si="281"/>
        <v/>
      </c>
      <c r="CX47" s="109" t="str">
        <f t="shared" si="281"/>
        <v/>
      </c>
      <c r="CY47" s="109" t="str">
        <f t="shared" si="281"/>
        <v/>
      </c>
      <c r="CZ47" s="109" t="str">
        <f t="shared" si="281"/>
        <v/>
      </c>
      <c r="DA47" s="109" t="str">
        <f t="shared" si="281"/>
        <v/>
      </c>
      <c r="DB47" s="109" t="str">
        <f t="shared" si="281"/>
        <v/>
      </c>
      <c r="DC47" s="109" t="str">
        <f t="shared" si="281"/>
        <v/>
      </c>
      <c r="DD47" s="109" t="str">
        <f t="shared" si="281"/>
        <v/>
      </c>
      <c r="DE47" s="109" t="str">
        <f t="shared" si="281"/>
        <v/>
      </c>
      <c r="DF47" s="109" t="str">
        <f t="shared" si="281"/>
        <v/>
      </c>
      <c r="DG47" s="109" t="str">
        <f t="shared" si="281"/>
        <v/>
      </c>
      <c r="DH47" s="109" t="str">
        <f t="shared" si="281"/>
        <v/>
      </c>
      <c r="DI47" s="109" t="str">
        <f t="shared" si="281"/>
        <v/>
      </c>
      <c r="DJ47" s="109" t="str">
        <f t="shared" si="281"/>
        <v/>
      </c>
      <c r="DK47" s="109" t="str">
        <f t="shared" si="281"/>
        <v/>
      </c>
      <c r="DL47" s="109" t="str">
        <f t="shared" si="281"/>
        <v/>
      </c>
      <c r="DM47" s="109" t="str">
        <f t="shared" si="281"/>
        <v/>
      </c>
      <c r="DN47" s="109" t="str">
        <f t="shared" si="281"/>
        <v/>
      </c>
      <c r="DO47" s="109" t="str">
        <f t="shared" si="281"/>
        <v/>
      </c>
      <c r="DP47" s="109" t="str">
        <f t="shared" si="281"/>
        <v/>
      </c>
      <c r="DQ47" s="109" t="str">
        <f t="shared" si="281"/>
        <v/>
      </c>
      <c r="DR47" s="109" t="str">
        <f t="shared" si="281"/>
        <v/>
      </c>
      <c r="DS47" s="109" t="str">
        <f t="shared" si="281"/>
        <v/>
      </c>
      <c r="DT47" s="109" t="str">
        <f t="shared" si="281"/>
        <v/>
      </c>
      <c r="DU47" s="109" t="str">
        <f t="shared" si="281"/>
        <v/>
      </c>
      <c r="DV47" s="109" t="str">
        <f t="shared" si="281"/>
        <v/>
      </c>
    </row>
    <row r="48" spans="1:126" ht="13.5" customHeight="1">
      <c r="B48" s="198"/>
      <c r="E48" s="199"/>
      <c r="F48" s="199"/>
      <c r="G48" s="181" t="s">
        <v>69</v>
      </c>
      <c r="H48" s="199"/>
      <c r="I48" s="224"/>
      <c r="J48" s="203"/>
      <c r="K48" s="199"/>
      <c r="L48" s="199"/>
      <c r="M48" s="190">
        <f t="shared" ref="M48:BX48" ca="1" si="282">SUM(M43:M47)</f>
        <v>0</v>
      </c>
      <c r="N48" s="190">
        <f t="shared" ca="1" si="282"/>
        <v>0</v>
      </c>
      <c r="O48" s="190">
        <f t="shared" ca="1" si="282"/>
        <v>0</v>
      </c>
      <c r="P48" s="190">
        <f t="shared" ca="1" si="282"/>
        <v>0</v>
      </c>
      <c r="Q48" s="190">
        <f t="shared" ca="1" si="282"/>
        <v>0</v>
      </c>
      <c r="R48" s="190">
        <f t="shared" ca="1" si="282"/>
        <v>0</v>
      </c>
      <c r="S48" s="190">
        <f t="shared" ca="1" si="282"/>
        <v>0</v>
      </c>
      <c r="T48" s="190">
        <f t="shared" ca="1" si="282"/>
        <v>0</v>
      </c>
      <c r="U48" s="190">
        <f t="shared" ca="1" si="282"/>
        <v>0</v>
      </c>
      <c r="V48" s="190">
        <f t="shared" ca="1" si="282"/>
        <v>0</v>
      </c>
      <c r="W48" s="190">
        <f t="shared" ca="1" si="282"/>
        <v>0</v>
      </c>
      <c r="X48" s="190">
        <f t="shared" ca="1" si="282"/>
        <v>0</v>
      </c>
      <c r="Y48" s="190">
        <f t="shared" ca="1" si="282"/>
        <v>0</v>
      </c>
      <c r="Z48" s="190">
        <f t="shared" ca="1" si="282"/>
        <v>0</v>
      </c>
      <c r="AA48" s="190">
        <f t="shared" ca="1" si="282"/>
        <v>0</v>
      </c>
      <c r="AB48" s="190">
        <f t="shared" ca="1" si="282"/>
        <v>0</v>
      </c>
      <c r="AC48" s="190">
        <f t="shared" ca="1" si="282"/>
        <v>0</v>
      </c>
      <c r="AD48" s="190">
        <f t="shared" ca="1" si="282"/>
        <v>0</v>
      </c>
      <c r="AE48" s="190">
        <f t="shared" ca="1" si="282"/>
        <v>0</v>
      </c>
      <c r="AF48" s="190">
        <f t="shared" ca="1" si="282"/>
        <v>0</v>
      </c>
      <c r="AG48" s="190">
        <f t="shared" ca="1" si="282"/>
        <v>0</v>
      </c>
      <c r="AH48" s="190">
        <f t="shared" ca="1" si="282"/>
        <v>0</v>
      </c>
      <c r="AI48" s="190">
        <f t="shared" ca="1" si="282"/>
        <v>0</v>
      </c>
      <c r="AJ48" s="190">
        <f t="shared" ca="1" si="282"/>
        <v>0</v>
      </c>
      <c r="AK48" s="190">
        <f t="shared" ca="1" si="282"/>
        <v>0</v>
      </c>
      <c r="AL48" s="190">
        <f t="shared" ca="1" si="282"/>
        <v>0</v>
      </c>
      <c r="AM48" s="190">
        <f t="shared" ca="1" si="282"/>
        <v>0</v>
      </c>
      <c r="AN48" s="190">
        <f t="shared" ca="1" si="282"/>
        <v>0</v>
      </c>
      <c r="AO48" s="190">
        <f t="shared" ca="1" si="282"/>
        <v>0</v>
      </c>
      <c r="AP48" s="190">
        <f t="shared" ca="1" si="282"/>
        <v>0</v>
      </c>
      <c r="AQ48" s="190">
        <f t="shared" ca="1" si="282"/>
        <v>0</v>
      </c>
      <c r="AR48" s="190">
        <f t="shared" ca="1" si="282"/>
        <v>0</v>
      </c>
      <c r="AS48" s="190">
        <f t="shared" ca="1" si="282"/>
        <v>0</v>
      </c>
      <c r="AT48" s="190">
        <f t="shared" ca="1" si="282"/>
        <v>0</v>
      </c>
      <c r="AU48" s="190">
        <f t="shared" ca="1" si="282"/>
        <v>0</v>
      </c>
      <c r="AV48" s="190">
        <f t="shared" ca="1" si="282"/>
        <v>0</v>
      </c>
      <c r="AW48" s="190">
        <f t="shared" ca="1" si="282"/>
        <v>0</v>
      </c>
      <c r="AX48" s="190">
        <f t="shared" ca="1" si="282"/>
        <v>5</v>
      </c>
      <c r="AY48" s="190" t="e">
        <f t="shared" ca="1" si="282"/>
        <v>#VALUE!</v>
      </c>
      <c r="AZ48" s="190" t="e">
        <f t="shared" ca="1" si="282"/>
        <v>#VALUE!</v>
      </c>
      <c r="BA48" s="190" t="e">
        <f t="shared" ca="1" si="282"/>
        <v>#VALUE!</v>
      </c>
      <c r="BB48" s="190" t="e">
        <f t="shared" ca="1" si="282"/>
        <v>#VALUE!</v>
      </c>
      <c r="BC48" s="190" t="e">
        <f t="shared" ca="1" si="282"/>
        <v>#VALUE!</v>
      </c>
      <c r="BD48" s="190" t="e">
        <f t="shared" ca="1" si="282"/>
        <v>#VALUE!</v>
      </c>
      <c r="BE48" s="190" t="e">
        <f t="shared" ca="1" si="282"/>
        <v>#VALUE!</v>
      </c>
      <c r="BF48" s="190" t="e">
        <f t="shared" ca="1" si="282"/>
        <v>#VALUE!</v>
      </c>
      <c r="BG48" s="190" t="e">
        <f t="shared" ca="1" si="282"/>
        <v>#VALUE!</v>
      </c>
      <c r="BH48" s="190" t="e">
        <f t="shared" ca="1" si="282"/>
        <v>#VALUE!</v>
      </c>
      <c r="BI48" s="190" t="e">
        <f t="shared" ca="1" si="282"/>
        <v>#VALUE!</v>
      </c>
      <c r="BJ48" s="190" t="e">
        <f t="shared" ca="1" si="282"/>
        <v>#VALUE!</v>
      </c>
      <c r="BK48" s="190" t="e">
        <f t="shared" ca="1" si="282"/>
        <v>#VALUE!</v>
      </c>
      <c r="BL48" s="190" t="e">
        <f t="shared" ca="1" si="282"/>
        <v>#VALUE!</v>
      </c>
      <c r="BM48" s="190" t="e">
        <f t="shared" ca="1" si="282"/>
        <v>#VALUE!</v>
      </c>
      <c r="BN48" s="190" t="e">
        <f t="shared" ca="1" si="282"/>
        <v>#VALUE!</v>
      </c>
      <c r="BO48" s="190" t="e">
        <f t="shared" ca="1" si="282"/>
        <v>#VALUE!</v>
      </c>
      <c r="BP48" s="190" t="e">
        <f t="shared" ca="1" si="282"/>
        <v>#VALUE!</v>
      </c>
      <c r="BQ48" s="190" t="e">
        <f t="shared" ca="1" si="282"/>
        <v>#VALUE!</v>
      </c>
      <c r="BR48" s="190" t="e">
        <f t="shared" ca="1" si="282"/>
        <v>#VALUE!</v>
      </c>
      <c r="BS48" s="190" t="e">
        <f t="shared" ca="1" si="282"/>
        <v>#VALUE!</v>
      </c>
      <c r="BT48" s="190" t="e">
        <f t="shared" ca="1" si="282"/>
        <v>#VALUE!</v>
      </c>
      <c r="BU48" s="190">
        <f t="shared" ca="1" si="282"/>
        <v>5</v>
      </c>
      <c r="BV48" s="190">
        <f t="shared" ca="1" si="282"/>
        <v>30</v>
      </c>
      <c r="BW48" s="190">
        <f t="shared" ca="1" si="282"/>
        <v>30</v>
      </c>
      <c r="BX48" s="190">
        <f t="shared" ca="1" si="282"/>
        <v>30</v>
      </c>
      <c r="BY48" s="190">
        <f t="shared" ref="BY48:CT48" ca="1" si="283">SUM(BY43:BY47)</f>
        <v>30</v>
      </c>
      <c r="BZ48" s="190">
        <f t="shared" ca="1" si="283"/>
        <v>5</v>
      </c>
      <c r="CA48" s="190">
        <f t="shared" ca="1" si="283"/>
        <v>5</v>
      </c>
      <c r="CB48" s="190">
        <f t="shared" ca="1" si="283"/>
        <v>0</v>
      </c>
      <c r="CC48" s="190">
        <f t="shared" ca="1" si="283"/>
        <v>0</v>
      </c>
      <c r="CD48" s="190">
        <f t="shared" ca="1" si="283"/>
        <v>0</v>
      </c>
      <c r="CE48" s="190">
        <f t="shared" ca="1" si="283"/>
        <v>0</v>
      </c>
      <c r="CF48" s="190">
        <f t="shared" ca="1" si="283"/>
        <v>0</v>
      </c>
      <c r="CG48" s="190">
        <f t="shared" ca="1" si="283"/>
        <v>0</v>
      </c>
      <c r="CH48" s="190">
        <f t="shared" ca="1" si="283"/>
        <v>0</v>
      </c>
      <c r="CI48" s="190">
        <f t="shared" ca="1" si="283"/>
        <v>0</v>
      </c>
      <c r="CJ48" s="190">
        <f t="shared" ca="1" si="283"/>
        <v>0</v>
      </c>
      <c r="CK48" s="190">
        <f t="shared" ca="1" si="283"/>
        <v>0</v>
      </c>
      <c r="CL48" s="190">
        <f t="shared" ca="1" si="283"/>
        <v>0</v>
      </c>
      <c r="CM48" s="190">
        <f t="shared" ca="1" si="283"/>
        <v>0</v>
      </c>
      <c r="CN48" s="190">
        <f t="shared" ca="1" si="283"/>
        <v>0</v>
      </c>
      <c r="CO48" s="190">
        <f t="shared" ca="1" si="283"/>
        <v>0</v>
      </c>
      <c r="CP48" s="190">
        <f t="shared" ca="1" si="283"/>
        <v>0</v>
      </c>
      <c r="CQ48" s="190">
        <f t="shared" ca="1" si="283"/>
        <v>0</v>
      </c>
      <c r="CR48" s="190">
        <f t="shared" ca="1" si="283"/>
        <v>0</v>
      </c>
      <c r="CS48" s="190">
        <f t="shared" ca="1" si="283"/>
        <v>0</v>
      </c>
      <c r="CT48" s="190">
        <f t="shared" ca="1" si="283"/>
        <v>0</v>
      </c>
      <c r="CU48" s="190">
        <f t="shared" ref="CU48:DV48" ca="1" si="284">SUM(CU43:CU47)</f>
        <v>0</v>
      </c>
      <c r="CV48" s="190">
        <f t="shared" ca="1" si="284"/>
        <v>0</v>
      </c>
      <c r="CW48" s="190">
        <f t="shared" ca="1" si="284"/>
        <v>0</v>
      </c>
      <c r="CX48" s="190">
        <f t="shared" ca="1" si="284"/>
        <v>0</v>
      </c>
      <c r="CY48" s="190">
        <f t="shared" ca="1" si="284"/>
        <v>0</v>
      </c>
      <c r="CZ48" s="190">
        <f t="shared" ca="1" si="284"/>
        <v>0</v>
      </c>
      <c r="DA48" s="190">
        <f t="shared" ca="1" si="284"/>
        <v>0</v>
      </c>
      <c r="DB48" s="190">
        <f t="shared" ca="1" si="284"/>
        <v>0</v>
      </c>
      <c r="DC48" s="190">
        <f t="shared" ca="1" si="284"/>
        <v>0</v>
      </c>
      <c r="DD48" s="190">
        <f t="shared" ca="1" si="284"/>
        <v>0</v>
      </c>
      <c r="DE48" s="190">
        <f t="shared" ca="1" si="284"/>
        <v>0</v>
      </c>
      <c r="DF48" s="190">
        <f t="shared" ca="1" si="284"/>
        <v>0</v>
      </c>
      <c r="DG48" s="190">
        <f t="shared" ca="1" si="284"/>
        <v>0</v>
      </c>
      <c r="DH48" s="190">
        <f t="shared" ca="1" si="284"/>
        <v>0</v>
      </c>
      <c r="DI48" s="190">
        <f t="shared" ca="1" si="284"/>
        <v>0</v>
      </c>
      <c r="DJ48" s="190">
        <f t="shared" ca="1" si="284"/>
        <v>0</v>
      </c>
      <c r="DK48" s="190">
        <f t="shared" ca="1" si="284"/>
        <v>0</v>
      </c>
      <c r="DL48" s="190">
        <f t="shared" ca="1" si="284"/>
        <v>0</v>
      </c>
      <c r="DM48" s="190">
        <f t="shared" ca="1" si="284"/>
        <v>0</v>
      </c>
      <c r="DN48" s="190">
        <f t="shared" ca="1" si="284"/>
        <v>0</v>
      </c>
      <c r="DO48" s="190">
        <f t="shared" ca="1" si="284"/>
        <v>0</v>
      </c>
      <c r="DP48" s="190">
        <f t="shared" ca="1" si="284"/>
        <v>0</v>
      </c>
      <c r="DQ48" s="190">
        <f t="shared" ca="1" si="284"/>
        <v>0</v>
      </c>
      <c r="DR48" s="190">
        <f t="shared" ca="1" si="284"/>
        <v>0</v>
      </c>
      <c r="DS48" s="190">
        <f t="shared" ca="1" si="284"/>
        <v>0</v>
      </c>
      <c r="DT48" s="190">
        <f t="shared" ca="1" si="284"/>
        <v>0</v>
      </c>
      <c r="DU48" s="190">
        <f t="shared" ca="1" si="284"/>
        <v>0</v>
      </c>
      <c r="DV48" s="190">
        <f t="shared" ca="1" si="284"/>
        <v>0</v>
      </c>
    </row>
    <row r="50" spans="1:126" s="180" customFormat="1" ht="27">
      <c r="A50" s="464" t="s">
        <v>75</v>
      </c>
      <c r="B50" s="509">
        <f>IF(LEN('BESS 12'!F276)=5,'BESS 12'!F276,(IF('BESS 12'!F276="Completed"," ",DATEVALUE(RIGHT('BESS 12'!F276,6)))))</f>
        <v>46282</v>
      </c>
      <c r="C50" s="509">
        <f>IF(LEN('BESS 12'!G276)=5,'BESS 12'!G276,(IF('BESS 12'!G276="Completed"," ",DATEVALUE(RIGHT('BESS 12'!G276,6)))))</f>
        <v>46287</v>
      </c>
      <c r="D50" s="455">
        <f>IF(LEN('BESS 12'!H276)=5,'BESS 12'!H276,(IF('BESS 12'!H276="Completed"," ",DATEVALUE(RIGHT('BESS 12'!H276,6)))))</f>
        <v>46290</v>
      </c>
      <c r="E50" s="226" t="s">
        <v>10</v>
      </c>
      <c r="F50" s="217" t="s">
        <v>58</v>
      </c>
      <c r="G50" s="217" t="s">
        <v>78</v>
      </c>
      <c r="H50" s="217" t="s">
        <v>87</v>
      </c>
      <c r="I50" s="217" t="s">
        <v>59</v>
      </c>
      <c r="J50" s="129"/>
      <c r="K50" s="216" t="s">
        <v>80</v>
      </c>
      <c r="L50" s="216" t="s">
        <v>62</v>
      </c>
      <c r="M50" s="218">
        <v>46195</v>
      </c>
      <c r="N50" s="218">
        <v>46196</v>
      </c>
      <c r="O50" s="218">
        <v>46197</v>
      </c>
      <c r="P50" s="218">
        <f t="shared" ref="P50:CA50" si="285">O50+1</f>
        <v>46198</v>
      </c>
      <c r="Q50" s="218">
        <f t="shared" si="285"/>
        <v>46199</v>
      </c>
      <c r="R50" s="218">
        <f t="shared" si="285"/>
        <v>46200</v>
      </c>
      <c r="S50" s="218">
        <f t="shared" si="285"/>
        <v>46201</v>
      </c>
      <c r="T50" s="218">
        <f t="shared" si="285"/>
        <v>46202</v>
      </c>
      <c r="U50" s="218">
        <f t="shared" si="285"/>
        <v>46203</v>
      </c>
      <c r="V50" s="218">
        <f t="shared" si="285"/>
        <v>46204</v>
      </c>
      <c r="W50" s="218">
        <f t="shared" si="285"/>
        <v>46205</v>
      </c>
      <c r="X50" s="218">
        <f t="shared" si="285"/>
        <v>46206</v>
      </c>
      <c r="Y50" s="218">
        <f t="shared" si="285"/>
        <v>46207</v>
      </c>
      <c r="Z50" s="218">
        <f t="shared" si="285"/>
        <v>46208</v>
      </c>
      <c r="AA50" s="218">
        <f t="shared" si="285"/>
        <v>46209</v>
      </c>
      <c r="AB50" s="218">
        <f t="shared" si="285"/>
        <v>46210</v>
      </c>
      <c r="AC50" s="218">
        <f t="shared" si="285"/>
        <v>46211</v>
      </c>
      <c r="AD50" s="218">
        <f t="shared" si="285"/>
        <v>46212</v>
      </c>
      <c r="AE50" s="218">
        <f t="shared" si="285"/>
        <v>46213</v>
      </c>
      <c r="AF50" s="218">
        <f t="shared" si="285"/>
        <v>46214</v>
      </c>
      <c r="AG50" s="218">
        <f t="shared" si="285"/>
        <v>46215</v>
      </c>
      <c r="AH50" s="218">
        <f t="shared" si="285"/>
        <v>46216</v>
      </c>
      <c r="AI50" s="218">
        <f t="shared" si="285"/>
        <v>46217</v>
      </c>
      <c r="AJ50" s="218">
        <f t="shared" si="285"/>
        <v>46218</v>
      </c>
      <c r="AK50" s="218">
        <f t="shared" si="285"/>
        <v>46219</v>
      </c>
      <c r="AL50" s="218">
        <f t="shared" si="285"/>
        <v>46220</v>
      </c>
      <c r="AM50" s="218">
        <f t="shared" si="285"/>
        <v>46221</v>
      </c>
      <c r="AN50" s="218">
        <f t="shared" si="285"/>
        <v>46222</v>
      </c>
      <c r="AO50" s="218">
        <f t="shared" si="285"/>
        <v>46223</v>
      </c>
      <c r="AP50" s="218">
        <f t="shared" si="285"/>
        <v>46224</v>
      </c>
      <c r="AQ50" s="218">
        <f t="shared" si="285"/>
        <v>46225</v>
      </c>
      <c r="AR50" s="218">
        <f t="shared" si="285"/>
        <v>46226</v>
      </c>
      <c r="AS50" s="218">
        <f t="shared" si="285"/>
        <v>46227</v>
      </c>
      <c r="AT50" s="218">
        <f t="shared" si="285"/>
        <v>46228</v>
      </c>
      <c r="AU50" s="218">
        <f t="shared" si="285"/>
        <v>46229</v>
      </c>
      <c r="AV50" s="218">
        <f t="shared" si="285"/>
        <v>46230</v>
      </c>
      <c r="AW50" s="218">
        <f t="shared" si="285"/>
        <v>46231</v>
      </c>
      <c r="AX50" s="218">
        <f t="shared" si="285"/>
        <v>46232</v>
      </c>
      <c r="AY50" s="218">
        <f t="shared" si="285"/>
        <v>46233</v>
      </c>
      <c r="AZ50" s="218">
        <f t="shared" si="285"/>
        <v>46234</v>
      </c>
      <c r="BA50" s="218">
        <f t="shared" si="285"/>
        <v>46235</v>
      </c>
      <c r="BB50" s="218">
        <f t="shared" si="285"/>
        <v>46236</v>
      </c>
      <c r="BC50" s="218">
        <f t="shared" si="285"/>
        <v>46237</v>
      </c>
      <c r="BD50" s="218">
        <f t="shared" si="285"/>
        <v>46238</v>
      </c>
      <c r="BE50" s="218">
        <f t="shared" si="285"/>
        <v>46239</v>
      </c>
      <c r="BF50" s="218">
        <f t="shared" si="285"/>
        <v>46240</v>
      </c>
      <c r="BG50" s="218">
        <f t="shared" si="285"/>
        <v>46241</v>
      </c>
      <c r="BH50" s="218">
        <f t="shared" si="285"/>
        <v>46242</v>
      </c>
      <c r="BI50" s="218">
        <f t="shared" si="285"/>
        <v>46243</v>
      </c>
      <c r="BJ50" s="218">
        <f t="shared" si="285"/>
        <v>46244</v>
      </c>
      <c r="BK50" s="218">
        <f t="shared" si="285"/>
        <v>46245</v>
      </c>
      <c r="BL50" s="218">
        <f t="shared" si="285"/>
        <v>46246</v>
      </c>
      <c r="BM50" s="218">
        <f t="shared" si="285"/>
        <v>46247</v>
      </c>
      <c r="BN50" s="218">
        <f t="shared" si="285"/>
        <v>46248</v>
      </c>
      <c r="BO50" s="218">
        <f t="shared" si="285"/>
        <v>46249</v>
      </c>
      <c r="BP50" s="218">
        <f t="shared" si="285"/>
        <v>46250</v>
      </c>
      <c r="BQ50" s="218">
        <f t="shared" si="285"/>
        <v>46251</v>
      </c>
      <c r="BR50" s="218">
        <f t="shared" si="285"/>
        <v>46252</v>
      </c>
      <c r="BS50" s="218">
        <f t="shared" si="285"/>
        <v>46253</v>
      </c>
      <c r="BT50" s="218">
        <f t="shared" si="285"/>
        <v>46254</v>
      </c>
      <c r="BU50" s="218">
        <f t="shared" si="285"/>
        <v>46255</v>
      </c>
      <c r="BV50" s="218">
        <f t="shared" si="285"/>
        <v>46256</v>
      </c>
      <c r="BW50" s="218">
        <f t="shared" si="285"/>
        <v>46257</v>
      </c>
      <c r="BX50" s="218">
        <f t="shared" si="285"/>
        <v>46258</v>
      </c>
      <c r="BY50" s="218">
        <f t="shared" si="285"/>
        <v>46259</v>
      </c>
      <c r="BZ50" s="218">
        <f t="shared" si="285"/>
        <v>46260</v>
      </c>
      <c r="CA50" s="218">
        <f t="shared" si="285"/>
        <v>46261</v>
      </c>
      <c r="CB50" s="218">
        <f t="shared" ref="CB50:CT50" si="286">CA50+1</f>
        <v>46262</v>
      </c>
      <c r="CC50" s="218">
        <f t="shared" si="286"/>
        <v>46263</v>
      </c>
      <c r="CD50" s="218">
        <f t="shared" si="286"/>
        <v>46264</v>
      </c>
      <c r="CE50" s="218">
        <f t="shared" si="286"/>
        <v>46265</v>
      </c>
      <c r="CF50" s="218">
        <f t="shared" si="286"/>
        <v>46266</v>
      </c>
      <c r="CG50" s="218">
        <f t="shared" si="286"/>
        <v>46267</v>
      </c>
      <c r="CH50" s="218">
        <f t="shared" si="286"/>
        <v>46268</v>
      </c>
      <c r="CI50" s="218">
        <f t="shared" si="286"/>
        <v>46269</v>
      </c>
      <c r="CJ50" s="218">
        <f t="shared" si="286"/>
        <v>46270</v>
      </c>
      <c r="CK50" s="218">
        <f t="shared" si="286"/>
        <v>46271</v>
      </c>
      <c r="CL50" s="218">
        <f t="shared" si="286"/>
        <v>46272</v>
      </c>
      <c r="CM50" s="218">
        <f t="shared" si="286"/>
        <v>46273</v>
      </c>
      <c r="CN50" s="218">
        <f t="shared" si="286"/>
        <v>46274</v>
      </c>
      <c r="CO50" s="218">
        <f t="shared" si="286"/>
        <v>46275</v>
      </c>
      <c r="CP50" s="218">
        <f t="shared" si="286"/>
        <v>46276</v>
      </c>
      <c r="CQ50" s="218">
        <f t="shared" si="286"/>
        <v>46277</v>
      </c>
      <c r="CR50" s="218">
        <f t="shared" si="286"/>
        <v>46278</v>
      </c>
      <c r="CS50" s="218">
        <f t="shared" si="286"/>
        <v>46279</v>
      </c>
      <c r="CT50" s="218">
        <f t="shared" si="286"/>
        <v>46280</v>
      </c>
      <c r="CU50" s="218">
        <f t="shared" ref="CU50" si="287">CT50+1</f>
        <v>46281</v>
      </c>
      <c r="CV50" s="218">
        <f t="shared" ref="CV50" si="288">CU50+1</f>
        <v>46282</v>
      </c>
      <c r="CW50" s="218">
        <f t="shared" ref="CW50" si="289">CV50+1</f>
        <v>46283</v>
      </c>
      <c r="CX50" s="218">
        <f t="shared" ref="CX50" si="290">CW50+1</f>
        <v>46284</v>
      </c>
      <c r="CY50" s="218">
        <f t="shared" ref="CY50" si="291">CX50+1</f>
        <v>46285</v>
      </c>
      <c r="CZ50" s="218">
        <f t="shared" ref="CZ50" si="292">CY50+1</f>
        <v>46286</v>
      </c>
      <c r="DA50" s="218">
        <f t="shared" ref="DA50" si="293">CZ50+1</f>
        <v>46287</v>
      </c>
      <c r="DB50" s="218">
        <f t="shared" ref="DB50" si="294">DA50+1</f>
        <v>46288</v>
      </c>
      <c r="DC50" s="218">
        <f t="shared" ref="DC50" si="295">DB50+1</f>
        <v>46289</v>
      </c>
      <c r="DD50" s="218">
        <f t="shared" ref="DD50" si="296">DC50+1</f>
        <v>46290</v>
      </c>
      <c r="DE50" s="218">
        <f t="shared" ref="DE50" si="297">DD50+1</f>
        <v>46291</v>
      </c>
      <c r="DF50" s="218">
        <f t="shared" ref="DF50" si="298">DE50+1</f>
        <v>46292</v>
      </c>
      <c r="DG50" s="218">
        <f t="shared" ref="DG50" si="299">DF50+1</f>
        <v>46293</v>
      </c>
      <c r="DH50" s="218">
        <f t="shared" ref="DH50" si="300">DG50+1</f>
        <v>46294</v>
      </c>
      <c r="DI50" s="218">
        <f t="shared" ref="DI50" si="301">DH50+1</f>
        <v>46295</v>
      </c>
      <c r="DJ50" s="218">
        <f t="shared" ref="DJ50" si="302">DI50+1</f>
        <v>46296</v>
      </c>
      <c r="DK50" s="218">
        <f t="shared" ref="DK50" si="303">DJ50+1</f>
        <v>46297</v>
      </c>
      <c r="DL50" s="218">
        <f t="shared" ref="DL50" si="304">DK50+1</f>
        <v>46298</v>
      </c>
      <c r="DM50" s="218">
        <f t="shared" ref="DM50" si="305">DL50+1</f>
        <v>46299</v>
      </c>
      <c r="DN50" s="218">
        <f t="shared" ref="DN50" si="306">DM50+1</f>
        <v>46300</v>
      </c>
      <c r="DO50" s="218">
        <f t="shared" ref="DO50" si="307">DN50+1</f>
        <v>46301</v>
      </c>
      <c r="DP50" s="218">
        <f t="shared" ref="DP50" si="308">DO50+1</f>
        <v>46302</v>
      </c>
      <c r="DQ50" s="218">
        <f t="shared" ref="DQ50" si="309">DP50+1</f>
        <v>46303</v>
      </c>
      <c r="DR50" s="218">
        <f t="shared" ref="DR50" si="310">DQ50+1</f>
        <v>46304</v>
      </c>
      <c r="DS50" s="218">
        <f t="shared" ref="DS50" si="311">DR50+1</f>
        <v>46305</v>
      </c>
      <c r="DT50" s="218">
        <f t="shared" ref="DT50" si="312">DS50+1</f>
        <v>46306</v>
      </c>
      <c r="DU50" s="218">
        <f t="shared" ref="DU50" si="313">DT50+1</f>
        <v>46307</v>
      </c>
      <c r="DV50" s="218">
        <f t="shared" ref="DV50" si="314">DU50+1</f>
        <v>46308</v>
      </c>
    </row>
    <row r="51" spans="1:126">
      <c r="A51" s="464"/>
      <c r="B51" s="509"/>
      <c r="C51" s="509"/>
      <c r="D51" s="456"/>
      <c r="E51" s="185" t="s">
        <v>64</v>
      </c>
      <c r="F51" s="66" t="e">
        <f>SUM('BESS 12'!S289:S296,'BESS 12'!S298)</f>
        <v>#VALUE!</v>
      </c>
      <c r="G51" s="182">
        <f ca="1">TODAY()</f>
        <v>46233</v>
      </c>
      <c r="H51" s="162">
        <f>MAX('BESS 12'!O289:O295)</f>
        <v>46241</v>
      </c>
      <c r="I51" s="66">
        <f t="shared" ref="I51:I53" ca="1" si="315">H51-G51</f>
        <v>8</v>
      </c>
      <c r="J51" s="444">
        <f ca="1">K51*1.2</f>
        <v>21</v>
      </c>
      <c r="K51" s="506">
        <f ca="1">AVERAGEIF(M56:CT56,"&gt;0")</f>
        <v>17.5</v>
      </c>
      <c r="L51" s="506" t="e">
        <f ca="1">MAX(M56:CT56)</f>
        <v>#VALUE!</v>
      </c>
      <c r="M51" s="65" t="str">
        <f t="shared" ref="M51:AB54" ca="1" si="316">IF(AND(M$2&gt;=$G51,M$2&lt;($G51+$I51)),ROUND($F51/$I51,0),"-")</f>
        <v>-</v>
      </c>
      <c r="N51" s="65" t="str">
        <f t="shared" ca="1" si="316"/>
        <v>-</v>
      </c>
      <c r="O51" s="65" t="str">
        <f t="shared" ca="1" si="316"/>
        <v>-</v>
      </c>
      <c r="P51" s="65" t="str">
        <f t="shared" ca="1" si="316"/>
        <v>-</v>
      </c>
      <c r="Q51" s="65" t="str">
        <f t="shared" ca="1" si="316"/>
        <v>-</v>
      </c>
      <c r="R51" s="65" t="str">
        <f t="shared" ca="1" si="316"/>
        <v>-</v>
      </c>
      <c r="S51" s="65" t="str">
        <f t="shared" ca="1" si="316"/>
        <v>-</v>
      </c>
      <c r="T51" s="65" t="str">
        <f t="shared" ca="1" si="316"/>
        <v>-</v>
      </c>
      <c r="U51" s="65" t="str">
        <f t="shared" ca="1" si="316"/>
        <v>-</v>
      </c>
      <c r="V51" s="65" t="str">
        <f t="shared" ca="1" si="316"/>
        <v>-</v>
      </c>
      <c r="W51" s="65" t="str">
        <f t="shared" ca="1" si="316"/>
        <v>-</v>
      </c>
      <c r="X51" s="65" t="str">
        <f t="shared" ca="1" si="316"/>
        <v>-</v>
      </c>
      <c r="Y51" s="65" t="str">
        <f t="shared" ca="1" si="316"/>
        <v>-</v>
      </c>
      <c r="Z51" s="65" t="str">
        <f t="shared" ca="1" si="316"/>
        <v>-</v>
      </c>
      <c r="AA51" s="65" t="str">
        <f t="shared" ca="1" si="316"/>
        <v>-</v>
      </c>
      <c r="AB51" s="65" t="str">
        <f t="shared" ca="1" si="316"/>
        <v>-</v>
      </c>
      <c r="AC51" s="65" t="str">
        <f t="shared" ref="AC51:AR54" ca="1" si="317">IF(AND(AC$2&gt;=$G51,AC$2&lt;($G51+$I51)),ROUND($F51/$I51,0),"-")</f>
        <v>-</v>
      </c>
      <c r="AD51" s="65" t="str">
        <f t="shared" ca="1" si="317"/>
        <v>-</v>
      </c>
      <c r="AE51" s="65" t="str">
        <f t="shared" ca="1" si="317"/>
        <v>-</v>
      </c>
      <c r="AF51" s="65" t="str">
        <f t="shared" ca="1" si="317"/>
        <v>-</v>
      </c>
      <c r="AG51" s="65" t="str">
        <f t="shared" ca="1" si="317"/>
        <v>-</v>
      </c>
      <c r="AH51" s="65" t="str">
        <f t="shared" ca="1" si="317"/>
        <v>-</v>
      </c>
      <c r="AI51" s="65" t="str">
        <f t="shared" ca="1" si="317"/>
        <v>-</v>
      </c>
      <c r="AJ51" s="65" t="str">
        <f t="shared" ca="1" si="317"/>
        <v>-</v>
      </c>
      <c r="AK51" s="65" t="str">
        <f t="shared" ca="1" si="317"/>
        <v>-</v>
      </c>
      <c r="AL51" s="65" t="str">
        <f t="shared" ca="1" si="317"/>
        <v>-</v>
      </c>
      <c r="AM51" s="65" t="str">
        <f t="shared" ca="1" si="317"/>
        <v>-</v>
      </c>
      <c r="AN51" s="65" t="str">
        <f t="shared" ca="1" si="317"/>
        <v>-</v>
      </c>
      <c r="AO51" s="65" t="str">
        <f t="shared" ca="1" si="317"/>
        <v>-</v>
      </c>
      <c r="AP51" s="65" t="str">
        <f t="shared" ca="1" si="317"/>
        <v>-</v>
      </c>
      <c r="AQ51" s="65" t="str">
        <f t="shared" ca="1" si="317"/>
        <v>-</v>
      </c>
      <c r="AR51" s="65" t="str">
        <f t="shared" ca="1" si="317"/>
        <v>-</v>
      </c>
      <c r="AS51" s="65" t="str">
        <f t="shared" ref="AS51:BH54" ca="1" si="318">IF(AND(AS$2&gt;=$G51,AS$2&lt;($G51+$I51)),ROUND($F51/$I51,0),"-")</f>
        <v>-</v>
      </c>
      <c r="AT51" s="65" t="str">
        <f t="shared" ca="1" si="318"/>
        <v>-</v>
      </c>
      <c r="AU51" s="65" t="str">
        <f t="shared" ca="1" si="318"/>
        <v>-</v>
      </c>
      <c r="AV51" s="65" t="str">
        <f t="shared" ca="1" si="318"/>
        <v>-</v>
      </c>
      <c r="AW51" s="65" t="str">
        <f t="shared" ca="1" si="318"/>
        <v>-</v>
      </c>
      <c r="AX51" s="65" t="str">
        <f t="shared" ca="1" si="318"/>
        <v>-</v>
      </c>
      <c r="AY51" s="65" t="e">
        <f t="shared" ca="1" si="318"/>
        <v>#VALUE!</v>
      </c>
      <c r="AZ51" s="65" t="e">
        <f t="shared" ca="1" si="318"/>
        <v>#VALUE!</v>
      </c>
      <c r="BA51" s="65" t="e">
        <f t="shared" ca="1" si="318"/>
        <v>#VALUE!</v>
      </c>
      <c r="BB51" s="65" t="e">
        <f t="shared" ca="1" si="318"/>
        <v>#VALUE!</v>
      </c>
      <c r="BC51" s="65" t="e">
        <f t="shared" ca="1" si="318"/>
        <v>#VALUE!</v>
      </c>
      <c r="BD51" s="65" t="e">
        <f t="shared" ca="1" si="318"/>
        <v>#VALUE!</v>
      </c>
      <c r="BE51" s="65" t="e">
        <f t="shared" ca="1" si="318"/>
        <v>#VALUE!</v>
      </c>
      <c r="BF51" s="65" t="e">
        <f t="shared" ca="1" si="318"/>
        <v>#VALUE!</v>
      </c>
      <c r="BG51" s="65" t="str">
        <f t="shared" ca="1" si="318"/>
        <v>-</v>
      </c>
      <c r="BH51" s="65" t="str">
        <f t="shared" ca="1" si="318"/>
        <v>-</v>
      </c>
      <c r="BI51" s="65" t="str">
        <f t="shared" ref="BI51:BX54" ca="1" si="319">IF(AND(BI$2&gt;=$G51,BI$2&lt;($G51+$I51)),ROUND($F51/$I51,0),"-")</f>
        <v>-</v>
      </c>
      <c r="BJ51" s="65" t="str">
        <f t="shared" ca="1" si="319"/>
        <v>-</v>
      </c>
      <c r="BK51" s="65" t="str">
        <f t="shared" ca="1" si="319"/>
        <v>-</v>
      </c>
      <c r="BL51" s="65" t="str">
        <f t="shared" ca="1" si="319"/>
        <v>-</v>
      </c>
      <c r="BM51" s="65" t="str">
        <f t="shared" ca="1" si="319"/>
        <v>-</v>
      </c>
      <c r="BN51" s="65" t="str">
        <f t="shared" ca="1" si="319"/>
        <v>-</v>
      </c>
      <c r="BO51" s="65" t="str">
        <f t="shared" ca="1" si="319"/>
        <v>-</v>
      </c>
      <c r="BP51" s="65" t="str">
        <f t="shared" ca="1" si="319"/>
        <v>-</v>
      </c>
      <c r="BQ51" s="65" t="str">
        <f t="shared" ca="1" si="319"/>
        <v>-</v>
      </c>
      <c r="BR51" s="65" t="str">
        <f t="shared" ca="1" si="319"/>
        <v>-</v>
      </c>
      <c r="BS51" s="65" t="str">
        <f t="shared" ca="1" si="319"/>
        <v>-</v>
      </c>
      <c r="BT51" s="65" t="str">
        <f t="shared" ca="1" si="319"/>
        <v>-</v>
      </c>
      <c r="BU51" s="65" t="str">
        <f t="shared" ca="1" si="319"/>
        <v>-</v>
      </c>
      <c r="BV51" s="65" t="str">
        <f t="shared" ca="1" si="319"/>
        <v>-</v>
      </c>
      <c r="BW51" s="65" t="str">
        <f t="shared" ca="1" si="319"/>
        <v>-</v>
      </c>
      <c r="BX51" s="65" t="str">
        <f t="shared" ca="1" si="319"/>
        <v>-</v>
      </c>
      <c r="BY51" s="65" t="str">
        <f t="shared" ref="BY51:CN54" ca="1" si="320">IF(AND(BY$2&gt;=$G51,BY$2&lt;($G51+$I51)),ROUND($F51/$I51,0),"-")</f>
        <v>-</v>
      </c>
      <c r="BZ51" s="65" t="str">
        <f t="shared" ca="1" si="320"/>
        <v>-</v>
      </c>
      <c r="CA51" s="65" t="str">
        <f t="shared" ca="1" si="320"/>
        <v>-</v>
      </c>
      <c r="CB51" s="65" t="str">
        <f t="shared" ca="1" si="320"/>
        <v>-</v>
      </c>
      <c r="CC51" s="65" t="str">
        <f t="shared" ca="1" si="320"/>
        <v>-</v>
      </c>
      <c r="CD51" s="65" t="str">
        <f t="shared" ca="1" si="320"/>
        <v>-</v>
      </c>
      <c r="CE51" s="65" t="str">
        <f t="shared" ca="1" si="320"/>
        <v>-</v>
      </c>
      <c r="CF51" s="65" t="str">
        <f t="shared" ca="1" si="320"/>
        <v>-</v>
      </c>
      <c r="CG51" s="65" t="str">
        <f t="shared" ca="1" si="320"/>
        <v>-</v>
      </c>
      <c r="CH51" s="65" t="str">
        <f t="shared" ca="1" si="320"/>
        <v>-</v>
      </c>
      <c r="CI51" s="65" t="str">
        <f t="shared" ca="1" si="320"/>
        <v>-</v>
      </c>
      <c r="CJ51" s="65" t="str">
        <f t="shared" ca="1" si="320"/>
        <v>-</v>
      </c>
      <c r="CK51" s="65" t="str">
        <f t="shared" ca="1" si="320"/>
        <v>-</v>
      </c>
      <c r="CL51" s="65" t="str">
        <f t="shared" ca="1" si="320"/>
        <v>-</v>
      </c>
      <c r="CM51" s="65" t="str">
        <f t="shared" ca="1" si="320"/>
        <v>-</v>
      </c>
      <c r="CN51" s="65" t="str">
        <f t="shared" ca="1" si="320"/>
        <v>-</v>
      </c>
      <c r="CO51" s="65" t="str">
        <f t="shared" ref="CO51:DD54" ca="1" si="321">IF(AND(CO$2&gt;=$G51,CO$2&lt;($G51+$I51)),ROUND($F51/$I51,0),"-")</f>
        <v>-</v>
      </c>
      <c r="CP51" s="65" t="str">
        <f t="shared" ca="1" si="321"/>
        <v>-</v>
      </c>
      <c r="CQ51" s="65" t="str">
        <f t="shared" ca="1" si="321"/>
        <v>-</v>
      </c>
      <c r="CR51" s="65" t="str">
        <f t="shared" ca="1" si="321"/>
        <v>-</v>
      </c>
      <c r="CS51" s="65" t="str">
        <f t="shared" ca="1" si="321"/>
        <v>-</v>
      </c>
      <c r="CT51" s="65" t="str">
        <f t="shared" ca="1" si="321"/>
        <v>-</v>
      </c>
      <c r="CU51" s="65" t="str">
        <f t="shared" ca="1" si="321"/>
        <v>-</v>
      </c>
      <c r="CV51" s="65" t="str">
        <f t="shared" ca="1" si="321"/>
        <v>-</v>
      </c>
      <c r="CW51" s="65" t="str">
        <f t="shared" ca="1" si="321"/>
        <v>-</v>
      </c>
      <c r="CX51" s="65" t="str">
        <f t="shared" ca="1" si="321"/>
        <v>-</v>
      </c>
      <c r="CY51" s="65" t="str">
        <f t="shared" ca="1" si="321"/>
        <v>-</v>
      </c>
      <c r="CZ51" s="65" t="str">
        <f t="shared" ca="1" si="321"/>
        <v>-</v>
      </c>
      <c r="DA51" s="65" t="str">
        <f t="shared" ca="1" si="321"/>
        <v>-</v>
      </c>
      <c r="DB51" s="65" t="str">
        <f t="shared" ca="1" si="321"/>
        <v>-</v>
      </c>
      <c r="DC51" s="65" t="str">
        <f t="shared" ca="1" si="321"/>
        <v>-</v>
      </c>
      <c r="DD51" s="65" t="str">
        <f t="shared" ca="1" si="321"/>
        <v>-</v>
      </c>
      <c r="DE51" s="65" t="str">
        <f t="shared" ref="CU51:DV54" ca="1" si="322">IF(AND(DE$2&gt;=$G51,DE$2&lt;($G51+$I51)),ROUND($F51/$I51,0),"-")</f>
        <v>-</v>
      </c>
      <c r="DF51" s="65" t="str">
        <f t="shared" ca="1" si="322"/>
        <v>-</v>
      </c>
      <c r="DG51" s="65" t="str">
        <f t="shared" ca="1" si="322"/>
        <v>-</v>
      </c>
      <c r="DH51" s="65" t="str">
        <f t="shared" ca="1" si="322"/>
        <v>-</v>
      </c>
      <c r="DI51" s="65" t="str">
        <f t="shared" ca="1" si="322"/>
        <v>-</v>
      </c>
      <c r="DJ51" s="65" t="str">
        <f t="shared" ca="1" si="322"/>
        <v>-</v>
      </c>
      <c r="DK51" s="65" t="str">
        <f t="shared" ca="1" si="322"/>
        <v>-</v>
      </c>
      <c r="DL51" s="65" t="str">
        <f t="shared" ca="1" si="322"/>
        <v>-</v>
      </c>
      <c r="DM51" s="65" t="str">
        <f t="shared" ca="1" si="322"/>
        <v>-</v>
      </c>
      <c r="DN51" s="65" t="str">
        <f t="shared" ca="1" si="322"/>
        <v>-</v>
      </c>
      <c r="DO51" s="65" t="str">
        <f t="shared" ca="1" si="322"/>
        <v>-</v>
      </c>
      <c r="DP51" s="65" t="str">
        <f t="shared" ca="1" si="322"/>
        <v>-</v>
      </c>
      <c r="DQ51" s="65" t="str">
        <f t="shared" ca="1" si="322"/>
        <v>-</v>
      </c>
      <c r="DR51" s="65" t="str">
        <f t="shared" ca="1" si="322"/>
        <v>-</v>
      </c>
      <c r="DS51" s="65" t="str">
        <f t="shared" ca="1" si="322"/>
        <v>-</v>
      </c>
      <c r="DT51" s="65" t="str">
        <f t="shared" ca="1" si="322"/>
        <v>-</v>
      </c>
      <c r="DU51" s="65" t="str">
        <f t="shared" ca="1" si="322"/>
        <v>-</v>
      </c>
      <c r="DV51" s="65" t="str">
        <f t="shared" ca="1" si="322"/>
        <v>-</v>
      </c>
    </row>
    <row r="52" spans="1:126">
      <c r="A52" s="464"/>
      <c r="B52" s="509"/>
      <c r="C52" s="509"/>
      <c r="D52" s="456"/>
      <c r="E52" s="185" t="s">
        <v>65</v>
      </c>
      <c r="F52" s="66" t="e">
        <f>SUM('BESS 12'!S299,'BESS 12'!S301:S302,'BESS 12'!S305:S307)</f>
        <v>#VALUE!</v>
      </c>
      <c r="G52" s="182">
        <f ca="1">TODAY()</f>
        <v>46233</v>
      </c>
      <c r="H52" s="162">
        <f>MAX('BESS 12'!O299,'BESS 12'!O301:O302,'BESS 12'!O305:O307)</f>
        <v>46243</v>
      </c>
      <c r="I52" s="66">
        <f t="shared" ca="1" si="315"/>
        <v>10</v>
      </c>
      <c r="J52" s="453"/>
      <c r="K52" s="507"/>
      <c r="L52" s="476"/>
      <c r="M52" s="65" t="str">
        <f t="shared" ca="1" si="316"/>
        <v>-</v>
      </c>
      <c r="N52" s="65" t="str">
        <f t="shared" ca="1" si="316"/>
        <v>-</v>
      </c>
      <c r="O52" s="65" t="str">
        <f t="shared" ca="1" si="316"/>
        <v>-</v>
      </c>
      <c r="P52" s="65" t="str">
        <f t="shared" ca="1" si="316"/>
        <v>-</v>
      </c>
      <c r="Q52" s="65" t="str">
        <f t="shared" ca="1" si="316"/>
        <v>-</v>
      </c>
      <c r="R52" s="65" t="str">
        <f t="shared" ca="1" si="316"/>
        <v>-</v>
      </c>
      <c r="S52" s="65" t="str">
        <f t="shared" ca="1" si="316"/>
        <v>-</v>
      </c>
      <c r="T52" s="65" t="str">
        <f t="shared" ca="1" si="316"/>
        <v>-</v>
      </c>
      <c r="U52" s="65" t="str">
        <f t="shared" ca="1" si="316"/>
        <v>-</v>
      </c>
      <c r="V52" s="65" t="str">
        <f t="shared" ca="1" si="316"/>
        <v>-</v>
      </c>
      <c r="W52" s="65" t="str">
        <f t="shared" ca="1" si="316"/>
        <v>-</v>
      </c>
      <c r="X52" s="65" t="str">
        <f t="shared" ca="1" si="316"/>
        <v>-</v>
      </c>
      <c r="Y52" s="65" t="str">
        <f t="shared" ca="1" si="316"/>
        <v>-</v>
      </c>
      <c r="Z52" s="65" t="str">
        <f t="shared" ca="1" si="316"/>
        <v>-</v>
      </c>
      <c r="AA52" s="65" t="str">
        <f t="shared" ca="1" si="316"/>
        <v>-</v>
      </c>
      <c r="AB52" s="65" t="str">
        <f t="shared" ca="1" si="316"/>
        <v>-</v>
      </c>
      <c r="AC52" s="65" t="str">
        <f t="shared" ca="1" si="317"/>
        <v>-</v>
      </c>
      <c r="AD52" s="65" t="str">
        <f t="shared" ca="1" si="317"/>
        <v>-</v>
      </c>
      <c r="AE52" s="65" t="str">
        <f t="shared" ca="1" si="317"/>
        <v>-</v>
      </c>
      <c r="AF52" s="65" t="str">
        <f t="shared" ca="1" si="317"/>
        <v>-</v>
      </c>
      <c r="AG52" s="65" t="str">
        <f t="shared" ca="1" si="317"/>
        <v>-</v>
      </c>
      <c r="AH52" s="65" t="str">
        <f t="shared" ca="1" si="317"/>
        <v>-</v>
      </c>
      <c r="AI52" s="65" t="str">
        <f t="shared" ca="1" si="317"/>
        <v>-</v>
      </c>
      <c r="AJ52" s="65" t="str">
        <f t="shared" ca="1" si="317"/>
        <v>-</v>
      </c>
      <c r="AK52" s="65" t="str">
        <f t="shared" ca="1" si="317"/>
        <v>-</v>
      </c>
      <c r="AL52" s="65" t="str">
        <f t="shared" ca="1" si="317"/>
        <v>-</v>
      </c>
      <c r="AM52" s="65" t="str">
        <f t="shared" ca="1" si="317"/>
        <v>-</v>
      </c>
      <c r="AN52" s="65" t="str">
        <f t="shared" ca="1" si="317"/>
        <v>-</v>
      </c>
      <c r="AO52" s="65" t="str">
        <f t="shared" ca="1" si="317"/>
        <v>-</v>
      </c>
      <c r="AP52" s="65" t="str">
        <f t="shared" ca="1" si="317"/>
        <v>-</v>
      </c>
      <c r="AQ52" s="65" t="str">
        <f t="shared" ca="1" si="317"/>
        <v>-</v>
      </c>
      <c r="AR52" s="65" t="str">
        <f t="shared" ca="1" si="317"/>
        <v>-</v>
      </c>
      <c r="AS52" s="65" t="str">
        <f t="shared" ca="1" si="318"/>
        <v>-</v>
      </c>
      <c r="AT52" s="65" t="str">
        <f t="shared" ca="1" si="318"/>
        <v>-</v>
      </c>
      <c r="AU52" s="65" t="str">
        <f t="shared" ca="1" si="318"/>
        <v>-</v>
      </c>
      <c r="AV52" s="65" t="str">
        <f t="shared" ca="1" si="318"/>
        <v>-</v>
      </c>
      <c r="AW52" s="65" t="str">
        <f t="shared" ca="1" si="318"/>
        <v>-</v>
      </c>
      <c r="AX52" s="65" t="str">
        <f t="shared" ca="1" si="318"/>
        <v>-</v>
      </c>
      <c r="AY52" s="65" t="e">
        <f t="shared" ca="1" si="318"/>
        <v>#VALUE!</v>
      </c>
      <c r="AZ52" s="65" t="e">
        <f t="shared" ca="1" si="318"/>
        <v>#VALUE!</v>
      </c>
      <c r="BA52" s="65" t="e">
        <f t="shared" ca="1" si="318"/>
        <v>#VALUE!</v>
      </c>
      <c r="BB52" s="65" t="e">
        <f t="shared" ca="1" si="318"/>
        <v>#VALUE!</v>
      </c>
      <c r="BC52" s="65" t="e">
        <f t="shared" ca="1" si="318"/>
        <v>#VALUE!</v>
      </c>
      <c r="BD52" s="65" t="e">
        <f t="shared" ca="1" si="318"/>
        <v>#VALUE!</v>
      </c>
      <c r="BE52" s="65" t="e">
        <f t="shared" ca="1" si="318"/>
        <v>#VALUE!</v>
      </c>
      <c r="BF52" s="65" t="e">
        <f t="shared" ca="1" si="318"/>
        <v>#VALUE!</v>
      </c>
      <c r="BG52" s="65" t="e">
        <f t="shared" ca="1" si="318"/>
        <v>#VALUE!</v>
      </c>
      <c r="BH52" s="65" t="e">
        <f t="shared" ca="1" si="318"/>
        <v>#VALUE!</v>
      </c>
      <c r="BI52" s="65" t="str">
        <f t="shared" ca="1" si="319"/>
        <v>-</v>
      </c>
      <c r="BJ52" s="65" t="str">
        <f t="shared" ca="1" si="319"/>
        <v>-</v>
      </c>
      <c r="BK52" s="65" t="str">
        <f t="shared" ca="1" si="319"/>
        <v>-</v>
      </c>
      <c r="BL52" s="65" t="str">
        <f t="shared" ca="1" si="319"/>
        <v>-</v>
      </c>
      <c r="BM52" s="65" t="str">
        <f t="shared" ca="1" si="319"/>
        <v>-</v>
      </c>
      <c r="BN52" s="65" t="str">
        <f t="shared" ca="1" si="319"/>
        <v>-</v>
      </c>
      <c r="BO52" s="65" t="str">
        <f t="shared" ca="1" si="319"/>
        <v>-</v>
      </c>
      <c r="BP52" s="65" t="str">
        <f t="shared" ca="1" si="319"/>
        <v>-</v>
      </c>
      <c r="BQ52" s="65" t="str">
        <f t="shared" ca="1" si="319"/>
        <v>-</v>
      </c>
      <c r="BR52" s="65" t="str">
        <f t="shared" ca="1" si="319"/>
        <v>-</v>
      </c>
      <c r="BS52" s="65" t="str">
        <f t="shared" ca="1" si="319"/>
        <v>-</v>
      </c>
      <c r="BT52" s="65" t="str">
        <f t="shared" ca="1" si="319"/>
        <v>-</v>
      </c>
      <c r="BU52" s="65" t="str">
        <f t="shared" ca="1" si="319"/>
        <v>-</v>
      </c>
      <c r="BV52" s="65" t="str">
        <f t="shared" ca="1" si="319"/>
        <v>-</v>
      </c>
      <c r="BW52" s="65" t="str">
        <f t="shared" ca="1" si="319"/>
        <v>-</v>
      </c>
      <c r="BX52" s="65" t="str">
        <f t="shared" ca="1" si="319"/>
        <v>-</v>
      </c>
      <c r="BY52" s="65" t="str">
        <f t="shared" ca="1" si="320"/>
        <v>-</v>
      </c>
      <c r="BZ52" s="65" t="str">
        <f t="shared" ca="1" si="320"/>
        <v>-</v>
      </c>
      <c r="CA52" s="65" t="str">
        <f t="shared" ca="1" si="320"/>
        <v>-</v>
      </c>
      <c r="CB52" s="65" t="str">
        <f t="shared" ca="1" si="320"/>
        <v>-</v>
      </c>
      <c r="CC52" s="65" t="str">
        <f t="shared" ca="1" si="320"/>
        <v>-</v>
      </c>
      <c r="CD52" s="65" t="str">
        <f t="shared" ca="1" si="320"/>
        <v>-</v>
      </c>
      <c r="CE52" s="65" t="str">
        <f t="shared" ca="1" si="320"/>
        <v>-</v>
      </c>
      <c r="CF52" s="65" t="str">
        <f t="shared" ca="1" si="320"/>
        <v>-</v>
      </c>
      <c r="CG52" s="65" t="str">
        <f t="shared" ca="1" si="320"/>
        <v>-</v>
      </c>
      <c r="CH52" s="65" t="str">
        <f t="shared" ca="1" si="320"/>
        <v>-</v>
      </c>
      <c r="CI52" s="65" t="str">
        <f t="shared" ca="1" si="320"/>
        <v>-</v>
      </c>
      <c r="CJ52" s="65" t="str">
        <f t="shared" ca="1" si="320"/>
        <v>-</v>
      </c>
      <c r="CK52" s="65" t="str">
        <f t="shared" ca="1" si="320"/>
        <v>-</v>
      </c>
      <c r="CL52" s="65" t="str">
        <f t="shared" ca="1" si="320"/>
        <v>-</v>
      </c>
      <c r="CM52" s="65" t="str">
        <f t="shared" ca="1" si="320"/>
        <v>-</v>
      </c>
      <c r="CN52" s="65" t="str">
        <f t="shared" ca="1" si="320"/>
        <v>-</v>
      </c>
      <c r="CO52" s="65" t="str">
        <f t="shared" ca="1" si="321"/>
        <v>-</v>
      </c>
      <c r="CP52" s="65" t="str">
        <f t="shared" ca="1" si="321"/>
        <v>-</v>
      </c>
      <c r="CQ52" s="65" t="str">
        <f t="shared" ca="1" si="321"/>
        <v>-</v>
      </c>
      <c r="CR52" s="65" t="str">
        <f t="shared" ca="1" si="321"/>
        <v>-</v>
      </c>
      <c r="CS52" s="65" t="str">
        <f t="shared" ca="1" si="321"/>
        <v>-</v>
      </c>
      <c r="CT52" s="65" t="str">
        <f t="shared" ca="1" si="321"/>
        <v>-</v>
      </c>
      <c r="CU52" s="65" t="str">
        <f t="shared" ca="1" si="322"/>
        <v>-</v>
      </c>
      <c r="CV52" s="65" t="str">
        <f t="shared" ca="1" si="322"/>
        <v>-</v>
      </c>
      <c r="CW52" s="65" t="str">
        <f t="shared" ca="1" si="322"/>
        <v>-</v>
      </c>
      <c r="CX52" s="65" t="str">
        <f t="shared" ca="1" si="322"/>
        <v>-</v>
      </c>
      <c r="CY52" s="65" t="str">
        <f t="shared" ca="1" si="322"/>
        <v>-</v>
      </c>
      <c r="CZ52" s="65" t="str">
        <f t="shared" ca="1" si="322"/>
        <v>-</v>
      </c>
      <c r="DA52" s="65" t="str">
        <f t="shared" ca="1" si="322"/>
        <v>-</v>
      </c>
      <c r="DB52" s="65" t="str">
        <f t="shared" ca="1" si="322"/>
        <v>-</v>
      </c>
      <c r="DC52" s="65" t="str">
        <f t="shared" ca="1" si="322"/>
        <v>-</v>
      </c>
      <c r="DD52" s="65" t="str">
        <f t="shared" ca="1" si="322"/>
        <v>-</v>
      </c>
      <c r="DE52" s="65" t="str">
        <f t="shared" ca="1" si="322"/>
        <v>-</v>
      </c>
      <c r="DF52" s="65" t="str">
        <f t="shared" ca="1" si="322"/>
        <v>-</v>
      </c>
      <c r="DG52" s="65" t="str">
        <f t="shared" ca="1" si="322"/>
        <v>-</v>
      </c>
      <c r="DH52" s="65" t="str">
        <f t="shared" ca="1" si="322"/>
        <v>-</v>
      </c>
      <c r="DI52" s="65" t="str">
        <f t="shared" ca="1" si="322"/>
        <v>-</v>
      </c>
      <c r="DJ52" s="65" t="str">
        <f t="shared" ca="1" si="322"/>
        <v>-</v>
      </c>
      <c r="DK52" s="65" t="str">
        <f t="shared" ca="1" si="322"/>
        <v>-</v>
      </c>
      <c r="DL52" s="65" t="str">
        <f t="shared" ca="1" si="322"/>
        <v>-</v>
      </c>
      <c r="DM52" s="65" t="str">
        <f t="shared" ca="1" si="322"/>
        <v>-</v>
      </c>
      <c r="DN52" s="65" t="str">
        <f t="shared" ca="1" si="322"/>
        <v>-</v>
      </c>
      <c r="DO52" s="65" t="str">
        <f t="shared" ca="1" si="322"/>
        <v>-</v>
      </c>
      <c r="DP52" s="65" t="str">
        <f t="shared" ca="1" si="322"/>
        <v>-</v>
      </c>
      <c r="DQ52" s="65" t="str">
        <f t="shared" ca="1" si="322"/>
        <v>-</v>
      </c>
      <c r="DR52" s="65" t="str">
        <f t="shared" ca="1" si="322"/>
        <v>-</v>
      </c>
      <c r="DS52" s="65" t="str">
        <f t="shared" ca="1" si="322"/>
        <v>-</v>
      </c>
      <c r="DT52" s="65" t="str">
        <f t="shared" ca="1" si="322"/>
        <v>-</v>
      </c>
      <c r="DU52" s="65" t="str">
        <f t="shared" ca="1" si="322"/>
        <v>-</v>
      </c>
      <c r="DV52" s="65" t="str">
        <f t="shared" ca="1" si="322"/>
        <v>-</v>
      </c>
    </row>
    <row r="53" spans="1:126">
      <c r="A53" s="464"/>
      <c r="B53" s="509"/>
      <c r="C53" s="509"/>
      <c r="D53" s="456"/>
      <c r="E53" s="185" t="s">
        <v>66</v>
      </c>
      <c r="F53" s="66" t="e">
        <f>SUM('BESS 12'!S300,'BESS 12'!S303:S304,'BESS 12'!S308:S309)</f>
        <v>#VALUE!</v>
      </c>
      <c r="G53" s="182">
        <f>H53-20</f>
        <v>46254</v>
      </c>
      <c r="H53" s="162">
        <f>MAX('BESS 12'!O300,'BESS 12'!O303:O304,'BESS 12'!O308,'BESS 12'!O309,'BESS 12'!O310)</f>
        <v>46274</v>
      </c>
      <c r="I53" s="66">
        <f t="shared" si="315"/>
        <v>20</v>
      </c>
      <c r="J53" s="453"/>
      <c r="K53" s="507"/>
      <c r="L53" s="476"/>
      <c r="M53" s="65" t="str">
        <f t="shared" si="316"/>
        <v>-</v>
      </c>
      <c r="N53" s="65" t="str">
        <f t="shared" si="316"/>
        <v>-</v>
      </c>
      <c r="O53" s="65" t="str">
        <f t="shared" si="316"/>
        <v>-</v>
      </c>
      <c r="P53" s="65" t="str">
        <f t="shared" si="316"/>
        <v>-</v>
      </c>
      <c r="Q53" s="65" t="str">
        <f t="shared" si="316"/>
        <v>-</v>
      </c>
      <c r="R53" s="65" t="str">
        <f t="shared" si="316"/>
        <v>-</v>
      </c>
      <c r="S53" s="65" t="str">
        <f t="shared" si="316"/>
        <v>-</v>
      </c>
      <c r="T53" s="65" t="str">
        <f t="shared" si="316"/>
        <v>-</v>
      </c>
      <c r="U53" s="65" t="str">
        <f t="shared" si="316"/>
        <v>-</v>
      </c>
      <c r="V53" s="65" t="str">
        <f t="shared" si="316"/>
        <v>-</v>
      </c>
      <c r="W53" s="65" t="str">
        <f t="shared" si="316"/>
        <v>-</v>
      </c>
      <c r="X53" s="65" t="str">
        <f t="shared" si="316"/>
        <v>-</v>
      </c>
      <c r="Y53" s="65" t="str">
        <f t="shared" si="316"/>
        <v>-</v>
      </c>
      <c r="Z53" s="65" t="str">
        <f t="shared" si="316"/>
        <v>-</v>
      </c>
      <c r="AA53" s="65" t="str">
        <f t="shared" si="316"/>
        <v>-</v>
      </c>
      <c r="AB53" s="65" t="str">
        <f t="shared" si="316"/>
        <v>-</v>
      </c>
      <c r="AC53" s="65" t="str">
        <f t="shared" si="317"/>
        <v>-</v>
      </c>
      <c r="AD53" s="65" t="str">
        <f t="shared" si="317"/>
        <v>-</v>
      </c>
      <c r="AE53" s="65" t="str">
        <f t="shared" si="317"/>
        <v>-</v>
      </c>
      <c r="AF53" s="65" t="str">
        <f t="shared" si="317"/>
        <v>-</v>
      </c>
      <c r="AG53" s="65" t="str">
        <f t="shared" si="317"/>
        <v>-</v>
      </c>
      <c r="AH53" s="65" t="str">
        <f t="shared" si="317"/>
        <v>-</v>
      </c>
      <c r="AI53" s="65" t="str">
        <f t="shared" si="317"/>
        <v>-</v>
      </c>
      <c r="AJ53" s="65" t="str">
        <f t="shared" si="317"/>
        <v>-</v>
      </c>
      <c r="AK53" s="65" t="str">
        <f t="shared" si="317"/>
        <v>-</v>
      </c>
      <c r="AL53" s="65" t="str">
        <f t="shared" si="317"/>
        <v>-</v>
      </c>
      <c r="AM53" s="65" t="str">
        <f t="shared" si="317"/>
        <v>-</v>
      </c>
      <c r="AN53" s="65" t="str">
        <f t="shared" si="317"/>
        <v>-</v>
      </c>
      <c r="AO53" s="65" t="str">
        <f t="shared" si="317"/>
        <v>-</v>
      </c>
      <c r="AP53" s="65" t="str">
        <f t="shared" si="317"/>
        <v>-</v>
      </c>
      <c r="AQ53" s="65" t="str">
        <f t="shared" si="317"/>
        <v>-</v>
      </c>
      <c r="AR53" s="65" t="str">
        <f t="shared" si="317"/>
        <v>-</v>
      </c>
      <c r="AS53" s="65" t="str">
        <f t="shared" si="318"/>
        <v>-</v>
      </c>
      <c r="AT53" s="65" t="str">
        <f t="shared" si="318"/>
        <v>-</v>
      </c>
      <c r="AU53" s="65" t="str">
        <f t="shared" si="318"/>
        <v>-</v>
      </c>
      <c r="AV53" s="65" t="str">
        <f t="shared" si="318"/>
        <v>-</v>
      </c>
      <c r="AW53" s="65" t="str">
        <f t="shared" si="318"/>
        <v>-</v>
      </c>
      <c r="AX53" s="65" t="str">
        <f t="shared" si="318"/>
        <v>-</v>
      </c>
      <c r="AY53" s="65" t="str">
        <f t="shared" si="318"/>
        <v>-</v>
      </c>
      <c r="AZ53" s="65" t="str">
        <f t="shared" si="318"/>
        <v>-</v>
      </c>
      <c r="BA53" s="65" t="str">
        <f t="shared" si="318"/>
        <v>-</v>
      </c>
      <c r="BB53" s="65" t="str">
        <f t="shared" si="318"/>
        <v>-</v>
      </c>
      <c r="BC53" s="65" t="str">
        <f t="shared" si="318"/>
        <v>-</v>
      </c>
      <c r="BD53" s="65" t="str">
        <f t="shared" si="318"/>
        <v>-</v>
      </c>
      <c r="BE53" s="65" t="str">
        <f t="shared" si="318"/>
        <v>-</v>
      </c>
      <c r="BF53" s="65" t="str">
        <f t="shared" si="318"/>
        <v>-</v>
      </c>
      <c r="BG53" s="65" t="str">
        <f t="shared" si="318"/>
        <v>-</v>
      </c>
      <c r="BH53" s="65" t="str">
        <f t="shared" si="318"/>
        <v>-</v>
      </c>
      <c r="BI53" s="65" t="str">
        <f t="shared" si="319"/>
        <v>-</v>
      </c>
      <c r="BJ53" s="65" t="str">
        <f t="shared" si="319"/>
        <v>-</v>
      </c>
      <c r="BK53" s="65" t="str">
        <f t="shared" si="319"/>
        <v>-</v>
      </c>
      <c r="BL53" s="65" t="str">
        <f t="shared" si="319"/>
        <v>-</v>
      </c>
      <c r="BM53" s="65" t="str">
        <f t="shared" si="319"/>
        <v>-</v>
      </c>
      <c r="BN53" s="65" t="str">
        <f t="shared" si="319"/>
        <v>-</v>
      </c>
      <c r="BO53" s="65" t="str">
        <f t="shared" si="319"/>
        <v>-</v>
      </c>
      <c r="BP53" s="65" t="str">
        <f t="shared" si="319"/>
        <v>-</v>
      </c>
      <c r="BQ53" s="65" t="str">
        <f t="shared" si="319"/>
        <v>-</v>
      </c>
      <c r="BR53" s="65" t="str">
        <f t="shared" si="319"/>
        <v>-</v>
      </c>
      <c r="BS53" s="65" t="str">
        <f t="shared" si="319"/>
        <v>-</v>
      </c>
      <c r="BT53" s="65" t="e">
        <f t="shared" si="319"/>
        <v>#VALUE!</v>
      </c>
      <c r="BU53" s="65" t="e">
        <f t="shared" si="319"/>
        <v>#VALUE!</v>
      </c>
      <c r="BV53" s="65" t="e">
        <f t="shared" si="319"/>
        <v>#VALUE!</v>
      </c>
      <c r="BW53" s="65" t="e">
        <f t="shared" si="319"/>
        <v>#VALUE!</v>
      </c>
      <c r="BX53" s="65" t="e">
        <f t="shared" si="319"/>
        <v>#VALUE!</v>
      </c>
      <c r="BY53" s="65" t="e">
        <f t="shared" si="320"/>
        <v>#VALUE!</v>
      </c>
      <c r="BZ53" s="65" t="e">
        <f t="shared" si="320"/>
        <v>#VALUE!</v>
      </c>
      <c r="CA53" s="65" t="e">
        <f t="shared" si="320"/>
        <v>#VALUE!</v>
      </c>
      <c r="CB53" s="65" t="e">
        <f t="shared" si="320"/>
        <v>#VALUE!</v>
      </c>
      <c r="CC53" s="65" t="e">
        <f t="shared" si="320"/>
        <v>#VALUE!</v>
      </c>
      <c r="CD53" s="65" t="e">
        <f t="shared" si="320"/>
        <v>#VALUE!</v>
      </c>
      <c r="CE53" s="65" t="e">
        <f t="shared" si="320"/>
        <v>#VALUE!</v>
      </c>
      <c r="CF53" s="65" t="e">
        <f t="shared" si="320"/>
        <v>#VALUE!</v>
      </c>
      <c r="CG53" s="65" t="e">
        <f t="shared" si="320"/>
        <v>#VALUE!</v>
      </c>
      <c r="CH53" s="65" t="e">
        <f t="shared" si="320"/>
        <v>#VALUE!</v>
      </c>
      <c r="CI53" s="65" t="e">
        <f t="shared" si="320"/>
        <v>#VALUE!</v>
      </c>
      <c r="CJ53" s="65" t="e">
        <f t="shared" si="320"/>
        <v>#VALUE!</v>
      </c>
      <c r="CK53" s="65" t="e">
        <f t="shared" si="320"/>
        <v>#VALUE!</v>
      </c>
      <c r="CL53" s="65" t="e">
        <f t="shared" si="320"/>
        <v>#VALUE!</v>
      </c>
      <c r="CM53" s="65" t="e">
        <f t="shared" si="320"/>
        <v>#VALUE!</v>
      </c>
      <c r="CN53" s="65" t="str">
        <f t="shared" si="320"/>
        <v>-</v>
      </c>
      <c r="CO53" s="65" t="str">
        <f t="shared" si="321"/>
        <v>-</v>
      </c>
      <c r="CP53" s="65" t="str">
        <f t="shared" si="321"/>
        <v>-</v>
      </c>
      <c r="CQ53" s="65" t="str">
        <f t="shared" si="321"/>
        <v>-</v>
      </c>
      <c r="CR53" s="65" t="str">
        <f t="shared" si="321"/>
        <v>-</v>
      </c>
      <c r="CS53" s="65" t="str">
        <f t="shared" si="321"/>
        <v>-</v>
      </c>
      <c r="CT53" s="65" t="str">
        <f t="shared" si="321"/>
        <v>-</v>
      </c>
      <c r="CU53" s="65" t="str">
        <f t="shared" si="322"/>
        <v>-</v>
      </c>
      <c r="CV53" s="65" t="str">
        <f t="shared" si="322"/>
        <v>-</v>
      </c>
      <c r="CW53" s="65" t="str">
        <f t="shared" si="322"/>
        <v>-</v>
      </c>
      <c r="CX53" s="65" t="str">
        <f t="shared" si="322"/>
        <v>-</v>
      </c>
      <c r="CY53" s="65" t="str">
        <f t="shared" si="322"/>
        <v>-</v>
      </c>
      <c r="CZ53" s="65" t="str">
        <f t="shared" si="322"/>
        <v>-</v>
      </c>
      <c r="DA53" s="65" t="str">
        <f t="shared" si="322"/>
        <v>-</v>
      </c>
      <c r="DB53" s="65" t="str">
        <f t="shared" si="322"/>
        <v>-</v>
      </c>
      <c r="DC53" s="65" t="str">
        <f t="shared" si="322"/>
        <v>-</v>
      </c>
      <c r="DD53" s="65" t="str">
        <f t="shared" si="322"/>
        <v>-</v>
      </c>
      <c r="DE53" s="65" t="str">
        <f t="shared" si="322"/>
        <v>-</v>
      </c>
      <c r="DF53" s="65" t="str">
        <f t="shared" si="322"/>
        <v>-</v>
      </c>
      <c r="DG53" s="65" t="str">
        <f t="shared" si="322"/>
        <v>-</v>
      </c>
      <c r="DH53" s="65" t="str">
        <f t="shared" si="322"/>
        <v>-</v>
      </c>
      <c r="DI53" s="65" t="str">
        <f t="shared" si="322"/>
        <v>-</v>
      </c>
      <c r="DJ53" s="65" t="str">
        <f t="shared" si="322"/>
        <v>-</v>
      </c>
      <c r="DK53" s="65" t="str">
        <f t="shared" si="322"/>
        <v>-</v>
      </c>
      <c r="DL53" s="65" t="str">
        <f t="shared" si="322"/>
        <v>-</v>
      </c>
      <c r="DM53" s="65" t="str">
        <f t="shared" si="322"/>
        <v>-</v>
      </c>
      <c r="DN53" s="65" t="str">
        <f t="shared" si="322"/>
        <v>-</v>
      </c>
      <c r="DO53" s="65" t="str">
        <f t="shared" si="322"/>
        <v>-</v>
      </c>
      <c r="DP53" s="65" t="str">
        <f t="shared" si="322"/>
        <v>-</v>
      </c>
      <c r="DQ53" s="65" t="str">
        <f t="shared" si="322"/>
        <v>-</v>
      </c>
      <c r="DR53" s="65" t="str">
        <f t="shared" si="322"/>
        <v>-</v>
      </c>
      <c r="DS53" s="65" t="str">
        <f t="shared" si="322"/>
        <v>-</v>
      </c>
      <c r="DT53" s="65" t="str">
        <f t="shared" si="322"/>
        <v>-</v>
      </c>
      <c r="DU53" s="65" t="str">
        <f t="shared" si="322"/>
        <v>-</v>
      </c>
      <c r="DV53" s="65" t="str">
        <f t="shared" si="322"/>
        <v>-</v>
      </c>
    </row>
    <row r="54" spans="1:126">
      <c r="A54" s="464"/>
      <c r="B54" s="509"/>
      <c r="C54" s="509"/>
      <c r="D54" s="456"/>
      <c r="E54" s="185" t="s">
        <v>67</v>
      </c>
      <c r="F54" s="66" t="e">
        <f>SUM('BESS 12'!S311:S320)</f>
        <v>#VALUE!</v>
      </c>
      <c r="G54" s="182">
        <f>H54-14</f>
        <v>46265</v>
      </c>
      <c r="H54" s="162">
        <f>B50-3</f>
        <v>46279</v>
      </c>
      <c r="I54" s="66">
        <f>H54-G54</f>
        <v>14</v>
      </c>
      <c r="J54" s="453"/>
      <c r="K54" s="507"/>
      <c r="L54" s="476"/>
      <c r="M54" s="65" t="str">
        <f t="shared" si="316"/>
        <v>-</v>
      </c>
      <c r="N54" s="65" t="str">
        <f t="shared" si="316"/>
        <v>-</v>
      </c>
      <c r="O54" s="65" t="str">
        <f t="shared" si="316"/>
        <v>-</v>
      </c>
      <c r="P54" s="65" t="str">
        <f t="shared" si="316"/>
        <v>-</v>
      </c>
      <c r="Q54" s="65" t="str">
        <f t="shared" si="316"/>
        <v>-</v>
      </c>
      <c r="R54" s="65" t="str">
        <f t="shared" si="316"/>
        <v>-</v>
      </c>
      <c r="S54" s="65" t="str">
        <f t="shared" si="316"/>
        <v>-</v>
      </c>
      <c r="T54" s="65" t="str">
        <f t="shared" si="316"/>
        <v>-</v>
      </c>
      <c r="U54" s="65" t="str">
        <f t="shared" si="316"/>
        <v>-</v>
      </c>
      <c r="V54" s="65" t="str">
        <f t="shared" si="316"/>
        <v>-</v>
      </c>
      <c r="W54" s="65" t="str">
        <f t="shared" si="316"/>
        <v>-</v>
      </c>
      <c r="X54" s="65" t="str">
        <f t="shared" si="316"/>
        <v>-</v>
      </c>
      <c r="Y54" s="65" t="str">
        <f t="shared" si="316"/>
        <v>-</v>
      </c>
      <c r="Z54" s="65" t="str">
        <f t="shared" si="316"/>
        <v>-</v>
      </c>
      <c r="AA54" s="65" t="str">
        <f t="shared" si="316"/>
        <v>-</v>
      </c>
      <c r="AB54" s="65" t="str">
        <f t="shared" si="316"/>
        <v>-</v>
      </c>
      <c r="AC54" s="65" t="str">
        <f t="shared" si="317"/>
        <v>-</v>
      </c>
      <c r="AD54" s="65" t="str">
        <f t="shared" si="317"/>
        <v>-</v>
      </c>
      <c r="AE54" s="65" t="str">
        <f t="shared" si="317"/>
        <v>-</v>
      </c>
      <c r="AF54" s="164" t="str">
        <f t="shared" si="317"/>
        <v>-</v>
      </c>
      <c r="AG54" s="164" t="str">
        <f t="shared" si="317"/>
        <v>-</v>
      </c>
      <c r="AH54" s="164" t="str">
        <f t="shared" si="317"/>
        <v>-</v>
      </c>
      <c r="AI54" s="164" t="str">
        <f t="shared" si="317"/>
        <v>-</v>
      </c>
      <c r="AJ54" s="164" t="str">
        <f t="shared" si="317"/>
        <v>-</v>
      </c>
      <c r="AK54" s="164" t="str">
        <f t="shared" si="317"/>
        <v>-</v>
      </c>
      <c r="AL54" s="164" t="str">
        <f t="shared" si="317"/>
        <v>-</v>
      </c>
      <c r="AM54" s="164" t="str">
        <f t="shared" si="317"/>
        <v>-</v>
      </c>
      <c r="AN54" s="164" t="str">
        <f t="shared" si="317"/>
        <v>-</v>
      </c>
      <c r="AO54" s="164" t="str">
        <f t="shared" si="317"/>
        <v>-</v>
      </c>
      <c r="AP54" s="164" t="str">
        <f t="shared" si="317"/>
        <v>-</v>
      </c>
      <c r="AQ54" s="164" t="str">
        <f t="shared" si="317"/>
        <v>-</v>
      </c>
      <c r="AR54" s="164" t="str">
        <f t="shared" si="317"/>
        <v>-</v>
      </c>
      <c r="AS54" s="164" t="str">
        <f t="shared" si="318"/>
        <v>-</v>
      </c>
      <c r="AT54" s="164" t="str">
        <f t="shared" si="318"/>
        <v>-</v>
      </c>
      <c r="AU54" s="164" t="str">
        <f t="shared" si="318"/>
        <v>-</v>
      </c>
      <c r="AV54" s="164" t="str">
        <f t="shared" si="318"/>
        <v>-</v>
      </c>
      <c r="AW54" s="164" t="str">
        <f t="shared" si="318"/>
        <v>-</v>
      </c>
      <c r="AX54" s="164" t="str">
        <f t="shared" si="318"/>
        <v>-</v>
      </c>
      <c r="AY54" s="164" t="str">
        <f t="shared" si="318"/>
        <v>-</v>
      </c>
      <c r="AZ54" s="164" t="str">
        <f t="shared" si="318"/>
        <v>-</v>
      </c>
      <c r="BA54" s="164" t="str">
        <f t="shared" si="318"/>
        <v>-</v>
      </c>
      <c r="BB54" s="164" t="str">
        <f t="shared" si="318"/>
        <v>-</v>
      </c>
      <c r="BC54" s="164" t="str">
        <f t="shared" si="318"/>
        <v>-</v>
      </c>
      <c r="BD54" s="164" t="str">
        <f t="shared" si="318"/>
        <v>-</v>
      </c>
      <c r="BE54" s="164" t="str">
        <f t="shared" si="318"/>
        <v>-</v>
      </c>
      <c r="BF54" s="164" t="str">
        <f t="shared" si="318"/>
        <v>-</v>
      </c>
      <c r="BG54" s="164" t="str">
        <f t="shared" si="318"/>
        <v>-</v>
      </c>
      <c r="BH54" s="164" t="str">
        <f t="shared" si="318"/>
        <v>-</v>
      </c>
      <c r="BI54" s="164" t="str">
        <f t="shared" si="319"/>
        <v>-</v>
      </c>
      <c r="BJ54" s="164" t="str">
        <f t="shared" si="319"/>
        <v>-</v>
      </c>
      <c r="BK54" s="164" t="str">
        <f t="shared" si="319"/>
        <v>-</v>
      </c>
      <c r="BL54" s="164" t="str">
        <f t="shared" si="319"/>
        <v>-</v>
      </c>
      <c r="BM54" s="164" t="str">
        <f t="shared" si="319"/>
        <v>-</v>
      </c>
      <c r="BN54" s="164" t="str">
        <f t="shared" si="319"/>
        <v>-</v>
      </c>
      <c r="BO54" s="164" t="str">
        <f t="shared" si="319"/>
        <v>-</v>
      </c>
      <c r="BP54" s="164" t="str">
        <f t="shared" si="319"/>
        <v>-</v>
      </c>
      <c r="BQ54" s="164" t="str">
        <f t="shared" si="319"/>
        <v>-</v>
      </c>
      <c r="BR54" s="164" t="str">
        <f t="shared" si="319"/>
        <v>-</v>
      </c>
      <c r="BS54" s="164" t="str">
        <f t="shared" si="319"/>
        <v>-</v>
      </c>
      <c r="BT54" s="164" t="str">
        <f t="shared" si="319"/>
        <v>-</v>
      </c>
      <c r="BU54" s="164" t="str">
        <f t="shared" si="319"/>
        <v>-</v>
      </c>
      <c r="BV54" s="164" t="str">
        <f t="shared" si="319"/>
        <v>-</v>
      </c>
      <c r="BW54" s="164" t="str">
        <f t="shared" si="319"/>
        <v>-</v>
      </c>
      <c r="BX54" s="164" t="str">
        <f t="shared" si="319"/>
        <v>-</v>
      </c>
      <c r="BY54" s="164" t="str">
        <f t="shared" si="320"/>
        <v>-</v>
      </c>
      <c r="BZ54" s="164" t="str">
        <f t="shared" si="320"/>
        <v>-</v>
      </c>
      <c r="CA54" s="164" t="str">
        <f t="shared" si="320"/>
        <v>-</v>
      </c>
      <c r="CB54" s="164" t="str">
        <f t="shared" si="320"/>
        <v>-</v>
      </c>
      <c r="CC54" s="164" t="str">
        <f t="shared" si="320"/>
        <v>-</v>
      </c>
      <c r="CD54" s="164" t="str">
        <f t="shared" si="320"/>
        <v>-</v>
      </c>
      <c r="CE54" s="164" t="e">
        <f t="shared" si="320"/>
        <v>#VALUE!</v>
      </c>
      <c r="CF54" s="164" t="e">
        <f t="shared" si="320"/>
        <v>#VALUE!</v>
      </c>
      <c r="CG54" s="164" t="e">
        <f t="shared" si="320"/>
        <v>#VALUE!</v>
      </c>
      <c r="CH54" s="164" t="e">
        <f t="shared" si="320"/>
        <v>#VALUE!</v>
      </c>
      <c r="CI54" s="164" t="e">
        <f t="shared" si="320"/>
        <v>#VALUE!</v>
      </c>
      <c r="CJ54" s="164" t="e">
        <f t="shared" si="320"/>
        <v>#VALUE!</v>
      </c>
      <c r="CK54" s="164" t="e">
        <f t="shared" si="320"/>
        <v>#VALUE!</v>
      </c>
      <c r="CL54" s="164" t="e">
        <f t="shared" si="320"/>
        <v>#VALUE!</v>
      </c>
      <c r="CM54" s="164" t="e">
        <f t="shared" si="320"/>
        <v>#VALUE!</v>
      </c>
      <c r="CN54" s="164" t="e">
        <f t="shared" si="320"/>
        <v>#VALUE!</v>
      </c>
      <c r="CO54" s="164" t="e">
        <f t="shared" si="321"/>
        <v>#VALUE!</v>
      </c>
      <c r="CP54" s="164" t="e">
        <f t="shared" si="321"/>
        <v>#VALUE!</v>
      </c>
      <c r="CQ54" s="164" t="e">
        <f t="shared" si="321"/>
        <v>#VALUE!</v>
      </c>
      <c r="CR54" s="164" t="e">
        <f t="shared" si="321"/>
        <v>#VALUE!</v>
      </c>
      <c r="CS54" s="164" t="str">
        <f t="shared" si="321"/>
        <v>-</v>
      </c>
      <c r="CT54" s="164" t="str">
        <f t="shared" si="321"/>
        <v>-</v>
      </c>
      <c r="CU54" s="164" t="str">
        <f t="shared" si="322"/>
        <v>-</v>
      </c>
      <c r="CV54" s="164" t="str">
        <f t="shared" si="322"/>
        <v>-</v>
      </c>
      <c r="CW54" s="164" t="str">
        <f t="shared" si="322"/>
        <v>-</v>
      </c>
      <c r="CX54" s="164" t="str">
        <f t="shared" si="322"/>
        <v>-</v>
      </c>
      <c r="CY54" s="164" t="str">
        <f t="shared" si="322"/>
        <v>-</v>
      </c>
      <c r="CZ54" s="164" t="str">
        <f t="shared" si="322"/>
        <v>-</v>
      </c>
      <c r="DA54" s="164" t="str">
        <f t="shared" si="322"/>
        <v>-</v>
      </c>
      <c r="DB54" s="164" t="str">
        <f t="shared" si="322"/>
        <v>-</v>
      </c>
      <c r="DC54" s="164" t="str">
        <f t="shared" si="322"/>
        <v>-</v>
      </c>
      <c r="DD54" s="164" t="str">
        <f t="shared" si="322"/>
        <v>-</v>
      </c>
      <c r="DE54" s="164" t="str">
        <f t="shared" si="322"/>
        <v>-</v>
      </c>
      <c r="DF54" s="164" t="str">
        <f t="shared" si="322"/>
        <v>-</v>
      </c>
      <c r="DG54" s="164" t="str">
        <f t="shared" si="322"/>
        <v>-</v>
      </c>
      <c r="DH54" s="164" t="str">
        <f t="shared" si="322"/>
        <v>-</v>
      </c>
      <c r="DI54" s="164" t="str">
        <f t="shared" si="322"/>
        <v>-</v>
      </c>
      <c r="DJ54" s="164" t="str">
        <f t="shared" si="322"/>
        <v>-</v>
      </c>
      <c r="DK54" s="164" t="str">
        <f t="shared" si="322"/>
        <v>-</v>
      </c>
      <c r="DL54" s="164" t="str">
        <f t="shared" si="322"/>
        <v>-</v>
      </c>
      <c r="DM54" s="164" t="str">
        <f t="shared" si="322"/>
        <v>-</v>
      </c>
      <c r="DN54" s="164" t="str">
        <f t="shared" si="322"/>
        <v>-</v>
      </c>
      <c r="DO54" s="164" t="str">
        <f t="shared" si="322"/>
        <v>-</v>
      </c>
      <c r="DP54" s="164" t="str">
        <f t="shared" si="322"/>
        <v>-</v>
      </c>
      <c r="DQ54" s="164" t="str">
        <f t="shared" si="322"/>
        <v>-</v>
      </c>
      <c r="DR54" s="164" t="str">
        <f t="shared" si="322"/>
        <v>-</v>
      </c>
      <c r="DS54" s="164" t="str">
        <f t="shared" si="322"/>
        <v>-</v>
      </c>
      <c r="DT54" s="164" t="str">
        <f t="shared" si="322"/>
        <v>-</v>
      </c>
      <c r="DU54" s="164" t="str">
        <f t="shared" si="322"/>
        <v>-</v>
      </c>
      <c r="DV54" s="164" t="str">
        <f t="shared" si="322"/>
        <v>-</v>
      </c>
    </row>
    <row r="55" spans="1:126" ht="16.5">
      <c r="A55" s="464"/>
      <c r="B55" s="509"/>
      <c r="C55" s="509"/>
      <c r="D55" s="457"/>
      <c r="E55" s="185" t="s">
        <v>68</v>
      </c>
      <c r="F55" s="65">
        <v>250</v>
      </c>
      <c r="G55" s="182"/>
      <c r="H55" s="162">
        <f>B50-3</f>
        <v>46279</v>
      </c>
      <c r="I55" s="65">
        <v>30</v>
      </c>
      <c r="J55" s="454"/>
      <c r="K55" s="508"/>
      <c r="L55" s="504"/>
      <c r="M55" s="443" t="str">
        <f>IF(AND(M$2&gt;=$B$50-26,M$2&lt;=$B$50-3),5,IF(OR(M$2=$B$50-2,M$2=$B$50-1,M$2=$B$50,M$2=$B$50+1),30,IF(OR(M$2=$B$50+2,M$2=$B$50+3),5,"")))</f>
        <v/>
      </c>
      <c r="N55" s="443" t="str">
        <f t="shared" ref="N55:BY55" si="323">IF(AND(N$2&gt;=$B$50-26,N$2&lt;=$B$50-3),5,IF(OR(N$2=$B$50-2,N$2=$B$50-1,N$2=$B$50,N$2=$B$50+1),30,IF(OR(N$2=$B$50+2,N$2=$B$50+3),5,"")))</f>
        <v/>
      </c>
      <c r="O55" s="443" t="str">
        <f t="shared" si="323"/>
        <v/>
      </c>
      <c r="P55" s="443" t="str">
        <f t="shared" si="323"/>
        <v/>
      </c>
      <c r="Q55" s="443" t="str">
        <f t="shared" si="323"/>
        <v/>
      </c>
      <c r="R55" s="443" t="str">
        <f t="shared" si="323"/>
        <v/>
      </c>
      <c r="S55" s="443" t="str">
        <f t="shared" si="323"/>
        <v/>
      </c>
      <c r="T55" s="443" t="str">
        <f t="shared" si="323"/>
        <v/>
      </c>
      <c r="U55" s="443" t="str">
        <f t="shared" si="323"/>
        <v/>
      </c>
      <c r="V55" s="443" t="str">
        <f t="shared" si="323"/>
        <v/>
      </c>
      <c r="W55" s="443" t="str">
        <f t="shared" si="323"/>
        <v/>
      </c>
      <c r="X55" s="443" t="str">
        <f t="shared" si="323"/>
        <v/>
      </c>
      <c r="Y55" s="443" t="str">
        <f t="shared" si="323"/>
        <v/>
      </c>
      <c r="Z55" s="443" t="str">
        <f t="shared" si="323"/>
        <v/>
      </c>
      <c r="AA55" s="443" t="str">
        <f t="shared" si="323"/>
        <v/>
      </c>
      <c r="AB55" s="443" t="str">
        <f t="shared" si="323"/>
        <v/>
      </c>
      <c r="AC55" s="443" t="str">
        <f t="shared" si="323"/>
        <v/>
      </c>
      <c r="AD55" s="443" t="str">
        <f t="shared" si="323"/>
        <v/>
      </c>
      <c r="AE55" s="443" t="str">
        <f t="shared" si="323"/>
        <v/>
      </c>
      <c r="AF55" s="443" t="str">
        <f t="shared" si="323"/>
        <v/>
      </c>
      <c r="AG55" s="443" t="str">
        <f t="shared" si="323"/>
        <v/>
      </c>
      <c r="AH55" s="443" t="str">
        <f t="shared" si="323"/>
        <v/>
      </c>
      <c r="AI55" s="443" t="str">
        <f t="shared" si="323"/>
        <v/>
      </c>
      <c r="AJ55" s="443" t="str">
        <f t="shared" si="323"/>
        <v/>
      </c>
      <c r="AK55" s="443" t="str">
        <f t="shared" si="323"/>
        <v/>
      </c>
      <c r="AL55" s="443" t="str">
        <f t="shared" si="323"/>
        <v/>
      </c>
      <c r="AM55" s="443" t="str">
        <f t="shared" si="323"/>
        <v/>
      </c>
      <c r="AN55" s="443" t="str">
        <f t="shared" si="323"/>
        <v/>
      </c>
      <c r="AO55" s="443" t="str">
        <f t="shared" si="323"/>
        <v/>
      </c>
      <c r="AP55" s="443" t="str">
        <f t="shared" si="323"/>
        <v/>
      </c>
      <c r="AQ55" s="443" t="str">
        <f t="shared" si="323"/>
        <v/>
      </c>
      <c r="AR55" s="443" t="str">
        <f t="shared" si="323"/>
        <v/>
      </c>
      <c r="AS55" s="443" t="str">
        <f t="shared" si="323"/>
        <v/>
      </c>
      <c r="AT55" s="443" t="str">
        <f t="shared" si="323"/>
        <v/>
      </c>
      <c r="AU55" s="443" t="str">
        <f t="shared" si="323"/>
        <v/>
      </c>
      <c r="AV55" s="443" t="str">
        <f t="shared" si="323"/>
        <v/>
      </c>
      <c r="AW55" s="443" t="str">
        <f t="shared" si="323"/>
        <v/>
      </c>
      <c r="AX55" s="443" t="str">
        <f t="shared" si="323"/>
        <v/>
      </c>
      <c r="AY55" s="443" t="str">
        <f t="shared" si="323"/>
        <v/>
      </c>
      <c r="AZ55" s="443" t="str">
        <f t="shared" si="323"/>
        <v/>
      </c>
      <c r="BA55" s="443" t="str">
        <f t="shared" si="323"/>
        <v/>
      </c>
      <c r="BB55" s="443" t="str">
        <f t="shared" si="323"/>
        <v/>
      </c>
      <c r="BC55" s="443" t="str">
        <f t="shared" si="323"/>
        <v/>
      </c>
      <c r="BD55" s="443" t="str">
        <f t="shared" si="323"/>
        <v/>
      </c>
      <c r="BE55" s="443" t="str">
        <f t="shared" si="323"/>
        <v/>
      </c>
      <c r="BF55" s="443" t="str">
        <f t="shared" si="323"/>
        <v/>
      </c>
      <c r="BG55" s="443" t="str">
        <f t="shared" si="323"/>
        <v/>
      </c>
      <c r="BH55" s="443" t="str">
        <f t="shared" si="323"/>
        <v/>
      </c>
      <c r="BI55" s="443" t="str">
        <f t="shared" si="323"/>
        <v/>
      </c>
      <c r="BJ55" s="443" t="str">
        <f t="shared" si="323"/>
        <v/>
      </c>
      <c r="BK55" s="443" t="str">
        <f t="shared" si="323"/>
        <v/>
      </c>
      <c r="BL55" s="443" t="str">
        <f t="shared" si="323"/>
        <v/>
      </c>
      <c r="BM55" s="443" t="str">
        <f t="shared" si="323"/>
        <v/>
      </c>
      <c r="BN55" s="443" t="str">
        <f t="shared" si="323"/>
        <v/>
      </c>
      <c r="BO55" s="443" t="str">
        <f t="shared" si="323"/>
        <v/>
      </c>
      <c r="BP55" s="443" t="str">
        <f t="shared" si="323"/>
        <v/>
      </c>
      <c r="BQ55" s="443" t="str">
        <f t="shared" si="323"/>
        <v/>
      </c>
      <c r="BR55" s="443" t="str">
        <f t="shared" si="323"/>
        <v/>
      </c>
      <c r="BS55" s="443" t="str">
        <f t="shared" si="323"/>
        <v/>
      </c>
      <c r="BT55" s="443" t="str">
        <f t="shared" si="323"/>
        <v/>
      </c>
      <c r="BU55" s="443" t="str">
        <f t="shared" si="323"/>
        <v/>
      </c>
      <c r="BV55" s="443">
        <f t="shared" si="323"/>
        <v>5</v>
      </c>
      <c r="BW55" s="443">
        <f t="shared" si="323"/>
        <v>5</v>
      </c>
      <c r="BX55" s="443">
        <f t="shared" si="323"/>
        <v>5</v>
      </c>
      <c r="BY55" s="443">
        <f t="shared" si="323"/>
        <v>5</v>
      </c>
      <c r="BZ55" s="443">
        <f t="shared" ref="BZ55:DV55" si="324">IF(AND(BZ$2&gt;=$B$50-26,BZ$2&lt;=$B$50-3),5,IF(OR(BZ$2=$B$50-2,BZ$2=$B$50-1,BZ$2=$B$50,BZ$2=$B$50+1),30,IF(OR(BZ$2=$B$50+2,BZ$2=$B$50+3),5,"")))</f>
        <v>5</v>
      </c>
      <c r="CA55" s="443">
        <f t="shared" si="324"/>
        <v>5</v>
      </c>
      <c r="CB55" s="443">
        <f t="shared" si="324"/>
        <v>5</v>
      </c>
      <c r="CC55" s="443">
        <f t="shared" si="324"/>
        <v>5</v>
      </c>
      <c r="CD55" s="443">
        <f t="shared" si="324"/>
        <v>5</v>
      </c>
      <c r="CE55" s="443">
        <f t="shared" si="324"/>
        <v>5</v>
      </c>
      <c r="CF55" s="443">
        <f t="shared" si="324"/>
        <v>5</v>
      </c>
      <c r="CG55" s="443">
        <f t="shared" si="324"/>
        <v>5</v>
      </c>
      <c r="CH55" s="443">
        <f t="shared" si="324"/>
        <v>5</v>
      </c>
      <c r="CI55" s="443">
        <f t="shared" si="324"/>
        <v>5</v>
      </c>
      <c r="CJ55" s="443">
        <f t="shared" si="324"/>
        <v>5</v>
      </c>
      <c r="CK55" s="443">
        <f t="shared" si="324"/>
        <v>5</v>
      </c>
      <c r="CL55" s="443">
        <f t="shared" si="324"/>
        <v>5</v>
      </c>
      <c r="CM55" s="443">
        <f t="shared" si="324"/>
        <v>5</v>
      </c>
      <c r="CN55" s="443">
        <f t="shared" si="324"/>
        <v>5</v>
      </c>
      <c r="CO55" s="443">
        <f t="shared" si="324"/>
        <v>5</v>
      </c>
      <c r="CP55" s="443">
        <f t="shared" si="324"/>
        <v>5</v>
      </c>
      <c r="CQ55" s="443">
        <f t="shared" si="324"/>
        <v>5</v>
      </c>
      <c r="CR55" s="443">
        <f t="shared" si="324"/>
        <v>5</v>
      </c>
      <c r="CS55" s="443">
        <f t="shared" si="324"/>
        <v>5</v>
      </c>
      <c r="CT55" s="443">
        <f t="shared" si="324"/>
        <v>30</v>
      </c>
      <c r="CU55" s="443">
        <f t="shared" si="324"/>
        <v>30</v>
      </c>
      <c r="CV55" s="443">
        <f t="shared" si="324"/>
        <v>30</v>
      </c>
      <c r="CW55" s="443">
        <f t="shared" si="324"/>
        <v>30</v>
      </c>
      <c r="CX55" s="443">
        <f t="shared" si="324"/>
        <v>5</v>
      </c>
      <c r="CY55" s="443">
        <f t="shared" si="324"/>
        <v>5</v>
      </c>
      <c r="CZ55" s="443" t="str">
        <f t="shared" si="324"/>
        <v/>
      </c>
      <c r="DA55" s="443" t="str">
        <f t="shared" si="324"/>
        <v/>
      </c>
      <c r="DB55" s="443" t="str">
        <f t="shared" si="324"/>
        <v/>
      </c>
      <c r="DC55" s="443" t="str">
        <f t="shared" si="324"/>
        <v/>
      </c>
      <c r="DD55" s="443" t="str">
        <f t="shared" si="324"/>
        <v/>
      </c>
      <c r="DE55" s="443" t="str">
        <f t="shared" si="324"/>
        <v/>
      </c>
      <c r="DF55" s="443" t="str">
        <f t="shared" si="324"/>
        <v/>
      </c>
      <c r="DG55" s="443" t="str">
        <f t="shared" si="324"/>
        <v/>
      </c>
      <c r="DH55" s="443" t="str">
        <f t="shared" si="324"/>
        <v/>
      </c>
      <c r="DI55" s="443" t="str">
        <f t="shared" si="324"/>
        <v/>
      </c>
      <c r="DJ55" s="443" t="str">
        <f t="shared" si="324"/>
        <v/>
      </c>
      <c r="DK55" s="443" t="str">
        <f t="shared" si="324"/>
        <v/>
      </c>
      <c r="DL55" s="443" t="str">
        <f t="shared" si="324"/>
        <v/>
      </c>
      <c r="DM55" s="443" t="str">
        <f t="shared" si="324"/>
        <v/>
      </c>
      <c r="DN55" s="443" t="str">
        <f t="shared" si="324"/>
        <v/>
      </c>
      <c r="DO55" s="443" t="str">
        <f t="shared" si="324"/>
        <v/>
      </c>
      <c r="DP55" s="443" t="str">
        <f t="shared" si="324"/>
        <v/>
      </c>
      <c r="DQ55" s="443" t="str">
        <f t="shared" si="324"/>
        <v/>
      </c>
      <c r="DR55" s="443" t="str">
        <f t="shared" si="324"/>
        <v/>
      </c>
      <c r="DS55" s="443" t="str">
        <f t="shared" si="324"/>
        <v/>
      </c>
      <c r="DT55" s="443" t="str">
        <f t="shared" si="324"/>
        <v/>
      </c>
      <c r="DU55" s="443" t="str">
        <f t="shared" si="324"/>
        <v/>
      </c>
      <c r="DV55" s="443" t="str">
        <f t="shared" si="324"/>
        <v/>
      </c>
    </row>
    <row r="56" spans="1:126" s="191" customFormat="1" ht="13.5" customHeight="1">
      <c r="B56" s="197"/>
      <c r="E56" s="188"/>
      <c r="F56" s="188"/>
      <c r="G56" s="181" t="s">
        <v>69</v>
      </c>
      <c r="H56" s="188"/>
      <c r="I56" s="228"/>
      <c r="J56" s="203"/>
      <c r="K56" s="188"/>
      <c r="L56" s="188"/>
      <c r="M56" s="190">
        <f t="shared" ref="M56:BX56" ca="1" si="325">SUM(M51:M55)</f>
        <v>0</v>
      </c>
      <c r="N56" s="190">
        <f t="shared" ca="1" si="325"/>
        <v>0</v>
      </c>
      <c r="O56" s="190">
        <f t="shared" ca="1" si="325"/>
        <v>0</v>
      </c>
      <c r="P56" s="190">
        <f t="shared" ca="1" si="325"/>
        <v>0</v>
      </c>
      <c r="Q56" s="190">
        <f t="shared" ca="1" si="325"/>
        <v>0</v>
      </c>
      <c r="R56" s="190">
        <f t="shared" ca="1" si="325"/>
        <v>0</v>
      </c>
      <c r="S56" s="190">
        <f t="shared" ca="1" si="325"/>
        <v>0</v>
      </c>
      <c r="T56" s="190">
        <f t="shared" ca="1" si="325"/>
        <v>0</v>
      </c>
      <c r="U56" s="190">
        <f t="shared" ca="1" si="325"/>
        <v>0</v>
      </c>
      <c r="V56" s="190">
        <f t="shared" ca="1" si="325"/>
        <v>0</v>
      </c>
      <c r="W56" s="190">
        <f t="shared" ca="1" si="325"/>
        <v>0</v>
      </c>
      <c r="X56" s="190">
        <f t="shared" ca="1" si="325"/>
        <v>0</v>
      </c>
      <c r="Y56" s="190">
        <f t="shared" ca="1" si="325"/>
        <v>0</v>
      </c>
      <c r="Z56" s="190">
        <f t="shared" ca="1" si="325"/>
        <v>0</v>
      </c>
      <c r="AA56" s="190">
        <f t="shared" ca="1" si="325"/>
        <v>0</v>
      </c>
      <c r="AB56" s="190">
        <f t="shared" ca="1" si="325"/>
        <v>0</v>
      </c>
      <c r="AC56" s="190">
        <f t="shared" ca="1" si="325"/>
        <v>0</v>
      </c>
      <c r="AD56" s="190">
        <f t="shared" ca="1" si="325"/>
        <v>0</v>
      </c>
      <c r="AE56" s="190">
        <f t="shared" ca="1" si="325"/>
        <v>0</v>
      </c>
      <c r="AF56" s="229">
        <f t="shared" ca="1" si="325"/>
        <v>0</v>
      </c>
      <c r="AG56" s="229">
        <f t="shared" ca="1" si="325"/>
        <v>0</v>
      </c>
      <c r="AH56" s="229">
        <f t="shared" ca="1" si="325"/>
        <v>0</v>
      </c>
      <c r="AI56" s="229">
        <f t="shared" ca="1" si="325"/>
        <v>0</v>
      </c>
      <c r="AJ56" s="229">
        <f t="shared" ca="1" si="325"/>
        <v>0</v>
      </c>
      <c r="AK56" s="229">
        <f t="shared" ca="1" si="325"/>
        <v>0</v>
      </c>
      <c r="AL56" s="229">
        <f t="shared" ca="1" si="325"/>
        <v>0</v>
      </c>
      <c r="AM56" s="229">
        <f t="shared" ca="1" si="325"/>
        <v>0</v>
      </c>
      <c r="AN56" s="229">
        <f t="shared" ca="1" si="325"/>
        <v>0</v>
      </c>
      <c r="AO56" s="229">
        <f t="shared" ca="1" si="325"/>
        <v>0</v>
      </c>
      <c r="AP56" s="229">
        <f t="shared" ca="1" si="325"/>
        <v>0</v>
      </c>
      <c r="AQ56" s="229">
        <f t="shared" ca="1" si="325"/>
        <v>0</v>
      </c>
      <c r="AR56" s="229">
        <f t="shared" ca="1" si="325"/>
        <v>0</v>
      </c>
      <c r="AS56" s="229">
        <f t="shared" ca="1" si="325"/>
        <v>0</v>
      </c>
      <c r="AT56" s="229">
        <f t="shared" ca="1" si="325"/>
        <v>0</v>
      </c>
      <c r="AU56" s="229">
        <f t="shared" ca="1" si="325"/>
        <v>0</v>
      </c>
      <c r="AV56" s="229">
        <f t="shared" ca="1" si="325"/>
        <v>0</v>
      </c>
      <c r="AW56" s="229">
        <f t="shared" ca="1" si="325"/>
        <v>0</v>
      </c>
      <c r="AX56" s="229">
        <f t="shared" ca="1" si="325"/>
        <v>0</v>
      </c>
      <c r="AY56" s="229" t="e">
        <f t="shared" ca="1" si="325"/>
        <v>#VALUE!</v>
      </c>
      <c r="AZ56" s="229" t="e">
        <f t="shared" ca="1" si="325"/>
        <v>#VALUE!</v>
      </c>
      <c r="BA56" s="229" t="e">
        <f t="shared" ca="1" si="325"/>
        <v>#VALUE!</v>
      </c>
      <c r="BB56" s="229" t="e">
        <f t="shared" ca="1" si="325"/>
        <v>#VALUE!</v>
      </c>
      <c r="BC56" s="229" t="e">
        <f t="shared" ca="1" si="325"/>
        <v>#VALUE!</v>
      </c>
      <c r="BD56" s="229" t="e">
        <f t="shared" ca="1" si="325"/>
        <v>#VALUE!</v>
      </c>
      <c r="BE56" s="229" t="e">
        <f t="shared" ca="1" si="325"/>
        <v>#VALUE!</v>
      </c>
      <c r="BF56" s="229" t="e">
        <f t="shared" ca="1" si="325"/>
        <v>#VALUE!</v>
      </c>
      <c r="BG56" s="229" t="e">
        <f t="shared" ca="1" si="325"/>
        <v>#VALUE!</v>
      </c>
      <c r="BH56" s="229" t="e">
        <f t="shared" ca="1" si="325"/>
        <v>#VALUE!</v>
      </c>
      <c r="BI56" s="229">
        <f t="shared" ca="1" si="325"/>
        <v>0</v>
      </c>
      <c r="BJ56" s="229">
        <f t="shared" ca="1" si="325"/>
        <v>0</v>
      </c>
      <c r="BK56" s="229">
        <f t="shared" ca="1" si="325"/>
        <v>0</v>
      </c>
      <c r="BL56" s="229">
        <f t="shared" ca="1" si="325"/>
        <v>0</v>
      </c>
      <c r="BM56" s="229">
        <f t="shared" ca="1" si="325"/>
        <v>0</v>
      </c>
      <c r="BN56" s="229">
        <f t="shared" ca="1" si="325"/>
        <v>0</v>
      </c>
      <c r="BO56" s="229">
        <f t="shared" ca="1" si="325"/>
        <v>0</v>
      </c>
      <c r="BP56" s="229">
        <f t="shared" ca="1" si="325"/>
        <v>0</v>
      </c>
      <c r="BQ56" s="229">
        <f t="shared" ca="1" si="325"/>
        <v>0</v>
      </c>
      <c r="BR56" s="229">
        <f t="shared" ca="1" si="325"/>
        <v>0</v>
      </c>
      <c r="BS56" s="229">
        <f t="shared" ca="1" si="325"/>
        <v>0</v>
      </c>
      <c r="BT56" s="229" t="e">
        <f t="shared" ca="1" si="325"/>
        <v>#VALUE!</v>
      </c>
      <c r="BU56" s="229" t="e">
        <f t="shared" ca="1" si="325"/>
        <v>#VALUE!</v>
      </c>
      <c r="BV56" s="229" t="e">
        <f t="shared" ca="1" si="325"/>
        <v>#VALUE!</v>
      </c>
      <c r="BW56" s="229" t="e">
        <f t="shared" ca="1" si="325"/>
        <v>#VALUE!</v>
      </c>
      <c r="BX56" s="229" t="e">
        <f t="shared" ca="1" si="325"/>
        <v>#VALUE!</v>
      </c>
      <c r="BY56" s="229" t="e">
        <f t="shared" ref="BY56:CT56" ca="1" si="326">SUM(BY51:BY55)</f>
        <v>#VALUE!</v>
      </c>
      <c r="BZ56" s="229" t="e">
        <f t="shared" ca="1" si="326"/>
        <v>#VALUE!</v>
      </c>
      <c r="CA56" s="229" t="e">
        <f t="shared" ca="1" si="326"/>
        <v>#VALUE!</v>
      </c>
      <c r="CB56" s="229" t="e">
        <f t="shared" ca="1" si="326"/>
        <v>#VALUE!</v>
      </c>
      <c r="CC56" s="229" t="e">
        <f t="shared" ca="1" si="326"/>
        <v>#VALUE!</v>
      </c>
      <c r="CD56" s="229" t="e">
        <f t="shared" ca="1" si="326"/>
        <v>#VALUE!</v>
      </c>
      <c r="CE56" s="229" t="e">
        <f t="shared" ca="1" si="326"/>
        <v>#VALUE!</v>
      </c>
      <c r="CF56" s="229" t="e">
        <f t="shared" ca="1" si="326"/>
        <v>#VALUE!</v>
      </c>
      <c r="CG56" s="229" t="e">
        <f t="shared" ca="1" si="326"/>
        <v>#VALUE!</v>
      </c>
      <c r="CH56" s="229" t="e">
        <f t="shared" ca="1" si="326"/>
        <v>#VALUE!</v>
      </c>
      <c r="CI56" s="229" t="e">
        <f t="shared" ca="1" si="326"/>
        <v>#VALUE!</v>
      </c>
      <c r="CJ56" s="229" t="e">
        <f t="shared" ca="1" si="326"/>
        <v>#VALUE!</v>
      </c>
      <c r="CK56" s="229" t="e">
        <f t="shared" ca="1" si="326"/>
        <v>#VALUE!</v>
      </c>
      <c r="CL56" s="229" t="e">
        <f t="shared" ca="1" si="326"/>
        <v>#VALUE!</v>
      </c>
      <c r="CM56" s="229" t="e">
        <f t="shared" ca="1" si="326"/>
        <v>#VALUE!</v>
      </c>
      <c r="CN56" s="229" t="e">
        <f t="shared" ca="1" si="326"/>
        <v>#VALUE!</v>
      </c>
      <c r="CO56" s="229" t="e">
        <f t="shared" ca="1" si="326"/>
        <v>#VALUE!</v>
      </c>
      <c r="CP56" s="229" t="e">
        <f t="shared" ca="1" si="326"/>
        <v>#VALUE!</v>
      </c>
      <c r="CQ56" s="229" t="e">
        <f t="shared" ca="1" si="326"/>
        <v>#VALUE!</v>
      </c>
      <c r="CR56" s="229" t="e">
        <f t="shared" ca="1" si="326"/>
        <v>#VALUE!</v>
      </c>
      <c r="CS56" s="229">
        <f t="shared" ca="1" si="326"/>
        <v>5</v>
      </c>
      <c r="CT56" s="229">
        <f t="shared" ca="1" si="326"/>
        <v>30</v>
      </c>
      <c r="CU56" s="229">
        <f t="shared" ref="CU56:DV56" ca="1" si="327">SUM(CU51:CU55)</f>
        <v>30</v>
      </c>
      <c r="CV56" s="229">
        <f t="shared" ca="1" si="327"/>
        <v>30</v>
      </c>
      <c r="CW56" s="229">
        <f t="shared" ca="1" si="327"/>
        <v>30</v>
      </c>
      <c r="CX56" s="229">
        <f t="shared" ca="1" si="327"/>
        <v>5</v>
      </c>
      <c r="CY56" s="229">
        <f t="shared" ca="1" si="327"/>
        <v>5</v>
      </c>
      <c r="CZ56" s="229">
        <f t="shared" ca="1" si="327"/>
        <v>0</v>
      </c>
      <c r="DA56" s="229">
        <f t="shared" ca="1" si="327"/>
        <v>0</v>
      </c>
      <c r="DB56" s="229">
        <f t="shared" ca="1" si="327"/>
        <v>0</v>
      </c>
      <c r="DC56" s="229">
        <f t="shared" ca="1" si="327"/>
        <v>0</v>
      </c>
      <c r="DD56" s="229">
        <f t="shared" ca="1" si="327"/>
        <v>0</v>
      </c>
      <c r="DE56" s="229">
        <f t="shared" ca="1" si="327"/>
        <v>0</v>
      </c>
      <c r="DF56" s="229">
        <f t="shared" ca="1" si="327"/>
        <v>0</v>
      </c>
      <c r="DG56" s="229">
        <f t="shared" ca="1" si="327"/>
        <v>0</v>
      </c>
      <c r="DH56" s="229">
        <f t="shared" ca="1" si="327"/>
        <v>0</v>
      </c>
      <c r="DI56" s="229">
        <f t="shared" ca="1" si="327"/>
        <v>0</v>
      </c>
      <c r="DJ56" s="229">
        <f t="shared" ca="1" si="327"/>
        <v>0</v>
      </c>
      <c r="DK56" s="229">
        <f t="shared" ca="1" si="327"/>
        <v>0</v>
      </c>
      <c r="DL56" s="229">
        <f t="shared" ca="1" si="327"/>
        <v>0</v>
      </c>
      <c r="DM56" s="229">
        <f t="shared" ca="1" si="327"/>
        <v>0</v>
      </c>
      <c r="DN56" s="229">
        <f t="shared" ca="1" si="327"/>
        <v>0</v>
      </c>
      <c r="DO56" s="229">
        <f t="shared" ca="1" si="327"/>
        <v>0</v>
      </c>
      <c r="DP56" s="229">
        <f t="shared" ca="1" si="327"/>
        <v>0</v>
      </c>
      <c r="DQ56" s="229">
        <f t="shared" ca="1" si="327"/>
        <v>0</v>
      </c>
      <c r="DR56" s="229">
        <f t="shared" ca="1" si="327"/>
        <v>0</v>
      </c>
      <c r="DS56" s="229">
        <f t="shared" ca="1" si="327"/>
        <v>0</v>
      </c>
      <c r="DT56" s="229">
        <f t="shared" ca="1" si="327"/>
        <v>0</v>
      </c>
      <c r="DU56" s="229">
        <f t="shared" ca="1" si="327"/>
        <v>0</v>
      </c>
      <c r="DV56" s="229">
        <f t="shared" ca="1" si="327"/>
        <v>0</v>
      </c>
    </row>
    <row r="58" spans="1:126" s="180" customFormat="1" ht="27">
      <c r="A58" s="464" t="s">
        <v>76</v>
      </c>
      <c r="B58" s="509">
        <f>IF(LEN('BESS 12'!F321)=5,'BESS 12'!F321,(IF('BESS 12'!F321="Completed"," ",DATEVALUE(RIGHT('BESS 12'!F321,6)))))</f>
        <v>46282</v>
      </c>
      <c r="C58" s="509">
        <f>IF(LEN('BESS 12'!G321)=5,'BESS 12'!G321,(IF('BESS 12'!G321="Completed"," ",DATEVALUE(RIGHT('BESS 12'!G321,6)))))</f>
        <v>46287</v>
      </c>
      <c r="D58" s="455">
        <f>IF(LEN('BESS 12'!H321)=5,'BESS 12'!H321,(IF('BESS 12'!H321="Completed"," ",DATEVALUE(RIGHT('BESS 12'!H321,6)))))</f>
        <v>46290</v>
      </c>
      <c r="E58" s="226" t="s">
        <v>10</v>
      </c>
      <c r="F58" s="217" t="s">
        <v>58</v>
      </c>
      <c r="G58" s="217" t="s">
        <v>78</v>
      </c>
      <c r="H58" s="217" t="s">
        <v>87</v>
      </c>
      <c r="I58" s="217" t="s">
        <v>59</v>
      </c>
      <c r="J58" s="129"/>
      <c r="K58" s="216" t="s">
        <v>80</v>
      </c>
      <c r="L58" s="216" t="s">
        <v>62</v>
      </c>
      <c r="M58" s="218">
        <v>46195</v>
      </c>
      <c r="N58" s="218">
        <v>46196</v>
      </c>
      <c r="O58" s="218">
        <v>46197</v>
      </c>
      <c r="P58" s="218">
        <f t="shared" ref="P58:CA58" si="328">O58+1</f>
        <v>46198</v>
      </c>
      <c r="Q58" s="218">
        <f t="shared" si="328"/>
        <v>46199</v>
      </c>
      <c r="R58" s="218">
        <f t="shared" si="328"/>
        <v>46200</v>
      </c>
      <c r="S58" s="218">
        <f t="shared" si="328"/>
        <v>46201</v>
      </c>
      <c r="T58" s="218">
        <f t="shared" si="328"/>
        <v>46202</v>
      </c>
      <c r="U58" s="218">
        <f t="shared" si="328"/>
        <v>46203</v>
      </c>
      <c r="V58" s="218">
        <f t="shared" si="328"/>
        <v>46204</v>
      </c>
      <c r="W58" s="218">
        <f t="shared" si="328"/>
        <v>46205</v>
      </c>
      <c r="X58" s="218">
        <f t="shared" si="328"/>
        <v>46206</v>
      </c>
      <c r="Y58" s="218">
        <f t="shared" si="328"/>
        <v>46207</v>
      </c>
      <c r="Z58" s="218">
        <f t="shared" si="328"/>
        <v>46208</v>
      </c>
      <c r="AA58" s="218">
        <f t="shared" si="328"/>
        <v>46209</v>
      </c>
      <c r="AB58" s="218">
        <f t="shared" si="328"/>
        <v>46210</v>
      </c>
      <c r="AC58" s="218">
        <f t="shared" si="328"/>
        <v>46211</v>
      </c>
      <c r="AD58" s="218">
        <f t="shared" si="328"/>
        <v>46212</v>
      </c>
      <c r="AE58" s="218">
        <f t="shared" si="328"/>
        <v>46213</v>
      </c>
      <c r="AF58" s="218">
        <f t="shared" si="328"/>
        <v>46214</v>
      </c>
      <c r="AG58" s="218">
        <f t="shared" si="328"/>
        <v>46215</v>
      </c>
      <c r="AH58" s="218">
        <f t="shared" si="328"/>
        <v>46216</v>
      </c>
      <c r="AI58" s="218">
        <f t="shared" si="328"/>
        <v>46217</v>
      </c>
      <c r="AJ58" s="218">
        <f t="shared" si="328"/>
        <v>46218</v>
      </c>
      <c r="AK58" s="218">
        <f t="shared" si="328"/>
        <v>46219</v>
      </c>
      <c r="AL58" s="218">
        <f t="shared" si="328"/>
        <v>46220</v>
      </c>
      <c r="AM58" s="218">
        <f t="shared" si="328"/>
        <v>46221</v>
      </c>
      <c r="AN58" s="218">
        <f t="shared" si="328"/>
        <v>46222</v>
      </c>
      <c r="AO58" s="218">
        <f t="shared" si="328"/>
        <v>46223</v>
      </c>
      <c r="AP58" s="218">
        <f t="shared" si="328"/>
        <v>46224</v>
      </c>
      <c r="AQ58" s="218">
        <f t="shared" si="328"/>
        <v>46225</v>
      </c>
      <c r="AR58" s="218">
        <f t="shared" si="328"/>
        <v>46226</v>
      </c>
      <c r="AS58" s="218">
        <f t="shared" si="328"/>
        <v>46227</v>
      </c>
      <c r="AT58" s="218">
        <f t="shared" si="328"/>
        <v>46228</v>
      </c>
      <c r="AU58" s="218">
        <f t="shared" si="328"/>
        <v>46229</v>
      </c>
      <c r="AV58" s="218">
        <f t="shared" si="328"/>
        <v>46230</v>
      </c>
      <c r="AW58" s="218">
        <f t="shared" si="328"/>
        <v>46231</v>
      </c>
      <c r="AX58" s="218">
        <f t="shared" si="328"/>
        <v>46232</v>
      </c>
      <c r="AY58" s="218">
        <f t="shared" si="328"/>
        <v>46233</v>
      </c>
      <c r="AZ58" s="218">
        <f t="shared" si="328"/>
        <v>46234</v>
      </c>
      <c r="BA58" s="218">
        <f t="shared" si="328"/>
        <v>46235</v>
      </c>
      <c r="BB58" s="218">
        <f t="shared" si="328"/>
        <v>46236</v>
      </c>
      <c r="BC58" s="218">
        <f t="shared" si="328"/>
        <v>46237</v>
      </c>
      <c r="BD58" s="218">
        <f t="shared" si="328"/>
        <v>46238</v>
      </c>
      <c r="BE58" s="218">
        <f t="shared" si="328"/>
        <v>46239</v>
      </c>
      <c r="BF58" s="218">
        <f t="shared" si="328"/>
        <v>46240</v>
      </c>
      <c r="BG58" s="218">
        <f t="shared" si="328"/>
        <v>46241</v>
      </c>
      <c r="BH58" s="218">
        <f t="shared" si="328"/>
        <v>46242</v>
      </c>
      <c r="BI58" s="218">
        <f t="shared" si="328"/>
        <v>46243</v>
      </c>
      <c r="BJ58" s="218">
        <f t="shared" si="328"/>
        <v>46244</v>
      </c>
      <c r="BK58" s="218">
        <f t="shared" si="328"/>
        <v>46245</v>
      </c>
      <c r="BL58" s="218">
        <f t="shared" si="328"/>
        <v>46246</v>
      </c>
      <c r="BM58" s="218">
        <f t="shared" si="328"/>
        <v>46247</v>
      </c>
      <c r="BN58" s="218">
        <f t="shared" si="328"/>
        <v>46248</v>
      </c>
      <c r="BO58" s="218">
        <f t="shared" si="328"/>
        <v>46249</v>
      </c>
      <c r="BP58" s="218">
        <f t="shared" si="328"/>
        <v>46250</v>
      </c>
      <c r="BQ58" s="218">
        <f t="shared" si="328"/>
        <v>46251</v>
      </c>
      <c r="BR58" s="218">
        <f t="shared" si="328"/>
        <v>46252</v>
      </c>
      <c r="BS58" s="218">
        <f t="shared" si="328"/>
        <v>46253</v>
      </c>
      <c r="BT58" s="218">
        <f t="shared" si="328"/>
        <v>46254</v>
      </c>
      <c r="BU58" s="218">
        <f t="shared" si="328"/>
        <v>46255</v>
      </c>
      <c r="BV58" s="218">
        <f t="shared" si="328"/>
        <v>46256</v>
      </c>
      <c r="BW58" s="218">
        <f t="shared" si="328"/>
        <v>46257</v>
      </c>
      <c r="BX58" s="218">
        <f t="shared" si="328"/>
        <v>46258</v>
      </c>
      <c r="BY58" s="218">
        <f t="shared" si="328"/>
        <v>46259</v>
      </c>
      <c r="BZ58" s="218">
        <f t="shared" si="328"/>
        <v>46260</v>
      </c>
      <c r="CA58" s="218">
        <f t="shared" si="328"/>
        <v>46261</v>
      </c>
      <c r="CB58" s="218">
        <f t="shared" ref="CB58:CT58" si="329">CA58+1</f>
        <v>46262</v>
      </c>
      <c r="CC58" s="218">
        <f t="shared" si="329"/>
        <v>46263</v>
      </c>
      <c r="CD58" s="218">
        <f t="shared" si="329"/>
        <v>46264</v>
      </c>
      <c r="CE58" s="218">
        <f t="shared" si="329"/>
        <v>46265</v>
      </c>
      <c r="CF58" s="218">
        <f t="shared" si="329"/>
        <v>46266</v>
      </c>
      <c r="CG58" s="218">
        <f t="shared" si="329"/>
        <v>46267</v>
      </c>
      <c r="CH58" s="218">
        <f t="shared" si="329"/>
        <v>46268</v>
      </c>
      <c r="CI58" s="218">
        <f t="shared" si="329"/>
        <v>46269</v>
      </c>
      <c r="CJ58" s="218">
        <f t="shared" si="329"/>
        <v>46270</v>
      </c>
      <c r="CK58" s="218">
        <f t="shared" si="329"/>
        <v>46271</v>
      </c>
      <c r="CL58" s="218">
        <f t="shared" si="329"/>
        <v>46272</v>
      </c>
      <c r="CM58" s="218">
        <f t="shared" si="329"/>
        <v>46273</v>
      </c>
      <c r="CN58" s="218">
        <f t="shared" si="329"/>
        <v>46274</v>
      </c>
      <c r="CO58" s="218">
        <f t="shared" si="329"/>
        <v>46275</v>
      </c>
      <c r="CP58" s="218">
        <f t="shared" si="329"/>
        <v>46276</v>
      </c>
      <c r="CQ58" s="218">
        <f t="shared" si="329"/>
        <v>46277</v>
      </c>
      <c r="CR58" s="218">
        <f t="shared" si="329"/>
        <v>46278</v>
      </c>
      <c r="CS58" s="218">
        <f t="shared" si="329"/>
        <v>46279</v>
      </c>
      <c r="CT58" s="218">
        <f t="shared" si="329"/>
        <v>46280</v>
      </c>
      <c r="CU58" s="218">
        <f t="shared" ref="CU58" si="330">CT58+1</f>
        <v>46281</v>
      </c>
      <c r="CV58" s="218">
        <f t="shared" ref="CV58" si="331">CU58+1</f>
        <v>46282</v>
      </c>
      <c r="CW58" s="218">
        <f t="shared" ref="CW58" si="332">CV58+1</f>
        <v>46283</v>
      </c>
      <c r="CX58" s="218">
        <f t="shared" ref="CX58" si="333">CW58+1</f>
        <v>46284</v>
      </c>
      <c r="CY58" s="218">
        <f t="shared" ref="CY58" si="334">CX58+1</f>
        <v>46285</v>
      </c>
      <c r="CZ58" s="218">
        <f t="shared" ref="CZ58" si="335">CY58+1</f>
        <v>46286</v>
      </c>
      <c r="DA58" s="218">
        <f t="shared" ref="DA58" si="336">CZ58+1</f>
        <v>46287</v>
      </c>
      <c r="DB58" s="218">
        <f t="shared" ref="DB58" si="337">DA58+1</f>
        <v>46288</v>
      </c>
      <c r="DC58" s="218">
        <f t="shared" ref="DC58" si="338">DB58+1</f>
        <v>46289</v>
      </c>
      <c r="DD58" s="218">
        <f t="shared" ref="DD58" si="339">DC58+1</f>
        <v>46290</v>
      </c>
      <c r="DE58" s="218">
        <f t="shared" ref="DE58" si="340">DD58+1</f>
        <v>46291</v>
      </c>
      <c r="DF58" s="218">
        <f t="shared" ref="DF58" si="341">DE58+1</f>
        <v>46292</v>
      </c>
      <c r="DG58" s="218">
        <f t="shared" ref="DG58" si="342">DF58+1</f>
        <v>46293</v>
      </c>
      <c r="DH58" s="218">
        <f t="shared" ref="DH58" si="343">DG58+1</f>
        <v>46294</v>
      </c>
      <c r="DI58" s="218">
        <f t="shared" ref="DI58" si="344">DH58+1</f>
        <v>46295</v>
      </c>
      <c r="DJ58" s="218">
        <f t="shared" ref="DJ58" si="345">DI58+1</f>
        <v>46296</v>
      </c>
      <c r="DK58" s="218">
        <f t="shared" ref="DK58" si="346">DJ58+1</f>
        <v>46297</v>
      </c>
      <c r="DL58" s="218">
        <f t="shared" ref="DL58" si="347">DK58+1</f>
        <v>46298</v>
      </c>
      <c r="DM58" s="218">
        <f t="shared" ref="DM58" si="348">DL58+1</f>
        <v>46299</v>
      </c>
      <c r="DN58" s="218">
        <f t="shared" ref="DN58" si="349">DM58+1</f>
        <v>46300</v>
      </c>
      <c r="DO58" s="218">
        <f t="shared" ref="DO58" si="350">DN58+1</f>
        <v>46301</v>
      </c>
      <c r="DP58" s="218">
        <f t="shared" ref="DP58" si="351">DO58+1</f>
        <v>46302</v>
      </c>
      <c r="DQ58" s="218">
        <f t="shared" ref="DQ58" si="352">DP58+1</f>
        <v>46303</v>
      </c>
      <c r="DR58" s="218">
        <f t="shared" ref="DR58" si="353">DQ58+1</f>
        <v>46304</v>
      </c>
      <c r="DS58" s="218">
        <f t="shared" ref="DS58" si="354">DR58+1</f>
        <v>46305</v>
      </c>
      <c r="DT58" s="218">
        <f t="shared" ref="DT58" si="355">DS58+1</f>
        <v>46306</v>
      </c>
      <c r="DU58" s="218">
        <f t="shared" ref="DU58" si="356">DT58+1</f>
        <v>46307</v>
      </c>
      <c r="DV58" s="218">
        <f t="shared" ref="DV58" si="357">DU58+1</f>
        <v>46308</v>
      </c>
    </row>
    <row r="59" spans="1:126">
      <c r="A59" s="464"/>
      <c r="B59" s="509"/>
      <c r="C59" s="509"/>
      <c r="D59" s="456"/>
      <c r="E59" s="185" t="s">
        <v>64</v>
      </c>
      <c r="F59" s="66" t="e">
        <f>SUM('BESS 12'!S334:S341,'BESS 12'!S343)</f>
        <v>#VALUE!</v>
      </c>
      <c r="G59" s="182">
        <f>H59-10</f>
        <v>46242</v>
      </c>
      <c r="H59" s="162">
        <f>MAX('BESS 12'!O334:O340)</f>
        <v>46252</v>
      </c>
      <c r="I59" s="66">
        <f t="shared" ref="I59:I61" si="358">H59-G59</f>
        <v>10</v>
      </c>
      <c r="J59" s="444">
        <f>K59*1.2</f>
        <v>21</v>
      </c>
      <c r="K59" s="506">
        <f>AVERAGEIF(M64:CT64,"&gt;0")</f>
        <v>17.5</v>
      </c>
      <c r="L59" s="506" t="e">
        <f>MAX(M64:CT64)</f>
        <v>#VALUE!</v>
      </c>
      <c r="M59" s="65" t="str">
        <f t="shared" ref="M59:AB62" si="359">IF(AND(M$2&gt;=$G59,M$2&lt;($G59+$I59)),ROUND($F59/$I59,0),"-")</f>
        <v>-</v>
      </c>
      <c r="N59" s="65" t="str">
        <f t="shared" si="359"/>
        <v>-</v>
      </c>
      <c r="O59" s="65" t="str">
        <f t="shared" si="359"/>
        <v>-</v>
      </c>
      <c r="P59" s="65" t="str">
        <f t="shared" si="359"/>
        <v>-</v>
      </c>
      <c r="Q59" s="65" t="str">
        <f t="shared" si="359"/>
        <v>-</v>
      </c>
      <c r="R59" s="65" t="str">
        <f t="shared" si="359"/>
        <v>-</v>
      </c>
      <c r="S59" s="65" t="str">
        <f t="shared" si="359"/>
        <v>-</v>
      </c>
      <c r="T59" s="65" t="str">
        <f t="shared" si="359"/>
        <v>-</v>
      </c>
      <c r="U59" s="65" t="str">
        <f t="shared" si="359"/>
        <v>-</v>
      </c>
      <c r="V59" s="65" t="str">
        <f t="shared" si="359"/>
        <v>-</v>
      </c>
      <c r="W59" s="65" t="str">
        <f t="shared" si="359"/>
        <v>-</v>
      </c>
      <c r="X59" s="65" t="str">
        <f t="shared" si="359"/>
        <v>-</v>
      </c>
      <c r="Y59" s="65" t="str">
        <f t="shared" si="359"/>
        <v>-</v>
      </c>
      <c r="Z59" s="65" t="str">
        <f t="shared" si="359"/>
        <v>-</v>
      </c>
      <c r="AA59" s="65" t="str">
        <f t="shared" si="359"/>
        <v>-</v>
      </c>
      <c r="AB59" s="65" t="str">
        <f t="shared" si="359"/>
        <v>-</v>
      </c>
      <c r="AC59" s="65" t="str">
        <f t="shared" ref="AC59:AR62" si="360">IF(AND(AC$2&gt;=$G59,AC$2&lt;($G59+$I59)),ROUND($F59/$I59,0),"-")</f>
        <v>-</v>
      </c>
      <c r="AD59" s="65" t="str">
        <f t="shared" si="360"/>
        <v>-</v>
      </c>
      <c r="AE59" s="65" t="str">
        <f t="shared" si="360"/>
        <v>-</v>
      </c>
      <c r="AF59" s="65" t="str">
        <f t="shared" si="360"/>
        <v>-</v>
      </c>
      <c r="AG59" s="65" t="str">
        <f t="shared" si="360"/>
        <v>-</v>
      </c>
      <c r="AH59" s="65" t="str">
        <f t="shared" si="360"/>
        <v>-</v>
      </c>
      <c r="AI59" s="65" t="str">
        <f t="shared" si="360"/>
        <v>-</v>
      </c>
      <c r="AJ59" s="65" t="str">
        <f t="shared" si="360"/>
        <v>-</v>
      </c>
      <c r="AK59" s="65" t="str">
        <f t="shared" si="360"/>
        <v>-</v>
      </c>
      <c r="AL59" s="65" t="str">
        <f t="shared" si="360"/>
        <v>-</v>
      </c>
      <c r="AM59" s="65" t="str">
        <f t="shared" si="360"/>
        <v>-</v>
      </c>
      <c r="AN59" s="65" t="str">
        <f t="shared" si="360"/>
        <v>-</v>
      </c>
      <c r="AO59" s="65" t="str">
        <f t="shared" si="360"/>
        <v>-</v>
      </c>
      <c r="AP59" s="65" t="str">
        <f t="shared" si="360"/>
        <v>-</v>
      </c>
      <c r="AQ59" s="65" t="str">
        <f t="shared" si="360"/>
        <v>-</v>
      </c>
      <c r="AR59" s="65" t="str">
        <f t="shared" si="360"/>
        <v>-</v>
      </c>
      <c r="AS59" s="65" t="str">
        <f t="shared" ref="AS59:BH62" si="361">IF(AND(AS$2&gt;=$G59,AS$2&lt;($G59+$I59)),ROUND($F59/$I59,0),"-")</f>
        <v>-</v>
      </c>
      <c r="AT59" s="65" t="str">
        <f t="shared" si="361"/>
        <v>-</v>
      </c>
      <c r="AU59" s="65" t="str">
        <f t="shared" si="361"/>
        <v>-</v>
      </c>
      <c r="AV59" s="65" t="str">
        <f t="shared" si="361"/>
        <v>-</v>
      </c>
      <c r="AW59" s="65" t="str">
        <f t="shared" si="361"/>
        <v>-</v>
      </c>
      <c r="AX59" s="65" t="str">
        <f t="shared" si="361"/>
        <v>-</v>
      </c>
      <c r="AY59" s="65" t="str">
        <f t="shared" si="361"/>
        <v>-</v>
      </c>
      <c r="AZ59" s="65" t="str">
        <f t="shared" si="361"/>
        <v>-</v>
      </c>
      <c r="BA59" s="65" t="str">
        <f t="shared" si="361"/>
        <v>-</v>
      </c>
      <c r="BB59" s="65" t="str">
        <f t="shared" si="361"/>
        <v>-</v>
      </c>
      <c r="BC59" s="65" t="str">
        <f t="shared" si="361"/>
        <v>-</v>
      </c>
      <c r="BD59" s="65" t="str">
        <f t="shared" si="361"/>
        <v>-</v>
      </c>
      <c r="BE59" s="65" t="str">
        <f t="shared" si="361"/>
        <v>-</v>
      </c>
      <c r="BF59" s="65" t="str">
        <f t="shared" si="361"/>
        <v>-</v>
      </c>
      <c r="BG59" s="65" t="str">
        <f t="shared" si="361"/>
        <v>-</v>
      </c>
      <c r="BH59" s="65" t="e">
        <f t="shared" si="361"/>
        <v>#VALUE!</v>
      </c>
      <c r="BI59" s="65" t="e">
        <f t="shared" ref="BI59:BX62" si="362">IF(AND(BI$2&gt;=$G59,BI$2&lt;($G59+$I59)),ROUND($F59/$I59,0),"-")</f>
        <v>#VALUE!</v>
      </c>
      <c r="BJ59" s="65" t="e">
        <f t="shared" si="362"/>
        <v>#VALUE!</v>
      </c>
      <c r="BK59" s="65" t="e">
        <f t="shared" si="362"/>
        <v>#VALUE!</v>
      </c>
      <c r="BL59" s="65" t="e">
        <f t="shared" si="362"/>
        <v>#VALUE!</v>
      </c>
      <c r="BM59" s="65" t="e">
        <f t="shared" si="362"/>
        <v>#VALUE!</v>
      </c>
      <c r="BN59" s="65" t="e">
        <f t="shared" si="362"/>
        <v>#VALUE!</v>
      </c>
      <c r="BO59" s="65" t="e">
        <f t="shared" si="362"/>
        <v>#VALUE!</v>
      </c>
      <c r="BP59" s="65" t="e">
        <f t="shared" si="362"/>
        <v>#VALUE!</v>
      </c>
      <c r="BQ59" s="65" t="e">
        <f t="shared" si="362"/>
        <v>#VALUE!</v>
      </c>
      <c r="BR59" s="65" t="str">
        <f t="shared" si="362"/>
        <v>-</v>
      </c>
      <c r="BS59" s="65" t="str">
        <f t="shared" si="362"/>
        <v>-</v>
      </c>
      <c r="BT59" s="65" t="str">
        <f t="shared" si="362"/>
        <v>-</v>
      </c>
      <c r="BU59" s="65" t="str">
        <f t="shared" si="362"/>
        <v>-</v>
      </c>
      <c r="BV59" s="65" t="str">
        <f t="shared" si="362"/>
        <v>-</v>
      </c>
      <c r="BW59" s="65" t="str">
        <f t="shared" si="362"/>
        <v>-</v>
      </c>
      <c r="BX59" s="65" t="str">
        <f t="shared" si="362"/>
        <v>-</v>
      </c>
      <c r="BY59" s="65" t="str">
        <f t="shared" ref="BY59:CN62" si="363">IF(AND(BY$2&gt;=$G59,BY$2&lt;($G59+$I59)),ROUND($F59/$I59,0),"-")</f>
        <v>-</v>
      </c>
      <c r="BZ59" s="65" t="str">
        <f t="shared" si="363"/>
        <v>-</v>
      </c>
      <c r="CA59" s="65" t="str">
        <f t="shared" si="363"/>
        <v>-</v>
      </c>
      <c r="CB59" s="65" t="str">
        <f t="shared" si="363"/>
        <v>-</v>
      </c>
      <c r="CC59" s="65" t="str">
        <f t="shared" si="363"/>
        <v>-</v>
      </c>
      <c r="CD59" s="65" t="str">
        <f t="shared" si="363"/>
        <v>-</v>
      </c>
      <c r="CE59" s="65" t="str">
        <f t="shared" si="363"/>
        <v>-</v>
      </c>
      <c r="CF59" s="65" t="str">
        <f t="shared" si="363"/>
        <v>-</v>
      </c>
      <c r="CG59" s="65" t="str">
        <f t="shared" si="363"/>
        <v>-</v>
      </c>
      <c r="CH59" s="65" t="str">
        <f t="shared" si="363"/>
        <v>-</v>
      </c>
      <c r="CI59" s="65" t="str">
        <f t="shared" si="363"/>
        <v>-</v>
      </c>
      <c r="CJ59" s="65" t="str">
        <f t="shared" si="363"/>
        <v>-</v>
      </c>
      <c r="CK59" s="65" t="str">
        <f t="shared" si="363"/>
        <v>-</v>
      </c>
      <c r="CL59" s="65" t="str">
        <f t="shared" si="363"/>
        <v>-</v>
      </c>
      <c r="CM59" s="65" t="str">
        <f t="shared" si="363"/>
        <v>-</v>
      </c>
      <c r="CN59" s="65" t="str">
        <f t="shared" si="363"/>
        <v>-</v>
      </c>
      <c r="CO59" s="65" t="str">
        <f t="shared" ref="CO59:DD62" si="364">IF(AND(CO$2&gt;=$G59,CO$2&lt;($G59+$I59)),ROUND($F59/$I59,0),"-")</f>
        <v>-</v>
      </c>
      <c r="CP59" s="65" t="str">
        <f t="shared" si="364"/>
        <v>-</v>
      </c>
      <c r="CQ59" s="65" t="str">
        <f t="shared" si="364"/>
        <v>-</v>
      </c>
      <c r="CR59" s="65" t="str">
        <f t="shared" si="364"/>
        <v>-</v>
      </c>
      <c r="CS59" s="65" t="str">
        <f t="shared" si="364"/>
        <v>-</v>
      </c>
      <c r="CT59" s="65" t="str">
        <f t="shared" si="364"/>
        <v>-</v>
      </c>
      <c r="CU59" s="65" t="str">
        <f t="shared" si="364"/>
        <v>-</v>
      </c>
      <c r="CV59" s="65" t="str">
        <f t="shared" si="364"/>
        <v>-</v>
      </c>
      <c r="CW59" s="65" t="str">
        <f t="shared" si="364"/>
        <v>-</v>
      </c>
      <c r="CX59" s="65" t="str">
        <f t="shared" si="364"/>
        <v>-</v>
      </c>
      <c r="CY59" s="65" t="str">
        <f t="shared" si="364"/>
        <v>-</v>
      </c>
      <c r="CZ59" s="65" t="str">
        <f t="shared" si="364"/>
        <v>-</v>
      </c>
      <c r="DA59" s="65" t="str">
        <f t="shared" si="364"/>
        <v>-</v>
      </c>
      <c r="DB59" s="65" t="str">
        <f t="shared" si="364"/>
        <v>-</v>
      </c>
      <c r="DC59" s="65" t="str">
        <f t="shared" si="364"/>
        <v>-</v>
      </c>
      <c r="DD59" s="65" t="str">
        <f t="shared" si="364"/>
        <v>-</v>
      </c>
      <c r="DE59" s="65" t="str">
        <f t="shared" ref="CU59:DV62" si="365">IF(AND(DE$2&gt;=$G59,DE$2&lt;($G59+$I59)),ROUND($F59/$I59,0),"-")</f>
        <v>-</v>
      </c>
      <c r="DF59" s="65" t="str">
        <f t="shared" si="365"/>
        <v>-</v>
      </c>
      <c r="DG59" s="65" t="str">
        <f t="shared" si="365"/>
        <v>-</v>
      </c>
      <c r="DH59" s="65" t="str">
        <f t="shared" si="365"/>
        <v>-</v>
      </c>
      <c r="DI59" s="65" t="str">
        <f t="shared" si="365"/>
        <v>-</v>
      </c>
      <c r="DJ59" s="65" t="str">
        <f t="shared" si="365"/>
        <v>-</v>
      </c>
      <c r="DK59" s="65" t="str">
        <f t="shared" si="365"/>
        <v>-</v>
      </c>
      <c r="DL59" s="65" t="str">
        <f t="shared" si="365"/>
        <v>-</v>
      </c>
      <c r="DM59" s="65" t="str">
        <f t="shared" si="365"/>
        <v>-</v>
      </c>
      <c r="DN59" s="65" t="str">
        <f t="shared" si="365"/>
        <v>-</v>
      </c>
      <c r="DO59" s="65" t="str">
        <f t="shared" si="365"/>
        <v>-</v>
      </c>
      <c r="DP59" s="65" t="str">
        <f t="shared" si="365"/>
        <v>-</v>
      </c>
      <c r="DQ59" s="65" t="str">
        <f t="shared" si="365"/>
        <v>-</v>
      </c>
      <c r="DR59" s="65" t="str">
        <f t="shared" si="365"/>
        <v>-</v>
      </c>
      <c r="DS59" s="65" t="str">
        <f t="shared" si="365"/>
        <v>-</v>
      </c>
      <c r="DT59" s="65" t="str">
        <f t="shared" si="365"/>
        <v>-</v>
      </c>
      <c r="DU59" s="65" t="str">
        <f t="shared" si="365"/>
        <v>-</v>
      </c>
      <c r="DV59" s="65" t="str">
        <f t="shared" si="365"/>
        <v>-</v>
      </c>
    </row>
    <row r="60" spans="1:126">
      <c r="A60" s="464"/>
      <c r="B60" s="509"/>
      <c r="C60" s="509"/>
      <c r="D60" s="456"/>
      <c r="E60" s="185" t="s">
        <v>65</v>
      </c>
      <c r="F60" s="66" t="e">
        <f>SUM('BESS 12'!S344,'BESS 12'!S346:S347,'BESS 12'!S350:S352)</f>
        <v>#VALUE!</v>
      </c>
      <c r="G60" s="182">
        <f>H60-20</f>
        <v>46233</v>
      </c>
      <c r="H60" s="162">
        <f>MAX('BESS 12'!O344,'BESS 12'!O346:O347,'BESS 12'!O350,'BESS 12'!O351,'BESS 12'!O352)</f>
        <v>46253</v>
      </c>
      <c r="I60" s="66">
        <f t="shared" si="358"/>
        <v>20</v>
      </c>
      <c r="J60" s="453"/>
      <c r="K60" s="507"/>
      <c r="L60" s="476"/>
      <c r="M60" s="65" t="str">
        <f t="shared" si="359"/>
        <v>-</v>
      </c>
      <c r="N60" s="65" t="str">
        <f t="shared" si="359"/>
        <v>-</v>
      </c>
      <c r="O60" s="65" t="str">
        <f t="shared" si="359"/>
        <v>-</v>
      </c>
      <c r="P60" s="65" t="str">
        <f t="shared" si="359"/>
        <v>-</v>
      </c>
      <c r="Q60" s="65" t="str">
        <f t="shared" si="359"/>
        <v>-</v>
      </c>
      <c r="R60" s="65" t="str">
        <f t="shared" si="359"/>
        <v>-</v>
      </c>
      <c r="S60" s="65" t="str">
        <f t="shared" si="359"/>
        <v>-</v>
      </c>
      <c r="T60" s="65" t="str">
        <f t="shared" si="359"/>
        <v>-</v>
      </c>
      <c r="U60" s="65" t="str">
        <f t="shared" si="359"/>
        <v>-</v>
      </c>
      <c r="V60" s="65" t="str">
        <f t="shared" si="359"/>
        <v>-</v>
      </c>
      <c r="W60" s="65" t="str">
        <f t="shared" si="359"/>
        <v>-</v>
      </c>
      <c r="X60" s="65" t="str">
        <f t="shared" si="359"/>
        <v>-</v>
      </c>
      <c r="Y60" s="65" t="str">
        <f t="shared" si="359"/>
        <v>-</v>
      </c>
      <c r="Z60" s="65" t="str">
        <f t="shared" si="359"/>
        <v>-</v>
      </c>
      <c r="AA60" s="65" t="str">
        <f t="shared" si="359"/>
        <v>-</v>
      </c>
      <c r="AB60" s="65" t="str">
        <f t="shared" si="359"/>
        <v>-</v>
      </c>
      <c r="AC60" s="65" t="str">
        <f t="shared" si="360"/>
        <v>-</v>
      </c>
      <c r="AD60" s="65" t="str">
        <f t="shared" si="360"/>
        <v>-</v>
      </c>
      <c r="AE60" s="65" t="str">
        <f t="shared" si="360"/>
        <v>-</v>
      </c>
      <c r="AF60" s="65" t="str">
        <f t="shared" si="360"/>
        <v>-</v>
      </c>
      <c r="AG60" s="65" t="str">
        <f t="shared" si="360"/>
        <v>-</v>
      </c>
      <c r="AH60" s="65" t="str">
        <f t="shared" si="360"/>
        <v>-</v>
      </c>
      <c r="AI60" s="65" t="str">
        <f t="shared" si="360"/>
        <v>-</v>
      </c>
      <c r="AJ60" s="65" t="str">
        <f t="shared" si="360"/>
        <v>-</v>
      </c>
      <c r="AK60" s="65" t="str">
        <f t="shared" si="360"/>
        <v>-</v>
      </c>
      <c r="AL60" s="65" t="str">
        <f t="shared" si="360"/>
        <v>-</v>
      </c>
      <c r="AM60" s="65" t="str">
        <f t="shared" si="360"/>
        <v>-</v>
      </c>
      <c r="AN60" s="65" t="str">
        <f t="shared" si="360"/>
        <v>-</v>
      </c>
      <c r="AO60" s="65" t="str">
        <f t="shared" si="360"/>
        <v>-</v>
      </c>
      <c r="AP60" s="65" t="str">
        <f t="shared" si="360"/>
        <v>-</v>
      </c>
      <c r="AQ60" s="65" t="str">
        <f t="shared" si="360"/>
        <v>-</v>
      </c>
      <c r="AR60" s="65" t="str">
        <f t="shared" si="360"/>
        <v>-</v>
      </c>
      <c r="AS60" s="65" t="str">
        <f t="shared" si="361"/>
        <v>-</v>
      </c>
      <c r="AT60" s="65" t="str">
        <f t="shared" si="361"/>
        <v>-</v>
      </c>
      <c r="AU60" s="65" t="str">
        <f t="shared" si="361"/>
        <v>-</v>
      </c>
      <c r="AV60" s="65" t="str">
        <f t="shared" si="361"/>
        <v>-</v>
      </c>
      <c r="AW60" s="65" t="str">
        <f t="shared" si="361"/>
        <v>-</v>
      </c>
      <c r="AX60" s="65" t="str">
        <f t="shared" si="361"/>
        <v>-</v>
      </c>
      <c r="AY60" s="65" t="e">
        <f t="shared" si="361"/>
        <v>#VALUE!</v>
      </c>
      <c r="AZ60" s="65" t="e">
        <f t="shared" si="361"/>
        <v>#VALUE!</v>
      </c>
      <c r="BA60" s="65" t="e">
        <f t="shared" si="361"/>
        <v>#VALUE!</v>
      </c>
      <c r="BB60" s="65" t="e">
        <f t="shared" si="361"/>
        <v>#VALUE!</v>
      </c>
      <c r="BC60" s="65" t="e">
        <f t="shared" si="361"/>
        <v>#VALUE!</v>
      </c>
      <c r="BD60" s="65" t="e">
        <f t="shared" si="361"/>
        <v>#VALUE!</v>
      </c>
      <c r="BE60" s="65" t="e">
        <f t="shared" si="361"/>
        <v>#VALUE!</v>
      </c>
      <c r="BF60" s="65" t="e">
        <f t="shared" si="361"/>
        <v>#VALUE!</v>
      </c>
      <c r="BG60" s="65" t="e">
        <f t="shared" si="361"/>
        <v>#VALUE!</v>
      </c>
      <c r="BH60" s="65" t="e">
        <f t="shared" si="361"/>
        <v>#VALUE!</v>
      </c>
      <c r="BI60" s="65" t="e">
        <f t="shared" si="362"/>
        <v>#VALUE!</v>
      </c>
      <c r="BJ60" s="65" t="e">
        <f t="shared" si="362"/>
        <v>#VALUE!</v>
      </c>
      <c r="BK60" s="65" t="e">
        <f t="shared" si="362"/>
        <v>#VALUE!</v>
      </c>
      <c r="BL60" s="65" t="e">
        <f t="shared" si="362"/>
        <v>#VALUE!</v>
      </c>
      <c r="BM60" s="65" t="e">
        <f t="shared" si="362"/>
        <v>#VALUE!</v>
      </c>
      <c r="BN60" s="65" t="e">
        <f t="shared" si="362"/>
        <v>#VALUE!</v>
      </c>
      <c r="BO60" s="65" t="e">
        <f t="shared" si="362"/>
        <v>#VALUE!</v>
      </c>
      <c r="BP60" s="65" t="e">
        <f t="shared" si="362"/>
        <v>#VALUE!</v>
      </c>
      <c r="BQ60" s="65" t="e">
        <f t="shared" si="362"/>
        <v>#VALUE!</v>
      </c>
      <c r="BR60" s="65" t="e">
        <f t="shared" si="362"/>
        <v>#VALUE!</v>
      </c>
      <c r="BS60" s="65" t="str">
        <f t="shared" si="362"/>
        <v>-</v>
      </c>
      <c r="BT60" s="65" t="str">
        <f t="shared" si="362"/>
        <v>-</v>
      </c>
      <c r="BU60" s="65" t="str">
        <f t="shared" si="362"/>
        <v>-</v>
      </c>
      <c r="BV60" s="65" t="str">
        <f t="shared" si="362"/>
        <v>-</v>
      </c>
      <c r="BW60" s="65" t="str">
        <f t="shared" si="362"/>
        <v>-</v>
      </c>
      <c r="BX60" s="65" t="str">
        <f t="shared" si="362"/>
        <v>-</v>
      </c>
      <c r="BY60" s="65" t="str">
        <f t="shared" si="363"/>
        <v>-</v>
      </c>
      <c r="BZ60" s="65" t="str">
        <f t="shared" si="363"/>
        <v>-</v>
      </c>
      <c r="CA60" s="65" t="str">
        <f t="shared" si="363"/>
        <v>-</v>
      </c>
      <c r="CB60" s="65" t="str">
        <f t="shared" si="363"/>
        <v>-</v>
      </c>
      <c r="CC60" s="65" t="str">
        <f t="shared" si="363"/>
        <v>-</v>
      </c>
      <c r="CD60" s="65" t="str">
        <f t="shared" si="363"/>
        <v>-</v>
      </c>
      <c r="CE60" s="65" t="str">
        <f t="shared" si="363"/>
        <v>-</v>
      </c>
      <c r="CF60" s="65" t="str">
        <f t="shared" si="363"/>
        <v>-</v>
      </c>
      <c r="CG60" s="65" t="str">
        <f t="shared" si="363"/>
        <v>-</v>
      </c>
      <c r="CH60" s="65" t="str">
        <f t="shared" si="363"/>
        <v>-</v>
      </c>
      <c r="CI60" s="65" t="str">
        <f t="shared" si="363"/>
        <v>-</v>
      </c>
      <c r="CJ60" s="65" t="str">
        <f t="shared" si="363"/>
        <v>-</v>
      </c>
      <c r="CK60" s="65" t="str">
        <f t="shared" si="363"/>
        <v>-</v>
      </c>
      <c r="CL60" s="65" t="str">
        <f t="shared" si="363"/>
        <v>-</v>
      </c>
      <c r="CM60" s="65" t="str">
        <f t="shared" si="363"/>
        <v>-</v>
      </c>
      <c r="CN60" s="65" t="str">
        <f t="shared" si="363"/>
        <v>-</v>
      </c>
      <c r="CO60" s="65" t="str">
        <f t="shared" si="364"/>
        <v>-</v>
      </c>
      <c r="CP60" s="65" t="str">
        <f t="shared" si="364"/>
        <v>-</v>
      </c>
      <c r="CQ60" s="65" t="str">
        <f t="shared" si="364"/>
        <v>-</v>
      </c>
      <c r="CR60" s="65" t="str">
        <f t="shared" si="364"/>
        <v>-</v>
      </c>
      <c r="CS60" s="65" t="str">
        <f t="shared" si="364"/>
        <v>-</v>
      </c>
      <c r="CT60" s="65" t="str">
        <f t="shared" si="364"/>
        <v>-</v>
      </c>
      <c r="CU60" s="65" t="str">
        <f t="shared" si="365"/>
        <v>-</v>
      </c>
      <c r="CV60" s="65" t="str">
        <f t="shared" si="365"/>
        <v>-</v>
      </c>
      <c r="CW60" s="65" t="str">
        <f t="shared" si="365"/>
        <v>-</v>
      </c>
      <c r="CX60" s="65" t="str">
        <f t="shared" si="365"/>
        <v>-</v>
      </c>
      <c r="CY60" s="65" t="str">
        <f t="shared" si="365"/>
        <v>-</v>
      </c>
      <c r="CZ60" s="65" t="str">
        <f t="shared" si="365"/>
        <v>-</v>
      </c>
      <c r="DA60" s="65" t="str">
        <f t="shared" si="365"/>
        <v>-</v>
      </c>
      <c r="DB60" s="65" t="str">
        <f t="shared" si="365"/>
        <v>-</v>
      </c>
      <c r="DC60" s="65" t="str">
        <f t="shared" si="365"/>
        <v>-</v>
      </c>
      <c r="DD60" s="65" t="str">
        <f t="shared" si="365"/>
        <v>-</v>
      </c>
      <c r="DE60" s="65" t="str">
        <f t="shared" si="365"/>
        <v>-</v>
      </c>
      <c r="DF60" s="65" t="str">
        <f t="shared" si="365"/>
        <v>-</v>
      </c>
      <c r="DG60" s="65" t="str">
        <f t="shared" si="365"/>
        <v>-</v>
      </c>
      <c r="DH60" s="65" t="str">
        <f t="shared" si="365"/>
        <v>-</v>
      </c>
      <c r="DI60" s="65" t="str">
        <f t="shared" si="365"/>
        <v>-</v>
      </c>
      <c r="DJ60" s="65" t="str">
        <f t="shared" si="365"/>
        <v>-</v>
      </c>
      <c r="DK60" s="65" t="str">
        <f t="shared" si="365"/>
        <v>-</v>
      </c>
      <c r="DL60" s="65" t="str">
        <f t="shared" si="365"/>
        <v>-</v>
      </c>
      <c r="DM60" s="65" t="str">
        <f t="shared" si="365"/>
        <v>-</v>
      </c>
      <c r="DN60" s="65" t="str">
        <f t="shared" si="365"/>
        <v>-</v>
      </c>
      <c r="DO60" s="65" t="str">
        <f t="shared" si="365"/>
        <v>-</v>
      </c>
      <c r="DP60" s="65" t="str">
        <f t="shared" si="365"/>
        <v>-</v>
      </c>
      <c r="DQ60" s="65" t="str">
        <f t="shared" si="365"/>
        <v>-</v>
      </c>
      <c r="DR60" s="65" t="str">
        <f t="shared" si="365"/>
        <v>-</v>
      </c>
      <c r="DS60" s="65" t="str">
        <f t="shared" si="365"/>
        <v>-</v>
      </c>
      <c r="DT60" s="65" t="str">
        <f t="shared" si="365"/>
        <v>-</v>
      </c>
      <c r="DU60" s="65" t="str">
        <f t="shared" si="365"/>
        <v>-</v>
      </c>
      <c r="DV60" s="65" t="str">
        <f t="shared" si="365"/>
        <v>-</v>
      </c>
    </row>
    <row r="61" spans="1:126">
      <c r="A61" s="464"/>
      <c r="B61" s="509"/>
      <c r="C61" s="509"/>
      <c r="D61" s="456"/>
      <c r="E61" s="185" t="s">
        <v>66</v>
      </c>
      <c r="F61" s="66" t="e">
        <f>SUM('BESS 12'!S345,'BESS 12'!S348:S349,'BESS 12'!S353:S354)</f>
        <v>#VALUE!</v>
      </c>
      <c r="G61" s="182">
        <f>H61-20</f>
        <v>46254</v>
      </c>
      <c r="H61" s="162">
        <f>MAX('BESS 12'!O345,'BESS 12'!O348:O349,'BESS 12'!O353,'BESS 12'!O354:O355)</f>
        <v>46274</v>
      </c>
      <c r="I61" s="66">
        <f t="shared" si="358"/>
        <v>20</v>
      </c>
      <c r="J61" s="453"/>
      <c r="K61" s="507"/>
      <c r="L61" s="476"/>
      <c r="M61" s="65" t="str">
        <f t="shared" si="359"/>
        <v>-</v>
      </c>
      <c r="N61" s="65" t="str">
        <f t="shared" si="359"/>
        <v>-</v>
      </c>
      <c r="O61" s="65" t="str">
        <f t="shared" si="359"/>
        <v>-</v>
      </c>
      <c r="P61" s="65" t="str">
        <f t="shared" si="359"/>
        <v>-</v>
      </c>
      <c r="Q61" s="65" t="str">
        <f t="shared" si="359"/>
        <v>-</v>
      </c>
      <c r="R61" s="65" t="str">
        <f t="shared" si="359"/>
        <v>-</v>
      </c>
      <c r="S61" s="65" t="str">
        <f t="shared" si="359"/>
        <v>-</v>
      </c>
      <c r="T61" s="65" t="str">
        <f t="shared" si="359"/>
        <v>-</v>
      </c>
      <c r="U61" s="65" t="str">
        <f t="shared" si="359"/>
        <v>-</v>
      </c>
      <c r="V61" s="65" t="str">
        <f t="shared" si="359"/>
        <v>-</v>
      </c>
      <c r="W61" s="65" t="str">
        <f t="shared" si="359"/>
        <v>-</v>
      </c>
      <c r="X61" s="65" t="str">
        <f t="shared" si="359"/>
        <v>-</v>
      </c>
      <c r="Y61" s="65" t="str">
        <f t="shared" si="359"/>
        <v>-</v>
      </c>
      <c r="Z61" s="65" t="str">
        <f t="shared" si="359"/>
        <v>-</v>
      </c>
      <c r="AA61" s="65" t="str">
        <f t="shared" si="359"/>
        <v>-</v>
      </c>
      <c r="AB61" s="65" t="str">
        <f t="shared" si="359"/>
        <v>-</v>
      </c>
      <c r="AC61" s="65" t="str">
        <f t="shared" si="360"/>
        <v>-</v>
      </c>
      <c r="AD61" s="65" t="str">
        <f t="shared" si="360"/>
        <v>-</v>
      </c>
      <c r="AE61" s="65" t="str">
        <f t="shared" si="360"/>
        <v>-</v>
      </c>
      <c r="AF61" s="65" t="str">
        <f t="shared" si="360"/>
        <v>-</v>
      </c>
      <c r="AG61" s="65" t="str">
        <f t="shared" si="360"/>
        <v>-</v>
      </c>
      <c r="AH61" s="65" t="str">
        <f t="shared" si="360"/>
        <v>-</v>
      </c>
      <c r="AI61" s="65" t="str">
        <f t="shared" si="360"/>
        <v>-</v>
      </c>
      <c r="AJ61" s="65" t="str">
        <f t="shared" si="360"/>
        <v>-</v>
      </c>
      <c r="AK61" s="65" t="str">
        <f t="shared" si="360"/>
        <v>-</v>
      </c>
      <c r="AL61" s="65" t="str">
        <f t="shared" si="360"/>
        <v>-</v>
      </c>
      <c r="AM61" s="65" t="str">
        <f t="shared" si="360"/>
        <v>-</v>
      </c>
      <c r="AN61" s="65" t="str">
        <f t="shared" si="360"/>
        <v>-</v>
      </c>
      <c r="AO61" s="65" t="str">
        <f t="shared" si="360"/>
        <v>-</v>
      </c>
      <c r="AP61" s="65" t="str">
        <f t="shared" si="360"/>
        <v>-</v>
      </c>
      <c r="AQ61" s="65" t="str">
        <f t="shared" si="360"/>
        <v>-</v>
      </c>
      <c r="AR61" s="65" t="str">
        <f t="shared" si="360"/>
        <v>-</v>
      </c>
      <c r="AS61" s="65" t="str">
        <f t="shared" si="361"/>
        <v>-</v>
      </c>
      <c r="AT61" s="65" t="str">
        <f t="shared" si="361"/>
        <v>-</v>
      </c>
      <c r="AU61" s="65" t="str">
        <f t="shared" si="361"/>
        <v>-</v>
      </c>
      <c r="AV61" s="65" t="str">
        <f t="shared" si="361"/>
        <v>-</v>
      </c>
      <c r="AW61" s="65" t="str">
        <f t="shared" si="361"/>
        <v>-</v>
      </c>
      <c r="AX61" s="65" t="str">
        <f t="shared" si="361"/>
        <v>-</v>
      </c>
      <c r="AY61" s="65" t="str">
        <f t="shared" si="361"/>
        <v>-</v>
      </c>
      <c r="AZ61" s="65" t="str">
        <f t="shared" si="361"/>
        <v>-</v>
      </c>
      <c r="BA61" s="65" t="str">
        <f t="shared" si="361"/>
        <v>-</v>
      </c>
      <c r="BB61" s="65" t="str">
        <f t="shared" si="361"/>
        <v>-</v>
      </c>
      <c r="BC61" s="65" t="str">
        <f t="shared" si="361"/>
        <v>-</v>
      </c>
      <c r="BD61" s="65" t="str">
        <f t="shared" si="361"/>
        <v>-</v>
      </c>
      <c r="BE61" s="65" t="str">
        <f t="shared" si="361"/>
        <v>-</v>
      </c>
      <c r="BF61" s="65" t="str">
        <f t="shared" si="361"/>
        <v>-</v>
      </c>
      <c r="BG61" s="65" t="str">
        <f t="shared" si="361"/>
        <v>-</v>
      </c>
      <c r="BH61" s="65" t="str">
        <f t="shared" si="361"/>
        <v>-</v>
      </c>
      <c r="BI61" s="65" t="str">
        <f t="shared" si="362"/>
        <v>-</v>
      </c>
      <c r="BJ61" s="65" t="str">
        <f t="shared" si="362"/>
        <v>-</v>
      </c>
      <c r="BK61" s="65" t="str">
        <f t="shared" si="362"/>
        <v>-</v>
      </c>
      <c r="BL61" s="65" t="str">
        <f t="shared" si="362"/>
        <v>-</v>
      </c>
      <c r="BM61" s="65" t="str">
        <f t="shared" si="362"/>
        <v>-</v>
      </c>
      <c r="BN61" s="65" t="str">
        <f t="shared" si="362"/>
        <v>-</v>
      </c>
      <c r="BO61" s="65" t="str">
        <f t="shared" si="362"/>
        <v>-</v>
      </c>
      <c r="BP61" s="65" t="str">
        <f t="shared" si="362"/>
        <v>-</v>
      </c>
      <c r="BQ61" s="65" t="str">
        <f t="shared" si="362"/>
        <v>-</v>
      </c>
      <c r="BR61" s="65" t="str">
        <f t="shared" si="362"/>
        <v>-</v>
      </c>
      <c r="BS61" s="65" t="str">
        <f t="shared" si="362"/>
        <v>-</v>
      </c>
      <c r="BT61" s="65" t="e">
        <f t="shared" si="362"/>
        <v>#VALUE!</v>
      </c>
      <c r="BU61" s="65" t="e">
        <f t="shared" si="362"/>
        <v>#VALUE!</v>
      </c>
      <c r="BV61" s="65" t="e">
        <f t="shared" si="362"/>
        <v>#VALUE!</v>
      </c>
      <c r="BW61" s="65" t="e">
        <f t="shared" si="362"/>
        <v>#VALUE!</v>
      </c>
      <c r="BX61" s="65" t="e">
        <f t="shared" si="362"/>
        <v>#VALUE!</v>
      </c>
      <c r="BY61" s="65" t="e">
        <f t="shared" si="363"/>
        <v>#VALUE!</v>
      </c>
      <c r="BZ61" s="65" t="e">
        <f t="shared" si="363"/>
        <v>#VALUE!</v>
      </c>
      <c r="CA61" s="65" t="e">
        <f t="shared" si="363"/>
        <v>#VALUE!</v>
      </c>
      <c r="CB61" s="65" t="e">
        <f t="shared" si="363"/>
        <v>#VALUE!</v>
      </c>
      <c r="CC61" s="65" t="e">
        <f t="shared" si="363"/>
        <v>#VALUE!</v>
      </c>
      <c r="CD61" s="65" t="e">
        <f t="shared" si="363"/>
        <v>#VALUE!</v>
      </c>
      <c r="CE61" s="65" t="e">
        <f t="shared" si="363"/>
        <v>#VALUE!</v>
      </c>
      <c r="CF61" s="65" t="e">
        <f t="shared" si="363"/>
        <v>#VALUE!</v>
      </c>
      <c r="CG61" s="65" t="e">
        <f t="shared" si="363"/>
        <v>#VALUE!</v>
      </c>
      <c r="CH61" s="65" t="e">
        <f t="shared" si="363"/>
        <v>#VALUE!</v>
      </c>
      <c r="CI61" s="65" t="e">
        <f t="shared" si="363"/>
        <v>#VALUE!</v>
      </c>
      <c r="CJ61" s="65" t="e">
        <f t="shared" si="363"/>
        <v>#VALUE!</v>
      </c>
      <c r="CK61" s="65" t="e">
        <f t="shared" si="363"/>
        <v>#VALUE!</v>
      </c>
      <c r="CL61" s="65" t="e">
        <f t="shared" si="363"/>
        <v>#VALUE!</v>
      </c>
      <c r="CM61" s="65" t="e">
        <f t="shared" si="363"/>
        <v>#VALUE!</v>
      </c>
      <c r="CN61" s="65" t="str">
        <f t="shared" si="363"/>
        <v>-</v>
      </c>
      <c r="CO61" s="65" t="str">
        <f t="shared" si="364"/>
        <v>-</v>
      </c>
      <c r="CP61" s="65" t="str">
        <f t="shared" si="364"/>
        <v>-</v>
      </c>
      <c r="CQ61" s="65" t="str">
        <f t="shared" si="364"/>
        <v>-</v>
      </c>
      <c r="CR61" s="65" t="str">
        <f t="shared" si="364"/>
        <v>-</v>
      </c>
      <c r="CS61" s="65" t="str">
        <f t="shared" si="364"/>
        <v>-</v>
      </c>
      <c r="CT61" s="65" t="str">
        <f t="shared" si="364"/>
        <v>-</v>
      </c>
      <c r="CU61" s="65" t="str">
        <f t="shared" si="365"/>
        <v>-</v>
      </c>
      <c r="CV61" s="65" t="str">
        <f t="shared" si="365"/>
        <v>-</v>
      </c>
      <c r="CW61" s="65" t="str">
        <f t="shared" si="365"/>
        <v>-</v>
      </c>
      <c r="CX61" s="65" t="str">
        <f t="shared" si="365"/>
        <v>-</v>
      </c>
      <c r="CY61" s="65" t="str">
        <f t="shared" si="365"/>
        <v>-</v>
      </c>
      <c r="CZ61" s="65" t="str">
        <f t="shared" si="365"/>
        <v>-</v>
      </c>
      <c r="DA61" s="65" t="str">
        <f t="shared" si="365"/>
        <v>-</v>
      </c>
      <c r="DB61" s="65" t="str">
        <f t="shared" si="365"/>
        <v>-</v>
      </c>
      <c r="DC61" s="65" t="str">
        <f t="shared" si="365"/>
        <v>-</v>
      </c>
      <c r="DD61" s="65" t="str">
        <f t="shared" si="365"/>
        <v>-</v>
      </c>
      <c r="DE61" s="65" t="str">
        <f t="shared" si="365"/>
        <v>-</v>
      </c>
      <c r="DF61" s="65" t="str">
        <f t="shared" si="365"/>
        <v>-</v>
      </c>
      <c r="DG61" s="65" t="str">
        <f t="shared" si="365"/>
        <v>-</v>
      </c>
      <c r="DH61" s="65" t="str">
        <f t="shared" si="365"/>
        <v>-</v>
      </c>
      <c r="DI61" s="65" t="str">
        <f t="shared" si="365"/>
        <v>-</v>
      </c>
      <c r="DJ61" s="65" t="str">
        <f t="shared" si="365"/>
        <v>-</v>
      </c>
      <c r="DK61" s="65" t="str">
        <f t="shared" si="365"/>
        <v>-</v>
      </c>
      <c r="DL61" s="65" t="str">
        <f t="shared" si="365"/>
        <v>-</v>
      </c>
      <c r="DM61" s="65" t="str">
        <f t="shared" si="365"/>
        <v>-</v>
      </c>
      <c r="DN61" s="65" t="str">
        <f t="shared" si="365"/>
        <v>-</v>
      </c>
      <c r="DO61" s="65" t="str">
        <f t="shared" si="365"/>
        <v>-</v>
      </c>
      <c r="DP61" s="65" t="str">
        <f t="shared" si="365"/>
        <v>-</v>
      </c>
      <c r="DQ61" s="65" t="str">
        <f t="shared" si="365"/>
        <v>-</v>
      </c>
      <c r="DR61" s="65" t="str">
        <f t="shared" si="365"/>
        <v>-</v>
      </c>
      <c r="DS61" s="65" t="str">
        <f t="shared" si="365"/>
        <v>-</v>
      </c>
      <c r="DT61" s="65" t="str">
        <f t="shared" si="365"/>
        <v>-</v>
      </c>
      <c r="DU61" s="65" t="str">
        <f t="shared" si="365"/>
        <v>-</v>
      </c>
      <c r="DV61" s="65" t="str">
        <f t="shared" si="365"/>
        <v>-</v>
      </c>
    </row>
    <row r="62" spans="1:126">
      <c r="A62" s="464"/>
      <c r="B62" s="509"/>
      <c r="C62" s="509"/>
      <c r="D62" s="456"/>
      <c r="E62" s="185" t="s">
        <v>67</v>
      </c>
      <c r="F62" s="66" t="e">
        <f>SUM('BESS 12'!S356:S365)</f>
        <v>#VALUE!</v>
      </c>
      <c r="G62" s="182">
        <f>H62-14</f>
        <v>46265</v>
      </c>
      <c r="H62" s="162">
        <f>B58-3</f>
        <v>46279</v>
      </c>
      <c r="I62" s="66">
        <f>H62-G62</f>
        <v>14</v>
      </c>
      <c r="J62" s="453"/>
      <c r="K62" s="507"/>
      <c r="L62" s="476"/>
      <c r="M62" s="65" t="str">
        <f t="shared" si="359"/>
        <v>-</v>
      </c>
      <c r="N62" s="65" t="str">
        <f t="shared" si="359"/>
        <v>-</v>
      </c>
      <c r="O62" s="65" t="str">
        <f t="shared" si="359"/>
        <v>-</v>
      </c>
      <c r="P62" s="65" t="str">
        <f t="shared" si="359"/>
        <v>-</v>
      </c>
      <c r="Q62" s="65" t="str">
        <f t="shared" si="359"/>
        <v>-</v>
      </c>
      <c r="R62" s="65" t="str">
        <f t="shared" si="359"/>
        <v>-</v>
      </c>
      <c r="S62" s="65" t="str">
        <f t="shared" si="359"/>
        <v>-</v>
      </c>
      <c r="T62" s="65" t="str">
        <f t="shared" si="359"/>
        <v>-</v>
      </c>
      <c r="U62" s="65" t="str">
        <f t="shared" si="359"/>
        <v>-</v>
      </c>
      <c r="V62" s="65" t="str">
        <f t="shared" si="359"/>
        <v>-</v>
      </c>
      <c r="W62" s="65" t="str">
        <f t="shared" si="359"/>
        <v>-</v>
      </c>
      <c r="X62" s="65" t="str">
        <f t="shared" si="359"/>
        <v>-</v>
      </c>
      <c r="Y62" s="65" t="str">
        <f t="shared" si="359"/>
        <v>-</v>
      </c>
      <c r="Z62" s="65" t="str">
        <f t="shared" si="359"/>
        <v>-</v>
      </c>
      <c r="AA62" s="65" t="str">
        <f t="shared" si="359"/>
        <v>-</v>
      </c>
      <c r="AB62" s="65" t="str">
        <f t="shared" si="359"/>
        <v>-</v>
      </c>
      <c r="AC62" s="65" t="str">
        <f t="shared" si="360"/>
        <v>-</v>
      </c>
      <c r="AD62" s="65" t="str">
        <f t="shared" si="360"/>
        <v>-</v>
      </c>
      <c r="AE62" s="65" t="str">
        <f t="shared" si="360"/>
        <v>-</v>
      </c>
      <c r="AF62" s="65" t="str">
        <f t="shared" si="360"/>
        <v>-</v>
      </c>
      <c r="AG62" s="65" t="str">
        <f t="shared" si="360"/>
        <v>-</v>
      </c>
      <c r="AH62" s="65" t="str">
        <f t="shared" si="360"/>
        <v>-</v>
      </c>
      <c r="AI62" s="65" t="str">
        <f t="shared" si="360"/>
        <v>-</v>
      </c>
      <c r="AJ62" s="65" t="str">
        <f t="shared" si="360"/>
        <v>-</v>
      </c>
      <c r="AK62" s="65" t="str">
        <f t="shared" si="360"/>
        <v>-</v>
      </c>
      <c r="AL62" s="65" t="str">
        <f t="shared" si="360"/>
        <v>-</v>
      </c>
      <c r="AM62" s="65" t="str">
        <f t="shared" si="360"/>
        <v>-</v>
      </c>
      <c r="AN62" s="65" t="str">
        <f t="shared" si="360"/>
        <v>-</v>
      </c>
      <c r="AO62" s="65" t="str">
        <f t="shared" si="360"/>
        <v>-</v>
      </c>
      <c r="AP62" s="65" t="str">
        <f t="shared" si="360"/>
        <v>-</v>
      </c>
      <c r="AQ62" s="65" t="str">
        <f t="shared" si="360"/>
        <v>-</v>
      </c>
      <c r="AR62" s="65" t="str">
        <f t="shared" si="360"/>
        <v>-</v>
      </c>
      <c r="AS62" s="65" t="str">
        <f t="shared" si="361"/>
        <v>-</v>
      </c>
      <c r="AT62" s="65" t="str">
        <f t="shared" si="361"/>
        <v>-</v>
      </c>
      <c r="AU62" s="65" t="str">
        <f t="shared" si="361"/>
        <v>-</v>
      </c>
      <c r="AV62" s="65" t="str">
        <f t="shared" si="361"/>
        <v>-</v>
      </c>
      <c r="AW62" s="65" t="str">
        <f t="shared" si="361"/>
        <v>-</v>
      </c>
      <c r="AX62" s="65" t="str">
        <f t="shared" si="361"/>
        <v>-</v>
      </c>
      <c r="AY62" s="65" t="str">
        <f t="shared" si="361"/>
        <v>-</v>
      </c>
      <c r="AZ62" s="65" t="str">
        <f t="shared" si="361"/>
        <v>-</v>
      </c>
      <c r="BA62" s="65" t="str">
        <f t="shared" si="361"/>
        <v>-</v>
      </c>
      <c r="BB62" s="65" t="str">
        <f t="shared" si="361"/>
        <v>-</v>
      </c>
      <c r="BC62" s="65" t="str">
        <f t="shared" si="361"/>
        <v>-</v>
      </c>
      <c r="BD62" s="65" t="str">
        <f t="shared" si="361"/>
        <v>-</v>
      </c>
      <c r="BE62" s="65" t="str">
        <f t="shared" si="361"/>
        <v>-</v>
      </c>
      <c r="BF62" s="65" t="str">
        <f t="shared" si="361"/>
        <v>-</v>
      </c>
      <c r="BG62" s="65" t="str">
        <f t="shared" si="361"/>
        <v>-</v>
      </c>
      <c r="BH62" s="65" t="str">
        <f t="shared" si="361"/>
        <v>-</v>
      </c>
      <c r="BI62" s="65" t="str">
        <f t="shared" si="362"/>
        <v>-</v>
      </c>
      <c r="BJ62" s="65" t="str">
        <f t="shared" si="362"/>
        <v>-</v>
      </c>
      <c r="BK62" s="65" t="str">
        <f t="shared" si="362"/>
        <v>-</v>
      </c>
      <c r="BL62" s="65" t="str">
        <f t="shared" si="362"/>
        <v>-</v>
      </c>
      <c r="BM62" s="65" t="str">
        <f t="shared" si="362"/>
        <v>-</v>
      </c>
      <c r="BN62" s="65" t="str">
        <f t="shared" si="362"/>
        <v>-</v>
      </c>
      <c r="BO62" s="65" t="str">
        <f t="shared" si="362"/>
        <v>-</v>
      </c>
      <c r="BP62" s="65" t="str">
        <f t="shared" si="362"/>
        <v>-</v>
      </c>
      <c r="BQ62" s="65" t="str">
        <f t="shared" si="362"/>
        <v>-</v>
      </c>
      <c r="BR62" s="65" t="str">
        <f t="shared" si="362"/>
        <v>-</v>
      </c>
      <c r="BS62" s="65" t="str">
        <f t="shared" si="362"/>
        <v>-</v>
      </c>
      <c r="BT62" s="65" t="str">
        <f t="shared" si="362"/>
        <v>-</v>
      </c>
      <c r="BU62" s="164" t="str">
        <f t="shared" si="362"/>
        <v>-</v>
      </c>
      <c r="BV62" s="164" t="str">
        <f t="shared" si="362"/>
        <v>-</v>
      </c>
      <c r="BW62" s="164" t="str">
        <f t="shared" si="362"/>
        <v>-</v>
      </c>
      <c r="BX62" s="164" t="str">
        <f t="shared" si="362"/>
        <v>-</v>
      </c>
      <c r="BY62" s="164" t="str">
        <f t="shared" si="363"/>
        <v>-</v>
      </c>
      <c r="BZ62" s="164" t="str">
        <f t="shared" si="363"/>
        <v>-</v>
      </c>
      <c r="CA62" s="164" t="str">
        <f t="shared" si="363"/>
        <v>-</v>
      </c>
      <c r="CB62" s="164" t="str">
        <f t="shared" si="363"/>
        <v>-</v>
      </c>
      <c r="CC62" s="164" t="str">
        <f t="shared" si="363"/>
        <v>-</v>
      </c>
      <c r="CD62" s="164" t="str">
        <f t="shared" si="363"/>
        <v>-</v>
      </c>
      <c r="CE62" s="164" t="e">
        <f t="shared" si="363"/>
        <v>#VALUE!</v>
      </c>
      <c r="CF62" s="164" t="e">
        <f t="shared" si="363"/>
        <v>#VALUE!</v>
      </c>
      <c r="CG62" s="164" t="e">
        <f t="shared" si="363"/>
        <v>#VALUE!</v>
      </c>
      <c r="CH62" s="164" t="e">
        <f t="shared" si="363"/>
        <v>#VALUE!</v>
      </c>
      <c r="CI62" s="164" t="e">
        <f t="shared" si="363"/>
        <v>#VALUE!</v>
      </c>
      <c r="CJ62" s="164" t="e">
        <f t="shared" si="363"/>
        <v>#VALUE!</v>
      </c>
      <c r="CK62" s="164" t="e">
        <f t="shared" si="363"/>
        <v>#VALUE!</v>
      </c>
      <c r="CL62" s="164" t="e">
        <f t="shared" si="363"/>
        <v>#VALUE!</v>
      </c>
      <c r="CM62" s="164" t="e">
        <f t="shared" si="363"/>
        <v>#VALUE!</v>
      </c>
      <c r="CN62" s="164" t="e">
        <f t="shared" si="363"/>
        <v>#VALUE!</v>
      </c>
      <c r="CO62" s="164" t="e">
        <f t="shared" si="364"/>
        <v>#VALUE!</v>
      </c>
      <c r="CP62" s="164" t="e">
        <f t="shared" si="364"/>
        <v>#VALUE!</v>
      </c>
      <c r="CQ62" s="164" t="e">
        <f t="shared" si="364"/>
        <v>#VALUE!</v>
      </c>
      <c r="CR62" s="164" t="e">
        <f t="shared" si="364"/>
        <v>#VALUE!</v>
      </c>
      <c r="CS62" s="164" t="str">
        <f t="shared" si="364"/>
        <v>-</v>
      </c>
      <c r="CT62" s="164" t="str">
        <f t="shared" si="364"/>
        <v>-</v>
      </c>
      <c r="CU62" s="164" t="str">
        <f t="shared" si="365"/>
        <v>-</v>
      </c>
      <c r="CV62" s="164" t="str">
        <f t="shared" si="365"/>
        <v>-</v>
      </c>
      <c r="CW62" s="164" t="str">
        <f t="shared" si="365"/>
        <v>-</v>
      </c>
      <c r="CX62" s="164" t="str">
        <f t="shared" si="365"/>
        <v>-</v>
      </c>
      <c r="CY62" s="164" t="str">
        <f t="shared" si="365"/>
        <v>-</v>
      </c>
      <c r="CZ62" s="164" t="str">
        <f t="shared" si="365"/>
        <v>-</v>
      </c>
      <c r="DA62" s="164" t="str">
        <f t="shared" si="365"/>
        <v>-</v>
      </c>
      <c r="DB62" s="164" t="str">
        <f t="shared" si="365"/>
        <v>-</v>
      </c>
      <c r="DC62" s="164" t="str">
        <f t="shared" si="365"/>
        <v>-</v>
      </c>
      <c r="DD62" s="164" t="str">
        <f t="shared" si="365"/>
        <v>-</v>
      </c>
      <c r="DE62" s="164" t="str">
        <f t="shared" si="365"/>
        <v>-</v>
      </c>
      <c r="DF62" s="164" t="str">
        <f t="shared" si="365"/>
        <v>-</v>
      </c>
      <c r="DG62" s="164" t="str">
        <f t="shared" si="365"/>
        <v>-</v>
      </c>
      <c r="DH62" s="164" t="str">
        <f t="shared" si="365"/>
        <v>-</v>
      </c>
      <c r="DI62" s="164" t="str">
        <f t="shared" si="365"/>
        <v>-</v>
      </c>
      <c r="DJ62" s="164" t="str">
        <f t="shared" si="365"/>
        <v>-</v>
      </c>
      <c r="DK62" s="164" t="str">
        <f t="shared" si="365"/>
        <v>-</v>
      </c>
      <c r="DL62" s="164" t="str">
        <f t="shared" si="365"/>
        <v>-</v>
      </c>
      <c r="DM62" s="164" t="str">
        <f t="shared" si="365"/>
        <v>-</v>
      </c>
      <c r="DN62" s="164" t="str">
        <f t="shared" si="365"/>
        <v>-</v>
      </c>
      <c r="DO62" s="164" t="str">
        <f t="shared" si="365"/>
        <v>-</v>
      </c>
      <c r="DP62" s="164" t="str">
        <f t="shared" si="365"/>
        <v>-</v>
      </c>
      <c r="DQ62" s="164" t="str">
        <f t="shared" si="365"/>
        <v>-</v>
      </c>
      <c r="DR62" s="164" t="str">
        <f t="shared" si="365"/>
        <v>-</v>
      </c>
      <c r="DS62" s="164" t="str">
        <f t="shared" si="365"/>
        <v>-</v>
      </c>
      <c r="DT62" s="164" t="str">
        <f t="shared" si="365"/>
        <v>-</v>
      </c>
      <c r="DU62" s="164" t="str">
        <f t="shared" si="365"/>
        <v>-</v>
      </c>
      <c r="DV62" s="164" t="str">
        <f t="shared" si="365"/>
        <v>-</v>
      </c>
    </row>
    <row r="63" spans="1:126">
      <c r="A63" s="464"/>
      <c r="B63" s="509"/>
      <c r="C63" s="509"/>
      <c r="D63" s="457"/>
      <c r="E63" s="185" t="s">
        <v>68</v>
      </c>
      <c r="F63" s="65">
        <v>250</v>
      </c>
      <c r="G63" s="182"/>
      <c r="H63" s="162">
        <f>B58-3</f>
        <v>46279</v>
      </c>
      <c r="I63" s="65">
        <v>30</v>
      </c>
      <c r="J63" s="454"/>
      <c r="K63" s="508"/>
      <c r="L63" s="504"/>
      <c r="M63" s="65" t="str">
        <f>IF(AND(M$2&gt;=$B$58-26,M$2&lt;=$B$58-3),5,IF(OR(M$2=$B$58-2,M$2=$B$58-1,M$2=$B$58,M$2=$B$58+1),30,IF(OR(M$2=$B$58+2,M$2=$B$58+3),5,"")))</f>
        <v/>
      </c>
      <c r="N63" s="65" t="str">
        <f t="shared" ref="N63:BY63" si="366">IF(AND(N$2&gt;=$B$58-26,N$2&lt;=$B$58-3),5,IF(OR(N$2=$B$58-2,N$2=$B$58-1,N$2=$B$58,N$2=$B$58+1),30,IF(OR(N$2=$B$58+2,N$2=$B$58+3),5,"")))</f>
        <v/>
      </c>
      <c r="O63" s="65" t="str">
        <f t="shared" si="366"/>
        <v/>
      </c>
      <c r="P63" s="65" t="str">
        <f t="shared" si="366"/>
        <v/>
      </c>
      <c r="Q63" s="65" t="str">
        <f t="shared" si="366"/>
        <v/>
      </c>
      <c r="R63" s="65" t="str">
        <f t="shared" si="366"/>
        <v/>
      </c>
      <c r="S63" s="65" t="str">
        <f t="shared" si="366"/>
        <v/>
      </c>
      <c r="T63" s="65" t="str">
        <f t="shared" si="366"/>
        <v/>
      </c>
      <c r="U63" s="65" t="str">
        <f t="shared" si="366"/>
        <v/>
      </c>
      <c r="V63" s="65" t="str">
        <f t="shared" si="366"/>
        <v/>
      </c>
      <c r="W63" s="65" t="str">
        <f t="shared" si="366"/>
        <v/>
      </c>
      <c r="X63" s="65" t="str">
        <f t="shared" si="366"/>
        <v/>
      </c>
      <c r="Y63" s="65" t="str">
        <f t="shared" si="366"/>
        <v/>
      </c>
      <c r="Z63" s="65" t="str">
        <f t="shared" si="366"/>
        <v/>
      </c>
      <c r="AA63" s="65" t="str">
        <f t="shared" si="366"/>
        <v/>
      </c>
      <c r="AB63" s="65" t="str">
        <f t="shared" si="366"/>
        <v/>
      </c>
      <c r="AC63" s="65" t="str">
        <f t="shared" si="366"/>
        <v/>
      </c>
      <c r="AD63" s="65" t="str">
        <f t="shared" si="366"/>
        <v/>
      </c>
      <c r="AE63" s="65" t="str">
        <f t="shared" si="366"/>
        <v/>
      </c>
      <c r="AF63" s="65" t="str">
        <f t="shared" si="366"/>
        <v/>
      </c>
      <c r="AG63" s="65" t="str">
        <f t="shared" si="366"/>
        <v/>
      </c>
      <c r="AH63" s="65" t="str">
        <f t="shared" si="366"/>
        <v/>
      </c>
      <c r="AI63" s="65" t="str">
        <f t="shared" si="366"/>
        <v/>
      </c>
      <c r="AJ63" s="65" t="str">
        <f t="shared" si="366"/>
        <v/>
      </c>
      <c r="AK63" s="65" t="str">
        <f t="shared" si="366"/>
        <v/>
      </c>
      <c r="AL63" s="65" t="str">
        <f t="shared" si="366"/>
        <v/>
      </c>
      <c r="AM63" s="65" t="str">
        <f t="shared" si="366"/>
        <v/>
      </c>
      <c r="AN63" s="65" t="str">
        <f t="shared" si="366"/>
        <v/>
      </c>
      <c r="AO63" s="65" t="str">
        <f t="shared" si="366"/>
        <v/>
      </c>
      <c r="AP63" s="65" t="str">
        <f t="shared" si="366"/>
        <v/>
      </c>
      <c r="AQ63" s="65" t="str">
        <f t="shared" si="366"/>
        <v/>
      </c>
      <c r="AR63" s="65" t="str">
        <f t="shared" si="366"/>
        <v/>
      </c>
      <c r="AS63" s="65" t="str">
        <f t="shared" si="366"/>
        <v/>
      </c>
      <c r="AT63" s="65" t="str">
        <f t="shared" si="366"/>
        <v/>
      </c>
      <c r="AU63" s="65" t="str">
        <f t="shared" si="366"/>
        <v/>
      </c>
      <c r="AV63" s="65" t="str">
        <f t="shared" si="366"/>
        <v/>
      </c>
      <c r="AW63" s="65" t="str">
        <f t="shared" si="366"/>
        <v/>
      </c>
      <c r="AX63" s="65" t="str">
        <f t="shared" si="366"/>
        <v/>
      </c>
      <c r="AY63" s="65" t="str">
        <f t="shared" si="366"/>
        <v/>
      </c>
      <c r="AZ63" s="65" t="str">
        <f t="shared" si="366"/>
        <v/>
      </c>
      <c r="BA63" s="65" t="str">
        <f t="shared" si="366"/>
        <v/>
      </c>
      <c r="BB63" s="65" t="str">
        <f t="shared" si="366"/>
        <v/>
      </c>
      <c r="BC63" s="65" t="str">
        <f t="shared" si="366"/>
        <v/>
      </c>
      <c r="BD63" s="65" t="str">
        <f t="shared" si="366"/>
        <v/>
      </c>
      <c r="BE63" s="65" t="str">
        <f t="shared" si="366"/>
        <v/>
      </c>
      <c r="BF63" s="65" t="str">
        <f t="shared" si="366"/>
        <v/>
      </c>
      <c r="BG63" s="65" t="str">
        <f t="shared" si="366"/>
        <v/>
      </c>
      <c r="BH63" s="65" t="str">
        <f t="shared" si="366"/>
        <v/>
      </c>
      <c r="BI63" s="65" t="str">
        <f t="shared" si="366"/>
        <v/>
      </c>
      <c r="BJ63" s="65" t="str">
        <f t="shared" si="366"/>
        <v/>
      </c>
      <c r="BK63" s="65" t="str">
        <f t="shared" si="366"/>
        <v/>
      </c>
      <c r="BL63" s="65" t="str">
        <f t="shared" si="366"/>
        <v/>
      </c>
      <c r="BM63" s="65" t="str">
        <f t="shared" si="366"/>
        <v/>
      </c>
      <c r="BN63" s="65" t="str">
        <f t="shared" si="366"/>
        <v/>
      </c>
      <c r="BO63" s="65" t="str">
        <f t="shared" si="366"/>
        <v/>
      </c>
      <c r="BP63" s="65" t="str">
        <f t="shared" si="366"/>
        <v/>
      </c>
      <c r="BQ63" s="65" t="str">
        <f t="shared" si="366"/>
        <v/>
      </c>
      <c r="BR63" s="65" t="str">
        <f t="shared" si="366"/>
        <v/>
      </c>
      <c r="BS63" s="65" t="str">
        <f t="shared" si="366"/>
        <v/>
      </c>
      <c r="BT63" s="65" t="str">
        <f t="shared" si="366"/>
        <v/>
      </c>
      <c r="BU63" s="65" t="str">
        <f t="shared" si="366"/>
        <v/>
      </c>
      <c r="BV63" s="65">
        <f t="shared" si="366"/>
        <v>5</v>
      </c>
      <c r="BW63" s="65">
        <f t="shared" si="366"/>
        <v>5</v>
      </c>
      <c r="BX63" s="65">
        <f t="shared" si="366"/>
        <v>5</v>
      </c>
      <c r="BY63" s="65">
        <f t="shared" si="366"/>
        <v>5</v>
      </c>
      <c r="BZ63" s="65">
        <f t="shared" ref="BZ63:DV63" si="367">IF(AND(BZ$2&gt;=$B$58-26,BZ$2&lt;=$B$58-3),5,IF(OR(BZ$2=$B$58-2,BZ$2=$B$58-1,BZ$2=$B$58,BZ$2=$B$58+1),30,IF(OR(BZ$2=$B$58+2,BZ$2=$B$58+3),5,"")))</f>
        <v>5</v>
      </c>
      <c r="CA63" s="65">
        <f t="shared" si="367"/>
        <v>5</v>
      </c>
      <c r="CB63" s="65">
        <f t="shared" si="367"/>
        <v>5</v>
      </c>
      <c r="CC63" s="65">
        <f t="shared" si="367"/>
        <v>5</v>
      </c>
      <c r="CD63" s="65">
        <f t="shared" si="367"/>
        <v>5</v>
      </c>
      <c r="CE63" s="65">
        <f t="shared" si="367"/>
        <v>5</v>
      </c>
      <c r="CF63" s="65">
        <f t="shared" si="367"/>
        <v>5</v>
      </c>
      <c r="CG63" s="65">
        <f t="shared" si="367"/>
        <v>5</v>
      </c>
      <c r="CH63" s="65">
        <f t="shared" si="367"/>
        <v>5</v>
      </c>
      <c r="CI63" s="65">
        <f t="shared" si="367"/>
        <v>5</v>
      </c>
      <c r="CJ63" s="65">
        <f t="shared" si="367"/>
        <v>5</v>
      </c>
      <c r="CK63" s="65">
        <f t="shared" si="367"/>
        <v>5</v>
      </c>
      <c r="CL63" s="65">
        <f t="shared" si="367"/>
        <v>5</v>
      </c>
      <c r="CM63" s="65">
        <f t="shared" si="367"/>
        <v>5</v>
      </c>
      <c r="CN63" s="65">
        <f t="shared" si="367"/>
        <v>5</v>
      </c>
      <c r="CO63" s="65">
        <f t="shared" si="367"/>
        <v>5</v>
      </c>
      <c r="CP63" s="65">
        <f t="shared" si="367"/>
        <v>5</v>
      </c>
      <c r="CQ63" s="65">
        <f t="shared" si="367"/>
        <v>5</v>
      </c>
      <c r="CR63" s="65">
        <f t="shared" si="367"/>
        <v>5</v>
      </c>
      <c r="CS63" s="65">
        <f t="shared" si="367"/>
        <v>5</v>
      </c>
      <c r="CT63" s="65">
        <f t="shared" si="367"/>
        <v>30</v>
      </c>
      <c r="CU63" s="65">
        <f t="shared" si="367"/>
        <v>30</v>
      </c>
      <c r="CV63" s="65">
        <f t="shared" si="367"/>
        <v>30</v>
      </c>
      <c r="CW63" s="65">
        <f t="shared" si="367"/>
        <v>30</v>
      </c>
      <c r="CX63" s="65">
        <f t="shared" si="367"/>
        <v>5</v>
      </c>
      <c r="CY63" s="65">
        <f t="shared" si="367"/>
        <v>5</v>
      </c>
      <c r="CZ63" s="65" t="str">
        <f t="shared" si="367"/>
        <v/>
      </c>
      <c r="DA63" s="65" t="str">
        <f t="shared" si="367"/>
        <v/>
      </c>
      <c r="DB63" s="65" t="str">
        <f t="shared" si="367"/>
        <v/>
      </c>
      <c r="DC63" s="65" t="str">
        <f t="shared" si="367"/>
        <v/>
      </c>
      <c r="DD63" s="65" t="str">
        <f t="shared" si="367"/>
        <v/>
      </c>
      <c r="DE63" s="65" t="str">
        <f t="shared" si="367"/>
        <v/>
      </c>
      <c r="DF63" s="65" t="str">
        <f t="shared" si="367"/>
        <v/>
      </c>
      <c r="DG63" s="65" t="str">
        <f t="shared" si="367"/>
        <v/>
      </c>
      <c r="DH63" s="65" t="str">
        <f t="shared" si="367"/>
        <v/>
      </c>
      <c r="DI63" s="65" t="str">
        <f t="shared" si="367"/>
        <v/>
      </c>
      <c r="DJ63" s="65" t="str">
        <f t="shared" si="367"/>
        <v/>
      </c>
      <c r="DK63" s="65" t="str">
        <f t="shared" si="367"/>
        <v/>
      </c>
      <c r="DL63" s="65" t="str">
        <f t="shared" si="367"/>
        <v/>
      </c>
      <c r="DM63" s="65" t="str">
        <f t="shared" si="367"/>
        <v/>
      </c>
      <c r="DN63" s="65" t="str">
        <f t="shared" si="367"/>
        <v/>
      </c>
      <c r="DO63" s="65" t="str">
        <f t="shared" si="367"/>
        <v/>
      </c>
      <c r="DP63" s="65" t="str">
        <f t="shared" si="367"/>
        <v/>
      </c>
      <c r="DQ63" s="65" t="str">
        <f t="shared" si="367"/>
        <v/>
      </c>
      <c r="DR63" s="65" t="str">
        <f t="shared" si="367"/>
        <v/>
      </c>
      <c r="DS63" s="65" t="str">
        <f t="shared" si="367"/>
        <v/>
      </c>
      <c r="DT63" s="65" t="str">
        <f t="shared" si="367"/>
        <v/>
      </c>
      <c r="DU63" s="65" t="str">
        <f t="shared" si="367"/>
        <v/>
      </c>
      <c r="DV63" s="65" t="str">
        <f t="shared" si="367"/>
        <v/>
      </c>
    </row>
    <row r="64" spans="1:126" s="191" customFormat="1" ht="13.5" customHeight="1">
      <c r="B64" s="197"/>
      <c r="E64" s="188"/>
      <c r="F64" s="188"/>
      <c r="G64" s="181" t="s">
        <v>69</v>
      </c>
      <c r="H64" s="188"/>
      <c r="I64" s="228"/>
      <c r="J64" s="203"/>
      <c r="K64" s="188"/>
      <c r="L64" s="188"/>
      <c r="M64" s="190">
        <f t="shared" ref="M64:BX64" si="368">SUM(M59:M63)</f>
        <v>0</v>
      </c>
      <c r="N64" s="190">
        <f t="shared" si="368"/>
        <v>0</v>
      </c>
      <c r="O64" s="190">
        <f t="shared" si="368"/>
        <v>0</v>
      </c>
      <c r="P64" s="190">
        <f t="shared" si="368"/>
        <v>0</v>
      </c>
      <c r="Q64" s="190">
        <f t="shared" si="368"/>
        <v>0</v>
      </c>
      <c r="R64" s="190">
        <f t="shared" si="368"/>
        <v>0</v>
      </c>
      <c r="S64" s="190">
        <f t="shared" si="368"/>
        <v>0</v>
      </c>
      <c r="T64" s="190">
        <f t="shared" si="368"/>
        <v>0</v>
      </c>
      <c r="U64" s="190">
        <f t="shared" si="368"/>
        <v>0</v>
      </c>
      <c r="V64" s="190">
        <f t="shared" si="368"/>
        <v>0</v>
      </c>
      <c r="W64" s="190">
        <f t="shared" si="368"/>
        <v>0</v>
      </c>
      <c r="X64" s="190">
        <f t="shared" si="368"/>
        <v>0</v>
      </c>
      <c r="Y64" s="190">
        <f t="shared" si="368"/>
        <v>0</v>
      </c>
      <c r="Z64" s="190">
        <f t="shared" si="368"/>
        <v>0</v>
      </c>
      <c r="AA64" s="190">
        <f t="shared" si="368"/>
        <v>0</v>
      </c>
      <c r="AB64" s="190">
        <f t="shared" si="368"/>
        <v>0</v>
      </c>
      <c r="AC64" s="190">
        <f t="shared" si="368"/>
        <v>0</v>
      </c>
      <c r="AD64" s="190">
        <f t="shared" si="368"/>
        <v>0</v>
      </c>
      <c r="AE64" s="190">
        <f t="shared" si="368"/>
        <v>0</v>
      </c>
      <c r="AF64" s="190">
        <f t="shared" si="368"/>
        <v>0</v>
      </c>
      <c r="AG64" s="190">
        <f t="shared" si="368"/>
        <v>0</v>
      </c>
      <c r="AH64" s="190">
        <f t="shared" si="368"/>
        <v>0</v>
      </c>
      <c r="AI64" s="190">
        <f t="shared" si="368"/>
        <v>0</v>
      </c>
      <c r="AJ64" s="190">
        <f t="shared" si="368"/>
        <v>0</v>
      </c>
      <c r="AK64" s="190">
        <f t="shared" si="368"/>
        <v>0</v>
      </c>
      <c r="AL64" s="190">
        <f t="shared" si="368"/>
        <v>0</v>
      </c>
      <c r="AM64" s="190">
        <f t="shared" si="368"/>
        <v>0</v>
      </c>
      <c r="AN64" s="190">
        <f t="shared" si="368"/>
        <v>0</v>
      </c>
      <c r="AO64" s="190">
        <f t="shared" si="368"/>
        <v>0</v>
      </c>
      <c r="AP64" s="190">
        <f t="shared" si="368"/>
        <v>0</v>
      </c>
      <c r="AQ64" s="190">
        <f t="shared" si="368"/>
        <v>0</v>
      </c>
      <c r="AR64" s="190">
        <f t="shared" si="368"/>
        <v>0</v>
      </c>
      <c r="AS64" s="190">
        <f t="shared" si="368"/>
        <v>0</v>
      </c>
      <c r="AT64" s="190">
        <f t="shared" si="368"/>
        <v>0</v>
      </c>
      <c r="AU64" s="190">
        <f t="shared" si="368"/>
        <v>0</v>
      </c>
      <c r="AV64" s="190">
        <f t="shared" si="368"/>
        <v>0</v>
      </c>
      <c r="AW64" s="190">
        <f t="shared" si="368"/>
        <v>0</v>
      </c>
      <c r="AX64" s="190">
        <f t="shared" si="368"/>
        <v>0</v>
      </c>
      <c r="AY64" s="190" t="e">
        <f t="shared" si="368"/>
        <v>#VALUE!</v>
      </c>
      <c r="AZ64" s="190" t="e">
        <f t="shared" si="368"/>
        <v>#VALUE!</v>
      </c>
      <c r="BA64" s="190" t="e">
        <f t="shared" si="368"/>
        <v>#VALUE!</v>
      </c>
      <c r="BB64" s="190" t="e">
        <f t="shared" si="368"/>
        <v>#VALUE!</v>
      </c>
      <c r="BC64" s="190" t="e">
        <f t="shared" si="368"/>
        <v>#VALUE!</v>
      </c>
      <c r="BD64" s="190" t="e">
        <f t="shared" si="368"/>
        <v>#VALUE!</v>
      </c>
      <c r="BE64" s="190" t="e">
        <f t="shared" si="368"/>
        <v>#VALUE!</v>
      </c>
      <c r="BF64" s="190" t="e">
        <f t="shared" si="368"/>
        <v>#VALUE!</v>
      </c>
      <c r="BG64" s="190" t="e">
        <f t="shared" si="368"/>
        <v>#VALUE!</v>
      </c>
      <c r="BH64" s="190" t="e">
        <f t="shared" si="368"/>
        <v>#VALUE!</v>
      </c>
      <c r="BI64" s="190" t="e">
        <f t="shared" si="368"/>
        <v>#VALUE!</v>
      </c>
      <c r="BJ64" s="190" t="e">
        <f t="shared" si="368"/>
        <v>#VALUE!</v>
      </c>
      <c r="BK64" s="190" t="e">
        <f t="shared" si="368"/>
        <v>#VALUE!</v>
      </c>
      <c r="BL64" s="190" t="e">
        <f t="shared" si="368"/>
        <v>#VALUE!</v>
      </c>
      <c r="BM64" s="190" t="e">
        <f t="shared" si="368"/>
        <v>#VALUE!</v>
      </c>
      <c r="BN64" s="190" t="e">
        <f t="shared" si="368"/>
        <v>#VALUE!</v>
      </c>
      <c r="BO64" s="190" t="e">
        <f t="shared" si="368"/>
        <v>#VALUE!</v>
      </c>
      <c r="BP64" s="190" t="e">
        <f t="shared" si="368"/>
        <v>#VALUE!</v>
      </c>
      <c r="BQ64" s="190" t="e">
        <f t="shared" si="368"/>
        <v>#VALUE!</v>
      </c>
      <c r="BR64" s="190" t="e">
        <f t="shared" si="368"/>
        <v>#VALUE!</v>
      </c>
      <c r="BS64" s="190">
        <f t="shared" si="368"/>
        <v>0</v>
      </c>
      <c r="BT64" s="190" t="e">
        <f t="shared" si="368"/>
        <v>#VALUE!</v>
      </c>
      <c r="BU64" s="229" t="e">
        <f t="shared" si="368"/>
        <v>#VALUE!</v>
      </c>
      <c r="BV64" s="229" t="e">
        <f t="shared" si="368"/>
        <v>#VALUE!</v>
      </c>
      <c r="BW64" s="229" t="e">
        <f t="shared" si="368"/>
        <v>#VALUE!</v>
      </c>
      <c r="BX64" s="229" t="e">
        <f t="shared" si="368"/>
        <v>#VALUE!</v>
      </c>
      <c r="BY64" s="229" t="e">
        <f t="shared" ref="BY64:CT64" si="369">SUM(BY59:BY63)</f>
        <v>#VALUE!</v>
      </c>
      <c r="BZ64" s="229" t="e">
        <f t="shared" si="369"/>
        <v>#VALUE!</v>
      </c>
      <c r="CA64" s="229" t="e">
        <f t="shared" si="369"/>
        <v>#VALUE!</v>
      </c>
      <c r="CB64" s="229" t="e">
        <f t="shared" si="369"/>
        <v>#VALUE!</v>
      </c>
      <c r="CC64" s="229" t="e">
        <f t="shared" si="369"/>
        <v>#VALUE!</v>
      </c>
      <c r="CD64" s="229" t="e">
        <f t="shared" si="369"/>
        <v>#VALUE!</v>
      </c>
      <c r="CE64" s="229" t="e">
        <f t="shared" si="369"/>
        <v>#VALUE!</v>
      </c>
      <c r="CF64" s="229" t="e">
        <f t="shared" si="369"/>
        <v>#VALUE!</v>
      </c>
      <c r="CG64" s="229" t="e">
        <f t="shared" si="369"/>
        <v>#VALUE!</v>
      </c>
      <c r="CH64" s="229" t="e">
        <f t="shared" si="369"/>
        <v>#VALUE!</v>
      </c>
      <c r="CI64" s="229" t="e">
        <f t="shared" si="369"/>
        <v>#VALUE!</v>
      </c>
      <c r="CJ64" s="229" t="e">
        <f t="shared" si="369"/>
        <v>#VALUE!</v>
      </c>
      <c r="CK64" s="229" t="e">
        <f t="shared" si="369"/>
        <v>#VALUE!</v>
      </c>
      <c r="CL64" s="229" t="e">
        <f t="shared" si="369"/>
        <v>#VALUE!</v>
      </c>
      <c r="CM64" s="229" t="e">
        <f t="shared" si="369"/>
        <v>#VALUE!</v>
      </c>
      <c r="CN64" s="229" t="e">
        <f t="shared" si="369"/>
        <v>#VALUE!</v>
      </c>
      <c r="CO64" s="229" t="e">
        <f t="shared" si="369"/>
        <v>#VALUE!</v>
      </c>
      <c r="CP64" s="229" t="e">
        <f t="shared" si="369"/>
        <v>#VALUE!</v>
      </c>
      <c r="CQ64" s="229" t="e">
        <f t="shared" si="369"/>
        <v>#VALUE!</v>
      </c>
      <c r="CR64" s="229" t="e">
        <f t="shared" si="369"/>
        <v>#VALUE!</v>
      </c>
      <c r="CS64" s="229">
        <f t="shared" si="369"/>
        <v>5</v>
      </c>
      <c r="CT64" s="229">
        <f t="shared" si="369"/>
        <v>30</v>
      </c>
      <c r="CU64" s="229">
        <f t="shared" ref="CU64:DV64" si="370">SUM(CU59:CU63)</f>
        <v>30</v>
      </c>
      <c r="CV64" s="229">
        <f t="shared" si="370"/>
        <v>30</v>
      </c>
      <c r="CW64" s="229">
        <f t="shared" si="370"/>
        <v>30</v>
      </c>
      <c r="CX64" s="229">
        <f t="shared" si="370"/>
        <v>5</v>
      </c>
      <c r="CY64" s="229">
        <f t="shared" si="370"/>
        <v>5</v>
      </c>
      <c r="CZ64" s="229">
        <f t="shared" si="370"/>
        <v>0</v>
      </c>
      <c r="DA64" s="229">
        <f t="shared" si="370"/>
        <v>0</v>
      </c>
      <c r="DB64" s="229">
        <f t="shared" si="370"/>
        <v>0</v>
      </c>
      <c r="DC64" s="229">
        <f t="shared" si="370"/>
        <v>0</v>
      </c>
      <c r="DD64" s="229">
        <f t="shared" si="370"/>
        <v>0</v>
      </c>
      <c r="DE64" s="229">
        <f t="shared" si="370"/>
        <v>0</v>
      </c>
      <c r="DF64" s="229">
        <f t="shared" si="370"/>
        <v>0</v>
      </c>
      <c r="DG64" s="229">
        <f t="shared" si="370"/>
        <v>0</v>
      </c>
      <c r="DH64" s="229">
        <f t="shared" si="370"/>
        <v>0</v>
      </c>
      <c r="DI64" s="229">
        <f t="shared" si="370"/>
        <v>0</v>
      </c>
      <c r="DJ64" s="229">
        <f t="shared" si="370"/>
        <v>0</v>
      </c>
      <c r="DK64" s="229">
        <f t="shared" si="370"/>
        <v>0</v>
      </c>
      <c r="DL64" s="229">
        <f t="shared" si="370"/>
        <v>0</v>
      </c>
      <c r="DM64" s="229">
        <f t="shared" si="370"/>
        <v>0</v>
      </c>
      <c r="DN64" s="229">
        <f t="shared" si="370"/>
        <v>0</v>
      </c>
      <c r="DO64" s="229">
        <f t="shared" si="370"/>
        <v>0</v>
      </c>
      <c r="DP64" s="229">
        <f t="shared" si="370"/>
        <v>0</v>
      </c>
      <c r="DQ64" s="229">
        <f t="shared" si="370"/>
        <v>0</v>
      </c>
      <c r="DR64" s="229">
        <f t="shared" si="370"/>
        <v>0</v>
      </c>
      <c r="DS64" s="229">
        <f t="shared" si="370"/>
        <v>0</v>
      </c>
      <c r="DT64" s="229">
        <f t="shared" si="370"/>
        <v>0</v>
      </c>
      <c r="DU64" s="229">
        <f t="shared" si="370"/>
        <v>0</v>
      </c>
      <c r="DV64" s="229">
        <f t="shared" si="370"/>
        <v>0</v>
      </c>
    </row>
    <row r="65" spans="9:98" hidden="1"/>
    <row r="66" spans="9:98" hidden="1"/>
    <row r="67" spans="9:98" ht="27" hidden="1">
      <c r="I67" s="177" t="s">
        <v>82</v>
      </c>
      <c r="M67" s="184">
        <f ca="1">SUM(M8,M16,M24,M32,M40,M48,M56,M64)</f>
        <v>0</v>
      </c>
      <c r="N67" s="184">
        <f t="shared" ref="N67:BY67" ca="1" si="371">SUM(N8,N16,N24,N32,N40,N48,N56,N64)</f>
        <v>0</v>
      </c>
      <c r="O67" s="184">
        <f t="shared" ca="1" si="371"/>
        <v>0</v>
      </c>
      <c r="P67" s="184">
        <f t="shared" ca="1" si="371"/>
        <v>0</v>
      </c>
      <c r="Q67" s="184">
        <f t="shared" ca="1" si="371"/>
        <v>0</v>
      </c>
      <c r="R67" s="184">
        <f t="shared" ca="1" si="371"/>
        <v>0</v>
      </c>
      <c r="S67" s="184">
        <f t="shared" ca="1" si="371"/>
        <v>0</v>
      </c>
      <c r="T67" s="184">
        <f t="shared" ca="1" si="371"/>
        <v>0</v>
      </c>
      <c r="U67" s="184">
        <f t="shared" ca="1" si="371"/>
        <v>0</v>
      </c>
      <c r="V67" s="184">
        <f t="shared" ca="1" si="371"/>
        <v>0</v>
      </c>
      <c r="W67" s="184">
        <f t="shared" ca="1" si="371"/>
        <v>10</v>
      </c>
      <c r="X67" s="184">
        <f t="shared" ca="1" si="371"/>
        <v>10</v>
      </c>
      <c r="Y67" s="184">
        <f t="shared" ca="1" si="371"/>
        <v>10</v>
      </c>
      <c r="Z67" s="184">
        <f t="shared" ca="1" si="371"/>
        <v>10</v>
      </c>
      <c r="AA67" s="184">
        <f t="shared" ca="1" si="371"/>
        <v>10</v>
      </c>
      <c r="AB67" s="184">
        <f t="shared" ca="1" si="371"/>
        <v>15</v>
      </c>
      <c r="AC67" s="184">
        <f t="shared" ca="1" si="371"/>
        <v>15</v>
      </c>
      <c r="AD67" s="184">
        <f t="shared" ca="1" si="371"/>
        <v>15</v>
      </c>
      <c r="AE67" s="184">
        <f t="shared" ca="1" si="371"/>
        <v>15</v>
      </c>
      <c r="AF67" s="184">
        <f t="shared" ca="1" si="371"/>
        <v>20</v>
      </c>
      <c r="AG67" s="184">
        <f t="shared" ca="1" si="371"/>
        <v>25</v>
      </c>
      <c r="AH67" s="184">
        <f t="shared" ca="1" si="371"/>
        <v>25</v>
      </c>
      <c r="AI67" s="184">
        <f t="shared" ca="1" si="371"/>
        <v>25</v>
      </c>
      <c r="AJ67" s="184">
        <f t="shared" ca="1" si="371"/>
        <v>25</v>
      </c>
      <c r="AK67" s="184">
        <f t="shared" ca="1" si="371"/>
        <v>25</v>
      </c>
      <c r="AL67" s="184">
        <f t="shared" ca="1" si="371"/>
        <v>25</v>
      </c>
      <c r="AM67" s="184">
        <f t="shared" ca="1" si="371"/>
        <v>25</v>
      </c>
      <c r="AN67" s="184">
        <f t="shared" ca="1" si="371"/>
        <v>25</v>
      </c>
      <c r="AO67" s="184">
        <f t="shared" ca="1" si="371"/>
        <v>25</v>
      </c>
      <c r="AP67" s="184">
        <f t="shared" ca="1" si="371"/>
        <v>25</v>
      </c>
      <c r="AQ67" s="184">
        <f t="shared" ca="1" si="371"/>
        <v>25</v>
      </c>
      <c r="AR67" s="184">
        <f t="shared" ca="1" si="371"/>
        <v>25</v>
      </c>
      <c r="AS67" s="184">
        <f t="shared" ca="1" si="371"/>
        <v>25</v>
      </c>
      <c r="AT67" s="184">
        <f t="shared" ca="1" si="371"/>
        <v>25</v>
      </c>
      <c r="AU67" s="184">
        <f t="shared" ca="1" si="371"/>
        <v>75</v>
      </c>
      <c r="AV67" s="184">
        <f t="shared" ca="1" si="371"/>
        <v>75</v>
      </c>
      <c r="AW67" s="184">
        <f t="shared" ca="1" si="371"/>
        <v>75</v>
      </c>
      <c r="AX67" s="184">
        <f t="shared" ca="1" si="371"/>
        <v>80</v>
      </c>
      <c r="AY67" s="184" t="e">
        <f t="shared" ca="1" si="371"/>
        <v>#VALUE!</v>
      </c>
      <c r="AZ67" s="184" t="e">
        <f t="shared" ca="1" si="371"/>
        <v>#VALUE!</v>
      </c>
      <c r="BA67" s="184" t="e">
        <f t="shared" ca="1" si="371"/>
        <v>#VALUE!</v>
      </c>
      <c r="BB67" s="184" t="e">
        <f t="shared" ca="1" si="371"/>
        <v>#VALUE!</v>
      </c>
      <c r="BC67" s="184" t="e">
        <f t="shared" ca="1" si="371"/>
        <v>#VALUE!</v>
      </c>
      <c r="BD67" s="184" t="e">
        <f t="shared" ca="1" si="371"/>
        <v>#VALUE!</v>
      </c>
      <c r="BE67" s="184" t="e">
        <f t="shared" ca="1" si="371"/>
        <v>#VALUE!</v>
      </c>
      <c r="BF67" s="184" t="e">
        <f t="shared" ca="1" si="371"/>
        <v>#VALUE!</v>
      </c>
      <c r="BG67" s="184" t="e">
        <f t="shared" ca="1" si="371"/>
        <v>#VALUE!</v>
      </c>
      <c r="BH67" s="184" t="e">
        <f t="shared" ca="1" si="371"/>
        <v>#VALUE!</v>
      </c>
      <c r="BI67" s="184" t="e">
        <f t="shared" ca="1" si="371"/>
        <v>#VALUE!</v>
      </c>
      <c r="BJ67" s="184" t="e">
        <f t="shared" ca="1" si="371"/>
        <v>#VALUE!</v>
      </c>
      <c r="BK67" s="184" t="e">
        <f t="shared" ca="1" si="371"/>
        <v>#VALUE!</v>
      </c>
      <c r="BL67" s="184" t="e">
        <f t="shared" ca="1" si="371"/>
        <v>#VALUE!</v>
      </c>
      <c r="BM67" s="184" t="e">
        <f t="shared" ca="1" si="371"/>
        <v>#VALUE!</v>
      </c>
      <c r="BN67" s="184" t="e">
        <f t="shared" ca="1" si="371"/>
        <v>#VALUE!</v>
      </c>
      <c r="BO67" s="184" t="e">
        <f t="shared" ca="1" si="371"/>
        <v>#VALUE!</v>
      </c>
      <c r="BP67" s="184" t="e">
        <f t="shared" ca="1" si="371"/>
        <v>#VALUE!</v>
      </c>
      <c r="BQ67" s="184" t="e">
        <f t="shared" ca="1" si="371"/>
        <v>#VALUE!</v>
      </c>
      <c r="BR67" s="184" t="e">
        <f t="shared" ca="1" si="371"/>
        <v>#VALUE!</v>
      </c>
      <c r="BS67" s="184" t="e">
        <f t="shared" ca="1" si="371"/>
        <v>#VALUE!</v>
      </c>
      <c r="BT67" s="184" t="e">
        <f t="shared" ca="1" si="371"/>
        <v>#VALUE!</v>
      </c>
      <c r="BU67" s="184" t="e">
        <f t="shared" ca="1" si="371"/>
        <v>#VALUE!</v>
      </c>
      <c r="BV67" s="184" t="e">
        <f t="shared" ca="1" si="371"/>
        <v>#VALUE!</v>
      </c>
      <c r="BW67" s="184" t="e">
        <f t="shared" ca="1" si="371"/>
        <v>#VALUE!</v>
      </c>
      <c r="BX67" s="184" t="e">
        <f t="shared" ca="1" si="371"/>
        <v>#VALUE!</v>
      </c>
      <c r="BY67" s="184" t="e">
        <f t="shared" ca="1" si="371"/>
        <v>#VALUE!</v>
      </c>
      <c r="BZ67" s="184" t="e">
        <f t="shared" ref="BZ67:CT67" ca="1" si="372">SUM(BZ8,BZ16,BZ24,BZ32,BZ40,BZ48,BZ56,BZ64)</f>
        <v>#VALUE!</v>
      </c>
      <c r="CA67" s="184" t="e">
        <f t="shared" ca="1" si="372"/>
        <v>#VALUE!</v>
      </c>
      <c r="CB67" s="184" t="e">
        <f t="shared" ca="1" si="372"/>
        <v>#VALUE!</v>
      </c>
      <c r="CC67" s="184" t="e">
        <f t="shared" ca="1" si="372"/>
        <v>#VALUE!</v>
      </c>
      <c r="CD67" s="184" t="e">
        <f t="shared" ca="1" si="372"/>
        <v>#VALUE!</v>
      </c>
      <c r="CE67" s="184" t="e">
        <f t="shared" ca="1" si="372"/>
        <v>#VALUE!</v>
      </c>
      <c r="CF67" s="184" t="e">
        <f t="shared" ca="1" si="372"/>
        <v>#VALUE!</v>
      </c>
      <c r="CG67" s="184" t="e">
        <f t="shared" ca="1" si="372"/>
        <v>#VALUE!</v>
      </c>
      <c r="CH67" s="184" t="e">
        <f t="shared" ca="1" si="372"/>
        <v>#VALUE!</v>
      </c>
      <c r="CI67" s="184" t="e">
        <f t="shared" ca="1" si="372"/>
        <v>#VALUE!</v>
      </c>
      <c r="CJ67" s="184" t="e">
        <f t="shared" ca="1" si="372"/>
        <v>#VALUE!</v>
      </c>
      <c r="CK67" s="184" t="e">
        <f t="shared" ca="1" si="372"/>
        <v>#VALUE!</v>
      </c>
      <c r="CL67" s="184" t="e">
        <f t="shared" ca="1" si="372"/>
        <v>#VALUE!</v>
      </c>
      <c r="CM67" s="184" t="e">
        <f t="shared" ca="1" si="372"/>
        <v>#VALUE!</v>
      </c>
      <c r="CN67" s="184" t="e">
        <f t="shared" ca="1" si="372"/>
        <v>#VALUE!</v>
      </c>
      <c r="CO67" s="184" t="e">
        <f t="shared" ca="1" si="372"/>
        <v>#VALUE!</v>
      </c>
      <c r="CP67" s="184" t="e">
        <f t="shared" ca="1" si="372"/>
        <v>#VALUE!</v>
      </c>
      <c r="CQ67" s="184" t="e">
        <f t="shared" ca="1" si="372"/>
        <v>#VALUE!</v>
      </c>
      <c r="CR67" s="184" t="e">
        <f t="shared" ca="1" si="372"/>
        <v>#VALUE!</v>
      </c>
      <c r="CS67" s="184">
        <f t="shared" ca="1" si="372"/>
        <v>10</v>
      </c>
      <c r="CT67" s="184">
        <f t="shared" ca="1" si="372"/>
        <v>60</v>
      </c>
    </row>
    <row r="68" spans="9:98" hidden="1"/>
    <row r="69" spans="9:98" hidden="1">
      <c r="I69" s="176" t="s">
        <v>83</v>
      </c>
      <c r="M69" s="175" t="e">
        <f ca="1">AVERAGE(M67:CT67)</f>
        <v>#VALUE!</v>
      </c>
      <c r="N69" s="175" t="e">
        <f ca="1">M69*1.2</f>
        <v>#VALUE!</v>
      </c>
    </row>
    <row r="70" spans="9:98" hidden="1">
      <c r="I70" s="176" t="s">
        <v>84</v>
      </c>
      <c r="M70" s="175" t="e">
        <f ca="1">MAX(M67:CT67)</f>
        <v>#VALUE!</v>
      </c>
      <c r="N70" s="175" t="e">
        <f ca="1">M70*1.2</f>
        <v>#VALUE!</v>
      </c>
    </row>
    <row r="71" spans="9:98" hidden="1"/>
    <row r="72" spans="9:98" hidden="1"/>
    <row r="73" spans="9:98" hidden="1"/>
    <row r="74" spans="9:98" hidden="1"/>
    <row r="75" spans="9:98" hidden="1">
      <c r="J75" s="177"/>
    </row>
    <row r="76" spans="9:98" hidden="1"/>
    <row r="77" spans="9:98">
      <c r="J77" s="176"/>
    </row>
    <row r="78" spans="9:98">
      <c r="J78" s="176"/>
    </row>
  </sheetData>
  <mergeCells count="58">
    <mergeCell ref="L11:L15"/>
    <mergeCell ref="A1:I1"/>
    <mergeCell ref="K1:L1"/>
    <mergeCell ref="A3:A7"/>
    <mergeCell ref="B3:B7"/>
    <mergeCell ref="C3:C7"/>
    <mergeCell ref="D3:D7"/>
    <mergeCell ref="K3:K7"/>
    <mergeCell ref="L3:L7"/>
    <mergeCell ref="A10:A15"/>
    <mergeCell ref="B10:B15"/>
    <mergeCell ref="C10:C15"/>
    <mergeCell ref="K11:K15"/>
    <mergeCell ref="J3:J7"/>
    <mergeCell ref="J11:J15"/>
    <mergeCell ref="L27:L31"/>
    <mergeCell ref="A18:A23"/>
    <mergeCell ref="B18:B23"/>
    <mergeCell ref="C18:C23"/>
    <mergeCell ref="K19:K23"/>
    <mergeCell ref="L19:L23"/>
    <mergeCell ref="A26:A31"/>
    <mergeCell ref="B26:B31"/>
    <mergeCell ref="C26:C31"/>
    <mergeCell ref="K27:K31"/>
    <mergeCell ref="J19:J23"/>
    <mergeCell ref="J27:J31"/>
    <mergeCell ref="L43:L47"/>
    <mergeCell ref="A34:A39"/>
    <mergeCell ref="B34:B39"/>
    <mergeCell ref="C34:C39"/>
    <mergeCell ref="K35:K39"/>
    <mergeCell ref="L35:L39"/>
    <mergeCell ref="A42:A47"/>
    <mergeCell ref="B42:B47"/>
    <mergeCell ref="C42:C47"/>
    <mergeCell ref="K43:K47"/>
    <mergeCell ref="J35:J39"/>
    <mergeCell ref="J43:J47"/>
    <mergeCell ref="L59:L63"/>
    <mergeCell ref="A50:A55"/>
    <mergeCell ref="B50:B55"/>
    <mergeCell ref="C50:C55"/>
    <mergeCell ref="K51:K55"/>
    <mergeCell ref="L51:L55"/>
    <mergeCell ref="A58:A63"/>
    <mergeCell ref="B58:B63"/>
    <mergeCell ref="C58:C63"/>
    <mergeCell ref="K59:K63"/>
    <mergeCell ref="J51:J55"/>
    <mergeCell ref="J59:J63"/>
    <mergeCell ref="D50:D55"/>
    <mergeCell ref="D58:D63"/>
    <mergeCell ref="D10:D15"/>
    <mergeCell ref="D18:D23"/>
    <mergeCell ref="D26:D31"/>
    <mergeCell ref="D34:D39"/>
    <mergeCell ref="D42:D47"/>
  </mergeCells>
  <pageMargins left="0.7" right="0.7" top="0.75" bottom="0.75" header="0.3" footer="0.3"/>
  <pageSetup paperSize="8" scale="8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C5CB-BB8A-4B93-8631-AACF766281A2}">
  <sheetPr>
    <pageSetUpPr fitToPage="1"/>
  </sheetPr>
  <dimension ref="A1:FV46"/>
  <sheetViews>
    <sheetView zoomScaleNormal="100" workbookViewId="0">
      <pane xSplit="4" ySplit="2" topLeftCell="E12" activePane="bottomRight" state="frozen"/>
      <selection pane="topRight" activeCell="E1" sqref="E1"/>
      <selection pane="bottomLeft" activeCell="A2" sqref="A2"/>
      <selection pane="bottomRight" activeCell="J35" sqref="J35:J39"/>
    </sheetView>
  </sheetViews>
  <sheetFormatPr defaultColWidth="8.88671875" defaultRowHeight="13.5"/>
  <cols>
    <col min="1" max="1" width="8.88671875" style="187"/>
    <col min="2" max="2" width="15.88671875" style="187" bestFit="1" customWidth="1"/>
    <col min="3" max="3" width="15.109375" style="187" bestFit="1" customWidth="1"/>
    <col min="4" max="4" width="10.33203125" style="187" customWidth="1"/>
    <col min="5" max="5" width="14.33203125" style="187" customWidth="1"/>
    <col min="6" max="6" width="8.88671875" style="187"/>
    <col min="7" max="7" width="10.109375" style="187" bestFit="1" customWidth="1"/>
    <col min="8" max="8" width="10.109375" style="187" customWidth="1"/>
    <col min="9" max="9" width="8.88671875" style="187"/>
    <col min="10" max="10" width="13" style="187" customWidth="1"/>
    <col min="11" max="14" width="10.109375" style="187" customWidth="1"/>
    <col min="15" max="16" width="8.88671875" style="187" bestFit="1" customWidth="1"/>
    <col min="17" max="31" width="8.88671875" style="187"/>
    <col min="32" max="54" width="8.5546875" style="187" bestFit="1" customWidth="1"/>
    <col min="55" max="101" width="9.33203125" style="187" bestFit="1" customWidth="1"/>
    <col min="102" max="177" width="8.88671875" style="187"/>
    <col min="178" max="178" width="10.109375" style="187" customWidth="1"/>
    <col min="179" max="16384" width="8.88671875" style="187"/>
  </cols>
  <sheetData>
    <row r="1" spans="1:178" ht="22.5" customHeight="1">
      <c r="A1" s="664" t="s">
        <v>88</v>
      </c>
      <c r="B1" s="664"/>
      <c r="C1" s="664"/>
      <c r="D1" s="664"/>
      <c r="E1" s="664"/>
      <c r="F1" s="664"/>
      <c r="G1" s="664"/>
      <c r="H1" s="664"/>
      <c r="I1" s="664"/>
      <c r="J1" s="338"/>
      <c r="K1" s="511">
        <v>46196</v>
      </c>
      <c r="L1" s="510"/>
    </row>
    <row r="2" spans="1:178" s="53" customFormat="1" ht="40.5" customHeight="1">
      <c r="A2" s="179"/>
      <c r="B2" s="128" t="s">
        <v>57</v>
      </c>
      <c r="C2" s="129" t="str">
        <f>'BESS 11'!$G$2</f>
        <v>Trial-Run End Date</v>
      </c>
      <c r="D2" s="129" t="str">
        <f>'BESS 11'!$H$2</f>
        <v>COD</v>
      </c>
      <c r="E2" s="129" t="s">
        <v>10</v>
      </c>
      <c r="F2" s="129" t="s">
        <v>58</v>
      </c>
      <c r="G2" s="129" t="s">
        <v>86</v>
      </c>
      <c r="H2" s="129" t="s">
        <v>79</v>
      </c>
      <c r="I2" s="129" t="s">
        <v>59</v>
      </c>
      <c r="J2" s="128" t="s">
        <v>230</v>
      </c>
      <c r="K2" s="128" t="s">
        <v>80</v>
      </c>
      <c r="L2" s="128" t="s">
        <v>62</v>
      </c>
      <c r="M2" s="130">
        <v>46195</v>
      </c>
      <c r="N2" s="130">
        <v>46196</v>
      </c>
      <c r="O2" s="130">
        <v>46197</v>
      </c>
      <c r="P2" s="130">
        <v>46198</v>
      </c>
      <c r="Q2" s="130">
        <v>46199</v>
      </c>
      <c r="R2" s="130">
        <v>46200</v>
      </c>
      <c r="S2" s="130">
        <v>46201</v>
      </c>
      <c r="T2" s="130">
        <v>46202</v>
      </c>
      <c r="U2" s="130">
        <v>46203</v>
      </c>
      <c r="V2" s="130">
        <v>46204</v>
      </c>
      <c r="W2" s="130">
        <v>46205</v>
      </c>
      <c r="X2" s="130">
        <v>46206</v>
      </c>
      <c r="Y2" s="130">
        <v>46207</v>
      </c>
      <c r="Z2" s="130">
        <v>46208</v>
      </c>
      <c r="AA2" s="130">
        <v>46209</v>
      </c>
      <c r="AB2" s="130">
        <v>46210</v>
      </c>
      <c r="AC2" s="130">
        <v>46211</v>
      </c>
      <c r="AD2" s="130">
        <v>46212</v>
      </c>
      <c r="AE2" s="130">
        <v>46213</v>
      </c>
      <c r="AF2" s="130">
        <v>46214</v>
      </c>
      <c r="AG2" s="130">
        <v>46215</v>
      </c>
      <c r="AH2" s="130">
        <v>46216</v>
      </c>
      <c r="AI2" s="130">
        <v>46217</v>
      </c>
      <c r="AJ2" s="130">
        <v>46218</v>
      </c>
      <c r="AK2" s="130">
        <v>46219</v>
      </c>
      <c r="AL2" s="130">
        <v>46220</v>
      </c>
      <c r="AM2" s="130">
        <v>46221</v>
      </c>
      <c r="AN2" s="130">
        <v>46222</v>
      </c>
      <c r="AO2" s="130">
        <v>46223</v>
      </c>
      <c r="AP2" s="130">
        <v>46224</v>
      </c>
      <c r="AQ2" s="130">
        <v>46225</v>
      </c>
      <c r="AR2" s="130">
        <v>46226</v>
      </c>
      <c r="AS2" s="130">
        <v>46227</v>
      </c>
      <c r="AT2" s="130">
        <v>46228</v>
      </c>
      <c r="AU2" s="130">
        <v>46229</v>
      </c>
      <c r="AV2" s="130">
        <v>46230</v>
      </c>
      <c r="AW2" s="130">
        <v>46231</v>
      </c>
      <c r="AX2" s="130">
        <v>46232</v>
      </c>
      <c r="AY2" s="130">
        <v>46233</v>
      </c>
      <c r="AZ2" s="130">
        <v>46234</v>
      </c>
      <c r="BA2" s="130">
        <v>46235</v>
      </c>
      <c r="BB2" s="130">
        <v>46236</v>
      </c>
      <c r="BC2" s="130">
        <v>46237</v>
      </c>
      <c r="BD2" s="130">
        <v>46238</v>
      </c>
      <c r="BE2" s="130">
        <v>46239</v>
      </c>
      <c r="BF2" s="130">
        <v>46240</v>
      </c>
      <c r="BG2" s="130">
        <v>46241</v>
      </c>
      <c r="BH2" s="130">
        <v>46242</v>
      </c>
      <c r="BI2" s="130">
        <v>46243</v>
      </c>
      <c r="BJ2" s="130">
        <v>46244</v>
      </c>
      <c r="BK2" s="130">
        <v>46245</v>
      </c>
      <c r="BL2" s="130">
        <v>46246</v>
      </c>
      <c r="BM2" s="130">
        <v>46247</v>
      </c>
      <c r="BN2" s="130">
        <v>46248</v>
      </c>
      <c r="BO2" s="130">
        <v>46249</v>
      </c>
      <c r="BP2" s="130">
        <v>46250</v>
      </c>
      <c r="BQ2" s="130">
        <v>46251</v>
      </c>
      <c r="BR2" s="130">
        <v>46252</v>
      </c>
      <c r="BS2" s="130">
        <v>46253</v>
      </c>
      <c r="BT2" s="130">
        <v>46254</v>
      </c>
      <c r="BU2" s="130">
        <v>46255</v>
      </c>
      <c r="BV2" s="130">
        <v>46256</v>
      </c>
      <c r="BW2" s="130">
        <v>46257</v>
      </c>
      <c r="BX2" s="130">
        <v>46258</v>
      </c>
      <c r="BY2" s="130">
        <v>46259</v>
      </c>
      <c r="BZ2" s="130">
        <v>46260</v>
      </c>
      <c r="CA2" s="130">
        <v>46261</v>
      </c>
      <c r="CB2" s="130">
        <v>46262</v>
      </c>
      <c r="CC2" s="130">
        <v>46263</v>
      </c>
      <c r="CD2" s="130">
        <v>46264</v>
      </c>
      <c r="CE2" s="130">
        <v>46265</v>
      </c>
      <c r="CF2" s="130">
        <v>46266</v>
      </c>
      <c r="CG2" s="130">
        <v>46267</v>
      </c>
      <c r="CH2" s="130">
        <v>46268</v>
      </c>
      <c r="CI2" s="130">
        <v>46269</v>
      </c>
      <c r="CJ2" s="130">
        <v>46270</v>
      </c>
      <c r="CK2" s="130">
        <v>46271</v>
      </c>
      <c r="CL2" s="130">
        <v>46272</v>
      </c>
      <c r="CM2" s="130">
        <v>46273</v>
      </c>
      <c r="CN2" s="130">
        <v>46274</v>
      </c>
      <c r="CO2" s="130">
        <v>46275</v>
      </c>
      <c r="CP2" s="130">
        <v>46276</v>
      </c>
      <c r="CQ2" s="130">
        <v>46277</v>
      </c>
      <c r="CR2" s="130">
        <v>46278</v>
      </c>
      <c r="CS2" s="130">
        <v>46279</v>
      </c>
      <c r="CT2" s="130">
        <v>46280</v>
      </c>
      <c r="CU2" s="130">
        <v>46281</v>
      </c>
      <c r="CV2" s="130">
        <v>46282</v>
      </c>
      <c r="CW2" s="130">
        <v>46283</v>
      </c>
      <c r="CX2" s="130">
        <v>46284</v>
      </c>
      <c r="CY2" s="130">
        <v>46285</v>
      </c>
      <c r="CZ2" s="130">
        <v>46286</v>
      </c>
      <c r="DA2" s="130">
        <v>46287</v>
      </c>
      <c r="DB2" s="130">
        <v>46288</v>
      </c>
      <c r="DC2" s="130">
        <v>46289</v>
      </c>
      <c r="DD2" s="130">
        <v>46290</v>
      </c>
      <c r="DE2" s="130">
        <v>46291</v>
      </c>
      <c r="DF2" s="130">
        <v>46292</v>
      </c>
      <c r="DG2" s="130">
        <v>46293</v>
      </c>
      <c r="DH2" s="130">
        <v>46294</v>
      </c>
      <c r="DI2" s="130">
        <v>46295</v>
      </c>
      <c r="DJ2" s="130">
        <v>46296</v>
      </c>
      <c r="DK2" s="130">
        <v>46297</v>
      </c>
      <c r="DL2" s="130">
        <v>46298</v>
      </c>
      <c r="DM2" s="130">
        <v>46299</v>
      </c>
      <c r="DN2" s="130">
        <v>46300</v>
      </c>
      <c r="DO2" s="130">
        <v>46301</v>
      </c>
      <c r="DP2" s="130">
        <v>46302</v>
      </c>
      <c r="DQ2" s="130">
        <v>46303</v>
      </c>
      <c r="DR2" s="130">
        <v>46304</v>
      </c>
      <c r="DS2" s="130">
        <v>46305</v>
      </c>
      <c r="DT2" s="130">
        <v>46306</v>
      </c>
      <c r="DU2" s="130">
        <v>46307</v>
      </c>
      <c r="DV2" s="130">
        <v>46308</v>
      </c>
      <c r="DW2" s="130">
        <v>46309</v>
      </c>
      <c r="DX2" s="130">
        <v>46310</v>
      </c>
      <c r="DY2" s="130">
        <v>46311</v>
      </c>
      <c r="DZ2" s="130">
        <v>46312</v>
      </c>
      <c r="EA2" s="130">
        <v>46313</v>
      </c>
      <c r="EB2" s="130">
        <v>46314</v>
      </c>
      <c r="EC2" s="130">
        <v>46315</v>
      </c>
      <c r="ED2" s="130">
        <v>46316</v>
      </c>
      <c r="EE2" s="130">
        <v>46317</v>
      </c>
      <c r="EF2" s="130">
        <v>46318</v>
      </c>
      <c r="EG2" s="130">
        <v>46319</v>
      </c>
      <c r="EH2" s="130">
        <v>46320</v>
      </c>
      <c r="EI2" s="130">
        <v>46321</v>
      </c>
      <c r="EJ2" s="130">
        <v>46322</v>
      </c>
      <c r="EK2" s="130">
        <v>46323</v>
      </c>
      <c r="EL2" s="130">
        <v>46324</v>
      </c>
      <c r="EM2" s="130">
        <v>46325</v>
      </c>
      <c r="EN2" s="130">
        <v>46326</v>
      </c>
      <c r="EO2" s="130">
        <v>46327</v>
      </c>
      <c r="EP2" s="130">
        <v>46328</v>
      </c>
      <c r="EQ2" s="130">
        <v>46329</v>
      </c>
      <c r="ER2" s="130">
        <v>46330</v>
      </c>
      <c r="ES2" s="130">
        <v>46331</v>
      </c>
      <c r="ET2" s="130">
        <v>46332</v>
      </c>
      <c r="EU2" s="130">
        <v>46333</v>
      </c>
      <c r="EV2" s="130">
        <v>46334</v>
      </c>
      <c r="EW2" s="130">
        <v>46335</v>
      </c>
      <c r="EX2" s="130">
        <v>46336</v>
      </c>
      <c r="EY2" s="130">
        <v>46337</v>
      </c>
      <c r="EZ2" s="130">
        <v>46338</v>
      </c>
      <c r="FA2" s="130">
        <v>46339</v>
      </c>
      <c r="FB2" s="130">
        <v>46340</v>
      </c>
      <c r="FC2" s="130">
        <v>46341</v>
      </c>
      <c r="FD2" s="130">
        <v>46342</v>
      </c>
      <c r="FE2" s="130">
        <v>46343</v>
      </c>
      <c r="FF2" s="130">
        <v>46344</v>
      </c>
      <c r="FG2" s="130">
        <v>46345</v>
      </c>
      <c r="FH2" s="130">
        <v>46346</v>
      </c>
      <c r="FI2" s="130">
        <v>46347</v>
      </c>
      <c r="FJ2" s="130">
        <v>46348</v>
      </c>
      <c r="FK2" s="130">
        <v>46349</v>
      </c>
      <c r="FL2" s="130">
        <v>46350</v>
      </c>
      <c r="FM2" s="130">
        <v>46351</v>
      </c>
      <c r="FN2" s="130">
        <v>46352</v>
      </c>
      <c r="FO2" s="130">
        <v>46353</v>
      </c>
      <c r="FP2" s="130">
        <v>46354</v>
      </c>
      <c r="FQ2" s="130">
        <v>46355</v>
      </c>
      <c r="FR2" s="130">
        <v>46356</v>
      </c>
      <c r="FS2" s="131">
        <v>46384</v>
      </c>
      <c r="FT2" s="131">
        <v>46385</v>
      </c>
      <c r="FU2" s="131">
        <v>46386</v>
      </c>
      <c r="FV2" s="131">
        <v>46387</v>
      </c>
    </row>
    <row r="3" spans="1:178">
      <c r="A3" s="466" t="s">
        <v>63</v>
      </c>
      <c r="B3" s="465">
        <f>IF(LEN('BESS 10B'!F5)=5,'BESS 10B'!F5,(IF('BESS 10B'!F5="Completed"," ",DATEVALUE(RIGHT('BESS 10B'!F5,6)))))</f>
        <v>46239</v>
      </c>
      <c r="C3" s="465">
        <f>IF(LEN('BESS 10B'!G5)=5,'BESS 10B'!G5,(IF('BESS 10B'!G5="Completed"," ",DATEVALUE(RIGHT('BESS 10B'!G5,6)))))</f>
        <v>46244</v>
      </c>
      <c r="D3" s="467">
        <f>IF(LEN('BESS 10B'!H5)=5,'BESS 10B'!H5,(IF('BESS 10B'!H5="Completed"," ",DATEVALUE(RIGHT('BESS 10B'!H5,6)))))</f>
        <v>46247</v>
      </c>
      <c r="E3" s="185" t="s">
        <v>64</v>
      </c>
      <c r="F3" s="66" t="e">
        <f>SUM('BESS 10B'!S18:S25,'BESS 10B'!S27)</f>
        <v>#VALUE!</v>
      </c>
      <c r="G3" s="182">
        <v>46228</v>
      </c>
      <c r="H3" s="182">
        <v>46228</v>
      </c>
      <c r="I3" s="66">
        <f>H3-G3</f>
        <v>0</v>
      </c>
      <c r="J3" s="444">
        <f ca="1">K3*1.2</f>
        <v>9.6</v>
      </c>
      <c r="K3" s="661">
        <f ca="1">AVERAGEIF(M8:CX8,"&gt;0")</f>
        <v>8</v>
      </c>
      <c r="L3" s="661" t="e">
        <f ca="1">MAX(M8:CX8)</f>
        <v>#VALUE!</v>
      </c>
      <c r="M3" s="65" t="str">
        <f t="shared" ref="M3:AB6" si="0">IF(AND(M$2&gt;=$G3,M$2&lt;($G3+$I3)),ROUND($F3/$I3,0),"-")</f>
        <v>-</v>
      </c>
      <c r="N3" s="65" t="str">
        <f t="shared" si="0"/>
        <v>-</v>
      </c>
      <c r="O3" s="65" t="str">
        <f t="shared" si="0"/>
        <v>-</v>
      </c>
      <c r="P3" s="65" t="str">
        <f t="shared" si="0"/>
        <v>-</v>
      </c>
      <c r="Q3" s="65" t="str">
        <f t="shared" si="0"/>
        <v>-</v>
      </c>
      <c r="R3" s="65" t="str">
        <f t="shared" si="0"/>
        <v>-</v>
      </c>
      <c r="S3" s="65" t="str">
        <f t="shared" si="0"/>
        <v>-</v>
      </c>
      <c r="T3" s="65" t="str">
        <f t="shared" si="0"/>
        <v>-</v>
      </c>
      <c r="U3" s="65" t="str">
        <f t="shared" si="0"/>
        <v>-</v>
      </c>
      <c r="V3" s="65" t="str">
        <f t="shared" si="0"/>
        <v>-</v>
      </c>
      <c r="W3" s="65" t="str">
        <f t="shared" si="0"/>
        <v>-</v>
      </c>
      <c r="X3" s="65" t="str">
        <f t="shared" si="0"/>
        <v>-</v>
      </c>
      <c r="Y3" s="65" t="str">
        <f t="shared" si="0"/>
        <v>-</v>
      </c>
      <c r="Z3" s="65" t="str">
        <f t="shared" si="0"/>
        <v>-</v>
      </c>
      <c r="AA3" s="65" t="str">
        <f t="shared" si="0"/>
        <v>-</v>
      </c>
      <c r="AB3" s="65" t="str">
        <f t="shared" si="0"/>
        <v>-</v>
      </c>
      <c r="AC3" s="65" t="str">
        <f t="shared" ref="AC3:AR6" si="1">IF(AND(AC$2&gt;=$G3,AC$2&lt;($G3+$I3)),ROUND($F3/$I3,0),"-")</f>
        <v>-</v>
      </c>
      <c r="AD3" s="65" t="str">
        <f t="shared" si="1"/>
        <v>-</v>
      </c>
      <c r="AE3" s="65" t="str">
        <f t="shared" si="1"/>
        <v>-</v>
      </c>
      <c r="AF3" s="65" t="str">
        <f t="shared" si="1"/>
        <v>-</v>
      </c>
      <c r="AG3" s="65" t="str">
        <f t="shared" si="1"/>
        <v>-</v>
      </c>
      <c r="AH3" s="65" t="str">
        <f t="shared" si="1"/>
        <v>-</v>
      </c>
      <c r="AI3" s="65" t="str">
        <f t="shared" si="1"/>
        <v>-</v>
      </c>
      <c r="AJ3" s="65" t="str">
        <f t="shared" si="1"/>
        <v>-</v>
      </c>
      <c r="AK3" s="65" t="str">
        <f t="shared" si="1"/>
        <v>-</v>
      </c>
      <c r="AL3" s="65" t="str">
        <f t="shared" si="1"/>
        <v>-</v>
      </c>
      <c r="AM3" s="65" t="str">
        <f t="shared" si="1"/>
        <v>-</v>
      </c>
      <c r="AN3" s="65" t="str">
        <f t="shared" si="1"/>
        <v>-</v>
      </c>
      <c r="AO3" s="65" t="str">
        <f t="shared" si="1"/>
        <v>-</v>
      </c>
      <c r="AP3" s="65" t="str">
        <f t="shared" si="1"/>
        <v>-</v>
      </c>
      <c r="AQ3" s="65" t="str">
        <f t="shared" si="1"/>
        <v>-</v>
      </c>
      <c r="AR3" s="65" t="str">
        <f t="shared" si="1"/>
        <v>-</v>
      </c>
      <c r="AS3" s="65" t="str">
        <f t="shared" ref="AS3:BH6" si="2">IF(AND(AS$2&gt;=$G3,AS$2&lt;($G3+$I3)),ROUND($F3/$I3,0),"-")</f>
        <v>-</v>
      </c>
      <c r="AT3" s="65" t="str">
        <f t="shared" si="2"/>
        <v>-</v>
      </c>
      <c r="AU3" s="65" t="str">
        <f t="shared" si="2"/>
        <v>-</v>
      </c>
      <c r="AV3" s="65" t="str">
        <f t="shared" si="2"/>
        <v>-</v>
      </c>
      <c r="AW3" s="65" t="str">
        <f t="shared" si="2"/>
        <v>-</v>
      </c>
      <c r="AX3" s="65" t="str">
        <f t="shared" si="2"/>
        <v>-</v>
      </c>
      <c r="AY3" s="65" t="str">
        <f t="shared" si="2"/>
        <v>-</v>
      </c>
      <c r="AZ3" s="65" t="str">
        <f t="shared" si="2"/>
        <v>-</v>
      </c>
      <c r="BA3" s="65" t="str">
        <f t="shared" si="2"/>
        <v>-</v>
      </c>
      <c r="BB3" s="65" t="str">
        <f t="shared" si="2"/>
        <v>-</v>
      </c>
      <c r="BC3" s="65" t="str">
        <f t="shared" si="2"/>
        <v>-</v>
      </c>
      <c r="BD3" s="65" t="str">
        <f t="shared" si="2"/>
        <v>-</v>
      </c>
      <c r="BE3" s="65" t="str">
        <f t="shared" si="2"/>
        <v>-</v>
      </c>
      <c r="BF3" s="65" t="str">
        <f t="shared" si="2"/>
        <v>-</v>
      </c>
      <c r="BG3" s="65" t="str">
        <f t="shared" si="2"/>
        <v>-</v>
      </c>
      <c r="BH3" s="65" t="str">
        <f t="shared" si="2"/>
        <v>-</v>
      </c>
      <c r="BI3" s="65" t="str">
        <f t="shared" ref="BI3:BX6" si="3">IF(AND(BI$2&gt;=$G3,BI$2&lt;($G3+$I3)),ROUND($F3/$I3,0),"-")</f>
        <v>-</v>
      </c>
      <c r="BJ3" s="65" t="str">
        <f t="shared" si="3"/>
        <v>-</v>
      </c>
      <c r="BK3" s="65" t="str">
        <f t="shared" si="3"/>
        <v>-</v>
      </c>
      <c r="BL3" s="65" t="str">
        <f t="shared" si="3"/>
        <v>-</v>
      </c>
      <c r="BM3" s="65" t="str">
        <f t="shared" si="3"/>
        <v>-</v>
      </c>
      <c r="BN3" s="65" t="str">
        <f t="shared" si="3"/>
        <v>-</v>
      </c>
      <c r="BO3" s="65" t="str">
        <f t="shared" si="3"/>
        <v>-</v>
      </c>
      <c r="BP3" s="65" t="str">
        <f t="shared" si="3"/>
        <v>-</v>
      </c>
      <c r="BQ3" s="65" t="str">
        <f t="shared" si="3"/>
        <v>-</v>
      </c>
      <c r="BR3" s="65" t="str">
        <f t="shared" si="3"/>
        <v>-</v>
      </c>
      <c r="BS3" s="65" t="str">
        <f t="shared" si="3"/>
        <v>-</v>
      </c>
      <c r="BT3" s="65" t="str">
        <f t="shared" si="3"/>
        <v>-</v>
      </c>
      <c r="BU3" s="65" t="str">
        <f t="shared" si="3"/>
        <v>-</v>
      </c>
      <c r="BV3" s="65" t="str">
        <f t="shared" si="3"/>
        <v>-</v>
      </c>
      <c r="BW3" s="65" t="str">
        <f t="shared" si="3"/>
        <v>-</v>
      </c>
      <c r="BX3" s="65" t="str">
        <f t="shared" si="3"/>
        <v>-</v>
      </c>
      <c r="BY3" s="65" t="str">
        <f t="shared" ref="BY3:CN6" si="4">IF(AND(BY$2&gt;=$G3,BY$2&lt;($G3+$I3)),ROUND($F3/$I3,0),"-")</f>
        <v>-</v>
      </c>
      <c r="BZ3" s="65" t="str">
        <f t="shared" si="4"/>
        <v>-</v>
      </c>
      <c r="CA3" s="65" t="str">
        <f t="shared" si="4"/>
        <v>-</v>
      </c>
      <c r="CB3" s="65" t="str">
        <f t="shared" si="4"/>
        <v>-</v>
      </c>
      <c r="CC3" s="65" t="str">
        <f t="shared" si="4"/>
        <v>-</v>
      </c>
      <c r="CD3" s="65" t="str">
        <f t="shared" si="4"/>
        <v>-</v>
      </c>
      <c r="CE3" s="65" t="str">
        <f t="shared" si="4"/>
        <v>-</v>
      </c>
      <c r="CF3" s="65" t="str">
        <f t="shared" si="4"/>
        <v>-</v>
      </c>
      <c r="CG3" s="65" t="str">
        <f t="shared" si="4"/>
        <v>-</v>
      </c>
      <c r="CH3" s="65" t="str">
        <f t="shared" si="4"/>
        <v>-</v>
      </c>
      <c r="CI3" s="65" t="str">
        <f t="shared" si="4"/>
        <v>-</v>
      </c>
      <c r="CJ3" s="65" t="str">
        <f t="shared" si="4"/>
        <v>-</v>
      </c>
      <c r="CK3" s="65" t="str">
        <f t="shared" si="4"/>
        <v>-</v>
      </c>
      <c r="CL3" s="65" t="str">
        <f t="shared" si="4"/>
        <v>-</v>
      </c>
      <c r="CM3" s="65" t="str">
        <f t="shared" si="4"/>
        <v>-</v>
      </c>
      <c r="CN3" s="65" t="str">
        <f t="shared" si="4"/>
        <v>-</v>
      </c>
      <c r="CO3" s="65" t="str">
        <f t="shared" ref="CO3:DD6" si="5">IF(AND(CO$2&gt;=$G3,CO$2&lt;($G3+$I3)),ROUND($F3/$I3,0),"-")</f>
        <v>-</v>
      </c>
      <c r="CP3" s="65" t="str">
        <f t="shared" si="5"/>
        <v>-</v>
      </c>
      <c r="CQ3" s="65" t="str">
        <f t="shared" si="5"/>
        <v>-</v>
      </c>
      <c r="CR3" s="65" t="str">
        <f t="shared" si="5"/>
        <v>-</v>
      </c>
      <c r="CS3" s="65" t="str">
        <f t="shared" si="5"/>
        <v>-</v>
      </c>
      <c r="CT3" s="186" t="str">
        <f t="shared" si="5"/>
        <v>-</v>
      </c>
      <c r="CU3" s="186" t="str">
        <f t="shared" si="5"/>
        <v>-</v>
      </c>
      <c r="CV3" s="186" t="str">
        <f t="shared" si="5"/>
        <v>-</v>
      </c>
      <c r="CW3" s="186" t="str">
        <f t="shared" si="5"/>
        <v>-</v>
      </c>
      <c r="CX3" s="65" t="str">
        <f t="shared" si="5"/>
        <v>-</v>
      </c>
      <c r="CY3" s="65" t="str">
        <f t="shared" si="5"/>
        <v>-</v>
      </c>
      <c r="CZ3" s="65" t="str">
        <f t="shared" si="5"/>
        <v>-</v>
      </c>
      <c r="DA3" s="65" t="str">
        <f t="shared" si="5"/>
        <v>-</v>
      </c>
      <c r="DB3" s="65" t="str">
        <f t="shared" si="5"/>
        <v>-</v>
      </c>
      <c r="DC3" s="65" t="str">
        <f t="shared" si="5"/>
        <v>-</v>
      </c>
      <c r="DD3" s="65" t="str">
        <f t="shared" si="5"/>
        <v>-</v>
      </c>
      <c r="DE3" s="65" t="str">
        <f t="shared" ref="DE3:FP6" si="6">IF(AND(DE$2&gt;=$G3,DE$2&lt;($G3+$I3)),ROUND($F3/$I3,0),"-")</f>
        <v>-</v>
      </c>
      <c r="DF3" s="65" t="str">
        <f t="shared" si="6"/>
        <v>-</v>
      </c>
      <c r="DG3" s="65" t="str">
        <f t="shared" si="6"/>
        <v>-</v>
      </c>
      <c r="DH3" s="65" t="str">
        <f t="shared" si="6"/>
        <v>-</v>
      </c>
      <c r="DI3" s="65" t="str">
        <f t="shared" si="6"/>
        <v>-</v>
      </c>
      <c r="DJ3" s="65" t="str">
        <f t="shared" si="6"/>
        <v>-</v>
      </c>
      <c r="DK3" s="65" t="str">
        <f t="shared" si="6"/>
        <v>-</v>
      </c>
      <c r="DL3" s="65" t="str">
        <f t="shared" si="6"/>
        <v>-</v>
      </c>
      <c r="DM3" s="65" t="str">
        <f t="shared" si="6"/>
        <v>-</v>
      </c>
      <c r="DN3" s="65" t="str">
        <f t="shared" si="6"/>
        <v>-</v>
      </c>
      <c r="DO3" s="65" t="str">
        <f t="shared" si="6"/>
        <v>-</v>
      </c>
      <c r="DP3" s="65" t="str">
        <f t="shared" si="6"/>
        <v>-</v>
      </c>
      <c r="DQ3" s="65" t="str">
        <f t="shared" si="6"/>
        <v>-</v>
      </c>
      <c r="DR3" s="65" t="str">
        <f t="shared" si="6"/>
        <v>-</v>
      </c>
      <c r="DS3" s="65" t="str">
        <f t="shared" si="6"/>
        <v>-</v>
      </c>
      <c r="DT3" s="65" t="str">
        <f t="shared" si="6"/>
        <v>-</v>
      </c>
      <c r="DU3" s="65" t="str">
        <f t="shared" si="6"/>
        <v>-</v>
      </c>
      <c r="DV3" s="65" t="str">
        <f t="shared" si="6"/>
        <v>-</v>
      </c>
      <c r="DW3" s="65" t="str">
        <f t="shared" si="6"/>
        <v>-</v>
      </c>
      <c r="DX3" s="65" t="str">
        <f t="shared" si="6"/>
        <v>-</v>
      </c>
      <c r="DY3" s="65" t="str">
        <f t="shared" si="6"/>
        <v>-</v>
      </c>
      <c r="DZ3" s="65" t="str">
        <f t="shared" si="6"/>
        <v>-</v>
      </c>
      <c r="EA3" s="65" t="str">
        <f t="shared" si="6"/>
        <v>-</v>
      </c>
      <c r="EB3" s="65" t="str">
        <f t="shared" si="6"/>
        <v>-</v>
      </c>
      <c r="EC3" s="65" t="str">
        <f t="shared" si="6"/>
        <v>-</v>
      </c>
      <c r="ED3" s="65" t="str">
        <f t="shared" si="6"/>
        <v>-</v>
      </c>
      <c r="EE3" s="65" t="str">
        <f t="shared" si="6"/>
        <v>-</v>
      </c>
      <c r="EF3" s="65" t="str">
        <f t="shared" si="6"/>
        <v>-</v>
      </c>
      <c r="EG3" s="65" t="str">
        <f t="shared" si="6"/>
        <v>-</v>
      </c>
      <c r="EH3" s="65" t="str">
        <f t="shared" si="6"/>
        <v>-</v>
      </c>
      <c r="EI3" s="65" t="str">
        <f t="shared" si="6"/>
        <v>-</v>
      </c>
      <c r="EJ3" s="65" t="str">
        <f t="shared" si="6"/>
        <v>-</v>
      </c>
      <c r="EK3" s="65" t="str">
        <f t="shared" si="6"/>
        <v>-</v>
      </c>
      <c r="EL3" s="65" t="str">
        <f t="shared" si="6"/>
        <v>-</v>
      </c>
      <c r="EM3" s="65" t="str">
        <f t="shared" si="6"/>
        <v>-</v>
      </c>
      <c r="EN3" s="65" t="str">
        <f t="shared" si="6"/>
        <v>-</v>
      </c>
      <c r="EO3" s="65" t="str">
        <f t="shared" si="6"/>
        <v>-</v>
      </c>
      <c r="EP3" s="65" t="str">
        <f t="shared" si="6"/>
        <v>-</v>
      </c>
      <c r="EQ3" s="65" t="str">
        <f t="shared" si="6"/>
        <v>-</v>
      </c>
      <c r="ER3" s="65" t="str">
        <f t="shared" si="6"/>
        <v>-</v>
      </c>
      <c r="ES3" s="65" t="str">
        <f t="shared" si="6"/>
        <v>-</v>
      </c>
      <c r="ET3" s="65" t="str">
        <f t="shared" si="6"/>
        <v>-</v>
      </c>
      <c r="EU3" s="65" t="str">
        <f t="shared" si="6"/>
        <v>-</v>
      </c>
      <c r="EV3" s="65" t="str">
        <f t="shared" si="6"/>
        <v>-</v>
      </c>
      <c r="EW3" s="65" t="str">
        <f t="shared" si="6"/>
        <v>-</v>
      </c>
      <c r="EX3" s="65" t="str">
        <f t="shared" si="6"/>
        <v>-</v>
      </c>
      <c r="EY3" s="65" t="str">
        <f t="shared" si="6"/>
        <v>-</v>
      </c>
      <c r="EZ3" s="65" t="str">
        <f t="shared" si="6"/>
        <v>-</v>
      </c>
      <c r="FA3" s="65" t="str">
        <f t="shared" si="6"/>
        <v>-</v>
      </c>
      <c r="FB3" s="65" t="str">
        <f t="shared" si="6"/>
        <v>-</v>
      </c>
      <c r="FC3" s="65" t="str">
        <f t="shared" si="6"/>
        <v>-</v>
      </c>
      <c r="FD3" s="65" t="str">
        <f t="shared" si="6"/>
        <v>-</v>
      </c>
      <c r="FE3" s="65" t="str">
        <f t="shared" si="6"/>
        <v>-</v>
      </c>
      <c r="FF3" s="65" t="str">
        <f t="shared" si="6"/>
        <v>-</v>
      </c>
      <c r="FG3" s="65" t="str">
        <f t="shared" si="6"/>
        <v>-</v>
      </c>
      <c r="FH3" s="65" t="str">
        <f t="shared" si="6"/>
        <v>-</v>
      </c>
      <c r="FI3" s="65" t="str">
        <f t="shared" si="6"/>
        <v>-</v>
      </c>
      <c r="FJ3" s="65" t="str">
        <f t="shared" si="6"/>
        <v>-</v>
      </c>
      <c r="FK3" s="65" t="str">
        <f t="shared" si="6"/>
        <v>-</v>
      </c>
      <c r="FL3" s="65" t="str">
        <f t="shared" si="6"/>
        <v>-</v>
      </c>
      <c r="FM3" s="65" t="str">
        <f t="shared" si="6"/>
        <v>-</v>
      </c>
      <c r="FN3" s="65" t="str">
        <f t="shared" si="6"/>
        <v>-</v>
      </c>
      <c r="FO3" s="65" t="str">
        <f t="shared" si="6"/>
        <v>-</v>
      </c>
      <c r="FP3" s="65" t="str">
        <f t="shared" si="6"/>
        <v>-</v>
      </c>
      <c r="FQ3" s="65" t="str">
        <f t="shared" ref="FQ3:FR6" si="7">IF(AND(FQ$2&gt;=$G3,FQ$2&lt;($G3+$I3)),ROUND($F3/$I3,0),"-")</f>
        <v>-</v>
      </c>
      <c r="FR3" s="65" t="str">
        <f t="shared" si="7"/>
        <v>-</v>
      </c>
    </row>
    <row r="4" spans="1:178">
      <c r="A4" s="466"/>
      <c r="B4" s="465"/>
      <c r="C4" s="465"/>
      <c r="D4" s="467"/>
      <c r="E4" s="185" t="s">
        <v>65</v>
      </c>
      <c r="F4" s="66" t="e">
        <f>SUM('BESS 10B'!S28,'BESS 10B'!S30:S31,'BESS 10B'!S34:S36)</f>
        <v>#VALUE!</v>
      </c>
      <c r="G4" s="182">
        <f ca="1">TODAY()</f>
        <v>46233</v>
      </c>
      <c r="H4" s="182">
        <f>MAX('BESS 10B'!O34,'BESS 10B'!O35,'BESS 10B'!O36)</f>
        <v>46233</v>
      </c>
      <c r="I4" s="66">
        <f t="shared" ref="I4:I6" ca="1" si="8">H4-G4</f>
        <v>0</v>
      </c>
      <c r="J4" s="453"/>
      <c r="K4" s="662"/>
      <c r="L4" s="662"/>
      <c r="M4" s="65" t="str">
        <f t="shared" ca="1" si="0"/>
        <v>-</v>
      </c>
      <c r="N4" s="65" t="str">
        <f t="shared" ca="1" si="0"/>
        <v>-</v>
      </c>
      <c r="O4" s="65" t="str">
        <f t="shared" ca="1" si="0"/>
        <v>-</v>
      </c>
      <c r="P4" s="65" t="str">
        <f t="shared" ca="1" si="0"/>
        <v>-</v>
      </c>
      <c r="Q4" s="65" t="str">
        <f t="shared" ca="1" si="0"/>
        <v>-</v>
      </c>
      <c r="R4" s="65" t="str">
        <f t="shared" ca="1" si="0"/>
        <v>-</v>
      </c>
      <c r="S4" s="65" t="str">
        <f t="shared" ca="1" si="0"/>
        <v>-</v>
      </c>
      <c r="T4" s="65" t="str">
        <f t="shared" ca="1" si="0"/>
        <v>-</v>
      </c>
      <c r="U4" s="65" t="str">
        <f t="shared" ca="1" si="0"/>
        <v>-</v>
      </c>
      <c r="V4" s="65" t="str">
        <f t="shared" ca="1" si="0"/>
        <v>-</v>
      </c>
      <c r="W4" s="65" t="str">
        <f t="shared" ca="1" si="0"/>
        <v>-</v>
      </c>
      <c r="X4" s="65" t="str">
        <f t="shared" ca="1" si="0"/>
        <v>-</v>
      </c>
      <c r="Y4" s="65" t="str">
        <f t="shared" ca="1" si="0"/>
        <v>-</v>
      </c>
      <c r="Z4" s="65" t="str">
        <f t="shared" ca="1" si="0"/>
        <v>-</v>
      </c>
      <c r="AA4" s="65" t="str">
        <f t="shared" ca="1" si="0"/>
        <v>-</v>
      </c>
      <c r="AB4" s="65" t="str">
        <f t="shared" ca="1" si="0"/>
        <v>-</v>
      </c>
      <c r="AC4" s="65" t="str">
        <f t="shared" ca="1" si="1"/>
        <v>-</v>
      </c>
      <c r="AD4" s="65" t="str">
        <f t="shared" ca="1" si="1"/>
        <v>-</v>
      </c>
      <c r="AE4" s="65" t="str">
        <f t="shared" ca="1" si="1"/>
        <v>-</v>
      </c>
      <c r="AF4" s="65" t="str">
        <f t="shared" ca="1" si="1"/>
        <v>-</v>
      </c>
      <c r="AG4" s="65" t="str">
        <f t="shared" ca="1" si="1"/>
        <v>-</v>
      </c>
      <c r="AH4" s="65" t="str">
        <f t="shared" ca="1" si="1"/>
        <v>-</v>
      </c>
      <c r="AI4" s="65" t="str">
        <f t="shared" ca="1" si="1"/>
        <v>-</v>
      </c>
      <c r="AJ4" s="65" t="str">
        <f t="shared" ca="1" si="1"/>
        <v>-</v>
      </c>
      <c r="AK4" s="65" t="str">
        <f t="shared" ca="1" si="1"/>
        <v>-</v>
      </c>
      <c r="AL4" s="65" t="str">
        <f t="shared" ca="1" si="1"/>
        <v>-</v>
      </c>
      <c r="AM4" s="65" t="str">
        <f t="shared" ca="1" si="1"/>
        <v>-</v>
      </c>
      <c r="AN4" s="65" t="str">
        <f t="shared" ca="1" si="1"/>
        <v>-</v>
      </c>
      <c r="AO4" s="65" t="str">
        <f t="shared" ca="1" si="1"/>
        <v>-</v>
      </c>
      <c r="AP4" s="65" t="str">
        <f t="shared" ca="1" si="1"/>
        <v>-</v>
      </c>
      <c r="AQ4" s="65" t="str">
        <f t="shared" ca="1" si="1"/>
        <v>-</v>
      </c>
      <c r="AR4" s="65" t="str">
        <f t="shared" ca="1" si="1"/>
        <v>-</v>
      </c>
      <c r="AS4" s="65" t="str">
        <f t="shared" ca="1" si="2"/>
        <v>-</v>
      </c>
      <c r="AT4" s="65" t="str">
        <f t="shared" ca="1" si="2"/>
        <v>-</v>
      </c>
      <c r="AU4" s="65" t="str">
        <f t="shared" ca="1" si="2"/>
        <v>-</v>
      </c>
      <c r="AV4" s="65" t="str">
        <f t="shared" ca="1" si="2"/>
        <v>-</v>
      </c>
      <c r="AW4" s="65" t="str">
        <f t="shared" ca="1" si="2"/>
        <v>-</v>
      </c>
      <c r="AX4" s="65" t="str">
        <f t="shared" ca="1" si="2"/>
        <v>-</v>
      </c>
      <c r="AY4" s="65" t="str">
        <f t="shared" ca="1" si="2"/>
        <v>-</v>
      </c>
      <c r="AZ4" s="65" t="str">
        <f t="shared" ca="1" si="2"/>
        <v>-</v>
      </c>
      <c r="BA4" s="65" t="str">
        <f t="shared" ca="1" si="2"/>
        <v>-</v>
      </c>
      <c r="BB4" s="65" t="str">
        <f t="shared" ca="1" si="2"/>
        <v>-</v>
      </c>
      <c r="BC4" s="65" t="str">
        <f t="shared" ca="1" si="2"/>
        <v>-</v>
      </c>
      <c r="BD4" s="65" t="str">
        <f t="shared" ca="1" si="2"/>
        <v>-</v>
      </c>
      <c r="BE4" s="65" t="str">
        <f t="shared" ca="1" si="2"/>
        <v>-</v>
      </c>
      <c r="BF4" s="65" t="str">
        <f t="shared" ca="1" si="2"/>
        <v>-</v>
      </c>
      <c r="BG4" s="65" t="str">
        <f t="shared" ca="1" si="2"/>
        <v>-</v>
      </c>
      <c r="BH4" s="65" t="str">
        <f t="shared" ca="1" si="2"/>
        <v>-</v>
      </c>
      <c r="BI4" s="65" t="str">
        <f t="shared" ca="1" si="3"/>
        <v>-</v>
      </c>
      <c r="BJ4" s="65" t="str">
        <f t="shared" ca="1" si="3"/>
        <v>-</v>
      </c>
      <c r="BK4" s="65" t="str">
        <f t="shared" ca="1" si="3"/>
        <v>-</v>
      </c>
      <c r="BL4" s="65" t="str">
        <f t="shared" ca="1" si="3"/>
        <v>-</v>
      </c>
      <c r="BM4" s="65" t="str">
        <f t="shared" ca="1" si="3"/>
        <v>-</v>
      </c>
      <c r="BN4" s="65" t="str">
        <f t="shared" ca="1" si="3"/>
        <v>-</v>
      </c>
      <c r="BO4" s="65" t="str">
        <f t="shared" ca="1" si="3"/>
        <v>-</v>
      </c>
      <c r="BP4" s="65" t="str">
        <f t="shared" ca="1" si="3"/>
        <v>-</v>
      </c>
      <c r="BQ4" s="65" t="str">
        <f t="shared" ca="1" si="3"/>
        <v>-</v>
      </c>
      <c r="BR4" s="65" t="str">
        <f t="shared" ca="1" si="3"/>
        <v>-</v>
      </c>
      <c r="BS4" s="65" t="str">
        <f t="shared" ca="1" si="3"/>
        <v>-</v>
      </c>
      <c r="BT4" s="65" t="str">
        <f t="shared" ca="1" si="3"/>
        <v>-</v>
      </c>
      <c r="BU4" s="65" t="str">
        <f t="shared" ca="1" si="3"/>
        <v>-</v>
      </c>
      <c r="BV4" s="65" t="str">
        <f t="shared" ca="1" si="3"/>
        <v>-</v>
      </c>
      <c r="BW4" s="65" t="str">
        <f t="shared" ca="1" si="3"/>
        <v>-</v>
      </c>
      <c r="BX4" s="65" t="str">
        <f t="shared" ca="1" si="3"/>
        <v>-</v>
      </c>
      <c r="BY4" s="65" t="str">
        <f t="shared" ca="1" si="4"/>
        <v>-</v>
      </c>
      <c r="BZ4" s="65" t="str">
        <f t="shared" ca="1" si="4"/>
        <v>-</v>
      </c>
      <c r="CA4" s="65" t="str">
        <f t="shared" ca="1" si="4"/>
        <v>-</v>
      </c>
      <c r="CB4" s="65" t="str">
        <f t="shared" ca="1" si="4"/>
        <v>-</v>
      </c>
      <c r="CC4" s="65" t="str">
        <f t="shared" ca="1" si="4"/>
        <v>-</v>
      </c>
      <c r="CD4" s="65" t="str">
        <f t="shared" ca="1" si="4"/>
        <v>-</v>
      </c>
      <c r="CE4" s="65" t="str">
        <f t="shared" ca="1" si="4"/>
        <v>-</v>
      </c>
      <c r="CF4" s="65" t="str">
        <f t="shared" ca="1" si="4"/>
        <v>-</v>
      </c>
      <c r="CG4" s="65" t="str">
        <f t="shared" ca="1" si="4"/>
        <v>-</v>
      </c>
      <c r="CH4" s="65" t="str">
        <f t="shared" ca="1" si="4"/>
        <v>-</v>
      </c>
      <c r="CI4" s="65" t="str">
        <f t="shared" ca="1" si="4"/>
        <v>-</v>
      </c>
      <c r="CJ4" s="65" t="str">
        <f t="shared" ca="1" si="4"/>
        <v>-</v>
      </c>
      <c r="CK4" s="65" t="str">
        <f t="shared" ca="1" si="4"/>
        <v>-</v>
      </c>
      <c r="CL4" s="65" t="str">
        <f t="shared" ca="1" si="4"/>
        <v>-</v>
      </c>
      <c r="CM4" s="65" t="str">
        <f t="shared" ca="1" si="4"/>
        <v>-</v>
      </c>
      <c r="CN4" s="65" t="str">
        <f t="shared" ca="1" si="4"/>
        <v>-</v>
      </c>
      <c r="CO4" s="65" t="str">
        <f t="shared" ca="1" si="5"/>
        <v>-</v>
      </c>
      <c r="CP4" s="65" t="str">
        <f t="shared" ca="1" si="5"/>
        <v>-</v>
      </c>
      <c r="CQ4" s="65" t="str">
        <f t="shared" ca="1" si="5"/>
        <v>-</v>
      </c>
      <c r="CR4" s="65" t="str">
        <f t="shared" ca="1" si="5"/>
        <v>-</v>
      </c>
      <c r="CS4" s="65" t="str">
        <f t="shared" ca="1" si="5"/>
        <v>-</v>
      </c>
      <c r="CT4" s="186" t="str">
        <f t="shared" ca="1" si="5"/>
        <v>-</v>
      </c>
      <c r="CU4" s="186" t="str">
        <f t="shared" ca="1" si="5"/>
        <v>-</v>
      </c>
      <c r="CV4" s="186" t="str">
        <f t="shared" ca="1" si="5"/>
        <v>-</v>
      </c>
      <c r="CW4" s="186" t="str">
        <f t="shared" ca="1" si="5"/>
        <v>-</v>
      </c>
      <c r="CX4" s="65" t="str">
        <f t="shared" ca="1" si="5"/>
        <v>-</v>
      </c>
      <c r="CY4" s="65" t="str">
        <f t="shared" ref="CY4:FJ6" ca="1" si="9">IF(AND(CY$2&gt;=$G4,CY$2&lt;($G4+$I4)),ROUND($F4/$I4,0),"-")</f>
        <v>-</v>
      </c>
      <c r="CZ4" s="65" t="str">
        <f t="shared" ca="1" si="9"/>
        <v>-</v>
      </c>
      <c r="DA4" s="65" t="str">
        <f t="shared" ca="1" si="9"/>
        <v>-</v>
      </c>
      <c r="DB4" s="65" t="str">
        <f t="shared" ca="1" si="9"/>
        <v>-</v>
      </c>
      <c r="DC4" s="65" t="str">
        <f t="shared" ca="1" si="9"/>
        <v>-</v>
      </c>
      <c r="DD4" s="65" t="str">
        <f t="shared" ca="1" si="9"/>
        <v>-</v>
      </c>
      <c r="DE4" s="65" t="str">
        <f t="shared" ca="1" si="9"/>
        <v>-</v>
      </c>
      <c r="DF4" s="65" t="str">
        <f t="shared" ca="1" si="9"/>
        <v>-</v>
      </c>
      <c r="DG4" s="65" t="str">
        <f t="shared" ca="1" si="9"/>
        <v>-</v>
      </c>
      <c r="DH4" s="65" t="str">
        <f t="shared" ca="1" si="9"/>
        <v>-</v>
      </c>
      <c r="DI4" s="65" t="str">
        <f t="shared" ca="1" si="9"/>
        <v>-</v>
      </c>
      <c r="DJ4" s="65" t="str">
        <f t="shared" ca="1" si="9"/>
        <v>-</v>
      </c>
      <c r="DK4" s="65" t="str">
        <f t="shared" ca="1" si="9"/>
        <v>-</v>
      </c>
      <c r="DL4" s="65" t="str">
        <f t="shared" ca="1" si="9"/>
        <v>-</v>
      </c>
      <c r="DM4" s="65" t="str">
        <f t="shared" ca="1" si="9"/>
        <v>-</v>
      </c>
      <c r="DN4" s="65" t="str">
        <f t="shared" ca="1" si="9"/>
        <v>-</v>
      </c>
      <c r="DO4" s="65" t="str">
        <f t="shared" ca="1" si="9"/>
        <v>-</v>
      </c>
      <c r="DP4" s="65" t="str">
        <f t="shared" ca="1" si="9"/>
        <v>-</v>
      </c>
      <c r="DQ4" s="65" t="str">
        <f t="shared" ca="1" si="9"/>
        <v>-</v>
      </c>
      <c r="DR4" s="65" t="str">
        <f t="shared" ca="1" si="9"/>
        <v>-</v>
      </c>
      <c r="DS4" s="65" t="str">
        <f t="shared" ca="1" si="9"/>
        <v>-</v>
      </c>
      <c r="DT4" s="65" t="str">
        <f t="shared" ca="1" si="9"/>
        <v>-</v>
      </c>
      <c r="DU4" s="65" t="str">
        <f t="shared" ca="1" si="9"/>
        <v>-</v>
      </c>
      <c r="DV4" s="65" t="str">
        <f t="shared" ca="1" si="9"/>
        <v>-</v>
      </c>
      <c r="DW4" s="65" t="str">
        <f t="shared" ca="1" si="9"/>
        <v>-</v>
      </c>
      <c r="DX4" s="65" t="str">
        <f t="shared" ca="1" si="9"/>
        <v>-</v>
      </c>
      <c r="DY4" s="65" t="str">
        <f t="shared" ca="1" si="9"/>
        <v>-</v>
      </c>
      <c r="DZ4" s="65" t="str">
        <f t="shared" ca="1" si="9"/>
        <v>-</v>
      </c>
      <c r="EA4" s="65" t="str">
        <f t="shared" ca="1" si="9"/>
        <v>-</v>
      </c>
      <c r="EB4" s="65" t="str">
        <f t="shared" ca="1" si="9"/>
        <v>-</v>
      </c>
      <c r="EC4" s="65" t="str">
        <f t="shared" ca="1" si="9"/>
        <v>-</v>
      </c>
      <c r="ED4" s="65" t="str">
        <f t="shared" ca="1" si="9"/>
        <v>-</v>
      </c>
      <c r="EE4" s="65" t="str">
        <f t="shared" ca="1" si="9"/>
        <v>-</v>
      </c>
      <c r="EF4" s="65" t="str">
        <f t="shared" ca="1" si="9"/>
        <v>-</v>
      </c>
      <c r="EG4" s="65" t="str">
        <f t="shared" ca="1" si="9"/>
        <v>-</v>
      </c>
      <c r="EH4" s="65" t="str">
        <f t="shared" ca="1" si="9"/>
        <v>-</v>
      </c>
      <c r="EI4" s="65" t="str">
        <f t="shared" ca="1" si="9"/>
        <v>-</v>
      </c>
      <c r="EJ4" s="65" t="str">
        <f t="shared" ca="1" si="9"/>
        <v>-</v>
      </c>
      <c r="EK4" s="65" t="str">
        <f t="shared" ca="1" si="9"/>
        <v>-</v>
      </c>
      <c r="EL4" s="65" t="str">
        <f t="shared" ca="1" si="9"/>
        <v>-</v>
      </c>
      <c r="EM4" s="65" t="str">
        <f t="shared" ca="1" si="9"/>
        <v>-</v>
      </c>
      <c r="EN4" s="65" t="str">
        <f t="shared" ca="1" si="9"/>
        <v>-</v>
      </c>
      <c r="EO4" s="65" t="str">
        <f t="shared" ca="1" si="9"/>
        <v>-</v>
      </c>
      <c r="EP4" s="65" t="str">
        <f t="shared" ca="1" si="9"/>
        <v>-</v>
      </c>
      <c r="EQ4" s="65" t="str">
        <f t="shared" ca="1" si="9"/>
        <v>-</v>
      </c>
      <c r="ER4" s="65" t="str">
        <f t="shared" ca="1" si="9"/>
        <v>-</v>
      </c>
      <c r="ES4" s="65" t="str">
        <f t="shared" ca="1" si="9"/>
        <v>-</v>
      </c>
      <c r="ET4" s="65" t="str">
        <f t="shared" ca="1" si="9"/>
        <v>-</v>
      </c>
      <c r="EU4" s="65" t="str">
        <f t="shared" ca="1" si="9"/>
        <v>-</v>
      </c>
      <c r="EV4" s="65" t="str">
        <f t="shared" ca="1" si="9"/>
        <v>-</v>
      </c>
      <c r="EW4" s="65" t="str">
        <f t="shared" ca="1" si="9"/>
        <v>-</v>
      </c>
      <c r="EX4" s="65" t="str">
        <f t="shared" ca="1" si="9"/>
        <v>-</v>
      </c>
      <c r="EY4" s="65" t="str">
        <f t="shared" ca="1" si="9"/>
        <v>-</v>
      </c>
      <c r="EZ4" s="65" t="str">
        <f t="shared" ca="1" si="9"/>
        <v>-</v>
      </c>
      <c r="FA4" s="65" t="str">
        <f t="shared" ca="1" si="9"/>
        <v>-</v>
      </c>
      <c r="FB4" s="65" t="str">
        <f t="shared" ca="1" si="9"/>
        <v>-</v>
      </c>
      <c r="FC4" s="65" t="str">
        <f t="shared" ca="1" si="9"/>
        <v>-</v>
      </c>
      <c r="FD4" s="65" t="str">
        <f t="shared" ca="1" si="9"/>
        <v>-</v>
      </c>
      <c r="FE4" s="65" t="str">
        <f t="shared" ca="1" si="9"/>
        <v>-</v>
      </c>
      <c r="FF4" s="65" t="str">
        <f t="shared" ca="1" si="9"/>
        <v>-</v>
      </c>
      <c r="FG4" s="65" t="str">
        <f t="shared" ca="1" si="9"/>
        <v>-</v>
      </c>
      <c r="FH4" s="65" t="str">
        <f t="shared" ca="1" si="9"/>
        <v>-</v>
      </c>
      <c r="FI4" s="65" t="str">
        <f t="shared" ca="1" si="9"/>
        <v>-</v>
      </c>
      <c r="FJ4" s="65" t="str">
        <f t="shared" ca="1" si="9"/>
        <v>-</v>
      </c>
      <c r="FK4" s="65" t="str">
        <f t="shared" ca="1" si="6"/>
        <v>-</v>
      </c>
      <c r="FL4" s="65" t="str">
        <f t="shared" ca="1" si="6"/>
        <v>-</v>
      </c>
      <c r="FM4" s="65" t="str">
        <f t="shared" ca="1" si="6"/>
        <v>-</v>
      </c>
      <c r="FN4" s="65" t="str">
        <f t="shared" ca="1" si="6"/>
        <v>-</v>
      </c>
      <c r="FO4" s="65" t="str">
        <f t="shared" ca="1" si="6"/>
        <v>-</v>
      </c>
      <c r="FP4" s="65" t="str">
        <f t="shared" ca="1" si="6"/>
        <v>-</v>
      </c>
      <c r="FQ4" s="65" t="str">
        <f t="shared" ca="1" si="7"/>
        <v>-</v>
      </c>
      <c r="FR4" s="65" t="str">
        <f t="shared" ca="1" si="7"/>
        <v>-</v>
      </c>
    </row>
    <row r="5" spans="1:178">
      <c r="A5" s="466"/>
      <c r="B5" s="465"/>
      <c r="C5" s="465"/>
      <c r="D5" s="467"/>
      <c r="E5" s="185" t="s">
        <v>66</v>
      </c>
      <c r="F5" s="66" t="e">
        <f>SUM('BESS 10B'!S29,'BESS 10B'!S32:S33,'BESS 10B'!S37:S38)</f>
        <v>#VALUE!</v>
      </c>
      <c r="G5" s="182">
        <f ca="1">TODAY()</f>
        <v>46233</v>
      </c>
      <c r="H5" s="182">
        <f>(MAX('BESS 10B'!O29,'BESS 10B'!O32:O33,'BESS 10B'!O37:O38))</f>
        <v>46235</v>
      </c>
      <c r="I5" s="66">
        <f t="shared" ca="1" si="8"/>
        <v>2</v>
      </c>
      <c r="J5" s="453"/>
      <c r="K5" s="662"/>
      <c r="L5" s="662"/>
      <c r="M5" s="65" t="str">
        <f t="shared" ca="1" si="0"/>
        <v>-</v>
      </c>
      <c r="N5" s="65" t="str">
        <f t="shared" ca="1" si="0"/>
        <v>-</v>
      </c>
      <c r="O5" s="65" t="str">
        <f t="shared" ca="1" si="0"/>
        <v>-</v>
      </c>
      <c r="P5" s="65" t="str">
        <f t="shared" ca="1" si="0"/>
        <v>-</v>
      </c>
      <c r="Q5" s="65" t="str">
        <f t="shared" ca="1" si="0"/>
        <v>-</v>
      </c>
      <c r="R5" s="65" t="str">
        <f t="shared" ca="1" si="0"/>
        <v>-</v>
      </c>
      <c r="S5" s="65" t="str">
        <f t="shared" ca="1" si="0"/>
        <v>-</v>
      </c>
      <c r="T5" s="65" t="str">
        <f t="shared" ca="1" si="0"/>
        <v>-</v>
      </c>
      <c r="U5" s="65" t="str">
        <f t="shared" ca="1" si="0"/>
        <v>-</v>
      </c>
      <c r="V5" s="65" t="str">
        <f t="shared" ca="1" si="0"/>
        <v>-</v>
      </c>
      <c r="W5" s="65" t="str">
        <f t="shared" ca="1" si="0"/>
        <v>-</v>
      </c>
      <c r="X5" s="65" t="str">
        <f t="shared" ca="1" si="0"/>
        <v>-</v>
      </c>
      <c r="Y5" s="65" t="str">
        <f t="shared" ca="1" si="0"/>
        <v>-</v>
      </c>
      <c r="Z5" s="65" t="str">
        <f t="shared" ca="1" si="0"/>
        <v>-</v>
      </c>
      <c r="AA5" s="65" t="str">
        <f t="shared" ca="1" si="0"/>
        <v>-</v>
      </c>
      <c r="AB5" s="65" t="str">
        <f t="shared" ca="1" si="0"/>
        <v>-</v>
      </c>
      <c r="AC5" s="65" t="str">
        <f t="shared" ca="1" si="1"/>
        <v>-</v>
      </c>
      <c r="AD5" s="65" t="str">
        <f t="shared" ca="1" si="1"/>
        <v>-</v>
      </c>
      <c r="AE5" s="65" t="str">
        <f t="shared" ca="1" si="1"/>
        <v>-</v>
      </c>
      <c r="AF5" s="65" t="str">
        <f t="shared" ca="1" si="1"/>
        <v>-</v>
      </c>
      <c r="AG5" s="65" t="str">
        <f t="shared" ca="1" si="1"/>
        <v>-</v>
      </c>
      <c r="AH5" s="65" t="str">
        <f t="shared" ca="1" si="1"/>
        <v>-</v>
      </c>
      <c r="AI5" s="65" t="str">
        <f t="shared" ca="1" si="1"/>
        <v>-</v>
      </c>
      <c r="AJ5" s="65" t="str">
        <f t="shared" ca="1" si="1"/>
        <v>-</v>
      </c>
      <c r="AK5" s="65" t="str">
        <f t="shared" ca="1" si="1"/>
        <v>-</v>
      </c>
      <c r="AL5" s="65" t="str">
        <f t="shared" ca="1" si="1"/>
        <v>-</v>
      </c>
      <c r="AM5" s="65" t="str">
        <f t="shared" ca="1" si="1"/>
        <v>-</v>
      </c>
      <c r="AN5" s="65" t="str">
        <f t="shared" ca="1" si="1"/>
        <v>-</v>
      </c>
      <c r="AO5" s="65" t="str">
        <f t="shared" ca="1" si="1"/>
        <v>-</v>
      </c>
      <c r="AP5" s="65" t="str">
        <f t="shared" ca="1" si="1"/>
        <v>-</v>
      </c>
      <c r="AQ5" s="65" t="str">
        <f t="shared" ca="1" si="1"/>
        <v>-</v>
      </c>
      <c r="AR5" s="65" t="str">
        <f t="shared" ca="1" si="1"/>
        <v>-</v>
      </c>
      <c r="AS5" s="65" t="str">
        <f t="shared" ca="1" si="2"/>
        <v>-</v>
      </c>
      <c r="AT5" s="65" t="str">
        <f t="shared" ca="1" si="2"/>
        <v>-</v>
      </c>
      <c r="AU5" s="65" t="str">
        <f t="shared" ca="1" si="2"/>
        <v>-</v>
      </c>
      <c r="AV5" s="65" t="str">
        <f t="shared" ca="1" si="2"/>
        <v>-</v>
      </c>
      <c r="AW5" s="65" t="str">
        <f t="shared" ca="1" si="2"/>
        <v>-</v>
      </c>
      <c r="AX5" s="65" t="str">
        <f t="shared" ca="1" si="2"/>
        <v>-</v>
      </c>
      <c r="AY5" s="65" t="e">
        <f t="shared" ca="1" si="2"/>
        <v>#VALUE!</v>
      </c>
      <c r="AZ5" s="65" t="e">
        <f t="shared" ca="1" si="2"/>
        <v>#VALUE!</v>
      </c>
      <c r="BA5" s="65" t="str">
        <f t="shared" ca="1" si="2"/>
        <v>-</v>
      </c>
      <c r="BB5" s="65" t="str">
        <f t="shared" ca="1" si="2"/>
        <v>-</v>
      </c>
      <c r="BC5" s="65" t="str">
        <f t="shared" ca="1" si="2"/>
        <v>-</v>
      </c>
      <c r="BD5" s="65" t="str">
        <f t="shared" ca="1" si="2"/>
        <v>-</v>
      </c>
      <c r="BE5" s="65" t="str">
        <f t="shared" ca="1" si="2"/>
        <v>-</v>
      </c>
      <c r="BF5" s="65" t="str">
        <f t="shared" ca="1" si="2"/>
        <v>-</v>
      </c>
      <c r="BG5" s="65" t="str">
        <f t="shared" ca="1" si="2"/>
        <v>-</v>
      </c>
      <c r="BH5" s="65" t="str">
        <f t="shared" ca="1" si="2"/>
        <v>-</v>
      </c>
      <c r="BI5" s="65" t="str">
        <f t="shared" ca="1" si="3"/>
        <v>-</v>
      </c>
      <c r="BJ5" s="65" t="str">
        <f t="shared" ca="1" si="3"/>
        <v>-</v>
      </c>
      <c r="BK5" s="65" t="str">
        <f t="shared" ca="1" si="3"/>
        <v>-</v>
      </c>
      <c r="BL5" s="65" t="str">
        <f t="shared" ca="1" si="3"/>
        <v>-</v>
      </c>
      <c r="BM5" s="65" t="str">
        <f t="shared" ca="1" si="3"/>
        <v>-</v>
      </c>
      <c r="BN5" s="65" t="str">
        <f t="shared" ca="1" si="3"/>
        <v>-</v>
      </c>
      <c r="BO5" s="65" t="str">
        <f t="shared" ca="1" si="3"/>
        <v>-</v>
      </c>
      <c r="BP5" s="65" t="str">
        <f t="shared" ca="1" si="3"/>
        <v>-</v>
      </c>
      <c r="BQ5" s="65" t="str">
        <f t="shared" ca="1" si="3"/>
        <v>-</v>
      </c>
      <c r="BR5" s="65" t="str">
        <f t="shared" ca="1" si="3"/>
        <v>-</v>
      </c>
      <c r="BS5" s="65" t="str">
        <f t="shared" ca="1" si="3"/>
        <v>-</v>
      </c>
      <c r="BT5" s="65" t="str">
        <f t="shared" ca="1" si="3"/>
        <v>-</v>
      </c>
      <c r="BU5" s="65" t="str">
        <f t="shared" ca="1" si="3"/>
        <v>-</v>
      </c>
      <c r="BV5" s="65" t="str">
        <f t="shared" ca="1" si="3"/>
        <v>-</v>
      </c>
      <c r="BW5" s="65" t="str">
        <f t="shared" ca="1" si="3"/>
        <v>-</v>
      </c>
      <c r="BX5" s="65" t="str">
        <f t="shared" ca="1" si="3"/>
        <v>-</v>
      </c>
      <c r="BY5" s="65" t="str">
        <f t="shared" ca="1" si="4"/>
        <v>-</v>
      </c>
      <c r="BZ5" s="65" t="str">
        <f t="shared" ca="1" si="4"/>
        <v>-</v>
      </c>
      <c r="CA5" s="65" t="str">
        <f t="shared" ca="1" si="4"/>
        <v>-</v>
      </c>
      <c r="CB5" s="65" t="str">
        <f t="shared" ca="1" si="4"/>
        <v>-</v>
      </c>
      <c r="CC5" s="65" t="str">
        <f t="shared" ca="1" si="4"/>
        <v>-</v>
      </c>
      <c r="CD5" s="65" t="str">
        <f t="shared" ca="1" si="4"/>
        <v>-</v>
      </c>
      <c r="CE5" s="65" t="str">
        <f t="shared" ca="1" si="4"/>
        <v>-</v>
      </c>
      <c r="CF5" s="65" t="str">
        <f t="shared" ca="1" si="4"/>
        <v>-</v>
      </c>
      <c r="CG5" s="65" t="str">
        <f t="shared" ca="1" si="4"/>
        <v>-</v>
      </c>
      <c r="CH5" s="65" t="str">
        <f t="shared" ca="1" si="4"/>
        <v>-</v>
      </c>
      <c r="CI5" s="65" t="str">
        <f t="shared" ca="1" si="4"/>
        <v>-</v>
      </c>
      <c r="CJ5" s="65" t="str">
        <f t="shared" ca="1" si="4"/>
        <v>-</v>
      </c>
      <c r="CK5" s="65" t="str">
        <f t="shared" ca="1" si="4"/>
        <v>-</v>
      </c>
      <c r="CL5" s="65" t="str">
        <f t="shared" ca="1" si="4"/>
        <v>-</v>
      </c>
      <c r="CM5" s="65" t="str">
        <f t="shared" ca="1" si="4"/>
        <v>-</v>
      </c>
      <c r="CN5" s="65" t="str">
        <f t="shared" ca="1" si="4"/>
        <v>-</v>
      </c>
      <c r="CO5" s="65" t="str">
        <f t="shared" ca="1" si="5"/>
        <v>-</v>
      </c>
      <c r="CP5" s="65" t="str">
        <f t="shared" ca="1" si="5"/>
        <v>-</v>
      </c>
      <c r="CQ5" s="65" t="str">
        <f t="shared" ca="1" si="5"/>
        <v>-</v>
      </c>
      <c r="CR5" s="65" t="str">
        <f t="shared" ca="1" si="5"/>
        <v>-</v>
      </c>
      <c r="CS5" s="65" t="str">
        <f t="shared" ca="1" si="5"/>
        <v>-</v>
      </c>
      <c r="CT5" s="186" t="str">
        <f t="shared" ca="1" si="5"/>
        <v>-</v>
      </c>
      <c r="CU5" s="186" t="str">
        <f t="shared" ca="1" si="5"/>
        <v>-</v>
      </c>
      <c r="CV5" s="186" t="str">
        <f t="shared" ca="1" si="5"/>
        <v>-</v>
      </c>
      <c r="CW5" s="186" t="str">
        <f t="shared" ca="1" si="5"/>
        <v>-</v>
      </c>
      <c r="CX5" s="65" t="str">
        <f t="shared" ca="1" si="5"/>
        <v>-</v>
      </c>
      <c r="CY5" s="65" t="str">
        <f t="shared" ca="1" si="9"/>
        <v>-</v>
      </c>
      <c r="CZ5" s="65" t="str">
        <f t="shared" ca="1" si="9"/>
        <v>-</v>
      </c>
      <c r="DA5" s="65" t="str">
        <f t="shared" ca="1" si="9"/>
        <v>-</v>
      </c>
      <c r="DB5" s="65" t="str">
        <f t="shared" ca="1" si="9"/>
        <v>-</v>
      </c>
      <c r="DC5" s="65" t="str">
        <f t="shared" ca="1" si="9"/>
        <v>-</v>
      </c>
      <c r="DD5" s="65" t="str">
        <f t="shared" ca="1" si="9"/>
        <v>-</v>
      </c>
      <c r="DE5" s="65" t="str">
        <f t="shared" ca="1" si="9"/>
        <v>-</v>
      </c>
      <c r="DF5" s="65" t="str">
        <f t="shared" ca="1" si="9"/>
        <v>-</v>
      </c>
      <c r="DG5" s="65" t="str">
        <f t="shared" ca="1" si="9"/>
        <v>-</v>
      </c>
      <c r="DH5" s="65" t="str">
        <f t="shared" ca="1" si="9"/>
        <v>-</v>
      </c>
      <c r="DI5" s="65" t="str">
        <f t="shared" ca="1" si="9"/>
        <v>-</v>
      </c>
      <c r="DJ5" s="65" t="str">
        <f t="shared" ca="1" si="9"/>
        <v>-</v>
      </c>
      <c r="DK5" s="65" t="str">
        <f t="shared" ca="1" si="9"/>
        <v>-</v>
      </c>
      <c r="DL5" s="65" t="str">
        <f t="shared" ca="1" si="9"/>
        <v>-</v>
      </c>
      <c r="DM5" s="65" t="str">
        <f t="shared" ca="1" si="9"/>
        <v>-</v>
      </c>
      <c r="DN5" s="65" t="str">
        <f t="shared" ca="1" si="9"/>
        <v>-</v>
      </c>
      <c r="DO5" s="65" t="str">
        <f t="shared" ca="1" si="9"/>
        <v>-</v>
      </c>
      <c r="DP5" s="65" t="str">
        <f t="shared" ca="1" si="9"/>
        <v>-</v>
      </c>
      <c r="DQ5" s="65" t="str">
        <f t="shared" ca="1" si="9"/>
        <v>-</v>
      </c>
      <c r="DR5" s="65" t="str">
        <f t="shared" ca="1" si="9"/>
        <v>-</v>
      </c>
      <c r="DS5" s="65" t="str">
        <f t="shared" ca="1" si="9"/>
        <v>-</v>
      </c>
      <c r="DT5" s="65" t="str">
        <f t="shared" ca="1" si="9"/>
        <v>-</v>
      </c>
      <c r="DU5" s="65" t="str">
        <f t="shared" ca="1" si="9"/>
        <v>-</v>
      </c>
      <c r="DV5" s="65" t="str">
        <f t="shared" ca="1" si="9"/>
        <v>-</v>
      </c>
      <c r="DW5" s="65" t="str">
        <f t="shared" ca="1" si="9"/>
        <v>-</v>
      </c>
      <c r="DX5" s="65" t="str">
        <f t="shared" ca="1" si="9"/>
        <v>-</v>
      </c>
      <c r="DY5" s="65" t="str">
        <f t="shared" ca="1" si="9"/>
        <v>-</v>
      </c>
      <c r="DZ5" s="65" t="str">
        <f t="shared" ca="1" si="9"/>
        <v>-</v>
      </c>
      <c r="EA5" s="65" t="str">
        <f t="shared" ca="1" si="9"/>
        <v>-</v>
      </c>
      <c r="EB5" s="65" t="str">
        <f t="shared" ca="1" si="9"/>
        <v>-</v>
      </c>
      <c r="EC5" s="65" t="str">
        <f t="shared" ca="1" si="9"/>
        <v>-</v>
      </c>
      <c r="ED5" s="65" t="str">
        <f t="shared" ca="1" si="9"/>
        <v>-</v>
      </c>
      <c r="EE5" s="65" t="str">
        <f t="shared" ca="1" si="9"/>
        <v>-</v>
      </c>
      <c r="EF5" s="65" t="str">
        <f t="shared" ca="1" si="9"/>
        <v>-</v>
      </c>
      <c r="EG5" s="65" t="str">
        <f t="shared" ca="1" si="9"/>
        <v>-</v>
      </c>
      <c r="EH5" s="65" t="str">
        <f t="shared" ca="1" si="9"/>
        <v>-</v>
      </c>
      <c r="EI5" s="65" t="str">
        <f t="shared" ca="1" si="9"/>
        <v>-</v>
      </c>
      <c r="EJ5" s="65" t="str">
        <f t="shared" ca="1" si="9"/>
        <v>-</v>
      </c>
      <c r="EK5" s="65" t="str">
        <f t="shared" ca="1" si="9"/>
        <v>-</v>
      </c>
      <c r="EL5" s="65" t="str">
        <f t="shared" ca="1" si="9"/>
        <v>-</v>
      </c>
      <c r="EM5" s="65" t="str">
        <f t="shared" ca="1" si="9"/>
        <v>-</v>
      </c>
      <c r="EN5" s="65" t="str">
        <f t="shared" ca="1" si="9"/>
        <v>-</v>
      </c>
      <c r="EO5" s="65" t="str">
        <f t="shared" ca="1" si="9"/>
        <v>-</v>
      </c>
      <c r="EP5" s="65" t="str">
        <f t="shared" ca="1" si="9"/>
        <v>-</v>
      </c>
      <c r="EQ5" s="65" t="str">
        <f t="shared" ca="1" si="9"/>
        <v>-</v>
      </c>
      <c r="ER5" s="65" t="str">
        <f t="shared" ca="1" si="9"/>
        <v>-</v>
      </c>
      <c r="ES5" s="65" t="str">
        <f t="shared" ca="1" si="9"/>
        <v>-</v>
      </c>
      <c r="ET5" s="65" t="str">
        <f t="shared" ca="1" si="9"/>
        <v>-</v>
      </c>
      <c r="EU5" s="65" t="str">
        <f t="shared" ca="1" si="9"/>
        <v>-</v>
      </c>
      <c r="EV5" s="65" t="str">
        <f t="shared" ca="1" si="9"/>
        <v>-</v>
      </c>
      <c r="EW5" s="65" t="str">
        <f t="shared" ca="1" si="9"/>
        <v>-</v>
      </c>
      <c r="EX5" s="65" t="str">
        <f t="shared" ca="1" si="9"/>
        <v>-</v>
      </c>
      <c r="EY5" s="65" t="str">
        <f t="shared" ca="1" si="9"/>
        <v>-</v>
      </c>
      <c r="EZ5" s="65" t="str">
        <f t="shared" ca="1" si="9"/>
        <v>-</v>
      </c>
      <c r="FA5" s="65" t="str">
        <f t="shared" ca="1" si="9"/>
        <v>-</v>
      </c>
      <c r="FB5" s="65" t="str">
        <f t="shared" ca="1" si="9"/>
        <v>-</v>
      </c>
      <c r="FC5" s="65" t="str">
        <f t="shared" ca="1" si="9"/>
        <v>-</v>
      </c>
      <c r="FD5" s="65" t="str">
        <f t="shared" ca="1" si="9"/>
        <v>-</v>
      </c>
      <c r="FE5" s="65" t="str">
        <f t="shared" ca="1" si="9"/>
        <v>-</v>
      </c>
      <c r="FF5" s="65" t="str">
        <f t="shared" ca="1" si="9"/>
        <v>-</v>
      </c>
      <c r="FG5" s="65" t="str">
        <f t="shared" ca="1" si="9"/>
        <v>-</v>
      </c>
      <c r="FH5" s="65" t="str">
        <f t="shared" ca="1" si="9"/>
        <v>-</v>
      </c>
      <c r="FI5" s="65" t="str">
        <f t="shared" ca="1" si="9"/>
        <v>-</v>
      </c>
      <c r="FJ5" s="65" t="str">
        <f t="shared" ca="1" si="9"/>
        <v>-</v>
      </c>
      <c r="FK5" s="65" t="str">
        <f t="shared" ca="1" si="6"/>
        <v>-</v>
      </c>
      <c r="FL5" s="65" t="str">
        <f t="shared" ca="1" si="6"/>
        <v>-</v>
      </c>
      <c r="FM5" s="65" t="str">
        <f t="shared" ca="1" si="6"/>
        <v>-</v>
      </c>
      <c r="FN5" s="65" t="str">
        <f t="shared" ca="1" si="6"/>
        <v>-</v>
      </c>
      <c r="FO5" s="65" t="str">
        <f t="shared" ca="1" si="6"/>
        <v>-</v>
      </c>
      <c r="FP5" s="65" t="str">
        <f t="shared" ca="1" si="6"/>
        <v>-</v>
      </c>
      <c r="FQ5" s="65" t="str">
        <f t="shared" ca="1" si="7"/>
        <v>-</v>
      </c>
      <c r="FR5" s="65" t="str">
        <f t="shared" ca="1" si="7"/>
        <v>-</v>
      </c>
    </row>
    <row r="6" spans="1:178">
      <c r="A6" s="466"/>
      <c r="B6" s="465"/>
      <c r="C6" s="465"/>
      <c r="D6" s="467"/>
      <c r="E6" s="185" t="s">
        <v>67</v>
      </c>
      <c r="F6" s="66" t="e">
        <f>SUM('BESS 10B'!S40:S49)</f>
        <v>#VALUE!</v>
      </c>
      <c r="G6" s="182">
        <f ca="1">TODAY()</f>
        <v>46233</v>
      </c>
      <c r="H6" s="182">
        <f>MAX('BESS 10B'!O40:O49)</f>
        <v>46238</v>
      </c>
      <c r="I6" s="66">
        <f t="shared" ca="1" si="8"/>
        <v>5</v>
      </c>
      <c r="J6" s="453"/>
      <c r="K6" s="662"/>
      <c r="L6" s="662"/>
      <c r="M6" s="65" t="str">
        <f t="shared" ca="1" si="0"/>
        <v>-</v>
      </c>
      <c r="N6" s="65" t="str">
        <f t="shared" ca="1" si="0"/>
        <v>-</v>
      </c>
      <c r="O6" s="65" t="str">
        <f t="shared" ca="1" si="0"/>
        <v>-</v>
      </c>
      <c r="P6" s="65" t="str">
        <f t="shared" ca="1" si="0"/>
        <v>-</v>
      </c>
      <c r="Q6" s="65" t="str">
        <f t="shared" ca="1" si="0"/>
        <v>-</v>
      </c>
      <c r="R6" s="65" t="str">
        <f t="shared" ca="1" si="0"/>
        <v>-</v>
      </c>
      <c r="S6" s="65" t="str">
        <f t="shared" ca="1" si="0"/>
        <v>-</v>
      </c>
      <c r="T6" s="65" t="str">
        <f t="shared" ca="1" si="0"/>
        <v>-</v>
      </c>
      <c r="U6" s="65" t="str">
        <f t="shared" ca="1" si="0"/>
        <v>-</v>
      </c>
      <c r="V6" s="65" t="str">
        <f t="shared" ca="1" si="0"/>
        <v>-</v>
      </c>
      <c r="W6" s="65" t="str">
        <f t="shared" ca="1" si="0"/>
        <v>-</v>
      </c>
      <c r="X6" s="65" t="str">
        <f t="shared" ca="1" si="0"/>
        <v>-</v>
      </c>
      <c r="Y6" s="65" t="str">
        <f t="shared" ca="1" si="0"/>
        <v>-</v>
      </c>
      <c r="Z6" s="65" t="str">
        <f t="shared" ca="1" si="0"/>
        <v>-</v>
      </c>
      <c r="AA6" s="65" t="str">
        <f t="shared" ca="1" si="0"/>
        <v>-</v>
      </c>
      <c r="AB6" s="65" t="str">
        <f t="shared" ca="1" si="0"/>
        <v>-</v>
      </c>
      <c r="AC6" s="65" t="str">
        <f t="shared" ca="1" si="1"/>
        <v>-</v>
      </c>
      <c r="AD6" s="65" t="str">
        <f t="shared" ca="1" si="1"/>
        <v>-</v>
      </c>
      <c r="AE6" s="65" t="str">
        <f t="shared" ca="1" si="1"/>
        <v>-</v>
      </c>
      <c r="AF6" s="65" t="str">
        <f t="shared" ca="1" si="1"/>
        <v>-</v>
      </c>
      <c r="AG6" s="65" t="str">
        <f t="shared" ca="1" si="1"/>
        <v>-</v>
      </c>
      <c r="AH6" s="65" t="str">
        <f t="shared" ca="1" si="1"/>
        <v>-</v>
      </c>
      <c r="AI6" s="65" t="str">
        <f t="shared" ca="1" si="1"/>
        <v>-</v>
      </c>
      <c r="AJ6" s="65" t="str">
        <f t="shared" ca="1" si="1"/>
        <v>-</v>
      </c>
      <c r="AK6" s="65" t="str">
        <f t="shared" ca="1" si="1"/>
        <v>-</v>
      </c>
      <c r="AL6" s="65" t="str">
        <f t="shared" ca="1" si="1"/>
        <v>-</v>
      </c>
      <c r="AM6" s="65" t="str">
        <f t="shared" ca="1" si="1"/>
        <v>-</v>
      </c>
      <c r="AN6" s="65" t="str">
        <f t="shared" ca="1" si="1"/>
        <v>-</v>
      </c>
      <c r="AO6" s="65" t="str">
        <f t="shared" ca="1" si="1"/>
        <v>-</v>
      </c>
      <c r="AP6" s="65" t="str">
        <f t="shared" ca="1" si="1"/>
        <v>-</v>
      </c>
      <c r="AQ6" s="65" t="str">
        <f t="shared" ca="1" si="1"/>
        <v>-</v>
      </c>
      <c r="AR6" s="65" t="str">
        <f t="shared" ca="1" si="1"/>
        <v>-</v>
      </c>
      <c r="AS6" s="65" t="str">
        <f t="shared" ca="1" si="2"/>
        <v>-</v>
      </c>
      <c r="AT6" s="65" t="str">
        <f t="shared" ca="1" si="2"/>
        <v>-</v>
      </c>
      <c r="AU6" s="65" t="str">
        <f t="shared" ca="1" si="2"/>
        <v>-</v>
      </c>
      <c r="AV6" s="65" t="str">
        <f t="shared" ca="1" si="2"/>
        <v>-</v>
      </c>
      <c r="AW6" s="65" t="str">
        <f t="shared" ca="1" si="2"/>
        <v>-</v>
      </c>
      <c r="AX6" s="65" t="str">
        <f t="shared" ca="1" si="2"/>
        <v>-</v>
      </c>
      <c r="AY6" s="65" t="e">
        <f t="shared" ca="1" si="2"/>
        <v>#VALUE!</v>
      </c>
      <c r="AZ6" s="65" t="e">
        <f t="shared" ca="1" si="2"/>
        <v>#VALUE!</v>
      </c>
      <c r="BA6" s="65" t="e">
        <f t="shared" ca="1" si="2"/>
        <v>#VALUE!</v>
      </c>
      <c r="BB6" s="65" t="e">
        <f t="shared" ca="1" si="2"/>
        <v>#VALUE!</v>
      </c>
      <c r="BC6" s="65" t="e">
        <f t="shared" ca="1" si="2"/>
        <v>#VALUE!</v>
      </c>
      <c r="BD6" s="65" t="str">
        <f t="shared" ca="1" si="2"/>
        <v>-</v>
      </c>
      <c r="BE6" s="65" t="str">
        <f t="shared" ca="1" si="2"/>
        <v>-</v>
      </c>
      <c r="BF6" s="65" t="str">
        <f t="shared" ca="1" si="2"/>
        <v>-</v>
      </c>
      <c r="BG6" s="65" t="str">
        <f t="shared" ca="1" si="2"/>
        <v>-</v>
      </c>
      <c r="BH6" s="65" t="str">
        <f t="shared" ca="1" si="2"/>
        <v>-</v>
      </c>
      <c r="BI6" s="65" t="str">
        <f t="shared" ca="1" si="3"/>
        <v>-</v>
      </c>
      <c r="BJ6" s="65" t="str">
        <f t="shared" ca="1" si="3"/>
        <v>-</v>
      </c>
      <c r="BK6" s="65" t="str">
        <f t="shared" ca="1" si="3"/>
        <v>-</v>
      </c>
      <c r="BL6" s="65" t="str">
        <f t="shared" ca="1" si="3"/>
        <v>-</v>
      </c>
      <c r="BM6" s="65" t="str">
        <f t="shared" ca="1" si="3"/>
        <v>-</v>
      </c>
      <c r="BN6" s="65" t="str">
        <f t="shared" ca="1" si="3"/>
        <v>-</v>
      </c>
      <c r="BO6" s="65" t="str">
        <f t="shared" ca="1" si="3"/>
        <v>-</v>
      </c>
      <c r="BP6" s="65" t="str">
        <f t="shared" ca="1" si="3"/>
        <v>-</v>
      </c>
      <c r="BQ6" s="65" t="str">
        <f t="shared" ca="1" si="3"/>
        <v>-</v>
      </c>
      <c r="BR6" s="65" t="str">
        <f t="shared" ca="1" si="3"/>
        <v>-</v>
      </c>
      <c r="BS6" s="65" t="str">
        <f t="shared" ca="1" si="3"/>
        <v>-</v>
      </c>
      <c r="BT6" s="65" t="str">
        <f t="shared" ca="1" si="3"/>
        <v>-</v>
      </c>
      <c r="BU6" s="65" t="str">
        <f t="shared" ca="1" si="3"/>
        <v>-</v>
      </c>
      <c r="BV6" s="65" t="str">
        <f t="shared" ca="1" si="3"/>
        <v>-</v>
      </c>
      <c r="BW6" s="65" t="str">
        <f t="shared" ca="1" si="3"/>
        <v>-</v>
      </c>
      <c r="BX6" s="65" t="str">
        <f t="shared" ca="1" si="3"/>
        <v>-</v>
      </c>
      <c r="BY6" s="65" t="str">
        <f t="shared" ca="1" si="4"/>
        <v>-</v>
      </c>
      <c r="BZ6" s="65" t="str">
        <f t="shared" ca="1" si="4"/>
        <v>-</v>
      </c>
      <c r="CA6" s="65" t="str">
        <f t="shared" ca="1" si="4"/>
        <v>-</v>
      </c>
      <c r="CB6" s="65" t="str">
        <f t="shared" ca="1" si="4"/>
        <v>-</v>
      </c>
      <c r="CC6" s="65" t="str">
        <f t="shared" ca="1" si="4"/>
        <v>-</v>
      </c>
      <c r="CD6" s="65" t="str">
        <f t="shared" ca="1" si="4"/>
        <v>-</v>
      </c>
      <c r="CE6" s="65" t="str">
        <f t="shared" ca="1" si="4"/>
        <v>-</v>
      </c>
      <c r="CF6" s="65" t="str">
        <f t="shared" ca="1" si="4"/>
        <v>-</v>
      </c>
      <c r="CG6" s="65" t="str">
        <f t="shared" ca="1" si="4"/>
        <v>-</v>
      </c>
      <c r="CH6" s="65" t="str">
        <f t="shared" ca="1" si="4"/>
        <v>-</v>
      </c>
      <c r="CI6" s="65" t="str">
        <f t="shared" ca="1" si="4"/>
        <v>-</v>
      </c>
      <c r="CJ6" s="65" t="str">
        <f t="shared" ca="1" si="4"/>
        <v>-</v>
      </c>
      <c r="CK6" s="65" t="str">
        <f t="shared" ca="1" si="4"/>
        <v>-</v>
      </c>
      <c r="CL6" s="65" t="str">
        <f t="shared" ca="1" si="4"/>
        <v>-</v>
      </c>
      <c r="CM6" s="65" t="str">
        <f t="shared" ca="1" si="4"/>
        <v>-</v>
      </c>
      <c r="CN6" s="65" t="str">
        <f t="shared" ca="1" si="4"/>
        <v>-</v>
      </c>
      <c r="CO6" s="65" t="str">
        <f t="shared" ca="1" si="5"/>
        <v>-</v>
      </c>
      <c r="CP6" s="65" t="str">
        <f t="shared" ca="1" si="5"/>
        <v>-</v>
      </c>
      <c r="CQ6" s="65" t="str">
        <f t="shared" ca="1" si="5"/>
        <v>-</v>
      </c>
      <c r="CR6" s="65" t="str">
        <f t="shared" ca="1" si="5"/>
        <v>-</v>
      </c>
      <c r="CS6" s="65" t="str">
        <f t="shared" ca="1" si="5"/>
        <v>-</v>
      </c>
      <c r="CT6" s="186" t="str">
        <f t="shared" ca="1" si="5"/>
        <v>-</v>
      </c>
      <c r="CU6" s="186" t="str">
        <f t="shared" ca="1" si="5"/>
        <v>-</v>
      </c>
      <c r="CV6" s="186" t="str">
        <f t="shared" ca="1" si="5"/>
        <v>-</v>
      </c>
      <c r="CW6" s="186" t="str">
        <f t="shared" ca="1" si="5"/>
        <v>-</v>
      </c>
      <c r="CX6" s="65" t="str">
        <f t="shared" ca="1" si="5"/>
        <v>-</v>
      </c>
      <c r="CY6" s="65" t="str">
        <f t="shared" ca="1" si="9"/>
        <v>-</v>
      </c>
      <c r="CZ6" s="65" t="str">
        <f t="shared" ca="1" si="9"/>
        <v>-</v>
      </c>
      <c r="DA6" s="65" t="str">
        <f t="shared" ca="1" si="9"/>
        <v>-</v>
      </c>
      <c r="DB6" s="65" t="str">
        <f t="shared" ca="1" si="9"/>
        <v>-</v>
      </c>
      <c r="DC6" s="65" t="str">
        <f t="shared" ca="1" si="9"/>
        <v>-</v>
      </c>
      <c r="DD6" s="65" t="str">
        <f t="shared" ca="1" si="9"/>
        <v>-</v>
      </c>
      <c r="DE6" s="65" t="str">
        <f t="shared" ca="1" si="9"/>
        <v>-</v>
      </c>
      <c r="DF6" s="65" t="str">
        <f t="shared" ca="1" si="9"/>
        <v>-</v>
      </c>
      <c r="DG6" s="65" t="str">
        <f t="shared" ca="1" si="9"/>
        <v>-</v>
      </c>
      <c r="DH6" s="65" t="str">
        <f t="shared" ca="1" si="9"/>
        <v>-</v>
      </c>
      <c r="DI6" s="65" t="str">
        <f t="shared" ca="1" si="9"/>
        <v>-</v>
      </c>
      <c r="DJ6" s="65" t="str">
        <f t="shared" ca="1" si="9"/>
        <v>-</v>
      </c>
      <c r="DK6" s="65" t="str">
        <f t="shared" ca="1" si="9"/>
        <v>-</v>
      </c>
      <c r="DL6" s="65" t="str">
        <f t="shared" ca="1" si="9"/>
        <v>-</v>
      </c>
      <c r="DM6" s="65" t="str">
        <f t="shared" ca="1" si="9"/>
        <v>-</v>
      </c>
      <c r="DN6" s="65" t="str">
        <f t="shared" ca="1" si="9"/>
        <v>-</v>
      </c>
      <c r="DO6" s="65" t="str">
        <f t="shared" ca="1" si="9"/>
        <v>-</v>
      </c>
      <c r="DP6" s="65" t="str">
        <f t="shared" ca="1" si="9"/>
        <v>-</v>
      </c>
      <c r="DQ6" s="65" t="str">
        <f t="shared" ca="1" si="9"/>
        <v>-</v>
      </c>
      <c r="DR6" s="65" t="str">
        <f t="shared" ca="1" si="9"/>
        <v>-</v>
      </c>
      <c r="DS6" s="65" t="str">
        <f t="shared" ca="1" si="9"/>
        <v>-</v>
      </c>
      <c r="DT6" s="65" t="str">
        <f t="shared" ca="1" si="9"/>
        <v>-</v>
      </c>
      <c r="DU6" s="65" t="str">
        <f t="shared" ca="1" si="9"/>
        <v>-</v>
      </c>
      <c r="DV6" s="65" t="str">
        <f t="shared" ca="1" si="9"/>
        <v>-</v>
      </c>
      <c r="DW6" s="65" t="str">
        <f t="shared" ca="1" si="9"/>
        <v>-</v>
      </c>
      <c r="DX6" s="65" t="str">
        <f t="shared" ca="1" si="9"/>
        <v>-</v>
      </c>
      <c r="DY6" s="65" t="str">
        <f t="shared" ca="1" si="9"/>
        <v>-</v>
      </c>
      <c r="DZ6" s="65" t="str">
        <f t="shared" ca="1" si="9"/>
        <v>-</v>
      </c>
      <c r="EA6" s="65" t="str">
        <f t="shared" ca="1" si="9"/>
        <v>-</v>
      </c>
      <c r="EB6" s="65" t="str">
        <f t="shared" ca="1" si="9"/>
        <v>-</v>
      </c>
      <c r="EC6" s="65" t="str">
        <f t="shared" ca="1" si="9"/>
        <v>-</v>
      </c>
      <c r="ED6" s="65" t="str">
        <f t="shared" ca="1" si="9"/>
        <v>-</v>
      </c>
      <c r="EE6" s="65" t="str">
        <f t="shared" ca="1" si="9"/>
        <v>-</v>
      </c>
      <c r="EF6" s="65" t="str">
        <f t="shared" ca="1" si="9"/>
        <v>-</v>
      </c>
      <c r="EG6" s="65" t="str">
        <f t="shared" ca="1" si="9"/>
        <v>-</v>
      </c>
      <c r="EH6" s="65" t="str">
        <f t="shared" ca="1" si="9"/>
        <v>-</v>
      </c>
      <c r="EI6" s="65" t="str">
        <f t="shared" ca="1" si="9"/>
        <v>-</v>
      </c>
      <c r="EJ6" s="65" t="str">
        <f t="shared" ca="1" si="9"/>
        <v>-</v>
      </c>
      <c r="EK6" s="65" t="str">
        <f t="shared" ca="1" si="9"/>
        <v>-</v>
      </c>
      <c r="EL6" s="65" t="str">
        <f t="shared" ca="1" si="9"/>
        <v>-</v>
      </c>
      <c r="EM6" s="65" t="str">
        <f t="shared" ca="1" si="9"/>
        <v>-</v>
      </c>
      <c r="EN6" s="65" t="str">
        <f t="shared" ca="1" si="9"/>
        <v>-</v>
      </c>
      <c r="EO6" s="65" t="str">
        <f t="shared" ca="1" si="9"/>
        <v>-</v>
      </c>
      <c r="EP6" s="65" t="str">
        <f t="shared" ca="1" si="9"/>
        <v>-</v>
      </c>
      <c r="EQ6" s="65" t="str">
        <f t="shared" ca="1" si="9"/>
        <v>-</v>
      </c>
      <c r="ER6" s="65" t="str">
        <f t="shared" ca="1" si="9"/>
        <v>-</v>
      </c>
      <c r="ES6" s="65" t="str">
        <f t="shared" ca="1" si="9"/>
        <v>-</v>
      </c>
      <c r="ET6" s="65" t="str">
        <f t="shared" ca="1" si="9"/>
        <v>-</v>
      </c>
      <c r="EU6" s="65" t="str">
        <f t="shared" ca="1" si="9"/>
        <v>-</v>
      </c>
      <c r="EV6" s="65" t="str">
        <f t="shared" ca="1" si="9"/>
        <v>-</v>
      </c>
      <c r="EW6" s="65" t="str">
        <f t="shared" ca="1" si="9"/>
        <v>-</v>
      </c>
      <c r="EX6" s="65" t="str">
        <f t="shared" ca="1" si="9"/>
        <v>-</v>
      </c>
      <c r="EY6" s="65" t="str">
        <f t="shared" ca="1" si="9"/>
        <v>-</v>
      </c>
      <c r="EZ6" s="65" t="str">
        <f t="shared" ca="1" si="9"/>
        <v>-</v>
      </c>
      <c r="FA6" s="65" t="str">
        <f t="shared" ca="1" si="9"/>
        <v>-</v>
      </c>
      <c r="FB6" s="65" t="str">
        <f t="shared" ca="1" si="9"/>
        <v>-</v>
      </c>
      <c r="FC6" s="65" t="str">
        <f t="shared" ca="1" si="9"/>
        <v>-</v>
      </c>
      <c r="FD6" s="65" t="str">
        <f t="shared" ca="1" si="9"/>
        <v>-</v>
      </c>
      <c r="FE6" s="65" t="str">
        <f t="shared" ca="1" si="9"/>
        <v>-</v>
      </c>
      <c r="FF6" s="65" t="str">
        <f t="shared" ca="1" si="9"/>
        <v>-</v>
      </c>
      <c r="FG6" s="65" t="str">
        <f t="shared" ca="1" si="9"/>
        <v>-</v>
      </c>
      <c r="FH6" s="65" t="str">
        <f t="shared" ca="1" si="9"/>
        <v>-</v>
      </c>
      <c r="FI6" s="65" t="str">
        <f t="shared" ca="1" si="9"/>
        <v>-</v>
      </c>
      <c r="FJ6" s="65" t="str">
        <f t="shared" ca="1" si="9"/>
        <v>-</v>
      </c>
      <c r="FK6" s="65" t="str">
        <f t="shared" ca="1" si="6"/>
        <v>-</v>
      </c>
      <c r="FL6" s="65" t="str">
        <f t="shared" ca="1" si="6"/>
        <v>-</v>
      </c>
      <c r="FM6" s="65" t="str">
        <f t="shared" ca="1" si="6"/>
        <v>-</v>
      </c>
      <c r="FN6" s="65" t="str">
        <f t="shared" ca="1" si="6"/>
        <v>-</v>
      </c>
      <c r="FO6" s="65" t="str">
        <f t="shared" ca="1" si="6"/>
        <v>-</v>
      </c>
      <c r="FP6" s="65" t="str">
        <f t="shared" ca="1" si="6"/>
        <v>-</v>
      </c>
      <c r="FQ6" s="65" t="str">
        <f t="shared" ca="1" si="7"/>
        <v>-</v>
      </c>
      <c r="FR6" s="65" t="str">
        <f t="shared" ca="1" si="7"/>
        <v>-</v>
      </c>
    </row>
    <row r="7" spans="1:178">
      <c r="A7" s="466"/>
      <c r="B7" s="465"/>
      <c r="C7" s="465"/>
      <c r="D7" s="467"/>
      <c r="E7" s="185" t="s">
        <v>68</v>
      </c>
      <c r="F7" s="66">
        <v>250</v>
      </c>
      <c r="G7" s="182">
        <f>B3-3</f>
        <v>46236</v>
      </c>
      <c r="H7" s="182"/>
      <c r="I7" s="65">
        <v>30</v>
      </c>
      <c r="J7" s="454"/>
      <c r="K7" s="663"/>
      <c r="L7" s="663"/>
      <c r="M7" s="65" t="str">
        <f>IF(AND(M$2&gt;=$B3-26,M$2&lt;=$B3-3),5,IF(OR(M$2=$B3-2,M$2=$B3-1,M$2=$B3,M$2=$B3+1),30,IF(OR(M$2=$B3+2,M$2=$B3+3),5,"")))</f>
        <v/>
      </c>
      <c r="N7" s="65" t="str">
        <f t="shared" ref="N7:BY7" si="10">IF(AND(N$2&gt;=$B3-26,N$2&lt;=$B3-3),5,IF(OR(N$2=$B3-2,N$2=$B3-1,N$2=$B3,N$2=$B3+1),30,IF(OR(N$2=$B3+2,N$2=$B3+3),5,"")))</f>
        <v/>
      </c>
      <c r="O7" s="65" t="str">
        <f t="shared" si="10"/>
        <v/>
      </c>
      <c r="P7" s="65" t="str">
        <f t="shared" si="10"/>
        <v/>
      </c>
      <c r="Q7" s="65" t="str">
        <f t="shared" si="10"/>
        <v/>
      </c>
      <c r="R7" s="65" t="str">
        <f t="shared" si="10"/>
        <v/>
      </c>
      <c r="S7" s="65" t="str">
        <f t="shared" si="10"/>
        <v/>
      </c>
      <c r="T7" s="65" t="str">
        <f t="shared" si="10"/>
        <v/>
      </c>
      <c r="U7" s="65" t="str">
        <f t="shared" si="10"/>
        <v/>
      </c>
      <c r="V7" s="65" t="str">
        <f t="shared" si="10"/>
        <v/>
      </c>
      <c r="W7" s="65" t="str">
        <f t="shared" si="10"/>
        <v/>
      </c>
      <c r="X7" s="65" t="str">
        <f t="shared" si="10"/>
        <v/>
      </c>
      <c r="Y7" s="65" t="str">
        <f t="shared" si="10"/>
        <v/>
      </c>
      <c r="Z7" s="65" t="str">
        <f t="shared" si="10"/>
        <v/>
      </c>
      <c r="AA7" s="65" t="str">
        <f t="shared" si="10"/>
        <v/>
      </c>
      <c r="AB7" s="65" t="str">
        <f t="shared" si="10"/>
        <v/>
      </c>
      <c r="AC7" s="65" t="str">
        <f t="shared" si="10"/>
        <v/>
      </c>
      <c r="AD7" s="65" t="str">
        <f t="shared" si="10"/>
        <v/>
      </c>
      <c r="AE7" s="65">
        <f t="shared" si="10"/>
        <v>5</v>
      </c>
      <c r="AF7" s="65">
        <f t="shared" si="10"/>
        <v>5</v>
      </c>
      <c r="AG7" s="65">
        <f t="shared" si="10"/>
        <v>5</v>
      </c>
      <c r="AH7" s="65">
        <f t="shared" si="10"/>
        <v>5</v>
      </c>
      <c r="AI7" s="65">
        <f t="shared" si="10"/>
        <v>5</v>
      </c>
      <c r="AJ7" s="65">
        <f t="shared" si="10"/>
        <v>5</v>
      </c>
      <c r="AK7" s="65">
        <f t="shared" si="10"/>
        <v>5</v>
      </c>
      <c r="AL7" s="65">
        <f t="shared" si="10"/>
        <v>5</v>
      </c>
      <c r="AM7" s="65">
        <f t="shared" si="10"/>
        <v>5</v>
      </c>
      <c r="AN7" s="65">
        <f t="shared" si="10"/>
        <v>5</v>
      </c>
      <c r="AO7" s="65">
        <f t="shared" si="10"/>
        <v>5</v>
      </c>
      <c r="AP7" s="65">
        <f t="shared" si="10"/>
        <v>5</v>
      </c>
      <c r="AQ7" s="65">
        <f t="shared" si="10"/>
        <v>5</v>
      </c>
      <c r="AR7" s="65">
        <f t="shared" si="10"/>
        <v>5</v>
      </c>
      <c r="AS7" s="65">
        <f t="shared" si="10"/>
        <v>5</v>
      </c>
      <c r="AT7" s="65">
        <f t="shared" si="10"/>
        <v>5</v>
      </c>
      <c r="AU7" s="65">
        <f t="shared" si="10"/>
        <v>5</v>
      </c>
      <c r="AV7" s="65">
        <f t="shared" si="10"/>
        <v>5</v>
      </c>
      <c r="AW7" s="65">
        <f t="shared" si="10"/>
        <v>5</v>
      </c>
      <c r="AX7" s="65">
        <f t="shared" si="10"/>
        <v>5</v>
      </c>
      <c r="AY7" s="65">
        <f t="shared" si="10"/>
        <v>5</v>
      </c>
      <c r="AZ7" s="65">
        <f t="shared" si="10"/>
        <v>5</v>
      </c>
      <c r="BA7" s="65">
        <f t="shared" si="10"/>
        <v>5</v>
      </c>
      <c r="BB7" s="65">
        <f t="shared" si="10"/>
        <v>5</v>
      </c>
      <c r="BC7" s="65">
        <f t="shared" si="10"/>
        <v>30</v>
      </c>
      <c r="BD7" s="65">
        <f t="shared" si="10"/>
        <v>30</v>
      </c>
      <c r="BE7" s="65">
        <f t="shared" si="10"/>
        <v>30</v>
      </c>
      <c r="BF7" s="65">
        <f t="shared" si="10"/>
        <v>30</v>
      </c>
      <c r="BG7" s="65">
        <f t="shared" si="10"/>
        <v>5</v>
      </c>
      <c r="BH7" s="65">
        <f t="shared" si="10"/>
        <v>5</v>
      </c>
      <c r="BI7" s="65" t="str">
        <f t="shared" si="10"/>
        <v/>
      </c>
      <c r="BJ7" s="65" t="str">
        <f t="shared" si="10"/>
        <v/>
      </c>
      <c r="BK7" s="65" t="str">
        <f t="shared" si="10"/>
        <v/>
      </c>
      <c r="BL7" s="65" t="str">
        <f t="shared" si="10"/>
        <v/>
      </c>
      <c r="BM7" s="65" t="str">
        <f t="shared" si="10"/>
        <v/>
      </c>
      <c r="BN7" s="65" t="str">
        <f t="shared" si="10"/>
        <v/>
      </c>
      <c r="BO7" s="65" t="str">
        <f t="shared" si="10"/>
        <v/>
      </c>
      <c r="BP7" s="65" t="str">
        <f t="shared" si="10"/>
        <v/>
      </c>
      <c r="BQ7" s="65" t="str">
        <f t="shared" si="10"/>
        <v/>
      </c>
      <c r="BR7" s="65" t="str">
        <f t="shared" si="10"/>
        <v/>
      </c>
      <c r="BS7" s="65" t="str">
        <f t="shared" si="10"/>
        <v/>
      </c>
      <c r="BT7" s="65" t="str">
        <f t="shared" si="10"/>
        <v/>
      </c>
      <c r="BU7" s="65" t="str">
        <f t="shared" si="10"/>
        <v/>
      </c>
      <c r="BV7" s="65" t="str">
        <f t="shared" si="10"/>
        <v/>
      </c>
      <c r="BW7" s="65" t="str">
        <f t="shared" si="10"/>
        <v/>
      </c>
      <c r="BX7" s="65" t="str">
        <f t="shared" si="10"/>
        <v/>
      </c>
      <c r="BY7" s="65" t="str">
        <f t="shared" si="10"/>
        <v/>
      </c>
      <c r="BZ7" s="65" t="str">
        <f t="shared" ref="BZ7:CX7" si="11">IF(AND(BZ$2&gt;=$B3-26,BZ$2&lt;=$B3-3),5,IF(OR(BZ$2=$B3-2,BZ$2=$B3-1,BZ$2=$B3,BZ$2=$B3+1),30,IF(OR(BZ$2=$B3+2,BZ$2=$B3+3),5,"")))</f>
        <v/>
      </c>
      <c r="CA7" s="65" t="str">
        <f t="shared" si="11"/>
        <v/>
      </c>
      <c r="CB7" s="65" t="str">
        <f t="shared" si="11"/>
        <v/>
      </c>
      <c r="CC7" s="65" t="str">
        <f t="shared" si="11"/>
        <v/>
      </c>
      <c r="CD7" s="65" t="str">
        <f t="shared" si="11"/>
        <v/>
      </c>
      <c r="CE7" s="65" t="str">
        <f t="shared" si="11"/>
        <v/>
      </c>
      <c r="CF7" s="65" t="str">
        <f t="shared" si="11"/>
        <v/>
      </c>
      <c r="CG7" s="65" t="str">
        <f t="shared" si="11"/>
        <v/>
      </c>
      <c r="CH7" s="65" t="str">
        <f t="shared" si="11"/>
        <v/>
      </c>
      <c r="CI7" s="65" t="str">
        <f t="shared" si="11"/>
        <v/>
      </c>
      <c r="CJ7" s="65" t="str">
        <f t="shared" si="11"/>
        <v/>
      </c>
      <c r="CK7" s="65" t="str">
        <f t="shared" si="11"/>
        <v/>
      </c>
      <c r="CL7" s="65" t="str">
        <f t="shared" si="11"/>
        <v/>
      </c>
      <c r="CM7" s="65" t="str">
        <f t="shared" si="11"/>
        <v/>
      </c>
      <c r="CN7" s="65" t="str">
        <f t="shared" si="11"/>
        <v/>
      </c>
      <c r="CO7" s="65" t="str">
        <f t="shared" si="11"/>
        <v/>
      </c>
      <c r="CP7" s="65" t="str">
        <f t="shared" si="11"/>
        <v/>
      </c>
      <c r="CQ7" s="65" t="str">
        <f t="shared" si="11"/>
        <v/>
      </c>
      <c r="CR7" s="65" t="str">
        <f t="shared" si="11"/>
        <v/>
      </c>
      <c r="CS7" s="65" t="str">
        <f t="shared" si="11"/>
        <v/>
      </c>
      <c r="CT7" s="65" t="str">
        <f t="shared" si="11"/>
        <v/>
      </c>
      <c r="CU7" s="65" t="str">
        <f t="shared" si="11"/>
        <v/>
      </c>
      <c r="CV7" s="65" t="str">
        <f t="shared" si="11"/>
        <v/>
      </c>
      <c r="CW7" s="65" t="str">
        <f t="shared" si="11"/>
        <v/>
      </c>
      <c r="CX7" s="65" t="str">
        <f t="shared" si="11"/>
        <v/>
      </c>
      <c r="CY7" s="65" t="str">
        <f t="shared" ref="CY7:FJ7" si="12">IF(AND(CY$2&gt;=$B3-26,CY$2&lt;=$B3-3),5,IF(OR(CY$2=$B3-2,CY$2=$B3-1,CY$2=$B3,CY$2=$B3+1),30,IF(OR(CY$2=$B3+2,CY$2=$B3+3),5,"")))</f>
        <v/>
      </c>
      <c r="CZ7" s="65" t="str">
        <f t="shared" si="12"/>
        <v/>
      </c>
      <c r="DA7" s="65" t="str">
        <f t="shared" si="12"/>
        <v/>
      </c>
      <c r="DB7" s="65" t="str">
        <f t="shared" si="12"/>
        <v/>
      </c>
      <c r="DC7" s="65" t="str">
        <f t="shared" si="12"/>
        <v/>
      </c>
      <c r="DD7" s="65" t="str">
        <f t="shared" si="12"/>
        <v/>
      </c>
      <c r="DE7" s="65" t="str">
        <f t="shared" si="12"/>
        <v/>
      </c>
      <c r="DF7" s="65" t="str">
        <f t="shared" si="12"/>
        <v/>
      </c>
      <c r="DG7" s="65" t="str">
        <f t="shared" si="12"/>
        <v/>
      </c>
      <c r="DH7" s="65" t="str">
        <f t="shared" si="12"/>
        <v/>
      </c>
      <c r="DI7" s="65" t="str">
        <f t="shared" si="12"/>
        <v/>
      </c>
      <c r="DJ7" s="65" t="str">
        <f t="shared" si="12"/>
        <v/>
      </c>
      <c r="DK7" s="65" t="str">
        <f t="shared" si="12"/>
        <v/>
      </c>
      <c r="DL7" s="65" t="str">
        <f t="shared" si="12"/>
        <v/>
      </c>
      <c r="DM7" s="65" t="str">
        <f t="shared" si="12"/>
        <v/>
      </c>
      <c r="DN7" s="65" t="str">
        <f t="shared" si="12"/>
        <v/>
      </c>
      <c r="DO7" s="65" t="str">
        <f t="shared" si="12"/>
        <v/>
      </c>
      <c r="DP7" s="65" t="str">
        <f t="shared" si="12"/>
        <v/>
      </c>
      <c r="DQ7" s="65" t="str">
        <f t="shared" si="12"/>
        <v/>
      </c>
      <c r="DR7" s="65" t="str">
        <f t="shared" si="12"/>
        <v/>
      </c>
      <c r="DS7" s="65" t="str">
        <f t="shared" si="12"/>
        <v/>
      </c>
      <c r="DT7" s="65" t="str">
        <f t="shared" si="12"/>
        <v/>
      </c>
      <c r="DU7" s="65" t="str">
        <f t="shared" si="12"/>
        <v/>
      </c>
      <c r="DV7" s="65" t="str">
        <f t="shared" si="12"/>
        <v/>
      </c>
      <c r="DW7" s="65" t="str">
        <f t="shared" si="12"/>
        <v/>
      </c>
      <c r="DX7" s="65" t="str">
        <f t="shared" si="12"/>
        <v/>
      </c>
      <c r="DY7" s="65" t="str">
        <f t="shared" si="12"/>
        <v/>
      </c>
      <c r="DZ7" s="65" t="str">
        <f t="shared" si="12"/>
        <v/>
      </c>
      <c r="EA7" s="65" t="str">
        <f t="shared" si="12"/>
        <v/>
      </c>
      <c r="EB7" s="65" t="str">
        <f t="shared" si="12"/>
        <v/>
      </c>
      <c r="EC7" s="65" t="str">
        <f t="shared" si="12"/>
        <v/>
      </c>
      <c r="ED7" s="65" t="str">
        <f t="shared" si="12"/>
        <v/>
      </c>
      <c r="EE7" s="65" t="str">
        <f t="shared" si="12"/>
        <v/>
      </c>
      <c r="EF7" s="65" t="str">
        <f t="shared" si="12"/>
        <v/>
      </c>
      <c r="EG7" s="65" t="str">
        <f t="shared" si="12"/>
        <v/>
      </c>
      <c r="EH7" s="65" t="str">
        <f t="shared" si="12"/>
        <v/>
      </c>
      <c r="EI7" s="65" t="str">
        <f t="shared" si="12"/>
        <v/>
      </c>
      <c r="EJ7" s="65" t="str">
        <f t="shared" si="12"/>
        <v/>
      </c>
      <c r="EK7" s="65" t="str">
        <f t="shared" si="12"/>
        <v/>
      </c>
      <c r="EL7" s="65" t="str">
        <f t="shared" si="12"/>
        <v/>
      </c>
      <c r="EM7" s="65" t="str">
        <f t="shared" si="12"/>
        <v/>
      </c>
      <c r="EN7" s="65" t="str">
        <f t="shared" si="12"/>
        <v/>
      </c>
      <c r="EO7" s="65" t="str">
        <f t="shared" si="12"/>
        <v/>
      </c>
      <c r="EP7" s="65" t="str">
        <f t="shared" si="12"/>
        <v/>
      </c>
      <c r="EQ7" s="65" t="str">
        <f t="shared" si="12"/>
        <v/>
      </c>
      <c r="ER7" s="65" t="str">
        <f t="shared" si="12"/>
        <v/>
      </c>
      <c r="ES7" s="65" t="str">
        <f t="shared" si="12"/>
        <v/>
      </c>
      <c r="ET7" s="65" t="str">
        <f t="shared" si="12"/>
        <v/>
      </c>
      <c r="EU7" s="65" t="str">
        <f t="shared" si="12"/>
        <v/>
      </c>
      <c r="EV7" s="65" t="str">
        <f t="shared" si="12"/>
        <v/>
      </c>
      <c r="EW7" s="65" t="str">
        <f t="shared" si="12"/>
        <v/>
      </c>
      <c r="EX7" s="65" t="str">
        <f t="shared" si="12"/>
        <v/>
      </c>
      <c r="EY7" s="65" t="str">
        <f t="shared" si="12"/>
        <v/>
      </c>
      <c r="EZ7" s="65" t="str">
        <f t="shared" si="12"/>
        <v/>
      </c>
      <c r="FA7" s="65" t="str">
        <f t="shared" si="12"/>
        <v/>
      </c>
      <c r="FB7" s="65" t="str">
        <f t="shared" si="12"/>
        <v/>
      </c>
      <c r="FC7" s="65" t="str">
        <f t="shared" si="12"/>
        <v/>
      </c>
      <c r="FD7" s="65" t="str">
        <f t="shared" si="12"/>
        <v/>
      </c>
      <c r="FE7" s="65" t="str">
        <f t="shared" si="12"/>
        <v/>
      </c>
      <c r="FF7" s="65" t="str">
        <f t="shared" si="12"/>
        <v/>
      </c>
      <c r="FG7" s="65" t="str">
        <f t="shared" si="12"/>
        <v/>
      </c>
      <c r="FH7" s="65" t="str">
        <f t="shared" si="12"/>
        <v/>
      </c>
      <c r="FI7" s="65" t="str">
        <f t="shared" si="12"/>
        <v/>
      </c>
      <c r="FJ7" s="65" t="str">
        <f t="shared" si="12"/>
        <v/>
      </c>
      <c r="FK7" s="65" t="str">
        <f t="shared" ref="FK7:FR7" si="13">IF(AND(FK$2&gt;=$B3-26,FK$2&lt;=$B3-3),5,IF(OR(FK$2=$B3-2,FK$2=$B3-1,FK$2=$B3,FK$2=$B3+1),30,IF(OR(FK$2=$B3+2,FK$2=$B3+3),5,"")))</f>
        <v/>
      </c>
      <c r="FL7" s="65" t="str">
        <f t="shared" si="13"/>
        <v/>
      </c>
      <c r="FM7" s="65" t="str">
        <f t="shared" si="13"/>
        <v/>
      </c>
      <c r="FN7" s="65" t="str">
        <f t="shared" si="13"/>
        <v/>
      </c>
      <c r="FO7" s="65" t="str">
        <f t="shared" si="13"/>
        <v/>
      </c>
      <c r="FP7" s="65" t="str">
        <f t="shared" si="13"/>
        <v/>
      </c>
      <c r="FQ7" s="65" t="str">
        <f t="shared" si="13"/>
        <v/>
      </c>
      <c r="FR7" s="65" t="str">
        <f t="shared" si="13"/>
        <v/>
      </c>
    </row>
    <row r="8" spans="1:178" s="191" customFormat="1" ht="13.5" hidden="1" customHeight="1">
      <c r="A8" s="188"/>
      <c r="B8" s="189"/>
      <c r="C8" s="189"/>
      <c r="D8" s="188"/>
      <c r="E8" s="188"/>
      <c r="F8" s="169"/>
      <c r="G8" s="181" t="s">
        <v>69</v>
      </c>
      <c r="H8" s="181"/>
      <c r="I8" s="171"/>
      <c r="J8" s="203"/>
      <c r="K8" s="181"/>
      <c r="L8" s="181"/>
      <c r="M8" s="190">
        <f t="shared" ref="M8:BX8" ca="1" si="14">SUM(M3:M7)</f>
        <v>0</v>
      </c>
      <c r="N8" s="190">
        <f t="shared" ca="1" si="14"/>
        <v>0</v>
      </c>
      <c r="O8" s="190">
        <f t="shared" ca="1" si="14"/>
        <v>0</v>
      </c>
      <c r="P8" s="190">
        <f t="shared" ca="1" si="14"/>
        <v>0</v>
      </c>
      <c r="Q8" s="190">
        <f t="shared" ca="1" si="14"/>
        <v>0</v>
      </c>
      <c r="R8" s="190">
        <f t="shared" ca="1" si="14"/>
        <v>0</v>
      </c>
      <c r="S8" s="190">
        <f t="shared" ca="1" si="14"/>
        <v>0</v>
      </c>
      <c r="T8" s="190">
        <f t="shared" ca="1" si="14"/>
        <v>0</v>
      </c>
      <c r="U8" s="190">
        <f t="shared" ca="1" si="14"/>
        <v>0</v>
      </c>
      <c r="V8" s="190">
        <f t="shared" ca="1" si="14"/>
        <v>0</v>
      </c>
      <c r="W8" s="190">
        <f t="shared" ca="1" si="14"/>
        <v>0</v>
      </c>
      <c r="X8" s="190">
        <f t="shared" ca="1" si="14"/>
        <v>0</v>
      </c>
      <c r="Y8" s="190">
        <f t="shared" ca="1" si="14"/>
        <v>0</v>
      </c>
      <c r="Z8" s="190">
        <f t="shared" ca="1" si="14"/>
        <v>0</v>
      </c>
      <c r="AA8" s="190">
        <f t="shared" ca="1" si="14"/>
        <v>0</v>
      </c>
      <c r="AB8" s="190">
        <f t="shared" ca="1" si="14"/>
        <v>0</v>
      </c>
      <c r="AC8" s="190">
        <f t="shared" ca="1" si="14"/>
        <v>0</v>
      </c>
      <c r="AD8" s="190">
        <f t="shared" ca="1" si="14"/>
        <v>0</v>
      </c>
      <c r="AE8" s="190">
        <f t="shared" ca="1" si="14"/>
        <v>5</v>
      </c>
      <c r="AF8" s="190">
        <f t="shared" ca="1" si="14"/>
        <v>5</v>
      </c>
      <c r="AG8" s="190">
        <f t="shared" ca="1" si="14"/>
        <v>5</v>
      </c>
      <c r="AH8" s="190">
        <f t="shared" ca="1" si="14"/>
        <v>5</v>
      </c>
      <c r="AI8" s="190">
        <f t="shared" ca="1" si="14"/>
        <v>5</v>
      </c>
      <c r="AJ8" s="190">
        <f t="shared" ca="1" si="14"/>
        <v>5</v>
      </c>
      <c r="AK8" s="190">
        <f t="shared" ca="1" si="14"/>
        <v>5</v>
      </c>
      <c r="AL8" s="190">
        <f t="shared" ca="1" si="14"/>
        <v>5</v>
      </c>
      <c r="AM8" s="190">
        <f t="shared" ca="1" si="14"/>
        <v>5</v>
      </c>
      <c r="AN8" s="190">
        <f t="shared" ca="1" si="14"/>
        <v>5</v>
      </c>
      <c r="AO8" s="190">
        <f t="shared" ca="1" si="14"/>
        <v>5</v>
      </c>
      <c r="AP8" s="190">
        <f t="shared" ca="1" si="14"/>
        <v>5</v>
      </c>
      <c r="AQ8" s="190">
        <f t="shared" ca="1" si="14"/>
        <v>5</v>
      </c>
      <c r="AR8" s="190">
        <f t="shared" ca="1" si="14"/>
        <v>5</v>
      </c>
      <c r="AS8" s="190">
        <f t="shared" ca="1" si="14"/>
        <v>5</v>
      </c>
      <c r="AT8" s="190">
        <f t="shared" ca="1" si="14"/>
        <v>5</v>
      </c>
      <c r="AU8" s="190">
        <f t="shared" ca="1" si="14"/>
        <v>5</v>
      </c>
      <c r="AV8" s="190">
        <f t="shared" ca="1" si="14"/>
        <v>5</v>
      </c>
      <c r="AW8" s="190">
        <f t="shared" ca="1" si="14"/>
        <v>5</v>
      </c>
      <c r="AX8" s="190">
        <f t="shared" ca="1" si="14"/>
        <v>5</v>
      </c>
      <c r="AY8" s="190" t="e">
        <f t="shared" ca="1" si="14"/>
        <v>#VALUE!</v>
      </c>
      <c r="AZ8" s="190" t="e">
        <f t="shared" ca="1" si="14"/>
        <v>#VALUE!</v>
      </c>
      <c r="BA8" s="190" t="e">
        <f t="shared" ca="1" si="14"/>
        <v>#VALUE!</v>
      </c>
      <c r="BB8" s="190" t="e">
        <f t="shared" ca="1" si="14"/>
        <v>#VALUE!</v>
      </c>
      <c r="BC8" s="190" t="e">
        <f t="shared" ca="1" si="14"/>
        <v>#VALUE!</v>
      </c>
      <c r="BD8" s="190">
        <f t="shared" ca="1" si="14"/>
        <v>30</v>
      </c>
      <c r="BE8" s="190">
        <f t="shared" ca="1" si="14"/>
        <v>30</v>
      </c>
      <c r="BF8" s="190">
        <f t="shared" ca="1" si="14"/>
        <v>30</v>
      </c>
      <c r="BG8" s="190">
        <f t="shared" ca="1" si="14"/>
        <v>5</v>
      </c>
      <c r="BH8" s="190">
        <f t="shared" ca="1" si="14"/>
        <v>5</v>
      </c>
      <c r="BI8" s="190">
        <f t="shared" ca="1" si="14"/>
        <v>0</v>
      </c>
      <c r="BJ8" s="190">
        <f t="shared" ca="1" si="14"/>
        <v>0</v>
      </c>
      <c r="BK8" s="190">
        <f t="shared" ca="1" si="14"/>
        <v>0</v>
      </c>
      <c r="BL8" s="190">
        <f t="shared" ca="1" si="14"/>
        <v>0</v>
      </c>
      <c r="BM8" s="190">
        <f t="shared" ca="1" si="14"/>
        <v>0</v>
      </c>
      <c r="BN8" s="190">
        <f t="shared" ca="1" si="14"/>
        <v>0</v>
      </c>
      <c r="BO8" s="190">
        <f t="shared" ca="1" si="14"/>
        <v>0</v>
      </c>
      <c r="BP8" s="190">
        <f t="shared" ca="1" si="14"/>
        <v>0</v>
      </c>
      <c r="BQ8" s="190">
        <f t="shared" ca="1" si="14"/>
        <v>0</v>
      </c>
      <c r="BR8" s="190">
        <f t="shared" ca="1" si="14"/>
        <v>0</v>
      </c>
      <c r="BS8" s="190">
        <f t="shared" ca="1" si="14"/>
        <v>0</v>
      </c>
      <c r="BT8" s="190">
        <f t="shared" ca="1" si="14"/>
        <v>0</v>
      </c>
      <c r="BU8" s="190">
        <f t="shared" ca="1" si="14"/>
        <v>0</v>
      </c>
      <c r="BV8" s="190">
        <f t="shared" ca="1" si="14"/>
        <v>0</v>
      </c>
      <c r="BW8" s="190">
        <f t="shared" ca="1" si="14"/>
        <v>0</v>
      </c>
      <c r="BX8" s="190">
        <f t="shared" ca="1" si="14"/>
        <v>0</v>
      </c>
      <c r="BY8" s="190">
        <f t="shared" ref="BY8:CX8" ca="1" si="15">SUM(BY3:BY7)</f>
        <v>0</v>
      </c>
      <c r="BZ8" s="190">
        <f t="shared" ca="1" si="15"/>
        <v>0</v>
      </c>
      <c r="CA8" s="190">
        <f t="shared" ca="1" si="15"/>
        <v>0</v>
      </c>
      <c r="CB8" s="190">
        <f t="shared" ca="1" si="15"/>
        <v>0</v>
      </c>
      <c r="CC8" s="190">
        <f t="shared" ca="1" si="15"/>
        <v>0</v>
      </c>
      <c r="CD8" s="190">
        <f t="shared" ca="1" si="15"/>
        <v>0</v>
      </c>
      <c r="CE8" s="190">
        <f t="shared" ca="1" si="15"/>
        <v>0</v>
      </c>
      <c r="CF8" s="190">
        <f t="shared" ca="1" si="15"/>
        <v>0</v>
      </c>
      <c r="CG8" s="190">
        <f t="shared" ca="1" si="15"/>
        <v>0</v>
      </c>
      <c r="CH8" s="190">
        <f t="shared" ca="1" si="15"/>
        <v>0</v>
      </c>
      <c r="CI8" s="190">
        <f t="shared" ca="1" si="15"/>
        <v>0</v>
      </c>
      <c r="CJ8" s="190">
        <f t="shared" ca="1" si="15"/>
        <v>0</v>
      </c>
      <c r="CK8" s="190">
        <f t="shared" ca="1" si="15"/>
        <v>0</v>
      </c>
      <c r="CL8" s="190">
        <f t="shared" ca="1" si="15"/>
        <v>0</v>
      </c>
      <c r="CM8" s="190">
        <f t="shared" ca="1" si="15"/>
        <v>0</v>
      </c>
      <c r="CN8" s="190">
        <f t="shared" ca="1" si="15"/>
        <v>0</v>
      </c>
      <c r="CO8" s="190">
        <f t="shared" ca="1" si="15"/>
        <v>0</v>
      </c>
      <c r="CP8" s="190">
        <f t="shared" ca="1" si="15"/>
        <v>0</v>
      </c>
      <c r="CQ8" s="190">
        <f t="shared" ca="1" si="15"/>
        <v>0</v>
      </c>
      <c r="CR8" s="190">
        <f t="shared" ca="1" si="15"/>
        <v>0</v>
      </c>
      <c r="CS8" s="190">
        <f t="shared" ca="1" si="15"/>
        <v>0</v>
      </c>
      <c r="CT8" s="190">
        <f t="shared" ca="1" si="15"/>
        <v>0</v>
      </c>
      <c r="CU8" s="190">
        <f t="shared" ca="1" si="15"/>
        <v>0</v>
      </c>
      <c r="CV8" s="190">
        <f t="shared" ca="1" si="15"/>
        <v>0</v>
      </c>
      <c r="CW8" s="190">
        <f t="shared" ca="1" si="15"/>
        <v>0</v>
      </c>
      <c r="CX8" s="190">
        <f t="shared" ca="1" si="15"/>
        <v>0</v>
      </c>
      <c r="CY8" s="190">
        <f t="shared" ref="CY8:FJ8" ca="1" si="16">SUM(CY3:CY7)</f>
        <v>0</v>
      </c>
      <c r="CZ8" s="190">
        <f t="shared" ca="1" si="16"/>
        <v>0</v>
      </c>
      <c r="DA8" s="190">
        <f t="shared" ca="1" si="16"/>
        <v>0</v>
      </c>
      <c r="DB8" s="190">
        <f t="shared" ca="1" si="16"/>
        <v>0</v>
      </c>
      <c r="DC8" s="190">
        <f t="shared" ca="1" si="16"/>
        <v>0</v>
      </c>
      <c r="DD8" s="190">
        <f t="shared" ca="1" si="16"/>
        <v>0</v>
      </c>
      <c r="DE8" s="190">
        <f t="shared" ca="1" si="16"/>
        <v>0</v>
      </c>
      <c r="DF8" s="190">
        <f t="shared" ca="1" si="16"/>
        <v>0</v>
      </c>
      <c r="DG8" s="190">
        <f t="shared" ca="1" si="16"/>
        <v>0</v>
      </c>
      <c r="DH8" s="190">
        <f t="shared" ca="1" si="16"/>
        <v>0</v>
      </c>
      <c r="DI8" s="190">
        <f t="shared" ca="1" si="16"/>
        <v>0</v>
      </c>
      <c r="DJ8" s="190">
        <f t="shared" ca="1" si="16"/>
        <v>0</v>
      </c>
      <c r="DK8" s="190">
        <f t="shared" ca="1" si="16"/>
        <v>0</v>
      </c>
      <c r="DL8" s="190">
        <f t="shared" ca="1" si="16"/>
        <v>0</v>
      </c>
      <c r="DM8" s="190">
        <f t="shared" ca="1" si="16"/>
        <v>0</v>
      </c>
      <c r="DN8" s="190">
        <f t="shared" ca="1" si="16"/>
        <v>0</v>
      </c>
      <c r="DO8" s="190">
        <f t="shared" ca="1" si="16"/>
        <v>0</v>
      </c>
      <c r="DP8" s="190">
        <f t="shared" ca="1" si="16"/>
        <v>0</v>
      </c>
      <c r="DQ8" s="190">
        <f t="shared" ca="1" si="16"/>
        <v>0</v>
      </c>
      <c r="DR8" s="190">
        <f t="shared" ca="1" si="16"/>
        <v>0</v>
      </c>
      <c r="DS8" s="190">
        <f t="shared" ca="1" si="16"/>
        <v>0</v>
      </c>
      <c r="DT8" s="190">
        <f t="shared" ca="1" si="16"/>
        <v>0</v>
      </c>
      <c r="DU8" s="190">
        <f t="shared" ca="1" si="16"/>
        <v>0</v>
      </c>
      <c r="DV8" s="190">
        <f t="shared" ca="1" si="16"/>
        <v>0</v>
      </c>
      <c r="DW8" s="190">
        <f t="shared" ca="1" si="16"/>
        <v>0</v>
      </c>
      <c r="DX8" s="190">
        <f t="shared" ca="1" si="16"/>
        <v>0</v>
      </c>
      <c r="DY8" s="190">
        <f t="shared" ca="1" si="16"/>
        <v>0</v>
      </c>
      <c r="DZ8" s="190">
        <f t="shared" ca="1" si="16"/>
        <v>0</v>
      </c>
      <c r="EA8" s="190">
        <f t="shared" ca="1" si="16"/>
        <v>0</v>
      </c>
      <c r="EB8" s="190">
        <f t="shared" ca="1" si="16"/>
        <v>0</v>
      </c>
      <c r="EC8" s="190">
        <f t="shared" ca="1" si="16"/>
        <v>0</v>
      </c>
      <c r="ED8" s="190">
        <f t="shared" ca="1" si="16"/>
        <v>0</v>
      </c>
      <c r="EE8" s="190">
        <f t="shared" ca="1" si="16"/>
        <v>0</v>
      </c>
      <c r="EF8" s="190">
        <f t="shared" ca="1" si="16"/>
        <v>0</v>
      </c>
      <c r="EG8" s="190">
        <f t="shared" ca="1" si="16"/>
        <v>0</v>
      </c>
      <c r="EH8" s="190">
        <f t="shared" ca="1" si="16"/>
        <v>0</v>
      </c>
      <c r="EI8" s="190">
        <f t="shared" ca="1" si="16"/>
        <v>0</v>
      </c>
      <c r="EJ8" s="190">
        <f t="shared" ca="1" si="16"/>
        <v>0</v>
      </c>
      <c r="EK8" s="190">
        <f t="shared" ca="1" si="16"/>
        <v>0</v>
      </c>
      <c r="EL8" s="190">
        <f t="shared" ca="1" si="16"/>
        <v>0</v>
      </c>
      <c r="EM8" s="190">
        <f t="shared" ca="1" si="16"/>
        <v>0</v>
      </c>
      <c r="EN8" s="190">
        <f t="shared" ca="1" si="16"/>
        <v>0</v>
      </c>
      <c r="EO8" s="190">
        <f t="shared" ca="1" si="16"/>
        <v>0</v>
      </c>
      <c r="EP8" s="190">
        <f t="shared" ca="1" si="16"/>
        <v>0</v>
      </c>
      <c r="EQ8" s="190">
        <f t="shared" ca="1" si="16"/>
        <v>0</v>
      </c>
      <c r="ER8" s="190">
        <f t="shared" ca="1" si="16"/>
        <v>0</v>
      </c>
      <c r="ES8" s="190">
        <f t="shared" ca="1" si="16"/>
        <v>0</v>
      </c>
      <c r="ET8" s="190">
        <f t="shared" ca="1" si="16"/>
        <v>0</v>
      </c>
      <c r="EU8" s="190">
        <f t="shared" ca="1" si="16"/>
        <v>0</v>
      </c>
      <c r="EV8" s="190">
        <f t="shared" ca="1" si="16"/>
        <v>0</v>
      </c>
      <c r="EW8" s="190">
        <f t="shared" ca="1" si="16"/>
        <v>0</v>
      </c>
      <c r="EX8" s="190">
        <f t="shared" ca="1" si="16"/>
        <v>0</v>
      </c>
      <c r="EY8" s="190">
        <f t="shared" ca="1" si="16"/>
        <v>0</v>
      </c>
      <c r="EZ8" s="190">
        <f t="shared" ca="1" si="16"/>
        <v>0</v>
      </c>
      <c r="FA8" s="190">
        <f t="shared" ca="1" si="16"/>
        <v>0</v>
      </c>
      <c r="FB8" s="190">
        <f t="shared" ca="1" si="16"/>
        <v>0</v>
      </c>
      <c r="FC8" s="190">
        <f t="shared" ca="1" si="16"/>
        <v>0</v>
      </c>
      <c r="FD8" s="190">
        <f t="shared" ca="1" si="16"/>
        <v>0</v>
      </c>
      <c r="FE8" s="190">
        <f t="shared" ca="1" si="16"/>
        <v>0</v>
      </c>
      <c r="FF8" s="190">
        <f t="shared" ca="1" si="16"/>
        <v>0</v>
      </c>
      <c r="FG8" s="190">
        <f t="shared" ca="1" si="16"/>
        <v>0</v>
      </c>
      <c r="FH8" s="190">
        <f t="shared" ca="1" si="16"/>
        <v>0</v>
      </c>
      <c r="FI8" s="190">
        <f t="shared" ca="1" si="16"/>
        <v>0</v>
      </c>
      <c r="FJ8" s="190">
        <f t="shared" ca="1" si="16"/>
        <v>0</v>
      </c>
      <c r="FK8" s="190">
        <f t="shared" ref="FK8:FR8" ca="1" si="17">SUM(FK3:FK7)</f>
        <v>0</v>
      </c>
      <c r="FL8" s="190">
        <f t="shared" ca="1" si="17"/>
        <v>0</v>
      </c>
      <c r="FM8" s="190">
        <f t="shared" ca="1" si="17"/>
        <v>0</v>
      </c>
      <c r="FN8" s="190">
        <f t="shared" ca="1" si="17"/>
        <v>0</v>
      </c>
      <c r="FO8" s="190">
        <f t="shared" ca="1" si="17"/>
        <v>0</v>
      </c>
      <c r="FP8" s="190">
        <f t="shared" ca="1" si="17"/>
        <v>0</v>
      </c>
      <c r="FQ8" s="190">
        <f t="shared" ca="1" si="17"/>
        <v>0</v>
      </c>
      <c r="FR8" s="190">
        <f t="shared" ca="1" si="17"/>
        <v>0</v>
      </c>
    </row>
    <row r="9" spans="1:178">
      <c r="F9" s="53"/>
      <c r="G9" s="53"/>
      <c r="H9" s="53"/>
      <c r="I9" s="53"/>
      <c r="J9" s="53"/>
      <c r="K9" s="53"/>
      <c r="L9" s="53"/>
      <c r="M9" s="53"/>
      <c r="N9" s="5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5"/>
      <c r="DH9" s="185"/>
      <c r="DI9" s="185"/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5"/>
      <c r="DZ9" s="185"/>
      <c r="EA9" s="185"/>
      <c r="EB9" s="185"/>
      <c r="EC9" s="185"/>
      <c r="ED9" s="185"/>
      <c r="EE9" s="185"/>
      <c r="EF9" s="185"/>
      <c r="EG9" s="185"/>
      <c r="EH9" s="185"/>
      <c r="EI9" s="185"/>
      <c r="EJ9" s="185"/>
      <c r="EK9" s="185"/>
      <c r="EL9" s="185"/>
      <c r="EM9" s="185"/>
      <c r="EN9" s="185"/>
      <c r="EO9" s="185"/>
      <c r="EP9" s="185"/>
      <c r="EQ9" s="185"/>
      <c r="ER9" s="185"/>
      <c r="ES9" s="185"/>
      <c r="ET9" s="185"/>
      <c r="EU9" s="185"/>
      <c r="EV9" s="185"/>
      <c r="EW9" s="185"/>
      <c r="EX9" s="185"/>
      <c r="EY9" s="185"/>
      <c r="EZ9" s="185"/>
      <c r="FA9" s="185"/>
      <c r="FB9" s="185"/>
      <c r="FC9" s="185"/>
      <c r="FD9" s="185"/>
      <c r="FE9" s="185"/>
      <c r="FF9" s="185"/>
      <c r="FG9" s="185"/>
      <c r="FH9" s="185"/>
      <c r="FI9" s="185"/>
      <c r="FJ9" s="185"/>
      <c r="FK9" s="185"/>
      <c r="FL9" s="185"/>
      <c r="FM9" s="185"/>
      <c r="FN9" s="185"/>
      <c r="FO9" s="185"/>
      <c r="FP9" s="185"/>
      <c r="FQ9" s="185"/>
      <c r="FR9" s="185"/>
    </row>
    <row r="10" spans="1:178" ht="27">
      <c r="A10" s="466" t="s">
        <v>70</v>
      </c>
      <c r="B10" s="465">
        <f>IF(LEN('BESS 10B'!F50)=5,'BESS 10B'!F50,(IF('BESS 10B'!F50="Completed"," ",DATEVALUE(RIGHT('BESS 10B'!F50,6)))))</f>
        <v>46245</v>
      </c>
      <c r="C10" s="465">
        <f>IF(LEN('BESS 10B'!G50)=5,'BESS 10B'!G50,(IF('BESS 10B'!G50="Completed"," ",DATEVALUE(RIGHT('BESS 10B'!G50,6)))))</f>
        <v>46250</v>
      </c>
      <c r="D10" s="455">
        <f>IF(LEN('BESS 10B'!H50)=5,'BESS 10B'!H50,(IF('BESS 10B'!H50="Completed"," ",DATEVALUE(RIGHT('BESS 10B'!H50,6)))))</f>
        <v>46253</v>
      </c>
      <c r="E10" s="192" t="s">
        <v>10</v>
      </c>
      <c r="F10" s="129" t="s">
        <v>58</v>
      </c>
      <c r="G10" s="129" t="s">
        <v>86</v>
      </c>
      <c r="H10" s="129" t="s">
        <v>79</v>
      </c>
      <c r="I10" s="129" t="s">
        <v>59</v>
      </c>
      <c r="J10" s="129"/>
      <c r="K10" s="128" t="s">
        <v>80</v>
      </c>
      <c r="L10" s="128" t="s">
        <v>62</v>
      </c>
      <c r="M10" s="130">
        <v>46195</v>
      </c>
      <c r="N10" s="130">
        <v>46196</v>
      </c>
      <c r="O10" s="130">
        <v>46197</v>
      </c>
      <c r="P10" s="130">
        <v>46198</v>
      </c>
      <c r="Q10" s="130">
        <v>46199</v>
      </c>
      <c r="R10" s="130">
        <v>46200</v>
      </c>
      <c r="S10" s="130">
        <v>46201</v>
      </c>
      <c r="T10" s="130">
        <f t="shared" ref="T10:CE10" si="18">S10+1</f>
        <v>46202</v>
      </c>
      <c r="U10" s="130">
        <f t="shared" si="18"/>
        <v>46203</v>
      </c>
      <c r="V10" s="130">
        <f t="shared" si="18"/>
        <v>46204</v>
      </c>
      <c r="W10" s="130">
        <f t="shared" si="18"/>
        <v>46205</v>
      </c>
      <c r="X10" s="130">
        <f t="shared" si="18"/>
        <v>46206</v>
      </c>
      <c r="Y10" s="130">
        <f t="shared" si="18"/>
        <v>46207</v>
      </c>
      <c r="Z10" s="130">
        <f t="shared" si="18"/>
        <v>46208</v>
      </c>
      <c r="AA10" s="130">
        <f t="shared" si="18"/>
        <v>46209</v>
      </c>
      <c r="AB10" s="130">
        <f t="shared" si="18"/>
        <v>46210</v>
      </c>
      <c r="AC10" s="130">
        <f t="shared" si="18"/>
        <v>46211</v>
      </c>
      <c r="AD10" s="130">
        <f t="shared" si="18"/>
        <v>46212</v>
      </c>
      <c r="AE10" s="130">
        <f t="shared" si="18"/>
        <v>46213</v>
      </c>
      <c r="AF10" s="130">
        <f t="shared" si="18"/>
        <v>46214</v>
      </c>
      <c r="AG10" s="130">
        <f t="shared" si="18"/>
        <v>46215</v>
      </c>
      <c r="AH10" s="130">
        <f t="shared" si="18"/>
        <v>46216</v>
      </c>
      <c r="AI10" s="130">
        <f t="shared" si="18"/>
        <v>46217</v>
      </c>
      <c r="AJ10" s="130">
        <f t="shared" si="18"/>
        <v>46218</v>
      </c>
      <c r="AK10" s="130">
        <f t="shared" si="18"/>
        <v>46219</v>
      </c>
      <c r="AL10" s="130">
        <f t="shared" si="18"/>
        <v>46220</v>
      </c>
      <c r="AM10" s="130">
        <f t="shared" si="18"/>
        <v>46221</v>
      </c>
      <c r="AN10" s="130">
        <f t="shared" si="18"/>
        <v>46222</v>
      </c>
      <c r="AO10" s="130">
        <f t="shared" si="18"/>
        <v>46223</v>
      </c>
      <c r="AP10" s="130">
        <f t="shared" si="18"/>
        <v>46224</v>
      </c>
      <c r="AQ10" s="130">
        <f t="shared" si="18"/>
        <v>46225</v>
      </c>
      <c r="AR10" s="130">
        <f t="shared" si="18"/>
        <v>46226</v>
      </c>
      <c r="AS10" s="130">
        <f t="shared" si="18"/>
        <v>46227</v>
      </c>
      <c r="AT10" s="130">
        <f t="shared" si="18"/>
        <v>46228</v>
      </c>
      <c r="AU10" s="130">
        <f t="shared" si="18"/>
        <v>46229</v>
      </c>
      <c r="AV10" s="130">
        <f t="shared" si="18"/>
        <v>46230</v>
      </c>
      <c r="AW10" s="130">
        <f t="shared" si="18"/>
        <v>46231</v>
      </c>
      <c r="AX10" s="130">
        <f t="shared" si="18"/>
        <v>46232</v>
      </c>
      <c r="AY10" s="130">
        <f t="shared" si="18"/>
        <v>46233</v>
      </c>
      <c r="AZ10" s="130">
        <f t="shared" si="18"/>
        <v>46234</v>
      </c>
      <c r="BA10" s="130">
        <f t="shared" si="18"/>
        <v>46235</v>
      </c>
      <c r="BB10" s="130">
        <f t="shared" si="18"/>
        <v>46236</v>
      </c>
      <c r="BC10" s="130">
        <f t="shared" si="18"/>
        <v>46237</v>
      </c>
      <c r="BD10" s="130">
        <f t="shared" si="18"/>
        <v>46238</v>
      </c>
      <c r="BE10" s="130">
        <f t="shared" si="18"/>
        <v>46239</v>
      </c>
      <c r="BF10" s="130">
        <f t="shared" si="18"/>
        <v>46240</v>
      </c>
      <c r="BG10" s="130">
        <f t="shared" si="18"/>
        <v>46241</v>
      </c>
      <c r="BH10" s="130">
        <f t="shared" si="18"/>
        <v>46242</v>
      </c>
      <c r="BI10" s="130">
        <f t="shared" si="18"/>
        <v>46243</v>
      </c>
      <c r="BJ10" s="130">
        <f t="shared" si="18"/>
        <v>46244</v>
      </c>
      <c r="BK10" s="130">
        <f t="shared" si="18"/>
        <v>46245</v>
      </c>
      <c r="BL10" s="130">
        <f t="shared" si="18"/>
        <v>46246</v>
      </c>
      <c r="BM10" s="130">
        <f t="shared" si="18"/>
        <v>46247</v>
      </c>
      <c r="BN10" s="130">
        <f t="shared" si="18"/>
        <v>46248</v>
      </c>
      <c r="BO10" s="130">
        <f t="shared" si="18"/>
        <v>46249</v>
      </c>
      <c r="BP10" s="130">
        <f t="shared" si="18"/>
        <v>46250</v>
      </c>
      <c r="BQ10" s="130">
        <f t="shared" si="18"/>
        <v>46251</v>
      </c>
      <c r="BR10" s="130">
        <f t="shared" si="18"/>
        <v>46252</v>
      </c>
      <c r="BS10" s="130">
        <f t="shared" si="18"/>
        <v>46253</v>
      </c>
      <c r="BT10" s="130">
        <f t="shared" si="18"/>
        <v>46254</v>
      </c>
      <c r="BU10" s="130">
        <f t="shared" si="18"/>
        <v>46255</v>
      </c>
      <c r="BV10" s="130">
        <f t="shared" si="18"/>
        <v>46256</v>
      </c>
      <c r="BW10" s="130">
        <f t="shared" si="18"/>
        <v>46257</v>
      </c>
      <c r="BX10" s="130">
        <f t="shared" si="18"/>
        <v>46258</v>
      </c>
      <c r="BY10" s="130">
        <f t="shared" si="18"/>
        <v>46259</v>
      </c>
      <c r="BZ10" s="130">
        <f t="shared" si="18"/>
        <v>46260</v>
      </c>
      <c r="CA10" s="130">
        <f t="shared" si="18"/>
        <v>46261</v>
      </c>
      <c r="CB10" s="130">
        <f t="shared" si="18"/>
        <v>46262</v>
      </c>
      <c r="CC10" s="130">
        <f t="shared" si="18"/>
        <v>46263</v>
      </c>
      <c r="CD10" s="130">
        <f t="shared" si="18"/>
        <v>46264</v>
      </c>
      <c r="CE10" s="130">
        <f t="shared" si="18"/>
        <v>46265</v>
      </c>
      <c r="CF10" s="130">
        <f t="shared" ref="CF10:CT10" si="19">CE10+1</f>
        <v>46266</v>
      </c>
      <c r="CG10" s="130">
        <f t="shared" si="19"/>
        <v>46267</v>
      </c>
      <c r="CH10" s="130">
        <f t="shared" si="19"/>
        <v>46268</v>
      </c>
      <c r="CI10" s="130">
        <f t="shared" si="19"/>
        <v>46269</v>
      </c>
      <c r="CJ10" s="130">
        <f t="shared" si="19"/>
        <v>46270</v>
      </c>
      <c r="CK10" s="130">
        <f t="shared" si="19"/>
        <v>46271</v>
      </c>
      <c r="CL10" s="130">
        <f t="shared" si="19"/>
        <v>46272</v>
      </c>
      <c r="CM10" s="130">
        <f t="shared" si="19"/>
        <v>46273</v>
      </c>
      <c r="CN10" s="130">
        <f t="shared" si="19"/>
        <v>46274</v>
      </c>
      <c r="CO10" s="130">
        <f t="shared" si="19"/>
        <v>46275</v>
      </c>
      <c r="CP10" s="130">
        <f t="shared" si="19"/>
        <v>46276</v>
      </c>
      <c r="CQ10" s="130">
        <f t="shared" si="19"/>
        <v>46277</v>
      </c>
      <c r="CR10" s="130">
        <f t="shared" si="19"/>
        <v>46278</v>
      </c>
      <c r="CS10" s="130">
        <f t="shared" si="19"/>
        <v>46279</v>
      </c>
      <c r="CT10" s="193">
        <f t="shared" si="19"/>
        <v>46280</v>
      </c>
      <c r="CU10" s="193">
        <f>CT10+1</f>
        <v>46281</v>
      </c>
      <c r="CV10" s="193">
        <f>CU10+1</f>
        <v>46282</v>
      </c>
      <c r="CW10" s="193">
        <f>CV10+1</f>
        <v>46283</v>
      </c>
      <c r="CX10" s="130">
        <f>CW10+1</f>
        <v>46284</v>
      </c>
      <c r="CY10" s="130">
        <f t="shared" ref="CY10:FJ10" si="20">CX10+1</f>
        <v>46285</v>
      </c>
      <c r="CZ10" s="130">
        <f t="shared" si="20"/>
        <v>46286</v>
      </c>
      <c r="DA10" s="130">
        <f t="shared" si="20"/>
        <v>46287</v>
      </c>
      <c r="DB10" s="130">
        <f t="shared" si="20"/>
        <v>46288</v>
      </c>
      <c r="DC10" s="130">
        <f t="shared" si="20"/>
        <v>46289</v>
      </c>
      <c r="DD10" s="130">
        <f t="shared" si="20"/>
        <v>46290</v>
      </c>
      <c r="DE10" s="130">
        <f t="shared" si="20"/>
        <v>46291</v>
      </c>
      <c r="DF10" s="130">
        <f t="shared" si="20"/>
        <v>46292</v>
      </c>
      <c r="DG10" s="130">
        <f t="shared" si="20"/>
        <v>46293</v>
      </c>
      <c r="DH10" s="130">
        <f t="shared" si="20"/>
        <v>46294</v>
      </c>
      <c r="DI10" s="130">
        <f t="shared" si="20"/>
        <v>46295</v>
      </c>
      <c r="DJ10" s="130">
        <f t="shared" si="20"/>
        <v>46296</v>
      </c>
      <c r="DK10" s="130">
        <f t="shared" si="20"/>
        <v>46297</v>
      </c>
      <c r="DL10" s="130">
        <f t="shared" si="20"/>
        <v>46298</v>
      </c>
      <c r="DM10" s="130">
        <f t="shared" si="20"/>
        <v>46299</v>
      </c>
      <c r="DN10" s="130">
        <f t="shared" si="20"/>
        <v>46300</v>
      </c>
      <c r="DO10" s="130">
        <f t="shared" si="20"/>
        <v>46301</v>
      </c>
      <c r="DP10" s="130">
        <f t="shared" si="20"/>
        <v>46302</v>
      </c>
      <c r="DQ10" s="130">
        <f t="shared" si="20"/>
        <v>46303</v>
      </c>
      <c r="DR10" s="130">
        <f t="shared" si="20"/>
        <v>46304</v>
      </c>
      <c r="DS10" s="130">
        <f t="shared" si="20"/>
        <v>46305</v>
      </c>
      <c r="DT10" s="130">
        <f t="shared" si="20"/>
        <v>46306</v>
      </c>
      <c r="DU10" s="130">
        <f t="shared" si="20"/>
        <v>46307</v>
      </c>
      <c r="DV10" s="130">
        <f t="shared" si="20"/>
        <v>46308</v>
      </c>
      <c r="DW10" s="130">
        <f t="shared" si="20"/>
        <v>46309</v>
      </c>
      <c r="DX10" s="130">
        <f t="shared" si="20"/>
        <v>46310</v>
      </c>
      <c r="DY10" s="130">
        <f t="shared" si="20"/>
        <v>46311</v>
      </c>
      <c r="DZ10" s="130">
        <f t="shared" si="20"/>
        <v>46312</v>
      </c>
      <c r="EA10" s="130">
        <f t="shared" si="20"/>
        <v>46313</v>
      </c>
      <c r="EB10" s="130">
        <f t="shared" si="20"/>
        <v>46314</v>
      </c>
      <c r="EC10" s="130">
        <f t="shared" si="20"/>
        <v>46315</v>
      </c>
      <c r="ED10" s="130">
        <f t="shared" si="20"/>
        <v>46316</v>
      </c>
      <c r="EE10" s="130">
        <f t="shared" si="20"/>
        <v>46317</v>
      </c>
      <c r="EF10" s="130">
        <f t="shared" si="20"/>
        <v>46318</v>
      </c>
      <c r="EG10" s="130">
        <f t="shared" si="20"/>
        <v>46319</v>
      </c>
      <c r="EH10" s="130">
        <f t="shared" si="20"/>
        <v>46320</v>
      </c>
      <c r="EI10" s="130">
        <f t="shared" si="20"/>
        <v>46321</v>
      </c>
      <c r="EJ10" s="130">
        <f t="shared" si="20"/>
        <v>46322</v>
      </c>
      <c r="EK10" s="130">
        <f t="shared" si="20"/>
        <v>46323</v>
      </c>
      <c r="EL10" s="130">
        <f t="shared" si="20"/>
        <v>46324</v>
      </c>
      <c r="EM10" s="130">
        <f t="shared" si="20"/>
        <v>46325</v>
      </c>
      <c r="EN10" s="130">
        <f t="shared" si="20"/>
        <v>46326</v>
      </c>
      <c r="EO10" s="130">
        <f t="shared" si="20"/>
        <v>46327</v>
      </c>
      <c r="EP10" s="130">
        <f t="shared" si="20"/>
        <v>46328</v>
      </c>
      <c r="EQ10" s="130">
        <f t="shared" si="20"/>
        <v>46329</v>
      </c>
      <c r="ER10" s="130">
        <f t="shared" si="20"/>
        <v>46330</v>
      </c>
      <c r="ES10" s="130">
        <f t="shared" si="20"/>
        <v>46331</v>
      </c>
      <c r="ET10" s="130">
        <f t="shared" si="20"/>
        <v>46332</v>
      </c>
      <c r="EU10" s="130">
        <f t="shared" si="20"/>
        <v>46333</v>
      </c>
      <c r="EV10" s="130">
        <f t="shared" si="20"/>
        <v>46334</v>
      </c>
      <c r="EW10" s="130">
        <f t="shared" si="20"/>
        <v>46335</v>
      </c>
      <c r="EX10" s="130">
        <f t="shared" si="20"/>
        <v>46336</v>
      </c>
      <c r="EY10" s="130">
        <f t="shared" si="20"/>
        <v>46337</v>
      </c>
      <c r="EZ10" s="130">
        <f t="shared" si="20"/>
        <v>46338</v>
      </c>
      <c r="FA10" s="130">
        <f t="shared" si="20"/>
        <v>46339</v>
      </c>
      <c r="FB10" s="130">
        <f t="shared" si="20"/>
        <v>46340</v>
      </c>
      <c r="FC10" s="130">
        <f t="shared" si="20"/>
        <v>46341</v>
      </c>
      <c r="FD10" s="130">
        <f t="shared" si="20"/>
        <v>46342</v>
      </c>
      <c r="FE10" s="130">
        <f t="shared" si="20"/>
        <v>46343</v>
      </c>
      <c r="FF10" s="130">
        <f t="shared" si="20"/>
        <v>46344</v>
      </c>
      <c r="FG10" s="130">
        <f t="shared" si="20"/>
        <v>46345</v>
      </c>
      <c r="FH10" s="130">
        <f t="shared" si="20"/>
        <v>46346</v>
      </c>
      <c r="FI10" s="130">
        <f t="shared" si="20"/>
        <v>46347</v>
      </c>
      <c r="FJ10" s="130">
        <f t="shared" si="20"/>
        <v>46348</v>
      </c>
      <c r="FK10" s="130">
        <f t="shared" ref="FK10:FR10" si="21">FJ10+1</f>
        <v>46349</v>
      </c>
      <c r="FL10" s="130">
        <f t="shared" si="21"/>
        <v>46350</v>
      </c>
      <c r="FM10" s="130">
        <f t="shared" si="21"/>
        <v>46351</v>
      </c>
      <c r="FN10" s="130">
        <f t="shared" si="21"/>
        <v>46352</v>
      </c>
      <c r="FO10" s="130">
        <f t="shared" si="21"/>
        <v>46353</v>
      </c>
      <c r="FP10" s="130">
        <f t="shared" si="21"/>
        <v>46354</v>
      </c>
      <c r="FQ10" s="130">
        <f t="shared" si="21"/>
        <v>46355</v>
      </c>
      <c r="FR10" s="130">
        <f t="shared" si="21"/>
        <v>46356</v>
      </c>
    </row>
    <row r="11" spans="1:178">
      <c r="A11" s="466"/>
      <c r="B11" s="465"/>
      <c r="C11" s="465"/>
      <c r="D11" s="456"/>
      <c r="E11" s="185" t="s">
        <v>64</v>
      </c>
      <c r="F11" s="66" t="e">
        <f>SUM('BESS 10B'!S63:S70,'BESS 10B'!S72)</f>
        <v>#VALUE!</v>
      </c>
      <c r="G11" s="182">
        <f ca="1">TODAY()</f>
        <v>46233</v>
      </c>
      <c r="H11" s="182">
        <f>MAX('BESS 10B'!O63:O69)</f>
        <v>46236</v>
      </c>
      <c r="I11" s="66">
        <f ca="1">H11-G11</f>
        <v>3</v>
      </c>
      <c r="J11" s="444">
        <f ca="1">K11*1.2</f>
        <v>11.714285714285715</v>
      </c>
      <c r="K11" s="661">
        <f ca="1">AVERAGEIF(M16:CX16,"&gt;0")</f>
        <v>9.7619047619047628</v>
      </c>
      <c r="L11" s="661" t="e">
        <f ca="1">MAX(M16:CX16)</f>
        <v>#VALUE!</v>
      </c>
      <c r="M11" s="65" t="str">
        <f t="shared" ref="M11:AB14" ca="1" si="22">IF(AND(M$2&gt;=$G11,M$2&lt;($G11+$I11)),ROUND($F11/$I11,0),"-")</f>
        <v>-</v>
      </c>
      <c r="N11" s="65" t="str">
        <f t="shared" ca="1" si="22"/>
        <v>-</v>
      </c>
      <c r="O11" s="65" t="str">
        <f t="shared" ca="1" si="22"/>
        <v>-</v>
      </c>
      <c r="P11" s="65" t="str">
        <f t="shared" ca="1" si="22"/>
        <v>-</v>
      </c>
      <c r="Q11" s="65" t="str">
        <f t="shared" ca="1" si="22"/>
        <v>-</v>
      </c>
      <c r="R11" s="65" t="str">
        <f t="shared" ca="1" si="22"/>
        <v>-</v>
      </c>
      <c r="S11" s="65" t="str">
        <f t="shared" ca="1" si="22"/>
        <v>-</v>
      </c>
      <c r="T11" s="65" t="str">
        <f t="shared" ca="1" si="22"/>
        <v>-</v>
      </c>
      <c r="U11" s="65" t="str">
        <f t="shared" ca="1" si="22"/>
        <v>-</v>
      </c>
      <c r="V11" s="65" t="str">
        <f t="shared" ca="1" si="22"/>
        <v>-</v>
      </c>
      <c r="W11" s="65" t="str">
        <f t="shared" ca="1" si="22"/>
        <v>-</v>
      </c>
      <c r="X11" s="65" t="str">
        <f t="shared" ca="1" si="22"/>
        <v>-</v>
      </c>
      <c r="Y11" s="65" t="str">
        <f t="shared" ca="1" si="22"/>
        <v>-</v>
      </c>
      <c r="Z11" s="65" t="str">
        <f t="shared" ca="1" si="22"/>
        <v>-</v>
      </c>
      <c r="AA11" s="65" t="str">
        <f t="shared" ca="1" si="22"/>
        <v>-</v>
      </c>
      <c r="AB11" s="65" t="str">
        <f t="shared" ca="1" si="22"/>
        <v>-</v>
      </c>
      <c r="AC11" s="65" t="str">
        <f t="shared" ref="AC11:AR14" ca="1" si="23">IF(AND(AC$2&gt;=$G11,AC$2&lt;($G11+$I11)),ROUND($F11/$I11,0),"-")</f>
        <v>-</v>
      </c>
      <c r="AD11" s="65" t="str">
        <f t="shared" ca="1" si="23"/>
        <v>-</v>
      </c>
      <c r="AE11" s="65" t="str">
        <f t="shared" ca="1" si="23"/>
        <v>-</v>
      </c>
      <c r="AF11" s="65" t="str">
        <f t="shared" ca="1" si="23"/>
        <v>-</v>
      </c>
      <c r="AG11" s="65" t="str">
        <f t="shared" ca="1" si="23"/>
        <v>-</v>
      </c>
      <c r="AH11" s="65" t="str">
        <f t="shared" ca="1" si="23"/>
        <v>-</v>
      </c>
      <c r="AI11" s="65" t="str">
        <f t="shared" ca="1" si="23"/>
        <v>-</v>
      </c>
      <c r="AJ11" s="65" t="str">
        <f t="shared" ca="1" si="23"/>
        <v>-</v>
      </c>
      <c r="AK11" s="65" t="str">
        <f t="shared" ca="1" si="23"/>
        <v>-</v>
      </c>
      <c r="AL11" s="65" t="str">
        <f t="shared" ca="1" si="23"/>
        <v>-</v>
      </c>
      <c r="AM11" s="65" t="str">
        <f t="shared" ca="1" si="23"/>
        <v>-</v>
      </c>
      <c r="AN11" s="65" t="str">
        <f t="shared" ca="1" si="23"/>
        <v>-</v>
      </c>
      <c r="AO11" s="65" t="str">
        <f t="shared" ca="1" si="23"/>
        <v>-</v>
      </c>
      <c r="AP11" s="65" t="str">
        <f t="shared" ca="1" si="23"/>
        <v>-</v>
      </c>
      <c r="AQ11" s="65" t="str">
        <f t="shared" ca="1" si="23"/>
        <v>-</v>
      </c>
      <c r="AR11" s="65" t="str">
        <f t="shared" ca="1" si="23"/>
        <v>-</v>
      </c>
      <c r="AS11" s="65" t="str">
        <f t="shared" ref="AS11:BH14" ca="1" si="24">IF(AND(AS$2&gt;=$G11,AS$2&lt;($G11+$I11)),ROUND($F11/$I11,0),"-")</f>
        <v>-</v>
      </c>
      <c r="AT11" s="65" t="str">
        <f t="shared" ca="1" si="24"/>
        <v>-</v>
      </c>
      <c r="AU11" s="65" t="str">
        <f t="shared" ca="1" si="24"/>
        <v>-</v>
      </c>
      <c r="AV11" s="65" t="str">
        <f t="shared" ca="1" si="24"/>
        <v>-</v>
      </c>
      <c r="AW11" s="65" t="str">
        <f t="shared" ca="1" si="24"/>
        <v>-</v>
      </c>
      <c r="AX11" s="65" t="str">
        <f t="shared" ca="1" si="24"/>
        <v>-</v>
      </c>
      <c r="AY11" s="65" t="e">
        <f t="shared" ca="1" si="24"/>
        <v>#VALUE!</v>
      </c>
      <c r="AZ11" s="65" t="e">
        <f t="shared" ca="1" si="24"/>
        <v>#VALUE!</v>
      </c>
      <c r="BA11" s="65" t="e">
        <f t="shared" ca="1" si="24"/>
        <v>#VALUE!</v>
      </c>
      <c r="BB11" s="65" t="str">
        <f t="shared" ca="1" si="24"/>
        <v>-</v>
      </c>
      <c r="BC11" s="65" t="str">
        <f t="shared" ca="1" si="24"/>
        <v>-</v>
      </c>
      <c r="BD11" s="65" t="str">
        <f t="shared" ca="1" si="24"/>
        <v>-</v>
      </c>
      <c r="BE11" s="65" t="str">
        <f t="shared" ca="1" si="24"/>
        <v>-</v>
      </c>
      <c r="BF11" s="65" t="str">
        <f t="shared" ca="1" si="24"/>
        <v>-</v>
      </c>
      <c r="BG11" s="65" t="str">
        <f t="shared" ca="1" si="24"/>
        <v>-</v>
      </c>
      <c r="BH11" s="65" t="str">
        <f t="shared" ca="1" si="24"/>
        <v>-</v>
      </c>
      <c r="BI11" s="65" t="str">
        <f t="shared" ref="BI11:BX14" ca="1" si="25">IF(AND(BI$2&gt;=$G11,BI$2&lt;($G11+$I11)),ROUND($F11/$I11,0),"-")</f>
        <v>-</v>
      </c>
      <c r="BJ11" s="65" t="str">
        <f t="shared" ca="1" si="25"/>
        <v>-</v>
      </c>
      <c r="BK11" s="65" t="str">
        <f t="shared" ca="1" si="25"/>
        <v>-</v>
      </c>
      <c r="BL11" s="65" t="str">
        <f t="shared" ca="1" si="25"/>
        <v>-</v>
      </c>
      <c r="BM11" s="65" t="str">
        <f t="shared" ca="1" si="25"/>
        <v>-</v>
      </c>
      <c r="BN11" s="65" t="str">
        <f t="shared" ca="1" si="25"/>
        <v>-</v>
      </c>
      <c r="BO11" s="65" t="str">
        <f t="shared" ca="1" si="25"/>
        <v>-</v>
      </c>
      <c r="BP11" s="65" t="str">
        <f t="shared" ca="1" si="25"/>
        <v>-</v>
      </c>
      <c r="BQ11" s="65" t="str">
        <f t="shared" ca="1" si="25"/>
        <v>-</v>
      </c>
      <c r="BR11" s="65" t="str">
        <f t="shared" ca="1" si="25"/>
        <v>-</v>
      </c>
      <c r="BS11" s="65" t="str">
        <f t="shared" ca="1" si="25"/>
        <v>-</v>
      </c>
      <c r="BT11" s="65" t="str">
        <f t="shared" ca="1" si="25"/>
        <v>-</v>
      </c>
      <c r="BU11" s="65" t="str">
        <f t="shared" ca="1" si="25"/>
        <v>-</v>
      </c>
      <c r="BV11" s="65" t="str">
        <f t="shared" ca="1" si="25"/>
        <v>-</v>
      </c>
      <c r="BW11" s="65" t="str">
        <f t="shared" ca="1" si="25"/>
        <v>-</v>
      </c>
      <c r="BX11" s="65" t="str">
        <f t="shared" ca="1" si="25"/>
        <v>-</v>
      </c>
      <c r="BY11" s="65" t="str">
        <f t="shared" ref="BY11:CN14" ca="1" si="26">IF(AND(BY$2&gt;=$G11,BY$2&lt;($G11+$I11)),ROUND($F11/$I11,0),"-")</f>
        <v>-</v>
      </c>
      <c r="BZ11" s="65" t="str">
        <f t="shared" ca="1" si="26"/>
        <v>-</v>
      </c>
      <c r="CA11" s="65" t="str">
        <f t="shared" ca="1" si="26"/>
        <v>-</v>
      </c>
      <c r="CB11" s="65" t="str">
        <f t="shared" ca="1" si="26"/>
        <v>-</v>
      </c>
      <c r="CC11" s="65" t="str">
        <f t="shared" ca="1" si="26"/>
        <v>-</v>
      </c>
      <c r="CD11" s="65" t="str">
        <f t="shared" ca="1" si="26"/>
        <v>-</v>
      </c>
      <c r="CE11" s="65" t="str">
        <f t="shared" ca="1" si="26"/>
        <v>-</v>
      </c>
      <c r="CF11" s="65" t="str">
        <f t="shared" ca="1" si="26"/>
        <v>-</v>
      </c>
      <c r="CG11" s="65" t="str">
        <f t="shared" ca="1" si="26"/>
        <v>-</v>
      </c>
      <c r="CH11" s="65" t="str">
        <f t="shared" ca="1" si="26"/>
        <v>-</v>
      </c>
      <c r="CI11" s="65" t="str">
        <f t="shared" ca="1" si="26"/>
        <v>-</v>
      </c>
      <c r="CJ11" s="65" t="str">
        <f t="shared" ca="1" si="26"/>
        <v>-</v>
      </c>
      <c r="CK11" s="65" t="str">
        <f t="shared" ca="1" si="26"/>
        <v>-</v>
      </c>
      <c r="CL11" s="65" t="str">
        <f t="shared" ca="1" si="26"/>
        <v>-</v>
      </c>
      <c r="CM11" s="65" t="str">
        <f t="shared" ca="1" si="26"/>
        <v>-</v>
      </c>
      <c r="CN11" s="65" t="str">
        <f t="shared" ca="1" si="26"/>
        <v>-</v>
      </c>
      <c r="CO11" s="65" t="str">
        <f t="shared" ref="CO11:DD14" ca="1" si="27">IF(AND(CO$2&gt;=$G11,CO$2&lt;($G11+$I11)),ROUND($F11/$I11,0),"-")</f>
        <v>-</v>
      </c>
      <c r="CP11" s="65" t="str">
        <f t="shared" ca="1" si="27"/>
        <v>-</v>
      </c>
      <c r="CQ11" s="65" t="str">
        <f t="shared" ca="1" si="27"/>
        <v>-</v>
      </c>
      <c r="CR11" s="65" t="str">
        <f t="shared" ca="1" si="27"/>
        <v>-</v>
      </c>
      <c r="CS11" s="65" t="str">
        <f t="shared" ca="1" si="27"/>
        <v>-</v>
      </c>
      <c r="CT11" s="186" t="str">
        <f t="shared" ca="1" si="27"/>
        <v>-</v>
      </c>
      <c r="CU11" s="186" t="str">
        <f t="shared" ca="1" si="27"/>
        <v>-</v>
      </c>
      <c r="CV11" s="186" t="str">
        <f t="shared" ca="1" si="27"/>
        <v>-</v>
      </c>
      <c r="CW11" s="186" t="str">
        <f t="shared" ca="1" si="27"/>
        <v>-</v>
      </c>
      <c r="CX11" s="65" t="str">
        <f t="shared" ca="1" si="27"/>
        <v>-</v>
      </c>
      <c r="CY11" s="65" t="str">
        <f t="shared" ca="1" si="27"/>
        <v>-</v>
      </c>
      <c r="CZ11" s="65" t="str">
        <f t="shared" ca="1" si="27"/>
        <v>-</v>
      </c>
      <c r="DA11" s="65" t="str">
        <f t="shared" ca="1" si="27"/>
        <v>-</v>
      </c>
      <c r="DB11" s="65" t="str">
        <f t="shared" ca="1" si="27"/>
        <v>-</v>
      </c>
      <c r="DC11" s="65" t="str">
        <f t="shared" ca="1" si="27"/>
        <v>-</v>
      </c>
      <c r="DD11" s="65" t="str">
        <f t="shared" ca="1" si="27"/>
        <v>-</v>
      </c>
      <c r="DE11" s="65" t="str">
        <f t="shared" ref="DE11:FP14" ca="1" si="28">IF(AND(DE$2&gt;=$G11,DE$2&lt;($G11+$I11)),ROUND($F11/$I11,0),"-")</f>
        <v>-</v>
      </c>
      <c r="DF11" s="65" t="str">
        <f t="shared" ca="1" si="28"/>
        <v>-</v>
      </c>
      <c r="DG11" s="65" t="str">
        <f t="shared" ca="1" si="28"/>
        <v>-</v>
      </c>
      <c r="DH11" s="65" t="str">
        <f t="shared" ca="1" si="28"/>
        <v>-</v>
      </c>
      <c r="DI11" s="65" t="str">
        <f t="shared" ca="1" si="28"/>
        <v>-</v>
      </c>
      <c r="DJ11" s="65" t="str">
        <f t="shared" ca="1" si="28"/>
        <v>-</v>
      </c>
      <c r="DK11" s="65" t="str">
        <f t="shared" ca="1" si="28"/>
        <v>-</v>
      </c>
      <c r="DL11" s="65" t="str">
        <f t="shared" ca="1" si="28"/>
        <v>-</v>
      </c>
      <c r="DM11" s="65" t="str">
        <f t="shared" ca="1" si="28"/>
        <v>-</v>
      </c>
      <c r="DN11" s="65" t="str">
        <f t="shared" ca="1" si="28"/>
        <v>-</v>
      </c>
      <c r="DO11" s="65" t="str">
        <f t="shared" ca="1" si="28"/>
        <v>-</v>
      </c>
      <c r="DP11" s="65" t="str">
        <f t="shared" ca="1" si="28"/>
        <v>-</v>
      </c>
      <c r="DQ11" s="65" t="str">
        <f t="shared" ca="1" si="28"/>
        <v>-</v>
      </c>
      <c r="DR11" s="65" t="str">
        <f t="shared" ca="1" si="28"/>
        <v>-</v>
      </c>
      <c r="DS11" s="65" t="str">
        <f t="shared" ca="1" si="28"/>
        <v>-</v>
      </c>
      <c r="DT11" s="65" t="str">
        <f t="shared" ca="1" si="28"/>
        <v>-</v>
      </c>
      <c r="DU11" s="65" t="str">
        <f t="shared" ca="1" si="28"/>
        <v>-</v>
      </c>
      <c r="DV11" s="65" t="str">
        <f t="shared" ca="1" si="28"/>
        <v>-</v>
      </c>
      <c r="DW11" s="65" t="str">
        <f t="shared" ca="1" si="28"/>
        <v>-</v>
      </c>
      <c r="DX11" s="65" t="str">
        <f t="shared" ca="1" si="28"/>
        <v>-</v>
      </c>
      <c r="DY11" s="65" t="str">
        <f t="shared" ca="1" si="28"/>
        <v>-</v>
      </c>
      <c r="DZ11" s="65" t="str">
        <f t="shared" ca="1" si="28"/>
        <v>-</v>
      </c>
      <c r="EA11" s="65" t="str">
        <f t="shared" ca="1" si="28"/>
        <v>-</v>
      </c>
      <c r="EB11" s="65" t="str">
        <f t="shared" ca="1" si="28"/>
        <v>-</v>
      </c>
      <c r="EC11" s="65" t="str">
        <f t="shared" ca="1" si="28"/>
        <v>-</v>
      </c>
      <c r="ED11" s="65" t="str">
        <f t="shared" ca="1" si="28"/>
        <v>-</v>
      </c>
      <c r="EE11" s="65" t="str">
        <f t="shared" ca="1" si="28"/>
        <v>-</v>
      </c>
      <c r="EF11" s="65" t="str">
        <f t="shared" ca="1" si="28"/>
        <v>-</v>
      </c>
      <c r="EG11" s="65" t="str">
        <f t="shared" ca="1" si="28"/>
        <v>-</v>
      </c>
      <c r="EH11" s="65" t="str">
        <f t="shared" ca="1" si="28"/>
        <v>-</v>
      </c>
      <c r="EI11" s="65" t="str">
        <f t="shared" ca="1" si="28"/>
        <v>-</v>
      </c>
      <c r="EJ11" s="65" t="str">
        <f t="shared" ca="1" si="28"/>
        <v>-</v>
      </c>
      <c r="EK11" s="65" t="str">
        <f t="shared" ca="1" si="28"/>
        <v>-</v>
      </c>
      <c r="EL11" s="65" t="str">
        <f t="shared" ca="1" si="28"/>
        <v>-</v>
      </c>
      <c r="EM11" s="65" t="str">
        <f t="shared" ca="1" si="28"/>
        <v>-</v>
      </c>
      <c r="EN11" s="65" t="str">
        <f t="shared" ca="1" si="28"/>
        <v>-</v>
      </c>
      <c r="EO11" s="65" t="str">
        <f t="shared" ca="1" si="28"/>
        <v>-</v>
      </c>
      <c r="EP11" s="65" t="str">
        <f t="shared" ca="1" si="28"/>
        <v>-</v>
      </c>
      <c r="EQ11" s="65" t="str">
        <f t="shared" ca="1" si="28"/>
        <v>-</v>
      </c>
      <c r="ER11" s="65" t="str">
        <f t="shared" ca="1" si="28"/>
        <v>-</v>
      </c>
      <c r="ES11" s="65" t="str">
        <f t="shared" ca="1" si="28"/>
        <v>-</v>
      </c>
      <c r="ET11" s="65" t="str">
        <f t="shared" ca="1" si="28"/>
        <v>-</v>
      </c>
      <c r="EU11" s="65" t="str">
        <f t="shared" ca="1" si="28"/>
        <v>-</v>
      </c>
      <c r="EV11" s="65" t="str">
        <f t="shared" ca="1" si="28"/>
        <v>-</v>
      </c>
      <c r="EW11" s="65" t="str">
        <f t="shared" ca="1" si="28"/>
        <v>-</v>
      </c>
      <c r="EX11" s="65" t="str">
        <f t="shared" ca="1" si="28"/>
        <v>-</v>
      </c>
      <c r="EY11" s="65" t="str">
        <f t="shared" ca="1" si="28"/>
        <v>-</v>
      </c>
      <c r="EZ11" s="65" t="str">
        <f t="shared" ca="1" si="28"/>
        <v>-</v>
      </c>
      <c r="FA11" s="65" t="str">
        <f t="shared" ca="1" si="28"/>
        <v>-</v>
      </c>
      <c r="FB11" s="65" t="str">
        <f t="shared" ca="1" si="28"/>
        <v>-</v>
      </c>
      <c r="FC11" s="65" t="str">
        <f t="shared" ca="1" si="28"/>
        <v>-</v>
      </c>
      <c r="FD11" s="65" t="str">
        <f t="shared" ca="1" si="28"/>
        <v>-</v>
      </c>
      <c r="FE11" s="65" t="str">
        <f t="shared" ca="1" si="28"/>
        <v>-</v>
      </c>
      <c r="FF11" s="65" t="str">
        <f t="shared" ca="1" si="28"/>
        <v>-</v>
      </c>
      <c r="FG11" s="65" t="str">
        <f t="shared" ca="1" si="28"/>
        <v>-</v>
      </c>
      <c r="FH11" s="65" t="str">
        <f t="shared" ca="1" si="28"/>
        <v>-</v>
      </c>
      <c r="FI11" s="65" t="str">
        <f t="shared" ca="1" si="28"/>
        <v>-</v>
      </c>
      <c r="FJ11" s="65" t="str">
        <f t="shared" ca="1" si="28"/>
        <v>-</v>
      </c>
      <c r="FK11" s="65" t="str">
        <f t="shared" ca="1" si="28"/>
        <v>-</v>
      </c>
      <c r="FL11" s="65" t="str">
        <f t="shared" ca="1" si="28"/>
        <v>-</v>
      </c>
      <c r="FM11" s="65" t="str">
        <f t="shared" ca="1" si="28"/>
        <v>-</v>
      </c>
      <c r="FN11" s="65" t="str">
        <f t="shared" ca="1" si="28"/>
        <v>-</v>
      </c>
      <c r="FO11" s="65" t="str">
        <f t="shared" ca="1" si="28"/>
        <v>-</v>
      </c>
      <c r="FP11" s="65" t="str">
        <f t="shared" ca="1" si="28"/>
        <v>-</v>
      </c>
      <c r="FQ11" s="65" t="str">
        <f t="shared" ref="FQ11:FR14" ca="1" si="29">IF(AND(FQ$2&gt;=$G11,FQ$2&lt;($G11+$I11)),ROUND($F11/$I11,0),"-")</f>
        <v>-</v>
      </c>
      <c r="FR11" s="65" t="str">
        <f t="shared" ca="1" si="29"/>
        <v>-</v>
      </c>
    </row>
    <row r="12" spans="1:178">
      <c r="A12" s="466"/>
      <c r="B12" s="465"/>
      <c r="C12" s="465"/>
      <c r="D12" s="456"/>
      <c r="E12" s="185" t="s">
        <v>65</v>
      </c>
      <c r="F12" s="66" t="e">
        <f>SUM('BESS 10B'!S73,'BESS 10B'!S75:S76,'BESS 10B'!S79:S81)</f>
        <v>#VALUE!</v>
      </c>
      <c r="G12" s="182">
        <f ca="1">TODAY()</f>
        <v>46233</v>
      </c>
      <c r="H12" s="182">
        <f>MAX('BESS 10B'!O73,'BESS 10B'!O75:O76,'BESS 10B'!O79:O81)</f>
        <v>46234</v>
      </c>
      <c r="I12" s="66">
        <f t="shared" ref="I12:I14" ca="1" si="30">H12-G12</f>
        <v>1</v>
      </c>
      <c r="J12" s="453"/>
      <c r="K12" s="662"/>
      <c r="L12" s="662"/>
      <c r="M12" s="65" t="str">
        <f t="shared" ca="1" si="22"/>
        <v>-</v>
      </c>
      <c r="N12" s="65" t="str">
        <f t="shared" ca="1" si="22"/>
        <v>-</v>
      </c>
      <c r="O12" s="65" t="str">
        <f t="shared" ca="1" si="22"/>
        <v>-</v>
      </c>
      <c r="P12" s="65" t="str">
        <f t="shared" ca="1" si="22"/>
        <v>-</v>
      </c>
      <c r="Q12" s="65" t="str">
        <f t="shared" ca="1" si="22"/>
        <v>-</v>
      </c>
      <c r="R12" s="65" t="str">
        <f t="shared" ca="1" si="22"/>
        <v>-</v>
      </c>
      <c r="S12" s="65" t="str">
        <f t="shared" ca="1" si="22"/>
        <v>-</v>
      </c>
      <c r="T12" s="65" t="str">
        <f t="shared" ca="1" si="22"/>
        <v>-</v>
      </c>
      <c r="U12" s="65" t="str">
        <f t="shared" ca="1" si="22"/>
        <v>-</v>
      </c>
      <c r="V12" s="65" t="str">
        <f t="shared" ca="1" si="22"/>
        <v>-</v>
      </c>
      <c r="W12" s="65" t="str">
        <f t="shared" ca="1" si="22"/>
        <v>-</v>
      </c>
      <c r="X12" s="65" t="str">
        <f t="shared" ca="1" si="22"/>
        <v>-</v>
      </c>
      <c r="Y12" s="65" t="str">
        <f t="shared" ca="1" si="22"/>
        <v>-</v>
      </c>
      <c r="Z12" s="65" t="str">
        <f t="shared" ca="1" si="22"/>
        <v>-</v>
      </c>
      <c r="AA12" s="65" t="str">
        <f t="shared" ca="1" si="22"/>
        <v>-</v>
      </c>
      <c r="AB12" s="65" t="str">
        <f t="shared" ca="1" si="22"/>
        <v>-</v>
      </c>
      <c r="AC12" s="65" t="str">
        <f t="shared" ca="1" si="23"/>
        <v>-</v>
      </c>
      <c r="AD12" s="65" t="str">
        <f t="shared" ca="1" si="23"/>
        <v>-</v>
      </c>
      <c r="AE12" s="65" t="str">
        <f t="shared" ca="1" si="23"/>
        <v>-</v>
      </c>
      <c r="AF12" s="65" t="str">
        <f t="shared" ca="1" si="23"/>
        <v>-</v>
      </c>
      <c r="AG12" s="65" t="str">
        <f t="shared" ca="1" si="23"/>
        <v>-</v>
      </c>
      <c r="AH12" s="65" t="str">
        <f t="shared" ca="1" si="23"/>
        <v>-</v>
      </c>
      <c r="AI12" s="65" t="str">
        <f t="shared" ca="1" si="23"/>
        <v>-</v>
      </c>
      <c r="AJ12" s="65" t="str">
        <f t="shared" ca="1" si="23"/>
        <v>-</v>
      </c>
      <c r="AK12" s="65" t="str">
        <f t="shared" ca="1" si="23"/>
        <v>-</v>
      </c>
      <c r="AL12" s="65" t="str">
        <f t="shared" ca="1" si="23"/>
        <v>-</v>
      </c>
      <c r="AM12" s="65" t="str">
        <f t="shared" ca="1" si="23"/>
        <v>-</v>
      </c>
      <c r="AN12" s="65" t="str">
        <f t="shared" ca="1" si="23"/>
        <v>-</v>
      </c>
      <c r="AO12" s="65" t="str">
        <f t="shared" ca="1" si="23"/>
        <v>-</v>
      </c>
      <c r="AP12" s="65" t="str">
        <f t="shared" ca="1" si="23"/>
        <v>-</v>
      </c>
      <c r="AQ12" s="65" t="str">
        <f t="shared" ca="1" si="23"/>
        <v>-</v>
      </c>
      <c r="AR12" s="65" t="str">
        <f t="shared" ca="1" si="23"/>
        <v>-</v>
      </c>
      <c r="AS12" s="65" t="str">
        <f t="shared" ca="1" si="24"/>
        <v>-</v>
      </c>
      <c r="AT12" s="65" t="str">
        <f t="shared" ca="1" si="24"/>
        <v>-</v>
      </c>
      <c r="AU12" s="65" t="str">
        <f t="shared" ca="1" si="24"/>
        <v>-</v>
      </c>
      <c r="AV12" s="65" t="str">
        <f t="shared" ca="1" si="24"/>
        <v>-</v>
      </c>
      <c r="AW12" s="65" t="str">
        <f t="shared" ca="1" si="24"/>
        <v>-</v>
      </c>
      <c r="AX12" s="65" t="str">
        <f t="shared" ca="1" si="24"/>
        <v>-</v>
      </c>
      <c r="AY12" s="65" t="e">
        <f t="shared" ca="1" si="24"/>
        <v>#VALUE!</v>
      </c>
      <c r="AZ12" s="65" t="str">
        <f t="shared" ca="1" si="24"/>
        <v>-</v>
      </c>
      <c r="BA12" s="65" t="str">
        <f t="shared" ca="1" si="24"/>
        <v>-</v>
      </c>
      <c r="BB12" s="65" t="str">
        <f t="shared" ca="1" si="24"/>
        <v>-</v>
      </c>
      <c r="BC12" s="65" t="str">
        <f t="shared" ca="1" si="24"/>
        <v>-</v>
      </c>
      <c r="BD12" s="65" t="str">
        <f t="shared" ca="1" si="24"/>
        <v>-</v>
      </c>
      <c r="BE12" s="65" t="str">
        <f t="shared" ca="1" si="24"/>
        <v>-</v>
      </c>
      <c r="BF12" s="65" t="str">
        <f t="shared" ca="1" si="24"/>
        <v>-</v>
      </c>
      <c r="BG12" s="65" t="str">
        <f t="shared" ca="1" si="24"/>
        <v>-</v>
      </c>
      <c r="BH12" s="65" t="str">
        <f t="shared" ca="1" si="24"/>
        <v>-</v>
      </c>
      <c r="BI12" s="65" t="str">
        <f t="shared" ca="1" si="25"/>
        <v>-</v>
      </c>
      <c r="BJ12" s="65" t="str">
        <f t="shared" ca="1" si="25"/>
        <v>-</v>
      </c>
      <c r="BK12" s="65" t="str">
        <f t="shared" ca="1" si="25"/>
        <v>-</v>
      </c>
      <c r="BL12" s="65" t="str">
        <f t="shared" ca="1" si="25"/>
        <v>-</v>
      </c>
      <c r="BM12" s="65" t="str">
        <f t="shared" ca="1" si="25"/>
        <v>-</v>
      </c>
      <c r="BN12" s="65" t="str">
        <f t="shared" ca="1" si="25"/>
        <v>-</v>
      </c>
      <c r="BO12" s="65" t="str">
        <f t="shared" ca="1" si="25"/>
        <v>-</v>
      </c>
      <c r="BP12" s="65" t="str">
        <f t="shared" ca="1" si="25"/>
        <v>-</v>
      </c>
      <c r="BQ12" s="65" t="str">
        <f t="shared" ca="1" si="25"/>
        <v>-</v>
      </c>
      <c r="BR12" s="65" t="str">
        <f t="shared" ca="1" si="25"/>
        <v>-</v>
      </c>
      <c r="BS12" s="65" t="str">
        <f t="shared" ca="1" si="25"/>
        <v>-</v>
      </c>
      <c r="BT12" s="65" t="str">
        <f t="shared" ca="1" si="25"/>
        <v>-</v>
      </c>
      <c r="BU12" s="65" t="str">
        <f t="shared" ca="1" si="25"/>
        <v>-</v>
      </c>
      <c r="BV12" s="65" t="str">
        <f t="shared" ca="1" si="25"/>
        <v>-</v>
      </c>
      <c r="BW12" s="65" t="str">
        <f t="shared" ca="1" si="25"/>
        <v>-</v>
      </c>
      <c r="BX12" s="65" t="str">
        <f t="shared" ca="1" si="25"/>
        <v>-</v>
      </c>
      <c r="BY12" s="65" t="str">
        <f t="shared" ca="1" si="26"/>
        <v>-</v>
      </c>
      <c r="BZ12" s="65" t="str">
        <f t="shared" ca="1" si="26"/>
        <v>-</v>
      </c>
      <c r="CA12" s="65" t="str">
        <f t="shared" ca="1" si="26"/>
        <v>-</v>
      </c>
      <c r="CB12" s="65" t="str">
        <f t="shared" ca="1" si="26"/>
        <v>-</v>
      </c>
      <c r="CC12" s="65" t="str">
        <f t="shared" ca="1" si="26"/>
        <v>-</v>
      </c>
      <c r="CD12" s="65" t="str">
        <f t="shared" ca="1" si="26"/>
        <v>-</v>
      </c>
      <c r="CE12" s="65" t="str">
        <f t="shared" ca="1" si="26"/>
        <v>-</v>
      </c>
      <c r="CF12" s="65" t="str">
        <f t="shared" ca="1" si="26"/>
        <v>-</v>
      </c>
      <c r="CG12" s="65" t="str">
        <f t="shared" ca="1" si="26"/>
        <v>-</v>
      </c>
      <c r="CH12" s="65" t="str">
        <f t="shared" ca="1" si="26"/>
        <v>-</v>
      </c>
      <c r="CI12" s="65" t="str">
        <f t="shared" ca="1" si="26"/>
        <v>-</v>
      </c>
      <c r="CJ12" s="65" t="str">
        <f t="shared" ca="1" si="26"/>
        <v>-</v>
      </c>
      <c r="CK12" s="65" t="str">
        <f t="shared" ca="1" si="26"/>
        <v>-</v>
      </c>
      <c r="CL12" s="65" t="str">
        <f t="shared" ca="1" si="26"/>
        <v>-</v>
      </c>
      <c r="CM12" s="65" t="str">
        <f t="shared" ca="1" si="26"/>
        <v>-</v>
      </c>
      <c r="CN12" s="65" t="str">
        <f t="shared" ca="1" si="26"/>
        <v>-</v>
      </c>
      <c r="CO12" s="65" t="str">
        <f t="shared" ca="1" si="27"/>
        <v>-</v>
      </c>
      <c r="CP12" s="65" t="str">
        <f t="shared" ca="1" si="27"/>
        <v>-</v>
      </c>
      <c r="CQ12" s="65" t="str">
        <f t="shared" ca="1" si="27"/>
        <v>-</v>
      </c>
      <c r="CR12" s="65" t="str">
        <f t="shared" ca="1" si="27"/>
        <v>-</v>
      </c>
      <c r="CS12" s="65" t="str">
        <f t="shared" ca="1" si="27"/>
        <v>-</v>
      </c>
      <c r="CT12" s="186" t="str">
        <f t="shared" ca="1" si="27"/>
        <v>-</v>
      </c>
      <c r="CU12" s="186" t="str">
        <f t="shared" ca="1" si="27"/>
        <v>-</v>
      </c>
      <c r="CV12" s="186" t="str">
        <f t="shared" ca="1" si="27"/>
        <v>-</v>
      </c>
      <c r="CW12" s="186" t="str">
        <f t="shared" ca="1" si="27"/>
        <v>-</v>
      </c>
      <c r="CX12" s="65" t="str">
        <f t="shared" ca="1" si="27"/>
        <v>-</v>
      </c>
      <c r="CY12" s="65" t="str">
        <f t="shared" ref="CY12:FJ14" ca="1" si="31">IF(AND(CY$2&gt;=$G12,CY$2&lt;($G12+$I12)),ROUND($F12/$I12,0),"-")</f>
        <v>-</v>
      </c>
      <c r="CZ12" s="65" t="str">
        <f t="shared" ca="1" si="31"/>
        <v>-</v>
      </c>
      <c r="DA12" s="65" t="str">
        <f t="shared" ca="1" si="31"/>
        <v>-</v>
      </c>
      <c r="DB12" s="65" t="str">
        <f t="shared" ca="1" si="31"/>
        <v>-</v>
      </c>
      <c r="DC12" s="65" t="str">
        <f t="shared" ca="1" si="31"/>
        <v>-</v>
      </c>
      <c r="DD12" s="65" t="str">
        <f t="shared" ca="1" si="31"/>
        <v>-</v>
      </c>
      <c r="DE12" s="65" t="str">
        <f t="shared" ca="1" si="31"/>
        <v>-</v>
      </c>
      <c r="DF12" s="65" t="str">
        <f t="shared" ca="1" si="31"/>
        <v>-</v>
      </c>
      <c r="DG12" s="65" t="str">
        <f t="shared" ca="1" si="31"/>
        <v>-</v>
      </c>
      <c r="DH12" s="65" t="str">
        <f t="shared" ca="1" si="31"/>
        <v>-</v>
      </c>
      <c r="DI12" s="65" t="str">
        <f t="shared" ca="1" si="31"/>
        <v>-</v>
      </c>
      <c r="DJ12" s="65" t="str">
        <f t="shared" ca="1" si="31"/>
        <v>-</v>
      </c>
      <c r="DK12" s="65" t="str">
        <f t="shared" ca="1" si="31"/>
        <v>-</v>
      </c>
      <c r="DL12" s="65" t="str">
        <f t="shared" ca="1" si="31"/>
        <v>-</v>
      </c>
      <c r="DM12" s="65" t="str">
        <f t="shared" ca="1" si="31"/>
        <v>-</v>
      </c>
      <c r="DN12" s="65" t="str">
        <f t="shared" ca="1" si="31"/>
        <v>-</v>
      </c>
      <c r="DO12" s="65" t="str">
        <f t="shared" ca="1" si="31"/>
        <v>-</v>
      </c>
      <c r="DP12" s="65" t="str">
        <f t="shared" ca="1" si="31"/>
        <v>-</v>
      </c>
      <c r="DQ12" s="65" t="str">
        <f t="shared" ca="1" si="31"/>
        <v>-</v>
      </c>
      <c r="DR12" s="65" t="str">
        <f t="shared" ca="1" si="31"/>
        <v>-</v>
      </c>
      <c r="DS12" s="65" t="str">
        <f t="shared" ca="1" si="31"/>
        <v>-</v>
      </c>
      <c r="DT12" s="65" t="str">
        <f t="shared" ca="1" si="31"/>
        <v>-</v>
      </c>
      <c r="DU12" s="65" t="str">
        <f t="shared" ca="1" si="31"/>
        <v>-</v>
      </c>
      <c r="DV12" s="65" t="str">
        <f t="shared" ca="1" si="31"/>
        <v>-</v>
      </c>
      <c r="DW12" s="65" t="str">
        <f t="shared" ca="1" si="31"/>
        <v>-</v>
      </c>
      <c r="DX12" s="65" t="str">
        <f t="shared" ca="1" si="31"/>
        <v>-</v>
      </c>
      <c r="DY12" s="65" t="str">
        <f t="shared" ca="1" si="31"/>
        <v>-</v>
      </c>
      <c r="DZ12" s="65" t="str">
        <f t="shared" ca="1" si="31"/>
        <v>-</v>
      </c>
      <c r="EA12" s="65" t="str">
        <f t="shared" ca="1" si="31"/>
        <v>-</v>
      </c>
      <c r="EB12" s="65" t="str">
        <f t="shared" ca="1" si="31"/>
        <v>-</v>
      </c>
      <c r="EC12" s="65" t="str">
        <f t="shared" ca="1" si="31"/>
        <v>-</v>
      </c>
      <c r="ED12" s="65" t="str">
        <f t="shared" ca="1" si="31"/>
        <v>-</v>
      </c>
      <c r="EE12" s="65" t="str">
        <f t="shared" ca="1" si="31"/>
        <v>-</v>
      </c>
      <c r="EF12" s="65" t="str">
        <f t="shared" ca="1" si="31"/>
        <v>-</v>
      </c>
      <c r="EG12" s="65" t="str">
        <f t="shared" ca="1" si="31"/>
        <v>-</v>
      </c>
      <c r="EH12" s="65" t="str">
        <f t="shared" ca="1" si="31"/>
        <v>-</v>
      </c>
      <c r="EI12" s="65" t="str">
        <f t="shared" ca="1" si="31"/>
        <v>-</v>
      </c>
      <c r="EJ12" s="65" t="str">
        <f t="shared" ca="1" si="31"/>
        <v>-</v>
      </c>
      <c r="EK12" s="65" t="str">
        <f t="shared" ca="1" si="31"/>
        <v>-</v>
      </c>
      <c r="EL12" s="65" t="str">
        <f t="shared" ca="1" si="31"/>
        <v>-</v>
      </c>
      <c r="EM12" s="65" t="str">
        <f t="shared" ca="1" si="31"/>
        <v>-</v>
      </c>
      <c r="EN12" s="65" t="str">
        <f t="shared" ca="1" si="31"/>
        <v>-</v>
      </c>
      <c r="EO12" s="65" t="str">
        <f t="shared" ca="1" si="31"/>
        <v>-</v>
      </c>
      <c r="EP12" s="65" t="str">
        <f t="shared" ca="1" si="31"/>
        <v>-</v>
      </c>
      <c r="EQ12" s="65" t="str">
        <f t="shared" ca="1" si="31"/>
        <v>-</v>
      </c>
      <c r="ER12" s="65" t="str">
        <f t="shared" ca="1" si="31"/>
        <v>-</v>
      </c>
      <c r="ES12" s="65" t="str">
        <f t="shared" ca="1" si="31"/>
        <v>-</v>
      </c>
      <c r="ET12" s="65" t="str">
        <f t="shared" ca="1" si="31"/>
        <v>-</v>
      </c>
      <c r="EU12" s="65" t="str">
        <f t="shared" ca="1" si="31"/>
        <v>-</v>
      </c>
      <c r="EV12" s="65" t="str">
        <f t="shared" ca="1" si="31"/>
        <v>-</v>
      </c>
      <c r="EW12" s="65" t="str">
        <f t="shared" ca="1" si="31"/>
        <v>-</v>
      </c>
      <c r="EX12" s="65" t="str">
        <f t="shared" ca="1" si="31"/>
        <v>-</v>
      </c>
      <c r="EY12" s="65" t="str">
        <f t="shared" ca="1" si="31"/>
        <v>-</v>
      </c>
      <c r="EZ12" s="65" t="str">
        <f t="shared" ca="1" si="31"/>
        <v>-</v>
      </c>
      <c r="FA12" s="65" t="str">
        <f t="shared" ca="1" si="31"/>
        <v>-</v>
      </c>
      <c r="FB12" s="65" t="str">
        <f t="shared" ca="1" si="31"/>
        <v>-</v>
      </c>
      <c r="FC12" s="65" t="str">
        <f t="shared" ca="1" si="31"/>
        <v>-</v>
      </c>
      <c r="FD12" s="65" t="str">
        <f t="shared" ca="1" si="31"/>
        <v>-</v>
      </c>
      <c r="FE12" s="65" t="str">
        <f t="shared" ca="1" si="31"/>
        <v>-</v>
      </c>
      <c r="FF12" s="65" t="str">
        <f t="shared" ca="1" si="31"/>
        <v>-</v>
      </c>
      <c r="FG12" s="65" t="str">
        <f t="shared" ca="1" si="31"/>
        <v>-</v>
      </c>
      <c r="FH12" s="65" t="str">
        <f t="shared" ca="1" si="31"/>
        <v>-</v>
      </c>
      <c r="FI12" s="65" t="str">
        <f t="shared" ca="1" si="31"/>
        <v>-</v>
      </c>
      <c r="FJ12" s="65" t="str">
        <f t="shared" ca="1" si="31"/>
        <v>-</v>
      </c>
      <c r="FK12" s="65" t="str">
        <f t="shared" ca="1" si="28"/>
        <v>-</v>
      </c>
      <c r="FL12" s="65" t="str">
        <f t="shared" ca="1" si="28"/>
        <v>-</v>
      </c>
      <c r="FM12" s="65" t="str">
        <f t="shared" ca="1" si="28"/>
        <v>-</v>
      </c>
      <c r="FN12" s="65" t="str">
        <f t="shared" ca="1" si="28"/>
        <v>-</v>
      </c>
      <c r="FO12" s="65" t="str">
        <f t="shared" ca="1" si="28"/>
        <v>-</v>
      </c>
      <c r="FP12" s="65" t="str">
        <f t="shared" ca="1" si="28"/>
        <v>-</v>
      </c>
      <c r="FQ12" s="65" t="str">
        <f t="shared" ca="1" si="29"/>
        <v>-</v>
      </c>
      <c r="FR12" s="65" t="str">
        <f t="shared" ca="1" si="29"/>
        <v>-</v>
      </c>
    </row>
    <row r="13" spans="1:178">
      <c r="A13" s="466"/>
      <c r="B13" s="465"/>
      <c r="C13" s="465"/>
      <c r="D13" s="456"/>
      <c r="E13" s="185" t="s">
        <v>66</v>
      </c>
      <c r="F13" s="66" t="e">
        <f>SUM('BESS 10B'!S74,'BESS 10B'!S77:S78,'BESS 10B'!S82:S83)</f>
        <v>#VALUE!</v>
      </c>
      <c r="G13" s="182">
        <f ca="1">TODAY()</f>
        <v>46233</v>
      </c>
      <c r="H13" s="182">
        <f>MAX('BESS 10B'!O74,'BESS 10B'!O77:O78,'BESS 10B'!O82:O83)</f>
        <v>46239</v>
      </c>
      <c r="I13" s="66">
        <f t="shared" ca="1" si="30"/>
        <v>6</v>
      </c>
      <c r="J13" s="453"/>
      <c r="K13" s="662"/>
      <c r="L13" s="662"/>
      <c r="M13" s="65" t="str">
        <f t="shared" ca="1" si="22"/>
        <v>-</v>
      </c>
      <c r="N13" s="65" t="str">
        <f t="shared" ca="1" si="22"/>
        <v>-</v>
      </c>
      <c r="O13" s="65" t="str">
        <f t="shared" ca="1" si="22"/>
        <v>-</v>
      </c>
      <c r="P13" s="65" t="str">
        <f t="shared" ca="1" si="22"/>
        <v>-</v>
      </c>
      <c r="Q13" s="65" t="str">
        <f t="shared" ca="1" si="22"/>
        <v>-</v>
      </c>
      <c r="R13" s="65" t="str">
        <f t="shared" ca="1" si="22"/>
        <v>-</v>
      </c>
      <c r="S13" s="65" t="str">
        <f t="shared" ca="1" si="22"/>
        <v>-</v>
      </c>
      <c r="T13" s="65" t="str">
        <f t="shared" ca="1" si="22"/>
        <v>-</v>
      </c>
      <c r="U13" s="65" t="str">
        <f t="shared" ca="1" si="22"/>
        <v>-</v>
      </c>
      <c r="V13" s="65" t="str">
        <f t="shared" ca="1" si="22"/>
        <v>-</v>
      </c>
      <c r="W13" s="65" t="str">
        <f t="shared" ca="1" si="22"/>
        <v>-</v>
      </c>
      <c r="X13" s="65" t="str">
        <f t="shared" ca="1" si="22"/>
        <v>-</v>
      </c>
      <c r="Y13" s="65" t="str">
        <f t="shared" ca="1" si="22"/>
        <v>-</v>
      </c>
      <c r="Z13" s="65" t="str">
        <f t="shared" ca="1" si="22"/>
        <v>-</v>
      </c>
      <c r="AA13" s="65" t="str">
        <f t="shared" ca="1" si="22"/>
        <v>-</v>
      </c>
      <c r="AB13" s="65" t="str">
        <f t="shared" ca="1" si="22"/>
        <v>-</v>
      </c>
      <c r="AC13" s="65" t="str">
        <f t="shared" ca="1" si="23"/>
        <v>-</v>
      </c>
      <c r="AD13" s="65" t="str">
        <f t="shared" ca="1" si="23"/>
        <v>-</v>
      </c>
      <c r="AE13" s="65" t="str">
        <f t="shared" ca="1" si="23"/>
        <v>-</v>
      </c>
      <c r="AF13" s="65" t="str">
        <f t="shared" ca="1" si="23"/>
        <v>-</v>
      </c>
      <c r="AG13" s="65" t="str">
        <f t="shared" ca="1" si="23"/>
        <v>-</v>
      </c>
      <c r="AH13" s="65" t="str">
        <f t="shared" ca="1" si="23"/>
        <v>-</v>
      </c>
      <c r="AI13" s="65" t="str">
        <f t="shared" ca="1" si="23"/>
        <v>-</v>
      </c>
      <c r="AJ13" s="65" t="str">
        <f t="shared" ca="1" si="23"/>
        <v>-</v>
      </c>
      <c r="AK13" s="65" t="str">
        <f t="shared" ca="1" si="23"/>
        <v>-</v>
      </c>
      <c r="AL13" s="65" t="str">
        <f t="shared" ca="1" si="23"/>
        <v>-</v>
      </c>
      <c r="AM13" s="65" t="str">
        <f t="shared" ca="1" si="23"/>
        <v>-</v>
      </c>
      <c r="AN13" s="65" t="str">
        <f t="shared" ca="1" si="23"/>
        <v>-</v>
      </c>
      <c r="AO13" s="65" t="str">
        <f t="shared" ca="1" si="23"/>
        <v>-</v>
      </c>
      <c r="AP13" s="65" t="str">
        <f t="shared" ca="1" si="23"/>
        <v>-</v>
      </c>
      <c r="AQ13" s="65" t="str">
        <f t="shared" ca="1" si="23"/>
        <v>-</v>
      </c>
      <c r="AR13" s="65" t="str">
        <f t="shared" ca="1" si="23"/>
        <v>-</v>
      </c>
      <c r="AS13" s="65" t="str">
        <f t="shared" ca="1" si="24"/>
        <v>-</v>
      </c>
      <c r="AT13" s="65" t="str">
        <f t="shared" ca="1" si="24"/>
        <v>-</v>
      </c>
      <c r="AU13" s="65" t="str">
        <f t="shared" ca="1" si="24"/>
        <v>-</v>
      </c>
      <c r="AV13" s="65" t="str">
        <f t="shared" ca="1" si="24"/>
        <v>-</v>
      </c>
      <c r="AW13" s="65" t="str">
        <f t="shared" ca="1" si="24"/>
        <v>-</v>
      </c>
      <c r="AX13" s="65" t="str">
        <f t="shared" ca="1" si="24"/>
        <v>-</v>
      </c>
      <c r="AY13" s="65" t="e">
        <f t="shared" ca="1" si="24"/>
        <v>#VALUE!</v>
      </c>
      <c r="AZ13" s="65" t="e">
        <f t="shared" ca="1" si="24"/>
        <v>#VALUE!</v>
      </c>
      <c r="BA13" s="65" t="e">
        <f t="shared" ca="1" si="24"/>
        <v>#VALUE!</v>
      </c>
      <c r="BB13" s="65" t="e">
        <f t="shared" ca="1" si="24"/>
        <v>#VALUE!</v>
      </c>
      <c r="BC13" s="65" t="e">
        <f t="shared" ca="1" si="24"/>
        <v>#VALUE!</v>
      </c>
      <c r="BD13" s="65" t="e">
        <f t="shared" ca="1" si="24"/>
        <v>#VALUE!</v>
      </c>
      <c r="BE13" s="65" t="str">
        <f t="shared" ca="1" si="24"/>
        <v>-</v>
      </c>
      <c r="BF13" s="65" t="str">
        <f t="shared" ca="1" si="24"/>
        <v>-</v>
      </c>
      <c r="BG13" s="65" t="str">
        <f t="shared" ca="1" si="24"/>
        <v>-</v>
      </c>
      <c r="BH13" s="65" t="str">
        <f t="shared" ca="1" si="24"/>
        <v>-</v>
      </c>
      <c r="BI13" s="65" t="str">
        <f t="shared" ca="1" si="25"/>
        <v>-</v>
      </c>
      <c r="BJ13" s="65" t="str">
        <f t="shared" ca="1" si="25"/>
        <v>-</v>
      </c>
      <c r="BK13" s="65" t="str">
        <f t="shared" ca="1" si="25"/>
        <v>-</v>
      </c>
      <c r="BL13" s="65" t="str">
        <f t="shared" ca="1" si="25"/>
        <v>-</v>
      </c>
      <c r="BM13" s="65" t="str">
        <f t="shared" ca="1" si="25"/>
        <v>-</v>
      </c>
      <c r="BN13" s="65" t="str">
        <f t="shared" ca="1" si="25"/>
        <v>-</v>
      </c>
      <c r="BO13" s="65" t="str">
        <f t="shared" ca="1" si="25"/>
        <v>-</v>
      </c>
      <c r="BP13" s="65" t="str">
        <f t="shared" ca="1" si="25"/>
        <v>-</v>
      </c>
      <c r="BQ13" s="65" t="str">
        <f t="shared" ca="1" si="25"/>
        <v>-</v>
      </c>
      <c r="BR13" s="65" t="str">
        <f t="shared" ca="1" si="25"/>
        <v>-</v>
      </c>
      <c r="BS13" s="65" t="str">
        <f t="shared" ca="1" si="25"/>
        <v>-</v>
      </c>
      <c r="BT13" s="65" t="str">
        <f t="shared" ca="1" si="25"/>
        <v>-</v>
      </c>
      <c r="BU13" s="65" t="str">
        <f t="shared" ca="1" si="25"/>
        <v>-</v>
      </c>
      <c r="BV13" s="65" t="str">
        <f t="shared" ca="1" si="25"/>
        <v>-</v>
      </c>
      <c r="BW13" s="65" t="str">
        <f t="shared" ca="1" si="25"/>
        <v>-</v>
      </c>
      <c r="BX13" s="65" t="str">
        <f t="shared" ca="1" si="25"/>
        <v>-</v>
      </c>
      <c r="BY13" s="65" t="str">
        <f t="shared" ca="1" si="26"/>
        <v>-</v>
      </c>
      <c r="BZ13" s="65" t="str">
        <f t="shared" ca="1" si="26"/>
        <v>-</v>
      </c>
      <c r="CA13" s="65" t="str">
        <f t="shared" ca="1" si="26"/>
        <v>-</v>
      </c>
      <c r="CB13" s="65" t="str">
        <f t="shared" ca="1" si="26"/>
        <v>-</v>
      </c>
      <c r="CC13" s="65" t="str">
        <f t="shared" ca="1" si="26"/>
        <v>-</v>
      </c>
      <c r="CD13" s="65" t="str">
        <f t="shared" ca="1" si="26"/>
        <v>-</v>
      </c>
      <c r="CE13" s="65" t="str">
        <f t="shared" ca="1" si="26"/>
        <v>-</v>
      </c>
      <c r="CF13" s="65" t="str">
        <f t="shared" ca="1" si="26"/>
        <v>-</v>
      </c>
      <c r="CG13" s="65" t="str">
        <f t="shared" ca="1" si="26"/>
        <v>-</v>
      </c>
      <c r="CH13" s="65" t="str">
        <f t="shared" ca="1" si="26"/>
        <v>-</v>
      </c>
      <c r="CI13" s="65" t="str">
        <f t="shared" ca="1" si="26"/>
        <v>-</v>
      </c>
      <c r="CJ13" s="65" t="str">
        <f t="shared" ca="1" si="26"/>
        <v>-</v>
      </c>
      <c r="CK13" s="65" t="str">
        <f t="shared" ca="1" si="26"/>
        <v>-</v>
      </c>
      <c r="CL13" s="65" t="str">
        <f t="shared" ca="1" si="26"/>
        <v>-</v>
      </c>
      <c r="CM13" s="65" t="str">
        <f t="shared" ca="1" si="26"/>
        <v>-</v>
      </c>
      <c r="CN13" s="65" t="str">
        <f t="shared" ca="1" si="26"/>
        <v>-</v>
      </c>
      <c r="CO13" s="65" t="str">
        <f t="shared" ca="1" si="27"/>
        <v>-</v>
      </c>
      <c r="CP13" s="65" t="str">
        <f t="shared" ca="1" si="27"/>
        <v>-</v>
      </c>
      <c r="CQ13" s="65" t="str">
        <f t="shared" ca="1" si="27"/>
        <v>-</v>
      </c>
      <c r="CR13" s="65" t="str">
        <f t="shared" ca="1" si="27"/>
        <v>-</v>
      </c>
      <c r="CS13" s="65" t="str">
        <f t="shared" ca="1" si="27"/>
        <v>-</v>
      </c>
      <c r="CT13" s="186" t="str">
        <f t="shared" ca="1" si="27"/>
        <v>-</v>
      </c>
      <c r="CU13" s="186" t="str">
        <f t="shared" ca="1" si="27"/>
        <v>-</v>
      </c>
      <c r="CV13" s="186" t="str">
        <f t="shared" ca="1" si="27"/>
        <v>-</v>
      </c>
      <c r="CW13" s="186" t="str">
        <f t="shared" ca="1" si="27"/>
        <v>-</v>
      </c>
      <c r="CX13" s="65" t="str">
        <f t="shared" ca="1" si="27"/>
        <v>-</v>
      </c>
      <c r="CY13" s="65" t="str">
        <f t="shared" ca="1" si="31"/>
        <v>-</v>
      </c>
      <c r="CZ13" s="65" t="str">
        <f t="shared" ca="1" si="31"/>
        <v>-</v>
      </c>
      <c r="DA13" s="65" t="str">
        <f t="shared" ca="1" si="31"/>
        <v>-</v>
      </c>
      <c r="DB13" s="65" t="str">
        <f t="shared" ca="1" si="31"/>
        <v>-</v>
      </c>
      <c r="DC13" s="65" t="str">
        <f t="shared" ca="1" si="31"/>
        <v>-</v>
      </c>
      <c r="DD13" s="65" t="str">
        <f t="shared" ca="1" si="31"/>
        <v>-</v>
      </c>
      <c r="DE13" s="65" t="str">
        <f t="shared" ca="1" si="31"/>
        <v>-</v>
      </c>
      <c r="DF13" s="65" t="str">
        <f t="shared" ca="1" si="31"/>
        <v>-</v>
      </c>
      <c r="DG13" s="65" t="str">
        <f t="shared" ca="1" si="31"/>
        <v>-</v>
      </c>
      <c r="DH13" s="65" t="str">
        <f t="shared" ca="1" si="31"/>
        <v>-</v>
      </c>
      <c r="DI13" s="65" t="str">
        <f t="shared" ca="1" si="31"/>
        <v>-</v>
      </c>
      <c r="DJ13" s="65" t="str">
        <f t="shared" ca="1" si="31"/>
        <v>-</v>
      </c>
      <c r="DK13" s="65" t="str">
        <f t="shared" ca="1" si="31"/>
        <v>-</v>
      </c>
      <c r="DL13" s="65" t="str">
        <f t="shared" ca="1" si="31"/>
        <v>-</v>
      </c>
      <c r="DM13" s="65" t="str">
        <f t="shared" ca="1" si="31"/>
        <v>-</v>
      </c>
      <c r="DN13" s="65" t="str">
        <f t="shared" ca="1" si="31"/>
        <v>-</v>
      </c>
      <c r="DO13" s="65" t="str">
        <f t="shared" ca="1" si="31"/>
        <v>-</v>
      </c>
      <c r="DP13" s="65" t="str">
        <f t="shared" ca="1" si="31"/>
        <v>-</v>
      </c>
      <c r="DQ13" s="65" t="str">
        <f t="shared" ca="1" si="31"/>
        <v>-</v>
      </c>
      <c r="DR13" s="65" t="str">
        <f t="shared" ca="1" si="31"/>
        <v>-</v>
      </c>
      <c r="DS13" s="65" t="str">
        <f t="shared" ca="1" si="31"/>
        <v>-</v>
      </c>
      <c r="DT13" s="65" t="str">
        <f t="shared" ca="1" si="31"/>
        <v>-</v>
      </c>
      <c r="DU13" s="65" t="str">
        <f t="shared" ca="1" si="31"/>
        <v>-</v>
      </c>
      <c r="DV13" s="65" t="str">
        <f t="shared" ca="1" si="31"/>
        <v>-</v>
      </c>
      <c r="DW13" s="65" t="str">
        <f t="shared" ca="1" si="31"/>
        <v>-</v>
      </c>
      <c r="DX13" s="65" t="str">
        <f t="shared" ca="1" si="31"/>
        <v>-</v>
      </c>
      <c r="DY13" s="65" t="str">
        <f t="shared" ca="1" si="31"/>
        <v>-</v>
      </c>
      <c r="DZ13" s="65" t="str">
        <f t="shared" ca="1" si="31"/>
        <v>-</v>
      </c>
      <c r="EA13" s="65" t="str">
        <f t="shared" ca="1" si="31"/>
        <v>-</v>
      </c>
      <c r="EB13" s="65" t="str">
        <f t="shared" ca="1" si="31"/>
        <v>-</v>
      </c>
      <c r="EC13" s="65" t="str">
        <f t="shared" ca="1" si="31"/>
        <v>-</v>
      </c>
      <c r="ED13" s="65" t="str">
        <f t="shared" ca="1" si="31"/>
        <v>-</v>
      </c>
      <c r="EE13" s="65" t="str">
        <f t="shared" ca="1" si="31"/>
        <v>-</v>
      </c>
      <c r="EF13" s="65" t="str">
        <f t="shared" ca="1" si="31"/>
        <v>-</v>
      </c>
      <c r="EG13" s="65" t="str">
        <f t="shared" ca="1" si="31"/>
        <v>-</v>
      </c>
      <c r="EH13" s="65" t="str">
        <f t="shared" ca="1" si="31"/>
        <v>-</v>
      </c>
      <c r="EI13" s="65" t="str">
        <f t="shared" ca="1" si="31"/>
        <v>-</v>
      </c>
      <c r="EJ13" s="65" t="str">
        <f t="shared" ca="1" si="31"/>
        <v>-</v>
      </c>
      <c r="EK13" s="65" t="str">
        <f t="shared" ca="1" si="31"/>
        <v>-</v>
      </c>
      <c r="EL13" s="65" t="str">
        <f t="shared" ca="1" si="31"/>
        <v>-</v>
      </c>
      <c r="EM13" s="65" t="str">
        <f t="shared" ca="1" si="31"/>
        <v>-</v>
      </c>
      <c r="EN13" s="65" t="str">
        <f t="shared" ca="1" si="31"/>
        <v>-</v>
      </c>
      <c r="EO13" s="65" t="str">
        <f t="shared" ca="1" si="31"/>
        <v>-</v>
      </c>
      <c r="EP13" s="65" t="str">
        <f t="shared" ca="1" si="31"/>
        <v>-</v>
      </c>
      <c r="EQ13" s="65" t="str">
        <f t="shared" ca="1" si="31"/>
        <v>-</v>
      </c>
      <c r="ER13" s="65" t="str">
        <f t="shared" ca="1" si="31"/>
        <v>-</v>
      </c>
      <c r="ES13" s="65" t="str">
        <f t="shared" ca="1" si="31"/>
        <v>-</v>
      </c>
      <c r="ET13" s="65" t="str">
        <f t="shared" ca="1" si="31"/>
        <v>-</v>
      </c>
      <c r="EU13" s="65" t="str">
        <f t="shared" ca="1" si="31"/>
        <v>-</v>
      </c>
      <c r="EV13" s="65" t="str">
        <f t="shared" ca="1" si="31"/>
        <v>-</v>
      </c>
      <c r="EW13" s="65" t="str">
        <f t="shared" ca="1" si="31"/>
        <v>-</v>
      </c>
      <c r="EX13" s="65" t="str">
        <f t="shared" ca="1" si="31"/>
        <v>-</v>
      </c>
      <c r="EY13" s="65" t="str">
        <f t="shared" ca="1" si="31"/>
        <v>-</v>
      </c>
      <c r="EZ13" s="65" t="str">
        <f t="shared" ca="1" si="31"/>
        <v>-</v>
      </c>
      <c r="FA13" s="65" t="str">
        <f t="shared" ca="1" si="31"/>
        <v>-</v>
      </c>
      <c r="FB13" s="65" t="str">
        <f t="shared" ca="1" si="31"/>
        <v>-</v>
      </c>
      <c r="FC13" s="65" t="str">
        <f t="shared" ca="1" si="31"/>
        <v>-</v>
      </c>
      <c r="FD13" s="65" t="str">
        <f t="shared" ca="1" si="31"/>
        <v>-</v>
      </c>
      <c r="FE13" s="65" t="str">
        <f t="shared" ca="1" si="31"/>
        <v>-</v>
      </c>
      <c r="FF13" s="65" t="str">
        <f t="shared" ca="1" si="31"/>
        <v>-</v>
      </c>
      <c r="FG13" s="65" t="str">
        <f t="shared" ca="1" si="31"/>
        <v>-</v>
      </c>
      <c r="FH13" s="65" t="str">
        <f t="shared" ca="1" si="31"/>
        <v>-</v>
      </c>
      <c r="FI13" s="65" t="str">
        <f t="shared" ca="1" si="31"/>
        <v>-</v>
      </c>
      <c r="FJ13" s="65" t="str">
        <f t="shared" ca="1" si="31"/>
        <v>-</v>
      </c>
      <c r="FK13" s="65" t="str">
        <f t="shared" ca="1" si="28"/>
        <v>-</v>
      </c>
      <c r="FL13" s="65" t="str">
        <f t="shared" ca="1" si="28"/>
        <v>-</v>
      </c>
      <c r="FM13" s="65" t="str">
        <f t="shared" ca="1" si="28"/>
        <v>-</v>
      </c>
      <c r="FN13" s="65" t="str">
        <f t="shared" ca="1" si="28"/>
        <v>-</v>
      </c>
      <c r="FO13" s="65" t="str">
        <f t="shared" ca="1" si="28"/>
        <v>-</v>
      </c>
      <c r="FP13" s="65" t="str">
        <f t="shared" ca="1" si="28"/>
        <v>-</v>
      </c>
      <c r="FQ13" s="65" t="str">
        <f t="shared" ca="1" si="29"/>
        <v>-</v>
      </c>
      <c r="FR13" s="65" t="str">
        <f t="shared" ca="1" si="29"/>
        <v>-</v>
      </c>
    </row>
    <row r="14" spans="1:178">
      <c r="A14" s="466"/>
      <c r="B14" s="465"/>
      <c r="C14" s="465"/>
      <c r="D14" s="456"/>
      <c r="E14" s="185" t="s">
        <v>67</v>
      </c>
      <c r="F14" s="66" t="e">
        <f>SUM('BESS 10B'!S85:S94)</f>
        <v>#VALUE!</v>
      </c>
      <c r="G14" s="182">
        <f ca="1">TODAY()</f>
        <v>46233</v>
      </c>
      <c r="H14" s="182">
        <f>MAX('BESS 10B'!O85:O94)</f>
        <v>46242</v>
      </c>
      <c r="I14" s="66">
        <f t="shared" ca="1" si="30"/>
        <v>9</v>
      </c>
      <c r="J14" s="453"/>
      <c r="K14" s="662"/>
      <c r="L14" s="662"/>
      <c r="M14" s="65" t="str">
        <f t="shared" ca="1" si="22"/>
        <v>-</v>
      </c>
      <c r="N14" s="65" t="str">
        <f t="shared" ca="1" si="22"/>
        <v>-</v>
      </c>
      <c r="O14" s="65" t="str">
        <f t="shared" ca="1" si="22"/>
        <v>-</v>
      </c>
      <c r="P14" s="65" t="str">
        <f t="shared" ca="1" si="22"/>
        <v>-</v>
      </c>
      <c r="Q14" s="65" t="str">
        <f t="shared" ca="1" si="22"/>
        <v>-</v>
      </c>
      <c r="R14" s="65" t="str">
        <f t="shared" ca="1" si="22"/>
        <v>-</v>
      </c>
      <c r="S14" s="65" t="str">
        <f t="shared" ca="1" si="22"/>
        <v>-</v>
      </c>
      <c r="T14" s="65" t="str">
        <f t="shared" ca="1" si="22"/>
        <v>-</v>
      </c>
      <c r="U14" s="65" t="str">
        <f t="shared" ca="1" si="22"/>
        <v>-</v>
      </c>
      <c r="V14" s="65" t="str">
        <f t="shared" ca="1" si="22"/>
        <v>-</v>
      </c>
      <c r="W14" s="65" t="str">
        <f t="shared" ca="1" si="22"/>
        <v>-</v>
      </c>
      <c r="X14" s="65" t="str">
        <f t="shared" ca="1" si="22"/>
        <v>-</v>
      </c>
      <c r="Y14" s="65" t="str">
        <f t="shared" ca="1" si="22"/>
        <v>-</v>
      </c>
      <c r="Z14" s="65" t="str">
        <f t="shared" ca="1" si="22"/>
        <v>-</v>
      </c>
      <c r="AA14" s="65" t="str">
        <f t="shared" ca="1" si="22"/>
        <v>-</v>
      </c>
      <c r="AB14" s="65" t="str">
        <f t="shared" ca="1" si="22"/>
        <v>-</v>
      </c>
      <c r="AC14" s="65" t="str">
        <f t="shared" ca="1" si="23"/>
        <v>-</v>
      </c>
      <c r="AD14" s="65" t="str">
        <f t="shared" ca="1" si="23"/>
        <v>-</v>
      </c>
      <c r="AE14" s="65" t="str">
        <f t="shared" ca="1" si="23"/>
        <v>-</v>
      </c>
      <c r="AF14" s="65" t="str">
        <f t="shared" ca="1" si="23"/>
        <v>-</v>
      </c>
      <c r="AG14" s="65" t="str">
        <f t="shared" ca="1" si="23"/>
        <v>-</v>
      </c>
      <c r="AH14" s="65" t="str">
        <f t="shared" ca="1" si="23"/>
        <v>-</v>
      </c>
      <c r="AI14" s="65" t="str">
        <f t="shared" ca="1" si="23"/>
        <v>-</v>
      </c>
      <c r="AJ14" s="65" t="str">
        <f t="shared" ca="1" si="23"/>
        <v>-</v>
      </c>
      <c r="AK14" s="65" t="str">
        <f t="shared" ca="1" si="23"/>
        <v>-</v>
      </c>
      <c r="AL14" s="65" t="str">
        <f t="shared" ca="1" si="23"/>
        <v>-</v>
      </c>
      <c r="AM14" s="65" t="str">
        <f t="shared" ca="1" si="23"/>
        <v>-</v>
      </c>
      <c r="AN14" s="65" t="str">
        <f t="shared" ca="1" si="23"/>
        <v>-</v>
      </c>
      <c r="AO14" s="65" t="str">
        <f t="shared" ca="1" si="23"/>
        <v>-</v>
      </c>
      <c r="AP14" s="65" t="str">
        <f t="shared" ca="1" si="23"/>
        <v>-</v>
      </c>
      <c r="AQ14" s="65" t="str">
        <f t="shared" ca="1" si="23"/>
        <v>-</v>
      </c>
      <c r="AR14" s="65" t="str">
        <f t="shared" ca="1" si="23"/>
        <v>-</v>
      </c>
      <c r="AS14" s="65" t="str">
        <f t="shared" ca="1" si="24"/>
        <v>-</v>
      </c>
      <c r="AT14" s="65" t="str">
        <f t="shared" ca="1" si="24"/>
        <v>-</v>
      </c>
      <c r="AU14" s="65" t="str">
        <f t="shared" ca="1" si="24"/>
        <v>-</v>
      </c>
      <c r="AV14" s="65" t="str">
        <f t="shared" ca="1" si="24"/>
        <v>-</v>
      </c>
      <c r="AW14" s="65" t="str">
        <f t="shared" ca="1" si="24"/>
        <v>-</v>
      </c>
      <c r="AX14" s="65" t="str">
        <f t="shared" ca="1" si="24"/>
        <v>-</v>
      </c>
      <c r="AY14" s="65" t="e">
        <f t="shared" ca="1" si="24"/>
        <v>#VALUE!</v>
      </c>
      <c r="AZ14" s="65" t="e">
        <f t="shared" ca="1" si="24"/>
        <v>#VALUE!</v>
      </c>
      <c r="BA14" s="65" t="e">
        <f t="shared" ca="1" si="24"/>
        <v>#VALUE!</v>
      </c>
      <c r="BB14" s="65" t="e">
        <f t="shared" ca="1" si="24"/>
        <v>#VALUE!</v>
      </c>
      <c r="BC14" s="65" t="e">
        <f t="shared" ca="1" si="24"/>
        <v>#VALUE!</v>
      </c>
      <c r="BD14" s="65" t="e">
        <f t="shared" ca="1" si="24"/>
        <v>#VALUE!</v>
      </c>
      <c r="BE14" s="65" t="e">
        <f t="shared" ca="1" si="24"/>
        <v>#VALUE!</v>
      </c>
      <c r="BF14" s="65" t="e">
        <f t="shared" ca="1" si="24"/>
        <v>#VALUE!</v>
      </c>
      <c r="BG14" s="65" t="e">
        <f t="shared" ca="1" si="24"/>
        <v>#VALUE!</v>
      </c>
      <c r="BH14" s="65" t="str">
        <f t="shared" ca="1" si="24"/>
        <v>-</v>
      </c>
      <c r="BI14" s="65" t="str">
        <f t="shared" ca="1" si="25"/>
        <v>-</v>
      </c>
      <c r="BJ14" s="65" t="str">
        <f t="shared" ca="1" si="25"/>
        <v>-</v>
      </c>
      <c r="BK14" s="65" t="str">
        <f t="shared" ca="1" si="25"/>
        <v>-</v>
      </c>
      <c r="BL14" s="65" t="str">
        <f t="shared" ca="1" si="25"/>
        <v>-</v>
      </c>
      <c r="BM14" s="65" t="str">
        <f t="shared" ca="1" si="25"/>
        <v>-</v>
      </c>
      <c r="BN14" s="65" t="str">
        <f t="shared" ca="1" si="25"/>
        <v>-</v>
      </c>
      <c r="BO14" s="65" t="str">
        <f t="shared" ca="1" si="25"/>
        <v>-</v>
      </c>
      <c r="BP14" s="65" t="str">
        <f t="shared" ca="1" si="25"/>
        <v>-</v>
      </c>
      <c r="BQ14" s="65" t="str">
        <f t="shared" ca="1" si="25"/>
        <v>-</v>
      </c>
      <c r="BR14" s="65" t="str">
        <f t="shared" ca="1" si="25"/>
        <v>-</v>
      </c>
      <c r="BS14" s="65" t="str">
        <f t="shared" ca="1" si="25"/>
        <v>-</v>
      </c>
      <c r="BT14" s="65" t="str">
        <f t="shared" ca="1" si="25"/>
        <v>-</v>
      </c>
      <c r="BU14" s="65" t="str">
        <f t="shared" ca="1" si="25"/>
        <v>-</v>
      </c>
      <c r="BV14" s="65" t="str">
        <f t="shared" ca="1" si="25"/>
        <v>-</v>
      </c>
      <c r="BW14" s="65" t="str">
        <f t="shared" ca="1" si="25"/>
        <v>-</v>
      </c>
      <c r="BX14" s="65" t="str">
        <f t="shared" ca="1" si="25"/>
        <v>-</v>
      </c>
      <c r="BY14" s="65" t="str">
        <f t="shared" ca="1" si="26"/>
        <v>-</v>
      </c>
      <c r="BZ14" s="65" t="str">
        <f t="shared" ca="1" si="26"/>
        <v>-</v>
      </c>
      <c r="CA14" s="65" t="str">
        <f t="shared" ca="1" si="26"/>
        <v>-</v>
      </c>
      <c r="CB14" s="65" t="str">
        <f t="shared" ca="1" si="26"/>
        <v>-</v>
      </c>
      <c r="CC14" s="65" t="str">
        <f t="shared" ca="1" si="26"/>
        <v>-</v>
      </c>
      <c r="CD14" s="65" t="str">
        <f t="shared" ca="1" si="26"/>
        <v>-</v>
      </c>
      <c r="CE14" s="65" t="str">
        <f t="shared" ca="1" si="26"/>
        <v>-</v>
      </c>
      <c r="CF14" s="65" t="str">
        <f t="shared" ca="1" si="26"/>
        <v>-</v>
      </c>
      <c r="CG14" s="65" t="str">
        <f t="shared" ca="1" si="26"/>
        <v>-</v>
      </c>
      <c r="CH14" s="65" t="str">
        <f t="shared" ca="1" si="26"/>
        <v>-</v>
      </c>
      <c r="CI14" s="65" t="str">
        <f t="shared" ca="1" si="26"/>
        <v>-</v>
      </c>
      <c r="CJ14" s="65" t="str">
        <f t="shared" ca="1" si="26"/>
        <v>-</v>
      </c>
      <c r="CK14" s="65" t="str">
        <f t="shared" ca="1" si="26"/>
        <v>-</v>
      </c>
      <c r="CL14" s="65" t="str">
        <f t="shared" ca="1" si="26"/>
        <v>-</v>
      </c>
      <c r="CM14" s="65" t="str">
        <f t="shared" ca="1" si="26"/>
        <v>-</v>
      </c>
      <c r="CN14" s="65" t="str">
        <f t="shared" ca="1" si="26"/>
        <v>-</v>
      </c>
      <c r="CO14" s="65" t="str">
        <f t="shared" ca="1" si="27"/>
        <v>-</v>
      </c>
      <c r="CP14" s="65" t="str">
        <f t="shared" ca="1" si="27"/>
        <v>-</v>
      </c>
      <c r="CQ14" s="65" t="str">
        <f t="shared" ca="1" si="27"/>
        <v>-</v>
      </c>
      <c r="CR14" s="65" t="str">
        <f t="shared" ca="1" si="27"/>
        <v>-</v>
      </c>
      <c r="CS14" s="65" t="str">
        <f t="shared" ca="1" si="27"/>
        <v>-</v>
      </c>
      <c r="CT14" s="186" t="str">
        <f t="shared" ca="1" si="27"/>
        <v>-</v>
      </c>
      <c r="CU14" s="186" t="str">
        <f t="shared" ca="1" si="27"/>
        <v>-</v>
      </c>
      <c r="CV14" s="186" t="str">
        <f t="shared" ca="1" si="27"/>
        <v>-</v>
      </c>
      <c r="CW14" s="186" t="str">
        <f t="shared" ca="1" si="27"/>
        <v>-</v>
      </c>
      <c r="CX14" s="65" t="str">
        <f t="shared" ca="1" si="27"/>
        <v>-</v>
      </c>
      <c r="CY14" s="65" t="str">
        <f t="shared" ca="1" si="31"/>
        <v>-</v>
      </c>
      <c r="CZ14" s="65" t="str">
        <f t="shared" ca="1" si="31"/>
        <v>-</v>
      </c>
      <c r="DA14" s="65" t="str">
        <f t="shared" ca="1" si="31"/>
        <v>-</v>
      </c>
      <c r="DB14" s="65" t="str">
        <f t="shared" ca="1" si="31"/>
        <v>-</v>
      </c>
      <c r="DC14" s="65" t="str">
        <f t="shared" ca="1" si="31"/>
        <v>-</v>
      </c>
      <c r="DD14" s="65" t="str">
        <f t="shared" ca="1" si="31"/>
        <v>-</v>
      </c>
      <c r="DE14" s="65" t="str">
        <f t="shared" ca="1" si="31"/>
        <v>-</v>
      </c>
      <c r="DF14" s="65" t="str">
        <f t="shared" ca="1" si="31"/>
        <v>-</v>
      </c>
      <c r="DG14" s="65" t="str">
        <f t="shared" ca="1" si="31"/>
        <v>-</v>
      </c>
      <c r="DH14" s="65" t="str">
        <f t="shared" ca="1" si="31"/>
        <v>-</v>
      </c>
      <c r="DI14" s="65" t="str">
        <f t="shared" ca="1" si="31"/>
        <v>-</v>
      </c>
      <c r="DJ14" s="65" t="str">
        <f t="shared" ca="1" si="31"/>
        <v>-</v>
      </c>
      <c r="DK14" s="65" t="str">
        <f t="shared" ca="1" si="31"/>
        <v>-</v>
      </c>
      <c r="DL14" s="65" t="str">
        <f t="shared" ca="1" si="31"/>
        <v>-</v>
      </c>
      <c r="DM14" s="65" t="str">
        <f t="shared" ca="1" si="31"/>
        <v>-</v>
      </c>
      <c r="DN14" s="65" t="str">
        <f t="shared" ca="1" si="31"/>
        <v>-</v>
      </c>
      <c r="DO14" s="65" t="str">
        <f t="shared" ca="1" si="31"/>
        <v>-</v>
      </c>
      <c r="DP14" s="65" t="str">
        <f t="shared" ca="1" si="31"/>
        <v>-</v>
      </c>
      <c r="DQ14" s="65" t="str">
        <f t="shared" ca="1" si="31"/>
        <v>-</v>
      </c>
      <c r="DR14" s="65" t="str">
        <f t="shared" ca="1" si="31"/>
        <v>-</v>
      </c>
      <c r="DS14" s="65" t="str">
        <f t="shared" ca="1" si="31"/>
        <v>-</v>
      </c>
      <c r="DT14" s="65" t="str">
        <f t="shared" ca="1" si="31"/>
        <v>-</v>
      </c>
      <c r="DU14" s="65" t="str">
        <f t="shared" ca="1" si="31"/>
        <v>-</v>
      </c>
      <c r="DV14" s="65" t="str">
        <f t="shared" ca="1" si="31"/>
        <v>-</v>
      </c>
      <c r="DW14" s="65" t="str">
        <f t="shared" ca="1" si="31"/>
        <v>-</v>
      </c>
      <c r="DX14" s="65" t="str">
        <f t="shared" ca="1" si="31"/>
        <v>-</v>
      </c>
      <c r="DY14" s="65" t="str">
        <f t="shared" ca="1" si="31"/>
        <v>-</v>
      </c>
      <c r="DZ14" s="65" t="str">
        <f t="shared" ca="1" si="31"/>
        <v>-</v>
      </c>
      <c r="EA14" s="65" t="str">
        <f t="shared" ca="1" si="31"/>
        <v>-</v>
      </c>
      <c r="EB14" s="65" t="str">
        <f t="shared" ca="1" si="31"/>
        <v>-</v>
      </c>
      <c r="EC14" s="65" t="str">
        <f t="shared" ca="1" si="31"/>
        <v>-</v>
      </c>
      <c r="ED14" s="65" t="str">
        <f t="shared" ca="1" si="31"/>
        <v>-</v>
      </c>
      <c r="EE14" s="65" t="str">
        <f t="shared" ca="1" si="31"/>
        <v>-</v>
      </c>
      <c r="EF14" s="65" t="str">
        <f t="shared" ca="1" si="31"/>
        <v>-</v>
      </c>
      <c r="EG14" s="65" t="str">
        <f t="shared" ca="1" si="31"/>
        <v>-</v>
      </c>
      <c r="EH14" s="65" t="str">
        <f t="shared" ca="1" si="31"/>
        <v>-</v>
      </c>
      <c r="EI14" s="65" t="str">
        <f t="shared" ca="1" si="31"/>
        <v>-</v>
      </c>
      <c r="EJ14" s="65" t="str">
        <f t="shared" ca="1" si="31"/>
        <v>-</v>
      </c>
      <c r="EK14" s="65" t="str">
        <f t="shared" ca="1" si="31"/>
        <v>-</v>
      </c>
      <c r="EL14" s="65" t="str">
        <f t="shared" ca="1" si="31"/>
        <v>-</v>
      </c>
      <c r="EM14" s="65" t="str">
        <f t="shared" ca="1" si="31"/>
        <v>-</v>
      </c>
      <c r="EN14" s="65" t="str">
        <f t="shared" ca="1" si="31"/>
        <v>-</v>
      </c>
      <c r="EO14" s="65" t="str">
        <f t="shared" ca="1" si="31"/>
        <v>-</v>
      </c>
      <c r="EP14" s="65" t="str">
        <f t="shared" ca="1" si="31"/>
        <v>-</v>
      </c>
      <c r="EQ14" s="65" t="str">
        <f t="shared" ca="1" si="31"/>
        <v>-</v>
      </c>
      <c r="ER14" s="65" t="str">
        <f t="shared" ca="1" si="31"/>
        <v>-</v>
      </c>
      <c r="ES14" s="65" t="str">
        <f t="shared" ca="1" si="31"/>
        <v>-</v>
      </c>
      <c r="ET14" s="65" t="str">
        <f t="shared" ca="1" si="31"/>
        <v>-</v>
      </c>
      <c r="EU14" s="65" t="str">
        <f t="shared" ca="1" si="31"/>
        <v>-</v>
      </c>
      <c r="EV14" s="65" t="str">
        <f t="shared" ca="1" si="31"/>
        <v>-</v>
      </c>
      <c r="EW14" s="65" t="str">
        <f t="shared" ca="1" si="31"/>
        <v>-</v>
      </c>
      <c r="EX14" s="65" t="str">
        <f t="shared" ca="1" si="31"/>
        <v>-</v>
      </c>
      <c r="EY14" s="65" t="str">
        <f t="shared" ca="1" si="31"/>
        <v>-</v>
      </c>
      <c r="EZ14" s="65" t="str">
        <f t="shared" ca="1" si="31"/>
        <v>-</v>
      </c>
      <c r="FA14" s="65" t="str">
        <f t="shared" ca="1" si="31"/>
        <v>-</v>
      </c>
      <c r="FB14" s="65" t="str">
        <f t="shared" ca="1" si="31"/>
        <v>-</v>
      </c>
      <c r="FC14" s="65" t="str">
        <f t="shared" ca="1" si="31"/>
        <v>-</v>
      </c>
      <c r="FD14" s="65" t="str">
        <f t="shared" ca="1" si="31"/>
        <v>-</v>
      </c>
      <c r="FE14" s="65" t="str">
        <f t="shared" ca="1" si="31"/>
        <v>-</v>
      </c>
      <c r="FF14" s="65" t="str">
        <f t="shared" ca="1" si="31"/>
        <v>-</v>
      </c>
      <c r="FG14" s="65" t="str">
        <f t="shared" ca="1" si="31"/>
        <v>-</v>
      </c>
      <c r="FH14" s="65" t="str">
        <f t="shared" ca="1" si="31"/>
        <v>-</v>
      </c>
      <c r="FI14" s="65" t="str">
        <f t="shared" ca="1" si="31"/>
        <v>-</v>
      </c>
      <c r="FJ14" s="65" t="str">
        <f t="shared" ca="1" si="31"/>
        <v>-</v>
      </c>
      <c r="FK14" s="65" t="str">
        <f t="shared" ca="1" si="28"/>
        <v>-</v>
      </c>
      <c r="FL14" s="65" t="str">
        <f t="shared" ca="1" si="28"/>
        <v>-</v>
      </c>
      <c r="FM14" s="65" t="str">
        <f t="shared" ca="1" si="28"/>
        <v>-</v>
      </c>
      <c r="FN14" s="65" t="str">
        <f t="shared" ca="1" si="28"/>
        <v>-</v>
      </c>
      <c r="FO14" s="65" t="str">
        <f t="shared" ca="1" si="28"/>
        <v>-</v>
      </c>
      <c r="FP14" s="65" t="str">
        <f t="shared" ca="1" si="28"/>
        <v>-</v>
      </c>
      <c r="FQ14" s="65" t="str">
        <f t="shared" ca="1" si="29"/>
        <v>-</v>
      </c>
      <c r="FR14" s="65" t="str">
        <f t="shared" ca="1" si="29"/>
        <v>-</v>
      </c>
    </row>
    <row r="15" spans="1:178" ht="16.5">
      <c r="A15" s="466"/>
      <c r="B15" s="465"/>
      <c r="C15" s="465"/>
      <c r="D15" s="457"/>
      <c r="E15" s="185" t="s">
        <v>68</v>
      </c>
      <c r="F15" s="66">
        <v>250</v>
      </c>
      <c r="G15" s="182">
        <f>B10-3</f>
        <v>46242</v>
      </c>
      <c r="H15" s="182"/>
      <c r="I15" s="65">
        <v>30</v>
      </c>
      <c r="J15" s="454"/>
      <c r="K15" s="663"/>
      <c r="L15" s="663"/>
      <c r="M15" s="443" t="str">
        <f>IF(AND(M$2&gt;=$B$10-26,M$2&lt;=$B$10-3),5,IF(OR(M$2=$B$10-2,M$2=$B$10-1,M$2=$B$10,M$2=$B$10+1),30,IF(OR(M$2=$B$10+2,M$2=$B$10+3),5,"")))</f>
        <v/>
      </c>
      <c r="N15" s="443" t="str">
        <f t="shared" ref="N15:BY15" si="32">IF(AND(N$2&gt;=$B$10-26,N$2&lt;=$B$10-3),5,IF(OR(N$2=$B$10-2,N$2=$B$10-1,N$2=$B$10,N$2=$B$10+1),30,IF(OR(N$2=$B$10+2,N$2=$B$10+3),5,"")))</f>
        <v/>
      </c>
      <c r="O15" s="443" t="str">
        <f t="shared" si="32"/>
        <v/>
      </c>
      <c r="P15" s="443" t="str">
        <f t="shared" si="32"/>
        <v/>
      </c>
      <c r="Q15" s="443" t="str">
        <f t="shared" si="32"/>
        <v/>
      </c>
      <c r="R15" s="443" t="str">
        <f t="shared" si="32"/>
        <v/>
      </c>
      <c r="S15" s="443" t="str">
        <f t="shared" si="32"/>
        <v/>
      </c>
      <c r="T15" s="443" t="str">
        <f t="shared" si="32"/>
        <v/>
      </c>
      <c r="U15" s="443" t="str">
        <f t="shared" si="32"/>
        <v/>
      </c>
      <c r="V15" s="443" t="str">
        <f t="shared" si="32"/>
        <v/>
      </c>
      <c r="W15" s="443" t="str">
        <f t="shared" si="32"/>
        <v/>
      </c>
      <c r="X15" s="443" t="str">
        <f t="shared" si="32"/>
        <v/>
      </c>
      <c r="Y15" s="443" t="str">
        <f t="shared" si="32"/>
        <v/>
      </c>
      <c r="Z15" s="443" t="str">
        <f t="shared" si="32"/>
        <v/>
      </c>
      <c r="AA15" s="443" t="str">
        <f t="shared" si="32"/>
        <v/>
      </c>
      <c r="AB15" s="443" t="str">
        <f t="shared" si="32"/>
        <v/>
      </c>
      <c r="AC15" s="443" t="str">
        <f t="shared" si="32"/>
        <v/>
      </c>
      <c r="AD15" s="443" t="str">
        <f t="shared" si="32"/>
        <v/>
      </c>
      <c r="AE15" s="443" t="str">
        <f t="shared" si="32"/>
        <v/>
      </c>
      <c r="AF15" s="443" t="str">
        <f t="shared" si="32"/>
        <v/>
      </c>
      <c r="AG15" s="443" t="str">
        <f t="shared" si="32"/>
        <v/>
      </c>
      <c r="AH15" s="443" t="str">
        <f t="shared" si="32"/>
        <v/>
      </c>
      <c r="AI15" s="443" t="str">
        <f t="shared" si="32"/>
        <v/>
      </c>
      <c r="AJ15" s="443" t="str">
        <f t="shared" si="32"/>
        <v/>
      </c>
      <c r="AK15" s="443">
        <f t="shared" si="32"/>
        <v>5</v>
      </c>
      <c r="AL15" s="443">
        <f t="shared" si="32"/>
        <v>5</v>
      </c>
      <c r="AM15" s="443">
        <f t="shared" si="32"/>
        <v>5</v>
      </c>
      <c r="AN15" s="443">
        <f t="shared" si="32"/>
        <v>5</v>
      </c>
      <c r="AO15" s="443">
        <f t="shared" si="32"/>
        <v>5</v>
      </c>
      <c r="AP15" s="443">
        <f t="shared" si="32"/>
        <v>5</v>
      </c>
      <c r="AQ15" s="443">
        <f t="shared" si="32"/>
        <v>5</v>
      </c>
      <c r="AR15" s="443">
        <f t="shared" si="32"/>
        <v>5</v>
      </c>
      <c r="AS15" s="443">
        <f t="shared" si="32"/>
        <v>5</v>
      </c>
      <c r="AT15" s="443">
        <f t="shared" si="32"/>
        <v>5</v>
      </c>
      <c r="AU15" s="443">
        <f t="shared" si="32"/>
        <v>5</v>
      </c>
      <c r="AV15" s="443">
        <f t="shared" si="32"/>
        <v>5</v>
      </c>
      <c r="AW15" s="443">
        <f t="shared" si="32"/>
        <v>5</v>
      </c>
      <c r="AX15" s="443">
        <f t="shared" si="32"/>
        <v>5</v>
      </c>
      <c r="AY15" s="443">
        <f t="shared" si="32"/>
        <v>5</v>
      </c>
      <c r="AZ15" s="443">
        <f t="shared" si="32"/>
        <v>5</v>
      </c>
      <c r="BA15" s="443">
        <f t="shared" si="32"/>
        <v>5</v>
      </c>
      <c r="BB15" s="443">
        <f t="shared" si="32"/>
        <v>5</v>
      </c>
      <c r="BC15" s="443">
        <f t="shared" si="32"/>
        <v>5</v>
      </c>
      <c r="BD15" s="443">
        <f t="shared" si="32"/>
        <v>5</v>
      </c>
      <c r="BE15" s="443">
        <f t="shared" si="32"/>
        <v>5</v>
      </c>
      <c r="BF15" s="443">
        <f t="shared" si="32"/>
        <v>5</v>
      </c>
      <c r="BG15" s="443">
        <f t="shared" si="32"/>
        <v>5</v>
      </c>
      <c r="BH15" s="443">
        <f t="shared" si="32"/>
        <v>5</v>
      </c>
      <c r="BI15" s="443">
        <f t="shared" si="32"/>
        <v>30</v>
      </c>
      <c r="BJ15" s="443">
        <f t="shared" si="32"/>
        <v>30</v>
      </c>
      <c r="BK15" s="443">
        <f t="shared" si="32"/>
        <v>30</v>
      </c>
      <c r="BL15" s="443">
        <f t="shared" si="32"/>
        <v>30</v>
      </c>
      <c r="BM15" s="443">
        <f t="shared" si="32"/>
        <v>5</v>
      </c>
      <c r="BN15" s="443">
        <f t="shared" si="32"/>
        <v>5</v>
      </c>
      <c r="BO15" s="443" t="str">
        <f t="shared" si="32"/>
        <v/>
      </c>
      <c r="BP15" s="443" t="str">
        <f t="shared" si="32"/>
        <v/>
      </c>
      <c r="BQ15" s="443" t="str">
        <f t="shared" si="32"/>
        <v/>
      </c>
      <c r="BR15" s="443" t="str">
        <f t="shared" si="32"/>
        <v/>
      </c>
      <c r="BS15" s="443" t="str">
        <f t="shared" si="32"/>
        <v/>
      </c>
      <c r="BT15" s="443" t="str">
        <f t="shared" si="32"/>
        <v/>
      </c>
      <c r="BU15" s="443" t="str">
        <f t="shared" si="32"/>
        <v/>
      </c>
      <c r="BV15" s="443" t="str">
        <f t="shared" si="32"/>
        <v/>
      </c>
      <c r="BW15" s="443" t="str">
        <f t="shared" si="32"/>
        <v/>
      </c>
      <c r="BX15" s="443" t="str">
        <f t="shared" si="32"/>
        <v/>
      </c>
      <c r="BY15" s="443" t="str">
        <f t="shared" si="32"/>
        <v/>
      </c>
      <c r="BZ15" s="443" t="str">
        <f t="shared" ref="BZ15:EK15" si="33">IF(AND(BZ$2&gt;=$B$10-26,BZ$2&lt;=$B$10-3),5,IF(OR(BZ$2=$B$10-2,BZ$2=$B$10-1,BZ$2=$B$10,BZ$2=$B$10+1),30,IF(OR(BZ$2=$B$10+2,BZ$2=$B$10+3),5,"")))</f>
        <v/>
      </c>
      <c r="CA15" s="443" t="str">
        <f t="shared" si="33"/>
        <v/>
      </c>
      <c r="CB15" s="443" t="str">
        <f t="shared" si="33"/>
        <v/>
      </c>
      <c r="CC15" s="443" t="str">
        <f t="shared" si="33"/>
        <v/>
      </c>
      <c r="CD15" s="443" t="str">
        <f t="shared" si="33"/>
        <v/>
      </c>
      <c r="CE15" s="443" t="str">
        <f t="shared" si="33"/>
        <v/>
      </c>
      <c r="CF15" s="443" t="str">
        <f t="shared" si="33"/>
        <v/>
      </c>
      <c r="CG15" s="443" t="str">
        <f t="shared" si="33"/>
        <v/>
      </c>
      <c r="CH15" s="443" t="str">
        <f t="shared" si="33"/>
        <v/>
      </c>
      <c r="CI15" s="443" t="str">
        <f t="shared" si="33"/>
        <v/>
      </c>
      <c r="CJ15" s="443" t="str">
        <f t="shared" si="33"/>
        <v/>
      </c>
      <c r="CK15" s="443" t="str">
        <f t="shared" si="33"/>
        <v/>
      </c>
      <c r="CL15" s="443" t="str">
        <f t="shared" si="33"/>
        <v/>
      </c>
      <c r="CM15" s="443" t="str">
        <f t="shared" si="33"/>
        <v/>
      </c>
      <c r="CN15" s="443" t="str">
        <f t="shared" si="33"/>
        <v/>
      </c>
      <c r="CO15" s="443" t="str">
        <f t="shared" si="33"/>
        <v/>
      </c>
      <c r="CP15" s="443" t="str">
        <f t="shared" si="33"/>
        <v/>
      </c>
      <c r="CQ15" s="443" t="str">
        <f t="shared" si="33"/>
        <v/>
      </c>
      <c r="CR15" s="443" t="str">
        <f t="shared" si="33"/>
        <v/>
      </c>
      <c r="CS15" s="443" t="str">
        <f t="shared" si="33"/>
        <v/>
      </c>
      <c r="CT15" s="443" t="str">
        <f t="shared" si="33"/>
        <v/>
      </c>
      <c r="CU15" s="443" t="str">
        <f t="shared" si="33"/>
        <v/>
      </c>
      <c r="CV15" s="443" t="str">
        <f t="shared" si="33"/>
        <v/>
      </c>
      <c r="CW15" s="443" t="str">
        <f t="shared" si="33"/>
        <v/>
      </c>
      <c r="CX15" s="443" t="str">
        <f t="shared" si="33"/>
        <v/>
      </c>
      <c r="CY15" s="443" t="str">
        <f t="shared" si="33"/>
        <v/>
      </c>
      <c r="CZ15" s="443" t="str">
        <f t="shared" si="33"/>
        <v/>
      </c>
      <c r="DA15" s="443" t="str">
        <f t="shared" si="33"/>
        <v/>
      </c>
      <c r="DB15" s="443" t="str">
        <f t="shared" si="33"/>
        <v/>
      </c>
      <c r="DC15" s="443" t="str">
        <f t="shared" si="33"/>
        <v/>
      </c>
      <c r="DD15" s="443" t="str">
        <f t="shared" si="33"/>
        <v/>
      </c>
      <c r="DE15" s="443" t="str">
        <f t="shared" si="33"/>
        <v/>
      </c>
      <c r="DF15" s="443" t="str">
        <f t="shared" si="33"/>
        <v/>
      </c>
      <c r="DG15" s="443" t="str">
        <f t="shared" si="33"/>
        <v/>
      </c>
      <c r="DH15" s="443" t="str">
        <f t="shared" si="33"/>
        <v/>
      </c>
      <c r="DI15" s="443" t="str">
        <f t="shared" si="33"/>
        <v/>
      </c>
      <c r="DJ15" s="443" t="str">
        <f t="shared" si="33"/>
        <v/>
      </c>
      <c r="DK15" s="443" t="str">
        <f t="shared" si="33"/>
        <v/>
      </c>
      <c r="DL15" s="443" t="str">
        <f t="shared" si="33"/>
        <v/>
      </c>
      <c r="DM15" s="443" t="str">
        <f t="shared" si="33"/>
        <v/>
      </c>
      <c r="DN15" s="443" t="str">
        <f t="shared" si="33"/>
        <v/>
      </c>
      <c r="DO15" s="443" t="str">
        <f t="shared" si="33"/>
        <v/>
      </c>
      <c r="DP15" s="443" t="str">
        <f t="shared" si="33"/>
        <v/>
      </c>
      <c r="DQ15" s="443" t="str">
        <f t="shared" si="33"/>
        <v/>
      </c>
      <c r="DR15" s="443" t="str">
        <f t="shared" si="33"/>
        <v/>
      </c>
      <c r="DS15" s="443" t="str">
        <f t="shared" si="33"/>
        <v/>
      </c>
      <c r="DT15" s="443" t="str">
        <f t="shared" si="33"/>
        <v/>
      </c>
      <c r="DU15" s="443" t="str">
        <f t="shared" si="33"/>
        <v/>
      </c>
      <c r="DV15" s="443" t="str">
        <f t="shared" si="33"/>
        <v/>
      </c>
      <c r="DW15" s="443" t="str">
        <f t="shared" si="33"/>
        <v/>
      </c>
      <c r="DX15" s="443" t="str">
        <f t="shared" si="33"/>
        <v/>
      </c>
      <c r="DY15" s="443" t="str">
        <f t="shared" si="33"/>
        <v/>
      </c>
      <c r="DZ15" s="443" t="str">
        <f t="shared" si="33"/>
        <v/>
      </c>
      <c r="EA15" s="443" t="str">
        <f t="shared" si="33"/>
        <v/>
      </c>
      <c r="EB15" s="443" t="str">
        <f t="shared" si="33"/>
        <v/>
      </c>
      <c r="EC15" s="443" t="str">
        <f t="shared" si="33"/>
        <v/>
      </c>
      <c r="ED15" s="443" t="str">
        <f t="shared" si="33"/>
        <v/>
      </c>
      <c r="EE15" s="443" t="str">
        <f t="shared" si="33"/>
        <v/>
      </c>
      <c r="EF15" s="443" t="str">
        <f t="shared" si="33"/>
        <v/>
      </c>
      <c r="EG15" s="443" t="str">
        <f t="shared" si="33"/>
        <v/>
      </c>
      <c r="EH15" s="443" t="str">
        <f t="shared" si="33"/>
        <v/>
      </c>
      <c r="EI15" s="443" t="str">
        <f t="shared" si="33"/>
        <v/>
      </c>
      <c r="EJ15" s="443" t="str">
        <f t="shared" si="33"/>
        <v/>
      </c>
      <c r="EK15" s="443" t="str">
        <f t="shared" si="33"/>
        <v/>
      </c>
      <c r="EL15" s="443" t="str">
        <f t="shared" ref="EL15:FR15" si="34">IF(AND(EL$2&gt;=$B$10-26,EL$2&lt;=$B$10-3),5,IF(OR(EL$2=$B$10-2,EL$2=$B$10-1,EL$2=$B$10,EL$2=$B$10+1),30,IF(OR(EL$2=$B$10+2,EL$2=$B$10+3),5,"")))</f>
        <v/>
      </c>
      <c r="EM15" s="443" t="str">
        <f t="shared" si="34"/>
        <v/>
      </c>
      <c r="EN15" s="443" t="str">
        <f t="shared" si="34"/>
        <v/>
      </c>
      <c r="EO15" s="443" t="str">
        <f t="shared" si="34"/>
        <v/>
      </c>
      <c r="EP15" s="443" t="str">
        <f t="shared" si="34"/>
        <v/>
      </c>
      <c r="EQ15" s="443" t="str">
        <f t="shared" si="34"/>
        <v/>
      </c>
      <c r="ER15" s="443" t="str">
        <f t="shared" si="34"/>
        <v/>
      </c>
      <c r="ES15" s="443" t="str">
        <f t="shared" si="34"/>
        <v/>
      </c>
      <c r="ET15" s="443" t="str">
        <f t="shared" si="34"/>
        <v/>
      </c>
      <c r="EU15" s="443" t="str">
        <f t="shared" si="34"/>
        <v/>
      </c>
      <c r="EV15" s="443" t="str">
        <f t="shared" si="34"/>
        <v/>
      </c>
      <c r="EW15" s="443" t="str">
        <f t="shared" si="34"/>
        <v/>
      </c>
      <c r="EX15" s="443" t="str">
        <f t="shared" si="34"/>
        <v/>
      </c>
      <c r="EY15" s="443" t="str">
        <f t="shared" si="34"/>
        <v/>
      </c>
      <c r="EZ15" s="443" t="str">
        <f t="shared" si="34"/>
        <v/>
      </c>
      <c r="FA15" s="443" t="str">
        <f t="shared" si="34"/>
        <v/>
      </c>
      <c r="FB15" s="443" t="str">
        <f t="shared" si="34"/>
        <v/>
      </c>
      <c r="FC15" s="443" t="str">
        <f t="shared" si="34"/>
        <v/>
      </c>
      <c r="FD15" s="443" t="str">
        <f t="shared" si="34"/>
        <v/>
      </c>
      <c r="FE15" s="443" t="str">
        <f t="shared" si="34"/>
        <v/>
      </c>
      <c r="FF15" s="443" t="str">
        <f t="shared" si="34"/>
        <v/>
      </c>
      <c r="FG15" s="443" t="str">
        <f t="shared" si="34"/>
        <v/>
      </c>
      <c r="FH15" s="443" t="str">
        <f t="shared" si="34"/>
        <v/>
      </c>
      <c r="FI15" s="443" t="str">
        <f t="shared" si="34"/>
        <v/>
      </c>
      <c r="FJ15" s="443" t="str">
        <f t="shared" si="34"/>
        <v/>
      </c>
      <c r="FK15" s="443" t="str">
        <f t="shared" si="34"/>
        <v/>
      </c>
      <c r="FL15" s="443" t="str">
        <f t="shared" si="34"/>
        <v/>
      </c>
      <c r="FM15" s="443" t="str">
        <f t="shared" si="34"/>
        <v/>
      </c>
      <c r="FN15" s="443" t="str">
        <f t="shared" si="34"/>
        <v/>
      </c>
      <c r="FO15" s="443" t="str">
        <f t="shared" si="34"/>
        <v/>
      </c>
      <c r="FP15" s="443" t="str">
        <f t="shared" si="34"/>
        <v/>
      </c>
      <c r="FQ15" s="443" t="str">
        <f t="shared" si="34"/>
        <v/>
      </c>
      <c r="FR15" s="443" t="str">
        <f t="shared" si="34"/>
        <v/>
      </c>
    </row>
    <row r="16" spans="1:178" s="191" customFormat="1" ht="13.5" hidden="1" customHeight="1">
      <c r="B16" s="195"/>
      <c r="E16" s="188"/>
      <c r="F16" s="169"/>
      <c r="G16" s="181" t="s">
        <v>69</v>
      </c>
      <c r="H16" s="181"/>
      <c r="I16" s="171"/>
      <c r="J16" s="203"/>
      <c r="K16" s="181"/>
      <c r="L16" s="181"/>
      <c r="M16" s="190">
        <f ca="1">SUM(M11:M15)</f>
        <v>0</v>
      </c>
      <c r="N16" s="190">
        <f ca="1">SUM(N11:N15)</f>
        <v>0</v>
      </c>
      <c r="O16" s="190">
        <f ca="1">SUM(O11:O15)</f>
        <v>0</v>
      </c>
      <c r="P16" s="190">
        <f t="shared" ref="P16:CA16" ca="1" si="35">SUM(P11:P15)</f>
        <v>0</v>
      </c>
      <c r="Q16" s="190">
        <f t="shared" ca="1" si="35"/>
        <v>0</v>
      </c>
      <c r="R16" s="190">
        <f t="shared" ca="1" si="35"/>
        <v>0</v>
      </c>
      <c r="S16" s="190">
        <f t="shared" ca="1" si="35"/>
        <v>0</v>
      </c>
      <c r="T16" s="190">
        <f t="shared" ca="1" si="35"/>
        <v>0</v>
      </c>
      <c r="U16" s="190">
        <f t="shared" ca="1" si="35"/>
        <v>0</v>
      </c>
      <c r="V16" s="190">
        <f t="shared" ca="1" si="35"/>
        <v>0</v>
      </c>
      <c r="W16" s="190">
        <f t="shared" ca="1" si="35"/>
        <v>0</v>
      </c>
      <c r="X16" s="190">
        <f t="shared" ca="1" si="35"/>
        <v>0</v>
      </c>
      <c r="Y16" s="190">
        <f t="shared" ca="1" si="35"/>
        <v>0</v>
      </c>
      <c r="Z16" s="190">
        <f t="shared" ca="1" si="35"/>
        <v>0</v>
      </c>
      <c r="AA16" s="190">
        <f t="shared" ca="1" si="35"/>
        <v>0</v>
      </c>
      <c r="AB16" s="190">
        <f t="shared" ca="1" si="35"/>
        <v>0</v>
      </c>
      <c r="AC16" s="190">
        <f t="shared" ca="1" si="35"/>
        <v>0</v>
      </c>
      <c r="AD16" s="190">
        <f t="shared" ca="1" si="35"/>
        <v>0</v>
      </c>
      <c r="AE16" s="190">
        <f t="shared" ca="1" si="35"/>
        <v>0</v>
      </c>
      <c r="AF16" s="190">
        <f t="shared" ca="1" si="35"/>
        <v>0</v>
      </c>
      <c r="AG16" s="190">
        <f t="shared" ca="1" si="35"/>
        <v>0</v>
      </c>
      <c r="AH16" s="190">
        <f t="shared" ca="1" si="35"/>
        <v>0</v>
      </c>
      <c r="AI16" s="190">
        <f t="shared" ca="1" si="35"/>
        <v>0</v>
      </c>
      <c r="AJ16" s="190">
        <f t="shared" ca="1" si="35"/>
        <v>0</v>
      </c>
      <c r="AK16" s="190">
        <f t="shared" ca="1" si="35"/>
        <v>5</v>
      </c>
      <c r="AL16" s="190">
        <f t="shared" ca="1" si="35"/>
        <v>5</v>
      </c>
      <c r="AM16" s="190">
        <f t="shared" ca="1" si="35"/>
        <v>5</v>
      </c>
      <c r="AN16" s="190">
        <f t="shared" ca="1" si="35"/>
        <v>5</v>
      </c>
      <c r="AO16" s="190">
        <f t="shared" ca="1" si="35"/>
        <v>5</v>
      </c>
      <c r="AP16" s="190">
        <f t="shared" ca="1" si="35"/>
        <v>5</v>
      </c>
      <c r="AQ16" s="190">
        <f t="shared" ca="1" si="35"/>
        <v>5</v>
      </c>
      <c r="AR16" s="190">
        <f t="shared" ca="1" si="35"/>
        <v>5</v>
      </c>
      <c r="AS16" s="190">
        <f t="shared" ca="1" si="35"/>
        <v>5</v>
      </c>
      <c r="AT16" s="190">
        <f t="shared" ca="1" si="35"/>
        <v>5</v>
      </c>
      <c r="AU16" s="190">
        <f t="shared" ca="1" si="35"/>
        <v>5</v>
      </c>
      <c r="AV16" s="190">
        <f t="shared" ca="1" si="35"/>
        <v>5</v>
      </c>
      <c r="AW16" s="190">
        <f t="shared" ca="1" si="35"/>
        <v>5</v>
      </c>
      <c r="AX16" s="190">
        <f t="shared" ca="1" si="35"/>
        <v>5</v>
      </c>
      <c r="AY16" s="190" t="e">
        <f t="shared" ca="1" si="35"/>
        <v>#VALUE!</v>
      </c>
      <c r="AZ16" s="190" t="e">
        <f t="shared" ca="1" si="35"/>
        <v>#VALUE!</v>
      </c>
      <c r="BA16" s="190" t="e">
        <f t="shared" ca="1" si="35"/>
        <v>#VALUE!</v>
      </c>
      <c r="BB16" s="190" t="e">
        <f t="shared" ca="1" si="35"/>
        <v>#VALUE!</v>
      </c>
      <c r="BC16" s="190" t="e">
        <f t="shared" ca="1" si="35"/>
        <v>#VALUE!</v>
      </c>
      <c r="BD16" s="190" t="e">
        <f t="shared" ca="1" si="35"/>
        <v>#VALUE!</v>
      </c>
      <c r="BE16" s="190" t="e">
        <f t="shared" ca="1" si="35"/>
        <v>#VALUE!</v>
      </c>
      <c r="BF16" s="190" t="e">
        <f t="shared" ca="1" si="35"/>
        <v>#VALUE!</v>
      </c>
      <c r="BG16" s="190" t="e">
        <f t="shared" ca="1" si="35"/>
        <v>#VALUE!</v>
      </c>
      <c r="BH16" s="190">
        <f t="shared" ca="1" si="35"/>
        <v>5</v>
      </c>
      <c r="BI16" s="190">
        <f t="shared" ca="1" si="35"/>
        <v>30</v>
      </c>
      <c r="BJ16" s="190">
        <f t="shared" ca="1" si="35"/>
        <v>30</v>
      </c>
      <c r="BK16" s="190">
        <f t="shared" ca="1" si="35"/>
        <v>30</v>
      </c>
      <c r="BL16" s="190">
        <f t="shared" ca="1" si="35"/>
        <v>30</v>
      </c>
      <c r="BM16" s="190">
        <f t="shared" ca="1" si="35"/>
        <v>5</v>
      </c>
      <c r="BN16" s="190">
        <f t="shared" ca="1" si="35"/>
        <v>5</v>
      </c>
      <c r="BO16" s="190">
        <f t="shared" ca="1" si="35"/>
        <v>0</v>
      </c>
      <c r="BP16" s="190">
        <f t="shared" ca="1" si="35"/>
        <v>0</v>
      </c>
      <c r="BQ16" s="190">
        <f t="shared" ca="1" si="35"/>
        <v>0</v>
      </c>
      <c r="BR16" s="190">
        <f t="shared" ca="1" si="35"/>
        <v>0</v>
      </c>
      <c r="BS16" s="190">
        <f t="shared" ca="1" si="35"/>
        <v>0</v>
      </c>
      <c r="BT16" s="190">
        <f t="shared" ca="1" si="35"/>
        <v>0</v>
      </c>
      <c r="BU16" s="190">
        <f t="shared" ca="1" si="35"/>
        <v>0</v>
      </c>
      <c r="BV16" s="190">
        <f t="shared" ca="1" si="35"/>
        <v>0</v>
      </c>
      <c r="BW16" s="190">
        <f t="shared" ca="1" si="35"/>
        <v>0</v>
      </c>
      <c r="BX16" s="190">
        <f t="shared" ca="1" si="35"/>
        <v>0</v>
      </c>
      <c r="BY16" s="190">
        <f t="shared" ca="1" si="35"/>
        <v>0</v>
      </c>
      <c r="BZ16" s="190">
        <f t="shared" ca="1" si="35"/>
        <v>0</v>
      </c>
      <c r="CA16" s="190">
        <f t="shared" ca="1" si="35"/>
        <v>0</v>
      </c>
      <c r="CB16" s="190">
        <f t="shared" ref="CB16:CX16" ca="1" si="36">SUM(CB11:CB15)</f>
        <v>0</v>
      </c>
      <c r="CC16" s="190">
        <f t="shared" ca="1" si="36"/>
        <v>0</v>
      </c>
      <c r="CD16" s="190">
        <f t="shared" ca="1" si="36"/>
        <v>0</v>
      </c>
      <c r="CE16" s="190">
        <f t="shared" ca="1" si="36"/>
        <v>0</v>
      </c>
      <c r="CF16" s="190">
        <f t="shared" ca="1" si="36"/>
        <v>0</v>
      </c>
      <c r="CG16" s="190">
        <f t="shared" ca="1" si="36"/>
        <v>0</v>
      </c>
      <c r="CH16" s="190">
        <f t="shared" ca="1" si="36"/>
        <v>0</v>
      </c>
      <c r="CI16" s="190">
        <f t="shared" ca="1" si="36"/>
        <v>0</v>
      </c>
      <c r="CJ16" s="190">
        <f t="shared" ca="1" si="36"/>
        <v>0</v>
      </c>
      <c r="CK16" s="190">
        <f t="shared" ca="1" si="36"/>
        <v>0</v>
      </c>
      <c r="CL16" s="190">
        <f t="shared" ca="1" si="36"/>
        <v>0</v>
      </c>
      <c r="CM16" s="190">
        <f t="shared" ca="1" si="36"/>
        <v>0</v>
      </c>
      <c r="CN16" s="190">
        <f t="shared" ca="1" si="36"/>
        <v>0</v>
      </c>
      <c r="CO16" s="190">
        <f t="shared" ca="1" si="36"/>
        <v>0</v>
      </c>
      <c r="CP16" s="190">
        <f t="shared" ca="1" si="36"/>
        <v>0</v>
      </c>
      <c r="CQ16" s="190">
        <f t="shared" ca="1" si="36"/>
        <v>0</v>
      </c>
      <c r="CR16" s="190">
        <f t="shared" ca="1" si="36"/>
        <v>0</v>
      </c>
      <c r="CS16" s="190">
        <f t="shared" ca="1" si="36"/>
        <v>0</v>
      </c>
      <c r="CT16" s="190">
        <f t="shared" ca="1" si="36"/>
        <v>0</v>
      </c>
      <c r="CU16" s="190">
        <f t="shared" ca="1" si="36"/>
        <v>0</v>
      </c>
      <c r="CV16" s="190">
        <f t="shared" ca="1" si="36"/>
        <v>0</v>
      </c>
      <c r="CW16" s="190">
        <f t="shared" ca="1" si="36"/>
        <v>0</v>
      </c>
      <c r="CX16" s="190">
        <f t="shared" ca="1" si="36"/>
        <v>0</v>
      </c>
      <c r="CY16" s="190">
        <f t="shared" ref="CY16:FJ16" ca="1" si="37">SUM(CY11:CY15)</f>
        <v>0</v>
      </c>
      <c r="CZ16" s="190">
        <f t="shared" ca="1" si="37"/>
        <v>0</v>
      </c>
      <c r="DA16" s="190">
        <f t="shared" ca="1" si="37"/>
        <v>0</v>
      </c>
      <c r="DB16" s="190">
        <f t="shared" ca="1" si="37"/>
        <v>0</v>
      </c>
      <c r="DC16" s="190">
        <f t="shared" ca="1" si="37"/>
        <v>0</v>
      </c>
      <c r="DD16" s="190">
        <f t="shared" ca="1" si="37"/>
        <v>0</v>
      </c>
      <c r="DE16" s="190">
        <f t="shared" ca="1" si="37"/>
        <v>0</v>
      </c>
      <c r="DF16" s="190">
        <f t="shared" ca="1" si="37"/>
        <v>0</v>
      </c>
      <c r="DG16" s="190">
        <f t="shared" ca="1" si="37"/>
        <v>0</v>
      </c>
      <c r="DH16" s="190">
        <f t="shared" ca="1" si="37"/>
        <v>0</v>
      </c>
      <c r="DI16" s="190">
        <f t="shared" ca="1" si="37"/>
        <v>0</v>
      </c>
      <c r="DJ16" s="190">
        <f t="shared" ca="1" si="37"/>
        <v>0</v>
      </c>
      <c r="DK16" s="190">
        <f t="shared" ca="1" si="37"/>
        <v>0</v>
      </c>
      <c r="DL16" s="190">
        <f t="shared" ca="1" si="37"/>
        <v>0</v>
      </c>
      <c r="DM16" s="190">
        <f t="shared" ca="1" si="37"/>
        <v>0</v>
      </c>
      <c r="DN16" s="190">
        <f t="shared" ca="1" si="37"/>
        <v>0</v>
      </c>
      <c r="DO16" s="190">
        <f t="shared" ca="1" si="37"/>
        <v>0</v>
      </c>
      <c r="DP16" s="190">
        <f t="shared" ca="1" si="37"/>
        <v>0</v>
      </c>
      <c r="DQ16" s="190">
        <f t="shared" ca="1" si="37"/>
        <v>0</v>
      </c>
      <c r="DR16" s="190">
        <f t="shared" ca="1" si="37"/>
        <v>0</v>
      </c>
      <c r="DS16" s="190">
        <f t="shared" ca="1" si="37"/>
        <v>0</v>
      </c>
      <c r="DT16" s="190">
        <f t="shared" ca="1" si="37"/>
        <v>0</v>
      </c>
      <c r="DU16" s="190">
        <f t="shared" ca="1" si="37"/>
        <v>0</v>
      </c>
      <c r="DV16" s="190">
        <f t="shared" ca="1" si="37"/>
        <v>0</v>
      </c>
      <c r="DW16" s="190">
        <f t="shared" ca="1" si="37"/>
        <v>0</v>
      </c>
      <c r="DX16" s="190">
        <f t="shared" ca="1" si="37"/>
        <v>0</v>
      </c>
      <c r="DY16" s="190">
        <f t="shared" ca="1" si="37"/>
        <v>0</v>
      </c>
      <c r="DZ16" s="190">
        <f t="shared" ca="1" si="37"/>
        <v>0</v>
      </c>
      <c r="EA16" s="190">
        <f t="shared" ca="1" si="37"/>
        <v>0</v>
      </c>
      <c r="EB16" s="190">
        <f t="shared" ca="1" si="37"/>
        <v>0</v>
      </c>
      <c r="EC16" s="190">
        <f t="shared" ca="1" si="37"/>
        <v>0</v>
      </c>
      <c r="ED16" s="190">
        <f t="shared" ca="1" si="37"/>
        <v>0</v>
      </c>
      <c r="EE16" s="190">
        <f t="shared" ca="1" si="37"/>
        <v>0</v>
      </c>
      <c r="EF16" s="190">
        <f t="shared" ca="1" si="37"/>
        <v>0</v>
      </c>
      <c r="EG16" s="190">
        <f t="shared" ca="1" si="37"/>
        <v>0</v>
      </c>
      <c r="EH16" s="190">
        <f t="shared" ca="1" si="37"/>
        <v>0</v>
      </c>
      <c r="EI16" s="190">
        <f t="shared" ca="1" si="37"/>
        <v>0</v>
      </c>
      <c r="EJ16" s="190">
        <f t="shared" ca="1" si="37"/>
        <v>0</v>
      </c>
      <c r="EK16" s="190">
        <f t="shared" ca="1" si="37"/>
        <v>0</v>
      </c>
      <c r="EL16" s="190">
        <f t="shared" ca="1" si="37"/>
        <v>0</v>
      </c>
      <c r="EM16" s="190">
        <f t="shared" ca="1" si="37"/>
        <v>0</v>
      </c>
      <c r="EN16" s="190">
        <f t="shared" ca="1" si="37"/>
        <v>0</v>
      </c>
      <c r="EO16" s="190">
        <f t="shared" ca="1" si="37"/>
        <v>0</v>
      </c>
      <c r="EP16" s="190">
        <f t="shared" ca="1" si="37"/>
        <v>0</v>
      </c>
      <c r="EQ16" s="190">
        <f t="shared" ca="1" si="37"/>
        <v>0</v>
      </c>
      <c r="ER16" s="190">
        <f t="shared" ca="1" si="37"/>
        <v>0</v>
      </c>
      <c r="ES16" s="190">
        <f t="shared" ca="1" si="37"/>
        <v>0</v>
      </c>
      <c r="ET16" s="190">
        <f t="shared" ca="1" si="37"/>
        <v>0</v>
      </c>
      <c r="EU16" s="190">
        <f t="shared" ca="1" si="37"/>
        <v>0</v>
      </c>
      <c r="EV16" s="190">
        <f t="shared" ca="1" si="37"/>
        <v>0</v>
      </c>
      <c r="EW16" s="190">
        <f t="shared" ca="1" si="37"/>
        <v>0</v>
      </c>
      <c r="EX16" s="190">
        <f t="shared" ca="1" si="37"/>
        <v>0</v>
      </c>
      <c r="EY16" s="190">
        <f t="shared" ca="1" si="37"/>
        <v>0</v>
      </c>
      <c r="EZ16" s="190">
        <f t="shared" ca="1" si="37"/>
        <v>0</v>
      </c>
      <c r="FA16" s="190">
        <f t="shared" ca="1" si="37"/>
        <v>0</v>
      </c>
      <c r="FB16" s="190">
        <f t="shared" ca="1" si="37"/>
        <v>0</v>
      </c>
      <c r="FC16" s="190">
        <f t="shared" ca="1" si="37"/>
        <v>0</v>
      </c>
      <c r="FD16" s="190">
        <f t="shared" ca="1" si="37"/>
        <v>0</v>
      </c>
      <c r="FE16" s="190">
        <f t="shared" ca="1" si="37"/>
        <v>0</v>
      </c>
      <c r="FF16" s="190">
        <f t="shared" ca="1" si="37"/>
        <v>0</v>
      </c>
      <c r="FG16" s="190">
        <f t="shared" ca="1" si="37"/>
        <v>0</v>
      </c>
      <c r="FH16" s="190">
        <f t="shared" ca="1" si="37"/>
        <v>0</v>
      </c>
      <c r="FI16" s="190">
        <f t="shared" ca="1" si="37"/>
        <v>0</v>
      </c>
      <c r="FJ16" s="190">
        <f t="shared" ca="1" si="37"/>
        <v>0</v>
      </c>
      <c r="FK16" s="190">
        <f t="shared" ref="FK16:FR16" ca="1" si="38">SUM(FK11:FK15)</f>
        <v>0</v>
      </c>
      <c r="FL16" s="190">
        <f t="shared" ca="1" si="38"/>
        <v>0</v>
      </c>
      <c r="FM16" s="190">
        <f t="shared" ca="1" si="38"/>
        <v>0</v>
      </c>
      <c r="FN16" s="190">
        <f t="shared" ca="1" si="38"/>
        <v>0</v>
      </c>
      <c r="FO16" s="190">
        <f t="shared" ca="1" si="38"/>
        <v>0</v>
      </c>
      <c r="FP16" s="190">
        <f t="shared" ca="1" si="38"/>
        <v>0</v>
      </c>
      <c r="FQ16" s="190">
        <f t="shared" ca="1" si="38"/>
        <v>0</v>
      </c>
      <c r="FR16" s="190">
        <f t="shared" ca="1" si="38"/>
        <v>0</v>
      </c>
    </row>
    <row r="17" spans="1:174">
      <c r="F17" s="53"/>
      <c r="G17" s="183"/>
      <c r="H17" s="183"/>
      <c r="I17" s="53"/>
      <c r="J17" s="5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6"/>
      <c r="AX17" s="196"/>
      <c r="AY17" s="196"/>
      <c r="AZ17" s="196"/>
      <c r="BA17" s="196"/>
      <c r="BR17" s="119"/>
      <c r="CU17" s="185"/>
      <c r="CV17" s="185"/>
      <c r="CW17" s="185"/>
      <c r="CX17" s="185"/>
      <c r="CY17" s="185"/>
      <c r="CZ17" s="185"/>
      <c r="DA17" s="185"/>
      <c r="DB17" s="185"/>
      <c r="DC17" s="185"/>
      <c r="DD17" s="185"/>
      <c r="DE17" s="185"/>
      <c r="DF17" s="185"/>
      <c r="DG17" s="185"/>
      <c r="DH17" s="185"/>
      <c r="DI17" s="185"/>
      <c r="DJ17" s="185"/>
      <c r="DK17" s="185"/>
      <c r="DL17" s="185"/>
      <c r="DM17" s="185"/>
      <c r="DN17" s="185"/>
      <c r="DO17" s="185"/>
      <c r="DP17" s="185"/>
      <c r="DQ17" s="185"/>
      <c r="DR17" s="185"/>
      <c r="DS17" s="185"/>
      <c r="DT17" s="185"/>
      <c r="DU17" s="185"/>
      <c r="DV17" s="185"/>
      <c r="DW17" s="185"/>
      <c r="DX17" s="185"/>
      <c r="DY17" s="185"/>
      <c r="DZ17" s="185"/>
      <c r="EA17" s="185"/>
      <c r="EB17" s="185"/>
      <c r="EC17" s="185"/>
      <c r="ED17" s="185"/>
      <c r="EE17" s="185"/>
      <c r="EF17" s="185"/>
      <c r="EG17" s="185"/>
      <c r="EH17" s="185"/>
      <c r="EI17" s="185"/>
      <c r="EJ17" s="185"/>
      <c r="EK17" s="185"/>
      <c r="EL17" s="185"/>
      <c r="EM17" s="185"/>
      <c r="EN17" s="185"/>
      <c r="EO17" s="185"/>
      <c r="EP17" s="185"/>
      <c r="EQ17" s="185"/>
      <c r="ER17" s="185"/>
      <c r="ES17" s="185"/>
      <c r="ET17" s="185"/>
      <c r="EU17" s="185"/>
      <c r="EV17" s="185"/>
      <c r="EW17" s="185"/>
      <c r="EX17" s="185"/>
      <c r="EY17" s="185"/>
      <c r="EZ17" s="185"/>
      <c r="FA17" s="185"/>
      <c r="FB17" s="185"/>
      <c r="FC17" s="185"/>
      <c r="FD17" s="185"/>
      <c r="FE17" s="185"/>
      <c r="FF17" s="185"/>
      <c r="FG17" s="185"/>
      <c r="FH17" s="185"/>
      <c r="FI17" s="185"/>
      <c r="FJ17" s="185"/>
      <c r="FK17" s="185"/>
      <c r="FL17" s="185"/>
      <c r="FM17" s="185"/>
      <c r="FN17" s="185"/>
      <c r="FO17" s="185"/>
      <c r="FP17" s="185"/>
      <c r="FQ17" s="185"/>
      <c r="FR17" s="185"/>
    </row>
    <row r="18" spans="1:174" ht="27">
      <c r="A18" s="466" t="s">
        <v>72</v>
      </c>
      <c r="B18" s="450">
        <f>IF(LEN('BESS 10B'!F140)=5,'BESS 10B'!F140,(IF('BESS 10B'!F140="Completed"," ",DATEVALUE(RIGHT('BESS 10B'!F140,6)))))</f>
        <v>46286</v>
      </c>
      <c r="C18" s="450">
        <f>IF(LEN('BESS 10B'!G140)=5,'BESS 10B'!G140,(IF('BESS 10B'!G140="Completed"," ",DATEVALUE(RIGHT('BESS 10B'!G140,6)))))</f>
        <v>46291</v>
      </c>
      <c r="D18" s="455">
        <f>IF(LEN('BESS 10B'!H140)=5,'BESS 10B'!H140,(IF('BESS 10B'!H140="Completed"," ",DATEVALUE(RIGHT('BESS 10B'!H140,6)))))</f>
        <v>46294</v>
      </c>
      <c r="E18" s="192" t="s">
        <v>10</v>
      </c>
      <c r="F18" s="129" t="s">
        <v>58</v>
      </c>
      <c r="G18" s="129" t="s">
        <v>86</v>
      </c>
      <c r="H18" s="129" t="s">
        <v>79</v>
      </c>
      <c r="I18" s="129" t="s">
        <v>59</v>
      </c>
      <c r="J18" s="129"/>
      <c r="K18" s="128" t="s">
        <v>80</v>
      </c>
      <c r="L18" s="128" t="s">
        <v>62</v>
      </c>
      <c r="M18" s="130">
        <v>46195</v>
      </c>
      <c r="N18" s="130">
        <v>46196</v>
      </c>
      <c r="O18" s="130">
        <v>46197</v>
      </c>
      <c r="P18" s="130">
        <f t="shared" ref="P18:CA18" si="39">O18+1</f>
        <v>46198</v>
      </c>
      <c r="Q18" s="130">
        <f t="shared" si="39"/>
        <v>46199</v>
      </c>
      <c r="R18" s="130">
        <f t="shared" si="39"/>
        <v>46200</v>
      </c>
      <c r="S18" s="130">
        <f t="shared" si="39"/>
        <v>46201</v>
      </c>
      <c r="T18" s="130">
        <f t="shared" si="39"/>
        <v>46202</v>
      </c>
      <c r="U18" s="130">
        <f t="shared" si="39"/>
        <v>46203</v>
      </c>
      <c r="V18" s="130">
        <f t="shared" si="39"/>
        <v>46204</v>
      </c>
      <c r="W18" s="130">
        <f t="shared" si="39"/>
        <v>46205</v>
      </c>
      <c r="X18" s="130">
        <f t="shared" si="39"/>
        <v>46206</v>
      </c>
      <c r="Y18" s="130">
        <f t="shared" si="39"/>
        <v>46207</v>
      </c>
      <c r="Z18" s="130">
        <f t="shared" si="39"/>
        <v>46208</v>
      </c>
      <c r="AA18" s="130">
        <f t="shared" si="39"/>
        <v>46209</v>
      </c>
      <c r="AB18" s="130">
        <f t="shared" si="39"/>
        <v>46210</v>
      </c>
      <c r="AC18" s="130">
        <f t="shared" si="39"/>
        <v>46211</v>
      </c>
      <c r="AD18" s="130">
        <f t="shared" si="39"/>
        <v>46212</v>
      </c>
      <c r="AE18" s="130">
        <f t="shared" si="39"/>
        <v>46213</v>
      </c>
      <c r="AF18" s="130">
        <f t="shared" si="39"/>
        <v>46214</v>
      </c>
      <c r="AG18" s="130">
        <f t="shared" si="39"/>
        <v>46215</v>
      </c>
      <c r="AH18" s="130">
        <f t="shared" si="39"/>
        <v>46216</v>
      </c>
      <c r="AI18" s="130">
        <f t="shared" si="39"/>
        <v>46217</v>
      </c>
      <c r="AJ18" s="130">
        <f t="shared" si="39"/>
        <v>46218</v>
      </c>
      <c r="AK18" s="130">
        <f t="shared" si="39"/>
        <v>46219</v>
      </c>
      <c r="AL18" s="130">
        <f t="shared" si="39"/>
        <v>46220</v>
      </c>
      <c r="AM18" s="130">
        <f t="shared" si="39"/>
        <v>46221</v>
      </c>
      <c r="AN18" s="130">
        <f t="shared" si="39"/>
        <v>46222</v>
      </c>
      <c r="AO18" s="130">
        <f t="shared" si="39"/>
        <v>46223</v>
      </c>
      <c r="AP18" s="130">
        <f t="shared" si="39"/>
        <v>46224</v>
      </c>
      <c r="AQ18" s="130">
        <f t="shared" si="39"/>
        <v>46225</v>
      </c>
      <c r="AR18" s="130">
        <f t="shared" si="39"/>
        <v>46226</v>
      </c>
      <c r="AS18" s="130">
        <f t="shared" si="39"/>
        <v>46227</v>
      </c>
      <c r="AT18" s="130">
        <f t="shared" si="39"/>
        <v>46228</v>
      </c>
      <c r="AU18" s="130">
        <f t="shared" si="39"/>
        <v>46229</v>
      </c>
      <c r="AV18" s="130">
        <f t="shared" si="39"/>
        <v>46230</v>
      </c>
      <c r="AW18" s="130">
        <f t="shared" si="39"/>
        <v>46231</v>
      </c>
      <c r="AX18" s="130">
        <f t="shared" si="39"/>
        <v>46232</v>
      </c>
      <c r="AY18" s="130">
        <f t="shared" si="39"/>
        <v>46233</v>
      </c>
      <c r="AZ18" s="130">
        <f t="shared" si="39"/>
        <v>46234</v>
      </c>
      <c r="BA18" s="130">
        <f t="shared" si="39"/>
        <v>46235</v>
      </c>
      <c r="BB18" s="130">
        <f t="shared" si="39"/>
        <v>46236</v>
      </c>
      <c r="BC18" s="130">
        <f t="shared" si="39"/>
        <v>46237</v>
      </c>
      <c r="BD18" s="130">
        <f t="shared" si="39"/>
        <v>46238</v>
      </c>
      <c r="BE18" s="130">
        <f t="shared" si="39"/>
        <v>46239</v>
      </c>
      <c r="BF18" s="130">
        <f t="shared" si="39"/>
        <v>46240</v>
      </c>
      <c r="BG18" s="130">
        <f t="shared" si="39"/>
        <v>46241</v>
      </c>
      <c r="BH18" s="130">
        <f t="shared" si="39"/>
        <v>46242</v>
      </c>
      <c r="BI18" s="130">
        <f t="shared" si="39"/>
        <v>46243</v>
      </c>
      <c r="BJ18" s="130">
        <f t="shared" si="39"/>
        <v>46244</v>
      </c>
      <c r="BK18" s="130">
        <f t="shared" si="39"/>
        <v>46245</v>
      </c>
      <c r="BL18" s="130">
        <f t="shared" si="39"/>
        <v>46246</v>
      </c>
      <c r="BM18" s="130">
        <f t="shared" si="39"/>
        <v>46247</v>
      </c>
      <c r="BN18" s="130">
        <f t="shared" si="39"/>
        <v>46248</v>
      </c>
      <c r="BO18" s="130">
        <f t="shared" si="39"/>
        <v>46249</v>
      </c>
      <c r="BP18" s="130">
        <f t="shared" si="39"/>
        <v>46250</v>
      </c>
      <c r="BQ18" s="130">
        <f t="shared" si="39"/>
        <v>46251</v>
      </c>
      <c r="BR18" s="130">
        <f t="shared" si="39"/>
        <v>46252</v>
      </c>
      <c r="BS18" s="130">
        <f t="shared" si="39"/>
        <v>46253</v>
      </c>
      <c r="BT18" s="130">
        <f t="shared" si="39"/>
        <v>46254</v>
      </c>
      <c r="BU18" s="130">
        <f t="shared" si="39"/>
        <v>46255</v>
      </c>
      <c r="BV18" s="130">
        <f t="shared" si="39"/>
        <v>46256</v>
      </c>
      <c r="BW18" s="130">
        <f t="shared" si="39"/>
        <v>46257</v>
      </c>
      <c r="BX18" s="130">
        <f t="shared" si="39"/>
        <v>46258</v>
      </c>
      <c r="BY18" s="130">
        <f t="shared" si="39"/>
        <v>46259</v>
      </c>
      <c r="BZ18" s="130">
        <f t="shared" si="39"/>
        <v>46260</v>
      </c>
      <c r="CA18" s="130">
        <f t="shared" si="39"/>
        <v>46261</v>
      </c>
      <c r="CB18" s="130">
        <f t="shared" ref="CB18:CT18" si="40">CA18+1</f>
        <v>46262</v>
      </c>
      <c r="CC18" s="130">
        <f t="shared" si="40"/>
        <v>46263</v>
      </c>
      <c r="CD18" s="130">
        <f t="shared" si="40"/>
        <v>46264</v>
      </c>
      <c r="CE18" s="130">
        <f t="shared" si="40"/>
        <v>46265</v>
      </c>
      <c r="CF18" s="130">
        <f t="shared" si="40"/>
        <v>46266</v>
      </c>
      <c r="CG18" s="130">
        <f t="shared" si="40"/>
        <v>46267</v>
      </c>
      <c r="CH18" s="130">
        <f t="shared" si="40"/>
        <v>46268</v>
      </c>
      <c r="CI18" s="130">
        <f t="shared" si="40"/>
        <v>46269</v>
      </c>
      <c r="CJ18" s="130">
        <f t="shared" si="40"/>
        <v>46270</v>
      </c>
      <c r="CK18" s="130">
        <f t="shared" si="40"/>
        <v>46271</v>
      </c>
      <c r="CL18" s="130">
        <f t="shared" si="40"/>
        <v>46272</v>
      </c>
      <c r="CM18" s="130">
        <f t="shared" si="40"/>
        <v>46273</v>
      </c>
      <c r="CN18" s="130">
        <f t="shared" si="40"/>
        <v>46274</v>
      </c>
      <c r="CO18" s="130">
        <f t="shared" si="40"/>
        <v>46275</v>
      </c>
      <c r="CP18" s="130">
        <f t="shared" si="40"/>
        <v>46276</v>
      </c>
      <c r="CQ18" s="130">
        <f t="shared" si="40"/>
        <v>46277</v>
      </c>
      <c r="CR18" s="130">
        <f t="shared" si="40"/>
        <v>46278</v>
      </c>
      <c r="CS18" s="130">
        <f t="shared" si="40"/>
        <v>46279</v>
      </c>
      <c r="CT18" s="193">
        <f t="shared" si="40"/>
        <v>46280</v>
      </c>
      <c r="CU18" s="193">
        <f>CT18+1</f>
        <v>46281</v>
      </c>
      <c r="CV18" s="193">
        <f>CU18+1</f>
        <v>46282</v>
      </c>
      <c r="CW18" s="193">
        <f>CV18+1</f>
        <v>46283</v>
      </c>
      <c r="CX18" s="130">
        <f>CW18+1</f>
        <v>46284</v>
      </c>
      <c r="CY18" s="130">
        <f t="shared" ref="CY18:FJ18" si="41">CX18+1</f>
        <v>46285</v>
      </c>
      <c r="CZ18" s="130">
        <f t="shared" si="41"/>
        <v>46286</v>
      </c>
      <c r="DA18" s="130">
        <f t="shared" si="41"/>
        <v>46287</v>
      </c>
      <c r="DB18" s="130">
        <f t="shared" si="41"/>
        <v>46288</v>
      </c>
      <c r="DC18" s="130">
        <f t="shared" si="41"/>
        <v>46289</v>
      </c>
      <c r="DD18" s="130">
        <f t="shared" si="41"/>
        <v>46290</v>
      </c>
      <c r="DE18" s="130">
        <f t="shared" si="41"/>
        <v>46291</v>
      </c>
      <c r="DF18" s="130">
        <f t="shared" si="41"/>
        <v>46292</v>
      </c>
      <c r="DG18" s="130">
        <f t="shared" si="41"/>
        <v>46293</v>
      </c>
      <c r="DH18" s="130">
        <f t="shared" si="41"/>
        <v>46294</v>
      </c>
      <c r="DI18" s="130">
        <f t="shared" si="41"/>
        <v>46295</v>
      </c>
      <c r="DJ18" s="130">
        <f t="shared" si="41"/>
        <v>46296</v>
      </c>
      <c r="DK18" s="130">
        <f t="shared" si="41"/>
        <v>46297</v>
      </c>
      <c r="DL18" s="130">
        <f t="shared" si="41"/>
        <v>46298</v>
      </c>
      <c r="DM18" s="130">
        <f t="shared" si="41"/>
        <v>46299</v>
      </c>
      <c r="DN18" s="130">
        <f t="shared" si="41"/>
        <v>46300</v>
      </c>
      <c r="DO18" s="130">
        <f t="shared" si="41"/>
        <v>46301</v>
      </c>
      <c r="DP18" s="130">
        <f t="shared" si="41"/>
        <v>46302</v>
      </c>
      <c r="DQ18" s="130">
        <f t="shared" si="41"/>
        <v>46303</v>
      </c>
      <c r="DR18" s="130">
        <f t="shared" si="41"/>
        <v>46304</v>
      </c>
      <c r="DS18" s="130">
        <f t="shared" si="41"/>
        <v>46305</v>
      </c>
      <c r="DT18" s="130">
        <f t="shared" si="41"/>
        <v>46306</v>
      </c>
      <c r="DU18" s="130">
        <f t="shared" si="41"/>
        <v>46307</v>
      </c>
      <c r="DV18" s="130">
        <f t="shared" si="41"/>
        <v>46308</v>
      </c>
      <c r="DW18" s="130">
        <f t="shared" si="41"/>
        <v>46309</v>
      </c>
      <c r="DX18" s="130">
        <f t="shared" si="41"/>
        <v>46310</v>
      </c>
      <c r="DY18" s="130">
        <f t="shared" si="41"/>
        <v>46311</v>
      </c>
      <c r="DZ18" s="130">
        <f t="shared" si="41"/>
        <v>46312</v>
      </c>
      <c r="EA18" s="130">
        <f t="shared" si="41"/>
        <v>46313</v>
      </c>
      <c r="EB18" s="130">
        <f t="shared" si="41"/>
        <v>46314</v>
      </c>
      <c r="EC18" s="130">
        <f t="shared" si="41"/>
        <v>46315</v>
      </c>
      <c r="ED18" s="130">
        <f t="shared" si="41"/>
        <v>46316</v>
      </c>
      <c r="EE18" s="130">
        <f t="shared" si="41"/>
        <v>46317</v>
      </c>
      <c r="EF18" s="130">
        <f t="shared" si="41"/>
        <v>46318</v>
      </c>
      <c r="EG18" s="130">
        <f t="shared" si="41"/>
        <v>46319</v>
      </c>
      <c r="EH18" s="130">
        <f t="shared" si="41"/>
        <v>46320</v>
      </c>
      <c r="EI18" s="130">
        <f t="shared" si="41"/>
        <v>46321</v>
      </c>
      <c r="EJ18" s="130">
        <f t="shared" si="41"/>
        <v>46322</v>
      </c>
      <c r="EK18" s="130">
        <f t="shared" si="41"/>
        <v>46323</v>
      </c>
      <c r="EL18" s="130">
        <f t="shared" si="41"/>
        <v>46324</v>
      </c>
      <c r="EM18" s="130">
        <f t="shared" si="41"/>
        <v>46325</v>
      </c>
      <c r="EN18" s="130">
        <f t="shared" si="41"/>
        <v>46326</v>
      </c>
      <c r="EO18" s="130">
        <f t="shared" si="41"/>
        <v>46327</v>
      </c>
      <c r="EP18" s="130">
        <f t="shared" si="41"/>
        <v>46328</v>
      </c>
      <c r="EQ18" s="130">
        <f t="shared" si="41"/>
        <v>46329</v>
      </c>
      <c r="ER18" s="130">
        <f t="shared" si="41"/>
        <v>46330</v>
      </c>
      <c r="ES18" s="130">
        <f t="shared" si="41"/>
        <v>46331</v>
      </c>
      <c r="ET18" s="130">
        <f t="shared" si="41"/>
        <v>46332</v>
      </c>
      <c r="EU18" s="130">
        <f t="shared" si="41"/>
        <v>46333</v>
      </c>
      <c r="EV18" s="130">
        <f t="shared" si="41"/>
        <v>46334</v>
      </c>
      <c r="EW18" s="130">
        <f t="shared" si="41"/>
        <v>46335</v>
      </c>
      <c r="EX18" s="130">
        <f t="shared" si="41"/>
        <v>46336</v>
      </c>
      <c r="EY18" s="130">
        <f t="shared" si="41"/>
        <v>46337</v>
      </c>
      <c r="EZ18" s="130">
        <f t="shared" si="41"/>
        <v>46338</v>
      </c>
      <c r="FA18" s="130">
        <f t="shared" si="41"/>
        <v>46339</v>
      </c>
      <c r="FB18" s="130">
        <f t="shared" si="41"/>
        <v>46340</v>
      </c>
      <c r="FC18" s="130">
        <f t="shared" si="41"/>
        <v>46341</v>
      </c>
      <c r="FD18" s="130">
        <f t="shared" si="41"/>
        <v>46342</v>
      </c>
      <c r="FE18" s="130">
        <f t="shared" si="41"/>
        <v>46343</v>
      </c>
      <c r="FF18" s="130">
        <f t="shared" si="41"/>
        <v>46344</v>
      </c>
      <c r="FG18" s="130">
        <f t="shared" si="41"/>
        <v>46345</v>
      </c>
      <c r="FH18" s="130">
        <f t="shared" si="41"/>
        <v>46346</v>
      </c>
      <c r="FI18" s="130">
        <f t="shared" si="41"/>
        <v>46347</v>
      </c>
      <c r="FJ18" s="130">
        <f t="shared" si="41"/>
        <v>46348</v>
      </c>
      <c r="FK18" s="130">
        <f t="shared" ref="FK18:FR18" si="42">FJ18+1</f>
        <v>46349</v>
      </c>
      <c r="FL18" s="130">
        <f t="shared" si="42"/>
        <v>46350</v>
      </c>
      <c r="FM18" s="130">
        <f t="shared" si="42"/>
        <v>46351</v>
      </c>
      <c r="FN18" s="130">
        <f t="shared" si="42"/>
        <v>46352</v>
      </c>
      <c r="FO18" s="130">
        <f t="shared" si="42"/>
        <v>46353</v>
      </c>
      <c r="FP18" s="130">
        <f t="shared" si="42"/>
        <v>46354</v>
      </c>
      <c r="FQ18" s="130">
        <f t="shared" si="42"/>
        <v>46355</v>
      </c>
      <c r="FR18" s="130">
        <f t="shared" si="42"/>
        <v>46356</v>
      </c>
    </row>
    <row r="19" spans="1:174">
      <c r="A19" s="466"/>
      <c r="B19" s="451"/>
      <c r="C19" s="451"/>
      <c r="D19" s="456"/>
      <c r="E19" s="185" t="s">
        <v>64</v>
      </c>
      <c r="F19" s="66" t="e">
        <f>SUM('BESS 10B'!S108:S115,'BESS 10B'!S117)</f>
        <v>#VALUE!</v>
      </c>
      <c r="G19" s="182">
        <f ca="1">TODAY()</f>
        <v>46233</v>
      </c>
      <c r="H19" s="182">
        <f>MAX('BESS 10B'!O108:O114)</f>
        <v>46242</v>
      </c>
      <c r="I19" s="66">
        <f ca="1">H19-G19</f>
        <v>9</v>
      </c>
      <c r="J19" s="444">
        <f ca="1">K19*1.2</f>
        <v>7.1999999999999993</v>
      </c>
      <c r="K19" s="661">
        <f ca="1">AVERAGEIF(M24:CX24,"&gt;0")</f>
        <v>6</v>
      </c>
      <c r="L19" s="661" t="e">
        <f ca="1">MAX(M24:CX24)</f>
        <v>#VALUE!</v>
      </c>
      <c r="M19" s="65" t="str">
        <f t="shared" ref="M19:AB22" ca="1" si="43">IF(AND(M$2&gt;=$G19,M$2&lt;($G19+$I19)),ROUND($F19/$I19,0),"-")</f>
        <v>-</v>
      </c>
      <c r="N19" s="65" t="str">
        <f t="shared" ca="1" si="43"/>
        <v>-</v>
      </c>
      <c r="O19" s="65" t="str">
        <f t="shared" ca="1" si="43"/>
        <v>-</v>
      </c>
      <c r="P19" s="65" t="str">
        <f t="shared" ca="1" si="43"/>
        <v>-</v>
      </c>
      <c r="Q19" s="65" t="str">
        <f t="shared" ca="1" si="43"/>
        <v>-</v>
      </c>
      <c r="R19" s="65" t="str">
        <f t="shared" ca="1" si="43"/>
        <v>-</v>
      </c>
      <c r="S19" s="65" t="str">
        <f t="shared" ca="1" si="43"/>
        <v>-</v>
      </c>
      <c r="T19" s="65" t="str">
        <f t="shared" ca="1" si="43"/>
        <v>-</v>
      </c>
      <c r="U19" s="65" t="str">
        <f t="shared" ca="1" si="43"/>
        <v>-</v>
      </c>
      <c r="V19" s="65" t="str">
        <f t="shared" ca="1" si="43"/>
        <v>-</v>
      </c>
      <c r="W19" s="65" t="str">
        <f t="shared" ca="1" si="43"/>
        <v>-</v>
      </c>
      <c r="X19" s="65" t="str">
        <f t="shared" ca="1" si="43"/>
        <v>-</v>
      </c>
      <c r="Y19" s="65" t="str">
        <f t="shared" ca="1" si="43"/>
        <v>-</v>
      </c>
      <c r="Z19" s="65" t="str">
        <f t="shared" ca="1" si="43"/>
        <v>-</v>
      </c>
      <c r="AA19" s="65" t="str">
        <f t="shared" ca="1" si="43"/>
        <v>-</v>
      </c>
      <c r="AB19" s="65" t="str">
        <f t="shared" ca="1" si="43"/>
        <v>-</v>
      </c>
      <c r="AC19" s="65" t="str">
        <f t="shared" ref="AC19:AR22" ca="1" si="44">IF(AND(AC$2&gt;=$G19,AC$2&lt;($G19+$I19)),ROUND($F19/$I19,0),"-")</f>
        <v>-</v>
      </c>
      <c r="AD19" s="65" t="str">
        <f t="shared" ca="1" si="44"/>
        <v>-</v>
      </c>
      <c r="AE19" s="65" t="str">
        <f t="shared" ca="1" si="44"/>
        <v>-</v>
      </c>
      <c r="AF19" s="65" t="str">
        <f t="shared" ca="1" si="44"/>
        <v>-</v>
      </c>
      <c r="AG19" s="65" t="str">
        <f t="shared" ca="1" si="44"/>
        <v>-</v>
      </c>
      <c r="AH19" s="65" t="str">
        <f t="shared" ca="1" si="44"/>
        <v>-</v>
      </c>
      <c r="AI19" s="65" t="str">
        <f t="shared" ca="1" si="44"/>
        <v>-</v>
      </c>
      <c r="AJ19" s="65" t="str">
        <f t="shared" ca="1" si="44"/>
        <v>-</v>
      </c>
      <c r="AK19" s="65" t="str">
        <f t="shared" ca="1" si="44"/>
        <v>-</v>
      </c>
      <c r="AL19" s="65" t="str">
        <f t="shared" ca="1" si="44"/>
        <v>-</v>
      </c>
      <c r="AM19" s="65" t="str">
        <f t="shared" ca="1" si="44"/>
        <v>-</v>
      </c>
      <c r="AN19" s="65" t="str">
        <f t="shared" ca="1" si="44"/>
        <v>-</v>
      </c>
      <c r="AO19" s="65" t="str">
        <f t="shared" ca="1" si="44"/>
        <v>-</v>
      </c>
      <c r="AP19" s="65" t="str">
        <f t="shared" ca="1" si="44"/>
        <v>-</v>
      </c>
      <c r="AQ19" s="65" t="str">
        <f t="shared" ca="1" si="44"/>
        <v>-</v>
      </c>
      <c r="AR19" s="65" t="str">
        <f t="shared" ca="1" si="44"/>
        <v>-</v>
      </c>
      <c r="AS19" s="65" t="str">
        <f t="shared" ref="AS19:BH22" ca="1" si="45">IF(AND(AS$2&gt;=$G19,AS$2&lt;($G19+$I19)),ROUND($F19/$I19,0),"-")</f>
        <v>-</v>
      </c>
      <c r="AT19" s="65" t="str">
        <f t="shared" ca="1" si="45"/>
        <v>-</v>
      </c>
      <c r="AU19" s="65" t="str">
        <f t="shared" ca="1" si="45"/>
        <v>-</v>
      </c>
      <c r="AV19" s="65" t="str">
        <f t="shared" ca="1" si="45"/>
        <v>-</v>
      </c>
      <c r="AW19" s="65" t="str">
        <f t="shared" ca="1" si="45"/>
        <v>-</v>
      </c>
      <c r="AX19" s="65" t="str">
        <f t="shared" ca="1" si="45"/>
        <v>-</v>
      </c>
      <c r="AY19" s="65" t="e">
        <f t="shared" ca="1" si="45"/>
        <v>#VALUE!</v>
      </c>
      <c r="AZ19" s="65" t="e">
        <f t="shared" ca="1" si="45"/>
        <v>#VALUE!</v>
      </c>
      <c r="BA19" s="65" t="e">
        <f t="shared" ca="1" si="45"/>
        <v>#VALUE!</v>
      </c>
      <c r="BB19" s="65" t="e">
        <f t="shared" ca="1" si="45"/>
        <v>#VALUE!</v>
      </c>
      <c r="BC19" s="65" t="e">
        <f t="shared" ca="1" si="45"/>
        <v>#VALUE!</v>
      </c>
      <c r="BD19" s="65" t="e">
        <f t="shared" ca="1" si="45"/>
        <v>#VALUE!</v>
      </c>
      <c r="BE19" s="65" t="e">
        <f t="shared" ca="1" si="45"/>
        <v>#VALUE!</v>
      </c>
      <c r="BF19" s="65" t="e">
        <f t="shared" ca="1" si="45"/>
        <v>#VALUE!</v>
      </c>
      <c r="BG19" s="65" t="e">
        <f t="shared" ca="1" si="45"/>
        <v>#VALUE!</v>
      </c>
      <c r="BH19" s="65" t="str">
        <f t="shared" ca="1" si="45"/>
        <v>-</v>
      </c>
      <c r="BI19" s="65" t="str">
        <f t="shared" ref="BI19:BX22" ca="1" si="46">IF(AND(BI$2&gt;=$G19,BI$2&lt;($G19+$I19)),ROUND($F19/$I19,0),"-")</f>
        <v>-</v>
      </c>
      <c r="BJ19" s="65" t="str">
        <f t="shared" ca="1" si="46"/>
        <v>-</v>
      </c>
      <c r="BK19" s="65" t="str">
        <f t="shared" ca="1" si="46"/>
        <v>-</v>
      </c>
      <c r="BL19" s="65" t="str">
        <f t="shared" ca="1" si="46"/>
        <v>-</v>
      </c>
      <c r="BM19" s="65" t="str">
        <f t="shared" ca="1" si="46"/>
        <v>-</v>
      </c>
      <c r="BN19" s="65" t="str">
        <f t="shared" ca="1" si="46"/>
        <v>-</v>
      </c>
      <c r="BO19" s="65" t="str">
        <f t="shared" ca="1" si="46"/>
        <v>-</v>
      </c>
      <c r="BP19" s="65" t="str">
        <f t="shared" ca="1" si="46"/>
        <v>-</v>
      </c>
      <c r="BQ19" s="65" t="str">
        <f t="shared" ca="1" si="46"/>
        <v>-</v>
      </c>
      <c r="BR19" s="65" t="str">
        <f t="shared" ca="1" si="46"/>
        <v>-</v>
      </c>
      <c r="BS19" s="65" t="str">
        <f t="shared" ca="1" si="46"/>
        <v>-</v>
      </c>
      <c r="BT19" s="65" t="str">
        <f t="shared" ca="1" si="46"/>
        <v>-</v>
      </c>
      <c r="BU19" s="65" t="str">
        <f t="shared" ca="1" si="46"/>
        <v>-</v>
      </c>
      <c r="BV19" s="65" t="str">
        <f t="shared" ca="1" si="46"/>
        <v>-</v>
      </c>
      <c r="BW19" s="65" t="str">
        <f t="shared" ca="1" si="46"/>
        <v>-</v>
      </c>
      <c r="BX19" s="65" t="str">
        <f t="shared" ca="1" si="46"/>
        <v>-</v>
      </c>
      <c r="BY19" s="65" t="str">
        <f t="shared" ref="BY19:CN22" ca="1" si="47">IF(AND(BY$2&gt;=$G19,BY$2&lt;($G19+$I19)),ROUND($F19/$I19,0),"-")</f>
        <v>-</v>
      </c>
      <c r="BZ19" s="65" t="str">
        <f t="shared" ca="1" si="47"/>
        <v>-</v>
      </c>
      <c r="CA19" s="65" t="str">
        <f t="shared" ca="1" si="47"/>
        <v>-</v>
      </c>
      <c r="CB19" s="65" t="str">
        <f t="shared" ca="1" si="47"/>
        <v>-</v>
      </c>
      <c r="CC19" s="65" t="str">
        <f t="shared" ca="1" si="47"/>
        <v>-</v>
      </c>
      <c r="CD19" s="65" t="str">
        <f t="shared" ca="1" si="47"/>
        <v>-</v>
      </c>
      <c r="CE19" s="65" t="str">
        <f t="shared" ca="1" si="47"/>
        <v>-</v>
      </c>
      <c r="CF19" s="65" t="str">
        <f t="shared" ca="1" si="47"/>
        <v>-</v>
      </c>
      <c r="CG19" s="65" t="str">
        <f t="shared" ca="1" si="47"/>
        <v>-</v>
      </c>
      <c r="CH19" s="65" t="str">
        <f t="shared" ca="1" si="47"/>
        <v>-</v>
      </c>
      <c r="CI19" s="65" t="str">
        <f t="shared" ca="1" si="47"/>
        <v>-</v>
      </c>
      <c r="CJ19" s="65" t="str">
        <f t="shared" ca="1" si="47"/>
        <v>-</v>
      </c>
      <c r="CK19" s="65" t="str">
        <f t="shared" ca="1" si="47"/>
        <v>-</v>
      </c>
      <c r="CL19" s="65" t="str">
        <f t="shared" ca="1" si="47"/>
        <v>-</v>
      </c>
      <c r="CM19" s="65" t="str">
        <f t="shared" ca="1" si="47"/>
        <v>-</v>
      </c>
      <c r="CN19" s="65" t="str">
        <f t="shared" ca="1" si="47"/>
        <v>-</v>
      </c>
      <c r="CO19" s="65" t="str">
        <f t="shared" ref="CO19:DD22" ca="1" si="48">IF(AND(CO$2&gt;=$G19,CO$2&lt;($G19+$I19)),ROUND($F19/$I19,0),"-")</f>
        <v>-</v>
      </c>
      <c r="CP19" s="65" t="str">
        <f t="shared" ca="1" si="48"/>
        <v>-</v>
      </c>
      <c r="CQ19" s="65" t="str">
        <f t="shared" ca="1" si="48"/>
        <v>-</v>
      </c>
      <c r="CR19" s="65" t="str">
        <f t="shared" ca="1" si="48"/>
        <v>-</v>
      </c>
      <c r="CS19" s="65" t="str">
        <f t="shared" ca="1" si="48"/>
        <v>-</v>
      </c>
      <c r="CT19" s="186" t="str">
        <f t="shared" ca="1" si="48"/>
        <v>-</v>
      </c>
      <c r="CU19" s="186" t="str">
        <f t="shared" ca="1" si="48"/>
        <v>-</v>
      </c>
      <c r="CV19" s="186" t="str">
        <f t="shared" ca="1" si="48"/>
        <v>-</v>
      </c>
      <c r="CW19" s="186" t="str">
        <f t="shared" ca="1" si="48"/>
        <v>-</v>
      </c>
      <c r="CX19" s="65" t="str">
        <f t="shared" ca="1" si="48"/>
        <v>-</v>
      </c>
      <c r="CY19" s="65" t="str">
        <f t="shared" ca="1" si="48"/>
        <v>-</v>
      </c>
      <c r="CZ19" s="65" t="str">
        <f t="shared" ca="1" si="48"/>
        <v>-</v>
      </c>
      <c r="DA19" s="65" t="str">
        <f t="shared" ca="1" si="48"/>
        <v>-</v>
      </c>
      <c r="DB19" s="65" t="str">
        <f t="shared" ca="1" si="48"/>
        <v>-</v>
      </c>
      <c r="DC19" s="65" t="str">
        <f t="shared" ca="1" si="48"/>
        <v>-</v>
      </c>
      <c r="DD19" s="65" t="str">
        <f t="shared" ca="1" si="48"/>
        <v>-</v>
      </c>
      <c r="DE19" s="65" t="str">
        <f t="shared" ref="DE19:FP22" ca="1" si="49">IF(AND(DE$2&gt;=$G19,DE$2&lt;($G19+$I19)),ROUND($F19/$I19,0),"-")</f>
        <v>-</v>
      </c>
      <c r="DF19" s="65" t="str">
        <f t="shared" ca="1" si="49"/>
        <v>-</v>
      </c>
      <c r="DG19" s="65" t="str">
        <f t="shared" ca="1" si="49"/>
        <v>-</v>
      </c>
      <c r="DH19" s="65" t="str">
        <f t="shared" ca="1" si="49"/>
        <v>-</v>
      </c>
      <c r="DI19" s="65" t="str">
        <f t="shared" ca="1" si="49"/>
        <v>-</v>
      </c>
      <c r="DJ19" s="65" t="str">
        <f t="shared" ca="1" si="49"/>
        <v>-</v>
      </c>
      <c r="DK19" s="65" t="str">
        <f t="shared" ca="1" si="49"/>
        <v>-</v>
      </c>
      <c r="DL19" s="65" t="str">
        <f t="shared" ca="1" si="49"/>
        <v>-</v>
      </c>
      <c r="DM19" s="65" t="str">
        <f t="shared" ca="1" si="49"/>
        <v>-</v>
      </c>
      <c r="DN19" s="65" t="str">
        <f t="shared" ca="1" si="49"/>
        <v>-</v>
      </c>
      <c r="DO19" s="65" t="str">
        <f t="shared" ca="1" si="49"/>
        <v>-</v>
      </c>
      <c r="DP19" s="65" t="str">
        <f t="shared" ca="1" si="49"/>
        <v>-</v>
      </c>
      <c r="DQ19" s="65" t="str">
        <f t="shared" ca="1" si="49"/>
        <v>-</v>
      </c>
      <c r="DR19" s="65" t="str">
        <f t="shared" ca="1" si="49"/>
        <v>-</v>
      </c>
      <c r="DS19" s="65" t="str">
        <f t="shared" ca="1" si="49"/>
        <v>-</v>
      </c>
      <c r="DT19" s="65" t="str">
        <f t="shared" ca="1" si="49"/>
        <v>-</v>
      </c>
      <c r="DU19" s="65" t="str">
        <f t="shared" ca="1" si="49"/>
        <v>-</v>
      </c>
      <c r="DV19" s="65" t="str">
        <f t="shared" ca="1" si="49"/>
        <v>-</v>
      </c>
      <c r="DW19" s="65" t="str">
        <f t="shared" ca="1" si="49"/>
        <v>-</v>
      </c>
      <c r="DX19" s="65" t="str">
        <f t="shared" ca="1" si="49"/>
        <v>-</v>
      </c>
      <c r="DY19" s="65" t="str">
        <f t="shared" ca="1" si="49"/>
        <v>-</v>
      </c>
      <c r="DZ19" s="65" t="str">
        <f t="shared" ca="1" si="49"/>
        <v>-</v>
      </c>
      <c r="EA19" s="65" t="str">
        <f t="shared" ca="1" si="49"/>
        <v>-</v>
      </c>
      <c r="EB19" s="65" t="str">
        <f t="shared" ca="1" si="49"/>
        <v>-</v>
      </c>
      <c r="EC19" s="65" t="str">
        <f t="shared" ca="1" si="49"/>
        <v>-</v>
      </c>
      <c r="ED19" s="65" t="str">
        <f t="shared" ca="1" si="49"/>
        <v>-</v>
      </c>
      <c r="EE19" s="65" t="str">
        <f t="shared" ca="1" si="49"/>
        <v>-</v>
      </c>
      <c r="EF19" s="65" t="str">
        <f t="shared" ca="1" si="49"/>
        <v>-</v>
      </c>
      <c r="EG19" s="65" t="str">
        <f t="shared" ca="1" si="49"/>
        <v>-</v>
      </c>
      <c r="EH19" s="65" t="str">
        <f t="shared" ca="1" si="49"/>
        <v>-</v>
      </c>
      <c r="EI19" s="65" t="str">
        <f t="shared" ca="1" si="49"/>
        <v>-</v>
      </c>
      <c r="EJ19" s="65" t="str">
        <f t="shared" ca="1" si="49"/>
        <v>-</v>
      </c>
      <c r="EK19" s="65" t="str">
        <f t="shared" ca="1" si="49"/>
        <v>-</v>
      </c>
      <c r="EL19" s="65" t="str">
        <f t="shared" ca="1" si="49"/>
        <v>-</v>
      </c>
      <c r="EM19" s="65" t="str">
        <f t="shared" ca="1" si="49"/>
        <v>-</v>
      </c>
      <c r="EN19" s="65" t="str">
        <f t="shared" ca="1" si="49"/>
        <v>-</v>
      </c>
      <c r="EO19" s="65" t="str">
        <f t="shared" ca="1" si="49"/>
        <v>-</v>
      </c>
      <c r="EP19" s="65" t="str">
        <f t="shared" ca="1" si="49"/>
        <v>-</v>
      </c>
      <c r="EQ19" s="65" t="str">
        <f t="shared" ca="1" si="49"/>
        <v>-</v>
      </c>
      <c r="ER19" s="65" t="str">
        <f t="shared" ca="1" si="49"/>
        <v>-</v>
      </c>
      <c r="ES19" s="65" t="str">
        <f t="shared" ca="1" si="49"/>
        <v>-</v>
      </c>
      <c r="ET19" s="65" t="str">
        <f t="shared" ca="1" si="49"/>
        <v>-</v>
      </c>
      <c r="EU19" s="65" t="str">
        <f t="shared" ca="1" si="49"/>
        <v>-</v>
      </c>
      <c r="EV19" s="65" t="str">
        <f t="shared" ca="1" si="49"/>
        <v>-</v>
      </c>
      <c r="EW19" s="65" t="str">
        <f t="shared" ca="1" si="49"/>
        <v>-</v>
      </c>
      <c r="EX19" s="65" t="str">
        <f t="shared" ca="1" si="49"/>
        <v>-</v>
      </c>
      <c r="EY19" s="65" t="str">
        <f t="shared" ca="1" si="49"/>
        <v>-</v>
      </c>
      <c r="EZ19" s="65" t="str">
        <f t="shared" ca="1" si="49"/>
        <v>-</v>
      </c>
      <c r="FA19" s="65" t="str">
        <f t="shared" ca="1" si="49"/>
        <v>-</v>
      </c>
      <c r="FB19" s="65" t="str">
        <f t="shared" ca="1" si="49"/>
        <v>-</v>
      </c>
      <c r="FC19" s="65" t="str">
        <f t="shared" ca="1" si="49"/>
        <v>-</v>
      </c>
      <c r="FD19" s="65" t="str">
        <f t="shared" ca="1" si="49"/>
        <v>-</v>
      </c>
      <c r="FE19" s="65" t="str">
        <f t="shared" ca="1" si="49"/>
        <v>-</v>
      </c>
      <c r="FF19" s="65" t="str">
        <f t="shared" ca="1" si="49"/>
        <v>-</v>
      </c>
      <c r="FG19" s="65" t="str">
        <f t="shared" ca="1" si="49"/>
        <v>-</v>
      </c>
      <c r="FH19" s="65" t="str">
        <f t="shared" ca="1" si="49"/>
        <v>-</v>
      </c>
      <c r="FI19" s="65" t="str">
        <f t="shared" ca="1" si="49"/>
        <v>-</v>
      </c>
      <c r="FJ19" s="65" t="str">
        <f t="shared" ca="1" si="49"/>
        <v>-</v>
      </c>
      <c r="FK19" s="65" t="str">
        <f t="shared" ca="1" si="49"/>
        <v>-</v>
      </c>
      <c r="FL19" s="65" t="str">
        <f t="shared" ca="1" si="49"/>
        <v>-</v>
      </c>
      <c r="FM19" s="65" t="str">
        <f t="shared" ca="1" si="49"/>
        <v>-</v>
      </c>
      <c r="FN19" s="65" t="str">
        <f t="shared" ca="1" si="49"/>
        <v>-</v>
      </c>
      <c r="FO19" s="65" t="str">
        <f t="shared" ca="1" si="49"/>
        <v>-</v>
      </c>
      <c r="FP19" s="65" t="str">
        <f t="shared" ca="1" si="49"/>
        <v>-</v>
      </c>
      <c r="FQ19" s="65" t="str">
        <f t="shared" ref="FQ19:FR22" ca="1" si="50">IF(AND(FQ$2&gt;=$G19,FQ$2&lt;($G19+$I19)),ROUND($F19/$I19,0),"-")</f>
        <v>-</v>
      </c>
      <c r="FR19" s="65" t="str">
        <f t="shared" ca="1" si="50"/>
        <v>-</v>
      </c>
    </row>
    <row r="20" spans="1:174">
      <c r="A20" s="466"/>
      <c r="B20" s="451"/>
      <c r="C20" s="451"/>
      <c r="D20" s="456"/>
      <c r="E20" s="185" t="s">
        <v>65</v>
      </c>
      <c r="F20" s="66" t="e">
        <f>SUM('BESS 10B'!S118,'BESS 10B'!S120:S121,'BESS 10B'!S124:S126)</f>
        <v>#VALUE!</v>
      </c>
      <c r="G20" s="182">
        <f ca="1">TODAY()</f>
        <v>46233</v>
      </c>
      <c r="H20" s="182">
        <f>MAX('BESS 10B'!O118,'BESS 10B'!O120:O121,'BESS 10B'!O124:O126)</f>
        <v>46246</v>
      </c>
      <c r="I20" s="66">
        <f t="shared" ref="I20:I22" ca="1" si="51">H20-G20</f>
        <v>13</v>
      </c>
      <c r="J20" s="453"/>
      <c r="K20" s="662"/>
      <c r="L20" s="662"/>
      <c r="M20" s="65" t="str">
        <f t="shared" ca="1" si="43"/>
        <v>-</v>
      </c>
      <c r="N20" s="65" t="str">
        <f t="shared" ca="1" si="43"/>
        <v>-</v>
      </c>
      <c r="O20" s="65" t="str">
        <f t="shared" ca="1" si="43"/>
        <v>-</v>
      </c>
      <c r="P20" s="65" t="str">
        <f t="shared" ca="1" si="43"/>
        <v>-</v>
      </c>
      <c r="Q20" s="65" t="str">
        <f t="shared" ca="1" si="43"/>
        <v>-</v>
      </c>
      <c r="R20" s="65" t="str">
        <f t="shared" ca="1" si="43"/>
        <v>-</v>
      </c>
      <c r="S20" s="65" t="str">
        <f t="shared" ca="1" si="43"/>
        <v>-</v>
      </c>
      <c r="T20" s="65" t="str">
        <f t="shared" ca="1" si="43"/>
        <v>-</v>
      </c>
      <c r="U20" s="65" t="str">
        <f t="shared" ca="1" si="43"/>
        <v>-</v>
      </c>
      <c r="V20" s="65" t="str">
        <f t="shared" ca="1" si="43"/>
        <v>-</v>
      </c>
      <c r="W20" s="65" t="str">
        <f t="shared" ca="1" si="43"/>
        <v>-</v>
      </c>
      <c r="X20" s="65" t="str">
        <f t="shared" ca="1" si="43"/>
        <v>-</v>
      </c>
      <c r="Y20" s="65" t="str">
        <f t="shared" ca="1" si="43"/>
        <v>-</v>
      </c>
      <c r="Z20" s="65" t="str">
        <f t="shared" ca="1" si="43"/>
        <v>-</v>
      </c>
      <c r="AA20" s="65" t="str">
        <f t="shared" ca="1" si="43"/>
        <v>-</v>
      </c>
      <c r="AB20" s="65" t="str">
        <f t="shared" ca="1" si="43"/>
        <v>-</v>
      </c>
      <c r="AC20" s="65" t="str">
        <f t="shared" ca="1" si="44"/>
        <v>-</v>
      </c>
      <c r="AD20" s="65" t="str">
        <f t="shared" ca="1" si="44"/>
        <v>-</v>
      </c>
      <c r="AE20" s="65" t="str">
        <f t="shared" ca="1" si="44"/>
        <v>-</v>
      </c>
      <c r="AF20" s="65" t="str">
        <f t="shared" ca="1" si="44"/>
        <v>-</v>
      </c>
      <c r="AG20" s="65" t="str">
        <f t="shared" ca="1" si="44"/>
        <v>-</v>
      </c>
      <c r="AH20" s="65" t="str">
        <f t="shared" ca="1" si="44"/>
        <v>-</v>
      </c>
      <c r="AI20" s="65" t="str">
        <f t="shared" ca="1" si="44"/>
        <v>-</v>
      </c>
      <c r="AJ20" s="65" t="str">
        <f t="shared" ca="1" si="44"/>
        <v>-</v>
      </c>
      <c r="AK20" s="65" t="str">
        <f t="shared" ca="1" si="44"/>
        <v>-</v>
      </c>
      <c r="AL20" s="65" t="str">
        <f t="shared" ca="1" si="44"/>
        <v>-</v>
      </c>
      <c r="AM20" s="65" t="str">
        <f t="shared" ca="1" si="44"/>
        <v>-</v>
      </c>
      <c r="AN20" s="65" t="str">
        <f t="shared" ca="1" si="44"/>
        <v>-</v>
      </c>
      <c r="AO20" s="65" t="str">
        <f t="shared" ca="1" si="44"/>
        <v>-</v>
      </c>
      <c r="AP20" s="65" t="str">
        <f t="shared" ca="1" si="44"/>
        <v>-</v>
      </c>
      <c r="AQ20" s="65" t="str">
        <f t="shared" ca="1" si="44"/>
        <v>-</v>
      </c>
      <c r="AR20" s="65" t="str">
        <f t="shared" ca="1" si="44"/>
        <v>-</v>
      </c>
      <c r="AS20" s="65" t="str">
        <f t="shared" ca="1" si="45"/>
        <v>-</v>
      </c>
      <c r="AT20" s="65" t="str">
        <f t="shared" ca="1" si="45"/>
        <v>-</v>
      </c>
      <c r="AU20" s="65" t="str">
        <f t="shared" ca="1" si="45"/>
        <v>-</v>
      </c>
      <c r="AV20" s="65" t="str">
        <f t="shared" ca="1" si="45"/>
        <v>-</v>
      </c>
      <c r="AW20" s="65" t="str">
        <f t="shared" ca="1" si="45"/>
        <v>-</v>
      </c>
      <c r="AX20" s="65" t="str">
        <f t="shared" ca="1" si="45"/>
        <v>-</v>
      </c>
      <c r="AY20" s="65" t="e">
        <f t="shared" ca="1" si="45"/>
        <v>#VALUE!</v>
      </c>
      <c r="AZ20" s="65" t="e">
        <f t="shared" ca="1" si="45"/>
        <v>#VALUE!</v>
      </c>
      <c r="BA20" s="65" t="e">
        <f t="shared" ca="1" si="45"/>
        <v>#VALUE!</v>
      </c>
      <c r="BB20" s="65" t="e">
        <f t="shared" ca="1" si="45"/>
        <v>#VALUE!</v>
      </c>
      <c r="BC20" s="65" t="e">
        <f t="shared" ca="1" si="45"/>
        <v>#VALUE!</v>
      </c>
      <c r="BD20" s="65" t="e">
        <f t="shared" ca="1" si="45"/>
        <v>#VALUE!</v>
      </c>
      <c r="BE20" s="65" t="e">
        <f t="shared" ca="1" si="45"/>
        <v>#VALUE!</v>
      </c>
      <c r="BF20" s="65" t="e">
        <f t="shared" ca="1" si="45"/>
        <v>#VALUE!</v>
      </c>
      <c r="BG20" s="65" t="e">
        <f t="shared" ca="1" si="45"/>
        <v>#VALUE!</v>
      </c>
      <c r="BH20" s="65" t="e">
        <f t="shared" ca="1" si="45"/>
        <v>#VALUE!</v>
      </c>
      <c r="BI20" s="65" t="e">
        <f t="shared" ca="1" si="46"/>
        <v>#VALUE!</v>
      </c>
      <c r="BJ20" s="65" t="e">
        <f t="shared" ca="1" si="46"/>
        <v>#VALUE!</v>
      </c>
      <c r="BK20" s="65" t="e">
        <f t="shared" ca="1" si="46"/>
        <v>#VALUE!</v>
      </c>
      <c r="BL20" s="65" t="str">
        <f t="shared" ca="1" si="46"/>
        <v>-</v>
      </c>
      <c r="BM20" s="65" t="str">
        <f t="shared" ca="1" si="46"/>
        <v>-</v>
      </c>
      <c r="BN20" s="65" t="str">
        <f t="shared" ca="1" si="46"/>
        <v>-</v>
      </c>
      <c r="BO20" s="65" t="str">
        <f t="shared" ca="1" si="46"/>
        <v>-</v>
      </c>
      <c r="BP20" s="65" t="str">
        <f t="shared" ca="1" si="46"/>
        <v>-</v>
      </c>
      <c r="BQ20" s="65" t="str">
        <f t="shared" ca="1" si="46"/>
        <v>-</v>
      </c>
      <c r="BR20" s="65" t="str">
        <f t="shared" ca="1" si="46"/>
        <v>-</v>
      </c>
      <c r="BS20" s="65" t="str">
        <f t="shared" ca="1" si="46"/>
        <v>-</v>
      </c>
      <c r="BT20" s="65" t="str">
        <f t="shared" ca="1" si="46"/>
        <v>-</v>
      </c>
      <c r="BU20" s="65" t="str">
        <f t="shared" ca="1" si="46"/>
        <v>-</v>
      </c>
      <c r="BV20" s="65" t="str">
        <f t="shared" ca="1" si="46"/>
        <v>-</v>
      </c>
      <c r="BW20" s="65" t="str">
        <f t="shared" ca="1" si="46"/>
        <v>-</v>
      </c>
      <c r="BX20" s="65" t="str">
        <f t="shared" ca="1" si="46"/>
        <v>-</v>
      </c>
      <c r="BY20" s="65" t="str">
        <f t="shared" ca="1" si="47"/>
        <v>-</v>
      </c>
      <c r="BZ20" s="65" t="str">
        <f t="shared" ca="1" si="47"/>
        <v>-</v>
      </c>
      <c r="CA20" s="65" t="str">
        <f t="shared" ca="1" si="47"/>
        <v>-</v>
      </c>
      <c r="CB20" s="65" t="str">
        <f t="shared" ca="1" si="47"/>
        <v>-</v>
      </c>
      <c r="CC20" s="65" t="str">
        <f t="shared" ca="1" si="47"/>
        <v>-</v>
      </c>
      <c r="CD20" s="65" t="str">
        <f t="shared" ca="1" si="47"/>
        <v>-</v>
      </c>
      <c r="CE20" s="65" t="str">
        <f t="shared" ca="1" si="47"/>
        <v>-</v>
      </c>
      <c r="CF20" s="65" t="str">
        <f t="shared" ca="1" si="47"/>
        <v>-</v>
      </c>
      <c r="CG20" s="65" t="str">
        <f t="shared" ca="1" si="47"/>
        <v>-</v>
      </c>
      <c r="CH20" s="65" t="str">
        <f t="shared" ca="1" si="47"/>
        <v>-</v>
      </c>
      <c r="CI20" s="65" t="str">
        <f t="shared" ca="1" si="47"/>
        <v>-</v>
      </c>
      <c r="CJ20" s="65" t="str">
        <f t="shared" ca="1" si="47"/>
        <v>-</v>
      </c>
      <c r="CK20" s="65" t="str">
        <f t="shared" ca="1" si="47"/>
        <v>-</v>
      </c>
      <c r="CL20" s="65" t="str">
        <f t="shared" ca="1" si="47"/>
        <v>-</v>
      </c>
      <c r="CM20" s="65" t="str">
        <f t="shared" ca="1" si="47"/>
        <v>-</v>
      </c>
      <c r="CN20" s="65" t="str">
        <f t="shared" ca="1" si="47"/>
        <v>-</v>
      </c>
      <c r="CO20" s="65" t="str">
        <f t="shared" ca="1" si="48"/>
        <v>-</v>
      </c>
      <c r="CP20" s="65" t="str">
        <f t="shared" ca="1" si="48"/>
        <v>-</v>
      </c>
      <c r="CQ20" s="65" t="str">
        <f t="shared" ca="1" si="48"/>
        <v>-</v>
      </c>
      <c r="CR20" s="65" t="str">
        <f t="shared" ca="1" si="48"/>
        <v>-</v>
      </c>
      <c r="CS20" s="65" t="str">
        <f t="shared" ca="1" si="48"/>
        <v>-</v>
      </c>
      <c r="CT20" s="186" t="str">
        <f t="shared" ca="1" si="48"/>
        <v>-</v>
      </c>
      <c r="CU20" s="186" t="str">
        <f t="shared" ca="1" si="48"/>
        <v>-</v>
      </c>
      <c r="CV20" s="186" t="str">
        <f t="shared" ca="1" si="48"/>
        <v>-</v>
      </c>
      <c r="CW20" s="186" t="str">
        <f t="shared" ca="1" si="48"/>
        <v>-</v>
      </c>
      <c r="CX20" s="65" t="str">
        <f t="shared" ca="1" si="48"/>
        <v>-</v>
      </c>
      <c r="CY20" s="65" t="str">
        <f t="shared" ref="CY20:FJ22" ca="1" si="52">IF(AND(CY$2&gt;=$G20,CY$2&lt;($G20+$I20)),ROUND($F20/$I20,0),"-")</f>
        <v>-</v>
      </c>
      <c r="CZ20" s="65" t="str">
        <f t="shared" ca="1" si="52"/>
        <v>-</v>
      </c>
      <c r="DA20" s="65" t="str">
        <f t="shared" ca="1" si="52"/>
        <v>-</v>
      </c>
      <c r="DB20" s="65" t="str">
        <f t="shared" ca="1" si="52"/>
        <v>-</v>
      </c>
      <c r="DC20" s="65" t="str">
        <f t="shared" ca="1" si="52"/>
        <v>-</v>
      </c>
      <c r="DD20" s="65" t="str">
        <f t="shared" ca="1" si="52"/>
        <v>-</v>
      </c>
      <c r="DE20" s="65" t="str">
        <f t="shared" ca="1" si="52"/>
        <v>-</v>
      </c>
      <c r="DF20" s="65" t="str">
        <f t="shared" ca="1" si="52"/>
        <v>-</v>
      </c>
      <c r="DG20" s="65" t="str">
        <f t="shared" ca="1" si="52"/>
        <v>-</v>
      </c>
      <c r="DH20" s="65" t="str">
        <f t="shared" ca="1" si="52"/>
        <v>-</v>
      </c>
      <c r="DI20" s="65" t="str">
        <f t="shared" ca="1" si="52"/>
        <v>-</v>
      </c>
      <c r="DJ20" s="65" t="str">
        <f t="shared" ca="1" si="52"/>
        <v>-</v>
      </c>
      <c r="DK20" s="65" t="str">
        <f t="shared" ca="1" si="52"/>
        <v>-</v>
      </c>
      <c r="DL20" s="65" t="str">
        <f t="shared" ca="1" si="52"/>
        <v>-</v>
      </c>
      <c r="DM20" s="65" t="str">
        <f t="shared" ca="1" si="52"/>
        <v>-</v>
      </c>
      <c r="DN20" s="65" t="str">
        <f t="shared" ca="1" si="52"/>
        <v>-</v>
      </c>
      <c r="DO20" s="65" t="str">
        <f t="shared" ca="1" si="52"/>
        <v>-</v>
      </c>
      <c r="DP20" s="65" t="str">
        <f t="shared" ca="1" si="52"/>
        <v>-</v>
      </c>
      <c r="DQ20" s="65" t="str">
        <f t="shared" ca="1" si="52"/>
        <v>-</v>
      </c>
      <c r="DR20" s="65" t="str">
        <f t="shared" ca="1" si="52"/>
        <v>-</v>
      </c>
      <c r="DS20" s="65" t="str">
        <f t="shared" ca="1" si="52"/>
        <v>-</v>
      </c>
      <c r="DT20" s="65" t="str">
        <f t="shared" ca="1" si="52"/>
        <v>-</v>
      </c>
      <c r="DU20" s="65" t="str">
        <f t="shared" ca="1" si="52"/>
        <v>-</v>
      </c>
      <c r="DV20" s="65" t="str">
        <f t="shared" ca="1" si="52"/>
        <v>-</v>
      </c>
      <c r="DW20" s="65" t="str">
        <f t="shared" ca="1" si="52"/>
        <v>-</v>
      </c>
      <c r="DX20" s="65" t="str">
        <f t="shared" ca="1" si="52"/>
        <v>-</v>
      </c>
      <c r="DY20" s="65" t="str">
        <f t="shared" ca="1" si="52"/>
        <v>-</v>
      </c>
      <c r="DZ20" s="65" t="str">
        <f t="shared" ca="1" si="52"/>
        <v>-</v>
      </c>
      <c r="EA20" s="65" t="str">
        <f t="shared" ca="1" si="52"/>
        <v>-</v>
      </c>
      <c r="EB20" s="65" t="str">
        <f t="shared" ca="1" si="52"/>
        <v>-</v>
      </c>
      <c r="EC20" s="65" t="str">
        <f t="shared" ca="1" si="52"/>
        <v>-</v>
      </c>
      <c r="ED20" s="65" t="str">
        <f t="shared" ca="1" si="52"/>
        <v>-</v>
      </c>
      <c r="EE20" s="65" t="str">
        <f t="shared" ca="1" si="52"/>
        <v>-</v>
      </c>
      <c r="EF20" s="65" t="str">
        <f t="shared" ca="1" si="52"/>
        <v>-</v>
      </c>
      <c r="EG20" s="65" t="str">
        <f t="shared" ca="1" si="52"/>
        <v>-</v>
      </c>
      <c r="EH20" s="65" t="str">
        <f t="shared" ca="1" si="52"/>
        <v>-</v>
      </c>
      <c r="EI20" s="65" t="str">
        <f t="shared" ca="1" si="52"/>
        <v>-</v>
      </c>
      <c r="EJ20" s="65" t="str">
        <f t="shared" ca="1" si="52"/>
        <v>-</v>
      </c>
      <c r="EK20" s="65" t="str">
        <f t="shared" ca="1" si="52"/>
        <v>-</v>
      </c>
      <c r="EL20" s="65" t="str">
        <f t="shared" ca="1" si="52"/>
        <v>-</v>
      </c>
      <c r="EM20" s="65" t="str">
        <f t="shared" ca="1" si="52"/>
        <v>-</v>
      </c>
      <c r="EN20" s="65" t="str">
        <f t="shared" ca="1" si="52"/>
        <v>-</v>
      </c>
      <c r="EO20" s="65" t="str">
        <f t="shared" ca="1" si="52"/>
        <v>-</v>
      </c>
      <c r="EP20" s="65" t="str">
        <f t="shared" ca="1" si="52"/>
        <v>-</v>
      </c>
      <c r="EQ20" s="65" t="str">
        <f t="shared" ca="1" si="52"/>
        <v>-</v>
      </c>
      <c r="ER20" s="65" t="str">
        <f t="shared" ca="1" si="52"/>
        <v>-</v>
      </c>
      <c r="ES20" s="65" t="str">
        <f t="shared" ca="1" si="52"/>
        <v>-</v>
      </c>
      <c r="ET20" s="65" t="str">
        <f t="shared" ca="1" si="52"/>
        <v>-</v>
      </c>
      <c r="EU20" s="65" t="str">
        <f t="shared" ca="1" si="52"/>
        <v>-</v>
      </c>
      <c r="EV20" s="65" t="str">
        <f t="shared" ca="1" si="52"/>
        <v>-</v>
      </c>
      <c r="EW20" s="65" t="str">
        <f t="shared" ca="1" si="52"/>
        <v>-</v>
      </c>
      <c r="EX20" s="65" t="str">
        <f t="shared" ca="1" si="52"/>
        <v>-</v>
      </c>
      <c r="EY20" s="65" t="str">
        <f t="shared" ca="1" si="52"/>
        <v>-</v>
      </c>
      <c r="EZ20" s="65" t="str">
        <f t="shared" ca="1" si="52"/>
        <v>-</v>
      </c>
      <c r="FA20" s="65" t="str">
        <f t="shared" ca="1" si="52"/>
        <v>-</v>
      </c>
      <c r="FB20" s="65" t="str">
        <f t="shared" ca="1" si="52"/>
        <v>-</v>
      </c>
      <c r="FC20" s="65" t="str">
        <f t="shared" ca="1" si="52"/>
        <v>-</v>
      </c>
      <c r="FD20" s="65" t="str">
        <f t="shared" ca="1" si="52"/>
        <v>-</v>
      </c>
      <c r="FE20" s="65" t="str">
        <f t="shared" ca="1" si="52"/>
        <v>-</v>
      </c>
      <c r="FF20" s="65" t="str">
        <f t="shared" ca="1" si="52"/>
        <v>-</v>
      </c>
      <c r="FG20" s="65" t="str">
        <f t="shared" ca="1" si="52"/>
        <v>-</v>
      </c>
      <c r="FH20" s="65" t="str">
        <f t="shared" ca="1" si="52"/>
        <v>-</v>
      </c>
      <c r="FI20" s="65" t="str">
        <f t="shared" ca="1" si="52"/>
        <v>-</v>
      </c>
      <c r="FJ20" s="65" t="str">
        <f t="shared" ca="1" si="52"/>
        <v>-</v>
      </c>
      <c r="FK20" s="65" t="str">
        <f t="shared" ca="1" si="49"/>
        <v>-</v>
      </c>
      <c r="FL20" s="65" t="str">
        <f t="shared" ca="1" si="49"/>
        <v>-</v>
      </c>
      <c r="FM20" s="65" t="str">
        <f t="shared" ca="1" si="49"/>
        <v>-</v>
      </c>
      <c r="FN20" s="65" t="str">
        <f t="shared" ca="1" si="49"/>
        <v>-</v>
      </c>
      <c r="FO20" s="65" t="str">
        <f t="shared" ca="1" si="49"/>
        <v>-</v>
      </c>
      <c r="FP20" s="65" t="str">
        <f t="shared" ca="1" si="49"/>
        <v>-</v>
      </c>
      <c r="FQ20" s="65" t="str">
        <f t="shared" ca="1" si="50"/>
        <v>-</v>
      </c>
      <c r="FR20" s="65" t="str">
        <f t="shared" ca="1" si="50"/>
        <v>-</v>
      </c>
    </row>
    <row r="21" spans="1:174">
      <c r="A21" s="466"/>
      <c r="B21" s="451"/>
      <c r="C21" s="451"/>
      <c r="D21" s="456"/>
      <c r="E21" s="185" t="s">
        <v>66</v>
      </c>
      <c r="F21" s="66" t="e">
        <f>SUM('BESS 10B'!S119,'BESS 10B'!S122:S123,'BESS 10B'!S127:S128)</f>
        <v>#VALUE!</v>
      </c>
      <c r="G21" s="182">
        <f ca="1">TODAY()</f>
        <v>46233</v>
      </c>
      <c r="H21" s="182">
        <f>MAX('BESS 10B'!O119,'BESS 10B'!O121:O122,'BESS 10B'!O125:O127)</f>
        <v>46251</v>
      </c>
      <c r="I21" s="66">
        <f t="shared" ca="1" si="51"/>
        <v>18</v>
      </c>
      <c r="J21" s="453"/>
      <c r="K21" s="662"/>
      <c r="L21" s="662"/>
      <c r="M21" s="65" t="str">
        <f t="shared" ca="1" si="43"/>
        <v>-</v>
      </c>
      <c r="N21" s="65" t="str">
        <f t="shared" ca="1" si="43"/>
        <v>-</v>
      </c>
      <c r="O21" s="65" t="str">
        <f t="shared" ca="1" si="43"/>
        <v>-</v>
      </c>
      <c r="P21" s="65" t="str">
        <f t="shared" ca="1" si="43"/>
        <v>-</v>
      </c>
      <c r="Q21" s="65" t="str">
        <f t="shared" ca="1" si="43"/>
        <v>-</v>
      </c>
      <c r="R21" s="65" t="str">
        <f t="shared" ca="1" si="43"/>
        <v>-</v>
      </c>
      <c r="S21" s="65" t="str">
        <f t="shared" ca="1" si="43"/>
        <v>-</v>
      </c>
      <c r="T21" s="65" t="str">
        <f t="shared" ca="1" si="43"/>
        <v>-</v>
      </c>
      <c r="U21" s="65" t="str">
        <f t="shared" ca="1" si="43"/>
        <v>-</v>
      </c>
      <c r="V21" s="65" t="str">
        <f t="shared" ca="1" si="43"/>
        <v>-</v>
      </c>
      <c r="W21" s="65" t="str">
        <f t="shared" ca="1" si="43"/>
        <v>-</v>
      </c>
      <c r="X21" s="65" t="str">
        <f t="shared" ca="1" si="43"/>
        <v>-</v>
      </c>
      <c r="Y21" s="65" t="str">
        <f t="shared" ca="1" si="43"/>
        <v>-</v>
      </c>
      <c r="Z21" s="65" t="str">
        <f t="shared" ca="1" si="43"/>
        <v>-</v>
      </c>
      <c r="AA21" s="65" t="str">
        <f t="shared" ca="1" si="43"/>
        <v>-</v>
      </c>
      <c r="AB21" s="65" t="str">
        <f t="shared" ca="1" si="43"/>
        <v>-</v>
      </c>
      <c r="AC21" s="65" t="str">
        <f t="shared" ca="1" si="44"/>
        <v>-</v>
      </c>
      <c r="AD21" s="65" t="str">
        <f t="shared" ca="1" si="44"/>
        <v>-</v>
      </c>
      <c r="AE21" s="65" t="str">
        <f t="shared" ca="1" si="44"/>
        <v>-</v>
      </c>
      <c r="AF21" s="65" t="str">
        <f t="shared" ca="1" si="44"/>
        <v>-</v>
      </c>
      <c r="AG21" s="65" t="str">
        <f t="shared" ca="1" si="44"/>
        <v>-</v>
      </c>
      <c r="AH21" s="65" t="str">
        <f t="shared" ca="1" si="44"/>
        <v>-</v>
      </c>
      <c r="AI21" s="65" t="str">
        <f t="shared" ca="1" si="44"/>
        <v>-</v>
      </c>
      <c r="AJ21" s="65" t="str">
        <f t="shared" ca="1" si="44"/>
        <v>-</v>
      </c>
      <c r="AK21" s="65" t="str">
        <f t="shared" ca="1" si="44"/>
        <v>-</v>
      </c>
      <c r="AL21" s="65" t="str">
        <f t="shared" ca="1" si="44"/>
        <v>-</v>
      </c>
      <c r="AM21" s="65" t="str">
        <f t="shared" ca="1" si="44"/>
        <v>-</v>
      </c>
      <c r="AN21" s="65" t="str">
        <f t="shared" ca="1" si="44"/>
        <v>-</v>
      </c>
      <c r="AO21" s="65" t="str">
        <f t="shared" ca="1" si="44"/>
        <v>-</v>
      </c>
      <c r="AP21" s="65" t="str">
        <f t="shared" ca="1" si="44"/>
        <v>-</v>
      </c>
      <c r="AQ21" s="65" t="str">
        <f t="shared" ca="1" si="44"/>
        <v>-</v>
      </c>
      <c r="AR21" s="65" t="str">
        <f t="shared" ca="1" si="44"/>
        <v>-</v>
      </c>
      <c r="AS21" s="65" t="str">
        <f t="shared" ca="1" si="45"/>
        <v>-</v>
      </c>
      <c r="AT21" s="65" t="str">
        <f t="shared" ca="1" si="45"/>
        <v>-</v>
      </c>
      <c r="AU21" s="65" t="str">
        <f t="shared" ca="1" si="45"/>
        <v>-</v>
      </c>
      <c r="AV21" s="65" t="str">
        <f t="shared" ca="1" si="45"/>
        <v>-</v>
      </c>
      <c r="AW21" s="65" t="str">
        <f t="shared" ca="1" si="45"/>
        <v>-</v>
      </c>
      <c r="AX21" s="65" t="str">
        <f t="shared" ca="1" si="45"/>
        <v>-</v>
      </c>
      <c r="AY21" s="65" t="e">
        <f t="shared" ca="1" si="45"/>
        <v>#VALUE!</v>
      </c>
      <c r="AZ21" s="65" t="e">
        <f t="shared" ca="1" si="45"/>
        <v>#VALUE!</v>
      </c>
      <c r="BA21" s="65" t="e">
        <f t="shared" ca="1" si="45"/>
        <v>#VALUE!</v>
      </c>
      <c r="BB21" s="65" t="e">
        <f t="shared" ca="1" si="45"/>
        <v>#VALUE!</v>
      </c>
      <c r="BC21" s="65" t="e">
        <f t="shared" ca="1" si="45"/>
        <v>#VALUE!</v>
      </c>
      <c r="BD21" s="65" t="e">
        <f t="shared" ca="1" si="45"/>
        <v>#VALUE!</v>
      </c>
      <c r="BE21" s="65" t="e">
        <f t="shared" ca="1" si="45"/>
        <v>#VALUE!</v>
      </c>
      <c r="BF21" s="65" t="e">
        <f t="shared" ca="1" si="45"/>
        <v>#VALUE!</v>
      </c>
      <c r="BG21" s="65" t="e">
        <f t="shared" ca="1" si="45"/>
        <v>#VALUE!</v>
      </c>
      <c r="BH21" s="65" t="e">
        <f t="shared" ca="1" si="45"/>
        <v>#VALUE!</v>
      </c>
      <c r="BI21" s="65" t="e">
        <f t="shared" ca="1" si="46"/>
        <v>#VALUE!</v>
      </c>
      <c r="BJ21" s="65" t="e">
        <f t="shared" ca="1" si="46"/>
        <v>#VALUE!</v>
      </c>
      <c r="BK21" s="65" t="e">
        <f t="shared" ca="1" si="46"/>
        <v>#VALUE!</v>
      </c>
      <c r="BL21" s="65" t="e">
        <f t="shared" ca="1" si="46"/>
        <v>#VALUE!</v>
      </c>
      <c r="BM21" s="65" t="e">
        <f t="shared" ca="1" si="46"/>
        <v>#VALUE!</v>
      </c>
      <c r="BN21" s="65" t="e">
        <f t="shared" ca="1" si="46"/>
        <v>#VALUE!</v>
      </c>
      <c r="BO21" s="65" t="e">
        <f t="shared" ca="1" si="46"/>
        <v>#VALUE!</v>
      </c>
      <c r="BP21" s="65" t="e">
        <f t="shared" ca="1" si="46"/>
        <v>#VALUE!</v>
      </c>
      <c r="BQ21" s="65" t="str">
        <f t="shared" ca="1" si="46"/>
        <v>-</v>
      </c>
      <c r="BR21" s="65" t="str">
        <f t="shared" ca="1" si="46"/>
        <v>-</v>
      </c>
      <c r="BS21" s="65" t="str">
        <f t="shared" ca="1" si="46"/>
        <v>-</v>
      </c>
      <c r="BT21" s="65" t="str">
        <f t="shared" ca="1" si="46"/>
        <v>-</v>
      </c>
      <c r="BU21" s="65" t="str">
        <f t="shared" ca="1" si="46"/>
        <v>-</v>
      </c>
      <c r="BV21" s="65" t="str">
        <f t="shared" ca="1" si="46"/>
        <v>-</v>
      </c>
      <c r="BW21" s="65" t="str">
        <f t="shared" ca="1" si="46"/>
        <v>-</v>
      </c>
      <c r="BX21" s="65" t="str">
        <f t="shared" ca="1" si="46"/>
        <v>-</v>
      </c>
      <c r="BY21" s="65" t="str">
        <f t="shared" ca="1" si="47"/>
        <v>-</v>
      </c>
      <c r="BZ21" s="65" t="str">
        <f t="shared" ca="1" si="47"/>
        <v>-</v>
      </c>
      <c r="CA21" s="65" t="str">
        <f t="shared" ca="1" si="47"/>
        <v>-</v>
      </c>
      <c r="CB21" s="65" t="str">
        <f t="shared" ca="1" si="47"/>
        <v>-</v>
      </c>
      <c r="CC21" s="65" t="str">
        <f t="shared" ca="1" si="47"/>
        <v>-</v>
      </c>
      <c r="CD21" s="65" t="str">
        <f t="shared" ca="1" si="47"/>
        <v>-</v>
      </c>
      <c r="CE21" s="65" t="str">
        <f t="shared" ca="1" si="47"/>
        <v>-</v>
      </c>
      <c r="CF21" s="65" t="str">
        <f t="shared" ca="1" si="47"/>
        <v>-</v>
      </c>
      <c r="CG21" s="65" t="str">
        <f t="shared" ca="1" si="47"/>
        <v>-</v>
      </c>
      <c r="CH21" s="65" t="str">
        <f t="shared" ca="1" si="47"/>
        <v>-</v>
      </c>
      <c r="CI21" s="65" t="str">
        <f t="shared" ca="1" si="47"/>
        <v>-</v>
      </c>
      <c r="CJ21" s="65" t="str">
        <f t="shared" ca="1" si="47"/>
        <v>-</v>
      </c>
      <c r="CK21" s="65" t="str">
        <f t="shared" ca="1" si="47"/>
        <v>-</v>
      </c>
      <c r="CL21" s="65" t="str">
        <f t="shared" ca="1" si="47"/>
        <v>-</v>
      </c>
      <c r="CM21" s="65" t="str">
        <f t="shared" ca="1" si="47"/>
        <v>-</v>
      </c>
      <c r="CN21" s="65" t="str">
        <f t="shared" ca="1" si="47"/>
        <v>-</v>
      </c>
      <c r="CO21" s="65" t="str">
        <f t="shared" ca="1" si="48"/>
        <v>-</v>
      </c>
      <c r="CP21" s="65" t="str">
        <f t="shared" ca="1" si="48"/>
        <v>-</v>
      </c>
      <c r="CQ21" s="65" t="str">
        <f t="shared" ca="1" si="48"/>
        <v>-</v>
      </c>
      <c r="CR21" s="65" t="str">
        <f t="shared" ca="1" si="48"/>
        <v>-</v>
      </c>
      <c r="CS21" s="65" t="str">
        <f t="shared" ca="1" si="48"/>
        <v>-</v>
      </c>
      <c r="CT21" s="186" t="str">
        <f t="shared" ca="1" si="48"/>
        <v>-</v>
      </c>
      <c r="CU21" s="186" t="str">
        <f t="shared" ca="1" si="48"/>
        <v>-</v>
      </c>
      <c r="CV21" s="186" t="str">
        <f t="shared" ca="1" si="48"/>
        <v>-</v>
      </c>
      <c r="CW21" s="186" t="str">
        <f t="shared" ca="1" si="48"/>
        <v>-</v>
      </c>
      <c r="CX21" s="65" t="str">
        <f t="shared" ca="1" si="48"/>
        <v>-</v>
      </c>
      <c r="CY21" s="65" t="str">
        <f t="shared" ca="1" si="52"/>
        <v>-</v>
      </c>
      <c r="CZ21" s="65" t="str">
        <f t="shared" ca="1" si="52"/>
        <v>-</v>
      </c>
      <c r="DA21" s="65" t="str">
        <f t="shared" ca="1" si="52"/>
        <v>-</v>
      </c>
      <c r="DB21" s="65" t="str">
        <f t="shared" ca="1" si="52"/>
        <v>-</v>
      </c>
      <c r="DC21" s="65" t="str">
        <f t="shared" ca="1" si="52"/>
        <v>-</v>
      </c>
      <c r="DD21" s="65" t="str">
        <f t="shared" ca="1" si="52"/>
        <v>-</v>
      </c>
      <c r="DE21" s="65" t="str">
        <f t="shared" ca="1" si="52"/>
        <v>-</v>
      </c>
      <c r="DF21" s="65" t="str">
        <f t="shared" ca="1" si="52"/>
        <v>-</v>
      </c>
      <c r="DG21" s="65" t="str">
        <f t="shared" ca="1" si="52"/>
        <v>-</v>
      </c>
      <c r="DH21" s="65" t="str">
        <f t="shared" ca="1" si="52"/>
        <v>-</v>
      </c>
      <c r="DI21" s="65" t="str">
        <f t="shared" ca="1" si="52"/>
        <v>-</v>
      </c>
      <c r="DJ21" s="65" t="str">
        <f t="shared" ca="1" si="52"/>
        <v>-</v>
      </c>
      <c r="DK21" s="65" t="str">
        <f t="shared" ca="1" si="52"/>
        <v>-</v>
      </c>
      <c r="DL21" s="65" t="str">
        <f t="shared" ca="1" si="52"/>
        <v>-</v>
      </c>
      <c r="DM21" s="65" t="str">
        <f t="shared" ca="1" si="52"/>
        <v>-</v>
      </c>
      <c r="DN21" s="65" t="str">
        <f t="shared" ca="1" si="52"/>
        <v>-</v>
      </c>
      <c r="DO21" s="65" t="str">
        <f t="shared" ca="1" si="52"/>
        <v>-</v>
      </c>
      <c r="DP21" s="65" t="str">
        <f t="shared" ca="1" si="52"/>
        <v>-</v>
      </c>
      <c r="DQ21" s="65" t="str">
        <f t="shared" ca="1" si="52"/>
        <v>-</v>
      </c>
      <c r="DR21" s="65" t="str">
        <f t="shared" ca="1" si="52"/>
        <v>-</v>
      </c>
      <c r="DS21" s="65" t="str">
        <f t="shared" ca="1" si="52"/>
        <v>-</v>
      </c>
      <c r="DT21" s="65" t="str">
        <f t="shared" ca="1" si="52"/>
        <v>-</v>
      </c>
      <c r="DU21" s="65" t="str">
        <f t="shared" ca="1" si="52"/>
        <v>-</v>
      </c>
      <c r="DV21" s="65" t="str">
        <f t="shared" ca="1" si="52"/>
        <v>-</v>
      </c>
      <c r="DW21" s="65" t="str">
        <f t="shared" ca="1" si="52"/>
        <v>-</v>
      </c>
      <c r="DX21" s="65" t="str">
        <f t="shared" ca="1" si="52"/>
        <v>-</v>
      </c>
      <c r="DY21" s="65" t="str">
        <f t="shared" ca="1" si="52"/>
        <v>-</v>
      </c>
      <c r="DZ21" s="65" t="str">
        <f t="shared" ca="1" si="52"/>
        <v>-</v>
      </c>
      <c r="EA21" s="65" t="str">
        <f t="shared" ca="1" si="52"/>
        <v>-</v>
      </c>
      <c r="EB21" s="65" t="str">
        <f t="shared" ca="1" si="52"/>
        <v>-</v>
      </c>
      <c r="EC21" s="65" t="str">
        <f t="shared" ca="1" si="52"/>
        <v>-</v>
      </c>
      <c r="ED21" s="65" t="str">
        <f t="shared" ca="1" si="52"/>
        <v>-</v>
      </c>
      <c r="EE21" s="65" t="str">
        <f t="shared" ca="1" si="52"/>
        <v>-</v>
      </c>
      <c r="EF21" s="65" t="str">
        <f t="shared" ca="1" si="52"/>
        <v>-</v>
      </c>
      <c r="EG21" s="65" t="str">
        <f t="shared" ca="1" si="52"/>
        <v>-</v>
      </c>
      <c r="EH21" s="65" t="str">
        <f t="shared" ca="1" si="52"/>
        <v>-</v>
      </c>
      <c r="EI21" s="65" t="str">
        <f t="shared" ca="1" si="52"/>
        <v>-</v>
      </c>
      <c r="EJ21" s="65" t="str">
        <f t="shared" ca="1" si="52"/>
        <v>-</v>
      </c>
      <c r="EK21" s="65" t="str">
        <f t="shared" ca="1" si="52"/>
        <v>-</v>
      </c>
      <c r="EL21" s="65" t="str">
        <f t="shared" ca="1" si="52"/>
        <v>-</v>
      </c>
      <c r="EM21" s="65" t="str">
        <f t="shared" ca="1" si="52"/>
        <v>-</v>
      </c>
      <c r="EN21" s="65" t="str">
        <f t="shared" ca="1" si="52"/>
        <v>-</v>
      </c>
      <c r="EO21" s="65" t="str">
        <f t="shared" ca="1" si="52"/>
        <v>-</v>
      </c>
      <c r="EP21" s="65" t="str">
        <f t="shared" ca="1" si="52"/>
        <v>-</v>
      </c>
      <c r="EQ21" s="65" t="str">
        <f t="shared" ca="1" si="52"/>
        <v>-</v>
      </c>
      <c r="ER21" s="65" t="str">
        <f t="shared" ca="1" si="52"/>
        <v>-</v>
      </c>
      <c r="ES21" s="65" t="str">
        <f t="shared" ca="1" si="52"/>
        <v>-</v>
      </c>
      <c r="ET21" s="65" t="str">
        <f t="shared" ca="1" si="52"/>
        <v>-</v>
      </c>
      <c r="EU21" s="65" t="str">
        <f t="shared" ca="1" si="52"/>
        <v>-</v>
      </c>
      <c r="EV21" s="65" t="str">
        <f t="shared" ca="1" si="52"/>
        <v>-</v>
      </c>
      <c r="EW21" s="65" t="str">
        <f t="shared" ca="1" si="52"/>
        <v>-</v>
      </c>
      <c r="EX21" s="65" t="str">
        <f t="shared" ca="1" si="52"/>
        <v>-</v>
      </c>
      <c r="EY21" s="65" t="str">
        <f t="shared" ca="1" si="52"/>
        <v>-</v>
      </c>
      <c r="EZ21" s="65" t="str">
        <f t="shared" ca="1" si="52"/>
        <v>-</v>
      </c>
      <c r="FA21" s="65" t="str">
        <f t="shared" ca="1" si="52"/>
        <v>-</v>
      </c>
      <c r="FB21" s="65" t="str">
        <f t="shared" ca="1" si="52"/>
        <v>-</v>
      </c>
      <c r="FC21" s="65" t="str">
        <f t="shared" ca="1" si="52"/>
        <v>-</v>
      </c>
      <c r="FD21" s="65" t="str">
        <f t="shared" ca="1" si="52"/>
        <v>-</v>
      </c>
      <c r="FE21" s="65" t="str">
        <f t="shared" ca="1" si="52"/>
        <v>-</v>
      </c>
      <c r="FF21" s="65" t="str">
        <f t="shared" ca="1" si="52"/>
        <v>-</v>
      </c>
      <c r="FG21" s="65" t="str">
        <f t="shared" ca="1" si="52"/>
        <v>-</v>
      </c>
      <c r="FH21" s="65" t="str">
        <f t="shared" ca="1" si="52"/>
        <v>-</v>
      </c>
      <c r="FI21" s="65" t="str">
        <f t="shared" ca="1" si="52"/>
        <v>-</v>
      </c>
      <c r="FJ21" s="65" t="str">
        <f t="shared" ca="1" si="52"/>
        <v>-</v>
      </c>
      <c r="FK21" s="65" t="str">
        <f t="shared" ca="1" si="49"/>
        <v>-</v>
      </c>
      <c r="FL21" s="65" t="str">
        <f t="shared" ca="1" si="49"/>
        <v>-</v>
      </c>
      <c r="FM21" s="65" t="str">
        <f t="shared" ca="1" si="49"/>
        <v>-</v>
      </c>
      <c r="FN21" s="65" t="str">
        <f t="shared" ca="1" si="49"/>
        <v>-</v>
      </c>
      <c r="FO21" s="65" t="str">
        <f t="shared" ca="1" si="49"/>
        <v>-</v>
      </c>
      <c r="FP21" s="65" t="str">
        <f t="shared" ca="1" si="49"/>
        <v>-</v>
      </c>
      <c r="FQ21" s="65" t="str">
        <f t="shared" ca="1" si="50"/>
        <v>-</v>
      </c>
      <c r="FR21" s="65" t="str">
        <f t="shared" ca="1" si="50"/>
        <v>-</v>
      </c>
    </row>
    <row r="22" spans="1:174">
      <c r="A22" s="466"/>
      <c r="B22" s="451"/>
      <c r="C22" s="451"/>
      <c r="D22" s="456"/>
      <c r="E22" s="185" t="s">
        <v>67</v>
      </c>
      <c r="F22" s="66" t="e">
        <f>SUM('BESS 10B'!S130:S139)</f>
        <v>#VALUE!</v>
      </c>
      <c r="G22" s="182">
        <f>H22-14</f>
        <v>46241</v>
      </c>
      <c r="H22" s="182">
        <f>MAX('BESS 10B'!O130:O139)</f>
        <v>46255</v>
      </c>
      <c r="I22" s="66">
        <f t="shared" si="51"/>
        <v>14</v>
      </c>
      <c r="J22" s="453"/>
      <c r="K22" s="662"/>
      <c r="L22" s="662"/>
      <c r="M22" s="65" t="str">
        <f t="shared" si="43"/>
        <v>-</v>
      </c>
      <c r="N22" s="65" t="str">
        <f t="shared" si="43"/>
        <v>-</v>
      </c>
      <c r="O22" s="65" t="str">
        <f t="shared" si="43"/>
        <v>-</v>
      </c>
      <c r="P22" s="65" t="str">
        <f t="shared" si="43"/>
        <v>-</v>
      </c>
      <c r="Q22" s="65" t="str">
        <f t="shared" si="43"/>
        <v>-</v>
      </c>
      <c r="R22" s="65" t="str">
        <f t="shared" si="43"/>
        <v>-</v>
      </c>
      <c r="S22" s="65" t="str">
        <f t="shared" si="43"/>
        <v>-</v>
      </c>
      <c r="T22" s="65" t="str">
        <f t="shared" si="43"/>
        <v>-</v>
      </c>
      <c r="U22" s="65" t="str">
        <f t="shared" si="43"/>
        <v>-</v>
      </c>
      <c r="V22" s="65" t="str">
        <f t="shared" si="43"/>
        <v>-</v>
      </c>
      <c r="W22" s="65" t="str">
        <f t="shared" si="43"/>
        <v>-</v>
      </c>
      <c r="X22" s="65" t="str">
        <f t="shared" si="43"/>
        <v>-</v>
      </c>
      <c r="Y22" s="65" t="str">
        <f t="shared" si="43"/>
        <v>-</v>
      </c>
      <c r="Z22" s="65" t="str">
        <f t="shared" si="43"/>
        <v>-</v>
      </c>
      <c r="AA22" s="65" t="str">
        <f t="shared" si="43"/>
        <v>-</v>
      </c>
      <c r="AB22" s="65" t="str">
        <f t="shared" si="43"/>
        <v>-</v>
      </c>
      <c r="AC22" s="65" t="str">
        <f t="shared" si="44"/>
        <v>-</v>
      </c>
      <c r="AD22" s="65" t="str">
        <f t="shared" si="44"/>
        <v>-</v>
      </c>
      <c r="AE22" s="65" t="str">
        <f t="shared" si="44"/>
        <v>-</v>
      </c>
      <c r="AF22" s="65" t="str">
        <f t="shared" si="44"/>
        <v>-</v>
      </c>
      <c r="AG22" s="65" t="str">
        <f t="shared" si="44"/>
        <v>-</v>
      </c>
      <c r="AH22" s="65" t="str">
        <f t="shared" si="44"/>
        <v>-</v>
      </c>
      <c r="AI22" s="65" t="str">
        <f t="shared" si="44"/>
        <v>-</v>
      </c>
      <c r="AJ22" s="65" t="str">
        <f t="shared" si="44"/>
        <v>-</v>
      </c>
      <c r="AK22" s="65" t="str">
        <f t="shared" si="44"/>
        <v>-</v>
      </c>
      <c r="AL22" s="65" t="str">
        <f t="shared" si="44"/>
        <v>-</v>
      </c>
      <c r="AM22" s="65" t="str">
        <f t="shared" si="44"/>
        <v>-</v>
      </c>
      <c r="AN22" s="65" t="str">
        <f t="shared" si="44"/>
        <v>-</v>
      </c>
      <c r="AO22" s="65" t="str">
        <f t="shared" si="44"/>
        <v>-</v>
      </c>
      <c r="AP22" s="65" t="str">
        <f t="shared" si="44"/>
        <v>-</v>
      </c>
      <c r="AQ22" s="65" t="str">
        <f t="shared" si="44"/>
        <v>-</v>
      </c>
      <c r="AR22" s="65" t="str">
        <f t="shared" si="44"/>
        <v>-</v>
      </c>
      <c r="AS22" s="65" t="str">
        <f t="shared" si="45"/>
        <v>-</v>
      </c>
      <c r="AT22" s="65" t="str">
        <f t="shared" si="45"/>
        <v>-</v>
      </c>
      <c r="AU22" s="65" t="str">
        <f t="shared" si="45"/>
        <v>-</v>
      </c>
      <c r="AV22" s="65" t="str">
        <f t="shared" si="45"/>
        <v>-</v>
      </c>
      <c r="AW22" s="65" t="str">
        <f t="shared" si="45"/>
        <v>-</v>
      </c>
      <c r="AX22" s="65" t="str">
        <f t="shared" si="45"/>
        <v>-</v>
      </c>
      <c r="AY22" s="65" t="str">
        <f t="shared" si="45"/>
        <v>-</v>
      </c>
      <c r="AZ22" s="65" t="str">
        <f t="shared" si="45"/>
        <v>-</v>
      </c>
      <c r="BA22" s="65" t="str">
        <f t="shared" si="45"/>
        <v>-</v>
      </c>
      <c r="BB22" s="65" t="str">
        <f t="shared" si="45"/>
        <v>-</v>
      </c>
      <c r="BC22" s="65" t="str">
        <f t="shared" si="45"/>
        <v>-</v>
      </c>
      <c r="BD22" s="65" t="str">
        <f t="shared" si="45"/>
        <v>-</v>
      </c>
      <c r="BE22" s="65" t="str">
        <f t="shared" si="45"/>
        <v>-</v>
      </c>
      <c r="BF22" s="65" t="str">
        <f t="shared" si="45"/>
        <v>-</v>
      </c>
      <c r="BG22" s="65" t="e">
        <f t="shared" si="45"/>
        <v>#VALUE!</v>
      </c>
      <c r="BH22" s="65" t="e">
        <f t="shared" si="45"/>
        <v>#VALUE!</v>
      </c>
      <c r="BI22" s="65" t="e">
        <f t="shared" si="46"/>
        <v>#VALUE!</v>
      </c>
      <c r="BJ22" s="65" t="e">
        <f t="shared" si="46"/>
        <v>#VALUE!</v>
      </c>
      <c r="BK22" s="65" t="e">
        <f t="shared" si="46"/>
        <v>#VALUE!</v>
      </c>
      <c r="BL22" s="65" t="e">
        <f t="shared" si="46"/>
        <v>#VALUE!</v>
      </c>
      <c r="BM22" s="65" t="e">
        <f t="shared" si="46"/>
        <v>#VALUE!</v>
      </c>
      <c r="BN22" s="65" t="e">
        <f t="shared" si="46"/>
        <v>#VALUE!</v>
      </c>
      <c r="BO22" s="65" t="e">
        <f t="shared" si="46"/>
        <v>#VALUE!</v>
      </c>
      <c r="BP22" s="65" t="e">
        <f t="shared" si="46"/>
        <v>#VALUE!</v>
      </c>
      <c r="BQ22" s="65" t="e">
        <f t="shared" si="46"/>
        <v>#VALUE!</v>
      </c>
      <c r="BR22" s="65" t="e">
        <f t="shared" si="46"/>
        <v>#VALUE!</v>
      </c>
      <c r="BS22" s="65" t="e">
        <f t="shared" si="46"/>
        <v>#VALUE!</v>
      </c>
      <c r="BT22" s="65" t="e">
        <f t="shared" si="46"/>
        <v>#VALUE!</v>
      </c>
      <c r="BU22" s="65" t="str">
        <f t="shared" si="46"/>
        <v>-</v>
      </c>
      <c r="BV22" s="65" t="str">
        <f t="shared" si="46"/>
        <v>-</v>
      </c>
      <c r="BW22" s="65" t="str">
        <f t="shared" si="46"/>
        <v>-</v>
      </c>
      <c r="BX22" s="65" t="str">
        <f t="shared" si="46"/>
        <v>-</v>
      </c>
      <c r="BY22" s="65" t="str">
        <f t="shared" si="47"/>
        <v>-</v>
      </c>
      <c r="BZ22" s="65" t="str">
        <f t="shared" si="47"/>
        <v>-</v>
      </c>
      <c r="CA22" s="65" t="str">
        <f t="shared" si="47"/>
        <v>-</v>
      </c>
      <c r="CB22" s="65" t="str">
        <f t="shared" si="47"/>
        <v>-</v>
      </c>
      <c r="CC22" s="65" t="str">
        <f t="shared" si="47"/>
        <v>-</v>
      </c>
      <c r="CD22" s="65" t="str">
        <f t="shared" si="47"/>
        <v>-</v>
      </c>
      <c r="CE22" s="65" t="str">
        <f t="shared" si="47"/>
        <v>-</v>
      </c>
      <c r="CF22" s="65" t="str">
        <f t="shared" si="47"/>
        <v>-</v>
      </c>
      <c r="CG22" s="65" t="str">
        <f t="shared" si="47"/>
        <v>-</v>
      </c>
      <c r="CH22" s="65" t="str">
        <f t="shared" si="47"/>
        <v>-</v>
      </c>
      <c r="CI22" s="65" t="str">
        <f t="shared" si="47"/>
        <v>-</v>
      </c>
      <c r="CJ22" s="65" t="str">
        <f t="shared" si="47"/>
        <v>-</v>
      </c>
      <c r="CK22" s="65" t="str">
        <f t="shared" si="47"/>
        <v>-</v>
      </c>
      <c r="CL22" s="65" t="str">
        <f t="shared" si="47"/>
        <v>-</v>
      </c>
      <c r="CM22" s="65" t="str">
        <f t="shared" si="47"/>
        <v>-</v>
      </c>
      <c r="CN22" s="65" t="str">
        <f t="shared" si="47"/>
        <v>-</v>
      </c>
      <c r="CO22" s="65" t="str">
        <f t="shared" si="48"/>
        <v>-</v>
      </c>
      <c r="CP22" s="65" t="str">
        <f t="shared" si="48"/>
        <v>-</v>
      </c>
      <c r="CQ22" s="65" t="str">
        <f t="shared" si="48"/>
        <v>-</v>
      </c>
      <c r="CR22" s="65" t="str">
        <f t="shared" si="48"/>
        <v>-</v>
      </c>
      <c r="CS22" s="65" t="str">
        <f t="shared" si="48"/>
        <v>-</v>
      </c>
      <c r="CT22" s="186" t="str">
        <f t="shared" si="48"/>
        <v>-</v>
      </c>
      <c r="CU22" s="186" t="str">
        <f t="shared" si="48"/>
        <v>-</v>
      </c>
      <c r="CV22" s="186" t="str">
        <f t="shared" si="48"/>
        <v>-</v>
      </c>
      <c r="CW22" s="186" t="str">
        <f t="shared" si="48"/>
        <v>-</v>
      </c>
      <c r="CX22" s="65" t="str">
        <f t="shared" si="48"/>
        <v>-</v>
      </c>
      <c r="CY22" s="65" t="str">
        <f t="shared" si="52"/>
        <v>-</v>
      </c>
      <c r="CZ22" s="65" t="str">
        <f t="shared" si="52"/>
        <v>-</v>
      </c>
      <c r="DA22" s="65" t="str">
        <f t="shared" si="52"/>
        <v>-</v>
      </c>
      <c r="DB22" s="65" t="str">
        <f t="shared" si="52"/>
        <v>-</v>
      </c>
      <c r="DC22" s="65" t="str">
        <f t="shared" si="52"/>
        <v>-</v>
      </c>
      <c r="DD22" s="65" t="str">
        <f t="shared" si="52"/>
        <v>-</v>
      </c>
      <c r="DE22" s="65" t="str">
        <f t="shared" si="52"/>
        <v>-</v>
      </c>
      <c r="DF22" s="65" t="str">
        <f t="shared" si="52"/>
        <v>-</v>
      </c>
      <c r="DG22" s="65" t="str">
        <f t="shared" si="52"/>
        <v>-</v>
      </c>
      <c r="DH22" s="65" t="str">
        <f t="shared" si="52"/>
        <v>-</v>
      </c>
      <c r="DI22" s="65" t="str">
        <f t="shared" si="52"/>
        <v>-</v>
      </c>
      <c r="DJ22" s="65" t="str">
        <f t="shared" si="52"/>
        <v>-</v>
      </c>
      <c r="DK22" s="65" t="str">
        <f t="shared" si="52"/>
        <v>-</v>
      </c>
      <c r="DL22" s="65" t="str">
        <f t="shared" si="52"/>
        <v>-</v>
      </c>
      <c r="DM22" s="65" t="str">
        <f t="shared" si="52"/>
        <v>-</v>
      </c>
      <c r="DN22" s="65" t="str">
        <f t="shared" si="52"/>
        <v>-</v>
      </c>
      <c r="DO22" s="65" t="str">
        <f t="shared" si="52"/>
        <v>-</v>
      </c>
      <c r="DP22" s="65" t="str">
        <f t="shared" si="52"/>
        <v>-</v>
      </c>
      <c r="DQ22" s="65" t="str">
        <f t="shared" si="52"/>
        <v>-</v>
      </c>
      <c r="DR22" s="65" t="str">
        <f t="shared" si="52"/>
        <v>-</v>
      </c>
      <c r="DS22" s="65" t="str">
        <f t="shared" si="52"/>
        <v>-</v>
      </c>
      <c r="DT22" s="65" t="str">
        <f t="shared" si="52"/>
        <v>-</v>
      </c>
      <c r="DU22" s="65" t="str">
        <f t="shared" si="52"/>
        <v>-</v>
      </c>
      <c r="DV22" s="65" t="str">
        <f t="shared" si="52"/>
        <v>-</v>
      </c>
      <c r="DW22" s="65" t="str">
        <f t="shared" si="52"/>
        <v>-</v>
      </c>
      <c r="DX22" s="65" t="str">
        <f t="shared" si="52"/>
        <v>-</v>
      </c>
      <c r="DY22" s="65" t="str">
        <f t="shared" si="52"/>
        <v>-</v>
      </c>
      <c r="DZ22" s="65" t="str">
        <f t="shared" si="52"/>
        <v>-</v>
      </c>
      <c r="EA22" s="65" t="str">
        <f t="shared" si="52"/>
        <v>-</v>
      </c>
      <c r="EB22" s="65" t="str">
        <f t="shared" si="52"/>
        <v>-</v>
      </c>
      <c r="EC22" s="65" t="str">
        <f t="shared" si="52"/>
        <v>-</v>
      </c>
      <c r="ED22" s="65" t="str">
        <f t="shared" si="52"/>
        <v>-</v>
      </c>
      <c r="EE22" s="65" t="str">
        <f t="shared" si="52"/>
        <v>-</v>
      </c>
      <c r="EF22" s="65" t="str">
        <f t="shared" si="52"/>
        <v>-</v>
      </c>
      <c r="EG22" s="65" t="str">
        <f t="shared" si="52"/>
        <v>-</v>
      </c>
      <c r="EH22" s="65" t="str">
        <f t="shared" si="52"/>
        <v>-</v>
      </c>
      <c r="EI22" s="65" t="str">
        <f t="shared" si="52"/>
        <v>-</v>
      </c>
      <c r="EJ22" s="65" t="str">
        <f t="shared" si="52"/>
        <v>-</v>
      </c>
      <c r="EK22" s="65" t="str">
        <f t="shared" si="52"/>
        <v>-</v>
      </c>
      <c r="EL22" s="65" t="str">
        <f t="shared" si="52"/>
        <v>-</v>
      </c>
      <c r="EM22" s="65" t="str">
        <f t="shared" si="52"/>
        <v>-</v>
      </c>
      <c r="EN22" s="65" t="str">
        <f t="shared" si="52"/>
        <v>-</v>
      </c>
      <c r="EO22" s="65" t="str">
        <f t="shared" si="52"/>
        <v>-</v>
      </c>
      <c r="EP22" s="65" t="str">
        <f t="shared" si="52"/>
        <v>-</v>
      </c>
      <c r="EQ22" s="65" t="str">
        <f t="shared" si="52"/>
        <v>-</v>
      </c>
      <c r="ER22" s="65" t="str">
        <f t="shared" si="52"/>
        <v>-</v>
      </c>
      <c r="ES22" s="65" t="str">
        <f t="shared" si="52"/>
        <v>-</v>
      </c>
      <c r="ET22" s="65" t="str">
        <f t="shared" si="52"/>
        <v>-</v>
      </c>
      <c r="EU22" s="65" t="str">
        <f t="shared" si="52"/>
        <v>-</v>
      </c>
      <c r="EV22" s="65" t="str">
        <f t="shared" si="52"/>
        <v>-</v>
      </c>
      <c r="EW22" s="65" t="str">
        <f t="shared" si="52"/>
        <v>-</v>
      </c>
      <c r="EX22" s="65" t="str">
        <f t="shared" si="52"/>
        <v>-</v>
      </c>
      <c r="EY22" s="65" t="str">
        <f t="shared" si="52"/>
        <v>-</v>
      </c>
      <c r="EZ22" s="65" t="str">
        <f t="shared" si="52"/>
        <v>-</v>
      </c>
      <c r="FA22" s="65" t="str">
        <f t="shared" si="52"/>
        <v>-</v>
      </c>
      <c r="FB22" s="65" t="str">
        <f t="shared" si="52"/>
        <v>-</v>
      </c>
      <c r="FC22" s="65" t="str">
        <f t="shared" si="52"/>
        <v>-</v>
      </c>
      <c r="FD22" s="65" t="str">
        <f t="shared" si="52"/>
        <v>-</v>
      </c>
      <c r="FE22" s="65" t="str">
        <f t="shared" si="52"/>
        <v>-</v>
      </c>
      <c r="FF22" s="65" t="str">
        <f t="shared" si="52"/>
        <v>-</v>
      </c>
      <c r="FG22" s="65" t="str">
        <f t="shared" si="52"/>
        <v>-</v>
      </c>
      <c r="FH22" s="65" t="str">
        <f t="shared" si="52"/>
        <v>-</v>
      </c>
      <c r="FI22" s="65" t="str">
        <f t="shared" si="52"/>
        <v>-</v>
      </c>
      <c r="FJ22" s="65" t="str">
        <f t="shared" si="52"/>
        <v>-</v>
      </c>
      <c r="FK22" s="65" t="str">
        <f t="shared" si="49"/>
        <v>-</v>
      </c>
      <c r="FL22" s="65" t="str">
        <f t="shared" si="49"/>
        <v>-</v>
      </c>
      <c r="FM22" s="65" t="str">
        <f t="shared" si="49"/>
        <v>-</v>
      </c>
      <c r="FN22" s="65" t="str">
        <f t="shared" si="49"/>
        <v>-</v>
      </c>
      <c r="FO22" s="65" t="str">
        <f t="shared" si="49"/>
        <v>-</v>
      </c>
      <c r="FP22" s="65" t="str">
        <f t="shared" si="49"/>
        <v>-</v>
      </c>
      <c r="FQ22" s="65" t="str">
        <f t="shared" si="50"/>
        <v>-</v>
      </c>
      <c r="FR22" s="65" t="str">
        <f t="shared" si="50"/>
        <v>-</v>
      </c>
    </row>
    <row r="23" spans="1:174" ht="16.5">
      <c r="A23" s="466"/>
      <c r="B23" s="452"/>
      <c r="C23" s="452"/>
      <c r="D23" s="457"/>
      <c r="E23" s="185" t="s">
        <v>68</v>
      </c>
      <c r="F23" s="66">
        <v>250</v>
      </c>
      <c r="G23" s="182">
        <f>B18-3</f>
        <v>46283</v>
      </c>
      <c r="H23" s="182"/>
      <c r="I23" s="65">
        <v>30</v>
      </c>
      <c r="J23" s="454"/>
      <c r="K23" s="663"/>
      <c r="L23" s="663"/>
      <c r="M23" s="443" t="str">
        <f>IF(AND(M$2&gt;=$B$18-26,M$2&lt;=$B$18-3),5,IF(OR(M$2=$B$18-2,M$2=$B$18-1,M$2=$B$18,M$2=$B$18+1),30,IF(OR(M$2=$B$18+2,M$2=$B$18+3),5,"")))</f>
        <v/>
      </c>
      <c r="N23" s="443" t="str">
        <f t="shared" ref="N23:BY23" si="53">IF(AND(N$2&gt;=$B$18-26,N$2&lt;=$B$18-3),5,IF(OR(N$2=$B$18-2,N$2=$B$18-1,N$2=$B$18,N$2=$B$18+1),30,IF(OR(N$2=$B$18+2,N$2=$B$18+3),5,"")))</f>
        <v/>
      </c>
      <c r="O23" s="443" t="str">
        <f t="shared" si="53"/>
        <v/>
      </c>
      <c r="P23" s="443" t="str">
        <f t="shared" si="53"/>
        <v/>
      </c>
      <c r="Q23" s="443" t="str">
        <f t="shared" si="53"/>
        <v/>
      </c>
      <c r="R23" s="443" t="str">
        <f t="shared" si="53"/>
        <v/>
      </c>
      <c r="S23" s="443" t="str">
        <f t="shared" si="53"/>
        <v/>
      </c>
      <c r="T23" s="443" t="str">
        <f t="shared" si="53"/>
        <v/>
      </c>
      <c r="U23" s="443" t="str">
        <f t="shared" si="53"/>
        <v/>
      </c>
      <c r="V23" s="443" t="str">
        <f t="shared" si="53"/>
        <v/>
      </c>
      <c r="W23" s="443" t="str">
        <f t="shared" si="53"/>
        <v/>
      </c>
      <c r="X23" s="443" t="str">
        <f t="shared" si="53"/>
        <v/>
      </c>
      <c r="Y23" s="443" t="str">
        <f t="shared" si="53"/>
        <v/>
      </c>
      <c r="Z23" s="443" t="str">
        <f t="shared" si="53"/>
        <v/>
      </c>
      <c r="AA23" s="443" t="str">
        <f t="shared" si="53"/>
        <v/>
      </c>
      <c r="AB23" s="443" t="str">
        <f t="shared" si="53"/>
        <v/>
      </c>
      <c r="AC23" s="443" t="str">
        <f t="shared" si="53"/>
        <v/>
      </c>
      <c r="AD23" s="443" t="str">
        <f t="shared" si="53"/>
        <v/>
      </c>
      <c r="AE23" s="443" t="str">
        <f t="shared" si="53"/>
        <v/>
      </c>
      <c r="AF23" s="443" t="str">
        <f t="shared" si="53"/>
        <v/>
      </c>
      <c r="AG23" s="443" t="str">
        <f t="shared" si="53"/>
        <v/>
      </c>
      <c r="AH23" s="443" t="str">
        <f t="shared" si="53"/>
        <v/>
      </c>
      <c r="AI23" s="443" t="str">
        <f t="shared" si="53"/>
        <v/>
      </c>
      <c r="AJ23" s="443" t="str">
        <f t="shared" si="53"/>
        <v/>
      </c>
      <c r="AK23" s="443" t="str">
        <f t="shared" si="53"/>
        <v/>
      </c>
      <c r="AL23" s="443" t="str">
        <f t="shared" si="53"/>
        <v/>
      </c>
      <c r="AM23" s="443" t="str">
        <f t="shared" si="53"/>
        <v/>
      </c>
      <c r="AN23" s="443" t="str">
        <f t="shared" si="53"/>
        <v/>
      </c>
      <c r="AO23" s="443" t="str">
        <f t="shared" si="53"/>
        <v/>
      </c>
      <c r="AP23" s="443" t="str">
        <f t="shared" si="53"/>
        <v/>
      </c>
      <c r="AQ23" s="443" t="str">
        <f t="shared" si="53"/>
        <v/>
      </c>
      <c r="AR23" s="443" t="str">
        <f t="shared" si="53"/>
        <v/>
      </c>
      <c r="AS23" s="443" t="str">
        <f t="shared" si="53"/>
        <v/>
      </c>
      <c r="AT23" s="443" t="str">
        <f t="shared" si="53"/>
        <v/>
      </c>
      <c r="AU23" s="443" t="str">
        <f t="shared" si="53"/>
        <v/>
      </c>
      <c r="AV23" s="443" t="str">
        <f t="shared" si="53"/>
        <v/>
      </c>
      <c r="AW23" s="443" t="str">
        <f t="shared" si="53"/>
        <v/>
      </c>
      <c r="AX23" s="443" t="str">
        <f t="shared" si="53"/>
        <v/>
      </c>
      <c r="AY23" s="443" t="str">
        <f t="shared" si="53"/>
        <v/>
      </c>
      <c r="AZ23" s="443" t="str">
        <f t="shared" si="53"/>
        <v/>
      </c>
      <c r="BA23" s="443" t="str">
        <f t="shared" si="53"/>
        <v/>
      </c>
      <c r="BB23" s="443" t="str">
        <f t="shared" si="53"/>
        <v/>
      </c>
      <c r="BC23" s="443" t="str">
        <f t="shared" si="53"/>
        <v/>
      </c>
      <c r="BD23" s="443" t="str">
        <f t="shared" si="53"/>
        <v/>
      </c>
      <c r="BE23" s="443" t="str">
        <f t="shared" si="53"/>
        <v/>
      </c>
      <c r="BF23" s="443" t="str">
        <f t="shared" si="53"/>
        <v/>
      </c>
      <c r="BG23" s="443" t="str">
        <f t="shared" si="53"/>
        <v/>
      </c>
      <c r="BH23" s="443" t="str">
        <f t="shared" si="53"/>
        <v/>
      </c>
      <c r="BI23" s="443" t="str">
        <f t="shared" si="53"/>
        <v/>
      </c>
      <c r="BJ23" s="443" t="str">
        <f t="shared" si="53"/>
        <v/>
      </c>
      <c r="BK23" s="443" t="str">
        <f t="shared" si="53"/>
        <v/>
      </c>
      <c r="BL23" s="443" t="str">
        <f t="shared" si="53"/>
        <v/>
      </c>
      <c r="BM23" s="443" t="str">
        <f t="shared" si="53"/>
        <v/>
      </c>
      <c r="BN23" s="443" t="str">
        <f t="shared" si="53"/>
        <v/>
      </c>
      <c r="BO23" s="443" t="str">
        <f t="shared" si="53"/>
        <v/>
      </c>
      <c r="BP23" s="443" t="str">
        <f t="shared" si="53"/>
        <v/>
      </c>
      <c r="BQ23" s="443" t="str">
        <f t="shared" si="53"/>
        <v/>
      </c>
      <c r="BR23" s="443" t="str">
        <f t="shared" si="53"/>
        <v/>
      </c>
      <c r="BS23" s="443" t="str">
        <f t="shared" si="53"/>
        <v/>
      </c>
      <c r="BT23" s="443" t="str">
        <f t="shared" si="53"/>
        <v/>
      </c>
      <c r="BU23" s="443" t="str">
        <f t="shared" si="53"/>
        <v/>
      </c>
      <c r="BV23" s="443" t="str">
        <f t="shared" si="53"/>
        <v/>
      </c>
      <c r="BW23" s="443" t="str">
        <f t="shared" si="53"/>
        <v/>
      </c>
      <c r="BX23" s="443" t="str">
        <f t="shared" si="53"/>
        <v/>
      </c>
      <c r="BY23" s="443" t="str">
        <f t="shared" si="53"/>
        <v/>
      </c>
      <c r="BZ23" s="443">
        <f t="shared" ref="BZ23:EK23" si="54">IF(AND(BZ$2&gt;=$B$18-26,BZ$2&lt;=$B$18-3),5,IF(OR(BZ$2=$B$18-2,BZ$2=$B$18-1,BZ$2=$B$18,BZ$2=$B$18+1),30,IF(OR(BZ$2=$B$18+2,BZ$2=$B$18+3),5,"")))</f>
        <v>5</v>
      </c>
      <c r="CA23" s="443">
        <f t="shared" si="54"/>
        <v>5</v>
      </c>
      <c r="CB23" s="443">
        <f t="shared" si="54"/>
        <v>5</v>
      </c>
      <c r="CC23" s="443">
        <f t="shared" si="54"/>
        <v>5</v>
      </c>
      <c r="CD23" s="443">
        <f t="shared" si="54"/>
        <v>5</v>
      </c>
      <c r="CE23" s="443">
        <f t="shared" si="54"/>
        <v>5</v>
      </c>
      <c r="CF23" s="443">
        <f t="shared" si="54"/>
        <v>5</v>
      </c>
      <c r="CG23" s="443">
        <f t="shared" si="54"/>
        <v>5</v>
      </c>
      <c r="CH23" s="443">
        <f>IF(AND(CH$2&gt;=$B$18-26,CH$2&lt;=$B$18-3),5,IF(OR(CH$2=$B$18-2,CH$2=$B$18-1,CH$2=$B$18,CH$2=$B$18+1),30,IF(OR(CH$2=$B$18+2,CH$2=$B$18+3),5,"")))</f>
        <v>5</v>
      </c>
      <c r="CI23" s="443">
        <f t="shared" si="54"/>
        <v>5</v>
      </c>
      <c r="CJ23" s="443">
        <f t="shared" si="54"/>
        <v>5</v>
      </c>
      <c r="CK23" s="443">
        <f t="shared" si="54"/>
        <v>5</v>
      </c>
      <c r="CL23" s="443">
        <f t="shared" si="54"/>
        <v>5</v>
      </c>
      <c r="CM23" s="443">
        <f t="shared" si="54"/>
        <v>5</v>
      </c>
      <c r="CN23" s="443">
        <f t="shared" si="54"/>
        <v>5</v>
      </c>
      <c r="CO23" s="443">
        <f t="shared" si="54"/>
        <v>5</v>
      </c>
      <c r="CP23" s="443">
        <f t="shared" si="54"/>
        <v>5</v>
      </c>
      <c r="CQ23" s="443">
        <f t="shared" si="54"/>
        <v>5</v>
      </c>
      <c r="CR23" s="443">
        <f t="shared" si="54"/>
        <v>5</v>
      </c>
      <c r="CS23" s="443">
        <f t="shared" si="54"/>
        <v>5</v>
      </c>
      <c r="CT23" s="443">
        <f t="shared" si="54"/>
        <v>5</v>
      </c>
      <c r="CU23" s="443">
        <f t="shared" si="54"/>
        <v>5</v>
      </c>
      <c r="CV23" s="443">
        <f t="shared" si="54"/>
        <v>5</v>
      </c>
      <c r="CW23" s="443">
        <f t="shared" si="54"/>
        <v>5</v>
      </c>
      <c r="CX23" s="443">
        <f t="shared" si="54"/>
        <v>30</v>
      </c>
      <c r="CY23" s="443">
        <f t="shared" si="54"/>
        <v>30</v>
      </c>
      <c r="CZ23" s="443">
        <f t="shared" si="54"/>
        <v>30</v>
      </c>
      <c r="DA23" s="443">
        <f t="shared" si="54"/>
        <v>30</v>
      </c>
      <c r="DB23" s="443">
        <f t="shared" si="54"/>
        <v>5</v>
      </c>
      <c r="DC23" s="443">
        <f>IF(AND(DC$2&gt;=$B$18-26,DC$2&lt;=$B$18-3),5,IF(OR(DC$2=$B$18-2,DC$2=$B$18-1,DC$2=$B$18,DC$2=$B$18+1),30,IF(OR(DC$2=$B$18+2,DC$2=$B$18+3),5,"")))</f>
        <v>5</v>
      </c>
      <c r="DD23" s="443" t="str">
        <f t="shared" si="54"/>
        <v/>
      </c>
      <c r="DE23" s="443" t="str">
        <f t="shared" si="54"/>
        <v/>
      </c>
      <c r="DF23" s="443" t="str">
        <f t="shared" si="54"/>
        <v/>
      </c>
      <c r="DG23" s="443" t="str">
        <f t="shared" si="54"/>
        <v/>
      </c>
      <c r="DH23" s="443" t="str">
        <f t="shared" si="54"/>
        <v/>
      </c>
      <c r="DI23" s="443" t="str">
        <f t="shared" si="54"/>
        <v/>
      </c>
      <c r="DJ23" s="443" t="str">
        <f t="shared" si="54"/>
        <v/>
      </c>
      <c r="DK23" s="443" t="str">
        <f t="shared" si="54"/>
        <v/>
      </c>
      <c r="DL23" s="443" t="str">
        <f t="shared" si="54"/>
        <v/>
      </c>
      <c r="DM23" s="443" t="str">
        <f t="shared" si="54"/>
        <v/>
      </c>
      <c r="DN23" s="443" t="str">
        <f t="shared" si="54"/>
        <v/>
      </c>
      <c r="DO23" s="443" t="str">
        <f t="shared" si="54"/>
        <v/>
      </c>
      <c r="DP23" s="443" t="str">
        <f t="shared" si="54"/>
        <v/>
      </c>
      <c r="DQ23" s="443" t="str">
        <f t="shared" si="54"/>
        <v/>
      </c>
      <c r="DR23" s="443" t="str">
        <f t="shared" si="54"/>
        <v/>
      </c>
      <c r="DS23" s="443" t="str">
        <f t="shared" si="54"/>
        <v/>
      </c>
      <c r="DT23" s="443" t="str">
        <f t="shared" si="54"/>
        <v/>
      </c>
      <c r="DU23" s="443" t="str">
        <f t="shared" si="54"/>
        <v/>
      </c>
      <c r="DV23" s="443" t="str">
        <f t="shared" si="54"/>
        <v/>
      </c>
      <c r="DW23" s="443" t="str">
        <f t="shared" si="54"/>
        <v/>
      </c>
      <c r="DX23" s="443" t="str">
        <f t="shared" si="54"/>
        <v/>
      </c>
      <c r="DY23" s="443" t="str">
        <f t="shared" si="54"/>
        <v/>
      </c>
      <c r="DZ23" s="443" t="str">
        <f t="shared" si="54"/>
        <v/>
      </c>
      <c r="EA23" s="443" t="str">
        <f t="shared" si="54"/>
        <v/>
      </c>
      <c r="EB23" s="443" t="str">
        <f t="shared" si="54"/>
        <v/>
      </c>
      <c r="EC23" s="443" t="str">
        <f t="shared" si="54"/>
        <v/>
      </c>
      <c r="ED23" s="443" t="str">
        <f t="shared" si="54"/>
        <v/>
      </c>
      <c r="EE23" s="443" t="str">
        <f t="shared" si="54"/>
        <v/>
      </c>
      <c r="EF23" s="443" t="str">
        <f t="shared" si="54"/>
        <v/>
      </c>
      <c r="EG23" s="443" t="str">
        <f t="shared" si="54"/>
        <v/>
      </c>
      <c r="EH23" s="443" t="str">
        <f t="shared" si="54"/>
        <v/>
      </c>
      <c r="EI23" s="443" t="str">
        <f t="shared" si="54"/>
        <v/>
      </c>
      <c r="EJ23" s="443" t="str">
        <f t="shared" si="54"/>
        <v/>
      </c>
      <c r="EK23" s="443" t="str">
        <f t="shared" si="54"/>
        <v/>
      </c>
      <c r="EL23" s="443" t="str">
        <f t="shared" ref="EL23:FR23" si="55">IF(AND(EL$2&gt;=$B$18-26,EL$2&lt;=$B$18-3),5,IF(OR(EL$2=$B$18-2,EL$2=$B$18-1,EL$2=$B$18,EL$2=$B$18+1),30,IF(OR(EL$2=$B$18+2,EL$2=$B$18+3),5,"")))</f>
        <v/>
      </c>
      <c r="EM23" s="443" t="str">
        <f t="shared" si="55"/>
        <v/>
      </c>
      <c r="EN23" s="443" t="str">
        <f t="shared" si="55"/>
        <v/>
      </c>
      <c r="EO23" s="443" t="str">
        <f t="shared" si="55"/>
        <v/>
      </c>
      <c r="EP23" s="443" t="str">
        <f t="shared" si="55"/>
        <v/>
      </c>
      <c r="EQ23" s="443" t="str">
        <f t="shared" si="55"/>
        <v/>
      </c>
      <c r="ER23" s="443" t="str">
        <f t="shared" si="55"/>
        <v/>
      </c>
      <c r="ES23" s="443" t="str">
        <f t="shared" si="55"/>
        <v/>
      </c>
      <c r="ET23" s="443" t="str">
        <f t="shared" si="55"/>
        <v/>
      </c>
      <c r="EU23" s="443" t="str">
        <f t="shared" si="55"/>
        <v/>
      </c>
      <c r="EV23" s="443" t="str">
        <f t="shared" si="55"/>
        <v/>
      </c>
      <c r="EW23" s="443" t="str">
        <f t="shared" si="55"/>
        <v/>
      </c>
      <c r="EX23" s="443" t="str">
        <f t="shared" si="55"/>
        <v/>
      </c>
      <c r="EY23" s="443" t="str">
        <f t="shared" si="55"/>
        <v/>
      </c>
      <c r="EZ23" s="443" t="str">
        <f t="shared" si="55"/>
        <v/>
      </c>
      <c r="FA23" s="443" t="str">
        <f t="shared" si="55"/>
        <v/>
      </c>
      <c r="FB23" s="443" t="str">
        <f t="shared" si="55"/>
        <v/>
      </c>
      <c r="FC23" s="443" t="str">
        <f t="shared" si="55"/>
        <v/>
      </c>
      <c r="FD23" s="443" t="str">
        <f t="shared" si="55"/>
        <v/>
      </c>
      <c r="FE23" s="443" t="str">
        <f t="shared" si="55"/>
        <v/>
      </c>
      <c r="FF23" s="443" t="str">
        <f t="shared" si="55"/>
        <v/>
      </c>
      <c r="FG23" s="443" t="str">
        <f t="shared" si="55"/>
        <v/>
      </c>
      <c r="FH23" s="443" t="str">
        <f t="shared" si="55"/>
        <v/>
      </c>
      <c r="FI23" s="443" t="str">
        <f t="shared" si="55"/>
        <v/>
      </c>
      <c r="FJ23" s="443" t="str">
        <f t="shared" si="55"/>
        <v/>
      </c>
      <c r="FK23" s="443" t="str">
        <f t="shared" si="55"/>
        <v/>
      </c>
      <c r="FL23" s="443" t="str">
        <f t="shared" si="55"/>
        <v/>
      </c>
      <c r="FM23" s="443" t="str">
        <f t="shared" si="55"/>
        <v/>
      </c>
      <c r="FN23" s="443" t="str">
        <f t="shared" si="55"/>
        <v/>
      </c>
      <c r="FO23" s="443" t="str">
        <f t="shared" si="55"/>
        <v/>
      </c>
      <c r="FP23" s="443" t="str">
        <f t="shared" si="55"/>
        <v/>
      </c>
      <c r="FQ23" s="443" t="str">
        <f t="shared" si="55"/>
        <v/>
      </c>
      <c r="FR23" s="443" t="str">
        <f t="shared" si="55"/>
        <v/>
      </c>
    </row>
    <row r="24" spans="1:174" s="191" customFormat="1" ht="13.5" hidden="1" customHeight="1">
      <c r="B24" s="197"/>
      <c r="E24" s="188"/>
      <c r="F24" s="169"/>
      <c r="G24" s="181" t="s">
        <v>69</v>
      </c>
      <c r="H24" s="181"/>
      <c r="I24" s="171"/>
      <c r="J24" s="203"/>
      <c r="K24" s="181"/>
      <c r="L24" s="181"/>
      <c r="M24" s="190">
        <f ca="1">SUM(M19:M23)</f>
        <v>0</v>
      </c>
      <c r="N24" s="190">
        <f ca="1">SUM(N19:N23)</f>
        <v>0</v>
      </c>
      <c r="O24" s="190">
        <f ca="1">SUM(O19:O23)</f>
        <v>0</v>
      </c>
      <c r="P24" s="190">
        <f t="shared" ref="P24:CA24" ca="1" si="56">SUM(P19:P23)</f>
        <v>0</v>
      </c>
      <c r="Q24" s="190">
        <f t="shared" ca="1" si="56"/>
        <v>0</v>
      </c>
      <c r="R24" s="190">
        <f t="shared" ca="1" si="56"/>
        <v>0</v>
      </c>
      <c r="S24" s="190">
        <f t="shared" ca="1" si="56"/>
        <v>0</v>
      </c>
      <c r="T24" s="190">
        <f t="shared" ca="1" si="56"/>
        <v>0</v>
      </c>
      <c r="U24" s="190">
        <f t="shared" ca="1" si="56"/>
        <v>0</v>
      </c>
      <c r="V24" s="190">
        <f t="shared" ca="1" si="56"/>
        <v>0</v>
      </c>
      <c r="W24" s="190">
        <f t="shared" ca="1" si="56"/>
        <v>0</v>
      </c>
      <c r="X24" s="190">
        <f t="shared" ca="1" si="56"/>
        <v>0</v>
      </c>
      <c r="Y24" s="190">
        <f t="shared" ca="1" si="56"/>
        <v>0</v>
      </c>
      <c r="Z24" s="190">
        <f t="shared" ca="1" si="56"/>
        <v>0</v>
      </c>
      <c r="AA24" s="190">
        <f t="shared" ca="1" si="56"/>
        <v>0</v>
      </c>
      <c r="AB24" s="190">
        <f t="shared" ca="1" si="56"/>
        <v>0</v>
      </c>
      <c r="AC24" s="190">
        <f t="shared" ca="1" si="56"/>
        <v>0</v>
      </c>
      <c r="AD24" s="190">
        <f t="shared" ca="1" si="56"/>
        <v>0</v>
      </c>
      <c r="AE24" s="190">
        <f t="shared" ca="1" si="56"/>
        <v>0</v>
      </c>
      <c r="AF24" s="190">
        <f t="shared" ca="1" si="56"/>
        <v>0</v>
      </c>
      <c r="AG24" s="190">
        <f t="shared" ca="1" si="56"/>
        <v>0</v>
      </c>
      <c r="AH24" s="190">
        <f t="shared" ca="1" si="56"/>
        <v>0</v>
      </c>
      <c r="AI24" s="190">
        <f t="shared" ca="1" si="56"/>
        <v>0</v>
      </c>
      <c r="AJ24" s="190">
        <f t="shared" ca="1" si="56"/>
        <v>0</v>
      </c>
      <c r="AK24" s="190">
        <f t="shared" ca="1" si="56"/>
        <v>0</v>
      </c>
      <c r="AL24" s="190">
        <f t="shared" ca="1" si="56"/>
        <v>0</v>
      </c>
      <c r="AM24" s="190">
        <f t="shared" ca="1" si="56"/>
        <v>0</v>
      </c>
      <c r="AN24" s="190">
        <f t="shared" ca="1" si="56"/>
        <v>0</v>
      </c>
      <c r="AO24" s="190">
        <f t="shared" ca="1" si="56"/>
        <v>0</v>
      </c>
      <c r="AP24" s="190">
        <f t="shared" ca="1" si="56"/>
        <v>0</v>
      </c>
      <c r="AQ24" s="190">
        <f t="shared" ca="1" si="56"/>
        <v>0</v>
      </c>
      <c r="AR24" s="190">
        <f t="shared" ca="1" si="56"/>
        <v>0</v>
      </c>
      <c r="AS24" s="190">
        <f t="shared" ca="1" si="56"/>
        <v>0</v>
      </c>
      <c r="AT24" s="190">
        <f t="shared" ca="1" si="56"/>
        <v>0</v>
      </c>
      <c r="AU24" s="190">
        <f t="shared" ca="1" si="56"/>
        <v>0</v>
      </c>
      <c r="AV24" s="190">
        <f t="shared" ca="1" si="56"/>
        <v>0</v>
      </c>
      <c r="AW24" s="190">
        <f t="shared" ca="1" si="56"/>
        <v>0</v>
      </c>
      <c r="AX24" s="190">
        <f t="shared" ca="1" si="56"/>
        <v>0</v>
      </c>
      <c r="AY24" s="190" t="e">
        <f t="shared" ca="1" si="56"/>
        <v>#VALUE!</v>
      </c>
      <c r="AZ24" s="190" t="e">
        <f t="shared" ca="1" si="56"/>
        <v>#VALUE!</v>
      </c>
      <c r="BA24" s="190" t="e">
        <f t="shared" ca="1" si="56"/>
        <v>#VALUE!</v>
      </c>
      <c r="BB24" s="190" t="e">
        <f t="shared" ca="1" si="56"/>
        <v>#VALUE!</v>
      </c>
      <c r="BC24" s="190" t="e">
        <f t="shared" ca="1" si="56"/>
        <v>#VALUE!</v>
      </c>
      <c r="BD24" s="190" t="e">
        <f t="shared" ca="1" si="56"/>
        <v>#VALUE!</v>
      </c>
      <c r="BE24" s="190" t="e">
        <f t="shared" ca="1" si="56"/>
        <v>#VALUE!</v>
      </c>
      <c r="BF24" s="190" t="e">
        <f t="shared" ca="1" si="56"/>
        <v>#VALUE!</v>
      </c>
      <c r="BG24" s="190" t="e">
        <f t="shared" ca="1" si="56"/>
        <v>#VALUE!</v>
      </c>
      <c r="BH24" s="190" t="e">
        <f t="shared" ca="1" si="56"/>
        <v>#VALUE!</v>
      </c>
      <c r="BI24" s="190" t="e">
        <f t="shared" ca="1" si="56"/>
        <v>#VALUE!</v>
      </c>
      <c r="BJ24" s="190" t="e">
        <f t="shared" ca="1" si="56"/>
        <v>#VALUE!</v>
      </c>
      <c r="BK24" s="190" t="e">
        <f t="shared" ca="1" si="56"/>
        <v>#VALUE!</v>
      </c>
      <c r="BL24" s="190" t="e">
        <f t="shared" ca="1" si="56"/>
        <v>#VALUE!</v>
      </c>
      <c r="BM24" s="190" t="e">
        <f t="shared" ca="1" si="56"/>
        <v>#VALUE!</v>
      </c>
      <c r="BN24" s="190" t="e">
        <f t="shared" ca="1" si="56"/>
        <v>#VALUE!</v>
      </c>
      <c r="BO24" s="190" t="e">
        <f t="shared" ca="1" si="56"/>
        <v>#VALUE!</v>
      </c>
      <c r="BP24" s="190" t="e">
        <f t="shared" ca="1" si="56"/>
        <v>#VALUE!</v>
      </c>
      <c r="BQ24" s="190" t="e">
        <f t="shared" ca="1" si="56"/>
        <v>#VALUE!</v>
      </c>
      <c r="BR24" s="190" t="e">
        <f t="shared" ca="1" si="56"/>
        <v>#VALUE!</v>
      </c>
      <c r="BS24" s="190" t="e">
        <f t="shared" ca="1" si="56"/>
        <v>#VALUE!</v>
      </c>
      <c r="BT24" s="190" t="e">
        <f t="shared" ca="1" si="56"/>
        <v>#VALUE!</v>
      </c>
      <c r="BU24" s="190">
        <f t="shared" ca="1" si="56"/>
        <v>0</v>
      </c>
      <c r="BV24" s="190">
        <f t="shared" ca="1" si="56"/>
        <v>0</v>
      </c>
      <c r="BW24" s="190">
        <f t="shared" ca="1" si="56"/>
        <v>0</v>
      </c>
      <c r="BX24" s="190">
        <f t="shared" ca="1" si="56"/>
        <v>0</v>
      </c>
      <c r="BY24" s="190">
        <f t="shared" ca="1" si="56"/>
        <v>0</v>
      </c>
      <c r="BZ24" s="190">
        <f t="shared" ca="1" si="56"/>
        <v>5</v>
      </c>
      <c r="CA24" s="190">
        <f t="shared" ca="1" si="56"/>
        <v>5</v>
      </c>
      <c r="CB24" s="190">
        <f t="shared" ref="CB24:CX24" ca="1" si="57">SUM(CB19:CB23)</f>
        <v>5</v>
      </c>
      <c r="CC24" s="190">
        <f t="shared" ca="1" si="57"/>
        <v>5</v>
      </c>
      <c r="CD24" s="190">
        <f t="shared" ca="1" si="57"/>
        <v>5</v>
      </c>
      <c r="CE24" s="190">
        <f t="shared" ca="1" si="57"/>
        <v>5</v>
      </c>
      <c r="CF24" s="190">
        <f t="shared" ca="1" si="57"/>
        <v>5</v>
      </c>
      <c r="CG24" s="190">
        <f t="shared" ca="1" si="57"/>
        <v>5</v>
      </c>
      <c r="CH24" s="190">
        <f t="shared" ca="1" si="57"/>
        <v>5</v>
      </c>
      <c r="CI24" s="190">
        <f t="shared" ca="1" si="57"/>
        <v>5</v>
      </c>
      <c r="CJ24" s="190">
        <f t="shared" ca="1" si="57"/>
        <v>5</v>
      </c>
      <c r="CK24" s="190">
        <f t="shared" ca="1" si="57"/>
        <v>5</v>
      </c>
      <c r="CL24" s="190">
        <f t="shared" ca="1" si="57"/>
        <v>5</v>
      </c>
      <c r="CM24" s="190">
        <f t="shared" ca="1" si="57"/>
        <v>5</v>
      </c>
      <c r="CN24" s="190">
        <f t="shared" ca="1" si="57"/>
        <v>5</v>
      </c>
      <c r="CO24" s="190">
        <f t="shared" ca="1" si="57"/>
        <v>5</v>
      </c>
      <c r="CP24" s="190">
        <f t="shared" ca="1" si="57"/>
        <v>5</v>
      </c>
      <c r="CQ24" s="190">
        <f t="shared" ca="1" si="57"/>
        <v>5</v>
      </c>
      <c r="CR24" s="190">
        <f t="shared" ca="1" si="57"/>
        <v>5</v>
      </c>
      <c r="CS24" s="190">
        <f t="shared" ca="1" si="57"/>
        <v>5</v>
      </c>
      <c r="CT24" s="190">
        <f t="shared" ca="1" si="57"/>
        <v>5</v>
      </c>
      <c r="CU24" s="190">
        <f t="shared" ca="1" si="57"/>
        <v>5</v>
      </c>
      <c r="CV24" s="190">
        <f t="shared" ca="1" si="57"/>
        <v>5</v>
      </c>
      <c r="CW24" s="190">
        <f t="shared" ca="1" si="57"/>
        <v>5</v>
      </c>
      <c r="CX24" s="190">
        <f t="shared" ca="1" si="57"/>
        <v>30</v>
      </c>
      <c r="CY24" s="190">
        <f t="shared" ref="CY24:FJ24" ca="1" si="58">SUM(CY19:CY23)</f>
        <v>30</v>
      </c>
      <c r="CZ24" s="190">
        <f t="shared" ca="1" si="58"/>
        <v>30</v>
      </c>
      <c r="DA24" s="190">
        <f t="shared" ca="1" si="58"/>
        <v>30</v>
      </c>
      <c r="DB24" s="190">
        <f t="shared" ca="1" si="58"/>
        <v>5</v>
      </c>
      <c r="DC24" s="190">
        <f t="shared" ca="1" si="58"/>
        <v>5</v>
      </c>
      <c r="DD24" s="190">
        <f t="shared" ca="1" si="58"/>
        <v>0</v>
      </c>
      <c r="DE24" s="190">
        <f t="shared" ca="1" si="58"/>
        <v>0</v>
      </c>
      <c r="DF24" s="190">
        <f t="shared" ca="1" si="58"/>
        <v>0</v>
      </c>
      <c r="DG24" s="190">
        <f t="shared" ca="1" si="58"/>
        <v>0</v>
      </c>
      <c r="DH24" s="190">
        <f t="shared" ca="1" si="58"/>
        <v>0</v>
      </c>
      <c r="DI24" s="190">
        <f t="shared" ca="1" si="58"/>
        <v>0</v>
      </c>
      <c r="DJ24" s="190">
        <f t="shared" ca="1" si="58"/>
        <v>0</v>
      </c>
      <c r="DK24" s="190">
        <f t="shared" ca="1" si="58"/>
        <v>0</v>
      </c>
      <c r="DL24" s="190">
        <f t="shared" ca="1" si="58"/>
        <v>0</v>
      </c>
      <c r="DM24" s="190">
        <f t="shared" ca="1" si="58"/>
        <v>0</v>
      </c>
      <c r="DN24" s="190">
        <f t="shared" ca="1" si="58"/>
        <v>0</v>
      </c>
      <c r="DO24" s="190">
        <f t="shared" ca="1" si="58"/>
        <v>0</v>
      </c>
      <c r="DP24" s="190">
        <f t="shared" ca="1" si="58"/>
        <v>0</v>
      </c>
      <c r="DQ24" s="190">
        <f t="shared" ca="1" si="58"/>
        <v>0</v>
      </c>
      <c r="DR24" s="190">
        <f t="shared" ca="1" si="58"/>
        <v>0</v>
      </c>
      <c r="DS24" s="190">
        <f t="shared" ca="1" si="58"/>
        <v>0</v>
      </c>
      <c r="DT24" s="190">
        <f t="shared" ca="1" si="58"/>
        <v>0</v>
      </c>
      <c r="DU24" s="190">
        <f t="shared" ca="1" si="58"/>
        <v>0</v>
      </c>
      <c r="DV24" s="190">
        <f t="shared" ca="1" si="58"/>
        <v>0</v>
      </c>
      <c r="DW24" s="190">
        <f t="shared" ca="1" si="58"/>
        <v>0</v>
      </c>
      <c r="DX24" s="190">
        <f t="shared" ca="1" si="58"/>
        <v>0</v>
      </c>
      <c r="DY24" s="190">
        <f t="shared" ca="1" si="58"/>
        <v>0</v>
      </c>
      <c r="DZ24" s="190">
        <f t="shared" ca="1" si="58"/>
        <v>0</v>
      </c>
      <c r="EA24" s="190">
        <f t="shared" ca="1" si="58"/>
        <v>0</v>
      </c>
      <c r="EB24" s="190">
        <f t="shared" ca="1" si="58"/>
        <v>0</v>
      </c>
      <c r="EC24" s="190">
        <f t="shared" ca="1" si="58"/>
        <v>0</v>
      </c>
      <c r="ED24" s="190">
        <f t="shared" ca="1" si="58"/>
        <v>0</v>
      </c>
      <c r="EE24" s="190">
        <f t="shared" ca="1" si="58"/>
        <v>0</v>
      </c>
      <c r="EF24" s="190">
        <f t="shared" ca="1" si="58"/>
        <v>0</v>
      </c>
      <c r="EG24" s="190">
        <f t="shared" ca="1" si="58"/>
        <v>0</v>
      </c>
      <c r="EH24" s="190">
        <f t="shared" ca="1" si="58"/>
        <v>0</v>
      </c>
      <c r="EI24" s="190">
        <f t="shared" ca="1" si="58"/>
        <v>0</v>
      </c>
      <c r="EJ24" s="190">
        <f t="shared" ca="1" si="58"/>
        <v>0</v>
      </c>
      <c r="EK24" s="190">
        <f t="shared" ca="1" si="58"/>
        <v>0</v>
      </c>
      <c r="EL24" s="190">
        <f t="shared" ca="1" si="58"/>
        <v>0</v>
      </c>
      <c r="EM24" s="190">
        <f t="shared" ca="1" si="58"/>
        <v>0</v>
      </c>
      <c r="EN24" s="190">
        <f t="shared" ca="1" si="58"/>
        <v>0</v>
      </c>
      <c r="EO24" s="190">
        <f t="shared" ca="1" si="58"/>
        <v>0</v>
      </c>
      <c r="EP24" s="190">
        <f t="shared" ca="1" si="58"/>
        <v>0</v>
      </c>
      <c r="EQ24" s="190">
        <f t="shared" ca="1" si="58"/>
        <v>0</v>
      </c>
      <c r="ER24" s="190">
        <f t="shared" ca="1" si="58"/>
        <v>0</v>
      </c>
      <c r="ES24" s="190">
        <f t="shared" ca="1" si="58"/>
        <v>0</v>
      </c>
      <c r="ET24" s="190">
        <f t="shared" ca="1" si="58"/>
        <v>0</v>
      </c>
      <c r="EU24" s="190">
        <f t="shared" ca="1" si="58"/>
        <v>0</v>
      </c>
      <c r="EV24" s="190">
        <f t="shared" ca="1" si="58"/>
        <v>0</v>
      </c>
      <c r="EW24" s="190">
        <f t="shared" ca="1" si="58"/>
        <v>0</v>
      </c>
      <c r="EX24" s="190">
        <f t="shared" ca="1" si="58"/>
        <v>0</v>
      </c>
      <c r="EY24" s="190">
        <f t="shared" ca="1" si="58"/>
        <v>0</v>
      </c>
      <c r="EZ24" s="190">
        <f t="shared" ca="1" si="58"/>
        <v>0</v>
      </c>
      <c r="FA24" s="190">
        <f t="shared" ca="1" si="58"/>
        <v>0</v>
      </c>
      <c r="FB24" s="190">
        <f t="shared" ca="1" si="58"/>
        <v>0</v>
      </c>
      <c r="FC24" s="190">
        <f t="shared" ca="1" si="58"/>
        <v>0</v>
      </c>
      <c r="FD24" s="190">
        <f t="shared" ca="1" si="58"/>
        <v>0</v>
      </c>
      <c r="FE24" s="190">
        <f t="shared" ca="1" si="58"/>
        <v>0</v>
      </c>
      <c r="FF24" s="190">
        <f t="shared" ca="1" si="58"/>
        <v>0</v>
      </c>
      <c r="FG24" s="190">
        <f t="shared" ca="1" si="58"/>
        <v>0</v>
      </c>
      <c r="FH24" s="190">
        <f t="shared" ca="1" si="58"/>
        <v>0</v>
      </c>
      <c r="FI24" s="190">
        <f t="shared" ca="1" si="58"/>
        <v>0</v>
      </c>
      <c r="FJ24" s="190">
        <f t="shared" ca="1" si="58"/>
        <v>0</v>
      </c>
      <c r="FK24" s="190">
        <f t="shared" ref="FK24:FR24" ca="1" si="59">SUM(FK19:FK23)</f>
        <v>0</v>
      </c>
      <c r="FL24" s="190">
        <f t="shared" ca="1" si="59"/>
        <v>0</v>
      </c>
      <c r="FM24" s="190">
        <f t="shared" ca="1" si="59"/>
        <v>0</v>
      </c>
      <c r="FN24" s="190">
        <f t="shared" ca="1" si="59"/>
        <v>0</v>
      </c>
      <c r="FO24" s="190">
        <f t="shared" ca="1" si="59"/>
        <v>0</v>
      </c>
      <c r="FP24" s="190">
        <f t="shared" ca="1" si="59"/>
        <v>0</v>
      </c>
      <c r="FQ24" s="190">
        <f t="shared" ca="1" si="59"/>
        <v>0</v>
      </c>
      <c r="FR24" s="190">
        <f t="shared" ca="1" si="59"/>
        <v>0</v>
      </c>
    </row>
    <row r="25" spans="1:174">
      <c r="B25" s="198"/>
      <c r="F25" s="53"/>
      <c r="G25" s="183"/>
      <c r="H25" s="183"/>
      <c r="I25" s="53"/>
      <c r="J25" s="5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  <c r="BA25" s="183"/>
      <c r="BB25" s="183"/>
      <c r="BC25" s="183"/>
      <c r="BD25" s="183"/>
      <c r="BE25" s="183"/>
      <c r="BF25" s="183"/>
      <c r="BG25" s="183"/>
      <c r="BH25" s="183"/>
      <c r="BI25" s="183"/>
      <c r="BJ25" s="183"/>
      <c r="BT25" s="119"/>
      <c r="CU25" s="185"/>
      <c r="CV25" s="185"/>
      <c r="CW25" s="185"/>
      <c r="CX25" s="185"/>
      <c r="CY25" s="185"/>
      <c r="CZ25" s="185"/>
      <c r="DA25" s="185"/>
      <c r="DB25" s="185"/>
      <c r="DC25" s="185"/>
      <c r="DD25" s="185"/>
      <c r="DE25" s="185"/>
      <c r="DF25" s="185"/>
      <c r="DG25" s="185"/>
      <c r="DH25" s="185"/>
      <c r="DI25" s="185"/>
      <c r="DJ25" s="185"/>
      <c r="DK25" s="185"/>
      <c r="DL25" s="185"/>
      <c r="DM25" s="185"/>
      <c r="DN25" s="185"/>
      <c r="DO25" s="185"/>
      <c r="DP25" s="185"/>
      <c r="DQ25" s="185"/>
      <c r="DR25" s="185"/>
      <c r="DS25" s="185"/>
      <c r="DT25" s="185"/>
      <c r="DU25" s="185"/>
      <c r="DV25" s="185"/>
      <c r="DW25" s="185"/>
      <c r="DX25" s="185"/>
      <c r="DY25" s="185"/>
      <c r="DZ25" s="185"/>
      <c r="EA25" s="185"/>
      <c r="EB25" s="185"/>
      <c r="EC25" s="185"/>
      <c r="ED25" s="185"/>
      <c r="EE25" s="185"/>
      <c r="EF25" s="185"/>
      <c r="EG25" s="185"/>
      <c r="EH25" s="185"/>
      <c r="EI25" s="185"/>
      <c r="EJ25" s="185"/>
      <c r="EK25" s="185"/>
      <c r="EL25" s="185"/>
      <c r="EM25" s="185"/>
      <c r="EN25" s="185"/>
      <c r="EO25" s="185"/>
      <c r="EP25" s="185"/>
      <c r="EQ25" s="185"/>
      <c r="ER25" s="185"/>
      <c r="ES25" s="185"/>
      <c r="ET25" s="185"/>
      <c r="EU25" s="185"/>
      <c r="EV25" s="185"/>
      <c r="EW25" s="185"/>
      <c r="EX25" s="185"/>
      <c r="EY25" s="185"/>
      <c r="EZ25" s="185"/>
      <c r="FA25" s="185"/>
      <c r="FB25" s="185"/>
      <c r="FC25" s="185"/>
      <c r="FD25" s="185"/>
      <c r="FE25" s="185"/>
      <c r="FF25" s="185"/>
      <c r="FG25" s="185"/>
      <c r="FH25" s="185"/>
      <c r="FI25" s="185"/>
      <c r="FJ25" s="185"/>
      <c r="FK25" s="185"/>
      <c r="FL25" s="185"/>
      <c r="FM25" s="185"/>
      <c r="FN25" s="185"/>
      <c r="FO25" s="185"/>
      <c r="FP25" s="185"/>
      <c r="FQ25" s="185"/>
      <c r="FR25" s="185"/>
    </row>
    <row r="26" spans="1:174" ht="27">
      <c r="A26" s="503" t="s">
        <v>71</v>
      </c>
      <c r="B26" s="450">
        <f>IF(LEN('BESS 10B'!F185)=5,'BESS 10B'!F185,(IF('BESS 10B'!F185="Completed"," ",DATEVALUE(RIGHT('BESS 10B'!F185,6)))))</f>
        <v>46295</v>
      </c>
      <c r="C26" s="450">
        <f>IF(LEN('BESS 10B'!G185)=5,'BESS 10B'!G185,(IF('BESS 10B'!G185="Completed"," ",DATEVALUE(RIGHT('BESS 10B'!G185,6)))))</f>
        <v>46300</v>
      </c>
      <c r="D26" s="455">
        <f>IF(LEN('BESS 10B'!H185)=5,'BESS 10B'!H185,(IF('BESS 10B'!H185="Completed"," ",DATEVALUE(RIGHT('BESS 10B'!H185,6)))))</f>
        <v>46303</v>
      </c>
      <c r="E26" s="192" t="s">
        <v>10</v>
      </c>
      <c r="F26" s="129" t="s">
        <v>58</v>
      </c>
      <c r="G26" s="129" t="s">
        <v>86</v>
      </c>
      <c r="H26" s="129" t="s">
        <v>79</v>
      </c>
      <c r="I26" s="129" t="s">
        <v>59</v>
      </c>
      <c r="J26" s="129"/>
      <c r="K26" s="128" t="s">
        <v>80</v>
      </c>
      <c r="L26" s="128" t="s">
        <v>62</v>
      </c>
      <c r="M26" s="130">
        <v>46195</v>
      </c>
      <c r="N26" s="130">
        <v>46196</v>
      </c>
      <c r="O26" s="130">
        <v>46197</v>
      </c>
      <c r="P26" s="130">
        <f t="shared" ref="P26:CA26" si="60">O26+1</f>
        <v>46198</v>
      </c>
      <c r="Q26" s="130">
        <f t="shared" si="60"/>
        <v>46199</v>
      </c>
      <c r="R26" s="130">
        <f t="shared" si="60"/>
        <v>46200</v>
      </c>
      <c r="S26" s="130">
        <f t="shared" si="60"/>
        <v>46201</v>
      </c>
      <c r="T26" s="130">
        <f t="shared" si="60"/>
        <v>46202</v>
      </c>
      <c r="U26" s="130">
        <f t="shared" si="60"/>
        <v>46203</v>
      </c>
      <c r="V26" s="130">
        <f t="shared" si="60"/>
        <v>46204</v>
      </c>
      <c r="W26" s="130">
        <f t="shared" si="60"/>
        <v>46205</v>
      </c>
      <c r="X26" s="130">
        <f t="shared" si="60"/>
        <v>46206</v>
      </c>
      <c r="Y26" s="130">
        <f t="shared" si="60"/>
        <v>46207</v>
      </c>
      <c r="Z26" s="130">
        <f t="shared" si="60"/>
        <v>46208</v>
      </c>
      <c r="AA26" s="130">
        <f t="shared" si="60"/>
        <v>46209</v>
      </c>
      <c r="AB26" s="130">
        <f t="shared" si="60"/>
        <v>46210</v>
      </c>
      <c r="AC26" s="130">
        <f t="shared" si="60"/>
        <v>46211</v>
      </c>
      <c r="AD26" s="130">
        <f t="shared" si="60"/>
        <v>46212</v>
      </c>
      <c r="AE26" s="130">
        <f t="shared" si="60"/>
        <v>46213</v>
      </c>
      <c r="AF26" s="130">
        <f t="shared" si="60"/>
        <v>46214</v>
      </c>
      <c r="AG26" s="130">
        <f t="shared" si="60"/>
        <v>46215</v>
      </c>
      <c r="AH26" s="130">
        <f t="shared" si="60"/>
        <v>46216</v>
      </c>
      <c r="AI26" s="130">
        <f t="shared" si="60"/>
        <v>46217</v>
      </c>
      <c r="AJ26" s="130">
        <f t="shared" si="60"/>
        <v>46218</v>
      </c>
      <c r="AK26" s="130">
        <f t="shared" si="60"/>
        <v>46219</v>
      </c>
      <c r="AL26" s="130">
        <f t="shared" si="60"/>
        <v>46220</v>
      </c>
      <c r="AM26" s="130">
        <f t="shared" si="60"/>
        <v>46221</v>
      </c>
      <c r="AN26" s="130">
        <f t="shared" si="60"/>
        <v>46222</v>
      </c>
      <c r="AO26" s="130">
        <f t="shared" si="60"/>
        <v>46223</v>
      </c>
      <c r="AP26" s="130">
        <f t="shared" si="60"/>
        <v>46224</v>
      </c>
      <c r="AQ26" s="130">
        <f t="shared" si="60"/>
        <v>46225</v>
      </c>
      <c r="AR26" s="130">
        <f t="shared" si="60"/>
        <v>46226</v>
      </c>
      <c r="AS26" s="130">
        <f t="shared" si="60"/>
        <v>46227</v>
      </c>
      <c r="AT26" s="130">
        <f t="shared" si="60"/>
        <v>46228</v>
      </c>
      <c r="AU26" s="130">
        <f t="shared" si="60"/>
        <v>46229</v>
      </c>
      <c r="AV26" s="130">
        <f t="shared" si="60"/>
        <v>46230</v>
      </c>
      <c r="AW26" s="130">
        <f t="shared" si="60"/>
        <v>46231</v>
      </c>
      <c r="AX26" s="130">
        <f t="shared" si="60"/>
        <v>46232</v>
      </c>
      <c r="AY26" s="130">
        <f t="shared" si="60"/>
        <v>46233</v>
      </c>
      <c r="AZ26" s="130">
        <f t="shared" si="60"/>
        <v>46234</v>
      </c>
      <c r="BA26" s="130">
        <f t="shared" si="60"/>
        <v>46235</v>
      </c>
      <c r="BB26" s="130">
        <f t="shared" si="60"/>
        <v>46236</v>
      </c>
      <c r="BC26" s="130">
        <f t="shared" si="60"/>
        <v>46237</v>
      </c>
      <c r="BD26" s="130">
        <f t="shared" si="60"/>
        <v>46238</v>
      </c>
      <c r="BE26" s="130">
        <f t="shared" si="60"/>
        <v>46239</v>
      </c>
      <c r="BF26" s="130">
        <f t="shared" si="60"/>
        <v>46240</v>
      </c>
      <c r="BG26" s="130">
        <f t="shared" si="60"/>
        <v>46241</v>
      </c>
      <c r="BH26" s="130">
        <f t="shared" si="60"/>
        <v>46242</v>
      </c>
      <c r="BI26" s="130">
        <f t="shared" si="60"/>
        <v>46243</v>
      </c>
      <c r="BJ26" s="130">
        <f t="shared" si="60"/>
        <v>46244</v>
      </c>
      <c r="BK26" s="130">
        <f t="shared" si="60"/>
        <v>46245</v>
      </c>
      <c r="BL26" s="130">
        <f t="shared" si="60"/>
        <v>46246</v>
      </c>
      <c r="BM26" s="130">
        <f t="shared" si="60"/>
        <v>46247</v>
      </c>
      <c r="BN26" s="130">
        <f t="shared" si="60"/>
        <v>46248</v>
      </c>
      <c r="BO26" s="130">
        <f t="shared" si="60"/>
        <v>46249</v>
      </c>
      <c r="BP26" s="130">
        <f t="shared" si="60"/>
        <v>46250</v>
      </c>
      <c r="BQ26" s="130">
        <f t="shared" si="60"/>
        <v>46251</v>
      </c>
      <c r="BR26" s="130">
        <f t="shared" si="60"/>
        <v>46252</v>
      </c>
      <c r="BS26" s="130">
        <f t="shared" si="60"/>
        <v>46253</v>
      </c>
      <c r="BT26" s="130">
        <f t="shared" si="60"/>
        <v>46254</v>
      </c>
      <c r="BU26" s="130">
        <f t="shared" si="60"/>
        <v>46255</v>
      </c>
      <c r="BV26" s="130">
        <f t="shared" si="60"/>
        <v>46256</v>
      </c>
      <c r="BW26" s="130">
        <f t="shared" si="60"/>
        <v>46257</v>
      </c>
      <c r="BX26" s="130">
        <f t="shared" si="60"/>
        <v>46258</v>
      </c>
      <c r="BY26" s="130">
        <f t="shared" si="60"/>
        <v>46259</v>
      </c>
      <c r="BZ26" s="130">
        <f t="shared" si="60"/>
        <v>46260</v>
      </c>
      <c r="CA26" s="130">
        <f t="shared" si="60"/>
        <v>46261</v>
      </c>
      <c r="CB26" s="130">
        <f t="shared" ref="CB26:CT26" si="61">CA26+1</f>
        <v>46262</v>
      </c>
      <c r="CC26" s="130">
        <f t="shared" si="61"/>
        <v>46263</v>
      </c>
      <c r="CD26" s="130">
        <f t="shared" si="61"/>
        <v>46264</v>
      </c>
      <c r="CE26" s="130">
        <f t="shared" si="61"/>
        <v>46265</v>
      </c>
      <c r="CF26" s="130">
        <f t="shared" si="61"/>
        <v>46266</v>
      </c>
      <c r="CG26" s="130">
        <f t="shared" si="61"/>
        <v>46267</v>
      </c>
      <c r="CH26" s="130">
        <f t="shared" si="61"/>
        <v>46268</v>
      </c>
      <c r="CI26" s="130">
        <f t="shared" si="61"/>
        <v>46269</v>
      </c>
      <c r="CJ26" s="130">
        <f t="shared" si="61"/>
        <v>46270</v>
      </c>
      <c r="CK26" s="130">
        <f t="shared" si="61"/>
        <v>46271</v>
      </c>
      <c r="CL26" s="130">
        <f t="shared" si="61"/>
        <v>46272</v>
      </c>
      <c r="CM26" s="130">
        <f t="shared" si="61"/>
        <v>46273</v>
      </c>
      <c r="CN26" s="130">
        <f t="shared" si="61"/>
        <v>46274</v>
      </c>
      <c r="CO26" s="130">
        <f t="shared" si="61"/>
        <v>46275</v>
      </c>
      <c r="CP26" s="130">
        <f t="shared" si="61"/>
        <v>46276</v>
      </c>
      <c r="CQ26" s="130">
        <f t="shared" si="61"/>
        <v>46277</v>
      </c>
      <c r="CR26" s="130">
        <f t="shared" si="61"/>
        <v>46278</v>
      </c>
      <c r="CS26" s="130">
        <f t="shared" si="61"/>
        <v>46279</v>
      </c>
      <c r="CT26" s="193">
        <f t="shared" si="61"/>
        <v>46280</v>
      </c>
      <c r="CU26" s="193">
        <f>CT26+1</f>
        <v>46281</v>
      </c>
      <c r="CV26" s="193">
        <f>CU26+1</f>
        <v>46282</v>
      </c>
      <c r="CW26" s="193">
        <f>CV26+1</f>
        <v>46283</v>
      </c>
      <c r="CX26" s="130">
        <f>CW26+1</f>
        <v>46284</v>
      </c>
      <c r="CY26" s="130">
        <f t="shared" ref="CY26:FJ26" si="62">CX26+1</f>
        <v>46285</v>
      </c>
      <c r="CZ26" s="130">
        <f t="shared" si="62"/>
        <v>46286</v>
      </c>
      <c r="DA26" s="130">
        <f t="shared" si="62"/>
        <v>46287</v>
      </c>
      <c r="DB26" s="130">
        <f t="shared" si="62"/>
        <v>46288</v>
      </c>
      <c r="DC26" s="130">
        <f t="shared" si="62"/>
        <v>46289</v>
      </c>
      <c r="DD26" s="130">
        <f t="shared" si="62"/>
        <v>46290</v>
      </c>
      <c r="DE26" s="130">
        <f t="shared" si="62"/>
        <v>46291</v>
      </c>
      <c r="DF26" s="130">
        <f t="shared" si="62"/>
        <v>46292</v>
      </c>
      <c r="DG26" s="130">
        <f t="shared" si="62"/>
        <v>46293</v>
      </c>
      <c r="DH26" s="130">
        <f t="shared" si="62"/>
        <v>46294</v>
      </c>
      <c r="DI26" s="130">
        <f t="shared" si="62"/>
        <v>46295</v>
      </c>
      <c r="DJ26" s="130">
        <f t="shared" si="62"/>
        <v>46296</v>
      </c>
      <c r="DK26" s="130">
        <f t="shared" si="62"/>
        <v>46297</v>
      </c>
      <c r="DL26" s="130">
        <f t="shared" si="62"/>
        <v>46298</v>
      </c>
      <c r="DM26" s="130">
        <f t="shared" si="62"/>
        <v>46299</v>
      </c>
      <c r="DN26" s="130">
        <f t="shared" si="62"/>
        <v>46300</v>
      </c>
      <c r="DO26" s="130">
        <f t="shared" si="62"/>
        <v>46301</v>
      </c>
      <c r="DP26" s="130">
        <f t="shared" si="62"/>
        <v>46302</v>
      </c>
      <c r="DQ26" s="130">
        <f t="shared" si="62"/>
        <v>46303</v>
      </c>
      <c r="DR26" s="130">
        <f t="shared" si="62"/>
        <v>46304</v>
      </c>
      <c r="DS26" s="130">
        <f t="shared" si="62"/>
        <v>46305</v>
      </c>
      <c r="DT26" s="130">
        <f t="shared" si="62"/>
        <v>46306</v>
      </c>
      <c r="DU26" s="130">
        <f t="shared" si="62"/>
        <v>46307</v>
      </c>
      <c r="DV26" s="130">
        <f t="shared" si="62"/>
        <v>46308</v>
      </c>
      <c r="DW26" s="130">
        <f t="shared" si="62"/>
        <v>46309</v>
      </c>
      <c r="DX26" s="130">
        <f t="shared" si="62"/>
        <v>46310</v>
      </c>
      <c r="DY26" s="130">
        <f t="shared" si="62"/>
        <v>46311</v>
      </c>
      <c r="DZ26" s="130">
        <f t="shared" si="62"/>
        <v>46312</v>
      </c>
      <c r="EA26" s="130">
        <f t="shared" si="62"/>
        <v>46313</v>
      </c>
      <c r="EB26" s="130">
        <f t="shared" si="62"/>
        <v>46314</v>
      </c>
      <c r="EC26" s="130">
        <f t="shared" si="62"/>
        <v>46315</v>
      </c>
      <c r="ED26" s="130">
        <f t="shared" si="62"/>
        <v>46316</v>
      </c>
      <c r="EE26" s="130">
        <f t="shared" si="62"/>
        <v>46317</v>
      </c>
      <c r="EF26" s="130">
        <f t="shared" si="62"/>
        <v>46318</v>
      </c>
      <c r="EG26" s="130">
        <f t="shared" si="62"/>
        <v>46319</v>
      </c>
      <c r="EH26" s="130">
        <f t="shared" si="62"/>
        <v>46320</v>
      </c>
      <c r="EI26" s="130">
        <f t="shared" si="62"/>
        <v>46321</v>
      </c>
      <c r="EJ26" s="130">
        <f t="shared" si="62"/>
        <v>46322</v>
      </c>
      <c r="EK26" s="130">
        <f t="shared" si="62"/>
        <v>46323</v>
      </c>
      <c r="EL26" s="130">
        <f t="shared" si="62"/>
        <v>46324</v>
      </c>
      <c r="EM26" s="130">
        <f t="shared" si="62"/>
        <v>46325</v>
      </c>
      <c r="EN26" s="130">
        <f t="shared" si="62"/>
        <v>46326</v>
      </c>
      <c r="EO26" s="130">
        <f t="shared" si="62"/>
        <v>46327</v>
      </c>
      <c r="EP26" s="130">
        <f t="shared" si="62"/>
        <v>46328</v>
      </c>
      <c r="EQ26" s="130">
        <f t="shared" si="62"/>
        <v>46329</v>
      </c>
      <c r="ER26" s="130">
        <f t="shared" si="62"/>
        <v>46330</v>
      </c>
      <c r="ES26" s="130">
        <f t="shared" si="62"/>
        <v>46331</v>
      </c>
      <c r="ET26" s="130">
        <f t="shared" si="62"/>
        <v>46332</v>
      </c>
      <c r="EU26" s="130">
        <f t="shared" si="62"/>
        <v>46333</v>
      </c>
      <c r="EV26" s="130">
        <f t="shared" si="62"/>
        <v>46334</v>
      </c>
      <c r="EW26" s="130">
        <f t="shared" si="62"/>
        <v>46335</v>
      </c>
      <c r="EX26" s="130">
        <f t="shared" si="62"/>
        <v>46336</v>
      </c>
      <c r="EY26" s="130">
        <f t="shared" si="62"/>
        <v>46337</v>
      </c>
      <c r="EZ26" s="130">
        <f t="shared" si="62"/>
        <v>46338</v>
      </c>
      <c r="FA26" s="130">
        <f t="shared" si="62"/>
        <v>46339</v>
      </c>
      <c r="FB26" s="130">
        <f t="shared" si="62"/>
        <v>46340</v>
      </c>
      <c r="FC26" s="130">
        <f t="shared" si="62"/>
        <v>46341</v>
      </c>
      <c r="FD26" s="130">
        <f t="shared" si="62"/>
        <v>46342</v>
      </c>
      <c r="FE26" s="130">
        <f t="shared" si="62"/>
        <v>46343</v>
      </c>
      <c r="FF26" s="130">
        <f t="shared" si="62"/>
        <v>46344</v>
      </c>
      <c r="FG26" s="130">
        <f t="shared" si="62"/>
        <v>46345</v>
      </c>
      <c r="FH26" s="130">
        <f t="shared" si="62"/>
        <v>46346</v>
      </c>
      <c r="FI26" s="130">
        <f t="shared" si="62"/>
        <v>46347</v>
      </c>
      <c r="FJ26" s="130">
        <f t="shared" si="62"/>
        <v>46348</v>
      </c>
      <c r="FK26" s="130">
        <f t="shared" ref="FK26:FR26" si="63">FJ26+1</f>
        <v>46349</v>
      </c>
      <c r="FL26" s="130">
        <f t="shared" si="63"/>
        <v>46350</v>
      </c>
      <c r="FM26" s="130">
        <f t="shared" si="63"/>
        <v>46351</v>
      </c>
      <c r="FN26" s="130">
        <f t="shared" si="63"/>
        <v>46352</v>
      </c>
      <c r="FO26" s="130">
        <f t="shared" si="63"/>
        <v>46353</v>
      </c>
      <c r="FP26" s="130">
        <f t="shared" si="63"/>
        <v>46354</v>
      </c>
      <c r="FQ26" s="130">
        <f t="shared" si="63"/>
        <v>46355</v>
      </c>
      <c r="FR26" s="130">
        <f t="shared" si="63"/>
        <v>46356</v>
      </c>
    </row>
    <row r="27" spans="1:174">
      <c r="A27" s="476"/>
      <c r="B27" s="451"/>
      <c r="C27" s="451"/>
      <c r="D27" s="456"/>
      <c r="E27" s="185" t="s">
        <v>64</v>
      </c>
      <c r="F27" s="66" t="e">
        <f>SUM('BESS 10B'!S153:S160,'BESS 10B'!S162)</f>
        <v>#VALUE!</v>
      </c>
      <c r="G27" s="182">
        <f>H27-10</f>
        <v>46241</v>
      </c>
      <c r="H27" s="182">
        <f>MAX('BESS 10B'!O153:O159)</f>
        <v>46251</v>
      </c>
      <c r="I27" s="66">
        <f>H27-G27</f>
        <v>10</v>
      </c>
      <c r="J27" s="444">
        <f>K27*1.2</f>
        <v>6</v>
      </c>
      <c r="K27" s="661">
        <f>AVERAGEIF(M32:CX32,"&gt;0")</f>
        <v>5</v>
      </c>
      <c r="L27" s="661" t="e">
        <f>MAX(M32:CX32)</f>
        <v>#VALUE!</v>
      </c>
      <c r="M27" s="65" t="str">
        <f t="shared" ref="M27:AB30" si="64">IF(AND(M$2&gt;=$G27,M$2&lt;($G27+$I27)),ROUND($F27/$I27,0),"-")</f>
        <v>-</v>
      </c>
      <c r="N27" s="65" t="str">
        <f t="shared" si="64"/>
        <v>-</v>
      </c>
      <c r="O27" s="65" t="str">
        <f t="shared" si="64"/>
        <v>-</v>
      </c>
      <c r="P27" s="65" t="str">
        <f t="shared" si="64"/>
        <v>-</v>
      </c>
      <c r="Q27" s="65" t="str">
        <f t="shared" si="64"/>
        <v>-</v>
      </c>
      <c r="R27" s="65" t="str">
        <f t="shared" si="64"/>
        <v>-</v>
      </c>
      <c r="S27" s="65" t="str">
        <f t="shared" si="64"/>
        <v>-</v>
      </c>
      <c r="T27" s="65" t="str">
        <f t="shared" si="64"/>
        <v>-</v>
      </c>
      <c r="U27" s="65" t="str">
        <f t="shared" si="64"/>
        <v>-</v>
      </c>
      <c r="V27" s="65" t="str">
        <f t="shared" si="64"/>
        <v>-</v>
      </c>
      <c r="W27" s="65" t="str">
        <f t="shared" si="64"/>
        <v>-</v>
      </c>
      <c r="X27" s="65" t="str">
        <f t="shared" si="64"/>
        <v>-</v>
      </c>
      <c r="Y27" s="65" t="str">
        <f t="shared" si="64"/>
        <v>-</v>
      </c>
      <c r="Z27" s="65" t="str">
        <f t="shared" si="64"/>
        <v>-</v>
      </c>
      <c r="AA27" s="65" t="str">
        <f t="shared" si="64"/>
        <v>-</v>
      </c>
      <c r="AB27" s="65" t="str">
        <f t="shared" si="64"/>
        <v>-</v>
      </c>
      <c r="AC27" s="65" t="str">
        <f t="shared" ref="AC27:AR30" si="65">IF(AND(AC$2&gt;=$G27,AC$2&lt;($G27+$I27)),ROUND($F27/$I27,0),"-")</f>
        <v>-</v>
      </c>
      <c r="AD27" s="65" t="str">
        <f t="shared" si="65"/>
        <v>-</v>
      </c>
      <c r="AE27" s="65" t="str">
        <f t="shared" si="65"/>
        <v>-</v>
      </c>
      <c r="AF27" s="65" t="str">
        <f t="shared" si="65"/>
        <v>-</v>
      </c>
      <c r="AG27" s="65" t="str">
        <f t="shared" si="65"/>
        <v>-</v>
      </c>
      <c r="AH27" s="65" t="str">
        <f t="shared" si="65"/>
        <v>-</v>
      </c>
      <c r="AI27" s="65" t="str">
        <f t="shared" si="65"/>
        <v>-</v>
      </c>
      <c r="AJ27" s="65" t="str">
        <f t="shared" si="65"/>
        <v>-</v>
      </c>
      <c r="AK27" s="65" t="str">
        <f t="shared" si="65"/>
        <v>-</v>
      </c>
      <c r="AL27" s="65" t="str">
        <f t="shared" si="65"/>
        <v>-</v>
      </c>
      <c r="AM27" s="65" t="str">
        <f t="shared" si="65"/>
        <v>-</v>
      </c>
      <c r="AN27" s="65" t="str">
        <f t="shared" si="65"/>
        <v>-</v>
      </c>
      <c r="AO27" s="65" t="str">
        <f t="shared" si="65"/>
        <v>-</v>
      </c>
      <c r="AP27" s="65" t="str">
        <f t="shared" si="65"/>
        <v>-</v>
      </c>
      <c r="AQ27" s="65" t="str">
        <f t="shared" si="65"/>
        <v>-</v>
      </c>
      <c r="AR27" s="65" t="str">
        <f t="shared" si="65"/>
        <v>-</v>
      </c>
      <c r="AS27" s="65" t="str">
        <f t="shared" ref="AS27:BH30" si="66">IF(AND(AS$2&gt;=$G27,AS$2&lt;($G27+$I27)),ROUND($F27/$I27,0),"-")</f>
        <v>-</v>
      </c>
      <c r="AT27" s="65" t="str">
        <f t="shared" si="66"/>
        <v>-</v>
      </c>
      <c r="AU27" s="65" t="str">
        <f t="shared" si="66"/>
        <v>-</v>
      </c>
      <c r="AV27" s="65" t="str">
        <f t="shared" si="66"/>
        <v>-</v>
      </c>
      <c r="AW27" s="65" t="str">
        <f t="shared" si="66"/>
        <v>-</v>
      </c>
      <c r="AX27" s="65" t="str">
        <f t="shared" si="66"/>
        <v>-</v>
      </c>
      <c r="AY27" s="65" t="str">
        <f t="shared" si="66"/>
        <v>-</v>
      </c>
      <c r="AZ27" s="65" t="str">
        <f t="shared" si="66"/>
        <v>-</v>
      </c>
      <c r="BA27" s="65" t="str">
        <f t="shared" si="66"/>
        <v>-</v>
      </c>
      <c r="BB27" s="65" t="str">
        <f t="shared" si="66"/>
        <v>-</v>
      </c>
      <c r="BC27" s="65" t="str">
        <f t="shared" si="66"/>
        <v>-</v>
      </c>
      <c r="BD27" s="65" t="str">
        <f t="shared" si="66"/>
        <v>-</v>
      </c>
      <c r="BE27" s="65" t="str">
        <f t="shared" si="66"/>
        <v>-</v>
      </c>
      <c r="BF27" s="65" t="str">
        <f t="shared" si="66"/>
        <v>-</v>
      </c>
      <c r="BG27" s="65" t="e">
        <f t="shared" si="66"/>
        <v>#VALUE!</v>
      </c>
      <c r="BH27" s="65" t="e">
        <f t="shared" si="66"/>
        <v>#VALUE!</v>
      </c>
      <c r="BI27" s="65" t="e">
        <f t="shared" ref="BI27:BX30" si="67">IF(AND(BI$2&gt;=$G27,BI$2&lt;($G27+$I27)),ROUND($F27/$I27,0),"-")</f>
        <v>#VALUE!</v>
      </c>
      <c r="BJ27" s="65" t="e">
        <f t="shared" si="67"/>
        <v>#VALUE!</v>
      </c>
      <c r="BK27" s="65" t="e">
        <f t="shared" si="67"/>
        <v>#VALUE!</v>
      </c>
      <c r="BL27" s="65" t="e">
        <f t="shared" si="67"/>
        <v>#VALUE!</v>
      </c>
      <c r="BM27" s="65" t="e">
        <f t="shared" si="67"/>
        <v>#VALUE!</v>
      </c>
      <c r="BN27" s="65" t="e">
        <f t="shared" si="67"/>
        <v>#VALUE!</v>
      </c>
      <c r="BO27" s="65" t="e">
        <f t="shared" si="67"/>
        <v>#VALUE!</v>
      </c>
      <c r="BP27" s="65" t="e">
        <f t="shared" si="67"/>
        <v>#VALUE!</v>
      </c>
      <c r="BQ27" s="65" t="str">
        <f t="shared" si="67"/>
        <v>-</v>
      </c>
      <c r="BR27" s="65" t="str">
        <f t="shared" si="67"/>
        <v>-</v>
      </c>
      <c r="BS27" s="65" t="str">
        <f t="shared" si="67"/>
        <v>-</v>
      </c>
      <c r="BT27" s="65" t="str">
        <f t="shared" si="67"/>
        <v>-</v>
      </c>
      <c r="BU27" s="65" t="str">
        <f t="shared" si="67"/>
        <v>-</v>
      </c>
      <c r="BV27" s="65" t="str">
        <f t="shared" si="67"/>
        <v>-</v>
      </c>
      <c r="BW27" s="65" t="str">
        <f t="shared" si="67"/>
        <v>-</v>
      </c>
      <c r="BX27" s="65" t="str">
        <f t="shared" si="67"/>
        <v>-</v>
      </c>
      <c r="BY27" s="65" t="str">
        <f t="shared" ref="BY27:CN30" si="68">IF(AND(BY$2&gt;=$G27,BY$2&lt;($G27+$I27)),ROUND($F27/$I27,0),"-")</f>
        <v>-</v>
      </c>
      <c r="BZ27" s="65" t="str">
        <f t="shared" si="68"/>
        <v>-</v>
      </c>
      <c r="CA27" s="65" t="str">
        <f t="shared" si="68"/>
        <v>-</v>
      </c>
      <c r="CB27" s="65" t="str">
        <f t="shared" si="68"/>
        <v>-</v>
      </c>
      <c r="CC27" s="65" t="str">
        <f t="shared" si="68"/>
        <v>-</v>
      </c>
      <c r="CD27" s="65" t="str">
        <f t="shared" si="68"/>
        <v>-</v>
      </c>
      <c r="CE27" s="65" t="str">
        <f t="shared" si="68"/>
        <v>-</v>
      </c>
      <c r="CF27" s="65" t="str">
        <f t="shared" si="68"/>
        <v>-</v>
      </c>
      <c r="CG27" s="65" t="str">
        <f t="shared" si="68"/>
        <v>-</v>
      </c>
      <c r="CH27" s="65" t="str">
        <f t="shared" si="68"/>
        <v>-</v>
      </c>
      <c r="CI27" s="65" t="str">
        <f t="shared" si="68"/>
        <v>-</v>
      </c>
      <c r="CJ27" s="65" t="str">
        <f t="shared" si="68"/>
        <v>-</v>
      </c>
      <c r="CK27" s="65" t="str">
        <f t="shared" si="68"/>
        <v>-</v>
      </c>
      <c r="CL27" s="65" t="str">
        <f t="shared" si="68"/>
        <v>-</v>
      </c>
      <c r="CM27" s="65" t="str">
        <f t="shared" si="68"/>
        <v>-</v>
      </c>
      <c r="CN27" s="65" t="str">
        <f t="shared" si="68"/>
        <v>-</v>
      </c>
      <c r="CO27" s="65" t="str">
        <f t="shared" ref="CO27:DD30" si="69">IF(AND(CO$2&gt;=$G27,CO$2&lt;($G27+$I27)),ROUND($F27/$I27,0),"-")</f>
        <v>-</v>
      </c>
      <c r="CP27" s="65" t="str">
        <f t="shared" si="69"/>
        <v>-</v>
      </c>
      <c r="CQ27" s="65" t="str">
        <f t="shared" si="69"/>
        <v>-</v>
      </c>
      <c r="CR27" s="65" t="str">
        <f t="shared" si="69"/>
        <v>-</v>
      </c>
      <c r="CS27" s="65" t="str">
        <f t="shared" si="69"/>
        <v>-</v>
      </c>
      <c r="CT27" s="186" t="str">
        <f t="shared" si="69"/>
        <v>-</v>
      </c>
      <c r="CU27" s="186" t="str">
        <f t="shared" si="69"/>
        <v>-</v>
      </c>
      <c r="CV27" s="186" t="str">
        <f t="shared" si="69"/>
        <v>-</v>
      </c>
      <c r="CW27" s="186" t="str">
        <f t="shared" si="69"/>
        <v>-</v>
      </c>
      <c r="CX27" s="65" t="str">
        <f t="shared" si="69"/>
        <v>-</v>
      </c>
      <c r="CY27" s="65" t="str">
        <f t="shared" si="69"/>
        <v>-</v>
      </c>
      <c r="CZ27" s="65" t="str">
        <f t="shared" si="69"/>
        <v>-</v>
      </c>
      <c r="DA27" s="65" t="str">
        <f t="shared" si="69"/>
        <v>-</v>
      </c>
      <c r="DB27" s="65" t="str">
        <f t="shared" si="69"/>
        <v>-</v>
      </c>
      <c r="DC27" s="65" t="str">
        <f t="shared" si="69"/>
        <v>-</v>
      </c>
      <c r="DD27" s="65" t="str">
        <f t="shared" si="69"/>
        <v>-</v>
      </c>
      <c r="DE27" s="65" t="str">
        <f t="shared" ref="DE27:FP30" si="70">IF(AND(DE$2&gt;=$G27,DE$2&lt;($G27+$I27)),ROUND($F27/$I27,0),"-")</f>
        <v>-</v>
      </c>
      <c r="DF27" s="65" t="str">
        <f t="shared" si="70"/>
        <v>-</v>
      </c>
      <c r="DG27" s="65" t="str">
        <f t="shared" si="70"/>
        <v>-</v>
      </c>
      <c r="DH27" s="65" t="str">
        <f t="shared" si="70"/>
        <v>-</v>
      </c>
      <c r="DI27" s="65" t="str">
        <f t="shared" si="70"/>
        <v>-</v>
      </c>
      <c r="DJ27" s="65" t="str">
        <f t="shared" si="70"/>
        <v>-</v>
      </c>
      <c r="DK27" s="65" t="str">
        <f t="shared" si="70"/>
        <v>-</v>
      </c>
      <c r="DL27" s="65" t="str">
        <f t="shared" si="70"/>
        <v>-</v>
      </c>
      <c r="DM27" s="65" t="str">
        <f t="shared" si="70"/>
        <v>-</v>
      </c>
      <c r="DN27" s="65" t="str">
        <f t="shared" si="70"/>
        <v>-</v>
      </c>
      <c r="DO27" s="65" t="str">
        <f t="shared" si="70"/>
        <v>-</v>
      </c>
      <c r="DP27" s="65" t="str">
        <f t="shared" si="70"/>
        <v>-</v>
      </c>
      <c r="DQ27" s="65" t="str">
        <f t="shared" si="70"/>
        <v>-</v>
      </c>
      <c r="DR27" s="65" t="str">
        <f t="shared" si="70"/>
        <v>-</v>
      </c>
      <c r="DS27" s="65" t="str">
        <f t="shared" si="70"/>
        <v>-</v>
      </c>
      <c r="DT27" s="65" t="str">
        <f t="shared" si="70"/>
        <v>-</v>
      </c>
      <c r="DU27" s="65" t="str">
        <f t="shared" si="70"/>
        <v>-</v>
      </c>
      <c r="DV27" s="65" t="str">
        <f t="shared" si="70"/>
        <v>-</v>
      </c>
      <c r="DW27" s="65" t="str">
        <f t="shared" si="70"/>
        <v>-</v>
      </c>
      <c r="DX27" s="65" t="str">
        <f t="shared" si="70"/>
        <v>-</v>
      </c>
      <c r="DY27" s="65" t="str">
        <f t="shared" si="70"/>
        <v>-</v>
      </c>
      <c r="DZ27" s="65" t="str">
        <f t="shared" si="70"/>
        <v>-</v>
      </c>
      <c r="EA27" s="65" t="str">
        <f t="shared" si="70"/>
        <v>-</v>
      </c>
      <c r="EB27" s="65" t="str">
        <f t="shared" si="70"/>
        <v>-</v>
      </c>
      <c r="EC27" s="65" t="str">
        <f t="shared" si="70"/>
        <v>-</v>
      </c>
      <c r="ED27" s="65" t="str">
        <f t="shared" si="70"/>
        <v>-</v>
      </c>
      <c r="EE27" s="65" t="str">
        <f t="shared" si="70"/>
        <v>-</v>
      </c>
      <c r="EF27" s="65" t="str">
        <f t="shared" si="70"/>
        <v>-</v>
      </c>
      <c r="EG27" s="65" t="str">
        <f t="shared" si="70"/>
        <v>-</v>
      </c>
      <c r="EH27" s="65" t="str">
        <f t="shared" si="70"/>
        <v>-</v>
      </c>
      <c r="EI27" s="65" t="str">
        <f t="shared" si="70"/>
        <v>-</v>
      </c>
      <c r="EJ27" s="65" t="str">
        <f t="shared" si="70"/>
        <v>-</v>
      </c>
      <c r="EK27" s="65" t="str">
        <f t="shared" si="70"/>
        <v>-</v>
      </c>
      <c r="EL27" s="65" t="str">
        <f t="shared" si="70"/>
        <v>-</v>
      </c>
      <c r="EM27" s="65" t="str">
        <f t="shared" si="70"/>
        <v>-</v>
      </c>
      <c r="EN27" s="65" t="str">
        <f t="shared" si="70"/>
        <v>-</v>
      </c>
      <c r="EO27" s="65" t="str">
        <f t="shared" si="70"/>
        <v>-</v>
      </c>
      <c r="EP27" s="65" t="str">
        <f t="shared" si="70"/>
        <v>-</v>
      </c>
      <c r="EQ27" s="65" t="str">
        <f t="shared" si="70"/>
        <v>-</v>
      </c>
      <c r="ER27" s="65" t="str">
        <f t="shared" si="70"/>
        <v>-</v>
      </c>
      <c r="ES27" s="65" t="str">
        <f t="shared" si="70"/>
        <v>-</v>
      </c>
      <c r="ET27" s="65" t="str">
        <f t="shared" si="70"/>
        <v>-</v>
      </c>
      <c r="EU27" s="65" t="str">
        <f t="shared" si="70"/>
        <v>-</v>
      </c>
      <c r="EV27" s="65" t="str">
        <f t="shared" si="70"/>
        <v>-</v>
      </c>
      <c r="EW27" s="65" t="str">
        <f t="shared" si="70"/>
        <v>-</v>
      </c>
      <c r="EX27" s="65" t="str">
        <f t="shared" si="70"/>
        <v>-</v>
      </c>
      <c r="EY27" s="65" t="str">
        <f t="shared" si="70"/>
        <v>-</v>
      </c>
      <c r="EZ27" s="65" t="str">
        <f t="shared" si="70"/>
        <v>-</v>
      </c>
      <c r="FA27" s="65" t="str">
        <f t="shared" si="70"/>
        <v>-</v>
      </c>
      <c r="FB27" s="65" t="str">
        <f t="shared" si="70"/>
        <v>-</v>
      </c>
      <c r="FC27" s="65" t="str">
        <f t="shared" si="70"/>
        <v>-</v>
      </c>
      <c r="FD27" s="65" t="str">
        <f t="shared" si="70"/>
        <v>-</v>
      </c>
      <c r="FE27" s="65" t="str">
        <f t="shared" si="70"/>
        <v>-</v>
      </c>
      <c r="FF27" s="65" t="str">
        <f t="shared" si="70"/>
        <v>-</v>
      </c>
      <c r="FG27" s="65" t="str">
        <f t="shared" si="70"/>
        <v>-</v>
      </c>
      <c r="FH27" s="65" t="str">
        <f t="shared" si="70"/>
        <v>-</v>
      </c>
      <c r="FI27" s="65" t="str">
        <f t="shared" si="70"/>
        <v>-</v>
      </c>
      <c r="FJ27" s="65" t="str">
        <f t="shared" si="70"/>
        <v>-</v>
      </c>
      <c r="FK27" s="65" t="str">
        <f t="shared" si="70"/>
        <v>-</v>
      </c>
      <c r="FL27" s="65" t="str">
        <f t="shared" si="70"/>
        <v>-</v>
      </c>
      <c r="FM27" s="65" t="str">
        <f t="shared" si="70"/>
        <v>-</v>
      </c>
      <c r="FN27" s="65" t="str">
        <f t="shared" si="70"/>
        <v>-</v>
      </c>
      <c r="FO27" s="65" t="str">
        <f t="shared" si="70"/>
        <v>-</v>
      </c>
      <c r="FP27" s="65" t="str">
        <f t="shared" si="70"/>
        <v>-</v>
      </c>
      <c r="FQ27" s="65" t="str">
        <f t="shared" ref="FQ27:FR30" si="71">IF(AND(FQ$2&gt;=$G27,FQ$2&lt;($G27+$I27)),ROUND($F27/$I27,0),"-")</f>
        <v>-</v>
      </c>
      <c r="FR27" s="65" t="str">
        <f t="shared" si="71"/>
        <v>-</v>
      </c>
    </row>
    <row r="28" spans="1:174">
      <c r="A28" s="476"/>
      <c r="B28" s="451"/>
      <c r="C28" s="451"/>
      <c r="D28" s="456"/>
      <c r="E28" s="185" t="s">
        <v>65</v>
      </c>
      <c r="F28" s="66" t="e">
        <f>SUM('BESS 10B'!S163,'BESS 10B'!S165:S166,'BESS 10B'!S169:S171)</f>
        <v>#VALUE!</v>
      </c>
      <c r="G28" s="182">
        <f>H28-20</f>
        <v>46234</v>
      </c>
      <c r="H28" s="182">
        <f>MAX('BESS 10B'!O163,'BESS 10B'!O165:O166,'BESS 10B'!O169:O171)</f>
        <v>46254</v>
      </c>
      <c r="I28" s="66">
        <f t="shared" ref="I28:I30" si="72">H28-G28</f>
        <v>20</v>
      </c>
      <c r="J28" s="453"/>
      <c r="K28" s="662"/>
      <c r="L28" s="662"/>
      <c r="M28" s="65" t="str">
        <f t="shared" si="64"/>
        <v>-</v>
      </c>
      <c r="N28" s="65" t="str">
        <f t="shared" si="64"/>
        <v>-</v>
      </c>
      <c r="O28" s="65" t="str">
        <f t="shared" si="64"/>
        <v>-</v>
      </c>
      <c r="P28" s="65" t="str">
        <f t="shared" si="64"/>
        <v>-</v>
      </c>
      <c r="Q28" s="65" t="str">
        <f t="shared" si="64"/>
        <v>-</v>
      </c>
      <c r="R28" s="65" t="str">
        <f t="shared" si="64"/>
        <v>-</v>
      </c>
      <c r="S28" s="65" t="str">
        <f t="shared" si="64"/>
        <v>-</v>
      </c>
      <c r="T28" s="65" t="str">
        <f t="shared" si="64"/>
        <v>-</v>
      </c>
      <c r="U28" s="65" t="str">
        <f t="shared" si="64"/>
        <v>-</v>
      </c>
      <c r="V28" s="65" t="str">
        <f t="shared" si="64"/>
        <v>-</v>
      </c>
      <c r="W28" s="65" t="str">
        <f t="shared" si="64"/>
        <v>-</v>
      </c>
      <c r="X28" s="65" t="str">
        <f t="shared" si="64"/>
        <v>-</v>
      </c>
      <c r="Y28" s="65" t="str">
        <f t="shared" si="64"/>
        <v>-</v>
      </c>
      <c r="Z28" s="65" t="str">
        <f t="shared" si="64"/>
        <v>-</v>
      </c>
      <c r="AA28" s="65" t="str">
        <f t="shared" si="64"/>
        <v>-</v>
      </c>
      <c r="AB28" s="65" t="str">
        <f t="shared" si="64"/>
        <v>-</v>
      </c>
      <c r="AC28" s="65" t="str">
        <f t="shared" si="65"/>
        <v>-</v>
      </c>
      <c r="AD28" s="65" t="str">
        <f t="shared" si="65"/>
        <v>-</v>
      </c>
      <c r="AE28" s="65" t="str">
        <f t="shared" si="65"/>
        <v>-</v>
      </c>
      <c r="AF28" s="65" t="str">
        <f t="shared" si="65"/>
        <v>-</v>
      </c>
      <c r="AG28" s="65" t="str">
        <f t="shared" si="65"/>
        <v>-</v>
      </c>
      <c r="AH28" s="65" t="str">
        <f t="shared" si="65"/>
        <v>-</v>
      </c>
      <c r="AI28" s="65" t="str">
        <f t="shared" si="65"/>
        <v>-</v>
      </c>
      <c r="AJ28" s="65" t="str">
        <f t="shared" si="65"/>
        <v>-</v>
      </c>
      <c r="AK28" s="65" t="str">
        <f t="shared" si="65"/>
        <v>-</v>
      </c>
      <c r="AL28" s="65" t="str">
        <f t="shared" si="65"/>
        <v>-</v>
      </c>
      <c r="AM28" s="65" t="str">
        <f t="shared" si="65"/>
        <v>-</v>
      </c>
      <c r="AN28" s="65" t="str">
        <f t="shared" si="65"/>
        <v>-</v>
      </c>
      <c r="AO28" s="65" t="str">
        <f t="shared" si="65"/>
        <v>-</v>
      </c>
      <c r="AP28" s="65" t="str">
        <f t="shared" si="65"/>
        <v>-</v>
      </c>
      <c r="AQ28" s="65" t="str">
        <f t="shared" si="65"/>
        <v>-</v>
      </c>
      <c r="AR28" s="65" t="str">
        <f t="shared" si="65"/>
        <v>-</v>
      </c>
      <c r="AS28" s="65" t="str">
        <f t="shared" si="66"/>
        <v>-</v>
      </c>
      <c r="AT28" s="65" t="str">
        <f t="shared" si="66"/>
        <v>-</v>
      </c>
      <c r="AU28" s="65" t="str">
        <f t="shared" si="66"/>
        <v>-</v>
      </c>
      <c r="AV28" s="65" t="str">
        <f t="shared" si="66"/>
        <v>-</v>
      </c>
      <c r="AW28" s="65" t="str">
        <f t="shared" si="66"/>
        <v>-</v>
      </c>
      <c r="AX28" s="65" t="str">
        <f t="shared" si="66"/>
        <v>-</v>
      </c>
      <c r="AY28" s="65" t="str">
        <f t="shared" si="66"/>
        <v>-</v>
      </c>
      <c r="AZ28" s="65" t="e">
        <f t="shared" si="66"/>
        <v>#VALUE!</v>
      </c>
      <c r="BA28" s="65" t="e">
        <f t="shared" si="66"/>
        <v>#VALUE!</v>
      </c>
      <c r="BB28" s="65" t="e">
        <f t="shared" si="66"/>
        <v>#VALUE!</v>
      </c>
      <c r="BC28" s="65" t="e">
        <f t="shared" si="66"/>
        <v>#VALUE!</v>
      </c>
      <c r="BD28" s="65" t="e">
        <f t="shared" si="66"/>
        <v>#VALUE!</v>
      </c>
      <c r="BE28" s="65" t="e">
        <f t="shared" si="66"/>
        <v>#VALUE!</v>
      </c>
      <c r="BF28" s="65" t="e">
        <f t="shared" si="66"/>
        <v>#VALUE!</v>
      </c>
      <c r="BG28" s="65" t="e">
        <f t="shared" si="66"/>
        <v>#VALUE!</v>
      </c>
      <c r="BH28" s="65" t="e">
        <f t="shared" si="66"/>
        <v>#VALUE!</v>
      </c>
      <c r="BI28" s="65" t="e">
        <f t="shared" si="67"/>
        <v>#VALUE!</v>
      </c>
      <c r="BJ28" s="65" t="e">
        <f t="shared" si="67"/>
        <v>#VALUE!</v>
      </c>
      <c r="BK28" s="65" t="e">
        <f t="shared" si="67"/>
        <v>#VALUE!</v>
      </c>
      <c r="BL28" s="65" t="e">
        <f t="shared" si="67"/>
        <v>#VALUE!</v>
      </c>
      <c r="BM28" s="65" t="e">
        <f t="shared" si="67"/>
        <v>#VALUE!</v>
      </c>
      <c r="BN28" s="65" t="e">
        <f t="shared" si="67"/>
        <v>#VALUE!</v>
      </c>
      <c r="BO28" s="65" t="e">
        <f t="shared" si="67"/>
        <v>#VALUE!</v>
      </c>
      <c r="BP28" s="65" t="e">
        <f t="shared" si="67"/>
        <v>#VALUE!</v>
      </c>
      <c r="BQ28" s="65" t="e">
        <f t="shared" si="67"/>
        <v>#VALUE!</v>
      </c>
      <c r="BR28" s="65" t="e">
        <f t="shared" si="67"/>
        <v>#VALUE!</v>
      </c>
      <c r="BS28" s="65" t="e">
        <f t="shared" si="67"/>
        <v>#VALUE!</v>
      </c>
      <c r="BT28" s="65" t="str">
        <f t="shared" si="67"/>
        <v>-</v>
      </c>
      <c r="BU28" s="65" t="str">
        <f t="shared" si="67"/>
        <v>-</v>
      </c>
      <c r="BV28" s="65" t="str">
        <f t="shared" si="67"/>
        <v>-</v>
      </c>
      <c r="BW28" s="65" t="str">
        <f t="shared" si="67"/>
        <v>-</v>
      </c>
      <c r="BX28" s="65" t="str">
        <f t="shared" si="67"/>
        <v>-</v>
      </c>
      <c r="BY28" s="65" t="str">
        <f t="shared" si="68"/>
        <v>-</v>
      </c>
      <c r="BZ28" s="65" t="str">
        <f t="shared" si="68"/>
        <v>-</v>
      </c>
      <c r="CA28" s="65" t="str">
        <f t="shared" si="68"/>
        <v>-</v>
      </c>
      <c r="CB28" s="65" t="str">
        <f t="shared" si="68"/>
        <v>-</v>
      </c>
      <c r="CC28" s="65" t="str">
        <f t="shared" si="68"/>
        <v>-</v>
      </c>
      <c r="CD28" s="65" t="str">
        <f t="shared" si="68"/>
        <v>-</v>
      </c>
      <c r="CE28" s="65" t="str">
        <f t="shared" si="68"/>
        <v>-</v>
      </c>
      <c r="CF28" s="65" t="str">
        <f t="shared" si="68"/>
        <v>-</v>
      </c>
      <c r="CG28" s="65" t="str">
        <f t="shared" si="68"/>
        <v>-</v>
      </c>
      <c r="CH28" s="65" t="str">
        <f t="shared" si="68"/>
        <v>-</v>
      </c>
      <c r="CI28" s="65" t="str">
        <f t="shared" si="68"/>
        <v>-</v>
      </c>
      <c r="CJ28" s="65" t="str">
        <f t="shared" si="68"/>
        <v>-</v>
      </c>
      <c r="CK28" s="65" t="str">
        <f t="shared" si="68"/>
        <v>-</v>
      </c>
      <c r="CL28" s="65" t="str">
        <f t="shared" si="68"/>
        <v>-</v>
      </c>
      <c r="CM28" s="65" t="str">
        <f t="shared" si="68"/>
        <v>-</v>
      </c>
      <c r="CN28" s="65" t="str">
        <f t="shared" si="68"/>
        <v>-</v>
      </c>
      <c r="CO28" s="65" t="str">
        <f t="shared" si="69"/>
        <v>-</v>
      </c>
      <c r="CP28" s="65" t="str">
        <f t="shared" si="69"/>
        <v>-</v>
      </c>
      <c r="CQ28" s="65" t="str">
        <f t="shared" si="69"/>
        <v>-</v>
      </c>
      <c r="CR28" s="65" t="str">
        <f t="shared" si="69"/>
        <v>-</v>
      </c>
      <c r="CS28" s="65" t="str">
        <f t="shared" si="69"/>
        <v>-</v>
      </c>
      <c r="CT28" s="186" t="str">
        <f t="shared" si="69"/>
        <v>-</v>
      </c>
      <c r="CU28" s="186" t="str">
        <f t="shared" si="69"/>
        <v>-</v>
      </c>
      <c r="CV28" s="186" t="str">
        <f t="shared" si="69"/>
        <v>-</v>
      </c>
      <c r="CW28" s="186" t="str">
        <f t="shared" si="69"/>
        <v>-</v>
      </c>
      <c r="CX28" s="65" t="str">
        <f t="shared" si="69"/>
        <v>-</v>
      </c>
      <c r="CY28" s="65" t="str">
        <f t="shared" ref="CY28:FJ30" si="73">IF(AND(CY$2&gt;=$G28,CY$2&lt;($G28+$I28)),ROUND($F28/$I28,0),"-")</f>
        <v>-</v>
      </c>
      <c r="CZ28" s="65" t="str">
        <f t="shared" si="73"/>
        <v>-</v>
      </c>
      <c r="DA28" s="65" t="str">
        <f t="shared" si="73"/>
        <v>-</v>
      </c>
      <c r="DB28" s="65" t="str">
        <f t="shared" si="73"/>
        <v>-</v>
      </c>
      <c r="DC28" s="65" t="str">
        <f t="shared" si="73"/>
        <v>-</v>
      </c>
      <c r="DD28" s="65" t="str">
        <f t="shared" si="73"/>
        <v>-</v>
      </c>
      <c r="DE28" s="65" t="str">
        <f t="shared" si="73"/>
        <v>-</v>
      </c>
      <c r="DF28" s="65" t="str">
        <f t="shared" si="73"/>
        <v>-</v>
      </c>
      <c r="DG28" s="65" t="str">
        <f t="shared" si="73"/>
        <v>-</v>
      </c>
      <c r="DH28" s="65" t="str">
        <f t="shared" si="73"/>
        <v>-</v>
      </c>
      <c r="DI28" s="65" t="str">
        <f t="shared" si="73"/>
        <v>-</v>
      </c>
      <c r="DJ28" s="65" t="str">
        <f t="shared" si="73"/>
        <v>-</v>
      </c>
      <c r="DK28" s="65" t="str">
        <f t="shared" si="73"/>
        <v>-</v>
      </c>
      <c r="DL28" s="65" t="str">
        <f t="shared" si="73"/>
        <v>-</v>
      </c>
      <c r="DM28" s="65" t="str">
        <f t="shared" si="73"/>
        <v>-</v>
      </c>
      <c r="DN28" s="65" t="str">
        <f t="shared" si="73"/>
        <v>-</v>
      </c>
      <c r="DO28" s="65" t="str">
        <f t="shared" si="73"/>
        <v>-</v>
      </c>
      <c r="DP28" s="65" t="str">
        <f t="shared" si="73"/>
        <v>-</v>
      </c>
      <c r="DQ28" s="65" t="str">
        <f t="shared" si="73"/>
        <v>-</v>
      </c>
      <c r="DR28" s="65" t="str">
        <f t="shared" si="73"/>
        <v>-</v>
      </c>
      <c r="DS28" s="65" t="str">
        <f t="shared" si="73"/>
        <v>-</v>
      </c>
      <c r="DT28" s="65" t="str">
        <f t="shared" si="73"/>
        <v>-</v>
      </c>
      <c r="DU28" s="65" t="str">
        <f t="shared" si="73"/>
        <v>-</v>
      </c>
      <c r="DV28" s="65" t="str">
        <f t="shared" si="73"/>
        <v>-</v>
      </c>
      <c r="DW28" s="65" t="str">
        <f t="shared" si="73"/>
        <v>-</v>
      </c>
      <c r="DX28" s="65" t="str">
        <f t="shared" si="73"/>
        <v>-</v>
      </c>
      <c r="DY28" s="65" t="str">
        <f t="shared" si="73"/>
        <v>-</v>
      </c>
      <c r="DZ28" s="65" t="str">
        <f t="shared" si="73"/>
        <v>-</v>
      </c>
      <c r="EA28" s="65" t="str">
        <f t="shared" si="73"/>
        <v>-</v>
      </c>
      <c r="EB28" s="65" t="str">
        <f t="shared" si="73"/>
        <v>-</v>
      </c>
      <c r="EC28" s="65" t="str">
        <f t="shared" si="73"/>
        <v>-</v>
      </c>
      <c r="ED28" s="65" t="str">
        <f t="shared" si="73"/>
        <v>-</v>
      </c>
      <c r="EE28" s="65" t="str">
        <f t="shared" si="73"/>
        <v>-</v>
      </c>
      <c r="EF28" s="65" t="str">
        <f t="shared" si="73"/>
        <v>-</v>
      </c>
      <c r="EG28" s="65" t="str">
        <f t="shared" si="73"/>
        <v>-</v>
      </c>
      <c r="EH28" s="65" t="str">
        <f t="shared" si="73"/>
        <v>-</v>
      </c>
      <c r="EI28" s="65" t="str">
        <f t="shared" si="73"/>
        <v>-</v>
      </c>
      <c r="EJ28" s="65" t="str">
        <f t="shared" si="73"/>
        <v>-</v>
      </c>
      <c r="EK28" s="65" t="str">
        <f t="shared" si="73"/>
        <v>-</v>
      </c>
      <c r="EL28" s="65" t="str">
        <f t="shared" si="73"/>
        <v>-</v>
      </c>
      <c r="EM28" s="65" t="str">
        <f t="shared" si="73"/>
        <v>-</v>
      </c>
      <c r="EN28" s="65" t="str">
        <f t="shared" si="73"/>
        <v>-</v>
      </c>
      <c r="EO28" s="65" t="str">
        <f t="shared" si="73"/>
        <v>-</v>
      </c>
      <c r="EP28" s="65" t="str">
        <f t="shared" si="73"/>
        <v>-</v>
      </c>
      <c r="EQ28" s="65" t="str">
        <f t="shared" si="73"/>
        <v>-</v>
      </c>
      <c r="ER28" s="65" t="str">
        <f t="shared" si="73"/>
        <v>-</v>
      </c>
      <c r="ES28" s="65" t="str">
        <f t="shared" si="73"/>
        <v>-</v>
      </c>
      <c r="ET28" s="65" t="str">
        <f t="shared" si="73"/>
        <v>-</v>
      </c>
      <c r="EU28" s="65" t="str">
        <f t="shared" si="73"/>
        <v>-</v>
      </c>
      <c r="EV28" s="65" t="str">
        <f t="shared" si="73"/>
        <v>-</v>
      </c>
      <c r="EW28" s="65" t="str">
        <f t="shared" si="73"/>
        <v>-</v>
      </c>
      <c r="EX28" s="65" t="str">
        <f t="shared" si="73"/>
        <v>-</v>
      </c>
      <c r="EY28" s="65" t="str">
        <f t="shared" si="73"/>
        <v>-</v>
      </c>
      <c r="EZ28" s="65" t="str">
        <f t="shared" si="73"/>
        <v>-</v>
      </c>
      <c r="FA28" s="65" t="str">
        <f t="shared" si="73"/>
        <v>-</v>
      </c>
      <c r="FB28" s="65" t="str">
        <f t="shared" si="73"/>
        <v>-</v>
      </c>
      <c r="FC28" s="65" t="str">
        <f t="shared" si="73"/>
        <v>-</v>
      </c>
      <c r="FD28" s="65" t="str">
        <f t="shared" si="73"/>
        <v>-</v>
      </c>
      <c r="FE28" s="65" t="str">
        <f t="shared" si="73"/>
        <v>-</v>
      </c>
      <c r="FF28" s="65" t="str">
        <f t="shared" si="73"/>
        <v>-</v>
      </c>
      <c r="FG28" s="65" t="str">
        <f t="shared" si="73"/>
        <v>-</v>
      </c>
      <c r="FH28" s="65" t="str">
        <f t="shared" si="73"/>
        <v>-</v>
      </c>
      <c r="FI28" s="65" t="str">
        <f t="shared" si="73"/>
        <v>-</v>
      </c>
      <c r="FJ28" s="65" t="str">
        <f t="shared" si="73"/>
        <v>-</v>
      </c>
      <c r="FK28" s="65" t="str">
        <f t="shared" si="70"/>
        <v>-</v>
      </c>
      <c r="FL28" s="65" t="str">
        <f t="shared" si="70"/>
        <v>-</v>
      </c>
      <c r="FM28" s="65" t="str">
        <f t="shared" si="70"/>
        <v>-</v>
      </c>
      <c r="FN28" s="65" t="str">
        <f t="shared" si="70"/>
        <v>-</v>
      </c>
      <c r="FO28" s="65" t="str">
        <f t="shared" si="70"/>
        <v>-</v>
      </c>
      <c r="FP28" s="65" t="str">
        <f t="shared" si="70"/>
        <v>-</v>
      </c>
      <c r="FQ28" s="65" t="str">
        <f t="shared" si="71"/>
        <v>-</v>
      </c>
      <c r="FR28" s="65" t="str">
        <f t="shared" si="71"/>
        <v>-</v>
      </c>
    </row>
    <row r="29" spans="1:174">
      <c r="A29" s="476"/>
      <c r="B29" s="451"/>
      <c r="C29" s="451"/>
      <c r="D29" s="456"/>
      <c r="E29" s="185" t="s">
        <v>66</v>
      </c>
      <c r="F29" s="66" t="e">
        <f>SUM('BESS 10B'!S164,'BESS 10B'!S167:S168,'BESS 10B'!S172:S173)</f>
        <v>#VALUE!</v>
      </c>
      <c r="G29" s="182">
        <f>H29-20</f>
        <v>46257</v>
      </c>
      <c r="H29" s="182">
        <f>MAX('BESS 10B'!O164,'BESS 10B'!O167:O168,'BESS 10B'!O172:O173)</f>
        <v>46277</v>
      </c>
      <c r="I29" s="66">
        <f t="shared" si="72"/>
        <v>20</v>
      </c>
      <c r="J29" s="453"/>
      <c r="K29" s="662"/>
      <c r="L29" s="662"/>
      <c r="M29" s="65" t="str">
        <f t="shared" si="64"/>
        <v>-</v>
      </c>
      <c r="N29" s="65" t="str">
        <f t="shared" si="64"/>
        <v>-</v>
      </c>
      <c r="O29" s="65" t="str">
        <f t="shared" si="64"/>
        <v>-</v>
      </c>
      <c r="P29" s="65" t="str">
        <f t="shared" si="64"/>
        <v>-</v>
      </c>
      <c r="Q29" s="65" t="str">
        <f t="shared" si="64"/>
        <v>-</v>
      </c>
      <c r="R29" s="65" t="str">
        <f t="shared" si="64"/>
        <v>-</v>
      </c>
      <c r="S29" s="65" t="str">
        <f t="shared" si="64"/>
        <v>-</v>
      </c>
      <c r="T29" s="65" t="str">
        <f t="shared" si="64"/>
        <v>-</v>
      </c>
      <c r="U29" s="65" t="str">
        <f t="shared" si="64"/>
        <v>-</v>
      </c>
      <c r="V29" s="65" t="str">
        <f t="shared" si="64"/>
        <v>-</v>
      </c>
      <c r="W29" s="65" t="str">
        <f t="shared" si="64"/>
        <v>-</v>
      </c>
      <c r="X29" s="65" t="str">
        <f t="shared" si="64"/>
        <v>-</v>
      </c>
      <c r="Y29" s="65" t="str">
        <f t="shared" si="64"/>
        <v>-</v>
      </c>
      <c r="Z29" s="65" t="str">
        <f t="shared" si="64"/>
        <v>-</v>
      </c>
      <c r="AA29" s="65" t="str">
        <f t="shared" si="64"/>
        <v>-</v>
      </c>
      <c r="AB29" s="65" t="str">
        <f t="shared" si="64"/>
        <v>-</v>
      </c>
      <c r="AC29" s="65" t="str">
        <f t="shared" si="65"/>
        <v>-</v>
      </c>
      <c r="AD29" s="65" t="str">
        <f t="shared" si="65"/>
        <v>-</v>
      </c>
      <c r="AE29" s="65" t="str">
        <f t="shared" si="65"/>
        <v>-</v>
      </c>
      <c r="AF29" s="65" t="str">
        <f t="shared" si="65"/>
        <v>-</v>
      </c>
      <c r="AG29" s="65" t="str">
        <f t="shared" si="65"/>
        <v>-</v>
      </c>
      <c r="AH29" s="65" t="str">
        <f t="shared" si="65"/>
        <v>-</v>
      </c>
      <c r="AI29" s="65" t="str">
        <f t="shared" si="65"/>
        <v>-</v>
      </c>
      <c r="AJ29" s="65" t="str">
        <f t="shared" si="65"/>
        <v>-</v>
      </c>
      <c r="AK29" s="65" t="str">
        <f t="shared" si="65"/>
        <v>-</v>
      </c>
      <c r="AL29" s="65" t="str">
        <f t="shared" si="65"/>
        <v>-</v>
      </c>
      <c r="AM29" s="65" t="str">
        <f t="shared" si="65"/>
        <v>-</v>
      </c>
      <c r="AN29" s="65" t="str">
        <f t="shared" si="65"/>
        <v>-</v>
      </c>
      <c r="AO29" s="65" t="str">
        <f t="shared" si="65"/>
        <v>-</v>
      </c>
      <c r="AP29" s="65" t="str">
        <f t="shared" si="65"/>
        <v>-</v>
      </c>
      <c r="AQ29" s="65" t="str">
        <f t="shared" si="65"/>
        <v>-</v>
      </c>
      <c r="AR29" s="65" t="str">
        <f t="shared" si="65"/>
        <v>-</v>
      </c>
      <c r="AS29" s="65" t="str">
        <f t="shared" si="66"/>
        <v>-</v>
      </c>
      <c r="AT29" s="65" t="str">
        <f t="shared" si="66"/>
        <v>-</v>
      </c>
      <c r="AU29" s="65" t="str">
        <f t="shared" si="66"/>
        <v>-</v>
      </c>
      <c r="AV29" s="65" t="str">
        <f t="shared" si="66"/>
        <v>-</v>
      </c>
      <c r="AW29" s="65" t="str">
        <f t="shared" si="66"/>
        <v>-</v>
      </c>
      <c r="AX29" s="65" t="str">
        <f t="shared" si="66"/>
        <v>-</v>
      </c>
      <c r="AY29" s="65" t="str">
        <f t="shared" si="66"/>
        <v>-</v>
      </c>
      <c r="AZ29" s="65" t="str">
        <f t="shared" si="66"/>
        <v>-</v>
      </c>
      <c r="BA29" s="65" t="str">
        <f t="shared" si="66"/>
        <v>-</v>
      </c>
      <c r="BB29" s="65" t="str">
        <f t="shared" si="66"/>
        <v>-</v>
      </c>
      <c r="BC29" s="65" t="str">
        <f t="shared" si="66"/>
        <v>-</v>
      </c>
      <c r="BD29" s="65" t="str">
        <f t="shared" si="66"/>
        <v>-</v>
      </c>
      <c r="BE29" s="65" t="str">
        <f t="shared" si="66"/>
        <v>-</v>
      </c>
      <c r="BF29" s="65" t="str">
        <f t="shared" si="66"/>
        <v>-</v>
      </c>
      <c r="BG29" s="65" t="str">
        <f t="shared" si="66"/>
        <v>-</v>
      </c>
      <c r="BH29" s="65" t="str">
        <f t="shared" si="66"/>
        <v>-</v>
      </c>
      <c r="BI29" s="65" t="str">
        <f t="shared" si="67"/>
        <v>-</v>
      </c>
      <c r="BJ29" s="65" t="str">
        <f t="shared" si="67"/>
        <v>-</v>
      </c>
      <c r="BK29" s="65" t="str">
        <f t="shared" si="67"/>
        <v>-</v>
      </c>
      <c r="BL29" s="65" t="str">
        <f t="shared" si="67"/>
        <v>-</v>
      </c>
      <c r="BM29" s="65" t="str">
        <f t="shared" si="67"/>
        <v>-</v>
      </c>
      <c r="BN29" s="65" t="str">
        <f t="shared" si="67"/>
        <v>-</v>
      </c>
      <c r="BO29" s="65" t="str">
        <f t="shared" si="67"/>
        <v>-</v>
      </c>
      <c r="BP29" s="65" t="str">
        <f t="shared" si="67"/>
        <v>-</v>
      </c>
      <c r="BQ29" s="65" t="str">
        <f t="shared" si="67"/>
        <v>-</v>
      </c>
      <c r="BR29" s="65" t="str">
        <f t="shared" si="67"/>
        <v>-</v>
      </c>
      <c r="BS29" s="65" t="str">
        <f t="shared" si="67"/>
        <v>-</v>
      </c>
      <c r="BT29" s="65" t="str">
        <f t="shared" si="67"/>
        <v>-</v>
      </c>
      <c r="BU29" s="65" t="str">
        <f t="shared" si="67"/>
        <v>-</v>
      </c>
      <c r="BV29" s="65" t="str">
        <f t="shared" si="67"/>
        <v>-</v>
      </c>
      <c r="BW29" s="65" t="e">
        <f t="shared" si="67"/>
        <v>#VALUE!</v>
      </c>
      <c r="BX29" s="65" t="e">
        <f t="shared" si="67"/>
        <v>#VALUE!</v>
      </c>
      <c r="BY29" s="65" t="e">
        <f t="shared" si="68"/>
        <v>#VALUE!</v>
      </c>
      <c r="BZ29" s="65" t="e">
        <f t="shared" si="68"/>
        <v>#VALUE!</v>
      </c>
      <c r="CA29" s="65" t="e">
        <f t="shared" si="68"/>
        <v>#VALUE!</v>
      </c>
      <c r="CB29" s="65" t="e">
        <f t="shared" si="68"/>
        <v>#VALUE!</v>
      </c>
      <c r="CC29" s="65" t="e">
        <f t="shared" si="68"/>
        <v>#VALUE!</v>
      </c>
      <c r="CD29" s="65" t="e">
        <f t="shared" si="68"/>
        <v>#VALUE!</v>
      </c>
      <c r="CE29" s="65" t="e">
        <f t="shared" si="68"/>
        <v>#VALUE!</v>
      </c>
      <c r="CF29" s="65" t="e">
        <f t="shared" si="68"/>
        <v>#VALUE!</v>
      </c>
      <c r="CG29" s="65" t="e">
        <f t="shared" si="68"/>
        <v>#VALUE!</v>
      </c>
      <c r="CH29" s="65" t="e">
        <f t="shared" si="68"/>
        <v>#VALUE!</v>
      </c>
      <c r="CI29" s="65" t="e">
        <f t="shared" si="68"/>
        <v>#VALUE!</v>
      </c>
      <c r="CJ29" s="65" t="e">
        <f t="shared" si="68"/>
        <v>#VALUE!</v>
      </c>
      <c r="CK29" s="65" t="e">
        <f t="shared" si="68"/>
        <v>#VALUE!</v>
      </c>
      <c r="CL29" s="65" t="e">
        <f t="shared" si="68"/>
        <v>#VALUE!</v>
      </c>
      <c r="CM29" s="65" t="e">
        <f t="shared" si="68"/>
        <v>#VALUE!</v>
      </c>
      <c r="CN29" s="65" t="e">
        <f t="shared" si="68"/>
        <v>#VALUE!</v>
      </c>
      <c r="CO29" s="65" t="e">
        <f t="shared" si="69"/>
        <v>#VALUE!</v>
      </c>
      <c r="CP29" s="65" t="e">
        <f t="shared" si="69"/>
        <v>#VALUE!</v>
      </c>
      <c r="CQ29" s="65" t="str">
        <f t="shared" si="69"/>
        <v>-</v>
      </c>
      <c r="CR29" s="65" t="str">
        <f t="shared" si="69"/>
        <v>-</v>
      </c>
      <c r="CS29" s="65" t="str">
        <f t="shared" si="69"/>
        <v>-</v>
      </c>
      <c r="CT29" s="186" t="str">
        <f t="shared" si="69"/>
        <v>-</v>
      </c>
      <c r="CU29" s="186" t="str">
        <f t="shared" si="69"/>
        <v>-</v>
      </c>
      <c r="CV29" s="186" t="str">
        <f t="shared" si="69"/>
        <v>-</v>
      </c>
      <c r="CW29" s="186" t="str">
        <f t="shared" si="69"/>
        <v>-</v>
      </c>
      <c r="CX29" s="65" t="str">
        <f t="shared" si="69"/>
        <v>-</v>
      </c>
      <c r="CY29" s="65" t="str">
        <f t="shared" si="73"/>
        <v>-</v>
      </c>
      <c r="CZ29" s="65" t="str">
        <f t="shared" si="73"/>
        <v>-</v>
      </c>
      <c r="DA29" s="65" t="str">
        <f t="shared" si="73"/>
        <v>-</v>
      </c>
      <c r="DB29" s="65" t="str">
        <f t="shared" si="73"/>
        <v>-</v>
      </c>
      <c r="DC29" s="65" t="str">
        <f t="shared" si="73"/>
        <v>-</v>
      </c>
      <c r="DD29" s="65" t="str">
        <f t="shared" si="73"/>
        <v>-</v>
      </c>
      <c r="DE29" s="65" t="str">
        <f t="shared" si="73"/>
        <v>-</v>
      </c>
      <c r="DF29" s="65" t="str">
        <f t="shared" si="73"/>
        <v>-</v>
      </c>
      <c r="DG29" s="65" t="str">
        <f t="shared" si="73"/>
        <v>-</v>
      </c>
      <c r="DH29" s="65" t="str">
        <f t="shared" si="73"/>
        <v>-</v>
      </c>
      <c r="DI29" s="65" t="str">
        <f t="shared" si="73"/>
        <v>-</v>
      </c>
      <c r="DJ29" s="65" t="str">
        <f t="shared" si="73"/>
        <v>-</v>
      </c>
      <c r="DK29" s="65" t="str">
        <f t="shared" si="73"/>
        <v>-</v>
      </c>
      <c r="DL29" s="65" t="str">
        <f t="shared" si="73"/>
        <v>-</v>
      </c>
      <c r="DM29" s="65" t="str">
        <f t="shared" si="73"/>
        <v>-</v>
      </c>
      <c r="DN29" s="65" t="str">
        <f t="shared" si="73"/>
        <v>-</v>
      </c>
      <c r="DO29" s="65" t="str">
        <f t="shared" si="73"/>
        <v>-</v>
      </c>
      <c r="DP29" s="65" t="str">
        <f t="shared" si="73"/>
        <v>-</v>
      </c>
      <c r="DQ29" s="65" t="str">
        <f t="shared" si="73"/>
        <v>-</v>
      </c>
      <c r="DR29" s="65" t="str">
        <f t="shared" si="73"/>
        <v>-</v>
      </c>
      <c r="DS29" s="65" t="str">
        <f t="shared" si="73"/>
        <v>-</v>
      </c>
      <c r="DT29" s="65" t="str">
        <f t="shared" si="73"/>
        <v>-</v>
      </c>
      <c r="DU29" s="65" t="str">
        <f t="shared" si="73"/>
        <v>-</v>
      </c>
      <c r="DV29" s="65" t="str">
        <f t="shared" si="73"/>
        <v>-</v>
      </c>
      <c r="DW29" s="65" t="str">
        <f t="shared" si="73"/>
        <v>-</v>
      </c>
      <c r="DX29" s="65" t="str">
        <f t="shared" si="73"/>
        <v>-</v>
      </c>
      <c r="DY29" s="65" t="str">
        <f t="shared" si="73"/>
        <v>-</v>
      </c>
      <c r="DZ29" s="65" t="str">
        <f t="shared" si="73"/>
        <v>-</v>
      </c>
      <c r="EA29" s="65" t="str">
        <f t="shared" si="73"/>
        <v>-</v>
      </c>
      <c r="EB29" s="65" t="str">
        <f t="shared" si="73"/>
        <v>-</v>
      </c>
      <c r="EC29" s="65" t="str">
        <f t="shared" si="73"/>
        <v>-</v>
      </c>
      <c r="ED29" s="65" t="str">
        <f t="shared" si="73"/>
        <v>-</v>
      </c>
      <c r="EE29" s="65" t="str">
        <f t="shared" si="73"/>
        <v>-</v>
      </c>
      <c r="EF29" s="65" t="str">
        <f t="shared" si="73"/>
        <v>-</v>
      </c>
      <c r="EG29" s="65" t="str">
        <f t="shared" si="73"/>
        <v>-</v>
      </c>
      <c r="EH29" s="65" t="str">
        <f t="shared" si="73"/>
        <v>-</v>
      </c>
      <c r="EI29" s="65" t="str">
        <f t="shared" si="73"/>
        <v>-</v>
      </c>
      <c r="EJ29" s="65" t="str">
        <f t="shared" si="73"/>
        <v>-</v>
      </c>
      <c r="EK29" s="65" t="str">
        <f t="shared" si="73"/>
        <v>-</v>
      </c>
      <c r="EL29" s="65" t="str">
        <f t="shared" si="73"/>
        <v>-</v>
      </c>
      <c r="EM29" s="65" t="str">
        <f t="shared" si="73"/>
        <v>-</v>
      </c>
      <c r="EN29" s="65" t="str">
        <f t="shared" si="73"/>
        <v>-</v>
      </c>
      <c r="EO29" s="65" t="str">
        <f t="shared" si="73"/>
        <v>-</v>
      </c>
      <c r="EP29" s="65" t="str">
        <f t="shared" si="73"/>
        <v>-</v>
      </c>
      <c r="EQ29" s="65" t="str">
        <f t="shared" si="73"/>
        <v>-</v>
      </c>
      <c r="ER29" s="65" t="str">
        <f t="shared" si="73"/>
        <v>-</v>
      </c>
      <c r="ES29" s="65" t="str">
        <f t="shared" si="73"/>
        <v>-</v>
      </c>
      <c r="ET29" s="65" t="str">
        <f t="shared" si="73"/>
        <v>-</v>
      </c>
      <c r="EU29" s="65" t="str">
        <f t="shared" si="73"/>
        <v>-</v>
      </c>
      <c r="EV29" s="65" t="str">
        <f t="shared" si="73"/>
        <v>-</v>
      </c>
      <c r="EW29" s="65" t="str">
        <f t="shared" si="73"/>
        <v>-</v>
      </c>
      <c r="EX29" s="65" t="str">
        <f t="shared" si="73"/>
        <v>-</v>
      </c>
      <c r="EY29" s="65" t="str">
        <f t="shared" si="73"/>
        <v>-</v>
      </c>
      <c r="EZ29" s="65" t="str">
        <f t="shared" si="73"/>
        <v>-</v>
      </c>
      <c r="FA29" s="65" t="str">
        <f t="shared" si="73"/>
        <v>-</v>
      </c>
      <c r="FB29" s="65" t="str">
        <f t="shared" si="73"/>
        <v>-</v>
      </c>
      <c r="FC29" s="65" t="str">
        <f t="shared" si="73"/>
        <v>-</v>
      </c>
      <c r="FD29" s="65" t="str">
        <f t="shared" si="73"/>
        <v>-</v>
      </c>
      <c r="FE29" s="65" t="str">
        <f t="shared" si="73"/>
        <v>-</v>
      </c>
      <c r="FF29" s="65" t="str">
        <f t="shared" si="73"/>
        <v>-</v>
      </c>
      <c r="FG29" s="65" t="str">
        <f t="shared" si="73"/>
        <v>-</v>
      </c>
      <c r="FH29" s="65" t="str">
        <f t="shared" si="73"/>
        <v>-</v>
      </c>
      <c r="FI29" s="65" t="str">
        <f t="shared" si="73"/>
        <v>-</v>
      </c>
      <c r="FJ29" s="65" t="str">
        <f t="shared" si="73"/>
        <v>-</v>
      </c>
      <c r="FK29" s="65" t="str">
        <f t="shared" si="70"/>
        <v>-</v>
      </c>
      <c r="FL29" s="65" t="str">
        <f t="shared" si="70"/>
        <v>-</v>
      </c>
      <c r="FM29" s="65" t="str">
        <f t="shared" si="70"/>
        <v>-</v>
      </c>
      <c r="FN29" s="65" t="str">
        <f t="shared" si="70"/>
        <v>-</v>
      </c>
      <c r="FO29" s="65" t="str">
        <f t="shared" si="70"/>
        <v>-</v>
      </c>
      <c r="FP29" s="65" t="str">
        <f t="shared" si="70"/>
        <v>-</v>
      </c>
      <c r="FQ29" s="65" t="str">
        <f t="shared" si="71"/>
        <v>-</v>
      </c>
      <c r="FR29" s="65" t="str">
        <f t="shared" si="71"/>
        <v>-</v>
      </c>
    </row>
    <row r="30" spans="1:174">
      <c r="A30" s="476"/>
      <c r="B30" s="451"/>
      <c r="C30" s="451"/>
      <c r="D30" s="456"/>
      <c r="E30" s="185" t="s">
        <v>67</v>
      </c>
      <c r="F30" s="66" t="e">
        <f>SUM('BESS 10B'!S175:S184)</f>
        <v>#VALUE!</v>
      </c>
      <c r="G30" s="182">
        <f>H30-14</f>
        <v>46269</v>
      </c>
      <c r="H30" s="182">
        <f>MAX('BESS 10B'!O175:O184)</f>
        <v>46283</v>
      </c>
      <c r="I30" s="66">
        <f t="shared" si="72"/>
        <v>14</v>
      </c>
      <c r="J30" s="453"/>
      <c r="K30" s="662"/>
      <c r="L30" s="662"/>
      <c r="M30" s="65" t="str">
        <f t="shared" si="64"/>
        <v>-</v>
      </c>
      <c r="N30" s="65" t="str">
        <f t="shared" si="64"/>
        <v>-</v>
      </c>
      <c r="O30" s="65" t="str">
        <f t="shared" si="64"/>
        <v>-</v>
      </c>
      <c r="P30" s="65" t="str">
        <f t="shared" si="64"/>
        <v>-</v>
      </c>
      <c r="Q30" s="65" t="str">
        <f t="shared" si="64"/>
        <v>-</v>
      </c>
      <c r="R30" s="65" t="str">
        <f t="shared" si="64"/>
        <v>-</v>
      </c>
      <c r="S30" s="65" t="str">
        <f t="shared" si="64"/>
        <v>-</v>
      </c>
      <c r="T30" s="65" t="str">
        <f t="shared" si="64"/>
        <v>-</v>
      </c>
      <c r="U30" s="65" t="str">
        <f t="shared" si="64"/>
        <v>-</v>
      </c>
      <c r="V30" s="65" t="str">
        <f t="shared" si="64"/>
        <v>-</v>
      </c>
      <c r="W30" s="65" t="str">
        <f t="shared" si="64"/>
        <v>-</v>
      </c>
      <c r="X30" s="65" t="str">
        <f t="shared" si="64"/>
        <v>-</v>
      </c>
      <c r="Y30" s="65" t="str">
        <f t="shared" si="64"/>
        <v>-</v>
      </c>
      <c r="Z30" s="65" t="str">
        <f t="shared" si="64"/>
        <v>-</v>
      </c>
      <c r="AA30" s="65" t="str">
        <f t="shared" si="64"/>
        <v>-</v>
      </c>
      <c r="AB30" s="65" t="str">
        <f t="shared" si="64"/>
        <v>-</v>
      </c>
      <c r="AC30" s="65" t="str">
        <f t="shared" si="65"/>
        <v>-</v>
      </c>
      <c r="AD30" s="65" t="str">
        <f t="shared" si="65"/>
        <v>-</v>
      </c>
      <c r="AE30" s="65" t="str">
        <f t="shared" si="65"/>
        <v>-</v>
      </c>
      <c r="AF30" s="65" t="str">
        <f t="shared" si="65"/>
        <v>-</v>
      </c>
      <c r="AG30" s="65" t="str">
        <f t="shared" si="65"/>
        <v>-</v>
      </c>
      <c r="AH30" s="65" t="str">
        <f t="shared" si="65"/>
        <v>-</v>
      </c>
      <c r="AI30" s="65" t="str">
        <f t="shared" si="65"/>
        <v>-</v>
      </c>
      <c r="AJ30" s="65" t="str">
        <f t="shared" si="65"/>
        <v>-</v>
      </c>
      <c r="AK30" s="65" t="str">
        <f t="shared" si="65"/>
        <v>-</v>
      </c>
      <c r="AL30" s="65" t="str">
        <f t="shared" si="65"/>
        <v>-</v>
      </c>
      <c r="AM30" s="65" t="str">
        <f t="shared" si="65"/>
        <v>-</v>
      </c>
      <c r="AN30" s="65" t="str">
        <f t="shared" si="65"/>
        <v>-</v>
      </c>
      <c r="AO30" s="65" t="str">
        <f t="shared" si="65"/>
        <v>-</v>
      </c>
      <c r="AP30" s="65" t="str">
        <f t="shared" si="65"/>
        <v>-</v>
      </c>
      <c r="AQ30" s="65" t="str">
        <f t="shared" si="65"/>
        <v>-</v>
      </c>
      <c r="AR30" s="65" t="str">
        <f t="shared" si="65"/>
        <v>-</v>
      </c>
      <c r="AS30" s="65" t="str">
        <f t="shared" si="66"/>
        <v>-</v>
      </c>
      <c r="AT30" s="65" t="str">
        <f t="shared" si="66"/>
        <v>-</v>
      </c>
      <c r="AU30" s="65" t="str">
        <f t="shared" si="66"/>
        <v>-</v>
      </c>
      <c r="AV30" s="65" t="str">
        <f t="shared" si="66"/>
        <v>-</v>
      </c>
      <c r="AW30" s="65" t="str">
        <f t="shared" si="66"/>
        <v>-</v>
      </c>
      <c r="AX30" s="65" t="str">
        <f t="shared" si="66"/>
        <v>-</v>
      </c>
      <c r="AY30" s="65" t="str">
        <f t="shared" si="66"/>
        <v>-</v>
      </c>
      <c r="AZ30" s="65" t="str">
        <f t="shared" si="66"/>
        <v>-</v>
      </c>
      <c r="BA30" s="65" t="str">
        <f t="shared" si="66"/>
        <v>-</v>
      </c>
      <c r="BB30" s="65" t="str">
        <f t="shared" si="66"/>
        <v>-</v>
      </c>
      <c r="BC30" s="65" t="str">
        <f t="shared" si="66"/>
        <v>-</v>
      </c>
      <c r="BD30" s="65" t="str">
        <f t="shared" si="66"/>
        <v>-</v>
      </c>
      <c r="BE30" s="65" t="str">
        <f t="shared" si="66"/>
        <v>-</v>
      </c>
      <c r="BF30" s="65" t="str">
        <f t="shared" si="66"/>
        <v>-</v>
      </c>
      <c r="BG30" s="65" t="str">
        <f t="shared" si="66"/>
        <v>-</v>
      </c>
      <c r="BH30" s="65" t="str">
        <f t="shared" si="66"/>
        <v>-</v>
      </c>
      <c r="BI30" s="65" t="str">
        <f t="shared" si="67"/>
        <v>-</v>
      </c>
      <c r="BJ30" s="65" t="str">
        <f t="shared" si="67"/>
        <v>-</v>
      </c>
      <c r="BK30" s="65" t="str">
        <f t="shared" si="67"/>
        <v>-</v>
      </c>
      <c r="BL30" s="65" t="str">
        <f t="shared" si="67"/>
        <v>-</v>
      </c>
      <c r="BM30" s="65" t="str">
        <f t="shared" si="67"/>
        <v>-</v>
      </c>
      <c r="BN30" s="65" t="str">
        <f t="shared" si="67"/>
        <v>-</v>
      </c>
      <c r="BO30" s="65" t="str">
        <f t="shared" si="67"/>
        <v>-</v>
      </c>
      <c r="BP30" s="65" t="str">
        <f t="shared" si="67"/>
        <v>-</v>
      </c>
      <c r="BQ30" s="65" t="str">
        <f t="shared" si="67"/>
        <v>-</v>
      </c>
      <c r="BR30" s="65" t="str">
        <f t="shared" si="67"/>
        <v>-</v>
      </c>
      <c r="BS30" s="65" t="str">
        <f t="shared" si="67"/>
        <v>-</v>
      </c>
      <c r="BT30" s="65" t="str">
        <f t="shared" si="67"/>
        <v>-</v>
      </c>
      <c r="BU30" s="65" t="str">
        <f t="shared" si="67"/>
        <v>-</v>
      </c>
      <c r="BV30" s="65" t="str">
        <f t="shared" si="67"/>
        <v>-</v>
      </c>
      <c r="BW30" s="65" t="str">
        <f t="shared" si="67"/>
        <v>-</v>
      </c>
      <c r="BX30" s="65" t="str">
        <f t="shared" si="67"/>
        <v>-</v>
      </c>
      <c r="BY30" s="65" t="str">
        <f t="shared" si="68"/>
        <v>-</v>
      </c>
      <c r="BZ30" s="65" t="str">
        <f t="shared" si="68"/>
        <v>-</v>
      </c>
      <c r="CA30" s="65" t="str">
        <f t="shared" si="68"/>
        <v>-</v>
      </c>
      <c r="CB30" s="65" t="str">
        <f t="shared" si="68"/>
        <v>-</v>
      </c>
      <c r="CC30" s="65" t="str">
        <f t="shared" si="68"/>
        <v>-</v>
      </c>
      <c r="CD30" s="65" t="str">
        <f t="shared" si="68"/>
        <v>-</v>
      </c>
      <c r="CE30" s="65" t="str">
        <f t="shared" si="68"/>
        <v>-</v>
      </c>
      <c r="CF30" s="65" t="str">
        <f t="shared" si="68"/>
        <v>-</v>
      </c>
      <c r="CG30" s="65" t="str">
        <f t="shared" si="68"/>
        <v>-</v>
      </c>
      <c r="CH30" s="65" t="str">
        <f t="shared" si="68"/>
        <v>-</v>
      </c>
      <c r="CI30" s="65" t="e">
        <f t="shared" si="68"/>
        <v>#VALUE!</v>
      </c>
      <c r="CJ30" s="65" t="e">
        <f t="shared" si="68"/>
        <v>#VALUE!</v>
      </c>
      <c r="CK30" s="65" t="e">
        <f t="shared" si="68"/>
        <v>#VALUE!</v>
      </c>
      <c r="CL30" s="65" t="e">
        <f t="shared" si="68"/>
        <v>#VALUE!</v>
      </c>
      <c r="CM30" s="65" t="e">
        <f t="shared" si="68"/>
        <v>#VALUE!</v>
      </c>
      <c r="CN30" s="65" t="e">
        <f t="shared" si="68"/>
        <v>#VALUE!</v>
      </c>
      <c r="CO30" s="65" t="e">
        <f t="shared" si="69"/>
        <v>#VALUE!</v>
      </c>
      <c r="CP30" s="65" t="e">
        <f t="shared" si="69"/>
        <v>#VALUE!</v>
      </c>
      <c r="CQ30" s="65" t="e">
        <f t="shared" si="69"/>
        <v>#VALUE!</v>
      </c>
      <c r="CR30" s="65" t="e">
        <f t="shared" si="69"/>
        <v>#VALUE!</v>
      </c>
      <c r="CS30" s="65" t="e">
        <f t="shared" si="69"/>
        <v>#VALUE!</v>
      </c>
      <c r="CT30" s="186" t="e">
        <f t="shared" si="69"/>
        <v>#VALUE!</v>
      </c>
      <c r="CU30" s="186" t="e">
        <f t="shared" si="69"/>
        <v>#VALUE!</v>
      </c>
      <c r="CV30" s="186" t="e">
        <f t="shared" si="69"/>
        <v>#VALUE!</v>
      </c>
      <c r="CW30" s="186" t="str">
        <f t="shared" si="69"/>
        <v>-</v>
      </c>
      <c r="CX30" s="65" t="str">
        <f t="shared" si="69"/>
        <v>-</v>
      </c>
      <c r="CY30" s="65" t="str">
        <f t="shared" si="73"/>
        <v>-</v>
      </c>
      <c r="CZ30" s="65" t="str">
        <f t="shared" si="73"/>
        <v>-</v>
      </c>
      <c r="DA30" s="65" t="str">
        <f t="shared" si="73"/>
        <v>-</v>
      </c>
      <c r="DB30" s="65" t="str">
        <f t="shared" si="73"/>
        <v>-</v>
      </c>
      <c r="DC30" s="65" t="str">
        <f t="shared" si="73"/>
        <v>-</v>
      </c>
      <c r="DD30" s="65" t="str">
        <f t="shared" si="73"/>
        <v>-</v>
      </c>
      <c r="DE30" s="65" t="str">
        <f t="shared" si="73"/>
        <v>-</v>
      </c>
      <c r="DF30" s="65" t="str">
        <f t="shared" si="73"/>
        <v>-</v>
      </c>
      <c r="DG30" s="65" t="str">
        <f t="shared" si="73"/>
        <v>-</v>
      </c>
      <c r="DH30" s="65" t="str">
        <f t="shared" si="73"/>
        <v>-</v>
      </c>
      <c r="DI30" s="65" t="str">
        <f t="shared" si="73"/>
        <v>-</v>
      </c>
      <c r="DJ30" s="65" t="str">
        <f t="shared" si="73"/>
        <v>-</v>
      </c>
      <c r="DK30" s="65" t="str">
        <f t="shared" si="73"/>
        <v>-</v>
      </c>
      <c r="DL30" s="65" t="str">
        <f t="shared" si="73"/>
        <v>-</v>
      </c>
      <c r="DM30" s="65" t="str">
        <f t="shared" si="73"/>
        <v>-</v>
      </c>
      <c r="DN30" s="65" t="str">
        <f t="shared" si="73"/>
        <v>-</v>
      </c>
      <c r="DO30" s="65" t="str">
        <f t="shared" si="73"/>
        <v>-</v>
      </c>
      <c r="DP30" s="65" t="str">
        <f t="shared" si="73"/>
        <v>-</v>
      </c>
      <c r="DQ30" s="65" t="str">
        <f t="shared" si="73"/>
        <v>-</v>
      </c>
      <c r="DR30" s="65" t="str">
        <f t="shared" si="73"/>
        <v>-</v>
      </c>
      <c r="DS30" s="65" t="str">
        <f t="shared" si="73"/>
        <v>-</v>
      </c>
      <c r="DT30" s="65" t="str">
        <f t="shared" si="73"/>
        <v>-</v>
      </c>
      <c r="DU30" s="65" t="str">
        <f t="shared" si="73"/>
        <v>-</v>
      </c>
      <c r="DV30" s="65" t="str">
        <f t="shared" si="73"/>
        <v>-</v>
      </c>
      <c r="DW30" s="65" t="str">
        <f t="shared" si="73"/>
        <v>-</v>
      </c>
      <c r="DX30" s="65" t="str">
        <f t="shared" si="73"/>
        <v>-</v>
      </c>
      <c r="DY30" s="65" t="str">
        <f t="shared" si="73"/>
        <v>-</v>
      </c>
      <c r="DZ30" s="65" t="str">
        <f t="shared" si="73"/>
        <v>-</v>
      </c>
      <c r="EA30" s="65" t="str">
        <f t="shared" si="73"/>
        <v>-</v>
      </c>
      <c r="EB30" s="65" t="str">
        <f t="shared" si="73"/>
        <v>-</v>
      </c>
      <c r="EC30" s="65" t="str">
        <f t="shared" si="73"/>
        <v>-</v>
      </c>
      <c r="ED30" s="65" t="str">
        <f t="shared" si="73"/>
        <v>-</v>
      </c>
      <c r="EE30" s="65" t="str">
        <f t="shared" si="73"/>
        <v>-</v>
      </c>
      <c r="EF30" s="65" t="str">
        <f t="shared" si="73"/>
        <v>-</v>
      </c>
      <c r="EG30" s="65" t="str">
        <f t="shared" si="73"/>
        <v>-</v>
      </c>
      <c r="EH30" s="65" t="str">
        <f t="shared" si="73"/>
        <v>-</v>
      </c>
      <c r="EI30" s="65" t="str">
        <f t="shared" si="73"/>
        <v>-</v>
      </c>
      <c r="EJ30" s="65" t="str">
        <f t="shared" si="73"/>
        <v>-</v>
      </c>
      <c r="EK30" s="65" t="str">
        <f t="shared" si="73"/>
        <v>-</v>
      </c>
      <c r="EL30" s="65" t="str">
        <f t="shared" si="73"/>
        <v>-</v>
      </c>
      <c r="EM30" s="65" t="str">
        <f t="shared" si="73"/>
        <v>-</v>
      </c>
      <c r="EN30" s="65" t="str">
        <f t="shared" si="73"/>
        <v>-</v>
      </c>
      <c r="EO30" s="65" t="str">
        <f t="shared" si="73"/>
        <v>-</v>
      </c>
      <c r="EP30" s="65" t="str">
        <f t="shared" si="73"/>
        <v>-</v>
      </c>
      <c r="EQ30" s="65" t="str">
        <f t="shared" si="73"/>
        <v>-</v>
      </c>
      <c r="ER30" s="65" t="str">
        <f t="shared" si="73"/>
        <v>-</v>
      </c>
      <c r="ES30" s="65" t="str">
        <f t="shared" si="73"/>
        <v>-</v>
      </c>
      <c r="ET30" s="65" t="str">
        <f t="shared" si="73"/>
        <v>-</v>
      </c>
      <c r="EU30" s="65" t="str">
        <f t="shared" si="73"/>
        <v>-</v>
      </c>
      <c r="EV30" s="65" t="str">
        <f t="shared" si="73"/>
        <v>-</v>
      </c>
      <c r="EW30" s="65" t="str">
        <f t="shared" si="73"/>
        <v>-</v>
      </c>
      <c r="EX30" s="65" t="str">
        <f t="shared" si="73"/>
        <v>-</v>
      </c>
      <c r="EY30" s="65" t="str">
        <f t="shared" si="73"/>
        <v>-</v>
      </c>
      <c r="EZ30" s="65" t="str">
        <f t="shared" si="73"/>
        <v>-</v>
      </c>
      <c r="FA30" s="65" t="str">
        <f t="shared" si="73"/>
        <v>-</v>
      </c>
      <c r="FB30" s="65" t="str">
        <f t="shared" si="73"/>
        <v>-</v>
      </c>
      <c r="FC30" s="65" t="str">
        <f t="shared" si="73"/>
        <v>-</v>
      </c>
      <c r="FD30" s="65" t="str">
        <f t="shared" si="73"/>
        <v>-</v>
      </c>
      <c r="FE30" s="65" t="str">
        <f t="shared" si="73"/>
        <v>-</v>
      </c>
      <c r="FF30" s="65" t="str">
        <f t="shared" si="73"/>
        <v>-</v>
      </c>
      <c r="FG30" s="65" t="str">
        <f t="shared" si="73"/>
        <v>-</v>
      </c>
      <c r="FH30" s="65" t="str">
        <f t="shared" si="73"/>
        <v>-</v>
      </c>
      <c r="FI30" s="65" t="str">
        <f t="shared" si="73"/>
        <v>-</v>
      </c>
      <c r="FJ30" s="65" t="str">
        <f t="shared" si="73"/>
        <v>-</v>
      </c>
      <c r="FK30" s="65" t="str">
        <f t="shared" si="70"/>
        <v>-</v>
      </c>
      <c r="FL30" s="65" t="str">
        <f t="shared" si="70"/>
        <v>-</v>
      </c>
      <c r="FM30" s="65" t="str">
        <f t="shared" si="70"/>
        <v>-</v>
      </c>
      <c r="FN30" s="65" t="str">
        <f t="shared" si="70"/>
        <v>-</v>
      </c>
      <c r="FO30" s="65" t="str">
        <f t="shared" si="70"/>
        <v>-</v>
      </c>
      <c r="FP30" s="65" t="str">
        <f t="shared" si="70"/>
        <v>-</v>
      </c>
      <c r="FQ30" s="65" t="str">
        <f t="shared" si="71"/>
        <v>-</v>
      </c>
      <c r="FR30" s="65" t="str">
        <f t="shared" si="71"/>
        <v>-</v>
      </c>
    </row>
    <row r="31" spans="1:174">
      <c r="A31" s="504"/>
      <c r="B31" s="452"/>
      <c r="C31" s="452"/>
      <c r="D31" s="457"/>
      <c r="E31" s="185" t="s">
        <v>68</v>
      </c>
      <c r="F31" s="66">
        <v>250</v>
      </c>
      <c r="G31" s="182">
        <f>B26-3</f>
        <v>46292</v>
      </c>
      <c r="H31" s="182"/>
      <c r="I31" s="65">
        <v>30</v>
      </c>
      <c r="J31" s="454"/>
      <c r="K31" s="663"/>
      <c r="L31" s="663"/>
      <c r="M31" s="65" t="str">
        <f>IF(AND(M$2&gt;=$B$26-26,M$2&lt;=$B$26-3),5,IF(OR(M$2=$B$26-2,M$2=$B$26-1,M$2=$B$26,M$2=$B$26+1),30,IF(OR(M$2=$B$26+2,M$2=$B$26+3),5,"")))</f>
        <v/>
      </c>
      <c r="N31" s="65" t="str">
        <f t="shared" ref="N31:BY31" si="74">IF(AND(N$2&gt;=$B$26-26,N$2&lt;=$B$26-3),5,IF(OR(N$2=$B$26-2,N$2=$B$26-1,N$2=$B$26,N$2=$B$26+1),30,IF(OR(N$2=$B$26+2,N$2=$B$26+3),5,"")))</f>
        <v/>
      </c>
      <c r="O31" s="65" t="str">
        <f t="shared" si="74"/>
        <v/>
      </c>
      <c r="P31" s="65" t="str">
        <f t="shared" si="74"/>
        <v/>
      </c>
      <c r="Q31" s="65" t="str">
        <f t="shared" si="74"/>
        <v/>
      </c>
      <c r="R31" s="65" t="str">
        <f t="shared" si="74"/>
        <v/>
      </c>
      <c r="S31" s="65" t="str">
        <f t="shared" si="74"/>
        <v/>
      </c>
      <c r="T31" s="65" t="str">
        <f t="shared" si="74"/>
        <v/>
      </c>
      <c r="U31" s="65" t="str">
        <f t="shared" si="74"/>
        <v/>
      </c>
      <c r="V31" s="65" t="str">
        <f t="shared" si="74"/>
        <v/>
      </c>
      <c r="W31" s="65" t="str">
        <f t="shared" si="74"/>
        <v/>
      </c>
      <c r="X31" s="65" t="str">
        <f t="shared" si="74"/>
        <v/>
      </c>
      <c r="Y31" s="65" t="str">
        <f t="shared" si="74"/>
        <v/>
      </c>
      <c r="Z31" s="65" t="str">
        <f t="shared" si="74"/>
        <v/>
      </c>
      <c r="AA31" s="65" t="str">
        <f t="shared" si="74"/>
        <v/>
      </c>
      <c r="AB31" s="65" t="str">
        <f t="shared" si="74"/>
        <v/>
      </c>
      <c r="AC31" s="65" t="str">
        <f t="shared" si="74"/>
        <v/>
      </c>
      <c r="AD31" s="65" t="str">
        <f t="shared" si="74"/>
        <v/>
      </c>
      <c r="AE31" s="65" t="str">
        <f t="shared" si="74"/>
        <v/>
      </c>
      <c r="AF31" s="65" t="str">
        <f t="shared" si="74"/>
        <v/>
      </c>
      <c r="AG31" s="65" t="str">
        <f t="shared" si="74"/>
        <v/>
      </c>
      <c r="AH31" s="65" t="str">
        <f t="shared" si="74"/>
        <v/>
      </c>
      <c r="AI31" s="65" t="str">
        <f t="shared" si="74"/>
        <v/>
      </c>
      <c r="AJ31" s="65" t="str">
        <f t="shared" si="74"/>
        <v/>
      </c>
      <c r="AK31" s="65" t="str">
        <f t="shared" si="74"/>
        <v/>
      </c>
      <c r="AL31" s="65" t="str">
        <f t="shared" si="74"/>
        <v/>
      </c>
      <c r="AM31" s="65" t="str">
        <f t="shared" si="74"/>
        <v/>
      </c>
      <c r="AN31" s="65" t="str">
        <f t="shared" si="74"/>
        <v/>
      </c>
      <c r="AO31" s="65" t="str">
        <f t="shared" si="74"/>
        <v/>
      </c>
      <c r="AP31" s="65" t="str">
        <f t="shared" si="74"/>
        <v/>
      </c>
      <c r="AQ31" s="65" t="str">
        <f t="shared" si="74"/>
        <v/>
      </c>
      <c r="AR31" s="65" t="str">
        <f t="shared" si="74"/>
        <v/>
      </c>
      <c r="AS31" s="65" t="str">
        <f t="shared" si="74"/>
        <v/>
      </c>
      <c r="AT31" s="65" t="str">
        <f t="shared" si="74"/>
        <v/>
      </c>
      <c r="AU31" s="65" t="str">
        <f t="shared" si="74"/>
        <v/>
      </c>
      <c r="AV31" s="65" t="str">
        <f t="shared" si="74"/>
        <v/>
      </c>
      <c r="AW31" s="65" t="str">
        <f t="shared" si="74"/>
        <v/>
      </c>
      <c r="AX31" s="65" t="str">
        <f t="shared" si="74"/>
        <v/>
      </c>
      <c r="AY31" s="65" t="str">
        <f t="shared" si="74"/>
        <v/>
      </c>
      <c r="AZ31" s="65" t="str">
        <f t="shared" si="74"/>
        <v/>
      </c>
      <c r="BA31" s="65" t="str">
        <f t="shared" si="74"/>
        <v/>
      </c>
      <c r="BB31" s="65" t="str">
        <f t="shared" si="74"/>
        <v/>
      </c>
      <c r="BC31" s="65" t="str">
        <f t="shared" si="74"/>
        <v/>
      </c>
      <c r="BD31" s="65" t="str">
        <f t="shared" si="74"/>
        <v/>
      </c>
      <c r="BE31" s="65" t="str">
        <f t="shared" si="74"/>
        <v/>
      </c>
      <c r="BF31" s="65" t="str">
        <f t="shared" si="74"/>
        <v/>
      </c>
      <c r="BG31" s="65" t="str">
        <f t="shared" si="74"/>
        <v/>
      </c>
      <c r="BH31" s="65" t="str">
        <f t="shared" si="74"/>
        <v/>
      </c>
      <c r="BI31" s="65" t="str">
        <f t="shared" si="74"/>
        <v/>
      </c>
      <c r="BJ31" s="65" t="str">
        <f t="shared" si="74"/>
        <v/>
      </c>
      <c r="BK31" s="65" t="str">
        <f t="shared" si="74"/>
        <v/>
      </c>
      <c r="BL31" s="65" t="str">
        <f t="shared" si="74"/>
        <v/>
      </c>
      <c r="BM31" s="65" t="str">
        <f t="shared" si="74"/>
        <v/>
      </c>
      <c r="BN31" s="65" t="str">
        <f t="shared" si="74"/>
        <v/>
      </c>
      <c r="BO31" s="65" t="str">
        <f t="shared" si="74"/>
        <v/>
      </c>
      <c r="BP31" s="65" t="str">
        <f t="shared" si="74"/>
        <v/>
      </c>
      <c r="BQ31" s="65" t="str">
        <f t="shared" si="74"/>
        <v/>
      </c>
      <c r="BR31" s="65" t="str">
        <f t="shared" si="74"/>
        <v/>
      </c>
      <c r="BS31" s="65" t="str">
        <f t="shared" si="74"/>
        <v/>
      </c>
      <c r="BT31" s="65" t="str">
        <f t="shared" si="74"/>
        <v/>
      </c>
      <c r="BU31" s="65" t="str">
        <f t="shared" si="74"/>
        <v/>
      </c>
      <c r="BV31" s="65" t="str">
        <f t="shared" si="74"/>
        <v/>
      </c>
      <c r="BW31" s="65" t="str">
        <f t="shared" si="74"/>
        <v/>
      </c>
      <c r="BX31" s="65" t="str">
        <f t="shared" si="74"/>
        <v/>
      </c>
      <c r="BY31" s="65" t="str">
        <f t="shared" si="74"/>
        <v/>
      </c>
      <c r="BZ31" s="65" t="str">
        <f t="shared" ref="BZ31:EG31" si="75">IF(AND(BZ$2&gt;=$B$26-26,BZ$2&lt;=$B$26-3),5,IF(OR(BZ$2=$B$26-2,BZ$2=$B$26-1,BZ$2=$B$26,BZ$2=$B$26+1),30,IF(OR(BZ$2=$B$26+2,BZ$2=$B$26+3),5,"")))</f>
        <v/>
      </c>
      <c r="CA31" s="65" t="str">
        <f t="shared" si="75"/>
        <v/>
      </c>
      <c r="CB31" s="65" t="str">
        <f t="shared" si="75"/>
        <v/>
      </c>
      <c r="CC31" s="65" t="str">
        <f t="shared" si="75"/>
        <v/>
      </c>
      <c r="CD31" s="65" t="str">
        <f t="shared" si="75"/>
        <v/>
      </c>
      <c r="CE31" s="65" t="str">
        <f t="shared" si="75"/>
        <v/>
      </c>
      <c r="CF31" s="65" t="str">
        <f t="shared" si="75"/>
        <v/>
      </c>
      <c r="CG31" s="65" t="str">
        <f t="shared" si="75"/>
        <v/>
      </c>
      <c r="CH31" s="65" t="str">
        <f t="shared" si="75"/>
        <v/>
      </c>
      <c r="CI31" s="65">
        <f t="shared" si="75"/>
        <v>5</v>
      </c>
      <c r="CJ31" s="65">
        <f t="shared" si="75"/>
        <v>5</v>
      </c>
      <c r="CK31" s="65">
        <f t="shared" si="75"/>
        <v>5</v>
      </c>
      <c r="CL31" s="65">
        <f t="shared" si="75"/>
        <v>5</v>
      </c>
      <c r="CM31" s="65">
        <f t="shared" si="75"/>
        <v>5</v>
      </c>
      <c r="CN31" s="65">
        <f t="shared" si="75"/>
        <v>5</v>
      </c>
      <c r="CO31" s="65">
        <f t="shared" si="75"/>
        <v>5</v>
      </c>
      <c r="CP31" s="65">
        <f t="shared" si="75"/>
        <v>5</v>
      </c>
      <c r="CQ31" s="65">
        <f t="shared" si="75"/>
        <v>5</v>
      </c>
      <c r="CR31" s="65">
        <f t="shared" si="75"/>
        <v>5</v>
      </c>
      <c r="CS31" s="65">
        <f t="shared" si="75"/>
        <v>5</v>
      </c>
      <c r="CT31" s="65">
        <f t="shared" si="75"/>
        <v>5</v>
      </c>
      <c r="CU31" s="65">
        <f t="shared" si="75"/>
        <v>5</v>
      </c>
      <c r="CV31" s="65">
        <f t="shared" si="75"/>
        <v>5</v>
      </c>
      <c r="CW31" s="65">
        <f t="shared" si="75"/>
        <v>5</v>
      </c>
      <c r="CX31" s="65">
        <f t="shared" si="75"/>
        <v>5</v>
      </c>
      <c r="CY31" s="65">
        <f t="shared" si="75"/>
        <v>5</v>
      </c>
      <c r="CZ31" s="65">
        <f t="shared" si="75"/>
        <v>5</v>
      </c>
      <c r="DA31" s="65">
        <f t="shared" si="75"/>
        <v>5</v>
      </c>
      <c r="DB31" s="65">
        <f t="shared" si="75"/>
        <v>5</v>
      </c>
      <c r="DC31" s="65">
        <f t="shared" si="75"/>
        <v>5</v>
      </c>
      <c r="DD31" s="65">
        <f t="shared" si="75"/>
        <v>5</v>
      </c>
      <c r="DE31" s="65">
        <f t="shared" si="75"/>
        <v>5</v>
      </c>
      <c r="DF31" s="65">
        <f t="shared" si="75"/>
        <v>5</v>
      </c>
      <c r="DG31" s="65">
        <f t="shared" si="75"/>
        <v>30</v>
      </c>
      <c r="DH31" s="65">
        <f t="shared" si="75"/>
        <v>30</v>
      </c>
      <c r="DI31" s="65">
        <f t="shared" si="75"/>
        <v>30</v>
      </c>
      <c r="DJ31" s="65">
        <f t="shared" si="75"/>
        <v>30</v>
      </c>
      <c r="DK31" s="65">
        <f t="shared" si="75"/>
        <v>5</v>
      </c>
      <c r="DL31" s="65">
        <f t="shared" si="75"/>
        <v>5</v>
      </c>
      <c r="DM31" s="65" t="str">
        <f t="shared" si="75"/>
        <v/>
      </c>
      <c r="DN31" s="65" t="str">
        <f t="shared" si="75"/>
        <v/>
      </c>
      <c r="DO31" s="65" t="str">
        <f t="shared" si="75"/>
        <v/>
      </c>
      <c r="DP31" s="65" t="str">
        <f t="shared" si="75"/>
        <v/>
      </c>
      <c r="DQ31" s="65" t="str">
        <f t="shared" si="75"/>
        <v/>
      </c>
      <c r="DR31" s="65" t="str">
        <f t="shared" si="75"/>
        <v/>
      </c>
      <c r="DS31" s="65" t="str">
        <f t="shared" si="75"/>
        <v/>
      </c>
      <c r="DT31" s="65" t="str">
        <f t="shared" si="75"/>
        <v/>
      </c>
      <c r="DU31" s="65" t="str">
        <f t="shared" si="75"/>
        <v/>
      </c>
      <c r="DV31" s="65" t="str">
        <f t="shared" si="75"/>
        <v/>
      </c>
      <c r="DW31" s="65" t="str">
        <f t="shared" si="75"/>
        <v/>
      </c>
      <c r="DX31" s="65" t="str">
        <f t="shared" si="75"/>
        <v/>
      </c>
      <c r="DY31" s="65" t="str">
        <f t="shared" si="75"/>
        <v/>
      </c>
      <c r="DZ31" s="65" t="str">
        <f t="shared" si="75"/>
        <v/>
      </c>
      <c r="EA31" s="65" t="str">
        <f t="shared" si="75"/>
        <v/>
      </c>
      <c r="EB31" s="65" t="str">
        <f t="shared" si="75"/>
        <v/>
      </c>
      <c r="EC31" s="65" t="str">
        <f t="shared" si="75"/>
        <v/>
      </c>
      <c r="ED31" s="65" t="str">
        <f t="shared" si="75"/>
        <v/>
      </c>
      <c r="EE31" s="65" t="str">
        <f t="shared" si="75"/>
        <v/>
      </c>
      <c r="EF31" s="65" t="str">
        <f t="shared" si="75"/>
        <v/>
      </c>
      <c r="EG31" s="65" t="str">
        <f t="shared" si="75"/>
        <v/>
      </c>
      <c r="EH31" s="65"/>
      <c r="EI31" s="65"/>
      <c r="EJ31" s="65"/>
      <c r="EK31" s="65"/>
      <c r="EL31" s="65"/>
      <c r="EM31" s="65"/>
      <c r="EN31" s="65"/>
      <c r="EO31" s="65"/>
      <c r="EP31" s="65"/>
      <c r="EQ31" s="65"/>
      <c r="ER31" s="65"/>
      <c r="ES31" s="65"/>
      <c r="ET31" s="65"/>
      <c r="EU31" s="65"/>
      <c r="EV31" s="65"/>
      <c r="EW31" s="65"/>
      <c r="EX31" s="65"/>
      <c r="EY31" s="65"/>
      <c r="EZ31" s="65"/>
      <c r="FA31" s="65"/>
      <c r="FB31" s="65"/>
      <c r="FC31" s="65"/>
      <c r="FD31" s="65"/>
      <c r="FE31" s="65"/>
      <c r="FF31" s="65"/>
      <c r="FG31" s="65"/>
      <c r="FH31" s="65"/>
      <c r="FI31" s="65"/>
      <c r="FJ31" s="65"/>
      <c r="FK31" s="65"/>
      <c r="FL31" s="65"/>
      <c r="FM31" s="65"/>
      <c r="FN31" s="65"/>
      <c r="FO31" s="65"/>
      <c r="FP31" s="65"/>
      <c r="FQ31" s="65"/>
      <c r="FR31" s="65"/>
    </row>
    <row r="32" spans="1:174" ht="13.5" hidden="1" customHeight="1">
      <c r="B32" s="198"/>
      <c r="E32" s="199"/>
      <c r="F32" s="169"/>
      <c r="G32" s="181" t="s">
        <v>69</v>
      </c>
      <c r="H32" s="181"/>
      <c r="I32" s="171"/>
      <c r="J32" s="203"/>
      <c r="K32" s="181"/>
      <c r="L32" s="181"/>
      <c r="M32" s="190">
        <f>SUM(M27:M31)</f>
        <v>0</v>
      </c>
      <c r="N32" s="190">
        <f>SUM(N27:N31)</f>
        <v>0</v>
      </c>
      <c r="O32" s="190">
        <f>SUM(O27:O31)</f>
        <v>0</v>
      </c>
      <c r="P32" s="190">
        <f t="shared" ref="P32:CA32" si="76">SUM(P27:P31)</f>
        <v>0</v>
      </c>
      <c r="Q32" s="190">
        <f t="shared" si="76"/>
        <v>0</v>
      </c>
      <c r="R32" s="190">
        <f t="shared" si="76"/>
        <v>0</v>
      </c>
      <c r="S32" s="190">
        <f t="shared" si="76"/>
        <v>0</v>
      </c>
      <c r="T32" s="190">
        <f t="shared" si="76"/>
        <v>0</v>
      </c>
      <c r="U32" s="190">
        <f t="shared" si="76"/>
        <v>0</v>
      </c>
      <c r="V32" s="190">
        <f t="shared" si="76"/>
        <v>0</v>
      </c>
      <c r="W32" s="190">
        <f t="shared" si="76"/>
        <v>0</v>
      </c>
      <c r="X32" s="190">
        <f t="shared" si="76"/>
        <v>0</v>
      </c>
      <c r="Y32" s="190">
        <f t="shared" si="76"/>
        <v>0</v>
      </c>
      <c r="Z32" s="190">
        <f t="shared" si="76"/>
        <v>0</v>
      </c>
      <c r="AA32" s="190">
        <f t="shared" si="76"/>
        <v>0</v>
      </c>
      <c r="AB32" s="190">
        <f t="shared" si="76"/>
        <v>0</v>
      </c>
      <c r="AC32" s="190">
        <f t="shared" si="76"/>
        <v>0</v>
      </c>
      <c r="AD32" s="190">
        <f t="shared" si="76"/>
        <v>0</v>
      </c>
      <c r="AE32" s="190">
        <f t="shared" si="76"/>
        <v>0</v>
      </c>
      <c r="AF32" s="190">
        <f t="shared" si="76"/>
        <v>0</v>
      </c>
      <c r="AG32" s="190">
        <f t="shared" si="76"/>
        <v>0</v>
      </c>
      <c r="AH32" s="190">
        <f t="shared" si="76"/>
        <v>0</v>
      </c>
      <c r="AI32" s="190">
        <f t="shared" si="76"/>
        <v>0</v>
      </c>
      <c r="AJ32" s="190">
        <f t="shared" si="76"/>
        <v>0</v>
      </c>
      <c r="AK32" s="190">
        <f t="shared" si="76"/>
        <v>0</v>
      </c>
      <c r="AL32" s="190">
        <f t="shared" si="76"/>
        <v>0</v>
      </c>
      <c r="AM32" s="190">
        <f t="shared" si="76"/>
        <v>0</v>
      </c>
      <c r="AN32" s="190">
        <f t="shared" si="76"/>
        <v>0</v>
      </c>
      <c r="AO32" s="190">
        <f t="shared" si="76"/>
        <v>0</v>
      </c>
      <c r="AP32" s="190">
        <f t="shared" si="76"/>
        <v>0</v>
      </c>
      <c r="AQ32" s="190">
        <f t="shared" si="76"/>
        <v>0</v>
      </c>
      <c r="AR32" s="190">
        <f t="shared" si="76"/>
        <v>0</v>
      </c>
      <c r="AS32" s="190">
        <f t="shared" si="76"/>
        <v>0</v>
      </c>
      <c r="AT32" s="190">
        <f t="shared" si="76"/>
        <v>0</v>
      </c>
      <c r="AU32" s="190">
        <f t="shared" si="76"/>
        <v>0</v>
      </c>
      <c r="AV32" s="190">
        <f t="shared" si="76"/>
        <v>0</v>
      </c>
      <c r="AW32" s="190">
        <f t="shared" si="76"/>
        <v>0</v>
      </c>
      <c r="AX32" s="190">
        <f t="shared" si="76"/>
        <v>0</v>
      </c>
      <c r="AY32" s="190">
        <f t="shared" si="76"/>
        <v>0</v>
      </c>
      <c r="AZ32" s="190" t="e">
        <f t="shared" si="76"/>
        <v>#VALUE!</v>
      </c>
      <c r="BA32" s="190" t="e">
        <f t="shared" si="76"/>
        <v>#VALUE!</v>
      </c>
      <c r="BB32" s="190" t="e">
        <f t="shared" si="76"/>
        <v>#VALUE!</v>
      </c>
      <c r="BC32" s="190" t="e">
        <f t="shared" si="76"/>
        <v>#VALUE!</v>
      </c>
      <c r="BD32" s="190" t="e">
        <f t="shared" si="76"/>
        <v>#VALUE!</v>
      </c>
      <c r="BE32" s="190" t="e">
        <f t="shared" si="76"/>
        <v>#VALUE!</v>
      </c>
      <c r="BF32" s="190" t="e">
        <f t="shared" si="76"/>
        <v>#VALUE!</v>
      </c>
      <c r="BG32" s="190" t="e">
        <f t="shared" si="76"/>
        <v>#VALUE!</v>
      </c>
      <c r="BH32" s="190" t="e">
        <f t="shared" si="76"/>
        <v>#VALUE!</v>
      </c>
      <c r="BI32" s="190" t="e">
        <f t="shared" si="76"/>
        <v>#VALUE!</v>
      </c>
      <c r="BJ32" s="190" t="e">
        <f t="shared" si="76"/>
        <v>#VALUE!</v>
      </c>
      <c r="BK32" s="190" t="e">
        <f t="shared" si="76"/>
        <v>#VALUE!</v>
      </c>
      <c r="BL32" s="190" t="e">
        <f t="shared" si="76"/>
        <v>#VALUE!</v>
      </c>
      <c r="BM32" s="190" t="e">
        <f t="shared" si="76"/>
        <v>#VALUE!</v>
      </c>
      <c r="BN32" s="190" t="e">
        <f t="shared" si="76"/>
        <v>#VALUE!</v>
      </c>
      <c r="BO32" s="190" t="e">
        <f t="shared" si="76"/>
        <v>#VALUE!</v>
      </c>
      <c r="BP32" s="190" t="e">
        <f t="shared" si="76"/>
        <v>#VALUE!</v>
      </c>
      <c r="BQ32" s="190" t="e">
        <f t="shared" si="76"/>
        <v>#VALUE!</v>
      </c>
      <c r="BR32" s="190" t="e">
        <f t="shared" si="76"/>
        <v>#VALUE!</v>
      </c>
      <c r="BS32" s="190" t="e">
        <f t="shared" si="76"/>
        <v>#VALUE!</v>
      </c>
      <c r="BT32" s="190">
        <f t="shared" si="76"/>
        <v>0</v>
      </c>
      <c r="BU32" s="190">
        <f t="shared" si="76"/>
        <v>0</v>
      </c>
      <c r="BV32" s="190">
        <f t="shared" si="76"/>
        <v>0</v>
      </c>
      <c r="BW32" s="190" t="e">
        <f t="shared" si="76"/>
        <v>#VALUE!</v>
      </c>
      <c r="BX32" s="190" t="e">
        <f t="shared" si="76"/>
        <v>#VALUE!</v>
      </c>
      <c r="BY32" s="190" t="e">
        <f t="shared" si="76"/>
        <v>#VALUE!</v>
      </c>
      <c r="BZ32" s="190" t="e">
        <f t="shared" si="76"/>
        <v>#VALUE!</v>
      </c>
      <c r="CA32" s="190" t="e">
        <f t="shared" si="76"/>
        <v>#VALUE!</v>
      </c>
      <c r="CB32" s="190" t="e">
        <f t="shared" ref="CB32:CX32" si="77">SUM(CB27:CB31)</f>
        <v>#VALUE!</v>
      </c>
      <c r="CC32" s="190" t="e">
        <f t="shared" si="77"/>
        <v>#VALUE!</v>
      </c>
      <c r="CD32" s="190" t="e">
        <f t="shared" si="77"/>
        <v>#VALUE!</v>
      </c>
      <c r="CE32" s="190" t="e">
        <f t="shared" si="77"/>
        <v>#VALUE!</v>
      </c>
      <c r="CF32" s="190" t="e">
        <f t="shared" si="77"/>
        <v>#VALUE!</v>
      </c>
      <c r="CG32" s="190" t="e">
        <f t="shared" si="77"/>
        <v>#VALUE!</v>
      </c>
      <c r="CH32" s="190" t="e">
        <f t="shared" si="77"/>
        <v>#VALUE!</v>
      </c>
      <c r="CI32" s="190" t="e">
        <f t="shared" si="77"/>
        <v>#VALUE!</v>
      </c>
      <c r="CJ32" s="190" t="e">
        <f t="shared" si="77"/>
        <v>#VALUE!</v>
      </c>
      <c r="CK32" s="190" t="e">
        <f t="shared" si="77"/>
        <v>#VALUE!</v>
      </c>
      <c r="CL32" s="190" t="e">
        <f t="shared" si="77"/>
        <v>#VALUE!</v>
      </c>
      <c r="CM32" s="190" t="e">
        <f t="shared" si="77"/>
        <v>#VALUE!</v>
      </c>
      <c r="CN32" s="190" t="e">
        <f t="shared" si="77"/>
        <v>#VALUE!</v>
      </c>
      <c r="CO32" s="190" t="e">
        <f t="shared" si="77"/>
        <v>#VALUE!</v>
      </c>
      <c r="CP32" s="190" t="e">
        <f t="shared" si="77"/>
        <v>#VALUE!</v>
      </c>
      <c r="CQ32" s="190" t="e">
        <f t="shared" si="77"/>
        <v>#VALUE!</v>
      </c>
      <c r="CR32" s="190" t="e">
        <f t="shared" si="77"/>
        <v>#VALUE!</v>
      </c>
      <c r="CS32" s="190" t="e">
        <f t="shared" si="77"/>
        <v>#VALUE!</v>
      </c>
      <c r="CT32" s="190" t="e">
        <f t="shared" si="77"/>
        <v>#VALUE!</v>
      </c>
      <c r="CU32" s="190" t="e">
        <f t="shared" si="77"/>
        <v>#VALUE!</v>
      </c>
      <c r="CV32" s="190" t="e">
        <f t="shared" si="77"/>
        <v>#VALUE!</v>
      </c>
      <c r="CW32" s="190">
        <f t="shared" si="77"/>
        <v>5</v>
      </c>
      <c r="CX32" s="190">
        <f t="shared" si="77"/>
        <v>5</v>
      </c>
      <c r="CY32" s="190">
        <f t="shared" ref="CY32:FJ32" si="78">SUM(CY27:CY31)</f>
        <v>5</v>
      </c>
      <c r="CZ32" s="190">
        <f t="shared" si="78"/>
        <v>5</v>
      </c>
      <c r="DA32" s="190">
        <f t="shared" si="78"/>
        <v>5</v>
      </c>
      <c r="DB32" s="190">
        <f t="shared" si="78"/>
        <v>5</v>
      </c>
      <c r="DC32" s="190">
        <f t="shared" si="78"/>
        <v>5</v>
      </c>
      <c r="DD32" s="190">
        <f t="shared" si="78"/>
        <v>5</v>
      </c>
      <c r="DE32" s="190">
        <f t="shared" si="78"/>
        <v>5</v>
      </c>
      <c r="DF32" s="190">
        <f t="shared" si="78"/>
        <v>5</v>
      </c>
      <c r="DG32" s="190">
        <f t="shared" si="78"/>
        <v>30</v>
      </c>
      <c r="DH32" s="190">
        <f t="shared" si="78"/>
        <v>30</v>
      </c>
      <c r="DI32" s="190">
        <f t="shared" si="78"/>
        <v>30</v>
      </c>
      <c r="DJ32" s="190">
        <f t="shared" si="78"/>
        <v>30</v>
      </c>
      <c r="DK32" s="190">
        <f t="shared" si="78"/>
        <v>5</v>
      </c>
      <c r="DL32" s="190">
        <f t="shared" si="78"/>
        <v>5</v>
      </c>
      <c r="DM32" s="190">
        <f t="shared" si="78"/>
        <v>0</v>
      </c>
      <c r="DN32" s="190">
        <f t="shared" si="78"/>
        <v>0</v>
      </c>
      <c r="DO32" s="190">
        <f t="shared" si="78"/>
        <v>0</v>
      </c>
      <c r="DP32" s="190">
        <f t="shared" si="78"/>
        <v>0</v>
      </c>
      <c r="DQ32" s="190">
        <f t="shared" si="78"/>
        <v>0</v>
      </c>
      <c r="DR32" s="190">
        <f t="shared" si="78"/>
        <v>0</v>
      </c>
      <c r="DS32" s="190">
        <f t="shared" si="78"/>
        <v>0</v>
      </c>
      <c r="DT32" s="190">
        <f t="shared" si="78"/>
        <v>0</v>
      </c>
      <c r="DU32" s="190">
        <f t="shared" si="78"/>
        <v>0</v>
      </c>
      <c r="DV32" s="190">
        <f t="shared" si="78"/>
        <v>0</v>
      </c>
      <c r="DW32" s="190">
        <f t="shared" si="78"/>
        <v>0</v>
      </c>
      <c r="DX32" s="190">
        <f t="shared" si="78"/>
        <v>0</v>
      </c>
      <c r="DY32" s="190">
        <f t="shared" si="78"/>
        <v>0</v>
      </c>
      <c r="DZ32" s="190">
        <f t="shared" si="78"/>
        <v>0</v>
      </c>
      <c r="EA32" s="190">
        <f t="shared" si="78"/>
        <v>0</v>
      </c>
      <c r="EB32" s="190">
        <f t="shared" si="78"/>
        <v>0</v>
      </c>
      <c r="EC32" s="190">
        <f t="shared" si="78"/>
        <v>0</v>
      </c>
      <c r="ED32" s="190">
        <f t="shared" si="78"/>
        <v>0</v>
      </c>
      <c r="EE32" s="190">
        <f t="shared" si="78"/>
        <v>0</v>
      </c>
      <c r="EF32" s="190">
        <f t="shared" si="78"/>
        <v>0</v>
      </c>
      <c r="EG32" s="190">
        <f t="shared" si="78"/>
        <v>0</v>
      </c>
      <c r="EH32" s="190">
        <f t="shared" si="78"/>
        <v>0</v>
      </c>
      <c r="EI32" s="190">
        <f t="shared" si="78"/>
        <v>0</v>
      </c>
      <c r="EJ32" s="190">
        <f t="shared" si="78"/>
        <v>0</v>
      </c>
      <c r="EK32" s="190">
        <f t="shared" si="78"/>
        <v>0</v>
      </c>
      <c r="EL32" s="190">
        <f t="shared" si="78"/>
        <v>0</v>
      </c>
      <c r="EM32" s="190">
        <f t="shared" si="78"/>
        <v>0</v>
      </c>
      <c r="EN32" s="190">
        <f t="shared" si="78"/>
        <v>0</v>
      </c>
      <c r="EO32" s="190">
        <f t="shared" si="78"/>
        <v>0</v>
      </c>
      <c r="EP32" s="190">
        <f t="shared" si="78"/>
        <v>0</v>
      </c>
      <c r="EQ32" s="190">
        <f t="shared" si="78"/>
        <v>0</v>
      </c>
      <c r="ER32" s="190">
        <f t="shared" si="78"/>
        <v>0</v>
      </c>
      <c r="ES32" s="190">
        <f t="shared" si="78"/>
        <v>0</v>
      </c>
      <c r="ET32" s="190">
        <f t="shared" si="78"/>
        <v>0</v>
      </c>
      <c r="EU32" s="190">
        <f t="shared" si="78"/>
        <v>0</v>
      </c>
      <c r="EV32" s="190">
        <f t="shared" si="78"/>
        <v>0</v>
      </c>
      <c r="EW32" s="190">
        <f t="shared" si="78"/>
        <v>0</v>
      </c>
      <c r="EX32" s="190">
        <f t="shared" si="78"/>
        <v>0</v>
      </c>
      <c r="EY32" s="190">
        <f t="shared" si="78"/>
        <v>0</v>
      </c>
      <c r="EZ32" s="190">
        <f t="shared" si="78"/>
        <v>0</v>
      </c>
      <c r="FA32" s="190">
        <f t="shared" si="78"/>
        <v>0</v>
      </c>
      <c r="FB32" s="190">
        <f t="shared" si="78"/>
        <v>0</v>
      </c>
      <c r="FC32" s="190">
        <f t="shared" si="78"/>
        <v>0</v>
      </c>
      <c r="FD32" s="190">
        <f t="shared" si="78"/>
        <v>0</v>
      </c>
      <c r="FE32" s="190">
        <f t="shared" si="78"/>
        <v>0</v>
      </c>
      <c r="FF32" s="190">
        <f t="shared" si="78"/>
        <v>0</v>
      </c>
      <c r="FG32" s="190">
        <f t="shared" si="78"/>
        <v>0</v>
      </c>
      <c r="FH32" s="190">
        <f t="shared" si="78"/>
        <v>0</v>
      </c>
      <c r="FI32" s="190">
        <f t="shared" si="78"/>
        <v>0</v>
      </c>
      <c r="FJ32" s="190">
        <f t="shared" si="78"/>
        <v>0</v>
      </c>
      <c r="FK32" s="190">
        <f t="shared" ref="FK32:FR32" si="79">SUM(FK27:FK31)</f>
        <v>0</v>
      </c>
      <c r="FL32" s="190">
        <f t="shared" si="79"/>
        <v>0</v>
      </c>
      <c r="FM32" s="190">
        <f t="shared" si="79"/>
        <v>0</v>
      </c>
      <c r="FN32" s="190">
        <f t="shared" si="79"/>
        <v>0</v>
      </c>
      <c r="FO32" s="190">
        <f t="shared" si="79"/>
        <v>0</v>
      </c>
      <c r="FP32" s="190">
        <f t="shared" si="79"/>
        <v>0</v>
      </c>
      <c r="FQ32" s="190">
        <f t="shared" si="79"/>
        <v>0</v>
      </c>
      <c r="FR32" s="190">
        <f t="shared" si="79"/>
        <v>0</v>
      </c>
    </row>
    <row r="33" spans="1:174">
      <c r="F33" s="53"/>
      <c r="I33" s="53"/>
      <c r="CU33" s="185"/>
      <c r="CV33" s="185"/>
      <c r="CW33" s="185"/>
      <c r="CX33" s="185"/>
      <c r="CY33" s="185"/>
      <c r="CZ33" s="185"/>
      <c r="DA33" s="185"/>
      <c r="DB33" s="185"/>
      <c r="DC33" s="185"/>
      <c r="DD33" s="185"/>
      <c r="DE33" s="185"/>
      <c r="DF33" s="185"/>
      <c r="DG33" s="185"/>
      <c r="DH33" s="185"/>
      <c r="DI33" s="185"/>
      <c r="DJ33" s="185"/>
      <c r="DK33" s="185"/>
      <c r="DL33" s="185"/>
      <c r="DM33" s="185"/>
      <c r="DN33" s="185"/>
      <c r="DO33" s="185"/>
      <c r="DP33" s="185"/>
      <c r="DQ33" s="185"/>
      <c r="DR33" s="185"/>
      <c r="DS33" s="185"/>
      <c r="DT33" s="185"/>
      <c r="DU33" s="185"/>
      <c r="DV33" s="185"/>
      <c r="DW33" s="185"/>
      <c r="DX33" s="185"/>
      <c r="DY33" s="185"/>
      <c r="DZ33" s="185"/>
      <c r="EA33" s="185"/>
      <c r="EB33" s="185"/>
      <c r="EC33" s="185"/>
      <c r="ED33" s="185"/>
      <c r="EE33" s="185"/>
      <c r="EF33" s="185"/>
      <c r="EG33" s="185"/>
      <c r="EH33" s="185"/>
      <c r="EI33" s="185"/>
      <c r="EJ33" s="185"/>
      <c r="EK33" s="185"/>
      <c r="EL33" s="185"/>
      <c r="EM33" s="185"/>
      <c r="EN33" s="185"/>
      <c r="EO33" s="185"/>
      <c r="EP33" s="185"/>
      <c r="EQ33" s="185"/>
      <c r="ER33" s="185"/>
      <c r="ES33" s="185"/>
      <c r="ET33" s="185"/>
      <c r="EU33" s="185"/>
      <c r="EV33" s="185"/>
      <c r="EW33" s="185"/>
      <c r="EX33" s="185"/>
      <c r="EY33" s="185"/>
      <c r="EZ33" s="185"/>
      <c r="FA33" s="185"/>
      <c r="FB33" s="185"/>
      <c r="FC33" s="185"/>
      <c r="FD33" s="185"/>
      <c r="FE33" s="185"/>
      <c r="FF33" s="185"/>
      <c r="FG33" s="185"/>
      <c r="FH33" s="185"/>
      <c r="FI33" s="185"/>
      <c r="FJ33" s="185"/>
      <c r="FK33" s="185"/>
      <c r="FL33" s="185"/>
      <c r="FM33" s="185"/>
      <c r="FN33" s="185"/>
      <c r="FO33" s="185"/>
      <c r="FP33" s="185"/>
      <c r="FQ33" s="185"/>
      <c r="FR33" s="185"/>
    </row>
    <row r="34" spans="1:174" ht="27">
      <c r="A34" s="466" t="s">
        <v>73</v>
      </c>
      <c r="B34" s="509">
        <f>IF(LEN('BESS 10B'!F95)=5,'BESS 10B'!F95,(IF('BESS 10B'!F95="Completed"," ",DATEVALUE(RIGHT('BESS 10B'!F95,6)))))</f>
        <v>46257</v>
      </c>
      <c r="C34" s="509">
        <f>IF(LEN('BESS 10B'!G95)=5,'BESS 10B'!G95,(IF('BESS 10B'!G95="Completed"," ",DATEVALUE(RIGHT('BESS 10B'!G95,6)))))</f>
        <v>46262</v>
      </c>
      <c r="D34" s="455">
        <f>IF(LEN('BESS 10B'!H95)=5,'BESS 10B'!H95,(IF('BESS 10B'!H95="Completed"," ",DATEVALUE(RIGHT('BESS 10B'!H95,6)))))</f>
        <v>46265</v>
      </c>
      <c r="E34" s="192" t="s">
        <v>10</v>
      </c>
      <c r="F34" s="129" t="s">
        <v>58</v>
      </c>
      <c r="G34" s="129" t="s">
        <v>86</v>
      </c>
      <c r="H34" s="129" t="s">
        <v>79</v>
      </c>
      <c r="I34" s="129" t="s">
        <v>59</v>
      </c>
      <c r="J34" s="129"/>
      <c r="K34" s="128" t="s">
        <v>80</v>
      </c>
      <c r="L34" s="128" t="s">
        <v>62</v>
      </c>
      <c r="M34" s="130">
        <v>46195</v>
      </c>
      <c r="N34" s="130">
        <v>46196</v>
      </c>
      <c r="O34" s="130">
        <v>46197</v>
      </c>
      <c r="P34" s="130">
        <f t="shared" ref="P34:CA34" si="80">O34+1</f>
        <v>46198</v>
      </c>
      <c r="Q34" s="130">
        <f t="shared" si="80"/>
        <v>46199</v>
      </c>
      <c r="R34" s="130">
        <f t="shared" si="80"/>
        <v>46200</v>
      </c>
      <c r="S34" s="130">
        <f t="shared" si="80"/>
        <v>46201</v>
      </c>
      <c r="T34" s="130">
        <f t="shared" si="80"/>
        <v>46202</v>
      </c>
      <c r="U34" s="130">
        <f t="shared" si="80"/>
        <v>46203</v>
      </c>
      <c r="V34" s="130">
        <f t="shared" si="80"/>
        <v>46204</v>
      </c>
      <c r="W34" s="130">
        <f t="shared" si="80"/>
        <v>46205</v>
      </c>
      <c r="X34" s="130">
        <f t="shared" si="80"/>
        <v>46206</v>
      </c>
      <c r="Y34" s="130">
        <f t="shared" si="80"/>
        <v>46207</v>
      </c>
      <c r="Z34" s="130">
        <f t="shared" si="80"/>
        <v>46208</v>
      </c>
      <c r="AA34" s="130">
        <f t="shared" si="80"/>
        <v>46209</v>
      </c>
      <c r="AB34" s="130">
        <f t="shared" si="80"/>
        <v>46210</v>
      </c>
      <c r="AC34" s="130">
        <f t="shared" si="80"/>
        <v>46211</v>
      </c>
      <c r="AD34" s="130">
        <f t="shared" si="80"/>
        <v>46212</v>
      </c>
      <c r="AE34" s="130">
        <f t="shared" si="80"/>
        <v>46213</v>
      </c>
      <c r="AF34" s="130">
        <f t="shared" si="80"/>
        <v>46214</v>
      </c>
      <c r="AG34" s="130">
        <f t="shared" si="80"/>
        <v>46215</v>
      </c>
      <c r="AH34" s="130">
        <f t="shared" si="80"/>
        <v>46216</v>
      </c>
      <c r="AI34" s="130">
        <f t="shared" si="80"/>
        <v>46217</v>
      </c>
      <c r="AJ34" s="130">
        <f t="shared" si="80"/>
        <v>46218</v>
      </c>
      <c r="AK34" s="130">
        <f t="shared" si="80"/>
        <v>46219</v>
      </c>
      <c r="AL34" s="130">
        <f t="shared" si="80"/>
        <v>46220</v>
      </c>
      <c r="AM34" s="130">
        <f t="shared" si="80"/>
        <v>46221</v>
      </c>
      <c r="AN34" s="130">
        <f t="shared" si="80"/>
        <v>46222</v>
      </c>
      <c r="AO34" s="130">
        <f t="shared" si="80"/>
        <v>46223</v>
      </c>
      <c r="AP34" s="130">
        <f t="shared" si="80"/>
        <v>46224</v>
      </c>
      <c r="AQ34" s="130">
        <f t="shared" si="80"/>
        <v>46225</v>
      </c>
      <c r="AR34" s="130">
        <f t="shared" si="80"/>
        <v>46226</v>
      </c>
      <c r="AS34" s="130">
        <f t="shared" si="80"/>
        <v>46227</v>
      </c>
      <c r="AT34" s="130">
        <f t="shared" si="80"/>
        <v>46228</v>
      </c>
      <c r="AU34" s="130">
        <f t="shared" si="80"/>
        <v>46229</v>
      </c>
      <c r="AV34" s="130">
        <f t="shared" si="80"/>
        <v>46230</v>
      </c>
      <c r="AW34" s="130">
        <f t="shared" si="80"/>
        <v>46231</v>
      </c>
      <c r="AX34" s="130">
        <f t="shared" si="80"/>
        <v>46232</v>
      </c>
      <c r="AY34" s="130">
        <f t="shared" si="80"/>
        <v>46233</v>
      </c>
      <c r="AZ34" s="130">
        <f t="shared" si="80"/>
        <v>46234</v>
      </c>
      <c r="BA34" s="130">
        <f t="shared" si="80"/>
        <v>46235</v>
      </c>
      <c r="BB34" s="130">
        <f t="shared" si="80"/>
        <v>46236</v>
      </c>
      <c r="BC34" s="130">
        <f t="shared" si="80"/>
        <v>46237</v>
      </c>
      <c r="BD34" s="130">
        <f t="shared" si="80"/>
        <v>46238</v>
      </c>
      <c r="BE34" s="130">
        <f t="shared" si="80"/>
        <v>46239</v>
      </c>
      <c r="BF34" s="130">
        <f t="shared" si="80"/>
        <v>46240</v>
      </c>
      <c r="BG34" s="130">
        <f t="shared" si="80"/>
        <v>46241</v>
      </c>
      <c r="BH34" s="130">
        <f t="shared" si="80"/>
        <v>46242</v>
      </c>
      <c r="BI34" s="130">
        <f t="shared" si="80"/>
        <v>46243</v>
      </c>
      <c r="BJ34" s="130">
        <f t="shared" si="80"/>
        <v>46244</v>
      </c>
      <c r="BK34" s="130">
        <f t="shared" si="80"/>
        <v>46245</v>
      </c>
      <c r="BL34" s="130">
        <f t="shared" si="80"/>
        <v>46246</v>
      </c>
      <c r="BM34" s="130">
        <f t="shared" si="80"/>
        <v>46247</v>
      </c>
      <c r="BN34" s="130">
        <f t="shared" si="80"/>
        <v>46248</v>
      </c>
      <c r="BO34" s="130">
        <f t="shared" si="80"/>
        <v>46249</v>
      </c>
      <c r="BP34" s="130">
        <f t="shared" si="80"/>
        <v>46250</v>
      </c>
      <c r="BQ34" s="130">
        <f t="shared" si="80"/>
        <v>46251</v>
      </c>
      <c r="BR34" s="130">
        <f t="shared" si="80"/>
        <v>46252</v>
      </c>
      <c r="BS34" s="130">
        <f t="shared" si="80"/>
        <v>46253</v>
      </c>
      <c r="BT34" s="130">
        <f t="shared" si="80"/>
        <v>46254</v>
      </c>
      <c r="BU34" s="130">
        <f t="shared" si="80"/>
        <v>46255</v>
      </c>
      <c r="BV34" s="130">
        <f t="shared" si="80"/>
        <v>46256</v>
      </c>
      <c r="BW34" s="130">
        <f t="shared" si="80"/>
        <v>46257</v>
      </c>
      <c r="BX34" s="130">
        <f t="shared" si="80"/>
        <v>46258</v>
      </c>
      <c r="BY34" s="130">
        <f t="shared" si="80"/>
        <v>46259</v>
      </c>
      <c r="BZ34" s="130">
        <f t="shared" si="80"/>
        <v>46260</v>
      </c>
      <c r="CA34" s="130">
        <f t="shared" si="80"/>
        <v>46261</v>
      </c>
      <c r="CB34" s="130">
        <f t="shared" ref="CB34:CT34" si="81">CA34+1</f>
        <v>46262</v>
      </c>
      <c r="CC34" s="130">
        <f t="shared" si="81"/>
        <v>46263</v>
      </c>
      <c r="CD34" s="130">
        <f t="shared" si="81"/>
        <v>46264</v>
      </c>
      <c r="CE34" s="130">
        <f t="shared" si="81"/>
        <v>46265</v>
      </c>
      <c r="CF34" s="130">
        <f t="shared" si="81"/>
        <v>46266</v>
      </c>
      <c r="CG34" s="130">
        <f t="shared" si="81"/>
        <v>46267</v>
      </c>
      <c r="CH34" s="130">
        <f t="shared" si="81"/>
        <v>46268</v>
      </c>
      <c r="CI34" s="130">
        <f t="shared" si="81"/>
        <v>46269</v>
      </c>
      <c r="CJ34" s="130">
        <f t="shared" si="81"/>
        <v>46270</v>
      </c>
      <c r="CK34" s="130">
        <f t="shared" si="81"/>
        <v>46271</v>
      </c>
      <c r="CL34" s="130">
        <f t="shared" si="81"/>
        <v>46272</v>
      </c>
      <c r="CM34" s="130">
        <f t="shared" si="81"/>
        <v>46273</v>
      </c>
      <c r="CN34" s="130">
        <f t="shared" si="81"/>
        <v>46274</v>
      </c>
      <c r="CO34" s="130">
        <f t="shared" si="81"/>
        <v>46275</v>
      </c>
      <c r="CP34" s="130">
        <f t="shared" si="81"/>
        <v>46276</v>
      </c>
      <c r="CQ34" s="130">
        <f t="shared" si="81"/>
        <v>46277</v>
      </c>
      <c r="CR34" s="130">
        <f t="shared" si="81"/>
        <v>46278</v>
      </c>
      <c r="CS34" s="130">
        <f t="shared" si="81"/>
        <v>46279</v>
      </c>
      <c r="CT34" s="193">
        <f t="shared" si="81"/>
        <v>46280</v>
      </c>
      <c r="CU34" s="193">
        <f>CT34+1</f>
        <v>46281</v>
      </c>
      <c r="CV34" s="193">
        <f>CU34+1</f>
        <v>46282</v>
      </c>
      <c r="CW34" s="193">
        <f>CV34+1</f>
        <v>46283</v>
      </c>
      <c r="CX34" s="130">
        <f>CW34+1</f>
        <v>46284</v>
      </c>
      <c r="CY34" s="130">
        <f t="shared" ref="CY34:FJ34" si="82">CX34+1</f>
        <v>46285</v>
      </c>
      <c r="CZ34" s="130">
        <f t="shared" si="82"/>
        <v>46286</v>
      </c>
      <c r="DA34" s="130">
        <f t="shared" si="82"/>
        <v>46287</v>
      </c>
      <c r="DB34" s="130">
        <f t="shared" si="82"/>
        <v>46288</v>
      </c>
      <c r="DC34" s="130">
        <f t="shared" si="82"/>
        <v>46289</v>
      </c>
      <c r="DD34" s="130">
        <f t="shared" si="82"/>
        <v>46290</v>
      </c>
      <c r="DE34" s="130">
        <f t="shared" si="82"/>
        <v>46291</v>
      </c>
      <c r="DF34" s="130">
        <f t="shared" si="82"/>
        <v>46292</v>
      </c>
      <c r="DG34" s="130">
        <f t="shared" si="82"/>
        <v>46293</v>
      </c>
      <c r="DH34" s="130">
        <f t="shared" si="82"/>
        <v>46294</v>
      </c>
      <c r="DI34" s="130">
        <f t="shared" si="82"/>
        <v>46295</v>
      </c>
      <c r="DJ34" s="130">
        <f t="shared" si="82"/>
        <v>46296</v>
      </c>
      <c r="DK34" s="130">
        <f t="shared" si="82"/>
        <v>46297</v>
      </c>
      <c r="DL34" s="130">
        <f t="shared" si="82"/>
        <v>46298</v>
      </c>
      <c r="DM34" s="130">
        <f t="shared" si="82"/>
        <v>46299</v>
      </c>
      <c r="DN34" s="130">
        <f t="shared" si="82"/>
        <v>46300</v>
      </c>
      <c r="DO34" s="130">
        <f t="shared" si="82"/>
        <v>46301</v>
      </c>
      <c r="DP34" s="130">
        <f t="shared" si="82"/>
        <v>46302</v>
      </c>
      <c r="DQ34" s="130">
        <f t="shared" si="82"/>
        <v>46303</v>
      </c>
      <c r="DR34" s="130">
        <f t="shared" si="82"/>
        <v>46304</v>
      </c>
      <c r="DS34" s="130">
        <f t="shared" si="82"/>
        <v>46305</v>
      </c>
      <c r="DT34" s="130">
        <f t="shared" si="82"/>
        <v>46306</v>
      </c>
      <c r="DU34" s="130">
        <f t="shared" si="82"/>
        <v>46307</v>
      </c>
      <c r="DV34" s="130">
        <f t="shared" si="82"/>
        <v>46308</v>
      </c>
      <c r="DW34" s="130">
        <f t="shared" si="82"/>
        <v>46309</v>
      </c>
      <c r="DX34" s="130">
        <f t="shared" si="82"/>
        <v>46310</v>
      </c>
      <c r="DY34" s="130">
        <f t="shared" si="82"/>
        <v>46311</v>
      </c>
      <c r="DZ34" s="130">
        <f t="shared" si="82"/>
        <v>46312</v>
      </c>
      <c r="EA34" s="130">
        <f t="shared" si="82"/>
        <v>46313</v>
      </c>
      <c r="EB34" s="130">
        <f t="shared" si="82"/>
        <v>46314</v>
      </c>
      <c r="EC34" s="130">
        <f t="shared" si="82"/>
        <v>46315</v>
      </c>
      <c r="ED34" s="130">
        <f t="shared" si="82"/>
        <v>46316</v>
      </c>
      <c r="EE34" s="130">
        <f t="shared" si="82"/>
        <v>46317</v>
      </c>
      <c r="EF34" s="130">
        <f t="shared" si="82"/>
        <v>46318</v>
      </c>
      <c r="EG34" s="130">
        <f t="shared" si="82"/>
        <v>46319</v>
      </c>
      <c r="EH34" s="130">
        <f t="shared" si="82"/>
        <v>46320</v>
      </c>
      <c r="EI34" s="130">
        <f t="shared" si="82"/>
        <v>46321</v>
      </c>
      <c r="EJ34" s="130">
        <f t="shared" si="82"/>
        <v>46322</v>
      </c>
      <c r="EK34" s="130">
        <f t="shared" si="82"/>
        <v>46323</v>
      </c>
      <c r="EL34" s="130">
        <f t="shared" si="82"/>
        <v>46324</v>
      </c>
      <c r="EM34" s="130">
        <f t="shared" si="82"/>
        <v>46325</v>
      </c>
      <c r="EN34" s="130">
        <f t="shared" si="82"/>
        <v>46326</v>
      </c>
      <c r="EO34" s="130">
        <f t="shared" si="82"/>
        <v>46327</v>
      </c>
      <c r="EP34" s="130">
        <f t="shared" si="82"/>
        <v>46328</v>
      </c>
      <c r="EQ34" s="130">
        <f t="shared" si="82"/>
        <v>46329</v>
      </c>
      <c r="ER34" s="130">
        <f t="shared" si="82"/>
        <v>46330</v>
      </c>
      <c r="ES34" s="130">
        <f t="shared" si="82"/>
        <v>46331</v>
      </c>
      <c r="ET34" s="130">
        <f t="shared" si="82"/>
        <v>46332</v>
      </c>
      <c r="EU34" s="130">
        <f t="shared" si="82"/>
        <v>46333</v>
      </c>
      <c r="EV34" s="130">
        <f t="shared" si="82"/>
        <v>46334</v>
      </c>
      <c r="EW34" s="130">
        <f t="shared" si="82"/>
        <v>46335</v>
      </c>
      <c r="EX34" s="130">
        <f t="shared" si="82"/>
        <v>46336</v>
      </c>
      <c r="EY34" s="130">
        <f t="shared" si="82"/>
        <v>46337</v>
      </c>
      <c r="EZ34" s="130">
        <f t="shared" si="82"/>
        <v>46338</v>
      </c>
      <c r="FA34" s="130">
        <f t="shared" si="82"/>
        <v>46339</v>
      </c>
      <c r="FB34" s="130">
        <f t="shared" si="82"/>
        <v>46340</v>
      </c>
      <c r="FC34" s="130">
        <f t="shared" si="82"/>
        <v>46341</v>
      </c>
      <c r="FD34" s="130">
        <f t="shared" si="82"/>
        <v>46342</v>
      </c>
      <c r="FE34" s="130">
        <f t="shared" si="82"/>
        <v>46343</v>
      </c>
      <c r="FF34" s="130">
        <f t="shared" si="82"/>
        <v>46344</v>
      </c>
      <c r="FG34" s="130">
        <f t="shared" si="82"/>
        <v>46345</v>
      </c>
      <c r="FH34" s="130">
        <f t="shared" si="82"/>
        <v>46346</v>
      </c>
      <c r="FI34" s="130">
        <f t="shared" si="82"/>
        <v>46347</v>
      </c>
      <c r="FJ34" s="130">
        <f t="shared" si="82"/>
        <v>46348</v>
      </c>
      <c r="FK34" s="130">
        <f t="shared" ref="FK34:FR34" si="83">FJ34+1</f>
        <v>46349</v>
      </c>
      <c r="FL34" s="130">
        <f t="shared" si="83"/>
        <v>46350</v>
      </c>
      <c r="FM34" s="130">
        <f t="shared" si="83"/>
        <v>46351</v>
      </c>
      <c r="FN34" s="130">
        <f t="shared" si="83"/>
        <v>46352</v>
      </c>
      <c r="FO34" s="130">
        <f t="shared" si="83"/>
        <v>46353</v>
      </c>
      <c r="FP34" s="130">
        <f t="shared" si="83"/>
        <v>46354</v>
      </c>
      <c r="FQ34" s="130">
        <f t="shared" si="83"/>
        <v>46355</v>
      </c>
      <c r="FR34" s="130">
        <f t="shared" si="83"/>
        <v>46356</v>
      </c>
    </row>
    <row r="35" spans="1:174">
      <c r="A35" s="466"/>
      <c r="B35" s="509"/>
      <c r="C35" s="509"/>
      <c r="D35" s="456"/>
      <c r="E35" s="185" t="s">
        <v>64</v>
      </c>
      <c r="F35" s="66" t="e">
        <f>SUM('BESS 10B'!S198:S205,'BESS 10B'!S207)</f>
        <v>#VALUE!</v>
      </c>
      <c r="G35" s="182">
        <f>H35-10</f>
        <v>46249</v>
      </c>
      <c r="H35" s="182">
        <f>MAX('BESS 10B'!O198:O204)</f>
        <v>46259</v>
      </c>
      <c r="I35" s="66">
        <f>H35-G35</f>
        <v>10</v>
      </c>
      <c r="J35" s="444">
        <f>K35*1.2</f>
        <v>6</v>
      </c>
      <c r="K35" s="661">
        <f>AVERAGEIF(M40:CX40,"&gt;0")</f>
        <v>5</v>
      </c>
      <c r="L35" s="661" t="e">
        <f>MAX(M40:CX40)</f>
        <v>#VALUE!</v>
      </c>
      <c r="M35" s="65" t="str">
        <f t="shared" ref="M35:AB38" si="84">IF(AND(M$2&gt;=$G35,M$2&lt;($G35+$I35)),ROUND($F35/$I35,0),"-")</f>
        <v>-</v>
      </c>
      <c r="N35" s="65" t="str">
        <f t="shared" si="84"/>
        <v>-</v>
      </c>
      <c r="O35" s="65" t="str">
        <f t="shared" si="84"/>
        <v>-</v>
      </c>
      <c r="P35" s="65" t="str">
        <f t="shared" si="84"/>
        <v>-</v>
      </c>
      <c r="Q35" s="65" t="str">
        <f t="shared" si="84"/>
        <v>-</v>
      </c>
      <c r="R35" s="65" t="str">
        <f t="shared" si="84"/>
        <v>-</v>
      </c>
      <c r="S35" s="65" t="str">
        <f t="shared" si="84"/>
        <v>-</v>
      </c>
      <c r="T35" s="65" t="str">
        <f t="shared" si="84"/>
        <v>-</v>
      </c>
      <c r="U35" s="65" t="str">
        <f t="shared" si="84"/>
        <v>-</v>
      </c>
      <c r="V35" s="65" t="str">
        <f t="shared" si="84"/>
        <v>-</v>
      </c>
      <c r="W35" s="65" t="str">
        <f t="shared" si="84"/>
        <v>-</v>
      </c>
      <c r="X35" s="65" t="str">
        <f t="shared" si="84"/>
        <v>-</v>
      </c>
      <c r="Y35" s="65" t="str">
        <f t="shared" si="84"/>
        <v>-</v>
      </c>
      <c r="Z35" s="65" t="str">
        <f t="shared" si="84"/>
        <v>-</v>
      </c>
      <c r="AA35" s="65" t="str">
        <f t="shared" si="84"/>
        <v>-</v>
      </c>
      <c r="AB35" s="65" t="str">
        <f t="shared" si="84"/>
        <v>-</v>
      </c>
      <c r="AC35" s="65" t="str">
        <f t="shared" ref="AC35:AR38" si="85">IF(AND(AC$2&gt;=$G35,AC$2&lt;($G35+$I35)),ROUND($F35/$I35,0),"-")</f>
        <v>-</v>
      </c>
      <c r="AD35" s="65" t="str">
        <f t="shared" si="85"/>
        <v>-</v>
      </c>
      <c r="AE35" s="65" t="str">
        <f t="shared" si="85"/>
        <v>-</v>
      </c>
      <c r="AF35" s="65" t="str">
        <f t="shared" si="85"/>
        <v>-</v>
      </c>
      <c r="AG35" s="65" t="str">
        <f t="shared" si="85"/>
        <v>-</v>
      </c>
      <c r="AH35" s="65" t="str">
        <f t="shared" si="85"/>
        <v>-</v>
      </c>
      <c r="AI35" s="65" t="str">
        <f t="shared" si="85"/>
        <v>-</v>
      </c>
      <c r="AJ35" s="65" t="str">
        <f t="shared" si="85"/>
        <v>-</v>
      </c>
      <c r="AK35" s="65" t="str">
        <f t="shared" si="85"/>
        <v>-</v>
      </c>
      <c r="AL35" s="65" t="str">
        <f t="shared" si="85"/>
        <v>-</v>
      </c>
      <c r="AM35" s="65" t="str">
        <f t="shared" si="85"/>
        <v>-</v>
      </c>
      <c r="AN35" s="65" t="str">
        <f t="shared" si="85"/>
        <v>-</v>
      </c>
      <c r="AO35" s="65" t="str">
        <f t="shared" si="85"/>
        <v>-</v>
      </c>
      <c r="AP35" s="65" t="str">
        <f t="shared" si="85"/>
        <v>-</v>
      </c>
      <c r="AQ35" s="65" t="str">
        <f t="shared" si="85"/>
        <v>-</v>
      </c>
      <c r="AR35" s="65" t="str">
        <f t="shared" si="85"/>
        <v>-</v>
      </c>
      <c r="AS35" s="65" t="str">
        <f t="shared" ref="AS35:BH38" si="86">IF(AND(AS$2&gt;=$G35,AS$2&lt;($G35+$I35)),ROUND($F35/$I35,0),"-")</f>
        <v>-</v>
      </c>
      <c r="AT35" s="65" t="str">
        <f t="shared" si="86"/>
        <v>-</v>
      </c>
      <c r="AU35" s="65" t="str">
        <f t="shared" si="86"/>
        <v>-</v>
      </c>
      <c r="AV35" s="65" t="str">
        <f t="shared" si="86"/>
        <v>-</v>
      </c>
      <c r="AW35" s="65" t="str">
        <f t="shared" si="86"/>
        <v>-</v>
      </c>
      <c r="AX35" s="65" t="str">
        <f t="shared" si="86"/>
        <v>-</v>
      </c>
      <c r="AY35" s="65" t="str">
        <f t="shared" si="86"/>
        <v>-</v>
      </c>
      <c r="AZ35" s="65" t="str">
        <f t="shared" si="86"/>
        <v>-</v>
      </c>
      <c r="BA35" s="65" t="str">
        <f t="shared" si="86"/>
        <v>-</v>
      </c>
      <c r="BB35" s="65" t="str">
        <f t="shared" si="86"/>
        <v>-</v>
      </c>
      <c r="BC35" s="65" t="str">
        <f t="shared" si="86"/>
        <v>-</v>
      </c>
      <c r="BD35" s="65" t="str">
        <f t="shared" si="86"/>
        <v>-</v>
      </c>
      <c r="BE35" s="65" t="str">
        <f t="shared" si="86"/>
        <v>-</v>
      </c>
      <c r="BF35" s="65" t="str">
        <f t="shared" si="86"/>
        <v>-</v>
      </c>
      <c r="BG35" s="65" t="str">
        <f t="shared" si="86"/>
        <v>-</v>
      </c>
      <c r="BH35" s="65" t="str">
        <f t="shared" si="86"/>
        <v>-</v>
      </c>
      <c r="BI35" s="65" t="str">
        <f t="shared" ref="BI35:BX38" si="87">IF(AND(BI$2&gt;=$G35,BI$2&lt;($G35+$I35)),ROUND($F35/$I35,0),"-")</f>
        <v>-</v>
      </c>
      <c r="BJ35" s="65" t="str">
        <f t="shared" si="87"/>
        <v>-</v>
      </c>
      <c r="BK35" s="65" t="str">
        <f t="shared" si="87"/>
        <v>-</v>
      </c>
      <c r="BL35" s="65" t="str">
        <f t="shared" si="87"/>
        <v>-</v>
      </c>
      <c r="BM35" s="65" t="str">
        <f t="shared" si="87"/>
        <v>-</v>
      </c>
      <c r="BN35" s="65" t="str">
        <f t="shared" si="87"/>
        <v>-</v>
      </c>
      <c r="BO35" s="65" t="e">
        <f t="shared" si="87"/>
        <v>#VALUE!</v>
      </c>
      <c r="BP35" s="65" t="e">
        <f t="shared" si="87"/>
        <v>#VALUE!</v>
      </c>
      <c r="BQ35" s="65" t="e">
        <f t="shared" si="87"/>
        <v>#VALUE!</v>
      </c>
      <c r="BR35" s="65" t="e">
        <f t="shared" si="87"/>
        <v>#VALUE!</v>
      </c>
      <c r="BS35" s="65" t="e">
        <f t="shared" si="87"/>
        <v>#VALUE!</v>
      </c>
      <c r="BT35" s="65" t="e">
        <f t="shared" si="87"/>
        <v>#VALUE!</v>
      </c>
      <c r="BU35" s="65" t="e">
        <f t="shared" si="87"/>
        <v>#VALUE!</v>
      </c>
      <c r="BV35" s="65" t="e">
        <f t="shared" si="87"/>
        <v>#VALUE!</v>
      </c>
      <c r="BW35" s="65" t="e">
        <f t="shared" si="87"/>
        <v>#VALUE!</v>
      </c>
      <c r="BX35" s="65" t="e">
        <f t="shared" si="87"/>
        <v>#VALUE!</v>
      </c>
      <c r="BY35" s="65" t="str">
        <f t="shared" ref="BY35:CN38" si="88">IF(AND(BY$2&gt;=$G35,BY$2&lt;($G35+$I35)),ROUND($F35/$I35,0),"-")</f>
        <v>-</v>
      </c>
      <c r="BZ35" s="65" t="str">
        <f t="shared" si="88"/>
        <v>-</v>
      </c>
      <c r="CA35" s="65" t="str">
        <f t="shared" si="88"/>
        <v>-</v>
      </c>
      <c r="CB35" s="65" t="str">
        <f t="shared" si="88"/>
        <v>-</v>
      </c>
      <c r="CC35" s="65" t="str">
        <f t="shared" si="88"/>
        <v>-</v>
      </c>
      <c r="CD35" s="65" t="str">
        <f t="shared" si="88"/>
        <v>-</v>
      </c>
      <c r="CE35" s="65" t="str">
        <f t="shared" si="88"/>
        <v>-</v>
      </c>
      <c r="CF35" s="65" t="str">
        <f t="shared" si="88"/>
        <v>-</v>
      </c>
      <c r="CG35" s="65" t="str">
        <f t="shared" si="88"/>
        <v>-</v>
      </c>
      <c r="CH35" s="65" t="str">
        <f t="shared" si="88"/>
        <v>-</v>
      </c>
      <c r="CI35" s="65" t="str">
        <f t="shared" si="88"/>
        <v>-</v>
      </c>
      <c r="CJ35" s="65" t="str">
        <f t="shared" si="88"/>
        <v>-</v>
      </c>
      <c r="CK35" s="65" t="str">
        <f t="shared" si="88"/>
        <v>-</v>
      </c>
      <c r="CL35" s="65" t="str">
        <f t="shared" si="88"/>
        <v>-</v>
      </c>
      <c r="CM35" s="65" t="str">
        <f t="shared" si="88"/>
        <v>-</v>
      </c>
      <c r="CN35" s="65" t="str">
        <f t="shared" si="88"/>
        <v>-</v>
      </c>
      <c r="CO35" s="65" t="str">
        <f t="shared" ref="CO35:DD38" si="89">IF(AND(CO$2&gt;=$G35,CO$2&lt;($G35+$I35)),ROUND($F35/$I35,0),"-")</f>
        <v>-</v>
      </c>
      <c r="CP35" s="65" t="str">
        <f t="shared" si="89"/>
        <v>-</v>
      </c>
      <c r="CQ35" s="65" t="str">
        <f t="shared" si="89"/>
        <v>-</v>
      </c>
      <c r="CR35" s="65" t="str">
        <f t="shared" si="89"/>
        <v>-</v>
      </c>
      <c r="CS35" s="65" t="str">
        <f t="shared" si="89"/>
        <v>-</v>
      </c>
      <c r="CT35" s="186" t="str">
        <f t="shared" si="89"/>
        <v>-</v>
      </c>
      <c r="CU35" s="186" t="str">
        <f t="shared" si="89"/>
        <v>-</v>
      </c>
      <c r="CV35" s="186" t="str">
        <f t="shared" si="89"/>
        <v>-</v>
      </c>
      <c r="CW35" s="186" t="str">
        <f t="shared" si="89"/>
        <v>-</v>
      </c>
      <c r="CX35" s="65" t="str">
        <f t="shared" si="89"/>
        <v>-</v>
      </c>
      <c r="CY35" s="65" t="str">
        <f t="shared" si="89"/>
        <v>-</v>
      </c>
      <c r="CZ35" s="65" t="str">
        <f t="shared" si="89"/>
        <v>-</v>
      </c>
      <c r="DA35" s="65" t="str">
        <f t="shared" si="89"/>
        <v>-</v>
      </c>
      <c r="DB35" s="65" t="str">
        <f t="shared" si="89"/>
        <v>-</v>
      </c>
      <c r="DC35" s="65" t="str">
        <f t="shared" si="89"/>
        <v>-</v>
      </c>
      <c r="DD35" s="65" t="str">
        <f t="shared" si="89"/>
        <v>-</v>
      </c>
      <c r="DE35" s="65" t="str">
        <f t="shared" ref="DE35:FP38" si="90">IF(AND(DE$2&gt;=$G35,DE$2&lt;($G35+$I35)),ROUND($F35/$I35,0),"-")</f>
        <v>-</v>
      </c>
      <c r="DF35" s="65" t="str">
        <f t="shared" si="90"/>
        <v>-</v>
      </c>
      <c r="DG35" s="65" t="str">
        <f t="shared" si="90"/>
        <v>-</v>
      </c>
      <c r="DH35" s="65" t="str">
        <f t="shared" si="90"/>
        <v>-</v>
      </c>
      <c r="DI35" s="65" t="str">
        <f t="shared" si="90"/>
        <v>-</v>
      </c>
      <c r="DJ35" s="65" t="str">
        <f t="shared" si="90"/>
        <v>-</v>
      </c>
      <c r="DK35" s="65" t="str">
        <f t="shared" si="90"/>
        <v>-</v>
      </c>
      <c r="DL35" s="65" t="str">
        <f t="shared" si="90"/>
        <v>-</v>
      </c>
      <c r="DM35" s="65" t="str">
        <f t="shared" si="90"/>
        <v>-</v>
      </c>
      <c r="DN35" s="65" t="str">
        <f t="shared" si="90"/>
        <v>-</v>
      </c>
      <c r="DO35" s="65" t="str">
        <f t="shared" si="90"/>
        <v>-</v>
      </c>
      <c r="DP35" s="65" t="str">
        <f t="shared" si="90"/>
        <v>-</v>
      </c>
      <c r="DQ35" s="65" t="str">
        <f t="shared" si="90"/>
        <v>-</v>
      </c>
      <c r="DR35" s="65" t="str">
        <f t="shared" si="90"/>
        <v>-</v>
      </c>
      <c r="DS35" s="65" t="str">
        <f t="shared" si="90"/>
        <v>-</v>
      </c>
      <c r="DT35" s="65" t="str">
        <f t="shared" si="90"/>
        <v>-</v>
      </c>
      <c r="DU35" s="65" t="str">
        <f t="shared" si="90"/>
        <v>-</v>
      </c>
      <c r="DV35" s="65" t="str">
        <f t="shared" si="90"/>
        <v>-</v>
      </c>
      <c r="DW35" s="65" t="str">
        <f t="shared" si="90"/>
        <v>-</v>
      </c>
      <c r="DX35" s="65" t="str">
        <f t="shared" si="90"/>
        <v>-</v>
      </c>
      <c r="DY35" s="65" t="str">
        <f t="shared" si="90"/>
        <v>-</v>
      </c>
      <c r="DZ35" s="65" t="str">
        <f t="shared" si="90"/>
        <v>-</v>
      </c>
      <c r="EA35" s="65" t="str">
        <f t="shared" si="90"/>
        <v>-</v>
      </c>
      <c r="EB35" s="65" t="str">
        <f t="shared" si="90"/>
        <v>-</v>
      </c>
      <c r="EC35" s="65" t="str">
        <f t="shared" si="90"/>
        <v>-</v>
      </c>
      <c r="ED35" s="65" t="str">
        <f t="shared" si="90"/>
        <v>-</v>
      </c>
      <c r="EE35" s="65" t="str">
        <f t="shared" si="90"/>
        <v>-</v>
      </c>
      <c r="EF35" s="65" t="str">
        <f t="shared" si="90"/>
        <v>-</v>
      </c>
      <c r="EG35" s="65" t="str">
        <f t="shared" si="90"/>
        <v>-</v>
      </c>
      <c r="EH35" s="65" t="str">
        <f t="shared" si="90"/>
        <v>-</v>
      </c>
      <c r="EI35" s="65" t="str">
        <f t="shared" si="90"/>
        <v>-</v>
      </c>
      <c r="EJ35" s="65" t="str">
        <f t="shared" si="90"/>
        <v>-</v>
      </c>
      <c r="EK35" s="65" t="str">
        <f t="shared" si="90"/>
        <v>-</v>
      </c>
      <c r="EL35" s="65" t="str">
        <f t="shared" si="90"/>
        <v>-</v>
      </c>
      <c r="EM35" s="65" t="str">
        <f t="shared" si="90"/>
        <v>-</v>
      </c>
      <c r="EN35" s="65" t="str">
        <f t="shared" si="90"/>
        <v>-</v>
      </c>
      <c r="EO35" s="65" t="str">
        <f t="shared" si="90"/>
        <v>-</v>
      </c>
      <c r="EP35" s="65" t="str">
        <f t="shared" si="90"/>
        <v>-</v>
      </c>
      <c r="EQ35" s="65" t="str">
        <f t="shared" si="90"/>
        <v>-</v>
      </c>
      <c r="ER35" s="65" t="str">
        <f t="shared" si="90"/>
        <v>-</v>
      </c>
      <c r="ES35" s="65" t="str">
        <f t="shared" si="90"/>
        <v>-</v>
      </c>
      <c r="ET35" s="65" t="str">
        <f t="shared" si="90"/>
        <v>-</v>
      </c>
      <c r="EU35" s="65" t="str">
        <f t="shared" si="90"/>
        <v>-</v>
      </c>
      <c r="EV35" s="65" t="str">
        <f t="shared" si="90"/>
        <v>-</v>
      </c>
      <c r="EW35" s="65" t="str">
        <f t="shared" si="90"/>
        <v>-</v>
      </c>
      <c r="EX35" s="65" t="str">
        <f t="shared" si="90"/>
        <v>-</v>
      </c>
      <c r="EY35" s="65" t="str">
        <f t="shared" si="90"/>
        <v>-</v>
      </c>
      <c r="EZ35" s="65" t="str">
        <f t="shared" si="90"/>
        <v>-</v>
      </c>
      <c r="FA35" s="65" t="str">
        <f t="shared" si="90"/>
        <v>-</v>
      </c>
      <c r="FB35" s="65" t="str">
        <f t="shared" si="90"/>
        <v>-</v>
      </c>
      <c r="FC35" s="65" t="str">
        <f t="shared" si="90"/>
        <v>-</v>
      </c>
      <c r="FD35" s="65" t="str">
        <f t="shared" si="90"/>
        <v>-</v>
      </c>
      <c r="FE35" s="65" t="str">
        <f t="shared" si="90"/>
        <v>-</v>
      </c>
      <c r="FF35" s="65" t="str">
        <f t="shared" si="90"/>
        <v>-</v>
      </c>
      <c r="FG35" s="65" t="str">
        <f t="shared" si="90"/>
        <v>-</v>
      </c>
      <c r="FH35" s="65" t="str">
        <f t="shared" si="90"/>
        <v>-</v>
      </c>
      <c r="FI35" s="65" t="str">
        <f t="shared" si="90"/>
        <v>-</v>
      </c>
      <c r="FJ35" s="65" t="str">
        <f t="shared" si="90"/>
        <v>-</v>
      </c>
      <c r="FK35" s="65" t="str">
        <f t="shared" si="90"/>
        <v>-</v>
      </c>
      <c r="FL35" s="65" t="str">
        <f t="shared" si="90"/>
        <v>-</v>
      </c>
      <c r="FM35" s="65" t="str">
        <f t="shared" si="90"/>
        <v>-</v>
      </c>
      <c r="FN35" s="65" t="str">
        <f t="shared" si="90"/>
        <v>-</v>
      </c>
      <c r="FO35" s="65" t="str">
        <f t="shared" si="90"/>
        <v>-</v>
      </c>
      <c r="FP35" s="65" t="str">
        <f t="shared" si="90"/>
        <v>-</v>
      </c>
      <c r="FQ35" s="65" t="str">
        <f t="shared" ref="FQ35:FR38" si="91">IF(AND(FQ$2&gt;=$G35,FQ$2&lt;($G35+$I35)),ROUND($F35/$I35,0),"-")</f>
        <v>-</v>
      </c>
      <c r="FR35" s="65" t="str">
        <f t="shared" si="91"/>
        <v>-</v>
      </c>
    </row>
    <row r="36" spans="1:174">
      <c r="A36" s="466"/>
      <c r="B36" s="509"/>
      <c r="C36" s="509"/>
      <c r="D36" s="456"/>
      <c r="E36" s="185" t="s">
        <v>65</v>
      </c>
      <c r="F36" s="66" t="e">
        <f>SUM('BESS 10B'!S208,'BESS 10B'!S210:S211,'BESS 10B'!S214:S216)</f>
        <v>#VALUE!</v>
      </c>
      <c r="G36" s="182">
        <f>H36-20</f>
        <v>46237</v>
      </c>
      <c r="H36" s="182">
        <f>MAX('BESS 10B'!O208,'BESS 10B'!O210:O211,'BESS 10B'!O214:O216)</f>
        <v>46257</v>
      </c>
      <c r="I36" s="66">
        <f t="shared" ref="I36:I38" si="92">H36-G36</f>
        <v>20</v>
      </c>
      <c r="J36" s="453"/>
      <c r="K36" s="662"/>
      <c r="L36" s="662"/>
      <c r="M36" s="65" t="str">
        <f t="shared" si="84"/>
        <v>-</v>
      </c>
      <c r="N36" s="65" t="str">
        <f t="shared" si="84"/>
        <v>-</v>
      </c>
      <c r="O36" s="65" t="str">
        <f t="shared" si="84"/>
        <v>-</v>
      </c>
      <c r="P36" s="65" t="str">
        <f t="shared" si="84"/>
        <v>-</v>
      </c>
      <c r="Q36" s="65" t="str">
        <f t="shared" si="84"/>
        <v>-</v>
      </c>
      <c r="R36" s="65" t="str">
        <f t="shared" si="84"/>
        <v>-</v>
      </c>
      <c r="S36" s="65" t="str">
        <f t="shared" si="84"/>
        <v>-</v>
      </c>
      <c r="T36" s="65" t="str">
        <f t="shared" si="84"/>
        <v>-</v>
      </c>
      <c r="U36" s="65" t="str">
        <f t="shared" si="84"/>
        <v>-</v>
      </c>
      <c r="V36" s="65" t="str">
        <f t="shared" si="84"/>
        <v>-</v>
      </c>
      <c r="W36" s="65" t="str">
        <f t="shared" si="84"/>
        <v>-</v>
      </c>
      <c r="X36" s="65" t="str">
        <f t="shared" si="84"/>
        <v>-</v>
      </c>
      <c r="Y36" s="65" t="str">
        <f t="shared" si="84"/>
        <v>-</v>
      </c>
      <c r="Z36" s="65" t="str">
        <f t="shared" si="84"/>
        <v>-</v>
      </c>
      <c r="AA36" s="65" t="str">
        <f t="shared" si="84"/>
        <v>-</v>
      </c>
      <c r="AB36" s="65" t="str">
        <f t="shared" si="84"/>
        <v>-</v>
      </c>
      <c r="AC36" s="65" t="str">
        <f t="shared" si="85"/>
        <v>-</v>
      </c>
      <c r="AD36" s="65" t="str">
        <f t="shared" si="85"/>
        <v>-</v>
      </c>
      <c r="AE36" s="65" t="str">
        <f t="shared" si="85"/>
        <v>-</v>
      </c>
      <c r="AF36" s="65" t="str">
        <f t="shared" si="85"/>
        <v>-</v>
      </c>
      <c r="AG36" s="65" t="str">
        <f t="shared" si="85"/>
        <v>-</v>
      </c>
      <c r="AH36" s="65" t="str">
        <f t="shared" si="85"/>
        <v>-</v>
      </c>
      <c r="AI36" s="65" t="str">
        <f t="shared" si="85"/>
        <v>-</v>
      </c>
      <c r="AJ36" s="65" t="str">
        <f t="shared" si="85"/>
        <v>-</v>
      </c>
      <c r="AK36" s="65" t="str">
        <f t="shared" si="85"/>
        <v>-</v>
      </c>
      <c r="AL36" s="65" t="str">
        <f t="shared" si="85"/>
        <v>-</v>
      </c>
      <c r="AM36" s="65" t="str">
        <f t="shared" si="85"/>
        <v>-</v>
      </c>
      <c r="AN36" s="65" t="str">
        <f t="shared" si="85"/>
        <v>-</v>
      </c>
      <c r="AO36" s="65" t="str">
        <f t="shared" si="85"/>
        <v>-</v>
      </c>
      <c r="AP36" s="65" t="str">
        <f t="shared" si="85"/>
        <v>-</v>
      </c>
      <c r="AQ36" s="65" t="str">
        <f t="shared" si="85"/>
        <v>-</v>
      </c>
      <c r="AR36" s="65" t="str">
        <f t="shared" si="85"/>
        <v>-</v>
      </c>
      <c r="AS36" s="65" t="str">
        <f t="shared" si="86"/>
        <v>-</v>
      </c>
      <c r="AT36" s="65" t="str">
        <f t="shared" si="86"/>
        <v>-</v>
      </c>
      <c r="AU36" s="65" t="str">
        <f t="shared" si="86"/>
        <v>-</v>
      </c>
      <c r="AV36" s="65" t="str">
        <f t="shared" si="86"/>
        <v>-</v>
      </c>
      <c r="AW36" s="65" t="str">
        <f t="shared" si="86"/>
        <v>-</v>
      </c>
      <c r="AX36" s="65" t="str">
        <f t="shared" si="86"/>
        <v>-</v>
      </c>
      <c r="AY36" s="65" t="str">
        <f t="shared" si="86"/>
        <v>-</v>
      </c>
      <c r="AZ36" s="65" t="str">
        <f t="shared" si="86"/>
        <v>-</v>
      </c>
      <c r="BA36" s="65" t="str">
        <f t="shared" si="86"/>
        <v>-</v>
      </c>
      <c r="BB36" s="65" t="str">
        <f t="shared" si="86"/>
        <v>-</v>
      </c>
      <c r="BC36" s="65" t="e">
        <f t="shared" si="86"/>
        <v>#VALUE!</v>
      </c>
      <c r="BD36" s="65" t="e">
        <f t="shared" si="86"/>
        <v>#VALUE!</v>
      </c>
      <c r="BE36" s="65" t="e">
        <f t="shared" si="86"/>
        <v>#VALUE!</v>
      </c>
      <c r="BF36" s="65" t="e">
        <f t="shared" si="86"/>
        <v>#VALUE!</v>
      </c>
      <c r="BG36" s="65" t="e">
        <f t="shared" si="86"/>
        <v>#VALUE!</v>
      </c>
      <c r="BH36" s="65" t="e">
        <f t="shared" si="86"/>
        <v>#VALUE!</v>
      </c>
      <c r="BI36" s="65" t="e">
        <f t="shared" si="87"/>
        <v>#VALUE!</v>
      </c>
      <c r="BJ36" s="65" t="e">
        <f t="shared" si="87"/>
        <v>#VALUE!</v>
      </c>
      <c r="BK36" s="65" t="e">
        <f t="shared" si="87"/>
        <v>#VALUE!</v>
      </c>
      <c r="BL36" s="65" t="e">
        <f t="shared" si="87"/>
        <v>#VALUE!</v>
      </c>
      <c r="BM36" s="65" t="e">
        <f t="shared" si="87"/>
        <v>#VALUE!</v>
      </c>
      <c r="BN36" s="65" t="e">
        <f t="shared" si="87"/>
        <v>#VALUE!</v>
      </c>
      <c r="BO36" s="65" t="e">
        <f t="shared" si="87"/>
        <v>#VALUE!</v>
      </c>
      <c r="BP36" s="65" t="e">
        <f t="shared" si="87"/>
        <v>#VALUE!</v>
      </c>
      <c r="BQ36" s="65" t="e">
        <f t="shared" si="87"/>
        <v>#VALUE!</v>
      </c>
      <c r="BR36" s="65" t="e">
        <f t="shared" si="87"/>
        <v>#VALUE!</v>
      </c>
      <c r="BS36" s="65" t="e">
        <f t="shared" si="87"/>
        <v>#VALUE!</v>
      </c>
      <c r="BT36" s="65" t="e">
        <f t="shared" si="87"/>
        <v>#VALUE!</v>
      </c>
      <c r="BU36" s="65" t="e">
        <f t="shared" si="87"/>
        <v>#VALUE!</v>
      </c>
      <c r="BV36" s="65" t="e">
        <f t="shared" si="87"/>
        <v>#VALUE!</v>
      </c>
      <c r="BW36" s="65" t="str">
        <f t="shared" si="87"/>
        <v>-</v>
      </c>
      <c r="BX36" s="65" t="str">
        <f t="shared" si="87"/>
        <v>-</v>
      </c>
      <c r="BY36" s="65" t="str">
        <f t="shared" si="88"/>
        <v>-</v>
      </c>
      <c r="BZ36" s="65" t="str">
        <f t="shared" si="88"/>
        <v>-</v>
      </c>
      <c r="CA36" s="65" t="str">
        <f t="shared" si="88"/>
        <v>-</v>
      </c>
      <c r="CB36" s="65" t="str">
        <f t="shared" si="88"/>
        <v>-</v>
      </c>
      <c r="CC36" s="65" t="str">
        <f t="shared" si="88"/>
        <v>-</v>
      </c>
      <c r="CD36" s="65" t="str">
        <f t="shared" si="88"/>
        <v>-</v>
      </c>
      <c r="CE36" s="65" t="str">
        <f t="shared" si="88"/>
        <v>-</v>
      </c>
      <c r="CF36" s="65" t="str">
        <f t="shared" si="88"/>
        <v>-</v>
      </c>
      <c r="CG36" s="65" t="str">
        <f t="shared" si="88"/>
        <v>-</v>
      </c>
      <c r="CH36" s="65" t="str">
        <f t="shared" si="88"/>
        <v>-</v>
      </c>
      <c r="CI36" s="65" t="str">
        <f t="shared" si="88"/>
        <v>-</v>
      </c>
      <c r="CJ36" s="65" t="str">
        <f t="shared" si="88"/>
        <v>-</v>
      </c>
      <c r="CK36" s="65" t="str">
        <f t="shared" si="88"/>
        <v>-</v>
      </c>
      <c r="CL36" s="65" t="str">
        <f t="shared" si="88"/>
        <v>-</v>
      </c>
      <c r="CM36" s="65" t="str">
        <f t="shared" si="88"/>
        <v>-</v>
      </c>
      <c r="CN36" s="65" t="str">
        <f t="shared" si="88"/>
        <v>-</v>
      </c>
      <c r="CO36" s="65" t="str">
        <f t="shared" si="89"/>
        <v>-</v>
      </c>
      <c r="CP36" s="65" t="str">
        <f t="shared" si="89"/>
        <v>-</v>
      </c>
      <c r="CQ36" s="65" t="str">
        <f t="shared" si="89"/>
        <v>-</v>
      </c>
      <c r="CR36" s="65" t="str">
        <f t="shared" si="89"/>
        <v>-</v>
      </c>
      <c r="CS36" s="65" t="str">
        <f t="shared" si="89"/>
        <v>-</v>
      </c>
      <c r="CT36" s="186" t="str">
        <f t="shared" si="89"/>
        <v>-</v>
      </c>
      <c r="CU36" s="186" t="str">
        <f t="shared" si="89"/>
        <v>-</v>
      </c>
      <c r="CV36" s="186" t="str">
        <f t="shared" si="89"/>
        <v>-</v>
      </c>
      <c r="CW36" s="186" t="str">
        <f t="shared" si="89"/>
        <v>-</v>
      </c>
      <c r="CX36" s="65" t="str">
        <f t="shared" si="89"/>
        <v>-</v>
      </c>
      <c r="CY36" s="65" t="str">
        <f t="shared" ref="CY36:FJ38" si="93">IF(AND(CY$2&gt;=$G36,CY$2&lt;($G36+$I36)),ROUND($F36/$I36,0),"-")</f>
        <v>-</v>
      </c>
      <c r="CZ36" s="65" t="str">
        <f t="shared" si="93"/>
        <v>-</v>
      </c>
      <c r="DA36" s="65" t="str">
        <f t="shared" si="93"/>
        <v>-</v>
      </c>
      <c r="DB36" s="65" t="str">
        <f t="shared" si="93"/>
        <v>-</v>
      </c>
      <c r="DC36" s="65" t="str">
        <f t="shared" si="93"/>
        <v>-</v>
      </c>
      <c r="DD36" s="65" t="str">
        <f t="shared" si="93"/>
        <v>-</v>
      </c>
      <c r="DE36" s="65" t="str">
        <f t="shared" si="93"/>
        <v>-</v>
      </c>
      <c r="DF36" s="65" t="str">
        <f t="shared" si="93"/>
        <v>-</v>
      </c>
      <c r="DG36" s="65" t="str">
        <f t="shared" si="93"/>
        <v>-</v>
      </c>
      <c r="DH36" s="65" t="str">
        <f t="shared" si="93"/>
        <v>-</v>
      </c>
      <c r="DI36" s="65" t="str">
        <f t="shared" si="93"/>
        <v>-</v>
      </c>
      <c r="DJ36" s="65" t="str">
        <f t="shared" si="93"/>
        <v>-</v>
      </c>
      <c r="DK36" s="65" t="str">
        <f t="shared" si="93"/>
        <v>-</v>
      </c>
      <c r="DL36" s="65" t="str">
        <f t="shared" si="93"/>
        <v>-</v>
      </c>
      <c r="DM36" s="65" t="str">
        <f t="shared" si="93"/>
        <v>-</v>
      </c>
      <c r="DN36" s="65" t="str">
        <f t="shared" si="93"/>
        <v>-</v>
      </c>
      <c r="DO36" s="65" t="str">
        <f t="shared" si="93"/>
        <v>-</v>
      </c>
      <c r="DP36" s="65" t="str">
        <f t="shared" si="93"/>
        <v>-</v>
      </c>
      <c r="DQ36" s="65" t="str">
        <f t="shared" si="93"/>
        <v>-</v>
      </c>
      <c r="DR36" s="65" t="str">
        <f t="shared" si="93"/>
        <v>-</v>
      </c>
      <c r="DS36" s="65" t="str">
        <f t="shared" si="93"/>
        <v>-</v>
      </c>
      <c r="DT36" s="65" t="str">
        <f t="shared" si="93"/>
        <v>-</v>
      </c>
      <c r="DU36" s="65" t="str">
        <f t="shared" si="93"/>
        <v>-</v>
      </c>
      <c r="DV36" s="65" t="str">
        <f t="shared" si="93"/>
        <v>-</v>
      </c>
      <c r="DW36" s="65" t="str">
        <f t="shared" si="93"/>
        <v>-</v>
      </c>
      <c r="DX36" s="65" t="str">
        <f t="shared" si="93"/>
        <v>-</v>
      </c>
      <c r="DY36" s="65" t="str">
        <f t="shared" si="93"/>
        <v>-</v>
      </c>
      <c r="DZ36" s="65" t="str">
        <f t="shared" si="93"/>
        <v>-</v>
      </c>
      <c r="EA36" s="65" t="str">
        <f t="shared" si="93"/>
        <v>-</v>
      </c>
      <c r="EB36" s="65" t="str">
        <f t="shared" si="93"/>
        <v>-</v>
      </c>
      <c r="EC36" s="65" t="str">
        <f t="shared" si="93"/>
        <v>-</v>
      </c>
      <c r="ED36" s="65" t="str">
        <f t="shared" si="93"/>
        <v>-</v>
      </c>
      <c r="EE36" s="65" t="str">
        <f t="shared" si="93"/>
        <v>-</v>
      </c>
      <c r="EF36" s="65" t="str">
        <f t="shared" si="93"/>
        <v>-</v>
      </c>
      <c r="EG36" s="65" t="str">
        <f t="shared" si="93"/>
        <v>-</v>
      </c>
      <c r="EH36" s="65" t="str">
        <f t="shared" si="93"/>
        <v>-</v>
      </c>
      <c r="EI36" s="65" t="str">
        <f t="shared" si="93"/>
        <v>-</v>
      </c>
      <c r="EJ36" s="65" t="str">
        <f t="shared" si="93"/>
        <v>-</v>
      </c>
      <c r="EK36" s="65" t="str">
        <f t="shared" si="93"/>
        <v>-</v>
      </c>
      <c r="EL36" s="65" t="str">
        <f t="shared" si="93"/>
        <v>-</v>
      </c>
      <c r="EM36" s="65" t="str">
        <f t="shared" si="93"/>
        <v>-</v>
      </c>
      <c r="EN36" s="65" t="str">
        <f t="shared" si="93"/>
        <v>-</v>
      </c>
      <c r="EO36" s="65" t="str">
        <f t="shared" si="93"/>
        <v>-</v>
      </c>
      <c r="EP36" s="65" t="str">
        <f t="shared" si="93"/>
        <v>-</v>
      </c>
      <c r="EQ36" s="65" t="str">
        <f t="shared" si="93"/>
        <v>-</v>
      </c>
      <c r="ER36" s="65" t="str">
        <f t="shared" si="93"/>
        <v>-</v>
      </c>
      <c r="ES36" s="65" t="str">
        <f t="shared" si="93"/>
        <v>-</v>
      </c>
      <c r="ET36" s="65" t="str">
        <f t="shared" si="93"/>
        <v>-</v>
      </c>
      <c r="EU36" s="65" t="str">
        <f t="shared" si="93"/>
        <v>-</v>
      </c>
      <c r="EV36" s="65" t="str">
        <f t="shared" si="93"/>
        <v>-</v>
      </c>
      <c r="EW36" s="65" t="str">
        <f t="shared" si="93"/>
        <v>-</v>
      </c>
      <c r="EX36" s="65" t="str">
        <f t="shared" si="93"/>
        <v>-</v>
      </c>
      <c r="EY36" s="65" t="str">
        <f t="shared" si="93"/>
        <v>-</v>
      </c>
      <c r="EZ36" s="65" t="str">
        <f t="shared" si="93"/>
        <v>-</v>
      </c>
      <c r="FA36" s="65" t="str">
        <f t="shared" si="93"/>
        <v>-</v>
      </c>
      <c r="FB36" s="65" t="str">
        <f t="shared" si="93"/>
        <v>-</v>
      </c>
      <c r="FC36" s="65" t="str">
        <f t="shared" si="93"/>
        <v>-</v>
      </c>
      <c r="FD36" s="65" t="str">
        <f t="shared" si="93"/>
        <v>-</v>
      </c>
      <c r="FE36" s="65" t="str">
        <f t="shared" si="93"/>
        <v>-</v>
      </c>
      <c r="FF36" s="65" t="str">
        <f t="shared" si="93"/>
        <v>-</v>
      </c>
      <c r="FG36" s="65" t="str">
        <f t="shared" si="93"/>
        <v>-</v>
      </c>
      <c r="FH36" s="65" t="str">
        <f t="shared" si="93"/>
        <v>-</v>
      </c>
      <c r="FI36" s="65" t="str">
        <f t="shared" si="93"/>
        <v>-</v>
      </c>
      <c r="FJ36" s="65" t="str">
        <f t="shared" si="93"/>
        <v>-</v>
      </c>
      <c r="FK36" s="65" t="str">
        <f t="shared" si="90"/>
        <v>-</v>
      </c>
      <c r="FL36" s="65" t="str">
        <f t="shared" si="90"/>
        <v>-</v>
      </c>
      <c r="FM36" s="65" t="str">
        <f t="shared" si="90"/>
        <v>-</v>
      </c>
      <c r="FN36" s="65" t="str">
        <f t="shared" si="90"/>
        <v>-</v>
      </c>
      <c r="FO36" s="65" t="str">
        <f t="shared" si="90"/>
        <v>-</v>
      </c>
      <c r="FP36" s="65" t="str">
        <f t="shared" si="90"/>
        <v>-</v>
      </c>
      <c r="FQ36" s="65" t="str">
        <f t="shared" si="91"/>
        <v>-</v>
      </c>
      <c r="FR36" s="65" t="str">
        <f t="shared" si="91"/>
        <v>-</v>
      </c>
    </row>
    <row r="37" spans="1:174">
      <c r="A37" s="466"/>
      <c r="B37" s="509"/>
      <c r="C37" s="509"/>
      <c r="D37" s="456"/>
      <c r="E37" s="185" t="s">
        <v>66</v>
      </c>
      <c r="F37" s="66" t="e">
        <f>SUM('BESS 10B'!S209,'BESS 10B'!S212:S213,'BESS 10B'!S217:S218)</f>
        <v>#VALUE!</v>
      </c>
      <c r="G37" s="182">
        <f>H37-20</f>
        <v>46265</v>
      </c>
      <c r="H37" s="182">
        <f>MAX('BESS 10B'!O209,'BESS 10B'!O212:O213,'BESS 10B'!O217:O218)</f>
        <v>46285</v>
      </c>
      <c r="I37" s="66">
        <f t="shared" si="92"/>
        <v>20</v>
      </c>
      <c r="J37" s="453"/>
      <c r="K37" s="662"/>
      <c r="L37" s="662"/>
      <c r="M37" s="65" t="str">
        <f t="shared" si="84"/>
        <v>-</v>
      </c>
      <c r="N37" s="65" t="str">
        <f t="shared" si="84"/>
        <v>-</v>
      </c>
      <c r="O37" s="65" t="str">
        <f t="shared" si="84"/>
        <v>-</v>
      </c>
      <c r="P37" s="65" t="str">
        <f t="shared" si="84"/>
        <v>-</v>
      </c>
      <c r="Q37" s="65" t="str">
        <f t="shared" si="84"/>
        <v>-</v>
      </c>
      <c r="R37" s="65" t="str">
        <f t="shared" si="84"/>
        <v>-</v>
      </c>
      <c r="S37" s="65" t="str">
        <f t="shared" si="84"/>
        <v>-</v>
      </c>
      <c r="T37" s="65" t="str">
        <f t="shared" si="84"/>
        <v>-</v>
      </c>
      <c r="U37" s="65" t="str">
        <f t="shared" si="84"/>
        <v>-</v>
      </c>
      <c r="V37" s="65" t="str">
        <f t="shared" si="84"/>
        <v>-</v>
      </c>
      <c r="W37" s="65" t="str">
        <f t="shared" si="84"/>
        <v>-</v>
      </c>
      <c r="X37" s="65" t="str">
        <f t="shared" si="84"/>
        <v>-</v>
      </c>
      <c r="Y37" s="65" t="str">
        <f t="shared" si="84"/>
        <v>-</v>
      </c>
      <c r="Z37" s="65" t="str">
        <f t="shared" si="84"/>
        <v>-</v>
      </c>
      <c r="AA37" s="65" t="str">
        <f t="shared" si="84"/>
        <v>-</v>
      </c>
      <c r="AB37" s="65" t="str">
        <f t="shared" si="84"/>
        <v>-</v>
      </c>
      <c r="AC37" s="65" t="str">
        <f t="shared" si="85"/>
        <v>-</v>
      </c>
      <c r="AD37" s="65" t="str">
        <f t="shared" si="85"/>
        <v>-</v>
      </c>
      <c r="AE37" s="65" t="str">
        <f t="shared" si="85"/>
        <v>-</v>
      </c>
      <c r="AF37" s="65" t="str">
        <f t="shared" si="85"/>
        <v>-</v>
      </c>
      <c r="AG37" s="65" t="str">
        <f t="shared" si="85"/>
        <v>-</v>
      </c>
      <c r="AH37" s="65" t="str">
        <f t="shared" si="85"/>
        <v>-</v>
      </c>
      <c r="AI37" s="65" t="str">
        <f t="shared" si="85"/>
        <v>-</v>
      </c>
      <c r="AJ37" s="65" t="str">
        <f t="shared" si="85"/>
        <v>-</v>
      </c>
      <c r="AK37" s="65" t="str">
        <f t="shared" si="85"/>
        <v>-</v>
      </c>
      <c r="AL37" s="65" t="str">
        <f t="shared" si="85"/>
        <v>-</v>
      </c>
      <c r="AM37" s="65" t="str">
        <f t="shared" si="85"/>
        <v>-</v>
      </c>
      <c r="AN37" s="65" t="str">
        <f t="shared" si="85"/>
        <v>-</v>
      </c>
      <c r="AO37" s="65" t="str">
        <f t="shared" si="85"/>
        <v>-</v>
      </c>
      <c r="AP37" s="65" t="str">
        <f t="shared" si="85"/>
        <v>-</v>
      </c>
      <c r="AQ37" s="65" t="str">
        <f t="shared" si="85"/>
        <v>-</v>
      </c>
      <c r="AR37" s="65" t="str">
        <f t="shared" si="85"/>
        <v>-</v>
      </c>
      <c r="AS37" s="65" t="str">
        <f t="shared" si="86"/>
        <v>-</v>
      </c>
      <c r="AT37" s="65" t="str">
        <f t="shared" si="86"/>
        <v>-</v>
      </c>
      <c r="AU37" s="65" t="str">
        <f t="shared" si="86"/>
        <v>-</v>
      </c>
      <c r="AV37" s="65" t="str">
        <f t="shared" si="86"/>
        <v>-</v>
      </c>
      <c r="AW37" s="65" t="str">
        <f t="shared" si="86"/>
        <v>-</v>
      </c>
      <c r="AX37" s="65" t="str">
        <f t="shared" si="86"/>
        <v>-</v>
      </c>
      <c r="AY37" s="65" t="str">
        <f t="shared" si="86"/>
        <v>-</v>
      </c>
      <c r="AZ37" s="65" t="str">
        <f t="shared" si="86"/>
        <v>-</v>
      </c>
      <c r="BA37" s="65" t="str">
        <f t="shared" si="86"/>
        <v>-</v>
      </c>
      <c r="BB37" s="65" t="str">
        <f t="shared" si="86"/>
        <v>-</v>
      </c>
      <c r="BC37" s="65" t="str">
        <f t="shared" si="86"/>
        <v>-</v>
      </c>
      <c r="BD37" s="65" t="str">
        <f t="shared" si="86"/>
        <v>-</v>
      </c>
      <c r="BE37" s="65" t="str">
        <f t="shared" si="86"/>
        <v>-</v>
      </c>
      <c r="BF37" s="65" t="str">
        <f t="shared" si="86"/>
        <v>-</v>
      </c>
      <c r="BG37" s="65" t="str">
        <f t="shared" si="86"/>
        <v>-</v>
      </c>
      <c r="BH37" s="65" t="str">
        <f t="shared" si="86"/>
        <v>-</v>
      </c>
      <c r="BI37" s="65" t="str">
        <f t="shared" si="87"/>
        <v>-</v>
      </c>
      <c r="BJ37" s="65" t="str">
        <f t="shared" si="87"/>
        <v>-</v>
      </c>
      <c r="BK37" s="65" t="str">
        <f t="shared" si="87"/>
        <v>-</v>
      </c>
      <c r="BL37" s="65" t="str">
        <f t="shared" si="87"/>
        <v>-</v>
      </c>
      <c r="BM37" s="65" t="str">
        <f t="shared" si="87"/>
        <v>-</v>
      </c>
      <c r="BN37" s="65" t="str">
        <f t="shared" si="87"/>
        <v>-</v>
      </c>
      <c r="BO37" s="65" t="str">
        <f t="shared" si="87"/>
        <v>-</v>
      </c>
      <c r="BP37" s="65" t="str">
        <f t="shared" si="87"/>
        <v>-</v>
      </c>
      <c r="BQ37" s="65" t="str">
        <f t="shared" si="87"/>
        <v>-</v>
      </c>
      <c r="BR37" s="65" t="str">
        <f t="shared" si="87"/>
        <v>-</v>
      </c>
      <c r="BS37" s="65" t="str">
        <f t="shared" si="87"/>
        <v>-</v>
      </c>
      <c r="BT37" s="65" t="str">
        <f t="shared" si="87"/>
        <v>-</v>
      </c>
      <c r="BU37" s="65" t="str">
        <f t="shared" si="87"/>
        <v>-</v>
      </c>
      <c r="BV37" s="65" t="str">
        <f t="shared" si="87"/>
        <v>-</v>
      </c>
      <c r="BW37" s="65" t="str">
        <f t="shared" si="87"/>
        <v>-</v>
      </c>
      <c r="BX37" s="65" t="str">
        <f t="shared" si="87"/>
        <v>-</v>
      </c>
      <c r="BY37" s="65" t="str">
        <f t="shared" si="88"/>
        <v>-</v>
      </c>
      <c r="BZ37" s="65" t="str">
        <f t="shared" si="88"/>
        <v>-</v>
      </c>
      <c r="CA37" s="65" t="str">
        <f t="shared" si="88"/>
        <v>-</v>
      </c>
      <c r="CB37" s="65" t="str">
        <f t="shared" si="88"/>
        <v>-</v>
      </c>
      <c r="CC37" s="65" t="str">
        <f t="shared" si="88"/>
        <v>-</v>
      </c>
      <c r="CD37" s="65" t="str">
        <f t="shared" si="88"/>
        <v>-</v>
      </c>
      <c r="CE37" s="65" t="e">
        <f t="shared" si="88"/>
        <v>#VALUE!</v>
      </c>
      <c r="CF37" s="65" t="e">
        <f t="shared" si="88"/>
        <v>#VALUE!</v>
      </c>
      <c r="CG37" s="65" t="e">
        <f t="shared" si="88"/>
        <v>#VALUE!</v>
      </c>
      <c r="CH37" s="65" t="e">
        <f t="shared" si="88"/>
        <v>#VALUE!</v>
      </c>
      <c r="CI37" s="65" t="e">
        <f t="shared" si="88"/>
        <v>#VALUE!</v>
      </c>
      <c r="CJ37" s="65" t="e">
        <f t="shared" si="88"/>
        <v>#VALUE!</v>
      </c>
      <c r="CK37" s="65" t="e">
        <f t="shared" si="88"/>
        <v>#VALUE!</v>
      </c>
      <c r="CL37" s="65" t="e">
        <f t="shared" si="88"/>
        <v>#VALUE!</v>
      </c>
      <c r="CM37" s="65" t="e">
        <f t="shared" si="88"/>
        <v>#VALUE!</v>
      </c>
      <c r="CN37" s="65" t="e">
        <f t="shared" si="88"/>
        <v>#VALUE!</v>
      </c>
      <c r="CO37" s="65" t="e">
        <f t="shared" si="89"/>
        <v>#VALUE!</v>
      </c>
      <c r="CP37" s="65" t="e">
        <f t="shared" si="89"/>
        <v>#VALUE!</v>
      </c>
      <c r="CQ37" s="65" t="e">
        <f t="shared" si="89"/>
        <v>#VALUE!</v>
      </c>
      <c r="CR37" s="65" t="e">
        <f t="shared" si="89"/>
        <v>#VALUE!</v>
      </c>
      <c r="CS37" s="65" t="e">
        <f t="shared" si="89"/>
        <v>#VALUE!</v>
      </c>
      <c r="CT37" s="186" t="e">
        <f t="shared" si="89"/>
        <v>#VALUE!</v>
      </c>
      <c r="CU37" s="186" t="e">
        <f t="shared" si="89"/>
        <v>#VALUE!</v>
      </c>
      <c r="CV37" s="186" t="e">
        <f t="shared" si="89"/>
        <v>#VALUE!</v>
      </c>
      <c r="CW37" s="186" t="e">
        <f t="shared" si="89"/>
        <v>#VALUE!</v>
      </c>
      <c r="CX37" s="65" t="e">
        <f t="shared" si="89"/>
        <v>#VALUE!</v>
      </c>
      <c r="CY37" s="65" t="str">
        <f t="shared" si="93"/>
        <v>-</v>
      </c>
      <c r="CZ37" s="65" t="str">
        <f t="shared" si="93"/>
        <v>-</v>
      </c>
      <c r="DA37" s="65" t="str">
        <f t="shared" si="93"/>
        <v>-</v>
      </c>
      <c r="DB37" s="65" t="str">
        <f t="shared" si="93"/>
        <v>-</v>
      </c>
      <c r="DC37" s="65" t="str">
        <f t="shared" si="93"/>
        <v>-</v>
      </c>
      <c r="DD37" s="65" t="str">
        <f t="shared" si="93"/>
        <v>-</v>
      </c>
      <c r="DE37" s="65" t="str">
        <f t="shared" si="93"/>
        <v>-</v>
      </c>
      <c r="DF37" s="65" t="str">
        <f t="shared" si="93"/>
        <v>-</v>
      </c>
      <c r="DG37" s="65" t="str">
        <f t="shared" si="93"/>
        <v>-</v>
      </c>
      <c r="DH37" s="65" t="str">
        <f t="shared" si="93"/>
        <v>-</v>
      </c>
      <c r="DI37" s="65" t="str">
        <f t="shared" si="93"/>
        <v>-</v>
      </c>
      <c r="DJ37" s="65" t="str">
        <f t="shared" si="93"/>
        <v>-</v>
      </c>
      <c r="DK37" s="65" t="str">
        <f t="shared" si="93"/>
        <v>-</v>
      </c>
      <c r="DL37" s="65" t="str">
        <f t="shared" si="93"/>
        <v>-</v>
      </c>
      <c r="DM37" s="65" t="str">
        <f t="shared" si="93"/>
        <v>-</v>
      </c>
      <c r="DN37" s="65" t="str">
        <f t="shared" si="93"/>
        <v>-</v>
      </c>
      <c r="DO37" s="65" t="str">
        <f t="shared" si="93"/>
        <v>-</v>
      </c>
      <c r="DP37" s="65" t="str">
        <f t="shared" si="93"/>
        <v>-</v>
      </c>
      <c r="DQ37" s="65" t="str">
        <f t="shared" si="93"/>
        <v>-</v>
      </c>
      <c r="DR37" s="65" t="str">
        <f t="shared" si="93"/>
        <v>-</v>
      </c>
      <c r="DS37" s="65" t="str">
        <f t="shared" si="93"/>
        <v>-</v>
      </c>
      <c r="DT37" s="65" t="str">
        <f t="shared" si="93"/>
        <v>-</v>
      </c>
      <c r="DU37" s="65" t="str">
        <f t="shared" si="93"/>
        <v>-</v>
      </c>
      <c r="DV37" s="65" t="str">
        <f t="shared" si="93"/>
        <v>-</v>
      </c>
      <c r="DW37" s="65" t="str">
        <f t="shared" si="93"/>
        <v>-</v>
      </c>
      <c r="DX37" s="65" t="str">
        <f t="shared" si="93"/>
        <v>-</v>
      </c>
      <c r="DY37" s="65" t="str">
        <f t="shared" si="93"/>
        <v>-</v>
      </c>
      <c r="DZ37" s="65" t="str">
        <f t="shared" si="93"/>
        <v>-</v>
      </c>
      <c r="EA37" s="65" t="str">
        <f t="shared" si="93"/>
        <v>-</v>
      </c>
      <c r="EB37" s="65" t="str">
        <f t="shared" si="93"/>
        <v>-</v>
      </c>
      <c r="EC37" s="65" t="str">
        <f t="shared" si="93"/>
        <v>-</v>
      </c>
      <c r="ED37" s="65" t="str">
        <f t="shared" si="93"/>
        <v>-</v>
      </c>
      <c r="EE37" s="65" t="str">
        <f t="shared" si="93"/>
        <v>-</v>
      </c>
      <c r="EF37" s="65" t="str">
        <f t="shared" si="93"/>
        <v>-</v>
      </c>
      <c r="EG37" s="65" t="str">
        <f t="shared" si="93"/>
        <v>-</v>
      </c>
      <c r="EH37" s="65" t="str">
        <f t="shared" si="93"/>
        <v>-</v>
      </c>
      <c r="EI37" s="65" t="str">
        <f t="shared" si="93"/>
        <v>-</v>
      </c>
      <c r="EJ37" s="65" t="str">
        <f t="shared" si="93"/>
        <v>-</v>
      </c>
      <c r="EK37" s="65" t="str">
        <f t="shared" si="93"/>
        <v>-</v>
      </c>
      <c r="EL37" s="65" t="str">
        <f t="shared" si="93"/>
        <v>-</v>
      </c>
      <c r="EM37" s="65" t="str">
        <f t="shared" si="93"/>
        <v>-</v>
      </c>
      <c r="EN37" s="65" t="str">
        <f t="shared" si="93"/>
        <v>-</v>
      </c>
      <c r="EO37" s="65" t="str">
        <f t="shared" si="93"/>
        <v>-</v>
      </c>
      <c r="EP37" s="65" t="str">
        <f t="shared" si="93"/>
        <v>-</v>
      </c>
      <c r="EQ37" s="65" t="str">
        <f t="shared" si="93"/>
        <v>-</v>
      </c>
      <c r="ER37" s="65" t="str">
        <f t="shared" si="93"/>
        <v>-</v>
      </c>
      <c r="ES37" s="65" t="str">
        <f t="shared" si="93"/>
        <v>-</v>
      </c>
      <c r="ET37" s="65" t="str">
        <f t="shared" si="93"/>
        <v>-</v>
      </c>
      <c r="EU37" s="65" t="str">
        <f t="shared" si="93"/>
        <v>-</v>
      </c>
      <c r="EV37" s="65" t="str">
        <f t="shared" si="93"/>
        <v>-</v>
      </c>
      <c r="EW37" s="65" t="str">
        <f t="shared" si="93"/>
        <v>-</v>
      </c>
      <c r="EX37" s="65" t="str">
        <f t="shared" si="93"/>
        <v>-</v>
      </c>
      <c r="EY37" s="65" t="str">
        <f t="shared" si="93"/>
        <v>-</v>
      </c>
      <c r="EZ37" s="65" t="str">
        <f t="shared" si="93"/>
        <v>-</v>
      </c>
      <c r="FA37" s="65" t="str">
        <f t="shared" si="93"/>
        <v>-</v>
      </c>
      <c r="FB37" s="65" t="str">
        <f t="shared" si="93"/>
        <v>-</v>
      </c>
      <c r="FC37" s="65" t="str">
        <f t="shared" si="93"/>
        <v>-</v>
      </c>
      <c r="FD37" s="65" t="str">
        <f t="shared" si="93"/>
        <v>-</v>
      </c>
      <c r="FE37" s="65" t="str">
        <f t="shared" si="93"/>
        <v>-</v>
      </c>
      <c r="FF37" s="65" t="str">
        <f t="shared" si="93"/>
        <v>-</v>
      </c>
      <c r="FG37" s="65" t="str">
        <f t="shared" si="93"/>
        <v>-</v>
      </c>
      <c r="FH37" s="65" t="str">
        <f t="shared" si="93"/>
        <v>-</v>
      </c>
      <c r="FI37" s="65" t="str">
        <f t="shared" si="93"/>
        <v>-</v>
      </c>
      <c r="FJ37" s="65" t="str">
        <f t="shared" si="93"/>
        <v>-</v>
      </c>
      <c r="FK37" s="65" t="str">
        <f t="shared" si="90"/>
        <v>-</v>
      </c>
      <c r="FL37" s="65" t="str">
        <f t="shared" si="90"/>
        <v>-</v>
      </c>
      <c r="FM37" s="65" t="str">
        <f t="shared" si="90"/>
        <v>-</v>
      </c>
      <c r="FN37" s="65" t="str">
        <f t="shared" si="90"/>
        <v>-</v>
      </c>
      <c r="FO37" s="65" t="str">
        <f t="shared" si="90"/>
        <v>-</v>
      </c>
      <c r="FP37" s="65" t="str">
        <f t="shared" si="90"/>
        <v>-</v>
      </c>
      <c r="FQ37" s="65" t="str">
        <f t="shared" si="91"/>
        <v>-</v>
      </c>
      <c r="FR37" s="65" t="str">
        <f t="shared" si="91"/>
        <v>-</v>
      </c>
    </row>
    <row r="38" spans="1:174">
      <c r="A38" s="466"/>
      <c r="B38" s="509"/>
      <c r="C38" s="509"/>
      <c r="D38" s="456"/>
      <c r="E38" s="185" t="s">
        <v>67</v>
      </c>
      <c r="F38" s="66" t="e">
        <f>SUM('BESS 10B'!S220:S229)</f>
        <v>#VALUE!</v>
      </c>
      <c r="G38" s="182">
        <f>H38-14</f>
        <v>46278</v>
      </c>
      <c r="H38" s="182">
        <f>MAX('BESS 10B'!O220:O229)</f>
        <v>46292</v>
      </c>
      <c r="I38" s="66">
        <f t="shared" si="92"/>
        <v>14</v>
      </c>
      <c r="J38" s="453"/>
      <c r="K38" s="662"/>
      <c r="L38" s="662"/>
      <c r="M38" s="65" t="str">
        <f t="shared" si="84"/>
        <v>-</v>
      </c>
      <c r="N38" s="65" t="str">
        <f t="shared" si="84"/>
        <v>-</v>
      </c>
      <c r="O38" s="65" t="str">
        <f t="shared" si="84"/>
        <v>-</v>
      </c>
      <c r="P38" s="65" t="str">
        <f t="shared" si="84"/>
        <v>-</v>
      </c>
      <c r="Q38" s="65" t="str">
        <f t="shared" si="84"/>
        <v>-</v>
      </c>
      <c r="R38" s="65" t="str">
        <f t="shared" si="84"/>
        <v>-</v>
      </c>
      <c r="S38" s="65" t="str">
        <f t="shared" si="84"/>
        <v>-</v>
      </c>
      <c r="T38" s="65" t="str">
        <f t="shared" si="84"/>
        <v>-</v>
      </c>
      <c r="U38" s="65" t="str">
        <f t="shared" si="84"/>
        <v>-</v>
      </c>
      <c r="V38" s="65" t="str">
        <f t="shared" si="84"/>
        <v>-</v>
      </c>
      <c r="W38" s="65" t="str">
        <f t="shared" si="84"/>
        <v>-</v>
      </c>
      <c r="X38" s="65" t="str">
        <f t="shared" si="84"/>
        <v>-</v>
      </c>
      <c r="Y38" s="65" t="str">
        <f t="shared" si="84"/>
        <v>-</v>
      </c>
      <c r="Z38" s="65" t="str">
        <f t="shared" si="84"/>
        <v>-</v>
      </c>
      <c r="AA38" s="65" t="str">
        <f t="shared" si="84"/>
        <v>-</v>
      </c>
      <c r="AB38" s="65" t="str">
        <f t="shared" si="84"/>
        <v>-</v>
      </c>
      <c r="AC38" s="65" t="str">
        <f t="shared" si="85"/>
        <v>-</v>
      </c>
      <c r="AD38" s="65" t="str">
        <f t="shared" si="85"/>
        <v>-</v>
      </c>
      <c r="AE38" s="65" t="str">
        <f t="shared" si="85"/>
        <v>-</v>
      </c>
      <c r="AF38" s="65" t="str">
        <f t="shared" si="85"/>
        <v>-</v>
      </c>
      <c r="AG38" s="65" t="str">
        <f t="shared" si="85"/>
        <v>-</v>
      </c>
      <c r="AH38" s="65" t="str">
        <f t="shared" si="85"/>
        <v>-</v>
      </c>
      <c r="AI38" s="65" t="str">
        <f t="shared" si="85"/>
        <v>-</v>
      </c>
      <c r="AJ38" s="65" t="str">
        <f t="shared" si="85"/>
        <v>-</v>
      </c>
      <c r="AK38" s="65" t="str">
        <f t="shared" si="85"/>
        <v>-</v>
      </c>
      <c r="AL38" s="65" t="str">
        <f t="shared" si="85"/>
        <v>-</v>
      </c>
      <c r="AM38" s="65" t="str">
        <f t="shared" si="85"/>
        <v>-</v>
      </c>
      <c r="AN38" s="65" t="str">
        <f t="shared" si="85"/>
        <v>-</v>
      </c>
      <c r="AO38" s="65" t="str">
        <f t="shared" si="85"/>
        <v>-</v>
      </c>
      <c r="AP38" s="65" t="str">
        <f t="shared" si="85"/>
        <v>-</v>
      </c>
      <c r="AQ38" s="65" t="str">
        <f t="shared" si="85"/>
        <v>-</v>
      </c>
      <c r="AR38" s="65" t="str">
        <f t="shared" si="85"/>
        <v>-</v>
      </c>
      <c r="AS38" s="65" t="str">
        <f t="shared" si="86"/>
        <v>-</v>
      </c>
      <c r="AT38" s="65" t="str">
        <f t="shared" si="86"/>
        <v>-</v>
      </c>
      <c r="AU38" s="65" t="str">
        <f t="shared" si="86"/>
        <v>-</v>
      </c>
      <c r="AV38" s="65" t="str">
        <f t="shared" si="86"/>
        <v>-</v>
      </c>
      <c r="AW38" s="65" t="str">
        <f t="shared" si="86"/>
        <v>-</v>
      </c>
      <c r="AX38" s="65" t="str">
        <f t="shared" si="86"/>
        <v>-</v>
      </c>
      <c r="AY38" s="65" t="str">
        <f t="shared" si="86"/>
        <v>-</v>
      </c>
      <c r="AZ38" s="65" t="str">
        <f t="shared" si="86"/>
        <v>-</v>
      </c>
      <c r="BA38" s="65" t="str">
        <f t="shared" si="86"/>
        <v>-</v>
      </c>
      <c r="BB38" s="65" t="str">
        <f t="shared" si="86"/>
        <v>-</v>
      </c>
      <c r="BC38" s="65" t="str">
        <f t="shared" si="86"/>
        <v>-</v>
      </c>
      <c r="BD38" s="65" t="str">
        <f t="shared" si="86"/>
        <v>-</v>
      </c>
      <c r="BE38" s="65" t="str">
        <f t="shared" si="86"/>
        <v>-</v>
      </c>
      <c r="BF38" s="65" t="str">
        <f t="shared" si="86"/>
        <v>-</v>
      </c>
      <c r="BG38" s="65" t="str">
        <f t="shared" si="86"/>
        <v>-</v>
      </c>
      <c r="BH38" s="65" t="str">
        <f t="shared" si="86"/>
        <v>-</v>
      </c>
      <c r="BI38" s="65" t="str">
        <f t="shared" si="87"/>
        <v>-</v>
      </c>
      <c r="BJ38" s="65" t="str">
        <f t="shared" si="87"/>
        <v>-</v>
      </c>
      <c r="BK38" s="65" t="str">
        <f t="shared" si="87"/>
        <v>-</v>
      </c>
      <c r="BL38" s="65" t="str">
        <f t="shared" si="87"/>
        <v>-</v>
      </c>
      <c r="BM38" s="65" t="str">
        <f t="shared" si="87"/>
        <v>-</v>
      </c>
      <c r="BN38" s="65" t="str">
        <f t="shared" si="87"/>
        <v>-</v>
      </c>
      <c r="BO38" s="65" t="str">
        <f t="shared" si="87"/>
        <v>-</v>
      </c>
      <c r="BP38" s="65" t="str">
        <f t="shared" si="87"/>
        <v>-</v>
      </c>
      <c r="BQ38" s="65" t="str">
        <f t="shared" si="87"/>
        <v>-</v>
      </c>
      <c r="BR38" s="65" t="str">
        <f t="shared" si="87"/>
        <v>-</v>
      </c>
      <c r="BS38" s="65" t="str">
        <f t="shared" si="87"/>
        <v>-</v>
      </c>
      <c r="BT38" s="65" t="str">
        <f t="shared" si="87"/>
        <v>-</v>
      </c>
      <c r="BU38" s="65" t="str">
        <f t="shared" si="87"/>
        <v>-</v>
      </c>
      <c r="BV38" s="65" t="str">
        <f t="shared" si="87"/>
        <v>-</v>
      </c>
      <c r="BW38" s="65" t="str">
        <f t="shared" si="87"/>
        <v>-</v>
      </c>
      <c r="BX38" s="65" t="str">
        <f t="shared" si="87"/>
        <v>-</v>
      </c>
      <c r="BY38" s="65" t="str">
        <f t="shared" si="88"/>
        <v>-</v>
      </c>
      <c r="BZ38" s="65" t="str">
        <f t="shared" si="88"/>
        <v>-</v>
      </c>
      <c r="CA38" s="65" t="str">
        <f t="shared" si="88"/>
        <v>-</v>
      </c>
      <c r="CB38" s="65" t="str">
        <f t="shared" si="88"/>
        <v>-</v>
      </c>
      <c r="CC38" s="65" t="str">
        <f t="shared" si="88"/>
        <v>-</v>
      </c>
      <c r="CD38" s="65" t="str">
        <f t="shared" si="88"/>
        <v>-</v>
      </c>
      <c r="CE38" s="65" t="str">
        <f t="shared" si="88"/>
        <v>-</v>
      </c>
      <c r="CF38" s="65" t="str">
        <f t="shared" si="88"/>
        <v>-</v>
      </c>
      <c r="CG38" s="65" t="str">
        <f t="shared" si="88"/>
        <v>-</v>
      </c>
      <c r="CH38" s="65" t="str">
        <f t="shared" si="88"/>
        <v>-</v>
      </c>
      <c r="CI38" s="65" t="str">
        <f t="shared" si="88"/>
        <v>-</v>
      </c>
      <c r="CJ38" s="65" t="str">
        <f t="shared" si="88"/>
        <v>-</v>
      </c>
      <c r="CK38" s="65" t="str">
        <f t="shared" si="88"/>
        <v>-</v>
      </c>
      <c r="CL38" s="65" t="str">
        <f t="shared" si="88"/>
        <v>-</v>
      </c>
      <c r="CM38" s="65" t="str">
        <f t="shared" si="88"/>
        <v>-</v>
      </c>
      <c r="CN38" s="65" t="str">
        <f t="shared" si="88"/>
        <v>-</v>
      </c>
      <c r="CO38" s="65" t="str">
        <f t="shared" si="89"/>
        <v>-</v>
      </c>
      <c r="CP38" s="65" t="str">
        <f t="shared" si="89"/>
        <v>-</v>
      </c>
      <c r="CQ38" s="65" t="str">
        <f t="shared" si="89"/>
        <v>-</v>
      </c>
      <c r="CR38" s="65" t="e">
        <f t="shared" si="89"/>
        <v>#VALUE!</v>
      </c>
      <c r="CS38" s="65" t="e">
        <f t="shared" si="89"/>
        <v>#VALUE!</v>
      </c>
      <c r="CT38" s="186" t="e">
        <f t="shared" si="89"/>
        <v>#VALUE!</v>
      </c>
      <c r="CU38" s="186" t="e">
        <f t="shared" si="89"/>
        <v>#VALUE!</v>
      </c>
      <c r="CV38" s="186" t="e">
        <f t="shared" si="89"/>
        <v>#VALUE!</v>
      </c>
      <c r="CW38" s="186" t="e">
        <f t="shared" si="89"/>
        <v>#VALUE!</v>
      </c>
      <c r="CX38" s="65" t="e">
        <f t="shared" si="89"/>
        <v>#VALUE!</v>
      </c>
      <c r="CY38" s="65" t="e">
        <f t="shared" si="93"/>
        <v>#VALUE!</v>
      </c>
      <c r="CZ38" s="65" t="e">
        <f t="shared" si="93"/>
        <v>#VALUE!</v>
      </c>
      <c r="DA38" s="65" t="e">
        <f t="shared" si="93"/>
        <v>#VALUE!</v>
      </c>
      <c r="DB38" s="65" t="e">
        <f t="shared" si="93"/>
        <v>#VALUE!</v>
      </c>
      <c r="DC38" s="65" t="e">
        <f t="shared" si="93"/>
        <v>#VALUE!</v>
      </c>
      <c r="DD38" s="65" t="e">
        <f t="shared" si="93"/>
        <v>#VALUE!</v>
      </c>
      <c r="DE38" s="65" t="e">
        <f t="shared" si="93"/>
        <v>#VALUE!</v>
      </c>
      <c r="DF38" s="65" t="str">
        <f t="shared" si="93"/>
        <v>-</v>
      </c>
      <c r="DG38" s="65" t="str">
        <f t="shared" si="93"/>
        <v>-</v>
      </c>
      <c r="DH38" s="65" t="str">
        <f t="shared" si="93"/>
        <v>-</v>
      </c>
      <c r="DI38" s="65" t="str">
        <f t="shared" si="93"/>
        <v>-</v>
      </c>
      <c r="DJ38" s="65" t="str">
        <f t="shared" si="93"/>
        <v>-</v>
      </c>
      <c r="DK38" s="65" t="str">
        <f t="shared" si="93"/>
        <v>-</v>
      </c>
      <c r="DL38" s="65" t="str">
        <f t="shared" si="93"/>
        <v>-</v>
      </c>
      <c r="DM38" s="65" t="str">
        <f t="shared" si="93"/>
        <v>-</v>
      </c>
      <c r="DN38" s="65" t="str">
        <f t="shared" si="93"/>
        <v>-</v>
      </c>
      <c r="DO38" s="65" t="str">
        <f t="shared" si="93"/>
        <v>-</v>
      </c>
      <c r="DP38" s="65" t="str">
        <f t="shared" si="93"/>
        <v>-</v>
      </c>
      <c r="DQ38" s="65" t="str">
        <f t="shared" si="93"/>
        <v>-</v>
      </c>
      <c r="DR38" s="65" t="str">
        <f t="shared" si="93"/>
        <v>-</v>
      </c>
      <c r="DS38" s="65" t="str">
        <f t="shared" si="93"/>
        <v>-</v>
      </c>
      <c r="DT38" s="65" t="str">
        <f t="shared" si="93"/>
        <v>-</v>
      </c>
      <c r="DU38" s="65" t="str">
        <f t="shared" si="93"/>
        <v>-</v>
      </c>
      <c r="DV38" s="65" t="str">
        <f t="shared" si="93"/>
        <v>-</v>
      </c>
      <c r="DW38" s="65" t="str">
        <f t="shared" si="93"/>
        <v>-</v>
      </c>
      <c r="DX38" s="65" t="str">
        <f t="shared" si="93"/>
        <v>-</v>
      </c>
      <c r="DY38" s="65" t="str">
        <f t="shared" si="93"/>
        <v>-</v>
      </c>
      <c r="DZ38" s="65" t="str">
        <f t="shared" si="93"/>
        <v>-</v>
      </c>
      <c r="EA38" s="65" t="str">
        <f t="shared" si="93"/>
        <v>-</v>
      </c>
      <c r="EB38" s="65" t="str">
        <f t="shared" si="93"/>
        <v>-</v>
      </c>
      <c r="EC38" s="65" t="str">
        <f t="shared" si="93"/>
        <v>-</v>
      </c>
      <c r="ED38" s="65" t="str">
        <f t="shared" si="93"/>
        <v>-</v>
      </c>
      <c r="EE38" s="65" t="str">
        <f t="shared" si="93"/>
        <v>-</v>
      </c>
      <c r="EF38" s="65" t="str">
        <f t="shared" si="93"/>
        <v>-</v>
      </c>
      <c r="EG38" s="65" t="str">
        <f t="shared" si="93"/>
        <v>-</v>
      </c>
      <c r="EH38" s="65" t="str">
        <f t="shared" si="93"/>
        <v>-</v>
      </c>
      <c r="EI38" s="65" t="str">
        <f t="shared" si="93"/>
        <v>-</v>
      </c>
      <c r="EJ38" s="65" t="str">
        <f t="shared" si="93"/>
        <v>-</v>
      </c>
      <c r="EK38" s="65" t="str">
        <f t="shared" si="93"/>
        <v>-</v>
      </c>
      <c r="EL38" s="65" t="str">
        <f t="shared" si="93"/>
        <v>-</v>
      </c>
      <c r="EM38" s="65" t="str">
        <f t="shared" si="93"/>
        <v>-</v>
      </c>
      <c r="EN38" s="65" t="str">
        <f t="shared" si="93"/>
        <v>-</v>
      </c>
      <c r="EO38" s="65" t="str">
        <f t="shared" si="93"/>
        <v>-</v>
      </c>
      <c r="EP38" s="65" t="str">
        <f t="shared" si="93"/>
        <v>-</v>
      </c>
      <c r="EQ38" s="65" t="str">
        <f t="shared" si="93"/>
        <v>-</v>
      </c>
      <c r="ER38" s="65" t="str">
        <f t="shared" si="93"/>
        <v>-</v>
      </c>
      <c r="ES38" s="65" t="str">
        <f t="shared" si="93"/>
        <v>-</v>
      </c>
      <c r="ET38" s="65" t="str">
        <f t="shared" si="93"/>
        <v>-</v>
      </c>
      <c r="EU38" s="65" t="str">
        <f t="shared" si="93"/>
        <v>-</v>
      </c>
      <c r="EV38" s="65" t="str">
        <f t="shared" si="93"/>
        <v>-</v>
      </c>
      <c r="EW38" s="65" t="str">
        <f t="shared" si="93"/>
        <v>-</v>
      </c>
      <c r="EX38" s="65" t="str">
        <f t="shared" si="93"/>
        <v>-</v>
      </c>
      <c r="EY38" s="65" t="str">
        <f t="shared" si="93"/>
        <v>-</v>
      </c>
      <c r="EZ38" s="65" t="str">
        <f t="shared" si="93"/>
        <v>-</v>
      </c>
      <c r="FA38" s="65" t="str">
        <f t="shared" si="93"/>
        <v>-</v>
      </c>
      <c r="FB38" s="65" t="str">
        <f t="shared" si="93"/>
        <v>-</v>
      </c>
      <c r="FC38" s="65" t="str">
        <f t="shared" si="93"/>
        <v>-</v>
      </c>
      <c r="FD38" s="65" t="str">
        <f t="shared" si="93"/>
        <v>-</v>
      </c>
      <c r="FE38" s="65" t="str">
        <f t="shared" si="93"/>
        <v>-</v>
      </c>
      <c r="FF38" s="65" t="str">
        <f t="shared" si="93"/>
        <v>-</v>
      </c>
      <c r="FG38" s="65" t="str">
        <f t="shared" si="93"/>
        <v>-</v>
      </c>
      <c r="FH38" s="65" t="str">
        <f t="shared" si="93"/>
        <v>-</v>
      </c>
      <c r="FI38" s="65" t="str">
        <f t="shared" si="93"/>
        <v>-</v>
      </c>
      <c r="FJ38" s="65" t="str">
        <f t="shared" si="93"/>
        <v>-</v>
      </c>
      <c r="FK38" s="65" t="str">
        <f t="shared" si="90"/>
        <v>-</v>
      </c>
      <c r="FL38" s="65" t="str">
        <f t="shared" si="90"/>
        <v>-</v>
      </c>
      <c r="FM38" s="65" t="str">
        <f t="shared" si="90"/>
        <v>-</v>
      </c>
      <c r="FN38" s="65" t="str">
        <f t="shared" si="90"/>
        <v>-</v>
      </c>
      <c r="FO38" s="65" t="str">
        <f t="shared" si="90"/>
        <v>-</v>
      </c>
      <c r="FP38" s="65" t="str">
        <f t="shared" si="90"/>
        <v>-</v>
      </c>
      <c r="FQ38" s="65" t="str">
        <f t="shared" si="91"/>
        <v>-</v>
      </c>
      <c r="FR38" s="65" t="str">
        <f t="shared" si="91"/>
        <v>-</v>
      </c>
    </row>
    <row r="39" spans="1:174">
      <c r="A39" s="466"/>
      <c r="B39" s="509"/>
      <c r="C39" s="509"/>
      <c r="D39" s="457"/>
      <c r="E39" s="185" t="s">
        <v>68</v>
      </c>
      <c r="F39" s="66">
        <v>250</v>
      </c>
      <c r="G39" s="182">
        <f>B34-3</f>
        <v>46254</v>
      </c>
      <c r="H39" s="182"/>
      <c r="I39" s="65">
        <v>30</v>
      </c>
      <c r="J39" s="454"/>
      <c r="K39" s="663"/>
      <c r="L39" s="663"/>
      <c r="M39" s="65" t="str">
        <f>IF(AND(M$2&gt;=$B$34-26,M$2&lt;=$B$34-3),5,IF(OR(M$2=$B$34-2,M$2=$B$34-1,M$2=$B$34,M$2=$B$34+1),30,IF(OR(M$2=$B$34+2,M$2=$B$34+3),5,"")))</f>
        <v/>
      </c>
      <c r="N39" s="65" t="str">
        <f t="shared" ref="N39:BY39" si="94">IF(AND(N$2&gt;=$B$34-26,N$2&lt;=$B$34-3),5,IF(OR(N$2=$B$34-2,N$2=$B$34-1,N$2=$B$34,N$2=$B$34+1),30,IF(OR(N$2=$B$34+2,N$2=$B$34+3),5,"")))</f>
        <v/>
      </c>
      <c r="O39" s="65" t="str">
        <f t="shared" si="94"/>
        <v/>
      </c>
      <c r="P39" s="65" t="str">
        <f t="shared" si="94"/>
        <v/>
      </c>
      <c r="Q39" s="65" t="str">
        <f t="shared" si="94"/>
        <v/>
      </c>
      <c r="R39" s="65" t="str">
        <f t="shared" si="94"/>
        <v/>
      </c>
      <c r="S39" s="65" t="str">
        <f t="shared" si="94"/>
        <v/>
      </c>
      <c r="T39" s="65" t="str">
        <f t="shared" si="94"/>
        <v/>
      </c>
      <c r="U39" s="65" t="str">
        <f t="shared" si="94"/>
        <v/>
      </c>
      <c r="V39" s="65" t="str">
        <f t="shared" si="94"/>
        <v/>
      </c>
      <c r="W39" s="65" t="str">
        <f t="shared" si="94"/>
        <v/>
      </c>
      <c r="X39" s="65" t="str">
        <f t="shared" si="94"/>
        <v/>
      </c>
      <c r="Y39" s="65" t="str">
        <f t="shared" si="94"/>
        <v/>
      </c>
      <c r="Z39" s="65" t="str">
        <f t="shared" si="94"/>
        <v/>
      </c>
      <c r="AA39" s="65" t="str">
        <f t="shared" si="94"/>
        <v/>
      </c>
      <c r="AB39" s="65" t="str">
        <f t="shared" si="94"/>
        <v/>
      </c>
      <c r="AC39" s="65" t="str">
        <f t="shared" si="94"/>
        <v/>
      </c>
      <c r="AD39" s="65" t="str">
        <f t="shared" si="94"/>
        <v/>
      </c>
      <c r="AE39" s="65" t="str">
        <f t="shared" si="94"/>
        <v/>
      </c>
      <c r="AF39" s="65" t="str">
        <f t="shared" si="94"/>
        <v/>
      </c>
      <c r="AG39" s="65" t="str">
        <f t="shared" si="94"/>
        <v/>
      </c>
      <c r="AH39" s="65" t="str">
        <f t="shared" si="94"/>
        <v/>
      </c>
      <c r="AI39" s="65" t="str">
        <f t="shared" si="94"/>
        <v/>
      </c>
      <c r="AJ39" s="65" t="str">
        <f t="shared" si="94"/>
        <v/>
      </c>
      <c r="AK39" s="65" t="str">
        <f t="shared" si="94"/>
        <v/>
      </c>
      <c r="AL39" s="65" t="str">
        <f t="shared" si="94"/>
        <v/>
      </c>
      <c r="AM39" s="65" t="str">
        <f t="shared" si="94"/>
        <v/>
      </c>
      <c r="AN39" s="65" t="str">
        <f t="shared" si="94"/>
        <v/>
      </c>
      <c r="AO39" s="65" t="str">
        <f t="shared" si="94"/>
        <v/>
      </c>
      <c r="AP39" s="65" t="str">
        <f t="shared" si="94"/>
        <v/>
      </c>
      <c r="AQ39" s="65" t="str">
        <f t="shared" si="94"/>
        <v/>
      </c>
      <c r="AR39" s="65" t="str">
        <f t="shared" si="94"/>
        <v/>
      </c>
      <c r="AS39" s="65" t="str">
        <f t="shared" si="94"/>
        <v/>
      </c>
      <c r="AT39" s="65" t="str">
        <f t="shared" si="94"/>
        <v/>
      </c>
      <c r="AU39" s="65" t="str">
        <f t="shared" si="94"/>
        <v/>
      </c>
      <c r="AV39" s="65" t="str">
        <f t="shared" si="94"/>
        <v/>
      </c>
      <c r="AW39" s="65">
        <f t="shared" si="94"/>
        <v>5</v>
      </c>
      <c r="AX39" s="65">
        <f t="shared" si="94"/>
        <v>5</v>
      </c>
      <c r="AY39" s="65">
        <f t="shared" si="94"/>
        <v>5</v>
      </c>
      <c r="AZ39" s="65">
        <f t="shared" si="94"/>
        <v>5</v>
      </c>
      <c r="BA39" s="65">
        <f t="shared" si="94"/>
        <v>5</v>
      </c>
      <c r="BB39" s="65">
        <f t="shared" si="94"/>
        <v>5</v>
      </c>
      <c r="BC39" s="65">
        <f t="shared" si="94"/>
        <v>5</v>
      </c>
      <c r="BD39" s="65">
        <f t="shared" si="94"/>
        <v>5</v>
      </c>
      <c r="BE39" s="65">
        <f t="shared" si="94"/>
        <v>5</v>
      </c>
      <c r="BF39" s="65">
        <f t="shared" si="94"/>
        <v>5</v>
      </c>
      <c r="BG39" s="65">
        <f t="shared" si="94"/>
        <v>5</v>
      </c>
      <c r="BH39" s="65">
        <f t="shared" si="94"/>
        <v>5</v>
      </c>
      <c r="BI39" s="65">
        <f t="shared" si="94"/>
        <v>5</v>
      </c>
      <c r="BJ39" s="65">
        <f t="shared" si="94"/>
        <v>5</v>
      </c>
      <c r="BK39" s="65">
        <f t="shared" si="94"/>
        <v>5</v>
      </c>
      <c r="BL39" s="65">
        <f t="shared" si="94"/>
        <v>5</v>
      </c>
      <c r="BM39" s="65">
        <f t="shared" si="94"/>
        <v>5</v>
      </c>
      <c r="BN39" s="65">
        <f t="shared" si="94"/>
        <v>5</v>
      </c>
      <c r="BO39" s="65">
        <f t="shared" si="94"/>
        <v>5</v>
      </c>
      <c r="BP39" s="65">
        <f t="shared" si="94"/>
        <v>5</v>
      </c>
      <c r="BQ39" s="65">
        <f t="shared" si="94"/>
        <v>5</v>
      </c>
      <c r="BR39" s="65">
        <f t="shared" si="94"/>
        <v>5</v>
      </c>
      <c r="BS39" s="65">
        <f t="shared" si="94"/>
        <v>5</v>
      </c>
      <c r="BT39" s="65">
        <f t="shared" si="94"/>
        <v>5</v>
      </c>
      <c r="BU39" s="65">
        <f t="shared" si="94"/>
        <v>30</v>
      </c>
      <c r="BV39" s="65">
        <f t="shared" si="94"/>
        <v>30</v>
      </c>
      <c r="BW39" s="65">
        <f t="shared" si="94"/>
        <v>30</v>
      </c>
      <c r="BX39" s="65">
        <f t="shared" si="94"/>
        <v>30</v>
      </c>
      <c r="BY39" s="65">
        <f t="shared" si="94"/>
        <v>5</v>
      </c>
      <c r="BZ39" s="65">
        <f t="shared" ref="BZ39:EK39" si="95">IF(AND(BZ$2&gt;=$B$34-26,BZ$2&lt;=$B$34-3),5,IF(OR(BZ$2=$B$34-2,BZ$2=$B$34-1,BZ$2=$B$34,BZ$2=$B$34+1),30,IF(OR(BZ$2=$B$34+2,BZ$2=$B$34+3),5,"")))</f>
        <v>5</v>
      </c>
      <c r="CA39" s="65" t="str">
        <f t="shared" si="95"/>
        <v/>
      </c>
      <c r="CB39" s="65" t="str">
        <f t="shared" si="95"/>
        <v/>
      </c>
      <c r="CC39" s="65" t="str">
        <f t="shared" si="95"/>
        <v/>
      </c>
      <c r="CD39" s="65" t="str">
        <f t="shared" si="95"/>
        <v/>
      </c>
      <c r="CE39" s="65" t="str">
        <f t="shared" si="95"/>
        <v/>
      </c>
      <c r="CF39" s="65" t="str">
        <f t="shared" si="95"/>
        <v/>
      </c>
      <c r="CG39" s="65" t="str">
        <f t="shared" si="95"/>
        <v/>
      </c>
      <c r="CH39" s="65" t="str">
        <f t="shared" si="95"/>
        <v/>
      </c>
      <c r="CI39" s="65" t="str">
        <f t="shared" si="95"/>
        <v/>
      </c>
      <c r="CJ39" s="65" t="str">
        <f t="shared" si="95"/>
        <v/>
      </c>
      <c r="CK39" s="65" t="str">
        <f t="shared" si="95"/>
        <v/>
      </c>
      <c r="CL39" s="65" t="str">
        <f t="shared" si="95"/>
        <v/>
      </c>
      <c r="CM39" s="65" t="str">
        <f t="shared" si="95"/>
        <v/>
      </c>
      <c r="CN39" s="65" t="str">
        <f t="shared" si="95"/>
        <v/>
      </c>
      <c r="CO39" s="65" t="str">
        <f t="shared" si="95"/>
        <v/>
      </c>
      <c r="CP39" s="65" t="str">
        <f t="shared" si="95"/>
        <v/>
      </c>
      <c r="CQ39" s="65" t="str">
        <f t="shared" si="95"/>
        <v/>
      </c>
      <c r="CR39" s="65" t="str">
        <f t="shared" si="95"/>
        <v/>
      </c>
      <c r="CS39" s="65" t="str">
        <f t="shared" si="95"/>
        <v/>
      </c>
      <c r="CT39" s="65" t="str">
        <f t="shared" si="95"/>
        <v/>
      </c>
      <c r="CU39" s="65" t="str">
        <f t="shared" si="95"/>
        <v/>
      </c>
      <c r="CV39" s="65" t="str">
        <f t="shared" si="95"/>
        <v/>
      </c>
      <c r="CW39" s="65" t="str">
        <f t="shared" si="95"/>
        <v/>
      </c>
      <c r="CX39" s="65" t="str">
        <f t="shared" si="95"/>
        <v/>
      </c>
      <c r="CY39" s="65" t="str">
        <f t="shared" si="95"/>
        <v/>
      </c>
      <c r="CZ39" s="65" t="str">
        <f t="shared" si="95"/>
        <v/>
      </c>
      <c r="DA39" s="65" t="str">
        <f t="shared" si="95"/>
        <v/>
      </c>
      <c r="DB39" s="65" t="str">
        <f t="shared" si="95"/>
        <v/>
      </c>
      <c r="DC39" s="65" t="str">
        <f t="shared" si="95"/>
        <v/>
      </c>
      <c r="DD39" s="65" t="str">
        <f t="shared" si="95"/>
        <v/>
      </c>
      <c r="DE39" s="65" t="str">
        <f t="shared" si="95"/>
        <v/>
      </c>
      <c r="DF39" s="65" t="str">
        <f t="shared" si="95"/>
        <v/>
      </c>
      <c r="DG39" s="65" t="str">
        <f t="shared" si="95"/>
        <v/>
      </c>
      <c r="DH39" s="65" t="str">
        <f t="shared" si="95"/>
        <v/>
      </c>
      <c r="DI39" s="65" t="str">
        <f t="shared" si="95"/>
        <v/>
      </c>
      <c r="DJ39" s="65" t="str">
        <f t="shared" si="95"/>
        <v/>
      </c>
      <c r="DK39" s="65" t="str">
        <f t="shared" si="95"/>
        <v/>
      </c>
      <c r="DL39" s="65" t="str">
        <f t="shared" si="95"/>
        <v/>
      </c>
      <c r="DM39" s="65" t="str">
        <f t="shared" si="95"/>
        <v/>
      </c>
      <c r="DN39" s="65" t="str">
        <f t="shared" si="95"/>
        <v/>
      </c>
      <c r="DO39" s="65" t="str">
        <f t="shared" si="95"/>
        <v/>
      </c>
      <c r="DP39" s="65" t="str">
        <f t="shared" si="95"/>
        <v/>
      </c>
      <c r="DQ39" s="65" t="str">
        <f t="shared" si="95"/>
        <v/>
      </c>
      <c r="DR39" s="65" t="str">
        <f t="shared" si="95"/>
        <v/>
      </c>
      <c r="DS39" s="65" t="str">
        <f t="shared" si="95"/>
        <v/>
      </c>
      <c r="DT39" s="65" t="str">
        <f t="shared" si="95"/>
        <v/>
      </c>
      <c r="DU39" s="65" t="str">
        <f t="shared" si="95"/>
        <v/>
      </c>
      <c r="DV39" s="65" t="str">
        <f t="shared" si="95"/>
        <v/>
      </c>
      <c r="DW39" s="65" t="str">
        <f t="shared" si="95"/>
        <v/>
      </c>
      <c r="DX39" s="65" t="str">
        <f t="shared" si="95"/>
        <v/>
      </c>
      <c r="DY39" s="65" t="str">
        <f t="shared" si="95"/>
        <v/>
      </c>
      <c r="DZ39" s="65" t="str">
        <f t="shared" si="95"/>
        <v/>
      </c>
      <c r="EA39" s="65" t="str">
        <f t="shared" si="95"/>
        <v/>
      </c>
      <c r="EB39" s="65" t="str">
        <f t="shared" si="95"/>
        <v/>
      </c>
      <c r="EC39" s="65" t="str">
        <f t="shared" si="95"/>
        <v/>
      </c>
      <c r="ED39" s="65" t="str">
        <f t="shared" si="95"/>
        <v/>
      </c>
      <c r="EE39" s="65" t="str">
        <f t="shared" si="95"/>
        <v/>
      </c>
      <c r="EF39" s="65" t="str">
        <f t="shared" si="95"/>
        <v/>
      </c>
      <c r="EG39" s="65" t="str">
        <f t="shared" si="95"/>
        <v/>
      </c>
      <c r="EH39" s="65" t="str">
        <f t="shared" si="95"/>
        <v/>
      </c>
      <c r="EI39" s="65" t="str">
        <f t="shared" si="95"/>
        <v/>
      </c>
      <c r="EJ39" s="65" t="str">
        <f t="shared" si="95"/>
        <v/>
      </c>
      <c r="EK39" s="65" t="str">
        <f t="shared" si="95"/>
        <v/>
      </c>
      <c r="EL39" s="65" t="str">
        <f t="shared" ref="EL39:FD39" si="96">IF(AND(EL$2&gt;=$B$34-26,EL$2&lt;=$B$34-3),5,IF(OR(EL$2=$B$34-2,EL$2=$B$34-1,EL$2=$B$34,EL$2=$B$34+1),30,IF(OR(EL$2=$B$34+2,EL$2=$B$34+3),5,"")))</f>
        <v/>
      </c>
      <c r="EM39" s="65" t="str">
        <f t="shared" si="96"/>
        <v/>
      </c>
      <c r="EN39" s="65" t="str">
        <f t="shared" si="96"/>
        <v/>
      </c>
      <c r="EO39" s="65" t="str">
        <f t="shared" si="96"/>
        <v/>
      </c>
      <c r="EP39" s="65" t="str">
        <f t="shared" si="96"/>
        <v/>
      </c>
      <c r="EQ39" s="65" t="str">
        <f t="shared" si="96"/>
        <v/>
      </c>
      <c r="ER39" s="65" t="str">
        <f t="shared" si="96"/>
        <v/>
      </c>
      <c r="ES39" s="65" t="str">
        <f t="shared" si="96"/>
        <v/>
      </c>
      <c r="ET39" s="65" t="str">
        <f t="shared" si="96"/>
        <v/>
      </c>
      <c r="EU39" s="65" t="str">
        <f t="shared" si="96"/>
        <v/>
      </c>
      <c r="EV39" s="65" t="str">
        <f t="shared" si="96"/>
        <v/>
      </c>
      <c r="EW39" s="65" t="str">
        <f t="shared" si="96"/>
        <v/>
      </c>
      <c r="EX39" s="65" t="str">
        <f t="shared" si="96"/>
        <v/>
      </c>
      <c r="EY39" s="65" t="str">
        <f t="shared" si="96"/>
        <v/>
      </c>
      <c r="EZ39" s="65" t="str">
        <f t="shared" si="96"/>
        <v/>
      </c>
      <c r="FA39" s="65" t="str">
        <f t="shared" si="96"/>
        <v/>
      </c>
      <c r="FB39" s="65" t="str">
        <f t="shared" si="96"/>
        <v/>
      </c>
      <c r="FC39" s="65" t="str">
        <f t="shared" si="96"/>
        <v/>
      </c>
      <c r="FD39" s="65" t="str">
        <f t="shared" si="96"/>
        <v/>
      </c>
      <c r="FE39" s="65"/>
      <c r="FF39" s="65"/>
      <c r="FG39" s="65"/>
      <c r="FH39" s="65"/>
      <c r="FI39" s="65"/>
      <c r="FJ39" s="65"/>
      <c r="FK39" s="65"/>
      <c r="FL39" s="65"/>
      <c r="FM39" s="65"/>
      <c r="FN39" s="65"/>
      <c r="FO39" s="65"/>
      <c r="FP39" s="65"/>
      <c r="FQ39" s="65"/>
      <c r="FR39" s="65"/>
    </row>
    <row r="40" spans="1:174" ht="13.5" hidden="1" customHeight="1">
      <c r="B40" s="198"/>
      <c r="E40" s="199"/>
      <c r="F40" s="169"/>
      <c r="G40" s="181" t="s">
        <v>69</v>
      </c>
      <c r="H40" s="181"/>
      <c r="I40" s="171"/>
      <c r="J40" s="203"/>
      <c r="K40" s="181"/>
      <c r="L40" s="181"/>
      <c r="M40" s="190">
        <f>SUM(M35:M39)</f>
        <v>0</v>
      </c>
      <c r="N40" s="190">
        <f>SUM(N35:N39)</f>
        <v>0</v>
      </c>
      <c r="O40" s="190">
        <f>SUM(O35:O39)</f>
        <v>0</v>
      </c>
      <c r="P40" s="190">
        <f t="shared" ref="P40:CA40" si="97">SUM(P35:P39)</f>
        <v>0</v>
      </c>
      <c r="Q40" s="190">
        <f t="shared" si="97"/>
        <v>0</v>
      </c>
      <c r="R40" s="190">
        <f t="shared" si="97"/>
        <v>0</v>
      </c>
      <c r="S40" s="190">
        <f t="shared" si="97"/>
        <v>0</v>
      </c>
      <c r="T40" s="190">
        <f t="shared" si="97"/>
        <v>0</v>
      </c>
      <c r="U40" s="190">
        <f t="shared" si="97"/>
        <v>0</v>
      </c>
      <c r="V40" s="190">
        <f t="shared" si="97"/>
        <v>0</v>
      </c>
      <c r="W40" s="190">
        <f t="shared" si="97"/>
        <v>0</v>
      </c>
      <c r="X40" s="190">
        <f t="shared" si="97"/>
        <v>0</v>
      </c>
      <c r="Y40" s="190">
        <f t="shared" si="97"/>
        <v>0</v>
      </c>
      <c r="Z40" s="190">
        <f t="shared" si="97"/>
        <v>0</v>
      </c>
      <c r="AA40" s="190">
        <f t="shared" si="97"/>
        <v>0</v>
      </c>
      <c r="AB40" s="190">
        <f t="shared" si="97"/>
        <v>0</v>
      </c>
      <c r="AC40" s="190">
        <f t="shared" si="97"/>
        <v>0</v>
      </c>
      <c r="AD40" s="190">
        <f t="shared" si="97"/>
        <v>0</v>
      </c>
      <c r="AE40" s="190">
        <f t="shared" si="97"/>
        <v>0</v>
      </c>
      <c r="AF40" s="190">
        <f t="shared" si="97"/>
        <v>0</v>
      </c>
      <c r="AG40" s="190">
        <f t="shared" si="97"/>
        <v>0</v>
      </c>
      <c r="AH40" s="190">
        <f t="shared" si="97"/>
        <v>0</v>
      </c>
      <c r="AI40" s="190">
        <f t="shared" si="97"/>
        <v>0</v>
      </c>
      <c r="AJ40" s="190">
        <f t="shared" si="97"/>
        <v>0</v>
      </c>
      <c r="AK40" s="190">
        <f t="shared" si="97"/>
        <v>0</v>
      </c>
      <c r="AL40" s="190">
        <f t="shared" si="97"/>
        <v>0</v>
      </c>
      <c r="AM40" s="190">
        <f t="shared" si="97"/>
        <v>0</v>
      </c>
      <c r="AN40" s="190">
        <f t="shared" si="97"/>
        <v>0</v>
      </c>
      <c r="AO40" s="190">
        <f t="shared" si="97"/>
        <v>0</v>
      </c>
      <c r="AP40" s="190">
        <f t="shared" si="97"/>
        <v>0</v>
      </c>
      <c r="AQ40" s="190">
        <f t="shared" si="97"/>
        <v>0</v>
      </c>
      <c r="AR40" s="190">
        <f t="shared" si="97"/>
        <v>0</v>
      </c>
      <c r="AS40" s="190">
        <f t="shared" si="97"/>
        <v>0</v>
      </c>
      <c r="AT40" s="190">
        <f t="shared" si="97"/>
        <v>0</v>
      </c>
      <c r="AU40" s="190">
        <f t="shared" si="97"/>
        <v>0</v>
      </c>
      <c r="AV40" s="190">
        <f t="shared" si="97"/>
        <v>0</v>
      </c>
      <c r="AW40" s="190">
        <f t="shared" si="97"/>
        <v>5</v>
      </c>
      <c r="AX40" s="190">
        <f t="shared" si="97"/>
        <v>5</v>
      </c>
      <c r="AY40" s="190">
        <f t="shared" si="97"/>
        <v>5</v>
      </c>
      <c r="AZ40" s="190">
        <f t="shared" si="97"/>
        <v>5</v>
      </c>
      <c r="BA40" s="190">
        <f t="shared" si="97"/>
        <v>5</v>
      </c>
      <c r="BB40" s="190">
        <f t="shared" si="97"/>
        <v>5</v>
      </c>
      <c r="BC40" s="190" t="e">
        <f t="shared" si="97"/>
        <v>#VALUE!</v>
      </c>
      <c r="BD40" s="190" t="e">
        <f t="shared" si="97"/>
        <v>#VALUE!</v>
      </c>
      <c r="BE40" s="190" t="e">
        <f t="shared" si="97"/>
        <v>#VALUE!</v>
      </c>
      <c r="BF40" s="190" t="e">
        <f t="shared" si="97"/>
        <v>#VALUE!</v>
      </c>
      <c r="BG40" s="190" t="e">
        <f t="shared" si="97"/>
        <v>#VALUE!</v>
      </c>
      <c r="BH40" s="190" t="e">
        <f t="shared" si="97"/>
        <v>#VALUE!</v>
      </c>
      <c r="BI40" s="190" t="e">
        <f t="shared" si="97"/>
        <v>#VALUE!</v>
      </c>
      <c r="BJ40" s="190" t="e">
        <f t="shared" si="97"/>
        <v>#VALUE!</v>
      </c>
      <c r="BK40" s="190" t="e">
        <f t="shared" si="97"/>
        <v>#VALUE!</v>
      </c>
      <c r="BL40" s="190" t="e">
        <f t="shared" si="97"/>
        <v>#VALUE!</v>
      </c>
      <c r="BM40" s="190" t="e">
        <f t="shared" si="97"/>
        <v>#VALUE!</v>
      </c>
      <c r="BN40" s="190" t="e">
        <f t="shared" si="97"/>
        <v>#VALUE!</v>
      </c>
      <c r="BO40" s="190" t="e">
        <f t="shared" si="97"/>
        <v>#VALUE!</v>
      </c>
      <c r="BP40" s="190" t="e">
        <f t="shared" si="97"/>
        <v>#VALUE!</v>
      </c>
      <c r="BQ40" s="190" t="e">
        <f t="shared" si="97"/>
        <v>#VALUE!</v>
      </c>
      <c r="BR40" s="190" t="e">
        <f t="shared" si="97"/>
        <v>#VALUE!</v>
      </c>
      <c r="BS40" s="190" t="e">
        <f t="shared" si="97"/>
        <v>#VALUE!</v>
      </c>
      <c r="BT40" s="190" t="e">
        <f t="shared" si="97"/>
        <v>#VALUE!</v>
      </c>
      <c r="BU40" s="190" t="e">
        <f t="shared" si="97"/>
        <v>#VALUE!</v>
      </c>
      <c r="BV40" s="190" t="e">
        <f t="shared" si="97"/>
        <v>#VALUE!</v>
      </c>
      <c r="BW40" s="190" t="e">
        <f t="shared" si="97"/>
        <v>#VALUE!</v>
      </c>
      <c r="BX40" s="190" t="e">
        <f t="shared" si="97"/>
        <v>#VALUE!</v>
      </c>
      <c r="BY40" s="190">
        <f t="shared" si="97"/>
        <v>5</v>
      </c>
      <c r="BZ40" s="190">
        <f t="shared" si="97"/>
        <v>5</v>
      </c>
      <c r="CA40" s="190">
        <f t="shared" si="97"/>
        <v>0</v>
      </c>
      <c r="CB40" s="190">
        <f t="shared" ref="CB40:CX40" si="98">SUM(CB35:CB39)</f>
        <v>0</v>
      </c>
      <c r="CC40" s="190">
        <f t="shared" si="98"/>
        <v>0</v>
      </c>
      <c r="CD40" s="190">
        <f t="shared" si="98"/>
        <v>0</v>
      </c>
      <c r="CE40" s="190" t="e">
        <f t="shared" si="98"/>
        <v>#VALUE!</v>
      </c>
      <c r="CF40" s="190" t="e">
        <f t="shared" si="98"/>
        <v>#VALUE!</v>
      </c>
      <c r="CG40" s="190" t="e">
        <f t="shared" si="98"/>
        <v>#VALUE!</v>
      </c>
      <c r="CH40" s="190" t="e">
        <f t="shared" si="98"/>
        <v>#VALUE!</v>
      </c>
      <c r="CI40" s="190" t="e">
        <f t="shared" si="98"/>
        <v>#VALUE!</v>
      </c>
      <c r="CJ40" s="190" t="e">
        <f t="shared" si="98"/>
        <v>#VALUE!</v>
      </c>
      <c r="CK40" s="190" t="e">
        <f t="shared" si="98"/>
        <v>#VALUE!</v>
      </c>
      <c r="CL40" s="190" t="e">
        <f t="shared" si="98"/>
        <v>#VALUE!</v>
      </c>
      <c r="CM40" s="190" t="e">
        <f t="shared" si="98"/>
        <v>#VALUE!</v>
      </c>
      <c r="CN40" s="190" t="e">
        <f t="shared" si="98"/>
        <v>#VALUE!</v>
      </c>
      <c r="CO40" s="190" t="e">
        <f t="shared" si="98"/>
        <v>#VALUE!</v>
      </c>
      <c r="CP40" s="190" t="e">
        <f t="shared" si="98"/>
        <v>#VALUE!</v>
      </c>
      <c r="CQ40" s="190" t="e">
        <f t="shared" si="98"/>
        <v>#VALUE!</v>
      </c>
      <c r="CR40" s="190" t="e">
        <f t="shared" si="98"/>
        <v>#VALUE!</v>
      </c>
      <c r="CS40" s="190" t="e">
        <f t="shared" si="98"/>
        <v>#VALUE!</v>
      </c>
      <c r="CT40" s="190" t="e">
        <f t="shared" si="98"/>
        <v>#VALUE!</v>
      </c>
      <c r="CU40" s="190" t="e">
        <f t="shared" si="98"/>
        <v>#VALUE!</v>
      </c>
      <c r="CV40" s="190" t="e">
        <f t="shared" si="98"/>
        <v>#VALUE!</v>
      </c>
      <c r="CW40" s="190" t="e">
        <f t="shared" si="98"/>
        <v>#VALUE!</v>
      </c>
      <c r="CX40" s="190" t="e">
        <f t="shared" si="98"/>
        <v>#VALUE!</v>
      </c>
    </row>
    <row r="41" spans="1:174">
      <c r="F41" s="53"/>
      <c r="I41" s="53"/>
    </row>
    <row r="43" spans="1:174" ht="27">
      <c r="H43" s="177" t="s">
        <v>82</v>
      </c>
      <c r="L43" s="177"/>
      <c r="M43" s="175">
        <f t="shared" ref="M43:BX43" ca="1" si="99">SUM(M8,M16,M24,M32,M40)</f>
        <v>0</v>
      </c>
      <c r="N43" s="175">
        <f t="shared" ca="1" si="99"/>
        <v>0</v>
      </c>
      <c r="O43" s="175">
        <f t="shared" ca="1" si="99"/>
        <v>0</v>
      </c>
      <c r="P43" s="175">
        <f t="shared" ca="1" si="99"/>
        <v>0</v>
      </c>
      <c r="Q43" s="175">
        <f t="shared" ca="1" si="99"/>
        <v>0</v>
      </c>
      <c r="R43" s="175">
        <f t="shared" ca="1" si="99"/>
        <v>0</v>
      </c>
      <c r="S43" s="175">
        <f t="shared" ca="1" si="99"/>
        <v>0</v>
      </c>
      <c r="T43" s="175">
        <f t="shared" ca="1" si="99"/>
        <v>0</v>
      </c>
      <c r="U43" s="175">
        <f t="shared" ca="1" si="99"/>
        <v>0</v>
      </c>
      <c r="V43" s="175">
        <f t="shared" ca="1" si="99"/>
        <v>0</v>
      </c>
      <c r="W43" s="175">
        <f t="shared" ca="1" si="99"/>
        <v>0</v>
      </c>
      <c r="X43" s="175">
        <f t="shared" ca="1" si="99"/>
        <v>0</v>
      </c>
      <c r="Y43" s="175">
        <f t="shared" ca="1" si="99"/>
        <v>0</v>
      </c>
      <c r="Z43" s="175">
        <f t="shared" ca="1" si="99"/>
        <v>0</v>
      </c>
      <c r="AA43" s="175">
        <f t="shared" ca="1" si="99"/>
        <v>0</v>
      </c>
      <c r="AB43" s="175">
        <f t="shared" ca="1" si="99"/>
        <v>0</v>
      </c>
      <c r="AC43" s="175">
        <f t="shared" ca="1" si="99"/>
        <v>0</v>
      </c>
      <c r="AD43" s="175">
        <f t="shared" ca="1" si="99"/>
        <v>0</v>
      </c>
      <c r="AE43" s="175">
        <f t="shared" ca="1" si="99"/>
        <v>5</v>
      </c>
      <c r="AF43" s="175">
        <f t="shared" ca="1" si="99"/>
        <v>5</v>
      </c>
      <c r="AG43" s="175">
        <f t="shared" ca="1" si="99"/>
        <v>5</v>
      </c>
      <c r="AH43" s="175">
        <f t="shared" ca="1" si="99"/>
        <v>5</v>
      </c>
      <c r="AI43" s="175">
        <f t="shared" ca="1" si="99"/>
        <v>5</v>
      </c>
      <c r="AJ43" s="175">
        <f t="shared" ca="1" si="99"/>
        <v>5</v>
      </c>
      <c r="AK43" s="175">
        <f t="shared" ca="1" si="99"/>
        <v>10</v>
      </c>
      <c r="AL43" s="175">
        <f t="shared" ca="1" si="99"/>
        <v>10</v>
      </c>
      <c r="AM43" s="175">
        <f t="shared" ca="1" si="99"/>
        <v>10</v>
      </c>
      <c r="AN43" s="175">
        <f t="shared" ca="1" si="99"/>
        <v>10</v>
      </c>
      <c r="AO43" s="175">
        <f t="shared" ca="1" si="99"/>
        <v>10</v>
      </c>
      <c r="AP43" s="175">
        <f t="shared" ca="1" si="99"/>
        <v>10</v>
      </c>
      <c r="AQ43" s="175">
        <f t="shared" ca="1" si="99"/>
        <v>10</v>
      </c>
      <c r="AR43" s="175">
        <f t="shared" ca="1" si="99"/>
        <v>10</v>
      </c>
      <c r="AS43" s="175">
        <f t="shared" ca="1" si="99"/>
        <v>10</v>
      </c>
      <c r="AT43" s="175">
        <f t="shared" ca="1" si="99"/>
        <v>10</v>
      </c>
      <c r="AU43" s="175">
        <f t="shared" ca="1" si="99"/>
        <v>10</v>
      </c>
      <c r="AV43" s="175">
        <f t="shared" ca="1" si="99"/>
        <v>10</v>
      </c>
      <c r="AW43" s="175">
        <f t="shared" ca="1" si="99"/>
        <v>15</v>
      </c>
      <c r="AX43" s="175">
        <f t="shared" ca="1" si="99"/>
        <v>15</v>
      </c>
      <c r="AY43" s="175" t="e">
        <f t="shared" ca="1" si="99"/>
        <v>#VALUE!</v>
      </c>
      <c r="AZ43" s="175" t="e">
        <f t="shared" ca="1" si="99"/>
        <v>#VALUE!</v>
      </c>
      <c r="BA43" s="175" t="e">
        <f t="shared" ca="1" si="99"/>
        <v>#VALUE!</v>
      </c>
      <c r="BB43" s="175" t="e">
        <f t="shared" ca="1" si="99"/>
        <v>#VALUE!</v>
      </c>
      <c r="BC43" s="175" t="e">
        <f t="shared" ca="1" si="99"/>
        <v>#VALUE!</v>
      </c>
      <c r="BD43" s="175" t="e">
        <f t="shared" ca="1" si="99"/>
        <v>#VALUE!</v>
      </c>
      <c r="BE43" s="175" t="e">
        <f t="shared" ca="1" si="99"/>
        <v>#VALUE!</v>
      </c>
      <c r="BF43" s="175" t="e">
        <f t="shared" ca="1" si="99"/>
        <v>#VALUE!</v>
      </c>
      <c r="BG43" s="175" t="e">
        <f t="shared" ca="1" si="99"/>
        <v>#VALUE!</v>
      </c>
      <c r="BH43" s="175" t="e">
        <f t="shared" ca="1" si="99"/>
        <v>#VALUE!</v>
      </c>
      <c r="BI43" s="175" t="e">
        <f t="shared" ca="1" si="99"/>
        <v>#VALUE!</v>
      </c>
      <c r="BJ43" s="175" t="e">
        <f t="shared" ca="1" si="99"/>
        <v>#VALUE!</v>
      </c>
      <c r="BK43" s="175" t="e">
        <f t="shared" ca="1" si="99"/>
        <v>#VALUE!</v>
      </c>
      <c r="BL43" s="175" t="e">
        <f t="shared" ca="1" si="99"/>
        <v>#VALUE!</v>
      </c>
      <c r="BM43" s="175" t="e">
        <f t="shared" ca="1" si="99"/>
        <v>#VALUE!</v>
      </c>
      <c r="BN43" s="175" t="e">
        <f t="shared" ca="1" si="99"/>
        <v>#VALUE!</v>
      </c>
      <c r="BO43" s="175" t="e">
        <f t="shared" ca="1" si="99"/>
        <v>#VALUE!</v>
      </c>
      <c r="BP43" s="175" t="e">
        <f t="shared" ca="1" si="99"/>
        <v>#VALUE!</v>
      </c>
      <c r="BQ43" s="175" t="e">
        <f t="shared" ca="1" si="99"/>
        <v>#VALUE!</v>
      </c>
      <c r="BR43" s="175" t="e">
        <f t="shared" ca="1" si="99"/>
        <v>#VALUE!</v>
      </c>
      <c r="BS43" s="175" t="e">
        <f t="shared" ca="1" si="99"/>
        <v>#VALUE!</v>
      </c>
      <c r="BT43" s="175" t="e">
        <f t="shared" ca="1" si="99"/>
        <v>#VALUE!</v>
      </c>
      <c r="BU43" s="175" t="e">
        <f t="shared" ca="1" si="99"/>
        <v>#VALUE!</v>
      </c>
      <c r="BV43" s="175" t="e">
        <f t="shared" ca="1" si="99"/>
        <v>#VALUE!</v>
      </c>
      <c r="BW43" s="175" t="e">
        <f t="shared" ca="1" si="99"/>
        <v>#VALUE!</v>
      </c>
      <c r="BX43" s="175" t="e">
        <f t="shared" ca="1" si="99"/>
        <v>#VALUE!</v>
      </c>
      <c r="BY43" s="175" t="e">
        <f t="shared" ref="BY43:CX43" ca="1" si="100">SUM(BY8,BY16,BY24,BY32,BY40)</f>
        <v>#VALUE!</v>
      </c>
      <c r="BZ43" s="175" t="e">
        <f t="shared" ca="1" si="100"/>
        <v>#VALUE!</v>
      </c>
      <c r="CA43" s="175" t="e">
        <f t="shared" ca="1" si="100"/>
        <v>#VALUE!</v>
      </c>
      <c r="CB43" s="175" t="e">
        <f t="shared" ca="1" si="100"/>
        <v>#VALUE!</v>
      </c>
      <c r="CC43" s="175" t="e">
        <f t="shared" ca="1" si="100"/>
        <v>#VALUE!</v>
      </c>
      <c r="CD43" s="175" t="e">
        <f t="shared" ca="1" si="100"/>
        <v>#VALUE!</v>
      </c>
      <c r="CE43" s="175" t="e">
        <f t="shared" ca="1" si="100"/>
        <v>#VALUE!</v>
      </c>
      <c r="CF43" s="175" t="e">
        <f t="shared" ca="1" si="100"/>
        <v>#VALUE!</v>
      </c>
      <c r="CG43" s="175" t="e">
        <f t="shared" ca="1" si="100"/>
        <v>#VALUE!</v>
      </c>
      <c r="CH43" s="175" t="e">
        <f t="shared" ca="1" si="100"/>
        <v>#VALUE!</v>
      </c>
      <c r="CI43" s="175" t="e">
        <f t="shared" ca="1" si="100"/>
        <v>#VALUE!</v>
      </c>
      <c r="CJ43" s="175" t="e">
        <f t="shared" ca="1" si="100"/>
        <v>#VALUE!</v>
      </c>
      <c r="CK43" s="175" t="e">
        <f t="shared" ca="1" si="100"/>
        <v>#VALUE!</v>
      </c>
      <c r="CL43" s="175" t="e">
        <f t="shared" ca="1" si="100"/>
        <v>#VALUE!</v>
      </c>
      <c r="CM43" s="175" t="e">
        <f t="shared" ca="1" si="100"/>
        <v>#VALUE!</v>
      </c>
      <c r="CN43" s="175" t="e">
        <f t="shared" ca="1" si="100"/>
        <v>#VALUE!</v>
      </c>
      <c r="CO43" s="175" t="e">
        <f t="shared" ca="1" si="100"/>
        <v>#VALUE!</v>
      </c>
      <c r="CP43" s="175" t="e">
        <f t="shared" ca="1" si="100"/>
        <v>#VALUE!</v>
      </c>
      <c r="CQ43" s="175" t="e">
        <f t="shared" ca="1" si="100"/>
        <v>#VALUE!</v>
      </c>
      <c r="CR43" s="175" t="e">
        <f t="shared" ca="1" si="100"/>
        <v>#VALUE!</v>
      </c>
      <c r="CS43" s="175" t="e">
        <f t="shared" ca="1" si="100"/>
        <v>#VALUE!</v>
      </c>
      <c r="CT43" s="175" t="e">
        <f t="shared" ca="1" si="100"/>
        <v>#VALUE!</v>
      </c>
      <c r="CU43" s="175" t="e">
        <f t="shared" ca="1" si="100"/>
        <v>#VALUE!</v>
      </c>
      <c r="CV43" s="175" t="e">
        <f t="shared" ca="1" si="100"/>
        <v>#VALUE!</v>
      </c>
      <c r="CW43" s="175" t="e">
        <f t="shared" ca="1" si="100"/>
        <v>#VALUE!</v>
      </c>
      <c r="CX43" s="175" t="e">
        <f t="shared" ca="1" si="100"/>
        <v>#VALUE!</v>
      </c>
    </row>
    <row r="45" spans="1:174">
      <c r="H45" s="176" t="s">
        <v>83</v>
      </c>
      <c r="L45" s="176"/>
      <c r="M45" s="175" t="e">
        <f ca="1">AVERAGE(M43:CN43)</f>
        <v>#VALUE!</v>
      </c>
      <c r="N45" s="175" t="e">
        <f ca="1">M45*1.2</f>
        <v>#VALUE!</v>
      </c>
    </row>
    <row r="46" spans="1:174">
      <c r="H46" s="176" t="s">
        <v>84</v>
      </c>
      <c r="L46" s="176"/>
      <c r="M46" s="175" t="e">
        <f ca="1">MAX(M43:CN43)</f>
        <v>#VALUE!</v>
      </c>
      <c r="N46" s="175" t="e">
        <f ca="1">M46*1.2</f>
        <v>#VALUE!</v>
      </c>
    </row>
  </sheetData>
  <mergeCells count="37">
    <mergeCell ref="A1:I1"/>
    <mergeCell ref="K1:L1"/>
    <mergeCell ref="A3:A7"/>
    <mergeCell ref="B3:B7"/>
    <mergeCell ref="C3:C7"/>
    <mergeCell ref="D3:D7"/>
    <mergeCell ref="K3:K7"/>
    <mergeCell ref="L3:L7"/>
    <mergeCell ref="J3:J7"/>
    <mergeCell ref="L19:L23"/>
    <mergeCell ref="A10:A15"/>
    <mergeCell ref="B10:B15"/>
    <mergeCell ref="C10:C15"/>
    <mergeCell ref="K11:K15"/>
    <mergeCell ref="L11:L15"/>
    <mergeCell ref="A18:A23"/>
    <mergeCell ref="B18:B23"/>
    <mergeCell ref="C18:C23"/>
    <mergeCell ref="K19:K23"/>
    <mergeCell ref="J11:J15"/>
    <mergeCell ref="J19:J23"/>
    <mergeCell ref="D10:D15"/>
    <mergeCell ref="D18:D23"/>
    <mergeCell ref="L35:L39"/>
    <mergeCell ref="A26:A31"/>
    <mergeCell ref="B26:B31"/>
    <mergeCell ref="C26:C31"/>
    <mergeCell ref="K27:K31"/>
    <mergeCell ref="L27:L31"/>
    <mergeCell ref="A34:A39"/>
    <mergeCell ref="B34:B39"/>
    <mergeCell ref="C34:C39"/>
    <mergeCell ref="K35:K39"/>
    <mergeCell ref="J27:J31"/>
    <mergeCell ref="J35:J39"/>
    <mergeCell ref="D26:D31"/>
    <mergeCell ref="D34:D39"/>
  </mergeCells>
  <pageMargins left="0.7" right="0.7" top="0.75" bottom="0.75" header="0.3" footer="0.3"/>
  <pageSetup paperSize="8" scale="8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C558-7789-4334-9ACF-744B13645696}">
  <sheetPr>
    <pageSetUpPr fitToPage="1"/>
  </sheetPr>
  <dimension ref="A1:FU46"/>
  <sheetViews>
    <sheetView zoomScaleNormal="100"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F6" sqref="F6"/>
    </sheetView>
  </sheetViews>
  <sheetFormatPr defaultColWidth="8.88671875" defaultRowHeight="13.5"/>
  <cols>
    <col min="1" max="1" width="8.88671875" style="187"/>
    <col min="2" max="2" width="15.88671875" style="187" bestFit="1" customWidth="1"/>
    <col min="3" max="3" width="15.109375" style="187" bestFit="1" customWidth="1"/>
    <col min="4" max="4" width="8.5546875" style="187" customWidth="1"/>
    <col min="5" max="5" width="14.33203125" style="187" customWidth="1"/>
    <col min="6" max="6" width="8.88671875" style="187"/>
    <col min="7" max="7" width="10.109375" style="187" bestFit="1" customWidth="1"/>
    <col min="8" max="8" width="10.109375" style="187" customWidth="1"/>
    <col min="9" max="9" width="8.88671875" style="187"/>
    <col min="10" max="13" width="10.109375" style="187" customWidth="1"/>
    <col min="14" max="15" width="8.88671875" style="187" bestFit="1" customWidth="1"/>
    <col min="16" max="30" width="8.88671875" style="187"/>
    <col min="31" max="53" width="8.5546875" style="187" bestFit="1" customWidth="1"/>
    <col min="54" max="100" width="9.33203125" style="187" bestFit="1" customWidth="1"/>
    <col min="101" max="176" width="8.88671875" style="187"/>
    <col min="177" max="177" width="10.109375" style="187" customWidth="1"/>
    <col min="178" max="16384" width="8.88671875" style="187"/>
  </cols>
  <sheetData>
    <row r="1" spans="1:177" ht="22.5" customHeight="1">
      <c r="A1" s="664" t="s">
        <v>88</v>
      </c>
      <c r="B1" s="664"/>
      <c r="C1" s="664"/>
      <c r="D1" s="664"/>
      <c r="E1" s="664"/>
      <c r="F1" s="664"/>
      <c r="G1" s="664"/>
      <c r="H1" s="664"/>
      <c r="I1" s="664"/>
      <c r="J1" s="511">
        <v>46196</v>
      </c>
      <c r="K1" s="510"/>
    </row>
    <row r="2" spans="1:177" s="53" customFormat="1" ht="40.5" customHeight="1">
      <c r="A2" s="179"/>
      <c r="B2" s="128" t="s">
        <v>57</v>
      </c>
      <c r="C2" s="129" t="str">
        <f>'BESS 11'!$G$2</f>
        <v>Trial-Run End Date</v>
      </c>
      <c r="D2" s="129" t="str">
        <f>'BESS 11'!$H$2</f>
        <v>COD</v>
      </c>
      <c r="E2" s="129" t="s">
        <v>10</v>
      </c>
      <c r="F2" s="129" t="s">
        <v>58</v>
      </c>
      <c r="G2" s="129" t="s">
        <v>86</v>
      </c>
      <c r="H2" s="129" t="s">
        <v>79</v>
      </c>
      <c r="I2" s="129" t="s">
        <v>59</v>
      </c>
      <c r="J2" s="128" t="s">
        <v>80</v>
      </c>
      <c r="K2" s="128" t="s">
        <v>62</v>
      </c>
      <c r="L2" s="130">
        <v>46195</v>
      </c>
      <c r="M2" s="130">
        <v>46196</v>
      </c>
      <c r="N2" s="130">
        <v>46197</v>
      </c>
      <c r="O2" s="130">
        <v>46198</v>
      </c>
      <c r="P2" s="130">
        <v>46199</v>
      </c>
      <c r="Q2" s="130">
        <v>46200</v>
      </c>
      <c r="R2" s="130">
        <v>46201</v>
      </c>
      <c r="S2" s="130">
        <v>46202</v>
      </c>
      <c r="T2" s="130">
        <v>46203</v>
      </c>
      <c r="U2" s="130">
        <v>46204</v>
      </c>
      <c r="V2" s="130">
        <v>46205</v>
      </c>
      <c r="W2" s="130">
        <v>46206</v>
      </c>
      <c r="X2" s="130">
        <v>46207</v>
      </c>
      <c r="Y2" s="130">
        <v>46208</v>
      </c>
      <c r="Z2" s="130">
        <v>46209</v>
      </c>
      <c r="AA2" s="130">
        <v>46210</v>
      </c>
      <c r="AB2" s="130">
        <v>46211</v>
      </c>
      <c r="AC2" s="130">
        <v>46212</v>
      </c>
      <c r="AD2" s="130">
        <v>46213</v>
      </c>
      <c r="AE2" s="130">
        <v>46214</v>
      </c>
      <c r="AF2" s="130">
        <v>46215</v>
      </c>
      <c r="AG2" s="130">
        <v>46216</v>
      </c>
      <c r="AH2" s="130">
        <v>46217</v>
      </c>
      <c r="AI2" s="130">
        <v>46218</v>
      </c>
      <c r="AJ2" s="130">
        <v>46219</v>
      </c>
      <c r="AK2" s="130">
        <v>46220</v>
      </c>
      <c r="AL2" s="130">
        <v>46221</v>
      </c>
      <c r="AM2" s="130">
        <v>46222</v>
      </c>
      <c r="AN2" s="130">
        <v>46223</v>
      </c>
      <c r="AO2" s="130">
        <v>46224</v>
      </c>
      <c r="AP2" s="130">
        <v>46225</v>
      </c>
      <c r="AQ2" s="130">
        <v>46226</v>
      </c>
      <c r="AR2" s="130">
        <v>46227</v>
      </c>
      <c r="AS2" s="130">
        <v>46228</v>
      </c>
      <c r="AT2" s="130">
        <v>46229</v>
      </c>
      <c r="AU2" s="130">
        <v>46230</v>
      </c>
      <c r="AV2" s="130">
        <v>46231</v>
      </c>
      <c r="AW2" s="130">
        <v>46232</v>
      </c>
      <c r="AX2" s="130">
        <v>46233</v>
      </c>
      <c r="AY2" s="130">
        <v>46234</v>
      </c>
      <c r="AZ2" s="130">
        <v>46235</v>
      </c>
      <c r="BA2" s="130">
        <v>46236</v>
      </c>
      <c r="BB2" s="130">
        <v>46237</v>
      </c>
      <c r="BC2" s="130">
        <v>46238</v>
      </c>
      <c r="BD2" s="130">
        <v>46239</v>
      </c>
      <c r="BE2" s="130">
        <v>46240</v>
      </c>
      <c r="BF2" s="130">
        <v>46241</v>
      </c>
      <c r="BG2" s="130">
        <v>46242</v>
      </c>
      <c r="BH2" s="130">
        <v>46243</v>
      </c>
      <c r="BI2" s="130">
        <v>46244</v>
      </c>
      <c r="BJ2" s="130">
        <v>46245</v>
      </c>
      <c r="BK2" s="130">
        <v>46246</v>
      </c>
      <c r="BL2" s="130">
        <v>46247</v>
      </c>
      <c r="BM2" s="130">
        <v>46248</v>
      </c>
      <c r="BN2" s="130">
        <v>46249</v>
      </c>
      <c r="BO2" s="130">
        <v>46250</v>
      </c>
      <c r="BP2" s="130">
        <v>46251</v>
      </c>
      <c r="BQ2" s="130">
        <v>46252</v>
      </c>
      <c r="BR2" s="130">
        <v>46253</v>
      </c>
      <c r="BS2" s="130">
        <v>46254</v>
      </c>
      <c r="BT2" s="130">
        <v>46255</v>
      </c>
      <c r="BU2" s="130">
        <v>46256</v>
      </c>
      <c r="BV2" s="130">
        <v>46257</v>
      </c>
      <c r="BW2" s="130">
        <v>46258</v>
      </c>
      <c r="BX2" s="130">
        <v>46259</v>
      </c>
      <c r="BY2" s="130">
        <v>46260</v>
      </c>
      <c r="BZ2" s="130">
        <v>46261</v>
      </c>
      <c r="CA2" s="130">
        <v>46262</v>
      </c>
      <c r="CB2" s="130">
        <v>46263</v>
      </c>
      <c r="CC2" s="130">
        <v>46264</v>
      </c>
      <c r="CD2" s="130">
        <v>46265</v>
      </c>
      <c r="CE2" s="130">
        <v>46266</v>
      </c>
      <c r="CF2" s="130">
        <v>46267</v>
      </c>
      <c r="CG2" s="130">
        <v>46268</v>
      </c>
      <c r="CH2" s="130">
        <v>46269</v>
      </c>
      <c r="CI2" s="130">
        <v>46270</v>
      </c>
      <c r="CJ2" s="130">
        <v>46271</v>
      </c>
      <c r="CK2" s="130">
        <v>46272</v>
      </c>
      <c r="CL2" s="130">
        <v>46273</v>
      </c>
      <c r="CM2" s="130">
        <v>46274</v>
      </c>
      <c r="CN2" s="130">
        <v>46275</v>
      </c>
      <c r="CO2" s="130">
        <v>46276</v>
      </c>
      <c r="CP2" s="130">
        <v>46277</v>
      </c>
      <c r="CQ2" s="130">
        <v>46278</v>
      </c>
      <c r="CR2" s="130">
        <v>46279</v>
      </c>
      <c r="CS2" s="130">
        <v>46280</v>
      </c>
      <c r="CT2" s="130">
        <v>46281</v>
      </c>
      <c r="CU2" s="130">
        <v>46282</v>
      </c>
      <c r="CV2" s="130">
        <v>46283</v>
      </c>
      <c r="CW2" s="130">
        <v>46284</v>
      </c>
      <c r="CX2" s="131">
        <v>46312</v>
      </c>
      <c r="CY2" s="131">
        <v>46313</v>
      </c>
      <c r="CZ2" s="131">
        <v>46314</v>
      </c>
      <c r="DA2" s="131">
        <v>46315</v>
      </c>
      <c r="DB2" s="131">
        <v>46316</v>
      </c>
      <c r="DC2" s="131">
        <v>46317</v>
      </c>
      <c r="DD2" s="131">
        <v>46318</v>
      </c>
      <c r="DE2" s="131">
        <v>46319</v>
      </c>
      <c r="DF2" s="131">
        <v>46320</v>
      </c>
      <c r="DG2" s="131">
        <v>46321</v>
      </c>
      <c r="DH2" s="131">
        <v>46322</v>
      </c>
      <c r="DI2" s="131">
        <v>46323</v>
      </c>
      <c r="DJ2" s="131">
        <v>46324</v>
      </c>
      <c r="DK2" s="131">
        <v>46325</v>
      </c>
      <c r="DL2" s="131">
        <v>46326</v>
      </c>
      <c r="DM2" s="131">
        <v>46327</v>
      </c>
      <c r="DN2" s="131">
        <v>46328</v>
      </c>
      <c r="DO2" s="131">
        <v>46329</v>
      </c>
      <c r="DP2" s="131">
        <v>46330</v>
      </c>
      <c r="DQ2" s="131">
        <v>46331</v>
      </c>
      <c r="DR2" s="131">
        <v>46332</v>
      </c>
      <c r="DS2" s="131">
        <v>46333</v>
      </c>
      <c r="DT2" s="131">
        <v>46334</v>
      </c>
      <c r="DU2" s="131">
        <v>46335</v>
      </c>
      <c r="DV2" s="131">
        <v>46336</v>
      </c>
      <c r="DW2" s="131">
        <v>46337</v>
      </c>
      <c r="DX2" s="131">
        <v>46338</v>
      </c>
      <c r="DY2" s="131">
        <v>46339</v>
      </c>
      <c r="DZ2" s="131">
        <v>46340</v>
      </c>
      <c r="EA2" s="131">
        <v>46341</v>
      </c>
      <c r="EB2" s="131">
        <v>46342</v>
      </c>
      <c r="EC2" s="131">
        <v>46343</v>
      </c>
      <c r="ED2" s="131">
        <v>46344</v>
      </c>
      <c r="EE2" s="131">
        <v>46345</v>
      </c>
      <c r="EF2" s="131">
        <v>46346</v>
      </c>
      <c r="EG2" s="131">
        <v>46347</v>
      </c>
      <c r="EH2" s="131">
        <v>46348</v>
      </c>
      <c r="EI2" s="131">
        <v>46349</v>
      </c>
      <c r="EJ2" s="131">
        <v>46350</v>
      </c>
      <c r="EK2" s="131">
        <v>46351</v>
      </c>
      <c r="EL2" s="131">
        <v>46352</v>
      </c>
      <c r="EM2" s="131">
        <v>46353</v>
      </c>
      <c r="EN2" s="131">
        <v>46354</v>
      </c>
      <c r="EO2" s="131">
        <v>46355</v>
      </c>
      <c r="EP2" s="131">
        <v>46356</v>
      </c>
      <c r="EQ2" s="131">
        <v>46357</v>
      </c>
      <c r="ER2" s="131">
        <v>46358</v>
      </c>
      <c r="ES2" s="131">
        <v>46359</v>
      </c>
      <c r="ET2" s="131">
        <v>46360</v>
      </c>
      <c r="EU2" s="131">
        <v>46361</v>
      </c>
      <c r="EV2" s="131">
        <v>46362</v>
      </c>
      <c r="EW2" s="131">
        <v>46363</v>
      </c>
      <c r="EX2" s="131">
        <v>46364</v>
      </c>
      <c r="EY2" s="131">
        <v>46365</v>
      </c>
      <c r="EZ2" s="131">
        <v>46366</v>
      </c>
      <c r="FA2" s="131">
        <v>46367</v>
      </c>
      <c r="FB2" s="131">
        <v>46368</v>
      </c>
      <c r="FC2" s="131">
        <v>46369</v>
      </c>
      <c r="FD2" s="131">
        <v>46370</v>
      </c>
      <c r="FE2" s="131">
        <v>46371</v>
      </c>
      <c r="FF2" s="131">
        <v>46372</v>
      </c>
      <c r="FG2" s="131">
        <v>46373</v>
      </c>
      <c r="FH2" s="131">
        <v>46374</v>
      </c>
      <c r="FI2" s="131">
        <v>46375</v>
      </c>
      <c r="FJ2" s="131">
        <v>46376</v>
      </c>
      <c r="FK2" s="131">
        <v>46377</v>
      </c>
      <c r="FL2" s="131">
        <v>46378</v>
      </c>
      <c r="FM2" s="131">
        <v>46379</v>
      </c>
      <c r="FN2" s="131">
        <v>46380</v>
      </c>
      <c r="FO2" s="131">
        <v>46381</v>
      </c>
      <c r="FP2" s="131">
        <v>46382</v>
      </c>
      <c r="FQ2" s="131">
        <v>46383</v>
      </c>
      <c r="FR2" s="131">
        <v>46384</v>
      </c>
      <c r="FS2" s="131">
        <v>46385</v>
      </c>
      <c r="FT2" s="131">
        <v>46386</v>
      </c>
      <c r="FU2" s="131">
        <v>46387</v>
      </c>
    </row>
    <row r="3" spans="1:177">
      <c r="A3" s="466" t="s">
        <v>63</v>
      </c>
      <c r="B3" s="465">
        <f>'BESS 10B'!F5</f>
        <v>46239</v>
      </c>
      <c r="C3" s="465">
        <f>'BESS 10B'!G5</f>
        <v>46244</v>
      </c>
      <c r="D3" s="467">
        <f>'BESS 10B'!H5</f>
        <v>46247</v>
      </c>
      <c r="E3" s="185" t="s">
        <v>64</v>
      </c>
      <c r="F3" s="66" t="e">
        <f>SUM('BESS 10B'!S18:S25,'BESS 10B'!S27)</f>
        <v>#VALUE!</v>
      </c>
      <c r="G3" s="182">
        <f>H3-10</f>
        <v>46205</v>
      </c>
      <c r="H3" s="182">
        <v>46215</v>
      </c>
      <c r="I3" s="66">
        <f>H3-G3</f>
        <v>10</v>
      </c>
      <c r="J3" s="661">
        <f ca="1">AVERAGEIF(L8:CW8,"&gt;0")</f>
        <v>16.111111111111111</v>
      </c>
      <c r="K3" s="661" t="e">
        <f ca="1">MAX(L8:CW8)</f>
        <v>#VALUE!</v>
      </c>
      <c r="L3" s="65" t="str">
        <f t="shared" ref="L3:U6" si="0">IF(AND(L$2&gt;=$G3,L$2&lt;($G3+$I3)),ROUND($F3/$I3,0),"-")</f>
        <v>-</v>
      </c>
      <c r="M3" s="65" t="str">
        <f t="shared" si="0"/>
        <v>-</v>
      </c>
      <c r="N3" s="65" t="str">
        <f t="shared" si="0"/>
        <v>-</v>
      </c>
      <c r="O3" s="65" t="str">
        <f t="shared" si="0"/>
        <v>-</v>
      </c>
      <c r="P3" s="65" t="str">
        <f t="shared" si="0"/>
        <v>-</v>
      </c>
      <c r="Q3" s="65" t="str">
        <f t="shared" si="0"/>
        <v>-</v>
      </c>
      <c r="R3" s="65" t="str">
        <f t="shared" si="0"/>
        <v>-</v>
      </c>
      <c r="S3" s="65" t="str">
        <f t="shared" si="0"/>
        <v>-</v>
      </c>
      <c r="T3" s="65" t="str">
        <f t="shared" si="0"/>
        <v>-</v>
      </c>
      <c r="U3" s="65" t="str">
        <f t="shared" si="0"/>
        <v>-</v>
      </c>
      <c r="V3" s="65" t="e">
        <f t="shared" ref="V3:AE6" si="1">IF(AND(V$2&gt;=$G3,V$2&lt;($G3+$I3)),ROUND($F3/$I3,0),"-")</f>
        <v>#VALUE!</v>
      </c>
      <c r="W3" s="65" t="e">
        <f t="shared" si="1"/>
        <v>#VALUE!</v>
      </c>
      <c r="X3" s="65" t="e">
        <f t="shared" si="1"/>
        <v>#VALUE!</v>
      </c>
      <c r="Y3" s="65" t="e">
        <f t="shared" si="1"/>
        <v>#VALUE!</v>
      </c>
      <c r="Z3" s="65" t="e">
        <f t="shared" si="1"/>
        <v>#VALUE!</v>
      </c>
      <c r="AA3" s="65" t="e">
        <f t="shared" si="1"/>
        <v>#VALUE!</v>
      </c>
      <c r="AB3" s="65" t="e">
        <f t="shared" si="1"/>
        <v>#VALUE!</v>
      </c>
      <c r="AC3" s="65" t="e">
        <f t="shared" si="1"/>
        <v>#VALUE!</v>
      </c>
      <c r="AD3" s="65" t="e">
        <f t="shared" si="1"/>
        <v>#VALUE!</v>
      </c>
      <c r="AE3" s="65" t="e">
        <f t="shared" si="1"/>
        <v>#VALUE!</v>
      </c>
      <c r="AF3" s="65" t="str">
        <f t="shared" ref="AF3:AO6" si="2">IF(AND(AF$2&gt;=$G3,AF$2&lt;($G3+$I3)),ROUND($F3/$I3,0),"-")</f>
        <v>-</v>
      </c>
      <c r="AG3" s="65" t="str">
        <f t="shared" si="2"/>
        <v>-</v>
      </c>
      <c r="AH3" s="65" t="str">
        <f t="shared" si="2"/>
        <v>-</v>
      </c>
      <c r="AI3" s="65" t="str">
        <f t="shared" si="2"/>
        <v>-</v>
      </c>
      <c r="AJ3" s="65" t="str">
        <f t="shared" si="2"/>
        <v>-</v>
      </c>
      <c r="AK3" s="65" t="str">
        <f t="shared" si="2"/>
        <v>-</v>
      </c>
      <c r="AL3" s="65" t="str">
        <f t="shared" si="2"/>
        <v>-</v>
      </c>
      <c r="AM3" s="65" t="str">
        <f t="shared" si="2"/>
        <v>-</v>
      </c>
      <c r="AN3" s="65" t="str">
        <f t="shared" si="2"/>
        <v>-</v>
      </c>
      <c r="AO3" s="65" t="str">
        <f t="shared" si="2"/>
        <v>-</v>
      </c>
      <c r="AP3" s="65" t="str">
        <f t="shared" ref="AP3:AY6" si="3">IF(AND(AP$2&gt;=$G3,AP$2&lt;($G3+$I3)),ROUND($F3/$I3,0),"-")</f>
        <v>-</v>
      </c>
      <c r="AQ3" s="65" t="str">
        <f t="shared" si="3"/>
        <v>-</v>
      </c>
      <c r="AR3" s="65" t="str">
        <f t="shared" si="3"/>
        <v>-</v>
      </c>
      <c r="AS3" s="65" t="str">
        <f t="shared" si="3"/>
        <v>-</v>
      </c>
      <c r="AT3" s="65" t="str">
        <f t="shared" si="3"/>
        <v>-</v>
      </c>
      <c r="AU3" s="65" t="str">
        <f t="shared" si="3"/>
        <v>-</v>
      </c>
      <c r="AV3" s="65" t="str">
        <f t="shared" si="3"/>
        <v>-</v>
      </c>
      <c r="AW3" s="65" t="str">
        <f t="shared" si="3"/>
        <v>-</v>
      </c>
      <c r="AX3" s="65" t="str">
        <f t="shared" si="3"/>
        <v>-</v>
      </c>
      <c r="AY3" s="65" t="str">
        <f t="shared" si="3"/>
        <v>-</v>
      </c>
      <c r="AZ3" s="65" t="str">
        <f t="shared" ref="AZ3:BI6" si="4">IF(AND(AZ$2&gt;=$G3,AZ$2&lt;($G3+$I3)),ROUND($F3/$I3,0),"-")</f>
        <v>-</v>
      </c>
      <c r="BA3" s="65" t="str">
        <f t="shared" si="4"/>
        <v>-</v>
      </c>
      <c r="BB3" s="65" t="str">
        <f t="shared" si="4"/>
        <v>-</v>
      </c>
      <c r="BC3" s="65" t="str">
        <f t="shared" si="4"/>
        <v>-</v>
      </c>
      <c r="BD3" s="65" t="str">
        <f t="shared" si="4"/>
        <v>-</v>
      </c>
      <c r="BE3" s="65" t="str">
        <f t="shared" si="4"/>
        <v>-</v>
      </c>
      <c r="BF3" s="65" t="str">
        <f t="shared" si="4"/>
        <v>-</v>
      </c>
      <c r="BG3" s="65" t="str">
        <f t="shared" si="4"/>
        <v>-</v>
      </c>
      <c r="BH3" s="65" t="str">
        <f t="shared" si="4"/>
        <v>-</v>
      </c>
      <c r="BI3" s="65" t="str">
        <f t="shared" si="4"/>
        <v>-</v>
      </c>
      <c r="BJ3" s="65" t="str">
        <f t="shared" ref="BJ3:BS6" si="5">IF(AND(BJ$2&gt;=$G3,BJ$2&lt;($G3+$I3)),ROUND($F3/$I3,0),"-")</f>
        <v>-</v>
      </c>
      <c r="BK3" s="65" t="str">
        <f t="shared" si="5"/>
        <v>-</v>
      </c>
      <c r="BL3" s="65" t="str">
        <f t="shared" si="5"/>
        <v>-</v>
      </c>
      <c r="BM3" s="65" t="str">
        <f t="shared" si="5"/>
        <v>-</v>
      </c>
      <c r="BN3" s="65" t="str">
        <f t="shared" si="5"/>
        <v>-</v>
      </c>
      <c r="BO3" s="65" t="str">
        <f t="shared" si="5"/>
        <v>-</v>
      </c>
      <c r="BP3" s="65" t="str">
        <f t="shared" si="5"/>
        <v>-</v>
      </c>
      <c r="BQ3" s="65" t="str">
        <f t="shared" si="5"/>
        <v>-</v>
      </c>
      <c r="BR3" s="65" t="str">
        <f t="shared" si="5"/>
        <v>-</v>
      </c>
      <c r="BS3" s="65" t="str">
        <f t="shared" si="5"/>
        <v>-</v>
      </c>
      <c r="BT3" s="65" t="str">
        <f t="shared" ref="BT3:CC6" si="6">IF(AND(BT$2&gt;=$G3,BT$2&lt;($G3+$I3)),ROUND($F3/$I3,0),"-")</f>
        <v>-</v>
      </c>
      <c r="BU3" s="65" t="str">
        <f t="shared" si="6"/>
        <v>-</v>
      </c>
      <c r="BV3" s="65" t="str">
        <f t="shared" si="6"/>
        <v>-</v>
      </c>
      <c r="BW3" s="65" t="str">
        <f t="shared" si="6"/>
        <v>-</v>
      </c>
      <c r="BX3" s="65" t="str">
        <f t="shared" si="6"/>
        <v>-</v>
      </c>
      <c r="BY3" s="65" t="str">
        <f t="shared" si="6"/>
        <v>-</v>
      </c>
      <c r="BZ3" s="65" t="str">
        <f t="shared" si="6"/>
        <v>-</v>
      </c>
      <c r="CA3" s="65" t="str">
        <f t="shared" si="6"/>
        <v>-</v>
      </c>
      <c r="CB3" s="65" t="str">
        <f t="shared" si="6"/>
        <v>-</v>
      </c>
      <c r="CC3" s="65" t="str">
        <f t="shared" si="6"/>
        <v>-</v>
      </c>
      <c r="CD3" s="65" t="str">
        <f t="shared" ref="CD3:CM6" si="7">IF(AND(CD$2&gt;=$G3,CD$2&lt;($G3+$I3)),ROUND($F3/$I3,0),"-")</f>
        <v>-</v>
      </c>
      <c r="CE3" s="65" t="str">
        <f t="shared" si="7"/>
        <v>-</v>
      </c>
      <c r="CF3" s="65" t="str">
        <f t="shared" si="7"/>
        <v>-</v>
      </c>
      <c r="CG3" s="65" t="str">
        <f t="shared" si="7"/>
        <v>-</v>
      </c>
      <c r="CH3" s="65" t="str">
        <f t="shared" si="7"/>
        <v>-</v>
      </c>
      <c r="CI3" s="65" t="str">
        <f t="shared" si="7"/>
        <v>-</v>
      </c>
      <c r="CJ3" s="65" t="str">
        <f t="shared" si="7"/>
        <v>-</v>
      </c>
      <c r="CK3" s="65" t="str">
        <f t="shared" si="7"/>
        <v>-</v>
      </c>
      <c r="CL3" s="65" t="str">
        <f t="shared" si="7"/>
        <v>-</v>
      </c>
      <c r="CM3" s="65" t="str">
        <f t="shared" si="7"/>
        <v>-</v>
      </c>
      <c r="CN3" s="65" t="str">
        <f t="shared" ref="CN3:CW6" si="8">IF(AND(CN$2&gt;=$G3,CN$2&lt;($G3+$I3)),ROUND($F3/$I3,0),"-")</f>
        <v>-</v>
      </c>
      <c r="CO3" s="65" t="str">
        <f t="shared" si="8"/>
        <v>-</v>
      </c>
      <c r="CP3" s="65" t="str">
        <f t="shared" si="8"/>
        <v>-</v>
      </c>
      <c r="CQ3" s="65" t="str">
        <f t="shared" si="8"/>
        <v>-</v>
      </c>
      <c r="CR3" s="65" t="str">
        <f t="shared" si="8"/>
        <v>-</v>
      </c>
      <c r="CS3" s="186" t="str">
        <f t="shared" si="8"/>
        <v>-</v>
      </c>
      <c r="CT3" s="186" t="str">
        <f t="shared" si="8"/>
        <v>-</v>
      </c>
      <c r="CU3" s="186" t="str">
        <f t="shared" si="8"/>
        <v>-</v>
      </c>
      <c r="CV3" s="186" t="str">
        <f t="shared" si="8"/>
        <v>-</v>
      </c>
      <c r="CW3" s="65" t="str">
        <f t="shared" si="8"/>
        <v>-</v>
      </c>
    </row>
    <row r="4" spans="1:177">
      <c r="A4" s="466"/>
      <c r="B4" s="465"/>
      <c r="C4" s="465"/>
      <c r="D4" s="467"/>
      <c r="E4" s="185" t="s">
        <v>65</v>
      </c>
      <c r="F4" s="66" t="e">
        <f>SUM('BESS 10B'!S28,'BESS 10B'!S30:S31,'BESS 10B'!S34:S36)</f>
        <v>#VALUE!</v>
      </c>
      <c r="G4" s="182">
        <f ca="1">TODAY()</f>
        <v>46233</v>
      </c>
      <c r="H4" s="182">
        <f>MAX('BESS 10B'!O28,'BESS 10B'!O30:O31,'BESS 10B'!O34:O36)</f>
        <v>46233</v>
      </c>
      <c r="I4" s="66">
        <f ca="1">H4-G4</f>
        <v>0</v>
      </c>
      <c r="J4" s="662"/>
      <c r="K4" s="662"/>
      <c r="L4" s="65" t="str">
        <f t="shared" ca="1" si="0"/>
        <v>-</v>
      </c>
      <c r="M4" s="65" t="str">
        <f t="shared" ca="1" si="0"/>
        <v>-</v>
      </c>
      <c r="N4" s="65" t="str">
        <f t="shared" ca="1" si="0"/>
        <v>-</v>
      </c>
      <c r="O4" s="65" t="str">
        <f t="shared" ca="1" si="0"/>
        <v>-</v>
      </c>
      <c r="P4" s="65" t="str">
        <f t="shared" ca="1" si="0"/>
        <v>-</v>
      </c>
      <c r="Q4" s="65" t="str">
        <f t="shared" ca="1" si="0"/>
        <v>-</v>
      </c>
      <c r="R4" s="65" t="str">
        <f t="shared" ca="1" si="0"/>
        <v>-</v>
      </c>
      <c r="S4" s="65" t="str">
        <f t="shared" ca="1" si="0"/>
        <v>-</v>
      </c>
      <c r="T4" s="65" t="str">
        <f t="shared" ca="1" si="0"/>
        <v>-</v>
      </c>
      <c r="U4" s="65" t="str">
        <f t="shared" ca="1" si="0"/>
        <v>-</v>
      </c>
      <c r="V4" s="65" t="str">
        <f t="shared" ca="1" si="1"/>
        <v>-</v>
      </c>
      <c r="W4" s="65" t="str">
        <f t="shared" ca="1" si="1"/>
        <v>-</v>
      </c>
      <c r="X4" s="65" t="str">
        <f t="shared" ca="1" si="1"/>
        <v>-</v>
      </c>
      <c r="Y4" s="65" t="str">
        <f t="shared" ca="1" si="1"/>
        <v>-</v>
      </c>
      <c r="Z4" s="65" t="str">
        <f t="shared" ca="1" si="1"/>
        <v>-</v>
      </c>
      <c r="AA4" s="65" t="str">
        <f t="shared" ca="1" si="1"/>
        <v>-</v>
      </c>
      <c r="AB4" s="65" t="str">
        <f t="shared" ca="1" si="1"/>
        <v>-</v>
      </c>
      <c r="AC4" s="65" t="str">
        <f t="shared" ca="1" si="1"/>
        <v>-</v>
      </c>
      <c r="AD4" s="65" t="str">
        <f t="shared" ca="1" si="1"/>
        <v>-</v>
      </c>
      <c r="AE4" s="65" t="str">
        <f t="shared" ca="1" si="1"/>
        <v>-</v>
      </c>
      <c r="AF4" s="65" t="str">
        <f t="shared" ca="1" si="2"/>
        <v>-</v>
      </c>
      <c r="AG4" s="65" t="str">
        <f t="shared" ca="1" si="2"/>
        <v>-</v>
      </c>
      <c r="AH4" s="65" t="str">
        <f t="shared" ca="1" si="2"/>
        <v>-</v>
      </c>
      <c r="AI4" s="65" t="str">
        <f t="shared" ca="1" si="2"/>
        <v>-</v>
      </c>
      <c r="AJ4" s="65" t="str">
        <f t="shared" ca="1" si="2"/>
        <v>-</v>
      </c>
      <c r="AK4" s="65" t="str">
        <f t="shared" ca="1" si="2"/>
        <v>-</v>
      </c>
      <c r="AL4" s="65" t="str">
        <f t="shared" ca="1" si="2"/>
        <v>-</v>
      </c>
      <c r="AM4" s="65" t="str">
        <f t="shared" ca="1" si="2"/>
        <v>-</v>
      </c>
      <c r="AN4" s="65" t="str">
        <f t="shared" ca="1" si="2"/>
        <v>-</v>
      </c>
      <c r="AO4" s="65" t="str">
        <f t="shared" ca="1" si="2"/>
        <v>-</v>
      </c>
      <c r="AP4" s="65" t="str">
        <f t="shared" ca="1" si="3"/>
        <v>-</v>
      </c>
      <c r="AQ4" s="65" t="str">
        <f t="shared" ca="1" si="3"/>
        <v>-</v>
      </c>
      <c r="AR4" s="65" t="str">
        <f t="shared" ca="1" si="3"/>
        <v>-</v>
      </c>
      <c r="AS4" s="65" t="str">
        <f t="shared" ca="1" si="3"/>
        <v>-</v>
      </c>
      <c r="AT4" s="65" t="str">
        <f t="shared" ca="1" si="3"/>
        <v>-</v>
      </c>
      <c r="AU4" s="65" t="str">
        <f t="shared" ca="1" si="3"/>
        <v>-</v>
      </c>
      <c r="AV4" s="65" t="str">
        <f t="shared" ca="1" si="3"/>
        <v>-</v>
      </c>
      <c r="AW4" s="65" t="str">
        <f t="shared" ca="1" si="3"/>
        <v>-</v>
      </c>
      <c r="AX4" s="65" t="str">
        <f t="shared" ca="1" si="3"/>
        <v>-</v>
      </c>
      <c r="AY4" s="65" t="str">
        <f t="shared" ca="1" si="3"/>
        <v>-</v>
      </c>
      <c r="AZ4" s="65" t="str">
        <f t="shared" ca="1" si="4"/>
        <v>-</v>
      </c>
      <c r="BA4" s="65" t="str">
        <f t="shared" ca="1" si="4"/>
        <v>-</v>
      </c>
      <c r="BB4" s="65" t="str">
        <f t="shared" ca="1" si="4"/>
        <v>-</v>
      </c>
      <c r="BC4" s="65" t="str">
        <f t="shared" ca="1" si="4"/>
        <v>-</v>
      </c>
      <c r="BD4" s="65" t="str">
        <f t="shared" ca="1" si="4"/>
        <v>-</v>
      </c>
      <c r="BE4" s="65" t="str">
        <f t="shared" ca="1" si="4"/>
        <v>-</v>
      </c>
      <c r="BF4" s="65" t="str">
        <f t="shared" ca="1" si="4"/>
        <v>-</v>
      </c>
      <c r="BG4" s="65" t="str">
        <f t="shared" ca="1" si="4"/>
        <v>-</v>
      </c>
      <c r="BH4" s="65" t="str">
        <f t="shared" ca="1" si="4"/>
        <v>-</v>
      </c>
      <c r="BI4" s="65" t="str">
        <f t="shared" ca="1" si="4"/>
        <v>-</v>
      </c>
      <c r="BJ4" s="65" t="str">
        <f t="shared" ca="1" si="5"/>
        <v>-</v>
      </c>
      <c r="BK4" s="65" t="str">
        <f t="shared" ca="1" si="5"/>
        <v>-</v>
      </c>
      <c r="BL4" s="65" t="str">
        <f t="shared" ca="1" si="5"/>
        <v>-</v>
      </c>
      <c r="BM4" s="65" t="str">
        <f t="shared" ca="1" si="5"/>
        <v>-</v>
      </c>
      <c r="BN4" s="65" t="str">
        <f t="shared" ca="1" si="5"/>
        <v>-</v>
      </c>
      <c r="BO4" s="65" t="str">
        <f t="shared" ca="1" si="5"/>
        <v>-</v>
      </c>
      <c r="BP4" s="65" t="str">
        <f t="shared" ca="1" si="5"/>
        <v>-</v>
      </c>
      <c r="BQ4" s="65" t="str">
        <f t="shared" ca="1" si="5"/>
        <v>-</v>
      </c>
      <c r="BR4" s="65" t="str">
        <f t="shared" ca="1" si="5"/>
        <v>-</v>
      </c>
      <c r="BS4" s="65" t="str">
        <f t="shared" ca="1" si="5"/>
        <v>-</v>
      </c>
      <c r="BT4" s="65" t="str">
        <f t="shared" ca="1" si="6"/>
        <v>-</v>
      </c>
      <c r="BU4" s="65" t="str">
        <f t="shared" ca="1" si="6"/>
        <v>-</v>
      </c>
      <c r="BV4" s="65" t="str">
        <f t="shared" ca="1" si="6"/>
        <v>-</v>
      </c>
      <c r="BW4" s="65" t="str">
        <f t="shared" ca="1" si="6"/>
        <v>-</v>
      </c>
      <c r="BX4" s="65" t="str">
        <f t="shared" ca="1" si="6"/>
        <v>-</v>
      </c>
      <c r="BY4" s="65" t="str">
        <f t="shared" ca="1" si="6"/>
        <v>-</v>
      </c>
      <c r="BZ4" s="65" t="str">
        <f t="shared" ca="1" si="6"/>
        <v>-</v>
      </c>
      <c r="CA4" s="65" t="str">
        <f t="shared" ca="1" si="6"/>
        <v>-</v>
      </c>
      <c r="CB4" s="65" t="str">
        <f t="shared" ca="1" si="6"/>
        <v>-</v>
      </c>
      <c r="CC4" s="65" t="str">
        <f t="shared" ca="1" si="6"/>
        <v>-</v>
      </c>
      <c r="CD4" s="65" t="str">
        <f t="shared" ca="1" si="7"/>
        <v>-</v>
      </c>
      <c r="CE4" s="65" t="str">
        <f t="shared" ca="1" si="7"/>
        <v>-</v>
      </c>
      <c r="CF4" s="65" t="str">
        <f t="shared" ca="1" si="7"/>
        <v>-</v>
      </c>
      <c r="CG4" s="65" t="str">
        <f t="shared" ca="1" si="7"/>
        <v>-</v>
      </c>
      <c r="CH4" s="65" t="str">
        <f t="shared" ca="1" si="7"/>
        <v>-</v>
      </c>
      <c r="CI4" s="65" t="str">
        <f t="shared" ca="1" si="7"/>
        <v>-</v>
      </c>
      <c r="CJ4" s="65" t="str">
        <f t="shared" ca="1" si="7"/>
        <v>-</v>
      </c>
      <c r="CK4" s="65" t="str">
        <f t="shared" ca="1" si="7"/>
        <v>-</v>
      </c>
      <c r="CL4" s="65" t="str">
        <f t="shared" ca="1" si="7"/>
        <v>-</v>
      </c>
      <c r="CM4" s="65" t="str">
        <f t="shared" ca="1" si="7"/>
        <v>-</v>
      </c>
      <c r="CN4" s="65" t="str">
        <f t="shared" ca="1" si="8"/>
        <v>-</v>
      </c>
      <c r="CO4" s="65" t="str">
        <f t="shared" ca="1" si="8"/>
        <v>-</v>
      </c>
      <c r="CP4" s="65" t="str">
        <f t="shared" ca="1" si="8"/>
        <v>-</v>
      </c>
      <c r="CQ4" s="65" t="str">
        <f t="shared" ca="1" si="8"/>
        <v>-</v>
      </c>
      <c r="CR4" s="65" t="str">
        <f t="shared" ca="1" si="8"/>
        <v>-</v>
      </c>
      <c r="CS4" s="186" t="str">
        <f t="shared" ca="1" si="8"/>
        <v>-</v>
      </c>
      <c r="CT4" s="186" t="str">
        <f t="shared" ca="1" si="8"/>
        <v>-</v>
      </c>
      <c r="CU4" s="186" t="str">
        <f t="shared" ca="1" si="8"/>
        <v>-</v>
      </c>
      <c r="CV4" s="186" t="str">
        <f t="shared" ca="1" si="8"/>
        <v>-</v>
      </c>
      <c r="CW4" s="65" t="str">
        <f t="shared" ca="1" si="8"/>
        <v>-</v>
      </c>
    </row>
    <row r="5" spans="1:177">
      <c r="A5" s="466"/>
      <c r="B5" s="465"/>
      <c r="C5" s="465"/>
      <c r="D5" s="467"/>
      <c r="E5" s="185" t="s">
        <v>66</v>
      </c>
      <c r="F5" s="66" t="e">
        <f>SUM('BESS 10B'!S29,'BESS 10B'!S32:S33,'BESS 10B'!S37:S38)</f>
        <v>#VALUE!</v>
      </c>
      <c r="G5" s="182">
        <f>H5-20</f>
        <v>46215</v>
      </c>
      <c r="H5" s="182">
        <f>MAX('BESS 10B'!O29,'BESS 10B'!O32:O33,'BESS 10B'!O37:O38)</f>
        <v>46235</v>
      </c>
      <c r="I5" s="66">
        <f>H5-G5</f>
        <v>20</v>
      </c>
      <c r="J5" s="662"/>
      <c r="K5" s="662"/>
      <c r="L5" s="65" t="str">
        <f t="shared" si="0"/>
        <v>-</v>
      </c>
      <c r="M5" s="65" t="str">
        <f t="shared" si="0"/>
        <v>-</v>
      </c>
      <c r="N5" s="65" t="str">
        <f t="shared" si="0"/>
        <v>-</v>
      </c>
      <c r="O5" s="65" t="str">
        <f t="shared" si="0"/>
        <v>-</v>
      </c>
      <c r="P5" s="65" t="str">
        <f t="shared" si="0"/>
        <v>-</v>
      </c>
      <c r="Q5" s="65" t="str">
        <f t="shared" si="0"/>
        <v>-</v>
      </c>
      <c r="R5" s="65" t="str">
        <f t="shared" si="0"/>
        <v>-</v>
      </c>
      <c r="S5" s="65" t="str">
        <f t="shared" si="0"/>
        <v>-</v>
      </c>
      <c r="T5" s="65" t="str">
        <f t="shared" si="0"/>
        <v>-</v>
      </c>
      <c r="U5" s="65" t="str">
        <f t="shared" si="0"/>
        <v>-</v>
      </c>
      <c r="V5" s="65" t="str">
        <f t="shared" si="1"/>
        <v>-</v>
      </c>
      <c r="W5" s="65" t="str">
        <f t="shared" si="1"/>
        <v>-</v>
      </c>
      <c r="X5" s="65" t="str">
        <f t="shared" si="1"/>
        <v>-</v>
      </c>
      <c r="Y5" s="65" t="str">
        <f t="shared" si="1"/>
        <v>-</v>
      </c>
      <c r="Z5" s="65" t="str">
        <f t="shared" si="1"/>
        <v>-</v>
      </c>
      <c r="AA5" s="65" t="str">
        <f t="shared" si="1"/>
        <v>-</v>
      </c>
      <c r="AB5" s="65" t="str">
        <f t="shared" si="1"/>
        <v>-</v>
      </c>
      <c r="AC5" s="65" t="str">
        <f t="shared" si="1"/>
        <v>-</v>
      </c>
      <c r="AD5" s="65" t="str">
        <f t="shared" si="1"/>
        <v>-</v>
      </c>
      <c r="AE5" s="65" t="str">
        <f t="shared" si="1"/>
        <v>-</v>
      </c>
      <c r="AF5" s="65" t="e">
        <f t="shared" si="2"/>
        <v>#VALUE!</v>
      </c>
      <c r="AG5" s="65" t="e">
        <f t="shared" si="2"/>
        <v>#VALUE!</v>
      </c>
      <c r="AH5" s="65" t="e">
        <f t="shared" si="2"/>
        <v>#VALUE!</v>
      </c>
      <c r="AI5" s="65" t="e">
        <f t="shared" si="2"/>
        <v>#VALUE!</v>
      </c>
      <c r="AJ5" s="65" t="e">
        <f t="shared" si="2"/>
        <v>#VALUE!</v>
      </c>
      <c r="AK5" s="65" t="e">
        <f t="shared" si="2"/>
        <v>#VALUE!</v>
      </c>
      <c r="AL5" s="65" t="e">
        <f t="shared" si="2"/>
        <v>#VALUE!</v>
      </c>
      <c r="AM5" s="65" t="e">
        <f t="shared" si="2"/>
        <v>#VALUE!</v>
      </c>
      <c r="AN5" s="65" t="e">
        <f t="shared" si="2"/>
        <v>#VALUE!</v>
      </c>
      <c r="AO5" s="65" t="e">
        <f t="shared" si="2"/>
        <v>#VALUE!</v>
      </c>
      <c r="AP5" s="65" t="e">
        <f t="shared" si="3"/>
        <v>#VALUE!</v>
      </c>
      <c r="AQ5" s="65" t="e">
        <f t="shared" si="3"/>
        <v>#VALUE!</v>
      </c>
      <c r="AR5" s="65" t="e">
        <f t="shared" si="3"/>
        <v>#VALUE!</v>
      </c>
      <c r="AS5" s="65" t="e">
        <f t="shared" si="3"/>
        <v>#VALUE!</v>
      </c>
      <c r="AT5" s="65" t="e">
        <f t="shared" si="3"/>
        <v>#VALUE!</v>
      </c>
      <c r="AU5" s="65" t="e">
        <f t="shared" si="3"/>
        <v>#VALUE!</v>
      </c>
      <c r="AV5" s="65" t="e">
        <f t="shared" si="3"/>
        <v>#VALUE!</v>
      </c>
      <c r="AW5" s="65" t="e">
        <f t="shared" si="3"/>
        <v>#VALUE!</v>
      </c>
      <c r="AX5" s="65" t="e">
        <f t="shared" si="3"/>
        <v>#VALUE!</v>
      </c>
      <c r="AY5" s="65" t="e">
        <f t="shared" si="3"/>
        <v>#VALUE!</v>
      </c>
      <c r="AZ5" s="65" t="str">
        <f t="shared" si="4"/>
        <v>-</v>
      </c>
      <c r="BA5" s="65" t="str">
        <f t="shared" si="4"/>
        <v>-</v>
      </c>
      <c r="BB5" s="65" t="str">
        <f t="shared" si="4"/>
        <v>-</v>
      </c>
      <c r="BC5" s="65" t="str">
        <f t="shared" si="4"/>
        <v>-</v>
      </c>
      <c r="BD5" s="65" t="str">
        <f t="shared" si="4"/>
        <v>-</v>
      </c>
      <c r="BE5" s="65" t="str">
        <f t="shared" si="4"/>
        <v>-</v>
      </c>
      <c r="BF5" s="65" t="str">
        <f t="shared" si="4"/>
        <v>-</v>
      </c>
      <c r="BG5" s="65" t="str">
        <f t="shared" si="4"/>
        <v>-</v>
      </c>
      <c r="BH5" s="65" t="str">
        <f t="shared" si="4"/>
        <v>-</v>
      </c>
      <c r="BI5" s="65" t="str">
        <f t="shared" si="4"/>
        <v>-</v>
      </c>
      <c r="BJ5" s="65" t="str">
        <f t="shared" si="5"/>
        <v>-</v>
      </c>
      <c r="BK5" s="65" t="str">
        <f t="shared" si="5"/>
        <v>-</v>
      </c>
      <c r="BL5" s="65" t="str">
        <f t="shared" si="5"/>
        <v>-</v>
      </c>
      <c r="BM5" s="65" t="str">
        <f t="shared" si="5"/>
        <v>-</v>
      </c>
      <c r="BN5" s="65" t="str">
        <f t="shared" si="5"/>
        <v>-</v>
      </c>
      <c r="BO5" s="65" t="str">
        <f t="shared" si="5"/>
        <v>-</v>
      </c>
      <c r="BP5" s="65" t="str">
        <f t="shared" si="5"/>
        <v>-</v>
      </c>
      <c r="BQ5" s="65" t="str">
        <f t="shared" si="5"/>
        <v>-</v>
      </c>
      <c r="BR5" s="65" t="str">
        <f t="shared" si="5"/>
        <v>-</v>
      </c>
      <c r="BS5" s="65" t="str">
        <f t="shared" si="5"/>
        <v>-</v>
      </c>
      <c r="BT5" s="65" t="str">
        <f t="shared" si="6"/>
        <v>-</v>
      </c>
      <c r="BU5" s="65" t="str">
        <f t="shared" si="6"/>
        <v>-</v>
      </c>
      <c r="BV5" s="65" t="str">
        <f t="shared" si="6"/>
        <v>-</v>
      </c>
      <c r="BW5" s="65" t="str">
        <f t="shared" si="6"/>
        <v>-</v>
      </c>
      <c r="BX5" s="65" t="str">
        <f t="shared" si="6"/>
        <v>-</v>
      </c>
      <c r="BY5" s="65" t="str">
        <f t="shared" si="6"/>
        <v>-</v>
      </c>
      <c r="BZ5" s="65" t="str">
        <f t="shared" si="6"/>
        <v>-</v>
      </c>
      <c r="CA5" s="65" t="str">
        <f t="shared" si="6"/>
        <v>-</v>
      </c>
      <c r="CB5" s="65" t="str">
        <f t="shared" si="6"/>
        <v>-</v>
      </c>
      <c r="CC5" s="65" t="str">
        <f t="shared" si="6"/>
        <v>-</v>
      </c>
      <c r="CD5" s="65" t="str">
        <f t="shared" si="7"/>
        <v>-</v>
      </c>
      <c r="CE5" s="65" t="str">
        <f t="shared" si="7"/>
        <v>-</v>
      </c>
      <c r="CF5" s="65" t="str">
        <f t="shared" si="7"/>
        <v>-</v>
      </c>
      <c r="CG5" s="65" t="str">
        <f t="shared" si="7"/>
        <v>-</v>
      </c>
      <c r="CH5" s="65" t="str">
        <f t="shared" si="7"/>
        <v>-</v>
      </c>
      <c r="CI5" s="65" t="str">
        <f t="shared" si="7"/>
        <v>-</v>
      </c>
      <c r="CJ5" s="65" t="str">
        <f t="shared" si="7"/>
        <v>-</v>
      </c>
      <c r="CK5" s="65" t="str">
        <f t="shared" si="7"/>
        <v>-</v>
      </c>
      <c r="CL5" s="65" t="str">
        <f t="shared" si="7"/>
        <v>-</v>
      </c>
      <c r="CM5" s="65" t="str">
        <f t="shared" si="7"/>
        <v>-</v>
      </c>
      <c r="CN5" s="65" t="str">
        <f t="shared" si="8"/>
        <v>-</v>
      </c>
      <c r="CO5" s="65" t="str">
        <f t="shared" si="8"/>
        <v>-</v>
      </c>
      <c r="CP5" s="65" t="str">
        <f t="shared" si="8"/>
        <v>-</v>
      </c>
      <c r="CQ5" s="65" t="str">
        <f t="shared" si="8"/>
        <v>-</v>
      </c>
      <c r="CR5" s="65" t="str">
        <f t="shared" si="8"/>
        <v>-</v>
      </c>
      <c r="CS5" s="186" t="str">
        <f t="shared" si="8"/>
        <v>-</v>
      </c>
      <c r="CT5" s="186" t="str">
        <f t="shared" si="8"/>
        <v>-</v>
      </c>
      <c r="CU5" s="186" t="str">
        <f t="shared" si="8"/>
        <v>-</v>
      </c>
      <c r="CV5" s="186" t="str">
        <f t="shared" si="8"/>
        <v>-</v>
      </c>
      <c r="CW5" s="65" t="str">
        <f t="shared" si="8"/>
        <v>-</v>
      </c>
    </row>
    <row r="6" spans="1:177">
      <c r="A6" s="466"/>
      <c r="B6" s="465"/>
      <c r="C6" s="465"/>
      <c r="D6" s="467"/>
      <c r="E6" s="185" t="s">
        <v>67</v>
      </c>
      <c r="F6" s="66" t="e">
        <f>SUM('BESS 10B'!S40:S49)</f>
        <v>#VALUE!</v>
      </c>
      <c r="G6" s="182">
        <f>H6-14</f>
        <v>46222</v>
      </c>
      <c r="H6" s="182">
        <f>B3-3</f>
        <v>46236</v>
      </c>
      <c r="I6" s="66">
        <f>H6-G6</f>
        <v>14</v>
      </c>
      <c r="J6" s="662"/>
      <c r="K6" s="662"/>
      <c r="L6" s="65" t="str">
        <f t="shared" si="0"/>
        <v>-</v>
      </c>
      <c r="M6" s="65" t="str">
        <f t="shared" si="0"/>
        <v>-</v>
      </c>
      <c r="N6" s="65" t="str">
        <f t="shared" si="0"/>
        <v>-</v>
      </c>
      <c r="O6" s="65" t="str">
        <f t="shared" si="0"/>
        <v>-</v>
      </c>
      <c r="P6" s="65" t="str">
        <f t="shared" si="0"/>
        <v>-</v>
      </c>
      <c r="Q6" s="65" t="str">
        <f t="shared" si="0"/>
        <v>-</v>
      </c>
      <c r="R6" s="65" t="str">
        <f t="shared" si="0"/>
        <v>-</v>
      </c>
      <c r="S6" s="65" t="str">
        <f t="shared" si="0"/>
        <v>-</v>
      </c>
      <c r="T6" s="65" t="str">
        <f t="shared" si="0"/>
        <v>-</v>
      </c>
      <c r="U6" s="65" t="str">
        <f t="shared" si="0"/>
        <v>-</v>
      </c>
      <c r="V6" s="65" t="str">
        <f t="shared" si="1"/>
        <v>-</v>
      </c>
      <c r="W6" s="65" t="str">
        <f t="shared" si="1"/>
        <v>-</v>
      </c>
      <c r="X6" s="65" t="str">
        <f t="shared" si="1"/>
        <v>-</v>
      </c>
      <c r="Y6" s="65" t="str">
        <f t="shared" si="1"/>
        <v>-</v>
      </c>
      <c r="Z6" s="65" t="str">
        <f t="shared" si="1"/>
        <v>-</v>
      </c>
      <c r="AA6" s="65" t="str">
        <f t="shared" si="1"/>
        <v>-</v>
      </c>
      <c r="AB6" s="65" t="str">
        <f t="shared" si="1"/>
        <v>-</v>
      </c>
      <c r="AC6" s="65" t="str">
        <f t="shared" si="1"/>
        <v>-</v>
      </c>
      <c r="AD6" s="65" t="str">
        <f t="shared" si="1"/>
        <v>-</v>
      </c>
      <c r="AE6" s="65" t="str">
        <f t="shared" si="1"/>
        <v>-</v>
      </c>
      <c r="AF6" s="65" t="str">
        <f t="shared" si="2"/>
        <v>-</v>
      </c>
      <c r="AG6" s="65" t="str">
        <f t="shared" si="2"/>
        <v>-</v>
      </c>
      <c r="AH6" s="65" t="str">
        <f t="shared" si="2"/>
        <v>-</v>
      </c>
      <c r="AI6" s="65" t="str">
        <f t="shared" si="2"/>
        <v>-</v>
      </c>
      <c r="AJ6" s="65" t="str">
        <f t="shared" si="2"/>
        <v>-</v>
      </c>
      <c r="AK6" s="65" t="str">
        <f t="shared" si="2"/>
        <v>-</v>
      </c>
      <c r="AL6" s="65" t="str">
        <f t="shared" si="2"/>
        <v>-</v>
      </c>
      <c r="AM6" s="65" t="e">
        <f t="shared" si="2"/>
        <v>#VALUE!</v>
      </c>
      <c r="AN6" s="65" t="e">
        <f t="shared" si="2"/>
        <v>#VALUE!</v>
      </c>
      <c r="AO6" s="65" t="e">
        <f t="shared" si="2"/>
        <v>#VALUE!</v>
      </c>
      <c r="AP6" s="65" t="e">
        <f t="shared" si="3"/>
        <v>#VALUE!</v>
      </c>
      <c r="AQ6" s="65" t="e">
        <f t="shared" si="3"/>
        <v>#VALUE!</v>
      </c>
      <c r="AR6" s="65" t="e">
        <f t="shared" si="3"/>
        <v>#VALUE!</v>
      </c>
      <c r="AS6" s="65" t="e">
        <f t="shared" si="3"/>
        <v>#VALUE!</v>
      </c>
      <c r="AT6" s="65" t="e">
        <f t="shared" si="3"/>
        <v>#VALUE!</v>
      </c>
      <c r="AU6" s="65" t="e">
        <f t="shared" si="3"/>
        <v>#VALUE!</v>
      </c>
      <c r="AV6" s="65" t="e">
        <f t="shared" si="3"/>
        <v>#VALUE!</v>
      </c>
      <c r="AW6" s="65" t="e">
        <f t="shared" si="3"/>
        <v>#VALUE!</v>
      </c>
      <c r="AX6" s="65" t="e">
        <f t="shared" si="3"/>
        <v>#VALUE!</v>
      </c>
      <c r="AY6" s="65" t="e">
        <f t="shared" si="3"/>
        <v>#VALUE!</v>
      </c>
      <c r="AZ6" s="65" t="e">
        <f t="shared" si="4"/>
        <v>#VALUE!</v>
      </c>
      <c r="BA6" s="65" t="str">
        <f t="shared" si="4"/>
        <v>-</v>
      </c>
      <c r="BB6" s="65" t="str">
        <f t="shared" si="4"/>
        <v>-</v>
      </c>
      <c r="BC6" s="65" t="str">
        <f t="shared" si="4"/>
        <v>-</v>
      </c>
      <c r="BD6" s="65" t="str">
        <f t="shared" si="4"/>
        <v>-</v>
      </c>
      <c r="BE6" s="65" t="str">
        <f t="shared" si="4"/>
        <v>-</v>
      </c>
      <c r="BF6" s="65" t="str">
        <f t="shared" si="4"/>
        <v>-</v>
      </c>
      <c r="BG6" s="65" t="str">
        <f t="shared" si="4"/>
        <v>-</v>
      </c>
      <c r="BH6" s="65" t="str">
        <f t="shared" si="4"/>
        <v>-</v>
      </c>
      <c r="BI6" s="65" t="str">
        <f t="shared" si="4"/>
        <v>-</v>
      </c>
      <c r="BJ6" s="65" t="str">
        <f t="shared" si="5"/>
        <v>-</v>
      </c>
      <c r="BK6" s="65" t="str">
        <f t="shared" si="5"/>
        <v>-</v>
      </c>
      <c r="BL6" s="65" t="str">
        <f t="shared" si="5"/>
        <v>-</v>
      </c>
      <c r="BM6" s="65" t="str">
        <f t="shared" si="5"/>
        <v>-</v>
      </c>
      <c r="BN6" s="65" t="str">
        <f t="shared" si="5"/>
        <v>-</v>
      </c>
      <c r="BO6" s="65" t="str">
        <f t="shared" si="5"/>
        <v>-</v>
      </c>
      <c r="BP6" s="65" t="str">
        <f t="shared" si="5"/>
        <v>-</v>
      </c>
      <c r="BQ6" s="65" t="str">
        <f t="shared" si="5"/>
        <v>-</v>
      </c>
      <c r="BR6" s="65" t="str">
        <f t="shared" si="5"/>
        <v>-</v>
      </c>
      <c r="BS6" s="65" t="str">
        <f t="shared" si="5"/>
        <v>-</v>
      </c>
      <c r="BT6" s="65" t="str">
        <f t="shared" si="6"/>
        <v>-</v>
      </c>
      <c r="BU6" s="65" t="str">
        <f t="shared" si="6"/>
        <v>-</v>
      </c>
      <c r="BV6" s="65" t="str">
        <f t="shared" si="6"/>
        <v>-</v>
      </c>
      <c r="BW6" s="65" t="str">
        <f t="shared" si="6"/>
        <v>-</v>
      </c>
      <c r="BX6" s="65" t="str">
        <f t="shared" si="6"/>
        <v>-</v>
      </c>
      <c r="BY6" s="65" t="str">
        <f t="shared" si="6"/>
        <v>-</v>
      </c>
      <c r="BZ6" s="65" t="str">
        <f t="shared" si="6"/>
        <v>-</v>
      </c>
      <c r="CA6" s="65" t="str">
        <f t="shared" si="6"/>
        <v>-</v>
      </c>
      <c r="CB6" s="65" t="str">
        <f t="shared" si="6"/>
        <v>-</v>
      </c>
      <c r="CC6" s="65" t="str">
        <f t="shared" si="6"/>
        <v>-</v>
      </c>
      <c r="CD6" s="65" t="str">
        <f t="shared" si="7"/>
        <v>-</v>
      </c>
      <c r="CE6" s="65" t="str">
        <f t="shared" si="7"/>
        <v>-</v>
      </c>
      <c r="CF6" s="65" t="str">
        <f t="shared" si="7"/>
        <v>-</v>
      </c>
      <c r="CG6" s="65" t="str">
        <f t="shared" si="7"/>
        <v>-</v>
      </c>
      <c r="CH6" s="65" t="str">
        <f t="shared" si="7"/>
        <v>-</v>
      </c>
      <c r="CI6" s="65" t="str">
        <f t="shared" si="7"/>
        <v>-</v>
      </c>
      <c r="CJ6" s="65" t="str">
        <f t="shared" si="7"/>
        <v>-</v>
      </c>
      <c r="CK6" s="65" t="str">
        <f t="shared" si="7"/>
        <v>-</v>
      </c>
      <c r="CL6" s="65" t="str">
        <f t="shared" si="7"/>
        <v>-</v>
      </c>
      <c r="CM6" s="65" t="str">
        <f t="shared" si="7"/>
        <v>-</v>
      </c>
      <c r="CN6" s="65" t="str">
        <f t="shared" si="8"/>
        <v>-</v>
      </c>
      <c r="CO6" s="65" t="str">
        <f t="shared" si="8"/>
        <v>-</v>
      </c>
      <c r="CP6" s="65" t="str">
        <f t="shared" si="8"/>
        <v>-</v>
      </c>
      <c r="CQ6" s="65" t="str">
        <f t="shared" si="8"/>
        <v>-</v>
      </c>
      <c r="CR6" s="65" t="str">
        <f t="shared" si="8"/>
        <v>-</v>
      </c>
      <c r="CS6" s="186" t="str">
        <f t="shared" si="8"/>
        <v>-</v>
      </c>
      <c r="CT6" s="186" t="str">
        <f t="shared" si="8"/>
        <v>-</v>
      </c>
      <c r="CU6" s="186" t="str">
        <f t="shared" si="8"/>
        <v>-</v>
      </c>
      <c r="CV6" s="186" t="str">
        <f t="shared" si="8"/>
        <v>-</v>
      </c>
      <c r="CW6" s="65" t="str">
        <f t="shared" si="8"/>
        <v>-</v>
      </c>
    </row>
    <row r="7" spans="1:177">
      <c r="A7" s="466"/>
      <c r="B7" s="465"/>
      <c r="C7" s="465"/>
      <c r="D7" s="467"/>
      <c r="E7" s="185" t="s">
        <v>68</v>
      </c>
      <c r="F7" s="66">
        <v>250</v>
      </c>
      <c r="G7" s="182">
        <f>B3-3</f>
        <v>46236</v>
      </c>
      <c r="H7" s="182"/>
      <c r="I7" s="65">
        <v>30</v>
      </c>
      <c r="J7" s="663"/>
      <c r="K7" s="663"/>
      <c r="L7" s="65" t="str">
        <f t="shared" ref="L7:AD7" si="9">IF(AND(L$2&gt;=$G7,L$2&lt;($G7+$I7)),ROUND($F7/$I7,0),"-")</f>
        <v>-</v>
      </c>
      <c r="M7" s="65" t="str">
        <f t="shared" si="9"/>
        <v>-</v>
      </c>
      <c r="N7" s="65" t="str">
        <f t="shared" si="9"/>
        <v>-</v>
      </c>
      <c r="O7" s="65" t="str">
        <f t="shared" si="9"/>
        <v>-</v>
      </c>
      <c r="P7" s="65" t="str">
        <f t="shared" si="9"/>
        <v>-</v>
      </c>
      <c r="Q7" s="65" t="str">
        <f t="shared" si="9"/>
        <v>-</v>
      </c>
      <c r="R7" s="65" t="str">
        <f t="shared" si="9"/>
        <v>-</v>
      </c>
      <c r="S7" s="65" t="str">
        <f t="shared" si="9"/>
        <v>-</v>
      </c>
      <c r="T7" s="65" t="str">
        <f t="shared" si="9"/>
        <v>-</v>
      </c>
      <c r="U7" s="65" t="str">
        <f t="shared" si="9"/>
        <v>-</v>
      </c>
      <c r="V7" s="65" t="str">
        <f t="shared" si="9"/>
        <v>-</v>
      </c>
      <c r="W7" s="65" t="str">
        <f t="shared" si="9"/>
        <v>-</v>
      </c>
      <c r="X7" s="65" t="str">
        <f t="shared" si="9"/>
        <v>-</v>
      </c>
      <c r="Y7" s="65" t="str">
        <f t="shared" si="9"/>
        <v>-</v>
      </c>
      <c r="Z7" s="65" t="str">
        <f t="shared" si="9"/>
        <v>-</v>
      </c>
      <c r="AA7" s="65" t="str">
        <f t="shared" si="9"/>
        <v>-</v>
      </c>
      <c r="AB7" s="65" t="str">
        <f t="shared" si="9"/>
        <v>-</v>
      </c>
      <c r="AC7" s="65" t="str">
        <f t="shared" si="9"/>
        <v>-</v>
      </c>
      <c r="AD7" s="65" t="str">
        <f t="shared" si="9"/>
        <v>-</v>
      </c>
      <c r="AE7" s="65"/>
      <c r="AF7" s="65">
        <v>5</v>
      </c>
      <c r="AG7" s="65">
        <v>5</v>
      </c>
      <c r="AH7" s="65">
        <v>5</v>
      </c>
      <c r="AI7" s="65">
        <v>5</v>
      </c>
      <c r="AJ7" s="65">
        <v>5</v>
      </c>
      <c r="AK7" s="65">
        <v>5</v>
      </c>
      <c r="AL7" s="65">
        <v>5</v>
      </c>
      <c r="AM7" s="65">
        <v>5</v>
      </c>
      <c r="AN7" s="65">
        <v>5</v>
      </c>
      <c r="AO7" s="65">
        <v>5</v>
      </c>
      <c r="AP7" s="65">
        <v>5</v>
      </c>
      <c r="AQ7" s="65">
        <v>5</v>
      </c>
      <c r="AR7" s="65">
        <v>5</v>
      </c>
      <c r="AS7" s="65">
        <v>5</v>
      </c>
      <c r="AT7" s="65">
        <v>5</v>
      </c>
      <c r="AU7" s="65">
        <v>5</v>
      </c>
      <c r="AV7" s="65">
        <v>5</v>
      </c>
      <c r="AW7" s="65">
        <v>5</v>
      </c>
      <c r="AX7" s="65">
        <v>5</v>
      </c>
      <c r="AY7" s="65">
        <v>5</v>
      </c>
      <c r="AZ7" s="65">
        <v>5</v>
      </c>
      <c r="BA7" s="65">
        <v>5</v>
      </c>
      <c r="BB7" s="65">
        <v>30</v>
      </c>
      <c r="BC7" s="65">
        <v>30</v>
      </c>
      <c r="BD7" s="65">
        <v>30</v>
      </c>
      <c r="BE7" s="65">
        <v>30</v>
      </c>
      <c r="BF7" s="65">
        <v>5</v>
      </c>
      <c r="BG7" s="65">
        <v>5</v>
      </c>
      <c r="BH7" s="65">
        <v>5</v>
      </c>
      <c r="BI7" s="65">
        <v>5</v>
      </c>
      <c r="BJ7" s="65" t="s">
        <v>89</v>
      </c>
      <c r="BK7" s="65" t="s">
        <v>89</v>
      </c>
      <c r="BL7" s="65" t="s">
        <v>89</v>
      </c>
      <c r="BM7" s="65" t="s">
        <v>89</v>
      </c>
      <c r="BN7" s="65" t="s">
        <v>89</v>
      </c>
      <c r="BO7" s="65" t="s">
        <v>89</v>
      </c>
      <c r="BP7" s="65" t="s">
        <v>89</v>
      </c>
      <c r="BQ7" s="65" t="s">
        <v>89</v>
      </c>
      <c r="BR7" s="65" t="s">
        <v>89</v>
      </c>
      <c r="BS7" s="65" t="s">
        <v>89</v>
      </c>
      <c r="BT7" s="65" t="s">
        <v>89</v>
      </c>
      <c r="BU7" s="65" t="s">
        <v>89</v>
      </c>
      <c r="BV7" s="65" t="s">
        <v>89</v>
      </c>
      <c r="BW7" s="65" t="s">
        <v>89</v>
      </c>
      <c r="BX7" s="65" t="s">
        <v>89</v>
      </c>
      <c r="BY7" s="65" t="s">
        <v>89</v>
      </c>
      <c r="BZ7" s="65" t="s">
        <v>89</v>
      </c>
      <c r="CA7" s="65" t="s">
        <v>89</v>
      </c>
      <c r="CB7" s="65" t="s">
        <v>89</v>
      </c>
      <c r="CC7" s="65" t="s">
        <v>89</v>
      </c>
      <c r="CD7" s="65" t="s">
        <v>89</v>
      </c>
      <c r="CE7" s="65" t="str">
        <f t="shared" ref="CE7:CW7" si="10">IF(AND(CE$2&gt;=$G7,CE$2&lt;($G7+$I7)),ROUND($F7/$I7,0),"-")</f>
        <v>-</v>
      </c>
      <c r="CF7" s="65" t="str">
        <f t="shared" si="10"/>
        <v>-</v>
      </c>
      <c r="CG7" s="65" t="str">
        <f t="shared" si="10"/>
        <v>-</v>
      </c>
      <c r="CH7" s="65" t="str">
        <f t="shared" si="10"/>
        <v>-</v>
      </c>
      <c r="CI7" s="65" t="str">
        <f t="shared" si="10"/>
        <v>-</v>
      </c>
      <c r="CJ7" s="65" t="str">
        <f t="shared" si="10"/>
        <v>-</v>
      </c>
      <c r="CK7" s="65" t="str">
        <f t="shared" si="10"/>
        <v>-</v>
      </c>
      <c r="CL7" s="65" t="str">
        <f t="shared" si="10"/>
        <v>-</v>
      </c>
      <c r="CM7" s="65" t="str">
        <f t="shared" si="10"/>
        <v>-</v>
      </c>
      <c r="CN7" s="65" t="str">
        <f t="shared" si="10"/>
        <v>-</v>
      </c>
      <c r="CO7" s="65" t="str">
        <f t="shared" si="10"/>
        <v>-</v>
      </c>
      <c r="CP7" s="65" t="str">
        <f t="shared" si="10"/>
        <v>-</v>
      </c>
      <c r="CQ7" s="65" t="str">
        <f t="shared" si="10"/>
        <v>-</v>
      </c>
      <c r="CR7" s="65" t="str">
        <f t="shared" si="10"/>
        <v>-</v>
      </c>
      <c r="CS7" s="65" t="str">
        <f t="shared" si="10"/>
        <v>-</v>
      </c>
      <c r="CT7" s="65" t="str">
        <f t="shared" si="10"/>
        <v>-</v>
      </c>
      <c r="CU7" s="65" t="str">
        <f t="shared" si="10"/>
        <v>-</v>
      </c>
      <c r="CV7" s="65" t="str">
        <f t="shared" si="10"/>
        <v>-</v>
      </c>
      <c r="CW7" s="65" t="str">
        <f t="shared" si="10"/>
        <v>-</v>
      </c>
    </row>
    <row r="8" spans="1:177" s="191" customFormat="1" hidden="1">
      <c r="A8" s="188"/>
      <c r="B8" s="189"/>
      <c r="C8" s="189"/>
      <c r="D8" s="188"/>
      <c r="E8" s="188"/>
      <c r="F8" s="169"/>
      <c r="G8" s="181" t="s">
        <v>69</v>
      </c>
      <c r="H8" s="181"/>
      <c r="I8" s="171"/>
      <c r="J8" s="181"/>
      <c r="K8" s="181"/>
      <c r="L8" s="190">
        <f t="shared" ref="L8:AQ8" ca="1" si="11">SUM(L3:L7)</f>
        <v>0</v>
      </c>
      <c r="M8" s="190">
        <f t="shared" ca="1" si="11"/>
        <v>0</v>
      </c>
      <c r="N8" s="190">
        <f t="shared" ca="1" si="11"/>
        <v>0</v>
      </c>
      <c r="O8" s="190">
        <f t="shared" ca="1" si="11"/>
        <v>0</v>
      </c>
      <c r="P8" s="190">
        <f t="shared" ca="1" si="11"/>
        <v>0</v>
      </c>
      <c r="Q8" s="190">
        <f t="shared" ca="1" si="11"/>
        <v>0</v>
      </c>
      <c r="R8" s="190">
        <f t="shared" ca="1" si="11"/>
        <v>0</v>
      </c>
      <c r="S8" s="190">
        <f t="shared" ca="1" si="11"/>
        <v>0</v>
      </c>
      <c r="T8" s="190">
        <f t="shared" ca="1" si="11"/>
        <v>0</v>
      </c>
      <c r="U8" s="190">
        <f t="shared" ca="1" si="11"/>
        <v>0</v>
      </c>
      <c r="V8" s="190" t="e">
        <f t="shared" si="11"/>
        <v>#VALUE!</v>
      </c>
      <c r="W8" s="190" t="e">
        <f t="shared" si="11"/>
        <v>#VALUE!</v>
      </c>
      <c r="X8" s="190" t="e">
        <f t="shared" si="11"/>
        <v>#VALUE!</v>
      </c>
      <c r="Y8" s="190" t="e">
        <f t="shared" si="11"/>
        <v>#VALUE!</v>
      </c>
      <c r="Z8" s="190" t="e">
        <f t="shared" si="11"/>
        <v>#VALUE!</v>
      </c>
      <c r="AA8" s="190" t="e">
        <f t="shared" si="11"/>
        <v>#VALUE!</v>
      </c>
      <c r="AB8" s="190" t="e">
        <f t="shared" si="11"/>
        <v>#VALUE!</v>
      </c>
      <c r="AC8" s="190" t="e">
        <f t="shared" si="11"/>
        <v>#VALUE!</v>
      </c>
      <c r="AD8" s="190" t="e">
        <f t="shared" si="11"/>
        <v>#VALUE!</v>
      </c>
      <c r="AE8" s="190" t="e">
        <f t="shared" si="11"/>
        <v>#VALUE!</v>
      </c>
      <c r="AF8" s="190" t="e">
        <f t="shared" ca="1" si="11"/>
        <v>#VALUE!</v>
      </c>
      <c r="AG8" s="190" t="e">
        <f t="shared" ca="1" si="11"/>
        <v>#VALUE!</v>
      </c>
      <c r="AH8" s="190" t="e">
        <f t="shared" ca="1" si="11"/>
        <v>#VALUE!</v>
      </c>
      <c r="AI8" s="190" t="e">
        <f t="shared" ca="1" si="11"/>
        <v>#VALUE!</v>
      </c>
      <c r="AJ8" s="190" t="e">
        <f t="shared" ca="1" si="11"/>
        <v>#VALUE!</v>
      </c>
      <c r="AK8" s="190" t="e">
        <f t="shared" ca="1" si="11"/>
        <v>#VALUE!</v>
      </c>
      <c r="AL8" s="190" t="e">
        <f t="shared" ca="1" si="11"/>
        <v>#VALUE!</v>
      </c>
      <c r="AM8" s="190" t="e">
        <f t="shared" ca="1" si="11"/>
        <v>#VALUE!</v>
      </c>
      <c r="AN8" s="190" t="e">
        <f t="shared" ca="1" si="11"/>
        <v>#VALUE!</v>
      </c>
      <c r="AO8" s="190" t="e">
        <f t="shared" ca="1" si="11"/>
        <v>#VALUE!</v>
      </c>
      <c r="AP8" s="190" t="e">
        <f t="shared" ca="1" si="11"/>
        <v>#VALUE!</v>
      </c>
      <c r="AQ8" s="190" t="e">
        <f t="shared" ca="1" si="11"/>
        <v>#VALUE!</v>
      </c>
      <c r="AR8" s="190" t="e">
        <f t="shared" ref="AR8:BW8" ca="1" si="12">SUM(AR3:AR7)</f>
        <v>#VALUE!</v>
      </c>
      <c r="AS8" s="190" t="e">
        <f t="shared" ca="1" si="12"/>
        <v>#VALUE!</v>
      </c>
      <c r="AT8" s="190" t="e">
        <f t="shared" ca="1" si="12"/>
        <v>#VALUE!</v>
      </c>
      <c r="AU8" s="190" t="e">
        <f t="shared" ca="1" si="12"/>
        <v>#VALUE!</v>
      </c>
      <c r="AV8" s="190" t="e">
        <f t="shared" ca="1" si="12"/>
        <v>#VALUE!</v>
      </c>
      <c r="AW8" s="190" t="e">
        <f t="shared" ca="1" si="12"/>
        <v>#VALUE!</v>
      </c>
      <c r="AX8" s="190" t="e">
        <f t="shared" ca="1" si="12"/>
        <v>#VALUE!</v>
      </c>
      <c r="AY8" s="190" t="e">
        <f t="shared" ca="1" si="12"/>
        <v>#VALUE!</v>
      </c>
      <c r="AZ8" s="190" t="e">
        <f t="shared" ca="1" si="12"/>
        <v>#VALUE!</v>
      </c>
      <c r="BA8" s="190">
        <f t="shared" ca="1" si="12"/>
        <v>5</v>
      </c>
      <c r="BB8" s="190">
        <f t="shared" ca="1" si="12"/>
        <v>30</v>
      </c>
      <c r="BC8" s="190">
        <f t="shared" ca="1" si="12"/>
        <v>30</v>
      </c>
      <c r="BD8" s="190">
        <f t="shared" ca="1" si="12"/>
        <v>30</v>
      </c>
      <c r="BE8" s="190">
        <f t="shared" ca="1" si="12"/>
        <v>30</v>
      </c>
      <c r="BF8" s="190">
        <f t="shared" ca="1" si="12"/>
        <v>5</v>
      </c>
      <c r="BG8" s="190">
        <f t="shared" ca="1" si="12"/>
        <v>5</v>
      </c>
      <c r="BH8" s="190">
        <f t="shared" ca="1" si="12"/>
        <v>5</v>
      </c>
      <c r="BI8" s="190">
        <f t="shared" ca="1" si="12"/>
        <v>5</v>
      </c>
      <c r="BJ8" s="190">
        <f t="shared" ca="1" si="12"/>
        <v>0</v>
      </c>
      <c r="BK8" s="190">
        <f t="shared" ca="1" si="12"/>
        <v>0</v>
      </c>
      <c r="BL8" s="190">
        <f t="shared" ca="1" si="12"/>
        <v>0</v>
      </c>
      <c r="BM8" s="190">
        <f t="shared" ca="1" si="12"/>
        <v>0</v>
      </c>
      <c r="BN8" s="190">
        <f t="shared" ca="1" si="12"/>
        <v>0</v>
      </c>
      <c r="BO8" s="190">
        <f t="shared" ca="1" si="12"/>
        <v>0</v>
      </c>
      <c r="BP8" s="190">
        <f t="shared" ca="1" si="12"/>
        <v>0</v>
      </c>
      <c r="BQ8" s="190">
        <f t="shared" ca="1" si="12"/>
        <v>0</v>
      </c>
      <c r="BR8" s="190">
        <f t="shared" ca="1" si="12"/>
        <v>0</v>
      </c>
      <c r="BS8" s="190">
        <f t="shared" ca="1" si="12"/>
        <v>0</v>
      </c>
      <c r="BT8" s="190">
        <f t="shared" ca="1" si="12"/>
        <v>0</v>
      </c>
      <c r="BU8" s="190">
        <f t="shared" ca="1" si="12"/>
        <v>0</v>
      </c>
      <c r="BV8" s="190">
        <f t="shared" ca="1" si="12"/>
        <v>0</v>
      </c>
      <c r="BW8" s="190">
        <f t="shared" ca="1" si="12"/>
        <v>0</v>
      </c>
      <c r="BX8" s="190">
        <f t="shared" ref="BX8:CW8" ca="1" si="13">SUM(BX3:BX7)</f>
        <v>0</v>
      </c>
      <c r="BY8" s="190">
        <f t="shared" ca="1" si="13"/>
        <v>0</v>
      </c>
      <c r="BZ8" s="190">
        <f t="shared" ca="1" si="13"/>
        <v>0</v>
      </c>
      <c r="CA8" s="190">
        <f t="shared" ca="1" si="13"/>
        <v>0</v>
      </c>
      <c r="CB8" s="190">
        <f t="shared" ca="1" si="13"/>
        <v>0</v>
      </c>
      <c r="CC8" s="190">
        <f t="shared" ca="1" si="13"/>
        <v>0</v>
      </c>
      <c r="CD8" s="190">
        <f t="shared" ca="1" si="13"/>
        <v>0</v>
      </c>
      <c r="CE8" s="190">
        <f t="shared" ca="1" si="13"/>
        <v>0</v>
      </c>
      <c r="CF8" s="190">
        <f t="shared" ca="1" si="13"/>
        <v>0</v>
      </c>
      <c r="CG8" s="190">
        <f t="shared" ca="1" si="13"/>
        <v>0</v>
      </c>
      <c r="CH8" s="190">
        <f t="shared" ca="1" si="13"/>
        <v>0</v>
      </c>
      <c r="CI8" s="190">
        <f t="shared" ca="1" si="13"/>
        <v>0</v>
      </c>
      <c r="CJ8" s="190">
        <f t="shared" ca="1" si="13"/>
        <v>0</v>
      </c>
      <c r="CK8" s="190">
        <f t="shared" ca="1" si="13"/>
        <v>0</v>
      </c>
      <c r="CL8" s="190">
        <f t="shared" ca="1" si="13"/>
        <v>0</v>
      </c>
      <c r="CM8" s="190">
        <f t="shared" ca="1" si="13"/>
        <v>0</v>
      </c>
      <c r="CN8" s="190">
        <f t="shared" ca="1" si="13"/>
        <v>0</v>
      </c>
      <c r="CO8" s="190">
        <f t="shared" ca="1" si="13"/>
        <v>0</v>
      </c>
      <c r="CP8" s="190">
        <f t="shared" ca="1" si="13"/>
        <v>0</v>
      </c>
      <c r="CQ8" s="190">
        <f t="shared" ca="1" si="13"/>
        <v>0</v>
      </c>
      <c r="CR8" s="190">
        <f t="shared" ca="1" si="13"/>
        <v>0</v>
      </c>
      <c r="CS8" s="190">
        <f t="shared" ca="1" si="13"/>
        <v>0</v>
      </c>
      <c r="CT8" s="190">
        <f t="shared" ca="1" si="13"/>
        <v>0</v>
      </c>
      <c r="CU8" s="190">
        <f t="shared" ca="1" si="13"/>
        <v>0</v>
      </c>
      <c r="CV8" s="190">
        <f t="shared" ca="1" si="13"/>
        <v>0</v>
      </c>
      <c r="CW8" s="190">
        <f t="shared" ca="1" si="13"/>
        <v>0</v>
      </c>
    </row>
    <row r="9" spans="1:177">
      <c r="F9" s="53"/>
      <c r="G9" s="53"/>
      <c r="H9" s="53"/>
      <c r="I9" s="53"/>
      <c r="J9" s="53"/>
      <c r="K9" s="53"/>
      <c r="L9" s="53"/>
      <c r="M9" s="5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CT9" s="185"/>
      <c r="CU9" s="185"/>
      <c r="CV9" s="185"/>
      <c r="CW9" s="185"/>
    </row>
    <row r="10" spans="1:177" ht="27">
      <c r="A10" s="466" t="s">
        <v>70</v>
      </c>
      <c r="B10" s="465">
        <f>'BESS 10B'!F50</f>
        <v>46245</v>
      </c>
      <c r="C10" s="465">
        <f>'BESS 10B'!G50</f>
        <v>46250</v>
      </c>
      <c r="D10" s="192"/>
      <c r="E10" s="192" t="s">
        <v>10</v>
      </c>
      <c r="F10" s="129" t="s">
        <v>58</v>
      </c>
      <c r="G10" s="129" t="s">
        <v>86</v>
      </c>
      <c r="H10" s="129" t="s">
        <v>79</v>
      </c>
      <c r="I10" s="129" t="s">
        <v>59</v>
      </c>
      <c r="J10" s="128" t="s">
        <v>80</v>
      </c>
      <c r="K10" s="128" t="s">
        <v>62</v>
      </c>
      <c r="L10" s="130">
        <v>46195</v>
      </c>
      <c r="M10" s="130">
        <v>46196</v>
      </c>
      <c r="N10" s="130">
        <v>46197</v>
      </c>
      <c r="O10" s="130">
        <v>46198</v>
      </c>
      <c r="P10" s="130">
        <v>46199</v>
      </c>
      <c r="Q10" s="130">
        <v>46200</v>
      </c>
      <c r="R10" s="130">
        <v>46201</v>
      </c>
      <c r="S10" s="130">
        <f t="shared" ref="S10:BZ10" si="14">R10+1</f>
        <v>46202</v>
      </c>
      <c r="T10" s="130">
        <f t="shared" si="14"/>
        <v>46203</v>
      </c>
      <c r="U10" s="130">
        <f t="shared" si="14"/>
        <v>46204</v>
      </c>
      <c r="V10" s="130">
        <f t="shared" si="14"/>
        <v>46205</v>
      </c>
      <c r="W10" s="130">
        <f t="shared" si="14"/>
        <v>46206</v>
      </c>
      <c r="X10" s="130">
        <f t="shared" si="14"/>
        <v>46207</v>
      </c>
      <c r="Y10" s="130">
        <f t="shared" si="14"/>
        <v>46208</v>
      </c>
      <c r="Z10" s="130">
        <f t="shared" si="14"/>
        <v>46209</v>
      </c>
      <c r="AA10" s="130">
        <f t="shared" si="14"/>
        <v>46210</v>
      </c>
      <c r="AB10" s="130">
        <f t="shared" si="14"/>
        <v>46211</v>
      </c>
      <c r="AC10" s="130">
        <f t="shared" si="14"/>
        <v>46212</v>
      </c>
      <c r="AD10" s="130">
        <f t="shared" si="14"/>
        <v>46213</v>
      </c>
      <c r="AE10" s="130">
        <f t="shared" si="14"/>
        <v>46214</v>
      </c>
      <c r="AF10" s="130">
        <f t="shared" si="14"/>
        <v>46215</v>
      </c>
      <c r="AG10" s="130">
        <f t="shared" si="14"/>
        <v>46216</v>
      </c>
      <c r="AH10" s="130">
        <f t="shared" si="14"/>
        <v>46217</v>
      </c>
      <c r="AI10" s="130">
        <f t="shared" si="14"/>
        <v>46218</v>
      </c>
      <c r="AJ10" s="130">
        <f t="shared" si="14"/>
        <v>46219</v>
      </c>
      <c r="AK10" s="130">
        <f t="shared" si="14"/>
        <v>46220</v>
      </c>
      <c r="AL10" s="130">
        <f t="shared" si="14"/>
        <v>46221</v>
      </c>
      <c r="AM10" s="130">
        <f t="shared" si="14"/>
        <v>46222</v>
      </c>
      <c r="AN10" s="130">
        <f t="shared" si="14"/>
        <v>46223</v>
      </c>
      <c r="AO10" s="130">
        <f t="shared" si="14"/>
        <v>46224</v>
      </c>
      <c r="AP10" s="130">
        <f t="shared" si="14"/>
        <v>46225</v>
      </c>
      <c r="AQ10" s="130">
        <f t="shared" si="14"/>
        <v>46226</v>
      </c>
      <c r="AR10" s="130">
        <f t="shared" si="14"/>
        <v>46227</v>
      </c>
      <c r="AS10" s="130">
        <f t="shared" si="14"/>
        <v>46228</v>
      </c>
      <c r="AT10" s="130">
        <f t="shared" si="14"/>
        <v>46229</v>
      </c>
      <c r="AU10" s="130">
        <f t="shared" si="14"/>
        <v>46230</v>
      </c>
      <c r="AV10" s="130">
        <f t="shared" si="14"/>
        <v>46231</v>
      </c>
      <c r="AW10" s="130">
        <f t="shared" si="14"/>
        <v>46232</v>
      </c>
      <c r="AX10" s="130">
        <f t="shared" si="14"/>
        <v>46233</v>
      </c>
      <c r="AY10" s="130">
        <f t="shared" si="14"/>
        <v>46234</v>
      </c>
      <c r="AZ10" s="130">
        <f t="shared" si="14"/>
        <v>46235</v>
      </c>
      <c r="BA10" s="130">
        <f t="shared" si="14"/>
        <v>46236</v>
      </c>
      <c r="BB10" s="130">
        <f t="shared" si="14"/>
        <v>46237</v>
      </c>
      <c r="BC10" s="130">
        <f t="shared" si="14"/>
        <v>46238</v>
      </c>
      <c r="BD10" s="130">
        <f t="shared" si="14"/>
        <v>46239</v>
      </c>
      <c r="BE10" s="130">
        <f t="shared" si="14"/>
        <v>46240</v>
      </c>
      <c r="BF10" s="130">
        <f t="shared" si="14"/>
        <v>46241</v>
      </c>
      <c r="BG10" s="130">
        <f t="shared" si="14"/>
        <v>46242</v>
      </c>
      <c r="BH10" s="130">
        <f t="shared" si="14"/>
        <v>46243</v>
      </c>
      <c r="BI10" s="130">
        <f t="shared" si="14"/>
        <v>46244</v>
      </c>
      <c r="BJ10" s="130">
        <f t="shared" si="14"/>
        <v>46245</v>
      </c>
      <c r="BK10" s="130">
        <f t="shared" si="14"/>
        <v>46246</v>
      </c>
      <c r="BL10" s="130">
        <f t="shared" si="14"/>
        <v>46247</v>
      </c>
      <c r="BM10" s="130">
        <f t="shared" si="14"/>
        <v>46248</v>
      </c>
      <c r="BN10" s="130">
        <f t="shared" si="14"/>
        <v>46249</v>
      </c>
      <c r="BO10" s="130">
        <f t="shared" si="14"/>
        <v>46250</v>
      </c>
      <c r="BP10" s="130">
        <f t="shared" si="14"/>
        <v>46251</v>
      </c>
      <c r="BQ10" s="130">
        <f t="shared" si="14"/>
        <v>46252</v>
      </c>
      <c r="BR10" s="130">
        <f t="shared" si="14"/>
        <v>46253</v>
      </c>
      <c r="BS10" s="130">
        <f t="shared" si="14"/>
        <v>46254</v>
      </c>
      <c r="BT10" s="130">
        <f t="shared" si="14"/>
        <v>46255</v>
      </c>
      <c r="BU10" s="130">
        <f t="shared" si="14"/>
        <v>46256</v>
      </c>
      <c r="BV10" s="130">
        <f t="shared" si="14"/>
        <v>46257</v>
      </c>
      <c r="BW10" s="130">
        <f t="shared" si="14"/>
        <v>46258</v>
      </c>
      <c r="BX10" s="130">
        <f t="shared" si="14"/>
        <v>46259</v>
      </c>
      <c r="BY10" s="130">
        <f t="shared" si="14"/>
        <v>46260</v>
      </c>
      <c r="BZ10" s="130">
        <f t="shared" si="14"/>
        <v>46261</v>
      </c>
      <c r="CA10" s="130">
        <f t="shared" ref="CA10:CS10" si="15">BZ10+1</f>
        <v>46262</v>
      </c>
      <c r="CB10" s="130">
        <f t="shared" si="15"/>
        <v>46263</v>
      </c>
      <c r="CC10" s="130">
        <f t="shared" si="15"/>
        <v>46264</v>
      </c>
      <c r="CD10" s="130">
        <f t="shared" si="15"/>
        <v>46265</v>
      </c>
      <c r="CE10" s="130">
        <f t="shared" si="15"/>
        <v>46266</v>
      </c>
      <c r="CF10" s="130">
        <f t="shared" si="15"/>
        <v>46267</v>
      </c>
      <c r="CG10" s="130">
        <f t="shared" si="15"/>
        <v>46268</v>
      </c>
      <c r="CH10" s="130">
        <f t="shared" si="15"/>
        <v>46269</v>
      </c>
      <c r="CI10" s="130">
        <f t="shared" si="15"/>
        <v>46270</v>
      </c>
      <c r="CJ10" s="130">
        <f t="shared" si="15"/>
        <v>46271</v>
      </c>
      <c r="CK10" s="130">
        <f t="shared" si="15"/>
        <v>46272</v>
      </c>
      <c r="CL10" s="130">
        <f t="shared" si="15"/>
        <v>46273</v>
      </c>
      <c r="CM10" s="130">
        <f t="shared" si="15"/>
        <v>46274</v>
      </c>
      <c r="CN10" s="130">
        <f t="shared" si="15"/>
        <v>46275</v>
      </c>
      <c r="CO10" s="130">
        <f t="shared" si="15"/>
        <v>46276</v>
      </c>
      <c r="CP10" s="130">
        <f t="shared" si="15"/>
        <v>46277</v>
      </c>
      <c r="CQ10" s="130">
        <f t="shared" si="15"/>
        <v>46278</v>
      </c>
      <c r="CR10" s="130">
        <f t="shared" si="15"/>
        <v>46279</v>
      </c>
      <c r="CS10" s="193">
        <f t="shared" si="15"/>
        <v>46280</v>
      </c>
      <c r="CT10" s="193">
        <f>CS10+1</f>
        <v>46281</v>
      </c>
      <c r="CU10" s="193">
        <f>CT10+1</f>
        <v>46282</v>
      </c>
      <c r="CV10" s="193">
        <f>CU10+1</f>
        <v>46283</v>
      </c>
      <c r="CW10" s="130">
        <f>CV10+1</f>
        <v>46284</v>
      </c>
    </row>
    <row r="11" spans="1:177">
      <c r="A11" s="466"/>
      <c r="B11" s="465"/>
      <c r="C11" s="465"/>
      <c r="D11" s="467">
        <f>'BESS 10B'!H50</f>
        <v>46253</v>
      </c>
      <c r="E11" s="185" t="s">
        <v>64</v>
      </c>
      <c r="F11" s="66" t="e">
        <f>SUM('BESS 10B'!S63:S70,'BESS 10B'!S72)</f>
        <v>#VALUE!</v>
      </c>
      <c r="G11" s="182">
        <f>H11-10</f>
        <v>-10</v>
      </c>
      <c r="H11" s="182">
        <f>MAX('BESS 10B'!N63:N69)</f>
        <v>0</v>
      </c>
      <c r="I11" s="66">
        <f>H11-G11</f>
        <v>10</v>
      </c>
      <c r="J11" s="661">
        <f>AVERAGEIF(L16:CW16,"&gt;0")</f>
        <v>16.111111111111111</v>
      </c>
      <c r="K11" s="661" t="e">
        <f>MAX(L16:CW16)</f>
        <v>#VALUE!</v>
      </c>
      <c r="L11" s="65" t="str">
        <f t="shared" ref="L11:U14" si="16">IF(AND(L$2&gt;=$G11,L$2&lt;($G11+$I11)),ROUND($F11/$I11,0),"-")</f>
        <v>-</v>
      </c>
      <c r="M11" s="65" t="str">
        <f t="shared" si="16"/>
        <v>-</v>
      </c>
      <c r="N11" s="65" t="str">
        <f t="shared" si="16"/>
        <v>-</v>
      </c>
      <c r="O11" s="65" t="str">
        <f t="shared" si="16"/>
        <v>-</v>
      </c>
      <c r="P11" s="65" t="str">
        <f t="shared" si="16"/>
        <v>-</v>
      </c>
      <c r="Q11" s="65" t="str">
        <f t="shared" si="16"/>
        <v>-</v>
      </c>
      <c r="R11" s="65" t="str">
        <f t="shared" si="16"/>
        <v>-</v>
      </c>
      <c r="S11" s="65" t="str">
        <f t="shared" si="16"/>
        <v>-</v>
      </c>
      <c r="T11" s="65" t="str">
        <f t="shared" si="16"/>
        <v>-</v>
      </c>
      <c r="U11" s="65" t="str">
        <f t="shared" si="16"/>
        <v>-</v>
      </c>
      <c r="V11" s="65" t="str">
        <f t="shared" ref="V11:AE14" si="17">IF(AND(V$2&gt;=$G11,V$2&lt;($G11+$I11)),ROUND($F11/$I11,0),"-")</f>
        <v>-</v>
      </c>
      <c r="W11" s="65" t="str">
        <f t="shared" si="17"/>
        <v>-</v>
      </c>
      <c r="X11" s="65" t="str">
        <f t="shared" si="17"/>
        <v>-</v>
      </c>
      <c r="Y11" s="65" t="str">
        <f t="shared" si="17"/>
        <v>-</v>
      </c>
      <c r="Z11" s="65" t="str">
        <f t="shared" si="17"/>
        <v>-</v>
      </c>
      <c r="AA11" s="65" t="str">
        <f t="shared" si="17"/>
        <v>-</v>
      </c>
      <c r="AB11" s="65" t="str">
        <f t="shared" si="17"/>
        <v>-</v>
      </c>
      <c r="AC11" s="65" t="str">
        <f t="shared" si="17"/>
        <v>-</v>
      </c>
      <c r="AD11" s="65" t="str">
        <f t="shared" si="17"/>
        <v>-</v>
      </c>
      <c r="AE11" s="65" t="str">
        <f t="shared" si="17"/>
        <v>-</v>
      </c>
      <c r="AF11" s="65" t="str">
        <f t="shared" ref="AF11:AO14" si="18">IF(AND(AF$2&gt;=$G11,AF$2&lt;($G11+$I11)),ROUND($F11/$I11,0),"-")</f>
        <v>-</v>
      </c>
      <c r="AG11" s="65" t="str">
        <f t="shared" si="18"/>
        <v>-</v>
      </c>
      <c r="AH11" s="65" t="str">
        <f t="shared" si="18"/>
        <v>-</v>
      </c>
      <c r="AI11" s="65" t="str">
        <f t="shared" si="18"/>
        <v>-</v>
      </c>
      <c r="AJ11" s="65" t="str">
        <f t="shared" si="18"/>
        <v>-</v>
      </c>
      <c r="AK11" s="65" t="str">
        <f t="shared" si="18"/>
        <v>-</v>
      </c>
      <c r="AL11" s="65" t="str">
        <f t="shared" si="18"/>
        <v>-</v>
      </c>
      <c r="AM11" s="65" t="str">
        <f t="shared" si="18"/>
        <v>-</v>
      </c>
      <c r="AN11" s="65" t="str">
        <f t="shared" si="18"/>
        <v>-</v>
      </c>
      <c r="AO11" s="65" t="str">
        <f t="shared" si="18"/>
        <v>-</v>
      </c>
      <c r="AP11" s="65" t="str">
        <f t="shared" ref="AP11:AY14" si="19">IF(AND(AP$2&gt;=$G11,AP$2&lt;($G11+$I11)),ROUND($F11/$I11,0),"-")</f>
        <v>-</v>
      </c>
      <c r="AQ11" s="65" t="str">
        <f t="shared" si="19"/>
        <v>-</v>
      </c>
      <c r="AR11" s="65" t="str">
        <f t="shared" si="19"/>
        <v>-</v>
      </c>
      <c r="AS11" s="65" t="str">
        <f t="shared" si="19"/>
        <v>-</v>
      </c>
      <c r="AT11" s="65" t="str">
        <f t="shared" si="19"/>
        <v>-</v>
      </c>
      <c r="AU11" s="65" t="str">
        <f t="shared" si="19"/>
        <v>-</v>
      </c>
      <c r="AV11" s="65" t="str">
        <f t="shared" si="19"/>
        <v>-</v>
      </c>
      <c r="AW11" s="65" t="str">
        <f t="shared" si="19"/>
        <v>-</v>
      </c>
      <c r="AX11" s="65" t="str">
        <f t="shared" si="19"/>
        <v>-</v>
      </c>
      <c r="AY11" s="65" t="str">
        <f t="shared" si="19"/>
        <v>-</v>
      </c>
      <c r="AZ11" s="65" t="str">
        <f t="shared" ref="AZ11:BI14" si="20">IF(AND(AZ$2&gt;=$G11,AZ$2&lt;($G11+$I11)),ROUND($F11/$I11,0),"-")</f>
        <v>-</v>
      </c>
      <c r="BA11" s="65" t="str">
        <f t="shared" si="20"/>
        <v>-</v>
      </c>
      <c r="BB11" s="65" t="str">
        <f t="shared" si="20"/>
        <v>-</v>
      </c>
      <c r="BC11" s="65" t="str">
        <f t="shared" si="20"/>
        <v>-</v>
      </c>
      <c r="BD11" s="65" t="str">
        <f t="shared" si="20"/>
        <v>-</v>
      </c>
      <c r="BE11" s="65" t="str">
        <f t="shared" si="20"/>
        <v>-</v>
      </c>
      <c r="BF11" s="65" t="str">
        <f t="shared" si="20"/>
        <v>-</v>
      </c>
      <c r="BG11" s="65" t="str">
        <f t="shared" si="20"/>
        <v>-</v>
      </c>
      <c r="BH11" s="65" t="str">
        <f t="shared" si="20"/>
        <v>-</v>
      </c>
      <c r="BI11" s="65" t="str">
        <f t="shared" si="20"/>
        <v>-</v>
      </c>
      <c r="BJ11" s="65" t="str">
        <f t="shared" ref="BJ11:BS14" si="21">IF(AND(BJ$2&gt;=$G11,BJ$2&lt;($G11+$I11)),ROUND($F11/$I11,0),"-")</f>
        <v>-</v>
      </c>
      <c r="BK11" s="65" t="str">
        <f t="shared" si="21"/>
        <v>-</v>
      </c>
      <c r="BL11" s="65" t="str">
        <f t="shared" si="21"/>
        <v>-</v>
      </c>
      <c r="BM11" s="65" t="str">
        <f t="shared" si="21"/>
        <v>-</v>
      </c>
      <c r="BN11" s="65" t="str">
        <f t="shared" si="21"/>
        <v>-</v>
      </c>
      <c r="BO11" s="65" t="str">
        <f t="shared" si="21"/>
        <v>-</v>
      </c>
      <c r="BP11" s="65" t="str">
        <f t="shared" si="21"/>
        <v>-</v>
      </c>
      <c r="BQ11" s="65" t="str">
        <f t="shared" si="21"/>
        <v>-</v>
      </c>
      <c r="BR11" s="65" t="str">
        <f t="shared" si="21"/>
        <v>-</v>
      </c>
      <c r="BS11" s="65" t="str">
        <f t="shared" si="21"/>
        <v>-</v>
      </c>
      <c r="BT11" s="65" t="str">
        <f t="shared" ref="BT11:CC14" si="22">IF(AND(BT$2&gt;=$G11,BT$2&lt;($G11+$I11)),ROUND($F11/$I11,0),"-")</f>
        <v>-</v>
      </c>
      <c r="BU11" s="65" t="str">
        <f t="shared" si="22"/>
        <v>-</v>
      </c>
      <c r="BV11" s="65" t="str">
        <f t="shared" si="22"/>
        <v>-</v>
      </c>
      <c r="BW11" s="65" t="str">
        <f t="shared" si="22"/>
        <v>-</v>
      </c>
      <c r="BX11" s="65" t="str">
        <f t="shared" si="22"/>
        <v>-</v>
      </c>
      <c r="BY11" s="65" t="str">
        <f t="shared" si="22"/>
        <v>-</v>
      </c>
      <c r="BZ11" s="65" t="str">
        <f t="shared" si="22"/>
        <v>-</v>
      </c>
      <c r="CA11" s="65" t="str">
        <f t="shared" si="22"/>
        <v>-</v>
      </c>
      <c r="CB11" s="65" t="str">
        <f t="shared" si="22"/>
        <v>-</v>
      </c>
      <c r="CC11" s="65" t="str">
        <f t="shared" si="22"/>
        <v>-</v>
      </c>
      <c r="CD11" s="65" t="str">
        <f t="shared" ref="CD11:CM14" si="23">IF(AND(CD$2&gt;=$G11,CD$2&lt;($G11+$I11)),ROUND($F11/$I11,0),"-")</f>
        <v>-</v>
      </c>
      <c r="CE11" s="65" t="str">
        <f t="shared" si="23"/>
        <v>-</v>
      </c>
      <c r="CF11" s="65" t="str">
        <f t="shared" si="23"/>
        <v>-</v>
      </c>
      <c r="CG11" s="65" t="str">
        <f t="shared" si="23"/>
        <v>-</v>
      </c>
      <c r="CH11" s="65" t="str">
        <f t="shared" si="23"/>
        <v>-</v>
      </c>
      <c r="CI11" s="65" t="str">
        <f t="shared" si="23"/>
        <v>-</v>
      </c>
      <c r="CJ11" s="65" t="str">
        <f t="shared" si="23"/>
        <v>-</v>
      </c>
      <c r="CK11" s="65" t="str">
        <f t="shared" si="23"/>
        <v>-</v>
      </c>
      <c r="CL11" s="65" t="str">
        <f t="shared" si="23"/>
        <v>-</v>
      </c>
      <c r="CM11" s="65" t="str">
        <f t="shared" si="23"/>
        <v>-</v>
      </c>
      <c r="CN11" s="65" t="str">
        <f t="shared" ref="CN11:CW14" si="24">IF(AND(CN$2&gt;=$G11,CN$2&lt;($G11+$I11)),ROUND($F11/$I11,0),"-")</f>
        <v>-</v>
      </c>
      <c r="CO11" s="65" t="str">
        <f t="shared" si="24"/>
        <v>-</v>
      </c>
      <c r="CP11" s="65" t="str">
        <f t="shared" si="24"/>
        <v>-</v>
      </c>
      <c r="CQ11" s="65" t="str">
        <f t="shared" si="24"/>
        <v>-</v>
      </c>
      <c r="CR11" s="65" t="str">
        <f t="shared" si="24"/>
        <v>-</v>
      </c>
      <c r="CS11" s="186" t="str">
        <f t="shared" si="24"/>
        <v>-</v>
      </c>
      <c r="CT11" s="186" t="str">
        <f t="shared" si="24"/>
        <v>-</v>
      </c>
      <c r="CU11" s="186" t="str">
        <f t="shared" si="24"/>
        <v>-</v>
      </c>
      <c r="CV11" s="186" t="str">
        <f t="shared" si="24"/>
        <v>-</v>
      </c>
      <c r="CW11" s="65" t="str">
        <f t="shared" si="24"/>
        <v>-</v>
      </c>
    </row>
    <row r="12" spans="1:177">
      <c r="A12" s="466"/>
      <c r="B12" s="465"/>
      <c r="C12" s="465"/>
      <c r="D12" s="467"/>
      <c r="E12" s="185" t="s">
        <v>65</v>
      </c>
      <c r="F12" s="66" t="e">
        <f>SUM('BESS 10B'!S73,'BESS 10B'!S75:S76,'BESS 10B'!S79:S81)</f>
        <v>#VALUE!</v>
      </c>
      <c r="G12" s="182">
        <f>H12-20</f>
        <v>46214</v>
      </c>
      <c r="H12" s="182">
        <f>MAX('BESS 10B'!O73,'BESS 10B'!O75:O76,'BESS 10B'!O79:O81)</f>
        <v>46234</v>
      </c>
      <c r="I12" s="66">
        <f>H12-G12</f>
        <v>20</v>
      </c>
      <c r="J12" s="662"/>
      <c r="K12" s="662"/>
      <c r="L12" s="65" t="str">
        <f t="shared" si="16"/>
        <v>-</v>
      </c>
      <c r="M12" s="65" t="str">
        <f t="shared" si="16"/>
        <v>-</v>
      </c>
      <c r="N12" s="65" t="str">
        <f t="shared" si="16"/>
        <v>-</v>
      </c>
      <c r="O12" s="65" t="str">
        <f t="shared" si="16"/>
        <v>-</v>
      </c>
      <c r="P12" s="65" t="str">
        <f t="shared" si="16"/>
        <v>-</v>
      </c>
      <c r="Q12" s="65" t="str">
        <f t="shared" si="16"/>
        <v>-</v>
      </c>
      <c r="R12" s="65" t="str">
        <f t="shared" si="16"/>
        <v>-</v>
      </c>
      <c r="S12" s="65" t="str">
        <f t="shared" si="16"/>
        <v>-</v>
      </c>
      <c r="T12" s="65" t="str">
        <f t="shared" si="16"/>
        <v>-</v>
      </c>
      <c r="U12" s="65" t="str">
        <f t="shared" si="16"/>
        <v>-</v>
      </c>
      <c r="V12" s="65" t="str">
        <f t="shared" si="17"/>
        <v>-</v>
      </c>
      <c r="W12" s="65" t="str">
        <f t="shared" si="17"/>
        <v>-</v>
      </c>
      <c r="X12" s="65" t="str">
        <f t="shared" si="17"/>
        <v>-</v>
      </c>
      <c r="Y12" s="65" t="str">
        <f t="shared" si="17"/>
        <v>-</v>
      </c>
      <c r="Z12" s="65" t="str">
        <f t="shared" si="17"/>
        <v>-</v>
      </c>
      <c r="AA12" s="65" t="str">
        <f t="shared" si="17"/>
        <v>-</v>
      </c>
      <c r="AB12" s="65" t="str">
        <f t="shared" si="17"/>
        <v>-</v>
      </c>
      <c r="AC12" s="65" t="str">
        <f t="shared" si="17"/>
        <v>-</v>
      </c>
      <c r="AD12" s="65" t="str">
        <f t="shared" si="17"/>
        <v>-</v>
      </c>
      <c r="AE12" s="65" t="e">
        <f t="shared" si="17"/>
        <v>#VALUE!</v>
      </c>
      <c r="AF12" s="65" t="e">
        <f t="shared" si="18"/>
        <v>#VALUE!</v>
      </c>
      <c r="AG12" s="65" t="e">
        <f t="shared" si="18"/>
        <v>#VALUE!</v>
      </c>
      <c r="AH12" s="65" t="e">
        <f t="shared" si="18"/>
        <v>#VALUE!</v>
      </c>
      <c r="AI12" s="65" t="e">
        <f t="shared" si="18"/>
        <v>#VALUE!</v>
      </c>
      <c r="AJ12" s="65" t="e">
        <f t="shared" si="18"/>
        <v>#VALUE!</v>
      </c>
      <c r="AK12" s="65" t="e">
        <f t="shared" si="18"/>
        <v>#VALUE!</v>
      </c>
      <c r="AL12" s="65" t="e">
        <f t="shared" si="18"/>
        <v>#VALUE!</v>
      </c>
      <c r="AM12" s="65" t="e">
        <f t="shared" si="18"/>
        <v>#VALUE!</v>
      </c>
      <c r="AN12" s="65" t="e">
        <f t="shared" si="18"/>
        <v>#VALUE!</v>
      </c>
      <c r="AO12" s="65" t="e">
        <f t="shared" si="18"/>
        <v>#VALUE!</v>
      </c>
      <c r="AP12" s="65" t="e">
        <f t="shared" si="19"/>
        <v>#VALUE!</v>
      </c>
      <c r="AQ12" s="65" t="e">
        <f t="shared" si="19"/>
        <v>#VALUE!</v>
      </c>
      <c r="AR12" s="65" t="e">
        <f t="shared" si="19"/>
        <v>#VALUE!</v>
      </c>
      <c r="AS12" s="65" t="e">
        <f t="shared" si="19"/>
        <v>#VALUE!</v>
      </c>
      <c r="AT12" s="65" t="e">
        <f t="shared" si="19"/>
        <v>#VALUE!</v>
      </c>
      <c r="AU12" s="65" t="e">
        <f t="shared" si="19"/>
        <v>#VALUE!</v>
      </c>
      <c r="AV12" s="65" t="e">
        <f t="shared" si="19"/>
        <v>#VALUE!</v>
      </c>
      <c r="AW12" s="65" t="e">
        <f t="shared" si="19"/>
        <v>#VALUE!</v>
      </c>
      <c r="AX12" s="65" t="e">
        <f t="shared" si="19"/>
        <v>#VALUE!</v>
      </c>
      <c r="AY12" s="65" t="str">
        <f t="shared" si="19"/>
        <v>-</v>
      </c>
      <c r="AZ12" s="65" t="str">
        <f t="shared" si="20"/>
        <v>-</v>
      </c>
      <c r="BA12" s="65" t="str">
        <f t="shared" si="20"/>
        <v>-</v>
      </c>
      <c r="BB12" s="65" t="str">
        <f t="shared" si="20"/>
        <v>-</v>
      </c>
      <c r="BC12" s="65" t="str">
        <f t="shared" si="20"/>
        <v>-</v>
      </c>
      <c r="BD12" s="65" t="str">
        <f t="shared" si="20"/>
        <v>-</v>
      </c>
      <c r="BE12" s="65" t="str">
        <f t="shared" si="20"/>
        <v>-</v>
      </c>
      <c r="BF12" s="65" t="str">
        <f t="shared" si="20"/>
        <v>-</v>
      </c>
      <c r="BG12" s="65" t="str">
        <f t="shared" si="20"/>
        <v>-</v>
      </c>
      <c r="BH12" s="65" t="str">
        <f t="shared" si="20"/>
        <v>-</v>
      </c>
      <c r="BI12" s="65" t="str">
        <f t="shared" si="20"/>
        <v>-</v>
      </c>
      <c r="BJ12" s="65" t="str">
        <f t="shared" si="21"/>
        <v>-</v>
      </c>
      <c r="BK12" s="65" t="str">
        <f t="shared" si="21"/>
        <v>-</v>
      </c>
      <c r="BL12" s="65" t="str">
        <f t="shared" si="21"/>
        <v>-</v>
      </c>
      <c r="BM12" s="65" t="str">
        <f t="shared" si="21"/>
        <v>-</v>
      </c>
      <c r="BN12" s="65" t="str">
        <f t="shared" si="21"/>
        <v>-</v>
      </c>
      <c r="BO12" s="65" t="str">
        <f t="shared" si="21"/>
        <v>-</v>
      </c>
      <c r="BP12" s="65" t="str">
        <f t="shared" si="21"/>
        <v>-</v>
      </c>
      <c r="BQ12" s="65" t="str">
        <f t="shared" si="21"/>
        <v>-</v>
      </c>
      <c r="BR12" s="65" t="str">
        <f t="shared" si="21"/>
        <v>-</v>
      </c>
      <c r="BS12" s="65" t="str">
        <f t="shared" si="21"/>
        <v>-</v>
      </c>
      <c r="BT12" s="65" t="str">
        <f t="shared" si="22"/>
        <v>-</v>
      </c>
      <c r="BU12" s="65" t="str">
        <f t="shared" si="22"/>
        <v>-</v>
      </c>
      <c r="BV12" s="65" t="str">
        <f t="shared" si="22"/>
        <v>-</v>
      </c>
      <c r="BW12" s="65" t="str">
        <f t="shared" si="22"/>
        <v>-</v>
      </c>
      <c r="BX12" s="65" t="str">
        <f t="shared" si="22"/>
        <v>-</v>
      </c>
      <c r="BY12" s="65" t="str">
        <f t="shared" si="22"/>
        <v>-</v>
      </c>
      <c r="BZ12" s="65" t="str">
        <f t="shared" si="22"/>
        <v>-</v>
      </c>
      <c r="CA12" s="65" t="str">
        <f t="shared" si="22"/>
        <v>-</v>
      </c>
      <c r="CB12" s="65" t="str">
        <f t="shared" si="22"/>
        <v>-</v>
      </c>
      <c r="CC12" s="65" t="str">
        <f t="shared" si="22"/>
        <v>-</v>
      </c>
      <c r="CD12" s="65" t="str">
        <f t="shared" si="23"/>
        <v>-</v>
      </c>
      <c r="CE12" s="65" t="str">
        <f t="shared" si="23"/>
        <v>-</v>
      </c>
      <c r="CF12" s="65" t="str">
        <f t="shared" si="23"/>
        <v>-</v>
      </c>
      <c r="CG12" s="65" t="str">
        <f t="shared" si="23"/>
        <v>-</v>
      </c>
      <c r="CH12" s="65" t="str">
        <f t="shared" si="23"/>
        <v>-</v>
      </c>
      <c r="CI12" s="65" t="str">
        <f t="shared" si="23"/>
        <v>-</v>
      </c>
      <c r="CJ12" s="65" t="str">
        <f t="shared" si="23"/>
        <v>-</v>
      </c>
      <c r="CK12" s="65" t="str">
        <f t="shared" si="23"/>
        <v>-</v>
      </c>
      <c r="CL12" s="65" t="str">
        <f t="shared" si="23"/>
        <v>-</v>
      </c>
      <c r="CM12" s="65" t="str">
        <f t="shared" si="23"/>
        <v>-</v>
      </c>
      <c r="CN12" s="65" t="str">
        <f t="shared" si="24"/>
        <v>-</v>
      </c>
      <c r="CO12" s="65" t="str">
        <f t="shared" si="24"/>
        <v>-</v>
      </c>
      <c r="CP12" s="65" t="str">
        <f t="shared" si="24"/>
        <v>-</v>
      </c>
      <c r="CQ12" s="65" t="str">
        <f t="shared" si="24"/>
        <v>-</v>
      </c>
      <c r="CR12" s="65" t="str">
        <f t="shared" si="24"/>
        <v>-</v>
      </c>
      <c r="CS12" s="186" t="str">
        <f t="shared" si="24"/>
        <v>-</v>
      </c>
      <c r="CT12" s="186" t="str">
        <f t="shared" si="24"/>
        <v>-</v>
      </c>
      <c r="CU12" s="186" t="str">
        <f t="shared" si="24"/>
        <v>-</v>
      </c>
      <c r="CV12" s="186" t="str">
        <f t="shared" si="24"/>
        <v>-</v>
      </c>
      <c r="CW12" s="65" t="str">
        <f t="shared" si="24"/>
        <v>-</v>
      </c>
    </row>
    <row r="13" spans="1:177">
      <c r="A13" s="466"/>
      <c r="B13" s="465"/>
      <c r="C13" s="465"/>
      <c r="D13" s="467"/>
      <c r="E13" s="185" t="s">
        <v>66</v>
      </c>
      <c r="F13" s="66" t="e">
        <f>SUM('BESS 10B'!S74,'BESS 10B'!S77:S78,'BESS 10B'!S82:S83)</f>
        <v>#VALUE!</v>
      </c>
      <c r="G13" s="182">
        <f>H13-20</f>
        <v>46219</v>
      </c>
      <c r="H13" s="182">
        <f>MAX('BESS 10B'!O74,'BESS 10B'!O77:O78,'BESS 10B'!O82:O83)</f>
        <v>46239</v>
      </c>
      <c r="I13" s="66">
        <f>H13-G13</f>
        <v>20</v>
      </c>
      <c r="J13" s="662"/>
      <c r="K13" s="662"/>
      <c r="L13" s="65" t="str">
        <f t="shared" si="16"/>
        <v>-</v>
      </c>
      <c r="M13" s="65" t="str">
        <f t="shared" si="16"/>
        <v>-</v>
      </c>
      <c r="N13" s="65" t="str">
        <f t="shared" si="16"/>
        <v>-</v>
      </c>
      <c r="O13" s="65" t="str">
        <f t="shared" si="16"/>
        <v>-</v>
      </c>
      <c r="P13" s="65" t="str">
        <f t="shared" si="16"/>
        <v>-</v>
      </c>
      <c r="Q13" s="65" t="str">
        <f t="shared" si="16"/>
        <v>-</v>
      </c>
      <c r="R13" s="65" t="str">
        <f t="shared" si="16"/>
        <v>-</v>
      </c>
      <c r="S13" s="65" t="str">
        <f t="shared" si="16"/>
        <v>-</v>
      </c>
      <c r="T13" s="65" t="str">
        <f t="shared" si="16"/>
        <v>-</v>
      </c>
      <c r="U13" s="65" t="str">
        <f t="shared" si="16"/>
        <v>-</v>
      </c>
      <c r="V13" s="65" t="str">
        <f t="shared" si="17"/>
        <v>-</v>
      </c>
      <c r="W13" s="65" t="str">
        <f t="shared" si="17"/>
        <v>-</v>
      </c>
      <c r="X13" s="65" t="str">
        <f t="shared" si="17"/>
        <v>-</v>
      </c>
      <c r="Y13" s="65" t="str">
        <f t="shared" si="17"/>
        <v>-</v>
      </c>
      <c r="Z13" s="65" t="str">
        <f t="shared" si="17"/>
        <v>-</v>
      </c>
      <c r="AA13" s="65" t="str">
        <f t="shared" si="17"/>
        <v>-</v>
      </c>
      <c r="AB13" s="65" t="str">
        <f t="shared" si="17"/>
        <v>-</v>
      </c>
      <c r="AC13" s="65" t="str">
        <f t="shared" si="17"/>
        <v>-</v>
      </c>
      <c r="AD13" s="65" t="str">
        <f t="shared" si="17"/>
        <v>-</v>
      </c>
      <c r="AE13" s="65" t="str">
        <f t="shared" si="17"/>
        <v>-</v>
      </c>
      <c r="AF13" s="65" t="str">
        <f t="shared" si="18"/>
        <v>-</v>
      </c>
      <c r="AG13" s="65" t="str">
        <f t="shared" si="18"/>
        <v>-</v>
      </c>
      <c r="AH13" s="65" t="str">
        <f t="shared" si="18"/>
        <v>-</v>
      </c>
      <c r="AI13" s="65" t="str">
        <f t="shared" si="18"/>
        <v>-</v>
      </c>
      <c r="AJ13" s="65" t="e">
        <f t="shared" si="18"/>
        <v>#VALUE!</v>
      </c>
      <c r="AK13" s="65" t="e">
        <f t="shared" si="18"/>
        <v>#VALUE!</v>
      </c>
      <c r="AL13" s="65" t="e">
        <f t="shared" si="18"/>
        <v>#VALUE!</v>
      </c>
      <c r="AM13" s="65" t="e">
        <f t="shared" si="18"/>
        <v>#VALUE!</v>
      </c>
      <c r="AN13" s="65" t="e">
        <f t="shared" si="18"/>
        <v>#VALUE!</v>
      </c>
      <c r="AO13" s="65" t="e">
        <f t="shared" si="18"/>
        <v>#VALUE!</v>
      </c>
      <c r="AP13" s="65" t="e">
        <f t="shared" si="19"/>
        <v>#VALUE!</v>
      </c>
      <c r="AQ13" s="65" t="e">
        <f t="shared" si="19"/>
        <v>#VALUE!</v>
      </c>
      <c r="AR13" s="65" t="e">
        <f t="shared" si="19"/>
        <v>#VALUE!</v>
      </c>
      <c r="AS13" s="65" t="e">
        <f t="shared" si="19"/>
        <v>#VALUE!</v>
      </c>
      <c r="AT13" s="65" t="e">
        <f t="shared" si="19"/>
        <v>#VALUE!</v>
      </c>
      <c r="AU13" s="65" t="e">
        <f t="shared" si="19"/>
        <v>#VALUE!</v>
      </c>
      <c r="AV13" s="65" t="e">
        <f t="shared" si="19"/>
        <v>#VALUE!</v>
      </c>
      <c r="AW13" s="65" t="e">
        <f t="shared" si="19"/>
        <v>#VALUE!</v>
      </c>
      <c r="AX13" s="65" t="e">
        <f t="shared" si="19"/>
        <v>#VALUE!</v>
      </c>
      <c r="AY13" s="65" t="e">
        <f t="shared" si="19"/>
        <v>#VALUE!</v>
      </c>
      <c r="AZ13" s="65" t="e">
        <f t="shared" si="20"/>
        <v>#VALUE!</v>
      </c>
      <c r="BA13" s="65" t="e">
        <f t="shared" si="20"/>
        <v>#VALUE!</v>
      </c>
      <c r="BB13" s="65" t="e">
        <f t="shared" si="20"/>
        <v>#VALUE!</v>
      </c>
      <c r="BC13" s="65" t="e">
        <f t="shared" si="20"/>
        <v>#VALUE!</v>
      </c>
      <c r="BD13" s="65" t="str">
        <f t="shared" si="20"/>
        <v>-</v>
      </c>
      <c r="BE13" s="65" t="str">
        <f t="shared" si="20"/>
        <v>-</v>
      </c>
      <c r="BF13" s="65" t="str">
        <f t="shared" si="20"/>
        <v>-</v>
      </c>
      <c r="BG13" s="65" t="str">
        <f t="shared" si="20"/>
        <v>-</v>
      </c>
      <c r="BH13" s="65" t="str">
        <f t="shared" si="20"/>
        <v>-</v>
      </c>
      <c r="BI13" s="65" t="str">
        <f t="shared" si="20"/>
        <v>-</v>
      </c>
      <c r="BJ13" s="65" t="str">
        <f t="shared" si="21"/>
        <v>-</v>
      </c>
      <c r="BK13" s="65" t="str">
        <f t="shared" si="21"/>
        <v>-</v>
      </c>
      <c r="BL13" s="65" t="str">
        <f t="shared" si="21"/>
        <v>-</v>
      </c>
      <c r="BM13" s="65" t="str">
        <f t="shared" si="21"/>
        <v>-</v>
      </c>
      <c r="BN13" s="65" t="str">
        <f t="shared" si="21"/>
        <v>-</v>
      </c>
      <c r="BO13" s="65" t="str">
        <f t="shared" si="21"/>
        <v>-</v>
      </c>
      <c r="BP13" s="65" t="str">
        <f t="shared" si="21"/>
        <v>-</v>
      </c>
      <c r="BQ13" s="65" t="str">
        <f t="shared" si="21"/>
        <v>-</v>
      </c>
      <c r="BR13" s="65" t="str">
        <f t="shared" si="21"/>
        <v>-</v>
      </c>
      <c r="BS13" s="65" t="str">
        <f t="shared" si="21"/>
        <v>-</v>
      </c>
      <c r="BT13" s="65" t="str">
        <f t="shared" si="22"/>
        <v>-</v>
      </c>
      <c r="BU13" s="65" t="str">
        <f t="shared" si="22"/>
        <v>-</v>
      </c>
      <c r="BV13" s="65" t="str">
        <f t="shared" si="22"/>
        <v>-</v>
      </c>
      <c r="BW13" s="65" t="str">
        <f t="shared" si="22"/>
        <v>-</v>
      </c>
      <c r="BX13" s="65" t="str">
        <f t="shared" si="22"/>
        <v>-</v>
      </c>
      <c r="BY13" s="65" t="str">
        <f t="shared" si="22"/>
        <v>-</v>
      </c>
      <c r="BZ13" s="65" t="str">
        <f t="shared" si="22"/>
        <v>-</v>
      </c>
      <c r="CA13" s="65" t="str">
        <f t="shared" si="22"/>
        <v>-</v>
      </c>
      <c r="CB13" s="65" t="str">
        <f t="shared" si="22"/>
        <v>-</v>
      </c>
      <c r="CC13" s="65" t="str">
        <f t="shared" si="22"/>
        <v>-</v>
      </c>
      <c r="CD13" s="65" t="str">
        <f t="shared" si="23"/>
        <v>-</v>
      </c>
      <c r="CE13" s="65" t="str">
        <f t="shared" si="23"/>
        <v>-</v>
      </c>
      <c r="CF13" s="65" t="str">
        <f t="shared" si="23"/>
        <v>-</v>
      </c>
      <c r="CG13" s="65" t="str">
        <f t="shared" si="23"/>
        <v>-</v>
      </c>
      <c r="CH13" s="65" t="str">
        <f t="shared" si="23"/>
        <v>-</v>
      </c>
      <c r="CI13" s="65" t="str">
        <f t="shared" si="23"/>
        <v>-</v>
      </c>
      <c r="CJ13" s="65" t="str">
        <f t="shared" si="23"/>
        <v>-</v>
      </c>
      <c r="CK13" s="65" t="str">
        <f t="shared" si="23"/>
        <v>-</v>
      </c>
      <c r="CL13" s="65" t="str">
        <f t="shared" si="23"/>
        <v>-</v>
      </c>
      <c r="CM13" s="65" t="str">
        <f t="shared" si="23"/>
        <v>-</v>
      </c>
      <c r="CN13" s="65" t="str">
        <f t="shared" si="24"/>
        <v>-</v>
      </c>
      <c r="CO13" s="65" t="str">
        <f t="shared" si="24"/>
        <v>-</v>
      </c>
      <c r="CP13" s="65" t="str">
        <f t="shared" si="24"/>
        <v>-</v>
      </c>
      <c r="CQ13" s="65" t="str">
        <f t="shared" si="24"/>
        <v>-</v>
      </c>
      <c r="CR13" s="65" t="str">
        <f t="shared" si="24"/>
        <v>-</v>
      </c>
      <c r="CS13" s="186" t="str">
        <f t="shared" si="24"/>
        <v>-</v>
      </c>
      <c r="CT13" s="186" t="str">
        <f t="shared" si="24"/>
        <v>-</v>
      </c>
      <c r="CU13" s="186" t="str">
        <f t="shared" si="24"/>
        <v>-</v>
      </c>
      <c r="CV13" s="186" t="str">
        <f t="shared" si="24"/>
        <v>-</v>
      </c>
      <c r="CW13" s="65" t="str">
        <f t="shared" si="24"/>
        <v>-</v>
      </c>
    </row>
    <row r="14" spans="1:177">
      <c r="A14" s="466"/>
      <c r="B14" s="465"/>
      <c r="C14" s="465"/>
      <c r="D14" s="467"/>
      <c r="E14" s="185" t="s">
        <v>67</v>
      </c>
      <c r="F14" s="66" t="e">
        <f>SUM('BESS 10B'!S85:S94)</f>
        <v>#VALUE!</v>
      </c>
      <c r="G14" s="182">
        <f>H14-14</f>
        <v>46228</v>
      </c>
      <c r="H14" s="182">
        <f>B10-3</f>
        <v>46242</v>
      </c>
      <c r="I14" s="66">
        <f>H14-G14</f>
        <v>14</v>
      </c>
      <c r="J14" s="662"/>
      <c r="K14" s="662"/>
      <c r="L14" s="65" t="str">
        <f t="shared" si="16"/>
        <v>-</v>
      </c>
      <c r="M14" s="65" t="str">
        <f t="shared" si="16"/>
        <v>-</v>
      </c>
      <c r="N14" s="65" t="str">
        <f t="shared" si="16"/>
        <v>-</v>
      </c>
      <c r="O14" s="65" t="str">
        <f t="shared" si="16"/>
        <v>-</v>
      </c>
      <c r="P14" s="65" t="str">
        <f t="shared" si="16"/>
        <v>-</v>
      </c>
      <c r="Q14" s="65" t="str">
        <f t="shared" si="16"/>
        <v>-</v>
      </c>
      <c r="R14" s="65" t="str">
        <f t="shared" si="16"/>
        <v>-</v>
      </c>
      <c r="S14" s="65" t="str">
        <f t="shared" si="16"/>
        <v>-</v>
      </c>
      <c r="T14" s="65" t="str">
        <f t="shared" si="16"/>
        <v>-</v>
      </c>
      <c r="U14" s="65" t="str">
        <f t="shared" si="16"/>
        <v>-</v>
      </c>
      <c r="V14" s="65" t="str">
        <f t="shared" si="17"/>
        <v>-</v>
      </c>
      <c r="W14" s="65" t="str">
        <f t="shared" si="17"/>
        <v>-</v>
      </c>
      <c r="X14" s="65" t="str">
        <f t="shared" si="17"/>
        <v>-</v>
      </c>
      <c r="Y14" s="65" t="str">
        <f t="shared" si="17"/>
        <v>-</v>
      </c>
      <c r="Z14" s="65" t="str">
        <f t="shared" si="17"/>
        <v>-</v>
      </c>
      <c r="AA14" s="65" t="str">
        <f t="shared" si="17"/>
        <v>-</v>
      </c>
      <c r="AB14" s="65" t="str">
        <f t="shared" si="17"/>
        <v>-</v>
      </c>
      <c r="AC14" s="65" t="str">
        <f t="shared" si="17"/>
        <v>-</v>
      </c>
      <c r="AD14" s="65" t="str">
        <f t="shared" si="17"/>
        <v>-</v>
      </c>
      <c r="AE14" s="65" t="str">
        <f t="shared" si="17"/>
        <v>-</v>
      </c>
      <c r="AF14" s="65" t="str">
        <f t="shared" si="18"/>
        <v>-</v>
      </c>
      <c r="AG14" s="65" t="str">
        <f t="shared" si="18"/>
        <v>-</v>
      </c>
      <c r="AH14" s="65" t="str">
        <f t="shared" si="18"/>
        <v>-</v>
      </c>
      <c r="AI14" s="65" t="str">
        <f t="shared" si="18"/>
        <v>-</v>
      </c>
      <c r="AJ14" s="65" t="str">
        <f t="shared" si="18"/>
        <v>-</v>
      </c>
      <c r="AK14" s="65" t="str">
        <f t="shared" si="18"/>
        <v>-</v>
      </c>
      <c r="AL14" s="65" t="str">
        <f t="shared" si="18"/>
        <v>-</v>
      </c>
      <c r="AM14" s="65" t="str">
        <f t="shared" si="18"/>
        <v>-</v>
      </c>
      <c r="AN14" s="65" t="str">
        <f t="shared" si="18"/>
        <v>-</v>
      </c>
      <c r="AO14" s="65" t="str">
        <f t="shared" si="18"/>
        <v>-</v>
      </c>
      <c r="AP14" s="65" t="str">
        <f t="shared" si="19"/>
        <v>-</v>
      </c>
      <c r="AQ14" s="65" t="str">
        <f t="shared" si="19"/>
        <v>-</v>
      </c>
      <c r="AR14" s="65" t="str">
        <f t="shared" si="19"/>
        <v>-</v>
      </c>
      <c r="AS14" s="65" t="e">
        <f t="shared" si="19"/>
        <v>#VALUE!</v>
      </c>
      <c r="AT14" s="65" t="e">
        <f t="shared" si="19"/>
        <v>#VALUE!</v>
      </c>
      <c r="AU14" s="65" t="e">
        <f t="shared" si="19"/>
        <v>#VALUE!</v>
      </c>
      <c r="AV14" s="65" t="e">
        <f t="shared" si="19"/>
        <v>#VALUE!</v>
      </c>
      <c r="AW14" s="65" t="e">
        <f t="shared" si="19"/>
        <v>#VALUE!</v>
      </c>
      <c r="AX14" s="65" t="e">
        <f t="shared" si="19"/>
        <v>#VALUE!</v>
      </c>
      <c r="AY14" s="65" t="e">
        <f t="shared" si="19"/>
        <v>#VALUE!</v>
      </c>
      <c r="AZ14" s="65" t="e">
        <f t="shared" si="20"/>
        <v>#VALUE!</v>
      </c>
      <c r="BA14" s="65" t="e">
        <f t="shared" si="20"/>
        <v>#VALUE!</v>
      </c>
      <c r="BB14" s="65" t="e">
        <f t="shared" si="20"/>
        <v>#VALUE!</v>
      </c>
      <c r="BC14" s="65" t="e">
        <f t="shared" si="20"/>
        <v>#VALUE!</v>
      </c>
      <c r="BD14" s="65" t="e">
        <f t="shared" si="20"/>
        <v>#VALUE!</v>
      </c>
      <c r="BE14" s="65" t="e">
        <f t="shared" si="20"/>
        <v>#VALUE!</v>
      </c>
      <c r="BF14" s="65" t="e">
        <f t="shared" si="20"/>
        <v>#VALUE!</v>
      </c>
      <c r="BG14" s="65" t="str">
        <f t="shared" si="20"/>
        <v>-</v>
      </c>
      <c r="BH14" s="65" t="str">
        <f t="shared" si="20"/>
        <v>-</v>
      </c>
      <c r="BI14" s="65" t="str">
        <f t="shared" si="20"/>
        <v>-</v>
      </c>
      <c r="BJ14" s="65" t="str">
        <f t="shared" si="21"/>
        <v>-</v>
      </c>
      <c r="BK14" s="65" t="str">
        <f t="shared" si="21"/>
        <v>-</v>
      </c>
      <c r="BL14" s="65" t="str">
        <f t="shared" si="21"/>
        <v>-</v>
      </c>
      <c r="BM14" s="65" t="str">
        <f t="shared" si="21"/>
        <v>-</v>
      </c>
      <c r="BN14" s="65" t="str">
        <f t="shared" si="21"/>
        <v>-</v>
      </c>
      <c r="BO14" s="65" t="str">
        <f t="shared" si="21"/>
        <v>-</v>
      </c>
      <c r="BP14" s="65" t="str">
        <f t="shared" si="21"/>
        <v>-</v>
      </c>
      <c r="BQ14" s="65" t="str">
        <f t="shared" si="21"/>
        <v>-</v>
      </c>
      <c r="BR14" s="65" t="str">
        <f t="shared" si="21"/>
        <v>-</v>
      </c>
      <c r="BS14" s="65" t="str">
        <f t="shared" si="21"/>
        <v>-</v>
      </c>
      <c r="BT14" s="65" t="str">
        <f t="shared" si="22"/>
        <v>-</v>
      </c>
      <c r="BU14" s="65" t="str">
        <f t="shared" si="22"/>
        <v>-</v>
      </c>
      <c r="BV14" s="65" t="str">
        <f t="shared" si="22"/>
        <v>-</v>
      </c>
      <c r="BW14" s="65" t="str">
        <f t="shared" si="22"/>
        <v>-</v>
      </c>
      <c r="BX14" s="65" t="str">
        <f t="shared" si="22"/>
        <v>-</v>
      </c>
      <c r="BY14" s="65" t="str">
        <f t="shared" si="22"/>
        <v>-</v>
      </c>
      <c r="BZ14" s="65" t="str">
        <f t="shared" si="22"/>
        <v>-</v>
      </c>
      <c r="CA14" s="65" t="str">
        <f t="shared" si="22"/>
        <v>-</v>
      </c>
      <c r="CB14" s="65" t="str">
        <f t="shared" si="22"/>
        <v>-</v>
      </c>
      <c r="CC14" s="65" t="str">
        <f t="shared" si="22"/>
        <v>-</v>
      </c>
      <c r="CD14" s="65" t="str">
        <f t="shared" si="23"/>
        <v>-</v>
      </c>
      <c r="CE14" s="65" t="str">
        <f t="shared" si="23"/>
        <v>-</v>
      </c>
      <c r="CF14" s="65" t="str">
        <f t="shared" si="23"/>
        <v>-</v>
      </c>
      <c r="CG14" s="65" t="str">
        <f t="shared" si="23"/>
        <v>-</v>
      </c>
      <c r="CH14" s="65" t="str">
        <f t="shared" si="23"/>
        <v>-</v>
      </c>
      <c r="CI14" s="65" t="str">
        <f t="shared" si="23"/>
        <v>-</v>
      </c>
      <c r="CJ14" s="65" t="str">
        <f t="shared" si="23"/>
        <v>-</v>
      </c>
      <c r="CK14" s="65" t="str">
        <f t="shared" si="23"/>
        <v>-</v>
      </c>
      <c r="CL14" s="65" t="str">
        <f t="shared" si="23"/>
        <v>-</v>
      </c>
      <c r="CM14" s="65" t="str">
        <f t="shared" si="23"/>
        <v>-</v>
      </c>
      <c r="CN14" s="65" t="str">
        <f t="shared" si="24"/>
        <v>-</v>
      </c>
      <c r="CO14" s="65" t="str">
        <f t="shared" si="24"/>
        <v>-</v>
      </c>
      <c r="CP14" s="65" t="str">
        <f t="shared" si="24"/>
        <v>-</v>
      </c>
      <c r="CQ14" s="65" t="str">
        <f t="shared" si="24"/>
        <v>-</v>
      </c>
      <c r="CR14" s="65" t="str">
        <f t="shared" si="24"/>
        <v>-</v>
      </c>
      <c r="CS14" s="186" t="str">
        <f t="shared" si="24"/>
        <v>-</v>
      </c>
      <c r="CT14" s="186" t="str">
        <f t="shared" si="24"/>
        <v>-</v>
      </c>
      <c r="CU14" s="186" t="str">
        <f t="shared" si="24"/>
        <v>-</v>
      </c>
      <c r="CV14" s="186" t="str">
        <f t="shared" si="24"/>
        <v>-</v>
      </c>
      <c r="CW14" s="65" t="str">
        <f t="shared" si="24"/>
        <v>-</v>
      </c>
    </row>
    <row r="15" spans="1:177">
      <c r="A15" s="466"/>
      <c r="B15" s="465"/>
      <c r="C15" s="465"/>
      <c r="D15" s="467"/>
      <c r="E15" s="185" t="s">
        <v>68</v>
      </c>
      <c r="F15" s="66">
        <v>250</v>
      </c>
      <c r="G15" s="182">
        <f>B10-3</f>
        <v>46242</v>
      </c>
      <c r="H15" s="182"/>
      <c r="I15" s="65">
        <v>30</v>
      </c>
      <c r="J15" s="663"/>
      <c r="K15" s="663"/>
      <c r="L15" s="182"/>
      <c r="M15" s="182"/>
      <c r="N15" s="65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5">
        <v>5</v>
      </c>
      <c r="AL15" s="65">
        <v>5</v>
      </c>
      <c r="AM15" s="65">
        <v>5</v>
      </c>
      <c r="AN15" s="65">
        <v>5</v>
      </c>
      <c r="AO15" s="65">
        <v>5</v>
      </c>
      <c r="AP15" s="65">
        <v>5</v>
      </c>
      <c r="AQ15" s="65">
        <v>5</v>
      </c>
      <c r="AR15" s="65">
        <v>5</v>
      </c>
      <c r="AS15" s="65">
        <v>5</v>
      </c>
      <c r="AT15" s="65">
        <v>5</v>
      </c>
      <c r="AU15" s="65">
        <v>5</v>
      </c>
      <c r="AV15" s="65">
        <v>5</v>
      </c>
      <c r="AW15" s="65">
        <v>5</v>
      </c>
      <c r="AX15" s="65">
        <v>5</v>
      </c>
      <c r="AY15" s="65">
        <v>5</v>
      </c>
      <c r="AZ15" s="65">
        <v>5</v>
      </c>
      <c r="BA15" s="65">
        <v>5</v>
      </c>
      <c r="BB15" s="65">
        <v>5</v>
      </c>
      <c r="BC15" s="65">
        <v>5</v>
      </c>
      <c r="BD15" s="65">
        <v>5</v>
      </c>
      <c r="BE15" s="65">
        <v>5</v>
      </c>
      <c r="BF15" s="65">
        <v>5</v>
      </c>
      <c r="BG15" s="65">
        <v>5</v>
      </c>
      <c r="BH15" s="65">
        <v>30</v>
      </c>
      <c r="BI15" s="65">
        <v>30</v>
      </c>
      <c r="BJ15" s="65">
        <v>30</v>
      </c>
      <c r="BK15" s="65">
        <v>30</v>
      </c>
      <c r="BL15" s="65">
        <v>5</v>
      </c>
      <c r="BM15" s="65">
        <v>5</v>
      </c>
      <c r="BN15" s="65">
        <v>5</v>
      </c>
      <c r="BO15" s="65">
        <v>5</v>
      </c>
      <c r="BP15" s="65"/>
      <c r="BQ15" s="65"/>
      <c r="BR15" s="65"/>
      <c r="BS15" s="65"/>
      <c r="BT15" s="65"/>
      <c r="BU15" s="65"/>
      <c r="BV15" s="65"/>
      <c r="BW15" s="65"/>
      <c r="BX15" s="185"/>
      <c r="BY15" s="185"/>
      <c r="BZ15" s="185"/>
      <c r="CA15" s="185"/>
      <c r="CB15" s="185"/>
      <c r="CC15" s="185"/>
      <c r="CD15" s="185"/>
      <c r="CE15" s="185"/>
      <c r="CF15" s="185"/>
      <c r="CG15" s="185"/>
      <c r="CH15" s="185"/>
      <c r="CI15" s="185"/>
      <c r="CJ15" s="185"/>
      <c r="CK15" s="185"/>
      <c r="CL15" s="185"/>
      <c r="CM15" s="185"/>
      <c r="CN15" s="185"/>
      <c r="CO15" s="185"/>
      <c r="CP15" s="185"/>
      <c r="CQ15" s="185"/>
      <c r="CR15" s="185"/>
      <c r="CS15" s="194"/>
      <c r="CT15" s="194"/>
      <c r="CU15" s="194"/>
      <c r="CV15" s="194"/>
      <c r="CW15" s="185"/>
    </row>
    <row r="16" spans="1:177" s="191" customFormat="1" hidden="1">
      <c r="B16" s="195"/>
      <c r="E16" s="188"/>
      <c r="F16" s="169"/>
      <c r="G16" s="181" t="s">
        <v>69</v>
      </c>
      <c r="H16" s="181"/>
      <c r="I16" s="171"/>
      <c r="J16" s="181"/>
      <c r="K16" s="181"/>
      <c r="L16" s="190">
        <f>SUM(L11:L15)</f>
        <v>0</v>
      </c>
      <c r="M16" s="190">
        <f>SUM(M11:M15)</f>
        <v>0</v>
      </c>
      <c r="N16" s="190">
        <f>SUM(N11:N15)</f>
        <v>0</v>
      </c>
      <c r="O16" s="190">
        <f t="shared" ref="O16:AZ16" si="25">SUM(O11:O15)</f>
        <v>0</v>
      </c>
      <c r="P16" s="190">
        <f t="shared" si="25"/>
        <v>0</v>
      </c>
      <c r="Q16" s="190">
        <f t="shared" si="25"/>
        <v>0</v>
      </c>
      <c r="R16" s="190">
        <f t="shared" si="25"/>
        <v>0</v>
      </c>
      <c r="S16" s="190">
        <f t="shared" si="25"/>
        <v>0</v>
      </c>
      <c r="T16" s="190">
        <f t="shared" si="25"/>
        <v>0</v>
      </c>
      <c r="U16" s="190">
        <f t="shared" si="25"/>
        <v>0</v>
      </c>
      <c r="V16" s="190">
        <f t="shared" si="25"/>
        <v>0</v>
      </c>
      <c r="W16" s="190">
        <f t="shared" si="25"/>
        <v>0</v>
      </c>
      <c r="X16" s="190">
        <f t="shared" si="25"/>
        <v>0</v>
      </c>
      <c r="Y16" s="190">
        <f t="shared" si="25"/>
        <v>0</v>
      </c>
      <c r="Z16" s="190">
        <f t="shared" si="25"/>
        <v>0</v>
      </c>
      <c r="AA16" s="190">
        <f t="shared" si="25"/>
        <v>0</v>
      </c>
      <c r="AB16" s="190">
        <f t="shared" si="25"/>
        <v>0</v>
      </c>
      <c r="AC16" s="190">
        <f t="shared" si="25"/>
        <v>0</v>
      </c>
      <c r="AD16" s="190">
        <f t="shared" si="25"/>
        <v>0</v>
      </c>
      <c r="AE16" s="190" t="e">
        <f t="shared" si="25"/>
        <v>#VALUE!</v>
      </c>
      <c r="AF16" s="190" t="e">
        <f t="shared" si="25"/>
        <v>#VALUE!</v>
      </c>
      <c r="AG16" s="190" t="e">
        <f t="shared" si="25"/>
        <v>#VALUE!</v>
      </c>
      <c r="AH16" s="190" t="e">
        <f t="shared" si="25"/>
        <v>#VALUE!</v>
      </c>
      <c r="AI16" s="190" t="e">
        <f t="shared" si="25"/>
        <v>#VALUE!</v>
      </c>
      <c r="AJ16" s="190" t="e">
        <f t="shared" si="25"/>
        <v>#VALUE!</v>
      </c>
      <c r="AK16" s="190" t="e">
        <f t="shared" si="25"/>
        <v>#VALUE!</v>
      </c>
      <c r="AL16" s="190" t="e">
        <f t="shared" si="25"/>
        <v>#VALUE!</v>
      </c>
      <c r="AM16" s="190" t="e">
        <f t="shared" si="25"/>
        <v>#VALUE!</v>
      </c>
      <c r="AN16" s="190" t="e">
        <f t="shared" si="25"/>
        <v>#VALUE!</v>
      </c>
      <c r="AO16" s="190" t="e">
        <f t="shared" si="25"/>
        <v>#VALUE!</v>
      </c>
      <c r="AP16" s="190" t="e">
        <f t="shared" si="25"/>
        <v>#VALUE!</v>
      </c>
      <c r="AQ16" s="190" t="e">
        <f t="shared" si="25"/>
        <v>#VALUE!</v>
      </c>
      <c r="AR16" s="190" t="e">
        <f t="shared" si="25"/>
        <v>#VALUE!</v>
      </c>
      <c r="AS16" s="190" t="e">
        <f t="shared" si="25"/>
        <v>#VALUE!</v>
      </c>
      <c r="AT16" s="190" t="e">
        <f t="shared" si="25"/>
        <v>#VALUE!</v>
      </c>
      <c r="AU16" s="190" t="e">
        <f t="shared" si="25"/>
        <v>#VALUE!</v>
      </c>
      <c r="AV16" s="190" t="e">
        <f t="shared" si="25"/>
        <v>#VALUE!</v>
      </c>
      <c r="AW16" s="190" t="e">
        <f t="shared" si="25"/>
        <v>#VALUE!</v>
      </c>
      <c r="AX16" s="190" t="e">
        <f t="shared" si="25"/>
        <v>#VALUE!</v>
      </c>
      <c r="AY16" s="190" t="e">
        <f t="shared" si="25"/>
        <v>#VALUE!</v>
      </c>
      <c r="AZ16" s="190" t="e">
        <f t="shared" si="25"/>
        <v>#VALUE!</v>
      </c>
      <c r="BA16" s="190" t="e">
        <f t="shared" ref="BA16:CF16" si="26">SUM(BA11:BA15)</f>
        <v>#VALUE!</v>
      </c>
      <c r="BB16" s="190" t="e">
        <f t="shared" si="26"/>
        <v>#VALUE!</v>
      </c>
      <c r="BC16" s="190" t="e">
        <f t="shared" si="26"/>
        <v>#VALUE!</v>
      </c>
      <c r="BD16" s="190" t="e">
        <f t="shared" si="26"/>
        <v>#VALUE!</v>
      </c>
      <c r="BE16" s="190" t="e">
        <f t="shared" si="26"/>
        <v>#VALUE!</v>
      </c>
      <c r="BF16" s="190" t="e">
        <f t="shared" si="26"/>
        <v>#VALUE!</v>
      </c>
      <c r="BG16" s="190">
        <f t="shared" si="26"/>
        <v>5</v>
      </c>
      <c r="BH16" s="190">
        <f t="shared" si="26"/>
        <v>30</v>
      </c>
      <c r="BI16" s="190">
        <f t="shared" si="26"/>
        <v>30</v>
      </c>
      <c r="BJ16" s="190">
        <f t="shared" si="26"/>
        <v>30</v>
      </c>
      <c r="BK16" s="190">
        <f t="shared" si="26"/>
        <v>30</v>
      </c>
      <c r="BL16" s="190">
        <f t="shared" si="26"/>
        <v>5</v>
      </c>
      <c r="BM16" s="190">
        <f t="shared" si="26"/>
        <v>5</v>
      </c>
      <c r="BN16" s="190">
        <f t="shared" si="26"/>
        <v>5</v>
      </c>
      <c r="BO16" s="190">
        <f t="shared" si="26"/>
        <v>5</v>
      </c>
      <c r="BP16" s="190">
        <f t="shared" si="26"/>
        <v>0</v>
      </c>
      <c r="BQ16" s="190">
        <f t="shared" si="26"/>
        <v>0</v>
      </c>
      <c r="BR16" s="190">
        <f t="shared" si="26"/>
        <v>0</v>
      </c>
      <c r="BS16" s="190">
        <f t="shared" si="26"/>
        <v>0</v>
      </c>
      <c r="BT16" s="190">
        <f t="shared" si="26"/>
        <v>0</v>
      </c>
      <c r="BU16" s="190">
        <f t="shared" si="26"/>
        <v>0</v>
      </c>
      <c r="BV16" s="190">
        <f t="shared" si="26"/>
        <v>0</v>
      </c>
      <c r="BW16" s="190">
        <f t="shared" si="26"/>
        <v>0</v>
      </c>
      <c r="BX16" s="190">
        <f t="shared" si="26"/>
        <v>0</v>
      </c>
      <c r="BY16" s="190">
        <f t="shared" si="26"/>
        <v>0</v>
      </c>
      <c r="BZ16" s="190">
        <f t="shared" si="26"/>
        <v>0</v>
      </c>
      <c r="CA16" s="190">
        <f t="shared" si="26"/>
        <v>0</v>
      </c>
      <c r="CB16" s="190">
        <f t="shared" si="26"/>
        <v>0</v>
      </c>
      <c r="CC16" s="190">
        <f t="shared" si="26"/>
        <v>0</v>
      </c>
      <c r="CD16" s="190">
        <f t="shared" si="26"/>
        <v>0</v>
      </c>
      <c r="CE16" s="190">
        <f t="shared" si="26"/>
        <v>0</v>
      </c>
      <c r="CF16" s="190">
        <f t="shared" si="26"/>
        <v>0</v>
      </c>
      <c r="CG16" s="190">
        <f t="shared" ref="CG16:CW16" si="27">SUM(CG11:CG15)</f>
        <v>0</v>
      </c>
      <c r="CH16" s="190">
        <f t="shared" si="27"/>
        <v>0</v>
      </c>
      <c r="CI16" s="190">
        <f t="shared" si="27"/>
        <v>0</v>
      </c>
      <c r="CJ16" s="190">
        <f t="shared" si="27"/>
        <v>0</v>
      </c>
      <c r="CK16" s="190">
        <f t="shared" si="27"/>
        <v>0</v>
      </c>
      <c r="CL16" s="190">
        <f t="shared" si="27"/>
        <v>0</v>
      </c>
      <c r="CM16" s="190">
        <f t="shared" si="27"/>
        <v>0</v>
      </c>
      <c r="CN16" s="190">
        <f t="shared" si="27"/>
        <v>0</v>
      </c>
      <c r="CO16" s="190">
        <f t="shared" si="27"/>
        <v>0</v>
      </c>
      <c r="CP16" s="190">
        <f t="shared" si="27"/>
        <v>0</v>
      </c>
      <c r="CQ16" s="190">
        <f t="shared" si="27"/>
        <v>0</v>
      </c>
      <c r="CR16" s="190">
        <f t="shared" si="27"/>
        <v>0</v>
      </c>
      <c r="CS16" s="190">
        <f t="shared" si="27"/>
        <v>0</v>
      </c>
      <c r="CT16" s="190">
        <f t="shared" si="27"/>
        <v>0</v>
      </c>
      <c r="CU16" s="190">
        <f t="shared" si="27"/>
        <v>0</v>
      </c>
      <c r="CV16" s="190">
        <f t="shared" si="27"/>
        <v>0</v>
      </c>
      <c r="CW16" s="190">
        <f t="shared" si="27"/>
        <v>0</v>
      </c>
    </row>
    <row r="17" spans="1:101">
      <c r="F17" s="53"/>
      <c r="G17" s="183"/>
      <c r="H17" s="183"/>
      <c r="I17" s="5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6"/>
      <c r="AX17" s="196"/>
      <c r="AY17" s="196"/>
      <c r="AZ17" s="196"/>
      <c r="BQ17" s="119"/>
      <c r="CT17" s="185"/>
      <c r="CU17" s="185"/>
      <c r="CV17" s="185"/>
      <c r="CW17" s="185"/>
    </row>
    <row r="18" spans="1:101" ht="27">
      <c r="A18" s="466" t="s">
        <v>72</v>
      </c>
      <c r="B18" s="509" t="str">
        <f>'BESS 10B'!F95</f>
        <v>08 Aug
23 Aug</v>
      </c>
      <c r="C18" s="509" t="str">
        <f>'BESS 10B'!G95</f>
        <v>13 Aug
28 Aug</v>
      </c>
      <c r="D18" s="192"/>
      <c r="E18" s="192" t="s">
        <v>10</v>
      </c>
      <c r="F18" s="129" t="s">
        <v>58</v>
      </c>
      <c r="G18" s="129" t="s">
        <v>86</v>
      </c>
      <c r="H18" s="129" t="s">
        <v>79</v>
      </c>
      <c r="I18" s="129" t="s">
        <v>59</v>
      </c>
      <c r="J18" s="128" t="s">
        <v>80</v>
      </c>
      <c r="K18" s="128" t="s">
        <v>62</v>
      </c>
      <c r="L18" s="130">
        <v>46195</v>
      </c>
      <c r="M18" s="130">
        <v>46196</v>
      </c>
      <c r="N18" s="130">
        <v>46197</v>
      </c>
      <c r="O18" s="130">
        <f t="shared" ref="O18:BZ18" si="28">N18+1</f>
        <v>46198</v>
      </c>
      <c r="P18" s="130">
        <f t="shared" si="28"/>
        <v>46199</v>
      </c>
      <c r="Q18" s="130">
        <f t="shared" si="28"/>
        <v>46200</v>
      </c>
      <c r="R18" s="130">
        <f t="shared" si="28"/>
        <v>46201</v>
      </c>
      <c r="S18" s="130">
        <f t="shared" si="28"/>
        <v>46202</v>
      </c>
      <c r="T18" s="130">
        <f t="shared" si="28"/>
        <v>46203</v>
      </c>
      <c r="U18" s="130">
        <f t="shared" si="28"/>
        <v>46204</v>
      </c>
      <c r="V18" s="130">
        <f t="shared" si="28"/>
        <v>46205</v>
      </c>
      <c r="W18" s="130">
        <f t="shared" si="28"/>
        <v>46206</v>
      </c>
      <c r="X18" s="130">
        <f t="shared" si="28"/>
        <v>46207</v>
      </c>
      <c r="Y18" s="130">
        <f t="shared" si="28"/>
        <v>46208</v>
      </c>
      <c r="Z18" s="130">
        <f t="shared" si="28"/>
        <v>46209</v>
      </c>
      <c r="AA18" s="130">
        <f t="shared" si="28"/>
        <v>46210</v>
      </c>
      <c r="AB18" s="130">
        <f t="shared" si="28"/>
        <v>46211</v>
      </c>
      <c r="AC18" s="130">
        <f t="shared" si="28"/>
        <v>46212</v>
      </c>
      <c r="AD18" s="130">
        <f t="shared" si="28"/>
        <v>46213</v>
      </c>
      <c r="AE18" s="130">
        <f t="shared" si="28"/>
        <v>46214</v>
      </c>
      <c r="AF18" s="130">
        <f t="shared" si="28"/>
        <v>46215</v>
      </c>
      <c r="AG18" s="130">
        <f t="shared" si="28"/>
        <v>46216</v>
      </c>
      <c r="AH18" s="130">
        <f t="shared" si="28"/>
        <v>46217</v>
      </c>
      <c r="AI18" s="130">
        <f t="shared" si="28"/>
        <v>46218</v>
      </c>
      <c r="AJ18" s="130">
        <f t="shared" si="28"/>
        <v>46219</v>
      </c>
      <c r="AK18" s="130">
        <f t="shared" si="28"/>
        <v>46220</v>
      </c>
      <c r="AL18" s="130">
        <f t="shared" si="28"/>
        <v>46221</v>
      </c>
      <c r="AM18" s="130">
        <f t="shared" si="28"/>
        <v>46222</v>
      </c>
      <c r="AN18" s="130">
        <f t="shared" si="28"/>
        <v>46223</v>
      </c>
      <c r="AO18" s="130">
        <f t="shared" si="28"/>
        <v>46224</v>
      </c>
      <c r="AP18" s="130">
        <f t="shared" si="28"/>
        <v>46225</v>
      </c>
      <c r="AQ18" s="130">
        <f t="shared" si="28"/>
        <v>46226</v>
      </c>
      <c r="AR18" s="130">
        <f t="shared" si="28"/>
        <v>46227</v>
      </c>
      <c r="AS18" s="130">
        <f t="shared" si="28"/>
        <v>46228</v>
      </c>
      <c r="AT18" s="130">
        <f t="shared" si="28"/>
        <v>46229</v>
      </c>
      <c r="AU18" s="130">
        <f t="shared" si="28"/>
        <v>46230</v>
      </c>
      <c r="AV18" s="130">
        <f t="shared" si="28"/>
        <v>46231</v>
      </c>
      <c r="AW18" s="130">
        <f t="shared" si="28"/>
        <v>46232</v>
      </c>
      <c r="AX18" s="130">
        <f t="shared" si="28"/>
        <v>46233</v>
      </c>
      <c r="AY18" s="130">
        <f t="shared" si="28"/>
        <v>46234</v>
      </c>
      <c r="AZ18" s="130">
        <f t="shared" si="28"/>
        <v>46235</v>
      </c>
      <c r="BA18" s="130">
        <f t="shared" si="28"/>
        <v>46236</v>
      </c>
      <c r="BB18" s="130">
        <f t="shared" si="28"/>
        <v>46237</v>
      </c>
      <c r="BC18" s="130">
        <f t="shared" si="28"/>
        <v>46238</v>
      </c>
      <c r="BD18" s="130">
        <f t="shared" si="28"/>
        <v>46239</v>
      </c>
      <c r="BE18" s="130">
        <f t="shared" si="28"/>
        <v>46240</v>
      </c>
      <c r="BF18" s="130">
        <f t="shared" si="28"/>
        <v>46241</v>
      </c>
      <c r="BG18" s="130">
        <f t="shared" si="28"/>
        <v>46242</v>
      </c>
      <c r="BH18" s="130">
        <f t="shared" si="28"/>
        <v>46243</v>
      </c>
      <c r="BI18" s="130">
        <f t="shared" si="28"/>
        <v>46244</v>
      </c>
      <c r="BJ18" s="130">
        <f t="shared" si="28"/>
        <v>46245</v>
      </c>
      <c r="BK18" s="130">
        <f t="shared" si="28"/>
        <v>46246</v>
      </c>
      <c r="BL18" s="130">
        <f t="shared" si="28"/>
        <v>46247</v>
      </c>
      <c r="BM18" s="130">
        <f t="shared" si="28"/>
        <v>46248</v>
      </c>
      <c r="BN18" s="130">
        <f t="shared" si="28"/>
        <v>46249</v>
      </c>
      <c r="BO18" s="130">
        <f t="shared" si="28"/>
        <v>46250</v>
      </c>
      <c r="BP18" s="130">
        <f t="shared" si="28"/>
        <v>46251</v>
      </c>
      <c r="BQ18" s="130">
        <f t="shared" si="28"/>
        <v>46252</v>
      </c>
      <c r="BR18" s="130">
        <f t="shared" si="28"/>
        <v>46253</v>
      </c>
      <c r="BS18" s="130">
        <f t="shared" si="28"/>
        <v>46254</v>
      </c>
      <c r="BT18" s="130">
        <f t="shared" si="28"/>
        <v>46255</v>
      </c>
      <c r="BU18" s="130">
        <f t="shared" si="28"/>
        <v>46256</v>
      </c>
      <c r="BV18" s="130">
        <f t="shared" si="28"/>
        <v>46257</v>
      </c>
      <c r="BW18" s="130">
        <f t="shared" si="28"/>
        <v>46258</v>
      </c>
      <c r="BX18" s="130">
        <f t="shared" si="28"/>
        <v>46259</v>
      </c>
      <c r="BY18" s="130">
        <f t="shared" si="28"/>
        <v>46260</v>
      </c>
      <c r="BZ18" s="130">
        <f t="shared" si="28"/>
        <v>46261</v>
      </c>
      <c r="CA18" s="130">
        <f t="shared" ref="CA18:CS18" si="29">BZ18+1</f>
        <v>46262</v>
      </c>
      <c r="CB18" s="130">
        <f t="shared" si="29"/>
        <v>46263</v>
      </c>
      <c r="CC18" s="130">
        <f t="shared" si="29"/>
        <v>46264</v>
      </c>
      <c r="CD18" s="130">
        <f t="shared" si="29"/>
        <v>46265</v>
      </c>
      <c r="CE18" s="130">
        <f t="shared" si="29"/>
        <v>46266</v>
      </c>
      <c r="CF18" s="130">
        <f t="shared" si="29"/>
        <v>46267</v>
      </c>
      <c r="CG18" s="130">
        <f t="shared" si="29"/>
        <v>46268</v>
      </c>
      <c r="CH18" s="130">
        <f t="shared" si="29"/>
        <v>46269</v>
      </c>
      <c r="CI18" s="130">
        <f t="shared" si="29"/>
        <v>46270</v>
      </c>
      <c r="CJ18" s="130">
        <f t="shared" si="29"/>
        <v>46271</v>
      </c>
      <c r="CK18" s="130">
        <f t="shared" si="29"/>
        <v>46272</v>
      </c>
      <c r="CL18" s="130">
        <f t="shared" si="29"/>
        <v>46273</v>
      </c>
      <c r="CM18" s="130">
        <f t="shared" si="29"/>
        <v>46274</v>
      </c>
      <c r="CN18" s="130">
        <f t="shared" si="29"/>
        <v>46275</v>
      </c>
      <c r="CO18" s="130">
        <f t="shared" si="29"/>
        <v>46276</v>
      </c>
      <c r="CP18" s="130">
        <f t="shared" si="29"/>
        <v>46277</v>
      </c>
      <c r="CQ18" s="130">
        <f t="shared" si="29"/>
        <v>46278</v>
      </c>
      <c r="CR18" s="130">
        <f t="shared" si="29"/>
        <v>46279</v>
      </c>
      <c r="CS18" s="193">
        <f t="shared" si="29"/>
        <v>46280</v>
      </c>
      <c r="CT18" s="193">
        <f>CS18+1</f>
        <v>46281</v>
      </c>
      <c r="CU18" s="193">
        <f>CT18+1</f>
        <v>46282</v>
      </c>
      <c r="CV18" s="193">
        <f>CU18+1</f>
        <v>46283</v>
      </c>
      <c r="CW18" s="130">
        <f>CV18+1</f>
        <v>46284</v>
      </c>
    </row>
    <row r="19" spans="1:101">
      <c r="A19" s="466"/>
      <c r="B19" s="509"/>
      <c r="C19" s="509"/>
      <c r="D19" s="467" t="str">
        <f>'BESS 10B'!H95</f>
        <v>16 Aug
31 Aug</v>
      </c>
      <c r="E19" s="185" t="s">
        <v>64</v>
      </c>
      <c r="F19" s="66" t="e">
        <f>SUM('BESS 10B'!S108:S115,'BESS 10B'!S117)</f>
        <v>#VALUE!</v>
      </c>
      <c r="G19" s="182">
        <f>H19-10</f>
        <v>46232</v>
      </c>
      <c r="H19" s="182">
        <f>MAX('BESS 10B'!O108:O114)</f>
        <v>46242</v>
      </c>
      <c r="I19" s="66">
        <f>H19-G19</f>
        <v>10</v>
      </c>
      <c r="J19" s="661">
        <f>AVERAGEIF(L24:CW24,"&gt;0")</f>
        <v>5</v>
      </c>
      <c r="K19" s="661" t="e">
        <f>MAX(L24:CW24)</f>
        <v>#VALUE!</v>
      </c>
      <c r="L19" s="65" t="str">
        <f t="shared" ref="L19:U22" si="30">IF(AND(L$2&gt;=$G19,L$2&lt;($G19+$I19)),ROUND($F19/$I19,0),"-")</f>
        <v>-</v>
      </c>
      <c r="M19" s="65" t="str">
        <f t="shared" si="30"/>
        <v>-</v>
      </c>
      <c r="N19" s="65" t="str">
        <f t="shared" si="30"/>
        <v>-</v>
      </c>
      <c r="O19" s="65" t="str">
        <f t="shared" si="30"/>
        <v>-</v>
      </c>
      <c r="P19" s="65" t="str">
        <f t="shared" si="30"/>
        <v>-</v>
      </c>
      <c r="Q19" s="65" t="str">
        <f t="shared" si="30"/>
        <v>-</v>
      </c>
      <c r="R19" s="65" t="str">
        <f t="shared" si="30"/>
        <v>-</v>
      </c>
      <c r="S19" s="65" t="str">
        <f t="shared" si="30"/>
        <v>-</v>
      </c>
      <c r="T19" s="65" t="str">
        <f t="shared" si="30"/>
        <v>-</v>
      </c>
      <c r="U19" s="65" t="str">
        <f t="shared" si="30"/>
        <v>-</v>
      </c>
      <c r="V19" s="65" t="str">
        <f t="shared" ref="V19:AE22" si="31">IF(AND(V$2&gt;=$G19,V$2&lt;($G19+$I19)),ROUND($F19/$I19,0),"-")</f>
        <v>-</v>
      </c>
      <c r="W19" s="65" t="str">
        <f t="shared" si="31"/>
        <v>-</v>
      </c>
      <c r="X19" s="65" t="str">
        <f t="shared" si="31"/>
        <v>-</v>
      </c>
      <c r="Y19" s="65" t="str">
        <f t="shared" si="31"/>
        <v>-</v>
      </c>
      <c r="Z19" s="65" t="str">
        <f t="shared" si="31"/>
        <v>-</v>
      </c>
      <c r="AA19" s="65" t="str">
        <f t="shared" si="31"/>
        <v>-</v>
      </c>
      <c r="AB19" s="65" t="str">
        <f t="shared" si="31"/>
        <v>-</v>
      </c>
      <c r="AC19" s="65" t="str">
        <f t="shared" si="31"/>
        <v>-</v>
      </c>
      <c r="AD19" s="65" t="str">
        <f t="shared" si="31"/>
        <v>-</v>
      </c>
      <c r="AE19" s="65" t="str">
        <f t="shared" si="31"/>
        <v>-</v>
      </c>
      <c r="AF19" s="65" t="str">
        <f t="shared" ref="AF19:AO22" si="32">IF(AND(AF$2&gt;=$G19,AF$2&lt;($G19+$I19)),ROUND($F19/$I19,0),"-")</f>
        <v>-</v>
      </c>
      <c r="AG19" s="65" t="str">
        <f t="shared" si="32"/>
        <v>-</v>
      </c>
      <c r="AH19" s="65" t="str">
        <f t="shared" si="32"/>
        <v>-</v>
      </c>
      <c r="AI19" s="65" t="str">
        <f t="shared" si="32"/>
        <v>-</v>
      </c>
      <c r="AJ19" s="65" t="str">
        <f t="shared" si="32"/>
        <v>-</v>
      </c>
      <c r="AK19" s="65" t="str">
        <f t="shared" si="32"/>
        <v>-</v>
      </c>
      <c r="AL19" s="65" t="str">
        <f t="shared" si="32"/>
        <v>-</v>
      </c>
      <c r="AM19" s="65" t="str">
        <f t="shared" si="32"/>
        <v>-</v>
      </c>
      <c r="AN19" s="65" t="str">
        <f t="shared" si="32"/>
        <v>-</v>
      </c>
      <c r="AO19" s="65" t="str">
        <f t="shared" si="32"/>
        <v>-</v>
      </c>
      <c r="AP19" s="65" t="str">
        <f t="shared" ref="AP19:AY22" si="33">IF(AND(AP$2&gt;=$G19,AP$2&lt;($G19+$I19)),ROUND($F19/$I19,0),"-")</f>
        <v>-</v>
      </c>
      <c r="AQ19" s="65" t="str">
        <f t="shared" si="33"/>
        <v>-</v>
      </c>
      <c r="AR19" s="65" t="str">
        <f t="shared" si="33"/>
        <v>-</v>
      </c>
      <c r="AS19" s="65" t="str">
        <f t="shared" si="33"/>
        <v>-</v>
      </c>
      <c r="AT19" s="65" t="str">
        <f t="shared" si="33"/>
        <v>-</v>
      </c>
      <c r="AU19" s="65" t="str">
        <f t="shared" si="33"/>
        <v>-</v>
      </c>
      <c r="AV19" s="65" t="str">
        <f t="shared" si="33"/>
        <v>-</v>
      </c>
      <c r="AW19" s="65" t="e">
        <f t="shared" si="33"/>
        <v>#VALUE!</v>
      </c>
      <c r="AX19" s="65" t="e">
        <f t="shared" si="33"/>
        <v>#VALUE!</v>
      </c>
      <c r="AY19" s="65" t="e">
        <f t="shared" si="33"/>
        <v>#VALUE!</v>
      </c>
      <c r="AZ19" s="65" t="e">
        <f t="shared" ref="AZ19:BI22" si="34">IF(AND(AZ$2&gt;=$G19,AZ$2&lt;($G19+$I19)),ROUND($F19/$I19,0),"-")</f>
        <v>#VALUE!</v>
      </c>
      <c r="BA19" s="65" t="e">
        <f t="shared" si="34"/>
        <v>#VALUE!</v>
      </c>
      <c r="BB19" s="65" t="e">
        <f t="shared" si="34"/>
        <v>#VALUE!</v>
      </c>
      <c r="BC19" s="65" t="e">
        <f t="shared" si="34"/>
        <v>#VALUE!</v>
      </c>
      <c r="BD19" s="65" t="e">
        <f t="shared" si="34"/>
        <v>#VALUE!</v>
      </c>
      <c r="BE19" s="65" t="e">
        <f t="shared" si="34"/>
        <v>#VALUE!</v>
      </c>
      <c r="BF19" s="65" t="e">
        <f t="shared" si="34"/>
        <v>#VALUE!</v>
      </c>
      <c r="BG19" s="65" t="str">
        <f t="shared" si="34"/>
        <v>-</v>
      </c>
      <c r="BH19" s="65" t="str">
        <f t="shared" si="34"/>
        <v>-</v>
      </c>
      <c r="BI19" s="65" t="str">
        <f t="shared" si="34"/>
        <v>-</v>
      </c>
      <c r="BJ19" s="65" t="str">
        <f t="shared" ref="BJ19:BS22" si="35">IF(AND(BJ$2&gt;=$G19,BJ$2&lt;($G19+$I19)),ROUND($F19/$I19,0),"-")</f>
        <v>-</v>
      </c>
      <c r="BK19" s="65" t="str">
        <f t="shared" si="35"/>
        <v>-</v>
      </c>
      <c r="BL19" s="65" t="str">
        <f t="shared" si="35"/>
        <v>-</v>
      </c>
      <c r="BM19" s="65" t="str">
        <f t="shared" si="35"/>
        <v>-</v>
      </c>
      <c r="BN19" s="65" t="str">
        <f t="shared" si="35"/>
        <v>-</v>
      </c>
      <c r="BO19" s="65" t="str">
        <f t="shared" si="35"/>
        <v>-</v>
      </c>
      <c r="BP19" s="65" t="str">
        <f t="shared" si="35"/>
        <v>-</v>
      </c>
      <c r="BQ19" s="65" t="str">
        <f t="shared" si="35"/>
        <v>-</v>
      </c>
      <c r="BR19" s="65" t="str">
        <f t="shared" si="35"/>
        <v>-</v>
      </c>
      <c r="BS19" s="65" t="str">
        <f t="shared" si="35"/>
        <v>-</v>
      </c>
      <c r="BT19" s="65" t="str">
        <f t="shared" ref="BT19:CC22" si="36">IF(AND(BT$2&gt;=$G19,BT$2&lt;($G19+$I19)),ROUND($F19/$I19,0),"-")</f>
        <v>-</v>
      </c>
      <c r="BU19" s="65" t="str">
        <f t="shared" si="36"/>
        <v>-</v>
      </c>
      <c r="BV19" s="65" t="str">
        <f t="shared" si="36"/>
        <v>-</v>
      </c>
      <c r="BW19" s="65" t="str">
        <f t="shared" si="36"/>
        <v>-</v>
      </c>
      <c r="BX19" s="65" t="str">
        <f t="shared" si="36"/>
        <v>-</v>
      </c>
      <c r="BY19" s="65" t="str">
        <f t="shared" si="36"/>
        <v>-</v>
      </c>
      <c r="BZ19" s="65" t="str">
        <f t="shared" si="36"/>
        <v>-</v>
      </c>
      <c r="CA19" s="65" t="str">
        <f t="shared" si="36"/>
        <v>-</v>
      </c>
      <c r="CB19" s="65" t="str">
        <f t="shared" si="36"/>
        <v>-</v>
      </c>
      <c r="CC19" s="65" t="str">
        <f t="shared" si="36"/>
        <v>-</v>
      </c>
      <c r="CD19" s="65" t="str">
        <f t="shared" ref="CD19:CM22" si="37">IF(AND(CD$2&gt;=$G19,CD$2&lt;($G19+$I19)),ROUND($F19/$I19,0),"-")</f>
        <v>-</v>
      </c>
      <c r="CE19" s="65" t="str">
        <f t="shared" si="37"/>
        <v>-</v>
      </c>
      <c r="CF19" s="65" t="str">
        <f t="shared" si="37"/>
        <v>-</v>
      </c>
      <c r="CG19" s="65" t="str">
        <f t="shared" si="37"/>
        <v>-</v>
      </c>
      <c r="CH19" s="65" t="str">
        <f t="shared" si="37"/>
        <v>-</v>
      </c>
      <c r="CI19" s="65" t="str">
        <f t="shared" si="37"/>
        <v>-</v>
      </c>
      <c r="CJ19" s="65" t="str">
        <f t="shared" si="37"/>
        <v>-</v>
      </c>
      <c r="CK19" s="65" t="str">
        <f t="shared" si="37"/>
        <v>-</v>
      </c>
      <c r="CL19" s="65" t="str">
        <f t="shared" si="37"/>
        <v>-</v>
      </c>
      <c r="CM19" s="65" t="str">
        <f t="shared" si="37"/>
        <v>-</v>
      </c>
      <c r="CN19" s="65" t="str">
        <f t="shared" ref="CN19:CW22" si="38">IF(AND(CN$2&gt;=$G19,CN$2&lt;($G19+$I19)),ROUND($F19/$I19,0),"-")</f>
        <v>-</v>
      </c>
      <c r="CO19" s="65" t="str">
        <f t="shared" si="38"/>
        <v>-</v>
      </c>
      <c r="CP19" s="65" t="str">
        <f t="shared" si="38"/>
        <v>-</v>
      </c>
      <c r="CQ19" s="65" t="str">
        <f t="shared" si="38"/>
        <v>-</v>
      </c>
      <c r="CR19" s="65" t="str">
        <f t="shared" si="38"/>
        <v>-</v>
      </c>
      <c r="CS19" s="186" t="str">
        <f t="shared" si="38"/>
        <v>-</v>
      </c>
      <c r="CT19" s="186" t="str">
        <f t="shared" si="38"/>
        <v>-</v>
      </c>
      <c r="CU19" s="186" t="str">
        <f t="shared" si="38"/>
        <v>-</v>
      </c>
      <c r="CV19" s="186" t="str">
        <f t="shared" si="38"/>
        <v>-</v>
      </c>
      <c r="CW19" s="65" t="str">
        <f t="shared" si="38"/>
        <v>-</v>
      </c>
    </row>
    <row r="20" spans="1:101">
      <c r="A20" s="466"/>
      <c r="B20" s="509"/>
      <c r="C20" s="509"/>
      <c r="D20" s="467"/>
      <c r="E20" s="185" t="s">
        <v>65</v>
      </c>
      <c r="F20" s="66" t="e">
        <f>SUM('BESS 10B'!S118,'BESS 10B'!S120:S121,'BESS 10B'!S124:S126)</f>
        <v>#VALUE!</v>
      </c>
      <c r="G20" s="182">
        <f>H20-20</f>
        <v>46226</v>
      </c>
      <c r="H20" s="182">
        <f>MAX('BESS 10B'!O118,'BESS 10B'!O120:O121,'BESS 10B'!O124:O126)</f>
        <v>46246</v>
      </c>
      <c r="I20" s="66">
        <f>H20-G20</f>
        <v>20</v>
      </c>
      <c r="J20" s="662"/>
      <c r="K20" s="662"/>
      <c r="L20" s="65" t="str">
        <f t="shared" si="30"/>
        <v>-</v>
      </c>
      <c r="M20" s="65" t="str">
        <f t="shared" si="30"/>
        <v>-</v>
      </c>
      <c r="N20" s="65" t="str">
        <f t="shared" si="30"/>
        <v>-</v>
      </c>
      <c r="O20" s="65" t="str">
        <f t="shared" si="30"/>
        <v>-</v>
      </c>
      <c r="P20" s="65" t="str">
        <f t="shared" si="30"/>
        <v>-</v>
      </c>
      <c r="Q20" s="65" t="str">
        <f t="shared" si="30"/>
        <v>-</v>
      </c>
      <c r="R20" s="65" t="str">
        <f t="shared" si="30"/>
        <v>-</v>
      </c>
      <c r="S20" s="65" t="str">
        <f t="shared" si="30"/>
        <v>-</v>
      </c>
      <c r="T20" s="65" t="str">
        <f t="shared" si="30"/>
        <v>-</v>
      </c>
      <c r="U20" s="65" t="str">
        <f t="shared" si="30"/>
        <v>-</v>
      </c>
      <c r="V20" s="65" t="str">
        <f t="shared" si="31"/>
        <v>-</v>
      </c>
      <c r="W20" s="65" t="str">
        <f t="shared" si="31"/>
        <v>-</v>
      </c>
      <c r="X20" s="65" t="str">
        <f t="shared" si="31"/>
        <v>-</v>
      </c>
      <c r="Y20" s="65" t="str">
        <f t="shared" si="31"/>
        <v>-</v>
      </c>
      <c r="Z20" s="65" t="str">
        <f t="shared" si="31"/>
        <v>-</v>
      </c>
      <c r="AA20" s="65" t="str">
        <f t="shared" si="31"/>
        <v>-</v>
      </c>
      <c r="AB20" s="65" t="str">
        <f t="shared" si="31"/>
        <v>-</v>
      </c>
      <c r="AC20" s="65" t="str">
        <f t="shared" si="31"/>
        <v>-</v>
      </c>
      <c r="AD20" s="65" t="str">
        <f t="shared" si="31"/>
        <v>-</v>
      </c>
      <c r="AE20" s="65" t="str">
        <f t="shared" si="31"/>
        <v>-</v>
      </c>
      <c r="AF20" s="65" t="str">
        <f t="shared" si="32"/>
        <v>-</v>
      </c>
      <c r="AG20" s="65" t="str">
        <f t="shared" si="32"/>
        <v>-</v>
      </c>
      <c r="AH20" s="65" t="str">
        <f t="shared" si="32"/>
        <v>-</v>
      </c>
      <c r="AI20" s="65" t="str">
        <f t="shared" si="32"/>
        <v>-</v>
      </c>
      <c r="AJ20" s="65" t="str">
        <f t="shared" si="32"/>
        <v>-</v>
      </c>
      <c r="AK20" s="65" t="str">
        <f t="shared" si="32"/>
        <v>-</v>
      </c>
      <c r="AL20" s="65" t="str">
        <f t="shared" si="32"/>
        <v>-</v>
      </c>
      <c r="AM20" s="65" t="str">
        <f t="shared" si="32"/>
        <v>-</v>
      </c>
      <c r="AN20" s="65" t="str">
        <f t="shared" si="32"/>
        <v>-</v>
      </c>
      <c r="AO20" s="65" t="str">
        <f t="shared" si="32"/>
        <v>-</v>
      </c>
      <c r="AP20" s="65" t="str">
        <f t="shared" si="33"/>
        <v>-</v>
      </c>
      <c r="AQ20" s="65" t="e">
        <f t="shared" si="33"/>
        <v>#VALUE!</v>
      </c>
      <c r="AR20" s="65" t="e">
        <f t="shared" si="33"/>
        <v>#VALUE!</v>
      </c>
      <c r="AS20" s="65" t="e">
        <f t="shared" si="33"/>
        <v>#VALUE!</v>
      </c>
      <c r="AT20" s="65" t="e">
        <f t="shared" si="33"/>
        <v>#VALUE!</v>
      </c>
      <c r="AU20" s="65" t="e">
        <f t="shared" si="33"/>
        <v>#VALUE!</v>
      </c>
      <c r="AV20" s="65" t="e">
        <f t="shared" si="33"/>
        <v>#VALUE!</v>
      </c>
      <c r="AW20" s="65" t="e">
        <f t="shared" si="33"/>
        <v>#VALUE!</v>
      </c>
      <c r="AX20" s="65" t="e">
        <f t="shared" si="33"/>
        <v>#VALUE!</v>
      </c>
      <c r="AY20" s="65" t="e">
        <f t="shared" si="33"/>
        <v>#VALUE!</v>
      </c>
      <c r="AZ20" s="65" t="e">
        <f t="shared" si="34"/>
        <v>#VALUE!</v>
      </c>
      <c r="BA20" s="65" t="e">
        <f t="shared" si="34"/>
        <v>#VALUE!</v>
      </c>
      <c r="BB20" s="65" t="e">
        <f t="shared" si="34"/>
        <v>#VALUE!</v>
      </c>
      <c r="BC20" s="65" t="e">
        <f t="shared" si="34"/>
        <v>#VALUE!</v>
      </c>
      <c r="BD20" s="65" t="e">
        <f t="shared" si="34"/>
        <v>#VALUE!</v>
      </c>
      <c r="BE20" s="65" t="e">
        <f t="shared" si="34"/>
        <v>#VALUE!</v>
      </c>
      <c r="BF20" s="65" t="e">
        <f t="shared" si="34"/>
        <v>#VALUE!</v>
      </c>
      <c r="BG20" s="65" t="e">
        <f t="shared" si="34"/>
        <v>#VALUE!</v>
      </c>
      <c r="BH20" s="65" t="e">
        <f t="shared" si="34"/>
        <v>#VALUE!</v>
      </c>
      <c r="BI20" s="65" t="e">
        <f t="shared" si="34"/>
        <v>#VALUE!</v>
      </c>
      <c r="BJ20" s="65" t="e">
        <f t="shared" si="35"/>
        <v>#VALUE!</v>
      </c>
      <c r="BK20" s="65" t="str">
        <f t="shared" si="35"/>
        <v>-</v>
      </c>
      <c r="BL20" s="65" t="str">
        <f t="shared" si="35"/>
        <v>-</v>
      </c>
      <c r="BM20" s="65" t="str">
        <f t="shared" si="35"/>
        <v>-</v>
      </c>
      <c r="BN20" s="65" t="str">
        <f t="shared" si="35"/>
        <v>-</v>
      </c>
      <c r="BO20" s="65" t="str">
        <f t="shared" si="35"/>
        <v>-</v>
      </c>
      <c r="BP20" s="65" t="str">
        <f t="shared" si="35"/>
        <v>-</v>
      </c>
      <c r="BQ20" s="65" t="str">
        <f t="shared" si="35"/>
        <v>-</v>
      </c>
      <c r="BR20" s="65" t="str">
        <f t="shared" si="35"/>
        <v>-</v>
      </c>
      <c r="BS20" s="65" t="str">
        <f t="shared" si="35"/>
        <v>-</v>
      </c>
      <c r="BT20" s="65" t="str">
        <f t="shared" si="36"/>
        <v>-</v>
      </c>
      <c r="BU20" s="65" t="str">
        <f t="shared" si="36"/>
        <v>-</v>
      </c>
      <c r="BV20" s="65" t="str">
        <f t="shared" si="36"/>
        <v>-</v>
      </c>
      <c r="BW20" s="65" t="str">
        <f t="shared" si="36"/>
        <v>-</v>
      </c>
      <c r="BX20" s="65" t="str">
        <f t="shared" si="36"/>
        <v>-</v>
      </c>
      <c r="BY20" s="65" t="str">
        <f t="shared" si="36"/>
        <v>-</v>
      </c>
      <c r="BZ20" s="65" t="str">
        <f t="shared" si="36"/>
        <v>-</v>
      </c>
      <c r="CA20" s="65" t="str">
        <f t="shared" si="36"/>
        <v>-</v>
      </c>
      <c r="CB20" s="65" t="str">
        <f t="shared" si="36"/>
        <v>-</v>
      </c>
      <c r="CC20" s="65" t="str">
        <f t="shared" si="36"/>
        <v>-</v>
      </c>
      <c r="CD20" s="65" t="str">
        <f t="shared" si="37"/>
        <v>-</v>
      </c>
      <c r="CE20" s="65" t="str">
        <f t="shared" si="37"/>
        <v>-</v>
      </c>
      <c r="CF20" s="65" t="str">
        <f t="shared" si="37"/>
        <v>-</v>
      </c>
      <c r="CG20" s="65" t="str">
        <f t="shared" si="37"/>
        <v>-</v>
      </c>
      <c r="CH20" s="65" t="str">
        <f t="shared" si="37"/>
        <v>-</v>
      </c>
      <c r="CI20" s="65" t="str">
        <f t="shared" si="37"/>
        <v>-</v>
      </c>
      <c r="CJ20" s="65" t="str">
        <f t="shared" si="37"/>
        <v>-</v>
      </c>
      <c r="CK20" s="65" t="str">
        <f t="shared" si="37"/>
        <v>-</v>
      </c>
      <c r="CL20" s="65" t="str">
        <f t="shared" si="37"/>
        <v>-</v>
      </c>
      <c r="CM20" s="65" t="str">
        <f t="shared" si="37"/>
        <v>-</v>
      </c>
      <c r="CN20" s="65" t="str">
        <f t="shared" si="38"/>
        <v>-</v>
      </c>
      <c r="CO20" s="65" t="str">
        <f t="shared" si="38"/>
        <v>-</v>
      </c>
      <c r="CP20" s="65" t="str">
        <f t="shared" si="38"/>
        <v>-</v>
      </c>
      <c r="CQ20" s="65" t="str">
        <f t="shared" si="38"/>
        <v>-</v>
      </c>
      <c r="CR20" s="65" t="str">
        <f t="shared" si="38"/>
        <v>-</v>
      </c>
      <c r="CS20" s="186" t="str">
        <f t="shared" si="38"/>
        <v>-</v>
      </c>
      <c r="CT20" s="186" t="str">
        <f t="shared" si="38"/>
        <v>-</v>
      </c>
      <c r="CU20" s="186" t="str">
        <f t="shared" si="38"/>
        <v>-</v>
      </c>
      <c r="CV20" s="186" t="str">
        <f t="shared" si="38"/>
        <v>-</v>
      </c>
      <c r="CW20" s="65" t="str">
        <f t="shared" si="38"/>
        <v>-</v>
      </c>
    </row>
    <row r="21" spans="1:101">
      <c r="A21" s="466"/>
      <c r="B21" s="509"/>
      <c r="C21" s="509"/>
      <c r="D21" s="467"/>
      <c r="E21" s="185" t="s">
        <v>66</v>
      </c>
      <c r="F21" s="66" t="e">
        <f>SUM('BESS 10B'!S119,'BESS 10B'!S122:S123,'BESS 10B'!S127:S128)</f>
        <v>#VALUE!</v>
      </c>
      <c r="G21" s="182">
        <f>H21-20</f>
        <v>46231</v>
      </c>
      <c r="H21" s="182">
        <f>MAX('BESS 10B'!O119,'BESS 10B'!O121:O122,'BESS 10B'!O125:O127)</f>
        <v>46251</v>
      </c>
      <c r="I21" s="66">
        <f>H21-G21</f>
        <v>20</v>
      </c>
      <c r="J21" s="662"/>
      <c r="K21" s="662"/>
      <c r="L21" s="65" t="str">
        <f t="shared" si="30"/>
        <v>-</v>
      </c>
      <c r="M21" s="65" t="str">
        <f t="shared" si="30"/>
        <v>-</v>
      </c>
      <c r="N21" s="65" t="str">
        <f t="shared" si="30"/>
        <v>-</v>
      </c>
      <c r="O21" s="65" t="str">
        <f t="shared" si="30"/>
        <v>-</v>
      </c>
      <c r="P21" s="65" t="str">
        <f t="shared" si="30"/>
        <v>-</v>
      </c>
      <c r="Q21" s="65" t="str">
        <f t="shared" si="30"/>
        <v>-</v>
      </c>
      <c r="R21" s="65" t="str">
        <f t="shared" si="30"/>
        <v>-</v>
      </c>
      <c r="S21" s="65" t="str">
        <f t="shared" si="30"/>
        <v>-</v>
      </c>
      <c r="T21" s="65" t="str">
        <f t="shared" si="30"/>
        <v>-</v>
      </c>
      <c r="U21" s="65" t="str">
        <f t="shared" si="30"/>
        <v>-</v>
      </c>
      <c r="V21" s="65" t="str">
        <f t="shared" si="31"/>
        <v>-</v>
      </c>
      <c r="W21" s="65" t="str">
        <f t="shared" si="31"/>
        <v>-</v>
      </c>
      <c r="X21" s="65" t="str">
        <f t="shared" si="31"/>
        <v>-</v>
      </c>
      <c r="Y21" s="65" t="str">
        <f t="shared" si="31"/>
        <v>-</v>
      </c>
      <c r="Z21" s="65" t="str">
        <f t="shared" si="31"/>
        <v>-</v>
      </c>
      <c r="AA21" s="65" t="str">
        <f t="shared" si="31"/>
        <v>-</v>
      </c>
      <c r="AB21" s="65" t="str">
        <f t="shared" si="31"/>
        <v>-</v>
      </c>
      <c r="AC21" s="65" t="str">
        <f t="shared" si="31"/>
        <v>-</v>
      </c>
      <c r="AD21" s="65" t="str">
        <f t="shared" si="31"/>
        <v>-</v>
      </c>
      <c r="AE21" s="65" t="str">
        <f t="shared" si="31"/>
        <v>-</v>
      </c>
      <c r="AF21" s="65" t="str">
        <f t="shared" si="32"/>
        <v>-</v>
      </c>
      <c r="AG21" s="65" t="str">
        <f t="shared" si="32"/>
        <v>-</v>
      </c>
      <c r="AH21" s="65" t="str">
        <f t="shared" si="32"/>
        <v>-</v>
      </c>
      <c r="AI21" s="65" t="str">
        <f t="shared" si="32"/>
        <v>-</v>
      </c>
      <c r="AJ21" s="65" t="str">
        <f t="shared" si="32"/>
        <v>-</v>
      </c>
      <c r="AK21" s="65" t="str">
        <f t="shared" si="32"/>
        <v>-</v>
      </c>
      <c r="AL21" s="65" t="str">
        <f t="shared" si="32"/>
        <v>-</v>
      </c>
      <c r="AM21" s="65" t="str">
        <f t="shared" si="32"/>
        <v>-</v>
      </c>
      <c r="AN21" s="65" t="str">
        <f t="shared" si="32"/>
        <v>-</v>
      </c>
      <c r="AO21" s="65" t="str">
        <f t="shared" si="32"/>
        <v>-</v>
      </c>
      <c r="AP21" s="65" t="str">
        <f t="shared" si="33"/>
        <v>-</v>
      </c>
      <c r="AQ21" s="65" t="str">
        <f t="shared" si="33"/>
        <v>-</v>
      </c>
      <c r="AR21" s="65" t="str">
        <f t="shared" si="33"/>
        <v>-</v>
      </c>
      <c r="AS21" s="65" t="str">
        <f t="shared" si="33"/>
        <v>-</v>
      </c>
      <c r="AT21" s="65" t="str">
        <f t="shared" si="33"/>
        <v>-</v>
      </c>
      <c r="AU21" s="65" t="str">
        <f t="shared" si="33"/>
        <v>-</v>
      </c>
      <c r="AV21" s="65" t="e">
        <f t="shared" si="33"/>
        <v>#VALUE!</v>
      </c>
      <c r="AW21" s="65" t="e">
        <f t="shared" si="33"/>
        <v>#VALUE!</v>
      </c>
      <c r="AX21" s="65" t="e">
        <f t="shared" si="33"/>
        <v>#VALUE!</v>
      </c>
      <c r="AY21" s="65" t="e">
        <f t="shared" si="33"/>
        <v>#VALUE!</v>
      </c>
      <c r="AZ21" s="65" t="e">
        <f t="shared" si="34"/>
        <v>#VALUE!</v>
      </c>
      <c r="BA21" s="65" t="e">
        <f t="shared" si="34"/>
        <v>#VALUE!</v>
      </c>
      <c r="BB21" s="65" t="e">
        <f t="shared" si="34"/>
        <v>#VALUE!</v>
      </c>
      <c r="BC21" s="65" t="e">
        <f t="shared" si="34"/>
        <v>#VALUE!</v>
      </c>
      <c r="BD21" s="65" t="e">
        <f t="shared" si="34"/>
        <v>#VALUE!</v>
      </c>
      <c r="BE21" s="65" t="e">
        <f t="shared" si="34"/>
        <v>#VALUE!</v>
      </c>
      <c r="BF21" s="65" t="e">
        <f t="shared" si="34"/>
        <v>#VALUE!</v>
      </c>
      <c r="BG21" s="65" t="e">
        <f t="shared" si="34"/>
        <v>#VALUE!</v>
      </c>
      <c r="BH21" s="65" t="e">
        <f t="shared" si="34"/>
        <v>#VALUE!</v>
      </c>
      <c r="BI21" s="65" t="e">
        <f t="shared" si="34"/>
        <v>#VALUE!</v>
      </c>
      <c r="BJ21" s="65" t="e">
        <f t="shared" si="35"/>
        <v>#VALUE!</v>
      </c>
      <c r="BK21" s="65" t="e">
        <f t="shared" si="35"/>
        <v>#VALUE!</v>
      </c>
      <c r="BL21" s="65" t="e">
        <f t="shared" si="35"/>
        <v>#VALUE!</v>
      </c>
      <c r="BM21" s="65" t="e">
        <f t="shared" si="35"/>
        <v>#VALUE!</v>
      </c>
      <c r="BN21" s="65" t="e">
        <f t="shared" si="35"/>
        <v>#VALUE!</v>
      </c>
      <c r="BO21" s="65" t="e">
        <f t="shared" si="35"/>
        <v>#VALUE!</v>
      </c>
      <c r="BP21" s="65" t="str">
        <f t="shared" si="35"/>
        <v>-</v>
      </c>
      <c r="BQ21" s="65" t="str">
        <f t="shared" si="35"/>
        <v>-</v>
      </c>
      <c r="BR21" s="65" t="str">
        <f t="shared" si="35"/>
        <v>-</v>
      </c>
      <c r="BS21" s="65" t="str">
        <f t="shared" si="35"/>
        <v>-</v>
      </c>
      <c r="BT21" s="65" t="str">
        <f t="shared" si="36"/>
        <v>-</v>
      </c>
      <c r="BU21" s="65" t="str">
        <f t="shared" si="36"/>
        <v>-</v>
      </c>
      <c r="BV21" s="65" t="str">
        <f t="shared" si="36"/>
        <v>-</v>
      </c>
      <c r="BW21" s="65" t="str">
        <f t="shared" si="36"/>
        <v>-</v>
      </c>
      <c r="BX21" s="65" t="str">
        <f t="shared" si="36"/>
        <v>-</v>
      </c>
      <c r="BY21" s="65" t="str">
        <f t="shared" si="36"/>
        <v>-</v>
      </c>
      <c r="BZ21" s="65" t="str">
        <f t="shared" si="36"/>
        <v>-</v>
      </c>
      <c r="CA21" s="65" t="str">
        <f t="shared" si="36"/>
        <v>-</v>
      </c>
      <c r="CB21" s="65" t="str">
        <f t="shared" si="36"/>
        <v>-</v>
      </c>
      <c r="CC21" s="65" t="str">
        <f t="shared" si="36"/>
        <v>-</v>
      </c>
      <c r="CD21" s="65" t="str">
        <f t="shared" si="37"/>
        <v>-</v>
      </c>
      <c r="CE21" s="65" t="str">
        <f t="shared" si="37"/>
        <v>-</v>
      </c>
      <c r="CF21" s="65" t="str">
        <f t="shared" si="37"/>
        <v>-</v>
      </c>
      <c r="CG21" s="65" t="str">
        <f t="shared" si="37"/>
        <v>-</v>
      </c>
      <c r="CH21" s="65" t="str">
        <f t="shared" si="37"/>
        <v>-</v>
      </c>
      <c r="CI21" s="65" t="str">
        <f t="shared" si="37"/>
        <v>-</v>
      </c>
      <c r="CJ21" s="65" t="str">
        <f t="shared" si="37"/>
        <v>-</v>
      </c>
      <c r="CK21" s="65" t="str">
        <f t="shared" si="37"/>
        <v>-</v>
      </c>
      <c r="CL21" s="65" t="str">
        <f t="shared" si="37"/>
        <v>-</v>
      </c>
      <c r="CM21" s="65" t="str">
        <f t="shared" si="37"/>
        <v>-</v>
      </c>
      <c r="CN21" s="65" t="str">
        <f t="shared" si="38"/>
        <v>-</v>
      </c>
      <c r="CO21" s="65" t="str">
        <f t="shared" si="38"/>
        <v>-</v>
      </c>
      <c r="CP21" s="65" t="str">
        <f t="shared" si="38"/>
        <v>-</v>
      </c>
      <c r="CQ21" s="65" t="str">
        <f t="shared" si="38"/>
        <v>-</v>
      </c>
      <c r="CR21" s="65" t="str">
        <f t="shared" si="38"/>
        <v>-</v>
      </c>
      <c r="CS21" s="186" t="str">
        <f t="shared" si="38"/>
        <v>-</v>
      </c>
      <c r="CT21" s="186" t="str">
        <f t="shared" si="38"/>
        <v>-</v>
      </c>
      <c r="CU21" s="186" t="str">
        <f t="shared" si="38"/>
        <v>-</v>
      </c>
      <c r="CV21" s="186" t="str">
        <f t="shared" si="38"/>
        <v>-</v>
      </c>
      <c r="CW21" s="65" t="str">
        <f t="shared" si="38"/>
        <v>-</v>
      </c>
    </row>
    <row r="22" spans="1:101">
      <c r="A22" s="466"/>
      <c r="B22" s="509"/>
      <c r="C22" s="509"/>
      <c r="D22" s="467"/>
      <c r="E22" s="185" t="s">
        <v>67</v>
      </c>
      <c r="F22" s="66" t="e">
        <f>SUM('BESS 10B'!S130:S139)</f>
        <v>#VALUE!</v>
      </c>
      <c r="G22" s="182">
        <f>H22-14</f>
        <v>46241</v>
      </c>
      <c r="H22" s="182">
        <f>MAX('BESS 10B'!O130:O139)</f>
        <v>46255</v>
      </c>
      <c r="I22" s="66">
        <f>H22-G22</f>
        <v>14</v>
      </c>
      <c r="J22" s="662"/>
      <c r="K22" s="662"/>
      <c r="L22" s="65" t="str">
        <f t="shared" si="30"/>
        <v>-</v>
      </c>
      <c r="M22" s="65" t="str">
        <f t="shared" si="30"/>
        <v>-</v>
      </c>
      <c r="N22" s="65" t="str">
        <f t="shared" si="30"/>
        <v>-</v>
      </c>
      <c r="O22" s="65" t="str">
        <f t="shared" si="30"/>
        <v>-</v>
      </c>
      <c r="P22" s="65" t="str">
        <f t="shared" si="30"/>
        <v>-</v>
      </c>
      <c r="Q22" s="65" t="str">
        <f t="shared" si="30"/>
        <v>-</v>
      </c>
      <c r="R22" s="65" t="str">
        <f t="shared" si="30"/>
        <v>-</v>
      </c>
      <c r="S22" s="65" t="str">
        <f t="shared" si="30"/>
        <v>-</v>
      </c>
      <c r="T22" s="65" t="str">
        <f t="shared" si="30"/>
        <v>-</v>
      </c>
      <c r="U22" s="65" t="str">
        <f t="shared" si="30"/>
        <v>-</v>
      </c>
      <c r="V22" s="65" t="str">
        <f t="shared" si="31"/>
        <v>-</v>
      </c>
      <c r="W22" s="65" t="str">
        <f t="shared" si="31"/>
        <v>-</v>
      </c>
      <c r="X22" s="65" t="str">
        <f t="shared" si="31"/>
        <v>-</v>
      </c>
      <c r="Y22" s="65" t="str">
        <f t="shared" si="31"/>
        <v>-</v>
      </c>
      <c r="Z22" s="65" t="str">
        <f t="shared" si="31"/>
        <v>-</v>
      </c>
      <c r="AA22" s="65" t="str">
        <f t="shared" si="31"/>
        <v>-</v>
      </c>
      <c r="AB22" s="65" t="str">
        <f t="shared" si="31"/>
        <v>-</v>
      </c>
      <c r="AC22" s="65" t="str">
        <f t="shared" si="31"/>
        <v>-</v>
      </c>
      <c r="AD22" s="65" t="str">
        <f t="shared" si="31"/>
        <v>-</v>
      </c>
      <c r="AE22" s="65" t="str">
        <f t="shared" si="31"/>
        <v>-</v>
      </c>
      <c r="AF22" s="65" t="str">
        <f t="shared" si="32"/>
        <v>-</v>
      </c>
      <c r="AG22" s="65" t="str">
        <f t="shared" si="32"/>
        <v>-</v>
      </c>
      <c r="AH22" s="65" t="str">
        <f t="shared" si="32"/>
        <v>-</v>
      </c>
      <c r="AI22" s="65" t="str">
        <f t="shared" si="32"/>
        <v>-</v>
      </c>
      <c r="AJ22" s="65" t="str">
        <f t="shared" si="32"/>
        <v>-</v>
      </c>
      <c r="AK22" s="65" t="str">
        <f t="shared" si="32"/>
        <v>-</v>
      </c>
      <c r="AL22" s="65" t="str">
        <f t="shared" si="32"/>
        <v>-</v>
      </c>
      <c r="AM22" s="65" t="str">
        <f t="shared" si="32"/>
        <v>-</v>
      </c>
      <c r="AN22" s="65" t="str">
        <f t="shared" si="32"/>
        <v>-</v>
      </c>
      <c r="AO22" s="65" t="str">
        <f t="shared" si="32"/>
        <v>-</v>
      </c>
      <c r="AP22" s="65" t="str">
        <f t="shared" si="33"/>
        <v>-</v>
      </c>
      <c r="AQ22" s="65" t="str">
        <f t="shared" si="33"/>
        <v>-</v>
      </c>
      <c r="AR22" s="65" t="str">
        <f t="shared" si="33"/>
        <v>-</v>
      </c>
      <c r="AS22" s="65" t="str">
        <f t="shared" si="33"/>
        <v>-</v>
      </c>
      <c r="AT22" s="65" t="str">
        <f t="shared" si="33"/>
        <v>-</v>
      </c>
      <c r="AU22" s="65" t="str">
        <f t="shared" si="33"/>
        <v>-</v>
      </c>
      <c r="AV22" s="65" t="str">
        <f t="shared" si="33"/>
        <v>-</v>
      </c>
      <c r="AW22" s="65" t="str">
        <f t="shared" si="33"/>
        <v>-</v>
      </c>
      <c r="AX22" s="65" t="str">
        <f t="shared" si="33"/>
        <v>-</v>
      </c>
      <c r="AY22" s="65" t="str">
        <f t="shared" si="33"/>
        <v>-</v>
      </c>
      <c r="AZ22" s="65" t="str">
        <f t="shared" si="34"/>
        <v>-</v>
      </c>
      <c r="BA22" s="65" t="str">
        <f t="shared" si="34"/>
        <v>-</v>
      </c>
      <c r="BB22" s="65" t="str">
        <f t="shared" si="34"/>
        <v>-</v>
      </c>
      <c r="BC22" s="65" t="str">
        <f t="shared" si="34"/>
        <v>-</v>
      </c>
      <c r="BD22" s="65" t="str">
        <f t="shared" si="34"/>
        <v>-</v>
      </c>
      <c r="BE22" s="65" t="str">
        <f t="shared" si="34"/>
        <v>-</v>
      </c>
      <c r="BF22" s="65" t="e">
        <f t="shared" si="34"/>
        <v>#VALUE!</v>
      </c>
      <c r="BG22" s="65" t="e">
        <f t="shared" si="34"/>
        <v>#VALUE!</v>
      </c>
      <c r="BH22" s="65" t="e">
        <f t="shared" si="34"/>
        <v>#VALUE!</v>
      </c>
      <c r="BI22" s="65" t="e">
        <f t="shared" si="34"/>
        <v>#VALUE!</v>
      </c>
      <c r="BJ22" s="65" t="e">
        <f t="shared" si="35"/>
        <v>#VALUE!</v>
      </c>
      <c r="BK22" s="65" t="e">
        <f t="shared" si="35"/>
        <v>#VALUE!</v>
      </c>
      <c r="BL22" s="65" t="e">
        <f t="shared" si="35"/>
        <v>#VALUE!</v>
      </c>
      <c r="BM22" s="65" t="e">
        <f t="shared" si="35"/>
        <v>#VALUE!</v>
      </c>
      <c r="BN22" s="65" t="e">
        <f t="shared" si="35"/>
        <v>#VALUE!</v>
      </c>
      <c r="BO22" s="65" t="e">
        <f t="shared" si="35"/>
        <v>#VALUE!</v>
      </c>
      <c r="BP22" s="65" t="e">
        <f t="shared" si="35"/>
        <v>#VALUE!</v>
      </c>
      <c r="BQ22" s="65" t="e">
        <f t="shared" si="35"/>
        <v>#VALUE!</v>
      </c>
      <c r="BR22" s="65" t="e">
        <f t="shared" si="35"/>
        <v>#VALUE!</v>
      </c>
      <c r="BS22" s="65" t="e">
        <f t="shared" si="35"/>
        <v>#VALUE!</v>
      </c>
      <c r="BT22" s="65" t="str">
        <f t="shared" si="36"/>
        <v>-</v>
      </c>
      <c r="BU22" s="65" t="str">
        <f t="shared" si="36"/>
        <v>-</v>
      </c>
      <c r="BV22" s="65" t="str">
        <f t="shared" si="36"/>
        <v>-</v>
      </c>
      <c r="BW22" s="65" t="str">
        <f t="shared" si="36"/>
        <v>-</v>
      </c>
      <c r="BX22" s="65" t="str">
        <f t="shared" si="36"/>
        <v>-</v>
      </c>
      <c r="BY22" s="65" t="str">
        <f t="shared" si="36"/>
        <v>-</v>
      </c>
      <c r="BZ22" s="65" t="str">
        <f t="shared" si="36"/>
        <v>-</v>
      </c>
      <c r="CA22" s="65" t="str">
        <f t="shared" si="36"/>
        <v>-</v>
      </c>
      <c r="CB22" s="65" t="str">
        <f t="shared" si="36"/>
        <v>-</v>
      </c>
      <c r="CC22" s="65" t="str">
        <f t="shared" si="36"/>
        <v>-</v>
      </c>
      <c r="CD22" s="65" t="str">
        <f t="shared" si="37"/>
        <v>-</v>
      </c>
      <c r="CE22" s="65" t="str">
        <f t="shared" si="37"/>
        <v>-</v>
      </c>
      <c r="CF22" s="65" t="str">
        <f t="shared" si="37"/>
        <v>-</v>
      </c>
      <c r="CG22" s="65" t="str">
        <f t="shared" si="37"/>
        <v>-</v>
      </c>
      <c r="CH22" s="65" t="str">
        <f t="shared" si="37"/>
        <v>-</v>
      </c>
      <c r="CI22" s="65" t="str">
        <f t="shared" si="37"/>
        <v>-</v>
      </c>
      <c r="CJ22" s="65" t="str">
        <f t="shared" si="37"/>
        <v>-</v>
      </c>
      <c r="CK22" s="65" t="str">
        <f t="shared" si="37"/>
        <v>-</v>
      </c>
      <c r="CL22" s="65" t="str">
        <f t="shared" si="37"/>
        <v>-</v>
      </c>
      <c r="CM22" s="65" t="str">
        <f t="shared" si="37"/>
        <v>-</v>
      </c>
      <c r="CN22" s="65" t="str">
        <f t="shared" si="38"/>
        <v>-</v>
      </c>
      <c r="CO22" s="65" t="str">
        <f t="shared" si="38"/>
        <v>-</v>
      </c>
      <c r="CP22" s="65" t="str">
        <f t="shared" si="38"/>
        <v>-</v>
      </c>
      <c r="CQ22" s="65" t="str">
        <f t="shared" si="38"/>
        <v>-</v>
      </c>
      <c r="CR22" s="65" t="str">
        <f t="shared" si="38"/>
        <v>-</v>
      </c>
      <c r="CS22" s="186" t="str">
        <f t="shared" si="38"/>
        <v>-</v>
      </c>
      <c r="CT22" s="186" t="str">
        <f t="shared" si="38"/>
        <v>-</v>
      </c>
      <c r="CU22" s="186" t="str">
        <f t="shared" si="38"/>
        <v>-</v>
      </c>
      <c r="CV22" s="186" t="str">
        <f t="shared" si="38"/>
        <v>-</v>
      </c>
      <c r="CW22" s="65" t="str">
        <f t="shared" si="38"/>
        <v>-</v>
      </c>
    </row>
    <row r="23" spans="1:101">
      <c r="A23" s="466"/>
      <c r="B23" s="509"/>
      <c r="C23" s="509"/>
      <c r="D23" s="467"/>
      <c r="E23" s="185" t="s">
        <v>68</v>
      </c>
      <c r="F23" s="66">
        <v>250</v>
      </c>
      <c r="G23" s="182" t="e">
        <f>B18-3</f>
        <v>#VALUE!</v>
      </c>
      <c r="H23" s="182"/>
      <c r="I23" s="65">
        <v>30</v>
      </c>
      <c r="J23" s="663"/>
      <c r="K23" s="663"/>
      <c r="L23" s="182"/>
      <c r="M23" s="182"/>
      <c r="N23" s="65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5">
        <v>5</v>
      </c>
      <c r="AI23" s="65">
        <v>5</v>
      </c>
      <c r="AJ23" s="65">
        <v>5</v>
      </c>
      <c r="AK23" s="65">
        <v>5</v>
      </c>
      <c r="AL23" s="65">
        <v>5</v>
      </c>
      <c r="AM23" s="65">
        <v>5</v>
      </c>
      <c r="AN23" s="65">
        <v>5</v>
      </c>
      <c r="AO23" s="65">
        <v>5</v>
      </c>
      <c r="AP23" s="65">
        <v>5</v>
      </c>
      <c r="AQ23" s="65">
        <v>5</v>
      </c>
      <c r="AR23" s="65">
        <v>5</v>
      </c>
      <c r="AS23" s="65">
        <v>5</v>
      </c>
      <c r="AT23" s="65">
        <v>5</v>
      </c>
      <c r="AU23" s="65">
        <v>5</v>
      </c>
      <c r="AV23" s="65">
        <v>5</v>
      </c>
      <c r="AW23" s="65">
        <v>5</v>
      </c>
      <c r="AX23" s="65">
        <v>5</v>
      </c>
      <c r="AY23" s="65">
        <v>5</v>
      </c>
      <c r="AZ23" s="65">
        <v>5</v>
      </c>
      <c r="BA23" s="65">
        <v>5</v>
      </c>
      <c r="BB23" s="65">
        <v>5</v>
      </c>
      <c r="BC23" s="65">
        <v>5</v>
      </c>
      <c r="BD23" s="65">
        <v>5</v>
      </c>
      <c r="BE23" s="65">
        <v>30</v>
      </c>
      <c r="BF23" s="65">
        <v>30</v>
      </c>
      <c r="BG23" s="65">
        <v>30</v>
      </c>
      <c r="BH23" s="65">
        <v>30</v>
      </c>
      <c r="BI23" s="65">
        <v>5</v>
      </c>
      <c r="BJ23" s="65">
        <v>5</v>
      </c>
      <c r="BK23" s="65">
        <v>5</v>
      </c>
      <c r="BL23" s="65">
        <v>5</v>
      </c>
      <c r="BM23" s="66"/>
      <c r="BN23" s="66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185"/>
      <c r="CA23" s="185"/>
      <c r="CB23" s="185"/>
      <c r="CC23" s="185"/>
      <c r="CD23" s="185"/>
      <c r="CE23" s="185"/>
      <c r="CF23" s="185"/>
      <c r="CG23" s="185"/>
      <c r="CH23" s="185"/>
      <c r="CI23" s="185"/>
      <c r="CJ23" s="185"/>
      <c r="CK23" s="185"/>
      <c r="CL23" s="185"/>
      <c r="CM23" s="185"/>
      <c r="CN23" s="185"/>
      <c r="CO23" s="185"/>
      <c r="CP23" s="185"/>
      <c r="CQ23" s="185"/>
      <c r="CR23" s="185"/>
      <c r="CS23" s="194"/>
      <c r="CT23" s="194"/>
      <c r="CU23" s="194"/>
      <c r="CV23" s="194"/>
      <c r="CW23" s="185"/>
    </row>
    <row r="24" spans="1:101" s="191" customFormat="1" hidden="1">
      <c r="B24" s="197"/>
      <c r="E24" s="188"/>
      <c r="F24" s="169"/>
      <c r="G24" s="181" t="s">
        <v>69</v>
      </c>
      <c r="H24" s="181"/>
      <c r="I24" s="171"/>
      <c r="J24" s="181"/>
      <c r="K24" s="181"/>
      <c r="L24" s="190">
        <f>SUM(L19:L23)</f>
        <v>0</v>
      </c>
      <c r="M24" s="190">
        <f>SUM(M19:M23)</f>
        <v>0</v>
      </c>
      <c r="N24" s="190">
        <f>SUM(N19:N23)</f>
        <v>0</v>
      </c>
      <c r="O24" s="190">
        <f t="shared" ref="O24:AZ24" si="39">SUM(O19:O23)</f>
        <v>0</v>
      </c>
      <c r="P24" s="190">
        <f t="shared" si="39"/>
        <v>0</v>
      </c>
      <c r="Q24" s="190">
        <f t="shared" si="39"/>
        <v>0</v>
      </c>
      <c r="R24" s="190">
        <f t="shared" si="39"/>
        <v>0</v>
      </c>
      <c r="S24" s="190">
        <f t="shared" si="39"/>
        <v>0</v>
      </c>
      <c r="T24" s="190">
        <f t="shared" si="39"/>
        <v>0</v>
      </c>
      <c r="U24" s="190">
        <f t="shared" si="39"/>
        <v>0</v>
      </c>
      <c r="V24" s="190">
        <f t="shared" si="39"/>
        <v>0</v>
      </c>
      <c r="W24" s="190">
        <f t="shared" si="39"/>
        <v>0</v>
      </c>
      <c r="X24" s="190">
        <f t="shared" si="39"/>
        <v>0</v>
      </c>
      <c r="Y24" s="190">
        <f t="shared" si="39"/>
        <v>0</v>
      </c>
      <c r="Z24" s="190">
        <f t="shared" si="39"/>
        <v>0</v>
      </c>
      <c r="AA24" s="190">
        <f t="shared" si="39"/>
        <v>0</v>
      </c>
      <c r="AB24" s="190">
        <f t="shared" si="39"/>
        <v>0</v>
      </c>
      <c r="AC24" s="190">
        <f t="shared" si="39"/>
        <v>0</v>
      </c>
      <c r="AD24" s="190">
        <f t="shared" si="39"/>
        <v>0</v>
      </c>
      <c r="AE24" s="190">
        <f t="shared" si="39"/>
        <v>0</v>
      </c>
      <c r="AF24" s="190">
        <f t="shared" si="39"/>
        <v>0</v>
      </c>
      <c r="AG24" s="190">
        <f t="shared" si="39"/>
        <v>0</v>
      </c>
      <c r="AH24" s="190">
        <f t="shared" si="39"/>
        <v>5</v>
      </c>
      <c r="AI24" s="190">
        <f t="shared" si="39"/>
        <v>5</v>
      </c>
      <c r="AJ24" s="190">
        <f t="shared" si="39"/>
        <v>5</v>
      </c>
      <c r="AK24" s="190">
        <f t="shared" si="39"/>
        <v>5</v>
      </c>
      <c r="AL24" s="190">
        <f t="shared" si="39"/>
        <v>5</v>
      </c>
      <c r="AM24" s="190">
        <f t="shared" si="39"/>
        <v>5</v>
      </c>
      <c r="AN24" s="190">
        <f t="shared" si="39"/>
        <v>5</v>
      </c>
      <c r="AO24" s="190">
        <f t="shared" si="39"/>
        <v>5</v>
      </c>
      <c r="AP24" s="190">
        <f t="shared" si="39"/>
        <v>5</v>
      </c>
      <c r="AQ24" s="190" t="e">
        <f t="shared" si="39"/>
        <v>#VALUE!</v>
      </c>
      <c r="AR24" s="190" t="e">
        <f t="shared" si="39"/>
        <v>#VALUE!</v>
      </c>
      <c r="AS24" s="190" t="e">
        <f t="shared" si="39"/>
        <v>#VALUE!</v>
      </c>
      <c r="AT24" s="190" t="e">
        <f t="shared" si="39"/>
        <v>#VALUE!</v>
      </c>
      <c r="AU24" s="190" t="e">
        <f t="shared" si="39"/>
        <v>#VALUE!</v>
      </c>
      <c r="AV24" s="190" t="e">
        <f t="shared" si="39"/>
        <v>#VALUE!</v>
      </c>
      <c r="AW24" s="190" t="e">
        <f t="shared" si="39"/>
        <v>#VALUE!</v>
      </c>
      <c r="AX24" s="190" t="e">
        <f t="shared" si="39"/>
        <v>#VALUE!</v>
      </c>
      <c r="AY24" s="190" t="e">
        <f t="shared" si="39"/>
        <v>#VALUE!</v>
      </c>
      <c r="AZ24" s="190" t="e">
        <f t="shared" si="39"/>
        <v>#VALUE!</v>
      </c>
      <c r="BA24" s="190" t="e">
        <f t="shared" ref="BA24:CF24" si="40">SUM(BA19:BA23)</f>
        <v>#VALUE!</v>
      </c>
      <c r="BB24" s="190" t="e">
        <f t="shared" si="40"/>
        <v>#VALUE!</v>
      </c>
      <c r="BC24" s="190" t="e">
        <f t="shared" si="40"/>
        <v>#VALUE!</v>
      </c>
      <c r="BD24" s="190" t="e">
        <f t="shared" si="40"/>
        <v>#VALUE!</v>
      </c>
      <c r="BE24" s="190" t="e">
        <f t="shared" si="40"/>
        <v>#VALUE!</v>
      </c>
      <c r="BF24" s="190" t="e">
        <f t="shared" si="40"/>
        <v>#VALUE!</v>
      </c>
      <c r="BG24" s="190" t="e">
        <f t="shared" si="40"/>
        <v>#VALUE!</v>
      </c>
      <c r="BH24" s="190" t="e">
        <f t="shared" si="40"/>
        <v>#VALUE!</v>
      </c>
      <c r="BI24" s="190" t="e">
        <f t="shared" si="40"/>
        <v>#VALUE!</v>
      </c>
      <c r="BJ24" s="190" t="e">
        <f t="shared" si="40"/>
        <v>#VALUE!</v>
      </c>
      <c r="BK24" s="190" t="e">
        <f t="shared" si="40"/>
        <v>#VALUE!</v>
      </c>
      <c r="BL24" s="190" t="e">
        <f t="shared" si="40"/>
        <v>#VALUE!</v>
      </c>
      <c r="BM24" s="190" t="e">
        <f t="shared" si="40"/>
        <v>#VALUE!</v>
      </c>
      <c r="BN24" s="190" t="e">
        <f t="shared" si="40"/>
        <v>#VALUE!</v>
      </c>
      <c r="BO24" s="190" t="e">
        <f t="shared" si="40"/>
        <v>#VALUE!</v>
      </c>
      <c r="BP24" s="190" t="e">
        <f t="shared" si="40"/>
        <v>#VALUE!</v>
      </c>
      <c r="BQ24" s="190" t="e">
        <f t="shared" si="40"/>
        <v>#VALUE!</v>
      </c>
      <c r="BR24" s="190" t="e">
        <f t="shared" si="40"/>
        <v>#VALUE!</v>
      </c>
      <c r="BS24" s="190" t="e">
        <f t="shared" si="40"/>
        <v>#VALUE!</v>
      </c>
      <c r="BT24" s="190">
        <f t="shared" si="40"/>
        <v>0</v>
      </c>
      <c r="BU24" s="190">
        <f t="shared" si="40"/>
        <v>0</v>
      </c>
      <c r="BV24" s="190">
        <f t="shared" si="40"/>
        <v>0</v>
      </c>
      <c r="BW24" s="190">
        <f t="shared" si="40"/>
        <v>0</v>
      </c>
      <c r="BX24" s="190">
        <f t="shared" si="40"/>
        <v>0</v>
      </c>
      <c r="BY24" s="190">
        <f t="shared" si="40"/>
        <v>0</v>
      </c>
      <c r="BZ24" s="190">
        <f t="shared" si="40"/>
        <v>0</v>
      </c>
      <c r="CA24" s="190">
        <f t="shared" si="40"/>
        <v>0</v>
      </c>
      <c r="CB24" s="190">
        <f t="shared" si="40"/>
        <v>0</v>
      </c>
      <c r="CC24" s="190">
        <f t="shared" si="40"/>
        <v>0</v>
      </c>
      <c r="CD24" s="190">
        <f t="shared" si="40"/>
        <v>0</v>
      </c>
      <c r="CE24" s="190">
        <f t="shared" si="40"/>
        <v>0</v>
      </c>
      <c r="CF24" s="190">
        <f t="shared" si="40"/>
        <v>0</v>
      </c>
      <c r="CG24" s="190">
        <f t="shared" ref="CG24:CW24" si="41">SUM(CG19:CG23)</f>
        <v>0</v>
      </c>
      <c r="CH24" s="190">
        <f t="shared" si="41"/>
        <v>0</v>
      </c>
      <c r="CI24" s="190">
        <f t="shared" si="41"/>
        <v>0</v>
      </c>
      <c r="CJ24" s="190">
        <f t="shared" si="41"/>
        <v>0</v>
      </c>
      <c r="CK24" s="190">
        <f t="shared" si="41"/>
        <v>0</v>
      </c>
      <c r="CL24" s="190">
        <f t="shared" si="41"/>
        <v>0</v>
      </c>
      <c r="CM24" s="190">
        <f t="shared" si="41"/>
        <v>0</v>
      </c>
      <c r="CN24" s="190">
        <f t="shared" si="41"/>
        <v>0</v>
      </c>
      <c r="CO24" s="190">
        <f t="shared" si="41"/>
        <v>0</v>
      </c>
      <c r="CP24" s="190">
        <f t="shared" si="41"/>
        <v>0</v>
      </c>
      <c r="CQ24" s="190">
        <f t="shared" si="41"/>
        <v>0</v>
      </c>
      <c r="CR24" s="190">
        <f t="shared" si="41"/>
        <v>0</v>
      </c>
      <c r="CS24" s="190">
        <f t="shared" si="41"/>
        <v>0</v>
      </c>
      <c r="CT24" s="190">
        <f t="shared" si="41"/>
        <v>0</v>
      </c>
      <c r="CU24" s="190">
        <f t="shared" si="41"/>
        <v>0</v>
      </c>
      <c r="CV24" s="190">
        <f t="shared" si="41"/>
        <v>0</v>
      </c>
      <c r="CW24" s="190">
        <f t="shared" si="41"/>
        <v>0</v>
      </c>
    </row>
    <row r="25" spans="1:101">
      <c r="B25" s="198"/>
      <c r="F25" s="53"/>
      <c r="G25" s="183"/>
      <c r="H25" s="183"/>
      <c r="I25" s="5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  <c r="BA25" s="183"/>
      <c r="BB25" s="183"/>
      <c r="BC25" s="183"/>
      <c r="BD25" s="183"/>
      <c r="BE25" s="183"/>
      <c r="BF25" s="183"/>
      <c r="BG25" s="183"/>
      <c r="BH25" s="183"/>
      <c r="BI25" s="183"/>
      <c r="BS25" s="119"/>
      <c r="CT25" s="185"/>
      <c r="CU25" s="185"/>
      <c r="CV25" s="185"/>
      <c r="CW25" s="185"/>
    </row>
    <row r="26" spans="1:101" ht="27">
      <c r="A26" s="503" t="s">
        <v>71</v>
      </c>
      <c r="B26" s="450" t="str">
        <f>'BESS 10B'!F140</f>
        <v>30 Aug
21 Sep</v>
      </c>
      <c r="C26" s="450" t="str">
        <f>'BESS 10B'!G140</f>
        <v>04 Sep
26 Sep</v>
      </c>
      <c r="D26" s="192"/>
      <c r="E26" s="192" t="s">
        <v>10</v>
      </c>
      <c r="F26" s="129" t="s">
        <v>58</v>
      </c>
      <c r="G26" s="129" t="s">
        <v>86</v>
      </c>
      <c r="H26" s="129" t="s">
        <v>79</v>
      </c>
      <c r="I26" s="129" t="s">
        <v>59</v>
      </c>
      <c r="J26" s="128" t="s">
        <v>80</v>
      </c>
      <c r="K26" s="128" t="s">
        <v>62</v>
      </c>
      <c r="L26" s="130">
        <v>46195</v>
      </c>
      <c r="M26" s="130">
        <v>46196</v>
      </c>
      <c r="N26" s="130">
        <v>46197</v>
      </c>
      <c r="O26" s="130">
        <f t="shared" ref="O26:BZ26" si="42">N26+1</f>
        <v>46198</v>
      </c>
      <c r="P26" s="130">
        <f t="shared" si="42"/>
        <v>46199</v>
      </c>
      <c r="Q26" s="130">
        <f t="shared" si="42"/>
        <v>46200</v>
      </c>
      <c r="R26" s="130">
        <f t="shared" si="42"/>
        <v>46201</v>
      </c>
      <c r="S26" s="130">
        <f t="shared" si="42"/>
        <v>46202</v>
      </c>
      <c r="T26" s="130">
        <f t="shared" si="42"/>
        <v>46203</v>
      </c>
      <c r="U26" s="130">
        <f t="shared" si="42"/>
        <v>46204</v>
      </c>
      <c r="V26" s="130">
        <f t="shared" si="42"/>
        <v>46205</v>
      </c>
      <c r="W26" s="130">
        <f t="shared" si="42"/>
        <v>46206</v>
      </c>
      <c r="X26" s="130">
        <f t="shared" si="42"/>
        <v>46207</v>
      </c>
      <c r="Y26" s="130">
        <f t="shared" si="42"/>
        <v>46208</v>
      </c>
      <c r="Z26" s="130">
        <f t="shared" si="42"/>
        <v>46209</v>
      </c>
      <c r="AA26" s="130">
        <f t="shared" si="42"/>
        <v>46210</v>
      </c>
      <c r="AB26" s="130">
        <f t="shared" si="42"/>
        <v>46211</v>
      </c>
      <c r="AC26" s="130">
        <f t="shared" si="42"/>
        <v>46212</v>
      </c>
      <c r="AD26" s="130">
        <f t="shared" si="42"/>
        <v>46213</v>
      </c>
      <c r="AE26" s="130">
        <f t="shared" si="42"/>
        <v>46214</v>
      </c>
      <c r="AF26" s="130">
        <f t="shared" si="42"/>
        <v>46215</v>
      </c>
      <c r="AG26" s="130">
        <f t="shared" si="42"/>
        <v>46216</v>
      </c>
      <c r="AH26" s="130">
        <f t="shared" si="42"/>
        <v>46217</v>
      </c>
      <c r="AI26" s="130">
        <f t="shared" si="42"/>
        <v>46218</v>
      </c>
      <c r="AJ26" s="130">
        <f t="shared" si="42"/>
        <v>46219</v>
      </c>
      <c r="AK26" s="130">
        <f t="shared" si="42"/>
        <v>46220</v>
      </c>
      <c r="AL26" s="130">
        <f t="shared" si="42"/>
        <v>46221</v>
      </c>
      <c r="AM26" s="130">
        <f t="shared" si="42"/>
        <v>46222</v>
      </c>
      <c r="AN26" s="130">
        <f t="shared" si="42"/>
        <v>46223</v>
      </c>
      <c r="AO26" s="130">
        <f t="shared" si="42"/>
        <v>46224</v>
      </c>
      <c r="AP26" s="130">
        <f t="shared" si="42"/>
        <v>46225</v>
      </c>
      <c r="AQ26" s="130">
        <f t="shared" si="42"/>
        <v>46226</v>
      </c>
      <c r="AR26" s="130">
        <f t="shared" si="42"/>
        <v>46227</v>
      </c>
      <c r="AS26" s="130">
        <f t="shared" si="42"/>
        <v>46228</v>
      </c>
      <c r="AT26" s="130">
        <f t="shared" si="42"/>
        <v>46229</v>
      </c>
      <c r="AU26" s="130">
        <f t="shared" si="42"/>
        <v>46230</v>
      </c>
      <c r="AV26" s="130">
        <f t="shared" si="42"/>
        <v>46231</v>
      </c>
      <c r="AW26" s="130">
        <f t="shared" si="42"/>
        <v>46232</v>
      </c>
      <c r="AX26" s="130">
        <f t="shared" si="42"/>
        <v>46233</v>
      </c>
      <c r="AY26" s="130">
        <f t="shared" si="42"/>
        <v>46234</v>
      </c>
      <c r="AZ26" s="130">
        <f t="shared" si="42"/>
        <v>46235</v>
      </c>
      <c r="BA26" s="130">
        <f t="shared" si="42"/>
        <v>46236</v>
      </c>
      <c r="BB26" s="130">
        <f t="shared" si="42"/>
        <v>46237</v>
      </c>
      <c r="BC26" s="130">
        <f t="shared" si="42"/>
        <v>46238</v>
      </c>
      <c r="BD26" s="130">
        <f t="shared" si="42"/>
        <v>46239</v>
      </c>
      <c r="BE26" s="130">
        <f t="shared" si="42"/>
        <v>46240</v>
      </c>
      <c r="BF26" s="130">
        <f t="shared" si="42"/>
        <v>46241</v>
      </c>
      <c r="BG26" s="130">
        <f t="shared" si="42"/>
        <v>46242</v>
      </c>
      <c r="BH26" s="130">
        <f t="shared" si="42"/>
        <v>46243</v>
      </c>
      <c r="BI26" s="130">
        <f t="shared" si="42"/>
        <v>46244</v>
      </c>
      <c r="BJ26" s="130">
        <f t="shared" si="42"/>
        <v>46245</v>
      </c>
      <c r="BK26" s="130">
        <f t="shared" si="42"/>
        <v>46246</v>
      </c>
      <c r="BL26" s="130">
        <f t="shared" si="42"/>
        <v>46247</v>
      </c>
      <c r="BM26" s="130">
        <f t="shared" si="42"/>
        <v>46248</v>
      </c>
      <c r="BN26" s="130">
        <f t="shared" si="42"/>
        <v>46249</v>
      </c>
      <c r="BO26" s="130">
        <f t="shared" si="42"/>
        <v>46250</v>
      </c>
      <c r="BP26" s="130">
        <f t="shared" si="42"/>
        <v>46251</v>
      </c>
      <c r="BQ26" s="130">
        <f t="shared" si="42"/>
        <v>46252</v>
      </c>
      <c r="BR26" s="130">
        <f t="shared" si="42"/>
        <v>46253</v>
      </c>
      <c r="BS26" s="130">
        <f t="shared" si="42"/>
        <v>46254</v>
      </c>
      <c r="BT26" s="130">
        <f t="shared" si="42"/>
        <v>46255</v>
      </c>
      <c r="BU26" s="130">
        <f t="shared" si="42"/>
        <v>46256</v>
      </c>
      <c r="BV26" s="130">
        <f t="shared" si="42"/>
        <v>46257</v>
      </c>
      <c r="BW26" s="130">
        <f t="shared" si="42"/>
        <v>46258</v>
      </c>
      <c r="BX26" s="130">
        <f t="shared" si="42"/>
        <v>46259</v>
      </c>
      <c r="BY26" s="130">
        <f t="shared" si="42"/>
        <v>46260</v>
      </c>
      <c r="BZ26" s="130">
        <f t="shared" si="42"/>
        <v>46261</v>
      </c>
      <c r="CA26" s="130">
        <f t="shared" ref="CA26:CS26" si="43">BZ26+1</f>
        <v>46262</v>
      </c>
      <c r="CB26" s="130">
        <f t="shared" si="43"/>
        <v>46263</v>
      </c>
      <c r="CC26" s="130">
        <f t="shared" si="43"/>
        <v>46264</v>
      </c>
      <c r="CD26" s="130">
        <f t="shared" si="43"/>
        <v>46265</v>
      </c>
      <c r="CE26" s="130">
        <f t="shared" si="43"/>
        <v>46266</v>
      </c>
      <c r="CF26" s="130">
        <f t="shared" si="43"/>
        <v>46267</v>
      </c>
      <c r="CG26" s="130">
        <f t="shared" si="43"/>
        <v>46268</v>
      </c>
      <c r="CH26" s="130">
        <f t="shared" si="43"/>
        <v>46269</v>
      </c>
      <c r="CI26" s="130">
        <f t="shared" si="43"/>
        <v>46270</v>
      </c>
      <c r="CJ26" s="130">
        <f t="shared" si="43"/>
        <v>46271</v>
      </c>
      <c r="CK26" s="130">
        <f t="shared" si="43"/>
        <v>46272</v>
      </c>
      <c r="CL26" s="130">
        <f t="shared" si="43"/>
        <v>46273</v>
      </c>
      <c r="CM26" s="130">
        <f t="shared" si="43"/>
        <v>46274</v>
      </c>
      <c r="CN26" s="130">
        <f t="shared" si="43"/>
        <v>46275</v>
      </c>
      <c r="CO26" s="130">
        <f t="shared" si="43"/>
        <v>46276</v>
      </c>
      <c r="CP26" s="130">
        <f t="shared" si="43"/>
        <v>46277</v>
      </c>
      <c r="CQ26" s="130">
        <f t="shared" si="43"/>
        <v>46278</v>
      </c>
      <c r="CR26" s="130">
        <f t="shared" si="43"/>
        <v>46279</v>
      </c>
      <c r="CS26" s="193">
        <f t="shared" si="43"/>
        <v>46280</v>
      </c>
      <c r="CT26" s="193">
        <f>CS26+1</f>
        <v>46281</v>
      </c>
      <c r="CU26" s="193">
        <f>CT26+1</f>
        <v>46282</v>
      </c>
      <c r="CV26" s="193">
        <f>CU26+1</f>
        <v>46283</v>
      </c>
      <c r="CW26" s="130">
        <f>CV26+1</f>
        <v>46284</v>
      </c>
    </row>
    <row r="27" spans="1:101">
      <c r="A27" s="476"/>
      <c r="B27" s="451"/>
      <c r="C27" s="451"/>
      <c r="D27" s="467" t="str">
        <f>'BESS 10B'!H140</f>
        <v>07 Sep
29 Sep</v>
      </c>
      <c r="E27" s="185" t="s">
        <v>64</v>
      </c>
      <c r="F27" s="66" t="e">
        <f>SUM('BESS 10B'!S153:S160,'BESS 10B'!S162)</f>
        <v>#VALUE!</v>
      </c>
      <c r="G27" s="182">
        <f>H27-10</f>
        <v>46241</v>
      </c>
      <c r="H27" s="182">
        <f>MAX('BESS 10B'!O153:O159)</f>
        <v>46251</v>
      </c>
      <c r="I27" s="66">
        <f>H27-G27</f>
        <v>10</v>
      </c>
      <c r="J27" s="661">
        <f>AVERAGEIF(L32:CW32,"&gt;0")</f>
        <v>5</v>
      </c>
      <c r="K27" s="661" t="e">
        <f>MAX(L32:CW32)</f>
        <v>#VALUE!</v>
      </c>
      <c r="L27" s="65" t="str">
        <f t="shared" ref="L27:U30" si="44">IF(AND(L$2&gt;=$G27,L$2&lt;($G27+$I27)),ROUND($F27/$I27,0),"-")</f>
        <v>-</v>
      </c>
      <c r="M27" s="65" t="str">
        <f t="shared" si="44"/>
        <v>-</v>
      </c>
      <c r="N27" s="65" t="str">
        <f t="shared" si="44"/>
        <v>-</v>
      </c>
      <c r="O27" s="65" t="str">
        <f t="shared" si="44"/>
        <v>-</v>
      </c>
      <c r="P27" s="65" t="str">
        <f t="shared" si="44"/>
        <v>-</v>
      </c>
      <c r="Q27" s="65" t="str">
        <f t="shared" si="44"/>
        <v>-</v>
      </c>
      <c r="R27" s="65" t="str">
        <f t="shared" si="44"/>
        <v>-</v>
      </c>
      <c r="S27" s="65" t="str">
        <f t="shared" si="44"/>
        <v>-</v>
      </c>
      <c r="T27" s="65" t="str">
        <f t="shared" si="44"/>
        <v>-</v>
      </c>
      <c r="U27" s="65" t="str">
        <f t="shared" si="44"/>
        <v>-</v>
      </c>
      <c r="V27" s="65" t="str">
        <f t="shared" ref="V27:AE30" si="45">IF(AND(V$2&gt;=$G27,V$2&lt;($G27+$I27)),ROUND($F27/$I27,0),"-")</f>
        <v>-</v>
      </c>
      <c r="W27" s="65" t="str">
        <f t="shared" si="45"/>
        <v>-</v>
      </c>
      <c r="X27" s="65" t="str">
        <f t="shared" si="45"/>
        <v>-</v>
      </c>
      <c r="Y27" s="65" t="str">
        <f t="shared" si="45"/>
        <v>-</v>
      </c>
      <c r="Z27" s="65" t="str">
        <f t="shared" si="45"/>
        <v>-</v>
      </c>
      <c r="AA27" s="65" t="str">
        <f t="shared" si="45"/>
        <v>-</v>
      </c>
      <c r="AB27" s="65" t="str">
        <f t="shared" si="45"/>
        <v>-</v>
      </c>
      <c r="AC27" s="65" t="str">
        <f t="shared" si="45"/>
        <v>-</v>
      </c>
      <c r="AD27" s="65" t="str">
        <f t="shared" si="45"/>
        <v>-</v>
      </c>
      <c r="AE27" s="65" t="str">
        <f t="shared" si="45"/>
        <v>-</v>
      </c>
      <c r="AF27" s="65" t="str">
        <f t="shared" ref="AF27:AO30" si="46">IF(AND(AF$2&gt;=$G27,AF$2&lt;($G27+$I27)),ROUND($F27/$I27,0),"-")</f>
        <v>-</v>
      </c>
      <c r="AG27" s="65" t="str">
        <f t="shared" si="46"/>
        <v>-</v>
      </c>
      <c r="AH27" s="65" t="str">
        <f t="shared" si="46"/>
        <v>-</v>
      </c>
      <c r="AI27" s="65" t="str">
        <f t="shared" si="46"/>
        <v>-</v>
      </c>
      <c r="AJ27" s="65" t="str">
        <f t="shared" si="46"/>
        <v>-</v>
      </c>
      <c r="AK27" s="65" t="str">
        <f t="shared" si="46"/>
        <v>-</v>
      </c>
      <c r="AL27" s="65" t="str">
        <f t="shared" si="46"/>
        <v>-</v>
      </c>
      <c r="AM27" s="65" t="str">
        <f t="shared" si="46"/>
        <v>-</v>
      </c>
      <c r="AN27" s="65" t="str">
        <f t="shared" si="46"/>
        <v>-</v>
      </c>
      <c r="AO27" s="65" t="str">
        <f t="shared" si="46"/>
        <v>-</v>
      </c>
      <c r="AP27" s="65" t="str">
        <f t="shared" ref="AP27:AY30" si="47">IF(AND(AP$2&gt;=$G27,AP$2&lt;($G27+$I27)),ROUND($F27/$I27,0),"-")</f>
        <v>-</v>
      </c>
      <c r="AQ27" s="65" t="str">
        <f t="shared" si="47"/>
        <v>-</v>
      </c>
      <c r="AR27" s="65" t="str">
        <f t="shared" si="47"/>
        <v>-</v>
      </c>
      <c r="AS27" s="65" t="str">
        <f t="shared" si="47"/>
        <v>-</v>
      </c>
      <c r="AT27" s="65" t="str">
        <f t="shared" si="47"/>
        <v>-</v>
      </c>
      <c r="AU27" s="65" t="str">
        <f t="shared" si="47"/>
        <v>-</v>
      </c>
      <c r="AV27" s="65" t="str">
        <f t="shared" si="47"/>
        <v>-</v>
      </c>
      <c r="AW27" s="65" t="str">
        <f t="shared" si="47"/>
        <v>-</v>
      </c>
      <c r="AX27" s="65" t="str">
        <f t="shared" si="47"/>
        <v>-</v>
      </c>
      <c r="AY27" s="65" t="str">
        <f t="shared" si="47"/>
        <v>-</v>
      </c>
      <c r="AZ27" s="65" t="str">
        <f t="shared" ref="AZ27:BI30" si="48">IF(AND(AZ$2&gt;=$G27,AZ$2&lt;($G27+$I27)),ROUND($F27/$I27,0),"-")</f>
        <v>-</v>
      </c>
      <c r="BA27" s="65" t="str">
        <f t="shared" si="48"/>
        <v>-</v>
      </c>
      <c r="BB27" s="65" t="str">
        <f t="shared" si="48"/>
        <v>-</v>
      </c>
      <c r="BC27" s="65" t="str">
        <f t="shared" si="48"/>
        <v>-</v>
      </c>
      <c r="BD27" s="65" t="str">
        <f t="shared" si="48"/>
        <v>-</v>
      </c>
      <c r="BE27" s="65" t="str">
        <f t="shared" si="48"/>
        <v>-</v>
      </c>
      <c r="BF27" s="65" t="e">
        <f t="shared" si="48"/>
        <v>#VALUE!</v>
      </c>
      <c r="BG27" s="65" t="e">
        <f t="shared" si="48"/>
        <v>#VALUE!</v>
      </c>
      <c r="BH27" s="65" t="e">
        <f t="shared" si="48"/>
        <v>#VALUE!</v>
      </c>
      <c r="BI27" s="65" t="e">
        <f t="shared" si="48"/>
        <v>#VALUE!</v>
      </c>
      <c r="BJ27" s="65" t="e">
        <f t="shared" ref="BJ27:BS30" si="49">IF(AND(BJ$2&gt;=$G27,BJ$2&lt;($G27+$I27)),ROUND($F27/$I27,0),"-")</f>
        <v>#VALUE!</v>
      </c>
      <c r="BK27" s="65" t="e">
        <f t="shared" si="49"/>
        <v>#VALUE!</v>
      </c>
      <c r="BL27" s="65" t="e">
        <f t="shared" si="49"/>
        <v>#VALUE!</v>
      </c>
      <c r="BM27" s="65" t="e">
        <f t="shared" si="49"/>
        <v>#VALUE!</v>
      </c>
      <c r="BN27" s="65" t="e">
        <f t="shared" si="49"/>
        <v>#VALUE!</v>
      </c>
      <c r="BO27" s="65" t="e">
        <f t="shared" si="49"/>
        <v>#VALUE!</v>
      </c>
      <c r="BP27" s="65" t="str">
        <f t="shared" si="49"/>
        <v>-</v>
      </c>
      <c r="BQ27" s="65" t="str">
        <f t="shared" si="49"/>
        <v>-</v>
      </c>
      <c r="BR27" s="65" t="str">
        <f t="shared" si="49"/>
        <v>-</v>
      </c>
      <c r="BS27" s="65" t="str">
        <f t="shared" si="49"/>
        <v>-</v>
      </c>
      <c r="BT27" s="65" t="str">
        <f t="shared" ref="BT27:CC30" si="50">IF(AND(BT$2&gt;=$G27,BT$2&lt;($G27+$I27)),ROUND($F27/$I27,0),"-")</f>
        <v>-</v>
      </c>
      <c r="BU27" s="65" t="str">
        <f t="shared" si="50"/>
        <v>-</v>
      </c>
      <c r="BV27" s="65" t="str">
        <f t="shared" si="50"/>
        <v>-</v>
      </c>
      <c r="BW27" s="65" t="str">
        <f t="shared" si="50"/>
        <v>-</v>
      </c>
      <c r="BX27" s="65" t="str">
        <f t="shared" si="50"/>
        <v>-</v>
      </c>
      <c r="BY27" s="65" t="str">
        <f t="shared" si="50"/>
        <v>-</v>
      </c>
      <c r="BZ27" s="65" t="str">
        <f t="shared" si="50"/>
        <v>-</v>
      </c>
      <c r="CA27" s="65" t="str">
        <f t="shared" si="50"/>
        <v>-</v>
      </c>
      <c r="CB27" s="65" t="str">
        <f t="shared" si="50"/>
        <v>-</v>
      </c>
      <c r="CC27" s="65" t="str">
        <f t="shared" si="50"/>
        <v>-</v>
      </c>
      <c r="CD27" s="65" t="str">
        <f t="shared" ref="CD27:CM30" si="51">IF(AND(CD$2&gt;=$G27,CD$2&lt;($G27+$I27)),ROUND($F27/$I27,0),"-")</f>
        <v>-</v>
      </c>
      <c r="CE27" s="65" t="str">
        <f t="shared" si="51"/>
        <v>-</v>
      </c>
      <c r="CF27" s="65" t="str">
        <f t="shared" si="51"/>
        <v>-</v>
      </c>
      <c r="CG27" s="65" t="str">
        <f t="shared" si="51"/>
        <v>-</v>
      </c>
      <c r="CH27" s="65" t="str">
        <f t="shared" si="51"/>
        <v>-</v>
      </c>
      <c r="CI27" s="65" t="str">
        <f t="shared" si="51"/>
        <v>-</v>
      </c>
      <c r="CJ27" s="65" t="str">
        <f t="shared" si="51"/>
        <v>-</v>
      </c>
      <c r="CK27" s="65" t="str">
        <f t="shared" si="51"/>
        <v>-</v>
      </c>
      <c r="CL27" s="65" t="str">
        <f t="shared" si="51"/>
        <v>-</v>
      </c>
      <c r="CM27" s="65" t="str">
        <f t="shared" si="51"/>
        <v>-</v>
      </c>
      <c r="CN27" s="65" t="str">
        <f t="shared" ref="CN27:CW30" si="52">IF(AND(CN$2&gt;=$G27,CN$2&lt;($G27+$I27)),ROUND($F27/$I27,0),"-")</f>
        <v>-</v>
      </c>
      <c r="CO27" s="65" t="str">
        <f t="shared" si="52"/>
        <v>-</v>
      </c>
      <c r="CP27" s="65" t="str">
        <f t="shared" si="52"/>
        <v>-</v>
      </c>
      <c r="CQ27" s="65" t="str">
        <f t="shared" si="52"/>
        <v>-</v>
      </c>
      <c r="CR27" s="65" t="str">
        <f t="shared" si="52"/>
        <v>-</v>
      </c>
      <c r="CS27" s="186" t="str">
        <f t="shared" si="52"/>
        <v>-</v>
      </c>
      <c r="CT27" s="186" t="str">
        <f t="shared" si="52"/>
        <v>-</v>
      </c>
      <c r="CU27" s="186" t="str">
        <f t="shared" si="52"/>
        <v>-</v>
      </c>
      <c r="CV27" s="186" t="str">
        <f t="shared" si="52"/>
        <v>-</v>
      </c>
      <c r="CW27" s="65" t="str">
        <f t="shared" si="52"/>
        <v>-</v>
      </c>
    </row>
    <row r="28" spans="1:101">
      <c r="A28" s="476"/>
      <c r="B28" s="451"/>
      <c r="C28" s="451"/>
      <c r="D28" s="467"/>
      <c r="E28" s="185" t="s">
        <v>65</v>
      </c>
      <c r="F28" s="66" t="e">
        <f>SUM('BESS 10B'!S163,'BESS 10B'!S165:S166,'BESS 10B'!S169:S171)</f>
        <v>#VALUE!</v>
      </c>
      <c r="G28" s="182">
        <f>H28-20</f>
        <v>46234</v>
      </c>
      <c r="H28" s="182">
        <f>MAX('BESS 10B'!O163,'BESS 10B'!O165:O166,'BESS 10B'!O169:O171)</f>
        <v>46254</v>
      </c>
      <c r="I28" s="66">
        <f>H28-G28</f>
        <v>20</v>
      </c>
      <c r="J28" s="662"/>
      <c r="K28" s="662"/>
      <c r="L28" s="65" t="str">
        <f t="shared" si="44"/>
        <v>-</v>
      </c>
      <c r="M28" s="65" t="str">
        <f t="shared" si="44"/>
        <v>-</v>
      </c>
      <c r="N28" s="65" t="str">
        <f t="shared" si="44"/>
        <v>-</v>
      </c>
      <c r="O28" s="65" t="str">
        <f t="shared" si="44"/>
        <v>-</v>
      </c>
      <c r="P28" s="65" t="str">
        <f t="shared" si="44"/>
        <v>-</v>
      </c>
      <c r="Q28" s="65" t="str">
        <f t="shared" si="44"/>
        <v>-</v>
      </c>
      <c r="R28" s="65" t="str">
        <f t="shared" si="44"/>
        <v>-</v>
      </c>
      <c r="S28" s="65" t="str">
        <f t="shared" si="44"/>
        <v>-</v>
      </c>
      <c r="T28" s="65" t="str">
        <f t="shared" si="44"/>
        <v>-</v>
      </c>
      <c r="U28" s="65" t="str">
        <f t="shared" si="44"/>
        <v>-</v>
      </c>
      <c r="V28" s="65" t="str">
        <f t="shared" si="45"/>
        <v>-</v>
      </c>
      <c r="W28" s="65" t="str">
        <f t="shared" si="45"/>
        <v>-</v>
      </c>
      <c r="X28" s="65" t="str">
        <f t="shared" si="45"/>
        <v>-</v>
      </c>
      <c r="Y28" s="65" t="str">
        <f t="shared" si="45"/>
        <v>-</v>
      </c>
      <c r="Z28" s="65" t="str">
        <f t="shared" si="45"/>
        <v>-</v>
      </c>
      <c r="AA28" s="65" t="str">
        <f t="shared" si="45"/>
        <v>-</v>
      </c>
      <c r="AB28" s="65" t="str">
        <f t="shared" si="45"/>
        <v>-</v>
      </c>
      <c r="AC28" s="65" t="str">
        <f t="shared" si="45"/>
        <v>-</v>
      </c>
      <c r="AD28" s="65" t="str">
        <f t="shared" si="45"/>
        <v>-</v>
      </c>
      <c r="AE28" s="65" t="str">
        <f t="shared" si="45"/>
        <v>-</v>
      </c>
      <c r="AF28" s="65" t="str">
        <f t="shared" si="46"/>
        <v>-</v>
      </c>
      <c r="AG28" s="65" t="str">
        <f t="shared" si="46"/>
        <v>-</v>
      </c>
      <c r="AH28" s="65" t="str">
        <f t="shared" si="46"/>
        <v>-</v>
      </c>
      <c r="AI28" s="65" t="str">
        <f t="shared" si="46"/>
        <v>-</v>
      </c>
      <c r="AJ28" s="65" t="str">
        <f t="shared" si="46"/>
        <v>-</v>
      </c>
      <c r="AK28" s="65" t="str">
        <f t="shared" si="46"/>
        <v>-</v>
      </c>
      <c r="AL28" s="65" t="str">
        <f t="shared" si="46"/>
        <v>-</v>
      </c>
      <c r="AM28" s="65" t="str">
        <f t="shared" si="46"/>
        <v>-</v>
      </c>
      <c r="AN28" s="65" t="str">
        <f t="shared" si="46"/>
        <v>-</v>
      </c>
      <c r="AO28" s="65" t="str">
        <f t="shared" si="46"/>
        <v>-</v>
      </c>
      <c r="AP28" s="65" t="str">
        <f t="shared" si="47"/>
        <v>-</v>
      </c>
      <c r="AQ28" s="65" t="str">
        <f t="shared" si="47"/>
        <v>-</v>
      </c>
      <c r="AR28" s="65" t="str">
        <f t="shared" si="47"/>
        <v>-</v>
      </c>
      <c r="AS28" s="65" t="str">
        <f t="shared" si="47"/>
        <v>-</v>
      </c>
      <c r="AT28" s="65" t="str">
        <f t="shared" si="47"/>
        <v>-</v>
      </c>
      <c r="AU28" s="65" t="str">
        <f t="shared" si="47"/>
        <v>-</v>
      </c>
      <c r="AV28" s="65" t="str">
        <f t="shared" si="47"/>
        <v>-</v>
      </c>
      <c r="AW28" s="65" t="str">
        <f t="shared" si="47"/>
        <v>-</v>
      </c>
      <c r="AX28" s="65" t="str">
        <f t="shared" si="47"/>
        <v>-</v>
      </c>
      <c r="AY28" s="65" t="e">
        <f t="shared" si="47"/>
        <v>#VALUE!</v>
      </c>
      <c r="AZ28" s="65" t="e">
        <f t="shared" si="48"/>
        <v>#VALUE!</v>
      </c>
      <c r="BA28" s="65" t="e">
        <f t="shared" si="48"/>
        <v>#VALUE!</v>
      </c>
      <c r="BB28" s="65" t="e">
        <f t="shared" si="48"/>
        <v>#VALUE!</v>
      </c>
      <c r="BC28" s="65" t="e">
        <f t="shared" si="48"/>
        <v>#VALUE!</v>
      </c>
      <c r="BD28" s="65" t="e">
        <f t="shared" si="48"/>
        <v>#VALUE!</v>
      </c>
      <c r="BE28" s="65" t="e">
        <f t="shared" si="48"/>
        <v>#VALUE!</v>
      </c>
      <c r="BF28" s="65" t="e">
        <f t="shared" si="48"/>
        <v>#VALUE!</v>
      </c>
      <c r="BG28" s="65" t="e">
        <f t="shared" si="48"/>
        <v>#VALUE!</v>
      </c>
      <c r="BH28" s="65" t="e">
        <f t="shared" si="48"/>
        <v>#VALUE!</v>
      </c>
      <c r="BI28" s="65" t="e">
        <f t="shared" si="48"/>
        <v>#VALUE!</v>
      </c>
      <c r="BJ28" s="65" t="e">
        <f t="shared" si="49"/>
        <v>#VALUE!</v>
      </c>
      <c r="BK28" s="65" t="e">
        <f t="shared" si="49"/>
        <v>#VALUE!</v>
      </c>
      <c r="BL28" s="65" t="e">
        <f t="shared" si="49"/>
        <v>#VALUE!</v>
      </c>
      <c r="BM28" s="65" t="e">
        <f t="shared" si="49"/>
        <v>#VALUE!</v>
      </c>
      <c r="BN28" s="65" t="e">
        <f t="shared" si="49"/>
        <v>#VALUE!</v>
      </c>
      <c r="BO28" s="65" t="e">
        <f t="shared" si="49"/>
        <v>#VALUE!</v>
      </c>
      <c r="BP28" s="65" t="e">
        <f t="shared" si="49"/>
        <v>#VALUE!</v>
      </c>
      <c r="BQ28" s="65" t="e">
        <f t="shared" si="49"/>
        <v>#VALUE!</v>
      </c>
      <c r="BR28" s="65" t="e">
        <f t="shared" si="49"/>
        <v>#VALUE!</v>
      </c>
      <c r="BS28" s="65" t="str">
        <f t="shared" si="49"/>
        <v>-</v>
      </c>
      <c r="BT28" s="65" t="str">
        <f t="shared" si="50"/>
        <v>-</v>
      </c>
      <c r="BU28" s="65" t="str">
        <f t="shared" si="50"/>
        <v>-</v>
      </c>
      <c r="BV28" s="65" t="str">
        <f t="shared" si="50"/>
        <v>-</v>
      </c>
      <c r="BW28" s="65" t="str">
        <f t="shared" si="50"/>
        <v>-</v>
      </c>
      <c r="BX28" s="65" t="str">
        <f t="shared" si="50"/>
        <v>-</v>
      </c>
      <c r="BY28" s="65" t="str">
        <f t="shared" si="50"/>
        <v>-</v>
      </c>
      <c r="BZ28" s="65" t="str">
        <f t="shared" si="50"/>
        <v>-</v>
      </c>
      <c r="CA28" s="65" t="str">
        <f t="shared" si="50"/>
        <v>-</v>
      </c>
      <c r="CB28" s="65" t="str">
        <f t="shared" si="50"/>
        <v>-</v>
      </c>
      <c r="CC28" s="65" t="str">
        <f t="shared" si="50"/>
        <v>-</v>
      </c>
      <c r="CD28" s="65" t="str">
        <f t="shared" si="51"/>
        <v>-</v>
      </c>
      <c r="CE28" s="65" t="str">
        <f t="shared" si="51"/>
        <v>-</v>
      </c>
      <c r="CF28" s="65" t="str">
        <f t="shared" si="51"/>
        <v>-</v>
      </c>
      <c r="CG28" s="65" t="str">
        <f t="shared" si="51"/>
        <v>-</v>
      </c>
      <c r="CH28" s="65" t="str">
        <f t="shared" si="51"/>
        <v>-</v>
      </c>
      <c r="CI28" s="65" t="str">
        <f t="shared" si="51"/>
        <v>-</v>
      </c>
      <c r="CJ28" s="65" t="str">
        <f t="shared" si="51"/>
        <v>-</v>
      </c>
      <c r="CK28" s="65" t="str">
        <f t="shared" si="51"/>
        <v>-</v>
      </c>
      <c r="CL28" s="65" t="str">
        <f t="shared" si="51"/>
        <v>-</v>
      </c>
      <c r="CM28" s="65" t="str">
        <f t="shared" si="51"/>
        <v>-</v>
      </c>
      <c r="CN28" s="65" t="str">
        <f t="shared" si="52"/>
        <v>-</v>
      </c>
      <c r="CO28" s="65" t="str">
        <f t="shared" si="52"/>
        <v>-</v>
      </c>
      <c r="CP28" s="65" t="str">
        <f t="shared" si="52"/>
        <v>-</v>
      </c>
      <c r="CQ28" s="65" t="str">
        <f t="shared" si="52"/>
        <v>-</v>
      </c>
      <c r="CR28" s="65" t="str">
        <f t="shared" si="52"/>
        <v>-</v>
      </c>
      <c r="CS28" s="186" t="str">
        <f t="shared" si="52"/>
        <v>-</v>
      </c>
      <c r="CT28" s="186" t="str">
        <f t="shared" si="52"/>
        <v>-</v>
      </c>
      <c r="CU28" s="186" t="str">
        <f t="shared" si="52"/>
        <v>-</v>
      </c>
      <c r="CV28" s="186" t="str">
        <f t="shared" si="52"/>
        <v>-</v>
      </c>
      <c r="CW28" s="65" t="str">
        <f t="shared" si="52"/>
        <v>-</v>
      </c>
    </row>
    <row r="29" spans="1:101">
      <c r="A29" s="476"/>
      <c r="B29" s="451"/>
      <c r="C29" s="451"/>
      <c r="D29" s="467"/>
      <c r="E29" s="185" t="s">
        <v>66</v>
      </c>
      <c r="F29" s="66" t="e">
        <f>SUM('BESS 10B'!S164,'BESS 10B'!S167:S168,'BESS 10B'!S172:S173)</f>
        <v>#VALUE!</v>
      </c>
      <c r="G29" s="182">
        <f>H29-20</f>
        <v>46257</v>
      </c>
      <c r="H29" s="182">
        <f>MAX('BESS 10B'!O164,'BESS 10B'!O167:O168,'BESS 10B'!O172:O173)</f>
        <v>46277</v>
      </c>
      <c r="I29" s="66">
        <f>H29-G29</f>
        <v>20</v>
      </c>
      <c r="J29" s="662"/>
      <c r="K29" s="662"/>
      <c r="L29" s="65" t="str">
        <f t="shared" si="44"/>
        <v>-</v>
      </c>
      <c r="M29" s="65" t="str">
        <f t="shared" si="44"/>
        <v>-</v>
      </c>
      <c r="N29" s="65" t="str">
        <f t="shared" si="44"/>
        <v>-</v>
      </c>
      <c r="O29" s="65" t="str">
        <f t="shared" si="44"/>
        <v>-</v>
      </c>
      <c r="P29" s="65" t="str">
        <f t="shared" si="44"/>
        <v>-</v>
      </c>
      <c r="Q29" s="65" t="str">
        <f t="shared" si="44"/>
        <v>-</v>
      </c>
      <c r="R29" s="65" t="str">
        <f t="shared" si="44"/>
        <v>-</v>
      </c>
      <c r="S29" s="65" t="str">
        <f t="shared" si="44"/>
        <v>-</v>
      </c>
      <c r="T29" s="65" t="str">
        <f t="shared" si="44"/>
        <v>-</v>
      </c>
      <c r="U29" s="65" t="str">
        <f t="shared" si="44"/>
        <v>-</v>
      </c>
      <c r="V29" s="65" t="str">
        <f t="shared" si="45"/>
        <v>-</v>
      </c>
      <c r="W29" s="65" t="str">
        <f t="shared" si="45"/>
        <v>-</v>
      </c>
      <c r="X29" s="65" t="str">
        <f t="shared" si="45"/>
        <v>-</v>
      </c>
      <c r="Y29" s="65" t="str">
        <f t="shared" si="45"/>
        <v>-</v>
      </c>
      <c r="Z29" s="65" t="str">
        <f t="shared" si="45"/>
        <v>-</v>
      </c>
      <c r="AA29" s="65" t="str">
        <f t="shared" si="45"/>
        <v>-</v>
      </c>
      <c r="AB29" s="65" t="str">
        <f t="shared" si="45"/>
        <v>-</v>
      </c>
      <c r="AC29" s="65" t="str">
        <f t="shared" si="45"/>
        <v>-</v>
      </c>
      <c r="AD29" s="65" t="str">
        <f t="shared" si="45"/>
        <v>-</v>
      </c>
      <c r="AE29" s="65" t="str">
        <f t="shared" si="45"/>
        <v>-</v>
      </c>
      <c r="AF29" s="65" t="str">
        <f t="shared" si="46"/>
        <v>-</v>
      </c>
      <c r="AG29" s="65" t="str">
        <f t="shared" si="46"/>
        <v>-</v>
      </c>
      <c r="AH29" s="65" t="str">
        <f t="shared" si="46"/>
        <v>-</v>
      </c>
      <c r="AI29" s="65" t="str">
        <f t="shared" si="46"/>
        <v>-</v>
      </c>
      <c r="AJ29" s="65" t="str">
        <f t="shared" si="46"/>
        <v>-</v>
      </c>
      <c r="AK29" s="65" t="str">
        <f t="shared" si="46"/>
        <v>-</v>
      </c>
      <c r="AL29" s="65" t="str">
        <f t="shared" si="46"/>
        <v>-</v>
      </c>
      <c r="AM29" s="65" t="str">
        <f t="shared" si="46"/>
        <v>-</v>
      </c>
      <c r="AN29" s="65" t="str">
        <f t="shared" si="46"/>
        <v>-</v>
      </c>
      <c r="AO29" s="65" t="str">
        <f t="shared" si="46"/>
        <v>-</v>
      </c>
      <c r="AP29" s="65" t="str">
        <f t="shared" si="47"/>
        <v>-</v>
      </c>
      <c r="AQ29" s="65" t="str">
        <f t="shared" si="47"/>
        <v>-</v>
      </c>
      <c r="AR29" s="65" t="str">
        <f t="shared" si="47"/>
        <v>-</v>
      </c>
      <c r="AS29" s="65" t="str">
        <f t="shared" si="47"/>
        <v>-</v>
      </c>
      <c r="AT29" s="65" t="str">
        <f t="shared" si="47"/>
        <v>-</v>
      </c>
      <c r="AU29" s="65" t="str">
        <f t="shared" si="47"/>
        <v>-</v>
      </c>
      <c r="AV29" s="65" t="str">
        <f t="shared" si="47"/>
        <v>-</v>
      </c>
      <c r="AW29" s="65" t="str">
        <f t="shared" si="47"/>
        <v>-</v>
      </c>
      <c r="AX29" s="65" t="str">
        <f t="shared" si="47"/>
        <v>-</v>
      </c>
      <c r="AY29" s="65" t="str">
        <f t="shared" si="47"/>
        <v>-</v>
      </c>
      <c r="AZ29" s="65" t="str">
        <f t="shared" si="48"/>
        <v>-</v>
      </c>
      <c r="BA29" s="65" t="str">
        <f t="shared" si="48"/>
        <v>-</v>
      </c>
      <c r="BB29" s="65" t="str">
        <f t="shared" si="48"/>
        <v>-</v>
      </c>
      <c r="BC29" s="65" t="str">
        <f t="shared" si="48"/>
        <v>-</v>
      </c>
      <c r="BD29" s="65" t="str">
        <f t="shared" si="48"/>
        <v>-</v>
      </c>
      <c r="BE29" s="65" t="str">
        <f t="shared" si="48"/>
        <v>-</v>
      </c>
      <c r="BF29" s="65" t="str">
        <f t="shared" si="48"/>
        <v>-</v>
      </c>
      <c r="BG29" s="65" t="str">
        <f t="shared" si="48"/>
        <v>-</v>
      </c>
      <c r="BH29" s="65" t="str">
        <f t="shared" si="48"/>
        <v>-</v>
      </c>
      <c r="BI29" s="65" t="str">
        <f t="shared" si="48"/>
        <v>-</v>
      </c>
      <c r="BJ29" s="65" t="str">
        <f t="shared" si="49"/>
        <v>-</v>
      </c>
      <c r="BK29" s="65" t="str">
        <f t="shared" si="49"/>
        <v>-</v>
      </c>
      <c r="BL29" s="65" t="str">
        <f t="shared" si="49"/>
        <v>-</v>
      </c>
      <c r="BM29" s="65" t="str">
        <f t="shared" si="49"/>
        <v>-</v>
      </c>
      <c r="BN29" s="65" t="str">
        <f t="shared" si="49"/>
        <v>-</v>
      </c>
      <c r="BO29" s="65" t="str">
        <f t="shared" si="49"/>
        <v>-</v>
      </c>
      <c r="BP29" s="65" t="str">
        <f t="shared" si="49"/>
        <v>-</v>
      </c>
      <c r="BQ29" s="65" t="str">
        <f t="shared" si="49"/>
        <v>-</v>
      </c>
      <c r="BR29" s="65" t="str">
        <f t="shared" si="49"/>
        <v>-</v>
      </c>
      <c r="BS29" s="65" t="str">
        <f t="shared" si="49"/>
        <v>-</v>
      </c>
      <c r="BT29" s="65" t="str">
        <f t="shared" si="50"/>
        <v>-</v>
      </c>
      <c r="BU29" s="65" t="str">
        <f t="shared" si="50"/>
        <v>-</v>
      </c>
      <c r="BV29" s="65" t="e">
        <f t="shared" si="50"/>
        <v>#VALUE!</v>
      </c>
      <c r="BW29" s="65" t="e">
        <f t="shared" si="50"/>
        <v>#VALUE!</v>
      </c>
      <c r="BX29" s="65" t="e">
        <f t="shared" si="50"/>
        <v>#VALUE!</v>
      </c>
      <c r="BY29" s="65" t="e">
        <f t="shared" si="50"/>
        <v>#VALUE!</v>
      </c>
      <c r="BZ29" s="65" t="e">
        <f t="shared" si="50"/>
        <v>#VALUE!</v>
      </c>
      <c r="CA29" s="65" t="e">
        <f t="shared" si="50"/>
        <v>#VALUE!</v>
      </c>
      <c r="CB29" s="65" t="e">
        <f t="shared" si="50"/>
        <v>#VALUE!</v>
      </c>
      <c r="CC29" s="65" t="e">
        <f t="shared" si="50"/>
        <v>#VALUE!</v>
      </c>
      <c r="CD29" s="65" t="e">
        <f t="shared" si="51"/>
        <v>#VALUE!</v>
      </c>
      <c r="CE29" s="65" t="e">
        <f t="shared" si="51"/>
        <v>#VALUE!</v>
      </c>
      <c r="CF29" s="65" t="e">
        <f t="shared" si="51"/>
        <v>#VALUE!</v>
      </c>
      <c r="CG29" s="65" t="e">
        <f t="shared" si="51"/>
        <v>#VALUE!</v>
      </c>
      <c r="CH29" s="65" t="e">
        <f t="shared" si="51"/>
        <v>#VALUE!</v>
      </c>
      <c r="CI29" s="65" t="e">
        <f t="shared" si="51"/>
        <v>#VALUE!</v>
      </c>
      <c r="CJ29" s="65" t="e">
        <f t="shared" si="51"/>
        <v>#VALUE!</v>
      </c>
      <c r="CK29" s="65" t="e">
        <f t="shared" si="51"/>
        <v>#VALUE!</v>
      </c>
      <c r="CL29" s="65" t="e">
        <f t="shared" si="51"/>
        <v>#VALUE!</v>
      </c>
      <c r="CM29" s="65" t="e">
        <f t="shared" si="51"/>
        <v>#VALUE!</v>
      </c>
      <c r="CN29" s="65" t="e">
        <f t="shared" si="52"/>
        <v>#VALUE!</v>
      </c>
      <c r="CO29" s="65" t="e">
        <f t="shared" si="52"/>
        <v>#VALUE!</v>
      </c>
      <c r="CP29" s="65" t="str">
        <f t="shared" si="52"/>
        <v>-</v>
      </c>
      <c r="CQ29" s="65" t="str">
        <f t="shared" si="52"/>
        <v>-</v>
      </c>
      <c r="CR29" s="65" t="str">
        <f t="shared" si="52"/>
        <v>-</v>
      </c>
      <c r="CS29" s="186" t="str">
        <f t="shared" si="52"/>
        <v>-</v>
      </c>
      <c r="CT29" s="186" t="str">
        <f t="shared" si="52"/>
        <v>-</v>
      </c>
      <c r="CU29" s="186" t="str">
        <f t="shared" si="52"/>
        <v>-</v>
      </c>
      <c r="CV29" s="186" t="str">
        <f t="shared" si="52"/>
        <v>-</v>
      </c>
      <c r="CW29" s="65" t="str">
        <f t="shared" si="52"/>
        <v>-</v>
      </c>
    </row>
    <row r="30" spans="1:101">
      <c r="A30" s="476"/>
      <c r="B30" s="451"/>
      <c r="C30" s="451"/>
      <c r="D30" s="467"/>
      <c r="E30" s="185" t="s">
        <v>67</v>
      </c>
      <c r="F30" s="66" t="e">
        <f>SUM('BESS 10B'!S175:S184)</f>
        <v>#VALUE!</v>
      </c>
      <c r="G30" s="182">
        <f>H30-14</f>
        <v>46269</v>
      </c>
      <c r="H30" s="182">
        <f>MAX('BESS 10B'!O175:O184)</f>
        <v>46283</v>
      </c>
      <c r="I30" s="66">
        <f>H30-G30</f>
        <v>14</v>
      </c>
      <c r="J30" s="662"/>
      <c r="K30" s="662"/>
      <c r="L30" s="65" t="str">
        <f t="shared" si="44"/>
        <v>-</v>
      </c>
      <c r="M30" s="65" t="str">
        <f t="shared" si="44"/>
        <v>-</v>
      </c>
      <c r="N30" s="65" t="str">
        <f t="shared" si="44"/>
        <v>-</v>
      </c>
      <c r="O30" s="65" t="str">
        <f t="shared" si="44"/>
        <v>-</v>
      </c>
      <c r="P30" s="65" t="str">
        <f t="shared" si="44"/>
        <v>-</v>
      </c>
      <c r="Q30" s="65" t="str">
        <f t="shared" si="44"/>
        <v>-</v>
      </c>
      <c r="R30" s="65" t="str">
        <f t="shared" si="44"/>
        <v>-</v>
      </c>
      <c r="S30" s="65" t="str">
        <f t="shared" si="44"/>
        <v>-</v>
      </c>
      <c r="T30" s="65" t="str">
        <f t="shared" si="44"/>
        <v>-</v>
      </c>
      <c r="U30" s="65" t="str">
        <f t="shared" si="44"/>
        <v>-</v>
      </c>
      <c r="V30" s="65" t="str">
        <f t="shared" si="45"/>
        <v>-</v>
      </c>
      <c r="W30" s="65" t="str">
        <f t="shared" si="45"/>
        <v>-</v>
      </c>
      <c r="X30" s="65" t="str">
        <f t="shared" si="45"/>
        <v>-</v>
      </c>
      <c r="Y30" s="65" t="str">
        <f t="shared" si="45"/>
        <v>-</v>
      </c>
      <c r="Z30" s="65" t="str">
        <f t="shared" si="45"/>
        <v>-</v>
      </c>
      <c r="AA30" s="65" t="str">
        <f t="shared" si="45"/>
        <v>-</v>
      </c>
      <c r="AB30" s="65" t="str">
        <f t="shared" si="45"/>
        <v>-</v>
      </c>
      <c r="AC30" s="65" t="str">
        <f t="shared" si="45"/>
        <v>-</v>
      </c>
      <c r="AD30" s="65" t="str">
        <f t="shared" si="45"/>
        <v>-</v>
      </c>
      <c r="AE30" s="65" t="str">
        <f t="shared" si="45"/>
        <v>-</v>
      </c>
      <c r="AF30" s="65" t="str">
        <f t="shared" si="46"/>
        <v>-</v>
      </c>
      <c r="AG30" s="65" t="str">
        <f t="shared" si="46"/>
        <v>-</v>
      </c>
      <c r="AH30" s="65" t="str">
        <f t="shared" si="46"/>
        <v>-</v>
      </c>
      <c r="AI30" s="65" t="str">
        <f t="shared" si="46"/>
        <v>-</v>
      </c>
      <c r="AJ30" s="65" t="str">
        <f t="shared" si="46"/>
        <v>-</v>
      </c>
      <c r="AK30" s="65" t="str">
        <f t="shared" si="46"/>
        <v>-</v>
      </c>
      <c r="AL30" s="65" t="str">
        <f t="shared" si="46"/>
        <v>-</v>
      </c>
      <c r="AM30" s="65" t="str">
        <f t="shared" si="46"/>
        <v>-</v>
      </c>
      <c r="AN30" s="65" t="str">
        <f t="shared" si="46"/>
        <v>-</v>
      </c>
      <c r="AO30" s="65" t="str">
        <f t="shared" si="46"/>
        <v>-</v>
      </c>
      <c r="AP30" s="65" t="str">
        <f t="shared" si="47"/>
        <v>-</v>
      </c>
      <c r="AQ30" s="65" t="str">
        <f t="shared" si="47"/>
        <v>-</v>
      </c>
      <c r="AR30" s="65" t="str">
        <f t="shared" si="47"/>
        <v>-</v>
      </c>
      <c r="AS30" s="65" t="str">
        <f t="shared" si="47"/>
        <v>-</v>
      </c>
      <c r="AT30" s="65" t="str">
        <f t="shared" si="47"/>
        <v>-</v>
      </c>
      <c r="AU30" s="65" t="str">
        <f t="shared" si="47"/>
        <v>-</v>
      </c>
      <c r="AV30" s="65" t="str">
        <f t="shared" si="47"/>
        <v>-</v>
      </c>
      <c r="AW30" s="65" t="str">
        <f t="shared" si="47"/>
        <v>-</v>
      </c>
      <c r="AX30" s="65" t="str">
        <f t="shared" si="47"/>
        <v>-</v>
      </c>
      <c r="AY30" s="65" t="str">
        <f t="shared" si="47"/>
        <v>-</v>
      </c>
      <c r="AZ30" s="65" t="str">
        <f t="shared" si="48"/>
        <v>-</v>
      </c>
      <c r="BA30" s="65" t="str">
        <f t="shared" si="48"/>
        <v>-</v>
      </c>
      <c r="BB30" s="65" t="str">
        <f t="shared" si="48"/>
        <v>-</v>
      </c>
      <c r="BC30" s="65" t="str">
        <f t="shared" si="48"/>
        <v>-</v>
      </c>
      <c r="BD30" s="65" t="str">
        <f t="shared" si="48"/>
        <v>-</v>
      </c>
      <c r="BE30" s="65" t="str">
        <f t="shared" si="48"/>
        <v>-</v>
      </c>
      <c r="BF30" s="65" t="str">
        <f t="shared" si="48"/>
        <v>-</v>
      </c>
      <c r="BG30" s="65" t="str">
        <f t="shared" si="48"/>
        <v>-</v>
      </c>
      <c r="BH30" s="65" t="str">
        <f t="shared" si="48"/>
        <v>-</v>
      </c>
      <c r="BI30" s="65" t="str">
        <f t="shared" si="48"/>
        <v>-</v>
      </c>
      <c r="BJ30" s="65" t="str">
        <f t="shared" si="49"/>
        <v>-</v>
      </c>
      <c r="BK30" s="65" t="str">
        <f t="shared" si="49"/>
        <v>-</v>
      </c>
      <c r="BL30" s="65" t="str">
        <f t="shared" si="49"/>
        <v>-</v>
      </c>
      <c r="BM30" s="65" t="str">
        <f t="shared" si="49"/>
        <v>-</v>
      </c>
      <c r="BN30" s="65" t="str">
        <f t="shared" si="49"/>
        <v>-</v>
      </c>
      <c r="BO30" s="65" t="str">
        <f t="shared" si="49"/>
        <v>-</v>
      </c>
      <c r="BP30" s="65" t="str">
        <f t="shared" si="49"/>
        <v>-</v>
      </c>
      <c r="BQ30" s="65" t="str">
        <f t="shared" si="49"/>
        <v>-</v>
      </c>
      <c r="BR30" s="65" t="str">
        <f t="shared" si="49"/>
        <v>-</v>
      </c>
      <c r="BS30" s="65" t="str">
        <f t="shared" si="49"/>
        <v>-</v>
      </c>
      <c r="BT30" s="65" t="str">
        <f t="shared" si="50"/>
        <v>-</v>
      </c>
      <c r="BU30" s="65" t="str">
        <f t="shared" si="50"/>
        <v>-</v>
      </c>
      <c r="BV30" s="65" t="str">
        <f t="shared" si="50"/>
        <v>-</v>
      </c>
      <c r="BW30" s="65" t="str">
        <f t="shared" si="50"/>
        <v>-</v>
      </c>
      <c r="BX30" s="65" t="str">
        <f t="shared" si="50"/>
        <v>-</v>
      </c>
      <c r="BY30" s="65" t="str">
        <f t="shared" si="50"/>
        <v>-</v>
      </c>
      <c r="BZ30" s="65" t="str">
        <f t="shared" si="50"/>
        <v>-</v>
      </c>
      <c r="CA30" s="65" t="str">
        <f t="shared" si="50"/>
        <v>-</v>
      </c>
      <c r="CB30" s="65" t="str">
        <f t="shared" si="50"/>
        <v>-</v>
      </c>
      <c r="CC30" s="65" t="str">
        <f t="shared" si="50"/>
        <v>-</v>
      </c>
      <c r="CD30" s="65" t="str">
        <f t="shared" si="51"/>
        <v>-</v>
      </c>
      <c r="CE30" s="65" t="str">
        <f t="shared" si="51"/>
        <v>-</v>
      </c>
      <c r="CF30" s="65" t="str">
        <f t="shared" si="51"/>
        <v>-</v>
      </c>
      <c r="CG30" s="65" t="str">
        <f t="shared" si="51"/>
        <v>-</v>
      </c>
      <c r="CH30" s="65" t="e">
        <f t="shared" si="51"/>
        <v>#VALUE!</v>
      </c>
      <c r="CI30" s="65" t="e">
        <f t="shared" si="51"/>
        <v>#VALUE!</v>
      </c>
      <c r="CJ30" s="65" t="e">
        <f t="shared" si="51"/>
        <v>#VALUE!</v>
      </c>
      <c r="CK30" s="65" t="e">
        <f t="shared" si="51"/>
        <v>#VALUE!</v>
      </c>
      <c r="CL30" s="65" t="e">
        <f t="shared" si="51"/>
        <v>#VALUE!</v>
      </c>
      <c r="CM30" s="65" t="e">
        <f t="shared" si="51"/>
        <v>#VALUE!</v>
      </c>
      <c r="CN30" s="65" t="e">
        <f t="shared" si="52"/>
        <v>#VALUE!</v>
      </c>
      <c r="CO30" s="65" t="e">
        <f t="shared" si="52"/>
        <v>#VALUE!</v>
      </c>
      <c r="CP30" s="65" t="e">
        <f t="shared" si="52"/>
        <v>#VALUE!</v>
      </c>
      <c r="CQ30" s="65" t="e">
        <f t="shared" si="52"/>
        <v>#VALUE!</v>
      </c>
      <c r="CR30" s="65" t="e">
        <f t="shared" si="52"/>
        <v>#VALUE!</v>
      </c>
      <c r="CS30" s="186" t="e">
        <f t="shared" si="52"/>
        <v>#VALUE!</v>
      </c>
      <c r="CT30" s="186" t="e">
        <f t="shared" si="52"/>
        <v>#VALUE!</v>
      </c>
      <c r="CU30" s="186" t="e">
        <f t="shared" si="52"/>
        <v>#VALUE!</v>
      </c>
      <c r="CV30" s="186" t="str">
        <f t="shared" si="52"/>
        <v>-</v>
      </c>
      <c r="CW30" s="65" t="str">
        <f t="shared" si="52"/>
        <v>-</v>
      </c>
    </row>
    <row r="31" spans="1:101">
      <c r="A31" s="504"/>
      <c r="B31" s="452"/>
      <c r="C31" s="452"/>
      <c r="D31" s="467"/>
      <c r="E31" s="185" t="s">
        <v>68</v>
      </c>
      <c r="F31" s="66">
        <v>250</v>
      </c>
      <c r="G31" s="182" t="e">
        <f>B26-3</f>
        <v>#VALUE!</v>
      </c>
      <c r="H31" s="182"/>
      <c r="I31" s="65">
        <v>30</v>
      </c>
      <c r="J31" s="663"/>
      <c r="K31" s="663"/>
      <c r="L31" s="182"/>
      <c r="M31" s="182"/>
      <c r="N31" s="65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5">
        <v>5</v>
      </c>
      <c r="BE31" s="65">
        <v>5</v>
      </c>
      <c r="BF31" s="65">
        <v>5</v>
      </c>
      <c r="BG31" s="65">
        <v>5</v>
      </c>
      <c r="BH31" s="65">
        <v>5</v>
      </c>
      <c r="BI31" s="65">
        <v>5</v>
      </c>
      <c r="BJ31" s="65">
        <v>5</v>
      </c>
      <c r="BK31" s="65">
        <v>5</v>
      </c>
      <c r="BL31" s="65">
        <v>5</v>
      </c>
      <c r="BM31" s="65">
        <v>5</v>
      </c>
      <c r="BN31" s="65">
        <v>5</v>
      </c>
      <c r="BO31" s="65">
        <v>5</v>
      </c>
      <c r="BP31" s="65">
        <v>5</v>
      </c>
      <c r="BQ31" s="65">
        <v>5</v>
      </c>
      <c r="BR31" s="65">
        <v>5</v>
      </c>
      <c r="BS31" s="65">
        <v>5</v>
      </c>
      <c r="BT31" s="65">
        <v>5</v>
      </c>
      <c r="BU31" s="65">
        <v>5</v>
      </c>
      <c r="BV31" s="65">
        <v>5</v>
      </c>
      <c r="BW31" s="65">
        <v>5</v>
      </c>
      <c r="BX31" s="65">
        <v>5</v>
      </c>
      <c r="BY31" s="65">
        <v>5</v>
      </c>
      <c r="BZ31" s="65">
        <v>5</v>
      </c>
      <c r="CA31" s="65">
        <v>30</v>
      </c>
      <c r="CB31" s="65">
        <v>30</v>
      </c>
      <c r="CC31" s="65">
        <v>30</v>
      </c>
      <c r="CD31" s="65">
        <v>30</v>
      </c>
      <c r="CE31" s="65">
        <v>5</v>
      </c>
      <c r="CF31" s="65">
        <v>5</v>
      </c>
      <c r="CG31" s="65">
        <v>5</v>
      </c>
      <c r="CH31" s="65">
        <v>5</v>
      </c>
      <c r="CI31" s="66"/>
      <c r="CJ31" s="66"/>
      <c r="CK31" s="65"/>
      <c r="CL31" s="65"/>
      <c r="CM31" s="65"/>
      <c r="CN31" s="65"/>
      <c r="CO31" s="65"/>
      <c r="CP31" s="65"/>
      <c r="CQ31" s="65"/>
      <c r="CR31" s="65"/>
      <c r="CS31" s="186"/>
      <c r="CT31" s="65"/>
      <c r="CU31" s="65"/>
      <c r="CV31" s="65"/>
      <c r="CW31" s="65"/>
    </row>
    <row r="32" spans="1:101" hidden="1">
      <c r="B32" s="198"/>
      <c r="E32" s="199"/>
      <c r="F32" s="169"/>
      <c r="G32" s="181" t="s">
        <v>69</v>
      </c>
      <c r="H32" s="181"/>
      <c r="I32" s="171"/>
      <c r="J32" s="181"/>
      <c r="K32" s="181"/>
      <c r="L32" s="190">
        <f>SUM(L27:L31)</f>
        <v>0</v>
      </c>
      <c r="M32" s="190">
        <f>SUM(M27:M31)</f>
        <v>0</v>
      </c>
      <c r="N32" s="190">
        <f>SUM(N27:N31)</f>
        <v>0</v>
      </c>
      <c r="O32" s="190">
        <f t="shared" ref="O32:AZ32" si="53">SUM(O27:O31)</f>
        <v>0</v>
      </c>
      <c r="P32" s="190">
        <f t="shared" si="53"/>
        <v>0</v>
      </c>
      <c r="Q32" s="190">
        <f t="shared" si="53"/>
        <v>0</v>
      </c>
      <c r="R32" s="190">
        <f t="shared" si="53"/>
        <v>0</v>
      </c>
      <c r="S32" s="190">
        <f t="shared" si="53"/>
        <v>0</v>
      </c>
      <c r="T32" s="190">
        <f t="shared" si="53"/>
        <v>0</v>
      </c>
      <c r="U32" s="190">
        <f t="shared" si="53"/>
        <v>0</v>
      </c>
      <c r="V32" s="190">
        <f t="shared" si="53"/>
        <v>0</v>
      </c>
      <c r="W32" s="190">
        <f t="shared" si="53"/>
        <v>0</v>
      </c>
      <c r="X32" s="190">
        <f t="shared" si="53"/>
        <v>0</v>
      </c>
      <c r="Y32" s="190">
        <f t="shared" si="53"/>
        <v>0</v>
      </c>
      <c r="Z32" s="190">
        <f t="shared" si="53"/>
        <v>0</v>
      </c>
      <c r="AA32" s="190">
        <f t="shared" si="53"/>
        <v>0</v>
      </c>
      <c r="AB32" s="190">
        <f t="shared" si="53"/>
        <v>0</v>
      </c>
      <c r="AC32" s="190">
        <f t="shared" si="53"/>
        <v>0</v>
      </c>
      <c r="AD32" s="190">
        <f t="shared" si="53"/>
        <v>0</v>
      </c>
      <c r="AE32" s="190">
        <f t="shared" si="53"/>
        <v>0</v>
      </c>
      <c r="AF32" s="190">
        <f t="shared" si="53"/>
        <v>0</v>
      </c>
      <c r="AG32" s="190">
        <f t="shared" si="53"/>
        <v>0</v>
      </c>
      <c r="AH32" s="190">
        <f t="shared" si="53"/>
        <v>0</v>
      </c>
      <c r="AI32" s="190">
        <f t="shared" si="53"/>
        <v>0</v>
      </c>
      <c r="AJ32" s="190">
        <f t="shared" si="53"/>
        <v>0</v>
      </c>
      <c r="AK32" s="190">
        <f t="shared" si="53"/>
        <v>0</v>
      </c>
      <c r="AL32" s="190">
        <f t="shared" si="53"/>
        <v>0</v>
      </c>
      <c r="AM32" s="190">
        <f t="shared" si="53"/>
        <v>0</v>
      </c>
      <c r="AN32" s="190">
        <f t="shared" si="53"/>
        <v>0</v>
      </c>
      <c r="AO32" s="190">
        <f t="shared" si="53"/>
        <v>0</v>
      </c>
      <c r="AP32" s="190">
        <f t="shared" si="53"/>
        <v>0</v>
      </c>
      <c r="AQ32" s="190">
        <f t="shared" si="53"/>
        <v>0</v>
      </c>
      <c r="AR32" s="190">
        <f t="shared" si="53"/>
        <v>0</v>
      </c>
      <c r="AS32" s="190">
        <f t="shared" si="53"/>
        <v>0</v>
      </c>
      <c r="AT32" s="190">
        <f t="shared" si="53"/>
        <v>0</v>
      </c>
      <c r="AU32" s="190">
        <f t="shared" si="53"/>
        <v>0</v>
      </c>
      <c r="AV32" s="190">
        <f t="shared" si="53"/>
        <v>0</v>
      </c>
      <c r="AW32" s="190">
        <f t="shared" si="53"/>
        <v>0</v>
      </c>
      <c r="AX32" s="190">
        <f t="shared" si="53"/>
        <v>0</v>
      </c>
      <c r="AY32" s="190" t="e">
        <f t="shared" si="53"/>
        <v>#VALUE!</v>
      </c>
      <c r="AZ32" s="190" t="e">
        <f t="shared" si="53"/>
        <v>#VALUE!</v>
      </c>
      <c r="BA32" s="190" t="e">
        <f t="shared" ref="BA32:CF32" si="54">SUM(BA27:BA31)</f>
        <v>#VALUE!</v>
      </c>
      <c r="BB32" s="190" t="e">
        <f t="shared" si="54"/>
        <v>#VALUE!</v>
      </c>
      <c r="BC32" s="190" t="e">
        <f t="shared" si="54"/>
        <v>#VALUE!</v>
      </c>
      <c r="BD32" s="190" t="e">
        <f t="shared" si="54"/>
        <v>#VALUE!</v>
      </c>
      <c r="BE32" s="190" t="e">
        <f t="shared" si="54"/>
        <v>#VALUE!</v>
      </c>
      <c r="BF32" s="190" t="e">
        <f t="shared" si="54"/>
        <v>#VALUE!</v>
      </c>
      <c r="BG32" s="190" t="e">
        <f t="shared" si="54"/>
        <v>#VALUE!</v>
      </c>
      <c r="BH32" s="190" t="e">
        <f t="shared" si="54"/>
        <v>#VALUE!</v>
      </c>
      <c r="BI32" s="190" t="e">
        <f t="shared" si="54"/>
        <v>#VALUE!</v>
      </c>
      <c r="BJ32" s="190" t="e">
        <f t="shared" si="54"/>
        <v>#VALUE!</v>
      </c>
      <c r="BK32" s="190" t="e">
        <f t="shared" si="54"/>
        <v>#VALUE!</v>
      </c>
      <c r="BL32" s="190" t="e">
        <f t="shared" si="54"/>
        <v>#VALUE!</v>
      </c>
      <c r="BM32" s="190" t="e">
        <f t="shared" si="54"/>
        <v>#VALUE!</v>
      </c>
      <c r="BN32" s="190" t="e">
        <f t="shared" si="54"/>
        <v>#VALUE!</v>
      </c>
      <c r="BO32" s="190" t="e">
        <f t="shared" si="54"/>
        <v>#VALUE!</v>
      </c>
      <c r="BP32" s="190" t="e">
        <f t="shared" si="54"/>
        <v>#VALUE!</v>
      </c>
      <c r="BQ32" s="190" t="e">
        <f t="shared" si="54"/>
        <v>#VALUE!</v>
      </c>
      <c r="BR32" s="190" t="e">
        <f t="shared" si="54"/>
        <v>#VALUE!</v>
      </c>
      <c r="BS32" s="190">
        <f t="shared" si="54"/>
        <v>5</v>
      </c>
      <c r="BT32" s="190">
        <f t="shared" si="54"/>
        <v>5</v>
      </c>
      <c r="BU32" s="190">
        <f t="shared" si="54"/>
        <v>5</v>
      </c>
      <c r="BV32" s="190" t="e">
        <f t="shared" si="54"/>
        <v>#VALUE!</v>
      </c>
      <c r="BW32" s="190" t="e">
        <f t="shared" si="54"/>
        <v>#VALUE!</v>
      </c>
      <c r="BX32" s="190" t="e">
        <f t="shared" si="54"/>
        <v>#VALUE!</v>
      </c>
      <c r="BY32" s="190" t="e">
        <f t="shared" si="54"/>
        <v>#VALUE!</v>
      </c>
      <c r="BZ32" s="190" t="e">
        <f t="shared" si="54"/>
        <v>#VALUE!</v>
      </c>
      <c r="CA32" s="190" t="e">
        <f t="shared" si="54"/>
        <v>#VALUE!</v>
      </c>
      <c r="CB32" s="190" t="e">
        <f t="shared" si="54"/>
        <v>#VALUE!</v>
      </c>
      <c r="CC32" s="190" t="e">
        <f t="shared" si="54"/>
        <v>#VALUE!</v>
      </c>
      <c r="CD32" s="190" t="e">
        <f t="shared" si="54"/>
        <v>#VALUE!</v>
      </c>
      <c r="CE32" s="190" t="e">
        <f t="shared" si="54"/>
        <v>#VALUE!</v>
      </c>
      <c r="CF32" s="190" t="e">
        <f t="shared" si="54"/>
        <v>#VALUE!</v>
      </c>
      <c r="CG32" s="190" t="e">
        <f t="shared" ref="CG32:CW32" si="55">SUM(CG27:CG31)</f>
        <v>#VALUE!</v>
      </c>
      <c r="CH32" s="190" t="e">
        <f t="shared" si="55"/>
        <v>#VALUE!</v>
      </c>
      <c r="CI32" s="190" t="e">
        <f t="shared" si="55"/>
        <v>#VALUE!</v>
      </c>
      <c r="CJ32" s="190" t="e">
        <f t="shared" si="55"/>
        <v>#VALUE!</v>
      </c>
      <c r="CK32" s="190" t="e">
        <f t="shared" si="55"/>
        <v>#VALUE!</v>
      </c>
      <c r="CL32" s="190" t="e">
        <f t="shared" si="55"/>
        <v>#VALUE!</v>
      </c>
      <c r="CM32" s="190" t="e">
        <f t="shared" si="55"/>
        <v>#VALUE!</v>
      </c>
      <c r="CN32" s="190" t="e">
        <f t="shared" si="55"/>
        <v>#VALUE!</v>
      </c>
      <c r="CO32" s="190" t="e">
        <f t="shared" si="55"/>
        <v>#VALUE!</v>
      </c>
      <c r="CP32" s="190" t="e">
        <f t="shared" si="55"/>
        <v>#VALUE!</v>
      </c>
      <c r="CQ32" s="190" t="e">
        <f t="shared" si="55"/>
        <v>#VALUE!</v>
      </c>
      <c r="CR32" s="190" t="e">
        <f t="shared" si="55"/>
        <v>#VALUE!</v>
      </c>
      <c r="CS32" s="190" t="e">
        <f t="shared" si="55"/>
        <v>#VALUE!</v>
      </c>
      <c r="CT32" s="190" t="e">
        <f t="shared" si="55"/>
        <v>#VALUE!</v>
      </c>
      <c r="CU32" s="190" t="e">
        <f t="shared" si="55"/>
        <v>#VALUE!</v>
      </c>
      <c r="CV32" s="190">
        <f t="shared" si="55"/>
        <v>0</v>
      </c>
      <c r="CW32" s="190">
        <f t="shared" si="55"/>
        <v>0</v>
      </c>
    </row>
    <row r="33" spans="1:101">
      <c r="F33" s="53"/>
      <c r="I33" s="53"/>
      <c r="CT33" s="185"/>
      <c r="CU33" s="185"/>
      <c r="CV33" s="185"/>
      <c r="CW33" s="185"/>
    </row>
    <row r="34" spans="1:101" ht="27">
      <c r="A34" s="466" t="s">
        <v>73</v>
      </c>
      <c r="B34" s="509" t="str">
        <f>'BESS 10B'!F185</f>
        <v>04 Sep
30 Sep</v>
      </c>
      <c r="C34" s="509" t="str">
        <f>'BESS 10B'!G185</f>
        <v>09 Sep
05 Oct</v>
      </c>
      <c r="D34" s="192"/>
      <c r="E34" s="192" t="s">
        <v>10</v>
      </c>
      <c r="F34" s="129" t="s">
        <v>58</v>
      </c>
      <c r="G34" s="129" t="s">
        <v>86</v>
      </c>
      <c r="H34" s="129" t="s">
        <v>79</v>
      </c>
      <c r="I34" s="129" t="s">
        <v>59</v>
      </c>
      <c r="J34" s="128" t="s">
        <v>80</v>
      </c>
      <c r="K34" s="128" t="s">
        <v>62</v>
      </c>
      <c r="L34" s="130">
        <v>46195</v>
      </c>
      <c r="M34" s="130">
        <v>46196</v>
      </c>
      <c r="N34" s="130">
        <v>46197</v>
      </c>
      <c r="O34" s="130">
        <f t="shared" ref="O34:BZ34" si="56">N34+1</f>
        <v>46198</v>
      </c>
      <c r="P34" s="130">
        <f t="shared" si="56"/>
        <v>46199</v>
      </c>
      <c r="Q34" s="130">
        <f t="shared" si="56"/>
        <v>46200</v>
      </c>
      <c r="R34" s="130">
        <f t="shared" si="56"/>
        <v>46201</v>
      </c>
      <c r="S34" s="130">
        <f t="shared" si="56"/>
        <v>46202</v>
      </c>
      <c r="T34" s="130">
        <f t="shared" si="56"/>
        <v>46203</v>
      </c>
      <c r="U34" s="130">
        <f t="shared" si="56"/>
        <v>46204</v>
      </c>
      <c r="V34" s="130">
        <f t="shared" si="56"/>
        <v>46205</v>
      </c>
      <c r="W34" s="130">
        <f t="shared" si="56"/>
        <v>46206</v>
      </c>
      <c r="X34" s="130">
        <f t="shared" si="56"/>
        <v>46207</v>
      </c>
      <c r="Y34" s="130">
        <f t="shared" si="56"/>
        <v>46208</v>
      </c>
      <c r="Z34" s="130">
        <f t="shared" si="56"/>
        <v>46209</v>
      </c>
      <c r="AA34" s="130">
        <f t="shared" si="56"/>
        <v>46210</v>
      </c>
      <c r="AB34" s="130">
        <f t="shared" si="56"/>
        <v>46211</v>
      </c>
      <c r="AC34" s="130">
        <f t="shared" si="56"/>
        <v>46212</v>
      </c>
      <c r="AD34" s="130">
        <f t="shared" si="56"/>
        <v>46213</v>
      </c>
      <c r="AE34" s="130">
        <f t="shared" si="56"/>
        <v>46214</v>
      </c>
      <c r="AF34" s="130">
        <f t="shared" si="56"/>
        <v>46215</v>
      </c>
      <c r="AG34" s="130">
        <f t="shared" si="56"/>
        <v>46216</v>
      </c>
      <c r="AH34" s="130">
        <f t="shared" si="56"/>
        <v>46217</v>
      </c>
      <c r="AI34" s="130">
        <f t="shared" si="56"/>
        <v>46218</v>
      </c>
      <c r="AJ34" s="130">
        <f t="shared" si="56"/>
        <v>46219</v>
      </c>
      <c r="AK34" s="130">
        <f t="shared" si="56"/>
        <v>46220</v>
      </c>
      <c r="AL34" s="130">
        <f t="shared" si="56"/>
        <v>46221</v>
      </c>
      <c r="AM34" s="130">
        <f t="shared" si="56"/>
        <v>46222</v>
      </c>
      <c r="AN34" s="130">
        <f t="shared" si="56"/>
        <v>46223</v>
      </c>
      <c r="AO34" s="130">
        <f t="shared" si="56"/>
        <v>46224</v>
      </c>
      <c r="AP34" s="130">
        <f t="shared" si="56"/>
        <v>46225</v>
      </c>
      <c r="AQ34" s="130">
        <f t="shared" si="56"/>
        <v>46226</v>
      </c>
      <c r="AR34" s="130">
        <f t="shared" si="56"/>
        <v>46227</v>
      </c>
      <c r="AS34" s="130">
        <f t="shared" si="56"/>
        <v>46228</v>
      </c>
      <c r="AT34" s="130">
        <f t="shared" si="56"/>
        <v>46229</v>
      </c>
      <c r="AU34" s="130">
        <f t="shared" si="56"/>
        <v>46230</v>
      </c>
      <c r="AV34" s="130">
        <f t="shared" si="56"/>
        <v>46231</v>
      </c>
      <c r="AW34" s="130">
        <f t="shared" si="56"/>
        <v>46232</v>
      </c>
      <c r="AX34" s="130">
        <f t="shared" si="56"/>
        <v>46233</v>
      </c>
      <c r="AY34" s="130">
        <f t="shared" si="56"/>
        <v>46234</v>
      </c>
      <c r="AZ34" s="130">
        <f t="shared" si="56"/>
        <v>46235</v>
      </c>
      <c r="BA34" s="130">
        <f t="shared" si="56"/>
        <v>46236</v>
      </c>
      <c r="BB34" s="130">
        <f t="shared" si="56"/>
        <v>46237</v>
      </c>
      <c r="BC34" s="130">
        <f t="shared" si="56"/>
        <v>46238</v>
      </c>
      <c r="BD34" s="130">
        <f t="shared" si="56"/>
        <v>46239</v>
      </c>
      <c r="BE34" s="130">
        <f t="shared" si="56"/>
        <v>46240</v>
      </c>
      <c r="BF34" s="130">
        <f t="shared" si="56"/>
        <v>46241</v>
      </c>
      <c r="BG34" s="130">
        <f t="shared" si="56"/>
        <v>46242</v>
      </c>
      <c r="BH34" s="130">
        <f t="shared" si="56"/>
        <v>46243</v>
      </c>
      <c r="BI34" s="130">
        <f t="shared" si="56"/>
        <v>46244</v>
      </c>
      <c r="BJ34" s="130">
        <f t="shared" si="56"/>
        <v>46245</v>
      </c>
      <c r="BK34" s="130">
        <f t="shared" si="56"/>
        <v>46246</v>
      </c>
      <c r="BL34" s="130">
        <f t="shared" si="56"/>
        <v>46247</v>
      </c>
      <c r="BM34" s="130">
        <f t="shared" si="56"/>
        <v>46248</v>
      </c>
      <c r="BN34" s="130">
        <f t="shared" si="56"/>
        <v>46249</v>
      </c>
      <c r="BO34" s="130">
        <f t="shared" si="56"/>
        <v>46250</v>
      </c>
      <c r="BP34" s="130">
        <f t="shared" si="56"/>
        <v>46251</v>
      </c>
      <c r="BQ34" s="130">
        <f t="shared" si="56"/>
        <v>46252</v>
      </c>
      <c r="BR34" s="130">
        <f t="shared" si="56"/>
        <v>46253</v>
      </c>
      <c r="BS34" s="130">
        <f t="shared" si="56"/>
        <v>46254</v>
      </c>
      <c r="BT34" s="130">
        <f t="shared" si="56"/>
        <v>46255</v>
      </c>
      <c r="BU34" s="130">
        <f t="shared" si="56"/>
        <v>46256</v>
      </c>
      <c r="BV34" s="130">
        <f t="shared" si="56"/>
        <v>46257</v>
      </c>
      <c r="BW34" s="130">
        <f t="shared" si="56"/>
        <v>46258</v>
      </c>
      <c r="BX34" s="130">
        <f t="shared" si="56"/>
        <v>46259</v>
      </c>
      <c r="BY34" s="130">
        <f t="shared" si="56"/>
        <v>46260</v>
      </c>
      <c r="BZ34" s="130">
        <f t="shared" si="56"/>
        <v>46261</v>
      </c>
      <c r="CA34" s="130">
        <f t="shared" ref="CA34:CS34" si="57">BZ34+1</f>
        <v>46262</v>
      </c>
      <c r="CB34" s="130">
        <f t="shared" si="57"/>
        <v>46263</v>
      </c>
      <c r="CC34" s="130">
        <f t="shared" si="57"/>
        <v>46264</v>
      </c>
      <c r="CD34" s="130">
        <f t="shared" si="57"/>
        <v>46265</v>
      </c>
      <c r="CE34" s="130">
        <f t="shared" si="57"/>
        <v>46266</v>
      </c>
      <c r="CF34" s="130">
        <f t="shared" si="57"/>
        <v>46267</v>
      </c>
      <c r="CG34" s="130">
        <f t="shared" si="57"/>
        <v>46268</v>
      </c>
      <c r="CH34" s="130">
        <f t="shared" si="57"/>
        <v>46269</v>
      </c>
      <c r="CI34" s="130">
        <f t="shared" si="57"/>
        <v>46270</v>
      </c>
      <c r="CJ34" s="130">
        <f t="shared" si="57"/>
        <v>46271</v>
      </c>
      <c r="CK34" s="130">
        <f t="shared" si="57"/>
        <v>46272</v>
      </c>
      <c r="CL34" s="130">
        <f t="shared" si="57"/>
        <v>46273</v>
      </c>
      <c r="CM34" s="130">
        <f t="shared" si="57"/>
        <v>46274</v>
      </c>
      <c r="CN34" s="130">
        <f t="shared" si="57"/>
        <v>46275</v>
      </c>
      <c r="CO34" s="130">
        <f t="shared" si="57"/>
        <v>46276</v>
      </c>
      <c r="CP34" s="130">
        <f t="shared" si="57"/>
        <v>46277</v>
      </c>
      <c r="CQ34" s="130">
        <f t="shared" si="57"/>
        <v>46278</v>
      </c>
      <c r="CR34" s="130">
        <f t="shared" si="57"/>
        <v>46279</v>
      </c>
      <c r="CS34" s="193">
        <f t="shared" si="57"/>
        <v>46280</v>
      </c>
      <c r="CT34" s="193">
        <f>CS34+1</f>
        <v>46281</v>
      </c>
      <c r="CU34" s="193">
        <f>CT34+1</f>
        <v>46282</v>
      </c>
      <c r="CV34" s="193">
        <f>CU34+1</f>
        <v>46283</v>
      </c>
      <c r="CW34" s="130">
        <f>CV34+1</f>
        <v>46284</v>
      </c>
    </row>
    <row r="35" spans="1:101">
      <c r="A35" s="466"/>
      <c r="B35" s="509"/>
      <c r="C35" s="509"/>
      <c r="D35" s="467" t="str">
        <f>'BESS 10B'!H185</f>
        <v>12 Sep
08 Oct</v>
      </c>
      <c r="E35" s="185" t="s">
        <v>64</v>
      </c>
      <c r="F35" s="66" t="e">
        <f>SUM('BESS 10B'!S198:S205,'BESS 10B'!S207)</f>
        <v>#VALUE!</v>
      </c>
      <c r="G35" s="182">
        <f>H35-10</f>
        <v>46249</v>
      </c>
      <c r="H35" s="182">
        <f>MAX('BESS 10B'!O198:O204)</f>
        <v>46259</v>
      </c>
      <c r="I35" s="66">
        <f>H35-G35</f>
        <v>10</v>
      </c>
      <c r="J35" s="661">
        <f>AVERAGEIF(L40:CW40,"&gt;0")</f>
        <v>5</v>
      </c>
      <c r="K35" s="661" t="e">
        <f>MAX(L40:CW40)</f>
        <v>#VALUE!</v>
      </c>
      <c r="L35" s="65" t="str">
        <f t="shared" ref="L35:U38" si="58">IF(AND(L$2&gt;=$G35,L$2&lt;($G35+$I35)),ROUND($F35/$I35,0),"-")</f>
        <v>-</v>
      </c>
      <c r="M35" s="65" t="str">
        <f t="shared" si="58"/>
        <v>-</v>
      </c>
      <c r="N35" s="65" t="str">
        <f t="shared" si="58"/>
        <v>-</v>
      </c>
      <c r="O35" s="65" t="str">
        <f t="shared" si="58"/>
        <v>-</v>
      </c>
      <c r="P35" s="65" t="str">
        <f t="shared" si="58"/>
        <v>-</v>
      </c>
      <c r="Q35" s="65" t="str">
        <f t="shared" si="58"/>
        <v>-</v>
      </c>
      <c r="R35" s="65" t="str">
        <f t="shared" si="58"/>
        <v>-</v>
      </c>
      <c r="S35" s="65" t="str">
        <f t="shared" si="58"/>
        <v>-</v>
      </c>
      <c r="T35" s="65" t="str">
        <f t="shared" si="58"/>
        <v>-</v>
      </c>
      <c r="U35" s="65" t="str">
        <f t="shared" si="58"/>
        <v>-</v>
      </c>
      <c r="V35" s="65" t="str">
        <f t="shared" ref="V35:AE38" si="59">IF(AND(V$2&gt;=$G35,V$2&lt;($G35+$I35)),ROUND($F35/$I35,0),"-")</f>
        <v>-</v>
      </c>
      <c r="W35" s="65" t="str">
        <f t="shared" si="59"/>
        <v>-</v>
      </c>
      <c r="X35" s="65" t="str">
        <f t="shared" si="59"/>
        <v>-</v>
      </c>
      <c r="Y35" s="65" t="str">
        <f t="shared" si="59"/>
        <v>-</v>
      </c>
      <c r="Z35" s="65" t="str">
        <f t="shared" si="59"/>
        <v>-</v>
      </c>
      <c r="AA35" s="65" t="str">
        <f t="shared" si="59"/>
        <v>-</v>
      </c>
      <c r="AB35" s="65" t="str">
        <f t="shared" si="59"/>
        <v>-</v>
      </c>
      <c r="AC35" s="65" t="str">
        <f t="shared" si="59"/>
        <v>-</v>
      </c>
      <c r="AD35" s="65" t="str">
        <f t="shared" si="59"/>
        <v>-</v>
      </c>
      <c r="AE35" s="65" t="str">
        <f t="shared" si="59"/>
        <v>-</v>
      </c>
      <c r="AF35" s="65" t="str">
        <f t="shared" ref="AF35:AO38" si="60">IF(AND(AF$2&gt;=$G35,AF$2&lt;($G35+$I35)),ROUND($F35/$I35,0),"-")</f>
        <v>-</v>
      </c>
      <c r="AG35" s="65" t="str">
        <f t="shared" si="60"/>
        <v>-</v>
      </c>
      <c r="AH35" s="65" t="str">
        <f t="shared" si="60"/>
        <v>-</v>
      </c>
      <c r="AI35" s="65" t="str">
        <f t="shared" si="60"/>
        <v>-</v>
      </c>
      <c r="AJ35" s="65" t="str">
        <f t="shared" si="60"/>
        <v>-</v>
      </c>
      <c r="AK35" s="65" t="str">
        <f t="shared" si="60"/>
        <v>-</v>
      </c>
      <c r="AL35" s="65" t="str">
        <f t="shared" si="60"/>
        <v>-</v>
      </c>
      <c r="AM35" s="65" t="str">
        <f t="shared" si="60"/>
        <v>-</v>
      </c>
      <c r="AN35" s="65" t="str">
        <f t="shared" si="60"/>
        <v>-</v>
      </c>
      <c r="AO35" s="65" t="str">
        <f t="shared" si="60"/>
        <v>-</v>
      </c>
      <c r="AP35" s="65" t="str">
        <f t="shared" ref="AP35:AY38" si="61">IF(AND(AP$2&gt;=$G35,AP$2&lt;($G35+$I35)),ROUND($F35/$I35,0),"-")</f>
        <v>-</v>
      </c>
      <c r="AQ35" s="65" t="str">
        <f t="shared" si="61"/>
        <v>-</v>
      </c>
      <c r="AR35" s="65" t="str">
        <f t="shared" si="61"/>
        <v>-</v>
      </c>
      <c r="AS35" s="65" t="str">
        <f t="shared" si="61"/>
        <v>-</v>
      </c>
      <c r="AT35" s="65" t="str">
        <f t="shared" si="61"/>
        <v>-</v>
      </c>
      <c r="AU35" s="65" t="str">
        <f t="shared" si="61"/>
        <v>-</v>
      </c>
      <c r="AV35" s="65" t="str">
        <f t="shared" si="61"/>
        <v>-</v>
      </c>
      <c r="AW35" s="65" t="str">
        <f t="shared" si="61"/>
        <v>-</v>
      </c>
      <c r="AX35" s="65" t="str">
        <f t="shared" si="61"/>
        <v>-</v>
      </c>
      <c r="AY35" s="65" t="str">
        <f t="shared" si="61"/>
        <v>-</v>
      </c>
      <c r="AZ35" s="65" t="str">
        <f t="shared" ref="AZ35:BI38" si="62">IF(AND(AZ$2&gt;=$G35,AZ$2&lt;($G35+$I35)),ROUND($F35/$I35,0),"-")</f>
        <v>-</v>
      </c>
      <c r="BA35" s="65" t="str">
        <f t="shared" si="62"/>
        <v>-</v>
      </c>
      <c r="BB35" s="65" t="str">
        <f t="shared" si="62"/>
        <v>-</v>
      </c>
      <c r="BC35" s="65" t="str">
        <f t="shared" si="62"/>
        <v>-</v>
      </c>
      <c r="BD35" s="65" t="str">
        <f t="shared" si="62"/>
        <v>-</v>
      </c>
      <c r="BE35" s="65" t="str">
        <f t="shared" si="62"/>
        <v>-</v>
      </c>
      <c r="BF35" s="65" t="str">
        <f t="shared" si="62"/>
        <v>-</v>
      </c>
      <c r="BG35" s="65" t="str">
        <f t="shared" si="62"/>
        <v>-</v>
      </c>
      <c r="BH35" s="65" t="str">
        <f t="shared" si="62"/>
        <v>-</v>
      </c>
      <c r="BI35" s="65" t="str">
        <f t="shared" si="62"/>
        <v>-</v>
      </c>
      <c r="BJ35" s="65" t="str">
        <f t="shared" ref="BJ35:BS38" si="63">IF(AND(BJ$2&gt;=$G35,BJ$2&lt;($G35+$I35)),ROUND($F35/$I35,0),"-")</f>
        <v>-</v>
      </c>
      <c r="BK35" s="65" t="str">
        <f t="shared" si="63"/>
        <v>-</v>
      </c>
      <c r="BL35" s="65" t="str">
        <f t="shared" si="63"/>
        <v>-</v>
      </c>
      <c r="BM35" s="65" t="str">
        <f t="shared" si="63"/>
        <v>-</v>
      </c>
      <c r="BN35" s="65" t="e">
        <f t="shared" si="63"/>
        <v>#VALUE!</v>
      </c>
      <c r="BO35" s="65" t="e">
        <f t="shared" si="63"/>
        <v>#VALUE!</v>
      </c>
      <c r="BP35" s="65" t="e">
        <f t="shared" si="63"/>
        <v>#VALUE!</v>
      </c>
      <c r="BQ35" s="65" t="e">
        <f t="shared" si="63"/>
        <v>#VALUE!</v>
      </c>
      <c r="BR35" s="65" t="e">
        <f t="shared" si="63"/>
        <v>#VALUE!</v>
      </c>
      <c r="BS35" s="65" t="e">
        <f t="shared" si="63"/>
        <v>#VALUE!</v>
      </c>
      <c r="BT35" s="65" t="e">
        <f t="shared" ref="BT35:CC38" si="64">IF(AND(BT$2&gt;=$G35,BT$2&lt;($G35+$I35)),ROUND($F35/$I35,0),"-")</f>
        <v>#VALUE!</v>
      </c>
      <c r="BU35" s="65" t="e">
        <f t="shared" si="64"/>
        <v>#VALUE!</v>
      </c>
      <c r="BV35" s="65" t="e">
        <f t="shared" si="64"/>
        <v>#VALUE!</v>
      </c>
      <c r="BW35" s="65" t="e">
        <f t="shared" si="64"/>
        <v>#VALUE!</v>
      </c>
      <c r="BX35" s="65" t="str">
        <f t="shared" si="64"/>
        <v>-</v>
      </c>
      <c r="BY35" s="65" t="str">
        <f t="shared" si="64"/>
        <v>-</v>
      </c>
      <c r="BZ35" s="65" t="str">
        <f t="shared" si="64"/>
        <v>-</v>
      </c>
      <c r="CA35" s="65" t="str">
        <f t="shared" si="64"/>
        <v>-</v>
      </c>
      <c r="CB35" s="65" t="str">
        <f t="shared" si="64"/>
        <v>-</v>
      </c>
      <c r="CC35" s="65" t="str">
        <f t="shared" si="64"/>
        <v>-</v>
      </c>
      <c r="CD35" s="65" t="str">
        <f t="shared" ref="CD35:CM38" si="65">IF(AND(CD$2&gt;=$G35,CD$2&lt;($G35+$I35)),ROUND($F35/$I35,0),"-")</f>
        <v>-</v>
      </c>
      <c r="CE35" s="65" t="str">
        <f t="shared" si="65"/>
        <v>-</v>
      </c>
      <c r="CF35" s="65" t="str">
        <f t="shared" si="65"/>
        <v>-</v>
      </c>
      <c r="CG35" s="65" t="str">
        <f t="shared" si="65"/>
        <v>-</v>
      </c>
      <c r="CH35" s="65" t="str">
        <f t="shared" si="65"/>
        <v>-</v>
      </c>
      <c r="CI35" s="65" t="str">
        <f t="shared" si="65"/>
        <v>-</v>
      </c>
      <c r="CJ35" s="65" t="str">
        <f t="shared" si="65"/>
        <v>-</v>
      </c>
      <c r="CK35" s="65" t="str">
        <f t="shared" si="65"/>
        <v>-</v>
      </c>
      <c r="CL35" s="65" t="str">
        <f t="shared" si="65"/>
        <v>-</v>
      </c>
      <c r="CM35" s="65" t="str">
        <f t="shared" si="65"/>
        <v>-</v>
      </c>
      <c r="CN35" s="65" t="str">
        <f t="shared" ref="CN35:CW38" si="66">IF(AND(CN$2&gt;=$G35,CN$2&lt;($G35+$I35)),ROUND($F35/$I35,0),"-")</f>
        <v>-</v>
      </c>
      <c r="CO35" s="65" t="str">
        <f t="shared" si="66"/>
        <v>-</v>
      </c>
      <c r="CP35" s="65" t="str">
        <f t="shared" si="66"/>
        <v>-</v>
      </c>
      <c r="CQ35" s="65" t="str">
        <f t="shared" si="66"/>
        <v>-</v>
      </c>
      <c r="CR35" s="65" t="str">
        <f t="shared" si="66"/>
        <v>-</v>
      </c>
      <c r="CS35" s="186" t="str">
        <f t="shared" si="66"/>
        <v>-</v>
      </c>
      <c r="CT35" s="186" t="str">
        <f t="shared" si="66"/>
        <v>-</v>
      </c>
      <c r="CU35" s="186" t="str">
        <f t="shared" si="66"/>
        <v>-</v>
      </c>
      <c r="CV35" s="186" t="str">
        <f t="shared" si="66"/>
        <v>-</v>
      </c>
      <c r="CW35" s="65" t="str">
        <f t="shared" si="66"/>
        <v>-</v>
      </c>
    </row>
    <row r="36" spans="1:101">
      <c r="A36" s="466"/>
      <c r="B36" s="509"/>
      <c r="C36" s="509"/>
      <c r="D36" s="467"/>
      <c r="E36" s="185" t="s">
        <v>65</v>
      </c>
      <c r="F36" s="66" t="e">
        <f>SUM('BESS 10B'!S208,'BESS 10B'!S210:S211,'BESS 10B'!S214:S216)</f>
        <v>#VALUE!</v>
      </c>
      <c r="G36" s="182">
        <f>H36-20</f>
        <v>46237</v>
      </c>
      <c r="H36" s="182">
        <f>MAX('BESS 10B'!O208,'BESS 10B'!O210:O211,'BESS 10B'!O214:O216)</f>
        <v>46257</v>
      </c>
      <c r="I36" s="66">
        <f>H36-G36</f>
        <v>20</v>
      </c>
      <c r="J36" s="662"/>
      <c r="K36" s="662"/>
      <c r="L36" s="65" t="str">
        <f t="shared" si="58"/>
        <v>-</v>
      </c>
      <c r="M36" s="65" t="str">
        <f t="shared" si="58"/>
        <v>-</v>
      </c>
      <c r="N36" s="65" t="str">
        <f t="shared" si="58"/>
        <v>-</v>
      </c>
      <c r="O36" s="65" t="str">
        <f t="shared" si="58"/>
        <v>-</v>
      </c>
      <c r="P36" s="65" t="str">
        <f t="shared" si="58"/>
        <v>-</v>
      </c>
      <c r="Q36" s="65" t="str">
        <f t="shared" si="58"/>
        <v>-</v>
      </c>
      <c r="R36" s="65" t="str">
        <f t="shared" si="58"/>
        <v>-</v>
      </c>
      <c r="S36" s="65" t="str">
        <f t="shared" si="58"/>
        <v>-</v>
      </c>
      <c r="T36" s="65" t="str">
        <f t="shared" si="58"/>
        <v>-</v>
      </c>
      <c r="U36" s="65" t="str">
        <f t="shared" si="58"/>
        <v>-</v>
      </c>
      <c r="V36" s="65" t="str">
        <f t="shared" si="59"/>
        <v>-</v>
      </c>
      <c r="W36" s="65" t="str">
        <f t="shared" si="59"/>
        <v>-</v>
      </c>
      <c r="X36" s="65" t="str">
        <f t="shared" si="59"/>
        <v>-</v>
      </c>
      <c r="Y36" s="65" t="str">
        <f t="shared" si="59"/>
        <v>-</v>
      </c>
      <c r="Z36" s="65" t="str">
        <f t="shared" si="59"/>
        <v>-</v>
      </c>
      <c r="AA36" s="65" t="str">
        <f t="shared" si="59"/>
        <v>-</v>
      </c>
      <c r="AB36" s="65" t="str">
        <f t="shared" si="59"/>
        <v>-</v>
      </c>
      <c r="AC36" s="65" t="str">
        <f t="shared" si="59"/>
        <v>-</v>
      </c>
      <c r="AD36" s="65" t="str">
        <f t="shared" si="59"/>
        <v>-</v>
      </c>
      <c r="AE36" s="65" t="str">
        <f t="shared" si="59"/>
        <v>-</v>
      </c>
      <c r="AF36" s="65" t="str">
        <f t="shared" si="60"/>
        <v>-</v>
      </c>
      <c r="AG36" s="65" t="str">
        <f t="shared" si="60"/>
        <v>-</v>
      </c>
      <c r="AH36" s="65" t="str">
        <f t="shared" si="60"/>
        <v>-</v>
      </c>
      <c r="AI36" s="65" t="str">
        <f t="shared" si="60"/>
        <v>-</v>
      </c>
      <c r="AJ36" s="65" t="str">
        <f t="shared" si="60"/>
        <v>-</v>
      </c>
      <c r="AK36" s="65" t="str">
        <f t="shared" si="60"/>
        <v>-</v>
      </c>
      <c r="AL36" s="65" t="str">
        <f t="shared" si="60"/>
        <v>-</v>
      </c>
      <c r="AM36" s="65" t="str">
        <f t="shared" si="60"/>
        <v>-</v>
      </c>
      <c r="AN36" s="65" t="str">
        <f t="shared" si="60"/>
        <v>-</v>
      </c>
      <c r="AO36" s="65" t="str">
        <f t="shared" si="60"/>
        <v>-</v>
      </c>
      <c r="AP36" s="65" t="str">
        <f t="shared" si="61"/>
        <v>-</v>
      </c>
      <c r="AQ36" s="65" t="str">
        <f t="shared" si="61"/>
        <v>-</v>
      </c>
      <c r="AR36" s="65" t="str">
        <f t="shared" si="61"/>
        <v>-</v>
      </c>
      <c r="AS36" s="65" t="str">
        <f t="shared" si="61"/>
        <v>-</v>
      </c>
      <c r="AT36" s="65" t="str">
        <f t="shared" si="61"/>
        <v>-</v>
      </c>
      <c r="AU36" s="65" t="str">
        <f t="shared" si="61"/>
        <v>-</v>
      </c>
      <c r="AV36" s="65" t="str">
        <f t="shared" si="61"/>
        <v>-</v>
      </c>
      <c r="AW36" s="65" t="str">
        <f t="shared" si="61"/>
        <v>-</v>
      </c>
      <c r="AX36" s="65" t="str">
        <f t="shared" si="61"/>
        <v>-</v>
      </c>
      <c r="AY36" s="65" t="str">
        <f t="shared" si="61"/>
        <v>-</v>
      </c>
      <c r="AZ36" s="65" t="str">
        <f t="shared" si="62"/>
        <v>-</v>
      </c>
      <c r="BA36" s="65" t="str">
        <f t="shared" si="62"/>
        <v>-</v>
      </c>
      <c r="BB36" s="65" t="e">
        <f t="shared" si="62"/>
        <v>#VALUE!</v>
      </c>
      <c r="BC36" s="65" t="e">
        <f t="shared" si="62"/>
        <v>#VALUE!</v>
      </c>
      <c r="BD36" s="65" t="e">
        <f t="shared" si="62"/>
        <v>#VALUE!</v>
      </c>
      <c r="BE36" s="65" t="e">
        <f t="shared" si="62"/>
        <v>#VALUE!</v>
      </c>
      <c r="BF36" s="65" t="e">
        <f t="shared" si="62"/>
        <v>#VALUE!</v>
      </c>
      <c r="BG36" s="65" t="e">
        <f t="shared" si="62"/>
        <v>#VALUE!</v>
      </c>
      <c r="BH36" s="65" t="e">
        <f t="shared" si="62"/>
        <v>#VALUE!</v>
      </c>
      <c r="BI36" s="65" t="e">
        <f t="shared" si="62"/>
        <v>#VALUE!</v>
      </c>
      <c r="BJ36" s="65" t="e">
        <f t="shared" si="63"/>
        <v>#VALUE!</v>
      </c>
      <c r="BK36" s="65" t="e">
        <f t="shared" si="63"/>
        <v>#VALUE!</v>
      </c>
      <c r="BL36" s="65" t="e">
        <f t="shared" si="63"/>
        <v>#VALUE!</v>
      </c>
      <c r="BM36" s="65" t="e">
        <f t="shared" si="63"/>
        <v>#VALUE!</v>
      </c>
      <c r="BN36" s="65" t="e">
        <f t="shared" si="63"/>
        <v>#VALUE!</v>
      </c>
      <c r="BO36" s="65" t="e">
        <f t="shared" si="63"/>
        <v>#VALUE!</v>
      </c>
      <c r="BP36" s="65" t="e">
        <f t="shared" si="63"/>
        <v>#VALUE!</v>
      </c>
      <c r="BQ36" s="65" t="e">
        <f t="shared" si="63"/>
        <v>#VALUE!</v>
      </c>
      <c r="BR36" s="65" t="e">
        <f t="shared" si="63"/>
        <v>#VALUE!</v>
      </c>
      <c r="BS36" s="65" t="e">
        <f t="shared" si="63"/>
        <v>#VALUE!</v>
      </c>
      <c r="BT36" s="65" t="e">
        <f t="shared" si="64"/>
        <v>#VALUE!</v>
      </c>
      <c r="BU36" s="65" t="e">
        <f t="shared" si="64"/>
        <v>#VALUE!</v>
      </c>
      <c r="BV36" s="65" t="str">
        <f t="shared" si="64"/>
        <v>-</v>
      </c>
      <c r="BW36" s="65" t="str">
        <f t="shared" si="64"/>
        <v>-</v>
      </c>
      <c r="BX36" s="65" t="str">
        <f t="shared" si="64"/>
        <v>-</v>
      </c>
      <c r="BY36" s="65" t="str">
        <f t="shared" si="64"/>
        <v>-</v>
      </c>
      <c r="BZ36" s="65" t="str">
        <f t="shared" si="64"/>
        <v>-</v>
      </c>
      <c r="CA36" s="65" t="str">
        <f t="shared" si="64"/>
        <v>-</v>
      </c>
      <c r="CB36" s="65" t="str">
        <f t="shared" si="64"/>
        <v>-</v>
      </c>
      <c r="CC36" s="65" t="str">
        <f t="shared" si="64"/>
        <v>-</v>
      </c>
      <c r="CD36" s="65" t="str">
        <f t="shared" si="65"/>
        <v>-</v>
      </c>
      <c r="CE36" s="65" t="str">
        <f t="shared" si="65"/>
        <v>-</v>
      </c>
      <c r="CF36" s="65" t="str">
        <f t="shared" si="65"/>
        <v>-</v>
      </c>
      <c r="CG36" s="65" t="str">
        <f t="shared" si="65"/>
        <v>-</v>
      </c>
      <c r="CH36" s="65" t="str">
        <f t="shared" si="65"/>
        <v>-</v>
      </c>
      <c r="CI36" s="65" t="str">
        <f t="shared" si="65"/>
        <v>-</v>
      </c>
      <c r="CJ36" s="65" t="str">
        <f t="shared" si="65"/>
        <v>-</v>
      </c>
      <c r="CK36" s="65" t="str">
        <f t="shared" si="65"/>
        <v>-</v>
      </c>
      <c r="CL36" s="65" t="str">
        <f t="shared" si="65"/>
        <v>-</v>
      </c>
      <c r="CM36" s="65" t="str">
        <f t="shared" si="65"/>
        <v>-</v>
      </c>
      <c r="CN36" s="65" t="str">
        <f t="shared" si="66"/>
        <v>-</v>
      </c>
      <c r="CO36" s="65" t="str">
        <f t="shared" si="66"/>
        <v>-</v>
      </c>
      <c r="CP36" s="65" t="str">
        <f t="shared" si="66"/>
        <v>-</v>
      </c>
      <c r="CQ36" s="65" t="str">
        <f t="shared" si="66"/>
        <v>-</v>
      </c>
      <c r="CR36" s="65" t="str">
        <f t="shared" si="66"/>
        <v>-</v>
      </c>
      <c r="CS36" s="186" t="str">
        <f t="shared" si="66"/>
        <v>-</v>
      </c>
      <c r="CT36" s="186" t="str">
        <f t="shared" si="66"/>
        <v>-</v>
      </c>
      <c r="CU36" s="186" t="str">
        <f t="shared" si="66"/>
        <v>-</v>
      </c>
      <c r="CV36" s="186" t="str">
        <f t="shared" si="66"/>
        <v>-</v>
      </c>
      <c r="CW36" s="65" t="str">
        <f t="shared" si="66"/>
        <v>-</v>
      </c>
    </row>
    <row r="37" spans="1:101">
      <c r="A37" s="466"/>
      <c r="B37" s="509"/>
      <c r="C37" s="509"/>
      <c r="D37" s="467"/>
      <c r="E37" s="185" t="s">
        <v>66</v>
      </c>
      <c r="F37" s="66" t="e">
        <f>SUM('BESS 10B'!S209,'BESS 10B'!S212:S213,'BESS 10B'!S217:S218)</f>
        <v>#VALUE!</v>
      </c>
      <c r="G37" s="182">
        <f>H37-20</f>
        <v>46265</v>
      </c>
      <c r="H37" s="182">
        <f>MAX('BESS 10B'!O209,'BESS 10B'!O212:O213,'BESS 10B'!O217:O218)</f>
        <v>46285</v>
      </c>
      <c r="I37" s="66">
        <f>H37-G37</f>
        <v>20</v>
      </c>
      <c r="J37" s="662"/>
      <c r="K37" s="662"/>
      <c r="L37" s="65" t="str">
        <f t="shared" si="58"/>
        <v>-</v>
      </c>
      <c r="M37" s="65" t="str">
        <f t="shared" si="58"/>
        <v>-</v>
      </c>
      <c r="N37" s="65" t="str">
        <f t="shared" si="58"/>
        <v>-</v>
      </c>
      <c r="O37" s="65" t="str">
        <f t="shared" si="58"/>
        <v>-</v>
      </c>
      <c r="P37" s="65" t="str">
        <f t="shared" si="58"/>
        <v>-</v>
      </c>
      <c r="Q37" s="65" t="str">
        <f t="shared" si="58"/>
        <v>-</v>
      </c>
      <c r="R37" s="65" t="str">
        <f t="shared" si="58"/>
        <v>-</v>
      </c>
      <c r="S37" s="65" t="str">
        <f t="shared" si="58"/>
        <v>-</v>
      </c>
      <c r="T37" s="65" t="str">
        <f t="shared" si="58"/>
        <v>-</v>
      </c>
      <c r="U37" s="65" t="str">
        <f t="shared" si="58"/>
        <v>-</v>
      </c>
      <c r="V37" s="65" t="str">
        <f t="shared" si="59"/>
        <v>-</v>
      </c>
      <c r="W37" s="65" t="str">
        <f t="shared" si="59"/>
        <v>-</v>
      </c>
      <c r="X37" s="65" t="str">
        <f t="shared" si="59"/>
        <v>-</v>
      </c>
      <c r="Y37" s="65" t="str">
        <f t="shared" si="59"/>
        <v>-</v>
      </c>
      <c r="Z37" s="65" t="str">
        <f t="shared" si="59"/>
        <v>-</v>
      </c>
      <c r="AA37" s="65" t="str">
        <f t="shared" si="59"/>
        <v>-</v>
      </c>
      <c r="AB37" s="65" t="str">
        <f t="shared" si="59"/>
        <v>-</v>
      </c>
      <c r="AC37" s="65" t="str">
        <f t="shared" si="59"/>
        <v>-</v>
      </c>
      <c r="AD37" s="65" t="str">
        <f t="shared" si="59"/>
        <v>-</v>
      </c>
      <c r="AE37" s="65" t="str">
        <f t="shared" si="59"/>
        <v>-</v>
      </c>
      <c r="AF37" s="65" t="str">
        <f t="shared" si="60"/>
        <v>-</v>
      </c>
      <c r="AG37" s="65" t="str">
        <f t="shared" si="60"/>
        <v>-</v>
      </c>
      <c r="AH37" s="65" t="str">
        <f t="shared" si="60"/>
        <v>-</v>
      </c>
      <c r="AI37" s="65" t="str">
        <f t="shared" si="60"/>
        <v>-</v>
      </c>
      <c r="AJ37" s="65" t="str">
        <f t="shared" si="60"/>
        <v>-</v>
      </c>
      <c r="AK37" s="65" t="str">
        <f t="shared" si="60"/>
        <v>-</v>
      </c>
      <c r="AL37" s="65" t="str">
        <f t="shared" si="60"/>
        <v>-</v>
      </c>
      <c r="AM37" s="65" t="str">
        <f t="shared" si="60"/>
        <v>-</v>
      </c>
      <c r="AN37" s="65" t="str">
        <f t="shared" si="60"/>
        <v>-</v>
      </c>
      <c r="AO37" s="65" t="str">
        <f t="shared" si="60"/>
        <v>-</v>
      </c>
      <c r="AP37" s="65" t="str">
        <f t="shared" si="61"/>
        <v>-</v>
      </c>
      <c r="AQ37" s="65" t="str">
        <f t="shared" si="61"/>
        <v>-</v>
      </c>
      <c r="AR37" s="65" t="str">
        <f t="shared" si="61"/>
        <v>-</v>
      </c>
      <c r="AS37" s="65" t="str">
        <f t="shared" si="61"/>
        <v>-</v>
      </c>
      <c r="AT37" s="65" t="str">
        <f t="shared" si="61"/>
        <v>-</v>
      </c>
      <c r="AU37" s="65" t="str">
        <f t="shared" si="61"/>
        <v>-</v>
      </c>
      <c r="AV37" s="65" t="str">
        <f t="shared" si="61"/>
        <v>-</v>
      </c>
      <c r="AW37" s="65" t="str">
        <f t="shared" si="61"/>
        <v>-</v>
      </c>
      <c r="AX37" s="65" t="str">
        <f t="shared" si="61"/>
        <v>-</v>
      </c>
      <c r="AY37" s="65" t="str">
        <f t="shared" si="61"/>
        <v>-</v>
      </c>
      <c r="AZ37" s="65" t="str">
        <f t="shared" si="62"/>
        <v>-</v>
      </c>
      <c r="BA37" s="65" t="str">
        <f t="shared" si="62"/>
        <v>-</v>
      </c>
      <c r="BB37" s="65" t="str">
        <f t="shared" si="62"/>
        <v>-</v>
      </c>
      <c r="BC37" s="65" t="str">
        <f t="shared" si="62"/>
        <v>-</v>
      </c>
      <c r="BD37" s="65" t="str">
        <f t="shared" si="62"/>
        <v>-</v>
      </c>
      <c r="BE37" s="65" t="str">
        <f t="shared" si="62"/>
        <v>-</v>
      </c>
      <c r="BF37" s="65" t="str">
        <f t="shared" si="62"/>
        <v>-</v>
      </c>
      <c r="BG37" s="65" t="str">
        <f t="shared" si="62"/>
        <v>-</v>
      </c>
      <c r="BH37" s="65" t="str">
        <f t="shared" si="62"/>
        <v>-</v>
      </c>
      <c r="BI37" s="65" t="str">
        <f t="shared" si="62"/>
        <v>-</v>
      </c>
      <c r="BJ37" s="65" t="str">
        <f t="shared" si="63"/>
        <v>-</v>
      </c>
      <c r="BK37" s="65" t="str">
        <f t="shared" si="63"/>
        <v>-</v>
      </c>
      <c r="BL37" s="65" t="str">
        <f t="shared" si="63"/>
        <v>-</v>
      </c>
      <c r="BM37" s="65" t="str">
        <f t="shared" si="63"/>
        <v>-</v>
      </c>
      <c r="BN37" s="65" t="str">
        <f t="shared" si="63"/>
        <v>-</v>
      </c>
      <c r="BO37" s="65" t="str">
        <f t="shared" si="63"/>
        <v>-</v>
      </c>
      <c r="BP37" s="65" t="str">
        <f t="shared" si="63"/>
        <v>-</v>
      </c>
      <c r="BQ37" s="65" t="str">
        <f t="shared" si="63"/>
        <v>-</v>
      </c>
      <c r="BR37" s="65" t="str">
        <f t="shared" si="63"/>
        <v>-</v>
      </c>
      <c r="BS37" s="65" t="str">
        <f t="shared" si="63"/>
        <v>-</v>
      </c>
      <c r="BT37" s="65" t="str">
        <f t="shared" si="64"/>
        <v>-</v>
      </c>
      <c r="BU37" s="65" t="str">
        <f t="shared" si="64"/>
        <v>-</v>
      </c>
      <c r="BV37" s="65" t="str">
        <f t="shared" si="64"/>
        <v>-</v>
      </c>
      <c r="BW37" s="65" t="str">
        <f t="shared" si="64"/>
        <v>-</v>
      </c>
      <c r="BX37" s="65" t="str">
        <f t="shared" si="64"/>
        <v>-</v>
      </c>
      <c r="BY37" s="65" t="str">
        <f t="shared" si="64"/>
        <v>-</v>
      </c>
      <c r="BZ37" s="65" t="str">
        <f t="shared" si="64"/>
        <v>-</v>
      </c>
      <c r="CA37" s="65" t="str">
        <f t="shared" si="64"/>
        <v>-</v>
      </c>
      <c r="CB37" s="65" t="str">
        <f t="shared" si="64"/>
        <v>-</v>
      </c>
      <c r="CC37" s="65" t="str">
        <f t="shared" si="64"/>
        <v>-</v>
      </c>
      <c r="CD37" s="65" t="e">
        <f t="shared" si="65"/>
        <v>#VALUE!</v>
      </c>
      <c r="CE37" s="65" t="e">
        <f t="shared" si="65"/>
        <v>#VALUE!</v>
      </c>
      <c r="CF37" s="65" t="e">
        <f t="shared" si="65"/>
        <v>#VALUE!</v>
      </c>
      <c r="CG37" s="65" t="e">
        <f t="shared" si="65"/>
        <v>#VALUE!</v>
      </c>
      <c r="CH37" s="65" t="e">
        <f t="shared" si="65"/>
        <v>#VALUE!</v>
      </c>
      <c r="CI37" s="65" t="e">
        <f t="shared" si="65"/>
        <v>#VALUE!</v>
      </c>
      <c r="CJ37" s="65" t="e">
        <f t="shared" si="65"/>
        <v>#VALUE!</v>
      </c>
      <c r="CK37" s="65" t="e">
        <f t="shared" si="65"/>
        <v>#VALUE!</v>
      </c>
      <c r="CL37" s="65" t="e">
        <f t="shared" si="65"/>
        <v>#VALUE!</v>
      </c>
      <c r="CM37" s="65" t="e">
        <f t="shared" si="65"/>
        <v>#VALUE!</v>
      </c>
      <c r="CN37" s="65" t="e">
        <f t="shared" si="66"/>
        <v>#VALUE!</v>
      </c>
      <c r="CO37" s="65" t="e">
        <f t="shared" si="66"/>
        <v>#VALUE!</v>
      </c>
      <c r="CP37" s="65" t="e">
        <f t="shared" si="66"/>
        <v>#VALUE!</v>
      </c>
      <c r="CQ37" s="65" t="e">
        <f t="shared" si="66"/>
        <v>#VALUE!</v>
      </c>
      <c r="CR37" s="65" t="e">
        <f t="shared" si="66"/>
        <v>#VALUE!</v>
      </c>
      <c r="CS37" s="186" t="e">
        <f t="shared" si="66"/>
        <v>#VALUE!</v>
      </c>
      <c r="CT37" s="186" t="e">
        <f t="shared" si="66"/>
        <v>#VALUE!</v>
      </c>
      <c r="CU37" s="186" t="e">
        <f t="shared" si="66"/>
        <v>#VALUE!</v>
      </c>
      <c r="CV37" s="186" t="e">
        <f t="shared" si="66"/>
        <v>#VALUE!</v>
      </c>
      <c r="CW37" s="65" t="e">
        <f t="shared" si="66"/>
        <v>#VALUE!</v>
      </c>
    </row>
    <row r="38" spans="1:101">
      <c r="A38" s="466"/>
      <c r="B38" s="509"/>
      <c r="C38" s="509"/>
      <c r="D38" s="467"/>
      <c r="E38" s="185" t="s">
        <v>67</v>
      </c>
      <c r="F38" s="66" t="e">
        <f>SUM('BESS 10B'!S220:S229)</f>
        <v>#VALUE!</v>
      </c>
      <c r="G38" s="182">
        <f>H38-14</f>
        <v>46278</v>
      </c>
      <c r="H38" s="182">
        <f>MAX('BESS 10B'!O220:O229)</f>
        <v>46292</v>
      </c>
      <c r="I38" s="66">
        <f>H38-G38</f>
        <v>14</v>
      </c>
      <c r="J38" s="662"/>
      <c r="K38" s="662"/>
      <c r="L38" s="65" t="str">
        <f t="shared" si="58"/>
        <v>-</v>
      </c>
      <c r="M38" s="65" t="str">
        <f t="shared" si="58"/>
        <v>-</v>
      </c>
      <c r="N38" s="65" t="str">
        <f t="shared" si="58"/>
        <v>-</v>
      </c>
      <c r="O38" s="65" t="str">
        <f t="shared" si="58"/>
        <v>-</v>
      </c>
      <c r="P38" s="65" t="str">
        <f t="shared" si="58"/>
        <v>-</v>
      </c>
      <c r="Q38" s="65" t="str">
        <f t="shared" si="58"/>
        <v>-</v>
      </c>
      <c r="R38" s="65" t="str">
        <f t="shared" si="58"/>
        <v>-</v>
      </c>
      <c r="S38" s="65" t="str">
        <f t="shared" si="58"/>
        <v>-</v>
      </c>
      <c r="T38" s="65" t="str">
        <f t="shared" si="58"/>
        <v>-</v>
      </c>
      <c r="U38" s="65" t="str">
        <f t="shared" si="58"/>
        <v>-</v>
      </c>
      <c r="V38" s="65" t="str">
        <f t="shared" si="59"/>
        <v>-</v>
      </c>
      <c r="W38" s="65" t="str">
        <f t="shared" si="59"/>
        <v>-</v>
      </c>
      <c r="X38" s="65" t="str">
        <f t="shared" si="59"/>
        <v>-</v>
      </c>
      <c r="Y38" s="65" t="str">
        <f t="shared" si="59"/>
        <v>-</v>
      </c>
      <c r="Z38" s="65" t="str">
        <f t="shared" si="59"/>
        <v>-</v>
      </c>
      <c r="AA38" s="65" t="str">
        <f t="shared" si="59"/>
        <v>-</v>
      </c>
      <c r="AB38" s="65" t="str">
        <f t="shared" si="59"/>
        <v>-</v>
      </c>
      <c r="AC38" s="65" t="str">
        <f t="shared" si="59"/>
        <v>-</v>
      </c>
      <c r="AD38" s="65" t="str">
        <f t="shared" si="59"/>
        <v>-</v>
      </c>
      <c r="AE38" s="65" t="str">
        <f t="shared" si="59"/>
        <v>-</v>
      </c>
      <c r="AF38" s="65" t="str">
        <f t="shared" si="60"/>
        <v>-</v>
      </c>
      <c r="AG38" s="65" t="str">
        <f t="shared" si="60"/>
        <v>-</v>
      </c>
      <c r="AH38" s="65" t="str">
        <f t="shared" si="60"/>
        <v>-</v>
      </c>
      <c r="AI38" s="65" t="str">
        <f t="shared" si="60"/>
        <v>-</v>
      </c>
      <c r="AJ38" s="65" t="str">
        <f t="shared" si="60"/>
        <v>-</v>
      </c>
      <c r="AK38" s="65" t="str">
        <f t="shared" si="60"/>
        <v>-</v>
      </c>
      <c r="AL38" s="65" t="str">
        <f t="shared" si="60"/>
        <v>-</v>
      </c>
      <c r="AM38" s="65" t="str">
        <f t="shared" si="60"/>
        <v>-</v>
      </c>
      <c r="AN38" s="65" t="str">
        <f t="shared" si="60"/>
        <v>-</v>
      </c>
      <c r="AO38" s="65" t="str">
        <f t="shared" si="60"/>
        <v>-</v>
      </c>
      <c r="AP38" s="65" t="str">
        <f t="shared" si="61"/>
        <v>-</v>
      </c>
      <c r="AQ38" s="65" t="str">
        <f t="shared" si="61"/>
        <v>-</v>
      </c>
      <c r="AR38" s="65" t="str">
        <f t="shared" si="61"/>
        <v>-</v>
      </c>
      <c r="AS38" s="65" t="str">
        <f t="shared" si="61"/>
        <v>-</v>
      </c>
      <c r="AT38" s="65" t="str">
        <f t="shared" si="61"/>
        <v>-</v>
      </c>
      <c r="AU38" s="65" t="str">
        <f t="shared" si="61"/>
        <v>-</v>
      </c>
      <c r="AV38" s="65" t="str">
        <f t="shared" si="61"/>
        <v>-</v>
      </c>
      <c r="AW38" s="65" t="str">
        <f t="shared" si="61"/>
        <v>-</v>
      </c>
      <c r="AX38" s="65" t="str">
        <f t="shared" si="61"/>
        <v>-</v>
      </c>
      <c r="AY38" s="65" t="str">
        <f t="shared" si="61"/>
        <v>-</v>
      </c>
      <c r="AZ38" s="65" t="str">
        <f t="shared" si="62"/>
        <v>-</v>
      </c>
      <c r="BA38" s="65" t="str">
        <f t="shared" si="62"/>
        <v>-</v>
      </c>
      <c r="BB38" s="65" t="str">
        <f t="shared" si="62"/>
        <v>-</v>
      </c>
      <c r="BC38" s="65" t="str">
        <f t="shared" si="62"/>
        <v>-</v>
      </c>
      <c r="BD38" s="65" t="str">
        <f t="shared" si="62"/>
        <v>-</v>
      </c>
      <c r="BE38" s="65" t="str">
        <f t="shared" si="62"/>
        <v>-</v>
      </c>
      <c r="BF38" s="65" t="str">
        <f t="shared" si="62"/>
        <v>-</v>
      </c>
      <c r="BG38" s="65" t="str">
        <f t="shared" si="62"/>
        <v>-</v>
      </c>
      <c r="BH38" s="65" t="str">
        <f t="shared" si="62"/>
        <v>-</v>
      </c>
      <c r="BI38" s="65" t="str">
        <f t="shared" si="62"/>
        <v>-</v>
      </c>
      <c r="BJ38" s="65" t="str">
        <f t="shared" si="63"/>
        <v>-</v>
      </c>
      <c r="BK38" s="65" t="str">
        <f t="shared" si="63"/>
        <v>-</v>
      </c>
      <c r="BL38" s="65" t="str">
        <f t="shared" si="63"/>
        <v>-</v>
      </c>
      <c r="BM38" s="65" t="str">
        <f t="shared" si="63"/>
        <v>-</v>
      </c>
      <c r="BN38" s="65" t="str">
        <f t="shared" si="63"/>
        <v>-</v>
      </c>
      <c r="BO38" s="65" t="str">
        <f t="shared" si="63"/>
        <v>-</v>
      </c>
      <c r="BP38" s="65" t="str">
        <f t="shared" si="63"/>
        <v>-</v>
      </c>
      <c r="BQ38" s="65" t="str">
        <f t="shared" si="63"/>
        <v>-</v>
      </c>
      <c r="BR38" s="65" t="str">
        <f t="shared" si="63"/>
        <v>-</v>
      </c>
      <c r="BS38" s="65" t="str">
        <f t="shared" si="63"/>
        <v>-</v>
      </c>
      <c r="BT38" s="65" t="str">
        <f t="shared" si="64"/>
        <v>-</v>
      </c>
      <c r="BU38" s="65" t="str">
        <f t="shared" si="64"/>
        <v>-</v>
      </c>
      <c r="BV38" s="65" t="str">
        <f t="shared" si="64"/>
        <v>-</v>
      </c>
      <c r="BW38" s="65" t="str">
        <f t="shared" si="64"/>
        <v>-</v>
      </c>
      <c r="BX38" s="65" t="str">
        <f t="shared" si="64"/>
        <v>-</v>
      </c>
      <c r="BY38" s="65" t="str">
        <f t="shared" si="64"/>
        <v>-</v>
      </c>
      <c r="BZ38" s="65" t="str">
        <f t="shared" si="64"/>
        <v>-</v>
      </c>
      <c r="CA38" s="65" t="str">
        <f t="shared" si="64"/>
        <v>-</v>
      </c>
      <c r="CB38" s="65" t="str">
        <f t="shared" si="64"/>
        <v>-</v>
      </c>
      <c r="CC38" s="65" t="str">
        <f t="shared" si="64"/>
        <v>-</v>
      </c>
      <c r="CD38" s="65" t="str">
        <f t="shared" si="65"/>
        <v>-</v>
      </c>
      <c r="CE38" s="65" t="str">
        <f t="shared" si="65"/>
        <v>-</v>
      </c>
      <c r="CF38" s="65" t="str">
        <f t="shared" si="65"/>
        <v>-</v>
      </c>
      <c r="CG38" s="65" t="str">
        <f t="shared" si="65"/>
        <v>-</v>
      </c>
      <c r="CH38" s="65" t="str">
        <f t="shared" si="65"/>
        <v>-</v>
      </c>
      <c r="CI38" s="65" t="str">
        <f t="shared" si="65"/>
        <v>-</v>
      </c>
      <c r="CJ38" s="65" t="str">
        <f t="shared" si="65"/>
        <v>-</v>
      </c>
      <c r="CK38" s="65" t="str">
        <f t="shared" si="65"/>
        <v>-</v>
      </c>
      <c r="CL38" s="65" t="str">
        <f t="shared" si="65"/>
        <v>-</v>
      </c>
      <c r="CM38" s="65" t="str">
        <f t="shared" si="65"/>
        <v>-</v>
      </c>
      <c r="CN38" s="65" t="str">
        <f t="shared" si="66"/>
        <v>-</v>
      </c>
      <c r="CO38" s="65" t="str">
        <f t="shared" si="66"/>
        <v>-</v>
      </c>
      <c r="CP38" s="65" t="str">
        <f t="shared" si="66"/>
        <v>-</v>
      </c>
      <c r="CQ38" s="65" t="e">
        <f t="shared" si="66"/>
        <v>#VALUE!</v>
      </c>
      <c r="CR38" s="65" t="e">
        <f t="shared" si="66"/>
        <v>#VALUE!</v>
      </c>
      <c r="CS38" s="186" t="e">
        <f t="shared" si="66"/>
        <v>#VALUE!</v>
      </c>
      <c r="CT38" s="186" t="e">
        <f t="shared" si="66"/>
        <v>#VALUE!</v>
      </c>
      <c r="CU38" s="186" t="e">
        <f t="shared" si="66"/>
        <v>#VALUE!</v>
      </c>
      <c r="CV38" s="186" t="e">
        <f t="shared" si="66"/>
        <v>#VALUE!</v>
      </c>
      <c r="CW38" s="65" t="e">
        <f t="shared" si="66"/>
        <v>#VALUE!</v>
      </c>
    </row>
    <row r="39" spans="1:101">
      <c r="A39" s="466"/>
      <c r="B39" s="509"/>
      <c r="C39" s="509"/>
      <c r="D39" s="467"/>
      <c r="E39" s="185" t="s">
        <v>68</v>
      </c>
      <c r="F39" s="66">
        <v>250</v>
      </c>
      <c r="G39" s="182" t="e">
        <f>B34-3</f>
        <v>#VALUE!</v>
      </c>
      <c r="H39" s="182"/>
      <c r="I39" s="65">
        <v>30</v>
      </c>
      <c r="J39" s="663"/>
      <c r="K39" s="663"/>
      <c r="L39" s="182"/>
      <c r="M39" s="182"/>
      <c r="N39" s="65"/>
      <c r="O39" s="66"/>
      <c r="P39" s="66"/>
      <c r="Q39" s="66"/>
      <c r="R39" s="66"/>
      <c r="S39" s="66"/>
      <c r="T39" s="66"/>
      <c r="U39" s="66"/>
      <c r="V39" s="66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/>
      <c r="BD39" s="185"/>
      <c r="BE39" s="185"/>
      <c r="BF39" s="185"/>
      <c r="BG39" s="185"/>
      <c r="BH39" s="185"/>
      <c r="BI39" s="65">
        <v>5</v>
      </c>
      <c r="BJ39" s="65">
        <v>5</v>
      </c>
      <c r="BK39" s="65">
        <v>5</v>
      </c>
      <c r="BL39" s="65">
        <v>5</v>
      </c>
      <c r="BM39" s="65">
        <v>5</v>
      </c>
      <c r="BN39" s="65">
        <v>5</v>
      </c>
      <c r="BO39" s="65">
        <v>5</v>
      </c>
      <c r="BP39" s="65">
        <v>5</v>
      </c>
      <c r="BQ39" s="65">
        <v>5</v>
      </c>
      <c r="BR39" s="65">
        <v>5</v>
      </c>
      <c r="BS39" s="65">
        <v>5</v>
      </c>
      <c r="BT39" s="65">
        <v>5</v>
      </c>
      <c r="BU39" s="65">
        <v>5</v>
      </c>
      <c r="BV39" s="65">
        <v>5</v>
      </c>
      <c r="BW39" s="65">
        <v>5</v>
      </c>
      <c r="BX39" s="65">
        <v>5</v>
      </c>
      <c r="BY39" s="65">
        <v>5</v>
      </c>
      <c r="BZ39" s="65">
        <v>5</v>
      </c>
      <c r="CA39" s="65">
        <v>5</v>
      </c>
      <c r="CB39" s="65">
        <v>5</v>
      </c>
      <c r="CC39" s="65">
        <v>5</v>
      </c>
      <c r="CD39" s="65">
        <v>5</v>
      </c>
      <c r="CE39" s="65">
        <v>5</v>
      </c>
      <c r="CF39" s="65">
        <v>30</v>
      </c>
      <c r="CG39" s="65">
        <v>30</v>
      </c>
      <c r="CH39" s="65">
        <v>30</v>
      </c>
      <c r="CI39" s="65">
        <v>30</v>
      </c>
      <c r="CJ39" s="65">
        <v>5</v>
      </c>
      <c r="CK39" s="65">
        <v>5</v>
      </c>
      <c r="CL39" s="65">
        <v>5</v>
      </c>
      <c r="CM39" s="65">
        <v>5</v>
      </c>
      <c r="CN39" s="65"/>
      <c r="CO39" s="65"/>
      <c r="CP39" s="65"/>
      <c r="CQ39" s="65"/>
      <c r="CR39" s="65"/>
      <c r="CS39" s="186"/>
      <c r="CT39" s="65"/>
      <c r="CU39" s="65"/>
      <c r="CV39" s="65"/>
      <c r="CW39" s="65"/>
    </row>
    <row r="40" spans="1:101" hidden="1">
      <c r="B40" s="198"/>
      <c r="E40" s="199"/>
      <c r="F40" s="169"/>
      <c r="G40" s="181" t="s">
        <v>69</v>
      </c>
      <c r="H40" s="181"/>
      <c r="I40" s="171"/>
      <c r="J40" s="181"/>
      <c r="K40" s="181"/>
      <c r="L40" s="190">
        <f>SUM(L35:L39)</f>
        <v>0</v>
      </c>
      <c r="M40" s="190">
        <f>SUM(M35:M39)</f>
        <v>0</v>
      </c>
      <c r="N40" s="190">
        <f>SUM(N35:N39)</f>
        <v>0</v>
      </c>
      <c r="O40" s="190">
        <f t="shared" ref="O40:AZ40" si="67">SUM(O35:O39)</f>
        <v>0</v>
      </c>
      <c r="P40" s="190">
        <f t="shared" si="67"/>
        <v>0</v>
      </c>
      <c r="Q40" s="190">
        <f t="shared" si="67"/>
        <v>0</v>
      </c>
      <c r="R40" s="190">
        <f t="shared" si="67"/>
        <v>0</v>
      </c>
      <c r="S40" s="190">
        <f t="shared" si="67"/>
        <v>0</v>
      </c>
      <c r="T40" s="190">
        <f t="shared" si="67"/>
        <v>0</v>
      </c>
      <c r="U40" s="190">
        <f t="shared" si="67"/>
        <v>0</v>
      </c>
      <c r="V40" s="190">
        <f t="shared" si="67"/>
        <v>0</v>
      </c>
      <c r="W40" s="190">
        <f t="shared" si="67"/>
        <v>0</v>
      </c>
      <c r="X40" s="190">
        <f t="shared" si="67"/>
        <v>0</v>
      </c>
      <c r="Y40" s="190">
        <f t="shared" si="67"/>
        <v>0</v>
      </c>
      <c r="Z40" s="190">
        <f t="shared" si="67"/>
        <v>0</v>
      </c>
      <c r="AA40" s="190">
        <f t="shared" si="67"/>
        <v>0</v>
      </c>
      <c r="AB40" s="190">
        <f t="shared" si="67"/>
        <v>0</v>
      </c>
      <c r="AC40" s="190">
        <f t="shared" si="67"/>
        <v>0</v>
      </c>
      <c r="AD40" s="190">
        <f t="shared" si="67"/>
        <v>0</v>
      </c>
      <c r="AE40" s="190">
        <f t="shared" si="67"/>
        <v>0</v>
      </c>
      <c r="AF40" s="190">
        <f t="shared" si="67"/>
        <v>0</v>
      </c>
      <c r="AG40" s="190">
        <f t="shared" si="67"/>
        <v>0</v>
      </c>
      <c r="AH40" s="190">
        <f t="shared" si="67"/>
        <v>0</v>
      </c>
      <c r="AI40" s="190">
        <f t="shared" si="67"/>
        <v>0</v>
      </c>
      <c r="AJ40" s="190">
        <f t="shared" si="67"/>
        <v>0</v>
      </c>
      <c r="AK40" s="190">
        <f t="shared" si="67"/>
        <v>0</v>
      </c>
      <c r="AL40" s="190">
        <f t="shared" si="67"/>
        <v>0</v>
      </c>
      <c r="AM40" s="190">
        <f t="shared" si="67"/>
        <v>0</v>
      </c>
      <c r="AN40" s="190">
        <f t="shared" si="67"/>
        <v>0</v>
      </c>
      <c r="AO40" s="190">
        <f t="shared" si="67"/>
        <v>0</v>
      </c>
      <c r="AP40" s="190">
        <f t="shared" si="67"/>
        <v>0</v>
      </c>
      <c r="AQ40" s="190">
        <f t="shared" si="67"/>
        <v>0</v>
      </c>
      <c r="AR40" s="190">
        <f t="shared" si="67"/>
        <v>0</v>
      </c>
      <c r="AS40" s="190">
        <f t="shared" si="67"/>
        <v>0</v>
      </c>
      <c r="AT40" s="190">
        <f t="shared" si="67"/>
        <v>0</v>
      </c>
      <c r="AU40" s="190">
        <f t="shared" si="67"/>
        <v>0</v>
      </c>
      <c r="AV40" s="190">
        <f t="shared" si="67"/>
        <v>0</v>
      </c>
      <c r="AW40" s="190">
        <f t="shared" si="67"/>
        <v>0</v>
      </c>
      <c r="AX40" s="190">
        <f t="shared" si="67"/>
        <v>0</v>
      </c>
      <c r="AY40" s="190">
        <f t="shared" si="67"/>
        <v>0</v>
      </c>
      <c r="AZ40" s="190">
        <f t="shared" si="67"/>
        <v>0</v>
      </c>
      <c r="BA40" s="190">
        <f t="shared" ref="BA40:CF40" si="68">SUM(BA35:BA39)</f>
        <v>0</v>
      </c>
      <c r="BB40" s="190" t="e">
        <f t="shared" si="68"/>
        <v>#VALUE!</v>
      </c>
      <c r="BC40" s="190" t="e">
        <f t="shared" si="68"/>
        <v>#VALUE!</v>
      </c>
      <c r="BD40" s="190" t="e">
        <f t="shared" si="68"/>
        <v>#VALUE!</v>
      </c>
      <c r="BE40" s="190" t="e">
        <f t="shared" si="68"/>
        <v>#VALUE!</v>
      </c>
      <c r="BF40" s="190" t="e">
        <f t="shared" si="68"/>
        <v>#VALUE!</v>
      </c>
      <c r="BG40" s="190" t="e">
        <f t="shared" si="68"/>
        <v>#VALUE!</v>
      </c>
      <c r="BH40" s="190" t="e">
        <f t="shared" si="68"/>
        <v>#VALUE!</v>
      </c>
      <c r="BI40" s="190" t="e">
        <f t="shared" si="68"/>
        <v>#VALUE!</v>
      </c>
      <c r="BJ40" s="190" t="e">
        <f t="shared" si="68"/>
        <v>#VALUE!</v>
      </c>
      <c r="BK40" s="190" t="e">
        <f t="shared" si="68"/>
        <v>#VALUE!</v>
      </c>
      <c r="BL40" s="190" t="e">
        <f t="shared" si="68"/>
        <v>#VALUE!</v>
      </c>
      <c r="BM40" s="190" t="e">
        <f t="shared" si="68"/>
        <v>#VALUE!</v>
      </c>
      <c r="BN40" s="190" t="e">
        <f t="shared" si="68"/>
        <v>#VALUE!</v>
      </c>
      <c r="BO40" s="190" t="e">
        <f t="shared" si="68"/>
        <v>#VALUE!</v>
      </c>
      <c r="BP40" s="190" t="e">
        <f t="shared" si="68"/>
        <v>#VALUE!</v>
      </c>
      <c r="BQ40" s="190" t="e">
        <f t="shared" si="68"/>
        <v>#VALUE!</v>
      </c>
      <c r="BR40" s="190" t="e">
        <f t="shared" si="68"/>
        <v>#VALUE!</v>
      </c>
      <c r="BS40" s="190" t="e">
        <f t="shared" si="68"/>
        <v>#VALUE!</v>
      </c>
      <c r="BT40" s="190" t="e">
        <f t="shared" si="68"/>
        <v>#VALUE!</v>
      </c>
      <c r="BU40" s="190" t="e">
        <f t="shared" si="68"/>
        <v>#VALUE!</v>
      </c>
      <c r="BV40" s="190" t="e">
        <f t="shared" si="68"/>
        <v>#VALUE!</v>
      </c>
      <c r="BW40" s="190" t="e">
        <f t="shared" si="68"/>
        <v>#VALUE!</v>
      </c>
      <c r="BX40" s="190">
        <f t="shared" si="68"/>
        <v>5</v>
      </c>
      <c r="BY40" s="190">
        <f t="shared" si="68"/>
        <v>5</v>
      </c>
      <c r="BZ40" s="190">
        <f t="shared" si="68"/>
        <v>5</v>
      </c>
      <c r="CA40" s="190">
        <f t="shared" si="68"/>
        <v>5</v>
      </c>
      <c r="CB40" s="190">
        <f t="shared" si="68"/>
        <v>5</v>
      </c>
      <c r="CC40" s="190">
        <f t="shared" si="68"/>
        <v>5</v>
      </c>
      <c r="CD40" s="190" t="e">
        <f t="shared" si="68"/>
        <v>#VALUE!</v>
      </c>
      <c r="CE40" s="190" t="e">
        <f t="shared" si="68"/>
        <v>#VALUE!</v>
      </c>
      <c r="CF40" s="190" t="e">
        <f t="shared" si="68"/>
        <v>#VALUE!</v>
      </c>
      <c r="CG40" s="190" t="e">
        <f t="shared" ref="CG40:CW40" si="69">SUM(CG35:CG39)</f>
        <v>#VALUE!</v>
      </c>
      <c r="CH40" s="190" t="e">
        <f t="shared" si="69"/>
        <v>#VALUE!</v>
      </c>
      <c r="CI40" s="190" t="e">
        <f t="shared" si="69"/>
        <v>#VALUE!</v>
      </c>
      <c r="CJ40" s="190" t="e">
        <f t="shared" si="69"/>
        <v>#VALUE!</v>
      </c>
      <c r="CK40" s="190" t="e">
        <f t="shared" si="69"/>
        <v>#VALUE!</v>
      </c>
      <c r="CL40" s="190" t="e">
        <f t="shared" si="69"/>
        <v>#VALUE!</v>
      </c>
      <c r="CM40" s="190" t="e">
        <f t="shared" si="69"/>
        <v>#VALUE!</v>
      </c>
      <c r="CN40" s="190" t="e">
        <f t="shared" si="69"/>
        <v>#VALUE!</v>
      </c>
      <c r="CO40" s="190" t="e">
        <f t="shared" si="69"/>
        <v>#VALUE!</v>
      </c>
      <c r="CP40" s="190" t="e">
        <f t="shared" si="69"/>
        <v>#VALUE!</v>
      </c>
      <c r="CQ40" s="190" t="e">
        <f t="shared" si="69"/>
        <v>#VALUE!</v>
      </c>
      <c r="CR40" s="190" t="e">
        <f t="shared" si="69"/>
        <v>#VALUE!</v>
      </c>
      <c r="CS40" s="190" t="e">
        <f t="shared" si="69"/>
        <v>#VALUE!</v>
      </c>
      <c r="CT40" s="190" t="e">
        <f t="shared" si="69"/>
        <v>#VALUE!</v>
      </c>
      <c r="CU40" s="190" t="e">
        <f t="shared" si="69"/>
        <v>#VALUE!</v>
      </c>
      <c r="CV40" s="190" t="e">
        <f t="shared" si="69"/>
        <v>#VALUE!</v>
      </c>
      <c r="CW40" s="190" t="e">
        <f t="shared" si="69"/>
        <v>#VALUE!</v>
      </c>
    </row>
    <row r="41" spans="1:101">
      <c r="F41" s="53"/>
      <c r="I41" s="53"/>
    </row>
    <row r="43" spans="1:101" ht="27">
      <c r="H43" s="177" t="s">
        <v>82</v>
      </c>
      <c r="J43" s="177"/>
      <c r="K43" s="177"/>
      <c r="L43" s="175">
        <f t="shared" ref="L43:AQ43" ca="1" si="70">SUM(L8,L16,L24,L32,L40)</f>
        <v>0</v>
      </c>
      <c r="M43" s="175">
        <f t="shared" ca="1" si="70"/>
        <v>0</v>
      </c>
      <c r="N43" s="175">
        <f t="shared" ca="1" si="70"/>
        <v>0</v>
      </c>
      <c r="O43" s="175">
        <f t="shared" ca="1" si="70"/>
        <v>0</v>
      </c>
      <c r="P43" s="175">
        <f t="shared" ca="1" si="70"/>
        <v>0</v>
      </c>
      <c r="Q43" s="175">
        <f t="shared" ca="1" si="70"/>
        <v>0</v>
      </c>
      <c r="R43" s="175">
        <f t="shared" ca="1" si="70"/>
        <v>0</v>
      </c>
      <c r="S43" s="175">
        <f t="shared" ca="1" si="70"/>
        <v>0</v>
      </c>
      <c r="T43" s="175">
        <f t="shared" ca="1" si="70"/>
        <v>0</v>
      </c>
      <c r="U43" s="175">
        <f t="shared" ca="1" si="70"/>
        <v>0</v>
      </c>
      <c r="V43" s="175" t="e">
        <f t="shared" si="70"/>
        <v>#VALUE!</v>
      </c>
      <c r="W43" s="175" t="e">
        <f t="shared" si="70"/>
        <v>#VALUE!</v>
      </c>
      <c r="X43" s="175" t="e">
        <f t="shared" si="70"/>
        <v>#VALUE!</v>
      </c>
      <c r="Y43" s="175" t="e">
        <f t="shared" si="70"/>
        <v>#VALUE!</v>
      </c>
      <c r="Z43" s="175" t="e">
        <f t="shared" si="70"/>
        <v>#VALUE!</v>
      </c>
      <c r="AA43" s="175" t="e">
        <f t="shared" si="70"/>
        <v>#VALUE!</v>
      </c>
      <c r="AB43" s="175" t="e">
        <f t="shared" si="70"/>
        <v>#VALUE!</v>
      </c>
      <c r="AC43" s="175" t="e">
        <f t="shared" si="70"/>
        <v>#VALUE!</v>
      </c>
      <c r="AD43" s="175" t="e">
        <f t="shared" si="70"/>
        <v>#VALUE!</v>
      </c>
      <c r="AE43" s="175" t="e">
        <f t="shared" si="70"/>
        <v>#VALUE!</v>
      </c>
      <c r="AF43" s="175" t="e">
        <f t="shared" ca="1" si="70"/>
        <v>#VALUE!</v>
      </c>
      <c r="AG43" s="175" t="e">
        <f t="shared" ca="1" si="70"/>
        <v>#VALUE!</v>
      </c>
      <c r="AH43" s="175" t="e">
        <f t="shared" ca="1" si="70"/>
        <v>#VALUE!</v>
      </c>
      <c r="AI43" s="175" t="e">
        <f t="shared" ca="1" si="70"/>
        <v>#VALUE!</v>
      </c>
      <c r="AJ43" s="175" t="e">
        <f t="shared" ca="1" si="70"/>
        <v>#VALUE!</v>
      </c>
      <c r="AK43" s="175" t="e">
        <f t="shared" ca="1" si="70"/>
        <v>#VALUE!</v>
      </c>
      <c r="AL43" s="175" t="e">
        <f t="shared" ca="1" si="70"/>
        <v>#VALUE!</v>
      </c>
      <c r="AM43" s="175" t="e">
        <f t="shared" ca="1" si="70"/>
        <v>#VALUE!</v>
      </c>
      <c r="AN43" s="175" t="e">
        <f t="shared" ca="1" si="70"/>
        <v>#VALUE!</v>
      </c>
      <c r="AO43" s="175" t="e">
        <f t="shared" ca="1" si="70"/>
        <v>#VALUE!</v>
      </c>
      <c r="AP43" s="175" t="e">
        <f t="shared" ca="1" si="70"/>
        <v>#VALUE!</v>
      </c>
      <c r="AQ43" s="175" t="e">
        <f t="shared" ca="1" si="70"/>
        <v>#VALUE!</v>
      </c>
      <c r="AR43" s="175" t="e">
        <f t="shared" ref="AR43:BW43" ca="1" si="71">SUM(AR8,AR16,AR24,AR32,AR40)</f>
        <v>#VALUE!</v>
      </c>
      <c r="AS43" s="175" t="e">
        <f t="shared" ca="1" si="71"/>
        <v>#VALUE!</v>
      </c>
      <c r="AT43" s="175" t="e">
        <f t="shared" ca="1" si="71"/>
        <v>#VALUE!</v>
      </c>
      <c r="AU43" s="175" t="e">
        <f t="shared" ca="1" si="71"/>
        <v>#VALUE!</v>
      </c>
      <c r="AV43" s="175" t="e">
        <f t="shared" ca="1" si="71"/>
        <v>#VALUE!</v>
      </c>
      <c r="AW43" s="175" t="e">
        <f t="shared" ca="1" si="71"/>
        <v>#VALUE!</v>
      </c>
      <c r="AX43" s="175" t="e">
        <f t="shared" ca="1" si="71"/>
        <v>#VALUE!</v>
      </c>
      <c r="AY43" s="175" t="e">
        <f t="shared" ca="1" si="71"/>
        <v>#VALUE!</v>
      </c>
      <c r="AZ43" s="175" t="e">
        <f t="shared" ca="1" si="71"/>
        <v>#VALUE!</v>
      </c>
      <c r="BA43" s="175" t="e">
        <f t="shared" ca="1" si="71"/>
        <v>#VALUE!</v>
      </c>
      <c r="BB43" s="175" t="e">
        <f t="shared" ca="1" si="71"/>
        <v>#VALUE!</v>
      </c>
      <c r="BC43" s="175" t="e">
        <f t="shared" ca="1" si="71"/>
        <v>#VALUE!</v>
      </c>
      <c r="BD43" s="175" t="e">
        <f t="shared" ca="1" si="71"/>
        <v>#VALUE!</v>
      </c>
      <c r="BE43" s="175" t="e">
        <f t="shared" ca="1" si="71"/>
        <v>#VALUE!</v>
      </c>
      <c r="BF43" s="175" t="e">
        <f t="shared" ca="1" si="71"/>
        <v>#VALUE!</v>
      </c>
      <c r="BG43" s="175" t="e">
        <f t="shared" ca="1" si="71"/>
        <v>#VALUE!</v>
      </c>
      <c r="BH43" s="175" t="e">
        <f t="shared" ca="1" si="71"/>
        <v>#VALUE!</v>
      </c>
      <c r="BI43" s="175" t="e">
        <f t="shared" ca="1" si="71"/>
        <v>#VALUE!</v>
      </c>
      <c r="BJ43" s="175" t="e">
        <f t="shared" ca="1" si="71"/>
        <v>#VALUE!</v>
      </c>
      <c r="BK43" s="175" t="e">
        <f t="shared" ca="1" si="71"/>
        <v>#VALUE!</v>
      </c>
      <c r="BL43" s="175" t="e">
        <f t="shared" ca="1" si="71"/>
        <v>#VALUE!</v>
      </c>
      <c r="BM43" s="175" t="e">
        <f t="shared" ca="1" si="71"/>
        <v>#VALUE!</v>
      </c>
      <c r="BN43" s="175" t="e">
        <f t="shared" ca="1" si="71"/>
        <v>#VALUE!</v>
      </c>
      <c r="BO43" s="175" t="e">
        <f t="shared" ca="1" si="71"/>
        <v>#VALUE!</v>
      </c>
      <c r="BP43" s="175" t="e">
        <f t="shared" ca="1" si="71"/>
        <v>#VALUE!</v>
      </c>
      <c r="BQ43" s="175" t="e">
        <f t="shared" ca="1" si="71"/>
        <v>#VALUE!</v>
      </c>
      <c r="BR43" s="175" t="e">
        <f t="shared" ca="1" si="71"/>
        <v>#VALUE!</v>
      </c>
      <c r="BS43" s="175" t="e">
        <f t="shared" ca="1" si="71"/>
        <v>#VALUE!</v>
      </c>
      <c r="BT43" s="175" t="e">
        <f t="shared" ca="1" si="71"/>
        <v>#VALUE!</v>
      </c>
      <c r="BU43" s="175" t="e">
        <f t="shared" ca="1" si="71"/>
        <v>#VALUE!</v>
      </c>
      <c r="BV43" s="175" t="e">
        <f t="shared" ca="1" si="71"/>
        <v>#VALUE!</v>
      </c>
      <c r="BW43" s="175" t="e">
        <f t="shared" ca="1" si="71"/>
        <v>#VALUE!</v>
      </c>
      <c r="BX43" s="175" t="e">
        <f t="shared" ref="BX43:CW43" ca="1" si="72">SUM(BX8,BX16,BX24,BX32,BX40)</f>
        <v>#VALUE!</v>
      </c>
      <c r="BY43" s="175" t="e">
        <f t="shared" ca="1" si="72"/>
        <v>#VALUE!</v>
      </c>
      <c r="BZ43" s="175" t="e">
        <f t="shared" ca="1" si="72"/>
        <v>#VALUE!</v>
      </c>
      <c r="CA43" s="175" t="e">
        <f t="shared" ca="1" si="72"/>
        <v>#VALUE!</v>
      </c>
      <c r="CB43" s="175" t="e">
        <f t="shared" ca="1" si="72"/>
        <v>#VALUE!</v>
      </c>
      <c r="CC43" s="175" t="e">
        <f t="shared" ca="1" si="72"/>
        <v>#VALUE!</v>
      </c>
      <c r="CD43" s="175" t="e">
        <f t="shared" ca="1" si="72"/>
        <v>#VALUE!</v>
      </c>
      <c r="CE43" s="175" t="e">
        <f t="shared" ca="1" si="72"/>
        <v>#VALUE!</v>
      </c>
      <c r="CF43" s="175" t="e">
        <f t="shared" ca="1" si="72"/>
        <v>#VALUE!</v>
      </c>
      <c r="CG43" s="175" t="e">
        <f t="shared" ca="1" si="72"/>
        <v>#VALUE!</v>
      </c>
      <c r="CH43" s="175" t="e">
        <f t="shared" ca="1" si="72"/>
        <v>#VALUE!</v>
      </c>
      <c r="CI43" s="175" t="e">
        <f t="shared" ca="1" si="72"/>
        <v>#VALUE!</v>
      </c>
      <c r="CJ43" s="175" t="e">
        <f t="shared" ca="1" si="72"/>
        <v>#VALUE!</v>
      </c>
      <c r="CK43" s="175" t="e">
        <f t="shared" ca="1" si="72"/>
        <v>#VALUE!</v>
      </c>
      <c r="CL43" s="175" t="e">
        <f t="shared" ca="1" si="72"/>
        <v>#VALUE!</v>
      </c>
      <c r="CM43" s="175" t="e">
        <f t="shared" ca="1" si="72"/>
        <v>#VALUE!</v>
      </c>
      <c r="CN43" s="175" t="e">
        <f t="shared" ca="1" si="72"/>
        <v>#VALUE!</v>
      </c>
      <c r="CO43" s="175" t="e">
        <f t="shared" ca="1" si="72"/>
        <v>#VALUE!</v>
      </c>
      <c r="CP43" s="175" t="e">
        <f t="shared" ca="1" si="72"/>
        <v>#VALUE!</v>
      </c>
      <c r="CQ43" s="175" t="e">
        <f t="shared" ca="1" si="72"/>
        <v>#VALUE!</v>
      </c>
      <c r="CR43" s="175" t="e">
        <f t="shared" ca="1" si="72"/>
        <v>#VALUE!</v>
      </c>
      <c r="CS43" s="175" t="e">
        <f t="shared" ca="1" si="72"/>
        <v>#VALUE!</v>
      </c>
      <c r="CT43" s="175" t="e">
        <f t="shared" ca="1" si="72"/>
        <v>#VALUE!</v>
      </c>
      <c r="CU43" s="175" t="e">
        <f t="shared" ca="1" si="72"/>
        <v>#VALUE!</v>
      </c>
      <c r="CV43" s="175" t="e">
        <f t="shared" ca="1" si="72"/>
        <v>#VALUE!</v>
      </c>
      <c r="CW43" s="175" t="e">
        <f t="shared" ca="1" si="72"/>
        <v>#VALUE!</v>
      </c>
    </row>
    <row r="45" spans="1:101">
      <c r="H45" s="176" t="s">
        <v>83</v>
      </c>
      <c r="J45" s="176"/>
      <c r="K45" s="176"/>
      <c r="L45" s="175" t="e">
        <f ca="1">AVERAGE(L43:CM43)</f>
        <v>#VALUE!</v>
      </c>
      <c r="M45" s="175" t="e">
        <f ca="1">L45*1.2</f>
        <v>#VALUE!</v>
      </c>
    </row>
    <row r="46" spans="1:101">
      <c r="H46" s="176" t="s">
        <v>84</v>
      </c>
      <c r="J46" s="176"/>
      <c r="K46" s="176"/>
      <c r="L46" s="175" t="e">
        <f ca="1">MAX(L43:CM43)</f>
        <v>#VALUE!</v>
      </c>
      <c r="M46" s="175" t="e">
        <f ca="1">L46*1.2</f>
        <v>#VALUE!</v>
      </c>
    </row>
  </sheetData>
  <mergeCells count="32">
    <mergeCell ref="D35:D39"/>
    <mergeCell ref="A18:A23"/>
    <mergeCell ref="B18:B23"/>
    <mergeCell ref="C18:C23"/>
    <mergeCell ref="D19:D23"/>
    <mergeCell ref="D27:D31"/>
    <mergeCell ref="J19:J23"/>
    <mergeCell ref="K19:K23"/>
    <mergeCell ref="A3:A7"/>
    <mergeCell ref="B3:B7"/>
    <mergeCell ref="C3:C7"/>
    <mergeCell ref="D3:D7"/>
    <mergeCell ref="A10:A15"/>
    <mergeCell ref="B10:B15"/>
    <mergeCell ref="C10:C15"/>
    <mergeCell ref="D11:D15"/>
    <mergeCell ref="J1:K1"/>
    <mergeCell ref="A1:I1"/>
    <mergeCell ref="J27:J31"/>
    <mergeCell ref="K27:K31"/>
    <mergeCell ref="J35:J39"/>
    <mergeCell ref="K35:K39"/>
    <mergeCell ref="A26:A31"/>
    <mergeCell ref="B26:B31"/>
    <mergeCell ref="C26:C31"/>
    <mergeCell ref="A34:A39"/>
    <mergeCell ref="B34:B39"/>
    <mergeCell ref="C34:C39"/>
    <mergeCell ref="J3:J7"/>
    <mergeCell ref="K3:K7"/>
    <mergeCell ref="J11:J15"/>
    <mergeCell ref="K11:K15"/>
  </mergeCells>
  <pageMargins left="0.7" right="0.7" top="0.75" bottom="0.75" header="0.3" footer="0.3"/>
  <pageSetup paperSize="8"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Bess 11 Part Wise</vt:lpstr>
      <vt:lpstr>12 - Daily requirement (2)</vt:lpstr>
      <vt:lpstr>10B - Daily requirement (2)</vt:lpstr>
      <vt:lpstr>BC Arrival Productivity</vt:lpstr>
      <vt:lpstr>11 - Daily requirement (2)</vt:lpstr>
      <vt:lpstr>12 - Daily requirement</vt:lpstr>
      <vt:lpstr>12 - Daily requirement working</vt:lpstr>
      <vt:lpstr>11 - Daily requirement</vt:lpstr>
      <vt:lpstr>BESS 11</vt:lpstr>
      <vt:lpstr>BESS 12</vt:lpstr>
      <vt:lpstr>BESS 10B</vt:lpstr>
      <vt:lpstr>11 Working</vt:lpstr>
      <vt:lpstr>11 - Daily requirement (3)</vt:lpstr>
      <vt:lpstr>12 - Daily requirement work (2)</vt:lpstr>
      <vt:lpstr>10B - Daily requirement (3)</vt:lpstr>
      <vt:lpstr>10B - Daily requirement</vt:lpstr>
      <vt:lpstr>'10B - Daily requirement'!Print_Area</vt:lpstr>
      <vt:lpstr>'10B - Daily requirement (3)'!Print_Area</vt:lpstr>
      <vt:lpstr>'11 - Daily requirement'!Print_Area</vt:lpstr>
      <vt:lpstr>'11 - Daily requirement (2)'!Print_Area</vt:lpstr>
      <vt:lpstr>'11 - Daily requirement (3)'!Print_Area</vt:lpstr>
      <vt:lpstr>'11 Working'!Print_Area</vt:lpstr>
      <vt:lpstr>'12 - Daily requirement'!Print_Area</vt:lpstr>
      <vt:lpstr>'12 - Daily requirement work (2)'!Print_Area</vt:lpstr>
      <vt:lpstr>'12 - Daily requirement working'!Print_Area</vt:lpstr>
      <vt:lpstr>'BESS 10B'!Print_Area</vt:lpstr>
      <vt:lpstr>'BESS 11'!Print_Area</vt:lpstr>
      <vt:lpstr>'BESS 12'!Print_Area</vt:lpstr>
      <vt:lpstr>'11 Working'!Print_Titles</vt:lpstr>
      <vt:lpstr>'BESS 10B'!Print_Titles</vt:lpstr>
      <vt:lpstr>'BESS 11'!Print_Titles</vt:lpstr>
      <vt:lpstr>'BESS 12'!Print_Titles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Vikash Chauhan</dc:creator>
  <cp:keywords/>
  <dc:description/>
  <cp:lastModifiedBy>Paradhi Jaykumar</cp:lastModifiedBy>
  <cp:revision/>
  <cp:lastPrinted>2026-07-29T04:29:52Z</cp:lastPrinted>
  <dcterms:created xsi:type="dcterms:W3CDTF">2026-04-30T10:02:18Z</dcterms:created>
  <dcterms:modified xsi:type="dcterms:W3CDTF">2026-07-30T12:40:48Z</dcterms:modified>
  <cp:category/>
  <cp:contentStatus/>
</cp:coreProperties>
</file>